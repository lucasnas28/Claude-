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_Fill" hidden="1">#REF!</definedName>
    <definedName name="aaa" hidden="1">{#N/A,#N/A,FALSE,"Aging Summary";#N/A,#N/A,FALSE,"Ratio Analysis";#N/A,#N/A,FALSE,"Test 120 Day Accts";#N/A,#N/A,FALSE,"Tickmarks"}</definedName>
    <definedName name="AAAA" hidden="1">{#N/A,#N/A,FALSE,"Aging Summary";#N/A,#N/A,FALSE,"Ratio Analysis";#N/A,#N/A,FALSE,"Test 120 Day Accts";#N/A,#N/A,FALSE,"Tickmarks"}</definedName>
    <definedName name="AS2DocOpenMode" hidden="1">"AS2DocumentEdit"</definedName>
    <definedName name="AS2NamedRange" hidden="1">15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BalType" hidden="1">TRUE</definedName>
    <definedName name="beta_observed">Valuation!$D$93</definedName>
    <definedName name="beta_observed_unlevered">#REF!</definedName>
    <definedName name="beta_unlev_comps">#REF!</definedName>
    <definedName name="BG_Del" hidden="1">15</definedName>
    <definedName name="BG_Ins" hidden="1">4</definedName>
    <definedName name="BG_Mod" hidden="1">6</definedName>
    <definedName name="cirkbreak">#REF!</definedName>
    <definedName name="costdebtfirm">#REF!</definedName>
    <definedName name="costequity">#REF!</definedName>
    <definedName name="Debt">#REF!</definedName>
    <definedName name="debt_weight">#REF!</definedName>
    <definedName name="GrpAcct1" hidden="1">"5611"</definedName>
    <definedName name="GrpAcct2" hidden="1">"5612"</definedName>
    <definedName name="GrpLevel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Z_SCORE" hidden="1">"c1339"</definedName>
    <definedName name="last_close">Valuation!$G$7</definedName>
    <definedName name="Market_Equity">#REF!</definedName>
    <definedName name="midyear">#REF!</definedName>
    <definedName name="Net_Debt">#REF!</definedName>
    <definedName name="NumofGrpAccts" hidden="1">2</definedName>
    <definedName name="nvnvnvnv" hidden="1">{#N/A,#N/A,FALSE,"Aging Summary";#N/A,#N/A,FALSE,"Ratio Analysis";#N/A,#N/A,FALSE,"Test 120 Day Accts";#N/A,#N/A,FALSE,"Tickmarks"}</definedName>
    <definedName name="range">#REF!</definedName>
    <definedName name="RowLevel" hidden="1">1</definedName>
    <definedName name="Stub_year_fraction">#REF!</definedName>
    <definedName name="TBdbName" hidden="1">"88D5BF544BE111D2B8C5006097494125.mdb"</definedName>
    <definedName name="TextRefCopyRangeCount" hidden="1">68</definedName>
    <definedName name="ticker">Valuation!$D$7</definedName>
    <definedName name="Useful_Life_of_Depreciable_PP_E">"PPElife"</definedName>
    <definedName name="wrn.Aging._.and._.Trend._.Analysis." hidden="1">{#N/A,#N/A,FALSE,"Aging Summary";#N/A,#N/A,FALSE,"Ratio Analysis";#N/A,#N/A,FALSE,"Test 120 Day Accts";#N/A,#N/A,FALSE,"Tickmarks"}</definedName>
    <definedName name="wrn.EXPENSES._.98._.US." hidden="1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>{#N/A,#N/A,FALSE,"Graficos    ( 9 )"}</definedName>
    <definedName name="wrn.WORK._.PAPER." hidden="1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_COLUMN_1" hidden="1">#REF!</definedName>
    <definedName name="XREF_COLUMN_10" hidden="1">#REF!</definedName>
    <definedName name="XREF_COLUMN_11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lumnsCount" hidden="1">2</definedName>
    <definedName name="XRefCopy1" hidden="1">#REF!</definedName>
    <definedName name="XRefCopy10" hidden="1">#REF!</definedName>
    <definedName name="XRefCopy10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5" hidden="1">#REF!</definedName>
    <definedName name="XRefCopy15Row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3" hidden="1">#REF!</definedName>
    <definedName name="XRefCopy30Row" hidden="1">#REF!</definedName>
    <definedName name="XRefCopy31" hidden="1">#REF!</definedName>
    <definedName name="XRefCopy31Row" hidden="1">#REF!</definedName>
    <definedName name="XRefCopy33Row" hidden="1">#REF!</definedName>
    <definedName name="XRefCopy39" hidden="1">#REF!</definedName>
    <definedName name="XRefCopy4" hidden="1">#REF!</definedName>
    <definedName name="XRefCopy40Row" hidden="1">#REF!</definedName>
    <definedName name="XRefCopy43Row" hidden="1">#REF!</definedName>
    <definedName name="XRefCopy44Row" hidden="1">#REF!</definedName>
    <definedName name="XRefCopy49Row" hidden="1">#REF!</definedName>
    <definedName name="XRefCopy4Row" hidden="1">#REF!</definedName>
    <definedName name="XRefCopy5" hidden="1">#REF!</definedName>
    <definedName name="XRefCopy50Row" hidden="1">#REF!</definedName>
    <definedName name="XRefCopy51Row" hidden="1">#REF!</definedName>
    <definedName name="XRefCopy52Row" hidden="1">#REF!</definedName>
    <definedName name="XRefCopy53Row" hidden="1">#REF!</definedName>
    <definedName name="XRefCopy55Row" hidden="1">#REF!</definedName>
    <definedName name="XRefCopy56" hidden="1">#REF!</definedName>
    <definedName name="XRefCopy56Row" hidden="1">#REF!</definedName>
    <definedName name="XRefCopy5Row" hidden="1">#REF!</definedName>
    <definedName name="XRefCopy6" hidden="1">#REF!</definedName>
    <definedName name="XRefCopy61" hidden="1">#REF!</definedName>
    <definedName name="XRefCopy61Row" hidden="1">#REF!</definedName>
    <definedName name="XRefCopy63Row" hidden="1">#REF!</definedName>
    <definedName name="XRefCopy64Row" hidden="1">#REF!</definedName>
    <definedName name="XRefCopy65Row" hidden="1">#REF!</definedName>
    <definedName name="XRefCopy66" hidden="1">#REF!</definedName>
    <definedName name="XRefCopy66Row" hidden="1">#REF!</definedName>
    <definedName name="XRefCopy67Row" hidden="1">#REF!</definedName>
    <definedName name="XRefCopy68Row" hidden="1">#REF!</definedName>
    <definedName name="XRefCopy69Row" hidden="1">#REF!</definedName>
    <definedName name="XRefCopy6Row" hidden="1">#REF!</definedName>
    <definedName name="XRefCopy7" hidden="1">#REF!</definedName>
    <definedName name="XRefCopy70Row" hidden="1">#REF!</definedName>
    <definedName name="XRefCopy71Row" hidden="1">#REF!</definedName>
    <definedName name="XRefCopy72Row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Row" hidden="1">#REF!</definedName>
    <definedName name="XRefCopy8" hidden="1">#REF!</definedName>
    <definedName name="XRefCopy80Row" hidden="1">#REF!</definedName>
    <definedName name="XRefCopy81" hidden="1">#REF!</definedName>
    <definedName name="XRefCopy81Row" hidden="1">#REF!</definedName>
    <definedName name="XRefCopy82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</definedName>
    <definedName name="XRefPaste1" hidden="1">#REF!</definedName>
    <definedName name="XRefPaste10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Row" hidden="1">#REF!</definedName>
    <definedName name="XRefPaste105Row" hidden="1">#REF!</definedName>
    <definedName name="XRefPaste106" hidden="1">#REF!</definedName>
    <definedName name="XRefPaste106Row" hidden="1">#REF!</definedName>
    <definedName name="XRefPaste107Row" hidden="1">#REF!</definedName>
    <definedName name="XRefPaste108Row" hidden="1">#REF!</definedName>
    <definedName name="XRefPaste11" hidden="1">#REF!</definedName>
    <definedName name="XRefPaste111Row" hidden="1">#REF!</definedName>
    <definedName name="XRefPaste112Row" hidden="1">#REF!</definedName>
    <definedName name="XRefPaste117" hidden="1">#REF!</definedName>
    <definedName name="XRefPaste117Row" hidden="1">#REF!</definedName>
    <definedName name="XRefPaste118" hidden="1">#REF!</definedName>
    <definedName name="XRefPaste118Row" hidden="1">#REF!</definedName>
    <definedName name="XRefPaste119" hidden="1">#REF!</definedName>
    <definedName name="XRefPaste119Row" hidden="1">#REF!</definedName>
    <definedName name="XRefPaste12" hidden="1">#REF!</definedName>
    <definedName name="XRefPaste120" hidden="1">#REF!</definedName>
    <definedName name="XRefPaste120Row" hidden="1">#REF!</definedName>
    <definedName name="XRefPaste121Row" hidden="1">#REF!</definedName>
    <definedName name="XRefPaste122Row" hidden="1">#REF!</definedName>
    <definedName name="XRefPaste123Row" hidden="1">#REF!</definedName>
    <definedName name="XRefPaste124Row" hidden="1">#REF!</definedName>
    <definedName name="XRefPaste126Row" hidden="1">#REF!</definedName>
    <definedName name="XRefPaste127Row" hidden="1">#REF!</definedName>
    <definedName name="XRefPaste128Row" hidden="1">#REF!</definedName>
    <definedName name="XRefPaste129Row" hidden="1">#REF!</definedName>
    <definedName name="XRefPaste13" hidden="1">#REF!</definedName>
    <definedName name="XRefPaste130Row" hidden="1">#REF!</definedName>
    <definedName name="XRefPaste131Row" hidden="1">#REF!</definedName>
    <definedName name="XRefPaste132Row" hidden="1">#REF!</definedName>
    <definedName name="XRefPaste133Row" hidden="1">#REF!</definedName>
    <definedName name="XRefPaste134Row" hidden="1">#REF!</definedName>
    <definedName name="XRefPaste135Row" hidden="1">#REF!</definedName>
    <definedName name="XRefPaste136Row" hidden="1">#REF!</definedName>
    <definedName name="XRefPaste137Row" hidden="1">#REF!</definedName>
    <definedName name="XRefPaste138Row" hidden="1">#REF!</definedName>
    <definedName name="XRefPaste139" hidden="1">#REF!</definedName>
    <definedName name="XRefPaste139Row" hidden="1">#REF!</definedName>
    <definedName name="XRefPaste14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6" hidden="1">#REF!</definedName>
    <definedName name="XRefPaste26Row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5" hidden="1">#REF!</definedName>
    <definedName name="XRefPaste35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Row" hidden="1">#REF!</definedName>
    <definedName name="XRefPaste5" hidden="1">#REF!</definedName>
    <definedName name="XRefPaste56Row" hidden="1">#REF!</definedName>
    <definedName name="XRefPaste57Row" hidden="1">#REF!</definedName>
    <definedName name="XRefPaste59Row" hidden="1">#REF!</definedName>
    <definedName name="XRefPaste5Row" hidden="1">#REF!</definedName>
    <definedName name="XRefPaste6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7Row" hidden="1">#REF!</definedName>
    <definedName name="XRefPaste68Row" hidden="1">#REF!</definedName>
    <definedName name="XRefPaste69Row" hidden="1">#REF!</definedName>
    <definedName name="XRefPaste6Row" hidden="1">#REF!</definedName>
    <definedName name="XRefPaste7" hidden="1">#REF!</definedName>
    <definedName name="XRefPaste70Row" hidden="1">#REF!</definedName>
    <definedName name="XRefPaste71Row" hidden="1">#REF!</definedName>
    <definedName name="XRefPaste75Row" hidden="1">#REF!</definedName>
    <definedName name="XRefPaste7Row" hidden="1">#REF!</definedName>
    <definedName name="XRefPaste8" hidden="1">#REF!</definedName>
    <definedName name="XRefPaste9" hidden="1">#REF!</definedName>
    <definedName name="XRefPaste99Row" hidden="1">#REF!</definedName>
    <definedName name="XRefPasteRangeCount" hidden="1">35</definedName>
    <definedName name="beta_observed" localSheetId="1">#REF!</definedName>
    <definedName name="ticker" localSheetId="1">#REF!</definedName>
    <definedName name="costdebtfirm" localSheetId="3">Valuation!$D$86</definedName>
    <definedName name="costequity" localSheetId="3">Valuation!$D$94</definedName>
    <definedName name="debt" localSheetId="3">Valuation!$G$88</definedName>
    <definedName name="debt_weight" localSheetId="3">Valuation!$J$88</definedName>
    <definedName name="g" localSheetId="3">Valuation!$D$63</definedName>
    <definedName name="market_equity" localSheetId="3">Valuation!$G$89</definedName>
    <definedName name="noplat_t1" localSheetId="3">Valuation!$D$65</definedName>
    <definedName name="relevered_beta" localSheetId="3">Valuation!$M$102</definedName>
    <definedName name="risk_free_rate" localSheetId="3">Valuation!$D$91</definedName>
    <definedName name="risk_premium" localSheetId="3">Valuation!$D$92</definedName>
    <definedName name="ronic" localSheetId="3">Valuation!$D$64</definedName>
    <definedName name="stub_year_fraction" localSheetId="3">Valuation!$D$11</definedName>
    <definedName name="totalcap" localSheetId="3">Valuation!$G$90</definedName>
    <definedName name="wacc" localSheetId="3">Valuation!$D$12</definedName>
    <definedName name="scenario" localSheetId="3">Valuation!$E$8</definedName>
  </definedNames>
  <calcPr calcId="191029" fullCalcOnLoad="1"/>
</workbook>
</file>

<file path=xl/styles.xml><?xml version="1.0" encoding="utf-8"?>
<styleSheet xmlns="http://schemas.openxmlformats.org/spreadsheetml/2006/main">
  <numFmts count="27">
    <numFmt numFmtId="164" formatCode="#,##0.0_);[Red]\(#,##0.0\)"/>
    <numFmt numFmtId="165" formatCode="[$-409]d\-mmm;@"/>
    <numFmt numFmtId="166" formatCode="[$-416]d\-mmm"/>
    <numFmt numFmtId="167" formatCode="[$-409]d\-mmm"/>
    <numFmt numFmtId="168" formatCode="#,##0_ ;[Red]\-#,##0\ "/>
    <numFmt numFmtId="169" formatCode="#,##0.0_ ;[Red]\-#,##0.0\ "/>
    <numFmt numFmtId="170" formatCode="0.0%"/>
    <numFmt numFmtId="171" formatCode="#,##0.0;[Red]#,##0.0"/>
    <numFmt numFmtId="172" formatCode="[$-409]d\-mmm\-yy;@"/>
    <numFmt numFmtId="173" formatCode="[$BRL]\ #,##0.00_);[Red]\([$BRL]\ #,##0.00\)"/>
    <numFmt numFmtId="174" formatCode="#,##0.0_);\(#,##0.0\)"/>
    <numFmt numFmtId="175" formatCode="#,##0.000_);\(#,##0.000\)"/>
    <numFmt numFmtId="176" formatCode="&quot;R$&quot;\ #,##0.00"/>
    <numFmt numFmtId="177" formatCode="#,##0.0\x"/>
    <numFmt numFmtId="178" formatCode="&quot;$&quot;#,##0.00_);\(&quot;$&quot;#,##0.00\)"/>
    <numFmt numFmtId="179" formatCode="#,##0.000_);[Red]\(#,##0.000\)"/>
    <numFmt numFmtId="180" formatCode="0.0\x"/>
    <numFmt numFmtId="181" formatCode="&quot;$&quot;#,##0.00_);[Red]\(&quot;$&quot;#,##0.00\)"/>
    <numFmt numFmtId="182" formatCode="&quot;$&quot;#,##0.0_);\(&quot;$&quot;#,##0.0\)"/>
    <numFmt numFmtId="183" formatCode="0.0%;\(0.0%\)"/>
    <numFmt numFmtId="184" formatCode="0.000"/>
    <numFmt numFmtId="185" formatCode="0.0"/>
    <numFmt numFmtId="186" formatCode="#,##0.0;(#,##0.0)"/>
    <numFmt numFmtId="187" formatCode="#,##0;(#,##0)"/>
    <numFmt numFmtId="188" formatCode="_(&quot;$&quot;* #,##0.00_);_(&quot;$&quot;* \(#,##0.00\);_(&quot;$&quot;* &quot;-&quot;??_);_(@_)"/>
    <numFmt numFmtId="189" formatCode="0_);\(0\)"/>
    <numFmt numFmtId="190" formatCode="#,##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Verdana"/>
      <family val="2"/>
      <color theme="1"/>
      <sz val="10"/>
    </font>
    <font>
      <name val="Arial"/>
      <family val="2"/>
      <sz val="10"/>
    </font>
    <font>
      <name val="Verdana"/>
      <family val="2"/>
      <b val="1"/>
      <color theme="1"/>
      <sz val="10"/>
    </font>
    <font>
      <name val="Verdana"/>
      <family val="2"/>
      <color rgb="FF0000FF"/>
      <sz val="10"/>
    </font>
    <font>
      <name val="Verdana"/>
      <family val="2"/>
      <b val="1"/>
      <color rgb="FFFFFFFF"/>
      <sz val="10"/>
    </font>
    <font>
      <name val="Calibri"/>
      <family val="2"/>
      <color indexed="8"/>
      <sz val="11"/>
    </font>
    <font>
      <name val="Verdana"/>
      <family val="2"/>
      <sz val="10"/>
    </font>
    <font>
      <name val="Verdana"/>
      <family val="2"/>
      <b val="1"/>
      <color theme="0"/>
      <sz val="10"/>
    </font>
    <font>
      <name val="Verdana"/>
      <family val="2"/>
      <color theme="0"/>
      <sz val="10"/>
    </font>
    <font>
      <name val="Verdana"/>
      <family val="2"/>
      <b val="1"/>
      <color indexed="9"/>
      <sz val="10"/>
    </font>
    <font>
      <name val="Arial"/>
      <family val="2"/>
      <b val="1"/>
      <sz val="8"/>
    </font>
    <font>
      <name val="Verdana"/>
      <family val="2"/>
      <color indexed="12"/>
      <sz val="10"/>
    </font>
    <font>
      <name val="Verdana"/>
      <family val="2"/>
      <b val="1"/>
      <sz val="10"/>
    </font>
    <font>
      <name val="Verdana"/>
      <family val="2"/>
      <b val="1"/>
      <color theme="0" tint="-0.0499893185216834"/>
      <sz val="10"/>
    </font>
    <font>
      <name val="Arial"/>
      <family val="2"/>
      <b val="1"/>
      <color indexed="63"/>
      <sz val="10"/>
    </font>
    <font>
      <name val="Verdana"/>
      <family val="2"/>
      <b val="1"/>
      <color indexed="63"/>
      <sz val="10"/>
    </font>
    <font>
      <name val="Verdana"/>
      <family val="2"/>
      <b val="1"/>
      <color indexed="12"/>
      <sz val="10"/>
    </font>
    <font>
      <name val="Verdana"/>
      <family val="2"/>
      <sz val="10"/>
      <u val="single"/>
    </font>
    <font>
      <name val="Verdana"/>
      <family val="2"/>
      <color indexed="17"/>
      <sz val="10"/>
    </font>
    <font>
      <name val="Arial"/>
      <family val="2"/>
      <sz val="8"/>
    </font>
    <font>
      <name val="Verdana"/>
      <family val="2"/>
      <i val="1"/>
      <color theme="1"/>
      <sz val="10"/>
    </font>
    <font>
      <color rgb="FF808080"/>
    </font>
    <font>
      <b val="1"/>
    </font>
    <font>
      <name val="Verdana"/>
      <color rgb="FF808080"/>
      <sz val="10"/>
    </font>
    <font>
      <name val="Verdana"/>
      <b val="1"/>
      <sz val="10"/>
    </font>
  </fonts>
  <fills count="17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00B050"/>
        <bgColor rgb="FF00B050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indexed="22"/>
      </patternFill>
    </fill>
    <fill>
      <patternFill patternType="solid">
        <fgColor rgb="FFFFF2CC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hair">
        <color rgb="FF0000FF"/>
      </right>
      <top style="thin">
        <color auto="1"/>
      </top>
      <bottom style="hair">
        <color rgb="FF0000FF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/>
      <right style="thin">
        <color indexed="13"/>
      </right>
      <top/>
      <bottom style="thin">
        <color indexed="64"/>
      </bottom>
      <diagonal/>
    </border>
    <border>
      <left style="thin">
        <color indexed="13"/>
      </left>
      <right/>
      <top/>
      <bottom style="thin">
        <color indexed="64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thin">
        <color indexed="64"/>
      </right>
      <top style="thin">
        <color indexed="13"/>
      </top>
      <bottom style="thin">
        <color indexed="13"/>
      </bottom>
      <diagonal/>
    </border>
    <border>
      <left/>
      <right style="thin">
        <color indexed="64"/>
      </right>
      <top style="thin">
        <color indexed="1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1" fillId="0" borderId="0"/>
    <xf numFmtId="0" fontId="3" fillId="0" borderId="0"/>
    <xf numFmtId="0" fontId="1" fillId="0" borderId="0"/>
    <xf numFmtId="9" fontId="1" fillId="0" borderId="0"/>
    <xf numFmtId="43" fontId="7" fillId="0" borderId="0"/>
    <xf numFmtId="0" fontId="3" fillId="0" borderId="0"/>
    <xf numFmtId="14" fontId="12" fillId="0" borderId="3"/>
    <xf numFmtId="0" fontId="2" fillId="0" borderId="0"/>
    <xf numFmtId="9" fontId="2" fillId="0" borderId="0"/>
    <xf numFmtId="0" fontId="16" fillId="15" borderId="16"/>
    <xf numFmtId="188" fontId="3" fillId="0" borderId="0"/>
    <xf numFmtId="189" fontId="21" fillId="0" borderId="0"/>
  </cellStyleXfs>
  <cellXfs count="27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4" fillId="0" borderId="0" pivotButton="0" quotePrefix="0" xfId="1"/>
    <xf numFmtId="164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1"/>
    <xf numFmtId="164" fontId="5" fillId="2" borderId="0" applyAlignment="1" pivotButton="0" quotePrefix="0" xfId="0">
      <alignment horizontal="center"/>
    </xf>
    <xf numFmtId="165" fontId="5" fillId="2" borderId="0" applyAlignment="1" pivotButton="0" quotePrefix="0" xfId="0">
      <alignment horizontal="center"/>
    </xf>
    <xf numFmtId="166" fontId="4" fillId="3" borderId="0" applyAlignment="1" pivotButton="0" quotePrefix="0" xfId="2">
      <alignment horizontal="center"/>
    </xf>
    <xf numFmtId="167" fontId="5" fillId="4" borderId="0" applyAlignment="1" pivotButton="0" quotePrefix="0" xfId="2">
      <alignment horizontal="center"/>
    </xf>
    <xf numFmtId="166" fontId="2" fillId="3" borderId="0" applyAlignment="1" pivotButton="0" quotePrefix="0" xfId="2">
      <alignment horizontal="center"/>
    </xf>
    <xf numFmtId="168" fontId="2" fillId="0" borderId="0" applyAlignment="1" pivotButton="0" quotePrefix="0" xfId="2">
      <alignment horizontal="center"/>
    </xf>
    <xf numFmtId="0" fontId="6" fillId="6" borderId="0" applyAlignment="1" pivotButton="0" quotePrefix="0" xfId="1">
      <alignment horizontal="left"/>
    </xf>
    <xf numFmtId="0" fontId="4" fillId="0" borderId="0" applyAlignment="1" pivotButton="0" quotePrefix="0" xfId="0">
      <alignment horizontal="center"/>
    </xf>
    <xf numFmtId="0" fontId="4" fillId="3" borderId="0" pivotButton="0" quotePrefix="0" xfId="1"/>
    <xf numFmtId="164" fontId="4" fillId="7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8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4" fillId="9" borderId="0" pivotButton="0" quotePrefix="0" xfId="1"/>
    <xf numFmtId="164" fontId="4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4" fillId="8" borderId="0" pivotButton="0" quotePrefix="0" xfId="0"/>
    <xf numFmtId="169" fontId="2" fillId="3" borderId="0" applyAlignment="1" pivotButton="0" quotePrefix="0" xfId="1">
      <alignment horizontal="left"/>
    </xf>
    <xf numFmtId="164" fontId="2" fillId="7" borderId="0" applyAlignment="1" pivotButton="0" quotePrefix="0" xfId="0">
      <alignment horizontal="center"/>
    </xf>
    <xf numFmtId="0" fontId="2" fillId="3" borderId="0" applyAlignment="1" pivotButton="0" quotePrefix="0" xfId="1">
      <alignment horizontal="left"/>
    </xf>
    <xf numFmtId="0" fontId="4" fillId="3" borderId="0" applyAlignment="1" pivotButton="0" quotePrefix="0" xfId="1">
      <alignment horizontal="left"/>
    </xf>
    <xf numFmtId="0" fontId="2" fillId="3" borderId="1" applyAlignment="1" pivotButton="0" quotePrefix="0" xfId="1">
      <alignment horizontal="left"/>
    </xf>
    <xf numFmtId="0" fontId="2" fillId="3" borderId="0" pivotButton="0" quotePrefix="0" xfId="1"/>
    <xf numFmtId="0" fontId="2" fillId="3" borderId="1" pivotButton="0" quotePrefix="0" xfId="1"/>
    <xf numFmtId="0" fontId="4" fillId="5" borderId="0" applyAlignment="1" pivotButton="0" quotePrefix="0" xfId="2">
      <alignment horizontal="center"/>
    </xf>
    <xf numFmtId="169" fontId="2" fillId="0" borderId="0" applyAlignment="1" pivotButton="0" quotePrefix="0" xfId="1">
      <alignment horizontal="left"/>
    </xf>
    <xf numFmtId="170" fontId="2" fillId="9" borderId="0" pivotButton="0" quotePrefix="0" xfId="1"/>
    <xf numFmtId="0" fontId="2" fillId="0" borderId="0" applyAlignment="1" pivotButton="0" quotePrefix="0" xfId="1">
      <alignment horizontal="left"/>
    </xf>
    <xf numFmtId="168" fontId="5" fillId="4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/>
    </xf>
    <xf numFmtId="0" fontId="2" fillId="9" borderId="0" applyAlignment="1" pivotButton="0" quotePrefix="0" xfId="1">
      <alignment horizontal="left"/>
    </xf>
    <xf numFmtId="0" fontId="2" fillId="8" borderId="0" pivotButton="0" quotePrefix="0" xfId="0"/>
    <xf numFmtId="170" fontId="2" fillId="0" borderId="0" applyAlignment="1" pivotButton="0" quotePrefix="0" xfId="0">
      <alignment horizontal="center"/>
    </xf>
    <xf numFmtId="169" fontId="2" fillId="9" borderId="0" applyAlignment="1" pivotButton="0" quotePrefix="0" xfId="1">
      <alignment horizontal="left"/>
    </xf>
    <xf numFmtId="40" fontId="2" fillId="0" borderId="0" applyAlignment="1" pivotButton="0" quotePrefix="0" xfId="0">
      <alignment horizontal="center"/>
    </xf>
    <xf numFmtId="38" fontId="2" fillId="0" borderId="0" applyAlignment="1" pivotButton="0" quotePrefix="0" xfId="0">
      <alignment horizontal="center"/>
    </xf>
    <xf numFmtId="10" fontId="5" fillId="4" borderId="0" applyAlignment="1" pivotButton="0" quotePrefix="0" xfId="0">
      <alignment horizontal="center"/>
    </xf>
    <xf numFmtId="170" fontId="5" fillId="4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9" fontId="2" fillId="8" borderId="0" applyAlignment="1" pivotButton="0" quotePrefix="0" xfId="3">
      <alignment horizontal="center"/>
    </xf>
    <xf numFmtId="9" fontId="2" fillId="0" borderId="0" applyAlignment="1" pivotButton="0" quotePrefix="0" xfId="3">
      <alignment horizontal="center"/>
    </xf>
    <xf numFmtId="165" fontId="5" fillId="0" borderId="0" applyAlignment="1" pivotButton="0" quotePrefix="0" xfId="0">
      <alignment horizontal="center"/>
    </xf>
    <xf numFmtId="0" fontId="2" fillId="0" borderId="0" applyAlignment="1" pivotButton="0" quotePrefix="0" xfId="2">
      <alignment horizontal="center"/>
    </xf>
    <xf numFmtId="171" fontId="2" fillId="0" borderId="0" pivotButton="0" quotePrefix="0" xfId="0"/>
    <xf numFmtId="0" fontId="8" fillId="9" borderId="0" applyAlignment="1" pivotButton="0" quotePrefix="0" xfId="1">
      <alignment horizontal="left"/>
    </xf>
    <xf numFmtId="0" fontId="9" fillId="10" borderId="0" pivotButton="0" quotePrefix="0" xfId="0"/>
    <xf numFmtId="170" fontId="2" fillId="8" borderId="0" applyAlignment="1" pivotButton="0" quotePrefix="0" xfId="3">
      <alignment horizontal="center"/>
    </xf>
    <xf numFmtId="170" fontId="5" fillId="4" borderId="0" applyAlignment="1" pivotButton="0" quotePrefix="0" xfId="3">
      <alignment horizontal="center"/>
    </xf>
    <xf numFmtId="170" fontId="2" fillId="0" borderId="0" applyAlignment="1" pivotButton="0" quotePrefix="0" xfId="3">
      <alignment horizontal="center"/>
    </xf>
    <xf numFmtId="170" fontId="2" fillId="9" borderId="0" applyAlignment="1" pivotButton="0" quotePrefix="0" xfId="1">
      <alignment horizontal="left"/>
    </xf>
    <xf numFmtId="0" fontId="11" fillId="0" borderId="0" pivotButton="0" quotePrefix="0" xfId="5"/>
    <xf numFmtId="0" fontId="8" fillId="0" borderId="0" pivotButton="0" quotePrefix="0" xfId="5"/>
    <xf numFmtId="0" fontId="8" fillId="0" borderId="2" pivotButton="0" quotePrefix="0" xfId="5"/>
    <xf numFmtId="172" fontId="13" fillId="2" borderId="4" applyAlignment="1" pivotButton="0" quotePrefix="0" xfId="6">
      <alignment horizontal="center"/>
    </xf>
    <xf numFmtId="173" fontId="5" fillId="2" borderId="0" applyAlignment="1" pivotButton="0" quotePrefix="0" xfId="5">
      <alignment horizontal="center"/>
    </xf>
    <xf numFmtId="170" fontId="8" fillId="0" borderId="0" applyAlignment="1" pivotButton="0" quotePrefix="0" xfId="5">
      <alignment horizontal="right"/>
    </xf>
    <xf numFmtId="172" fontId="13" fillId="2" borderId="4" applyAlignment="1" pivotButton="0" quotePrefix="0" xfId="6">
      <alignment horizontal="right"/>
    </xf>
    <xf numFmtId="170" fontId="8" fillId="0" borderId="0" applyAlignment="1" pivotButton="0" quotePrefix="0" xfId="5">
      <alignment horizontal="center"/>
    </xf>
    <xf numFmtId="174" fontId="13" fillId="0" borderId="0" applyAlignment="1" pivotButton="0" quotePrefix="0" xfId="5">
      <alignment horizontal="center"/>
    </xf>
    <xf numFmtId="175" fontId="8" fillId="0" borderId="0" applyAlignment="1" pivotButton="0" quotePrefix="0" xfId="5">
      <alignment horizontal="center"/>
    </xf>
    <xf numFmtId="0" fontId="14" fillId="0" borderId="0" pivotButton="0" quotePrefix="0" xfId="5"/>
    <xf numFmtId="176" fontId="8" fillId="0" borderId="0" pivotButton="0" quotePrefix="0" xfId="5"/>
    <xf numFmtId="0" fontId="4" fillId="11" borderId="0" pivotButton="0" quotePrefix="0" xfId="5"/>
    <xf numFmtId="0" fontId="4" fillId="11" borderId="3" pivotButton="0" quotePrefix="0" xfId="5"/>
    <xf numFmtId="0" fontId="9" fillId="12" borderId="3" applyAlignment="1" pivotButton="0" quotePrefix="0" xfId="5">
      <alignment horizontal="centerContinuous"/>
    </xf>
    <xf numFmtId="0" fontId="10" fillId="12" borderId="3" applyAlignment="1" pivotButton="0" quotePrefix="0" xfId="5">
      <alignment horizontal="centerContinuous"/>
    </xf>
    <xf numFmtId="0" fontId="9" fillId="13" borderId="3" applyAlignment="1" pivotButton="0" quotePrefix="0" xfId="5">
      <alignment horizontal="centerContinuous"/>
    </xf>
    <xf numFmtId="0" fontId="10" fillId="13" borderId="3" applyAlignment="1" pivotButton="0" quotePrefix="0" xfId="5">
      <alignment horizontal="centerContinuous"/>
    </xf>
    <xf numFmtId="0" fontId="14" fillId="0" borderId="0" applyAlignment="1" pivotButton="0" quotePrefix="0" xfId="5">
      <alignment horizontal="center"/>
    </xf>
    <xf numFmtId="0" fontId="8" fillId="0" borderId="0" applyAlignment="1" pivotButton="0" quotePrefix="0" xfId="5">
      <alignment horizontal="center"/>
    </xf>
    <xf numFmtId="1" fontId="14" fillId="0" borderId="0" applyAlignment="1" pivotButton="0" quotePrefix="0" xfId="5">
      <alignment horizontal="center"/>
    </xf>
    <xf numFmtId="0" fontId="8" fillId="0" borderId="3" pivotButton="0" quotePrefix="0" xfId="5"/>
    <xf numFmtId="165" fontId="8" fillId="0" borderId="3" applyAlignment="1" pivotButton="0" quotePrefix="0" xfId="5">
      <alignment horizontal="center"/>
    </xf>
    <xf numFmtId="165" fontId="8" fillId="0" borderId="0" applyAlignment="1" pivotButton="0" quotePrefix="0" xfId="5">
      <alignment horizontal="center"/>
    </xf>
    <xf numFmtId="0" fontId="8" fillId="0" borderId="5" pivotButton="0" quotePrefix="0" xfId="5"/>
    <xf numFmtId="174" fontId="8" fillId="14" borderId="6" applyAlignment="1" pivotButton="0" quotePrefix="0" xfId="5">
      <alignment horizontal="center"/>
    </xf>
    <xf numFmtId="174" fontId="8" fillId="14" borderId="7" applyAlignment="1" pivotButton="0" quotePrefix="0" xfId="5">
      <alignment horizontal="center"/>
    </xf>
    <xf numFmtId="170" fontId="14" fillId="0" borderId="0" applyAlignment="1" pivotButton="0" quotePrefix="0" xfId="8">
      <alignment horizontal="center"/>
    </xf>
    <xf numFmtId="0" fontId="8" fillId="0" borderId="8" pivotButton="0" quotePrefix="0" xfId="5"/>
    <xf numFmtId="170" fontId="14" fillId="0" borderId="3" applyAlignment="1" pivotButton="0" quotePrefix="0" xfId="8">
      <alignment horizontal="center"/>
    </xf>
    <xf numFmtId="170" fontId="14" fillId="0" borderId="9" applyAlignment="1" pivotButton="0" quotePrefix="0" xfId="8">
      <alignment horizontal="center"/>
    </xf>
    <xf numFmtId="174" fontId="8" fillId="0" borderId="5" pivotButton="0" quotePrefix="0" xfId="5"/>
    <xf numFmtId="0" fontId="8" fillId="0" borderId="6" pivotButton="0" quotePrefix="0" xfId="5"/>
    <xf numFmtId="0" fontId="8" fillId="0" borderId="7" pivotButton="0" quotePrefix="0" xfId="5"/>
    <xf numFmtId="170" fontId="8" fillId="0" borderId="3" applyAlignment="1" pivotButton="0" quotePrefix="0" xfId="8">
      <alignment horizontal="center"/>
    </xf>
    <xf numFmtId="0" fontId="8" fillId="0" borderId="9" pivotButton="0" quotePrefix="0" xfId="5"/>
    <xf numFmtId="170" fontId="8" fillId="0" borderId="9" applyAlignment="1" pivotButton="0" quotePrefix="0" xfId="8">
      <alignment horizontal="center"/>
    </xf>
    <xf numFmtId="170" fontId="8" fillId="14" borderId="6" applyAlignment="1" pivotButton="0" quotePrefix="0" xfId="5">
      <alignment horizontal="center"/>
    </xf>
    <xf numFmtId="170" fontId="8" fillId="14" borderId="7" applyAlignment="1" pivotButton="0" quotePrefix="0" xfId="5">
      <alignment horizontal="center"/>
    </xf>
    <xf numFmtId="174" fontId="8" fillId="0" borderId="3" applyAlignment="1" pivotButton="0" quotePrefix="0" xfId="5">
      <alignment horizontal="center"/>
    </xf>
    <xf numFmtId="174" fontId="8" fillId="0" borderId="9" applyAlignment="1" pivotButton="0" quotePrefix="0" xfId="5">
      <alignment horizontal="center"/>
    </xf>
    <xf numFmtId="174" fontId="8" fillId="0" borderId="10" applyAlignment="1" pivotButton="0" quotePrefix="0" xfId="5">
      <alignment horizontal="left"/>
    </xf>
    <xf numFmtId="174" fontId="8" fillId="14" borderId="11" applyAlignment="1" pivotButton="0" quotePrefix="0" xfId="5">
      <alignment horizontal="center"/>
    </xf>
    <xf numFmtId="174" fontId="8" fillId="14" borderId="12" applyAlignment="1" pivotButton="0" quotePrefix="0" xfId="5">
      <alignment horizontal="center"/>
    </xf>
    <xf numFmtId="174" fontId="8" fillId="0" borderId="5" applyAlignment="1" pivotButton="0" quotePrefix="0" xfId="5">
      <alignment horizontal="left"/>
    </xf>
    <xf numFmtId="174" fontId="8" fillId="0" borderId="6" applyAlignment="1" pivotButton="0" quotePrefix="0" xfId="5">
      <alignment horizontal="center"/>
    </xf>
    <xf numFmtId="174" fontId="8" fillId="0" borderId="7" applyAlignment="1" pivotButton="0" quotePrefix="0" xfId="5">
      <alignment horizontal="center"/>
    </xf>
    <xf numFmtId="174" fontId="8" fillId="0" borderId="13" applyAlignment="1" pivotButton="0" quotePrefix="0" xfId="5">
      <alignment horizontal="left"/>
    </xf>
    <xf numFmtId="174" fontId="8" fillId="14" borderId="0" applyAlignment="1" pivotButton="0" quotePrefix="0" xfId="5">
      <alignment horizontal="center"/>
    </xf>
    <xf numFmtId="174" fontId="8" fillId="14" borderId="14" applyAlignment="1" pivotButton="0" quotePrefix="0" xfId="5">
      <alignment horizontal="center"/>
    </xf>
    <xf numFmtId="174" fontId="8" fillId="0" borderId="8" applyAlignment="1" pivotButton="0" quotePrefix="0" xfId="5">
      <alignment horizontal="left"/>
    </xf>
    <xf numFmtId="174" fontId="8" fillId="14" borderId="3" applyAlignment="1" pivotButton="0" quotePrefix="0" xfId="5">
      <alignment horizontal="center"/>
    </xf>
    <xf numFmtId="174" fontId="8" fillId="14" borderId="9" applyAlignment="1" pivotButton="0" quotePrefix="0" xfId="5">
      <alignment horizontal="center"/>
    </xf>
    <xf numFmtId="174" fontId="8" fillId="0" borderId="0" applyAlignment="1" pivotButton="0" quotePrefix="0" xfId="5">
      <alignment horizontal="center"/>
    </xf>
    <xf numFmtId="174" fontId="8" fillId="0" borderId="15" applyAlignment="1" pivotButton="0" quotePrefix="0" xfId="5">
      <alignment horizontal="center"/>
    </xf>
    <xf numFmtId="0" fontId="8" fillId="0" borderId="13" pivotButton="0" quotePrefix="0" xfId="5"/>
    <xf numFmtId="0" fontId="8" fillId="0" borderId="14" pivotButton="0" quotePrefix="0" xfId="5"/>
    <xf numFmtId="174" fontId="2" fillId="0" borderId="0" applyAlignment="1" pivotButton="0" quotePrefix="0" xfId="5">
      <alignment horizontal="center"/>
    </xf>
    <xf numFmtId="174" fontId="2" fillId="0" borderId="14" applyAlignment="1" pivotButton="0" quotePrefix="0" xfId="5">
      <alignment horizontal="center"/>
    </xf>
    <xf numFmtId="170" fontId="5" fillId="2" borderId="3" applyAlignment="1" pivotButton="0" quotePrefix="0" xfId="8">
      <alignment horizontal="center"/>
    </xf>
    <xf numFmtId="170" fontId="5" fillId="2" borderId="9" applyAlignment="1" pivotButton="0" quotePrefix="0" xfId="8">
      <alignment horizontal="center"/>
    </xf>
    <xf numFmtId="0" fontId="14" fillId="0" borderId="10" pivotButton="0" quotePrefix="0" xfId="5"/>
    <xf numFmtId="170" fontId="14" fillId="14" borderId="11" applyAlignment="1" pivotButton="0" quotePrefix="0" xfId="5">
      <alignment horizontal="center"/>
    </xf>
    <xf numFmtId="170" fontId="14" fillId="0" borderId="11" applyAlignment="1" pivotButton="0" quotePrefix="0" xfId="8">
      <alignment horizontal="center"/>
    </xf>
    <xf numFmtId="170" fontId="14" fillId="0" borderId="12" applyAlignment="1" pivotButton="0" quotePrefix="0" xfId="8">
      <alignment horizontal="center"/>
    </xf>
    <xf numFmtId="170" fontId="14" fillId="0" borderId="0" applyAlignment="1" pivotButton="0" quotePrefix="0" xfId="5">
      <alignment horizontal="center"/>
    </xf>
    <xf numFmtId="177" fontId="8" fillId="0" borderId="0" applyAlignment="1" pivotButton="0" quotePrefix="0" xfId="7">
      <alignment horizontal="center" vertical="center"/>
    </xf>
    <xf numFmtId="174" fontId="14" fillId="0" borderId="0" applyAlignment="1" pivotButton="0" quotePrefix="0" xfId="5">
      <alignment horizontal="center"/>
    </xf>
    <xf numFmtId="174" fontId="17" fillId="0" borderId="16" applyAlignment="1" pivotButton="0" quotePrefix="0" xfId="9">
      <alignment horizontal="center"/>
    </xf>
    <xf numFmtId="0" fontId="8" fillId="0" borderId="0" applyAlignment="1" pivotButton="0" quotePrefix="0" xfId="5">
      <alignment horizontal="left" indent="1"/>
    </xf>
    <xf numFmtId="40" fontId="8" fillId="0" borderId="0" applyAlignment="1" pivotButton="0" quotePrefix="0" xfId="5">
      <alignment horizontal="center"/>
    </xf>
    <xf numFmtId="40" fontId="17" fillId="0" borderId="16" applyAlignment="1" pivotButton="0" quotePrefix="0" xfId="9">
      <alignment horizontal="center"/>
    </xf>
    <xf numFmtId="10" fontId="8" fillId="0" borderId="0" pivotButton="0" quotePrefix="0" xfId="5"/>
    <xf numFmtId="174" fontId="14" fillId="0" borderId="0" pivotButton="0" quotePrefix="0" xfId="5"/>
    <xf numFmtId="175" fontId="8" fillId="0" borderId="0" pivotButton="0" quotePrefix="0" xfId="5"/>
    <xf numFmtId="0" fontId="4" fillId="11" borderId="5" pivotButton="0" quotePrefix="0" xfId="5"/>
    <xf numFmtId="170" fontId="2" fillId="11" borderId="7" applyAlignment="1" pivotButton="0" quotePrefix="0" xfId="5">
      <alignment horizontal="center"/>
    </xf>
    <xf numFmtId="0" fontId="4" fillId="11" borderId="6" pivotButton="0" quotePrefix="0" xfId="5"/>
    <xf numFmtId="0" fontId="2" fillId="11" borderId="6" pivotButton="0" quotePrefix="0" xfId="5"/>
    <xf numFmtId="0" fontId="4" fillId="11" borderId="17" pivotButton="0" quotePrefix="0" xfId="5"/>
    <xf numFmtId="170" fontId="2" fillId="11" borderId="18" applyAlignment="1" pivotButton="0" quotePrefix="0" xfId="5">
      <alignment horizontal="center"/>
    </xf>
    <xf numFmtId="0" fontId="2" fillId="11" borderId="18" pivotButton="0" quotePrefix="0" xfId="5"/>
    <xf numFmtId="0" fontId="2" fillId="11" borderId="19" pivotButton="0" quotePrefix="0" xfId="5"/>
    <xf numFmtId="0" fontId="14" fillId="0" borderId="13" applyAlignment="1" pivotButton="0" quotePrefix="0" xfId="5">
      <alignment horizontal="left" indent="1"/>
    </xf>
    <xf numFmtId="174" fontId="8" fillId="0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left" indent="1"/>
    </xf>
    <xf numFmtId="0" fontId="8" fillId="0" borderId="13" applyAlignment="1" pivotButton="0" quotePrefix="0" xfId="5">
      <alignment horizontal="left" indent="1"/>
    </xf>
    <xf numFmtId="174" fontId="2" fillId="14" borderId="14" applyAlignment="1" pivotButton="0" quotePrefix="0" xfId="5">
      <alignment horizontal="center"/>
    </xf>
    <xf numFmtId="170" fontId="18" fillId="2" borderId="14" applyAlignment="1" pivotButton="0" quotePrefix="0" xfId="5">
      <alignment horizontal="center"/>
    </xf>
    <xf numFmtId="0" fontId="19" fillId="0" borderId="0" applyAlignment="1" pivotButton="0" quotePrefix="0" xfId="5">
      <alignment horizontal="left" indent="1"/>
    </xf>
    <xf numFmtId="178" fontId="2" fillId="14" borderId="14" applyAlignment="1" pivotButton="0" quotePrefix="0" xfId="6">
      <alignment horizontal="center"/>
    </xf>
    <xf numFmtId="170" fontId="4" fillId="0" borderId="20" applyAlignment="1" pivotButton="0" quotePrefix="0" xfId="0">
      <alignment horizontal="center"/>
    </xf>
    <xf numFmtId="0" fontId="8" fillId="0" borderId="3" applyAlignment="1" pivotButton="0" quotePrefix="0" xfId="5">
      <alignment horizontal="left" indent="1"/>
    </xf>
    <xf numFmtId="0" fontId="8" fillId="0" borderId="9" applyAlignment="1" pivotButton="0" quotePrefix="0" xfId="5">
      <alignment horizontal="right" indent="1"/>
    </xf>
    <xf numFmtId="174" fontId="14" fillId="0" borderId="14" applyAlignment="1" pivotButton="0" quotePrefix="0" xfId="5">
      <alignment horizontal="center"/>
    </xf>
    <xf numFmtId="0" fontId="8" fillId="0" borderId="3" applyAlignment="1" pivotButton="0" quotePrefix="0" xfId="5">
      <alignment horizontal="right"/>
    </xf>
    <xf numFmtId="179" fontId="13" fillId="2" borderId="21" pivotButton="0" quotePrefix="0" xfId="5"/>
    <xf numFmtId="178" fontId="13" fillId="2" borderId="22" pivotButton="0" quotePrefix="0" xfId="10"/>
    <xf numFmtId="175" fontId="8" fillId="0" borderId="14" applyAlignment="1" pivotButton="0" quotePrefix="0" xfId="5">
      <alignment horizontal="right" indent="1"/>
    </xf>
    <xf numFmtId="179" fontId="13" fillId="2" borderId="23" pivotButton="0" quotePrefix="0" xfId="5"/>
    <xf numFmtId="178" fontId="13" fillId="2" borderId="24" pivotButton="0" quotePrefix="0" xfId="10"/>
    <xf numFmtId="174" fontId="8" fillId="0" borderId="14" applyAlignment="1" pivotButton="0" quotePrefix="0" xfId="5">
      <alignment horizontal="center"/>
    </xf>
    <xf numFmtId="179" fontId="13" fillId="2" borderId="25" pivotButton="0" quotePrefix="0" xfId="5"/>
    <xf numFmtId="178" fontId="13" fillId="2" borderId="26" pivotButton="0" quotePrefix="0" xfId="10"/>
    <xf numFmtId="175" fontId="8" fillId="0" borderId="9" applyAlignment="1" pivotButton="0" quotePrefix="0" xfId="5">
      <alignment horizontal="right" indent="1"/>
    </xf>
    <xf numFmtId="180" fontId="13" fillId="2" borderId="14" applyAlignment="1" pivotButton="0" quotePrefix="0" xfId="5">
      <alignment horizontal="center"/>
    </xf>
    <xf numFmtId="181" fontId="8" fillId="0" borderId="0" applyAlignment="1" pivotButton="0" quotePrefix="0" xfId="5">
      <alignment horizontal="right"/>
    </xf>
    <xf numFmtId="182" fontId="8" fillId="0" borderId="14" applyAlignment="1" pivotButton="0" quotePrefix="0" xfId="5">
      <alignment horizontal="right" indent="1"/>
    </xf>
    <xf numFmtId="0" fontId="8" fillId="0" borderId="0" applyAlignment="1" pivotButton="0" quotePrefix="0" xfId="5">
      <alignment horizontal="right"/>
    </xf>
    <xf numFmtId="174" fontId="20" fillId="0" borderId="0" pivotButton="0" quotePrefix="0" xfId="5"/>
    <xf numFmtId="174" fontId="8" fillId="0" borderId="14" pivotButton="0" quotePrefix="0" xfId="5"/>
    <xf numFmtId="178" fontId="14" fillId="0" borderId="27" applyAlignment="1" pivotButton="0" quotePrefix="0" xfId="5">
      <alignment horizontal="center"/>
    </xf>
    <xf numFmtId="179" fontId="13" fillId="2" borderId="28" applyAlignment="1" pivotButton="0" quotePrefix="0" xfId="5">
      <alignment horizontal="right" indent="1"/>
    </xf>
    <xf numFmtId="0" fontId="8" fillId="0" borderId="14" applyAlignment="1" pivotButton="0" quotePrefix="0" xfId="5">
      <alignment horizontal="right" indent="1"/>
    </xf>
    <xf numFmtId="178" fontId="14" fillId="0" borderId="14" applyAlignment="1" pivotButton="0" quotePrefix="0" xfId="5">
      <alignment horizontal="center"/>
    </xf>
    <xf numFmtId="179" fontId="13" fillId="2" borderId="29" applyAlignment="1" pivotButton="0" quotePrefix="0" xfId="5">
      <alignment horizontal="right" indent="1"/>
    </xf>
    <xf numFmtId="37" fontId="13" fillId="2" borderId="14" applyAlignment="1" pivotButton="0" quotePrefix="0" xfId="5">
      <alignment horizontal="right" indent="1"/>
    </xf>
    <xf numFmtId="0" fontId="14" fillId="0" borderId="0" applyAlignment="1" pivotButton="0" quotePrefix="0" xfId="5">
      <alignment horizontal="right"/>
    </xf>
    <xf numFmtId="174" fontId="14" fillId="0" borderId="14" applyAlignment="1" pivotButton="0" quotePrefix="0" xfId="11">
      <alignment horizontal="right" indent="1"/>
    </xf>
    <xf numFmtId="0" fontId="8" fillId="0" borderId="8" applyAlignment="1" pivotButton="0" quotePrefix="0" xfId="5">
      <alignment horizontal="left" indent="1"/>
    </xf>
    <xf numFmtId="170" fontId="8" fillId="0" borderId="9" applyAlignment="1" pivotButton="0" quotePrefix="0" xfId="5">
      <alignment horizontal="right" indent="1"/>
    </xf>
    <xf numFmtId="0" fontId="4" fillId="11" borderId="2" pivotButton="0" quotePrefix="0" xfId="5"/>
    <xf numFmtId="170" fontId="2" fillId="11" borderId="2" applyAlignment="1" pivotButton="0" quotePrefix="0" xfId="5">
      <alignment horizontal="center"/>
    </xf>
    <xf numFmtId="0" fontId="2" fillId="11" borderId="2" pivotButton="0" quotePrefix="0" xfId="5"/>
    <xf numFmtId="0" fontId="14" fillId="0" borderId="3" pivotButton="0" quotePrefix="0" xfId="5"/>
    <xf numFmtId="170" fontId="13" fillId="2" borderId="0" applyAlignment="1" pivotButton="0" quotePrefix="0" xfId="5">
      <alignment horizontal="center"/>
    </xf>
    <xf numFmtId="0" fontId="14" fillId="0" borderId="3" applyAlignment="1" pivotButton="0" quotePrefix="0" xfId="5">
      <alignment horizontal="centerContinuous"/>
    </xf>
    <xf numFmtId="0" fontId="14" fillId="0" borderId="10" applyAlignment="1" pivotButton="0" quotePrefix="0" xfId="5">
      <alignment horizontal="centerContinuous"/>
    </xf>
    <xf numFmtId="0" fontId="14" fillId="0" borderId="11" applyAlignment="1" pivotButton="0" quotePrefix="0" xfId="5">
      <alignment horizontal="centerContinuous"/>
    </xf>
    <xf numFmtId="0" fontId="8" fillId="0" borderId="11" applyAlignment="1" pivotButton="0" quotePrefix="0" xfId="5">
      <alignment horizontal="right"/>
    </xf>
    <xf numFmtId="174" fontId="8" fillId="0" borderId="0" pivotButton="0" quotePrefix="0" xfId="5"/>
    <xf numFmtId="9" fontId="8" fillId="0" borderId="0" pivotButton="0" quotePrefix="0" xfId="5"/>
    <xf numFmtId="183" fontId="8" fillId="0" borderId="0" applyAlignment="1" pivotButton="0" quotePrefix="0" xfId="5">
      <alignment horizontal="center"/>
    </xf>
    <xf numFmtId="174" fontId="8" fillId="0" borderId="0" applyAlignment="1" pivotButton="0" quotePrefix="0" xfId="5">
      <alignment horizontal="right"/>
    </xf>
    <xf numFmtId="184" fontId="8" fillId="0" borderId="0" pivotButton="0" quotePrefix="0" xfId="5"/>
    <xf numFmtId="174" fontId="19" fillId="0" borderId="0" applyAlignment="1" pivotButton="0" quotePrefix="0" xfId="5">
      <alignment horizontal="right"/>
    </xf>
    <xf numFmtId="0" fontId="19" fillId="0" borderId="0" applyAlignment="1" pivotButton="0" quotePrefix="0" xfId="5">
      <alignment horizontal="right"/>
    </xf>
    <xf numFmtId="39" fontId="13" fillId="2" borderId="0" applyAlignment="1" pivotButton="0" quotePrefix="0" xfId="5">
      <alignment horizontal="center"/>
    </xf>
    <xf numFmtId="0" fontId="14" fillId="0" borderId="0" pivotButton="0" quotePrefix="1" xfId="5"/>
    <xf numFmtId="0" fontId="14" fillId="0" borderId="3" applyAlignment="1" pivotButton="0" quotePrefix="0" xfId="5">
      <alignment horizontal="left" wrapText="1"/>
    </xf>
    <xf numFmtId="0" fontId="14" fillId="0" borderId="3" applyAlignment="1" pivotButton="0" quotePrefix="0" xfId="5">
      <alignment horizontal="center" wrapText="1"/>
    </xf>
    <xf numFmtId="39" fontId="8" fillId="0" borderId="0" applyAlignment="1" pivotButton="0" quotePrefix="0" xfId="5">
      <alignment horizontal="center"/>
    </xf>
    <xf numFmtId="178" fontId="8" fillId="0" borderId="0" applyAlignment="1" pivotButton="0" quotePrefix="0" xfId="5">
      <alignment horizontal="center"/>
    </xf>
    <xf numFmtId="10" fontId="8" fillId="0" borderId="0" applyAlignment="1" pivotButton="0" quotePrefix="0" xfId="5">
      <alignment horizontal="center"/>
    </xf>
    <xf numFmtId="2" fontId="8" fillId="0" borderId="0" applyAlignment="1" pivotButton="0" quotePrefix="0" xfId="5">
      <alignment horizontal="center"/>
    </xf>
    <xf numFmtId="39" fontId="13" fillId="2" borderId="0" applyAlignment="1" pivotButton="0" quotePrefix="0" xfId="5">
      <alignment horizontal="left"/>
    </xf>
    <xf numFmtId="178" fontId="13" fillId="2" borderId="0" applyAlignment="1" pivotButton="0" quotePrefix="0" xfId="5">
      <alignment horizontal="center"/>
    </xf>
    <xf numFmtId="174" fontId="13" fillId="2" borderId="0" applyAlignment="1" pivotButton="0" quotePrefix="0" xfId="5">
      <alignment horizontal="center"/>
    </xf>
    <xf numFmtId="10" fontId="13" fillId="2" borderId="0" applyAlignment="1" pivotButton="0" quotePrefix="0" xfId="5">
      <alignment horizontal="center"/>
    </xf>
    <xf numFmtId="39" fontId="13" fillId="2" borderId="3" applyAlignment="1" pivotButton="0" quotePrefix="0" xfId="5">
      <alignment horizontal="left"/>
    </xf>
    <xf numFmtId="39" fontId="13" fillId="2" borderId="3" applyAlignment="1" pivotButton="0" quotePrefix="0" xfId="5">
      <alignment horizontal="center"/>
    </xf>
    <xf numFmtId="178" fontId="13" fillId="2" borderId="3" applyAlignment="1" pivotButton="0" quotePrefix="0" xfId="5">
      <alignment horizontal="center"/>
    </xf>
    <xf numFmtId="174" fontId="13" fillId="2" borderId="3" applyAlignment="1" pivotButton="0" quotePrefix="0" xfId="5">
      <alignment horizontal="center"/>
    </xf>
    <xf numFmtId="10" fontId="8" fillId="0" borderId="3" applyAlignment="1" pivotButton="0" quotePrefix="0" xfId="5">
      <alignment horizontal="center"/>
    </xf>
    <xf numFmtId="10" fontId="13" fillId="2" borderId="3" applyAlignment="1" pivotButton="0" quotePrefix="0" xfId="5">
      <alignment horizontal="center"/>
    </xf>
    <xf numFmtId="39" fontId="8" fillId="0" borderId="3" applyAlignment="1" pivotButton="0" quotePrefix="0" xfId="5">
      <alignment horizontal="center"/>
    </xf>
    <xf numFmtId="39" fontId="14" fillId="0" borderId="0" applyAlignment="1" pivotButton="0" quotePrefix="0" xfId="5">
      <alignment horizontal="right"/>
    </xf>
    <xf numFmtId="39" fontId="14" fillId="0" borderId="30" applyAlignment="1" pivotButton="0" quotePrefix="0" xfId="5">
      <alignment horizontal="center"/>
    </xf>
    <xf numFmtId="164" fontId="8" fillId="8" borderId="0" applyAlignment="1" pivotButton="0" quotePrefix="0" xfId="0">
      <alignment horizontal="center"/>
    </xf>
    <xf numFmtId="0" fontId="4" fillId="0" borderId="0" applyAlignment="1" pivotButton="0" quotePrefix="0" xfId="2">
      <alignment horizontal="center"/>
    </xf>
    <xf numFmtId="9" fontId="5" fillId="2" borderId="0" applyAlignment="1" pivotButton="0" quotePrefix="0" xfId="3">
      <alignment horizontal="center"/>
    </xf>
    <xf numFmtId="180" fontId="2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horizontal="center" vertical="center"/>
    </xf>
    <xf numFmtId="170" fontId="2" fillId="0" borderId="0" applyAlignment="1" pivotButton="0" quotePrefix="0" xfId="0">
      <alignment horizontal="center" vertical="center"/>
    </xf>
    <xf numFmtId="170" fontId="2" fillId="0" borderId="0" applyAlignment="1" pivotButton="0" quotePrefix="0" xfId="3">
      <alignment horizontal="center" vertical="center"/>
    </xf>
    <xf numFmtId="18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71" fontId="2" fillId="0" borderId="0" applyAlignment="1" pivotButton="0" quotePrefix="0" xfId="0">
      <alignment horizontal="center" vertical="center"/>
    </xf>
    <xf numFmtId="10" fontId="4" fillId="0" borderId="0" applyAlignment="1" pivotButton="0" quotePrefix="0" xfId="3">
      <alignment horizontal="center"/>
    </xf>
    <xf numFmtId="10" fontId="4" fillId="0" borderId="0" applyAlignment="1" pivotButton="0" quotePrefix="0" xfId="2">
      <alignment horizontal="center"/>
    </xf>
    <xf numFmtId="170" fontId="22" fillId="9" borderId="0" pivotButton="0" quotePrefix="0" xfId="1"/>
    <xf numFmtId="10" fontId="5" fillId="2" borderId="0" applyAlignment="1" pivotButton="0" quotePrefix="0" xfId="0">
      <alignment horizontal="center"/>
    </xf>
    <xf numFmtId="9" fontId="5" fillId="4" borderId="0" applyAlignment="1" pivotButton="0" quotePrefix="0" xfId="3">
      <alignment horizontal="center"/>
    </xf>
    <xf numFmtId="0" fontId="6" fillId="6" borderId="0" applyAlignment="1" pivotButton="0" quotePrefix="0" xfId="1">
      <alignment horizont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9" fontId="2" fillId="0" borderId="0" applyAlignment="1" pivotButton="0" quotePrefix="0" xfId="3">
      <alignment vertical="center"/>
    </xf>
    <xf numFmtId="180" fontId="2" fillId="0" borderId="0" applyAlignment="1" pivotButton="0" quotePrefix="0" xfId="0">
      <alignment vertical="center"/>
    </xf>
    <xf numFmtId="170" fontId="2" fillId="0" borderId="0" applyAlignment="1" pivotButton="0" quotePrefix="0" xfId="3">
      <alignment vertical="center"/>
    </xf>
    <xf numFmtId="164" fontId="2" fillId="0" borderId="0" applyAlignment="1" pivotButton="0" quotePrefix="0" xfId="0">
      <alignment vertical="center"/>
    </xf>
    <xf numFmtId="9" fontId="2" fillId="0" borderId="0" applyAlignment="1" pivotButton="0" quotePrefix="0" xfId="0">
      <alignment vertical="center"/>
    </xf>
    <xf numFmtId="17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1" xfId="0">
      <alignment horizontal="center"/>
    </xf>
    <xf numFmtId="168" fontId="2" fillId="5" borderId="0" applyAlignment="1" pivotButton="0" quotePrefix="0" xfId="2">
      <alignment horizontal="center"/>
    </xf>
    <xf numFmtId="164" fontId="2" fillId="0" borderId="0" pivotButton="0" quotePrefix="0" xfId="0"/>
    <xf numFmtId="9" fontId="2" fillId="0" borderId="0" applyAlignment="1" pivotButton="0" quotePrefix="0" xfId="3">
      <alignment horizontal="left"/>
    </xf>
    <xf numFmtId="9" fontId="2" fillId="0" borderId="0" pivotButton="0" quotePrefix="0" xfId="3"/>
    <xf numFmtId="0" fontId="15" fillId="12" borderId="0" applyAlignment="1" pivotButton="0" quotePrefix="0" xfId="5">
      <alignment horizontal="center" wrapText="1"/>
    </xf>
    <xf numFmtId="0" fontId="8" fillId="0" borderId="0" pivotButton="0" quotePrefix="0" xfId="5"/>
    <xf numFmtId="170" fontId="5" fillId="16" borderId="0" applyAlignment="1" pivotButton="0" quotePrefix="0" xfId="0">
      <alignment horizontal="center"/>
    </xf>
    <xf numFmtId="164" fontId="2" fillId="16" borderId="0" applyAlignment="1" pivotButton="0" quotePrefix="0" xfId="0">
      <alignment horizontal="center"/>
    </xf>
    <xf numFmtId="0" fontId="23" fillId="13" borderId="3" applyAlignment="1" pivotButton="0" quotePrefix="0" xfId="5">
      <alignment horizontal="centerContinuous"/>
    </xf>
    <xf numFmtId="1" fontId="23" fillId="0" borderId="0" applyAlignment="1" pivotButton="0" quotePrefix="0" xfId="5">
      <alignment horizontal="center"/>
    </xf>
    <xf numFmtId="0" fontId="24" fillId="0" borderId="0" pivotButton="0" quotePrefix="0" xfId="0"/>
    <xf numFmtId="186" fontId="0" fillId="0" borderId="0" pivotButton="0" quotePrefix="0" xfId="0"/>
    <xf numFmtId="187" fontId="0" fillId="0" borderId="0" pivotButton="0" quotePrefix="0" xfId="0"/>
    <xf numFmtId="0" fontId="25" fillId="0" borderId="0" applyAlignment="1" pivotButton="0" quotePrefix="0" xfId="2">
      <alignment horizontal="center"/>
    </xf>
    <xf numFmtId="168" fontId="25" fillId="5" borderId="0" applyAlignment="1" pivotButton="0" quotePrefix="0" xfId="2">
      <alignment horizontal="center"/>
    </xf>
    <xf numFmtId="186" fontId="0" fillId="0" borderId="0" pivotButton="0" quotePrefix="0" xfId="0"/>
    <xf numFmtId="187" fontId="0" fillId="0" borderId="0" pivotButton="0" quotePrefix="0" xfId="0"/>
    <xf numFmtId="0" fontId="0" fillId="16" borderId="0" pivotButton="0" quotePrefix="0" xfId="0"/>
    <xf numFmtId="3" fontId="0" fillId="0" borderId="0" pivotButton="0" quotePrefix="0" xfId="0"/>
    <xf numFmtId="190" fontId="5" fillId="2" borderId="0" applyAlignment="1" pivotButton="0" quotePrefix="0" xfId="0">
      <alignment horizontal="center"/>
    </xf>
    <xf numFmtId="190" fontId="2" fillId="0" borderId="0" applyAlignment="1" pivotButton="0" quotePrefix="0" xfId="0">
      <alignment horizontal="center"/>
    </xf>
    <xf numFmtId="3" fontId="4" fillId="7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0" fontId="26" fillId="3" borderId="0" pivotButton="0" quotePrefix="0" xfId="1"/>
    <xf numFmtId="170" fontId="4" fillId="7" borderId="0" applyAlignment="1" pivotButton="0" quotePrefix="0" xfId="0">
      <alignment horizontal="center"/>
    </xf>
    <xf numFmtId="170" fontId="4" fillId="0" borderId="0" applyAlignment="1" pivotButton="0" quotePrefix="0" xfId="0">
      <alignment horizontal="center"/>
    </xf>
  </cellXfs>
  <cellStyles count="12">
    <cellStyle name="Normal" xfId="0" builtinId="0"/>
    <cellStyle name="Normal 2" xfId="1"/>
    <cellStyle name="Normal 2 2" xfId="2"/>
    <cellStyle name="Porcentagem" xfId="3" builtinId="5"/>
    <cellStyle name="Separador de milhares 2 17" xfId="4"/>
    <cellStyle name="Normal 2 3" xfId="5"/>
    <cellStyle name="m/d/yy" xfId="6"/>
    <cellStyle name="Normal 4" xfId="7"/>
    <cellStyle name="Porcentagem 3" xfId="8"/>
    <cellStyle name="Output_dcfmodel" xfId="9"/>
    <cellStyle name="Currency 2" xfId="10"/>
    <cellStyle name="Normal [3] 2" xfId="11"/>
  </cellStyles>
  <dxfs count="24"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  <u val="single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None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4"/>
  <sheetViews>
    <sheetView workbookViewId="0">
      <pane xSplit="10" ySplit="4" topLeftCell="K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6" customWidth="1" min="3" max="3"/>
    <col width="7" customWidth="1" min="4" max="4"/>
    <col width="6" customWidth="1" min="5" max="5"/>
    <col width="7" customWidth="1" min="6" max="6"/>
    <col width="8" customWidth="1" min="7" max="7"/>
    <col width="95" customWidth="1" min="8" max="8"/>
    <col width="20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A1" t="inlineStr">
        <is>
          <t>Fator p/ milhões:</t>
        </is>
      </c>
      <c r="B1" t="n">
        <v>1e-06</v>
      </c>
      <c r="D1" t="inlineStr">
        <is>
          <t>Eli Lilly and Company (LLY, CIK 59478) - fonte: SEC EDGAR XBRL (instâncias dos 10-Q/10-K). Moeda: USD. Brutos em USD unidades (fator 0,000001 -&gt; milhões). Colunas = trimestres-CALENDÁRIO (cada fechamento vai para o fim de trimestre mais próximo); ano fiscal termina no trimestre-calendário de dez. Trimestre fiscal 4 (e qualquer trimestre sem 3M publicado) = acumulado do ano menos o acumulado anterior, calculado na extração.</t>
        </is>
      </c>
    </row>
    <row r="2">
      <c r="J2" t="inlineStr">
        <is>
          <t>Trimestre fiscal</t>
        </is>
      </c>
      <c r="K2" t="inlineStr">
        <is>
          <t>FQ1</t>
        </is>
      </c>
      <c r="L2" t="inlineStr">
        <is>
          <t>FQ2</t>
        </is>
      </c>
      <c r="M2" t="inlineStr">
        <is>
          <t>FQ3</t>
        </is>
      </c>
      <c r="N2" t="inlineStr">
        <is>
          <t>FQ4</t>
        </is>
      </c>
      <c r="O2" t="inlineStr">
        <is>
          <t>FQ1</t>
        </is>
      </c>
      <c r="P2" t="inlineStr">
        <is>
          <t>FQ2</t>
        </is>
      </c>
      <c r="Q2" t="inlineStr">
        <is>
          <t>FQ3</t>
        </is>
      </c>
      <c r="R2" t="inlineStr">
        <is>
          <t>FQ4</t>
        </is>
      </c>
      <c r="S2" t="inlineStr">
        <is>
          <t>FQ1</t>
        </is>
      </c>
      <c r="T2" t="inlineStr">
        <is>
          <t>FQ2</t>
        </is>
      </c>
      <c r="U2" t="inlineStr">
        <is>
          <t>FQ3</t>
        </is>
      </c>
      <c r="V2" t="inlineStr">
        <is>
          <t>FQ4</t>
        </is>
      </c>
      <c r="W2" t="inlineStr">
        <is>
          <t>FQ1</t>
        </is>
      </c>
      <c r="X2" t="inlineStr">
        <is>
          <t>FQ2</t>
        </is>
      </c>
      <c r="Y2" t="inlineStr">
        <is>
          <t>FQ3</t>
        </is>
      </c>
      <c r="Z2" t="inlineStr">
        <is>
          <t>FQ4</t>
        </is>
      </c>
      <c r="AA2" t="inlineStr">
        <is>
          <t>FQ1</t>
        </is>
      </c>
      <c r="AB2" t="inlineStr">
        <is>
          <t>FQ2</t>
        </is>
      </c>
      <c r="AC2" t="inlineStr">
        <is>
          <t>FQ3</t>
        </is>
      </c>
      <c r="AD2" t="inlineStr">
        <is>
          <t>FQ4</t>
        </is>
      </c>
      <c r="AE2" t="inlineStr">
        <is>
          <t>FQ1</t>
        </is>
      </c>
      <c r="AF2" t="inlineStr">
        <is>
          <t>FQ2</t>
        </is>
      </c>
      <c r="AG2" t="inlineStr">
        <is>
          <t>FQ3</t>
        </is>
      </c>
      <c r="AH2" t="inlineStr">
        <is>
          <t>FQ4</t>
        </is>
      </c>
      <c r="AI2" t="inlineStr">
        <is>
          <t>FQ1</t>
        </is>
      </c>
      <c r="AJ2" t="inlineStr">
        <is>
          <t>FQ2</t>
        </is>
      </c>
    </row>
    <row r="4">
      <c r="A4" s="254" t="inlineStr">
        <is>
          <t>COD1</t>
        </is>
      </c>
      <c r="B4" s="254" t="inlineStr">
        <is>
          <t>SINAL1</t>
        </is>
      </c>
      <c r="C4" s="254" t="inlineStr">
        <is>
          <t>COD2</t>
        </is>
      </c>
      <c r="D4" s="254" t="inlineStr">
        <is>
          <t>SINAL2</t>
        </is>
      </c>
      <c r="E4" s="254" t="inlineStr">
        <is>
          <t>COD3</t>
        </is>
      </c>
      <c r="F4" s="254" t="inlineStr">
        <is>
          <t>SINAL3</t>
        </is>
      </c>
      <c r="G4" s="254" t="inlineStr">
        <is>
          <t>UNID</t>
        </is>
      </c>
      <c r="H4" s="254" t="inlineStr">
        <is>
          <t>Conta (PT) / origem</t>
        </is>
      </c>
      <c r="I4" s="254" t="inlineStr">
        <is>
          <t>Account (EN)</t>
        </is>
      </c>
      <c r="J4" s="254" t="inlineStr">
        <is>
          <t>ORIGEM</t>
        </is>
      </c>
      <c r="K4" s="254" t="inlineStr">
        <is>
          <t>1Q20</t>
        </is>
      </c>
      <c r="L4" s="254" t="inlineStr">
        <is>
          <t>2Q20</t>
        </is>
      </c>
      <c r="M4" s="254" t="inlineStr">
        <is>
          <t>3Q20</t>
        </is>
      </c>
      <c r="N4" s="254" t="inlineStr">
        <is>
          <t>4Q20</t>
        </is>
      </c>
      <c r="O4" s="254" t="inlineStr">
        <is>
          <t>1Q21</t>
        </is>
      </c>
      <c r="P4" s="254" t="inlineStr">
        <is>
          <t>2Q21</t>
        </is>
      </c>
      <c r="Q4" s="254" t="inlineStr">
        <is>
          <t>3Q21</t>
        </is>
      </c>
      <c r="R4" s="254" t="inlineStr">
        <is>
          <t>4Q21</t>
        </is>
      </c>
      <c r="S4" s="254" t="inlineStr">
        <is>
          <t>1Q22</t>
        </is>
      </c>
      <c r="T4" s="254" t="inlineStr">
        <is>
          <t>2Q22</t>
        </is>
      </c>
      <c r="U4" s="254" t="inlineStr">
        <is>
          <t>3Q22</t>
        </is>
      </c>
      <c r="V4" s="254" t="inlineStr">
        <is>
          <t>4Q22</t>
        </is>
      </c>
      <c r="W4" s="254" t="inlineStr">
        <is>
          <t>1Q23</t>
        </is>
      </c>
      <c r="X4" s="254" t="inlineStr">
        <is>
          <t>2Q23</t>
        </is>
      </c>
      <c r="Y4" s="254" t="inlineStr">
        <is>
          <t>3Q23</t>
        </is>
      </c>
      <c r="Z4" s="254" t="inlineStr">
        <is>
          <t>4Q23</t>
        </is>
      </c>
      <c r="AA4" s="254" t="inlineStr">
        <is>
          <t>1Q24</t>
        </is>
      </c>
      <c r="AB4" s="254" t="inlineStr">
        <is>
          <t>2Q24</t>
        </is>
      </c>
      <c r="AC4" s="254" t="inlineStr">
        <is>
          <t>3Q24</t>
        </is>
      </c>
      <c r="AD4" s="254" t="inlineStr">
        <is>
          <t>4Q24</t>
        </is>
      </c>
      <c r="AE4" s="254" t="inlineStr">
        <is>
          <t>1Q25</t>
        </is>
      </c>
      <c r="AF4" s="254" t="inlineStr">
        <is>
          <t>2Q25</t>
        </is>
      </c>
      <c r="AG4" s="254" t="inlineStr">
        <is>
          <t>3Q25</t>
        </is>
      </c>
      <c r="AH4" s="254" t="inlineStr">
        <is>
          <t>4Q25</t>
        </is>
      </c>
      <c r="AI4" s="254" t="inlineStr">
        <is>
          <t>1Q26</t>
        </is>
      </c>
      <c r="AJ4" s="254" t="inlineStr">
        <is>
          <t>2Q26</t>
        </is>
      </c>
    </row>
    <row r="5">
      <c r="H5" s="254" t="inlineStr">
        <is>
          <t>DRE - trimestre isolado (USD). Brutos SEC XBRL; linhas "derivada" são fórmulas nesta aba</t>
        </is>
      </c>
    </row>
    <row r="6">
      <c r="A6" t="n">
        <v>1</v>
      </c>
      <c r="B6" t="n">
        <v>1</v>
      </c>
      <c r="G6" t="inlineStr">
        <is>
          <t>moeda</t>
        </is>
      </c>
      <c r="H6" t="inlineStr">
        <is>
          <t>Receita [us-gaap:Revenues/RevenueFromContractWithCustomerExcludingAssessedTax]</t>
        </is>
      </c>
      <c r="J6" t="inlineStr">
        <is>
          <t>fonte</t>
        </is>
      </c>
      <c r="K6" s="259" t="n">
        <v>5859800000</v>
      </c>
      <c r="L6" s="259" t="n">
        <v>5499400000</v>
      </c>
      <c r="M6" s="259" t="n">
        <v>5740600000</v>
      </c>
      <c r="N6" s="259" t="n">
        <v>7440000000</v>
      </c>
      <c r="O6" s="259" t="n">
        <v>6805600000</v>
      </c>
      <c r="P6" s="259" t="n">
        <v>6740100000</v>
      </c>
      <c r="Q6" s="259" t="n">
        <v>6772800000</v>
      </c>
      <c r="R6" s="259" t="n">
        <v>7999900000</v>
      </c>
      <c r="S6" s="259" t="n">
        <v>7810000000</v>
      </c>
      <c r="T6" s="259" t="n">
        <v>6488000000</v>
      </c>
      <c r="U6" s="259" t="n">
        <v>6941600000</v>
      </c>
      <c r="V6" s="259" t="n">
        <v>7301800000</v>
      </c>
      <c r="W6" s="259" t="n">
        <v>6960000000</v>
      </c>
      <c r="X6" s="259" t="n">
        <v>8312100000</v>
      </c>
      <c r="Y6" s="259" t="n">
        <v>9498600000</v>
      </c>
      <c r="Z6" s="259" t="n">
        <v>9353400000</v>
      </c>
      <c r="AA6" s="259" t="n">
        <v>8768000000</v>
      </c>
      <c r="AB6" s="259" t="n">
        <v>11302800000</v>
      </c>
      <c r="AC6" s="259" t="n">
        <v>11439100000</v>
      </c>
      <c r="AD6" s="259" t="n">
        <v>13532800000</v>
      </c>
      <c r="AE6" s="259" t="n">
        <v>12729000000</v>
      </c>
      <c r="AF6" s="259" t="n">
        <v>15558000000</v>
      </c>
      <c r="AG6" s="259" t="n">
        <v>17600800000</v>
      </c>
      <c r="AH6" s="259" t="n">
        <v>19292000000</v>
      </c>
      <c r="AI6" s="259" t="n">
        <v>19799000000</v>
      </c>
      <c r="AJ6" s="259" t="n">
        <v>22974000000</v>
      </c>
    </row>
    <row r="7">
      <c r="A7" t="n">
        <v>2</v>
      </c>
      <c r="B7" t="n">
        <v>-1</v>
      </c>
      <c r="G7" t="inlineStr">
        <is>
          <t>moeda</t>
        </is>
      </c>
      <c r="H7" t="inlineStr">
        <is>
          <t>Custo da receita (divulgado positivo) [us-gaap:CostOfRevenue/CostOfGoodsAndServicesSold]</t>
        </is>
      </c>
      <c r="J7" t="inlineStr">
        <is>
          <t>fonte</t>
        </is>
      </c>
      <c r="K7" s="259" t="n">
        <v>1215100000</v>
      </c>
      <c r="L7" s="259" t="n">
        <v>1222000000</v>
      </c>
      <c r="M7" s="259" t="n">
        <v>1326400000</v>
      </c>
      <c r="N7" s="259" t="n">
        <v>1719800000</v>
      </c>
      <c r="O7" s="259" t="n">
        <v>1878600000</v>
      </c>
      <c r="P7" s="259" t="n">
        <v>1953200000</v>
      </c>
      <c r="Q7" s="259" t="n">
        <v>1430800000</v>
      </c>
      <c r="R7" s="259" t="n">
        <v>2050200000</v>
      </c>
      <c r="S7" s="259" t="n">
        <v>2072100000</v>
      </c>
      <c r="T7" s="259" t="n">
        <v>1430500000</v>
      </c>
      <c r="U7" s="259" t="n">
        <v>1579100000</v>
      </c>
      <c r="V7" s="259" t="n">
        <v>1548100000</v>
      </c>
      <c r="W7" s="259" t="n">
        <v>1626700000</v>
      </c>
      <c r="X7" s="259" t="n">
        <v>1807400000</v>
      </c>
      <c r="Y7" s="259" t="n">
        <v>1860100000</v>
      </c>
      <c r="Z7" s="259" t="n">
        <v>1788000000</v>
      </c>
      <c r="AA7" s="259" t="n">
        <v>1673500000</v>
      </c>
      <c r="AB7" s="259" t="n">
        <v>2170200000</v>
      </c>
      <c r="AC7" s="259" t="n">
        <v>2170800000</v>
      </c>
      <c r="AD7" s="259" t="n">
        <v>2403800000</v>
      </c>
      <c r="AE7" s="259" t="n">
        <v>2225000000</v>
      </c>
      <c r="AF7" s="259" t="n">
        <v>2448000000</v>
      </c>
      <c r="AG7" s="259" t="n">
        <v>3008300000</v>
      </c>
      <c r="AH7" s="259" t="n">
        <v>3371700000</v>
      </c>
      <c r="AI7" s="259" t="n">
        <v>3577000000</v>
      </c>
      <c r="AJ7" s="259" t="n">
        <v>3268000000</v>
      </c>
    </row>
    <row r="8">
      <c r="G8" t="inlineStr">
        <is>
          <t>moeda</t>
        </is>
      </c>
      <c r="H8" t="inlineStr">
        <is>
          <t>Lucro operacional [us-gaap:OperatingIncomeLoss]</t>
        </is>
      </c>
      <c r="J8" t="inlineStr">
        <is>
          <t>memoria</t>
        </is>
      </c>
      <c r="K8" s="259" t="n"/>
      <c r="L8" s="259" t="n"/>
      <c r="M8" s="259" t="n"/>
      <c r="N8" s="259" t="n"/>
      <c r="O8" s="259" t="n"/>
      <c r="P8" s="259" t="n"/>
      <c r="Q8" s="259" t="n"/>
      <c r="R8" s="259" t="n"/>
      <c r="S8" s="259" t="n"/>
      <c r="T8" s="259" t="n"/>
      <c r="U8" s="259" t="n"/>
      <c r="V8" s="259" t="n"/>
      <c r="W8" s="259" t="n"/>
      <c r="X8" s="259" t="n"/>
      <c r="Y8" s="259" t="n"/>
      <c r="Z8" s="259" t="n"/>
      <c r="AA8" s="259" t="n"/>
      <c r="AB8" s="259" t="n"/>
      <c r="AC8" s="259" t="n"/>
      <c r="AD8" s="259" t="n"/>
      <c r="AE8" s="259" t="n"/>
      <c r="AF8" s="259" t="n"/>
      <c r="AG8" s="259" t="n"/>
      <c r="AH8" s="259" t="n"/>
      <c r="AI8" s="259" t="n"/>
      <c r="AJ8" s="259" t="n"/>
    </row>
    <row r="9">
      <c r="A9" t="n">
        <v>3</v>
      </c>
      <c r="B9" t="n">
        <v>-1</v>
      </c>
      <c r="G9" t="inlineStr">
        <is>
          <t>moeda</t>
        </is>
      </c>
      <c r="H9" t="inlineStr">
        <is>
          <t>Despesas operacionais = receita - custo - lucro operacional (P&amp;D + SG&amp;A + outras operacionais)</t>
        </is>
      </c>
      <c r="J9" t="inlineStr">
        <is>
          <t>derivada</t>
        </is>
      </c>
      <c r="K9" s="259">
        <f>N(K6)-N(K7)-N(K8)</f>
        <v>4644700000</v>
      </c>
      <c r="L9" s="259">
        <f>N(L6)-N(L7)-N(L8)</f>
        <v>4277400000</v>
      </c>
      <c r="M9" s="259">
        <f>N(M6)-N(M7)-N(M8)</f>
        <v>4414200000</v>
      </c>
      <c r="N9" s="259">
        <f>N(N6)-N(N7)-N(N8)</f>
        <v>5720200000</v>
      </c>
      <c r="O9" s="259">
        <f>N(O6)-N(O7)-N(O8)</f>
        <v>4927000000</v>
      </c>
      <c r="P9" s="259">
        <f>N(P6)-N(P7)-N(P8)</f>
        <v>4786900000</v>
      </c>
      <c r="Q9" s="259">
        <f>N(Q6)-N(Q7)-N(Q8)</f>
        <v>5342000000</v>
      </c>
      <c r="R9" s="259">
        <f>N(R6)-N(R7)-N(R8)</f>
        <v>5949700000</v>
      </c>
      <c r="S9" s="259">
        <f>N(S6)-N(S7)-N(S8)</f>
        <v>5737900000</v>
      </c>
      <c r="T9" s="259">
        <f>N(T6)-N(T7)-N(T8)</f>
        <v>5057500000</v>
      </c>
      <c r="U9" s="259">
        <f>N(U6)-N(U7)-N(U8)</f>
        <v>5362500000</v>
      </c>
      <c r="V9" s="259">
        <f>N(V6)-N(V7)-N(V8)</f>
        <v>5753700000</v>
      </c>
      <c r="W9" s="259">
        <f>N(W6)-N(W7)-N(W8)</f>
        <v>5333300000</v>
      </c>
      <c r="X9" s="259">
        <f>N(X6)-N(X7)-N(X8)</f>
        <v>6504700000</v>
      </c>
      <c r="Y9" s="259">
        <f>N(Y6)-N(Y7)-N(Y8)</f>
        <v>7638500000</v>
      </c>
      <c r="Z9" s="259">
        <f>N(Z6)-N(Z7)-N(Z8)</f>
        <v>7565400000</v>
      </c>
      <c r="AA9" s="259">
        <f>N(AA6)-N(AA7)-N(AA8)</f>
        <v>7094500000</v>
      </c>
      <c r="AB9" s="259">
        <f>N(AB6)-N(AB7)-N(AB8)</f>
        <v>9132600000</v>
      </c>
      <c r="AC9" s="259">
        <f>N(AC6)-N(AC7)-N(AC8)</f>
        <v>9268300000</v>
      </c>
      <c r="AD9" s="259">
        <f>N(AD6)-N(AD7)-N(AD8)</f>
        <v>11129000000</v>
      </c>
      <c r="AE9" s="259">
        <f>N(AE6)-N(AE7)-N(AE8)</f>
        <v>10504000000</v>
      </c>
      <c r="AF9" s="259">
        <f>N(AF6)-N(AF7)-N(AF8)</f>
        <v>13110000000</v>
      </c>
      <c r="AG9" s="259">
        <f>N(AG6)-N(AG7)-N(AG8)</f>
        <v>14592500000</v>
      </c>
      <c r="AH9" s="259">
        <f>N(AH6)-N(AH7)-N(AH8)</f>
        <v>15920300000</v>
      </c>
      <c r="AI9" s="259">
        <f>N(AI6)-N(AI7)-N(AI8)</f>
        <v>16222000000</v>
      </c>
      <c r="AJ9" s="259">
        <f>N(AJ6)-N(AJ7)-N(AJ8)</f>
        <v>19706000000</v>
      </c>
    </row>
    <row r="10">
      <c r="G10" t="inlineStr">
        <is>
          <t>moeda</t>
        </is>
      </c>
      <c r="H10" t="inlineStr">
        <is>
          <t>Lucro antes do IR [us-gaap:IncomeLossFromContinuingOperationsBeforeIncomeTaxesExtraordi]</t>
        </is>
      </c>
      <c r="J10" t="inlineStr">
        <is>
          <t>memoria</t>
        </is>
      </c>
      <c r="K10" s="259" t="n">
        <v>1679900000</v>
      </c>
      <c r="L10" s="259" t="n">
        <v>1643700000</v>
      </c>
      <c r="M10" s="259" t="n">
        <v>1437200000</v>
      </c>
      <c r="N10" s="259" t="n">
        <v>2469100000</v>
      </c>
      <c r="O10" s="259" t="n">
        <v>1476400000</v>
      </c>
      <c r="P10" s="259" t="n">
        <v>1593900000</v>
      </c>
      <c r="Q10" s="259" t="n">
        <v>1245300000</v>
      </c>
      <c r="R10" s="259" t="n">
        <v>1839900000</v>
      </c>
      <c r="S10" s="259" t="n">
        <v>2053600000</v>
      </c>
      <c r="T10" s="259" t="n">
        <v>1090900000</v>
      </c>
      <c r="U10" s="259" t="n">
        <v>1565500000</v>
      </c>
      <c r="V10" s="259" t="n">
        <v>2096400000</v>
      </c>
      <c r="W10" s="259" t="n">
        <v>1529700000</v>
      </c>
      <c r="X10" s="259" t="n">
        <v>2088900000</v>
      </c>
      <c r="Y10" s="259" t="n">
        <v>427200000</v>
      </c>
      <c r="Z10" s="259" t="n">
        <v>2508800000</v>
      </c>
      <c r="AA10" s="259" t="n">
        <v>2536100000</v>
      </c>
      <c r="AB10" s="259" t="n">
        <v>3517200000</v>
      </c>
      <c r="AC10" s="259" t="n">
        <v>1588400000</v>
      </c>
      <c r="AD10" s="259" t="n">
        <v>5038700000</v>
      </c>
      <c r="AE10" s="259" t="n">
        <v>3456000000</v>
      </c>
      <c r="AF10" s="259" t="n">
        <v>6777000000</v>
      </c>
      <c r="AG10" s="259" t="n">
        <v>7232400000</v>
      </c>
      <c r="AH10" s="259" t="n">
        <v>8266200000</v>
      </c>
      <c r="AI10" s="259" t="n">
        <v>8850000000</v>
      </c>
      <c r="AJ10" s="259" t="n">
        <v>9247000000</v>
      </c>
    </row>
    <row r="11">
      <c r="A11" t="n">
        <v>6</v>
      </c>
      <c r="B11" t="n">
        <v>1</v>
      </c>
      <c r="G11" t="inlineStr">
        <is>
          <t>moeda</t>
        </is>
      </c>
      <c r="H11" t="inlineStr">
        <is>
          <t>Resultado não operacional total = lucro antes do IR - lucro operacional</t>
        </is>
      </c>
      <c r="J11" t="inlineStr">
        <is>
          <t>derivada</t>
        </is>
      </c>
      <c r="K11" s="259">
        <f>N(K10)-N(K8)</f>
        <v>1679900000</v>
      </c>
      <c r="L11" s="259">
        <f>N(L10)-N(L8)</f>
        <v>1643700000</v>
      </c>
      <c r="M11" s="259">
        <f>N(M10)-N(M8)</f>
        <v>1437200000</v>
      </c>
      <c r="N11" s="259">
        <f>N(N10)-N(N8)</f>
        <v>2469100000</v>
      </c>
      <c r="O11" s="259">
        <f>N(O10)-N(O8)</f>
        <v>1476400000</v>
      </c>
      <c r="P11" s="259">
        <f>N(P10)-N(P8)</f>
        <v>1593900000</v>
      </c>
      <c r="Q11" s="259">
        <f>N(Q10)-N(Q8)</f>
        <v>1245300000</v>
      </c>
      <c r="R11" s="259">
        <f>N(R10)-N(R8)</f>
        <v>1839900000</v>
      </c>
      <c r="S11" s="259">
        <f>N(S10)-N(S8)</f>
        <v>2053600000</v>
      </c>
      <c r="T11" s="259">
        <f>N(T10)-N(T8)</f>
        <v>1090900000</v>
      </c>
      <c r="U11" s="259">
        <f>N(U10)-N(U8)</f>
        <v>1565500000</v>
      </c>
      <c r="V11" s="259">
        <f>N(V10)-N(V8)</f>
        <v>2096400000</v>
      </c>
      <c r="W11" s="259">
        <f>N(W10)-N(W8)</f>
        <v>1529700000</v>
      </c>
      <c r="X11" s="259">
        <f>N(X10)-N(X8)</f>
        <v>2088900000</v>
      </c>
      <c r="Y11" s="259">
        <f>N(Y10)-N(Y8)</f>
        <v>427200000</v>
      </c>
      <c r="Z11" s="259">
        <f>N(Z10)-N(Z8)</f>
        <v>2508800000</v>
      </c>
      <c r="AA11" s="259">
        <f>N(AA10)-N(AA8)</f>
        <v>2536100000</v>
      </c>
      <c r="AB11" s="259">
        <f>N(AB10)-N(AB8)</f>
        <v>3517200000</v>
      </c>
      <c r="AC11" s="259">
        <f>N(AC10)-N(AC8)</f>
        <v>1588400000</v>
      </c>
      <c r="AD11" s="259">
        <f>N(AD10)-N(AD8)</f>
        <v>5038700000</v>
      </c>
      <c r="AE11" s="259">
        <f>N(AE10)-N(AE8)</f>
        <v>3456000000</v>
      </c>
      <c r="AF11" s="259">
        <f>N(AF10)-N(AF8)</f>
        <v>6777000000</v>
      </c>
      <c r="AG11" s="259">
        <f>N(AG10)-N(AG8)</f>
        <v>7232400000</v>
      </c>
      <c r="AH11" s="259">
        <f>N(AH10)-N(AH8)</f>
        <v>8266200000</v>
      </c>
      <c r="AI11" s="259">
        <f>N(AI10)-N(AI8)</f>
        <v>8850000000</v>
      </c>
      <c r="AJ11" s="259">
        <f>N(AJ10)-N(AJ8)</f>
        <v>9247000000</v>
      </c>
    </row>
    <row r="12">
      <c r="A12" t="n">
        <v>5</v>
      </c>
      <c r="B12" t="n">
        <v>-1</v>
      </c>
      <c r="C12" t="n">
        <v>6</v>
      </c>
      <c r="D12" t="n">
        <v>1</v>
      </c>
      <c r="G12" t="inlineStr">
        <is>
          <t>moeda</t>
        </is>
      </c>
      <c r="H12" t="inlineStr">
        <is>
          <t>Despesa de juros (divulgado positivo): COD1=5 lança; COD2=6 devolve ao não operacional, que já a contém [us-gaap:InterestExpense/InterestExpenseNonoperating]</t>
        </is>
      </c>
      <c r="J12" t="inlineStr">
        <is>
          <t>fonte</t>
        </is>
      </c>
      <c r="K12" s="259" t="n">
        <v>92500000</v>
      </c>
      <c r="L12" s="259" t="n">
        <v>88300000</v>
      </c>
      <c r="M12" s="259" t="n">
        <v>89600000</v>
      </c>
      <c r="N12" s="259" t="n">
        <v>89200000</v>
      </c>
      <c r="O12" s="259" t="n">
        <v>87800000</v>
      </c>
      <c r="P12" s="259" t="n">
        <v>86900000</v>
      </c>
      <c r="Q12" s="259" t="n">
        <v>83600000</v>
      </c>
      <c r="R12" s="259" t="n">
        <v>81400000</v>
      </c>
      <c r="S12" s="259" t="n">
        <v>84900000</v>
      </c>
      <c r="T12" s="259" t="n">
        <v>81200000</v>
      </c>
      <c r="U12" s="259" t="n">
        <v>81500000</v>
      </c>
      <c r="V12" s="259" t="n">
        <v>84000000</v>
      </c>
      <c r="W12" s="259" t="n">
        <v>102800000</v>
      </c>
      <c r="X12" s="259" t="n">
        <v>120300000</v>
      </c>
      <c r="Y12" s="259" t="n">
        <v>124600000</v>
      </c>
      <c r="Z12" s="259" t="n">
        <v>138200000</v>
      </c>
      <c r="AA12" s="259" t="n">
        <v>179600000</v>
      </c>
      <c r="AB12" s="259" t="n">
        <v>183600000</v>
      </c>
      <c r="AC12" s="259" t="n">
        <v>192700000</v>
      </c>
      <c r="AD12" s="259" t="n">
        <v>224700000</v>
      </c>
      <c r="AE12" s="259" t="n">
        <v>243700000</v>
      </c>
      <c r="AF12" s="259" t="n">
        <v>249000000</v>
      </c>
      <c r="AG12" s="259" t="n">
        <v>179600000</v>
      </c>
      <c r="AH12" s="259" t="n">
        <v>222600000</v>
      </c>
      <c r="AI12" s="259" t="n">
        <v>0</v>
      </c>
      <c r="AJ12" s="259" t="n">
        <v>0</v>
      </c>
    </row>
    <row r="13">
      <c r="A13" t="n">
        <v>7</v>
      </c>
      <c r="B13" t="n">
        <v>-1</v>
      </c>
      <c r="G13" t="inlineStr">
        <is>
          <t>moeda</t>
        </is>
      </c>
      <c r="H13" t="inlineStr">
        <is>
          <t>Imposto de renda (divulgado positivo) [us-gaap:IncomeTaxExpenseBenefit]</t>
        </is>
      </c>
      <c r="J13" t="inlineStr">
        <is>
          <t>fonte</t>
        </is>
      </c>
      <c r="K13" s="259" t="n">
        <v>223400000</v>
      </c>
      <c r="L13" s="259" t="n">
        <v>231700000</v>
      </c>
      <c r="M13" s="259" t="n">
        <v>228800000</v>
      </c>
      <c r="N13" s="259" t="n">
        <v>352300000</v>
      </c>
      <c r="O13" s="259" t="n">
        <v>121100000</v>
      </c>
      <c r="P13" s="259" t="n">
        <v>203700000</v>
      </c>
      <c r="Q13" s="259" t="n">
        <v>135200000</v>
      </c>
      <c r="R13" s="259" t="n">
        <v>113800000</v>
      </c>
      <c r="S13" s="259" t="n">
        <v>150700000</v>
      </c>
      <c r="T13" s="259" t="n">
        <v>138400000</v>
      </c>
      <c r="U13" s="259" t="n">
        <v>113800000</v>
      </c>
      <c r="V13" s="259" t="n">
        <v>158700000</v>
      </c>
      <c r="W13" s="259" t="n">
        <v>184800000</v>
      </c>
      <c r="X13" s="259" t="n">
        <v>325700000</v>
      </c>
      <c r="Y13" s="259" t="n">
        <v>484600000</v>
      </c>
      <c r="Z13" s="259" t="n">
        <v>319100000</v>
      </c>
      <c r="AA13" s="259" t="n">
        <v>293200000</v>
      </c>
      <c r="AB13" s="259" t="n">
        <v>550200000</v>
      </c>
      <c r="AC13" s="259" t="n">
        <v>618100000</v>
      </c>
      <c r="AD13" s="259" t="n">
        <v>628900000</v>
      </c>
      <c r="AE13" s="259" t="n">
        <v>697000000</v>
      </c>
      <c r="AF13" s="259" t="n">
        <v>1116000000</v>
      </c>
      <c r="AG13" s="259" t="n">
        <v>1649900000</v>
      </c>
      <c r="AH13" s="259" t="n">
        <v>1628500000</v>
      </c>
      <c r="AI13" s="259" t="n">
        <v>1454000000</v>
      </c>
      <c r="AJ13" s="259" t="n">
        <v>2152000000</v>
      </c>
    </row>
    <row r="14">
      <c r="G14" t="inlineStr">
        <is>
          <t>moeda</t>
        </is>
      </c>
      <c r="H14" t="inlineStr">
        <is>
          <t>Lucro líquido atribuído à companhia [us-gaap:NetIncomeLoss]</t>
        </is>
      </c>
      <c r="J14" t="inlineStr">
        <is>
          <t>memoria</t>
        </is>
      </c>
      <c r="K14" s="259" t="n">
        <v>1456500000</v>
      </c>
      <c r="L14" s="259" t="n">
        <v>1412000000</v>
      </c>
      <c r="M14" s="259" t="n">
        <v>1208400000</v>
      </c>
      <c r="N14" s="259" t="n">
        <v>2116800000</v>
      </c>
      <c r="O14" s="259" t="n">
        <v>1355300000</v>
      </c>
      <c r="P14" s="259" t="n">
        <v>1390200000</v>
      </c>
      <c r="Q14" s="259" t="n">
        <v>1110100000</v>
      </c>
      <c r="R14" s="259" t="n">
        <v>1726100000</v>
      </c>
      <c r="S14" s="259" t="n">
        <v>1902900000</v>
      </c>
      <c r="T14" s="259" t="n">
        <v>952500000</v>
      </c>
      <c r="U14" s="259" t="n">
        <v>1451700000</v>
      </c>
      <c r="V14" s="259" t="n">
        <v>1937700000</v>
      </c>
      <c r="W14" s="259" t="n">
        <v>1344900000</v>
      </c>
      <c r="X14" s="259" t="n">
        <v>1763200000</v>
      </c>
      <c r="Y14" s="259" t="n">
        <v>-57400000</v>
      </c>
      <c r="Z14" s="259" t="n">
        <v>2189700000</v>
      </c>
      <c r="AA14" s="259" t="n">
        <v>2242900000</v>
      </c>
      <c r="AB14" s="259" t="n">
        <v>2967000000</v>
      </c>
      <c r="AC14" s="259" t="n">
        <v>970300000</v>
      </c>
      <c r="AD14" s="259" t="n">
        <v>4409800000</v>
      </c>
      <c r="AE14" s="259" t="n">
        <v>2759000000</v>
      </c>
      <c r="AF14" s="259" t="n">
        <v>5661000000</v>
      </c>
      <c r="AG14" s="259" t="n">
        <v>5582500000</v>
      </c>
      <c r="AH14" s="259" t="n">
        <v>6637700000</v>
      </c>
      <c r="AI14" s="259" t="n">
        <v>7396000000</v>
      </c>
      <c r="AJ14" s="259" t="n">
        <v>7095000000</v>
      </c>
    </row>
    <row r="15">
      <c r="A15" t="n">
        <v>8</v>
      </c>
      <c r="B15" t="n">
        <v>1</v>
      </c>
      <c r="G15" t="inlineStr">
        <is>
          <t>moeda</t>
        </is>
      </c>
      <c r="H15" t="inlineStr">
        <is>
          <t>Resultado após IR não classificado acima (equivalência patrimonial, operações descontinuadas): lucro - (LAIR - IR - minoritários); zero quando não há</t>
        </is>
      </c>
      <c r="J15" t="inlineStr">
        <is>
          <t>derivada</t>
        </is>
      </c>
      <c r="K15" s="259">
        <f>N(K14)-(N(K10)-N(K13)-0)</f>
        <v>0</v>
      </c>
      <c r="L15" s="259">
        <f>N(L14)-(N(L10)-N(L13)-0)</f>
        <v>0</v>
      </c>
      <c r="M15" s="259">
        <f>N(M14)-(N(M10)-N(M13)-0)</f>
        <v>0</v>
      </c>
      <c r="N15" s="259">
        <f>N(N14)-(N(N10)-N(N13)-0)</f>
        <v>0</v>
      </c>
      <c r="O15" s="259">
        <f>N(O14)-(N(O10)-N(O13)-0)</f>
        <v>0</v>
      </c>
      <c r="P15" s="259">
        <f>N(P14)-(N(P10)-N(P13)-0)</f>
        <v>0</v>
      </c>
      <c r="Q15" s="259">
        <f>N(Q14)-(N(Q10)-N(Q13)-0)</f>
        <v>0</v>
      </c>
      <c r="R15" s="259">
        <f>N(R14)-(N(R10)-N(R13)-0)</f>
        <v>0</v>
      </c>
      <c r="S15" s="259">
        <f>N(S14)-(N(S10)-N(S13)-0)</f>
        <v>0</v>
      </c>
      <c r="T15" s="259">
        <f>N(T14)-(N(T10)-N(T13)-0)</f>
        <v>0</v>
      </c>
      <c r="U15" s="259">
        <f>N(U14)-(N(U10)-N(U13)-0)</f>
        <v>0</v>
      </c>
      <c r="V15" s="259">
        <f>N(V14)-(N(V10)-N(V13)-0)</f>
        <v>0</v>
      </c>
      <c r="W15" s="259">
        <f>N(W14)-(N(W10)-N(W13)-0)</f>
        <v>0</v>
      </c>
      <c r="X15" s="259">
        <f>N(X14)-(N(X10)-N(X13)-0)</f>
        <v>0</v>
      </c>
      <c r="Y15" s="259">
        <f>N(Y14)-(N(Y10)-N(Y13)-0)</f>
        <v>0</v>
      </c>
      <c r="Z15" s="259">
        <f>N(Z14)-(N(Z10)-N(Z13)-0)</f>
        <v>0</v>
      </c>
      <c r="AA15" s="259">
        <f>N(AA14)-(N(AA10)-N(AA13)-0)</f>
        <v>0</v>
      </c>
      <c r="AB15" s="259">
        <f>N(AB14)-(N(AB10)-N(AB13)-0)</f>
        <v>0</v>
      </c>
      <c r="AC15" s="259">
        <f>N(AC14)-(N(AC10)-N(AC13)-0)</f>
        <v>0</v>
      </c>
      <c r="AD15" s="259">
        <f>N(AD14)-(N(AD10)-N(AD13)-0)</f>
        <v>0</v>
      </c>
      <c r="AE15" s="259">
        <f>N(AE14)-(N(AE10)-N(AE13)-0)</f>
        <v>0</v>
      </c>
      <c r="AF15" s="259">
        <f>N(AF14)-(N(AF10)-N(AF13)-0)</f>
        <v>0</v>
      </c>
      <c r="AG15" s="259">
        <f>N(AG14)-(N(AG10)-N(AG13)-0)</f>
        <v>0</v>
      </c>
      <c r="AH15" s="259">
        <f>N(AH14)-(N(AH10)-N(AH13)-0)</f>
        <v>0</v>
      </c>
      <c r="AI15" s="259">
        <f>N(AI14)-(N(AI10)-N(AI13)-0)</f>
        <v>0</v>
      </c>
      <c r="AJ15" s="259">
        <f>N(AJ14)-(N(AJ10)-N(AJ13)-0)</f>
        <v>0</v>
      </c>
    </row>
    <row r="16">
      <c r="A16" t="n">
        <v>44</v>
      </c>
      <c r="B16" t="n">
        <v>1</v>
      </c>
      <c r="G16" t="inlineStr">
        <is>
          <t>moeda</t>
        </is>
      </c>
      <c r="H16" t="inlineStr">
        <is>
          <t>Lucro líquido (check IS, código 44)</t>
        </is>
      </c>
      <c r="J16" t="inlineStr">
        <is>
          <t>derivada</t>
        </is>
      </c>
      <c r="K16" s="259">
        <f>N(K14)</f>
        <v>1456500000</v>
      </c>
      <c r="L16" s="259">
        <f>N(L14)</f>
        <v>1412000000</v>
      </c>
      <c r="M16" s="259">
        <f>N(M14)</f>
        <v>1208400000</v>
      </c>
      <c r="N16" s="259">
        <f>N(N14)</f>
        <v>2116800000</v>
      </c>
      <c r="O16" s="259">
        <f>N(O14)</f>
        <v>1355300000</v>
      </c>
      <c r="P16" s="259">
        <f>N(P14)</f>
        <v>1390200000</v>
      </c>
      <c r="Q16" s="259">
        <f>N(Q14)</f>
        <v>1110100000</v>
      </c>
      <c r="R16" s="259">
        <f>N(R14)</f>
        <v>1726100000</v>
      </c>
      <c r="S16" s="259">
        <f>N(S14)</f>
        <v>1902900000</v>
      </c>
      <c r="T16" s="259">
        <f>N(T14)</f>
        <v>952500000</v>
      </c>
      <c r="U16" s="259">
        <f>N(U14)</f>
        <v>1451700000</v>
      </c>
      <c r="V16" s="259">
        <f>N(V14)</f>
        <v>1937700000</v>
      </c>
      <c r="W16" s="259">
        <f>N(W14)</f>
        <v>1344900000</v>
      </c>
      <c r="X16" s="259">
        <f>N(X14)</f>
        <v>1763200000</v>
      </c>
      <c r="Y16" s="259">
        <f>N(Y14)</f>
        <v>-57400000</v>
      </c>
      <c r="Z16" s="259">
        <f>N(Z14)</f>
        <v>2189700000</v>
      </c>
      <c r="AA16" s="259">
        <f>N(AA14)</f>
        <v>2242900000</v>
      </c>
      <c r="AB16" s="259">
        <f>N(AB14)</f>
        <v>2967000000</v>
      </c>
      <c r="AC16" s="259">
        <f>N(AC14)</f>
        <v>970300000</v>
      </c>
      <c r="AD16" s="259">
        <f>N(AD14)</f>
        <v>4409800000</v>
      </c>
      <c r="AE16" s="259">
        <f>N(AE14)</f>
        <v>2759000000</v>
      </c>
      <c r="AF16" s="259">
        <f>N(AF14)</f>
        <v>5661000000</v>
      </c>
      <c r="AG16" s="259">
        <f>N(AG14)</f>
        <v>5582500000</v>
      </c>
      <c r="AH16" s="259">
        <f>N(AH14)</f>
        <v>6637700000</v>
      </c>
      <c r="AI16" s="259">
        <f>N(AI14)</f>
        <v>7396000000</v>
      </c>
      <c r="AJ16" s="259">
        <f>N(AJ14)</f>
        <v>7095000000</v>
      </c>
    </row>
    <row r="17">
      <c r="H17" s="254" t="inlineStr">
        <is>
          <t>DFC - trimestre isolado (desacumulado na extração)</t>
        </is>
      </c>
    </row>
    <row r="18">
      <c r="A18" t="n">
        <v>4</v>
      </c>
      <c r="B18" t="n">
        <v>-1</v>
      </c>
      <c r="C18" t="n">
        <v>3</v>
      </c>
      <c r="D18" t="n">
        <v>1</v>
      </c>
      <c r="G18" t="inlineStr">
        <is>
          <t>moeda</t>
        </is>
      </c>
      <c r="H18" t="inlineStr">
        <is>
          <t>D&amp;A (fluxo de caixa). COD1=4 lança (positivo -&gt; -1); COD2=3 devolve às despesas operacionais (a companhia não abre D&amp;A entre custo e despesa) [us-gaap:DepreciationDepletionAndAmortization/DepreciationAmortizationAndImpairment]</t>
        </is>
      </c>
      <c r="J18" t="inlineStr">
        <is>
          <t>fonte</t>
        </is>
      </c>
      <c r="K18" s="259" t="n">
        <v>273600000</v>
      </c>
      <c r="L18" s="259" t="n">
        <v>324400000</v>
      </c>
      <c r="M18" s="259" t="n">
        <v>358400000</v>
      </c>
      <c r="N18" s="259" t="n">
        <v>367500000</v>
      </c>
      <c r="O18" s="259" t="n">
        <v>350300000</v>
      </c>
      <c r="P18" s="259" t="n">
        <v>369300000</v>
      </c>
      <c r="Q18" s="259" t="n">
        <v>382300000</v>
      </c>
      <c r="R18" s="259" t="n">
        <v>445700000</v>
      </c>
      <c r="S18" s="259" t="n">
        <v>435700000</v>
      </c>
      <c r="T18" s="259" t="n">
        <v>348900000</v>
      </c>
      <c r="U18" s="259" t="n">
        <v>362900000</v>
      </c>
      <c r="V18" s="259" t="n">
        <v>375000000</v>
      </c>
      <c r="W18" s="259" t="n">
        <v>362300000</v>
      </c>
      <c r="X18" s="259" t="n">
        <v>366300000</v>
      </c>
      <c r="Y18" s="259" t="n">
        <v>411000000</v>
      </c>
      <c r="Z18" s="259" t="n">
        <v>387700000</v>
      </c>
      <c r="AA18" s="259" t="n">
        <v>400600000</v>
      </c>
      <c r="AB18" s="259" t="n">
        <v>414400000</v>
      </c>
      <c r="AC18" s="259" t="n">
        <v>466800000</v>
      </c>
      <c r="AD18" s="259" t="n">
        <v>484800000</v>
      </c>
      <c r="AE18" s="259" t="n">
        <v>462800000</v>
      </c>
      <c r="AF18" s="259" t="n">
        <v>478500000</v>
      </c>
      <c r="AG18" s="259" t="n">
        <v>470000000</v>
      </c>
      <c r="AH18" s="259" t="n">
        <v>585700000</v>
      </c>
      <c r="AI18" s="259" t="n">
        <v>509000000</v>
      </c>
      <c r="AJ18" s="259" t="n">
        <v>534000000</v>
      </c>
    </row>
    <row r="19">
      <c r="A19" t="n">
        <v>10</v>
      </c>
      <c r="B19" t="n">
        <v>-1</v>
      </c>
      <c r="G19" t="inlineStr">
        <is>
          <t>moeda</t>
        </is>
      </c>
      <c r="H19" t="inlineStr">
        <is>
          <t>Dividendos pagos [us-gaap:PaymentsOfDividends]</t>
        </is>
      </c>
      <c r="J19" t="inlineStr">
        <is>
          <t>fonte</t>
        </is>
      </c>
      <c r="K19" s="259" t="n">
        <v>671300000</v>
      </c>
      <c r="L19" s="259" t="n">
        <v>674200000</v>
      </c>
      <c r="M19" s="259" t="n">
        <v>671600000</v>
      </c>
      <c r="N19" s="259" t="n">
        <v>670000000</v>
      </c>
      <c r="O19" s="259" t="n">
        <v>774800000</v>
      </c>
      <c r="P19" s="259" t="n">
        <v>768300000</v>
      </c>
      <c r="Q19" s="259" t="n">
        <v>770400000</v>
      </c>
      <c r="R19" s="259" t="n">
        <v>773300000</v>
      </c>
      <c r="S19" s="259" t="n">
        <v>885500000</v>
      </c>
      <c r="T19" s="259" t="n">
        <v>883700000</v>
      </c>
      <c r="U19" s="259" t="n">
        <v>882200000</v>
      </c>
      <c r="V19" s="259" t="n">
        <v>884400000</v>
      </c>
      <c r="W19" s="259" t="n">
        <v>1017200000</v>
      </c>
      <c r="X19" s="259" t="n">
        <v>1017800000</v>
      </c>
      <c r="Y19" s="259" t="n">
        <v>1016200000</v>
      </c>
      <c r="Z19" s="259" t="n">
        <v>1018100000</v>
      </c>
      <c r="AA19" s="259" t="n">
        <v>1169200000</v>
      </c>
      <c r="AB19" s="259" t="n">
        <v>1172400000</v>
      </c>
      <c r="AC19" s="259" t="n">
        <v>1170500000</v>
      </c>
      <c r="AD19" s="259" t="n">
        <v>1168300000</v>
      </c>
      <c r="AE19" s="259" t="n">
        <v>1346300000</v>
      </c>
      <c r="AF19" s="259" t="n">
        <v>1347000000</v>
      </c>
      <c r="AG19" s="259" t="n">
        <v>1345200000</v>
      </c>
      <c r="AH19" s="259" t="n">
        <v>1345500000</v>
      </c>
      <c r="AI19" s="259" t="n">
        <v>1548000000</v>
      </c>
      <c r="AJ19" s="259" t="n">
        <v>1546000000</v>
      </c>
    </row>
    <row r="20">
      <c r="H20" s="254" t="inlineStr">
        <is>
          <t>BALANÇO DE FACE (USD, saldo no fim do trimestre; cada trimestre lido da instância do próprio 10-Q/10-K)</t>
        </is>
      </c>
    </row>
    <row r="21">
      <c r="A21" t="n">
        <v>11</v>
      </c>
      <c r="B21" t="n">
        <v>1</v>
      </c>
      <c r="G21" t="inlineStr">
        <is>
          <t>moeda</t>
        </is>
      </c>
      <c r="H21" t="inlineStr">
        <is>
          <t>CashAndCashEquivalentsAtCarryingValue</t>
        </is>
      </c>
      <c r="J21" t="inlineStr">
        <is>
          <t>fonte</t>
        </is>
      </c>
      <c r="K21" s="259" t="n">
        <v>1699000000</v>
      </c>
      <c r="L21" s="259" t="n">
        <v>2365100000</v>
      </c>
      <c r="M21" s="259" t="n">
        <v>3595300000</v>
      </c>
      <c r="N21" s="259" t="n">
        <v>3657100000</v>
      </c>
      <c r="O21" s="259" t="n">
        <v>3002400000</v>
      </c>
      <c r="P21" s="259" t="n">
        <v>3220000000</v>
      </c>
      <c r="Q21" s="259" t="n">
        <v>3788200000</v>
      </c>
      <c r="R21" s="259" t="n">
        <v>3818500000</v>
      </c>
      <c r="S21" s="259" t="n">
        <v>2459200000</v>
      </c>
      <c r="T21" s="259" t="n">
        <v>2622900000</v>
      </c>
      <c r="U21" s="259" t="n">
        <v>2617400000</v>
      </c>
      <c r="V21" s="259" t="n">
        <v>2067000000</v>
      </c>
      <c r="W21" s="259" t="n">
        <v>3545900000</v>
      </c>
      <c r="X21" s="259" t="n">
        <v>2694500000</v>
      </c>
      <c r="Y21" s="259" t="n">
        <v>2380800000</v>
      </c>
      <c r="Z21" s="259" t="n">
        <v>2818600000</v>
      </c>
      <c r="AA21" s="259" t="n">
        <v>2460200000</v>
      </c>
      <c r="AB21" s="259" t="n">
        <v>3223600000</v>
      </c>
      <c r="AC21" s="259" t="n">
        <v>3369000000</v>
      </c>
      <c r="AD21" s="259" t="n">
        <v>3268400000</v>
      </c>
      <c r="AE21" s="259" t="n">
        <v>3093300000</v>
      </c>
      <c r="AF21" s="259" t="n">
        <v>3375900000</v>
      </c>
      <c r="AG21" s="259" t="n">
        <v>9791900000</v>
      </c>
      <c r="AH21" s="259" t="n">
        <v>7268000000</v>
      </c>
      <c r="AI21" s="259" t="n">
        <v>5282000000</v>
      </c>
      <c r="AJ21" s="259" t="n">
        <v>8950000000</v>
      </c>
    </row>
    <row r="22">
      <c r="A22" t="n">
        <v>11</v>
      </c>
      <c r="B22" t="n">
        <v>1</v>
      </c>
      <c r="G22" t="inlineStr">
        <is>
          <t>moeda</t>
        </is>
      </c>
      <c r="H22" t="inlineStr">
        <is>
          <t>ShortTermInvestments</t>
        </is>
      </c>
      <c r="J22" t="inlineStr">
        <is>
          <t>fonte</t>
        </is>
      </c>
      <c r="K22" s="259" t="n">
        <v>78400000</v>
      </c>
      <c r="L22" s="259" t="n">
        <v>22800000</v>
      </c>
      <c r="M22" s="259" t="n">
        <v>35000000</v>
      </c>
      <c r="N22" s="259" t="n">
        <v>24200000</v>
      </c>
      <c r="O22" s="259" t="n">
        <v>49000000</v>
      </c>
      <c r="P22" s="259" t="n">
        <v>51200000</v>
      </c>
      <c r="Q22" s="259" t="n">
        <v>37100000</v>
      </c>
      <c r="R22" s="259" t="n">
        <v>90100000</v>
      </c>
      <c r="S22" s="259" t="n">
        <v>109100000</v>
      </c>
      <c r="T22" s="259" t="n">
        <v>113800000</v>
      </c>
      <c r="U22" s="259" t="n">
        <v>124700000</v>
      </c>
      <c r="V22" s="259" t="n">
        <v>144800000</v>
      </c>
      <c r="W22" s="259" t="n">
        <v>123400000</v>
      </c>
      <c r="X22" s="259" t="n">
        <v>134600000</v>
      </c>
      <c r="Y22" s="259" t="n">
        <v>113100000</v>
      </c>
      <c r="Z22" s="259" t="n">
        <v>109100000</v>
      </c>
      <c r="AA22" s="259" t="n">
        <v>126100000</v>
      </c>
      <c r="AB22" s="259" t="n">
        <v>140400000</v>
      </c>
      <c r="AC22" s="259" t="n">
        <v>149400000</v>
      </c>
      <c r="AD22" s="259" t="n">
        <v>154800000</v>
      </c>
      <c r="AE22" s="259" t="n">
        <v>127400000</v>
      </c>
      <c r="AF22" s="259" t="n">
        <v>170100000</v>
      </c>
      <c r="AG22" s="259" t="n">
        <v>121600000</v>
      </c>
      <c r="AH22" s="259" t="n">
        <v>0</v>
      </c>
      <c r="AI22" s="259" t="n">
        <v>0</v>
      </c>
      <c r="AJ22" s="259" t="n">
        <v>0</v>
      </c>
    </row>
    <row r="23">
      <c r="A23" t="n">
        <v>12</v>
      </c>
      <c r="B23" t="n">
        <v>1</v>
      </c>
      <c r="G23" t="inlineStr">
        <is>
          <t>moeda</t>
        </is>
      </c>
      <c r="H23" t="inlineStr">
        <is>
          <t>AccountsReceivableNetCurrent</t>
        </is>
      </c>
      <c r="J23" t="inlineStr">
        <is>
          <t>fonte</t>
        </is>
      </c>
      <c r="K23" s="259" t="n">
        <v>5106100000</v>
      </c>
      <c r="L23" s="259" t="n">
        <v>4828900000</v>
      </c>
      <c r="M23" s="259" t="n">
        <v>4886700000</v>
      </c>
      <c r="N23" s="259" t="n">
        <v>5875300000</v>
      </c>
      <c r="O23" s="259" t="n">
        <v>5592800000</v>
      </c>
      <c r="P23" s="259" t="n">
        <v>5829400000</v>
      </c>
      <c r="Q23" s="259" t="n">
        <v>5914300000</v>
      </c>
      <c r="R23" s="259" t="n">
        <v>6672800000</v>
      </c>
      <c r="S23" s="259" t="n">
        <v>6322500000</v>
      </c>
      <c r="T23" s="259" t="n">
        <v>6364500000</v>
      </c>
      <c r="U23" s="259" t="n">
        <v>6715300000</v>
      </c>
      <c r="V23" s="259" t="n">
        <v>6896000000</v>
      </c>
      <c r="W23" s="259" t="n">
        <v>7526200000</v>
      </c>
      <c r="X23" s="259" t="n">
        <v>7516100000</v>
      </c>
      <c r="Y23" s="259" t="n">
        <v>8167100000</v>
      </c>
      <c r="Z23" s="259" t="n">
        <v>9090500000</v>
      </c>
      <c r="AA23" s="259" t="n">
        <v>7885600000</v>
      </c>
      <c r="AB23" s="259" t="n">
        <v>11027900000</v>
      </c>
      <c r="AC23" s="259" t="n">
        <v>10294800000</v>
      </c>
      <c r="AD23" s="259" t="n">
        <v>11005700000</v>
      </c>
      <c r="AE23" s="259" t="n">
        <v>12036600000</v>
      </c>
      <c r="AF23" s="259" t="n">
        <v>14170400000</v>
      </c>
      <c r="AG23" s="259" t="n">
        <v>16107400000</v>
      </c>
      <c r="AH23" s="259" t="n">
        <v>17760000000</v>
      </c>
      <c r="AI23" s="259" t="n">
        <v>18429000000</v>
      </c>
      <c r="AJ23" s="259" t="n">
        <v>20083000000</v>
      </c>
    </row>
    <row r="24">
      <c r="A24" t="n">
        <v>13</v>
      </c>
      <c r="B24" t="n">
        <v>1</v>
      </c>
      <c r="G24" t="inlineStr">
        <is>
          <t>moeda</t>
        </is>
      </c>
      <c r="H24" t="inlineStr">
        <is>
          <t>InventoryNet</t>
        </is>
      </c>
      <c r="J24" t="inlineStr">
        <is>
          <t>fonte</t>
        </is>
      </c>
      <c r="K24" s="259" t="n">
        <v>3102400000</v>
      </c>
      <c r="L24" s="259" t="n">
        <v>3313900000</v>
      </c>
      <c r="M24" s="259" t="n">
        <v>3555400000</v>
      </c>
      <c r="N24" s="259" t="n">
        <v>3980300000</v>
      </c>
      <c r="O24" s="259" t="n">
        <v>3660800000</v>
      </c>
      <c r="P24" s="259" t="n">
        <v>3824900000</v>
      </c>
      <c r="Q24" s="259" t="n">
        <v>3907400000</v>
      </c>
      <c r="R24" s="259" t="n">
        <v>3886000000</v>
      </c>
      <c r="S24" s="259" t="n">
        <v>3893000000</v>
      </c>
      <c r="T24" s="259" t="n">
        <v>3899400000</v>
      </c>
      <c r="U24" s="259" t="n">
        <v>3831100000</v>
      </c>
      <c r="V24" s="259" t="n">
        <v>4309700000</v>
      </c>
      <c r="W24" s="259" t="n">
        <v>4544800000</v>
      </c>
      <c r="X24" s="259" t="n">
        <v>4798700000</v>
      </c>
      <c r="Y24" s="259" t="n">
        <v>4901400000</v>
      </c>
      <c r="Z24" s="259" t="n">
        <v>5772800000</v>
      </c>
      <c r="AA24" s="259" t="n">
        <v>6101800000</v>
      </c>
      <c r="AB24" s="259" t="n">
        <v>6481500000</v>
      </c>
      <c r="AC24" s="259" t="n">
        <v>7459800000</v>
      </c>
      <c r="AD24" s="259" t="n">
        <v>7589200000</v>
      </c>
      <c r="AE24" s="259" t="n">
        <v>9311000000</v>
      </c>
      <c r="AF24" s="259" t="n">
        <v>11013800000</v>
      </c>
      <c r="AG24" s="259" t="n">
        <v>12180400000</v>
      </c>
      <c r="AH24" s="259" t="n">
        <v>13744000000</v>
      </c>
      <c r="AI24" s="259" t="n">
        <v>14529000000</v>
      </c>
      <c r="AJ24" s="259" t="n">
        <v>16793000000</v>
      </c>
    </row>
    <row r="25">
      <c r="A25" t="n">
        <v>14</v>
      </c>
      <c r="B25" t="n">
        <v>1</v>
      </c>
      <c r="G25" t="inlineStr">
        <is>
          <t>moeda</t>
        </is>
      </c>
      <c r="H25" t="inlineStr">
        <is>
          <t>DeferredIncomeTaxAssetsNet</t>
        </is>
      </c>
      <c r="J25" t="inlineStr">
        <is>
          <t>fonte</t>
        </is>
      </c>
      <c r="K25" s="259" t="n">
        <v>2471600000</v>
      </c>
      <c r="L25" s="259" t="n">
        <v>2481800000</v>
      </c>
      <c r="M25" s="259" t="n">
        <v>2555300000</v>
      </c>
      <c r="N25" s="259" t="n">
        <v>2830400000</v>
      </c>
      <c r="O25" s="259" t="n">
        <v>2649900000</v>
      </c>
      <c r="P25" s="259" t="n">
        <v>2674900000</v>
      </c>
      <c r="Q25" s="259" t="n">
        <v>2625600000</v>
      </c>
      <c r="R25" s="259" t="n">
        <v>2489300000</v>
      </c>
      <c r="S25" s="259" t="n">
        <v>2464900000</v>
      </c>
      <c r="T25" s="259" t="n">
        <v>2371900000</v>
      </c>
      <c r="U25" s="259" t="n">
        <v>2384300000</v>
      </c>
      <c r="V25" s="259" t="n">
        <v>2792900000</v>
      </c>
      <c r="W25" s="259" t="n">
        <v>3406700000</v>
      </c>
      <c r="X25" s="259" t="n">
        <v>3805900000</v>
      </c>
      <c r="Y25" s="259" t="n">
        <v>4574800000</v>
      </c>
      <c r="Z25" s="259" t="n">
        <v>5477300000</v>
      </c>
      <c r="AA25" s="259" t="n">
        <v>5633900000</v>
      </c>
      <c r="AB25" s="259" t="n">
        <v>6655300000</v>
      </c>
      <c r="AC25" s="259" t="n">
        <v>7392300000</v>
      </c>
      <c r="AD25" s="259" t="n">
        <v>8000600000</v>
      </c>
      <c r="AE25" s="259" t="n">
        <v>8573200000</v>
      </c>
      <c r="AF25" s="259" t="n">
        <v>9427400000</v>
      </c>
      <c r="AG25" s="259" t="n">
        <v>8962700000</v>
      </c>
      <c r="AH25" s="259" t="n">
        <v>9959000000</v>
      </c>
      <c r="AI25" s="259" t="n">
        <v>11350000000</v>
      </c>
      <c r="AJ25" s="259" t="n">
        <v>10028000000</v>
      </c>
    </row>
    <row r="26">
      <c r="A26" t="n">
        <v>15</v>
      </c>
      <c r="B26" t="n">
        <v>1</v>
      </c>
      <c r="G26" t="inlineStr">
        <is>
          <t>moeda</t>
        </is>
      </c>
      <c r="H26" t="inlineStr">
        <is>
          <t>PrepaidExpenseCurrent</t>
        </is>
      </c>
      <c r="J26" t="inlineStr">
        <is>
          <t>fonte</t>
        </is>
      </c>
      <c r="K26" s="259" t="n">
        <v>2761900000</v>
      </c>
      <c r="L26" s="259" t="n">
        <v>3104500000</v>
      </c>
      <c r="M26" s="259" t="n">
        <v>3209400000</v>
      </c>
      <c r="N26" s="259" t="n">
        <v>2871500000</v>
      </c>
      <c r="O26" s="259" t="n">
        <v>3233700000</v>
      </c>
      <c r="P26" s="259" t="n">
        <v>3296600000</v>
      </c>
      <c r="Q26" s="259" t="n">
        <v>3050600000</v>
      </c>
      <c r="R26" s="259" t="n">
        <v>2530600000</v>
      </c>
      <c r="S26" s="259" t="n">
        <v>2697700000</v>
      </c>
      <c r="T26" s="259" t="n">
        <v>2806700000</v>
      </c>
      <c r="U26" s="259" t="n">
        <v>2741900000</v>
      </c>
      <c r="V26" s="259" t="n">
        <v>0</v>
      </c>
      <c r="W26" s="259" t="n">
        <v>0</v>
      </c>
      <c r="X26" s="259" t="n">
        <v>0</v>
      </c>
      <c r="Y26" s="259" t="n">
        <v>0</v>
      </c>
      <c r="Z26" s="259" t="n">
        <v>5540800000</v>
      </c>
      <c r="AA26" s="259" t="n">
        <v>6348600000</v>
      </c>
      <c r="AB26" s="259" t="n">
        <v>7137600000</v>
      </c>
      <c r="AC26" s="259" t="n">
        <v>8250600000</v>
      </c>
      <c r="AD26" s="259" t="n">
        <v>8340500000</v>
      </c>
      <c r="AE26" s="259" t="n">
        <v>14653900000</v>
      </c>
      <c r="AF26" s="259" t="n">
        <v>18019800000</v>
      </c>
      <c r="AG26" s="259" t="n">
        <v>20248700000</v>
      </c>
      <c r="AH26" s="259" t="n">
        <v>14315000000</v>
      </c>
      <c r="AI26" s="259" t="n">
        <v>13633000000</v>
      </c>
      <c r="AJ26" s="259" t="n">
        <v>15368000000</v>
      </c>
    </row>
    <row r="27">
      <c r="A27" t="n">
        <v>16</v>
      </c>
      <c r="B27" t="n">
        <v>1</v>
      </c>
      <c r="G27" t="inlineStr">
        <is>
          <t>moeda</t>
        </is>
      </c>
      <c r="H27" t="inlineStr">
        <is>
          <t>OtherReceivablesNetCurrent</t>
        </is>
      </c>
      <c r="J27" t="inlineStr">
        <is>
          <t>fonte</t>
        </is>
      </c>
      <c r="K27" s="259" t="n">
        <v>1246400000</v>
      </c>
      <c r="L27" s="259" t="n">
        <v>946700000</v>
      </c>
      <c r="M27" s="259" t="n">
        <v>958100000</v>
      </c>
      <c r="N27" s="259" t="n">
        <v>0</v>
      </c>
      <c r="O27" s="259" t="n">
        <v>1065800000</v>
      </c>
      <c r="P27" s="259" t="n">
        <v>1073400000</v>
      </c>
      <c r="Q27" s="259" t="n">
        <v>1110700000</v>
      </c>
      <c r="R27" s="259" t="n">
        <v>0</v>
      </c>
      <c r="S27" s="259" t="n">
        <v>1483200000</v>
      </c>
      <c r="T27" s="259" t="n">
        <v>1307900000</v>
      </c>
      <c r="U27" s="259" t="n">
        <v>1609500000</v>
      </c>
      <c r="V27" s="259" t="n">
        <v>0</v>
      </c>
      <c r="W27" s="259" t="n">
        <v>1495900000</v>
      </c>
      <c r="X27" s="259" t="n">
        <v>1655300000</v>
      </c>
      <c r="Y27" s="259" t="n">
        <v>2196700000</v>
      </c>
      <c r="Z27" s="259" t="n">
        <v>2245700000</v>
      </c>
      <c r="AA27" s="259" t="n">
        <v>2127900000</v>
      </c>
      <c r="AB27" s="259" t="n">
        <v>2051100000</v>
      </c>
      <c r="AC27" s="259" t="n">
        <v>1756900000</v>
      </c>
      <c r="AD27" s="259" t="n">
        <v>2269700000</v>
      </c>
      <c r="AE27" s="259" t="n">
        <v>1966600000</v>
      </c>
      <c r="AF27" s="259" t="n">
        <v>3035200000</v>
      </c>
      <c r="AG27" s="259" t="n">
        <v>3349800000</v>
      </c>
      <c r="AH27" s="259" t="n">
        <v>2395000000</v>
      </c>
      <c r="AI27" s="259" t="n">
        <v>2748000000</v>
      </c>
      <c r="AJ27" s="259" t="n">
        <v>3392000000</v>
      </c>
    </row>
    <row r="28">
      <c r="A28" t="n">
        <v>16</v>
      </c>
      <c r="B28" t="n">
        <v>1</v>
      </c>
      <c r="G28" t="inlineStr">
        <is>
          <t>moeda</t>
        </is>
      </c>
      <c r="H28" t="inlineStr">
        <is>
          <t>OtherReceivables</t>
        </is>
      </c>
      <c r="J28" t="inlineStr">
        <is>
          <t>fonte</t>
        </is>
      </c>
      <c r="K28" s="259" t="n">
        <v>0</v>
      </c>
      <c r="L28" s="259" t="n">
        <v>0</v>
      </c>
      <c r="M28" s="259" t="n">
        <v>0</v>
      </c>
      <c r="N28" s="259" t="n">
        <v>1053700000</v>
      </c>
      <c r="O28" s="259" t="n">
        <v>0</v>
      </c>
      <c r="P28" s="259" t="n">
        <v>0</v>
      </c>
      <c r="Q28" s="259" t="n">
        <v>0</v>
      </c>
      <c r="R28" s="259" t="n">
        <v>1454400000</v>
      </c>
      <c r="S28" s="259" t="n">
        <v>0</v>
      </c>
      <c r="T28" s="259" t="n">
        <v>0</v>
      </c>
      <c r="U28" s="259" t="n">
        <v>0</v>
      </c>
      <c r="V28" s="259" t="n">
        <v>1662900000</v>
      </c>
      <c r="W28" s="259" t="n">
        <v>0</v>
      </c>
      <c r="X28" s="259" t="n">
        <v>0</v>
      </c>
      <c r="Y28" s="259" t="n">
        <v>0</v>
      </c>
      <c r="Z28" s="259" t="n">
        <v>0</v>
      </c>
      <c r="AA28" s="259" t="n">
        <v>0</v>
      </c>
      <c r="AB28" s="259" t="n">
        <v>0</v>
      </c>
      <c r="AC28" s="259" t="n">
        <v>0</v>
      </c>
      <c r="AD28" s="259" t="n">
        <v>0</v>
      </c>
      <c r="AE28" s="259" t="n">
        <v>0</v>
      </c>
      <c r="AF28" s="259" t="n">
        <v>0</v>
      </c>
      <c r="AG28" s="259" t="n">
        <v>0</v>
      </c>
      <c r="AH28" s="259" t="n">
        <v>0</v>
      </c>
      <c r="AI28" s="259" t="n">
        <v>0</v>
      </c>
      <c r="AJ28" s="259" t="n">
        <v>0</v>
      </c>
    </row>
    <row r="29">
      <c r="A29" t="n">
        <v>16</v>
      </c>
      <c r="B29" t="n">
        <v>1</v>
      </c>
      <c r="G29" t="inlineStr">
        <is>
          <t>moeda</t>
        </is>
      </c>
      <c r="H29" t="inlineStr">
        <is>
          <t>PrepaidExpenseAndOtherAssetsCurrent</t>
        </is>
      </c>
      <c r="J29" t="inlineStr">
        <is>
          <t>fonte</t>
        </is>
      </c>
      <c r="K29" s="259" t="n">
        <v>0</v>
      </c>
      <c r="L29" s="259" t="n">
        <v>0</v>
      </c>
      <c r="M29" s="259" t="n">
        <v>0</v>
      </c>
      <c r="N29" s="259" t="n">
        <v>0</v>
      </c>
      <c r="O29" s="259" t="n">
        <v>0</v>
      </c>
      <c r="P29" s="259" t="n">
        <v>0</v>
      </c>
      <c r="Q29" s="259" t="n">
        <v>0</v>
      </c>
      <c r="R29" s="259" t="n">
        <v>0</v>
      </c>
      <c r="S29" s="259" t="n">
        <v>0</v>
      </c>
      <c r="T29" s="259" t="n">
        <v>0</v>
      </c>
      <c r="U29" s="259" t="n">
        <v>0</v>
      </c>
      <c r="V29" s="259" t="n">
        <v>2954100000</v>
      </c>
      <c r="W29" s="259" t="n">
        <v>3575200000</v>
      </c>
      <c r="X29" s="259" t="n">
        <v>4532400000</v>
      </c>
      <c r="Y29" s="259" t="n">
        <v>5247900000</v>
      </c>
      <c r="Z29" s="259" t="n">
        <v>0</v>
      </c>
      <c r="AA29" s="259" t="n">
        <v>0</v>
      </c>
      <c r="AB29" s="259" t="n">
        <v>0</v>
      </c>
      <c r="AC29" s="259" t="n">
        <v>0</v>
      </c>
      <c r="AD29" s="259" t="n">
        <v>0</v>
      </c>
      <c r="AE29" s="259" t="n">
        <v>0</v>
      </c>
      <c r="AF29" s="259" t="n">
        <v>0</v>
      </c>
      <c r="AG29" s="259" t="n">
        <v>0</v>
      </c>
      <c r="AH29" s="259" t="n">
        <v>0</v>
      </c>
      <c r="AI29" s="259" t="n">
        <v>0</v>
      </c>
      <c r="AJ29" s="259" t="n">
        <v>0</v>
      </c>
    </row>
    <row r="30">
      <c r="A30" t="n">
        <v>16</v>
      </c>
      <c r="B30" t="n">
        <v>1</v>
      </c>
      <c r="G30" t="inlineStr">
        <is>
          <t>moeda</t>
        </is>
      </c>
      <c r="H30" t="inlineStr">
        <is>
          <t>OtherAssetsCurrent</t>
        </is>
      </c>
      <c r="J30" t="inlineStr">
        <is>
          <t>fonte</t>
        </is>
      </c>
      <c r="K30" s="259" t="n">
        <v>0</v>
      </c>
      <c r="L30" s="259" t="n">
        <v>0</v>
      </c>
      <c r="M30" s="259" t="n">
        <v>0</v>
      </c>
      <c r="N30" s="259" t="n">
        <v>0</v>
      </c>
      <c r="O30" s="259" t="n">
        <v>0</v>
      </c>
      <c r="P30" s="259" t="n">
        <v>0</v>
      </c>
      <c r="Q30" s="259" t="n">
        <v>0</v>
      </c>
      <c r="R30" s="259" t="n">
        <v>0</v>
      </c>
      <c r="S30" s="259" t="n">
        <v>0</v>
      </c>
      <c r="T30" s="259" t="n">
        <v>0</v>
      </c>
      <c r="U30" s="259" t="n">
        <v>0</v>
      </c>
      <c r="V30" s="259" t="n">
        <v>0</v>
      </c>
      <c r="W30" s="259" t="n">
        <v>0</v>
      </c>
      <c r="X30" s="259" t="n">
        <v>0</v>
      </c>
      <c r="Y30" s="259" t="n">
        <v>0</v>
      </c>
      <c r="Z30" s="259" t="n">
        <v>149500000</v>
      </c>
      <c r="AA30" s="259" t="n">
        <v>138600000</v>
      </c>
      <c r="AB30" s="259" t="n">
        <v>142200000</v>
      </c>
      <c r="AC30" s="259" t="n">
        <v>134600000</v>
      </c>
      <c r="AD30" s="259" t="n">
        <v>111400000</v>
      </c>
      <c r="AE30" s="259" t="n">
        <v>72400000</v>
      </c>
      <c r="AF30" s="259" t="n">
        <v>68800000</v>
      </c>
      <c r="AG30" s="259" t="n">
        <v>271500000</v>
      </c>
      <c r="AH30" s="259" t="n">
        <v>147000000</v>
      </c>
      <c r="AI30" s="259" t="n">
        <v>214000000</v>
      </c>
      <c r="AJ30" s="259" t="n">
        <v>86000000</v>
      </c>
    </row>
    <row r="31">
      <c r="A31" t="n">
        <v>18</v>
      </c>
      <c r="B31" t="n">
        <v>1</v>
      </c>
      <c r="G31" t="inlineStr">
        <is>
          <t>moeda</t>
        </is>
      </c>
      <c r="H31" t="inlineStr">
        <is>
          <t>PropertyPlantAndEquipmentNet</t>
        </is>
      </c>
      <c r="J31" t="inlineStr">
        <is>
          <t>fonte</t>
        </is>
      </c>
      <c r="K31" s="259" t="n">
        <v>7897900000</v>
      </c>
      <c r="L31" s="259" t="n">
        <v>7981100000</v>
      </c>
      <c r="M31" s="259" t="n">
        <v>8281100000</v>
      </c>
      <c r="N31" s="259" t="n">
        <v>8681900000</v>
      </c>
      <c r="O31" s="259" t="n">
        <v>8630100000</v>
      </c>
      <c r="P31" s="259" t="n">
        <v>8855500000</v>
      </c>
      <c r="Q31" s="259" t="n">
        <v>8920400000</v>
      </c>
      <c r="R31" s="259" t="n">
        <v>8985100000</v>
      </c>
      <c r="S31" s="259" t="n">
        <v>9102700000</v>
      </c>
      <c r="T31" s="259" t="n">
        <v>9128200000</v>
      </c>
      <c r="U31" s="259" t="n">
        <v>9311300000</v>
      </c>
      <c r="V31" s="259" t="n">
        <v>10144000000</v>
      </c>
      <c r="W31" s="259" t="n">
        <v>10546200000</v>
      </c>
      <c r="X31" s="259" t="n">
        <v>11277400000</v>
      </c>
      <c r="Y31" s="259" t="n">
        <v>11863200000</v>
      </c>
      <c r="Z31" s="259" t="n">
        <v>12913600000</v>
      </c>
      <c r="AA31" s="259" t="n">
        <v>13624000000</v>
      </c>
      <c r="AB31" s="259" t="n">
        <v>14829400000</v>
      </c>
      <c r="AC31" s="259" t="n">
        <v>16171800000</v>
      </c>
      <c r="AD31" s="259" t="n">
        <v>17102400000</v>
      </c>
      <c r="AE31" s="259" t="n">
        <v>18474100000</v>
      </c>
      <c r="AF31" s="259" t="n">
        <v>20529700000</v>
      </c>
      <c r="AG31" s="259" t="n">
        <v>22316000000</v>
      </c>
      <c r="AH31" s="259" t="n">
        <v>24675000000</v>
      </c>
      <c r="AI31" s="259" t="n">
        <v>26540000000</v>
      </c>
      <c r="AJ31" s="259" t="n">
        <v>29286000000</v>
      </c>
    </row>
    <row r="32">
      <c r="A32" t="n">
        <v>20</v>
      </c>
      <c r="B32" t="n">
        <v>1</v>
      </c>
      <c r="G32" t="inlineStr">
        <is>
          <t>moeda</t>
        </is>
      </c>
      <c r="H32" t="inlineStr">
        <is>
          <t>Goodwill</t>
        </is>
      </c>
      <c r="J32" t="inlineStr">
        <is>
          <t>fonte</t>
        </is>
      </c>
      <c r="K32" s="259" t="n">
        <v>3779100000</v>
      </c>
      <c r="L32" s="259" t="n">
        <v>3723200000</v>
      </c>
      <c r="M32" s="259" t="n">
        <v>3726400000</v>
      </c>
      <c r="N32" s="259" t="n">
        <v>3766500000</v>
      </c>
      <c r="O32" s="259" t="n">
        <v>3877400000</v>
      </c>
      <c r="P32" s="259" t="n">
        <v>3884200000</v>
      </c>
      <c r="Q32" s="259" t="n">
        <v>3884100000</v>
      </c>
      <c r="R32" s="259" t="n">
        <v>3892000000</v>
      </c>
      <c r="S32" s="259" t="n">
        <v>3892000000</v>
      </c>
      <c r="T32" s="259" t="n">
        <v>3891800000</v>
      </c>
      <c r="U32" s="259" t="n">
        <v>3891600000</v>
      </c>
      <c r="V32" s="259" t="n">
        <v>4073000000</v>
      </c>
      <c r="W32" s="259" t="n">
        <v>4073100000</v>
      </c>
      <c r="X32" s="259" t="n">
        <v>4078900000</v>
      </c>
      <c r="Y32" s="259" t="n">
        <v>4085200000</v>
      </c>
      <c r="Z32" s="259" t="n">
        <v>4939700000</v>
      </c>
      <c r="AA32" s="259" t="n">
        <v>4939600000</v>
      </c>
      <c r="AB32" s="259" t="n">
        <v>5768200000</v>
      </c>
      <c r="AC32" s="259" t="n">
        <v>5768400000</v>
      </c>
      <c r="AD32" s="259" t="n">
        <v>5770300000</v>
      </c>
      <c r="AE32" s="259" t="n">
        <v>5770500000</v>
      </c>
      <c r="AF32" s="259" t="n">
        <v>5770500000</v>
      </c>
      <c r="AG32" s="259" t="n">
        <v>5898000000</v>
      </c>
      <c r="AH32" s="259" t="n">
        <v>5898000000</v>
      </c>
      <c r="AI32" s="259" t="n">
        <v>6130000000</v>
      </c>
      <c r="AJ32" s="259" t="n">
        <v>8849000000</v>
      </c>
    </row>
    <row r="33">
      <c r="A33" t="n">
        <v>21</v>
      </c>
      <c r="B33" t="n">
        <v>1</v>
      </c>
      <c r="G33" t="inlineStr">
        <is>
          <t>moeda</t>
        </is>
      </c>
      <c r="H33" t="inlineStr">
        <is>
          <t>IntangibleAssetsNetExcludingGoodwill</t>
        </is>
      </c>
      <c r="J33" t="inlineStr">
        <is>
          <t>fonte</t>
        </is>
      </c>
      <c r="K33" s="259" t="n">
        <v>7766700000</v>
      </c>
      <c r="L33" s="259" t="n">
        <v>7712500000</v>
      </c>
      <c r="M33" s="259" t="n">
        <v>7588600000</v>
      </c>
      <c r="N33" s="259" t="n">
        <v>7450000000</v>
      </c>
      <c r="O33" s="259" t="n">
        <v>8087800000</v>
      </c>
      <c r="P33" s="259" t="n">
        <v>7985400000</v>
      </c>
      <c r="Q33" s="259" t="n">
        <v>7887700000</v>
      </c>
      <c r="R33" s="259" t="n">
        <v>7691900000</v>
      </c>
      <c r="S33" s="259" t="n">
        <v>7482400000</v>
      </c>
      <c r="T33" s="259" t="n">
        <v>7497700000</v>
      </c>
      <c r="U33" s="259" t="n">
        <v>7124100000</v>
      </c>
      <c r="V33" s="259" t="n">
        <v>7206600000</v>
      </c>
      <c r="W33" s="259" t="n">
        <v>7087100000</v>
      </c>
      <c r="X33" s="259" t="n">
        <v>6903500000</v>
      </c>
      <c r="Y33" s="259" t="n">
        <v>6781700000</v>
      </c>
      <c r="Z33" s="259" t="n">
        <v>6906600000</v>
      </c>
      <c r="AA33" s="259" t="n">
        <v>6762200000</v>
      </c>
      <c r="AB33" s="259" t="n">
        <v>6636100000</v>
      </c>
      <c r="AC33" s="259" t="n">
        <v>6537300000</v>
      </c>
      <c r="AD33" s="259" t="n">
        <v>6166300000</v>
      </c>
      <c r="AE33" s="259" t="n">
        <v>6012200000</v>
      </c>
      <c r="AF33" s="259" t="n">
        <v>5908300000</v>
      </c>
      <c r="AG33" s="259" t="n">
        <v>6446700000</v>
      </c>
      <c r="AH33" s="259" t="n">
        <v>6521000000</v>
      </c>
      <c r="AI33" s="259" t="n">
        <v>7374000000</v>
      </c>
      <c r="AJ33" s="259" t="n">
        <v>18110000000</v>
      </c>
    </row>
    <row r="34">
      <c r="A34" t="n">
        <v>22</v>
      </c>
      <c r="B34" t="n">
        <v>1</v>
      </c>
      <c r="G34" t="inlineStr">
        <is>
          <t>moeda</t>
        </is>
      </c>
      <c r="H34" t="inlineStr">
        <is>
          <t>LongTermInvestments</t>
        </is>
      </c>
      <c r="J34" t="inlineStr">
        <is>
          <t>fonte</t>
        </is>
      </c>
      <c r="K34" s="259" t="n">
        <v>2148700000</v>
      </c>
      <c r="L34" s="259" t="n">
        <v>2406400000</v>
      </c>
      <c r="M34" s="259" t="n">
        <v>2476200000</v>
      </c>
      <c r="N34" s="259" t="n">
        <v>2966800000</v>
      </c>
      <c r="O34" s="259" t="n">
        <v>3232400000</v>
      </c>
      <c r="P34" s="259" t="n">
        <v>3474900000</v>
      </c>
      <c r="Q34" s="259" t="n">
        <v>3350500000</v>
      </c>
      <c r="R34" s="259" t="n">
        <v>3212600000</v>
      </c>
      <c r="S34" s="259" t="n">
        <v>2727300000</v>
      </c>
      <c r="T34" s="259" t="n">
        <v>2587200000</v>
      </c>
      <c r="U34" s="259" t="n">
        <v>2574600000</v>
      </c>
      <c r="V34" s="259" t="n">
        <v>2901800000</v>
      </c>
      <c r="W34" s="259" t="n">
        <v>2750400000</v>
      </c>
      <c r="X34" s="259" t="n">
        <v>2745100000</v>
      </c>
      <c r="Y34" s="259" t="n">
        <v>2691700000</v>
      </c>
      <c r="Z34" s="259" t="n">
        <v>3052200000</v>
      </c>
      <c r="AA34" s="259" t="n">
        <v>3086900000</v>
      </c>
      <c r="AB34" s="259" t="n">
        <v>2877600000</v>
      </c>
      <c r="AC34" s="259" t="n">
        <v>3200200000</v>
      </c>
      <c r="AD34" s="259" t="n">
        <v>3215900000</v>
      </c>
      <c r="AE34" s="259" t="n">
        <v>3222700000</v>
      </c>
      <c r="AF34" s="259" t="n">
        <v>3207400000</v>
      </c>
      <c r="AG34" s="259" t="n">
        <v>2808300000</v>
      </c>
      <c r="AH34" s="259" t="n">
        <v>2802000000</v>
      </c>
      <c r="AI34" s="259" t="n">
        <v>3116000000</v>
      </c>
      <c r="AJ34" s="259" t="n">
        <v>3856000000</v>
      </c>
    </row>
    <row r="35">
      <c r="A35" t="n">
        <v>22</v>
      </c>
      <c r="B35" t="n">
        <v>1</v>
      </c>
      <c r="G35" t="inlineStr">
        <is>
          <t>moeda</t>
        </is>
      </c>
      <c r="H35" t="inlineStr">
        <is>
          <t>OtherAssetsNoncurrent</t>
        </is>
      </c>
      <c r="J35" t="inlineStr">
        <is>
          <t>fonte</t>
        </is>
      </c>
      <c r="K35" s="259" t="n">
        <v>3044600000</v>
      </c>
      <c r="L35" s="259" t="n">
        <v>3080100000</v>
      </c>
      <c r="M35" s="259" t="n">
        <v>3078500000</v>
      </c>
      <c r="N35" s="259" t="n">
        <v>0</v>
      </c>
      <c r="O35" s="259" t="n">
        <v>3756200000</v>
      </c>
      <c r="P35" s="259" t="n">
        <v>3638600000</v>
      </c>
      <c r="Q35" s="259" t="n">
        <v>3710400000</v>
      </c>
      <c r="R35" s="259" t="n">
        <v>0</v>
      </c>
      <c r="S35" s="259" t="n">
        <v>4285300000</v>
      </c>
      <c r="T35" s="259" t="n">
        <v>4471600000</v>
      </c>
      <c r="U35" s="259" t="n">
        <v>4535700000</v>
      </c>
      <c r="V35" s="259" t="n">
        <v>0</v>
      </c>
      <c r="W35" s="259" t="n">
        <v>4488100000</v>
      </c>
      <c r="X35" s="259" t="n">
        <v>4671600000</v>
      </c>
      <c r="Y35" s="259" t="n">
        <v>4911900000</v>
      </c>
      <c r="Z35" s="259" t="n">
        <v>4989900000</v>
      </c>
      <c r="AA35" s="259" t="n">
        <v>4708100000</v>
      </c>
      <c r="AB35" s="259" t="n">
        <v>4903900000</v>
      </c>
      <c r="AC35" s="259" t="n">
        <v>5121800000</v>
      </c>
      <c r="AD35" s="259" t="n">
        <v>5719700000</v>
      </c>
      <c r="AE35" s="259" t="n">
        <v>6074900000</v>
      </c>
      <c r="AF35" s="259" t="n">
        <v>6225300000</v>
      </c>
      <c r="AG35" s="259" t="n">
        <v>6432400000</v>
      </c>
      <c r="AH35" s="259" t="n">
        <v>6992000000</v>
      </c>
      <c r="AI35" s="259" t="n">
        <v>7231000000</v>
      </c>
      <c r="AJ35" s="259" t="n">
        <v>7482000000</v>
      </c>
    </row>
    <row r="36">
      <c r="A36" t="n">
        <v>22</v>
      </c>
      <c r="B36" t="n">
        <v>1</v>
      </c>
      <c r="G36" t="inlineStr">
        <is>
          <t>moeda</t>
        </is>
      </c>
      <c r="H36" t="inlineStr">
        <is>
          <t>OtherAssetsMiscellaneousNoncurrent</t>
        </is>
      </c>
      <c r="J36" t="inlineStr">
        <is>
          <t>fonte</t>
        </is>
      </c>
      <c r="K36" s="259" t="n">
        <v>0</v>
      </c>
      <c r="L36" s="259" t="n">
        <v>0</v>
      </c>
      <c r="M36" s="259" t="n">
        <v>0</v>
      </c>
      <c r="N36" s="259" t="n">
        <v>3475400000</v>
      </c>
      <c r="O36" s="259" t="n">
        <v>0</v>
      </c>
      <c r="P36" s="259" t="n">
        <v>0</v>
      </c>
      <c r="Q36" s="259" t="n">
        <v>0</v>
      </c>
      <c r="R36" s="259" t="n">
        <v>4082700000</v>
      </c>
      <c r="S36" s="259" t="n">
        <v>0</v>
      </c>
      <c r="T36" s="259" t="n">
        <v>0</v>
      </c>
      <c r="U36" s="259" t="n">
        <v>0</v>
      </c>
      <c r="V36" s="259" t="n">
        <v>4337000000</v>
      </c>
      <c r="W36" s="259" t="n">
        <v>0</v>
      </c>
      <c r="X36" s="259" t="n">
        <v>0</v>
      </c>
      <c r="Y36" s="259" t="n">
        <v>0</v>
      </c>
      <c r="Z36" s="259" t="n">
        <v>0</v>
      </c>
      <c r="AA36" s="259" t="n">
        <v>0</v>
      </c>
      <c r="AB36" s="259" t="n">
        <v>0</v>
      </c>
      <c r="AC36" s="259" t="n">
        <v>0</v>
      </c>
      <c r="AD36" s="259" t="n">
        <v>0</v>
      </c>
      <c r="AE36" s="259" t="n">
        <v>0</v>
      </c>
      <c r="AF36" s="259" t="n">
        <v>0</v>
      </c>
      <c r="AG36" s="259" t="n">
        <v>0</v>
      </c>
      <c r="AH36" s="259" t="n">
        <v>0</v>
      </c>
      <c r="AI36" s="259" t="n">
        <v>0</v>
      </c>
      <c r="AJ36" s="259" t="n">
        <v>0</v>
      </c>
    </row>
    <row r="37">
      <c r="A37" t="n">
        <v>23</v>
      </c>
      <c r="B37" t="n">
        <v>1</v>
      </c>
      <c r="G37" t="inlineStr">
        <is>
          <t>moeda</t>
        </is>
      </c>
      <c r="H37" t="inlineStr">
        <is>
          <t>AccountsPayableCurrent</t>
        </is>
      </c>
      <c r="J37" t="inlineStr">
        <is>
          <t>fonte</t>
        </is>
      </c>
      <c r="K37" s="259" t="n">
        <v>1207700000</v>
      </c>
      <c r="L37" s="259" t="n">
        <v>1247200000</v>
      </c>
      <c r="M37" s="259" t="n">
        <v>1430100000</v>
      </c>
      <c r="N37" s="259" t="n">
        <v>1606700000</v>
      </c>
      <c r="O37" s="259" t="n">
        <v>1639600000</v>
      </c>
      <c r="P37" s="259" t="n">
        <v>1597800000</v>
      </c>
      <c r="Q37" s="259" t="n">
        <v>1566800000</v>
      </c>
      <c r="R37" s="259" t="n">
        <v>1670600000</v>
      </c>
      <c r="S37" s="259" t="n">
        <v>1433300000</v>
      </c>
      <c r="T37" s="259" t="n">
        <v>1659300000</v>
      </c>
      <c r="U37" s="259" t="n">
        <v>1683200000</v>
      </c>
      <c r="V37" s="259" t="n">
        <v>1930600000</v>
      </c>
      <c r="W37" s="259" t="n">
        <v>2015900000</v>
      </c>
      <c r="X37" s="259" t="n">
        <v>2474200000</v>
      </c>
      <c r="Y37" s="259" t="n">
        <v>2435100000</v>
      </c>
      <c r="Z37" s="259" t="n">
        <v>2598800000</v>
      </c>
      <c r="AA37" s="259" t="n">
        <v>2473700000</v>
      </c>
      <c r="AB37" s="259" t="n">
        <v>2924800000</v>
      </c>
      <c r="AC37" s="259" t="n">
        <v>2886500000</v>
      </c>
      <c r="AD37" s="259" t="n">
        <v>3228600000</v>
      </c>
      <c r="AE37" s="259" t="n">
        <v>3442000000</v>
      </c>
      <c r="AF37" s="259" t="n">
        <v>4075700000</v>
      </c>
      <c r="AG37" s="259" t="n">
        <v>4262200000</v>
      </c>
      <c r="AH37" s="259" t="n">
        <v>5379000000</v>
      </c>
      <c r="AI37" s="259" t="n">
        <v>5029000000</v>
      </c>
      <c r="AJ37" s="259" t="n">
        <v>6112000000</v>
      </c>
    </row>
    <row r="38">
      <c r="A38" t="n">
        <v>24</v>
      </c>
      <c r="B38" t="n">
        <v>1</v>
      </c>
      <c r="G38" t="inlineStr">
        <is>
          <t>moeda</t>
        </is>
      </c>
      <c r="H38" t="inlineStr">
        <is>
          <t>EmployeeRelatedLiabilitiesCurrent</t>
        </is>
      </c>
      <c r="J38" t="inlineStr">
        <is>
          <t>fonte</t>
        </is>
      </c>
      <c r="K38" s="259" t="n">
        <v>565800000</v>
      </c>
      <c r="L38" s="259" t="n">
        <v>673600000</v>
      </c>
      <c r="M38" s="259" t="n">
        <v>795600000</v>
      </c>
      <c r="N38" s="259" t="n">
        <v>997200000</v>
      </c>
      <c r="O38" s="259" t="n">
        <v>649900000</v>
      </c>
      <c r="P38" s="259" t="n">
        <v>755500000</v>
      </c>
      <c r="Q38" s="259" t="n">
        <v>836600000</v>
      </c>
      <c r="R38" s="259" t="n">
        <v>958100000</v>
      </c>
      <c r="S38" s="259" t="n">
        <v>693100000</v>
      </c>
      <c r="T38" s="259" t="n">
        <v>835800000</v>
      </c>
      <c r="U38" s="259" t="n">
        <v>984100000</v>
      </c>
      <c r="V38" s="259" t="n">
        <v>1059800000</v>
      </c>
      <c r="W38" s="259" t="n">
        <v>739700000</v>
      </c>
      <c r="X38" s="259" t="n">
        <v>867700000</v>
      </c>
      <c r="Y38" s="259" t="n">
        <v>1233200000</v>
      </c>
      <c r="Z38" s="259" t="n">
        <v>1650400000</v>
      </c>
      <c r="AA38" s="259" t="n">
        <v>844200000</v>
      </c>
      <c r="AB38" s="259" t="n">
        <v>1168300000</v>
      </c>
      <c r="AC38" s="259" t="n">
        <v>1703300000</v>
      </c>
      <c r="AD38" s="259" t="n">
        <v>2093900000</v>
      </c>
      <c r="AE38" s="259" t="n">
        <v>1113900000</v>
      </c>
      <c r="AF38" s="259" t="n">
        <v>1303000000</v>
      </c>
      <c r="AG38" s="259" t="n">
        <v>1965700000</v>
      </c>
      <c r="AH38" s="259" t="n">
        <v>2375000000</v>
      </c>
      <c r="AI38" s="259" t="n">
        <v>1359000000</v>
      </c>
      <c r="AJ38" s="259" t="n">
        <v>1798000000</v>
      </c>
    </row>
    <row r="39">
      <c r="A39" t="n">
        <v>25</v>
      </c>
      <c r="B39" t="n">
        <v>1</v>
      </c>
      <c r="G39" t="inlineStr">
        <is>
          <t>moeda</t>
        </is>
      </c>
      <c r="H39" t="inlineStr">
        <is>
          <t>TaxesPayableCurrent</t>
        </is>
      </c>
      <c r="J39" t="inlineStr">
        <is>
          <t>fonte</t>
        </is>
      </c>
      <c r="K39" s="259" t="n">
        <v>667400000</v>
      </c>
      <c r="L39" s="259" t="n">
        <v>1460800000</v>
      </c>
      <c r="M39" s="259" t="n">
        <v>1173500000</v>
      </c>
      <c r="N39" s="259" t="n">
        <v>495100000</v>
      </c>
      <c r="O39" s="259" t="n">
        <v>791600000</v>
      </c>
      <c r="P39" s="259" t="n">
        <v>529900000</v>
      </c>
      <c r="Q39" s="259" t="n">
        <v>203500000</v>
      </c>
      <c r="R39" s="259" t="n">
        <v>126900000</v>
      </c>
      <c r="S39" s="259" t="n">
        <v>598300000</v>
      </c>
      <c r="T39" s="259" t="n">
        <v>126600000</v>
      </c>
      <c r="U39" s="259" t="n">
        <v>685600000</v>
      </c>
      <c r="V39" s="259" t="n">
        <v>475100000</v>
      </c>
      <c r="W39" s="259" t="n">
        <v>1528300000</v>
      </c>
      <c r="X39" s="259" t="n">
        <v>1233800000</v>
      </c>
      <c r="Y39" s="259" t="n">
        <v>1977500000</v>
      </c>
      <c r="Z39" s="259" t="n">
        <v>0</v>
      </c>
      <c r="AA39" s="259" t="n">
        <v>0</v>
      </c>
      <c r="AB39" s="259" t="n">
        <v>0</v>
      </c>
      <c r="AC39" s="259" t="n">
        <v>0</v>
      </c>
      <c r="AD39" s="259" t="n">
        <v>0</v>
      </c>
      <c r="AE39" s="259" t="n">
        <v>6175700000</v>
      </c>
      <c r="AF39" s="259" t="n">
        <v>6958000000</v>
      </c>
      <c r="AG39" s="259" t="n">
        <v>9444400000</v>
      </c>
      <c r="AH39" s="259" t="n">
        <v>0</v>
      </c>
      <c r="AI39" s="259" t="n">
        <v>0</v>
      </c>
      <c r="AJ39" s="259" t="n">
        <v>0</v>
      </c>
    </row>
    <row r="40">
      <c r="A40" t="n">
        <v>26</v>
      </c>
      <c r="B40" t="n">
        <v>1</v>
      </c>
      <c r="G40" t="inlineStr">
        <is>
          <t>moeda</t>
        </is>
      </c>
      <c r="H40" t="inlineStr">
        <is>
          <t>SalesRebatesAndDiscounts</t>
        </is>
      </c>
      <c r="J40" t="inlineStr">
        <is>
          <t>fonte</t>
        </is>
      </c>
      <c r="K40" s="259" t="n">
        <v>4703900000</v>
      </c>
      <c r="L40" s="259" t="n">
        <v>5282200000</v>
      </c>
      <c r="M40" s="259" t="n">
        <v>5745200000</v>
      </c>
      <c r="N40" s="259" t="n">
        <v>5853000000</v>
      </c>
      <c r="O40" s="259" t="n">
        <v>5821400000</v>
      </c>
      <c r="P40" s="259" t="n">
        <v>7035800000</v>
      </c>
      <c r="Q40" s="259" t="n">
        <v>7185600000</v>
      </c>
      <c r="R40" s="259" t="n">
        <v>6845800000</v>
      </c>
      <c r="S40" s="259" t="n">
        <v>6768700000</v>
      </c>
      <c r="T40" s="259" t="n">
        <v>7991400000</v>
      </c>
      <c r="U40" s="259" t="n">
        <v>8568400000</v>
      </c>
      <c r="V40" s="259" t="n">
        <v>8784100000</v>
      </c>
      <c r="W40" s="259" t="n">
        <v>9529500000</v>
      </c>
      <c r="X40" s="259" t="n">
        <v>10389900000</v>
      </c>
      <c r="Y40" s="259" t="n">
        <v>11522300000</v>
      </c>
      <c r="Z40" s="259" t="n">
        <v>11689000000</v>
      </c>
      <c r="AA40" s="259" t="n">
        <v>9429600000</v>
      </c>
      <c r="AB40" s="259" t="n">
        <v>12446800000</v>
      </c>
      <c r="AC40" s="259" t="n">
        <v>12429700000</v>
      </c>
      <c r="AD40" s="259" t="n">
        <v>11539300000</v>
      </c>
      <c r="AE40" s="259" t="n">
        <v>11550300000</v>
      </c>
      <c r="AF40" s="259" t="n">
        <v>14537400000</v>
      </c>
      <c r="AG40" s="259" t="n">
        <v>17620200000</v>
      </c>
      <c r="AH40" s="259" t="n">
        <v>17382000000</v>
      </c>
      <c r="AI40" s="259" t="n">
        <v>17547000000</v>
      </c>
      <c r="AJ40" s="259" t="n">
        <v>21122000000</v>
      </c>
    </row>
    <row r="41">
      <c r="A41" t="n">
        <v>26</v>
      </c>
      <c r="B41" t="n">
        <v>1</v>
      </c>
      <c r="G41" t="inlineStr">
        <is>
          <t>moeda</t>
        </is>
      </c>
      <c r="H41" t="inlineStr">
        <is>
          <t>DividendsPayableCurrent</t>
        </is>
      </c>
      <c r="J41" t="inlineStr">
        <is>
          <t>fonte</t>
        </is>
      </c>
      <c r="K41" s="259" t="n">
        <v>0</v>
      </c>
      <c r="L41" s="259" t="n">
        <v>0</v>
      </c>
      <c r="M41" s="259" t="n">
        <v>0</v>
      </c>
      <c r="N41" s="259" t="n">
        <v>770600000</v>
      </c>
      <c r="O41" s="259" t="n">
        <v>0</v>
      </c>
      <c r="P41" s="259" t="n">
        <v>770800000</v>
      </c>
      <c r="Q41" s="259" t="n">
        <v>0</v>
      </c>
      <c r="R41" s="259" t="n">
        <v>885500000</v>
      </c>
      <c r="S41" s="259" t="n">
        <v>0</v>
      </c>
      <c r="T41" s="259" t="n">
        <v>882200000</v>
      </c>
      <c r="U41" s="259" t="n">
        <v>0</v>
      </c>
      <c r="V41" s="259" t="n">
        <v>1017200000</v>
      </c>
      <c r="W41" s="259" t="n">
        <v>0</v>
      </c>
      <c r="X41" s="259" t="n">
        <v>1016200000</v>
      </c>
      <c r="Y41" s="259" t="n">
        <v>0</v>
      </c>
      <c r="Z41" s="259" t="n">
        <v>1169200000</v>
      </c>
      <c r="AA41" s="259" t="n">
        <v>0</v>
      </c>
      <c r="AB41" s="259" t="n">
        <v>1170500000</v>
      </c>
      <c r="AC41" s="259" t="n">
        <v>0</v>
      </c>
      <c r="AD41" s="259" t="n">
        <v>1346300000</v>
      </c>
      <c r="AE41" s="259" t="n">
        <v>0</v>
      </c>
      <c r="AF41" s="259" t="n">
        <v>1345200000</v>
      </c>
      <c r="AG41" s="259" t="n">
        <v>0</v>
      </c>
      <c r="AH41" s="259" t="n">
        <v>0</v>
      </c>
      <c r="AI41" s="259" t="n">
        <v>0</v>
      </c>
      <c r="AJ41" s="259" t="n">
        <v>0</v>
      </c>
    </row>
    <row r="42">
      <c r="A42" t="n">
        <v>26</v>
      </c>
      <c r="B42" t="n">
        <v>1</v>
      </c>
      <c r="G42" t="inlineStr">
        <is>
          <t>moeda</t>
        </is>
      </c>
      <c r="H42" t="inlineStr">
        <is>
          <t>OtherLiabilitiesCurrent</t>
        </is>
      </c>
      <c r="J42" t="inlineStr">
        <is>
          <t>fonte</t>
        </is>
      </c>
      <c r="K42" s="259" t="n">
        <v>2217400000</v>
      </c>
      <c r="L42" s="259" t="n">
        <v>2060900000</v>
      </c>
      <c r="M42" s="259" t="n">
        <v>2245000000</v>
      </c>
      <c r="N42" s="259" t="n">
        <v>2750300000</v>
      </c>
      <c r="O42" s="259" t="n">
        <v>2806800000</v>
      </c>
      <c r="P42" s="259" t="n">
        <v>2624900000</v>
      </c>
      <c r="Q42" s="259" t="n">
        <v>2326500000</v>
      </c>
      <c r="R42" s="259" t="n">
        <v>3027500000</v>
      </c>
      <c r="S42" s="259" t="n">
        <v>2536700000</v>
      </c>
      <c r="T42" s="259" t="n">
        <v>2003500000</v>
      </c>
      <c r="U42" s="259" t="n">
        <v>1986900000</v>
      </c>
      <c r="V42" s="259" t="n">
        <v>2370300000</v>
      </c>
      <c r="W42" s="259" t="n">
        <v>2193500000</v>
      </c>
      <c r="X42" s="259" t="n">
        <v>2271600000</v>
      </c>
      <c r="Y42" s="259" t="n">
        <v>2585400000</v>
      </c>
      <c r="Z42" s="259" t="n">
        <v>3281300000</v>
      </c>
      <c r="AA42" s="259" t="n">
        <v>4199100000</v>
      </c>
      <c r="AB42" s="259" t="n">
        <v>4249200000</v>
      </c>
      <c r="AC42" s="259" t="n">
        <v>5580300000</v>
      </c>
      <c r="AD42" s="259" t="n">
        <v>5051400000</v>
      </c>
      <c r="AE42" s="259" t="n">
        <v>3769800000</v>
      </c>
      <c r="AF42" s="259" t="n">
        <v>5076900000</v>
      </c>
      <c r="AG42" s="259" t="n">
        <v>5215400000</v>
      </c>
      <c r="AH42" s="259" t="n">
        <v>8457000000</v>
      </c>
      <c r="AI42" s="259" t="n">
        <v>8699000000</v>
      </c>
      <c r="AJ42" s="259" t="n">
        <v>11659000000</v>
      </c>
    </row>
    <row r="43">
      <c r="A43" t="n">
        <v>27</v>
      </c>
      <c r="B43" t="n">
        <v>1</v>
      </c>
      <c r="G43" t="inlineStr">
        <is>
          <t>moeda</t>
        </is>
      </c>
      <c r="H43" t="inlineStr">
        <is>
          <t>DebtCurrent</t>
        </is>
      </c>
      <c r="J43" t="inlineStr">
        <is>
          <t>fonte</t>
        </is>
      </c>
      <c r="K43" s="259" t="n">
        <v>3248000000</v>
      </c>
      <c r="L43" s="259" t="n">
        <v>1263800000</v>
      </c>
      <c r="M43" s="259" t="n">
        <v>587500000</v>
      </c>
      <c r="N43" s="259" t="n">
        <v>8700000</v>
      </c>
      <c r="O43" s="259" t="n">
        <v>4900000</v>
      </c>
      <c r="P43" s="259" t="n">
        <v>1778500000</v>
      </c>
      <c r="Q43" s="259" t="n">
        <v>1563000000</v>
      </c>
      <c r="R43" s="259" t="n">
        <v>1538300000</v>
      </c>
      <c r="S43" s="259" t="n">
        <v>1355900000</v>
      </c>
      <c r="T43" s="259" t="n">
        <v>2121800000</v>
      </c>
      <c r="U43" s="259" t="n">
        <v>1744600000</v>
      </c>
      <c r="V43" s="259" t="n">
        <v>1501100000</v>
      </c>
      <c r="W43" s="259" t="n">
        <v>3100000</v>
      </c>
      <c r="X43" s="259" t="n">
        <v>661600000</v>
      </c>
      <c r="Y43" s="259" t="n">
        <v>2244700000</v>
      </c>
      <c r="Z43" s="259" t="n">
        <v>6904500000</v>
      </c>
      <c r="AA43" s="259" t="n">
        <v>1651500000</v>
      </c>
      <c r="AB43" s="259" t="n">
        <v>5161600000</v>
      </c>
      <c r="AC43" s="259" t="n">
        <v>2074300000</v>
      </c>
      <c r="AD43" s="259" t="n">
        <v>5117100000</v>
      </c>
      <c r="AE43" s="259" t="n">
        <v>4016400000</v>
      </c>
      <c r="AF43" s="259" t="n">
        <v>5723700000</v>
      </c>
      <c r="AG43" s="259" t="n">
        <v>1633000000</v>
      </c>
      <c r="AH43" s="259" t="n">
        <v>1635000000</v>
      </c>
      <c r="AI43" s="259" t="n">
        <v>4000000000</v>
      </c>
      <c r="AJ43" s="259" t="n">
        <v>7050000000</v>
      </c>
    </row>
    <row r="44">
      <c r="A44" t="n">
        <v>30</v>
      </c>
      <c r="B44" t="n">
        <v>1</v>
      </c>
      <c r="G44" t="inlineStr">
        <is>
          <t>moeda</t>
        </is>
      </c>
      <c r="H44" t="inlineStr">
        <is>
          <t>LongTermDebtNoncurrent</t>
        </is>
      </c>
      <c r="J44" t="inlineStr">
        <is>
          <t>fonte</t>
        </is>
      </c>
      <c r="K44" s="259" t="n">
        <v>13982300000</v>
      </c>
      <c r="L44" s="259" t="n">
        <v>15064400000</v>
      </c>
      <c r="M44" s="259" t="n">
        <v>16334600000</v>
      </c>
      <c r="N44" s="259" t="n">
        <v>16586600000</v>
      </c>
      <c r="O44" s="259" t="n">
        <v>16199600000</v>
      </c>
      <c r="P44" s="259" t="n">
        <v>14736600000</v>
      </c>
      <c r="Q44" s="259" t="n">
        <v>15522400000</v>
      </c>
      <c r="R44" s="259" t="n">
        <v>15346400000</v>
      </c>
      <c r="S44" s="259" t="n">
        <v>15152900000</v>
      </c>
      <c r="T44" s="259" t="n">
        <v>14692000000</v>
      </c>
      <c r="U44" s="259" t="n">
        <v>14143800000</v>
      </c>
      <c r="V44" s="259" t="n">
        <v>14737500000</v>
      </c>
      <c r="W44" s="259" t="n">
        <v>18880500000</v>
      </c>
      <c r="X44" s="259" t="n">
        <v>18158400000</v>
      </c>
      <c r="Y44" s="259" t="n">
        <v>17923600000</v>
      </c>
      <c r="Z44" s="259" t="n">
        <v>18320800000</v>
      </c>
      <c r="AA44" s="259" t="n">
        <v>24559900000</v>
      </c>
      <c r="AB44" s="259" t="n">
        <v>23730400000</v>
      </c>
      <c r="AC44" s="259" t="n">
        <v>29045400000</v>
      </c>
      <c r="AD44" s="259" t="n">
        <v>28527100000</v>
      </c>
      <c r="AE44" s="259" t="n">
        <v>34499500000</v>
      </c>
      <c r="AF44" s="259" t="n">
        <v>34180100000</v>
      </c>
      <c r="AG44" s="259" t="n">
        <v>40873600000</v>
      </c>
      <c r="AH44" s="259" t="n">
        <v>40868000000</v>
      </c>
      <c r="AI44" s="259" t="n">
        <v>39370000000</v>
      </c>
      <c r="AJ44" s="259" t="n">
        <v>47858000000</v>
      </c>
    </row>
    <row r="45">
      <c r="A45" t="n">
        <v>33</v>
      </c>
      <c r="B45" t="n">
        <v>1</v>
      </c>
      <c r="G45" t="inlineStr">
        <is>
          <t>moeda</t>
        </is>
      </c>
      <c r="H45" t="inlineStr">
        <is>
          <t>DeferredIncomeTaxLiabilitiesNet</t>
        </is>
      </c>
      <c r="J45" t="inlineStr">
        <is>
          <t>fonte</t>
        </is>
      </c>
      <c r="K45" s="259" t="n">
        <v>2186200000</v>
      </c>
      <c r="L45" s="259" t="n">
        <v>2039200000</v>
      </c>
      <c r="M45" s="259" t="n">
        <v>2107700000</v>
      </c>
      <c r="N45" s="259" t="n">
        <v>2099900000</v>
      </c>
      <c r="O45" s="259" t="n">
        <v>2200600000</v>
      </c>
      <c r="P45" s="259" t="n">
        <v>1857300000</v>
      </c>
      <c r="Q45" s="259" t="n">
        <v>1632500000</v>
      </c>
      <c r="R45" s="259" t="n">
        <v>1733700000</v>
      </c>
      <c r="S45" s="259" t="n">
        <v>1286100000</v>
      </c>
      <c r="T45" s="259" t="n">
        <v>862500000</v>
      </c>
      <c r="U45" s="259" t="n">
        <v>171900000</v>
      </c>
      <c r="V45" s="259" t="n">
        <v>87300000</v>
      </c>
      <c r="W45" s="259" t="n">
        <v>0</v>
      </c>
      <c r="X45" s="259" t="n">
        <v>0</v>
      </c>
      <c r="Y45" s="259" t="n">
        <v>0</v>
      </c>
      <c r="Z45" s="259" t="n">
        <v>0</v>
      </c>
      <c r="AA45" s="259" t="n">
        <v>0</v>
      </c>
      <c r="AB45" s="259" t="n">
        <v>0</v>
      </c>
      <c r="AC45" s="259" t="n">
        <v>0</v>
      </c>
      <c r="AD45" s="259" t="n">
        <v>0</v>
      </c>
      <c r="AE45" s="259" t="n">
        <v>0</v>
      </c>
      <c r="AF45" s="259" t="n">
        <v>0</v>
      </c>
      <c r="AG45" s="259" t="n">
        <v>0</v>
      </c>
      <c r="AH45" s="259" t="n">
        <v>0</v>
      </c>
      <c r="AI45" s="259" t="n">
        <v>0</v>
      </c>
      <c r="AJ45" s="259" t="n">
        <v>0</v>
      </c>
    </row>
    <row r="46">
      <c r="A46" t="n">
        <v>34</v>
      </c>
      <c r="B46" t="n">
        <v>1</v>
      </c>
      <c r="G46" t="inlineStr">
        <is>
          <t>moeda</t>
        </is>
      </c>
      <c r="H46" t="inlineStr">
        <is>
          <t>PensionAndOtherPostretirementDefinedBenefitPlansLiabilitiesNoncurrent</t>
        </is>
      </c>
      <c r="J46" t="inlineStr">
        <is>
          <t>fonte</t>
        </is>
      </c>
      <c r="K46" s="259" t="n">
        <v>3632000000</v>
      </c>
      <c r="L46" s="259" t="n">
        <v>3398600000</v>
      </c>
      <c r="M46" s="259" t="n">
        <v>3435500000</v>
      </c>
      <c r="N46" s="259" t="n">
        <v>4094500000</v>
      </c>
      <c r="O46" s="259" t="n">
        <v>3969800000</v>
      </c>
      <c r="P46" s="259" t="n">
        <v>3918500000</v>
      </c>
      <c r="Q46" s="259" t="n">
        <v>3878800000</v>
      </c>
      <c r="R46" s="259" t="n">
        <v>1954100000</v>
      </c>
      <c r="S46" s="259" t="n">
        <v>1940300000</v>
      </c>
      <c r="T46" s="259" t="n">
        <v>1888600000</v>
      </c>
      <c r="U46" s="259" t="n">
        <v>1832500000</v>
      </c>
      <c r="V46" s="259" t="n">
        <v>1305100000</v>
      </c>
      <c r="W46" s="259" t="n">
        <v>1313000000</v>
      </c>
      <c r="X46" s="259" t="n">
        <v>1308800000</v>
      </c>
      <c r="Y46" s="259" t="n">
        <v>1311900000</v>
      </c>
      <c r="Z46" s="259" t="n">
        <v>1438800000</v>
      </c>
      <c r="AA46" s="259" t="n">
        <v>1427900000</v>
      </c>
      <c r="AB46" s="259" t="n">
        <v>1420400000</v>
      </c>
      <c r="AC46" s="259" t="n">
        <v>1448500000</v>
      </c>
      <c r="AD46" s="259" t="n">
        <v>1300500000</v>
      </c>
      <c r="AE46" s="259" t="n">
        <v>1315500000</v>
      </c>
      <c r="AF46" s="259" t="n">
        <v>1344500000</v>
      </c>
      <c r="AG46" s="259" t="n">
        <v>0</v>
      </c>
      <c r="AH46" s="259" t="n">
        <v>0</v>
      </c>
      <c r="AI46" s="259" t="n">
        <v>0</v>
      </c>
      <c r="AJ46" s="259" t="n">
        <v>0</v>
      </c>
    </row>
    <row r="47">
      <c r="A47" t="n">
        <v>34</v>
      </c>
      <c r="B47" t="n">
        <v>1</v>
      </c>
      <c r="G47" t="inlineStr">
        <is>
          <t>moeda</t>
        </is>
      </c>
      <c r="H47" t="inlineStr">
        <is>
          <t>AccruedIncomeTaxesNoncurrent</t>
        </is>
      </c>
      <c r="J47" t="inlineStr">
        <is>
          <t>fonte</t>
        </is>
      </c>
      <c r="K47" s="259" t="n">
        <v>3621900000</v>
      </c>
      <c r="L47" s="259" t="n">
        <v>3377500000</v>
      </c>
      <c r="M47" s="259" t="n">
        <v>3392700000</v>
      </c>
      <c r="N47" s="259" t="n">
        <v>3837800000</v>
      </c>
      <c r="O47" s="259" t="n">
        <v>3917500000</v>
      </c>
      <c r="P47" s="259" t="n">
        <v>3738000000</v>
      </c>
      <c r="Q47" s="259" t="n">
        <v>3768500000</v>
      </c>
      <c r="R47" s="259" t="n">
        <v>3920000000</v>
      </c>
      <c r="S47" s="259" t="n">
        <v>3978100000</v>
      </c>
      <c r="T47" s="259" t="n">
        <v>3557600000</v>
      </c>
      <c r="U47" s="259" t="n">
        <v>3641700000</v>
      </c>
      <c r="V47" s="259" t="n">
        <v>3709600000</v>
      </c>
      <c r="W47" s="259" t="n">
        <v>3842100000</v>
      </c>
      <c r="X47" s="259" t="n">
        <v>3330700000</v>
      </c>
      <c r="Y47" s="259" t="n">
        <v>3468300000</v>
      </c>
      <c r="Z47" s="259" t="n">
        <v>3849200000</v>
      </c>
      <c r="AA47" s="259" t="n">
        <v>4189400000</v>
      </c>
      <c r="AB47" s="259" t="n">
        <v>3496600000</v>
      </c>
      <c r="AC47" s="259" t="n">
        <v>3878800000</v>
      </c>
      <c r="AD47" s="259" t="n">
        <v>4060900000</v>
      </c>
      <c r="AE47" s="259" t="n">
        <v>5370500000</v>
      </c>
      <c r="AF47" s="259" t="n">
        <v>5684300000</v>
      </c>
      <c r="AG47" s="259" t="n">
        <v>6293600000</v>
      </c>
      <c r="AH47" s="259" t="n">
        <v>5875000000</v>
      </c>
      <c r="AI47" s="259" t="n">
        <v>5289000000</v>
      </c>
      <c r="AJ47" s="259" t="n">
        <v>5461000000</v>
      </c>
    </row>
    <row r="48">
      <c r="A48" t="n">
        <v>34</v>
      </c>
      <c r="B48" t="n">
        <v>1</v>
      </c>
      <c r="G48" t="inlineStr">
        <is>
          <t>moeda</t>
        </is>
      </c>
      <c r="H48" t="inlineStr">
        <is>
          <t>OtherLiabilitiesNoncurrent</t>
        </is>
      </c>
      <c r="J48" t="inlineStr">
        <is>
          <t>fonte</t>
        </is>
      </c>
      <c r="K48" s="259" t="n">
        <v>1873000000</v>
      </c>
      <c r="L48" s="259" t="n">
        <v>1826800000</v>
      </c>
      <c r="M48" s="259" t="n">
        <v>1702600000</v>
      </c>
      <c r="N48" s="259" t="n">
        <v>1707500000</v>
      </c>
      <c r="O48" s="259" t="n">
        <v>1737300000</v>
      </c>
      <c r="P48" s="259" t="n">
        <v>1801900000</v>
      </c>
      <c r="Q48" s="259" t="n">
        <v>1748700000</v>
      </c>
      <c r="R48" s="259" t="n">
        <v>1644300000</v>
      </c>
      <c r="S48" s="259" t="n">
        <v>1713900000</v>
      </c>
      <c r="T48" s="259" t="n">
        <v>1783100000</v>
      </c>
      <c r="U48" s="259" t="n">
        <v>1852900000</v>
      </c>
      <c r="V48" s="259" t="n">
        <v>1736700000</v>
      </c>
      <c r="W48" s="259" t="n">
        <v>1822500000</v>
      </c>
      <c r="X48" s="259" t="n">
        <v>1951800000</v>
      </c>
      <c r="Y48" s="259" t="n">
        <v>1906100000</v>
      </c>
      <c r="Z48" s="259" t="n">
        <v>2240600000</v>
      </c>
      <c r="AA48" s="259" t="n">
        <v>2270800000</v>
      </c>
      <c r="AB48" s="259" t="n">
        <v>2470700000</v>
      </c>
      <c r="AC48" s="259" t="n">
        <v>2239400000</v>
      </c>
      <c r="AD48" s="259" t="n">
        <v>2178200000</v>
      </c>
      <c r="AE48" s="259" t="n">
        <v>2288400000</v>
      </c>
      <c r="AF48" s="259" t="n">
        <v>2344700000</v>
      </c>
      <c r="AG48" s="259" t="n">
        <v>3776500000</v>
      </c>
      <c r="AH48" s="259" t="n">
        <v>3970000000</v>
      </c>
      <c r="AI48" s="259" t="n">
        <v>4085000000</v>
      </c>
      <c r="AJ48" s="259" t="n">
        <v>7344000000</v>
      </c>
    </row>
    <row r="49">
      <c r="A49" t="n">
        <v>34</v>
      </c>
      <c r="B49" t="n">
        <v>1</v>
      </c>
      <c r="G49" t="inlineStr">
        <is>
          <t>moeda</t>
        </is>
      </c>
      <c r="H49" t="inlineStr">
        <is>
          <t>OtherAdditionalCapital</t>
        </is>
      </c>
      <c r="J49" t="inlineStr">
        <is>
          <t>fonte</t>
        </is>
      </c>
      <c r="K49" s="259" t="n">
        <v>0</v>
      </c>
      <c r="L49" s="259" t="n">
        <v>0</v>
      </c>
      <c r="M49" s="259" t="n">
        <v>0</v>
      </c>
      <c r="N49" s="259" t="n">
        <v>0</v>
      </c>
      <c r="O49" s="259" t="n">
        <v>0</v>
      </c>
      <c r="P49" s="259" t="n">
        <v>0</v>
      </c>
      <c r="Q49" s="259" t="n">
        <v>0</v>
      </c>
      <c r="R49" s="259" t="n">
        <v>0</v>
      </c>
      <c r="S49" s="259" t="n">
        <v>0</v>
      </c>
      <c r="T49" s="259" t="n">
        <v>0</v>
      </c>
      <c r="U49" s="259" t="n">
        <v>0</v>
      </c>
      <c r="V49" s="259" t="n">
        <v>0</v>
      </c>
      <c r="W49" s="259" t="n">
        <v>0</v>
      </c>
      <c r="X49" s="259" t="n">
        <v>0</v>
      </c>
      <c r="Y49" s="259" t="n">
        <v>0</v>
      </c>
      <c r="Z49" s="259" t="n">
        <v>0</v>
      </c>
      <c r="AA49" s="259" t="n">
        <v>0</v>
      </c>
      <c r="AB49" s="259" t="n">
        <v>0</v>
      </c>
      <c r="AC49" s="259" t="n">
        <v>0</v>
      </c>
      <c r="AD49" s="259" t="n">
        <v>0</v>
      </c>
      <c r="AE49" s="259" t="n">
        <v>0</v>
      </c>
      <c r="AF49" s="259" t="n">
        <v>0</v>
      </c>
      <c r="AG49" s="259" t="n">
        <v>0</v>
      </c>
      <c r="AH49" s="259" t="n">
        <v>22000000</v>
      </c>
      <c r="AI49" s="259" t="n">
        <v>19000000</v>
      </c>
      <c r="AJ49" s="259" t="n">
        <v>55000000</v>
      </c>
    </row>
    <row r="50">
      <c r="A50" t="n">
        <v>35</v>
      </c>
      <c r="B50" t="n">
        <v>1</v>
      </c>
      <c r="G50" t="inlineStr">
        <is>
          <t>moeda</t>
        </is>
      </c>
      <c r="H50" t="inlineStr">
        <is>
          <t>MinorityInterest</t>
        </is>
      </c>
      <c r="J50" t="inlineStr">
        <is>
          <t>fonte</t>
        </is>
      </c>
      <c r="K50" s="259" t="n">
        <v>118400000</v>
      </c>
      <c r="L50" s="259" t="n">
        <v>179100000</v>
      </c>
      <c r="M50" s="259" t="n">
        <v>169100000</v>
      </c>
      <c r="N50" s="259" t="n">
        <v>183600000</v>
      </c>
      <c r="O50" s="259" t="n">
        <v>200600000</v>
      </c>
      <c r="P50" s="259" t="n">
        <v>219100000</v>
      </c>
      <c r="Q50" s="259" t="n">
        <v>197100000</v>
      </c>
      <c r="R50" s="259" t="n">
        <v>175600000</v>
      </c>
      <c r="S50" s="259" t="n">
        <v>131200000</v>
      </c>
      <c r="T50" s="259" t="n">
        <v>114500000</v>
      </c>
      <c r="U50" s="259" t="n">
        <v>95800000</v>
      </c>
      <c r="V50" s="259" t="n">
        <v>125600000</v>
      </c>
      <c r="W50" s="259" t="n">
        <v>104500000</v>
      </c>
      <c r="X50" s="259" t="n">
        <v>85500000</v>
      </c>
      <c r="Y50" s="259" t="n">
        <v>87000000</v>
      </c>
      <c r="Z50" s="259" t="n">
        <v>91800000</v>
      </c>
      <c r="AA50" s="259" t="n">
        <v>85200000</v>
      </c>
      <c r="AB50" s="259" t="n">
        <v>73500000</v>
      </c>
      <c r="AC50" s="259" t="n">
        <v>80700000</v>
      </c>
      <c r="AD50" s="259" t="n">
        <v>79500000</v>
      </c>
      <c r="AE50" s="259" t="n">
        <v>82000000</v>
      </c>
      <c r="AF50" s="259" t="n">
        <v>76200000</v>
      </c>
      <c r="AG50" s="259" t="n">
        <v>57500000</v>
      </c>
      <c r="AH50" s="259" t="n">
        <v>0</v>
      </c>
      <c r="AI50" s="259" t="n">
        <v>0</v>
      </c>
      <c r="AJ50" s="259" t="n">
        <v>0</v>
      </c>
    </row>
    <row r="51">
      <c r="A51" t="n">
        <v>37</v>
      </c>
      <c r="B51" t="n">
        <v>1</v>
      </c>
      <c r="G51" t="inlineStr">
        <is>
          <t>moeda</t>
        </is>
      </c>
      <c r="H51" t="inlineStr">
        <is>
          <t>CommonStockValue</t>
        </is>
      </c>
      <c r="J51" t="inlineStr">
        <is>
          <t>fonte</t>
        </is>
      </c>
      <c r="K51" s="259" t="n">
        <v>598100000</v>
      </c>
      <c r="L51" s="259" t="n">
        <v>598100000</v>
      </c>
      <c r="M51" s="259" t="n">
        <v>598100000</v>
      </c>
      <c r="N51" s="259" t="n">
        <v>598200000</v>
      </c>
      <c r="O51" s="259" t="n">
        <v>599700000</v>
      </c>
      <c r="P51" s="259" t="n">
        <v>598100000</v>
      </c>
      <c r="Q51" s="259" t="n">
        <v>598200000</v>
      </c>
      <c r="R51" s="259" t="n">
        <v>596300000</v>
      </c>
      <c r="S51" s="259" t="n">
        <v>594100000</v>
      </c>
      <c r="T51" s="259" t="n">
        <v>594100000</v>
      </c>
      <c r="U51" s="259" t="n">
        <v>594100000</v>
      </c>
      <c r="V51" s="259" t="n">
        <v>594100000</v>
      </c>
      <c r="W51" s="259" t="n">
        <v>593500000</v>
      </c>
      <c r="X51" s="259" t="n">
        <v>593600000</v>
      </c>
      <c r="Y51" s="259" t="n">
        <v>593600000</v>
      </c>
      <c r="Z51" s="259" t="n">
        <v>593600000</v>
      </c>
      <c r="AA51" s="259" t="n">
        <v>594200000</v>
      </c>
      <c r="AB51" s="259" t="n">
        <v>594200000</v>
      </c>
      <c r="AC51" s="259" t="n">
        <v>593900000</v>
      </c>
      <c r="AD51" s="259" t="n">
        <v>592400000</v>
      </c>
      <c r="AE51" s="259" t="n">
        <v>592600000</v>
      </c>
      <c r="AF51" s="259" t="n">
        <v>592000000</v>
      </c>
      <c r="AG51" s="259" t="n">
        <v>591400000</v>
      </c>
      <c r="AH51" s="259" t="n">
        <v>590000000</v>
      </c>
      <c r="AI51" s="259" t="n">
        <v>590000000</v>
      </c>
      <c r="AJ51" s="259" t="n">
        <v>588000000</v>
      </c>
    </row>
    <row r="52">
      <c r="A52" t="n">
        <v>37</v>
      </c>
      <c r="B52" t="n">
        <v>1</v>
      </c>
      <c r="G52" t="inlineStr">
        <is>
          <t>moeda</t>
        </is>
      </c>
      <c r="H52" t="inlineStr">
        <is>
          <t>AdditionalPaidInCapitalCommonStock</t>
        </is>
      </c>
      <c r="J52" t="inlineStr">
        <is>
          <t>fonte</t>
        </is>
      </c>
      <c r="K52" s="259" t="n">
        <v>6556100000</v>
      </c>
      <c r="L52" s="259" t="n">
        <v>6629400000</v>
      </c>
      <c r="M52" s="259" t="n">
        <v>6698800000</v>
      </c>
      <c r="N52" s="259" t="n">
        <v>6778500000</v>
      </c>
      <c r="O52" s="259" t="n">
        <v>6579200000</v>
      </c>
      <c r="P52" s="259" t="n">
        <v>6669200000</v>
      </c>
      <c r="Q52" s="259" t="n">
        <v>6758000000</v>
      </c>
      <c r="R52" s="259" t="n">
        <v>6833400000</v>
      </c>
      <c r="S52" s="259" t="n">
        <v>6656300000</v>
      </c>
      <c r="T52" s="259" t="n">
        <v>6746000000</v>
      </c>
      <c r="U52" s="259" t="n">
        <v>6829000000</v>
      </c>
      <c r="V52" s="259" t="n">
        <v>6921400000</v>
      </c>
      <c r="W52" s="259" t="n">
        <v>6793100000</v>
      </c>
      <c r="X52" s="259" t="n">
        <v>6948600000</v>
      </c>
      <c r="Y52" s="259" t="n">
        <v>7160000000</v>
      </c>
      <c r="Z52" s="259" t="n">
        <v>7250400000</v>
      </c>
      <c r="AA52" s="259" t="n">
        <v>7009500000</v>
      </c>
      <c r="AB52" s="259" t="n">
        <v>7214200000</v>
      </c>
      <c r="AC52" s="259" t="n">
        <v>7339600000</v>
      </c>
      <c r="AD52" s="259" t="n">
        <v>7439300000</v>
      </c>
      <c r="AE52" s="259" t="n">
        <v>6910000000</v>
      </c>
      <c r="AF52" s="259" t="n">
        <v>7089300000</v>
      </c>
      <c r="AG52" s="259" t="n">
        <v>7231900000</v>
      </c>
      <c r="AH52" s="259" t="n">
        <v>7346000000</v>
      </c>
      <c r="AI52" s="259" t="n">
        <v>6921000000</v>
      </c>
      <c r="AJ52" s="259" t="n">
        <v>7117000000</v>
      </c>
    </row>
    <row r="53">
      <c r="A53" t="n">
        <v>38</v>
      </c>
      <c r="B53" t="n">
        <v>1</v>
      </c>
      <c r="G53" t="inlineStr">
        <is>
          <t>moeda</t>
        </is>
      </c>
      <c r="H53" t="inlineStr">
        <is>
          <t>CommonStockSharesHeldInEmployeeTrust (divulgado positivo, lançado negativo)</t>
        </is>
      </c>
      <c r="J53" t="inlineStr">
        <is>
          <t>fonte</t>
        </is>
      </c>
      <c r="K53" s="259" t="n">
        <v>-3013200000</v>
      </c>
      <c r="L53" s="259" t="n">
        <v>-3013200000</v>
      </c>
      <c r="M53" s="259" t="n">
        <v>-3013200000</v>
      </c>
      <c r="N53" s="259" t="n">
        <v>-3013200000</v>
      </c>
      <c r="O53" s="259" t="n">
        <v>-3013200000</v>
      </c>
      <c r="P53" s="259" t="n">
        <v>-3013200000</v>
      </c>
      <c r="Q53" s="259" t="n">
        <v>-3013200000</v>
      </c>
      <c r="R53" s="259" t="n">
        <v>-3013200000</v>
      </c>
      <c r="S53" s="259" t="n">
        <v>-3013200000</v>
      </c>
      <c r="T53" s="259" t="n">
        <v>-3013200000</v>
      </c>
      <c r="U53" s="259" t="n">
        <v>-3013200000</v>
      </c>
      <c r="V53" s="259" t="n">
        <v>-3013200000</v>
      </c>
      <c r="W53" s="259" t="n">
        <v>-3013200000</v>
      </c>
      <c r="X53" s="259" t="n">
        <v>-3013200000</v>
      </c>
      <c r="Y53" s="259" t="n">
        <v>-3013200000</v>
      </c>
      <c r="Z53" s="259" t="n">
        <v>-3013200000</v>
      </c>
      <c r="AA53" s="259" t="n">
        <v>-3013200000</v>
      </c>
      <c r="AB53" s="259" t="n">
        <v>-3013200000</v>
      </c>
      <c r="AC53" s="259" t="n">
        <v>-3013200000</v>
      </c>
      <c r="AD53" s="259" t="n">
        <v>-3013200000</v>
      </c>
      <c r="AE53" s="259" t="n">
        <v>-3013200000</v>
      </c>
      <c r="AF53" s="259" t="n">
        <v>-3013200000</v>
      </c>
      <c r="AG53" s="259" t="n">
        <v>-3013200000</v>
      </c>
      <c r="AH53" s="259" t="n">
        <v>-3013000000</v>
      </c>
      <c r="AI53" s="259" t="n">
        <v>-3013000000</v>
      </c>
      <c r="AJ53" s="259" t="n">
        <v>-3013000000</v>
      </c>
    </row>
    <row r="54">
      <c r="A54" t="n">
        <v>38</v>
      </c>
      <c r="B54" t="n">
        <v>1</v>
      </c>
      <c r="G54" t="inlineStr">
        <is>
          <t>moeda</t>
        </is>
      </c>
      <c r="H54" t="inlineStr">
        <is>
          <t>TreasuryStockValue (divulgado positivo, lançado negativo)</t>
        </is>
      </c>
      <c r="J54" t="inlineStr">
        <is>
          <t>fonte</t>
        </is>
      </c>
      <c r="K54" s="259" t="n">
        <v>-55700000</v>
      </c>
      <c r="L54" s="259" t="n">
        <v>-55700000</v>
      </c>
      <c r="M54" s="259" t="n">
        <v>-55700000</v>
      </c>
      <c r="N54" s="259" t="n">
        <v>-55700000</v>
      </c>
      <c r="O54" s="259" t="n">
        <v>-52700000</v>
      </c>
      <c r="P54" s="259" t="n">
        <v>-52700000</v>
      </c>
      <c r="Q54" s="259" t="n">
        <v>-52700000</v>
      </c>
      <c r="R54" s="259" t="n">
        <v>-52700000</v>
      </c>
      <c r="S54" s="259" t="n">
        <v>-50500000</v>
      </c>
      <c r="T54" s="259" t="n">
        <v>0</v>
      </c>
      <c r="U54" s="259" t="n">
        <v>0</v>
      </c>
      <c r="V54" s="259" t="n">
        <v>0</v>
      </c>
      <c r="W54" s="259" t="n">
        <v>0</v>
      </c>
      <c r="X54" s="259" t="n">
        <v>0</v>
      </c>
      <c r="Y54" s="259" t="n">
        <v>0</v>
      </c>
      <c r="Z54" s="259" t="n">
        <v>0</v>
      </c>
      <c r="AA54" s="259" t="n">
        <v>0</v>
      </c>
      <c r="AB54" s="259" t="n">
        <v>0</v>
      </c>
      <c r="AC54" s="259" t="n">
        <v>0</v>
      </c>
      <c r="AD54" s="259" t="n">
        <v>0</v>
      </c>
      <c r="AE54" s="259" t="n">
        <v>0</v>
      </c>
      <c r="AF54" s="259" t="n">
        <v>0</v>
      </c>
      <c r="AG54" s="259" t="n">
        <v>0</v>
      </c>
      <c r="AH54" s="259" t="n">
        <v>0</v>
      </c>
      <c r="AI54" s="259" t="n">
        <v>0</v>
      </c>
      <c r="AJ54" s="259" t="n">
        <v>0</v>
      </c>
    </row>
    <row r="55">
      <c r="A55" t="n">
        <v>38</v>
      </c>
      <c r="B55" t="n">
        <v>1</v>
      </c>
      <c r="G55" t="inlineStr">
        <is>
          <t>moeda</t>
        </is>
      </c>
      <c r="H55" t="inlineStr">
        <is>
          <t>TreasuryStockCommonValue (divulgado positivo, lançado negativo)</t>
        </is>
      </c>
      <c r="J55" t="inlineStr">
        <is>
          <t>fonte</t>
        </is>
      </c>
      <c r="K55" s="259" t="n">
        <v>0</v>
      </c>
      <c r="L55" s="259" t="n">
        <v>0</v>
      </c>
      <c r="M55" s="259" t="n">
        <v>0</v>
      </c>
      <c r="N55" s="259" t="n">
        <v>0</v>
      </c>
      <c r="O55" s="259" t="n">
        <v>0</v>
      </c>
      <c r="P55" s="259" t="n">
        <v>0</v>
      </c>
      <c r="Q55" s="259" t="n">
        <v>0</v>
      </c>
      <c r="R55" s="259" t="n">
        <v>0</v>
      </c>
      <c r="S55" s="259" t="n">
        <v>0</v>
      </c>
      <c r="T55" s="259" t="n">
        <v>-50500000</v>
      </c>
      <c r="U55" s="259" t="n">
        <v>-50500000</v>
      </c>
      <c r="V55" s="259" t="n">
        <v>-50500000</v>
      </c>
      <c r="W55" s="259" t="n">
        <v>-45000000</v>
      </c>
      <c r="X55" s="259" t="n">
        <v>-45000000</v>
      </c>
      <c r="Y55" s="259" t="n">
        <v>-45000000</v>
      </c>
      <c r="Z55" s="259" t="n">
        <v>-44200000</v>
      </c>
      <c r="AA55" s="259" t="n">
        <v>-32700000</v>
      </c>
      <c r="AB55" s="259" t="n">
        <v>-32700000</v>
      </c>
      <c r="AC55" s="259" t="n">
        <v>-32700000</v>
      </c>
      <c r="AD55" s="259" t="n">
        <v>-49500000</v>
      </c>
      <c r="AE55" s="259" t="n">
        <v>-49500000</v>
      </c>
      <c r="AF55" s="259" t="n">
        <v>-55400000</v>
      </c>
      <c r="AG55" s="259" t="n">
        <v>-62500000</v>
      </c>
      <c r="AH55" s="259" t="n">
        <v>0</v>
      </c>
      <c r="AI55" s="259" t="n">
        <v>0</v>
      </c>
      <c r="AJ55" s="259" t="n">
        <v>0</v>
      </c>
    </row>
    <row r="56">
      <c r="A56" t="n">
        <v>39</v>
      </c>
      <c r="B56" t="n">
        <v>1</v>
      </c>
      <c r="G56" t="inlineStr">
        <is>
          <t>moeda</t>
        </is>
      </c>
      <c r="H56" t="inlineStr">
        <is>
          <t>AccumulatedOtherComprehensiveIncomeLossNetOfTax</t>
        </is>
      </c>
      <c r="J56" t="inlineStr">
        <is>
          <t>fonte</t>
        </is>
      </c>
      <c r="K56" s="259" t="n">
        <v>-6885900000</v>
      </c>
      <c r="L56" s="259" t="n">
        <v>-6682900000</v>
      </c>
      <c r="M56" s="259" t="n">
        <v>-6555100000</v>
      </c>
      <c r="N56" s="259" t="n">
        <v>-6496400000</v>
      </c>
      <c r="O56" s="259" t="n">
        <v>-6395600000</v>
      </c>
      <c r="P56" s="259" t="n">
        <v>-6287100000</v>
      </c>
      <c r="Q56" s="259" t="n">
        <v>-6172700000</v>
      </c>
      <c r="R56" s="259" t="n">
        <v>-4343100000</v>
      </c>
      <c r="S56" s="259" t="n">
        <v>-4225300000</v>
      </c>
      <c r="T56" s="259" t="n">
        <v>-4287700000</v>
      </c>
      <c r="U56" s="259" t="n">
        <v>-4295800000</v>
      </c>
      <c r="V56" s="259" t="n">
        <v>-3844600000</v>
      </c>
      <c r="W56" s="259" t="n">
        <v>-3777300000</v>
      </c>
      <c r="X56" s="259" t="n">
        <v>-3788700000</v>
      </c>
      <c r="Y56" s="259" t="n">
        <v>-3784900000</v>
      </c>
      <c r="Z56" s="259" t="n">
        <v>-4327000000</v>
      </c>
      <c r="AA56" s="259" t="n">
        <v>-4299500000</v>
      </c>
      <c r="AB56" s="259" t="n">
        <v>-4378500000</v>
      </c>
      <c r="AC56" s="259" t="n">
        <v>-4274800000</v>
      </c>
      <c r="AD56" s="259" t="n">
        <v>-4321900000</v>
      </c>
      <c r="AE56" s="259" t="n">
        <v>-3774600000</v>
      </c>
      <c r="AF56" s="259" t="n">
        <v>-3716000000</v>
      </c>
      <c r="AG56" s="259" t="n">
        <v>-3206300000</v>
      </c>
      <c r="AH56" s="259" t="n">
        <v>-2880000000</v>
      </c>
      <c r="AI56" s="259" t="n">
        <v>-2833000000</v>
      </c>
      <c r="AJ56" s="259" t="n">
        <v>-2761000000</v>
      </c>
    </row>
    <row r="57">
      <c r="A57" t="n">
        <v>41</v>
      </c>
      <c r="B57" t="n">
        <v>1</v>
      </c>
      <c r="G57" t="inlineStr">
        <is>
          <t>moeda</t>
        </is>
      </c>
      <c r="H57" t="inlineStr">
        <is>
          <t>RetainedEarningsAccumulatedDeficit</t>
        </is>
      </c>
      <c r="J57" t="inlineStr">
        <is>
          <t>fonte</t>
        </is>
      </c>
      <c r="K57" s="259" t="n">
        <v>5879400000</v>
      </c>
      <c r="L57" s="259" t="n">
        <v>6617200000</v>
      </c>
      <c r="M57" s="259" t="n">
        <v>7154000000</v>
      </c>
      <c r="N57" s="259" t="n">
        <v>7830200000</v>
      </c>
      <c r="O57" s="259" t="n">
        <v>9181300000</v>
      </c>
      <c r="P57" s="259" t="n">
        <v>8530100000</v>
      </c>
      <c r="Q57" s="259" t="n">
        <v>9639400000</v>
      </c>
      <c r="R57" s="259" t="n">
        <v>8958500000</v>
      </c>
      <c r="S57" s="259" t="n">
        <v>9369400000</v>
      </c>
      <c r="T57" s="259" t="n">
        <v>8556000000</v>
      </c>
      <c r="U57" s="259" t="n">
        <v>10006500000</v>
      </c>
      <c r="V57" s="259" t="n">
        <v>10042600000</v>
      </c>
      <c r="W57" s="259" t="n">
        <v>10639300000</v>
      </c>
      <c r="X57" s="259" t="n">
        <v>10368500000</v>
      </c>
      <c r="Y57" s="259" t="n">
        <v>10309900000</v>
      </c>
      <c r="Z57" s="259" t="n">
        <v>10312300000</v>
      </c>
      <c r="AA57" s="259" t="n">
        <v>12553900000</v>
      </c>
      <c r="AB57" s="259" t="n">
        <v>13178000000</v>
      </c>
      <c r="AC57" s="259" t="n">
        <v>13627200000</v>
      </c>
      <c r="AD57" s="259" t="n">
        <v>13545000000</v>
      </c>
      <c r="AE57" s="259" t="n">
        <v>15099500000</v>
      </c>
      <c r="AF57" s="259" t="n">
        <v>17376200000</v>
      </c>
      <c r="AG57" s="259" t="n">
        <v>22252000000</v>
      </c>
      <c r="AH57" s="259" t="n">
        <v>24470000000</v>
      </c>
      <c r="AI57" s="259" t="n">
        <v>29514000000</v>
      </c>
      <c r="AJ57" s="259" t="n">
        <v>31893000000</v>
      </c>
    </row>
    <row r="58">
      <c r="A58" t="n">
        <v>9</v>
      </c>
      <c r="B58" t="n">
        <v>1</v>
      </c>
      <c r="G58" t="inlineStr">
        <is>
          <t>moeda</t>
        </is>
      </c>
      <c r="H58" t="inlineStr">
        <is>
          <t>[vazio] Minoritários (DRE): não aparece como linha própria nas demonstrações (zero)</t>
        </is>
      </c>
      <c r="J58" t="inlineStr">
        <is>
          <t>derivada</t>
        </is>
      </c>
      <c r="K58" s="259" t="n">
        <v>0</v>
      </c>
      <c r="L58" s="259" t="n">
        <v>0</v>
      </c>
      <c r="M58" s="259" t="n">
        <v>0</v>
      </c>
      <c r="N58" s="259" t="n">
        <v>0</v>
      </c>
      <c r="O58" s="259" t="n">
        <v>0</v>
      </c>
      <c r="P58" s="259" t="n">
        <v>0</v>
      </c>
      <c r="Q58" s="259" t="n">
        <v>0</v>
      </c>
      <c r="R58" s="259" t="n">
        <v>0</v>
      </c>
      <c r="S58" s="259" t="n">
        <v>0</v>
      </c>
      <c r="T58" s="259" t="n">
        <v>0</v>
      </c>
      <c r="U58" s="259" t="n">
        <v>0</v>
      </c>
      <c r="V58" s="259" t="n">
        <v>0</v>
      </c>
      <c r="W58" s="259" t="n">
        <v>0</v>
      </c>
      <c r="X58" s="259" t="n">
        <v>0</v>
      </c>
      <c r="Y58" s="259" t="n">
        <v>0</v>
      </c>
      <c r="Z58" s="259" t="n">
        <v>0</v>
      </c>
      <c r="AA58" s="259" t="n">
        <v>0</v>
      </c>
      <c r="AB58" s="259" t="n">
        <v>0</v>
      </c>
      <c r="AC58" s="259" t="n">
        <v>0</v>
      </c>
      <c r="AD58" s="259" t="n">
        <v>0</v>
      </c>
      <c r="AE58" s="259" t="n">
        <v>0</v>
      </c>
      <c r="AF58" s="259" t="n">
        <v>0</v>
      </c>
      <c r="AG58" s="259" t="n">
        <v>0</v>
      </c>
      <c r="AH58" s="259" t="n">
        <v>0</v>
      </c>
      <c r="AI58" s="259" t="n">
        <v>0</v>
      </c>
      <c r="AJ58" s="259" t="n">
        <v>0</v>
      </c>
    </row>
    <row r="59">
      <c r="A59" t="n">
        <v>17</v>
      </c>
      <c r="B59" t="n">
        <v>1</v>
      </c>
      <c r="G59" t="inlineStr">
        <is>
          <t>moeda</t>
        </is>
      </c>
      <c r="H59" t="inlineStr">
        <is>
          <t>[vazio] Investimentos em coligadas: não aparece como linha própria nas demonstrações (zero)</t>
        </is>
      </c>
      <c r="J59" t="inlineStr">
        <is>
          <t>derivada</t>
        </is>
      </c>
      <c r="K59" s="259" t="n">
        <v>0</v>
      </c>
      <c r="L59" s="259" t="n">
        <v>0</v>
      </c>
      <c r="M59" s="259" t="n">
        <v>0</v>
      </c>
      <c r="N59" s="259" t="n">
        <v>0</v>
      </c>
      <c r="O59" s="259" t="n">
        <v>0</v>
      </c>
      <c r="P59" s="259" t="n">
        <v>0</v>
      </c>
      <c r="Q59" s="259" t="n">
        <v>0</v>
      </c>
      <c r="R59" s="259" t="n">
        <v>0</v>
      </c>
      <c r="S59" s="259" t="n">
        <v>0</v>
      </c>
      <c r="T59" s="259" t="n">
        <v>0</v>
      </c>
      <c r="U59" s="259" t="n">
        <v>0</v>
      </c>
      <c r="V59" s="259" t="n">
        <v>0</v>
      </c>
      <c r="W59" s="259" t="n">
        <v>0</v>
      </c>
      <c r="X59" s="259" t="n">
        <v>0</v>
      </c>
      <c r="Y59" s="259" t="n">
        <v>0</v>
      </c>
      <c r="Z59" s="259" t="n">
        <v>0</v>
      </c>
      <c r="AA59" s="259" t="n">
        <v>0</v>
      </c>
      <c r="AB59" s="259" t="n">
        <v>0</v>
      </c>
      <c r="AC59" s="259" t="n">
        <v>0</v>
      </c>
      <c r="AD59" s="259" t="n">
        <v>0</v>
      </c>
      <c r="AE59" s="259" t="n">
        <v>0</v>
      </c>
      <c r="AF59" s="259" t="n">
        <v>0</v>
      </c>
      <c r="AG59" s="259" t="n">
        <v>0</v>
      </c>
      <c r="AH59" s="259" t="n">
        <v>0</v>
      </c>
      <c r="AI59" s="259" t="n">
        <v>0</v>
      </c>
      <c r="AJ59" s="259" t="n">
        <v>0</v>
      </c>
    </row>
    <row r="60">
      <c r="A60" t="n">
        <v>19</v>
      </c>
      <c r="B60" t="n">
        <v>1</v>
      </c>
      <c r="G60" t="inlineStr">
        <is>
          <t>moeda</t>
        </is>
      </c>
      <c r="H60" t="inlineStr">
        <is>
          <t>[vazio] Direito de uso: não aparece como linha própria nas demonstrações (zero)</t>
        </is>
      </c>
      <c r="J60" t="inlineStr">
        <is>
          <t>derivada</t>
        </is>
      </c>
      <c r="K60" s="259" t="n">
        <v>0</v>
      </c>
      <c r="L60" s="259" t="n">
        <v>0</v>
      </c>
      <c r="M60" s="259" t="n">
        <v>0</v>
      </c>
      <c r="N60" s="259" t="n">
        <v>0</v>
      </c>
      <c r="O60" s="259" t="n">
        <v>0</v>
      </c>
      <c r="P60" s="259" t="n">
        <v>0</v>
      </c>
      <c r="Q60" s="259" t="n">
        <v>0</v>
      </c>
      <c r="R60" s="259" t="n">
        <v>0</v>
      </c>
      <c r="S60" s="259" t="n">
        <v>0</v>
      </c>
      <c r="T60" s="259" t="n">
        <v>0</v>
      </c>
      <c r="U60" s="259" t="n">
        <v>0</v>
      </c>
      <c r="V60" s="259" t="n">
        <v>0</v>
      </c>
      <c r="W60" s="259" t="n">
        <v>0</v>
      </c>
      <c r="X60" s="259" t="n">
        <v>0</v>
      </c>
      <c r="Y60" s="259" t="n">
        <v>0</v>
      </c>
      <c r="Z60" s="259" t="n">
        <v>0</v>
      </c>
      <c r="AA60" s="259" t="n">
        <v>0</v>
      </c>
      <c r="AB60" s="259" t="n">
        <v>0</v>
      </c>
      <c r="AC60" s="259" t="n">
        <v>0</v>
      </c>
      <c r="AD60" s="259" t="n">
        <v>0</v>
      </c>
      <c r="AE60" s="259" t="n">
        <v>0</v>
      </c>
      <c r="AF60" s="259" t="n">
        <v>0</v>
      </c>
      <c r="AG60" s="259" t="n">
        <v>0</v>
      </c>
      <c r="AH60" s="259" t="n">
        <v>0</v>
      </c>
      <c r="AI60" s="259" t="n">
        <v>0</v>
      </c>
      <c r="AJ60" s="259" t="n">
        <v>0</v>
      </c>
    </row>
    <row r="61">
      <c r="A61" t="n">
        <v>28</v>
      </c>
      <c r="B61" t="n">
        <v>1</v>
      </c>
      <c r="G61" t="inlineStr">
        <is>
          <t>moeda</t>
        </is>
      </c>
      <c r="H61" t="inlineStr">
        <is>
          <t>[vazio] Revolving: não aparece como linha própria nas demonstrações (zero)</t>
        </is>
      </c>
      <c r="J61" t="inlineStr">
        <is>
          <t>derivada</t>
        </is>
      </c>
      <c r="K61" s="259" t="n">
        <v>0</v>
      </c>
      <c r="L61" s="259" t="n">
        <v>0</v>
      </c>
      <c r="M61" s="259" t="n">
        <v>0</v>
      </c>
      <c r="N61" s="259" t="n">
        <v>0</v>
      </c>
      <c r="O61" s="259" t="n">
        <v>0</v>
      </c>
      <c r="P61" s="259" t="n">
        <v>0</v>
      </c>
      <c r="Q61" s="259" t="n">
        <v>0</v>
      </c>
      <c r="R61" s="259" t="n">
        <v>0</v>
      </c>
      <c r="S61" s="259" t="n">
        <v>0</v>
      </c>
      <c r="T61" s="259" t="n">
        <v>0</v>
      </c>
      <c r="U61" s="259" t="n">
        <v>0</v>
      </c>
      <c r="V61" s="259" t="n">
        <v>0</v>
      </c>
      <c r="W61" s="259" t="n">
        <v>0</v>
      </c>
      <c r="X61" s="259" t="n">
        <v>0</v>
      </c>
      <c r="Y61" s="259" t="n">
        <v>0</v>
      </c>
      <c r="Z61" s="259" t="n">
        <v>0</v>
      </c>
      <c r="AA61" s="259" t="n">
        <v>0</v>
      </c>
      <c r="AB61" s="259" t="n">
        <v>0</v>
      </c>
      <c r="AC61" s="259" t="n">
        <v>0</v>
      </c>
      <c r="AD61" s="259" t="n">
        <v>0</v>
      </c>
      <c r="AE61" s="259" t="n">
        <v>0</v>
      </c>
      <c r="AF61" s="259" t="n">
        <v>0</v>
      </c>
      <c r="AG61" s="259" t="n">
        <v>0</v>
      </c>
      <c r="AH61" s="259" t="n">
        <v>0</v>
      </c>
      <c r="AI61" s="259" t="n">
        <v>0</v>
      </c>
      <c r="AJ61" s="259" t="n">
        <v>0</v>
      </c>
    </row>
    <row r="62">
      <c r="A62" t="n">
        <v>29</v>
      </c>
      <c r="B62" t="n">
        <v>1</v>
      </c>
      <c r="G62" t="inlineStr">
        <is>
          <t>moeda</t>
        </is>
      </c>
      <c r="H62" t="inlineStr">
        <is>
          <t>[vazio] Arrendamento CP: não aparece como linha própria nas demonstrações (zero)</t>
        </is>
      </c>
      <c r="J62" t="inlineStr">
        <is>
          <t>derivada</t>
        </is>
      </c>
      <c r="K62" s="259" t="n">
        <v>0</v>
      </c>
      <c r="L62" s="259" t="n">
        <v>0</v>
      </c>
      <c r="M62" s="259" t="n">
        <v>0</v>
      </c>
      <c r="N62" s="259" t="n">
        <v>0</v>
      </c>
      <c r="O62" s="259" t="n">
        <v>0</v>
      </c>
      <c r="P62" s="259" t="n">
        <v>0</v>
      </c>
      <c r="Q62" s="259" t="n">
        <v>0</v>
      </c>
      <c r="R62" s="259" t="n">
        <v>0</v>
      </c>
      <c r="S62" s="259" t="n">
        <v>0</v>
      </c>
      <c r="T62" s="259" t="n">
        <v>0</v>
      </c>
      <c r="U62" s="259" t="n">
        <v>0</v>
      </c>
      <c r="V62" s="259" t="n">
        <v>0</v>
      </c>
      <c r="W62" s="259" t="n">
        <v>0</v>
      </c>
      <c r="X62" s="259" t="n">
        <v>0</v>
      </c>
      <c r="Y62" s="259" t="n">
        <v>0</v>
      </c>
      <c r="Z62" s="259" t="n">
        <v>0</v>
      </c>
      <c r="AA62" s="259" t="n">
        <v>0</v>
      </c>
      <c r="AB62" s="259" t="n">
        <v>0</v>
      </c>
      <c r="AC62" s="259" t="n">
        <v>0</v>
      </c>
      <c r="AD62" s="259" t="n">
        <v>0</v>
      </c>
      <c r="AE62" s="259" t="n">
        <v>0</v>
      </c>
      <c r="AF62" s="259" t="n">
        <v>0</v>
      </c>
      <c r="AG62" s="259" t="n">
        <v>0</v>
      </c>
      <c r="AH62" s="259" t="n">
        <v>0</v>
      </c>
      <c r="AI62" s="259" t="n">
        <v>0</v>
      </c>
      <c r="AJ62" s="259" t="n">
        <v>0</v>
      </c>
    </row>
    <row r="63">
      <c r="A63" t="n">
        <v>31</v>
      </c>
      <c r="B63" t="n">
        <v>1</v>
      </c>
      <c r="G63" t="inlineStr">
        <is>
          <t>moeda</t>
        </is>
      </c>
      <c r="H63" t="inlineStr">
        <is>
          <t>[vazio] Arrendamento LP: não aparece como linha própria nas demonstrações (zero)</t>
        </is>
      </c>
      <c r="J63" t="inlineStr">
        <is>
          <t>derivada</t>
        </is>
      </c>
      <c r="K63" s="259" t="n">
        <v>0</v>
      </c>
      <c r="L63" s="259" t="n">
        <v>0</v>
      </c>
      <c r="M63" s="259" t="n">
        <v>0</v>
      </c>
      <c r="N63" s="259" t="n">
        <v>0</v>
      </c>
      <c r="O63" s="259" t="n">
        <v>0</v>
      </c>
      <c r="P63" s="259" t="n">
        <v>0</v>
      </c>
      <c r="Q63" s="259" t="n">
        <v>0</v>
      </c>
      <c r="R63" s="259" t="n">
        <v>0</v>
      </c>
      <c r="S63" s="259" t="n">
        <v>0</v>
      </c>
      <c r="T63" s="259" t="n">
        <v>0</v>
      </c>
      <c r="U63" s="259" t="n">
        <v>0</v>
      </c>
      <c r="V63" s="259" t="n">
        <v>0</v>
      </c>
      <c r="W63" s="259" t="n">
        <v>0</v>
      </c>
      <c r="X63" s="259" t="n">
        <v>0</v>
      </c>
      <c r="Y63" s="259" t="n">
        <v>0</v>
      </c>
      <c r="Z63" s="259" t="n">
        <v>0</v>
      </c>
      <c r="AA63" s="259" t="n">
        <v>0</v>
      </c>
      <c r="AB63" s="259" t="n">
        <v>0</v>
      </c>
      <c r="AC63" s="259" t="n">
        <v>0</v>
      </c>
      <c r="AD63" s="259" t="n">
        <v>0</v>
      </c>
      <c r="AE63" s="259" t="n">
        <v>0</v>
      </c>
      <c r="AF63" s="259" t="n">
        <v>0</v>
      </c>
      <c r="AG63" s="259" t="n">
        <v>0</v>
      </c>
      <c r="AH63" s="259" t="n">
        <v>0</v>
      </c>
      <c r="AI63" s="259" t="n">
        <v>0</v>
      </c>
      <c r="AJ63" s="259" t="n">
        <v>0</v>
      </c>
    </row>
    <row r="64">
      <c r="A64" t="n">
        <v>32</v>
      </c>
      <c r="B64" t="n">
        <v>1</v>
      </c>
      <c r="G64" t="inlineStr">
        <is>
          <t>moeda</t>
        </is>
      </c>
      <c r="H64" t="inlineStr">
        <is>
          <t>[vazio] Dívida conversível: não aparece como linha própria nas demonstrações (zero)</t>
        </is>
      </c>
      <c r="J64" t="inlineStr">
        <is>
          <t>derivada</t>
        </is>
      </c>
      <c r="K64" s="259" t="n">
        <v>0</v>
      </c>
      <c r="L64" s="259" t="n">
        <v>0</v>
      </c>
      <c r="M64" s="259" t="n">
        <v>0</v>
      </c>
      <c r="N64" s="259" t="n">
        <v>0</v>
      </c>
      <c r="O64" s="259" t="n">
        <v>0</v>
      </c>
      <c r="P64" s="259" t="n">
        <v>0</v>
      </c>
      <c r="Q64" s="259" t="n">
        <v>0</v>
      </c>
      <c r="R64" s="259" t="n">
        <v>0</v>
      </c>
      <c r="S64" s="259" t="n">
        <v>0</v>
      </c>
      <c r="T64" s="259" t="n">
        <v>0</v>
      </c>
      <c r="U64" s="259" t="n">
        <v>0</v>
      </c>
      <c r="V64" s="259" t="n">
        <v>0</v>
      </c>
      <c r="W64" s="259" t="n">
        <v>0</v>
      </c>
      <c r="X64" s="259" t="n">
        <v>0</v>
      </c>
      <c r="Y64" s="259" t="n">
        <v>0</v>
      </c>
      <c r="Z64" s="259" t="n">
        <v>0</v>
      </c>
      <c r="AA64" s="259" t="n">
        <v>0</v>
      </c>
      <c r="AB64" s="259" t="n">
        <v>0</v>
      </c>
      <c r="AC64" s="259" t="n">
        <v>0</v>
      </c>
      <c r="AD64" s="259" t="n">
        <v>0</v>
      </c>
      <c r="AE64" s="259" t="n">
        <v>0</v>
      </c>
      <c r="AF64" s="259" t="n">
        <v>0</v>
      </c>
      <c r="AG64" s="259" t="n">
        <v>0</v>
      </c>
      <c r="AH64" s="259" t="n">
        <v>0</v>
      </c>
      <c r="AI64" s="259" t="n">
        <v>0</v>
      </c>
      <c r="AJ64" s="259" t="n">
        <v>0</v>
      </c>
    </row>
    <row r="65">
      <c r="A65" t="n">
        <v>40</v>
      </c>
      <c r="B65" t="n">
        <v>1</v>
      </c>
      <c r="G65" t="inlineStr">
        <is>
          <t>moeda</t>
        </is>
      </c>
      <c r="H65" t="inlineStr">
        <is>
          <t>[vazio] Outras contas do PL: não aparece como linha própria nas demonstrações (zero)</t>
        </is>
      </c>
      <c r="J65" t="inlineStr">
        <is>
          <t>derivada</t>
        </is>
      </c>
      <c r="K65" s="259" t="n">
        <v>0</v>
      </c>
      <c r="L65" s="259" t="n">
        <v>0</v>
      </c>
      <c r="M65" s="259" t="n">
        <v>0</v>
      </c>
      <c r="N65" s="259" t="n">
        <v>0</v>
      </c>
      <c r="O65" s="259" t="n">
        <v>0</v>
      </c>
      <c r="P65" s="259" t="n">
        <v>0</v>
      </c>
      <c r="Q65" s="259" t="n">
        <v>0</v>
      </c>
      <c r="R65" s="259" t="n">
        <v>0</v>
      </c>
      <c r="S65" s="259" t="n">
        <v>0</v>
      </c>
      <c r="T65" s="259" t="n">
        <v>0</v>
      </c>
      <c r="U65" s="259" t="n">
        <v>0</v>
      </c>
      <c r="V65" s="259" t="n">
        <v>0</v>
      </c>
      <c r="W65" s="259" t="n">
        <v>0</v>
      </c>
      <c r="X65" s="259" t="n">
        <v>0</v>
      </c>
      <c r="Y65" s="259" t="n">
        <v>0</v>
      </c>
      <c r="Z65" s="259" t="n">
        <v>0</v>
      </c>
      <c r="AA65" s="259" t="n">
        <v>0</v>
      </c>
      <c r="AB65" s="259" t="n">
        <v>0</v>
      </c>
      <c r="AC65" s="259" t="n">
        <v>0</v>
      </c>
      <c r="AD65" s="259" t="n">
        <v>0</v>
      </c>
      <c r="AE65" s="259" t="n">
        <v>0</v>
      </c>
      <c r="AF65" s="259" t="n">
        <v>0</v>
      </c>
      <c r="AG65" s="259" t="n">
        <v>0</v>
      </c>
      <c r="AH65" s="259" t="n">
        <v>0</v>
      </c>
      <c r="AI65" s="259" t="n">
        <v>0</v>
      </c>
      <c r="AJ65" s="259" t="n">
        <v>0</v>
      </c>
    </row>
    <row r="66">
      <c r="H66" s="254" t="inlineStr">
        <is>
          <t>BALANÇO - totais divulgados (memória)</t>
        </is>
      </c>
    </row>
    <row r="67">
      <c r="G67" t="inlineStr">
        <is>
          <t>moeda</t>
        </is>
      </c>
      <c r="H67" t="inlineStr">
        <is>
          <t>Total do ativo [us-gaap:Assets]</t>
        </is>
      </c>
      <c r="J67" t="inlineStr">
        <is>
          <t>memoria</t>
        </is>
      </c>
      <c r="K67" s="259" t="n">
        <v>41102800000</v>
      </c>
      <c r="L67" s="259" t="n">
        <v>41967000000</v>
      </c>
      <c r="M67" s="259" t="n">
        <v>43946000000</v>
      </c>
      <c r="N67" s="259" t="n">
        <v>46633100000</v>
      </c>
      <c r="O67" s="259" t="n">
        <v>46838300000</v>
      </c>
      <c r="P67" s="259" t="n">
        <v>47809000000</v>
      </c>
      <c r="Q67" s="259" t="n">
        <v>48187000000</v>
      </c>
      <c r="R67" s="259" t="n">
        <v>48806000000</v>
      </c>
      <c r="S67" s="259" t="n">
        <v>46919300000</v>
      </c>
      <c r="T67" s="259" t="n">
        <v>47063600000</v>
      </c>
      <c r="U67" s="259" t="n">
        <v>47461500000</v>
      </c>
      <c r="V67" s="259" t="n">
        <v>49489800000</v>
      </c>
      <c r="W67" s="259" t="n">
        <v>53163000000</v>
      </c>
      <c r="X67" s="259" t="n">
        <v>54814000000</v>
      </c>
      <c r="Y67" s="259" t="n">
        <v>57915500000</v>
      </c>
      <c r="Z67" s="259" t="n">
        <v>64006300000</v>
      </c>
      <c r="AA67" s="259" t="n">
        <v>63943500000</v>
      </c>
      <c r="AB67" s="259" t="n">
        <v>71874800000</v>
      </c>
      <c r="AC67" s="259" t="n">
        <v>75606900000</v>
      </c>
      <c r="AD67" s="259" t="n">
        <v>78714900000</v>
      </c>
      <c r="AE67" s="259" t="n">
        <v>89388800000</v>
      </c>
      <c r="AF67" s="259" t="n">
        <v>100922600000</v>
      </c>
      <c r="AG67" s="259" t="n">
        <v>114935400000</v>
      </c>
      <c r="AH67" s="259" t="n">
        <v>112476000000</v>
      </c>
      <c r="AI67" s="259" t="n">
        <v>116576000000</v>
      </c>
      <c r="AJ67" s="259" t="n">
        <v>142283000000</v>
      </c>
    </row>
    <row r="68">
      <c r="G68" t="inlineStr">
        <is>
          <t>moeda</t>
        </is>
      </c>
      <c r="H68" t="inlineStr">
        <is>
          <t>Total do passivo + PL [us-gaap:LiabilitiesAndStockholdersEquity]</t>
        </is>
      </c>
      <c r="J68" t="inlineStr">
        <is>
          <t>memoria</t>
        </is>
      </c>
      <c r="K68" s="259" t="n">
        <v>41102800000</v>
      </c>
      <c r="L68" s="259" t="n">
        <v>41967000000</v>
      </c>
      <c r="M68" s="259" t="n">
        <v>43946000000</v>
      </c>
      <c r="N68" s="259" t="n">
        <v>46633100000</v>
      </c>
      <c r="O68" s="259" t="n">
        <v>46838300000</v>
      </c>
      <c r="P68" s="259" t="n">
        <v>47809000000</v>
      </c>
      <c r="Q68" s="259" t="n">
        <v>48187000000</v>
      </c>
      <c r="R68" s="259" t="n">
        <v>48806000000</v>
      </c>
      <c r="S68" s="259" t="n">
        <v>46919300000</v>
      </c>
      <c r="T68" s="259" t="n">
        <v>47063600000</v>
      </c>
      <c r="U68" s="259" t="n">
        <v>47461500000</v>
      </c>
      <c r="V68" s="259" t="n">
        <v>49489800000</v>
      </c>
      <c r="W68" s="259" t="n">
        <v>53163000000</v>
      </c>
      <c r="X68" s="259" t="n">
        <v>54814000000</v>
      </c>
      <c r="Y68" s="259" t="n">
        <v>57915500000</v>
      </c>
      <c r="Z68" s="259" t="n">
        <v>64006300000</v>
      </c>
      <c r="AA68" s="259" t="n">
        <v>63943500000</v>
      </c>
      <c r="AB68" s="259" t="n">
        <v>71874800000</v>
      </c>
      <c r="AC68" s="259" t="n">
        <v>75606900000</v>
      </c>
      <c r="AD68" s="259" t="n">
        <v>78714900000</v>
      </c>
      <c r="AE68" s="259" t="n">
        <v>89388800000</v>
      </c>
      <c r="AF68" s="259" t="n">
        <v>100922600000</v>
      </c>
      <c r="AG68" s="259" t="n">
        <v>114935400000</v>
      </c>
      <c r="AH68" s="259" t="n">
        <v>112476000000</v>
      </c>
      <c r="AI68" s="259" t="n">
        <v>116576000000</v>
      </c>
      <c r="AJ68" s="259" t="n">
        <v>142283000000</v>
      </c>
    </row>
    <row r="69">
      <c r="H69" s="254" t="inlineStr">
        <is>
          <t>CHECKS (devem ser 0)</t>
        </is>
      </c>
    </row>
    <row r="70">
      <c r="G70" t="inlineStr">
        <is>
          <t>moeda</t>
        </is>
      </c>
      <c r="H70" t="inlineStr">
        <is>
          <t>CHECK: contas de ativo - ativo total (USD, arredondado a 100 mil)</t>
        </is>
      </c>
      <c r="J70" t="inlineStr">
        <is>
          <t>derivada</t>
        </is>
      </c>
      <c r="K70" s="260">
        <f>ROUND(N(K21)+N(K22)+N(K23)+N(K24)+N(K25)+N(K26)+N(K27)+N(K28)+N(K29)+N(K30)+N(K31)+N(K32)+N(K33)+N(K34)+N(K35)+N(K36)-N(K67),-5)</f>
        <v>0</v>
      </c>
      <c r="L70" s="260">
        <f>ROUND(N(L21)+N(L22)+N(L23)+N(L24)+N(L25)+N(L26)+N(L27)+N(L28)+N(L29)+N(L30)+N(L31)+N(L32)+N(L33)+N(L34)+N(L35)+N(L36)-N(L67),-5)</f>
        <v>0</v>
      </c>
      <c r="M70" s="260">
        <f>ROUND(N(M21)+N(M22)+N(M23)+N(M24)+N(M25)+N(M26)+N(M27)+N(M28)+N(M29)+N(M30)+N(M31)+N(M32)+N(M33)+N(M34)+N(M35)+N(M36)-N(M67),-5)</f>
        <v>0</v>
      </c>
      <c r="N70" s="260">
        <f>ROUND(N(N21)+N(N22)+N(N23)+N(N24)+N(N25)+N(N26)+N(N27)+N(N28)+N(N29)+N(N30)+N(N31)+N(N32)+N(N33)+N(N34)+N(N35)+N(N36)-N(N67),-5)</f>
        <v>0</v>
      </c>
      <c r="O70" s="260">
        <f>ROUND(N(O21)+N(O22)+N(O23)+N(O24)+N(O25)+N(O26)+N(O27)+N(O28)+N(O29)+N(O30)+N(O31)+N(O32)+N(O33)+N(O34)+N(O35)+N(O36)-N(O67),-5)</f>
        <v>0</v>
      </c>
      <c r="P70" s="260">
        <f>ROUND(N(P21)+N(P22)+N(P23)+N(P24)+N(P25)+N(P26)+N(P27)+N(P28)+N(P29)+N(P30)+N(P31)+N(P32)+N(P33)+N(P34)+N(P35)+N(P36)-N(P67),-5)</f>
        <v>0</v>
      </c>
      <c r="Q70" s="260">
        <f>ROUND(N(Q21)+N(Q22)+N(Q23)+N(Q24)+N(Q25)+N(Q26)+N(Q27)+N(Q28)+N(Q29)+N(Q30)+N(Q31)+N(Q32)+N(Q33)+N(Q34)+N(Q35)+N(Q36)-N(Q67),-5)</f>
        <v>0</v>
      </c>
      <c r="R70" s="260">
        <f>ROUND(N(R21)+N(R22)+N(R23)+N(R24)+N(R25)+N(R26)+N(R27)+N(R28)+N(R29)+N(R30)+N(R31)+N(R32)+N(R33)+N(R34)+N(R35)+N(R36)-N(R67),-5)</f>
        <v>0</v>
      </c>
      <c r="S70" s="260">
        <f>ROUND(N(S21)+N(S22)+N(S23)+N(S24)+N(S25)+N(S26)+N(S27)+N(S28)+N(S29)+N(S30)+N(S31)+N(S32)+N(S33)+N(S34)+N(S35)+N(S36)-N(S67),-5)</f>
        <v>0</v>
      </c>
      <c r="T70" s="260">
        <f>ROUND(N(T21)+N(T22)+N(T23)+N(T24)+N(T25)+N(T26)+N(T27)+N(T28)+N(T29)+N(T30)+N(T31)+N(T32)+N(T33)+N(T34)+N(T35)+N(T36)-N(T67),-5)</f>
        <v>0</v>
      </c>
      <c r="U70" s="260">
        <f>ROUND(N(U21)+N(U22)+N(U23)+N(U24)+N(U25)+N(U26)+N(U27)+N(U28)+N(U29)+N(U30)+N(U31)+N(U32)+N(U33)+N(U34)+N(U35)+N(U36)-N(U67),-5)</f>
        <v>0</v>
      </c>
      <c r="V70" s="260">
        <f>ROUND(N(V21)+N(V22)+N(V23)+N(V24)+N(V25)+N(V26)+N(V27)+N(V28)+N(V29)+N(V30)+N(V31)+N(V32)+N(V33)+N(V34)+N(V35)+N(V36)-N(V67),-5)</f>
        <v>0</v>
      </c>
      <c r="W70" s="260">
        <f>ROUND(N(W21)+N(W22)+N(W23)+N(W24)+N(W25)+N(W26)+N(W27)+N(W28)+N(W29)+N(W30)+N(W31)+N(W32)+N(W33)+N(W34)+N(W35)+N(W36)-N(W67),-5)</f>
        <v>0</v>
      </c>
      <c r="X70" s="260">
        <f>ROUND(N(X21)+N(X22)+N(X23)+N(X24)+N(X25)+N(X26)+N(X27)+N(X28)+N(X29)+N(X30)+N(X31)+N(X32)+N(X33)+N(X34)+N(X35)+N(X36)-N(X67),-5)</f>
        <v>0</v>
      </c>
      <c r="Y70" s="260">
        <f>ROUND(N(Y21)+N(Y22)+N(Y23)+N(Y24)+N(Y25)+N(Y26)+N(Y27)+N(Y28)+N(Y29)+N(Y30)+N(Y31)+N(Y32)+N(Y33)+N(Y34)+N(Y35)+N(Y36)-N(Y67),-5)</f>
        <v>0</v>
      </c>
      <c r="Z70" s="260">
        <f>ROUND(N(Z21)+N(Z22)+N(Z23)+N(Z24)+N(Z25)+N(Z26)+N(Z27)+N(Z28)+N(Z29)+N(Z30)+N(Z31)+N(Z32)+N(Z33)+N(Z34)+N(Z35)+N(Z36)-N(Z67),-5)</f>
        <v>0</v>
      </c>
      <c r="AA70" s="260">
        <f>ROUND(N(AA21)+N(AA22)+N(AA23)+N(AA24)+N(AA25)+N(AA26)+N(AA27)+N(AA28)+N(AA29)+N(AA30)+N(AA31)+N(AA32)+N(AA33)+N(AA34)+N(AA35)+N(AA36)-N(AA67),-5)</f>
        <v>0</v>
      </c>
      <c r="AB70" s="260">
        <f>ROUND(N(AB21)+N(AB22)+N(AB23)+N(AB24)+N(AB25)+N(AB26)+N(AB27)+N(AB28)+N(AB29)+N(AB30)+N(AB31)+N(AB32)+N(AB33)+N(AB34)+N(AB35)+N(AB36)-N(AB67),-5)</f>
        <v>0</v>
      </c>
      <c r="AC70" s="260">
        <f>ROUND(N(AC21)+N(AC22)+N(AC23)+N(AC24)+N(AC25)+N(AC26)+N(AC27)+N(AC28)+N(AC29)+N(AC30)+N(AC31)+N(AC32)+N(AC33)+N(AC34)+N(AC35)+N(AC36)-N(AC67),-5)</f>
        <v>0</v>
      </c>
      <c r="AD70" s="260">
        <f>ROUND(N(AD21)+N(AD22)+N(AD23)+N(AD24)+N(AD25)+N(AD26)+N(AD27)+N(AD28)+N(AD29)+N(AD30)+N(AD31)+N(AD32)+N(AD33)+N(AD34)+N(AD35)+N(AD36)-N(AD67),-5)</f>
        <v>0</v>
      </c>
      <c r="AE70" s="260">
        <f>ROUND(N(AE21)+N(AE22)+N(AE23)+N(AE24)+N(AE25)+N(AE26)+N(AE27)+N(AE28)+N(AE29)+N(AE30)+N(AE31)+N(AE32)+N(AE33)+N(AE34)+N(AE35)+N(AE36)-N(AE67),-5)</f>
        <v>0</v>
      </c>
      <c r="AF70" s="260">
        <f>ROUND(N(AF21)+N(AF22)+N(AF23)+N(AF24)+N(AF25)+N(AF26)+N(AF27)+N(AF28)+N(AF29)+N(AF30)+N(AF31)+N(AF32)+N(AF33)+N(AF34)+N(AF35)+N(AF36)-N(AF67),-5)</f>
        <v>0</v>
      </c>
      <c r="AG70" s="260">
        <f>ROUND(N(AG21)+N(AG22)+N(AG23)+N(AG24)+N(AG25)+N(AG26)+N(AG27)+N(AG28)+N(AG29)+N(AG30)+N(AG31)+N(AG32)+N(AG33)+N(AG34)+N(AG35)+N(AG36)-N(AG67),-5)</f>
        <v>0</v>
      </c>
      <c r="AH70" s="260">
        <f>ROUND(N(AH21)+N(AH22)+N(AH23)+N(AH24)+N(AH25)+N(AH26)+N(AH27)+N(AH28)+N(AH29)+N(AH30)+N(AH31)+N(AH32)+N(AH33)+N(AH34)+N(AH35)+N(AH36)-N(AH67),-5)</f>
        <v>0</v>
      </c>
      <c r="AI70" s="260">
        <f>ROUND(N(AI21)+N(AI22)+N(AI23)+N(AI24)+N(AI25)+N(AI26)+N(AI27)+N(AI28)+N(AI29)+N(AI30)+N(AI31)+N(AI32)+N(AI33)+N(AI34)+N(AI35)+N(AI36)-N(AI67),-5)</f>
        <v>0</v>
      </c>
      <c r="AJ70" s="260">
        <f>ROUND(N(AJ21)+N(AJ22)+N(AJ23)+N(AJ24)+N(AJ25)+N(AJ26)+N(AJ27)+N(AJ28)+N(AJ29)+N(AJ30)+N(AJ31)+N(AJ32)+N(AJ33)+N(AJ34)+N(AJ35)+N(AJ36)-N(AJ67),-5)</f>
        <v>0</v>
      </c>
    </row>
    <row r="71">
      <c r="G71" t="inlineStr">
        <is>
          <t>moeda</t>
        </is>
      </c>
      <c r="H71" t="inlineStr">
        <is>
          <t>CHECK: passivo + PL (contas) - passivo + PL total</t>
        </is>
      </c>
      <c r="J71" t="inlineStr">
        <is>
          <t>derivada</t>
        </is>
      </c>
      <c r="K71" s="260">
        <f>ROUND(N(K37)+N(K38)+N(K39)+N(K40)+N(K41)+N(K42)+N(K43)+N(K44)+N(K45)+N(K46)+N(K47)+N(K48)+N(K49)+N(K50)+N(K51)+N(K52)+N(K53)+N(K54)+N(K55)+N(K56)+N(K57)-N(K68),-5)</f>
        <v>0</v>
      </c>
      <c r="L71" s="260">
        <f>ROUND(N(L37)+N(L38)+N(L39)+N(L40)+N(L41)+N(L42)+N(L43)+N(L44)+N(L45)+N(L46)+N(L47)+N(L48)+N(L49)+N(L50)+N(L51)+N(L52)+N(L53)+N(L54)+N(L55)+N(L56)+N(L57)-N(L68),-5)</f>
        <v>0</v>
      </c>
      <c r="M71" s="260">
        <f>ROUND(N(M37)+N(M38)+N(M39)+N(M40)+N(M41)+N(M42)+N(M43)+N(M44)+N(M45)+N(M46)+N(M47)+N(M48)+N(M49)+N(M50)+N(M51)+N(M52)+N(M53)+N(M54)+N(M55)+N(M56)+N(M57)-N(M68),-5)</f>
        <v>0</v>
      </c>
      <c r="N71" s="260">
        <f>ROUND(N(N37)+N(N38)+N(N39)+N(N40)+N(N41)+N(N42)+N(N43)+N(N44)+N(N45)+N(N46)+N(N47)+N(N48)+N(N49)+N(N50)+N(N51)+N(N52)+N(N53)+N(N54)+N(N55)+N(N56)+N(N57)-N(N68),-5)</f>
        <v>0</v>
      </c>
      <c r="O71" s="260">
        <f>ROUND(N(O37)+N(O38)+N(O39)+N(O40)+N(O41)+N(O42)+N(O43)+N(O44)+N(O45)+N(O46)+N(O47)+N(O48)+N(O49)+N(O50)+N(O51)+N(O52)+N(O53)+N(O54)+N(O55)+N(O56)+N(O57)-N(O68),-5)</f>
        <v>0</v>
      </c>
      <c r="P71" s="260">
        <f>ROUND(N(P37)+N(P38)+N(P39)+N(P40)+N(P41)+N(P42)+N(P43)+N(P44)+N(P45)+N(P46)+N(P47)+N(P48)+N(P49)+N(P50)+N(P51)+N(P52)+N(P53)+N(P54)+N(P55)+N(P56)+N(P57)-N(P68),-5)</f>
        <v>0</v>
      </c>
      <c r="Q71" s="260">
        <f>ROUND(N(Q37)+N(Q38)+N(Q39)+N(Q40)+N(Q41)+N(Q42)+N(Q43)+N(Q44)+N(Q45)+N(Q46)+N(Q47)+N(Q48)+N(Q49)+N(Q50)+N(Q51)+N(Q52)+N(Q53)+N(Q54)+N(Q55)+N(Q56)+N(Q57)-N(Q68),-5)</f>
        <v>0</v>
      </c>
      <c r="R71" s="260">
        <f>ROUND(N(R37)+N(R38)+N(R39)+N(R40)+N(R41)+N(R42)+N(R43)+N(R44)+N(R45)+N(R46)+N(R47)+N(R48)+N(R49)+N(R50)+N(R51)+N(R52)+N(R53)+N(R54)+N(R55)+N(R56)+N(R57)-N(R68),-5)</f>
        <v>0</v>
      </c>
      <c r="S71" s="260">
        <f>ROUND(N(S37)+N(S38)+N(S39)+N(S40)+N(S41)+N(S42)+N(S43)+N(S44)+N(S45)+N(S46)+N(S47)+N(S48)+N(S49)+N(S50)+N(S51)+N(S52)+N(S53)+N(S54)+N(S55)+N(S56)+N(S57)-N(S68),-5)</f>
        <v>0</v>
      </c>
      <c r="T71" s="260">
        <f>ROUND(N(T37)+N(T38)+N(T39)+N(T40)+N(T41)+N(T42)+N(T43)+N(T44)+N(T45)+N(T46)+N(T47)+N(T48)+N(T49)+N(T50)+N(T51)+N(T52)+N(T53)+N(T54)+N(T55)+N(T56)+N(T57)-N(T68),-5)</f>
        <v>0</v>
      </c>
      <c r="U71" s="260">
        <f>ROUND(N(U37)+N(U38)+N(U39)+N(U40)+N(U41)+N(U42)+N(U43)+N(U44)+N(U45)+N(U46)+N(U47)+N(U48)+N(U49)+N(U50)+N(U51)+N(U52)+N(U53)+N(U54)+N(U55)+N(U56)+N(U57)-N(U68),-5)</f>
        <v>0</v>
      </c>
      <c r="V71" s="260">
        <f>ROUND(N(V37)+N(V38)+N(V39)+N(V40)+N(V41)+N(V42)+N(V43)+N(V44)+N(V45)+N(V46)+N(V47)+N(V48)+N(V49)+N(V50)+N(V51)+N(V52)+N(V53)+N(V54)+N(V55)+N(V56)+N(V57)-N(V68),-5)</f>
        <v>0</v>
      </c>
      <c r="W71" s="260">
        <f>ROUND(N(W37)+N(W38)+N(W39)+N(W40)+N(W41)+N(W42)+N(W43)+N(W44)+N(W45)+N(W46)+N(W47)+N(W48)+N(W49)+N(W50)+N(W51)+N(W52)+N(W53)+N(W54)+N(W55)+N(W56)+N(W57)-N(W68),-5)</f>
        <v>0</v>
      </c>
      <c r="X71" s="260">
        <f>ROUND(N(X37)+N(X38)+N(X39)+N(X40)+N(X41)+N(X42)+N(X43)+N(X44)+N(X45)+N(X46)+N(X47)+N(X48)+N(X49)+N(X50)+N(X51)+N(X52)+N(X53)+N(X54)+N(X55)+N(X56)+N(X57)-N(X68),-5)</f>
        <v>0</v>
      </c>
      <c r="Y71" s="260">
        <f>ROUND(N(Y37)+N(Y38)+N(Y39)+N(Y40)+N(Y41)+N(Y42)+N(Y43)+N(Y44)+N(Y45)+N(Y46)+N(Y47)+N(Y48)+N(Y49)+N(Y50)+N(Y51)+N(Y52)+N(Y53)+N(Y54)+N(Y55)+N(Y56)+N(Y57)-N(Y68),-5)</f>
        <v>0</v>
      </c>
      <c r="Z71" s="260">
        <f>ROUND(N(Z37)+N(Z38)+N(Z39)+N(Z40)+N(Z41)+N(Z42)+N(Z43)+N(Z44)+N(Z45)+N(Z46)+N(Z47)+N(Z48)+N(Z49)+N(Z50)+N(Z51)+N(Z52)+N(Z53)+N(Z54)+N(Z55)+N(Z56)+N(Z57)-N(Z68),-5)</f>
        <v>0</v>
      </c>
      <c r="AA71" s="260">
        <f>ROUND(N(AA37)+N(AA38)+N(AA39)+N(AA40)+N(AA41)+N(AA42)+N(AA43)+N(AA44)+N(AA45)+N(AA46)+N(AA47)+N(AA48)+N(AA49)+N(AA50)+N(AA51)+N(AA52)+N(AA53)+N(AA54)+N(AA55)+N(AA56)+N(AA57)-N(AA68),-5)</f>
        <v>0</v>
      </c>
      <c r="AB71" s="260">
        <f>ROUND(N(AB37)+N(AB38)+N(AB39)+N(AB40)+N(AB41)+N(AB42)+N(AB43)+N(AB44)+N(AB45)+N(AB46)+N(AB47)+N(AB48)+N(AB49)+N(AB50)+N(AB51)+N(AB52)+N(AB53)+N(AB54)+N(AB55)+N(AB56)+N(AB57)-N(AB68),-5)</f>
        <v>0</v>
      </c>
      <c r="AC71" s="260">
        <f>ROUND(N(AC37)+N(AC38)+N(AC39)+N(AC40)+N(AC41)+N(AC42)+N(AC43)+N(AC44)+N(AC45)+N(AC46)+N(AC47)+N(AC48)+N(AC49)+N(AC50)+N(AC51)+N(AC52)+N(AC53)+N(AC54)+N(AC55)+N(AC56)+N(AC57)-N(AC68),-5)</f>
        <v>0</v>
      </c>
      <c r="AD71" s="260">
        <f>ROUND(N(AD37)+N(AD38)+N(AD39)+N(AD40)+N(AD41)+N(AD42)+N(AD43)+N(AD44)+N(AD45)+N(AD46)+N(AD47)+N(AD48)+N(AD49)+N(AD50)+N(AD51)+N(AD52)+N(AD53)+N(AD54)+N(AD55)+N(AD56)+N(AD57)-N(AD68),-5)</f>
        <v>0</v>
      </c>
      <c r="AE71" s="260">
        <f>ROUND(N(AE37)+N(AE38)+N(AE39)+N(AE40)+N(AE41)+N(AE42)+N(AE43)+N(AE44)+N(AE45)+N(AE46)+N(AE47)+N(AE48)+N(AE49)+N(AE50)+N(AE51)+N(AE52)+N(AE53)+N(AE54)+N(AE55)+N(AE56)+N(AE57)-N(AE68),-5)</f>
        <v>0</v>
      </c>
      <c r="AF71" s="260">
        <f>ROUND(N(AF37)+N(AF38)+N(AF39)+N(AF40)+N(AF41)+N(AF42)+N(AF43)+N(AF44)+N(AF45)+N(AF46)+N(AF47)+N(AF48)+N(AF49)+N(AF50)+N(AF51)+N(AF52)+N(AF53)+N(AF54)+N(AF55)+N(AF56)+N(AF57)-N(AF68),-5)</f>
        <v>0</v>
      </c>
      <c r="AG71" s="260">
        <f>ROUND(N(AG37)+N(AG38)+N(AG39)+N(AG40)+N(AG41)+N(AG42)+N(AG43)+N(AG44)+N(AG45)+N(AG46)+N(AG47)+N(AG48)+N(AG49)+N(AG50)+N(AG51)+N(AG52)+N(AG53)+N(AG54)+N(AG55)+N(AG56)+N(AG57)-N(AG68),-5)</f>
        <v>0</v>
      </c>
      <c r="AH71" s="260">
        <f>ROUND(N(AH37)+N(AH38)+N(AH39)+N(AH40)+N(AH41)+N(AH42)+N(AH43)+N(AH44)+N(AH45)+N(AH46)+N(AH47)+N(AH48)+N(AH49)+N(AH50)+N(AH51)+N(AH52)+N(AH53)+N(AH54)+N(AH55)+N(AH56)+N(AH57)-N(AH68),-5)</f>
        <v>0</v>
      </c>
      <c r="AI71" s="260">
        <f>ROUND(N(AI37)+N(AI38)+N(AI39)+N(AI40)+N(AI41)+N(AI42)+N(AI43)+N(AI44)+N(AI45)+N(AI46)+N(AI47)+N(AI48)+N(AI49)+N(AI50)+N(AI51)+N(AI52)+N(AI53)+N(AI54)+N(AI55)+N(AI56)+N(AI57)-N(AI68),-5)</f>
        <v>0</v>
      </c>
      <c r="AJ71" s="260">
        <f>ROUND(N(AJ37)+N(AJ38)+N(AJ39)+N(AJ40)+N(AJ41)+N(AJ42)+N(AJ43)+N(AJ44)+N(AJ45)+N(AJ46)+N(AJ47)+N(AJ48)+N(AJ49)+N(AJ50)+N(AJ51)+N(AJ52)+N(AJ53)+N(AJ54)+N(AJ55)+N(AJ56)+N(AJ57)-N(AJ68),-5)</f>
        <v>0</v>
      </c>
    </row>
    <row r="72">
      <c r="H72" t="inlineStr">
        <is>
          <t>CHECK: receita - custo - despesas + não operacional - IR - minoritários + outros após IR - lucro (deve ser 0)</t>
        </is>
      </c>
      <c r="J72" t="inlineStr">
        <is>
          <t>derivada</t>
        </is>
      </c>
      <c r="K72">
        <f>ROUND(N(K6)-N(K7)-N(K9)+N(K11)-N(K13)+N(K15)-N(K16),-5)</f>
        <v>0</v>
      </c>
      <c r="L72">
        <f>ROUND(N(L6)-N(L7)-N(L9)+N(L11)-N(L13)+N(L15)-N(L16),-5)</f>
        <v>0</v>
      </c>
      <c r="M72">
        <f>ROUND(N(M6)-N(M7)-N(M9)+N(M11)-N(M13)+N(M15)-N(M16),-5)</f>
        <v>0</v>
      </c>
      <c r="N72">
        <f>ROUND(N(N6)-N(N7)-N(N9)+N(N11)-N(N13)+N(N15)-N(N16),-5)</f>
        <v>0</v>
      </c>
      <c r="O72">
        <f>ROUND(N(O6)-N(O7)-N(O9)+N(O11)-N(O13)+N(O15)-N(O16),-5)</f>
        <v>0</v>
      </c>
      <c r="P72">
        <f>ROUND(N(P6)-N(P7)-N(P9)+N(P11)-N(P13)+N(P15)-N(P16),-5)</f>
        <v>0</v>
      </c>
      <c r="Q72">
        <f>ROUND(N(Q6)-N(Q7)-N(Q9)+N(Q11)-N(Q13)+N(Q15)-N(Q16),-5)</f>
        <v>0</v>
      </c>
      <c r="R72">
        <f>ROUND(N(R6)-N(R7)-N(R9)+N(R11)-N(R13)+N(R15)-N(R16),-5)</f>
        <v>0</v>
      </c>
      <c r="S72">
        <f>ROUND(N(S6)-N(S7)-N(S9)+N(S11)-N(S13)+N(S15)-N(S16),-5)</f>
        <v>0</v>
      </c>
      <c r="T72">
        <f>ROUND(N(T6)-N(T7)-N(T9)+N(T11)-N(T13)+N(T15)-N(T16),-5)</f>
        <v>0</v>
      </c>
      <c r="U72">
        <f>ROUND(N(U6)-N(U7)-N(U9)+N(U11)-N(U13)+N(U15)-N(U16),-5)</f>
        <v>0</v>
      </c>
      <c r="V72">
        <f>ROUND(N(V6)-N(V7)-N(V9)+N(V11)-N(V13)+N(V15)-N(V16),-5)</f>
        <v>0</v>
      </c>
      <c r="W72">
        <f>ROUND(N(W6)-N(W7)-N(W9)+N(W11)-N(W13)+N(W15)-N(W16),-5)</f>
        <v>0</v>
      </c>
      <c r="X72">
        <f>ROUND(N(X6)-N(X7)-N(X9)+N(X11)-N(X13)+N(X15)-N(X16),-5)</f>
        <v>0</v>
      </c>
      <c r="Y72">
        <f>ROUND(N(Y6)-N(Y7)-N(Y9)+N(Y11)-N(Y13)+N(Y15)-N(Y16),-5)</f>
        <v>0</v>
      </c>
      <c r="Z72">
        <f>ROUND(N(Z6)-N(Z7)-N(Z9)+N(Z11)-N(Z13)+N(Z15)-N(Z16),-5)</f>
        <v>0</v>
      </c>
      <c r="AA72">
        <f>ROUND(N(AA6)-N(AA7)-N(AA9)+N(AA11)-N(AA13)+N(AA15)-N(AA16),-5)</f>
        <v>0</v>
      </c>
      <c r="AB72">
        <f>ROUND(N(AB6)-N(AB7)-N(AB9)+N(AB11)-N(AB13)+N(AB15)-N(AB16),-5)</f>
        <v>0</v>
      </c>
      <c r="AC72">
        <f>ROUND(N(AC6)-N(AC7)-N(AC9)+N(AC11)-N(AC13)+N(AC15)-N(AC16),-5)</f>
        <v>0</v>
      </c>
      <c r="AD72">
        <f>ROUND(N(AD6)-N(AD7)-N(AD9)+N(AD11)-N(AD13)+N(AD15)-N(AD16),-5)</f>
        <v>0</v>
      </c>
      <c r="AE72">
        <f>ROUND(N(AE6)-N(AE7)-N(AE9)+N(AE11)-N(AE13)+N(AE15)-N(AE16),-5)</f>
        <v>0</v>
      </c>
      <c r="AF72">
        <f>ROUND(N(AF6)-N(AF7)-N(AF9)+N(AF11)-N(AF13)+N(AF15)-N(AF16),-5)</f>
        <v>0</v>
      </c>
      <c r="AG72">
        <f>ROUND(N(AG6)-N(AG7)-N(AG9)+N(AG11)-N(AG13)+N(AG15)-N(AG16),-5)</f>
        <v>0</v>
      </c>
      <c r="AH72">
        <f>ROUND(N(AH6)-N(AH7)-N(AH9)+N(AH11)-N(AH13)+N(AH15)-N(AH16),-5)</f>
        <v>0</v>
      </c>
      <c r="AI72">
        <f>ROUND(N(AI6)-N(AI7)-N(AI9)+N(AI11)-N(AI13)+N(AI15)-N(AI16),-5)</f>
        <v>0</v>
      </c>
      <c r="AJ72">
        <f>ROUND(N(AJ6)-N(AJ7)-N(AJ9)+N(AJ11)-N(AJ13)+N(AJ15)-N(AJ16),-5)</f>
        <v>0</v>
      </c>
    </row>
    <row r="74">
      <c r="H74" s="254" t="inlineStr">
        <is>
          <t>DRIVERS DE RECEITA (codigos 45+): principais produtos (Mounjaro, Zepbound, Trulicity, Verzenio, Jardiance, Taltz), áreas terapêuticas e EUA x exterior - SEC XBRL (USD, fator 0,000001).</t>
        </is>
      </c>
    </row>
    <row r="75">
      <c r="A75" t="n">
        <v>45</v>
      </c>
      <c r="B75" t="n">
        <v>1</v>
      </c>
      <c r="G75" t="inlineStr">
        <is>
          <t>moeda</t>
        </is>
      </c>
      <c r="H75" t="inlineStr">
        <is>
          <t>Receita Mounjaro (USD)</t>
        </is>
      </c>
      <c r="J75" t="inlineStr">
        <is>
          <t>fonte</t>
        </is>
      </c>
      <c r="K75" s="262" t="n"/>
      <c r="L75" s="262" t="n"/>
      <c r="M75" s="262" t="n"/>
      <c r="N75" s="262" t="n"/>
      <c r="O75" s="262" t="n"/>
      <c r="P75" s="262" t="n"/>
      <c r="Q75" s="262" t="n">
        <v>0</v>
      </c>
      <c r="R75" s="262" t="n">
        <v>0</v>
      </c>
      <c r="S75" s="262" t="n">
        <v>0</v>
      </c>
      <c r="T75" s="262" t="n">
        <v>16000000</v>
      </c>
      <c r="U75" s="262" t="n">
        <v>187300000</v>
      </c>
      <c r="V75" s="262" t="n">
        <v>279300000</v>
      </c>
      <c r="W75" s="262" t="n">
        <v>568500000</v>
      </c>
      <c r="X75" s="262" t="n">
        <v>979700000</v>
      </c>
      <c r="Y75" s="262" t="n">
        <v>1409300000</v>
      </c>
      <c r="Z75" s="262" t="n">
        <v>2205600000</v>
      </c>
      <c r="AA75" s="262" t="n">
        <v>1806500000</v>
      </c>
      <c r="AB75" s="262" t="n">
        <v>3090800000</v>
      </c>
      <c r="AC75" s="262" t="n">
        <v>3112700000</v>
      </c>
      <c r="AD75" s="262" t="n">
        <v>3530100000</v>
      </c>
      <c r="AE75" s="262" t="n">
        <v>3842000000</v>
      </c>
      <c r="AF75" s="262" t="n">
        <v>5199000000</v>
      </c>
      <c r="AG75" s="262" t="n">
        <v>6515100000</v>
      </c>
      <c r="AH75" s="262" t="n">
        <v>7410200000</v>
      </c>
      <c r="AI75" s="262" t="n">
        <v>8662000000</v>
      </c>
      <c r="AJ75" s="262" t="n">
        <v>9943000000</v>
      </c>
    </row>
    <row r="76">
      <c r="A76" t="n">
        <v>46</v>
      </c>
      <c r="B76" t="n">
        <v>1</v>
      </c>
      <c r="G76" t="inlineStr">
        <is>
          <t>moeda</t>
        </is>
      </c>
      <c r="H76" t="inlineStr">
        <is>
          <t>Receita Zepbound (USD)</t>
        </is>
      </c>
      <c r="J76" t="inlineStr">
        <is>
          <t>fonte</t>
        </is>
      </c>
      <c r="K76" s="262" t="n"/>
      <c r="L76" s="262" t="n"/>
      <c r="M76" s="262" t="n"/>
      <c r="N76" s="262" t="n"/>
      <c r="O76" s="262" t="n"/>
      <c r="P76" s="262" t="n"/>
      <c r="Q76" s="262" t="n"/>
      <c r="R76" s="262" t="n"/>
      <c r="S76" s="262" t="n"/>
      <c r="T76" s="262" t="n"/>
      <c r="U76" s="262" t="n"/>
      <c r="V76" s="262" t="n"/>
      <c r="W76" s="262" t="n">
        <v>0</v>
      </c>
      <c r="X76" s="262" t="n">
        <v>0</v>
      </c>
      <c r="Y76" s="262" t="n">
        <v>0</v>
      </c>
      <c r="Z76" s="262" t="n">
        <v>175800000</v>
      </c>
      <c r="AA76" s="262" t="n">
        <v>517400000</v>
      </c>
      <c r="AB76" s="262" t="n">
        <v>1243200000</v>
      </c>
      <c r="AC76" s="262" t="n">
        <v>1257800000</v>
      </c>
      <c r="AD76" s="262" t="n">
        <v>1907300000</v>
      </c>
      <c r="AE76" s="262" t="n">
        <v>2312000000</v>
      </c>
      <c r="AF76" s="262" t="n">
        <v>3381000000</v>
      </c>
      <c r="AG76" s="262" t="n">
        <v>3588100000</v>
      </c>
      <c r="AH76" s="262" t="n">
        <v>4260700000</v>
      </c>
      <c r="AI76" s="262" t="n">
        <v>4160000000</v>
      </c>
      <c r="AJ76" s="262" t="n">
        <v>4928000000</v>
      </c>
    </row>
    <row r="77">
      <c r="A77" t="n">
        <v>47</v>
      </c>
      <c r="B77" t="n">
        <v>1</v>
      </c>
      <c r="G77" t="inlineStr">
        <is>
          <t>moeda</t>
        </is>
      </c>
      <c r="H77" t="inlineStr">
        <is>
          <t>Receita Trulicity (USD)</t>
        </is>
      </c>
      <c r="J77" t="inlineStr">
        <is>
          <t>fonte</t>
        </is>
      </c>
      <c r="K77" s="262" t="n">
        <v>1229400000</v>
      </c>
      <c r="L77" s="262" t="n">
        <v>1229800000</v>
      </c>
      <c r="M77" s="262" t="n">
        <v>1106600000</v>
      </c>
      <c r="N77" s="262" t="n">
        <v>1502400000</v>
      </c>
      <c r="O77" s="262" t="n">
        <v>1452400000</v>
      </c>
      <c r="P77" s="262" t="n">
        <v>1535600000</v>
      </c>
      <c r="Q77" s="262" t="n">
        <v>1600100000</v>
      </c>
      <c r="R77" s="262" t="n">
        <v>1883800000</v>
      </c>
      <c r="S77" s="262" t="n">
        <v>1741300000</v>
      </c>
      <c r="T77" s="262" t="n">
        <v>1911900000</v>
      </c>
      <c r="U77" s="262" t="n">
        <v>1850400000</v>
      </c>
      <c r="V77" s="262" t="n">
        <v>1936200000</v>
      </c>
      <c r="W77" s="262" t="n">
        <v>1977100000</v>
      </c>
      <c r="X77" s="262" t="n">
        <v>1812500000</v>
      </c>
      <c r="Y77" s="262" t="n">
        <v>1673600000</v>
      </c>
      <c r="Z77" s="262" t="n">
        <v>1669200000</v>
      </c>
      <c r="AA77" s="262" t="n">
        <v>1456300000</v>
      </c>
      <c r="AB77" s="262" t="n">
        <v>1245600000</v>
      </c>
      <c r="AC77" s="262" t="n">
        <v>1301400000</v>
      </c>
      <c r="AD77" s="262" t="n">
        <v>1250200000</v>
      </c>
      <c r="AE77" s="262" t="n">
        <v>1095000000</v>
      </c>
      <c r="AF77" s="262" t="n">
        <v>1092000000</v>
      </c>
      <c r="AG77" s="262" t="n">
        <v>1051800000</v>
      </c>
      <c r="AH77" s="262" t="n">
        <v>1036800000</v>
      </c>
      <c r="AI77" s="262" t="n">
        <v>919000000</v>
      </c>
      <c r="AJ77" s="262" t="n">
        <v>1219000000</v>
      </c>
    </row>
    <row r="78">
      <c r="A78" t="n">
        <v>48</v>
      </c>
      <c r="B78" t="n">
        <v>1</v>
      </c>
      <c r="G78" t="inlineStr">
        <is>
          <t>moeda</t>
        </is>
      </c>
      <c r="H78" t="inlineStr">
        <is>
          <t>Receita Verzenio (USD)</t>
        </is>
      </c>
      <c r="J78" t="inlineStr">
        <is>
          <t>fonte</t>
        </is>
      </c>
      <c r="K78" s="262" t="n">
        <v>188000000</v>
      </c>
      <c r="L78" s="262" t="n">
        <v>208600000</v>
      </c>
      <c r="M78" s="262" t="n">
        <v>234400000</v>
      </c>
      <c r="N78" s="262" t="n">
        <v>281500000</v>
      </c>
      <c r="O78" s="262" t="n">
        <v>269000000</v>
      </c>
      <c r="P78" s="262" t="n">
        <v>341300000</v>
      </c>
      <c r="Q78" s="262" t="n">
        <v>335500000</v>
      </c>
      <c r="R78" s="262" t="n">
        <v>404100000</v>
      </c>
      <c r="S78" s="262" t="n">
        <v>469400000</v>
      </c>
      <c r="T78" s="262" t="n">
        <v>588500000</v>
      </c>
      <c r="U78" s="262" t="n">
        <v>617700000</v>
      </c>
      <c r="V78" s="262" t="n">
        <v>807900000</v>
      </c>
      <c r="W78" s="262" t="n">
        <v>750900000</v>
      </c>
      <c r="X78" s="262" t="n">
        <v>926800000</v>
      </c>
      <c r="Y78" s="262" t="n">
        <v>1040200000</v>
      </c>
      <c r="Z78" s="262" t="n">
        <v>1145400000</v>
      </c>
      <c r="AA78" s="262" t="n">
        <v>1050300000</v>
      </c>
      <c r="AB78" s="262" t="n">
        <v>1331900000</v>
      </c>
      <c r="AC78" s="262" t="n">
        <v>1369300000</v>
      </c>
      <c r="AD78" s="262" t="n">
        <v>1555100000</v>
      </c>
      <c r="AE78" s="262" t="n">
        <v>1159000000</v>
      </c>
      <c r="AF78" s="262" t="n">
        <v>1489000000</v>
      </c>
      <c r="AG78" s="262" t="n">
        <v>1470200000</v>
      </c>
      <c r="AH78" s="262" t="n">
        <v>1604600000</v>
      </c>
      <c r="AI78" s="262" t="n">
        <v>1302000000</v>
      </c>
      <c r="AJ78" s="262" t="n">
        <v>1474000000</v>
      </c>
    </row>
    <row r="79">
      <c r="A79" t="n">
        <v>49</v>
      </c>
      <c r="B79" t="n">
        <v>1</v>
      </c>
      <c r="G79" t="inlineStr">
        <is>
          <t>moeda</t>
        </is>
      </c>
      <c r="H79" t="inlineStr">
        <is>
          <t>Receita Jardiance (USD)</t>
        </is>
      </c>
      <c r="J79" t="inlineStr">
        <is>
          <t>fonte</t>
        </is>
      </c>
      <c r="K79" s="262" t="n">
        <v>267500000</v>
      </c>
      <c r="L79" s="262" t="n">
        <v>262000000</v>
      </c>
      <c r="M79" s="262" t="n">
        <v>310800000</v>
      </c>
      <c r="N79" s="262" t="n">
        <v>313500000</v>
      </c>
      <c r="O79" s="262" t="n">
        <v>312000000</v>
      </c>
      <c r="P79" s="262" t="n">
        <v>356500000</v>
      </c>
      <c r="Q79" s="262" t="n">
        <v>390400000</v>
      </c>
      <c r="R79" s="262" t="n">
        <v>431900000</v>
      </c>
      <c r="S79" s="262" t="n">
        <v>419400000</v>
      </c>
      <c r="T79" s="262" t="n">
        <v>461000000</v>
      </c>
      <c r="U79" s="262" t="n">
        <v>573300000</v>
      </c>
      <c r="V79" s="262" t="n">
        <v>612300000</v>
      </c>
      <c r="W79" s="262" t="n">
        <v>577500000</v>
      </c>
      <c r="X79" s="262" t="n">
        <v>668300000</v>
      </c>
      <c r="Y79" s="262" t="n">
        <v>700800000</v>
      </c>
      <c r="Z79" s="262" t="n">
        <v>798100000</v>
      </c>
      <c r="AA79" s="262" t="n">
        <v>686500000</v>
      </c>
      <c r="AB79" s="262" t="n">
        <v>769600000</v>
      </c>
      <c r="AC79" s="262" t="n">
        <v>686400000</v>
      </c>
      <c r="AD79" s="262" t="n">
        <v>1198400000</v>
      </c>
      <c r="AE79" s="262" t="n">
        <v>1014000000</v>
      </c>
      <c r="AF79" s="262" t="n">
        <v>690000000</v>
      </c>
      <c r="AG79" s="262" t="n">
        <v>959000000</v>
      </c>
      <c r="AH79" s="262" t="n">
        <v>768600000</v>
      </c>
      <c r="AI79" s="262" t="n">
        <v>1114000000</v>
      </c>
      <c r="AJ79" s="262" t="n">
        <v>1232000000</v>
      </c>
    </row>
    <row r="80">
      <c r="A80" t="n">
        <v>50</v>
      </c>
      <c r="B80" t="n">
        <v>1</v>
      </c>
      <c r="G80" t="inlineStr">
        <is>
          <t>moeda</t>
        </is>
      </c>
      <c r="H80" t="inlineStr">
        <is>
          <t>Receita Taltz (USD)</t>
        </is>
      </c>
      <c r="J80" t="inlineStr">
        <is>
          <t>fonte</t>
        </is>
      </c>
      <c r="K80" s="262" t="n">
        <v>443500000</v>
      </c>
      <c r="L80" s="262" t="n">
        <v>395200000</v>
      </c>
      <c r="M80" s="262" t="n">
        <v>454500000</v>
      </c>
      <c r="N80" s="262" t="n">
        <v>495300000</v>
      </c>
      <c r="O80" s="262" t="n">
        <v>403200000</v>
      </c>
      <c r="P80" s="262" t="n">
        <v>569100000</v>
      </c>
      <c r="Q80" s="262" t="n">
        <v>593100000</v>
      </c>
      <c r="R80" s="262" t="n">
        <v>647400000</v>
      </c>
      <c r="S80" s="262" t="n">
        <v>488100000</v>
      </c>
      <c r="T80" s="262" t="n">
        <v>606200000</v>
      </c>
      <c r="U80" s="262" t="n">
        <v>679900000</v>
      </c>
      <c r="V80" s="262" t="n">
        <v>707800000</v>
      </c>
      <c r="W80" s="262" t="n">
        <v>527000000</v>
      </c>
      <c r="X80" s="262" t="n">
        <v>703900000</v>
      </c>
      <c r="Y80" s="262" t="n">
        <v>744200000</v>
      </c>
      <c r="Z80" s="262" t="n">
        <v>784600000</v>
      </c>
      <c r="AA80" s="262" t="n">
        <v>604100000</v>
      </c>
      <c r="AB80" s="262" t="n">
        <v>824700000</v>
      </c>
      <c r="AC80" s="262" t="n">
        <v>879600000</v>
      </c>
      <c r="AD80" s="262" t="n">
        <v>952000000</v>
      </c>
      <c r="AE80" s="262" t="n">
        <v>762000000</v>
      </c>
      <c r="AF80" s="262" t="n">
        <v>848000000</v>
      </c>
      <c r="AG80" s="262" t="n">
        <v>901500000</v>
      </c>
      <c r="AH80" s="262" t="n">
        <v>1052100000</v>
      </c>
      <c r="AI80" s="262" t="n">
        <v>733000000</v>
      </c>
      <c r="AJ80" s="262" t="n">
        <v>856000000</v>
      </c>
    </row>
    <row r="81">
      <c r="A81" t="n">
        <v>51</v>
      </c>
      <c r="B81" t="n">
        <v>1</v>
      </c>
      <c r="G81" t="inlineStr">
        <is>
          <t>moeda</t>
        </is>
      </c>
      <c r="H81" t="inlineStr">
        <is>
          <t>Receita Humalog (USD)</t>
        </is>
      </c>
      <c r="J81" t="inlineStr">
        <is>
          <t>fonte</t>
        </is>
      </c>
      <c r="K81" s="262" t="n">
        <v>695800000</v>
      </c>
      <c r="L81" s="262" t="n">
        <v>555100000</v>
      </c>
      <c r="M81" s="262" t="n">
        <v>656900000</v>
      </c>
      <c r="N81" s="262" t="n">
        <v>718100000</v>
      </c>
      <c r="O81" s="262" t="n">
        <v>617000000</v>
      </c>
      <c r="P81" s="262" t="n">
        <v>607600000</v>
      </c>
      <c r="Q81" s="262" t="n">
        <v>626700000</v>
      </c>
      <c r="R81" s="262" t="n">
        <v>601700000</v>
      </c>
      <c r="S81" s="262" t="n">
        <v>618200000</v>
      </c>
      <c r="T81" s="262" t="n">
        <v>447100000</v>
      </c>
      <c r="U81" s="262" t="n">
        <v>447000000</v>
      </c>
      <c r="V81" s="262" t="n">
        <v>548400000</v>
      </c>
      <c r="W81" s="262" t="n">
        <v>460900000</v>
      </c>
      <c r="X81" s="262" t="n">
        <v>440400000</v>
      </c>
      <c r="Y81" s="262" t="n">
        <v>395400000</v>
      </c>
      <c r="Z81" s="262" t="n">
        <v>366600000</v>
      </c>
      <c r="AA81" s="262" t="n">
        <v>538700000</v>
      </c>
      <c r="AB81" s="262" t="n">
        <v>631600000</v>
      </c>
      <c r="AC81" s="262" t="n">
        <v>534600000</v>
      </c>
      <c r="AD81" s="262" t="n">
        <v>619900000</v>
      </c>
      <c r="AE81" s="262" t="n"/>
      <c r="AF81" s="262" t="n"/>
      <c r="AG81" s="262" t="n"/>
      <c r="AH81" s="262" t="n"/>
      <c r="AI81" s="262" t="n"/>
      <c r="AJ81" s="262" t="n"/>
    </row>
    <row r="82">
      <c r="A82" t="n">
        <v>52</v>
      </c>
      <c r="B82" t="n">
        <v>1</v>
      </c>
      <c r="G82" t="inlineStr">
        <is>
          <t>moeda</t>
        </is>
      </c>
      <c r="H82" t="inlineStr">
        <is>
          <t>Cardiometabolic Health / Diabetes - receita (USD)</t>
        </is>
      </c>
      <c r="J82" t="inlineStr">
        <is>
          <t>fonte</t>
        </is>
      </c>
      <c r="K82" s="262" t="n">
        <v>2968900000</v>
      </c>
      <c r="L82" s="262" t="n">
        <v>2779000000</v>
      </c>
      <c r="M82" s="262" t="n">
        <v>2783000000</v>
      </c>
      <c r="N82" s="262" t="n">
        <v>3303400000</v>
      </c>
      <c r="O82" s="262" t="n">
        <v>3111100000</v>
      </c>
      <c r="P82" s="262" t="n">
        <v>3175500000</v>
      </c>
      <c r="Q82" s="262" t="n">
        <v>3274100000</v>
      </c>
      <c r="R82" s="262" t="n">
        <v>3627500000</v>
      </c>
      <c r="S82" s="262" t="n">
        <v>3388200000</v>
      </c>
      <c r="T82" s="262" t="n">
        <v>3438200000</v>
      </c>
      <c r="U82" s="262" t="n">
        <v>3662600000</v>
      </c>
      <c r="V82" s="262" t="n">
        <v>3975900000</v>
      </c>
      <c r="W82" s="262" t="n">
        <v>4190400000</v>
      </c>
      <c r="X82" s="262" t="n">
        <v>5010900000</v>
      </c>
      <c r="Y82" s="262" t="n">
        <v>4720400000</v>
      </c>
      <c r="Z82" s="262" t="n">
        <v>5746000000</v>
      </c>
      <c r="AA82" s="262" t="n">
        <v>5493000000</v>
      </c>
      <c r="AB82" s="262" t="n">
        <v>7514600000</v>
      </c>
      <c r="AC82" s="262" t="n">
        <v>7407000000</v>
      </c>
      <c r="AD82" s="262" t="n">
        <v>9106300000</v>
      </c>
      <c r="AE82" s="262" t="n">
        <v>9208000000</v>
      </c>
      <c r="AF82" s="262" t="n">
        <v>11343000000</v>
      </c>
      <c r="AG82" s="262" t="n">
        <v>13177900000</v>
      </c>
      <c r="AH82" s="262" t="n">
        <v>14492200000</v>
      </c>
      <c r="AI82" s="262" t="n">
        <v>15760000000</v>
      </c>
      <c r="AJ82" s="262" t="n">
        <v>18353000000</v>
      </c>
    </row>
    <row r="83">
      <c r="A83" t="n">
        <v>53</v>
      </c>
      <c r="B83" t="n">
        <v>1</v>
      </c>
      <c r="G83" t="inlineStr">
        <is>
          <t>moeda</t>
        </is>
      </c>
      <c r="H83" t="inlineStr">
        <is>
          <t>Oncologia - receita (USD)</t>
        </is>
      </c>
      <c r="J83" t="inlineStr">
        <is>
          <t>fonte</t>
        </is>
      </c>
      <c r="K83" s="262" t="n">
        <v>1201500000</v>
      </c>
      <c r="L83" s="262" t="n">
        <v>1268600000</v>
      </c>
      <c r="M83" s="262" t="n">
        <v>1333400000</v>
      </c>
      <c r="N83" s="262" t="n">
        <v>1515800000</v>
      </c>
      <c r="O83" s="262" t="n">
        <v>1372200000</v>
      </c>
      <c r="P83" s="262" t="n">
        <v>1554000000</v>
      </c>
      <c r="Q83" s="262" t="n">
        <v>1406100000</v>
      </c>
      <c r="R83" s="262" t="n">
        <v>1408900000</v>
      </c>
      <c r="S83" s="262" t="n">
        <v>1353000000</v>
      </c>
      <c r="T83" s="262" t="n">
        <v>1368700000</v>
      </c>
      <c r="U83" s="262" t="n">
        <v>1293300000</v>
      </c>
      <c r="V83" s="262" t="n">
        <v>1651200000</v>
      </c>
      <c r="W83" s="262" t="n">
        <v>1356000000</v>
      </c>
      <c r="X83" s="262" t="n">
        <v>1671000000</v>
      </c>
      <c r="Y83" s="262" t="n">
        <v>1747100000</v>
      </c>
      <c r="Z83" s="262" t="n">
        <v>1884200000</v>
      </c>
      <c r="AA83" s="262" t="n">
        <v>1810000000</v>
      </c>
      <c r="AB83" s="262" t="n">
        <v>2158700000</v>
      </c>
      <c r="AC83" s="262" t="n">
        <v>2231800000</v>
      </c>
      <c r="AD83" s="262" t="n">
        <v>2551900000</v>
      </c>
      <c r="AE83" s="262" t="n">
        <v>1948000000</v>
      </c>
      <c r="AF83" s="262" t="n">
        <v>2414000000</v>
      </c>
      <c r="AG83" s="262" t="n">
        <v>2407600000</v>
      </c>
      <c r="AH83" s="262" t="n">
        <v>2607300000</v>
      </c>
      <c r="AI83" s="262" t="n">
        <v>2268000000</v>
      </c>
      <c r="AJ83" s="262" t="n">
        <v>2570000000</v>
      </c>
    </row>
    <row r="84">
      <c r="A84" t="n">
        <v>54</v>
      </c>
      <c r="B84" t="n">
        <v>1</v>
      </c>
      <c r="G84" t="inlineStr">
        <is>
          <t>moeda</t>
        </is>
      </c>
      <c r="H84" t="inlineStr">
        <is>
          <t>Imunologia - receita (USD)</t>
        </is>
      </c>
      <c r="J84" t="inlineStr">
        <is>
          <t>fonte</t>
        </is>
      </c>
      <c r="K84" s="262" t="n">
        <v>585800000</v>
      </c>
      <c r="L84" s="262" t="n">
        <v>548300000</v>
      </c>
      <c r="M84" s="262" t="n">
        <v>627100000</v>
      </c>
      <c r="N84" s="262" t="n">
        <v>700700000</v>
      </c>
      <c r="O84" s="262" t="n">
        <v>613900000</v>
      </c>
      <c r="P84" s="262" t="n">
        <v>785400000</v>
      </c>
      <c r="Q84" s="262" t="n">
        <v>1004900000</v>
      </c>
      <c r="R84" s="262" t="n">
        <v>956600000</v>
      </c>
      <c r="S84" s="262" t="n">
        <v>748100000</v>
      </c>
      <c r="T84" s="262" t="n">
        <v>796500000</v>
      </c>
      <c r="U84" s="262" t="n">
        <v>866400000</v>
      </c>
      <c r="V84" s="262" t="n">
        <v>933500000</v>
      </c>
      <c r="W84" s="262" t="n">
        <v>777800000</v>
      </c>
      <c r="X84" s="262" t="n">
        <v>928500000</v>
      </c>
      <c r="Y84" s="262" t="n">
        <v>986900000</v>
      </c>
      <c r="Z84" s="262" t="n">
        <v>1104300000</v>
      </c>
      <c r="AA84" s="262" t="n">
        <v>834000000</v>
      </c>
      <c r="AB84" s="262" t="n">
        <v>1082400000</v>
      </c>
      <c r="AC84" s="262" t="n">
        <v>1185700000</v>
      </c>
      <c r="AD84" s="262" t="n">
        <v>1290900000</v>
      </c>
      <c r="AE84" s="262" t="n">
        <v>1088000000</v>
      </c>
      <c r="AF84" s="262" t="n">
        <v>1256000000</v>
      </c>
      <c r="AG84" s="262" t="n">
        <v>1362400000</v>
      </c>
      <c r="AH84" s="262" t="n">
        <v>1541000000</v>
      </c>
      <c r="AI84" s="262" t="n">
        <v>1203000000</v>
      </c>
      <c r="AJ84" s="262" t="n">
        <v>1417000000</v>
      </c>
    </row>
    <row r="85">
      <c r="A85" t="n">
        <v>55</v>
      </c>
      <c r="B85" t="n">
        <v>1</v>
      </c>
      <c r="G85" t="inlineStr">
        <is>
          <t>moeda</t>
        </is>
      </c>
      <c r="H85" t="inlineStr">
        <is>
          <t>Neurociência - receita (USD)</t>
        </is>
      </c>
      <c r="J85" t="inlineStr">
        <is>
          <t>fonte</t>
        </is>
      </c>
      <c r="K85" s="262" t="n">
        <v>463500000</v>
      </c>
      <c r="L85" s="262" t="n">
        <v>422500000</v>
      </c>
      <c r="M85" s="262" t="n">
        <v>470700000</v>
      </c>
      <c r="N85" s="262" t="n">
        <v>474600000</v>
      </c>
      <c r="O85" s="262" t="n">
        <v>465400000</v>
      </c>
      <c r="P85" s="262" t="n">
        <v>512200000</v>
      </c>
      <c r="Q85" s="262" t="n">
        <v>450200000</v>
      </c>
      <c r="R85" s="262" t="n">
        <v>470700000</v>
      </c>
      <c r="S85" s="262" t="n">
        <v>397700000</v>
      </c>
      <c r="T85" s="262" t="n">
        <v>389900000</v>
      </c>
      <c r="U85" s="262" t="n">
        <v>373200000</v>
      </c>
      <c r="V85" s="262" t="n">
        <v>385300000</v>
      </c>
      <c r="W85" s="262" t="n">
        <v>360500000</v>
      </c>
      <c r="X85" s="262" t="n">
        <v>387200000</v>
      </c>
      <c r="Y85" s="262" t="n">
        <v>1768100000</v>
      </c>
      <c r="Z85" s="262" t="n">
        <v>362700000</v>
      </c>
      <c r="AA85" s="262" t="n">
        <v>389100000</v>
      </c>
      <c r="AB85" s="262" t="n">
        <v>339500000</v>
      </c>
      <c r="AC85" s="262" t="n">
        <v>351800000</v>
      </c>
      <c r="AD85" s="262" t="n">
        <v>393000000</v>
      </c>
      <c r="AE85" s="262" t="n">
        <v>272000000</v>
      </c>
      <c r="AF85" s="262" t="n">
        <v>344000000</v>
      </c>
      <c r="AG85" s="262" t="n">
        <v>315700000</v>
      </c>
      <c r="AH85" s="262" t="n">
        <v>459200000</v>
      </c>
      <c r="AI85" s="262" t="n">
        <v>382000000</v>
      </c>
      <c r="AJ85" s="262" t="n">
        <v>429000000</v>
      </c>
    </row>
    <row r="86">
      <c r="A86" t="n">
        <v>56</v>
      </c>
      <c r="B86" t="n">
        <v>1</v>
      </c>
      <c r="G86" t="inlineStr">
        <is>
          <t>moeda</t>
        </is>
      </c>
      <c r="H86" t="inlineStr">
        <is>
          <t>Receita EUA (USD)</t>
        </is>
      </c>
      <c r="J86" t="inlineStr">
        <is>
          <t>fonte</t>
        </is>
      </c>
      <c r="K86" s="262" t="n">
        <v>3328800000</v>
      </c>
      <c r="L86" s="262" t="n">
        <v>3144800000</v>
      </c>
      <c r="M86" s="262" t="n">
        <v>3161400000</v>
      </c>
      <c r="N86" s="262" t="n">
        <v>4597900000</v>
      </c>
      <c r="O86" s="262" t="n">
        <v>3941300000</v>
      </c>
      <c r="P86" s="262" t="n">
        <v>3704200000</v>
      </c>
      <c r="Q86" s="262" t="n">
        <v>3989600000</v>
      </c>
      <c r="R86" s="262" t="n">
        <v>5175900000</v>
      </c>
      <c r="S86" s="262" t="n">
        <v>5174600000</v>
      </c>
      <c r="T86" s="262" t="n">
        <v>3934800000</v>
      </c>
      <c r="U86" s="262" t="n">
        <v>4422100000</v>
      </c>
      <c r="V86" s="262" t="n">
        <v>4658500000</v>
      </c>
      <c r="W86" s="262" t="n">
        <v>4436200000</v>
      </c>
      <c r="X86" s="262" t="n">
        <v>5531400000</v>
      </c>
      <c r="Y86" s="262" t="n">
        <v>5368100000</v>
      </c>
      <c r="Z86" s="262" t="n">
        <v>6455400000</v>
      </c>
      <c r="AA86" s="262" t="n">
        <v>5694400000</v>
      </c>
      <c r="AB86" s="262" t="n">
        <v>7835200000</v>
      </c>
      <c r="AC86" s="262" t="n">
        <v>7813600000</v>
      </c>
      <c r="AD86" s="262" t="n">
        <v>9032000000</v>
      </c>
      <c r="AE86" s="262" t="n">
        <v>8489000000</v>
      </c>
      <c r="AF86" s="262" t="n">
        <v>10814000000</v>
      </c>
      <c r="AG86" s="262" t="n">
        <v>11300000000</v>
      </c>
      <c r="AH86" s="262" t="n">
        <v>12877400000</v>
      </c>
      <c r="AI86" s="262" t="n">
        <v>12119000000</v>
      </c>
      <c r="AJ86" s="262" t="n">
        <v>14413000000</v>
      </c>
    </row>
    <row r="87">
      <c r="A87" t="n">
        <v>57</v>
      </c>
      <c r="B87" t="n">
        <v>1</v>
      </c>
      <c r="G87" t="inlineStr">
        <is>
          <t>moeda</t>
        </is>
      </c>
      <c r="H87" t="inlineStr">
        <is>
          <t>Receita fora dos EUA (USD)</t>
        </is>
      </c>
      <c r="J87" t="inlineStr">
        <is>
          <t>fonte</t>
        </is>
      </c>
      <c r="K87" s="262" t="n">
        <v>2531000000</v>
      </c>
      <c r="L87" s="262" t="n">
        <v>2354600000</v>
      </c>
      <c r="M87" s="262" t="n">
        <v>2579300000</v>
      </c>
      <c r="N87" s="262" t="n">
        <v>2842000000</v>
      </c>
      <c r="O87" s="262" t="n">
        <v>2864300000</v>
      </c>
      <c r="P87" s="262" t="n">
        <v>3035900000</v>
      </c>
      <c r="Q87" s="262" t="n">
        <v>2783300000</v>
      </c>
      <c r="R87" s="262" t="n">
        <v>2824000000</v>
      </c>
      <c r="S87" s="262" t="n">
        <v>2635400000</v>
      </c>
      <c r="T87" s="262" t="n">
        <v>2553300000</v>
      </c>
      <c r="U87" s="262" t="n">
        <v>2519400000</v>
      </c>
      <c r="V87" s="262" t="n">
        <v>2643200000</v>
      </c>
      <c r="W87" s="262" t="n">
        <v>2523900000</v>
      </c>
      <c r="X87" s="262" t="n">
        <v>2780700000</v>
      </c>
      <c r="Y87" s="262" t="n">
        <v>4130500000</v>
      </c>
      <c r="Z87" s="262" t="n">
        <v>2898100000</v>
      </c>
      <c r="AA87" s="262" t="n">
        <v>3073700000</v>
      </c>
      <c r="AB87" s="262" t="n">
        <v>3467500000</v>
      </c>
      <c r="AC87" s="262" t="n">
        <v>3625500000</v>
      </c>
      <c r="AD87" s="262" t="n">
        <v>4500800000</v>
      </c>
      <c r="AE87" s="262" t="n">
        <v>4239000000</v>
      </c>
      <c r="AF87" s="262" t="n">
        <v>4743000000</v>
      </c>
      <c r="AG87" s="262" t="n">
        <v>6300800000</v>
      </c>
      <c r="AH87" s="262" t="n">
        <v>6414600000</v>
      </c>
      <c r="AI87" s="262" t="n">
        <v>7680000000</v>
      </c>
      <c r="AJ87" s="262" t="n">
        <v>8561000000</v>
      </c>
    </row>
    <row r="88">
      <c r="A88" t="n">
        <v>58</v>
      </c>
      <c r="B88" t="n">
        <v>1</v>
      </c>
      <c r="G88" t="inlineStr">
        <is>
          <t>moeda</t>
        </is>
      </c>
      <c r="H88" t="inlineStr">
        <is>
          <t>Receita de produtos (USD)</t>
        </is>
      </c>
      <c r="J88" t="inlineStr">
        <is>
          <t>fonte</t>
        </is>
      </c>
      <c r="K88" s="262" t="n">
        <v>5403500000</v>
      </c>
      <c r="L88" s="262" t="n">
        <v>5077700000</v>
      </c>
      <c r="M88" s="262" t="n">
        <v>5281100000</v>
      </c>
      <c r="N88" s="262" t="n">
        <v>6932500000</v>
      </c>
      <c r="O88" s="262" t="n">
        <v>6320000000</v>
      </c>
      <c r="P88" s="262" t="n">
        <v>6070500000</v>
      </c>
      <c r="Q88" s="262" t="n">
        <v>6189000000</v>
      </c>
      <c r="R88" s="262" t="n">
        <v>7378400000</v>
      </c>
      <c r="S88" s="262" t="n">
        <v>7132900000</v>
      </c>
      <c r="T88" s="262" t="n">
        <v>5870900000</v>
      </c>
      <c r="U88" s="262" t="n">
        <v>6119200000</v>
      </c>
      <c r="V88" s="262" t="n">
        <v>6339800000</v>
      </c>
      <c r="W88" s="262" t="n">
        <v>6238200000</v>
      </c>
      <c r="X88" s="262" t="n">
        <v>6979800000</v>
      </c>
      <c r="Y88" s="262" t="n">
        <v>7306200000</v>
      </c>
      <c r="Z88" s="262" t="n">
        <v>8289700000</v>
      </c>
      <c r="AA88" s="262" t="n">
        <v>7796500000</v>
      </c>
      <c r="AB88" s="262" t="n">
        <v>10354900000</v>
      </c>
      <c r="AC88" s="262" t="n">
        <v>10571600000</v>
      </c>
      <c r="AD88" s="262" t="n">
        <v>12024900000</v>
      </c>
      <c r="AE88" s="262" t="n">
        <v>11601000000</v>
      </c>
      <c r="AF88" s="262" t="n">
        <v>14726000000</v>
      </c>
      <c r="AG88" s="262" t="n">
        <v>16330500000</v>
      </c>
      <c r="AH88" s="262" t="n">
        <v>18300300000</v>
      </c>
      <c r="AI88" s="262" t="n">
        <v>18453000000</v>
      </c>
      <c r="AJ88" s="262" t="n">
        <v>21403000000</v>
      </c>
    </row>
    <row r="89">
      <c r="A89" t="n">
        <v>59</v>
      </c>
      <c r="B89" t="n">
        <v>1</v>
      </c>
      <c r="G89" t="inlineStr">
        <is>
          <t>moeda</t>
        </is>
      </c>
      <c r="H89" t="inlineStr">
        <is>
          <t>Receita de colaboração e outras (USD)</t>
        </is>
      </c>
      <c r="J89" t="inlineStr">
        <is>
          <t>fonte</t>
        </is>
      </c>
      <c r="K89" s="262" t="n">
        <v>456300000</v>
      </c>
      <c r="L89" s="262" t="n">
        <v>421700000</v>
      </c>
      <c r="M89" s="262" t="n">
        <v>459500000</v>
      </c>
      <c r="N89" s="262" t="n">
        <v>507500000</v>
      </c>
      <c r="O89" s="262" t="n">
        <v>485600000</v>
      </c>
      <c r="P89" s="262" t="n">
        <v>669600000</v>
      </c>
      <c r="Q89" s="262" t="n">
        <v>583800000</v>
      </c>
      <c r="R89" s="262" t="n">
        <v>621500000</v>
      </c>
      <c r="S89" s="262" t="n">
        <v>677100000</v>
      </c>
      <c r="T89" s="262" t="n">
        <v>617100000</v>
      </c>
      <c r="U89" s="262" t="n">
        <v>822400000</v>
      </c>
      <c r="V89" s="262" t="n">
        <v>962000000</v>
      </c>
      <c r="W89" s="262" t="n">
        <v>721800000</v>
      </c>
      <c r="X89" s="262" t="n">
        <v>1332300000</v>
      </c>
      <c r="Y89" s="262" t="n">
        <v>2192400000</v>
      </c>
      <c r="Z89" s="262" t="n">
        <v>1063700000</v>
      </c>
      <c r="AA89" s="262" t="n">
        <v>971500000</v>
      </c>
      <c r="AB89" s="262" t="n">
        <v>947900000</v>
      </c>
      <c r="AC89" s="262" t="n">
        <v>867500000</v>
      </c>
      <c r="AD89" s="262" t="n">
        <v>1507900000</v>
      </c>
      <c r="AE89" s="262" t="n">
        <v>1127000000</v>
      </c>
      <c r="AF89" s="262" t="n">
        <v>832000000</v>
      </c>
      <c r="AG89" s="262" t="n">
        <v>1270300000</v>
      </c>
      <c r="AH89" s="262" t="n">
        <v>991700000</v>
      </c>
      <c r="AI89" s="262" t="n">
        <v>1346000000</v>
      </c>
      <c r="AJ89" s="262" t="n">
        <v>1571000000</v>
      </c>
    </row>
    <row r="90">
      <c r="H90" t="inlineStr">
        <is>
          <t>Notas: valores dimensionais das instâncias XBRL. "Diabetes" (até 2023) virou "Cardiometabolic Health" (com obesidade); os membros foram costurados. Jardiance inclui pagamentos de marco da parceria com a Boehringer quando divulgados no mesmo membro.</t>
        </is>
      </c>
    </row>
    <row r="123">
      <c r="H123" s="254" t="inlineStr">
        <is>
          <t>CONVENCOES</t>
        </is>
      </c>
    </row>
    <row r="124">
      <c r="H124" t="inlineStr">
        <is>
          <t>Linhas de origem: 5 a 90. As formulas da Inputs (2) varrem as linhas 5 a 120; as linhas 91 a 120 estao livres para novas contas.</t>
        </is>
      </c>
    </row>
    <row r="125">
      <c r="H125" t="inlineStr">
        <is>
          <t>Periodos: colunas K a AJ = trimestres-calendário 1Q20 a 2Q26 (linha 2: trimestre fiscal correspondente).</t>
        </is>
      </c>
    </row>
    <row r="126">
      <c r="H126" t="inlineStr">
        <is>
          <t>Brutos em USD unidades: fator da célula B1 = 0,000001 converte para USD milhões nas linhas UNID = moeda.</t>
        </is>
      </c>
    </row>
    <row r="127">
      <c r="H127" t="inlineStr">
        <is>
          <t>ORIGEM: fonte = copiado da SEC; memoria = como divulgado, sem codigo; derivada = formula nesta aba ou desacumulado na extração.</t>
        </is>
      </c>
    </row>
    <row r="128">
      <c r="H128" t="inlineStr">
        <is>
          <t>Balanço: contas de face sem mapeamento específico vão para "outros" do seu bloco (ativo circulante 16, não circulante 22, passivo circulante 26, não circulante 34, PL 40).</t>
        </is>
      </c>
    </row>
    <row r="129">
      <c r="H129" t="inlineStr">
        <is>
          <t>Codigos 45 a 59: drivers de receita (memoria); alimentam o bloco logo abaixo da receita liquida no Model.</t>
        </is>
      </c>
    </row>
    <row r="143">
      <c r="H143" s="254" t="n"/>
    </row>
    <row r="144"/>
    <row r="145"/>
    <row r="146"/>
    <row r="147"/>
    <row r="148"/>
    <row r="149"/>
    <row r="150"/>
    <row r="151"/>
    <row r="152"/>
    <row r="153"/>
    <row r="154"/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7"/>
  <sheetViews>
    <sheetView showGridLines="0" zoomScale="85" zoomScaleNormal="85" workbookViewId="0">
      <pane xSplit="3" ySplit="2" topLeftCell="E3" activePane="bottomRight" state="frozen"/>
      <selection activeCell="D24" sqref="D24"/>
      <selection pane="topRight" activeCell="D24" sqref="D24"/>
      <selection pane="bottomLeft" activeCell="D24" sqref="D24"/>
      <selection pane="bottomRight" activeCell="G24" sqref="G24:G34"/>
    </sheetView>
  </sheetViews>
  <sheetFormatPr baseColWidth="8" defaultColWidth="9.140625" defaultRowHeight="12.75"/>
  <cols>
    <col width="2.28515625" bestFit="1" customWidth="1" style="1" min="1" max="1"/>
    <col width="4.42578125" bestFit="1" customWidth="1" style="1" min="2" max="2"/>
    <col width="53.140625" bestFit="1" customWidth="1" style="4" min="3" max="3"/>
    <col width="8.140625" bestFit="1" customWidth="1" style="1" min="4" max="4"/>
    <col width="9.28515625" bestFit="1" customWidth="1" style="1" min="5" max="7"/>
    <col width="10" bestFit="1" customWidth="1" style="1" min="8" max="8"/>
    <col width="8.140625" bestFit="1" customWidth="1" style="1" min="9" max="9"/>
    <col width="9.28515625" bestFit="1" customWidth="1" style="1" min="10" max="12"/>
    <col width="10" bestFit="1" customWidth="1" style="1" min="13" max="13"/>
    <col width="8.140625" bestFit="1" customWidth="1" style="1" min="14" max="14"/>
    <col width="9.28515625" bestFit="1" customWidth="1" style="1" min="15" max="16"/>
    <col width="10" bestFit="1" customWidth="1" style="1" min="17" max="18"/>
    <col width="8.140625" bestFit="1" customWidth="1" style="1" min="19" max="19"/>
    <col width="9.28515625" bestFit="1" customWidth="1" style="1" min="20" max="20"/>
    <col width="10" bestFit="1" customWidth="1" style="1" min="21" max="23"/>
    <col width="8.140625" bestFit="1" customWidth="1" style="1" min="24" max="24"/>
    <col width="10" bestFit="1" customWidth="1" style="1" min="25" max="27"/>
    <col width="10.42578125" bestFit="1" customWidth="1" style="1" min="28" max="28"/>
    <col width="9.28515625" bestFit="1" customWidth="1" style="1" min="29" max="29"/>
    <col width="11.7109375" bestFit="1" customWidth="1" style="1" min="30" max="31"/>
    <col width="12.7109375" bestFit="1" customWidth="1" style="1" min="32" max="32"/>
    <col width="10.28515625" customWidth="1" style="1" min="33" max="33"/>
    <col width="9.28515625" customWidth="1" style="4" min="34" max="54"/>
    <col width="9.28515625" customWidth="1" min="35" max="35"/>
    <col width="9.28515625" customWidth="1" min="36" max="36"/>
    <col width="9.28515625" customWidth="1" min="37" max="37"/>
    <col width="9.28515625" customWidth="1" min="38" max="38"/>
    <col width="9.7109375" bestFit="1" customWidth="1" style="4" min="55" max="55"/>
    <col width="9.140625" customWidth="1" style="4" min="56" max="56"/>
    <col width="9.140625" customWidth="1" style="4" min="57" max="16384"/>
  </cols>
  <sheetData>
    <row r="1" customFormat="1" s="1">
      <c r="A1" s="1">
        <f>COUNTIF($B$3:$B$1048576,$B$1)</f>
        <v>1</v>
      </c>
      <c r="B1" s="1">
        <f>MAX($B$3:$B$1048576)</f>
        <v>59</v>
      </c>
    </row>
    <row r="2">
      <c r="A2" s="4" t="n"/>
      <c r="B2" s="4" t="n"/>
      <c r="D2" s="50" t="inlineStr">
        <is>
          <t>1Q21</t>
        </is>
      </c>
      <c r="E2" s="50" t="inlineStr">
        <is>
          <t>2Q21</t>
        </is>
      </c>
      <c r="F2" s="50" t="inlineStr">
        <is>
          <t>3Q21</t>
        </is>
      </c>
      <c r="G2" s="50" t="inlineStr">
        <is>
          <t>4Q21</t>
        </is>
      </c>
      <c r="H2" s="244" t="n">
        <v>2021</v>
      </c>
      <c r="I2" s="50" t="inlineStr">
        <is>
          <t>1Q22</t>
        </is>
      </c>
      <c r="J2" s="50" t="inlineStr">
        <is>
          <t>2Q22</t>
        </is>
      </c>
      <c r="K2" s="50" t="inlineStr">
        <is>
          <t>3Q22</t>
        </is>
      </c>
      <c r="L2" s="50" t="inlineStr">
        <is>
          <t>4Q22</t>
        </is>
      </c>
      <c r="M2" s="244" t="n">
        <v>2022</v>
      </c>
      <c r="N2" s="50" t="inlineStr">
        <is>
          <t>1Q23</t>
        </is>
      </c>
      <c r="O2" s="50" t="inlineStr">
        <is>
          <t>2Q23</t>
        </is>
      </c>
      <c r="P2" s="50" t="inlineStr">
        <is>
          <t>3Q23</t>
        </is>
      </c>
      <c r="Q2" s="50" t="inlineStr">
        <is>
          <t>4Q23</t>
        </is>
      </c>
      <c r="R2" s="244" t="n">
        <v>2023</v>
      </c>
      <c r="S2" s="50" t="inlineStr">
        <is>
          <t>1Q24</t>
        </is>
      </c>
      <c r="T2" s="50" t="inlineStr">
        <is>
          <t>2Q24</t>
        </is>
      </c>
      <c r="U2" s="50" t="inlineStr">
        <is>
          <t>3Q24</t>
        </is>
      </c>
      <c r="V2" s="50" t="inlineStr">
        <is>
          <t>4Q24</t>
        </is>
      </c>
      <c r="W2" s="244" t="n">
        <v>2024</v>
      </c>
      <c r="X2" s="50" t="inlineStr">
        <is>
          <t>1Q25</t>
        </is>
      </c>
      <c r="Y2" s="50" t="inlineStr">
        <is>
          <t>2Q25</t>
        </is>
      </c>
      <c r="Z2" s="50" t="inlineStr">
        <is>
          <t>3Q25</t>
        </is>
      </c>
      <c r="AA2" s="50" t="inlineStr">
        <is>
          <t>4Q25</t>
        </is>
      </c>
      <c r="AB2" s="244" t="n">
        <v>2025</v>
      </c>
      <c r="AC2" s="50" t="inlineStr">
        <is>
          <t>1Q26</t>
        </is>
      </c>
      <c r="AD2" s="50" t="inlineStr">
        <is>
          <t>2Q26</t>
        </is>
      </c>
      <c r="AE2" s="257" t="inlineStr">
        <is>
          <t>3Q26</t>
        </is>
      </c>
      <c r="AF2" s="257" t="inlineStr">
        <is>
          <t>4Q26</t>
        </is>
      </c>
      <c r="AG2" s="258" t="n">
        <v>2026</v>
      </c>
      <c r="AH2" s="50" t="inlineStr">
        <is>
          <t>1Q20</t>
        </is>
      </c>
      <c r="AI2" s="50" t="inlineStr">
        <is>
          <t>2Q20</t>
        </is>
      </c>
      <c r="AJ2" s="50" t="inlineStr">
        <is>
          <t>3Q20</t>
        </is>
      </c>
      <c r="AK2" s="50" t="inlineStr">
        <is>
          <t>4Q20</t>
        </is>
      </c>
      <c r="AL2" s="244" t="n">
        <v>2020</v>
      </c>
      <c r="AN2" t="inlineStr">
        <is>
          <t>Sem dado na fonte: 3Q26, 4Q26 e 2026 (rotulo em cinza). 2020 fica nas colunas AH-AL.</t>
        </is>
      </c>
    </row>
    <row r="3"/>
    <row r="4">
      <c r="B4" s="46" t="n">
        <v>1</v>
      </c>
      <c r="C4" s="29" t="inlineStr">
        <is>
          <t>Net Revenues</t>
        </is>
      </c>
      <c r="D4" s="6">
        <f>IF(ISNA(MATCH(D$2,Inputs!$K$4:$AJ$4,0)),NA(),IF(SUMPRODUCT((Inputs!$A$5:$A$120=$B4)*ISNUMBER(INDEX(Inputs!$K$5:$AJ$120,0,MATCH(D$2,Inputs!$K$4:$AJ$4,0))))+SUMPRODUCT((Inputs!$C$5:$C$120=$B4)*ISNUMBER(INDEX(Inputs!$K$5:$AJ$120,0,MATCH(D$2,Inputs!$K$4:$AJ$4,0))))+SUMPRODUCT((Inputs!$E$5:$E$120=$B4)*ISNUMBER(INDEX(Inputs!$K$5:$AJ$120,0,MATCH(D$2,Inputs!$K$4:$AJ$4,0))))=0,NA(),SUMPRODUCT((Inputs!$A$5:$A$120=$B4)*Inputs!$B$5:$B$120*(((Inputs!$G$5:$G$120="moeda")+(Inputs!$G$5:$G$120="acoes"))*Inputs!$B$1+((Inputs!$G$5:$G$120&lt;&gt;"moeda")*(Inputs!$G$5:$G$120&lt;&gt;"acoes")))*INDEX(Inputs!$K$5:$AJ$120,0,MATCH(D$2,Inputs!$K$4:$AJ$4,0)))+SUMPRODUCT((Inputs!$C$5:$C$120=$B4)*Inputs!$D$5:$D$120*(((Inputs!$G$5:$G$120="moeda")+(Inputs!$G$5:$G$120="acoes"))*Inputs!$B$1+((Inputs!$G$5:$G$120&lt;&gt;"moeda")*(Inputs!$G$5:$G$120&lt;&gt;"acoes")))*INDEX(Inputs!$K$5:$AJ$120,0,MATCH(D$2,Inputs!$K$4:$AJ$4,0)))+SUMPRODUCT((Inputs!$E$5:$E$120=$B4)*Inputs!$F$5:$F$120*(((Inputs!$G$5:$G$120="moeda")+(Inputs!$G$5:$G$120="acoes"))*Inputs!$B$1+((Inputs!$G$5:$G$120&lt;&gt;"moeda")*(Inputs!$G$5:$G$120&lt;&gt;"acoes")))*INDEX(Inputs!$K$5:$AJ$120,0,MATCH(D$2,Inputs!$K$4:$AJ$4,0)))))</f>
        <v>6805.6</v>
      </c>
      <c r="E4" s="6">
        <f>IF(ISNA(MATCH(E$2,Inputs!$K$4:$AJ$4,0)),NA(),IF(SUMPRODUCT((Inputs!$A$5:$A$120=$B4)*ISNUMBER(INDEX(Inputs!$K$5:$AJ$120,0,MATCH(E$2,Inputs!$K$4:$AJ$4,0))))+SUMPRODUCT((Inputs!$C$5:$C$120=$B4)*ISNUMBER(INDEX(Inputs!$K$5:$AJ$120,0,MATCH(E$2,Inputs!$K$4:$AJ$4,0))))+SUMPRODUCT((Inputs!$E$5:$E$120=$B4)*ISNUMBER(INDEX(Inputs!$K$5:$AJ$120,0,MATCH(E$2,Inputs!$K$4:$AJ$4,0))))=0,NA(),SUMPRODUCT((Inputs!$A$5:$A$120=$B4)*Inputs!$B$5:$B$120*(((Inputs!$G$5:$G$120="moeda")+(Inputs!$G$5:$G$120="acoes"))*Inputs!$B$1+((Inputs!$G$5:$G$120&lt;&gt;"moeda")*(Inputs!$G$5:$G$120&lt;&gt;"acoes")))*INDEX(Inputs!$K$5:$AJ$120,0,MATCH(E$2,Inputs!$K$4:$AJ$4,0)))+SUMPRODUCT((Inputs!$C$5:$C$120=$B4)*Inputs!$D$5:$D$120*(((Inputs!$G$5:$G$120="moeda")+(Inputs!$G$5:$G$120="acoes"))*Inputs!$B$1+((Inputs!$G$5:$G$120&lt;&gt;"moeda")*(Inputs!$G$5:$G$120&lt;&gt;"acoes")))*INDEX(Inputs!$K$5:$AJ$120,0,MATCH(E$2,Inputs!$K$4:$AJ$4,0)))+SUMPRODUCT((Inputs!$E$5:$E$120=$B4)*Inputs!$F$5:$F$120*(((Inputs!$G$5:$G$120="moeda")+(Inputs!$G$5:$G$120="acoes"))*Inputs!$B$1+((Inputs!$G$5:$G$120&lt;&gt;"moeda")*(Inputs!$G$5:$G$120&lt;&gt;"acoes")))*INDEX(Inputs!$K$5:$AJ$120,0,MATCH(E$2,Inputs!$K$4:$AJ$4,0)))))</f>
        <v>6740.1</v>
      </c>
      <c r="F4" s="6">
        <f>IF(ISNA(MATCH(F$2,Inputs!$K$4:$AJ$4,0)),NA(),IF(SUMPRODUCT((Inputs!$A$5:$A$120=$B4)*ISNUMBER(INDEX(Inputs!$K$5:$AJ$120,0,MATCH(F$2,Inputs!$K$4:$AJ$4,0))))+SUMPRODUCT((Inputs!$C$5:$C$120=$B4)*ISNUMBER(INDEX(Inputs!$K$5:$AJ$120,0,MATCH(F$2,Inputs!$K$4:$AJ$4,0))))+SUMPRODUCT((Inputs!$E$5:$E$120=$B4)*ISNUMBER(INDEX(Inputs!$K$5:$AJ$120,0,MATCH(F$2,Inputs!$K$4:$AJ$4,0))))=0,NA(),SUMPRODUCT((Inputs!$A$5:$A$120=$B4)*Inputs!$B$5:$B$120*(((Inputs!$G$5:$G$120="moeda")+(Inputs!$G$5:$G$120="acoes"))*Inputs!$B$1+((Inputs!$G$5:$G$120&lt;&gt;"moeda")*(Inputs!$G$5:$G$120&lt;&gt;"acoes")))*INDEX(Inputs!$K$5:$AJ$120,0,MATCH(F$2,Inputs!$K$4:$AJ$4,0)))+SUMPRODUCT((Inputs!$C$5:$C$120=$B4)*Inputs!$D$5:$D$120*(((Inputs!$G$5:$G$120="moeda")+(Inputs!$G$5:$G$120="acoes"))*Inputs!$B$1+((Inputs!$G$5:$G$120&lt;&gt;"moeda")*(Inputs!$G$5:$G$120&lt;&gt;"acoes")))*INDEX(Inputs!$K$5:$AJ$120,0,MATCH(F$2,Inputs!$K$4:$AJ$4,0)))+SUMPRODUCT((Inputs!$E$5:$E$120=$B4)*Inputs!$F$5:$F$120*(((Inputs!$G$5:$G$120="moeda")+(Inputs!$G$5:$G$120="acoes"))*Inputs!$B$1+((Inputs!$G$5:$G$120&lt;&gt;"moeda")*(Inputs!$G$5:$G$120&lt;&gt;"acoes")))*INDEX(Inputs!$K$5:$AJ$120,0,MATCH(F$2,Inputs!$K$4:$AJ$4,0)))))</f>
        <v>6772.8</v>
      </c>
      <c r="G4" s="6">
        <f>IF(ISNA(MATCH(G$2,Inputs!$K$4:$AJ$4,0)),NA(),IF(SUMPRODUCT((Inputs!$A$5:$A$120=$B4)*ISNUMBER(INDEX(Inputs!$K$5:$AJ$120,0,MATCH(G$2,Inputs!$K$4:$AJ$4,0))))+SUMPRODUCT((Inputs!$C$5:$C$120=$B4)*ISNUMBER(INDEX(Inputs!$K$5:$AJ$120,0,MATCH(G$2,Inputs!$K$4:$AJ$4,0))))+SUMPRODUCT((Inputs!$E$5:$E$120=$B4)*ISNUMBER(INDEX(Inputs!$K$5:$AJ$120,0,MATCH(G$2,Inputs!$K$4:$AJ$4,0))))=0,NA(),SUMPRODUCT((Inputs!$A$5:$A$120=$B4)*Inputs!$B$5:$B$120*(((Inputs!$G$5:$G$120="moeda")+(Inputs!$G$5:$G$120="acoes"))*Inputs!$B$1+((Inputs!$G$5:$G$120&lt;&gt;"moeda")*(Inputs!$G$5:$G$120&lt;&gt;"acoes")))*INDEX(Inputs!$K$5:$AJ$120,0,MATCH(G$2,Inputs!$K$4:$AJ$4,0)))+SUMPRODUCT((Inputs!$C$5:$C$120=$B4)*Inputs!$D$5:$D$120*(((Inputs!$G$5:$G$120="moeda")+(Inputs!$G$5:$G$120="acoes"))*Inputs!$B$1+((Inputs!$G$5:$G$120&lt;&gt;"moeda")*(Inputs!$G$5:$G$120&lt;&gt;"acoes")))*INDEX(Inputs!$K$5:$AJ$120,0,MATCH(G$2,Inputs!$K$4:$AJ$4,0)))+SUMPRODUCT((Inputs!$E$5:$E$120=$B4)*Inputs!$F$5:$F$120*(((Inputs!$G$5:$G$120="moeda")+(Inputs!$G$5:$G$120="acoes"))*Inputs!$B$1+((Inputs!$G$5:$G$120&lt;&gt;"moeda")*(Inputs!$G$5:$G$120&lt;&gt;"acoes")))*INDEX(Inputs!$K$5:$AJ$120,0,MATCH(G$2,Inputs!$K$4:$AJ$4,0)))))</f>
        <v>7999.9</v>
      </c>
      <c r="H4" s="3">
        <f>SUM(D4:G4)</f>
        <v>28318.4</v>
      </c>
      <c r="I4" s="6">
        <f>IF(ISNA(MATCH(I$2,Inputs!$K$4:$AJ$4,0)),NA(),IF(SUMPRODUCT((Inputs!$A$5:$A$120=$B4)*ISNUMBER(INDEX(Inputs!$K$5:$AJ$120,0,MATCH(I$2,Inputs!$K$4:$AJ$4,0))))+SUMPRODUCT((Inputs!$C$5:$C$120=$B4)*ISNUMBER(INDEX(Inputs!$K$5:$AJ$120,0,MATCH(I$2,Inputs!$K$4:$AJ$4,0))))+SUMPRODUCT((Inputs!$E$5:$E$120=$B4)*ISNUMBER(INDEX(Inputs!$K$5:$AJ$120,0,MATCH(I$2,Inputs!$K$4:$AJ$4,0))))=0,NA(),SUMPRODUCT((Inputs!$A$5:$A$120=$B4)*Inputs!$B$5:$B$120*(((Inputs!$G$5:$G$120="moeda")+(Inputs!$G$5:$G$120="acoes"))*Inputs!$B$1+((Inputs!$G$5:$G$120&lt;&gt;"moeda")*(Inputs!$G$5:$G$120&lt;&gt;"acoes")))*INDEX(Inputs!$K$5:$AJ$120,0,MATCH(I$2,Inputs!$K$4:$AJ$4,0)))+SUMPRODUCT((Inputs!$C$5:$C$120=$B4)*Inputs!$D$5:$D$120*(((Inputs!$G$5:$G$120="moeda")+(Inputs!$G$5:$G$120="acoes"))*Inputs!$B$1+((Inputs!$G$5:$G$120&lt;&gt;"moeda")*(Inputs!$G$5:$G$120&lt;&gt;"acoes")))*INDEX(Inputs!$K$5:$AJ$120,0,MATCH(I$2,Inputs!$K$4:$AJ$4,0)))+SUMPRODUCT((Inputs!$E$5:$E$120=$B4)*Inputs!$F$5:$F$120*(((Inputs!$G$5:$G$120="moeda")+(Inputs!$G$5:$G$120="acoes"))*Inputs!$B$1+((Inputs!$G$5:$G$120&lt;&gt;"moeda")*(Inputs!$G$5:$G$120&lt;&gt;"acoes")))*INDEX(Inputs!$K$5:$AJ$120,0,MATCH(I$2,Inputs!$K$4:$AJ$4,0)))))</f>
        <v>7810</v>
      </c>
      <c r="J4" s="6">
        <f>IF(ISNA(MATCH(J$2,Inputs!$K$4:$AJ$4,0)),NA(),IF(SUMPRODUCT((Inputs!$A$5:$A$120=$B4)*ISNUMBER(INDEX(Inputs!$K$5:$AJ$120,0,MATCH(J$2,Inputs!$K$4:$AJ$4,0))))+SUMPRODUCT((Inputs!$C$5:$C$120=$B4)*ISNUMBER(INDEX(Inputs!$K$5:$AJ$120,0,MATCH(J$2,Inputs!$K$4:$AJ$4,0))))+SUMPRODUCT((Inputs!$E$5:$E$120=$B4)*ISNUMBER(INDEX(Inputs!$K$5:$AJ$120,0,MATCH(J$2,Inputs!$K$4:$AJ$4,0))))=0,NA(),SUMPRODUCT((Inputs!$A$5:$A$120=$B4)*Inputs!$B$5:$B$120*(((Inputs!$G$5:$G$120="moeda")+(Inputs!$G$5:$G$120="acoes"))*Inputs!$B$1+((Inputs!$G$5:$G$120&lt;&gt;"moeda")*(Inputs!$G$5:$G$120&lt;&gt;"acoes")))*INDEX(Inputs!$K$5:$AJ$120,0,MATCH(J$2,Inputs!$K$4:$AJ$4,0)))+SUMPRODUCT((Inputs!$C$5:$C$120=$B4)*Inputs!$D$5:$D$120*(((Inputs!$G$5:$G$120="moeda")+(Inputs!$G$5:$G$120="acoes"))*Inputs!$B$1+((Inputs!$G$5:$G$120&lt;&gt;"moeda")*(Inputs!$G$5:$G$120&lt;&gt;"acoes")))*INDEX(Inputs!$K$5:$AJ$120,0,MATCH(J$2,Inputs!$K$4:$AJ$4,0)))+SUMPRODUCT((Inputs!$E$5:$E$120=$B4)*Inputs!$F$5:$F$120*(((Inputs!$G$5:$G$120="moeda")+(Inputs!$G$5:$G$120="acoes"))*Inputs!$B$1+((Inputs!$G$5:$G$120&lt;&gt;"moeda")*(Inputs!$G$5:$G$120&lt;&gt;"acoes")))*INDEX(Inputs!$K$5:$AJ$120,0,MATCH(J$2,Inputs!$K$4:$AJ$4,0)))))</f>
        <v>6488</v>
      </c>
      <c r="K4" s="6">
        <f>IF(ISNA(MATCH(K$2,Inputs!$K$4:$AJ$4,0)),NA(),IF(SUMPRODUCT((Inputs!$A$5:$A$120=$B4)*ISNUMBER(INDEX(Inputs!$K$5:$AJ$120,0,MATCH(K$2,Inputs!$K$4:$AJ$4,0))))+SUMPRODUCT((Inputs!$C$5:$C$120=$B4)*ISNUMBER(INDEX(Inputs!$K$5:$AJ$120,0,MATCH(K$2,Inputs!$K$4:$AJ$4,0))))+SUMPRODUCT((Inputs!$E$5:$E$120=$B4)*ISNUMBER(INDEX(Inputs!$K$5:$AJ$120,0,MATCH(K$2,Inputs!$K$4:$AJ$4,0))))=0,NA(),SUMPRODUCT((Inputs!$A$5:$A$120=$B4)*Inputs!$B$5:$B$120*(((Inputs!$G$5:$G$120="moeda")+(Inputs!$G$5:$G$120="acoes"))*Inputs!$B$1+((Inputs!$G$5:$G$120&lt;&gt;"moeda")*(Inputs!$G$5:$G$120&lt;&gt;"acoes")))*INDEX(Inputs!$K$5:$AJ$120,0,MATCH(K$2,Inputs!$K$4:$AJ$4,0)))+SUMPRODUCT((Inputs!$C$5:$C$120=$B4)*Inputs!$D$5:$D$120*(((Inputs!$G$5:$G$120="moeda")+(Inputs!$G$5:$G$120="acoes"))*Inputs!$B$1+((Inputs!$G$5:$G$120&lt;&gt;"moeda")*(Inputs!$G$5:$G$120&lt;&gt;"acoes")))*INDEX(Inputs!$K$5:$AJ$120,0,MATCH(K$2,Inputs!$K$4:$AJ$4,0)))+SUMPRODUCT((Inputs!$E$5:$E$120=$B4)*Inputs!$F$5:$F$120*(((Inputs!$G$5:$G$120="moeda")+(Inputs!$G$5:$G$120="acoes"))*Inputs!$B$1+((Inputs!$G$5:$G$120&lt;&gt;"moeda")*(Inputs!$G$5:$G$120&lt;&gt;"acoes")))*INDEX(Inputs!$K$5:$AJ$120,0,MATCH(K$2,Inputs!$K$4:$AJ$4,0)))))</f>
        <v>6941.6</v>
      </c>
      <c r="L4" s="6">
        <f>IF(ISNA(MATCH(L$2,Inputs!$K$4:$AJ$4,0)),NA(),IF(SUMPRODUCT((Inputs!$A$5:$A$120=$B4)*ISNUMBER(INDEX(Inputs!$K$5:$AJ$120,0,MATCH(L$2,Inputs!$K$4:$AJ$4,0))))+SUMPRODUCT((Inputs!$C$5:$C$120=$B4)*ISNUMBER(INDEX(Inputs!$K$5:$AJ$120,0,MATCH(L$2,Inputs!$K$4:$AJ$4,0))))+SUMPRODUCT((Inputs!$E$5:$E$120=$B4)*ISNUMBER(INDEX(Inputs!$K$5:$AJ$120,0,MATCH(L$2,Inputs!$K$4:$AJ$4,0))))=0,NA(),SUMPRODUCT((Inputs!$A$5:$A$120=$B4)*Inputs!$B$5:$B$120*(((Inputs!$G$5:$G$120="moeda")+(Inputs!$G$5:$G$120="acoes"))*Inputs!$B$1+((Inputs!$G$5:$G$120&lt;&gt;"moeda")*(Inputs!$G$5:$G$120&lt;&gt;"acoes")))*INDEX(Inputs!$K$5:$AJ$120,0,MATCH(L$2,Inputs!$K$4:$AJ$4,0)))+SUMPRODUCT((Inputs!$C$5:$C$120=$B4)*Inputs!$D$5:$D$120*(((Inputs!$G$5:$G$120="moeda")+(Inputs!$G$5:$G$120="acoes"))*Inputs!$B$1+((Inputs!$G$5:$G$120&lt;&gt;"moeda")*(Inputs!$G$5:$G$120&lt;&gt;"acoes")))*INDEX(Inputs!$K$5:$AJ$120,0,MATCH(L$2,Inputs!$K$4:$AJ$4,0)))+SUMPRODUCT((Inputs!$E$5:$E$120=$B4)*Inputs!$F$5:$F$120*(((Inputs!$G$5:$G$120="moeda")+(Inputs!$G$5:$G$120="acoes"))*Inputs!$B$1+((Inputs!$G$5:$G$120&lt;&gt;"moeda")*(Inputs!$G$5:$G$120&lt;&gt;"acoes")))*INDEX(Inputs!$K$5:$AJ$120,0,MATCH(L$2,Inputs!$K$4:$AJ$4,0)))))</f>
        <v>7301.8</v>
      </c>
      <c r="M4" s="3">
        <f>SUM(I4:L4)</f>
        <v>28541.4</v>
      </c>
      <c r="N4" s="6">
        <f>IF(ISNA(MATCH(N$2,Inputs!$K$4:$AJ$4,0)),NA(),IF(SUMPRODUCT((Inputs!$A$5:$A$120=$B4)*ISNUMBER(INDEX(Inputs!$K$5:$AJ$120,0,MATCH(N$2,Inputs!$K$4:$AJ$4,0))))+SUMPRODUCT((Inputs!$C$5:$C$120=$B4)*ISNUMBER(INDEX(Inputs!$K$5:$AJ$120,0,MATCH(N$2,Inputs!$K$4:$AJ$4,0))))+SUMPRODUCT((Inputs!$E$5:$E$120=$B4)*ISNUMBER(INDEX(Inputs!$K$5:$AJ$120,0,MATCH(N$2,Inputs!$K$4:$AJ$4,0))))=0,NA(),SUMPRODUCT((Inputs!$A$5:$A$120=$B4)*Inputs!$B$5:$B$120*(((Inputs!$G$5:$G$120="moeda")+(Inputs!$G$5:$G$120="acoes"))*Inputs!$B$1+((Inputs!$G$5:$G$120&lt;&gt;"moeda")*(Inputs!$G$5:$G$120&lt;&gt;"acoes")))*INDEX(Inputs!$K$5:$AJ$120,0,MATCH(N$2,Inputs!$K$4:$AJ$4,0)))+SUMPRODUCT((Inputs!$C$5:$C$120=$B4)*Inputs!$D$5:$D$120*(((Inputs!$G$5:$G$120="moeda")+(Inputs!$G$5:$G$120="acoes"))*Inputs!$B$1+((Inputs!$G$5:$G$120&lt;&gt;"moeda")*(Inputs!$G$5:$G$120&lt;&gt;"acoes")))*INDEX(Inputs!$K$5:$AJ$120,0,MATCH(N$2,Inputs!$K$4:$AJ$4,0)))+SUMPRODUCT((Inputs!$E$5:$E$120=$B4)*Inputs!$F$5:$F$120*(((Inputs!$G$5:$G$120="moeda")+(Inputs!$G$5:$G$120="acoes"))*Inputs!$B$1+((Inputs!$G$5:$G$120&lt;&gt;"moeda")*(Inputs!$G$5:$G$120&lt;&gt;"acoes")))*INDEX(Inputs!$K$5:$AJ$120,0,MATCH(N$2,Inputs!$K$4:$AJ$4,0)))))</f>
        <v>6960</v>
      </c>
      <c r="O4" s="6">
        <f>IF(ISNA(MATCH(O$2,Inputs!$K$4:$AJ$4,0)),NA(),IF(SUMPRODUCT((Inputs!$A$5:$A$120=$B4)*ISNUMBER(INDEX(Inputs!$K$5:$AJ$120,0,MATCH(O$2,Inputs!$K$4:$AJ$4,0))))+SUMPRODUCT((Inputs!$C$5:$C$120=$B4)*ISNUMBER(INDEX(Inputs!$K$5:$AJ$120,0,MATCH(O$2,Inputs!$K$4:$AJ$4,0))))+SUMPRODUCT((Inputs!$E$5:$E$120=$B4)*ISNUMBER(INDEX(Inputs!$K$5:$AJ$120,0,MATCH(O$2,Inputs!$K$4:$AJ$4,0))))=0,NA(),SUMPRODUCT((Inputs!$A$5:$A$120=$B4)*Inputs!$B$5:$B$120*(((Inputs!$G$5:$G$120="moeda")+(Inputs!$G$5:$G$120="acoes"))*Inputs!$B$1+((Inputs!$G$5:$G$120&lt;&gt;"moeda")*(Inputs!$G$5:$G$120&lt;&gt;"acoes")))*INDEX(Inputs!$K$5:$AJ$120,0,MATCH(O$2,Inputs!$K$4:$AJ$4,0)))+SUMPRODUCT((Inputs!$C$5:$C$120=$B4)*Inputs!$D$5:$D$120*(((Inputs!$G$5:$G$120="moeda")+(Inputs!$G$5:$G$120="acoes"))*Inputs!$B$1+((Inputs!$G$5:$G$120&lt;&gt;"moeda")*(Inputs!$G$5:$G$120&lt;&gt;"acoes")))*INDEX(Inputs!$K$5:$AJ$120,0,MATCH(O$2,Inputs!$K$4:$AJ$4,0)))+SUMPRODUCT((Inputs!$E$5:$E$120=$B4)*Inputs!$F$5:$F$120*(((Inputs!$G$5:$G$120="moeda")+(Inputs!$G$5:$G$120="acoes"))*Inputs!$B$1+((Inputs!$G$5:$G$120&lt;&gt;"moeda")*(Inputs!$G$5:$G$120&lt;&gt;"acoes")))*INDEX(Inputs!$K$5:$AJ$120,0,MATCH(O$2,Inputs!$K$4:$AJ$4,0)))))</f>
        <v>8312.1</v>
      </c>
      <c r="P4" s="6">
        <f>IF(ISNA(MATCH(P$2,Inputs!$K$4:$AJ$4,0)),NA(),IF(SUMPRODUCT((Inputs!$A$5:$A$120=$B4)*ISNUMBER(INDEX(Inputs!$K$5:$AJ$120,0,MATCH(P$2,Inputs!$K$4:$AJ$4,0))))+SUMPRODUCT((Inputs!$C$5:$C$120=$B4)*ISNUMBER(INDEX(Inputs!$K$5:$AJ$120,0,MATCH(P$2,Inputs!$K$4:$AJ$4,0))))+SUMPRODUCT((Inputs!$E$5:$E$120=$B4)*ISNUMBER(INDEX(Inputs!$K$5:$AJ$120,0,MATCH(P$2,Inputs!$K$4:$AJ$4,0))))=0,NA(),SUMPRODUCT((Inputs!$A$5:$A$120=$B4)*Inputs!$B$5:$B$120*(((Inputs!$G$5:$G$120="moeda")+(Inputs!$G$5:$G$120="acoes"))*Inputs!$B$1+((Inputs!$G$5:$G$120&lt;&gt;"moeda")*(Inputs!$G$5:$G$120&lt;&gt;"acoes")))*INDEX(Inputs!$K$5:$AJ$120,0,MATCH(P$2,Inputs!$K$4:$AJ$4,0)))+SUMPRODUCT((Inputs!$C$5:$C$120=$B4)*Inputs!$D$5:$D$120*(((Inputs!$G$5:$G$120="moeda")+(Inputs!$G$5:$G$120="acoes"))*Inputs!$B$1+((Inputs!$G$5:$G$120&lt;&gt;"moeda")*(Inputs!$G$5:$G$120&lt;&gt;"acoes")))*INDEX(Inputs!$K$5:$AJ$120,0,MATCH(P$2,Inputs!$K$4:$AJ$4,0)))+SUMPRODUCT((Inputs!$E$5:$E$120=$B4)*Inputs!$F$5:$F$120*(((Inputs!$G$5:$G$120="moeda")+(Inputs!$G$5:$G$120="acoes"))*Inputs!$B$1+((Inputs!$G$5:$G$120&lt;&gt;"moeda")*(Inputs!$G$5:$G$120&lt;&gt;"acoes")))*INDEX(Inputs!$K$5:$AJ$120,0,MATCH(P$2,Inputs!$K$4:$AJ$4,0)))))</f>
        <v>9498.6</v>
      </c>
      <c r="Q4" s="6">
        <f>IF(ISNA(MATCH(Q$2,Inputs!$K$4:$AJ$4,0)),NA(),IF(SUMPRODUCT((Inputs!$A$5:$A$120=$B4)*ISNUMBER(INDEX(Inputs!$K$5:$AJ$120,0,MATCH(Q$2,Inputs!$K$4:$AJ$4,0))))+SUMPRODUCT((Inputs!$C$5:$C$120=$B4)*ISNUMBER(INDEX(Inputs!$K$5:$AJ$120,0,MATCH(Q$2,Inputs!$K$4:$AJ$4,0))))+SUMPRODUCT((Inputs!$E$5:$E$120=$B4)*ISNUMBER(INDEX(Inputs!$K$5:$AJ$120,0,MATCH(Q$2,Inputs!$K$4:$AJ$4,0))))=0,NA(),SUMPRODUCT((Inputs!$A$5:$A$120=$B4)*Inputs!$B$5:$B$120*(((Inputs!$G$5:$G$120="moeda")+(Inputs!$G$5:$G$120="acoes"))*Inputs!$B$1+((Inputs!$G$5:$G$120&lt;&gt;"moeda")*(Inputs!$G$5:$G$120&lt;&gt;"acoes")))*INDEX(Inputs!$K$5:$AJ$120,0,MATCH(Q$2,Inputs!$K$4:$AJ$4,0)))+SUMPRODUCT((Inputs!$C$5:$C$120=$B4)*Inputs!$D$5:$D$120*(((Inputs!$G$5:$G$120="moeda")+(Inputs!$G$5:$G$120="acoes"))*Inputs!$B$1+((Inputs!$G$5:$G$120&lt;&gt;"moeda")*(Inputs!$G$5:$G$120&lt;&gt;"acoes")))*INDEX(Inputs!$K$5:$AJ$120,0,MATCH(Q$2,Inputs!$K$4:$AJ$4,0)))+SUMPRODUCT((Inputs!$E$5:$E$120=$B4)*Inputs!$F$5:$F$120*(((Inputs!$G$5:$G$120="moeda")+(Inputs!$G$5:$G$120="acoes"))*Inputs!$B$1+((Inputs!$G$5:$G$120&lt;&gt;"moeda")*(Inputs!$G$5:$G$120&lt;&gt;"acoes")))*INDEX(Inputs!$K$5:$AJ$120,0,MATCH(Q$2,Inputs!$K$4:$AJ$4,0)))))</f>
        <v>9353.4</v>
      </c>
      <c r="R4" s="3">
        <f>SUM(N4:Q4)</f>
        <v>34124.1</v>
      </c>
      <c r="S4" s="6">
        <f>IF(ISNA(MATCH(S$2,Inputs!$K$4:$AJ$4,0)),NA(),IF(SUMPRODUCT((Inputs!$A$5:$A$120=$B4)*ISNUMBER(INDEX(Inputs!$K$5:$AJ$120,0,MATCH(S$2,Inputs!$K$4:$AJ$4,0))))+SUMPRODUCT((Inputs!$C$5:$C$120=$B4)*ISNUMBER(INDEX(Inputs!$K$5:$AJ$120,0,MATCH(S$2,Inputs!$K$4:$AJ$4,0))))+SUMPRODUCT((Inputs!$E$5:$E$120=$B4)*ISNUMBER(INDEX(Inputs!$K$5:$AJ$120,0,MATCH(S$2,Inputs!$K$4:$AJ$4,0))))=0,NA(),SUMPRODUCT((Inputs!$A$5:$A$120=$B4)*Inputs!$B$5:$B$120*(((Inputs!$G$5:$G$120="moeda")+(Inputs!$G$5:$G$120="acoes"))*Inputs!$B$1+((Inputs!$G$5:$G$120&lt;&gt;"moeda")*(Inputs!$G$5:$G$120&lt;&gt;"acoes")))*INDEX(Inputs!$K$5:$AJ$120,0,MATCH(S$2,Inputs!$K$4:$AJ$4,0)))+SUMPRODUCT((Inputs!$C$5:$C$120=$B4)*Inputs!$D$5:$D$120*(((Inputs!$G$5:$G$120="moeda")+(Inputs!$G$5:$G$120="acoes"))*Inputs!$B$1+((Inputs!$G$5:$G$120&lt;&gt;"moeda")*(Inputs!$G$5:$G$120&lt;&gt;"acoes")))*INDEX(Inputs!$K$5:$AJ$120,0,MATCH(S$2,Inputs!$K$4:$AJ$4,0)))+SUMPRODUCT((Inputs!$E$5:$E$120=$B4)*Inputs!$F$5:$F$120*(((Inputs!$G$5:$G$120="moeda")+(Inputs!$G$5:$G$120="acoes"))*Inputs!$B$1+((Inputs!$G$5:$G$120&lt;&gt;"moeda")*(Inputs!$G$5:$G$120&lt;&gt;"acoes")))*INDEX(Inputs!$K$5:$AJ$120,0,MATCH(S$2,Inputs!$K$4:$AJ$4,0)))))</f>
        <v>8768</v>
      </c>
      <c r="T4" s="6">
        <f>IF(ISNA(MATCH(T$2,Inputs!$K$4:$AJ$4,0)),NA(),IF(SUMPRODUCT((Inputs!$A$5:$A$120=$B4)*ISNUMBER(INDEX(Inputs!$K$5:$AJ$120,0,MATCH(T$2,Inputs!$K$4:$AJ$4,0))))+SUMPRODUCT((Inputs!$C$5:$C$120=$B4)*ISNUMBER(INDEX(Inputs!$K$5:$AJ$120,0,MATCH(T$2,Inputs!$K$4:$AJ$4,0))))+SUMPRODUCT((Inputs!$E$5:$E$120=$B4)*ISNUMBER(INDEX(Inputs!$K$5:$AJ$120,0,MATCH(T$2,Inputs!$K$4:$AJ$4,0))))=0,NA(),SUMPRODUCT((Inputs!$A$5:$A$120=$B4)*Inputs!$B$5:$B$120*(((Inputs!$G$5:$G$120="moeda")+(Inputs!$G$5:$G$120="acoes"))*Inputs!$B$1+((Inputs!$G$5:$G$120&lt;&gt;"moeda")*(Inputs!$G$5:$G$120&lt;&gt;"acoes")))*INDEX(Inputs!$K$5:$AJ$120,0,MATCH(T$2,Inputs!$K$4:$AJ$4,0)))+SUMPRODUCT((Inputs!$C$5:$C$120=$B4)*Inputs!$D$5:$D$120*(((Inputs!$G$5:$G$120="moeda")+(Inputs!$G$5:$G$120="acoes"))*Inputs!$B$1+((Inputs!$G$5:$G$120&lt;&gt;"moeda")*(Inputs!$G$5:$G$120&lt;&gt;"acoes")))*INDEX(Inputs!$K$5:$AJ$120,0,MATCH(T$2,Inputs!$K$4:$AJ$4,0)))+SUMPRODUCT((Inputs!$E$5:$E$120=$B4)*Inputs!$F$5:$F$120*(((Inputs!$G$5:$G$120="moeda")+(Inputs!$G$5:$G$120="acoes"))*Inputs!$B$1+((Inputs!$G$5:$G$120&lt;&gt;"moeda")*(Inputs!$G$5:$G$120&lt;&gt;"acoes")))*INDEX(Inputs!$K$5:$AJ$120,0,MATCH(T$2,Inputs!$K$4:$AJ$4,0)))))</f>
        <v>11302.8</v>
      </c>
      <c r="U4" s="6">
        <f>IF(ISNA(MATCH(U$2,Inputs!$K$4:$AJ$4,0)),NA(),IF(SUMPRODUCT((Inputs!$A$5:$A$120=$B4)*ISNUMBER(INDEX(Inputs!$K$5:$AJ$120,0,MATCH(U$2,Inputs!$K$4:$AJ$4,0))))+SUMPRODUCT((Inputs!$C$5:$C$120=$B4)*ISNUMBER(INDEX(Inputs!$K$5:$AJ$120,0,MATCH(U$2,Inputs!$K$4:$AJ$4,0))))+SUMPRODUCT((Inputs!$E$5:$E$120=$B4)*ISNUMBER(INDEX(Inputs!$K$5:$AJ$120,0,MATCH(U$2,Inputs!$K$4:$AJ$4,0))))=0,NA(),SUMPRODUCT((Inputs!$A$5:$A$120=$B4)*Inputs!$B$5:$B$120*(((Inputs!$G$5:$G$120="moeda")+(Inputs!$G$5:$G$120="acoes"))*Inputs!$B$1+((Inputs!$G$5:$G$120&lt;&gt;"moeda")*(Inputs!$G$5:$G$120&lt;&gt;"acoes")))*INDEX(Inputs!$K$5:$AJ$120,0,MATCH(U$2,Inputs!$K$4:$AJ$4,0)))+SUMPRODUCT((Inputs!$C$5:$C$120=$B4)*Inputs!$D$5:$D$120*(((Inputs!$G$5:$G$120="moeda")+(Inputs!$G$5:$G$120="acoes"))*Inputs!$B$1+((Inputs!$G$5:$G$120&lt;&gt;"moeda")*(Inputs!$G$5:$G$120&lt;&gt;"acoes")))*INDEX(Inputs!$K$5:$AJ$120,0,MATCH(U$2,Inputs!$K$4:$AJ$4,0)))+SUMPRODUCT((Inputs!$E$5:$E$120=$B4)*Inputs!$F$5:$F$120*(((Inputs!$G$5:$G$120="moeda")+(Inputs!$G$5:$G$120="acoes"))*Inputs!$B$1+((Inputs!$G$5:$G$120&lt;&gt;"moeda")*(Inputs!$G$5:$G$120&lt;&gt;"acoes")))*INDEX(Inputs!$K$5:$AJ$120,0,MATCH(U$2,Inputs!$K$4:$AJ$4,0)))))</f>
        <v>11439.1</v>
      </c>
      <c r="V4" s="6">
        <f>IF(ISNA(MATCH(V$2,Inputs!$K$4:$AJ$4,0)),NA(),IF(SUMPRODUCT((Inputs!$A$5:$A$120=$B4)*ISNUMBER(INDEX(Inputs!$K$5:$AJ$120,0,MATCH(V$2,Inputs!$K$4:$AJ$4,0))))+SUMPRODUCT((Inputs!$C$5:$C$120=$B4)*ISNUMBER(INDEX(Inputs!$K$5:$AJ$120,0,MATCH(V$2,Inputs!$K$4:$AJ$4,0))))+SUMPRODUCT((Inputs!$E$5:$E$120=$B4)*ISNUMBER(INDEX(Inputs!$K$5:$AJ$120,0,MATCH(V$2,Inputs!$K$4:$AJ$4,0))))=0,NA(),SUMPRODUCT((Inputs!$A$5:$A$120=$B4)*Inputs!$B$5:$B$120*(((Inputs!$G$5:$G$120="moeda")+(Inputs!$G$5:$G$120="acoes"))*Inputs!$B$1+((Inputs!$G$5:$G$120&lt;&gt;"moeda")*(Inputs!$G$5:$G$120&lt;&gt;"acoes")))*INDEX(Inputs!$K$5:$AJ$120,0,MATCH(V$2,Inputs!$K$4:$AJ$4,0)))+SUMPRODUCT((Inputs!$C$5:$C$120=$B4)*Inputs!$D$5:$D$120*(((Inputs!$G$5:$G$120="moeda")+(Inputs!$G$5:$G$120="acoes"))*Inputs!$B$1+((Inputs!$G$5:$G$120&lt;&gt;"moeda")*(Inputs!$G$5:$G$120&lt;&gt;"acoes")))*INDEX(Inputs!$K$5:$AJ$120,0,MATCH(V$2,Inputs!$K$4:$AJ$4,0)))+SUMPRODUCT((Inputs!$E$5:$E$120=$B4)*Inputs!$F$5:$F$120*(((Inputs!$G$5:$G$120="moeda")+(Inputs!$G$5:$G$120="acoes"))*Inputs!$B$1+((Inputs!$G$5:$G$120&lt;&gt;"moeda")*(Inputs!$G$5:$G$120&lt;&gt;"acoes")))*INDEX(Inputs!$K$5:$AJ$120,0,MATCH(V$2,Inputs!$K$4:$AJ$4,0)))))</f>
        <v>13532.8</v>
      </c>
      <c r="W4" s="3">
        <f>SUM(S4:V4)</f>
        <v>45042.7</v>
      </c>
      <c r="X4" s="6">
        <f>IF(ISNA(MATCH(X$2,Inputs!$K$4:$AJ$4,0)),NA(),IF(SUMPRODUCT((Inputs!$A$5:$A$120=$B4)*ISNUMBER(INDEX(Inputs!$K$5:$AJ$120,0,MATCH(X$2,Inputs!$K$4:$AJ$4,0))))+SUMPRODUCT((Inputs!$C$5:$C$120=$B4)*ISNUMBER(INDEX(Inputs!$K$5:$AJ$120,0,MATCH(X$2,Inputs!$K$4:$AJ$4,0))))+SUMPRODUCT((Inputs!$E$5:$E$120=$B4)*ISNUMBER(INDEX(Inputs!$K$5:$AJ$120,0,MATCH(X$2,Inputs!$K$4:$AJ$4,0))))=0,NA(),SUMPRODUCT((Inputs!$A$5:$A$120=$B4)*Inputs!$B$5:$B$120*(((Inputs!$G$5:$G$120="moeda")+(Inputs!$G$5:$G$120="acoes"))*Inputs!$B$1+((Inputs!$G$5:$G$120&lt;&gt;"moeda")*(Inputs!$G$5:$G$120&lt;&gt;"acoes")))*INDEX(Inputs!$K$5:$AJ$120,0,MATCH(X$2,Inputs!$K$4:$AJ$4,0)))+SUMPRODUCT((Inputs!$C$5:$C$120=$B4)*Inputs!$D$5:$D$120*(((Inputs!$G$5:$G$120="moeda")+(Inputs!$G$5:$G$120="acoes"))*Inputs!$B$1+((Inputs!$G$5:$G$120&lt;&gt;"moeda")*(Inputs!$G$5:$G$120&lt;&gt;"acoes")))*INDEX(Inputs!$K$5:$AJ$120,0,MATCH(X$2,Inputs!$K$4:$AJ$4,0)))+SUMPRODUCT((Inputs!$E$5:$E$120=$B4)*Inputs!$F$5:$F$120*(((Inputs!$G$5:$G$120="moeda")+(Inputs!$G$5:$G$120="acoes"))*Inputs!$B$1+((Inputs!$G$5:$G$120&lt;&gt;"moeda")*(Inputs!$G$5:$G$120&lt;&gt;"acoes")))*INDEX(Inputs!$K$5:$AJ$120,0,MATCH(X$2,Inputs!$K$4:$AJ$4,0)))))</f>
        <v>12729</v>
      </c>
      <c r="Y4" s="6">
        <f>IF(ISNA(MATCH(Y$2,Inputs!$K$4:$AJ$4,0)),NA(),IF(SUMPRODUCT((Inputs!$A$5:$A$120=$B4)*ISNUMBER(INDEX(Inputs!$K$5:$AJ$120,0,MATCH(Y$2,Inputs!$K$4:$AJ$4,0))))+SUMPRODUCT((Inputs!$C$5:$C$120=$B4)*ISNUMBER(INDEX(Inputs!$K$5:$AJ$120,0,MATCH(Y$2,Inputs!$K$4:$AJ$4,0))))+SUMPRODUCT((Inputs!$E$5:$E$120=$B4)*ISNUMBER(INDEX(Inputs!$K$5:$AJ$120,0,MATCH(Y$2,Inputs!$K$4:$AJ$4,0))))=0,NA(),SUMPRODUCT((Inputs!$A$5:$A$120=$B4)*Inputs!$B$5:$B$120*(((Inputs!$G$5:$G$120="moeda")+(Inputs!$G$5:$G$120="acoes"))*Inputs!$B$1+((Inputs!$G$5:$G$120&lt;&gt;"moeda")*(Inputs!$G$5:$G$120&lt;&gt;"acoes")))*INDEX(Inputs!$K$5:$AJ$120,0,MATCH(Y$2,Inputs!$K$4:$AJ$4,0)))+SUMPRODUCT((Inputs!$C$5:$C$120=$B4)*Inputs!$D$5:$D$120*(((Inputs!$G$5:$G$120="moeda")+(Inputs!$G$5:$G$120="acoes"))*Inputs!$B$1+((Inputs!$G$5:$G$120&lt;&gt;"moeda")*(Inputs!$G$5:$G$120&lt;&gt;"acoes")))*INDEX(Inputs!$K$5:$AJ$120,0,MATCH(Y$2,Inputs!$K$4:$AJ$4,0)))+SUMPRODUCT((Inputs!$E$5:$E$120=$B4)*Inputs!$F$5:$F$120*(((Inputs!$G$5:$G$120="moeda")+(Inputs!$G$5:$G$120="acoes"))*Inputs!$B$1+((Inputs!$G$5:$G$120&lt;&gt;"moeda")*(Inputs!$G$5:$G$120&lt;&gt;"acoes")))*INDEX(Inputs!$K$5:$AJ$120,0,MATCH(Y$2,Inputs!$K$4:$AJ$4,0)))))</f>
        <v>15558</v>
      </c>
      <c r="Z4" s="6">
        <f>IF(ISNA(MATCH(Z$2,Inputs!$K$4:$AJ$4,0)),NA(),IF(SUMPRODUCT((Inputs!$A$5:$A$120=$B4)*ISNUMBER(INDEX(Inputs!$K$5:$AJ$120,0,MATCH(Z$2,Inputs!$K$4:$AJ$4,0))))+SUMPRODUCT((Inputs!$C$5:$C$120=$B4)*ISNUMBER(INDEX(Inputs!$K$5:$AJ$120,0,MATCH(Z$2,Inputs!$K$4:$AJ$4,0))))+SUMPRODUCT((Inputs!$E$5:$E$120=$B4)*ISNUMBER(INDEX(Inputs!$K$5:$AJ$120,0,MATCH(Z$2,Inputs!$K$4:$AJ$4,0))))=0,NA(),SUMPRODUCT((Inputs!$A$5:$A$120=$B4)*Inputs!$B$5:$B$120*(((Inputs!$G$5:$G$120="moeda")+(Inputs!$G$5:$G$120="acoes"))*Inputs!$B$1+((Inputs!$G$5:$G$120&lt;&gt;"moeda")*(Inputs!$G$5:$G$120&lt;&gt;"acoes")))*INDEX(Inputs!$K$5:$AJ$120,0,MATCH(Z$2,Inputs!$K$4:$AJ$4,0)))+SUMPRODUCT((Inputs!$C$5:$C$120=$B4)*Inputs!$D$5:$D$120*(((Inputs!$G$5:$G$120="moeda")+(Inputs!$G$5:$G$120="acoes"))*Inputs!$B$1+((Inputs!$G$5:$G$120&lt;&gt;"moeda")*(Inputs!$G$5:$G$120&lt;&gt;"acoes")))*INDEX(Inputs!$K$5:$AJ$120,0,MATCH(Z$2,Inputs!$K$4:$AJ$4,0)))+SUMPRODUCT((Inputs!$E$5:$E$120=$B4)*Inputs!$F$5:$F$120*(((Inputs!$G$5:$G$120="moeda")+(Inputs!$G$5:$G$120="acoes"))*Inputs!$B$1+((Inputs!$G$5:$G$120&lt;&gt;"moeda")*(Inputs!$G$5:$G$120&lt;&gt;"acoes")))*INDEX(Inputs!$K$5:$AJ$120,0,MATCH(Z$2,Inputs!$K$4:$AJ$4,0)))))</f>
        <v>17600.8</v>
      </c>
      <c r="AA4" s="6">
        <f>IF(ISNA(MATCH(AA$2,Inputs!$K$4:$AJ$4,0)),NA(),IF(SUMPRODUCT((Inputs!$A$5:$A$120=$B4)*ISNUMBER(INDEX(Inputs!$K$5:$AJ$120,0,MATCH(AA$2,Inputs!$K$4:$AJ$4,0))))+SUMPRODUCT((Inputs!$C$5:$C$120=$B4)*ISNUMBER(INDEX(Inputs!$K$5:$AJ$120,0,MATCH(AA$2,Inputs!$K$4:$AJ$4,0))))+SUMPRODUCT((Inputs!$E$5:$E$120=$B4)*ISNUMBER(INDEX(Inputs!$K$5:$AJ$120,0,MATCH(AA$2,Inputs!$K$4:$AJ$4,0))))=0,NA(),SUMPRODUCT((Inputs!$A$5:$A$120=$B4)*Inputs!$B$5:$B$120*(((Inputs!$G$5:$G$120="moeda")+(Inputs!$G$5:$G$120="acoes"))*Inputs!$B$1+((Inputs!$G$5:$G$120&lt;&gt;"moeda")*(Inputs!$G$5:$G$120&lt;&gt;"acoes")))*INDEX(Inputs!$K$5:$AJ$120,0,MATCH(AA$2,Inputs!$K$4:$AJ$4,0)))+SUMPRODUCT((Inputs!$C$5:$C$120=$B4)*Inputs!$D$5:$D$120*(((Inputs!$G$5:$G$120="moeda")+(Inputs!$G$5:$G$120="acoes"))*Inputs!$B$1+((Inputs!$G$5:$G$120&lt;&gt;"moeda")*(Inputs!$G$5:$G$120&lt;&gt;"acoes")))*INDEX(Inputs!$K$5:$AJ$120,0,MATCH(AA$2,Inputs!$K$4:$AJ$4,0)))+SUMPRODUCT((Inputs!$E$5:$E$120=$B4)*Inputs!$F$5:$F$120*(((Inputs!$G$5:$G$120="moeda")+(Inputs!$G$5:$G$120="acoes"))*Inputs!$B$1+((Inputs!$G$5:$G$120&lt;&gt;"moeda")*(Inputs!$G$5:$G$120&lt;&gt;"acoes")))*INDEX(Inputs!$K$5:$AJ$120,0,MATCH(AA$2,Inputs!$K$4:$AJ$4,0)))))</f>
        <v>19292</v>
      </c>
      <c r="AB4" s="3">
        <f>SUM(X4:AA4)</f>
        <v>65179.8</v>
      </c>
      <c r="AC4" s="6">
        <f>IF(ISNA(MATCH(AC$2,Inputs!$K$4:$AJ$4,0)),NA(),IF(SUMPRODUCT((Inputs!$A$5:$A$120=$B4)*ISNUMBER(INDEX(Inputs!$K$5:$AJ$120,0,MATCH(AC$2,Inputs!$K$4:$AJ$4,0))))+SUMPRODUCT((Inputs!$C$5:$C$120=$B4)*ISNUMBER(INDEX(Inputs!$K$5:$AJ$120,0,MATCH(AC$2,Inputs!$K$4:$AJ$4,0))))+SUMPRODUCT((Inputs!$E$5:$E$120=$B4)*ISNUMBER(INDEX(Inputs!$K$5:$AJ$120,0,MATCH(AC$2,Inputs!$K$4:$AJ$4,0))))=0,NA(),SUMPRODUCT((Inputs!$A$5:$A$120=$B4)*Inputs!$B$5:$B$120*(((Inputs!$G$5:$G$120="moeda")+(Inputs!$G$5:$G$120="acoes"))*Inputs!$B$1+((Inputs!$G$5:$G$120&lt;&gt;"moeda")*(Inputs!$G$5:$G$120&lt;&gt;"acoes")))*INDEX(Inputs!$K$5:$AJ$120,0,MATCH(AC$2,Inputs!$K$4:$AJ$4,0)))+SUMPRODUCT((Inputs!$C$5:$C$120=$B4)*Inputs!$D$5:$D$120*(((Inputs!$G$5:$G$120="moeda")+(Inputs!$G$5:$G$120="acoes"))*Inputs!$B$1+((Inputs!$G$5:$G$120&lt;&gt;"moeda")*(Inputs!$G$5:$G$120&lt;&gt;"acoes")))*INDEX(Inputs!$K$5:$AJ$120,0,MATCH(AC$2,Inputs!$K$4:$AJ$4,0)))+SUMPRODUCT((Inputs!$E$5:$E$120=$B4)*Inputs!$F$5:$F$120*(((Inputs!$G$5:$G$120="moeda")+(Inputs!$G$5:$G$120="acoes"))*Inputs!$B$1+((Inputs!$G$5:$G$120&lt;&gt;"moeda")*(Inputs!$G$5:$G$120&lt;&gt;"acoes")))*INDEX(Inputs!$K$5:$AJ$120,0,MATCH(AC$2,Inputs!$K$4:$AJ$4,0)))))</f>
        <v>19799</v>
      </c>
      <c r="AD4" s="6">
        <f>IF(ISNA(MATCH(AD$2,Inputs!$K$4:$AJ$4,0)),NA(),IF(SUMPRODUCT((Inputs!$A$5:$A$120=$B4)*ISNUMBER(INDEX(Inputs!$K$5:$AJ$120,0,MATCH(AD$2,Inputs!$K$4:$AJ$4,0))))+SUMPRODUCT((Inputs!$C$5:$C$120=$B4)*ISNUMBER(INDEX(Inputs!$K$5:$AJ$120,0,MATCH(AD$2,Inputs!$K$4:$AJ$4,0))))+SUMPRODUCT((Inputs!$E$5:$E$120=$B4)*ISNUMBER(INDEX(Inputs!$K$5:$AJ$120,0,MATCH(AD$2,Inputs!$K$4:$AJ$4,0))))=0,NA(),SUMPRODUCT((Inputs!$A$5:$A$120=$B4)*Inputs!$B$5:$B$120*(((Inputs!$G$5:$G$120="moeda")+(Inputs!$G$5:$G$120="acoes"))*Inputs!$B$1+((Inputs!$G$5:$G$120&lt;&gt;"moeda")*(Inputs!$G$5:$G$120&lt;&gt;"acoes")))*INDEX(Inputs!$K$5:$AJ$120,0,MATCH(AD$2,Inputs!$K$4:$AJ$4,0)))+SUMPRODUCT((Inputs!$C$5:$C$120=$B4)*Inputs!$D$5:$D$120*(((Inputs!$G$5:$G$120="moeda")+(Inputs!$G$5:$G$120="acoes"))*Inputs!$B$1+((Inputs!$G$5:$G$120&lt;&gt;"moeda")*(Inputs!$G$5:$G$120&lt;&gt;"acoes")))*INDEX(Inputs!$K$5:$AJ$120,0,MATCH(AD$2,Inputs!$K$4:$AJ$4,0)))+SUMPRODUCT((Inputs!$E$5:$E$120=$B4)*Inputs!$F$5:$F$120*(((Inputs!$G$5:$G$120="moeda")+(Inputs!$G$5:$G$120="acoes"))*Inputs!$B$1+((Inputs!$G$5:$G$120&lt;&gt;"moeda")*(Inputs!$G$5:$G$120&lt;&gt;"acoes")))*INDEX(Inputs!$K$5:$AJ$120,0,MATCH(AD$2,Inputs!$K$4:$AJ$4,0)))))</f>
        <v>22974</v>
      </c>
      <c r="AE4" s="6" t="e">
        <f>IF(ISNA(MATCH(AE$2,Inputs!$K$4:$AJ$4,0)),NA(),IF(SUMPRODUCT((Inputs!$A$5:$A$120=$B4)*ISNUMBER(INDEX(Inputs!$K$5:$AJ$120,0,MATCH(AE$2,Inputs!$K$4:$AJ$4,0))))+SUMPRODUCT((Inputs!$C$5:$C$120=$B4)*ISNUMBER(INDEX(Inputs!$K$5:$AJ$120,0,MATCH(AE$2,Inputs!$K$4:$AJ$4,0))))+SUMPRODUCT((Inputs!$E$5:$E$120=$B4)*ISNUMBER(INDEX(Inputs!$K$5:$AJ$120,0,MATCH(AE$2,Inputs!$K$4:$AJ$4,0))))=0,NA(),SUMPRODUCT((Inputs!$A$5:$A$120=$B4)*Inputs!$B$5:$B$120*(((Inputs!$G$5:$G$120="moeda")+(Inputs!$G$5:$G$120="acoes"))*Inputs!$B$1+((Inputs!$G$5:$G$120&lt;&gt;"moeda")*(Inputs!$G$5:$G$120&lt;&gt;"acoes")))*INDEX(Inputs!$K$5:$AJ$120,0,MATCH(AE$2,Inputs!$K$4:$AJ$4,0)))+SUMPRODUCT((Inputs!$C$5:$C$120=$B4)*Inputs!$D$5:$D$120*(((Inputs!$G$5:$G$120="moeda")+(Inputs!$G$5:$G$120="acoes"))*Inputs!$B$1+((Inputs!$G$5:$G$120&lt;&gt;"moeda")*(Inputs!$G$5:$G$120&lt;&gt;"acoes")))*INDEX(Inputs!$K$5:$AJ$120,0,MATCH(AE$2,Inputs!$K$4:$AJ$4,0)))+SUMPRODUCT((Inputs!$E$5:$E$120=$B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" s="6" t="e">
        <f>IF(ISNA(MATCH(AF$2,Inputs!$K$4:$AJ$4,0)),NA(),IF(SUMPRODUCT((Inputs!$A$5:$A$120=$B4)*ISNUMBER(INDEX(Inputs!$K$5:$AJ$120,0,MATCH(AF$2,Inputs!$K$4:$AJ$4,0))))+SUMPRODUCT((Inputs!$C$5:$C$120=$B4)*ISNUMBER(INDEX(Inputs!$K$5:$AJ$120,0,MATCH(AF$2,Inputs!$K$4:$AJ$4,0))))+SUMPRODUCT((Inputs!$E$5:$E$120=$B4)*ISNUMBER(INDEX(Inputs!$K$5:$AJ$120,0,MATCH(AF$2,Inputs!$K$4:$AJ$4,0))))=0,NA(),SUMPRODUCT((Inputs!$A$5:$A$120=$B4)*Inputs!$B$5:$B$120*(((Inputs!$G$5:$G$120="moeda")+(Inputs!$G$5:$G$120="acoes"))*Inputs!$B$1+((Inputs!$G$5:$G$120&lt;&gt;"moeda")*(Inputs!$G$5:$G$120&lt;&gt;"acoes")))*INDEX(Inputs!$K$5:$AJ$120,0,MATCH(AF$2,Inputs!$K$4:$AJ$4,0)))+SUMPRODUCT((Inputs!$C$5:$C$120=$B4)*Inputs!$D$5:$D$120*(((Inputs!$G$5:$G$120="moeda")+(Inputs!$G$5:$G$120="acoes"))*Inputs!$B$1+((Inputs!$G$5:$G$120&lt;&gt;"moeda")*(Inputs!$G$5:$G$120&lt;&gt;"acoes")))*INDEX(Inputs!$K$5:$AJ$120,0,MATCH(AF$2,Inputs!$K$4:$AJ$4,0)))+SUMPRODUCT((Inputs!$E$5:$E$120=$B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" s="3" t="e">
        <f>SUM(AC4:AF4)</f>
        <v>#N/A</v>
      </c>
      <c r="AH4" s="6">
        <f>IF(ISNA(MATCH(AH$2,Inputs!$K$4:$AJ$4,0)),NA(),IF(SUMPRODUCT((Inputs!$A$5:$A$120=$B4)*ISNUMBER(INDEX(Inputs!$K$5:$AJ$120,0,MATCH(AH$2,Inputs!$K$4:$AJ$4,0))))+SUMPRODUCT((Inputs!$C$5:$C$120=$B4)*ISNUMBER(INDEX(Inputs!$K$5:$AJ$120,0,MATCH(AH$2,Inputs!$K$4:$AJ$4,0))))+SUMPRODUCT((Inputs!$E$5:$E$120=$B4)*ISNUMBER(INDEX(Inputs!$K$5:$AJ$120,0,MATCH(AH$2,Inputs!$K$4:$AJ$4,0))))=0,NA(),SUMPRODUCT((Inputs!$A$5:$A$120=$B4)*Inputs!$B$5:$B$120*(((Inputs!$G$5:$G$120="moeda")+(Inputs!$G$5:$G$120="acoes"))*Inputs!$B$1+((Inputs!$G$5:$G$120&lt;&gt;"moeda")*(Inputs!$G$5:$G$120&lt;&gt;"acoes")))*INDEX(Inputs!$K$5:$AJ$120,0,MATCH(AH$2,Inputs!$K$4:$AJ$4,0)))+SUMPRODUCT((Inputs!$C$5:$C$120=$B4)*Inputs!$D$5:$D$120*(((Inputs!$G$5:$G$120="moeda")+(Inputs!$G$5:$G$120="acoes"))*Inputs!$B$1+((Inputs!$G$5:$G$120&lt;&gt;"moeda")*(Inputs!$G$5:$G$120&lt;&gt;"acoes")))*INDEX(Inputs!$K$5:$AJ$120,0,MATCH(AH$2,Inputs!$K$4:$AJ$4,0)))+SUMPRODUCT((Inputs!$E$5:$E$120=$B4)*Inputs!$F$5:$F$120*(((Inputs!$G$5:$G$120="moeda")+(Inputs!$G$5:$G$120="acoes"))*Inputs!$B$1+((Inputs!$G$5:$G$120&lt;&gt;"moeda")*(Inputs!$G$5:$G$120&lt;&gt;"acoes")))*INDEX(Inputs!$K$5:$AJ$120,0,MATCH(AH$2,Inputs!$K$4:$AJ$4,0)))))</f>
        <v>5859.8</v>
      </c>
      <c r="AI4" s="6">
        <f>IF(ISNA(MATCH(AI$2,Inputs!$K$4:$AJ$4,0)),NA(),IF(SUMPRODUCT((Inputs!$A$5:$A$120=$B4)*ISNUMBER(INDEX(Inputs!$K$5:$AJ$120,0,MATCH(AI$2,Inputs!$K$4:$AJ$4,0))))+SUMPRODUCT((Inputs!$C$5:$C$120=$B4)*ISNUMBER(INDEX(Inputs!$K$5:$AJ$120,0,MATCH(AI$2,Inputs!$K$4:$AJ$4,0))))+SUMPRODUCT((Inputs!$E$5:$E$120=$B4)*ISNUMBER(INDEX(Inputs!$K$5:$AJ$120,0,MATCH(AI$2,Inputs!$K$4:$AJ$4,0))))=0,NA(),SUMPRODUCT((Inputs!$A$5:$A$120=$B4)*Inputs!$B$5:$B$120*(((Inputs!$G$5:$G$120="moeda")+(Inputs!$G$5:$G$120="acoes"))*Inputs!$B$1+((Inputs!$G$5:$G$120&lt;&gt;"moeda")*(Inputs!$G$5:$G$120&lt;&gt;"acoes")))*INDEX(Inputs!$K$5:$AJ$120,0,MATCH(AI$2,Inputs!$K$4:$AJ$4,0)))+SUMPRODUCT((Inputs!$C$5:$C$120=$B4)*Inputs!$D$5:$D$120*(((Inputs!$G$5:$G$120="moeda")+(Inputs!$G$5:$G$120="acoes"))*Inputs!$B$1+((Inputs!$G$5:$G$120&lt;&gt;"moeda")*(Inputs!$G$5:$G$120&lt;&gt;"acoes")))*INDEX(Inputs!$K$5:$AJ$120,0,MATCH(AI$2,Inputs!$K$4:$AJ$4,0)))+SUMPRODUCT((Inputs!$E$5:$E$120=$B4)*Inputs!$F$5:$F$120*(((Inputs!$G$5:$G$120="moeda")+(Inputs!$G$5:$G$120="acoes"))*Inputs!$B$1+((Inputs!$G$5:$G$120&lt;&gt;"moeda")*(Inputs!$G$5:$G$120&lt;&gt;"acoes")))*INDEX(Inputs!$K$5:$AJ$120,0,MATCH(AI$2,Inputs!$K$4:$AJ$4,0)))))</f>
        <v>5499.4</v>
      </c>
      <c r="AJ4" s="6">
        <f>IF(ISNA(MATCH(AJ$2,Inputs!$K$4:$AJ$4,0)),NA(),IF(SUMPRODUCT((Inputs!$A$5:$A$120=$B4)*ISNUMBER(INDEX(Inputs!$K$5:$AJ$120,0,MATCH(AJ$2,Inputs!$K$4:$AJ$4,0))))+SUMPRODUCT((Inputs!$C$5:$C$120=$B4)*ISNUMBER(INDEX(Inputs!$K$5:$AJ$120,0,MATCH(AJ$2,Inputs!$K$4:$AJ$4,0))))+SUMPRODUCT((Inputs!$E$5:$E$120=$B4)*ISNUMBER(INDEX(Inputs!$K$5:$AJ$120,0,MATCH(AJ$2,Inputs!$K$4:$AJ$4,0))))=0,NA(),SUMPRODUCT((Inputs!$A$5:$A$120=$B4)*Inputs!$B$5:$B$120*(((Inputs!$G$5:$G$120="moeda")+(Inputs!$G$5:$G$120="acoes"))*Inputs!$B$1+((Inputs!$G$5:$G$120&lt;&gt;"moeda")*(Inputs!$G$5:$G$120&lt;&gt;"acoes")))*INDEX(Inputs!$K$5:$AJ$120,0,MATCH(AJ$2,Inputs!$K$4:$AJ$4,0)))+SUMPRODUCT((Inputs!$C$5:$C$120=$B4)*Inputs!$D$5:$D$120*(((Inputs!$G$5:$G$120="moeda")+(Inputs!$G$5:$G$120="acoes"))*Inputs!$B$1+((Inputs!$G$5:$G$120&lt;&gt;"moeda")*(Inputs!$G$5:$G$120&lt;&gt;"acoes")))*INDEX(Inputs!$K$5:$AJ$120,0,MATCH(AJ$2,Inputs!$K$4:$AJ$4,0)))+SUMPRODUCT((Inputs!$E$5:$E$120=$B4)*Inputs!$F$5:$F$120*(((Inputs!$G$5:$G$120="moeda")+(Inputs!$G$5:$G$120="acoes"))*Inputs!$B$1+((Inputs!$G$5:$G$120&lt;&gt;"moeda")*(Inputs!$G$5:$G$120&lt;&gt;"acoes")))*INDEX(Inputs!$K$5:$AJ$120,0,MATCH(AJ$2,Inputs!$K$4:$AJ$4,0)))))</f>
        <v>5740.6</v>
      </c>
      <c r="AK4" s="6">
        <f>IF(ISNA(MATCH(AK$2,Inputs!$K$4:$AJ$4,0)),NA(),IF(SUMPRODUCT((Inputs!$A$5:$A$120=$B4)*ISNUMBER(INDEX(Inputs!$K$5:$AJ$120,0,MATCH(AK$2,Inputs!$K$4:$AJ$4,0))))+SUMPRODUCT((Inputs!$C$5:$C$120=$B4)*ISNUMBER(INDEX(Inputs!$K$5:$AJ$120,0,MATCH(AK$2,Inputs!$K$4:$AJ$4,0))))+SUMPRODUCT((Inputs!$E$5:$E$120=$B4)*ISNUMBER(INDEX(Inputs!$K$5:$AJ$120,0,MATCH(AK$2,Inputs!$K$4:$AJ$4,0))))=0,NA(),SUMPRODUCT((Inputs!$A$5:$A$120=$B4)*Inputs!$B$5:$B$120*(((Inputs!$G$5:$G$120="moeda")+(Inputs!$G$5:$G$120="acoes"))*Inputs!$B$1+((Inputs!$G$5:$G$120&lt;&gt;"moeda")*(Inputs!$G$5:$G$120&lt;&gt;"acoes")))*INDEX(Inputs!$K$5:$AJ$120,0,MATCH(AK$2,Inputs!$K$4:$AJ$4,0)))+SUMPRODUCT((Inputs!$C$5:$C$120=$B4)*Inputs!$D$5:$D$120*(((Inputs!$G$5:$G$120="moeda")+(Inputs!$G$5:$G$120="acoes"))*Inputs!$B$1+((Inputs!$G$5:$G$120&lt;&gt;"moeda")*(Inputs!$G$5:$G$120&lt;&gt;"acoes")))*INDEX(Inputs!$K$5:$AJ$120,0,MATCH(AK$2,Inputs!$K$4:$AJ$4,0)))+SUMPRODUCT((Inputs!$E$5:$E$120=$B4)*Inputs!$F$5:$F$120*(((Inputs!$G$5:$G$120="moeda")+(Inputs!$G$5:$G$120="acoes"))*Inputs!$B$1+((Inputs!$G$5:$G$120&lt;&gt;"moeda")*(Inputs!$G$5:$G$120&lt;&gt;"acoes")))*INDEX(Inputs!$K$5:$AJ$120,0,MATCH(AK$2,Inputs!$K$4:$AJ$4,0)))))</f>
        <v>7440</v>
      </c>
      <c r="AL4" s="3">
        <f>SUM(AH4:AK4)</f>
        <v>24539.8</v>
      </c>
    </row>
    <row r="5">
      <c r="B5" s="46" t="n">
        <v>2</v>
      </c>
      <c r="C5" s="24" t="inlineStr">
        <is>
          <t>COGS (cash)</t>
        </is>
      </c>
      <c r="D5" s="6">
        <f>IF(ISNA(MATCH(D$2,Inputs!$K$4:$AJ$4,0)),NA(),IF(SUMPRODUCT((Inputs!$A$5:$A$120=$B5)*ISNUMBER(INDEX(Inputs!$K$5:$AJ$120,0,MATCH(D$2,Inputs!$K$4:$AJ$4,0))))+SUMPRODUCT((Inputs!$C$5:$C$120=$B5)*ISNUMBER(INDEX(Inputs!$K$5:$AJ$120,0,MATCH(D$2,Inputs!$K$4:$AJ$4,0))))+SUMPRODUCT((Inputs!$E$5:$E$120=$B5)*ISNUMBER(INDEX(Inputs!$K$5:$AJ$120,0,MATCH(D$2,Inputs!$K$4:$AJ$4,0))))=0,NA(),SUMPRODUCT((Inputs!$A$5:$A$120=$B5)*Inputs!$B$5:$B$120*(((Inputs!$G$5:$G$120="moeda")+(Inputs!$G$5:$G$120="acoes"))*Inputs!$B$1+((Inputs!$G$5:$G$120&lt;&gt;"moeda")*(Inputs!$G$5:$G$120&lt;&gt;"acoes")))*INDEX(Inputs!$K$5:$AJ$120,0,MATCH(D$2,Inputs!$K$4:$AJ$4,0)))+SUMPRODUCT((Inputs!$C$5:$C$120=$B5)*Inputs!$D$5:$D$120*(((Inputs!$G$5:$G$120="moeda")+(Inputs!$G$5:$G$120="acoes"))*Inputs!$B$1+((Inputs!$G$5:$G$120&lt;&gt;"moeda")*(Inputs!$G$5:$G$120&lt;&gt;"acoes")))*INDEX(Inputs!$K$5:$AJ$120,0,MATCH(D$2,Inputs!$K$4:$AJ$4,0)))+SUMPRODUCT((Inputs!$E$5:$E$120=$B5)*Inputs!$F$5:$F$120*(((Inputs!$G$5:$G$120="moeda")+(Inputs!$G$5:$G$120="acoes"))*Inputs!$B$1+((Inputs!$G$5:$G$120&lt;&gt;"moeda")*(Inputs!$G$5:$G$120&lt;&gt;"acoes")))*INDEX(Inputs!$K$5:$AJ$120,0,MATCH(D$2,Inputs!$K$4:$AJ$4,0)))))</f>
        <v>-1878.6</v>
      </c>
      <c r="E5" s="6">
        <f>IF(ISNA(MATCH(E$2,Inputs!$K$4:$AJ$4,0)),NA(),IF(SUMPRODUCT((Inputs!$A$5:$A$120=$B5)*ISNUMBER(INDEX(Inputs!$K$5:$AJ$120,0,MATCH(E$2,Inputs!$K$4:$AJ$4,0))))+SUMPRODUCT((Inputs!$C$5:$C$120=$B5)*ISNUMBER(INDEX(Inputs!$K$5:$AJ$120,0,MATCH(E$2,Inputs!$K$4:$AJ$4,0))))+SUMPRODUCT((Inputs!$E$5:$E$120=$B5)*ISNUMBER(INDEX(Inputs!$K$5:$AJ$120,0,MATCH(E$2,Inputs!$K$4:$AJ$4,0))))=0,NA(),SUMPRODUCT((Inputs!$A$5:$A$120=$B5)*Inputs!$B$5:$B$120*(((Inputs!$G$5:$G$120="moeda")+(Inputs!$G$5:$G$120="acoes"))*Inputs!$B$1+((Inputs!$G$5:$G$120&lt;&gt;"moeda")*(Inputs!$G$5:$G$120&lt;&gt;"acoes")))*INDEX(Inputs!$K$5:$AJ$120,0,MATCH(E$2,Inputs!$K$4:$AJ$4,0)))+SUMPRODUCT((Inputs!$C$5:$C$120=$B5)*Inputs!$D$5:$D$120*(((Inputs!$G$5:$G$120="moeda")+(Inputs!$G$5:$G$120="acoes"))*Inputs!$B$1+((Inputs!$G$5:$G$120&lt;&gt;"moeda")*(Inputs!$G$5:$G$120&lt;&gt;"acoes")))*INDEX(Inputs!$K$5:$AJ$120,0,MATCH(E$2,Inputs!$K$4:$AJ$4,0)))+SUMPRODUCT((Inputs!$E$5:$E$120=$B5)*Inputs!$F$5:$F$120*(((Inputs!$G$5:$G$120="moeda")+(Inputs!$G$5:$G$120="acoes"))*Inputs!$B$1+((Inputs!$G$5:$G$120&lt;&gt;"moeda")*(Inputs!$G$5:$G$120&lt;&gt;"acoes")))*INDEX(Inputs!$K$5:$AJ$120,0,MATCH(E$2,Inputs!$K$4:$AJ$4,0)))))</f>
        <v>-1953.2</v>
      </c>
      <c r="F5" s="6">
        <f>IF(ISNA(MATCH(F$2,Inputs!$K$4:$AJ$4,0)),NA(),IF(SUMPRODUCT((Inputs!$A$5:$A$120=$B5)*ISNUMBER(INDEX(Inputs!$K$5:$AJ$120,0,MATCH(F$2,Inputs!$K$4:$AJ$4,0))))+SUMPRODUCT((Inputs!$C$5:$C$120=$B5)*ISNUMBER(INDEX(Inputs!$K$5:$AJ$120,0,MATCH(F$2,Inputs!$K$4:$AJ$4,0))))+SUMPRODUCT((Inputs!$E$5:$E$120=$B5)*ISNUMBER(INDEX(Inputs!$K$5:$AJ$120,0,MATCH(F$2,Inputs!$K$4:$AJ$4,0))))=0,NA(),SUMPRODUCT((Inputs!$A$5:$A$120=$B5)*Inputs!$B$5:$B$120*(((Inputs!$G$5:$G$120="moeda")+(Inputs!$G$5:$G$120="acoes"))*Inputs!$B$1+((Inputs!$G$5:$G$120&lt;&gt;"moeda")*(Inputs!$G$5:$G$120&lt;&gt;"acoes")))*INDEX(Inputs!$K$5:$AJ$120,0,MATCH(F$2,Inputs!$K$4:$AJ$4,0)))+SUMPRODUCT((Inputs!$C$5:$C$120=$B5)*Inputs!$D$5:$D$120*(((Inputs!$G$5:$G$120="moeda")+(Inputs!$G$5:$G$120="acoes"))*Inputs!$B$1+((Inputs!$G$5:$G$120&lt;&gt;"moeda")*(Inputs!$G$5:$G$120&lt;&gt;"acoes")))*INDEX(Inputs!$K$5:$AJ$120,0,MATCH(F$2,Inputs!$K$4:$AJ$4,0)))+SUMPRODUCT((Inputs!$E$5:$E$120=$B5)*Inputs!$F$5:$F$120*(((Inputs!$G$5:$G$120="moeda")+(Inputs!$G$5:$G$120="acoes"))*Inputs!$B$1+((Inputs!$G$5:$G$120&lt;&gt;"moeda")*(Inputs!$G$5:$G$120&lt;&gt;"acoes")))*INDEX(Inputs!$K$5:$AJ$120,0,MATCH(F$2,Inputs!$K$4:$AJ$4,0)))))</f>
        <v>-1430.8</v>
      </c>
      <c r="G5" s="6">
        <f>IF(ISNA(MATCH(G$2,Inputs!$K$4:$AJ$4,0)),NA(),IF(SUMPRODUCT((Inputs!$A$5:$A$120=$B5)*ISNUMBER(INDEX(Inputs!$K$5:$AJ$120,0,MATCH(G$2,Inputs!$K$4:$AJ$4,0))))+SUMPRODUCT((Inputs!$C$5:$C$120=$B5)*ISNUMBER(INDEX(Inputs!$K$5:$AJ$120,0,MATCH(G$2,Inputs!$K$4:$AJ$4,0))))+SUMPRODUCT((Inputs!$E$5:$E$120=$B5)*ISNUMBER(INDEX(Inputs!$K$5:$AJ$120,0,MATCH(G$2,Inputs!$K$4:$AJ$4,0))))=0,NA(),SUMPRODUCT((Inputs!$A$5:$A$120=$B5)*Inputs!$B$5:$B$120*(((Inputs!$G$5:$G$120="moeda")+(Inputs!$G$5:$G$120="acoes"))*Inputs!$B$1+((Inputs!$G$5:$G$120&lt;&gt;"moeda")*(Inputs!$G$5:$G$120&lt;&gt;"acoes")))*INDEX(Inputs!$K$5:$AJ$120,0,MATCH(G$2,Inputs!$K$4:$AJ$4,0)))+SUMPRODUCT((Inputs!$C$5:$C$120=$B5)*Inputs!$D$5:$D$120*(((Inputs!$G$5:$G$120="moeda")+(Inputs!$G$5:$G$120="acoes"))*Inputs!$B$1+((Inputs!$G$5:$G$120&lt;&gt;"moeda")*(Inputs!$G$5:$G$120&lt;&gt;"acoes")))*INDEX(Inputs!$K$5:$AJ$120,0,MATCH(G$2,Inputs!$K$4:$AJ$4,0)))+SUMPRODUCT((Inputs!$E$5:$E$120=$B5)*Inputs!$F$5:$F$120*(((Inputs!$G$5:$G$120="moeda")+(Inputs!$G$5:$G$120="acoes"))*Inputs!$B$1+((Inputs!$G$5:$G$120&lt;&gt;"moeda")*(Inputs!$G$5:$G$120&lt;&gt;"acoes")))*INDEX(Inputs!$K$5:$AJ$120,0,MATCH(G$2,Inputs!$K$4:$AJ$4,0)))))</f>
        <v>-2050.2</v>
      </c>
      <c r="H5" s="3">
        <f>SUM(D5:G5)</f>
        <v>-7312.8</v>
      </c>
      <c r="I5" s="6">
        <f>IF(ISNA(MATCH(I$2,Inputs!$K$4:$AJ$4,0)),NA(),IF(SUMPRODUCT((Inputs!$A$5:$A$120=$B5)*ISNUMBER(INDEX(Inputs!$K$5:$AJ$120,0,MATCH(I$2,Inputs!$K$4:$AJ$4,0))))+SUMPRODUCT((Inputs!$C$5:$C$120=$B5)*ISNUMBER(INDEX(Inputs!$K$5:$AJ$120,0,MATCH(I$2,Inputs!$K$4:$AJ$4,0))))+SUMPRODUCT((Inputs!$E$5:$E$120=$B5)*ISNUMBER(INDEX(Inputs!$K$5:$AJ$120,0,MATCH(I$2,Inputs!$K$4:$AJ$4,0))))=0,NA(),SUMPRODUCT((Inputs!$A$5:$A$120=$B5)*Inputs!$B$5:$B$120*(((Inputs!$G$5:$G$120="moeda")+(Inputs!$G$5:$G$120="acoes"))*Inputs!$B$1+((Inputs!$G$5:$G$120&lt;&gt;"moeda")*(Inputs!$G$5:$G$120&lt;&gt;"acoes")))*INDEX(Inputs!$K$5:$AJ$120,0,MATCH(I$2,Inputs!$K$4:$AJ$4,0)))+SUMPRODUCT((Inputs!$C$5:$C$120=$B5)*Inputs!$D$5:$D$120*(((Inputs!$G$5:$G$120="moeda")+(Inputs!$G$5:$G$120="acoes"))*Inputs!$B$1+((Inputs!$G$5:$G$120&lt;&gt;"moeda")*(Inputs!$G$5:$G$120&lt;&gt;"acoes")))*INDEX(Inputs!$K$5:$AJ$120,0,MATCH(I$2,Inputs!$K$4:$AJ$4,0)))+SUMPRODUCT((Inputs!$E$5:$E$120=$B5)*Inputs!$F$5:$F$120*(((Inputs!$G$5:$G$120="moeda")+(Inputs!$G$5:$G$120="acoes"))*Inputs!$B$1+((Inputs!$G$5:$G$120&lt;&gt;"moeda")*(Inputs!$G$5:$G$120&lt;&gt;"acoes")))*INDEX(Inputs!$K$5:$AJ$120,0,MATCH(I$2,Inputs!$K$4:$AJ$4,0)))))</f>
        <v>-2072.1</v>
      </c>
      <c r="J5" s="6">
        <f>IF(ISNA(MATCH(J$2,Inputs!$K$4:$AJ$4,0)),NA(),IF(SUMPRODUCT((Inputs!$A$5:$A$120=$B5)*ISNUMBER(INDEX(Inputs!$K$5:$AJ$120,0,MATCH(J$2,Inputs!$K$4:$AJ$4,0))))+SUMPRODUCT((Inputs!$C$5:$C$120=$B5)*ISNUMBER(INDEX(Inputs!$K$5:$AJ$120,0,MATCH(J$2,Inputs!$K$4:$AJ$4,0))))+SUMPRODUCT((Inputs!$E$5:$E$120=$B5)*ISNUMBER(INDEX(Inputs!$K$5:$AJ$120,0,MATCH(J$2,Inputs!$K$4:$AJ$4,0))))=0,NA(),SUMPRODUCT((Inputs!$A$5:$A$120=$B5)*Inputs!$B$5:$B$120*(((Inputs!$G$5:$G$120="moeda")+(Inputs!$G$5:$G$120="acoes"))*Inputs!$B$1+((Inputs!$G$5:$G$120&lt;&gt;"moeda")*(Inputs!$G$5:$G$120&lt;&gt;"acoes")))*INDEX(Inputs!$K$5:$AJ$120,0,MATCH(J$2,Inputs!$K$4:$AJ$4,0)))+SUMPRODUCT((Inputs!$C$5:$C$120=$B5)*Inputs!$D$5:$D$120*(((Inputs!$G$5:$G$120="moeda")+(Inputs!$G$5:$G$120="acoes"))*Inputs!$B$1+((Inputs!$G$5:$G$120&lt;&gt;"moeda")*(Inputs!$G$5:$G$120&lt;&gt;"acoes")))*INDEX(Inputs!$K$5:$AJ$120,0,MATCH(J$2,Inputs!$K$4:$AJ$4,0)))+SUMPRODUCT((Inputs!$E$5:$E$120=$B5)*Inputs!$F$5:$F$120*(((Inputs!$G$5:$G$120="moeda")+(Inputs!$G$5:$G$120="acoes"))*Inputs!$B$1+((Inputs!$G$5:$G$120&lt;&gt;"moeda")*(Inputs!$G$5:$G$120&lt;&gt;"acoes")))*INDEX(Inputs!$K$5:$AJ$120,0,MATCH(J$2,Inputs!$K$4:$AJ$4,0)))))</f>
        <v>-1430.5</v>
      </c>
      <c r="K5" s="6">
        <f>IF(ISNA(MATCH(K$2,Inputs!$K$4:$AJ$4,0)),NA(),IF(SUMPRODUCT((Inputs!$A$5:$A$120=$B5)*ISNUMBER(INDEX(Inputs!$K$5:$AJ$120,0,MATCH(K$2,Inputs!$K$4:$AJ$4,0))))+SUMPRODUCT((Inputs!$C$5:$C$120=$B5)*ISNUMBER(INDEX(Inputs!$K$5:$AJ$120,0,MATCH(K$2,Inputs!$K$4:$AJ$4,0))))+SUMPRODUCT((Inputs!$E$5:$E$120=$B5)*ISNUMBER(INDEX(Inputs!$K$5:$AJ$120,0,MATCH(K$2,Inputs!$K$4:$AJ$4,0))))=0,NA(),SUMPRODUCT((Inputs!$A$5:$A$120=$B5)*Inputs!$B$5:$B$120*(((Inputs!$G$5:$G$120="moeda")+(Inputs!$G$5:$G$120="acoes"))*Inputs!$B$1+((Inputs!$G$5:$G$120&lt;&gt;"moeda")*(Inputs!$G$5:$G$120&lt;&gt;"acoes")))*INDEX(Inputs!$K$5:$AJ$120,0,MATCH(K$2,Inputs!$K$4:$AJ$4,0)))+SUMPRODUCT((Inputs!$C$5:$C$120=$B5)*Inputs!$D$5:$D$120*(((Inputs!$G$5:$G$120="moeda")+(Inputs!$G$5:$G$120="acoes"))*Inputs!$B$1+((Inputs!$G$5:$G$120&lt;&gt;"moeda")*(Inputs!$G$5:$G$120&lt;&gt;"acoes")))*INDEX(Inputs!$K$5:$AJ$120,0,MATCH(K$2,Inputs!$K$4:$AJ$4,0)))+SUMPRODUCT((Inputs!$E$5:$E$120=$B5)*Inputs!$F$5:$F$120*(((Inputs!$G$5:$G$120="moeda")+(Inputs!$G$5:$G$120="acoes"))*Inputs!$B$1+((Inputs!$G$5:$G$120&lt;&gt;"moeda")*(Inputs!$G$5:$G$120&lt;&gt;"acoes")))*INDEX(Inputs!$K$5:$AJ$120,0,MATCH(K$2,Inputs!$K$4:$AJ$4,0)))))</f>
        <v>-1579.1</v>
      </c>
      <c r="L5" s="6">
        <f>IF(ISNA(MATCH(L$2,Inputs!$K$4:$AJ$4,0)),NA(),IF(SUMPRODUCT((Inputs!$A$5:$A$120=$B5)*ISNUMBER(INDEX(Inputs!$K$5:$AJ$120,0,MATCH(L$2,Inputs!$K$4:$AJ$4,0))))+SUMPRODUCT((Inputs!$C$5:$C$120=$B5)*ISNUMBER(INDEX(Inputs!$K$5:$AJ$120,0,MATCH(L$2,Inputs!$K$4:$AJ$4,0))))+SUMPRODUCT((Inputs!$E$5:$E$120=$B5)*ISNUMBER(INDEX(Inputs!$K$5:$AJ$120,0,MATCH(L$2,Inputs!$K$4:$AJ$4,0))))=0,NA(),SUMPRODUCT((Inputs!$A$5:$A$120=$B5)*Inputs!$B$5:$B$120*(((Inputs!$G$5:$G$120="moeda")+(Inputs!$G$5:$G$120="acoes"))*Inputs!$B$1+((Inputs!$G$5:$G$120&lt;&gt;"moeda")*(Inputs!$G$5:$G$120&lt;&gt;"acoes")))*INDEX(Inputs!$K$5:$AJ$120,0,MATCH(L$2,Inputs!$K$4:$AJ$4,0)))+SUMPRODUCT((Inputs!$C$5:$C$120=$B5)*Inputs!$D$5:$D$120*(((Inputs!$G$5:$G$120="moeda")+(Inputs!$G$5:$G$120="acoes"))*Inputs!$B$1+((Inputs!$G$5:$G$120&lt;&gt;"moeda")*(Inputs!$G$5:$G$120&lt;&gt;"acoes")))*INDEX(Inputs!$K$5:$AJ$120,0,MATCH(L$2,Inputs!$K$4:$AJ$4,0)))+SUMPRODUCT((Inputs!$E$5:$E$120=$B5)*Inputs!$F$5:$F$120*(((Inputs!$G$5:$G$120="moeda")+(Inputs!$G$5:$G$120="acoes"))*Inputs!$B$1+((Inputs!$G$5:$G$120&lt;&gt;"moeda")*(Inputs!$G$5:$G$120&lt;&gt;"acoes")))*INDEX(Inputs!$K$5:$AJ$120,0,MATCH(L$2,Inputs!$K$4:$AJ$4,0)))))</f>
        <v>-1548.1</v>
      </c>
      <c r="M5" s="3">
        <f>SUM(I5:L5)</f>
        <v>-6629.8</v>
      </c>
      <c r="N5" s="6">
        <f>IF(ISNA(MATCH(N$2,Inputs!$K$4:$AJ$4,0)),NA(),IF(SUMPRODUCT((Inputs!$A$5:$A$120=$B5)*ISNUMBER(INDEX(Inputs!$K$5:$AJ$120,0,MATCH(N$2,Inputs!$K$4:$AJ$4,0))))+SUMPRODUCT((Inputs!$C$5:$C$120=$B5)*ISNUMBER(INDEX(Inputs!$K$5:$AJ$120,0,MATCH(N$2,Inputs!$K$4:$AJ$4,0))))+SUMPRODUCT((Inputs!$E$5:$E$120=$B5)*ISNUMBER(INDEX(Inputs!$K$5:$AJ$120,0,MATCH(N$2,Inputs!$K$4:$AJ$4,0))))=0,NA(),SUMPRODUCT((Inputs!$A$5:$A$120=$B5)*Inputs!$B$5:$B$120*(((Inputs!$G$5:$G$120="moeda")+(Inputs!$G$5:$G$120="acoes"))*Inputs!$B$1+((Inputs!$G$5:$G$120&lt;&gt;"moeda")*(Inputs!$G$5:$G$120&lt;&gt;"acoes")))*INDEX(Inputs!$K$5:$AJ$120,0,MATCH(N$2,Inputs!$K$4:$AJ$4,0)))+SUMPRODUCT((Inputs!$C$5:$C$120=$B5)*Inputs!$D$5:$D$120*(((Inputs!$G$5:$G$120="moeda")+(Inputs!$G$5:$G$120="acoes"))*Inputs!$B$1+((Inputs!$G$5:$G$120&lt;&gt;"moeda")*(Inputs!$G$5:$G$120&lt;&gt;"acoes")))*INDEX(Inputs!$K$5:$AJ$120,0,MATCH(N$2,Inputs!$K$4:$AJ$4,0)))+SUMPRODUCT((Inputs!$E$5:$E$120=$B5)*Inputs!$F$5:$F$120*(((Inputs!$G$5:$G$120="moeda")+(Inputs!$G$5:$G$120="acoes"))*Inputs!$B$1+((Inputs!$G$5:$G$120&lt;&gt;"moeda")*(Inputs!$G$5:$G$120&lt;&gt;"acoes")))*INDEX(Inputs!$K$5:$AJ$120,0,MATCH(N$2,Inputs!$K$4:$AJ$4,0)))))</f>
        <v>-1626.7</v>
      </c>
      <c r="O5" s="6">
        <f>IF(ISNA(MATCH(O$2,Inputs!$K$4:$AJ$4,0)),NA(),IF(SUMPRODUCT((Inputs!$A$5:$A$120=$B5)*ISNUMBER(INDEX(Inputs!$K$5:$AJ$120,0,MATCH(O$2,Inputs!$K$4:$AJ$4,0))))+SUMPRODUCT((Inputs!$C$5:$C$120=$B5)*ISNUMBER(INDEX(Inputs!$K$5:$AJ$120,0,MATCH(O$2,Inputs!$K$4:$AJ$4,0))))+SUMPRODUCT((Inputs!$E$5:$E$120=$B5)*ISNUMBER(INDEX(Inputs!$K$5:$AJ$120,0,MATCH(O$2,Inputs!$K$4:$AJ$4,0))))=0,NA(),SUMPRODUCT((Inputs!$A$5:$A$120=$B5)*Inputs!$B$5:$B$120*(((Inputs!$G$5:$G$120="moeda")+(Inputs!$G$5:$G$120="acoes"))*Inputs!$B$1+((Inputs!$G$5:$G$120&lt;&gt;"moeda")*(Inputs!$G$5:$G$120&lt;&gt;"acoes")))*INDEX(Inputs!$K$5:$AJ$120,0,MATCH(O$2,Inputs!$K$4:$AJ$4,0)))+SUMPRODUCT((Inputs!$C$5:$C$120=$B5)*Inputs!$D$5:$D$120*(((Inputs!$G$5:$G$120="moeda")+(Inputs!$G$5:$G$120="acoes"))*Inputs!$B$1+((Inputs!$G$5:$G$120&lt;&gt;"moeda")*(Inputs!$G$5:$G$120&lt;&gt;"acoes")))*INDEX(Inputs!$K$5:$AJ$120,0,MATCH(O$2,Inputs!$K$4:$AJ$4,0)))+SUMPRODUCT((Inputs!$E$5:$E$120=$B5)*Inputs!$F$5:$F$120*(((Inputs!$G$5:$G$120="moeda")+(Inputs!$G$5:$G$120="acoes"))*Inputs!$B$1+((Inputs!$G$5:$G$120&lt;&gt;"moeda")*(Inputs!$G$5:$G$120&lt;&gt;"acoes")))*INDEX(Inputs!$K$5:$AJ$120,0,MATCH(O$2,Inputs!$K$4:$AJ$4,0)))))</f>
        <v>-1807.4</v>
      </c>
      <c r="P5" s="6">
        <f>IF(ISNA(MATCH(P$2,Inputs!$K$4:$AJ$4,0)),NA(),IF(SUMPRODUCT((Inputs!$A$5:$A$120=$B5)*ISNUMBER(INDEX(Inputs!$K$5:$AJ$120,0,MATCH(P$2,Inputs!$K$4:$AJ$4,0))))+SUMPRODUCT((Inputs!$C$5:$C$120=$B5)*ISNUMBER(INDEX(Inputs!$K$5:$AJ$120,0,MATCH(P$2,Inputs!$K$4:$AJ$4,0))))+SUMPRODUCT((Inputs!$E$5:$E$120=$B5)*ISNUMBER(INDEX(Inputs!$K$5:$AJ$120,0,MATCH(P$2,Inputs!$K$4:$AJ$4,0))))=0,NA(),SUMPRODUCT((Inputs!$A$5:$A$120=$B5)*Inputs!$B$5:$B$120*(((Inputs!$G$5:$G$120="moeda")+(Inputs!$G$5:$G$120="acoes"))*Inputs!$B$1+((Inputs!$G$5:$G$120&lt;&gt;"moeda")*(Inputs!$G$5:$G$120&lt;&gt;"acoes")))*INDEX(Inputs!$K$5:$AJ$120,0,MATCH(P$2,Inputs!$K$4:$AJ$4,0)))+SUMPRODUCT((Inputs!$C$5:$C$120=$B5)*Inputs!$D$5:$D$120*(((Inputs!$G$5:$G$120="moeda")+(Inputs!$G$5:$G$120="acoes"))*Inputs!$B$1+((Inputs!$G$5:$G$120&lt;&gt;"moeda")*(Inputs!$G$5:$G$120&lt;&gt;"acoes")))*INDEX(Inputs!$K$5:$AJ$120,0,MATCH(P$2,Inputs!$K$4:$AJ$4,0)))+SUMPRODUCT((Inputs!$E$5:$E$120=$B5)*Inputs!$F$5:$F$120*(((Inputs!$G$5:$G$120="moeda")+(Inputs!$G$5:$G$120="acoes"))*Inputs!$B$1+((Inputs!$G$5:$G$120&lt;&gt;"moeda")*(Inputs!$G$5:$G$120&lt;&gt;"acoes")))*INDEX(Inputs!$K$5:$AJ$120,0,MATCH(P$2,Inputs!$K$4:$AJ$4,0)))))</f>
        <v>-1860.1</v>
      </c>
      <c r="Q5" s="6">
        <f>IF(ISNA(MATCH(Q$2,Inputs!$K$4:$AJ$4,0)),NA(),IF(SUMPRODUCT((Inputs!$A$5:$A$120=$B5)*ISNUMBER(INDEX(Inputs!$K$5:$AJ$120,0,MATCH(Q$2,Inputs!$K$4:$AJ$4,0))))+SUMPRODUCT((Inputs!$C$5:$C$120=$B5)*ISNUMBER(INDEX(Inputs!$K$5:$AJ$120,0,MATCH(Q$2,Inputs!$K$4:$AJ$4,0))))+SUMPRODUCT((Inputs!$E$5:$E$120=$B5)*ISNUMBER(INDEX(Inputs!$K$5:$AJ$120,0,MATCH(Q$2,Inputs!$K$4:$AJ$4,0))))=0,NA(),SUMPRODUCT((Inputs!$A$5:$A$120=$B5)*Inputs!$B$5:$B$120*(((Inputs!$G$5:$G$120="moeda")+(Inputs!$G$5:$G$120="acoes"))*Inputs!$B$1+((Inputs!$G$5:$G$120&lt;&gt;"moeda")*(Inputs!$G$5:$G$120&lt;&gt;"acoes")))*INDEX(Inputs!$K$5:$AJ$120,0,MATCH(Q$2,Inputs!$K$4:$AJ$4,0)))+SUMPRODUCT((Inputs!$C$5:$C$120=$B5)*Inputs!$D$5:$D$120*(((Inputs!$G$5:$G$120="moeda")+(Inputs!$G$5:$G$120="acoes"))*Inputs!$B$1+((Inputs!$G$5:$G$120&lt;&gt;"moeda")*(Inputs!$G$5:$G$120&lt;&gt;"acoes")))*INDEX(Inputs!$K$5:$AJ$120,0,MATCH(Q$2,Inputs!$K$4:$AJ$4,0)))+SUMPRODUCT((Inputs!$E$5:$E$120=$B5)*Inputs!$F$5:$F$120*(((Inputs!$G$5:$G$120="moeda")+(Inputs!$G$5:$G$120="acoes"))*Inputs!$B$1+((Inputs!$G$5:$G$120&lt;&gt;"moeda")*(Inputs!$G$5:$G$120&lt;&gt;"acoes")))*INDEX(Inputs!$K$5:$AJ$120,0,MATCH(Q$2,Inputs!$K$4:$AJ$4,0)))))</f>
        <v>-1788</v>
      </c>
      <c r="R5" s="3">
        <f>SUM(N5:Q5)</f>
        <v>-7082.2</v>
      </c>
      <c r="S5" s="6">
        <f>IF(ISNA(MATCH(S$2,Inputs!$K$4:$AJ$4,0)),NA(),IF(SUMPRODUCT((Inputs!$A$5:$A$120=$B5)*ISNUMBER(INDEX(Inputs!$K$5:$AJ$120,0,MATCH(S$2,Inputs!$K$4:$AJ$4,0))))+SUMPRODUCT((Inputs!$C$5:$C$120=$B5)*ISNUMBER(INDEX(Inputs!$K$5:$AJ$120,0,MATCH(S$2,Inputs!$K$4:$AJ$4,0))))+SUMPRODUCT((Inputs!$E$5:$E$120=$B5)*ISNUMBER(INDEX(Inputs!$K$5:$AJ$120,0,MATCH(S$2,Inputs!$K$4:$AJ$4,0))))=0,NA(),SUMPRODUCT((Inputs!$A$5:$A$120=$B5)*Inputs!$B$5:$B$120*(((Inputs!$G$5:$G$120="moeda")+(Inputs!$G$5:$G$120="acoes"))*Inputs!$B$1+((Inputs!$G$5:$G$120&lt;&gt;"moeda")*(Inputs!$G$5:$G$120&lt;&gt;"acoes")))*INDEX(Inputs!$K$5:$AJ$120,0,MATCH(S$2,Inputs!$K$4:$AJ$4,0)))+SUMPRODUCT((Inputs!$C$5:$C$120=$B5)*Inputs!$D$5:$D$120*(((Inputs!$G$5:$G$120="moeda")+(Inputs!$G$5:$G$120="acoes"))*Inputs!$B$1+((Inputs!$G$5:$G$120&lt;&gt;"moeda")*(Inputs!$G$5:$G$120&lt;&gt;"acoes")))*INDEX(Inputs!$K$5:$AJ$120,0,MATCH(S$2,Inputs!$K$4:$AJ$4,0)))+SUMPRODUCT((Inputs!$E$5:$E$120=$B5)*Inputs!$F$5:$F$120*(((Inputs!$G$5:$G$120="moeda")+(Inputs!$G$5:$G$120="acoes"))*Inputs!$B$1+((Inputs!$G$5:$G$120&lt;&gt;"moeda")*(Inputs!$G$5:$G$120&lt;&gt;"acoes")))*INDEX(Inputs!$K$5:$AJ$120,0,MATCH(S$2,Inputs!$K$4:$AJ$4,0)))))</f>
        <v>-1673.5</v>
      </c>
      <c r="T5" s="6">
        <f>IF(ISNA(MATCH(T$2,Inputs!$K$4:$AJ$4,0)),NA(),IF(SUMPRODUCT((Inputs!$A$5:$A$120=$B5)*ISNUMBER(INDEX(Inputs!$K$5:$AJ$120,0,MATCH(T$2,Inputs!$K$4:$AJ$4,0))))+SUMPRODUCT((Inputs!$C$5:$C$120=$B5)*ISNUMBER(INDEX(Inputs!$K$5:$AJ$120,0,MATCH(T$2,Inputs!$K$4:$AJ$4,0))))+SUMPRODUCT((Inputs!$E$5:$E$120=$B5)*ISNUMBER(INDEX(Inputs!$K$5:$AJ$120,0,MATCH(T$2,Inputs!$K$4:$AJ$4,0))))=0,NA(),SUMPRODUCT((Inputs!$A$5:$A$120=$B5)*Inputs!$B$5:$B$120*(((Inputs!$G$5:$G$120="moeda")+(Inputs!$G$5:$G$120="acoes"))*Inputs!$B$1+((Inputs!$G$5:$G$120&lt;&gt;"moeda")*(Inputs!$G$5:$G$120&lt;&gt;"acoes")))*INDEX(Inputs!$K$5:$AJ$120,0,MATCH(T$2,Inputs!$K$4:$AJ$4,0)))+SUMPRODUCT((Inputs!$C$5:$C$120=$B5)*Inputs!$D$5:$D$120*(((Inputs!$G$5:$G$120="moeda")+(Inputs!$G$5:$G$120="acoes"))*Inputs!$B$1+((Inputs!$G$5:$G$120&lt;&gt;"moeda")*(Inputs!$G$5:$G$120&lt;&gt;"acoes")))*INDEX(Inputs!$K$5:$AJ$120,0,MATCH(T$2,Inputs!$K$4:$AJ$4,0)))+SUMPRODUCT((Inputs!$E$5:$E$120=$B5)*Inputs!$F$5:$F$120*(((Inputs!$G$5:$G$120="moeda")+(Inputs!$G$5:$G$120="acoes"))*Inputs!$B$1+((Inputs!$G$5:$G$120&lt;&gt;"moeda")*(Inputs!$G$5:$G$120&lt;&gt;"acoes")))*INDEX(Inputs!$K$5:$AJ$120,0,MATCH(T$2,Inputs!$K$4:$AJ$4,0)))))</f>
        <v>-2170.2</v>
      </c>
      <c r="U5" s="6">
        <f>IF(ISNA(MATCH(U$2,Inputs!$K$4:$AJ$4,0)),NA(),IF(SUMPRODUCT((Inputs!$A$5:$A$120=$B5)*ISNUMBER(INDEX(Inputs!$K$5:$AJ$120,0,MATCH(U$2,Inputs!$K$4:$AJ$4,0))))+SUMPRODUCT((Inputs!$C$5:$C$120=$B5)*ISNUMBER(INDEX(Inputs!$K$5:$AJ$120,0,MATCH(U$2,Inputs!$K$4:$AJ$4,0))))+SUMPRODUCT((Inputs!$E$5:$E$120=$B5)*ISNUMBER(INDEX(Inputs!$K$5:$AJ$120,0,MATCH(U$2,Inputs!$K$4:$AJ$4,0))))=0,NA(),SUMPRODUCT((Inputs!$A$5:$A$120=$B5)*Inputs!$B$5:$B$120*(((Inputs!$G$5:$G$120="moeda")+(Inputs!$G$5:$G$120="acoes"))*Inputs!$B$1+((Inputs!$G$5:$G$120&lt;&gt;"moeda")*(Inputs!$G$5:$G$120&lt;&gt;"acoes")))*INDEX(Inputs!$K$5:$AJ$120,0,MATCH(U$2,Inputs!$K$4:$AJ$4,0)))+SUMPRODUCT((Inputs!$C$5:$C$120=$B5)*Inputs!$D$5:$D$120*(((Inputs!$G$5:$G$120="moeda")+(Inputs!$G$5:$G$120="acoes"))*Inputs!$B$1+((Inputs!$G$5:$G$120&lt;&gt;"moeda")*(Inputs!$G$5:$G$120&lt;&gt;"acoes")))*INDEX(Inputs!$K$5:$AJ$120,0,MATCH(U$2,Inputs!$K$4:$AJ$4,0)))+SUMPRODUCT((Inputs!$E$5:$E$120=$B5)*Inputs!$F$5:$F$120*(((Inputs!$G$5:$G$120="moeda")+(Inputs!$G$5:$G$120="acoes"))*Inputs!$B$1+((Inputs!$G$5:$G$120&lt;&gt;"moeda")*(Inputs!$G$5:$G$120&lt;&gt;"acoes")))*INDEX(Inputs!$K$5:$AJ$120,0,MATCH(U$2,Inputs!$K$4:$AJ$4,0)))))</f>
        <v>-2170.8</v>
      </c>
      <c r="V5" s="6">
        <f>IF(ISNA(MATCH(V$2,Inputs!$K$4:$AJ$4,0)),NA(),IF(SUMPRODUCT((Inputs!$A$5:$A$120=$B5)*ISNUMBER(INDEX(Inputs!$K$5:$AJ$120,0,MATCH(V$2,Inputs!$K$4:$AJ$4,0))))+SUMPRODUCT((Inputs!$C$5:$C$120=$B5)*ISNUMBER(INDEX(Inputs!$K$5:$AJ$120,0,MATCH(V$2,Inputs!$K$4:$AJ$4,0))))+SUMPRODUCT((Inputs!$E$5:$E$120=$B5)*ISNUMBER(INDEX(Inputs!$K$5:$AJ$120,0,MATCH(V$2,Inputs!$K$4:$AJ$4,0))))=0,NA(),SUMPRODUCT((Inputs!$A$5:$A$120=$B5)*Inputs!$B$5:$B$120*(((Inputs!$G$5:$G$120="moeda")+(Inputs!$G$5:$G$120="acoes"))*Inputs!$B$1+((Inputs!$G$5:$G$120&lt;&gt;"moeda")*(Inputs!$G$5:$G$120&lt;&gt;"acoes")))*INDEX(Inputs!$K$5:$AJ$120,0,MATCH(V$2,Inputs!$K$4:$AJ$4,0)))+SUMPRODUCT((Inputs!$C$5:$C$120=$B5)*Inputs!$D$5:$D$120*(((Inputs!$G$5:$G$120="moeda")+(Inputs!$G$5:$G$120="acoes"))*Inputs!$B$1+((Inputs!$G$5:$G$120&lt;&gt;"moeda")*(Inputs!$G$5:$G$120&lt;&gt;"acoes")))*INDEX(Inputs!$K$5:$AJ$120,0,MATCH(V$2,Inputs!$K$4:$AJ$4,0)))+SUMPRODUCT((Inputs!$E$5:$E$120=$B5)*Inputs!$F$5:$F$120*(((Inputs!$G$5:$G$120="moeda")+(Inputs!$G$5:$G$120="acoes"))*Inputs!$B$1+((Inputs!$G$5:$G$120&lt;&gt;"moeda")*(Inputs!$G$5:$G$120&lt;&gt;"acoes")))*INDEX(Inputs!$K$5:$AJ$120,0,MATCH(V$2,Inputs!$K$4:$AJ$4,0)))))</f>
        <v>-2403.8</v>
      </c>
      <c r="W5" s="3">
        <f>SUM(S5:V5)</f>
        <v>-8418.3</v>
      </c>
      <c r="X5" s="6">
        <f>IF(ISNA(MATCH(X$2,Inputs!$K$4:$AJ$4,0)),NA(),IF(SUMPRODUCT((Inputs!$A$5:$A$120=$B5)*ISNUMBER(INDEX(Inputs!$K$5:$AJ$120,0,MATCH(X$2,Inputs!$K$4:$AJ$4,0))))+SUMPRODUCT((Inputs!$C$5:$C$120=$B5)*ISNUMBER(INDEX(Inputs!$K$5:$AJ$120,0,MATCH(X$2,Inputs!$K$4:$AJ$4,0))))+SUMPRODUCT((Inputs!$E$5:$E$120=$B5)*ISNUMBER(INDEX(Inputs!$K$5:$AJ$120,0,MATCH(X$2,Inputs!$K$4:$AJ$4,0))))=0,NA(),SUMPRODUCT((Inputs!$A$5:$A$120=$B5)*Inputs!$B$5:$B$120*(((Inputs!$G$5:$G$120="moeda")+(Inputs!$G$5:$G$120="acoes"))*Inputs!$B$1+((Inputs!$G$5:$G$120&lt;&gt;"moeda")*(Inputs!$G$5:$G$120&lt;&gt;"acoes")))*INDEX(Inputs!$K$5:$AJ$120,0,MATCH(X$2,Inputs!$K$4:$AJ$4,0)))+SUMPRODUCT((Inputs!$C$5:$C$120=$B5)*Inputs!$D$5:$D$120*(((Inputs!$G$5:$G$120="moeda")+(Inputs!$G$5:$G$120="acoes"))*Inputs!$B$1+((Inputs!$G$5:$G$120&lt;&gt;"moeda")*(Inputs!$G$5:$G$120&lt;&gt;"acoes")))*INDEX(Inputs!$K$5:$AJ$120,0,MATCH(X$2,Inputs!$K$4:$AJ$4,0)))+SUMPRODUCT((Inputs!$E$5:$E$120=$B5)*Inputs!$F$5:$F$120*(((Inputs!$G$5:$G$120="moeda")+(Inputs!$G$5:$G$120="acoes"))*Inputs!$B$1+((Inputs!$G$5:$G$120&lt;&gt;"moeda")*(Inputs!$G$5:$G$120&lt;&gt;"acoes")))*INDEX(Inputs!$K$5:$AJ$120,0,MATCH(X$2,Inputs!$K$4:$AJ$4,0)))))</f>
        <v>-2225</v>
      </c>
      <c r="Y5" s="6">
        <f>IF(ISNA(MATCH(Y$2,Inputs!$K$4:$AJ$4,0)),NA(),IF(SUMPRODUCT((Inputs!$A$5:$A$120=$B5)*ISNUMBER(INDEX(Inputs!$K$5:$AJ$120,0,MATCH(Y$2,Inputs!$K$4:$AJ$4,0))))+SUMPRODUCT((Inputs!$C$5:$C$120=$B5)*ISNUMBER(INDEX(Inputs!$K$5:$AJ$120,0,MATCH(Y$2,Inputs!$K$4:$AJ$4,0))))+SUMPRODUCT((Inputs!$E$5:$E$120=$B5)*ISNUMBER(INDEX(Inputs!$K$5:$AJ$120,0,MATCH(Y$2,Inputs!$K$4:$AJ$4,0))))=0,NA(),SUMPRODUCT((Inputs!$A$5:$A$120=$B5)*Inputs!$B$5:$B$120*(((Inputs!$G$5:$G$120="moeda")+(Inputs!$G$5:$G$120="acoes"))*Inputs!$B$1+((Inputs!$G$5:$G$120&lt;&gt;"moeda")*(Inputs!$G$5:$G$120&lt;&gt;"acoes")))*INDEX(Inputs!$K$5:$AJ$120,0,MATCH(Y$2,Inputs!$K$4:$AJ$4,0)))+SUMPRODUCT((Inputs!$C$5:$C$120=$B5)*Inputs!$D$5:$D$120*(((Inputs!$G$5:$G$120="moeda")+(Inputs!$G$5:$G$120="acoes"))*Inputs!$B$1+((Inputs!$G$5:$G$120&lt;&gt;"moeda")*(Inputs!$G$5:$G$120&lt;&gt;"acoes")))*INDEX(Inputs!$K$5:$AJ$120,0,MATCH(Y$2,Inputs!$K$4:$AJ$4,0)))+SUMPRODUCT((Inputs!$E$5:$E$120=$B5)*Inputs!$F$5:$F$120*(((Inputs!$G$5:$G$120="moeda")+(Inputs!$G$5:$G$120="acoes"))*Inputs!$B$1+((Inputs!$G$5:$G$120&lt;&gt;"moeda")*(Inputs!$G$5:$G$120&lt;&gt;"acoes")))*INDEX(Inputs!$K$5:$AJ$120,0,MATCH(Y$2,Inputs!$K$4:$AJ$4,0)))))</f>
        <v>-2448</v>
      </c>
      <c r="Z5" s="6">
        <f>IF(ISNA(MATCH(Z$2,Inputs!$K$4:$AJ$4,0)),NA(),IF(SUMPRODUCT((Inputs!$A$5:$A$120=$B5)*ISNUMBER(INDEX(Inputs!$K$5:$AJ$120,0,MATCH(Z$2,Inputs!$K$4:$AJ$4,0))))+SUMPRODUCT((Inputs!$C$5:$C$120=$B5)*ISNUMBER(INDEX(Inputs!$K$5:$AJ$120,0,MATCH(Z$2,Inputs!$K$4:$AJ$4,0))))+SUMPRODUCT((Inputs!$E$5:$E$120=$B5)*ISNUMBER(INDEX(Inputs!$K$5:$AJ$120,0,MATCH(Z$2,Inputs!$K$4:$AJ$4,0))))=0,NA(),SUMPRODUCT((Inputs!$A$5:$A$120=$B5)*Inputs!$B$5:$B$120*(((Inputs!$G$5:$G$120="moeda")+(Inputs!$G$5:$G$120="acoes"))*Inputs!$B$1+((Inputs!$G$5:$G$120&lt;&gt;"moeda")*(Inputs!$G$5:$G$120&lt;&gt;"acoes")))*INDEX(Inputs!$K$5:$AJ$120,0,MATCH(Z$2,Inputs!$K$4:$AJ$4,0)))+SUMPRODUCT((Inputs!$C$5:$C$120=$B5)*Inputs!$D$5:$D$120*(((Inputs!$G$5:$G$120="moeda")+(Inputs!$G$5:$G$120="acoes"))*Inputs!$B$1+((Inputs!$G$5:$G$120&lt;&gt;"moeda")*(Inputs!$G$5:$G$120&lt;&gt;"acoes")))*INDEX(Inputs!$K$5:$AJ$120,0,MATCH(Z$2,Inputs!$K$4:$AJ$4,0)))+SUMPRODUCT((Inputs!$E$5:$E$120=$B5)*Inputs!$F$5:$F$120*(((Inputs!$G$5:$G$120="moeda")+(Inputs!$G$5:$G$120="acoes"))*Inputs!$B$1+((Inputs!$G$5:$G$120&lt;&gt;"moeda")*(Inputs!$G$5:$G$120&lt;&gt;"acoes")))*INDEX(Inputs!$K$5:$AJ$120,0,MATCH(Z$2,Inputs!$K$4:$AJ$4,0)))))</f>
        <v>-3008.3</v>
      </c>
      <c r="AA5" s="6">
        <f>IF(ISNA(MATCH(AA$2,Inputs!$K$4:$AJ$4,0)),NA(),IF(SUMPRODUCT((Inputs!$A$5:$A$120=$B5)*ISNUMBER(INDEX(Inputs!$K$5:$AJ$120,0,MATCH(AA$2,Inputs!$K$4:$AJ$4,0))))+SUMPRODUCT((Inputs!$C$5:$C$120=$B5)*ISNUMBER(INDEX(Inputs!$K$5:$AJ$120,0,MATCH(AA$2,Inputs!$K$4:$AJ$4,0))))+SUMPRODUCT((Inputs!$E$5:$E$120=$B5)*ISNUMBER(INDEX(Inputs!$K$5:$AJ$120,0,MATCH(AA$2,Inputs!$K$4:$AJ$4,0))))=0,NA(),SUMPRODUCT((Inputs!$A$5:$A$120=$B5)*Inputs!$B$5:$B$120*(((Inputs!$G$5:$G$120="moeda")+(Inputs!$G$5:$G$120="acoes"))*Inputs!$B$1+((Inputs!$G$5:$G$120&lt;&gt;"moeda")*(Inputs!$G$5:$G$120&lt;&gt;"acoes")))*INDEX(Inputs!$K$5:$AJ$120,0,MATCH(AA$2,Inputs!$K$4:$AJ$4,0)))+SUMPRODUCT((Inputs!$C$5:$C$120=$B5)*Inputs!$D$5:$D$120*(((Inputs!$G$5:$G$120="moeda")+(Inputs!$G$5:$G$120="acoes"))*Inputs!$B$1+((Inputs!$G$5:$G$120&lt;&gt;"moeda")*(Inputs!$G$5:$G$120&lt;&gt;"acoes")))*INDEX(Inputs!$K$5:$AJ$120,0,MATCH(AA$2,Inputs!$K$4:$AJ$4,0)))+SUMPRODUCT((Inputs!$E$5:$E$120=$B5)*Inputs!$F$5:$F$120*(((Inputs!$G$5:$G$120="moeda")+(Inputs!$G$5:$G$120="acoes"))*Inputs!$B$1+((Inputs!$G$5:$G$120&lt;&gt;"moeda")*(Inputs!$G$5:$G$120&lt;&gt;"acoes")))*INDEX(Inputs!$K$5:$AJ$120,0,MATCH(AA$2,Inputs!$K$4:$AJ$4,0)))))</f>
        <v>-3371.7</v>
      </c>
      <c r="AB5" s="3">
        <f>SUM(X5:AA5)</f>
        <v>-11053</v>
      </c>
      <c r="AC5" s="6">
        <f>IF(ISNA(MATCH(AC$2,Inputs!$K$4:$AJ$4,0)),NA(),IF(SUMPRODUCT((Inputs!$A$5:$A$120=$B5)*ISNUMBER(INDEX(Inputs!$K$5:$AJ$120,0,MATCH(AC$2,Inputs!$K$4:$AJ$4,0))))+SUMPRODUCT((Inputs!$C$5:$C$120=$B5)*ISNUMBER(INDEX(Inputs!$K$5:$AJ$120,0,MATCH(AC$2,Inputs!$K$4:$AJ$4,0))))+SUMPRODUCT((Inputs!$E$5:$E$120=$B5)*ISNUMBER(INDEX(Inputs!$K$5:$AJ$120,0,MATCH(AC$2,Inputs!$K$4:$AJ$4,0))))=0,NA(),SUMPRODUCT((Inputs!$A$5:$A$120=$B5)*Inputs!$B$5:$B$120*(((Inputs!$G$5:$G$120="moeda")+(Inputs!$G$5:$G$120="acoes"))*Inputs!$B$1+((Inputs!$G$5:$G$120&lt;&gt;"moeda")*(Inputs!$G$5:$G$120&lt;&gt;"acoes")))*INDEX(Inputs!$K$5:$AJ$120,0,MATCH(AC$2,Inputs!$K$4:$AJ$4,0)))+SUMPRODUCT((Inputs!$C$5:$C$120=$B5)*Inputs!$D$5:$D$120*(((Inputs!$G$5:$G$120="moeda")+(Inputs!$G$5:$G$120="acoes"))*Inputs!$B$1+((Inputs!$G$5:$G$120&lt;&gt;"moeda")*(Inputs!$G$5:$G$120&lt;&gt;"acoes")))*INDEX(Inputs!$K$5:$AJ$120,0,MATCH(AC$2,Inputs!$K$4:$AJ$4,0)))+SUMPRODUCT((Inputs!$E$5:$E$120=$B5)*Inputs!$F$5:$F$120*(((Inputs!$G$5:$G$120="moeda")+(Inputs!$G$5:$G$120="acoes"))*Inputs!$B$1+((Inputs!$G$5:$G$120&lt;&gt;"moeda")*(Inputs!$G$5:$G$120&lt;&gt;"acoes")))*INDEX(Inputs!$K$5:$AJ$120,0,MATCH(AC$2,Inputs!$K$4:$AJ$4,0)))))</f>
        <v>-3577</v>
      </c>
      <c r="AD5" s="6">
        <f>IF(ISNA(MATCH(AD$2,Inputs!$K$4:$AJ$4,0)),NA(),IF(SUMPRODUCT((Inputs!$A$5:$A$120=$B5)*ISNUMBER(INDEX(Inputs!$K$5:$AJ$120,0,MATCH(AD$2,Inputs!$K$4:$AJ$4,0))))+SUMPRODUCT((Inputs!$C$5:$C$120=$B5)*ISNUMBER(INDEX(Inputs!$K$5:$AJ$120,0,MATCH(AD$2,Inputs!$K$4:$AJ$4,0))))+SUMPRODUCT((Inputs!$E$5:$E$120=$B5)*ISNUMBER(INDEX(Inputs!$K$5:$AJ$120,0,MATCH(AD$2,Inputs!$K$4:$AJ$4,0))))=0,NA(),SUMPRODUCT((Inputs!$A$5:$A$120=$B5)*Inputs!$B$5:$B$120*(((Inputs!$G$5:$G$120="moeda")+(Inputs!$G$5:$G$120="acoes"))*Inputs!$B$1+((Inputs!$G$5:$G$120&lt;&gt;"moeda")*(Inputs!$G$5:$G$120&lt;&gt;"acoes")))*INDEX(Inputs!$K$5:$AJ$120,0,MATCH(AD$2,Inputs!$K$4:$AJ$4,0)))+SUMPRODUCT((Inputs!$C$5:$C$120=$B5)*Inputs!$D$5:$D$120*(((Inputs!$G$5:$G$120="moeda")+(Inputs!$G$5:$G$120="acoes"))*Inputs!$B$1+((Inputs!$G$5:$G$120&lt;&gt;"moeda")*(Inputs!$G$5:$G$120&lt;&gt;"acoes")))*INDEX(Inputs!$K$5:$AJ$120,0,MATCH(AD$2,Inputs!$K$4:$AJ$4,0)))+SUMPRODUCT((Inputs!$E$5:$E$120=$B5)*Inputs!$F$5:$F$120*(((Inputs!$G$5:$G$120="moeda")+(Inputs!$G$5:$G$120="acoes"))*Inputs!$B$1+((Inputs!$G$5:$G$120&lt;&gt;"moeda")*(Inputs!$G$5:$G$120&lt;&gt;"acoes")))*INDEX(Inputs!$K$5:$AJ$120,0,MATCH(AD$2,Inputs!$K$4:$AJ$4,0)))))</f>
        <v>-3268</v>
      </c>
      <c r="AE5" s="6" t="e">
        <f>IF(ISNA(MATCH(AE$2,Inputs!$K$4:$AJ$4,0)),NA(),IF(SUMPRODUCT((Inputs!$A$5:$A$120=$B5)*ISNUMBER(INDEX(Inputs!$K$5:$AJ$120,0,MATCH(AE$2,Inputs!$K$4:$AJ$4,0))))+SUMPRODUCT((Inputs!$C$5:$C$120=$B5)*ISNUMBER(INDEX(Inputs!$K$5:$AJ$120,0,MATCH(AE$2,Inputs!$K$4:$AJ$4,0))))+SUMPRODUCT((Inputs!$E$5:$E$120=$B5)*ISNUMBER(INDEX(Inputs!$K$5:$AJ$120,0,MATCH(AE$2,Inputs!$K$4:$AJ$4,0))))=0,NA(),SUMPRODUCT((Inputs!$A$5:$A$120=$B5)*Inputs!$B$5:$B$120*(((Inputs!$G$5:$G$120="moeda")+(Inputs!$G$5:$G$120="acoes"))*Inputs!$B$1+((Inputs!$G$5:$G$120&lt;&gt;"moeda")*(Inputs!$G$5:$G$120&lt;&gt;"acoes")))*INDEX(Inputs!$K$5:$AJ$120,0,MATCH(AE$2,Inputs!$K$4:$AJ$4,0)))+SUMPRODUCT((Inputs!$C$5:$C$120=$B5)*Inputs!$D$5:$D$120*(((Inputs!$G$5:$G$120="moeda")+(Inputs!$G$5:$G$120="acoes"))*Inputs!$B$1+((Inputs!$G$5:$G$120&lt;&gt;"moeda")*(Inputs!$G$5:$G$120&lt;&gt;"acoes")))*INDEX(Inputs!$K$5:$AJ$120,0,MATCH(AE$2,Inputs!$K$4:$AJ$4,0)))+SUMPRODUCT((Inputs!$E$5:$E$120=$B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" s="6" t="e">
        <f>IF(ISNA(MATCH(AF$2,Inputs!$K$4:$AJ$4,0)),NA(),IF(SUMPRODUCT((Inputs!$A$5:$A$120=$B5)*ISNUMBER(INDEX(Inputs!$K$5:$AJ$120,0,MATCH(AF$2,Inputs!$K$4:$AJ$4,0))))+SUMPRODUCT((Inputs!$C$5:$C$120=$B5)*ISNUMBER(INDEX(Inputs!$K$5:$AJ$120,0,MATCH(AF$2,Inputs!$K$4:$AJ$4,0))))+SUMPRODUCT((Inputs!$E$5:$E$120=$B5)*ISNUMBER(INDEX(Inputs!$K$5:$AJ$120,0,MATCH(AF$2,Inputs!$K$4:$AJ$4,0))))=0,NA(),SUMPRODUCT((Inputs!$A$5:$A$120=$B5)*Inputs!$B$5:$B$120*(((Inputs!$G$5:$G$120="moeda")+(Inputs!$G$5:$G$120="acoes"))*Inputs!$B$1+((Inputs!$G$5:$G$120&lt;&gt;"moeda")*(Inputs!$G$5:$G$120&lt;&gt;"acoes")))*INDEX(Inputs!$K$5:$AJ$120,0,MATCH(AF$2,Inputs!$K$4:$AJ$4,0)))+SUMPRODUCT((Inputs!$C$5:$C$120=$B5)*Inputs!$D$5:$D$120*(((Inputs!$G$5:$G$120="moeda")+(Inputs!$G$5:$G$120="acoes"))*Inputs!$B$1+((Inputs!$G$5:$G$120&lt;&gt;"moeda")*(Inputs!$G$5:$G$120&lt;&gt;"acoes")))*INDEX(Inputs!$K$5:$AJ$120,0,MATCH(AF$2,Inputs!$K$4:$AJ$4,0)))+SUMPRODUCT((Inputs!$E$5:$E$120=$B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" s="3" t="e">
        <f>SUM(AC5:AF5)</f>
        <v>#N/A</v>
      </c>
      <c r="AH5" s="6">
        <f>IF(ISNA(MATCH(AH$2,Inputs!$K$4:$AJ$4,0)),NA(),IF(SUMPRODUCT((Inputs!$A$5:$A$120=$B5)*ISNUMBER(INDEX(Inputs!$K$5:$AJ$120,0,MATCH(AH$2,Inputs!$K$4:$AJ$4,0))))+SUMPRODUCT((Inputs!$C$5:$C$120=$B5)*ISNUMBER(INDEX(Inputs!$K$5:$AJ$120,0,MATCH(AH$2,Inputs!$K$4:$AJ$4,0))))+SUMPRODUCT((Inputs!$E$5:$E$120=$B5)*ISNUMBER(INDEX(Inputs!$K$5:$AJ$120,0,MATCH(AH$2,Inputs!$K$4:$AJ$4,0))))=0,NA(),SUMPRODUCT((Inputs!$A$5:$A$120=$B5)*Inputs!$B$5:$B$120*(((Inputs!$G$5:$G$120="moeda")+(Inputs!$G$5:$G$120="acoes"))*Inputs!$B$1+((Inputs!$G$5:$G$120&lt;&gt;"moeda")*(Inputs!$G$5:$G$120&lt;&gt;"acoes")))*INDEX(Inputs!$K$5:$AJ$120,0,MATCH(AH$2,Inputs!$K$4:$AJ$4,0)))+SUMPRODUCT((Inputs!$C$5:$C$120=$B5)*Inputs!$D$5:$D$120*(((Inputs!$G$5:$G$120="moeda")+(Inputs!$G$5:$G$120="acoes"))*Inputs!$B$1+((Inputs!$G$5:$G$120&lt;&gt;"moeda")*(Inputs!$G$5:$G$120&lt;&gt;"acoes")))*INDEX(Inputs!$K$5:$AJ$120,0,MATCH(AH$2,Inputs!$K$4:$AJ$4,0)))+SUMPRODUCT((Inputs!$E$5:$E$120=$B5)*Inputs!$F$5:$F$120*(((Inputs!$G$5:$G$120="moeda")+(Inputs!$G$5:$G$120="acoes"))*Inputs!$B$1+((Inputs!$G$5:$G$120&lt;&gt;"moeda")*(Inputs!$G$5:$G$120&lt;&gt;"acoes")))*INDEX(Inputs!$K$5:$AJ$120,0,MATCH(AH$2,Inputs!$K$4:$AJ$4,0)))))</f>
        <v>-1215.1</v>
      </c>
      <c r="AI5" s="6">
        <f>IF(ISNA(MATCH(AI$2,Inputs!$K$4:$AJ$4,0)),NA(),IF(SUMPRODUCT((Inputs!$A$5:$A$120=$B5)*ISNUMBER(INDEX(Inputs!$K$5:$AJ$120,0,MATCH(AI$2,Inputs!$K$4:$AJ$4,0))))+SUMPRODUCT((Inputs!$C$5:$C$120=$B5)*ISNUMBER(INDEX(Inputs!$K$5:$AJ$120,0,MATCH(AI$2,Inputs!$K$4:$AJ$4,0))))+SUMPRODUCT((Inputs!$E$5:$E$120=$B5)*ISNUMBER(INDEX(Inputs!$K$5:$AJ$120,0,MATCH(AI$2,Inputs!$K$4:$AJ$4,0))))=0,NA(),SUMPRODUCT((Inputs!$A$5:$A$120=$B5)*Inputs!$B$5:$B$120*(((Inputs!$G$5:$G$120="moeda")+(Inputs!$G$5:$G$120="acoes"))*Inputs!$B$1+((Inputs!$G$5:$G$120&lt;&gt;"moeda")*(Inputs!$G$5:$G$120&lt;&gt;"acoes")))*INDEX(Inputs!$K$5:$AJ$120,0,MATCH(AI$2,Inputs!$K$4:$AJ$4,0)))+SUMPRODUCT((Inputs!$C$5:$C$120=$B5)*Inputs!$D$5:$D$120*(((Inputs!$G$5:$G$120="moeda")+(Inputs!$G$5:$G$120="acoes"))*Inputs!$B$1+((Inputs!$G$5:$G$120&lt;&gt;"moeda")*(Inputs!$G$5:$G$120&lt;&gt;"acoes")))*INDEX(Inputs!$K$5:$AJ$120,0,MATCH(AI$2,Inputs!$K$4:$AJ$4,0)))+SUMPRODUCT((Inputs!$E$5:$E$120=$B5)*Inputs!$F$5:$F$120*(((Inputs!$G$5:$G$120="moeda")+(Inputs!$G$5:$G$120="acoes"))*Inputs!$B$1+((Inputs!$G$5:$G$120&lt;&gt;"moeda")*(Inputs!$G$5:$G$120&lt;&gt;"acoes")))*INDEX(Inputs!$K$5:$AJ$120,0,MATCH(AI$2,Inputs!$K$4:$AJ$4,0)))))</f>
        <v>-1222</v>
      </c>
      <c r="AJ5" s="6">
        <f>IF(ISNA(MATCH(AJ$2,Inputs!$K$4:$AJ$4,0)),NA(),IF(SUMPRODUCT((Inputs!$A$5:$A$120=$B5)*ISNUMBER(INDEX(Inputs!$K$5:$AJ$120,0,MATCH(AJ$2,Inputs!$K$4:$AJ$4,0))))+SUMPRODUCT((Inputs!$C$5:$C$120=$B5)*ISNUMBER(INDEX(Inputs!$K$5:$AJ$120,0,MATCH(AJ$2,Inputs!$K$4:$AJ$4,0))))+SUMPRODUCT((Inputs!$E$5:$E$120=$B5)*ISNUMBER(INDEX(Inputs!$K$5:$AJ$120,0,MATCH(AJ$2,Inputs!$K$4:$AJ$4,0))))=0,NA(),SUMPRODUCT((Inputs!$A$5:$A$120=$B5)*Inputs!$B$5:$B$120*(((Inputs!$G$5:$G$120="moeda")+(Inputs!$G$5:$G$120="acoes"))*Inputs!$B$1+((Inputs!$G$5:$G$120&lt;&gt;"moeda")*(Inputs!$G$5:$G$120&lt;&gt;"acoes")))*INDEX(Inputs!$K$5:$AJ$120,0,MATCH(AJ$2,Inputs!$K$4:$AJ$4,0)))+SUMPRODUCT((Inputs!$C$5:$C$120=$B5)*Inputs!$D$5:$D$120*(((Inputs!$G$5:$G$120="moeda")+(Inputs!$G$5:$G$120="acoes"))*Inputs!$B$1+((Inputs!$G$5:$G$120&lt;&gt;"moeda")*(Inputs!$G$5:$G$120&lt;&gt;"acoes")))*INDEX(Inputs!$K$5:$AJ$120,0,MATCH(AJ$2,Inputs!$K$4:$AJ$4,0)))+SUMPRODUCT((Inputs!$E$5:$E$120=$B5)*Inputs!$F$5:$F$120*(((Inputs!$G$5:$G$120="moeda")+(Inputs!$G$5:$G$120="acoes"))*Inputs!$B$1+((Inputs!$G$5:$G$120&lt;&gt;"moeda")*(Inputs!$G$5:$G$120&lt;&gt;"acoes")))*INDEX(Inputs!$K$5:$AJ$120,0,MATCH(AJ$2,Inputs!$K$4:$AJ$4,0)))))</f>
        <v>-1326.4</v>
      </c>
      <c r="AK5" s="6">
        <f>IF(ISNA(MATCH(AK$2,Inputs!$K$4:$AJ$4,0)),NA(),IF(SUMPRODUCT((Inputs!$A$5:$A$120=$B5)*ISNUMBER(INDEX(Inputs!$K$5:$AJ$120,0,MATCH(AK$2,Inputs!$K$4:$AJ$4,0))))+SUMPRODUCT((Inputs!$C$5:$C$120=$B5)*ISNUMBER(INDEX(Inputs!$K$5:$AJ$120,0,MATCH(AK$2,Inputs!$K$4:$AJ$4,0))))+SUMPRODUCT((Inputs!$E$5:$E$120=$B5)*ISNUMBER(INDEX(Inputs!$K$5:$AJ$120,0,MATCH(AK$2,Inputs!$K$4:$AJ$4,0))))=0,NA(),SUMPRODUCT((Inputs!$A$5:$A$120=$B5)*Inputs!$B$5:$B$120*(((Inputs!$G$5:$G$120="moeda")+(Inputs!$G$5:$G$120="acoes"))*Inputs!$B$1+((Inputs!$G$5:$G$120&lt;&gt;"moeda")*(Inputs!$G$5:$G$120&lt;&gt;"acoes")))*INDEX(Inputs!$K$5:$AJ$120,0,MATCH(AK$2,Inputs!$K$4:$AJ$4,0)))+SUMPRODUCT((Inputs!$C$5:$C$120=$B5)*Inputs!$D$5:$D$120*(((Inputs!$G$5:$G$120="moeda")+(Inputs!$G$5:$G$120="acoes"))*Inputs!$B$1+((Inputs!$G$5:$G$120&lt;&gt;"moeda")*(Inputs!$G$5:$G$120&lt;&gt;"acoes")))*INDEX(Inputs!$K$5:$AJ$120,0,MATCH(AK$2,Inputs!$K$4:$AJ$4,0)))+SUMPRODUCT((Inputs!$E$5:$E$120=$B5)*Inputs!$F$5:$F$120*(((Inputs!$G$5:$G$120="moeda")+(Inputs!$G$5:$G$120="acoes"))*Inputs!$B$1+((Inputs!$G$5:$G$120&lt;&gt;"moeda")*(Inputs!$G$5:$G$120&lt;&gt;"acoes")))*INDEX(Inputs!$K$5:$AJ$120,0,MATCH(AK$2,Inputs!$K$4:$AJ$4,0)))))</f>
        <v>-1719.8</v>
      </c>
      <c r="AL5" s="3">
        <f>SUM(AH5:AK5)</f>
        <v>-5483.3</v>
      </c>
    </row>
    <row r="6">
      <c r="B6" s="46" t="n">
        <v>3</v>
      </c>
      <c r="C6" s="24" t="inlineStr">
        <is>
          <t>SG&amp;A and Other (cash)</t>
        </is>
      </c>
      <c r="D6" s="6">
        <f>IF(ISNA(MATCH(D$2,Inputs!$K$4:$AJ$4,0)),NA(),IF(SUMPRODUCT((Inputs!$A$5:$A$120=$B6)*ISNUMBER(INDEX(Inputs!$K$5:$AJ$120,0,MATCH(D$2,Inputs!$K$4:$AJ$4,0))))+SUMPRODUCT((Inputs!$C$5:$C$120=$B6)*ISNUMBER(INDEX(Inputs!$K$5:$AJ$120,0,MATCH(D$2,Inputs!$K$4:$AJ$4,0))))+SUMPRODUCT((Inputs!$E$5:$E$120=$B6)*ISNUMBER(INDEX(Inputs!$K$5:$AJ$120,0,MATCH(D$2,Inputs!$K$4:$AJ$4,0))))=0,NA(),SUMPRODUCT((Inputs!$A$5:$A$120=$B6)*Inputs!$B$5:$B$120*(((Inputs!$G$5:$G$120="moeda")+(Inputs!$G$5:$G$120="acoes"))*Inputs!$B$1+((Inputs!$G$5:$G$120&lt;&gt;"moeda")*(Inputs!$G$5:$G$120&lt;&gt;"acoes")))*INDEX(Inputs!$K$5:$AJ$120,0,MATCH(D$2,Inputs!$K$4:$AJ$4,0)))+SUMPRODUCT((Inputs!$C$5:$C$120=$B6)*Inputs!$D$5:$D$120*(((Inputs!$G$5:$G$120="moeda")+(Inputs!$G$5:$G$120="acoes"))*Inputs!$B$1+((Inputs!$G$5:$G$120&lt;&gt;"moeda")*(Inputs!$G$5:$G$120&lt;&gt;"acoes")))*INDEX(Inputs!$K$5:$AJ$120,0,MATCH(D$2,Inputs!$K$4:$AJ$4,0)))+SUMPRODUCT((Inputs!$E$5:$E$120=$B6)*Inputs!$F$5:$F$120*(((Inputs!$G$5:$G$120="moeda")+(Inputs!$G$5:$G$120="acoes"))*Inputs!$B$1+((Inputs!$G$5:$G$120&lt;&gt;"moeda")*(Inputs!$G$5:$G$120&lt;&gt;"acoes")))*INDEX(Inputs!$K$5:$AJ$120,0,MATCH(D$2,Inputs!$K$4:$AJ$4,0)))))</f>
        <v>-4576.7</v>
      </c>
      <c r="E6" s="6">
        <f>IF(ISNA(MATCH(E$2,Inputs!$K$4:$AJ$4,0)),NA(),IF(SUMPRODUCT((Inputs!$A$5:$A$120=$B6)*ISNUMBER(INDEX(Inputs!$K$5:$AJ$120,0,MATCH(E$2,Inputs!$K$4:$AJ$4,0))))+SUMPRODUCT((Inputs!$C$5:$C$120=$B6)*ISNUMBER(INDEX(Inputs!$K$5:$AJ$120,0,MATCH(E$2,Inputs!$K$4:$AJ$4,0))))+SUMPRODUCT((Inputs!$E$5:$E$120=$B6)*ISNUMBER(INDEX(Inputs!$K$5:$AJ$120,0,MATCH(E$2,Inputs!$K$4:$AJ$4,0))))=0,NA(),SUMPRODUCT((Inputs!$A$5:$A$120=$B6)*Inputs!$B$5:$B$120*(((Inputs!$G$5:$G$120="moeda")+(Inputs!$G$5:$G$120="acoes"))*Inputs!$B$1+((Inputs!$G$5:$G$120&lt;&gt;"moeda")*(Inputs!$G$5:$G$120&lt;&gt;"acoes")))*INDEX(Inputs!$K$5:$AJ$120,0,MATCH(E$2,Inputs!$K$4:$AJ$4,0)))+SUMPRODUCT((Inputs!$C$5:$C$120=$B6)*Inputs!$D$5:$D$120*(((Inputs!$G$5:$G$120="moeda")+(Inputs!$G$5:$G$120="acoes"))*Inputs!$B$1+((Inputs!$G$5:$G$120&lt;&gt;"moeda")*(Inputs!$G$5:$G$120&lt;&gt;"acoes")))*INDEX(Inputs!$K$5:$AJ$120,0,MATCH(E$2,Inputs!$K$4:$AJ$4,0)))+SUMPRODUCT((Inputs!$E$5:$E$120=$B6)*Inputs!$F$5:$F$120*(((Inputs!$G$5:$G$120="moeda")+(Inputs!$G$5:$G$120="acoes"))*Inputs!$B$1+((Inputs!$G$5:$G$120&lt;&gt;"moeda")*(Inputs!$G$5:$G$120&lt;&gt;"acoes")))*INDEX(Inputs!$K$5:$AJ$120,0,MATCH(E$2,Inputs!$K$4:$AJ$4,0)))))</f>
        <v>-4417.6</v>
      </c>
      <c r="F6" s="6">
        <f>IF(ISNA(MATCH(F$2,Inputs!$K$4:$AJ$4,0)),NA(),IF(SUMPRODUCT((Inputs!$A$5:$A$120=$B6)*ISNUMBER(INDEX(Inputs!$K$5:$AJ$120,0,MATCH(F$2,Inputs!$K$4:$AJ$4,0))))+SUMPRODUCT((Inputs!$C$5:$C$120=$B6)*ISNUMBER(INDEX(Inputs!$K$5:$AJ$120,0,MATCH(F$2,Inputs!$K$4:$AJ$4,0))))+SUMPRODUCT((Inputs!$E$5:$E$120=$B6)*ISNUMBER(INDEX(Inputs!$K$5:$AJ$120,0,MATCH(F$2,Inputs!$K$4:$AJ$4,0))))=0,NA(),SUMPRODUCT((Inputs!$A$5:$A$120=$B6)*Inputs!$B$5:$B$120*(((Inputs!$G$5:$G$120="moeda")+(Inputs!$G$5:$G$120="acoes"))*Inputs!$B$1+((Inputs!$G$5:$G$120&lt;&gt;"moeda")*(Inputs!$G$5:$G$120&lt;&gt;"acoes")))*INDEX(Inputs!$K$5:$AJ$120,0,MATCH(F$2,Inputs!$K$4:$AJ$4,0)))+SUMPRODUCT((Inputs!$C$5:$C$120=$B6)*Inputs!$D$5:$D$120*(((Inputs!$G$5:$G$120="moeda")+(Inputs!$G$5:$G$120="acoes"))*Inputs!$B$1+((Inputs!$G$5:$G$120&lt;&gt;"moeda")*(Inputs!$G$5:$G$120&lt;&gt;"acoes")))*INDEX(Inputs!$K$5:$AJ$120,0,MATCH(F$2,Inputs!$K$4:$AJ$4,0)))+SUMPRODUCT((Inputs!$E$5:$E$120=$B6)*Inputs!$F$5:$F$120*(((Inputs!$G$5:$G$120="moeda")+(Inputs!$G$5:$G$120="acoes"))*Inputs!$B$1+((Inputs!$G$5:$G$120&lt;&gt;"moeda")*(Inputs!$G$5:$G$120&lt;&gt;"acoes")))*INDEX(Inputs!$K$5:$AJ$120,0,MATCH(F$2,Inputs!$K$4:$AJ$4,0)))))</f>
        <v>-4959.7</v>
      </c>
      <c r="G6" s="6">
        <f>IF(ISNA(MATCH(G$2,Inputs!$K$4:$AJ$4,0)),NA(),IF(SUMPRODUCT((Inputs!$A$5:$A$120=$B6)*ISNUMBER(INDEX(Inputs!$K$5:$AJ$120,0,MATCH(G$2,Inputs!$K$4:$AJ$4,0))))+SUMPRODUCT((Inputs!$C$5:$C$120=$B6)*ISNUMBER(INDEX(Inputs!$K$5:$AJ$120,0,MATCH(G$2,Inputs!$K$4:$AJ$4,0))))+SUMPRODUCT((Inputs!$E$5:$E$120=$B6)*ISNUMBER(INDEX(Inputs!$K$5:$AJ$120,0,MATCH(G$2,Inputs!$K$4:$AJ$4,0))))=0,NA(),SUMPRODUCT((Inputs!$A$5:$A$120=$B6)*Inputs!$B$5:$B$120*(((Inputs!$G$5:$G$120="moeda")+(Inputs!$G$5:$G$120="acoes"))*Inputs!$B$1+((Inputs!$G$5:$G$120&lt;&gt;"moeda")*(Inputs!$G$5:$G$120&lt;&gt;"acoes")))*INDEX(Inputs!$K$5:$AJ$120,0,MATCH(G$2,Inputs!$K$4:$AJ$4,0)))+SUMPRODUCT((Inputs!$C$5:$C$120=$B6)*Inputs!$D$5:$D$120*(((Inputs!$G$5:$G$120="moeda")+(Inputs!$G$5:$G$120="acoes"))*Inputs!$B$1+((Inputs!$G$5:$G$120&lt;&gt;"moeda")*(Inputs!$G$5:$G$120&lt;&gt;"acoes")))*INDEX(Inputs!$K$5:$AJ$120,0,MATCH(G$2,Inputs!$K$4:$AJ$4,0)))+SUMPRODUCT((Inputs!$E$5:$E$120=$B6)*Inputs!$F$5:$F$120*(((Inputs!$G$5:$G$120="moeda")+(Inputs!$G$5:$G$120="acoes"))*Inputs!$B$1+((Inputs!$G$5:$G$120&lt;&gt;"moeda")*(Inputs!$G$5:$G$120&lt;&gt;"acoes")))*INDEX(Inputs!$K$5:$AJ$120,0,MATCH(G$2,Inputs!$K$4:$AJ$4,0)))))</f>
        <v>-5504</v>
      </c>
      <c r="H6" s="3">
        <f>SUM(D6:G6)</f>
        <v>-19458</v>
      </c>
      <c r="I6" s="6">
        <f>IF(ISNA(MATCH(I$2,Inputs!$K$4:$AJ$4,0)),NA(),IF(SUMPRODUCT((Inputs!$A$5:$A$120=$B6)*ISNUMBER(INDEX(Inputs!$K$5:$AJ$120,0,MATCH(I$2,Inputs!$K$4:$AJ$4,0))))+SUMPRODUCT((Inputs!$C$5:$C$120=$B6)*ISNUMBER(INDEX(Inputs!$K$5:$AJ$120,0,MATCH(I$2,Inputs!$K$4:$AJ$4,0))))+SUMPRODUCT((Inputs!$E$5:$E$120=$B6)*ISNUMBER(INDEX(Inputs!$K$5:$AJ$120,0,MATCH(I$2,Inputs!$K$4:$AJ$4,0))))=0,NA(),SUMPRODUCT((Inputs!$A$5:$A$120=$B6)*Inputs!$B$5:$B$120*(((Inputs!$G$5:$G$120="moeda")+(Inputs!$G$5:$G$120="acoes"))*Inputs!$B$1+((Inputs!$G$5:$G$120&lt;&gt;"moeda")*(Inputs!$G$5:$G$120&lt;&gt;"acoes")))*INDEX(Inputs!$K$5:$AJ$120,0,MATCH(I$2,Inputs!$K$4:$AJ$4,0)))+SUMPRODUCT((Inputs!$C$5:$C$120=$B6)*Inputs!$D$5:$D$120*(((Inputs!$G$5:$G$120="moeda")+(Inputs!$G$5:$G$120="acoes"))*Inputs!$B$1+((Inputs!$G$5:$G$120&lt;&gt;"moeda")*(Inputs!$G$5:$G$120&lt;&gt;"acoes")))*INDEX(Inputs!$K$5:$AJ$120,0,MATCH(I$2,Inputs!$K$4:$AJ$4,0)))+SUMPRODUCT((Inputs!$E$5:$E$120=$B6)*Inputs!$F$5:$F$120*(((Inputs!$G$5:$G$120="moeda")+(Inputs!$G$5:$G$120="acoes"))*Inputs!$B$1+((Inputs!$G$5:$G$120&lt;&gt;"moeda")*(Inputs!$G$5:$G$120&lt;&gt;"acoes")))*INDEX(Inputs!$K$5:$AJ$120,0,MATCH(I$2,Inputs!$K$4:$AJ$4,0)))))</f>
        <v>-5302.2</v>
      </c>
      <c r="J6" s="6">
        <f>IF(ISNA(MATCH(J$2,Inputs!$K$4:$AJ$4,0)),NA(),IF(SUMPRODUCT((Inputs!$A$5:$A$120=$B6)*ISNUMBER(INDEX(Inputs!$K$5:$AJ$120,0,MATCH(J$2,Inputs!$K$4:$AJ$4,0))))+SUMPRODUCT((Inputs!$C$5:$C$120=$B6)*ISNUMBER(INDEX(Inputs!$K$5:$AJ$120,0,MATCH(J$2,Inputs!$K$4:$AJ$4,0))))+SUMPRODUCT((Inputs!$E$5:$E$120=$B6)*ISNUMBER(INDEX(Inputs!$K$5:$AJ$120,0,MATCH(J$2,Inputs!$K$4:$AJ$4,0))))=0,NA(),SUMPRODUCT((Inputs!$A$5:$A$120=$B6)*Inputs!$B$5:$B$120*(((Inputs!$G$5:$G$120="moeda")+(Inputs!$G$5:$G$120="acoes"))*Inputs!$B$1+((Inputs!$G$5:$G$120&lt;&gt;"moeda")*(Inputs!$G$5:$G$120&lt;&gt;"acoes")))*INDEX(Inputs!$K$5:$AJ$120,0,MATCH(J$2,Inputs!$K$4:$AJ$4,0)))+SUMPRODUCT((Inputs!$C$5:$C$120=$B6)*Inputs!$D$5:$D$120*(((Inputs!$G$5:$G$120="moeda")+(Inputs!$G$5:$G$120="acoes"))*Inputs!$B$1+((Inputs!$G$5:$G$120&lt;&gt;"moeda")*(Inputs!$G$5:$G$120&lt;&gt;"acoes")))*INDEX(Inputs!$K$5:$AJ$120,0,MATCH(J$2,Inputs!$K$4:$AJ$4,0)))+SUMPRODUCT((Inputs!$E$5:$E$120=$B6)*Inputs!$F$5:$F$120*(((Inputs!$G$5:$G$120="moeda")+(Inputs!$G$5:$G$120="acoes"))*Inputs!$B$1+((Inputs!$G$5:$G$120&lt;&gt;"moeda")*(Inputs!$G$5:$G$120&lt;&gt;"acoes")))*INDEX(Inputs!$K$5:$AJ$120,0,MATCH(J$2,Inputs!$K$4:$AJ$4,0)))))</f>
        <v>-4708.6</v>
      </c>
      <c r="K6" s="6">
        <f>IF(ISNA(MATCH(K$2,Inputs!$K$4:$AJ$4,0)),NA(),IF(SUMPRODUCT((Inputs!$A$5:$A$120=$B6)*ISNUMBER(INDEX(Inputs!$K$5:$AJ$120,0,MATCH(K$2,Inputs!$K$4:$AJ$4,0))))+SUMPRODUCT((Inputs!$C$5:$C$120=$B6)*ISNUMBER(INDEX(Inputs!$K$5:$AJ$120,0,MATCH(K$2,Inputs!$K$4:$AJ$4,0))))+SUMPRODUCT((Inputs!$E$5:$E$120=$B6)*ISNUMBER(INDEX(Inputs!$K$5:$AJ$120,0,MATCH(K$2,Inputs!$K$4:$AJ$4,0))))=0,NA(),SUMPRODUCT((Inputs!$A$5:$A$120=$B6)*Inputs!$B$5:$B$120*(((Inputs!$G$5:$G$120="moeda")+(Inputs!$G$5:$G$120="acoes"))*Inputs!$B$1+((Inputs!$G$5:$G$120&lt;&gt;"moeda")*(Inputs!$G$5:$G$120&lt;&gt;"acoes")))*INDEX(Inputs!$K$5:$AJ$120,0,MATCH(K$2,Inputs!$K$4:$AJ$4,0)))+SUMPRODUCT((Inputs!$C$5:$C$120=$B6)*Inputs!$D$5:$D$120*(((Inputs!$G$5:$G$120="moeda")+(Inputs!$G$5:$G$120="acoes"))*Inputs!$B$1+((Inputs!$G$5:$G$120&lt;&gt;"moeda")*(Inputs!$G$5:$G$120&lt;&gt;"acoes")))*INDEX(Inputs!$K$5:$AJ$120,0,MATCH(K$2,Inputs!$K$4:$AJ$4,0)))+SUMPRODUCT((Inputs!$E$5:$E$120=$B6)*Inputs!$F$5:$F$120*(((Inputs!$G$5:$G$120="moeda")+(Inputs!$G$5:$G$120="acoes"))*Inputs!$B$1+((Inputs!$G$5:$G$120&lt;&gt;"moeda")*(Inputs!$G$5:$G$120&lt;&gt;"acoes")))*INDEX(Inputs!$K$5:$AJ$120,0,MATCH(K$2,Inputs!$K$4:$AJ$4,0)))))</f>
        <v>-4999.6</v>
      </c>
      <c r="L6" s="6">
        <f>IF(ISNA(MATCH(L$2,Inputs!$K$4:$AJ$4,0)),NA(),IF(SUMPRODUCT((Inputs!$A$5:$A$120=$B6)*ISNUMBER(INDEX(Inputs!$K$5:$AJ$120,0,MATCH(L$2,Inputs!$K$4:$AJ$4,0))))+SUMPRODUCT((Inputs!$C$5:$C$120=$B6)*ISNUMBER(INDEX(Inputs!$K$5:$AJ$120,0,MATCH(L$2,Inputs!$K$4:$AJ$4,0))))+SUMPRODUCT((Inputs!$E$5:$E$120=$B6)*ISNUMBER(INDEX(Inputs!$K$5:$AJ$120,0,MATCH(L$2,Inputs!$K$4:$AJ$4,0))))=0,NA(),SUMPRODUCT((Inputs!$A$5:$A$120=$B6)*Inputs!$B$5:$B$120*(((Inputs!$G$5:$G$120="moeda")+(Inputs!$G$5:$G$120="acoes"))*Inputs!$B$1+((Inputs!$G$5:$G$120&lt;&gt;"moeda")*(Inputs!$G$5:$G$120&lt;&gt;"acoes")))*INDEX(Inputs!$K$5:$AJ$120,0,MATCH(L$2,Inputs!$K$4:$AJ$4,0)))+SUMPRODUCT((Inputs!$C$5:$C$120=$B6)*Inputs!$D$5:$D$120*(((Inputs!$G$5:$G$120="moeda")+(Inputs!$G$5:$G$120="acoes"))*Inputs!$B$1+((Inputs!$G$5:$G$120&lt;&gt;"moeda")*(Inputs!$G$5:$G$120&lt;&gt;"acoes")))*INDEX(Inputs!$K$5:$AJ$120,0,MATCH(L$2,Inputs!$K$4:$AJ$4,0)))+SUMPRODUCT((Inputs!$E$5:$E$120=$B6)*Inputs!$F$5:$F$120*(((Inputs!$G$5:$G$120="moeda")+(Inputs!$G$5:$G$120="acoes"))*Inputs!$B$1+((Inputs!$G$5:$G$120&lt;&gt;"moeda")*(Inputs!$G$5:$G$120&lt;&gt;"acoes")))*INDEX(Inputs!$K$5:$AJ$120,0,MATCH(L$2,Inputs!$K$4:$AJ$4,0)))))</f>
        <v>-5378.7</v>
      </c>
      <c r="M6" s="3">
        <f>SUM(I6:L6)</f>
        <v>-20389.1</v>
      </c>
      <c r="N6" s="6">
        <f>IF(ISNA(MATCH(N$2,Inputs!$K$4:$AJ$4,0)),NA(),IF(SUMPRODUCT((Inputs!$A$5:$A$120=$B6)*ISNUMBER(INDEX(Inputs!$K$5:$AJ$120,0,MATCH(N$2,Inputs!$K$4:$AJ$4,0))))+SUMPRODUCT((Inputs!$C$5:$C$120=$B6)*ISNUMBER(INDEX(Inputs!$K$5:$AJ$120,0,MATCH(N$2,Inputs!$K$4:$AJ$4,0))))+SUMPRODUCT((Inputs!$E$5:$E$120=$B6)*ISNUMBER(INDEX(Inputs!$K$5:$AJ$120,0,MATCH(N$2,Inputs!$K$4:$AJ$4,0))))=0,NA(),SUMPRODUCT((Inputs!$A$5:$A$120=$B6)*Inputs!$B$5:$B$120*(((Inputs!$G$5:$G$120="moeda")+(Inputs!$G$5:$G$120="acoes"))*Inputs!$B$1+((Inputs!$G$5:$G$120&lt;&gt;"moeda")*(Inputs!$G$5:$G$120&lt;&gt;"acoes")))*INDEX(Inputs!$K$5:$AJ$120,0,MATCH(N$2,Inputs!$K$4:$AJ$4,0)))+SUMPRODUCT((Inputs!$C$5:$C$120=$B6)*Inputs!$D$5:$D$120*(((Inputs!$G$5:$G$120="moeda")+(Inputs!$G$5:$G$120="acoes"))*Inputs!$B$1+((Inputs!$G$5:$G$120&lt;&gt;"moeda")*(Inputs!$G$5:$G$120&lt;&gt;"acoes")))*INDEX(Inputs!$K$5:$AJ$120,0,MATCH(N$2,Inputs!$K$4:$AJ$4,0)))+SUMPRODUCT((Inputs!$E$5:$E$120=$B6)*Inputs!$F$5:$F$120*(((Inputs!$G$5:$G$120="moeda")+(Inputs!$G$5:$G$120="acoes"))*Inputs!$B$1+((Inputs!$G$5:$G$120&lt;&gt;"moeda")*(Inputs!$G$5:$G$120&lt;&gt;"acoes")))*INDEX(Inputs!$K$5:$AJ$120,0,MATCH(N$2,Inputs!$K$4:$AJ$4,0)))))</f>
        <v>-4971</v>
      </c>
      <c r="O6" s="6">
        <f>IF(ISNA(MATCH(O$2,Inputs!$K$4:$AJ$4,0)),NA(),IF(SUMPRODUCT((Inputs!$A$5:$A$120=$B6)*ISNUMBER(INDEX(Inputs!$K$5:$AJ$120,0,MATCH(O$2,Inputs!$K$4:$AJ$4,0))))+SUMPRODUCT((Inputs!$C$5:$C$120=$B6)*ISNUMBER(INDEX(Inputs!$K$5:$AJ$120,0,MATCH(O$2,Inputs!$K$4:$AJ$4,0))))+SUMPRODUCT((Inputs!$E$5:$E$120=$B6)*ISNUMBER(INDEX(Inputs!$K$5:$AJ$120,0,MATCH(O$2,Inputs!$K$4:$AJ$4,0))))=0,NA(),SUMPRODUCT((Inputs!$A$5:$A$120=$B6)*Inputs!$B$5:$B$120*(((Inputs!$G$5:$G$120="moeda")+(Inputs!$G$5:$G$120="acoes"))*Inputs!$B$1+((Inputs!$G$5:$G$120&lt;&gt;"moeda")*(Inputs!$G$5:$G$120&lt;&gt;"acoes")))*INDEX(Inputs!$K$5:$AJ$120,0,MATCH(O$2,Inputs!$K$4:$AJ$4,0)))+SUMPRODUCT((Inputs!$C$5:$C$120=$B6)*Inputs!$D$5:$D$120*(((Inputs!$G$5:$G$120="moeda")+(Inputs!$G$5:$G$120="acoes"))*Inputs!$B$1+((Inputs!$G$5:$G$120&lt;&gt;"moeda")*(Inputs!$G$5:$G$120&lt;&gt;"acoes")))*INDEX(Inputs!$K$5:$AJ$120,0,MATCH(O$2,Inputs!$K$4:$AJ$4,0)))+SUMPRODUCT((Inputs!$E$5:$E$120=$B6)*Inputs!$F$5:$F$120*(((Inputs!$G$5:$G$120="moeda")+(Inputs!$G$5:$G$120="acoes"))*Inputs!$B$1+((Inputs!$G$5:$G$120&lt;&gt;"moeda")*(Inputs!$G$5:$G$120&lt;&gt;"acoes")))*INDEX(Inputs!$K$5:$AJ$120,0,MATCH(O$2,Inputs!$K$4:$AJ$4,0)))))</f>
        <v>-6138.4</v>
      </c>
      <c r="P6" s="6">
        <f>IF(ISNA(MATCH(P$2,Inputs!$K$4:$AJ$4,0)),NA(),IF(SUMPRODUCT((Inputs!$A$5:$A$120=$B6)*ISNUMBER(INDEX(Inputs!$K$5:$AJ$120,0,MATCH(P$2,Inputs!$K$4:$AJ$4,0))))+SUMPRODUCT((Inputs!$C$5:$C$120=$B6)*ISNUMBER(INDEX(Inputs!$K$5:$AJ$120,0,MATCH(P$2,Inputs!$K$4:$AJ$4,0))))+SUMPRODUCT((Inputs!$E$5:$E$120=$B6)*ISNUMBER(INDEX(Inputs!$K$5:$AJ$120,0,MATCH(P$2,Inputs!$K$4:$AJ$4,0))))=0,NA(),SUMPRODUCT((Inputs!$A$5:$A$120=$B6)*Inputs!$B$5:$B$120*(((Inputs!$G$5:$G$120="moeda")+(Inputs!$G$5:$G$120="acoes"))*Inputs!$B$1+((Inputs!$G$5:$G$120&lt;&gt;"moeda")*(Inputs!$G$5:$G$120&lt;&gt;"acoes")))*INDEX(Inputs!$K$5:$AJ$120,0,MATCH(P$2,Inputs!$K$4:$AJ$4,0)))+SUMPRODUCT((Inputs!$C$5:$C$120=$B6)*Inputs!$D$5:$D$120*(((Inputs!$G$5:$G$120="moeda")+(Inputs!$G$5:$G$120="acoes"))*Inputs!$B$1+((Inputs!$G$5:$G$120&lt;&gt;"moeda")*(Inputs!$G$5:$G$120&lt;&gt;"acoes")))*INDEX(Inputs!$K$5:$AJ$120,0,MATCH(P$2,Inputs!$K$4:$AJ$4,0)))+SUMPRODUCT((Inputs!$E$5:$E$120=$B6)*Inputs!$F$5:$F$120*(((Inputs!$G$5:$G$120="moeda")+(Inputs!$G$5:$G$120="acoes"))*Inputs!$B$1+((Inputs!$G$5:$G$120&lt;&gt;"moeda")*(Inputs!$G$5:$G$120&lt;&gt;"acoes")))*INDEX(Inputs!$K$5:$AJ$120,0,MATCH(P$2,Inputs!$K$4:$AJ$4,0)))))</f>
        <v>-7227.5</v>
      </c>
      <c r="Q6" s="6">
        <f>IF(ISNA(MATCH(Q$2,Inputs!$K$4:$AJ$4,0)),NA(),IF(SUMPRODUCT((Inputs!$A$5:$A$120=$B6)*ISNUMBER(INDEX(Inputs!$K$5:$AJ$120,0,MATCH(Q$2,Inputs!$K$4:$AJ$4,0))))+SUMPRODUCT((Inputs!$C$5:$C$120=$B6)*ISNUMBER(INDEX(Inputs!$K$5:$AJ$120,0,MATCH(Q$2,Inputs!$K$4:$AJ$4,0))))+SUMPRODUCT((Inputs!$E$5:$E$120=$B6)*ISNUMBER(INDEX(Inputs!$K$5:$AJ$120,0,MATCH(Q$2,Inputs!$K$4:$AJ$4,0))))=0,NA(),SUMPRODUCT((Inputs!$A$5:$A$120=$B6)*Inputs!$B$5:$B$120*(((Inputs!$G$5:$G$120="moeda")+(Inputs!$G$5:$G$120="acoes"))*Inputs!$B$1+((Inputs!$G$5:$G$120&lt;&gt;"moeda")*(Inputs!$G$5:$G$120&lt;&gt;"acoes")))*INDEX(Inputs!$K$5:$AJ$120,0,MATCH(Q$2,Inputs!$K$4:$AJ$4,0)))+SUMPRODUCT((Inputs!$C$5:$C$120=$B6)*Inputs!$D$5:$D$120*(((Inputs!$G$5:$G$120="moeda")+(Inputs!$G$5:$G$120="acoes"))*Inputs!$B$1+((Inputs!$G$5:$G$120&lt;&gt;"moeda")*(Inputs!$G$5:$G$120&lt;&gt;"acoes")))*INDEX(Inputs!$K$5:$AJ$120,0,MATCH(Q$2,Inputs!$K$4:$AJ$4,0)))+SUMPRODUCT((Inputs!$E$5:$E$120=$B6)*Inputs!$F$5:$F$120*(((Inputs!$G$5:$G$120="moeda")+(Inputs!$G$5:$G$120="acoes"))*Inputs!$B$1+((Inputs!$G$5:$G$120&lt;&gt;"moeda")*(Inputs!$G$5:$G$120&lt;&gt;"acoes")))*INDEX(Inputs!$K$5:$AJ$120,0,MATCH(Q$2,Inputs!$K$4:$AJ$4,0)))))</f>
        <v>-7177.7</v>
      </c>
      <c r="R6" s="3">
        <f>SUM(N6:Q6)</f>
        <v>-25514.6</v>
      </c>
      <c r="S6" s="6">
        <f>IF(ISNA(MATCH(S$2,Inputs!$K$4:$AJ$4,0)),NA(),IF(SUMPRODUCT((Inputs!$A$5:$A$120=$B6)*ISNUMBER(INDEX(Inputs!$K$5:$AJ$120,0,MATCH(S$2,Inputs!$K$4:$AJ$4,0))))+SUMPRODUCT((Inputs!$C$5:$C$120=$B6)*ISNUMBER(INDEX(Inputs!$K$5:$AJ$120,0,MATCH(S$2,Inputs!$K$4:$AJ$4,0))))+SUMPRODUCT((Inputs!$E$5:$E$120=$B6)*ISNUMBER(INDEX(Inputs!$K$5:$AJ$120,0,MATCH(S$2,Inputs!$K$4:$AJ$4,0))))=0,NA(),SUMPRODUCT((Inputs!$A$5:$A$120=$B6)*Inputs!$B$5:$B$120*(((Inputs!$G$5:$G$120="moeda")+(Inputs!$G$5:$G$120="acoes"))*Inputs!$B$1+((Inputs!$G$5:$G$120&lt;&gt;"moeda")*(Inputs!$G$5:$G$120&lt;&gt;"acoes")))*INDEX(Inputs!$K$5:$AJ$120,0,MATCH(S$2,Inputs!$K$4:$AJ$4,0)))+SUMPRODUCT((Inputs!$C$5:$C$120=$B6)*Inputs!$D$5:$D$120*(((Inputs!$G$5:$G$120="moeda")+(Inputs!$G$5:$G$120="acoes"))*Inputs!$B$1+((Inputs!$G$5:$G$120&lt;&gt;"moeda")*(Inputs!$G$5:$G$120&lt;&gt;"acoes")))*INDEX(Inputs!$K$5:$AJ$120,0,MATCH(S$2,Inputs!$K$4:$AJ$4,0)))+SUMPRODUCT((Inputs!$E$5:$E$120=$B6)*Inputs!$F$5:$F$120*(((Inputs!$G$5:$G$120="moeda")+(Inputs!$G$5:$G$120="acoes"))*Inputs!$B$1+((Inputs!$G$5:$G$120&lt;&gt;"moeda")*(Inputs!$G$5:$G$120&lt;&gt;"acoes")))*INDEX(Inputs!$K$5:$AJ$120,0,MATCH(S$2,Inputs!$K$4:$AJ$4,0)))))</f>
        <v>-6693.9</v>
      </c>
      <c r="T6" s="6">
        <f>IF(ISNA(MATCH(T$2,Inputs!$K$4:$AJ$4,0)),NA(),IF(SUMPRODUCT((Inputs!$A$5:$A$120=$B6)*ISNUMBER(INDEX(Inputs!$K$5:$AJ$120,0,MATCH(T$2,Inputs!$K$4:$AJ$4,0))))+SUMPRODUCT((Inputs!$C$5:$C$120=$B6)*ISNUMBER(INDEX(Inputs!$K$5:$AJ$120,0,MATCH(T$2,Inputs!$K$4:$AJ$4,0))))+SUMPRODUCT((Inputs!$E$5:$E$120=$B6)*ISNUMBER(INDEX(Inputs!$K$5:$AJ$120,0,MATCH(T$2,Inputs!$K$4:$AJ$4,0))))=0,NA(),SUMPRODUCT((Inputs!$A$5:$A$120=$B6)*Inputs!$B$5:$B$120*(((Inputs!$G$5:$G$120="moeda")+(Inputs!$G$5:$G$120="acoes"))*Inputs!$B$1+((Inputs!$G$5:$G$120&lt;&gt;"moeda")*(Inputs!$G$5:$G$120&lt;&gt;"acoes")))*INDEX(Inputs!$K$5:$AJ$120,0,MATCH(T$2,Inputs!$K$4:$AJ$4,0)))+SUMPRODUCT((Inputs!$C$5:$C$120=$B6)*Inputs!$D$5:$D$120*(((Inputs!$G$5:$G$120="moeda")+(Inputs!$G$5:$G$120="acoes"))*Inputs!$B$1+((Inputs!$G$5:$G$120&lt;&gt;"moeda")*(Inputs!$G$5:$G$120&lt;&gt;"acoes")))*INDEX(Inputs!$K$5:$AJ$120,0,MATCH(T$2,Inputs!$K$4:$AJ$4,0)))+SUMPRODUCT((Inputs!$E$5:$E$120=$B6)*Inputs!$F$5:$F$120*(((Inputs!$G$5:$G$120="moeda")+(Inputs!$G$5:$G$120="acoes"))*Inputs!$B$1+((Inputs!$G$5:$G$120&lt;&gt;"moeda")*(Inputs!$G$5:$G$120&lt;&gt;"acoes")))*INDEX(Inputs!$K$5:$AJ$120,0,MATCH(T$2,Inputs!$K$4:$AJ$4,0)))))</f>
        <v>-8718.2</v>
      </c>
      <c r="U6" s="6">
        <f>IF(ISNA(MATCH(U$2,Inputs!$K$4:$AJ$4,0)),NA(),IF(SUMPRODUCT((Inputs!$A$5:$A$120=$B6)*ISNUMBER(INDEX(Inputs!$K$5:$AJ$120,0,MATCH(U$2,Inputs!$K$4:$AJ$4,0))))+SUMPRODUCT((Inputs!$C$5:$C$120=$B6)*ISNUMBER(INDEX(Inputs!$K$5:$AJ$120,0,MATCH(U$2,Inputs!$K$4:$AJ$4,0))))+SUMPRODUCT((Inputs!$E$5:$E$120=$B6)*ISNUMBER(INDEX(Inputs!$K$5:$AJ$120,0,MATCH(U$2,Inputs!$K$4:$AJ$4,0))))=0,NA(),SUMPRODUCT((Inputs!$A$5:$A$120=$B6)*Inputs!$B$5:$B$120*(((Inputs!$G$5:$G$120="moeda")+(Inputs!$G$5:$G$120="acoes"))*Inputs!$B$1+((Inputs!$G$5:$G$120&lt;&gt;"moeda")*(Inputs!$G$5:$G$120&lt;&gt;"acoes")))*INDEX(Inputs!$K$5:$AJ$120,0,MATCH(U$2,Inputs!$K$4:$AJ$4,0)))+SUMPRODUCT((Inputs!$C$5:$C$120=$B6)*Inputs!$D$5:$D$120*(((Inputs!$G$5:$G$120="moeda")+(Inputs!$G$5:$G$120="acoes"))*Inputs!$B$1+((Inputs!$G$5:$G$120&lt;&gt;"moeda")*(Inputs!$G$5:$G$120&lt;&gt;"acoes")))*INDEX(Inputs!$K$5:$AJ$120,0,MATCH(U$2,Inputs!$K$4:$AJ$4,0)))+SUMPRODUCT((Inputs!$E$5:$E$120=$B6)*Inputs!$F$5:$F$120*(((Inputs!$G$5:$G$120="moeda")+(Inputs!$G$5:$G$120="acoes"))*Inputs!$B$1+((Inputs!$G$5:$G$120&lt;&gt;"moeda")*(Inputs!$G$5:$G$120&lt;&gt;"acoes")))*INDEX(Inputs!$K$5:$AJ$120,0,MATCH(U$2,Inputs!$K$4:$AJ$4,0)))))</f>
        <v>-8801.5</v>
      </c>
      <c r="V6" s="6">
        <f>IF(ISNA(MATCH(V$2,Inputs!$K$4:$AJ$4,0)),NA(),IF(SUMPRODUCT((Inputs!$A$5:$A$120=$B6)*ISNUMBER(INDEX(Inputs!$K$5:$AJ$120,0,MATCH(V$2,Inputs!$K$4:$AJ$4,0))))+SUMPRODUCT((Inputs!$C$5:$C$120=$B6)*ISNUMBER(INDEX(Inputs!$K$5:$AJ$120,0,MATCH(V$2,Inputs!$K$4:$AJ$4,0))))+SUMPRODUCT((Inputs!$E$5:$E$120=$B6)*ISNUMBER(INDEX(Inputs!$K$5:$AJ$120,0,MATCH(V$2,Inputs!$K$4:$AJ$4,0))))=0,NA(),SUMPRODUCT((Inputs!$A$5:$A$120=$B6)*Inputs!$B$5:$B$120*(((Inputs!$G$5:$G$120="moeda")+(Inputs!$G$5:$G$120="acoes"))*Inputs!$B$1+((Inputs!$G$5:$G$120&lt;&gt;"moeda")*(Inputs!$G$5:$G$120&lt;&gt;"acoes")))*INDEX(Inputs!$K$5:$AJ$120,0,MATCH(V$2,Inputs!$K$4:$AJ$4,0)))+SUMPRODUCT((Inputs!$C$5:$C$120=$B6)*Inputs!$D$5:$D$120*(((Inputs!$G$5:$G$120="moeda")+(Inputs!$G$5:$G$120="acoes"))*Inputs!$B$1+((Inputs!$G$5:$G$120&lt;&gt;"moeda")*(Inputs!$G$5:$G$120&lt;&gt;"acoes")))*INDEX(Inputs!$K$5:$AJ$120,0,MATCH(V$2,Inputs!$K$4:$AJ$4,0)))+SUMPRODUCT((Inputs!$E$5:$E$120=$B6)*Inputs!$F$5:$F$120*(((Inputs!$G$5:$G$120="moeda")+(Inputs!$G$5:$G$120="acoes"))*Inputs!$B$1+((Inputs!$G$5:$G$120&lt;&gt;"moeda")*(Inputs!$G$5:$G$120&lt;&gt;"acoes")))*INDEX(Inputs!$K$5:$AJ$120,0,MATCH(V$2,Inputs!$K$4:$AJ$4,0)))))</f>
        <v>-10644.2</v>
      </c>
      <c r="W6" s="3">
        <f>SUM(S6:V6)</f>
        <v>-34857.8</v>
      </c>
      <c r="X6" s="6">
        <f>IF(ISNA(MATCH(X$2,Inputs!$K$4:$AJ$4,0)),NA(),IF(SUMPRODUCT((Inputs!$A$5:$A$120=$B6)*ISNUMBER(INDEX(Inputs!$K$5:$AJ$120,0,MATCH(X$2,Inputs!$K$4:$AJ$4,0))))+SUMPRODUCT((Inputs!$C$5:$C$120=$B6)*ISNUMBER(INDEX(Inputs!$K$5:$AJ$120,0,MATCH(X$2,Inputs!$K$4:$AJ$4,0))))+SUMPRODUCT((Inputs!$E$5:$E$120=$B6)*ISNUMBER(INDEX(Inputs!$K$5:$AJ$120,0,MATCH(X$2,Inputs!$K$4:$AJ$4,0))))=0,NA(),SUMPRODUCT((Inputs!$A$5:$A$120=$B6)*Inputs!$B$5:$B$120*(((Inputs!$G$5:$G$120="moeda")+(Inputs!$G$5:$G$120="acoes"))*Inputs!$B$1+((Inputs!$G$5:$G$120&lt;&gt;"moeda")*(Inputs!$G$5:$G$120&lt;&gt;"acoes")))*INDEX(Inputs!$K$5:$AJ$120,0,MATCH(X$2,Inputs!$K$4:$AJ$4,0)))+SUMPRODUCT((Inputs!$C$5:$C$120=$B6)*Inputs!$D$5:$D$120*(((Inputs!$G$5:$G$120="moeda")+(Inputs!$G$5:$G$120="acoes"))*Inputs!$B$1+((Inputs!$G$5:$G$120&lt;&gt;"moeda")*(Inputs!$G$5:$G$120&lt;&gt;"acoes")))*INDEX(Inputs!$K$5:$AJ$120,0,MATCH(X$2,Inputs!$K$4:$AJ$4,0)))+SUMPRODUCT((Inputs!$E$5:$E$120=$B6)*Inputs!$F$5:$F$120*(((Inputs!$G$5:$G$120="moeda")+(Inputs!$G$5:$G$120="acoes"))*Inputs!$B$1+((Inputs!$G$5:$G$120&lt;&gt;"moeda")*(Inputs!$G$5:$G$120&lt;&gt;"acoes")))*INDEX(Inputs!$K$5:$AJ$120,0,MATCH(X$2,Inputs!$K$4:$AJ$4,0)))))</f>
        <v>-10041.2</v>
      </c>
      <c r="Y6" s="6">
        <f>IF(ISNA(MATCH(Y$2,Inputs!$K$4:$AJ$4,0)),NA(),IF(SUMPRODUCT((Inputs!$A$5:$A$120=$B6)*ISNUMBER(INDEX(Inputs!$K$5:$AJ$120,0,MATCH(Y$2,Inputs!$K$4:$AJ$4,0))))+SUMPRODUCT((Inputs!$C$5:$C$120=$B6)*ISNUMBER(INDEX(Inputs!$K$5:$AJ$120,0,MATCH(Y$2,Inputs!$K$4:$AJ$4,0))))+SUMPRODUCT((Inputs!$E$5:$E$120=$B6)*ISNUMBER(INDEX(Inputs!$K$5:$AJ$120,0,MATCH(Y$2,Inputs!$K$4:$AJ$4,0))))=0,NA(),SUMPRODUCT((Inputs!$A$5:$A$120=$B6)*Inputs!$B$5:$B$120*(((Inputs!$G$5:$G$120="moeda")+(Inputs!$G$5:$G$120="acoes"))*Inputs!$B$1+((Inputs!$G$5:$G$120&lt;&gt;"moeda")*(Inputs!$G$5:$G$120&lt;&gt;"acoes")))*INDEX(Inputs!$K$5:$AJ$120,0,MATCH(Y$2,Inputs!$K$4:$AJ$4,0)))+SUMPRODUCT((Inputs!$C$5:$C$120=$B6)*Inputs!$D$5:$D$120*(((Inputs!$G$5:$G$120="moeda")+(Inputs!$G$5:$G$120="acoes"))*Inputs!$B$1+((Inputs!$G$5:$G$120&lt;&gt;"moeda")*(Inputs!$G$5:$G$120&lt;&gt;"acoes")))*INDEX(Inputs!$K$5:$AJ$120,0,MATCH(Y$2,Inputs!$K$4:$AJ$4,0)))+SUMPRODUCT((Inputs!$E$5:$E$120=$B6)*Inputs!$F$5:$F$120*(((Inputs!$G$5:$G$120="moeda")+(Inputs!$G$5:$G$120="acoes"))*Inputs!$B$1+((Inputs!$G$5:$G$120&lt;&gt;"moeda")*(Inputs!$G$5:$G$120&lt;&gt;"acoes")))*INDEX(Inputs!$K$5:$AJ$120,0,MATCH(Y$2,Inputs!$K$4:$AJ$4,0)))))</f>
        <v>-12631.5</v>
      </c>
      <c r="Z6" s="6">
        <f>IF(ISNA(MATCH(Z$2,Inputs!$K$4:$AJ$4,0)),NA(),IF(SUMPRODUCT((Inputs!$A$5:$A$120=$B6)*ISNUMBER(INDEX(Inputs!$K$5:$AJ$120,0,MATCH(Z$2,Inputs!$K$4:$AJ$4,0))))+SUMPRODUCT((Inputs!$C$5:$C$120=$B6)*ISNUMBER(INDEX(Inputs!$K$5:$AJ$120,0,MATCH(Z$2,Inputs!$K$4:$AJ$4,0))))+SUMPRODUCT((Inputs!$E$5:$E$120=$B6)*ISNUMBER(INDEX(Inputs!$K$5:$AJ$120,0,MATCH(Z$2,Inputs!$K$4:$AJ$4,0))))=0,NA(),SUMPRODUCT((Inputs!$A$5:$A$120=$B6)*Inputs!$B$5:$B$120*(((Inputs!$G$5:$G$120="moeda")+(Inputs!$G$5:$G$120="acoes"))*Inputs!$B$1+((Inputs!$G$5:$G$120&lt;&gt;"moeda")*(Inputs!$G$5:$G$120&lt;&gt;"acoes")))*INDEX(Inputs!$K$5:$AJ$120,0,MATCH(Z$2,Inputs!$K$4:$AJ$4,0)))+SUMPRODUCT((Inputs!$C$5:$C$120=$B6)*Inputs!$D$5:$D$120*(((Inputs!$G$5:$G$120="moeda")+(Inputs!$G$5:$G$120="acoes"))*Inputs!$B$1+((Inputs!$G$5:$G$120&lt;&gt;"moeda")*(Inputs!$G$5:$G$120&lt;&gt;"acoes")))*INDEX(Inputs!$K$5:$AJ$120,0,MATCH(Z$2,Inputs!$K$4:$AJ$4,0)))+SUMPRODUCT((Inputs!$E$5:$E$120=$B6)*Inputs!$F$5:$F$120*(((Inputs!$G$5:$G$120="moeda")+(Inputs!$G$5:$G$120="acoes"))*Inputs!$B$1+((Inputs!$G$5:$G$120&lt;&gt;"moeda")*(Inputs!$G$5:$G$120&lt;&gt;"acoes")))*INDEX(Inputs!$K$5:$AJ$120,0,MATCH(Z$2,Inputs!$K$4:$AJ$4,0)))))</f>
        <v>-14122.5</v>
      </c>
      <c r="AA6" s="6">
        <f>IF(ISNA(MATCH(AA$2,Inputs!$K$4:$AJ$4,0)),NA(),IF(SUMPRODUCT((Inputs!$A$5:$A$120=$B6)*ISNUMBER(INDEX(Inputs!$K$5:$AJ$120,0,MATCH(AA$2,Inputs!$K$4:$AJ$4,0))))+SUMPRODUCT((Inputs!$C$5:$C$120=$B6)*ISNUMBER(INDEX(Inputs!$K$5:$AJ$120,0,MATCH(AA$2,Inputs!$K$4:$AJ$4,0))))+SUMPRODUCT((Inputs!$E$5:$E$120=$B6)*ISNUMBER(INDEX(Inputs!$K$5:$AJ$120,0,MATCH(AA$2,Inputs!$K$4:$AJ$4,0))))=0,NA(),SUMPRODUCT((Inputs!$A$5:$A$120=$B6)*Inputs!$B$5:$B$120*(((Inputs!$G$5:$G$120="moeda")+(Inputs!$G$5:$G$120="acoes"))*Inputs!$B$1+((Inputs!$G$5:$G$120&lt;&gt;"moeda")*(Inputs!$G$5:$G$120&lt;&gt;"acoes")))*INDEX(Inputs!$K$5:$AJ$120,0,MATCH(AA$2,Inputs!$K$4:$AJ$4,0)))+SUMPRODUCT((Inputs!$C$5:$C$120=$B6)*Inputs!$D$5:$D$120*(((Inputs!$G$5:$G$120="moeda")+(Inputs!$G$5:$G$120="acoes"))*Inputs!$B$1+((Inputs!$G$5:$G$120&lt;&gt;"moeda")*(Inputs!$G$5:$G$120&lt;&gt;"acoes")))*INDEX(Inputs!$K$5:$AJ$120,0,MATCH(AA$2,Inputs!$K$4:$AJ$4,0)))+SUMPRODUCT((Inputs!$E$5:$E$120=$B6)*Inputs!$F$5:$F$120*(((Inputs!$G$5:$G$120="moeda")+(Inputs!$G$5:$G$120="acoes"))*Inputs!$B$1+((Inputs!$G$5:$G$120&lt;&gt;"moeda")*(Inputs!$G$5:$G$120&lt;&gt;"acoes")))*INDEX(Inputs!$K$5:$AJ$120,0,MATCH(AA$2,Inputs!$K$4:$AJ$4,0)))))</f>
        <v>-15334.6</v>
      </c>
      <c r="AB6" s="3">
        <f>SUM(X6:AA6)</f>
        <v>-52129.8</v>
      </c>
      <c r="AC6" s="6">
        <f>IF(ISNA(MATCH(AC$2,Inputs!$K$4:$AJ$4,0)),NA(),IF(SUMPRODUCT((Inputs!$A$5:$A$120=$B6)*ISNUMBER(INDEX(Inputs!$K$5:$AJ$120,0,MATCH(AC$2,Inputs!$K$4:$AJ$4,0))))+SUMPRODUCT((Inputs!$C$5:$C$120=$B6)*ISNUMBER(INDEX(Inputs!$K$5:$AJ$120,0,MATCH(AC$2,Inputs!$K$4:$AJ$4,0))))+SUMPRODUCT((Inputs!$E$5:$E$120=$B6)*ISNUMBER(INDEX(Inputs!$K$5:$AJ$120,0,MATCH(AC$2,Inputs!$K$4:$AJ$4,0))))=0,NA(),SUMPRODUCT((Inputs!$A$5:$A$120=$B6)*Inputs!$B$5:$B$120*(((Inputs!$G$5:$G$120="moeda")+(Inputs!$G$5:$G$120="acoes"))*Inputs!$B$1+((Inputs!$G$5:$G$120&lt;&gt;"moeda")*(Inputs!$G$5:$G$120&lt;&gt;"acoes")))*INDEX(Inputs!$K$5:$AJ$120,0,MATCH(AC$2,Inputs!$K$4:$AJ$4,0)))+SUMPRODUCT((Inputs!$C$5:$C$120=$B6)*Inputs!$D$5:$D$120*(((Inputs!$G$5:$G$120="moeda")+(Inputs!$G$5:$G$120="acoes"))*Inputs!$B$1+((Inputs!$G$5:$G$120&lt;&gt;"moeda")*(Inputs!$G$5:$G$120&lt;&gt;"acoes")))*INDEX(Inputs!$K$5:$AJ$120,0,MATCH(AC$2,Inputs!$K$4:$AJ$4,0)))+SUMPRODUCT((Inputs!$E$5:$E$120=$B6)*Inputs!$F$5:$F$120*(((Inputs!$G$5:$G$120="moeda")+(Inputs!$G$5:$G$120="acoes"))*Inputs!$B$1+((Inputs!$G$5:$G$120&lt;&gt;"moeda")*(Inputs!$G$5:$G$120&lt;&gt;"acoes")))*INDEX(Inputs!$K$5:$AJ$120,0,MATCH(AC$2,Inputs!$K$4:$AJ$4,0)))))</f>
        <v>-15713</v>
      </c>
      <c r="AD6" s="6">
        <f>IF(ISNA(MATCH(AD$2,Inputs!$K$4:$AJ$4,0)),NA(),IF(SUMPRODUCT((Inputs!$A$5:$A$120=$B6)*ISNUMBER(INDEX(Inputs!$K$5:$AJ$120,0,MATCH(AD$2,Inputs!$K$4:$AJ$4,0))))+SUMPRODUCT((Inputs!$C$5:$C$120=$B6)*ISNUMBER(INDEX(Inputs!$K$5:$AJ$120,0,MATCH(AD$2,Inputs!$K$4:$AJ$4,0))))+SUMPRODUCT((Inputs!$E$5:$E$120=$B6)*ISNUMBER(INDEX(Inputs!$K$5:$AJ$120,0,MATCH(AD$2,Inputs!$K$4:$AJ$4,0))))=0,NA(),SUMPRODUCT((Inputs!$A$5:$A$120=$B6)*Inputs!$B$5:$B$120*(((Inputs!$G$5:$G$120="moeda")+(Inputs!$G$5:$G$120="acoes"))*Inputs!$B$1+((Inputs!$G$5:$G$120&lt;&gt;"moeda")*(Inputs!$G$5:$G$120&lt;&gt;"acoes")))*INDEX(Inputs!$K$5:$AJ$120,0,MATCH(AD$2,Inputs!$K$4:$AJ$4,0)))+SUMPRODUCT((Inputs!$C$5:$C$120=$B6)*Inputs!$D$5:$D$120*(((Inputs!$G$5:$G$120="moeda")+(Inputs!$G$5:$G$120="acoes"))*Inputs!$B$1+((Inputs!$G$5:$G$120&lt;&gt;"moeda")*(Inputs!$G$5:$G$120&lt;&gt;"acoes")))*INDEX(Inputs!$K$5:$AJ$120,0,MATCH(AD$2,Inputs!$K$4:$AJ$4,0)))+SUMPRODUCT((Inputs!$E$5:$E$120=$B6)*Inputs!$F$5:$F$120*(((Inputs!$G$5:$G$120="moeda")+(Inputs!$G$5:$G$120="acoes"))*Inputs!$B$1+((Inputs!$G$5:$G$120&lt;&gt;"moeda")*(Inputs!$G$5:$G$120&lt;&gt;"acoes")))*INDEX(Inputs!$K$5:$AJ$120,0,MATCH(AD$2,Inputs!$K$4:$AJ$4,0)))))</f>
        <v>-19172</v>
      </c>
      <c r="AE6" s="6" t="e">
        <f>IF(ISNA(MATCH(AE$2,Inputs!$K$4:$AJ$4,0)),NA(),IF(SUMPRODUCT((Inputs!$A$5:$A$120=$B6)*ISNUMBER(INDEX(Inputs!$K$5:$AJ$120,0,MATCH(AE$2,Inputs!$K$4:$AJ$4,0))))+SUMPRODUCT((Inputs!$C$5:$C$120=$B6)*ISNUMBER(INDEX(Inputs!$K$5:$AJ$120,0,MATCH(AE$2,Inputs!$K$4:$AJ$4,0))))+SUMPRODUCT((Inputs!$E$5:$E$120=$B6)*ISNUMBER(INDEX(Inputs!$K$5:$AJ$120,0,MATCH(AE$2,Inputs!$K$4:$AJ$4,0))))=0,NA(),SUMPRODUCT((Inputs!$A$5:$A$120=$B6)*Inputs!$B$5:$B$120*(((Inputs!$G$5:$G$120="moeda")+(Inputs!$G$5:$G$120="acoes"))*Inputs!$B$1+((Inputs!$G$5:$G$120&lt;&gt;"moeda")*(Inputs!$G$5:$G$120&lt;&gt;"acoes")))*INDEX(Inputs!$K$5:$AJ$120,0,MATCH(AE$2,Inputs!$K$4:$AJ$4,0)))+SUMPRODUCT((Inputs!$C$5:$C$120=$B6)*Inputs!$D$5:$D$120*(((Inputs!$G$5:$G$120="moeda")+(Inputs!$G$5:$G$120="acoes"))*Inputs!$B$1+((Inputs!$G$5:$G$120&lt;&gt;"moeda")*(Inputs!$G$5:$G$120&lt;&gt;"acoes")))*INDEX(Inputs!$K$5:$AJ$120,0,MATCH(AE$2,Inputs!$K$4:$AJ$4,0)))+SUMPRODUCT((Inputs!$E$5:$E$120=$B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" s="6" t="e">
        <f>IF(ISNA(MATCH(AF$2,Inputs!$K$4:$AJ$4,0)),NA(),IF(SUMPRODUCT((Inputs!$A$5:$A$120=$B6)*ISNUMBER(INDEX(Inputs!$K$5:$AJ$120,0,MATCH(AF$2,Inputs!$K$4:$AJ$4,0))))+SUMPRODUCT((Inputs!$C$5:$C$120=$B6)*ISNUMBER(INDEX(Inputs!$K$5:$AJ$120,0,MATCH(AF$2,Inputs!$K$4:$AJ$4,0))))+SUMPRODUCT((Inputs!$E$5:$E$120=$B6)*ISNUMBER(INDEX(Inputs!$K$5:$AJ$120,0,MATCH(AF$2,Inputs!$K$4:$AJ$4,0))))=0,NA(),SUMPRODUCT((Inputs!$A$5:$A$120=$B6)*Inputs!$B$5:$B$120*(((Inputs!$G$5:$G$120="moeda")+(Inputs!$G$5:$G$120="acoes"))*Inputs!$B$1+((Inputs!$G$5:$G$120&lt;&gt;"moeda")*(Inputs!$G$5:$G$120&lt;&gt;"acoes")))*INDEX(Inputs!$K$5:$AJ$120,0,MATCH(AF$2,Inputs!$K$4:$AJ$4,0)))+SUMPRODUCT((Inputs!$C$5:$C$120=$B6)*Inputs!$D$5:$D$120*(((Inputs!$G$5:$G$120="moeda")+(Inputs!$G$5:$G$120="acoes"))*Inputs!$B$1+((Inputs!$G$5:$G$120&lt;&gt;"moeda")*(Inputs!$G$5:$G$120&lt;&gt;"acoes")))*INDEX(Inputs!$K$5:$AJ$120,0,MATCH(AF$2,Inputs!$K$4:$AJ$4,0)))+SUMPRODUCT((Inputs!$E$5:$E$120=$B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" s="3" t="e">
        <f>SUM(AC6:AF6)</f>
        <v>#N/A</v>
      </c>
      <c r="AH6" s="6">
        <f>IF(ISNA(MATCH(AH$2,Inputs!$K$4:$AJ$4,0)),NA(),IF(SUMPRODUCT((Inputs!$A$5:$A$120=$B6)*ISNUMBER(INDEX(Inputs!$K$5:$AJ$120,0,MATCH(AH$2,Inputs!$K$4:$AJ$4,0))))+SUMPRODUCT((Inputs!$C$5:$C$120=$B6)*ISNUMBER(INDEX(Inputs!$K$5:$AJ$120,0,MATCH(AH$2,Inputs!$K$4:$AJ$4,0))))+SUMPRODUCT((Inputs!$E$5:$E$120=$B6)*ISNUMBER(INDEX(Inputs!$K$5:$AJ$120,0,MATCH(AH$2,Inputs!$K$4:$AJ$4,0))))=0,NA(),SUMPRODUCT((Inputs!$A$5:$A$120=$B6)*Inputs!$B$5:$B$120*(((Inputs!$G$5:$G$120="moeda")+(Inputs!$G$5:$G$120="acoes"))*Inputs!$B$1+((Inputs!$G$5:$G$120&lt;&gt;"moeda")*(Inputs!$G$5:$G$120&lt;&gt;"acoes")))*INDEX(Inputs!$K$5:$AJ$120,0,MATCH(AH$2,Inputs!$K$4:$AJ$4,0)))+SUMPRODUCT((Inputs!$C$5:$C$120=$B6)*Inputs!$D$5:$D$120*(((Inputs!$G$5:$G$120="moeda")+(Inputs!$G$5:$G$120="acoes"))*Inputs!$B$1+((Inputs!$G$5:$G$120&lt;&gt;"moeda")*(Inputs!$G$5:$G$120&lt;&gt;"acoes")))*INDEX(Inputs!$K$5:$AJ$120,0,MATCH(AH$2,Inputs!$K$4:$AJ$4,0)))+SUMPRODUCT((Inputs!$E$5:$E$120=$B6)*Inputs!$F$5:$F$120*(((Inputs!$G$5:$G$120="moeda")+(Inputs!$G$5:$G$120="acoes"))*Inputs!$B$1+((Inputs!$G$5:$G$120&lt;&gt;"moeda")*(Inputs!$G$5:$G$120&lt;&gt;"acoes")))*INDEX(Inputs!$K$5:$AJ$120,0,MATCH(AH$2,Inputs!$K$4:$AJ$4,0)))))</f>
        <v>-4371.1</v>
      </c>
      <c r="AI6" s="6">
        <f>IF(ISNA(MATCH(AI$2,Inputs!$K$4:$AJ$4,0)),NA(),IF(SUMPRODUCT((Inputs!$A$5:$A$120=$B6)*ISNUMBER(INDEX(Inputs!$K$5:$AJ$120,0,MATCH(AI$2,Inputs!$K$4:$AJ$4,0))))+SUMPRODUCT((Inputs!$C$5:$C$120=$B6)*ISNUMBER(INDEX(Inputs!$K$5:$AJ$120,0,MATCH(AI$2,Inputs!$K$4:$AJ$4,0))))+SUMPRODUCT((Inputs!$E$5:$E$120=$B6)*ISNUMBER(INDEX(Inputs!$K$5:$AJ$120,0,MATCH(AI$2,Inputs!$K$4:$AJ$4,0))))=0,NA(),SUMPRODUCT((Inputs!$A$5:$A$120=$B6)*Inputs!$B$5:$B$120*(((Inputs!$G$5:$G$120="moeda")+(Inputs!$G$5:$G$120="acoes"))*Inputs!$B$1+((Inputs!$G$5:$G$120&lt;&gt;"moeda")*(Inputs!$G$5:$G$120&lt;&gt;"acoes")))*INDEX(Inputs!$K$5:$AJ$120,0,MATCH(AI$2,Inputs!$K$4:$AJ$4,0)))+SUMPRODUCT((Inputs!$C$5:$C$120=$B6)*Inputs!$D$5:$D$120*(((Inputs!$G$5:$G$120="moeda")+(Inputs!$G$5:$G$120="acoes"))*Inputs!$B$1+((Inputs!$G$5:$G$120&lt;&gt;"moeda")*(Inputs!$G$5:$G$120&lt;&gt;"acoes")))*INDEX(Inputs!$K$5:$AJ$120,0,MATCH(AI$2,Inputs!$K$4:$AJ$4,0)))+SUMPRODUCT((Inputs!$E$5:$E$120=$B6)*Inputs!$F$5:$F$120*(((Inputs!$G$5:$G$120="moeda")+(Inputs!$G$5:$G$120="acoes"))*Inputs!$B$1+((Inputs!$G$5:$G$120&lt;&gt;"moeda")*(Inputs!$G$5:$G$120&lt;&gt;"acoes")))*INDEX(Inputs!$K$5:$AJ$120,0,MATCH(AI$2,Inputs!$K$4:$AJ$4,0)))))</f>
        <v>-3953</v>
      </c>
      <c r="AJ6" s="6">
        <f>IF(ISNA(MATCH(AJ$2,Inputs!$K$4:$AJ$4,0)),NA(),IF(SUMPRODUCT((Inputs!$A$5:$A$120=$B6)*ISNUMBER(INDEX(Inputs!$K$5:$AJ$120,0,MATCH(AJ$2,Inputs!$K$4:$AJ$4,0))))+SUMPRODUCT((Inputs!$C$5:$C$120=$B6)*ISNUMBER(INDEX(Inputs!$K$5:$AJ$120,0,MATCH(AJ$2,Inputs!$K$4:$AJ$4,0))))+SUMPRODUCT((Inputs!$E$5:$E$120=$B6)*ISNUMBER(INDEX(Inputs!$K$5:$AJ$120,0,MATCH(AJ$2,Inputs!$K$4:$AJ$4,0))))=0,NA(),SUMPRODUCT((Inputs!$A$5:$A$120=$B6)*Inputs!$B$5:$B$120*(((Inputs!$G$5:$G$120="moeda")+(Inputs!$G$5:$G$120="acoes"))*Inputs!$B$1+((Inputs!$G$5:$G$120&lt;&gt;"moeda")*(Inputs!$G$5:$G$120&lt;&gt;"acoes")))*INDEX(Inputs!$K$5:$AJ$120,0,MATCH(AJ$2,Inputs!$K$4:$AJ$4,0)))+SUMPRODUCT((Inputs!$C$5:$C$120=$B6)*Inputs!$D$5:$D$120*(((Inputs!$G$5:$G$120="moeda")+(Inputs!$G$5:$G$120="acoes"))*Inputs!$B$1+((Inputs!$G$5:$G$120&lt;&gt;"moeda")*(Inputs!$G$5:$G$120&lt;&gt;"acoes")))*INDEX(Inputs!$K$5:$AJ$120,0,MATCH(AJ$2,Inputs!$K$4:$AJ$4,0)))+SUMPRODUCT((Inputs!$E$5:$E$120=$B6)*Inputs!$F$5:$F$120*(((Inputs!$G$5:$G$120="moeda")+(Inputs!$G$5:$G$120="acoes"))*Inputs!$B$1+((Inputs!$G$5:$G$120&lt;&gt;"moeda")*(Inputs!$G$5:$G$120&lt;&gt;"acoes")))*INDEX(Inputs!$K$5:$AJ$120,0,MATCH(AJ$2,Inputs!$K$4:$AJ$4,0)))))</f>
        <v>-4055.8</v>
      </c>
      <c r="AK6" s="6">
        <f>IF(ISNA(MATCH(AK$2,Inputs!$K$4:$AJ$4,0)),NA(),IF(SUMPRODUCT((Inputs!$A$5:$A$120=$B6)*ISNUMBER(INDEX(Inputs!$K$5:$AJ$120,0,MATCH(AK$2,Inputs!$K$4:$AJ$4,0))))+SUMPRODUCT((Inputs!$C$5:$C$120=$B6)*ISNUMBER(INDEX(Inputs!$K$5:$AJ$120,0,MATCH(AK$2,Inputs!$K$4:$AJ$4,0))))+SUMPRODUCT((Inputs!$E$5:$E$120=$B6)*ISNUMBER(INDEX(Inputs!$K$5:$AJ$120,0,MATCH(AK$2,Inputs!$K$4:$AJ$4,0))))=0,NA(),SUMPRODUCT((Inputs!$A$5:$A$120=$B6)*Inputs!$B$5:$B$120*(((Inputs!$G$5:$G$120="moeda")+(Inputs!$G$5:$G$120="acoes"))*Inputs!$B$1+((Inputs!$G$5:$G$120&lt;&gt;"moeda")*(Inputs!$G$5:$G$120&lt;&gt;"acoes")))*INDEX(Inputs!$K$5:$AJ$120,0,MATCH(AK$2,Inputs!$K$4:$AJ$4,0)))+SUMPRODUCT((Inputs!$C$5:$C$120=$B6)*Inputs!$D$5:$D$120*(((Inputs!$G$5:$G$120="moeda")+(Inputs!$G$5:$G$120="acoes"))*Inputs!$B$1+((Inputs!$G$5:$G$120&lt;&gt;"moeda")*(Inputs!$G$5:$G$120&lt;&gt;"acoes")))*INDEX(Inputs!$K$5:$AJ$120,0,MATCH(AK$2,Inputs!$K$4:$AJ$4,0)))+SUMPRODUCT((Inputs!$E$5:$E$120=$B6)*Inputs!$F$5:$F$120*(((Inputs!$G$5:$G$120="moeda")+(Inputs!$G$5:$G$120="acoes"))*Inputs!$B$1+((Inputs!$G$5:$G$120&lt;&gt;"moeda")*(Inputs!$G$5:$G$120&lt;&gt;"acoes")))*INDEX(Inputs!$K$5:$AJ$120,0,MATCH(AK$2,Inputs!$K$4:$AJ$4,0)))))</f>
        <v>-5352.7</v>
      </c>
      <c r="AL6" s="3">
        <f>SUM(AH6:AK6)</f>
        <v>-17732.6</v>
      </c>
    </row>
    <row r="7">
      <c r="B7" s="46" t="n">
        <v>4</v>
      </c>
      <c r="C7" s="24" t="inlineStr">
        <is>
          <t>D&amp;A</t>
        </is>
      </c>
      <c r="D7" s="6">
        <f>IF(ISNA(MATCH(D$2,Inputs!$K$4:$AJ$4,0)),NA(),IF(SUMPRODUCT((Inputs!$A$5:$A$120=$B7)*ISNUMBER(INDEX(Inputs!$K$5:$AJ$120,0,MATCH(D$2,Inputs!$K$4:$AJ$4,0))))+SUMPRODUCT((Inputs!$C$5:$C$120=$B7)*ISNUMBER(INDEX(Inputs!$K$5:$AJ$120,0,MATCH(D$2,Inputs!$K$4:$AJ$4,0))))+SUMPRODUCT((Inputs!$E$5:$E$120=$B7)*ISNUMBER(INDEX(Inputs!$K$5:$AJ$120,0,MATCH(D$2,Inputs!$K$4:$AJ$4,0))))=0,NA(),SUMPRODUCT((Inputs!$A$5:$A$120=$B7)*Inputs!$B$5:$B$120*(((Inputs!$G$5:$G$120="moeda")+(Inputs!$G$5:$G$120="acoes"))*Inputs!$B$1+((Inputs!$G$5:$G$120&lt;&gt;"moeda")*(Inputs!$G$5:$G$120&lt;&gt;"acoes")))*INDEX(Inputs!$K$5:$AJ$120,0,MATCH(D$2,Inputs!$K$4:$AJ$4,0)))+SUMPRODUCT((Inputs!$C$5:$C$120=$B7)*Inputs!$D$5:$D$120*(((Inputs!$G$5:$G$120="moeda")+(Inputs!$G$5:$G$120="acoes"))*Inputs!$B$1+((Inputs!$G$5:$G$120&lt;&gt;"moeda")*(Inputs!$G$5:$G$120&lt;&gt;"acoes")))*INDEX(Inputs!$K$5:$AJ$120,0,MATCH(D$2,Inputs!$K$4:$AJ$4,0)))+SUMPRODUCT((Inputs!$E$5:$E$120=$B7)*Inputs!$F$5:$F$120*(((Inputs!$G$5:$G$120="moeda")+(Inputs!$G$5:$G$120="acoes"))*Inputs!$B$1+((Inputs!$G$5:$G$120&lt;&gt;"moeda")*(Inputs!$G$5:$G$120&lt;&gt;"acoes")))*INDEX(Inputs!$K$5:$AJ$120,0,MATCH(D$2,Inputs!$K$4:$AJ$4,0)))))</f>
        <v>-350.3</v>
      </c>
      <c r="E7" s="6">
        <f>IF(ISNA(MATCH(E$2,Inputs!$K$4:$AJ$4,0)),NA(),IF(SUMPRODUCT((Inputs!$A$5:$A$120=$B7)*ISNUMBER(INDEX(Inputs!$K$5:$AJ$120,0,MATCH(E$2,Inputs!$K$4:$AJ$4,0))))+SUMPRODUCT((Inputs!$C$5:$C$120=$B7)*ISNUMBER(INDEX(Inputs!$K$5:$AJ$120,0,MATCH(E$2,Inputs!$K$4:$AJ$4,0))))+SUMPRODUCT((Inputs!$E$5:$E$120=$B7)*ISNUMBER(INDEX(Inputs!$K$5:$AJ$120,0,MATCH(E$2,Inputs!$K$4:$AJ$4,0))))=0,NA(),SUMPRODUCT((Inputs!$A$5:$A$120=$B7)*Inputs!$B$5:$B$120*(((Inputs!$G$5:$G$120="moeda")+(Inputs!$G$5:$G$120="acoes"))*Inputs!$B$1+((Inputs!$G$5:$G$120&lt;&gt;"moeda")*(Inputs!$G$5:$G$120&lt;&gt;"acoes")))*INDEX(Inputs!$K$5:$AJ$120,0,MATCH(E$2,Inputs!$K$4:$AJ$4,0)))+SUMPRODUCT((Inputs!$C$5:$C$120=$B7)*Inputs!$D$5:$D$120*(((Inputs!$G$5:$G$120="moeda")+(Inputs!$G$5:$G$120="acoes"))*Inputs!$B$1+((Inputs!$G$5:$G$120&lt;&gt;"moeda")*(Inputs!$G$5:$G$120&lt;&gt;"acoes")))*INDEX(Inputs!$K$5:$AJ$120,0,MATCH(E$2,Inputs!$K$4:$AJ$4,0)))+SUMPRODUCT((Inputs!$E$5:$E$120=$B7)*Inputs!$F$5:$F$120*(((Inputs!$G$5:$G$120="moeda")+(Inputs!$G$5:$G$120="acoes"))*Inputs!$B$1+((Inputs!$G$5:$G$120&lt;&gt;"moeda")*(Inputs!$G$5:$G$120&lt;&gt;"acoes")))*INDEX(Inputs!$K$5:$AJ$120,0,MATCH(E$2,Inputs!$K$4:$AJ$4,0)))))</f>
        <v>-369.3</v>
      </c>
      <c r="F7" s="6">
        <f>IF(ISNA(MATCH(F$2,Inputs!$K$4:$AJ$4,0)),NA(),IF(SUMPRODUCT((Inputs!$A$5:$A$120=$B7)*ISNUMBER(INDEX(Inputs!$K$5:$AJ$120,0,MATCH(F$2,Inputs!$K$4:$AJ$4,0))))+SUMPRODUCT((Inputs!$C$5:$C$120=$B7)*ISNUMBER(INDEX(Inputs!$K$5:$AJ$120,0,MATCH(F$2,Inputs!$K$4:$AJ$4,0))))+SUMPRODUCT((Inputs!$E$5:$E$120=$B7)*ISNUMBER(INDEX(Inputs!$K$5:$AJ$120,0,MATCH(F$2,Inputs!$K$4:$AJ$4,0))))=0,NA(),SUMPRODUCT((Inputs!$A$5:$A$120=$B7)*Inputs!$B$5:$B$120*(((Inputs!$G$5:$G$120="moeda")+(Inputs!$G$5:$G$120="acoes"))*Inputs!$B$1+((Inputs!$G$5:$G$120&lt;&gt;"moeda")*(Inputs!$G$5:$G$120&lt;&gt;"acoes")))*INDEX(Inputs!$K$5:$AJ$120,0,MATCH(F$2,Inputs!$K$4:$AJ$4,0)))+SUMPRODUCT((Inputs!$C$5:$C$120=$B7)*Inputs!$D$5:$D$120*(((Inputs!$G$5:$G$120="moeda")+(Inputs!$G$5:$G$120="acoes"))*Inputs!$B$1+((Inputs!$G$5:$G$120&lt;&gt;"moeda")*(Inputs!$G$5:$G$120&lt;&gt;"acoes")))*INDEX(Inputs!$K$5:$AJ$120,0,MATCH(F$2,Inputs!$K$4:$AJ$4,0)))+SUMPRODUCT((Inputs!$E$5:$E$120=$B7)*Inputs!$F$5:$F$120*(((Inputs!$G$5:$G$120="moeda")+(Inputs!$G$5:$G$120="acoes"))*Inputs!$B$1+((Inputs!$G$5:$G$120&lt;&gt;"moeda")*(Inputs!$G$5:$G$120&lt;&gt;"acoes")))*INDEX(Inputs!$K$5:$AJ$120,0,MATCH(F$2,Inputs!$K$4:$AJ$4,0)))))</f>
        <v>-382.3</v>
      </c>
      <c r="G7" s="6">
        <f>IF(ISNA(MATCH(G$2,Inputs!$K$4:$AJ$4,0)),NA(),IF(SUMPRODUCT((Inputs!$A$5:$A$120=$B7)*ISNUMBER(INDEX(Inputs!$K$5:$AJ$120,0,MATCH(G$2,Inputs!$K$4:$AJ$4,0))))+SUMPRODUCT((Inputs!$C$5:$C$120=$B7)*ISNUMBER(INDEX(Inputs!$K$5:$AJ$120,0,MATCH(G$2,Inputs!$K$4:$AJ$4,0))))+SUMPRODUCT((Inputs!$E$5:$E$120=$B7)*ISNUMBER(INDEX(Inputs!$K$5:$AJ$120,0,MATCH(G$2,Inputs!$K$4:$AJ$4,0))))=0,NA(),SUMPRODUCT((Inputs!$A$5:$A$120=$B7)*Inputs!$B$5:$B$120*(((Inputs!$G$5:$G$120="moeda")+(Inputs!$G$5:$G$120="acoes"))*Inputs!$B$1+((Inputs!$G$5:$G$120&lt;&gt;"moeda")*(Inputs!$G$5:$G$120&lt;&gt;"acoes")))*INDEX(Inputs!$K$5:$AJ$120,0,MATCH(G$2,Inputs!$K$4:$AJ$4,0)))+SUMPRODUCT((Inputs!$C$5:$C$120=$B7)*Inputs!$D$5:$D$120*(((Inputs!$G$5:$G$120="moeda")+(Inputs!$G$5:$G$120="acoes"))*Inputs!$B$1+((Inputs!$G$5:$G$120&lt;&gt;"moeda")*(Inputs!$G$5:$G$120&lt;&gt;"acoes")))*INDEX(Inputs!$K$5:$AJ$120,0,MATCH(G$2,Inputs!$K$4:$AJ$4,0)))+SUMPRODUCT((Inputs!$E$5:$E$120=$B7)*Inputs!$F$5:$F$120*(((Inputs!$G$5:$G$120="moeda")+(Inputs!$G$5:$G$120="acoes"))*Inputs!$B$1+((Inputs!$G$5:$G$120&lt;&gt;"moeda")*(Inputs!$G$5:$G$120&lt;&gt;"acoes")))*INDEX(Inputs!$K$5:$AJ$120,0,MATCH(G$2,Inputs!$K$4:$AJ$4,0)))))</f>
        <v>-445.7</v>
      </c>
      <c r="H7" s="3">
        <f>SUM(D7:G7)</f>
        <v>-1547.6</v>
      </c>
      <c r="I7" s="6">
        <f>IF(ISNA(MATCH(I$2,Inputs!$K$4:$AJ$4,0)),NA(),IF(SUMPRODUCT((Inputs!$A$5:$A$120=$B7)*ISNUMBER(INDEX(Inputs!$K$5:$AJ$120,0,MATCH(I$2,Inputs!$K$4:$AJ$4,0))))+SUMPRODUCT((Inputs!$C$5:$C$120=$B7)*ISNUMBER(INDEX(Inputs!$K$5:$AJ$120,0,MATCH(I$2,Inputs!$K$4:$AJ$4,0))))+SUMPRODUCT((Inputs!$E$5:$E$120=$B7)*ISNUMBER(INDEX(Inputs!$K$5:$AJ$120,0,MATCH(I$2,Inputs!$K$4:$AJ$4,0))))=0,NA(),SUMPRODUCT((Inputs!$A$5:$A$120=$B7)*Inputs!$B$5:$B$120*(((Inputs!$G$5:$G$120="moeda")+(Inputs!$G$5:$G$120="acoes"))*Inputs!$B$1+((Inputs!$G$5:$G$120&lt;&gt;"moeda")*(Inputs!$G$5:$G$120&lt;&gt;"acoes")))*INDEX(Inputs!$K$5:$AJ$120,0,MATCH(I$2,Inputs!$K$4:$AJ$4,0)))+SUMPRODUCT((Inputs!$C$5:$C$120=$B7)*Inputs!$D$5:$D$120*(((Inputs!$G$5:$G$120="moeda")+(Inputs!$G$5:$G$120="acoes"))*Inputs!$B$1+((Inputs!$G$5:$G$120&lt;&gt;"moeda")*(Inputs!$G$5:$G$120&lt;&gt;"acoes")))*INDEX(Inputs!$K$5:$AJ$120,0,MATCH(I$2,Inputs!$K$4:$AJ$4,0)))+SUMPRODUCT((Inputs!$E$5:$E$120=$B7)*Inputs!$F$5:$F$120*(((Inputs!$G$5:$G$120="moeda")+(Inputs!$G$5:$G$120="acoes"))*Inputs!$B$1+((Inputs!$G$5:$G$120&lt;&gt;"moeda")*(Inputs!$G$5:$G$120&lt;&gt;"acoes")))*INDEX(Inputs!$K$5:$AJ$120,0,MATCH(I$2,Inputs!$K$4:$AJ$4,0)))))</f>
        <v>-435.7</v>
      </c>
      <c r="J7" s="6">
        <f>IF(ISNA(MATCH(J$2,Inputs!$K$4:$AJ$4,0)),NA(),IF(SUMPRODUCT((Inputs!$A$5:$A$120=$B7)*ISNUMBER(INDEX(Inputs!$K$5:$AJ$120,0,MATCH(J$2,Inputs!$K$4:$AJ$4,0))))+SUMPRODUCT((Inputs!$C$5:$C$120=$B7)*ISNUMBER(INDEX(Inputs!$K$5:$AJ$120,0,MATCH(J$2,Inputs!$K$4:$AJ$4,0))))+SUMPRODUCT((Inputs!$E$5:$E$120=$B7)*ISNUMBER(INDEX(Inputs!$K$5:$AJ$120,0,MATCH(J$2,Inputs!$K$4:$AJ$4,0))))=0,NA(),SUMPRODUCT((Inputs!$A$5:$A$120=$B7)*Inputs!$B$5:$B$120*(((Inputs!$G$5:$G$120="moeda")+(Inputs!$G$5:$G$120="acoes"))*Inputs!$B$1+((Inputs!$G$5:$G$120&lt;&gt;"moeda")*(Inputs!$G$5:$G$120&lt;&gt;"acoes")))*INDEX(Inputs!$K$5:$AJ$120,0,MATCH(J$2,Inputs!$K$4:$AJ$4,0)))+SUMPRODUCT((Inputs!$C$5:$C$120=$B7)*Inputs!$D$5:$D$120*(((Inputs!$G$5:$G$120="moeda")+(Inputs!$G$5:$G$120="acoes"))*Inputs!$B$1+((Inputs!$G$5:$G$120&lt;&gt;"moeda")*(Inputs!$G$5:$G$120&lt;&gt;"acoes")))*INDEX(Inputs!$K$5:$AJ$120,0,MATCH(J$2,Inputs!$K$4:$AJ$4,0)))+SUMPRODUCT((Inputs!$E$5:$E$120=$B7)*Inputs!$F$5:$F$120*(((Inputs!$G$5:$G$120="moeda")+(Inputs!$G$5:$G$120="acoes"))*Inputs!$B$1+((Inputs!$G$5:$G$120&lt;&gt;"moeda")*(Inputs!$G$5:$G$120&lt;&gt;"acoes")))*INDEX(Inputs!$K$5:$AJ$120,0,MATCH(J$2,Inputs!$K$4:$AJ$4,0)))))</f>
        <v>-348.9</v>
      </c>
      <c r="K7" s="6">
        <f>IF(ISNA(MATCH(K$2,Inputs!$K$4:$AJ$4,0)),NA(),IF(SUMPRODUCT((Inputs!$A$5:$A$120=$B7)*ISNUMBER(INDEX(Inputs!$K$5:$AJ$120,0,MATCH(K$2,Inputs!$K$4:$AJ$4,0))))+SUMPRODUCT((Inputs!$C$5:$C$120=$B7)*ISNUMBER(INDEX(Inputs!$K$5:$AJ$120,0,MATCH(K$2,Inputs!$K$4:$AJ$4,0))))+SUMPRODUCT((Inputs!$E$5:$E$120=$B7)*ISNUMBER(INDEX(Inputs!$K$5:$AJ$120,0,MATCH(K$2,Inputs!$K$4:$AJ$4,0))))=0,NA(),SUMPRODUCT((Inputs!$A$5:$A$120=$B7)*Inputs!$B$5:$B$120*(((Inputs!$G$5:$G$120="moeda")+(Inputs!$G$5:$G$120="acoes"))*Inputs!$B$1+((Inputs!$G$5:$G$120&lt;&gt;"moeda")*(Inputs!$G$5:$G$120&lt;&gt;"acoes")))*INDEX(Inputs!$K$5:$AJ$120,0,MATCH(K$2,Inputs!$K$4:$AJ$4,0)))+SUMPRODUCT((Inputs!$C$5:$C$120=$B7)*Inputs!$D$5:$D$120*(((Inputs!$G$5:$G$120="moeda")+(Inputs!$G$5:$G$120="acoes"))*Inputs!$B$1+((Inputs!$G$5:$G$120&lt;&gt;"moeda")*(Inputs!$G$5:$G$120&lt;&gt;"acoes")))*INDEX(Inputs!$K$5:$AJ$120,0,MATCH(K$2,Inputs!$K$4:$AJ$4,0)))+SUMPRODUCT((Inputs!$E$5:$E$120=$B7)*Inputs!$F$5:$F$120*(((Inputs!$G$5:$G$120="moeda")+(Inputs!$G$5:$G$120="acoes"))*Inputs!$B$1+((Inputs!$G$5:$G$120&lt;&gt;"moeda")*(Inputs!$G$5:$G$120&lt;&gt;"acoes")))*INDEX(Inputs!$K$5:$AJ$120,0,MATCH(K$2,Inputs!$K$4:$AJ$4,0)))))</f>
        <v>-362.9</v>
      </c>
      <c r="L7" s="6">
        <f>IF(ISNA(MATCH(L$2,Inputs!$K$4:$AJ$4,0)),NA(),IF(SUMPRODUCT((Inputs!$A$5:$A$120=$B7)*ISNUMBER(INDEX(Inputs!$K$5:$AJ$120,0,MATCH(L$2,Inputs!$K$4:$AJ$4,0))))+SUMPRODUCT((Inputs!$C$5:$C$120=$B7)*ISNUMBER(INDEX(Inputs!$K$5:$AJ$120,0,MATCH(L$2,Inputs!$K$4:$AJ$4,0))))+SUMPRODUCT((Inputs!$E$5:$E$120=$B7)*ISNUMBER(INDEX(Inputs!$K$5:$AJ$120,0,MATCH(L$2,Inputs!$K$4:$AJ$4,0))))=0,NA(),SUMPRODUCT((Inputs!$A$5:$A$120=$B7)*Inputs!$B$5:$B$120*(((Inputs!$G$5:$G$120="moeda")+(Inputs!$G$5:$G$120="acoes"))*Inputs!$B$1+((Inputs!$G$5:$G$120&lt;&gt;"moeda")*(Inputs!$G$5:$G$120&lt;&gt;"acoes")))*INDEX(Inputs!$K$5:$AJ$120,0,MATCH(L$2,Inputs!$K$4:$AJ$4,0)))+SUMPRODUCT((Inputs!$C$5:$C$120=$B7)*Inputs!$D$5:$D$120*(((Inputs!$G$5:$G$120="moeda")+(Inputs!$G$5:$G$120="acoes"))*Inputs!$B$1+((Inputs!$G$5:$G$120&lt;&gt;"moeda")*(Inputs!$G$5:$G$120&lt;&gt;"acoes")))*INDEX(Inputs!$K$5:$AJ$120,0,MATCH(L$2,Inputs!$K$4:$AJ$4,0)))+SUMPRODUCT((Inputs!$E$5:$E$120=$B7)*Inputs!$F$5:$F$120*(((Inputs!$G$5:$G$120="moeda")+(Inputs!$G$5:$G$120="acoes"))*Inputs!$B$1+((Inputs!$G$5:$G$120&lt;&gt;"moeda")*(Inputs!$G$5:$G$120&lt;&gt;"acoes")))*INDEX(Inputs!$K$5:$AJ$120,0,MATCH(L$2,Inputs!$K$4:$AJ$4,0)))))</f>
        <v>-375</v>
      </c>
      <c r="M7" s="3">
        <f>SUM(I7:L7)</f>
        <v>-1522.5</v>
      </c>
      <c r="N7" s="6">
        <f>IF(ISNA(MATCH(N$2,Inputs!$K$4:$AJ$4,0)),NA(),IF(SUMPRODUCT((Inputs!$A$5:$A$120=$B7)*ISNUMBER(INDEX(Inputs!$K$5:$AJ$120,0,MATCH(N$2,Inputs!$K$4:$AJ$4,0))))+SUMPRODUCT((Inputs!$C$5:$C$120=$B7)*ISNUMBER(INDEX(Inputs!$K$5:$AJ$120,0,MATCH(N$2,Inputs!$K$4:$AJ$4,0))))+SUMPRODUCT((Inputs!$E$5:$E$120=$B7)*ISNUMBER(INDEX(Inputs!$K$5:$AJ$120,0,MATCH(N$2,Inputs!$K$4:$AJ$4,0))))=0,NA(),SUMPRODUCT((Inputs!$A$5:$A$120=$B7)*Inputs!$B$5:$B$120*(((Inputs!$G$5:$G$120="moeda")+(Inputs!$G$5:$G$120="acoes"))*Inputs!$B$1+((Inputs!$G$5:$G$120&lt;&gt;"moeda")*(Inputs!$G$5:$G$120&lt;&gt;"acoes")))*INDEX(Inputs!$K$5:$AJ$120,0,MATCH(N$2,Inputs!$K$4:$AJ$4,0)))+SUMPRODUCT((Inputs!$C$5:$C$120=$B7)*Inputs!$D$5:$D$120*(((Inputs!$G$5:$G$120="moeda")+(Inputs!$G$5:$G$120="acoes"))*Inputs!$B$1+((Inputs!$G$5:$G$120&lt;&gt;"moeda")*(Inputs!$G$5:$G$120&lt;&gt;"acoes")))*INDEX(Inputs!$K$5:$AJ$120,0,MATCH(N$2,Inputs!$K$4:$AJ$4,0)))+SUMPRODUCT((Inputs!$E$5:$E$120=$B7)*Inputs!$F$5:$F$120*(((Inputs!$G$5:$G$120="moeda")+(Inputs!$G$5:$G$120="acoes"))*Inputs!$B$1+((Inputs!$G$5:$G$120&lt;&gt;"moeda")*(Inputs!$G$5:$G$120&lt;&gt;"acoes")))*INDEX(Inputs!$K$5:$AJ$120,0,MATCH(N$2,Inputs!$K$4:$AJ$4,0)))))</f>
        <v>-362.3</v>
      </c>
      <c r="O7" s="6">
        <f>IF(ISNA(MATCH(O$2,Inputs!$K$4:$AJ$4,0)),NA(),IF(SUMPRODUCT((Inputs!$A$5:$A$120=$B7)*ISNUMBER(INDEX(Inputs!$K$5:$AJ$120,0,MATCH(O$2,Inputs!$K$4:$AJ$4,0))))+SUMPRODUCT((Inputs!$C$5:$C$120=$B7)*ISNUMBER(INDEX(Inputs!$K$5:$AJ$120,0,MATCH(O$2,Inputs!$K$4:$AJ$4,0))))+SUMPRODUCT((Inputs!$E$5:$E$120=$B7)*ISNUMBER(INDEX(Inputs!$K$5:$AJ$120,0,MATCH(O$2,Inputs!$K$4:$AJ$4,0))))=0,NA(),SUMPRODUCT((Inputs!$A$5:$A$120=$B7)*Inputs!$B$5:$B$120*(((Inputs!$G$5:$G$120="moeda")+(Inputs!$G$5:$G$120="acoes"))*Inputs!$B$1+((Inputs!$G$5:$G$120&lt;&gt;"moeda")*(Inputs!$G$5:$G$120&lt;&gt;"acoes")))*INDEX(Inputs!$K$5:$AJ$120,0,MATCH(O$2,Inputs!$K$4:$AJ$4,0)))+SUMPRODUCT((Inputs!$C$5:$C$120=$B7)*Inputs!$D$5:$D$120*(((Inputs!$G$5:$G$120="moeda")+(Inputs!$G$5:$G$120="acoes"))*Inputs!$B$1+((Inputs!$G$5:$G$120&lt;&gt;"moeda")*(Inputs!$G$5:$G$120&lt;&gt;"acoes")))*INDEX(Inputs!$K$5:$AJ$120,0,MATCH(O$2,Inputs!$K$4:$AJ$4,0)))+SUMPRODUCT((Inputs!$E$5:$E$120=$B7)*Inputs!$F$5:$F$120*(((Inputs!$G$5:$G$120="moeda")+(Inputs!$G$5:$G$120="acoes"))*Inputs!$B$1+((Inputs!$G$5:$G$120&lt;&gt;"moeda")*(Inputs!$G$5:$G$120&lt;&gt;"acoes")))*INDEX(Inputs!$K$5:$AJ$120,0,MATCH(O$2,Inputs!$K$4:$AJ$4,0)))))</f>
        <v>-366.3</v>
      </c>
      <c r="P7" s="6">
        <f>IF(ISNA(MATCH(P$2,Inputs!$K$4:$AJ$4,0)),NA(),IF(SUMPRODUCT((Inputs!$A$5:$A$120=$B7)*ISNUMBER(INDEX(Inputs!$K$5:$AJ$120,0,MATCH(P$2,Inputs!$K$4:$AJ$4,0))))+SUMPRODUCT((Inputs!$C$5:$C$120=$B7)*ISNUMBER(INDEX(Inputs!$K$5:$AJ$120,0,MATCH(P$2,Inputs!$K$4:$AJ$4,0))))+SUMPRODUCT((Inputs!$E$5:$E$120=$B7)*ISNUMBER(INDEX(Inputs!$K$5:$AJ$120,0,MATCH(P$2,Inputs!$K$4:$AJ$4,0))))=0,NA(),SUMPRODUCT((Inputs!$A$5:$A$120=$B7)*Inputs!$B$5:$B$120*(((Inputs!$G$5:$G$120="moeda")+(Inputs!$G$5:$G$120="acoes"))*Inputs!$B$1+((Inputs!$G$5:$G$120&lt;&gt;"moeda")*(Inputs!$G$5:$G$120&lt;&gt;"acoes")))*INDEX(Inputs!$K$5:$AJ$120,0,MATCH(P$2,Inputs!$K$4:$AJ$4,0)))+SUMPRODUCT((Inputs!$C$5:$C$120=$B7)*Inputs!$D$5:$D$120*(((Inputs!$G$5:$G$120="moeda")+(Inputs!$G$5:$G$120="acoes"))*Inputs!$B$1+((Inputs!$G$5:$G$120&lt;&gt;"moeda")*(Inputs!$G$5:$G$120&lt;&gt;"acoes")))*INDEX(Inputs!$K$5:$AJ$120,0,MATCH(P$2,Inputs!$K$4:$AJ$4,0)))+SUMPRODUCT((Inputs!$E$5:$E$120=$B7)*Inputs!$F$5:$F$120*(((Inputs!$G$5:$G$120="moeda")+(Inputs!$G$5:$G$120="acoes"))*Inputs!$B$1+((Inputs!$G$5:$G$120&lt;&gt;"moeda")*(Inputs!$G$5:$G$120&lt;&gt;"acoes")))*INDEX(Inputs!$K$5:$AJ$120,0,MATCH(P$2,Inputs!$K$4:$AJ$4,0)))))</f>
        <v>-411</v>
      </c>
      <c r="Q7" s="6">
        <f>IF(ISNA(MATCH(Q$2,Inputs!$K$4:$AJ$4,0)),NA(),IF(SUMPRODUCT((Inputs!$A$5:$A$120=$B7)*ISNUMBER(INDEX(Inputs!$K$5:$AJ$120,0,MATCH(Q$2,Inputs!$K$4:$AJ$4,0))))+SUMPRODUCT((Inputs!$C$5:$C$120=$B7)*ISNUMBER(INDEX(Inputs!$K$5:$AJ$120,0,MATCH(Q$2,Inputs!$K$4:$AJ$4,0))))+SUMPRODUCT((Inputs!$E$5:$E$120=$B7)*ISNUMBER(INDEX(Inputs!$K$5:$AJ$120,0,MATCH(Q$2,Inputs!$K$4:$AJ$4,0))))=0,NA(),SUMPRODUCT((Inputs!$A$5:$A$120=$B7)*Inputs!$B$5:$B$120*(((Inputs!$G$5:$G$120="moeda")+(Inputs!$G$5:$G$120="acoes"))*Inputs!$B$1+((Inputs!$G$5:$G$120&lt;&gt;"moeda")*(Inputs!$G$5:$G$120&lt;&gt;"acoes")))*INDEX(Inputs!$K$5:$AJ$120,0,MATCH(Q$2,Inputs!$K$4:$AJ$4,0)))+SUMPRODUCT((Inputs!$C$5:$C$120=$B7)*Inputs!$D$5:$D$120*(((Inputs!$G$5:$G$120="moeda")+(Inputs!$G$5:$G$120="acoes"))*Inputs!$B$1+((Inputs!$G$5:$G$120&lt;&gt;"moeda")*(Inputs!$G$5:$G$120&lt;&gt;"acoes")))*INDEX(Inputs!$K$5:$AJ$120,0,MATCH(Q$2,Inputs!$K$4:$AJ$4,0)))+SUMPRODUCT((Inputs!$E$5:$E$120=$B7)*Inputs!$F$5:$F$120*(((Inputs!$G$5:$G$120="moeda")+(Inputs!$G$5:$G$120="acoes"))*Inputs!$B$1+((Inputs!$G$5:$G$120&lt;&gt;"moeda")*(Inputs!$G$5:$G$120&lt;&gt;"acoes")))*INDEX(Inputs!$K$5:$AJ$120,0,MATCH(Q$2,Inputs!$K$4:$AJ$4,0)))))</f>
        <v>-387.7</v>
      </c>
      <c r="R7" s="3">
        <f>SUM(N7:Q7)</f>
        <v>-1527.3</v>
      </c>
      <c r="S7" s="6">
        <f>IF(ISNA(MATCH(S$2,Inputs!$K$4:$AJ$4,0)),NA(),IF(SUMPRODUCT((Inputs!$A$5:$A$120=$B7)*ISNUMBER(INDEX(Inputs!$K$5:$AJ$120,0,MATCH(S$2,Inputs!$K$4:$AJ$4,0))))+SUMPRODUCT((Inputs!$C$5:$C$120=$B7)*ISNUMBER(INDEX(Inputs!$K$5:$AJ$120,0,MATCH(S$2,Inputs!$K$4:$AJ$4,0))))+SUMPRODUCT((Inputs!$E$5:$E$120=$B7)*ISNUMBER(INDEX(Inputs!$K$5:$AJ$120,0,MATCH(S$2,Inputs!$K$4:$AJ$4,0))))=0,NA(),SUMPRODUCT((Inputs!$A$5:$A$120=$B7)*Inputs!$B$5:$B$120*(((Inputs!$G$5:$G$120="moeda")+(Inputs!$G$5:$G$120="acoes"))*Inputs!$B$1+((Inputs!$G$5:$G$120&lt;&gt;"moeda")*(Inputs!$G$5:$G$120&lt;&gt;"acoes")))*INDEX(Inputs!$K$5:$AJ$120,0,MATCH(S$2,Inputs!$K$4:$AJ$4,0)))+SUMPRODUCT((Inputs!$C$5:$C$120=$B7)*Inputs!$D$5:$D$120*(((Inputs!$G$5:$G$120="moeda")+(Inputs!$G$5:$G$120="acoes"))*Inputs!$B$1+((Inputs!$G$5:$G$120&lt;&gt;"moeda")*(Inputs!$G$5:$G$120&lt;&gt;"acoes")))*INDEX(Inputs!$K$5:$AJ$120,0,MATCH(S$2,Inputs!$K$4:$AJ$4,0)))+SUMPRODUCT((Inputs!$E$5:$E$120=$B7)*Inputs!$F$5:$F$120*(((Inputs!$G$5:$G$120="moeda")+(Inputs!$G$5:$G$120="acoes"))*Inputs!$B$1+((Inputs!$G$5:$G$120&lt;&gt;"moeda")*(Inputs!$G$5:$G$120&lt;&gt;"acoes")))*INDEX(Inputs!$K$5:$AJ$120,0,MATCH(S$2,Inputs!$K$4:$AJ$4,0)))))</f>
        <v>-400.6</v>
      </c>
      <c r="T7" s="6">
        <f>IF(ISNA(MATCH(T$2,Inputs!$K$4:$AJ$4,0)),NA(),IF(SUMPRODUCT((Inputs!$A$5:$A$120=$B7)*ISNUMBER(INDEX(Inputs!$K$5:$AJ$120,0,MATCH(T$2,Inputs!$K$4:$AJ$4,0))))+SUMPRODUCT((Inputs!$C$5:$C$120=$B7)*ISNUMBER(INDEX(Inputs!$K$5:$AJ$120,0,MATCH(T$2,Inputs!$K$4:$AJ$4,0))))+SUMPRODUCT((Inputs!$E$5:$E$120=$B7)*ISNUMBER(INDEX(Inputs!$K$5:$AJ$120,0,MATCH(T$2,Inputs!$K$4:$AJ$4,0))))=0,NA(),SUMPRODUCT((Inputs!$A$5:$A$120=$B7)*Inputs!$B$5:$B$120*(((Inputs!$G$5:$G$120="moeda")+(Inputs!$G$5:$G$120="acoes"))*Inputs!$B$1+((Inputs!$G$5:$G$120&lt;&gt;"moeda")*(Inputs!$G$5:$G$120&lt;&gt;"acoes")))*INDEX(Inputs!$K$5:$AJ$120,0,MATCH(T$2,Inputs!$K$4:$AJ$4,0)))+SUMPRODUCT((Inputs!$C$5:$C$120=$B7)*Inputs!$D$5:$D$120*(((Inputs!$G$5:$G$120="moeda")+(Inputs!$G$5:$G$120="acoes"))*Inputs!$B$1+((Inputs!$G$5:$G$120&lt;&gt;"moeda")*(Inputs!$G$5:$G$120&lt;&gt;"acoes")))*INDEX(Inputs!$K$5:$AJ$120,0,MATCH(T$2,Inputs!$K$4:$AJ$4,0)))+SUMPRODUCT((Inputs!$E$5:$E$120=$B7)*Inputs!$F$5:$F$120*(((Inputs!$G$5:$G$120="moeda")+(Inputs!$G$5:$G$120="acoes"))*Inputs!$B$1+((Inputs!$G$5:$G$120&lt;&gt;"moeda")*(Inputs!$G$5:$G$120&lt;&gt;"acoes")))*INDEX(Inputs!$K$5:$AJ$120,0,MATCH(T$2,Inputs!$K$4:$AJ$4,0)))))</f>
        <v>-414.4</v>
      </c>
      <c r="U7" s="6">
        <f>IF(ISNA(MATCH(U$2,Inputs!$K$4:$AJ$4,0)),NA(),IF(SUMPRODUCT((Inputs!$A$5:$A$120=$B7)*ISNUMBER(INDEX(Inputs!$K$5:$AJ$120,0,MATCH(U$2,Inputs!$K$4:$AJ$4,0))))+SUMPRODUCT((Inputs!$C$5:$C$120=$B7)*ISNUMBER(INDEX(Inputs!$K$5:$AJ$120,0,MATCH(U$2,Inputs!$K$4:$AJ$4,0))))+SUMPRODUCT((Inputs!$E$5:$E$120=$B7)*ISNUMBER(INDEX(Inputs!$K$5:$AJ$120,0,MATCH(U$2,Inputs!$K$4:$AJ$4,0))))=0,NA(),SUMPRODUCT((Inputs!$A$5:$A$120=$B7)*Inputs!$B$5:$B$120*(((Inputs!$G$5:$G$120="moeda")+(Inputs!$G$5:$G$120="acoes"))*Inputs!$B$1+((Inputs!$G$5:$G$120&lt;&gt;"moeda")*(Inputs!$G$5:$G$120&lt;&gt;"acoes")))*INDEX(Inputs!$K$5:$AJ$120,0,MATCH(U$2,Inputs!$K$4:$AJ$4,0)))+SUMPRODUCT((Inputs!$C$5:$C$120=$B7)*Inputs!$D$5:$D$120*(((Inputs!$G$5:$G$120="moeda")+(Inputs!$G$5:$G$120="acoes"))*Inputs!$B$1+((Inputs!$G$5:$G$120&lt;&gt;"moeda")*(Inputs!$G$5:$G$120&lt;&gt;"acoes")))*INDEX(Inputs!$K$5:$AJ$120,0,MATCH(U$2,Inputs!$K$4:$AJ$4,0)))+SUMPRODUCT((Inputs!$E$5:$E$120=$B7)*Inputs!$F$5:$F$120*(((Inputs!$G$5:$G$120="moeda")+(Inputs!$G$5:$G$120="acoes"))*Inputs!$B$1+((Inputs!$G$5:$G$120&lt;&gt;"moeda")*(Inputs!$G$5:$G$120&lt;&gt;"acoes")))*INDEX(Inputs!$K$5:$AJ$120,0,MATCH(U$2,Inputs!$K$4:$AJ$4,0)))))</f>
        <v>-466.8</v>
      </c>
      <c r="V7" s="6">
        <f>IF(ISNA(MATCH(V$2,Inputs!$K$4:$AJ$4,0)),NA(),IF(SUMPRODUCT((Inputs!$A$5:$A$120=$B7)*ISNUMBER(INDEX(Inputs!$K$5:$AJ$120,0,MATCH(V$2,Inputs!$K$4:$AJ$4,0))))+SUMPRODUCT((Inputs!$C$5:$C$120=$B7)*ISNUMBER(INDEX(Inputs!$K$5:$AJ$120,0,MATCH(V$2,Inputs!$K$4:$AJ$4,0))))+SUMPRODUCT((Inputs!$E$5:$E$120=$B7)*ISNUMBER(INDEX(Inputs!$K$5:$AJ$120,0,MATCH(V$2,Inputs!$K$4:$AJ$4,0))))=0,NA(),SUMPRODUCT((Inputs!$A$5:$A$120=$B7)*Inputs!$B$5:$B$120*(((Inputs!$G$5:$G$120="moeda")+(Inputs!$G$5:$G$120="acoes"))*Inputs!$B$1+((Inputs!$G$5:$G$120&lt;&gt;"moeda")*(Inputs!$G$5:$G$120&lt;&gt;"acoes")))*INDEX(Inputs!$K$5:$AJ$120,0,MATCH(V$2,Inputs!$K$4:$AJ$4,0)))+SUMPRODUCT((Inputs!$C$5:$C$120=$B7)*Inputs!$D$5:$D$120*(((Inputs!$G$5:$G$120="moeda")+(Inputs!$G$5:$G$120="acoes"))*Inputs!$B$1+((Inputs!$G$5:$G$120&lt;&gt;"moeda")*(Inputs!$G$5:$G$120&lt;&gt;"acoes")))*INDEX(Inputs!$K$5:$AJ$120,0,MATCH(V$2,Inputs!$K$4:$AJ$4,0)))+SUMPRODUCT((Inputs!$E$5:$E$120=$B7)*Inputs!$F$5:$F$120*(((Inputs!$G$5:$G$120="moeda")+(Inputs!$G$5:$G$120="acoes"))*Inputs!$B$1+((Inputs!$G$5:$G$120&lt;&gt;"moeda")*(Inputs!$G$5:$G$120&lt;&gt;"acoes")))*INDEX(Inputs!$K$5:$AJ$120,0,MATCH(V$2,Inputs!$K$4:$AJ$4,0)))))</f>
        <v>-484.8</v>
      </c>
      <c r="W7" s="3">
        <f>SUM(S7:V7)</f>
        <v>-1766.6</v>
      </c>
      <c r="X7" s="6">
        <f>IF(ISNA(MATCH(X$2,Inputs!$K$4:$AJ$4,0)),NA(),IF(SUMPRODUCT((Inputs!$A$5:$A$120=$B7)*ISNUMBER(INDEX(Inputs!$K$5:$AJ$120,0,MATCH(X$2,Inputs!$K$4:$AJ$4,0))))+SUMPRODUCT((Inputs!$C$5:$C$120=$B7)*ISNUMBER(INDEX(Inputs!$K$5:$AJ$120,0,MATCH(X$2,Inputs!$K$4:$AJ$4,0))))+SUMPRODUCT((Inputs!$E$5:$E$120=$B7)*ISNUMBER(INDEX(Inputs!$K$5:$AJ$120,0,MATCH(X$2,Inputs!$K$4:$AJ$4,0))))=0,NA(),SUMPRODUCT((Inputs!$A$5:$A$120=$B7)*Inputs!$B$5:$B$120*(((Inputs!$G$5:$G$120="moeda")+(Inputs!$G$5:$G$120="acoes"))*Inputs!$B$1+((Inputs!$G$5:$G$120&lt;&gt;"moeda")*(Inputs!$G$5:$G$120&lt;&gt;"acoes")))*INDEX(Inputs!$K$5:$AJ$120,0,MATCH(X$2,Inputs!$K$4:$AJ$4,0)))+SUMPRODUCT((Inputs!$C$5:$C$120=$B7)*Inputs!$D$5:$D$120*(((Inputs!$G$5:$G$120="moeda")+(Inputs!$G$5:$G$120="acoes"))*Inputs!$B$1+((Inputs!$G$5:$G$120&lt;&gt;"moeda")*(Inputs!$G$5:$G$120&lt;&gt;"acoes")))*INDEX(Inputs!$K$5:$AJ$120,0,MATCH(X$2,Inputs!$K$4:$AJ$4,0)))+SUMPRODUCT((Inputs!$E$5:$E$120=$B7)*Inputs!$F$5:$F$120*(((Inputs!$G$5:$G$120="moeda")+(Inputs!$G$5:$G$120="acoes"))*Inputs!$B$1+((Inputs!$G$5:$G$120&lt;&gt;"moeda")*(Inputs!$G$5:$G$120&lt;&gt;"acoes")))*INDEX(Inputs!$K$5:$AJ$120,0,MATCH(X$2,Inputs!$K$4:$AJ$4,0)))))</f>
        <v>-462.8</v>
      </c>
      <c r="Y7" s="6">
        <f>IF(ISNA(MATCH(Y$2,Inputs!$K$4:$AJ$4,0)),NA(),IF(SUMPRODUCT((Inputs!$A$5:$A$120=$B7)*ISNUMBER(INDEX(Inputs!$K$5:$AJ$120,0,MATCH(Y$2,Inputs!$K$4:$AJ$4,0))))+SUMPRODUCT((Inputs!$C$5:$C$120=$B7)*ISNUMBER(INDEX(Inputs!$K$5:$AJ$120,0,MATCH(Y$2,Inputs!$K$4:$AJ$4,0))))+SUMPRODUCT((Inputs!$E$5:$E$120=$B7)*ISNUMBER(INDEX(Inputs!$K$5:$AJ$120,0,MATCH(Y$2,Inputs!$K$4:$AJ$4,0))))=0,NA(),SUMPRODUCT((Inputs!$A$5:$A$120=$B7)*Inputs!$B$5:$B$120*(((Inputs!$G$5:$G$120="moeda")+(Inputs!$G$5:$G$120="acoes"))*Inputs!$B$1+((Inputs!$G$5:$G$120&lt;&gt;"moeda")*(Inputs!$G$5:$G$120&lt;&gt;"acoes")))*INDEX(Inputs!$K$5:$AJ$120,0,MATCH(Y$2,Inputs!$K$4:$AJ$4,0)))+SUMPRODUCT((Inputs!$C$5:$C$120=$B7)*Inputs!$D$5:$D$120*(((Inputs!$G$5:$G$120="moeda")+(Inputs!$G$5:$G$120="acoes"))*Inputs!$B$1+((Inputs!$G$5:$G$120&lt;&gt;"moeda")*(Inputs!$G$5:$G$120&lt;&gt;"acoes")))*INDEX(Inputs!$K$5:$AJ$120,0,MATCH(Y$2,Inputs!$K$4:$AJ$4,0)))+SUMPRODUCT((Inputs!$E$5:$E$120=$B7)*Inputs!$F$5:$F$120*(((Inputs!$G$5:$G$120="moeda")+(Inputs!$G$5:$G$120="acoes"))*Inputs!$B$1+((Inputs!$G$5:$G$120&lt;&gt;"moeda")*(Inputs!$G$5:$G$120&lt;&gt;"acoes")))*INDEX(Inputs!$K$5:$AJ$120,0,MATCH(Y$2,Inputs!$K$4:$AJ$4,0)))))</f>
        <v>-478.5</v>
      </c>
      <c r="Z7" s="6">
        <f>IF(ISNA(MATCH(Z$2,Inputs!$K$4:$AJ$4,0)),NA(),IF(SUMPRODUCT((Inputs!$A$5:$A$120=$B7)*ISNUMBER(INDEX(Inputs!$K$5:$AJ$120,0,MATCH(Z$2,Inputs!$K$4:$AJ$4,0))))+SUMPRODUCT((Inputs!$C$5:$C$120=$B7)*ISNUMBER(INDEX(Inputs!$K$5:$AJ$120,0,MATCH(Z$2,Inputs!$K$4:$AJ$4,0))))+SUMPRODUCT((Inputs!$E$5:$E$120=$B7)*ISNUMBER(INDEX(Inputs!$K$5:$AJ$120,0,MATCH(Z$2,Inputs!$K$4:$AJ$4,0))))=0,NA(),SUMPRODUCT((Inputs!$A$5:$A$120=$B7)*Inputs!$B$5:$B$120*(((Inputs!$G$5:$G$120="moeda")+(Inputs!$G$5:$G$120="acoes"))*Inputs!$B$1+((Inputs!$G$5:$G$120&lt;&gt;"moeda")*(Inputs!$G$5:$G$120&lt;&gt;"acoes")))*INDEX(Inputs!$K$5:$AJ$120,0,MATCH(Z$2,Inputs!$K$4:$AJ$4,0)))+SUMPRODUCT((Inputs!$C$5:$C$120=$B7)*Inputs!$D$5:$D$120*(((Inputs!$G$5:$G$120="moeda")+(Inputs!$G$5:$G$120="acoes"))*Inputs!$B$1+((Inputs!$G$5:$G$120&lt;&gt;"moeda")*(Inputs!$G$5:$G$120&lt;&gt;"acoes")))*INDEX(Inputs!$K$5:$AJ$120,0,MATCH(Z$2,Inputs!$K$4:$AJ$4,0)))+SUMPRODUCT((Inputs!$E$5:$E$120=$B7)*Inputs!$F$5:$F$120*(((Inputs!$G$5:$G$120="moeda")+(Inputs!$G$5:$G$120="acoes"))*Inputs!$B$1+((Inputs!$G$5:$G$120&lt;&gt;"moeda")*(Inputs!$G$5:$G$120&lt;&gt;"acoes")))*INDEX(Inputs!$K$5:$AJ$120,0,MATCH(Z$2,Inputs!$K$4:$AJ$4,0)))))</f>
        <v>-470</v>
      </c>
      <c r="AA7" s="6">
        <f>IF(ISNA(MATCH(AA$2,Inputs!$K$4:$AJ$4,0)),NA(),IF(SUMPRODUCT((Inputs!$A$5:$A$120=$B7)*ISNUMBER(INDEX(Inputs!$K$5:$AJ$120,0,MATCH(AA$2,Inputs!$K$4:$AJ$4,0))))+SUMPRODUCT((Inputs!$C$5:$C$120=$B7)*ISNUMBER(INDEX(Inputs!$K$5:$AJ$120,0,MATCH(AA$2,Inputs!$K$4:$AJ$4,0))))+SUMPRODUCT((Inputs!$E$5:$E$120=$B7)*ISNUMBER(INDEX(Inputs!$K$5:$AJ$120,0,MATCH(AA$2,Inputs!$K$4:$AJ$4,0))))=0,NA(),SUMPRODUCT((Inputs!$A$5:$A$120=$B7)*Inputs!$B$5:$B$120*(((Inputs!$G$5:$G$120="moeda")+(Inputs!$G$5:$G$120="acoes"))*Inputs!$B$1+((Inputs!$G$5:$G$120&lt;&gt;"moeda")*(Inputs!$G$5:$G$120&lt;&gt;"acoes")))*INDEX(Inputs!$K$5:$AJ$120,0,MATCH(AA$2,Inputs!$K$4:$AJ$4,0)))+SUMPRODUCT((Inputs!$C$5:$C$120=$B7)*Inputs!$D$5:$D$120*(((Inputs!$G$5:$G$120="moeda")+(Inputs!$G$5:$G$120="acoes"))*Inputs!$B$1+((Inputs!$G$5:$G$120&lt;&gt;"moeda")*(Inputs!$G$5:$G$120&lt;&gt;"acoes")))*INDEX(Inputs!$K$5:$AJ$120,0,MATCH(AA$2,Inputs!$K$4:$AJ$4,0)))+SUMPRODUCT((Inputs!$E$5:$E$120=$B7)*Inputs!$F$5:$F$120*(((Inputs!$G$5:$G$120="moeda")+(Inputs!$G$5:$G$120="acoes"))*Inputs!$B$1+((Inputs!$G$5:$G$120&lt;&gt;"moeda")*(Inputs!$G$5:$G$120&lt;&gt;"acoes")))*INDEX(Inputs!$K$5:$AJ$120,0,MATCH(AA$2,Inputs!$K$4:$AJ$4,0)))))</f>
        <v>-585.7</v>
      </c>
      <c r="AB7" s="3">
        <f>SUM(X7:AA7)</f>
        <v>-1997</v>
      </c>
      <c r="AC7" s="6">
        <f>IF(ISNA(MATCH(AC$2,Inputs!$K$4:$AJ$4,0)),NA(),IF(SUMPRODUCT((Inputs!$A$5:$A$120=$B7)*ISNUMBER(INDEX(Inputs!$K$5:$AJ$120,0,MATCH(AC$2,Inputs!$K$4:$AJ$4,0))))+SUMPRODUCT((Inputs!$C$5:$C$120=$B7)*ISNUMBER(INDEX(Inputs!$K$5:$AJ$120,0,MATCH(AC$2,Inputs!$K$4:$AJ$4,0))))+SUMPRODUCT((Inputs!$E$5:$E$120=$B7)*ISNUMBER(INDEX(Inputs!$K$5:$AJ$120,0,MATCH(AC$2,Inputs!$K$4:$AJ$4,0))))=0,NA(),SUMPRODUCT((Inputs!$A$5:$A$120=$B7)*Inputs!$B$5:$B$120*(((Inputs!$G$5:$G$120="moeda")+(Inputs!$G$5:$G$120="acoes"))*Inputs!$B$1+((Inputs!$G$5:$G$120&lt;&gt;"moeda")*(Inputs!$G$5:$G$120&lt;&gt;"acoes")))*INDEX(Inputs!$K$5:$AJ$120,0,MATCH(AC$2,Inputs!$K$4:$AJ$4,0)))+SUMPRODUCT((Inputs!$C$5:$C$120=$B7)*Inputs!$D$5:$D$120*(((Inputs!$G$5:$G$120="moeda")+(Inputs!$G$5:$G$120="acoes"))*Inputs!$B$1+((Inputs!$G$5:$G$120&lt;&gt;"moeda")*(Inputs!$G$5:$G$120&lt;&gt;"acoes")))*INDEX(Inputs!$K$5:$AJ$120,0,MATCH(AC$2,Inputs!$K$4:$AJ$4,0)))+SUMPRODUCT((Inputs!$E$5:$E$120=$B7)*Inputs!$F$5:$F$120*(((Inputs!$G$5:$G$120="moeda")+(Inputs!$G$5:$G$120="acoes"))*Inputs!$B$1+((Inputs!$G$5:$G$120&lt;&gt;"moeda")*(Inputs!$G$5:$G$120&lt;&gt;"acoes")))*INDEX(Inputs!$K$5:$AJ$120,0,MATCH(AC$2,Inputs!$K$4:$AJ$4,0)))))</f>
        <v>-509</v>
      </c>
      <c r="AD7" s="6">
        <f>IF(ISNA(MATCH(AD$2,Inputs!$K$4:$AJ$4,0)),NA(),IF(SUMPRODUCT((Inputs!$A$5:$A$120=$B7)*ISNUMBER(INDEX(Inputs!$K$5:$AJ$120,0,MATCH(AD$2,Inputs!$K$4:$AJ$4,0))))+SUMPRODUCT((Inputs!$C$5:$C$120=$B7)*ISNUMBER(INDEX(Inputs!$K$5:$AJ$120,0,MATCH(AD$2,Inputs!$K$4:$AJ$4,0))))+SUMPRODUCT((Inputs!$E$5:$E$120=$B7)*ISNUMBER(INDEX(Inputs!$K$5:$AJ$120,0,MATCH(AD$2,Inputs!$K$4:$AJ$4,0))))=0,NA(),SUMPRODUCT((Inputs!$A$5:$A$120=$B7)*Inputs!$B$5:$B$120*(((Inputs!$G$5:$G$120="moeda")+(Inputs!$G$5:$G$120="acoes"))*Inputs!$B$1+((Inputs!$G$5:$G$120&lt;&gt;"moeda")*(Inputs!$G$5:$G$120&lt;&gt;"acoes")))*INDEX(Inputs!$K$5:$AJ$120,0,MATCH(AD$2,Inputs!$K$4:$AJ$4,0)))+SUMPRODUCT((Inputs!$C$5:$C$120=$B7)*Inputs!$D$5:$D$120*(((Inputs!$G$5:$G$120="moeda")+(Inputs!$G$5:$G$120="acoes"))*Inputs!$B$1+((Inputs!$G$5:$G$120&lt;&gt;"moeda")*(Inputs!$G$5:$G$120&lt;&gt;"acoes")))*INDEX(Inputs!$K$5:$AJ$120,0,MATCH(AD$2,Inputs!$K$4:$AJ$4,0)))+SUMPRODUCT((Inputs!$E$5:$E$120=$B7)*Inputs!$F$5:$F$120*(((Inputs!$G$5:$G$120="moeda")+(Inputs!$G$5:$G$120="acoes"))*Inputs!$B$1+((Inputs!$G$5:$G$120&lt;&gt;"moeda")*(Inputs!$G$5:$G$120&lt;&gt;"acoes")))*INDEX(Inputs!$K$5:$AJ$120,0,MATCH(AD$2,Inputs!$K$4:$AJ$4,0)))))</f>
        <v>-534</v>
      </c>
      <c r="AE7" s="6" t="e">
        <f>IF(ISNA(MATCH(AE$2,Inputs!$K$4:$AJ$4,0)),NA(),IF(SUMPRODUCT((Inputs!$A$5:$A$120=$B7)*ISNUMBER(INDEX(Inputs!$K$5:$AJ$120,0,MATCH(AE$2,Inputs!$K$4:$AJ$4,0))))+SUMPRODUCT((Inputs!$C$5:$C$120=$B7)*ISNUMBER(INDEX(Inputs!$K$5:$AJ$120,0,MATCH(AE$2,Inputs!$K$4:$AJ$4,0))))+SUMPRODUCT((Inputs!$E$5:$E$120=$B7)*ISNUMBER(INDEX(Inputs!$K$5:$AJ$120,0,MATCH(AE$2,Inputs!$K$4:$AJ$4,0))))=0,NA(),SUMPRODUCT((Inputs!$A$5:$A$120=$B7)*Inputs!$B$5:$B$120*(((Inputs!$G$5:$G$120="moeda")+(Inputs!$G$5:$G$120="acoes"))*Inputs!$B$1+((Inputs!$G$5:$G$120&lt;&gt;"moeda")*(Inputs!$G$5:$G$120&lt;&gt;"acoes")))*INDEX(Inputs!$K$5:$AJ$120,0,MATCH(AE$2,Inputs!$K$4:$AJ$4,0)))+SUMPRODUCT((Inputs!$C$5:$C$120=$B7)*Inputs!$D$5:$D$120*(((Inputs!$G$5:$G$120="moeda")+(Inputs!$G$5:$G$120="acoes"))*Inputs!$B$1+((Inputs!$G$5:$G$120&lt;&gt;"moeda")*(Inputs!$G$5:$G$120&lt;&gt;"acoes")))*INDEX(Inputs!$K$5:$AJ$120,0,MATCH(AE$2,Inputs!$K$4:$AJ$4,0)))+SUMPRODUCT((Inputs!$E$5:$E$120=$B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7" s="6" t="e">
        <f>IF(ISNA(MATCH(AF$2,Inputs!$K$4:$AJ$4,0)),NA(),IF(SUMPRODUCT((Inputs!$A$5:$A$120=$B7)*ISNUMBER(INDEX(Inputs!$K$5:$AJ$120,0,MATCH(AF$2,Inputs!$K$4:$AJ$4,0))))+SUMPRODUCT((Inputs!$C$5:$C$120=$B7)*ISNUMBER(INDEX(Inputs!$K$5:$AJ$120,0,MATCH(AF$2,Inputs!$K$4:$AJ$4,0))))+SUMPRODUCT((Inputs!$E$5:$E$120=$B7)*ISNUMBER(INDEX(Inputs!$K$5:$AJ$120,0,MATCH(AF$2,Inputs!$K$4:$AJ$4,0))))=0,NA(),SUMPRODUCT((Inputs!$A$5:$A$120=$B7)*Inputs!$B$5:$B$120*(((Inputs!$G$5:$G$120="moeda")+(Inputs!$G$5:$G$120="acoes"))*Inputs!$B$1+((Inputs!$G$5:$G$120&lt;&gt;"moeda")*(Inputs!$G$5:$G$120&lt;&gt;"acoes")))*INDEX(Inputs!$K$5:$AJ$120,0,MATCH(AF$2,Inputs!$K$4:$AJ$4,0)))+SUMPRODUCT((Inputs!$C$5:$C$120=$B7)*Inputs!$D$5:$D$120*(((Inputs!$G$5:$G$120="moeda")+(Inputs!$G$5:$G$120="acoes"))*Inputs!$B$1+((Inputs!$G$5:$G$120&lt;&gt;"moeda")*(Inputs!$G$5:$G$120&lt;&gt;"acoes")))*INDEX(Inputs!$K$5:$AJ$120,0,MATCH(AF$2,Inputs!$K$4:$AJ$4,0)))+SUMPRODUCT((Inputs!$E$5:$E$120=$B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7" s="3" t="e">
        <f>SUM(AC7:AF7)</f>
        <v>#N/A</v>
      </c>
      <c r="AH7" s="6">
        <f>IF(ISNA(MATCH(AH$2,Inputs!$K$4:$AJ$4,0)),NA(),IF(SUMPRODUCT((Inputs!$A$5:$A$120=$B7)*ISNUMBER(INDEX(Inputs!$K$5:$AJ$120,0,MATCH(AH$2,Inputs!$K$4:$AJ$4,0))))+SUMPRODUCT((Inputs!$C$5:$C$120=$B7)*ISNUMBER(INDEX(Inputs!$K$5:$AJ$120,0,MATCH(AH$2,Inputs!$K$4:$AJ$4,0))))+SUMPRODUCT((Inputs!$E$5:$E$120=$B7)*ISNUMBER(INDEX(Inputs!$K$5:$AJ$120,0,MATCH(AH$2,Inputs!$K$4:$AJ$4,0))))=0,NA(),SUMPRODUCT((Inputs!$A$5:$A$120=$B7)*Inputs!$B$5:$B$120*(((Inputs!$G$5:$G$120="moeda")+(Inputs!$G$5:$G$120="acoes"))*Inputs!$B$1+((Inputs!$G$5:$G$120&lt;&gt;"moeda")*(Inputs!$G$5:$G$120&lt;&gt;"acoes")))*INDEX(Inputs!$K$5:$AJ$120,0,MATCH(AH$2,Inputs!$K$4:$AJ$4,0)))+SUMPRODUCT((Inputs!$C$5:$C$120=$B7)*Inputs!$D$5:$D$120*(((Inputs!$G$5:$G$120="moeda")+(Inputs!$G$5:$G$120="acoes"))*Inputs!$B$1+((Inputs!$G$5:$G$120&lt;&gt;"moeda")*(Inputs!$G$5:$G$120&lt;&gt;"acoes")))*INDEX(Inputs!$K$5:$AJ$120,0,MATCH(AH$2,Inputs!$K$4:$AJ$4,0)))+SUMPRODUCT((Inputs!$E$5:$E$120=$B7)*Inputs!$F$5:$F$120*(((Inputs!$G$5:$G$120="moeda")+(Inputs!$G$5:$G$120="acoes"))*Inputs!$B$1+((Inputs!$G$5:$G$120&lt;&gt;"moeda")*(Inputs!$G$5:$G$120&lt;&gt;"acoes")))*INDEX(Inputs!$K$5:$AJ$120,0,MATCH(AH$2,Inputs!$K$4:$AJ$4,0)))))</f>
        <v>-273.6</v>
      </c>
      <c r="AI7" s="6">
        <f>IF(ISNA(MATCH(AI$2,Inputs!$K$4:$AJ$4,0)),NA(),IF(SUMPRODUCT((Inputs!$A$5:$A$120=$B7)*ISNUMBER(INDEX(Inputs!$K$5:$AJ$120,0,MATCH(AI$2,Inputs!$K$4:$AJ$4,0))))+SUMPRODUCT((Inputs!$C$5:$C$120=$B7)*ISNUMBER(INDEX(Inputs!$K$5:$AJ$120,0,MATCH(AI$2,Inputs!$K$4:$AJ$4,0))))+SUMPRODUCT((Inputs!$E$5:$E$120=$B7)*ISNUMBER(INDEX(Inputs!$K$5:$AJ$120,0,MATCH(AI$2,Inputs!$K$4:$AJ$4,0))))=0,NA(),SUMPRODUCT((Inputs!$A$5:$A$120=$B7)*Inputs!$B$5:$B$120*(((Inputs!$G$5:$G$120="moeda")+(Inputs!$G$5:$G$120="acoes"))*Inputs!$B$1+((Inputs!$G$5:$G$120&lt;&gt;"moeda")*(Inputs!$G$5:$G$120&lt;&gt;"acoes")))*INDEX(Inputs!$K$5:$AJ$120,0,MATCH(AI$2,Inputs!$K$4:$AJ$4,0)))+SUMPRODUCT((Inputs!$C$5:$C$120=$B7)*Inputs!$D$5:$D$120*(((Inputs!$G$5:$G$120="moeda")+(Inputs!$G$5:$G$120="acoes"))*Inputs!$B$1+((Inputs!$G$5:$G$120&lt;&gt;"moeda")*(Inputs!$G$5:$G$120&lt;&gt;"acoes")))*INDEX(Inputs!$K$5:$AJ$120,0,MATCH(AI$2,Inputs!$K$4:$AJ$4,0)))+SUMPRODUCT((Inputs!$E$5:$E$120=$B7)*Inputs!$F$5:$F$120*(((Inputs!$G$5:$G$120="moeda")+(Inputs!$G$5:$G$120="acoes"))*Inputs!$B$1+((Inputs!$G$5:$G$120&lt;&gt;"moeda")*(Inputs!$G$5:$G$120&lt;&gt;"acoes")))*INDEX(Inputs!$K$5:$AJ$120,0,MATCH(AI$2,Inputs!$K$4:$AJ$4,0)))))</f>
        <v>-324.4</v>
      </c>
      <c r="AJ7" s="6">
        <f>IF(ISNA(MATCH(AJ$2,Inputs!$K$4:$AJ$4,0)),NA(),IF(SUMPRODUCT((Inputs!$A$5:$A$120=$B7)*ISNUMBER(INDEX(Inputs!$K$5:$AJ$120,0,MATCH(AJ$2,Inputs!$K$4:$AJ$4,0))))+SUMPRODUCT((Inputs!$C$5:$C$120=$B7)*ISNUMBER(INDEX(Inputs!$K$5:$AJ$120,0,MATCH(AJ$2,Inputs!$K$4:$AJ$4,0))))+SUMPRODUCT((Inputs!$E$5:$E$120=$B7)*ISNUMBER(INDEX(Inputs!$K$5:$AJ$120,0,MATCH(AJ$2,Inputs!$K$4:$AJ$4,0))))=0,NA(),SUMPRODUCT((Inputs!$A$5:$A$120=$B7)*Inputs!$B$5:$B$120*(((Inputs!$G$5:$G$120="moeda")+(Inputs!$G$5:$G$120="acoes"))*Inputs!$B$1+((Inputs!$G$5:$G$120&lt;&gt;"moeda")*(Inputs!$G$5:$G$120&lt;&gt;"acoes")))*INDEX(Inputs!$K$5:$AJ$120,0,MATCH(AJ$2,Inputs!$K$4:$AJ$4,0)))+SUMPRODUCT((Inputs!$C$5:$C$120=$B7)*Inputs!$D$5:$D$120*(((Inputs!$G$5:$G$120="moeda")+(Inputs!$G$5:$G$120="acoes"))*Inputs!$B$1+((Inputs!$G$5:$G$120&lt;&gt;"moeda")*(Inputs!$G$5:$G$120&lt;&gt;"acoes")))*INDEX(Inputs!$K$5:$AJ$120,0,MATCH(AJ$2,Inputs!$K$4:$AJ$4,0)))+SUMPRODUCT((Inputs!$E$5:$E$120=$B7)*Inputs!$F$5:$F$120*(((Inputs!$G$5:$G$120="moeda")+(Inputs!$G$5:$G$120="acoes"))*Inputs!$B$1+((Inputs!$G$5:$G$120&lt;&gt;"moeda")*(Inputs!$G$5:$G$120&lt;&gt;"acoes")))*INDEX(Inputs!$K$5:$AJ$120,0,MATCH(AJ$2,Inputs!$K$4:$AJ$4,0)))))</f>
        <v>-358.4</v>
      </c>
      <c r="AK7" s="6">
        <f>IF(ISNA(MATCH(AK$2,Inputs!$K$4:$AJ$4,0)),NA(),IF(SUMPRODUCT((Inputs!$A$5:$A$120=$B7)*ISNUMBER(INDEX(Inputs!$K$5:$AJ$120,0,MATCH(AK$2,Inputs!$K$4:$AJ$4,0))))+SUMPRODUCT((Inputs!$C$5:$C$120=$B7)*ISNUMBER(INDEX(Inputs!$K$5:$AJ$120,0,MATCH(AK$2,Inputs!$K$4:$AJ$4,0))))+SUMPRODUCT((Inputs!$E$5:$E$120=$B7)*ISNUMBER(INDEX(Inputs!$K$5:$AJ$120,0,MATCH(AK$2,Inputs!$K$4:$AJ$4,0))))=0,NA(),SUMPRODUCT((Inputs!$A$5:$A$120=$B7)*Inputs!$B$5:$B$120*(((Inputs!$G$5:$G$120="moeda")+(Inputs!$G$5:$G$120="acoes"))*Inputs!$B$1+((Inputs!$G$5:$G$120&lt;&gt;"moeda")*(Inputs!$G$5:$G$120&lt;&gt;"acoes")))*INDEX(Inputs!$K$5:$AJ$120,0,MATCH(AK$2,Inputs!$K$4:$AJ$4,0)))+SUMPRODUCT((Inputs!$C$5:$C$120=$B7)*Inputs!$D$5:$D$120*(((Inputs!$G$5:$G$120="moeda")+(Inputs!$G$5:$G$120="acoes"))*Inputs!$B$1+((Inputs!$G$5:$G$120&lt;&gt;"moeda")*(Inputs!$G$5:$G$120&lt;&gt;"acoes")))*INDEX(Inputs!$K$5:$AJ$120,0,MATCH(AK$2,Inputs!$K$4:$AJ$4,0)))+SUMPRODUCT((Inputs!$E$5:$E$120=$B7)*Inputs!$F$5:$F$120*(((Inputs!$G$5:$G$120="moeda")+(Inputs!$G$5:$G$120="acoes"))*Inputs!$B$1+((Inputs!$G$5:$G$120&lt;&gt;"moeda")*(Inputs!$G$5:$G$120&lt;&gt;"acoes")))*INDEX(Inputs!$K$5:$AJ$120,0,MATCH(AK$2,Inputs!$K$4:$AJ$4,0)))))</f>
        <v>-367.5</v>
      </c>
      <c r="AL7" s="3">
        <f>SUM(AH7:AK7)</f>
        <v>-1323.9</v>
      </c>
    </row>
    <row r="8">
      <c r="B8" s="46" t="n">
        <v>5</v>
      </c>
      <c r="C8" s="26" t="inlineStr">
        <is>
          <t>Interest Expense</t>
        </is>
      </c>
      <c r="D8" s="6">
        <f>IF(ISNA(MATCH(D$2,Inputs!$K$4:$AJ$4,0)),NA(),IF(SUMPRODUCT((Inputs!$A$5:$A$120=$B8)*ISNUMBER(INDEX(Inputs!$K$5:$AJ$120,0,MATCH(D$2,Inputs!$K$4:$AJ$4,0))))+SUMPRODUCT((Inputs!$C$5:$C$120=$B8)*ISNUMBER(INDEX(Inputs!$K$5:$AJ$120,0,MATCH(D$2,Inputs!$K$4:$AJ$4,0))))+SUMPRODUCT((Inputs!$E$5:$E$120=$B8)*ISNUMBER(INDEX(Inputs!$K$5:$AJ$120,0,MATCH(D$2,Inputs!$K$4:$AJ$4,0))))=0,NA(),SUMPRODUCT((Inputs!$A$5:$A$120=$B8)*Inputs!$B$5:$B$120*(((Inputs!$G$5:$G$120="moeda")+(Inputs!$G$5:$G$120="acoes"))*Inputs!$B$1+((Inputs!$G$5:$G$120&lt;&gt;"moeda")*(Inputs!$G$5:$G$120&lt;&gt;"acoes")))*INDEX(Inputs!$K$5:$AJ$120,0,MATCH(D$2,Inputs!$K$4:$AJ$4,0)))+SUMPRODUCT((Inputs!$C$5:$C$120=$B8)*Inputs!$D$5:$D$120*(((Inputs!$G$5:$G$120="moeda")+(Inputs!$G$5:$G$120="acoes"))*Inputs!$B$1+((Inputs!$G$5:$G$120&lt;&gt;"moeda")*(Inputs!$G$5:$G$120&lt;&gt;"acoes")))*INDEX(Inputs!$K$5:$AJ$120,0,MATCH(D$2,Inputs!$K$4:$AJ$4,0)))+SUMPRODUCT((Inputs!$E$5:$E$120=$B8)*Inputs!$F$5:$F$120*(((Inputs!$G$5:$G$120="moeda")+(Inputs!$G$5:$G$120="acoes"))*Inputs!$B$1+((Inputs!$G$5:$G$120&lt;&gt;"moeda")*(Inputs!$G$5:$G$120&lt;&gt;"acoes")))*INDEX(Inputs!$K$5:$AJ$120,0,MATCH(D$2,Inputs!$K$4:$AJ$4,0)))))</f>
        <v>-87.8</v>
      </c>
      <c r="E8" s="6">
        <f>IF(ISNA(MATCH(E$2,Inputs!$K$4:$AJ$4,0)),NA(),IF(SUMPRODUCT((Inputs!$A$5:$A$120=$B8)*ISNUMBER(INDEX(Inputs!$K$5:$AJ$120,0,MATCH(E$2,Inputs!$K$4:$AJ$4,0))))+SUMPRODUCT((Inputs!$C$5:$C$120=$B8)*ISNUMBER(INDEX(Inputs!$K$5:$AJ$120,0,MATCH(E$2,Inputs!$K$4:$AJ$4,0))))+SUMPRODUCT((Inputs!$E$5:$E$120=$B8)*ISNUMBER(INDEX(Inputs!$K$5:$AJ$120,0,MATCH(E$2,Inputs!$K$4:$AJ$4,0))))=0,NA(),SUMPRODUCT((Inputs!$A$5:$A$120=$B8)*Inputs!$B$5:$B$120*(((Inputs!$G$5:$G$120="moeda")+(Inputs!$G$5:$G$120="acoes"))*Inputs!$B$1+((Inputs!$G$5:$G$120&lt;&gt;"moeda")*(Inputs!$G$5:$G$120&lt;&gt;"acoes")))*INDEX(Inputs!$K$5:$AJ$120,0,MATCH(E$2,Inputs!$K$4:$AJ$4,0)))+SUMPRODUCT((Inputs!$C$5:$C$120=$B8)*Inputs!$D$5:$D$120*(((Inputs!$G$5:$G$120="moeda")+(Inputs!$G$5:$G$120="acoes"))*Inputs!$B$1+((Inputs!$G$5:$G$120&lt;&gt;"moeda")*(Inputs!$G$5:$G$120&lt;&gt;"acoes")))*INDEX(Inputs!$K$5:$AJ$120,0,MATCH(E$2,Inputs!$K$4:$AJ$4,0)))+SUMPRODUCT((Inputs!$E$5:$E$120=$B8)*Inputs!$F$5:$F$120*(((Inputs!$G$5:$G$120="moeda")+(Inputs!$G$5:$G$120="acoes"))*Inputs!$B$1+((Inputs!$G$5:$G$120&lt;&gt;"moeda")*(Inputs!$G$5:$G$120&lt;&gt;"acoes")))*INDEX(Inputs!$K$5:$AJ$120,0,MATCH(E$2,Inputs!$K$4:$AJ$4,0)))))</f>
        <v>-86.9</v>
      </c>
      <c r="F8" s="6">
        <f>IF(ISNA(MATCH(F$2,Inputs!$K$4:$AJ$4,0)),NA(),IF(SUMPRODUCT((Inputs!$A$5:$A$120=$B8)*ISNUMBER(INDEX(Inputs!$K$5:$AJ$120,0,MATCH(F$2,Inputs!$K$4:$AJ$4,0))))+SUMPRODUCT((Inputs!$C$5:$C$120=$B8)*ISNUMBER(INDEX(Inputs!$K$5:$AJ$120,0,MATCH(F$2,Inputs!$K$4:$AJ$4,0))))+SUMPRODUCT((Inputs!$E$5:$E$120=$B8)*ISNUMBER(INDEX(Inputs!$K$5:$AJ$120,0,MATCH(F$2,Inputs!$K$4:$AJ$4,0))))=0,NA(),SUMPRODUCT((Inputs!$A$5:$A$120=$B8)*Inputs!$B$5:$B$120*(((Inputs!$G$5:$G$120="moeda")+(Inputs!$G$5:$G$120="acoes"))*Inputs!$B$1+((Inputs!$G$5:$G$120&lt;&gt;"moeda")*(Inputs!$G$5:$G$120&lt;&gt;"acoes")))*INDEX(Inputs!$K$5:$AJ$120,0,MATCH(F$2,Inputs!$K$4:$AJ$4,0)))+SUMPRODUCT((Inputs!$C$5:$C$120=$B8)*Inputs!$D$5:$D$120*(((Inputs!$G$5:$G$120="moeda")+(Inputs!$G$5:$G$120="acoes"))*Inputs!$B$1+((Inputs!$G$5:$G$120&lt;&gt;"moeda")*(Inputs!$G$5:$G$120&lt;&gt;"acoes")))*INDEX(Inputs!$K$5:$AJ$120,0,MATCH(F$2,Inputs!$K$4:$AJ$4,0)))+SUMPRODUCT((Inputs!$E$5:$E$120=$B8)*Inputs!$F$5:$F$120*(((Inputs!$G$5:$G$120="moeda")+(Inputs!$G$5:$G$120="acoes"))*Inputs!$B$1+((Inputs!$G$5:$G$120&lt;&gt;"moeda")*(Inputs!$G$5:$G$120&lt;&gt;"acoes")))*INDEX(Inputs!$K$5:$AJ$120,0,MATCH(F$2,Inputs!$K$4:$AJ$4,0)))))</f>
        <v>-83.6</v>
      </c>
      <c r="G8" s="6">
        <f>IF(ISNA(MATCH(G$2,Inputs!$K$4:$AJ$4,0)),NA(),IF(SUMPRODUCT((Inputs!$A$5:$A$120=$B8)*ISNUMBER(INDEX(Inputs!$K$5:$AJ$120,0,MATCH(G$2,Inputs!$K$4:$AJ$4,0))))+SUMPRODUCT((Inputs!$C$5:$C$120=$B8)*ISNUMBER(INDEX(Inputs!$K$5:$AJ$120,0,MATCH(G$2,Inputs!$K$4:$AJ$4,0))))+SUMPRODUCT((Inputs!$E$5:$E$120=$B8)*ISNUMBER(INDEX(Inputs!$K$5:$AJ$120,0,MATCH(G$2,Inputs!$K$4:$AJ$4,0))))=0,NA(),SUMPRODUCT((Inputs!$A$5:$A$120=$B8)*Inputs!$B$5:$B$120*(((Inputs!$G$5:$G$120="moeda")+(Inputs!$G$5:$G$120="acoes"))*Inputs!$B$1+((Inputs!$G$5:$G$120&lt;&gt;"moeda")*(Inputs!$G$5:$G$120&lt;&gt;"acoes")))*INDEX(Inputs!$K$5:$AJ$120,0,MATCH(G$2,Inputs!$K$4:$AJ$4,0)))+SUMPRODUCT((Inputs!$C$5:$C$120=$B8)*Inputs!$D$5:$D$120*(((Inputs!$G$5:$G$120="moeda")+(Inputs!$G$5:$G$120="acoes"))*Inputs!$B$1+((Inputs!$G$5:$G$120&lt;&gt;"moeda")*(Inputs!$G$5:$G$120&lt;&gt;"acoes")))*INDEX(Inputs!$K$5:$AJ$120,0,MATCH(G$2,Inputs!$K$4:$AJ$4,0)))+SUMPRODUCT((Inputs!$E$5:$E$120=$B8)*Inputs!$F$5:$F$120*(((Inputs!$G$5:$G$120="moeda")+(Inputs!$G$5:$G$120="acoes"))*Inputs!$B$1+((Inputs!$G$5:$G$120&lt;&gt;"moeda")*(Inputs!$G$5:$G$120&lt;&gt;"acoes")))*INDEX(Inputs!$K$5:$AJ$120,0,MATCH(G$2,Inputs!$K$4:$AJ$4,0)))))</f>
        <v>-81.4</v>
      </c>
      <c r="H8" s="3">
        <f>SUM(D8:G8)</f>
        <v>-339.7</v>
      </c>
      <c r="I8" s="6">
        <f>IF(ISNA(MATCH(I$2,Inputs!$K$4:$AJ$4,0)),NA(),IF(SUMPRODUCT((Inputs!$A$5:$A$120=$B8)*ISNUMBER(INDEX(Inputs!$K$5:$AJ$120,0,MATCH(I$2,Inputs!$K$4:$AJ$4,0))))+SUMPRODUCT((Inputs!$C$5:$C$120=$B8)*ISNUMBER(INDEX(Inputs!$K$5:$AJ$120,0,MATCH(I$2,Inputs!$K$4:$AJ$4,0))))+SUMPRODUCT((Inputs!$E$5:$E$120=$B8)*ISNUMBER(INDEX(Inputs!$K$5:$AJ$120,0,MATCH(I$2,Inputs!$K$4:$AJ$4,0))))=0,NA(),SUMPRODUCT((Inputs!$A$5:$A$120=$B8)*Inputs!$B$5:$B$120*(((Inputs!$G$5:$G$120="moeda")+(Inputs!$G$5:$G$120="acoes"))*Inputs!$B$1+((Inputs!$G$5:$G$120&lt;&gt;"moeda")*(Inputs!$G$5:$G$120&lt;&gt;"acoes")))*INDEX(Inputs!$K$5:$AJ$120,0,MATCH(I$2,Inputs!$K$4:$AJ$4,0)))+SUMPRODUCT((Inputs!$C$5:$C$120=$B8)*Inputs!$D$5:$D$120*(((Inputs!$G$5:$G$120="moeda")+(Inputs!$G$5:$G$120="acoes"))*Inputs!$B$1+((Inputs!$G$5:$G$120&lt;&gt;"moeda")*(Inputs!$G$5:$G$120&lt;&gt;"acoes")))*INDEX(Inputs!$K$5:$AJ$120,0,MATCH(I$2,Inputs!$K$4:$AJ$4,0)))+SUMPRODUCT((Inputs!$E$5:$E$120=$B8)*Inputs!$F$5:$F$120*(((Inputs!$G$5:$G$120="moeda")+(Inputs!$G$5:$G$120="acoes"))*Inputs!$B$1+((Inputs!$G$5:$G$120&lt;&gt;"moeda")*(Inputs!$G$5:$G$120&lt;&gt;"acoes")))*INDEX(Inputs!$K$5:$AJ$120,0,MATCH(I$2,Inputs!$K$4:$AJ$4,0)))))</f>
        <v>-84.9</v>
      </c>
      <c r="J8" s="6">
        <f>IF(ISNA(MATCH(J$2,Inputs!$K$4:$AJ$4,0)),NA(),IF(SUMPRODUCT((Inputs!$A$5:$A$120=$B8)*ISNUMBER(INDEX(Inputs!$K$5:$AJ$120,0,MATCH(J$2,Inputs!$K$4:$AJ$4,0))))+SUMPRODUCT((Inputs!$C$5:$C$120=$B8)*ISNUMBER(INDEX(Inputs!$K$5:$AJ$120,0,MATCH(J$2,Inputs!$K$4:$AJ$4,0))))+SUMPRODUCT((Inputs!$E$5:$E$120=$B8)*ISNUMBER(INDEX(Inputs!$K$5:$AJ$120,0,MATCH(J$2,Inputs!$K$4:$AJ$4,0))))=0,NA(),SUMPRODUCT((Inputs!$A$5:$A$120=$B8)*Inputs!$B$5:$B$120*(((Inputs!$G$5:$G$120="moeda")+(Inputs!$G$5:$G$120="acoes"))*Inputs!$B$1+((Inputs!$G$5:$G$120&lt;&gt;"moeda")*(Inputs!$G$5:$G$120&lt;&gt;"acoes")))*INDEX(Inputs!$K$5:$AJ$120,0,MATCH(J$2,Inputs!$K$4:$AJ$4,0)))+SUMPRODUCT((Inputs!$C$5:$C$120=$B8)*Inputs!$D$5:$D$120*(((Inputs!$G$5:$G$120="moeda")+(Inputs!$G$5:$G$120="acoes"))*Inputs!$B$1+((Inputs!$G$5:$G$120&lt;&gt;"moeda")*(Inputs!$G$5:$G$120&lt;&gt;"acoes")))*INDEX(Inputs!$K$5:$AJ$120,0,MATCH(J$2,Inputs!$K$4:$AJ$4,0)))+SUMPRODUCT((Inputs!$E$5:$E$120=$B8)*Inputs!$F$5:$F$120*(((Inputs!$G$5:$G$120="moeda")+(Inputs!$G$5:$G$120="acoes"))*Inputs!$B$1+((Inputs!$G$5:$G$120&lt;&gt;"moeda")*(Inputs!$G$5:$G$120&lt;&gt;"acoes")))*INDEX(Inputs!$K$5:$AJ$120,0,MATCH(J$2,Inputs!$K$4:$AJ$4,0)))))</f>
        <v>-81.2</v>
      </c>
      <c r="K8" s="6">
        <f>IF(ISNA(MATCH(K$2,Inputs!$K$4:$AJ$4,0)),NA(),IF(SUMPRODUCT((Inputs!$A$5:$A$120=$B8)*ISNUMBER(INDEX(Inputs!$K$5:$AJ$120,0,MATCH(K$2,Inputs!$K$4:$AJ$4,0))))+SUMPRODUCT((Inputs!$C$5:$C$120=$B8)*ISNUMBER(INDEX(Inputs!$K$5:$AJ$120,0,MATCH(K$2,Inputs!$K$4:$AJ$4,0))))+SUMPRODUCT((Inputs!$E$5:$E$120=$B8)*ISNUMBER(INDEX(Inputs!$K$5:$AJ$120,0,MATCH(K$2,Inputs!$K$4:$AJ$4,0))))=0,NA(),SUMPRODUCT((Inputs!$A$5:$A$120=$B8)*Inputs!$B$5:$B$120*(((Inputs!$G$5:$G$120="moeda")+(Inputs!$G$5:$G$120="acoes"))*Inputs!$B$1+((Inputs!$G$5:$G$120&lt;&gt;"moeda")*(Inputs!$G$5:$G$120&lt;&gt;"acoes")))*INDEX(Inputs!$K$5:$AJ$120,0,MATCH(K$2,Inputs!$K$4:$AJ$4,0)))+SUMPRODUCT((Inputs!$C$5:$C$120=$B8)*Inputs!$D$5:$D$120*(((Inputs!$G$5:$G$120="moeda")+(Inputs!$G$5:$G$120="acoes"))*Inputs!$B$1+((Inputs!$G$5:$G$120&lt;&gt;"moeda")*(Inputs!$G$5:$G$120&lt;&gt;"acoes")))*INDEX(Inputs!$K$5:$AJ$120,0,MATCH(K$2,Inputs!$K$4:$AJ$4,0)))+SUMPRODUCT((Inputs!$E$5:$E$120=$B8)*Inputs!$F$5:$F$120*(((Inputs!$G$5:$G$120="moeda")+(Inputs!$G$5:$G$120="acoes"))*Inputs!$B$1+((Inputs!$G$5:$G$120&lt;&gt;"moeda")*(Inputs!$G$5:$G$120&lt;&gt;"acoes")))*INDEX(Inputs!$K$5:$AJ$120,0,MATCH(K$2,Inputs!$K$4:$AJ$4,0)))))</f>
        <v>-81.5</v>
      </c>
      <c r="L8" s="6">
        <f>IF(ISNA(MATCH(L$2,Inputs!$K$4:$AJ$4,0)),NA(),IF(SUMPRODUCT((Inputs!$A$5:$A$120=$B8)*ISNUMBER(INDEX(Inputs!$K$5:$AJ$120,0,MATCH(L$2,Inputs!$K$4:$AJ$4,0))))+SUMPRODUCT((Inputs!$C$5:$C$120=$B8)*ISNUMBER(INDEX(Inputs!$K$5:$AJ$120,0,MATCH(L$2,Inputs!$K$4:$AJ$4,0))))+SUMPRODUCT((Inputs!$E$5:$E$120=$B8)*ISNUMBER(INDEX(Inputs!$K$5:$AJ$120,0,MATCH(L$2,Inputs!$K$4:$AJ$4,0))))=0,NA(),SUMPRODUCT((Inputs!$A$5:$A$120=$B8)*Inputs!$B$5:$B$120*(((Inputs!$G$5:$G$120="moeda")+(Inputs!$G$5:$G$120="acoes"))*Inputs!$B$1+((Inputs!$G$5:$G$120&lt;&gt;"moeda")*(Inputs!$G$5:$G$120&lt;&gt;"acoes")))*INDEX(Inputs!$K$5:$AJ$120,0,MATCH(L$2,Inputs!$K$4:$AJ$4,0)))+SUMPRODUCT((Inputs!$C$5:$C$120=$B8)*Inputs!$D$5:$D$120*(((Inputs!$G$5:$G$120="moeda")+(Inputs!$G$5:$G$120="acoes"))*Inputs!$B$1+((Inputs!$G$5:$G$120&lt;&gt;"moeda")*(Inputs!$G$5:$G$120&lt;&gt;"acoes")))*INDEX(Inputs!$K$5:$AJ$120,0,MATCH(L$2,Inputs!$K$4:$AJ$4,0)))+SUMPRODUCT((Inputs!$E$5:$E$120=$B8)*Inputs!$F$5:$F$120*(((Inputs!$G$5:$G$120="moeda")+(Inputs!$G$5:$G$120="acoes"))*Inputs!$B$1+((Inputs!$G$5:$G$120&lt;&gt;"moeda")*(Inputs!$G$5:$G$120&lt;&gt;"acoes")))*INDEX(Inputs!$K$5:$AJ$120,0,MATCH(L$2,Inputs!$K$4:$AJ$4,0)))))</f>
        <v>-84</v>
      </c>
      <c r="M8" s="3">
        <f>SUM(I8:L8)</f>
        <v>-331.6</v>
      </c>
      <c r="N8" s="6">
        <f>IF(ISNA(MATCH(N$2,Inputs!$K$4:$AJ$4,0)),NA(),IF(SUMPRODUCT((Inputs!$A$5:$A$120=$B8)*ISNUMBER(INDEX(Inputs!$K$5:$AJ$120,0,MATCH(N$2,Inputs!$K$4:$AJ$4,0))))+SUMPRODUCT((Inputs!$C$5:$C$120=$B8)*ISNUMBER(INDEX(Inputs!$K$5:$AJ$120,0,MATCH(N$2,Inputs!$K$4:$AJ$4,0))))+SUMPRODUCT((Inputs!$E$5:$E$120=$B8)*ISNUMBER(INDEX(Inputs!$K$5:$AJ$120,0,MATCH(N$2,Inputs!$K$4:$AJ$4,0))))=0,NA(),SUMPRODUCT((Inputs!$A$5:$A$120=$B8)*Inputs!$B$5:$B$120*(((Inputs!$G$5:$G$120="moeda")+(Inputs!$G$5:$G$120="acoes"))*Inputs!$B$1+((Inputs!$G$5:$G$120&lt;&gt;"moeda")*(Inputs!$G$5:$G$120&lt;&gt;"acoes")))*INDEX(Inputs!$K$5:$AJ$120,0,MATCH(N$2,Inputs!$K$4:$AJ$4,0)))+SUMPRODUCT((Inputs!$C$5:$C$120=$B8)*Inputs!$D$5:$D$120*(((Inputs!$G$5:$G$120="moeda")+(Inputs!$G$5:$G$120="acoes"))*Inputs!$B$1+((Inputs!$G$5:$G$120&lt;&gt;"moeda")*(Inputs!$G$5:$G$120&lt;&gt;"acoes")))*INDEX(Inputs!$K$5:$AJ$120,0,MATCH(N$2,Inputs!$K$4:$AJ$4,0)))+SUMPRODUCT((Inputs!$E$5:$E$120=$B8)*Inputs!$F$5:$F$120*(((Inputs!$G$5:$G$120="moeda")+(Inputs!$G$5:$G$120="acoes"))*Inputs!$B$1+((Inputs!$G$5:$G$120&lt;&gt;"moeda")*(Inputs!$G$5:$G$120&lt;&gt;"acoes")))*INDEX(Inputs!$K$5:$AJ$120,0,MATCH(N$2,Inputs!$K$4:$AJ$4,0)))))</f>
        <v>-102.8</v>
      </c>
      <c r="O8" s="6">
        <f>IF(ISNA(MATCH(O$2,Inputs!$K$4:$AJ$4,0)),NA(),IF(SUMPRODUCT((Inputs!$A$5:$A$120=$B8)*ISNUMBER(INDEX(Inputs!$K$5:$AJ$120,0,MATCH(O$2,Inputs!$K$4:$AJ$4,0))))+SUMPRODUCT((Inputs!$C$5:$C$120=$B8)*ISNUMBER(INDEX(Inputs!$K$5:$AJ$120,0,MATCH(O$2,Inputs!$K$4:$AJ$4,0))))+SUMPRODUCT((Inputs!$E$5:$E$120=$B8)*ISNUMBER(INDEX(Inputs!$K$5:$AJ$120,0,MATCH(O$2,Inputs!$K$4:$AJ$4,0))))=0,NA(),SUMPRODUCT((Inputs!$A$5:$A$120=$B8)*Inputs!$B$5:$B$120*(((Inputs!$G$5:$G$120="moeda")+(Inputs!$G$5:$G$120="acoes"))*Inputs!$B$1+((Inputs!$G$5:$G$120&lt;&gt;"moeda")*(Inputs!$G$5:$G$120&lt;&gt;"acoes")))*INDEX(Inputs!$K$5:$AJ$120,0,MATCH(O$2,Inputs!$K$4:$AJ$4,0)))+SUMPRODUCT((Inputs!$C$5:$C$120=$B8)*Inputs!$D$5:$D$120*(((Inputs!$G$5:$G$120="moeda")+(Inputs!$G$5:$G$120="acoes"))*Inputs!$B$1+((Inputs!$G$5:$G$120&lt;&gt;"moeda")*(Inputs!$G$5:$G$120&lt;&gt;"acoes")))*INDEX(Inputs!$K$5:$AJ$120,0,MATCH(O$2,Inputs!$K$4:$AJ$4,0)))+SUMPRODUCT((Inputs!$E$5:$E$120=$B8)*Inputs!$F$5:$F$120*(((Inputs!$G$5:$G$120="moeda")+(Inputs!$G$5:$G$120="acoes"))*Inputs!$B$1+((Inputs!$G$5:$G$120&lt;&gt;"moeda")*(Inputs!$G$5:$G$120&lt;&gt;"acoes")))*INDEX(Inputs!$K$5:$AJ$120,0,MATCH(O$2,Inputs!$K$4:$AJ$4,0)))))</f>
        <v>-120.3</v>
      </c>
      <c r="P8" s="6">
        <f>IF(ISNA(MATCH(P$2,Inputs!$K$4:$AJ$4,0)),NA(),IF(SUMPRODUCT((Inputs!$A$5:$A$120=$B8)*ISNUMBER(INDEX(Inputs!$K$5:$AJ$120,0,MATCH(P$2,Inputs!$K$4:$AJ$4,0))))+SUMPRODUCT((Inputs!$C$5:$C$120=$B8)*ISNUMBER(INDEX(Inputs!$K$5:$AJ$120,0,MATCH(P$2,Inputs!$K$4:$AJ$4,0))))+SUMPRODUCT((Inputs!$E$5:$E$120=$B8)*ISNUMBER(INDEX(Inputs!$K$5:$AJ$120,0,MATCH(P$2,Inputs!$K$4:$AJ$4,0))))=0,NA(),SUMPRODUCT((Inputs!$A$5:$A$120=$B8)*Inputs!$B$5:$B$120*(((Inputs!$G$5:$G$120="moeda")+(Inputs!$G$5:$G$120="acoes"))*Inputs!$B$1+((Inputs!$G$5:$G$120&lt;&gt;"moeda")*(Inputs!$G$5:$G$120&lt;&gt;"acoes")))*INDEX(Inputs!$K$5:$AJ$120,0,MATCH(P$2,Inputs!$K$4:$AJ$4,0)))+SUMPRODUCT((Inputs!$C$5:$C$120=$B8)*Inputs!$D$5:$D$120*(((Inputs!$G$5:$G$120="moeda")+(Inputs!$G$5:$G$120="acoes"))*Inputs!$B$1+((Inputs!$G$5:$G$120&lt;&gt;"moeda")*(Inputs!$G$5:$G$120&lt;&gt;"acoes")))*INDEX(Inputs!$K$5:$AJ$120,0,MATCH(P$2,Inputs!$K$4:$AJ$4,0)))+SUMPRODUCT((Inputs!$E$5:$E$120=$B8)*Inputs!$F$5:$F$120*(((Inputs!$G$5:$G$120="moeda")+(Inputs!$G$5:$G$120="acoes"))*Inputs!$B$1+((Inputs!$G$5:$G$120&lt;&gt;"moeda")*(Inputs!$G$5:$G$120&lt;&gt;"acoes")))*INDEX(Inputs!$K$5:$AJ$120,0,MATCH(P$2,Inputs!$K$4:$AJ$4,0)))))</f>
        <v>-124.6</v>
      </c>
      <c r="Q8" s="6">
        <f>IF(ISNA(MATCH(Q$2,Inputs!$K$4:$AJ$4,0)),NA(),IF(SUMPRODUCT((Inputs!$A$5:$A$120=$B8)*ISNUMBER(INDEX(Inputs!$K$5:$AJ$120,0,MATCH(Q$2,Inputs!$K$4:$AJ$4,0))))+SUMPRODUCT((Inputs!$C$5:$C$120=$B8)*ISNUMBER(INDEX(Inputs!$K$5:$AJ$120,0,MATCH(Q$2,Inputs!$K$4:$AJ$4,0))))+SUMPRODUCT((Inputs!$E$5:$E$120=$B8)*ISNUMBER(INDEX(Inputs!$K$5:$AJ$120,0,MATCH(Q$2,Inputs!$K$4:$AJ$4,0))))=0,NA(),SUMPRODUCT((Inputs!$A$5:$A$120=$B8)*Inputs!$B$5:$B$120*(((Inputs!$G$5:$G$120="moeda")+(Inputs!$G$5:$G$120="acoes"))*Inputs!$B$1+((Inputs!$G$5:$G$120&lt;&gt;"moeda")*(Inputs!$G$5:$G$120&lt;&gt;"acoes")))*INDEX(Inputs!$K$5:$AJ$120,0,MATCH(Q$2,Inputs!$K$4:$AJ$4,0)))+SUMPRODUCT((Inputs!$C$5:$C$120=$B8)*Inputs!$D$5:$D$120*(((Inputs!$G$5:$G$120="moeda")+(Inputs!$G$5:$G$120="acoes"))*Inputs!$B$1+((Inputs!$G$5:$G$120&lt;&gt;"moeda")*(Inputs!$G$5:$G$120&lt;&gt;"acoes")))*INDEX(Inputs!$K$5:$AJ$120,0,MATCH(Q$2,Inputs!$K$4:$AJ$4,0)))+SUMPRODUCT((Inputs!$E$5:$E$120=$B8)*Inputs!$F$5:$F$120*(((Inputs!$G$5:$G$120="moeda")+(Inputs!$G$5:$G$120="acoes"))*Inputs!$B$1+((Inputs!$G$5:$G$120&lt;&gt;"moeda")*(Inputs!$G$5:$G$120&lt;&gt;"acoes")))*INDEX(Inputs!$K$5:$AJ$120,0,MATCH(Q$2,Inputs!$K$4:$AJ$4,0)))))</f>
        <v>-138.2</v>
      </c>
      <c r="R8" s="3">
        <f>SUM(N8:Q8)</f>
        <v>-485.9</v>
      </c>
      <c r="S8" s="6">
        <f>IF(ISNA(MATCH(S$2,Inputs!$K$4:$AJ$4,0)),NA(),IF(SUMPRODUCT((Inputs!$A$5:$A$120=$B8)*ISNUMBER(INDEX(Inputs!$K$5:$AJ$120,0,MATCH(S$2,Inputs!$K$4:$AJ$4,0))))+SUMPRODUCT((Inputs!$C$5:$C$120=$B8)*ISNUMBER(INDEX(Inputs!$K$5:$AJ$120,0,MATCH(S$2,Inputs!$K$4:$AJ$4,0))))+SUMPRODUCT((Inputs!$E$5:$E$120=$B8)*ISNUMBER(INDEX(Inputs!$K$5:$AJ$120,0,MATCH(S$2,Inputs!$K$4:$AJ$4,0))))=0,NA(),SUMPRODUCT((Inputs!$A$5:$A$120=$B8)*Inputs!$B$5:$B$120*(((Inputs!$G$5:$G$120="moeda")+(Inputs!$G$5:$G$120="acoes"))*Inputs!$B$1+((Inputs!$G$5:$G$120&lt;&gt;"moeda")*(Inputs!$G$5:$G$120&lt;&gt;"acoes")))*INDEX(Inputs!$K$5:$AJ$120,0,MATCH(S$2,Inputs!$K$4:$AJ$4,0)))+SUMPRODUCT((Inputs!$C$5:$C$120=$B8)*Inputs!$D$5:$D$120*(((Inputs!$G$5:$G$120="moeda")+(Inputs!$G$5:$G$120="acoes"))*Inputs!$B$1+((Inputs!$G$5:$G$120&lt;&gt;"moeda")*(Inputs!$G$5:$G$120&lt;&gt;"acoes")))*INDEX(Inputs!$K$5:$AJ$120,0,MATCH(S$2,Inputs!$K$4:$AJ$4,0)))+SUMPRODUCT((Inputs!$E$5:$E$120=$B8)*Inputs!$F$5:$F$120*(((Inputs!$G$5:$G$120="moeda")+(Inputs!$G$5:$G$120="acoes"))*Inputs!$B$1+((Inputs!$G$5:$G$120&lt;&gt;"moeda")*(Inputs!$G$5:$G$120&lt;&gt;"acoes")))*INDEX(Inputs!$K$5:$AJ$120,0,MATCH(S$2,Inputs!$K$4:$AJ$4,0)))))</f>
        <v>-179.6</v>
      </c>
      <c r="T8" s="6">
        <f>IF(ISNA(MATCH(T$2,Inputs!$K$4:$AJ$4,0)),NA(),IF(SUMPRODUCT((Inputs!$A$5:$A$120=$B8)*ISNUMBER(INDEX(Inputs!$K$5:$AJ$120,0,MATCH(T$2,Inputs!$K$4:$AJ$4,0))))+SUMPRODUCT((Inputs!$C$5:$C$120=$B8)*ISNUMBER(INDEX(Inputs!$K$5:$AJ$120,0,MATCH(T$2,Inputs!$K$4:$AJ$4,0))))+SUMPRODUCT((Inputs!$E$5:$E$120=$B8)*ISNUMBER(INDEX(Inputs!$K$5:$AJ$120,0,MATCH(T$2,Inputs!$K$4:$AJ$4,0))))=0,NA(),SUMPRODUCT((Inputs!$A$5:$A$120=$B8)*Inputs!$B$5:$B$120*(((Inputs!$G$5:$G$120="moeda")+(Inputs!$G$5:$G$120="acoes"))*Inputs!$B$1+((Inputs!$G$5:$G$120&lt;&gt;"moeda")*(Inputs!$G$5:$G$120&lt;&gt;"acoes")))*INDEX(Inputs!$K$5:$AJ$120,0,MATCH(T$2,Inputs!$K$4:$AJ$4,0)))+SUMPRODUCT((Inputs!$C$5:$C$120=$B8)*Inputs!$D$5:$D$120*(((Inputs!$G$5:$G$120="moeda")+(Inputs!$G$5:$G$120="acoes"))*Inputs!$B$1+((Inputs!$G$5:$G$120&lt;&gt;"moeda")*(Inputs!$G$5:$G$120&lt;&gt;"acoes")))*INDEX(Inputs!$K$5:$AJ$120,0,MATCH(T$2,Inputs!$K$4:$AJ$4,0)))+SUMPRODUCT((Inputs!$E$5:$E$120=$B8)*Inputs!$F$5:$F$120*(((Inputs!$G$5:$G$120="moeda")+(Inputs!$G$5:$G$120="acoes"))*Inputs!$B$1+((Inputs!$G$5:$G$120&lt;&gt;"moeda")*(Inputs!$G$5:$G$120&lt;&gt;"acoes")))*INDEX(Inputs!$K$5:$AJ$120,0,MATCH(T$2,Inputs!$K$4:$AJ$4,0)))))</f>
        <v>-183.6</v>
      </c>
      <c r="U8" s="6">
        <f>IF(ISNA(MATCH(U$2,Inputs!$K$4:$AJ$4,0)),NA(),IF(SUMPRODUCT((Inputs!$A$5:$A$120=$B8)*ISNUMBER(INDEX(Inputs!$K$5:$AJ$120,0,MATCH(U$2,Inputs!$K$4:$AJ$4,0))))+SUMPRODUCT((Inputs!$C$5:$C$120=$B8)*ISNUMBER(INDEX(Inputs!$K$5:$AJ$120,0,MATCH(U$2,Inputs!$K$4:$AJ$4,0))))+SUMPRODUCT((Inputs!$E$5:$E$120=$B8)*ISNUMBER(INDEX(Inputs!$K$5:$AJ$120,0,MATCH(U$2,Inputs!$K$4:$AJ$4,0))))=0,NA(),SUMPRODUCT((Inputs!$A$5:$A$120=$B8)*Inputs!$B$5:$B$120*(((Inputs!$G$5:$G$120="moeda")+(Inputs!$G$5:$G$120="acoes"))*Inputs!$B$1+((Inputs!$G$5:$G$120&lt;&gt;"moeda")*(Inputs!$G$5:$G$120&lt;&gt;"acoes")))*INDEX(Inputs!$K$5:$AJ$120,0,MATCH(U$2,Inputs!$K$4:$AJ$4,0)))+SUMPRODUCT((Inputs!$C$5:$C$120=$B8)*Inputs!$D$5:$D$120*(((Inputs!$G$5:$G$120="moeda")+(Inputs!$G$5:$G$120="acoes"))*Inputs!$B$1+((Inputs!$G$5:$G$120&lt;&gt;"moeda")*(Inputs!$G$5:$G$120&lt;&gt;"acoes")))*INDEX(Inputs!$K$5:$AJ$120,0,MATCH(U$2,Inputs!$K$4:$AJ$4,0)))+SUMPRODUCT((Inputs!$E$5:$E$120=$B8)*Inputs!$F$5:$F$120*(((Inputs!$G$5:$G$120="moeda")+(Inputs!$G$5:$G$120="acoes"))*Inputs!$B$1+((Inputs!$G$5:$G$120&lt;&gt;"moeda")*(Inputs!$G$5:$G$120&lt;&gt;"acoes")))*INDEX(Inputs!$K$5:$AJ$120,0,MATCH(U$2,Inputs!$K$4:$AJ$4,0)))))</f>
        <v>-192.7</v>
      </c>
      <c r="V8" s="6">
        <f>IF(ISNA(MATCH(V$2,Inputs!$K$4:$AJ$4,0)),NA(),IF(SUMPRODUCT((Inputs!$A$5:$A$120=$B8)*ISNUMBER(INDEX(Inputs!$K$5:$AJ$120,0,MATCH(V$2,Inputs!$K$4:$AJ$4,0))))+SUMPRODUCT((Inputs!$C$5:$C$120=$B8)*ISNUMBER(INDEX(Inputs!$K$5:$AJ$120,0,MATCH(V$2,Inputs!$K$4:$AJ$4,0))))+SUMPRODUCT((Inputs!$E$5:$E$120=$B8)*ISNUMBER(INDEX(Inputs!$K$5:$AJ$120,0,MATCH(V$2,Inputs!$K$4:$AJ$4,0))))=0,NA(),SUMPRODUCT((Inputs!$A$5:$A$120=$B8)*Inputs!$B$5:$B$120*(((Inputs!$G$5:$G$120="moeda")+(Inputs!$G$5:$G$120="acoes"))*Inputs!$B$1+((Inputs!$G$5:$G$120&lt;&gt;"moeda")*(Inputs!$G$5:$G$120&lt;&gt;"acoes")))*INDEX(Inputs!$K$5:$AJ$120,0,MATCH(V$2,Inputs!$K$4:$AJ$4,0)))+SUMPRODUCT((Inputs!$C$5:$C$120=$B8)*Inputs!$D$5:$D$120*(((Inputs!$G$5:$G$120="moeda")+(Inputs!$G$5:$G$120="acoes"))*Inputs!$B$1+((Inputs!$G$5:$G$120&lt;&gt;"moeda")*(Inputs!$G$5:$G$120&lt;&gt;"acoes")))*INDEX(Inputs!$K$5:$AJ$120,0,MATCH(V$2,Inputs!$K$4:$AJ$4,0)))+SUMPRODUCT((Inputs!$E$5:$E$120=$B8)*Inputs!$F$5:$F$120*(((Inputs!$G$5:$G$120="moeda")+(Inputs!$G$5:$G$120="acoes"))*Inputs!$B$1+((Inputs!$G$5:$G$120&lt;&gt;"moeda")*(Inputs!$G$5:$G$120&lt;&gt;"acoes")))*INDEX(Inputs!$K$5:$AJ$120,0,MATCH(V$2,Inputs!$K$4:$AJ$4,0)))))</f>
        <v>-224.7</v>
      </c>
      <c r="W8" s="3">
        <f>SUM(S8:V8)</f>
        <v>-780.6</v>
      </c>
      <c r="X8" s="6">
        <f>IF(ISNA(MATCH(X$2,Inputs!$K$4:$AJ$4,0)),NA(),IF(SUMPRODUCT((Inputs!$A$5:$A$120=$B8)*ISNUMBER(INDEX(Inputs!$K$5:$AJ$120,0,MATCH(X$2,Inputs!$K$4:$AJ$4,0))))+SUMPRODUCT((Inputs!$C$5:$C$120=$B8)*ISNUMBER(INDEX(Inputs!$K$5:$AJ$120,0,MATCH(X$2,Inputs!$K$4:$AJ$4,0))))+SUMPRODUCT((Inputs!$E$5:$E$120=$B8)*ISNUMBER(INDEX(Inputs!$K$5:$AJ$120,0,MATCH(X$2,Inputs!$K$4:$AJ$4,0))))=0,NA(),SUMPRODUCT((Inputs!$A$5:$A$120=$B8)*Inputs!$B$5:$B$120*(((Inputs!$G$5:$G$120="moeda")+(Inputs!$G$5:$G$120="acoes"))*Inputs!$B$1+((Inputs!$G$5:$G$120&lt;&gt;"moeda")*(Inputs!$G$5:$G$120&lt;&gt;"acoes")))*INDEX(Inputs!$K$5:$AJ$120,0,MATCH(X$2,Inputs!$K$4:$AJ$4,0)))+SUMPRODUCT((Inputs!$C$5:$C$120=$B8)*Inputs!$D$5:$D$120*(((Inputs!$G$5:$G$120="moeda")+(Inputs!$G$5:$G$120="acoes"))*Inputs!$B$1+((Inputs!$G$5:$G$120&lt;&gt;"moeda")*(Inputs!$G$5:$G$120&lt;&gt;"acoes")))*INDEX(Inputs!$K$5:$AJ$120,0,MATCH(X$2,Inputs!$K$4:$AJ$4,0)))+SUMPRODUCT((Inputs!$E$5:$E$120=$B8)*Inputs!$F$5:$F$120*(((Inputs!$G$5:$G$120="moeda")+(Inputs!$G$5:$G$120="acoes"))*Inputs!$B$1+((Inputs!$G$5:$G$120&lt;&gt;"moeda")*(Inputs!$G$5:$G$120&lt;&gt;"acoes")))*INDEX(Inputs!$K$5:$AJ$120,0,MATCH(X$2,Inputs!$K$4:$AJ$4,0)))))</f>
        <v>-243.7</v>
      </c>
      <c r="Y8" s="6">
        <f>IF(ISNA(MATCH(Y$2,Inputs!$K$4:$AJ$4,0)),NA(),IF(SUMPRODUCT((Inputs!$A$5:$A$120=$B8)*ISNUMBER(INDEX(Inputs!$K$5:$AJ$120,0,MATCH(Y$2,Inputs!$K$4:$AJ$4,0))))+SUMPRODUCT((Inputs!$C$5:$C$120=$B8)*ISNUMBER(INDEX(Inputs!$K$5:$AJ$120,0,MATCH(Y$2,Inputs!$K$4:$AJ$4,0))))+SUMPRODUCT((Inputs!$E$5:$E$120=$B8)*ISNUMBER(INDEX(Inputs!$K$5:$AJ$120,0,MATCH(Y$2,Inputs!$K$4:$AJ$4,0))))=0,NA(),SUMPRODUCT((Inputs!$A$5:$A$120=$B8)*Inputs!$B$5:$B$120*(((Inputs!$G$5:$G$120="moeda")+(Inputs!$G$5:$G$120="acoes"))*Inputs!$B$1+((Inputs!$G$5:$G$120&lt;&gt;"moeda")*(Inputs!$G$5:$G$120&lt;&gt;"acoes")))*INDEX(Inputs!$K$5:$AJ$120,0,MATCH(Y$2,Inputs!$K$4:$AJ$4,0)))+SUMPRODUCT((Inputs!$C$5:$C$120=$B8)*Inputs!$D$5:$D$120*(((Inputs!$G$5:$G$120="moeda")+(Inputs!$G$5:$G$120="acoes"))*Inputs!$B$1+((Inputs!$G$5:$G$120&lt;&gt;"moeda")*(Inputs!$G$5:$G$120&lt;&gt;"acoes")))*INDEX(Inputs!$K$5:$AJ$120,0,MATCH(Y$2,Inputs!$K$4:$AJ$4,0)))+SUMPRODUCT((Inputs!$E$5:$E$120=$B8)*Inputs!$F$5:$F$120*(((Inputs!$G$5:$G$120="moeda")+(Inputs!$G$5:$G$120="acoes"))*Inputs!$B$1+((Inputs!$G$5:$G$120&lt;&gt;"moeda")*(Inputs!$G$5:$G$120&lt;&gt;"acoes")))*INDEX(Inputs!$K$5:$AJ$120,0,MATCH(Y$2,Inputs!$K$4:$AJ$4,0)))))</f>
        <v>-249</v>
      </c>
      <c r="Z8" s="6">
        <f>IF(ISNA(MATCH(Z$2,Inputs!$K$4:$AJ$4,0)),NA(),IF(SUMPRODUCT((Inputs!$A$5:$A$120=$B8)*ISNUMBER(INDEX(Inputs!$K$5:$AJ$120,0,MATCH(Z$2,Inputs!$K$4:$AJ$4,0))))+SUMPRODUCT((Inputs!$C$5:$C$120=$B8)*ISNUMBER(INDEX(Inputs!$K$5:$AJ$120,0,MATCH(Z$2,Inputs!$K$4:$AJ$4,0))))+SUMPRODUCT((Inputs!$E$5:$E$120=$B8)*ISNUMBER(INDEX(Inputs!$K$5:$AJ$120,0,MATCH(Z$2,Inputs!$K$4:$AJ$4,0))))=0,NA(),SUMPRODUCT((Inputs!$A$5:$A$120=$B8)*Inputs!$B$5:$B$120*(((Inputs!$G$5:$G$120="moeda")+(Inputs!$G$5:$G$120="acoes"))*Inputs!$B$1+((Inputs!$G$5:$G$120&lt;&gt;"moeda")*(Inputs!$G$5:$G$120&lt;&gt;"acoes")))*INDEX(Inputs!$K$5:$AJ$120,0,MATCH(Z$2,Inputs!$K$4:$AJ$4,0)))+SUMPRODUCT((Inputs!$C$5:$C$120=$B8)*Inputs!$D$5:$D$120*(((Inputs!$G$5:$G$120="moeda")+(Inputs!$G$5:$G$120="acoes"))*Inputs!$B$1+((Inputs!$G$5:$G$120&lt;&gt;"moeda")*(Inputs!$G$5:$G$120&lt;&gt;"acoes")))*INDEX(Inputs!$K$5:$AJ$120,0,MATCH(Z$2,Inputs!$K$4:$AJ$4,0)))+SUMPRODUCT((Inputs!$E$5:$E$120=$B8)*Inputs!$F$5:$F$120*(((Inputs!$G$5:$G$120="moeda")+(Inputs!$G$5:$G$120="acoes"))*Inputs!$B$1+((Inputs!$G$5:$G$120&lt;&gt;"moeda")*(Inputs!$G$5:$G$120&lt;&gt;"acoes")))*INDEX(Inputs!$K$5:$AJ$120,0,MATCH(Z$2,Inputs!$K$4:$AJ$4,0)))))</f>
        <v>-179.6</v>
      </c>
      <c r="AA8" s="6">
        <f>IF(ISNA(MATCH(AA$2,Inputs!$K$4:$AJ$4,0)),NA(),IF(SUMPRODUCT((Inputs!$A$5:$A$120=$B8)*ISNUMBER(INDEX(Inputs!$K$5:$AJ$120,0,MATCH(AA$2,Inputs!$K$4:$AJ$4,0))))+SUMPRODUCT((Inputs!$C$5:$C$120=$B8)*ISNUMBER(INDEX(Inputs!$K$5:$AJ$120,0,MATCH(AA$2,Inputs!$K$4:$AJ$4,0))))+SUMPRODUCT((Inputs!$E$5:$E$120=$B8)*ISNUMBER(INDEX(Inputs!$K$5:$AJ$120,0,MATCH(AA$2,Inputs!$K$4:$AJ$4,0))))=0,NA(),SUMPRODUCT((Inputs!$A$5:$A$120=$B8)*Inputs!$B$5:$B$120*(((Inputs!$G$5:$G$120="moeda")+(Inputs!$G$5:$G$120="acoes"))*Inputs!$B$1+((Inputs!$G$5:$G$120&lt;&gt;"moeda")*(Inputs!$G$5:$G$120&lt;&gt;"acoes")))*INDEX(Inputs!$K$5:$AJ$120,0,MATCH(AA$2,Inputs!$K$4:$AJ$4,0)))+SUMPRODUCT((Inputs!$C$5:$C$120=$B8)*Inputs!$D$5:$D$120*(((Inputs!$G$5:$G$120="moeda")+(Inputs!$G$5:$G$120="acoes"))*Inputs!$B$1+((Inputs!$G$5:$G$120&lt;&gt;"moeda")*(Inputs!$G$5:$G$120&lt;&gt;"acoes")))*INDEX(Inputs!$K$5:$AJ$120,0,MATCH(AA$2,Inputs!$K$4:$AJ$4,0)))+SUMPRODUCT((Inputs!$E$5:$E$120=$B8)*Inputs!$F$5:$F$120*(((Inputs!$G$5:$G$120="moeda")+(Inputs!$G$5:$G$120="acoes"))*Inputs!$B$1+((Inputs!$G$5:$G$120&lt;&gt;"moeda")*(Inputs!$G$5:$G$120&lt;&gt;"acoes")))*INDEX(Inputs!$K$5:$AJ$120,0,MATCH(AA$2,Inputs!$K$4:$AJ$4,0)))))</f>
        <v>-222.6</v>
      </c>
      <c r="AB8" s="3">
        <f>SUM(X8:AA8)</f>
        <v>-894.9</v>
      </c>
      <c r="AC8" s="6">
        <f>IF(ISNA(MATCH(AC$2,Inputs!$K$4:$AJ$4,0)),NA(),IF(SUMPRODUCT((Inputs!$A$5:$A$120=$B8)*ISNUMBER(INDEX(Inputs!$K$5:$AJ$120,0,MATCH(AC$2,Inputs!$K$4:$AJ$4,0))))+SUMPRODUCT((Inputs!$C$5:$C$120=$B8)*ISNUMBER(INDEX(Inputs!$K$5:$AJ$120,0,MATCH(AC$2,Inputs!$K$4:$AJ$4,0))))+SUMPRODUCT((Inputs!$E$5:$E$120=$B8)*ISNUMBER(INDEX(Inputs!$K$5:$AJ$120,0,MATCH(AC$2,Inputs!$K$4:$AJ$4,0))))=0,NA(),SUMPRODUCT((Inputs!$A$5:$A$120=$B8)*Inputs!$B$5:$B$120*(((Inputs!$G$5:$G$120="moeda")+(Inputs!$G$5:$G$120="acoes"))*Inputs!$B$1+((Inputs!$G$5:$G$120&lt;&gt;"moeda")*(Inputs!$G$5:$G$120&lt;&gt;"acoes")))*INDEX(Inputs!$K$5:$AJ$120,0,MATCH(AC$2,Inputs!$K$4:$AJ$4,0)))+SUMPRODUCT((Inputs!$C$5:$C$120=$B8)*Inputs!$D$5:$D$120*(((Inputs!$G$5:$G$120="moeda")+(Inputs!$G$5:$G$120="acoes"))*Inputs!$B$1+((Inputs!$G$5:$G$120&lt;&gt;"moeda")*(Inputs!$G$5:$G$120&lt;&gt;"acoes")))*INDEX(Inputs!$K$5:$AJ$120,0,MATCH(AC$2,Inputs!$K$4:$AJ$4,0)))+SUMPRODUCT((Inputs!$E$5:$E$120=$B8)*Inputs!$F$5:$F$120*(((Inputs!$G$5:$G$120="moeda")+(Inputs!$G$5:$G$120="acoes"))*Inputs!$B$1+((Inputs!$G$5:$G$120&lt;&gt;"moeda")*(Inputs!$G$5:$G$120&lt;&gt;"acoes")))*INDEX(Inputs!$K$5:$AJ$120,0,MATCH(AC$2,Inputs!$K$4:$AJ$4,0)))))</f>
        <v>0</v>
      </c>
      <c r="AD8" s="6">
        <f>IF(ISNA(MATCH(AD$2,Inputs!$K$4:$AJ$4,0)),NA(),IF(SUMPRODUCT((Inputs!$A$5:$A$120=$B8)*ISNUMBER(INDEX(Inputs!$K$5:$AJ$120,0,MATCH(AD$2,Inputs!$K$4:$AJ$4,0))))+SUMPRODUCT((Inputs!$C$5:$C$120=$B8)*ISNUMBER(INDEX(Inputs!$K$5:$AJ$120,0,MATCH(AD$2,Inputs!$K$4:$AJ$4,0))))+SUMPRODUCT((Inputs!$E$5:$E$120=$B8)*ISNUMBER(INDEX(Inputs!$K$5:$AJ$120,0,MATCH(AD$2,Inputs!$K$4:$AJ$4,0))))=0,NA(),SUMPRODUCT((Inputs!$A$5:$A$120=$B8)*Inputs!$B$5:$B$120*(((Inputs!$G$5:$G$120="moeda")+(Inputs!$G$5:$G$120="acoes"))*Inputs!$B$1+((Inputs!$G$5:$G$120&lt;&gt;"moeda")*(Inputs!$G$5:$G$120&lt;&gt;"acoes")))*INDEX(Inputs!$K$5:$AJ$120,0,MATCH(AD$2,Inputs!$K$4:$AJ$4,0)))+SUMPRODUCT((Inputs!$C$5:$C$120=$B8)*Inputs!$D$5:$D$120*(((Inputs!$G$5:$G$120="moeda")+(Inputs!$G$5:$G$120="acoes"))*Inputs!$B$1+((Inputs!$G$5:$G$120&lt;&gt;"moeda")*(Inputs!$G$5:$G$120&lt;&gt;"acoes")))*INDEX(Inputs!$K$5:$AJ$120,0,MATCH(AD$2,Inputs!$K$4:$AJ$4,0)))+SUMPRODUCT((Inputs!$E$5:$E$120=$B8)*Inputs!$F$5:$F$120*(((Inputs!$G$5:$G$120="moeda")+(Inputs!$G$5:$G$120="acoes"))*Inputs!$B$1+((Inputs!$G$5:$G$120&lt;&gt;"moeda")*(Inputs!$G$5:$G$120&lt;&gt;"acoes")))*INDEX(Inputs!$K$5:$AJ$120,0,MATCH(AD$2,Inputs!$K$4:$AJ$4,0)))))</f>
        <v>0</v>
      </c>
      <c r="AE8" s="6" t="e">
        <f>IF(ISNA(MATCH(AE$2,Inputs!$K$4:$AJ$4,0)),NA(),IF(SUMPRODUCT((Inputs!$A$5:$A$120=$B8)*ISNUMBER(INDEX(Inputs!$K$5:$AJ$120,0,MATCH(AE$2,Inputs!$K$4:$AJ$4,0))))+SUMPRODUCT((Inputs!$C$5:$C$120=$B8)*ISNUMBER(INDEX(Inputs!$K$5:$AJ$120,0,MATCH(AE$2,Inputs!$K$4:$AJ$4,0))))+SUMPRODUCT((Inputs!$E$5:$E$120=$B8)*ISNUMBER(INDEX(Inputs!$K$5:$AJ$120,0,MATCH(AE$2,Inputs!$K$4:$AJ$4,0))))=0,NA(),SUMPRODUCT((Inputs!$A$5:$A$120=$B8)*Inputs!$B$5:$B$120*(((Inputs!$G$5:$G$120="moeda")+(Inputs!$G$5:$G$120="acoes"))*Inputs!$B$1+((Inputs!$G$5:$G$120&lt;&gt;"moeda")*(Inputs!$G$5:$G$120&lt;&gt;"acoes")))*INDEX(Inputs!$K$5:$AJ$120,0,MATCH(AE$2,Inputs!$K$4:$AJ$4,0)))+SUMPRODUCT((Inputs!$C$5:$C$120=$B8)*Inputs!$D$5:$D$120*(((Inputs!$G$5:$G$120="moeda")+(Inputs!$G$5:$G$120="acoes"))*Inputs!$B$1+((Inputs!$G$5:$G$120&lt;&gt;"moeda")*(Inputs!$G$5:$G$120&lt;&gt;"acoes")))*INDEX(Inputs!$K$5:$AJ$120,0,MATCH(AE$2,Inputs!$K$4:$AJ$4,0)))+SUMPRODUCT((Inputs!$E$5:$E$120=$B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8" s="6" t="e">
        <f>IF(ISNA(MATCH(AF$2,Inputs!$K$4:$AJ$4,0)),NA(),IF(SUMPRODUCT((Inputs!$A$5:$A$120=$B8)*ISNUMBER(INDEX(Inputs!$K$5:$AJ$120,0,MATCH(AF$2,Inputs!$K$4:$AJ$4,0))))+SUMPRODUCT((Inputs!$C$5:$C$120=$B8)*ISNUMBER(INDEX(Inputs!$K$5:$AJ$120,0,MATCH(AF$2,Inputs!$K$4:$AJ$4,0))))+SUMPRODUCT((Inputs!$E$5:$E$120=$B8)*ISNUMBER(INDEX(Inputs!$K$5:$AJ$120,0,MATCH(AF$2,Inputs!$K$4:$AJ$4,0))))=0,NA(),SUMPRODUCT((Inputs!$A$5:$A$120=$B8)*Inputs!$B$5:$B$120*(((Inputs!$G$5:$G$120="moeda")+(Inputs!$G$5:$G$120="acoes"))*Inputs!$B$1+((Inputs!$G$5:$G$120&lt;&gt;"moeda")*(Inputs!$G$5:$G$120&lt;&gt;"acoes")))*INDEX(Inputs!$K$5:$AJ$120,0,MATCH(AF$2,Inputs!$K$4:$AJ$4,0)))+SUMPRODUCT((Inputs!$C$5:$C$120=$B8)*Inputs!$D$5:$D$120*(((Inputs!$G$5:$G$120="moeda")+(Inputs!$G$5:$G$120="acoes"))*Inputs!$B$1+((Inputs!$G$5:$G$120&lt;&gt;"moeda")*(Inputs!$G$5:$G$120&lt;&gt;"acoes")))*INDEX(Inputs!$K$5:$AJ$120,0,MATCH(AF$2,Inputs!$K$4:$AJ$4,0)))+SUMPRODUCT((Inputs!$E$5:$E$120=$B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8" s="3" t="e">
        <f>SUM(AC8:AF8)</f>
        <v>#N/A</v>
      </c>
      <c r="AH8" s="6">
        <f>IF(ISNA(MATCH(AH$2,Inputs!$K$4:$AJ$4,0)),NA(),IF(SUMPRODUCT((Inputs!$A$5:$A$120=$B8)*ISNUMBER(INDEX(Inputs!$K$5:$AJ$120,0,MATCH(AH$2,Inputs!$K$4:$AJ$4,0))))+SUMPRODUCT((Inputs!$C$5:$C$120=$B8)*ISNUMBER(INDEX(Inputs!$K$5:$AJ$120,0,MATCH(AH$2,Inputs!$K$4:$AJ$4,0))))+SUMPRODUCT((Inputs!$E$5:$E$120=$B8)*ISNUMBER(INDEX(Inputs!$K$5:$AJ$120,0,MATCH(AH$2,Inputs!$K$4:$AJ$4,0))))=0,NA(),SUMPRODUCT((Inputs!$A$5:$A$120=$B8)*Inputs!$B$5:$B$120*(((Inputs!$G$5:$G$120="moeda")+(Inputs!$G$5:$G$120="acoes"))*Inputs!$B$1+((Inputs!$G$5:$G$120&lt;&gt;"moeda")*(Inputs!$G$5:$G$120&lt;&gt;"acoes")))*INDEX(Inputs!$K$5:$AJ$120,0,MATCH(AH$2,Inputs!$K$4:$AJ$4,0)))+SUMPRODUCT((Inputs!$C$5:$C$120=$B8)*Inputs!$D$5:$D$120*(((Inputs!$G$5:$G$120="moeda")+(Inputs!$G$5:$G$120="acoes"))*Inputs!$B$1+((Inputs!$G$5:$G$120&lt;&gt;"moeda")*(Inputs!$G$5:$G$120&lt;&gt;"acoes")))*INDEX(Inputs!$K$5:$AJ$120,0,MATCH(AH$2,Inputs!$K$4:$AJ$4,0)))+SUMPRODUCT((Inputs!$E$5:$E$120=$B8)*Inputs!$F$5:$F$120*(((Inputs!$G$5:$G$120="moeda")+(Inputs!$G$5:$G$120="acoes"))*Inputs!$B$1+((Inputs!$G$5:$G$120&lt;&gt;"moeda")*(Inputs!$G$5:$G$120&lt;&gt;"acoes")))*INDEX(Inputs!$K$5:$AJ$120,0,MATCH(AH$2,Inputs!$K$4:$AJ$4,0)))))</f>
        <v>-92.5</v>
      </c>
      <c r="AI8" s="6">
        <f>IF(ISNA(MATCH(AI$2,Inputs!$K$4:$AJ$4,0)),NA(),IF(SUMPRODUCT((Inputs!$A$5:$A$120=$B8)*ISNUMBER(INDEX(Inputs!$K$5:$AJ$120,0,MATCH(AI$2,Inputs!$K$4:$AJ$4,0))))+SUMPRODUCT((Inputs!$C$5:$C$120=$B8)*ISNUMBER(INDEX(Inputs!$K$5:$AJ$120,0,MATCH(AI$2,Inputs!$K$4:$AJ$4,0))))+SUMPRODUCT((Inputs!$E$5:$E$120=$B8)*ISNUMBER(INDEX(Inputs!$K$5:$AJ$120,0,MATCH(AI$2,Inputs!$K$4:$AJ$4,0))))=0,NA(),SUMPRODUCT((Inputs!$A$5:$A$120=$B8)*Inputs!$B$5:$B$120*(((Inputs!$G$5:$G$120="moeda")+(Inputs!$G$5:$G$120="acoes"))*Inputs!$B$1+((Inputs!$G$5:$G$120&lt;&gt;"moeda")*(Inputs!$G$5:$G$120&lt;&gt;"acoes")))*INDEX(Inputs!$K$5:$AJ$120,0,MATCH(AI$2,Inputs!$K$4:$AJ$4,0)))+SUMPRODUCT((Inputs!$C$5:$C$120=$B8)*Inputs!$D$5:$D$120*(((Inputs!$G$5:$G$120="moeda")+(Inputs!$G$5:$G$120="acoes"))*Inputs!$B$1+((Inputs!$G$5:$G$120&lt;&gt;"moeda")*(Inputs!$G$5:$G$120&lt;&gt;"acoes")))*INDEX(Inputs!$K$5:$AJ$120,0,MATCH(AI$2,Inputs!$K$4:$AJ$4,0)))+SUMPRODUCT((Inputs!$E$5:$E$120=$B8)*Inputs!$F$5:$F$120*(((Inputs!$G$5:$G$120="moeda")+(Inputs!$G$5:$G$120="acoes"))*Inputs!$B$1+((Inputs!$G$5:$G$120&lt;&gt;"moeda")*(Inputs!$G$5:$G$120&lt;&gt;"acoes")))*INDEX(Inputs!$K$5:$AJ$120,0,MATCH(AI$2,Inputs!$K$4:$AJ$4,0)))))</f>
        <v>-88.3</v>
      </c>
      <c r="AJ8" s="6">
        <f>IF(ISNA(MATCH(AJ$2,Inputs!$K$4:$AJ$4,0)),NA(),IF(SUMPRODUCT((Inputs!$A$5:$A$120=$B8)*ISNUMBER(INDEX(Inputs!$K$5:$AJ$120,0,MATCH(AJ$2,Inputs!$K$4:$AJ$4,0))))+SUMPRODUCT((Inputs!$C$5:$C$120=$B8)*ISNUMBER(INDEX(Inputs!$K$5:$AJ$120,0,MATCH(AJ$2,Inputs!$K$4:$AJ$4,0))))+SUMPRODUCT((Inputs!$E$5:$E$120=$B8)*ISNUMBER(INDEX(Inputs!$K$5:$AJ$120,0,MATCH(AJ$2,Inputs!$K$4:$AJ$4,0))))=0,NA(),SUMPRODUCT((Inputs!$A$5:$A$120=$B8)*Inputs!$B$5:$B$120*(((Inputs!$G$5:$G$120="moeda")+(Inputs!$G$5:$G$120="acoes"))*Inputs!$B$1+((Inputs!$G$5:$G$120&lt;&gt;"moeda")*(Inputs!$G$5:$G$120&lt;&gt;"acoes")))*INDEX(Inputs!$K$5:$AJ$120,0,MATCH(AJ$2,Inputs!$K$4:$AJ$4,0)))+SUMPRODUCT((Inputs!$C$5:$C$120=$B8)*Inputs!$D$5:$D$120*(((Inputs!$G$5:$G$120="moeda")+(Inputs!$G$5:$G$120="acoes"))*Inputs!$B$1+((Inputs!$G$5:$G$120&lt;&gt;"moeda")*(Inputs!$G$5:$G$120&lt;&gt;"acoes")))*INDEX(Inputs!$K$5:$AJ$120,0,MATCH(AJ$2,Inputs!$K$4:$AJ$4,0)))+SUMPRODUCT((Inputs!$E$5:$E$120=$B8)*Inputs!$F$5:$F$120*(((Inputs!$G$5:$G$120="moeda")+(Inputs!$G$5:$G$120="acoes"))*Inputs!$B$1+((Inputs!$G$5:$G$120&lt;&gt;"moeda")*(Inputs!$G$5:$G$120&lt;&gt;"acoes")))*INDEX(Inputs!$K$5:$AJ$120,0,MATCH(AJ$2,Inputs!$K$4:$AJ$4,0)))))</f>
        <v>-89.6</v>
      </c>
      <c r="AK8" s="6">
        <f>IF(ISNA(MATCH(AK$2,Inputs!$K$4:$AJ$4,0)),NA(),IF(SUMPRODUCT((Inputs!$A$5:$A$120=$B8)*ISNUMBER(INDEX(Inputs!$K$5:$AJ$120,0,MATCH(AK$2,Inputs!$K$4:$AJ$4,0))))+SUMPRODUCT((Inputs!$C$5:$C$120=$B8)*ISNUMBER(INDEX(Inputs!$K$5:$AJ$120,0,MATCH(AK$2,Inputs!$K$4:$AJ$4,0))))+SUMPRODUCT((Inputs!$E$5:$E$120=$B8)*ISNUMBER(INDEX(Inputs!$K$5:$AJ$120,0,MATCH(AK$2,Inputs!$K$4:$AJ$4,0))))=0,NA(),SUMPRODUCT((Inputs!$A$5:$A$120=$B8)*Inputs!$B$5:$B$120*(((Inputs!$G$5:$G$120="moeda")+(Inputs!$G$5:$G$120="acoes"))*Inputs!$B$1+((Inputs!$G$5:$G$120&lt;&gt;"moeda")*(Inputs!$G$5:$G$120&lt;&gt;"acoes")))*INDEX(Inputs!$K$5:$AJ$120,0,MATCH(AK$2,Inputs!$K$4:$AJ$4,0)))+SUMPRODUCT((Inputs!$C$5:$C$120=$B8)*Inputs!$D$5:$D$120*(((Inputs!$G$5:$G$120="moeda")+(Inputs!$G$5:$G$120="acoes"))*Inputs!$B$1+((Inputs!$G$5:$G$120&lt;&gt;"moeda")*(Inputs!$G$5:$G$120&lt;&gt;"acoes")))*INDEX(Inputs!$K$5:$AJ$120,0,MATCH(AK$2,Inputs!$K$4:$AJ$4,0)))+SUMPRODUCT((Inputs!$E$5:$E$120=$B8)*Inputs!$F$5:$F$120*(((Inputs!$G$5:$G$120="moeda")+(Inputs!$G$5:$G$120="acoes"))*Inputs!$B$1+((Inputs!$G$5:$G$120&lt;&gt;"moeda")*(Inputs!$G$5:$G$120&lt;&gt;"acoes")))*INDEX(Inputs!$K$5:$AJ$120,0,MATCH(AK$2,Inputs!$K$4:$AJ$4,0)))))</f>
        <v>-89.2</v>
      </c>
      <c r="AL8" s="3">
        <f>SUM(AH8:AK8)</f>
        <v>-359.6</v>
      </c>
    </row>
    <row r="9">
      <c r="B9" s="46" t="n">
        <v>6</v>
      </c>
      <c r="C9" s="26" t="inlineStr">
        <is>
          <t>Nonoperating Income / (Loss)</t>
        </is>
      </c>
      <c r="D9" s="6">
        <f>IF(ISNA(MATCH(D$2,Inputs!$K$4:$AJ$4,0)),NA(),IF(SUMPRODUCT((Inputs!$A$5:$A$120=$B9)*ISNUMBER(INDEX(Inputs!$K$5:$AJ$120,0,MATCH(D$2,Inputs!$K$4:$AJ$4,0))))+SUMPRODUCT((Inputs!$C$5:$C$120=$B9)*ISNUMBER(INDEX(Inputs!$K$5:$AJ$120,0,MATCH(D$2,Inputs!$K$4:$AJ$4,0))))+SUMPRODUCT((Inputs!$E$5:$E$120=$B9)*ISNUMBER(INDEX(Inputs!$K$5:$AJ$120,0,MATCH(D$2,Inputs!$K$4:$AJ$4,0))))=0,NA(),SUMPRODUCT((Inputs!$A$5:$A$120=$B9)*Inputs!$B$5:$B$120*(((Inputs!$G$5:$G$120="moeda")+(Inputs!$G$5:$G$120="acoes"))*Inputs!$B$1+((Inputs!$G$5:$G$120&lt;&gt;"moeda")*(Inputs!$G$5:$G$120&lt;&gt;"acoes")))*INDEX(Inputs!$K$5:$AJ$120,0,MATCH(D$2,Inputs!$K$4:$AJ$4,0)))+SUMPRODUCT((Inputs!$C$5:$C$120=$B9)*Inputs!$D$5:$D$120*(((Inputs!$G$5:$G$120="moeda")+(Inputs!$G$5:$G$120="acoes"))*Inputs!$B$1+((Inputs!$G$5:$G$120&lt;&gt;"moeda")*(Inputs!$G$5:$G$120&lt;&gt;"acoes")))*INDEX(Inputs!$K$5:$AJ$120,0,MATCH(D$2,Inputs!$K$4:$AJ$4,0)))+SUMPRODUCT((Inputs!$E$5:$E$120=$B9)*Inputs!$F$5:$F$120*(((Inputs!$G$5:$G$120="moeda")+(Inputs!$G$5:$G$120="acoes"))*Inputs!$B$1+((Inputs!$G$5:$G$120&lt;&gt;"moeda")*(Inputs!$G$5:$G$120&lt;&gt;"acoes")))*INDEX(Inputs!$K$5:$AJ$120,0,MATCH(D$2,Inputs!$K$4:$AJ$4,0)))))</f>
        <v>1564.2</v>
      </c>
      <c r="E9" s="6">
        <f>IF(ISNA(MATCH(E$2,Inputs!$K$4:$AJ$4,0)),NA(),IF(SUMPRODUCT((Inputs!$A$5:$A$120=$B9)*ISNUMBER(INDEX(Inputs!$K$5:$AJ$120,0,MATCH(E$2,Inputs!$K$4:$AJ$4,0))))+SUMPRODUCT((Inputs!$C$5:$C$120=$B9)*ISNUMBER(INDEX(Inputs!$K$5:$AJ$120,0,MATCH(E$2,Inputs!$K$4:$AJ$4,0))))+SUMPRODUCT((Inputs!$E$5:$E$120=$B9)*ISNUMBER(INDEX(Inputs!$K$5:$AJ$120,0,MATCH(E$2,Inputs!$K$4:$AJ$4,0))))=0,NA(),SUMPRODUCT((Inputs!$A$5:$A$120=$B9)*Inputs!$B$5:$B$120*(((Inputs!$G$5:$G$120="moeda")+(Inputs!$G$5:$G$120="acoes"))*Inputs!$B$1+((Inputs!$G$5:$G$120&lt;&gt;"moeda")*(Inputs!$G$5:$G$120&lt;&gt;"acoes")))*INDEX(Inputs!$K$5:$AJ$120,0,MATCH(E$2,Inputs!$K$4:$AJ$4,0)))+SUMPRODUCT((Inputs!$C$5:$C$120=$B9)*Inputs!$D$5:$D$120*(((Inputs!$G$5:$G$120="moeda")+(Inputs!$G$5:$G$120="acoes"))*Inputs!$B$1+((Inputs!$G$5:$G$120&lt;&gt;"moeda")*(Inputs!$G$5:$G$120&lt;&gt;"acoes")))*INDEX(Inputs!$K$5:$AJ$120,0,MATCH(E$2,Inputs!$K$4:$AJ$4,0)))+SUMPRODUCT((Inputs!$E$5:$E$120=$B9)*Inputs!$F$5:$F$120*(((Inputs!$G$5:$G$120="moeda")+(Inputs!$G$5:$G$120="acoes"))*Inputs!$B$1+((Inputs!$G$5:$G$120&lt;&gt;"moeda")*(Inputs!$G$5:$G$120&lt;&gt;"acoes")))*INDEX(Inputs!$K$5:$AJ$120,0,MATCH(E$2,Inputs!$K$4:$AJ$4,0)))))</f>
        <v>1680.8</v>
      </c>
      <c r="F9" s="6">
        <f>IF(ISNA(MATCH(F$2,Inputs!$K$4:$AJ$4,0)),NA(),IF(SUMPRODUCT((Inputs!$A$5:$A$120=$B9)*ISNUMBER(INDEX(Inputs!$K$5:$AJ$120,0,MATCH(F$2,Inputs!$K$4:$AJ$4,0))))+SUMPRODUCT((Inputs!$C$5:$C$120=$B9)*ISNUMBER(INDEX(Inputs!$K$5:$AJ$120,0,MATCH(F$2,Inputs!$K$4:$AJ$4,0))))+SUMPRODUCT((Inputs!$E$5:$E$120=$B9)*ISNUMBER(INDEX(Inputs!$K$5:$AJ$120,0,MATCH(F$2,Inputs!$K$4:$AJ$4,0))))=0,NA(),SUMPRODUCT((Inputs!$A$5:$A$120=$B9)*Inputs!$B$5:$B$120*(((Inputs!$G$5:$G$120="moeda")+(Inputs!$G$5:$G$120="acoes"))*Inputs!$B$1+((Inputs!$G$5:$G$120&lt;&gt;"moeda")*(Inputs!$G$5:$G$120&lt;&gt;"acoes")))*INDEX(Inputs!$K$5:$AJ$120,0,MATCH(F$2,Inputs!$K$4:$AJ$4,0)))+SUMPRODUCT((Inputs!$C$5:$C$120=$B9)*Inputs!$D$5:$D$120*(((Inputs!$G$5:$G$120="moeda")+(Inputs!$G$5:$G$120="acoes"))*Inputs!$B$1+((Inputs!$G$5:$G$120&lt;&gt;"moeda")*(Inputs!$G$5:$G$120&lt;&gt;"acoes")))*INDEX(Inputs!$K$5:$AJ$120,0,MATCH(F$2,Inputs!$K$4:$AJ$4,0)))+SUMPRODUCT((Inputs!$E$5:$E$120=$B9)*Inputs!$F$5:$F$120*(((Inputs!$G$5:$G$120="moeda")+(Inputs!$G$5:$G$120="acoes"))*Inputs!$B$1+((Inputs!$G$5:$G$120&lt;&gt;"moeda")*(Inputs!$G$5:$G$120&lt;&gt;"acoes")))*INDEX(Inputs!$K$5:$AJ$120,0,MATCH(F$2,Inputs!$K$4:$AJ$4,0)))))</f>
        <v>1328.9</v>
      </c>
      <c r="G9" s="6">
        <f>IF(ISNA(MATCH(G$2,Inputs!$K$4:$AJ$4,0)),NA(),IF(SUMPRODUCT((Inputs!$A$5:$A$120=$B9)*ISNUMBER(INDEX(Inputs!$K$5:$AJ$120,0,MATCH(G$2,Inputs!$K$4:$AJ$4,0))))+SUMPRODUCT((Inputs!$C$5:$C$120=$B9)*ISNUMBER(INDEX(Inputs!$K$5:$AJ$120,0,MATCH(G$2,Inputs!$K$4:$AJ$4,0))))+SUMPRODUCT((Inputs!$E$5:$E$120=$B9)*ISNUMBER(INDEX(Inputs!$K$5:$AJ$120,0,MATCH(G$2,Inputs!$K$4:$AJ$4,0))))=0,NA(),SUMPRODUCT((Inputs!$A$5:$A$120=$B9)*Inputs!$B$5:$B$120*(((Inputs!$G$5:$G$120="moeda")+(Inputs!$G$5:$G$120="acoes"))*Inputs!$B$1+((Inputs!$G$5:$G$120&lt;&gt;"moeda")*(Inputs!$G$5:$G$120&lt;&gt;"acoes")))*INDEX(Inputs!$K$5:$AJ$120,0,MATCH(G$2,Inputs!$K$4:$AJ$4,0)))+SUMPRODUCT((Inputs!$C$5:$C$120=$B9)*Inputs!$D$5:$D$120*(((Inputs!$G$5:$G$120="moeda")+(Inputs!$G$5:$G$120="acoes"))*Inputs!$B$1+((Inputs!$G$5:$G$120&lt;&gt;"moeda")*(Inputs!$G$5:$G$120&lt;&gt;"acoes")))*INDEX(Inputs!$K$5:$AJ$120,0,MATCH(G$2,Inputs!$K$4:$AJ$4,0)))+SUMPRODUCT((Inputs!$E$5:$E$120=$B9)*Inputs!$F$5:$F$120*(((Inputs!$G$5:$G$120="moeda")+(Inputs!$G$5:$G$120="acoes"))*Inputs!$B$1+((Inputs!$G$5:$G$120&lt;&gt;"moeda")*(Inputs!$G$5:$G$120&lt;&gt;"acoes")))*INDEX(Inputs!$K$5:$AJ$120,0,MATCH(G$2,Inputs!$K$4:$AJ$4,0)))))</f>
        <v>1921.3</v>
      </c>
      <c r="H9" s="3">
        <f>SUM(D9:G9)</f>
        <v>6495.2</v>
      </c>
      <c r="I9" s="6">
        <f>IF(ISNA(MATCH(I$2,Inputs!$K$4:$AJ$4,0)),NA(),IF(SUMPRODUCT((Inputs!$A$5:$A$120=$B9)*ISNUMBER(INDEX(Inputs!$K$5:$AJ$120,0,MATCH(I$2,Inputs!$K$4:$AJ$4,0))))+SUMPRODUCT((Inputs!$C$5:$C$120=$B9)*ISNUMBER(INDEX(Inputs!$K$5:$AJ$120,0,MATCH(I$2,Inputs!$K$4:$AJ$4,0))))+SUMPRODUCT((Inputs!$E$5:$E$120=$B9)*ISNUMBER(INDEX(Inputs!$K$5:$AJ$120,0,MATCH(I$2,Inputs!$K$4:$AJ$4,0))))=0,NA(),SUMPRODUCT((Inputs!$A$5:$A$120=$B9)*Inputs!$B$5:$B$120*(((Inputs!$G$5:$G$120="moeda")+(Inputs!$G$5:$G$120="acoes"))*Inputs!$B$1+((Inputs!$G$5:$G$120&lt;&gt;"moeda")*(Inputs!$G$5:$G$120&lt;&gt;"acoes")))*INDEX(Inputs!$K$5:$AJ$120,0,MATCH(I$2,Inputs!$K$4:$AJ$4,0)))+SUMPRODUCT((Inputs!$C$5:$C$120=$B9)*Inputs!$D$5:$D$120*(((Inputs!$G$5:$G$120="moeda")+(Inputs!$G$5:$G$120="acoes"))*Inputs!$B$1+((Inputs!$G$5:$G$120&lt;&gt;"moeda")*(Inputs!$G$5:$G$120&lt;&gt;"acoes")))*INDEX(Inputs!$K$5:$AJ$120,0,MATCH(I$2,Inputs!$K$4:$AJ$4,0)))+SUMPRODUCT((Inputs!$E$5:$E$120=$B9)*Inputs!$F$5:$F$120*(((Inputs!$G$5:$G$120="moeda")+(Inputs!$G$5:$G$120="acoes"))*Inputs!$B$1+((Inputs!$G$5:$G$120&lt;&gt;"moeda")*(Inputs!$G$5:$G$120&lt;&gt;"acoes")))*INDEX(Inputs!$K$5:$AJ$120,0,MATCH(I$2,Inputs!$K$4:$AJ$4,0)))))</f>
        <v>2138.5</v>
      </c>
      <c r="J9" s="6">
        <f>IF(ISNA(MATCH(J$2,Inputs!$K$4:$AJ$4,0)),NA(),IF(SUMPRODUCT((Inputs!$A$5:$A$120=$B9)*ISNUMBER(INDEX(Inputs!$K$5:$AJ$120,0,MATCH(J$2,Inputs!$K$4:$AJ$4,0))))+SUMPRODUCT((Inputs!$C$5:$C$120=$B9)*ISNUMBER(INDEX(Inputs!$K$5:$AJ$120,0,MATCH(J$2,Inputs!$K$4:$AJ$4,0))))+SUMPRODUCT((Inputs!$E$5:$E$120=$B9)*ISNUMBER(INDEX(Inputs!$K$5:$AJ$120,0,MATCH(J$2,Inputs!$K$4:$AJ$4,0))))=0,NA(),SUMPRODUCT((Inputs!$A$5:$A$120=$B9)*Inputs!$B$5:$B$120*(((Inputs!$G$5:$G$120="moeda")+(Inputs!$G$5:$G$120="acoes"))*Inputs!$B$1+((Inputs!$G$5:$G$120&lt;&gt;"moeda")*(Inputs!$G$5:$G$120&lt;&gt;"acoes")))*INDEX(Inputs!$K$5:$AJ$120,0,MATCH(J$2,Inputs!$K$4:$AJ$4,0)))+SUMPRODUCT((Inputs!$C$5:$C$120=$B9)*Inputs!$D$5:$D$120*(((Inputs!$G$5:$G$120="moeda")+(Inputs!$G$5:$G$120="acoes"))*Inputs!$B$1+((Inputs!$G$5:$G$120&lt;&gt;"moeda")*(Inputs!$G$5:$G$120&lt;&gt;"acoes")))*INDEX(Inputs!$K$5:$AJ$120,0,MATCH(J$2,Inputs!$K$4:$AJ$4,0)))+SUMPRODUCT((Inputs!$E$5:$E$120=$B9)*Inputs!$F$5:$F$120*(((Inputs!$G$5:$G$120="moeda")+(Inputs!$G$5:$G$120="acoes"))*Inputs!$B$1+((Inputs!$G$5:$G$120&lt;&gt;"moeda")*(Inputs!$G$5:$G$120&lt;&gt;"acoes")))*INDEX(Inputs!$K$5:$AJ$120,0,MATCH(J$2,Inputs!$K$4:$AJ$4,0)))))</f>
        <v>1172.1</v>
      </c>
      <c r="K9" s="6">
        <f>IF(ISNA(MATCH(K$2,Inputs!$K$4:$AJ$4,0)),NA(),IF(SUMPRODUCT((Inputs!$A$5:$A$120=$B9)*ISNUMBER(INDEX(Inputs!$K$5:$AJ$120,0,MATCH(K$2,Inputs!$K$4:$AJ$4,0))))+SUMPRODUCT((Inputs!$C$5:$C$120=$B9)*ISNUMBER(INDEX(Inputs!$K$5:$AJ$120,0,MATCH(K$2,Inputs!$K$4:$AJ$4,0))))+SUMPRODUCT((Inputs!$E$5:$E$120=$B9)*ISNUMBER(INDEX(Inputs!$K$5:$AJ$120,0,MATCH(K$2,Inputs!$K$4:$AJ$4,0))))=0,NA(),SUMPRODUCT((Inputs!$A$5:$A$120=$B9)*Inputs!$B$5:$B$120*(((Inputs!$G$5:$G$120="moeda")+(Inputs!$G$5:$G$120="acoes"))*Inputs!$B$1+((Inputs!$G$5:$G$120&lt;&gt;"moeda")*(Inputs!$G$5:$G$120&lt;&gt;"acoes")))*INDEX(Inputs!$K$5:$AJ$120,0,MATCH(K$2,Inputs!$K$4:$AJ$4,0)))+SUMPRODUCT((Inputs!$C$5:$C$120=$B9)*Inputs!$D$5:$D$120*(((Inputs!$G$5:$G$120="moeda")+(Inputs!$G$5:$G$120="acoes"))*Inputs!$B$1+((Inputs!$G$5:$G$120&lt;&gt;"moeda")*(Inputs!$G$5:$G$120&lt;&gt;"acoes")))*INDEX(Inputs!$K$5:$AJ$120,0,MATCH(K$2,Inputs!$K$4:$AJ$4,0)))+SUMPRODUCT((Inputs!$E$5:$E$120=$B9)*Inputs!$F$5:$F$120*(((Inputs!$G$5:$G$120="moeda")+(Inputs!$G$5:$G$120="acoes"))*Inputs!$B$1+((Inputs!$G$5:$G$120&lt;&gt;"moeda")*(Inputs!$G$5:$G$120&lt;&gt;"acoes")))*INDEX(Inputs!$K$5:$AJ$120,0,MATCH(K$2,Inputs!$K$4:$AJ$4,0)))))</f>
        <v>1647</v>
      </c>
      <c r="L9" s="6">
        <f>IF(ISNA(MATCH(L$2,Inputs!$K$4:$AJ$4,0)),NA(),IF(SUMPRODUCT((Inputs!$A$5:$A$120=$B9)*ISNUMBER(INDEX(Inputs!$K$5:$AJ$120,0,MATCH(L$2,Inputs!$K$4:$AJ$4,0))))+SUMPRODUCT((Inputs!$C$5:$C$120=$B9)*ISNUMBER(INDEX(Inputs!$K$5:$AJ$120,0,MATCH(L$2,Inputs!$K$4:$AJ$4,0))))+SUMPRODUCT((Inputs!$E$5:$E$120=$B9)*ISNUMBER(INDEX(Inputs!$K$5:$AJ$120,0,MATCH(L$2,Inputs!$K$4:$AJ$4,0))))=0,NA(),SUMPRODUCT((Inputs!$A$5:$A$120=$B9)*Inputs!$B$5:$B$120*(((Inputs!$G$5:$G$120="moeda")+(Inputs!$G$5:$G$120="acoes"))*Inputs!$B$1+((Inputs!$G$5:$G$120&lt;&gt;"moeda")*(Inputs!$G$5:$G$120&lt;&gt;"acoes")))*INDEX(Inputs!$K$5:$AJ$120,0,MATCH(L$2,Inputs!$K$4:$AJ$4,0)))+SUMPRODUCT((Inputs!$C$5:$C$120=$B9)*Inputs!$D$5:$D$120*(((Inputs!$G$5:$G$120="moeda")+(Inputs!$G$5:$G$120="acoes"))*Inputs!$B$1+((Inputs!$G$5:$G$120&lt;&gt;"moeda")*(Inputs!$G$5:$G$120&lt;&gt;"acoes")))*INDEX(Inputs!$K$5:$AJ$120,0,MATCH(L$2,Inputs!$K$4:$AJ$4,0)))+SUMPRODUCT((Inputs!$E$5:$E$120=$B9)*Inputs!$F$5:$F$120*(((Inputs!$G$5:$G$120="moeda")+(Inputs!$G$5:$G$120="acoes"))*Inputs!$B$1+((Inputs!$G$5:$G$120&lt;&gt;"moeda")*(Inputs!$G$5:$G$120&lt;&gt;"acoes")))*INDEX(Inputs!$K$5:$AJ$120,0,MATCH(L$2,Inputs!$K$4:$AJ$4,0)))))</f>
        <v>2180.4</v>
      </c>
      <c r="M9" s="3">
        <f>SUM(I9:L9)</f>
        <v>7138</v>
      </c>
      <c r="N9" s="6">
        <f>IF(ISNA(MATCH(N$2,Inputs!$K$4:$AJ$4,0)),NA(),IF(SUMPRODUCT((Inputs!$A$5:$A$120=$B9)*ISNUMBER(INDEX(Inputs!$K$5:$AJ$120,0,MATCH(N$2,Inputs!$K$4:$AJ$4,0))))+SUMPRODUCT((Inputs!$C$5:$C$120=$B9)*ISNUMBER(INDEX(Inputs!$K$5:$AJ$120,0,MATCH(N$2,Inputs!$K$4:$AJ$4,0))))+SUMPRODUCT((Inputs!$E$5:$E$120=$B9)*ISNUMBER(INDEX(Inputs!$K$5:$AJ$120,0,MATCH(N$2,Inputs!$K$4:$AJ$4,0))))=0,NA(),SUMPRODUCT((Inputs!$A$5:$A$120=$B9)*Inputs!$B$5:$B$120*(((Inputs!$G$5:$G$120="moeda")+(Inputs!$G$5:$G$120="acoes"))*Inputs!$B$1+((Inputs!$G$5:$G$120&lt;&gt;"moeda")*(Inputs!$G$5:$G$120&lt;&gt;"acoes")))*INDEX(Inputs!$K$5:$AJ$120,0,MATCH(N$2,Inputs!$K$4:$AJ$4,0)))+SUMPRODUCT((Inputs!$C$5:$C$120=$B9)*Inputs!$D$5:$D$120*(((Inputs!$G$5:$G$120="moeda")+(Inputs!$G$5:$G$120="acoes"))*Inputs!$B$1+((Inputs!$G$5:$G$120&lt;&gt;"moeda")*(Inputs!$G$5:$G$120&lt;&gt;"acoes")))*INDEX(Inputs!$K$5:$AJ$120,0,MATCH(N$2,Inputs!$K$4:$AJ$4,0)))+SUMPRODUCT((Inputs!$E$5:$E$120=$B9)*Inputs!$F$5:$F$120*(((Inputs!$G$5:$G$120="moeda")+(Inputs!$G$5:$G$120="acoes"))*Inputs!$B$1+((Inputs!$G$5:$G$120&lt;&gt;"moeda")*(Inputs!$G$5:$G$120&lt;&gt;"acoes")))*INDEX(Inputs!$K$5:$AJ$120,0,MATCH(N$2,Inputs!$K$4:$AJ$4,0)))))</f>
        <v>1632.5</v>
      </c>
      <c r="O9" s="6">
        <f>IF(ISNA(MATCH(O$2,Inputs!$K$4:$AJ$4,0)),NA(),IF(SUMPRODUCT((Inputs!$A$5:$A$120=$B9)*ISNUMBER(INDEX(Inputs!$K$5:$AJ$120,0,MATCH(O$2,Inputs!$K$4:$AJ$4,0))))+SUMPRODUCT((Inputs!$C$5:$C$120=$B9)*ISNUMBER(INDEX(Inputs!$K$5:$AJ$120,0,MATCH(O$2,Inputs!$K$4:$AJ$4,0))))+SUMPRODUCT((Inputs!$E$5:$E$120=$B9)*ISNUMBER(INDEX(Inputs!$K$5:$AJ$120,0,MATCH(O$2,Inputs!$K$4:$AJ$4,0))))=0,NA(),SUMPRODUCT((Inputs!$A$5:$A$120=$B9)*Inputs!$B$5:$B$120*(((Inputs!$G$5:$G$120="moeda")+(Inputs!$G$5:$G$120="acoes"))*Inputs!$B$1+((Inputs!$G$5:$G$120&lt;&gt;"moeda")*(Inputs!$G$5:$G$120&lt;&gt;"acoes")))*INDEX(Inputs!$K$5:$AJ$120,0,MATCH(O$2,Inputs!$K$4:$AJ$4,0)))+SUMPRODUCT((Inputs!$C$5:$C$120=$B9)*Inputs!$D$5:$D$120*(((Inputs!$G$5:$G$120="moeda")+(Inputs!$G$5:$G$120="acoes"))*Inputs!$B$1+((Inputs!$G$5:$G$120&lt;&gt;"moeda")*(Inputs!$G$5:$G$120&lt;&gt;"acoes")))*INDEX(Inputs!$K$5:$AJ$120,0,MATCH(O$2,Inputs!$K$4:$AJ$4,0)))+SUMPRODUCT((Inputs!$E$5:$E$120=$B9)*Inputs!$F$5:$F$120*(((Inputs!$G$5:$G$120="moeda")+(Inputs!$G$5:$G$120="acoes"))*Inputs!$B$1+((Inputs!$G$5:$G$120&lt;&gt;"moeda")*(Inputs!$G$5:$G$120&lt;&gt;"acoes")))*INDEX(Inputs!$K$5:$AJ$120,0,MATCH(O$2,Inputs!$K$4:$AJ$4,0)))))</f>
        <v>2209.2</v>
      </c>
      <c r="P9" s="6">
        <f>IF(ISNA(MATCH(P$2,Inputs!$K$4:$AJ$4,0)),NA(),IF(SUMPRODUCT((Inputs!$A$5:$A$120=$B9)*ISNUMBER(INDEX(Inputs!$K$5:$AJ$120,0,MATCH(P$2,Inputs!$K$4:$AJ$4,0))))+SUMPRODUCT((Inputs!$C$5:$C$120=$B9)*ISNUMBER(INDEX(Inputs!$K$5:$AJ$120,0,MATCH(P$2,Inputs!$K$4:$AJ$4,0))))+SUMPRODUCT((Inputs!$E$5:$E$120=$B9)*ISNUMBER(INDEX(Inputs!$K$5:$AJ$120,0,MATCH(P$2,Inputs!$K$4:$AJ$4,0))))=0,NA(),SUMPRODUCT((Inputs!$A$5:$A$120=$B9)*Inputs!$B$5:$B$120*(((Inputs!$G$5:$G$120="moeda")+(Inputs!$G$5:$G$120="acoes"))*Inputs!$B$1+((Inputs!$G$5:$G$120&lt;&gt;"moeda")*(Inputs!$G$5:$G$120&lt;&gt;"acoes")))*INDEX(Inputs!$K$5:$AJ$120,0,MATCH(P$2,Inputs!$K$4:$AJ$4,0)))+SUMPRODUCT((Inputs!$C$5:$C$120=$B9)*Inputs!$D$5:$D$120*(((Inputs!$G$5:$G$120="moeda")+(Inputs!$G$5:$G$120="acoes"))*Inputs!$B$1+((Inputs!$G$5:$G$120&lt;&gt;"moeda")*(Inputs!$G$5:$G$120&lt;&gt;"acoes")))*INDEX(Inputs!$K$5:$AJ$120,0,MATCH(P$2,Inputs!$K$4:$AJ$4,0)))+SUMPRODUCT((Inputs!$E$5:$E$120=$B9)*Inputs!$F$5:$F$120*(((Inputs!$G$5:$G$120="moeda")+(Inputs!$G$5:$G$120="acoes"))*Inputs!$B$1+((Inputs!$G$5:$G$120&lt;&gt;"moeda")*(Inputs!$G$5:$G$120&lt;&gt;"acoes")))*INDEX(Inputs!$K$5:$AJ$120,0,MATCH(P$2,Inputs!$K$4:$AJ$4,0)))))</f>
        <v>551.8</v>
      </c>
      <c r="Q9" s="6">
        <f>IF(ISNA(MATCH(Q$2,Inputs!$K$4:$AJ$4,0)),NA(),IF(SUMPRODUCT((Inputs!$A$5:$A$120=$B9)*ISNUMBER(INDEX(Inputs!$K$5:$AJ$120,0,MATCH(Q$2,Inputs!$K$4:$AJ$4,0))))+SUMPRODUCT((Inputs!$C$5:$C$120=$B9)*ISNUMBER(INDEX(Inputs!$K$5:$AJ$120,0,MATCH(Q$2,Inputs!$K$4:$AJ$4,0))))+SUMPRODUCT((Inputs!$E$5:$E$120=$B9)*ISNUMBER(INDEX(Inputs!$K$5:$AJ$120,0,MATCH(Q$2,Inputs!$K$4:$AJ$4,0))))=0,NA(),SUMPRODUCT((Inputs!$A$5:$A$120=$B9)*Inputs!$B$5:$B$120*(((Inputs!$G$5:$G$120="moeda")+(Inputs!$G$5:$G$120="acoes"))*Inputs!$B$1+((Inputs!$G$5:$G$120&lt;&gt;"moeda")*(Inputs!$G$5:$G$120&lt;&gt;"acoes")))*INDEX(Inputs!$K$5:$AJ$120,0,MATCH(Q$2,Inputs!$K$4:$AJ$4,0)))+SUMPRODUCT((Inputs!$C$5:$C$120=$B9)*Inputs!$D$5:$D$120*(((Inputs!$G$5:$G$120="moeda")+(Inputs!$G$5:$G$120="acoes"))*Inputs!$B$1+((Inputs!$G$5:$G$120&lt;&gt;"moeda")*(Inputs!$G$5:$G$120&lt;&gt;"acoes")))*INDEX(Inputs!$K$5:$AJ$120,0,MATCH(Q$2,Inputs!$K$4:$AJ$4,0)))+SUMPRODUCT((Inputs!$E$5:$E$120=$B9)*Inputs!$F$5:$F$120*(((Inputs!$G$5:$G$120="moeda")+(Inputs!$G$5:$G$120="acoes"))*Inputs!$B$1+((Inputs!$G$5:$G$120&lt;&gt;"moeda")*(Inputs!$G$5:$G$120&lt;&gt;"acoes")))*INDEX(Inputs!$K$5:$AJ$120,0,MATCH(Q$2,Inputs!$K$4:$AJ$4,0)))))</f>
        <v>2647</v>
      </c>
      <c r="R9" s="3">
        <f>SUM(N9:Q9)</f>
        <v>7040.5</v>
      </c>
      <c r="S9" s="6">
        <f>IF(ISNA(MATCH(S$2,Inputs!$K$4:$AJ$4,0)),NA(),IF(SUMPRODUCT((Inputs!$A$5:$A$120=$B9)*ISNUMBER(INDEX(Inputs!$K$5:$AJ$120,0,MATCH(S$2,Inputs!$K$4:$AJ$4,0))))+SUMPRODUCT((Inputs!$C$5:$C$120=$B9)*ISNUMBER(INDEX(Inputs!$K$5:$AJ$120,0,MATCH(S$2,Inputs!$K$4:$AJ$4,0))))+SUMPRODUCT((Inputs!$E$5:$E$120=$B9)*ISNUMBER(INDEX(Inputs!$K$5:$AJ$120,0,MATCH(S$2,Inputs!$K$4:$AJ$4,0))))=0,NA(),SUMPRODUCT((Inputs!$A$5:$A$120=$B9)*Inputs!$B$5:$B$120*(((Inputs!$G$5:$G$120="moeda")+(Inputs!$G$5:$G$120="acoes"))*Inputs!$B$1+((Inputs!$G$5:$G$120&lt;&gt;"moeda")*(Inputs!$G$5:$G$120&lt;&gt;"acoes")))*INDEX(Inputs!$K$5:$AJ$120,0,MATCH(S$2,Inputs!$K$4:$AJ$4,0)))+SUMPRODUCT((Inputs!$C$5:$C$120=$B9)*Inputs!$D$5:$D$120*(((Inputs!$G$5:$G$120="moeda")+(Inputs!$G$5:$G$120="acoes"))*Inputs!$B$1+((Inputs!$G$5:$G$120&lt;&gt;"moeda")*(Inputs!$G$5:$G$120&lt;&gt;"acoes")))*INDEX(Inputs!$K$5:$AJ$120,0,MATCH(S$2,Inputs!$K$4:$AJ$4,0)))+SUMPRODUCT((Inputs!$E$5:$E$120=$B9)*Inputs!$F$5:$F$120*(((Inputs!$G$5:$G$120="moeda")+(Inputs!$G$5:$G$120="acoes"))*Inputs!$B$1+((Inputs!$G$5:$G$120&lt;&gt;"moeda")*(Inputs!$G$5:$G$120&lt;&gt;"acoes")))*INDEX(Inputs!$K$5:$AJ$120,0,MATCH(S$2,Inputs!$K$4:$AJ$4,0)))))</f>
        <v>2715.7</v>
      </c>
      <c r="T9" s="6">
        <f>IF(ISNA(MATCH(T$2,Inputs!$K$4:$AJ$4,0)),NA(),IF(SUMPRODUCT((Inputs!$A$5:$A$120=$B9)*ISNUMBER(INDEX(Inputs!$K$5:$AJ$120,0,MATCH(T$2,Inputs!$K$4:$AJ$4,0))))+SUMPRODUCT((Inputs!$C$5:$C$120=$B9)*ISNUMBER(INDEX(Inputs!$K$5:$AJ$120,0,MATCH(T$2,Inputs!$K$4:$AJ$4,0))))+SUMPRODUCT((Inputs!$E$5:$E$120=$B9)*ISNUMBER(INDEX(Inputs!$K$5:$AJ$120,0,MATCH(T$2,Inputs!$K$4:$AJ$4,0))))=0,NA(),SUMPRODUCT((Inputs!$A$5:$A$120=$B9)*Inputs!$B$5:$B$120*(((Inputs!$G$5:$G$120="moeda")+(Inputs!$G$5:$G$120="acoes"))*Inputs!$B$1+((Inputs!$G$5:$G$120&lt;&gt;"moeda")*(Inputs!$G$5:$G$120&lt;&gt;"acoes")))*INDEX(Inputs!$K$5:$AJ$120,0,MATCH(T$2,Inputs!$K$4:$AJ$4,0)))+SUMPRODUCT((Inputs!$C$5:$C$120=$B9)*Inputs!$D$5:$D$120*(((Inputs!$G$5:$G$120="moeda")+(Inputs!$G$5:$G$120="acoes"))*Inputs!$B$1+((Inputs!$G$5:$G$120&lt;&gt;"moeda")*(Inputs!$G$5:$G$120&lt;&gt;"acoes")))*INDEX(Inputs!$K$5:$AJ$120,0,MATCH(T$2,Inputs!$K$4:$AJ$4,0)))+SUMPRODUCT((Inputs!$E$5:$E$120=$B9)*Inputs!$F$5:$F$120*(((Inputs!$G$5:$G$120="moeda")+(Inputs!$G$5:$G$120="acoes"))*Inputs!$B$1+((Inputs!$G$5:$G$120&lt;&gt;"moeda")*(Inputs!$G$5:$G$120&lt;&gt;"acoes")))*INDEX(Inputs!$K$5:$AJ$120,0,MATCH(T$2,Inputs!$K$4:$AJ$4,0)))))</f>
        <v>3700.8</v>
      </c>
      <c r="U9" s="6">
        <f>IF(ISNA(MATCH(U$2,Inputs!$K$4:$AJ$4,0)),NA(),IF(SUMPRODUCT((Inputs!$A$5:$A$120=$B9)*ISNUMBER(INDEX(Inputs!$K$5:$AJ$120,0,MATCH(U$2,Inputs!$K$4:$AJ$4,0))))+SUMPRODUCT((Inputs!$C$5:$C$120=$B9)*ISNUMBER(INDEX(Inputs!$K$5:$AJ$120,0,MATCH(U$2,Inputs!$K$4:$AJ$4,0))))+SUMPRODUCT((Inputs!$E$5:$E$120=$B9)*ISNUMBER(INDEX(Inputs!$K$5:$AJ$120,0,MATCH(U$2,Inputs!$K$4:$AJ$4,0))))=0,NA(),SUMPRODUCT((Inputs!$A$5:$A$120=$B9)*Inputs!$B$5:$B$120*(((Inputs!$G$5:$G$120="moeda")+(Inputs!$G$5:$G$120="acoes"))*Inputs!$B$1+((Inputs!$G$5:$G$120&lt;&gt;"moeda")*(Inputs!$G$5:$G$120&lt;&gt;"acoes")))*INDEX(Inputs!$K$5:$AJ$120,0,MATCH(U$2,Inputs!$K$4:$AJ$4,0)))+SUMPRODUCT((Inputs!$C$5:$C$120=$B9)*Inputs!$D$5:$D$120*(((Inputs!$G$5:$G$120="moeda")+(Inputs!$G$5:$G$120="acoes"))*Inputs!$B$1+((Inputs!$G$5:$G$120&lt;&gt;"moeda")*(Inputs!$G$5:$G$120&lt;&gt;"acoes")))*INDEX(Inputs!$K$5:$AJ$120,0,MATCH(U$2,Inputs!$K$4:$AJ$4,0)))+SUMPRODUCT((Inputs!$E$5:$E$120=$B9)*Inputs!$F$5:$F$120*(((Inputs!$G$5:$G$120="moeda")+(Inputs!$G$5:$G$120="acoes"))*Inputs!$B$1+((Inputs!$G$5:$G$120&lt;&gt;"moeda")*(Inputs!$G$5:$G$120&lt;&gt;"acoes")))*INDEX(Inputs!$K$5:$AJ$120,0,MATCH(U$2,Inputs!$K$4:$AJ$4,0)))))</f>
        <v>1781.1</v>
      </c>
      <c r="V9" s="6">
        <f>IF(ISNA(MATCH(V$2,Inputs!$K$4:$AJ$4,0)),NA(),IF(SUMPRODUCT((Inputs!$A$5:$A$120=$B9)*ISNUMBER(INDEX(Inputs!$K$5:$AJ$120,0,MATCH(V$2,Inputs!$K$4:$AJ$4,0))))+SUMPRODUCT((Inputs!$C$5:$C$120=$B9)*ISNUMBER(INDEX(Inputs!$K$5:$AJ$120,0,MATCH(V$2,Inputs!$K$4:$AJ$4,0))))+SUMPRODUCT((Inputs!$E$5:$E$120=$B9)*ISNUMBER(INDEX(Inputs!$K$5:$AJ$120,0,MATCH(V$2,Inputs!$K$4:$AJ$4,0))))=0,NA(),SUMPRODUCT((Inputs!$A$5:$A$120=$B9)*Inputs!$B$5:$B$120*(((Inputs!$G$5:$G$120="moeda")+(Inputs!$G$5:$G$120="acoes"))*Inputs!$B$1+((Inputs!$G$5:$G$120&lt;&gt;"moeda")*(Inputs!$G$5:$G$120&lt;&gt;"acoes")))*INDEX(Inputs!$K$5:$AJ$120,0,MATCH(V$2,Inputs!$K$4:$AJ$4,0)))+SUMPRODUCT((Inputs!$C$5:$C$120=$B9)*Inputs!$D$5:$D$120*(((Inputs!$G$5:$G$120="moeda")+(Inputs!$G$5:$G$120="acoes"))*Inputs!$B$1+((Inputs!$G$5:$G$120&lt;&gt;"moeda")*(Inputs!$G$5:$G$120&lt;&gt;"acoes")))*INDEX(Inputs!$K$5:$AJ$120,0,MATCH(V$2,Inputs!$K$4:$AJ$4,0)))+SUMPRODUCT((Inputs!$E$5:$E$120=$B9)*Inputs!$F$5:$F$120*(((Inputs!$G$5:$G$120="moeda")+(Inputs!$G$5:$G$120="acoes"))*Inputs!$B$1+((Inputs!$G$5:$G$120&lt;&gt;"moeda")*(Inputs!$G$5:$G$120&lt;&gt;"acoes")))*INDEX(Inputs!$K$5:$AJ$120,0,MATCH(V$2,Inputs!$K$4:$AJ$4,0)))))</f>
        <v>5263.4</v>
      </c>
      <c r="W9" s="3">
        <f>SUM(S9:V9)</f>
        <v>13461</v>
      </c>
      <c r="X9" s="6">
        <f>IF(ISNA(MATCH(X$2,Inputs!$K$4:$AJ$4,0)),NA(),IF(SUMPRODUCT((Inputs!$A$5:$A$120=$B9)*ISNUMBER(INDEX(Inputs!$K$5:$AJ$120,0,MATCH(X$2,Inputs!$K$4:$AJ$4,0))))+SUMPRODUCT((Inputs!$C$5:$C$120=$B9)*ISNUMBER(INDEX(Inputs!$K$5:$AJ$120,0,MATCH(X$2,Inputs!$K$4:$AJ$4,0))))+SUMPRODUCT((Inputs!$E$5:$E$120=$B9)*ISNUMBER(INDEX(Inputs!$K$5:$AJ$120,0,MATCH(X$2,Inputs!$K$4:$AJ$4,0))))=0,NA(),SUMPRODUCT((Inputs!$A$5:$A$120=$B9)*Inputs!$B$5:$B$120*(((Inputs!$G$5:$G$120="moeda")+(Inputs!$G$5:$G$120="acoes"))*Inputs!$B$1+((Inputs!$G$5:$G$120&lt;&gt;"moeda")*(Inputs!$G$5:$G$120&lt;&gt;"acoes")))*INDEX(Inputs!$K$5:$AJ$120,0,MATCH(X$2,Inputs!$K$4:$AJ$4,0)))+SUMPRODUCT((Inputs!$C$5:$C$120=$B9)*Inputs!$D$5:$D$120*(((Inputs!$G$5:$G$120="moeda")+(Inputs!$G$5:$G$120="acoes"))*Inputs!$B$1+((Inputs!$G$5:$G$120&lt;&gt;"moeda")*(Inputs!$G$5:$G$120&lt;&gt;"acoes")))*INDEX(Inputs!$K$5:$AJ$120,0,MATCH(X$2,Inputs!$K$4:$AJ$4,0)))+SUMPRODUCT((Inputs!$E$5:$E$120=$B9)*Inputs!$F$5:$F$120*(((Inputs!$G$5:$G$120="moeda")+(Inputs!$G$5:$G$120="acoes"))*Inputs!$B$1+((Inputs!$G$5:$G$120&lt;&gt;"moeda")*(Inputs!$G$5:$G$120&lt;&gt;"acoes")))*INDEX(Inputs!$K$5:$AJ$120,0,MATCH(X$2,Inputs!$K$4:$AJ$4,0)))))</f>
        <v>3699.7</v>
      </c>
      <c r="Y9" s="6">
        <f>IF(ISNA(MATCH(Y$2,Inputs!$K$4:$AJ$4,0)),NA(),IF(SUMPRODUCT((Inputs!$A$5:$A$120=$B9)*ISNUMBER(INDEX(Inputs!$K$5:$AJ$120,0,MATCH(Y$2,Inputs!$K$4:$AJ$4,0))))+SUMPRODUCT((Inputs!$C$5:$C$120=$B9)*ISNUMBER(INDEX(Inputs!$K$5:$AJ$120,0,MATCH(Y$2,Inputs!$K$4:$AJ$4,0))))+SUMPRODUCT((Inputs!$E$5:$E$120=$B9)*ISNUMBER(INDEX(Inputs!$K$5:$AJ$120,0,MATCH(Y$2,Inputs!$K$4:$AJ$4,0))))=0,NA(),SUMPRODUCT((Inputs!$A$5:$A$120=$B9)*Inputs!$B$5:$B$120*(((Inputs!$G$5:$G$120="moeda")+(Inputs!$G$5:$G$120="acoes"))*Inputs!$B$1+((Inputs!$G$5:$G$120&lt;&gt;"moeda")*(Inputs!$G$5:$G$120&lt;&gt;"acoes")))*INDEX(Inputs!$K$5:$AJ$120,0,MATCH(Y$2,Inputs!$K$4:$AJ$4,0)))+SUMPRODUCT((Inputs!$C$5:$C$120=$B9)*Inputs!$D$5:$D$120*(((Inputs!$G$5:$G$120="moeda")+(Inputs!$G$5:$G$120="acoes"))*Inputs!$B$1+((Inputs!$G$5:$G$120&lt;&gt;"moeda")*(Inputs!$G$5:$G$120&lt;&gt;"acoes")))*INDEX(Inputs!$K$5:$AJ$120,0,MATCH(Y$2,Inputs!$K$4:$AJ$4,0)))+SUMPRODUCT((Inputs!$E$5:$E$120=$B9)*Inputs!$F$5:$F$120*(((Inputs!$G$5:$G$120="moeda")+(Inputs!$G$5:$G$120="acoes"))*Inputs!$B$1+((Inputs!$G$5:$G$120&lt;&gt;"moeda")*(Inputs!$G$5:$G$120&lt;&gt;"acoes")))*INDEX(Inputs!$K$5:$AJ$120,0,MATCH(Y$2,Inputs!$K$4:$AJ$4,0)))))</f>
        <v>7026</v>
      </c>
      <c r="Z9" s="6">
        <f>IF(ISNA(MATCH(Z$2,Inputs!$K$4:$AJ$4,0)),NA(),IF(SUMPRODUCT((Inputs!$A$5:$A$120=$B9)*ISNUMBER(INDEX(Inputs!$K$5:$AJ$120,0,MATCH(Z$2,Inputs!$K$4:$AJ$4,0))))+SUMPRODUCT((Inputs!$C$5:$C$120=$B9)*ISNUMBER(INDEX(Inputs!$K$5:$AJ$120,0,MATCH(Z$2,Inputs!$K$4:$AJ$4,0))))+SUMPRODUCT((Inputs!$E$5:$E$120=$B9)*ISNUMBER(INDEX(Inputs!$K$5:$AJ$120,0,MATCH(Z$2,Inputs!$K$4:$AJ$4,0))))=0,NA(),SUMPRODUCT((Inputs!$A$5:$A$120=$B9)*Inputs!$B$5:$B$120*(((Inputs!$G$5:$G$120="moeda")+(Inputs!$G$5:$G$120="acoes"))*Inputs!$B$1+((Inputs!$G$5:$G$120&lt;&gt;"moeda")*(Inputs!$G$5:$G$120&lt;&gt;"acoes")))*INDEX(Inputs!$K$5:$AJ$120,0,MATCH(Z$2,Inputs!$K$4:$AJ$4,0)))+SUMPRODUCT((Inputs!$C$5:$C$120=$B9)*Inputs!$D$5:$D$120*(((Inputs!$G$5:$G$120="moeda")+(Inputs!$G$5:$G$120="acoes"))*Inputs!$B$1+((Inputs!$G$5:$G$120&lt;&gt;"moeda")*(Inputs!$G$5:$G$120&lt;&gt;"acoes")))*INDEX(Inputs!$K$5:$AJ$120,0,MATCH(Z$2,Inputs!$K$4:$AJ$4,0)))+SUMPRODUCT((Inputs!$E$5:$E$120=$B9)*Inputs!$F$5:$F$120*(((Inputs!$G$5:$G$120="moeda")+(Inputs!$G$5:$G$120="acoes"))*Inputs!$B$1+((Inputs!$G$5:$G$120&lt;&gt;"moeda")*(Inputs!$G$5:$G$120&lt;&gt;"acoes")))*INDEX(Inputs!$K$5:$AJ$120,0,MATCH(Z$2,Inputs!$K$4:$AJ$4,0)))))</f>
        <v>7412</v>
      </c>
      <c r="AA9" s="6">
        <f>IF(ISNA(MATCH(AA$2,Inputs!$K$4:$AJ$4,0)),NA(),IF(SUMPRODUCT((Inputs!$A$5:$A$120=$B9)*ISNUMBER(INDEX(Inputs!$K$5:$AJ$120,0,MATCH(AA$2,Inputs!$K$4:$AJ$4,0))))+SUMPRODUCT((Inputs!$C$5:$C$120=$B9)*ISNUMBER(INDEX(Inputs!$K$5:$AJ$120,0,MATCH(AA$2,Inputs!$K$4:$AJ$4,0))))+SUMPRODUCT((Inputs!$E$5:$E$120=$B9)*ISNUMBER(INDEX(Inputs!$K$5:$AJ$120,0,MATCH(AA$2,Inputs!$K$4:$AJ$4,0))))=0,NA(),SUMPRODUCT((Inputs!$A$5:$A$120=$B9)*Inputs!$B$5:$B$120*(((Inputs!$G$5:$G$120="moeda")+(Inputs!$G$5:$G$120="acoes"))*Inputs!$B$1+((Inputs!$G$5:$G$120&lt;&gt;"moeda")*(Inputs!$G$5:$G$120&lt;&gt;"acoes")))*INDEX(Inputs!$K$5:$AJ$120,0,MATCH(AA$2,Inputs!$K$4:$AJ$4,0)))+SUMPRODUCT((Inputs!$C$5:$C$120=$B9)*Inputs!$D$5:$D$120*(((Inputs!$G$5:$G$120="moeda")+(Inputs!$G$5:$G$120="acoes"))*Inputs!$B$1+((Inputs!$G$5:$G$120&lt;&gt;"moeda")*(Inputs!$G$5:$G$120&lt;&gt;"acoes")))*INDEX(Inputs!$K$5:$AJ$120,0,MATCH(AA$2,Inputs!$K$4:$AJ$4,0)))+SUMPRODUCT((Inputs!$E$5:$E$120=$B9)*Inputs!$F$5:$F$120*(((Inputs!$G$5:$G$120="moeda")+(Inputs!$G$5:$G$120="acoes"))*Inputs!$B$1+((Inputs!$G$5:$G$120&lt;&gt;"moeda")*(Inputs!$G$5:$G$120&lt;&gt;"acoes")))*INDEX(Inputs!$K$5:$AJ$120,0,MATCH(AA$2,Inputs!$K$4:$AJ$4,0)))))</f>
        <v>8488.8</v>
      </c>
      <c r="AB9" s="3">
        <f>SUM(X9:AA9)</f>
        <v>26626.5</v>
      </c>
      <c r="AC9" s="6">
        <f>IF(ISNA(MATCH(AC$2,Inputs!$K$4:$AJ$4,0)),NA(),IF(SUMPRODUCT((Inputs!$A$5:$A$120=$B9)*ISNUMBER(INDEX(Inputs!$K$5:$AJ$120,0,MATCH(AC$2,Inputs!$K$4:$AJ$4,0))))+SUMPRODUCT((Inputs!$C$5:$C$120=$B9)*ISNUMBER(INDEX(Inputs!$K$5:$AJ$120,0,MATCH(AC$2,Inputs!$K$4:$AJ$4,0))))+SUMPRODUCT((Inputs!$E$5:$E$120=$B9)*ISNUMBER(INDEX(Inputs!$K$5:$AJ$120,0,MATCH(AC$2,Inputs!$K$4:$AJ$4,0))))=0,NA(),SUMPRODUCT((Inputs!$A$5:$A$120=$B9)*Inputs!$B$5:$B$120*(((Inputs!$G$5:$G$120="moeda")+(Inputs!$G$5:$G$120="acoes"))*Inputs!$B$1+((Inputs!$G$5:$G$120&lt;&gt;"moeda")*(Inputs!$G$5:$G$120&lt;&gt;"acoes")))*INDEX(Inputs!$K$5:$AJ$120,0,MATCH(AC$2,Inputs!$K$4:$AJ$4,0)))+SUMPRODUCT((Inputs!$C$5:$C$120=$B9)*Inputs!$D$5:$D$120*(((Inputs!$G$5:$G$120="moeda")+(Inputs!$G$5:$G$120="acoes"))*Inputs!$B$1+((Inputs!$G$5:$G$120&lt;&gt;"moeda")*(Inputs!$G$5:$G$120&lt;&gt;"acoes")))*INDEX(Inputs!$K$5:$AJ$120,0,MATCH(AC$2,Inputs!$K$4:$AJ$4,0)))+SUMPRODUCT((Inputs!$E$5:$E$120=$B9)*Inputs!$F$5:$F$120*(((Inputs!$G$5:$G$120="moeda")+(Inputs!$G$5:$G$120="acoes"))*Inputs!$B$1+((Inputs!$G$5:$G$120&lt;&gt;"moeda")*(Inputs!$G$5:$G$120&lt;&gt;"acoes")))*INDEX(Inputs!$K$5:$AJ$120,0,MATCH(AC$2,Inputs!$K$4:$AJ$4,0)))))</f>
        <v>8850</v>
      </c>
      <c r="AD9" s="6">
        <f>IF(ISNA(MATCH(AD$2,Inputs!$K$4:$AJ$4,0)),NA(),IF(SUMPRODUCT((Inputs!$A$5:$A$120=$B9)*ISNUMBER(INDEX(Inputs!$K$5:$AJ$120,0,MATCH(AD$2,Inputs!$K$4:$AJ$4,0))))+SUMPRODUCT((Inputs!$C$5:$C$120=$B9)*ISNUMBER(INDEX(Inputs!$K$5:$AJ$120,0,MATCH(AD$2,Inputs!$K$4:$AJ$4,0))))+SUMPRODUCT((Inputs!$E$5:$E$120=$B9)*ISNUMBER(INDEX(Inputs!$K$5:$AJ$120,0,MATCH(AD$2,Inputs!$K$4:$AJ$4,0))))=0,NA(),SUMPRODUCT((Inputs!$A$5:$A$120=$B9)*Inputs!$B$5:$B$120*(((Inputs!$G$5:$G$120="moeda")+(Inputs!$G$5:$G$120="acoes"))*Inputs!$B$1+((Inputs!$G$5:$G$120&lt;&gt;"moeda")*(Inputs!$G$5:$G$120&lt;&gt;"acoes")))*INDEX(Inputs!$K$5:$AJ$120,0,MATCH(AD$2,Inputs!$K$4:$AJ$4,0)))+SUMPRODUCT((Inputs!$C$5:$C$120=$B9)*Inputs!$D$5:$D$120*(((Inputs!$G$5:$G$120="moeda")+(Inputs!$G$5:$G$120="acoes"))*Inputs!$B$1+((Inputs!$G$5:$G$120&lt;&gt;"moeda")*(Inputs!$G$5:$G$120&lt;&gt;"acoes")))*INDEX(Inputs!$K$5:$AJ$120,0,MATCH(AD$2,Inputs!$K$4:$AJ$4,0)))+SUMPRODUCT((Inputs!$E$5:$E$120=$B9)*Inputs!$F$5:$F$120*(((Inputs!$G$5:$G$120="moeda")+(Inputs!$G$5:$G$120="acoes"))*Inputs!$B$1+((Inputs!$G$5:$G$120&lt;&gt;"moeda")*(Inputs!$G$5:$G$120&lt;&gt;"acoes")))*INDEX(Inputs!$K$5:$AJ$120,0,MATCH(AD$2,Inputs!$K$4:$AJ$4,0)))))</f>
        <v>9247</v>
      </c>
      <c r="AE9" s="6" t="e">
        <f>IF(ISNA(MATCH(AE$2,Inputs!$K$4:$AJ$4,0)),NA(),IF(SUMPRODUCT((Inputs!$A$5:$A$120=$B9)*ISNUMBER(INDEX(Inputs!$K$5:$AJ$120,0,MATCH(AE$2,Inputs!$K$4:$AJ$4,0))))+SUMPRODUCT((Inputs!$C$5:$C$120=$B9)*ISNUMBER(INDEX(Inputs!$K$5:$AJ$120,0,MATCH(AE$2,Inputs!$K$4:$AJ$4,0))))+SUMPRODUCT((Inputs!$E$5:$E$120=$B9)*ISNUMBER(INDEX(Inputs!$K$5:$AJ$120,0,MATCH(AE$2,Inputs!$K$4:$AJ$4,0))))=0,NA(),SUMPRODUCT((Inputs!$A$5:$A$120=$B9)*Inputs!$B$5:$B$120*(((Inputs!$G$5:$G$120="moeda")+(Inputs!$G$5:$G$120="acoes"))*Inputs!$B$1+((Inputs!$G$5:$G$120&lt;&gt;"moeda")*(Inputs!$G$5:$G$120&lt;&gt;"acoes")))*INDEX(Inputs!$K$5:$AJ$120,0,MATCH(AE$2,Inputs!$K$4:$AJ$4,0)))+SUMPRODUCT((Inputs!$C$5:$C$120=$B9)*Inputs!$D$5:$D$120*(((Inputs!$G$5:$G$120="moeda")+(Inputs!$G$5:$G$120="acoes"))*Inputs!$B$1+((Inputs!$G$5:$G$120&lt;&gt;"moeda")*(Inputs!$G$5:$G$120&lt;&gt;"acoes")))*INDEX(Inputs!$K$5:$AJ$120,0,MATCH(AE$2,Inputs!$K$4:$AJ$4,0)))+SUMPRODUCT((Inputs!$E$5:$E$120=$B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9" s="6" t="e">
        <f>IF(ISNA(MATCH(AF$2,Inputs!$K$4:$AJ$4,0)),NA(),IF(SUMPRODUCT((Inputs!$A$5:$A$120=$B9)*ISNUMBER(INDEX(Inputs!$K$5:$AJ$120,0,MATCH(AF$2,Inputs!$K$4:$AJ$4,0))))+SUMPRODUCT((Inputs!$C$5:$C$120=$B9)*ISNUMBER(INDEX(Inputs!$K$5:$AJ$120,0,MATCH(AF$2,Inputs!$K$4:$AJ$4,0))))+SUMPRODUCT((Inputs!$E$5:$E$120=$B9)*ISNUMBER(INDEX(Inputs!$K$5:$AJ$120,0,MATCH(AF$2,Inputs!$K$4:$AJ$4,0))))=0,NA(),SUMPRODUCT((Inputs!$A$5:$A$120=$B9)*Inputs!$B$5:$B$120*(((Inputs!$G$5:$G$120="moeda")+(Inputs!$G$5:$G$120="acoes"))*Inputs!$B$1+((Inputs!$G$5:$G$120&lt;&gt;"moeda")*(Inputs!$G$5:$G$120&lt;&gt;"acoes")))*INDEX(Inputs!$K$5:$AJ$120,0,MATCH(AF$2,Inputs!$K$4:$AJ$4,0)))+SUMPRODUCT((Inputs!$C$5:$C$120=$B9)*Inputs!$D$5:$D$120*(((Inputs!$G$5:$G$120="moeda")+(Inputs!$G$5:$G$120="acoes"))*Inputs!$B$1+((Inputs!$G$5:$G$120&lt;&gt;"moeda")*(Inputs!$G$5:$G$120&lt;&gt;"acoes")))*INDEX(Inputs!$K$5:$AJ$120,0,MATCH(AF$2,Inputs!$K$4:$AJ$4,0)))+SUMPRODUCT((Inputs!$E$5:$E$120=$B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9" s="3" t="e">
        <f>SUM(AC9:AF9)</f>
        <v>#N/A</v>
      </c>
      <c r="AH9" s="6">
        <f>IF(ISNA(MATCH(AH$2,Inputs!$K$4:$AJ$4,0)),NA(),IF(SUMPRODUCT((Inputs!$A$5:$A$120=$B9)*ISNUMBER(INDEX(Inputs!$K$5:$AJ$120,0,MATCH(AH$2,Inputs!$K$4:$AJ$4,0))))+SUMPRODUCT((Inputs!$C$5:$C$120=$B9)*ISNUMBER(INDEX(Inputs!$K$5:$AJ$120,0,MATCH(AH$2,Inputs!$K$4:$AJ$4,0))))+SUMPRODUCT((Inputs!$E$5:$E$120=$B9)*ISNUMBER(INDEX(Inputs!$K$5:$AJ$120,0,MATCH(AH$2,Inputs!$K$4:$AJ$4,0))))=0,NA(),SUMPRODUCT((Inputs!$A$5:$A$120=$B9)*Inputs!$B$5:$B$120*(((Inputs!$G$5:$G$120="moeda")+(Inputs!$G$5:$G$120="acoes"))*Inputs!$B$1+((Inputs!$G$5:$G$120&lt;&gt;"moeda")*(Inputs!$G$5:$G$120&lt;&gt;"acoes")))*INDEX(Inputs!$K$5:$AJ$120,0,MATCH(AH$2,Inputs!$K$4:$AJ$4,0)))+SUMPRODUCT((Inputs!$C$5:$C$120=$B9)*Inputs!$D$5:$D$120*(((Inputs!$G$5:$G$120="moeda")+(Inputs!$G$5:$G$120="acoes"))*Inputs!$B$1+((Inputs!$G$5:$G$120&lt;&gt;"moeda")*(Inputs!$G$5:$G$120&lt;&gt;"acoes")))*INDEX(Inputs!$K$5:$AJ$120,0,MATCH(AH$2,Inputs!$K$4:$AJ$4,0)))+SUMPRODUCT((Inputs!$E$5:$E$120=$B9)*Inputs!$F$5:$F$120*(((Inputs!$G$5:$G$120="moeda")+(Inputs!$G$5:$G$120="acoes"))*Inputs!$B$1+((Inputs!$G$5:$G$120&lt;&gt;"moeda")*(Inputs!$G$5:$G$120&lt;&gt;"acoes")))*INDEX(Inputs!$K$5:$AJ$120,0,MATCH(AH$2,Inputs!$K$4:$AJ$4,0)))))</f>
        <v>1772.4</v>
      </c>
      <c r="AI9" s="6">
        <f>IF(ISNA(MATCH(AI$2,Inputs!$K$4:$AJ$4,0)),NA(),IF(SUMPRODUCT((Inputs!$A$5:$A$120=$B9)*ISNUMBER(INDEX(Inputs!$K$5:$AJ$120,0,MATCH(AI$2,Inputs!$K$4:$AJ$4,0))))+SUMPRODUCT((Inputs!$C$5:$C$120=$B9)*ISNUMBER(INDEX(Inputs!$K$5:$AJ$120,0,MATCH(AI$2,Inputs!$K$4:$AJ$4,0))))+SUMPRODUCT((Inputs!$E$5:$E$120=$B9)*ISNUMBER(INDEX(Inputs!$K$5:$AJ$120,0,MATCH(AI$2,Inputs!$K$4:$AJ$4,0))))=0,NA(),SUMPRODUCT((Inputs!$A$5:$A$120=$B9)*Inputs!$B$5:$B$120*(((Inputs!$G$5:$G$120="moeda")+(Inputs!$G$5:$G$120="acoes"))*Inputs!$B$1+((Inputs!$G$5:$G$120&lt;&gt;"moeda")*(Inputs!$G$5:$G$120&lt;&gt;"acoes")))*INDEX(Inputs!$K$5:$AJ$120,0,MATCH(AI$2,Inputs!$K$4:$AJ$4,0)))+SUMPRODUCT((Inputs!$C$5:$C$120=$B9)*Inputs!$D$5:$D$120*(((Inputs!$G$5:$G$120="moeda")+(Inputs!$G$5:$G$120="acoes"))*Inputs!$B$1+((Inputs!$G$5:$G$120&lt;&gt;"moeda")*(Inputs!$G$5:$G$120&lt;&gt;"acoes")))*INDEX(Inputs!$K$5:$AJ$120,0,MATCH(AI$2,Inputs!$K$4:$AJ$4,0)))+SUMPRODUCT((Inputs!$E$5:$E$120=$B9)*Inputs!$F$5:$F$120*(((Inputs!$G$5:$G$120="moeda")+(Inputs!$G$5:$G$120="acoes"))*Inputs!$B$1+((Inputs!$G$5:$G$120&lt;&gt;"moeda")*(Inputs!$G$5:$G$120&lt;&gt;"acoes")))*INDEX(Inputs!$K$5:$AJ$120,0,MATCH(AI$2,Inputs!$K$4:$AJ$4,0)))))</f>
        <v>1732</v>
      </c>
      <c r="AJ9" s="6">
        <f>IF(ISNA(MATCH(AJ$2,Inputs!$K$4:$AJ$4,0)),NA(),IF(SUMPRODUCT((Inputs!$A$5:$A$120=$B9)*ISNUMBER(INDEX(Inputs!$K$5:$AJ$120,0,MATCH(AJ$2,Inputs!$K$4:$AJ$4,0))))+SUMPRODUCT((Inputs!$C$5:$C$120=$B9)*ISNUMBER(INDEX(Inputs!$K$5:$AJ$120,0,MATCH(AJ$2,Inputs!$K$4:$AJ$4,0))))+SUMPRODUCT((Inputs!$E$5:$E$120=$B9)*ISNUMBER(INDEX(Inputs!$K$5:$AJ$120,0,MATCH(AJ$2,Inputs!$K$4:$AJ$4,0))))=0,NA(),SUMPRODUCT((Inputs!$A$5:$A$120=$B9)*Inputs!$B$5:$B$120*(((Inputs!$G$5:$G$120="moeda")+(Inputs!$G$5:$G$120="acoes"))*Inputs!$B$1+((Inputs!$G$5:$G$120&lt;&gt;"moeda")*(Inputs!$G$5:$G$120&lt;&gt;"acoes")))*INDEX(Inputs!$K$5:$AJ$120,0,MATCH(AJ$2,Inputs!$K$4:$AJ$4,0)))+SUMPRODUCT((Inputs!$C$5:$C$120=$B9)*Inputs!$D$5:$D$120*(((Inputs!$G$5:$G$120="moeda")+(Inputs!$G$5:$G$120="acoes"))*Inputs!$B$1+((Inputs!$G$5:$G$120&lt;&gt;"moeda")*(Inputs!$G$5:$G$120&lt;&gt;"acoes")))*INDEX(Inputs!$K$5:$AJ$120,0,MATCH(AJ$2,Inputs!$K$4:$AJ$4,0)))+SUMPRODUCT((Inputs!$E$5:$E$120=$B9)*Inputs!$F$5:$F$120*(((Inputs!$G$5:$G$120="moeda")+(Inputs!$G$5:$G$120="acoes"))*Inputs!$B$1+((Inputs!$G$5:$G$120&lt;&gt;"moeda")*(Inputs!$G$5:$G$120&lt;&gt;"acoes")))*INDEX(Inputs!$K$5:$AJ$120,0,MATCH(AJ$2,Inputs!$K$4:$AJ$4,0)))))</f>
        <v>1526.8</v>
      </c>
      <c r="AK9" s="6">
        <f>IF(ISNA(MATCH(AK$2,Inputs!$K$4:$AJ$4,0)),NA(),IF(SUMPRODUCT((Inputs!$A$5:$A$120=$B9)*ISNUMBER(INDEX(Inputs!$K$5:$AJ$120,0,MATCH(AK$2,Inputs!$K$4:$AJ$4,0))))+SUMPRODUCT((Inputs!$C$5:$C$120=$B9)*ISNUMBER(INDEX(Inputs!$K$5:$AJ$120,0,MATCH(AK$2,Inputs!$K$4:$AJ$4,0))))+SUMPRODUCT((Inputs!$E$5:$E$120=$B9)*ISNUMBER(INDEX(Inputs!$K$5:$AJ$120,0,MATCH(AK$2,Inputs!$K$4:$AJ$4,0))))=0,NA(),SUMPRODUCT((Inputs!$A$5:$A$120=$B9)*Inputs!$B$5:$B$120*(((Inputs!$G$5:$G$120="moeda")+(Inputs!$G$5:$G$120="acoes"))*Inputs!$B$1+((Inputs!$G$5:$G$120&lt;&gt;"moeda")*(Inputs!$G$5:$G$120&lt;&gt;"acoes")))*INDEX(Inputs!$K$5:$AJ$120,0,MATCH(AK$2,Inputs!$K$4:$AJ$4,0)))+SUMPRODUCT((Inputs!$C$5:$C$120=$B9)*Inputs!$D$5:$D$120*(((Inputs!$G$5:$G$120="moeda")+(Inputs!$G$5:$G$120="acoes"))*Inputs!$B$1+((Inputs!$G$5:$G$120&lt;&gt;"moeda")*(Inputs!$G$5:$G$120&lt;&gt;"acoes")))*INDEX(Inputs!$K$5:$AJ$120,0,MATCH(AK$2,Inputs!$K$4:$AJ$4,0)))+SUMPRODUCT((Inputs!$E$5:$E$120=$B9)*Inputs!$F$5:$F$120*(((Inputs!$G$5:$G$120="moeda")+(Inputs!$G$5:$G$120="acoes"))*Inputs!$B$1+((Inputs!$G$5:$G$120&lt;&gt;"moeda")*(Inputs!$G$5:$G$120&lt;&gt;"acoes")))*INDEX(Inputs!$K$5:$AJ$120,0,MATCH(AK$2,Inputs!$K$4:$AJ$4,0)))))</f>
        <v>2558.3</v>
      </c>
      <c r="AL9" s="3">
        <f>SUM(AH9:AK9)</f>
        <v>7589.5</v>
      </c>
    </row>
    <row r="10">
      <c r="B10" s="46" t="n">
        <v>7</v>
      </c>
      <c r="C10" s="26" t="inlineStr">
        <is>
          <t>Taxes</t>
        </is>
      </c>
      <c r="D10" s="6">
        <f>IF(ISNA(MATCH(D$2,Inputs!$K$4:$AJ$4,0)),NA(),IF(SUMPRODUCT((Inputs!$A$5:$A$120=$B10)*ISNUMBER(INDEX(Inputs!$K$5:$AJ$120,0,MATCH(D$2,Inputs!$K$4:$AJ$4,0))))+SUMPRODUCT((Inputs!$C$5:$C$120=$B10)*ISNUMBER(INDEX(Inputs!$K$5:$AJ$120,0,MATCH(D$2,Inputs!$K$4:$AJ$4,0))))+SUMPRODUCT((Inputs!$E$5:$E$120=$B10)*ISNUMBER(INDEX(Inputs!$K$5:$AJ$120,0,MATCH(D$2,Inputs!$K$4:$AJ$4,0))))=0,NA(),SUMPRODUCT((Inputs!$A$5:$A$120=$B10)*Inputs!$B$5:$B$120*(((Inputs!$G$5:$G$120="moeda")+(Inputs!$G$5:$G$120="acoes"))*Inputs!$B$1+((Inputs!$G$5:$G$120&lt;&gt;"moeda")*(Inputs!$G$5:$G$120&lt;&gt;"acoes")))*INDEX(Inputs!$K$5:$AJ$120,0,MATCH(D$2,Inputs!$K$4:$AJ$4,0)))+SUMPRODUCT((Inputs!$C$5:$C$120=$B10)*Inputs!$D$5:$D$120*(((Inputs!$G$5:$G$120="moeda")+(Inputs!$G$5:$G$120="acoes"))*Inputs!$B$1+((Inputs!$G$5:$G$120&lt;&gt;"moeda")*(Inputs!$G$5:$G$120&lt;&gt;"acoes")))*INDEX(Inputs!$K$5:$AJ$120,0,MATCH(D$2,Inputs!$K$4:$AJ$4,0)))+SUMPRODUCT((Inputs!$E$5:$E$120=$B10)*Inputs!$F$5:$F$120*(((Inputs!$G$5:$G$120="moeda")+(Inputs!$G$5:$G$120="acoes"))*Inputs!$B$1+((Inputs!$G$5:$G$120&lt;&gt;"moeda")*(Inputs!$G$5:$G$120&lt;&gt;"acoes")))*INDEX(Inputs!$K$5:$AJ$120,0,MATCH(D$2,Inputs!$K$4:$AJ$4,0)))))</f>
        <v>-121.1</v>
      </c>
      <c r="E10" s="6">
        <f>IF(ISNA(MATCH(E$2,Inputs!$K$4:$AJ$4,0)),NA(),IF(SUMPRODUCT((Inputs!$A$5:$A$120=$B10)*ISNUMBER(INDEX(Inputs!$K$5:$AJ$120,0,MATCH(E$2,Inputs!$K$4:$AJ$4,0))))+SUMPRODUCT((Inputs!$C$5:$C$120=$B10)*ISNUMBER(INDEX(Inputs!$K$5:$AJ$120,0,MATCH(E$2,Inputs!$K$4:$AJ$4,0))))+SUMPRODUCT((Inputs!$E$5:$E$120=$B10)*ISNUMBER(INDEX(Inputs!$K$5:$AJ$120,0,MATCH(E$2,Inputs!$K$4:$AJ$4,0))))=0,NA(),SUMPRODUCT((Inputs!$A$5:$A$120=$B10)*Inputs!$B$5:$B$120*(((Inputs!$G$5:$G$120="moeda")+(Inputs!$G$5:$G$120="acoes"))*Inputs!$B$1+((Inputs!$G$5:$G$120&lt;&gt;"moeda")*(Inputs!$G$5:$G$120&lt;&gt;"acoes")))*INDEX(Inputs!$K$5:$AJ$120,0,MATCH(E$2,Inputs!$K$4:$AJ$4,0)))+SUMPRODUCT((Inputs!$C$5:$C$120=$B10)*Inputs!$D$5:$D$120*(((Inputs!$G$5:$G$120="moeda")+(Inputs!$G$5:$G$120="acoes"))*Inputs!$B$1+((Inputs!$G$5:$G$120&lt;&gt;"moeda")*(Inputs!$G$5:$G$120&lt;&gt;"acoes")))*INDEX(Inputs!$K$5:$AJ$120,0,MATCH(E$2,Inputs!$K$4:$AJ$4,0)))+SUMPRODUCT((Inputs!$E$5:$E$120=$B10)*Inputs!$F$5:$F$120*(((Inputs!$G$5:$G$120="moeda")+(Inputs!$G$5:$G$120="acoes"))*Inputs!$B$1+((Inputs!$G$5:$G$120&lt;&gt;"moeda")*(Inputs!$G$5:$G$120&lt;&gt;"acoes")))*INDEX(Inputs!$K$5:$AJ$120,0,MATCH(E$2,Inputs!$K$4:$AJ$4,0)))))</f>
        <v>-203.7</v>
      </c>
      <c r="F10" s="6">
        <f>IF(ISNA(MATCH(F$2,Inputs!$K$4:$AJ$4,0)),NA(),IF(SUMPRODUCT((Inputs!$A$5:$A$120=$B10)*ISNUMBER(INDEX(Inputs!$K$5:$AJ$120,0,MATCH(F$2,Inputs!$K$4:$AJ$4,0))))+SUMPRODUCT((Inputs!$C$5:$C$120=$B10)*ISNUMBER(INDEX(Inputs!$K$5:$AJ$120,0,MATCH(F$2,Inputs!$K$4:$AJ$4,0))))+SUMPRODUCT((Inputs!$E$5:$E$120=$B10)*ISNUMBER(INDEX(Inputs!$K$5:$AJ$120,0,MATCH(F$2,Inputs!$K$4:$AJ$4,0))))=0,NA(),SUMPRODUCT((Inputs!$A$5:$A$120=$B10)*Inputs!$B$5:$B$120*(((Inputs!$G$5:$G$120="moeda")+(Inputs!$G$5:$G$120="acoes"))*Inputs!$B$1+((Inputs!$G$5:$G$120&lt;&gt;"moeda")*(Inputs!$G$5:$G$120&lt;&gt;"acoes")))*INDEX(Inputs!$K$5:$AJ$120,0,MATCH(F$2,Inputs!$K$4:$AJ$4,0)))+SUMPRODUCT((Inputs!$C$5:$C$120=$B10)*Inputs!$D$5:$D$120*(((Inputs!$G$5:$G$120="moeda")+(Inputs!$G$5:$G$120="acoes"))*Inputs!$B$1+((Inputs!$G$5:$G$120&lt;&gt;"moeda")*(Inputs!$G$5:$G$120&lt;&gt;"acoes")))*INDEX(Inputs!$K$5:$AJ$120,0,MATCH(F$2,Inputs!$K$4:$AJ$4,0)))+SUMPRODUCT((Inputs!$E$5:$E$120=$B10)*Inputs!$F$5:$F$120*(((Inputs!$G$5:$G$120="moeda")+(Inputs!$G$5:$G$120="acoes"))*Inputs!$B$1+((Inputs!$G$5:$G$120&lt;&gt;"moeda")*(Inputs!$G$5:$G$120&lt;&gt;"acoes")))*INDEX(Inputs!$K$5:$AJ$120,0,MATCH(F$2,Inputs!$K$4:$AJ$4,0)))))</f>
        <v>-135.2</v>
      </c>
      <c r="G10" s="6">
        <f>IF(ISNA(MATCH(G$2,Inputs!$K$4:$AJ$4,0)),NA(),IF(SUMPRODUCT((Inputs!$A$5:$A$120=$B10)*ISNUMBER(INDEX(Inputs!$K$5:$AJ$120,0,MATCH(G$2,Inputs!$K$4:$AJ$4,0))))+SUMPRODUCT((Inputs!$C$5:$C$120=$B10)*ISNUMBER(INDEX(Inputs!$K$5:$AJ$120,0,MATCH(G$2,Inputs!$K$4:$AJ$4,0))))+SUMPRODUCT((Inputs!$E$5:$E$120=$B10)*ISNUMBER(INDEX(Inputs!$K$5:$AJ$120,0,MATCH(G$2,Inputs!$K$4:$AJ$4,0))))=0,NA(),SUMPRODUCT((Inputs!$A$5:$A$120=$B10)*Inputs!$B$5:$B$120*(((Inputs!$G$5:$G$120="moeda")+(Inputs!$G$5:$G$120="acoes"))*Inputs!$B$1+((Inputs!$G$5:$G$120&lt;&gt;"moeda")*(Inputs!$G$5:$G$120&lt;&gt;"acoes")))*INDEX(Inputs!$K$5:$AJ$120,0,MATCH(G$2,Inputs!$K$4:$AJ$4,0)))+SUMPRODUCT((Inputs!$C$5:$C$120=$B10)*Inputs!$D$5:$D$120*(((Inputs!$G$5:$G$120="moeda")+(Inputs!$G$5:$G$120="acoes"))*Inputs!$B$1+((Inputs!$G$5:$G$120&lt;&gt;"moeda")*(Inputs!$G$5:$G$120&lt;&gt;"acoes")))*INDEX(Inputs!$K$5:$AJ$120,0,MATCH(G$2,Inputs!$K$4:$AJ$4,0)))+SUMPRODUCT((Inputs!$E$5:$E$120=$B10)*Inputs!$F$5:$F$120*(((Inputs!$G$5:$G$120="moeda")+(Inputs!$G$5:$G$120="acoes"))*Inputs!$B$1+((Inputs!$G$5:$G$120&lt;&gt;"moeda")*(Inputs!$G$5:$G$120&lt;&gt;"acoes")))*INDEX(Inputs!$K$5:$AJ$120,0,MATCH(G$2,Inputs!$K$4:$AJ$4,0)))))</f>
        <v>-113.8</v>
      </c>
      <c r="H10" s="3">
        <f>SUM(D10:G10)</f>
        <v>-573.8</v>
      </c>
      <c r="I10" s="6">
        <f>IF(ISNA(MATCH(I$2,Inputs!$K$4:$AJ$4,0)),NA(),IF(SUMPRODUCT((Inputs!$A$5:$A$120=$B10)*ISNUMBER(INDEX(Inputs!$K$5:$AJ$120,0,MATCH(I$2,Inputs!$K$4:$AJ$4,0))))+SUMPRODUCT((Inputs!$C$5:$C$120=$B10)*ISNUMBER(INDEX(Inputs!$K$5:$AJ$120,0,MATCH(I$2,Inputs!$K$4:$AJ$4,0))))+SUMPRODUCT((Inputs!$E$5:$E$120=$B10)*ISNUMBER(INDEX(Inputs!$K$5:$AJ$120,0,MATCH(I$2,Inputs!$K$4:$AJ$4,0))))=0,NA(),SUMPRODUCT((Inputs!$A$5:$A$120=$B10)*Inputs!$B$5:$B$120*(((Inputs!$G$5:$G$120="moeda")+(Inputs!$G$5:$G$120="acoes"))*Inputs!$B$1+((Inputs!$G$5:$G$120&lt;&gt;"moeda")*(Inputs!$G$5:$G$120&lt;&gt;"acoes")))*INDEX(Inputs!$K$5:$AJ$120,0,MATCH(I$2,Inputs!$K$4:$AJ$4,0)))+SUMPRODUCT((Inputs!$C$5:$C$120=$B10)*Inputs!$D$5:$D$120*(((Inputs!$G$5:$G$120="moeda")+(Inputs!$G$5:$G$120="acoes"))*Inputs!$B$1+((Inputs!$G$5:$G$120&lt;&gt;"moeda")*(Inputs!$G$5:$G$120&lt;&gt;"acoes")))*INDEX(Inputs!$K$5:$AJ$120,0,MATCH(I$2,Inputs!$K$4:$AJ$4,0)))+SUMPRODUCT((Inputs!$E$5:$E$120=$B10)*Inputs!$F$5:$F$120*(((Inputs!$G$5:$G$120="moeda")+(Inputs!$G$5:$G$120="acoes"))*Inputs!$B$1+((Inputs!$G$5:$G$120&lt;&gt;"moeda")*(Inputs!$G$5:$G$120&lt;&gt;"acoes")))*INDEX(Inputs!$K$5:$AJ$120,0,MATCH(I$2,Inputs!$K$4:$AJ$4,0)))))</f>
        <v>-150.7</v>
      </c>
      <c r="J10" s="6">
        <f>IF(ISNA(MATCH(J$2,Inputs!$K$4:$AJ$4,0)),NA(),IF(SUMPRODUCT((Inputs!$A$5:$A$120=$B10)*ISNUMBER(INDEX(Inputs!$K$5:$AJ$120,0,MATCH(J$2,Inputs!$K$4:$AJ$4,0))))+SUMPRODUCT((Inputs!$C$5:$C$120=$B10)*ISNUMBER(INDEX(Inputs!$K$5:$AJ$120,0,MATCH(J$2,Inputs!$K$4:$AJ$4,0))))+SUMPRODUCT((Inputs!$E$5:$E$120=$B10)*ISNUMBER(INDEX(Inputs!$K$5:$AJ$120,0,MATCH(J$2,Inputs!$K$4:$AJ$4,0))))=0,NA(),SUMPRODUCT((Inputs!$A$5:$A$120=$B10)*Inputs!$B$5:$B$120*(((Inputs!$G$5:$G$120="moeda")+(Inputs!$G$5:$G$120="acoes"))*Inputs!$B$1+((Inputs!$G$5:$G$120&lt;&gt;"moeda")*(Inputs!$G$5:$G$120&lt;&gt;"acoes")))*INDEX(Inputs!$K$5:$AJ$120,0,MATCH(J$2,Inputs!$K$4:$AJ$4,0)))+SUMPRODUCT((Inputs!$C$5:$C$120=$B10)*Inputs!$D$5:$D$120*(((Inputs!$G$5:$G$120="moeda")+(Inputs!$G$5:$G$120="acoes"))*Inputs!$B$1+((Inputs!$G$5:$G$120&lt;&gt;"moeda")*(Inputs!$G$5:$G$120&lt;&gt;"acoes")))*INDEX(Inputs!$K$5:$AJ$120,0,MATCH(J$2,Inputs!$K$4:$AJ$4,0)))+SUMPRODUCT((Inputs!$E$5:$E$120=$B10)*Inputs!$F$5:$F$120*(((Inputs!$G$5:$G$120="moeda")+(Inputs!$G$5:$G$120="acoes"))*Inputs!$B$1+((Inputs!$G$5:$G$120&lt;&gt;"moeda")*(Inputs!$G$5:$G$120&lt;&gt;"acoes")))*INDEX(Inputs!$K$5:$AJ$120,0,MATCH(J$2,Inputs!$K$4:$AJ$4,0)))))</f>
        <v>-138.4</v>
      </c>
      <c r="K10" s="6">
        <f>IF(ISNA(MATCH(K$2,Inputs!$K$4:$AJ$4,0)),NA(),IF(SUMPRODUCT((Inputs!$A$5:$A$120=$B10)*ISNUMBER(INDEX(Inputs!$K$5:$AJ$120,0,MATCH(K$2,Inputs!$K$4:$AJ$4,0))))+SUMPRODUCT((Inputs!$C$5:$C$120=$B10)*ISNUMBER(INDEX(Inputs!$K$5:$AJ$120,0,MATCH(K$2,Inputs!$K$4:$AJ$4,0))))+SUMPRODUCT((Inputs!$E$5:$E$120=$B10)*ISNUMBER(INDEX(Inputs!$K$5:$AJ$120,0,MATCH(K$2,Inputs!$K$4:$AJ$4,0))))=0,NA(),SUMPRODUCT((Inputs!$A$5:$A$120=$B10)*Inputs!$B$5:$B$120*(((Inputs!$G$5:$G$120="moeda")+(Inputs!$G$5:$G$120="acoes"))*Inputs!$B$1+((Inputs!$G$5:$G$120&lt;&gt;"moeda")*(Inputs!$G$5:$G$120&lt;&gt;"acoes")))*INDEX(Inputs!$K$5:$AJ$120,0,MATCH(K$2,Inputs!$K$4:$AJ$4,0)))+SUMPRODUCT((Inputs!$C$5:$C$120=$B10)*Inputs!$D$5:$D$120*(((Inputs!$G$5:$G$120="moeda")+(Inputs!$G$5:$G$120="acoes"))*Inputs!$B$1+((Inputs!$G$5:$G$120&lt;&gt;"moeda")*(Inputs!$G$5:$G$120&lt;&gt;"acoes")))*INDEX(Inputs!$K$5:$AJ$120,0,MATCH(K$2,Inputs!$K$4:$AJ$4,0)))+SUMPRODUCT((Inputs!$E$5:$E$120=$B10)*Inputs!$F$5:$F$120*(((Inputs!$G$5:$G$120="moeda")+(Inputs!$G$5:$G$120="acoes"))*Inputs!$B$1+((Inputs!$G$5:$G$120&lt;&gt;"moeda")*(Inputs!$G$5:$G$120&lt;&gt;"acoes")))*INDEX(Inputs!$K$5:$AJ$120,0,MATCH(K$2,Inputs!$K$4:$AJ$4,0)))))</f>
        <v>-113.8</v>
      </c>
      <c r="L10" s="6">
        <f>IF(ISNA(MATCH(L$2,Inputs!$K$4:$AJ$4,0)),NA(),IF(SUMPRODUCT((Inputs!$A$5:$A$120=$B10)*ISNUMBER(INDEX(Inputs!$K$5:$AJ$120,0,MATCH(L$2,Inputs!$K$4:$AJ$4,0))))+SUMPRODUCT((Inputs!$C$5:$C$120=$B10)*ISNUMBER(INDEX(Inputs!$K$5:$AJ$120,0,MATCH(L$2,Inputs!$K$4:$AJ$4,0))))+SUMPRODUCT((Inputs!$E$5:$E$120=$B10)*ISNUMBER(INDEX(Inputs!$K$5:$AJ$120,0,MATCH(L$2,Inputs!$K$4:$AJ$4,0))))=0,NA(),SUMPRODUCT((Inputs!$A$5:$A$120=$B10)*Inputs!$B$5:$B$120*(((Inputs!$G$5:$G$120="moeda")+(Inputs!$G$5:$G$120="acoes"))*Inputs!$B$1+((Inputs!$G$5:$G$120&lt;&gt;"moeda")*(Inputs!$G$5:$G$120&lt;&gt;"acoes")))*INDEX(Inputs!$K$5:$AJ$120,0,MATCH(L$2,Inputs!$K$4:$AJ$4,0)))+SUMPRODUCT((Inputs!$C$5:$C$120=$B10)*Inputs!$D$5:$D$120*(((Inputs!$G$5:$G$120="moeda")+(Inputs!$G$5:$G$120="acoes"))*Inputs!$B$1+((Inputs!$G$5:$G$120&lt;&gt;"moeda")*(Inputs!$G$5:$G$120&lt;&gt;"acoes")))*INDEX(Inputs!$K$5:$AJ$120,0,MATCH(L$2,Inputs!$K$4:$AJ$4,0)))+SUMPRODUCT((Inputs!$E$5:$E$120=$B10)*Inputs!$F$5:$F$120*(((Inputs!$G$5:$G$120="moeda")+(Inputs!$G$5:$G$120="acoes"))*Inputs!$B$1+((Inputs!$G$5:$G$120&lt;&gt;"moeda")*(Inputs!$G$5:$G$120&lt;&gt;"acoes")))*INDEX(Inputs!$K$5:$AJ$120,0,MATCH(L$2,Inputs!$K$4:$AJ$4,0)))))</f>
        <v>-158.7</v>
      </c>
      <c r="M10" s="3">
        <f>SUM(I10:L10)</f>
        <v>-561.6</v>
      </c>
      <c r="N10" s="6">
        <f>IF(ISNA(MATCH(N$2,Inputs!$K$4:$AJ$4,0)),NA(),IF(SUMPRODUCT((Inputs!$A$5:$A$120=$B10)*ISNUMBER(INDEX(Inputs!$K$5:$AJ$120,0,MATCH(N$2,Inputs!$K$4:$AJ$4,0))))+SUMPRODUCT((Inputs!$C$5:$C$120=$B10)*ISNUMBER(INDEX(Inputs!$K$5:$AJ$120,0,MATCH(N$2,Inputs!$K$4:$AJ$4,0))))+SUMPRODUCT((Inputs!$E$5:$E$120=$B10)*ISNUMBER(INDEX(Inputs!$K$5:$AJ$120,0,MATCH(N$2,Inputs!$K$4:$AJ$4,0))))=0,NA(),SUMPRODUCT((Inputs!$A$5:$A$120=$B10)*Inputs!$B$5:$B$120*(((Inputs!$G$5:$G$120="moeda")+(Inputs!$G$5:$G$120="acoes"))*Inputs!$B$1+((Inputs!$G$5:$G$120&lt;&gt;"moeda")*(Inputs!$G$5:$G$120&lt;&gt;"acoes")))*INDEX(Inputs!$K$5:$AJ$120,0,MATCH(N$2,Inputs!$K$4:$AJ$4,0)))+SUMPRODUCT((Inputs!$C$5:$C$120=$B10)*Inputs!$D$5:$D$120*(((Inputs!$G$5:$G$120="moeda")+(Inputs!$G$5:$G$120="acoes"))*Inputs!$B$1+((Inputs!$G$5:$G$120&lt;&gt;"moeda")*(Inputs!$G$5:$G$120&lt;&gt;"acoes")))*INDEX(Inputs!$K$5:$AJ$120,0,MATCH(N$2,Inputs!$K$4:$AJ$4,0)))+SUMPRODUCT((Inputs!$E$5:$E$120=$B10)*Inputs!$F$5:$F$120*(((Inputs!$G$5:$G$120="moeda")+(Inputs!$G$5:$G$120="acoes"))*Inputs!$B$1+((Inputs!$G$5:$G$120&lt;&gt;"moeda")*(Inputs!$G$5:$G$120&lt;&gt;"acoes")))*INDEX(Inputs!$K$5:$AJ$120,0,MATCH(N$2,Inputs!$K$4:$AJ$4,0)))))</f>
        <v>-184.8</v>
      </c>
      <c r="O10" s="6">
        <f>IF(ISNA(MATCH(O$2,Inputs!$K$4:$AJ$4,0)),NA(),IF(SUMPRODUCT((Inputs!$A$5:$A$120=$B10)*ISNUMBER(INDEX(Inputs!$K$5:$AJ$120,0,MATCH(O$2,Inputs!$K$4:$AJ$4,0))))+SUMPRODUCT((Inputs!$C$5:$C$120=$B10)*ISNUMBER(INDEX(Inputs!$K$5:$AJ$120,0,MATCH(O$2,Inputs!$K$4:$AJ$4,0))))+SUMPRODUCT((Inputs!$E$5:$E$120=$B10)*ISNUMBER(INDEX(Inputs!$K$5:$AJ$120,0,MATCH(O$2,Inputs!$K$4:$AJ$4,0))))=0,NA(),SUMPRODUCT((Inputs!$A$5:$A$120=$B10)*Inputs!$B$5:$B$120*(((Inputs!$G$5:$G$120="moeda")+(Inputs!$G$5:$G$120="acoes"))*Inputs!$B$1+((Inputs!$G$5:$G$120&lt;&gt;"moeda")*(Inputs!$G$5:$G$120&lt;&gt;"acoes")))*INDEX(Inputs!$K$5:$AJ$120,0,MATCH(O$2,Inputs!$K$4:$AJ$4,0)))+SUMPRODUCT((Inputs!$C$5:$C$120=$B10)*Inputs!$D$5:$D$120*(((Inputs!$G$5:$G$120="moeda")+(Inputs!$G$5:$G$120="acoes"))*Inputs!$B$1+((Inputs!$G$5:$G$120&lt;&gt;"moeda")*(Inputs!$G$5:$G$120&lt;&gt;"acoes")))*INDEX(Inputs!$K$5:$AJ$120,0,MATCH(O$2,Inputs!$K$4:$AJ$4,0)))+SUMPRODUCT((Inputs!$E$5:$E$120=$B10)*Inputs!$F$5:$F$120*(((Inputs!$G$5:$G$120="moeda")+(Inputs!$G$5:$G$120="acoes"))*Inputs!$B$1+((Inputs!$G$5:$G$120&lt;&gt;"moeda")*(Inputs!$G$5:$G$120&lt;&gt;"acoes")))*INDEX(Inputs!$K$5:$AJ$120,0,MATCH(O$2,Inputs!$K$4:$AJ$4,0)))))</f>
        <v>-325.7</v>
      </c>
      <c r="P10" s="6">
        <f>IF(ISNA(MATCH(P$2,Inputs!$K$4:$AJ$4,0)),NA(),IF(SUMPRODUCT((Inputs!$A$5:$A$120=$B10)*ISNUMBER(INDEX(Inputs!$K$5:$AJ$120,0,MATCH(P$2,Inputs!$K$4:$AJ$4,0))))+SUMPRODUCT((Inputs!$C$5:$C$120=$B10)*ISNUMBER(INDEX(Inputs!$K$5:$AJ$120,0,MATCH(P$2,Inputs!$K$4:$AJ$4,0))))+SUMPRODUCT((Inputs!$E$5:$E$120=$B10)*ISNUMBER(INDEX(Inputs!$K$5:$AJ$120,0,MATCH(P$2,Inputs!$K$4:$AJ$4,0))))=0,NA(),SUMPRODUCT((Inputs!$A$5:$A$120=$B10)*Inputs!$B$5:$B$120*(((Inputs!$G$5:$G$120="moeda")+(Inputs!$G$5:$G$120="acoes"))*Inputs!$B$1+((Inputs!$G$5:$G$120&lt;&gt;"moeda")*(Inputs!$G$5:$G$120&lt;&gt;"acoes")))*INDEX(Inputs!$K$5:$AJ$120,0,MATCH(P$2,Inputs!$K$4:$AJ$4,0)))+SUMPRODUCT((Inputs!$C$5:$C$120=$B10)*Inputs!$D$5:$D$120*(((Inputs!$G$5:$G$120="moeda")+(Inputs!$G$5:$G$120="acoes"))*Inputs!$B$1+((Inputs!$G$5:$G$120&lt;&gt;"moeda")*(Inputs!$G$5:$G$120&lt;&gt;"acoes")))*INDEX(Inputs!$K$5:$AJ$120,0,MATCH(P$2,Inputs!$K$4:$AJ$4,0)))+SUMPRODUCT((Inputs!$E$5:$E$120=$B10)*Inputs!$F$5:$F$120*(((Inputs!$G$5:$G$120="moeda")+(Inputs!$G$5:$G$120="acoes"))*Inputs!$B$1+((Inputs!$G$5:$G$120&lt;&gt;"moeda")*(Inputs!$G$5:$G$120&lt;&gt;"acoes")))*INDEX(Inputs!$K$5:$AJ$120,0,MATCH(P$2,Inputs!$K$4:$AJ$4,0)))))</f>
        <v>-484.6</v>
      </c>
      <c r="Q10" s="6">
        <f>IF(ISNA(MATCH(Q$2,Inputs!$K$4:$AJ$4,0)),NA(),IF(SUMPRODUCT((Inputs!$A$5:$A$120=$B10)*ISNUMBER(INDEX(Inputs!$K$5:$AJ$120,0,MATCH(Q$2,Inputs!$K$4:$AJ$4,0))))+SUMPRODUCT((Inputs!$C$5:$C$120=$B10)*ISNUMBER(INDEX(Inputs!$K$5:$AJ$120,0,MATCH(Q$2,Inputs!$K$4:$AJ$4,0))))+SUMPRODUCT((Inputs!$E$5:$E$120=$B10)*ISNUMBER(INDEX(Inputs!$K$5:$AJ$120,0,MATCH(Q$2,Inputs!$K$4:$AJ$4,0))))=0,NA(),SUMPRODUCT((Inputs!$A$5:$A$120=$B10)*Inputs!$B$5:$B$120*(((Inputs!$G$5:$G$120="moeda")+(Inputs!$G$5:$G$120="acoes"))*Inputs!$B$1+((Inputs!$G$5:$G$120&lt;&gt;"moeda")*(Inputs!$G$5:$G$120&lt;&gt;"acoes")))*INDEX(Inputs!$K$5:$AJ$120,0,MATCH(Q$2,Inputs!$K$4:$AJ$4,0)))+SUMPRODUCT((Inputs!$C$5:$C$120=$B10)*Inputs!$D$5:$D$120*(((Inputs!$G$5:$G$120="moeda")+(Inputs!$G$5:$G$120="acoes"))*Inputs!$B$1+((Inputs!$G$5:$G$120&lt;&gt;"moeda")*(Inputs!$G$5:$G$120&lt;&gt;"acoes")))*INDEX(Inputs!$K$5:$AJ$120,0,MATCH(Q$2,Inputs!$K$4:$AJ$4,0)))+SUMPRODUCT((Inputs!$E$5:$E$120=$B10)*Inputs!$F$5:$F$120*(((Inputs!$G$5:$G$120="moeda")+(Inputs!$G$5:$G$120="acoes"))*Inputs!$B$1+((Inputs!$G$5:$G$120&lt;&gt;"moeda")*(Inputs!$G$5:$G$120&lt;&gt;"acoes")))*INDEX(Inputs!$K$5:$AJ$120,0,MATCH(Q$2,Inputs!$K$4:$AJ$4,0)))))</f>
        <v>-319.1</v>
      </c>
      <c r="R10" s="3">
        <f>SUM(N10:Q10)</f>
        <v>-1314.2</v>
      </c>
      <c r="S10" s="6">
        <f>IF(ISNA(MATCH(S$2,Inputs!$K$4:$AJ$4,0)),NA(),IF(SUMPRODUCT((Inputs!$A$5:$A$120=$B10)*ISNUMBER(INDEX(Inputs!$K$5:$AJ$120,0,MATCH(S$2,Inputs!$K$4:$AJ$4,0))))+SUMPRODUCT((Inputs!$C$5:$C$120=$B10)*ISNUMBER(INDEX(Inputs!$K$5:$AJ$120,0,MATCH(S$2,Inputs!$K$4:$AJ$4,0))))+SUMPRODUCT((Inputs!$E$5:$E$120=$B10)*ISNUMBER(INDEX(Inputs!$K$5:$AJ$120,0,MATCH(S$2,Inputs!$K$4:$AJ$4,0))))=0,NA(),SUMPRODUCT((Inputs!$A$5:$A$120=$B10)*Inputs!$B$5:$B$120*(((Inputs!$G$5:$G$120="moeda")+(Inputs!$G$5:$G$120="acoes"))*Inputs!$B$1+((Inputs!$G$5:$G$120&lt;&gt;"moeda")*(Inputs!$G$5:$G$120&lt;&gt;"acoes")))*INDEX(Inputs!$K$5:$AJ$120,0,MATCH(S$2,Inputs!$K$4:$AJ$4,0)))+SUMPRODUCT((Inputs!$C$5:$C$120=$B10)*Inputs!$D$5:$D$120*(((Inputs!$G$5:$G$120="moeda")+(Inputs!$G$5:$G$120="acoes"))*Inputs!$B$1+((Inputs!$G$5:$G$120&lt;&gt;"moeda")*(Inputs!$G$5:$G$120&lt;&gt;"acoes")))*INDEX(Inputs!$K$5:$AJ$120,0,MATCH(S$2,Inputs!$K$4:$AJ$4,0)))+SUMPRODUCT((Inputs!$E$5:$E$120=$B10)*Inputs!$F$5:$F$120*(((Inputs!$G$5:$G$120="moeda")+(Inputs!$G$5:$G$120="acoes"))*Inputs!$B$1+((Inputs!$G$5:$G$120&lt;&gt;"moeda")*(Inputs!$G$5:$G$120&lt;&gt;"acoes")))*INDEX(Inputs!$K$5:$AJ$120,0,MATCH(S$2,Inputs!$K$4:$AJ$4,0)))))</f>
        <v>-293.2</v>
      </c>
      <c r="T10" s="6">
        <f>IF(ISNA(MATCH(T$2,Inputs!$K$4:$AJ$4,0)),NA(),IF(SUMPRODUCT((Inputs!$A$5:$A$120=$B10)*ISNUMBER(INDEX(Inputs!$K$5:$AJ$120,0,MATCH(T$2,Inputs!$K$4:$AJ$4,0))))+SUMPRODUCT((Inputs!$C$5:$C$120=$B10)*ISNUMBER(INDEX(Inputs!$K$5:$AJ$120,0,MATCH(T$2,Inputs!$K$4:$AJ$4,0))))+SUMPRODUCT((Inputs!$E$5:$E$120=$B10)*ISNUMBER(INDEX(Inputs!$K$5:$AJ$120,0,MATCH(T$2,Inputs!$K$4:$AJ$4,0))))=0,NA(),SUMPRODUCT((Inputs!$A$5:$A$120=$B10)*Inputs!$B$5:$B$120*(((Inputs!$G$5:$G$120="moeda")+(Inputs!$G$5:$G$120="acoes"))*Inputs!$B$1+((Inputs!$G$5:$G$120&lt;&gt;"moeda")*(Inputs!$G$5:$G$120&lt;&gt;"acoes")))*INDEX(Inputs!$K$5:$AJ$120,0,MATCH(T$2,Inputs!$K$4:$AJ$4,0)))+SUMPRODUCT((Inputs!$C$5:$C$120=$B10)*Inputs!$D$5:$D$120*(((Inputs!$G$5:$G$120="moeda")+(Inputs!$G$5:$G$120="acoes"))*Inputs!$B$1+((Inputs!$G$5:$G$120&lt;&gt;"moeda")*(Inputs!$G$5:$G$120&lt;&gt;"acoes")))*INDEX(Inputs!$K$5:$AJ$120,0,MATCH(T$2,Inputs!$K$4:$AJ$4,0)))+SUMPRODUCT((Inputs!$E$5:$E$120=$B10)*Inputs!$F$5:$F$120*(((Inputs!$G$5:$G$120="moeda")+(Inputs!$G$5:$G$120="acoes"))*Inputs!$B$1+((Inputs!$G$5:$G$120&lt;&gt;"moeda")*(Inputs!$G$5:$G$120&lt;&gt;"acoes")))*INDEX(Inputs!$K$5:$AJ$120,0,MATCH(T$2,Inputs!$K$4:$AJ$4,0)))))</f>
        <v>-550.2</v>
      </c>
      <c r="U10" s="6">
        <f>IF(ISNA(MATCH(U$2,Inputs!$K$4:$AJ$4,0)),NA(),IF(SUMPRODUCT((Inputs!$A$5:$A$120=$B10)*ISNUMBER(INDEX(Inputs!$K$5:$AJ$120,0,MATCH(U$2,Inputs!$K$4:$AJ$4,0))))+SUMPRODUCT((Inputs!$C$5:$C$120=$B10)*ISNUMBER(INDEX(Inputs!$K$5:$AJ$120,0,MATCH(U$2,Inputs!$K$4:$AJ$4,0))))+SUMPRODUCT((Inputs!$E$5:$E$120=$B10)*ISNUMBER(INDEX(Inputs!$K$5:$AJ$120,0,MATCH(U$2,Inputs!$K$4:$AJ$4,0))))=0,NA(),SUMPRODUCT((Inputs!$A$5:$A$120=$B10)*Inputs!$B$5:$B$120*(((Inputs!$G$5:$G$120="moeda")+(Inputs!$G$5:$G$120="acoes"))*Inputs!$B$1+((Inputs!$G$5:$G$120&lt;&gt;"moeda")*(Inputs!$G$5:$G$120&lt;&gt;"acoes")))*INDEX(Inputs!$K$5:$AJ$120,0,MATCH(U$2,Inputs!$K$4:$AJ$4,0)))+SUMPRODUCT((Inputs!$C$5:$C$120=$B10)*Inputs!$D$5:$D$120*(((Inputs!$G$5:$G$120="moeda")+(Inputs!$G$5:$G$120="acoes"))*Inputs!$B$1+((Inputs!$G$5:$G$120&lt;&gt;"moeda")*(Inputs!$G$5:$G$120&lt;&gt;"acoes")))*INDEX(Inputs!$K$5:$AJ$120,0,MATCH(U$2,Inputs!$K$4:$AJ$4,0)))+SUMPRODUCT((Inputs!$E$5:$E$120=$B10)*Inputs!$F$5:$F$120*(((Inputs!$G$5:$G$120="moeda")+(Inputs!$G$5:$G$120="acoes"))*Inputs!$B$1+((Inputs!$G$5:$G$120&lt;&gt;"moeda")*(Inputs!$G$5:$G$120&lt;&gt;"acoes")))*INDEX(Inputs!$K$5:$AJ$120,0,MATCH(U$2,Inputs!$K$4:$AJ$4,0)))))</f>
        <v>-618.1</v>
      </c>
      <c r="V10" s="6">
        <f>IF(ISNA(MATCH(V$2,Inputs!$K$4:$AJ$4,0)),NA(),IF(SUMPRODUCT((Inputs!$A$5:$A$120=$B10)*ISNUMBER(INDEX(Inputs!$K$5:$AJ$120,0,MATCH(V$2,Inputs!$K$4:$AJ$4,0))))+SUMPRODUCT((Inputs!$C$5:$C$120=$B10)*ISNUMBER(INDEX(Inputs!$K$5:$AJ$120,0,MATCH(V$2,Inputs!$K$4:$AJ$4,0))))+SUMPRODUCT((Inputs!$E$5:$E$120=$B10)*ISNUMBER(INDEX(Inputs!$K$5:$AJ$120,0,MATCH(V$2,Inputs!$K$4:$AJ$4,0))))=0,NA(),SUMPRODUCT((Inputs!$A$5:$A$120=$B10)*Inputs!$B$5:$B$120*(((Inputs!$G$5:$G$120="moeda")+(Inputs!$G$5:$G$120="acoes"))*Inputs!$B$1+((Inputs!$G$5:$G$120&lt;&gt;"moeda")*(Inputs!$G$5:$G$120&lt;&gt;"acoes")))*INDEX(Inputs!$K$5:$AJ$120,0,MATCH(V$2,Inputs!$K$4:$AJ$4,0)))+SUMPRODUCT((Inputs!$C$5:$C$120=$B10)*Inputs!$D$5:$D$120*(((Inputs!$G$5:$G$120="moeda")+(Inputs!$G$5:$G$120="acoes"))*Inputs!$B$1+((Inputs!$G$5:$G$120&lt;&gt;"moeda")*(Inputs!$G$5:$G$120&lt;&gt;"acoes")))*INDEX(Inputs!$K$5:$AJ$120,0,MATCH(V$2,Inputs!$K$4:$AJ$4,0)))+SUMPRODUCT((Inputs!$E$5:$E$120=$B10)*Inputs!$F$5:$F$120*(((Inputs!$G$5:$G$120="moeda")+(Inputs!$G$5:$G$120="acoes"))*Inputs!$B$1+((Inputs!$G$5:$G$120&lt;&gt;"moeda")*(Inputs!$G$5:$G$120&lt;&gt;"acoes")))*INDEX(Inputs!$K$5:$AJ$120,0,MATCH(V$2,Inputs!$K$4:$AJ$4,0)))))</f>
        <v>-628.9</v>
      </c>
      <c r="W10" s="3">
        <f>SUM(S10:V10)</f>
        <v>-2090.4</v>
      </c>
      <c r="X10" s="6">
        <f>IF(ISNA(MATCH(X$2,Inputs!$K$4:$AJ$4,0)),NA(),IF(SUMPRODUCT((Inputs!$A$5:$A$120=$B10)*ISNUMBER(INDEX(Inputs!$K$5:$AJ$120,0,MATCH(X$2,Inputs!$K$4:$AJ$4,0))))+SUMPRODUCT((Inputs!$C$5:$C$120=$B10)*ISNUMBER(INDEX(Inputs!$K$5:$AJ$120,0,MATCH(X$2,Inputs!$K$4:$AJ$4,0))))+SUMPRODUCT((Inputs!$E$5:$E$120=$B10)*ISNUMBER(INDEX(Inputs!$K$5:$AJ$120,0,MATCH(X$2,Inputs!$K$4:$AJ$4,0))))=0,NA(),SUMPRODUCT((Inputs!$A$5:$A$120=$B10)*Inputs!$B$5:$B$120*(((Inputs!$G$5:$G$120="moeda")+(Inputs!$G$5:$G$120="acoes"))*Inputs!$B$1+((Inputs!$G$5:$G$120&lt;&gt;"moeda")*(Inputs!$G$5:$G$120&lt;&gt;"acoes")))*INDEX(Inputs!$K$5:$AJ$120,0,MATCH(X$2,Inputs!$K$4:$AJ$4,0)))+SUMPRODUCT((Inputs!$C$5:$C$120=$B10)*Inputs!$D$5:$D$120*(((Inputs!$G$5:$G$120="moeda")+(Inputs!$G$5:$G$120="acoes"))*Inputs!$B$1+((Inputs!$G$5:$G$120&lt;&gt;"moeda")*(Inputs!$G$5:$G$120&lt;&gt;"acoes")))*INDEX(Inputs!$K$5:$AJ$120,0,MATCH(X$2,Inputs!$K$4:$AJ$4,0)))+SUMPRODUCT((Inputs!$E$5:$E$120=$B10)*Inputs!$F$5:$F$120*(((Inputs!$G$5:$G$120="moeda")+(Inputs!$G$5:$G$120="acoes"))*Inputs!$B$1+((Inputs!$G$5:$G$120&lt;&gt;"moeda")*(Inputs!$G$5:$G$120&lt;&gt;"acoes")))*INDEX(Inputs!$K$5:$AJ$120,0,MATCH(X$2,Inputs!$K$4:$AJ$4,0)))))</f>
        <v>-697</v>
      </c>
      <c r="Y10" s="6">
        <f>IF(ISNA(MATCH(Y$2,Inputs!$K$4:$AJ$4,0)),NA(),IF(SUMPRODUCT((Inputs!$A$5:$A$120=$B10)*ISNUMBER(INDEX(Inputs!$K$5:$AJ$120,0,MATCH(Y$2,Inputs!$K$4:$AJ$4,0))))+SUMPRODUCT((Inputs!$C$5:$C$120=$B10)*ISNUMBER(INDEX(Inputs!$K$5:$AJ$120,0,MATCH(Y$2,Inputs!$K$4:$AJ$4,0))))+SUMPRODUCT((Inputs!$E$5:$E$120=$B10)*ISNUMBER(INDEX(Inputs!$K$5:$AJ$120,0,MATCH(Y$2,Inputs!$K$4:$AJ$4,0))))=0,NA(),SUMPRODUCT((Inputs!$A$5:$A$120=$B10)*Inputs!$B$5:$B$120*(((Inputs!$G$5:$G$120="moeda")+(Inputs!$G$5:$G$120="acoes"))*Inputs!$B$1+((Inputs!$G$5:$G$120&lt;&gt;"moeda")*(Inputs!$G$5:$G$120&lt;&gt;"acoes")))*INDEX(Inputs!$K$5:$AJ$120,0,MATCH(Y$2,Inputs!$K$4:$AJ$4,0)))+SUMPRODUCT((Inputs!$C$5:$C$120=$B10)*Inputs!$D$5:$D$120*(((Inputs!$G$5:$G$120="moeda")+(Inputs!$G$5:$G$120="acoes"))*Inputs!$B$1+((Inputs!$G$5:$G$120&lt;&gt;"moeda")*(Inputs!$G$5:$G$120&lt;&gt;"acoes")))*INDEX(Inputs!$K$5:$AJ$120,0,MATCH(Y$2,Inputs!$K$4:$AJ$4,0)))+SUMPRODUCT((Inputs!$E$5:$E$120=$B10)*Inputs!$F$5:$F$120*(((Inputs!$G$5:$G$120="moeda")+(Inputs!$G$5:$G$120="acoes"))*Inputs!$B$1+((Inputs!$G$5:$G$120&lt;&gt;"moeda")*(Inputs!$G$5:$G$120&lt;&gt;"acoes")))*INDEX(Inputs!$K$5:$AJ$120,0,MATCH(Y$2,Inputs!$K$4:$AJ$4,0)))))</f>
        <v>-1116</v>
      </c>
      <c r="Z10" s="6">
        <f>IF(ISNA(MATCH(Z$2,Inputs!$K$4:$AJ$4,0)),NA(),IF(SUMPRODUCT((Inputs!$A$5:$A$120=$B10)*ISNUMBER(INDEX(Inputs!$K$5:$AJ$120,0,MATCH(Z$2,Inputs!$K$4:$AJ$4,0))))+SUMPRODUCT((Inputs!$C$5:$C$120=$B10)*ISNUMBER(INDEX(Inputs!$K$5:$AJ$120,0,MATCH(Z$2,Inputs!$K$4:$AJ$4,0))))+SUMPRODUCT((Inputs!$E$5:$E$120=$B10)*ISNUMBER(INDEX(Inputs!$K$5:$AJ$120,0,MATCH(Z$2,Inputs!$K$4:$AJ$4,0))))=0,NA(),SUMPRODUCT((Inputs!$A$5:$A$120=$B10)*Inputs!$B$5:$B$120*(((Inputs!$G$5:$G$120="moeda")+(Inputs!$G$5:$G$120="acoes"))*Inputs!$B$1+((Inputs!$G$5:$G$120&lt;&gt;"moeda")*(Inputs!$G$5:$G$120&lt;&gt;"acoes")))*INDEX(Inputs!$K$5:$AJ$120,0,MATCH(Z$2,Inputs!$K$4:$AJ$4,0)))+SUMPRODUCT((Inputs!$C$5:$C$120=$B10)*Inputs!$D$5:$D$120*(((Inputs!$G$5:$G$120="moeda")+(Inputs!$G$5:$G$120="acoes"))*Inputs!$B$1+((Inputs!$G$5:$G$120&lt;&gt;"moeda")*(Inputs!$G$5:$G$120&lt;&gt;"acoes")))*INDEX(Inputs!$K$5:$AJ$120,0,MATCH(Z$2,Inputs!$K$4:$AJ$4,0)))+SUMPRODUCT((Inputs!$E$5:$E$120=$B10)*Inputs!$F$5:$F$120*(((Inputs!$G$5:$G$120="moeda")+(Inputs!$G$5:$G$120="acoes"))*Inputs!$B$1+((Inputs!$G$5:$G$120&lt;&gt;"moeda")*(Inputs!$G$5:$G$120&lt;&gt;"acoes")))*INDEX(Inputs!$K$5:$AJ$120,0,MATCH(Z$2,Inputs!$K$4:$AJ$4,0)))))</f>
        <v>-1649.9</v>
      </c>
      <c r="AA10" s="6">
        <f>IF(ISNA(MATCH(AA$2,Inputs!$K$4:$AJ$4,0)),NA(),IF(SUMPRODUCT((Inputs!$A$5:$A$120=$B10)*ISNUMBER(INDEX(Inputs!$K$5:$AJ$120,0,MATCH(AA$2,Inputs!$K$4:$AJ$4,0))))+SUMPRODUCT((Inputs!$C$5:$C$120=$B10)*ISNUMBER(INDEX(Inputs!$K$5:$AJ$120,0,MATCH(AA$2,Inputs!$K$4:$AJ$4,0))))+SUMPRODUCT((Inputs!$E$5:$E$120=$B10)*ISNUMBER(INDEX(Inputs!$K$5:$AJ$120,0,MATCH(AA$2,Inputs!$K$4:$AJ$4,0))))=0,NA(),SUMPRODUCT((Inputs!$A$5:$A$120=$B10)*Inputs!$B$5:$B$120*(((Inputs!$G$5:$G$120="moeda")+(Inputs!$G$5:$G$120="acoes"))*Inputs!$B$1+((Inputs!$G$5:$G$120&lt;&gt;"moeda")*(Inputs!$G$5:$G$120&lt;&gt;"acoes")))*INDEX(Inputs!$K$5:$AJ$120,0,MATCH(AA$2,Inputs!$K$4:$AJ$4,0)))+SUMPRODUCT((Inputs!$C$5:$C$120=$B10)*Inputs!$D$5:$D$120*(((Inputs!$G$5:$G$120="moeda")+(Inputs!$G$5:$G$120="acoes"))*Inputs!$B$1+((Inputs!$G$5:$G$120&lt;&gt;"moeda")*(Inputs!$G$5:$G$120&lt;&gt;"acoes")))*INDEX(Inputs!$K$5:$AJ$120,0,MATCH(AA$2,Inputs!$K$4:$AJ$4,0)))+SUMPRODUCT((Inputs!$E$5:$E$120=$B10)*Inputs!$F$5:$F$120*(((Inputs!$G$5:$G$120="moeda")+(Inputs!$G$5:$G$120="acoes"))*Inputs!$B$1+((Inputs!$G$5:$G$120&lt;&gt;"moeda")*(Inputs!$G$5:$G$120&lt;&gt;"acoes")))*INDEX(Inputs!$K$5:$AJ$120,0,MATCH(AA$2,Inputs!$K$4:$AJ$4,0)))))</f>
        <v>-1628.5</v>
      </c>
      <c r="AB10" s="3">
        <f>SUM(X10:AA10)</f>
        <v>-5091.4</v>
      </c>
      <c r="AC10" s="6">
        <f>IF(ISNA(MATCH(AC$2,Inputs!$K$4:$AJ$4,0)),NA(),IF(SUMPRODUCT((Inputs!$A$5:$A$120=$B10)*ISNUMBER(INDEX(Inputs!$K$5:$AJ$120,0,MATCH(AC$2,Inputs!$K$4:$AJ$4,0))))+SUMPRODUCT((Inputs!$C$5:$C$120=$B10)*ISNUMBER(INDEX(Inputs!$K$5:$AJ$120,0,MATCH(AC$2,Inputs!$K$4:$AJ$4,0))))+SUMPRODUCT((Inputs!$E$5:$E$120=$B10)*ISNUMBER(INDEX(Inputs!$K$5:$AJ$120,0,MATCH(AC$2,Inputs!$K$4:$AJ$4,0))))=0,NA(),SUMPRODUCT((Inputs!$A$5:$A$120=$B10)*Inputs!$B$5:$B$120*(((Inputs!$G$5:$G$120="moeda")+(Inputs!$G$5:$G$120="acoes"))*Inputs!$B$1+((Inputs!$G$5:$G$120&lt;&gt;"moeda")*(Inputs!$G$5:$G$120&lt;&gt;"acoes")))*INDEX(Inputs!$K$5:$AJ$120,0,MATCH(AC$2,Inputs!$K$4:$AJ$4,0)))+SUMPRODUCT((Inputs!$C$5:$C$120=$B10)*Inputs!$D$5:$D$120*(((Inputs!$G$5:$G$120="moeda")+(Inputs!$G$5:$G$120="acoes"))*Inputs!$B$1+((Inputs!$G$5:$G$120&lt;&gt;"moeda")*(Inputs!$G$5:$G$120&lt;&gt;"acoes")))*INDEX(Inputs!$K$5:$AJ$120,0,MATCH(AC$2,Inputs!$K$4:$AJ$4,0)))+SUMPRODUCT((Inputs!$E$5:$E$120=$B10)*Inputs!$F$5:$F$120*(((Inputs!$G$5:$G$120="moeda")+(Inputs!$G$5:$G$120="acoes"))*Inputs!$B$1+((Inputs!$G$5:$G$120&lt;&gt;"moeda")*(Inputs!$G$5:$G$120&lt;&gt;"acoes")))*INDEX(Inputs!$K$5:$AJ$120,0,MATCH(AC$2,Inputs!$K$4:$AJ$4,0)))))</f>
        <v>-1454</v>
      </c>
      <c r="AD10" s="6">
        <f>IF(ISNA(MATCH(AD$2,Inputs!$K$4:$AJ$4,0)),NA(),IF(SUMPRODUCT((Inputs!$A$5:$A$120=$B10)*ISNUMBER(INDEX(Inputs!$K$5:$AJ$120,0,MATCH(AD$2,Inputs!$K$4:$AJ$4,0))))+SUMPRODUCT((Inputs!$C$5:$C$120=$B10)*ISNUMBER(INDEX(Inputs!$K$5:$AJ$120,0,MATCH(AD$2,Inputs!$K$4:$AJ$4,0))))+SUMPRODUCT((Inputs!$E$5:$E$120=$B10)*ISNUMBER(INDEX(Inputs!$K$5:$AJ$120,0,MATCH(AD$2,Inputs!$K$4:$AJ$4,0))))=0,NA(),SUMPRODUCT((Inputs!$A$5:$A$120=$B10)*Inputs!$B$5:$B$120*(((Inputs!$G$5:$G$120="moeda")+(Inputs!$G$5:$G$120="acoes"))*Inputs!$B$1+((Inputs!$G$5:$G$120&lt;&gt;"moeda")*(Inputs!$G$5:$G$120&lt;&gt;"acoes")))*INDEX(Inputs!$K$5:$AJ$120,0,MATCH(AD$2,Inputs!$K$4:$AJ$4,0)))+SUMPRODUCT((Inputs!$C$5:$C$120=$B10)*Inputs!$D$5:$D$120*(((Inputs!$G$5:$G$120="moeda")+(Inputs!$G$5:$G$120="acoes"))*Inputs!$B$1+((Inputs!$G$5:$G$120&lt;&gt;"moeda")*(Inputs!$G$5:$G$120&lt;&gt;"acoes")))*INDEX(Inputs!$K$5:$AJ$120,0,MATCH(AD$2,Inputs!$K$4:$AJ$4,0)))+SUMPRODUCT((Inputs!$E$5:$E$120=$B10)*Inputs!$F$5:$F$120*(((Inputs!$G$5:$G$120="moeda")+(Inputs!$G$5:$G$120="acoes"))*Inputs!$B$1+((Inputs!$G$5:$G$120&lt;&gt;"moeda")*(Inputs!$G$5:$G$120&lt;&gt;"acoes")))*INDEX(Inputs!$K$5:$AJ$120,0,MATCH(AD$2,Inputs!$K$4:$AJ$4,0)))))</f>
        <v>-2152</v>
      </c>
      <c r="AE10" s="6" t="e">
        <f>IF(ISNA(MATCH(AE$2,Inputs!$K$4:$AJ$4,0)),NA(),IF(SUMPRODUCT((Inputs!$A$5:$A$120=$B10)*ISNUMBER(INDEX(Inputs!$K$5:$AJ$120,0,MATCH(AE$2,Inputs!$K$4:$AJ$4,0))))+SUMPRODUCT((Inputs!$C$5:$C$120=$B10)*ISNUMBER(INDEX(Inputs!$K$5:$AJ$120,0,MATCH(AE$2,Inputs!$K$4:$AJ$4,0))))+SUMPRODUCT((Inputs!$E$5:$E$120=$B10)*ISNUMBER(INDEX(Inputs!$K$5:$AJ$120,0,MATCH(AE$2,Inputs!$K$4:$AJ$4,0))))=0,NA(),SUMPRODUCT((Inputs!$A$5:$A$120=$B10)*Inputs!$B$5:$B$120*(((Inputs!$G$5:$G$120="moeda")+(Inputs!$G$5:$G$120="acoes"))*Inputs!$B$1+((Inputs!$G$5:$G$120&lt;&gt;"moeda")*(Inputs!$G$5:$G$120&lt;&gt;"acoes")))*INDEX(Inputs!$K$5:$AJ$120,0,MATCH(AE$2,Inputs!$K$4:$AJ$4,0)))+SUMPRODUCT((Inputs!$C$5:$C$120=$B10)*Inputs!$D$5:$D$120*(((Inputs!$G$5:$G$120="moeda")+(Inputs!$G$5:$G$120="acoes"))*Inputs!$B$1+((Inputs!$G$5:$G$120&lt;&gt;"moeda")*(Inputs!$G$5:$G$120&lt;&gt;"acoes")))*INDEX(Inputs!$K$5:$AJ$120,0,MATCH(AE$2,Inputs!$K$4:$AJ$4,0)))+SUMPRODUCT((Inputs!$E$5:$E$120=$B10)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0" s="6" t="e">
        <f>IF(ISNA(MATCH(AF$2,Inputs!$K$4:$AJ$4,0)),NA(),IF(SUMPRODUCT((Inputs!$A$5:$A$120=$B10)*ISNUMBER(INDEX(Inputs!$K$5:$AJ$120,0,MATCH(AF$2,Inputs!$K$4:$AJ$4,0))))+SUMPRODUCT((Inputs!$C$5:$C$120=$B10)*ISNUMBER(INDEX(Inputs!$K$5:$AJ$120,0,MATCH(AF$2,Inputs!$K$4:$AJ$4,0))))+SUMPRODUCT((Inputs!$E$5:$E$120=$B10)*ISNUMBER(INDEX(Inputs!$K$5:$AJ$120,0,MATCH(AF$2,Inputs!$K$4:$AJ$4,0))))=0,NA(),SUMPRODUCT((Inputs!$A$5:$A$120=$B10)*Inputs!$B$5:$B$120*(((Inputs!$G$5:$G$120="moeda")+(Inputs!$G$5:$G$120="acoes"))*Inputs!$B$1+((Inputs!$G$5:$G$120&lt;&gt;"moeda")*(Inputs!$G$5:$G$120&lt;&gt;"acoes")))*INDEX(Inputs!$K$5:$AJ$120,0,MATCH(AF$2,Inputs!$K$4:$AJ$4,0)))+SUMPRODUCT((Inputs!$C$5:$C$120=$B10)*Inputs!$D$5:$D$120*(((Inputs!$G$5:$G$120="moeda")+(Inputs!$G$5:$G$120="acoes"))*Inputs!$B$1+((Inputs!$G$5:$G$120&lt;&gt;"moeda")*(Inputs!$G$5:$G$120&lt;&gt;"acoes")))*INDEX(Inputs!$K$5:$AJ$120,0,MATCH(AF$2,Inputs!$K$4:$AJ$4,0)))+SUMPRODUCT((Inputs!$E$5:$E$120=$B10)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0" s="3" t="e">
        <f>SUM(AC10:AF10)</f>
        <v>#N/A</v>
      </c>
      <c r="AH10" s="6">
        <f>IF(ISNA(MATCH(AH$2,Inputs!$K$4:$AJ$4,0)),NA(),IF(SUMPRODUCT((Inputs!$A$5:$A$120=$B10)*ISNUMBER(INDEX(Inputs!$K$5:$AJ$120,0,MATCH(AH$2,Inputs!$K$4:$AJ$4,0))))+SUMPRODUCT((Inputs!$C$5:$C$120=$B10)*ISNUMBER(INDEX(Inputs!$K$5:$AJ$120,0,MATCH(AH$2,Inputs!$K$4:$AJ$4,0))))+SUMPRODUCT((Inputs!$E$5:$E$120=$B10)*ISNUMBER(INDEX(Inputs!$K$5:$AJ$120,0,MATCH(AH$2,Inputs!$K$4:$AJ$4,0))))=0,NA(),SUMPRODUCT((Inputs!$A$5:$A$120=$B10)*Inputs!$B$5:$B$120*(((Inputs!$G$5:$G$120="moeda")+(Inputs!$G$5:$G$120="acoes"))*Inputs!$B$1+((Inputs!$G$5:$G$120&lt;&gt;"moeda")*(Inputs!$G$5:$G$120&lt;&gt;"acoes")))*INDEX(Inputs!$K$5:$AJ$120,0,MATCH(AH$2,Inputs!$K$4:$AJ$4,0)))+SUMPRODUCT((Inputs!$C$5:$C$120=$B10)*Inputs!$D$5:$D$120*(((Inputs!$G$5:$G$120="moeda")+(Inputs!$G$5:$G$120="acoes"))*Inputs!$B$1+((Inputs!$G$5:$G$120&lt;&gt;"moeda")*(Inputs!$G$5:$G$120&lt;&gt;"acoes")))*INDEX(Inputs!$K$5:$AJ$120,0,MATCH(AH$2,Inputs!$K$4:$AJ$4,0)))+SUMPRODUCT((Inputs!$E$5:$E$120=$B10)*Inputs!$F$5:$F$120*(((Inputs!$G$5:$G$120="moeda")+(Inputs!$G$5:$G$120="acoes"))*Inputs!$B$1+((Inputs!$G$5:$G$120&lt;&gt;"moeda")*(Inputs!$G$5:$G$120&lt;&gt;"acoes")))*INDEX(Inputs!$K$5:$AJ$120,0,MATCH(AH$2,Inputs!$K$4:$AJ$4,0)))))</f>
        <v>-223.4</v>
      </c>
      <c r="AI10" s="6">
        <f>IF(ISNA(MATCH(AI$2,Inputs!$K$4:$AJ$4,0)),NA(),IF(SUMPRODUCT((Inputs!$A$5:$A$120=$B10)*ISNUMBER(INDEX(Inputs!$K$5:$AJ$120,0,MATCH(AI$2,Inputs!$K$4:$AJ$4,0))))+SUMPRODUCT((Inputs!$C$5:$C$120=$B10)*ISNUMBER(INDEX(Inputs!$K$5:$AJ$120,0,MATCH(AI$2,Inputs!$K$4:$AJ$4,0))))+SUMPRODUCT((Inputs!$E$5:$E$120=$B10)*ISNUMBER(INDEX(Inputs!$K$5:$AJ$120,0,MATCH(AI$2,Inputs!$K$4:$AJ$4,0))))=0,NA(),SUMPRODUCT((Inputs!$A$5:$A$120=$B10)*Inputs!$B$5:$B$120*(((Inputs!$G$5:$G$120="moeda")+(Inputs!$G$5:$G$120="acoes"))*Inputs!$B$1+((Inputs!$G$5:$G$120&lt;&gt;"moeda")*(Inputs!$G$5:$G$120&lt;&gt;"acoes")))*INDEX(Inputs!$K$5:$AJ$120,0,MATCH(AI$2,Inputs!$K$4:$AJ$4,0)))+SUMPRODUCT((Inputs!$C$5:$C$120=$B10)*Inputs!$D$5:$D$120*(((Inputs!$G$5:$G$120="moeda")+(Inputs!$G$5:$G$120="acoes"))*Inputs!$B$1+((Inputs!$G$5:$G$120&lt;&gt;"moeda")*(Inputs!$G$5:$G$120&lt;&gt;"acoes")))*INDEX(Inputs!$K$5:$AJ$120,0,MATCH(AI$2,Inputs!$K$4:$AJ$4,0)))+SUMPRODUCT((Inputs!$E$5:$E$120=$B10)*Inputs!$F$5:$F$120*(((Inputs!$G$5:$G$120="moeda")+(Inputs!$G$5:$G$120="acoes"))*Inputs!$B$1+((Inputs!$G$5:$G$120&lt;&gt;"moeda")*(Inputs!$G$5:$G$120&lt;&gt;"acoes")))*INDEX(Inputs!$K$5:$AJ$120,0,MATCH(AI$2,Inputs!$K$4:$AJ$4,0)))))</f>
        <v>-231.7</v>
      </c>
      <c r="AJ10" s="6">
        <f>IF(ISNA(MATCH(AJ$2,Inputs!$K$4:$AJ$4,0)),NA(),IF(SUMPRODUCT((Inputs!$A$5:$A$120=$B10)*ISNUMBER(INDEX(Inputs!$K$5:$AJ$120,0,MATCH(AJ$2,Inputs!$K$4:$AJ$4,0))))+SUMPRODUCT((Inputs!$C$5:$C$120=$B10)*ISNUMBER(INDEX(Inputs!$K$5:$AJ$120,0,MATCH(AJ$2,Inputs!$K$4:$AJ$4,0))))+SUMPRODUCT((Inputs!$E$5:$E$120=$B10)*ISNUMBER(INDEX(Inputs!$K$5:$AJ$120,0,MATCH(AJ$2,Inputs!$K$4:$AJ$4,0))))=0,NA(),SUMPRODUCT((Inputs!$A$5:$A$120=$B10)*Inputs!$B$5:$B$120*(((Inputs!$G$5:$G$120="moeda")+(Inputs!$G$5:$G$120="acoes"))*Inputs!$B$1+((Inputs!$G$5:$G$120&lt;&gt;"moeda")*(Inputs!$G$5:$G$120&lt;&gt;"acoes")))*INDEX(Inputs!$K$5:$AJ$120,0,MATCH(AJ$2,Inputs!$K$4:$AJ$4,0)))+SUMPRODUCT((Inputs!$C$5:$C$120=$B10)*Inputs!$D$5:$D$120*(((Inputs!$G$5:$G$120="moeda")+(Inputs!$G$5:$G$120="acoes"))*Inputs!$B$1+((Inputs!$G$5:$G$120&lt;&gt;"moeda")*(Inputs!$G$5:$G$120&lt;&gt;"acoes")))*INDEX(Inputs!$K$5:$AJ$120,0,MATCH(AJ$2,Inputs!$K$4:$AJ$4,0)))+SUMPRODUCT((Inputs!$E$5:$E$120=$B10)*Inputs!$F$5:$F$120*(((Inputs!$G$5:$G$120="moeda")+(Inputs!$G$5:$G$120="acoes"))*Inputs!$B$1+((Inputs!$G$5:$G$120&lt;&gt;"moeda")*(Inputs!$G$5:$G$120&lt;&gt;"acoes")))*INDEX(Inputs!$K$5:$AJ$120,0,MATCH(AJ$2,Inputs!$K$4:$AJ$4,0)))))</f>
        <v>-228.8</v>
      </c>
      <c r="AK10" s="6">
        <f>IF(ISNA(MATCH(AK$2,Inputs!$K$4:$AJ$4,0)),NA(),IF(SUMPRODUCT((Inputs!$A$5:$A$120=$B10)*ISNUMBER(INDEX(Inputs!$K$5:$AJ$120,0,MATCH(AK$2,Inputs!$K$4:$AJ$4,0))))+SUMPRODUCT((Inputs!$C$5:$C$120=$B10)*ISNUMBER(INDEX(Inputs!$K$5:$AJ$120,0,MATCH(AK$2,Inputs!$K$4:$AJ$4,0))))+SUMPRODUCT((Inputs!$E$5:$E$120=$B10)*ISNUMBER(INDEX(Inputs!$K$5:$AJ$120,0,MATCH(AK$2,Inputs!$K$4:$AJ$4,0))))=0,NA(),SUMPRODUCT((Inputs!$A$5:$A$120=$B10)*Inputs!$B$5:$B$120*(((Inputs!$G$5:$G$120="moeda")+(Inputs!$G$5:$G$120="acoes"))*Inputs!$B$1+((Inputs!$G$5:$G$120&lt;&gt;"moeda")*(Inputs!$G$5:$G$120&lt;&gt;"acoes")))*INDEX(Inputs!$K$5:$AJ$120,0,MATCH(AK$2,Inputs!$K$4:$AJ$4,0)))+SUMPRODUCT((Inputs!$C$5:$C$120=$B10)*Inputs!$D$5:$D$120*(((Inputs!$G$5:$G$120="moeda")+(Inputs!$G$5:$G$120="acoes"))*Inputs!$B$1+((Inputs!$G$5:$G$120&lt;&gt;"moeda")*(Inputs!$G$5:$G$120&lt;&gt;"acoes")))*INDEX(Inputs!$K$5:$AJ$120,0,MATCH(AK$2,Inputs!$K$4:$AJ$4,0)))+SUMPRODUCT((Inputs!$E$5:$E$120=$B10)*Inputs!$F$5:$F$120*(((Inputs!$G$5:$G$120="moeda")+(Inputs!$G$5:$G$120="acoes"))*Inputs!$B$1+((Inputs!$G$5:$G$120&lt;&gt;"moeda")*(Inputs!$G$5:$G$120&lt;&gt;"acoes")))*INDEX(Inputs!$K$5:$AJ$120,0,MATCH(AK$2,Inputs!$K$4:$AJ$4,0)))))</f>
        <v>-352.3</v>
      </c>
      <c r="AL10" s="3">
        <f>SUM(AH10:AK10)</f>
        <v>-1036.2</v>
      </c>
    </row>
    <row r="11">
      <c r="B11" s="46" t="n">
        <v>8</v>
      </c>
      <c r="C11" s="26" t="inlineStr">
        <is>
          <t>Equity in Income of Affiliates, after tax (enter as +)</t>
        </is>
      </c>
      <c r="D11" s="6">
        <f>IF(ISNA(MATCH(D$2,Inputs!$K$4:$AJ$4,0)),NA(),IF(SUMPRODUCT((Inputs!$A$5:$A$120=$B11)*ISNUMBER(INDEX(Inputs!$K$5:$AJ$120,0,MATCH(D$2,Inputs!$K$4:$AJ$4,0))))+SUMPRODUCT((Inputs!$C$5:$C$120=$B11)*ISNUMBER(INDEX(Inputs!$K$5:$AJ$120,0,MATCH(D$2,Inputs!$K$4:$AJ$4,0))))+SUMPRODUCT((Inputs!$E$5:$E$120=$B11)*ISNUMBER(INDEX(Inputs!$K$5:$AJ$120,0,MATCH(D$2,Inputs!$K$4:$AJ$4,0))))=0,NA(),SUMPRODUCT((Inputs!$A$5:$A$120=$B11)*Inputs!$B$5:$B$120*(((Inputs!$G$5:$G$120="moeda")+(Inputs!$G$5:$G$120="acoes"))*Inputs!$B$1+((Inputs!$G$5:$G$120&lt;&gt;"moeda")*(Inputs!$G$5:$G$120&lt;&gt;"acoes")))*INDEX(Inputs!$K$5:$AJ$120,0,MATCH(D$2,Inputs!$K$4:$AJ$4,0)))+SUMPRODUCT((Inputs!$C$5:$C$120=$B11)*Inputs!$D$5:$D$120*(((Inputs!$G$5:$G$120="moeda")+(Inputs!$G$5:$G$120="acoes"))*Inputs!$B$1+((Inputs!$G$5:$G$120&lt;&gt;"moeda")*(Inputs!$G$5:$G$120&lt;&gt;"acoes")))*INDEX(Inputs!$K$5:$AJ$120,0,MATCH(D$2,Inputs!$K$4:$AJ$4,0)))+SUMPRODUCT((Inputs!$E$5:$E$120=$B11)*Inputs!$F$5:$F$120*(((Inputs!$G$5:$G$120="moeda")+(Inputs!$G$5:$G$120="acoes"))*Inputs!$B$1+((Inputs!$G$5:$G$120&lt;&gt;"moeda")*(Inputs!$G$5:$G$120&lt;&gt;"acoes")))*INDEX(Inputs!$K$5:$AJ$120,0,MATCH(D$2,Inputs!$K$4:$AJ$4,0)))))</f>
        <v>0</v>
      </c>
      <c r="E11" s="6">
        <f>IF(ISNA(MATCH(E$2,Inputs!$K$4:$AJ$4,0)),NA(),IF(SUMPRODUCT((Inputs!$A$5:$A$120=$B11)*ISNUMBER(INDEX(Inputs!$K$5:$AJ$120,0,MATCH(E$2,Inputs!$K$4:$AJ$4,0))))+SUMPRODUCT((Inputs!$C$5:$C$120=$B11)*ISNUMBER(INDEX(Inputs!$K$5:$AJ$120,0,MATCH(E$2,Inputs!$K$4:$AJ$4,0))))+SUMPRODUCT((Inputs!$E$5:$E$120=$B11)*ISNUMBER(INDEX(Inputs!$K$5:$AJ$120,0,MATCH(E$2,Inputs!$K$4:$AJ$4,0))))=0,NA(),SUMPRODUCT((Inputs!$A$5:$A$120=$B11)*Inputs!$B$5:$B$120*(((Inputs!$G$5:$G$120="moeda")+(Inputs!$G$5:$G$120="acoes"))*Inputs!$B$1+((Inputs!$G$5:$G$120&lt;&gt;"moeda")*(Inputs!$G$5:$G$120&lt;&gt;"acoes")))*INDEX(Inputs!$K$5:$AJ$120,0,MATCH(E$2,Inputs!$K$4:$AJ$4,0)))+SUMPRODUCT((Inputs!$C$5:$C$120=$B11)*Inputs!$D$5:$D$120*(((Inputs!$G$5:$G$120="moeda")+(Inputs!$G$5:$G$120="acoes"))*Inputs!$B$1+((Inputs!$G$5:$G$120&lt;&gt;"moeda")*(Inputs!$G$5:$G$120&lt;&gt;"acoes")))*INDEX(Inputs!$K$5:$AJ$120,0,MATCH(E$2,Inputs!$K$4:$AJ$4,0)))+SUMPRODUCT((Inputs!$E$5:$E$120=$B11)*Inputs!$F$5:$F$120*(((Inputs!$G$5:$G$120="moeda")+(Inputs!$G$5:$G$120="acoes"))*Inputs!$B$1+((Inputs!$G$5:$G$120&lt;&gt;"moeda")*(Inputs!$G$5:$G$120&lt;&gt;"acoes")))*INDEX(Inputs!$K$5:$AJ$120,0,MATCH(E$2,Inputs!$K$4:$AJ$4,0)))))</f>
        <v>0</v>
      </c>
      <c r="F11" s="6">
        <f>IF(ISNA(MATCH(F$2,Inputs!$K$4:$AJ$4,0)),NA(),IF(SUMPRODUCT((Inputs!$A$5:$A$120=$B11)*ISNUMBER(INDEX(Inputs!$K$5:$AJ$120,0,MATCH(F$2,Inputs!$K$4:$AJ$4,0))))+SUMPRODUCT((Inputs!$C$5:$C$120=$B11)*ISNUMBER(INDEX(Inputs!$K$5:$AJ$120,0,MATCH(F$2,Inputs!$K$4:$AJ$4,0))))+SUMPRODUCT((Inputs!$E$5:$E$120=$B11)*ISNUMBER(INDEX(Inputs!$K$5:$AJ$120,0,MATCH(F$2,Inputs!$K$4:$AJ$4,0))))=0,NA(),SUMPRODUCT((Inputs!$A$5:$A$120=$B11)*Inputs!$B$5:$B$120*(((Inputs!$G$5:$G$120="moeda")+(Inputs!$G$5:$G$120="acoes"))*Inputs!$B$1+((Inputs!$G$5:$G$120&lt;&gt;"moeda")*(Inputs!$G$5:$G$120&lt;&gt;"acoes")))*INDEX(Inputs!$K$5:$AJ$120,0,MATCH(F$2,Inputs!$K$4:$AJ$4,0)))+SUMPRODUCT((Inputs!$C$5:$C$120=$B11)*Inputs!$D$5:$D$120*(((Inputs!$G$5:$G$120="moeda")+(Inputs!$G$5:$G$120="acoes"))*Inputs!$B$1+((Inputs!$G$5:$G$120&lt;&gt;"moeda")*(Inputs!$G$5:$G$120&lt;&gt;"acoes")))*INDEX(Inputs!$K$5:$AJ$120,0,MATCH(F$2,Inputs!$K$4:$AJ$4,0)))+SUMPRODUCT((Inputs!$E$5:$E$120=$B11)*Inputs!$F$5:$F$120*(((Inputs!$G$5:$G$120="moeda")+(Inputs!$G$5:$G$120="acoes"))*Inputs!$B$1+((Inputs!$G$5:$G$120&lt;&gt;"moeda")*(Inputs!$G$5:$G$120&lt;&gt;"acoes")))*INDEX(Inputs!$K$5:$AJ$120,0,MATCH(F$2,Inputs!$K$4:$AJ$4,0)))))</f>
        <v>0</v>
      </c>
      <c r="G11" s="6">
        <f>IF(ISNA(MATCH(G$2,Inputs!$K$4:$AJ$4,0)),NA(),IF(SUMPRODUCT((Inputs!$A$5:$A$120=$B11)*ISNUMBER(INDEX(Inputs!$K$5:$AJ$120,0,MATCH(G$2,Inputs!$K$4:$AJ$4,0))))+SUMPRODUCT((Inputs!$C$5:$C$120=$B11)*ISNUMBER(INDEX(Inputs!$K$5:$AJ$120,0,MATCH(G$2,Inputs!$K$4:$AJ$4,0))))+SUMPRODUCT((Inputs!$E$5:$E$120=$B11)*ISNUMBER(INDEX(Inputs!$K$5:$AJ$120,0,MATCH(G$2,Inputs!$K$4:$AJ$4,0))))=0,NA(),SUMPRODUCT((Inputs!$A$5:$A$120=$B11)*Inputs!$B$5:$B$120*(((Inputs!$G$5:$G$120="moeda")+(Inputs!$G$5:$G$120="acoes"))*Inputs!$B$1+((Inputs!$G$5:$G$120&lt;&gt;"moeda")*(Inputs!$G$5:$G$120&lt;&gt;"acoes")))*INDEX(Inputs!$K$5:$AJ$120,0,MATCH(G$2,Inputs!$K$4:$AJ$4,0)))+SUMPRODUCT((Inputs!$C$5:$C$120=$B11)*Inputs!$D$5:$D$120*(((Inputs!$G$5:$G$120="moeda")+(Inputs!$G$5:$G$120="acoes"))*Inputs!$B$1+((Inputs!$G$5:$G$120&lt;&gt;"moeda")*(Inputs!$G$5:$G$120&lt;&gt;"acoes")))*INDEX(Inputs!$K$5:$AJ$120,0,MATCH(G$2,Inputs!$K$4:$AJ$4,0)))+SUMPRODUCT((Inputs!$E$5:$E$120=$B11)*Inputs!$F$5:$F$120*(((Inputs!$G$5:$G$120="moeda")+(Inputs!$G$5:$G$120="acoes"))*Inputs!$B$1+((Inputs!$G$5:$G$120&lt;&gt;"moeda")*(Inputs!$G$5:$G$120&lt;&gt;"acoes")))*INDEX(Inputs!$K$5:$AJ$120,0,MATCH(G$2,Inputs!$K$4:$AJ$4,0)))))</f>
        <v>0</v>
      </c>
      <c r="H11" s="3">
        <f>SUM(D11:G11)</f>
        <v>0</v>
      </c>
      <c r="I11" s="6">
        <f>IF(ISNA(MATCH(I$2,Inputs!$K$4:$AJ$4,0)),NA(),IF(SUMPRODUCT((Inputs!$A$5:$A$120=$B11)*ISNUMBER(INDEX(Inputs!$K$5:$AJ$120,0,MATCH(I$2,Inputs!$K$4:$AJ$4,0))))+SUMPRODUCT((Inputs!$C$5:$C$120=$B11)*ISNUMBER(INDEX(Inputs!$K$5:$AJ$120,0,MATCH(I$2,Inputs!$K$4:$AJ$4,0))))+SUMPRODUCT((Inputs!$E$5:$E$120=$B11)*ISNUMBER(INDEX(Inputs!$K$5:$AJ$120,0,MATCH(I$2,Inputs!$K$4:$AJ$4,0))))=0,NA(),SUMPRODUCT((Inputs!$A$5:$A$120=$B11)*Inputs!$B$5:$B$120*(((Inputs!$G$5:$G$120="moeda")+(Inputs!$G$5:$G$120="acoes"))*Inputs!$B$1+((Inputs!$G$5:$G$120&lt;&gt;"moeda")*(Inputs!$G$5:$G$120&lt;&gt;"acoes")))*INDEX(Inputs!$K$5:$AJ$120,0,MATCH(I$2,Inputs!$K$4:$AJ$4,0)))+SUMPRODUCT((Inputs!$C$5:$C$120=$B11)*Inputs!$D$5:$D$120*(((Inputs!$G$5:$G$120="moeda")+(Inputs!$G$5:$G$120="acoes"))*Inputs!$B$1+((Inputs!$G$5:$G$120&lt;&gt;"moeda")*(Inputs!$G$5:$G$120&lt;&gt;"acoes")))*INDEX(Inputs!$K$5:$AJ$120,0,MATCH(I$2,Inputs!$K$4:$AJ$4,0)))+SUMPRODUCT((Inputs!$E$5:$E$120=$B11)*Inputs!$F$5:$F$120*(((Inputs!$G$5:$G$120="moeda")+(Inputs!$G$5:$G$120="acoes"))*Inputs!$B$1+((Inputs!$G$5:$G$120&lt;&gt;"moeda")*(Inputs!$G$5:$G$120&lt;&gt;"acoes")))*INDEX(Inputs!$K$5:$AJ$120,0,MATCH(I$2,Inputs!$K$4:$AJ$4,0)))))</f>
        <v>0</v>
      </c>
      <c r="J11" s="6">
        <f>IF(ISNA(MATCH(J$2,Inputs!$K$4:$AJ$4,0)),NA(),IF(SUMPRODUCT((Inputs!$A$5:$A$120=$B11)*ISNUMBER(INDEX(Inputs!$K$5:$AJ$120,0,MATCH(J$2,Inputs!$K$4:$AJ$4,0))))+SUMPRODUCT((Inputs!$C$5:$C$120=$B11)*ISNUMBER(INDEX(Inputs!$K$5:$AJ$120,0,MATCH(J$2,Inputs!$K$4:$AJ$4,0))))+SUMPRODUCT((Inputs!$E$5:$E$120=$B11)*ISNUMBER(INDEX(Inputs!$K$5:$AJ$120,0,MATCH(J$2,Inputs!$K$4:$AJ$4,0))))=0,NA(),SUMPRODUCT((Inputs!$A$5:$A$120=$B11)*Inputs!$B$5:$B$120*(((Inputs!$G$5:$G$120="moeda")+(Inputs!$G$5:$G$120="acoes"))*Inputs!$B$1+((Inputs!$G$5:$G$120&lt;&gt;"moeda")*(Inputs!$G$5:$G$120&lt;&gt;"acoes")))*INDEX(Inputs!$K$5:$AJ$120,0,MATCH(J$2,Inputs!$K$4:$AJ$4,0)))+SUMPRODUCT((Inputs!$C$5:$C$120=$B11)*Inputs!$D$5:$D$120*(((Inputs!$G$5:$G$120="moeda")+(Inputs!$G$5:$G$120="acoes"))*Inputs!$B$1+((Inputs!$G$5:$G$120&lt;&gt;"moeda")*(Inputs!$G$5:$G$120&lt;&gt;"acoes")))*INDEX(Inputs!$K$5:$AJ$120,0,MATCH(J$2,Inputs!$K$4:$AJ$4,0)))+SUMPRODUCT((Inputs!$E$5:$E$120=$B11)*Inputs!$F$5:$F$120*(((Inputs!$G$5:$G$120="moeda")+(Inputs!$G$5:$G$120="acoes"))*Inputs!$B$1+((Inputs!$G$5:$G$120&lt;&gt;"moeda")*(Inputs!$G$5:$G$120&lt;&gt;"acoes")))*INDEX(Inputs!$K$5:$AJ$120,0,MATCH(J$2,Inputs!$K$4:$AJ$4,0)))))</f>
        <v>0</v>
      </c>
      <c r="K11" s="6">
        <f>IF(ISNA(MATCH(K$2,Inputs!$K$4:$AJ$4,0)),NA(),IF(SUMPRODUCT((Inputs!$A$5:$A$120=$B11)*ISNUMBER(INDEX(Inputs!$K$5:$AJ$120,0,MATCH(K$2,Inputs!$K$4:$AJ$4,0))))+SUMPRODUCT((Inputs!$C$5:$C$120=$B11)*ISNUMBER(INDEX(Inputs!$K$5:$AJ$120,0,MATCH(K$2,Inputs!$K$4:$AJ$4,0))))+SUMPRODUCT((Inputs!$E$5:$E$120=$B11)*ISNUMBER(INDEX(Inputs!$K$5:$AJ$120,0,MATCH(K$2,Inputs!$K$4:$AJ$4,0))))=0,NA(),SUMPRODUCT((Inputs!$A$5:$A$120=$B11)*Inputs!$B$5:$B$120*(((Inputs!$G$5:$G$120="moeda")+(Inputs!$G$5:$G$120="acoes"))*Inputs!$B$1+((Inputs!$G$5:$G$120&lt;&gt;"moeda")*(Inputs!$G$5:$G$120&lt;&gt;"acoes")))*INDEX(Inputs!$K$5:$AJ$120,0,MATCH(K$2,Inputs!$K$4:$AJ$4,0)))+SUMPRODUCT((Inputs!$C$5:$C$120=$B11)*Inputs!$D$5:$D$120*(((Inputs!$G$5:$G$120="moeda")+(Inputs!$G$5:$G$120="acoes"))*Inputs!$B$1+((Inputs!$G$5:$G$120&lt;&gt;"moeda")*(Inputs!$G$5:$G$120&lt;&gt;"acoes")))*INDEX(Inputs!$K$5:$AJ$120,0,MATCH(K$2,Inputs!$K$4:$AJ$4,0)))+SUMPRODUCT((Inputs!$E$5:$E$120=$B11)*Inputs!$F$5:$F$120*(((Inputs!$G$5:$G$120="moeda")+(Inputs!$G$5:$G$120="acoes"))*Inputs!$B$1+((Inputs!$G$5:$G$120&lt;&gt;"moeda")*(Inputs!$G$5:$G$120&lt;&gt;"acoes")))*INDEX(Inputs!$K$5:$AJ$120,0,MATCH(K$2,Inputs!$K$4:$AJ$4,0)))))</f>
        <v>0</v>
      </c>
      <c r="L11" s="6">
        <f>IF(ISNA(MATCH(L$2,Inputs!$K$4:$AJ$4,0)),NA(),IF(SUMPRODUCT((Inputs!$A$5:$A$120=$B11)*ISNUMBER(INDEX(Inputs!$K$5:$AJ$120,0,MATCH(L$2,Inputs!$K$4:$AJ$4,0))))+SUMPRODUCT((Inputs!$C$5:$C$120=$B11)*ISNUMBER(INDEX(Inputs!$K$5:$AJ$120,0,MATCH(L$2,Inputs!$K$4:$AJ$4,0))))+SUMPRODUCT((Inputs!$E$5:$E$120=$B11)*ISNUMBER(INDEX(Inputs!$K$5:$AJ$120,0,MATCH(L$2,Inputs!$K$4:$AJ$4,0))))=0,NA(),SUMPRODUCT((Inputs!$A$5:$A$120=$B11)*Inputs!$B$5:$B$120*(((Inputs!$G$5:$G$120="moeda")+(Inputs!$G$5:$G$120="acoes"))*Inputs!$B$1+((Inputs!$G$5:$G$120&lt;&gt;"moeda")*(Inputs!$G$5:$G$120&lt;&gt;"acoes")))*INDEX(Inputs!$K$5:$AJ$120,0,MATCH(L$2,Inputs!$K$4:$AJ$4,0)))+SUMPRODUCT((Inputs!$C$5:$C$120=$B11)*Inputs!$D$5:$D$120*(((Inputs!$G$5:$G$120="moeda")+(Inputs!$G$5:$G$120="acoes"))*Inputs!$B$1+((Inputs!$G$5:$G$120&lt;&gt;"moeda")*(Inputs!$G$5:$G$120&lt;&gt;"acoes")))*INDEX(Inputs!$K$5:$AJ$120,0,MATCH(L$2,Inputs!$K$4:$AJ$4,0)))+SUMPRODUCT((Inputs!$E$5:$E$120=$B11)*Inputs!$F$5:$F$120*(((Inputs!$G$5:$G$120="moeda")+(Inputs!$G$5:$G$120="acoes"))*Inputs!$B$1+((Inputs!$G$5:$G$120&lt;&gt;"moeda")*(Inputs!$G$5:$G$120&lt;&gt;"acoes")))*INDEX(Inputs!$K$5:$AJ$120,0,MATCH(L$2,Inputs!$K$4:$AJ$4,0)))))</f>
        <v>0</v>
      </c>
      <c r="M11" s="3">
        <f>SUM(I11:L11)</f>
        <v>0</v>
      </c>
      <c r="N11" s="6">
        <f>IF(ISNA(MATCH(N$2,Inputs!$K$4:$AJ$4,0)),NA(),IF(SUMPRODUCT((Inputs!$A$5:$A$120=$B11)*ISNUMBER(INDEX(Inputs!$K$5:$AJ$120,0,MATCH(N$2,Inputs!$K$4:$AJ$4,0))))+SUMPRODUCT((Inputs!$C$5:$C$120=$B11)*ISNUMBER(INDEX(Inputs!$K$5:$AJ$120,0,MATCH(N$2,Inputs!$K$4:$AJ$4,0))))+SUMPRODUCT((Inputs!$E$5:$E$120=$B11)*ISNUMBER(INDEX(Inputs!$K$5:$AJ$120,0,MATCH(N$2,Inputs!$K$4:$AJ$4,0))))=0,NA(),SUMPRODUCT((Inputs!$A$5:$A$120=$B11)*Inputs!$B$5:$B$120*(((Inputs!$G$5:$G$120="moeda")+(Inputs!$G$5:$G$120="acoes"))*Inputs!$B$1+((Inputs!$G$5:$G$120&lt;&gt;"moeda")*(Inputs!$G$5:$G$120&lt;&gt;"acoes")))*INDEX(Inputs!$K$5:$AJ$120,0,MATCH(N$2,Inputs!$K$4:$AJ$4,0)))+SUMPRODUCT((Inputs!$C$5:$C$120=$B11)*Inputs!$D$5:$D$120*(((Inputs!$G$5:$G$120="moeda")+(Inputs!$G$5:$G$120="acoes"))*Inputs!$B$1+((Inputs!$G$5:$G$120&lt;&gt;"moeda")*(Inputs!$G$5:$G$120&lt;&gt;"acoes")))*INDEX(Inputs!$K$5:$AJ$120,0,MATCH(N$2,Inputs!$K$4:$AJ$4,0)))+SUMPRODUCT((Inputs!$E$5:$E$120=$B11)*Inputs!$F$5:$F$120*(((Inputs!$G$5:$G$120="moeda")+(Inputs!$G$5:$G$120="acoes"))*Inputs!$B$1+((Inputs!$G$5:$G$120&lt;&gt;"moeda")*(Inputs!$G$5:$G$120&lt;&gt;"acoes")))*INDEX(Inputs!$K$5:$AJ$120,0,MATCH(N$2,Inputs!$K$4:$AJ$4,0)))))</f>
        <v>0</v>
      </c>
      <c r="O11" s="6">
        <f>IF(ISNA(MATCH(O$2,Inputs!$K$4:$AJ$4,0)),NA(),IF(SUMPRODUCT((Inputs!$A$5:$A$120=$B11)*ISNUMBER(INDEX(Inputs!$K$5:$AJ$120,0,MATCH(O$2,Inputs!$K$4:$AJ$4,0))))+SUMPRODUCT((Inputs!$C$5:$C$120=$B11)*ISNUMBER(INDEX(Inputs!$K$5:$AJ$120,0,MATCH(O$2,Inputs!$K$4:$AJ$4,0))))+SUMPRODUCT((Inputs!$E$5:$E$120=$B11)*ISNUMBER(INDEX(Inputs!$K$5:$AJ$120,0,MATCH(O$2,Inputs!$K$4:$AJ$4,0))))=0,NA(),SUMPRODUCT((Inputs!$A$5:$A$120=$B11)*Inputs!$B$5:$B$120*(((Inputs!$G$5:$G$120="moeda")+(Inputs!$G$5:$G$120="acoes"))*Inputs!$B$1+((Inputs!$G$5:$G$120&lt;&gt;"moeda")*(Inputs!$G$5:$G$120&lt;&gt;"acoes")))*INDEX(Inputs!$K$5:$AJ$120,0,MATCH(O$2,Inputs!$K$4:$AJ$4,0)))+SUMPRODUCT((Inputs!$C$5:$C$120=$B11)*Inputs!$D$5:$D$120*(((Inputs!$G$5:$G$120="moeda")+(Inputs!$G$5:$G$120="acoes"))*Inputs!$B$1+((Inputs!$G$5:$G$120&lt;&gt;"moeda")*(Inputs!$G$5:$G$120&lt;&gt;"acoes")))*INDEX(Inputs!$K$5:$AJ$120,0,MATCH(O$2,Inputs!$K$4:$AJ$4,0)))+SUMPRODUCT((Inputs!$E$5:$E$120=$B11)*Inputs!$F$5:$F$120*(((Inputs!$G$5:$G$120="moeda")+(Inputs!$G$5:$G$120="acoes"))*Inputs!$B$1+((Inputs!$G$5:$G$120&lt;&gt;"moeda")*(Inputs!$G$5:$G$120&lt;&gt;"acoes")))*INDEX(Inputs!$K$5:$AJ$120,0,MATCH(O$2,Inputs!$K$4:$AJ$4,0)))))</f>
        <v>0</v>
      </c>
      <c r="P11" s="6">
        <f>IF(ISNA(MATCH(P$2,Inputs!$K$4:$AJ$4,0)),NA(),IF(SUMPRODUCT((Inputs!$A$5:$A$120=$B11)*ISNUMBER(INDEX(Inputs!$K$5:$AJ$120,0,MATCH(P$2,Inputs!$K$4:$AJ$4,0))))+SUMPRODUCT((Inputs!$C$5:$C$120=$B11)*ISNUMBER(INDEX(Inputs!$K$5:$AJ$120,0,MATCH(P$2,Inputs!$K$4:$AJ$4,0))))+SUMPRODUCT((Inputs!$E$5:$E$120=$B11)*ISNUMBER(INDEX(Inputs!$K$5:$AJ$120,0,MATCH(P$2,Inputs!$K$4:$AJ$4,0))))=0,NA(),SUMPRODUCT((Inputs!$A$5:$A$120=$B11)*Inputs!$B$5:$B$120*(((Inputs!$G$5:$G$120="moeda")+(Inputs!$G$5:$G$120="acoes"))*Inputs!$B$1+((Inputs!$G$5:$G$120&lt;&gt;"moeda")*(Inputs!$G$5:$G$120&lt;&gt;"acoes")))*INDEX(Inputs!$K$5:$AJ$120,0,MATCH(P$2,Inputs!$K$4:$AJ$4,0)))+SUMPRODUCT((Inputs!$C$5:$C$120=$B11)*Inputs!$D$5:$D$120*(((Inputs!$G$5:$G$120="moeda")+(Inputs!$G$5:$G$120="acoes"))*Inputs!$B$1+((Inputs!$G$5:$G$120&lt;&gt;"moeda")*(Inputs!$G$5:$G$120&lt;&gt;"acoes")))*INDEX(Inputs!$K$5:$AJ$120,0,MATCH(P$2,Inputs!$K$4:$AJ$4,0)))+SUMPRODUCT((Inputs!$E$5:$E$120=$B11)*Inputs!$F$5:$F$120*(((Inputs!$G$5:$G$120="moeda")+(Inputs!$G$5:$G$120="acoes"))*Inputs!$B$1+((Inputs!$G$5:$G$120&lt;&gt;"moeda")*(Inputs!$G$5:$G$120&lt;&gt;"acoes")))*INDEX(Inputs!$K$5:$AJ$120,0,MATCH(P$2,Inputs!$K$4:$AJ$4,0)))))</f>
        <v>0</v>
      </c>
      <c r="Q11" s="6">
        <f>IF(ISNA(MATCH(Q$2,Inputs!$K$4:$AJ$4,0)),NA(),IF(SUMPRODUCT((Inputs!$A$5:$A$120=$B11)*ISNUMBER(INDEX(Inputs!$K$5:$AJ$120,0,MATCH(Q$2,Inputs!$K$4:$AJ$4,0))))+SUMPRODUCT((Inputs!$C$5:$C$120=$B11)*ISNUMBER(INDEX(Inputs!$K$5:$AJ$120,0,MATCH(Q$2,Inputs!$K$4:$AJ$4,0))))+SUMPRODUCT((Inputs!$E$5:$E$120=$B11)*ISNUMBER(INDEX(Inputs!$K$5:$AJ$120,0,MATCH(Q$2,Inputs!$K$4:$AJ$4,0))))=0,NA(),SUMPRODUCT((Inputs!$A$5:$A$120=$B11)*Inputs!$B$5:$B$120*(((Inputs!$G$5:$G$120="moeda")+(Inputs!$G$5:$G$120="acoes"))*Inputs!$B$1+((Inputs!$G$5:$G$120&lt;&gt;"moeda")*(Inputs!$G$5:$G$120&lt;&gt;"acoes")))*INDEX(Inputs!$K$5:$AJ$120,0,MATCH(Q$2,Inputs!$K$4:$AJ$4,0)))+SUMPRODUCT((Inputs!$C$5:$C$120=$B11)*Inputs!$D$5:$D$120*(((Inputs!$G$5:$G$120="moeda")+(Inputs!$G$5:$G$120="acoes"))*Inputs!$B$1+((Inputs!$G$5:$G$120&lt;&gt;"moeda")*(Inputs!$G$5:$G$120&lt;&gt;"acoes")))*INDEX(Inputs!$K$5:$AJ$120,0,MATCH(Q$2,Inputs!$K$4:$AJ$4,0)))+SUMPRODUCT((Inputs!$E$5:$E$120=$B11)*Inputs!$F$5:$F$120*(((Inputs!$G$5:$G$120="moeda")+(Inputs!$G$5:$G$120="acoes"))*Inputs!$B$1+((Inputs!$G$5:$G$120&lt;&gt;"moeda")*(Inputs!$G$5:$G$120&lt;&gt;"acoes")))*INDEX(Inputs!$K$5:$AJ$120,0,MATCH(Q$2,Inputs!$K$4:$AJ$4,0)))))</f>
        <v>0</v>
      </c>
      <c r="R11" s="3">
        <f>SUM(N11:Q11)</f>
        <v>0</v>
      </c>
      <c r="S11" s="6">
        <f>IF(ISNA(MATCH(S$2,Inputs!$K$4:$AJ$4,0)),NA(),IF(SUMPRODUCT((Inputs!$A$5:$A$120=$B11)*ISNUMBER(INDEX(Inputs!$K$5:$AJ$120,0,MATCH(S$2,Inputs!$K$4:$AJ$4,0))))+SUMPRODUCT((Inputs!$C$5:$C$120=$B11)*ISNUMBER(INDEX(Inputs!$K$5:$AJ$120,0,MATCH(S$2,Inputs!$K$4:$AJ$4,0))))+SUMPRODUCT((Inputs!$E$5:$E$120=$B11)*ISNUMBER(INDEX(Inputs!$K$5:$AJ$120,0,MATCH(S$2,Inputs!$K$4:$AJ$4,0))))=0,NA(),SUMPRODUCT((Inputs!$A$5:$A$120=$B11)*Inputs!$B$5:$B$120*(((Inputs!$G$5:$G$120="moeda")+(Inputs!$G$5:$G$120="acoes"))*Inputs!$B$1+((Inputs!$G$5:$G$120&lt;&gt;"moeda")*(Inputs!$G$5:$G$120&lt;&gt;"acoes")))*INDEX(Inputs!$K$5:$AJ$120,0,MATCH(S$2,Inputs!$K$4:$AJ$4,0)))+SUMPRODUCT((Inputs!$C$5:$C$120=$B11)*Inputs!$D$5:$D$120*(((Inputs!$G$5:$G$120="moeda")+(Inputs!$G$5:$G$120="acoes"))*Inputs!$B$1+((Inputs!$G$5:$G$120&lt;&gt;"moeda")*(Inputs!$G$5:$G$120&lt;&gt;"acoes")))*INDEX(Inputs!$K$5:$AJ$120,0,MATCH(S$2,Inputs!$K$4:$AJ$4,0)))+SUMPRODUCT((Inputs!$E$5:$E$120=$B11)*Inputs!$F$5:$F$120*(((Inputs!$G$5:$G$120="moeda")+(Inputs!$G$5:$G$120="acoes"))*Inputs!$B$1+((Inputs!$G$5:$G$120&lt;&gt;"moeda")*(Inputs!$G$5:$G$120&lt;&gt;"acoes")))*INDEX(Inputs!$K$5:$AJ$120,0,MATCH(S$2,Inputs!$K$4:$AJ$4,0)))))</f>
        <v>0</v>
      </c>
      <c r="T11" s="6">
        <f>IF(ISNA(MATCH(T$2,Inputs!$K$4:$AJ$4,0)),NA(),IF(SUMPRODUCT((Inputs!$A$5:$A$120=$B11)*ISNUMBER(INDEX(Inputs!$K$5:$AJ$120,0,MATCH(T$2,Inputs!$K$4:$AJ$4,0))))+SUMPRODUCT((Inputs!$C$5:$C$120=$B11)*ISNUMBER(INDEX(Inputs!$K$5:$AJ$120,0,MATCH(T$2,Inputs!$K$4:$AJ$4,0))))+SUMPRODUCT((Inputs!$E$5:$E$120=$B11)*ISNUMBER(INDEX(Inputs!$K$5:$AJ$120,0,MATCH(T$2,Inputs!$K$4:$AJ$4,0))))=0,NA(),SUMPRODUCT((Inputs!$A$5:$A$120=$B11)*Inputs!$B$5:$B$120*(((Inputs!$G$5:$G$120="moeda")+(Inputs!$G$5:$G$120="acoes"))*Inputs!$B$1+((Inputs!$G$5:$G$120&lt;&gt;"moeda")*(Inputs!$G$5:$G$120&lt;&gt;"acoes")))*INDEX(Inputs!$K$5:$AJ$120,0,MATCH(T$2,Inputs!$K$4:$AJ$4,0)))+SUMPRODUCT((Inputs!$C$5:$C$120=$B11)*Inputs!$D$5:$D$120*(((Inputs!$G$5:$G$120="moeda")+(Inputs!$G$5:$G$120="acoes"))*Inputs!$B$1+((Inputs!$G$5:$G$120&lt;&gt;"moeda")*(Inputs!$G$5:$G$120&lt;&gt;"acoes")))*INDEX(Inputs!$K$5:$AJ$120,0,MATCH(T$2,Inputs!$K$4:$AJ$4,0)))+SUMPRODUCT((Inputs!$E$5:$E$120=$B11)*Inputs!$F$5:$F$120*(((Inputs!$G$5:$G$120="moeda")+(Inputs!$G$5:$G$120="acoes"))*Inputs!$B$1+((Inputs!$G$5:$G$120&lt;&gt;"moeda")*(Inputs!$G$5:$G$120&lt;&gt;"acoes")))*INDEX(Inputs!$K$5:$AJ$120,0,MATCH(T$2,Inputs!$K$4:$AJ$4,0)))))</f>
        <v>0</v>
      </c>
      <c r="U11" s="6">
        <f>IF(ISNA(MATCH(U$2,Inputs!$K$4:$AJ$4,0)),NA(),IF(SUMPRODUCT((Inputs!$A$5:$A$120=$B11)*ISNUMBER(INDEX(Inputs!$K$5:$AJ$120,0,MATCH(U$2,Inputs!$K$4:$AJ$4,0))))+SUMPRODUCT((Inputs!$C$5:$C$120=$B11)*ISNUMBER(INDEX(Inputs!$K$5:$AJ$120,0,MATCH(U$2,Inputs!$K$4:$AJ$4,0))))+SUMPRODUCT((Inputs!$E$5:$E$120=$B11)*ISNUMBER(INDEX(Inputs!$K$5:$AJ$120,0,MATCH(U$2,Inputs!$K$4:$AJ$4,0))))=0,NA(),SUMPRODUCT((Inputs!$A$5:$A$120=$B11)*Inputs!$B$5:$B$120*(((Inputs!$G$5:$G$120="moeda")+(Inputs!$G$5:$G$120="acoes"))*Inputs!$B$1+((Inputs!$G$5:$G$120&lt;&gt;"moeda")*(Inputs!$G$5:$G$120&lt;&gt;"acoes")))*INDEX(Inputs!$K$5:$AJ$120,0,MATCH(U$2,Inputs!$K$4:$AJ$4,0)))+SUMPRODUCT((Inputs!$C$5:$C$120=$B11)*Inputs!$D$5:$D$120*(((Inputs!$G$5:$G$120="moeda")+(Inputs!$G$5:$G$120="acoes"))*Inputs!$B$1+((Inputs!$G$5:$G$120&lt;&gt;"moeda")*(Inputs!$G$5:$G$120&lt;&gt;"acoes")))*INDEX(Inputs!$K$5:$AJ$120,0,MATCH(U$2,Inputs!$K$4:$AJ$4,0)))+SUMPRODUCT((Inputs!$E$5:$E$120=$B11)*Inputs!$F$5:$F$120*(((Inputs!$G$5:$G$120="moeda")+(Inputs!$G$5:$G$120="acoes"))*Inputs!$B$1+((Inputs!$G$5:$G$120&lt;&gt;"moeda")*(Inputs!$G$5:$G$120&lt;&gt;"acoes")))*INDEX(Inputs!$K$5:$AJ$120,0,MATCH(U$2,Inputs!$K$4:$AJ$4,0)))))</f>
        <v>0</v>
      </c>
      <c r="V11" s="6">
        <f>IF(ISNA(MATCH(V$2,Inputs!$K$4:$AJ$4,0)),NA(),IF(SUMPRODUCT((Inputs!$A$5:$A$120=$B11)*ISNUMBER(INDEX(Inputs!$K$5:$AJ$120,0,MATCH(V$2,Inputs!$K$4:$AJ$4,0))))+SUMPRODUCT((Inputs!$C$5:$C$120=$B11)*ISNUMBER(INDEX(Inputs!$K$5:$AJ$120,0,MATCH(V$2,Inputs!$K$4:$AJ$4,0))))+SUMPRODUCT((Inputs!$E$5:$E$120=$B11)*ISNUMBER(INDEX(Inputs!$K$5:$AJ$120,0,MATCH(V$2,Inputs!$K$4:$AJ$4,0))))=0,NA(),SUMPRODUCT((Inputs!$A$5:$A$120=$B11)*Inputs!$B$5:$B$120*(((Inputs!$G$5:$G$120="moeda")+(Inputs!$G$5:$G$120="acoes"))*Inputs!$B$1+((Inputs!$G$5:$G$120&lt;&gt;"moeda")*(Inputs!$G$5:$G$120&lt;&gt;"acoes")))*INDEX(Inputs!$K$5:$AJ$120,0,MATCH(V$2,Inputs!$K$4:$AJ$4,0)))+SUMPRODUCT((Inputs!$C$5:$C$120=$B11)*Inputs!$D$5:$D$120*(((Inputs!$G$5:$G$120="moeda")+(Inputs!$G$5:$G$120="acoes"))*Inputs!$B$1+((Inputs!$G$5:$G$120&lt;&gt;"moeda")*(Inputs!$G$5:$G$120&lt;&gt;"acoes")))*INDEX(Inputs!$K$5:$AJ$120,0,MATCH(V$2,Inputs!$K$4:$AJ$4,0)))+SUMPRODUCT((Inputs!$E$5:$E$120=$B11)*Inputs!$F$5:$F$120*(((Inputs!$G$5:$G$120="moeda")+(Inputs!$G$5:$G$120="acoes"))*Inputs!$B$1+((Inputs!$G$5:$G$120&lt;&gt;"moeda")*(Inputs!$G$5:$G$120&lt;&gt;"acoes")))*INDEX(Inputs!$K$5:$AJ$120,0,MATCH(V$2,Inputs!$K$4:$AJ$4,0)))))</f>
        <v>0</v>
      </c>
      <c r="W11" s="3">
        <f>SUM(S11:V11)</f>
        <v>0</v>
      </c>
      <c r="X11" s="6">
        <f>IF(ISNA(MATCH(X$2,Inputs!$K$4:$AJ$4,0)),NA(),IF(SUMPRODUCT((Inputs!$A$5:$A$120=$B11)*ISNUMBER(INDEX(Inputs!$K$5:$AJ$120,0,MATCH(X$2,Inputs!$K$4:$AJ$4,0))))+SUMPRODUCT((Inputs!$C$5:$C$120=$B11)*ISNUMBER(INDEX(Inputs!$K$5:$AJ$120,0,MATCH(X$2,Inputs!$K$4:$AJ$4,0))))+SUMPRODUCT((Inputs!$E$5:$E$120=$B11)*ISNUMBER(INDEX(Inputs!$K$5:$AJ$120,0,MATCH(X$2,Inputs!$K$4:$AJ$4,0))))=0,NA(),SUMPRODUCT((Inputs!$A$5:$A$120=$B11)*Inputs!$B$5:$B$120*(((Inputs!$G$5:$G$120="moeda")+(Inputs!$G$5:$G$120="acoes"))*Inputs!$B$1+((Inputs!$G$5:$G$120&lt;&gt;"moeda")*(Inputs!$G$5:$G$120&lt;&gt;"acoes")))*INDEX(Inputs!$K$5:$AJ$120,0,MATCH(X$2,Inputs!$K$4:$AJ$4,0)))+SUMPRODUCT((Inputs!$C$5:$C$120=$B11)*Inputs!$D$5:$D$120*(((Inputs!$G$5:$G$120="moeda")+(Inputs!$G$5:$G$120="acoes"))*Inputs!$B$1+((Inputs!$G$5:$G$120&lt;&gt;"moeda")*(Inputs!$G$5:$G$120&lt;&gt;"acoes")))*INDEX(Inputs!$K$5:$AJ$120,0,MATCH(X$2,Inputs!$K$4:$AJ$4,0)))+SUMPRODUCT((Inputs!$E$5:$E$120=$B11)*Inputs!$F$5:$F$120*(((Inputs!$G$5:$G$120="moeda")+(Inputs!$G$5:$G$120="acoes"))*Inputs!$B$1+((Inputs!$G$5:$G$120&lt;&gt;"moeda")*(Inputs!$G$5:$G$120&lt;&gt;"acoes")))*INDEX(Inputs!$K$5:$AJ$120,0,MATCH(X$2,Inputs!$K$4:$AJ$4,0)))))</f>
        <v>0</v>
      </c>
      <c r="Y11" s="6">
        <f>IF(ISNA(MATCH(Y$2,Inputs!$K$4:$AJ$4,0)),NA(),IF(SUMPRODUCT((Inputs!$A$5:$A$120=$B11)*ISNUMBER(INDEX(Inputs!$K$5:$AJ$120,0,MATCH(Y$2,Inputs!$K$4:$AJ$4,0))))+SUMPRODUCT((Inputs!$C$5:$C$120=$B11)*ISNUMBER(INDEX(Inputs!$K$5:$AJ$120,0,MATCH(Y$2,Inputs!$K$4:$AJ$4,0))))+SUMPRODUCT((Inputs!$E$5:$E$120=$B11)*ISNUMBER(INDEX(Inputs!$K$5:$AJ$120,0,MATCH(Y$2,Inputs!$K$4:$AJ$4,0))))=0,NA(),SUMPRODUCT((Inputs!$A$5:$A$120=$B11)*Inputs!$B$5:$B$120*(((Inputs!$G$5:$G$120="moeda")+(Inputs!$G$5:$G$120="acoes"))*Inputs!$B$1+((Inputs!$G$5:$G$120&lt;&gt;"moeda")*(Inputs!$G$5:$G$120&lt;&gt;"acoes")))*INDEX(Inputs!$K$5:$AJ$120,0,MATCH(Y$2,Inputs!$K$4:$AJ$4,0)))+SUMPRODUCT((Inputs!$C$5:$C$120=$B11)*Inputs!$D$5:$D$120*(((Inputs!$G$5:$G$120="moeda")+(Inputs!$G$5:$G$120="acoes"))*Inputs!$B$1+((Inputs!$G$5:$G$120&lt;&gt;"moeda")*(Inputs!$G$5:$G$120&lt;&gt;"acoes")))*INDEX(Inputs!$K$5:$AJ$120,0,MATCH(Y$2,Inputs!$K$4:$AJ$4,0)))+SUMPRODUCT((Inputs!$E$5:$E$120=$B11)*Inputs!$F$5:$F$120*(((Inputs!$G$5:$G$120="moeda")+(Inputs!$G$5:$G$120="acoes"))*Inputs!$B$1+((Inputs!$G$5:$G$120&lt;&gt;"moeda")*(Inputs!$G$5:$G$120&lt;&gt;"acoes")))*INDEX(Inputs!$K$5:$AJ$120,0,MATCH(Y$2,Inputs!$K$4:$AJ$4,0)))))</f>
        <v>0</v>
      </c>
      <c r="Z11" s="6">
        <f>IF(ISNA(MATCH(Z$2,Inputs!$K$4:$AJ$4,0)),NA(),IF(SUMPRODUCT((Inputs!$A$5:$A$120=$B11)*ISNUMBER(INDEX(Inputs!$K$5:$AJ$120,0,MATCH(Z$2,Inputs!$K$4:$AJ$4,0))))+SUMPRODUCT((Inputs!$C$5:$C$120=$B11)*ISNUMBER(INDEX(Inputs!$K$5:$AJ$120,0,MATCH(Z$2,Inputs!$K$4:$AJ$4,0))))+SUMPRODUCT((Inputs!$E$5:$E$120=$B11)*ISNUMBER(INDEX(Inputs!$K$5:$AJ$120,0,MATCH(Z$2,Inputs!$K$4:$AJ$4,0))))=0,NA(),SUMPRODUCT((Inputs!$A$5:$A$120=$B11)*Inputs!$B$5:$B$120*(((Inputs!$G$5:$G$120="moeda")+(Inputs!$G$5:$G$120="acoes"))*Inputs!$B$1+((Inputs!$G$5:$G$120&lt;&gt;"moeda")*(Inputs!$G$5:$G$120&lt;&gt;"acoes")))*INDEX(Inputs!$K$5:$AJ$120,0,MATCH(Z$2,Inputs!$K$4:$AJ$4,0)))+SUMPRODUCT((Inputs!$C$5:$C$120=$B11)*Inputs!$D$5:$D$120*(((Inputs!$G$5:$G$120="moeda")+(Inputs!$G$5:$G$120="acoes"))*Inputs!$B$1+((Inputs!$G$5:$G$120&lt;&gt;"moeda")*(Inputs!$G$5:$G$120&lt;&gt;"acoes")))*INDEX(Inputs!$K$5:$AJ$120,0,MATCH(Z$2,Inputs!$K$4:$AJ$4,0)))+SUMPRODUCT((Inputs!$E$5:$E$120=$B11)*Inputs!$F$5:$F$120*(((Inputs!$G$5:$G$120="moeda")+(Inputs!$G$5:$G$120="acoes"))*Inputs!$B$1+((Inputs!$G$5:$G$120&lt;&gt;"moeda")*(Inputs!$G$5:$G$120&lt;&gt;"acoes")))*INDEX(Inputs!$K$5:$AJ$120,0,MATCH(Z$2,Inputs!$K$4:$AJ$4,0)))))</f>
        <v>0</v>
      </c>
      <c r="AA11" s="6">
        <f>IF(ISNA(MATCH(AA$2,Inputs!$K$4:$AJ$4,0)),NA(),IF(SUMPRODUCT((Inputs!$A$5:$A$120=$B11)*ISNUMBER(INDEX(Inputs!$K$5:$AJ$120,0,MATCH(AA$2,Inputs!$K$4:$AJ$4,0))))+SUMPRODUCT((Inputs!$C$5:$C$120=$B11)*ISNUMBER(INDEX(Inputs!$K$5:$AJ$120,0,MATCH(AA$2,Inputs!$K$4:$AJ$4,0))))+SUMPRODUCT((Inputs!$E$5:$E$120=$B11)*ISNUMBER(INDEX(Inputs!$K$5:$AJ$120,0,MATCH(AA$2,Inputs!$K$4:$AJ$4,0))))=0,NA(),SUMPRODUCT((Inputs!$A$5:$A$120=$B11)*Inputs!$B$5:$B$120*(((Inputs!$G$5:$G$120="moeda")+(Inputs!$G$5:$G$120="acoes"))*Inputs!$B$1+((Inputs!$G$5:$G$120&lt;&gt;"moeda")*(Inputs!$G$5:$G$120&lt;&gt;"acoes")))*INDEX(Inputs!$K$5:$AJ$120,0,MATCH(AA$2,Inputs!$K$4:$AJ$4,0)))+SUMPRODUCT((Inputs!$C$5:$C$120=$B11)*Inputs!$D$5:$D$120*(((Inputs!$G$5:$G$120="moeda")+(Inputs!$G$5:$G$120="acoes"))*Inputs!$B$1+((Inputs!$G$5:$G$120&lt;&gt;"moeda")*(Inputs!$G$5:$G$120&lt;&gt;"acoes")))*INDEX(Inputs!$K$5:$AJ$120,0,MATCH(AA$2,Inputs!$K$4:$AJ$4,0)))+SUMPRODUCT((Inputs!$E$5:$E$120=$B11)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1" s="3">
        <f>SUM(X11:AA11)</f>
        <v>0</v>
      </c>
      <c r="AC11" s="6">
        <f>IF(ISNA(MATCH(AC$2,Inputs!$K$4:$AJ$4,0)),NA(),IF(SUMPRODUCT((Inputs!$A$5:$A$120=$B11)*ISNUMBER(INDEX(Inputs!$K$5:$AJ$120,0,MATCH(AC$2,Inputs!$K$4:$AJ$4,0))))+SUMPRODUCT((Inputs!$C$5:$C$120=$B11)*ISNUMBER(INDEX(Inputs!$K$5:$AJ$120,0,MATCH(AC$2,Inputs!$K$4:$AJ$4,0))))+SUMPRODUCT((Inputs!$E$5:$E$120=$B11)*ISNUMBER(INDEX(Inputs!$K$5:$AJ$120,0,MATCH(AC$2,Inputs!$K$4:$AJ$4,0))))=0,NA(),SUMPRODUCT((Inputs!$A$5:$A$120=$B11)*Inputs!$B$5:$B$120*(((Inputs!$G$5:$G$120="moeda")+(Inputs!$G$5:$G$120="acoes"))*Inputs!$B$1+((Inputs!$G$5:$G$120&lt;&gt;"moeda")*(Inputs!$G$5:$G$120&lt;&gt;"acoes")))*INDEX(Inputs!$K$5:$AJ$120,0,MATCH(AC$2,Inputs!$K$4:$AJ$4,0)))+SUMPRODUCT((Inputs!$C$5:$C$120=$B11)*Inputs!$D$5:$D$120*(((Inputs!$G$5:$G$120="moeda")+(Inputs!$G$5:$G$120="acoes"))*Inputs!$B$1+((Inputs!$G$5:$G$120&lt;&gt;"moeda")*(Inputs!$G$5:$G$120&lt;&gt;"acoes")))*INDEX(Inputs!$K$5:$AJ$120,0,MATCH(AC$2,Inputs!$K$4:$AJ$4,0)))+SUMPRODUCT((Inputs!$E$5:$E$120=$B11)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1" s="6">
        <f>IF(ISNA(MATCH(AD$2,Inputs!$K$4:$AJ$4,0)),NA(),IF(SUMPRODUCT((Inputs!$A$5:$A$120=$B11)*ISNUMBER(INDEX(Inputs!$K$5:$AJ$120,0,MATCH(AD$2,Inputs!$K$4:$AJ$4,0))))+SUMPRODUCT((Inputs!$C$5:$C$120=$B11)*ISNUMBER(INDEX(Inputs!$K$5:$AJ$120,0,MATCH(AD$2,Inputs!$K$4:$AJ$4,0))))+SUMPRODUCT((Inputs!$E$5:$E$120=$B11)*ISNUMBER(INDEX(Inputs!$K$5:$AJ$120,0,MATCH(AD$2,Inputs!$K$4:$AJ$4,0))))=0,NA(),SUMPRODUCT((Inputs!$A$5:$A$120=$B11)*Inputs!$B$5:$B$120*(((Inputs!$G$5:$G$120="moeda")+(Inputs!$G$5:$G$120="acoes"))*Inputs!$B$1+((Inputs!$G$5:$G$120&lt;&gt;"moeda")*(Inputs!$G$5:$G$120&lt;&gt;"acoes")))*INDEX(Inputs!$K$5:$AJ$120,0,MATCH(AD$2,Inputs!$K$4:$AJ$4,0)))+SUMPRODUCT((Inputs!$C$5:$C$120=$B11)*Inputs!$D$5:$D$120*(((Inputs!$G$5:$G$120="moeda")+(Inputs!$G$5:$G$120="acoes"))*Inputs!$B$1+((Inputs!$G$5:$G$120&lt;&gt;"moeda")*(Inputs!$G$5:$G$120&lt;&gt;"acoes")))*INDEX(Inputs!$K$5:$AJ$120,0,MATCH(AD$2,Inputs!$K$4:$AJ$4,0)))+SUMPRODUCT((Inputs!$E$5:$E$120=$B11)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1" s="6" t="e">
        <f>IF(ISNA(MATCH(AE$2,Inputs!$K$4:$AJ$4,0)),NA(),IF(SUMPRODUCT((Inputs!$A$5:$A$120=$B11)*ISNUMBER(INDEX(Inputs!$K$5:$AJ$120,0,MATCH(AE$2,Inputs!$K$4:$AJ$4,0))))+SUMPRODUCT((Inputs!$C$5:$C$120=$B11)*ISNUMBER(INDEX(Inputs!$K$5:$AJ$120,0,MATCH(AE$2,Inputs!$K$4:$AJ$4,0))))+SUMPRODUCT((Inputs!$E$5:$E$120=$B11)*ISNUMBER(INDEX(Inputs!$K$5:$AJ$120,0,MATCH(AE$2,Inputs!$K$4:$AJ$4,0))))=0,NA(),SUMPRODUCT((Inputs!$A$5:$A$120=$B11)*Inputs!$B$5:$B$120*(((Inputs!$G$5:$G$120="moeda")+(Inputs!$G$5:$G$120="acoes"))*Inputs!$B$1+((Inputs!$G$5:$G$120&lt;&gt;"moeda")*(Inputs!$G$5:$G$120&lt;&gt;"acoes")))*INDEX(Inputs!$K$5:$AJ$120,0,MATCH(AE$2,Inputs!$K$4:$AJ$4,0)))+SUMPRODUCT((Inputs!$C$5:$C$120=$B11)*Inputs!$D$5:$D$120*(((Inputs!$G$5:$G$120="moeda")+(Inputs!$G$5:$G$120="acoes"))*Inputs!$B$1+((Inputs!$G$5:$G$120&lt;&gt;"moeda")*(Inputs!$G$5:$G$120&lt;&gt;"acoes")))*INDEX(Inputs!$K$5:$AJ$120,0,MATCH(AE$2,Inputs!$K$4:$AJ$4,0)))+SUMPRODUCT((Inputs!$E$5:$E$120=$B11)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1" s="6" t="e">
        <f>IF(ISNA(MATCH(AF$2,Inputs!$K$4:$AJ$4,0)),NA(),IF(SUMPRODUCT((Inputs!$A$5:$A$120=$B11)*ISNUMBER(INDEX(Inputs!$K$5:$AJ$120,0,MATCH(AF$2,Inputs!$K$4:$AJ$4,0))))+SUMPRODUCT((Inputs!$C$5:$C$120=$B11)*ISNUMBER(INDEX(Inputs!$K$5:$AJ$120,0,MATCH(AF$2,Inputs!$K$4:$AJ$4,0))))+SUMPRODUCT((Inputs!$E$5:$E$120=$B11)*ISNUMBER(INDEX(Inputs!$K$5:$AJ$120,0,MATCH(AF$2,Inputs!$K$4:$AJ$4,0))))=0,NA(),SUMPRODUCT((Inputs!$A$5:$A$120=$B11)*Inputs!$B$5:$B$120*(((Inputs!$G$5:$G$120="moeda")+(Inputs!$G$5:$G$120="acoes"))*Inputs!$B$1+((Inputs!$G$5:$G$120&lt;&gt;"moeda")*(Inputs!$G$5:$G$120&lt;&gt;"acoes")))*INDEX(Inputs!$K$5:$AJ$120,0,MATCH(AF$2,Inputs!$K$4:$AJ$4,0)))+SUMPRODUCT((Inputs!$C$5:$C$120=$B11)*Inputs!$D$5:$D$120*(((Inputs!$G$5:$G$120="moeda")+(Inputs!$G$5:$G$120="acoes"))*Inputs!$B$1+((Inputs!$G$5:$G$120&lt;&gt;"moeda")*(Inputs!$G$5:$G$120&lt;&gt;"acoes")))*INDEX(Inputs!$K$5:$AJ$120,0,MATCH(AF$2,Inputs!$K$4:$AJ$4,0)))+SUMPRODUCT((Inputs!$E$5:$E$120=$B11)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1" s="3" t="e">
        <f>SUM(AC11:AF11)</f>
        <v>#N/A</v>
      </c>
      <c r="AH11" s="6">
        <f>IF(ISNA(MATCH(AH$2,Inputs!$K$4:$AJ$4,0)),NA(),IF(SUMPRODUCT((Inputs!$A$5:$A$120=$B11)*ISNUMBER(INDEX(Inputs!$K$5:$AJ$120,0,MATCH(AH$2,Inputs!$K$4:$AJ$4,0))))+SUMPRODUCT((Inputs!$C$5:$C$120=$B11)*ISNUMBER(INDEX(Inputs!$K$5:$AJ$120,0,MATCH(AH$2,Inputs!$K$4:$AJ$4,0))))+SUMPRODUCT((Inputs!$E$5:$E$120=$B11)*ISNUMBER(INDEX(Inputs!$K$5:$AJ$120,0,MATCH(AH$2,Inputs!$K$4:$AJ$4,0))))=0,NA(),SUMPRODUCT((Inputs!$A$5:$A$120=$B11)*Inputs!$B$5:$B$120*(((Inputs!$G$5:$G$120="moeda")+(Inputs!$G$5:$G$120="acoes"))*Inputs!$B$1+((Inputs!$G$5:$G$120&lt;&gt;"moeda")*(Inputs!$G$5:$G$120&lt;&gt;"acoes")))*INDEX(Inputs!$K$5:$AJ$120,0,MATCH(AH$2,Inputs!$K$4:$AJ$4,0)))+SUMPRODUCT((Inputs!$C$5:$C$120=$B11)*Inputs!$D$5:$D$120*(((Inputs!$G$5:$G$120="moeda")+(Inputs!$G$5:$G$120="acoes"))*Inputs!$B$1+((Inputs!$G$5:$G$120&lt;&gt;"moeda")*(Inputs!$G$5:$G$120&lt;&gt;"acoes")))*INDEX(Inputs!$K$5:$AJ$120,0,MATCH(AH$2,Inputs!$K$4:$AJ$4,0)))+SUMPRODUCT((Inputs!$E$5:$E$120=$B11)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1" s="6">
        <f>IF(ISNA(MATCH(AI$2,Inputs!$K$4:$AJ$4,0)),NA(),IF(SUMPRODUCT((Inputs!$A$5:$A$120=$B11)*ISNUMBER(INDEX(Inputs!$K$5:$AJ$120,0,MATCH(AI$2,Inputs!$K$4:$AJ$4,0))))+SUMPRODUCT((Inputs!$C$5:$C$120=$B11)*ISNUMBER(INDEX(Inputs!$K$5:$AJ$120,0,MATCH(AI$2,Inputs!$K$4:$AJ$4,0))))+SUMPRODUCT((Inputs!$E$5:$E$120=$B11)*ISNUMBER(INDEX(Inputs!$K$5:$AJ$120,0,MATCH(AI$2,Inputs!$K$4:$AJ$4,0))))=0,NA(),SUMPRODUCT((Inputs!$A$5:$A$120=$B11)*Inputs!$B$5:$B$120*(((Inputs!$G$5:$G$120="moeda")+(Inputs!$G$5:$G$120="acoes"))*Inputs!$B$1+((Inputs!$G$5:$G$120&lt;&gt;"moeda")*(Inputs!$G$5:$G$120&lt;&gt;"acoes")))*INDEX(Inputs!$K$5:$AJ$120,0,MATCH(AI$2,Inputs!$K$4:$AJ$4,0)))+SUMPRODUCT((Inputs!$C$5:$C$120=$B11)*Inputs!$D$5:$D$120*(((Inputs!$G$5:$G$120="moeda")+(Inputs!$G$5:$G$120="acoes"))*Inputs!$B$1+((Inputs!$G$5:$G$120&lt;&gt;"moeda")*(Inputs!$G$5:$G$120&lt;&gt;"acoes")))*INDEX(Inputs!$K$5:$AJ$120,0,MATCH(AI$2,Inputs!$K$4:$AJ$4,0)))+SUMPRODUCT((Inputs!$E$5:$E$120=$B11)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1" s="6">
        <f>IF(ISNA(MATCH(AJ$2,Inputs!$K$4:$AJ$4,0)),NA(),IF(SUMPRODUCT((Inputs!$A$5:$A$120=$B11)*ISNUMBER(INDEX(Inputs!$K$5:$AJ$120,0,MATCH(AJ$2,Inputs!$K$4:$AJ$4,0))))+SUMPRODUCT((Inputs!$C$5:$C$120=$B11)*ISNUMBER(INDEX(Inputs!$K$5:$AJ$120,0,MATCH(AJ$2,Inputs!$K$4:$AJ$4,0))))+SUMPRODUCT((Inputs!$E$5:$E$120=$B11)*ISNUMBER(INDEX(Inputs!$K$5:$AJ$120,0,MATCH(AJ$2,Inputs!$K$4:$AJ$4,0))))=0,NA(),SUMPRODUCT((Inputs!$A$5:$A$120=$B11)*Inputs!$B$5:$B$120*(((Inputs!$G$5:$G$120="moeda")+(Inputs!$G$5:$G$120="acoes"))*Inputs!$B$1+((Inputs!$G$5:$G$120&lt;&gt;"moeda")*(Inputs!$G$5:$G$120&lt;&gt;"acoes")))*INDEX(Inputs!$K$5:$AJ$120,0,MATCH(AJ$2,Inputs!$K$4:$AJ$4,0)))+SUMPRODUCT((Inputs!$C$5:$C$120=$B11)*Inputs!$D$5:$D$120*(((Inputs!$G$5:$G$120="moeda")+(Inputs!$G$5:$G$120="acoes"))*Inputs!$B$1+((Inputs!$G$5:$G$120&lt;&gt;"moeda")*(Inputs!$G$5:$G$120&lt;&gt;"acoes")))*INDEX(Inputs!$K$5:$AJ$120,0,MATCH(AJ$2,Inputs!$K$4:$AJ$4,0)))+SUMPRODUCT((Inputs!$E$5:$E$120=$B11)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1" s="6">
        <f>IF(ISNA(MATCH(AK$2,Inputs!$K$4:$AJ$4,0)),NA(),IF(SUMPRODUCT((Inputs!$A$5:$A$120=$B11)*ISNUMBER(INDEX(Inputs!$K$5:$AJ$120,0,MATCH(AK$2,Inputs!$K$4:$AJ$4,0))))+SUMPRODUCT((Inputs!$C$5:$C$120=$B11)*ISNUMBER(INDEX(Inputs!$K$5:$AJ$120,0,MATCH(AK$2,Inputs!$K$4:$AJ$4,0))))+SUMPRODUCT((Inputs!$E$5:$E$120=$B11)*ISNUMBER(INDEX(Inputs!$K$5:$AJ$120,0,MATCH(AK$2,Inputs!$K$4:$AJ$4,0))))=0,NA(),SUMPRODUCT((Inputs!$A$5:$A$120=$B11)*Inputs!$B$5:$B$120*(((Inputs!$G$5:$G$120="moeda")+(Inputs!$G$5:$G$120="acoes"))*Inputs!$B$1+((Inputs!$G$5:$G$120&lt;&gt;"moeda")*(Inputs!$G$5:$G$120&lt;&gt;"acoes")))*INDEX(Inputs!$K$5:$AJ$120,0,MATCH(AK$2,Inputs!$K$4:$AJ$4,0)))+SUMPRODUCT((Inputs!$C$5:$C$120=$B11)*Inputs!$D$5:$D$120*(((Inputs!$G$5:$G$120="moeda")+(Inputs!$G$5:$G$120="acoes"))*Inputs!$B$1+((Inputs!$G$5:$G$120&lt;&gt;"moeda")*(Inputs!$G$5:$G$120&lt;&gt;"acoes")))*INDEX(Inputs!$K$5:$AJ$120,0,MATCH(AK$2,Inputs!$K$4:$AJ$4,0)))+SUMPRODUCT((Inputs!$E$5:$E$120=$B11)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1" s="3">
        <f>SUM(AH11:AK11)</f>
        <v>0</v>
      </c>
    </row>
    <row r="12">
      <c r="B12" s="46" t="n">
        <v>9</v>
      </c>
      <c r="C12" s="26" t="inlineStr">
        <is>
          <t>Minority Interest Expense, after tax (enter as - )</t>
        </is>
      </c>
      <c r="D12" s="6">
        <f>IF(ISNA(MATCH(D$2,Inputs!$K$4:$AJ$4,0)),NA(),IF(SUMPRODUCT((Inputs!$A$5:$A$120=$B12)*ISNUMBER(INDEX(Inputs!$K$5:$AJ$120,0,MATCH(D$2,Inputs!$K$4:$AJ$4,0))))+SUMPRODUCT((Inputs!$C$5:$C$120=$B12)*ISNUMBER(INDEX(Inputs!$K$5:$AJ$120,0,MATCH(D$2,Inputs!$K$4:$AJ$4,0))))+SUMPRODUCT((Inputs!$E$5:$E$120=$B12)*ISNUMBER(INDEX(Inputs!$K$5:$AJ$120,0,MATCH(D$2,Inputs!$K$4:$AJ$4,0))))=0,NA(),SUMPRODUCT((Inputs!$A$5:$A$120=$B12)*Inputs!$B$5:$B$120*(((Inputs!$G$5:$G$120="moeda")+(Inputs!$G$5:$G$120="acoes"))*Inputs!$B$1+((Inputs!$G$5:$G$120&lt;&gt;"moeda")*(Inputs!$G$5:$G$120&lt;&gt;"acoes")))*INDEX(Inputs!$K$5:$AJ$120,0,MATCH(D$2,Inputs!$K$4:$AJ$4,0)))+SUMPRODUCT((Inputs!$C$5:$C$120=$B12)*Inputs!$D$5:$D$120*(((Inputs!$G$5:$G$120="moeda")+(Inputs!$G$5:$G$120="acoes"))*Inputs!$B$1+((Inputs!$G$5:$G$120&lt;&gt;"moeda")*(Inputs!$G$5:$G$120&lt;&gt;"acoes")))*INDEX(Inputs!$K$5:$AJ$120,0,MATCH(D$2,Inputs!$K$4:$AJ$4,0)))+SUMPRODUCT((Inputs!$E$5:$E$120=$B12)*Inputs!$F$5:$F$120*(((Inputs!$G$5:$G$120="moeda")+(Inputs!$G$5:$G$120="acoes"))*Inputs!$B$1+((Inputs!$G$5:$G$120&lt;&gt;"moeda")*(Inputs!$G$5:$G$120&lt;&gt;"acoes")))*INDEX(Inputs!$K$5:$AJ$120,0,MATCH(D$2,Inputs!$K$4:$AJ$4,0)))))</f>
        <v>0</v>
      </c>
      <c r="E12" s="6">
        <f>IF(ISNA(MATCH(E$2,Inputs!$K$4:$AJ$4,0)),NA(),IF(SUMPRODUCT((Inputs!$A$5:$A$120=$B12)*ISNUMBER(INDEX(Inputs!$K$5:$AJ$120,0,MATCH(E$2,Inputs!$K$4:$AJ$4,0))))+SUMPRODUCT((Inputs!$C$5:$C$120=$B12)*ISNUMBER(INDEX(Inputs!$K$5:$AJ$120,0,MATCH(E$2,Inputs!$K$4:$AJ$4,0))))+SUMPRODUCT((Inputs!$E$5:$E$120=$B12)*ISNUMBER(INDEX(Inputs!$K$5:$AJ$120,0,MATCH(E$2,Inputs!$K$4:$AJ$4,0))))=0,NA(),SUMPRODUCT((Inputs!$A$5:$A$120=$B12)*Inputs!$B$5:$B$120*(((Inputs!$G$5:$G$120="moeda")+(Inputs!$G$5:$G$120="acoes"))*Inputs!$B$1+((Inputs!$G$5:$G$120&lt;&gt;"moeda")*(Inputs!$G$5:$G$120&lt;&gt;"acoes")))*INDEX(Inputs!$K$5:$AJ$120,0,MATCH(E$2,Inputs!$K$4:$AJ$4,0)))+SUMPRODUCT((Inputs!$C$5:$C$120=$B12)*Inputs!$D$5:$D$120*(((Inputs!$G$5:$G$120="moeda")+(Inputs!$G$5:$G$120="acoes"))*Inputs!$B$1+((Inputs!$G$5:$G$120&lt;&gt;"moeda")*(Inputs!$G$5:$G$120&lt;&gt;"acoes")))*INDEX(Inputs!$K$5:$AJ$120,0,MATCH(E$2,Inputs!$K$4:$AJ$4,0)))+SUMPRODUCT((Inputs!$E$5:$E$120=$B12)*Inputs!$F$5:$F$120*(((Inputs!$G$5:$G$120="moeda")+(Inputs!$G$5:$G$120="acoes"))*Inputs!$B$1+((Inputs!$G$5:$G$120&lt;&gt;"moeda")*(Inputs!$G$5:$G$120&lt;&gt;"acoes")))*INDEX(Inputs!$K$5:$AJ$120,0,MATCH(E$2,Inputs!$K$4:$AJ$4,0)))))</f>
        <v>0</v>
      </c>
      <c r="F12" s="6">
        <f>IF(ISNA(MATCH(F$2,Inputs!$K$4:$AJ$4,0)),NA(),IF(SUMPRODUCT((Inputs!$A$5:$A$120=$B12)*ISNUMBER(INDEX(Inputs!$K$5:$AJ$120,0,MATCH(F$2,Inputs!$K$4:$AJ$4,0))))+SUMPRODUCT((Inputs!$C$5:$C$120=$B12)*ISNUMBER(INDEX(Inputs!$K$5:$AJ$120,0,MATCH(F$2,Inputs!$K$4:$AJ$4,0))))+SUMPRODUCT((Inputs!$E$5:$E$120=$B12)*ISNUMBER(INDEX(Inputs!$K$5:$AJ$120,0,MATCH(F$2,Inputs!$K$4:$AJ$4,0))))=0,NA(),SUMPRODUCT((Inputs!$A$5:$A$120=$B12)*Inputs!$B$5:$B$120*(((Inputs!$G$5:$G$120="moeda")+(Inputs!$G$5:$G$120="acoes"))*Inputs!$B$1+((Inputs!$G$5:$G$120&lt;&gt;"moeda")*(Inputs!$G$5:$G$120&lt;&gt;"acoes")))*INDEX(Inputs!$K$5:$AJ$120,0,MATCH(F$2,Inputs!$K$4:$AJ$4,0)))+SUMPRODUCT((Inputs!$C$5:$C$120=$B12)*Inputs!$D$5:$D$120*(((Inputs!$G$5:$G$120="moeda")+(Inputs!$G$5:$G$120="acoes"))*Inputs!$B$1+((Inputs!$G$5:$G$120&lt;&gt;"moeda")*(Inputs!$G$5:$G$120&lt;&gt;"acoes")))*INDEX(Inputs!$K$5:$AJ$120,0,MATCH(F$2,Inputs!$K$4:$AJ$4,0)))+SUMPRODUCT((Inputs!$E$5:$E$120=$B12)*Inputs!$F$5:$F$120*(((Inputs!$G$5:$G$120="moeda")+(Inputs!$G$5:$G$120="acoes"))*Inputs!$B$1+((Inputs!$G$5:$G$120&lt;&gt;"moeda")*(Inputs!$G$5:$G$120&lt;&gt;"acoes")))*INDEX(Inputs!$K$5:$AJ$120,0,MATCH(F$2,Inputs!$K$4:$AJ$4,0)))))</f>
        <v>0</v>
      </c>
      <c r="G12" s="6">
        <f>IF(ISNA(MATCH(G$2,Inputs!$K$4:$AJ$4,0)),NA(),IF(SUMPRODUCT((Inputs!$A$5:$A$120=$B12)*ISNUMBER(INDEX(Inputs!$K$5:$AJ$120,0,MATCH(G$2,Inputs!$K$4:$AJ$4,0))))+SUMPRODUCT((Inputs!$C$5:$C$120=$B12)*ISNUMBER(INDEX(Inputs!$K$5:$AJ$120,0,MATCH(G$2,Inputs!$K$4:$AJ$4,0))))+SUMPRODUCT((Inputs!$E$5:$E$120=$B12)*ISNUMBER(INDEX(Inputs!$K$5:$AJ$120,0,MATCH(G$2,Inputs!$K$4:$AJ$4,0))))=0,NA(),SUMPRODUCT((Inputs!$A$5:$A$120=$B12)*Inputs!$B$5:$B$120*(((Inputs!$G$5:$G$120="moeda")+(Inputs!$G$5:$G$120="acoes"))*Inputs!$B$1+((Inputs!$G$5:$G$120&lt;&gt;"moeda")*(Inputs!$G$5:$G$120&lt;&gt;"acoes")))*INDEX(Inputs!$K$5:$AJ$120,0,MATCH(G$2,Inputs!$K$4:$AJ$4,0)))+SUMPRODUCT((Inputs!$C$5:$C$120=$B12)*Inputs!$D$5:$D$120*(((Inputs!$G$5:$G$120="moeda")+(Inputs!$G$5:$G$120="acoes"))*Inputs!$B$1+((Inputs!$G$5:$G$120&lt;&gt;"moeda")*(Inputs!$G$5:$G$120&lt;&gt;"acoes")))*INDEX(Inputs!$K$5:$AJ$120,0,MATCH(G$2,Inputs!$K$4:$AJ$4,0)))+SUMPRODUCT((Inputs!$E$5:$E$120=$B12)*Inputs!$F$5:$F$120*(((Inputs!$G$5:$G$120="moeda")+(Inputs!$G$5:$G$120="acoes"))*Inputs!$B$1+((Inputs!$G$5:$G$120&lt;&gt;"moeda")*(Inputs!$G$5:$G$120&lt;&gt;"acoes")))*INDEX(Inputs!$K$5:$AJ$120,0,MATCH(G$2,Inputs!$K$4:$AJ$4,0)))))</f>
        <v>0</v>
      </c>
      <c r="H12" s="3">
        <f>SUM(D12:G12)</f>
        <v>0</v>
      </c>
      <c r="I12" s="6">
        <f>IF(ISNA(MATCH(I$2,Inputs!$K$4:$AJ$4,0)),NA(),IF(SUMPRODUCT((Inputs!$A$5:$A$120=$B12)*ISNUMBER(INDEX(Inputs!$K$5:$AJ$120,0,MATCH(I$2,Inputs!$K$4:$AJ$4,0))))+SUMPRODUCT((Inputs!$C$5:$C$120=$B12)*ISNUMBER(INDEX(Inputs!$K$5:$AJ$120,0,MATCH(I$2,Inputs!$K$4:$AJ$4,0))))+SUMPRODUCT((Inputs!$E$5:$E$120=$B12)*ISNUMBER(INDEX(Inputs!$K$5:$AJ$120,0,MATCH(I$2,Inputs!$K$4:$AJ$4,0))))=0,NA(),SUMPRODUCT((Inputs!$A$5:$A$120=$B12)*Inputs!$B$5:$B$120*(((Inputs!$G$5:$G$120="moeda")+(Inputs!$G$5:$G$120="acoes"))*Inputs!$B$1+((Inputs!$G$5:$G$120&lt;&gt;"moeda")*(Inputs!$G$5:$G$120&lt;&gt;"acoes")))*INDEX(Inputs!$K$5:$AJ$120,0,MATCH(I$2,Inputs!$K$4:$AJ$4,0)))+SUMPRODUCT((Inputs!$C$5:$C$120=$B12)*Inputs!$D$5:$D$120*(((Inputs!$G$5:$G$120="moeda")+(Inputs!$G$5:$G$120="acoes"))*Inputs!$B$1+((Inputs!$G$5:$G$120&lt;&gt;"moeda")*(Inputs!$G$5:$G$120&lt;&gt;"acoes")))*INDEX(Inputs!$K$5:$AJ$120,0,MATCH(I$2,Inputs!$K$4:$AJ$4,0)))+SUMPRODUCT((Inputs!$E$5:$E$120=$B12)*Inputs!$F$5:$F$120*(((Inputs!$G$5:$G$120="moeda")+(Inputs!$G$5:$G$120="acoes"))*Inputs!$B$1+((Inputs!$G$5:$G$120&lt;&gt;"moeda")*(Inputs!$G$5:$G$120&lt;&gt;"acoes")))*INDEX(Inputs!$K$5:$AJ$120,0,MATCH(I$2,Inputs!$K$4:$AJ$4,0)))))</f>
        <v>0</v>
      </c>
      <c r="J12" s="6">
        <f>IF(ISNA(MATCH(J$2,Inputs!$K$4:$AJ$4,0)),NA(),IF(SUMPRODUCT((Inputs!$A$5:$A$120=$B12)*ISNUMBER(INDEX(Inputs!$K$5:$AJ$120,0,MATCH(J$2,Inputs!$K$4:$AJ$4,0))))+SUMPRODUCT((Inputs!$C$5:$C$120=$B12)*ISNUMBER(INDEX(Inputs!$K$5:$AJ$120,0,MATCH(J$2,Inputs!$K$4:$AJ$4,0))))+SUMPRODUCT((Inputs!$E$5:$E$120=$B12)*ISNUMBER(INDEX(Inputs!$K$5:$AJ$120,0,MATCH(J$2,Inputs!$K$4:$AJ$4,0))))=0,NA(),SUMPRODUCT((Inputs!$A$5:$A$120=$B12)*Inputs!$B$5:$B$120*(((Inputs!$G$5:$G$120="moeda")+(Inputs!$G$5:$G$120="acoes"))*Inputs!$B$1+((Inputs!$G$5:$G$120&lt;&gt;"moeda")*(Inputs!$G$5:$G$120&lt;&gt;"acoes")))*INDEX(Inputs!$K$5:$AJ$120,0,MATCH(J$2,Inputs!$K$4:$AJ$4,0)))+SUMPRODUCT((Inputs!$C$5:$C$120=$B12)*Inputs!$D$5:$D$120*(((Inputs!$G$5:$G$120="moeda")+(Inputs!$G$5:$G$120="acoes"))*Inputs!$B$1+((Inputs!$G$5:$G$120&lt;&gt;"moeda")*(Inputs!$G$5:$G$120&lt;&gt;"acoes")))*INDEX(Inputs!$K$5:$AJ$120,0,MATCH(J$2,Inputs!$K$4:$AJ$4,0)))+SUMPRODUCT((Inputs!$E$5:$E$120=$B12)*Inputs!$F$5:$F$120*(((Inputs!$G$5:$G$120="moeda")+(Inputs!$G$5:$G$120="acoes"))*Inputs!$B$1+((Inputs!$G$5:$G$120&lt;&gt;"moeda")*(Inputs!$G$5:$G$120&lt;&gt;"acoes")))*INDEX(Inputs!$K$5:$AJ$120,0,MATCH(J$2,Inputs!$K$4:$AJ$4,0)))))</f>
        <v>0</v>
      </c>
      <c r="K12" s="6">
        <f>IF(ISNA(MATCH(K$2,Inputs!$K$4:$AJ$4,0)),NA(),IF(SUMPRODUCT((Inputs!$A$5:$A$120=$B12)*ISNUMBER(INDEX(Inputs!$K$5:$AJ$120,0,MATCH(K$2,Inputs!$K$4:$AJ$4,0))))+SUMPRODUCT((Inputs!$C$5:$C$120=$B12)*ISNUMBER(INDEX(Inputs!$K$5:$AJ$120,0,MATCH(K$2,Inputs!$K$4:$AJ$4,0))))+SUMPRODUCT((Inputs!$E$5:$E$120=$B12)*ISNUMBER(INDEX(Inputs!$K$5:$AJ$120,0,MATCH(K$2,Inputs!$K$4:$AJ$4,0))))=0,NA(),SUMPRODUCT((Inputs!$A$5:$A$120=$B12)*Inputs!$B$5:$B$120*(((Inputs!$G$5:$G$120="moeda")+(Inputs!$G$5:$G$120="acoes"))*Inputs!$B$1+((Inputs!$G$5:$G$120&lt;&gt;"moeda")*(Inputs!$G$5:$G$120&lt;&gt;"acoes")))*INDEX(Inputs!$K$5:$AJ$120,0,MATCH(K$2,Inputs!$K$4:$AJ$4,0)))+SUMPRODUCT((Inputs!$C$5:$C$120=$B12)*Inputs!$D$5:$D$120*(((Inputs!$G$5:$G$120="moeda")+(Inputs!$G$5:$G$120="acoes"))*Inputs!$B$1+((Inputs!$G$5:$G$120&lt;&gt;"moeda")*(Inputs!$G$5:$G$120&lt;&gt;"acoes")))*INDEX(Inputs!$K$5:$AJ$120,0,MATCH(K$2,Inputs!$K$4:$AJ$4,0)))+SUMPRODUCT((Inputs!$E$5:$E$120=$B12)*Inputs!$F$5:$F$120*(((Inputs!$G$5:$G$120="moeda")+(Inputs!$G$5:$G$120="acoes"))*Inputs!$B$1+((Inputs!$G$5:$G$120&lt;&gt;"moeda")*(Inputs!$G$5:$G$120&lt;&gt;"acoes")))*INDEX(Inputs!$K$5:$AJ$120,0,MATCH(K$2,Inputs!$K$4:$AJ$4,0)))))</f>
        <v>0</v>
      </c>
      <c r="L12" s="6">
        <f>IF(ISNA(MATCH(L$2,Inputs!$K$4:$AJ$4,0)),NA(),IF(SUMPRODUCT((Inputs!$A$5:$A$120=$B12)*ISNUMBER(INDEX(Inputs!$K$5:$AJ$120,0,MATCH(L$2,Inputs!$K$4:$AJ$4,0))))+SUMPRODUCT((Inputs!$C$5:$C$120=$B12)*ISNUMBER(INDEX(Inputs!$K$5:$AJ$120,0,MATCH(L$2,Inputs!$K$4:$AJ$4,0))))+SUMPRODUCT((Inputs!$E$5:$E$120=$B12)*ISNUMBER(INDEX(Inputs!$K$5:$AJ$120,0,MATCH(L$2,Inputs!$K$4:$AJ$4,0))))=0,NA(),SUMPRODUCT((Inputs!$A$5:$A$120=$B12)*Inputs!$B$5:$B$120*(((Inputs!$G$5:$G$120="moeda")+(Inputs!$G$5:$G$120="acoes"))*Inputs!$B$1+((Inputs!$G$5:$G$120&lt;&gt;"moeda")*(Inputs!$G$5:$G$120&lt;&gt;"acoes")))*INDEX(Inputs!$K$5:$AJ$120,0,MATCH(L$2,Inputs!$K$4:$AJ$4,0)))+SUMPRODUCT((Inputs!$C$5:$C$120=$B12)*Inputs!$D$5:$D$120*(((Inputs!$G$5:$G$120="moeda")+(Inputs!$G$5:$G$120="acoes"))*Inputs!$B$1+((Inputs!$G$5:$G$120&lt;&gt;"moeda")*(Inputs!$G$5:$G$120&lt;&gt;"acoes")))*INDEX(Inputs!$K$5:$AJ$120,0,MATCH(L$2,Inputs!$K$4:$AJ$4,0)))+SUMPRODUCT((Inputs!$E$5:$E$120=$B12)*Inputs!$F$5:$F$120*(((Inputs!$G$5:$G$120="moeda")+(Inputs!$G$5:$G$120="acoes"))*Inputs!$B$1+((Inputs!$G$5:$G$120&lt;&gt;"moeda")*(Inputs!$G$5:$G$120&lt;&gt;"acoes")))*INDEX(Inputs!$K$5:$AJ$120,0,MATCH(L$2,Inputs!$K$4:$AJ$4,0)))))</f>
        <v>0</v>
      </c>
      <c r="M12" s="3">
        <f>SUM(I12:L12)</f>
        <v>0</v>
      </c>
      <c r="N12" s="6">
        <f>IF(ISNA(MATCH(N$2,Inputs!$K$4:$AJ$4,0)),NA(),IF(SUMPRODUCT((Inputs!$A$5:$A$120=$B12)*ISNUMBER(INDEX(Inputs!$K$5:$AJ$120,0,MATCH(N$2,Inputs!$K$4:$AJ$4,0))))+SUMPRODUCT((Inputs!$C$5:$C$120=$B12)*ISNUMBER(INDEX(Inputs!$K$5:$AJ$120,0,MATCH(N$2,Inputs!$K$4:$AJ$4,0))))+SUMPRODUCT((Inputs!$E$5:$E$120=$B12)*ISNUMBER(INDEX(Inputs!$K$5:$AJ$120,0,MATCH(N$2,Inputs!$K$4:$AJ$4,0))))=0,NA(),SUMPRODUCT((Inputs!$A$5:$A$120=$B12)*Inputs!$B$5:$B$120*(((Inputs!$G$5:$G$120="moeda")+(Inputs!$G$5:$G$120="acoes"))*Inputs!$B$1+((Inputs!$G$5:$G$120&lt;&gt;"moeda")*(Inputs!$G$5:$G$120&lt;&gt;"acoes")))*INDEX(Inputs!$K$5:$AJ$120,0,MATCH(N$2,Inputs!$K$4:$AJ$4,0)))+SUMPRODUCT((Inputs!$C$5:$C$120=$B12)*Inputs!$D$5:$D$120*(((Inputs!$G$5:$G$120="moeda")+(Inputs!$G$5:$G$120="acoes"))*Inputs!$B$1+((Inputs!$G$5:$G$120&lt;&gt;"moeda")*(Inputs!$G$5:$G$120&lt;&gt;"acoes")))*INDEX(Inputs!$K$5:$AJ$120,0,MATCH(N$2,Inputs!$K$4:$AJ$4,0)))+SUMPRODUCT((Inputs!$E$5:$E$120=$B12)*Inputs!$F$5:$F$120*(((Inputs!$G$5:$G$120="moeda")+(Inputs!$G$5:$G$120="acoes"))*Inputs!$B$1+((Inputs!$G$5:$G$120&lt;&gt;"moeda")*(Inputs!$G$5:$G$120&lt;&gt;"acoes")))*INDEX(Inputs!$K$5:$AJ$120,0,MATCH(N$2,Inputs!$K$4:$AJ$4,0)))))</f>
        <v>0</v>
      </c>
      <c r="O12" s="6">
        <f>IF(ISNA(MATCH(O$2,Inputs!$K$4:$AJ$4,0)),NA(),IF(SUMPRODUCT((Inputs!$A$5:$A$120=$B12)*ISNUMBER(INDEX(Inputs!$K$5:$AJ$120,0,MATCH(O$2,Inputs!$K$4:$AJ$4,0))))+SUMPRODUCT((Inputs!$C$5:$C$120=$B12)*ISNUMBER(INDEX(Inputs!$K$5:$AJ$120,0,MATCH(O$2,Inputs!$K$4:$AJ$4,0))))+SUMPRODUCT((Inputs!$E$5:$E$120=$B12)*ISNUMBER(INDEX(Inputs!$K$5:$AJ$120,0,MATCH(O$2,Inputs!$K$4:$AJ$4,0))))=0,NA(),SUMPRODUCT((Inputs!$A$5:$A$120=$B12)*Inputs!$B$5:$B$120*(((Inputs!$G$5:$G$120="moeda")+(Inputs!$G$5:$G$120="acoes"))*Inputs!$B$1+((Inputs!$G$5:$G$120&lt;&gt;"moeda")*(Inputs!$G$5:$G$120&lt;&gt;"acoes")))*INDEX(Inputs!$K$5:$AJ$120,0,MATCH(O$2,Inputs!$K$4:$AJ$4,0)))+SUMPRODUCT((Inputs!$C$5:$C$120=$B12)*Inputs!$D$5:$D$120*(((Inputs!$G$5:$G$120="moeda")+(Inputs!$G$5:$G$120="acoes"))*Inputs!$B$1+((Inputs!$G$5:$G$120&lt;&gt;"moeda")*(Inputs!$G$5:$G$120&lt;&gt;"acoes")))*INDEX(Inputs!$K$5:$AJ$120,0,MATCH(O$2,Inputs!$K$4:$AJ$4,0)))+SUMPRODUCT((Inputs!$E$5:$E$120=$B12)*Inputs!$F$5:$F$120*(((Inputs!$G$5:$G$120="moeda")+(Inputs!$G$5:$G$120="acoes"))*Inputs!$B$1+((Inputs!$G$5:$G$120&lt;&gt;"moeda")*(Inputs!$G$5:$G$120&lt;&gt;"acoes")))*INDEX(Inputs!$K$5:$AJ$120,0,MATCH(O$2,Inputs!$K$4:$AJ$4,0)))))</f>
        <v>0</v>
      </c>
      <c r="P12" s="6">
        <f>IF(ISNA(MATCH(P$2,Inputs!$K$4:$AJ$4,0)),NA(),IF(SUMPRODUCT((Inputs!$A$5:$A$120=$B12)*ISNUMBER(INDEX(Inputs!$K$5:$AJ$120,0,MATCH(P$2,Inputs!$K$4:$AJ$4,0))))+SUMPRODUCT((Inputs!$C$5:$C$120=$B12)*ISNUMBER(INDEX(Inputs!$K$5:$AJ$120,0,MATCH(P$2,Inputs!$K$4:$AJ$4,0))))+SUMPRODUCT((Inputs!$E$5:$E$120=$B12)*ISNUMBER(INDEX(Inputs!$K$5:$AJ$120,0,MATCH(P$2,Inputs!$K$4:$AJ$4,0))))=0,NA(),SUMPRODUCT((Inputs!$A$5:$A$120=$B12)*Inputs!$B$5:$B$120*(((Inputs!$G$5:$G$120="moeda")+(Inputs!$G$5:$G$120="acoes"))*Inputs!$B$1+((Inputs!$G$5:$G$120&lt;&gt;"moeda")*(Inputs!$G$5:$G$120&lt;&gt;"acoes")))*INDEX(Inputs!$K$5:$AJ$120,0,MATCH(P$2,Inputs!$K$4:$AJ$4,0)))+SUMPRODUCT((Inputs!$C$5:$C$120=$B12)*Inputs!$D$5:$D$120*(((Inputs!$G$5:$G$120="moeda")+(Inputs!$G$5:$G$120="acoes"))*Inputs!$B$1+((Inputs!$G$5:$G$120&lt;&gt;"moeda")*(Inputs!$G$5:$G$120&lt;&gt;"acoes")))*INDEX(Inputs!$K$5:$AJ$120,0,MATCH(P$2,Inputs!$K$4:$AJ$4,0)))+SUMPRODUCT((Inputs!$E$5:$E$120=$B12)*Inputs!$F$5:$F$120*(((Inputs!$G$5:$G$120="moeda")+(Inputs!$G$5:$G$120="acoes"))*Inputs!$B$1+((Inputs!$G$5:$G$120&lt;&gt;"moeda")*(Inputs!$G$5:$G$120&lt;&gt;"acoes")))*INDEX(Inputs!$K$5:$AJ$120,0,MATCH(P$2,Inputs!$K$4:$AJ$4,0)))))</f>
        <v>0</v>
      </c>
      <c r="Q12" s="6">
        <f>IF(ISNA(MATCH(Q$2,Inputs!$K$4:$AJ$4,0)),NA(),IF(SUMPRODUCT((Inputs!$A$5:$A$120=$B12)*ISNUMBER(INDEX(Inputs!$K$5:$AJ$120,0,MATCH(Q$2,Inputs!$K$4:$AJ$4,0))))+SUMPRODUCT((Inputs!$C$5:$C$120=$B12)*ISNUMBER(INDEX(Inputs!$K$5:$AJ$120,0,MATCH(Q$2,Inputs!$K$4:$AJ$4,0))))+SUMPRODUCT((Inputs!$E$5:$E$120=$B12)*ISNUMBER(INDEX(Inputs!$K$5:$AJ$120,0,MATCH(Q$2,Inputs!$K$4:$AJ$4,0))))=0,NA(),SUMPRODUCT((Inputs!$A$5:$A$120=$B12)*Inputs!$B$5:$B$120*(((Inputs!$G$5:$G$120="moeda")+(Inputs!$G$5:$G$120="acoes"))*Inputs!$B$1+((Inputs!$G$5:$G$120&lt;&gt;"moeda")*(Inputs!$G$5:$G$120&lt;&gt;"acoes")))*INDEX(Inputs!$K$5:$AJ$120,0,MATCH(Q$2,Inputs!$K$4:$AJ$4,0)))+SUMPRODUCT((Inputs!$C$5:$C$120=$B12)*Inputs!$D$5:$D$120*(((Inputs!$G$5:$G$120="moeda")+(Inputs!$G$5:$G$120="acoes"))*Inputs!$B$1+((Inputs!$G$5:$G$120&lt;&gt;"moeda")*(Inputs!$G$5:$G$120&lt;&gt;"acoes")))*INDEX(Inputs!$K$5:$AJ$120,0,MATCH(Q$2,Inputs!$K$4:$AJ$4,0)))+SUMPRODUCT((Inputs!$E$5:$E$120=$B12)*Inputs!$F$5:$F$120*(((Inputs!$G$5:$G$120="moeda")+(Inputs!$G$5:$G$120="acoes"))*Inputs!$B$1+((Inputs!$G$5:$G$120&lt;&gt;"moeda")*(Inputs!$G$5:$G$120&lt;&gt;"acoes")))*INDEX(Inputs!$K$5:$AJ$120,0,MATCH(Q$2,Inputs!$K$4:$AJ$4,0)))))</f>
        <v>0</v>
      </c>
      <c r="R12" s="3">
        <f>SUM(N12:Q12)</f>
        <v>0</v>
      </c>
      <c r="S12" s="6">
        <f>IF(ISNA(MATCH(S$2,Inputs!$K$4:$AJ$4,0)),NA(),IF(SUMPRODUCT((Inputs!$A$5:$A$120=$B12)*ISNUMBER(INDEX(Inputs!$K$5:$AJ$120,0,MATCH(S$2,Inputs!$K$4:$AJ$4,0))))+SUMPRODUCT((Inputs!$C$5:$C$120=$B12)*ISNUMBER(INDEX(Inputs!$K$5:$AJ$120,0,MATCH(S$2,Inputs!$K$4:$AJ$4,0))))+SUMPRODUCT((Inputs!$E$5:$E$120=$B12)*ISNUMBER(INDEX(Inputs!$K$5:$AJ$120,0,MATCH(S$2,Inputs!$K$4:$AJ$4,0))))=0,NA(),SUMPRODUCT((Inputs!$A$5:$A$120=$B12)*Inputs!$B$5:$B$120*(((Inputs!$G$5:$G$120="moeda")+(Inputs!$G$5:$G$120="acoes"))*Inputs!$B$1+((Inputs!$G$5:$G$120&lt;&gt;"moeda")*(Inputs!$G$5:$G$120&lt;&gt;"acoes")))*INDEX(Inputs!$K$5:$AJ$120,0,MATCH(S$2,Inputs!$K$4:$AJ$4,0)))+SUMPRODUCT((Inputs!$C$5:$C$120=$B12)*Inputs!$D$5:$D$120*(((Inputs!$G$5:$G$120="moeda")+(Inputs!$G$5:$G$120="acoes"))*Inputs!$B$1+((Inputs!$G$5:$G$120&lt;&gt;"moeda")*(Inputs!$G$5:$G$120&lt;&gt;"acoes")))*INDEX(Inputs!$K$5:$AJ$120,0,MATCH(S$2,Inputs!$K$4:$AJ$4,0)))+SUMPRODUCT((Inputs!$E$5:$E$120=$B12)*Inputs!$F$5:$F$120*(((Inputs!$G$5:$G$120="moeda")+(Inputs!$G$5:$G$120="acoes"))*Inputs!$B$1+((Inputs!$G$5:$G$120&lt;&gt;"moeda")*(Inputs!$G$5:$G$120&lt;&gt;"acoes")))*INDEX(Inputs!$K$5:$AJ$120,0,MATCH(S$2,Inputs!$K$4:$AJ$4,0)))))</f>
        <v>0</v>
      </c>
      <c r="T12" s="6">
        <f>IF(ISNA(MATCH(T$2,Inputs!$K$4:$AJ$4,0)),NA(),IF(SUMPRODUCT((Inputs!$A$5:$A$120=$B12)*ISNUMBER(INDEX(Inputs!$K$5:$AJ$120,0,MATCH(T$2,Inputs!$K$4:$AJ$4,0))))+SUMPRODUCT((Inputs!$C$5:$C$120=$B12)*ISNUMBER(INDEX(Inputs!$K$5:$AJ$120,0,MATCH(T$2,Inputs!$K$4:$AJ$4,0))))+SUMPRODUCT((Inputs!$E$5:$E$120=$B12)*ISNUMBER(INDEX(Inputs!$K$5:$AJ$120,0,MATCH(T$2,Inputs!$K$4:$AJ$4,0))))=0,NA(),SUMPRODUCT((Inputs!$A$5:$A$120=$B12)*Inputs!$B$5:$B$120*(((Inputs!$G$5:$G$120="moeda")+(Inputs!$G$5:$G$120="acoes"))*Inputs!$B$1+((Inputs!$G$5:$G$120&lt;&gt;"moeda")*(Inputs!$G$5:$G$120&lt;&gt;"acoes")))*INDEX(Inputs!$K$5:$AJ$120,0,MATCH(T$2,Inputs!$K$4:$AJ$4,0)))+SUMPRODUCT((Inputs!$C$5:$C$120=$B12)*Inputs!$D$5:$D$120*(((Inputs!$G$5:$G$120="moeda")+(Inputs!$G$5:$G$120="acoes"))*Inputs!$B$1+((Inputs!$G$5:$G$120&lt;&gt;"moeda")*(Inputs!$G$5:$G$120&lt;&gt;"acoes")))*INDEX(Inputs!$K$5:$AJ$120,0,MATCH(T$2,Inputs!$K$4:$AJ$4,0)))+SUMPRODUCT((Inputs!$E$5:$E$120=$B12)*Inputs!$F$5:$F$120*(((Inputs!$G$5:$G$120="moeda")+(Inputs!$G$5:$G$120="acoes"))*Inputs!$B$1+((Inputs!$G$5:$G$120&lt;&gt;"moeda")*(Inputs!$G$5:$G$120&lt;&gt;"acoes")))*INDEX(Inputs!$K$5:$AJ$120,0,MATCH(T$2,Inputs!$K$4:$AJ$4,0)))))</f>
        <v>0</v>
      </c>
      <c r="U12" s="6">
        <f>IF(ISNA(MATCH(U$2,Inputs!$K$4:$AJ$4,0)),NA(),IF(SUMPRODUCT((Inputs!$A$5:$A$120=$B12)*ISNUMBER(INDEX(Inputs!$K$5:$AJ$120,0,MATCH(U$2,Inputs!$K$4:$AJ$4,0))))+SUMPRODUCT((Inputs!$C$5:$C$120=$B12)*ISNUMBER(INDEX(Inputs!$K$5:$AJ$120,0,MATCH(U$2,Inputs!$K$4:$AJ$4,0))))+SUMPRODUCT((Inputs!$E$5:$E$120=$B12)*ISNUMBER(INDEX(Inputs!$K$5:$AJ$120,0,MATCH(U$2,Inputs!$K$4:$AJ$4,0))))=0,NA(),SUMPRODUCT((Inputs!$A$5:$A$120=$B12)*Inputs!$B$5:$B$120*(((Inputs!$G$5:$G$120="moeda")+(Inputs!$G$5:$G$120="acoes"))*Inputs!$B$1+((Inputs!$G$5:$G$120&lt;&gt;"moeda")*(Inputs!$G$5:$G$120&lt;&gt;"acoes")))*INDEX(Inputs!$K$5:$AJ$120,0,MATCH(U$2,Inputs!$K$4:$AJ$4,0)))+SUMPRODUCT((Inputs!$C$5:$C$120=$B12)*Inputs!$D$5:$D$120*(((Inputs!$G$5:$G$120="moeda")+(Inputs!$G$5:$G$120="acoes"))*Inputs!$B$1+((Inputs!$G$5:$G$120&lt;&gt;"moeda")*(Inputs!$G$5:$G$120&lt;&gt;"acoes")))*INDEX(Inputs!$K$5:$AJ$120,0,MATCH(U$2,Inputs!$K$4:$AJ$4,0)))+SUMPRODUCT((Inputs!$E$5:$E$120=$B12)*Inputs!$F$5:$F$120*(((Inputs!$G$5:$G$120="moeda")+(Inputs!$G$5:$G$120="acoes"))*Inputs!$B$1+((Inputs!$G$5:$G$120&lt;&gt;"moeda")*(Inputs!$G$5:$G$120&lt;&gt;"acoes")))*INDEX(Inputs!$K$5:$AJ$120,0,MATCH(U$2,Inputs!$K$4:$AJ$4,0)))))</f>
        <v>0</v>
      </c>
      <c r="V12" s="6">
        <f>IF(ISNA(MATCH(V$2,Inputs!$K$4:$AJ$4,0)),NA(),IF(SUMPRODUCT((Inputs!$A$5:$A$120=$B12)*ISNUMBER(INDEX(Inputs!$K$5:$AJ$120,0,MATCH(V$2,Inputs!$K$4:$AJ$4,0))))+SUMPRODUCT((Inputs!$C$5:$C$120=$B12)*ISNUMBER(INDEX(Inputs!$K$5:$AJ$120,0,MATCH(V$2,Inputs!$K$4:$AJ$4,0))))+SUMPRODUCT((Inputs!$E$5:$E$120=$B12)*ISNUMBER(INDEX(Inputs!$K$5:$AJ$120,0,MATCH(V$2,Inputs!$K$4:$AJ$4,0))))=0,NA(),SUMPRODUCT((Inputs!$A$5:$A$120=$B12)*Inputs!$B$5:$B$120*(((Inputs!$G$5:$G$120="moeda")+(Inputs!$G$5:$G$120="acoes"))*Inputs!$B$1+((Inputs!$G$5:$G$120&lt;&gt;"moeda")*(Inputs!$G$5:$G$120&lt;&gt;"acoes")))*INDEX(Inputs!$K$5:$AJ$120,0,MATCH(V$2,Inputs!$K$4:$AJ$4,0)))+SUMPRODUCT((Inputs!$C$5:$C$120=$B12)*Inputs!$D$5:$D$120*(((Inputs!$G$5:$G$120="moeda")+(Inputs!$G$5:$G$120="acoes"))*Inputs!$B$1+((Inputs!$G$5:$G$120&lt;&gt;"moeda")*(Inputs!$G$5:$G$120&lt;&gt;"acoes")))*INDEX(Inputs!$K$5:$AJ$120,0,MATCH(V$2,Inputs!$K$4:$AJ$4,0)))+SUMPRODUCT((Inputs!$E$5:$E$120=$B12)*Inputs!$F$5:$F$120*(((Inputs!$G$5:$G$120="moeda")+(Inputs!$G$5:$G$120="acoes"))*Inputs!$B$1+((Inputs!$G$5:$G$120&lt;&gt;"moeda")*(Inputs!$G$5:$G$120&lt;&gt;"acoes")))*INDEX(Inputs!$K$5:$AJ$120,0,MATCH(V$2,Inputs!$K$4:$AJ$4,0)))))</f>
        <v>0</v>
      </c>
      <c r="W12" s="3">
        <f>SUM(S12:V12)</f>
        <v>0</v>
      </c>
      <c r="X12" s="6">
        <f>IF(ISNA(MATCH(X$2,Inputs!$K$4:$AJ$4,0)),NA(),IF(SUMPRODUCT((Inputs!$A$5:$A$120=$B12)*ISNUMBER(INDEX(Inputs!$K$5:$AJ$120,0,MATCH(X$2,Inputs!$K$4:$AJ$4,0))))+SUMPRODUCT((Inputs!$C$5:$C$120=$B12)*ISNUMBER(INDEX(Inputs!$K$5:$AJ$120,0,MATCH(X$2,Inputs!$K$4:$AJ$4,0))))+SUMPRODUCT((Inputs!$E$5:$E$120=$B12)*ISNUMBER(INDEX(Inputs!$K$5:$AJ$120,0,MATCH(X$2,Inputs!$K$4:$AJ$4,0))))=0,NA(),SUMPRODUCT((Inputs!$A$5:$A$120=$B12)*Inputs!$B$5:$B$120*(((Inputs!$G$5:$G$120="moeda")+(Inputs!$G$5:$G$120="acoes"))*Inputs!$B$1+((Inputs!$G$5:$G$120&lt;&gt;"moeda")*(Inputs!$G$5:$G$120&lt;&gt;"acoes")))*INDEX(Inputs!$K$5:$AJ$120,0,MATCH(X$2,Inputs!$K$4:$AJ$4,0)))+SUMPRODUCT((Inputs!$C$5:$C$120=$B12)*Inputs!$D$5:$D$120*(((Inputs!$G$5:$G$120="moeda")+(Inputs!$G$5:$G$120="acoes"))*Inputs!$B$1+((Inputs!$G$5:$G$120&lt;&gt;"moeda")*(Inputs!$G$5:$G$120&lt;&gt;"acoes")))*INDEX(Inputs!$K$5:$AJ$120,0,MATCH(X$2,Inputs!$K$4:$AJ$4,0)))+SUMPRODUCT((Inputs!$E$5:$E$120=$B12)*Inputs!$F$5:$F$120*(((Inputs!$G$5:$G$120="moeda")+(Inputs!$G$5:$G$120="acoes"))*Inputs!$B$1+((Inputs!$G$5:$G$120&lt;&gt;"moeda")*(Inputs!$G$5:$G$120&lt;&gt;"acoes")))*INDEX(Inputs!$K$5:$AJ$120,0,MATCH(X$2,Inputs!$K$4:$AJ$4,0)))))</f>
        <v>0</v>
      </c>
      <c r="Y12" s="6">
        <f>IF(ISNA(MATCH(Y$2,Inputs!$K$4:$AJ$4,0)),NA(),IF(SUMPRODUCT((Inputs!$A$5:$A$120=$B12)*ISNUMBER(INDEX(Inputs!$K$5:$AJ$120,0,MATCH(Y$2,Inputs!$K$4:$AJ$4,0))))+SUMPRODUCT((Inputs!$C$5:$C$120=$B12)*ISNUMBER(INDEX(Inputs!$K$5:$AJ$120,0,MATCH(Y$2,Inputs!$K$4:$AJ$4,0))))+SUMPRODUCT((Inputs!$E$5:$E$120=$B12)*ISNUMBER(INDEX(Inputs!$K$5:$AJ$120,0,MATCH(Y$2,Inputs!$K$4:$AJ$4,0))))=0,NA(),SUMPRODUCT((Inputs!$A$5:$A$120=$B12)*Inputs!$B$5:$B$120*(((Inputs!$G$5:$G$120="moeda")+(Inputs!$G$5:$G$120="acoes"))*Inputs!$B$1+((Inputs!$G$5:$G$120&lt;&gt;"moeda")*(Inputs!$G$5:$G$120&lt;&gt;"acoes")))*INDEX(Inputs!$K$5:$AJ$120,0,MATCH(Y$2,Inputs!$K$4:$AJ$4,0)))+SUMPRODUCT((Inputs!$C$5:$C$120=$B12)*Inputs!$D$5:$D$120*(((Inputs!$G$5:$G$120="moeda")+(Inputs!$G$5:$G$120="acoes"))*Inputs!$B$1+((Inputs!$G$5:$G$120&lt;&gt;"moeda")*(Inputs!$G$5:$G$120&lt;&gt;"acoes")))*INDEX(Inputs!$K$5:$AJ$120,0,MATCH(Y$2,Inputs!$K$4:$AJ$4,0)))+SUMPRODUCT((Inputs!$E$5:$E$120=$B12)*Inputs!$F$5:$F$120*(((Inputs!$G$5:$G$120="moeda")+(Inputs!$G$5:$G$120="acoes"))*Inputs!$B$1+((Inputs!$G$5:$G$120&lt;&gt;"moeda")*(Inputs!$G$5:$G$120&lt;&gt;"acoes")))*INDEX(Inputs!$K$5:$AJ$120,0,MATCH(Y$2,Inputs!$K$4:$AJ$4,0)))))</f>
        <v>0</v>
      </c>
      <c r="Z12" s="6">
        <f>IF(ISNA(MATCH(Z$2,Inputs!$K$4:$AJ$4,0)),NA(),IF(SUMPRODUCT((Inputs!$A$5:$A$120=$B12)*ISNUMBER(INDEX(Inputs!$K$5:$AJ$120,0,MATCH(Z$2,Inputs!$K$4:$AJ$4,0))))+SUMPRODUCT((Inputs!$C$5:$C$120=$B12)*ISNUMBER(INDEX(Inputs!$K$5:$AJ$120,0,MATCH(Z$2,Inputs!$K$4:$AJ$4,0))))+SUMPRODUCT((Inputs!$E$5:$E$120=$B12)*ISNUMBER(INDEX(Inputs!$K$5:$AJ$120,0,MATCH(Z$2,Inputs!$K$4:$AJ$4,0))))=0,NA(),SUMPRODUCT((Inputs!$A$5:$A$120=$B12)*Inputs!$B$5:$B$120*(((Inputs!$G$5:$G$120="moeda")+(Inputs!$G$5:$G$120="acoes"))*Inputs!$B$1+((Inputs!$G$5:$G$120&lt;&gt;"moeda")*(Inputs!$G$5:$G$120&lt;&gt;"acoes")))*INDEX(Inputs!$K$5:$AJ$120,0,MATCH(Z$2,Inputs!$K$4:$AJ$4,0)))+SUMPRODUCT((Inputs!$C$5:$C$120=$B12)*Inputs!$D$5:$D$120*(((Inputs!$G$5:$G$120="moeda")+(Inputs!$G$5:$G$120="acoes"))*Inputs!$B$1+((Inputs!$G$5:$G$120&lt;&gt;"moeda")*(Inputs!$G$5:$G$120&lt;&gt;"acoes")))*INDEX(Inputs!$K$5:$AJ$120,0,MATCH(Z$2,Inputs!$K$4:$AJ$4,0)))+SUMPRODUCT((Inputs!$E$5:$E$120=$B12)*Inputs!$F$5:$F$120*(((Inputs!$G$5:$G$120="moeda")+(Inputs!$G$5:$G$120="acoes"))*Inputs!$B$1+((Inputs!$G$5:$G$120&lt;&gt;"moeda")*(Inputs!$G$5:$G$120&lt;&gt;"acoes")))*INDEX(Inputs!$K$5:$AJ$120,0,MATCH(Z$2,Inputs!$K$4:$AJ$4,0)))))</f>
        <v>0</v>
      </c>
      <c r="AA12" s="6">
        <f>IF(ISNA(MATCH(AA$2,Inputs!$K$4:$AJ$4,0)),NA(),IF(SUMPRODUCT((Inputs!$A$5:$A$120=$B12)*ISNUMBER(INDEX(Inputs!$K$5:$AJ$120,0,MATCH(AA$2,Inputs!$K$4:$AJ$4,0))))+SUMPRODUCT((Inputs!$C$5:$C$120=$B12)*ISNUMBER(INDEX(Inputs!$K$5:$AJ$120,0,MATCH(AA$2,Inputs!$K$4:$AJ$4,0))))+SUMPRODUCT((Inputs!$E$5:$E$120=$B12)*ISNUMBER(INDEX(Inputs!$K$5:$AJ$120,0,MATCH(AA$2,Inputs!$K$4:$AJ$4,0))))=0,NA(),SUMPRODUCT((Inputs!$A$5:$A$120=$B12)*Inputs!$B$5:$B$120*(((Inputs!$G$5:$G$120="moeda")+(Inputs!$G$5:$G$120="acoes"))*Inputs!$B$1+((Inputs!$G$5:$G$120&lt;&gt;"moeda")*(Inputs!$G$5:$G$120&lt;&gt;"acoes")))*INDEX(Inputs!$K$5:$AJ$120,0,MATCH(AA$2,Inputs!$K$4:$AJ$4,0)))+SUMPRODUCT((Inputs!$C$5:$C$120=$B12)*Inputs!$D$5:$D$120*(((Inputs!$G$5:$G$120="moeda")+(Inputs!$G$5:$G$120="acoes"))*Inputs!$B$1+((Inputs!$G$5:$G$120&lt;&gt;"moeda")*(Inputs!$G$5:$G$120&lt;&gt;"acoes")))*INDEX(Inputs!$K$5:$AJ$120,0,MATCH(AA$2,Inputs!$K$4:$AJ$4,0)))+SUMPRODUCT((Inputs!$E$5:$E$120=$B12)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2" s="3">
        <f>SUM(X12:AA12)</f>
        <v>0</v>
      </c>
      <c r="AC12" s="6">
        <f>IF(ISNA(MATCH(AC$2,Inputs!$K$4:$AJ$4,0)),NA(),IF(SUMPRODUCT((Inputs!$A$5:$A$120=$B12)*ISNUMBER(INDEX(Inputs!$K$5:$AJ$120,0,MATCH(AC$2,Inputs!$K$4:$AJ$4,0))))+SUMPRODUCT((Inputs!$C$5:$C$120=$B12)*ISNUMBER(INDEX(Inputs!$K$5:$AJ$120,0,MATCH(AC$2,Inputs!$K$4:$AJ$4,0))))+SUMPRODUCT((Inputs!$E$5:$E$120=$B12)*ISNUMBER(INDEX(Inputs!$K$5:$AJ$120,0,MATCH(AC$2,Inputs!$K$4:$AJ$4,0))))=0,NA(),SUMPRODUCT((Inputs!$A$5:$A$120=$B12)*Inputs!$B$5:$B$120*(((Inputs!$G$5:$G$120="moeda")+(Inputs!$G$5:$G$120="acoes"))*Inputs!$B$1+((Inputs!$G$5:$G$120&lt;&gt;"moeda")*(Inputs!$G$5:$G$120&lt;&gt;"acoes")))*INDEX(Inputs!$K$5:$AJ$120,0,MATCH(AC$2,Inputs!$K$4:$AJ$4,0)))+SUMPRODUCT((Inputs!$C$5:$C$120=$B12)*Inputs!$D$5:$D$120*(((Inputs!$G$5:$G$120="moeda")+(Inputs!$G$5:$G$120="acoes"))*Inputs!$B$1+((Inputs!$G$5:$G$120&lt;&gt;"moeda")*(Inputs!$G$5:$G$120&lt;&gt;"acoes")))*INDEX(Inputs!$K$5:$AJ$120,0,MATCH(AC$2,Inputs!$K$4:$AJ$4,0)))+SUMPRODUCT((Inputs!$E$5:$E$120=$B12)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2" s="6">
        <f>IF(ISNA(MATCH(AD$2,Inputs!$K$4:$AJ$4,0)),NA(),IF(SUMPRODUCT((Inputs!$A$5:$A$120=$B12)*ISNUMBER(INDEX(Inputs!$K$5:$AJ$120,0,MATCH(AD$2,Inputs!$K$4:$AJ$4,0))))+SUMPRODUCT((Inputs!$C$5:$C$120=$B12)*ISNUMBER(INDEX(Inputs!$K$5:$AJ$120,0,MATCH(AD$2,Inputs!$K$4:$AJ$4,0))))+SUMPRODUCT((Inputs!$E$5:$E$120=$B12)*ISNUMBER(INDEX(Inputs!$K$5:$AJ$120,0,MATCH(AD$2,Inputs!$K$4:$AJ$4,0))))=0,NA(),SUMPRODUCT((Inputs!$A$5:$A$120=$B12)*Inputs!$B$5:$B$120*(((Inputs!$G$5:$G$120="moeda")+(Inputs!$G$5:$G$120="acoes"))*Inputs!$B$1+((Inputs!$G$5:$G$120&lt;&gt;"moeda")*(Inputs!$G$5:$G$120&lt;&gt;"acoes")))*INDEX(Inputs!$K$5:$AJ$120,0,MATCH(AD$2,Inputs!$K$4:$AJ$4,0)))+SUMPRODUCT((Inputs!$C$5:$C$120=$B12)*Inputs!$D$5:$D$120*(((Inputs!$G$5:$G$120="moeda")+(Inputs!$G$5:$G$120="acoes"))*Inputs!$B$1+((Inputs!$G$5:$G$120&lt;&gt;"moeda")*(Inputs!$G$5:$G$120&lt;&gt;"acoes")))*INDEX(Inputs!$K$5:$AJ$120,0,MATCH(AD$2,Inputs!$K$4:$AJ$4,0)))+SUMPRODUCT((Inputs!$E$5:$E$120=$B12)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2" s="6" t="e">
        <f>IF(ISNA(MATCH(AE$2,Inputs!$K$4:$AJ$4,0)),NA(),IF(SUMPRODUCT((Inputs!$A$5:$A$120=$B12)*ISNUMBER(INDEX(Inputs!$K$5:$AJ$120,0,MATCH(AE$2,Inputs!$K$4:$AJ$4,0))))+SUMPRODUCT((Inputs!$C$5:$C$120=$B12)*ISNUMBER(INDEX(Inputs!$K$5:$AJ$120,0,MATCH(AE$2,Inputs!$K$4:$AJ$4,0))))+SUMPRODUCT((Inputs!$E$5:$E$120=$B12)*ISNUMBER(INDEX(Inputs!$K$5:$AJ$120,0,MATCH(AE$2,Inputs!$K$4:$AJ$4,0))))=0,NA(),SUMPRODUCT((Inputs!$A$5:$A$120=$B12)*Inputs!$B$5:$B$120*(((Inputs!$G$5:$G$120="moeda")+(Inputs!$G$5:$G$120="acoes"))*Inputs!$B$1+((Inputs!$G$5:$G$120&lt;&gt;"moeda")*(Inputs!$G$5:$G$120&lt;&gt;"acoes")))*INDEX(Inputs!$K$5:$AJ$120,0,MATCH(AE$2,Inputs!$K$4:$AJ$4,0)))+SUMPRODUCT((Inputs!$C$5:$C$120=$B12)*Inputs!$D$5:$D$120*(((Inputs!$G$5:$G$120="moeda")+(Inputs!$G$5:$G$120="acoes"))*Inputs!$B$1+((Inputs!$G$5:$G$120&lt;&gt;"moeda")*(Inputs!$G$5:$G$120&lt;&gt;"acoes")))*INDEX(Inputs!$K$5:$AJ$120,0,MATCH(AE$2,Inputs!$K$4:$AJ$4,0)))+SUMPRODUCT((Inputs!$E$5:$E$120=$B12)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2" s="6" t="e">
        <f>IF(ISNA(MATCH(AF$2,Inputs!$K$4:$AJ$4,0)),NA(),IF(SUMPRODUCT((Inputs!$A$5:$A$120=$B12)*ISNUMBER(INDEX(Inputs!$K$5:$AJ$120,0,MATCH(AF$2,Inputs!$K$4:$AJ$4,0))))+SUMPRODUCT((Inputs!$C$5:$C$120=$B12)*ISNUMBER(INDEX(Inputs!$K$5:$AJ$120,0,MATCH(AF$2,Inputs!$K$4:$AJ$4,0))))+SUMPRODUCT((Inputs!$E$5:$E$120=$B12)*ISNUMBER(INDEX(Inputs!$K$5:$AJ$120,0,MATCH(AF$2,Inputs!$K$4:$AJ$4,0))))=0,NA(),SUMPRODUCT((Inputs!$A$5:$A$120=$B12)*Inputs!$B$5:$B$120*(((Inputs!$G$5:$G$120="moeda")+(Inputs!$G$5:$G$120="acoes"))*Inputs!$B$1+((Inputs!$G$5:$G$120&lt;&gt;"moeda")*(Inputs!$G$5:$G$120&lt;&gt;"acoes")))*INDEX(Inputs!$K$5:$AJ$120,0,MATCH(AF$2,Inputs!$K$4:$AJ$4,0)))+SUMPRODUCT((Inputs!$C$5:$C$120=$B12)*Inputs!$D$5:$D$120*(((Inputs!$G$5:$G$120="moeda")+(Inputs!$G$5:$G$120="acoes"))*Inputs!$B$1+((Inputs!$G$5:$G$120&lt;&gt;"moeda")*(Inputs!$G$5:$G$120&lt;&gt;"acoes")))*INDEX(Inputs!$K$5:$AJ$120,0,MATCH(AF$2,Inputs!$K$4:$AJ$4,0)))+SUMPRODUCT((Inputs!$E$5:$E$120=$B12)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2" s="3" t="e">
        <f>SUM(AC12:AF12)</f>
        <v>#N/A</v>
      </c>
      <c r="AH12" s="6">
        <f>IF(ISNA(MATCH(AH$2,Inputs!$K$4:$AJ$4,0)),NA(),IF(SUMPRODUCT((Inputs!$A$5:$A$120=$B12)*ISNUMBER(INDEX(Inputs!$K$5:$AJ$120,0,MATCH(AH$2,Inputs!$K$4:$AJ$4,0))))+SUMPRODUCT((Inputs!$C$5:$C$120=$B12)*ISNUMBER(INDEX(Inputs!$K$5:$AJ$120,0,MATCH(AH$2,Inputs!$K$4:$AJ$4,0))))+SUMPRODUCT((Inputs!$E$5:$E$120=$B12)*ISNUMBER(INDEX(Inputs!$K$5:$AJ$120,0,MATCH(AH$2,Inputs!$K$4:$AJ$4,0))))=0,NA(),SUMPRODUCT((Inputs!$A$5:$A$120=$B12)*Inputs!$B$5:$B$120*(((Inputs!$G$5:$G$120="moeda")+(Inputs!$G$5:$G$120="acoes"))*Inputs!$B$1+((Inputs!$G$5:$G$120&lt;&gt;"moeda")*(Inputs!$G$5:$G$120&lt;&gt;"acoes")))*INDEX(Inputs!$K$5:$AJ$120,0,MATCH(AH$2,Inputs!$K$4:$AJ$4,0)))+SUMPRODUCT((Inputs!$C$5:$C$120=$B12)*Inputs!$D$5:$D$120*(((Inputs!$G$5:$G$120="moeda")+(Inputs!$G$5:$G$120="acoes"))*Inputs!$B$1+((Inputs!$G$5:$G$120&lt;&gt;"moeda")*(Inputs!$G$5:$G$120&lt;&gt;"acoes")))*INDEX(Inputs!$K$5:$AJ$120,0,MATCH(AH$2,Inputs!$K$4:$AJ$4,0)))+SUMPRODUCT((Inputs!$E$5:$E$120=$B12)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2" s="6">
        <f>IF(ISNA(MATCH(AI$2,Inputs!$K$4:$AJ$4,0)),NA(),IF(SUMPRODUCT((Inputs!$A$5:$A$120=$B12)*ISNUMBER(INDEX(Inputs!$K$5:$AJ$120,0,MATCH(AI$2,Inputs!$K$4:$AJ$4,0))))+SUMPRODUCT((Inputs!$C$5:$C$120=$B12)*ISNUMBER(INDEX(Inputs!$K$5:$AJ$120,0,MATCH(AI$2,Inputs!$K$4:$AJ$4,0))))+SUMPRODUCT((Inputs!$E$5:$E$120=$B12)*ISNUMBER(INDEX(Inputs!$K$5:$AJ$120,0,MATCH(AI$2,Inputs!$K$4:$AJ$4,0))))=0,NA(),SUMPRODUCT((Inputs!$A$5:$A$120=$B12)*Inputs!$B$5:$B$120*(((Inputs!$G$5:$G$120="moeda")+(Inputs!$G$5:$G$120="acoes"))*Inputs!$B$1+((Inputs!$G$5:$G$120&lt;&gt;"moeda")*(Inputs!$G$5:$G$120&lt;&gt;"acoes")))*INDEX(Inputs!$K$5:$AJ$120,0,MATCH(AI$2,Inputs!$K$4:$AJ$4,0)))+SUMPRODUCT((Inputs!$C$5:$C$120=$B12)*Inputs!$D$5:$D$120*(((Inputs!$G$5:$G$120="moeda")+(Inputs!$G$5:$G$120="acoes"))*Inputs!$B$1+((Inputs!$G$5:$G$120&lt;&gt;"moeda")*(Inputs!$G$5:$G$120&lt;&gt;"acoes")))*INDEX(Inputs!$K$5:$AJ$120,0,MATCH(AI$2,Inputs!$K$4:$AJ$4,0)))+SUMPRODUCT((Inputs!$E$5:$E$120=$B12)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2" s="6">
        <f>IF(ISNA(MATCH(AJ$2,Inputs!$K$4:$AJ$4,0)),NA(),IF(SUMPRODUCT((Inputs!$A$5:$A$120=$B12)*ISNUMBER(INDEX(Inputs!$K$5:$AJ$120,0,MATCH(AJ$2,Inputs!$K$4:$AJ$4,0))))+SUMPRODUCT((Inputs!$C$5:$C$120=$B12)*ISNUMBER(INDEX(Inputs!$K$5:$AJ$120,0,MATCH(AJ$2,Inputs!$K$4:$AJ$4,0))))+SUMPRODUCT((Inputs!$E$5:$E$120=$B12)*ISNUMBER(INDEX(Inputs!$K$5:$AJ$120,0,MATCH(AJ$2,Inputs!$K$4:$AJ$4,0))))=0,NA(),SUMPRODUCT((Inputs!$A$5:$A$120=$B12)*Inputs!$B$5:$B$120*(((Inputs!$G$5:$G$120="moeda")+(Inputs!$G$5:$G$120="acoes"))*Inputs!$B$1+((Inputs!$G$5:$G$120&lt;&gt;"moeda")*(Inputs!$G$5:$G$120&lt;&gt;"acoes")))*INDEX(Inputs!$K$5:$AJ$120,0,MATCH(AJ$2,Inputs!$K$4:$AJ$4,0)))+SUMPRODUCT((Inputs!$C$5:$C$120=$B12)*Inputs!$D$5:$D$120*(((Inputs!$G$5:$G$120="moeda")+(Inputs!$G$5:$G$120="acoes"))*Inputs!$B$1+((Inputs!$G$5:$G$120&lt;&gt;"moeda")*(Inputs!$G$5:$G$120&lt;&gt;"acoes")))*INDEX(Inputs!$K$5:$AJ$120,0,MATCH(AJ$2,Inputs!$K$4:$AJ$4,0)))+SUMPRODUCT((Inputs!$E$5:$E$120=$B12)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2" s="6">
        <f>IF(ISNA(MATCH(AK$2,Inputs!$K$4:$AJ$4,0)),NA(),IF(SUMPRODUCT((Inputs!$A$5:$A$120=$B12)*ISNUMBER(INDEX(Inputs!$K$5:$AJ$120,0,MATCH(AK$2,Inputs!$K$4:$AJ$4,0))))+SUMPRODUCT((Inputs!$C$5:$C$120=$B12)*ISNUMBER(INDEX(Inputs!$K$5:$AJ$120,0,MATCH(AK$2,Inputs!$K$4:$AJ$4,0))))+SUMPRODUCT((Inputs!$E$5:$E$120=$B12)*ISNUMBER(INDEX(Inputs!$K$5:$AJ$120,0,MATCH(AK$2,Inputs!$K$4:$AJ$4,0))))=0,NA(),SUMPRODUCT((Inputs!$A$5:$A$120=$B12)*Inputs!$B$5:$B$120*(((Inputs!$G$5:$G$120="moeda")+(Inputs!$G$5:$G$120="acoes"))*Inputs!$B$1+((Inputs!$G$5:$G$120&lt;&gt;"moeda")*(Inputs!$G$5:$G$120&lt;&gt;"acoes")))*INDEX(Inputs!$K$5:$AJ$120,0,MATCH(AK$2,Inputs!$K$4:$AJ$4,0)))+SUMPRODUCT((Inputs!$C$5:$C$120=$B12)*Inputs!$D$5:$D$120*(((Inputs!$G$5:$G$120="moeda")+(Inputs!$G$5:$G$120="acoes"))*Inputs!$B$1+((Inputs!$G$5:$G$120&lt;&gt;"moeda")*(Inputs!$G$5:$G$120&lt;&gt;"acoes")))*INDEX(Inputs!$K$5:$AJ$120,0,MATCH(AK$2,Inputs!$K$4:$AJ$4,0)))+SUMPRODUCT((Inputs!$E$5:$E$120=$B12)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2" s="3">
        <f>SUM(AH12:AK12)</f>
        <v>0</v>
      </c>
    </row>
    <row r="13">
      <c r="B13" s="46" t="n">
        <v>10</v>
      </c>
      <c r="C13" s="24" t="inlineStr">
        <is>
          <t>Common Dividends</t>
        </is>
      </c>
      <c r="D13" s="6">
        <f>IF(ISNA(MATCH(D$2,Inputs!$K$4:$AJ$4,0)),NA(),IF(SUMPRODUCT((Inputs!$A$5:$A$120=$B13)*ISNUMBER(INDEX(Inputs!$K$5:$AJ$120,0,MATCH(D$2,Inputs!$K$4:$AJ$4,0))))+SUMPRODUCT((Inputs!$C$5:$C$120=$B13)*ISNUMBER(INDEX(Inputs!$K$5:$AJ$120,0,MATCH(D$2,Inputs!$K$4:$AJ$4,0))))+SUMPRODUCT((Inputs!$E$5:$E$120=$B13)*ISNUMBER(INDEX(Inputs!$K$5:$AJ$120,0,MATCH(D$2,Inputs!$K$4:$AJ$4,0))))=0,NA(),SUMPRODUCT((Inputs!$A$5:$A$120=$B13)*Inputs!$B$5:$B$120*(((Inputs!$G$5:$G$120="moeda")+(Inputs!$G$5:$G$120="acoes"))*Inputs!$B$1+((Inputs!$G$5:$G$120&lt;&gt;"moeda")*(Inputs!$G$5:$G$120&lt;&gt;"acoes")))*INDEX(Inputs!$K$5:$AJ$120,0,MATCH(D$2,Inputs!$K$4:$AJ$4,0)))+SUMPRODUCT((Inputs!$C$5:$C$120=$B13)*Inputs!$D$5:$D$120*(((Inputs!$G$5:$G$120="moeda")+(Inputs!$G$5:$G$120="acoes"))*Inputs!$B$1+((Inputs!$G$5:$G$120&lt;&gt;"moeda")*(Inputs!$G$5:$G$120&lt;&gt;"acoes")))*INDEX(Inputs!$K$5:$AJ$120,0,MATCH(D$2,Inputs!$K$4:$AJ$4,0)))+SUMPRODUCT((Inputs!$E$5:$E$120=$B13)*Inputs!$F$5:$F$120*(((Inputs!$G$5:$G$120="moeda")+(Inputs!$G$5:$G$120="acoes"))*Inputs!$B$1+((Inputs!$G$5:$G$120&lt;&gt;"moeda")*(Inputs!$G$5:$G$120&lt;&gt;"acoes")))*INDEX(Inputs!$K$5:$AJ$120,0,MATCH(D$2,Inputs!$K$4:$AJ$4,0)))))</f>
        <v>-774.8</v>
      </c>
      <c r="E13" s="6">
        <f>IF(ISNA(MATCH(E$2,Inputs!$K$4:$AJ$4,0)),NA(),IF(SUMPRODUCT((Inputs!$A$5:$A$120=$B13)*ISNUMBER(INDEX(Inputs!$K$5:$AJ$120,0,MATCH(E$2,Inputs!$K$4:$AJ$4,0))))+SUMPRODUCT((Inputs!$C$5:$C$120=$B13)*ISNUMBER(INDEX(Inputs!$K$5:$AJ$120,0,MATCH(E$2,Inputs!$K$4:$AJ$4,0))))+SUMPRODUCT((Inputs!$E$5:$E$120=$B13)*ISNUMBER(INDEX(Inputs!$K$5:$AJ$120,0,MATCH(E$2,Inputs!$K$4:$AJ$4,0))))=0,NA(),SUMPRODUCT((Inputs!$A$5:$A$120=$B13)*Inputs!$B$5:$B$120*(((Inputs!$G$5:$G$120="moeda")+(Inputs!$G$5:$G$120="acoes"))*Inputs!$B$1+((Inputs!$G$5:$G$120&lt;&gt;"moeda")*(Inputs!$G$5:$G$120&lt;&gt;"acoes")))*INDEX(Inputs!$K$5:$AJ$120,0,MATCH(E$2,Inputs!$K$4:$AJ$4,0)))+SUMPRODUCT((Inputs!$C$5:$C$120=$B13)*Inputs!$D$5:$D$120*(((Inputs!$G$5:$G$120="moeda")+(Inputs!$G$5:$G$120="acoes"))*Inputs!$B$1+((Inputs!$G$5:$G$120&lt;&gt;"moeda")*(Inputs!$G$5:$G$120&lt;&gt;"acoes")))*INDEX(Inputs!$K$5:$AJ$120,0,MATCH(E$2,Inputs!$K$4:$AJ$4,0)))+SUMPRODUCT((Inputs!$E$5:$E$120=$B13)*Inputs!$F$5:$F$120*(((Inputs!$G$5:$G$120="moeda")+(Inputs!$G$5:$G$120="acoes"))*Inputs!$B$1+((Inputs!$G$5:$G$120&lt;&gt;"moeda")*(Inputs!$G$5:$G$120&lt;&gt;"acoes")))*INDEX(Inputs!$K$5:$AJ$120,0,MATCH(E$2,Inputs!$K$4:$AJ$4,0)))))</f>
        <v>-768.3</v>
      </c>
      <c r="F13" s="6">
        <f>IF(ISNA(MATCH(F$2,Inputs!$K$4:$AJ$4,0)),NA(),IF(SUMPRODUCT((Inputs!$A$5:$A$120=$B13)*ISNUMBER(INDEX(Inputs!$K$5:$AJ$120,0,MATCH(F$2,Inputs!$K$4:$AJ$4,0))))+SUMPRODUCT((Inputs!$C$5:$C$120=$B13)*ISNUMBER(INDEX(Inputs!$K$5:$AJ$120,0,MATCH(F$2,Inputs!$K$4:$AJ$4,0))))+SUMPRODUCT((Inputs!$E$5:$E$120=$B13)*ISNUMBER(INDEX(Inputs!$K$5:$AJ$120,0,MATCH(F$2,Inputs!$K$4:$AJ$4,0))))=0,NA(),SUMPRODUCT((Inputs!$A$5:$A$120=$B13)*Inputs!$B$5:$B$120*(((Inputs!$G$5:$G$120="moeda")+(Inputs!$G$5:$G$120="acoes"))*Inputs!$B$1+((Inputs!$G$5:$G$120&lt;&gt;"moeda")*(Inputs!$G$5:$G$120&lt;&gt;"acoes")))*INDEX(Inputs!$K$5:$AJ$120,0,MATCH(F$2,Inputs!$K$4:$AJ$4,0)))+SUMPRODUCT((Inputs!$C$5:$C$120=$B13)*Inputs!$D$5:$D$120*(((Inputs!$G$5:$G$120="moeda")+(Inputs!$G$5:$G$120="acoes"))*Inputs!$B$1+((Inputs!$G$5:$G$120&lt;&gt;"moeda")*(Inputs!$G$5:$G$120&lt;&gt;"acoes")))*INDEX(Inputs!$K$5:$AJ$120,0,MATCH(F$2,Inputs!$K$4:$AJ$4,0)))+SUMPRODUCT((Inputs!$E$5:$E$120=$B13)*Inputs!$F$5:$F$120*(((Inputs!$G$5:$G$120="moeda")+(Inputs!$G$5:$G$120="acoes"))*Inputs!$B$1+((Inputs!$G$5:$G$120&lt;&gt;"moeda")*(Inputs!$G$5:$G$120&lt;&gt;"acoes")))*INDEX(Inputs!$K$5:$AJ$120,0,MATCH(F$2,Inputs!$K$4:$AJ$4,0)))))</f>
        <v>-770.4</v>
      </c>
      <c r="G13" s="6">
        <f>IF(ISNA(MATCH(G$2,Inputs!$K$4:$AJ$4,0)),NA(),IF(SUMPRODUCT((Inputs!$A$5:$A$120=$B13)*ISNUMBER(INDEX(Inputs!$K$5:$AJ$120,0,MATCH(G$2,Inputs!$K$4:$AJ$4,0))))+SUMPRODUCT((Inputs!$C$5:$C$120=$B13)*ISNUMBER(INDEX(Inputs!$K$5:$AJ$120,0,MATCH(G$2,Inputs!$K$4:$AJ$4,0))))+SUMPRODUCT((Inputs!$E$5:$E$120=$B13)*ISNUMBER(INDEX(Inputs!$K$5:$AJ$120,0,MATCH(G$2,Inputs!$K$4:$AJ$4,0))))=0,NA(),SUMPRODUCT((Inputs!$A$5:$A$120=$B13)*Inputs!$B$5:$B$120*(((Inputs!$G$5:$G$120="moeda")+(Inputs!$G$5:$G$120="acoes"))*Inputs!$B$1+((Inputs!$G$5:$G$120&lt;&gt;"moeda")*(Inputs!$G$5:$G$120&lt;&gt;"acoes")))*INDEX(Inputs!$K$5:$AJ$120,0,MATCH(G$2,Inputs!$K$4:$AJ$4,0)))+SUMPRODUCT((Inputs!$C$5:$C$120=$B13)*Inputs!$D$5:$D$120*(((Inputs!$G$5:$G$120="moeda")+(Inputs!$G$5:$G$120="acoes"))*Inputs!$B$1+((Inputs!$G$5:$G$120&lt;&gt;"moeda")*(Inputs!$G$5:$G$120&lt;&gt;"acoes")))*INDEX(Inputs!$K$5:$AJ$120,0,MATCH(G$2,Inputs!$K$4:$AJ$4,0)))+SUMPRODUCT((Inputs!$E$5:$E$120=$B13)*Inputs!$F$5:$F$120*(((Inputs!$G$5:$G$120="moeda")+(Inputs!$G$5:$G$120="acoes"))*Inputs!$B$1+((Inputs!$G$5:$G$120&lt;&gt;"moeda")*(Inputs!$G$5:$G$120&lt;&gt;"acoes")))*INDEX(Inputs!$K$5:$AJ$120,0,MATCH(G$2,Inputs!$K$4:$AJ$4,0)))))</f>
        <v>-773.3</v>
      </c>
      <c r="H13" s="3">
        <f>SUM(D13:G13)</f>
        <v>-3086.8</v>
      </c>
      <c r="I13" s="6">
        <f>IF(ISNA(MATCH(I$2,Inputs!$K$4:$AJ$4,0)),NA(),IF(SUMPRODUCT((Inputs!$A$5:$A$120=$B13)*ISNUMBER(INDEX(Inputs!$K$5:$AJ$120,0,MATCH(I$2,Inputs!$K$4:$AJ$4,0))))+SUMPRODUCT((Inputs!$C$5:$C$120=$B13)*ISNUMBER(INDEX(Inputs!$K$5:$AJ$120,0,MATCH(I$2,Inputs!$K$4:$AJ$4,0))))+SUMPRODUCT((Inputs!$E$5:$E$120=$B13)*ISNUMBER(INDEX(Inputs!$K$5:$AJ$120,0,MATCH(I$2,Inputs!$K$4:$AJ$4,0))))=0,NA(),SUMPRODUCT((Inputs!$A$5:$A$120=$B13)*Inputs!$B$5:$B$120*(((Inputs!$G$5:$G$120="moeda")+(Inputs!$G$5:$G$120="acoes"))*Inputs!$B$1+((Inputs!$G$5:$G$120&lt;&gt;"moeda")*(Inputs!$G$5:$G$120&lt;&gt;"acoes")))*INDEX(Inputs!$K$5:$AJ$120,0,MATCH(I$2,Inputs!$K$4:$AJ$4,0)))+SUMPRODUCT((Inputs!$C$5:$C$120=$B13)*Inputs!$D$5:$D$120*(((Inputs!$G$5:$G$120="moeda")+(Inputs!$G$5:$G$120="acoes"))*Inputs!$B$1+((Inputs!$G$5:$G$120&lt;&gt;"moeda")*(Inputs!$G$5:$G$120&lt;&gt;"acoes")))*INDEX(Inputs!$K$5:$AJ$120,0,MATCH(I$2,Inputs!$K$4:$AJ$4,0)))+SUMPRODUCT((Inputs!$E$5:$E$120=$B13)*Inputs!$F$5:$F$120*(((Inputs!$G$5:$G$120="moeda")+(Inputs!$G$5:$G$120="acoes"))*Inputs!$B$1+((Inputs!$G$5:$G$120&lt;&gt;"moeda")*(Inputs!$G$5:$G$120&lt;&gt;"acoes")))*INDEX(Inputs!$K$5:$AJ$120,0,MATCH(I$2,Inputs!$K$4:$AJ$4,0)))))</f>
        <v>-885.5</v>
      </c>
      <c r="J13" s="6">
        <f>IF(ISNA(MATCH(J$2,Inputs!$K$4:$AJ$4,0)),NA(),IF(SUMPRODUCT((Inputs!$A$5:$A$120=$B13)*ISNUMBER(INDEX(Inputs!$K$5:$AJ$120,0,MATCH(J$2,Inputs!$K$4:$AJ$4,0))))+SUMPRODUCT((Inputs!$C$5:$C$120=$B13)*ISNUMBER(INDEX(Inputs!$K$5:$AJ$120,0,MATCH(J$2,Inputs!$K$4:$AJ$4,0))))+SUMPRODUCT((Inputs!$E$5:$E$120=$B13)*ISNUMBER(INDEX(Inputs!$K$5:$AJ$120,0,MATCH(J$2,Inputs!$K$4:$AJ$4,0))))=0,NA(),SUMPRODUCT((Inputs!$A$5:$A$120=$B13)*Inputs!$B$5:$B$120*(((Inputs!$G$5:$G$120="moeda")+(Inputs!$G$5:$G$120="acoes"))*Inputs!$B$1+((Inputs!$G$5:$G$120&lt;&gt;"moeda")*(Inputs!$G$5:$G$120&lt;&gt;"acoes")))*INDEX(Inputs!$K$5:$AJ$120,0,MATCH(J$2,Inputs!$K$4:$AJ$4,0)))+SUMPRODUCT((Inputs!$C$5:$C$120=$B13)*Inputs!$D$5:$D$120*(((Inputs!$G$5:$G$120="moeda")+(Inputs!$G$5:$G$120="acoes"))*Inputs!$B$1+((Inputs!$G$5:$G$120&lt;&gt;"moeda")*(Inputs!$G$5:$G$120&lt;&gt;"acoes")))*INDEX(Inputs!$K$5:$AJ$120,0,MATCH(J$2,Inputs!$K$4:$AJ$4,0)))+SUMPRODUCT((Inputs!$E$5:$E$120=$B13)*Inputs!$F$5:$F$120*(((Inputs!$G$5:$G$120="moeda")+(Inputs!$G$5:$G$120="acoes"))*Inputs!$B$1+((Inputs!$G$5:$G$120&lt;&gt;"moeda")*(Inputs!$G$5:$G$120&lt;&gt;"acoes")))*INDEX(Inputs!$K$5:$AJ$120,0,MATCH(J$2,Inputs!$K$4:$AJ$4,0)))))</f>
        <v>-883.7</v>
      </c>
      <c r="K13" s="6">
        <f>IF(ISNA(MATCH(K$2,Inputs!$K$4:$AJ$4,0)),NA(),IF(SUMPRODUCT((Inputs!$A$5:$A$120=$B13)*ISNUMBER(INDEX(Inputs!$K$5:$AJ$120,0,MATCH(K$2,Inputs!$K$4:$AJ$4,0))))+SUMPRODUCT((Inputs!$C$5:$C$120=$B13)*ISNUMBER(INDEX(Inputs!$K$5:$AJ$120,0,MATCH(K$2,Inputs!$K$4:$AJ$4,0))))+SUMPRODUCT((Inputs!$E$5:$E$120=$B13)*ISNUMBER(INDEX(Inputs!$K$5:$AJ$120,0,MATCH(K$2,Inputs!$K$4:$AJ$4,0))))=0,NA(),SUMPRODUCT((Inputs!$A$5:$A$120=$B13)*Inputs!$B$5:$B$120*(((Inputs!$G$5:$G$120="moeda")+(Inputs!$G$5:$G$120="acoes"))*Inputs!$B$1+((Inputs!$G$5:$G$120&lt;&gt;"moeda")*(Inputs!$G$5:$G$120&lt;&gt;"acoes")))*INDEX(Inputs!$K$5:$AJ$120,0,MATCH(K$2,Inputs!$K$4:$AJ$4,0)))+SUMPRODUCT((Inputs!$C$5:$C$120=$B13)*Inputs!$D$5:$D$120*(((Inputs!$G$5:$G$120="moeda")+(Inputs!$G$5:$G$120="acoes"))*Inputs!$B$1+((Inputs!$G$5:$G$120&lt;&gt;"moeda")*(Inputs!$G$5:$G$120&lt;&gt;"acoes")))*INDEX(Inputs!$K$5:$AJ$120,0,MATCH(K$2,Inputs!$K$4:$AJ$4,0)))+SUMPRODUCT((Inputs!$E$5:$E$120=$B13)*Inputs!$F$5:$F$120*(((Inputs!$G$5:$G$120="moeda")+(Inputs!$G$5:$G$120="acoes"))*Inputs!$B$1+((Inputs!$G$5:$G$120&lt;&gt;"moeda")*(Inputs!$G$5:$G$120&lt;&gt;"acoes")))*INDEX(Inputs!$K$5:$AJ$120,0,MATCH(K$2,Inputs!$K$4:$AJ$4,0)))))</f>
        <v>-882.2</v>
      </c>
      <c r="L13" s="6">
        <f>IF(ISNA(MATCH(L$2,Inputs!$K$4:$AJ$4,0)),NA(),IF(SUMPRODUCT((Inputs!$A$5:$A$120=$B13)*ISNUMBER(INDEX(Inputs!$K$5:$AJ$120,0,MATCH(L$2,Inputs!$K$4:$AJ$4,0))))+SUMPRODUCT((Inputs!$C$5:$C$120=$B13)*ISNUMBER(INDEX(Inputs!$K$5:$AJ$120,0,MATCH(L$2,Inputs!$K$4:$AJ$4,0))))+SUMPRODUCT((Inputs!$E$5:$E$120=$B13)*ISNUMBER(INDEX(Inputs!$K$5:$AJ$120,0,MATCH(L$2,Inputs!$K$4:$AJ$4,0))))=0,NA(),SUMPRODUCT((Inputs!$A$5:$A$120=$B13)*Inputs!$B$5:$B$120*(((Inputs!$G$5:$G$120="moeda")+(Inputs!$G$5:$G$120="acoes"))*Inputs!$B$1+((Inputs!$G$5:$G$120&lt;&gt;"moeda")*(Inputs!$G$5:$G$120&lt;&gt;"acoes")))*INDEX(Inputs!$K$5:$AJ$120,0,MATCH(L$2,Inputs!$K$4:$AJ$4,0)))+SUMPRODUCT((Inputs!$C$5:$C$120=$B13)*Inputs!$D$5:$D$120*(((Inputs!$G$5:$G$120="moeda")+(Inputs!$G$5:$G$120="acoes"))*Inputs!$B$1+((Inputs!$G$5:$G$120&lt;&gt;"moeda")*(Inputs!$G$5:$G$120&lt;&gt;"acoes")))*INDEX(Inputs!$K$5:$AJ$120,0,MATCH(L$2,Inputs!$K$4:$AJ$4,0)))+SUMPRODUCT((Inputs!$E$5:$E$120=$B13)*Inputs!$F$5:$F$120*(((Inputs!$G$5:$G$120="moeda")+(Inputs!$G$5:$G$120="acoes"))*Inputs!$B$1+((Inputs!$G$5:$G$120&lt;&gt;"moeda")*(Inputs!$G$5:$G$120&lt;&gt;"acoes")))*INDEX(Inputs!$K$5:$AJ$120,0,MATCH(L$2,Inputs!$K$4:$AJ$4,0)))))</f>
        <v>-884.4</v>
      </c>
      <c r="M13" s="3">
        <f>SUM(I13:L13)</f>
        <v>-3535.8</v>
      </c>
      <c r="N13" s="6">
        <f>IF(ISNA(MATCH(N$2,Inputs!$K$4:$AJ$4,0)),NA(),IF(SUMPRODUCT((Inputs!$A$5:$A$120=$B13)*ISNUMBER(INDEX(Inputs!$K$5:$AJ$120,0,MATCH(N$2,Inputs!$K$4:$AJ$4,0))))+SUMPRODUCT((Inputs!$C$5:$C$120=$B13)*ISNUMBER(INDEX(Inputs!$K$5:$AJ$120,0,MATCH(N$2,Inputs!$K$4:$AJ$4,0))))+SUMPRODUCT((Inputs!$E$5:$E$120=$B13)*ISNUMBER(INDEX(Inputs!$K$5:$AJ$120,0,MATCH(N$2,Inputs!$K$4:$AJ$4,0))))=0,NA(),SUMPRODUCT((Inputs!$A$5:$A$120=$B13)*Inputs!$B$5:$B$120*(((Inputs!$G$5:$G$120="moeda")+(Inputs!$G$5:$G$120="acoes"))*Inputs!$B$1+((Inputs!$G$5:$G$120&lt;&gt;"moeda")*(Inputs!$G$5:$G$120&lt;&gt;"acoes")))*INDEX(Inputs!$K$5:$AJ$120,0,MATCH(N$2,Inputs!$K$4:$AJ$4,0)))+SUMPRODUCT((Inputs!$C$5:$C$120=$B13)*Inputs!$D$5:$D$120*(((Inputs!$G$5:$G$120="moeda")+(Inputs!$G$5:$G$120="acoes"))*Inputs!$B$1+((Inputs!$G$5:$G$120&lt;&gt;"moeda")*(Inputs!$G$5:$G$120&lt;&gt;"acoes")))*INDEX(Inputs!$K$5:$AJ$120,0,MATCH(N$2,Inputs!$K$4:$AJ$4,0)))+SUMPRODUCT((Inputs!$E$5:$E$120=$B13)*Inputs!$F$5:$F$120*(((Inputs!$G$5:$G$120="moeda")+(Inputs!$G$5:$G$120="acoes"))*Inputs!$B$1+((Inputs!$G$5:$G$120&lt;&gt;"moeda")*(Inputs!$G$5:$G$120&lt;&gt;"acoes")))*INDEX(Inputs!$K$5:$AJ$120,0,MATCH(N$2,Inputs!$K$4:$AJ$4,0)))))</f>
        <v>-1017.2</v>
      </c>
      <c r="O13" s="6">
        <f>IF(ISNA(MATCH(O$2,Inputs!$K$4:$AJ$4,0)),NA(),IF(SUMPRODUCT((Inputs!$A$5:$A$120=$B13)*ISNUMBER(INDEX(Inputs!$K$5:$AJ$120,0,MATCH(O$2,Inputs!$K$4:$AJ$4,0))))+SUMPRODUCT((Inputs!$C$5:$C$120=$B13)*ISNUMBER(INDEX(Inputs!$K$5:$AJ$120,0,MATCH(O$2,Inputs!$K$4:$AJ$4,0))))+SUMPRODUCT((Inputs!$E$5:$E$120=$B13)*ISNUMBER(INDEX(Inputs!$K$5:$AJ$120,0,MATCH(O$2,Inputs!$K$4:$AJ$4,0))))=0,NA(),SUMPRODUCT((Inputs!$A$5:$A$120=$B13)*Inputs!$B$5:$B$120*(((Inputs!$G$5:$G$120="moeda")+(Inputs!$G$5:$G$120="acoes"))*Inputs!$B$1+((Inputs!$G$5:$G$120&lt;&gt;"moeda")*(Inputs!$G$5:$G$120&lt;&gt;"acoes")))*INDEX(Inputs!$K$5:$AJ$120,0,MATCH(O$2,Inputs!$K$4:$AJ$4,0)))+SUMPRODUCT((Inputs!$C$5:$C$120=$B13)*Inputs!$D$5:$D$120*(((Inputs!$G$5:$G$120="moeda")+(Inputs!$G$5:$G$120="acoes"))*Inputs!$B$1+((Inputs!$G$5:$G$120&lt;&gt;"moeda")*(Inputs!$G$5:$G$120&lt;&gt;"acoes")))*INDEX(Inputs!$K$5:$AJ$120,0,MATCH(O$2,Inputs!$K$4:$AJ$4,0)))+SUMPRODUCT((Inputs!$E$5:$E$120=$B13)*Inputs!$F$5:$F$120*(((Inputs!$G$5:$G$120="moeda")+(Inputs!$G$5:$G$120="acoes"))*Inputs!$B$1+((Inputs!$G$5:$G$120&lt;&gt;"moeda")*(Inputs!$G$5:$G$120&lt;&gt;"acoes")))*INDEX(Inputs!$K$5:$AJ$120,0,MATCH(O$2,Inputs!$K$4:$AJ$4,0)))))</f>
        <v>-1017.8</v>
      </c>
      <c r="P13" s="6">
        <f>IF(ISNA(MATCH(P$2,Inputs!$K$4:$AJ$4,0)),NA(),IF(SUMPRODUCT((Inputs!$A$5:$A$120=$B13)*ISNUMBER(INDEX(Inputs!$K$5:$AJ$120,0,MATCH(P$2,Inputs!$K$4:$AJ$4,0))))+SUMPRODUCT((Inputs!$C$5:$C$120=$B13)*ISNUMBER(INDEX(Inputs!$K$5:$AJ$120,0,MATCH(P$2,Inputs!$K$4:$AJ$4,0))))+SUMPRODUCT((Inputs!$E$5:$E$120=$B13)*ISNUMBER(INDEX(Inputs!$K$5:$AJ$120,0,MATCH(P$2,Inputs!$K$4:$AJ$4,0))))=0,NA(),SUMPRODUCT((Inputs!$A$5:$A$120=$B13)*Inputs!$B$5:$B$120*(((Inputs!$G$5:$G$120="moeda")+(Inputs!$G$5:$G$120="acoes"))*Inputs!$B$1+((Inputs!$G$5:$G$120&lt;&gt;"moeda")*(Inputs!$G$5:$G$120&lt;&gt;"acoes")))*INDEX(Inputs!$K$5:$AJ$120,0,MATCH(P$2,Inputs!$K$4:$AJ$4,0)))+SUMPRODUCT((Inputs!$C$5:$C$120=$B13)*Inputs!$D$5:$D$120*(((Inputs!$G$5:$G$120="moeda")+(Inputs!$G$5:$G$120="acoes"))*Inputs!$B$1+((Inputs!$G$5:$G$120&lt;&gt;"moeda")*(Inputs!$G$5:$G$120&lt;&gt;"acoes")))*INDEX(Inputs!$K$5:$AJ$120,0,MATCH(P$2,Inputs!$K$4:$AJ$4,0)))+SUMPRODUCT((Inputs!$E$5:$E$120=$B13)*Inputs!$F$5:$F$120*(((Inputs!$G$5:$G$120="moeda")+(Inputs!$G$5:$G$120="acoes"))*Inputs!$B$1+((Inputs!$G$5:$G$120&lt;&gt;"moeda")*(Inputs!$G$5:$G$120&lt;&gt;"acoes")))*INDEX(Inputs!$K$5:$AJ$120,0,MATCH(P$2,Inputs!$K$4:$AJ$4,0)))))</f>
        <v>-1016.2</v>
      </c>
      <c r="Q13" s="6">
        <f>IF(ISNA(MATCH(Q$2,Inputs!$K$4:$AJ$4,0)),NA(),IF(SUMPRODUCT((Inputs!$A$5:$A$120=$B13)*ISNUMBER(INDEX(Inputs!$K$5:$AJ$120,0,MATCH(Q$2,Inputs!$K$4:$AJ$4,0))))+SUMPRODUCT((Inputs!$C$5:$C$120=$B13)*ISNUMBER(INDEX(Inputs!$K$5:$AJ$120,0,MATCH(Q$2,Inputs!$K$4:$AJ$4,0))))+SUMPRODUCT((Inputs!$E$5:$E$120=$B13)*ISNUMBER(INDEX(Inputs!$K$5:$AJ$120,0,MATCH(Q$2,Inputs!$K$4:$AJ$4,0))))=0,NA(),SUMPRODUCT((Inputs!$A$5:$A$120=$B13)*Inputs!$B$5:$B$120*(((Inputs!$G$5:$G$120="moeda")+(Inputs!$G$5:$G$120="acoes"))*Inputs!$B$1+((Inputs!$G$5:$G$120&lt;&gt;"moeda")*(Inputs!$G$5:$G$120&lt;&gt;"acoes")))*INDEX(Inputs!$K$5:$AJ$120,0,MATCH(Q$2,Inputs!$K$4:$AJ$4,0)))+SUMPRODUCT((Inputs!$C$5:$C$120=$B13)*Inputs!$D$5:$D$120*(((Inputs!$G$5:$G$120="moeda")+(Inputs!$G$5:$G$120="acoes"))*Inputs!$B$1+((Inputs!$G$5:$G$120&lt;&gt;"moeda")*(Inputs!$G$5:$G$120&lt;&gt;"acoes")))*INDEX(Inputs!$K$5:$AJ$120,0,MATCH(Q$2,Inputs!$K$4:$AJ$4,0)))+SUMPRODUCT((Inputs!$E$5:$E$120=$B13)*Inputs!$F$5:$F$120*(((Inputs!$G$5:$G$120="moeda")+(Inputs!$G$5:$G$120="acoes"))*Inputs!$B$1+((Inputs!$G$5:$G$120&lt;&gt;"moeda")*(Inputs!$G$5:$G$120&lt;&gt;"acoes")))*INDEX(Inputs!$K$5:$AJ$120,0,MATCH(Q$2,Inputs!$K$4:$AJ$4,0)))))</f>
        <v>-1018.1</v>
      </c>
      <c r="R13" s="3">
        <f>SUM(N13:Q13)</f>
        <v>-4069.3</v>
      </c>
      <c r="S13" s="6">
        <f>IF(ISNA(MATCH(S$2,Inputs!$K$4:$AJ$4,0)),NA(),IF(SUMPRODUCT((Inputs!$A$5:$A$120=$B13)*ISNUMBER(INDEX(Inputs!$K$5:$AJ$120,0,MATCH(S$2,Inputs!$K$4:$AJ$4,0))))+SUMPRODUCT((Inputs!$C$5:$C$120=$B13)*ISNUMBER(INDEX(Inputs!$K$5:$AJ$120,0,MATCH(S$2,Inputs!$K$4:$AJ$4,0))))+SUMPRODUCT((Inputs!$E$5:$E$120=$B13)*ISNUMBER(INDEX(Inputs!$K$5:$AJ$120,0,MATCH(S$2,Inputs!$K$4:$AJ$4,0))))=0,NA(),SUMPRODUCT((Inputs!$A$5:$A$120=$B13)*Inputs!$B$5:$B$120*(((Inputs!$G$5:$G$120="moeda")+(Inputs!$G$5:$G$120="acoes"))*Inputs!$B$1+((Inputs!$G$5:$G$120&lt;&gt;"moeda")*(Inputs!$G$5:$G$120&lt;&gt;"acoes")))*INDEX(Inputs!$K$5:$AJ$120,0,MATCH(S$2,Inputs!$K$4:$AJ$4,0)))+SUMPRODUCT((Inputs!$C$5:$C$120=$B13)*Inputs!$D$5:$D$120*(((Inputs!$G$5:$G$120="moeda")+(Inputs!$G$5:$G$120="acoes"))*Inputs!$B$1+((Inputs!$G$5:$G$120&lt;&gt;"moeda")*(Inputs!$G$5:$G$120&lt;&gt;"acoes")))*INDEX(Inputs!$K$5:$AJ$120,0,MATCH(S$2,Inputs!$K$4:$AJ$4,0)))+SUMPRODUCT((Inputs!$E$5:$E$120=$B13)*Inputs!$F$5:$F$120*(((Inputs!$G$5:$G$120="moeda")+(Inputs!$G$5:$G$120="acoes"))*Inputs!$B$1+((Inputs!$G$5:$G$120&lt;&gt;"moeda")*(Inputs!$G$5:$G$120&lt;&gt;"acoes")))*INDEX(Inputs!$K$5:$AJ$120,0,MATCH(S$2,Inputs!$K$4:$AJ$4,0)))))</f>
        <v>-1169.2</v>
      </c>
      <c r="T13" s="6">
        <f>IF(ISNA(MATCH(T$2,Inputs!$K$4:$AJ$4,0)),NA(),IF(SUMPRODUCT((Inputs!$A$5:$A$120=$B13)*ISNUMBER(INDEX(Inputs!$K$5:$AJ$120,0,MATCH(T$2,Inputs!$K$4:$AJ$4,0))))+SUMPRODUCT((Inputs!$C$5:$C$120=$B13)*ISNUMBER(INDEX(Inputs!$K$5:$AJ$120,0,MATCH(T$2,Inputs!$K$4:$AJ$4,0))))+SUMPRODUCT((Inputs!$E$5:$E$120=$B13)*ISNUMBER(INDEX(Inputs!$K$5:$AJ$120,0,MATCH(T$2,Inputs!$K$4:$AJ$4,0))))=0,NA(),SUMPRODUCT((Inputs!$A$5:$A$120=$B13)*Inputs!$B$5:$B$120*(((Inputs!$G$5:$G$120="moeda")+(Inputs!$G$5:$G$120="acoes"))*Inputs!$B$1+((Inputs!$G$5:$G$120&lt;&gt;"moeda")*(Inputs!$G$5:$G$120&lt;&gt;"acoes")))*INDEX(Inputs!$K$5:$AJ$120,0,MATCH(T$2,Inputs!$K$4:$AJ$4,0)))+SUMPRODUCT((Inputs!$C$5:$C$120=$B13)*Inputs!$D$5:$D$120*(((Inputs!$G$5:$G$120="moeda")+(Inputs!$G$5:$G$120="acoes"))*Inputs!$B$1+((Inputs!$G$5:$G$120&lt;&gt;"moeda")*(Inputs!$G$5:$G$120&lt;&gt;"acoes")))*INDEX(Inputs!$K$5:$AJ$120,0,MATCH(T$2,Inputs!$K$4:$AJ$4,0)))+SUMPRODUCT((Inputs!$E$5:$E$120=$B13)*Inputs!$F$5:$F$120*(((Inputs!$G$5:$G$120="moeda")+(Inputs!$G$5:$G$120="acoes"))*Inputs!$B$1+((Inputs!$G$5:$G$120&lt;&gt;"moeda")*(Inputs!$G$5:$G$120&lt;&gt;"acoes")))*INDEX(Inputs!$K$5:$AJ$120,0,MATCH(T$2,Inputs!$K$4:$AJ$4,0)))))</f>
        <v>-1172.4</v>
      </c>
      <c r="U13" s="6">
        <f>IF(ISNA(MATCH(U$2,Inputs!$K$4:$AJ$4,0)),NA(),IF(SUMPRODUCT((Inputs!$A$5:$A$120=$B13)*ISNUMBER(INDEX(Inputs!$K$5:$AJ$120,0,MATCH(U$2,Inputs!$K$4:$AJ$4,0))))+SUMPRODUCT((Inputs!$C$5:$C$120=$B13)*ISNUMBER(INDEX(Inputs!$K$5:$AJ$120,0,MATCH(U$2,Inputs!$K$4:$AJ$4,0))))+SUMPRODUCT((Inputs!$E$5:$E$120=$B13)*ISNUMBER(INDEX(Inputs!$K$5:$AJ$120,0,MATCH(U$2,Inputs!$K$4:$AJ$4,0))))=0,NA(),SUMPRODUCT((Inputs!$A$5:$A$120=$B13)*Inputs!$B$5:$B$120*(((Inputs!$G$5:$G$120="moeda")+(Inputs!$G$5:$G$120="acoes"))*Inputs!$B$1+((Inputs!$G$5:$G$120&lt;&gt;"moeda")*(Inputs!$G$5:$G$120&lt;&gt;"acoes")))*INDEX(Inputs!$K$5:$AJ$120,0,MATCH(U$2,Inputs!$K$4:$AJ$4,0)))+SUMPRODUCT((Inputs!$C$5:$C$120=$B13)*Inputs!$D$5:$D$120*(((Inputs!$G$5:$G$120="moeda")+(Inputs!$G$5:$G$120="acoes"))*Inputs!$B$1+((Inputs!$G$5:$G$120&lt;&gt;"moeda")*(Inputs!$G$5:$G$120&lt;&gt;"acoes")))*INDEX(Inputs!$K$5:$AJ$120,0,MATCH(U$2,Inputs!$K$4:$AJ$4,0)))+SUMPRODUCT((Inputs!$E$5:$E$120=$B13)*Inputs!$F$5:$F$120*(((Inputs!$G$5:$G$120="moeda")+(Inputs!$G$5:$G$120="acoes"))*Inputs!$B$1+((Inputs!$G$5:$G$120&lt;&gt;"moeda")*(Inputs!$G$5:$G$120&lt;&gt;"acoes")))*INDEX(Inputs!$K$5:$AJ$120,0,MATCH(U$2,Inputs!$K$4:$AJ$4,0)))))</f>
        <v>-1170.5</v>
      </c>
      <c r="V13" s="6">
        <f>IF(ISNA(MATCH(V$2,Inputs!$K$4:$AJ$4,0)),NA(),IF(SUMPRODUCT((Inputs!$A$5:$A$120=$B13)*ISNUMBER(INDEX(Inputs!$K$5:$AJ$120,0,MATCH(V$2,Inputs!$K$4:$AJ$4,0))))+SUMPRODUCT((Inputs!$C$5:$C$120=$B13)*ISNUMBER(INDEX(Inputs!$K$5:$AJ$120,0,MATCH(V$2,Inputs!$K$4:$AJ$4,0))))+SUMPRODUCT((Inputs!$E$5:$E$120=$B13)*ISNUMBER(INDEX(Inputs!$K$5:$AJ$120,0,MATCH(V$2,Inputs!$K$4:$AJ$4,0))))=0,NA(),SUMPRODUCT((Inputs!$A$5:$A$120=$B13)*Inputs!$B$5:$B$120*(((Inputs!$G$5:$G$120="moeda")+(Inputs!$G$5:$G$120="acoes"))*Inputs!$B$1+((Inputs!$G$5:$G$120&lt;&gt;"moeda")*(Inputs!$G$5:$G$120&lt;&gt;"acoes")))*INDEX(Inputs!$K$5:$AJ$120,0,MATCH(V$2,Inputs!$K$4:$AJ$4,0)))+SUMPRODUCT((Inputs!$C$5:$C$120=$B13)*Inputs!$D$5:$D$120*(((Inputs!$G$5:$G$120="moeda")+(Inputs!$G$5:$G$120="acoes"))*Inputs!$B$1+((Inputs!$G$5:$G$120&lt;&gt;"moeda")*(Inputs!$G$5:$G$120&lt;&gt;"acoes")))*INDEX(Inputs!$K$5:$AJ$120,0,MATCH(V$2,Inputs!$K$4:$AJ$4,0)))+SUMPRODUCT((Inputs!$E$5:$E$120=$B13)*Inputs!$F$5:$F$120*(((Inputs!$G$5:$G$120="moeda")+(Inputs!$G$5:$G$120="acoes"))*Inputs!$B$1+((Inputs!$G$5:$G$120&lt;&gt;"moeda")*(Inputs!$G$5:$G$120&lt;&gt;"acoes")))*INDEX(Inputs!$K$5:$AJ$120,0,MATCH(V$2,Inputs!$K$4:$AJ$4,0)))))</f>
        <v>-1168.3</v>
      </c>
      <c r="W13" s="3">
        <f>SUM(S13:V13)</f>
        <v>-4680.4</v>
      </c>
      <c r="X13" s="6">
        <f>IF(ISNA(MATCH(X$2,Inputs!$K$4:$AJ$4,0)),NA(),IF(SUMPRODUCT((Inputs!$A$5:$A$120=$B13)*ISNUMBER(INDEX(Inputs!$K$5:$AJ$120,0,MATCH(X$2,Inputs!$K$4:$AJ$4,0))))+SUMPRODUCT((Inputs!$C$5:$C$120=$B13)*ISNUMBER(INDEX(Inputs!$K$5:$AJ$120,0,MATCH(X$2,Inputs!$K$4:$AJ$4,0))))+SUMPRODUCT((Inputs!$E$5:$E$120=$B13)*ISNUMBER(INDEX(Inputs!$K$5:$AJ$120,0,MATCH(X$2,Inputs!$K$4:$AJ$4,0))))=0,NA(),SUMPRODUCT((Inputs!$A$5:$A$120=$B13)*Inputs!$B$5:$B$120*(((Inputs!$G$5:$G$120="moeda")+(Inputs!$G$5:$G$120="acoes"))*Inputs!$B$1+((Inputs!$G$5:$G$120&lt;&gt;"moeda")*(Inputs!$G$5:$G$120&lt;&gt;"acoes")))*INDEX(Inputs!$K$5:$AJ$120,0,MATCH(X$2,Inputs!$K$4:$AJ$4,0)))+SUMPRODUCT((Inputs!$C$5:$C$120=$B13)*Inputs!$D$5:$D$120*(((Inputs!$G$5:$G$120="moeda")+(Inputs!$G$5:$G$120="acoes"))*Inputs!$B$1+((Inputs!$G$5:$G$120&lt;&gt;"moeda")*(Inputs!$G$5:$G$120&lt;&gt;"acoes")))*INDEX(Inputs!$K$5:$AJ$120,0,MATCH(X$2,Inputs!$K$4:$AJ$4,0)))+SUMPRODUCT((Inputs!$E$5:$E$120=$B13)*Inputs!$F$5:$F$120*(((Inputs!$G$5:$G$120="moeda")+(Inputs!$G$5:$G$120="acoes"))*Inputs!$B$1+((Inputs!$G$5:$G$120&lt;&gt;"moeda")*(Inputs!$G$5:$G$120&lt;&gt;"acoes")))*INDEX(Inputs!$K$5:$AJ$120,0,MATCH(X$2,Inputs!$K$4:$AJ$4,0)))))</f>
        <v>-1346.3</v>
      </c>
      <c r="Y13" s="6">
        <f>IF(ISNA(MATCH(Y$2,Inputs!$K$4:$AJ$4,0)),NA(),IF(SUMPRODUCT((Inputs!$A$5:$A$120=$B13)*ISNUMBER(INDEX(Inputs!$K$5:$AJ$120,0,MATCH(Y$2,Inputs!$K$4:$AJ$4,0))))+SUMPRODUCT((Inputs!$C$5:$C$120=$B13)*ISNUMBER(INDEX(Inputs!$K$5:$AJ$120,0,MATCH(Y$2,Inputs!$K$4:$AJ$4,0))))+SUMPRODUCT((Inputs!$E$5:$E$120=$B13)*ISNUMBER(INDEX(Inputs!$K$5:$AJ$120,0,MATCH(Y$2,Inputs!$K$4:$AJ$4,0))))=0,NA(),SUMPRODUCT((Inputs!$A$5:$A$120=$B13)*Inputs!$B$5:$B$120*(((Inputs!$G$5:$G$120="moeda")+(Inputs!$G$5:$G$120="acoes"))*Inputs!$B$1+((Inputs!$G$5:$G$120&lt;&gt;"moeda")*(Inputs!$G$5:$G$120&lt;&gt;"acoes")))*INDEX(Inputs!$K$5:$AJ$120,0,MATCH(Y$2,Inputs!$K$4:$AJ$4,0)))+SUMPRODUCT((Inputs!$C$5:$C$120=$B13)*Inputs!$D$5:$D$120*(((Inputs!$G$5:$G$120="moeda")+(Inputs!$G$5:$G$120="acoes"))*Inputs!$B$1+((Inputs!$G$5:$G$120&lt;&gt;"moeda")*(Inputs!$G$5:$G$120&lt;&gt;"acoes")))*INDEX(Inputs!$K$5:$AJ$120,0,MATCH(Y$2,Inputs!$K$4:$AJ$4,0)))+SUMPRODUCT((Inputs!$E$5:$E$120=$B13)*Inputs!$F$5:$F$120*(((Inputs!$G$5:$G$120="moeda")+(Inputs!$G$5:$G$120="acoes"))*Inputs!$B$1+((Inputs!$G$5:$G$120&lt;&gt;"moeda")*(Inputs!$G$5:$G$120&lt;&gt;"acoes")))*INDEX(Inputs!$K$5:$AJ$120,0,MATCH(Y$2,Inputs!$K$4:$AJ$4,0)))))</f>
        <v>-1347</v>
      </c>
      <c r="Z13" s="6">
        <f>IF(ISNA(MATCH(Z$2,Inputs!$K$4:$AJ$4,0)),NA(),IF(SUMPRODUCT((Inputs!$A$5:$A$120=$B13)*ISNUMBER(INDEX(Inputs!$K$5:$AJ$120,0,MATCH(Z$2,Inputs!$K$4:$AJ$4,0))))+SUMPRODUCT((Inputs!$C$5:$C$120=$B13)*ISNUMBER(INDEX(Inputs!$K$5:$AJ$120,0,MATCH(Z$2,Inputs!$K$4:$AJ$4,0))))+SUMPRODUCT((Inputs!$E$5:$E$120=$B13)*ISNUMBER(INDEX(Inputs!$K$5:$AJ$120,0,MATCH(Z$2,Inputs!$K$4:$AJ$4,0))))=0,NA(),SUMPRODUCT((Inputs!$A$5:$A$120=$B13)*Inputs!$B$5:$B$120*(((Inputs!$G$5:$G$120="moeda")+(Inputs!$G$5:$G$120="acoes"))*Inputs!$B$1+((Inputs!$G$5:$G$120&lt;&gt;"moeda")*(Inputs!$G$5:$G$120&lt;&gt;"acoes")))*INDEX(Inputs!$K$5:$AJ$120,0,MATCH(Z$2,Inputs!$K$4:$AJ$4,0)))+SUMPRODUCT((Inputs!$C$5:$C$120=$B13)*Inputs!$D$5:$D$120*(((Inputs!$G$5:$G$120="moeda")+(Inputs!$G$5:$G$120="acoes"))*Inputs!$B$1+((Inputs!$G$5:$G$120&lt;&gt;"moeda")*(Inputs!$G$5:$G$120&lt;&gt;"acoes")))*INDEX(Inputs!$K$5:$AJ$120,0,MATCH(Z$2,Inputs!$K$4:$AJ$4,0)))+SUMPRODUCT((Inputs!$E$5:$E$120=$B13)*Inputs!$F$5:$F$120*(((Inputs!$G$5:$G$120="moeda")+(Inputs!$G$5:$G$120="acoes"))*Inputs!$B$1+((Inputs!$G$5:$G$120&lt;&gt;"moeda")*(Inputs!$G$5:$G$120&lt;&gt;"acoes")))*INDEX(Inputs!$K$5:$AJ$120,0,MATCH(Z$2,Inputs!$K$4:$AJ$4,0)))))</f>
        <v>-1345.2</v>
      </c>
      <c r="AA13" s="6">
        <f>IF(ISNA(MATCH(AA$2,Inputs!$K$4:$AJ$4,0)),NA(),IF(SUMPRODUCT((Inputs!$A$5:$A$120=$B13)*ISNUMBER(INDEX(Inputs!$K$5:$AJ$120,0,MATCH(AA$2,Inputs!$K$4:$AJ$4,0))))+SUMPRODUCT((Inputs!$C$5:$C$120=$B13)*ISNUMBER(INDEX(Inputs!$K$5:$AJ$120,0,MATCH(AA$2,Inputs!$K$4:$AJ$4,0))))+SUMPRODUCT((Inputs!$E$5:$E$120=$B13)*ISNUMBER(INDEX(Inputs!$K$5:$AJ$120,0,MATCH(AA$2,Inputs!$K$4:$AJ$4,0))))=0,NA(),SUMPRODUCT((Inputs!$A$5:$A$120=$B13)*Inputs!$B$5:$B$120*(((Inputs!$G$5:$G$120="moeda")+(Inputs!$G$5:$G$120="acoes"))*Inputs!$B$1+((Inputs!$G$5:$G$120&lt;&gt;"moeda")*(Inputs!$G$5:$G$120&lt;&gt;"acoes")))*INDEX(Inputs!$K$5:$AJ$120,0,MATCH(AA$2,Inputs!$K$4:$AJ$4,0)))+SUMPRODUCT((Inputs!$C$5:$C$120=$B13)*Inputs!$D$5:$D$120*(((Inputs!$G$5:$G$120="moeda")+(Inputs!$G$5:$G$120="acoes"))*Inputs!$B$1+((Inputs!$G$5:$G$120&lt;&gt;"moeda")*(Inputs!$G$5:$G$120&lt;&gt;"acoes")))*INDEX(Inputs!$K$5:$AJ$120,0,MATCH(AA$2,Inputs!$K$4:$AJ$4,0)))+SUMPRODUCT((Inputs!$E$5:$E$120=$B13)*Inputs!$F$5:$F$120*(((Inputs!$G$5:$G$120="moeda")+(Inputs!$G$5:$G$120="acoes"))*Inputs!$B$1+((Inputs!$G$5:$G$120&lt;&gt;"moeda")*(Inputs!$G$5:$G$120&lt;&gt;"acoes")))*INDEX(Inputs!$K$5:$AJ$120,0,MATCH(AA$2,Inputs!$K$4:$AJ$4,0)))))</f>
        <v>-1345.5</v>
      </c>
      <c r="AB13" s="3">
        <f>SUM(X13:AA13)</f>
        <v>-5384</v>
      </c>
      <c r="AC13" s="6">
        <f>IF(ISNA(MATCH(AC$2,Inputs!$K$4:$AJ$4,0)),NA(),IF(SUMPRODUCT((Inputs!$A$5:$A$120=$B13)*ISNUMBER(INDEX(Inputs!$K$5:$AJ$120,0,MATCH(AC$2,Inputs!$K$4:$AJ$4,0))))+SUMPRODUCT((Inputs!$C$5:$C$120=$B13)*ISNUMBER(INDEX(Inputs!$K$5:$AJ$120,0,MATCH(AC$2,Inputs!$K$4:$AJ$4,0))))+SUMPRODUCT((Inputs!$E$5:$E$120=$B13)*ISNUMBER(INDEX(Inputs!$K$5:$AJ$120,0,MATCH(AC$2,Inputs!$K$4:$AJ$4,0))))=0,NA(),SUMPRODUCT((Inputs!$A$5:$A$120=$B13)*Inputs!$B$5:$B$120*(((Inputs!$G$5:$G$120="moeda")+(Inputs!$G$5:$G$120="acoes"))*Inputs!$B$1+((Inputs!$G$5:$G$120&lt;&gt;"moeda")*(Inputs!$G$5:$G$120&lt;&gt;"acoes")))*INDEX(Inputs!$K$5:$AJ$120,0,MATCH(AC$2,Inputs!$K$4:$AJ$4,0)))+SUMPRODUCT((Inputs!$C$5:$C$120=$B13)*Inputs!$D$5:$D$120*(((Inputs!$G$5:$G$120="moeda")+(Inputs!$G$5:$G$120="acoes"))*Inputs!$B$1+((Inputs!$G$5:$G$120&lt;&gt;"moeda")*(Inputs!$G$5:$G$120&lt;&gt;"acoes")))*INDEX(Inputs!$K$5:$AJ$120,0,MATCH(AC$2,Inputs!$K$4:$AJ$4,0)))+SUMPRODUCT((Inputs!$E$5:$E$120=$B13)*Inputs!$F$5:$F$120*(((Inputs!$G$5:$G$120="moeda")+(Inputs!$G$5:$G$120="acoes"))*Inputs!$B$1+((Inputs!$G$5:$G$120&lt;&gt;"moeda")*(Inputs!$G$5:$G$120&lt;&gt;"acoes")))*INDEX(Inputs!$K$5:$AJ$120,0,MATCH(AC$2,Inputs!$K$4:$AJ$4,0)))))</f>
        <v>-1548</v>
      </c>
      <c r="AD13" s="6">
        <f>IF(ISNA(MATCH(AD$2,Inputs!$K$4:$AJ$4,0)),NA(),IF(SUMPRODUCT((Inputs!$A$5:$A$120=$B13)*ISNUMBER(INDEX(Inputs!$K$5:$AJ$120,0,MATCH(AD$2,Inputs!$K$4:$AJ$4,0))))+SUMPRODUCT((Inputs!$C$5:$C$120=$B13)*ISNUMBER(INDEX(Inputs!$K$5:$AJ$120,0,MATCH(AD$2,Inputs!$K$4:$AJ$4,0))))+SUMPRODUCT((Inputs!$E$5:$E$120=$B13)*ISNUMBER(INDEX(Inputs!$K$5:$AJ$120,0,MATCH(AD$2,Inputs!$K$4:$AJ$4,0))))=0,NA(),SUMPRODUCT((Inputs!$A$5:$A$120=$B13)*Inputs!$B$5:$B$120*(((Inputs!$G$5:$G$120="moeda")+(Inputs!$G$5:$G$120="acoes"))*Inputs!$B$1+((Inputs!$G$5:$G$120&lt;&gt;"moeda")*(Inputs!$G$5:$G$120&lt;&gt;"acoes")))*INDEX(Inputs!$K$5:$AJ$120,0,MATCH(AD$2,Inputs!$K$4:$AJ$4,0)))+SUMPRODUCT((Inputs!$C$5:$C$120=$B13)*Inputs!$D$5:$D$120*(((Inputs!$G$5:$G$120="moeda")+(Inputs!$G$5:$G$120="acoes"))*Inputs!$B$1+((Inputs!$G$5:$G$120&lt;&gt;"moeda")*(Inputs!$G$5:$G$120&lt;&gt;"acoes")))*INDEX(Inputs!$K$5:$AJ$120,0,MATCH(AD$2,Inputs!$K$4:$AJ$4,0)))+SUMPRODUCT((Inputs!$E$5:$E$120=$B13)*Inputs!$F$5:$F$120*(((Inputs!$G$5:$G$120="moeda")+(Inputs!$G$5:$G$120="acoes"))*Inputs!$B$1+((Inputs!$G$5:$G$120&lt;&gt;"moeda")*(Inputs!$G$5:$G$120&lt;&gt;"acoes")))*INDEX(Inputs!$K$5:$AJ$120,0,MATCH(AD$2,Inputs!$K$4:$AJ$4,0)))))</f>
        <v>-1546</v>
      </c>
      <c r="AE13" s="6" t="e">
        <f>IF(ISNA(MATCH(AE$2,Inputs!$K$4:$AJ$4,0)),NA(),IF(SUMPRODUCT((Inputs!$A$5:$A$120=$B13)*ISNUMBER(INDEX(Inputs!$K$5:$AJ$120,0,MATCH(AE$2,Inputs!$K$4:$AJ$4,0))))+SUMPRODUCT((Inputs!$C$5:$C$120=$B13)*ISNUMBER(INDEX(Inputs!$K$5:$AJ$120,0,MATCH(AE$2,Inputs!$K$4:$AJ$4,0))))+SUMPRODUCT((Inputs!$E$5:$E$120=$B13)*ISNUMBER(INDEX(Inputs!$K$5:$AJ$120,0,MATCH(AE$2,Inputs!$K$4:$AJ$4,0))))=0,NA(),SUMPRODUCT((Inputs!$A$5:$A$120=$B13)*Inputs!$B$5:$B$120*(((Inputs!$G$5:$G$120="moeda")+(Inputs!$G$5:$G$120="acoes"))*Inputs!$B$1+((Inputs!$G$5:$G$120&lt;&gt;"moeda")*(Inputs!$G$5:$G$120&lt;&gt;"acoes")))*INDEX(Inputs!$K$5:$AJ$120,0,MATCH(AE$2,Inputs!$K$4:$AJ$4,0)))+SUMPRODUCT((Inputs!$C$5:$C$120=$B13)*Inputs!$D$5:$D$120*(((Inputs!$G$5:$G$120="moeda")+(Inputs!$G$5:$G$120="acoes"))*Inputs!$B$1+((Inputs!$G$5:$G$120&lt;&gt;"moeda")*(Inputs!$G$5:$G$120&lt;&gt;"acoes")))*INDEX(Inputs!$K$5:$AJ$120,0,MATCH(AE$2,Inputs!$K$4:$AJ$4,0)))+SUMPRODUCT((Inputs!$E$5:$E$120=$B13)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3" s="6" t="e">
        <f>IF(ISNA(MATCH(AF$2,Inputs!$K$4:$AJ$4,0)),NA(),IF(SUMPRODUCT((Inputs!$A$5:$A$120=$B13)*ISNUMBER(INDEX(Inputs!$K$5:$AJ$120,0,MATCH(AF$2,Inputs!$K$4:$AJ$4,0))))+SUMPRODUCT((Inputs!$C$5:$C$120=$B13)*ISNUMBER(INDEX(Inputs!$K$5:$AJ$120,0,MATCH(AF$2,Inputs!$K$4:$AJ$4,0))))+SUMPRODUCT((Inputs!$E$5:$E$120=$B13)*ISNUMBER(INDEX(Inputs!$K$5:$AJ$120,0,MATCH(AF$2,Inputs!$K$4:$AJ$4,0))))=0,NA(),SUMPRODUCT((Inputs!$A$5:$A$120=$B13)*Inputs!$B$5:$B$120*(((Inputs!$G$5:$G$120="moeda")+(Inputs!$G$5:$G$120="acoes"))*Inputs!$B$1+((Inputs!$G$5:$G$120&lt;&gt;"moeda")*(Inputs!$G$5:$G$120&lt;&gt;"acoes")))*INDEX(Inputs!$K$5:$AJ$120,0,MATCH(AF$2,Inputs!$K$4:$AJ$4,0)))+SUMPRODUCT((Inputs!$C$5:$C$120=$B13)*Inputs!$D$5:$D$120*(((Inputs!$G$5:$G$120="moeda")+(Inputs!$G$5:$G$120="acoes"))*Inputs!$B$1+((Inputs!$G$5:$G$120&lt;&gt;"moeda")*(Inputs!$G$5:$G$120&lt;&gt;"acoes")))*INDEX(Inputs!$K$5:$AJ$120,0,MATCH(AF$2,Inputs!$K$4:$AJ$4,0)))+SUMPRODUCT((Inputs!$E$5:$E$120=$B13)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3" s="3" t="e">
        <f>SUM(AC13:AF13)</f>
        <v>#N/A</v>
      </c>
      <c r="AH13" s="6">
        <f>IF(ISNA(MATCH(AH$2,Inputs!$K$4:$AJ$4,0)),NA(),IF(SUMPRODUCT((Inputs!$A$5:$A$120=$B13)*ISNUMBER(INDEX(Inputs!$K$5:$AJ$120,0,MATCH(AH$2,Inputs!$K$4:$AJ$4,0))))+SUMPRODUCT((Inputs!$C$5:$C$120=$B13)*ISNUMBER(INDEX(Inputs!$K$5:$AJ$120,0,MATCH(AH$2,Inputs!$K$4:$AJ$4,0))))+SUMPRODUCT((Inputs!$E$5:$E$120=$B13)*ISNUMBER(INDEX(Inputs!$K$5:$AJ$120,0,MATCH(AH$2,Inputs!$K$4:$AJ$4,0))))=0,NA(),SUMPRODUCT((Inputs!$A$5:$A$120=$B13)*Inputs!$B$5:$B$120*(((Inputs!$G$5:$G$120="moeda")+(Inputs!$G$5:$G$120="acoes"))*Inputs!$B$1+((Inputs!$G$5:$G$120&lt;&gt;"moeda")*(Inputs!$G$5:$G$120&lt;&gt;"acoes")))*INDEX(Inputs!$K$5:$AJ$120,0,MATCH(AH$2,Inputs!$K$4:$AJ$4,0)))+SUMPRODUCT((Inputs!$C$5:$C$120=$B13)*Inputs!$D$5:$D$120*(((Inputs!$G$5:$G$120="moeda")+(Inputs!$G$5:$G$120="acoes"))*Inputs!$B$1+((Inputs!$G$5:$G$120&lt;&gt;"moeda")*(Inputs!$G$5:$G$120&lt;&gt;"acoes")))*INDEX(Inputs!$K$5:$AJ$120,0,MATCH(AH$2,Inputs!$K$4:$AJ$4,0)))+SUMPRODUCT((Inputs!$E$5:$E$120=$B13)*Inputs!$F$5:$F$120*(((Inputs!$G$5:$G$120="moeda")+(Inputs!$G$5:$G$120="acoes"))*Inputs!$B$1+((Inputs!$G$5:$G$120&lt;&gt;"moeda")*(Inputs!$G$5:$G$120&lt;&gt;"acoes")))*INDEX(Inputs!$K$5:$AJ$120,0,MATCH(AH$2,Inputs!$K$4:$AJ$4,0)))))</f>
        <v>-671.3</v>
      </c>
      <c r="AI13" s="6">
        <f>IF(ISNA(MATCH(AI$2,Inputs!$K$4:$AJ$4,0)),NA(),IF(SUMPRODUCT((Inputs!$A$5:$A$120=$B13)*ISNUMBER(INDEX(Inputs!$K$5:$AJ$120,0,MATCH(AI$2,Inputs!$K$4:$AJ$4,0))))+SUMPRODUCT((Inputs!$C$5:$C$120=$B13)*ISNUMBER(INDEX(Inputs!$K$5:$AJ$120,0,MATCH(AI$2,Inputs!$K$4:$AJ$4,0))))+SUMPRODUCT((Inputs!$E$5:$E$120=$B13)*ISNUMBER(INDEX(Inputs!$K$5:$AJ$120,0,MATCH(AI$2,Inputs!$K$4:$AJ$4,0))))=0,NA(),SUMPRODUCT((Inputs!$A$5:$A$120=$B13)*Inputs!$B$5:$B$120*(((Inputs!$G$5:$G$120="moeda")+(Inputs!$G$5:$G$120="acoes"))*Inputs!$B$1+((Inputs!$G$5:$G$120&lt;&gt;"moeda")*(Inputs!$G$5:$G$120&lt;&gt;"acoes")))*INDEX(Inputs!$K$5:$AJ$120,0,MATCH(AI$2,Inputs!$K$4:$AJ$4,0)))+SUMPRODUCT((Inputs!$C$5:$C$120=$B13)*Inputs!$D$5:$D$120*(((Inputs!$G$5:$G$120="moeda")+(Inputs!$G$5:$G$120="acoes"))*Inputs!$B$1+((Inputs!$G$5:$G$120&lt;&gt;"moeda")*(Inputs!$G$5:$G$120&lt;&gt;"acoes")))*INDEX(Inputs!$K$5:$AJ$120,0,MATCH(AI$2,Inputs!$K$4:$AJ$4,0)))+SUMPRODUCT((Inputs!$E$5:$E$120=$B13)*Inputs!$F$5:$F$120*(((Inputs!$G$5:$G$120="moeda")+(Inputs!$G$5:$G$120="acoes"))*Inputs!$B$1+((Inputs!$G$5:$G$120&lt;&gt;"moeda")*(Inputs!$G$5:$G$120&lt;&gt;"acoes")))*INDEX(Inputs!$K$5:$AJ$120,0,MATCH(AI$2,Inputs!$K$4:$AJ$4,0)))))</f>
        <v>-674.2</v>
      </c>
      <c r="AJ13" s="6">
        <f>IF(ISNA(MATCH(AJ$2,Inputs!$K$4:$AJ$4,0)),NA(),IF(SUMPRODUCT((Inputs!$A$5:$A$120=$B13)*ISNUMBER(INDEX(Inputs!$K$5:$AJ$120,0,MATCH(AJ$2,Inputs!$K$4:$AJ$4,0))))+SUMPRODUCT((Inputs!$C$5:$C$120=$B13)*ISNUMBER(INDEX(Inputs!$K$5:$AJ$120,0,MATCH(AJ$2,Inputs!$K$4:$AJ$4,0))))+SUMPRODUCT((Inputs!$E$5:$E$120=$B13)*ISNUMBER(INDEX(Inputs!$K$5:$AJ$120,0,MATCH(AJ$2,Inputs!$K$4:$AJ$4,0))))=0,NA(),SUMPRODUCT((Inputs!$A$5:$A$120=$B13)*Inputs!$B$5:$B$120*(((Inputs!$G$5:$G$120="moeda")+(Inputs!$G$5:$G$120="acoes"))*Inputs!$B$1+((Inputs!$G$5:$G$120&lt;&gt;"moeda")*(Inputs!$G$5:$G$120&lt;&gt;"acoes")))*INDEX(Inputs!$K$5:$AJ$120,0,MATCH(AJ$2,Inputs!$K$4:$AJ$4,0)))+SUMPRODUCT((Inputs!$C$5:$C$120=$B13)*Inputs!$D$5:$D$120*(((Inputs!$G$5:$G$120="moeda")+(Inputs!$G$5:$G$120="acoes"))*Inputs!$B$1+((Inputs!$G$5:$G$120&lt;&gt;"moeda")*(Inputs!$G$5:$G$120&lt;&gt;"acoes")))*INDEX(Inputs!$K$5:$AJ$120,0,MATCH(AJ$2,Inputs!$K$4:$AJ$4,0)))+SUMPRODUCT((Inputs!$E$5:$E$120=$B13)*Inputs!$F$5:$F$120*(((Inputs!$G$5:$G$120="moeda")+(Inputs!$G$5:$G$120="acoes"))*Inputs!$B$1+((Inputs!$G$5:$G$120&lt;&gt;"moeda")*(Inputs!$G$5:$G$120&lt;&gt;"acoes")))*INDEX(Inputs!$K$5:$AJ$120,0,MATCH(AJ$2,Inputs!$K$4:$AJ$4,0)))))</f>
        <v>-671.6</v>
      </c>
      <c r="AK13" s="6">
        <f>IF(ISNA(MATCH(AK$2,Inputs!$K$4:$AJ$4,0)),NA(),IF(SUMPRODUCT((Inputs!$A$5:$A$120=$B13)*ISNUMBER(INDEX(Inputs!$K$5:$AJ$120,0,MATCH(AK$2,Inputs!$K$4:$AJ$4,0))))+SUMPRODUCT((Inputs!$C$5:$C$120=$B13)*ISNUMBER(INDEX(Inputs!$K$5:$AJ$120,0,MATCH(AK$2,Inputs!$K$4:$AJ$4,0))))+SUMPRODUCT((Inputs!$E$5:$E$120=$B13)*ISNUMBER(INDEX(Inputs!$K$5:$AJ$120,0,MATCH(AK$2,Inputs!$K$4:$AJ$4,0))))=0,NA(),SUMPRODUCT((Inputs!$A$5:$A$120=$B13)*Inputs!$B$5:$B$120*(((Inputs!$G$5:$G$120="moeda")+(Inputs!$G$5:$G$120="acoes"))*Inputs!$B$1+((Inputs!$G$5:$G$120&lt;&gt;"moeda")*(Inputs!$G$5:$G$120&lt;&gt;"acoes")))*INDEX(Inputs!$K$5:$AJ$120,0,MATCH(AK$2,Inputs!$K$4:$AJ$4,0)))+SUMPRODUCT((Inputs!$C$5:$C$120=$B13)*Inputs!$D$5:$D$120*(((Inputs!$G$5:$G$120="moeda")+(Inputs!$G$5:$G$120="acoes"))*Inputs!$B$1+((Inputs!$G$5:$G$120&lt;&gt;"moeda")*(Inputs!$G$5:$G$120&lt;&gt;"acoes")))*INDEX(Inputs!$K$5:$AJ$120,0,MATCH(AK$2,Inputs!$K$4:$AJ$4,0)))+SUMPRODUCT((Inputs!$E$5:$E$120=$B13)*Inputs!$F$5:$F$120*(((Inputs!$G$5:$G$120="moeda")+(Inputs!$G$5:$G$120="acoes"))*Inputs!$B$1+((Inputs!$G$5:$G$120&lt;&gt;"moeda")*(Inputs!$G$5:$G$120&lt;&gt;"acoes")))*INDEX(Inputs!$K$5:$AJ$120,0,MATCH(AK$2,Inputs!$K$4:$AJ$4,0)))))</f>
        <v>-670</v>
      </c>
      <c r="AL13" s="3">
        <f>SUM(AH13:AK13)</f>
        <v>-2687.1</v>
      </c>
    </row>
    <row r="14">
      <c r="D14" s="3" t="n"/>
    </row>
    <row r="15">
      <c r="B15" s="46" t="n">
        <v>11</v>
      </c>
      <c r="C15" s="24" t="inlineStr">
        <is>
          <t>Cash and equivalents (inc. investment securities)</t>
        </is>
      </c>
      <c r="D15" s="6">
        <f>IF(ISNA(MATCH(D$2,Inputs!$K$4:$AJ$4,0)),NA(),IF(SUMPRODUCT((Inputs!$A$5:$A$120=$B15)*ISNUMBER(INDEX(Inputs!$K$5:$AJ$120,0,MATCH(D$2,Inputs!$K$4:$AJ$4,0))))+SUMPRODUCT((Inputs!$C$5:$C$120=$B15)*ISNUMBER(INDEX(Inputs!$K$5:$AJ$120,0,MATCH(D$2,Inputs!$K$4:$AJ$4,0))))+SUMPRODUCT((Inputs!$E$5:$E$120=$B15)*ISNUMBER(INDEX(Inputs!$K$5:$AJ$120,0,MATCH(D$2,Inputs!$K$4:$AJ$4,0))))=0,NA(),SUMPRODUCT((Inputs!$A$5:$A$120=$B15)*Inputs!$B$5:$B$120*(((Inputs!$G$5:$G$120="moeda")+(Inputs!$G$5:$G$120="acoes"))*Inputs!$B$1+((Inputs!$G$5:$G$120&lt;&gt;"moeda")*(Inputs!$G$5:$G$120&lt;&gt;"acoes")))*INDEX(Inputs!$K$5:$AJ$120,0,MATCH(D$2,Inputs!$K$4:$AJ$4,0)))+SUMPRODUCT((Inputs!$C$5:$C$120=$B15)*Inputs!$D$5:$D$120*(((Inputs!$G$5:$G$120="moeda")+(Inputs!$G$5:$G$120="acoes"))*Inputs!$B$1+((Inputs!$G$5:$G$120&lt;&gt;"moeda")*(Inputs!$G$5:$G$120&lt;&gt;"acoes")))*INDEX(Inputs!$K$5:$AJ$120,0,MATCH(D$2,Inputs!$K$4:$AJ$4,0)))+SUMPRODUCT((Inputs!$E$5:$E$120=$B15)*Inputs!$F$5:$F$120*(((Inputs!$G$5:$G$120="moeda")+(Inputs!$G$5:$G$120="acoes"))*Inputs!$B$1+((Inputs!$G$5:$G$120&lt;&gt;"moeda")*(Inputs!$G$5:$G$120&lt;&gt;"acoes")))*INDEX(Inputs!$K$5:$AJ$120,0,MATCH(D$2,Inputs!$K$4:$AJ$4,0)))))</f>
        <v>3051.4</v>
      </c>
      <c r="E15" s="6">
        <f>IF(ISNA(MATCH(E$2,Inputs!$K$4:$AJ$4,0)),NA(),IF(SUMPRODUCT((Inputs!$A$5:$A$120=$B15)*ISNUMBER(INDEX(Inputs!$K$5:$AJ$120,0,MATCH(E$2,Inputs!$K$4:$AJ$4,0))))+SUMPRODUCT((Inputs!$C$5:$C$120=$B15)*ISNUMBER(INDEX(Inputs!$K$5:$AJ$120,0,MATCH(E$2,Inputs!$K$4:$AJ$4,0))))+SUMPRODUCT((Inputs!$E$5:$E$120=$B15)*ISNUMBER(INDEX(Inputs!$K$5:$AJ$120,0,MATCH(E$2,Inputs!$K$4:$AJ$4,0))))=0,NA(),SUMPRODUCT((Inputs!$A$5:$A$120=$B15)*Inputs!$B$5:$B$120*(((Inputs!$G$5:$G$120="moeda")+(Inputs!$G$5:$G$120="acoes"))*Inputs!$B$1+((Inputs!$G$5:$G$120&lt;&gt;"moeda")*(Inputs!$G$5:$G$120&lt;&gt;"acoes")))*INDEX(Inputs!$K$5:$AJ$120,0,MATCH(E$2,Inputs!$K$4:$AJ$4,0)))+SUMPRODUCT((Inputs!$C$5:$C$120=$B15)*Inputs!$D$5:$D$120*(((Inputs!$G$5:$G$120="moeda")+(Inputs!$G$5:$G$120="acoes"))*Inputs!$B$1+((Inputs!$G$5:$G$120&lt;&gt;"moeda")*(Inputs!$G$5:$G$120&lt;&gt;"acoes")))*INDEX(Inputs!$K$5:$AJ$120,0,MATCH(E$2,Inputs!$K$4:$AJ$4,0)))+SUMPRODUCT((Inputs!$E$5:$E$120=$B15)*Inputs!$F$5:$F$120*(((Inputs!$G$5:$G$120="moeda")+(Inputs!$G$5:$G$120="acoes"))*Inputs!$B$1+((Inputs!$G$5:$G$120&lt;&gt;"moeda")*(Inputs!$G$5:$G$120&lt;&gt;"acoes")))*INDEX(Inputs!$K$5:$AJ$120,0,MATCH(E$2,Inputs!$K$4:$AJ$4,0)))))</f>
        <v>3271.2</v>
      </c>
      <c r="F15" s="6">
        <f>IF(ISNA(MATCH(F$2,Inputs!$K$4:$AJ$4,0)),NA(),IF(SUMPRODUCT((Inputs!$A$5:$A$120=$B15)*ISNUMBER(INDEX(Inputs!$K$5:$AJ$120,0,MATCH(F$2,Inputs!$K$4:$AJ$4,0))))+SUMPRODUCT((Inputs!$C$5:$C$120=$B15)*ISNUMBER(INDEX(Inputs!$K$5:$AJ$120,0,MATCH(F$2,Inputs!$K$4:$AJ$4,0))))+SUMPRODUCT((Inputs!$E$5:$E$120=$B15)*ISNUMBER(INDEX(Inputs!$K$5:$AJ$120,0,MATCH(F$2,Inputs!$K$4:$AJ$4,0))))=0,NA(),SUMPRODUCT((Inputs!$A$5:$A$120=$B15)*Inputs!$B$5:$B$120*(((Inputs!$G$5:$G$120="moeda")+(Inputs!$G$5:$G$120="acoes"))*Inputs!$B$1+((Inputs!$G$5:$G$120&lt;&gt;"moeda")*(Inputs!$G$5:$G$120&lt;&gt;"acoes")))*INDEX(Inputs!$K$5:$AJ$120,0,MATCH(F$2,Inputs!$K$4:$AJ$4,0)))+SUMPRODUCT((Inputs!$C$5:$C$120=$B15)*Inputs!$D$5:$D$120*(((Inputs!$G$5:$G$120="moeda")+(Inputs!$G$5:$G$120="acoes"))*Inputs!$B$1+((Inputs!$G$5:$G$120&lt;&gt;"moeda")*(Inputs!$G$5:$G$120&lt;&gt;"acoes")))*INDEX(Inputs!$K$5:$AJ$120,0,MATCH(F$2,Inputs!$K$4:$AJ$4,0)))+SUMPRODUCT((Inputs!$E$5:$E$120=$B15)*Inputs!$F$5:$F$120*(((Inputs!$G$5:$G$120="moeda")+(Inputs!$G$5:$G$120="acoes"))*Inputs!$B$1+((Inputs!$G$5:$G$120&lt;&gt;"moeda")*(Inputs!$G$5:$G$120&lt;&gt;"acoes")))*INDEX(Inputs!$K$5:$AJ$120,0,MATCH(F$2,Inputs!$K$4:$AJ$4,0)))))</f>
        <v>3825.3</v>
      </c>
      <c r="G15" s="6">
        <f>IF(ISNA(MATCH(G$2,Inputs!$K$4:$AJ$4,0)),NA(),IF(SUMPRODUCT((Inputs!$A$5:$A$120=$B15)*ISNUMBER(INDEX(Inputs!$K$5:$AJ$120,0,MATCH(G$2,Inputs!$K$4:$AJ$4,0))))+SUMPRODUCT((Inputs!$C$5:$C$120=$B15)*ISNUMBER(INDEX(Inputs!$K$5:$AJ$120,0,MATCH(G$2,Inputs!$K$4:$AJ$4,0))))+SUMPRODUCT((Inputs!$E$5:$E$120=$B15)*ISNUMBER(INDEX(Inputs!$K$5:$AJ$120,0,MATCH(G$2,Inputs!$K$4:$AJ$4,0))))=0,NA(),SUMPRODUCT((Inputs!$A$5:$A$120=$B15)*Inputs!$B$5:$B$120*(((Inputs!$G$5:$G$120="moeda")+(Inputs!$G$5:$G$120="acoes"))*Inputs!$B$1+((Inputs!$G$5:$G$120&lt;&gt;"moeda")*(Inputs!$G$5:$G$120&lt;&gt;"acoes")))*INDEX(Inputs!$K$5:$AJ$120,0,MATCH(G$2,Inputs!$K$4:$AJ$4,0)))+SUMPRODUCT((Inputs!$C$5:$C$120=$B15)*Inputs!$D$5:$D$120*(((Inputs!$G$5:$G$120="moeda")+(Inputs!$G$5:$G$120="acoes"))*Inputs!$B$1+((Inputs!$G$5:$G$120&lt;&gt;"moeda")*(Inputs!$G$5:$G$120&lt;&gt;"acoes")))*INDEX(Inputs!$K$5:$AJ$120,0,MATCH(G$2,Inputs!$K$4:$AJ$4,0)))+SUMPRODUCT((Inputs!$E$5:$E$120=$B15)*Inputs!$F$5:$F$120*(((Inputs!$G$5:$G$120="moeda")+(Inputs!$G$5:$G$120="acoes"))*Inputs!$B$1+((Inputs!$G$5:$G$120&lt;&gt;"moeda")*(Inputs!$G$5:$G$120&lt;&gt;"acoes")))*INDEX(Inputs!$K$5:$AJ$120,0,MATCH(G$2,Inputs!$K$4:$AJ$4,0)))))</f>
        <v>3908.6</v>
      </c>
      <c r="H15" s="3">
        <f>G15</f>
        <v>3908.6</v>
      </c>
      <c r="I15" s="6">
        <f>IF(ISNA(MATCH(I$2,Inputs!$K$4:$AJ$4,0)),NA(),IF(SUMPRODUCT((Inputs!$A$5:$A$120=$B15)*ISNUMBER(INDEX(Inputs!$K$5:$AJ$120,0,MATCH(I$2,Inputs!$K$4:$AJ$4,0))))+SUMPRODUCT((Inputs!$C$5:$C$120=$B15)*ISNUMBER(INDEX(Inputs!$K$5:$AJ$120,0,MATCH(I$2,Inputs!$K$4:$AJ$4,0))))+SUMPRODUCT((Inputs!$E$5:$E$120=$B15)*ISNUMBER(INDEX(Inputs!$K$5:$AJ$120,0,MATCH(I$2,Inputs!$K$4:$AJ$4,0))))=0,NA(),SUMPRODUCT((Inputs!$A$5:$A$120=$B15)*Inputs!$B$5:$B$120*(((Inputs!$G$5:$G$120="moeda")+(Inputs!$G$5:$G$120="acoes"))*Inputs!$B$1+((Inputs!$G$5:$G$120&lt;&gt;"moeda")*(Inputs!$G$5:$G$120&lt;&gt;"acoes")))*INDEX(Inputs!$K$5:$AJ$120,0,MATCH(I$2,Inputs!$K$4:$AJ$4,0)))+SUMPRODUCT((Inputs!$C$5:$C$120=$B15)*Inputs!$D$5:$D$120*(((Inputs!$G$5:$G$120="moeda")+(Inputs!$G$5:$G$120="acoes"))*Inputs!$B$1+((Inputs!$G$5:$G$120&lt;&gt;"moeda")*(Inputs!$G$5:$G$120&lt;&gt;"acoes")))*INDEX(Inputs!$K$5:$AJ$120,0,MATCH(I$2,Inputs!$K$4:$AJ$4,0)))+SUMPRODUCT((Inputs!$E$5:$E$120=$B15)*Inputs!$F$5:$F$120*(((Inputs!$G$5:$G$120="moeda")+(Inputs!$G$5:$G$120="acoes"))*Inputs!$B$1+((Inputs!$G$5:$G$120&lt;&gt;"moeda")*(Inputs!$G$5:$G$120&lt;&gt;"acoes")))*INDEX(Inputs!$K$5:$AJ$120,0,MATCH(I$2,Inputs!$K$4:$AJ$4,0)))))</f>
        <v>2568.3</v>
      </c>
      <c r="J15" s="6">
        <f>IF(ISNA(MATCH(J$2,Inputs!$K$4:$AJ$4,0)),NA(),IF(SUMPRODUCT((Inputs!$A$5:$A$120=$B15)*ISNUMBER(INDEX(Inputs!$K$5:$AJ$120,0,MATCH(J$2,Inputs!$K$4:$AJ$4,0))))+SUMPRODUCT((Inputs!$C$5:$C$120=$B15)*ISNUMBER(INDEX(Inputs!$K$5:$AJ$120,0,MATCH(J$2,Inputs!$K$4:$AJ$4,0))))+SUMPRODUCT((Inputs!$E$5:$E$120=$B15)*ISNUMBER(INDEX(Inputs!$K$5:$AJ$120,0,MATCH(J$2,Inputs!$K$4:$AJ$4,0))))=0,NA(),SUMPRODUCT((Inputs!$A$5:$A$120=$B15)*Inputs!$B$5:$B$120*(((Inputs!$G$5:$G$120="moeda")+(Inputs!$G$5:$G$120="acoes"))*Inputs!$B$1+((Inputs!$G$5:$G$120&lt;&gt;"moeda")*(Inputs!$G$5:$G$120&lt;&gt;"acoes")))*INDEX(Inputs!$K$5:$AJ$120,0,MATCH(J$2,Inputs!$K$4:$AJ$4,0)))+SUMPRODUCT((Inputs!$C$5:$C$120=$B15)*Inputs!$D$5:$D$120*(((Inputs!$G$5:$G$120="moeda")+(Inputs!$G$5:$G$120="acoes"))*Inputs!$B$1+((Inputs!$G$5:$G$120&lt;&gt;"moeda")*(Inputs!$G$5:$G$120&lt;&gt;"acoes")))*INDEX(Inputs!$K$5:$AJ$120,0,MATCH(J$2,Inputs!$K$4:$AJ$4,0)))+SUMPRODUCT((Inputs!$E$5:$E$120=$B15)*Inputs!$F$5:$F$120*(((Inputs!$G$5:$G$120="moeda")+(Inputs!$G$5:$G$120="acoes"))*Inputs!$B$1+((Inputs!$G$5:$G$120&lt;&gt;"moeda")*(Inputs!$G$5:$G$120&lt;&gt;"acoes")))*INDEX(Inputs!$K$5:$AJ$120,0,MATCH(J$2,Inputs!$K$4:$AJ$4,0)))))</f>
        <v>2736.7</v>
      </c>
      <c r="K15" s="6">
        <f>IF(ISNA(MATCH(K$2,Inputs!$K$4:$AJ$4,0)),NA(),IF(SUMPRODUCT((Inputs!$A$5:$A$120=$B15)*ISNUMBER(INDEX(Inputs!$K$5:$AJ$120,0,MATCH(K$2,Inputs!$K$4:$AJ$4,0))))+SUMPRODUCT((Inputs!$C$5:$C$120=$B15)*ISNUMBER(INDEX(Inputs!$K$5:$AJ$120,0,MATCH(K$2,Inputs!$K$4:$AJ$4,0))))+SUMPRODUCT((Inputs!$E$5:$E$120=$B15)*ISNUMBER(INDEX(Inputs!$K$5:$AJ$120,0,MATCH(K$2,Inputs!$K$4:$AJ$4,0))))=0,NA(),SUMPRODUCT((Inputs!$A$5:$A$120=$B15)*Inputs!$B$5:$B$120*(((Inputs!$G$5:$G$120="moeda")+(Inputs!$G$5:$G$120="acoes"))*Inputs!$B$1+((Inputs!$G$5:$G$120&lt;&gt;"moeda")*(Inputs!$G$5:$G$120&lt;&gt;"acoes")))*INDEX(Inputs!$K$5:$AJ$120,0,MATCH(K$2,Inputs!$K$4:$AJ$4,0)))+SUMPRODUCT((Inputs!$C$5:$C$120=$B15)*Inputs!$D$5:$D$120*(((Inputs!$G$5:$G$120="moeda")+(Inputs!$G$5:$G$120="acoes"))*Inputs!$B$1+((Inputs!$G$5:$G$120&lt;&gt;"moeda")*(Inputs!$G$5:$G$120&lt;&gt;"acoes")))*INDEX(Inputs!$K$5:$AJ$120,0,MATCH(K$2,Inputs!$K$4:$AJ$4,0)))+SUMPRODUCT((Inputs!$E$5:$E$120=$B15)*Inputs!$F$5:$F$120*(((Inputs!$G$5:$G$120="moeda")+(Inputs!$G$5:$G$120="acoes"))*Inputs!$B$1+((Inputs!$G$5:$G$120&lt;&gt;"moeda")*(Inputs!$G$5:$G$120&lt;&gt;"acoes")))*INDEX(Inputs!$K$5:$AJ$120,0,MATCH(K$2,Inputs!$K$4:$AJ$4,0)))))</f>
        <v>2742.1</v>
      </c>
      <c r="L15" s="6">
        <f>IF(ISNA(MATCH(L$2,Inputs!$K$4:$AJ$4,0)),NA(),IF(SUMPRODUCT((Inputs!$A$5:$A$120=$B15)*ISNUMBER(INDEX(Inputs!$K$5:$AJ$120,0,MATCH(L$2,Inputs!$K$4:$AJ$4,0))))+SUMPRODUCT((Inputs!$C$5:$C$120=$B15)*ISNUMBER(INDEX(Inputs!$K$5:$AJ$120,0,MATCH(L$2,Inputs!$K$4:$AJ$4,0))))+SUMPRODUCT((Inputs!$E$5:$E$120=$B15)*ISNUMBER(INDEX(Inputs!$K$5:$AJ$120,0,MATCH(L$2,Inputs!$K$4:$AJ$4,0))))=0,NA(),SUMPRODUCT((Inputs!$A$5:$A$120=$B15)*Inputs!$B$5:$B$120*(((Inputs!$G$5:$G$120="moeda")+(Inputs!$G$5:$G$120="acoes"))*Inputs!$B$1+((Inputs!$G$5:$G$120&lt;&gt;"moeda")*(Inputs!$G$5:$G$120&lt;&gt;"acoes")))*INDEX(Inputs!$K$5:$AJ$120,0,MATCH(L$2,Inputs!$K$4:$AJ$4,0)))+SUMPRODUCT((Inputs!$C$5:$C$120=$B15)*Inputs!$D$5:$D$120*(((Inputs!$G$5:$G$120="moeda")+(Inputs!$G$5:$G$120="acoes"))*Inputs!$B$1+((Inputs!$G$5:$G$120&lt;&gt;"moeda")*(Inputs!$G$5:$G$120&lt;&gt;"acoes")))*INDEX(Inputs!$K$5:$AJ$120,0,MATCH(L$2,Inputs!$K$4:$AJ$4,0)))+SUMPRODUCT((Inputs!$E$5:$E$120=$B15)*Inputs!$F$5:$F$120*(((Inputs!$G$5:$G$120="moeda")+(Inputs!$G$5:$G$120="acoes"))*Inputs!$B$1+((Inputs!$G$5:$G$120&lt;&gt;"moeda")*(Inputs!$G$5:$G$120&lt;&gt;"acoes")))*INDEX(Inputs!$K$5:$AJ$120,0,MATCH(L$2,Inputs!$K$4:$AJ$4,0)))))</f>
        <v>2211.8</v>
      </c>
      <c r="M15" s="3">
        <f>L15</f>
        <v>2211.8</v>
      </c>
      <c r="N15" s="6">
        <f>IF(ISNA(MATCH(N$2,Inputs!$K$4:$AJ$4,0)),NA(),IF(SUMPRODUCT((Inputs!$A$5:$A$120=$B15)*ISNUMBER(INDEX(Inputs!$K$5:$AJ$120,0,MATCH(N$2,Inputs!$K$4:$AJ$4,0))))+SUMPRODUCT((Inputs!$C$5:$C$120=$B15)*ISNUMBER(INDEX(Inputs!$K$5:$AJ$120,0,MATCH(N$2,Inputs!$K$4:$AJ$4,0))))+SUMPRODUCT((Inputs!$E$5:$E$120=$B15)*ISNUMBER(INDEX(Inputs!$K$5:$AJ$120,0,MATCH(N$2,Inputs!$K$4:$AJ$4,0))))=0,NA(),SUMPRODUCT((Inputs!$A$5:$A$120=$B15)*Inputs!$B$5:$B$120*(((Inputs!$G$5:$G$120="moeda")+(Inputs!$G$5:$G$120="acoes"))*Inputs!$B$1+((Inputs!$G$5:$G$120&lt;&gt;"moeda")*(Inputs!$G$5:$G$120&lt;&gt;"acoes")))*INDEX(Inputs!$K$5:$AJ$120,0,MATCH(N$2,Inputs!$K$4:$AJ$4,0)))+SUMPRODUCT((Inputs!$C$5:$C$120=$B15)*Inputs!$D$5:$D$120*(((Inputs!$G$5:$G$120="moeda")+(Inputs!$G$5:$G$120="acoes"))*Inputs!$B$1+((Inputs!$G$5:$G$120&lt;&gt;"moeda")*(Inputs!$G$5:$G$120&lt;&gt;"acoes")))*INDEX(Inputs!$K$5:$AJ$120,0,MATCH(N$2,Inputs!$K$4:$AJ$4,0)))+SUMPRODUCT((Inputs!$E$5:$E$120=$B15)*Inputs!$F$5:$F$120*(((Inputs!$G$5:$G$120="moeda")+(Inputs!$G$5:$G$120="acoes"))*Inputs!$B$1+((Inputs!$G$5:$G$120&lt;&gt;"moeda")*(Inputs!$G$5:$G$120&lt;&gt;"acoes")))*INDEX(Inputs!$K$5:$AJ$120,0,MATCH(N$2,Inputs!$K$4:$AJ$4,0)))))</f>
        <v>3669.3</v>
      </c>
      <c r="O15" s="6">
        <f>IF(ISNA(MATCH(O$2,Inputs!$K$4:$AJ$4,0)),NA(),IF(SUMPRODUCT((Inputs!$A$5:$A$120=$B15)*ISNUMBER(INDEX(Inputs!$K$5:$AJ$120,0,MATCH(O$2,Inputs!$K$4:$AJ$4,0))))+SUMPRODUCT((Inputs!$C$5:$C$120=$B15)*ISNUMBER(INDEX(Inputs!$K$5:$AJ$120,0,MATCH(O$2,Inputs!$K$4:$AJ$4,0))))+SUMPRODUCT((Inputs!$E$5:$E$120=$B15)*ISNUMBER(INDEX(Inputs!$K$5:$AJ$120,0,MATCH(O$2,Inputs!$K$4:$AJ$4,0))))=0,NA(),SUMPRODUCT((Inputs!$A$5:$A$120=$B15)*Inputs!$B$5:$B$120*(((Inputs!$G$5:$G$120="moeda")+(Inputs!$G$5:$G$120="acoes"))*Inputs!$B$1+((Inputs!$G$5:$G$120&lt;&gt;"moeda")*(Inputs!$G$5:$G$120&lt;&gt;"acoes")))*INDEX(Inputs!$K$5:$AJ$120,0,MATCH(O$2,Inputs!$K$4:$AJ$4,0)))+SUMPRODUCT((Inputs!$C$5:$C$120=$B15)*Inputs!$D$5:$D$120*(((Inputs!$G$5:$G$120="moeda")+(Inputs!$G$5:$G$120="acoes"))*Inputs!$B$1+((Inputs!$G$5:$G$120&lt;&gt;"moeda")*(Inputs!$G$5:$G$120&lt;&gt;"acoes")))*INDEX(Inputs!$K$5:$AJ$120,0,MATCH(O$2,Inputs!$K$4:$AJ$4,0)))+SUMPRODUCT((Inputs!$E$5:$E$120=$B15)*Inputs!$F$5:$F$120*(((Inputs!$G$5:$G$120="moeda")+(Inputs!$G$5:$G$120="acoes"))*Inputs!$B$1+((Inputs!$G$5:$G$120&lt;&gt;"moeda")*(Inputs!$G$5:$G$120&lt;&gt;"acoes")))*INDEX(Inputs!$K$5:$AJ$120,0,MATCH(O$2,Inputs!$K$4:$AJ$4,0)))))</f>
        <v>2829.1</v>
      </c>
      <c r="P15" s="6">
        <f>IF(ISNA(MATCH(P$2,Inputs!$K$4:$AJ$4,0)),NA(),IF(SUMPRODUCT((Inputs!$A$5:$A$120=$B15)*ISNUMBER(INDEX(Inputs!$K$5:$AJ$120,0,MATCH(P$2,Inputs!$K$4:$AJ$4,0))))+SUMPRODUCT((Inputs!$C$5:$C$120=$B15)*ISNUMBER(INDEX(Inputs!$K$5:$AJ$120,0,MATCH(P$2,Inputs!$K$4:$AJ$4,0))))+SUMPRODUCT((Inputs!$E$5:$E$120=$B15)*ISNUMBER(INDEX(Inputs!$K$5:$AJ$120,0,MATCH(P$2,Inputs!$K$4:$AJ$4,0))))=0,NA(),SUMPRODUCT((Inputs!$A$5:$A$120=$B15)*Inputs!$B$5:$B$120*(((Inputs!$G$5:$G$120="moeda")+(Inputs!$G$5:$G$120="acoes"))*Inputs!$B$1+((Inputs!$G$5:$G$120&lt;&gt;"moeda")*(Inputs!$G$5:$G$120&lt;&gt;"acoes")))*INDEX(Inputs!$K$5:$AJ$120,0,MATCH(P$2,Inputs!$K$4:$AJ$4,0)))+SUMPRODUCT((Inputs!$C$5:$C$120=$B15)*Inputs!$D$5:$D$120*(((Inputs!$G$5:$G$120="moeda")+(Inputs!$G$5:$G$120="acoes"))*Inputs!$B$1+((Inputs!$G$5:$G$120&lt;&gt;"moeda")*(Inputs!$G$5:$G$120&lt;&gt;"acoes")))*INDEX(Inputs!$K$5:$AJ$120,0,MATCH(P$2,Inputs!$K$4:$AJ$4,0)))+SUMPRODUCT((Inputs!$E$5:$E$120=$B15)*Inputs!$F$5:$F$120*(((Inputs!$G$5:$G$120="moeda")+(Inputs!$G$5:$G$120="acoes"))*Inputs!$B$1+((Inputs!$G$5:$G$120&lt;&gt;"moeda")*(Inputs!$G$5:$G$120&lt;&gt;"acoes")))*INDEX(Inputs!$K$5:$AJ$120,0,MATCH(P$2,Inputs!$K$4:$AJ$4,0)))))</f>
        <v>2493.9</v>
      </c>
      <c r="Q15" s="6">
        <f>IF(ISNA(MATCH(Q$2,Inputs!$K$4:$AJ$4,0)),NA(),IF(SUMPRODUCT((Inputs!$A$5:$A$120=$B15)*ISNUMBER(INDEX(Inputs!$K$5:$AJ$120,0,MATCH(Q$2,Inputs!$K$4:$AJ$4,0))))+SUMPRODUCT((Inputs!$C$5:$C$120=$B15)*ISNUMBER(INDEX(Inputs!$K$5:$AJ$120,0,MATCH(Q$2,Inputs!$K$4:$AJ$4,0))))+SUMPRODUCT((Inputs!$E$5:$E$120=$B15)*ISNUMBER(INDEX(Inputs!$K$5:$AJ$120,0,MATCH(Q$2,Inputs!$K$4:$AJ$4,0))))=0,NA(),SUMPRODUCT((Inputs!$A$5:$A$120=$B15)*Inputs!$B$5:$B$120*(((Inputs!$G$5:$G$120="moeda")+(Inputs!$G$5:$G$120="acoes"))*Inputs!$B$1+((Inputs!$G$5:$G$120&lt;&gt;"moeda")*(Inputs!$G$5:$G$120&lt;&gt;"acoes")))*INDEX(Inputs!$K$5:$AJ$120,0,MATCH(Q$2,Inputs!$K$4:$AJ$4,0)))+SUMPRODUCT((Inputs!$C$5:$C$120=$B15)*Inputs!$D$5:$D$120*(((Inputs!$G$5:$G$120="moeda")+(Inputs!$G$5:$G$120="acoes"))*Inputs!$B$1+((Inputs!$G$5:$G$120&lt;&gt;"moeda")*(Inputs!$G$5:$G$120&lt;&gt;"acoes")))*INDEX(Inputs!$K$5:$AJ$120,0,MATCH(Q$2,Inputs!$K$4:$AJ$4,0)))+SUMPRODUCT((Inputs!$E$5:$E$120=$B15)*Inputs!$F$5:$F$120*(((Inputs!$G$5:$G$120="moeda")+(Inputs!$G$5:$G$120="acoes"))*Inputs!$B$1+((Inputs!$G$5:$G$120&lt;&gt;"moeda")*(Inputs!$G$5:$G$120&lt;&gt;"acoes")))*INDEX(Inputs!$K$5:$AJ$120,0,MATCH(Q$2,Inputs!$K$4:$AJ$4,0)))))</f>
        <v>2927.7</v>
      </c>
      <c r="R15" s="3">
        <f>Q15</f>
        <v>2927.7</v>
      </c>
      <c r="S15" s="6">
        <f>IF(ISNA(MATCH(S$2,Inputs!$K$4:$AJ$4,0)),NA(),IF(SUMPRODUCT((Inputs!$A$5:$A$120=$B15)*ISNUMBER(INDEX(Inputs!$K$5:$AJ$120,0,MATCH(S$2,Inputs!$K$4:$AJ$4,0))))+SUMPRODUCT((Inputs!$C$5:$C$120=$B15)*ISNUMBER(INDEX(Inputs!$K$5:$AJ$120,0,MATCH(S$2,Inputs!$K$4:$AJ$4,0))))+SUMPRODUCT((Inputs!$E$5:$E$120=$B15)*ISNUMBER(INDEX(Inputs!$K$5:$AJ$120,0,MATCH(S$2,Inputs!$K$4:$AJ$4,0))))=0,NA(),SUMPRODUCT((Inputs!$A$5:$A$120=$B15)*Inputs!$B$5:$B$120*(((Inputs!$G$5:$G$120="moeda")+(Inputs!$G$5:$G$120="acoes"))*Inputs!$B$1+((Inputs!$G$5:$G$120&lt;&gt;"moeda")*(Inputs!$G$5:$G$120&lt;&gt;"acoes")))*INDEX(Inputs!$K$5:$AJ$120,0,MATCH(S$2,Inputs!$K$4:$AJ$4,0)))+SUMPRODUCT((Inputs!$C$5:$C$120=$B15)*Inputs!$D$5:$D$120*(((Inputs!$G$5:$G$120="moeda")+(Inputs!$G$5:$G$120="acoes"))*Inputs!$B$1+((Inputs!$G$5:$G$120&lt;&gt;"moeda")*(Inputs!$G$5:$G$120&lt;&gt;"acoes")))*INDEX(Inputs!$K$5:$AJ$120,0,MATCH(S$2,Inputs!$K$4:$AJ$4,0)))+SUMPRODUCT((Inputs!$E$5:$E$120=$B15)*Inputs!$F$5:$F$120*(((Inputs!$G$5:$G$120="moeda")+(Inputs!$G$5:$G$120="acoes"))*Inputs!$B$1+((Inputs!$G$5:$G$120&lt;&gt;"moeda")*(Inputs!$G$5:$G$120&lt;&gt;"acoes")))*INDEX(Inputs!$K$5:$AJ$120,0,MATCH(S$2,Inputs!$K$4:$AJ$4,0)))))</f>
        <v>2586.3</v>
      </c>
      <c r="T15" s="6">
        <f>IF(ISNA(MATCH(T$2,Inputs!$K$4:$AJ$4,0)),NA(),IF(SUMPRODUCT((Inputs!$A$5:$A$120=$B15)*ISNUMBER(INDEX(Inputs!$K$5:$AJ$120,0,MATCH(T$2,Inputs!$K$4:$AJ$4,0))))+SUMPRODUCT((Inputs!$C$5:$C$120=$B15)*ISNUMBER(INDEX(Inputs!$K$5:$AJ$120,0,MATCH(T$2,Inputs!$K$4:$AJ$4,0))))+SUMPRODUCT((Inputs!$E$5:$E$120=$B15)*ISNUMBER(INDEX(Inputs!$K$5:$AJ$120,0,MATCH(T$2,Inputs!$K$4:$AJ$4,0))))=0,NA(),SUMPRODUCT((Inputs!$A$5:$A$120=$B15)*Inputs!$B$5:$B$120*(((Inputs!$G$5:$G$120="moeda")+(Inputs!$G$5:$G$120="acoes"))*Inputs!$B$1+((Inputs!$G$5:$G$120&lt;&gt;"moeda")*(Inputs!$G$5:$G$120&lt;&gt;"acoes")))*INDEX(Inputs!$K$5:$AJ$120,0,MATCH(T$2,Inputs!$K$4:$AJ$4,0)))+SUMPRODUCT((Inputs!$C$5:$C$120=$B15)*Inputs!$D$5:$D$120*(((Inputs!$G$5:$G$120="moeda")+(Inputs!$G$5:$G$120="acoes"))*Inputs!$B$1+((Inputs!$G$5:$G$120&lt;&gt;"moeda")*(Inputs!$G$5:$G$120&lt;&gt;"acoes")))*INDEX(Inputs!$K$5:$AJ$120,0,MATCH(T$2,Inputs!$K$4:$AJ$4,0)))+SUMPRODUCT((Inputs!$E$5:$E$120=$B15)*Inputs!$F$5:$F$120*(((Inputs!$G$5:$G$120="moeda")+(Inputs!$G$5:$G$120="acoes"))*Inputs!$B$1+((Inputs!$G$5:$G$120&lt;&gt;"moeda")*(Inputs!$G$5:$G$120&lt;&gt;"acoes")))*INDEX(Inputs!$K$5:$AJ$120,0,MATCH(T$2,Inputs!$K$4:$AJ$4,0)))))</f>
        <v>3364</v>
      </c>
      <c r="U15" s="6">
        <f>IF(ISNA(MATCH(U$2,Inputs!$K$4:$AJ$4,0)),NA(),IF(SUMPRODUCT((Inputs!$A$5:$A$120=$B15)*ISNUMBER(INDEX(Inputs!$K$5:$AJ$120,0,MATCH(U$2,Inputs!$K$4:$AJ$4,0))))+SUMPRODUCT((Inputs!$C$5:$C$120=$B15)*ISNUMBER(INDEX(Inputs!$K$5:$AJ$120,0,MATCH(U$2,Inputs!$K$4:$AJ$4,0))))+SUMPRODUCT((Inputs!$E$5:$E$120=$B15)*ISNUMBER(INDEX(Inputs!$K$5:$AJ$120,0,MATCH(U$2,Inputs!$K$4:$AJ$4,0))))=0,NA(),SUMPRODUCT((Inputs!$A$5:$A$120=$B15)*Inputs!$B$5:$B$120*(((Inputs!$G$5:$G$120="moeda")+(Inputs!$G$5:$G$120="acoes"))*Inputs!$B$1+((Inputs!$G$5:$G$120&lt;&gt;"moeda")*(Inputs!$G$5:$G$120&lt;&gt;"acoes")))*INDEX(Inputs!$K$5:$AJ$120,0,MATCH(U$2,Inputs!$K$4:$AJ$4,0)))+SUMPRODUCT((Inputs!$C$5:$C$120=$B15)*Inputs!$D$5:$D$120*(((Inputs!$G$5:$G$120="moeda")+(Inputs!$G$5:$G$120="acoes"))*Inputs!$B$1+((Inputs!$G$5:$G$120&lt;&gt;"moeda")*(Inputs!$G$5:$G$120&lt;&gt;"acoes")))*INDEX(Inputs!$K$5:$AJ$120,0,MATCH(U$2,Inputs!$K$4:$AJ$4,0)))+SUMPRODUCT((Inputs!$E$5:$E$120=$B15)*Inputs!$F$5:$F$120*(((Inputs!$G$5:$G$120="moeda")+(Inputs!$G$5:$G$120="acoes"))*Inputs!$B$1+((Inputs!$G$5:$G$120&lt;&gt;"moeda")*(Inputs!$G$5:$G$120&lt;&gt;"acoes")))*INDEX(Inputs!$K$5:$AJ$120,0,MATCH(U$2,Inputs!$K$4:$AJ$4,0)))))</f>
        <v>3518.4</v>
      </c>
      <c r="V15" s="6">
        <f>IF(ISNA(MATCH(V$2,Inputs!$K$4:$AJ$4,0)),NA(),IF(SUMPRODUCT((Inputs!$A$5:$A$120=$B15)*ISNUMBER(INDEX(Inputs!$K$5:$AJ$120,0,MATCH(V$2,Inputs!$K$4:$AJ$4,0))))+SUMPRODUCT((Inputs!$C$5:$C$120=$B15)*ISNUMBER(INDEX(Inputs!$K$5:$AJ$120,0,MATCH(V$2,Inputs!$K$4:$AJ$4,0))))+SUMPRODUCT((Inputs!$E$5:$E$120=$B15)*ISNUMBER(INDEX(Inputs!$K$5:$AJ$120,0,MATCH(V$2,Inputs!$K$4:$AJ$4,0))))=0,NA(),SUMPRODUCT((Inputs!$A$5:$A$120=$B15)*Inputs!$B$5:$B$120*(((Inputs!$G$5:$G$120="moeda")+(Inputs!$G$5:$G$120="acoes"))*Inputs!$B$1+((Inputs!$G$5:$G$120&lt;&gt;"moeda")*(Inputs!$G$5:$G$120&lt;&gt;"acoes")))*INDEX(Inputs!$K$5:$AJ$120,0,MATCH(V$2,Inputs!$K$4:$AJ$4,0)))+SUMPRODUCT((Inputs!$C$5:$C$120=$B15)*Inputs!$D$5:$D$120*(((Inputs!$G$5:$G$120="moeda")+(Inputs!$G$5:$G$120="acoes"))*Inputs!$B$1+((Inputs!$G$5:$G$120&lt;&gt;"moeda")*(Inputs!$G$5:$G$120&lt;&gt;"acoes")))*INDEX(Inputs!$K$5:$AJ$120,0,MATCH(V$2,Inputs!$K$4:$AJ$4,0)))+SUMPRODUCT((Inputs!$E$5:$E$120=$B15)*Inputs!$F$5:$F$120*(((Inputs!$G$5:$G$120="moeda")+(Inputs!$G$5:$G$120="acoes"))*Inputs!$B$1+((Inputs!$G$5:$G$120&lt;&gt;"moeda")*(Inputs!$G$5:$G$120&lt;&gt;"acoes")))*INDEX(Inputs!$K$5:$AJ$120,0,MATCH(V$2,Inputs!$K$4:$AJ$4,0)))))</f>
        <v>3423.2</v>
      </c>
      <c r="W15" s="3">
        <f>V15</f>
        <v>3423.2</v>
      </c>
      <c r="X15" s="6">
        <f>IF(ISNA(MATCH(X$2,Inputs!$K$4:$AJ$4,0)),NA(),IF(SUMPRODUCT((Inputs!$A$5:$A$120=$B15)*ISNUMBER(INDEX(Inputs!$K$5:$AJ$120,0,MATCH(X$2,Inputs!$K$4:$AJ$4,0))))+SUMPRODUCT((Inputs!$C$5:$C$120=$B15)*ISNUMBER(INDEX(Inputs!$K$5:$AJ$120,0,MATCH(X$2,Inputs!$K$4:$AJ$4,0))))+SUMPRODUCT((Inputs!$E$5:$E$120=$B15)*ISNUMBER(INDEX(Inputs!$K$5:$AJ$120,0,MATCH(X$2,Inputs!$K$4:$AJ$4,0))))=0,NA(),SUMPRODUCT((Inputs!$A$5:$A$120=$B15)*Inputs!$B$5:$B$120*(((Inputs!$G$5:$G$120="moeda")+(Inputs!$G$5:$G$120="acoes"))*Inputs!$B$1+((Inputs!$G$5:$G$120&lt;&gt;"moeda")*(Inputs!$G$5:$G$120&lt;&gt;"acoes")))*INDEX(Inputs!$K$5:$AJ$120,0,MATCH(X$2,Inputs!$K$4:$AJ$4,0)))+SUMPRODUCT((Inputs!$C$5:$C$120=$B15)*Inputs!$D$5:$D$120*(((Inputs!$G$5:$G$120="moeda")+(Inputs!$G$5:$G$120="acoes"))*Inputs!$B$1+((Inputs!$G$5:$G$120&lt;&gt;"moeda")*(Inputs!$G$5:$G$120&lt;&gt;"acoes")))*INDEX(Inputs!$K$5:$AJ$120,0,MATCH(X$2,Inputs!$K$4:$AJ$4,0)))+SUMPRODUCT((Inputs!$E$5:$E$120=$B15)*Inputs!$F$5:$F$120*(((Inputs!$G$5:$G$120="moeda")+(Inputs!$G$5:$G$120="acoes"))*Inputs!$B$1+((Inputs!$G$5:$G$120&lt;&gt;"moeda")*(Inputs!$G$5:$G$120&lt;&gt;"acoes")))*INDEX(Inputs!$K$5:$AJ$120,0,MATCH(X$2,Inputs!$K$4:$AJ$4,0)))))</f>
        <v>3220.7</v>
      </c>
      <c r="Y15" s="6">
        <f>IF(ISNA(MATCH(Y$2,Inputs!$K$4:$AJ$4,0)),NA(),IF(SUMPRODUCT((Inputs!$A$5:$A$120=$B15)*ISNUMBER(INDEX(Inputs!$K$5:$AJ$120,0,MATCH(Y$2,Inputs!$K$4:$AJ$4,0))))+SUMPRODUCT((Inputs!$C$5:$C$120=$B15)*ISNUMBER(INDEX(Inputs!$K$5:$AJ$120,0,MATCH(Y$2,Inputs!$K$4:$AJ$4,0))))+SUMPRODUCT((Inputs!$E$5:$E$120=$B15)*ISNUMBER(INDEX(Inputs!$K$5:$AJ$120,0,MATCH(Y$2,Inputs!$K$4:$AJ$4,0))))=0,NA(),SUMPRODUCT((Inputs!$A$5:$A$120=$B15)*Inputs!$B$5:$B$120*(((Inputs!$G$5:$G$120="moeda")+(Inputs!$G$5:$G$120="acoes"))*Inputs!$B$1+((Inputs!$G$5:$G$120&lt;&gt;"moeda")*(Inputs!$G$5:$G$120&lt;&gt;"acoes")))*INDEX(Inputs!$K$5:$AJ$120,0,MATCH(Y$2,Inputs!$K$4:$AJ$4,0)))+SUMPRODUCT((Inputs!$C$5:$C$120=$B15)*Inputs!$D$5:$D$120*(((Inputs!$G$5:$G$120="moeda")+(Inputs!$G$5:$G$120="acoes"))*Inputs!$B$1+((Inputs!$G$5:$G$120&lt;&gt;"moeda")*(Inputs!$G$5:$G$120&lt;&gt;"acoes")))*INDEX(Inputs!$K$5:$AJ$120,0,MATCH(Y$2,Inputs!$K$4:$AJ$4,0)))+SUMPRODUCT((Inputs!$E$5:$E$120=$B15)*Inputs!$F$5:$F$120*(((Inputs!$G$5:$G$120="moeda")+(Inputs!$G$5:$G$120="acoes"))*Inputs!$B$1+((Inputs!$G$5:$G$120&lt;&gt;"moeda")*(Inputs!$G$5:$G$120&lt;&gt;"acoes")))*INDEX(Inputs!$K$5:$AJ$120,0,MATCH(Y$2,Inputs!$K$4:$AJ$4,0)))))</f>
        <v>3546</v>
      </c>
      <c r="Z15" s="6">
        <f>IF(ISNA(MATCH(Z$2,Inputs!$K$4:$AJ$4,0)),NA(),IF(SUMPRODUCT((Inputs!$A$5:$A$120=$B15)*ISNUMBER(INDEX(Inputs!$K$5:$AJ$120,0,MATCH(Z$2,Inputs!$K$4:$AJ$4,0))))+SUMPRODUCT((Inputs!$C$5:$C$120=$B15)*ISNUMBER(INDEX(Inputs!$K$5:$AJ$120,0,MATCH(Z$2,Inputs!$K$4:$AJ$4,0))))+SUMPRODUCT((Inputs!$E$5:$E$120=$B15)*ISNUMBER(INDEX(Inputs!$K$5:$AJ$120,0,MATCH(Z$2,Inputs!$K$4:$AJ$4,0))))=0,NA(),SUMPRODUCT((Inputs!$A$5:$A$120=$B15)*Inputs!$B$5:$B$120*(((Inputs!$G$5:$G$120="moeda")+(Inputs!$G$5:$G$120="acoes"))*Inputs!$B$1+((Inputs!$G$5:$G$120&lt;&gt;"moeda")*(Inputs!$G$5:$G$120&lt;&gt;"acoes")))*INDEX(Inputs!$K$5:$AJ$120,0,MATCH(Z$2,Inputs!$K$4:$AJ$4,0)))+SUMPRODUCT((Inputs!$C$5:$C$120=$B15)*Inputs!$D$5:$D$120*(((Inputs!$G$5:$G$120="moeda")+(Inputs!$G$5:$G$120="acoes"))*Inputs!$B$1+((Inputs!$G$5:$G$120&lt;&gt;"moeda")*(Inputs!$G$5:$G$120&lt;&gt;"acoes")))*INDEX(Inputs!$K$5:$AJ$120,0,MATCH(Z$2,Inputs!$K$4:$AJ$4,0)))+SUMPRODUCT((Inputs!$E$5:$E$120=$B15)*Inputs!$F$5:$F$120*(((Inputs!$G$5:$G$120="moeda")+(Inputs!$G$5:$G$120="acoes"))*Inputs!$B$1+((Inputs!$G$5:$G$120&lt;&gt;"moeda")*(Inputs!$G$5:$G$120&lt;&gt;"acoes")))*INDEX(Inputs!$K$5:$AJ$120,0,MATCH(Z$2,Inputs!$K$4:$AJ$4,0)))))</f>
        <v>9913.5</v>
      </c>
      <c r="AA15" s="6">
        <f>IF(ISNA(MATCH(AA$2,Inputs!$K$4:$AJ$4,0)),NA(),IF(SUMPRODUCT((Inputs!$A$5:$A$120=$B15)*ISNUMBER(INDEX(Inputs!$K$5:$AJ$120,0,MATCH(AA$2,Inputs!$K$4:$AJ$4,0))))+SUMPRODUCT((Inputs!$C$5:$C$120=$B15)*ISNUMBER(INDEX(Inputs!$K$5:$AJ$120,0,MATCH(AA$2,Inputs!$K$4:$AJ$4,0))))+SUMPRODUCT((Inputs!$E$5:$E$120=$B15)*ISNUMBER(INDEX(Inputs!$K$5:$AJ$120,0,MATCH(AA$2,Inputs!$K$4:$AJ$4,0))))=0,NA(),SUMPRODUCT((Inputs!$A$5:$A$120=$B15)*Inputs!$B$5:$B$120*(((Inputs!$G$5:$G$120="moeda")+(Inputs!$G$5:$G$120="acoes"))*Inputs!$B$1+((Inputs!$G$5:$G$120&lt;&gt;"moeda")*(Inputs!$G$5:$G$120&lt;&gt;"acoes")))*INDEX(Inputs!$K$5:$AJ$120,0,MATCH(AA$2,Inputs!$K$4:$AJ$4,0)))+SUMPRODUCT((Inputs!$C$5:$C$120=$B15)*Inputs!$D$5:$D$120*(((Inputs!$G$5:$G$120="moeda")+(Inputs!$G$5:$G$120="acoes"))*Inputs!$B$1+((Inputs!$G$5:$G$120&lt;&gt;"moeda")*(Inputs!$G$5:$G$120&lt;&gt;"acoes")))*INDEX(Inputs!$K$5:$AJ$120,0,MATCH(AA$2,Inputs!$K$4:$AJ$4,0)))+SUMPRODUCT((Inputs!$E$5:$E$120=$B15)*Inputs!$F$5:$F$120*(((Inputs!$G$5:$G$120="moeda")+(Inputs!$G$5:$G$120="acoes"))*Inputs!$B$1+((Inputs!$G$5:$G$120&lt;&gt;"moeda")*(Inputs!$G$5:$G$120&lt;&gt;"acoes")))*INDEX(Inputs!$K$5:$AJ$120,0,MATCH(AA$2,Inputs!$K$4:$AJ$4,0)))))</f>
        <v>7268</v>
      </c>
      <c r="AB15" s="3">
        <f>AA15</f>
        <v>7268</v>
      </c>
      <c r="AC15" s="6">
        <f>IF(ISNA(MATCH(AC$2,Inputs!$K$4:$AJ$4,0)),NA(),IF(SUMPRODUCT((Inputs!$A$5:$A$120=$B15)*ISNUMBER(INDEX(Inputs!$K$5:$AJ$120,0,MATCH(AC$2,Inputs!$K$4:$AJ$4,0))))+SUMPRODUCT((Inputs!$C$5:$C$120=$B15)*ISNUMBER(INDEX(Inputs!$K$5:$AJ$120,0,MATCH(AC$2,Inputs!$K$4:$AJ$4,0))))+SUMPRODUCT((Inputs!$E$5:$E$120=$B15)*ISNUMBER(INDEX(Inputs!$K$5:$AJ$120,0,MATCH(AC$2,Inputs!$K$4:$AJ$4,0))))=0,NA(),SUMPRODUCT((Inputs!$A$5:$A$120=$B15)*Inputs!$B$5:$B$120*(((Inputs!$G$5:$G$120="moeda")+(Inputs!$G$5:$G$120="acoes"))*Inputs!$B$1+((Inputs!$G$5:$G$120&lt;&gt;"moeda")*(Inputs!$G$5:$G$120&lt;&gt;"acoes")))*INDEX(Inputs!$K$5:$AJ$120,0,MATCH(AC$2,Inputs!$K$4:$AJ$4,0)))+SUMPRODUCT((Inputs!$C$5:$C$120=$B15)*Inputs!$D$5:$D$120*(((Inputs!$G$5:$G$120="moeda")+(Inputs!$G$5:$G$120="acoes"))*Inputs!$B$1+((Inputs!$G$5:$G$120&lt;&gt;"moeda")*(Inputs!$G$5:$G$120&lt;&gt;"acoes")))*INDEX(Inputs!$K$5:$AJ$120,0,MATCH(AC$2,Inputs!$K$4:$AJ$4,0)))+SUMPRODUCT((Inputs!$E$5:$E$120=$B15)*Inputs!$F$5:$F$120*(((Inputs!$G$5:$G$120="moeda")+(Inputs!$G$5:$G$120="acoes"))*Inputs!$B$1+((Inputs!$G$5:$G$120&lt;&gt;"moeda")*(Inputs!$G$5:$G$120&lt;&gt;"acoes")))*INDEX(Inputs!$K$5:$AJ$120,0,MATCH(AC$2,Inputs!$K$4:$AJ$4,0)))))</f>
        <v>5282</v>
      </c>
      <c r="AD15" s="6">
        <f>IF(ISNA(MATCH(AD$2,Inputs!$K$4:$AJ$4,0)),NA(),IF(SUMPRODUCT((Inputs!$A$5:$A$120=$B15)*ISNUMBER(INDEX(Inputs!$K$5:$AJ$120,0,MATCH(AD$2,Inputs!$K$4:$AJ$4,0))))+SUMPRODUCT((Inputs!$C$5:$C$120=$B15)*ISNUMBER(INDEX(Inputs!$K$5:$AJ$120,0,MATCH(AD$2,Inputs!$K$4:$AJ$4,0))))+SUMPRODUCT((Inputs!$E$5:$E$120=$B15)*ISNUMBER(INDEX(Inputs!$K$5:$AJ$120,0,MATCH(AD$2,Inputs!$K$4:$AJ$4,0))))=0,NA(),SUMPRODUCT((Inputs!$A$5:$A$120=$B15)*Inputs!$B$5:$B$120*(((Inputs!$G$5:$G$120="moeda")+(Inputs!$G$5:$G$120="acoes"))*Inputs!$B$1+((Inputs!$G$5:$G$120&lt;&gt;"moeda")*(Inputs!$G$5:$G$120&lt;&gt;"acoes")))*INDEX(Inputs!$K$5:$AJ$120,0,MATCH(AD$2,Inputs!$K$4:$AJ$4,0)))+SUMPRODUCT((Inputs!$C$5:$C$120=$B15)*Inputs!$D$5:$D$120*(((Inputs!$G$5:$G$120="moeda")+(Inputs!$G$5:$G$120="acoes"))*Inputs!$B$1+((Inputs!$G$5:$G$120&lt;&gt;"moeda")*(Inputs!$G$5:$G$120&lt;&gt;"acoes")))*INDEX(Inputs!$K$5:$AJ$120,0,MATCH(AD$2,Inputs!$K$4:$AJ$4,0)))+SUMPRODUCT((Inputs!$E$5:$E$120=$B15)*Inputs!$F$5:$F$120*(((Inputs!$G$5:$G$120="moeda")+(Inputs!$G$5:$G$120="acoes"))*Inputs!$B$1+((Inputs!$G$5:$G$120&lt;&gt;"moeda")*(Inputs!$G$5:$G$120&lt;&gt;"acoes")))*INDEX(Inputs!$K$5:$AJ$120,0,MATCH(AD$2,Inputs!$K$4:$AJ$4,0)))))</f>
        <v>8950</v>
      </c>
      <c r="AE15" s="6" t="e">
        <f>IF(ISNA(MATCH(AE$2,Inputs!$K$4:$AJ$4,0)),NA(),IF(SUMPRODUCT((Inputs!$A$5:$A$120=$B15)*ISNUMBER(INDEX(Inputs!$K$5:$AJ$120,0,MATCH(AE$2,Inputs!$K$4:$AJ$4,0))))+SUMPRODUCT((Inputs!$C$5:$C$120=$B15)*ISNUMBER(INDEX(Inputs!$K$5:$AJ$120,0,MATCH(AE$2,Inputs!$K$4:$AJ$4,0))))+SUMPRODUCT((Inputs!$E$5:$E$120=$B15)*ISNUMBER(INDEX(Inputs!$K$5:$AJ$120,0,MATCH(AE$2,Inputs!$K$4:$AJ$4,0))))=0,NA(),SUMPRODUCT((Inputs!$A$5:$A$120=$B15)*Inputs!$B$5:$B$120*(((Inputs!$G$5:$G$120="moeda")+(Inputs!$G$5:$G$120="acoes"))*Inputs!$B$1+((Inputs!$G$5:$G$120&lt;&gt;"moeda")*(Inputs!$G$5:$G$120&lt;&gt;"acoes")))*INDEX(Inputs!$K$5:$AJ$120,0,MATCH(AE$2,Inputs!$K$4:$AJ$4,0)))+SUMPRODUCT((Inputs!$C$5:$C$120=$B15)*Inputs!$D$5:$D$120*(((Inputs!$G$5:$G$120="moeda")+(Inputs!$G$5:$G$120="acoes"))*Inputs!$B$1+((Inputs!$G$5:$G$120&lt;&gt;"moeda")*(Inputs!$G$5:$G$120&lt;&gt;"acoes")))*INDEX(Inputs!$K$5:$AJ$120,0,MATCH(AE$2,Inputs!$K$4:$AJ$4,0)))+SUMPRODUCT((Inputs!$E$5:$E$120=$B15)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5" s="6" t="e">
        <f>IF(ISNA(MATCH(AF$2,Inputs!$K$4:$AJ$4,0)),NA(),IF(SUMPRODUCT((Inputs!$A$5:$A$120=$B15)*ISNUMBER(INDEX(Inputs!$K$5:$AJ$120,0,MATCH(AF$2,Inputs!$K$4:$AJ$4,0))))+SUMPRODUCT((Inputs!$C$5:$C$120=$B15)*ISNUMBER(INDEX(Inputs!$K$5:$AJ$120,0,MATCH(AF$2,Inputs!$K$4:$AJ$4,0))))+SUMPRODUCT((Inputs!$E$5:$E$120=$B15)*ISNUMBER(INDEX(Inputs!$K$5:$AJ$120,0,MATCH(AF$2,Inputs!$K$4:$AJ$4,0))))=0,NA(),SUMPRODUCT((Inputs!$A$5:$A$120=$B15)*Inputs!$B$5:$B$120*(((Inputs!$G$5:$G$120="moeda")+(Inputs!$G$5:$G$120="acoes"))*Inputs!$B$1+((Inputs!$G$5:$G$120&lt;&gt;"moeda")*(Inputs!$G$5:$G$120&lt;&gt;"acoes")))*INDEX(Inputs!$K$5:$AJ$120,0,MATCH(AF$2,Inputs!$K$4:$AJ$4,0)))+SUMPRODUCT((Inputs!$C$5:$C$120=$B15)*Inputs!$D$5:$D$120*(((Inputs!$G$5:$G$120="moeda")+(Inputs!$G$5:$G$120="acoes"))*Inputs!$B$1+((Inputs!$G$5:$G$120&lt;&gt;"moeda")*(Inputs!$G$5:$G$120&lt;&gt;"acoes")))*INDEX(Inputs!$K$5:$AJ$120,0,MATCH(AF$2,Inputs!$K$4:$AJ$4,0)))+SUMPRODUCT((Inputs!$E$5:$E$120=$B15)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5" s="3" t="e">
        <f>AF15</f>
        <v>#N/A</v>
      </c>
      <c r="AH15" s="6">
        <f>IF(ISNA(MATCH(AH$2,Inputs!$K$4:$AJ$4,0)),NA(),IF(SUMPRODUCT((Inputs!$A$5:$A$120=$B15)*ISNUMBER(INDEX(Inputs!$K$5:$AJ$120,0,MATCH(AH$2,Inputs!$K$4:$AJ$4,0))))+SUMPRODUCT((Inputs!$C$5:$C$120=$B15)*ISNUMBER(INDEX(Inputs!$K$5:$AJ$120,0,MATCH(AH$2,Inputs!$K$4:$AJ$4,0))))+SUMPRODUCT((Inputs!$E$5:$E$120=$B15)*ISNUMBER(INDEX(Inputs!$K$5:$AJ$120,0,MATCH(AH$2,Inputs!$K$4:$AJ$4,0))))=0,NA(),SUMPRODUCT((Inputs!$A$5:$A$120=$B15)*Inputs!$B$5:$B$120*(((Inputs!$G$5:$G$120="moeda")+(Inputs!$G$5:$G$120="acoes"))*Inputs!$B$1+((Inputs!$G$5:$G$120&lt;&gt;"moeda")*(Inputs!$G$5:$G$120&lt;&gt;"acoes")))*INDEX(Inputs!$K$5:$AJ$120,0,MATCH(AH$2,Inputs!$K$4:$AJ$4,0)))+SUMPRODUCT((Inputs!$C$5:$C$120=$B15)*Inputs!$D$5:$D$120*(((Inputs!$G$5:$G$120="moeda")+(Inputs!$G$5:$G$120="acoes"))*Inputs!$B$1+((Inputs!$G$5:$G$120&lt;&gt;"moeda")*(Inputs!$G$5:$G$120&lt;&gt;"acoes")))*INDEX(Inputs!$K$5:$AJ$120,0,MATCH(AH$2,Inputs!$K$4:$AJ$4,0)))+SUMPRODUCT((Inputs!$E$5:$E$120=$B15)*Inputs!$F$5:$F$120*(((Inputs!$G$5:$G$120="moeda")+(Inputs!$G$5:$G$120="acoes"))*Inputs!$B$1+((Inputs!$G$5:$G$120&lt;&gt;"moeda")*(Inputs!$G$5:$G$120&lt;&gt;"acoes")))*INDEX(Inputs!$K$5:$AJ$120,0,MATCH(AH$2,Inputs!$K$4:$AJ$4,0)))))</f>
        <v>1777.4</v>
      </c>
      <c r="AI15" s="6">
        <f>IF(ISNA(MATCH(AI$2,Inputs!$K$4:$AJ$4,0)),NA(),IF(SUMPRODUCT((Inputs!$A$5:$A$120=$B15)*ISNUMBER(INDEX(Inputs!$K$5:$AJ$120,0,MATCH(AI$2,Inputs!$K$4:$AJ$4,0))))+SUMPRODUCT((Inputs!$C$5:$C$120=$B15)*ISNUMBER(INDEX(Inputs!$K$5:$AJ$120,0,MATCH(AI$2,Inputs!$K$4:$AJ$4,0))))+SUMPRODUCT((Inputs!$E$5:$E$120=$B15)*ISNUMBER(INDEX(Inputs!$K$5:$AJ$120,0,MATCH(AI$2,Inputs!$K$4:$AJ$4,0))))=0,NA(),SUMPRODUCT((Inputs!$A$5:$A$120=$B15)*Inputs!$B$5:$B$120*(((Inputs!$G$5:$G$120="moeda")+(Inputs!$G$5:$G$120="acoes"))*Inputs!$B$1+((Inputs!$G$5:$G$120&lt;&gt;"moeda")*(Inputs!$G$5:$G$120&lt;&gt;"acoes")))*INDEX(Inputs!$K$5:$AJ$120,0,MATCH(AI$2,Inputs!$K$4:$AJ$4,0)))+SUMPRODUCT((Inputs!$C$5:$C$120=$B15)*Inputs!$D$5:$D$120*(((Inputs!$G$5:$G$120="moeda")+(Inputs!$G$5:$G$120="acoes"))*Inputs!$B$1+((Inputs!$G$5:$G$120&lt;&gt;"moeda")*(Inputs!$G$5:$G$120&lt;&gt;"acoes")))*INDEX(Inputs!$K$5:$AJ$120,0,MATCH(AI$2,Inputs!$K$4:$AJ$4,0)))+SUMPRODUCT((Inputs!$E$5:$E$120=$B15)*Inputs!$F$5:$F$120*(((Inputs!$G$5:$G$120="moeda")+(Inputs!$G$5:$G$120="acoes"))*Inputs!$B$1+((Inputs!$G$5:$G$120&lt;&gt;"moeda")*(Inputs!$G$5:$G$120&lt;&gt;"acoes")))*INDEX(Inputs!$K$5:$AJ$120,0,MATCH(AI$2,Inputs!$K$4:$AJ$4,0)))))</f>
        <v>2387.9</v>
      </c>
      <c r="AJ15" s="6">
        <f>IF(ISNA(MATCH(AJ$2,Inputs!$K$4:$AJ$4,0)),NA(),IF(SUMPRODUCT((Inputs!$A$5:$A$120=$B15)*ISNUMBER(INDEX(Inputs!$K$5:$AJ$120,0,MATCH(AJ$2,Inputs!$K$4:$AJ$4,0))))+SUMPRODUCT((Inputs!$C$5:$C$120=$B15)*ISNUMBER(INDEX(Inputs!$K$5:$AJ$120,0,MATCH(AJ$2,Inputs!$K$4:$AJ$4,0))))+SUMPRODUCT((Inputs!$E$5:$E$120=$B15)*ISNUMBER(INDEX(Inputs!$K$5:$AJ$120,0,MATCH(AJ$2,Inputs!$K$4:$AJ$4,0))))=0,NA(),SUMPRODUCT((Inputs!$A$5:$A$120=$B15)*Inputs!$B$5:$B$120*(((Inputs!$G$5:$G$120="moeda")+(Inputs!$G$5:$G$120="acoes"))*Inputs!$B$1+((Inputs!$G$5:$G$120&lt;&gt;"moeda")*(Inputs!$G$5:$G$120&lt;&gt;"acoes")))*INDEX(Inputs!$K$5:$AJ$120,0,MATCH(AJ$2,Inputs!$K$4:$AJ$4,0)))+SUMPRODUCT((Inputs!$C$5:$C$120=$B15)*Inputs!$D$5:$D$120*(((Inputs!$G$5:$G$120="moeda")+(Inputs!$G$5:$G$120="acoes"))*Inputs!$B$1+((Inputs!$G$5:$G$120&lt;&gt;"moeda")*(Inputs!$G$5:$G$120&lt;&gt;"acoes")))*INDEX(Inputs!$K$5:$AJ$120,0,MATCH(AJ$2,Inputs!$K$4:$AJ$4,0)))+SUMPRODUCT((Inputs!$E$5:$E$120=$B15)*Inputs!$F$5:$F$120*(((Inputs!$G$5:$G$120="moeda")+(Inputs!$G$5:$G$120="acoes"))*Inputs!$B$1+((Inputs!$G$5:$G$120&lt;&gt;"moeda")*(Inputs!$G$5:$G$120&lt;&gt;"acoes")))*INDEX(Inputs!$K$5:$AJ$120,0,MATCH(AJ$2,Inputs!$K$4:$AJ$4,0)))))</f>
        <v>3630.3</v>
      </c>
      <c r="AK15" s="6">
        <f>IF(ISNA(MATCH(AK$2,Inputs!$K$4:$AJ$4,0)),NA(),IF(SUMPRODUCT((Inputs!$A$5:$A$120=$B15)*ISNUMBER(INDEX(Inputs!$K$5:$AJ$120,0,MATCH(AK$2,Inputs!$K$4:$AJ$4,0))))+SUMPRODUCT((Inputs!$C$5:$C$120=$B15)*ISNUMBER(INDEX(Inputs!$K$5:$AJ$120,0,MATCH(AK$2,Inputs!$K$4:$AJ$4,0))))+SUMPRODUCT((Inputs!$E$5:$E$120=$B15)*ISNUMBER(INDEX(Inputs!$K$5:$AJ$120,0,MATCH(AK$2,Inputs!$K$4:$AJ$4,0))))=0,NA(),SUMPRODUCT((Inputs!$A$5:$A$120=$B15)*Inputs!$B$5:$B$120*(((Inputs!$G$5:$G$120="moeda")+(Inputs!$G$5:$G$120="acoes"))*Inputs!$B$1+((Inputs!$G$5:$G$120&lt;&gt;"moeda")*(Inputs!$G$5:$G$120&lt;&gt;"acoes")))*INDEX(Inputs!$K$5:$AJ$120,0,MATCH(AK$2,Inputs!$K$4:$AJ$4,0)))+SUMPRODUCT((Inputs!$C$5:$C$120=$B15)*Inputs!$D$5:$D$120*(((Inputs!$G$5:$G$120="moeda")+(Inputs!$G$5:$G$120="acoes"))*Inputs!$B$1+((Inputs!$G$5:$G$120&lt;&gt;"moeda")*(Inputs!$G$5:$G$120&lt;&gt;"acoes")))*INDEX(Inputs!$K$5:$AJ$120,0,MATCH(AK$2,Inputs!$K$4:$AJ$4,0)))+SUMPRODUCT((Inputs!$E$5:$E$120=$B15)*Inputs!$F$5:$F$120*(((Inputs!$G$5:$G$120="moeda")+(Inputs!$G$5:$G$120="acoes"))*Inputs!$B$1+((Inputs!$G$5:$G$120&lt;&gt;"moeda")*(Inputs!$G$5:$G$120&lt;&gt;"acoes")))*INDEX(Inputs!$K$5:$AJ$120,0,MATCH(AK$2,Inputs!$K$4:$AJ$4,0)))))</f>
        <v>3681.3</v>
      </c>
      <c r="AL15" s="3">
        <f>AK15</f>
        <v>3681.3</v>
      </c>
    </row>
    <row r="16">
      <c r="B16" s="46" t="n">
        <v>12</v>
      </c>
      <c r="C16" s="26" t="inlineStr">
        <is>
          <t>Accounts receivable</t>
        </is>
      </c>
      <c r="D16" s="6">
        <f>IF(ISNA(MATCH(D$2,Inputs!$K$4:$AJ$4,0)),NA(),IF(SUMPRODUCT((Inputs!$A$5:$A$120=$B16)*ISNUMBER(INDEX(Inputs!$K$5:$AJ$120,0,MATCH(D$2,Inputs!$K$4:$AJ$4,0))))+SUMPRODUCT((Inputs!$C$5:$C$120=$B16)*ISNUMBER(INDEX(Inputs!$K$5:$AJ$120,0,MATCH(D$2,Inputs!$K$4:$AJ$4,0))))+SUMPRODUCT((Inputs!$E$5:$E$120=$B16)*ISNUMBER(INDEX(Inputs!$K$5:$AJ$120,0,MATCH(D$2,Inputs!$K$4:$AJ$4,0))))=0,NA(),SUMPRODUCT((Inputs!$A$5:$A$120=$B16)*Inputs!$B$5:$B$120*(((Inputs!$G$5:$G$120="moeda")+(Inputs!$G$5:$G$120="acoes"))*Inputs!$B$1+((Inputs!$G$5:$G$120&lt;&gt;"moeda")*(Inputs!$G$5:$G$120&lt;&gt;"acoes")))*INDEX(Inputs!$K$5:$AJ$120,0,MATCH(D$2,Inputs!$K$4:$AJ$4,0)))+SUMPRODUCT((Inputs!$C$5:$C$120=$B16)*Inputs!$D$5:$D$120*(((Inputs!$G$5:$G$120="moeda")+(Inputs!$G$5:$G$120="acoes"))*Inputs!$B$1+((Inputs!$G$5:$G$120&lt;&gt;"moeda")*(Inputs!$G$5:$G$120&lt;&gt;"acoes")))*INDEX(Inputs!$K$5:$AJ$120,0,MATCH(D$2,Inputs!$K$4:$AJ$4,0)))+SUMPRODUCT((Inputs!$E$5:$E$120=$B16)*Inputs!$F$5:$F$120*(((Inputs!$G$5:$G$120="moeda")+(Inputs!$G$5:$G$120="acoes"))*Inputs!$B$1+((Inputs!$G$5:$G$120&lt;&gt;"moeda")*(Inputs!$G$5:$G$120&lt;&gt;"acoes")))*INDEX(Inputs!$K$5:$AJ$120,0,MATCH(D$2,Inputs!$K$4:$AJ$4,0)))))</f>
        <v>5592.8</v>
      </c>
      <c r="E16" s="6">
        <f>IF(ISNA(MATCH(E$2,Inputs!$K$4:$AJ$4,0)),NA(),IF(SUMPRODUCT((Inputs!$A$5:$A$120=$B16)*ISNUMBER(INDEX(Inputs!$K$5:$AJ$120,0,MATCH(E$2,Inputs!$K$4:$AJ$4,0))))+SUMPRODUCT((Inputs!$C$5:$C$120=$B16)*ISNUMBER(INDEX(Inputs!$K$5:$AJ$120,0,MATCH(E$2,Inputs!$K$4:$AJ$4,0))))+SUMPRODUCT((Inputs!$E$5:$E$120=$B16)*ISNUMBER(INDEX(Inputs!$K$5:$AJ$120,0,MATCH(E$2,Inputs!$K$4:$AJ$4,0))))=0,NA(),SUMPRODUCT((Inputs!$A$5:$A$120=$B16)*Inputs!$B$5:$B$120*(((Inputs!$G$5:$G$120="moeda")+(Inputs!$G$5:$G$120="acoes"))*Inputs!$B$1+((Inputs!$G$5:$G$120&lt;&gt;"moeda")*(Inputs!$G$5:$G$120&lt;&gt;"acoes")))*INDEX(Inputs!$K$5:$AJ$120,0,MATCH(E$2,Inputs!$K$4:$AJ$4,0)))+SUMPRODUCT((Inputs!$C$5:$C$120=$B16)*Inputs!$D$5:$D$120*(((Inputs!$G$5:$G$120="moeda")+(Inputs!$G$5:$G$120="acoes"))*Inputs!$B$1+((Inputs!$G$5:$G$120&lt;&gt;"moeda")*(Inputs!$G$5:$G$120&lt;&gt;"acoes")))*INDEX(Inputs!$K$5:$AJ$120,0,MATCH(E$2,Inputs!$K$4:$AJ$4,0)))+SUMPRODUCT((Inputs!$E$5:$E$120=$B16)*Inputs!$F$5:$F$120*(((Inputs!$G$5:$G$120="moeda")+(Inputs!$G$5:$G$120="acoes"))*Inputs!$B$1+((Inputs!$G$5:$G$120&lt;&gt;"moeda")*(Inputs!$G$5:$G$120&lt;&gt;"acoes")))*INDEX(Inputs!$K$5:$AJ$120,0,MATCH(E$2,Inputs!$K$4:$AJ$4,0)))))</f>
        <v>5829.4</v>
      </c>
      <c r="F16" s="6">
        <f>IF(ISNA(MATCH(F$2,Inputs!$K$4:$AJ$4,0)),NA(),IF(SUMPRODUCT((Inputs!$A$5:$A$120=$B16)*ISNUMBER(INDEX(Inputs!$K$5:$AJ$120,0,MATCH(F$2,Inputs!$K$4:$AJ$4,0))))+SUMPRODUCT((Inputs!$C$5:$C$120=$B16)*ISNUMBER(INDEX(Inputs!$K$5:$AJ$120,0,MATCH(F$2,Inputs!$K$4:$AJ$4,0))))+SUMPRODUCT((Inputs!$E$5:$E$120=$B16)*ISNUMBER(INDEX(Inputs!$K$5:$AJ$120,0,MATCH(F$2,Inputs!$K$4:$AJ$4,0))))=0,NA(),SUMPRODUCT((Inputs!$A$5:$A$120=$B16)*Inputs!$B$5:$B$120*(((Inputs!$G$5:$G$120="moeda")+(Inputs!$G$5:$G$120="acoes"))*Inputs!$B$1+((Inputs!$G$5:$G$120&lt;&gt;"moeda")*(Inputs!$G$5:$G$120&lt;&gt;"acoes")))*INDEX(Inputs!$K$5:$AJ$120,0,MATCH(F$2,Inputs!$K$4:$AJ$4,0)))+SUMPRODUCT((Inputs!$C$5:$C$120=$B16)*Inputs!$D$5:$D$120*(((Inputs!$G$5:$G$120="moeda")+(Inputs!$G$5:$G$120="acoes"))*Inputs!$B$1+((Inputs!$G$5:$G$120&lt;&gt;"moeda")*(Inputs!$G$5:$G$120&lt;&gt;"acoes")))*INDEX(Inputs!$K$5:$AJ$120,0,MATCH(F$2,Inputs!$K$4:$AJ$4,0)))+SUMPRODUCT((Inputs!$E$5:$E$120=$B16)*Inputs!$F$5:$F$120*(((Inputs!$G$5:$G$120="moeda")+(Inputs!$G$5:$G$120="acoes"))*Inputs!$B$1+((Inputs!$G$5:$G$120&lt;&gt;"moeda")*(Inputs!$G$5:$G$120&lt;&gt;"acoes")))*INDEX(Inputs!$K$5:$AJ$120,0,MATCH(F$2,Inputs!$K$4:$AJ$4,0)))))</f>
        <v>5914.3</v>
      </c>
      <c r="G16" s="6">
        <f>IF(ISNA(MATCH(G$2,Inputs!$K$4:$AJ$4,0)),NA(),IF(SUMPRODUCT((Inputs!$A$5:$A$120=$B16)*ISNUMBER(INDEX(Inputs!$K$5:$AJ$120,0,MATCH(G$2,Inputs!$K$4:$AJ$4,0))))+SUMPRODUCT((Inputs!$C$5:$C$120=$B16)*ISNUMBER(INDEX(Inputs!$K$5:$AJ$120,0,MATCH(G$2,Inputs!$K$4:$AJ$4,0))))+SUMPRODUCT((Inputs!$E$5:$E$120=$B16)*ISNUMBER(INDEX(Inputs!$K$5:$AJ$120,0,MATCH(G$2,Inputs!$K$4:$AJ$4,0))))=0,NA(),SUMPRODUCT((Inputs!$A$5:$A$120=$B16)*Inputs!$B$5:$B$120*(((Inputs!$G$5:$G$120="moeda")+(Inputs!$G$5:$G$120="acoes"))*Inputs!$B$1+((Inputs!$G$5:$G$120&lt;&gt;"moeda")*(Inputs!$G$5:$G$120&lt;&gt;"acoes")))*INDEX(Inputs!$K$5:$AJ$120,0,MATCH(G$2,Inputs!$K$4:$AJ$4,0)))+SUMPRODUCT((Inputs!$C$5:$C$120=$B16)*Inputs!$D$5:$D$120*(((Inputs!$G$5:$G$120="moeda")+(Inputs!$G$5:$G$120="acoes"))*Inputs!$B$1+((Inputs!$G$5:$G$120&lt;&gt;"moeda")*(Inputs!$G$5:$G$120&lt;&gt;"acoes")))*INDEX(Inputs!$K$5:$AJ$120,0,MATCH(G$2,Inputs!$K$4:$AJ$4,0)))+SUMPRODUCT((Inputs!$E$5:$E$120=$B16)*Inputs!$F$5:$F$120*(((Inputs!$G$5:$G$120="moeda")+(Inputs!$G$5:$G$120="acoes"))*Inputs!$B$1+((Inputs!$G$5:$G$120&lt;&gt;"moeda")*(Inputs!$G$5:$G$120&lt;&gt;"acoes")))*INDEX(Inputs!$K$5:$AJ$120,0,MATCH(G$2,Inputs!$K$4:$AJ$4,0)))))</f>
        <v>6672.8</v>
      </c>
      <c r="H16" s="3">
        <f>G16</f>
        <v>6672.8</v>
      </c>
      <c r="I16" s="6">
        <f>IF(ISNA(MATCH(I$2,Inputs!$K$4:$AJ$4,0)),NA(),IF(SUMPRODUCT((Inputs!$A$5:$A$120=$B16)*ISNUMBER(INDEX(Inputs!$K$5:$AJ$120,0,MATCH(I$2,Inputs!$K$4:$AJ$4,0))))+SUMPRODUCT((Inputs!$C$5:$C$120=$B16)*ISNUMBER(INDEX(Inputs!$K$5:$AJ$120,0,MATCH(I$2,Inputs!$K$4:$AJ$4,0))))+SUMPRODUCT((Inputs!$E$5:$E$120=$B16)*ISNUMBER(INDEX(Inputs!$K$5:$AJ$120,0,MATCH(I$2,Inputs!$K$4:$AJ$4,0))))=0,NA(),SUMPRODUCT((Inputs!$A$5:$A$120=$B16)*Inputs!$B$5:$B$120*(((Inputs!$G$5:$G$120="moeda")+(Inputs!$G$5:$G$120="acoes"))*Inputs!$B$1+((Inputs!$G$5:$G$120&lt;&gt;"moeda")*(Inputs!$G$5:$G$120&lt;&gt;"acoes")))*INDEX(Inputs!$K$5:$AJ$120,0,MATCH(I$2,Inputs!$K$4:$AJ$4,0)))+SUMPRODUCT((Inputs!$C$5:$C$120=$B16)*Inputs!$D$5:$D$120*(((Inputs!$G$5:$G$120="moeda")+(Inputs!$G$5:$G$120="acoes"))*Inputs!$B$1+((Inputs!$G$5:$G$120&lt;&gt;"moeda")*(Inputs!$G$5:$G$120&lt;&gt;"acoes")))*INDEX(Inputs!$K$5:$AJ$120,0,MATCH(I$2,Inputs!$K$4:$AJ$4,0)))+SUMPRODUCT((Inputs!$E$5:$E$120=$B16)*Inputs!$F$5:$F$120*(((Inputs!$G$5:$G$120="moeda")+(Inputs!$G$5:$G$120="acoes"))*Inputs!$B$1+((Inputs!$G$5:$G$120&lt;&gt;"moeda")*(Inputs!$G$5:$G$120&lt;&gt;"acoes")))*INDEX(Inputs!$K$5:$AJ$120,0,MATCH(I$2,Inputs!$K$4:$AJ$4,0)))))</f>
        <v>6322.5</v>
      </c>
      <c r="J16" s="6">
        <f>IF(ISNA(MATCH(J$2,Inputs!$K$4:$AJ$4,0)),NA(),IF(SUMPRODUCT((Inputs!$A$5:$A$120=$B16)*ISNUMBER(INDEX(Inputs!$K$5:$AJ$120,0,MATCH(J$2,Inputs!$K$4:$AJ$4,0))))+SUMPRODUCT((Inputs!$C$5:$C$120=$B16)*ISNUMBER(INDEX(Inputs!$K$5:$AJ$120,0,MATCH(J$2,Inputs!$K$4:$AJ$4,0))))+SUMPRODUCT((Inputs!$E$5:$E$120=$B16)*ISNUMBER(INDEX(Inputs!$K$5:$AJ$120,0,MATCH(J$2,Inputs!$K$4:$AJ$4,0))))=0,NA(),SUMPRODUCT((Inputs!$A$5:$A$120=$B16)*Inputs!$B$5:$B$120*(((Inputs!$G$5:$G$120="moeda")+(Inputs!$G$5:$G$120="acoes"))*Inputs!$B$1+((Inputs!$G$5:$G$120&lt;&gt;"moeda")*(Inputs!$G$5:$G$120&lt;&gt;"acoes")))*INDEX(Inputs!$K$5:$AJ$120,0,MATCH(J$2,Inputs!$K$4:$AJ$4,0)))+SUMPRODUCT((Inputs!$C$5:$C$120=$B16)*Inputs!$D$5:$D$120*(((Inputs!$G$5:$G$120="moeda")+(Inputs!$G$5:$G$120="acoes"))*Inputs!$B$1+((Inputs!$G$5:$G$120&lt;&gt;"moeda")*(Inputs!$G$5:$G$120&lt;&gt;"acoes")))*INDEX(Inputs!$K$5:$AJ$120,0,MATCH(J$2,Inputs!$K$4:$AJ$4,0)))+SUMPRODUCT((Inputs!$E$5:$E$120=$B16)*Inputs!$F$5:$F$120*(((Inputs!$G$5:$G$120="moeda")+(Inputs!$G$5:$G$120="acoes"))*Inputs!$B$1+((Inputs!$G$5:$G$120&lt;&gt;"moeda")*(Inputs!$G$5:$G$120&lt;&gt;"acoes")))*INDEX(Inputs!$K$5:$AJ$120,0,MATCH(J$2,Inputs!$K$4:$AJ$4,0)))))</f>
        <v>6364.5</v>
      </c>
      <c r="K16" s="6">
        <f>IF(ISNA(MATCH(K$2,Inputs!$K$4:$AJ$4,0)),NA(),IF(SUMPRODUCT((Inputs!$A$5:$A$120=$B16)*ISNUMBER(INDEX(Inputs!$K$5:$AJ$120,0,MATCH(K$2,Inputs!$K$4:$AJ$4,0))))+SUMPRODUCT((Inputs!$C$5:$C$120=$B16)*ISNUMBER(INDEX(Inputs!$K$5:$AJ$120,0,MATCH(K$2,Inputs!$K$4:$AJ$4,0))))+SUMPRODUCT((Inputs!$E$5:$E$120=$B16)*ISNUMBER(INDEX(Inputs!$K$5:$AJ$120,0,MATCH(K$2,Inputs!$K$4:$AJ$4,0))))=0,NA(),SUMPRODUCT((Inputs!$A$5:$A$120=$B16)*Inputs!$B$5:$B$120*(((Inputs!$G$5:$G$120="moeda")+(Inputs!$G$5:$G$120="acoes"))*Inputs!$B$1+((Inputs!$G$5:$G$120&lt;&gt;"moeda")*(Inputs!$G$5:$G$120&lt;&gt;"acoes")))*INDEX(Inputs!$K$5:$AJ$120,0,MATCH(K$2,Inputs!$K$4:$AJ$4,0)))+SUMPRODUCT((Inputs!$C$5:$C$120=$B16)*Inputs!$D$5:$D$120*(((Inputs!$G$5:$G$120="moeda")+(Inputs!$G$5:$G$120="acoes"))*Inputs!$B$1+((Inputs!$G$5:$G$120&lt;&gt;"moeda")*(Inputs!$G$5:$G$120&lt;&gt;"acoes")))*INDEX(Inputs!$K$5:$AJ$120,0,MATCH(K$2,Inputs!$K$4:$AJ$4,0)))+SUMPRODUCT((Inputs!$E$5:$E$120=$B16)*Inputs!$F$5:$F$120*(((Inputs!$G$5:$G$120="moeda")+(Inputs!$G$5:$G$120="acoes"))*Inputs!$B$1+((Inputs!$G$5:$G$120&lt;&gt;"moeda")*(Inputs!$G$5:$G$120&lt;&gt;"acoes")))*INDEX(Inputs!$K$5:$AJ$120,0,MATCH(K$2,Inputs!$K$4:$AJ$4,0)))))</f>
        <v>6715.3</v>
      </c>
      <c r="L16" s="6">
        <f>IF(ISNA(MATCH(L$2,Inputs!$K$4:$AJ$4,0)),NA(),IF(SUMPRODUCT((Inputs!$A$5:$A$120=$B16)*ISNUMBER(INDEX(Inputs!$K$5:$AJ$120,0,MATCH(L$2,Inputs!$K$4:$AJ$4,0))))+SUMPRODUCT((Inputs!$C$5:$C$120=$B16)*ISNUMBER(INDEX(Inputs!$K$5:$AJ$120,0,MATCH(L$2,Inputs!$K$4:$AJ$4,0))))+SUMPRODUCT((Inputs!$E$5:$E$120=$B16)*ISNUMBER(INDEX(Inputs!$K$5:$AJ$120,0,MATCH(L$2,Inputs!$K$4:$AJ$4,0))))=0,NA(),SUMPRODUCT((Inputs!$A$5:$A$120=$B16)*Inputs!$B$5:$B$120*(((Inputs!$G$5:$G$120="moeda")+(Inputs!$G$5:$G$120="acoes"))*Inputs!$B$1+((Inputs!$G$5:$G$120&lt;&gt;"moeda")*(Inputs!$G$5:$G$120&lt;&gt;"acoes")))*INDEX(Inputs!$K$5:$AJ$120,0,MATCH(L$2,Inputs!$K$4:$AJ$4,0)))+SUMPRODUCT((Inputs!$C$5:$C$120=$B16)*Inputs!$D$5:$D$120*(((Inputs!$G$5:$G$120="moeda")+(Inputs!$G$5:$G$120="acoes"))*Inputs!$B$1+((Inputs!$G$5:$G$120&lt;&gt;"moeda")*(Inputs!$G$5:$G$120&lt;&gt;"acoes")))*INDEX(Inputs!$K$5:$AJ$120,0,MATCH(L$2,Inputs!$K$4:$AJ$4,0)))+SUMPRODUCT((Inputs!$E$5:$E$120=$B16)*Inputs!$F$5:$F$120*(((Inputs!$G$5:$G$120="moeda")+(Inputs!$G$5:$G$120="acoes"))*Inputs!$B$1+((Inputs!$G$5:$G$120&lt;&gt;"moeda")*(Inputs!$G$5:$G$120&lt;&gt;"acoes")))*INDEX(Inputs!$K$5:$AJ$120,0,MATCH(L$2,Inputs!$K$4:$AJ$4,0)))))</f>
        <v>6896</v>
      </c>
      <c r="M16" s="3">
        <f>L16</f>
        <v>6896</v>
      </c>
      <c r="N16" s="6">
        <f>IF(ISNA(MATCH(N$2,Inputs!$K$4:$AJ$4,0)),NA(),IF(SUMPRODUCT((Inputs!$A$5:$A$120=$B16)*ISNUMBER(INDEX(Inputs!$K$5:$AJ$120,0,MATCH(N$2,Inputs!$K$4:$AJ$4,0))))+SUMPRODUCT((Inputs!$C$5:$C$120=$B16)*ISNUMBER(INDEX(Inputs!$K$5:$AJ$120,0,MATCH(N$2,Inputs!$K$4:$AJ$4,0))))+SUMPRODUCT((Inputs!$E$5:$E$120=$B16)*ISNUMBER(INDEX(Inputs!$K$5:$AJ$120,0,MATCH(N$2,Inputs!$K$4:$AJ$4,0))))=0,NA(),SUMPRODUCT((Inputs!$A$5:$A$120=$B16)*Inputs!$B$5:$B$120*(((Inputs!$G$5:$G$120="moeda")+(Inputs!$G$5:$G$120="acoes"))*Inputs!$B$1+((Inputs!$G$5:$G$120&lt;&gt;"moeda")*(Inputs!$G$5:$G$120&lt;&gt;"acoes")))*INDEX(Inputs!$K$5:$AJ$120,0,MATCH(N$2,Inputs!$K$4:$AJ$4,0)))+SUMPRODUCT((Inputs!$C$5:$C$120=$B16)*Inputs!$D$5:$D$120*(((Inputs!$G$5:$G$120="moeda")+(Inputs!$G$5:$G$120="acoes"))*Inputs!$B$1+((Inputs!$G$5:$G$120&lt;&gt;"moeda")*(Inputs!$G$5:$G$120&lt;&gt;"acoes")))*INDEX(Inputs!$K$5:$AJ$120,0,MATCH(N$2,Inputs!$K$4:$AJ$4,0)))+SUMPRODUCT((Inputs!$E$5:$E$120=$B16)*Inputs!$F$5:$F$120*(((Inputs!$G$5:$G$120="moeda")+(Inputs!$G$5:$G$120="acoes"))*Inputs!$B$1+((Inputs!$G$5:$G$120&lt;&gt;"moeda")*(Inputs!$G$5:$G$120&lt;&gt;"acoes")))*INDEX(Inputs!$K$5:$AJ$120,0,MATCH(N$2,Inputs!$K$4:$AJ$4,0)))))</f>
        <v>7526.2</v>
      </c>
      <c r="O16" s="6">
        <f>IF(ISNA(MATCH(O$2,Inputs!$K$4:$AJ$4,0)),NA(),IF(SUMPRODUCT((Inputs!$A$5:$A$120=$B16)*ISNUMBER(INDEX(Inputs!$K$5:$AJ$120,0,MATCH(O$2,Inputs!$K$4:$AJ$4,0))))+SUMPRODUCT((Inputs!$C$5:$C$120=$B16)*ISNUMBER(INDEX(Inputs!$K$5:$AJ$120,0,MATCH(O$2,Inputs!$K$4:$AJ$4,0))))+SUMPRODUCT((Inputs!$E$5:$E$120=$B16)*ISNUMBER(INDEX(Inputs!$K$5:$AJ$120,0,MATCH(O$2,Inputs!$K$4:$AJ$4,0))))=0,NA(),SUMPRODUCT((Inputs!$A$5:$A$120=$B16)*Inputs!$B$5:$B$120*(((Inputs!$G$5:$G$120="moeda")+(Inputs!$G$5:$G$120="acoes"))*Inputs!$B$1+((Inputs!$G$5:$G$120&lt;&gt;"moeda")*(Inputs!$G$5:$G$120&lt;&gt;"acoes")))*INDEX(Inputs!$K$5:$AJ$120,0,MATCH(O$2,Inputs!$K$4:$AJ$4,0)))+SUMPRODUCT((Inputs!$C$5:$C$120=$B16)*Inputs!$D$5:$D$120*(((Inputs!$G$5:$G$120="moeda")+(Inputs!$G$5:$G$120="acoes"))*Inputs!$B$1+((Inputs!$G$5:$G$120&lt;&gt;"moeda")*(Inputs!$G$5:$G$120&lt;&gt;"acoes")))*INDEX(Inputs!$K$5:$AJ$120,0,MATCH(O$2,Inputs!$K$4:$AJ$4,0)))+SUMPRODUCT((Inputs!$E$5:$E$120=$B16)*Inputs!$F$5:$F$120*(((Inputs!$G$5:$G$120="moeda")+(Inputs!$G$5:$G$120="acoes"))*Inputs!$B$1+((Inputs!$G$5:$G$120&lt;&gt;"moeda")*(Inputs!$G$5:$G$120&lt;&gt;"acoes")))*INDEX(Inputs!$K$5:$AJ$120,0,MATCH(O$2,Inputs!$K$4:$AJ$4,0)))))</f>
        <v>7516.1</v>
      </c>
      <c r="P16" s="6">
        <f>IF(ISNA(MATCH(P$2,Inputs!$K$4:$AJ$4,0)),NA(),IF(SUMPRODUCT((Inputs!$A$5:$A$120=$B16)*ISNUMBER(INDEX(Inputs!$K$5:$AJ$120,0,MATCH(P$2,Inputs!$K$4:$AJ$4,0))))+SUMPRODUCT((Inputs!$C$5:$C$120=$B16)*ISNUMBER(INDEX(Inputs!$K$5:$AJ$120,0,MATCH(P$2,Inputs!$K$4:$AJ$4,0))))+SUMPRODUCT((Inputs!$E$5:$E$120=$B16)*ISNUMBER(INDEX(Inputs!$K$5:$AJ$120,0,MATCH(P$2,Inputs!$K$4:$AJ$4,0))))=0,NA(),SUMPRODUCT((Inputs!$A$5:$A$120=$B16)*Inputs!$B$5:$B$120*(((Inputs!$G$5:$G$120="moeda")+(Inputs!$G$5:$G$120="acoes"))*Inputs!$B$1+((Inputs!$G$5:$G$120&lt;&gt;"moeda")*(Inputs!$G$5:$G$120&lt;&gt;"acoes")))*INDEX(Inputs!$K$5:$AJ$120,0,MATCH(P$2,Inputs!$K$4:$AJ$4,0)))+SUMPRODUCT((Inputs!$C$5:$C$120=$B16)*Inputs!$D$5:$D$120*(((Inputs!$G$5:$G$120="moeda")+(Inputs!$G$5:$G$120="acoes"))*Inputs!$B$1+((Inputs!$G$5:$G$120&lt;&gt;"moeda")*(Inputs!$G$5:$G$120&lt;&gt;"acoes")))*INDEX(Inputs!$K$5:$AJ$120,0,MATCH(P$2,Inputs!$K$4:$AJ$4,0)))+SUMPRODUCT((Inputs!$E$5:$E$120=$B16)*Inputs!$F$5:$F$120*(((Inputs!$G$5:$G$120="moeda")+(Inputs!$G$5:$G$120="acoes"))*Inputs!$B$1+((Inputs!$G$5:$G$120&lt;&gt;"moeda")*(Inputs!$G$5:$G$120&lt;&gt;"acoes")))*INDEX(Inputs!$K$5:$AJ$120,0,MATCH(P$2,Inputs!$K$4:$AJ$4,0)))))</f>
        <v>8167.1</v>
      </c>
      <c r="Q16" s="6">
        <f>IF(ISNA(MATCH(Q$2,Inputs!$K$4:$AJ$4,0)),NA(),IF(SUMPRODUCT((Inputs!$A$5:$A$120=$B16)*ISNUMBER(INDEX(Inputs!$K$5:$AJ$120,0,MATCH(Q$2,Inputs!$K$4:$AJ$4,0))))+SUMPRODUCT((Inputs!$C$5:$C$120=$B16)*ISNUMBER(INDEX(Inputs!$K$5:$AJ$120,0,MATCH(Q$2,Inputs!$K$4:$AJ$4,0))))+SUMPRODUCT((Inputs!$E$5:$E$120=$B16)*ISNUMBER(INDEX(Inputs!$K$5:$AJ$120,0,MATCH(Q$2,Inputs!$K$4:$AJ$4,0))))=0,NA(),SUMPRODUCT((Inputs!$A$5:$A$120=$B16)*Inputs!$B$5:$B$120*(((Inputs!$G$5:$G$120="moeda")+(Inputs!$G$5:$G$120="acoes"))*Inputs!$B$1+((Inputs!$G$5:$G$120&lt;&gt;"moeda")*(Inputs!$G$5:$G$120&lt;&gt;"acoes")))*INDEX(Inputs!$K$5:$AJ$120,0,MATCH(Q$2,Inputs!$K$4:$AJ$4,0)))+SUMPRODUCT((Inputs!$C$5:$C$120=$B16)*Inputs!$D$5:$D$120*(((Inputs!$G$5:$G$120="moeda")+(Inputs!$G$5:$G$120="acoes"))*Inputs!$B$1+((Inputs!$G$5:$G$120&lt;&gt;"moeda")*(Inputs!$G$5:$G$120&lt;&gt;"acoes")))*INDEX(Inputs!$K$5:$AJ$120,0,MATCH(Q$2,Inputs!$K$4:$AJ$4,0)))+SUMPRODUCT((Inputs!$E$5:$E$120=$B16)*Inputs!$F$5:$F$120*(((Inputs!$G$5:$G$120="moeda")+(Inputs!$G$5:$G$120="acoes"))*Inputs!$B$1+((Inputs!$G$5:$G$120&lt;&gt;"moeda")*(Inputs!$G$5:$G$120&lt;&gt;"acoes")))*INDEX(Inputs!$K$5:$AJ$120,0,MATCH(Q$2,Inputs!$K$4:$AJ$4,0)))))</f>
        <v>9090.5</v>
      </c>
      <c r="R16" s="3">
        <f>Q16</f>
        <v>9090.5</v>
      </c>
      <c r="S16" s="6">
        <f>IF(ISNA(MATCH(S$2,Inputs!$K$4:$AJ$4,0)),NA(),IF(SUMPRODUCT((Inputs!$A$5:$A$120=$B16)*ISNUMBER(INDEX(Inputs!$K$5:$AJ$120,0,MATCH(S$2,Inputs!$K$4:$AJ$4,0))))+SUMPRODUCT((Inputs!$C$5:$C$120=$B16)*ISNUMBER(INDEX(Inputs!$K$5:$AJ$120,0,MATCH(S$2,Inputs!$K$4:$AJ$4,0))))+SUMPRODUCT((Inputs!$E$5:$E$120=$B16)*ISNUMBER(INDEX(Inputs!$K$5:$AJ$120,0,MATCH(S$2,Inputs!$K$4:$AJ$4,0))))=0,NA(),SUMPRODUCT((Inputs!$A$5:$A$120=$B16)*Inputs!$B$5:$B$120*(((Inputs!$G$5:$G$120="moeda")+(Inputs!$G$5:$G$120="acoes"))*Inputs!$B$1+((Inputs!$G$5:$G$120&lt;&gt;"moeda")*(Inputs!$G$5:$G$120&lt;&gt;"acoes")))*INDEX(Inputs!$K$5:$AJ$120,0,MATCH(S$2,Inputs!$K$4:$AJ$4,0)))+SUMPRODUCT((Inputs!$C$5:$C$120=$B16)*Inputs!$D$5:$D$120*(((Inputs!$G$5:$G$120="moeda")+(Inputs!$G$5:$G$120="acoes"))*Inputs!$B$1+((Inputs!$G$5:$G$120&lt;&gt;"moeda")*(Inputs!$G$5:$G$120&lt;&gt;"acoes")))*INDEX(Inputs!$K$5:$AJ$120,0,MATCH(S$2,Inputs!$K$4:$AJ$4,0)))+SUMPRODUCT((Inputs!$E$5:$E$120=$B16)*Inputs!$F$5:$F$120*(((Inputs!$G$5:$G$120="moeda")+(Inputs!$G$5:$G$120="acoes"))*Inputs!$B$1+((Inputs!$G$5:$G$120&lt;&gt;"moeda")*(Inputs!$G$5:$G$120&lt;&gt;"acoes")))*INDEX(Inputs!$K$5:$AJ$120,0,MATCH(S$2,Inputs!$K$4:$AJ$4,0)))))</f>
        <v>7885.6</v>
      </c>
      <c r="T16" s="6">
        <f>IF(ISNA(MATCH(T$2,Inputs!$K$4:$AJ$4,0)),NA(),IF(SUMPRODUCT((Inputs!$A$5:$A$120=$B16)*ISNUMBER(INDEX(Inputs!$K$5:$AJ$120,0,MATCH(T$2,Inputs!$K$4:$AJ$4,0))))+SUMPRODUCT((Inputs!$C$5:$C$120=$B16)*ISNUMBER(INDEX(Inputs!$K$5:$AJ$120,0,MATCH(T$2,Inputs!$K$4:$AJ$4,0))))+SUMPRODUCT((Inputs!$E$5:$E$120=$B16)*ISNUMBER(INDEX(Inputs!$K$5:$AJ$120,0,MATCH(T$2,Inputs!$K$4:$AJ$4,0))))=0,NA(),SUMPRODUCT((Inputs!$A$5:$A$120=$B16)*Inputs!$B$5:$B$120*(((Inputs!$G$5:$G$120="moeda")+(Inputs!$G$5:$G$120="acoes"))*Inputs!$B$1+((Inputs!$G$5:$G$120&lt;&gt;"moeda")*(Inputs!$G$5:$G$120&lt;&gt;"acoes")))*INDEX(Inputs!$K$5:$AJ$120,0,MATCH(T$2,Inputs!$K$4:$AJ$4,0)))+SUMPRODUCT((Inputs!$C$5:$C$120=$B16)*Inputs!$D$5:$D$120*(((Inputs!$G$5:$G$120="moeda")+(Inputs!$G$5:$G$120="acoes"))*Inputs!$B$1+((Inputs!$G$5:$G$120&lt;&gt;"moeda")*(Inputs!$G$5:$G$120&lt;&gt;"acoes")))*INDEX(Inputs!$K$5:$AJ$120,0,MATCH(T$2,Inputs!$K$4:$AJ$4,0)))+SUMPRODUCT((Inputs!$E$5:$E$120=$B16)*Inputs!$F$5:$F$120*(((Inputs!$G$5:$G$120="moeda")+(Inputs!$G$5:$G$120="acoes"))*Inputs!$B$1+((Inputs!$G$5:$G$120&lt;&gt;"moeda")*(Inputs!$G$5:$G$120&lt;&gt;"acoes")))*INDEX(Inputs!$K$5:$AJ$120,0,MATCH(T$2,Inputs!$K$4:$AJ$4,0)))))</f>
        <v>11027.9</v>
      </c>
      <c r="U16" s="6">
        <f>IF(ISNA(MATCH(U$2,Inputs!$K$4:$AJ$4,0)),NA(),IF(SUMPRODUCT((Inputs!$A$5:$A$120=$B16)*ISNUMBER(INDEX(Inputs!$K$5:$AJ$120,0,MATCH(U$2,Inputs!$K$4:$AJ$4,0))))+SUMPRODUCT((Inputs!$C$5:$C$120=$B16)*ISNUMBER(INDEX(Inputs!$K$5:$AJ$120,0,MATCH(U$2,Inputs!$K$4:$AJ$4,0))))+SUMPRODUCT((Inputs!$E$5:$E$120=$B16)*ISNUMBER(INDEX(Inputs!$K$5:$AJ$120,0,MATCH(U$2,Inputs!$K$4:$AJ$4,0))))=0,NA(),SUMPRODUCT((Inputs!$A$5:$A$120=$B16)*Inputs!$B$5:$B$120*(((Inputs!$G$5:$G$120="moeda")+(Inputs!$G$5:$G$120="acoes"))*Inputs!$B$1+((Inputs!$G$5:$G$120&lt;&gt;"moeda")*(Inputs!$G$5:$G$120&lt;&gt;"acoes")))*INDEX(Inputs!$K$5:$AJ$120,0,MATCH(U$2,Inputs!$K$4:$AJ$4,0)))+SUMPRODUCT((Inputs!$C$5:$C$120=$B16)*Inputs!$D$5:$D$120*(((Inputs!$G$5:$G$120="moeda")+(Inputs!$G$5:$G$120="acoes"))*Inputs!$B$1+((Inputs!$G$5:$G$120&lt;&gt;"moeda")*(Inputs!$G$5:$G$120&lt;&gt;"acoes")))*INDEX(Inputs!$K$5:$AJ$120,0,MATCH(U$2,Inputs!$K$4:$AJ$4,0)))+SUMPRODUCT((Inputs!$E$5:$E$120=$B16)*Inputs!$F$5:$F$120*(((Inputs!$G$5:$G$120="moeda")+(Inputs!$G$5:$G$120="acoes"))*Inputs!$B$1+((Inputs!$G$5:$G$120&lt;&gt;"moeda")*(Inputs!$G$5:$G$120&lt;&gt;"acoes")))*INDEX(Inputs!$K$5:$AJ$120,0,MATCH(U$2,Inputs!$K$4:$AJ$4,0)))))</f>
        <v>10294.8</v>
      </c>
      <c r="V16" s="6">
        <f>IF(ISNA(MATCH(V$2,Inputs!$K$4:$AJ$4,0)),NA(),IF(SUMPRODUCT((Inputs!$A$5:$A$120=$B16)*ISNUMBER(INDEX(Inputs!$K$5:$AJ$120,0,MATCH(V$2,Inputs!$K$4:$AJ$4,0))))+SUMPRODUCT((Inputs!$C$5:$C$120=$B16)*ISNUMBER(INDEX(Inputs!$K$5:$AJ$120,0,MATCH(V$2,Inputs!$K$4:$AJ$4,0))))+SUMPRODUCT((Inputs!$E$5:$E$120=$B16)*ISNUMBER(INDEX(Inputs!$K$5:$AJ$120,0,MATCH(V$2,Inputs!$K$4:$AJ$4,0))))=0,NA(),SUMPRODUCT((Inputs!$A$5:$A$120=$B16)*Inputs!$B$5:$B$120*(((Inputs!$G$5:$G$120="moeda")+(Inputs!$G$5:$G$120="acoes"))*Inputs!$B$1+((Inputs!$G$5:$G$120&lt;&gt;"moeda")*(Inputs!$G$5:$G$120&lt;&gt;"acoes")))*INDEX(Inputs!$K$5:$AJ$120,0,MATCH(V$2,Inputs!$K$4:$AJ$4,0)))+SUMPRODUCT((Inputs!$C$5:$C$120=$B16)*Inputs!$D$5:$D$120*(((Inputs!$G$5:$G$120="moeda")+(Inputs!$G$5:$G$120="acoes"))*Inputs!$B$1+((Inputs!$G$5:$G$120&lt;&gt;"moeda")*(Inputs!$G$5:$G$120&lt;&gt;"acoes")))*INDEX(Inputs!$K$5:$AJ$120,0,MATCH(V$2,Inputs!$K$4:$AJ$4,0)))+SUMPRODUCT((Inputs!$E$5:$E$120=$B16)*Inputs!$F$5:$F$120*(((Inputs!$G$5:$G$120="moeda")+(Inputs!$G$5:$G$120="acoes"))*Inputs!$B$1+((Inputs!$G$5:$G$120&lt;&gt;"moeda")*(Inputs!$G$5:$G$120&lt;&gt;"acoes")))*INDEX(Inputs!$K$5:$AJ$120,0,MATCH(V$2,Inputs!$K$4:$AJ$4,0)))))</f>
        <v>11005.7</v>
      </c>
      <c r="W16" s="3">
        <f>V16</f>
        <v>11005.7</v>
      </c>
      <c r="X16" s="6">
        <f>IF(ISNA(MATCH(X$2,Inputs!$K$4:$AJ$4,0)),NA(),IF(SUMPRODUCT((Inputs!$A$5:$A$120=$B16)*ISNUMBER(INDEX(Inputs!$K$5:$AJ$120,0,MATCH(X$2,Inputs!$K$4:$AJ$4,0))))+SUMPRODUCT((Inputs!$C$5:$C$120=$B16)*ISNUMBER(INDEX(Inputs!$K$5:$AJ$120,0,MATCH(X$2,Inputs!$K$4:$AJ$4,0))))+SUMPRODUCT((Inputs!$E$5:$E$120=$B16)*ISNUMBER(INDEX(Inputs!$K$5:$AJ$120,0,MATCH(X$2,Inputs!$K$4:$AJ$4,0))))=0,NA(),SUMPRODUCT((Inputs!$A$5:$A$120=$B16)*Inputs!$B$5:$B$120*(((Inputs!$G$5:$G$120="moeda")+(Inputs!$G$5:$G$120="acoes"))*Inputs!$B$1+((Inputs!$G$5:$G$120&lt;&gt;"moeda")*(Inputs!$G$5:$G$120&lt;&gt;"acoes")))*INDEX(Inputs!$K$5:$AJ$120,0,MATCH(X$2,Inputs!$K$4:$AJ$4,0)))+SUMPRODUCT((Inputs!$C$5:$C$120=$B16)*Inputs!$D$5:$D$120*(((Inputs!$G$5:$G$120="moeda")+(Inputs!$G$5:$G$120="acoes"))*Inputs!$B$1+((Inputs!$G$5:$G$120&lt;&gt;"moeda")*(Inputs!$G$5:$G$120&lt;&gt;"acoes")))*INDEX(Inputs!$K$5:$AJ$120,0,MATCH(X$2,Inputs!$K$4:$AJ$4,0)))+SUMPRODUCT((Inputs!$E$5:$E$120=$B16)*Inputs!$F$5:$F$120*(((Inputs!$G$5:$G$120="moeda")+(Inputs!$G$5:$G$120="acoes"))*Inputs!$B$1+((Inputs!$G$5:$G$120&lt;&gt;"moeda")*(Inputs!$G$5:$G$120&lt;&gt;"acoes")))*INDEX(Inputs!$K$5:$AJ$120,0,MATCH(X$2,Inputs!$K$4:$AJ$4,0)))))</f>
        <v>12036.6</v>
      </c>
      <c r="Y16" s="6">
        <f>IF(ISNA(MATCH(Y$2,Inputs!$K$4:$AJ$4,0)),NA(),IF(SUMPRODUCT((Inputs!$A$5:$A$120=$B16)*ISNUMBER(INDEX(Inputs!$K$5:$AJ$120,0,MATCH(Y$2,Inputs!$K$4:$AJ$4,0))))+SUMPRODUCT((Inputs!$C$5:$C$120=$B16)*ISNUMBER(INDEX(Inputs!$K$5:$AJ$120,0,MATCH(Y$2,Inputs!$K$4:$AJ$4,0))))+SUMPRODUCT((Inputs!$E$5:$E$120=$B16)*ISNUMBER(INDEX(Inputs!$K$5:$AJ$120,0,MATCH(Y$2,Inputs!$K$4:$AJ$4,0))))=0,NA(),SUMPRODUCT((Inputs!$A$5:$A$120=$B16)*Inputs!$B$5:$B$120*(((Inputs!$G$5:$G$120="moeda")+(Inputs!$G$5:$G$120="acoes"))*Inputs!$B$1+((Inputs!$G$5:$G$120&lt;&gt;"moeda")*(Inputs!$G$5:$G$120&lt;&gt;"acoes")))*INDEX(Inputs!$K$5:$AJ$120,0,MATCH(Y$2,Inputs!$K$4:$AJ$4,0)))+SUMPRODUCT((Inputs!$C$5:$C$120=$B16)*Inputs!$D$5:$D$120*(((Inputs!$G$5:$G$120="moeda")+(Inputs!$G$5:$G$120="acoes"))*Inputs!$B$1+((Inputs!$G$5:$G$120&lt;&gt;"moeda")*(Inputs!$G$5:$G$120&lt;&gt;"acoes")))*INDEX(Inputs!$K$5:$AJ$120,0,MATCH(Y$2,Inputs!$K$4:$AJ$4,0)))+SUMPRODUCT((Inputs!$E$5:$E$120=$B16)*Inputs!$F$5:$F$120*(((Inputs!$G$5:$G$120="moeda")+(Inputs!$G$5:$G$120="acoes"))*Inputs!$B$1+((Inputs!$G$5:$G$120&lt;&gt;"moeda")*(Inputs!$G$5:$G$120&lt;&gt;"acoes")))*INDEX(Inputs!$K$5:$AJ$120,0,MATCH(Y$2,Inputs!$K$4:$AJ$4,0)))))</f>
        <v>14170.4</v>
      </c>
      <c r="Z16" s="6">
        <f>IF(ISNA(MATCH(Z$2,Inputs!$K$4:$AJ$4,0)),NA(),IF(SUMPRODUCT((Inputs!$A$5:$A$120=$B16)*ISNUMBER(INDEX(Inputs!$K$5:$AJ$120,0,MATCH(Z$2,Inputs!$K$4:$AJ$4,0))))+SUMPRODUCT((Inputs!$C$5:$C$120=$B16)*ISNUMBER(INDEX(Inputs!$K$5:$AJ$120,0,MATCH(Z$2,Inputs!$K$4:$AJ$4,0))))+SUMPRODUCT((Inputs!$E$5:$E$120=$B16)*ISNUMBER(INDEX(Inputs!$K$5:$AJ$120,0,MATCH(Z$2,Inputs!$K$4:$AJ$4,0))))=0,NA(),SUMPRODUCT((Inputs!$A$5:$A$120=$B16)*Inputs!$B$5:$B$120*(((Inputs!$G$5:$G$120="moeda")+(Inputs!$G$5:$G$120="acoes"))*Inputs!$B$1+((Inputs!$G$5:$G$120&lt;&gt;"moeda")*(Inputs!$G$5:$G$120&lt;&gt;"acoes")))*INDEX(Inputs!$K$5:$AJ$120,0,MATCH(Z$2,Inputs!$K$4:$AJ$4,0)))+SUMPRODUCT((Inputs!$C$5:$C$120=$B16)*Inputs!$D$5:$D$120*(((Inputs!$G$5:$G$120="moeda")+(Inputs!$G$5:$G$120="acoes"))*Inputs!$B$1+((Inputs!$G$5:$G$120&lt;&gt;"moeda")*(Inputs!$G$5:$G$120&lt;&gt;"acoes")))*INDEX(Inputs!$K$5:$AJ$120,0,MATCH(Z$2,Inputs!$K$4:$AJ$4,0)))+SUMPRODUCT((Inputs!$E$5:$E$120=$B16)*Inputs!$F$5:$F$120*(((Inputs!$G$5:$G$120="moeda")+(Inputs!$G$5:$G$120="acoes"))*Inputs!$B$1+((Inputs!$G$5:$G$120&lt;&gt;"moeda")*(Inputs!$G$5:$G$120&lt;&gt;"acoes")))*INDEX(Inputs!$K$5:$AJ$120,0,MATCH(Z$2,Inputs!$K$4:$AJ$4,0)))))</f>
        <v>16107.4</v>
      </c>
      <c r="AA16" s="6">
        <f>IF(ISNA(MATCH(AA$2,Inputs!$K$4:$AJ$4,0)),NA(),IF(SUMPRODUCT((Inputs!$A$5:$A$120=$B16)*ISNUMBER(INDEX(Inputs!$K$5:$AJ$120,0,MATCH(AA$2,Inputs!$K$4:$AJ$4,0))))+SUMPRODUCT((Inputs!$C$5:$C$120=$B16)*ISNUMBER(INDEX(Inputs!$K$5:$AJ$120,0,MATCH(AA$2,Inputs!$K$4:$AJ$4,0))))+SUMPRODUCT((Inputs!$E$5:$E$120=$B16)*ISNUMBER(INDEX(Inputs!$K$5:$AJ$120,0,MATCH(AA$2,Inputs!$K$4:$AJ$4,0))))=0,NA(),SUMPRODUCT((Inputs!$A$5:$A$120=$B16)*Inputs!$B$5:$B$120*(((Inputs!$G$5:$G$120="moeda")+(Inputs!$G$5:$G$120="acoes"))*Inputs!$B$1+((Inputs!$G$5:$G$120&lt;&gt;"moeda")*(Inputs!$G$5:$G$120&lt;&gt;"acoes")))*INDEX(Inputs!$K$5:$AJ$120,0,MATCH(AA$2,Inputs!$K$4:$AJ$4,0)))+SUMPRODUCT((Inputs!$C$5:$C$120=$B16)*Inputs!$D$5:$D$120*(((Inputs!$G$5:$G$120="moeda")+(Inputs!$G$5:$G$120="acoes"))*Inputs!$B$1+((Inputs!$G$5:$G$120&lt;&gt;"moeda")*(Inputs!$G$5:$G$120&lt;&gt;"acoes")))*INDEX(Inputs!$K$5:$AJ$120,0,MATCH(AA$2,Inputs!$K$4:$AJ$4,0)))+SUMPRODUCT((Inputs!$E$5:$E$120=$B16)*Inputs!$F$5:$F$120*(((Inputs!$G$5:$G$120="moeda")+(Inputs!$G$5:$G$120="acoes"))*Inputs!$B$1+((Inputs!$G$5:$G$120&lt;&gt;"moeda")*(Inputs!$G$5:$G$120&lt;&gt;"acoes")))*INDEX(Inputs!$K$5:$AJ$120,0,MATCH(AA$2,Inputs!$K$4:$AJ$4,0)))))</f>
        <v>17760</v>
      </c>
      <c r="AB16" s="3">
        <f>AA16</f>
        <v>17760</v>
      </c>
      <c r="AC16" s="6">
        <f>IF(ISNA(MATCH(AC$2,Inputs!$K$4:$AJ$4,0)),NA(),IF(SUMPRODUCT((Inputs!$A$5:$A$120=$B16)*ISNUMBER(INDEX(Inputs!$K$5:$AJ$120,0,MATCH(AC$2,Inputs!$K$4:$AJ$4,0))))+SUMPRODUCT((Inputs!$C$5:$C$120=$B16)*ISNUMBER(INDEX(Inputs!$K$5:$AJ$120,0,MATCH(AC$2,Inputs!$K$4:$AJ$4,0))))+SUMPRODUCT((Inputs!$E$5:$E$120=$B16)*ISNUMBER(INDEX(Inputs!$K$5:$AJ$120,0,MATCH(AC$2,Inputs!$K$4:$AJ$4,0))))=0,NA(),SUMPRODUCT((Inputs!$A$5:$A$120=$B16)*Inputs!$B$5:$B$120*(((Inputs!$G$5:$G$120="moeda")+(Inputs!$G$5:$G$120="acoes"))*Inputs!$B$1+((Inputs!$G$5:$G$120&lt;&gt;"moeda")*(Inputs!$G$5:$G$120&lt;&gt;"acoes")))*INDEX(Inputs!$K$5:$AJ$120,0,MATCH(AC$2,Inputs!$K$4:$AJ$4,0)))+SUMPRODUCT((Inputs!$C$5:$C$120=$B16)*Inputs!$D$5:$D$120*(((Inputs!$G$5:$G$120="moeda")+(Inputs!$G$5:$G$120="acoes"))*Inputs!$B$1+((Inputs!$G$5:$G$120&lt;&gt;"moeda")*(Inputs!$G$5:$G$120&lt;&gt;"acoes")))*INDEX(Inputs!$K$5:$AJ$120,0,MATCH(AC$2,Inputs!$K$4:$AJ$4,0)))+SUMPRODUCT((Inputs!$E$5:$E$120=$B16)*Inputs!$F$5:$F$120*(((Inputs!$G$5:$G$120="moeda")+(Inputs!$G$5:$G$120="acoes"))*Inputs!$B$1+((Inputs!$G$5:$G$120&lt;&gt;"moeda")*(Inputs!$G$5:$G$120&lt;&gt;"acoes")))*INDEX(Inputs!$K$5:$AJ$120,0,MATCH(AC$2,Inputs!$K$4:$AJ$4,0)))))</f>
        <v>18429</v>
      </c>
      <c r="AD16" s="6">
        <f>IF(ISNA(MATCH(AD$2,Inputs!$K$4:$AJ$4,0)),NA(),IF(SUMPRODUCT((Inputs!$A$5:$A$120=$B16)*ISNUMBER(INDEX(Inputs!$K$5:$AJ$120,0,MATCH(AD$2,Inputs!$K$4:$AJ$4,0))))+SUMPRODUCT((Inputs!$C$5:$C$120=$B16)*ISNUMBER(INDEX(Inputs!$K$5:$AJ$120,0,MATCH(AD$2,Inputs!$K$4:$AJ$4,0))))+SUMPRODUCT((Inputs!$E$5:$E$120=$B16)*ISNUMBER(INDEX(Inputs!$K$5:$AJ$120,0,MATCH(AD$2,Inputs!$K$4:$AJ$4,0))))=0,NA(),SUMPRODUCT((Inputs!$A$5:$A$120=$B16)*Inputs!$B$5:$B$120*(((Inputs!$G$5:$G$120="moeda")+(Inputs!$G$5:$G$120="acoes"))*Inputs!$B$1+((Inputs!$G$5:$G$120&lt;&gt;"moeda")*(Inputs!$G$5:$G$120&lt;&gt;"acoes")))*INDEX(Inputs!$K$5:$AJ$120,0,MATCH(AD$2,Inputs!$K$4:$AJ$4,0)))+SUMPRODUCT((Inputs!$C$5:$C$120=$B16)*Inputs!$D$5:$D$120*(((Inputs!$G$5:$G$120="moeda")+(Inputs!$G$5:$G$120="acoes"))*Inputs!$B$1+((Inputs!$G$5:$G$120&lt;&gt;"moeda")*(Inputs!$G$5:$G$120&lt;&gt;"acoes")))*INDEX(Inputs!$K$5:$AJ$120,0,MATCH(AD$2,Inputs!$K$4:$AJ$4,0)))+SUMPRODUCT((Inputs!$E$5:$E$120=$B16)*Inputs!$F$5:$F$120*(((Inputs!$G$5:$G$120="moeda")+(Inputs!$G$5:$G$120="acoes"))*Inputs!$B$1+((Inputs!$G$5:$G$120&lt;&gt;"moeda")*(Inputs!$G$5:$G$120&lt;&gt;"acoes")))*INDEX(Inputs!$K$5:$AJ$120,0,MATCH(AD$2,Inputs!$K$4:$AJ$4,0)))))</f>
        <v>20083</v>
      </c>
      <c r="AE16" s="6" t="e">
        <f>IF(ISNA(MATCH(AE$2,Inputs!$K$4:$AJ$4,0)),NA(),IF(SUMPRODUCT((Inputs!$A$5:$A$120=$B16)*ISNUMBER(INDEX(Inputs!$K$5:$AJ$120,0,MATCH(AE$2,Inputs!$K$4:$AJ$4,0))))+SUMPRODUCT((Inputs!$C$5:$C$120=$B16)*ISNUMBER(INDEX(Inputs!$K$5:$AJ$120,0,MATCH(AE$2,Inputs!$K$4:$AJ$4,0))))+SUMPRODUCT((Inputs!$E$5:$E$120=$B16)*ISNUMBER(INDEX(Inputs!$K$5:$AJ$120,0,MATCH(AE$2,Inputs!$K$4:$AJ$4,0))))=0,NA(),SUMPRODUCT((Inputs!$A$5:$A$120=$B16)*Inputs!$B$5:$B$120*(((Inputs!$G$5:$G$120="moeda")+(Inputs!$G$5:$G$120="acoes"))*Inputs!$B$1+((Inputs!$G$5:$G$120&lt;&gt;"moeda")*(Inputs!$G$5:$G$120&lt;&gt;"acoes")))*INDEX(Inputs!$K$5:$AJ$120,0,MATCH(AE$2,Inputs!$K$4:$AJ$4,0)))+SUMPRODUCT((Inputs!$C$5:$C$120=$B16)*Inputs!$D$5:$D$120*(((Inputs!$G$5:$G$120="moeda")+(Inputs!$G$5:$G$120="acoes"))*Inputs!$B$1+((Inputs!$G$5:$G$120&lt;&gt;"moeda")*(Inputs!$G$5:$G$120&lt;&gt;"acoes")))*INDEX(Inputs!$K$5:$AJ$120,0,MATCH(AE$2,Inputs!$K$4:$AJ$4,0)))+SUMPRODUCT((Inputs!$E$5:$E$120=$B16)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6" s="6" t="e">
        <f>IF(ISNA(MATCH(AF$2,Inputs!$K$4:$AJ$4,0)),NA(),IF(SUMPRODUCT((Inputs!$A$5:$A$120=$B16)*ISNUMBER(INDEX(Inputs!$K$5:$AJ$120,0,MATCH(AF$2,Inputs!$K$4:$AJ$4,0))))+SUMPRODUCT((Inputs!$C$5:$C$120=$B16)*ISNUMBER(INDEX(Inputs!$K$5:$AJ$120,0,MATCH(AF$2,Inputs!$K$4:$AJ$4,0))))+SUMPRODUCT((Inputs!$E$5:$E$120=$B16)*ISNUMBER(INDEX(Inputs!$K$5:$AJ$120,0,MATCH(AF$2,Inputs!$K$4:$AJ$4,0))))=0,NA(),SUMPRODUCT((Inputs!$A$5:$A$120=$B16)*Inputs!$B$5:$B$120*(((Inputs!$G$5:$G$120="moeda")+(Inputs!$G$5:$G$120="acoes"))*Inputs!$B$1+((Inputs!$G$5:$G$120&lt;&gt;"moeda")*(Inputs!$G$5:$G$120&lt;&gt;"acoes")))*INDEX(Inputs!$K$5:$AJ$120,0,MATCH(AF$2,Inputs!$K$4:$AJ$4,0)))+SUMPRODUCT((Inputs!$C$5:$C$120=$B16)*Inputs!$D$5:$D$120*(((Inputs!$G$5:$G$120="moeda")+(Inputs!$G$5:$G$120="acoes"))*Inputs!$B$1+((Inputs!$G$5:$G$120&lt;&gt;"moeda")*(Inputs!$G$5:$G$120&lt;&gt;"acoes")))*INDEX(Inputs!$K$5:$AJ$120,0,MATCH(AF$2,Inputs!$K$4:$AJ$4,0)))+SUMPRODUCT((Inputs!$E$5:$E$120=$B16)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6" s="3" t="e">
        <f>AF16</f>
        <v>#N/A</v>
      </c>
      <c r="AH16" s="6">
        <f>IF(ISNA(MATCH(AH$2,Inputs!$K$4:$AJ$4,0)),NA(),IF(SUMPRODUCT((Inputs!$A$5:$A$120=$B16)*ISNUMBER(INDEX(Inputs!$K$5:$AJ$120,0,MATCH(AH$2,Inputs!$K$4:$AJ$4,0))))+SUMPRODUCT((Inputs!$C$5:$C$120=$B16)*ISNUMBER(INDEX(Inputs!$K$5:$AJ$120,0,MATCH(AH$2,Inputs!$K$4:$AJ$4,0))))+SUMPRODUCT((Inputs!$E$5:$E$120=$B16)*ISNUMBER(INDEX(Inputs!$K$5:$AJ$120,0,MATCH(AH$2,Inputs!$K$4:$AJ$4,0))))=0,NA(),SUMPRODUCT((Inputs!$A$5:$A$120=$B16)*Inputs!$B$5:$B$120*(((Inputs!$G$5:$G$120="moeda")+(Inputs!$G$5:$G$120="acoes"))*Inputs!$B$1+((Inputs!$G$5:$G$120&lt;&gt;"moeda")*(Inputs!$G$5:$G$120&lt;&gt;"acoes")))*INDEX(Inputs!$K$5:$AJ$120,0,MATCH(AH$2,Inputs!$K$4:$AJ$4,0)))+SUMPRODUCT((Inputs!$C$5:$C$120=$B16)*Inputs!$D$5:$D$120*(((Inputs!$G$5:$G$120="moeda")+(Inputs!$G$5:$G$120="acoes"))*Inputs!$B$1+((Inputs!$G$5:$G$120&lt;&gt;"moeda")*(Inputs!$G$5:$G$120&lt;&gt;"acoes")))*INDEX(Inputs!$K$5:$AJ$120,0,MATCH(AH$2,Inputs!$K$4:$AJ$4,0)))+SUMPRODUCT((Inputs!$E$5:$E$120=$B16)*Inputs!$F$5:$F$120*(((Inputs!$G$5:$G$120="moeda")+(Inputs!$G$5:$G$120="acoes"))*Inputs!$B$1+((Inputs!$G$5:$G$120&lt;&gt;"moeda")*(Inputs!$G$5:$G$120&lt;&gt;"acoes")))*INDEX(Inputs!$K$5:$AJ$120,0,MATCH(AH$2,Inputs!$K$4:$AJ$4,0)))))</f>
        <v>5106.1</v>
      </c>
      <c r="AI16" s="6">
        <f>IF(ISNA(MATCH(AI$2,Inputs!$K$4:$AJ$4,0)),NA(),IF(SUMPRODUCT((Inputs!$A$5:$A$120=$B16)*ISNUMBER(INDEX(Inputs!$K$5:$AJ$120,0,MATCH(AI$2,Inputs!$K$4:$AJ$4,0))))+SUMPRODUCT((Inputs!$C$5:$C$120=$B16)*ISNUMBER(INDEX(Inputs!$K$5:$AJ$120,0,MATCH(AI$2,Inputs!$K$4:$AJ$4,0))))+SUMPRODUCT((Inputs!$E$5:$E$120=$B16)*ISNUMBER(INDEX(Inputs!$K$5:$AJ$120,0,MATCH(AI$2,Inputs!$K$4:$AJ$4,0))))=0,NA(),SUMPRODUCT((Inputs!$A$5:$A$120=$B16)*Inputs!$B$5:$B$120*(((Inputs!$G$5:$G$120="moeda")+(Inputs!$G$5:$G$120="acoes"))*Inputs!$B$1+((Inputs!$G$5:$G$120&lt;&gt;"moeda")*(Inputs!$G$5:$G$120&lt;&gt;"acoes")))*INDEX(Inputs!$K$5:$AJ$120,0,MATCH(AI$2,Inputs!$K$4:$AJ$4,0)))+SUMPRODUCT((Inputs!$C$5:$C$120=$B16)*Inputs!$D$5:$D$120*(((Inputs!$G$5:$G$120="moeda")+(Inputs!$G$5:$G$120="acoes"))*Inputs!$B$1+((Inputs!$G$5:$G$120&lt;&gt;"moeda")*(Inputs!$G$5:$G$120&lt;&gt;"acoes")))*INDEX(Inputs!$K$5:$AJ$120,0,MATCH(AI$2,Inputs!$K$4:$AJ$4,0)))+SUMPRODUCT((Inputs!$E$5:$E$120=$B16)*Inputs!$F$5:$F$120*(((Inputs!$G$5:$G$120="moeda")+(Inputs!$G$5:$G$120="acoes"))*Inputs!$B$1+((Inputs!$G$5:$G$120&lt;&gt;"moeda")*(Inputs!$G$5:$G$120&lt;&gt;"acoes")))*INDEX(Inputs!$K$5:$AJ$120,0,MATCH(AI$2,Inputs!$K$4:$AJ$4,0)))))</f>
        <v>4828.9</v>
      </c>
      <c r="AJ16" s="6">
        <f>IF(ISNA(MATCH(AJ$2,Inputs!$K$4:$AJ$4,0)),NA(),IF(SUMPRODUCT((Inputs!$A$5:$A$120=$B16)*ISNUMBER(INDEX(Inputs!$K$5:$AJ$120,0,MATCH(AJ$2,Inputs!$K$4:$AJ$4,0))))+SUMPRODUCT((Inputs!$C$5:$C$120=$B16)*ISNUMBER(INDEX(Inputs!$K$5:$AJ$120,0,MATCH(AJ$2,Inputs!$K$4:$AJ$4,0))))+SUMPRODUCT((Inputs!$E$5:$E$120=$B16)*ISNUMBER(INDEX(Inputs!$K$5:$AJ$120,0,MATCH(AJ$2,Inputs!$K$4:$AJ$4,0))))=0,NA(),SUMPRODUCT((Inputs!$A$5:$A$120=$B16)*Inputs!$B$5:$B$120*(((Inputs!$G$5:$G$120="moeda")+(Inputs!$G$5:$G$120="acoes"))*Inputs!$B$1+((Inputs!$G$5:$G$120&lt;&gt;"moeda")*(Inputs!$G$5:$G$120&lt;&gt;"acoes")))*INDEX(Inputs!$K$5:$AJ$120,0,MATCH(AJ$2,Inputs!$K$4:$AJ$4,0)))+SUMPRODUCT((Inputs!$C$5:$C$120=$B16)*Inputs!$D$5:$D$120*(((Inputs!$G$5:$G$120="moeda")+(Inputs!$G$5:$G$120="acoes"))*Inputs!$B$1+((Inputs!$G$5:$G$120&lt;&gt;"moeda")*(Inputs!$G$5:$G$120&lt;&gt;"acoes")))*INDEX(Inputs!$K$5:$AJ$120,0,MATCH(AJ$2,Inputs!$K$4:$AJ$4,0)))+SUMPRODUCT((Inputs!$E$5:$E$120=$B16)*Inputs!$F$5:$F$120*(((Inputs!$G$5:$G$120="moeda")+(Inputs!$G$5:$G$120="acoes"))*Inputs!$B$1+((Inputs!$G$5:$G$120&lt;&gt;"moeda")*(Inputs!$G$5:$G$120&lt;&gt;"acoes")))*INDEX(Inputs!$K$5:$AJ$120,0,MATCH(AJ$2,Inputs!$K$4:$AJ$4,0)))))</f>
        <v>4886.7</v>
      </c>
      <c r="AK16" s="6">
        <f>IF(ISNA(MATCH(AK$2,Inputs!$K$4:$AJ$4,0)),NA(),IF(SUMPRODUCT((Inputs!$A$5:$A$120=$B16)*ISNUMBER(INDEX(Inputs!$K$5:$AJ$120,0,MATCH(AK$2,Inputs!$K$4:$AJ$4,0))))+SUMPRODUCT((Inputs!$C$5:$C$120=$B16)*ISNUMBER(INDEX(Inputs!$K$5:$AJ$120,0,MATCH(AK$2,Inputs!$K$4:$AJ$4,0))))+SUMPRODUCT((Inputs!$E$5:$E$120=$B16)*ISNUMBER(INDEX(Inputs!$K$5:$AJ$120,0,MATCH(AK$2,Inputs!$K$4:$AJ$4,0))))=0,NA(),SUMPRODUCT((Inputs!$A$5:$A$120=$B16)*Inputs!$B$5:$B$120*(((Inputs!$G$5:$G$120="moeda")+(Inputs!$G$5:$G$120="acoes"))*Inputs!$B$1+((Inputs!$G$5:$G$120&lt;&gt;"moeda")*(Inputs!$G$5:$G$120&lt;&gt;"acoes")))*INDEX(Inputs!$K$5:$AJ$120,0,MATCH(AK$2,Inputs!$K$4:$AJ$4,0)))+SUMPRODUCT((Inputs!$C$5:$C$120=$B16)*Inputs!$D$5:$D$120*(((Inputs!$G$5:$G$120="moeda")+(Inputs!$G$5:$G$120="acoes"))*Inputs!$B$1+((Inputs!$G$5:$G$120&lt;&gt;"moeda")*(Inputs!$G$5:$G$120&lt;&gt;"acoes")))*INDEX(Inputs!$K$5:$AJ$120,0,MATCH(AK$2,Inputs!$K$4:$AJ$4,0)))+SUMPRODUCT((Inputs!$E$5:$E$120=$B16)*Inputs!$F$5:$F$120*(((Inputs!$G$5:$G$120="moeda")+(Inputs!$G$5:$G$120="acoes"))*Inputs!$B$1+((Inputs!$G$5:$G$120&lt;&gt;"moeda")*(Inputs!$G$5:$G$120&lt;&gt;"acoes")))*INDEX(Inputs!$K$5:$AJ$120,0,MATCH(AK$2,Inputs!$K$4:$AJ$4,0)))))</f>
        <v>5875.3</v>
      </c>
      <c r="AL16" s="3">
        <f>AK16</f>
        <v>5875.3</v>
      </c>
    </row>
    <row r="17">
      <c r="B17" s="46" t="n">
        <v>13</v>
      </c>
      <c r="C17" s="26" t="inlineStr">
        <is>
          <t>Inventories</t>
        </is>
      </c>
      <c r="D17" s="6">
        <f>IF(ISNA(MATCH(D$2,Inputs!$K$4:$AJ$4,0)),NA(),IF(SUMPRODUCT((Inputs!$A$5:$A$120=$B17)*ISNUMBER(INDEX(Inputs!$K$5:$AJ$120,0,MATCH(D$2,Inputs!$K$4:$AJ$4,0))))+SUMPRODUCT((Inputs!$C$5:$C$120=$B17)*ISNUMBER(INDEX(Inputs!$K$5:$AJ$120,0,MATCH(D$2,Inputs!$K$4:$AJ$4,0))))+SUMPRODUCT((Inputs!$E$5:$E$120=$B17)*ISNUMBER(INDEX(Inputs!$K$5:$AJ$120,0,MATCH(D$2,Inputs!$K$4:$AJ$4,0))))=0,NA(),SUMPRODUCT((Inputs!$A$5:$A$120=$B17)*Inputs!$B$5:$B$120*(((Inputs!$G$5:$G$120="moeda")+(Inputs!$G$5:$G$120="acoes"))*Inputs!$B$1+((Inputs!$G$5:$G$120&lt;&gt;"moeda")*(Inputs!$G$5:$G$120&lt;&gt;"acoes")))*INDEX(Inputs!$K$5:$AJ$120,0,MATCH(D$2,Inputs!$K$4:$AJ$4,0)))+SUMPRODUCT((Inputs!$C$5:$C$120=$B17)*Inputs!$D$5:$D$120*(((Inputs!$G$5:$G$120="moeda")+(Inputs!$G$5:$G$120="acoes"))*Inputs!$B$1+((Inputs!$G$5:$G$120&lt;&gt;"moeda")*(Inputs!$G$5:$G$120&lt;&gt;"acoes")))*INDEX(Inputs!$K$5:$AJ$120,0,MATCH(D$2,Inputs!$K$4:$AJ$4,0)))+SUMPRODUCT((Inputs!$E$5:$E$120=$B17)*Inputs!$F$5:$F$120*(((Inputs!$G$5:$G$120="moeda")+(Inputs!$G$5:$G$120="acoes"))*Inputs!$B$1+((Inputs!$G$5:$G$120&lt;&gt;"moeda")*(Inputs!$G$5:$G$120&lt;&gt;"acoes")))*INDEX(Inputs!$K$5:$AJ$120,0,MATCH(D$2,Inputs!$K$4:$AJ$4,0)))))</f>
        <v>3660.8</v>
      </c>
      <c r="E17" s="6">
        <f>IF(ISNA(MATCH(E$2,Inputs!$K$4:$AJ$4,0)),NA(),IF(SUMPRODUCT((Inputs!$A$5:$A$120=$B17)*ISNUMBER(INDEX(Inputs!$K$5:$AJ$120,0,MATCH(E$2,Inputs!$K$4:$AJ$4,0))))+SUMPRODUCT((Inputs!$C$5:$C$120=$B17)*ISNUMBER(INDEX(Inputs!$K$5:$AJ$120,0,MATCH(E$2,Inputs!$K$4:$AJ$4,0))))+SUMPRODUCT((Inputs!$E$5:$E$120=$B17)*ISNUMBER(INDEX(Inputs!$K$5:$AJ$120,0,MATCH(E$2,Inputs!$K$4:$AJ$4,0))))=0,NA(),SUMPRODUCT((Inputs!$A$5:$A$120=$B17)*Inputs!$B$5:$B$120*(((Inputs!$G$5:$G$120="moeda")+(Inputs!$G$5:$G$120="acoes"))*Inputs!$B$1+((Inputs!$G$5:$G$120&lt;&gt;"moeda")*(Inputs!$G$5:$G$120&lt;&gt;"acoes")))*INDEX(Inputs!$K$5:$AJ$120,0,MATCH(E$2,Inputs!$K$4:$AJ$4,0)))+SUMPRODUCT((Inputs!$C$5:$C$120=$B17)*Inputs!$D$5:$D$120*(((Inputs!$G$5:$G$120="moeda")+(Inputs!$G$5:$G$120="acoes"))*Inputs!$B$1+((Inputs!$G$5:$G$120&lt;&gt;"moeda")*(Inputs!$G$5:$G$120&lt;&gt;"acoes")))*INDEX(Inputs!$K$5:$AJ$120,0,MATCH(E$2,Inputs!$K$4:$AJ$4,0)))+SUMPRODUCT((Inputs!$E$5:$E$120=$B17)*Inputs!$F$5:$F$120*(((Inputs!$G$5:$G$120="moeda")+(Inputs!$G$5:$G$120="acoes"))*Inputs!$B$1+((Inputs!$G$5:$G$120&lt;&gt;"moeda")*(Inputs!$G$5:$G$120&lt;&gt;"acoes")))*INDEX(Inputs!$K$5:$AJ$120,0,MATCH(E$2,Inputs!$K$4:$AJ$4,0)))))</f>
        <v>3824.9</v>
      </c>
      <c r="F17" s="6">
        <f>IF(ISNA(MATCH(F$2,Inputs!$K$4:$AJ$4,0)),NA(),IF(SUMPRODUCT((Inputs!$A$5:$A$120=$B17)*ISNUMBER(INDEX(Inputs!$K$5:$AJ$120,0,MATCH(F$2,Inputs!$K$4:$AJ$4,0))))+SUMPRODUCT((Inputs!$C$5:$C$120=$B17)*ISNUMBER(INDEX(Inputs!$K$5:$AJ$120,0,MATCH(F$2,Inputs!$K$4:$AJ$4,0))))+SUMPRODUCT((Inputs!$E$5:$E$120=$B17)*ISNUMBER(INDEX(Inputs!$K$5:$AJ$120,0,MATCH(F$2,Inputs!$K$4:$AJ$4,0))))=0,NA(),SUMPRODUCT((Inputs!$A$5:$A$120=$B17)*Inputs!$B$5:$B$120*(((Inputs!$G$5:$G$120="moeda")+(Inputs!$G$5:$G$120="acoes"))*Inputs!$B$1+((Inputs!$G$5:$G$120&lt;&gt;"moeda")*(Inputs!$G$5:$G$120&lt;&gt;"acoes")))*INDEX(Inputs!$K$5:$AJ$120,0,MATCH(F$2,Inputs!$K$4:$AJ$4,0)))+SUMPRODUCT((Inputs!$C$5:$C$120=$B17)*Inputs!$D$5:$D$120*(((Inputs!$G$5:$G$120="moeda")+(Inputs!$G$5:$G$120="acoes"))*Inputs!$B$1+((Inputs!$G$5:$G$120&lt;&gt;"moeda")*(Inputs!$G$5:$G$120&lt;&gt;"acoes")))*INDEX(Inputs!$K$5:$AJ$120,0,MATCH(F$2,Inputs!$K$4:$AJ$4,0)))+SUMPRODUCT((Inputs!$E$5:$E$120=$B17)*Inputs!$F$5:$F$120*(((Inputs!$G$5:$G$120="moeda")+(Inputs!$G$5:$G$120="acoes"))*Inputs!$B$1+((Inputs!$G$5:$G$120&lt;&gt;"moeda")*(Inputs!$G$5:$G$120&lt;&gt;"acoes")))*INDEX(Inputs!$K$5:$AJ$120,0,MATCH(F$2,Inputs!$K$4:$AJ$4,0)))))</f>
        <v>3907.4</v>
      </c>
      <c r="G17" s="6">
        <f>IF(ISNA(MATCH(G$2,Inputs!$K$4:$AJ$4,0)),NA(),IF(SUMPRODUCT((Inputs!$A$5:$A$120=$B17)*ISNUMBER(INDEX(Inputs!$K$5:$AJ$120,0,MATCH(G$2,Inputs!$K$4:$AJ$4,0))))+SUMPRODUCT((Inputs!$C$5:$C$120=$B17)*ISNUMBER(INDEX(Inputs!$K$5:$AJ$120,0,MATCH(G$2,Inputs!$K$4:$AJ$4,0))))+SUMPRODUCT((Inputs!$E$5:$E$120=$B17)*ISNUMBER(INDEX(Inputs!$K$5:$AJ$120,0,MATCH(G$2,Inputs!$K$4:$AJ$4,0))))=0,NA(),SUMPRODUCT((Inputs!$A$5:$A$120=$B17)*Inputs!$B$5:$B$120*(((Inputs!$G$5:$G$120="moeda")+(Inputs!$G$5:$G$120="acoes"))*Inputs!$B$1+((Inputs!$G$5:$G$120&lt;&gt;"moeda")*(Inputs!$G$5:$G$120&lt;&gt;"acoes")))*INDEX(Inputs!$K$5:$AJ$120,0,MATCH(G$2,Inputs!$K$4:$AJ$4,0)))+SUMPRODUCT((Inputs!$C$5:$C$120=$B17)*Inputs!$D$5:$D$120*(((Inputs!$G$5:$G$120="moeda")+(Inputs!$G$5:$G$120="acoes"))*Inputs!$B$1+((Inputs!$G$5:$G$120&lt;&gt;"moeda")*(Inputs!$G$5:$G$120&lt;&gt;"acoes")))*INDEX(Inputs!$K$5:$AJ$120,0,MATCH(G$2,Inputs!$K$4:$AJ$4,0)))+SUMPRODUCT((Inputs!$E$5:$E$120=$B17)*Inputs!$F$5:$F$120*(((Inputs!$G$5:$G$120="moeda")+(Inputs!$G$5:$G$120="acoes"))*Inputs!$B$1+((Inputs!$G$5:$G$120&lt;&gt;"moeda")*(Inputs!$G$5:$G$120&lt;&gt;"acoes")))*INDEX(Inputs!$K$5:$AJ$120,0,MATCH(G$2,Inputs!$K$4:$AJ$4,0)))))</f>
        <v>3886</v>
      </c>
      <c r="H17" s="3">
        <f>G17</f>
        <v>3886</v>
      </c>
      <c r="I17" s="6">
        <f>IF(ISNA(MATCH(I$2,Inputs!$K$4:$AJ$4,0)),NA(),IF(SUMPRODUCT((Inputs!$A$5:$A$120=$B17)*ISNUMBER(INDEX(Inputs!$K$5:$AJ$120,0,MATCH(I$2,Inputs!$K$4:$AJ$4,0))))+SUMPRODUCT((Inputs!$C$5:$C$120=$B17)*ISNUMBER(INDEX(Inputs!$K$5:$AJ$120,0,MATCH(I$2,Inputs!$K$4:$AJ$4,0))))+SUMPRODUCT((Inputs!$E$5:$E$120=$B17)*ISNUMBER(INDEX(Inputs!$K$5:$AJ$120,0,MATCH(I$2,Inputs!$K$4:$AJ$4,0))))=0,NA(),SUMPRODUCT((Inputs!$A$5:$A$120=$B17)*Inputs!$B$5:$B$120*(((Inputs!$G$5:$G$120="moeda")+(Inputs!$G$5:$G$120="acoes"))*Inputs!$B$1+((Inputs!$G$5:$G$120&lt;&gt;"moeda")*(Inputs!$G$5:$G$120&lt;&gt;"acoes")))*INDEX(Inputs!$K$5:$AJ$120,0,MATCH(I$2,Inputs!$K$4:$AJ$4,0)))+SUMPRODUCT((Inputs!$C$5:$C$120=$B17)*Inputs!$D$5:$D$120*(((Inputs!$G$5:$G$120="moeda")+(Inputs!$G$5:$G$120="acoes"))*Inputs!$B$1+((Inputs!$G$5:$G$120&lt;&gt;"moeda")*(Inputs!$G$5:$G$120&lt;&gt;"acoes")))*INDEX(Inputs!$K$5:$AJ$120,0,MATCH(I$2,Inputs!$K$4:$AJ$4,0)))+SUMPRODUCT((Inputs!$E$5:$E$120=$B17)*Inputs!$F$5:$F$120*(((Inputs!$G$5:$G$120="moeda")+(Inputs!$G$5:$G$120="acoes"))*Inputs!$B$1+((Inputs!$G$5:$G$120&lt;&gt;"moeda")*(Inputs!$G$5:$G$120&lt;&gt;"acoes")))*INDEX(Inputs!$K$5:$AJ$120,0,MATCH(I$2,Inputs!$K$4:$AJ$4,0)))))</f>
        <v>3893</v>
      </c>
      <c r="J17" s="6">
        <f>IF(ISNA(MATCH(J$2,Inputs!$K$4:$AJ$4,0)),NA(),IF(SUMPRODUCT((Inputs!$A$5:$A$120=$B17)*ISNUMBER(INDEX(Inputs!$K$5:$AJ$120,0,MATCH(J$2,Inputs!$K$4:$AJ$4,0))))+SUMPRODUCT((Inputs!$C$5:$C$120=$B17)*ISNUMBER(INDEX(Inputs!$K$5:$AJ$120,0,MATCH(J$2,Inputs!$K$4:$AJ$4,0))))+SUMPRODUCT((Inputs!$E$5:$E$120=$B17)*ISNUMBER(INDEX(Inputs!$K$5:$AJ$120,0,MATCH(J$2,Inputs!$K$4:$AJ$4,0))))=0,NA(),SUMPRODUCT((Inputs!$A$5:$A$120=$B17)*Inputs!$B$5:$B$120*(((Inputs!$G$5:$G$120="moeda")+(Inputs!$G$5:$G$120="acoes"))*Inputs!$B$1+((Inputs!$G$5:$G$120&lt;&gt;"moeda")*(Inputs!$G$5:$G$120&lt;&gt;"acoes")))*INDEX(Inputs!$K$5:$AJ$120,0,MATCH(J$2,Inputs!$K$4:$AJ$4,0)))+SUMPRODUCT((Inputs!$C$5:$C$120=$B17)*Inputs!$D$5:$D$120*(((Inputs!$G$5:$G$120="moeda")+(Inputs!$G$5:$G$120="acoes"))*Inputs!$B$1+((Inputs!$G$5:$G$120&lt;&gt;"moeda")*(Inputs!$G$5:$G$120&lt;&gt;"acoes")))*INDEX(Inputs!$K$5:$AJ$120,0,MATCH(J$2,Inputs!$K$4:$AJ$4,0)))+SUMPRODUCT((Inputs!$E$5:$E$120=$B17)*Inputs!$F$5:$F$120*(((Inputs!$G$5:$G$120="moeda")+(Inputs!$G$5:$G$120="acoes"))*Inputs!$B$1+((Inputs!$G$5:$G$120&lt;&gt;"moeda")*(Inputs!$G$5:$G$120&lt;&gt;"acoes")))*INDEX(Inputs!$K$5:$AJ$120,0,MATCH(J$2,Inputs!$K$4:$AJ$4,0)))))</f>
        <v>3899.4</v>
      </c>
      <c r="K17" s="6">
        <f>IF(ISNA(MATCH(K$2,Inputs!$K$4:$AJ$4,0)),NA(),IF(SUMPRODUCT((Inputs!$A$5:$A$120=$B17)*ISNUMBER(INDEX(Inputs!$K$5:$AJ$120,0,MATCH(K$2,Inputs!$K$4:$AJ$4,0))))+SUMPRODUCT((Inputs!$C$5:$C$120=$B17)*ISNUMBER(INDEX(Inputs!$K$5:$AJ$120,0,MATCH(K$2,Inputs!$K$4:$AJ$4,0))))+SUMPRODUCT((Inputs!$E$5:$E$120=$B17)*ISNUMBER(INDEX(Inputs!$K$5:$AJ$120,0,MATCH(K$2,Inputs!$K$4:$AJ$4,0))))=0,NA(),SUMPRODUCT((Inputs!$A$5:$A$120=$B17)*Inputs!$B$5:$B$120*(((Inputs!$G$5:$G$120="moeda")+(Inputs!$G$5:$G$120="acoes"))*Inputs!$B$1+((Inputs!$G$5:$G$120&lt;&gt;"moeda")*(Inputs!$G$5:$G$120&lt;&gt;"acoes")))*INDEX(Inputs!$K$5:$AJ$120,0,MATCH(K$2,Inputs!$K$4:$AJ$4,0)))+SUMPRODUCT((Inputs!$C$5:$C$120=$B17)*Inputs!$D$5:$D$120*(((Inputs!$G$5:$G$120="moeda")+(Inputs!$G$5:$G$120="acoes"))*Inputs!$B$1+((Inputs!$G$5:$G$120&lt;&gt;"moeda")*(Inputs!$G$5:$G$120&lt;&gt;"acoes")))*INDEX(Inputs!$K$5:$AJ$120,0,MATCH(K$2,Inputs!$K$4:$AJ$4,0)))+SUMPRODUCT((Inputs!$E$5:$E$120=$B17)*Inputs!$F$5:$F$120*(((Inputs!$G$5:$G$120="moeda")+(Inputs!$G$5:$G$120="acoes"))*Inputs!$B$1+((Inputs!$G$5:$G$120&lt;&gt;"moeda")*(Inputs!$G$5:$G$120&lt;&gt;"acoes")))*INDEX(Inputs!$K$5:$AJ$120,0,MATCH(K$2,Inputs!$K$4:$AJ$4,0)))))</f>
        <v>3831.1</v>
      </c>
      <c r="L17" s="6">
        <f>IF(ISNA(MATCH(L$2,Inputs!$K$4:$AJ$4,0)),NA(),IF(SUMPRODUCT((Inputs!$A$5:$A$120=$B17)*ISNUMBER(INDEX(Inputs!$K$5:$AJ$120,0,MATCH(L$2,Inputs!$K$4:$AJ$4,0))))+SUMPRODUCT((Inputs!$C$5:$C$120=$B17)*ISNUMBER(INDEX(Inputs!$K$5:$AJ$120,0,MATCH(L$2,Inputs!$K$4:$AJ$4,0))))+SUMPRODUCT((Inputs!$E$5:$E$120=$B17)*ISNUMBER(INDEX(Inputs!$K$5:$AJ$120,0,MATCH(L$2,Inputs!$K$4:$AJ$4,0))))=0,NA(),SUMPRODUCT((Inputs!$A$5:$A$120=$B17)*Inputs!$B$5:$B$120*(((Inputs!$G$5:$G$120="moeda")+(Inputs!$G$5:$G$120="acoes"))*Inputs!$B$1+((Inputs!$G$5:$G$120&lt;&gt;"moeda")*(Inputs!$G$5:$G$120&lt;&gt;"acoes")))*INDEX(Inputs!$K$5:$AJ$120,0,MATCH(L$2,Inputs!$K$4:$AJ$4,0)))+SUMPRODUCT((Inputs!$C$5:$C$120=$B17)*Inputs!$D$5:$D$120*(((Inputs!$G$5:$G$120="moeda")+(Inputs!$G$5:$G$120="acoes"))*Inputs!$B$1+((Inputs!$G$5:$G$120&lt;&gt;"moeda")*(Inputs!$G$5:$G$120&lt;&gt;"acoes")))*INDEX(Inputs!$K$5:$AJ$120,0,MATCH(L$2,Inputs!$K$4:$AJ$4,0)))+SUMPRODUCT((Inputs!$E$5:$E$120=$B17)*Inputs!$F$5:$F$120*(((Inputs!$G$5:$G$120="moeda")+(Inputs!$G$5:$G$120="acoes"))*Inputs!$B$1+((Inputs!$G$5:$G$120&lt;&gt;"moeda")*(Inputs!$G$5:$G$120&lt;&gt;"acoes")))*INDEX(Inputs!$K$5:$AJ$120,0,MATCH(L$2,Inputs!$K$4:$AJ$4,0)))))</f>
        <v>4309.7</v>
      </c>
      <c r="M17" s="3">
        <f>L17</f>
        <v>4309.7</v>
      </c>
      <c r="N17" s="6">
        <f>IF(ISNA(MATCH(N$2,Inputs!$K$4:$AJ$4,0)),NA(),IF(SUMPRODUCT((Inputs!$A$5:$A$120=$B17)*ISNUMBER(INDEX(Inputs!$K$5:$AJ$120,0,MATCH(N$2,Inputs!$K$4:$AJ$4,0))))+SUMPRODUCT((Inputs!$C$5:$C$120=$B17)*ISNUMBER(INDEX(Inputs!$K$5:$AJ$120,0,MATCH(N$2,Inputs!$K$4:$AJ$4,0))))+SUMPRODUCT((Inputs!$E$5:$E$120=$B17)*ISNUMBER(INDEX(Inputs!$K$5:$AJ$120,0,MATCH(N$2,Inputs!$K$4:$AJ$4,0))))=0,NA(),SUMPRODUCT((Inputs!$A$5:$A$120=$B17)*Inputs!$B$5:$B$120*(((Inputs!$G$5:$G$120="moeda")+(Inputs!$G$5:$G$120="acoes"))*Inputs!$B$1+((Inputs!$G$5:$G$120&lt;&gt;"moeda")*(Inputs!$G$5:$G$120&lt;&gt;"acoes")))*INDEX(Inputs!$K$5:$AJ$120,0,MATCH(N$2,Inputs!$K$4:$AJ$4,0)))+SUMPRODUCT((Inputs!$C$5:$C$120=$B17)*Inputs!$D$5:$D$120*(((Inputs!$G$5:$G$120="moeda")+(Inputs!$G$5:$G$120="acoes"))*Inputs!$B$1+((Inputs!$G$5:$G$120&lt;&gt;"moeda")*(Inputs!$G$5:$G$120&lt;&gt;"acoes")))*INDEX(Inputs!$K$5:$AJ$120,0,MATCH(N$2,Inputs!$K$4:$AJ$4,0)))+SUMPRODUCT((Inputs!$E$5:$E$120=$B17)*Inputs!$F$5:$F$120*(((Inputs!$G$5:$G$120="moeda")+(Inputs!$G$5:$G$120="acoes"))*Inputs!$B$1+((Inputs!$G$5:$G$120&lt;&gt;"moeda")*(Inputs!$G$5:$G$120&lt;&gt;"acoes")))*INDEX(Inputs!$K$5:$AJ$120,0,MATCH(N$2,Inputs!$K$4:$AJ$4,0)))))</f>
        <v>4544.8</v>
      </c>
      <c r="O17" s="6">
        <f>IF(ISNA(MATCH(O$2,Inputs!$K$4:$AJ$4,0)),NA(),IF(SUMPRODUCT((Inputs!$A$5:$A$120=$B17)*ISNUMBER(INDEX(Inputs!$K$5:$AJ$120,0,MATCH(O$2,Inputs!$K$4:$AJ$4,0))))+SUMPRODUCT((Inputs!$C$5:$C$120=$B17)*ISNUMBER(INDEX(Inputs!$K$5:$AJ$120,0,MATCH(O$2,Inputs!$K$4:$AJ$4,0))))+SUMPRODUCT((Inputs!$E$5:$E$120=$B17)*ISNUMBER(INDEX(Inputs!$K$5:$AJ$120,0,MATCH(O$2,Inputs!$K$4:$AJ$4,0))))=0,NA(),SUMPRODUCT((Inputs!$A$5:$A$120=$B17)*Inputs!$B$5:$B$120*(((Inputs!$G$5:$G$120="moeda")+(Inputs!$G$5:$G$120="acoes"))*Inputs!$B$1+((Inputs!$G$5:$G$120&lt;&gt;"moeda")*(Inputs!$G$5:$G$120&lt;&gt;"acoes")))*INDEX(Inputs!$K$5:$AJ$120,0,MATCH(O$2,Inputs!$K$4:$AJ$4,0)))+SUMPRODUCT((Inputs!$C$5:$C$120=$B17)*Inputs!$D$5:$D$120*(((Inputs!$G$5:$G$120="moeda")+(Inputs!$G$5:$G$120="acoes"))*Inputs!$B$1+((Inputs!$G$5:$G$120&lt;&gt;"moeda")*(Inputs!$G$5:$G$120&lt;&gt;"acoes")))*INDEX(Inputs!$K$5:$AJ$120,0,MATCH(O$2,Inputs!$K$4:$AJ$4,0)))+SUMPRODUCT((Inputs!$E$5:$E$120=$B17)*Inputs!$F$5:$F$120*(((Inputs!$G$5:$G$120="moeda")+(Inputs!$G$5:$G$120="acoes"))*Inputs!$B$1+((Inputs!$G$5:$G$120&lt;&gt;"moeda")*(Inputs!$G$5:$G$120&lt;&gt;"acoes")))*INDEX(Inputs!$K$5:$AJ$120,0,MATCH(O$2,Inputs!$K$4:$AJ$4,0)))))</f>
        <v>4798.7</v>
      </c>
      <c r="P17" s="6">
        <f>IF(ISNA(MATCH(P$2,Inputs!$K$4:$AJ$4,0)),NA(),IF(SUMPRODUCT((Inputs!$A$5:$A$120=$B17)*ISNUMBER(INDEX(Inputs!$K$5:$AJ$120,0,MATCH(P$2,Inputs!$K$4:$AJ$4,0))))+SUMPRODUCT((Inputs!$C$5:$C$120=$B17)*ISNUMBER(INDEX(Inputs!$K$5:$AJ$120,0,MATCH(P$2,Inputs!$K$4:$AJ$4,0))))+SUMPRODUCT((Inputs!$E$5:$E$120=$B17)*ISNUMBER(INDEX(Inputs!$K$5:$AJ$120,0,MATCH(P$2,Inputs!$K$4:$AJ$4,0))))=0,NA(),SUMPRODUCT((Inputs!$A$5:$A$120=$B17)*Inputs!$B$5:$B$120*(((Inputs!$G$5:$G$120="moeda")+(Inputs!$G$5:$G$120="acoes"))*Inputs!$B$1+((Inputs!$G$5:$G$120&lt;&gt;"moeda")*(Inputs!$G$5:$G$120&lt;&gt;"acoes")))*INDEX(Inputs!$K$5:$AJ$120,0,MATCH(P$2,Inputs!$K$4:$AJ$4,0)))+SUMPRODUCT((Inputs!$C$5:$C$120=$B17)*Inputs!$D$5:$D$120*(((Inputs!$G$5:$G$120="moeda")+(Inputs!$G$5:$G$120="acoes"))*Inputs!$B$1+((Inputs!$G$5:$G$120&lt;&gt;"moeda")*(Inputs!$G$5:$G$120&lt;&gt;"acoes")))*INDEX(Inputs!$K$5:$AJ$120,0,MATCH(P$2,Inputs!$K$4:$AJ$4,0)))+SUMPRODUCT((Inputs!$E$5:$E$120=$B17)*Inputs!$F$5:$F$120*(((Inputs!$G$5:$G$120="moeda")+(Inputs!$G$5:$G$120="acoes"))*Inputs!$B$1+((Inputs!$G$5:$G$120&lt;&gt;"moeda")*(Inputs!$G$5:$G$120&lt;&gt;"acoes")))*INDEX(Inputs!$K$5:$AJ$120,0,MATCH(P$2,Inputs!$K$4:$AJ$4,0)))))</f>
        <v>4901.4</v>
      </c>
      <c r="Q17" s="6">
        <f>IF(ISNA(MATCH(Q$2,Inputs!$K$4:$AJ$4,0)),NA(),IF(SUMPRODUCT((Inputs!$A$5:$A$120=$B17)*ISNUMBER(INDEX(Inputs!$K$5:$AJ$120,0,MATCH(Q$2,Inputs!$K$4:$AJ$4,0))))+SUMPRODUCT((Inputs!$C$5:$C$120=$B17)*ISNUMBER(INDEX(Inputs!$K$5:$AJ$120,0,MATCH(Q$2,Inputs!$K$4:$AJ$4,0))))+SUMPRODUCT((Inputs!$E$5:$E$120=$B17)*ISNUMBER(INDEX(Inputs!$K$5:$AJ$120,0,MATCH(Q$2,Inputs!$K$4:$AJ$4,0))))=0,NA(),SUMPRODUCT((Inputs!$A$5:$A$120=$B17)*Inputs!$B$5:$B$120*(((Inputs!$G$5:$G$120="moeda")+(Inputs!$G$5:$G$120="acoes"))*Inputs!$B$1+((Inputs!$G$5:$G$120&lt;&gt;"moeda")*(Inputs!$G$5:$G$120&lt;&gt;"acoes")))*INDEX(Inputs!$K$5:$AJ$120,0,MATCH(Q$2,Inputs!$K$4:$AJ$4,0)))+SUMPRODUCT((Inputs!$C$5:$C$120=$B17)*Inputs!$D$5:$D$120*(((Inputs!$G$5:$G$120="moeda")+(Inputs!$G$5:$G$120="acoes"))*Inputs!$B$1+((Inputs!$G$5:$G$120&lt;&gt;"moeda")*(Inputs!$G$5:$G$120&lt;&gt;"acoes")))*INDEX(Inputs!$K$5:$AJ$120,0,MATCH(Q$2,Inputs!$K$4:$AJ$4,0)))+SUMPRODUCT((Inputs!$E$5:$E$120=$B17)*Inputs!$F$5:$F$120*(((Inputs!$G$5:$G$120="moeda")+(Inputs!$G$5:$G$120="acoes"))*Inputs!$B$1+((Inputs!$G$5:$G$120&lt;&gt;"moeda")*(Inputs!$G$5:$G$120&lt;&gt;"acoes")))*INDEX(Inputs!$K$5:$AJ$120,0,MATCH(Q$2,Inputs!$K$4:$AJ$4,0)))))</f>
        <v>5772.8</v>
      </c>
      <c r="R17" s="3">
        <f>Q17</f>
        <v>5772.8</v>
      </c>
      <c r="S17" s="6">
        <f>IF(ISNA(MATCH(S$2,Inputs!$K$4:$AJ$4,0)),NA(),IF(SUMPRODUCT((Inputs!$A$5:$A$120=$B17)*ISNUMBER(INDEX(Inputs!$K$5:$AJ$120,0,MATCH(S$2,Inputs!$K$4:$AJ$4,0))))+SUMPRODUCT((Inputs!$C$5:$C$120=$B17)*ISNUMBER(INDEX(Inputs!$K$5:$AJ$120,0,MATCH(S$2,Inputs!$K$4:$AJ$4,0))))+SUMPRODUCT((Inputs!$E$5:$E$120=$B17)*ISNUMBER(INDEX(Inputs!$K$5:$AJ$120,0,MATCH(S$2,Inputs!$K$4:$AJ$4,0))))=0,NA(),SUMPRODUCT((Inputs!$A$5:$A$120=$B17)*Inputs!$B$5:$B$120*(((Inputs!$G$5:$G$120="moeda")+(Inputs!$G$5:$G$120="acoes"))*Inputs!$B$1+((Inputs!$G$5:$G$120&lt;&gt;"moeda")*(Inputs!$G$5:$G$120&lt;&gt;"acoes")))*INDEX(Inputs!$K$5:$AJ$120,0,MATCH(S$2,Inputs!$K$4:$AJ$4,0)))+SUMPRODUCT((Inputs!$C$5:$C$120=$B17)*Inputs!$D$5:$D$120*(((Inputs!$G$5:$G$120="moeda")+(Inputs!$G$5:$G$120="acoes"))*Inputs!$B$1+((Inputs!$G$5:$G$120&lt;&gt;"moeda")*(Inputs!$G$5:$G$120&lt;&gt;"acoes")))*INDEX(Inputs!$K$5:$AJ$120,0,MATCH(S$2,Inputs!$K$4:$AJ$4,0)))+SUMPRODUCT((Inputs!$E$5:$E$120=$B17)*Inputs!$F$5:$F$120*(((Inputs!$G$5:$G$120="moeda")+(Inputs!$G$5:$G$120="acoes"))*Inputs!$B$1+((Inputs!$G$5:$G$120&lt;&gt;"moeda")*(Inputs!$G$5:$G$120&lt;&gt;"acoes")))*INDEX(Inputs!$K$5:$AJ$120,0,MATCH(S$2,Inputs!$K$4:$AJ$4,0)))))</f>
        <v>6101.8</v>
      </c>
      <c r="T17" s="6">
        <f>IF(ISNA(MATCH(T$2,Inputs!$K$4:$AJ$4,0)),NA(),IF(SUMPRODUCT((Inputs!$A$5:$A$120=$B17)*ISNUMBER(INDEX(Inputs!$K$5:$AJ$120,0,MATCH(T$2,Inputs!$K$4:$AJ$4,0))))+SUMPRODUCT((Inputs!$C$5:$C$120=$B17)*ISNUMBER(INDEX(Inputs!$K$5:$AJ$120,0,MATCH(T$2,Inputs!$K$4:$AJ$4,0))))+SUMPRODUCT((Inputs!$E$5:$E$120=$B17)*ISNUMBER(INDEX(Inputs!$K$5:$AJ$120,0,MATCH(T$2,Inputs!$K$4:$AJ$4,0))))=0,NA(),SUMPRODUCT((Inputs!$A$5:$A$120=$B17)*Inputs!$B$5:$B$120*(((Inputs!$G$5:$G$120="moeda")+(Inputs!$G$5:$G$120="acoes"))*Inputs!$B$1+((Inputs!$G$5:$G$120&lt;&gt;"moeda")*(Inputs!$G$5:$G$120&lt;&gt;"acoes")))*INDEX(Inputs!$K$5:$AJ$120,0,MATCH(T$2,Inputs!$K$4:$AJ$4,0)))+SUMPRODUCT((Inputs!$C$5:$C$120=$B17)*Inputs!$D$5:$D$120*(((Inputs!$G$5:$G$120="moeda")+(Inputs!$G$5:$G$120="acoes"))*Inputs!$B$1+((Inputs!$G$5:$G$120&lt;&gt;"moeda")*(Inputs!$G$5:$G$120&lt;&gt;"acoes")))*INDEX(Inputs!$K$5:$AJ$120,0,MATCH(T$2,Inputs!$K$4:$AJ$4,0)))+SUMPRODUCT((Inputs!$E$5:$E$120=$B17)*Inputs!$F$5:$F$120*(((Inputs!$G$5:$G$120="moeda")+(Inputs!$G$5:$G$120="acoes"))*Inputs!$B$1+((Inputs!$G$5:$G$120&lt;&gt;"moeda")*(Inputs!$G$5:$G$120&lt;&gt;"acoes")))*INDEX(Inputs!$K$5:$AJ$120,0,MATCH(T$2,Inputs!$K$4:$AJ$4,0)))))</f>
        <v>6481.5</v>
      </c>
      <c r="U17" s="6">
        <f>IF(ISNA(MATCH(U$2,Inputs!$K$4:$AJ$4,0)),NA(),IF(SUMPRODUCT((Inputs!$A$5:$A$120=$B17)*ISNUMBER(INDEX(Inputs!$K$5:$AJ$120,0,MATCH(U$2,Inputs!$K$4:$AJ$4,0))))+SUMPRODUCT((Inputs!$C$5:$C$120=$B17)*ISNUMBER(INDEX(Inputs!$K$5:$AJ$120,0,MATCH(U$2,Inputs!$K$4:$AJ$4,0))))+SUMPRODUCT((Inputs!$E$5:$E$120=$B17)*ISNUMBER(INDEX(Inputs!$K$5:$AJ$120,0,MATCH(U$2,Inputs!$K$4:$AJ$4,0))))=0,NA(),SUMPRODUCT((Inputs!$A$5:$A$120=$B17)*Inputs!$B$5:$B$120*(((Inputs!$G$5:$G$120="moeda")+(Inputs!$G$5:$G$120="acoes"))*Inputs!$B$1+((Inputs!$G$5:$G$120&lt;&gt;"moeda")*(Inputs!$G$5:$G$120&lt;&gt;"acoes")))*INDEX(Inputs!$K$5:$AJ$120,0,MATCH(U$2,Inputs!$K$4:$AJ$4,0)))+SUMPRODUCT((Inputs!$C$5:$C$120=$B17)*Inputs!$D$5:$D$120*(((Inputs!$G$5:$G$120="moeda")+(Inputs!$G$5:$G$120="acoes"))*Inputs!$B$1+((Inputs!$G$5:$G$120&lt;&gt;"moeda")*(Inputs!$G$5:$G$120&lt;&gt;"acoes")))*INDEX(Inputs!$K$5:$AJ$120,0,MATCH(U$2,Inputs!$K$4:$AJ$4,0)))+SUMPRODUCT((Inputs!$E$5:$E$120=$B17)*Inputs!$F$5:$F$120*(((Inputs!$G$5:$G$120="moeda")+(Inputs!$G$5:$G$120="acoes"))*Inputs!$B$1+((Inputs!$G$5:$G$120&lt;&gt;"moeda")*(Inputs!$G$5:$G$120&lt;&gt;"acoes")))*INDEX(Inputs!$K$5:$AJ$120,0,MATCH(U$2,Inputs!$K$4:$AJ$4,0)))))</f>
        <v>7459.8</v>
      </c>
      <c r="V17" s="6">
        <f>IF(ISNA(MATCH(V$2,Inputs!$K$4:$AJ$4,0)),NA(),IF(SUMPRODUCT((Inputs!$A$5:$A$120=$B17)*ISNUMBER(INDEX(Inputs!$K$5:$AJ$120,0,MATCH(V$2,Inputs!$K$4:$AJ$4,0))))+SUMPRODUCT((Inputs!$C$5:$C$120=$B17)*ISNUMBER(INDEX(Inputs!$K$5:$AJ$120,0,MATCH(V$2,Inputs!$K$4:$AJ$4,0))))+SUMPRODUCT((Inputs!$E$5:$E$120=$B17)*ISNUMBER(INDEX(Inputs!$K$5:$AJ$120,0,MATCH(V$2,Inputs!$K$4:$AJ$4,0))))=0,NA(),SUMPRODUCT((Inputs!$A$5:$A$120=$B17)*Inputs!$B$5:$B$120*(((Inputs!$G$5:$G$120="moeda")+(Inputs!$G$5:$G$120="acoes"))*Inputs!$B$1+((Inputs!$G$5:$G$120&lt;&gt;"moeda")*(Inputs!$G$5:$G$120&lt;&gt;"acoes")))*INDEX(Inputs!$K$5:$AJ$120,0,MATCH(V$2,Inputs!$K$4:$AJ$4,0)))+SUMPRODUCT((Inputs!$C$5:$C$120=$B17)*Inputs!$D$5:$D$120*(((Inputs!$G$5:$G$120="moeda")+(Inputs!$G$5:$G$120="acoes"))*Inputs!$B$1+((Inputs!$G$5:$G$120&lt;&gt;"moeda")*(Inputs!$G$5:$G$120&lt;&gt;"acoes")))*INDEX(Inputs!$K$5:$AJ$120,0,MATCH(V$2,Inputs!$K$4:$AJ$4,0)))+SUMPRODUCT((Inputs!$E$5:$E$120=$B17)*Inputs!$F$5:$F$120*(((Inputs!$G$5:$G$120="moeda")+(Inputs!$G$5:$G$120="acoes"))*Inputs!$B$1+((Inputs!$G$5:$G$120&lt;&gt;"moeda")*(Inputs!$G$5:$G$120&lt;&gt;"acoes")))*INDEX(Inputs!$K$5:$AJ$120,0,MATCH(V$2,Inputs!$K$4:$AJ$4,0)))))</f>
        <v>7589.2</v>
      </c>
      <c r="W17" s="3">
        <f>V17</f>
        <v>7589.2</v>
      </c>
      <c r="X17" s="6">
        <f>IF(ISNA(MATCH(X$2,Inputs!$K$4:$AJ$4,0)),NA(),IF(SUMPRODUCT((Inputs!$A$5:$A$120=$B17)*ISNUMBER(INDEX(Inputs!$K$5:$AJ$120,0,MATCH(X$2,Inputs!$K$4:$AJ$4,0))))+SUMPRODUCT((Inputs!$C$5:$C$120=$B17)*ISNUMBER(INDEX(Inputs!$K$5:$AJ$120,0,MATCH(X$2,Inputs!$K$4:$AJ$4,0))))+SUMPRODUCT((Inputs!$E$5:$E$120=$B17)*ISNUMBER(INDEX(Inputs!$K$5:$AJ$120,0,MATCH(X$2,Inputs!$K$4:$AJ$4,0))))=0,NA(),SUMPRODUCT((Inputs!$A$5:$A$120=$B17)*Inputs!$B$5:$B$120*(((Inputs!$G$5:$G$120="moeda")+(Inputs!$G$5:$G$120="acoes"))*Inputs!$B$1+((Inputs!$G$5:$G$120&lt;&gt;"moeda")*(Inputs!$G$5:$G$120&lt;&gt;"acoes")))*INDEX(Inputs!$K$5:$AJ$120,0,MATCH(X$2,Inputs!$K$4:$AJ$4,0)))+SUMPRODUCT((Inputs!$C$5:$C$120=$B17)*Inputs!$D$5:$D$120*(((Inputs!$G$5:$G$120="moeda")+(Inputs!$G$5:$G$120="acoes"))*Inputs!$B$1+((Inputs!$G$5:$G$120&lt;&gt;"moeda")*(Inputs!$G$5:$G$120&lt;&gt;"acoes")))*INDEX(Inputs!$K$5:$AJ$120,0,MATCH(X$2,Inputs!$K$4:$AJ$4,0)))+SUMPRODUCT((Inputs!$E$5:$E$120=$B17)*Inputs!$F$5:$F$120*(((Inputs!$G$5:$G$120="moeda")+(Inputs!$G$5:$G$120="acoes"))*Inputs!$B$1+((Inputs!$G$5:$G$120&lt;&gt;"moeda")*(Inputs!$G$5:$G$120&lt;&gt;"acoes")))*INDEX(Inputs!$K$5:$AJ$120,0,MATCH(X$2,Inputs!$K$4:$AJ$4,0)))))</f>
        <v>9311</v>
      </c>
      <c r="Y17" s="6">
        <f>IF(ISNA(MATCH(Y$2,Inputs!$K$4:$AJ$4,0)),NA(),IF(SUMPRODUCT((Inputs!$A$5:$A$120=$B17)*ISNUMBER(INDEX(Inputs!$K$5:$AJ$120,0,MATCH(Y$2,Inputs!$K$4:$AJ$4,0))))+SUMPRODUCT((Inputs!$C$5:$C$120=$B17)*ISNUMBER(INDEX(Inputs!$K$5:$AJ$120,0,MATCH(Y$2,Inputs!$K$4:$AJ$4,0))))+SUMPRODUCT((Inputs!$E$5:$E$120=$B17)*ISNUMBER(INDEX(Inputs!$K$5:$AJ$120,0,MATCH(Y$2,Inputs!$K$4:$AJ$4,0))))=0,NA(),SUMPRODUCT((Inputs!$A$5:$A$120=$B17)*Inputs!$B$5:$B$120*(((Inputs!$G$5:$G$120="moeda")+(Inputs!$G$5:$G$120="acoes"))*Inputs!$B$1+((Inputs!$G$5:$G$120&lt;&gt;"moeda")*(Inputs!$G$5:$G$120&lt;&gt;"acoes")))*INDEX(Inputs!$K$5:$AJ$120,0,MATCH(Y$2,Inputs!$K$4:$AJ$4,0)))+SUMPRODUCT((Inputs!$C$5:$C$120=$B17)*Inputs!$D$5:$D$120*(((Inputs!$G$5:$G$120="moeda")+(Inputs!$G$5:$G$120="acoes"))*Inputs!$B$1+((Inputs!$G$5:$G$120&lt;&gt;"moeda")*(Inputs!$G$5:$G$120&lt;&gt;"acoes")))*INDEX(Inputs!$K$5:$AJ$120,0,MATCH(Y$2,Inputs!$K$4:$AJ$4,0)))+SUMPRODUCT((Inputs!$E$5:$E$120=$B17)*Inputs!$F$5:$F$120*(((Inputs!$G$5:$G$120="moeda")+(Inputs!$G$5:$G$120="acoes"))*Inputs!$B$1+((Inputs!$G$5:$G$120&lt;&gt;"moeda")*(Inputs!$G$5:$G$120&lt;&gt;"acoes")))*INDEX(Inputs!$K$5:$AJ$120,0,MATCH(Y$2,Inputs!$K$4:$AJ$4,0)))))</f>
        <v>11013.8</v>
      </c>
      <c r="Z17" s="6">
        <f>IF(ISNA(MATCH(Z$2,Inputs!$K$4:$AJ$4,0)),NA(),IF(SUMPRODUCT((Inputs!$A$5:$A$120=$B17)*ISNUMBER(INDEX(Inputs!$K$5:$AJ$120,0,MATCH(Z$2,Inputs!$K$4:$AJ$4,0))))+SUMPRODUCT((Inputs!$C$5:$C$120=$B17)*ISNUMBER(INDEX(Inputs!$K$5:$AJ$120,0,MATCH(Z$2,Inputs!$K$4:$AJ$4,0))))+SUMPRODUCT((Inputs!$E$5:$E$120=$B17)*ISNUMBER(INDEX(Inputs!$K$5:$AJ$120,0,MATCH(Z$2,Inputs!$K$4:$AJ$4,0))))=0,NA(),SUMPRODUCT((Inputs!$A$5:$A$120=$B17)*Inputs!$B$5:$B$120*(((Inputs!$G$5:$G$120="moeda")+(Inputs!$G$5:$G$120="acoes"))*Inputs!$B$1+((Inputs!$G$5:$G$120&lt;&gt;"moeda")*(Inputs!$G$5:$G$120&lt;&gt;"acoes")))*INDEX(Inputs!$K$5:$AJ$120,0,MATCH(Z$2,Inputs!$K$4:$AJ$4,0)))+SUMPRODUCT((Inputs!$C$5:$C$120=$B17)*Inputs!$D$5:$D$120*(((Inputs!$G$5:$G$120="moeda")+(Inputs!$G$5:$G$120="acoes"))*Inputs!$B$1+((Inputs!$G$5:$G$120&lt;&gt;"moeda")*(Inputs!$G$5:$G$120&lt;&gt;"acoes")))*INDEX(Inputs!$K$5:$AJ$120,0,MATCH(Z$2,Inputs!$K$4:$AJ$4,0)))+SUMPRODUCT((Inputs!$E$5:$E$120=$B17)*Inputs!$F$5:$F$120*(((Inputs!$G$5:$G$120="moeda")+(Inputs!$G$5:$G$120="acoes"))*Inputs!$B$1+((Inputs!$G$5:$G$120&lt;&gt;"moeda")*(Inputs!$G$5:$G$120&lt;&gt;"acoes")))*INDEX(Inputs!$K$5:$AJ$120,0,MATCH(Z$2,Inputs!$K$4:$AJ$4,0)))))</f>
        <v>12180.4</v>
      </c>
      <c r="AA17" s="6">
        <f>IF(ISNA(MATCH(AA$2,Inputs!$K$4:$AJ$4,0)),NA(),IF(SUMPRODUCT((Inputs!$A$5:$A$120=$B17)*ISNUMBER(INDEX(Inputs!$K$5:$AJ$120,0,MATCH(AA$2,Inputs!$K$4:$AJ$4,0))))+SUMPRODUCT((Inputs!$C$5:$C$120=$B17)*ISNUMBER(INDEX(Inputs!$K$5:$AJ$120,0,MATCH(AA$2,Inputs!$K$4:$AJ$4,0))))+SUMPRODUCT((Inputs!$E$5:$E$120=$B17)*ISNUMBER(INDEX(Inputs!$K$5:$AJ$120,0,MATCH(AA$2,Inputs!$K$4:$AJ$4,0))))=0,NA(),SUMPRODUCT((Inputs!$A$5:$A$120=$B17)*Inputs!$B$5:$B$120*(((Inputs!$G$5:$G$120="moeda")+(Inputs!$G$5:$G$120="acoes"))*Inputs!$B$1+((Inputs!$G$5:$G$120&lt;&gt;"moeda")*(Inputs!$G$5:$G$120&lt;&gt;"acoes")))*INDEX(Inputs!$K$5:$AJ$120,0,MATCH(AA$2,Inputs!$K$4:$AJ$4,0)))+SUMPRODUCT((Inputs!$C$5:$C$120=$B17)*Inputs!$D$5:$D$120*(((Inputs!$G$5:$G$120="moeda")+(Inputs!$G$5:$G$120="acoes"))*Inputs!$B$1+((Inputs!$G$5:$G$120&lt;&gt;"moeda")*(Inputs!$G$5:$G$120&lt;&gt;"acoes")))*INDEX(Inputs!$K$5:$AJ$120,0,MATCH(AA$2,Inputs!$K$4:$AJ$4,0)))+SUMPRODUCT((Inputs!$E$5:$E$120=$B17)*Inputs!$F$5:$F$120*(((Inputs!$G$5:$G$120="moeda")+(Inputs!$G$5:$G$120="acoes"))*Inputs!$B$1+((Inputs!$G$5:$G$120&lt;&gt;"moeda")*(Inputs!$G$5:$G$120&lt;&gt;"acoes")))*INDEX(Inputs!$K$5:$AJ$120,0,MATCH(AA$2,Inputs!$K$4:$AJ$4,0)))))</f>
        <v>13744</v>
      </c>
      <c r="AB17" s="3">
        <f>AA17</f>
        <v>13744</v>
      </c>
      <c r="AC17" s="6">
        <f>IF(ISNA(MATCH(AC$2,Inputs!$K$4:$AJ$4,0)),NA(),IF(SUMPRODUCT((Inputs!$A$5:$A$120=$B17)*ISNUMBER(INDEX(Inputs!$K$5:$AJ$120,0,MATCH(AC$2,Inputs!$K$4:$AJ$4,0))))+SUMPRODUCT((Inputs!$C$5:$C$120=$B17)*ISNUMBER(INDEX(Inputs!$K$5:$AJ$120,0,MATCH(AC$2,Inputs!$K$4:$AJ$4,0))))+SUMPRODUCT((Inputs!$E$5:$E$120=$B17)*ISNUMBER(INDEX(Inputs!$K$5:$AJ$120,0,MATCH(AC$2,Inputs!$K$4:$AJ$4,0))))=0,NA(),SUMPRODUCT((Inputs!$A$5:$A$120=$B17)*Inputs!$B$5:$B$120*(((Inputs!$G$5:$G$120="moeda")+(Inputs!$G$5:$G$120="acoes"))*Inputs!$B$1+((Inputs!$G$5:$G$120&lt;&gt;"moeda")*(Inputs!$G$5:$G$120&lt;&gt;"acoes")))*INDEX(Inputs!$K$5:$AJ$120,0,MATCH(AC$2,Inputs!$K$4:$AJ$4,0)))+SUMPRODUCT((Inputs!$C$5:$C$120=$B17)*Inputs!$D$5:$D$120*(((Inputs!$G$5:$G$120="moeda")+(Inputs!$G$5:$G$120="acoes"))*Inputs!$B$1+((Inputs!$G$5:$G$120&lt;&gt;"moeda")*(Inputs!$G$5:$G$120&lt;&gt;"acoes")))*INDEX(Inputs!$K$5:$AJ$120,0,MATCH(AC$2,Inputs!$K$4:$AJ$4,0)))+SUMPRODUCT((Inputs!$E$5:$E$120=$B17)*Inputs!$F$5:$F$120*(((Inputs!$G$5:$G$120="moeda")+(Inputs!$G$5:$G$120="acoes"))*Inputs!$B$1+((Inputs!$G$5:$G$120&lt;&gt;"moeda")*(Inputs!$G$5:$G$120&lt;&gt;"acoes")))*INDEX(Inputs!$K$5:$AJ$120,0,MATCH(AC$2,Inputs!$K$4:$AJ$4,0)))))</f>
        <v>14529</v>
      </c>
      <c r="AD17" s="6">
        <f>IF(ISNA(MATCH(AD$2,Inputs!$K$4:$AJ$4,0)),NA(),IF(SUMPRODUCT((Inputs!$A$5:$A$120=$B17)*ISNUMBER(INDEX(Inputs!$K$5:$AJ$120,0,MATCH(AD$2,Inputs!$K$4:$AJ$4,0))))+SUMPRODUCT((Inputs!$C$5:$C$120=$B17)*ISNUMBER(INDEX(Inputs!$K$5:$AJ$120,0,MATCH(AD$2,Inputs!$K$4:$AJ$4,0))))+SUMPRODUCT((Inputs!$E$5:$E$120=$B17)*ISNUMBER(INDEX(Inputs!$K$5:$AJ$120,0,MATCH(AD$2,Inputs!$K$4:$AJ$4,0))))=0,NA(),SUMPRODUCT((Inputs!$A$5:$A$120=$B17)*Inputs!$B$5:$B$120*(((Inputs!$G$5:$G$120="moeda")+(Inputs!$G$5:$G$120="acoes"))*Inputs!$B$1+((Inputs!$G$5:$G$120&lt;&gt;"moeda")*(Inputs!$G$5:$G$120&lt;&gt;"acoes")))*INDEX(Inputs!$K$5:$AJ$120,0,MATCH(AD$2,Inputs!$K$4:$AJ$4,0)))+SUMPRODUCT((Inputs!$C$5:$C$120=$B17)*Inputs!$D$5:$D$120*(((Inputs!$G$5:$G$120="moeda")+(Inputs!$G$5:$G$120="acoes"))*Inputs!$B$1+((Inputs!$G$5:$G$120&lt;&gt;"moeda")*(Inputs!$G$5:$G$120&lt;&gt;"acoes")))*INDEX(Inputs!$K$5:$AJ$120,0,MATCH(AD$2,Inputs!$K$4:$AJ$4,0)))+SUMPRODUCT((Inputs!$E$5:$E$120=$B17)*Inputs!$F$5:$F$120*(((Inputs!$G$5:$G$120="moeda")+(Inputs!$G$5:$G$120="acoes"))*Inputs!$B$1+((Inputs!$G$5:$G$120&lt;&gt;"moeda")*(Inputs!$G$5:$G$120&lt;&gt;"acoes")))*INDEX(Inputs!$K$5:$AJ$120,0,MATCH(AD$2,Inputs!$K$4:$AJ$4,0)))))</f>
        <v>16793</v>
      </c>
      <c r="AE17" s="6" t="e">
        <f>IF(ISNA(MATCH(AE$2,Inputs!$K$4:$AJ$4,0)),NA(),IF(SUMPRODUCT((Inputs!$A$5:$A$120=$B17)*ISNUMBER(INDEX(Inputs!$K$5:$AJ$120,0,MATCH(AE$2,Inputs!$K$4:$AJ$4,0))))+SUMPRODUCT((Inputs!$C$5:$C$120=$B17)*ISNUMBER(INDEX(Inputs!$K$5:$AJ$120,0,MATCH(AE$2,Inputs!$K$4:$AJ$4,0))))+SUMPRODUCT((Inputs!$E$5:$E$120=$B17)*ISNUMBER(INDEX(Inputs!$K$5:$AJ$120,0,MATCH(AE$2,Inputs!$K$4:$AJ$4,0))))=0,NA(),SUMPRODUCT((Inputs!$A$5:$A$120=$B17)*Inputs!$B$5:$B$120*(((Inputs!$G$5:$G$120="moeda")+(Inputs!$G$5:$G$120="acoes"))*Inputs!$B$1+((Inputs!$G$5:$G$120&lt;&gt;"moeda")*(Inputs!$G$5:$G$120&lt;&gt;"acoes")))*INDEX(Inputs!$K$5:$AJ$120,0,MATCH(AE$2,Inputs!$K$4:$AJ$4,0)))+SUMPRODUCT((Inputs!$C$5:$C$120=$B17)*Inputs!$D$5:$D$120*(((Inputs!$G$5:$G$120="moeda")+(Inputs!$G$5:$G$120="acoes"))*Inputs!$B$1+((Inputs!$G$5:$G$120&lt;&gt;"moeda")*(Inputs!$G$5:$G$120&lt;&gt;"acoes")))*INDEX(Inputs!$K$5:$AJ$120,0,MATCH(AE$2,Inputs!$K$4:$AJ$4,0)))+SUMPRODUCT((Inputs!$E$5:$E$120=$B17)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7" s="6" t="e">
        <f>IF(ISNA(MATCH(AF$2,Inputs!$K$4:$AJ$4,0)),NA(),IF(SUMPRODUCT((Inputs!$A$5:$A$120=$B17)*ISNUMBER(INDEX(Inputs!$K$5:$AJ$120,0,MATCH(AF$2,Inputs!$K$4:$AJ$4,0))))+SUMPRODUCT((Inputs!$C$5:$C$120=$B17)*ISNUMBER(INDEX(Inputs!$K$5:$AJ$120,0,MATCH(AF$2,Inputs!$K$4:$AJ$4,0))))+SUMPRODUCT((Inputs!$E$5:$E$120=$B17)*ISNUMBER(INDEX(Inputs!$K$5:$AJ$120,0,MATCH(AF$2,Inputs!$K$4:$AJ$4,0))))=0,NA(),SUMPRODUCT((Inputs!$A$5:$A$120=$B17)*Inputs!$B$5:$B$120*(((Inputs!$G$5:$G$120="moeda")+(Inputs!$G$5:$G$120="acoes"))*Inputs!$B$1+((Inputs!$G$5:$G$120&lt;&gt;"moeda")*(Inputs!$G$5:$G$120&lt;&gt;"acoes")))*INDEX(Inputs!$K$5:$AJ$120,0,MATCH(AF$2,Inputs!$K$4:$AJ$4,0)))+SUMPRODUCT((Inputs!$C$5:$C$120=$B17)*Inputs!$D$5:$D$120*(((Inputs!$G$5:$G$120="moeda")+(Inputs!$G$5:$G$120="acoes"))*Inputs!$B$1+((Inputs!$G$5:$G$120&lt;&gt;"moeda")*(Inputs!$G$5:$G$120&lt;&gt;"acoes")))*INDEX(Inputs!$K$5:$AJ$120,0,MATCH(AF$2,Inputs!$K$4:$AJ$4,0)))+SUMPRODUCT((Inputs!$E$5:$E$120=$B17)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7" s="3" t="e">
        <f>AF17</f>
        <v>#N/A</v>
      </c>
      <c r="AH17" s="6">
        <f>IF(ISNA(MATCH(AH$2,Inputs!$K$4:$AJ$4,0)),NA(),IF(SUMPRODUCT((Inputs!$A$5:$A$120=$B17)*ISNUMBER(INDEX(Inputs!$K$5:$AJ$120,0,MATCH(AH$2,Inputs!$K$4:$AJ$4,0))))+SUMPRODUCT((Inputs!$C$5:$C$120=$B17)*ISNUMBER(INDEX(Inputs!$K$5:$AJ$120,0,MATCH(AH$2,Inputs!$K$4:$AJ$4,0))))+SUMPRODUCT((Inputs!$E$5:$E$120=$B17)*ISNUMBER(INDEX(Inputs!$K$5:$AJ$120,0,MATCH(AH$2,Inputs!$K$4:$AJ$4,0))))=0,NA(),SUMPRODUCT((Inputs!$A$5:$A$120=$B17)*Inputs!$B$5:$B$120*(((Inputs!$G$5:$G$120="moeda")+(Inputs!$G$5:$G$120="acoes"))*Inputs!$B$1+((Inputs!$G$5:$G$120&lt;&gt;"moeda")*(Inputs!$G$5:$G$120&lt;&gt;"acoes")))*INDEX(Inputs!$K$5:$AJ$120,0,MATCH(AH$2,Inputs!$K$4:$AJ$4,0)))+SUMPRODUCT((Inputs!$C$5:$C$120=$B17)*Inputs!$D$5:$D$120*(((Inputs!$G$5:$G$120="moeda")+(Inputs!$G$5:$G$120="acoes"))*Inputs!$B$1+((Inputs!$G$5:$G$120&lt;&gt;"moeda")*(Inputs!$G$5:$G$120&lt;&gt;"acoes")))*INDEX(Inputs!$K$5:$AJ$120,0,MATCH(AH$2,Inputs!$K$4:$AJ$4,0)))+SUMPRODUCT((Inputs!$E$5:$E$120=$B17)*Inputs!$F$5:$F$120*(((Inputs!$G$5:$G$120="moeda")+(Inputs!$G$5:$G$120="acoes"))*Inputs!$B$1+((Inputs!$G$5:$G$120&lt;&gt;"moeda")*(Inputs!$G$5:$G$120&lt;&gt;"acoes")))*INDEX(Inputs!$K$5:$AJ$120,0,MATCH(AH$2,Inputs!$K$4:$AJ$4,0)))))</f>
        <v>3102.4</v>
      </c>
      <c r="AI17" s="6">
        <f>IF(ISNA(MATCH(AI$2,Inputs!$K$4:$AJ$4,0)),NA(),IF(SUMPRODUCT((Inputs!$A$5:$A$120=$B17)*ISNUMBER(INDEX(Inputs!$K$5:$AJ$120,0,MATCH(AI$2,Inputs!$K$4:$AJ$4,0))))+SUMPRODUCT((Inputs!$C$5:$C$120=$B17)*ISNUMBER(INDEX(Inputs!$K$5:$AJ$120,0,MATCH(AI$2,Inputs!$K$4:$AJ$4,0))))+SUMPRODUCT((Inputs!$E$5:$E$120=$B17)*ISNUMBER(INDEX(Inputs!$K$5:$AJ$120,0,MATCH(AI$2,Inputs!$K$4:$AJ$4,0))))=0,NA(),SUMPRODUCT((Inputs!$A$5:$A$120=$B17)*Inputs!$B$5:$B$120*(((Inputs!$G$5:$G$120="moeda")+(Inputs!$G$5:$G$120="acoes"))*Inputs!$B$1+((Inputs!$G$5:$G$120&lt;&gt;"moeda")*(Inputs!$G$5:$G$120&lt;&gt;"acoes")))*INDEX(Inputs!$K$5:$AJ$120,0,MATCH(AI$2,Inputs!$K$4:$AJ$4,0)))+SUMPRODUCT((Inputs!$C$5:$C$120=$B17)*Inputs!$D$5:$D$120*(((Inputs!$G$5:$G$120="moeda")+(Inputs!$G$5:$G$120="acoes"))*Inputs!$B$1+((Inputs!$G$5:$G$120&lt;&gt;"moeda")*(Inputs!$G$5:$G$120&lt;&gt;"acoes")))*INDEX(Inputs!$K$5:$AJ$120,0,MATCH(AI$2,Inputs!$K$4:$AJ$4,0)))+SUMPRODUCT((Inputs!$E$5:$E$120=$B17)*Inputs!$F$5:$F$120*(((Inputs!$G$5:$G$120="moeda")+(Inputs!$G$5:$G$120="acoes"))*Inputs!$B$1+((Inputs!$G$5:$G$120&lt;&gt;"moeda")*(Inputs!$G$5:$G$120&lt;&gt;"acoes")))*INDEX(Inputs!$K$5:$AJ$120,0,MATCH(AI$2,Inputs!$K$4:$AJ$4,0)))))</f>
        <v>3313.9</v>
      </c>
      <c r="AJ17" s="6">
        <f>IF(ISNA(MATCH(AJ$2,Inputs!$K$4:$AJ$4,0)),NA(),IF(SUMPRODUCT((Inputs!$A$5:$A$120=$B17)*ISNUMBER(INDEX(Inputs!$K$5:$AJ$120,0,MATCH(AJ$2,Inputs!$K$4:$AJ$4,0))))+SUMPRODUCT((Inputs!$C$5:$C$120=$B17)*ISNUMBER(INDEX(Inputs!$K$5:$AJ$120,0,MATCH(AJ$2,Inputs!$K$4:$AJ$4,0))))+SUMPRODUCT((Inputs!$E$5:$E$120=$B17)*ISNUMBER(INDEX(Inputs!$K$5:$AJ$120,0,MATCH(AJ$2,Inputs!$K$4:$AJ$4,0))))=0,NA(),SUMPRODUCT((Inputs!$A$5:$A$120=$B17)*Inputs!$B$5:$B$120*(((Inputs!$G$5:$G$120="moeda")+(Inputs!$G$5:$G$120="acoes"))*Inputs!$B$1+((Inputs!$G$5:$G$120&lt;&gt;"moeda")*(Inputs!$G$5:$G$120&lt;&gt;"acoes")))*INDEX(Inputs!$K$5:$AJ$120,0,MATCH(AJ$2,Inputs!$K$4:$AJ$4,0)))+SUMPRODUCT((Inputs!$C$5:$C$120=$B17)*Inputs!$D$5:$D$120*(((Inputs!$G$5:$G$120="moeda")+(Inputs!$G$5:$G$120="acoes"))*Inputs!$B$1+((Inputs!$G$5:$G$120&lt;&gt;"moeda")*(Inputs!$G$5:$G$120&lt;&gt;"acoes")))*INDEX(Inputs!$K$5:$AJ$120,0,MATCH(AJ$2,Inputs!$K$4:$AJ$4,0)))+SUMPRODUCT((Inputs!$E$5:$E$120=$B17)*Inputs!$F$5:$F$120*(((Inputs!$G$5:$G$120="moeda")+(Inputs!$G$5:$G$120="acoes"))*Inputs!$B$1+((Inputs!$G$5:$G$120&lt;&gt;"moeda")*(Inputs!$G$5:$G$120&lt;&gt;"acoes")))*INDEX(Inputs!$K$5:$AJ$120,0,MATCH(AJ$2,Inputs!$K$4:$AJ$4,0)))))</f>
        <v>3555.4</v>
      </c>
      <c r="AK17" s="6">
        <f>IF(ISNA(MATCH(AK$2,Inputs!$K$4:$AJ$4,0)),NA(),IF(SUMPRODUCT((Inputs!$A$5:$A$120=$B17)*ISNUMBER(INDEX(Inputs!$K$5:$AJ$120,0,MATCH(AK$2,Inputs!$K$4:$AJ$4,0))))+SUMPRODUCT((Inputs!$C$5:$C$120=$B17)*ISNUMBER(INDEX(Inputs!$K$5:$AJ$120,0,MATCH(AK$2,Inputs!$K$4:$AJ$4,0))))+SUMPRODUCT((Inputs!$E$5:$E$120=$B17)*ISNUMBER(INDEX(Inputs!$K$5:$AJ$120,0,MATCH(AK$2,Inputs!$K$4:$AJ$4,0))))=0,NA(),SUMPRODUCT((Inputs!$A$5:$A$120=$B17)*Inputs!$B$5:$B$120*(((Inputs!$G$5:$G$120="moeda")+(Inputs!$G$5:$G$120="acoes"))*Inputs!$B$1+((Inputs!$G$5:$G$120&lt;&gt;"moeda")*(Inputs!$G$5:$G$120&lt;&gt;"acoes")))*INDEX(Inputs!$K$5:$AJ$120,0,MATCH(AK$2,Inputs!$K$4:$AJ$4,0)))+SUMPRODUCT((Inputs!$C$5:$C$120=$B17)*Inputs!$D$5:$D$120*(((Inputs!$G$5:$G$120="moeda")+(Inputs!$G$5:$G$120="acoes"))*Inputs!$B$1+((Inputs!$G$5:$G$120&lt;&gt;"moeda")*(Inputs!$G$5:$G$120&lt;&gt;"acoes")))*INDEX(Inputs!$K$5:$AJ$120,0,MATCH(AK$2,Inputs!$K$4:$AJ$4,0)))+SUMPRODUCT((Inputs!$E$5:$E$120=$B17)*Inputs!$F$5:$F$120*(((Inputs!$G$5:$G$120="moeda")+(Inputs!$G$5:$G$120="acoes"))*Inputs!$B$1+((Inputs!$G$5:$G$120&lt;&gt;"moeda")*(Inputs!$G$5:$G$120&lt;&gt;"acoes")))*INDEX(Inputs!$K$5:$AJ$120,0,MATCH(AK$2,Inputs!$K$4:$AJ$4,0)))))</f>
        <v>3980.3</v>
      </c>
      <c r="AL17" s="3">
        <f>AK17</f>
        <v>3980.3</v>
      </c>
    </row>
    <row r="18">
      <c r="B18" s="46" t="n">
        <v>14</v>
      </c>
      <c r="C18" s="26" t="inlineStr">
        <is>
          <t>Deferred income taxes</t>
        </is>
      </c>
      <c r="D18" s="6">
        <f>IF(ISNA(MATCH(D$2,Inputs!$K$4:$AJ$4,0)),NA(),IF(SUMPRODUCT((Inputs!$A$5:$A$120=$B18)*ISNUMBER(INDEX(Inputs!$K$5:$AJ$120,0,MATCH(D$2,Inputs!$K$4:$AJ$4,0))))+SUMPRODUCT((Inputs!$C$5:$C$120=$B18)*ISNUMBER(INDEX(Inputs!$K$5:$AJ$120,0,MATCH(D$2,Inputs!$K$4:$AJ$4,0))))+SUMPRODUCT((Inputs!$E$5:$E$120=$B18)*ISNUMBER(INDEX(Inputs!$K$5:$AJ$120,0,MATCH(D$2,Inputs!$K$4:$AJ$4,0))))=0,NA(),SUMPRODUCT((Inputs!$A$5:$A$120=$B18)*Inputs!$B$5:$B$120*(((Inputs!$G$5:$G$120="moeda")+(Inputs!$G$5:$G$120="acoes"))*Inputs!$B$1+((Inputs!$G$5:$G$120&lt;&gt;"moeda")*(Inputs!$G$5:$G$120&lt;&gt;"acoes")))*INDEX(Inputs!$K$5:$AJ$120,0,MATCH(D$2,Inputs!$K$4:$AJ$4,0)))+SUMPRODUCT((Inputs!$C$5:$C$120=$B18)*Inputs!$D$5:$D$120*(((Inputs!$G$5:$G$120="moeda")+(Inputs!$G$5:$G$120="acoes"))*Inputs!$B$1+((Inputs!$G$5:$G$120&lt;&gt;"moeda")*(Inputs!$G$5:$G$120&lt;&gt;"acoes")))*INDEX(Inputs!$K$5:$AJ$120,0,MATCH(D$2,Inputs!$K$4:$AJ$4,0)))+SUMPRODUCT((Inputs!$E$5:$E$120=$B18)*Inputs!$F$5:$F$120*(((Inputs!$G$5:$G$120="moeda")+(Inputs!$G$5:$G$120="acoes"))*Inputs!$B$1+((Inputs!$G$5:$G$120&lt;&gt;"moeda")*(Inputs!$G$5:$G$120&lt;&gt;"acoes")))*INDEX(Inputs!$K$5:$AJ$120,0,MATCH(D$2,Inputs!$K$4:$AJ$4,0)))))</f>
        <v>2649.9</v>
      </c>
      <c r="E18" s="6">
        <f>IF(ISNA(MATCH(E$2,Inputs!$K$4:$AJ$4,0)),NA(),IF(SUMPRODUCT((Inputs!$A$5:$A$120=$B18)*ISNUMBER(INDEX(Inputs!$K$5:$AJ$120,0,MATCH(E$2,Inputs!$K$4:$AJ$4,0))))+SUMPRODUCT((Inputs!$C$5:$C$120=$B18)*ISNUMBER(INDEX(Inputs!$K$5:$AJ$120,0,MATCH(E$2,Inputs!$K$4:$AJ$4,0))))+SUMPRODUCT((Inputs!$E$5:$E$120=$B18)*ISNUMBER(INDEX(Inputs!$K$5:$AJ$120,0,MATCH(E$2,Inputs!$K$4:$AJ$4,0))))=0,NA(),SUMPRODUCT((Inputs!$A$5:$A$120=$B18)*Inputs!$B$5:$B$120*(((Inputs!$G$5:$G$120="moeda")+(Inputs!$G$5:$G$120="acoes"))*Inputs!$B$1+((Inputs!$G$5:$G$120&lt;&gt;"moeda")*(Inputs!$G$5:$G$120&lt;&gt;"acoes")))*INDEX(Inputs!$K$5:$AJ$120,0,MATCH(E$2,Inputs!$K$4:$AJ$4,0)))+SUMPRODUCT((Inputs!$C$5:$C$120=$B18)*Inputs!$D$5:$D$120*(((Inputs!$G$5:$G$120="moeda")+(Inputs!$G$5:$G$120="acoes"))*Inputs!$B$1+((Inputs!$G$5:$G$120&lt;&gt;"moeda")*(Inputs!$G$5:$G$120&lt;&gt;"acoes")))*INDEX(Inputs!$K$5:$AJ$120,0,MATCH(E$2,Inputs!$K$4:$AJ$4,0)))+SUMPRODUCT((Inputs!$E$5:$E$120=$B18)*Inputs!$F$5:$F$120*(((Inputs!$G$5:$G$120="moeda")+(Inputs!$G$5:$G$120="acoes"))*Inputs!$B$1+((Inputs!$G$5:$G$120&lt;&gt;"moeda")*(Inputs!$G$5:$G$120&lt;&gt;"acoes")))*INDEX(Inputs!$K$5:$AJ$120,0,MATCH(E$2,Inputs!$K$4:$AJ$4,0)))))</f>
        <v>2674.9</v>
      </c>
      <c r="F18" s="6">
        <f>IF(ISNA(MATCH(F$2,Inputs!$K$4:$AJ$4,0)),NA(),IF(SUMPRODUCT((Inputs!$A$5:$A$120=$B18)*ISNUMBER(INDEX(Inputs!$K$5:$AJ$120,0,MATCH(F$2,Inputs!$K$4:$AJ$4,0))))+SUMPRODUCT((Inputs!$C$5:$C$120=$B18)*ISNUMBER(INDEX(Inputs!$K$5:$AJ$120,0,MATCH(F$2,Inputs!$K$4:$AJ$4,0))))+SUMPRODUCT((Inputs!$E$5:$E$120=$B18)*ISNUMBER(INDEX(Inputs!$K$5:$AJ$120,0,MATCH(F$2,Inputs!$K$4:$AJ$4,0))))=0,NA(),SUMPRODUCT((Inputs!$A$5:$A$120=$B18)*Inputs!$B$5:$B$120*(((Inputs!$G$5:$G$120="moeda")+(Inputs!$G$5:$G$120="acoes"))*Inputs!$B$1+((Inputs!$G$5:$G$120&lt;&gt;"moeda")*(Inputs!$G$5:$G$120&lt;&gt;"acoes")))*INDEX(Inputs!$K$5:$AJ$120,0,MATCH(F$2,Inputs!$K$4:$AJ$4,0)))+SUMPRODUCT((Inputs!$C$5:$C$120=$B18)*Inputs!$D$5:$D$120*(((Inputs!$G$5:$G$120="moeda")+(Inputs!$G$5:$G$120="acoes"))*Inputs!$B$1+((Inputs!$G$5:$G$120&lt;&gt;"moeda")*(Inputs!$G$5:$G$120&lt;&gt;"acoes")))*INDEX(Inputs!$K$5:$AJ$120,0,MATCH(F$2,Inputs!$K$4:$AJ$4,0)))+SUMPRODUCT((Inputs!$E$5:$E$120=$B18)*Inputs!$F$5:$F$120*(((Inputs!$G$5:$G$120="moeda")+(Inputs!$G$5:$G$120="acoes"))*Inputs!$B$1+((Inputs!$G$5:$G$120&lt;&gt;"moeda")*(Inputs!$G$5:$G$120&lt;&gt;"acoes")))*INDEX(Inputs!$K$5:$AJ$120,0,MATCH(F$2,Inputs!$K$4:$AJ$4,0)))))</f>
        <v>2625.6</v>
      </c>
      <c r="G18" s="6">
        <f>IF(ISNA(MATCH(G$2,Inputs!$K$4:$AJ$4,0)),NA(),IF(SUMPRODUCT((Inputs!$A$5:$A$120=$B18)*ISNUMBER(INDEX(Inputs!$K$5:$AJ$120,0,MATCH(G$2,Inputs!$K$4:$AJ$4,0))))+SUMPRODUCT((Inputs!$C$5:$C$120=$B18)*ISNUMBER(INDEX(Inputs!$K$5:$AJ$120,0,MATCH(G$2,Inputs!$K$4:$AJ$4,0))))+SUMPRODUCT((Inputs!$E$5:$E$120=$B18)*ISNUMBER(INDEX(Inputs!$K$5:$AJ$120,0,MATCH(G$2,Inputs!$K$4:$AJ$4,0))))=0,NA(),SUMPRODUCT((Inputs!$A$5:$A$120=$B18)*Inputs!$B$5:$B$120*(((Inputs!$G$5:$G$120="moeda")+(Inputs!$G$5:$G$120="acoes"))*Inputs!$B$1+((Inputs!$G$5:$G$120&lt;&gt;"moeda")*(Inputs!$G$5:$G$120&lt;&gt;"acoes")))*INDEX(Inputs!$K$5:$AJ$120,0,MATCH(G$2,Inputs!$K$4:$AJ$4,0)))+SUMPRODUCT((Inputs!$C$5:$C$120=$B18)*Inputs!$D$5:$D$120*(((Inputs!$G$5:$G$120="moeda")+(Inputs!$G$5:$G$120="acoes"))*Inputs!$B$1+((Inputs!$G$5:$G$120&lt;&gt;"moeda")*(Inputs!$G$5:$G$120&lt;&gt;"acoes")))*INDEX(Inputs!$K$5:$AJ$120,0,MATCH(G$2,Inputs!$K$4:$AJ$4,0)))+SUMPRODUCT((Inputs!$E$5:$E$120=$B18)*Inputs!$F$5:$F$120*(((Inputs!$G$5:$G$120="moeda")+(Inputs!$G$5:$G$120="acoes"))*Inputs!$B$1+((Inputs!$G$5:$G$120&lt;&gt;"moeda")*(Inputs!$G$5:$G$120&lt;&gt;"acoes")))*INDEX(Inputs!$K$5:$AJ$120,0,MATCH(G$2,Inputs!$K$4:$AJ$4,0)))))</f>
        <v>2489.3</v>
      </c>
      <c r="H18" s="3">
        <f>G18</f>
        <v>2489.3</v>
      </c>
      <c r="I18" s="6">
        <f>IF(ISNA(MATCH(I$2,Inputs!$K$4:$AJ$4,0)),NA(),IF(SUMPRODUCT((Inputs!$A$5:$A$120=$B18)*ISNUMBER(INDEX(Inputs!$K$5:$AJ$120,0,MATCH(I$2,Inputs!$K$4:$AJ$4,0))))+SUMPRODUCT((Inputs!$C$5:$C$120=$B18)*ISNUMBER(INDEX(Inputs!$K$5:$AJ$120,0,MATCH(I$2,Inputs!$K$4:$AJ$4,0))))+SUMPRODUCT((Inputs!$E$5:$E$120=$B18)*ISNUMBER(INDEX(Inputs!$K$5:$AJ$120,0,MATCH(I$2,Inputs!$K$4:$AJ$4,0))))=0,NA(),SUMPRODUCT((Inputs!$A$5:$A$120=$B18)*Inputs!$B$5:$B$120*(((Inputs!$G$5:$G$120="moeda")+(Inputs!$G$5:$G$120="acoes"))*Inputs!$B$1+((Inputs!$G$5:$G$120&lt;&gt;"moeda")*(Inputs!$G$5:$G$120&lt;&gt;"acoes")))*INDEX(Inputs!$K$5:$AJ$120,0,MATCH(I$2,Inputs!$K$4:$AJ$4,0)))+SUMPRODUCT((Inputs!$C$5:$C$120=$B18)*Inputs!$D$5:$D$120*(((Inputs!$G$5:$G$120="moeda")+(Inputs!$G$5:$G$120="acoes"))*Inputs!$B$1+((Inputs!$G$5:$G$120&lt;&gt;"moeda")*(Inputs!$G$5:$G$120&lt;&gt;"acoes")))*INDEX(Inputs!$K$5:$AJ$120,0,MATCH(I$2,Inputs!$K$4:$AJ$4,0)))+SUMPRODUCT((Inputs!$E$5:$E$120=$B18)*Inputs!$F$5:$F$120*(((Inputs!$G$5:$G$120="moeda")+(Inputs!$G$5:$G$120="acoes"))*Inputs!$B$1+((Inputs!$G$5:$G$120&lt;&gt;"moeda")*(Inputs!$G$5:$G$120&lt;&gt;"acoes")))*INDEX(Inputs!$K$5:$AJ$120,0,MATCH(I$2,Inputs!$K$4:$AJ$4,0)))))</f>
        <v>2464.9</v>
      </c>
      <c r="J18" s="6">
        <f>IF(ISNA(MATCH(J$2,Inputs!$K$4:$AJ$4,0)),NA(),IF(SUMPRODUCT((Inputs!$A$5:$A$120=$B18)*ISNUMBER(INDEX(Inputs!$K$5:$AJ$120,0,MATCH(J$2,Inputs!$K$4:$AJ$4,0))))+SUMPRODUCT((Inputs!$C$5:$C$120=$B18)*ISNUMBER(INDEX(Inputs!$K$5:$AJ$120,0,MATCH(J$2,Inputs!$K$4:$AJ$4,0))))+SUMPRODUCT((Inputs!$E$5:$E$120=$B18)*ISNUMBER(INDEX(Inputs!$K$5:$AJ$120,0,MATCH(J$2,Inputs!$K$4:$AJ$4,0))))=0,NA(),SUMPRODUCT((Inputs!$A$5:$A$120=$B18)*Inputs!$B$5:$B$120*(((Inputs!$G$5:$G$120="moeda")+(Inputs!$G$5:$G$120="acoes"))*Inputs!$B$1+((Inputs!$G$5:$G$120&lt;&gt;"moeda")*(Inputs!$G$5:$G$120&lt;&gt;"acoes")))*INDEX(Inputs!$K$5:$AJ$120,0,MATCH(J$2,Inputs!$K$4:$AJ$4,0)))+SUMPRODUCT((Inputs!$C$5:$C$120=$B18)*Inputs!$D$5:$D$120*(((Inputs!$G$5:$G$120="moeda")+(Inputs!$G$5:$G$120="acoes"))*Inputs!$B$1+((Inputs!$G$5:$G$120&lt;&gt;"moeda")*(Inputs!$G$5:$G$120&lt;&gt;"acoes")))*INDEX(Inputs!$K$5:$AJ$120,0,MATCH(J$2,Inputs!$K$4:$AJ$4,0)))+SUMPRODUCT((Inputs!$E$5:$E$120=$B18)*Inputs!$F$5:$F$120*(((Inputs!$G$5:$G$120="moeda")+(Inputs!$G$5:$G$120="acoes"))*Inputs!$B$1+((Inputs!$G$5:$G$120&lt;&gt;"moeda")*(Inputs!$G$5:$G$120&lt;&gt;"acoes")))*INDEX(Inputs!$K$5:$AJ$120,0,MATCH(J$2,Inputs!$K$4:$AJ$4,0)))))</f>
        <v>2371.9</v>
      </c>
      <c r="K18" s="6">
        <f>IF(ISNA(MATCH(K$2,Inputs!$K$4:$AJ$4,0)),NA(),IF(SUMPRODUCT((Inputs!$A$5:$A$120=$B18)*ISNUMBER(INDEX(Inputs!$K$5:$AJ$120,0,MATCH(K$2,Inputs!$K$4:$AJ$4,0))))+SUMPRODUCT((Inputs!$C$5:$C$120=$B18)*ISNUMBER(INDEX(Inputs!$K$5:$AJ$120,0,MATCH(K$2,Inputs!$K$4:$AJ$4,0))))+SUMPRODUCT((Inputs!$E$5:$E$120=$B18)*ISNUMBER(INDEX(Inputs!$K$5:$AJ$120,0,MATCH(K$2,Inputs!$K$4:$AJ$4,0))))=0,NA(),SUMPRODUCT((Inputs!$A$5:$A$120=$B18)*Inputs!$B$5:$B$120*(((Inputs!$G$5:$G$120="moeda")+(Inputs!$G$5:$G$120="acoes"))*Inputs!$B$1+((Inputs!$G$5:$G$120&lt;&gt;"moeda")*(Inputs!$G$5:$G$120&lt;&gt;"acoes")))*INDEX(Inputs!$K$5:$AJ$120,0,MATCH(K$2,Inputs!$K$4:$AJ$4,0)))+SUMPRODUCT((Inputs!$C$5:$C$120=$B18)*Inputs!$D$5:$D$120*(((Inputs!$G$5:$G$120="moeda")+(Inputs!$G$5:$G$120="acoes"))*Inputs!$B$1+((Inputs!$G$5:$G$120&lt;&gt;"moeda")*(Inputs!$G$5:$G$120&lt;&gt;"acoes")))*INDEX(Inputs!$K$5:$AJ$120,0,MATCH(K$2,Inputs!$K$4:$AJ$4,0)))+SUMPRODUCT((Inputs!$E$5:$E$120=$B18)*Inputs!$F$5:$F$120*(((Inputs!$G$5:$G$120="moeda")+(Inputs!$G$5:$G$120="acoes"))*Inputs!$B$1+((Inputs!$G$5:$G$120&lt;&gt;"moeda")*(Inputs!$G$5:$G$120&lt;&gt;"acoes")))*INDEX(Inputs!$K$5:$AJ$120,0,MATCH(K$2,Inputs!$K$4:$AJ$4,0)))))</f>
        <v>2384.3</v>
      </c>
      <c r="L18" s="6">
        <f>IF(ISNA(MATCH(L$2,Inputs!$K$4:$AJ$4,0)),NA(),IF(SUMPRODUCT((Inputs!$A$5:$A$120=$B18)*ISNUMBER(INDEX(Inputs!$K$5:$AJ$120,0,MATCH(L$2,Inputs!$K$4:$AJ$4,0))))+SUMPRODUCT((Inputs!$C$5:$C$120=$B18)*ISNUMBER(INDEX(Inputs!$K$5:$AJ$120,0,MATCH(L$2,Inputs!$K$4:$AJ$4,0))))+SUMPRODUCT((Inputs!$E$5:$E$120=$B18)*ISNUMBER(INDEX(Inputs!$K$5:$AJ$120,0,MATCH(L$2,Inputs!$K$4:$AJ$4,0))))=0,NA(),SUMPRODUCT((Inputs!$A$5:$A$120=$B18)*Inputs!$B$5:$B$120*(((Inputs!$G$5:$G$120="moeda")+(Inputs!$G$5:$G$120="acoes"))*Inputs!$B$1+((Inputs!$G$5:$G$120&lt;&gt;"moeda")*(Inputs!$G$5:$G$120&lt;&gt;"acoes")))*INDEX(Inputs!$K$5:$AJ$120,0,MATCH(L$2,Inputs!$K$4:$AJ$4,0)))+SUMPRODUCT((Inputs!$C$5:$C$120=$B18)*Inputs!$D$5:$D$120*(((Inputs!$G$5:$G$120="moeda")+(Inputs!$G$5:$G$120="acoes"))*Inputs!$B$1+((Inputs!$G$5:$G$120&lt;&gt;"moeda")*(Inputs!$G$5:$G$120&lt;&gt;"acoes")))*INDEX(Inputs!$K$5:$AJ$120,0,MATCH(L$2,Inputs!$K$4:$AJ$4,0)))+SUMPRODUCT((Inputs!$E$5:$E$120=$B18)*Inputs!$F$5:$F$120*(((Inputs!$G$5:$G$120="moeda")+(Inputs!$G$5:$G$120="acoes"))*Inputs!$B$1+((Inputs!$G$5:$G$120&lt;&gt;"moeda")*(Inputs!$G$5:$G$120&lt;&gt;"acoes")))*INDEX(Inputs!$K$5:$AJ$120,0,MATCH(L$2,Inputs!$K$4:$AJ$4,0)))))</f>
        <v>2792.9</v>
      </c>
      <c r="M18" s="3">
        <f>L18</f>
        <v>2792.9</v>
      </c>
      <c r="N18" s="6">
        <f>IF(ISNA(MATCH(N$2,Inputs!$K$4:$AJ$4,0)),NA(),IF(SUMPRODUCT((Inputs!$A$5:$A$120=$B18)*ISNUMBER(INDEX(Inputs!$K$5:$AJ$120,0,MATCH(N$2,Inputs!$K$4:$AJ$4,0))))+SUMPRODUCT((Inputs!$C$5:$C$120=$B18)*ISNUMBER(INDEX(Inputs!$K$5:$AJ$120,0,MATCH(N$2,Inputs!$K$4:$AJ$4,0))))+SUMPRODUCT((Inputs!$E$5:$E$120=$B18)*ISNUMBER(INDEX(Inputs!$K$5:$AJ$120,0,MATCH(N$2,Inputs!$K$4:$AJ$4,0))))=0,NA(),SUMPRODUCT((Inputs!$A$5:$A$120=$B18)*Inputs!$B$5:$B$120*(((Inputs!$G$5:$G$120="moeda")+(Inputs!$G$5:$G$120="acoes"))*Inputs!$B$1+((Inputs!$G$5:$G$120&lt;&gt;"moeda")*(Inputs!$G$5:$G$120&lt;&gt;"acoes")))*INDEX(Inputs!$K$5:$AJ$120,0,MATCH(N$2,Inputs!$K$4:$AJ$4,0)))+SUMPRODUCT((Inputs!$C$5:$C$120=$B18)*Inputs!$D$5:$D$120*(((Inputs!$G$5:$G$120="moeda")+(Inputs!$G$5:$G$120="acoes"))*Inputs!$B$1+((Inputs!$G$5:$G$120&lt;&gt;"moeda")*(Inputs!$G$5:$G$120&lt;&gt;"acoes")))*INDEX(Inputs!$K$5:$AJ$120,0,MATCH(N$2,Inputs!$K$4:$AJ$4,0)))+SUMPRODUCT((Inputs!$E$5:$E$120=$B18)*Inputs!$F$5:$F$120*(((Inputs!$G$5:$G$120="moeda")+(Inputs!$G$5:$G$120="acoes"))*Inputs!$B$1+((Inputs!$G$5:$G$120&lt;&gt;"moeda")*(Inputs!$G$5:$G$120&lt;&gt;"acoes")))*INDEX(Inputs!$K$5:$AJ$120,0,MATCH(N$2,Inputs!$K$4:$AJ$4,0)))))</f>
        <v>3406.7</v>
      </c>
      <c r="O18" s="6">
        <f>IF(ISNA(MATCH(O$2,Inputs!$K$4:$AJ$4,0)),NA(),IF(SUMPRODUCT((Inputs!$A$5:$A$120=$B18)*ISNUMBER(INDEX(Inputs!$K$5:$AJ$120,0,MATCH(O$2,Inputs!$K$4:$AJ$4,0))))+SUMPRODUCT((Inputs!$C$5:$C$120=$B18)*ISNUMBER(INDEX(Inputs!$K$5:$AJ$120,0,MATCH(O$2,Inputs!$K$4:$AJ$4,0))))+SUMPRODUCT((Inputs!$E$5:$E$120=$B18)*ISNUMBER(INDEX(Inputs!$K$5:$AJ$120,0,MATCH(O$2,Inputs!$K$4:$AJ$4,0))))=0,NA(),SUMPRODUCT((Inputs!$A$5:$A$120=$B18)*Inputs!$B$5:$B$120*(((Inputs!$G$5:$G$120="moeda")+(Inputs!$G$5:$G$120="acoes"))*Inputs!$B$1+((Inputs!$G$5:$G$120&lt;&gt;"moeda")*(Inputs!$G$5:$G$120&lt;&gt;"acoes")))*INDEX(Inputs!$K$5:$AJ$120,0,MATCH(O$2,Inputs!$K$4:$AJ$4,0)))+SUMPRODUCT((Inputs!$C$5:$C$120=$B18)*Inputs!$D$5:$D$120*(((Inputs!$G$5:$G$120="moeda")+(Inputs!$G$5:$G$120="acoes"))*Inputs!$B$1+((Inputs!$G$5:$G$120&lt;&gt;"moeda")*(Inputs!$G$5:$G$120&lt;&gt;"acoes")))*INDEX(Inputs!$K$5:$AJ$120,0,MATCH(O$2,Inputs!$K$4:$AJ$4,0)))+SUMPRODUCT((Inputs!$E$5:$E$120=$B18)*Inputs!$F$5:$F$120*(((Inputs!$G$5:$G$120="moeda")+(Inputs!$G$5:$G$120="acoes"))*Inputs!$B$1+((Inputs!$G$5:$G$120&lt;&gt;"moeda")*(Inputs!$G$5:$G$120&lt;&gt;"acoes")))*INDEX(Inputs!$K$5:$AJ$120,0,MATCH(O$2,Inputs!$K$4:$AJ$4,0)))))</f>
        <v>3805.9</v>
      </c>
      <c r="P18" s="6">
        <f>IF(ISNA(MATCH(P$2,Inputs!$K$4:$AJ$4,0)),NA(),IF(SUMPRODUCT((Inputs!$A$5:$A$120=$B18)*ISNUMBER(INDEX(Inputs!$K$5:$AJ$120,0,MATCH(P$2,Inputs!$K$4:$AJ$4,0))))+SUMPRODUCT((Inputs!$C$5:$C$120=$B18)*ISNUMBER(INDEX(Inputs!$K$5:$AJ$120,0,MATCH(P$2,Inputs!$K$4:$AJ$4,0))))+SUMPRODUCT((Inputs!$E$5:$E$120=$B18)*ISNUMBER(INDEX(Inputs!$K$5:$AJ$120,0,MATCH(P$2,Inputs!$K$4:$AJ$4,0))))=0,NA(),SUMPRODUCT((Inputs!$A$5:$A$120=$B18)*Inputs!$B$5:$B$120*(((Inputs!$G$5:$G$120="moeda")+(Inputs!$G$5:$G$120="acoes"))*Inputs!$B$1+((Inputs!$G$5:$G$120&lt;&gt;"moeda")*(Inputs!$G$5:$G$120&lt;&gt;"acoes")))*INDEX(Inputs!$K$5:$AJ$120,0,MATCH(P$2,Inputs!$K$4:$AJ$4,0)))+SUMPRODUCT((Inputs!$C$5:$C$120=$B18)*Inputs!$D$5:$D$120*(((Inputs!$G$5:$G$120="moeda")+(Inputs!$G$5:$G$120="acoes"))*Inputs!$B$1+((Inputs!$G$5:$G$120&lt;&gt;"moeda")*(Inputs!$G$5:$G$120&lt;&gt;"acoes")))*INDEX(Inputs!$K$5:$AJ$120,0,MATCH(P$2,Inputs!$K$4:$AJ$4,0)))+SUMPRODUCT((Inputs!$E$5:$E$120=$B18)*Inputs!$F$5:$F$120*(((Inputs!$G$5:$G$120="moeda")+(Inputs!$G$5:$G$120="acoes"))*Inputs!$B$1+((Inputs!$G$5:$G$120&lt;&gt;"moeda")*(Inputs!$G$5:$G$120&lt;&gt;"acoes")))*INDEX(Inputs!$K$5:$AJ$120,0,MATCH(P$2,Inputs!$K$4:$AJ$4,0)))))</f>
        <v>4574.8</v>
      </c>
      <c r="Q18" s="6">
        <f>IF(ISNA(MATCH(Q$2,Inputs!$K$4:$AJ$4,0)),NA(),IF(SUMPRODUCT((Inputs!$A$5:$A$120=$B18)*ISNUMBER(INDEX(Inputs!$K$5:$AJ$120,0,MATCH(Q$2,Inputs!$K$4:$AJ$4,0))))+SUMPRODUCT((Inputs!$C$5:$C$120=$B18)*ISNUMBER(INDEX(Inputs!$K$5:$AJ$120,0,MATCH(Q$2,Inputs!$K$4:$AJ$4,0))))+SUMPRODUCT((Inputs!$E$5:$E$120=$B18)*ISNUMBER(INDEX(Inputs!$K$5:$AJ$120,0,MATCH(Q$2,Inputs!$K$4:$AJ$4,0))))=0,NA(),SUMPRODUCT((Inputs!$A$5:$A$120=$B18)*Inputs!$B$5:$B$120*(((Inputs!$G$5:$G$120="moeda")+(Inputs!$G$5:$G$120="acoes"))*Inputs!$B$1+((Inputs!$G$5:$G$120&lt;&gt;"moeda")*(Inputs!$G$5:$G$120&lt;&gt;"acoes")))*INDEX(Inputs!$K$5:$AJ$120,0,MATCH(Q$2,Inputs!$K$4:$AJ$4,0)))+SUMPRODUCT((Inputs!$C$5:$C$120=$B18)*Inputs!$D$5:$D$120*(((Inputs!$G$5:$G$120="moeda")+(Inputs!$G$5:$G$120="acoes"))*Inputs!$B$1+((Inputs!$G$5:$G$120&lt;&gt;"moeda")*(Inputs!$G$5:$G$120&lt;&gt;"acoes")))*INDEX(Inputs!$K$5:$AJ$120,0,MATCH(Q$2,Inputs!$K$4:$AJ$4,0)))+SUMPRODUCT((Inputs!$E$5:$E$120=$B18)*Inputs!$F$5:$F$120*(((Inputs!$G$5:$G$120="moeda")+(Inputs!$G$5:$G$120="acoes"))*Inputs!$B$1+((Inputs!$G$5:$G$120&lt;&gt;"moeda")*(Inputs!$G$5:$G$120&lt;&gt;"acoes")))*INDEX(Inputs!$K$5:$AJ$120,0,MATCH(Q$2,Inputs!$K$4:$AJ$4,0)))))</f>
        <v>5477.3</v>
      </c>
      <c r="R18" s="3">
        <f>Q18</f>
        <v>5477.3</v>
      </c>
      <c r="S18" s="6">
        <f>IF(ISNA(MATCH(S$2,Inputs!$K$4:$AJ$4,0)),NA(),IF(SUMPRODUCT((Inputs!$A$5:$A$120=$B18)*ISNUMBER(INDEX(Inputs!$K$5:$AJ$120,0,MATCH(S$2,Inputs!$K$4:$AJ$4,0))))+SUMPRODUCT((Inputs!$C$5:$C$120=$B18)*ISNUMBER(INDEX(Inputs!$K$5:$AJ$120,0,MATCH(S$2,Inputs!$K$4:$AJ$4,0))))+SUMPRODUCT((Inputs!$E$5:$E$120=$B18)*ISNUMBER(INDEX(Inputs!$K$5:$AJ$120,0,MATCH(S$2,Inputs!$K$4:$AJ$4,0))))=0,NA(),SUMPRODUCT((Inputs!$A$5:$A$120=$B18)*Inputs!$B$5:$B$120*(((Inputs!$G$5:$G$120="moeda")+(Inputs!$G$5:$G$120="acoes"))*Inputs!$B$1+((Inputs!$G$5:$G$120&lt;&gt;"moeda")*(Inputs!$G$5:$G$120&lt;&gt;"acoes")))*INDEX(Inputs!$K$5:$AJ$120,0,MATCH(S$2,Inputs!$K$4:$AJ$4,0)))+SUMPRODUCT((Inputs!$C$5:$C$120=$B18)*Inputs!$D$5:$D$120*(((Inputs!$G$5:$G$120="moeda")+(Inputs!$G$5:$G$120="acoes"))*Inputs!$B$1+((Inputs!$G$5:$G$120&lt;&gt;"moeda")*(Inputs!$G$5:$G$120&lt;&gt;"acoes")))*INDEX(Inputs!$K$5:$AJ$120,0,MATCH(S$2,Inputs!$K$4:$AJ$4,0)))+SUMPRODUCT((Inputs!$E$5:$E$120=$B18)*Inputs!$F$5:$F$120*(((Inputs!$G$5:$G$120="moeda")+(Inputs!$G$5:$G$120="acoes"))*Inputs!$B$1+((Inputs!$G$5:$G$120&lt;&gt;"moeda")*(Inputs!$G$5:$G$120&lt;&gt;"acoes")))*INDEX(Inputs!$K$5:$AJ$120,0,MATCH(S$2,Inputs!$K$4:$AJ$4,0)))))</f>
        <v>5633.9</v>
      </c>
      <c r="T18" s="6">
        <f>IF(ISNA(MATCH(T$2,Inputs!$K$4:$AJ$4,0)),NA(),IF(SUMPRODUCT((Inputs!$A$5:$A$120=$B18)*ISNUMBER(INDEX(Inputs!$K$5:$AJ$120,0,MATCH(T$2,Inputs!$K$4:$AJ$4,0))))+SUMPRODUCT((Inputs!$C$5:$C$120=$B18)*ISNUMBER(INDEX(Inputs!$K$5:$AJ$120,0,MATCH(T$2,Inputs!$K$4:$AJ$4,0))))+SUMPRODUCT((Inputs!$E$5:$E$120=$B18)*ISNUMBER(INDEX(Inputs!$K$5:$AJ$120,0,MATCH(T$2,Inputs!$K$4:$AJ$4,0))))=0,NA(),SUMPRODUCT((Inputs!$A$5:$A$120=$B18)*Inputs!$B$5:$B$120*(((Inputs!$G$5:$G$120="moeda")+(Inputs!$G$5:$G$120="acoes"))*Inputs!$B$1+((Inputs!$G$5:$G$120&lt;&gt;"moeda")*(Inputs!$G$5:$G$120&lt;&gt;"acoes")))*INDEX(Inputs!$K$5:$AJ$120,0,MATCH(T$2,Inputs!$K$4:$AJ$4,0)))+SUMPRODUCT((Inputs!$C$5:$C$120=$B18)*Inputs!$D$5:$D$120*(((Inputs!$G$5:$G$120="moeda")+(Inputs!$G$5:$G$120="acoes"))*Inputs!$B$1+((Inputs!$G$5:$G$120&lt;&gt;"moeda")*(Inputs!$G$5:$G$120&lt;&gt;"acoes")))*INDEX(Inputs!$K$5:$AJ$120,0,MATCH(T$2,Inputs!$K$4:$AJ$4,0)))+SUMPRODUCT((Inputs!$E$5:$E$120=$B18)*Inputs!$F$5:$F$120*(((Inputs!$G$5:$G$120="moeda")+(Inputs!$G$5:$G$120="acoes"))*Inputs!$B$1+((Inputs!$G$5:$G$120&lt;&gt;"moeda")*(Inputs!$G$5:$G$120&lt;&gt;"acoes")))*INDEX(Inputs!$K$5:$AJ$120,0,MATCH(T$2,Inputs!$K$4:$AJ$4,0)))))</f>
        <v>6655.3</v>
      </c>
      <c r="U18" s="6">
        <f>IF(ISNA(MATCH(U$2,Inputs!$K$4:$AJ$4,0)),NA(),IF(SUMPRODUCT((Inputs!$A$5:$A$120=$B18)*ISNUMBER(INDEX(Inputs!$K$5:$AJ$120,0,MATCH(U$2,Inputs!$K$4:$AJ$4,0))))+SUMPRODUCT((Inputs!$C$5:$C$120=$B18)*ISNUMBER(INDEX(Inputs!$K$5:$AJ$120,0,MATCH(U$2,Inputs!$K$4:$AJ$4,0))))+SUMPRODUCT((Inputs!$E$5:$E$120=$B18)*ISNUMBER(INDEX(Inputs!$K$5:$AJ$120,0,MATCH(U$2,Inputs!$K$4:$AJ$4,0))))=0,NA(),SUMPRODUCT((Inputs!$A$5:$A$120=$B18)*Inputs!$B$5:$B$120*(((Inputs!$G$5:$G$120="moeda")+(Inputs!$G$5:$G$120="acoes"))*Inputs!$B$1+((Inputs!$G$5:$G$120&lt;&gt;"moeda")*(Inputs!$G$5:$G$120&lt;&gt;"acoes")))*INDEX(Inputs!$K$5:$AJ$120,0,MATCH(U$2,Inputs!$K$4:$AJ$4,0)))+SUMPRODUCT((Inputs!$C$5:$C$120=$B18)*Inputs!$D$5:$D$120*(((Inputs!$G$5:$G$120="moeda")+(Inputs!$G$5:$G$120="acoes"))*Inputs!$B$1+((Inputs!$G$5:$G$120&lt;&gt;"moeda")*(Inputs!$G$5:$G$120&lt;&gt;"acoes")))*INDEX(Inputs!$K$5:$AJ$120,0,MATCH(U$2,Inputs!$K$4:$AJ$4,0)))+SUMPRODUCT((Inputs!$E$5:$E$120=$B18)*Inputs!$F$5:$F$120*(((Inputs!$G$5:$G$120="moeda")+(Inputs!$G$5:$G$120="acoes"))*Inputs!$B$1+((Inputs!$G$5:$G$120&lt;&gt;"moeda")*(Inputs!$G$5:$G$120&lt;&gt;"acoes")))*INDEX(Inputs!$K$5:$AJ$120,0,MATCH(U$2,Inputs!$K$4:$AJ$4,0)))))</f>
        <v>7392.3</v>
      </c>
      <c r="V18" s="6">
        <f>IF(ISNA(MATCH(V$2,Inputs!$K$4:$AJ$4,0)),NA(),IF(SUMPRODUCT((Inputs!$A$5:$A$120=$B18)*ISNUMBER(INDEX(Inputs!$K$5:$AJ$120,0,MATCH(V$2,Inputs!$K$4:$AJ$4,0))))+SUMPRODUCT((Inputs!$C$5:$C$120=$B18)*ISNUMBER(INDEX(Inputs!$K$5:$AJ$120,0,MATCH(V$2,Inputs!$K$4:$AJ$4,0))))+SUMPRODUCT((Inputs!$E$5:$E$120=$B18)*ISNUMBER(INDEX(Inputs!$K$5:$AJ$120,0,MATCH(V$2,Inputs!$K$4:$AJ$4,0))))=0,NA(),SUMPRODUCT((Inputs!$A$5:$A$120=$B18)*Inputs!$B$5:$B$120*(((Inputs!$G$5:$G$120="moeda")+(Inputs!$G$5:$G$120="acoes"))*Inputs!$B$1+((Inputs!$G$5:$G$120&lt;&gt;"moeda")*(Inputs!$G$5:$G$120&lt;&gt;"acoes")))*INDEX(Inputs!$K$5:$AJ$120,0,MATCH(V$2,Inputs!$K$4:$AJ$4,0)))+SUMPRODUCT((Inputs!$C$5:$C$120=$B18)*Inputs!$D$5:$D$120*(((Inputs!$G$5:$G$120="moeda")+(Inputs!$G$5:$G$120="acoes"))*Inputs!$B$1+((Inputs!$G$5:$G$120&lt;&gt;"moeda")*(Inputs!$G$5:$G$120&lt;&gt;"acoes")))*INDEX(Inputs!$K$5:$AJ$120,0,MATCH(V$2,Inputs!$K$4:$AJ$4,0)))+SUMPRODUCT((Inputs!$E$5:$E$120=$B18)*Inputs!$F$5:$F$120*(((Inputs!$G$5:$G$120="moeda")+(Inputs!$G$5:$G$120="acoes"))*Inputs!$B$1+((Inputs!$G$5:$G$120&lt;&gt;"moeda")*(Inputs!$G$5:$G$120&lt;&gt;"acoes")))*INDEX(Inputs!$K$5:$AJ$120,0,MATCH(V$2,Inputs!$K$4:$AJ$4,0)))))</f>
        <v>8000.6</v>
      </c>
      <c r="W18" s="3">
        <f>V18</f>
        <v>8000.6</v>
      </c>
      <c r="X18" s="6">
        <f>IF(ISNA(MATCH(X$2,Inputs!$K$4:$AJ$4,0)),NA(),IF(SUMPRODUCT((Inputs!$A$5:$A$120=$B18)*ISNUMBER(INDEX(Inputs!$K$5:$AJ$120,0,MATCH(X$2,Inputs!$K$4:$AJ$4,0))))+SUMPRODUCT((Inputs!$C$5:$C$120=$B18)*ISNUMBER(INDEX(Inputs!$K$5:$AJ$120,0,MATCH(X$2,Inputs!$K$4:$AJ$4,0))))+SUMPRODUCT((Inputs!$E$5:$E$120=$B18)*ISNUMBER(INDEX(Inputs!$K$5:$AJ$120,0,MATCH(X$2,Inputs!$K$4:$AJ$4,0))))=0,NA(),SUMPRODUCT((Inputs!$A$5:$A$120=$B18)*Inputs!$B$5:$B$120*(((Inputs!$G$5:$G$120="moeda")+(Inputs!$G$5:$G$120="acoes"))*Inputs!$B$1+((Inputs!$G$5:$G$120&lt;&gt;"moeda")*(Inputs!$G$5:$G$120&lt;&gt;"acoes")))*INDEX(Inputs!$K$5:$AJ$120,0,MATCH(X$2,Inputs!$K$4:$AJ$4,0)))+SUMPRODUCT((Inputs!$C$5:$C$120=$B18)*Inputs!$D$5:$D$120*(((Inputs!$G$5:$G$120="moeda")+(Inputs!$G$5:$G$120="acoes"))*Inputs!$B$1+((Inputs!$G$5:$G$120&lt;&gt;"moeda")*(Inputs!$G$5:$G$120&lt;&gt;"acoes")))*INDEX(Inputs!$K$5:$AJ$120,0,MATCH(X$2,Inputs!$K$4:$AJ$4,0)))+SUMPRODUCT((Inputs!$E$5:$E$120=$B18)*Inputs!$F$5:$F$120*(((Inputs!$G$5:$G$120="moeda")+(Inputs!$G$5:$G$120="acoes"))*Inputs!$B$1+((Inputs!$G$5:$G$120&lt;&gt;"moeda")*(Inputs!$G$5:$G$120&lt;&gt;"acoes")))*INDEX(Inputs!$K$5:$AJ$120,0,MATCH(X$2,Inputs!$K$4:$AJ$4,0)))))</f>
        <v>8573.2</v>
      </c>
      <c r="Y18" s="6">
        <f>IF(ISNA(MATCH(Y$2,Inputs!$K$4:$AJ$4,0)),NA(),IF(SUMPRODUCT((Inputs!$A$5:$A$120=$B18)*ISNUMBER(INDEX(Inputs!$K$5:$AJ$120,0,MATCH(Y$2,Inputs!$K$4:$AJ$4,0))))+SUMPRODUCT((Inputs!$C$5:$C$120=$B18)*ISNUMBER(INDEX(Inputs!$K$5:$AJ$120,0,MATCH(Y$2,Inputs!$K$4:$AJ$4,0))))+SUMPRODUCT((Inputs!$E$5:$E$120=$B18)*ISNUMBER(INDEX(Inputs!$K$5:$AJ$120,0,MATCH(Y$2,Inputs!$K$4:$AJ$4,0))))=0,NA(),SUMPRODUCT((Inputs!$A$5:$A$120=$B18)*Inputs!$B$5:$B$120*(((Inputs!$G$5:$G$120="moeda")+(Inputs!$G$5:$G$120="acoes"))*Inputs!$B$1+((Inputs!$G$5:$G$120&lt;&gt;"moeda")*(Inputs!$G$5:$G$120&lt;&gt;"acoes")))*INDEX(Inputs!$K$5:$AJ$120,0,MATCH(Y$2,Inputs!$K$4:$AJ$4,0)))+SUMPRODUCT((Inputs!$C$5:$C$120=$B18)*Inputs!$D$5:$D$120*(((Inputs!$G$5:$G$120="moeda")+(Inputs!$G$5:$G$120="acoes"))*Inputs!$B$1+((Inputs!$G$5:$G$120&lt;&gt;"moeda")*(Inputs!$G$5:$G$120&lt;&gt;"acoes")))*INDEX(Inputs!$K$5:$AJ$120,0,MATCH(Y$2,Inputs!$K$4:$AJ$4,0)))+SUMPRODUCT((Inputs!$E$5:$E$120=$B18)*Inputs!$F$5:$F$120*(((Inputs!$G$5:$G$120="moeda")+(Inputs!$G$5:$G$120="acoes"))*Inputs!$B$1+((Inputs!$G$5:$G$120&lt;&gt;"moeda")*(Inputs!$G$5:$G$120&lt;&gt;"acoes")))*INDEX(Inputs!$K$5:$AJ$120,0,MATCH(Y$2,Inputs!$K$4:$AJ$4,0)))))</f>
        <v>9427.4</v>
      </c>
      <c r="Z18" s="6">
        <f>IF(ISNA(MATCH(Z$2,Inputs!$K$4:$AJ$4,0)),NA(),IF(SUMPRODUCT((Inputs!$A$5:$A$120=$B18)*ISNUMBER(INDEX(Inputs!$K$5:$AJ$120,0,MATCH(Z$2,Inputs!$K$4:$AJ$4,0))))+SUMPRODUCT((Inputs!$C$5:$C$120=$B18)*ISNUMBER(INDEX(Inputs!$K$5:$AJ$120,0,MATCH(Z$2,Inputs!$K$4:$AJ$4,0))))+SUMPRODUCT((Inputs!$E$5:$E$120=$B18)*ISNUMBER(INDEX(Inputs!$K$5:$AJ$120,0,MATCH(Z$2,Inputs!$K$4:$AJ$4,0))))=0,NA(),SUMPRODUCT((Inputs!$A$5:$A$120=$B18)*Inputs!$B$5:$B$120*(((Inputs!$G$5:$G$120="moeda")+(Inputs!$G$5:$G$120="acoes"))*Inputs!$B$1+((Inputs!$G$5:$G$120&lt;&gt;"moeda")*(Inputs!$G$5:$G$120&lt;&gt;"acoes")))*INDEX(Inputs!$K$5:$AJ$120,0,MATCH(Z$2,Inputs!$K$4:$AJ$4,0)))+SUMPRODUCT((Inputs!$C$5:$C$120=$B18)*Inputs!$D$5:$D$120*(((Inputs!$G$5:$G$120="moeda")+(Inputs!$G$5:$G$120="acoes"))*Inputs!$B$1+((Inputs!$G$5:$G$120&lt;&gt;"moeda")*(Inputs!$G$5:$G$120&lt;&gt;"acoes")))*INDEX(Inputs!$K$5:$AJ$120,0,MATCH(Z$2,Inputs!$K$4:$AJ$4,0)))+SUMPRODUCT((Inputs!$E$5:$E$120=$B18)*Inputs!$F$5:$F$120*(((Inputs!$G$5:$G$120="moeda")+(Inputs!$G$5:$G$120="acoes"))*Inputs!$B$1+((Inputs!$G$5:$G$120&lt;&gt;"moeda")*(Inputs!$G$5:$G$120&lt;&gt;"acoes")))*INDEX(Inputs!$K$5:$AJ$120,0,MATCH(Z$2,Inputs!$K$4:$AJ$4,0)))))</f>
        <v>8962.7</v>
      </c>
      <c r="AA18" s="6">
        <f>IF(ISNA(MATCH(AA$2,Inputs!$K$4:$AJ$4,0)),NA(),IF(SUMPRODUCT((Inputs!$A$5:$A$120=$B18)*ISNUMBER(INDEX(Inputs!$K$5:$AJ$120,0,MATCH(AA$2,Inputs!$K$4:$AJ$4,0))))+SUMPRODUCT((Inputs!$C$5:$C$120=$B18)*ISNUMBER(INDEX(Inputs!$K$5:$AJ$120,0,MATCH(AA$2,Inputs!$K$4:$AJ$4,0))))+SUMPRODUCT((Inputs!$E$5:$E$120=$B18)*ISNUMBER(INDEX(Inputs!$K$5:$AJ$120,0,MATCH(AA$2,Inputs!$K$4:$AJ$4,0))))=0,NA(),SUMPRODUCT((Inputs!$A$5:$A$120=$B18)*Inputs!$B$5:$B$120*(((Inputs!$G$5:$G$120="moeda")+(Inputs!$G$5:$G$120="acoes"))*Inputs!$B$1+((Inputs!$G$5:$G$120&lt;&gt;"moeda")*(Inputs!$G$5:$G$120&lt;&gt;"acoes")))*INDEX(Inputs!$K$5:$AJ$120,0,MATCH(AA$2,Inputs!$K$4:$AJ$4,0)))+SUMPRODUCT((Inputs!$C$5:$C$120=$B18)*Inputs!$D$5:$D$120*(((Inputs!$G$5:$G$120="moeda")+(Inputs!$G$5:$G$120="acoes"))*Inputs!$B$1+((Inputs!$G$5:$G$120&lt;&gt;"moeda")*(Inputs!$G$5:$G$120&lt;&gt;"acoes")))*INDEX(Inputs!$K$5:$AJ$120,0,MATCH(AA$2,Inputs!$K$4:$AJ$4,0)))+SUMPRODUCT((Inputs!$E$5:$E$120=$B18)*Inputs!$F$5:$F$120*(((Inputs!$G$5:$G$120="moeda")+(Inputs!$G$5:$G$120="acoes"))*Inputs!$B$1+((Inputs!$G$5:$G$120&lt;&gt;"moeda")*(Inputs!$G$5:$G$120&lt;&gt;"acoes")))*INDEX(Inputs!$K$5:$AJ$120,0,MATCH(AA$2,Inputs!$K$4:$AJ$4,0)))))</f>
        <v>9959</v>
      </c>
      <c r="AB18" s="3">
        <f>AA18</f>
        <v>9959</v>
      </c>
      <c r="AC18" s="6">
        <f>IF(ISNA(MATCH(AC$2,Inputs!$K$4:$AJ$4,0)),NA(),IF(SUMPRODUCT((Inputs!$A$5:$A$120=$B18)*ISNUMBER(INDEX(Inputs!$K$5:$AJ$120,0,MATCH(AC$2,Inputs!$K$4:$AJ$4,0))))+SUMPRODUCT((Inputs!$C$5:$C$120=$B18)*ISNUMBER(INDEX(Inputs!$K$5:$AJ$120,0,MATCH(AC$2,Inputs!$K$4:$AJ$4,0))))+SUMPRODUCT((Inputs!$E$5:$E$120=$B18)*ISNUMBER(INDEX(Inputs!$K$5:$AJ$120,0,MATCH(AC$2,Inputs!$K$4:$AJ$4,0))))=0,NA(),SUMPRODUCT((Inputs!$A$5:$A$120=$B18)*Inputs!$B$5:$B$120*(((Inputs!$G$5:$G$120="moeda")+(Inputs!$G$5:$G$120="acoes"))*Inputs!$B$1+((Inputs!$G$5:$G$120&lt;&gt;"moeda")*(Inputs!$G$5:$G$120&lt;&gt;"acoes")))*INDEX(Inputs!$K$5:$AJ$120,0,MATCH(AC$2,Inputs!$K$4:$AJ$4,0)))+SUMPRODUCT((Inputs!$C$5:$C$120=$B18)*Inputs!$D$5:$D$120*(((Inputs!$G$5:$G$120="moeda")+(Inputs!$G$5:$G$120="acoes"))*Inputs!$B$1+((Inputs!$G$5:$G$120&lt;&gt;"moeda")*(Inputs!$G$5:$G$120&lt;&gt;"acoes")))*INDEX(Inputs!$K$5:$AJ$120,0,MATCH(AC$2,Inputs!$K$4:$AJ$4,0)))+SUMPRODUCT((Inputs!$E$5:$E$120=$B18)*Inputs!$F$5:$F$120*(((Inputs!$G$5:$G$120="moeda")+(Inputs!$G$5:$G$120="acoes"))*Inputs!$B$1+((Inputs!$G$5:$G$120&lt;&gt;"moeda")*(Inputs!$G$5:$G$120&lt;&gt;"acoes")))*INDEX(Inputs!$K$5:$AJ$120,0,MATCH(AC$2,Inputs!$K$4:$AJ$4,0)))))</f>
        <v>11350</v>
      </c>
      <c r="AD18" s="6">
        <f>IF(ISNA(MATCH(AD$2,Inputs!$K$4:$AJ$4,0)),NA(),IF(SUMPRODUCT((Inputs!$A$5:$A$120=$B18)*ISNUMBER(INDEX(Inputs!$K$5:$AJ$120,0,MATCH(AD$2,Inputs!$K$4:$AJ$4,0))))+SUMPRODUCT((Inputs!$C$5:$C$120=$B18)*ISNUMBER(INDEX(Inputs!$K$5:$AJ$120,0,MATCH(AD$2,Inputs!$K$4:$AJ$4,0))))+SUMPRODUCT((Inputs!$E$5:$E$120=$B18)*ISNUMBER(INDEX(Inputs!$K$5:$AJ$120,0,MATCH(AD$2,Inputs!$K$4:$AJ$4,0))))=0,NA(),SUMPRODUCT((Inputs!$A$5:$A$120=$B18)*Inputs!$B$5:$B$120*(((Inputs!$G$5:$G$120="moeda")+(Inputs!$G$5:$G$120="acoes"))*Inputs!$B$1+((Inputs!$G$5:$G$120&lt;&gt;"moeda")*(Inputs!$G$5:$G$120&lt;&gt;"acoes")))*INDEX(Inputs!$K$5:$AJ$120,0,MATCH(AD$2,Inputs!$K$4:$AJ$4,0)))+SUMPRODUCT((Inputs!$C$5:$C$120=$B18)*Inputs!$D$5:$D$120*(((Inputs!$G$5:$G$120="moeda")+(Inputs!$G$5:$G$120="acoes"))*Inputs!$B$1+((Inputs!$G$5:$G$120&lt;&gt;"moeda")*(Inputs!$G$5:$G$120&lt;&gt;"acoes")))*INDEX(Inputs!$K$5:$AJ$120,0,MATCH(AD$2,Inputs!$K$4:$AJ$4,0)))+SUMPRODUCT((Inputs!$E$5:$E$120=$B18)*Inputs!$F$5:$F$120*(((Inputs!$G$5:$G$120="moeda")+(Inputs!$G$5:$G$120="acoes"))*Inputs!$B$1+((Inputs!$G$5:$G$120&lt;&gt;"moeda")*(Inputs!$G$5:$G$120&lt;&gt;"acoes")))*INDEX(Inputs!$K$5:$AJ$120,0,MATCH(AD$2,Inputs!$K$4:$AJ$4,0)))))</f>
        <v>10028</v>
      </c>
      <c r="AE18" s="6" t="e">
        <f>IF(ISNA(MATCH(AE$2,Inputs!$K$4:$AJ$4,0)),NA(),IF(SUMPRODUCT((Inputs!$A$5:$A$120=$B18)*ISNUMBER(INDEX(Inputs!$K$5:$AJ$120,0,MATCH(AE$2,Inputs!$K$4:$AJ$4,0))))+SUMPRODUCT((Inputs!$C$5:$C$120=$B18)*ISNUMBER(INDEX(Inputs!$K$5:$AJ$120,0,MATCH(AE$2,Inputs!$K$4:$AJ$4,0))))+SUMPRODUCT((Inputs!$E$5:$E$120=$B18)*ISNUMBER(INDEX(Inputs!$K$5:$AJ$120,0,MATCH(AE$2,Inputs!$K$4:$AJ$4,0))))=0,NA(),SUMPRODUCT((Inputs!$A$5:$A$120=$B18)*Inputs!$B$5:$B$120*(((Inputs!$G$5:$G$120="moeda")+(Inputs!$G$5:$G$120="acoes"))*Inputs!$B$1+((Inputs!$G$5:$G$120&lt;&gt;"moeda")*(Inputs!$G$5:$G$120&lt;&gt;"acoes")))*INDEX(Inputs!$K$5:$AJ$120,0,MATCH(AE$2,Inputs!$K$4:$AJ$4,0)))+SUMPRODUCT((Inputs!$C$5:$C$120=$B18)*Inputs!$D$5:$D$120*(((Inputs!$G$5:$G$120="moeda")+(Inputs!$G$5:$G$120="acoes"))*Inputs!$B$1+((Inputs!$G$5:$G$120&lt;&gt;"moeda")*(Inputs!$G$5:$G$120&lt;&gt;"acoes")))*INDEX(Inputs!$K$5:$AJ$120,0,MATCH(AE$2,Inputs!$K$4:$AJ$4,0)))+SUMPRODUCT((Inputs!$E$5:$E$120=$B18)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8" s="6" t="e">
        <f>IF(ISNA(MATCH(AF$2,Inputs!$K$4:$AJ$4,0)),NA(),IF(SUMPRODUCT((Inputs!$A$5:$A$120=$B18)*ISNUMBER(INDEX(Inputs!$K$5:$AJ$120,0,MATCH(AF$2,Inputs!$K$4:$AJ$4,0))))+SUMPRODUCT((Inputs!$C$5:$C$120=$B18)*ISNUMBER(INDEX(Inputs!$K$5:$AJ$120,0,MATCH(AF$2,Inputs!$K$4:$AJ$4,0))))+SUMPRODUCT((Inputs!$E$5:$E$120=$B18)*ISNUMBER(INDEX(Inputs!$K$5:$AJ$120,0,MATCH(AF$2,Inputs!$K$4:$AJ$4,0))))=0,NA(),SUMPRODUCT((Inputs!$A$5:$A$120=$B18)*Inputs!$B$5:$B$120*(((Inputs!$G$5:$G$120="moeda")+(Inputs!$G$5:$G$120="acoes"))*Inputs!$B$1+((Inputs!$G$5:$G$120&lt;&gt;"moeda")*(Inputs!$G$5:$G$120&lt;&gt;"acoes")))*INDEX(Inputs!$K$5:$AJ$120,0,MATCH(AF$2,Inputs!$K$4:$AJ$4,0)))+SUMPRODUCT((Inputs!$C$5:$C$120=$B18)*Inputs!$D$5:$D$120*(((Inputs!$G$5:$G$120="moeda")+(Inputs!$G$5:$G$120="acoes"))*Inputs!$B$1+((Inputs!$G$5:$G$120&lt;&gt;"moeda")*(Inputs!$G$5:$G$120&lt;&gt;"acoes")))*INDEX(Inputs!$K$5:$AJ$120,0,MATCH(AF$2,Inputs!$K$4:$AJ$4,0)))+SUMPRODUCT((Inputs!$E$5:$E$120=$B18)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8" s="3" t="e">
        <f>AF18</f>
        <v>#N/A</v>
      </c>
      <c r="AH18" s="6">
        <f>IF(ISNA(MATCH(AH$2,Inputs!$K$4:$AJ$4,0)),NA(),IF(SUMPRODUCT((Inputs!$A$5:$A$120=$B18)*ISNUMBER(INDEX(Inputs!$K$5:$AJ$120,0,MATCH(AH$2,Inputs!$K$4:$AJ$4,0))))+SUMPRODUCT((Inputs!$C$5:$C$120=$B18)*ISNUMBER(INDEX(Inputs!$K$5:$AJ$120,0,MATCH(AH$2,Inputs!$K$4:$AJ$4,0))))+SUMPRODUCT((Inputs!$E$5:$E$120=$B18)*ISNUMBER(INDEX(Inputs!$K$5:$AJ$120,0,MATCH(AH$2,Inputs!$K$4:$AJ$4,0))))=0,NA(),SUMPRODUCT((Inputs!$A$5:$A$120=$B18)*Inputs!$B$5:$B$120*(((Inputs!$G$5:$G$120="moeda")+(Inputs!$G$5:$G$120="acoes"))*Inputs!$B$1+((Inputs!$G$5:$G$120&lt;&gt;"moeda")*(Inputs!$G$5:$G$120&lt;&gt;"acoes")))*INDEX(Inputs!$K$5:$AJ$120,0,MATCH(AH$2,Inputs!$K$4:$AJ$4,0)))+SUMPRODUCT((Inputs!$C$5:$C$120=$B18)*Inputs!$D$5:$D$120*(((Inputs!$G$5:$G$120="moeda")+(Inputs!$G$5:$G$120="acoes"))*Inputs!$B$1+((Inputs!$G$5:$G$120&lt;&gt;"moeda")*(Inputs!$G$5:$G$120&lt;&gt;"acoes")))*INDEX(Inputs!$K$5:$AJ$120,0,MATCH(AH$2,Inputs!$K$4:$AJ$4,0)))+SUMPRODUCT((Inputs!$E$5:$E$120=$B18)*Inputs!$F$5:$F$120*(((Inputs!$G$5:$G$120="moeda")+(Inputs!$G$5:$G$120="acoes"))*Inputs!$B$1+((Inputs!$G$5:$G$120&lt;&gt;"moeda")*(Inputs!$G$5:$G$120&lt;&gt;"acoes")))*INDEX(Inputs!$K$5:$AJ$120,0,MATCH(AH$2,Inputs!$K$4:$AJ$4,0)))))</f>
        <v>2471.6</v>
      </c>
      <c r="AI18" s="6">
        <f>IF(ISNA(MATCH(AI$2,Inputs!$K$4:$AJ$4,0)),NA(),IF(SUMPRODUCT((Inputs!$A$5:$A$120=$B18)*ISNUMBER(INDEX(Inputs!$K$5:$AJ$120,0,MATCH(AI$2,Inputs!$K$4:$AJ$4,0))))+SUMPRODUCT((Inputs!$C$5:$C$120=$B18)*ISNUMBER(INDEX(Inputs!$K$5:$AJ$120,0,MATCH(AI$2,Inputs!$K$4:$AJ$4,0))))+SUMPRODUCT((Inputs!$E$5:$E$120=$B18)*ISNUMBER(INDEX(Inputs!$K$5:$AJ$120,0,MATCH(AI$2,Inputs!$K$4:$AJ$4,0))))=0,NA(),SUMPRODUCT((Inputs!$A$5:$A$120=$B18)*Inputs!$B$5:$B$120*(((Inputs!$G$5:$G$120="moeda")+(Inputs!$G$5:$G$120="acoes"))*Inputs!$B$1+((Inputs!$G$5:$G$120&lt;&gt;"moeda")*(Inputs!$G$5:$G$120&lt;&gt;"acoes")))*INDEX(Inputs!$K$5:$AJ$120,0,MATCH(AI$2,Inputs!$K$4:$AJ$4,0)))+SUMPRODUCT((Inputs!$C$5:$C$120=$B18)*Inputs!$D$5:$D$120*(((Inputs!$G$5:$G$120="moeda")+(Inputs!$G$5:$G$120="acoes"))*Inputs!$B$1+((Inputs!$G$5:$G$120&lt;&gt;"moeda")*(Inputs!$G$5:$G$120&lt;&gt;"acoes")))*INDEX(Inputs!$K$5:$AJ$120,0,MATCH(AI$2,Inputs!$K$4:$AJ$4,0)))+SUMPRODUCT((Inputs!$E$5:$E$120=$B18)*Inputs!$F$5:$F$120*(((Inputs!$G$5:$G$120="moeda")+(Inputs!$G$5:$G$120="acoes"))*Inputs!$B$1+((Inputs!$G$5:$G$120&lt;&gt;"moeda")*(Inputs!$G$5:$G$120&lt;&gt;"acoes")))*INDEX(Inputs!$K$5:$AJ$120,0,MATCH(AI$2,Inputs!$K$4:$AJ$4,0)))))</f>
        <v>2481.8</v>
      </c>
      <c r="AJ18" s="6">
        <f>IF(ISNA(MATCH(AJ$2,Inputs!$K$4:$AJ$4,0)),NA(),IF(SUMPRODUCT((Inputs!$A$5:$A$120=$B18)*ISNUMBER(INDEX(Inputs!$K$5:$AJ$120,0,MATCH(AJ$2,Inputs!$K$4:$AJ$4,0))))+SUMPRODUCT((Inputs!$C$5:$C$120=$B18)*ISNUMBER(INDEX(Inputs!$K$5:$AJ$120,0,MATCH(AJ$2,Inputs!$K$4:$AJ$4,0))))+SUMPRODUCT((Inputs!$E$5:$E$120=$B18)*ISNUMBER(INDEX(Inputs!$K$5:$AJ$120,0,MATCH(AJ$2,Inputs!$K$4:$AJ$4,0))))=0,NA(),SUMPRODUCT((Inputs!$A$5:$A$120=$B18)*Inputs!$B$5:$B$120*(((Inputs!$G$5:$G$120="moeda")+(Inputs!$G$5:$G$120="acoes"))*Inputs!$B$1+((Inputs!$G$5:$G$120&lt;&gt;"moeda")*(Inputs!$G$5:$G$120&lt;&gt;"acoes")))*INDEX(Inputs!$K$5:$AJ$120,0,MATCH(AJ$2,Inputs!$K$4:$AJ$4,0)))+SUMPRODUCT((Inputs!$C$5:$C$120=$B18)*Inputs!$D$5:$D$120*(((Inputs!$G$5:$G$120="moeda")+(Inputs!$G$5:$G$120="acoes"))*Inputs!$B$1+((Inputs!$G$5:$G$120&lt;&gt;"moeda")*(Inputs!$G$5:$G$120&lt;&gt;"acoes")))*INDEX(Inputs!$K$5:$AJ$120,0,MATCH(AJ$2,Inputs!$K$4:$AJ$4,0)))+SUMPRODUCT((Inputs!$E$5:$E$120=$B18)*Inputs!$F$5:$F$120*(((Inputs!$G$5:$G$120="moeda")+(Inputs!$G$5:$G$120="acoes"))*Inputs!$B$1+((Inputs!$G$5:$G$120&lt;&gt;"moeda")*(Inputs!$G$5:$G$120&lt;&gt;"acoes")))*INDEX(Inputs!$K$5:$AJ$120,0,MATCH(AJ$2,Inputs!$K$4:$AJ$4,0)))))</f>
        <v>2555.3</v>
      </c>
      <c r="AK18" s="6">
        <f>IF(ISNA(MATCH(AK$2,Inputs!$K$4:$AJ$4,0)),NA(),IF(SUMPRODUCT((Inputs!$A$5:$A$120=$B18)*ISNUMBER(INDEX(Inputs!$K$5:$AJ$120,0,MATCH(AK$2,Inputs!$K$4:$AJ$4,0))))+SUMPRODUCT((Inputs!$C$5:$C$120=$B18)*ISNUMBER(INDEX(Inputs!$K$5:$AJ$120,0,MATCH(AK$2,Inputs!$K$4:$AJ$4,0))))+SUMPRODUCT((Inputs!$E$5:$E$120=$B18)*ISNUMBER(INDEX(Inputs!$K$5:$AJ$120,0,MATCH(AK$2,Inputs!$K$4:$AJ$4,0))))=0,NA(),SUMPRODUCT((Inputs!$A$5:$A$120=$B18)*Inputs!$B$5:$B$120*(((Inputs!$G$5:$G$120="moeda")+(Inputs!$G$5:$G$120="acoes"))*Inputs!$B$1+((Inputs!$G$5:$G$120&lt;&gt;"moeda")*(Inputs!$G$5:$G$120&lt;&gt;"acoes")))*INDEX(Inputs!$K$5:$AJ$120,0,MATCH(AK$2,Inputs!$K$4:$AJ$4,0)))+SUMPRODUCT((Inputs!$C$5:$C$120=$B18)*Inputs!$D$5:$D$120*(((Inputs!$G$5:$G$120="moeda")+(Inputs!$G$5:$G$120="acoes"))*Inputs!$B$1+((Inputs!$G$5:$G$120&lt;&gt;"moeda")*(Inputs!$G$5:$G$120&lt;&gt;"acoes")))*INDEX(Inputs!$K$5:$AJ$120,0,MATCH(AK$2,Inputs!$K$4:$AJ$4,0)))+SUMPRODUCT((Inputs!$E$5:$E$120=$B18)*Inputs!$F$5:$F$120*(((Inputs!$G$5:$G$120="moeda")+(Inputs!$G$5:$G$120="acoes"))*Inputs!$B$1+((Inputs!$G$5:$G$120&lt;&gt;"moeda")*(Inputs!$G$5:$G$120&lt;&gt;"acoes")))*INDEX(Inputs!$K$5:$AJ$120,0,MATCH(AK$2,Inputs!$K$4:$AJ$4,0)))))</f>
        <v>2830.4</v>
      </c>
      <c r="AL18" s="3">
        <f>AK18</f>
        <v>2830.4</v>
      </c>
    </row>
    <row r="19">
      <c r="B19" s="46" t="n">
        <v>15</v>
      </c>
      <c r="C19" s="26" t="inlineStr">
        <is>
          <t>Prepaid expenses</t>
        </is>
      </c>
      <c r="D19" s="6">
        <f>IF(ISNA(MATCH(D$2,Inputs!$K$4:$AJ$4,0)),NA(),IF(SUMPRODUCT((Inputs!$A$5:$A$120=$B19)*ISNUMBER(INDEX(Inputs!$K$5:$AJ$120,0,MATCH(D$2,Inputs!$K$4:$AJ$4,0))))+SUMPRODUCT((Inputs!$C$5:$C$120=$B19)*ISNUMBER(INDEX(Inputs!$K$5:$AJ$120,0,MATCH(D$2,Inputs!$K$4:$AJ$4,0))))+SUMPRODUCT((Inputs!$E$5:$E$120=$B19)*ISNUMBER(INDEX(Inputs!$K$5:$AJ$120,0,MATCH(D$2,Inputs!$K$4:$AJ$4,0))))=0,NA(),SUMPRODUCT((Inputs!$A$5:$A$120=$B19)*Inputs!$B$5:$B$120*(((Inputs!$G$5:$G$120="moeda")+(Inputs!$G$5:$G$120="acoes"))*Inputs!$B$1+((Inputs!$G$5:$G$120&lt;&gt;"moeda")*(Inputs!$G$5:$G$120&lt;&gt;"acoes")))*INDEX(Inputs!$K$5:$AJ$120,0,MATCH(D$2,Inputs!$K$4:$AJ$4,0)))+SUMPRODUCT((Inputs!$C$5:$C$120=$B19)*Inputs!$D$5:$D$120*(((Inputs!$G$5:$G$120="moeda")+(Inputs!$G$5:$G$120="acoes"))*Inputs!$B$1+((Inputs!$G$5:$G$120&lt;&gt;"moeda")*(Inputs!$G$5:$G$120&lt;&gt;"acoes")))*INDEX(Inputs!$K$5:$AJ$120,0,MATCH(D$2,Inputs!$K$4:$AJ$4,0)))+SUMPRODUCT((Inputs!$E$5:$E$120=$B19)*Inputs!$F$5:$F$120*(((Inputs!$G$5:$G$120="moeda")+(Inputs!$G$5:$G$120="acoes"))*Inputs!$B$1+((Inputs!$G$5:$G$120&lt;&gt;"moeda")*(Inputs!$G$5:$G$120&lt;&gt;"acoes")))*INDEX(Inputs!$K$5:$AJ$120,0,MATCH(D$2,Inputs!$K$4:$AJ$4,0)))))</f>
        <v>3233.7</v>
      </c>
      <c r="E19" s="6">
        <f>IF(ISNA(MATCH(E$2,Inputs!$K$4:$AJ$4,0)),NA(),IF(SUMPRODUCT((Inputs!$A$5:$A$120=$B19)*ISNUMBER(INDEX(Inputs!$K$5:$AJ$120,0,MATCH(E$2,Inputs!$K$4:$AJ$4,0))))+SUMPRODUCT((Inputs!$C$5:$C$120=$B19)*ISNUMBER(INDEX(Inputs!$K$5:$AJ$120,0,MATCH(E$2,Inputs!$K$4:$AJ$4,0))))+SUMPRODUCT((Inputs!$E$5:$E$120=$B19)*ISNUMBER(INDEX(Inputs!$K$5:$AJ$120,0,MATCH(E$2,Inputs!$K$4:$AJ$4,0))))=0,NA(),SUMPRODUCT((Inputs!$A$5:$A$120=$B19)*Inputs!$B$5:$B$120*(((Inputs!$G$5:$G$120="moeda")+(Inputs!$G$5:$G$120="acoes"))*Inputs!$B$1+((Inputs!$G$5:$G$120&lt;&gt;"moeda")*(Inputs!$G$5:$G$120&lt;&gt;"acoes")))*INDEX(Inputs!$K$5:$AJ$120,0,MATCH(E$2,Inputs!$K$4:$AJ$4,0)))+SUMPRODUCT((Inputs!$C$5:$C$120=$B19)*Inputs!$D$5:$D$120*(((Inputs!$G$5:$G$120="moeda")+(Inputs!$G$5:$G$120="acoes"))*Inputs!$B$1+((Inputs!$G$5:$G$120&lt;&gt;"moeda")*(Inputs!$G$5:$G$120&lt;&gt;"acoes")))*INDEX(Inputs!$K$5:$AJ$120,0,MATCH(E$2,Inputs!$K$4:$AJ$4,0)))+SUMPRODUCT((Inputs!$E$5:$E$120=$B19)*Inputs!$F$5:$F$120*(((Inputs!$G$5:$G$120="moeda")+(Inputs!$G$5:$G$120="acoes"))*Inputs!$B$1+((Inputs!$G$5:$G$120&lt;&gt;"moeda")*(Inputs!$G$5:$G$120&lt;&gt;"acoes")))*INDEX(Inputs!$K$5:$AJ$120,0,MATCH(E$2,Inputs!$K$4:$AJ$4,0)))))</f>
        <v>3296.6</v>
      </c>
      <c r="F19" s="6">
        <f>IF(ISNA(MATCH(F$2,Inputs!$K$4:$AJ$4,0)),NA(),IF(SUMPRODUCT((Inputs!$A$5:$A$120=$B19)*ISNUMBER(INDEX(Inputs!$K$5:$AJ$120,0,MATCH(F$2,Inputs!$K$4:$AJ$4,0))))+SUMPRODUCT((Inputs!$C$5:$C$120=$B19)*ISNUMBER(INDEX(Inputs!$K$5:$AJ$120,0,MATCH(F$2,Inputs!$K$4:$AJ$4,0))))+SUMPRODUCT((Inputs!$E$5:$E$120=$B19)*ISNUMBER(INDEX(Inputs!$K$5:$AJ$120,0,MATCH(F$2,Inputs!$K$4:$AJ$4,0))))=0,NA(),SUMPRODUCT((Inputs!$A$5:$A$120=$B19)*Inputs!$B$5:$B$120*(((Inputs!$G$5:$G$120="moeda")+(Inputs!$G$5:$G$120="acoes"))*Inputs!$B$1+((Inputs!$G$5:$G$120&lt;&gt;"moeda")*(Inputs!$G$5:$G$120&lt;&gt;"acoes")))*INDEX(Inputs!$K$5:$AJ$120,0,MATCH(F$2,Inputs!$K$4:$AJ$4,0)))+SUMPRODUCT((Inputs!$C$5:$C$120=$B19)*Inputs!$D$5:$D$120*(((Inputs!$G$5:$G$120="moeda")+(Inputs!$G$5:$G$120="acoes"))*Inputs!$B$1+((Inputs!$G$5:$G$120&lt;&gt;"moeda")*(Inputs!$G$5:$G$120&lt;&gt;"acoes")))*INDEX(Inputs!$K$5:$AJ$120,0,MATCH(F$2,Inputs!$K$4:$AJ$4,0)))+SUMPRODUCT((Inputs!$E$5:$E$120=$B19)*Inputs!$F$5:$F$120*(((Inputs!$G$5:$G$120="moeda")+(Inputs!$G$5:$G$120="acoes"))*Inputs!$B$1+((Inputs!$G$5:$G$120&lt;&gt;"moeda")*(Inputs!$G$5:$G$120&lt;&gt;"acoes")))*INDEX(Inputs!$K$5:$AJ$120,0,MATCH(F$2,Inputs!$K$4:$AJ$4,0)))))</f>
        <v>3050.6</v>
      </c>
      <c r="G19" s="6">
        <f>IF(ISNA(MATCH(G$2,Inputs!$K$4:$AJ$4,0)),NA(),IF(SUMPRODUCT((Inputs!$A$5:$A$120=$B19)*ISNUMBER(INDEX(Inputs!$K$5:$AJ$120,0,MATCH(G$2,Inputs!$K$4:$AJ$4,0))))+SUMPRODUCT((Inputs!$C$5:$C$120=$B19)*ISNUMBER(INDEX(Inputs!$K$5:$AJ$120,0,MATCH(G$2,Inputs!$K$4:$AJ$4,0))))+SUMPRODUCT((Inputs!$E$5:$E$120=$B19)*ISNUMBER(INDEX(Inputs!$K$5:$AJ$120,0,MATCH(G$2,Inputs!$K$4:$AJ$4,0))))=0,NA(),SUMPRODUCT((Inputs!$A$5:$A$120=$B19)*Inputs!$B$5:$B$120*(((Inputs!$G$5:$G$120="moeda")+(Inputs!$G$5:$G$120="acoes"))*Inputs!$B$1+((Inputs!$G$5:$G$120&lt;&gt;"moeda")*(Inputs!$G$5:$G$120&lt;&gt;"acoes")))*INDEX(Inputs!$K$5:$AJ$120,0,MATCH(G$2,Inputs!$K$4:$AJ$4,0)))+SUMPRODUCT((Inputs!$C$5:$C$120=$B19)*Inputs!$D$5:$D$120*(((Inputs!$G$5:$G$120="moeda")+(Inputs!$G$5:$G$120="acoes"))*Inputs!$B$1+((Inputs!$G$5:$G$120&lt;&gt;"moeda")*(Inputs!$G$5:$G$120&lt;&gt;"acoes")))*INDEX(Inputs!$K$5:$AJ$120,0,MATCH(G$2,Inputs!$K$4:$AJ$4,0)))+SUMPRODUCT((Inputs!$E$5:$E$120=$B19)*Inputs!$F$5:$F$120*(((Inputs!$G$5:$G$120="moeda")+(Inputs!$G$5:$G$120="acoes"))*Inputs!$B$1+((Inputs!$G$5:$G$120&lt;&gt;"moeda")*(Inputs!$G$5:$G$120&lt;&gt;"acoes")))*INDEX(Inputs!$K$5:$AJ$120,0,MATCH(G$2,Inputs!$K$4:$AJ$4,0)))))</f>
        <v>2530.6</v>
      </c>
      <c r="H19" s="3">
        <f>G19</f>
        <v>2530.6</v>
      </c>
      <c r="I19" s="6">
        <f>IF(ISNA(MATCH(I$2,Inputs!$K$4:$AJ$4,0)),NA(),IF(SUMPRODUCT((Inputs!$A$5:$A$120=$B19)*ISNUMBER(INDEX(Inputs!$K$5:$AJ$120,0,MATCH(I$2,Inputs!$K$4:$AJ$4,0))))+SUMPRODUCT((Inputs!$C$5:$C$120=$B19)*ISNUMBER(INDEX(Inputs!$K$5:$AJ$120,0,MATCH(I$2,Inputs!$K$4:$AJ$4,0))))+SUMPRODUCT((Inputs!$E$5:$E$120=$B19)*ISNUMBER(INDEX(Inputs!$K$5:$AJ$120,0,MATCH(I$2,Inputs!$K$4:$AJ$4,0))))=0,NA(),SUMPRODUCT((Inputs!$A$5:$A$120=$B19)*Inputs!$B$5:$B$120*(((Inputs!$G$5:$G$120="moeda")+(Inputs!$G$5:$G$120="acoes"))*Inputs!$B$1+((Inputs!$G$5:$G$120&lt;&gt;"moeda")*(Inputs!$G$5:$G$120&lt;&gt;"acoes")))*INDEX(Inputs!$K$5:$AJ$120,0,MATCH(I$2,Inputs!$K$4:$AJ$4,0)))+SUMPRODUCT((Inputs!$C$5:$C$120=$B19)*Inputs!$D$5:$D$120*(((Inputs!$G$5:$G$120="moeda")+(Inputs!$G$5:$G$120="acoes"))*Inputs!$B$1+((Inputs!$G$5:$G$120&lt;&gt;"moeda")*(Inputs!$G$5:$G$120&lt;&gt;"acoes")))*INDEX(Inputs!$K$5:$AJ$120,0,MATCH(I$2,Inputs!$K$4:$AJ$4,0)))+SUMPRODUCT((Inputs!$E$5:$E$120=$B19)*Inputs!$F$5:$F$120*(((Inputs!$G$5:$G$120="moeda")+(Inputs!$G$5:$G$120="acoes"))*Inputs!$B$1+((Inputs!$G$5:$G$120&lt;&gt;"moeda")*(Inputs!$G$5:$G$120&lt;&gt;"acoes")))*INDEX(Inputs!$K$5:$AJ$120,0,MATCH(I$2,Inputs!$K$4:$AJ$4,0)))))</f>
        <v>2697.7</v>
      </c>
      <c r="J19" s="6">
        <f>IF(ISNA(MATCH(J$2,Inputs!$K$4:$AJ$4,0)),NA(),IF(SUMPRODUCT((Inputs!$A$5:$A$120=$B19)*ISNUMBER(INDEX(Inputs!$K$5:$AJ$120,0,MATCH(J$2,Inputs!$K$4:$AJ$4,0))))+SUMPRODUCT((Inputs!$C$5:$C$120=$B19)*ISNUMBER(INDEX(Inputs!$K$5:$AJ$120,0,MATCH(J$2,Inputs!$K$4:$AJ$4,0))))+SUMPRODUCT((Inputs!$E$5:$E$120=$B19)*ISNUMBER(INDEX(Inputs!$K$5:$AJ$120,0,MATCH(J$2,Inputs!$K$4:$AJ$4,0))))=0,NA(),SUMPRODUCT((Inputs!$A$5:$A$120=$B19)*Inputs!$B$5:$B$120*(((Inputs!$G$5:$G$120="moeda")+(Inputs!$G$5:$G$120="acoes"))*Inputs!$B$1+((Inputs!$G$5:$G$120&lt;&gt;"moeda")*(Inputs!$G$5:$G$120&lt;&gt;"acoes")))*INDEX(Inputs!$K$5:$AJ$120,0,MATCH(J$2,Inputs!$K$4:$AJ$4,0)))+SUMPRODUCT((Inputs!$C$5:$C$120=$B19)*Inputs!$D$5:$D$120*(((Inputs!$G$5:$G$120="moeda")+(Inputs!$G$5:$G$120="acoes"))*Inputs!$B$1+((Inputs!$G$5:$G$120&lt;&gt;"moeda")*(Inputs!$G$5:$G$120&lt;&gt;"acoes")))*INDEX(Inputs!$K$5:$AJ$120,0,MATCH(J$2,Inputs!$K$4:$AJ$4,0)))+SUMPRODUCT((Inputs!$E$5:$E$120=$B19)*Inputs!$F$5:$F$120*(((Inputs!$G$5:$G$120="moeda")+(Inputs!$G$5:$G$120="acoes"))*Inputs!$B$1+((Inputs!$G$5:$G$120&lt;&gt;"moeda")*(Inputs!$G$5:$G$120&lt;&gt;"acoes")))*INDEX(Inputs!$K$5:$AJ$120,0,MATCH(J$2,Inputs!$K$4:$AJ$4,0)))))</f>
        <v>2806.7</v>
      </c>
      <c r="K19" s="6">
        <f>IF(ISNA(MATCH(K$2,Inputs!$K$4:$AJ$4,0)),NA(),IF(SUMPRODUCT((Inputs!$A$5:$A$120=$B19)*ISNUMBER(INDEX(Inputs!$K$5:$AJ$120,0,MATCH(K$2,Inputs!$K$4:$AJ$4,0))))+SUMPRODUCT((Inputs!$C$5:$C$120=$B19)*ISNUMBER(INDEX(Inputs!$K$5:$AJ$120,0,MATCH(K$2,Inputs!$K$4:$AJ$4,0))))+SUMPRODUCT((Inputs!$E$5:$E$120=$B19)*ISNUMBER(INDEX(Inputs!$K$5:$AJ$120,0,MATCH(K$2,Inputs!$K$4:$AJ$4,0))))=0,NA(),SUMPRODUCT((Inputs!$A$5:$A$120=$B19)*Inputs!$B$5:$B$120*(((Inputs!$G$5:$G$120="moeda")+(Inputs!$G$5:$G$120="acoes"))*Inputs!$B$1+((Inputs!$G$5:$G$120&lt;&gt;"moeda")*(Inputs!$G$5:$G$120&lt;&gt;"acoes")))*INDEX(Inputs!$K$5:$AJ$120,0,MATCH(K$2,Inputs!$K$4:$AJ$4,0)))+SUMPRODUCT((Inputs!$C$5:$C$120=$B19)*Inputs!$D$5:$D$120*(((Inputs!$G$5:$G$120="moeda")+(Inputs!$G$5:$G$120="acoes"))*Inputs!$B$1+((Inputs!$G$5:$G$120&lt;&gt;"moeda")*(Inputs!$G$5:$G$120&lt;&gt;"acoes")))*INDEX(Inputs!$K$5:$AJ$120,0,MATCH(K$2,Inputs!$K$4:$AJ$4,0)))+SUMPRODUCT((Inputs!$E$5:$E$120=$B19)*Inputs!$F$5:$F$120*(((Inputs!$G$5:$G$120="moeda")+(Inputs!$G$5:$G$120="acoes"))*Inputs!$B$1+((Inputs!$G$5:$G$120&lt;&gt;"moeda")*(Inputs!$G$5:$G$120&lt;&gt;"acoes")))*INDEX(Inputs!$K$5:$AJ$120,0,MATCH(K$2,Inputs!$K$4:$AJ$4,0)))))</f>
        <v>2741.9</v>
      </c>
      <c r="L19" s="6">
        <f>IF(ISNA(MATCH(L$2,Inputs!$K$4:$AJ$4,0)),NA(),IF(SUMPRODUCT((Inputs!$A$5:$A$120=$B19)*ISNUMBER(INDEX(Inputs!$K$5:$AJ$120,0,MATCH(L$2,Inputs!$K$4:$AJ$4,0))))+SUMPRODUCT((Inputs!$C$5:$C$120=$B19)*ISNUMBER(INDEX(Inputs!$K$5:$AJ$120,0,MATCH(L$2,Inputs!$K$4:$AJ$4,0))))+SUMPRODUCT((Inputs!$E$5:$E$120=$B19)*ISNUMBER(INDEX(Inputs!$K$5:$AJ$120,0,MATCH(L$2,Inputs!$K$4:$AJ$4,0))))=0,NA(),SUMPRODUCT((Inputs!$A$5:$A$120=$B19)*Inputs!$B$5:$B$120*(((Inputs!$G$5:$G$120="moeda")+(Inputs!$G$5:$G$120="acoes"))*Inputs!$B$1+((Inputs!$G$5:$G$120&lt;&gt;"moeda")*(Inputs!$G$5:$G$120&lt;&gt;"acoes")))*INDEX(Inputs!$K$5:$AJ$120,0,MATCH(L$2,Inputs!$K$4:$AJ$4,0)))+SUMPRODUCT((Inputs!$C$5:$C$120=$B19)*Inputs!$D$5:$D$120*(((Inputs!$G$5:$G$120="moeda")+(Inputs!$G$5:$G$120="acoes"))*Inputs!$B$1+((Inputs!$G$5:$G$120&lt;&gt;"moeda")*(Inputs!$G$5:$G$120&lt;&gt;"acoes")))*INDEX(Inputs!$K$5:$AJ$120,0,MATCH(L$2,Inputs!$K$4:$AJ$4,0)))+SUMPRODUCT((Inputs!$E$5:$E$120=$B19)*Inputs!$F$5:$F$120*(((Inputs!$G$5:$G$120="moeda")+(Inputs!$G$5:$G$120="acoes"))*Inputs!$B$1+((Inputs!$G$5:$G$120&lt;&gt;"moeda")*(Inputs!$G$5:$G$120&lt;&gt;"acoes")))*INDEX(Inputs!$K$5:$AJ$120,0,MATCH(L$2,Inputs!$K$4:$AJ$4,0)))))</f>
        <v>0</v>
      </c>
      <c r="M19" s="3">
        <f>L19</f>
        <v>0</v>
      </c>
      <c r="N19" s="6">
        <f>IF(ISNA(MATCH(N$2,Inputs!$K$4:$AJ$4,0)),NA(),IF(SUMPRODUCT((Inputs!$A$5:$A$120=$B19)*ISNUMBER(INDEX(Inputs!$K$5:$AJ$120,0,MATCH(N$2,Inputs!$K$4:$AJ$4,0))))+SUMPRODUCT((Inputs!$C$5:$C$120=$B19)*ISNUMBER(INDEX(Inputs!$K$5:$AJ$120,0,MATCH(N$2,Inputs!$K$4:$AJ$4,0))))+SUMPRODUCT((Inputs!$E$5:$E$120=$B19)*ISNUMBER(INDEX(Inputs!$K$5:$AJ$120,0,MATCH(N$2,Inputs!$K$4:$AJ$4,0))))=0,NA(),SUMPRODUCT((Inputs!$A$5:$A$120=$B19)*Inputs!$B$5:$B$120*(((Inputs!$G$5:$G$120="moeda")+(Inputs!$G$5:$G$120="acoes"))*Inputs!$B$1+((Inputs!$G$5:$G$120&lt;&gt;"moeda")*(Inputs!$G$5:$G$120&lt;&gt;"acoes")))*INDEX(Inputs!$K$5:$AJ$120,0,MATCH(N$2,Inputs!$K$4:$AJ$4,0)))+SUMPRODUCT((Inputs!$C$5:$C$120=$B19)*Inputs!$D$5:$D$120*(((Inputs!$G$5:$G$120="moeda")+(Inputs!$G$5:$G$120="acoes"))*Inputs!$B$1+((Inputs!$G$5:$G$120&lt;&gt;"moeda")*(Inputs!$G$5:$G$120&lt;&gt;"acoes")))*INDEX(Inputs!$K$5:$AJ$120,0,MATCH(N$2,Inputs!$K$4:$AJ$4,0)))+SUMPRODUCT((Inputs!$E$5:$E$120=$B19)*Inputs!$F$5:$F$120*(((Inputs!$G$5:$G$120="moeda")+(Inputs!$G$5:$G$120="acoes"))*Inputs!$B$1+((Inputs!$G$5:$G$120&lt;&gt;"moeda")*(Inputs!$G$5:$G$120&lt;&gt;"acoes")))*INDEX(Inputs!$K$5:$AJ$120,0,MATCH(N$2,Inputs!$K$4:$AJ$4,0)))))</f>
        <v>0</v>
      </c>
      <c r="O19" s="6">
        <f>IF(ISNA(MATCH(O$2,Inputs!$K$4:$AJ$4,0)),NA(),IF(SUMPRODUCT((Inputs!$A$5:$A$120=$B19)*ISNUMBER(INDEX(Inputs!$K$5:$AJ$120,0,MATCH(O$2,Inputs!$K$4:$AJ$4,0))))+SUMPRODUCT((Inputs!$C$5:$C$120=$B19)*ISNUMBER(INDEX(Inputs!$K$5:$AJ$120,0,MATCH(O$2,Inputs!$K$4:$AJ$4,0))))+SUMPRODUCT((Inputs!$E$5:$E$120=$B19)*ISNUMBER(INDEX(Inputs!$K$5:$AJ$120,0,MATCH(O$2,Inputs!$K$4:$AJ$4,0))))=0,NA(),SUMPRODUCT((Inputs!$A$5:$A$120=$B19)*Inputs!$B$5:$B$120*(((Inputs!$G$5:$G$120="moeda")+(Inputs!$G$5:$G$120="acoes"))*Inputs!$B$1+((Inputs!$G$5:$G$120&lt;&gt;"moeda")*(Inputs!$G$5:$G$120&lt;&gt;"acoes")))*INDEX(Inputs!$K$5:$AJ$120,0,MATCH(O$2,Inputs!$K$4:$AJ$4,0)))+SUMPRODUCT((Inputs!$C$5:$C$120=$B19)*Inputs!$D$5:$D$120*(((Inputs!$G$5:$G$120="moeda")+(Inputs!$G$5:$G$120="acoes"))*Inputs!$B$1+((Inputs!$G$5:$G$120&lt;&gt;"moeda")*(Inputs!$G$5:$G$120&lt;&gt;"acoes")))*INDEX(Inputs!$K$5:$AJ$120,0,MATCH(O$2,Inputs!$K$4:$AJ$4,0)))+SUMPRODUCT((Inputs!$E$5:$E$120=$B19)*Inputs!$F$5:$F$120*(((Inputs!$G$5:$G$120="moeda")+(Inputs!$G$5:$G$120="acoes"))*Inputs!$B$1+((Inputs!$G$5:$G$120&lt;&gt;"moeda")*(Inputs!$G$5:$G$120&lt;&gt;"acoes")))*INDEX(Inputs!$K$5:$AJ$120,0,MATCH(O$2,Inputs!$K$4:$AJ$4,0)))))</f>
        <v>0</v>
      </c>
      <c r="P19" s="6">
        <f>IF(ISNA(MATCH(P$2,Inputs!$K$4:$AJ$4,0)),NA(),IF(SUMPRODUCT((Inputs!$A$5:$A$120=$B19)*ISNUMBER(INDEX(Inputs!$K$5:$AJ$120,0,MATCH(P$2,Inputs!$K$4:$AJ$4,0))))+SUMPRODUCT((Inputs!$C$5:$C$120=$B19)*ISNUMBER(INDEX(Inputs!$K$5:$AJ$120,0,MATCH(P$2,Inputs!$K$4:$AJ$4,0))))+SUMPRODUCT((Inputs!$E$5:$E$120=$B19)*ISNUMBER(INDEX(Inputs!$K$5:$AJ$120,0,MATCH(P$2,Inputs!$K$4:$AJ$4,0))))=0,NA(),SUMPRODUCT((Inputs!$A$5:$A$120=$B19)*Inputs!$B$5:$B$120*(((Inputs!$G$5:$G$120="moeda")+(Inputs!$G$5:$G$120="acoes"))*Inputs!$B$1+((Inputs!$G$5:$G$120&lt;&gt;"moeda")*(Inputs!$G$5:$G$120&lt;&gt;"acoes")))*INDEX(Inputs!$K$5:$AJ$120,0,MATCH(P$2,Inputs!$K$4:$AJ$4,0)))+SUMPRODUCT((Inputs!$C$5:$C$120=$B19)*Inputs!$D$5:$D$120*(((Inputs!$G$5:$G$120="moeda")+(Inputs!$G$5:$G$120="acoes"))*Inputs!$B$1+((Inputs!$G$5:$G$120&lt;&gt;"moeda")*(Inputs!$G$5:$G$120&lt;&gt;"acoes")))*INDEX(Inputs!$K$5:$AJ$120,0,MATCH(P$2,Inputs!$K$4:$AJ$4,0)))+SUMPRODUCT((Inputs!$E$5:$E$120=$B19)*Inputs!$F$5:$F$120*(((Inputs!$G$5:$G$120="moeda")+(Inputs!$G$5:$G$120="acoes"))*Inputs!$B$1+((Inputs!$G$5:$G$120&lt;&gt;"moeda")*(Inputs!$G$5:$G$120&lt;&gt;"acoes")))*INDEX(Inputs!$K$5:$AJ$120,0,MATCH(P$2,Inputs!$K$4:$AJ$4,0)))))</f>
        <v>0</v>
      </c>
      <c r="Q19" s="6">
        <f>IF(ISNA(MATCH(Q$2,Inputs!$K$4:$AJ$4,0)),NA(),IF(SUMPRODUCT((Inputs!$A$5:$A$120=$B19)*ISNUMBER(INDEX(Inputs!$K$5:$AJ$120,0,MATCH(Q$2,Inputs!$K$4:$AJ$4,0))))+SUMPRODUCT((Inputs!$C$5:$C$120=$B19)*ISNUMBER(INDEX(Inputs!$K$5:$AJ$120,0,MATCH(Q$2,Inputs!$K$4:$AJ$4,0))))+SUMPRODUCT((Inputs!$E$5:$E$120=$B19)*ISNUMBER(INDEX(Inputs!$K$5:$AJ$120,0,MATCH(Q$2,Inputs!$K$4:$AJ$4,0))))=0,NA(),SUMPRODUCT((Inputs!$A$5:$A$120=$B19)*Inputs!$B$5:$B$120*(((Inputs!$G$5:$G$120="moeda")+(Inputs!$G$5:$G$120="acoes"))*Inputs!$B$1+((Inputs!$G$5:$G$120&lt;&gt;"moeda")*(Inputs!$G$5:$G$120&lt;&gt;"acoes")))*INDEX(Inputs!$K$5:$AJ$120,0,MATCH(Q$2,Inputs!$K$4:$AJ$4,0)))+SUMPRODUCT((Inputs!$C$5:$C$120=$B19)*Inputs!$D$5:$D$120*(((Inputs!$G$5:$G$120="moeda")+(Inputs!$G$5:$G$120="acoes"))*Inputs!$B$1+((Inputs!$G$5:$G$120&lt;&gt;"moeda")*(Inputs!$G$5:$G$120&lt;&gt;"acoes")))*INDEX(Inputs!$K$5:$AJ$120,0,MATCH(Q$2,Inputs!$K$4:$AJ$4,0)))+SUMPRODUCT((Inputs!$E$5:$E$120=$B19)*Inputs!$F$5:$F$120*(((Inputs!$G$5:$G$120="moeda")+(Inputs!$G$5:$G$120="acoes"))*Inputs!$B$1+((Inputs!$G$5:$G$120&lt;&gt;"moeda")*(Inputs!$G$5:$G$120&lt;&gt;"acoes")))*INDEX(Inputs!$K$5:$AJ$120,0,MATCH(Q$2,Inputs!$K$4:$AJ$4,0)))))</f>
        <v>5540.8</v>
      </c>
      <c r="R19" s="3">
        <f>Q19</f>
        <v>5540.8</v>
      </c>
      <c r="S19" s="6">
        <f>IF(ISNA(MATCH(S$2,Inputs!$K$4:$AJ$4,0)),NA(),IF(SUMPRODUCT((Inputs!$A$5:$A$120=$B19)*ISNUMBER(INDEX(Inputs!$K$5:$AJ$120,0,MATCH(S$2,Inputs!$K$4:$AJ$4,0))))+SUMPRODUCT((Inputs!$C$5:$C$120=$B19)*ISNUMBER(INDEX(Inputs!$K$5:$AJ$120,0,MATCH(S$2,Inputs!$K$4:$AJ$4,0))))+SUMPRODUCT((Inputs!$E$5:$E$120=$B19)*ISNUMBER(INDEX(Inputs!$K$5:$AJ$120,0,MATCH(S$2,Inputs!$K$4:$AJ$4,0))))=0,NA(),SUMPRODUCT((Inputs!$A$5:$A$120=$B19)*Inputs!$B$5:$B$120*(((Inputs!$G$5:$G$120="moeda")+(Inputs!$G$5:$G$120="acoes"))*Inputs!$B$1+((Inputs!$G$5:$G$120&lt;&gt;"moeda")*(Inputs!$G$5:$G$120&lt;&gt;"acoes")))*INDEX(Inputs!$K$5:$AJ$120,0,MATCH(S$2,Inputs!$K$4:$AJ$4,0)))+SUMPRODUCT((Inputs!$C$5:$C$120=$B19)*Inputs!$D$5:$D$120*(((Inputs!$G$5:$G$120="moeda")+(Inputs!$G$5:$G$120="acoes"))*Inputs!$B$1+((Inputs!$G$5:$G$120&lt;&gt;"moeda")*(Inputs!$G$5:$G$120&lt;&gt;"acoes")))*INDEX(Inputs!$K$5:$AJ$120,0,MATCH(S$2,Inputs!$K$4:$AJ$4,0)))+SUMPRODUCT((Inputs!$E$5:$E$120=$B19)*Inputs!$F$5:$F$120*(((Inputs!$G$5:$G$120="moeda")+(Inputs!$G$5:$G$120="acoes"))*Inputs!$B$1+((Inputs!$G$5:$G$120&lt;&gt;"moeda")*(Inputs!$G$5:$G$120&lt;&gt;"acoes")))*INDEX(Inputs!$K$5:$AJ$120,0,MATCH(S$2,Inputs!$K$4:$AJ$4,0)))))</f>
        <v>6348.6</v>
      </c>
      <c r="T19" s="6">
        <f>IF(ISNA(MATCH(T$2,Inputs!$K$4:$AJ$4,0)),NA(),IF(SUMPRODUCT((Inputs!$A$5:$A$120=$B19)*ISNUMBER(INDEX(Inputs!$K$5:$AJ$120,0,MATCH(T$2,Inputs!$K$4:$AJ$4,0))))+SUMPRODUCT((Inputs!$C$5:$C$120=$B19)*ISNUMBER(INDEX(Inputs!$K$5:$AJ$120,0,MATCH(T$2,Inputs!$K$4:$AJ$4,0))))+SUMPRODUCT((Inputs!$E$5:$E$120=$B19)*ISNUMBER(INDEX(Inputs!$K$5:$AJ$120,0,MATCH(T$2,Inputs!$K$4:$AJ$4,0))))=0,NA(),SUMPRODUCT((Inputs!$A$5:$A$120=$B19)*Inputs!$B$5:$B$120*(((Inputs!$G$5:$G$120="moeda")+(Inputs!$G$5:$G$120="acoes"))*Inputs!$B$1+((Inputs!$G$5:$G$120&lt;&gt;"moeda")*(Inputs!$G$5:$G$120&lt;&gt;"acoes")))*INDEX(Inputs!$K$5:$AJ$120,0,MATCH(T$2,Inputs!$K$4:$AJ$4,0)))+SUMPRODUCT((Inputs!$C$5:$C$120=$B19)*Inputs!$D$5:$D$120*(((Inputs!$G$5:$G$120="moeda")+(Inputs!$G$5:$G$120="acoes"))*Inputs!$B$1+((Inputs!$G$5:$G$120&lt;&gt;"moeda")*(Inputs!$G$5:$G$120&lt;&gt;"acoes")))*INDEX(Inputs!$K$5:$AJ$120,0,MATCH(T$2,Inputs!$K$4:$AJ$4,0)))+SUMPRODUCT((Inputs!$E$5:$E$120=$B19)*Inputs!$F$5:$F$120*(((Inputs!$G$5:$G$120="moeda")+(Inputs!$G$5:$G$120="acoes"))*Inputs!$B$1+((Inputs!$G$5:$G$120&lt;&gt;"moeda")*(Inputs!$G$5:$G$120&lt;&gt;"acoes")))*INDEX(Inputs!$K$5:$AJ$120,0,MATCH(T$2,Inputs!$K$4:$AJ$4,0)))))</f>
        <v>7137.6</v>
      </c>
      <c r="U19" s="6">
        <f>IF(ISNA(MATCH(U$2,Inputs!$K$4:$AJ$4,0)),NA(),IF(SUMPRODUCT((Inputs!$A$5:$A$120=$B19)*ISNUMBER(INDEX(Inputs!$K$5:$AJ$120,0,MATCH(U$2,Inputs!$K$4:$AJ$4,0))))+SUMPRODUCT((Inputs!$C$5:$C$120=$B19)*ISNUMBER(INDEX(Inputs!$K$5:$AJ$120,0,MATCH(U$2,Inputs!$K$4:$AJ$4,0))))+SUMPRODUCT((Inputs!$E$5:$E$120=$B19)*ISNUMBER(INDEX(Inputs!$K$5:$AJ$120,0,MATCH(U$2,Inputs!$K$4:$AJ$4,0))))=0,NA(),SUMPRODUCT((Inputs!$A$5:$A$120=$B19)*Inputs!$B$5:$B$120*(((Inputs!$G$5:$G$120="moeda")+(Inputs!$G$5:$G$120="acoes"))*Inputs!$B$1+((Inputs!$G$5:$G$120&lt;&gt;"moeda")*(Inputs!$G$5:$G$120&lt;&gt;"acoes")))*INDEX(Inputs!$K$5:$AJ$120,0,MATCH(U$2,Inputs!$K$4:$AJ$4,0)))+SUMPRODUCT((Inputs!$C$5:$C$120=$B19)*Inputs!$D$5:$D$120*(((Inputs!$G$5:$G$120="moeda")+(Inputs!$G$5:$G$120="acoes"))*Inputs!$B$1+((Inputs!$G$5:$G$120&lt;&gt;"moeda")*(Inputs!$G$5:$G$120&lt;&gt;"acoes")))*INDEX(Inputs!$K$5:$AJ$120,0,MATCH(U$2,Inputs!$K$4:$AJ$4,0)))+SUMPRODUCT((Inputs!$E$5:$E$120=$B19)*Inputs!$F$5:$F$120*(((Inputs!$G$5:$G$120="moeda")+(Inputs!$G$5:$G$120="acoes"))*Inputs!$B$1+((Inputs!$G$5:$G$120&lt;&gt;"moeda")*(Inputs!$G$5:$G$120&lt;&gt;"acoes")))*INDEX(Inputs!$K$5:$AJ$120,0,MATCH(U$2,Inputs!$K$4:$AJ$4,0)))))</f>
        <v>8250.6</v>
      </c>
      <c r="V19" s="6">
        <f>IF(ISNA(MATCH(V$2,Inputs!$K$4:$AJ$4,0)),NA(),IF(SUMPRODUCT((Inputs!$A$5:$A$120=$B19)*ISNUMBER(INDEX(Inputs!$K$5:$AJ$120,0,MATCH(V$2,Inputs!$K$4:$AJ$4,0))))+SUMPRODUCT((Inputs!$C$5:$C$120=$B19)*ISNUMBER(INDEX(Inputs!$K$5:$AJ$120,0,MATCH(V$2,Inputs!$K$4:$AJ$4,0))))+SUMPRODUCT((Inputs!$E$5:$E$120=$B19)*ISNUMBER(INDEX(Inputs!$K$5:$AJ$120,0,MATCH(V$2,Inputs!$K$4:$AJ$4,0))))=0,NA(),SUMPRODUCT((Inputs!$A$5:$A$120=$B19)*Inputs!$B$5:$B$120*(((Inputs!$G$5:$G$120="moeda")+(Inputs!$G$5:$G$120="acoes"))*Inputs!$B$1+((Inputs!$G$5:$G$120&lt;&gt;"moeda")*(Inputs!$G$5:$G$120&lt;&gt;"acoes")))*INDEX(Inputs!$K$5:$AJ$120,0,MATCH(V$2,Inputs!$K$4:$AJ$4,0)))+SUMPRODUCT((Inputs!$C$5:$C$120=$B19)*Inputs!$D$5:$D$120*(((Inputs!$G$5:$G$120="moeda")+(Inputs!$G$5:$G$120="acoes"))*Inputs!$B$1+((Inputs!$G$5:$G$120&lt;&gt;"moeda")*(Inputs!$G$5:$G$120&lt;&gt;"acoes")))*INDEX(Inputs!$K$5:$AJ$120,0,MATCH(V$2,Inputs!$K$4:$AJ$4,0)))+SUMPRODUCT((Inputs!$E$5:$E$120=$B19)*Inputs!$F$5:$F$120*(((Inputs!$G$5:$G$120="moeda")+(Inputs!$G$5:$G$120="acoes"))*Inputs!$B$1+((Inputs!$G$5:$G$120&lt;&gt;"moeda")*(Inputs!$G$5:$G$120&lt;&gt;"acoes")))*INDEX(Inputs!$K$5:$AJ$120,0,MATCH(V$2,Inputs!$K$4:$AJ$4,0)))))</f>
        <v>8340.5</v>
      </c>
      <c r="W19" s="3">
        <f>V19</f>
        <v>8340.5</v>
      </c>
      <c r="X19" s="6">
        <f>IF(ISNA(MATCH(X$2,Inputs!$K$4:$AJ$4,0)),NA(),IF(SUMPRODUCT((Inputs!$A$5:$A$120=$B19)*ISNUMBER(INDEX(Inputs!$K$5:$AJ$120,0,MATCH(X$2,Inputs!$K$4:$AJ$4,0))))+SUMPRODUCT((Inputs!$C$5:$C$120=$B19)*ISNUMBER(INDEX(Inputs!$K$5:$AJ$120,0,MATCH(X$2,Inputs!$K$4:$AJ$4,0))))+SUMPRODUCT((Inputs!$E$5:$E$120=$B19)*ISNUMBER(INDEX(Inputs!$K$5:$AJ$120,0,MATCH(X$2,Inputs!$K$4:$AJ$4,0))))=0,NA(),SUMPRODUCT((Inputs!$A$5:$A$120=$B19)*Inputs!$B$5:$B$120*(((Inputs!$G$5:$G$120="moeda")+(Inputs!$G$5:$G$120="acoes"))*Inputs!$B$1+((Inputs!$G$5:$G$120&lt;&gt;"moeda")*(Inputs!$G$5:$G$120&lt;&gt;"acoes")))*INDEX(Inputs!$K$5:$AJ$120,0,MATCH(X$2,Inputs!$K$4:$AJ$4,0)))+SUMPRODUCT((Inputs!$C$5:$C$120=$B19)*Inputs!$D$5:$D$120*(((Inputs!$G$5:$G$120="moeda")+(Inputs!$G$5:$G$120="acoes"))*Inputs!$B$1+((Inputs!$G$5:$G$120&lt;&gt;"moeda")*(Inputs!$G$5:$G$120&lt;&gt;"acoes")))*INDEX(Inputs!$K$5:$AJ$120,0,MATCH(X$2,Inputs!$K$4:$AJ$4,0)))+SUMPRODUCT((Inputs!$E$5:$E$120=$B19)*Inputs!$F$5:$F$120*(((Inputs!$G$5:$G$120="moeda")+(Inputs!$G$5:$G$120="acoes"))*Inputs!$B$1+((Inputs!$G$5:$G$120&lt;&gt;"moeda")*(Inputs!$G$5:$G$120&lt;&gt;"acoes")))*INDEX(Inputs!$K$5:$AJ$120,0,MATCH(X$2,Inputs!$K$4:$AJ$4,0)))))</f>
        <v>14653.9</v>
      </c>
      <c r="Y19" s="6">
        <f>IF(ISNA(MATCH(Y$2,Inputs!$K$4:$AJ$4,0)),NA(),IF(SUMPRODUCT((Inputs!$A$5:$A$120=$B19)*ISNUMBER(INDEX(Inputs!$K$5:$AJ$120,0,MATCH(Y$2,Inputs!$K$4:$AJ$4,0))))+SUMPRODUCT((Inputs!$C$5:$C$120=$B19)*ISNUMBER(INDEX(Inputs!$K$5:$AJ$120,0,MATCH(Y$2,Inputs!$K$4:$AJ$4,0))))+SUMPRODUCT((Inputs!$E$5:$E$120=$B19)*ISNUMBER(INDEX(Inputs!$K$5:$AJ$120,0,MATCH(Y$2,Inputs!$K$4:$AJ$4,0))))=0,NA(),SUMPRODUCT((Inputs!$A$5:$A$120=$B19)*Inputs!$B$5:$B$120*(((Inputs!$G$5:$G$120="moeda")+(Inputs!$G$5:$G$120="acoes"))*Inputs!$B$1+((Inputs!$G$5:$G$120&lt;&gt;"moeda")*(Inputs!$G$5:$G$120&lt;&gt;"acoes")))*INDEX(Inputs!$K$5:$AJ$120,0,MATCH(Y$2,Inputs!$K$4:$AJ$4,0)))+SUMPRODUCT((Inputs!$C$5:$C$120=$B19)*Inputs!$D$5:$D$120*(((Inputs!$G$5:$G$120="moeda")+(Inputs!$G$5:$G$120="acoes"))*Inputs!$B$1+((Inputs!$G$5:$G$120&lt;&gt;"moeda")*(Inputs!$G$5:$G$120&lt;&gt;"acoes")))*INDEX(Inputs!$K$5:$AJ$120,0,MATCH(Y$2,Inputs!$K$4:$AJ$4,0)))+SUMPRODUCT((Inputs!$E$5:$E$120=$B19)*Inputs!$F$5:$F$120*(((Inputs!$G$5:$G$120="moeda")+(Inputs!$G$5:$G$120="acoes"))*Inputs!$B$1+((Inputs!$G$5:$G$120&lt;&gt;"moeda")*(Inputs!$G$5:$G$120&lt;&gt;"acoes")))*INDEX(Inputs!$K$5:$AJ$120,0,MATCH(Y$2,Inputs!$K$4:$AJ$4,0)))))</f>
        <v>18019.8</v>
      </c>
      <c r="Z19" s="6">
        <f>IF(ISNA(MATCH(Z$2,Inputs!$K$4:$AJ$4,0)),NA(),IF(SUMPRODUCT((Inputs!$A$5:$A$120=$B19)*ISNUMBER(INDEX(Inputs!$K$5:$AJ$120,0,MATCH(Z$2,Inputs!$K$4:$AJ$4,0))))+SUMPRODUCT((Inputs!$C$5:$C$120=$B19)*ISNUMBER(INDEX(Inputs!$K$5:$AJ$120,0,MATCH(Z$2,Inputs!$K$4:$AJ$4,0))))+SUMPRODUCT((Inputs!$E$5:$E$120=$B19)*ISNUMBER(INDEX(Inputs!$K$5:$AJ$120,0,MATCH(Z$2,Inputs!$K$4:$AJ$4,0))))=0,NA(),SUMPRODUCT((Inputs!$A$5:$A$120=$B19)*Inputs!$B$5:$B$120*(((Inputs!$G$5:$G$120="moeda")+(Inputs!$G$5:$G$120="acoes"))*Inputs!$B$1+((Inputs!$G$5:$G$120&lt;&gt;"moeda")*(Inputs!$G$5:$G$120&lt;&gt;"acoes")))*INDEX(Inputs!$K$5:$AJ$120,0,MATCH(Z$2,Inputs!$K$4:$AJ$4,0)))+SUMPRODUCT((Inputs!$C$5:$C$120=$B19)*Inputs!$D$5:$D$120*(((Inputs!$G$5:$G$120="moeda")+(Inputs!$G$5:$G$120="acoes"))*Inputs!$B$1+((Inputs!$G$5:$G$120&lt;&gt;"moeda")*(Inputs!$G$5:$G$120&lt;&gt;"acoes")))*INDEX(Inputs!$K$5:$AJ$120,0,MATCH(Z$2,Inputs!$K$4:$AJ$4,0)))+SUMPRODUCT((Inputs!$E$5:$E$120=$B19)*Inputs!$F$5:$F$120*(((Inputs!$G$5:$G$120="moeda")+(Inputs!$G$5:$G$120="acoes"))*Inputs!$B$1+((Inputs!$G$5:$G$120&lt;&gt;"moeda")*(Inputs!$G$5:$G$120&lt;&gt;"acoes")))*INDEX(Inputs!$K$5:$AJ$120,0,MATCH(Z$2,Inputs!$K$4:$AJ$4,0)))))</f>
        <v>20248.7</v>
      </c>
      <c r="AA19" s="6">
        <f>IF(ISNA(MATCH(AA$2,Inputs!$K$4:$AJ$4,0)),NA(),IF(SUMPRODUCT((Inputs!$A$5:$A$120=$B19)*ISNUMBER(INDEX(Inputs!$K$5:$AJ$120,0,MATCH(AA$2,Inputs!$K$4:$AJ$4,0))))+SUMPRODUCT((Inputs!$C$5:$C$120=$B19)*ISNUMBER(INDEX(Inputs!$K$5:$AJ$120,0,MATCH(AA$2,Inputs!$K$4:$AJ$4,0))))+SUMPRODUCT((Inputs!$E$5:$E$120=$B19)*ISNUMBER(INDEX(Inputs!$K$5:$AJ$120,0,MATCH(AA$2,Inputs!$K$4:$AJ$4,0))))=0,NA(),SUMPRODUCT((Inputs!$A$5:$A$120=$B19)*Inputs!$B$5:$B$120*(((Inputs!$G$5:$G$120="moeda")+(Inputs!$G$5:$G$120="acoes"))*Inputs!$B$1+((Inputs!$G$5:$G$120&lt;&gt;"moeda")*(Inputs!$G$5:$G$120&lt;&gt;"acoes")))*INDEX(Inputs!$K$5:$AJ$120,0,MATCH(AA$2,Inputs!$K$4:$AJ$4,0)))+SUMPRODUCT((Inputs!$C$5:$C$120=$B19)*Inputs!$D$5:$D$120*(((Inputs!$G$5:$G$120="moeda")+(Inputs!$G$5:$G$120="acoes"))*Inputs!$B$1+((Inputs!$G$5:$G$120&lt;&gt;"moeda")*(Inputs!$G$5:$G$120&lt;&gt;"acoes")))*INDEX(Inputs!$K$5:$AJ$120,0,MATCH(AA$2,Inputs!$K$4:$AJ$4,0)))+SUMPRODUCT((Inputs!$E$5:$E$120=$B19)*Inputs!$F$5:$F$120*(((Inputs!$G$5:$G$120="moeda")+(Inputs!$G$5:$G$120="acoes"))*Inputs!$B$1+((Inputs!$G$5:$G$120&lt;&gt;"moeda")*(Inputs!$G$5:$G$120&lt;&gt;"acoes")))*INDEX(Inputs!$K$5:$AJ$120,0,MATCH(AA$2,Inputs!$K$4:$AJ$4,0)))))</f>
        <v>14315</v>
      </c>
      <c r="AB19" s="3">
        <f>AA19</f>
        <v>14315</v>
      </c>
      <c r="AC19" s="6">
        <f>IF(ISNA(MATCH(AC$2,Inputs!$K$4:$AJ$4,0)),NA(),IF(SUMPRODUCT((Inputs!$A$5:$A$120=$B19)*ISNUMBER(INDEX(Inputs!$K$5:$AJ$120,0,MATCH(AC$2,Inputs!$K$4:$AJ$4,0))))+SUMPRODUCT((Inputs!$C$5:$C$120=$B19)*ISNUMBER(INDEX(Inputs!$K$5:$AJ$120,0,MATCH(AC$2,Inputs!$K$4:$AJ$4,0))))+SUMPRODUCT((Inputs!$E$5:$E$120=$B19)*ISNUMBER(INDEX(Inputs!$K$5:$AJ$120,0,MATCH(AC$2,Inputs!$K$4:$AJ$4,0))))=0,NA(),SUMPRODUCT((Inputs!$A$5:$A$120=$B19)*Inputs!$B$5:$B$120*(((Inputs!$G$5:$G$120="moeda")+(Inputs!$G$5:$G$120="acoes"))*Inputs!$B$1+((Inputs!$G$5:$G$120&lt;&gt;"moeda")*(Inputs!$G$5:$G$120&lt;&gt;"acoes")))*INDEX(Inputs!$K$5:$AJ$120,0,MATCH(AC$2,Inputs!$K$4:$AJ$4,0)))+SUMPRODUCT((Inputs!$C$5:$C$120=$B19)*Inputs!$D$5:$D$120*(((Inputs!$G$5:$G$120="moeda")+(Inputs!$G$5:$G$120="acoes"))*Inputs!$B$1+((Inputs!$G$5:$G$120&lt;&gt;"moeda")*(Inputs!$G$5:$G$120&lt;&gt;"acoes")))*INDEX(Inputs!$K$5:$AJ$120,0,MATCH(AC$2,Inputs!$K$4:$AJ$4,0)))+SUMPRODUCT((Inputs!$E$5:$E$120=$B19)*Inputs!$F$5:$F$120*(((Inputs!$G$5:$G$120="moeda")+(Inputs!$G$5:$G$120="acoes"))*Inputs!$B$1+((Inputs!$G$5:$G$120&lt;&gt;"moeda")*(Inputs!$G$5:$G$120&lt;&gt;"acoes")))*INDEX(Inputs!$K$5:$AJ$120,0,MATCH(AC$2,Inputs!$K$4:$AJ$4,0)))))</f>
        <v>13633</v>
      </c>
      <c r="AD19" s="6">
        <f>IF(ISNA(MATCH(AD$2,Inputs!$K$4:$AJ$4,0)),NA(),IF(SUMPRODUCT((Inputs!$A$5:$A$120=$B19)*ISNUMBER(INDEX(Inputs!$K$5:$AJ$120,0,MATCH(AD$2,Inputs!$K$4:$AJ$4,0))))+SUMPRODUCT((Inputs!$C$5:$C$120=$B19)*ISNUMBER(INDEX(Inputs!$K$5:$AJ$120,0,MATCH(AD$2,Inputs!$K$4:$AJ$4,0))))+SUMPRODUCT((Inputs!$E$5:$E$120=$B19)*ISNUMBER(INDEX(Inputs!$K$5:$AJ$120,0,MATCH(AD$2,Inputs!$K$4:$AJ$4,0))))=0,NA(),SUMPRODUCT((Inputs!$A$5:$A$120=$B19)*Inputs!$B$5:$B$120*(((Inputs!$G$5:$G$120="moeda")+(Inputs!$G$5:$G$120="acoes"))*Inputs!$B$1+((Inputs!$G$5:$G$120&lt;&gt;"moeda")*(Inputs!$G$5:$G$120&lt;&gt;"acoes")))*INDEX(Inputs!$K$5:$AJ$120,0,MATCH(AD$2,Inputs!$K$4:$AJ$4,0)))+SUMPRODUCT((Inputs!$C$5:$C$120=$B19)*Inputs!$D$5:$D$120*(((Inputs!$G$5:$G$120="moeda")+(Inputs!$G$5:$G$120="acoes"))*Inputs!$B$1+((Inputs!$G$5:$G$120&lt;&gt;"moeda")*(Inputs!$G$5:$G$120&lt;&gt;"acoes")))*INDEX(Inputs!$K$5:$AJ$120,0,MATCH(AD$2,Inputs!$K$4:$AJ$4,0)))+SUMPRODUCT((Inputs!$E$5:$E$120=$B19)*Inputs!$F$5:$F$120*(((Inputs!$G$5:$G$120="moeda")+(Inputs!$G$5:$G$120="acoes"))*Inputs!$B$1+((Inputs!$G$5:$G$120&lt;&gt;"moeda")*(Inputs!$G$5:$G$120&lt;&gt;"acoes")))*INDEX(Inputs!$K$5:$AJ$120,0,MATCH(AD$2,Inputs!$K$4:$AJ$4,0)))))</f>
        <v>15368</v>
      </c>
      <c r="AE19" s="6" t="e">
        <f>IF(ISNA(MATCH(AE$2,Inputs!$K$4:$AJ$4,0)),NA(),IF(SUMPRODUCT((Inputs!$A$5:$A$120=$B19)*ISNUMBER(INDEX(Inputs!$K$5:$AJ$120,0,MATCH(AE$2,Inputs!$K$4:$AJ$4,0))))+SUMPRODUCT((Inputs!$C$5:$C$120=$B19)*ISNUMBER(INDEX(Inputs!$K$5:$AJ$120,0,MATCH(AE$2,Inputs!$K$4:$AJ$4,0))))+SUMPRODUCT((Inputs!$E$5:$E$120=$B19)*ISNUMBER(INDEX(Inputs!$K$5:$AJ$120,0,MATCH(AE$2,Inputs!$K$4:$AJ$4,0))))=0,NA(),SUMPRODUCT((Inputs!$A$5:$A$120=$B19)*Inputs!$B$5:$B$120*(((Inputs!$G$5:$G$120="moeda")+(Inputs!$G$5:$G$120="acoes"))*Inputs!$B$1+((Inputs!$G$5:$G$120&lt;&gt;"moeda")*(Inputs!$G$5:$G$120&lt;&gt;"acoes")))*INDEX(Inputs!$K$5:$AJ$120,0,MATCH(AE$2,Inputs!$K$4:$AJ$4,0)))+SUMPRODUCT((Inputs!$C$5:$C$120=$B19)*Inputs!$D$5:$D$120*(((Inputs!$G$5:$G$120="moeda")+(Inputs!$G$5:$G$120="acoes"))*Inputs!$B$1+((Inputs!$G$5:$G$120&lt;&gt;"moeda")*(Inputs!$G$5:$G$120&lt;&gt;"acoes")))*INDEX(Inputs!$K$5:$AJ$120,0,MATCH(AE$2,Inputs!$K$4:$AJ$4,0)))+SUMPRODUCT((Inputs!$E$5:$E$120=$B19)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9" s="6" t="e">
        <f>IF(ISNA(MATCH(AF$2,Inputs!$K$4:$AJ$4,0)),NA(),IF(SUMPRODUCT((Inputs!$A$5:$A$120=$B19)*ISNUMBER(INDEX(Inputs!$K$5:$AJ$120,0,MATCH(AF$2,Inputs!$K$4:$AJ$4,0))))+SUMPRODUCT((Inputs!$C$5:$C$120=$B19)*ISNUMBER(INDEX(Inputs!$K$5:$AJ$120,0,MATCH(AF$2,Inputs!$K$4:$AJ$4,0))))+SUMPRODUCT((Inputs!$E$5:$E$120=$B19)*ISNUMBER(INDEX(Inputs!$K$5:$AJ$120,0,MATCH(AF$2,Inputs!$K$4:$AJ$4,0))))=0,NA(),SUMPRODUCT((Inputs!$A$5:$A$120=$B19)*Inputs!$B$5:$B$120*(((Inputs!$G$5:$G$120="moeda")+(Inputs!$G$5:$G$120="acoes"))*Inputs!$B$1+((Inputs!$G$5:$G$120&lt;&gt;"moeda")*(Inputs!$G$5:$G$120&lt;&gt;"acoes")))*INDEX(Inputs!$K$5:$AJ$120,0,MATCH(AF$2,Inputs!$K$4:$AJ$4,0)))+SUMPRODUCT((Inputs!$C$5:$C$120=$B19)*Inputs!$D$5:$D$120*(((Inputs!$G$5:$G$120="moeda")+(Inputs!$G$5:$G$120="acoes"))*Inputs!$B$1+((Inputs!$G$5:$G$120&lt;&gt;"moeda")*(Inputs!$G$5:$G$120&lt;&gt;"acoes")))*INDEX(Inputs!$K$5:$AJ$120,0,MATCH(AF$2,Inputs!$K$4:$AJ$4,0)))+SUMPRODUCT((Inputs!$E$5:$E$120=$B19)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9" s="3" t="e">
        <f>AF19</f>
        <v>#N/A</v>
      </c>
      <c r="AH19" s="6">
        <f>IF(ISNA(MATCH(AH$2,Inputs!$K$4:$AJ$4,0)),NA(),IF(SUMPRODUCT((Inputs!$A$5:$A$120=$B19)*ISNUMBER(INDEX(Inputs!$K$5:$AJ$120,0,MATCH(AH$2,Inputs!$K$4:$AJ$4,0))))+SUMPRODUCT((Inputs!$C$5:$C$120=$B19)*ISNUMBER(INDEX(Inputs!$K$5:$AJ$120,0,MATCH(AH$2,Inputs!$K$4:$AJ$4,0))))+SUMPRODUCT((Inputs!$E$5:$E$120=$B19)*ISNUMBER(INDEX(Inputs!$K$5:$AJ$120,0,MATCH(AH$2,Inputs!$K$4:$AJ$4,0))))=0,NA(),SUMPRODUCT((Inputs!$A$5:$A$120=$B19)*Inputs!$B$5:$B$120*(((Inputs!$G$5:$G$120="moeda")+(Inputs!$G$5:$G$120="acoes"))*Inputs!$B$1+((Inputs!$G$5:$G$120&lt;&gt;"moeda")*(Inputs!$G$5:$G$120&lt;&gt;"acoes")))*INDEX(Inputs!$K$5:$AJ$120,0,MATCH(AH$2,Inputs!$K$4:$AJ$4,0)))+SUMPRODUCT((Inputs!$C$5:$C$120=$B19)*Inputs!$D$5:$D$120*(((Inputs!$G$5:$G$120="moeda")+(Inputs!$G$5:$G$120="acoes"))*Inputs!$B$1+((Inputs!$G$5:$G$120&lt;&gt;"moeda")*(Inputs!$G$5:$G$120&lt;&gt;"acoes")))*INDEX(Inputs!$K$5:$AJ$120,0,MATCH(AH$2,Inputs!$K$4:$AJ$4,0)))+SUMPRODUCT((Inputs!$E$5:$E$120=$B19)*Inputs!$F$5:$F$120*(((Inputs!$G$5:$G$120="moeda")+(Inputs!$G$5:$G$120="acoes"))*Inputs!$B$1+((Inputs!$G$5:$G$120&lt;&gt;"moeda")*(Inputs!$G$5:$G$120&lt;&gt;"acoes")))*INDEX(Inputs!$K$5:$AJ$120,0,MATCH(AH$2,Inputs!$K$4:$AJ$4,0)))))</f>
        <v>2761.9</v>
      </c>
      <c r="AI19" s="6">
        <f>IF(ISNA(MATCH(AI$2,Inputs!$K$4:$AJ$4,0)),NA(),IF(SUMPRODUCT((Inputs!$A$5:$A$120=$B19)*ISNUMBER(INDEX(Inputs!$K$5:$AJ$120,0,MATCH(AI$2,Inputs!$K$4:$AJ$4,0))))+SUMPRODUCT((Inputs!$C$5:$C$120=$B19)*ISNUMBER(INDEX(Inputs!$K$5:$AJ$120,0,MATCH(AI$2,Inputs!$K$4:$AJ$4,0))))+SUMPRODUCT((Inputs!$E$5:$E$120=$B19)*ISNUMBER(INDEX(Inputs!$K$5:$AJ$120,0,MATCH(AI$2,Inputs!$K$4:$AJ$4,0))))=0,NA(),SUMPRODUCT((Inputs!$A$5:$A$120=$B19)*Inputs!$B$5:$B$120*(((Inputs!$G$5:$G$120="moeda")+(Inputs!$G$5:$G$120="acoes"))*Inputs!$B$1+((Inputs!$G$5:$G$120&lt;&gt;"moeda")*(Inputs!$G$5:$G$120&lt;&gt;"acoes")))*INDEX(Inputs!$K$5:$AJ$120,0,MATCH(AI$2,Inputs!$K$4:$AJ$4,0)))+SUMPRODUCT((Inputs!$C$5:$C$120=$B19)*Inputs!$D$5:$D$120*(((Inputs!$G$5:$G$120="moeda")+(Inputs!$G$5:$G$120="acoes"))*Inputs!$B$1+((Inputs!$G$5:$G$120&lt;&gt;"moeda")*(Inputs!$G$5:$G$120&lt;&gt;"acoes")))*INDEX(Inputs!$K$5:$AJ$120,0,MATCH(AI$2,Inputs!$K$4:$AJ$4,0)))+SUMPRODUCT((Inputs!$E$5:$E$120=$B19)*Inputs!$F$5:$F$120*(((Inputs!$G$5:$G$120="moeda")+(Inputs!$G$5:$G$120="acoes"))*Inputs!$B$1+((Inputs!$G$5:$G$120&lt;&gt;"moeda")*(Inputs!$G$5:$G$120&lt;&gt;"acoes")))*INDEX(Inputs!$K$5:$AJ$120,0,MATCH(AI$2,Inputs!$K$4:$AJ$4,0)))))</f>
        <v>3104.5</v>
      </c>
      <c r="AJ19" s="6">
        <f>IF(ISNA(MATCH(AJ$2,Inputs!$K$4:$AJ$4,0)),NA(),IF(SUMPRODUCT((Inputs!$A$5:$A$120=$B19)*ISNUMBER(INDEX(Inputs!$K$5:$AJ$120,0,MATCH(AJ$2,Inputs!$K$4:$AJ$4,0))))+SUMPRODUCT((Inputs!$C$5:$C$120=$B19)*ISNUMBER(INDEX(Inputs!$K$5:$AJ$120,0,MATCH(AJ$2,Inputs!$K$4:$AJ$4,0))))+SUMPRODUCT((Inputs!$E$5:$E$120=$B19)*ISNUMBER(INDEX(Inputs!$K$5:$AJ$120,0,MATCH(AJ$2,Inputs!$K$4:$AJ$4,0))))=0,NA(),SUMPRODUCT((Inputs!$A$5:$A$120=$B19)*Inputs!$B$5:$B$120*(((Inputs!$G$5:$G$120="moeda")+(Inputs!$G$5:$G$120="acoes"))*Inputs!$B$1+((Inputs!$G$5:$G$120&lt;&gt;"moeda")*(Inputs!$G$5:$G$120&lt;&gt;"acoes")))*INDEX(Inputs!$K$5:$AJ$120,0,MATCH(AJ$2,Inputs!$K$4:$AJ$4,0)))+SUMPRODUCT((Inputs!$C$5:$C$120=$B19)*Inputs!$D$5:$D$120*(((Inputs!$G$5:$G$120="moeda")+(Inputs!$G$5:$G$120="acoes"))*Inputs!$B$1+((Inputs!$G$5:$G$120&lt;&gt;"moeda")*(Inputs!$G$5:$G$120&lt;&gt;"acoes")))*INDEX(Inputs!$K$5:$AJ$120,0,MATCH(AJ$2,Inputs!$K$4:$AJ$4,0)))+SUMPRODUCT((Inputs!$E$5:$E$120=$B19)*Inputs!$F$5:$F$120*(((Inputs!$G$5:$G$120="moeda")+(Inputs!$G$5:$G$120="acoes"))*Inputs!$B$1+((Inputs!$G$5:$G$120&lt;&gt;"moeda")*(Inputs!$G$5:$G$120&lt;&gt;"acoes")))*INDEX(Inputs!$K$5:$AJ$120,0,MATCH(AJ$2,Inputs!$K$4:$AJ$4,0)))))</f>
        <v>3209.4</v>
      </c>
      <c r="AK19" s="6">
        <f>IF(ISNA(MATCH(AK$2,Inputs!$K$4:$AJ$4,0)),NA(),IF(SUMPRODUCT((Inputs!$A$5:$A$120=$B19)*ISNUMBER(INDEX(Inputs!$K$5:$AJ$120,0,MATCH(AK$2,Inputs!$K$4:$AJ$4,0))))+SUMPRODUCT((Inputs!$C$5:$C$120=$B19)*ISNUMBER(INDEX(Inputs!$K$5:$AJ$120,0,MATCH(AK$2,Inputs!$K$4:$AJ$4,0))))+SUMPRODUCT((Inputs!$E$5:$E$120=$B19)*ISNUMBER(INDEX(Inputs!$K$5:$AJ$120,0,MATCH(AK$2,Inputs!$K$4:$AJ$4,0))))=0,NA(),SUMPRODUCT((Inputs!$A$5:$A$120=$B19)*Inputs!$B$5:$B$120*(((Inputs!$G$5:$G$120="moeda")+(Inputs!$G$5:$G$120="acoes"))*Inputs!$B$1+((Inputs!$G$5:$G$120&lt;&gt;"moeda")*(Inputs!$G$5:$G$120&lt;&gt;"acoes")))*INDEX(Inputs!$K$5:$AJ$120,0,MATCH(AK$2,Inputs!$K$4:$AJ$4,0)))+SUMPRODUCT((Inputs!$C$5:$C$120=$B19)*Inputs!$D$5:$D$120*(((Inputs!$G$5:$G$120="moeda")+(Inputs!$G$5:$G$120="acoes"))*Inputs!$B$1+((Inputs!$G$5:$G$120&lt;&gt;"moeda")*(Inputs!$G$5:$G$120&lt;&gt;"acoes")))*INDEX(Inputs!$K$5:$AJ$120,0,MATCH(AK$2,Inputs!$K$4:$AJ$4,0)))+SUMPRODUCT((Inputs!$E$5:$E$120=$B19)*Inputs!$F$5:$F$120*(((Inputs!$G$5:$G$120="moeda")+(Inputs!$G$5:$G$120="acoes"))*Inputs!$B$1+((Inputs!$G$5:$G$120&lt;&gt;"moeda")*(Inputs!$G$5:$G$120&lt;&gt;"acoes")))*INDEX(Inputs!$K$5:$AJ$120,0,MATCH(AK$2,Inputs!$K$4:$AJ$4,0)))))</f>
        <v>2871.5</v>
      </c>
      <c r="AL19" s="3">
        <f>AK19</f>
        <v>2871.5</v>
      </c>
    </row>
    <row r="20">
      <c r="B20" s="46" t="n">
        <v>16</v>
      </c>
      <c r="C20" s="26" t="inlineStr">
        <is>
          <t>Other current assets</t>
        </is>
      </c>
      <c r="D20" s="6">
        <f>IF(ISNA(MATCH(D$2,Inputs!$K$4:$AJ$4,0)),NA(),IF(SUMPRODUCT((Inputs!$A$5:$A$120=$B20)*ISNUMBER(INDEX(Inputs!$K$5:$AJ$120,0,MATCH(D$2,Inputs!$K$4:$AJ$4,0))))+SUMPRODUCT((Inputs!$C$5:$C$120=$B20)*ISNUMBER(INDEX(Inputs!$K$5:$AJ$120,0,MATCH(D$2,Inputs!$K$4:$AJ$4,0))))+SUMPRODUCT((Inputs!$E$5:$E$120=$B20)*ISNUMBER(INDEX(Inputs!$K$5:$AJ$120,0,MATCH(D$2,Inputs!$K$4:$AJ$4,0))))=0,NA(),SUMPRODUCT((Inputs!$A$5:$A$120=$B20)*Inputs!$B$5:$B$120*(((Inputs!$G$5:$G$120="moeda")+(Inputs!$G$5:$G$120="acoes"))*Inputs!$B$1+((Inputs!$G$5:$G$120&lt;&gt;"moeda")*(Inputs!$G$5:$G$120&lt;&gt;"acoes")))*INDEX(Inputs!$K$5:$AJ$120,0,MATCH(D$2,Inputs!$K$4:$AJ$4,0)))+SUMPRODUCT((Inputs!$C$5:$C$120=$B20)*Inputs!$D$5:$D$120*(((Inputs!$G$5:$G$120="moeda")+(Inputs!$G$5:$G$120="acoes"))*Inputs!$B$1+((Inputs!$G$5:$G$120&lt;&gt;"moeda")*(Inputs!$G$5:$G$120&lt;&gt;"acoes")))*INDEX(Inputs!$K$5:$AJ$120,0,MATCH(D$2,Inputs!$K$4:$AJ$4,0)))+SUMPRODUCT((Inputs!$E$5:$E$120=$B20)*Inputs!$F$5:$F$120*(((Inputs!$G$5:$G$120="moeda")+(Inputs!$G$5:$G$120="acoes"))*Inputs!$B$1+((Inputs!$G$5:$G$120&lt;&gt;"moeda")*(Inputs!$G$5:$G$120&lt;&gt;"acoes")))*INDEX(Inputs!$K$5:$AJ$120,0,MATCH(D$2,Inputs!$K$4:$AJ$4,0)))))</f>
        <v>1065.8</v>
      </c>
      <c r="E20" s="6">
        <f>IF(ISNA(MATCH(E$2,Inputs!$K$4:$AJ$4,0)),NA(),IF(SUMPRODUCT((Inputs!$A$5:$A$120=$B20)*ISNUMBER(INDEX(Inputs!$K$5:$AJ$120,0,MATCH(E$2,Inputs!$K$4:$AJ$4,0))))+SUMPRODUCT((Inputs!$C$5:$C$120=$B20)*ISNUMBER(INDEX(Inputs!$K$5:$AJ$120,0,MATCH(E$2,Inputs!$K$4:$AJ$4,0))))+SUMPRODUCT((Inputs!$E$5:$E$120=$B20)*ISNUMBER(INDEX(Inputs!$K$5:$AJ$120,0,MATCH(E$2,Inputs!$K$4:$AJ$4,0))))=0,NA(),SUMPRODUCT((Inputs!$A$5:$A$120=$B20)*Inputs!$B$5:$B$120*(((Inputs!$G$5:$G$120="moeda")+(Inputs!$G$5:$G$120="acoes"))*Inputs!$B$1+((Inputs!$G$5:$G$120&lt;&gt;"moeda")*(Inputs!$G$5:$G$120&lt;&gt;"acoes")))*INDEX(Inputs!$K$5:$AJ$120,0,MATCH(E$2,Inputs!$K$4:$AJ$4,0)))+SUMPRODUCT((Inputs!$C$5:$C$120=$B20)*Inputs!$D$5:$D$120*(((Inputs!$G$5:$G$120="moeda")+(Inputs!$G$5:$G$120="acoes"))*Inputs!$B$1+((Inputs!$G$5:$G$120&lt;&gt;"moeda")*(Inputs!$G$5:$G$120&lt;&gt;"acoes")))*INDEX(Inputs!$K$5:$AJ$120,0,MATCH(E$2,Inputs!$K$4:$AJ$4,0)))+SUMPRODUCT((Inputs!$E$5:$E$120=$B20)*Inputs!$F$5:$F$120*(((Inputs!$G$5:$G$120="moeda")+(Inputs!$G$5:$G$120="acoes"))*Inputs!$B$1+((Inputs!$G$5:$G$120&lt;&gt;"moeda")*(Inputs!$G$5:$G$120&lt;&gt;"acoes")))*INDEX(Inputs!$K$5:$AJ$120,0,MATCH(E$2,Inputs!$K$4:$AJ$4,0)))))</f>
        <v>1073.4</v>
      </c>
      <c r="F20" s="6">
        <f>IF(ISNA(MATCH(F$2,Inputs!$K$4:$AJ$4,0)),NA(),IF(SUMPRODUCT((Inputs!$A$5:$A$120=$B20)*ISNUMBER(INDEX(Inputs!$K$5:$AJ$120,0,MATCH(F$2,Inputs!$K$4:$AJ$4,0))))+SUMPRODUCT((Inputs!$C$5:$C$120=$B20)*ISNUMBER(INDEX(Inputs!$K$5:$AJ$120,0,MATCH(F$2,Inputs!$K$4:$AJ$4,0))))+SUMPRODUCT((Inputs!$E$5:$E$120=$B20)*ISNUMBER(INDEX(Inputs!$K$5:$AJ$120,0,MATCH(F$2,Inputs!$K$4:$AJ$4,0))))=0,NA(),SUMPRODUCT((Inputs!$A$5:$A$120=$B20)*Inputs!$B$5:$B$120*(((Inputs!$G$5:$G$120="moeda")+(Inputs!$G$5:$G$120="acoes"))*Inputs!$B$1+((Inputs!$G$5:$G$120&lt;&gt;"moeda")*(Inputs!$G$5:$G$120&lt;&gt;"acoes")))*INDEX(Inputs!$K$5:$AJ$120,0,MATCH(F$2,Inputs!$K$4:$AJ$4,0)))+SUMPRODUCT((Inputs!$C$5:$C$120=$B20)*Inputs!$D$5:$D$120*(((Inputs!$G$5:$G$120="moeda")+(Inputs!$G$5:$G$120="acoes"))*Inputs!$B$1+((Inputs!$G$5:$G$120&lt;&gt;"moeda")*(Inputs!$G$5:$G$120&lt;&gt;"acoes")))*INDEX(Inputs!$K$5:$AJ$120,0,MATCH(F$2,Inputs!$K$4:$AJ$4,0)))+SUMPRODUCT((Inputs!$E$5:$E$120=$B20)*Inputs!$F$5:$F$120*(((Inputs!$G$5:$G$120="moeda")+(Inputs!$G$5:$G$120="acoes"))*Inputs!$B$1+((Inputs!$G$5:$G$120&lt;&gt;"moeda")*(Inputs!$G$5:$G$120&lt;&gt;"acoes")))*INDEX(Inputs!$K$5:$AJ$120,0,MATCH(F$2,Inputs!$K$4:$AJ$4,0)))))</f>
        <v>1110.7</v>
      </c>
      <c r="G20" s="6">
        <f>IF(ISNA(MATCH(G$2,Inputs!$K$4:$AJ$4,0)),NA(),IF(SUMPRODUCT((Inputs!$A$5:$A$120=$B20)*ISNUMBER(INDEX(Inputs!$K$5:$AJ$120,0,MATCH(G$2,Inputs!$K$4:$AJ$4,0))))+SUMPRODUCT((Inputs!$C$5:$C$120=$B20)*ISNUMBER(INDEX(Inputs!$K$5:$AJ$120,0,MATCH(G$2,Inputs!$K$4:$AJ$4,0))))+SUMPRODUCT((Inputs!$E$5:$E$120=$B20)*ISNUMBER(INDEX(Inputs!$K$5:$AJ$120,0,MATCH(G$2,Inputs!$K$4:$AJ$4,0))))=0,NA(),SUMPRODUCT((Inputs!$A$5:$A$120=$B20)*Inputs!$B$5:$B$120*(((Inputs!$G$5:$G$120="moeda")+(Inputs!$G$5:$G$120="acoes"))*Inputs!$B$1+((Inputs!$G$5:$G$120&lt;&gt;"moeda")*(Inputs!$G$5:$G$120&lt;&gt;"acoes")))*INDEX(Inputs!$K$5:$AJ$120,0,MATCH(G$2,Inputs!$K$4:$AJ$4,0)))+SUMPRODUCT((Inputs!$C$5:$C$120=$B20)*Inputs!$D$5:$D$120*(((Inputs!$G$5:$G$120="moeda")+(Inputs!$G$5:$G$120="acoes"))*Inputs!$B$1+((Inputs!$G$5:$G$120&lt;&gt;"moeda")*(Inputs!$G$5:$G$120&lt;&gt;"acoes")))*INDEX(Inputs!$K$5:$AJ$120,0,MATCH(G$2,Inputs!$K$4:$AJ$4,0)))+SUMPRODUCT((Inputs!$E$5:$E$120=$B20)*Inputs!$F$5:$F$120*(((Inputs!$G$5:$G$120="moeda")+(Inputs!$G$5:$G$120="acoes"))*Inputs!$B$1+((Inputs!$G$5:$G$120&lt;&gt;"moeda")*(Inputs!$G$5:$G$120&lt;&gt;"acoes")))*INDEX(Inputs!$K$5:$AJ$120,0,MATCH(G$2,Inputs!$K$4:$AJ$4,0)))))</f>
        <v>1454.4</v>
      </c>
      <c r="H20" s="3">
        <f>G20</f>
        <v>1454.4</v>
      </c>
      <c r="I20" s="6">
        <f>IF(ISNA(MATCH(I$2,Inputs!$K$4:$AJ$4,0)),NA(),IF(SUMPRODUCT((Inputs!$A$5:$A$120=$B20)*ISNUMBER(INDEX(Inputs!$K$5:$AJ$120,0,MATCH(I$2,Inputs!$K$4:$AJ$4,0))))+SUMPRODUCT((Inputs!$C$5:$C$120=$B20)*ISNUMBER(INDEX(Inputs!$K$5:$AJ$120,0,MATCH(I$2,Inputs!$K$4:$AJ$4,0))))+SUMPRODUCT((Inputs!$E$5:$E$120=$B20)*ISNUMBER(INDEX(Inputs!$K$5:$AJ$120,0,MATCH(I$2,Inputs!$K$4:$AJ$4,0))))=0,NA(),SUMPRODUCT((Inputs!$A$5:$A$120=$B20)*Inputs!$B$5:$B$120*(((Inputs!$G$5:$G$120="moeda")+(Inputs!$G$5:$G$120="acoes"))*Inputs!$B$1+((Inputs!$G$5:$G$120&lt;&gt;"moeda")*(Inputs!$G$5:$G$120&lt;&gt;"acoes")))*INDEX(Inputs!$K$5:$AJ$120,0,MATCH(I$2,Inputs!$K$4:$AJ$4,0)))+SUMPRODUCT((Inputs!$C$5:$C$120=$B20)*Inputs!$D$5:$D$120*(((Inputs!$G$5:$G$120="moeda")+(Inputs!$G$5:$G$120="acoes"))*Inputs!$B$1+((Inputs!$G$5:$G$120&lt;&gt;"moeda")*(Inputs!$G$5:$G$120&lt;&gt;"acoes")))*INDEX(Inputs!$K$5:$AJ$120,0,MATCH(I$2,Inputs!$K$4:$AJ$4,0)))+SUMPRODUCT((Inputs!$E$5:$E$120=$B20)*Inputs!$F$5:$F$120*(((Inputs!$G$5:$G$120="moeda")+(Inputs!$G$5:$G$120="acoes"))*Inputs!$B$1+((Inputs!$G$5:$G$120&lt;&gt;"moeda")*(Inputs!$G$5:$G$120&lt;&gt;"acoes")))*INDEX(Inputs!$K$5:$AJ$120,0,MATCH(I$2,Inputs!$K$4:$AJ$4,0)))))</f>
        <v>1483.2</v>
      </c>
      <c r="J20" s="6">
        <f>IF(ISNA(MATCH(J$2,Inputs!$K$4:$AJ$4,0)),NA(),IF(SUMPRODUCT((Inputs!$A$5:$A$120=$B20)*ISNUMBER(INDEX(Inputs!$K$5:$AJ$120,0,MATCH(J$2,Inputs!$K$4:$AJ$4,0))))+SUMPRODUCT((Inputs!$C$5:$C$120=$B20)*ISNUMBER(INDEX(Inputs!$K$5:$AJ$120,0,MATCH(J$2,Inputs!$K$4:$AJ$4,0))))+SUMPRODUCT((Inputs!$E$5:$E$120=$B20)*ISNUMBER(INDEX(Inputs!$K$5:$AJ$120,0,MATCH(J$2,Inputs!$K$4:$AJ$4,0))))=0,NA(),SUMPRODUCT((Inputs!$A$5:$A$120=$B20)*Inputs!$B$5:$B$120*(((Inputs!$G$5:$G$120="moeda")+(Inputs!$G$5:$G$120="acoes"))*Inputs!$B$1+((Inputs!$G$5:$G$120&lt;&gt;"moeda")*(Inputs!$G$5:$G$120&lt;&gt;"acoes")))*INDEX(Inputs!$K$5:$AJ$120,0,MATCH(J$2,Inputs!$K$4:$AJ$4,0)))+SUMPRODUCT((Inputs!$C$5:$C$120=$B20)*Inputs!$D$5:$D$120*(((Inputs!$G$5:$G$120="moeda")+(Inputs!$G$5:$G$120="acoes"))*Inputs!$B$1+((Inputs!$G$5:$G$120&lt;&gt;"moeda")*(Inputs!$G$5:$G$120&lt;&gt;"acoes")))*INDEX(Inputs!$K$5:$AJ$120,0,MATCH(J$2,Inputs!$K$4:$AJ$4,0)))+SUMPRODUCT((Inputs!$E$5:$E$120=$B20)*Inputs!$F$5:$F$120*(((Inputs!$G$5:$G$120="moeda")+(Inputs!$G$5:$G$120="acoes"))*Inputs!$B$1+((Inputs!$G$5:$G$120&lt;&gt;"moeda")*(Inputs!$G$5:$G$120&lt;&gt;"acoes")))*INDEX(Inputs!$K$5:$AJ$120,0,MATCH(J$2,Inputs!$K$4:$AJ$4,0)))))</f>
        <v>1307.9</v>
      </c>
      <c r="K20" s="6">
        <f>IF(ISNA(MATCH(K$2,Inputs!$K$4:$AJ$4,0)),NA(),IF(SUMPRODUCT((Inputs!$A$5:$A$120=$B20)*ISNUMBER(INDEX(Inputs!$K$5:$AJ$120,0,MATCH(K$2,Inputs!$K$4:$AJ$4,0))))+SUMPRODUCT((Inputs!$C$5:$C$120=$B20)*ISNUMBER(INDEX(Inputs!$K$5:$AJ$120,0,MATCH(K$2,Inputs!$K$4:$AJ$4,0))))+SUMPRODUCT((Inputs!$E$5:$E$120=$B20)*ISNUMBER(INDEX(Inputs!$K$5:$AJ$120,0,MATCH(K$2,Inputs!$K$4:$AJ$4,0))))=0,NA(),SUMPRODUCT((Inputs!$A$5:$A$120=$B20)*Inputs!$B$5:$B$120*(((Inputs!$G$5:$G$120="moeda")+(Inputs!$G$5:$G$120="acoes"))*Inputs!$B$1+((Inputs!$G$5:$G$120&lt;&gt;"moeda")*(Inputs!$G$5:$G$120&lt;&gt;"acoes")))*INDEX(Inputs!$K$5:$AJ$120,0,MATCH(K$2,Inputs!$K$4:$AJ$4,0)))+SUMPRODUCT((Inputs!$C$5:$C$120=$B20)*Inputs!$D$5:$D$120*(((Inputs!$G$5:$G$120="moeda")+(Inputs!$G$5:$G$120="acoes"))*Inputs!$B$1+((Inputs!$G$5:$G$120&lt;&gt;"moeda")*(Inputs!$G$5:$G$120&lt;&gt;"acoes")))*INDEX(Inputs!$K$5:$AJ$120,0,MATCH(K$2,Inputs!$K$4:$AJ$4,0)))+SUMPRODUCT((Inputs!$E$5:$E$120=$B20)*Inputs!$F$5:$F$120*(((Inputs!$G$5:$G$120="moeda")+(Inputs!$G$5:$G$120="acoes"))*Inputs!$B$1+((Inputs!$G$5:$G$120&lt;&gt;"moeda")*(Inputs!$G$5:$G$120&lt;&gt;"acoes")))*INDEX(Inputs!$K$5:$AJ$120,0,MATCH(K$2,Inputs!$K$4:$AJ$4,0)))))</f>
        <v>1609.5</v>
      </c>
      <c r="L20" s="6">
        <f>IF(ISNA(MATCH(L$2,Inputs!$K$4:$AJ$4,0)),NA(),IF(SUMPRODUCT((Inputs!$A$5:$A$120=$B20)*ISNUMBER(INDEX(Inputs!$K$5:$AJ$120,0,MATCH(L$2,Inputs!$K$4:$AJ$4,0))))+SUMPRODUCT((Inputs!$C$5:$C$120=$B20)*ISNUMBER(INDEX(Inputs!$K$5:$AJ$120,0,MATCH(L$2,Inputs!$K$4:$AJ$4,0))))+SUMPRODUCT((Inputs!$E$5:$E$120=$B20)*ISNUMBER(INDEX(Inputs!$K$5:$AJ$120,0,MATCH(L$2,Inputs!$K$4:$AJ$4,0))))=0,NA(),SUMPRODUCT((Inputs!$A$5:$A$120=$B20)*Inputs!$B$5:$B$120*(((Inputs!$G$5:$G$120="moeda")+(Inputs!$G$5:$G$120="acoes"))*Inputs!$B$1+((Inputs!$G$5:$G$120&lt;&gt;"moeda")*(Inputs!$G$5:$G$120&lt;&gt;"acoes")))*INDEX(Inputs!$K$5:$AJ$120,0,MATCH(L$2,Inputs!$K$4:$AJ$4,0)))+SUMPRODUCT((Inputs!$C$5:$C$120=$B20)*Inputs!$D$5:$D$120*(((Inputs!$G$5:$G$120="moeda")+(Inputs!$G$5:$G$120="acoes"))*Inputs!$B$1+((Inputs!$G$5:$G$120&lt;&gt;"moeda")*(Inputs!$G$5:$G$120&lt;&gt;"acoes")))*INDEX(Inputs!$K$5:$AJ$120,0,MATCH(L$2,Inputs!$K$4:$AJ$4,0)))+SUMPRODUCT((Inputs!$E$5:$E$120=$B20)*Inputs!$F$5:$F$120*(((Inputs!$G$5:$G$120="moeda")+(Inputs!$G$5:$G$120="acoes"))*Inputs!$B$1+((Inputs!$G$5:$G$120&lt;&gt;"moeda")*(Inputs!$G$5:$G$120&lt;&gt;"acoes")))*INDEX(Inputs!$K$5:$AJ$120,0,MATCH(L$2,Inputs!$K$4:$AJ$4,0)))))</f>
        <v>4617</v>
      </c>
      <c r="M20" s="3">
        <f>L20</f>
        <v>4617</v>
      </c>
      <c r="N20" s="6">
        <f>IF(ISNA(MATCH(N$2,Inputs!$K$4:$AJ$4,0)),NA(),IF(SUMPRODUCT((Inputs!$A$5:$A$120=$B20)*ISNUMBER(INDEX(Inputs!$K$5:$AJ$120,0,MATCH(N$2,Inputs!$K$4:$AJ$4,0))))+SUMPRODUCT((Inputs!$C$5:$C$120=$B20)*ISNUMBER(INDEX(Inputs!$K$5:$AJ$120,0,MATCH(N$2,Inputs!$K$4:$AJ$4,0))))+SUMPRODUCT((Inputs!$E$5:$E$120=$B20)*ISNUMBER(INDEX(Inputs!$K$5:$AJ$120,0,MATCH(N$2,Inputs!$K$4:$AJ$4,0))))=0,NA(),SUMPRODUCT((Inputs!$A$5:$A$120=$B20)*Inputs!$B$5:$B$120*(((Inputs!$G$5:$G$120="moeda")+(Inputs!$G$5:$G$120="acoes"))*Inputs!$B$1+((Inputs!$G$5:$G$120&lt;&gt;"moeda")*(Inputs!$G$5:$G$120&lt;&gt;"acoes")))*INDEX(Inputs!$K$5:$AJ$120,0,MATCH(N$2,Inputs!$K$4:$AJ$4,0)))+SUMPRODUCT((Inputs!$C$5:$C$120=$B20)*Inputs!$D$5:$D$120*(((Inputs!$G$5:$G$120="moeda")+(Inputs!$G$5:$G$120="acoes"))*Inputs!$B$1+((Inputs!$G$5:$G$120&lt;&gt;"moeda")*(Inputs!$G$5:$G$120&lt;&gt;"acoes")))*INDEX(Inputs!$K$5:$AJ$120,0,MATCH(N$2,Inputs!$K$4:$AJ$4,0)))+SUMPRODUCT((Inputs!$E$5:$E$120=$B20)*Inputs!$F$5:$F$120*(((Inputs!$G$5:$G$120="moeda")+(Inputs!$G$5:$G$120="acoes"))*Inputs!$B$1+((Inputs!$G$5:$G$120&lt;&gt;"moeda")*(Inputs!$G$5:$G$120&lt;&gt;"acoes")))*INDEX(Inputs!$K$5:$AJ$120,0,MATCH(N$2,Inputs!$K$4:$AJ$4,0)))))</f>
        <v>5071.1</v>
      </c>
      <c r="O20" s="6">
        <f>IF(ISNA(MATCH(O$2,Inputs!$K$4:$AJ$4,0)),NA(),IF(SUMPRODUCT((Inputs!$A$5:$A$120=$B20)*ISNUMBER(INDEX(Inputs!$K$5:$AJ$120,0,MATCH(O$2,Inputs!$K$4:$AJ$4,0))))+SUMPRODUCT((Inputs!$C$5:$C$120=$B20)*ISNUMBER(INDEX(Inputs!$K$5:$AJ$120,0,MATCH(O$2,Inputs!$K$4:$AJ$4,0))))+SUMPRODUCT((Inputs!$E$5:$E$120=$B20)*ISNUMBER(INDEX(Inputs!$K$5:$AJ$120,0,MATCH(O$2,Inputs!$K$4:$AJ$4,0))))=0,NA(),SUMPRODUCT((Inputs!$A$5:$A$120=$B20)*Inputs!$B$5:$B$120*(((Inputs!$G$5:$G$120="moeda")+(Inputs!$G$5:$G$120="acoes"))*Inputs!$B$1+((Inputs!$G$5:$G$120&lt;&gt;"moeda")*(Inputs!$G$5:$G$120&lt;&gt;"acoes")))*INDEX(Inputs!$K$5:$AJ$120,0,MATCH(O$2,Inputs!$K$4:$AJ$4,0)))+SUMPRODUCT((Inputs!$C$5:$C$120=$B20)*Inputs!$D$5:$D$120*(((Inputs!$G$5:$G$120="moeda")+(Inputs!$G$5:$G$120="acoes"))*Inputs!$B$1+((Inputs!$G$5:$G$120&lt;&gt;"moeda")*(Inputs!$G$5:$G$120&lt;&gt;"acoes")))*INDEX(Inputs!$K$5:$AJ$120,0,MATCH(O$2,Inputs!$K$4:$AJ$4,0)))+SUMPRODUCT((Inputs!$E$5:$E$120=$B20)*Inputs!$F$5:$F$120*(((Inputs!$G$5:$G$120="moeda")+(Inputs!$G$5:$G$120="acoes"))*Inputs!$B$1+((Inputs!$G$5:$G$120&lt;&gt;"moeda")*(Inputs!$G$5:$G$120&lt;&gt;"acoes")))*INDEX(Inputs!$K$5:$AJ$120,0,MATCH(O$2,Inputs!$K$4:$AJ$4,0)))))</f>
        <v>6187.7</v>
      </c>
      <c r="P20" s="6">
        <f>IF(ISNA(MATCH(P$2,Inputs!$K$4:$AJ$4,0)),NA(),IF(SUMPRODUCT((Inputs!$A$5:$A$120=$B20)*ISNUMBER(INDEX(Inputs!$K$5:$AJ$120,0,MATCH(P$2,Inputs!$K$4:$AJ$4,0))))+SUMPRODUCT((Inputs!$C$5:$C$120=$B20)*ISNUMBER(INDEX(Inputs!$K$5:$AJ$120,0,MATCH(P$2,Inputs!$K$4:$AJ$4,0))))+SUMPRODUCT((Inputs!$E$5:$E$120=$B20)*ISNUMBER(INDEX(Inputs!$K$5:$AJ$120,0,MATCH(P$2,Inputs!$K$4:$AJ$4,0))))=0,NA(),SUMPRODUCT((Inputs!$A$5:$A$120=$B20)*Inputs!$B$5:$B$120*(((Inputs!$G$5:$G$120="moeda")+(Inputs!$G$5:$G$120="acoes"))*Inputs!$B$1+((Inputs!$G$5:$G$120&lt;&gt;"moeda")*(Inputs!$G$5:$G$120&lt;&gt;"acoes")))*INDEX(Inputs!$K$5:$AJ$120,0,MATCH(P$2,Inputs!$K$4:$AJ$4,0)))+SUMPRODUCT((Inputs!$C$5:$C$120=$B20)*Inputs!$D$5:$D$120*(((Inputs!$G$5:$G$120="moeda")+(Inputs!$G$5:$G$120="acoes"))*Inputs!$B$1+((Inputs!$G$5:$G$120&lt;&gt;"moeda")*(Inputs!$G$5:$G$120&lt;&gt;"acoes")))*INDEX(Inputs!$K$5:$AJ$120,0,MATCH(P$2,Inputs!$K$4:$AJ$4,0)))+SUMPRODUCT((Inputs!$E$5:$E$120=$B20)*Inputs!$F$5:$F$120*(((Inputs!$G$5:$G$120="moeda")+(Inputs!$G$5:$G$120="acoes"))*Inputs!$B$1+((Inputs!$G$5:$G$120&lt;&gt;"moeda")*(Inputs!$G$5:$G$120&lt;&gt;"acoes")))*INDEX(Inputs!$K$5:$AJ$120,0,MATCH(P$2,Inputs!$K$4:$AJ$4,0)))))</f>
        <v>7444.6</v>
      </c>
      <c r="Q20" s="6">
        <f>IF(ISNA(MATCH(Q$2,Inputs!$K$4:$AJ$4,0)),NA(),IF(SUMPRODUCT((Inputs!$A$5:$A$120=$B20)*ISNUMBER(INDEX(Inputs!$K$5:$AJ$120,0,MATCH(Q$2,Inputs!$K$4:$AJ$4,0))))+SUMPRODUCT((Inputs!$C$5:$C$120=$B20)*ISNUMBER(INDEX(Inputs!$K$5:$AJ$120,0,MATCH(Q$2,Inputs!$K$4:$AJ$4,0))))+SUMPRODUCT((Inputs!$E$5:$E$120=$B20)*ISNUMBER(INDEX(Inputs!$K$5:$AJ$120,0,MATCH(Q$2,Inputs!$K$4:$AJ$4,0))))=0,NA(),SUMPRODUCT((Inputs!$A$5:$A$120=$B20)*Inputs!$B$5:$B$120*(((Inputs!$G$5:$G$120="moeda")+(Inputs!$G$5:$G$120="acoes"))*Inputs!$B$1+((Inputs!$G$5:$G$120&lt;&gt;"moeda")*(Inputs!$G$5:$G$120&lt;&gt;"acoes")))*INDEX(Inputs!$K$5:$AJ$120,0,MATCH(Q$2,Inputs!$K$4:$AJ$4,0)))+SUMPRODUCT((Inputs!$C$5:$C$120=$B20)*Inputs!$D$5:$D$120*(((Inputs!$G$5:$G$120="moeda")+(Inputs!$G$5:$G$120="acoes"))*Inputs!$B$1+((Inputs!$G$5:$G$120&lt;&gt;"moeda")*(Inputs!$G$5:$G$120&lt;&gt;"acoes")))*INDEX(Inputs!$K$5:$AJ$120,0,MATCH(Q$2,Inputs!$K$4:$AJ$4,0)))+SUMPRODUCT((Inputs!$E$5:$E$120=$B20)*Inputs!$F$5:$F$120*(((Inputs!$G$5:$G$120="moeda")+(Inputs!$G$5:$G$120="acoes"))*Inputs!$B$1+((Inputs!$G$5:$G$120&lt;&gt;"moeda")*(Inputs!$G$5:$G$120&lt;&gt;"acoes")))*INDEX(Inputs!$K$5:$AJ$120,0,MATCH(Q$2,Inputs!$K$4:$AJ$4,0)))))</f>
        <v>2395.2</v>
      </c>
      <c r="R20" s="3">
        <f>Q20</f>
        <v>2395.2</v>
      </c>
      <c r="S20" s="6">
        <f>IF(ISNA(MATCH(S$2,Inputs!$K$4:$AJ$4,0)),NA(),IF(SUMPRODUCT((Inputs!$A$5:$A$120=$B20)*ISNUMBER(INDEX(Inputs!$K$5:$AJ$120,0,MATCH(S$2,Inputs!$K$4:$AJ$4,0))))+SUMPRODUCT((Inputs!$C$5:$C$120=$B20)*ISNUMBER(INDEX(Inputs!$K$5:$AJ$120,0,MATCH(S$2,Inputs!$K$4:$AJ$4,0))))+SUMPRODUCT((Inputs!$E$5:$E$120=$B20)*ISNUMBER(INDEX(Inputs!$K$5:$AJ$120,0,MATCH(S$2,Inputs!$K$4:$AJ$4,0))))=0,NA(),SUMPRODUCT((Inputs!$A$5:$A$120=$B20)*Inputs!$B$5:$B$120*(((Inputs!$G$5:$G$120="moeda")+(Inputs!$G$5:$G$120="acoes"))*Inputs!$B$1+((Inputs!$G$5:$G$120&lt;&gt;"moeda")*(Inputs!$G$5:$G$120&lt;&gt;"acoes")))*INDEX(Inputs!$K$5:$AJ$120,0,MATCH(S$2,Inputs!$K$4:$AJ$4,0)))+SUMPRODUCT((Inputs!$C$5:$C$120=$B20)*Inputs!$D$5:$D$120*(((Inputs!$G$5:$G$120="moeda")+(Inputs!$G$5:$G$120="acoes"))*Inputs!$B$1+((Inputs!$G$5:$G$120&lt;&gt;"moeda")*(Inputs!$G$5:$G$120&lt;&gt;"acoes")))*INDEX(Inputs!$K$5:$AJ$120,0,MATCH(S$2,Inputs!$K$4:$AJ$4,0)))+SUMPRODUCT((Inputs!$E$5:$E$120=$B20)*Inputs!$F$5:$F$120*(((Inputs!$G$5:$G$120="moeda")+(Inputs!$G$5:$G$120="acoes"))*Inputs!$B$1+((Inputs!$G$5:$G$120&lt;&gt;"moeda")*(Inputs!$G$5:$G$120&lt;&gt;"acoes")))*INDEX(Inputs!$K$5:$AJ$120,0,MATCH(S$2,Inputs!$K$4:$AJ$4,0)))))</f>
        <v>2266.5</v>
      </c>
      <c r="T20" s="6">
        <f>IF(ISNA(MATCH(T$2,Inputs!$K$4:$AJ$4,0)),NA(),IF(SUMPRODUCT((Inputs!$A$5:$A$120=$B20)*ISNUMBER(INDEX(Inputs!$K$5:$AJ$120,0,MATCH(T$2,Inputs!$K$4:$AJ$4,0))))+SUMPRODUCT((Inputs!$C$5:$C$120=$B20)*ISNUMBER(INDEX(Inputs!$K$5:$AJ$120,0,MATCH(T$2,Inputs!$K$4:$AJ$4,0))))+SUMPRODUCT((Inputs!$E$5:$E$120=$B20)*ISNUMBER(INDEX(Inputs!$K$5:$AJ$120,0,MATCH(T$2,Inputs!$K$4:$AJ$4,0))))=0,NA(),SUMPRODUCT((Inputs!$A$5:$A$120=$B20)*Inputs!$B$5:$B$120*(((Inputs!$G$5:$G$120="moeda")+(Inputs!$G$5:$G$120="acoes"))*Inputs!$B$1+((Inputs!$G$5:$G$120&lt;&gt;"moeda")*(Inputs!$G$5:$G$120&lt;&gt;"acoes")))*INDEX(Inputs!$K$5:$AJ$120,0,MATCH(T$2,Inputs!$K$4:$AJ$4,0)))+SUMPRODUCT((Inputs!$C$5:$C$120=$B20)*Inputs!$D$5:$D$120*(((Inputs!$G$5:$G$120="moeda")+(Inputs!$G$5:$G$120="acoes"))*Inputs!$B$1+((Inputs!$G$5:$G$120&lt;&gt;"moeda")*(Inputs!$G$5:$G$120&lt;&gt;"acoes")))*INDEX(Inputs!$K$5:$AJ$120,0,MATCH(T$2,Inputs!$K$4:$AJ$4,0)))+SUMPRODUCT((Inputs!$E$5:$E$120=$B20)*Inputs!$F$5:$F$120*(((Inputs!$G$5:$G$120="moeda")+(Inputs!$G$5:$G$120="acoes"))*Inputs!$B$1+((Inputs!$G$5:$G$120&lt;&gt;"moeda")*(Inputs!$G$5:$G$120&lt;&gt;"acoes")))*INDEX(Inputs!$K$5:$AJ$120,0,MATCH(T$2,Inputs!$K$4:$AJ$4,0)))))</f>
        <v>2193.3</v>
      </c>
      <c r="U20" s="6">
        <f>IF(ISNA(MATCH(U$2,Inputs!$K$4:$AJ$4,0)),NA(),IF(SUMPRODUCT((Inputs!$A$5:$A$120=$B20)*ISNUMBER(INDEX(Inputs!$K$5:$AJ$120,0,MATCH(U$2,Inputs!$K$4:$AJ$4,0))))+SUMPRODUCT((Inputs!$C$5:$C$120=$B20)*ISNUMBER(INDEX(Inputs!$K$5:$AJ$120,0,MATCH(U$2,Inputs!$K$4:$AJ$4,0))))+SUMPRODUCT((Inputs!$E$5:$E$120=$B20)*ISNUMBER(INDEX(Inputs!$K$5:$AJ$120,0,MATCH(U$2,Inputs!$K$4:$AJ$4,0))))=0,NA(),SUMPRODUCT((Inputs!$A$5:$A$120=$B20)*Inputs!$B$5:$B$120*(((Inputs!$G$5:$G$120="moeda")+(Inputs!$G$5:$G$120="acoes"))*Inputs!$B$1+((Inputs!$G$5:$G$120&lt;&gt;"moeda")*(Inputs!$G$5:$G$120&lt;&gt;"acoes")))*INDEX(Inputs!$K$5:$AJ$120,0,MATCH(U$2,Inputs!$K$4:$AJ$4,0)))+SUMPRODUCT((Inputs!$C$5:$C$120=$B20)*Inputs!$D$5:$D$120*(((Inputs!$G$5:$G$120="moeda")+(Inputs!$G$5:$G$120="acoes"))*Inputs!$B$1+((Inputs!$G$5:$G$120&lt;&gt;"moeda")*(Inputs!$G$5:$G$120&lt;&gt;"acoes")))*INDEX(Inputs!$K$5:$AJ$120,0,MATCH(U$2,Inputs!$K$4:$AJ$4,0)))+SUMPRODUCT((Inputs!$E$5:$E$120=$B20)*Inputs!$F$5:$F$120*(((Inputs!$G$5:$G$120="moeda")+(Inputs!$G$5:$G$120="acoes"))*Inputs!$B$1+((Inputs!$G$5:$G$120&lt;&gt;"moeda")*(Inputs!$G$5:$G$120&lt;&gt;"acoes")))*INDEX(Inputs!$K$5:$AJ$120,0,MATCH(U$2,Inputs!$K$4:$AJ$4,0)))))</f>
        <v>1891.5</v>
      </c>
      <c r="V20" s="6">
        <f>IF(ISNA(MATCH(V$2,Inputs!$K$4:$AJ$4,0)),NA(),IF(SUMPRODUCT((Inputs!$A$5:$A$120=$B20)*ISNUMBER(INDEX(Inputs!$K$5:$AJ$120,0,MATCH(V$2,Inputs!$K$4:$AJ$4,0))))+SUMPRODUCT((Inputs!$C$5:$C$120=$B20)*ISNUMBER(INDEX(Inputs!$K$5:$AJ$120,0,MATCH(V$2,Inputs!$K$4:$AJ$4,0))))+SUMPRODUCT((Inputs!$E$5:$E$120=$B20)*ISNUMBER(INDEX(Inputs!$K$5:$AJ$120,0,MATCH(V$2,Inputs!$K$4:$AJ$4,0))))=0,NA(),SUMPRODUCT((Inputs!$A$5:$A$120=$B20)*Inputs!$B$5:$B$120*(((Inputs!$G$5:$G$120="moeda")+(Inputs!$G$5:$G$120="acoes"))*Inputs!$B$1+((Inputs!$G$5:$G$120&lt;&gt;"moeda")*(Inputs!$G$5:$G$120&lt;&gt;"acoes")))*INDEX(Inputs!$K$5:$AJ$120,0,MATCH(V$2,Inputs!$K$4:$AJ$4,0)))+SUMPRODUCT((Inputs!$C$5:$C$120=$B20)*Inputs!$D$5:$D$120*(((Inputs!$G$5:$G$120="moeda")+(Inputs!$G$5:$G$120="acoes"))*Inputs!$B$1+((Inputs!$G$5:$G$120&lt;&gt;"moeda")*(Inputs!$G$5:$G$120&lt;&gt;"acoes")))*INDEX(Inputs!$K$5:$AJ$120,0,MATCH(V$2,Inputs!$K$4:$AJ$4,0)))+SUMPRODUCT((Inputs!$E$5:$E$120=$B20)*Inputs!$F$5:$F$120*(((Inputs!$G$5:$G$120="moeda")+(Inputs!$G$5:$G$120="acoes"))*Inputs!$B$1+((Inputs!$G$5:$G$120&lt;&gt;"moeda")*(Inputs!$G$5:$G$120&lt;&gt;"acoes")))*INDEX(Inputs!$K$5:$AJ$120,0,MATCH(V$2,Inputs!$K$4:$AJ$4,0)))))</f>
        <v>2381.1</v>
      </c>
      <c r="W20" s="3">
        <f>V20</f>
        <v>2381.1</v>
      </c>
      <c r="X20" s="6">
        <f>IF(ISNA(MATCH(X$2,Inputs!$K$4:$AJ$4,0)),NA(),IF(SUMPRODUCT((Inputs!$A$5:$A$120=$B20)*ISNUMBER(INDEX(Inputs!$K$5:$AJ$120,0,MATCH(X$2,Inputs!$K$4:$AJ$4,0))))+SUMPRODUCT((Inputs!$C$5:$C$120=$B20)*ISNUMBER(INDEX(Inputs!$K$5:$AJ$120,0,MATCH(X$2,Inputs!$K$4:$AJ$4,0))))+SUMPRODUCT((Inputs!$E$5:$E$120=$B20)*ISNUMBER(INDEX(Inputs!$K$5:$AJ$120,0,MATCH(X$2,Inputs!$K$4:$AJ$4,0))))=0,NA(),SUMPRODUCT((Inputs!$A$5:$A$120=$B20)*Inputs!$B$5:$B$120*(((Inputs!$G$5:$G$120="moeda")+(Inputs!$G$5:$G$120="acoes"))*Inputs!$B$1+((Inputs!$G$5:$G$120&lt;&gt;"moeda")*(Inputs!$G$5:$G$120&lt;&gt;"acoes")))*INDEX(Inputs!$K$5:$AJ$120,0,MATCH(X$2,Inputs!$K$4:$AJ$4,0)))+SUMPRODUCT((Inputs!$C$5:$C$120=$B20)*Inputs!$D$5:$D$120*(((Inputs!$G$5:$G$120="moeda")+(Inputs!$G$5:$G$120="acoes"))*Inputs!$B$1+((Inputs!$G$5:$G$120&lt;&gt;"moeda")*(Inputs!$G$5:$G$120&lt;&gt;"acoes")))*INDEX(Inputs!$K$5:$AJ$120,0,MATCH(X$2,Inputs!$K$4:$AJ$4,0)))+SUMPRODUCT((Inputs!$E$5:$E$120=$B20)*Inputs!$F$5:$F$120*(((Inputs!$G$5:$G$120="moeda")+(Inputs!$G$5:$G$120="acoes"))*Inputs!$B$1+((Inputs!$G$5:$G$120&lt;&gt;"moeda")*(Inputs!$G$5:$G$120&lt;&gt;"acoes")))*INDEX(Inputs!$K$5:$AJ$120,0,MATCH(X$2,Inputs!$K$4:$AJ$4,0)))))</f>
        <v>2039</v>
      </c>
      <c r="Y20" s="6">
        <f>IF(ISNA(MATCH(Y$2,Inputs!$K$4:$AJ$4,0)),NA(),IF(SUMPRODUCT((Inputs!$A$5:$A$120=$B20)*ISNUMBER(INDEX(Inputs!$K$5:$AJ$120,0,MATCH(Y$2,Inputs!$K$4:$AJ$4,0))))+SUMPRODUCT((Inputs!$C$5:$C$120=$B20)*ISNUMBER(INDEX(Inputs!$K$5:$AJ$120,0,MATCH(Y$2,Inputs!$K$4:$AJ$4,0))))+SUMPRODUCT((Inputs!$E$5:$E$120=$B20)*ISNUMBER(INDEX(Inputs!$K$5:$AJ$120,0,MATCH(Y$2,Inputs!$K$4:$AJ$4,0))))=0,NA(),SUMPRODUCT((Inputs!$A$5:$A$120=$B20)*Inputs!$B$5:$B$120*(((Inputs!$G$5:$G$120="moeda")+(Inputs!$G$5:$G$120="acoes"))*Inputs!$B$1+((Inputs!$G$5:$G$120&lt;&gt;"moeda")*(Inputs!$G$5:$G$120&lt;&gt;"acoes")))*INDEX(Inputs!$K$5:$AJ$120,0,MATCH(Y$2,Inputs!$K$4:$AJ$4,0)))+SUMPRODUCT((Inputs!$C$5:$C$120=$B20)*Inputs!$D$5:$D$120*(((Inputs!$G$5:$G$120="moeda")+(Inputs!$G$5:$G$120="acoes"))*Inputs!$B$1+((Inputs!$G$5:$G$120&lt;&gt;"moeda")*(Inputs!$G$5:$G$120&lt;&gt;"acoes")))*INDEX(Inputs!$K$5:$AJ$120,0,MATCH(Y$2,Inputs!$K$4:$AJ$4,0)))+SUMPRODUCT((Inputs!$E$5:$E$120=$B20)*Inputs!$F$5:$F$120*(((Inputs!$G$5:$G$120="moeda")+(Inputs!$G$5:$G$120="acoes"))*Inputs!$B$1+((Inputs!$G$5:$G$120&lt;&gt;"moeda")*(Inputs!$G$5:$G$120&lt;&gt;"acoes")))*INDEX(Inputs!$K$5:$AJ$120,0,MATCH(Y$2,Inputs!$K$4:$AJ$4,0)))))</f>
        <v>3104</v>
      </c>
      <c r="Z20" s="6">
        <f>IF(ISNA(MATCH(Z$2,Inputs!$K$4:$AJ$4,0)),NA(),IF(SUMPRODUCT((Inputs!$A$5:$A$120=$B20)*ISNUMBER(INDEX(Inputs!$K$5:$AJ$120,0,MATCH(Z$2,Inputs!$K$4:$AJ$4,0))))+SUMPRODUCT((Inputs!$C$5:$C$120=$B20)*ISNUMBER(INDEX(Inputs!$K$5:$AJ$120,0,MATCH(Z$2,Inputs!$K$4:$AJ$4,0))))+SUMPRODUCT((Inputs!$E$5:$E$120=$B20)*ISNUMBER(INDEX(Inputs!$K$5:$AJ$120,0,MATCH(Z$2,Inputs!$K$4:$AJ$4,0))))=0,NA(),SUMPRODUCT((Inputs!$A$5:$A$120=$B20)*Inputs!$B$5:$B$120*(((Inputs!$G$5:$G$120="moeda")+(Inputs!$G$5:$G$120="acoes"))*Inputs!$B$1+((Inputs!$G$5:$G$120&lt;&gt;"moeda")*(Inputs!$G$5:$G$120&lt;&gt;"acoes")))*INDEX(Inputs!$K$5:$AJ$120,0,MATCH(Z$2,Inputs!$K$4:$AJ$4,0)))+SUMPRODUCT((Inputs!$C$5:$C$120=$B20)*Inputs!$D$5:$D$120*(((Inputs!$G$5:$G$120="moeda")+(Inputs!$G$5:$G$120="acoes"))*Inputs!$B$1+((Inputs!$G$5:$G$120&lt;&gt;"moeda")*(Inputs!$G$5:$G$120&lt;&gt;"acoes")))*INDEX(Inputs!$K$5:$AJ$120,0,MATCH(Z$2,Inputs!$K$4:$AJ$4,0)))+SUMPRODUCT((Inputs!$E$5:$E$120=$B20)*Inputs!$F$5:$F$120*(((Inputs!$G$5:$G$120="moeda")+(Inputs!$G$5:$G$120="acoes"))*Inputs!$B$1+((Inputs!$G$5:$G$120&lt;&gt;"moeda")*(Inputs!$G$5:$G$120&lt;&gt;"acoes")))*INDEX(Inputs!$K$5:$AJ$120,0,MATCH(Z$2,Inputs!$K$4:$AJ$4,0)))))</f>
        <v>3621.3</v>
      </c>
      <c r="AA20" s="6">
        <f>IF(ISNA(MATCH(AA$2,Inputs!$K$4:$AJ$4,0)),NA(),IF(SUMPRODUCT((Inputs!$A$5:$A$120=$B20)*ISNUMBER(INDEX(Inputs!$K$5:$AJ$120,0,MATCH(AA$2,Inputs!$K$4:$AJ$4,0))))+SUMPRODUCT((Inputs!$C$5:$C$120=$B20)*ISNUMBER(INDEX(Inputs!$K$5:$AJ$120,0,MATCH(AA$2,Inputs!$K$4:$AJ$4,0))))+SUMPRODUCT((Inputs!$E$5:$E$120=$B20)*ISNUMBER(INDEX(Inputs!$K$5:$AJ$120,0,MATCH(AA$2,Inputs!$K$4:$AJ$4,0))))=0,NA(),SUMPRODUCT((Inputs!$A$5:$A$120=$B20)*Inputs!$B$5:$B$120*(((Inputs!$G$5:$G$120="moeda")+(Inputs!$G$5:$G$120="acoes"))*Inputs!$B$1+((Inputs!$G$5:$G$120&lt;&gt;"moeda")*(Inputs!$G$5:$G$120&lt;&gt;"acoes")))*INDEX(Inputs!$K$5:$AJ$120,0,MATCH(AA$2,Inputs!$K$4:$AJ$4,0)))+SUMPRODUCT((Inputs!$C$5:$C$120=$B20)*Inputs!$D$5:$D$120*(((Inputs!$G$5:$G$120="moeda")+(Inputs!$G$5:$G$120="acoes"))*Inputs!$B$1+((Inputs!$G$5:$G$120&lt;&gt;"moeda")*(Inputs!$G$5:$G$120&lt;&gt;"acoes")))*INDEX(Inputs!$K$5:$AJ$120,0,MATCH(AA$2,Inputs!$K$4:$AJ$4,0)))+SUMPRODUCT((Inputs!$E$5:$E$120=$B20)*Inputs!$F$5:$F$120*(((Inputs!$G$5:$G$120="moeda")+(Inputs!$G$5:$G$120="acoes"))*Inputs!$B$1+((Inputs!$G$5:$G$120&lt;&gt;"moeda")*(Inputs!$G$5:$G$120&lt;&gt;"acoes")))*INDEX(Inputs!$K$5:$AJ$120,0,MATCH(AA$2,Inputs!$K$4:$AJ$4,0)))))</f>
        <v>2542</v>
      </c>
      <c r="AB20" s="3">
        <f>AA20</f>
        <v>2542</v>
      </c>
      <c r="AC20" s="6">
        <f>IF(ISNA(MATCH(AC$2,Inputs!$K$4:$AJ$4,0)),NA(),IF(SUMPRODUCT((Inputs!$A$5:$A$120=$B20)*ISNUMBER(INDEX(Inputs!$K$5:$AJ$120,0,MATCH(AC$2,Inputs!$K$4:$AJ$4,0))))+SUMPRODUCT((Inputs!$C$5:$C$120=$B20)*ISNUMBER(INDEX(Inputs!$K$5:$AJ$120,0,MATCH(AC$2,Inputs!$K$4:$AJ$4,0))))+SUMPRODUCT((Inputs!$E$5:$E$120=$B20)*ISNUMBER(INDEX(Inputs!$K$5:$AJ$120,0,MATCH(AC$2,Inputs!$K$4:$AJ$4,0))))=0,NA(),SUMPRODUCT((Inputs!$A$5:$A$120=$B20)*Inputs!$B$5:$B$120*(((Inputs!$G$5:$G$120="moeda")+(Inputs!$G$5:$G$120="acoes"))*Inputs!$B$1+((Inputs!$G$5:$G$120&lt;&gt;"moeda")*(Inputs!$G$5:$G$120&lt;&gt;"acoes")))*INDEX(Inputs!$K$5:$AJ$120,0,MATCH(AC$2,Inputs!$K$4:$AJ$4,0)))+SUMPRODUCT((Inputs!$C$5:$C$120=$B20)*Inputs!$D$5:$D$120*(((Inputs!$G$5:$G$120="moeda")+(Inputs!$G$5:$G$120="acoes"))*Inputs!$B$1+((Inputs!$G$5:$G$120&lt;&gt;"moeda")*(Inputs!$G$5:$G$120&lt;&gt;"acoes")))*INDEX(Inputs!$K$5:$AJ$120,0,MATCH(AC$2,Inputs!$K$4:$AJ$4,0)))+SUMPRODUCT((Inputs!$E$5:$E$120=$B20)*Inputs!$F$5:$F$120*(((Inputs!$G$5:$G$120="moeda")+(Inputs!$G$5:$G$120="acoes"))*Inputs!$B$1+((Inputs!$G$5:$G$120&lt;&gt;"moeda")*(Inputs!$G$5:$G$120&lt;&gt;"acoes")))*INDEX(Inputs!$K$5:$AJ$120,0,MATCH(AC$2,Inputs!$K$4:$AJ$4,0)))))</f>
        <v>2962</v>
      </c>
      <c r="AD20" s="6">
        <f>IF(ISNA(MATCH(AD$2,Inputs!$K$4:$AJ$4,0)),NA(),IF(SUMPRODUCT((Inputs!$A$5:$A$120=$B20)*ISNUMBER(INDEX(Inputs!$K$5:$AJ$120,0,MATCH(AD$2,Inputs!$K$4:$AJ$4,0))))+SUMPRODUCT((Inputs!$C$5:$C$120=$B20)*ISNUMBER(INDEX(Inputs!$K$5:$AJ$120,0,MATCH(AD$2,Inputs!$K$4:$AJ$4,0))))+SUMPRODUCT((Inputs!$E$5:$E$120=$B20)*ISNUMBER(INDEX(Inputs!$K$5:$AJ$120,0,MATCH(AD$2,Inputs!$K$4:$AJ$4,0))))=0,NA(),SUMPRODUCT((Inputs!$A$5:$A$120=$B20)*Inputs!$B$5:$B$120*(((Inputs!$G$5:$G$120="moeda")+(Inputs!$G$5:$G$120="acoes"))*Inputs!$B$1+((Inputs!$G$5:$G$120&lt;&gt;"moeda")*(Inputs!$G$5:$G$120&lt;&gt;"acoes")))*INDEX(Inputs!$K$5:$AJ$120,0,MATCH(AD$2,Inputs!$K$4:$AJ$4,0)))+SUMPRODUCT((Inputs!$C$5:$C$120=$B20)*Inputs!$D$5:$D$120*(((Inputs!$G$5:$G$120="moeda")+(Inputs!$G$5:$G$120="acoes"))*Inputs!$B$1+((Inputs!$G$5:$G$120&lt;&gt;"moeda")*(Inputs!$G$5:$G$120&lt;&gt;"acoes")))*INDEX(Inputs!$K$5:$AJ$120,0,MATCH(AD$2,Inputs!$K$4:$AJ$4,0)))+SUMPRODUCT((Inputs!$E$5:$E$120=$B20)*Inputs!$F$5:$F$120*(((Inputs!$G$5:$G$120="moeda")+(Inputs!$G$5:$G$120="acoes"))*Inputs!$B$1+((Inputs!$G$5:$G$120&lt;&gt;"moeda")*(Inputs!$G$5:$G$120&lt;&gt;"acoes")))*INDEX(Inputs!$K$5:$AJ$120,0,MATCH(AD$2,Inputs!$K$4:$AJ$4,0)))))</f>
        <v>3478</v>
      </c>
      <c r="AE20" s="6" t="e">
        <f>IF(ISNA(MATCH(AE$2,Inputs!$K$4:$AJ$4,0)),NA(),IF(SUMPRODUCT((Inputs!$A$5:$A$120=$B20)*ISNUMBER(INDEX(Inputs!$K$5:$AJ$120,0,MATCH(AE$2,Inputs!$K$4:$AJ$4,0))))+SUMPRODUCT((Inputs!$C$5:$C$120=$B20)*ISNUMBER(INDEX(Inputs!$K$5:$AJ$120,0,MATCH(AE$2,Inputs!$K$4:$AJ$4,0))))+SUMPRODUCT((Inputs!$E$5:$E$120=$B20)*ISNUMBER(INDEX(Inputs!$K$5:$AJ$120,0,MATCH(AE$2,Inputs!$K$4:$AJ$4,0))))=0,NA(),SUMPRODUCT((Inputs!$A$5:$A$120=$B20)*Inputs!$B$5:$B$120*(((Inputs!$G$5:$G$120="moeda")+(Inputs!$G$5:$G$120="acoes"))*Inputs!$B$1+((Inputs!$G$5:$G$120&lt;&gt;"moeda")*(Inputs!$G$5:$G$120&lt;&gt;"acoes")))*INDEX(Inputs!$K$5:$AJ$120,0,MATCH(AE$2,Inputs!$K$4:$AJ$4,0)))+SUMPRODUCT((Inputs!$C$5:$C$120=$B20)*Inputs!$D$5:$D$120*(((Inputs!$G$5:$G$120="moeda")+(Inputs!$G$5:$G$120="acoes"))*Inputs!$B$1+((Inputs!$G$5:$G$120&lt;&gt;"moeda")*(Inputs!$G$5:$G$120&lt;&gt;"acoes")))*INDEX(Inputs!$K$5:$AJ$120,0,MATCH(AE$2,Inputs!$K$4:$AJ$4,0)))+SUMPRODUCT((Inputs!$E$5:$E$120=$B20)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0" s="6" t="e">
        <f>IF(ISNA(MATCH(AF$2,Inputs!$K$4:$AJ$4,0)),NA(),IF(SUMPRODUCT((Inputs!$A$5:$A$120=$B20)*ISNUMBER(INDEX(Inputs!$K$5:$AJ$120,0,MATCH(AF$2,Inputs!$K$4:$AJ$4,0))))+SUMPRODUCT((Inputs!$C$5:$C$120=$B20)*ISNUMBER(INDEX(Inputs!$K$5:$AJ$120,0,MATCH(AF$2,Inputs!$K$4:$AJ$4,0))))+SUMPRODUCT((Inputs!$E$5:$E$120=$B20)*ISNUMBER(INDEX(Inputs!$K$5:$AJ$120,0,MATCH(AF$2,Inputs!$K$4:$AJ$4,0))))=0,NA(),SUMPRODUCT((Inputs!$A$5:$A$120=$B20)*Inputs!$B$5:$B$120*(((Inputs!$G$5:$G$120="moeda")+(Inputs!$G$5:$G$120="acoes"))*Inputs!$B$1+((Inputs!$G$5:$G$120&lt;&gt;"moeda")*(Inputs!$G$5:$G$120&lt;&gt;"acoes")))*INDEX(Inputs!$K$5:$AJ$120,0,MATCH(AF$2,Inputs!$K$4:$AJ$4,0)))+SUMPRODUCT((Inputs!$C$5:$C$120=$B20)*Inputs!$D$5:$D$120*(((Inputs!$G$5:$G$120="moeda")+(Inputs!$G$5:$G$120="acoes"))*Inputs!$B$1+((Inputs!$G$5:$G$120&lt;&gt;"moeda")*(Inputs!$G$5:$G$120&lt;&gt;"acoes")))*INDEX(Inputs!$K$5:$AJ$120,0,MATCH(AF$2,Inputs!$K$4:$AJ$4,0)))+SUMPRODUCT((Inputs!$E$5:$E$120=$B20)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0" s="3" t="e">
        <f>AF20</f>
        <v>#N/A</v>
      </c>
      <c r="AH20" s="6">
        <f>IF(ISNA(MATCH(AH$2,Inputs!$K$4:$AJ$4,0)),NA(),IF(SUMPRODUCT((Inputs!$A$5:$A$120=$B20)*ISNUMBER(INDEX(Inputs!$K$5:$AJ$120,0,MATCH(AH$2,Inputs!$K$4:$AJ$4,0))))+SUMPRODUCT((Inputs!$C$5:$C$120=$B20)*ISNUMBER(INDEX(Inputs!$K$5:$AJ$120,0,MATCH(AH$2,Inputs!$K$4:$AJ$4,0))))+SUMPRODUCT((Inputs!$E$5:$E$120=$B20)*ISNUMBER(INDEX(Inputs!$K$5:$AJ$120,0,MATCH(AH$2,Inputs!$K$4:$AJ$4,0))))=0,NA(),SUMPRODUCT((Inputs!$A$5:$A$120=$B20)*Inputs!$B$5:$B$120*(((Inputs!$G$5:$G$120="moeda")+(Inputs!$G$5:$G$120="acoes"))*Inputs!$B$1+((Inputs!$G$5:$G$120&lt;&gt;"moeda")*(Inputs!$G$5:$G$120&lt;&gt;"acoes")))*INDEX(Inputs!$K$5:$AJ$120,0,MATCH(AH$2,Inputs!$K$4:$AJ$4,0)))+SUMPRODUCT((Inputs!$C$5:$C$120=$B20)*Inputs!$D$5:$D$120*(((Inputs!$G$5:$G$120="moeda")+(Inputs!$G$5:$G$120="acoes"))*Inputs!$B$1+((Inputs!$G$5:$G$120&lt;&gt;"moeda")*(Inputs!$G$5:$G$120&lt;&gt;"acoes")))*INDEX(Inputs!$K$5:$AJ$120,0,MATCH(AH$2,Inputs!$K$4:$AJ$4,0)))+SUMPRODUCT((Inputs!$E$5:$E$120=$B20)*Inputs!$F$5:$F$120*(((Inputs!$G$5:$G$120="moeda")+(Inputs!$G$5:$G$120="acoes"))*Inputs!$B$1+((Inputs!$G$5:$G$120&lt;&gt;"moeda")*(Inputs!$G$5:$G$120&lt;&gt;"acoes")))*INDEX(Inputs!$K$5:$AJ$120,0,MATCH(AH$2,Inputs!$K$4:$AJ$4,0)))))</f>
        <v>1246.4</v>
      </c>
      <c r="AI20" s="6">
        <f>IF(ISNA(MATCH(AI$2,Inputs!$K$4:$AJ$4,0)),NA(),IF(SUMPRODUCT((Inputs!$A$5:$A$120=$B20)*ISNUMBER(INDEX(Inputs!$K$5:$AJ$120,0,MATCH(AI$2,Inputs!$K$4:$AJ$4,0))))+SUMPRODUCT((Inputs!$C$5:$C$120=$B20)*ISNUMBER(INDEX(Inputs!$K$5:$AJ$120,0,MATCH(AI$2,Inputs!$K$4:$AJ$4,0))))+SUMPRODUCT((Inputs!$E$5:$E$120=$B20)*ISNUMBER(INDEX(Inputs!$K$5:$AJ$120,0,MATCH(AI$2,Inputs!$K$4:$AJ$4,0))))=0,NA(),SUMPRODUCT((Inputs!$A$5:$A$120=$B20)*Inputs!$B$5:$B$120*(((Inputs!$G$5:$G$120="moeda")+(Inputs!$G$5:$G$120="acoes"))*Inputs!$B$1+((Inputs!$G$5:$G$120&lt;&gt;"moeda")*(Inputs!$G$5:$G$120&lt;&gt;"acoes")))*INDEX(Inputs!$K$5:$AJ$120,0,MATCH(AI$2,Inputs!$K$4:$AJ$4,0)))+SUMPRODUCT((Inputs!$C$5:$C$120=$B20)*Inputs!$D$5:$D$120*(((Inputs!$G$5:$G$120="moeda")+(Inputs!$G$5:$G$120="acoes"))*Inputs!$B$1+((Inputs!$G$5:$G$120&lt;&gt;"moeda")*(Inputs!$G$5:$G$120&lt;&gt;"acoes")))*INDEX(Inputs!$K$5:$AJ$120,0,MATCH(AI$2,Inputs!$K$4:$AJ$4,0)))+SUMPRODUCT((Inputs!$E$5:$E$120=$B20)*Inputs!$F$5:$F$120*(((Inputs!$G$5:$G$120="moeda")+(Inputs!$G$5:$G$120="acoes"))*Inputs!$B$1+((Inputs!$G$5:$G$120&lt;&gt;"moeda")*(Inputs!$G$5:$G$120&lt;&gt;"acoes")))*INDEX(Inputs!$K$5:$AJ$120,0,MATCH(AI$2,Inputs!$K$4:$AJ$4,0)))))</f>
        <v>946.7</v>
      </c>
      <c r="AJ20" s="6">
        <f>IF(ISNA(MATCH(AJ$2,Inputs!$K$4:$AJ$4,0)),NA(),IF(SUMPRODUCT((Inputs!$A$5:$A$120=$B20)*ISNUMBER(INDEX(Inputs!$K$5:$AJ$120,0,MATCH(AJ$2,Inputs!$K$4:$AJ$4,0))))+SUMPRODUCT((Inputs!$C$5:$C$120=$B20)*ISNUMBER(INDEX(Inputs!$K$5:$AJ$120,0,MATCH(AJ$2,Inputs!$K$4:$AJ$4,0))))+SUMPRODUCT((Inputs!$E$5:$E$120=$B20)*ISNUMBER(INDEX(Inputs!$K$5:$AJ$120,0,MATCH(AJ$2,Inputs!$K$4:$AJ$4,0))))=0,NA(),SUMPRODUCT((Inputs!$A$5:$A$120=$B20)*Inputs!$B$5:$B$120*(((Inputs!$G$5:$G$120="moeda")+(Inputs!$G$5:$G$120="acoes"))*Inputs!$B$1+((Inputs!$G$5:$G$120&lt;&gt;"moeda")*(Inputs!$G$5:$G$120&lt;&gt;"acoes")))*INDEX(Inputs!$K$5:$AJ$120,0,MATCH(AJ$2,Inputs!$K$4:$AJ$4,0)))+SUMPRODUCT((Inputs!$C$5:$C$120=$B20)*Inputs!$D$5:$D$120*(((Inputs!$G$5:$G$120="moeda")+(Inputs!$G$5:$G$120="acoes"))*Inputs!$B$1+((Inputs!$G$5:$G$120&lt;&gt;"moeda")*(Inputs!$G$5:$G$120&lt;&gt;"acoes")))*INDEX(Inputs!$K$5:$AJ$120,0,MATCH(AJ$2,Inputs!$K$4:$AJ$4,0)))+SUMPRODUCT((Inputs!$E$5:$E$120=$B20)*Inputs!$F$5:$F$120*(((Inputs!$G$5:$G$120="moeda")+(Inputs!$G$5:$G$120="acoes"))*Inputs!$B$1+((Inputs!$G$5:$G$120&lt;&gt;"moeda")*(Inputs!$G$5:$G$120&lt;&gt;"acoes")))*INDEX(Inputs!$K$5:$AJ$120,0,MATCH(AJ$2,Inputs!$K$4:$AJ$4,0)))))</f>
        <v>958.1</v>
      </c>
      <c r="AK20" s="6">
        <f>IF(ISNA(MATCH(AK$2,Inputs!$K$4:$AJ$4,0)),NA(),IF(SUMPRODUCT((Inputs!$A$5:$A$120=$B20)*ISNUMBER(INDEX(Inputs!$K$5:$AJ$120,0,MATCH(AK$2,Inputs!$K$4:$AJ$4,0))))+SUMPRODUCT((Inputs!$C$5:$C$120=$B20)*ISNUMBER(INDEX(Inputs!$K$5:$AJ$120,0,MATCH(AK$2,Inputs!$K$4:$AJ$4,0))))+SUMPRODUCT((Inputs!$E$5:$E$120=$B20)*ISNUMBER(INDEX(Inputs!$K$5:$AJ$120,0,MATCH(AK$2,Inputs!$K$4:$AJ$4,0))))=0,NA(),SUMPRODUCT((Inputs!$A$5:$A$120=$B20)*Inputs!$B$5:$B$120*(((Inputs!$G$5:$G$120="moeda")+(Inputs!$G$5:$G$120="acoes"))*Inputs!$B$1+((Inputs!$G$5:$G$120&lt;&gt;"moeda")*(Inputs!$G$5:$G$120&lt;&gt;"acoes")))*INDEX(Inputs!$K$5:$AJ$120,0,MATCH(AK$2,Inputs!$K$4:$AJ$4,0)))+SUMPRODUCT((Inputs!$C$5:$C$120=$B20)*Inputs!$D$5:$D$120*(((Inputs!$G$5:$G$120="moeda")+(Inputs!$G$5:$G$120="acoes"))*Inputs!$B$1+((Inputs!$G$5:$G$120&lt;&gt;"moeda")*(Inputs!$G$5:$G$120&lt;&gt;"acoes")))*INDEX(Inputs!$K$5:$AJ$120,0,MATCH(AK$2,Inputs!$K$4:$AJ$4,0)))+SUMPRODUCT((Inputs!$E$5:$E$120=$B20)*Inputs!$F$5:$F$120*(((Inputs!$G$5:$G$120="moeda")+(Inputs!$G$5:$G$120="acoes"))*Inputs!$B$1+((Inputs!$G$5:$G$120&lt;&gt;"moeda")*(Inputs!$G$5:$G$120&lt;&gt;"acoes")))*INDEX(Inputs!$K$5:$AJ$120,0,MATCH(AK$2,Inputs!$K$4:$AJ$4,0)))))</f>
        <v>1053.7</v>
      </c>
      <c r="AL20" s="3">
        <f>AK20</f>
        <v>1053.7</v>
      </c>
    </row>
    <row r="21">
      <c r="B21" s="46" t="n">
        <v>17</v>
      </c>
      <c r="C21" s="26" t="inlineStr">
        <is>
          <t>Equity in affiliates</t>
        </is>
      </c>
      <c r="D21" s="6">
        <f>IF(ISNA(MATCH(D$2,Inputs!$K$4:$AJ$4,0)),NA(),IF(SUMPRODUCT((Inputs!$A$5:$A$120=$B21)*ISNUMBER(INDEX(Inputs!$K$5:$AJ$120,0,MATCH(D$2,Inputs!$K$4:$AJ$4,0))))+SUMPRODUCT((Inputs!$C$5:$C$120=$B21)*ISNUMBER(INDEX(Inputs!$K$5:$AJ$120,0,MATCH(D$2,Inputs!$K$4:$AJ$4,0))))+SUMPRODUCT((Inputs!$E$5:$E$120=$B21)*ISNUMBER(INDEX(Inputs!$K$5:$AJ$120,0,MATCH(D$2,Inputs!$K$4:$AJ$4,0))))=0,NA(),SUMPRODUCT((Inputs!$A$5:$A$120=$B21)*Inputs!$B$5:$B$120*(((Inputs!$G$5:$G$120="moeda")+(Inputs!$G$5:$G$120="acoes"))*Inputs!$B$1+((Inputs!$G$5:$G$120&lt;&gt;"moeda")*(Inputs!$G$5:$G$120&lt;&gt;"acoes")))*INDEX(Inputs!$K$5:$AJ$120,0,MATCH(D$2,Inputs!$K$4:$AJ$4,0)))+SUMPRODUCT((Inputs!$C$5:$C$120=$B21)*Inputs!$D$5:$D$120*(((Inputs!$G$5:$G$120="moeda")+(Inputs!$G$5:$G$120="acoes"))*Inputs!$B$1+((Inputs!$G$5:$G$120&lt;&gt;"moeda")*(Inputs!$G$5:$G$120&lt;&gt;"acoes")))*INDEX(Inputs!$K$5:$AJ$120,0,MATCH(D$2,Inputs!$K$4:$AJ$4,0)))+SUMPRODUCT((Inputs!$E$5:$E$120=$B21)*Inputs!$F$5:$F$120*(((Inputs!$G$5:$G$120="moeda")+(Inputs!$G$5:$G$120="acoes"))*Inputs!$B$1+((Inputs!$G$5:$G$120&lt;&gt;"moeda")*(Inputs!$G$5:$G$120&lt;&gt;"acoes")))*INDEX(Inputs!$K$5:$AJ$120,0,MATCH(D$2,Inputs!$K$4:$AJ$4,0)))))</f>
        <v>0</v>
      </c>
      <c r="E21" s="6">
        <f>IF(ISNA(MATCH(E$2,Inputs!$K$4:$AJ$4,0)),NA(),IF(SUMPRODUCT((Inputs!$A$5:$A$120=$B21)*ISNUMBER(INDEX(Inputs!$K$5:$AJ$120,0,MATCH(E$2,Inputs!$K$4:$AJ$4,0))))+SUMPRODUCT((Inputs!$C$5:$C$120=$B21)*ISNUMBER(INDEX(Inputs!$K$5:$AJ$120,0,MATCH(E$2,Inputs!$K$4:$AJ$4,0))))+SUMPRODUCT((Inputs!$E$5:$E$120=$B21)*ISNUMBER(INDEX(Inputs!$K$5:$AJ$120,0,MATCH(E$2,Inputs!$K$4:$AJ$4,0))))=0,NA(),SUMPRODUCT((Inputs!$A$5:$A$120=$B21)*Inputs!$B$5:$B$120*(((Inputs!$G$5:$G$120="moeda")+(Inputs!$G$5:$G$120="acoes"))*Inputs!$B$1+((Inputs!$G$5:$G$120&lt;&gt;"moeda")*(Inputs!$G$5:$G$120&lt;&gt;"acoes")))*INDEX(Inputs!$K$5:$AJ$120,0,MATCH(E$2,Inputs!$K$4:$AJ$4,0)))+SUMPRODUCT((Inputs!$C$5:$C$120=$B21)*Inputs!$D$5:$D$120*(((Inputs!$G$5:$G$120="moeda")+(Inputs!$G$5:$G$120="acoes"))*Inputs!$B$1+((Inputs!$G$5:$G$120&lt;&gt;"moeda")*(Inputs!$G$5:$G$120&lt;&gt;"acoes")))*INDEX(Inputs!$K$5:$AJ$120,0,MATCH(E$2,Inputs!$K$4:$AJ$4,0)))+SUMPRODUCT((Inputs!$E$5:$E$120=$B21)*Inputs!$F$5:$F$120*(((Inputs!$G$5:$G$120="moeda")+(Inputs!$G$5:$G$120="acoes"))*Inputs!$B$1+((Inputs!$G$5:$G$120&lt;&gt;"moeda")*(Inputs!$G$5:$G$120&lt;&gt;"acoes")))*INDEX(Inputs!$K$5:$AJ$120,0,MATCH(E$2,Inputs!$K$4:$AJ$4,0)))))</f>
        <v>0</v>
      </c>
      <c r="F21" s="6">
        <f>IF(ISNA(MATCH(F$2,Inputs!$K$4:$AJ$4,0)),NA(),IF(SUMPRODUCT((Inputs!$A$5:$A$120=$B21)*ISNUMBER(INDEX(Inputs!$K$5:$AJ$120,0,MATCH(F$2,Inputs!$K$4:$AJ$4,0))))+SUMPRODUCT((Inputs!$C$5:$C$120=$B21)*ISNUMBER(INDEX(Inputs!$K$5:$AJ$120,0,MATCH(F$2,Inputs!$K$4:$AJ$4,0))))+SUMPRODUCT((Inputs!$E$5:$E$120=$B21)*ISNUMBER(INDEX(Inputs!$K$5:$AJ$120,0,MATCH(F$2,Inputs!$K$4:$AJ$4,0))))=0,NA(),SUMPRODUCT((Inputs!$A$5:$A$120=$B21)*Inputs!$B$5:$B$120*(((Inputs!$G$5:$G$120="moeda")+(Inputs!$G$5:$G$120="acoes"))*Inputs!$B$1+((Inputs!$G$5:$G$120&lt;&gt;"moeda")*(Inputs!$G$5:$G$120&lt;&gt;"acoes")))*INDEX(Inputs!$K$5:$AJ$120,0,MATCH(F$2,Inputs!$K$4:$AJ$4,0)))+SUMPRODUCT((Inputs!$C$5:$C$120=$B21)*Inputs!$D$5:$D$120*(((Inputs!$G$5:$G$120="moeda")+(Inputs!$G$5:$G$120="acoes"))*Inputs!$B$1+((Inputs!$G$5:$G$120&lt;&gt;"moeda")*(Inputs!$G$5:$G$120&lt;&gt;"acoes")))*INDEX(Inputs!$K$5:$AJ$120,0,MATCH(F$2,Inputs!$K$4:$AJ$4,0)))+SUMPRODUCT((Inputs!$E$5:$E$120=$B21)*Inputs!$F$5:$F$120*(((Inputs!$G$5:$G$120="moeda")+(Inputs!$G$5:$G$120="acoes"))*Inputs!$B$1+((Inputs!$G$5:$G$120&lt;&gt;"moeda")*(Inputs!$G$5:$G$120&lt;&gt;"acoes")))*INDEX(Inputs!$K$5:$AJ$120,0,MATCH(F$2,Inputs!$K$4:$AJ$4,0)))))</f>
        <v>0</v>
      </c>
      <c r="G21" s="6">
        <f>IF(ISNA(MATCH(G$2,Inputs!$K$4:$AJ$4,0)),NA(),IF(SUMPRODUCT((Inputs!$A$5:$A$120=$B21)*ISNUMBER(INDEX(Inputs!$K$5:$AJ$120,0,MATCH(G$2,Inputs!$K$4:$AJ$4,0))))+SUMPRODUCT((Inputs!$C$5:$C$120=$B21)*ISNUMBER(INDEX(Inputs!$K$5:$AJ$120,0,MATCH(G$2,Inputs!$K$4:$AJ$4,0))))+SUMPRODUCT((Inputs!$E$5:$E$120=$B21)*ISNUMBER(INDEX(Inputs!$K$5:$AJ$120,0,MATCH(G$2,Inputs!$K$4:$AJ$4,0))))=0,NA(),SUMPRODUCT((Inputs!$A$5:$A$120=$B21)*Inputs!$B$5:$B$120*(((Inputs!$G$5:$G$120="moeda")+(Inputs!$G$5:$G$120="acoes"))*Inputs!$B$1+((Inputs!$G$5:$G$120&lt;&gt;"moeda")*(Inputs!$G$5:$G$120&lt;&gt;"acoes")))*INDEX(Inputs!$K$5:$AJ$120,0,MATCH(G$2,Inputs!$K$4:$AJ$4,0)))+SUMPRODUCT((Inputs!$C$5:$C$120=$B21)*Inputs!$D$5:$D$120*(((Inputs!$G$5:$G$120="moeda")+(Inputs!$G$5:$G$120="acoes"))*Inputs!$B$1+((Inputs!$G$5:$G$120&lt;&gt;"moeda")*(Inputs!$G$5:$G$120&lt;&gt;"acoes")))*INDEX(Inputs!$K$5:$AJ$120,0,MATCH(G$2,Inputs!$K$4:$AJ$4,0)))+SUMPRODUCT((Inputs!$E$5:$E$120=$B21)*Inputs!$F$5:$F$120*(((Inputs!$G$5:$G$120="moeda")+(Inputs!$G$5:$G$120="acoes"))*Inputs!$B$1+((Inputs!$G$5:$G$120&lt;&gt;"moeda")*(Inputs!$G$5:$G$120&lt;&gt;"acoes")))*INDEX(Inputs!$K$5:$AJ$120,0,MATCH(G$2,Inputs!$K$4:$AJ$4,0)))))</f>
        <v>0</v>
      </c>
      <c r="H21" s="3">
        <f>G21</f>
        <v>0</v>
      </c>
      <c r="I21" s="6">
        <f>IF(ISNA(MATCH(I$2,Inputs!$K$4:$AJ$4,0)),NA(),IF(SUMPRODUCT((Inputs!$A$5:$A$120=$B21)*ISNUMBER(INDEX(Inputs!$K$5:$AJ$120,0,MATCH(I$2,Inputs!$K$4:$AJ$4,0))))+SUMPRODUCT((Inputs!$C$5:$C$120=$B21)*ISNUMBER(INDEX(Inputs!$K$5:$AJ$120,0,MATCH(I$2,Inputs!$K$4:$AJ$4,0))))+SUMPRODUCT((Inputs!$E$5:$E$120=$B21)*ISNUMBER(INDEX(Inputs!$K$5:$AJ$120,0,MATCH(I$2,Inputs!$K$4:$AJ$4,0))))=0,NA(),SUMPRODUCT((Inputs!$A$5:$A$120=$B21)*Inputs!$B$5:$B$120*(((Inputs!$G$5:$G$120="moeda")+(Inputs!$G$5:$G$120="acoes"))*Inputs!$B$1+((Inputs!$G$5:$G$120&lt;&gt;"moeda")*(Inputs!$G$5:$G$120&lt;&gt;"acoes")))*INDEX(Inputs!$K$5:$AJ$120,0,MATCH(I$2,Inputs!$K$4:$AJ$4,0)))+SUMPRODUCT((Inputs!$C$5:$C$120=$B21)*Inputs!$D$5:$D$120*(((Inputs!$G$5:$G$120="moeda")+(Inputs!$G$5:$G$120="acoes"))*Inputs!$B$1+((Inputs!$G$5:$G$120&lt;&gt;"moeda")*(Inputs!$G$5:$G$120&lt;&gt;"acoes")))*INDEX(Inputs!$K$5:$AJ$120,0,MATCH(I$2,Inputs!$K$4:$AJ$4,0)))+SUMPRODUCT((Inputs!$E$5:$E$120=$B21)*Inputs!$F$5:$F$120*(((Inputs!$G$5:$G$120="moeda")+(Inputs!$G$5:$G$120="acoes"))*Inputs!$B$1+((Inputs!$G$5:$G$120&lt;&gt;"moeda")*(Inputs!$G$5:$G$120&lt;&gt;"acoes")))*INDEX(Inputs!$K$5:$AJ$120,0,MATCH(I$2,Inputs!$K$4:$AJ$4,0)))))</f>
        <v>0</v>
      </c>
      <c r="J21" s="6">
        <f>IF(ISNA(MATCH(J$2,Inputs!$K$4:$AJ$4,0)),NA(),IF(SUMPRODUCT((Inputs!$A$5:$A$120=$B21)*ISNUMBER(INDEX(Inputs!$K$5:$AJ$120,0,MATCH(J$2,Inputs!$K$4:$AJ$4,0))))+SUMPRODUCT((Inputs!$C$5:$C$120=$B21)*ISNUMBER(INDEX(Inputs!$K$5:$AJ$120,0,MATCH(J$2,Inputs!$K$4:$AJ$4,0))))+SUMPRODUCT((Inputs!$E$5:$E$120=$B21)*ISNUMBER(INDEX(Inputs!$K$5:$AJ$120,0,MATCH(J$2,Inputs!$K$4:$AJ$4,0))))=0,NA(),SUMPRODUCT((Inputs!$A$5:$A$120=$B21)*Inputs!$B$5:$B$120*(((Inputs!$G$5:$G$120="moeda")+(Inputs!$G$5:$G$120="acoes"))*Inputs!$B$1+((Inputs!$G$5:$G$120&lt;&gt;"moeda")*(Inputs!$G$5:$G$120&lt;&gt;"acoes")))*INDEX(Inputs!$K$5:$AJ$120,0,MATCH(J$2,Inputs!$K$4:$AJ$4,0)))+SUMPRODUCT((Inputs!$C$5:$C$120=$B21)*Inputs!$D$5:$D$120*(((Inputs!$G$5:$G$120="moeda")+(Inputs!$G$5:$G$120="acoes"))*Inputs!$B$1+((Inputs!$G$5:$G$120&lt;&gt;"moeda")*(Inputs!$G$5:$G$120&lt;&gt;"acoes")))*INDEX(Inputs!$K$5:$AJ$120,0,MATCH(J$2,Inputs!$K$4:$AJ$4,0)))+SUMPRODUCT((Inputs!$E$5:$E$120=$B21)*Inputs!$F$5:$F$120*(((Inputs!$G$5:$G$120="moeda")+(Inputs!$G$5:$G$120="acoes"))*Inputs!$B$1+((Inputs!$G$5:$G$120&lt;&gt;"moeda")*(Inputs!$G$5:$G$120&lt;&gt;"acoes")))*INDEX(Inputs!$K$5:$AJ$120,0,MATCH(J$2,Inputs!$K$4:$AJ$4,0)))))</f>
        <v>0</v>
      </c>
      <c r="K21" s="6">
        <f>IF(ISNA(MATCH(K$2,Inputs!$K$4:$AJ$4,0)),NA(),IF(SUMPRODUCT((Inputs!$A$5:$A$120=$B21)*ISNUMBER(INDEX(Inputs!$K$5:$AJ$120,0,MATCH(K$2,Inputs!$K$4:$AJ$4,0))))+SUMPRODUCT((Inputs!$C$5:$C$120=$B21)*ISNUMBER(INDEX(Inputs!$K$5:$AJ$120,0,MATCH(K$2,Inputs!$K$4:$AJ$4,0))))+SUMPRODUCT((Inputs!$E$5:$E$120=$B21)*ISNUMBER(INDEX(Inputs!$K$5:$AJ$120,0,MATCH(K$2,Inputs!$K$4:$AJ$4,0))))=0,NA(),SUMPRODUCT((Inputs!$A$5:$A$120=$B21)*Inputs!$B$5:$B$120*(((Inputs!$G$5:$G$120="moeda")+(Inputs!$G$5:$G$120="acoes"))*Inputs!$B$1+((Inputs!$G$5:$G$120&lt;&gt;"moeda")*(Inputs!$G$5:$G$120&lt;&gt;"acoes")))*INDEX(Inputs!$K$5:$AJ$120,0,MATCH(K$2,Inputs!$K$4:$AJ$4,0)))+SUMPRODUCT((Inputs!$C$5:$C$120=$B21)*Inputs!$D$5:$D$120*(((Inputs!$G$5:$G$120="moeda")+(Inputs!$G$5:$G$120="acoes"))*Inputs!$B$1+((Inputs!$G$5:$G$120&lt;&gt;"moeda")*(Inputs!$G$5:$G$120&lt;&gt;"acoes")))*INDEX(Inputs!$K$5:$AJ$120,0,MATCH(K$2,Inputs!$K$4:$AJ$4,0)))+SUMPRODUCT((Inputs!$E$5:$E$120=$B21)*Inputs!$F$5:$F$120*(((Inputs!$G$5:$G$120="moeda")+(Inputs!$G$5:$G$120="acoes"))*Inputs!$B$1+((Inputs!$G$5:$G$120&lt;&gt;"moeda")*(Inputs!$G$5:$G$120&lt;&gt;"acoes")))*INDEX(Inputs!$K$5:$AJ$120,0,MATCH(K$2,Inputs!$K$4:$AJ$4,0)))))</f>
        <v>0</v>
      </c>
      <c r="L21" s="6">
        <f>IF(ISNA(MATCH(L$2,Inputs!$K$4:$AJ$4,0)),NA(),IF(SUMPRODUCT((Inputs!$A$5:$A$120=$B21)*ISNUMBER(INDEX(Inputs!$K$5:$AJ$120,0,MATCH(L$2,Inputs!$K$4:$AJ$4,0))))+SUMPRODUCT((Inputs!$C$5:$C$120=$B21)*ISNUMBER(INDEX(Inputs!$K$5:$AJ$120,0,MATCH(L$2,Inputs!$K$4:$AJ$4,0))))+SUMPRODUCT((Inputs!$E$5:$E$120=$B21)*ISNUMBER(INDEX(Inputs!$K$5:$AJ$120,0,MATCH(L$2,Inputs!$K$4:$AJ$4,0))))=0,NA(),SUMPRODUCT((Inputs!$A$5:$A$120=$B21)*Inputs!$B$5:$B$120*(((Inputs!$G$5:$G$120="moeda")+(Inputs!$G$5:$G$120="acoes"))*Inputs!$B$1+((Inputs!$G$5:$G$120&lt;&gt;"moeda")*(Inputs!$G$5:$G$120&lt;&gt;"acoes")))*INDEX(Inputs!$K$5:$AJ$120,0,MATCH(L$2,Inputs!$K$4:$AJ$4,0)))+SUMPRODUCT((Inputs!$C$5:$C$120=$B21)*Inputs!$D$5:$D$120*(((Inputs!$G$5:$G$120="moeda")+(Inputs!$G$5:$G$120="acoes"))*Inputs!$B$1+((Inputs!$G$5:$G$120&lt;&gt;"moeda")*(Inputs!$G$5:$G$120&lt;&gt;"acoes")))*INDEX(Inputs!$K$5:$AJ$120,0,MATCH(L$2,Inputs!$K$4:$AJ$4,0)))+SUMPRODUCT((Inputs!$E$5:$E$120=$B21)*Inputs!$F$5:$F$120*(((Inputs!$G$5:$G$120="moeda")+(Inputs!$G$5:$G$120="acoes"))*Inputs!$B$1+((Inputs!$G$5:$G$120&lt;&gt;"moeda")*(Inputs!$G$5:$G$120&lt;&gt;"acoes")))*INDEX(Inputs!$K$5:$AJ$120,0,MATCH(L$2,Inputs!$K$4:$AJ$4,0)))))</f>
        <v>0</v>
      </c>
      <c r="M21" s="3">
        <f>L21</f>
        <v>0</v>
      </c>
      <c r="N21" s="6">
        <f>IF(ISNA(MATCH(N$2,Inputs!$K$4:$AJ$4,0)),NA(),IF(SUMPRODUCT((Inputs!$A$5:$A$120=$B21)*ISNUMBER(INDEX(Inputs!$K$5:$AJ$120,0,MATCH(N$2,Inputs!$K$4:$AJ$4,0))))+SUMPRODUCT((Inputs!$C$5:$C$120=$B21)*ISNUMBER(INDEX(Inputs!$K$5:$AJ$120,0,MATCH(N$2,Inputs!$K$4:$AJ$4,0))))+SUMPRODUCT((Inputs!$E$5:$E$120=$B21)*ISNUMBER(INDEX(Inputs!$K$5:$AJ$120,0,MATCH(N$2,Inputs!$K$4:$AJ$4,0))))=0,NA(),SUMPRODUCT((Inputs!$A$5:$A$120=$B21)*Inputs!$B$5:$B$120*(((Inputs!$G$5:$G$120="moeda")+(Inputs!$G$5:$G$120="acoes"))*Inputs!$B$1+((Inputs!$G$5:$G$120&lt;&gt;"moeda")*(Inputs!$G$5:$G$120&lt;&gt;"acoes")))*INDEX(Inputs!$K$5:$AJ$120,0,MATCH(N$2,Inputs!$K$4:$AJ$4,0)))+SUMPRODUCT((Inputs!$C$5:$C$120=$B21)*Inputs!$D$5:$D$120*(((Inputs!$G$5:$G$120="moeda")+(Inputs!$G$5:$G$120="acoes"))*Inputs!$B$1+((Inputs!$G$5:$G$120&lt;&gt;"moeda")*(Inputs!$G$5:$G$120&lt;&gt;"acoes")))*INDEX(Inputs!$K$5:$AJ$120,0,MATCH(N$2,Inputs!$K$4:$AJ$4,0)))+SUMPRODUCT((Inputs!$E$5:$E$120=$B21)*Inputs!$F$5:$F$120*(((Inputs!$G$5:$G$120="moeda")+(Inputs!$G$5:$G$120="acoes"))*Inputs!$B$1+((Inputs!$G$5:$G$120&lt;&gt;"moeda")*(Inputs!$G$5:$G$120&lt;&gt;"acoes")))*INDEX(Inputs!$K$5:$AJ$120,0,MATCH(N$2,Inputs!$K$4:$AJ$4,0)))))</f>
        <v>0</v>
      </c>
      <c r="O21" s="6">
        <f>IF(ISNA(MATCH(O$2,Inputs!$K$4:$AJ$4,0)),NA(),IF(SUMPRODUCT((Inputs!$A$5:$A$120=$B21)*ISNUMBER(INDEX(Inputs!$K$5:$AJ$120,0,MATCH(O$2,Inputs!$K$4:$AJ$4,0))))+SUMPRODUCT((Inputs!$C$5:$C$120=$B21)*ISNUMBER(INDEX(Inputs!$K$5:$AJ$120,0,MATCH(O$2,Inputs!$K$4:$AJ$4,0))))+SUMPRODUCT((Inputs!$E$5:$E$120=$B21)*ISNUMBER(INDEX(Inputs!$K$5:$AJ$120,0,MATCH(O$2,Inputs!$K$4:$AJ$4,0))))=0,NA(),SUMPRODUCT((Inputs!$A$5:$A$120=$B21)*Inputs!$B$5:$B$120*(((Inputs!$G$5:$G$120="moeda")+(Inputs!$G$5:$G$120="acoes"))*Inputs!$B$1+((Inputs!$G$5:$G$120&lt;&gt;"moeda")*(Inputs!$G$5:$G$120&lt;&gt;"acoes")))*INDEX(Inputs!$K$5:$AJ$120,0,MATCH(O$2,Inputs!$K$4:$AJ$4,0)))+SUMPRODUCT((Inputs!$C$5:$C$120=$B21)*Inputs!$D$5:$D$120*(((Inputs!$G$5:$G$120="moeda")+(Inputs!$G$5:$G$120="acoes"))*Inputs!$B$1+((Inputs!$G$5:$G$120&lt;&gt;"moeda")*(Inputs!$G$5:$G$120&lt;&gt;"acoes")))*INDEX(Inputs!$K$5:$AJ$120,0,MATCH(O$2,Inputs!$K$4:$AJ$4,0)))+SUMPRODUCT((Inputs!$E$5:$E$120=$B21)*Inputs!$F$5:$F$120*(((Inputs!$G$5:$G$120="moeda")+(Inputs!$G$5:$G$120="acoes"))*Inputs!$B$1+((Inputs!$G$5:$G$120&lt;&gt;"moeda")*(Inputs!$G$5:$G$120&lt;&gt;"acoes")))*INDEX(Inputs!$K$5:$AJ$120,0,MATCH(O$2,Inputs!$K$4:$AJ$4,0)))))</f>
        <v>0</v>
      </c>
      <c r="P21" s="6">
        <f>IF(ISNA(MATCH(P$2,Inputs!$K$4:$AJ$4,0)),NA(),IF(SUMPRODUCT((Inputs!$A$5:$A$120=$B21)*ISNUMBER(INDEX(Inputs!$K$5:$AJ$120,0,MATCH(P$2,Inputs!$K$4:$AJ$4,0))))+SUMPRODUCT((Inputs!$C$5:$C$120=$B21)*ISNUMBER(INDEX(Inputs!$K$5:$AJ$120,0,MATCH(P$2,Inputs!$K$4:$AJ$4,0))))+SUMPRODUCT((Inputs!$E$5:$E$120=$B21)*ISNUMBER(INDEX(Inputs!$K$5:$AJ$120,0,MATCH(P$2,Inputs!$K$4:$AJ$4,0))))=0,NA(),SUMPRODUCT((Inputs!$A$5:$A$120=$B21)*Inputs!$B$5:$B$120*(((Inputs!$G$5:$G$120="moeda")+(Inputs!$G$5:$G$120="acoes"))*Inputs!$B$1+((Inputs!$G$5:$G$120&lt;&gt;"moeda")*(Inputs!$G$5:$G$120&lt;&gt;"acoes")))*INDEX(Inputs!$K$5:$AJ$120,0,MATCH(P$2,Inputs!$K$4:$AJ$4,0)))+SUMPRODUCT((Inputs!$C$5:$C$120=$B21)*Inputs!$D$5:$D$120*(((Inputs!$G$5:$G$120="moeda")+(Inputs!$G$5:$G$120="acoes"))*Inputs!$B$1+((Inputs!$G$5:$G$120&lt;&gt;"moeda")*(Inputs!$G$5:$G$120&lt;&gt;"acoes")))*INDEX(Inputs!$K$5:$AJ$120,0,MATCH(P$2,Inputs!$K$4:$AJ$4,0)))+SUMPRODUCT((Inputs!$E$5:$E$120=$B21)*Inputs!$F$5:$F$120*(((Inputs!$G$5:$G$120="moeda")+(Inputs!$G$5:$G$120="acoes"))*Inputs!$B$1+((Inputs!$G$5:$G$120&lt;&gt;"moeda")*(Inputs!$G$5:$G$120&lt;&gt;"acoes")))*INDEX(Inputs!$K$5:$AJ$120,0,MATCH(P$2,Inputs!$K$4:$AJ$4,0)))))</f>
        <v>0</v>
      </c>
      <c r="Q21" s="6">
        <f>IF(ISNA(MATCH(Q$2,Inputs!$K$4:$AJ$4,0)),NA(),IF(SUMPRODUCT((Inputs!$A$5:$A$120=$B21)*ISNUMBER(INDEX(Inputs!$K$5:$AJ$120,0,MATCH(Q$2,Inputs!$K$4:$AJ$4,0))))+SUMPRODUCT((Inputs!$C$5:$C$120=$B21)*ISNUMBER(INDEX(Inputs!$K$5:$AJ$120,0,MATCH(Q$2,Inputs!$K$4:$AJ$4,0))))+SUMPRODUCT((Inputs!$E$5:$E$120=$B21)*ISNUMBER(INDEX(Inputs!$K$5:$AJ$120,0,MATCH(Q$2,Inputs!$K$4:$AJ$4,0))))=0,NA(),SUMPRODUCT((Inputs!$A$5:$A$120=$B21)*Inputs!$B$5:$B$120*(((Inputs!$G$5:$G$120="moeda")+(Inputs!$G$5:$G$120="acoes"))*Inputs!$B$1+((Inputs!$G$5:$G$120&lt;&gt;"moeda")*(Inputs!$G$5:$G$120&lt;&gt;"acoes")))*INDEX(Inputs!$K$5:$AJ$120,0,MATCH(Q$2,Inputs!$K$4:$AJ$4,0)))+SUMPRODUCT((Inputs!$C$5:$C$120=$B21)*Inputs!$D$5:$D$120*(((Inputs!$G$5:$G$120="moeda")+(Inputs!$G$5:$G$120="acoes"))*Inputs!$B$1+((Inputs!$G$5:$G$120&lt;&gt;"moeda")*(Inputs!$G$5:$G$120&lt;&gt;"acoes")))*INDEX(Inputs!$K$5:$AJ$120,0,MATCH(Q$2,Inputs!$K$4:$AJ$4,0)))+SUMPRODUCT((Inputs!$E$5:$E$120=$B21)*Inputs!$F$5:$F$120*(((Inputs!$G$5:$G$120="moeda")+(Inputs!$G$5:$G$120="acoes"))*Inputs!$B$1+((Inputs!$G$5:$G$120&lt;&gt;"moeda")*(Inputs!$G$5:$G$120&lt;&gt;"acoes")))*INDEX(Inputs!$K$5:$AJ$120,0,MATCH(Q$2,Inputs!$K$4:$AJ$4,0)))))</f>
        <v>0</v>
      </c>
      <c r="R21" s="3">
        <f>Q21</f>
        <v>0</v>
      </c>
      <c r="S21" s="6">
        <f>IF(ISNA(MATCH(S$2,Inputs!$K$4:$AJ$4,0)),NA(),IF(SUMPRODUCT((Inputs!$A$5:$A$120=$B21)*ISNUMBER(INDEX(Inputs!$K$5:$AJ$120,0,MATCH(S$2,Inputs!$K$4:$AJ$4,0))))+SUMPRODUCT((Inputs!$C$5:$C$120=$B21)*ISNUMBER(INDEX(Inputs!$K$5:$AJ$120,0,MATCH(S$2,Inputs!$K$4:$AJ$4,0))))+SUMPRODUCT((Inputs!$E$5:$E$120=$B21)*ISNUMBER(INDEX(Inputs!$K$5:$AJ$120,0,MATCH(S$2,Inputs!$K$4:$AJ$4,0))))=0,NA(),SUMPRODUCT((Inputs!$A$5:$A$120=$B21)*Inputs!$B$5:$B$120*(((Inputs!$G$5:$G$120="moeda")+(Inputs!$G$5:$G$120="acoes"))*Inputs!$B$1+((Inputs!$G$5:$G$120&lt;&gt;"moeda")*(Inputs!$G$5:$G$120&lt;&gt;"acoes")))*INDEX(Inputs!$K$5:$AJ$120,0,MATCH(S$2,Inputs!$K$4:$AJ$4,0)))+SUMPRODUCT((Inputs!$C$5:$C$120=$B21)*Inputs!$D$5:$D$120*(((Inputs!$G$5:$G$120="moeda")+(Inputs!$G$5:$G$120="acoes"))*Inputs!$B$1+((Inputs!$G$5:$G$120&lt;&gt;"moeda")*(Inputs!$G$5:$G$120&lt;&gt;"acoes")))*INDEX(Inputs!$K$5:$AJ$120,0,MATCH(S$2,Inputs!$K$4:$AJ$4,0)))+SUMPRODUCT((Inputs!$E$5:$E$120=$B21)*Inputs!$F$5:$F$120*(((Inputs!$G$5:$G$120="moeda")+(Inputs!$G$5:$G$120="acoes"))*Inputs!$B$1+((Inputs!$G$5:$G$120&lt;&gt;"moeda")*(Inputs!$G$5:$G$120&lt;&gt;"acoes")))*INDEX(Inputs!$K$5:$AJ$120,0,MATCH(S$2,Inputs!$K$4:$AJ$4,0)))))</f>
        <v>0</v>
      </c>
      <c r="T21" s="6">
        <f>IF(ISNA(MATCH(T$2,Inputs!$K$4:$AJ$4,0)),NA(),IF(SUMPRODUCT((Inputs!$A$5:$A$120=$B21)*ISNUMBER(INDEX(Inputs!$K$5:$AJ$120,0,MATCH(T$2,Inputs!$K$4:$AJ$4,0))))+SUMPRODUCT((Inputs!$C$5:$C$120=$B21)*ISNUMBER(INDEX(Inputs!$K$5:$AJ$120,0,MATCH(T$2,Inputs!$K$4:$AJ$4,0))))+SUMPRODUCT((Inputs!$E$5:$E$120=$B21)*ISNUMBER(INDEX(Inputs!$K$5:$AJ$120,0,MATCH(T$2,Inputs!$K$4:$AJ$4,0))))=0,NA(),SUMPRODUCT((Inputs!$A$5:$A$120=$B21)*Inputs!$B$5:$B$120*(((Inputs!$G$5:$G$120="moeda")+(Inputs!$G$5:$G$120="acoes"))*Inputs!$B$1+((Inputs!$G$5:$G$120&lt;&gt;"moeda")*(Inputs!$G$5:$G$120&lt;&gt;"acoes")))*INDEX(Inputs!$K$5:$AJ$120,0,MATCH(T$2,Inputs!$K$4:$AJ$4,0)))+SUMPRODUCT((Inputs!$C$5:$C$120=$B21)*Inputs!$D$5:$D$120*(((Inputs!$G$5:$G$120="moeda")+(Inputs!$G$5:$G$120="acoes"))*Inputs!$B$1+((Inputs!$G$5:$G$120&lt;&gt;"moeda")*(Inputs!$G$5:$G$120&lt;&gt;"acoes")))*INDEX(Inputs!$K$5:$AJ$120,0,MATCH(T$2,Inputs!$K$4:$AJ$4,0)))+SUMPRODUCT((Inputs!$E$5:$E$120=$B21)*Inputs!$F$5:$F$120*(((Inputs!$G$5:$G$120="moeda")+(Inputs!$G$5:$G$120="acoes"))*Inputs!$B$1+((Inputs!$G$5:$G$120&lt;&gt;"moeda")*(Inputs!$G$5:$G$120&lt;&gt;"acoes")))*INDEX(Inputs!$K$5:$AJ$120,0,MATCH(T$2,Inputs!$K$4:$AJ$4,0)))))</f>
        <v>0</v>
      </c>
      <c r="U21" s="6">
        <f>IF(ISNA(MATCH(U$2,Inputs!$K$4:$AJ$4,0)),NA(),IF(SUMPRODUCT((Inputs!$A$5:$A$120=$B21)*ISNUMBER(INDEX(Inputs!$K$5:$AJ$120,0,MATCH(U$2,Inputs!$K$4:$AJ$4,0))))+SUMPRODUCT((Inputs!$C$5:$C$120=$B21)*ISNUMBER(INDEX(Inputs!$K$5:$AJ$120,0,MATCH(U$2,Inputs!$K$4:$AJ$4,0))))+SUMPRODUCT((Inputs!$E$5:$E$120=$B21)*ISNUMBER(INDEX(Inputs!$K$5:$AJ$120,0,MATCH(U$2,Inputs!$K$4:$AJ$4,0))))=0,NA(),SUMPRODUCT((Inputs!$A$5:$A$120=$B21)*Inputs!$B$5:$B$120*(((Inputs!$G$5:$G$120="moeda")+(Inputs!$G$5:$G$120="acoes"))*Inputs!$B$1+((Inputs!$G$5:$G$120&lt;&gt;"moeda")*(Inputs!$G$5:$G$120&lt;&gt;"acoes")))*INDEX(Inputs!$K$5:$AJ$120,0,MATCH(U$2,Inputs!$K$4:$AJ$4,0)))+SUMPRODUCT((Inputs!$C$5:$C$120=$B21)*Inputs!$D$5:$D$120*(((Inputs!$G$5:$G$120="moeda")+(Inputs!$G$5:$G$120="acoes"))*Inputs!$B$1+((Inputs!$G$5:$G$120&lt;&gt;"moeda")*(Inputs!$G$5:$G$120&lt;&gt;"acoes")))*INDEX(Inputs!$K$5:$AJ$120,0,MATCH(U$2,Inputs!$K$4:$AJ$4,0)))+SUMPRODUCT((Inputs!$E$5:$E$120=$B21)*Inputs!$F$5:$F$120*(((Inputs!$G$5:$G$120="moeda")+(Inputs!$G$5:$G$120="acoes"))*Inputs!$B$1+((Inputs!$G$5:$G$120&lt;&gt;"moeda")*(Inputs!$G$5:$G$120&lt;&gt;"acoes")))*INDEX(Inputs!$K$5:$AJ$120,0,MATCH(U$2,Inputs!$K$4:$AJ$4,0)))))</f>
        <v>0</v>
      </c>
      <c r="V21" s="6">
        <f>IF(ISNA(MATCH(V$2,Inputs!$K$4:$AJ$4,0)),NA(),IF(SUMPRODUCT((Inputs!$A$5:$A$120=$B21)*ISNUMBER(INDEX(Inputs!$K$5:$AJ$120,0,MATCH(V$2,Inputs!$K$4:$AJ$4,0))))+SUMPRODUCT((Inputs!$C$5:$C$120=$B21)*ISNUMBER(INDEX(Inputs!$K$5:$AJ$120,0,MATCH(V$2,Inputs!$K$4:$AJ$4,0))))+SUMPRODUCT((Inputs!$E$5:$E$120=$B21)*ISNUMBER(INDEX(Inputs!$K$5:$AJ$120,0,MATCH(V$2,Inputs!$K$4:$AJ$4,0))))=0,NA(),SUMPRODUCT((Inputs!$A$5:$A$120=$B21)*Inputs!$B$5:$B$120*(((Inputs!$G$5:$G$120="moeda")+(Inputs!$G$5:$G$120="acoes"))*Inputs!$B$1+((Inputs!$G$5:$G$120&lt;&gt;"moeda")*(Inputs!$G$5:$G$120&lt;&gt;"acoes")))*INDEX(Inputs!$K$5:$AJ$120,0,MATCH(V$2,Inputs!$K$4:$AJ$4,0)))+SUMPRODUCT((Inputs!$C$5:$C$120=$B21)*Inputs!$D$5:$D$120*(((Inputs!$G$5:$G$120="moeda")+(Inputs!$G$5:$G$120="acoes"))*Inputs!$B$1+((Inputs!$G$5:$G$120&lt;&gt;"moeda")*(Inputs!$G$5:$G$120&lt;&gt;"acoes")))*INDEX(Inputs!$K$5:$AJ$120,0,MATCH(V$2,Inputs!$K$4:$AJ$4,0)))+SUMPRODUCT((Inputs!$E$5:$E$120=$B21)*Inputs!$F$5:$F$120*(((Inputs!$G$5:$G$120="moeda")+(Inputs!$G$5:$G$120="acoes"))*Inputs!$B$1+((Inputs!$G$5:$G$120&lt;&gt;"moeda")*(Inputs!$G$5:$G$120&lt;&gt;"acoes")))*INDEX(Inputs!$K$5:$AJ$120,0,MATCH(V$2,Inputs!$K$4:$AJ$4,0)))))</f>
        <v>0</v>
      </c>
      <c r="W21" s="3">
        <f>V21</f>
        <v>0</v>
      </c>
      <c r="X21" s="6">
        <f>IF(ISNA(MATCH(X$2,Inputs!$K$4:$AJ$4,0)),NA(),IF(SUMPRODUCT((Inputs!$A$5:$A$120=$B21)*ISNUMBER(INDEX(Inputs!$K$5:$AJ$120,0,MATCH(X$2,Inputs!$K$4:$AJ$4,0))))+SUMPRODUCT((Inputs!$C$5:$C$120=$B21)*ISNUMBER(INDEX(Inputs!$K$5:$AJ$120,0,MATCH(X$2,Inputs!$K$4:$AJ$4,0))))+SUMPRODUCT((Inputs!$E$5:$E$120=$B21)*ISNUMBER(INDEX(Inputs!$K$5:$AJ$120,0,MATCH(X$2,Inputs!$K$4:$AJ$4,0))))=0,NA(),SUMPRODUCT((Inputs!$A$5:$A$120=$B21)*Inputs!$B$5:$B$120*(((Inputs!$G$5:$G$120="moeda")+(Inputs!$G$5:$G$120="acoes"))*Inputs!$B$1+((Inputs!$G$5:$G$120&lt;&gt;"moeda")*(Inputs!$G$5:$G$120&lt;&gt;"acoes")))*INDEX(Inputs!$K$5:$AJ$120,0,MATCH(X$2,Inputs!$K$4:$AJ$4,0)))+SUMPRODUCT((Inputs!$C$5:$C$120=$B21)*Inputs!$D$5:$D$120*(((Inputs!$G$5:$G$120="moeda")+(Inputs!$G$5:$G$120="acoes"))*Inputs!$B$1+((Inputs!$G$5:$G$120&lt;&gt;"moeda")*(Inputs!$G$5:$G$120&lt;&gt;"acoes")))*INDEX(Inputs!$K$5:$AJ$120,0,MATCH(X$2,Inputs!$K$4:$AJ$4,0)))+SUMPRODUCT((Inputs!$E$5:$E$120=$B21)*Inputs!$F$5:$F$120*(((Inputs!$G$5:$G$120="moeda")+(Inputs!$G$5:$G$120="acoes"))*Inputs!$B$1+((Inputs!$G$5:$G$120&lt;&gt;"moeda")*(Inputs!$G$5:$G$120&lt;&gt;"acoes")))*INDEX(Inputs!$K$5:$AJ$120,0,MATCH(X$2,Inputs!$K$4:$AJ$4,0)))))</f>
        <v>0</v>
      </c>
      <c r="Y21" s="6">
        <f>IF(ISNA(MATCH(Y$2,Inputs!$K$4:$AJ$4,0)),NA(),IF(SUMPRODUCT((Inputs!$A$5:$A$120=$B21)*ISNUMBER(INDEX(Inputs!$K$5:$AJ$120,0,MATCH(Y$2,Inputs!$K$4:$AJ$4,0))))+SUMPRODUCT((Inputs!$C$5:$C$120=$B21)*ISNUMBER(INDEX(Inputs!$K$5:$AJ$120,0,MATCH(Y$2,Inputs!$K$4:$AJ$4,0))))+SUMPRODUCT((Inputs!$E$5:$E$120=$B21)*ISNUMBER(INDEX(Inputs!$K$5:$AJ$120,0,MATCH(Y$2,Inputs!$K$4:$AJ$4,0))))=0,NA(),SUMPRODUCT((Inputs!$A$5:$A$120=$B21)*Inputs!$B$5:$B$120*(((Inputs!$G$5:$G$120="moeda")+(Inputs!$G$5:$G$120="acoes"))*Inputs!$B$1+((Inputs!$G$5:$G$120&lt;&gt;"moeda")*(Inputs!$G$5:$G$120&lt;&gt;"acoes")))*INDEX(Inputs!$K$5:$AJ$120,0,MATCH(Y$2,Inputs!$K$4:$AJ$4,0)))+SUMPRODUCT((Inputs!$C$5:$C$120=$B21)*Inputs!$D$5:$D$120*(((Inputs!$G$5:$G$120="moeda")+(Inputs!$G$5:$G$120="acoes"))*Inputs!$B$1+((Inputs!$G$5:$G$120&lt;&gt;"moeda")*(Inputs!$G$5:$G$120&lt;&gt;"acoes")))*INDEX(Inputs!$K$5:$AJ$120,0,MATCH(Y$2,Inputs!$K$4:$AJ$4,0)))+SUMPRODUCT((Inputs!$E$5:$E$120=$B21)*Inputs!$F$5:$F$120*(((Inputs!$G$5:$G$120="moeda")+(Inputs!$G$5:$G$120="acoes"))*Inputs!$B$1+((Inputs!$G$5:$G$120&lt;&gt;"moeda")*(Inputs!$G$5:$G$120&lt;&gt;"acoes")))*INDEX(Inputs!$K$5:$AJ$120,0,MATCH(Y$2,Inputs!$K$4:$AJ$4,0)))))</f>
        <v>0</v>
      </c>
      <c r="Z21" s="6">
        <f>IF(ISNA(MATCH(Z$2,Inputs!$K$4:$AJ$4,0)),NA(),IF(SUMPRODUCT((Inputs!$A$5:$A$120=$B21)*ISNUMBER(INDEX(Inputs!$K$5:$AJ$120,0,MATCH(Z$2,Inputs!$K$4:$AJ$4,0))))+SUMPRODUCT((Inputs!$C$5:$C$120=$B21)*ISNUMBER(INDEX(Inputs!$K$5:$AJ$120,0,MATCH(Z$2,Inputs!$K$4:$AJ$4,0))))+SUMPRODUCT((Inputs!$E$5:$E$120=$B21)*ISNUMBER(INDEX(Inputs!$K$5:$AJ$120,0,MATCH(Z$2,Inputs!$K$4:$AJ$4,0))))=0,NA(),SUMPRODUCT((Inputs!$A$5:$A$120=$B21)*Inputs!$B$5:$B$120*(((Inputs!$G$5:$G$120="moeda")+(Inputs!$G$5:$G$120="acoes"))*Inputs!$B$1+((Inputs!$G$5:$G$120&lt;&gt;"moeda")*(Inputs!$G$5:$G$120&lt;&gt;"acoes")))*INDEX(Inputs!$K$5:$AJ$120,0,MATCH(Z$2,Inputs!$K$4:$AJ$4,0)))+SUMPRODUCT((Inputs!$C$5:$C$120=$B21)*Inputs!$D$5:$D$120*(((Inputs!$G$5:$G$120="moeda")+(Inputs!$G$5:$G$120="acoes"))*Inputs!$B$1+((Inputs!$G$5:$G$120&lt;&gt;"moeda")*(Inputs!$G$5:$G$120&lt;&gt;"acoes")))*INDEX(Inputs!$K$5:$AJ$120,0,MATCH(Z$2,Inputs!$K$4:$AJ$4,0)))+SUMPRODUCT((Inputs!$E$5:$E$120=$B21)*Inputs!$F$5:$F$120*(((Inputs!$G$5:$G$120="moeda")+(Inputs!$G$5:$G$120="acoes"))*Inputs!$B$1+((Inputs!$G$5:$G$120&lt;&gt;"moeda")*(Inputs!$G$5:$G$120&lt;&gt;"acoes")))*INDEX(Inputs!$K$5:$AJ$120,0,MATCH(Z$2,Inputs!$K$4:$AJ$4,0)))))</f>
        <v>0</v>
      </c>
      <c r="AA21" s="6">
        <f>IF(ISNA(MATCH(AA$2,Inputs!$K$4:$AJ$4,0)),NA(),IF(SUMPRODUCT((Inputs!$A$5:$A$120=$B21)*ISNUMBER(INDEX(Inputs!$K$5:$AJ$120,0,MATCH(AA$2,Inputs!$K$4:$AJ$4,0))))+SUMPRODUCT((Inputs!$C$5:$C$120=$B21)*ISNUMBER(INDEX(Inputs!$K$5:$AJ$120,0,MATCH(AA$2,Inputs!$K$4:$AJ$4,0))))+SUMPRODUCT((Inputs!$E$5:$E$120=$B21)*ISNUMBER(INDEX(Inputs!$K$5:$AJ$120,0,MATCH(AA$2,Inputs!$K$4:$AJ$4,0))))=0,NA(),SUMPRODUCT((Inputs!$A$5:$A$120=$B21)*Inputs!$B$5:$B$120*(((Inputs!$G$5:$G$120="moeda")+(Inputs!$G$5:$G$120="acoes"))*Inputs!$B$1+((Inputs!$G$5:$G$120&lt;&gt;"moeda")*(Inputs!$G$5:$G$120&lt;&gt;"acoes")))*INDEX(Inputs!$K$5:$AJ$120,0,MATCH(AA$2,Inputs!$K$4:$AJ$4,0)))+SUMPRODUCT((Inputs!$C$5:$C$120=$B21)*Inputs!$D$5:$D$120*(((Inputs!$G$5:$G$120="moeda")+(Inputs!$G$5:$G$120="acoes"))*Inputs!$B$1+((Inputs!$G$5:$G$120&lt;&gt;"moeda")*(Inputs!$G$5:$G$120&lt;&gt;"acoes")))*INDEX(Inputs!$K$5:$AJ$120,0,MATCH(AA$2,Inputs!$K$4:$AJ$4,0)))+SUMPRODUCT((Inputs!$E$5:$E$120=$B21)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1" s="3">
        <f>AA21</f>
        <v>0</v>
      </c>
      <c r="AC21" s="6">
        <f>IF(ISNA(MATCH(AC$2,Inputs!$K$4:$AJ$4,0)),NA(),IF(SUMPRODUCT((Inputs!$A$5:$A$120=$B21)*ISNUMBER(INDEX(Inputs!$K$5:$AJ$120,0,MATCH(AC$2,Inputs!$K$4:$AJ$4,0))))+SUMPRODUCT((Inputs!$C$5:$C$120=$B21)*ISNUMBER(INDEX(Inputs!$K$5:$AJ$120,0,MATCH(AC$2,Inputs!$K$4:$AJ$4,0))))+SUMPRODUCT((Inputs!$E$5:$E$120=$B21)*ISNUMBER(INDEX(Inputs!$K$5:$AJ$120,0,MATCH(AC$2,Inputs!$K$4:$AJ$4,0))))=0,NA(),SUMPRODUCT((Inputs!$A$5:$A$120=$B21)*Inputs!$B$5:$B$120*(((Inputs!$G$5:$G$120="moeda")+(Inputs!$G$5:$G$120="acoes"))*Inputs!$B$1+((Inputs!$G$5:$G$120&lt;&gt;"moeda")*(Inputs!$G$5:$G$120&lt;&gt;"acoes")))*INDEX(Inputs!$K$5:$AJ$120,0,MATCH(AC$2,Inputs!$K$4:$AJ$4,0)))+SUMPRODUCT((Inputs!$C$5:$C$120=$B21)*Inputs!$D$5:$D$120*(((Inputs!$G$5:$G$120="moeda")+(Inputs!$G$5:$G$120="acoes"))*Inputs!$B$1+((Inputs!$G$5:$G$120&lt;&gt;"moeda")*(Inputs!$G$5:$G$120&lt;&gt;"acoes")))*INDEX(Inputs!$K$5:$AJ$120,0,MATCH(AC$2,Inputs!$K$4:$AJ$4,0)))+SUMPRODUCT((Inputs!$E$5:$E$120=$B21)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1" s="6">
        <f>IF(ISNA(MATCH(AD$2,Inputs!$K$4:$AJ$4,0)),NA(),IF(SUMPRODUCT((Inputs!$A$5:$A$120=$B21)*ISNUMBER(INDEX(Inputs!$K$5:$AJ$120,0,MATCH(AD$2,Inputs!$K$4:$AJ$4,0))))+SUMPRODUCT((Inputs!$C$5:$C$120=$B21)*ISNUMBER(INDEX(Inputs!$K$5:$AJ$120,0,MATCH(AD$2,Inputs!$K$4:$AJ$4,0))))+SUMPRODUCT((Inputs!$E$5:$E$120=$B21)*ISNUMBER(INDEX(Inputs!$K$5:$AJ$120,0,MATCH(AD$2,Inputs!$K$4:$AJ$4,0))))=0,NA(),SUMPRODUCT((Inputs!$A$5:$A$120=$B21)*Inputs!$B$5:$B$120*(((Inputs!$G$5:$G$120="moeda")+(Inputs!$G$5:$G$120="acoes"))*Inputs!$B$1+((Inputs!$G$5:$G$120&lt;&gt;"moeda")*(Inputs!$G$5:$G$120&lt;&gt;"acoes")))*INDEX(Inputs!$K$5:$AJ$120,0,MATCH(AD$2,Inputs!$K$4:$AJ$4,0)))+SUMPRODUCT((Inputs!$C$5:$C$120=$B21)*Inputs!$D$5:$D$120*(((Inputs!$G$5:$G$120="moeda")+(Inputs!$G$5:$G$120="acoes"))*Inputs!$B$1+((Inputs!$G$5:$G$120&lt;&gt;"moeda")*(Inputs!$G$5:$G$120&lt;&gt;"acoes")))*INDEX(Inputs!$K$5:$AJ$120,0,MATCH(AD$2,Inputs!$K$4:$AJ$4,0)))+SUMPRODUCT((Inputs!$E$5:$E$120=$B21)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1" s="6" t="e">
        <f>IF(ISNA(MATCH(AE$2,Inputs!$K$4:$AJ$4,0)),NA(),IF(SUMPRODUCT((Inputs!$A$5:$A$120=$B21)*ISNUMBER(INDEX(Inputs!$K$5:$AJ$120,0,MATCH(AE$2,Inputs!$K$4:$AJ$4,0))))+SUMPRODUCT((Inputs!$C$5:$C$120=$B21)*ISNUMBER(INDEX(Inputs!$K$5:$AJ$120,0,MATCH(AE$2,Inputs!$K$4:$AJ$4,0))))+SUMPRODUCT((Inputs!$E$5:$E$120=$B21)*ISNUMBER(INDEX(Inputs!$K$5:$AJ$120,0,MATCH(AE$2,Inputs!$K$4:$AJ$4,0))))=0,NA(),SUMPRODUCT((Inputs!$A$5:$A$120=$B21)*Inputs!$B$5:$B$120*(((Inputs!$G$5:$G$120="moeda")+(Inputs!$G$5:$G$120="acoes"))*Inputs!$B$1+((Inputs!$G$5:$G$120&lt;&gt;"moeda")*(Inputs!$G$5:$G$120&lt;&gt;"acoes")))*INDEX(Inputs!$K$5:$AJ$120,0,MATCH(AE$2,Inputs!$K$4:$AJ$4,0)))+SUMPRODUCT((Inputs!$C$5:$C$120=$B21)*Inputs!$D$5:$D$120*(((Inputs!$G$5:$G$120="moeda")+(Inputs!$G$5:$G$120="acoes"))*Inputs!$B$1+((Inputs!$G$5:$G$120&lt;&gt;"moeda")*(Inputs!$G$5:$G$120&lt;&gt;"acoes")))*INDEX(Inputs!$K$5:$AJ$120,0,MATCH(AE$2,Inputs!$K$4:$AJ$4,0)))+SUMPRODUCT((Inputs!$E$5:$E$120=$B21)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1" s="6" t="e">
        <f>IF(ISNA(MATCH(AF$2,Inputs!$K$4:$AJ$4,0)),NA(),IF(SUMPRODUCT((Inputs!$A$5:$A$120=$B21)*ISNUMBER(INDEX(Inputs!$K$5:$AJ$120,0,MATCH(AF$2,Inputs!$K$4:$AJ$4,0))))+SUMPRODUCT((Inputs!$C$5:$C$120=$B21)*ISNUMBER(INDEX(Inputs!$K$5:$AJ$120,0,MATCH(AF$2,Inputs!$K$4:$AJ$4,0))))+SUMPRODUCT((Inputs!$E$5:$E$120=$B21)*ISNUMBER(INDEX(Inputs!$K$5:$AJ$120,0,MATCH(AF$2,Inputs!$K$4:$AJ$4,0))))=0,NA(),SUMPRODUCT((Inputs!$A$5:$A$120=$B21)*Inputs!$B$5:$B$120*(((Inputs!$G$5:$G$120="moeda")+(Inputs!$G$5:$G$120="acoes"))*Inputs!$B$1+((Inputs!$G$5:$G$120&lt;&gt;"moeda")*(Inputs!$G$5:$G$120&lt;&gt;"acoes")))*INDEX(Inputs!$K$5:$AJ$120,0,MATCH(AF$2,Inputs!$K$4:$AJ$4,0)))+SUMPRODUCT((Inputs!$C$5:$C$120=$B21)*Inputs!$D$5:$D$120*(((Inputs!$G$5:$G$120="moeda")+(Inputs!$G$5:$G$120="acoes"))*Inputs!$B$1+((Inputs!$G$5:$G$120&lt;&gt;"moeda")*(Inputs!$G$5:$G$120&lt;&gt;"acoes")))*INDEX(Inputs!$K$5:$AJ$120,0,MATCH(AF$2,Inputs!$K$4:$AJ$4,0)))+SUMPRODUCT((Inputs!$E$5:$E$120=$B21)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1" s="3" t="e">
        <f>AF21</f>
        <v>#N/A</v>
      </c>
      <c r="AH21" s="6">
        <f>IF(ISNA(MATCH(AH$2,Inputs!$K$4:$AJ$4,0)),NA(),IF(SUMPRODUCT((Inputs!$A$5:$A$120=$B21)*ISNUMBER(INDEX(Inputs!$K$5:$AJ$120,0,MATCH(AH$2,Inputs!$K$4:$AJ$4,0))))+SUMPRODUCT((Inputs!$C$5:$C$120=$B21)*ISNUMBER(INDEX(Inputs!$K$5:$AJ$120,0,MATCH(AH$2,Inputs!$K$4:$AJ$4,0))))+SUMPRODUCT((Inputs!$E$5:$E$120=$B21)*ISNUMBER(INDEX(Inputs!$K$5:$AJ$120,0,MATCH(AH$2,Inputs!$K$4:$AJ$4,0))))=0,NA(),SUMPRODUCT((Inputs!$A$5:$A$120=$B21)*Inputs!$B$5:$B$120*(((Inputs!$G$5:$G$120="moeda")+(Inputs!$G$5:$G$120="acoes"))*Inputs!$B$1+((Inputs!$G$5:$G$120&lt;&gt;"moeda")*(Inputs!$G$5:$G$120&lt;&gt;"acoes")))*INDEX(Inputs!$K$5:$AJ$120,0,MATCH(AH$2,Inputs!$K$4:$AJ$4,0)))+SUMPRODUCT((Inputs!$C$5:$C$120=$B21)*Inputs!$D$5:$D$120*(((Inputs!$G$5:$G$120="moeda")+(Inputs!$G$5:$G$120="acoes"))*Inputs!$B$1+((Inputs!$G$5:$G$120&lt;&gt;"moeda")*(Inputs!$G$5:$G$120&lt;&gt;"acoes")))*INDEX(Inputs!$K$5:$AJ$120,0,MATCH(AH$2,Inputs!$K$4:$AJ$4,0)))+SUMPRODUCT((Inputs!$E$5:$E$120=$B21)*Inputs!$F$5:$F$120*(((Inputs!$G$5:$G$120="moeda")+(Inputs!$G$5:$G$120="acoes"))*Inputs!$B$1+((Inputs!$G$5:$G$120&lt;&gt;"moeda")*(Inputs!$G$5:$G$120&lt;&gt;"acoes")))*INDEX(Inputs!$K$5:$AJ$120,0,MATCH(AH$2,Inputs!$K$4:$AJ$4,0)))))</f>
        <v>0</v>
      </c>
      <c r="AI21" s="6">
        <f>IF(ISNA(MATCH(AI$2,Inputs!$K$4:$AJ$4,0)),NA(),IF(SUMPRODUCT((Inputs!$A$5:$A$120=$B21)*ISNUMBER(INDEX(Inputs!$K$5:$AJ$120,0,MATCH(AI$2,Inputs!$K$4:$AJ$4,0))))+SUMPRODUCT((Inputs!$C$5:$C$120=$B21)*ISNUMBER(INDEX(Inputs!$K$5:$AJ$120,0,MATCH(AI$2,Inputs!$K$4:$AJ$4,0))))+SUMPRODUCT((Inputs!$E$5:$E$120=$B21)*ISNUMBER(INDEX(Inputs!$K$5:$AJ$120,0,MATCH(AI$2,Inputs!$K$4:$AJ$4,0))))=0,NA(),SUMPRODUCT((Inputs!$A$5:$A$120=$B21)*Inputs!$B$5:$B$120*(((Inputs!$G$5:$G$120="moeda")+(Inputs!$G$5:$G$120="acoes"))*Inputs!$B$1+((Inputs!$G$5:$G$120&lt;&gt;"moeda")*(Inputs!$G$5:$G$120&lt;&gt;"acoes")))*INDEX(Inputs!$K$5:$AJ$120,0,MATCH(AI$2,Inputs!$K$4:$AJ$4,0)))+SUMPRODUCT((Inputs!$C$5:$C$120=$B21)*Inputs!$D$5:$D$120*(((Inputs!$G$5:$G$120="moeda")+(Inputs!$G$5:$G$120="acoes"))*Inputs!$B$1+((Inputs!$G$5:$G$120&lt;&gt;"moeda")*(Inputs!$G$5:$G$120&lt;&gt;"acoes")))*INDEX(Inputs!$K$5:$AJ$120,0,MATCH(AI$2,Inputs!$K$4:$AJ$4,0)))+SUMPRODUCT((Inputs!$E$5:$E$120=$B21)*Inputs!$F$5:$F$120*(((Inputs!$G$5:$G$120="moeda")+(Inputs!$G$5:$G$120="acoes"))*Inputs!$B$1+((Inputs!$G$5:$G$120&lt;&gt;"moeda")*(Inputs!$G$5:$G$120&lt;&gt;"acoes")))*INDEX(Inputs!$K$5:$AJ$120,0,MATCH(AI$2,Inputs!$K$4:$AJ$4,0)))))</f>
        <v>0</v>
      </c>
      <c r="AJ21" s="6">
        <f>IF(ISNA(MATCH(AJ$2,Inputs!$K$4:$AJ$4,0)),NA(),IF(SUMPRODUCT((Inputs!$A$5:$A$120=$B21)*ISNUMBER(INDEX(Inputs!$K$5:$AJ$120,0,MATCH(AJ$2,Inputs!$K$4:$AJ$4,0))))+SUMPRODUCT((Inputs!$C$5:$C$120=$B21)*ISNUMBER(INDEX(Inputs!$K$5:$AJ$120,0,MATCH(AJ$2,Inputs!$K$4:$AJ$4,0))))+SUMPRODUCT((Inputs!$E$5:$E$120=$B21)*ISNUMBER(INDEX(Inputs!$K$5:$AJ$120,0,MATCH(AJ$2,Inputs!$K$4:$AJ$4,0))))=0,NA(),SUMPRODUCT((Inputs!$A$5:$A$120=$B21)*Inputs!$B$5:$B$120*(((Inputs!$G$5:$G$120="moeda")+(Inputs!$G$5:$G$120="acoes"))*Inputs!$B$1+((Inputs!$G$5:$G$120&lt;&gt;"moeda")*(Inputs!$G$5:$G$120&lt;&gt;"acoes")))*INDEX(Inputs!$K$5:$AJ$120,0,MATCH(AJ$2,Inputs!$K$4:$AJ$4,0)))+SUMPRODUCT((Inputs!$C$5:$C$120=$B21)*Inputs!$D$5:$D$120*(((Inputs!$G$5:$G$120="moeda")+(Inputs!$G$5:$G$120="acoes"))*Inputs!$B$1+((Inputs!$G$5:$G$120&lt;&gt;"moeda")*(Inputs!$G$5:$G$120&lt;&gt;"acoes")))*INDEX(Inputs!$K$5:$AJ$120,0,MATCH(AJ$2,Inputs!$K$4:$AJ$4,0)))+SUMPRODUCT((Inputs!$E$5:$E$120=$B21)*Inputs!$F$5:$F$120*(((Inputs!$G$5:$G$120="moeda")+(Inputs!$G$5:$G$120="acoes"))*Inputs!$B$1+((Inputs!$G$5:$G$120&lt;&gt;"moeda")*(Inputs!$G$5:$G$120&lt;&gt;"acoes")))*INDEX(Inputs!$K$5:$AJ$120,0,MATCH(AJ$2,Inputs!$K$4:$AJ$4,0)))))</f>
        <v>0</v>
      </c>
      <c r="AK21" s="6">
        <f>IF(ISNA(MATCH(AK$2,Inputs!$K$4:$AJ$4,0)),NA(),IF(SUMPRODUCT((Inputs!$A$5:$A$120=$B21)*ISNUMBER(INDEX(Inputs!$K$5:$AJ$120,0,MATCH(AK$2,Inputs!$K$4:$AJ$4,0))))+SUMPRODUCT((Inputs!$C$5:$C$120=$B21)*ISNUMBER(INDEX(Inputs!$K$5:$AJ$120,0,MATCH(AK$2,Inputs!$K$4:$AJ$4,0))))+SUMPRODUCT((Inputs!$E$5:$E$120=$B21)*ISNUMBER(INDEX(Inputs!$K$5:$AJ$120,0,MATCH(AK$2,Inputs!$K$4:$AJ$4,0))))=0,NA(),SUMPRODUCT((Inputs!$A$5:$A$120=$B21)*Inputs!$B$5:$B$120*(((Inputs!$G$5:$G$120="moeda")+(Inputs!$G$5:$G$120="acoes"))*Inputs!$B$1+((Inputs!$G$5:$G$120&lt;&gt;"moeda")*(Inputs!$G$5:$G$120&lt;&gt;"acoes")))*INDEX(Inputs!$K$5:$AJ$120,0,MATCH(AK$2,Inputs!$K$4:$AJ$4,0)))+SUMPRODUCT((Inputs!$C$5:$C$120=$B21)*Inputs!$D$5:$D$120*(((Inputs!$G$5:$G$120="moeda")+(Inputs!$G$5:$G$120="acoes"))*Inputs!$B$1+((Inputs!$G$5:$G$120&lt;&gt;"moeda")*(Inputs!$G$5:$G$120&lt;&gt;"acoes")))*INDEX(Inputs!$K$5:$AJ$120,0,MATCH(AK$2,Inputs!$K$4:$AJ$4,0)))+SUMPRODUCT((Inputs!$E$5:$E$120=$B21)*Inputs!$F$5:$F$120*(((Inputs!$G$5:$G$120="moeda")+(Inputs!$G$5:$G$120="acoes"))*Inputs!$B$1+((Inputs!$G$5:$G$120&lt;&gt;"moeda")*(Inputs!$G$5:$G$120&lt;&gt;"acoes")))*INDEX(Inputs!$K$5:$AJ$120,0,MATCH(AK$2,Inputs!$K$4:$AJ$4,0)))))</f>
        <v>0</v>
      </c>
      <c r="AL21" s="3">
        <f>AK21</f>
        <v>0</v>
      </c>
    </row>
    <row r="22">
      <c r="B22" s="46" t="n">
        <v>18</v>
      </c>
      <c r="C22" s="26" t="inlineStr">
        <is>
          <t>PP&amp;E</t>
        </is>
      </c>
      <c r="D22" s="6">
        <f>IF(ISNA(MATCH(D$2,Inputs!$K$4:$AJ$4,0)),NA(),IF(SUMPRODUCT((Inputs!$A$5:$A$120=$B22)*ISNUMBER(INDEX(Inputs!$K$5:$AJ$120,0,MATCH(D$2,Inputs!$K$4:$AJ$4,0))))+SUMPRODUCT((Inputs!$C$5:$C$120=$B22)*ISNUMBER(INDEX(Inputs!$K$5:$AJ$120,0,MATCH(D$2,Inputs!$K$4:$AJ$4,0))))+SUMPRODUCT((Inputs!$E$5:$E$120=$B22)*ISNUMBER(INDEX(Inputs!$K$5:$AJ$120,0,MATCH(D$2,Inputs!$K$4:$AJ$4,0))))=0,NA(),SUMPRODUCT((Inputs!$A$5:$A$120=$B22)*Inputs!$B$5:$B$120*(((Inputs!$G$5:$G$120="moeda")+(Inputs!$G$5:$G$120="acoes"))*Inputs!$B$1+((Inputs!$G$5:$G$120&lt;&gt;"moeda")*(Inputs!$G$5:$G$120&lt;&gt;"acoes")))*INDEX(Inputs!$K$5:$AJ$120,0,MATCH(D$2,Inputs!$K$4:$AJ$4,0)))+SUMPRODUCT((Inputs!$C$5:$C$120=$B22)*Inputs!$D$5:$D$120*(((Inputs!$G$5:$G$120="moeda")+(Inputs!$G$5:$G$120="acoes"))*Inputs!$B$1+((Inputs!$G$5:$G$120&lt;&gt;"moeda")*(Inputs!$G$5:$G$120&lt;&gt;"acoes")))*INDEX(Inputs!$K$5:$AJ$120,0,MATCH(D$2,Inputs!$K$4:$AJ$4,0)))+SUMPRODUCT((Inputs!$E$5:$E$120=$B22)*Inputs!$F$5:$F$120*(((Inputs!$G$5:$G$120="moeda")+(Inputs!$G$5:$G$120="acoes"))*Inputs!$B$1+((Inputs!$G$5:$G$120&lt;&gt;"moeda")*(Inputs!$G$5:$G$120&lt;&gt;"acoes")))*INDEX(Inputs!$K$5:$AJ$120,0,MATCH(D$2,Inputs!$K$4:$AJ$4,0)))))</f>
        <v>8630.1</v>
      </c>
      <c r="E22" s="6">
        <f>IF(ISNA(MATCH(E$2,Inputs!$K$4:$AJ$4,0)),NA(),IF(SUMPRODUCT((Inputs!$A$5:$A$120=$B22)*ISNUMBER(INDEX(Inputs!$K$5:$AJ$120,0,MATCH(E$2,Inputs!$K$4:$AJ$4,0))))+SUMPRODUCT((Inputs!$C$5:$C$120=$B22)*ISNUMBER(INDEX(Inputs!$K$5:$AJ$120,0,MATCH(E$2,Inputs!$K$4:$AJ$4,0))))+SUMPRODUCT((Inputs!$E$5:$E$120=$B22)*ISNUMBER(INDEX(Inputs!$K$5:$AJ$120,0,MATCH(E$2,Inputs!$K$4:$AJ$4,0))))=0,NA(),SUMPRODUCT((Inputs!$A$5:$A$120=$B22)*Inputs!$B$5:$B$120*(((Inputs!$G$5:$G$120="moeda")+(Inputs!$G$5:$G$120="acoes"))*Inputs!$B$1+((Inputs!$G$5:$G$120&lt;&gt;"moeda")*(Inputs!$G$5:$G$120&lt;&gt;"acoes")))*INDEX(Inputs!$K$5:$AJ$120,0,MATCH(E$2,Inputs!$K$4:$AJ$4,0)))+SUMPRODUCT((Inputs!$C$5:$C$120=$B22)*Inputs!$D$5:$D$120*(((Inputs!$G$5:$G$120="moeda")+(Inputs!$G$5:$G$120="acoes"))*Inputs!$B$1+((Inputs!$G$5:$G$120&lt;&gt;"moeda")*(Inputs!$G$5:$G$120&lt;&gt;"acoes")))*INDEX(Inputs!$K$5:$AJ$120,0,MATCH(E$2,Inputs!$K$4:$AJ$4,0)))+SUMPRODUCT((Inputs!$E$5:$E$120=$B22)*Inputs!$F$5:$F$120*(((Inputs!$G$5:$G$120="moeda")+(Inputs!$G$5:$G$120="acoes"))*Inputs!$B$1+((Inputs!$G$5:$G$120&lt;&gt;"moeda")*(Inputs!$G$5:$G$120&lt;&gt;"acoes")))*INDEX(Inputs!$K$5:$AJ$120,0,MATCH(E$2,Inputs!$K$4:$AJ$4,0)))))</f>
        <v>8855.5</v>
      </c>
      <c r="F22" s="6">
        <f>IF(ISNA(MATCH(F$2,Inputs!$K$4:$AJ$4,0)),NA(),IF(SUMPRODUCT((Inputs!$A$5:$A$120=$B22)*ISNUMBER(INDEX(Inputs!$K$5:$AJ$120,0,MATCH(F$2,Inputs!$K$4:$AJ$4,0))))+SUMPRODUCT((Inputs!$C$5:$C$120=$B22)*ISNUMBER(INDEX(Inputs!$K$5:$AJ$120,0,MATCH(F$2,Inputs!$K$4:$AJ$4,0))))+SUMPRODUCT((Inputs!$E$5:$E$120=$B22)*ISNUMBER(INDEX(Inputs!$K$5:$AJ$120,0,MATCH(F$2,Inputs!$K$4:$AJ$4,0))))=0,NA(),SUMPRODUCT((Inputs!$A$5:$A$120=$B22)*Inputs!$B$5:$B$120*(((Inputs!$G$5:$G$120="moeda")+(Inputs!$G$5:$G$120="acoes"))*Inputs!$B$1+((Inputs!$G$5:$G$120&lt;&gt;"moeda")*(Inputs!$G$5:$G$120&lt;&gt;"acoes")))*INDEX(Inputs!$K$5:$AJ$120,0,MATCH(F$2,Inputs!$K$4:$AJ$4,0)))+SUMPRODUCT((Inputs!$C$5:$C$120=$B22)*Inputs!$D$5:$D$120*(((Inputs!$G$5:$G$120="moeda")+(Inputs!$G$5:$G$120="acoes"))*Inputs!$B$1+((Inputs!$G$5:$G$120&lt;&gt;"moeda")*(Inputs!$G$5:$G$120&lt;&gt;"acoes")))*INDEX(Inputs!$K$5:$AJ$120,0,MATCH(F$2,Inputs!$K$4:$AJ$4,0)))+SUMPRODUCT((Inputs!$E$5:$E$120=$B22)*Inputs!$F$5:$F$120*(((Inputs!$G$5:$G$120="moeda")+(Inputs!$G$5:$G$120="acoes"))*Inputs!$B$1+((Inputs!$G$5:$G$120&lt;&gt;"moeda")*(Inputs!$G$5:$G$120&lt;&gt;"acoes")))*INDEX(Inputs!$K$5:$AJ$120,0,MATCH(F$2,Inputs!$K$4:$AJ$4,0)))))</f>
        <v>8920.4</v>
      </c>
      <c r="G22" s="6">
        <f>IF(ISNA(MATCH(G$2,Inputs!$K$4:$AJ$4,0)),NA(),IF(SUMPRODUCT((Inputs!$A$5:$A$120=$B22)*ISNUMBER(INDEX(Inputs!$K$5:$AJ$120,0,MATCH(G$2,Inputs!$K$4:$AJ$4,0))))+SUMPRODUCT((Inputs!$C$5:$C$120=$B22)*ISNUMBER(INDEX(Inputs!$K$5:$AJ$120,0,MATCH(G$2,Inputs!$K$4:$AJ$4,0))))+SUMPRODUCT((Inputs!$E$5:$E$120=$B22)*ISNUMBER(INDEX(Inputs!$K$5:$AJ$120,0,MATCH(G$2,Inputs!$K$4:$AJ$4,0))))=0,NA(),SUMPRODUCT((Inputs!$A$5:$A$120=$B22)*Inputs!$B$5:$B$120*(((Inputs!$G$5:$G$120="moeda")+(Inputs!$G$5:$G$120="acoes"))*Inputs!$B$1+((Inputs!$G$5:$G$120&lt;&gt;"moeda")*(Inputs!$G$5:$G$120&lt;&gt;"acoes")))*INDEX(Inputs!$K$5:$AJ$120,0,MATCH(G$2,Inputs!$K$4:$AJ$4,0)))+SUMPRODUCT((Inputs!$C$5:$C$120=$B22)*Inputs!$D$5:$D$120*(((Inputs!$G$5:$G$120="moeda")+(Inputs!$G$5:$G$120="acoes"))*Inputs!$B$1+((Inputs!$G$5:$G$120&lt;&gt;"moeda")*(Inputs!$G$5:$G$120&lt;&gt;"acoes")))*INDEX(Inputs!$K$5:$AJ$120,0,MATCH(G$2,Inputs!$K$4:$AJ$4,0)))+SUMPRODUCT((Inputs!$E$5:$E$120=$B22)*Inputs!$F$5:$F$120*(((Inputs!$G$5:$G$120="moeda")+(Inputs!$G$5:$G$120="acoes"))*Inputs!$B$1+((Inputs!$G$5:$G$120&lt;&gt;"moeda")*(Inputs!$G$5:$G$120&lt;&gt;"acoes")))*INDEX(Inputs!$K$5:$AJ$120,0,MATCH(G$2,Inputs!$K$4:$AJ$4,0)))))</f>
        <v>8985.1</v>
      </c>
      <c r="H22" s="3">
        <f>G22</f>
        <v>8985.1</v>
      </c>
      <c r="I22" s="6">
        <f>IF(ISNA(MATCH(I$2,Inputs!$K$4:$AJ$4,0)),NA(),IF(SUMPRODUCT((Inputs!$A$5:$A$120=$B22)*ISNUMBER(INDEX(Inputs!$K$5:$AJ$120,0,MATCH(I$2,Inputs!$K$4:$AJ$4,0))))+SUMPRODUCT((Inputs!$C$5:$C$120=$B22)*ISNUMBER(INDEX(Inputs!$K$5:$AJ$120,0,MATCH(I$2,Inputs!$K$4:$AJ$4,0))))+SUMPRODUCT((Inputs!$E$5:$E$120=$B22)*ISNUMBER(INDEX(Inputs!$K$5:$AJ$120,0,MATCH(I$2,Inputs!$K$4:$AJ$4,0))))=0,NA(),SUMPRODUCT((Inputs!$A$5:$A$120=$B22)*Inputs!$B$5:$B$120*(((Inputs!$G$5:$G$120="moeda")+(Inputs!$G$5:$G$120="acoes"))*Inputs!$B$1+((Inputs!$G$5:$G$120&lt;&gt;"moeda")*(Inputs!$G$5:$G$120&lt;&gt;"acoes")))*INDEX(Inputs!$K$5:$AJ$120,0,MATCH(I$2,Inputs!$K$4:$AJ$4,0)))+SUMPRODUCT((Inputs!$C$5:$C$120=$B22)*Inputs!$D$5:$D$120*(((Inputs!$G$5:$G$120="moeda")+(Inputs!$G$5:$G$120="acoes"))*Inputs!$B$1+((Inputs!$G$5:$G$120&lt;&gt;"moeda")*(Inputs!$G$5:$G$120&lt;&gt;"acoes")))*INDEX(Inputs!$K$5:$AJ$120,0,MATCH(I$2,Inputs!$K$4:$AJ$4,0)))+SUMPRODUCT((Inputs!$E$5:$E$120=$B22)*Inputs!$F$5:$F$120*(((Inputs!$G$5:$G$120="moeda")+(Inputs!$G$5:$G$120="acoes"))*Inputs!$B$1+((Inputs!$G$5:$G$120&lt;&gt;"moeda")*(Inputs!$G$5:$G$120&lt;&gt;"acoes")))*INDEX(Inputs!$K$5:$AJ$120,0,MATCH(I$2,Inputs!$K$4:$AJ$4,0)))))</f>
        <v>9102.7</v>
      </c>
      <c r="J22" s="6">
        <f>IF(ISNA(MATCH(J$2,Inputs!$K$4:$AJ$4,0)),NA(),IF(SUMPRODUCT((Inputs!$A$5:$A$120=$B22)*ISNUMBER(INDEX(Inputs!$K$5:$AJ$120,0,MATCH(J$2,Inputs!$K$4:$AJ$4,0))))+SUMPRODUCT((Inputs!$C$5:$C$120=$B22)*ISNUMBER(INDEX(Inputs!$K$5:$AJ$120,0,MATCH(J$2,Inputs!$K$4:$AJ$4,0))))+SUMPRODUCT((Inputs!$E$5:$E$120=$B22)*ISNUMBER(INDEX(Inputs!$K$5:$AJ$120,0,MATCH(J$2,Inputs!$K$4:$AJ$4,0))))=0,NA(),SUMPRODUCT((Inputs!$A$5:$A$120=$B22)*Inputs!$B$5:$B$120*(((Inputs!$G$5:$G$120="moeda")+(Inputs!$G$5:$G$120="acoes"))*Inputs!$B$1+((Inputs!$G$5:$G$120&lt;&gt;"moeda")*(Inputs!$G$5:$G$120&lt;&gt;"acoes")))*INDEX(Inputs!$K$5:$AJ$120,0,MATCH(J$2,Inputs!$K$4:$AJ$4,0)))+SUMPRODUCT((Inputs!$C$5:$C$120=$B22)*Inputs!$D$5:$D$120*(((Inputs!$G$5:$G$120="moeda")+(Inputs!$G$5:$G$120="acoes"))*Inputs!$B$1+((Inputs!$G$5:$G$120&lt;&gt;"moeda")*(Inputs!$G$5:$G$120&lt;&gt;"acoes")))*INDEX(Inputs!$K$5:$AJ$120,0,MATCH(J$2,Inputs!$K$4:$AJ$4,0)))+SUMPRODUCT((Inputs!$E$5:$E$120=$B22)*Inputs!$F$5:$F$120*(((Inputs!$G$5:$G$120="moeda")+(Inputs!$G$5:$G$120="acoes"))*Inputs!$B$1+((Inputs!$G$5:$G$120&lt;&gt;"moeda")*(Inputs!$G$5:$G$120&lt;&gt;"acoes")))*INDEX(Inputs!$K$5:$AJ$120,0,MATCH(J$2,Inputs!$K$4:$AJ$4,0)))))</f>
        <v>9128.2</v>
      </c>
      <c r="K22" s="6">
        <f>IF(ISNA(MATCH(K$2,Inputs!$K$4:$AJ$4,0)),NA(),IF(SUMPRODUCT((Inputs!$A$5:$A$120=$B22)*ISNUMBER(INDEX(Inputs!$K$5:$AJ$120,0,MATCH(K$2,Inputs!$K$4:$AJ$4,0))))+SUMPRODUCT((Inputs!$C$5:$C$120=$B22)*ISNUMBER(INDEX(Inputs!$K$5:$AJ$120,0,MATCH(K$2,Inputs!$K$4:$AJ$4,0))))+SUMPRODUCT((Inputs!$E$5:$E$120=$B22)*ISNUMBER(INDEX(Inputs!$K$5:$AJ$120,0,MATCH(K$2,Inputs!$K$4:$AJ$4,0))))=0,NA(),SUMPRODUCT((Inputs!$A$5:$A$120=$B22)*Inputs!$B$5:$B$120*(((Inputs!$G$5:$G$120="moeda")+(Inputs!$G$5:$G$120="acoes"))*Inputs!$B$1+((Inputs!$G$5:$G$120&lt;&gt;"moeda")*(Inputs!$G$5:$G$120&lt;&gt;"acoes")))*INDEX(Inputs!$K$5:$AJ$120,0,MATCH(K$2,Inputs!$K$4:$AJ$4,0)))+SUMPRODUCT((Inputs!$C$5:$C$120=$B22)*Inputs!$D$5:$D$120*(((Inputs!$G$5:$G$120="moeda")+(Inputs!$G$5:$G$120="acoes"))*Inputs!$B$1+((Inputs!$G$5:$G$120&lt;&gt;"moeda")*(Inputs!$G$5:$G$120&lt;&gt;"acoes")))*INDEX(Inputs!$K$5:$AJ$120,0,MATCH(K$2,Inputs!$K$4:$AJ$4,0)))+SUMPRODUCT((Inputs!$E$5:$E$120=$B22)*Inputs!$F$5:$F$120*(((Inputs!$G$5:$G$120="moeda")+(Inputs!$G$5:$G$120="acoes"))*Inputs!$B$1+((Inputs!$G$5:$G$120&lt;&gt;"moeda")*(Inputs!$G$5:$G$120&lt;&gt;"acoes")))*INDEX(Inputs!$K$5:$AJ$120,0,MATCH(K$2,Inputs!$K$4:$AJ$4,0)))))</f>
        <v>9311.3</v>
      </c>
      <c r="L22" s="6">
        <f>IF(ISNA(MATCH(L$2,Inputs!$K$4:$AJ$4,0)),NA(),IF(SUMPRODUCT((Inputs!$A$5:$A$120=$B22)*ISNUMBER(INDEX(Inputs!$K$5:$AJ$120,0,MATCH(L$2,Inputs!$K$4:$AJ$4,0))))+SUMPRODUCT((Inputs!$C$5:$C$120=$B22)*ISNUMBER(INDEX(Inputs!$K$5:$AJ$120,0,MATCH(L$2,Inputs!$K$4:$AJ$4,0))))+SUMPRODUCT((Inputs!$E$5:$E$120=$B22)*ISNUMBER(INDEX(Inputs!$K$5:$AJ$120,0,MATCH(L$2,Inputs!$K$4:$AJ$4,0))))=0,NA(),SUMPRODUCT((Inputs!$A$5:$A$120=$B22)*Inputs!$B$5:$B$120*(((Inputs!$G$5:$G$120="moeda")+(Inputs!$G$5:$G$120="acoes"))*Inputs!$B$1+((Inputs!$G$5:$G$120&lt;&gt;"moeda")*(Inputs!$G$5:$G$120&lt;&gt;"acoes")))*INDEX(Inputs!$K$5:$AJ$120,0,MATCH(L$2,Inputs!$K$4:$AJ$4,0)))+SUMPRODUCT((Inputs!$C$5:$C$120=$B22)*Inputs!$D$5:$D$120*(((Inputs!$G$5:$G$120="moeda")+(Inputs!$G$5:$G$120="acoes"))*Inputs!$B$1+((Inputs!$G$5:$G$120&lt;&gt;"moeda")*(Inputs!$G$5:$G$120&lt;&gt;"acoes")))*INDEX(Inputs!$K$5:$AJ$120,0,MATCH(L$2,Inputs!$K$4:$AJ$4,0)))+SUMPRODUCT((Inputs!$E$5:$E$120=$B22)*Inputs!$F$5:$F$120*(((Inputs!$G$5:$G$120="moeda")+(Inputs!$G$5:$G$120="acoes"))*Inputs!$B$1+((Inputs!$G$5:$G$120&lt;&gt;"moeda")*(Inputs!$G$5:$G$120&lt;&gt;"acoes")))*INDEX(Inputs!$K$5:$AJ$120,0,MATCH(L$2,Inputs!$K$4:$AJ$4,0)))))</f>
        <v>10144</v>
      </c>
      <c r="M22" s="3">
        <f>L22</f>
        <v>10144</v>
      </c>
      <c r="N22" s="6">
        <f>IF(ISNA(MATCH(N$2,Inputs!$K$4:$AJ$4,0)),NA(),IF(SUMPRODUCT((Inputs!$A$5:$A$120=$B22)*ISNUMBER(INDEX(Inputs!$K$5:$AJ$120,0,MATCH(N$2,Inputs!$K$4:$AJ$4,0))))+SUMPRODUCT((Inputs!$C$5:$C$120=$B22)*ISNUMBER(INDEX(Inputs!$K$5:$AJ$120,0,MATCH(N$2,Inputs!$K$4:$AJ$4,0))))+SUMPRODUCT((Inputs!$E$5:$E$120=$B22)*ISNUMBER(INDEX(Inputs!$K$5:$AJ$120,0,MATCH(N$2,Inputs!$K$4:$AJ$4,0))))=0,NA(),SUMPRODUCT((Inputs!$A$5:$A$120=$B22)*Inputs!$B$5:$B$120*(((Inputs!$G$5:$G$120="moeda")+(Inputs!$G$5:$G$120="acoes"))*Inputs!$B$1+((Inputs!$G$5:$G$120&lt;&gt;"moeda")*(Inputs!$G$5:$G$120&lt;&gt;"acoes")))*INDEX(Inputs!$K$5:$AJ$120,0,MATCH(N$2,Inputs!$K$4:$AJ$4,0)))+SUMPRODUCT((Inputs!$C$5:$C$120=$B22)*Inputs!$D$5:$D$120*(((Inputs!$G$5:$G$120="moeda")+(Inputs!$G$5:$G$120="acoes"))*Inputs!$B$1+((Inputs!$G$5:$G$120&lt;&gt;"moeda")*(Inputs!$G$5:$G$120&lt;&gt;"acoes")))*INDEX(Inputs!$K$5:$AJ$120,0,MATCH(N$2,Inputs!$K$4:$AJ$4,0)))+SUMPRODUCT((Inputs!$E$5:$E$120=$B22)*Inputs!$F$5:$F$120*(((Inputs!$G$5:$G$120="moeda")+(Inputs!$G$5:$G$120="acoes"))*Inputs!$B$1+((Inputs!$G$5:$G$120&lt;&gt;"moeda")*(Inputs!$G$5:$G$120&lt;&gt;"acoes")))*INDEX(Inputs!$K$5:$AJ$120,0,MATCH(N$2,Inputs!$K$4:$AJ$4,0)))))</f>
        <v>10546.2</v>
      </c>
      <c r="O22" s="6">
        <f>IF(ISNA(MATCH(O$2,Inputs!$K$4:$AJ$4,0)),NA(),IF(SUMPRODUCT((Inputs!$A$5:$A$120=$B22)*ISNUMBER(INDEX(Inputs!$K$5:$AJ$120,0,MATCH(O$2,Inputs!$K$4:$AJ$4,0))))+SUMPRODUCT((Inputs!$C$5:$C$120=$B22)*ISNUMBER(INDEX(Inputs!$K$5:$AJ$120,0,MATCH(O$2,Inputs!$K$4:$AJ$4,0))))+SUMPRODUCT((Inputs!$E$5:$E$120=$B22)*ISNUMBER(INDEX(Inputs!$K$5:$AJ$120,0,MATCH(O$2,Inputs!$K$4:$AJ$4,0))))=0,NA(),SUMPRODUCT((Inputs!$A$5:$A$120=$B22)*Inputs!$B$5:$B$120*(((Inputs!$G$5:$G$120="moeda")+(Inputs!$G$5:$G$120="acoes"))*Inputs!$B$1+((Inputs!$G$5:$G$120&lt;&gt;"moeda")*(Inputs!$G$5:$G$120&lt;&gt;"acoes")))*INDEX(Inputs!$K$5:$AJ$120,0,MATCH(O$2,Inputs!$K$4:$AJ$4,0)))+SUMPRODUCT((Inputs!$C$5:$C$120=$B22)*Inputs!$D$5:$D$120*(((Inputs!$G$5:$G$120="moeda")+(Inputs!$G$5:$G$120="acoes"))*Inputs!$B$1+((Inputs!$G$5:$G$120&lt;&gt;"moeda")*(Inputs!$G$5:$G$120&lt;&gt;"acoes")))*INDEX(Inputs!$K$5:$AJ$120,0,MATCH(O$2,Inputs!$K$4:$AJ$4,0)))+SUMPRODUCT((Inputs!$E$5:$E$120=$B22)*Inputs!$F$5:$F$120*(((Inputs!$G$5:$G$120="moeda")+(Inputs!$G$5:$G$120="acoes"))*Inputs!$B$1+((Inputs!$G$5:$G$120&lt;&gt;"moeda")*(Inputs!$G$5:$G$120&lt;&gt;"acoes")))*INDEX(Inputs!$K$5:$AJ$120,0,MATCH(O$2,Inputs!$K$4:$AJ$4,0)))))</f>
        <v>11277.4</v>
      </c>
      <c r="P22" s="6">
        <f>IF(ISNA(MATCH(P$2,Inputs!$K$4:$AJ$4,0)),NA(),IF(SUMPRODUCT((Inputs!$A$5:$A$120=$B22)*ISNUMBER(INDEX(Inputs!$K$5:$AJ$120,0,MATCH(P$2,Inputs!$K$4:$AJ$4,0))))+SUMPRODUCT((Inputs!$C$5:$C$120=$B22)*ISNUMBER(INDEX(Inputs!$K$5:$AJ$120,0,MATCH(P$2,Inputs!$K$4:$AJ$4,0))))+SUMPRODUCT((Inputs!$E$5:$E$120=$B22)*ISNUMBER(INDEX(Inputs!$K$5:$AJ$120,0,MATCH(P$2,Inputs!$K$4:$AJ$4,0))))=0,NA(),SUMPRODUCT((Inputs!$A$5:$A$120=$B22)*Inputs!$B$5:$B$120*(((Inputs!$G$5:$G$120="moeda")+(Inputs!$G$5:$G$120="acoes"))*Inputs!$B$1+((Inputs!$G$5:$G$120&lt;&gt;"moeda")*(Inputs!$G$5:$G$120&lt;&gt;"acoes")))*INDEX(Inputs!$K$5:$AJ$120,0,MATCH(P$2,Inputs!$K$4:$AJ$4,0)))+SUMPRODUCT((Inputs!$C$5:$C$120=$B22)*Inputs!$D$5:$D$120*(((Inputs!$G$5:$G$120="moeda")+(Inputs!$G$5:$G$120="acoes"))*Inputs!$B$1+((Inputs!$G$5:$G$120&lt;&gt;"moeda")*(Inputs!$G$5:$G$120&lt;&gt;"acoes")))*INDEX(Inputs!$K$5:$AJ$120,0,MATCH(P$2,Inputs!$K$4:$AJ$4,0)))+SUMPRODUCT((Inputs!$E$5:$E$120=$B22)*Inputs!$F$5:$F$120*(((Inputs!$G$5:$G$120="moeda")+(Inputs!$G$5:$G$120="acoes"))*Inputs!$B$1+((Inputs!$G$5:$G$120&lt;&gt;"moeda")*(Inputs!$G$5:$G$120&lt;&gt;"acoes")))*INDEX(Inputs!$K$5:$AJ$120,0,MATCH(P$2,Inputs!$K$4:$AJ$4,0)))))</f>
        <v>11863.2</v>
      </c>
      <c r="Q22" s="6">
        <f>IF(ISNA(MATCH(Q$2,Inputs!$K$4:$AJ$4,0)),NA(),IF(SUMPRODUCT((Inputs!$A$5:$A$120=$B22)*ISNUMBER(INDEX(Inputs!$K$5:$AJ$120,0,MATCH(Q$2,Inputs!$K$4:$AJ$4,0))))+SUMPRODUCT((Inputs!$C$5:$C$120=$B22)*ISNUMBER(INDEX(Inputs!$K$5:$AJ$120,0,MATCH(Q$2,Inputs!$K$4:$AJ$4,0))))+SUMPRODUCT((Inputs!$E$5:$E$120=$B22)*ISNUMBER(INDEX(Inputs!$K$5:$AJ$120,0,MATCH(Q$2,Inputs!$K$4:$AJ$4,0))))=0,NA(),SUMPRODUCT((Inputs!$A$5:$A$120=$B22)*Inputs!$B$5:$B$120*(((Inputs!$G$5:$G$120="moeda")+(Inputs!$G$5:$G$120="acoes"))*Inputs!$B$1+((Inputs!$G$5:$G$120&lt;&gt;"moeda")*(Inputs!$G$5:$G$120&lt;&gt;"acoes")))*INDEX(Inputs!$K$5:$AJ$120,0,MATCH(Q$2,Inputs!$K$4:$AJ$4,0)))+SUMPRODUCT((Inputs!$C$5:$C$120=$B22)*Inputs!$D$5:$D$120*(((Inputs!$G$5:$G$120="moeda")+(Inputs!$G$5:$G$120="acoes"))*Inputs!$B$1+((Inputs!$G$5:$G$120&lt;&gt;"moeda")*(Inputs!$G$5:$G$120&lt;&gt;"acoes")))*INDEX(Inputs!$K$5:$AJ$120,0,MATCH(Q$2,Inputs!$K$4:$AJ$4,0)))+SUMPRODUCT((Inputs!$E$5:$E$120=$B22)*Inputs!$F$5:$F$120*(((Inputs!$G$5:$G$120="moeda")+(Inputs!$G$5:$G$120="acoes"))*Inputs!$B$1+((Inputs!$G$5:$G$120&lt;&gt;"moeda")*(Inputs!$G$5:$G$120&lt;&gt;"acoes")))*INDEX(Inputs!$K$5:$AJ$120,0,MATCH(Q$2,Inputs!$K$4:$AJ$4,0)))))</f>
        <v>12913.6</v>
      </c>
      <c r="R22" s="3">
        <f>Q22</f>
        <v>12913.6</v>
      </c>
      <c r="S22" s="6">
        <f>IF(ISNA(MATCH(S$2,Inputs!$K$4:$AJ$4,0)),NA(),IF(SUMPRODUCT((Inputs!$A$5:$A$120=$B22)*ISNUMBER(INDEX(Inputs!$K$5:$AJ$120,0,MATCH(S$2,Inputs!$K$4:$AJ$4,0))))+SUMPRODUCT((Inputs!$C$5:$C$120=$B22)*ISNUMBER(INDEX(Inputs!$K$5:$AJ$120,0,MATCH(S$2,Inputs!$K$4:$AJ$4,0))))+SUMPRODUCT((Inputs!$E$5:$E$120=$B22)*ISNUMBER(INDEX(Inputs!$K$5:$AJ$120,0,MATCH(S$2,Inputs!$K$4:$AJ$4,0))))=0,NA(),SUMPRODUCT((Inputs!$A$5:$A$120=$B22)*Inputs!$B$5:$B$120*(((Inputs!$G$5:$G$120="moeda")+(Inputs!$G$5:$G$120="acoes"))*Inputs!$B$1+((Inputs!$G$5:$G$120&lt;&gt;"moeda")*(Inputs!$G$5:$G$120&lt;&gt;"acoes")))*INDEX(Inputs!$K$5:$AJ$120,0,MATCH(S$2,Inputs!$K$4:$AJ$4,0)))+SUMPRODUCT((Inputs!$C$5:$C$120=$B22)*Inputs!$D$5:$D$120*(((Inputs!$G$5:$G$120="moeda")+(Inputs!$G$5:$G$120="acoes"))*Inputs!$B$1+((Inputs!$G$5:$G$120&lt;&gt;"moeda")*(Inputs!$G$5:$G$120&lt;&gt;"acoes")))*INDEX(Inputs!$K$5:$AJ$120,0,MATCH(S$2,Inputs!$K$4:$AJ$4,0)))+SUMPRODUCT((Inputs!$E$5:$E$120=$B22)*Inputs!$F$5:$F$120*(((Inputs!$G$5:$G$120="moeda")+(Inputs!$G$5:$G$120="acoes"))*Inputs!$B$1+((Inputs!$G$5:$G$120&lt;&gt;"moeda")*(Inputs!$G$5:$G$120&lt;&gt;"acoes")))*INDEX(Inputs!$K$5:$AJ$120,0,MATCH(S$2,Inputs!$K$4:$AJ$4,0)))))</f>
        <v>13624</v>
      </c>
      <c r="T22" s="6">
        <f>IF(ISNA(MATCH(T$2,Inputs!$K$4:$AJ$4,0)),NA(),IF(SUMPRODUCT((Inputs!$A$5:$A$120=$B22)*ISNUMBER(INDEX(Inputs!$K$5:$AJ$120,0,MATCH(T$2,Inputs!$K$4:$AJ$4,0))))+SUMPRODUCT((Inputs!$C$5:$C$120=$B22)*ISNUMBER(INDEX(Inputs!$K$5:$AJ$120,0,MATCH(T$2,Inputs!$K$4:$AJ$4,0))))+SUMPRODUCT((Inputs!$E$5:$E$120=$B22)*ISNUMBER(INDEX(Inputs!$K$5:$AJ$120,0,MATCH(T$2,Inputs!$K$4:$AJ$4,0))))=0,NA(),SUMPRODUCT((Inputs!$A$5:$A$120=$B22)*Inputs!$B$5:$B$120*(((Inputs!$G$5:$G$120="moeda")+(Inputs!$G$5:$G$120="acoes"))*Inputs!$B$1+((Inputs!$G$5:$G$120&lt;&gt;"moeda")*(Inputs!$G$5:$G$120&lt;&gt;"acoes")))*INDEX(Inputs!$K$5:$AJ$120,0,MATCH(T$2,Inputs!$K$4:$AJ$4,0)))+SUMPRODUCT((Inputs!$C$5:$C$120=$B22)*Inputs!$D$5:$D$120*(((Inputs!$G$5:$G$120="moeda")+(Inputs!$G$5:$G$120="acoes"))*Inputs!$B$1+((Inputs!$G$5:$G$120&lt;&gt;"moeda")*(Inputs!$G$5:$G$120&lt;&gt;"acoes")))*INDEX(Inputs!$K$5:$AJ$120,0,MATCH(T$2,Inputs!$K$4:$AJ$4,0)))+SUMPRODUCT((Inputs!$E$5:$E$120=$B22)*Inputs!$F$5:$F$120*(((Inputs!$G$5:$G$120="moeda")+(Inputs!$G$5:$G$120="acoes"))*Inputs!$B$1+((Inputs!$G$5:$G$120&lt;&gt;"moeda")*(Inputs!$G$5:$G$120&lt;&gt;"acoes")))*INDEX(Inputs!$K$5:$AJ$120,0,MATCH(T$2,Inputs!$K$4:$AJ$4,0)))))</f>
        <v>14829.4</v>
      </c>
      <c r="U22" s="6">
        <f>IF(ISNA(MATCH(U$2,Inputs!$K$4:$AJ$4,0)),NA(),IF(SUMPRODUCT((Inputs!$A$5:$A$120=$B22)*ISNUMBER(INDEX(Inputs!$K$5:$AJ$120,0,MATCH(U$2,Inputs!$K$4:$AJ$4,0))))+SUMPRODUCT((Inputs!$C$5:$C$120=$B22)*ISNUMBER(INDEX(Inputs!$K$5:$AJ$120,0,MATCH(U$2,Inputs!$K$4:$AJ$4,0))))+SUMPRODUCT((Inputs!$E$5:$E$120=$B22)*ISNUMBER(INDEX(Inputs!$K$5:$AJ$120,0,MATCH(U$2,Inputs!$K$4:$AJ$4,0))))=0,NA(),SUMPRODUCT((Inputs!$A$5:$A$120=$B22)*Inputs!$B$5:$B$120*(((Inputs!$G$5:$G$120="moeda")+(Inputs!$G$5:$G$120="acoes"))*Inputs!$B$1+((Inputs!$G$5:$G$120&lt;&gt;"moeda")*(Inputs!$G$5:$G$120&lt;&gt;"acoes")))*INDEX(Inputs!$K$5:$AJ$120,0,MATCH(U$2,Inputs!$K$4:$AJ$4,0)))+SUMPRODUCT((Inputs!$C$5:$C$120=$B22)*Inputs!$D$5:$D$120*(((Inputs!$G$5:$G$120="moeda")+(Inputs!$G$5:$G$120="acoes"))*Inputs!$B$1+((Inputs!$G$5:$G$120&lt;&gt;"moeda")*(Inputs!$G$5:$G$120&lt;&gt;"acoes")))*INDEX(Inputs!$K$5:$AJ$120,0,MATCH(U$2,Inputs!$K$4:$AJ$4,0)))+SUMPRODUCT((Inputs!$E$5:$E$120=$B22)*Inputs!$F$5:$F$120*(((Inputs!$G$5:$G$120="moeda")+(Inputs!$G$5:$G$120="acoes"))*Inputs!$B$1+((Inputs!$G$5:$G$120&lt;&gt;"moeda")*(Inputs!$G$5:$G$120&lt;&gt;"acoes")))*INDEX(Inputs!$K$5:$AJ$120,0,MATCH(U$2,Inputs!$K$4:$AJ$4,0)))))</f>
        <v>16171.8</v>
      </c>
      <c r="V22" s="6">
        <f>IF(ISNA(MATCH(V$2,Inputs!$K$4:$AJ$4,0)),NA(),IF(SUMPRODUCT((Inputs!$A$5:$A$120=$B22)*ISNUMBER(INDEX(Inputs!$K$5:$AJ$120,0,MATCH(V$2,Inputs!$K$4:$AJ$4,0))))+SUMPRODUCT((Inputs!$C$5:$C$120=$B22)*ISNUMBER(INDEX(Inputs!$K$5:$AJ$120,0,MATCH(V$2,Inputs!$K$4:$AJ$4,0))))+SUMPRODUCT((Inputs!$E$5:$E$120=$B22)*ISNUMBER(INDEX(Inputs!$K$5:$AJ$120,0,MATCH(V$2,Inputs!$K$4:$AJ$4,0))))=0,NA(),SUMPRODUCT((Inputs!$A$5:$A$120=$B22)*Inputs!$B$5:$B$120*(((Inputs!$G$5:$G$120="moeda")+(Inputs!$G$5:$G$120="acoes"))*Inputs!$B$1+((Inputs!$G$5:$G$120&lt;&gt;"moeda")*(Inputs!$G$5:$G$120&lt;&gt;"acoes")))*INDEX(Inputs!$K$5:$AJ$120,0,MATCH(V$2,Inputs!$K$4:$AJ$4,0)))+SUMPRODUCT((Inputs!$C$5:$C$120=$B22)*Inputs!$D$5:$D$120*(((Inputs!$G$5:$G$120="moeda")+(Inputs!$G$5:$G$120="acoes"))*Inputs!$B$1+((Inputs!$G$5:$G$120&lt;&gt;"moeda")*(Inputs!$G$5:$G$120&lt;&gt;"acoes")))*INDEX(Inputs!$K$5:$AJ$120,0,MATCH(V$2,Inputs!$K$4:$AJ$4,0)))+SUMPRODUCT((Inputs!$E$5:$E$120=$B22)*Inputs!$F$5:$F$120*(((Inputs!$G$5:$G$120="moeda")+(Inputs!$G$5:$G$120="acoes"))*Inputs!$B$1+((Inputs!$G$5:$G$120&lt;&gt;"moeda")*(Inputs!$G$5:$G$120&lt;&gt;"acoes")))*INDEX(Inputs!$K$5:$AJ$120,0,MATCH(V$2,Inputs!$K$4:$AJ$4,0)))))</f>
        <v>17102.4</v>
      </c>
      <c r="W22" s="3">
        <f>V22</f>
        <v>17102.4</v>
      </c>
      <c r="X22" s="6">
        <f>IF(ISNA(MATCH(X$2,Inputs!$K$4:$AJ$4,0)),NA(),IF(SUMPRODUCT((Inputs!$A$5:$A$120=$B22)*ISNUMBER(INDEX(Inputs!$K$5:$AJ$120,0,MATCH(X$2,Inputs!$K$4:$AJ$4,0))))+SUMPRODUCT((Inputs!$C$5:$C$120=$B22)*ISNUMBER(INDEX(Inputs!$K$5:$AJ$120,0,MATCH(X$2,Inputs!$K$4:$AJ$4,0))))+SUMPRODUCT((Inputs!$E$5:$E$120=$B22)*ISNUMBER(INDEX(Inputs!$K$5:$AJ$120,0,MATCH(X$2,Inputs!$K$4:$AJ$4,0))))=0,NA(),SUMPRODUCT((Inputs!$A$5:$A$120=$B22)*Inputs!$B$5:$B$120*(((Inputs!$G$5:$G$120="moeda")+(Inputs!$G$5:$G$120="acoes"))*Inputs!$B$1+((Inputs!$G$5:$G$120&lt;&gt;"moeda")*(Inputs!$G$5:$G$120&lt;&gt;"acoes")))*INDEX(Inputs!$K$5:$AJ$120,0,MATCH(X$2,Inputs!$K$4:$AJ$4,0)))+SUMPRODUCT((Inputs!$C$5:$C$120=$B22)*Inputs!$D$5:$D$120*(((Inputs!$G$5:$G$120="moeda")+(Inputs!$G$5:$G$120="acoes"))*Inputs!$B$1+((Inputs!$G$5:$G$120&lt;&gt;"moeda")*(Inputs!$G$5:$G$120&lt;&gt;"acoes")))*INDEX(Inputs!$K$5:$AJ$120,0,MATCH(X$2,Inputs!$K$4:$AJ$4,0)))+SUMPRODUCT((Inputs!$E$5:$E$120=$B22)*Inputs!$F$5:$F$120*(((Inputs!$G$5:$G$120="moeda")+(Inputs!$G$5:$G$120="acoes"))*Inputs!$B$1+((Inputs!$G$5:$G$120&lt;&gt;"moeda")*(Inputs!$G$5:$G$120&lt;&gt;"acoes")))*INDEX(Inputs!$K$5:$AJ$120,0,MATCH(X$2,Inputs!$K$4:$AJ$4,0)))))</f>
        <v>18474.1</v>
      </c>
      <c r="Y22" s="6">
        <f>IF(ISNA(MATCH(Y$2,Inputs!$K$4:$AJ$4,0)),NA(),IF(SUMPRODUCT((Inputs!$A$5:$A$120=$B22)*ISNUMBER(INDEX(Inputs!$K$5:$AJ$120,0,MATCH(Y$2,Inputs!$K$4:$AJ$4,0))))+SUMPRODUCT((Inputs!$C$5:$C$120=$B22)*ISNUMBER(INDEX(Inputs!$K$5:$AJ$120,0,MATCH(Y$2,Inputs!$K$4:$AJ$4,0))))+SUMPRODUCT((Inputs!$E$5:$E$120=$B22)*ISNUMBER(INDEX(Inputs!$K$5:$AJ$120,0,MATCH(Y$2,Inputs!$K$4:$AJ$4,0))))=0,NA(),SUMPRODUCT((Inputs!$A$5:$A$120=$B22)*Inputs!$B$5:$B$120*(((Inputs!$G$5:$G$120="moeda")+(Inputs!$G$5:$G$120="acoes"))*Inputs!$B$1+((Inputs!$G$5:$G$120&lt;&gt;"moeda")*(Inputs!$G$5:$G$120&lt;&gt;"acoes")))*INDEX(Inputs!$K$5:$AJ$120,0,MATCH(Y$2,Inputs!$K$4:$AJ$4,0)))+SUMPRODUCT((Inputs!$C$5:$C$120=$B22)*Inputs!$D$5:$D$120*(((Inputs!$G$5:$G$120="moeda")+(Inputs!$G$5:$G$120="acoes"))*Inputs!$B$1+((Inputs!$G$5:$G$120&lt;&gt;"moeda")*(Inputs!$G$5:$G$120&lt;&gt;"acoes")))*INDEX(Inputs!$K$5:$AJ$120,0,MATCH(Y$2,Inputs!$K$4:$AJ$4,0)))+SUMPRODUCT((Inputs!$E$5:$E$120=$B22)*Inputs!$F$5:$F$120*(((Inputs!$G$5:$G$120="moeda")+(Inputs!$G$5:$G$120="acoes"))*Inputs!$B$1+((Inputs!$G$5:$G$120&lt;&gt;"moeda")*(Inputs!$G$5:$G$120&lt;&gt;"acoes")))*INDEX(Inputs!$K$5:$AJ$120,0,MATCH(Y$2,Inputs!$K$4:$AJ$4,0)))))</f>
        <v>20529.7</v>
      </c>
      <c r="Z22" s="6">
        <f>IF(ISNA(MATCH(Z$2,Inputs!$K$4:$AJ$4,0)),NA(),IF(SUMPRODUCT((Inputs!$A$5:$A$120=$B22)*ISNUMBER(INDEX(Inputs!$K$5:$AJ$120,0,MATCH(Z$2,Inputs!$K$4:$AJ$4,0))))+SUMPRODUCT((Inputs!$C$5:$C$120=$B22)*ISNUMBER(INDEX(Inputs!$K$5:$AJ$120,0,MATCH(Z$2,Inputs!$K$4:$AJ$4,0))))+SUMPRODUCT((Inputs!$E$5:$E$120=$B22)*ISNUMBER(INDEX(Inputs!$K$5:$AJ$120,0,MATCH(Z$2,Inputs!$K$4:$AJ$4,0))))=0,NA(),SUMPRODUCT((Inputs!$A$5:$A$120=$B22)*Inputs!$B$5:$B$120*(((Inputs!$G$5:$G$120="moeda")+(Inputs!$G$5:$G$120="acoes"))*Inputs!$B$1+((Inputs!$G$5:$G$120&lt;&gt;"moeda")*(Inputs!$G$5:$G$120&lt;&gt;"acoes")))*INDEX(Inputs!$K$5:$AJ$120,0,MATCH(Z$2,Inputs!$K$4:$AJ$4,0)))+SUMPRODUCT((Inputs!$C$5:$C$120=$B22)*Inputs!$D$5:$D$120*(((Inputs!$G$5:$G$120="moeda")+(Inputs!$G$5:$G$120="acoes"))*Inputs!$B$1+((Inputs!$G$5:$G$120&lt;&gt;"moeda")*(Inputs!$G$5:$G$120&lt;&gt;"acoes")))*INDEX(Inputs!$K$5:$AJ$120,0,MATCH(Z$2,Inputs!$K$4:$AJ$4,0)))+SUMPRODUCT((Inputs!$E$5:$E$120=$B22)*Inputs!$F$5:$F$120*(((Inputs!$G$5:$G$120="moeda")+(Inputs!$G$5:$G$120="acoes"))*Inputs!$B$1+((Inputs!$G$5:$G$120&lt;&gt;"moeda")*(Inputs!$G$5:$G$120&lt;&gt;"acoes")))*INDEX(Inputs!$K$5:$AJ$120,0,MATCH(Z$2,Inputs!$K$4:$AJ$4,0)))))</f>
        <v>22316</v>
      </c>
      <c r="AA22" s="6">
        <f>IF(ISNA(MATCH(AA$2,Inputs!$K$4:$AJ$4,0)),NA(),IF(SUMPRODUCT((Inputs!$A$5:$A$120=$B22)*ISNUMBER(INDEX(Inputs!$K$5:$AJ$120,0,MATCH(AA$2,Inputs!$K$4:$AJ$4,0))))+SUMPRODUCT((Inputs!$C$5:$C$120=$B22)*ISNUMBER(INDEX(Inputs!$K$5:$AJ$120,0,MATCH(AA$2,Inputs!$K$4:$AJ$4,0))))+SUMPRODUCT((Inputs!$E$5:$E$120=$B22)*ISNUMBER(INDEX(Inputs!$K$5:$AJ$120,0,MATCH(AA$2,Inputs!$K$4:$AJ$4,0))))=0,NA(),SUMPRODUCT((Inputs!$A$5:$A$120=$B22)*Inputs!$B$5:$B$120*(((Inputs!$G$5:$G$120="moeda")+(Inputs!$G$5:$G$120="acoes"))*Inputs!$B$1+((Inputs!$G$5:$G$120&lt;&gt;"moeda")*(Inputs!$G$5:$G$120&lt;&gt;"acoes")))*INDEX(Inputs!$K$5:$AJ$120,0,MATCH(AA$2,Inputs!$K$4:$AJ$4,0)))+SUMPRODUCT((Inputs!$C$5:$C$120=$B22)*Inputs!$D$5:$D$120*(((Inputs!$G$5:$G$120="moeda")+(Inputs!$G$5:$G$120="acoes"))*Inputs!$B$1+((Inputs!$G$5:$G$120&lt;&gt;"moeda")*(Inputs!$G$5:$G$120&lt;&gt;"acoes")))*INDEX(Inputs!$K$5:$AJ$120,0,MATCH(AA$2,Inputs!$K$4:$AJ$4,0)))+SUMPRODUCT((Inputs!$E$5:$E$120=$B22)*Inputs!$F$5:$F$120*(((Inputs!$G$5:$G$120="moeda")+(Inputs!$G$5:$G$120="acoes"))*Inputs!$B$1+((Inputs!$G$5:$G$120&lt;&gt;"moeda")*(Inputs!$G$5:$G$120&lt;&gt;"acoes")))*INDEX(Inputs!$K$5:$AJ$120,0,MATCH(AA$2,Inputs!$K$4:$AJ$4,0)))))</f>
        <v>24675</v>
      </c>
      <c r="AB22" s="3">
        <f>AA22</f>
        <v>24675</v>
      </c>
      <c r="AC22" s="6">
        <f>IF(ISNA(MATCH(AC$2,Inputs!$K$4:$AJ$4,0)),NA(),IF(SUMPRODUCT((Inputs!$A$5:$A$120=$B22)*ISNUMBER(INDEX(Inputs!$K$5:$AJ$120,0,MATCH(AC$2,Inputs!$K$4:$AJ$4,0))))+SUMPRODUCT((Inputs!$C$5:$C$120=$B22)*ISNUMBER(INDEX(Inputs!$K$5:$AJ$120,0,MATCH(AC$2,Inputs!$K$4:$AJ$4,0))))+SUMPRODUCT((Inputs!$E$5:$E$120=$B22)*ISNUMBER(INDEX(Inputs!$K$5:$AJ$120,0,MATCH(AC$2,Inputs!$K$4:$AJ$4,0))))=0,NA(),SUMPRODUCT((Inputs!$A$5:$A$120=$B22)*Inputs!$B$5:$B$120*(((Inputs!$G$5:$G$120="moeda")+(Inputs!$G$5:$G$120="acoes"))*Inputs!$B$1+((Inputs!$G$5:$G$120&lt;&gt;"moeda")*(Inputs!$G$5:$G$120&lt;&gt;"acoes")))*INDEX(Inputs!$K$5:$AJ$120,0,MATCH(AC$2,Inputs!$K$4:$AJ$4,0)))+SUMPRODUCT((Inputs!$C$5:$C$120=$B22)*Inputs!$D$5:$D$120*(((Inputs!$G$5:$G$120="moeda")+(Inputs!$G$5:$G$120="acoes"))*Inputs!$B$1+((Inputs!$G$5:$G$120&lt;&gt;"moeda")*(Inputs!$G$5:$G$120&lt;&gt;"acoes")))*INDEX(Inputs!$K$5:$AJ$120,0,MATCH(AC$2,Inputs!$K$4:$AJ$4,0)))+SUMPRODUCT((Inputs!$E$5:$E$120=$B22)*Inputs!$F$5:$F$120*(((Inputs!$G$5:$G$120="moeda")+(Inputs!$G$5:$G$120="acoes"))*Inputs!$B$1+((Inputs!$G$5:$G$120&lt;&gt;"moeda")*(Inputs!$G$5:$G$120&lt;&gt;"acoes")))*INDEX(Inputs!$K$5:$AJ$120,0,MATCH(AC$2,Inputs!$K$4:$AJ$4,0)))))</f>
        <v>26540</v>
      </c>
      <c r="AD22" s="6">
        <f>IF(ISNA(MATCH(AD$2,Inputs!$K$4:$AJ$4,0)),NA(),IF(SUMPRODUCT((Inputs!$A$5:$A$120=$B22)*ISNUMBER(INDEX(Inputs!$K$5:$AJ$120,0,MATCH(AD$2,Inputs!$K$4:$AJ$4,0))))+SUMPRODUCT((Inputs!$C$5:$C$120=$B22)*ISNUMBER(INDEX(Inputs!$K$5:$AJ$120,0,MATCH(AD$2,Inputs!$K$4:$AJ$4,0))))+SUMPRODUCT((Inputs!$E$5:$E$120=$B22)*ISNUMBER(INDEX(Inputs!$K$5:$AJ$120,0,MATCH(AD$2,Inputs!$K$4:$AJ$4,0))))=0,NA(),SUMPRODUCT((Inputs!$A$5:$A$120=$B22)*Inputs!$B$5:$B$120*(((Inputs!$G$5:$G$120="moeda")+(Inputs!$G$5:$G$120="acoes"))*Inputs!$B$1+((Inputs!$G$5:$G$120&lt;&gt;"moeda")*(Inputs!$G$5:$G$120&lt;&gt;"acoes")))*INDEX(Inputs!$K$5:$AJ$120,0,MATCH(AD$2,Inputs!$K$4:$AJ$4,0)))+SUMPRODUCT((Inputs!$C$5:$C$120=$B22)*Inputs!$D$5:$D$120*(((Inputs!$G$5:$G$120="moeda")+(Inputs!$G$5:$G$120="acoes"))*Inputs!$B$1+((Inputs!$G$5:$G$120&lt;&gt;"moeda")*(Inputs!$G$5:$G$120&lt;&gt;"acoes")))*INDEX(Inputs!$K$5:$AJ$120,0,MATCH(AD$2,Inputs!$K$4:$AJ$4,0)))+SUMPRODUCT((Inputs!$E$5:$E$120=$B22)*Inputs!$F$5:$F$120*(((Inputs!$G$5:$G$120="moeda")+(Inputs!$G$5:$G$120="acoes"))*Inputs!$B$1+((Inputs!$G$5:$G$120&lt;&gt;"moeda")*(Inputs!$G$5:$G$120&lt;&gt;"acoes")))*INDEX(Inputs!$K$5:$AJ$120,0,MATCH(AD$2,Inputs!$K$4:$AJ$4,0)))))</f>
        <v>29286</v>
      </c>
      <c r="AE22" s="6" t="e">
        <f>IF(ISNA(MATCH(AE$2,Inputs!$K$4:$AJ$4,0)),NA(),IF(SUMPRODUCT((Inputs!$A$5:$A$120=$B22)*ISNUMBER(INDEX(Inputs!$K$5:$AJ$120,0,MATCH(AE$2,Inputs!$K$4:$AJ$4,0))))+SUMPRODUCT((Inputs!$C$5:$C$120=$B22)*ISNUMBER(INDEX(Inputs!$K$5:$AJ$120,0,MATCH(AE$2,Inputs!$K$4:$AJ$4,0))))+SUMPRODUCT((Inputs!$E$5:$E$120=$B22)*ISNUMBER(INDEX(Inputs!$K$5:$AJ$120,0,MATCH(AE$2,Inputs!$K$4:$AJ$4,0))))=0,NA(),SUMPRODUCT((Inputs!$A$5:$A$120=$B22)*Inputs!$B$5:$B$120*(((Inputs!$G$5:$G$120="moeda")+(Inputs!$G$5:$G$120="acoes"))*Inputs!$B$1+((Inputs!$G$5:$G$120&lt;&gt;"moeda")*(Inputs!$G$5:$G$120&lt;&gt;"acoes")))*INDEX(Inputs!$K$5:$AJ$120,0,MATCH(AE$2,Inputs!$K$4:$AJ$4,0)))+SUMPRODUCT((Inputs!$C$5:$C$120=$B22)*Inputs!$D$5:$D$120*(((Inputs!$G$5:$G$120="moeda")+(Inputs!$G$5:$G$120="acoes"))*Inputs!$B$1+((Inputs!$G$5:$G$120&lt;&gt;"moeda")*(Inputs!$G$5:$G$120&lt;&gt;"acoes")))*INDEX(Inputs!$K$5:$AJ$120,0,MATCH(AE$2,Inputs!$K$4:$AJ$4,0)))+SUMPRODUCT((Inputs!$E$5:$E$120=$B22)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2" s="6" t="e">
        <f>IF(ISNA(MATCH(AF$2,Inputs!$K$4:$AJ$4,0)),NA(),IF(SUMPRODUCT((Inputs!$A$5:$A$120=$B22)*ISNUMBER(INDEX(Inputs!$K$5:$AJ$120,0,MATCH(AF$2,Inputs!$K$4:$AJ$4,0))))+SUMPRODUCT((Inputs!$C$5:$C$120=$B22)*ISNUMBER(INDEX(Inputs!$K$5:$AJ$120,0,MATCH(AF$2,Inputs!$K$4:$AJ$4,0))))+SUMPRODUCT((Inputs!$E$5:$E$120=$B22)*ISNUMBER(INDEX(Inputs!$K$5:$AJ$120,0,MATCH(AF$2,Inputs!$K$4:$AJ$4,0))))=0,NA(),SUMPRODUCT((Inputs!$A$5:$A$120=$B22)*Inputs!$B$5:$B$120*(((Inputs!$G$5:$G$120="moeda")+(Inputs!$G$5:$G$120="acoes"))*Inputs!$B$1+((Inputs!$G$5:$G$120&lt;&gt;"moeda")*(Inputs!$G$5:$G$120&lt;&gt;"acoes")))*INDEX(Inputs!$K$5:$AJ$120,0,MATCH(AF$2,Inputs!$K$4:$AJ$4,0)))+SUMPRODUCT((Inputs!$C$5:$C$120=$B22)*Inputs!$D$5:$D$120*(((Inputs!$G$5:$G$120="moeda")+(Inputs!$G$5:$G$120="acoes"))*Inputs!$B$1+((Inputs!$G$5:$G$120&lt;&gt;"moeda")*(Inputs!$G$5:$G$120&lt;&gt;"acoes")))*INDEX(Inputs!$K$5:$AJ$120,0,MATCH(AF$2,Inputs!$K$4:$AJ$4,0)))+SUMPRODUCT((Inputs!$E$5:$E$120=$B22)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2" s="3" t="e">
        <f>AF22</f>
        <v>#N/A</v>
      </c>
      <c r="AH22" s="6">
        <f>IF(ISNA(MATCH(AH$2,Inputs!$K$4:$AJ$4,0)),NA(),IF(SUMPRODUCT((Inputs!$A$5:$A$120=$B22)*ISNUMBER(INDEX(Inputs!$K$5:$AJ$120,0,MATCH(AH$2,Inputs!$K$4:$AJ$4,0))))+SUMPRODUCT((Inputs!$C$5:$C$120=$B22)*ISNUMBER(INDEX(Inputs!$K$5:$AJ$120,0,MATCH(AH$2,Inputs!$K$4:$AJ$4,0))))+SUMPRODUCT((Inputs!$E$5:$E$120=$B22)*ISNUMBER(INDEX(Inputs!$K$5:$AJ$120,0,MATCH(AH$2,Inputs!$K$4:$AJ$4,0))))=0,NA(),SUMPRODUCT((Inputs!$A$5:$A$120=$B22)*Inputs!$B$5:$B$120*(((Inputs!$G$5:$G$120="moeda")+(Inputs!$G$5:$G$120="acoes"))*Inputs!$B$1+((Inputs!$G$5:$G$120&lt;&gt;"moeda")*(Inputs!$G$5:$G$120&lt;&gt;"acoes")))*INDEX(Inputs!$K$5:$AJ$120,0,MATCH(AH$2,Inputs!$K$4:$AJ$4,0)))+SUMPRODUCT((Inputs!$C$5:$C$120=$B22)*Inputs!$D$5:$D$120*(((Inputs!$G$5:$G$120="moeda")+(Inputs!$G$5:$G$120="acoes"))*Inputs!$B$1+((Inputs!$G$5:$G$120&lt;&gt;"moeda")*(Inputs!$G$5:$G$120&lt;&gt;"acoes")))*INDEX(Inputs!$K$5:$AJ$120,0,MATCH(AH$2,Inputs!$K$4:$AJ$4,0)))+SUMPRODUCT((Inputs!$E$5:$E$120=$B22)*Inputs!$F$5:$F$120*(((Inputs!$G$5:$G$120="moeda")+(Inputs!$G$5:$G$120="acoes"))*Inputs!$B$1+((Inputs!$G$5:$G$120&lt;&gt;"moeda")*(Inputs!$G$5:$G$120&lt;&gt;"acoes")))*INDEX(Inputs!$K$5:$AJ$120,0,MATCH(AH$2,Inputs!$K$4:$AJ$4,0)))))</f>
        <v>7897.9</v>
      </c>
      <c r="AI22" s="6">
        <f>IF(ISNA(MATCH(AI$2,Inputs!$K$4:$AJ$4,0)),NA(),IF(SUMPRODUCT((Inputs!$A$5:$A$120=$B22)*ISNUMBER(INDEX(Inputs!$K$5:$AJ$120,0,MATCH(AI$2,Inputs!$K$4:$AJ$4,0))))+SUMPRODUCT((Inputs!$C$5:$C$120=$B22)*ISNUMBER(INDEX(Inputs!$K$5:$AJ$120,0,MATCH(AI$2,Inputs!$K$4:$AJ$4,0))))+SUMPRODUCT((Inputs!$E$5:$E$120=$B22)*ISNUMBER(INDEX(Inputs!$K$5:$AJ$120,0,MATCH(AI$2,Inputs!$K$4:$AJ$4,0))))=0,NA(),SUMPRODUCT((Inputs!$A$5:$A$120=$B22)*Inputs!$B$5:$B$120*(((Inputs!$G$5:$G$120="moeda")+(Inputs!$G$5:$G$120="acoes"))*Inputs!$B$1+((Inputs!$G$5:$G$120&lt;&gt;"moeda")*(Inputs!$G$5:$G$120&lt;&gt;"acoes")))*INDEX(Inputs!$K$5:$AJ$120,0,MATCH(AI$2,Inputs!$K$4:$AJ$4,0)))+SUMPRODUCT((Inputs!$C$5:$C$120=$B22)*Inputs!$D$5:$D$120*(((Inputs!$G$5:$G$120="moeda")+(Inputs!$G$5:$G$120="acoes"))*Inputs!$B$1+((Inputs!$G$5:$G$120&lt;&gt;"moeda")*(Inputs!$G$5:$G$120&lt;&gt;"acoes")))*INDEX(Inputs!$K$5:$AJ$120,0,MATCH(AI$2,Inputs!$K$4:$AJ$4,0)))+SUMPRODUCT((Inputs!$E$5:$E$120=$B22)*Inputs!$F$5:$F$120*(((Inputs!$G$5:$G$120="moeda")+(Inputs!$G$5:$G$120="acoes"))*Inputs!$B$1+((Inputs!$G$5:$G$120&lt;&gt;"moeda")*(Inputs!$G$5:$G$120&lt;&gt;"acoes")))*INDEX(Inputs!$K$5:$AJ$120,0,MATCH(AI$2,Inputs!$K$4:$AJ$4,0)))))</f>
        <v>7981.1</v>
      </c>
      <c r="AJ22" s="6">
        <f>IF(ISNA(MATCH(AJ$2,Inputs!$K$4:$AJ$4,0)),NA(),IF(SUMPRODUCT((Inputs!$A$5:$A$120=$B22)*ISNUMBER(INDEX(Inputs!$K$5:$AJ$120,0,MATCH(AJ$2,Inputs!$K$4:$AJ$4,0))))+SUMPRODUCT((Inputs!$C$5:$C$120=$B22)*ISNUMBER(INDEX(Inputs!$K$5:$AJ$120,0,MATCH(AJ$2,Inputs!$K$4:$AJ$4,0))))+SUMPRODUCT((Inputs!$E$5:$E$120=$B22)*ISNUMBER(INDEX(Inputs!$K$5:$AJ$120,0,MATCH(AJ$2,Inputs!$K$4:$AJ$4,0))))=0,NA(),SUMPRODUCT((Inputs!$A$5:$A$120=$B22)*Inputs!$B$5:$B$120*(((Inputs!$G$5:$G$120="moeda")+(Inputs!$G$5:$G$120="acoes"))*Inputs!$B$1+((Inputs!$G$5:$G$120&lt;&gt;"moeda")*(Inputs!$G$5:$G$120&lt;&gt;"acoes")))*INDEX(Inputs!$K$5:$AJ$120,0,MATCH(AJ$2,Inputs!$K$4:$AJ$4,0)))+SUMPRODUCT((Inputs!$C$5:$C$120=$B22)*Inputs!$D$5:$D$120*(((Inputs!$G$5:$G$120="moeda")+(Inputs!$G$5:$G$120="acoes"))*Inputs!$B$1+((Inputs!$G$5:$G$120&lt;&gt;"moeda")*(Inputs!$G$5:$G$120&lt;&gt;"acoes")))*INDEX(Inputs!$K$5:$AJ$120,0,MATCH(AJ$2,Inputs!$K$4:$AJ$4,0)))+SUMPRODUCT((Inputs!$E$5:$E$120=$B22)*Inputs!$F$5:$F$120*(((Inputs!$G$5:$G$120="moeda")+(Inputs!$G$5:$G$120="acoes"))*Inputs!$B$1+((Inputs!$G$5:$G$120&lt;&gt;"moeda")*(Inputs!$G$5:$G$120&lt;&gt;"acoes")))*INDEX(Inputs!$K$5:$AJ$120,0,MATCH(AJ$2,Inputs!$K$4:$AJ$4,0)))))</f>
        <v>8281.1</v>
      </c>
      <c r="AK22" s="6">
        <f>IF(ISNA(MATCH(AK$2,Inputs!$K$4:$AJ$4,0)),NA(),IF(SUMPRODUCT((Inputs!$A$5:$A$120=$B22)*ISNUMBER(INDEX(Inputs!$K$5:$AJ$120,0,MATCH(AK$2,Inputs!$K$4:$AJ$4,0))))+SUMPRODUCT((Inputs!$C$5:$C$120=$B22)*ISNUMBER(INDEX(Inputs!$K$5:$AJ$120,0,MATCH(AK$2,Inputs!$K$4:$AJ$4,0))))+SUMPRODUCT((Inputs!$E$5:$E$120=$B22)*ISNUMBER(INDEX(Inputs!$K$5:$AJ$120,0,MATCH(AK$2,Inputs!$K$4:$AJ$4,0))))=0,NA(),SUMPRODUCT((Inputs!$A$5:$A$120=$B22)*Inputs!$B$5:$B$120*(((Inputs!$G$5:$G$120="moeda")+(Inputs!$G$5:$G$120="acoes"))*Inputs!$B$1+((Inputs!$G$5:$G$120&lt;&gt;"moeda")*(Inputs!$G$5:$G$120&lt;&gt;"acoes")))*INDEX(Inputs!$K$5:$AJ$120,0,MATCH(AK$2,Inputs!$K$4:$AJ$4,0)))+SUMPRODUCT((Inputs!$C$5:$C$120=$B22)*Inputs!$D$5:$D$120*(((Inputs!$G$5:$G$120="moeda")+(Inputs!$G$5:$G$120="acoes"))*Inputs!$B$1+((Inputs!$G$5:$G$120&lt;&gt;"moeda")*(Inputs!$G$5:$G$120&lt;&gt;"acoes")))*INDEX(Inputs!$K$5:$AJ$120,0,MATCH(AK$2,Inputs!$K$4:$AJ$4,0)))+SUMPRODUCT((Inputs!$E$5:$E$120=$B22)*Inputs!$F$5:$F$120*(((Inputs!$G$5:$G$120="moeda")+(Inputs!$G$5:$G$120="acoes"))*Inputs!$B$1+((Inputs!$G$5:$G$120&lt;&gt;"moeda")*(Inputs!$G$5:$G$120&lt;&gt;"acoes")))*INDEX(Inputs!$K$5:$AJ$120,0,MATCH(AK$2,Inputs!$K$4:$AJ$4,0)))))</f>
        <v>8681.9</v>
      </c>
      <c r="AL22" s="3">
        <f>AK22</f>
        <v>8681.9</v>
      </c>
    </row>
    <row r="23">
      <c r="B23" s="46" t="n">
        <v>19</v>
      </c>
      <c r="C23" s="26" t="inlineStr">
        <is>
          <t>Right-of-use-assets</t>
        </is>
      </c>
      <c r="D23" s="6">
        <f>IF(ISNA(MATCH(D$2,Inputs!$K$4:$AJ$4,0)),NA(),IF(SUMPRODUCT((Inputs!$A$5:$A$120=$B23)*ISNUMBER(INDEX(Inputs!$K$5:$AJ$120,0,MATCH(D$2,Inputs!$K$4:$AJ$4,0))))+SUMPRODUCT((Inputs!$C$5:$C$120=$B23)*ISNUMBER(INDEX(Inputs!$K$5:$AJ$120,0,MATCH(D$2,Inputs!$K$4:$AJ$4,0))))+SUMPRODUCT((Inputs!$E$5:$E$120=$B23)*ISNUMBER(INDEX(Inputs!$K$5:$AJ$120,0,MATCH(D$2,Inputs!$K$4:$AJ$4,0))))=0,NA(),SUMPRODUCT((Inputs!$A$5:$A$120=$B23)*Inputs!$B$5:$B$120*(((Inputs!$G$5:$G$120="moeda")+(Inputs!$G$5:$G$120="acoes"))*Inputs!$B$1+((Inputs!$G$5:$G$120&lt;&gt;"moeda")*(Inputs!$G$5:$G$120&lt;&gt;"acoes")))*INDEX(Inputs!$K$5:$AJ$120,0,MATCH(D$2,Inputs!$K$4:$AJ$4,0)))+SUMPRODUCT((Inputs!$C$5:$C$120=$B23)*Inputs!$D$5:$D$120*(((Inputs!$G$5:$G$120="moeda")+(Inputs!$G$5:$G$120="acoes"))*Inputs!$B$1+((Inputs!$G$5:$G$120&lt;&gt;"moeda")*(Inputs!$G$5:$G$120&lt;&gt;"acoes")))*INDEX(Inputs!$K$5:$AJ$120,0,MATCH(D$2,Inputs!$K$4:$AJ$4,0)))+SUMPRODUCT((Inputs!$E$5:$E$120=$B23)*Inputs!$F$5:$F$120*(((Inputs!$G$5:$G$120="moeda")+(Inputs!$G$5:$G$120="acoes"))*Inputs!$B$1+((Inputs!$G$5:$G$120&lt;&gt;"moeda")*(Inputs!$G$5:$G$120&lt;&gt;"acoes")))*INDEX(Inputs!$K$5:$AJ$120,0,MATCH(D$2,Inputs!$K$4:$AJ$4,0)))))</f>
        <v>0</v>
      </c>
      <c r="E23" s="6">
        <f>IF(ISNA(MATCH(E$2,Inputs!$K$4:$AJ$4,0)),NA(),IF(SUMPRODUCT((Inputs!$A$5:$A$120=$B23)*ISNUMBER(INDEX(Inputs!$K$5:$AJ$120,0,MATCH(E$2,Inputs!$K$4:$AJ$4,0))))+SUMPRODUCT((Inputs!$C$5:$C$120=$B23)*ISNUMBER(INDEX(Inputs!$K$5:$AJ$120,0,MATCH(E$2,Inputs!$K$4:$AJ$4,0))))+SUMPRODUCT((Inputs!$E$5:$E$120=$B23)*ISNUMBER(INDEX(Inputs!$K$5:$AJ$120,0,MATCH(E$2,Inputs!$K$4:$AJ$4,0))))=0,NA(),SUMPRODUCT((Inputs!$A$5:$A$120=$B23)*Inputs!$B$5:$B$120*(((Inputs!$G$5:$G$120="moeda")+(Inputs!$G$5:$G$120="acoes"))*Inputs!$B$1+((Inputs!$G$5:$G$120&lt;&gt;"moeda")*(Inputs!$G$5:$G$120&lt;&gt;"acoes")))*INDEX(Inputs!$K$5:$AJ$120,0,MATCH(E$2,Inputs!$K$4:$AJ$4,0)))+SUMPRODUCT((Inputs!$C$5:$C$120=$B23)*Inputs!$D$5:$D$120*(((Inputs!$G$5:$G$120="moeda")+(Inputs!$G$5:$G$120="acoes"))*Inputs!$B$1+((Inputs!$G$5:$G$120&lt;&gt;"moeda")*(Inputs!$G$5:$G$120&lt;&gt;"acoes")))*INDEX(Inputs!$K$5:$AJ$120,0,MATCH(E$2,Inputs!$K$4:$AJ$4,0)))+SUMPRODUCT((Inputs!$E$5:$E$120=$B23)*Inputs!$F$5:$F$120*(((Inputs!$G$5:$G$120="moeda")+(Inputs!$G$5:$G$120="acoes"))*Inputs!$B$1+((Inputs!$G$5:$G$120&lt;&gt;"moeda")*(Inputs!$G$5:$G$120&lt;&gt;"acoes")))*INDEX(Inputs!$K$5:$AJ$120,0,MATCH(E$2,Inputs!$K$4:$AJ$4,0)))))</f>
        <v>0</v>
      </c>
      <c r="F23" s="6">
        <f>IF(ISNA(MATCH(F$2,Inputs!$K$4:$AJ$4,0)),NA(),IF(SUMPRODUCT((Inputs!$A$5:$A$120=$B23)*ISNUMBER(INDEX(Inputs!$K$5:$AJ$120,0,MATCH(F$2,Inputs!$K$4:$AJ$4,0))))+SUMPRODUCT((Inputs!$C$5:$C$120=$B23)*ISNUMBER(INDEX(Inputs!$K$5:$AJ$120,0,MATCH(F$2,Inputs!$K$4:$AJ$4,0))))+SUMPRODUCT((Inputs!$E$5:$E$120=$B23)*ISNUMBER(INDEX(Inputs!$K$5:$AJ$120,0,MATCH(F$2,Inputs!$K$4:$AJ$4,0))))=0,NA(),SUMPRODUCT((Inputs!$A$5:$A$120=$B23)*Inputs!$B$5:$B$120*(((Inputs!$G$5:$G$120="moeda")+(Inputs!$G$5:$G$120="acoes"))*Inputs!$B$1+((Inputs!$G$5:$G$120&lt;&gt;"moeda")*(Inputs!$G$5:$G$120&lt;&gt;"acoes")))*INDEX(Inputs!$K$5:$AJ$120,0,MATCH(F$2,Inputs!$K$4:$AJ$4,0)))+SUMPRODUCT((Inputs!$C$5:$C$120=$B23)*Inputs!$D$5:$D$120*(((Inputs!$G$5:$G$120="moeda")+(Inputs!$G$5:$G$120="acoes"))*Inputs!$B$1+((Inputs!$G$5:$G$120&lt;&gt;"moeda")*(Inputs!$G$5:$G$120&lt;&gt;"acoes")))*INDEX(Inputs!$K$5:$AJ$120,0,MATCH(F$2,Inputs!$K$4:$AJ$4,0)))+SUMPRODUCT((Inputs!$E$5:$E$120=$B23)*Inputs!$F$5:$F$120*(((Inputs!$G$5:$G$120="moeda")+(Inputs!$G$5:$G$120="acoes"))*Inputs!$B$1+((Inputs!$G$5:$G$120&lt;&gt;"moeda")*(Inputs!$G$5:$G$120&lt;&gt;"acoes")))*INDEX(Inputs!$K$5:$AJ$120,0,MATCH(F$2,Inputs!$K$4:$AJ$4,0)))))</f>
        <v>0</v>
      </c>
      <c r="G23" s="6">
        <f>IF(ISNA(MATCH(G$2,Inputs!$K$4:$AJ$4,0)),NA(),IF(SUMPRODUCT((Inputs!$A$5:$A$120=$B23)*ISNUMBER(INDEX(Inputs!$K$5:$AJ$120,0,MATCH(G$2,Inputs!$K$4:$AJ$4,0))))+SUMPRODUCT((Inputs!$C$5:$C$120=$B23)*ISNUMBER(INDEX(Inputs!$K$5:$AJ$120,0,MATCH(G$2,Inputs!$K$4:$AJ$4,0))))+SUMPRODUCT((Inputs!$E$5:$E$120=$B23)*ISNUMBER(INDEX(Inputs!$K$5:$AJ$120,0,MATCH(G$2,Inputs!$K$4:$AJ$4,0))))=0,NA(),SUMPRODUCT((Inputs!$A$5:$A$120=$B23)*Inputs!$B$5:$B$120*(((Inputs!$G$5:$G$120="moeda")+(Inputs!$G$5:$G$120="acoes"))*Inputs!$B$1+((Inputs!$G$5:$G$120&lt;&gt;"moeda")*(Inputs!$G$5:$G$120&lt;&gt;"acoes")))*INDEX(Inputs!$K$5:$AJ$120,0,MATCH(G$2,Inputs!$K$4:$AJ$4,0)))+SUMPRODUCT((Inputs!$C$5:$C$120=$B23)*Inputs!$D$5:$D$120*(((Inputs!$G$5:$G$120="moeda")+(Inputs!$G$5:$G$120="acoes"))*Inputs!$B$1+((Inputs!$G$5:$G$120&lt;&gt;"moeda")*(Inputs!$G$5:$G$120&lt;&gt;"acoes")))*INDEX(Inputs!$K$5:$AJ$120,0,MATCH(G$2,Inputs!$K$4:$AJ$4,0)))+SUMPRODUCT((Inputs!$E$5:$E$120=$B23)*Inputs!$F$5:$F$120*(((Inputs!$G$5:$G$120="moeda")+(Inputs!$G$5:$G$120="acoes"))*Inputs!$B$1+((Inputs!$G$5:$G$120&lt;&gt;"moeda")*(Inputs!$G$5:$G$120&lt;&gt;"acoes")))*INDEX(Inputs!$K$5:$AJ$120,0,MATCH(G$2,Inputs!$K$4:$AJ$4,0)))))</f>
        <v>0</v>
      </c>
      <c r="H23" s="3">
        <f>G23</f>
        <v>0</v>
      </c>
      <c r="I23" s="6">
        <f>IF(ISNA(MATCH(I$2,Inputs!$K$4:$AJ$4,0)),NA(),IF(SUMPRODUCT((Inputs!$A$5:$A$120=$B23)*ISNUMBER(INDEX(Inputs!$K$5:$AJ$120,0,MATCH(I$2,Inputs!$K$4:$AJ$4,0))))+SUMPRODUCT((Inputs!$C$5:$C$120=$B23)*ISNUMBER(INDEX(Inputs!$K$5:$AJ$120,0,MATCH(I$2,Inputs!$K$4:$AJ$4,0))))+SUMPRODUCT((Inputs!$E$5:$E$120=$B23)*ISNUMBER(INDEX(Inputs!$K$5:$AJ$120,0,MATCH(I$2,Inputs!$K$4:$AJ$4,0))))=0,NA(),SUMPRODUCT((Inputs!$A$5:$A$120=$B23)*Inputs!$B$5:$B$120*(((Inputs!$G$5:$G$120="moeda")+(Inputs!$G$5:$G$120="acoes"))*Inputs!$B$1+((Inputs!$G$5:$G$120&lt;&gt;"moeda")*(Inputs!$G$5:$G$120&lt;&gt;"acoes")))*INDEX(Inputs!$K$5:$AJ$120,0,MATCH(I$2,Inputs!$K$4:$AJ$4,0)))+SUMPRODUCT((Inputs!$C$5:$C$120=$B23)*Inputs!$D$5:$D$120*(((Inputs!$G$5:$G$120="moeda")+(Inputs!$G$5:$G$120="acoes"))*Inputs!$B$1+((Inputs!$G$5:$G$120&lt;&gt;"moeda")*(Inputs!$G$5:$G$120&lt;&gt;"acoes")))*INDEX(Inputs!$K$5:$AJ$120,0,MATCH(I$2,Inputs!$K$4:$AJ$4,0)))+SUMPRODUCT((Inputs!$E$5:$E$120=$B23)*Inputs!$F$5:$F$120*(((Inputs!$G$5:$G$120="moeda")+(Inputs!$G$5:$G$120="acoes"))*Inputs!$B$1+((Inputs!$G$5:$G$120&lt;&gt;"moeda")*(Inputs!$G$5:$G$120&lt;&gt;"acoes")))*INDEX(Inputs!$K$5:$AJ$120,0,MATCH(I$2,Inputs!$K$4:$AJ$4,0)))))</f>
        <v>0</v>
      </c>
      <c r="J23" s="6">
        <f>IF(ISNA(MATCH(J$2,Inputs!$K$4:$AJ$4,0)),NA(),IF(SUMPRODUCT((Inputs!$A$5:$A$120=$B23)*ISNUMBER(INDEX(Inputs!$K$5:$AJ$120,0,MATCH(J$2,Inputs!$K$4:$AJ$4,0))))+SUMPRODUCT((Inputs!$C$5:$C$120=$B23)*ISNUMBER(INDEX(Inputs!$K$5:$AJ$120,0,MATCH(J$2,Inputs!$K$4:$AJ$4,0))))+SUMPRODUCT((Inputs!$E$5:$E$120=$B23)*ISNUMBER(INDEX(Inputs!$K$5:$AJ$120,0,MATCH(J$2,Inputs!$K$4:$AJ$4,0))))=0,NA(),SUMPRODUCT((Inputs!$A$5:$A$120=$B23)*Inputs!$B$5:$B$120*(((Inputs!$G$5:$G$120="moeda")+(Inputs!$G$5:$G$120="acoes"))*Inputs!$B$1+((Inputs!$G$5:$G$120&lt;&gt;"moeda")*(Inputs!$G$5:$G$120&lt;&gt;"acoes")))*INDEX(Inputs!$K$5:$AJ$120,0,MATCH(J$2,Inputs!$K$4:$AJ$4,0)))+SUMPRODUCT((Inputs!$C$5:$C$120=$B23)*Inputs!$D$5:$D$120*(((Inputs!$G$5:$G$120="moeda")+(Inputs!$G$5:$G$120="acoes"))*Inputs!$B$1+((Inputs!$G$5:$G$120&lt;&gt;"moeda")*(Inputs!$G$5:$G$120&lt;&gt;"acoes")))*INDEX(Inputs!$K$5:$AJ$120,0,MATCH(J$2,Inputs!$K$4:$AJ$4,0)))+SUMPRODUCT((Inputs!$E$5:$E$120=$B23)*Inputs!$F$5:$F$120*(((Inputs!$G$5:$G$120="moeda")+(Inputs!$G$5:$G$120="acoes"))*Inputs!$B$1+((Inputs!$G$5:$G$120&lt;&gt;"moeda")*(Inputs!$G$5:$G$120&lt;&gt;"acoes")))*INDEX(Inputs!$K$5:$AJ$120,0,MATCH(J$2,Inputs!$K$4:$AJ$4,0)))))</f>
        <v>0</v>
      </c>
      <c r="K23" s="6">
        <f>IF(ISNA(MATCH(K$2,Inputs!$K$4:$AJ$4,0)),NA(),IF(SUMPRODUCT((Inputs!$A$5:$A$120=$B23)*ISNUMBER(INDEX(Inputs!$K$5:$AJ$120,0,MATCH(K$2,Inputs!$K$4:$AJ$4,0))))+SUMPRODUCT((Inputs!$C$5:$C$120=$B23)*ISNUMBER(INDEX(Inputs!$K$5:$AJ$120,0,MATCH(K$2,Inputs!$K$4:$AJ$4,0))))+SUMPRODUCT((Inputs!$E$5:$E$120=$B23)*ISNUMBER(INDEX(Inputs!$K$5:$AJ$120,0,MATCH(K$2,Inputs!$K$4:$AJ$4,0))))=0,NA(),SUMPRODUCT((Inputs!$A$5:$A$120=$B23)*Inputs!$B$5:$B$120*(((Inputs!$G$5:$G$120="moeda")+(Inputs!$G$5:$G$120="acoes"))*Inputs!$B$1+((Inputs!$G$5:$G$120&lt;&gt;"moeda")*(Inputs!$G$5:$G$120&lt;&gt;"acoes")))*INDEX(Inputs!$K$5:$AJ$120,0,MATCH(K$2,Inputs!$K$4:$AJ$4,0)))+SUMPRODUCT((Inputs!$C$5:$C$120=$B23)*Inputs!$D$5:$D$120*(((Inputs!$G$5:$G$120="moeda")+(Inputs!$G$5:$G$120="acoes"))*Inputs!$B$1+((Inputs!$G$5:$G$120&lt;&gt;"moeda")*(Inputs!$G$5:$G$120&lt;&gt;"acoes")))*INDEX(Inputs!$K$5:$AJ$120,0,MATCH(K$2,Inputs!$K$4:$AJ$4,0)))+SUMPRODUCT((Inputs!$E$5:$E$120=$B23)*Inputs!$F$5:$F$120*(((Inputs!$G$5:$G$120="moeda")+(Inputs!$G$5:$G$120="acoes"))*Inputs!$B$1+((Inputs!$G$5:$G$120&lt;&gt;"moeda")*(Inputs!$G$5:$G$120&lt;&gt;"acoes")))*INDEX(Inputs!$K$5:$AJ$120,0,MATCH(K$2,Inputs!$K$4:$AJ$4,0)))))</f>
        <v>0</v>
      </c>
      <c r="L23" s="6">
        <f>IF(ISNA(MATCH(L$2,Inputs!$K$4:$AJ$4,0)),NA(),IF(SUMPRODUCT((Inputs!$A$5:$A$120=$B23)*ISNUMBER(INDEX(Inputs!$K$5:$AJ$120,0,MATCH(L$2,Inputs!$K$4:$AJ$4,0))))+SUMPRODUCT((Inputs!$C$5:$C$120=$B23)*ISNUMBER(INDEX(Inputs!$K$5:$AJ$120,0,MATCH(L$2,Inputs!$K$4:$AJ$4,0))))+SUMPRODUCT((Inputs!$E$5:$E$120=$B23)*ISNUMBER(INDEX(Inputs!$K$5:$AJ$120,0,MATCH(L$2,Inputs!$K$4:$AJ$4,0))))=0,NA(),SUMPRODUCT((Inputs!$A$5:$A$120=$B23)*Inputs!$B$5:$B$120*(((Inputs!$G$5:$G$120="moeda")+(Inputs!$G$5:$G$120="acoes"))*Inputs!$B$1+((Inputs!$G$5:$G$120&lt;&gt;"moeda")*(Inputs!$G$5:$G$120&lt;&gt;"acoes")))*INDEX(Inputs!$K$5:$AJ$120,0,MATCH(L$2,Inputs!$K$4:$AJ$4,0)))+SUMPRODUCT((Inputs!$C$5:$C$120=$B23)*Inputs!$D$5:$D$120*(((Inputs!$G$5:$G$120="moeda")+(Inputs!$G$5:$G$120="acoes"))*Inputs!$B$1+((Inputs!$G$5:$G$120&lt;&gt;"moeda")*(Inputs!$G$5:$G$120&lt;&gt;"acoes")))*INDEX(Inputs!$K$5:$AJ$120,0,MATCH(L$2,Inputs!$K$4:$AJ$4,0)))+SUMPRODUCT((Inputs!$E$5:$E$120=$B23)*Inputs!$F$5:$F$120*(((Inputs!$G$5:$G$120="moeda")+(Inputs!$G$5:$G$120="acoes"))*Inputs!$B$1+((Inputs!$G$5:$G$120&lt;&gt;"moeda")*(Inputs!$G$5:$G$120&lt;&gt;"acoes")))*INDEX(Inputs!$K$5:$AJ$120,0,MATCH(L$2,Inputs!$K$4:$AJ$4,0)))))</f>
        <v>0</v>
      </c>
      <c r="M23" s="3">
        <f>L23</f>
        <v>0</v>
      </c>
      <c r="N23" s="6">
        <f>IF(ISNA(MATCH(N$2,Inputs!$K$4:$AJ$4,0)),NA(),IF(SUMPRODUCT((Inputs!$A$5:$A$120=$B23)*ISNUMBER(INDEX(Inputs!$K$5:$AJ$120,0,MATCH(N$2,Inputs!$K$4:$AJ$4,0))))+SUMPRODUCT((Inputs!$C$5:$C$120=$B23)*ISNUMBER(INDEX(Inputs!$K$5:$AJ$120,0,MATCH(N$2,Inputs!$K$4:$AJ$4,0))))+SUMPRODUCT((Inputs!$E$5:$E$120=$B23)*ISNUMBER(INDEX(Inputs!$K$5:$AJ$120,0,MATCH(N$2,Inputs!$K$4:$AJ$4,0))))=0,NA(),SUMPRODUCT((Inputs!$A$5:$A$120=$B23)*Inputs!$B$5:$B$120*(((Inputs!$G$5:$G$120="moeda")+(Inputs!$G$5:$G$120="acoes"))*Inputs!$B$1+((Inputs!$G$5:$G$120&lt;&gt;"moeda")*(Inputs!$G$5:$G$120&lt;&gt;"acoes")))*INDEX(Inputs!$K$5:$AJ$120,0,MATCH(N$2,Inputs!$K$4:$AJ$4,0)))+SUMPRODUCT((Inputs!$C$5:$C$120=$B23)*Inputs!$D$5:$D$120*(((Inputs!$G$5:$G$120="moeda")+(Inputs!$G$5:$G$120="acoes"))*Inputs!$B$1+((Inputs!$G$5:$G$120&lt;&gt;"moeda")*(Inputs!$G$5:$G$120&lt;&gt;"acoes")))*INDEX(Inputs!$K$5:$AJ$120,0,MATCH(N$2,Inputs!$K$4:$AJ$4,0)))+SUMPRODUCT((Inputs!$E$5:$E$120=$B23)*Inputs!$F$5:$F$120*(((Inputs!$G$5:$G$120="moeda")+(Inputs!$G$5:$G$120="acoes"))*Inputs!$B$1+((Inputs!$G$5:$G$120&lt;&gt;"moeda")*(Inputs!$G$5:$G$120&lt;&gt;"acoes")))*INDEX(Inputs!$K$5:$AJ$120,0,MATCH(N$2,Inputs!$K$4:$AJ$4,0)))))</f>
        <v>0</v>
      </c>
      <c r="O23" s="6">
        <f>IF(ISNA(MATCH(O$2,Inputs!$K$4:$AJ$4,0)),NA(),IF(SUMPRODUCT((Inputs!$A$5:$A$120=$B23)*ISNUMBER(INDEX(Inputs!$K$5:$AJ$120,0,MATCH(O$2,Inputs!$K$4:$AJ$4,0))))+SUMPRODUCT((Inputs!$C$5:$C$120=$B23)*ISNUMBER(INDEX(Inputs!$K$5:$AJ$120,0,MATCH(O$2,Inputs!$K$4:$AJ$4,0))))+SUMPRODUCT((Inputs!$E$5:$E$120=$B23)*ISNUMBER(INDEX(Inputs!$K$5:$AJ$120,0,MATCH(O$2,Inputs!$K$4:$AJ$4,0))))=0,NA(),SUMPRODUCT((Inputs!$A$5:$A$120=$B23)*Inputs!$B$5:$B$120*(((Inputs!$G$5:$G$120="moeda")+(Inputs!$G$5:$G$120="acoes"))*Inputs!$B$1+((Inputs!$G$5:$G$120&lt;&gt;"moeda")*(Inputs!$G$5:$G$120&lt;&gt;"acoes")))*INDEX(Inputs!$K$5:$AJ$120,0,MATCH(O$2,Inputs!$K$4:$AJ$4,0)))+SUMPRODUCT((Inputs!$C$5:$C$120=$B23)*Inputs!$D$5:$D$120*(((Inputs!$G$5:$G$120="moeda")+(Inputs!$G$5:$G$120="acoes"))*Inputs!$B$1+((Inputs!$G$5:$G$120&lt;&gt;"moeda")*(Inputs!$G$5:$G$120&lt;&gt;"acoes")))*INDEX(Inputs!$K$5:$AJ$120,0,MATCH(O$2,Inputs!$K$4:$AJ$4,0)))+SUMPRODUCT((Inputs!$E$5:$E$120=$B23)*Inputs!$F$5:$F$120*(((Inputs!$G$5:$G$120="moeda")+(Inputs!$G$5:$G$120="acoes"))*Inputs!$B$1+((Inputs!$G$5:$G$120&lt;&gt;"moeda")*(Inputs!$G$5:$G$120&lt;&gt;"acoes")))*INDEX(Inputs!$K$5:$AJ$120,0,MATCH(O$2,Inputs!$K$4:$AJ$4,0)))))</f>
        <v>0</v>
      </c>
      <c r="P23" s="6">
        <f>IF(ISNA(MATCH(P$2,Inputs!$K$4:$AJ$4,0)),NA(),IF(SUMPRODUCT((Inputs!$A$5:$A$120=$B23)*ISNUMBER(INDEX(Inputs!$K$5:$AJ$120,0,MATCH(P$2,Inputs!$K$4:$AJ$4,0))))+SUMPRODUCT((Inputs!$C$5:$C$120=$B23)*ISNUMBER(INDEX(Inputs!$K$5:$AJ$120,0,MATCH(P$2,Inputs!$K$4:$AJ$4,0))))+SUMPRODUCT((Inputs!$E$5:$E$120=$B23)*ISNUMBER(INDEX(Inputs!$K$5:$AJ$120,0,MATCH(P$2,Inputs!$K$4:$AJ$4,0))))=0,NA(),SUMPRODUCT((Inputs!$A$5:$A$120=$B23)*Inputs!$B$5:$B$120*(((Inputs!$G$5:$G$120="moeda")+(Inputs!$G$5:$G$120="acoes"))*Inputs!$B$1+((Inputs!$G$5:$G$120&lt;&gt;"moeda")*(Inputs!$G$5:$G$120&lt;&gt;"acoes")))*INDEX(Inputs!$K$5:$AJ$120,0,MATCH(P$2,Inputs!$K$4:$AJ$4,0)))+SUMPRODUCT((Inputs!$C$5:$C$120=$B23)*Inputs!$D$5:$D$120*(((Inputs!$G$5:$G$120="moeda")+(Inputs!$G$5:$G$120="acoes"))*Inputs!$B$1+((Inputs!$G$5:$G$120&lt;&gt;"moeda")*(Inputs!$G$5:$G$120&lt;&gt;"acoes")))*INDEX(Inputs!$K$5:$AJ$120,0,MATCH(P$2,Inputs!$K$4:$AJ$4,0)))+SUMPRODUCT((Inputs!$E$5:$E$120=$B23)*Inputs!$F$5:$F$120*(((Inputs!$G$5:$G$120="moeda")+(Inputs!$G$5:$G$120="acoes"))*Inputs!$B$1+((Inputs!$G$5:$G$120&lt;&gt;"moeda")*(Inputs!$G$5:$G$120&lt;&gt;"acoes")))*INDEX(Inputs!$K$5:$AJ$120,0,MATCH(P$2,Inputs!$K$4:$AJ$4,0)))))</f>
        <v>0</v>
      </c>
      <c r="Q23" s="6">
        <f>IF(ISNA(MATCH(Q$2,Inputs!$K$4:$AJ$4,0)),NA(),IF(SUMPRODUCT((Inputs!$A$5:$A$120=$B23)*ISNUMBER(INDEX(Inputs!$K$5:$AJ$120,0,MATCH(Q$2,Inputs!$K$4:$AJ$4,0))))+SUMPRODUCT((Inputs!$C$5:$C$120=$B23)*ISNUMBER(INDEX(Inputs!$K$5:$AJ$120,0,MATCH(Q$2,Inputs!$K$4:$AJ$4,0))))+SUMPRODUCT((Inputs!$E$5:$E$120=$B23)*ISNUMBER(INDEX(Inputs!$K$5:$AJ$120,0,MATCH(Q$2,Inputs!$K$4:$AJ$4,0))))=0,NA(),SUMPRODUCT((Inputs!$A$5:$A$120=$B23)*Inputs!$B$5:$B$120*(((Inputs!$G$5:$G$120="moeda")+(Inputs!$G$5:$G$120="acoes"))*Inputs!$B$1+((Inputs!$G$5:$G$120&lt;&gt;"moeda")*(Inputs!$G$5:$G$120&lt;&gt;"acoes")))*INDEX(Inputs!$K$5:$AJ$120,0,MATCH(Q$2,Inputs!$K$4:$AJ$4,0)))+SUMPRODUCT((Inputs!$C$5:$C$120=$B23)*Inputs!$D$5:$D$120*(((Inputs!$G$5:$G$120="moeda")+(Inputs!$G$5:$G$120="acoes"))*Inputs!$B$1+((Inputs!$G$5:$G$120&lt;&gt;"moeda")*(Inputs!$G$5:$G$120&lt;&gt;"acoes")))*INDEX(Inputs!$K$5:$AJ$120,0,MATCH(Q$2,Inputs!$K$4:$AJ$4,0)))+SUMPRODUCT((Inputs!$E$5:$E$120=$B23)*Inputs!$F$5:$F$120*(((Inputs!$G$5:$G$120="moeda")+(Inputs!$G$5:$G$120="acoes"))*Inputs!$B$1+((Inputs!$G$5:$G$120&lt;&gt;"moeda")*(Inputs!$G$5:$G$120&lt;&gt;"acoes")))*INDEX(Inputs!$K$5:$AJ$120,0,MATCH(Q$2,Inputs!$K$4:$AJ$4,0)))))</f>
        <v>0</v>
      </c>
      <c r="R23" s="3">
        <f>Q23</f>
        <v>0</v>
      </c>
      <c r="S23" s="6">
        <f>IF(ISNA(MATCH(S$2,Inputs!$K$4:$AJ$4,0)),NA(),IF(SUMPRODUCT((Inputs!$A$5:$A$120=$B23)*ISNUMBER(INDEX(Inputs!$K$5:$AJ$120,0,MATCH(S$2,Inputs!$K$4:$AJ$4,0))))+SUMPRODUCT((Inputs!$C$5:$C$120=$B23)*ISNUMBER(INDEX(Inputs!$K$5:$AJ$120,0,MATCH(S$2,Inputs!$K$4:$AJ$4,0))))+SUMPRODUCT((Inputs!$E$5:$E$120=$B23)*ISNUMBER(INDEX(Inputs!$K$5:$AJ$120,0,MATCH(S$2,Inputs!$K$4:$AJ$4,0))))=0,NA(),SUMPRODUCT((Inputs!$A$5:$A$120=$B23)*Inputs!$B$5:$B$120*(((Inputs!$G$5:$G$120="moeda")+(Inputs!$G$5:$G$120="acoes"))*Inputs!$B$1+((Inputs!$G$5:$G$120&lt;&gt;"moeda")*(Inputs!$G$5:$G$120&lt;&gt;"acoes")))*INDEX(Inputs!$K$5:$AJ$120,0,MATCH(S$2,Inputs!$K$4:$AJ$4,0)))+SUMPRODUCT((Inputs!$C$5:$C$120=$B23)*Inputs!$D$5:$D$120*(((Inputs!$G$5:$G$120="moeda")+(Inputs!$G$5:$G$120="acoes"))*Inputs!$B$1+((Inputs!$G$5:$G$120&lt;&gt;"moeda")*(Inputs!$G$5:$G$120&lt;&gt;"acoes")))*INDEX(Inputs!$K$5:$AJ$120,0,MATCH(S$2,Inputs!$K$4:$AJ$4,0)))+SUMPRODUCT((Inputs!$E$5:$E$120=$B23)*Inputs!$F$5:$F$120*(((Inputs!$G$5:$G$120="moeda")+(Inputs!$G$5:$G$120="acoes"))*Inputs!$B$1+((Inputs!$G$5:$G$120&lt;&gt;"moeda")*(Inputs!$G$5:$G$120&lt;&gt;"acoes")))*INDEX(Inputs!$K$5:$AJ$120,0,MATCH(S$2,Inputs!$K$4:$AJ$4,0)))))</f>
        <v>0</v>
      </c>
      <c r="T23" s="6">
        <f>IF(ISNA(MATCH(T$2,Inputs!$K$4:$AJ$4,0)),NA(),IF(SUMPRODUCT((Inputs!$A$5:$A$120=$B23)*ISNUMBER(INDEX(Inputs!$K$5:$AJ$120,0,MATCH(T$2,Inputs!$K$4:$AJ$4,0))))+SUMPRODUCT((Inputs!$C$5:$C$120=$B23)*ISNUMBER(INDEX(Inputs!$K$5:$AJ$120,0,MATCH(T$2,Inputs!$K$4:$AJ$4,0))))+SUMPRODUCT((Inputs!$E$5:$E$120=$B23)*ISNUMBER(INDEX(Inputs!$K$5:$AJ$120,0,MATCH(T$2,Inputs!$K$4:$AJ$4,0))))=0,NA(),SUMPRODUCT((Inputs!$A$5:$A$120=$B23)*Inputs!$B$5:$B$120*(((Inputs!$G$5:$G$120="moeda")+(Inputs!$G$5:$G$120="acoes"))*Inputs!$B$1+((Inputs!$G$5:$G$120&lt;&gt;"moeda")*(Inputs!$G$5:$G$120&lt;&gt;"acoes")))*INDEX(Inputs!$K$5:$AJ$120,0,MATCH(T$2,Inputs!$K$4:$AJ$4,0)))+SUMPRODUCT((Inputs!$C$5:$C$120=$B23)*Inputs!$D$5:$D$120*(((Inputs!$G$5:$G$120="moeda")+(Inputs!$G$5:$G$120="acoes"))*Inputs!$B$1+((Inputs!$G$5:$G$120&lt;&gt;"moeda")*(Inputs!$G$5:$G$120&lt;&gt;"acoes")))*INDEX(Inputs!$K$5:$AJ$120,0,MATCH(T$2,Inputs!$K$4:$AJ$4,0)))+SUMPRODUCT((Inputs!$E$5:$E$120=$B23)*Inputs!$F$5:$F$120*(((Inputs!$G$5:$G$120="moeda")+(Inputs!$G$5:$G$120="acoes"))*Inputs!$B$1+((Inputs!$G$5:$G$120&lt;&gt;"moeda")*(Inputs!$G$5:$G$120&lt;&gt;"acoes")))*INDEX(Inputs!$K$5:$AJ$120,0,MATCH(T$2,Inputs!$K$4:$AJ$4,0)))))</f>
        <v>0</v>
      </c>
      <c r="U23" s="6">
        <f>IF(ISNA(MATCH(U$2,Inputs!$K$4:$AJ$4,0)),NA(),IF(SUMPRODUCT((Inputs!$A$5:$A$120=$B23)*ISNUMBER(INDEX(Inputs!$K$5:$AJ$120,0,MATCH(U$2,Inputs!$K$4:$AJ$4,0))))+SUMPRODUCT((Inputs!$C$5:$C$120=$B23)*ISNUMBER(INDEX(Inputs!$K$5:$AJ$120,0,MATCH(U$2,Inputs!$K$4:$AJ$4,0))))+SUMPRODUCT((Inputs!$E$5:$E$120=$B23)*ISNUMBER(INDEX(Inputs!$K$5:$AJ$120,0,MATCH(U$2,Inputs!$K$4:$AJ$4,0))))=0,NA(),SUMPRODUCT((Inputs!$A$5:$A$120=$B23)*Inputs!$B$5:$B$120*(((Inputs!$G$5:$G$120="moeda")+(Inputs!$G$5:$G$120="acoes"))*Inputs!$B$1+((Inputs!$G$5:$G$120&lt;&gt;"moeda")*(Inputs!$G$5:$G$120&lt;&gt;"acoes")))*INDEX(Inputs!$K$5:$AJ$120,0,MATCH(U$2,Inputs!$K$4:$AJ$4,0)))+SUMPRODUCT((Inputs!$C$5:$C$120=$B23)*Inputs!$D$5:$D$120*(((Inputs!$G$5:$G$120="moeda")+(Inputs!$G$5:$G$120="acoes"))*Inputs!$B$1+((Inputs!$G$5:$G$120&lt;&gt;"moeda")*(Inputs!$G$5:$G$120&lt;&gt;"acoes")))*INDEX(Inputs!$K$5:$AJ$120,0,MATCH(U$2,Inputs!$K$4:$AJ$4,0)))+SUMPRODUCT((Inputs!$E$5:$E$120=$B23)*Inputs!$F$5:$F$120*(((Inputs!$G$5:$G$120="moeda")+(Inputs!$G$5:$G$120="acoes"))*Inputs!$B$1+((Inputs!$G$5:$G$120&lt;&gt;"moeda")*(Inputs!$G$5:$G$120&lt;&gt;"acoes")))*INDEX(Inputs!$K$5:$AJ$120,0,MATCH(U$2,Inputs!$K$4:$AJ$4,0)))))</f>
        <v>0</v>
      </c>
      <c r="V23" s="6">
        <f>IF(ISNA(MATCH(V$2,Inputs!$K$4:$AJ$4,0)),NA(),IF(SUMPRODUCT((Inputs!$A$5:$A$120=$B23)*ISNUMBER(INDEX(Inputs!$K$5:$AJ$120,0,MATCH(V$2,Inputs!$K$4:$AJ$4,0))))+SUMPRODUCT((Inputs!$C$5:$C$120=$B23)*ISNUMBER(INDEX(Inputs!$K$5:$AJ$120,0,MATCH(V$2,Inputs!$K$4:$AJ$4,0))))+SUMPRODUCT((Inputs!$E$5:$E$120=$B23)*ISNUMBER(INDEX(Inputs!$K$5:$AJ$120,0,MATCH(V$2,Inputs!$K$4:$AJ$4,0))))=0,NA(),SUMPRODUCT((Inputs!$A$5:$A$120=$B23)*Inputs!$B$5:$B$120*(((Inputs!$G$5:$G$120="moeda")+(Inputs!$G$5:$G$120="acoes"))*Inputs!$B$1+((Inputs!$G$5:$G$120&lt;&gt;"moeda")*(Inputs!$G$5:$G$120&lt;&gt;"acoes")))*INDEX(Inputs!$K$5:$AJ$120,0,MATCH(V$2,Inputs!$K$4:$AJ$4,0)))+SUMPRODUCT((Inputs!$C$5:$C$120=$B23)*Inputs!$D$5:$D$120*(((Inputs!$G$5:$G$120="moeda")+(Inputs!$G$5:$G$120="acoes"))*Inputs!$B$1+((Inputs!$G$5:$G$120&lt;&gt;"moeda")*(Inputs!$G$5:$G$120&lt;&gt;"acoes")))*INDEX(Inputs!$K$5:$AJ$120,0,MATCH(V$2,Inputs!$K$4:$AJ$4,0)))+SUMPRODUCT((Inputs!$E$5:$E$120=$B23)*Inputs!$F$5:$F$120*(((Inputs!$G$5:$G$120="moeda")+(Inputs!$G$5:$G$120="acoes"))*Inputs!$B$1+((Inputs!$G$5:$G$120&lt;&gt;"moeda")*(Inputs!$G$5:$G$120&lt;&gt;"acoes")))*INDEX(Inputs!$K$5:$AJ$120,0,MATCH(V$2,Inputs!$K$4:$AJ$4,0)))))</f>
        <v>0</v>
      </c>
      <c r="W23" s="3">
        <f>V23</f>
        <v>0</v>
      </c>
      <c r="X23" s="6">
        <f>IF(ISNA(MATCH(X$2,Inputs!$K$4:$AJ$4,0)),NA(),IF(SUMPRODUCT((Inputs!$A$5:$A$120=$B23)*ISNUMBER(INDEX(Inputs!$K$5:$AJ$120,0,MATCH(X$2,Inputs!$K$4:$AJ$4,0))))+SUMPRODUCT((Inputs!$C$5:$C$120=$B23)*ISNUMBER(INDEX(Inputs!$K$5:$AJ$120,0,MATCH(X$2,Inputs!$K$4:$AJ$4,0))))+SUMPRODUCT((Inputs!$E$5:$E$120=$B23)*ISNUMBER(INDEX(Inputs!$K$5:$AJ$120,0,MATCH(X$2,Inputs!$K$4:$AJ$4,0))))=0,NA(),SUMPRODUCT((Inputs!$A$5:$A$120=$B23)*Inputs!$B$5:$B$120*(((Inputs!$G$5:$G$120="moeda")+(Inputs!$G$5:$G$120="acoes"))*Inputs!$B$1+((Inputs!$G$5:$G$120&lt;&gt;"moeda")*(Inputs!$G$5:$G$120&lt;&gt;"acoes")))*INDEX(Inputs!$K$5:$AJ$120,0,MATCH(X$2,Inputs!$K$4:$AJ$4,0)))+SUMPRODUCT((Inputs!$C$5:$C$120=$B23)*Inputs!$D$5:$D$120*(((Inputs!$G$5:$G$120="moeda")+(Inputs!$G$5:$G$120="acoes"))*Inputs!$B$1+((Inputs!$G$5:$G$120&lt;&gt;"moeda")*(Inputs!$G$5:$G$120&lt;&gt;"acoes")))*INDEX(Inputs!$K$5:$AJ$120,0,MATCH(X$2,Inputs!$K$4:$AJ$4,0)))+SUMPRODUCT((Inputs!$E$5:$E$120=$B23)*Inputs!$F$5:$F$120*(((Inputs!$G$5:$G$120="moeda")+(Inputs!$G$5:$G$120="acoes"))*Inputs!$B$1+((Inputs!$G$5:$G$120&lt;&gt;"moeda")*(Inputs!$G$5:$G$120&lt;&gt;"acoes")))*INDEX(Inputs!$K$5:$AJ$120,0,MATCH(X$2,Inputs!$K$4:$AJ$4,0)))))</f>
        <v>0</v>
      </c>
      <c r="Y23" s="6">
        <f>IF(ISNA(MATCH(Y$2,Inputs!$K$4:$AJ$4,0)),NA(),IF(SUMPRODUCT((Inputs!$A$5:$A$120=$B23)*ISNUMBER(INDEX(Inputs!$K$5:$AJ$120,0,MATCH(Y$2,Inputs!$K$4:$AJ$4,0))))+SUMPRODUCT((Inputs!$C$5:$C$120=$B23)*ISNUMBER(INDEX(Inputs!$K$5:$AJ$120,0,MATCH(Y$2,Inputs!$K$4:$AJ$4,0))))+SUMPRODUCT((Inputs!$E$5:$E$120=$B23)*ISNUMBER(INDEX(Inputs!$K$5:$AJ$120,0,MATCH(Y$2,Inputs!$K$4:$AJ$4,0))))=0,NA(),SUMPRODUCT((Inputs!$A$5:$A$120=$B23)*Inputs!$B$5:$B$120*(((Inputs!$G$5:$G$120="moeda")+(Inputs!$G$5:$G$120="acoes"))*Inputs!$B$1+((Inputs!$G$5:$G$120&lt;&gt;"moeda")*(Inputs!$G$5:$G$120&lt;&gt;"acoes")))*INDEX(Inputs!$K$5:$AJ$120,0,MATCH(Y$2,Inputs!$K$4:$AJ$4,0)))+SUMPRODUCT((Inputs!$C$5:$C$120=$B23)*Inputs!$D$5:$D$120*(((Inputs!$G$5:$G$120="moeda")+(Inputs!$G$5:$G$120="acoes"))*Inputs!$B$1+((Inputs!$G$5:$G$120&lt;&gt;"moeda")*(Inputs!$G$5:$G$120&lt;&gt;"acoes")))*INDEX(Inputs!$K$5:$AJ$120,0,MATCH(Y$2,Inputs!$K$4:$AJ$4,0)))+SUMPRODUCT((Inputs!$E$5:$E$120=$B23)*Inputs!$F$5:$F$120*(((Inputs!$G$5:$G$120="moeda")+(Inputs!$G$5:$G$120="acoes"))*Inputs!$B$1+((Inputs!$G$5:$G$120&lt;&gt;"moeda")*(Inputs!$G$5:$G$120&lt;&gt;"acoes")))*INDEX(Inputs!$K$5:$AJ$120,0,MATCH(Y$2,Inputs!$K$4:$AJ$4,0)))))</f>
        <v>0</v>
      </c>
      <c r="Z23" s="6">
        <f>IF(ISNA(MATCH(Z$2,Inputs!$K$4:$AJ$4,0)),NA(),IF(SUMPRODUCT((Inputs!$A$5:$A$120=$B23)*ISNUMBER(INDEX(Inputs!$K$5:$AJ$120,0,MATCH(Z$2,Inputs!$K$4:$AJ$4,0))))+SUMPRODUCT((Inputs!$C$5:$C$120=$B23)*ISNUMBER(INDEX(Inputs!$K$5:$AJ$120,0,MATCH(Z$2,Inputs!$K$4:$AJ$4,0))))+SUMPRODUCT((Inputs!$E$5:$E$120=$B23)*ISNUMBER(INDEX(Inputs!$K$5:$AJ$120,0,MATCH(Z$2,Inputs!$K$4:$AJ$4,0))))=0,NA(),SUMPRODUCT((Inputs!$A$5:$A$120=$B23)*Inputs!$B$5:$B$120*(((Inputs!$G$5:$G$120="moeda")+(Inputs!$G$5:$G$120="acoes"))*Inputs!$B$1+((Inputs!$G$5:$G$120&lt;&gt;"moeda")*(Inputs!$G$5:$G$120&lt;&gt;"acoes")))*INDEX(Inputs!$K$5:$AJ$120,0,MATCH(Z$2,Inputs!$K$4:$AJ$4,0)))+SUMPRODUCT((Inputs!$C$5:$C$120=$B23)*Inputs!$D$5:$D$120*(((Inputs!$G$5:$G$120="moeda")+(Inputs!$G$5:$G$120="acoes"))*Inputs!$B$1+((Inputs!$G$5:$G$120&lt;&gt;"moeda")*(Inputs!$G$5:$G$120&lt;&gt;"acoes")))*INDEX(Inputs!$K$5:$AJ$120,0,MATCH(Z$2,Inputs!$K$4:$AJ$4,0)))+SUMPRODUCT((Inputs!$E$5:$E$120=$B23)*Inputs!$F$5:$F$120*(((Inputs!$G$5:$G$120="moeda")+(Inputs!$G$5:$G$120="acoes"))*Inputs!$B$1+((Inputs!$G$5:$G$120&lt;&gt;"moeda")*(Inputs!$G$5:$G$120&lt;&gt;"acoes")))*INDEX(Inputs!$K$5:$AJ$120,0,MATCH(Z$2,Inputs!$K$4:$AJ$4,0)))))</f>
        <v>0</v>
      </c>
      <c r="AA23" s="6">
        <f>IF(ISNA(MATCH(AA$2,Inputs!$K$4:$AJ$4,0)),NA(),IF(SUMPRODUCT((Inputs!$A$5:$A$120=$B23)*ISNUMBER(INDEX(Inputs!$K$5:$AJ$120,0,MATCH(AA$2,Inputs!$K$4:$AJ$4,0))))+SUMPRODUCT((Inputs!$C$5:$C$120=$B23)*ISNUMBER(INDEX(Inputs!$K$5:$AJ$120,0,MATCH(AA$2,Inputs!$K$4:$AJ$4,0))))+SUMPRODUCT((Inputs!$E$5:$E$120=$B23)*ISNUMBER(INDEX(Inputs!$K$5:$AJ$120,0,MATCH(AA$2,Inputs!$K$4:$AJ$4,0))))=0,NA(),SUMPRODUCT((Inputs!$A$5:$A$120=$B23)*Inputs!$B$5:$B$120*(((Inputs!$G$5:$G$120="moeda")+(Inputs!$G$5:$G$120="acoes"))*Inputs!$B$1+((Inputs!$G$5:$G$120&lt;&gt;"moeda")*(Inputs!$G$5:$G$120&lt;&gt;"acoes")))*INDEX(Inputs!$K$5:$AJ$120,0,MATCH(AA$2,Inputs!$K$4:$AJ$4,0)))+SUMPRODUCT((Inputs!$C$5:$C$120=$B23)*Inputs!$D$5:$D$120*(((Inputs!$G$5:$G$120="moeda")+(Inputs!$G$5:$G$120="acoes"))*Inputs!$B$1+((Inputs!$G$5:$G$120&lt;&gt;"moeda")*(Inputs!$G$5:$G$120&lt;&gt;"acoes")))*INDEX(Inputs!$K$5:$AJ$120,0,MATCH(AA$2,Inputs!$K$4:$AJ$4,0)))+SUMPRODUCT((Inputs!$E$5:$E$120=$B23)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3" s="3">
        <f>AA23</f>
        <v>0</v>
      </c>
      <c r="AC23" s="6">
        <f>IF(ISNA(MATCH(AC$2,Inputs!$K$4:$AJ$4,0)),NA(),IF(SUMPRODUCT((Inputs!$A$5:$A$120=$B23)*ISNUMBER(INDEX(Inputs!$K$5:$AJ$120,0,MATCH(AC$2,Inputs!$K$4:$AJ$4,0))))+SUMPRODUCT((Inputs!$C$5:$C$120=$B23)*ISNUMBER(INDEX(Inputs!$K$5:$AJ$120,0,MATCH(AC$2,Inputs!$K$4:$AJ$4,0))))+SUMPRODUCT((Inputs!$E$5:$E$120=$B23)*ISNUMBER(INDEX(Inputs!$K$5:$AJ$120,0,MATCH(AC$2,Inputs!$K$4:$AJ$4,0))))=0,NA(),SUMPRODUCT((Inputs!$A$5:$A$120=$B23)*Inputs!$B$5:$B$120*(((Inputs!$G$5:$G$120="moeda")+(Inputs!$G$5:$G$120="acoes"))*Inputs!$B$1+((Inputs!$G$5:$G$120&lt;&gt;"moeda")*(Inputs!$G$5:$G$120&lt;&gt;"acoes")))*INDEX(Inputs!$K$5:$AJ$120,0,MATCH(AC$2,Inputs!$K$4:$AJ$4,0)))+SUMPRODUCT((Inputs!$C$5:$C$120=$B23)*Inputs!$D$5:$D$120*(((Inputs!$G$5:$G$120="moeda")+(Inputs!$G$5:$G$120="acoes"))*Inputs!$B$1+((Inputs!$G$5:$G$120&lt;&gt;"moeda")*(Inputs!$G$5:$G$120&lt;&gt;"acoes")))*INDEX(Inputs!$K$5:$AJ$120,0,MATCH(AC$2,Inputs!$K$4:$AJ$4,0)))+SUMPRODUCT((Inputs!$E$5:$E$120=$B23)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3" s="6">
        <f>IF(ISNA(MATCH(AD$2,Inputs!$K$4:$AJ$4,0)),NA(),IF(SUMPRODUCT((Inputs!$A$5:$A$120=$B23)*ISNUMBER(INDEX(Inputs!$K$5:$AJ$120,0,MATCH(AD$2,Inputs!$K$4:$AJ$4,0))))+SUMPRODUCT((Inputs!$C$5:$C$120=$B23)*ISNUMBER(INDEX(Inputs!$K$5:$AJ$120,0,MATCH(AD$2,Inputs!$K$4:$AJ$4,0))))+SUMPRODUCT((Inputs!$E$5:$E$120=$B23)*ISNUMBER(INDEX(Inputs!$K$5:$AJ$120,0,MATCH(AD$2,Inputs!$K$4:$AJ$4,0))))=0,NA(),SUMPRODUCT((Inputs!$A$5:$A$120=$B23)*Inputs!$B$5:$B$120*(((Inputs!$G$5:$G$120="moeda")+(Inputs!$G$5:$G$120="acoes"))*Inputs!$B$1+((Inputs!$G$5:$G$120&lt;&gt;"moeda")*(Inputs!$G$5:$G$120&lt;&gt;"acoes")))*INDEX(Inputs!$K$5:$AJ$120,0,MATCH(AD$2,Inputs!$K$4:$AJ$4,0)))+SUMPRODUCT((Inputs!$C$5:$C$120=$B23)*Inputs!$D$5:$D$120*(((Inputs!$G$5:$G$120="moeda")+(Inputs!$G$5:$G$120="acoes"))*Inputs!$B$1+((Inputs!$G$5:$G$120&lt;&gt;"moeda")*(Inputs!$G$5:$G$120&lt;&gt;"acoes")))*INDEX(Inputs!$K$5:$AJ$120,0,MATCH(AD$2,Inputs!$K$4:$AJ$4,0)))+SUMPRODUCT((Inputs!$E$5:$E$120=$B23)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3" s="6" t="e">
        <f>IF(ISNA(MATCH(AE$2,Inputs!$K$4:$AJ$4,0)),NA(),IF(SUMPRODUCT((Inputs!$A$5:$A$120=$B23)*ISNUMBER(INDEX(Inputs!$K$5:$AJ$120,0,MATCH(AE$2,Inputs!$K$4:$AJ$4,0))))+SUMPRODUCT((Inputs!$C$5:$C$120=$B23)*ISNUMBER(INDEX(Inputs!$K$5:$AJ$120,0,MATCH(AE$2,Inputs!$K$4:$AJ$4,0))))+SUMPRODUCT((Inputs!$E$5:$E$120=$B23)*ISNUMBER(INDEX(Inputs!$K$5:$AJ$120,0,MATCH(AE$2,Inputs!$K$4:$AJ$4,0))))=0,NA(),SUMPRODUCT((Inputs!$A$5:$A$120=$B23)*Inputs!$B$5:$B$120*(((Inputs!$G$5:$G$120="moeda")+(Inputs!$G$5:$G$120="acoes"))*Inputs!$B$1+((Inputs!$G$5:$G$120&lt;&gt;"moeda")*(Inputs!$G$5:$G$120&lt;&gt;"acoes")))*INDEX(Inputs!$K$5:$AJ$120,0,MATCH(AE$2,Inputs!$K$4:$AJ$4,0)))+SUMPRODUCT((Inputs!$C$5:$C$120=$B23)*Inputs!$D$5:$D$120*(((Inputs!$G$5:$G$120="moeda")+(Inputs!$G$5:$G$120="acoes"))*Inputs!$B$1+((Inputs!$G$5:$G$120&lt;&gt;"moeda")*(Inputs!$G$5:$G$120&lt;&gt;"acoes")))*INDEX(Inputs!$K$5:$AJ$120,0,MATCH(AE$2,Inputs!$K$4:$AJ$4,0)))+SUMPRODUCT((Inputs!$E$5:$E$120=$B23)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3" s="6" t="e">
        <f>IF(ISNA(MATCH(AF$2,Inputs!$K$4:$AJ$4,0)),NA(),IF(SUMPRODUCT((Inputs!$A$5:$A$120=$B23)*ISNUMBER(INDEX(Inputs!$K$5:$AJ$120,0,MATCH(AF$2,Inputs!$K$4:$AJ$4,0))))+SUMPRODUCT((Inputs!$C$5:$C$120=$B23)*ISNUMBER(INDEX(Inputs!$K$5:$AJ$120,0,MATCH(AF$2,Inputs!$K$4:$AJ$4,0))))+SUMPRODUCT((Inputs!$E$5:$E$120=$B23)*ISNUMBER(INDEX(Inputs!$K$5:$AJ$120,0,MATCH(AF$2,Inputs!$K$4:$AJ$4,0))))=0,NA(),SUMPRODUCT((Inputs!$A$5:$A$120=$B23)*Inputs!$B$5:$B$120*(((Inputs!$G$5:$G$120="moeda")+(Inputs!$G$5:$G$120="acoes"))*Inputs!$B$1+((Inputs!$G$5:$G$120&lt;&gt;"moeda")*(Inputs!$G$5:$G$120&lt;&gt;"acoes")))*INDEX(Inputs!$K$5:$AJ$120,0,MATCH(AF$2,Inputs!$K$4:$AJ$4,0)))+SUMPRODUCT((Inputs!$C$5:$C$120=$B23)*Inputs!$D$5:$D$120*(((Inputs!$G$5:$G$120="moeda")+(Inputs!$G$5:$G$120="acoes"))*Inputs!$B$1+((Inputs!$G$5:$G$120&lt;&gt;"moeda")*(Inputs!$G$5:$G$120&lt;&gt;"acoes")))*INDEX(Inputs!$K$5:$AJ$120,0,MATCH(AF$2,Inputs!$K$4:$AJ$4,0)))+SUMPRODUCT((Inputs!$E$5:$E$120=$B23)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3" s="3" t="e">
        <f>AF23</f>
        <v>#N/A</v>
      </c>
      <c r="AH23" s="6">
        <f>IF(ISNA(MATCH(AH$2,Inputs!$K$4:$AJ$4,0)),NA(),IF(SUMPRODUCT((Inputs!$A$5:$A$120=$B23)*ISNUMBER(INDEX(Inputs!$K$5:$AJ$120,0,MATCH(AH$2,Inputs!$K$4:$AJ$4,0))))+SUMPRODUCT((Inputs!$C$5:$C$120=$B23)*ISNUMBER(INDEX(Inputs!$K$5:$AJ$120,0,MATCH(AH$2,Inputs!$K$4:$AJ$4,0))))+SUMPRODUCT((Inputs!$E$5:$E$120=$B23)*ISNUMBER(INDEX(Inputs!$K$5:$AJ$120,0,MATCH(AH$2,Inputs!$K$4:$AJ$4,0))))=0,NA(),SUMPRODUCT((Inputs!$A$5:$A$120=$B23)*Inputs!$B$5:$B$120*(((Inputs!$G$5:$G$120="moeda")+(Inputs!$G$5:$G$120="acoes"))*Inputs!$B$1+((Inputs!$G$5:$G$120&lt;&gt;"moeda")*(Inputs!$G$5:$G$120&lt;&gt;"acoes")))*INDEX(Inputs!$K$5:$AJ$120,0,MATCH(AH$2,Inputs!$K$4:$AJ$4,0)))+SUMPRODUCT((Inputs!$C$5:$C$120=$B23)*Inputs!$D$5:$D$120*(((Inputs!$G$5:$G$120="moeda")+(Inputs!$G$5:$G$120="acoes"))*Inputs!$B$1+((Inputs!$G$5:$G$120&lt;&gt;"moeda")*(Inputs!$G$5:$G$120&lt;&gt;"acoes")))*INDEX(Inputs!$K$5:$AJ$120,0,MATCH(AH$2,Inputs!$K$4:$AJ$4,0)))+SUMPRODUCT((Inputs!$E$5:$E$120=$B23)*Inputs!$F$5:$F$120*(((Inputs!$G$5:$G$120="moeda")+(Inputs!$G$5:$G$120="acoes"))*Inputs!$B$1+((Inputs!$G$5:$G$120&lt;&gt;"moeda")*(Inputs!$G$5:$G$120&lt;&gt;"acoes")))*INDEX(Inputs!$K$5:$AJ$120,0,MATCH(AH$2,Inputs!$K$4:$AJ$4,0)))))</f>
        <v>0</v>
      </c>
      <c r="AI23" s="6">
        <f>IF(ISNA(MATCH(AI$2,Inputs!$K$4:$AJ$4,0)),NA(),IF(SUMPRODUCT((Inputs!$A$5:$A$120=$B23)*ISNUMBER(INDEX(Inputs!$K$5:$AJ$120,0,MATCH(AI$2,Inputs!$K$4:$AJ$4,0))))+SUMPRODUCT((Inputs!$C$5:$C$120=$B23)*ISNUMBER(INDEX(Inputs!$K$5:$AJ$120,0,MATCH(AI$2,Inputs!$K$4:$AJ$4,0))))+SUMPRODUCT((Inputs!$E$5:$E$120=$B23)*ISNUMBER(INDEX(Inputs!$K$5:$AJ$120,0,MATCH(AI$2,Inputs!$K$4:$AJ$4,0))))=0,NA(),SUMPRODUCT((Inputs!$A$5:$A$120=$B23)*Inputs!$B$5:$B$120*(((Inputs!$G$5:$G$120="moeda")+(Inputs!$G$5:$G$120="acoes"))*Inputs!$B$1+((Inputs!$G$5:$G$120&lt;&gt;"moeda")*(Inputs!$G$5:$G$120&lt;&gt;"acoes")))*INDEX(Inputs!$K$5:$AJ$120,0,MATCH(AI$2,Inputs!$K$4:$AJ$4,0)))+SUMPRODUCT((Inputs!$C$5:$C$120=$B23)*Inputs!$D$5:$D$120*(((Inputs!$G$5:$G$120="moeda")+(Inputs!$G$5:$G$120="acoes"))*Inputs!$B$1+((Inputs!$G$5:$G$120&lt;&gt;"moeda")*(Inputs!$G$5:$G$120&lt;&gt;"acoes")))*INDEX(Inputs!$K$5:$AJ$120,0,MATCH(AI$2,Inputs!$K$4:$AJ$4,0)))+SUMPRODUCT((Inputs!$E$5:$E$120=$B23)*Inputs!$F$5:$F$120*(((Inputs!$G$5:$G$120="moeda")+(Inputs!$G$5:$G$120="acoes"))*Inputs!$B$1+((Inputs!$G$5:$G$120&lt;&gt;"moeda")*(Inputs!$G$5:$G$120&lt;&gt;"acoes")))*INDEX(Inputs!$K$5:$AJ$120,0,MATCH(AI$2,Inputs!$K$4:$AJ$4,0)))))</f>
        <v>0</v>
      </c>
      <c r="AJ23" s="6">
        <f>IF(ISNA(MATCH(AJ$2,Inputs!$K$4:$AJ$4,0)),NA(),IF(SUMPRODUCT((Inputs!$A$5:$A$120=$B23)*ISNUMBER(INDEX(Inputs!$K$5:$AJ$120,0,MATCH(AJ$2,Inputs!$K$4:$AJ$4,0))))+SUMPRODUCT((Inputs!$C$5:$C$120=$B23)*ISNUMBER(INDEX(Inputs!$K$5:$AJ$120,0,MATCH(AJ$2,Inputs!$K$4:$AJ$4,0))))+SUMPRODUCT((Inputs!$E$5:$E$120=$B23)*ISNUMBER(INDEX(Inputs!$K$5:$AJ$120,0,MATCH(AJ$2,Inputs!$K$4:$AJ$4,0))))=0,NA(),SUMPRODUCT((Inputs!$A$5:$A$120=$B23)*Inputs!$B$5:$B$120*(((Inputs!$G$5:$G$120="moeda")+(Inputs!$G$5:$G$120="acoes"))*Inputs!$B$1+((Inputs!$G$5:$G$120&lt;&gt;"moeda")*(Inputs!$G$5:$G$120&lt;&gt;"acoes")))*INDEX(Inputs!$K$5:$AJ$120,0,MATCH(AJ$2,Inputs!$K$4:$AJ$4,0)))+SUMPRODUCT((Inputs!$C$5:$C$120=$B23)*Inputs!$D$5:$D$120*(((Inputs!$G$5:$G$120="moeda")+(Inputs!$G$5:$G$120="acoes"))*Inputs!$B$1+((Inputs!$G$5:$G$120&lt;&gt;"moeda")*(Inputs!$G$5:$G$120&lt;&gt;"acoes")))*INDEX(Inputs!$K$5:$AJ$120,0,MATCH(AJ$2,Inputs!$K$4:$AJ$4,0)))+SUMPRODUCT((Inputs!$E$5:$E$120=$B23)*Inputs!$F$5:$F$120*(((Inputs!$G$5:$G$120="moeda")+(Inputs!$G$5:$G$120="acoes"))*Inputs!$B$1+((Inputs!$G$5:$G$120&lt;&gt;"moeda")*(Inputs!$G$5:$G$120&lt;&gt;"acoes")))*INDEX(Inputs!$K$5:$AJ$120,0,MATCH(AJ$2,Inputs!$K$4:$AJ$4,0)))))</f>
        <v>0</v>
      </c>
      <c r="AK23" s="6">
        <f>IF(ISNA(MATCH(AK$2,Inputs!$K$4:$AJ$4,0)),NA(),IF(SUMPRODUCT((Inputs!$A$5:$A$120=$B23)*ISNUMBER(INDEX(Inputs!$K$5:$AJ$120,0,MATCH(AK$2,Inputs!$K$4:$AJ$4,0))))+SUMPRODUCT((Inputs!$C$5:$C$120=$B23)*ISNUMBER(INDEX(Inputs!$K$5:$AJ$120,0,MATCH(AK$2,Inputs!$K$4:$AJ$4,0))))+SUMPRODUCT((Inputs!$E$5:$E$120=$B23)*ISNUMBER(INDEX(Inputs!$K$5:$AJ$120,0,MATCH(AK$2,Inputs!$K$4:$AJ$4,0))))=0,NA(),SUMPRODUCT((Inputs!$A$5:$A$120=$B23)*Inputs!$B$5:$B$120*(((Inputs!$G$5:$G$120="moeda")+(Inputs!$G$5:$G$120="acoes"))*Inputs!$B$1+((Inputs!$G$5:$G$120&lt;&gt;"moeda")*(Inputs!$G$5:$G$120&lt;&gt;"acoes")))*INDEX(Inputs!$K$5:$AJ$120,0,MATCH(AK$2,Inputs!$K$4:$AJ$4,0)))+SUMPRODUCT((Inputs!$C$5:$C$120=$B23)*Inputs!$D$5:$D$120*(((Inputs!$G$5:$G$120="moeda")+(Inputs!$G$5:$G$120="acoes"))*Inputs!$B$1+((Inputs!$G$5:$G$120&lt;&gt;"moeda")*(Inputs!$G$5:$G$120&lt;&gt;"acoes")))*INDEX(Inputs!$K$5:$AJ$120,0,MATCH(AK$2,Inputs!$K$4:$AJ$4,0)))+SUMPRODUCT((Inputs!$E$5:$E$120=$B23)*Inputs!$F$5:$F$120*(((Inputs!$G$5:$G$120="moeda")+(Inputs!$G$5:$G$120="acoes"))*Inputs!$B$1+((Inputs!$G$5:$G$120&lt;&gt;"moeda")*(Inputs!$G$5:$G$120&lt;&gt;"acoes")))*INDEX(Inputs!$K$5:$AJ$120,0,MATCH(AK$2,Inputs!$K$4:$AJ$4,0)))))</f>
        <v>0</v>
      </c>
      <c r="AL23" s="3">
        <f>AK23</f>
        <v>0</v>
      </c>
    </row>
    <row r="24">
      <c r="B24" s="46" t="n">
        <v>20</v>
      </c>
      <c r="C24" s="26" t="inlineStr">
        <is>
          <t>Goodwill</t>
        </is>
      </c>
      <c r="D24" s="6">
        <f>IF(ISNA(MATCH(D$2,Inputs!$K$4:$AJ$4,0)),NA(),IF(SUMPRODUCT((Inputs!$A$5:$A$120=$B24)*ISNUMBER(INDEX(Inputs!$K$5:$AJ$120,0,MATCH(D$2,Inputs!$K$4:$AJ$4,0))))+SUMPRODUCT((Inputs!$C$5:$C$120=$B24)*ISNUMBER(INDEX(Inputs!$K$5:$AJ$120,0,MATCH(D$2,Inputs!$K$4:$AJ$4,0))))+SUMPRODUCT((Inputs!$E$5:$E$120=$B24)*ISNUMBER(INDEX(Inputs!$K$5:$AJ$120,0,MATCH(D$2,Inputs!$K$4:$AJ$4,0))))=0,NA(),SUMPRODUCT((Inputs!$A$5:$A$120=$B24)*Inputs!$B$5:$B$120*(((Inputs!$G$5:$G$120="moeda")+(Inputs!$G$5:$G$120="acoes"))*Inputs!$B$1+((Inputs!$G$5:$G$120&lt;&gt;"moeda")*(Inputs!$G$5:$G$120&lt;&gt;"acoes")))*INDEX(Inputs!$K$5:$AJ$120,0,MATCH(D$2,Inputs!$K$4:$AJ$4,0)))+SUMPRODUCT((Inputs!$C$5:$C$120=$B24)*Inputs!$D$5:$D$120*(((Inputs!$G$5:$G$120="moeda")+(Inputs!$G$5:$G$120="acoes"))*Inputs!$B$1+((Inputs!$G$5:$G$120&lt;&gt;"moeda")*(Inputs!$G$5:$G$120&lt;&gt;"acoes")))*INDEX(Inputs!$K$5:$AJ$120,0,MATCH(D$2,Inputs!$K$4:$AJ$4,0)))+SUMPRODUCT((Inputs!$E$5:$E$120=$B24)*Inputs!$F$5:$F$120*(((Inputs!$G$5:$G$120="moeda")+(Inputs!$G$5:$G$120="acoes"))*Inputs!$B$1+((Inputs!$G$5:$G$120&lt;&gt;"moeda")*(Inputs!$G$5:$G$120&lt;&gt;"acoes")))*INDEX(Inputs!$K$5:$AJ$120,0,MATCH(D$2,Inputs!$K$4:$AJ$4,0)))))</f>
        <v>3877.4</v>
      </c>
      <c r="E24" s="6">
        <f>IF(ISNA(MATCH(E$2,Inputs!$K$4:$AJ$4,0)),NA(),IF(SUMPRODUCT((Inputs!$A$5:$A$120=$B24)*ISNUMBER(INDEX(Inputs!$K$5:$AJ$120,0,MATCH(E$2,Inputs!$K$4:$AJ$4,0))))+SUMPRODUCT((Inputs!$C$5:$C$120=$B24)*ISNUMBER(INDEX(Inputs!$K$5:$AJ$120,0,MATCH(E$2,Inputs!$K$4:$AJ$4,0))))+SUMPRODUCT((Inputs!$E$5:$E$120=$B24)*ISNUMBER(INDEX(Inputs!$K$5:$AJ$120,0,MATCH(E$2,Inputs!$K$4:$AJ$4,0))))=0,NA(),SUMPRODUCT((Inputs!$A$5:$A$120=$B24)*Inputs!$B$5:$B$120*(((Inputs!$G$5:$G$120="moeda")+(Inputs!$G$5:$G$120="acoes"))*Inputs!$B$1+((Inputs!$G$5:$G$120&lt;&gt;"moeda")*(Inputs!$G$5:$G$120&lt;&gt;"acoes")))*INDEX(Inputs!$K$5:$AJ$120,0,MATCH(E$2,Inputs!$K$4:$AJ$4,0)))+SUMPRODUCT((Inputs!$C$5:$C$120=$B24)*Inputs!$D$5:$D$120*(((Inputs!$G$5:$G$120="moeda")+(Inputs!$G$5:$G$120="acoes"))*Inputs!$B$1+((Inputs!$G$5:$G$120&lt;&gt;"moeda")*(Inputs!$G$5:$G$120&lt;&gt;"acoes")))*INDEX(Inputs!$K$5:$AJ$120,0,MATCH(E$2,Inputs!$K$4:$AJ$4,0)))+SUMPRODUCT((Inputs!$E$5:$E$120=$B24)*Inputs!$F$5:$F$120*(((Inputs!$G$5:$G$120="moeda")+(Inputs!$G$5:$G$120="acoes"))*Inputs!$B$1+((Inputs!$G$5:$G$120&lt;&gt;"moeda")*(Inputs!$G$5:$G$120&lt;&gt;"acoes")))*INDEX(Inputs!$K$5:$AJ$120,0,MATCH(E$2,Inputs!$K$4:$AJ$4,0)))))</f>
        <v>3884.2</v>
      </c>
      <c r="F24" s="6">
        <f>IF(ISNA(MATCH(F$2,Inputs!$K$4:$AJ$4,0)),NA(),IF(SUMPRODUCT((Inputs!$A$5:$A$120=$B24)*ISNUMBER(INDEX(Inputs!$K$5:$AJ$120,0,MATCH(F$2,Inputs!$K$4:$AJ$4,0))))+SUMPRODUCT((Inputs!$C$5:$C$120=$B24)*ISNUMBER(INDEX(Inputs!$K$5:$AJ$120,0,MATCH(F$2,Inputs!$K$4:$AJ$4,0))))+SUMPRODUCT((Inputs!$E$5:$E$120=$B24)*ISNUMBER(INDEX(Inputs!$K$5:$AJ$120,0,MATCH(F$2,Inputs!$K$4:$AJ$4,0))))=0,NA(),SUMPRODUCT((Inputs!$A$5:$A$120=$B24)*Inputs!$B$5:$B$120*(((Inputs!$G$5:$G$120="moeda")+(Inputs!$G$5:$G$120="acoes"))*Inputs!$B$1+((Inputs!$G$5:$G$120&lt;&gt;"moeda")*(Inputs!$G$5:$G$120&lt;&gt;"acoes")))*INDEX(Inputs!$K$5:$AJ$120,0,MATCH(F$2,Inputs!$K$4:$AJ$4,0)))+SUMPRODUCT((Inputs!$C$5:$C$120=$B24)*Inputs!$D$5:$D$120*(((Inputs!$G$5:$G$120="moeda")+(Inputs!$G$5:$G$120="acoes"))*Inputs!$B$1+((Inputs!$G$5:$G$120&lt;&gt;"moeda")*(Inputs!$G$5:$G$120&lt;&gt;"acoes")))*INDEX(Inputs!$K$5:$AJ$120,0,MATCH(F$2,Inputs!$K$4:$AJ$4,0)))+SUMPRODUCT((Inputs!$E$5:$E$120=$B24)*Inputs!$F$5:$F$120*(((Inputs!$G$5:$G$120="moeda")+(Inputs!$G$5:$G$120="acoes"))*Inputs!$B$1+((Inputs!$G$5:$G$120&lt;&gt;"moeda")*(Inputs!$G$5:$G$120&lt;&gt;"acoes")))*INDEX(Inputs!$K$5:$AJ$120,0,MATCH(F$2,Inputs!$K$4:$AJ$4,0)))))</f>
        <v>3884.1</v>
      </c>
      <c r="G24" s="6">
        <f>IF(ISNA(MATCH(G$2,Inputs!$K$4:$AJ$4,0)),NA(),IF(SUMPRODUCT((Inputs!$A$5:$A$120=$B24)*ISNUMBER(INDEX(Inputs!$K$5:$AJ$120,0,MATCH(G$2,Inputs!$K$4:$AJ$4,0))))+SUMPRODUCT((Inputs!$C$5:$C$120=$B24)*ISNUMBER(INDEX(Inputs!$K$5:$AJ$120,0,MATCH(G$2,Inputs!$K$4:$AJ$4,0))))+SUMPRODUCT((Inputs!$E$5:$E$120=$B24)*ISNUMBER(INDEX(Inputs!$K$5:$AJ$120,0,MATCH(G$2,Inputs!$K$4:$AJ$4,0))))=0,NA(),SUMPRODUCT((Inputs!$A$5:$A$120=$B24)*Inputs!$B$5:$B$120*(((Inputs!$G$5:$G$120="moeda")+(Inputs!$G$5:$G$120="acoes"))*Inputs!$B$1+((Inputs!$G$5:$G$120&lt;&gt;"moeda")*(Inputs!$G$5:$G$120&lt;&gt;"acoes")))*INDEX(Inputs!$K$5:$AJ$120,0,MATCH(G$2,Inputs!$K$4:$AJ$4,0)))+SUMPRODUCT((Inputs!$C$5:$C$120=$B24)*Inputs!$D$5:$D$120*(((Inputs!$G$5:$G$120="moeda")+(Inputs!$G$5:$G$120="acoes"))*Inputs!$B$1+((Inputs!$G$5:$G$120&lt;&gt;"moeda")*(Inputs!$G$5:$G$120&lt;&gt;"acoes")))*INDEX(Inputs!$K$5:$AJ$120,0,MATCH(G$2,Inputs!$K$4:$AJ$4,0)))+SUMPRODUCT((Inputs!$E$5:$E$120=$B24)*Inputs!$F$5:$F$120*(((Inputs!$G$5:$G$120="moeda")+(Inputs!$G$5:$G$120="acoes"))*Inputs!$B$1+((Inputs!$G$5:$G$120&lt;&gt;"moeda")*(Inputs!$G$5:$G$120&lt;&gt;"acoes")))*INDEX(Inputs!$K$5:$AJ$120,0,MATCH(G$2,Inputs!$K$4:$AJ$4,0)))))</f>
        <v>3892</v>
      </c>
      <c r="H24" s="3">
        <f>G24</f>
        <v>3892</v>
      </c>
      <c r="I24" s="6">
        <f>IF(ISNA(MATCH(I$2,Inputs!$K$4:$AJ$4,0)),NA(),IF(SUMPRODUCT((Inputs!$A$5:$A$120=$B24)*ISNUMBER(INDEX(Inputs!$K$5:$AJ$120,0,MATCH(I$2,Inputs!$K$4:$AJ$4,0))))+SUMPRODUCT((Inputs!$C$5:$C$120=$B24)*ISNUMBER(INDEX(Inputs!$K$5:$AJ$120,0,MATCH(I$2,Inputs!$K$4:$AJ$4,0))))+SUMPRODUCT((Inputs!$E$5:$E$120=$B24)*ISNUMBER(INDEX(Inputs!$K$5:$AJ$120,0,MATCH(I$2,Inputs!$K$4:$AJ$4,0))))=0,NA(),SUMPRODUCT((Inputs!$A$5:$A$120=$B24)*Inputs!$B$5:$B$120*(((Inputs!$G$5:$G$120="moeda")+(Inputs!$G$5:$G$120="acoes"))*Inputs!$B$1+((Inputs!$G$5:$G$120&lt;&gt;"moeda")*(Inputs!$G$5:$G$120&lt;&gt;"acoes")))*INDEX(Inputs!$K$5:$AJ$120,0,MATCH(I$2,Inputs!$K$4:$AJ$4,0)))+SUMPRODUCT((Inputs!$C$5:$C$120=$B24)*Inputs!$D$5:$D$120*(((Inputs!$G$5:$G$120="moeda")+(Inputs!$G$5:$G$120="acoes"))*Inputs!$B$1+((Inputs!$G$5:$G$120&lt;&gt;"moeda")*(Inputs!$G$5:$G$120&lt;&gt;"acoes")))*INDEX(Inputs!$K$5:$AJ$120,0,MATCH(I$2,Inputs!$K$4:$AJ$4,0)))+SUMPRODUCT((Inputs!$E$5:$E$120=$B24)*Inputs!$F$5:$F$120*(((Inputs!$G$5:$G$120="moeda")+(Inputs!$G$5:$G$120="acoes"))*Inputs!$B$1+((Inputs!$G$5:$G$120&lt;&gt;"moeda")*(Inputs!$G$5:$G$120&lt;&gt;"acoes")))*INDEX(Inputs!$K$5:$AJ$120,0,MATCH(I$2,Inputs!$K$4:$AJ$4,0)))))</f>
        <v>3892</v>
      </c>
      <c r="J24" s="6">
        <f>IF(ISNA(MATCH(J$2,Inputs!$K$4:$AJ$4,0)),NA(),IF(SUMPRODUCT((Inputs!$A$5:$A$120=$B24)*ISNUMBER(INDEX(Inputs!$K$5:$AJ$120,0,MATCH(J$2,Inputs!$K$4:$AJ$4,0))))+SUMPRODUCT((Inputs!$C$5:$C$120=$B24)*ISNUMBER(INDEX(Inputs!$K$5:$AJ$120,0,MATCH(J$2,Inputs!$K$4:$AJ$4,0))))+SUMPRODUCT((Inputs!$E$5:$E$120=$B24)*ISNUMBER(INDEX(Inputs!$K$5:$AJ$120,0,MATCH(J$2,Inputs!$K$4:$AJ$4,0))))=0,NA(),SUMPRODUCT((Inputs!$A$5:$A$120=$B24)*Inputs!$B$5:$B$120*(((Inputs!$G$5:$G$120="moeda")+(Inputs!$G$5:$G$120="acoes"))*Inputs!$B$1+((Inputs!$G$5:$G$120&lt;&gt;"moeda")*(Inputs!$G$5:$G$120&lt;&gt;"acoes")))*INDEX(Inputs!$K$5:$AJ$120,0,MATCH(J$2,Inputs!$K$4:$AJ$4,0)))+SUMPRODUCT((Inputs!$C$5:$C$120=$B24)*Inputs!$D$5:$D$120*(((Inputs!$G$5:$G$120="moeda")+(Inputs!$G$5:$G$120="acoes"))*Inputs!$B$1+((Inputs!$G$5:$G$120&lt;&gt;"moeda")*(Inputs!$G$5:$G$120&lt;&gt;"acoes")))*INDEX(Inputs!$K$5:$AJ$120,0,MATCH(J$2,Inputs!$K$4:$AJ$4,0)))+SUMPRODUCT((Inputs!$E$5:$E$120=$B24)*Inputs!$F$5:$F$120*(((Inputs!$G$5:$G$120="moeda")+(Inputs!$G$5:$G$120="acoes"))*Inputs!$B$1+((Inputs!$G$5:$G$120&lt;&gt;"moeda")*(Inputs!$G$5:$G$120&lt;&gt;"acoes")))*INDEX(Inputs!$K$5:$AJ$120,0,MATCH(J$2,Inputs!$K$4:$AJ$4,0)))))</f>
        <v>3891.8</v>
      </c>
      <c r="K24" s="6">
        <f>IF(ISNA(MATCH(K$2,Inputs!$K$4:$AJ$4,0)),NA(),IF(SUMPRODUCT((Inputs!$A$5:$A$120=$B24)*ISNUMBER(INDEX(Inputs!$K$5:$AJ$120,0,MATCH(K$2,Inputs!$K$4:$AJ$4,0))))+SUMPRODUCT((Inputs!$C$5:$C$120=$B24)*ISNUMBER(INDEX(Inputs!$K$5:$AJ$120,0,MATCH(K$2,Inputs!$K$4:$AJ$4,0))))+SUMPRODUCT((Inputs!$E$5:$E$120=$B24)*ISNUMBER(INDEX(Inputs!$K$5:$AJ$120,0,MATCH(K$2,Inputs!$K$4:$AJ$4,0))))=0,NA(),SUMPRODUCT((Inputs!$A$5:$A$120=$B24)*Inputs!$B$5:$B$120*(((Inputs!$G$5:$G$120="moeda")+(Inputs!$G$5:$G$120="acoes"))*Inputs!$B$1+((Inputs!$G$5:$G$120&lt;&gt;"moeda")*(Inputs!$G$5:$G$120&lt;&gt;"acoes")))*INDEX(Inputs!$K$5:$AJ$120,0,MATCH(K$2,Inputs!$K$4:$AJ$4,0)))+SUMPRODUCT((Inputs!$C$5:$C$120=$B24)*Inputs!$D$5:$D$120*(((Inputs!$G$5:$G$120="moeda")+(Inputs!$G$5:$G$120="acoes"))*Inputs!$B$1+((Inputs!$G$5:$G$120&lt;&gt;"moeda")*(Inputs!$G$5:$G$120&lt;&gt;"acoes")))*INDEX(Inputs!$K$5:$AJ$120,0,MATCH(K$2,Inputs!$K$4:$AJ$4,0)))+SUMPRODUCT((Inputs!$E$5:$E$120=$B24)*Inputs!$F$5:$F$120*(((Inputs!$G$5:$G$120="moeda")+(Inputs!$G$5:$G$120="acoes"))*Inputs!$B$1+((Inputs!$G$5:$G$120&lt;&gt;"moeda")*(Inputs!$G$5:$G$120&lt;&gt;"acoes")))*INDEX(Inputs!$K$5:$AJ$120,0,MATCH(K$2,Inputs!$K$4:$AJ$4,0)))))</f>
        <v>3891.6</v>
      </c>
      <c r="L24" s="6">
        <f>IF(ISNA(MATCH(L$2,Inputs!$K$4:$AJ$4,0)),NA(),IF(SUMPRODUCT((Inputs!$A$5:$A$120=$B24)*ISNUMBER(INDEX(Inputs!$K$5:$AJ$120,0,MATCH(L$2,Inputs!$K$4:$AJ$4,0))))+SUMPRODUCT((Inputs!$C$5:$C$120=$B24)*ISNUMBER(INDEX(Inputs!$K$5:$AJ$120,0,MATCH(L$2,Inputs!$K$4:$AJ$4,0))))+SUMPRODUCT((Inputs!$E$5:$E$120=$B24)*ISNUMBER(INDEX(Inputs!$K$5:$AJ$120,0,MATCH(L$2,Inputs!$K$4:$AJ$4,0))))=0,NA(),SUMPRODUCT((Inputs!$A$5:$A$120=$B24)*Inputs!$B$5:$B$120*(((Inputs!$G$5:$G$120="moeda")+(Inputs!$G$5:$G$120="acoes"))*Inputs!$B$1+((Inputs!$G$5:$G$120&lt;&gt;"moeda")*(Inputs!$G$5:$G$120&lt;&gt;"acoes")))*INDEX(Inputs!$K$5:$AJ$120,0,MATCH(L$2,Inputs!$K$4:$AJ$4,0)))+SUMPRODUCT((Inputs!$C$5:$C$120=$B24)*Inputs!$D$5:$D$120*(((Inputs!$G$5:$G$120="moeda")+(Inputs!$G$5:$G$120="acoes"))*Inputs!$B$1+((Inputs!$G$5:$G$120&lt;&gt;"moeda")*(Inputs!$G$5:$G$120&lt;&gt;"acoes")))*INDEX(Inputs!$K$5:$AJ$120,0,MATCH(L$2,Inputs!$K$4:$AJ$4,0)))+SUMPRODUCT((Inputs!$E$5:$E$120=$B24)*Inputs!$F$5:$F$120*(((Inputs!$G$5:$G$120="moeda")+(Inputs!$G$5:$G$120="acoes"))*Inputs!$B$1+((Inputs!$G$5:$G$120&lt;&gt;"moeda")*(Inputs!$G$5:$G$120&lt;&gt;"acoes")))*INDEX(Inputs!$K$5:$AJ$120,0,MATCH(L$2,Inputs!$K$4:$AJ$4,0)))))</f>
        <v>4073</v>
      </c>
      <c r="M24" s="3">
        <f>L24</f>
        <v>4073</v>
      </c>
      <c r="N24" s="6">
        <f>IF(ISNA(MATCH(N$2,Inputs!$K$4:$AJ$4,0)),NA(),IF(SUMPRODUCT((Inputs!$A$5:$A$120=$B24)*ISNUMBER(INDEX(Inputs!$K$5:$AJ$120,0,MATCH(N$2,Inputs!$K$4:$AJ$4,0))))+SUMPRODUCT((Inputs!$C$5:$C$120=$B24)*ISNUMBER(INDEX(Inputs!$K$5:$AJ$120,0,MATCH(N$2,Inputs!$K$4:$AJ$4,0))))+SUMPRODUCT((Inputs!$E$5:$E$120=$B24)*ISNUMBER(INDEX(Inputs!$K$5:$AJ$120,0,MATCH(N$2,Inputs!$K$4:$AJ$4,0))))=0,NA(),SUMPRODUCT((Inputs!$A$5:$A$120=$B24)*Inputs!$B$5:$B$120*(((Inputs!$G$5:$G$120="moeda")+(Inputs!$G$5:$G$120="acoes"))*Inputs!$B$1+((Inputs!$G$5:$G$120&lt;&gt;"moeda")*(Inputs!$G$5:$G$120&lt;&gt;"acoes")))*INDEX(Inputs!$K$5:$AJ$120,0,MATCH(N$2,Inputs!$K$4:$AJ$4,0)))+SUMPRODUCT((Inputs!$C$5:$C$120=$B24)*Inputs!$D$5:$D$120*(((Inputs!$G$5:$G$120="moeda")+(Inputs!$G$5:$G$120="acoes"))*Inputs!$B$1+((Inputs!$G$5:$G$120&lt;&gt;"moeda")*(Inputs!$G$5:$G$120&lt;&gt;"acoes")))*INDEX(Inputs!$K$5:$AJ$120,0,MATCH(N$2,Inputs!$K$4:$AJ$4,0)))+SUMPRODUCT((Inputs!$E$5:$E$120=$B24)*Inputs!$F$5:$F$120*(((Inputs!$G$5:$G$120="moeda")+(Inputs!$G$5:$G$120="acoes"))*Inputs!$B$1+((Inputs!$G$5:$G$120&lt;&gt;"moeda")*(Inputs!$G$5:$G$120&lt;&gt;"acoes")))*INDEX(Inputs!$K$5:$AJ$120,0,MATCH(N$2,Inputs!$K$4:$AJ$4,0)))))</f>
        <v>4073.1</v>
      </c>
      <c r="O24" s="6">
        <f>IF(ISNA(MATCH(O$2,Inputs!$K$4:$AJ$4,0)),NA(),IF(SUMPRODUCT((Inputs!$A$5:$A$120=$B24)*ISNUMBER(INDEX(Inputs!$K$5:$AJ$120,0,MATCH(O$2,Inputs!$K$4:$AJ$4,0))))+SUMPRODUCT((Inputs!$C$5:$C$120=$B24)*ISNUMBER(INDEX(Inputs!$K$5:$AJ$120,0,MATCH(O$2,Inputs!$K$4:$AJ$4,0))))+SUMPRODUCT((Inputs!$E$5:$E$120=$B24)*ISNUMBER(INDEX(Inputs!$K$5:$AJ$120,0,MATCH(O$2,Inputs!$K$4:$AJ$4,0))))=0,NA(),SUMPRODUCT((Inputs!$A$5:$A$120=$B24)*Inputs!$B$5:$B$120*(((Inputs!$G$5:$G$120="moeda")+(Inputs!$G$5:$G$120="acoes"))*Inputs!$B$1+((Inputs!$G$5:$G$120&lt;&gt;"moeda")*(Inputs!$G$5:$G$120&lt;&gt;"acoes")))*INDEX(Inputs!$K$5:$AJ$120,0,MATCH(O$2,Inputs!$K$4:$AJ$4,0)))+SUMPRODUCT((Inputs!$C$5:$C$120=$B24)*Inputs!$D$5:$D$120*(((Inputs!$G$5:$G$120="moeda")+(Inputs!$G$5:$G$120="acoes"))*Inputs!$B$1+((Inputs!$G$5:$G$120&lt;&gt;"moeda")*(Inputs!$G$5:$G$120&lt;&gt;"acoes")))*INDEX(Inputs!$K$5:$AJ$120,0,MATCH(O$2,Inputs!$K$4:$AJ$4,0)))+SUMPRODUCT((Inputs!$E$5:$E$120=$B24)*Inputs!$F$5:$F$120*(((Inputs!$G$5:$G$120="moeda")+(Inputs!$G$5:$G$120="acoes"))*Inputs!$B$1+((Inputs!$G$5:$G$120&lt;&gt;"moeda")*(Inputs!$G$5:$G$120&lt;&gt;"acoes")))*INDEX(Inputs!$K$5:$AJ$120,0,MATCH(O$2,Inputs!$K$4:$AJ$4,0)))))</f>
        <v>4078.9</v>
      </c>
      <c r="P24" s="6">
        <f>IF(ISNA(MATCH(P$2,Inputs!$K$4:$AJ$4,0)),NA(),IF(SUMPRODUCT((Inputs!$A$5:$A$120=$B24)*ISNUMBER(INDEX(Inputs!$K$5:$AJ$120,0,MATCH(P$2,Inputs!$K$4:$AJ$4,0))))+SUMPRODUCT((Inputs!$C$5:$C$120=$B24)*ISNUMBER(INDEX(Inputs!$K$5:$AJ$120,0,MATCH(P$2,Inputs!$K$4:$AJ$4,0))))+SUMPRODUCT((Inputs!$E$5:$E$120=$B24)*ISNUMBER(INDEX(Inputs!$K$5:$AJ$120,0,MATCH(P$2,Inputs!$K$4:$AJ$4,0))))=0,NA(),SUMPRODUCT((Inputs!$A$5:$A$120=$B24)*Inputs!$B$5:$B$120*(((Inputs!$G$5:$G$120="moeda")+(Inputs!$G$5:$G$120="acoes"))*Inputs!$B$1+((Inputs!$G$5:$G$120&lt;&gt;"moeda")*(Inputs!$G$5:$G$120&lt;&gt;"acoes")))*INDEX(Inputs!$K$5:$AJ$120,0,MATCH(P$2,Inputs!$K$4:$AJ$4,0)))+SUMPRODUCT((Inputs!$C$5:$C$120=$B24)*Inputs!$D$5:$D$120*(((Inputs!$G$5:$G$120="moeda")+(Inputs!$G$5:$G$120="acoes"))*Inputs!$B$1+((Inputs!$G$5:$G$120&lt;&gt;"moeda")*(Inputs!$G$5:$G$120&lt;&gt;"acoes")))*INDEX(Inputs!$K$5:$AJ$120,0,MATCH(P$2,Inputs!$K$4:$AJ$4,0)))+SUMPRODUCT((Inputs!$E$5:$E$120=$B24)*Inputs!$F$5:$F$120*(((Inputs!$G$5:$G$120="moeda")+(Inputs!$G$5:$G$120="acoes"))*Inputs!$B$1+((Inputs!$G$5:$G$120&lt;&gt;"moeda")*(Inputs!$G$5:$G$120&lt;&gt;"acoes")))*INDEX(Inputs!$K$5:$AJ$120,0,MATCH(P$2,Inputs!$K$4:$AJ$4,0)))))</f>
        <v>4085.2</v>
      </c>
      <c r="Q24" s="6">
        <f>IF(ISNA(MATCH(Q$2,Inputs!$K$4:$AJ$4,0)),NA(),IF(SUMPRODUCT((Inputs!$A$5:$A$120=$B24)*ISNUMBER(INDEX(Inputs!$K$5:$AJ$120,0,MATCH(Q$2,Inputs!$K$4:$AJ$4,0))))+SUMPRODUCT((Inputs!$C$5:$C$120=$B24)*ISNUMBER(INDEX(Inputs!$K$5:$AJ$120,0,MATCH(Q$2,Inputs!$K$4:$AJ$4,0))))+SUMPRODUCT((Inputs!$E$5:$E$120=$B24)*ISNUMBER(INDEX(Inputs!$K$5:$AJ$120,0,MATCH(Q$2,Inputs!$K$4:$AJ$4,0))))=0,NA(),SUMPRODUCT((Inputs!$A$5:$A$120=$B24)*Inputs!$B$5:$B$120*(((Inputs!$G$5:$G$120="moeda")+(Inputs!$G$5:$G$120="acoes"))*Inputs!$B$1+((Inputs!$G$5:$G$120&lt;&gt;"moeda")*(Inputs!$G$5:$G$120&lt;&gt;"acoes")))*INDEX(Inputs!$K$5:$AJ$120,0,MATCH(Q$2,Inputs!$K$4:$AJ$4,0)))+SUMPRODUCT((Inputs!$C$5:$C$120=$B24)*Inputs!$D$5:$D$120*(((Inputs!$G$5:$G$120="moeda")+(Inputs!$G$5:$G$120="acoes"))*Inputs!$B$1+((Inputs!$G$5:$G$120&lt;&gt;"moeda")*(Inputs!$G$5:$G$120&lt;&gt;"acoes")))*INDEX(Inputs!$K$5:$AJ$120,0,MATCH(Q$2,Inputs!$K$4:$AJ$4,0)))+SUMPRODUCT((Inputs!$E$5:$E$120=$B24)*Inputs!$F$5:$F$120*(((Inputs!$G$5:$G$120="moeda")+(Inputs!$G$5:$G$120="acoes"))*Inputs!$B$1+((Inputs!$G$5:$G$120&lt;&gt;"moeda")*(Inputs!$G$5:$G$120&lt;&gt;"acoes")))*INDEX(Inputs!$K$5:$AJ$120,0,MATCH(Q$2,Inputs!$K$4:$AJ$4,0)))))</f>
        <v>4939.7</v>
      </c>
      <c r="R24" s="3">
        <f>Q24</f>
        <v>4939.7</v>
      </c>
      <c r="S24" s="6">
        <f>IF(ISNA(MATCH(S$2,Inputs!$K$4:$AJ$4,0)),NA(),IF(SUMPRODUCT((Inputs!$A$5:$A$120=$B24)*ISNUMBER(INDEX(Inputs!$K$5:$AJ$120,0,MATCH(S$2,Inputs!$K$4:$AJ$4,0))))+SUMPRODUCT((Inputs!$C$5:$C$120=$B24)*ISNUMBER(INDEX(Inputs!$K$5:$AJ$120,0,MATCH(S$2,Inputs!$K$4:$AJ$4,0))))+SUMPRODUCT((Inputs!$E$5:$E$120=$B24)*ISNUMBER(INDEX(Inputs!$K$5:$AJ$120,0,MATCH(S$2,Inputs!$K$4:$AJ$4,0))))=0,NA(),SUMPRODUCT((Inputs!$A$5:$A$120=$B24)*Inputs!$B$5:$B$120*(((Inputs!$G$5:$G$120="moeda")+(Inputs!$G$5:$G$120="acoes"))*Inputs!$B$1+((Inputs!$G$5:$G$120&lt;&gt;"moeda")*(Inputs!$G$5:$G$120&lt;&gt;"acoes")))*INDEX(Inputs!$K$5:$AJ$120,0,MATCH(S$2,Inputs!$K$4:$AJ$4,0)))+SUMPRODUCT((Inputs!$C$5:$C$120=$B24)*Inputs!$D$5:$D$120*(((Inputs!$G$5:$G$120="moeda")+(Inputs!$G$5:$G$120="acoes"))*Inputs!$B$1+((Inputs!$G$5:$G$120&lt;&gt;"moeda")*(Inputs!$G$5:$G$120&lt;&gt;"acoes")))*INDEX(Inputs!$K$5:$AJ$120,0,MATCH(S$2,Inputs!$K$4:$AJ$4,0)))+SUMPRODUCT((Inputs!$E$5:$E$120=$B24)*Inputs!$F$5:$F$120*(((Inputs!$G$5:$G$120="moeda")+(Inputs!$G$5:$G$120="acoes"))*Inputs!$B$1+((Inputs!$G$5:$G$120&lt;&gt;"moeda")*(Inputs!$G$5:$G$120&lt;&gt;"acoes")))*INDEX(Inputs!$K$5:$AJ$120,0,MATCH(S$2,Inputs!$K$4:$AJ$4,0)))))</f>
        <v>4939.6</v>
      </c>
      <c r="T24" s="6">
        <f>IF(ISNA(MATCH(T$2,Inputs!$K$4:$AJ$4,0)),NA(),IF(SUMPRODUCT((Inputs!$A$5:$A$120=$B24)*ISNUMBER(INDEX(Inputs!$K$5:$AJ$120,0,MATCH(T$2,Inputs!$K$4:$AJ$4,0))))+SUMPRODUCT((Inputs!$C$5:$C$120=$B24)*ISNUMBER(INDEX(Inputs!$K$5:$AJ$120,0,MATCH(T$2,Inputs!$K$4:$AJ$4,0))))+SUMPRODUCT((Inputs!$E$5:$E$120=$B24)*ISNUMBER(INDEX(Inputs!$K$5:$AJ$120,0,MATCH(T$2,Inputs!$K$4:$AJ$4,0))))=0,NA(),SUMPRODUCT((Inputs!$A$5:$A$120=$B24)*Inputs!$B$5:$B$120*(((Inputs!$G$5:$G$120="moeda")+(Inputs!$G$5:$G$120="acoes"))*Inputs!$B$1+((Inputs!$G$5:$G$120&lt;&gt;"moeda")*(Inputs!$G$5:$G$120&lt;&gt;"acoes")))*INDEX(Inputs!$K$5:$AJ$120,0,MATCH(T$2,Inputs!$K$4:$AJ$4,0)))+SUMPRODUCT((Inputs!$C$5:$C$120=$B24)*Inputs!$D$5:$D$120*(((Inputs!$G$5:$G$120="moeda")+(Inputs!$G$5:$G$120="acoes"))*Inputs!$B$1+((Inputs!$G$5:$G$120&lt;&gt;"moeda")*(Inputs!$G$5:$G$120&lt;&gt;"acoes")))*INDEX(Inputs!$K$5:$AJ$120,0,MATCH(T$2,Inputs!$K$4:$AJ$4,0)))+SUMPRODUCT((Inputs!$E$5:$E$120=$B24)*Inputs!$F$5:$F$120*(((Inputs!$G$5:$G$120="moeda")+(Inputs!$G$5:$G$120="acoes"))*Inputs!$B$1+((Inputs!$G$5:$G$120&lt;&gt;"moeda")*(Inputs!$G$5:$G$120&lt;&gt;"acoes")))*INDEX(Inputs!$K$5:$AJ$120,0,MATCH(T$2,Inputs!$K$4:$AJ$4,0)))))</f>
        <v>5768.2</v>
      </c>
      <c r="U24" s="6">
        <f>IF(ISNA(MATCH(U$2,Inputs!$K$4:$AJ$4,0)),NA(),IF(SUMPRODUCT((Inputs!$A$5:$A$120=$B24)*ISNUMBER(INDEX(Inputs!$K$5:$AJ$120,0,MATCH(U$2,Inputs!$K$4:$AJ$4,0))))+SUMPRODUCT((Inputs!$C$5:$C$120=$B24)*ISNUMBER(INDEX(Inputs!$K$5:$AJ$120,0,MATCH(U$2,Inputs!$K$4:$AJ$4,0))))+SUMPRODUCT((Inputs!$E$5:$E$120=$B24)*ISNUMBER(INDEX(Inputs!$K$5:$AJ$120,0,MATCH(U$2,Inputs!$K$4:$AJ$4,0))))=0,NA(),SUMPRODUCT((Inputs!$A$5:$A$120=$B24)*Inputs!$B$5:$B$120*(((Inputs!$G$5:$G$120="moeda")+(Inputs!$G$5:$G$120="acoes"))*Inputs!$B$1+((Inputs!$G$5:$G$120&lt;&gt;"moeda")*(Inputs!$G$5:$G$120&lt;&gt;"acoes")))*INDEX(Inputs!$K$5:$AJ$120,0,MATCH(U$2,Inputs!$K$4:$AJ$4,0)))+SUMPRODUCT((Inputs!$C$5:$C$120=$B24)*Inputs!$D$5:$D$120*(((Inputs!$G$5:$G$120="moeda")+(Inputs!$G$5:$G$120="acoes"))*Inputs!$B$1+((Inputs!$G$5:$G$120&lt;&gt;"moeda")*(Inputs!$G$5:$G$120&lt;&gt;"acoes")))*INDEX(Inputs!$K$5:$AJ$120,0,MATCH(U$2,Inputs!$K$4:$AJ$4,0)))+SUMPRODUCT((Inputs!$E$5:$E$120=$B24)*Inputs!$F$5:$F$120*(((Inputs!$G$5:$G$120="moeda")+(Inputs!$G$5:$G$120="acoes"))*Inputs!$B$1+((Inputs!$G$5:$G$120&lt;&gt;"moeda")*(Inputs!$G$5:$G$120&lt;&gt;"acoes")))*INDEX(Inputs!$K$5:$AJ$120,0,MATCH(U$2,Inputs!$K$4:$AJ$4,0)))))</f>
        <v>5768.4</v>
      </c>
      <c r="V24" s="6">
        <f>IF(ISNA(MATCH(V$2,Inputs!$K$4:$AJ$4,0)),NA(),IF(SUMPRODUCT((Inputs!$A$5:$A$120=$B24)*ISNUMBER(INDEX(Inputs!$K$5:$AJ$120,0,MATCH(V$2,Inputs!$K$4:$AJ$4,0))))+SUMPRODUCT((Inputs!$C$5:$C$120=$B24)*ISNUMBER(INDEX(Inputs!$K$5:$AJ$120,0,MATCH(V$2,Inputs!$K$4:$AJ$4,0))))+SUMPRODUCT((Inputs!$E$5:$E$120=$B24)*ISNUMBER(INDEX(Inputs!$K$5:$AJ$120,0,MATCH(V$2,Inputs!$K$4:$AJ$4,0))))=0,NA(),SUMPRODUCT((Inputs!$A$5:$A$120=$B24)*Inputs!$B$5:$B$120*(((Inputs!$G$5:$G$120="moeda")+(Inputs!$G$5:$G$120="acoes"))*Inputs!$B$1+((Inputs!$G$5:$G$120&lt;&gt;"moeda")*(Inputs!$G$5:$G$120&lt;&gt;"acoes")))*INDEX(Inputs!$K$5:$AJ$120,0,MATCH(V$2,Inputs!$K$4:$AJ$4,0)))+SUMPRODUCT((Inputs!$C$5:$C$120=$B24)*Inputs!$D$5:$D$120*(((Inputs!$G$5:$G$120="moeda")+(Inputs!$G$5:$G$120="acoes"))*Inputs!$B$1+((Inputs!$G$5:$G$120&lt;&gt;"moeda")*(Inputs!$G$5:$G$120&lt;&gt;"acoes")))*INDEX(Inputs!$K$5:$AJ$120,0,MATCH(V$2,Inputs!$K$4:$AJ$4,0)))+SUMPRODUCT((Inputs!$E$5:$E$120=$B24)*Inputs!$F$5:$F$120*(((Inputs!$G$5:$G$120="moeda")+(Inputs!$G$5:$G$120="acoes"))*Inputs!$B$1+((Inputs!$G$5:$G$120&lt;&gt;"moeda")*(Inputs!$G$5:$G$120&lt;&gt;"acoes")))*INDEX(Inputs!$K$5:$AJ$120,0,MATCH(V$2,Inputs!$K$4:$AJ$4,0)))))</f>
        <v>5770.3</v>
      </c>
      <c r="W24" s="3">
        <f>V24</f>
        <v>5770.3</v>
      </c>
      <c r="X24" s="6">
        <f>IF(ISNA(MATCH(X$2,Inputs!$K$4:$AJ$4,0)),NA(),IF(SUMPRODUCT((Inputs!$A$5:$A$120=$B24)*ISNUMBER(INDEX(Inputs!$K$5:$AJ$120,0,MATCH(X$2,Inputs!$K$4:$AJ$4,0))))+SUMPRODUCT((Inputs!$C$5:$C$120=$B24)*ISNUMBER(INDEX(Inputs!$K$5:$AJ$120,0,MATCH(X$2,Inputs!$K$4:$AJ$4,0))))+SUMPRODUCT((Inputs!$E$5:$E$120=$B24)*ISNUMBER(INDEX(Inputs!$K$5:$AJ$120,0,MATCH(X$2,Inputs!$K$4:$AJ$4,0))))=0,NA(),SUMPRODUCT((Inputs!$A$5:$A$120=$B24)*Inputs!$B$5:$B$120*(((Inputs!$G$5:$G$120="moeda")+(Inputs!$G$5:$G$120="acoes"))*Inputs!$B$1+((Inputs!$G$5:$G$120&lt;&gt;"moeda")*(Inputs!$G$5:$G$120&lt;&gt;"acoes")))*INDEX(Inputs!$K$5:$AJ$120,0,MATCH(X$2,Inputs!$K$4:$AJ$4,0)))+SUMPRODUCT((Inputs!$C$5:$C$120=$B24)*Inputs!$D$5:$D$120*(((Inputs!$G$5:$G$120="moeda")+(Inputs!$G$5:$G$120="acoes"))*Inputs!$B$1+((Inputs!$G$5:$G$120&lt;&gt;"moeda")*(Inputs!$G$5:$G$120&lt;&gt;"acoes")))*INDEX(Inputs!$K$5:$AJ$120,0,MATCH(X$2,Inputs!$K$4:$AJ$4,0)))+SUMPRODUCT((Inputs!$E$5:$E$120=$B24)*Inputs!$F$5:$F$120*(((Inputs!$G$5:$G$120="moeda")+(Inputs!$G$5:$G$120="acoes"))*Inputs!$B$1+((Inputs!$G$5:$G$120&lt;&gt;"moeda")*(Inputs!$G$5:$G$120&lt;&gt;"acoes")))*INDEX(Inputs!$K$5:$AJ$120,0,MATCH(X$2,Inputs!$K$4:$AJ$4,0)))))</f>
        <v>5770.5</v>
      </c>
      <c r="Y24" s="6">
        <f>IF(ISNA(MATCH(Y$2,Inputs!$K$4:$AJ$4,0)),NA(),IF(SUMPRODUCT((Inputs!$A$5:$A$120=$B24)*ISNUMBER(INDEX(Inputs!$K$5:$AJ$120,0,MATCH(Y$2,Inputs!$K$4:$AJ$4,0))))+SUMPRODUCT((Inputs!$C$5:$C$120=$B24)*ISNUMBER(INDEX(Inputs!$K$5:$AJ$120,0,MATCH(Y$2,Inputs!$K$4:$AJ$4,0))))+SUMPRODUCT((Inputs!$E$5:$E$120=$B24)*ISNUMBER(INDEX(Inputs!$K$5:$AJ$120,0,MATCH(Y$2,Inputs!$K$4:$AJ$4,0))))=0,NA(),SUMPRODUCT((Inputs!$A$5:$A$120=$B24)*Inputs!$B$5:$B$120*(((Inputs!$G$5:$G$120="moeda")+(Inputs!$G$5:$G$120="acoes"))*Inputs!$B$1+((Inputs!$G$5:$G$120&lt;&gt;"moeda")*(Inputs!$G$5:$G$120&lt;&gt;"acoes")))*INDEX(Inputs!$K$5:$AJ$120,0,MATCH(Y$2,Inputs!$K$4:$AJ$4,0)))+SUMPRODUCT((Inputs!$C$5:$C$120=$B24)*Inputs!$D$5:$D$120*(((Inputs!$G$5:$G$120="moeda")+(Inputs!$G$5:$G$120="acoes"))*Inputs!$B$1+((Inputs!$G$5:$G$120&lt;&gt;"moeda")*(Inputs!$G$5:$G$120&lt;&gt;"acoes")))*INDEX(Inputs!$K$5:$AJ$120,0,MATCH(Y$2,Inputs!$K$4:$AJ$4,0)))+SUMPRODUCT((Inputs!$E$5:$E$120=$B24)*Inputs!$F$5:$F$120*(((Inputs!$G$5:$G$120="moeda")+(Inputs!$G$5:$G$120="acoes"))*Inputs!$B$1+((Inputs!$G$5:$G$120&lt;&gt;"moeda")*(Inputs!$G$5:$G$120&lt;&gt;"acoes")))*INDEX(Inputs!$K$5:$AJ$120,0,MATCH(Y$2,Inputs!$K$4:$AJ$4,0)))))</f>
        <v>5770.5</v>
      </c>
      <c r="Z24" s="6">
        <f>IF(ISNA(MATCH(Z$2,Inputs!$K$4:$AJ$4,0)),NA(),IF(SUMPRODUCT((Inputs!$A$5:$A$120=$B24)*ISNUMBER(INDEX(Inputs!$K$5:$AJ$120,0,MATCH(Z$2,Inputs!$K$4:$AJ$4,0))))+SUMPRODUCT((Inputs!$C$5:$C$120=$B24)*ISNUMBER(INDEX(Inputs!$K$5:$AJ$120,0,MATCH(Z$2,Inputs!$K$4:$AJ$4,0))))+SUMPRODUCT((Inputs!$E$5:$E$120=$B24)*ISNUMBER(INDEX(Inputs!$K$5:$AJ$120,0,MATCH(Z$2,Inputs!$K$4:$AJ$4,0))))=0,NA(),SUMPRODUCT((Inputs!$A$5:$A$120=$B24)*Inputs!$B$5:$B$120*(((Inputs!$G$5:$G$120="moeda")+(Inputs!$G$5:$G$120="acoes"))*Inputs!$B$1+((Inputs!$G$5:$G$120&lt;&gt;"moeda")*(Inputs!$G$5:$G$120&lt;&gt;"acoes")))*INDEX(Inputs!$K$5:$AJ$120,0,MATCH(Z$2,Inputs!$K$4:$AJ$4,0)))+SUMPRODUCT((Inputs!$C$5:$C$120=$B24)*Inputs!$D$5:$D$120*(((Inputs!$G$5:$G$120="moeda")+(Inputs!$G$5:$G$120="acoes"))*Inputs!$B$1+((Inputs!$G$5:$G$120&lt;&gt;"moeda")*(Inputs!$G$5:$G$120&lt;&gt;"acoes")))*INDEX(Inputs!$K$5:$AJ$120,0,MATCH(Z$2,Inputs!$K$4:$AJ$4,0)))+SUMPRODUCT((Inputs!$E$5:$E$120=$B24)*Inputs!$F$5:$F$120*(((Inputs!$G$5:$G$120="moeda")+(Inputs!$G$5:$G$120="acoes"))*Inputs!$B$1+((Inputs!$G$5:$G$120&lt;&gt;"moeda")*(Inputs!$G$5:$G$120&lt;&gt;"acoes")))*INDEX(Inputs!$K$5:$AJ$120,0,MATCH(Z$2,Inputs!$K$4:$AJ$4,0)))))</f>
        <v>5898</v>
      </c>
      <c r="AA24" s="6">
        <f>IF(ISNA(MATCH(AA$2,Inputs!$K$4:$AJ$4,0)),NA(),IF(SUMPRODUCT((Inputs!$A$5:$A$120=$B24)*ISNUMBER(INDEX(Inputs!$K$5:$AJ$120,0,MATCH(AA$2,Inputs!$K$4:$AJ$4,0))))+SUMPRODUCT((Inputs!$C$5:$C$120=$B24)*ISNUMBER(INDEX(Inputs!$K$5:$AJ$120,0,MATCH(AA$2,Inputs!$K$4:$AJ$4,0))))+SUMPRODUCT((Inputs!$E$5:$E$120=$B24)*ISNUMBER(INDEX(Inputs!$K$5:$AJ$120,0,MATCH(AA$2,Inputs!$K$4:$AJ$4,0))))=0,NA(),SUMPRODUCT((Inputs!$A$5:$A$120=$B24)*Inputs!$B$5:$B$120*(((Inputs!$G$5:$G$120="moeda")+(Inputs!$G$5:$G$120="acoes"))*Inputs!$B$1+((Inputs!$G$5:$G$120&lt;&gt;"moeda")*(Inputs!$G$5:$G$120&lt;&gt;"acoes")))*INDEX(Inputs!$K$5:$AJ$120,0,MATCH(AA$2,Inputs!$K$4:$AJ$4,0)))+SUMPRODUCT((Inputs!$C$5:$C$120=$B24)*Inputs!$D$5:$D$120*(((Inputs!$G$5:$G$120="moeda")+(Inputs!$G$5:$G$120="acoes"))*Inputs!$B$1+((Inputs!$G$5:$G$120&lt;&gt;"moeda")*(Inputs!$G$5:$G$120&lt;&gt;"acoes")))*INDEX(Inputs!$K$5:$AJ$120,0,MATCH(AA$2,Inputs!$K$4:$AJ$4,0)))+SUMPRODUCT((Inputs!$E$5:$E$120=$B24)*Inputs!$F$5:$F$120*(((Inputs!$G$5:$G$120="moeda")+(Inputs!$G$5:$G$120="acoes"))*Inputs!$B$1+((Inputs!$G$5:$G$120&lt;&gt;"moeda")*(Inputs!$G$5:$G$120&lt;&gt;"acoes")))*INDEX(Inputs!$K$5:$AJ$120,0,MATCH(AA$2,Inputs!$K$4:$AJ$4,0)))))</f>
        <v>5898</v>
      </c>
      <c r="AB24" s="3">
        <f>AA24</f>
        <v>5898</v>
      </c>
      <c r="AC24" s="6">
        <f>IF(ISNA(MATCH(AC$2,Inputs!$K$4:$AJ$4,0)),NA(),IF(SUMPRODUCT((Inputs!$A$5:$A$120=$B24)*ISNUMBER(INDEX(Inputs!$K$5:$AJ$120,0,MATCH(AC$2,Inputs!$K$4:$AJ$4,0))))+SUMPRODUCT((Inputs!$C$5:$C$120=$B24)*ISNUMBER(INDEX(Inputs!$K$5:$AJ$120,0,MATCH(AC$2,Inputs!$K$4:$AJ$4,0))))+SUMPRODUCT((Inputs!$E$5:$E$120=$B24)*ISNUMBER(INDEX(Inputs!$K$5:$AJ$120,0,MATCH(AC$2,Inputs!$K$4:$AJ$4,0))))=0,NA(),SUMPRODUCT((Inputs!$A$5:$A$120=$B24)*Inputs!$B$5:$B$120*(((Inputs!$G$5:$G$120="moeda")+(Inputs!$G$5:$G$120="acoes"))*Inputs!$B$1+((Inputs!$G$5:$G$120&lt;&gt;"moeda")*(Inputs!$G$5:$G$120&lt;&gt;"acoes")))*INDEX(Inputs!$K$5:$AJ$120,0,MATCH(AC$2,Inputs!$K$4:$AJ$4,0)))+SUMPRODUCT((Inputs!$C$5:$C$120=$B24)*Inputs!$D$5:$D$120*(((Inputs!$G$5:$G$120="moeda")+(Inputs!$G$5:$G$120="acoes"))*Inputs!$B$1+((Inputs!$G$5:$G$120&lt;&gt;"moeda")*(Inputs!$G$5:$G$120&lt;&gt;"acoes")))*INDEX(Inputs!$K$5:$AJ$120,0,MATCH(AC$2,Inputs!$K$4:$AJ$4,0)))+SUMPRODUCT((Inputs!$E$5:$E$120=$B24)*Inputs!$F$5:$F$120*(((Inputs!$G$5:$G$120="moeda")+(Inputs!$G$5:$G$120="acoes"))*Inputs!$B$1+((Inputs!$G$5:$G$120&lt;&gt;"moeda")*(Inputs!$G$5:$G$120&lt;&gt;"acoes")))*INDEX(Inputs!$K$5:$AJ$120,0,MATCH(AC$2,Inputs!$K$4:$AJ$4,0)))))</f>
        <v>6130</v>
      </c>
      <c r="AD24" s="6">
        <f>IF(ISNA(MATCH(AD$2,Inputs!$K$4:$AJ$4,0)),NA(),IF(SUMPRODUCT((Inputs!$A$5:$A$120=$B24)*ISNUMBER(INDEX(Inputs!$K$5:$AJ$120,0,MATCH(AD$2,Inputs!$K$4:$AJ$4,0))))+SUMPRODUCT((Inputs!$C$5:$C$120=$B24)*ISNUMBER(INDEX(Inputs!$K$5:$AJ$120,0,MATCH(AD$2,Inputs!$K$4:$AJ$4,0))))+SUMPRODUCT((Inputs!$E$5:$E$120=$B24)*ISNUMBER(INDEX(Inputs!$K$5:$AJ$120,0,MATCH(AD$2,Inputs!$K$4:$AJ$4,0))))=0,NA(),SUMPRODUCT((Inputs!$A$5:$A$120=$B24)*Inputs!$B$5:$B$120*(((Inputs!$G$5:$G$120="moeda")+(Inputs!$G$5:$G$120="acoes"))*Inputs!$B$1+((Inputs!$G$5:$G$120&lt;&gt;"moeda")*(Inputs!$G$5:$G$120&lt;&gt;"acoes")))*INDEX(Inputs!$K$5:$AJ$120,0,MATCH(AD$2,Inputs!$K$4:$AJ$4,0)))+SUMPRODUCT((Inputs!$C$5:$C$120=$B24)*Inputs!$D$5:$D$120*(((Inputs!$G$5:$G$120="moeda")+(Inputs!$G$5:$G$120="acoes"))*Inputs!$B$1+((Inputs!$G$5:$G$120&lt;&gt;"moeda")*(Inputs!$G$5:$G$120&lt;&gt;"acoes")))*INDEX(Inputs!$K$5:$AJ$120,0,MATCH(AD$2,Inputs!$K$4:$AJ$4,0)))+SUMPRODUCT((Inputs!$E$5:$E$120=$B24)*Inputs!$F$5:$F$120*(((Inputs!$G$5:$G$120="moeda")+(Inputs!$G$5:$G$120="acoes"))*Inputs!$B$1+((Inputs!$G$5:$G$120&lt;&gt;"moeda")*(Inputs!$G$5:$G$120&lt;&gt;"acoes")))*INDEX(Inputs!$K$5:$AJ$120,0,MATCH(AD$2,Inputs!$K$4:$AJ$4,0)))))</f>
        <v>8849</v>
      </c>
      <c r="AE24" s="6" t="e">
        <f>IF(ISNA(MATCH(AE$2,Inputs!$K$4:$AJ$4,0)),NA(),IF(SUMPRODUCT((Inputs!$A$5:$A$120=$B24)*ISNUMBER(INDEX(Inputs!$K$5:$AJ$120,0,MATCH(AE$2,Inputs!$K$4:$AJ$4,0))))+SUMPRODUCT((Inputs!$C$5:$C$120=$B24)*ISNUMBER(INDEX(Inputs!$K$5:$AJ$120,0,MATCH(AE$2,Inputs!$K$4:$AJ$4,0))))+SUMPRODUCT((Inputs!$E$5:$E$120=$B24)*ISNUMBER(INDEX(Inputs!$K$5:$AJ$120,0,MATCH(AE$2,Inputs!$K$4:$AJ$4,0))))=0,NA(),SUMPRODUCT((Inputs!$A$5:$A$120=$B24)*Inputs!$B$5:$B$120*(((Inputs!$G$5:$G$120="moeda")+(Inputs!$G$5:$G$120="acoes"))*Inputs!$B$1+((Inputs!$G$5:$G$120&lt;&gt;"moeda")*(Inputs!$G$5:$G$120&lt;&gt;"acoes")))*INDEX(Inputs!$K$5:$AJ$120,0,MATCH(AE$2,Inputs!$K$4:$AJ$4,0)))+SUMPRODUCT((Inputs!$C$5:$C$120=$B24)*Inputs!$D$5:$D$120*(((Inputs!$G$5:$G$120="moeda")+(Inputs!$G$5:$G$120="acoes"))*Inputs!$B$1+((Inputs!$G$5:$G$120&lt;&gt;"moeda")*(Inputs!$G$5:$G$120&lt;&gt;"acoes")))*INDEX(Inputs!$K$5:$AJ$120,0,MATCH(AE$2,Inputs!$K$4:$AJ$4,0)))+SUMPRODUCT((Inputs!$E$5:$E$120=$B24)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4" s="6" t="e">
        <f>IF(ISNA(MATCH(AF$2,Inputs!$K$4:$AJ$4,0)),NA(),IF(SUMPRODUCT((Inputs!$A$5:$A$120=$B24)*ISNUMBER(INDEX(Inputs!$K$5:$AJ$120,0,MATCH(AF$2,Inputs!$K$4:$AJ$4,0))))+SUMPRODUCT((Inputs!$C$5:$C$120=$B24)*ISNUMBER(INDEX(Inputs!$K$5:$AJ$120,0,MATCH(AF$2,Inputs!$K$4:$AJ$4,0))))+SUMPRODUCT((Inputs!$E$5:$E$120=$B24)*ISNUMBER(INDEX(Inputs!$K$5:$AJ$120,0,MATCH(AF$2,Inputs!$K$4:$AJ$4,0))))=0,NA(),SUMPRODUCT((Inputs!$A$5:$A$120=$B24)*Inputs!$B$5:$B$120*(((Inputs!$G$5:$G$120="moeda")+(Inputs!$G$5:$G$120="acoes"))*Inputs!$B$1+((Inputs!$G$5:$G$120&lt;&gt;"moeda")*(Inputs!$G$5:$G$120&lt;&gt;"acoes")))*INDEX(Inputs!$K$5:$AJ$120,0,MATCH(AF$2,Inputs!$K$4:$AJ$4,0)))+SUMPRODUCT((Inputs!$C$5:$C$120=$B24)*Inputs!$D$5:$D$120*(((Inputs!$G$5:$G$120="moeda")+(Inputs!$G$5:$G$120="acoes"))*Inputs!$B$1+((Inputs!$G$5:$G$120&lt;&gt;"moeda")*(Inputs!$G$5:$G$120&lt;&gt;"acoes")))*INDEX(Inputs!$K$5:$AJ$120,0,MATCH(AF$2,Inputs!$K$4:$AJ$4,0)))+SUMPRODUCT((Inputs!$E$5:$E$120=$B24)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4" s="3" t="e">
        <f>AF24</f>
        <v>#N/A</v>
      </c>
      <c r="AH24" s="6">
        <f>IF(ISNA(MATCH(AH$2,Inputs!$K$4:$AJ$4,0)),NA(),IF(SUMPRODUCT((Inputs!$A$5:$A$120=$B24)*ISNUMBER(INDEX(Inputs!$K$5:$AJ$120,0,MATCH(AH$2,Inputs!$K$4:$AJ$4,0))))+SUMPRODUCT((Inputs!$C$5:$C$120=$B24)*ISNUMBER(INDEX(Inputs!$K$5:$AJ$120,0,MATCH(AH$2,Inputs!$K$4:$AJ$4,0))))+SUMPRODUCT((Inputs!$E$5:$E$120=$B24)*ISNUMBER(INDEX(Inputs!$K$5:$AJ$120,0,MATCH(AH$2,Inputs!$K$4:$AJ$4,0))))=0,NA(),SUMPRODUCT((Inputs!$A$5:$A$120=$B24)*Inputs!$B$5:$B$120*(((Inputs!$G$5:$G$120="moeda")+(Inputs!$G$5:$G$120="acoes"))*Inputs!$B$1+((Inputs!$G$5:$G$120&lt;&gt;"moeda")*(Inputs!$G$5:$G$120&lt;&gt;"acoes")))*INDEX(Inputs!$K$5:$AJ$120,0,MATCH(AH$2,Inputs!$K$4:$AJ$4,0)))+SUMPRODUCT((Inputs!$C$5:$C$120=$B24)*Inputs!$D$5:$D$120*(((Inputs!$G$5:$G$120="moeda")+(Inputs!$G$5:$G$120="acoes"))*Inputs!$B$1+((Inputs!$G$5:$G$120&lt;&gt;"moeda")*(Inputs!$G$5:$G$120&lt;&gt;"acoes")))*INDEX(Inputs!$K$5:$AJ$120,0,MATCH(AH$2,Inputs!$K$4:$AJ$4,0)))+SUMPRODUCT((Inputs!$E$5:$E$120=$B24)*Inputs!$F$5:$F$120*(((Inputs!$G$5:$G$120="moeda")+(Inputs!$G$5:$G$120="acoes"))*Inputs!$B$1+((Inputs!$G$5:$G$120&lt;&gt;"moeda")*(Inputs!$G$5:$G$120&lt;&gt;"acoes")))*INDEX(Inputs!$K$5:$AJ$120,0,MATCH(AH$2,Inputs!$K$4:$AJ$4,0)))))</f>
        <v>3779.1</v>
      </c>
      <c r="AI24" s="6">
        <f>IF(ISNA(MATCH(AI$2,Inputs!$K$4:$AJ$4,0)),NA(),IF(SUMPRODUCT((Inputs!$A$5:$A$120=$B24)*ISNUMBER(INDEX(Inputs!$K$5:$AJ$120,0,MATCH(AI$2,Inputs!$K$4:$AJ$4,0))))+SUMPRODUCT((Inputs!$C$5:$C$120=$B24)*ISNUMBER(INDEX(Inputs!$K$5:$AJ$120,0,MATCH(AI$2,Inputs!$K$4:$AJ$4,0))))+SUMPRODUCT((Inputs!$E$5:$E$120=$B24)*ISNUMBER(INDEX(Inputs!$K$5:$AJ$120,0,MATCH(AI$2,Inputs!$K$4:$AJ$4,0))))=0,NA(),SUMPRODUCT((Inputs!$A$5:$A$120=$B24)*Inputs!$B$5:$B$120*(((Inputs!$G$5:$G$120="moeda")+(Inputs!$G$5:$G$120="acoes"))*Inputs!$B$1+((Inputs!$G$5:$G$120&lt;&gt;"moeda")*(Inputs!$G$5:$G$120&lt;&gt;"acoes")))*INDEX(Inputs!$K$5:$AJ$120,0,MATCH(AI$2,Inputs!$K$4:$AJ$4,0)))+SUMPRODUCT((Inputs!$C$5:$C$120=$B24)*Inputs!$D$5:$D$120*(((Inputs!$G$5:$G$120="moeda")+(Inputs!$G$5:$G$120="acoes"))*Inputs!$B$1+((Inputs!$G$5:$G$120&lt;&gt;"moeda")*(Inputs!$G$5:$G$120&lt;&gt;"acoes")))*INDEX(Inputs!$K$5:$AJ$120,0,MATCH(AI$2,Inputs!$K$4:$AJ$4,0)))+SUMPRODUCT((Inputs!$E$5:$E$120=$B24)*Inputs!$F$5:$F$120*(((Inputs!$G$5:$G$120="moeda")+(Inputs!$G$5:$G$120="acoes"))*Inputs!$B$1+((Inputs!$G$5:$G$120&lt;&gt;"moeda")*(Inputs!$G$5:$G$120&lt;&gt;"acoes")))*INDEX(Inputs!$K$5:$AJ$120,0,MATCH(AI$2,Inputs!$K$4:$AJ$4,0)))))</f>
        <v>3723.2</v>
      </c>
      <c r="AJ24" s="6">
        <f>IF(ISNA(MATCH(AJ$2,Inputs!$K$4:$AJ$4,0)),NA(),IF(SUMPRODUCT((Inputs!$A$5:$A$120=$B24)*ISNUMBER(INDEX(Inputs!$K$5:$AJ$120,0,MATCH(AJ$2,Inputs!$K$4:$AJ$4,0))))+SUMPRODUCT((Inputs!$C$5:$C$120=$B24)*ISNUMBER(INDEX(Inputs!$K$5:$AJ$120,0,MATCH(AJ$2,Inputs!$K$4:$AJ$4,0))))+SUMPRODUCT((Inputs!$E$5:$E$120=$B24)*ISNUMBER(INDEX(Inputs!$K$5:$AJ$120,0,MATCH(AJ$2,Inputs!$K$4:$AJ$4,0))))=0,NA(),SUMPRODUCT((Inputs!$A$5:$A$120=$B24)*Inputs!$B$5:$B$120*(((Inputs!$G$5:$G$120="moeda")+(Inputs!$G$5:$G$120="acoes"))*Inputs!$B$1+((Inputs!$G$5:$G$120&lt;&gt;"moeda")*(Inputs!$G$5:$G$120&lt;&gt;"acoes")))*INDEX(Inputs!$K$5:$AJ$120,0,MATCH(AJ$2,Inputs!$K$4:$AJ$4,0)))+SUMPRODUCT((Inputs!$C$5:$C$120=$B24)*Inputs!$D$5:$D$120*(((Inputs!$G$5:$G$120="moeda")+(Inputs!$G$5:$G$120="acoes"))*Inputs!$B$1+((Inputs!$G$5:$G$120&lt;&gt;"moeda")*(Inputs!$G$5:$G$120&lt;&gt;"acoes")))*INDEX(Inputs!$K$5:$AJ$120,0,MATCH(AJ$2,Inputs!$K$4:$AJ$4,0)))+SUMPRODUCT((Inputs!$E$5:$E$120=$B24)*Inputs!$F$5:$F$120*(((Inputs!$G$5:$G$120="moeda")+(Inputs!$G$5:$G$120="acoes"))*Inputs!$B$1+((Inputs!$G$5:$G$120&lt;&gt;"moeda")*(Inputs!$G$5:$G$120&lt;&gt;"acoes")))*INDEX(Inputs!$K$5:$AJ$120,0,MATCH(AJ$2,Inputs!$K$4:$AJ$4,0)))))</f>
        <v>3726.4</v>
      </c>
      <c r="AK24" s="6">
        <f>IF(ISNA(MATCH(AK$2,Inputs!$K$4:$AJ$4,0)),NA(),IF(SUMPRODUCT((Inputs!$A$5:$A$120=$B24)*ISNUMBER(INDEX(Inputs!$K$5:$AJ$120,0,MATCH(AK$2,Inputs!$K$4:$AJ$4,0))))+SUMPRODUCT((Inputs!$C$5:$C$120=$B24)*ISNUMBER(INDEX(Inputs!$K$5:$AJ$120,0,MATCH(AK$2,Inputs!$K$4:$AJ$4,0))))+SUMPRODUCT((Inputs!$E$5:$E$120=$B24)*ISNUMBER(INDEX(Inputs!$K$5:$AJ$120,0,MATCH(AK$2,Inputs!$K$4:$AJ$4,0))))=0,NA(),SUMPRODUCT((Inputs!$A$5:$A$120=$B24)*Inputs!$B$5:$B$120*(((Inputs!$G$5:$G$120="moeda")+(Inputs!$G$5:$G$120="acoes"))*Inputs!$B$1+((Inputs!$G$5:$G$120&lt;&gt;"moeda")*(Inputs!$G$5:$G$120&lt;&gt;"acoes")))*INDEX(Inputs!$K$5:$AJ$120,0,MATCH(AK$2,Inputs!$K$4:$AJ$4,0)))+SUMPRODUCT((Inputs!$C$5:$C$120=$B24)*Inputs!$D$5:$D$120*(((Inputs!$G$5:$G$120="moeda")+(Inputs!$G$5:$G$120="acoes"))*Inputs!$B$1+((Inputs!$G$5:$G$120&lt;&gt;"moeda")*(Inputs!$G$5:$G$120&lt;&gt;"acoes")))*INDEX(Inputs!$K$5:$AJ$120,0,MATCH(AK$2,Inputs!$K$4:$AJ$4,0)))+SUMPRODUCT((Inputs!$E$5:$E$120=$B24)*Inputs!$F$5:$F$120*(((Inputs!$G$5:$G$120="moeda")+(Inputs!$G$5:$G$120="acoes"))*Inputs!$B$1+((Inputs!$G$5:$G$120&lt;&gt;"moeda")*(Inputs!$G$5:$G$120&lt;&gt;"acoes")))*INDEX(Inputs!$K$5:$AJ$120,0,MATCH(AK$2,Inputs!$K$4:$AJ$4,0)))))</f>
        <v>3766.5</v>
      </c>
      <c r="AL24" s="3">
        <f>AK24</f>
        <v>3766.5</v>
      </c>
    </row>
    <row r="25">
      <c r="B25" s="46" t="n">
        <v>21</v>
      </c>
      <c r="C25" s="26" t="inlineStr">
        <is>
          <t>Intangibles</t>
        </is>
      </c>
      <c r="D25" s="6">
        <f>IF(ISNA(MATCH(D$2,Inputs!$K$4:$AJ$4,0)),NA(),IF(SUMPRODUCT((Inputs!$A$5:$A$120=$B25)*ISNUMBER(INDEX(Inputs!$K$5:$AJ$120,0,MATCH(D$2,Inputs!$K$4:$AJ$4,0))))+SUMPRODUCT((Inputs!$C$5:$C$120=$B25)*ISNUMBER(INDEX(Inputs!$K$5:$AJ$120,0,MATCH(D$2,Inputs!$K$4:$AJ$4,0))))+SUMPRODUCT((Inputs!$E$5:$E$120=$B25)*ISNUMBER(INDEX(Inputs!$K$5:$AJ$120,0,MATCH(D$2,Inputs!$K$4:$AJ$4,0))))=0,NA(),SUMPRODUCT((Inputs!$A$5:$A$120=$B25)*Inputs!$B$5:$B$120*(((Inputs!$G$5:$G$120="moeda")+(Inputs!$G$5:$G$120="acoes"))*Inputs!$B$1+((Inputs!$G$5:$G$120&lt;&gt;"moeda")*(Inputs!$G$5:$G$120&lt;&gt;"acoes")))*INDEX(Inputs!$K$5:$AJ$120,0,MATCH(D$2,Inputs!$K$4:$AJ$4,0)))+SUMPRODUCT((Inputs!$C$5:$C$120=$B25)*Inputs!$D$5:$D$120*(((Inputs!$G$5:$G$120="moeda")+(Inputs!$G$5:$G$120="acoes"))*Inputs!$B$1+((Inputs!$G$5:$G$120&lt;&gt;"moeda")*(Inputs!$G$5:$G$120&lt;&gt;"acoes")))*INDEX(Inputs!$K$5:$AJ$120,0,MATCH(D$2,Inputs!$K$4:$AJ$4,0)))+SUMPRODUCT((Inputs!$E$5:$E$120=$B25)*Inputs!$F$5:$F$120*(((Inputs!$G$5:$G$120="moeda")+(Inputs!$G$5:$G$120="acoes"))*Inputs!$B$1+((Inputs!$G$5:$G$120&lt;&gt;"moeda")*(Inputs!$G$5:$G$120&lt;&gt;"acoes")))*INDEX(Inputs!$K$5:$AJ$120,0,MATCH(D$2,Inputs!$K$4:$AJ$4,0)))))</f>
        <v>8087.8</v>
      </c>
      <c r="E25" s="6">
        <f>IF(ISNA(MATCH(E$2,Inputs!$K$4:$AJ$4,0)),NA(),IF(SUMPRODUCT((Inputs!$A$5:$A$120=$B25)*ISNUMBER(INDEX(Inputs!$K$5:$AJ$120,0,MATCH(E$2,Inputs!$K$4:$AJ$4,0))))+SUMPRODUCT((Inputs!$C$5:$C$120=$B25)*ISNUMBER(INDEX(Inputs!$K$5:$AJ$120,0,MATCH(E$2,Inputs!$K$4:$AJ$4,0))))+SUMPRODUCT((Inputs!$E$5:$E$120=$B25)*ISNUMBER(INDEX(Inputs!$K$5:$AJ$120,0,MATCH(E$2,Inputs!$K$4:$AJ$4,0))))=0,NA(),SUMPRODUCT((Inputs!$A$5:$A$120=$B25)*Inputs!$B$5:$B$120*(((Inputs!$G$5:$G$120="moeda")+(Inputs!$G$5:$G$120="acoes"))*Inputs!$B$1+((Inputs!$G$5:$G$120&lt;&gt;"moeda")*(Inputs!$G$5:$G$120&lt;&gt;"acoes")))*INDEX(Inputs!$K$5:$AJ$120,0,MATCH(E$2,Inputs!$K$4:$AJ$4,0)))+SUMPRODUCT((Inputs!$C$5:$C$120=$B25)*Inputs!$D$5:$D$120*(((Inputs!$G$5:$G$120="moeda")+(Inputs!$G$5:$G$120="acoes"))*Inputs!$B$1+((Inputs!$G$5:$G$120&lt;&gt;"moeda")*(Inputs!$G$5:$G$120&lt;&gt;"acoes")))*INDEX(Inputs!$K$5:$AJ$120,0,MATCH(E$2,Inputs!$K$4:$AJ$4,0)))+SUMPRODUCT((Inputs!$E$5:$E$120=$B25)*Inputs!$F$5:$F$120*(((Inputs!$G$5:$G$120="moeda")+(Inputs!$G$5:$G$120="acoes"))*Inputs!$B$1+((Inputs!$G$5:$G$120&lt;&gt;"moeda")*(Inputs!$G$5:$G$120&lt;&gt;"acoes")))*INDEX(Inputs!$K$5:$AJ$120,0,MATCH(E$2,Inputs!$K$4:$AJ$4,0)))))</f>
        <v>7985.4</v>
      </c>
      <c r="F25" s="6">
        <f>IF(ISNA(MATCH(F$2,Inputs!$K$4:$AJ$4,0)),NA(),IF(SUMPRODUCT((Inputs!$A$5:$A$120=$B25)*ISNUMBER(INDEX(Inputs!$K$5:$AJ$120,0,MATCH(F$2,Inputs!$K$4:$AJ$4,0))))+SUMPRODUCT((Inputs!$C$5:$C$120=$B25)*ISNUMBER(INDEX(Inputs!$K$5:$AJ$120,0,MATCH(F$2,Inputs!$K$4:$AJ$4,0))))+SUMPRODUCT((Inputs!$E$5:$E$120=$B25)*ISNUMBER(INDEX(Inputs!$K$5:$AJ$120,0,MATCH(F$2,Inputs!$K$4:$AJ$4,0))))=0,NA(),SUMPRODUCT((Inputs!$A$5:$A$120=$B25)*Inputs!$B$5:$B$120*(((Inputs!$G$5:$G$120="moeda")+(Inputs!$G$5:$G$120="acoes"))*Inputs!$B$1+((Inputs!$G$5:$G$120&lt;&gt;"moeda")*(Inputs!$G$5:$G$120&lt;&gt;"acoes")))*INDEX(Inputs!$K$5:$AJ$120,0,MATCH(F$2,Inputs!$K$4:$AJ$4,0)))+SUMPRODUCT((Inputs!$C$5:$C$120=$B25)*Inputs!$D$5:$D$120*(((Inputs!$G$5:$G$120="moeda")+(Inputs!$G$5:$G$120="acoes"))*Inputs!$B$1+((Inputs!$G$5:$G$120&lt;&gt;"moeda")*(Inputs!$G$5:$G$120&lt;&gt;"acoes")))*INDEX(Inputs!$K$5:$AJ$120,0,MATCH(F$2,Inputs!$K$4:$AJ$4,0)))+SUMPRODUCT((Inputs!$E$5:$E$120=$B25)*Inputs!$F$5:$F$120*(((Inputs!$G$5:$G$120="moeda")+(Inputs!$G$5:$G$120="acoes"))*Inputs!$B$1+((Inputs!$G$5:$G$120&lt;&gt;"moeda")*(Inputs!$G$5:$G$120&lt;&gt;"acoes")))*INDEX(Inputs!$K$5:$AJ$120,0,MATCH(F$2,Inputs!$K$4:$AJ$4,0)))))</f>
        <v>7887.7</v>
      </c>
      <c r="G25" s="6">
        <f>IF(ISNA(MATCH(G$2,Inputs!$K$4:$AJ$4,0)),NA(),IF(SUMPRODUCT((Inputs!$A$5:$A$120=$B25)*ISNUMBER(INDEX(Inputs!$K$5:$AJ$120,0,MATCH(G$2,Inputs!$K$4:$AJ$4,0))))+SUMPRODUCT((Inputs!$C$5:$C$120=$B25)*ISNUMBER(INDEX(Inputs!$K$5:$AJ$120,0,MATCH(G$2,Inputs!$K$4:$AJ$4,0))))+SUMPRODUCT((Inputs!$E$5:$E$120=$B25)*ISNUMBER(INDEX(Inputs!$K$5:$AJ$120,0,MATCH(G$2,Inputs!$K$4:$AJ$4,0))))=0,NA(),SUMPRODUCT((Inputs!$A$5:$A$120=$B25)*Inputs!$B$5:$B$120*(((Inputs!$G$5:$G$120="moeda")+(Inputs!$G$5:$G$120="acoes"))*Inputs!$B$1+((Inputs!$G$5:$G$120&lt;&gt;"moeda")*(Inputs!$G$5:$G$120&lt;&gt;"acoes")))*INDEX(Inputs!$K$5:$AJ$120,0,MATCH(G$2,Inputs!$K$4:$AJ$4,0)))+SUMPRODUCT((Inputs!$C$5:$C$120=$B25)*Inputs!$D$5:$D$120*(((Inputs!$G$5:$G$120="moeda")+(Inputs!$G$5:$G$120="acoes"))*Inputs!$B$1+((Inputs!$G$5:$G$120&lt;&gt;"moeda")*(Inputs!$G$5:$G$120&lt;&gt;"acoes")))*INDEX(Inputs!$K$5:$AJ$120,0,MATCH(G$2,Inputs!$K$4:$AJ$4,0)))+SUMPRODUCT((Inputs!$E$5:$E$120=$B25)*Inputs!$F$5:$F$120*(((Inputs!$G$5:$G$120="moeda")+(Inputs!$G$5:$G$120="acoes"))*Inputs!$B$1+((Inputs!$G$5:$G$120&lt;&gt;"moeda")*(Inputs!$G$5:$G$120&lt;&gt;"acoes")))*INDEX(Inputs!$K$5:$AJ$120,0,MATCH(G$2,Inputs!$K$4:$AJ$4,0)))))</f>
        <v>7691.9</v>
      </c>
      <c r="H25" s="3">
        <f>G25</f>
        <v>7691.9</v>
      </c>
      <c r="I25" s="6">
        <f>IF(ISNA(MATCH(I$2,Inputs!$K$4:$AJ$4,0)),NA(),IF(SUMPRODUCT((Inputs!$A$5:$A$120=$B25)*ISNUMBER(INDEX(Inputs!$K$5:$AJ$120,0,MATCH(I$2,Inputs!$K$4:$AJ$4,0))))+SUMPRODUCT((Inputs!$C$5:$C$120=$B25)*ISNUMBER(INDEX(Inputs!$K$5:$AJ$120,0,MATCH(I$2,Inputs!$K$4:$AJ$4,0))))+SUMPRODUCT((Inputs!$E$5:$E$120=$B25)*ISNUMBER(INDEX(Inputs!$K$5:$AJ$120,0,MATCH(I$2,Inputs!$K$4:$AJ$4,0))))=0,NA(),SUMPRODUCT((Inputs!$A$5:$A$120=$B25)*Inputs!$B$5:$B$120*(((Inputs!$G$5:$G$120="moeda")+(Inputs!$G$5:$G$120="acoes"))*Inputs!$B$1+((Inputs!$G$5:$G$120&lt;&gt;"moeda")*(Inputs!$G$5:$G$120&lt;&gt;"acoes")))*INDEX(Inputs!$K$5:$AJ$120,0,MATCH(I$2,Inputs!$K$4:$AJ$4,0)))+SUMPRODUCT((Inputs!$C$5:$C$120=$B25)*Inputs!$D$5:$D$120*(((Inputs!$G$5:$G$120="moeda")+(Inputs!$G$5:$G$120="acoes"))*Inputs!$B$1+((Inputs!$G$5:$G$120&lt;&gt;"moeda")*(Inputs!$G$5:$G$120&lt;&gt;"acoes")))*INDEX(Inputs!$K$5:$AJ$120,0,MATCH(I$2,Inputs!$K$4:$AJ$4,0)))+SUMPRODUCT((Inputs!$E$5:$E$120=$B25)*Inputs!$F$5:$F$120*(((Inputs!$G$5:$G$120="moeda")+(Inputs!$G$5:$G$120="acoes"))*Inputs!$B$1+((Inputs!$G$5:$G$120&lt;&gt;"moeda")*(Inputs!$G$5:$G$120&lt;&gt;"acoes")))*INDEX(Inputs!$K$5:$AJ$120,0,MATCH(I$2,Inputs!$K$4:$AJ$4,0)))))</f>
        <v>7482.4</v>
      </c>
      <c r="J25" s="6">
        <f>IF(ISNA(MATCH(J$2,Inputs!$K$4:$AJ$4,0)),NA(),IF(SUMPRODUCT((Inputs!$A$5:$A$120=$B25)*ISNUMBER(INDEX(Inputs!$K$5:$AJ$120,0,MATCH(J$2,Inputs!$K$4:$AJ$4,0))))+SUMPRODUCT((Inputs!$C$5:$C$120=$B25)*ISNUMBER(INDEX(Inputs!$K$5:$AJ$120,0,MATCH(J$2,Inputs!$K$4:$AJ$4,0))))+SUMPRODUCT((Inputs!$E$5:$E$120=$B25)*ISNUMBER(INDEX(Inputs!$K$5:$AJ$120,0,MATCH(J$2,Inputs!$K$4:$AJ$4,0))))=0,NA(),SUMPRODUCT((Inputs!$A$5:$A$120=$B25)*Inputs!$B$5:$B$120*(((Inputs!$G$5:$G$120="moeda")+(Inputs!$G$5:$G$120="acoes"))*Inputs!$B$1+((Inputs!$G$5:$G$120&lt;&gt;"moeda")*(Inputs!$G$5:$G$120&lt;&gt;"acoes")))*INDEX(Inputs!$K$5:$AJ$120,0,MATCH(J$2,Inputs!$K$4:$AJ$4,0)))+SUMPRODUCT((Inputs!$C$5:$C$120=$B25)*Inputs!$D$5:$D$120*(((Inputs!$G$5:$G$120="moeda")+(Inputs!$G$5:$G$120="acoes"))*Inputs!$B$1+((Inputs!$G$5:$G$120&lt;&gt;"moeda")*(Inputs!$G$5:$G$120&lt;&gt;"acoes")))*INDEX(Inputs!$K$5:$AJ$120,0,MATCH(J$2,Inputs!$K$4:$AJ$4,0)))+SUMPRODUCT((Inputs!$E$5:$E$120=$B25)*Inputs!$F$5:$F$120*(((Inputs!$G$5:$G$120="moeda")+(Inputs!$G$5:$G$120="acoes"))*Inputs!$B$1+((Inputs!$G$5:$G$120&lt;&gt;"moeda")*(Inputs!$G$5:$G$120&lt;&gt;"acoes")))*INDEX(Inputs!$K$5:$AJ$120,0,MATCH(J$2,Inputs!$K$4:$AJ$4,0)))))</f>
        <v>7497.7</v>
      </c>
      <c r="K25" s="6">
        <f>IF(ISNA(MATCH(K$2,Inputs!$K$4:$AJ$4,0)),NA(),IF(SUMPRODUCT((Inputs!$A$5:$A$120=$B25)*ISNUMBER(INDEX(Inputs!$K$5:$AJ$120,0,MATCH(K$2,Inputs!$K$4:$AJ$4,0))))+SUMPRODUCT((Inputs!$C$5:$C$120=$B25)*ISNUMBER(INDEX(Inputs!$K$5:$AJ$120,0,MATCH(K$2,Inputs!$K$4:$AJ$4,0))))+SUMPRODUCT((Inputs!$E$5:$E$120=$B25)*ISNUMBER(INDEX(Inputs!$K$5:$AJ$120,0,MATCH(K$2,Inputs!$K$4:$AJ$4,0))))=0,NA(),SUMPRODUCT((Inputs!$A$5:$A$120=$B25)*Inputs!$B$5:$B$120*(((Inputs!$G$5:$G$120="moeda")+(Inputs!$G$5:$G$120="acoes"))*Inputs!$B$1+((Inputs!$G$5:$G$120&lt;&gt;"moeda")*(Inputs!$G$5:$G$120&lt;&gt;"acoes")))*INDEX(Inputs!$K$5:$AJ$120,0,MATCH(K$2,Inputs!$K$4:$AJ$4,0)))+SUMPRODUCT((Inputs!$C$5:$C$120=$B25)*Inputs!$D$5:$D$120*(((Inputs!$G$5:$G$120="moeda")+(Inputs!$G$5:$G$120="acoes"))*Inputs!$B$1+((Inputs!$G$5:$G$120&lt;&gt;"moeda")*(Inputs!$G$5:$G$120&lt;&gt;"acoes")))*INDEX(Inputs!$K$5:$AJ$120,0,MATCH(K$2,Inputs!$K$4:$AJ$4,0)))+SUMPRODUCT((Inputs!$E$5:$E$120=$B25)*Inputs!$F$5:$F$120*(((Inputs!$G$5:$G$120="moeda")+(Inputs!$G$5:$G$120="acoes"))*Inputs!$B$1+((Inputs!$G$5:$G$120&lt;&gt;"moeda")*(Inputs!$G$5:$G$120&lt;&gt;"acoes")))*INDEX(Inputs!$K$5:$AJ$120,0,MATCH(K$2,Inputs!$K$4:$AJ$4,0)))))</f>
        <v>7124.1</v>
      </c>
      <c r="L25" s="6">
        <f>IF(ISNA(MATCH(L$2,Inputs!$K$4:$AJ$4,0)),NA(),IF(SUMPRODUCT((Inputs!$A$5:$A$120=$B25)*ISNUMBER(INDEX(Inputs!$K$5:$AJ$120,0,MATCH(L$2,Inputs!$K$4:$AJ$4,0))))+SUMPRODUCT((Inputs!$C$5:$C$120=$B25)*ISNUMBER(INDEX(Inputs!$K$5:$AJ$120,0,MATCH(L$2,Inputs!$K$4:$AJ$4,0))))+SUMPRODUCT((Inputs!$E$5:$E$120=$B25)*ISNUMBER(INDEX(Inputs!$K$5:$AJ$120,0,MATCH(L$2,Inputs!$K$4:$AJ$4,0))))=0,NA(),SUMPRODUCT((Inputs!$A$5:$A$120=$B25)*Inputs!$B$5:$B$120*(((Inputs!$G$5:$G$120="moeda")+(Inputs!$G$5:$G$120="acoes"))*Inputs!$B$1+((Inputs!$G$5:$G$120&lt;&gt;"moeda")*(Inputs!$G$5:$G$120&lt;&gt;"acoes")))*INDEX(Inputs!$K$5:$AJ$120,0,MATCH(L$2,Inputs!$K$4:$AJ$4,0)))+SUMPRODUCT((Inputs!$C$5:$C$120=$B25)*Inputs!$D$5:$D$120*(((Inputs!$G$5:$G$120="moeda")+(Inputs!$G$5:$G$120="acoes"))*Inputs!$B$1+((Inputs!$G$5:$G$120&lt;&gt;"moeda")*(Inputs!$G$5:$G$120&lt;&gt;"acoes")))*INDEX(Inputs!$K$5:$AJ$120,0,MATCH(L$2,Inputs!$K$4:$AJ$4,0)))+SUMPRODUCT((Inputs!$E$5:$E$120=$B25)*Inputs!$F$5:$F$120*(((Inputs!$G$5:$G$120="moeda")+(Inputs!$G$5:$G$120="acoes"))*Inputs!$B$1+((Inputs!$G$5:$G$120&lt;&gt;"moeda")*(Inputs!$G$5:$G$120&lt;&gt;"acoes")))*INDEX(Inputs!$K$5:$AJ$120,0,MATCH(L$2,Inputs!$K$4:$AJ$4,0)))))</f>
        <v>7206.6</v>
      </c>
      <c r="M25" s="3">
        <f>L25</f>
        <v>7206.6</v>
      </c>
      <c r="N25" s="6">
        <f>IF(ISNA(MATCH(N$2,Inputs!$K$4:$AJ$4,0)),NA(),IF(SUMPRODUCT((Inputs!$A$5:$A$120=$B25)*ISNUMBER(INDEX(Inputs!$K$5:$AJ$120,0,MATCH(N$2,Inputs!$K$4:$AJ$4,0))))+SUMPRODUCT((Inputs!$C$5:$C$120=$B25)*ISNUMBER(INDEX(Inputs!$K$5:$AJ$120,0,MATCH(N$2,Inputs!$K$4:$AJ$4,0))))+SUMPRODUCT((Inputs!$E$5:$E$120=$B25)*ISNUMBER(INDEX(Inputs!$K$5:$AJ$120,0,MATCH(N$2,Inputs!$K$4:$AJ$4,0))))=0,NA(),SUMPRODUCT((Inputs!$A$5:$A$120=$B25)*Inputs!$B$5:$B$120*(((Inputs!$G$5:$G$120="moeda")+(Inputs!$G$5:$G$120="acoes"))*Inputs!$B$1+((Inputs!$G$5:$G$120&lt;&gt;"moeda")*(Inputs!$G$5:$G$120&lt;&gt;"acoes")))*INDEX(Inputs!$K$5:$AJ$120,0,MATCH(N$2,Inputs!$K$4:$AJ$4,0)))+SUMPRODUCT((Inputs!$C$5:$C$120=$B25)*Inputs!$D$5:$D$120*(((Inputs!$G$5:$G$120="moeda")+(Inputs!$G$5:$G$120="acoes"))*Inputs!$B$1+((Inputs!$G$5:$G$120&lt;&gt;"moeda")*(Inputs!$G$5:$G$120&lt;&gt;"acoes")))*INDEX(Inputs!$K$5:$AJ$120,0,MATCH(N$2,Inputs!$K$4:$AJ$4,0)))+SUMPRODUCT((Inputs!$E$5:$E$120=$B25)*Inputs!$F$5:$F$120*(((Inputs!$G$5:$G$120="moeda")+(Inputs!$G$5:$G$120="acoes"))*Inputs!$B$1+((Inputs!$G$5:$G$120&lt;&gt;"moeda")*(Inputs!$G$5:$G$120&lt;&gt;"acoes")))*INDEX(Inputs!$K$5:$AJ$120,0,MATCH(N$2,Inputs!$K$4:$AJ$4,0)))))</f>
        <v>7087.1</v>
      </c>
      <c r="O25" s="6">
        <f>IF(ISNA(MATCH(O$2,Inputs!$K$4:$AJ$4,0)),NA(),IF(SUMPRODUCT((Inputs!$A$5:$A$120=$B25)*ISNUMBER(INDEX(Inputs!$K$5:$AJ$120,0,MATCH(O$2,Inputs!$K$4:$AJ$4,0))))+SUMPRODUCT((Inputs!$C$5:$C$120=$B25)*ISNUMBER(INDEX(Inputs!$K$5:$AJ$120,0,MATCH(O$2,Inputs!$K$4:$AJ$4,0))))+SUMPRODUCT((Inputs!$E$5:$E$120=$B25)*ISNUMBER(INDEX(Inputs!$K$5:$AJ$120,0,MATCH(O$2,Inputs!$K$4:$AJ$4,0))))=0,NA(),SUMPRODUCT((Inputs!$A$5:$A$120=$B25)*Inputs!$B$5:$B$120*(((Inputs!$G$5:$G$120="moeda")+(Inputs!$G$5:$G$120="acoes"))*Inputs!$B$1+((Inputs!$G$5:$G$120&lt;&gt;"moeda")*(Inputs!$G$5:$G$120&lt;&gt;"acoes")))*INDEX(Inputs!$K$5:$AJ$120,0,MATCH(O$2,Inputs!$K$4:$AJ$4,0)))+SUMPRODUCT((Inputs!$C$5:$C$120=$B25)*Inputs!$D$5:$D$120*(((Inputs!$G$5:$G$120="moeda")+(Inputs!$G$5:$G$120="acoes"))*Inputs!$B$1+((Inputs!$G$5:$G$120&lt;&gt;"moeda")*(Inputs!$G$5:$G$120&lt;&gt;"acoes")))*INDEX(Inputs!$K$5:$AJ$120,0,MATCH(O$2,Inputs!$K$4:$AJ$4,0)))+SUMPRODUCT((Inputs!$E$5:$E$120=$B25)*Inputs!$F$5:$F$120*(((Inputs!$G$5:$G$120="moeda")+(Inputs!$G$5:$G$120="acoes"))*Inputs!$B$1+((Inputs!$G$5:$G$120&lt;&gt;"moeda")*(Inputs!$G$5:$G$120&lt;&gt;"acoes")))*INDEX(Inputs!$K$5:$AJ$120,0,MATCH(O$2,Inputs!$K$4:$AJ$4,0)))))</f>
        <v>6903.5</v>
      </c>
      <c r="P25" s="6">
        <f>IF(ISNA(MATCH(P$2,Inputs!$K$4:$AJ$4,0)),NA(),IF(SUMPRODUCT((Inputs!$A$5:$A$120=$B25)*ISNUMBER(INDEX(Inputs!$K$5:$AJ$120,0,MATCH(P$2,Inputs!$K$4:$AJ$4,0))))+SUMPRODUCT((Inputs!$C$5:$C$120=$B25)*ISNUMBER(INDEX(Inputs!$K$5:$AJ$120,0,MATCH(P$2,Inputs!$K$4:$AJ$4,0))))+SUMPRODUCT((Inputs!$E$5:$E$120=$B25)*ISNUMBER(INDEX(Inputs!$K$5:$AJ$120,0,MATCH(P$2,Inputs!$K$4:$AJ$4,0))))=0,NA(),SUMPRODUCT((Inputs!$A$5:$A$120=$B25)*Inputs!$B$5:$B$120*(((Inputs!$G$5:$G$120="moeda")+(Inputs!$G$5:$G$120="acoes"))*Inputs!$B$1+((Inputs!$G$5:$G$120&lt;&gt;"moeda")*(Inputs!$G$5:$G$120&lt;&gt;"acoes")))*INDEX(Inputs!$K$5:$AJ$120,0,MATCH(P$2,Inputs!$K$4:$AJ$4,0)))+SUMPRODUCT((Inputs!$C$5:$C$120=$B25)*Inputs!$D$5:$D$120*(((Inputs!$G$5:$G$120="moeda")+(Inputs!$G$5:$G$120="acoes"))*Inputs!$B$1+((Inputs!$G$5:$G$120&lt;&gt;"moeda")*(Inputs!$G$5:$G$120&lt;&gt;"acoes")))*INDEX(Inputs!$K$5:$AJ$120,0,MATCH(P$2,Inputs!$K$4:$AJ$4,0)))+SUMPRODUCT((Inputs!$E$5:$E$120=$B25)*Inputs!$F$5:$F$120*(((Inputs!$G$5:$G$120="moeda")+(Inputs!$G$5:$G$120="acoes"))*Inputs!$B$1+((Inputs!$G$5:$G$120&lt;&gt;"moeda")*(Inputs!$G$5:$G$120&lt;&gt;"acoes")))*INDEX(Inputs!$K$5:$AJ$120,0,MATCH(P$2,Inputs!$K$4:$AJ$4,0)))))</f>
        <v>6781.7</v>
      </c>
      <c r="Q25" s="6">
        <f>IF(ISNA(MATCH(Q$2,Inputs!$K$4:$AJ$4,0)),NA(),IF(SUMPRODUCT((Inputs!$A$5:$A$120=$B25)*ISNUMBER(INDEX(Inputs!$K$5:$AJ$120,0,MATCH(Q$2,Inputs!$K$4:$AJ$4,0))))+SUMPRODUCT((Inputs!$C$5:$C$120=$B25)*ISNUMBER(INDEX(Inputs!$K$5:$AJ$120,0,MATCH(Q$2,Inputs!$K$4:$AJ$4,0))))+SUMPRODUCT((Inputs!$E$5:$E$120=$B25)*ISNUMBER(INDEX(Inputs!$K$5:$AJ$120,0,MATCH(Q$2,Inputs!$K$4:$AJ$4,0))))=0,NA(),SUMPRODUCT((Inputs!$A$5:$A$120=$B25)*Inputs!$B$5:$B$120*(((Inputs!$G$5:$G$120="moeda")+(Inputs!$G$5:$G$120="acoes"))*Inputs!$B$1+((Inputs!$G$5:$G$120&lt;&gt;"moeda")*(Inputs!$G$5:$G$120&lt;&gt;"acoes")))*INDEX(Inputs!$K$5:$AJ$120,0,MATCH(Q$2,Inputs!$K$4:$AJ$4,0)))+SUMPRODUCT((Inputs!$C$5:$C$120=$B25)*Inputs!$D$5:$D$120*(((Inputs!$G$5:$G$120="moeda")+(Inputs!$G$5:$G$120="acoes"))*Inputs!$B$1+((Inputs!$G$5:$G$120&lt;&gt;"moeda")*(Inputs!$G$5:$G$120&lt;&gt;"acoes")))*INDEX(Inputs!$K$5:$AJ$120,0,MATCH(Q$2,Inputs!$K$4:$AJ$4,0)))+SUMPRODUCT((Inputs!$E$5:$E$120=$B25)*Inputs!$F$5:$F$120*(((Inputs!$G$5:$G$120="moeda")+(Inputs!$G$5:$G$120="acoes"))*Inputs!$B$1+((Inputs!$G$5:$G$120&lt;&gt;"moeda")*(Inputs!$G$5:$G$120&lt;&gt;"acoes")))*INDEX(Inputs!$K$5:$AJ$120,0,MATCH(Q$2,Inputs!$K$4:$AJ$4,0)))))</f>
        <v>6906.6</v>
      </c>
      <c r="R25" s="3">
        <f>Q25</f>
        <v>6906.6</v>
      </c>
      <c r="S25" s="6">
        <f>IF(ISNA(MATCH(S$2,Inputs!$K$4:$AJ$4,0)),NA(),IF(SUMPRODUCT((Inputs!$A$5:$A$120=$B25)*ISNUMBER(INDEX(Inputs!$K$5:$AJ$120,0,MATCH(S$2,Inputs!$K$4:$AJ$4,0))))+SUMPRODUCT((Inputs!$C$5:$C$120=$B25)*ISNUMBER(INDEX(Inputs!$K$5:$AJ$120,0,MATCH(S$2,Inputs!$K$4:$AJ$4,0))))+SUMPRODUCT((Inputs!$E$5:$E$120=$B25)*ISNUMBER(INDEX(Inputs!$K$5:$AJ$120,0,MATCH(S$2,Inputs!$K$4:$AJ$4,0))))=0,NA(),SUMPRODUCT((Inputs!$A$5:$A$120=$B25)*Inputs!$B$5:$B$120*(((Inputs!$G$5:$G$120="moeda")+(Inputs!$G$5:$G$120="acoes"))*Inputs!$B$1+((Inputs!$G$5:$G$120&lt;&gt;"moeda")*(Inputs!$G$5:$G$120&lt;&gt;"acoes")))*INDEX(Inputs!$K$5:$AJ$120,0,MATCH(S$2,Inputs!$K$4:$AJ$4,0)))+SUMPRODUCT((Inputs!$C$5:$C$120=$B25)*Inputs!$D$5:$D$120*(((Inputs!$G$5:$G$120="moeda")+(Inputs!$G$5:$G$120="acoes"))*Inputs!$B$1+((Inputs!$G$5:$G$120&lt;&gt;"moeda")*(Inputs!$G$5:$G$120&lt;&gt;"acoes")))*INDEX(Inputs!$K$5:$AJ$120,0,MATCH(S$2,Inputs!$K$4:$AJ$4,0)))+SUMPRODUCT((Inputs!$E$5:$E$120=$B25)*Inputs!$F$5:$F$120*(((Inputs!$G$5:$G$120="moeda")+(Inputs!$G$5:$G$120="acoes"))*Inputs!$B$1+((Inputs!$G$5:$G$120&lt;&gt;"moeda")*(Inputs!$G$5:$G$120&lt;&gt;"acoes")))*INDEX(Inputs!$K$5:$AJ$120,0,MATCH(S$2,Inputs!$K$4:$AJ$4,0)))))</f>
        <v>6762.2</v>
      </c>
      <c r="T25" s="6">
        <f>IF(ISNA(MATCH(T$2,Inputs!$K$4:$AJ$4,0)),NA(),IF(SUMPRODUCT((Inputs!$A$5:$A$120=$B25)*ISNUMBER(INDEX(Inputs!$K$5:$AJ$120,0,MATCH(T$2,Inputs!$K$4:$AJ$4,0))))+SUMPRODUCT((Inputs!$C$5:$C$120=$B25)*ISNUMBER(INDEX(Inputs!$K$5:$AJ$120,0,MATCH(T$2,Inputs!$K$4:$AJ$4,0))))+SUMPRODUCT((Inputs!$E$5:$E$120=$B25)*ISNUMBER(INDEX(Inputs!$K$5:$AJ$120,0,MATCH(T$2,Inputs!$K$4:$AJ$4,0))))=0,NA(),SUMPRODUCT((Inputs!$A$5:$A$120=$B25)*Inputs!$B$5:$B$120*(((Inputs!$G$5:$G$120="moeda")+(Inputs!$G$5:$G$120="acoes"))*Inputs!$B$1+((Inputs!$G$5:$G$120&lt;&gt;"moeda")*(Inputs!$G$5:$G$120&lt;&gt;"acoes")))*INDEX(Inputs!$K$5:$AJ$120,0,MATCH(T$2,Inputs!$K$4:$AJ$4,0)))+SUMPRODUCT((Inputs!$C$5:$C$120=$B25)*Inputs!$D$5:$D$120*(((Inputs!$G$5:$G$120="moeda")+(Inputs!$G$5:$G$120="acoes"))*Inputs!$B$1+((Inputs!$G$5:$G$120&lt;&gt;"moeda")*(Inputs!$G$5:$G$120&lt;&gt;"acoes")))*INDEX(Inputs!$K$5:$AJ$120,0,MATCH(T$2,Inputs!$K$4:$AJ$4,0)))+SUMPRODUCT((Inputs!$E$5:$E$120=$B25)*Inputs!$F$5:$F$120*(((Inputs!$G$5:$G$120="moeda")+(Inputs!$G$5:$G$120="acoes"))*Inputs!$B$1+((Inputs!$G$5:$G$120&lt;&gt;"moeda")*(Inputs!$G$5:$G$120&lt;&gt;"acoes")))*INDEX(Inputs!$K$5:$AJ$120,0,MATCH(T$2,Inputs!$K$4:$AJ$4,0)))))</f>
        <v>6636.1</v>
      </c>
      <c r="U25" s="6">
        <f>IF(ISNA(MATCH(U$2,Inputs!$K$4:$AJ$4,0)),NA(),IF(SUMPRODUCT((Inputs!$A$5:$A$120=$B25)*ISNUMBER(INDEX(Inputs!$K$5:$AJ$120,0,MATCH(U$2,Inputs!$K$4:$AJ$4,0))))+SUMPRODUCT((Inputs!$C$5:$C$120=$B25)*ISNUMBER(INDEX(Inputs!$K$5:$AJ$120,0,MATCH(U$2,Inputs!$K$4:$AJ$4,0))))+SUMPRODUCT((Inputs!$E$5:$E$120=$B25)*ISNUMBER(INDEX(Inputs!$K$5:$AJ$120,0,MATCH(U$2,Inputs!$K$4:$AJ$4,0))))=0,NA(),SUMPRODUCT((Inputs!$A$5:$A$120=$B25)*Inputs!$B$5:$B$120*(((Inputs!$G$5:$G$120="moeda")+(Inputs!$G$5:$G$120="acoes"))*Inputs!$B$1+((Inputs!$G$5:$G$120&lt;&gt;"moeda")*(Inputs!$G$5:$G$120&lt;&gt;"acoes")))*INDEX(Inputs!$K$5:$AJ$120,0,MATCH(U$2,Inputs!$K$4:$AJ$4,0)))+SUMPRODUCT((Inputs!$C$5:$C$120=$B25)*Inputs!$D$5:$D$120*(((Inputs!$G$5:$G$120="moeda")+(Inputs!$G$5:$G$120="acoes"))*Inputs!$B$1+((Inputs!$G$5:$G$120&lt;&gt;"moeda")*(Inputs!$G$5:$G$120&lt;&gt;"acoes")))*INDEX(Inputs!$K$5:$AJ$120,0,MATCH(U$2,Inputs!$K$4:$AJ$4,0)))+SUMPRODUCT((Inputs!$E$5:$E$120=$B25)*Inputs!$F$5:$F$120*(((Inputs!$G$5:$G$120="moeda")+(Inputs!$G$5:$G$120="acoes"))*Inputs!$B$1+((Inputs!$G$5:$G$120&lt;&gt;"moeda")*(Inputs!$G$5:$G$120&lt;&gt;"acoes")))*INDEX(Inputs!$K$5:$AJ$120,0,MATCH(U$2,Inputs!$K$4:$AJ$4,0)))))</f>
        <v>6537.3</v>
      </c>
      <c r="V25" s="6">
        <f>IF(ISNA(MATCH(V$2,Inputs!$K$4:$AJ$4,0)),NA(),IF(SUMPRODUCT((Inputs!$A$5:$A$120=$B25)*ISNUMBER(INDEX(Inputs!$K$5:$AJ$120,0,MATCH(V$2,Inputs!$K$4:$AJ$4,0))))+SUMPRODUCT((Inputs!$C$5:$C$120=$B25)*ISNUMBER(INDEX(Inputs!$K$5:$AJ$120,0,MATCH(V$2,Inputs!$K$4:$AJ$4,0))))+SUMPRODUCT((Inputs!$E$5:$E$120=$B25)*ISNUMBER(INDEX(Inputs!$K$5:$AJ$120,0,MATCH(V$2,Inputs!$K$4:$AJ$4,0))))=0,NA(),SUMPRODUCT((Inputs!$A$5:$A$120=$B25)*Inputs!$B$5:$B$120*(((Inputs!$G$5:$G$120="moeda")+(Inputs!$G$5:$G$120="acoes"))*Inputs!$B$1+((Inputs!$G$5:$G$120&lt;&gt;"moeda")*(Inputs!$G$5:$G$120&lt;&gt;"acoes")))*INDEX(Inputs!$K$5:$AJ$120,0,MATCH(V$2,Inputs!$K$4:$AJ$4,0)))+SUMPRODUCT((Inputs!$C$5:$C$120=$B25)*Inputs!$D$5:$D$120*(((Inputs!$G$5:$G$120="moeda")+(Inputs!$G$5:$G$120="acoes"))*Inputs!$B$1+((Inputs!$G$5:$G$120&lt;&gt;"moeda")*(Inputs!$G$5:$G$120&lt;&gt;"acoes")))*INDEX(Inputs!$K$5:$AJ$120,0,MATCH(V$2,Inputs!$K$4:$AJ$4,0)))+SUMPRODUCT((Inputs!$E$5:$E$120=$B25)*Inputs!$F$5:$F$120*(((Inputs!$G$5:$G$120="moeda")+(Inputs!$G$5:$G$120="acoes"))*Inputs!$B$1+((Inputs!$G$5:$G$120&lt;&gt;"moeda")*(Inputs!$G$5:$G$120&lt;&gt;"acoes")))*INDEX(Inputs!$K$5:$AJ$120,0,MATCH(V$2,Inputs!$K$4:$AJ$4,0)))))</f>
        <v>6166.3</v>
      </c>
      <c r="W25" s="3">
        <f>V25</f>
        <v>6166.3</v>
      </c>
      <c r="X25" s="6">
        <f>IF(ISNA(MATCH(X$2,Inputs!$K$4:$AJ$4,0)),NA(),IF(SUMPRODUCT((Inputs!$A$5:$A$120=$B25)*ISNUMBER(INDEX(Inputs!$K$5:$AJ$120,0,MATCH(X$2,Inputs!$K$4:$AJ$4,0))))+SUMPRODUCT((Inputs!$C$5:$C$120=$B25)*ISNUMBER(INDEX(Inputs!$K$5:$AJ$120,0,MATCH(X$2,Inputs!$K$4:$AJ$4,0))))+SUMPRODUCT((Inputs!$E$5:$E$120=$B25)*ISNUMBER(INDEX(Inputs!$K$5:$AJ$120,0,MATCH(X$2,Inputs!$K$4:$AJ$4,0))))=0,NA(),SUMPRODUCT((Inputs!$A$5:$A$120=$B25)*Inputs!$B$5:$B$120*(((Inputs!$G$5:$G$120="moeda")+(Inputs!$G$5:$G$120="acoes"))*Inputs!$B$1+((Inputs!$G$5:$G$120&lt;&gt;"moeda")*(Inputs!$G$5:$G$120&lt;&gt;"acoes")))*INDEX(Inputs!$K$5:$AJ$120,0,MATCH(X$2,Inputs!$K$4:$AJ$4,0)))+SUMPRODUCT((Inputs!$C$5:$C$120=$B25)*Inputs!$D$5:$D$120*(((Inputs!$G$5:$G$120="moeda")+(Inputs!$G$5:$G$120="acoes"))*Inputs!$B$1+((Inputs!$G$5:$G$120&lt;&gt;"moeda")*(Inputs!$G$5:$G$120&lt;&gt;"acoes")))*INDEX(Inputs!$K$5:$AJ$120,0,MATCH(X$2,Inputs!$K$4:$AJ$4,0)))+SUMPRODUCT((Inputs!$E$5:$E$120=$B25)*Inputs!$F$5:$F$120*(((Inputs!$G$5:$G$120="moeda")+(Inputs!$G$5:$G$120="acoes"))*Inputs!$B$1+((Inputs!$G$5:$G$120&lt;&gt;"moeda")*(Inputs!$G$5:$G$120&lt;&gt;"acoes")))*INDEX(Inputs!$K$5:$AJ$120,0,MATCH(X$2,Inputs!$K$4:$AJ$4,0)))))</f>
        <v>6012.2</v>
      </c>
      <c r="Y25" s="6">
        <f>IF(ISNA(MATCH(Y$2,Inputs!$K$4:$AJ$4,0)),NA(),IF(SUMPRODUCT((Inputs!$A$5:$A$120=$B25)*ISNUMBER(INDEX(Inputs!$K$5:$AJ$120,0,MATCH(Y$2,Inputs!$K$4:$AJ$4,0))))+SUMPRODUCT((Inputs!$C$5:$C$120=$B25)*ISNUMBER(INDEX(Inputs!$K$5:$AJ$120,0,MATCH(Y$2,Inputs!$K$4:$AJ$4,0))))+SUMPRODUCT((Inputs!$E$5:$E$120=$B25)*ISNUMBER(INDEX(Inputs!$K$5:$AJ$120,0,MATCH(Y$2,Inputs!$K$4:$AJ$4,0))))=0,NA(),SUMPRODUCT((Inputs!$A$5:$A$120=$B25)*Inputs!$B$5:$B$120*(((Inputs!$G$5:$G$120="moeda")+(Inputs!$G$5:$G$120="acoes"))*Inputs!$B$1+((Inputs!$G$5:$G$120&lt;&gt;"moeda")*(Inputs!$G$5:$G$120&lt;&gt;"acoes")))*INDEX(Inputs!$K$5:$AJ$120,0,MATCH(Y$2,Inputs!$K$4:$AJ$4,0)))+SUMPRODUCT((Inputs!$C$5:$C$120=$B25)*Inputs!$D$5:$D$120*(((Inputs!$G$5:$G$120="moeda")+(Inputs!$G$5:$G$120="acoes"))*Inputs!$B$1+((Inputs!$G$5:$G$120&lt;&gt;"moeda")*(Inputs!$G$5:$G$120&lt;&gt;"acoes")))*INDEX(Inputs!$K$5:$AJ$120,0,MATCH(Y$2,Inputs!$K$4:$AJ$4,0)))+SUMPRODUCT((Inputs!$E$5:$E$120=$B25)*Inputs!$F$5:$F$120*(((Inputs!$G$5:$G$120="moeda")+(Inputs!$G$5:$G$120="acoes"))*Inputs!$B$1+((Inputs!$G$5:$G$120&lt;&gt;"moeda")*(Inputs!$G$5:$G$120&lt;&gt;"acoes")))*INDEX(Inputs!$K$5:$AJ$120,0,MATCH(Y$2,Inputs!$K$4:$AJ$4,0)))))</f>
        <v>5908.3</v>
      </c>
      <c r="Z25" s="6">
        <f>IF(ISNA(MATCH(Z$2,Inputs!$K$4:$AJ$4,0)),NA(),IF(SUMPRODUCT((Inputs!$A$5:$A$120=$B25)*ISNUMBER(INDEX(Inputs!$K$5:$AJ$120,0,MATCH(Z$2,Inputs!$K$4:$AJ$4,0))))+SUMPRODUCT((Inputs!$C$5:$C$120=$B25)*ISNUMBER(INDEX(Inputs!$K$5:$AJ$120,0,MATCH(Z$2,Inputs!$K$4:$AJ$4,0))))+SUMPRODUCT((Inputs!$E$5:$E$120=$B25)*ISNUMBER(INDEX(Inputs!$K$5:$AJ$120,0,MATCH(Z$2,Inputs!$K$4:$AJ$4,0))))=0,NA(),SUMPRODUCT((Inputs!$A$5:$A$120=$B25)*Inputs!$B$5:$B$120*(((Inputs!$G$5:$G$120="moeda")+(Inputs!$G$5:$G$120="acoes"))*Inputs!$B$1+((Inputs!$G$5:$G$120&lt;&gt;"moeda")*(Inputs!$G$5:$G$120&lt;&gt;"acoes")))*INDEX(Inputs!$K$5:$AJ$120,0,MATCH(Z$2,Inputs!$K$4:$AJ$4,0)))+SUMPRODUCT((Inputs!$C$5:$C$120=$B25)*Inputs!$D$5:$D$120*(((Inputs!$G$5:$G$120="moeda")+(Inputs!$G$5:$G$120="acoes"))*Inputs!$B$1+((Inputs!$G$5:$G$120&lt;&gt;"moeda")*(Inputs!$G$5:$G$120&lt;&gt;"acoes")))*INDEX(Inputs!$K$5:$AJ$120,0,MATCH(Z$2,Inputs!$K$4:$AJ$4,0)))+SUMPRODUCT((Inputs!$E$5:$E$120=$B25)*Inputs!$F$5:$F$120*(((Inputs!$G$5:$G$120="moeda")+(Inputs!$G$5:$G$120="acoes"))*Inputs!$B$1+((Inputs!$G$5:$G$120&lt;&gt;"moeda")*(Inputs!$G$5:$G$120&lt;&gt;"acoes")))*INDEX(Inputs!$K$5:$AJ$120,0,MATCH(Z$2,Inputs!$K$4:$AJ$4,0)))))</f>
        <v>6446.7</v>
      </c>
      <c r="AA25" s="6">
        <f>IF(ISNA(MATCH(AA$2,Inputs!$K$4:$AJ$4,0)),NA(),IF(SUMPRODUCT((Inputs!$A$5:$A$120=$B25)*ISNUMBER(INDEX(Inputs!$K$5:$AJ$120,0,MATCH(AA$2,Inputs!$K$4:$AJ$4,0))))+SUMPRODUCT((Inputs!$C$5:$C$120=$B25)*ISNUMBER(INDEX(Inputs!$K$5:$AJ$120,0,MATCH(AA$2,Inputs!$K$4:$AJ$4,0))))+SUMPRODUCT((Inputs!$E$5:$E$120=$B25)*ISNUMBER(INDEX(Inputs!$K$5:$AJ$120,0,MATCH(AA$2,Inputs!$K$4:$AJ$4,0))))=0,NA(),SUMPRODUCT((Inputs!$A$5:$A$120=$B25)*Inputs!$B$5:$B$120*(((Inputs!$G$5:$G$120="moeda")+(Inputs!$G$5:$G$120="acoes"))*Inputs!$B$1+((Inputs!$G$5:$G$120&lt;&gt;"moeda")*(Inputs!$G$5:$G$120&lt;&gt;"acoes")))*INDEX(Inputs!$K$5:$AJ$120,0,MATCH(AA$2,Inputs!$K$4:$AJ$4,0)))+SUMPRODUCT((Inputs!$C$5:$C$120=$B25)*Inputs!$D$5:$D$120*(((Inputs!$G$5:$G$120="moeda")+(Inputs!$G$5:$G$120="acoes"))*Inputs!$B$1+((Inputs!$G$5:$G$120&lt;&gt;"moeda")*(Inputs!$G$5:$G$120&lt;&gt;"acoes")))*INDEX(Inputs!$K$5:$AJ$120,0,MATCH(AA$2,Inputs!$K$4:$AJ$4,0)))+SUMPRODUCT((Inputs!$E$5:$E$120=$B25)*Inputs!$F$5:$F$120*(((Inputs!$G$5:$G$120="moeda")+(Inputs!$G$5:$G$120="acoes"))*Inputs!$B$1+((Inputs!$G$5:$G$120&lt;&gt;"moeda")*(Inputs!$G$5:$G$120&lt;&gt;"acoes")))*INDEX(Inputs!$K$5:$AJ$120,0,MATCH(AA$2,Inputs!$K$4:$AJ$4,0)))))</f>
        <v>6521</v>
      </c>
      <c r="AB25" s="3">
        <f>AA25</f>
        <v>6521</v>
      </c>
      <c r="AC25" s="6">
        <f>IF(ISNA(MATCH(AC$2,Inputs!$K$4:$AJ$4,0)),NA(),IF(SUMPRODUCT((Inputs!$A$5:$A$120=$B25)*ISNUMBER(INDEX(Inputs!$K$5:$AJ$120,0,MATCH(AC$2,Inputs!$K$4:$AJ$4,0))))+SUMPRODUCT((Inputs!$C$5:$C$120=$B25)*ISNUMBER(INDEX(Inputs!$K$5:$AJ$120,0,MATCH(AC$2,Inputs!$K$4:$AJ$4,0))))+SUMPRODUCT((Inputs!$E$5:$E$120=$B25)*ISNUMBER(INDEX(Inputs!$K$5:$AJ$120,0,MATCH(AC$2,Inputs!$K$4:$AJ$4,0))))=0,NA(),SUMPRODUCT((Inputs!$A$5:$A$120=$B25)*Inputs!$B$5:$B$120*(((Inputs!$G$5:$G$120="moeda")+(Inputs!$G$5:$G$120="acoes"))*Inputs!$B$1+((Inputs!$G$5:$G$120&lt;&gt;"moeda")*(Inputs!$G$5:$G$120&lt;&gt;"acoes")))*INDEX(Inputs!$K$5:$AJ$120,0,MATCH(AC$2,Inputs!$K$4:$AJ$4,0)))+SUMPRODUCT((Inputs!$C$5:$C$120=$B25)*Inputs!$D$5:$D$120*(((Inputs!$G$5:$G$120="moeda")+(Inputs!$G$5:$G$120="acoes"))*Inputs!$B$1+((Inputs!$G$5:$G$120&lt;&gt;"moeda")*(Inputs!$G$5:$G$120&lt;&gt;"acoes")))*INDEX(Inputs!$K$5:$AJ$120,0,MATCH(AC$2,Inputs!$K$4:$AJ$4,0)))+SUMPRODUCT((Inputs!$E$5:$E$120=$B25)*Inputs!$F$5:$F$120*(((Inputs!$G$5:$G$120="moeda")+(Inputs!$G$5:$G$120="acoes"))*Inputs!$B$1+((Inputs!$G$5:$G$120&lt;&gt;"moeda")*(Inputs!$G$5:$G$120&lt;&gt;"acoes")))*INDEX(Inputs!$K$5:$AJ$120,0,MATCH(AC$2,Inputs!$K$4:$AJ$4,0)))))</f>
        <v>7374</v>
      </c>
      <c r="AD25" s="6">
        <f>IF(ISNA(MATCH(AD$2,Inputs!$K$4:$AJ$4,0)),NA(),IF(SUMPRODUCT((Inputs!$A$5:$A$120=$B25)*ISNUMBER(INDEX(Inputs!$K$5:$AJ$120,0,MATCH(AD$2,Inputs!$K$4:$AJ$4,0))))+SUMPRODUCT((Inputs!$C$5:$C$120=$B25)*ISNUMBER(INDEX(Inputs!$K$5:$AJ$120,0,MATCH(AD$2,Inputs!$K$4:$AJ$4,0))))+SUMPRODUCT((Inputs!$E$5:$E$120=$B25)*ISNUMBER(INDEX(Inputs!$K$5:$AJ$120,0,MATCH(AD$2,Inputs!$K$4:$AJ$4,0))))=0,NA(),SUMPRODUCT((Inputs!$A$5:$A$120=$B25)*Inputs!$B$5:$B$120*(((Inputs!$G$5:$G$120="moeda")+(Inputs!$G$5:$G$120="acoes"))*Inputs!$B$1+((Inputs!$G$5:$G$120&lt;&gt;"moeda")*(Inputs!$G$5:$G$120&lt;&gt;"acoes")))*INDEX(Inputs!$K$5:$AJ$120,0,MATCH(AD$2,Inputs!$K$4:$AJ$4,0)))+SUMPRODUCT((Inputs!$C$5:$C$120=$B25)*Inputs!$D$5:$D$120*(((Inputs!$G$5:$G$120="moeda")+(Inputs!$G$5:$G$120="acoes"))*Inputs!$B$1+((Inputs!$G$5:$G$120&lt;&gt;"moeda")*(Inputs!$G$5:$G$120&lt;&gt;"acoes")))*INDEX(Inputs!$K$5:$AJ$120,0,MATCH(AD$2,Inputs!$K$4:$AJ$4,0)))+SUMPRODUCT((Inputs!$E$5:$E$120=$B25)*Inputs!$F$5:$F$120*(((Inputs!$G$5:$G$120="moeda")+(Inputs!$G$5:$G$120="acoes"))*Inputs!$B$1+((Inputs!$G$5:$G$120&lt;&gt;"moeda")*(Inputs!$G$5:$G$120&lt;&gt;"acoes")))*INDEX(Inputs!$K$5:$AJ$120,0,MATCH(AD$2,Inputs!$K$4:$AJ$4,0)))))</f>
        <v>18110</v>
      </c>
      <c r="AE25" s="6" t="e">
        <f>IF(ISNA(MATCH(AE$2,Inputs!$K$4:$AJ$4,0)),NA(),IF(SUMPRODUCT((Inputs!$A$5:$A$120=$B25)*ISNUMBER(INDEX(Inputs!$K$5:$AJ$120,0,MATCH(AE$2,Inputs!$K$4:$AJ$4,0))))+SUMPRODUCT((Inputs!$C$5:$C$120=$B25)*ISNUMBER(INDEX(Inputs!$K$5:$AJ$120,0,MATCH(AE$2,Inputs!$K$4:$AJ$4,0))))+SUMPRODUCT((Inputs!$E$5:$E$120=$B25)*ISNUMBER(INDEX(Inputs!$K$5:$AJ$120,0,MATCH(AE$2,Inputs!$K$4:$AJ$4,0))))=0,NA(),SUMPRODUCT((Inputs!$A$5:$A$120=$B25)*Inputs!$B$5:$B$120*(((Inputs!$G$5:$G$120="moeda")+(Inputs!$G$5:$G$120="acoes"))*Inputs!$B$1+((Inputs!$G$5:$G$120&lt;&gt;"moeda")*(Inputs!$G$5:$G$120&lt;&gt;"acoes")))*INDEX(Inputs!$K$5:$AJ$120,0,MATCH(AE$2,Inputs!$K$4:$AJ$4,0)))+SUMPRODUCT((Inputs!$C$5:$C$120=$B25)*Inputs!$D$5:$D$120*(((Inputs!$G$5:$G$120="moeda")+(Inputs!$G$5:$G$120="acoes"))*Inputs!$B$1+((Inputs!$G$5:$G$120&lt;&gt;"moeda")*(Inputs!$G$5:$G$120&lt;&gt;"acoes")))*INDEX(Inputs!$K$5:$AJ$120,0,MATCH(AE$2,Inputs!$K$4:$AJ$4,0)))+SUMPRODUCT((Inputs!$E$5:$E$120=$B25)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5" s="6" t="e">
        <f>IF(ISNA(MATCH(AF$2,Inputs!$K$4:$AJ$4,0)),NA(),IF(SUMPRODUCT((Inputs!$A$5:$A$120=$B25)*ISNUMBER(INDEX(Inputs!$K$5:$AJ$120,0,MATCH(AF$2,Inputs!$K$4:$AJ$4,0))))+SUMPRODUCT((Inputs!$C$5:$C$120=$B25)*ISNUMBER(INDEX(Inputs!$K$5:$AJ$120,0,MATCH(AF$2,Inputs!$K$4:$AJ$4,0))))+SUMPRODUCT((Inputs!$E$5:$E$120=$B25)*ISNUMBER(INDEX(Inputs!$K$5:$AJ$120,0,MATCH(AF$2,Inputs!$K$4:$AJ$4,0))))=0,NA(),SUMPRODUCT((Inputs!$A$5:$A$120=$B25)*Inputs!$B$5:$B$120*(((Inputs!$G$5:$G$120="moeda")+(Inputs!$G$5:$G$120="acoes"))*Inputs!$B$1+((Inputs!$G$5:$G$120&lt;&gt;"moeda")*(Inputs!$G$5:$G$120&lt;&gt;"acoes")))*INDEX(Inputs!$K$5:$AJ$120,0,MATCH(AF$2,Inputs!$K$4:$AJ$4,0)))+SUMPRODUCT((Inputs!$C$5:$C$120=$B25)*Inputs!$D$5:$D$120*(((Inputs!$G$5:$G$120="moeda")+(Inputs!$G$5:$G$120="acoes"))*Inputs!$B$1+((Inputs!$G$5:$G$120&lt;&gt;"moeda")*(Inputs!$G$5:$G$120&lt;&gt;"acoes")))*INDEX(Inputs!$K$5:$AJ$120,0,MATCH(AF$2,Inputs!$K$4:$AJ$4,0)))+SUMPRODUCT((Inputs!$E$5:$E$120=$B25)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5" s="3" t="e">
        <f>AF25</f>
        <v>#N/A</v>
      </c>
      <c r="AH25" s="6">
        <f>IF(ISNA(MATCH(AH$2,Inputs!$K$4:$AJ$4,0)),NA(),IF(SUMPRODUCT((Inputs!$A$5:$A$120=$B25)*ISNUMBER(INDEX(Inputs!$K$5:$AJ$120,0,MATCH(AH$2,Inputs!$K$4:$AJ$4,0))))+SUMPRODUCT((Inputs!$C$5:$C$120=$B25)*ISNUMBER(INDEX(Inputs!$K$5:$AJ$120,0,MATCH(AH$2,Inputs!$K$4:$AJ$4,0))))+SUMPRODUCT((Inputs!$E$5:$E$120=$B25)*ISNUMBER(INDEX(Inputs!$K$5:$AJ$120,0,MATCH(AH$2,Inputs!$K$4:$AJ$4,0))))=0,NA(),SUMPRODUCT((Inputs!$A$5:$A$120=$B25)*Inputs!$B$5:$B$120*(((Inputs!$G$5:$G$120="moeda")+(Inputs!$G$5:$G$120="acoes"))*Inputs!$B$1+((Inputs!$G$5:$G$120&lt;&gt;"moeda")*(Inputs!$G$5:$G$120&lt;&gt;"acoes")))*INDEX(Inputs!$K$5:$AJ$120,0,MATCH(AH$2,Inputs!$K$4:$AJ$4,0)))+SUMPRODUCT((Inputs!$C$5:$C$120=$B25)*Inputs!$D$5:$D$120*(((Inputs!$G$5:$G$120="moeda")+(Inputs!$G$5:$G$120="acoes"))*Inputs!$B$1+((Inputs!$G$5:$G$120&lt;&gt;"moeda")*(Inputs!$G$5:$G$120&lt;&gt;"acoes")))*INDEX(Inputs!$K$5:$AJ$120,0,MATCH(AH$2,Inputs!$K$4:$AJ$4,0)))+SUMPRODUCT((Inputs!$E$5:$E$120=$B25)*Inputs!$F$5:$F$120*(((Inputs!$G$5:$G$120="moeda")+(Inputs!$G$5:$G$120="acoes"))*Inputs!$B$1+((Inputs!$G$5:$G$120&lt;&gt;"moeda")*(Inputs!$G$5:$G$120&lt;&gt;"acoes")))*INDEX(Inputs!$K$5:$AJ$120,0,MATCH(AH$2,Inputs!$K$4:$AJ$4,0)))))</f>
        <v>7766.7</v>
      </c>
      <c r="AI25" s="6">
        <f>IF(ISNA(MATCH(AI$2,Inputs!$K$4:$AJ$4,0)),NA(),IF(SUMPRODUCT((Inputs!$A$5:$A$120=$B25)*ISNUMBER(INDEX(Inputs!$K$5:$AJ$120,0,MATCH(AI$2,Inputs!$K$4:$AJ$4,0))))+SUMPRODUCT((Inputs!$C$5:$C$120=$B25)*ISNUMBER(INDEX(Inputs!$K$5:$AJ$120,0,MATCH(AI$2,Inputs!$K$4:$AJ$4,0))))+SUMPRODUCT((Inputs!$E$5:$E$120=$B25)*ISNUMBER(INDEX(Inputs!$K$5:$AJ$120,0,MATCH(AI$2,Inputs!$K$4:$AJ$4,0))))=0,NA(),SUMPRODUCT((Inputs!$A$5:$A$120=$B25)*Inputs!$B$5:$B$120*(((Inputs!$G$5:$G$120="moeda")+(Inputs!$G$5:$G$120="acoes"))*Inputs!$B$1+((Inputs!$G$5:$G$120&lt;&gt;"moeda")*(Inputs!$G$5:$G$120&lt;&gt;"acoes")))*INDEX(Inputs!$K$5:$AJ$120,0,MATCH(AI$2,Inputs!$K$4:$AJ$4,0)))+SUMPRODUCT((Inputs!$C$5:$C$120=$B25)*Inputs!$D$5:$D$120*(((Inputs!$G$5:$G$120="moeda")+(Inputs!$G$5:$G$120="acoes"))*Inputs!$B$1+((Inputs!$G$5:$G$120&lt;&gt;"moeda")*(Inputs!$G$5:$G$120&lt;&gt;"acoes")))*INDEX(Inputs!$K$5:$AJ$120,0,MATCH(AI$2,Inputs!$K$4:$AJ$4,0)))+SUMPRODUCT((Inputs!$E$5:$E$120=$B25)*Inputs!$F$5:$F$120*(((Inputs!$G$5:$G$120="moeda")+(Inputs!$G$5:$G$120="acoes"))*Inputs!$B$1+((Inputs!$G$5:$G$120&lt;&gt;"moeda")*(Inputs!$G$5:$G$120&lt;&gt;"acoes")))*INDEX(Inputs!$K$5:$AJ$120,0,MATCH(AI$2,Inputs!$K$4:$AJ$4,0)))))</f>
        <v>7712.5</v>
      </c>
      <c r="AJ25" s="6">
        <f>IF(ISNA(MATCH(AJ$2,Inputs!$K$4:$AJ$4,0)),NA(),IF(SUMPRODUCT((Inputs!$A$5:$A$120=$B25)*ISNUMBER(INDEX(Inputs!$K$5:$AJ$120,0,MATCH(AJ$2,Inputs!$K$4:$AJ$4,0))))+SUMPRODUCT((Inputs!$C$5:$C$120=$B25)*ISNUMBER(INDEX(Inputs!$K$5:$AJ$120,0,MATCH(AJ$2,Inputs!$K$4:$AJ$4,0))))+SUMPRODUCT((Inputs!$E$5:$E$120=$B25)*ISNUMBER(INDEX(Inputs!$K$5:$AJ$120,0,MATCH(AJ$2,Inputs!$K$4:$AJ$4,0))))=0,NA(),SUMPRODUCT((Inputs!$A$5:$A$120=$B25)*Inputs!$B$5:$B$120*(((Inputs!$G$5:$G$120="moeda")+(Inputs!$G$5:$G$120="acoes"))*Inputs!$B$1+((Inputs!$G$5:$G$120&lt;&gt;"moeda")*(Inputs!$G$5:$G$120&lt;&gt;"acoes")))*INDEX(Inputs!$K$5:$AJ$120,0,MATCH(AJ$2,Inputs!$K$4:$AJ$4,0)))+SUMPRODUCT((Inputs!$C$5:$C$120=$B25)*Inputs!$D$5:$D$120*(((Inputs!$G$5:$G$120="moeda")+(Inputs!$G$5:$G$120="acoes"))*Inputs!$B$1+((Inputs!$G$5:$G$120&lt;&gt;"moeda")*(Inputs!$G$5:$G$120&lt;&gt;"acoes")))*INDEX(Inputs!$K$5:$AJ$120,0,MATCH(AJ$2,Inputs!$K$4:$AJ$4,0)))+SUMPRODUCT((Inputs!$E$5:$E$120=$B25)*Inputs!$F$5:$F$120*(((Inputs!$G$5:$G$120="moeda")+(Inputs!$G$5:$G$120="acoes"))*Inputs!$B$1+((Inputs!$G$5:$G$120&lt;&gt;"moeda")*(Inputs!$G$5:$G$120&lt;&gt;"acoes")))*INDEX(Inputs!$K$5:$AJ$120,0,MATCH(AJ$2,Inputs!$K$4:$AJ$4,0)))))</f>
        <v>7588.6</v>
      </c>
      <c r="AK25" s="6">
        <f>IF(ISNA(MATCH(AK$2,Inputs!$K$4:$AJ$4,0)),NA(),IF(SUMPRODUCT((Inputs!$A$5:$A$120=$B25)*ISNUMBER(INDEX(Inputs!$K$5:$AJ$120,0,MATCH(AK$2,Inputs!$K$4:$AJ$4,0))))+SUMPRODUCT((Inputs!$C$5:$C$120=$B25)*ISNUMBER(INDEX(Inputs!$K$5:$AJ$120,0,MATCH(AK$2,Inputs!$K$4:$AJ$4,0))))+SUMPRODUCT((Inputs!$E$5:$E$120=$B25)*ISNUMBER(INDEX(Inputs!$K$5:$AJ$120,0,MATCH(AK$2,Inputs!$K$4:$AJ$4,0))))=0,NA(),SUMPRODUCT((Inputs!$A$5:$A$120=$B25)*Inputs!$B$5:$B$120*(((Inputs!$G$5:$G$120="moeda")+(Inputs!$G$5:$G$120="acoes"))*Inputs!$B$1+((Inputs!$G$5:$G$120&lt;&gt;"moeda")*(Inputs!$G$5:$G$120&lt;&gt;"acoes")))*INDEX(Inputs!$K$5:$AJ$120,0,MATCH(AK$2,Inputs!$K$4:$AJ$4,0)))+SUMPRODUCT((Inputs!$C$5:$C$120=$B25)*Inputs!$D$5:$D$120*(((Inputs!$G$5:$G$120="moeda")+(Inputs!$G$5:$G$120="acoes"))*Inputs!$B$1+((Inputs!$G$5:$G$120&lt;&gt;"moeda")*(Inputs!$G$5:$G$120&lt;&gt;"acoes")))*INDEX(Inputs!$K$5:$AJ$120,0,MATCH(AK$2,Inputs!$K$4:$AJ$4,0)))+SUMPRODUCT((Inputs!$E$5:$E$120=$B25)*Inputs!$F$5:$F$120*(((Inputs!$G$5:$G$120="moeda")+(Inputs!$G$5:$G$120="acoes"))*Inputs!$B$1+((Inputs!$G$5:$G$120&lt;&gt;"moeda")*(Inputs!$G$5:$G$120&lt;&gt;"acoes")))*INDEX(Inputs!$K$5:$AJ$120,0,MATCH(AK$2,Inputs!$K$4:$AJ$4,0)))))</f>
        <v>7450</v>
      </c>
      <c r="AL25" s="3">
        <f>AK25</f>
        <v>7450</v>
      </c>
    </row>
    <row r="26">
      <c r="B26" s="46" t="n">
        <v>22</v>
      </c>
      <c r="C26" s="26" t="inlineStr">
        <is>
          <t>Other non-current assets</t>
        </is>
      </c>
      <c r="D26" s="6">
        <f>IF(ISNA(MATCH(D$2,Inputs!$K$4:$AJ$4,0)),NA(),IF(SUMPRODUCT((Inputs!$A$5:$A$120=$B26)*ISNUMBER(INDEX(Inputs!$K$5:$AJ$120,0,MATCH(D$2,Inputs!$K$4:$AJ$4,0))))+SUMPRODUCT((Inputs!$C$5:$C$120=$B26)*ISNUMBER(INDEX(Inputs!$K$5:$AJ$120,0,MATCH(D$2,Inputs!$K$4:$AJ$4,0))))+SUMPRODUCT((Inputs!$E$5:$E$120=$B26)*ISNUMBER(INDEX(Inputs!$K$5:$AJ$120,0,MATCH(D$2,Inputs!$K$4:$AJ$4,0))))=0,NA(),SUMPRODUCT((Inputs!$A$5:$A$120=$B26)*Inputs!$B$5:$B$120*(((Inputs!$G$5:$G$120="moeda")+(Inputs!$G$5:$G$120="acoes"))*Inputs!$B$1+((Inputs!$G$5:$G$120&lt;&gt;"moeda")*(Inputs!$G$5:$G$120&lt;&gt;"acoes")))*INDEX(Inputs!$K$5:$AJ$120,0,MATCH(D$2,Inputs!$K$4:$AJ$4,0)))+SUMPRODUCT((Inputs!$C$5:$C$120=$B26)*Inputs!$D$5:$D$120*(((Inputs!$G$5:$G$120="moeda")+(Inputs!$G$5:$G$120="acoes"))*Inputs!$B$1+((Inputs!$G$5:$G$120&lt;&gt;"moeda")*(Inputs!$G$5:$G$120&lt;&gt;"acoes")))*INDEX(Inputs!$K$5:$AJ$120,0,MATCH(D$2,Inputs!$K$4:$AJ$4,0)))+SUMPRODUCT((Inputs!$E$5:$E$120=$B26)*Inputs!$F$5:$F$120*(((Inputs!$G$5:$G$120="moeda")+(Inputs!$G$5:$G$120="acoes"))*Inputs!$B$1+((Inputs!$G$5:$G$120&lt;&gt;"moeda")*(Inputs!$G$5:$G$120&lt;&gt;"acoes")))*INDEX(Inputs!$K$5:$AJ$120,0,MATCH(D$2,Inputs!$K$4:$AJ$4,0)))))</f>
        <v>6988.6</v>
      </c>
      <c r="E26" s="6">
        <f>IF(ISNA(MATCH(E$2,Inputs!$K$4:$AJ$4,0)),NA(),IF(SUMPRODUCT((Inputs!$A$5:$A$120=$B26)*ISNUMBER(INDEX(Inputs!$K$5:$AJ$120,0,MATCH(E$2,Inputs!$K$4:$AJ$4,0))))+SUMPRODUCT((Inputs!$C$5:$C$120=$B26)*ISNUMBER(INDEX(Inputs!$K$5:$AJ$120,0,MATCH(E$2,Inputs!$K$4:$AJ$4,0))))+SUMPRODUCT((Inputs!$E$5:$E$120=$B26)*ISNUMBER(INDEX(Inputs!$K$5:$AJ$120,0,MATCH(E$2,Inputs!$K$4:$AJ$4,0))))=0,NA(),SUMPRODUCT((Inputs!$A$5:$A$120=$B26)*Inputs!$B$5:$B$120*(((Inputs!$G$5:$G$120="moeda")+(Inputs!$G$5:$G$120="acoes"))*Inputs!$B$1+((Inputs!$G$5:$G$120&lt;&gt;"moeda")*(Inputs!$G$5:$G$120&lt;&gt;"acoes")))*INDEX(Inputs!$K$5:$AJ$120,0,MATCH(E$2,Inputs!$K$4:$AJ$4,0)))+SUMPRODUCT((Inputs!$C$5:$C$120=$B26)*Inputs!$D$5:$D$120*(((Inputs!$G$5:$G$120="moeda")+(Inputs!$G$5:$G$120="acoes"))*Inputs!$B$1+((Inputs!$G$5:$G$120&lt;&gt;"moeda")*(Inputs!$G$5:$G$120&lt;&gt;"acoes")))*INDEX(Inputs!$K$5:$AJ$120,0,MATCH(E$2,Inputs!$K$4:$AJ$4,0)))+SUMPRODUCT((Inputs!$E$5:$E$120=$B26)*Inputs!$F$5:$F$120*(((Inputs!$G$5:$G$120="moeda")+(Inputs!$G$5:$G$120="acoes"))*Inputs!$B$1+((Inputs!$G$5:$G$120&lt;&gt;"moeda")*(Inputs!$G$5:$G$120&lt;&gt;"acoes")))*INDEX(Inputs!$K$5:$AJ$120,0,MATCH(E$2,Inputs!$K$4:$AJ$4,0)))))</f>
        <v>7113.5</v>
      </c>
      <c r="F26" s="6">
        <f>IF(ISNA(MATCH(F$2,Inputs!$K$4:$AJ$4,0)),NA(),IF(SUMPRODUCT((Inputs!$A$5:$A$120=$B26)*ISNUMBER(INDEX(Inputs!$K$5:$AJ$120,0,MATCH(F$2,Inputs!$K$4:$AJ$4,0))))+SUMPRODUCT((Inputs!$C$5:$C$120=$B26)*ISNUMBER(INDEX(Inputs!$K$5:$AJ$120,0,MATCH(F$2,Inputs!$K$4:$AJ$4,0))))+SUMPRODUCT((Inputs!$E$5:$E$120=$B26)*ISNUMBER(INDEX(Inputs!$K$5:$AJ$120,0,MATCH(F$2,Inputs!$K$4:$AJ$4,0))))=0,NA(),SUMPRODUCT((Inputs!$A$5:$A$120=$B26)*Inputs!$B$5:$B$120*(((Inputs!$G$5:$G$120="moeda")+(Inputs!$G$5:$G$120="acoes"))*Inputs!$B$1+((Inputs!$G$5:$G$120&lt;&gt;"moeda")*(Inputs!$G$5:$G$120&lt;&gt;"acoes")))*INDEX(Inputs!$K$5:$AJ$120,0,MATCH(F$2,Inputs!$K$4:$AJ$4,0)))+SUMPRODUCT((Inputs!$C$5:$C$120=$B26)*Inputs!$D$5:$D$120*(((Inputs!$G$5:$G$120="moeda")+(Inputs!$G$5:$G$120="acoes"))*Inputs!$B$1+((Inputs!$G$5:$G$120&lt;&gt;"moeda")*(Inputs!$G$5:$G$120&lt;&gt;"acoes")))*INDEX(Inputs!$K$5:$AJ$120,0,MATCH(F$2,Inputs!$K$4:$AJ$4,0)))+SUMPRODUCT((Inputs!$E$5:$E$120=$B26)*Inputs!$F$5:$F$120*(((Inputs!$G$5:$G$120="moeda")+(Inputs!$G$5:$G$120="acoes"))*Inputs!$B$1+((Inputs!$G$5:$G$120&lt;&gt;"moeda")*(Inputs!$G$5:$G$120&lt;&gt;"acoes")))*INDEX(Inputs!$K$5:$AJ$120,0,MATCH(F$2,Inputs!$K$4:$AJ$4,0)))))</f>
        <v>7060.9</v>
      </c>
      <c r="G26" s="6">
        <f>IF(ISNA(MATCH(G$2,Inputs!$K$4:$AJ$4,0)),NA(),IF(SUMPRODUCT((Inputs!$A$5:$A$120=$B26)*ISNUMBER(INDEX(Inputs!$K$5:$AJ$120,0,MATCH(G$2,Inputs!$K$4:$AJ$4,0))))+SUMPRODUCT((Inputs!$C$5:$C$120=$B26)*ISNUMBER(INDEX(Inputs!$K$5:$AJ$120,0,MATCH(G$2,Inputs!$K$4:$AJ$4,0))))+SUMPRODUCT((Inputs!$E$5:$E$120=$B26)*ISNUMBER(INDEX(Inputs!$K$5:$AJ$120,0,MATCH(G$2,Inputs!$K$4:$AJ$4,0))))=0,NA(),SUMPRODUCT((Inputs!$A$5:$A$120=$B26)*Inputs!$B$5:$B$120*(((Inputs!$G$5:$G$120="moeda")+(Inputs!$G$5:$G$120="acoes"))*Inputs!$B$1+((Inputs!$G$5:$G$120&lt;&gt;"moeda")*(Inputs!$G$5:$G$120&lt;&gt;"acoes")))*INDEX(Inputs!$K$5:$AJ$120,0,MATCH(G$2,Inputs!$K$4:$AJ$4,0)))+SUMPRODUCT((Inputs!$C$5:$C$120=$B26)*Inputs!$D$5:$D$120*(((Inputs!$G$5:$G$120="moeda")+(Inputs!$G$5:$G$120="acoes"))*Inputs!$B$1+((Inputs!$G$5:$G$120&lt;&gt;"moeda")*(Inputs!$G$5:$G$120&lt;&gt;"acoes")))*INDEX(Inputs!$K$5:$AJ$120,0,MATCH(G$2,Inputs!$K$4:$AJ$4,0)))+SUMPRODUCT((Inputs!$E$5:$E$120=$B26)*Inputs!$F$5:$F$120*(((Inputs!$G$5:$G$120="moeda")+(Inputs!$G$5:$G$120="acoes"))*Inputs!$B$1+((Inputs!$G$5:$G$120&lt;&gt;"moeda")*(Inputs!$G$5:$G$120&lt;&gt;"acoes")))*INDEX(Inputs!$K$5:$AJ$120,0,MATCH(G$2,Inputs!$K$4:$AJ$4,0)))))</f>
        <v>7295.3</v>
      </c>
      <c r="H26" s="3">
        <f>G26</f>
        <v>7295.3</v>
      </c>
      <c r="I26" s="6">
        <f>IF(ISNA(MATCH(I$2,Inputs!$K$4:$AJ$4,0)),NA(),IF(SUMPRODUCT((Inputs!$A$5:$A$120=$B26)*ISNUMBER(INDEX(Inputs!$K$5:$AJ$120,0,MATCH(I$2,Inputs!$K$4:$AJ$4,0))))+SUMPRODUCT((Inputs!$C$5:$C$120=$B26)*ISNUMBER(INDEX(Inputs!$K$5:$AJ$120,0,MATCH(I$2,Inputs!$K$4:$AJ$4,0))))+SUMPRODUCT((Inputs!$E$5:$E$120=$B26)*ISNUMBER(INDEX(Inputs!$K$5:$AJ$120,0,MATCH(I$2,Inputs!$K$4:$AJ$4,0))))=0,NA(),SUMPRODUCT((Inputs!$A$5:$A$120=$B26)*Inputs!$B$5:$B$120*(((Inputs!$G$5:$G$120="moeda")+(Inputs!$G$5:$G$120="acoes"))*Inputs!$B$1+((Inputs!$G$5:$G$120&lt;&gt;"moeda")*(Inputs!$G$5:$G$120&lt;&gt;"acoes")))*INDEX(Inputs!$K$5:$AJ$120,0,MATCH(I$2,Inputs!$K$4:$AJ$4,0)))+SUMPRODUCT((Inputs!$C$5:$C$120=$B26)*Inputs!$D$5:$D$120*(((Inputs!$G$5:$G$120="moeda")+(Inputs!$G$5:$G$120="acoes"))*Inputs!$B$1+((Inputs!$G$5:$G$120&lt;&gt;"moeda")*(Inputs!$G$5:$G$120&lt;&gt;"acoes")))*INDEX(Inputs!$K$5:$AJ$120,0,MATCH(I$2,Inputs!$K$4:$AJ$4,0)))+SUMPRODUCT((Inputs!$E$5:$E$120=$B26)*Inputs!$F$5:$F$120*(((Inputs!$G$5:$G$120="moeda")+(Inputs!$G$5:$G$120="acoes"))*Inputs!$B$1+((Inputs!$G$5:$G$120&lt;&gt;"moeda")*(Inputs!$G$5:$G$120&lt;&gt;"acoes")))*INDEX(Inputs!$K$5:$AJ$120,0,MATCH(I$2,Inputs!$K$4:$AJ$4,0)))))</f>
        <v>7012.6</v>
      </c>
      <c r="J26" s="6">
        <f>IF(ISNA(MATCH(J$2,Inputs!$K$4:$AJ$4,0)),NA(),IF(SUMPRODUCT((Inputs!$A$5:$A$120=$B26)*ISNUMBER(INDEX(Inputs!$K$5:$AJ$120,0,MATCH(J$2,Inputs!$K$4:$AJ$4,0))))+SUMPRODUCT((Inputs!$C$5:$C$120=$B26)*ISNUMBER(INDEX(Inputs!$K$5:$AJ$120,0,MATCH(J$2,Inputs!$K$4:$AJ$4,0))))+SUMPRODUCT((Inputs!$E$5:$E$120=$B26)*ISNUMBER(INDEX(Inputs!$K$5:$AJ$120,0,MATCH(J$2,Inputs!$K$4:$AJ$4,0))))=0,NA(),SUMPRODUCT((Inputs!$A$5:$A$120=$B26)*Inputs!$B$5:$B$120*(((Inputs!$G$5:$G$120="moeda")+(Inputs!$G$5:$G$120="acoes"))*Inputs!$B$1+((Inputs!$G$5:$G$120&lt;&gt;"moeda")*(Inputs!$G$5:$G$120&lt;&gt;"acoes")))*INDEX(Inputs!$K$5:$AJ$120,0,MATCH(J$2,Inputs!$K$4:$AJ$4,0)))+SUMPRODUCT((Inputs!$C$5:$C$120=$B26)*Inputs!$D$5:$D$120*(((Inputs!$G$5:$G$120="moeda")+(Inputs!$G$5:$G$120="acoes"))*Inputs!$B$1+((Inputs!$G$5:$G$120&lt;&gt;"moeda")*(Inputs!$G$5:$G$120&lt;&gt;"acoes")))*INDEX(Inputs!$K$5:$AJ$120,0,MATCH(J$2,Inputs!$K$4:$AJ$4,0)))+SUMPRODUCT((Inputs!$E$5:$E$120=$B26)*Inputs!$F$5:$F$120*(((Inputs!$G$5:$G$120="moeda")+(Inputs!$G$5:$G$120="acoes"))*Inputs!$B$1+((Inputs!$G$5:$G$120&lt;&gt;"moeda")*(Inputs!$G$5:$G$120&lt;&gt;"acoes")))*INDEX(Inputs!$K$5:$AJ$120,0,MATCH(J$2,Inputs!$K$4:$AJ$4,0)))))</f>
        <v>7058.8</v>
      </c>
      <c r="K26" s="6">
        <f>IF(ISNA(MATCH(K$2,Inputs!$K$4:$AJ$4,0)),NA(),IF(SUMPRODUCT((Inputs!$A$5:$A$120=$B26)*ISNUMBER(INDEX(Inputs!$K$5:$AJ$120,0,MATCH(K$2,Inputs!$K$4:$AJ$4,0))))+SUMPRODUCT((Inputs!$C$5:$C$120=$B26)*ISNUMBER(INDEX(Inputs!$K$5:$AJ$120,0,MATCH(K$2,Inputs!$K$4:$AJ$4,0))))+SUMPRODUCT((Inputs!$E$5:$E$120=$B26)*ISNUMBER(INDEX(Inputs!$K$5:$AJ$120,0,MATCH(K$2,Inputs!$K$4:$AJ$4,0))))=0,NA(),SUMPRODUCT((Inputs!$A$5:$A$120=$B26)*Inputs!$B$5:$B$120*(((Inputs!$G$5:$G$120="moeda")+(Inputs!$G$5:$G$120="acoes"))*Inputs!$B$1+((Inputs!$G$5:$G$120&lt;&gt;"moeda")*(Inputs!$G$5:$G$120&lt;&gt;"acoes")))*INDEX(Inputs!$K$5:$AJ$120,0,MATCH(K$2,Inputs!$K$4:$AJ$4,0)))+SUMPRODUCT((Inputs!$C$5:$C$120=$B26)*Inputs!$D$5:$D$120*(((Inputs!$G$5:$G$120="moeda")+(Inputs!$G$5:$G$120="acoes"))*Inputs!$B$1+((Inputs!$G$5:$G$120&lt;&gt;"moeda")*(Inputs!$G$5:$G$120&lt;&gt;"acoes")))*INDEX(Inputs!$K$5:$AJ$120,0,MATCH(K$2,Inputs!$K$4:$AJ$4,0)))+SUMPRODUCT((Inputs!$E$5:$E$120=$B26)*Inputs!$F$5:$F$120*(((Inputs!$G$5:$G$120="moeda")+(Inputs!$G$5:$G$120="acoes"))*Inputs!$B$1+((Inputs!$G$5:$G$120&lt;&gt;"moeda")*(Inputs!$G$5:$G$120&lt;&gt;"acoes")))*INDEX(Inputs!$K$5:$AJ$120,0,MATCH(K$2,Inputs!$K$4:$AJ$4,0)))))</f>
        <v>7110.3</v>
      </c>
      <c r="L26" s="6">
        <f>IF(ISNA(MATCH(L$2,Inputs!$K$4:$AJ$4,0)),NA(),IF(SUMPRODUCT((Inputs!$A$5:$A$120=$B26)*ISNUMBER(INDEX(Inputs!$K$5:$AJ$120,0,MATCH(L$2,Inputs!$K$4:$AJ$4,0))))+SUMPRODUCT((Inputs!$C$5:$C$120=$B26)*ISNUMBER(INDEX(Inputs!$K$5:$AJ$120,0,MATCH(L$2,Inputs!$K$4:$AJ$4,0))))+SUMPRODUCT((Inputs!$E$5:$E$120=$B26)*ISNUMBER(INDEX(Inputs!$K$5:$AJ$120,0,MATCH(L$2,Inputs!$K$4:$AJ$4,0))))=0,NA(),SUMPRODUCT((Inputs!$A$5:$A$120=$B26)*Inputs!$B$5:$B$120*(((Inputs!$G$5:$G$120="moeda")+(Inputs!$G$5:$G$120="acoes"))*Inputs!$B$1+((Inputs!$G$5:$G$120&lt;&gt;"moeda")*(Inputs!$G$5:$G$120&lt;&gt;"acoes")))*INDEX(Inputs!$K$5:$AJ$120,0,MATCH(L$2,Inputs!$K$4:$AJ$4,0)))+SUMPRODUCT((Inputs!$C$5:$C$120=$B26)*Inputs!$D$5:$D$120*(((Inputs!$G$5:$G$120="moeda")+(Inputs!$G$5:$G$120="acoes"))*Inputs!$B$1+((Inputs!$G$5:$G$120&lt;&gt;"moeda")*(Inputs!$G$5:$G$120&lt;&gt;"acoes")))*INDEX(Inputs!$K$5:$AJ$120,0,MATCH(L$2,Inputs!$K$4:$AJ$4,0)))+SUMPRODUCT((Inputs!$E$5:$E$120=$B26)*Inputs!$F$5:$F$120*(((Inputs!$G$5:$G$120="moeda")+(Inputs!$G$5:$G$120="acoes"))*Inputs!$B$1+((Inputs!$G$5:$G$120&lt;&gt;"moeda")*(Inputs!$G$5:$G$120&lt;&gt;"acoes")))*INDEX(Inputs!$K$5:$AJ$120,0,MATCH(L$2,Inputs!$K$4:$AJ$4,0)))))</f>
        <v>7238.8</v>
      </c>
      <c r="M26" s="3">
        <f>L26</f>
        <v>7238.8</v>
      </c>
      <c r="N26" s="6">
        <f>IF(ISNA(MATCH(N$2,Inputs!$K$4:$AJ$4,0)),NA(),IF(SUMPRODUCT((Inputs!$A$5:$A$120=$B26)*ISNUMBER(INDEX(Inputs!$K$5:$AJ$120,0,MATCH(N$2,Inputs!$K$4:$AJ$4,0))))+SUMPRODUCT((Inputs!$C$5:$C$120=$B26)*ISNUMBER(INDEX(Inputs!$K$5:$AJ$120,0,MATCH(N$2,Inputs!$K$4:$AJ$4,0))))+SUMPRODUCT((Inputs!$E$5:$E$120=$B26)*ISNUMBER(INDEX(Inputs!$K$5:$AJ$120,0,MATCH(N$2,Inputs!$K$4:$AJ$4,0))))=0,NA(),SUMPRODUCT((Inputs!$A$5:$A$120=$B26)*Inputs!$B$5:$B$120*(((Inputs!$G$5:$G$120="moeda")+(Inputs!$G$5:$G$120="acoes"))*Inputs!$B$1+((Inputs!$G$5:$G$120&lt;&gt;"moeda")*(Inputs!$G$5:$G$120&lt;&gt;"acoes")))*INDEX(Inputs!$K$5:$AJ$120,0,MATCH(N$2,Inputs!$K$4:$AJ$4,0)))+SUMPRODUCT((Inputs!$C$5:$C$120=$B26)*Inputs!$D$5:$D$120*(((Inputs!$G$5:$G$120="moeda")+(Inputs!$G$5:$G$120="acoes"))*Inputs!$B$1+((Inputs!$G$5:$G$120&lt;&gt;"moeda")*(Inputs!$G$5:$G$120&lt;&gt;"acoes")))*INDEX(Inputs!$K$5:$AJ$120,0,MATCH(N$2,Inputs!$K$4:$AJ$4,0)))+SUMPRODUCT((Inputs!$E$5:$E$120=$B26)*Inputs!$F$5:$F$120*(((Inputs!$G$5:$G$120="moeda")+(Inputs!$G$5:$G$120="acoes"))*Inputs!$B$1+((Inputs!$G$5:$G$120&lt;&gt;"moeda")*(Inputs!$G$5:$G$120&lt;&gt;"acoes")))*INDEX(Inputs!$K$5:$AJ$120,0,MATCH(N$2,Inputs!$K$4:$AJ$4,0)))))</f>
        <v>7238.5</v>
      </c>
      <c r="O26" s="6">
        <f>IF(ISNA(MATCH(O$2,Inputs!$K$4:$AJ$4,0)),NA(),IF(SUMPRODUCT((Inputs!$A$5:$A$120=$B26)*ISNUMBER(INDEX(Inputs!$K$5:$AJ$120,0,MATCH(O$2,Inputs!$K$4:$AJ$4,0))))+SUMPRODUCT((Inputs!$C$5:$C$120=$B26)*ISNUMBER(INDEX(Inputs!$K$5:$AJ$120,0,MATCH(O$2,Inputs!$K$4:$AJ$4,0))))+SUMPRODUCT((Inputs!$E$5:$E$120=$B26)*ISNUMBER(INDEX(Inputs!$K$5:$AJ$120,0,MATCH(O$2,Inputs!$K$4:$AJ$4,0))))=0,NA(),SUMPRODUCT((Inputs!$A$5:$A$120=$B26)*Inputs!$B$5:$B$120*(((Inputs!$G$5:$G$120="moeda")+(Inputs!$G$5:$G$120="acoes"))*Inputs!$B$1+((Inputs!$G$5:$G$120&lt;&gt;"moeda")*(Inputs!$G$5:$G$120&lt;&gt;"acoes")))*INDEX(Inputs!$K$5:$AJ$120,0,MATCH(O$2,Inputs!$K$4:$AJ$4,0)))+SUMPRODUCT((Inputs!$C$5:$C$120=$B26)*Inputs!$D$5:$D$120*(((Inputs!$G$5:$G$120="moeda")+(Inputs!$G$5:$G$120="acoes"))*Inputs!$B$1+((Inputs!$G$5:$G$120&lt;&gt;"moeda")*(Inputs!$G$5:$G$120&lt;&gt;"acoes")))*INDEX(Inputs!$K$5:$AJ$120,0,MATCH(O$2,Inputs!$K$4:$AJ$4,0)))+SUMPRODUCT((Inputs!$E$5:$E$120=$B26)*Inputs!$F$5:$F$120*(((Inputs!$G$5:$G$120="moeda")+(Inputs!$G$5:$G$120="acoes"))*Inputs!$B$1+((Inputs!$G$5:$G$120&lt;&gt;"moeda")*(Inputs!$G$5:$G$120&lt;&gt;"acoes")))*INDEX(Inputs!$K$5:$AJ$120,0,MATCH(O$2,Inputs!$K$4:$AJ$4,0)))))</f>
        <v>7416.7</v>
      </c>
      <c r="P26" s="6">
        <f>IF(ISNA(MATCH(P$2,Inputs!$K$4:$AJ$4,0)),NA(),IF(SUMPRODUCT((Inputs!$A$5:$A$120=$B26)*ISNUMBER(INDEX(Inputs!$K$5:$AJ$120,0,MATCH(P$2,Inputs!$K$4:$AJ$4,0))))+SUMPRODUCT((Inputs!$C$5:$C$120=$B26)*ISNUMBER(INDEX(Inputs!$K$5:$AJ$120,0,MATCH(P$2,Inputs!$K$4:$AJ$4,0))))+SUMPRODUCT((Inputs!$E$5:$E$120=$B26)*ISNUMBER(INDEX(Inputs!$K$5:$AJ$120,0,MATCH(P$2,Inputs!$K$4:$AJ$4,0))))=0,NA(),SUMPRODUCT((Inputs!$A$5:$A$120=$B26)*Inputs!$B$5:$B$120*(((Inputs!$G$5:$G$120="moeda")+(Inputs!$G$5:$G$120="acoes"))*Inputs!$B$1+((Inputs!$G$5:$G$120&lt;&gt;"moeda")*(Inputs!$G$5:$G$120&lt;&gt;"acoes")))*INDEX(Inputs!$K$5:$AJ$120,0,MATCH(P$2,Inputs!$K$4:$AJ$4,0)))+SUMPRODUCT((Inputs!$C$5:$C$120=$B26)*Inputs!$D$5:$D$120*(((Inputs!$G$5:$G$120="moeda")+(Inputs!$G$5:$G$120="acoes"))*Inputs!$B$1+((Inputs!$G$5:$G$120&lt;&gt;"moeda")*(Inputs!$G$5:$G$120&lt;&gt;"acoes")))*INDEX(Inputs!$K$5:$AJ$120,0,MATCH(P$2,Inputs!$K$4:$AJ$4,0)))+SUMPRODUCT((Inputs!$E$5:$E$120=$B26)*Inputs!$F$5:$F$120*(((Inputs!$G$5:$G$120="moeda")+(Inputs!$G$5:$G$120="acoes"))*Inputs!$B$1+((Inputs!$G$5:$G$120&lt;&gt;"moeda")*(Inputs!$G$5:$G$120&lt;&gt;"acoes")))*INDEX(Inputs!$K$5:$AJ$120,0,MATCH(P$2,Inputs!$K$4:$AJ$4,0)))))</f>
        <v>7603.6</v>
      </c>
      <c r="Q26" s="6">
        <f>IF(ISNA(MATCH(Q$2,Inputs!$K$4:$AJ$4,0)),NA(),IF(SUMPRODUCT((Inputs!$A$5:$A$120=$B26)*ISNUMBER(INDEX(Inputs!$K$5:$AJ$120,0,MATCH(Q$2,Inputs!$K$4:$AJ$4,0))))+SUMPRODUCT((Inputs!$C$5:$C$120=$B26)*ISNUMBER(INDEX(Inputs!$K$5:$AJ$120,0,MATCH(Q$2,Inputs!$K$4:$AJ$4,0))))+SUMPRODUCT((Inputs!$E$5:$E$120=$B26)*ISNUMBER(INDEX(Inputs!$K$5:$AJ$120,0,MATCH(Q$2,Inputs!$K$4:$AJ$4,0))))=0,NA(),SUMPRODUCT((Inputs!$A$5:$A$120=$B26)*Inputs!$B$5:$B$120*(((Inputs!$G$5:$G$120="moeda")+(Inputs!$G$5:$G$120="acoes"))*Inputs!$B$1+((Inputs!$G$5:$G$120&lt;&gt;"moeda")*(Inputs!$G$5:$G$120&lt;&gt;"acoes")))*INDEX(Inputs!$K$5:$AJ$120,0,MATCH(Q$2,Inputs!$K$4:$AJ$4,0)))+SUMPRODUCT((Inputs!$C$5:$C$120=$B26)*Inputs!$D$5:$D$120*(((Inputs!$G$5:$G$120="moeda")+(Inputs!$G$5:$G$120="acoes"))*Inputs!$B$1+((Inputs!$G$5:$G$120&lt;&gt;"moeda")*(Inputs!$G$5:$G$120&lt;&gt;"acoes")))*INDEX(Inputs!$K$5:$AJ$120,0,MATCH(Q$2,Inputs!$K$4:$AJ$4,0)))+SUMPRODUCT((Inputs!$E$5:$E$120=$B26)*Inputs!$F$5:$F$120*(((Inputs!$G$5:$G$120="moeda")+(Inputs!$G$5:$G$120="acoes"))*Inputs!$B$1+((Inputs!$G$5:$G$120&lt;&gt;"moeda")*(Inputs!$G$5:$G$120&lt;&gt;"acoes")))*INDEX(Inputs!$K$5:$AJ$120,0,MATCH(Q$2,Inputs!$K$4:$AJ$4,0)))))</f>
        <v>8042.1</v>
      </c>
      <c r="R26" s="3">
        <f>Q26</f>
        <v>8042.1</v>
      </c>
      <c r="S26" s="6">
        <f>IF(ISNA(MATCH(S$2,Inputs!$K$4:$AJ$4,0)),NA(),IF(SUMPRODUCT((Inputs!$A$5:$A$120=$B26)*ISNUMBER(INDEX(Inputs!$K$5:$AJ$120,0,MATCH(S$2,Inputs!$K$4:$AJ$4,0))))+SUMPRODUCT((Inputs!$C$5:$C$120=$B26)*ISNUMBER(INDEX(Inputs!$K$5:$AJ$120,0,MATCH(S$2,Inputs!$K$4:$AJ$4,0))))+SUMPRODUCT((Inputs!$E$5:$E$120=$B26)*ISNUMBER(INDEX(Inputs!$K$5:$AJ$120,0,MATCH(S$2,Inputs!$K$4:$AJ$4,0))))=0,NA(),SUMPRODUCT((Inputs!$A$5:$A$120=$B26)*Inputs!$B$5:$B$120*(((Inputs!$G$5:$G$120="moeda")+(Inputs!$G$5:$G$120="acoes"))*Inputs!$B$1+((Inputs!$G$5:$G$120&lt;&gt;"moeda")*(Inputs!$G$5:$G$120&lt;&gt;"acoes")))*INDEX(Inputs!$K$5:$AJ$120,0,MATCH(S$2,Inputs!$K$4:$AJ$4,0)))+SUMPRODUCT((Inputs!$C$5:$C$120=$B26)*Inputs!$D$5:$D$120*(((Inputs!$G$5:$G$120="moeda")+(Inputs!$G$5:$G$120="acoes"))*Inputs!$B$1+((Inputs!$G$5:$G$120&lt;&gt;"moeda")*(Inputs!$G$5:$G$120&lt;&gt;"acoes")))*INDEX(Inputs!$K$5:$AJ$120,0,MATCH(S$2,Inputs!$K$4:$AJ$4,0)))+SUMPRODUCT((Inputs!$E$5:$E$120=$B26)*Inputs!$F$5:$F$120*(((Inputs!$G$5:$G$120="moeda")+(Inputs!$G$5:$G$120="acoes"))*Inputs!$B$1+((Inputs!$G$5:$G$120&lt;&gt;"moeda")*(Inputs!$G$5:$G$120&lt;&gt;"acoes")))*INDEX(Inputs!$K$5:$AJ$120,0,MATCH(S$2,Inputs!$K$4:$AJ$4,0)))))</f>
        <v>7795</v>
      </c>
      <c r="T26" s="6">
        <f>IF(ISNA(MATCH(T$2,Inputs!$K$4:$AJ$4,0)),NA(),IF(SUMPRODUCT((Inputs!$A$5:$A$120=$B26)*ISNUMBER(INDEX(Inputs!$K$5:$AJ$120,0,MATCH(T$2,Inputs!$K$4:$AJ$4,0))))+SUMPRODUCT((Inputs!$C$5:$C$120=$B26)*ISNUMBER(INDEX(Inputs!$K$5:$AJ$120,0,MATCH(T$2,Inputs!$K$4:$AJ$4,0))))+SUMPRODUCT((Inputs!$E$5:$E$120=$B26)*ISNUMBER(INDEX(Inputs!$K$5:$AJ$120,0,MATCH(T$2,Inputs!$K$4:$AJ$4,0))))=0,NA(),SUMPRODUCT((Inputs!$A$5:$A$120=$B26)*Inputs!$B$5:$B$120*(((Inputs!$G$5:$G$120="moeda")+(Inputs!$G$5:$G$120="acoes"))*Inputs!$B$1+((Inputs!$G$5:$G$120&lt;&gt;"moeda")*(Inputs!$G$5:$G$120&lt;&gt;"acoes")))*INDEX(Inputs!$K$5:$AJ$120,0,MATCH(T$2,Inputs!$K$4:$AJ$4,0)))+SUMPRODUCT((Inputs!$C$5:$C$120=$B26)*Inputs!$D$5:$D$120*(((Inputs!$G$5:$G$120="moeda")+(Inputs!$G$5:$G$120="acoes"))*Inputs!$B$1+((Inputs!$G$5:$G$120&lt;&gt;"moeda")*(Inputs!$G$5:$G$120&lt;&gt;"acoes")))*INDEX(Inputs!$K$5:$AJ$120,0,MATCH(T$2,Inputs!$K$4:$AJ$4,0)))+SUMPRODUCT((Inputs!$E$5:$E$120=$B26)*Inputs!$F$5:$F$120*(((Inputs!$G$5:$G$120="moeda")+(Inputs!$G$5:$G$120="acoes"))*Inputs!$B$1+((Inputs!$G$5:$G$120&lt;&gt;"moeda")*(Inputs!$G$5:$G$120&lt;&gt;"acoes")))*INDEX(Inputs!$K$5:$AJ$120,0,MATCH(T$2,Inputs!$K$4:$AJ$4,0)))))</f>
        <v>7781.5</v>
      </c>
      <c r="U26" s="6">
        <f>IF(ISNA(MATCH(U$2,Inputs!$K$4:$AJ$4,0)),NA(),IF(SUMPRODUCT((Inputs!$A$5:$A$120=$B26)*ISNUMBER(INDEX(Inputs!$K$5:$AJ$120,0,MATCH(U$2,Inputs!$K$4:$AJ$4,0))))+SUMPRODUCT((Inputs!$C$5:$C$120=$B26)*ISNUMBER(INDEX(Inputs!$K$5:$AJ$120,0,MATCH(U$2,Inputs!$K$4:$AJ$4,0))))+SUMPRODUCT((Inputs!$E$5:$E$120=$B26)*ISNUMBER(INDEX(Inputs!$K$5:$AJ$120,0,MATCH(U$2,Inputs!$K$4:$AJ$4,0))))=0,NA(),SUMPRODUCT((Inputs!$A$5:$A$120=$B26)*Inputs!$B$5:$B$120*(((Inputs!$G$5:$G$120="moeda")+(Inputs!$G$5:$G$120="acoes"))*Inputs!$B$1+((Inputs!$G$5:$G$120&lt;&gt;"moeda")*(Inputs!$G$5:$G$120&lt;&gt;"acoes")))*INDEX(Inputs!$K$5:$AJ$120,0,MATCH(U$2,Inputs!$K$4:$AJ$4,0)))+SUMPRODUCT((Inputs!$C$5:$C$120=$B26)*Inputs!$D$5:$D$120*(((Inputs!$G$5:$G$120="moeda")+(Inputs!$G$5:$G$120="acoes"))*Inputs!$B$1+((Inputs!$G$5:$G$120&lt;&gt;"moeda")*(Inputs!$G$5:$G$120&lt;&gt;"acoes")))*INDEX(Inputs!$K$5:$AJ$120,0,MATCH(U$2,Inputs!$K$4:$AJ$4,0)))+SUMPRODUCT((Inputs!$E$5:$E$120=$B26)*Inputs!$F$5:$F$120*(((Inputs!$G$5:$G$120="moeda")+(Inputs!$G$5:$G$120="acoes"))*Inputs!$B$1+((Inputs!$G$5:$G$120&lt;&gt;"moeda")*(Inputs!$G$5:$G$120&lt;&gt;"acoes")))*INDEX(Inputs!$K$5:$AJ$120,0,MATCH(U$2,Inputs!$K$4:$AJ$4,0)))))</f>
        <v>8322</v>
      </c>
      <c r="V26" s="6">
        <f>IF(ISNA(MATCH(V$2,Inputs!$K$4:$AJ$4,0)),NA(),IF(SUMPRODUCT((Inputs!$A$5:$A$120=$B26)*ISNUMBER(INDEX(Inputs!$K$5:$AJ$120,0,MATCH(V$2,Inputs!$K$4:$AJ$4,0))))+SUMPRODUCT((Inputs!$C$5:$C$120=$B26)*ISNUMBER(INDEX(Inputs!$K$5:$AJ$120,0,MATCH(V$2,Inputs!$K$4:$AJ$4,0))))+SUMPRODUCT((Inputs!$E$5:$E$120=$B26)*ISNUMBER(INDEX(Inputs!$K$5:$AJ$120,0,MATCH(V$2,Inputs!$K$4:$AJ$4,0))))=0,NA(),SUMPRODUCT((Inputs!$A$5:$A$120=$B26)*Inputs!$B$5:$B$120*(((Inputs!$G$5:$G$120="moeda")+(Inputs!$G$5:$G$120="acoes"))*Inputs!$B$1+((Inputs!$G$5:$G$120&lt;&gt;"moeda")*(Inputs!$G$5:$G$120&lt;&gt;"acoes")))*INDEX(Inputs!$K$5:$AJ$120,0,MATCH(V$2,Inputs!$K$4:$AJ$4,0)))+SUMPRODUCT((Inputs!$C$5:$C$120=$B26)*Inputs!$D$5:$D$120*(((Inputs!$G$5:$G$120="moeda")+(Inputs!$G$5:$G$120="acoes"))*Inputs!$B$1+((Inputs!$G$5:$G$120&lt;&gt;"moeda")*(Inputs!$G$5:$G$120&lt;&gt;"acoes")))*INDEX(Inputs!$K$5:$AJ$120,0,MATCH(V$2,Inputs!$K$4:$AJ$4,0)))+SUMPRODUCT((Inputs!$E$5:$E$120=$B26)*Inputs!$F$5:$F$120*(((Inputs!$G$5:$G$120="moeda")+(Inputs!$G$5:$G$120="acoes"))*Inputs!$B$1+((Inputs!$G$5:$G$120&lt;&gt;"moeda")*(Inputs!$G$5:$G$120&lt;&gt;"acoes")))*INDEX(Inputs!$K$5:$AJ$120,0,MATCH(V$2,Inputs!$K$4:$AJ$4,0)))))</f>
        <v>8935.6</v>
      </c>
      <c r="W26" s="3">
        <f>V26</f>
        <v>8935.6</v>
      </c>
      <c r="X26" s="6">
        <f>IF(ISNA(MATCH(X$2,Inputs!$K$4:$AJ$4,0)),NA(),IF(SUMPRODUCT((Inputs!$A$5:$A$120=$B26)*ISNUMBER(INDEX(Inputs!$K$5:$AJ$120,0,MATCH(X$2,Inputs!$K$4:$AJ$4,0))))+SUMPRODUCT((Inputs!$C$5:$C$120=$B26)*ISNUMBER(INDEX(Inputs!$K$5:$AJ$120,0,MATCH(X$2,Inputs!$K$4:$AJ$4,0))))+SUMPRODUCT((Inputs!$E$5:$E$120=$B26)*ISNUMBER(INDEX(Inputs!$K$5:$AJ$120,0,MATCH(X$2,Inputs!$K$4:$AJ$4,0))))=0,NA(),SUMPRODUCT((Inputs!$A$5:$A$120=$B26)*Inputs!$B$5:$B$120*(((Inputs!$G$5:$G$120="moeda")+(Inputs!$G$5:$G$120="acoes"))*Inputs!$B$1+((Inputs!$G$5:$G$120&lt;&gt;"moeda")*(Inputs!$G$5:$G$120&lt;&gt;"acoes")))*INDEX(Inputs!$K$5:$AJ$120,0,MATCH(X$2,Inputs!$K$4:$AJ$4,0)))+SUMPRODUCT((Inputs!$C$5:$C$120=$B26)*Inputs!$D$5:$D$120*(((Inputs!$G$5:$G$120="moeda")+(Inputs!$G$5:$G$120="acoes"))*Inputs!$B$1+((Inputs!$G$5:$G$120&lt;&gt;"moeda")*(Inputs!$G$5:$G$120&lt;&gt;"acoes")))*INDEX(Inputs!$K$5:$AJ$120,0,MATCH(X$2,Inputs!$K$4:$AJ$4,0)))+SUMPRODUCT((Inputs!$E$5:$E$120=$B26)*Inputs!$F$5:$F$120*(((Inputs!$G$5:$G$120="moeda")+(Inputs!$G$5:$G$120="acoes"))*Inputs!$B$1+((Inputs!$G$5:$G$120&lt;&gt;"moeda")*(Inputs!$G$5:$G$120&lt;&gt;"acoes")))*INDEX(Inputs!$K$5:$AJ$120,0,MATCH(X$2,Inputs!$K$4:$AJ$4,0)))))</f>
        <v>9297.6</v>
      </c>
      <c r="Y26" s="6">
        <f>IF(ISNA(MATCH(Y$2,Inputs!$K$4:$AJ$4,0)),NA(),IF(SUMPRODUCT((Inputs!$A$5:$A$120=$B26)*ISNUMBER(INDEX(Inputs!$K$5:$AJ$120,0,MATCH(Y$2,Inputs!$K$4:$AJ$4,0))))+SUMPRODUCT((Inputs!$C$5:$C$120=$B26)*ISNUMBER(INDEX(Inputs!$K$5:$AJ$120,0,MATCH(Y$2,Inputs!$K$4:$AJ$4,0))))+SUMPRODUCT((Inputs!$E$5:$E$120=$B26)*ISNUMBER(INDEX(Inputs!$K$5:$AJ$120,0,MATCH(Y$2,Inputs!$K$4:$AJ$4,0))))=0,NA(),SUMPRODUCT((Inputs!$A$5:$A$120=$B26)*Inputs!$B$5:$B$120*(((Inputs!$G$5:$G$120="moeda")+(Inputs!$G$5:$G$120="acoes"))*Inputs!$B$1+((Inputs!$G$5:$G$120&lt;&gt;"moeda")*(Inputs!$G$5:$G$120&lt;&gt;"acoes")))*INDEX(Inputs!$K$5:$AJ$120,0,MATCH(Y$2,Inputs!$K$4:$AJ$4,0)))+SUMPRODUCT((Inputs!$C$5:$C$120=$B26)*Inputs!$D$5:$D$120*(((Inputs!$G$5:$G$120="moeda")+(Inputs!$G$5:$G$120="acoes"))*Inputs!$B$1+((Inputs!$G$5:$G$120&lt;&gt;"moeda")*(Inputs!$G$5:$G$120&lt;&gt;"acoes")))*INDEX(Inputs!$K$5:$AJ$120,0,MATCH(Y$2,Inputs!$K$4:$AJ$4,0)))+SUMPRODUCT((Inputs!$E$5:$E$120=$B26)*Inputs!$F$5:$F$120*(((Inputs!$G$5:$G$120="moeda")+(Inputs!$G$5:$G$120="acoes"))*Inputs!$B$1+((Inputs!$G$5:$G$120&lt;&gt;"moeda")*(Inputs!$G$5:$G$120&lt;&gt;"acoes")))*INDEX(Inputs!$K$5:$AJ$120,0,MATCH(Y$2,Inputs!$K$4:$AJ$4,0)))))</f>
        <v>9432.7</v>
      </c>
      <c r="Z26" s="6">
        <f>IF(ISNA(MATCH(Z$2,Inputs!$K$4:$AJ$4,0)),NA(),IF(SUMPRODUCT((Inputs!$A$5:$A$120=$B26)*ISNUMBER(INDEX(Inputs!$K$5:$AJ$120,0,MATCH(Z$2,Inputs!$K$4:$AJ$4,0))))+SUMPRODUCT((Inputs!$C$5:$C$120=$B26)*ISNUMBER(INDEX(Inputs!$K$5:$AJ$120,0,MATCH(Z$2,Inputs!$K$4:$AJ$4,0))))+SUMPRODUCT((Inputs!$E$5:$E$120=$B26)*ISNUMBER(INDEX(Inputs!$K$5:$AJ$120,0,MATCH(Z$2,Inputs!$K$4:$AJ$4,0))))=0,NA(),SUMPRODUCT((Inputs!$A$5:$A$120=$B26)*Inputs!$B$5:$B$120*(((Inputs!$G$5:$G$120="moeda")+(Inputs!$G$5:$G$120="acoes"))*Inputs!$B$1+((Inputs!$G$5:$G$120&lt;&gt;"moeda")*(Inputs!$G$5:$G$120&lt;&gt;"acoes")))*INDEX(Inputs!$K$5:$AJ$120,0,MATCH(Z$2,Inputs!$K$4:$AJ$4,0)))+SUMPRODUCT((Inputs!$C$5:$C$120=$B26)*Inputs!$D$5:$D$120*(((Inputs!$G$5:$G$120="moeda")+(Inputs!$G$5:$G$120="acoes"))*Inputs!$B$1+((Inputs!$G$5:$G$120&lt;&gt;"moeda")*(Inputs!$G$5:$G$120&lt;&gt;"acoes")))*INDEX(Inputs!$K$5:$AJ$120,0,MATCH(Z$2,Inputs!$K$4:$AJ$4,0)))+SUMPRODUCT((Inputs!$E$5:$E$120=$B26)*Inputs!$F$5:$F$120*(((Inputs!$G$5:$G$120="moeda")+(Inputs!$G$5:$G$120="acoes"))*Inputs!$B$1+((Inputs!$G$5:$G$120&lt;&gt;"moeda")*(Inputs!$G$5:$G$120&lt;&gt;"acoes")))*INDEX(Inputs!$K$5:$AJ$120,0,MATCH(Z$2,Inputs!$K$4:$AJ$4,0)))))</f>
        <v>9240.7</v>
      </c>
      <c r="AA26" s="6">
        <f>IF(ISNA(MATCH(AA$2,Inputs!$K$4:$AJ$4,0)),NA(),IF(SUMPRODUCT((Inputs!$A$5:$A$120=$B26)*ISNUMBER(INDEX(Inputs!$K$5:$AJ$120,0,MATCH(AA$2,Inputs!$K$4:$AJ$4,0))))+SUMPRODUCT((Inputs!$C$5:$C$120=$B26)*ISNUMBER(INDEX(Inputs!$K$5:$AJ$120,0,MATCH(AA$2,Inputs!$K$4:$AJ$4,0))))+SUMPRODUCT((Inputs!$E$5:$E$120=$B26)*ISNUMBER(INDEX(Inputs!$K$5:$AJ$120,0,MATCH(AA$2,Inputs!$K$4:$AJ$4,0))))=0,NA(),SUMPRODUCT((Inputs!$A$5:$A$120=$B26)*Inputs!$B$5:$B$120*(((Inputs!$G$5:$G$120="moeda")+(Inputs!$G$5:$G$120="acoes"))*Inputs!$B$1+((Inputs!$G$5:$G$120&lt;&gt;"moeda")*(Inputs!$G$5:$G$120&lt;&gt;"acoes")))*INDEX(Inputs!$K$5:$AJ$120,0,MATCH(AA$2,Inputs!$K$4:$AJ$4,0)))+SUMPRODUCT((Inputs!$C$5:$C$120=$B26)*Inputs!$D$5:$D$120*(((Inputs!$G$5:$G$120="moeda")+(Inputs!$G$5:$G$120="acoes"))*Inputs!$B$1+((Inputs!$G$5:$G$120&lt;&gt;"moeda")*(Inputs!$G$5:$G$120&lt;&gt;"acoes")))*INDEX(Inputs!$K$5:$AJ$120,0,MATCH(AA$2,Inputs!$K$4:$AJ$4,0)))+SUMPRODUCT((Inputs!$E$5:$E$120=$B26)*Inputs!$F$5:$F$120*(((Inputs!$G$5:$G$120="moeda")+(Inputs!$G$5:$G$120="acoes"))*Inputs!$B$1+((Inputs!$G$5:$G$120&lt;&gt;"moeda")*(Inputs!$G$5:$G$120&lt;&gt;"acoes")))*INDEX(Inputs!$K$5:$AJ$120,0,MATCH(AA$2,Inputs!$K$4:$AJ$4,0)))))</f>
        <v>9794</v>
      </c>
      <c r="AB26" s="3">
        <f>AA26</f>
        <v>9794</v>
      </c>
      <c r="AC26" s="6">
        <f>IF(ISNA(MATCH(AC$2,Inputs!$K$4:$AJ$4,0)),NA(),IF(SUMPRODUCT((Inputs!$A$5:$A$120=$B26)*ISNUMBER(INDEX(Inputs!$K$5:$AJ$120,0,MATCH(AC$2,Inputs!$K$4:$AJ$4,0))))+SUMPRODUCT((Inputs!$C$5:$C$120=$B26)*ISNUMBER(INDEX(Inputs!$K$5:$AJ$120,0,MATCH(AC$2,Inputs!$K$4:$AJ$4,0))))+SUMPRODUCT((Inputs!$E$5:$E$120=$B26)*ISNUMBER(INDEX(Inputs!$K$5:$AJ$120,0,MATCH(AC$2,Inputs!$K$4:$AJ$4,0))))=0,NA(),SUMPRODUCT((Inputs!$A$5:$A$120=$B26)*Inputs!$B$5:$B$120*(((Inputs!$G$5:$G$120="moeda")+(Inputs!$G$5:$G$120="acoes"))*Inputs!$B$1+((Inputs!$G$5:$G$120&lt;&gt;"moeda")*(Inputs!$G$5:$G$120&lt;&gt;"acoes")))*INDEX(Inputs!$K$5:$AJ$120,0,MATCH(AC$2,Inputs!$K$4:$AJ$4,0)))+SUMPRODUCT((Inputs!$C$5:$C$120=$B26)*Inputs!$D$5:$D$120*(((Inputs!$G$5:$G$120="moeda")+(Inputs!$G$5:$G$120="acoes"))*Inputs!$B$1+((Inputs!$G$5:$G$120&lt;&gt;"moeda")*(Inputs!$G$5:$G$120&lt;&gt;"acoes")))*INDEX(Inputs!$K$5:$AJ$120,0,MATCH(AC$2,Inputs!$K$4:$AJ$4,0)))+SUMPRODUCT((Inputs!$E$5:$E$120=$B26)*Inputs!$F$5:$F$120*(((Inputs!$G$5:$G$120="moeda")+(Inputs!$G$5:$G$120="acoes"))*Inputs!$B$1+((Inputs!$G$5:$G$120&lt;&gt;"moeda")*(Inputs!$G$5:$G$120&lt;&gt;"acoes")))*INDEX(Inputs!$K$5:$AJ$120,0,MATCH(AC$2,Inputs!$K$4:$AJ$4,0)))))</f>
        <v>10347</v>
      </c>
      <c r="AD26" s="6">
        <f>IF(ISNA(MATCH(AD$2,Inputs!$K$4:$AJ$4,0)),NA(),IF(SUMPRODUCT((Inputs!$A$5:$A$120=$B26)*ISNUMBER(INDEX(Inputs!$K$5:$AJ$120,0,MATCH(AD$2,Inputs!$K$4:$AJ$4,0))))+SUMPRODUCT((Inputs!$C$5:$C$120=$B26)*ISNUMBER(INDEX(Inputs!$K$5:$AJ$120,0,MATCH(AD$2,Inputs!$K$4:$AJ$4,0))))+SUMPRODUCT((Inputs!$E$5:$E$120=$B26)*ISNUMBER(INDEX(Inputs!$K$5:$AJ$120,0,MATCH(AD$2,Inputs!$K$4:$AJ$4,0))))=0,NA(),SUMPRODUCT((Inputs!$A$5:$A$120=$B26)*Inputs!$B$5:$B$120*(((Inputs!$G$5:$G$120="moeda")+(Inputs!$G$5:$G$120="acoes"))*Inputs!$B$1+((Inputs!$G$5:$G$120&lt;&gt;"moeda")*(Inputs!$G$5:$G$120&lt;&gt;"acoes")))*INDEX(Inputs!$K$5:$AJ$120,0,MATCH(AD$2,Inputs!$K$4:$AJ$4,0)))+SUMPRODUCT((Inputs!$C$5:$C$120=$B26)*Inputs!$D$5:$D$120*(((Inputs!$G$5:$G$120="moeda")+(Inputs!$G$5:$G$120="acoes"))*Inputs!$B$1+((Inputs!$G$5:$G$120&lt;&gt;"moeda")*(Inputs!$G$5:$G$120&lt;&gt;"acoes")))*INDEX(Inputs!$K$5:$AJ$120,0,MATCH(AD$2,Inputs!$K$4:$AJ$4,0)))+SUMPRODUCT((Inputs!$E$5:$E$120=$B26)*Inputs!$F$5:$F$120*(((Inputs!$G$5:$G$120="moeda")+(Inputs!$G$5:$G$120="acoes"))*Inputs!$B$1+((Inputs!$G$5:$G$120&lt;&gt;"moeda")*(Inputs!$G$5:$G$120&lt;&gt;"acoes")))*INDEX(Inputs!$K$5:$AJ$120,0,MATCH(AD$2,Inputs!$K$4:$AJ$4,0)))))</f>
        <v>11338</v>
      </c>
      <c r="AE26" s="6" t="e">
        <f>IF(ISNA(MATCH(AE$2,Inputs!$K$4:$AJ$4,0)),NA(),IF(SUMPRODUCT((Inputs!$A$5:$A$120=$B26)*ISNUMBER(INDEX(Inputs!$K$5:$AJ$120,0,MATCH(AE$2,Inputs!$K$4:$AJ$4,0))))+SUMPRODUCT((Inputs!$C$5:$C$120=$B26)*ISNUMBER(INDEX(Inputs!$K$5:$AJ$120,0,MATCH(AE$2,Inputs!$K$4:$AJ$4,0))))+SUMPRODUCT((Inputs!$E$5:$E$120=$B26)*ISNUMBER(INDEX(Inputs!$K$5:$AJ$120,0,MATCH(AE$2,Inputs!$K$4:$AJ$4,0))))=0,NA(),SUMPRODUCT((Inputs!$A$5:$A$120=$B26)*Inputs!$B$5:$B$120*(((Inputs!$G$5:$G$120="moeda")+(Inputs!$G$5:$G$120="acoes"))*Inputs!$B$1+((Inputs!$G$5:$G$120&lt;&gt;"moeda")*(Inputs!$G$5:$G$120&lt;&gt;"acoes")))*INDEX(Inputs!$K$5:$AJ$120,0,MATCH(AE$2,Inputs!$K$4:$AJ$4,0)))+SUMPRODUCT((Inputs!$C$5:$C$120=$B26)*Inputs!$D$5:$D$120*(((Inputs!$G$5:$G$120="moeda")+(Inputs!$G$5:$G$120="acoes"))*Inputs!$B$1+((Inputs!$G$5:$G$120&lt;&gt;"moeda")*(Inputs!$G$5:$G$120&lt;&gt;"acoes")))*INDEX(Inputs!$K$5:$AJ$120,0,MATCH(AE$2,Inputs!$K$4:$AJ$4,0)))+SUMPRODUCT((Inputs!$E$5:$E$120=$B26)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6" s="6" t="e">
        <f>IF(ISNA(MATCH(AF$2,Inputs!$K$4:$AJ$4,0)),NA(),IF(SUMPRODUCT((Inputs!$A$5:$A$120=$B26)*ISNUMBER(INDEX(Inputs!$K$5:$AJ$120,0,MATCH(AF$2,Inputs!$K$4:$AJ$4,0))))+SUMPRODUCT((Inputs!$C$5:$C$120=$B26)*ISNUMBER(INDEX(Inputs!$K$5:$AJ$120,0,MATCH(AF$2,Inputs!$K$4:$AJ$4,0))))+SUMPRODUCT((Inputs!$E$5:$E$120=$B26)*ISNUMBER(INDEX(Inputs!$K$5:$AJ$120,0,MATCH(AF$2,Inputs!$K$4:$AJ$4,0))))=0,NA(),SUMPRODUCT((Inputs!$A$5:$A$120=$B26)*Inputs!$B$5:$B$120*(((Inputs!$G$5:$G$120="moeda")+(Inputs!$G$5:$G$120="acoes"))*Inputs!$B$1+((Inputs!$G$5:$G$120&lt;&gt;"moeda")*(Inputs!$G$5:$G$120&lt;&gt;"acoes")))*INDEX(Inputs!$K$5:$AJ$120,0,MATCH(AF$2,Inputs!$K$4:$AJ$4,0)))+SUMPRODUCT((Inputs!$C$5:$C$120=$B26)*Inputs!$D$5:$D$120*(((Inputs!$G$5:$G$120="moeda")+(Inputs!$G$5:$G$120="acoes"))*Inputs!$B$1+((Inputs!$G$5:$G$120&lt;&gt;"moeda")*(Inputs!$G$5:$G$120&lt;&gt;"acoes")))*INDEX(Inputs!$K$5:$AJ$120,0,MATCH(AF$2,Inputs!$K$4:$AJ$4,0)))+SUMPRODUCT((Inputs!$E$5:$E$120=$B26)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6" s="3" t="e">
        <f>AF26</f>
        <v>#N/A</v>
      </c>
      <c r="AH26" s="6">
        <f>IF(ISNA(MATCH(AH$2,Inputs!$K$4:$AJ$4,0)),NA(),IF(SUMPRODUCT((Inputs!$A$5:$A$120=$B26)*ISNUMBER(INDEX(Inputs!$K$5:$AJ$120,0,MATCH(AH$2,Inputs!$K$4:$AJ$4,0))))+SUMPRODUCT((Inputs!$C$5:$C$120=$B26)*ISNUMBER(INDEX(Inputs!$K$5:$AJ$120,0,MATCH(AH$2,Inputs!$K$4:$AJ$4,0))))+SUMPRODUCT((Inputs!$E$5:$E$120=$B26)*ISNUMBER(INDEX(Inputs!$K$5:$AJ$120,0,MATCH(AH$2,Inputs!$K$4:$AJ$4,0))))=0,NA(),SUMPRODUCT((Inputs!$A$5:$A$120=$B26)*Inputs!$B$5:$B$120*(((Inputs!$G$5:$G$120="moeda")+(Inputs!$G$5:$G$120="acoes"))*Inputs!$B$1+((Inputs!$G$5:$G$120&lt;&gt;"moeda")*(Inputs!$G$5:$G$120&lt;&gt;"acoes")))*INDEX(Inputs!$K$5:$AJ$120,0,MATCH(AH$2,Inputs!$K$4:$AJ$4,0)))+SUMPRODUCT((Inputs!$C$5:$C$120=$B26)*Inputs!$D$5:$D$120*(((Inputs!$G$5:$G$120="moeda")+(Inputs!$G$5:$G$120="acoes"))*Inputs!$B$1+((Inputs!$G$5:$G$120&lt;&gt;"moeda")*(Inputs!$G$5:$G$120&lt;&gt;"acoes")))*INDEX(Inputs!$K$5:$AJ$120,0,MATCH(AH$2,Inputs!$K$4:$AJ$4,0)))+SUMPRODUCT((Inputs!$E$5:$E$120=$B26)*Inputs!$F$5:$F$120*(((Inputs!$G$5:$G$120="moeda")+(Inputs!$G$5:$G$120="acoes"))*Inputs!$B$1+((Inputs!$G$5:$G$120&lt;&gt;"moeda")*(Inputs!$G$5:$G$120&lt;&gt;"acoes")))*INDEX(Inputs!$K$5:$AJ$120,0,MATCH(AH$2,Inputs!$K$4:$AJ$4,0)))))</f>
        <v>5193.3</v>
      </c>
      <c r="AI26" s="6">
        <f>IF(ISNA(MATCH(AI$2,Inputs!$K$4:$AJ$4,0)),NA(),IF(SUMPRODUCT((Inputs!$A$5:$A$120=$B26)*ISNUMBER(INDEX(Inputs!$K$5:$AJ$120,0,MATCH(AI$2,Inputs!$K$4:$AJ$4,0))))+SUMPRODUCT((Inputs!$C$5:$C$120=$B26)*ISNUMBER(INDEX(Inputs!$K$5:$AJ$120,0,MATCH(AI$2,Inputs!$K$4:$AJ$4,0))))+SUMPRODUCT((Inputs!$E$5:$E$120=$B26)*ISNUMBER(INDEX(Inputs!$K$5:$AJ$120,0,MATCH(AI$2,Inputs!$K$4:$AJ$4,0))))=0,NA(),SUMPRODUCT((Inputs!$A$5:$A$120=$B26)*Inputs!$B$5:$B$120*(((Inputs!$G$5:$G$120="moeda")+(Inputs!$G$5:$G$120="acoes"))*Inputs!$B$1+((Inputs!$G$5:$G$120&lt;&gt;"moeda")*(Inputs!$G$5:$G$120&lt;&gt;"acoes")))*INDEX(Inputs!$K$5:$AJ$120,0,MATCH(AI$2,Inputs!$K$4:$AJ$4,0)))+SUMPRODUCT((Inputs!$C$5:$C$120=$B26)*Inputs!$D$5:$D$120*(((Inputs!$G$5:$G$120="moeda")+(Inputs!$G$5:$G$120="acoes"))*Inputs!$B$1+((Inputs!$G$5:$G$120&lt;&gt;"moeda")*(Inputs!$G$5:$G$120&lt;&gt;"acoes")))*INDEX(Inputs!$K$5:$AJ$120,0,MATCH(AI$2,Inputs!$K$4:$AJ$4,0)))+SUMPRODUCT((Inputs!$E$5:$E$120=$B26)*Inputs!$F$5:$F$120*(((Inputs!$G$5:$G$120="moeda")+(Inputs!$G$5:$G$120="acoes"))*Inputs!$B$1+((Inputs!$G$5:$G$120&lt;&gt;"moeda")*(Inputs!$G$5:$G$120&lt;&gt;"acoes")))*INDEX(Inputs!$K$5:$AJ$120,0,MATCH(AI$2,Inputs!$K$4:$AJ$4,0)))))</f>
        <v>5486.5</v>
      </c>
      <c r="AJ26" s="6">
        <f>IF(ISNA(MATCH(AJ$2,Inputs!$K$4:$AJ$4,0)),NA(),IF(SUMPRODUCT((Inputs!$A$5:$A$120=$B26)*ISNUMBER(INDEX(Inputs!$K$5:$AJ$120,0,MATCH(AJ$2,Inputs!$K$4:$AJ$4,0))))+SUMPRODUCT((Inputs!$C$5:$C$120=$B26)*ISNUMBER(INDEX(Inputs!$K$5:$AJ$120,0,MATCH(AJ$2,Inputs!$K$4:$AJ$4,0))))+SUMPRODUCT((Inputs!$E$5:$E$120=$B26)*ISNUMBER(INDEX(Inputs!$K$5:$AJ$120,0,MATCH(AJ$2,Inputs!$K$4:$AJ$4,0))))=0,NA(),SUMPRODUCT((Inputs!$A$5:$A$120=$B26)*Inputs!$B$5:$B$120*(((Inputs!$G$5:$G$120="moeda")+(Inputs!$G$5:$G$120="acoes"))*Inputs!$B$1+((Inputs!$G$5:$G$120&lt;&gt;"moeda")*(Inputs!$G$5:$G$120&lt;&gt;"acoes")))*INDEX(Inputs!$K$5:$AJ$120,0,MATCH(AJ$2,Inputs!$K$4:$AJ$4,0)))+SUMPRODUCT((Inputs!$C$5:$C$120=$B26)*Inputs!$D$5:$D$120*(((Inputs!$G$5:$G$120="moeda")+(Inputs!$G$5:$G$120="acoes"))*Inputs!$B$1+((Inputs!$G$5:$G$120&lt;&gt;"moeda")*(Inputs!$G$5:$G$120&lt;&gt;"acoes")))*INDEX(Inputs!$K$5:$AJ$120,0,MATCH(AJ$2,Inputs!$K$4:$AJ$4,0)))+SUMPRODUCT((Inputs!$E$5:$E$120=$B26)*Inputs!$F$5:$F$120*(((Inputs!$G$5:$G$120="moeda")+(Inputs!$G$5:$G$120="acoes"))*Inputs!$B$1+((Inputs!$G$5:$G$120&lt;&gt;"moeda")*(Inputs!$G$5:$G$120&lt;&gt;"acoes")))*INDEX(Inputs!$K$5:$AJ$120,0,MATCH(AJ$2,Inputs!$K$4:$AJ$4,0)))))</f>
        <v>5554.7</v>
      </c>
      <c r="AK26" s="6">
        <f>IF(ISNA(MATCH(AK$2,Inputs!$K$4:$AJ$4,0)),NA(),IF(SUMPRODUCT((Inputs!$A$5:$A$120=$B26)*ISNUMBER(INDEX(Inputs!$K$5:$AJ$120,0,MATCH(AK$2,Inputs!$K$4:$AJ$4,0))))+SUMPRODUCT((Inputs!$C$5:$C$120=$B26)*ISNUMBER(INDEX(Inputs!$K$5:$AJ$120,0,MATCH(AK$2,Inputs!$K$4:$AJ$4,0))))+SUMPRODUCT((Inputs!$E$5:$E$120=$B26)*ISNUMBER(INDEX(Inputs!$K$5:$AJ$120,0,MATCH(AK$2,Inputs!$K$4:$AJ$4,0))))=0,NA(),SUMPRODUCT((Inputs!$A$5:$A$120=$B26)*Inputs!$B$5:$B$120*(((Inputs!$G$5:$G$120="moeda")+(Inputs!$G$5:$G$120="acoes"))*Inputs!$B$1+((Inputs!$G$5:$G$120&lt;&gt;"moeda")*(Inputs!$G$5:$G$120&lt;&gt;"acoes")))*INDEX(Inputs!$K$5:$AJ$120,0,MATCH(AK$2,Inputs!$K$4:$AJ$4,0)))+SUMPRODUCT((Inputs!$C$5:$C$120=$B26)*Inputs!$D$5:$D$120*(((Inputs!$G$5:$G$120="moeda")+(Inputs!$G$5:$G$120="acoes"))*Inputs!$B$1+((Inputs!$G$5:$G$120&lt;&gt;"moeda")*(Inputs!$G$5:$G$120&lt;&gt;"acoes")))*INDEX(Inputs!$K$5:$AJ$120,0,MATCH(AK$2,Inputs!$K$4:$AJ$4,0)))+SUMPRODUCT((Inputs!$E$5:$E$120=$B26)*Inputs!$F$5:$F$120*(((Inputs!$G$5:$G$120="moeda")+(Inputs!$G$5:$G$120="acoes"))*Inputs!$B$1+((Inputs!$G$5:$G$120&lt;&gt;"moeda")*(Inputs!$G$5:$G$120&lt;&gt;"acoes")))*INDEX(Inputs!$K$5:$AJ$120,0,MATCH(AK$2,Inputs!$K$4:$AJ$4,0)))))</f>
        <v>6442.2</v>
      </c>
      <c r="AL26" s="3">
        <f>AK26</f>
        <v>6442.2</v>
      </c>
    </row>
    <row r="27">
      <c r="C27" s="1" t="n"/>
    </row>
    <row r="28">
      <c r="B28" s="46" t="n">
        <v>23</v>
      </c>
      <c r="C28" s="26" t="inlineStr">
        <is>
          <t>Accounts payable</t>
        </is>
      </c>
      <c r="D28" s="6">
        <f>IF(ISNA(MATCH(D$2,Inputs!$K$4:$AJ$4,0)),NA(),IF(SUMPRODUCT((Inputs!$A$5:$A$120=$B28)*ISNUMBER(INDEX(Inputs!$K$5:$AJ$120,0,MATCH(D$2,Inputs!$K$4:$AJ$4,0))))+SUMPRODUCT((Inputs!$C$5:$C$120=$B28)*ISNUMBER(INDEX(Inputs!$K$5:$AJ$120,0,MATCH(D$2,Inputs!$K$4:$AJ$4,0))))+SUMPRODUCT((Inputs!$E$5:$E$120=$B28)*ISNUMBER(INDEX(Inputs!$K$5:$AJ$120,0,MATCH(D$2,Inputs!$K$4:$AJ$4,0))))=0,NA(),SUMPRODUCT((Inputs!$A$5:$A$120=$B28)*Inputs!$B$5:$B$120*(((Inputs!$G$5:$G$120="moeda")+(Inputs!$G$5:$G$120="acoes"))*Inputs!$B$1+((Inputs!$G$5:$G$120&lt;&gt;"moeda")*(Inputs!$G$5:$G$120&lt;&gt;"acoes")))*INDEX(Inputs!$K$5:$AJ$120,0,MATCH(D$2,Inputs!$K$4:$AJ$4,0)))+SUMPRODUCT((Inputs!$C$5:$C$120=$B28)*Inputs!$D$5:$D$120*(((Inputs!$G$5:$G$120="moeda")+(Inputs!$G$5:$G$120="acoes"))*Inputs!$B$1+((Inputs!$G$5:$G$120&lt;&gt;"moeda")*(Inputs!$G$5:$G$120&lt;&gt;"acoes")))*INDEX(Inputs!$K$5:$AJ$120,0,MATCH(D$2,Inputs!$K$4:$AJ$4,0)))+SUMPRODUCT((Inputs!$E$5:$E$120=$B28)*Inputs!$F$5:$F$120*(((Inputs!$G$5:$G$120="moeda")+(Inputs!$G$5:$G$120="acoes"))*Inputs!$B$1+((Inputs!$G$5:$G$120&lt;&gt;"moeda")*(Inputs!$G$5:$G$120&lt;&gt;"acoes")))*INDEX(Inputs!$K$5:$AJ$120,0,MATCH(D$2,Inputs!$K$4:$AJ$4,0)))))</f>
        <v>1639.6</v>
      </c>
      <c r="E28" s="6">
        <f>IF(ISNA(MATCH(E$2,Inputs!$K$4:$AJ$4,0)),NA(),IF(SUMPRODUCT((Inputs!$A$5:$A$120=$B28)*ISNUMBER(INDEX(Inputs!$K$5:$AJ$120,0,MATCH(E$2,Inputs!$K$4:$AJ$4,0))))+SUMPRODUCT((Inputs!$C$5:$C$120=$B28)*ISNUMBER(INDEX(Inputs!$K$5:$AJ$120,0,MATCH(E$2,Inputs!$K$4:$AJ$4,0))))+SUMPRODUCT((Inputs!$E$5:$E$120=$B28)*ISNUMBER(INDEX(Inputs!$K$5:$AJ$120,0,MATCH(E$2,Inputs!$K$4:$AJ$4,0))))=0,NA(),SUMPRODUCT((Inputs!$A$5:$A$120=$B28)*Inputs!$B$5:$B$120*(((Inputs!$G$5:$G$120="moeda")+(Inputs!$G$5:$G$120="acoes"))*Inputs!$B$1+((Inputs!$G$5:$G$120&lt;&gt;"moeda")*(Inputs!$G$5:$G$120&lt;&gt;"acoes")))*INDEX(Inputs!$K$5:$AJ$120,0,MATCH(E$2,Inputs!$K$4:$AJ$4,0)))+SUMPRODUCT((Inputs!$C$5:$C$120=$B28)*Inputs!$D$5:$D$120*(((Inputs!$G$5:$G$120="moeda")+(Inputs!$G$5:$G$120="acoes"))*Inputs!$B$1+((Inputs!$G$5:$G$120&lt;&gt;"moeda")*(Inputs!$G$5:$G$120&lt;&gt;"acoes")))*INDEX(Inputs!$K$5:$AJ$120,0,MATCH(E$2,Inputs!$K$4:$AJ$4,0)))+SUMPRODUCT((Inputs!$E$5:$E$120=$B28)*Inputs!$F$5:$F$120*(((Inputs!$G$5:$G$120="moeda")+(Inputs!$G$5:$G$120="acoes"))*Inputs!$B$1+((Inputs!$G$5:$G$120&lt;&gt;"moeda")*(Inputs!$G$5:$G$120&lt;&gt;"acoes")))*INDEX(Inputs!$K$5:$AJ$120,0,MATCH(E$2,Inputs!$K$4:$AJ$4,0)))))</f>
        <v>1597.8</v>
      </c>
      <c r="F28" s="6">
        <f>IF(ISNA(MATCH(F$2,Inputs!$K$4:$AJ$4,0)),NA(),IF(SUMPRODUCT((Inputs!$A$5:$A$120=$B28)*ISNUMBER(INDEX(Inputs!$K$5:$AJ$120,0,MATCH(F$2,Inputs!$K$4:$AJ$4,0))))+SUMPRODUCT((Inputs!$C$5:$C$120=$B28)*ISNUMBER(INDEX(Inputs!$K$5:$AJ$120,0,MATCH(F$2,Inputs!$K$4:$AJ$4,0))))+SUMPRODUCT((Inputs!$E$5:$E$120=$B28)*ISNUMBER(INDEX(Inputs!$K$5:$AJ$120,0,MATCH(F$2,Inputs!$K$4:$AJ$4,0))))=0,NA(),SUMPRODUCT((Inputs!$A$5:$A$120=$B28)*Inputs!$B$5:$B$120*(((Inputs!$G$5:$G$120="moeda")+(Inputs!$G$5:$G$120="acoes"))*Inputs!$B$1+((Inputs!$G$5:$G$120&lt;&gt;"moeda")*(Inputs!$G$5:$G$120&lt;&gt;"acoes")))*INDEX(Inputs!$K$5:$AJ$120,0,MATCH(F$2,Inputs!$K$4:$AJ$4,0)))+SUMPRODUCT((Inputs!$C$5:$C$120=$B28)*Inputs!$D$5:$D$120*(((Inputs!$G$5:$G$120="moeda")+(Inputs!$G$5:$G$120="acoes"))*Inputs!$B$1+((Inputs!$G$5:$G$120&lt;&gt;"moeda")*(Inputs!$G$5:$G$120&lt;&gt;"acoes")))*INDEX(Inputs!$K$5:$AJ$120,0,MATCH(F$2,Inputs!$K$4:$AJ$4,0)))+SUMPRODUCT((Inputs!$E$5:$E$120=$B28)*Inputs!$F$5:$F$120*(((Inputs!$G$5:$G$120="moeda")+(Inputs!$G$5:$G$120="acoes"))*Inputs!$B$1+((Inputs!$G$5:$G$120&lt;&gt;"moeda")*(Inputs!$G$5:$G$120&lt;&gt;"acoes")))*INDEX(Inputs!$K$5:$AJ$120,0,MATCH(F$2,Inputs!$K$4:$AJ$4,0)))))</f>
        <v>1566.8</v>
      </c>
      <c r="G28" s="6">
        <f>IF(ISNA(MATCH(G$2,Inputs!$K$4:$AJ$4,0)),NA(),IF(SUMPRODUCT((Inputs!$A$5:$A$120=$B28)*ISNUMBER(INDEX(Inputs!$K$5:$AJ$120,0,MATCH(G$2,Inputs!$K$4:$AJ$4,0))))+SUMPRODUCT((Inputs!$C$5:$C$120=$B28)*ISNUMBER(INDEX(Inputs!$K$5:$AJ$120,0,MATCH(G$2,Inputs!$K$4:$AJ$4,0))))+SUMPRODUCT((Inputs!$E$5:$E$120=$B28)*ISNUMBER(INDEX(Inputs!$K$5:$AJ$120,0,MATCH(G$2,Inputs!$K$4:$AJ$4,0))))=0,NA(),SUMPRODUCT((Inputs!$A$5:$A$120=$B28)*Inputs!$B$5:$B$120*(((Inputs!$G$5:$G$120="moeda")+(Inputs!$G$5:$G$120="acoes"))*Inputs!$B$1+((Inputs!$G$5:$G$120&lt;&gt;"moeda")*(Inputs!$G$5:$G$120&lt;&gt;"acoes")))*INDEX(Inputs!$K$5:$AJ$120,0,MATCH(G$2,Inputs!$K$4:$AJ$4,0)))+SUMPRODUCT((Inputs!$C$5:$C$120=$B28)*Inputs!$D$5:$D$120*(((Inputs!$G$5:$G$120="moeda")+(Inputs!$G$5:$G$120="acoes"))*Inputs!$B$1+((Inputs!$G$5:$G$120&lt;&gt;"moeda")*(Inputs!$G$5:$G$120&lt;&gt;"acoes")))*INDEX(Inputs!$K$5:$AJ$120,0,MATCH(G$2,Inputs!$K$4:$AJ$4,0)))+SUMPRODUCT((Inputs!$E$5:$E$120=$B28)*Inputs!$F$5:$F$120*(((Inputs!$G$5:$G$120="moeda")+(Inputs!$G$5:$G$120="acoes"))*Inputs!$B$1+((Inputs!$G$5:$G$120&lt;&gt;"moeda")*(Inputs!$G$5:$G$120&lt;&gt;"acoes")))*INDEX(Inputs!$K$5:$AJ$120,0,MATCH(G$2,Inputs!$K$4:$AJ$4,0)))))</f>
        <v>1670.6</v>
      </c>
      <c r="H28" s="3">
        <f>G28</f>
        <v>1670.6</v>
      </c>
      <c r="I28" s="6">
        <f>IF(ISNA(MATCH(I$2,Inputs!$K$4:$AJ$4,0)),NA(),IF(SUMPRODUCT((Inputs!$A$5:$A$120=$B28)*ISNUMBER(INDEX(Inputs!$K$5:$AJ$120,0,MATCH(I$2,Inputs!$K$4:$AJ$4,0))))+SUMPRODUCT((Inputs!$C$5:$C$120=$B28)*ISNUMBER(INDEX(Inputs!$K$5:$AJ$120,0,MATCH(I$2,Inputs!$K$4:$AJ$4,0))))+SUMPRODUCT((Inputs!$E$5:$E$120=$B28)*ISNUMBER(INDEX(Inputs!$K$5:$AJ$120,0,MATCH(I$2,Inputs!$K$4:$AJ$4,0))))=0,NA(),SUMPRODUCT((Inputs!$A$5:$A$120=$B28)*Inputs!$B$5:$B$120*(((Inputs!$G$5:$G$120="moeda")+(Inputs!$G$5:$G$120="acoes"))*Inputs!$B$1+((Inputs!$G$5:$G$120&lt;&gt;"moeda")*(Inputs!$G$5:$G$120&lt;&gt;"acoes")))*INDEX(Inputs!$K$5:$AJ$120,0,MATCH(I$2,Inputs!$K$4:$AJ$4,0)))+SUMPRODUCT((Inputs!$C$5:$C$120=$B28)*Inputs!$D$5:$D$120*(((Inputs!$G$5:$G$120="moeda")+(Inputs!$G$5:$G$120="acoes"))*Inputs!$B$1+((Inputs!$G$5:$G$120&lt;&gt;"moeda")*(Inputs!$G$5:$G$120&lt;&gt;"acoes")))*INDEX(Inputs!$K$5:$AJ$120,0,MATCH(I$2,Inputs!$K$4:$AJ$4,0)))+SUMPRODUCT((Inputs!$E$5:$E$120=$B28)*Inputs!$F$5:$F$120*(((Inputs!$G$5:$G$120="moeda")+(Inputs!$G$5:$G$120="acoes"))*Inputs!$B$1+((Inputs!$G$5:$G$120&lt;&gt;"moeda")*(Inputs!$G$5:$G$120&lt;&gt;"acoes")))*INDEX(Inputs!$K$5:$AJ$120,0,MATCH(I$2,Inputs!$K$4:$AJ$4,0)))))</f>
        <v>1433.3</v>
      </c>
      <c r="J28" s="6">
        <f>IF(ISNA(MATCH(J$2,Inputs!$K$4:$AJ$4,0)),NA(),IF(SUMPRODUCT((Inputs!$A$5:$A$120=$B28)*ISNUMBER(INDEX(Inputs!$K$5:$AJ$120,0,MATCH(J$2,Inputs!$K$4:$AJ$4,0))))+SUMPRODUCT((Inputs!$C$5:$C$120=$B28)*ISNUMBER(INDEX(Inputs!$K$5:$AJ$120,0,MATCH(J$2,Inputs!$K$4:$AJ$4,0))))+SUMPRODUCT((Inputs!$E$5:$E$120=$B28)*ISNUMBER(INDEX(Inputs!$K$5:$AJ$120,0,MATCH(J$2,Inputs!$K$4:$AJ$4,0))))=0,NA(),SUMPRODUCT((Inputs!$A$5:$A$120=$B28)*Inputs!$B$5:$B$120*(((Inputs!$G$5:$G$120="moeda")+(Inputs!$G$5:$G$120="acoes"))*Inputs!$B$1+((Inputs!$G$5:$G$120&lt;&gt;"moeda")*(Inputs!$G$5:$G$120&lt;&gt;"acoes")))*INDEX(Inputs!$K$5:$AJ$120,0,MATCH(J$2,Inputs!$K$4:$AJ$4,0)))+SUMPRODUCT((Inputs!$C$5:$C$120=$B28)*Inputs!$D$5:$D$120*(((Inputs!$G$5:$G$120="moeda")+(Inputs!$G$5:$G$120="acoes"))*Inputs!$B$1+((Inputs!$G$5:$G$120&lt;&gt;"moeda")*(Inputs!$G$5:$G$120&lt;&gt;"acoes")))*INDEX(Inputs!$K$5:$AJ$120,0,MATCH(J$2,Inputs!$K$4:$AJ$4,0)))+SUMPRODUCT((Inputs!$E$5:$E$120=$B28)*Inputs!$F$5:$F$120*(((Inputs!$G$5:$G$120="moeda")+(Inputs!$G$5:$G$120="acoes"))*Inputs!$B$1+((Inputs!$G$5:$G$120&lt;&gt;"moeda")*(Inputs!$G$5:$G$120&lt;&gt;"acoes")))*INDEX(Inputs!$K$5:$AJ$120,0,MATCH(J$2,Inputs!$K$4:$AJ$4,0)))))</f>
        <v>1659.3</v>
      </c>
      <c r="K28" s="6">
        <f>IF(ISNA(MATCH(K$2,Inputs!$K$4:$AJ$4,0)),NA(),IF(SUMPRODUCT((Inputs!$A$5:$A$120=$B28)*ISNUMBER(INDEX(Inputs!$K$5:$AJ$120,0,MATCH(K$2,Inputs!$K$4:$AJ$4,0))))+SUMPRODUCT((Inputs!$C$5:$C$120=$B28)*ISNUMBER(INDEX(Inputs!$K$5:$AJ$120,0,MATCH(K$2,Inputs!$K$4:$AJ$4,0))))+SUMPRODUCT((Inputs!$E$5:$E$120=$B28)*ISNUMBER(INDEX(Inputs!$K$5:$AJ$120,0,MATCH(K$2,Inputs!$K$4:$AJ$4,0))))=0,NA(),SUMPRODUCT((Inputs!$A$5:$A$120=$B28)*Inputs!$B$5:$B$120*(((Inputs!$G$5:$G$120="moeda")+(Inputs!$G$5:$G$120="acoes"))*Inputs!$B$1+((Inputs!$G$5:$G$120&lt;&gt;"moeda")*(Inputs!$G$5:$G$120&lt;&gt;"acoes")))*INDEX(Inputs!$K$5:$AJ$120,0,MATCH(K$2,Inputs!$K$4:$AJ$4,0)))+SUMPRODUCT((Inputs!$C$5:$C$120=$B28)*Inputs!$D$5:$D$120*(((Inputs!$G$5:$G$120="moeda")+(Inputs!$G$5:$G$120="acoes"))*Inputs!$B$1+((Inputs!$G$5:$G$120&lt;&gt;"moeda")*(Inputs!$G$5:$G$120&lt;&gt;"acoes")))*INDEX(Inputs!$K$5:$AJ$120,0,MATCH(K$2,Inputs!$K$4:$AJ$4,0)))+SUMPRODUCT((Inputs!$E$5:$E$120=$B28)*Inputs!$F$5:$F$120*(((Inputs!$G$5:$G$120="moeda")+(Inputs!$G$5:$G$120="acoes"))*Inputs!$B$1+((Inputs!$G$5:$G$120&lt;&gt;"moeda")*(Inputs!$G$5:$G$120&lt;&gt;"acoes")))*INDEX(Inputs!$K$5:$AJ$120,0,MATCH(K$2,Inputs!$K$4:$AJ$4,0)))))</f>
        <v>1683.2</v>
      </c>
      <c r="L28" s="6">
        <f>IF(ISNA(MATCH(L$2,Inputs!$K$4:$AJ$4,0)),NA(),IF(SUMPRODUCT((Inputs!$A$5:$A$120=$B28)*ISNUMBER(INDEX(Inputs!$K$5:$AJ$120,0,MATCH(L$2,Inputs!$K$4:$AJ$4,0))))+SUMPRODUCT((Inputs!$C$5:$C$120=$B28)*ISNUMBER(INDEX(Inputs!$K$5:$AJ$120,0,MATCH(L$2,Inputs!$K$4:$AJ$4,0))))+SUMPRODUCT((Inputs!$E$5:$E$120=$B28)*ISNUMBER(INDEX(Inputs!$K$5:$AJ$120,0,MATCH(L$2,Inputs!$K$4:$AJ$4,0))))=0,NA(),SUMPRODUCT((Inputs!$A$5:$A$120=$B28)*Inputs!$B$5:$B$120*(((Inputs!$G$5:$G$120="moeda")+(Inputs!$G$5:$G$120="acoes"))*Inputs!$B$1+((Inputs!$G$5:$G$120&lt;&gt;"moeda")*(Inputs!$G$5:$G$120&lt;&gt;"acoes")))*INDEX(Inputs!$K$5:$AJ$120,0,MATCH(L$2,Inputs!$K$4:$AJ$4,0)))+SUMPRODUCT((Inputs!$C$5:$C$120=$B28)*Inputs!$D$5:$D$120*(((Inputs!$G$5:$G$120="moeda")+(Inputs!$G$5:$G$120="acoes"))*Inputs!$B$1+((Inputs!$G$5:$G$120&lt;&gt;"moeda")*(Inputs!$G$5:$G$120&lt;&gt;"acoes")))*INDEX(Inputs!$K$5:$AJ$120,0,MATCH(L$2,Inputs!$K$4:$AJ$4,0)))+SUMPRODUCT((Inputs!$E$5:$E$120=$B28)*Inputs!$F$5:$F$120*(((Inputs!$G$5:$G$120="moeda")+(Inputs!$G$5:$G$120="acoes"))*Inputs!$B$1+((Inputs!$G$5:$G$120&lt;&gt;"moeda")*(Inputs!$G$5:$G$120&lt;&gt;"acoes")))*INDEX(Inputs!$K$5:$AJ$120,0,MATCH(L$2,Inputs!$K$4:$AJ$4,0)))))</f>
        <v>1930.6</v>
      </c>
      <c r="M28" s="3">
        <f>L28</f>
        <v>1930.6</v>
      </c>
      <c r="N28" s="6">
        <f>IF(ISNA(MATCH(N$2,Inputs!$K$4:$AJ$4,0)),NA(),IF(SUMPRODUCT((Inputs!$A$5:$A$120=$B28)*ISNUMBER(INDEX(Inputs!$K$5:$AJ$120,0,MATCH(N$2,Inputs!$K$4:$AJ$4,0))))+SUMPRODUCT((Inputs!$C$5:$C$120=$B28)*ISNUMBER(INDEX(Inputs!$K$5:$AJ$120,0,MATCH(N$2,Inputs!$K$4:$AJ$4,0))))+SUMPRODUCT((Inputs!$E$5:$E$120=$B28)*ISNUMBER(INDEX(Inputs!$K$5:$AJ$120,0,MATCH(N$2,Inputs!$K$4:$AJ$4,0))))=0,NA(),SUMPRODUCT((Inputs!$A$5:$A$120=$B28)*Inputs!$B$5:$B$120*(((Inputs!$G$5:$G$120="moeda")+(Inputs!$G$5:$G$120="acoes"))*Inputs!$B$1+((Inputs!$G$5:$G$120&lt;&gt;"moeda")*(Inputs!$G$5:$G$120&lt;&gt;"acoes")))*INDEX(Inputs!$K$5:$AJ$120,0,MATCH(N$2,Inputs!$K$4:$AJ$4,0)))+SUMPRODUCT((Inputs!$C$5:$C$120=$B28)*Inputs!$D$5:$D$120*(((Inputs!$G$5:$G$120="moeda")+(Inputs!$G$5:$G$120="acoes"))*Inputs!$B$1+((Inputs!$G$5:$G$120&lt;&gt;"moeda")*(Inputs!$G$5:$G$120&lt;&gt;"acoes")))*INDEX(Inputs!$K$5:$AJ$120,0,MATCH(N$2,Inputs!$K$4:$AJ$4,0)))+SUMPRODUCT((Inputs!$E$5:$E$120=$B28)*Inputs!$F$5:$F$120*(((Inputs!$G$5:$G$120="moeda")+(Inputs!$G$5:$G$120="acoes"))*Inputs!$B$1+((Inputs!$G$5:$G$120&lt;&gt;"moeda")*(Inputs!$G$5:$G$120&lt;&gt;"acoes")))*INDEX(Inputs!$K$5:$AJ$120,0,MATCH(N$2,Inputs!$K$4:$AJ$4,0)))))</f>
        <v>2015.9</v>
      </c>
      <c r="O28" s="6">
        <f>IF(ISNA(MATCH(O$2,Inputs!$K$4:$AJ$4,0)),NA(),IF(SUMPRODUCT((Inputs!$A$5:$A$120=$B28)*ISNUMBER(INDEX(Inputs!$K$5:$AJ$120,0,MATCH(O$2,Inputs!$K$4:$AJ$4,0))))+SUMPRODUCT((Inputs!$C$5:$C$120=$B28)*ISNUMBER(INDEX(Inputs!$K$5:$AJ$120,0,MATCH(O$2,Inputs!$K$4:$AJ$4,0))))+SUMPRODUCT((Inputs!$E$5:$E$120=$B28)*ISNUMBER(INDEX(Inputs!$K$5:$AJ$120,0,MATCH(O$2,Inputs!$K$4:$AJ$4,0))))=0,NA(),SUMPRODUCT((Inputs!$A$5:$A$120=$B28)*Inputs!$B$5:$B$120*(((Inputs!$G$5:$G$120="moeda")+(Inputs!$G$5:$G$120="acoes"))*Inputs!$B$1+((Inputs!$G$5:$G$120&lt;&gt;"moeda")*(Inputs!$G$5:$G$120&lt;&gt;"acoes")))*INDEX(Inputs!$K$5:$AJ$120,0,MATCH(O$2,Inputs!$K$4:$AJ$4,0)))+SUMPRODUCT((Inputs!$C$5:$C$120=$B28)*Inputs!$D$5:$D$120*(((Inputs!$G$5:$G$120="moeda")+(Inputs!$G$5:$G$120="acoes"))*Inputs!$B$1+((Inputs!$G$5:$G$120&lt;&gt;"moeda")*(Inputs!$G$5:$G$120&lt;&gt;"acoes")))*INDEX(Inputs!$K$5:$AJ$120,0,MATCH(O$2,Inputs!$K$4:$AJ$4,0)))+SUMPRODUCT((Inputs!$E$5:$E$120=$B28)*Inputs!$F$5:$F$120*(((Inputs!$G$5:$G$120="moeda")+(Inputs!$G$5:$G$120="acoes"))*Inputs!$B$1+((Inputs!$G$5:$G$120&lt;&gt;"moeda")*(Inputs!$G$5:$G$120&lt;&gt;"acoes")))*INDEX(Inputs!$K$5:$AJ$120,0,MATCH(O$2,Inputs!$K$4:$AJ$4,0)))))</f>
        <v>2474.2</v>
      </c>
      <c r="P28" s="6">
        <f>IF(ISNA(MATCH(P$2,Inputs!$K$4:$AJ$4,0)),NA(),IF(SUMPRODUCT((Inputs!$A$5:$A$120=$B28)*ISNUMBER(INDEX(Inputs!$K$5:$AJ$120,0,MATCH(P$2,Inputs!$K$4:$AJ$4,0))))+SUMPRODUCT((Inputs!$C$5:$C$120=$B28)*ISNUMBER(INDEX(Inputs!$K$5:$AJ$120,0,MATCH(P$2,Inputs!$K$4:$AJ$4,0))))+SUMPRODUCT((Inputs!$E$5:$E$120=$B28)*ISNUMBER(INDEX(Inputs!$K$5:$AJ$120,0,MATCH(P$2,Inputs!$K$4:$AJ$4,0))))=0,NA(),SUMPRODUCT((Inputs!$A$5:$A$120=$B28)*Inputs!$B$5:$B$120*(((Inputs!$G$5:$G$120="moeda")+(Inputs!$G$5:$G$120="acoes"))*Inputs!$B$1+((Inputs!$G$5:$G$120&lt;&gt;"moeda")*(Inputs!$G$5:$G$120&lt;&gt;"acoes")))*INDEX(Inputs!$K$5:$AJ$120,0,MATCH(P$2,Inputs!$K$4:$AJ$4,0)))+SUMPRODUCT((Inputs!$C$5:$C$120=$B28)*Inputs!$D$5:$D$120*(((Inputs!$G$5:$G$120="moeda")+(Inputs!$G$5:$G$120="acoes"))*Inputs!$B$1+((Inputs!$G$5:$G$120&lt;&gt;"moeda")*(Inputs!$G$5:$G$120&lt;&gt;"acoes")))*INDEX(Inputs!$K$5:$AJ$120,0,MATCH(P$2,Inputs!$K$4:$AJ$4,0)))+SUMPRODUCT((Inputs!$E$5:$E$120=$B28)*Inputs!$F$5:$F$120*(((Inputs!$G$5:$G$120="moeda")+(Inputs!$G$5:$G$120="acoes"))*Inputs!$B$1+((Inputs!$G$5:$G$120&lt;&gt;"moeda")*(Inputs!$G$5:$G$120&lt;&gt;"acoes")))*INDEX(Inputs!$K$5:$AJ$120,0,MATCH(P$2,Inputs!$K$4:$AJ$4,0)))))</f>
        <v>2435.1</v>
      </c>
      <c r="Q28" s="6">
        <f>IF(ISNA(MATCH(Q$2,Inputs!$K$4:$AJ$4,0)),NA(),IF(SUMPRODUCT((Inputs!$A$5:$A$120=$B28)*ISNUMBER(INDEX(Inputs!$K$5:$AJ$120,0,MATCH(Q$2,Inputs!$K$4:$AJ$4,0))))+SUMPRODUCT((Inputs!$C$5:$C$120=$B28)*ISNUMBER(INDEX(Inputs!$K$5:$AJ$120,0,MATCH(Q$2,Inputs!$K$4:$AJ$4,0))))+SUMPRODUCT((Inputs!$E$5:$E$120=$B28)*ISNUMBER(INDEX(Inputs!$K$5:$AJ$120,0,MATCH(Q$2,Inputs!$K$4:$AJ$4,0))))=0,NA(),SUMPRODUCT((Inputs!$A$5:$A$120=$B28)*Inputs!$B$5:$B$120*(((Inputs!$G$5:$G$120="moeda")+(Inputs!$G$5:$G$120="acoes"))*Inputs!$B$1+((Inputs!$G$5:$G$120&lt;&gt;"moeda")*(Inputs!$G$5:$G$120&lt;&gt;"acoes")))*INDEX(Inputs!$K$5:$AJ$120,0,MATCH(Q$2,Inputs!$K$4:$AJ$4,0)))+SUMPRODUCT((Inputs!$C$5:$C$120=$B28)*Inputs!$D$5:$D$120*(((Inputs!$G$5:$G$120="moeda")+(Inputs!$G$5:$G$120="acoes"))*Inputs!$B$1+((Inputs!$G$5:$G$120&lt;&gt;"moeda")*(Inputs!$G$5:$G$120&lt;&gt;"acoes")))*INDEX(Inputs!$K$5:$AJ$120,0,MATCH(Q$2,Inputs!$K$4:$AJ$4,0)))+SUMPRODUCT((Inputs!$E$5:$E$120=$B28)*Inputs!$F$5:$F$120*(((Inputs!$G$5:$G$120="moeda")+(Inputs!$G$5:$G$120="acoes"))*Inputs!$B$1+((Inputs!$G$5:$G$120&lt;&gt;"moeda")*(Inputs!$G$5:$G$120&lt;&gt;"acoes")))*INDEX(Inputs!$K$5:$AJ$120,0,MATCH(Q$2,Inputs!$K$4:$AJ$4,0)))))</f>
        <v>2598.8</v>
      </c>
      <c r="R28" s="3">
        <f>Q28</f>
        <v>2598.8</v>
      </c>
      <c r="S28" s="6">
        <f>IF(ISNA(MATCH(S$2,Inputs!$K$4:$AJ$4,0)),NA(),IF(SUMPRODUCT((Inputs!$A$5:$A$120=$B28)*ISNUMBER(INDEX(Inputs!$K$5:$AJ$120,0,MATCH(S$2,Inputs!$K$4:$AJ$4,0))))+SUMPRODUCT((Inputs!$C$5:$C$120=$B28)*ISNUMBER(INDEX(Inputs!$K$5:$AJ$120,0,MATCH(S$2,Inputs!$K$4:$AJ$4,0))))+SUMPRODUCT((Inputs!$E$5:$E$120=$B28)*ISNUMBER(INDEX(Inputs!$K$5:$AJ$120,0,MATCH(S$2,Inputs!$K$4:$AJ$4,0))))=0,NA(),SUMPRODUCT((Inputs!$A$5:$A$120=$B28)*Inputs!$B$5:$B$120*(((Inputs!$G$5:$G$120="moeda")+(Inputs!$G$5:$G$120="acoes"))*Inputs!$B$1+((Inputs!$G$5:$G$120&lt;&gt;"moeda")*(Inputs!$G$5:$G$120&lt;&gt;"acoes")))*INDEX(Inputs!$K$5:$AJ$120,0,MATCH(S$2,Inputs!$K$4:$AJ$4,0)))+SUMPRODUCT((Inputs!$C$5:$C$120=$B28)*Inputs!$D$5:$D$120*(((Inputs!$G$5:$G$120="moeda")+(Inputs!$G$5:$G$120="acoes"))*Inputs!$B$1+((Inputs!$G$5:$G$120&lt;&gt;"moeda")*(Inputs!$G$5:$G$120&lt;&gt;"acoes")))*INDEX(Inputs!$K$5:$AJ$120,0,MATCH(S$2,Inputs!$K$4:$AJ$4,0)))+SUMPRODUCT((Inputs!$E$5:$E$120=$B28)*Inputs!$F$5:$F$120*(((Inputs!$G$5:$G$120="moeda")+(Inputs!$G$5:$G$120="acoes"))*Inputs!$B$1+((Inputs!$G$5:$G$120&lt;&gt;"moeda")*(Inputs!$G$5:$G$120&lt;&gt;"acoes")))*INDEX(Inputs!$K$5:$AJ$120,0,MATCH(S$2,Inputs!$K$4:$AJ$4,0)))))</f>
        <v>2473.7</v>
      </c>
      <c r="T28" s="6">
        <f>IF(ISNA(MATCH(T$2,Inputs!$K$4:$AJ$4,0)),NA(),IF(SUMPRODUCT((Inputs!$A$5:$A$120=$B28)*ISNUMBER(INDEX(Inputs!$K$5:$AJ$120,0,MATCH(T$2,Inputs!$K$4:$AJ$4,0))))+SUMPRODUCT((Inputs!$C$5:$C$120=$B28)*ISNUMBER(INDEX(Inputs!$K$5:$AJ$120,0,MATCH(T$2,Inputs!$K$4:$AJ$4,0))))+SUMPRODUCT((Inputs!$E$5:$E$120=$B28)*ISNUMBER(INDEX(Inputs!$K$5:$AJ$120,0,MATCH(T$2,Inputs!$K$4:$AJ$4,0))))=0,NA(),SUMPRODUCT((Inputs!$A$5:$A$120=$B28)*Inputs!$B$5:$B$120*(((Inputs!$G$5:$G$120="moeda")+(Inputs!$G$5:$G$120="acoes"))*Inputs!$B$1+((Inputs!$G$5:$G$120&lt;&gt;"moeda")*(Inputs!$G$5:$G$120&lt;&gt;"acoes")))*INDEX(Inputs!$K$5:$AJ$120,0,MATCH(T$2,Inputs!$K$4:$AJ$4,0)))+SUMPRODUCT((Inputs!$C$5:$C$120=$B28)*Inputs!$D$5:$D$120*(((Inputs!$G$5:$G$120="moeda")+(Inputs!$G$5:$G$120="acoes"))*Inputs!$B$1+((Inputs!$G$5:$G$120&lt;&gt;"moeda")*(Inputs!$G$5:$G$120&lt;&gt;"acoes")))*INDEX(Inputs!$K$5:$AJ$120,0,MATCH(T$2,Inputs!$K$4:$AJ$4,0)))+SUMPRODUCT((Inputs!$E$5:$E$120=$B28)*Inputs!$F$5:$F$120*(((Inputs!$G$5:$G$120="moeda")+(Inputs!$G$5:$G$120="acoes"))*Inputs!$B$1+((Inputs!$G$5:$G$120&lt;&gt;"moeda")*(Inputs!$G$5:$G$120&lt;&gt;"acoes")))*INDEX(Inputs!$K$5:$AJ$120,0,MATCH(T$2,Inputs!$K$4:$AJ$4,0)))))</f>
        <v>2924.8</v>
      </c>
      <c r="U28" s="6">
        <f>IF(ISNA(MATCH(U$2,Inputs!$K$4:$AJ$4,0)),NA(),IF(SUMPRODUCT((Inputs!$A$5:$A$120=$B28)*ISNUMBER(INDEX(Inputs!$K$5:$AJ$120,0,MATCH(U$2,Inputs!$K$4:$AJ$4,0))))+SUMPRODUCT((Inputs!$C$5:$C$120=$B28)*ISNUMBER(INDEX(Inputs!$K$5:$AJ$120,0,MATCH(U$2,Inputs!$K$4:$AJ$4,0))))+SUMPRODUCT((Inputs!$E$5:$E$120=$B28)*ISNUMBER(INDEX(Inputs!$K$5:$AJ$120,0,MATCH(U$2,Inputs!$K$4:$AJ$4,0))))=0,NA(),SUMPRODUCT((Inputs!$A$5:$A$120=$B28)*Inputs!$B$5:$B$120*(((Inputs!$G$5:$G$120="moeda")+(Inputs!$G$5:$G$120="acoes"))*Inputs!$B$1+((Inputs!$G$5:$G$120&lt;&gt;"moeda")*(Inputs!$G$5:$G$120&lt;&gt;"acoes")))*INDEX(Inputs!$K$5:$AJ$120,0,MATCH(U$2,Inputs!$K$4:$AJ$4,0)))+SUMPRODUCT((Inputs!$C$5:$C$120=$B28)*Inputs!$D$5:$D$120*(((Inputs!$G$5:$G$120="moeda")+(Inputs!$G$5:$G$120="acoes"))*Inputs!$B$1+((Inputs!$G$5:$G$120&lt;&gt;"moeda")*(Inputs!$G$5:$G$120&lt;&gt;"acoes")))*INDEX(Inputs!$K$5:$AJ$120,0,MATCH(U$2,Inputs!$K$4:$AJ$4,0)))+SUMPRODUCT((Inputs!$E$5:$E$120=$B28)*Inputs!$F$5:$F$120*(((Inputs!$G$5:$G$120="moeda")+(Inputs!$G$5:$G$120="acoes"))*Inputs!$B$1+((Inputs!$G$5:$G$120&lt;&gt;"moeda")*(Inputs!$G$5:$G$120&lt;&gt;"acoes")))*INDEX(Inputs!$K$5:$AJ$120,0,MATCH(U$2,Inputs!$K$4:$AJ$4,0)))))</f>
        <v>2886.5</v>
      </c>
      <c r="V28" s="6">
        <f>IF(ISNA(MATCH(V$2,Inputs!$K$4:$AJ$4,0)),NA(),IF(SUMPRODUCT((Inputs!$A$5:$A$120=$B28)*ISNUMBER(INDEX(Inputs!$K$5:$AJ$120,0,MATCH(V$2,Inputs!$K$4:$AJ$4,0))))+SUMPRODUCT((Inputs!$C$5:$C$120=$B28)*ISNUMBER(INDEX(Inputs!$K$5:$AJ$120,0,MATCH(V$2,Inputs!$K$4:$AJ$4,0))))+SUMPRODUCT((Inputs!$E$5:$E$120=$B28)*ISNUMBER(INDEX(Inputs!$K$5:$AJ$120,0,MATCH(V$2,Inputs!$K$4:$AJ$4,0))))=0,NA(),SUMPRODUCT((Inputs!$A$5:$A$120=$B28)*Inputs!$B$5:$B$120*(((Inputs!$G$5:$G$120="moeda")+(Inputs!$G$5:$G$120="acoes"))*Inputs!$B$1+((Inputs!$G$5:$G$120&lt;&gt;"moeda")*(Inputs!$G$5:$G$120&lt;&gt;"acoes")))*INDEX(Inputs!$K$5:$AJ$120,0,MATCH(V$2,Inputs!$K$4:$AJ$4,0)))+SUMPRODUCT((Inputs!$C$5:$C$120=$B28)*Inputs!$D$5:$D$120*(((Inputs!$G$5:$G$120="moeda")+(Inputs!$G$5:$G$120="acoes"))*Inputs!$B$1+((Inputs!$G$5:$G$120&lt;&gt;"moeda")*(Inputs!$G$5:$G$120&lt;&gt;"acoes")))*INDEX(Inputs!$K$5:$AJ$120,0,MATCH(V$2,Inputs!$K$4:$AJ$4,0)))+SUMPRODUCT((Inputs!$E$5:$E$120=$B28)*Inputs!$F$5:$F$120*(((Inputs!$G$5:$G$120="moeda")+(Inputs!$G$5:$G$120="acoes"))*Inputs!$B$1+((Inputs!$G$5:$G$120&lt;&gt;"moeda")*(Inputs!$G$5:$G$120&lt;&gt;"acoes")))*INDEX(Inputs!$K$5:$AJ$120,0,MATCH(V$2,Inputs!$K$4:$AJ$4,0)))))</f>
        <v>3228.6</v>
      </c>
      <c r="W28" s="3">
        <f>V28</f>
        <v>3228.6</v>
      </c>
      <c r="X28" s="6">
        <f>IF(ISNA(MATCH(X$2,Inputs!$K$4:$AJ$4,0)),NA(),IF(SUMPRODUCT((Inputs!$A$5:$A$120=$B28)*ISNUMBER(INDEX(Inputs!$K$5:$AJ$120,0,MATCH(X$2,Inputs!$K$4:$AJ$4,0))))+SUMPRODUCT((Inputs!$C$5:$C$120=$B28)*ISNUMBER(INDEX(Inputs!$K$5:$AJ$120,0,MATCH(X$2,Inputs!$K$4:$AJ$4,0))))+SUMPRODUCT((Inputs!$E$5:$E$120=$B28)*ISNUMBER(INDEX(Inputs!$K$5:$AJ$120,0,MATCH(X$2,Inputs!$K$4:$AJ$4,0))))=0,NA(),SUMPRODUCT((Inputs!$A$5:$A$120=$B28)*Inputs!$B$5:$B$120*(((Inputs!$G$5:$G$120="moeda")+(Inputs!$G$5:$G$120="acoes"))*Inputs!$B$1+((Inputs!$G$5:$G$120&lt;&gt;"moeda")*(Inputs!$G$5:$G$120&lt;&gt;"acoes")))*INDEX(Inputs!$K$5:$AJ$120,0,MATCH(X$2,Inputs!$K$4:$AJ$4,0)))+SUMPRODUCT((Inputs!$C$5:$C$120=$B28)*Inputs!$D$5:$D$120*(((Inputs!$G$5:$G$120="moeda")+(Inputs!$G$5:$G$120="acoes"))*Inputs!$B$1+((Inputs!$G$5:$G$120&lt;&gt;"moeda")*(Inputs!$G$5:$G$120&lt;&gt;"acoes")))*INDEX(Inputs!$K$5:$AJ$120,0,MATCH(X$2,Inputs!$K$4:$AJ$4,0)))+SUMPRODUCT((Inputs!$E$5:$E$120=$B28)*Inputs!$F$5:$F$120*(((Inputs!$G$5:$G$120="moeda")+(Inputs!$G$5:$G$120="acoes"))*Inputs!$B$1+((Inputs!$G$5:$G$120&lt;&gt;"moeda")*(Inputs!$G$5:$G$120&lt;&gt;"acoes")))*INDEX(Inputs!$K$5:$AJ$120,0,MATCH(X$2,Inputs!$K$4:$AJ$4,0)))))</f>
        <v>3442</v>
      </c>
      <c r="Y28" s="6">
        <f>IF(ISNA(MATCH(Y$2,Inputs!$K$4:$AJ$4,0)),NA(),IF(SUMPRODUCT((Inputs!$A$5:$A$120=$B28)*ISNUMBER(INDEX(Inputs!$K$5:$AJ$120,0,MATCH(Y$2,Inputs!$K$4:$AJ$4,0))))+SUMPRODUCT((Inputs!$C$5:$C$120=$B28)*ISNUMBER(INDEX(Inputs!$K$5:$AJ$120,0,MATCH(Y$2,Inputs!$K$4:$AJ$4,0))))+SUMPRODUCT((Inputs!$E$5:$E$120=$B28)*ISNUMBER(INDEX(Inputs!$K$5:$AJ$120,0,MATCH(Y$2,Inputs!$K$4:$AJ$4,0))))=0,NA(),SUMPRODUCT((Inputs!$A$5:$A$120=$B28)*Inputs!$B$5:$B$120*(((Inputs!$G$5:$G$120="moeda")+(Inputs!$G$5:$G$120="acoes"))*Inputs!$B$1+((Inputs!$G$5:$G$120&lt;&gt;"moeda")*(Inputs!$G$5:$G$120&lt;&gt;"acoes")))*INDEX(Inputs!$K$5:$AJ$120,0,MATCH(Y$2,Inputs!$K$4:$AJ$4,0)))+SUMPRODUCT((Inputs!$C$5:$C$120=$B28)*Inputs!$D$5:$D$120*(((Inputs!$G$5:$G$120="moeda")+(Inputs!$G$5:$G$120="acoes"))*Inputs!$B$1+((Inputs!$G$5:$G$120&lt;&gt;"moeda")*(Inputs!$G$5:$G$120&lt;&gt;"acoes")))*INDEX(Inputs!$K$5:$AJ$120,0,MATCH(Y$2,Inputs!$K$4:$AJ$4,0)))+SUMPRODUCT((Inputs!$E$5:$E$120=$B28)*Inputs!$F$5:$F$120*(((Inputs!$G$5:$G$120="moeda")+(Inputs!$G$5:$G$120="acoes"))*Inputs!$B$1+((Inputs!$G$5:$G$120&lt;&gt;"moeda")*(Inputs!$G$5:$G$120&lt;&gt;"acoes")))*INDEX(Inputs!$K$5:$AJ$120,0,MATCH(Y$2,Inputs!$K$4:$AJ$4,0)))))</f>
        <v>4075.7</v>
      </c>
      <c r="Z28" s="6">
        <f>IF(ISNA(MATCH(Z$2,Inputs!$K$4:$AJ$4,0)),NA(),IF(SUMPRODUCT((Inputs!$A$5:$A$120=$B28)*ISNUMBER(INDEX(Inputs!$K$5:$AJ$120,0,MATCH(Z$2,Inputs!$K$4:$AJ$4,0))))+SUMPRODUCT((Inputs!$C$5:$C$120=$B28)*ISNUMBER(INDEX(Inputs!$K$5:$AJ$120,0,MATCH(Z$2,Inputs!$K$4:$AJ$4,0))))+SUMPRODUCT((Inputs!$E$5:$E$120=$B28)*ISNUMBER(INDEX(Inputs!$K$5:$AJ$120,0,MATCH(Z$2,Inputs!$K$4:$AJ$4,0))))=0,NA(),SUMPRODUCT((Inputs!$A$5:$A$120=$B28)*Inputs!$B$5:$B$120*(((Inputs!$G$5:$G$120="moeda")+(Inputs!$G$5:$G$120="acoes"))*Inputs!$B$1+((Inputs!$G$5:$G$120&lt;&gt;"moeda")*(Inputs!$G$5:$G$120&lt;&gt;"acoes")))*INDEX(Inputs!$K$5:$AJ$120,0,MATCH(Z$2,Inputs!$K$4:$AJ$4,0)))+SUMPRODUCT((Inputs!$C$5:$C$120=$B28)*Inputs!$D$5:$D$120*(((Inputs!$G$5:$G$120="moeda")+(Inputs!$G$5:$G$120="acoes"))*Inputs!$B$1+((Inputs!$G$5:$G$120&lt;&gt;"moeda")*(Inputs!$G$5:$G$120&lt;&gt;"acoes")))*INDEX(Inputs!$K$5:$AJ$120,0,MATCH(Z$2,Inputs!$K$4:$AJ$4,0)))+SUMPRODUCT((Inputs!$E$5:$E$120=$B28)*Inputs!$F$5:$F$120*(((Inputs!$G$5:$G$120="moeda")+(Inputs!$G$5:$G$120="acoes"))*Inputs!$B$1+((Inputs!$G$5:$G$120&lt;&gt;"moeda")*(Inputs!$G$5:$G$120&lt;&gt;"acoes")))*INDEX(Inputs!$K$5:$AJ$120,0,MATCH(Z$2,Inputs!$K$4:$AJ$4,0)))))</f>
        <v>4262.2</v>
      </c>
      <c r="AA28" s="6">
        <f>IF(ISNA(MATCH(AA$2,Inputs!$K$4:$AJ$4,0)),NA(),IF(SUMPRODUCT((Inputs!$A$5:$A$120=$B28)*ISNUMBER(INDEX(Inputs!$K$5:$AJ$120,0,MATCH(AA$2,Inputs!$K$4:$AJ$4,0))))+SUMPRODUCT((Inputs!$C$5:$C$120=$B28)*ISNUMBER(INDEX(Inputs!$K$5:$AJ$120,0,MATCH(AA$2,Inputs!$K$4:$AJ$4,0))))+SUMPRODUCT((Inputs!$E$5:$E$120=$B28)*ISNUMBER(INDEX(Inputs!$K$5:$AJ$120,0,MATCH(AA$2,Inputs!$K$4:$AJ$4,0))))=0,NA(),SUMPRODUCT((Inputs!$A$5:$A$120=$B28)*Inputs!$B$5:$B$120*(((Inputs!$G$5:$G$120="moeda")+(Inputs!$G$5:$G$120="acoes"))*Inputs!$B$1+((Inputs!$G$5:$G$120&lt;&gt;"moeda")*(Inputs!$G$5:$G$120&lt;&gt;"acoes")))*INDEX(Inputs!$K$5:$AJ$120,0,MATCH(AA$2,Inputs!$K$4:$AJ$4,0)))+SUMPRODUCT((Inputs!$C$5:$C$120=$B28)*Inputs!$D$5:$D$120*(((Inputs!$G$5:$G$120="moeda")+(Inputs!$G$5:$G$120="acoes"))*Inputs!$B$1+((Inputs!$G$5:$G$120&lt;&gt;"moeda")*(Inputs!$G$5:$G$120&lt;&gt;"acoes")))*INDEX(Inputs!$K$5:$AJ$120,0,MATCH(AA$2,Inputs!$K$4:$AJ$4,0)))+SUMPRODUCT((Inputs!$E$5:$E$120=$B28)*Inputs!$F$5:$F$120*(((Inputs!$G$5:$G$120="moeda")+(Inputs!$G$5:$G$120="acoes"))*Inputs!$B$1+((Inputs!$G$5:$G$120&lt;&gt;"moeda")*(Inputs!$G$5:$G$120&lt;&gt;"acoes")))*INDEX(Inputs!$K$5:$AJ$120,0,MATCH(AA$2,Inputs!$K$4:$AJ$4,0)))))</f>
        <v>5379</v>
      </c>
      <c r="AB28" s="3">
        <f>AA28</f>
        <v>5379</v>
      </c>
      <c r="AC28" s="6">
        <f>IF(ISNA(MATCH(AC$2,Inputs!$K$4:$AJ$4,0)),NA(),IF(SUMPRODUCT((Inputs!$A$5:$A$120=$B28)*ISNUMBER(INDEX(Inputs!$K$5:$AJ$120,0,MATCH(AC$2,Inputs!$K$4:$AJ$4,0))))+SUMPRODUCT((Inputs!$C$5:$C$120=$B28)*ISNUMBER(INDEX(Inputs!$K$5:$AJ$120,0,MATCH(AC$2,Inputs!$K$4:$AJ$4,0))))+SUMPRODUCT((Inputs!$E$5:$E$120=$B28)*ISNUMBER(INDEX(Inputs!$K$5:$AJ$120,0,MATCH(AC$2,Inputs!$K$4:$AJ$4,0))))=0,NA(),SUMPRODUCT((Inputs!$A$5:$A$120=$B28)*Inputs!$B$5:$B$120*(((Inputs!$G$5:$G$120="moeda")+(Inputs!$G$5:$G$120="acoes"))*Inputs!$B$1+((Inputs!$G$5:$G$120&lt;&gt;"moeda")*(Inputs!$G$5:$G$120&lt;&gt;"acoes")))*INDEX(Inputs!$K$5:$AJ$120,0,MATCH(AC$2,Inputs!$K$4:$AJ$4,0)))+SUMPRODUCT((Inputs!$C$5:$C$120=$B28)*Inputs!$D$5:$D$120*(((Inputs!$G$5:$G$120="moeda")+(Inputs!$G$5:$G$120="acoes"))*Inputs!$B$1+((Inputs!$G$5:$G$120&lt;&gt;"moeda")*(Inputs!$G$5:$G$120&lt;&gt;"acoes")))*INDEX(Inputs!$K$5:$AJ$120,0,MATCH(AC$2,Inputs!$K$4:$AJ$4,0)))+SUMPRODUCT((Inputs!$E$5:$E$120=$B28)*Inputs!$F$5:$F$120*(((Inputs!$G$5:$G$120="moeda")+(Inputs!$G$5:$G$120="acoes"))*Inputs!$B$1+((Inputs!$G$5:$G$120&lt;&gt;"moeda")*(Inputs!$G$5:$G$120&lt;&gt;"acoes")))*INDEX(Inputs!$K$5:$AJ$120,0,MATCH(AC$2,Inputs!$K$4:$AJ$4,0)))))</f>
        <v>5029</v>
      </c>
      <c r="AD28" s="6">
        <f>IF(ISNA(MATCH(AD$2,Inputs!$K$4:$AJ$4,0)),NA(),IF(SUMPRODUCT((Inputs!$A$5:$A$120=$B28)*ISNUMBER(INDEX(Inputs!$K$5:$AJ$120,0,MATCH(AD$2,Inputs!$K$4:$AJ$4,0))))+SUMPRODUCT((Inputs!$C$5:$C$120=$B28)*ISNUMBER(INDEX(Inputs!$K$5:$AJ$120,0,MATCH(AD$2,Inputs!$K$4:$AJ$4,0))))+SUMPRODUCT((Inputs!$E$5:$E$120=$B28)*ISNUMBER(INDEX(Inputs!$K$5:$AJ$120,0,MATCH(AD$2,Inputs!$K$4:$AJ$4,0))))=0,NA(),SUMPRODUCT((Inputs!$A$5:$A$120=$B28)*Inputs!$B$5:$B$120*(((Inputs!$G$5:$G$120="moeda")+(Inputs!$G$5:$G$120="acoes"))*Inputs!$B$1+((Inputs!$G$5:$G$120&lt;&gt;"moeda")*(Inputs!$G$5:$G$120&lt;&gt;"acoes")))*INDEX(Inputs!$K$5:$AJ$120,0,MATCH(AD$2,Inputs!$K$4:$AJ$4,0)))+SUMPRODUCT((Inputs!$C$5:$C$120=$B28)*Inputs!$D$5:$D$120*(((Inputs!$G$5:$G$120="moeda")+(Inputs!$G$5:$G$120="acoes"))*Inputs!$B$1+((Inputs!$G$5:$G$120&lt;&gt;"moeda")*(Inputs!$G$5:$G$120&lt;&gt;"acoes")))*INDEX(Inputs!$K$5:$AJ$120,0,MATCH(AD$2,Inputs!$K$4:$AJ$4,0)))+SUMPRODUCT((Inputs!$E$5:$E$120=$B28)*Inputs!$F$5:$F$120*(((Inputs!$G$5:$G$120="moeda")+(Inputs!$G$5:$G$120="acoes"))*Inputs!$B$1+((Inputs!$G$5:$G$120&lt;&gt;"moeda")*(Inputs!$G$5:$G$120&lt;&gt;"acoes")))*INDEX(Inputs!$K$5:$AJ$120,0,MATCH(AD$2,Inputs!$K$4:$AJ$4,0)))))</f>
        <v>6112</v>
      </c>
      <c r="AE28" s="6" t="e">
        <f>IF(ISNA(MATCH(AE$2,Inputs!$K$4:$AJ$4,0)),NA(),IF(SUMPRODUCT((Inputs!$A$5:$A$120=$B28)*ISNUMBER(INDEX(Inputs!$K$5:$AJ$120,0,MATCH(AE$2,Inputs!$K$4:$AJ$4,0))))+SUMPRODUCT((Inputs!$C$5:$C$120=$B28)*ISNUMBER(INDEX(Inputs!$K$5:$AJ$120,0,MATCH(AE$2,Inputs!$K$4:$AJ$4,0))))+SUMPRODUCT((Inputs!$E$5:$E$120=$B28)*ISNUMBER(INDEX(Inputs!$K$5:$AJ$120,0,MATCH(AE$2,Inputs!$K$4:$AJ$4,0))))=0,NA(),SUMPRODUCT((Inputs!$A$5:$A$120=$B28)*Inputs!$B$5:$B$120*(((Inputs!$G$5:$G$120="moeda")+(Inputs!$G$5:$G$120="acoes"))*Inputs!$B$1+((Inputs!$G$5:$G$120&lt;&gt;"moeda")*(Inputs!$G$5:$G$120&lt;&gt;"acoes")))*INDEX(Inputs!$K$5:$AJ$120,0,MATCH(AE$2,Inputs!$K$4:$AJ$4,0)))+SUMPRODUCT((Inputs!$C$5:$C$120=$B28)*Inputs!$D$5:$D$120*(((Inputs!$G$5:$G$120="moeda")+(Inputs!$G$5:$G$120="acoes"))*Inputs!$B$1+((Inputs!$G$5:$G$120&lt;&gt;"moeda")*(Inputs!$G$5:$G$120&lt;&gt;"acoes")))*INDEX(Inputs!$K$5:$AJ$120,0,MATCH(AE$2,Inputs!$K$4:$AJ$4,0)))+SUMPRODUCT((Inputs!$E$5:$E$120=$B28)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8" s="6" t="e">
        <f>IF(ISNA(MATCH(AF$2,Inputs!$K$4:$AJ$4,0)),NA(),IF(SUMPRODUCT((Inputs!$A$5:$A$120=$B28)*ISNUMBER(INDEX(Inputs!$K$5:$AJ$120,0,MATCH(AF$2,Inputs!$K$4:$AJ$4,0))))+SUMPRODUCT((Inputs!$C$5:$C$120=$B28)*ISNUMBER(INDEX(Inputs!$K$5:$AJ$120,0,MATCH(AF$2,Inputs!$K$4:$AJ$4,0))))+SUMPRODUCT((Inputs!$E$5:$E$120=$B28)*ISNUMBER(INDEX(Inputs!$K$5:$AJ$120,0,MATCH(AF$2,Inputs!$K$4:$AJ$4,0))))=0,NA(),SUMPRODUCT((Inputs!$A$5:$A$120=$B28)*Inputs!$B$5:$B$120*(((Inputs!$G$5:$G$120="moeda")+(Inputs!$G$5:$G$120="acoes"))*Inputs!$B$1+((Inputs!$G$5:$G$120&lt;&gt;"moeda")*(Inputs!$G$5:$G$120&lt;&gt;"acoes")))*INDEX(Inputs!$K$5:$AJ$120,0,MATCH(AF$2,Inputs!$K$4:$AJ$4,0)))+SUMPRODUCT((Inputs!$C$5:$C$120=$B28)*Inputs!$D$5:$D$120*(((Inputs!$G$5:$G$120="moeda")+(Inputs!$G$5:$G$120="acoes"))*Inputs!$B$1+((Inputs!$G$5:$G$120&lt;&gt;"moeda")*(Inputs!$G$5:$G$120&lt;&gt;"acoes")))*INDEX(Inputs!$K$5:$AJ$120,0,MATCH(AF$2,Inputs!$K$4:$AJ$4,0)))+SUMPRODUCT((Inputs!$E$5:$E$120=$B28)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8" s="3" t="e">
        <f>AF28</f>
        <v>#N/A</v>
      </c>
      <c r="AH28" s="6">
        <f>IF(ISNA(MATCH(AH$2,Inputs!$K$4:$AJ$4,0)),NA(),IF(SUMPRODUCT((Inputs!$A$5:$A$120=$B28)*ISNUMBER(INDEX(Inputs!$K$5:$AJ$120,0,MATCH(AH$2,Inputs!$K$4:$AJ$4,0))))+SUMPRODUCT((Inputs!$C$5:$C$120=$B28)*ISNUMBER(INDEX(Inputs!$K$5:$AJ$120,0,MATCH(AH$2,Inputs!$K$4:$AJ$4,0))))+SUMPRODUCT((Inputs!$E$5:$E$120=$B28)*ISNUMBER(INDEX(Inputs!$K$5:$AJ$120,0,MATCH(AH$2,Inputs!$K$4:$AJ$4,0))))=0,NA(),SUMPRODUCT((Inputs!$A$5:$A$120=$B28)*Inputs!$B$5:$B$120*(((Inputs!$G$5:$G$120="moeda")+(Inputs!$G$5:$G$120="acoes"))*Inputs!$B$1+((Inputs!$G$5:$G$120&lt;&gt;"moeda")*(Inputs!$G$5:$G$120&lt;&gt;"acoes")))*INDEX(Inputs!$K$5:$AJ$120,0,MATCH(AH$2,Inputs!$K$4:$AJ$4,0)))+SUMPRODUCT((Inputs!$C$5:$C$120=$B28)*Inputs!$D$5:$D$120*(((Inputs!$G$5:$G$120="moeda")+(Inputs!$G$5:$G$120="acoes"))*Inputs!$B$1+((Inputs!$G$5:$G$120&lt;&gt;"moeda")*(Inputs!$G$5:$G$120&lt;&gt;"acoes")))*INDEX(Inputs!$K$5:$AJ$120,0,MATCH(AH$2,Inputs!$K$4:$AJ$4,0)))+SUMPRODUCT((Inputs!$E$5:$E$120=$B28)*Inputs!$F$5:$F$120*(((Inputs!$G$5:$G$120="moeda")+(Inputs!$G$5:$G$120="acoes"))*Inputs!$B$1+((Inputs!$G$5:$G$120&lt;&gt;"moeda")*(Inputs!$G$5:$G$120&lt;&gt;"acoes")))*INDEX(Inputs!$K$5:$AJ$120,0,MATCH(AH$2,Inputs!$K$4:$AJ$4,0)))))</f>
        <v>1207.7</v>
      </c>
      <c r="AI28" s="6">
        <f>IF(ISNA(MATCH(AI$2,Inputs!$K$4:$AJ$4,0)),NA(),IF(SUMPRODUCT((Inputs!$A$5:$A$120=$B28)*ISNUMBER(INDEX(Inputs!$K$5:$AJ$120,0,MATCH(AI$2,Inputs!$K$4:$AJ$4,0))))+SUMPRODUCT((Inputs!$C$5:$C$120=$B28)*ISNUMBER(INDEX(Inputs!$K$5:$AJ$120,0,MATCH(AI$2,Inputs!$K$4:$AJ$4,0))))+SUMPRODUCT((Inputs!$E$5:$E$120=$B28)*ISNUMBER(INDEX(Inputs!$K$5:$AJ$120,0,MATCH(AI$2,Inputs!$K$4:$AJ$4,0))))=0,NA(),SUMPRODUCT((Inputs!$A$5:$A$120=$B28)*Inputs!$B$5:$B$120*(((Inputs!$G$5:$G$120="moeda")+(Inputs!$G$5:$G$120="acoes"))*Inputs!$B$1+((Inputs!$G$5:$G$120&lt;&gt;"moeda")*(Inputs!$G$5:$G$120&lt;&gt;"acoes")))*INDEX(Inputs!$K$5:$AJ$120,0,MATCH(AI$2,Inputs!$K$4:$AJ$4,0)))+SUMPRODUCT((Inputs!$C$5:$C$120=$B28)*Inputs!$D$5:$D$120*(((Inputs!$G$5:$G$120="moeda")+(Inputs!$G$5:$G$120="acoes"))*Inputs!$B$1+((Inputs!$G$5:$G$120&lt;&gt;"moeda")*(Inputs!$G$5:$G$120&lt;&gt;"acoes")))*INDEX(Inputs!$K$5:$AJ$120,0,MATCH(AI$2,Inputs!$K$4:$AJ$4,0)))+SUMPRODUCT((Inputs!$E$5:$E$120=$B28)*Inputs!$F$5:$F$120*(((Inputs!$G$5:$G$120="moeda")+(Inputs!$G$5:$G$120="acoes"))*Inputs!$B$1+((Inputs!$G$5:$G$120&lt;&gt;"moeda")*(Inputs!$G$5:$G$120&lt;&gt;"acoes")))*INDEX(Inputs!$K$5:$AJ$120,0,MATCH(AI$2,Inputs!$K$4:$AJ$4,0)))))</f>
        <v>1247.2</v>
      </c>
      <c r="AJ28" s="6">
        <f>IF(ISNA(MATCH(AJ$2,Inputs!$K$4:$AJ$4,0)),NA(),IF(SUMPRODUCT((Inputs!$A$5:$A$120=$B28)*ISNUMBER(INDEX(Inputs!$K$5:$AJ$120,0,MATCH(AJ$2,Inputs!$K$4:$AJ$4,0))))+SUMPRODUCT((Inputs!$C$5:$C$120=$B28)*ISNUMBER(INDEX(Inputs!$K$5:$AJ$120,0,MATCH(AJ$2,Inputs!$K$4:$AJ$4,0))))+SUMPRODUCT((Inputs!$E$5:$E$120=$B28)*ISNUMBER(INDEX(Inputs!$K$5:$AJ$120,0,MATCH(AJ$2,Inputs!$K$4:$AJ$4,0))))=0,NA(),SUMPRODUCT((Inputs!$A$5:$A$120=$B28)*Inputs!$B$5:$B$120*(((Inputs!$G$5:$G$120="moeda")+(Inputs!$G$5:$G$120="acoes"))*Inputs!$B$1+((Inputs!$G$5:$G$120&lt;&gt;"moeda")*(Inputs!$G$5:$G$120&lt;&gt;"acoes")))*INDEX(Inputs!$K$5:$AJ$120,0,MATCH(AJ$2,Inputs!$K$4:$AJ$4,0)))+SUMPRODUCT((Inputs!$C$5:$C$120=$B28)*Inputs!$D$5:$D$120*(((Inputs!$G$5:$G$120="moeda")+(Inputs!$G$5:$G$120="acoes"))*Inputs!$B$1+((Inputs!$G$5:$G$120&lt;&gt;"moeda")*(Inputs!$G$5:$G$120&lt;&gt;"acoes")))*INDEX(Inputs!$K$5:$AJ$120,0,MATCH(AJ$2,Inputs!$K$4:$AJ$4,0)))+SUMPRODUCT((Inputs!$E$5:$E$120=$B28)*Inputs!$F$5:$F$120*(((Inputs!$G$5:$G$120="moeda")+(Inputs!$G$5:$G$120="acoes"))*Inputs!$B$1+((Inputs!$G$5:$G$120&lt;&gt;"moeda")*(Inputs!$G$5:$G$120&lt;&gt;"acoes")))*INDEX(Inputs!$K$5:$AJ$120,0,MATCH(AJ$2,Inputs!$K$4:$AJ$4,0)))))</f>
        <v>1430.1</v>
      </c>
      <c r="AK28" s="6">
        <f>IF(ISNA(MATCH(AK$2,Inputs!$K$4:$AJ$4,0)),NA(),IF(SUMPRODUCT((Inputs!$A$5:$A$120=$B28)*ISNUMBER(INDEX(Inputs!$K$5:$AJ$120,0,MATCH(AK$2,Inputs!$K$4:$AJ$4,0))))+SUMPRODUCT((Inputs!$C$5:$C$120=$B28)*ISNUMBER(INDEX(Inputs!$K$5:$AJ$120,0,MATCH(AK$2,Inputs!$K$4:$AJ$4,0))))+SUMPRODUCT((Inputs!$E$5:$E$120=$B28)*ISNUMBER(INDEX(Inputs!$K$5:$AJ$120,0,MATCH(AK$2,Inputs!$K$4:$AJ$4,0))))=0,NA(),SUMPRODUCT((Inputs!$A$5:$A$120=$B28)*Inputs!$B$5:$B$120*(((Inputs!$G$5:$G$120="moeda")+(Inputs!$G$5:$G$120="acoes"))*Inputs!$B$1+((Inputs!$G$5:$G$120&lt;&gt;"moeda")*(Inputs!$G$5:$G$120&lt;&gt;"acoes")))*INDEX(Inputs!$K$5:$AJ$120,0,MATCH(AK$2,Inputs!$K$4:$AJ$4,0)))+SUMPRODUCT((Inputs!$C$5:$C$120=$B28)*Inputs!$D$5:$D$120*(((Inputs!$G$5:$G$120="moeda")+(Inputs!$G$5:$G$120="acoes"))*Inputs!$B$1+((Inputs!$G$5:$G$120&lt;&gt;"moeda")*(Inputs!$G$5:$G$120&lt;&gt;"acoes")))*INDEX(Inputs!$K$5:$AJ$120,0,MATCH(AK$2,Inputs!$K$4:$AJ$4,0)))+SUMPRODUCT((Inputs!$E$5:$E$120=$B28)*Inputs!$F$5:$F$120*(((Inputs!$G$5:$G$120="moeda")+(Inputs!$G$5:$G$120="acoes"))*Inputs!$B$1+((Inputs!$G$5:$G$120&lt;&gt;"moeda")*(Inputs!$G$5:$G$120&lt;&gt;"acoes")))*INDEX(Inputs!$K$5:$AJ$120,0,MATCH(AK$2,Inputs!$K$4:$AJ$4,0)))))</f>
        <v>1606.7</v>
      </c>
      <c r="AL28" s="3">
        <f>AK28</f>
        <v>1606.7</v>
      </c>
    </row>
    <row r="29">
      <c r="B29" s="46" t="n">
        <v>24</v>
      </c>
      <c r="C29" s="26" t="inlineStr">
        <is>
          <t>Accrued expenses</t>
        </is>
      </c>
      <c r="D29" s="6">
        <f>IF(ISNA(MATCH(D$2,Inputs!$K$4:$AJ$4,0)),NA(),IF(SUMPRODUCT((Inputs!$A$5:$A$120=$B29)*ISNUMBER(INDEX(Inputs!$K$5:$AJ$120,0,MATCH(D$2,Inputs!$K$4:$AJ$4,0))))+SUMPRODUCT((Inputs!$C$5:$C$120=$B29)*ISNUMBER(INDEX(Inputs!$K$5:$AJ$120,0,MATCH(D$2,Inputs!$K$4:$AJ$4,0))))+SUMPRODUCT((Inputs!$E$5:$E$120=$B29)*ISNUMBER(INDEX(Inputs!$K$5:$AJ$120,0,MATCH(D$2,Inputs!$K$4:$AJ$4,0))))=0,NA(),SUMPRODUCT((Inputs!$A$5:$A$120=$B29)*Inputs!$B$5:$B$120*(((Inputs!$G$5:$G$120="moeda")+(Inputs!$G$5:$G$120="acoes"))*Inputs!$B$1+((Inputs!$G$5:$G$120&lt;&gt;"moeda")*(Inputs!$G$5:$G$120&lt;&gt;"acoes")))*INDEX(Inputs!$K$5:$AJ$120,0,MATCH(D$2,Inputs!$K$4:$AJ$4,0)))+SUMPRODUCT((Inputs!$C$5:$C$120=$B29)*Inputs!$D$5:$D$120*(((Inputs!$G$5:$G$120="moeda")+(Inputs!$G$5:$G$120="acoes"))*Inputs!$B$1+((Inputs!$G$5:$G$120&lt;&gt;"moeda")*(Inputs!$G$5:$G$120&lt;&gt;"acoes")))*INDEX(Inputs!$K$5:$AJ$120,0,MATCH(D$2,Inputs!$K$4:$AJ$4,0)))+SUMPRODUCT((Inputs!$E$5:$E$120=$B29)*Inputs!$F$5:$F$120*(((Inputs!$G$5:$G$120="moeda")+(Inputs!$G$5:$G$120="acoes"))*Inputs!$B$1+((Inputs!$G$5:$G$120&lt;&gt;"moeda")*(Inputs!$G$5:$G$120&lt;&gt;"acoes")))*INDEX(Inputs!$K$5:$AJ$120,0,MATCH(D$2,Inputs!$K$4:$AJ$4,0)))))</f>
        <v>649.9</v>
      </c>
      <c r="E29" s="6">
        <f>IF(ISNA(MATCH(E$2,Inputs!$K$4:$AJ$4,0)),NA(),IF(SUMPRODUCT((Inputs!$A$5:$A$120=$B29)*ISNUMBER(INDEX(Inputs!$K$5:$AJ$120,0,MATCH(E$2,Inputs!$K$4:$AJ$4,0))))+SUMPRODUCT((Inputs!$C$5:$C$120=$B29)*ISNUMBER(INDEX(Inputs!$K$5:$AJ$120,0,MATCH(E$2,Inputs!$K$4:$AJ$4,0))))+SUMPRODUCT((Inputs!$E$5:$E$120=$B29)*ISNUMBER(INDEX(Inputs!$K$5:$AJ$120,0,MATCH(E$2,Inputs!$K$4:$AJ$4,0))))=0,NA(),SUMPRODUCT((Inputs!$A$5:$A$120=$B29)*Inputs!$B$5:$B$120*(((Inputs!$G$5:$G$120="moeda")+(Inputs!$G$5:$G$120="acoes"))*Inputs!$B$1+((Inputs!$G$5:$G$120&lt;&gt;"moeda")*(Inputs!$G$5:$G$120&lt;&gt;"acoes")))*INDEX(Inputs!$K$5:$AJ$120,0,MATCH(E$2,Inputs!$K$4:$AJ$4,0)))+SUMPRODUCT((Inputs!$C$5:$C$120=$B29)*Inputs!$D$5:$D$120*(((Inputs!$G$5:$G$120="moeda")+(Inputs!$G$5:$G$120="acoes"))*Inputs!$B$1+((Inputs!$G$5:$G$120&lt;&gt;"moeda")*(Inputs!$G$5:$G$120&lt;&gt;"acoes")))*INDEX(Inputs!$K$5:$AJ$120,0,MATCH(E$2,Inputs!$K$4:$AJ$4,0)))+SUMPRODUCT((Inputs!$E$5:$E$120=$B29)*Inputs!$F$5:$F$120*(((Inputs!$G$5:$G$120="moeda")+(Inputs!$G$5:$G$120="acoes"))*Inputs!$B$1+((Inputs!$G$5:$G$120&lt;&gt;"moeda")*(Inputs!$G$5:$G$120&lt;&gt;"acoes")))*INDEX(Inputs!$K$5:$AJ$120,0,MATCH(E$2,Inputs!$K$4:$AJ$4,0)))))</f>
        <v>755.5</v>
      </c>
      <c r="F29" s="6">
        <f>IF(ISNA(MATCH(F$2,Inputs!$K$4:$AJ$4,0)),NA(),IF(SUMPRODUCT((Inputs!$A$5:$A$120=$B29)*ISNUMBER(INDEX(Inputs!$K$5:$AJ$120,0,MATCH(F$2,Inputs!$K$4:$AJ$4,0))))+SUMPRODUCT((Inputs!$C$5:$C$120=$B29)*ISNUMBER(INDEX(Inputs!$K$5:$AJ$120,0,MATCH(F$2,Inputs!$K$4:$AJ$4,0))))+SUMPRODUCT((Inputs!$E$5:$E$120=$B29)*ISNUMBER(INDEX(Inputs!$K$5:$AJ$120,0,MATCH(F$2,Inputs!$K$4:$AJ$4,0))))=0,NA(),SUMPRODUCT((Inputs!$A$5:$A$120=$B29)*Inputs!$B$5:$B$120*(((Inputs!$G$5:$G$120="moeda")+(Inputs!$G$5:$G$120="acoes"))*Inputs!$B$1+((Inputs!$G$5:$G$120&lt;&gt;"moeda")*(Inputs!$G$5:$G$120&lt;&gt;"acoes")))*INDEX(Inputs!$K$5:$AJ$120,0,MATCH(F$2,Inputs!$K$4:$AJ$4,0)))+SUMPRODUCT((Inputs!$C$5:$C$120=$B29)*Inputs!$D$5:$D$120*(((Inputs!$G$5:$G$120="moeda")+(Inputs!$G$5:$G$120="acoes"))*Inputs!$B$1+((Inputs!$G$5:$G$120&lt;&gt;"moeda")*(Inputs!$G$5:$G$120&lt;&gt;"acoes")))*INDEX(Inputs!$K$5:$AJ$120,0,MATCH(F$2,Inputs!$K$4:$AJ$4,0)))+SUMPRODUCT((Inputs!$E$5:$E$120=$B29)*Inputs!$F$5:$F$120*(((Inputs!$G$5:$G$120="moeda")+(Inputs!$G$5:$G$120="acoes"))*Inputs!$B$1+((Inputs!$G$5:$G$120&lt;&gt;"moeda")*(Inputs!$G$5:$G$120&lt;&gt;"acoes")))*INDEX(Inputs!$K$5:$AJ$120,0,MATCH(F$2,Inputs!$K$4:$AJ$4,0)))))</f>
        <v>836.6</v>
      </c>
      <c r="G29" s="6">
        <f>IF(ISNA(MATCH(G$2,Inputs!$K$4:$AJ$4,0)),NA(),IF(SUMPRODUCT((Inputs!$A$5:$A$120=$B29)*ISNUMBER(INDEX(Inputs!$K$5:$AJ$120,0,MATCH(G$2,Inputs!$K$4:$AJ$4,0))))+SUMPRODUCT((Inputs!$C$5:$C$120=$B29)*ISNUMBER(INDEX(Inputs!$K$5:$AJ$120,0,MATCH(G$2,Inputs!$K$4:$AJ$4,0))))+SUMPRODUCT((Inputs!$E$5:$E$120=$B29)*ISNUMBER(INDEX(Inputs!$K$5:$AJ$120,0,MATCH(G$2,Inputs!$K$4:$AJ$4,0))))=0,NA(),SUMPRODUCT((Inputs!$A$5:$A$120=$B29)*Inputs!$B$5:$B$120*(((Inputs!$G$5:$G$120="moeda")+(Inputs!$G$5:$G$120="acoes"))*Inputs!$B$1+((Inputs!$G$5:$G$120&lt;&gt;"moeda")*(Inputs!$G$5:$G$120&lt;&gt;"acoes")))*INDEX(Inputs!$K$5:$AJ$120,0,MATCH(G$2,Inputs!$K$4:$AJ$4,0)))+SUMPRODUCT((Inputs!$C$5:$C$120=$B29)*Inputs!$D$5:$D$120*(((Inputs!$G$5:$G$120="moeda")+(Inputs!$G$5:$G$120="acoes"))*Inputs!$B$1+((Inputs!$G$5:$G$120&lt;&gt;"moeda")*(Inputs!$G$5:$G$120&lt;&gt;"acoes")))*INDEX(Inputs!$K$5:$AJ$120,0,MATCH(G$2,Inputs!$K$4:$AJ$4,0)))+SUMPRODUCT((Inputs!$E$5:$E$120=$B29)*Inputs!$F$5:$F$120*(((Inputs!$G$5:$G$120="moeda")+(Inputs!$G$5:$G$120="acoes"))*Inputs!$B$1+((Inputs!$G$5:$G$120&lt;&gt;"moeda")*(Inputs!$G$5:$G$120&lt;&gt;"acoes")))*INDEX(Inputs!$K$5:$AJ$120,0,MATCH(G$2,Inputs!$K$4:$AJ$4,0)))))</f>
        <v>958.1</v>
      </c>
      <c r="H29" s="3">
        <f>G29</f>
        <v>958.1</v>
      </c>
      <c r="I29" s="6">
        <f>IF(ISNA(MATCH(I$2,Inputs!$K$4:$AJ$4,0)),NA(),IF(SUMPRODUCT((Inputs!$A$5:$A$120=$B29)*ISNUMBER(INDEX(Inputs!$K$5:$AJ$120,0,MATCH(I$2,Inputs!$K$4:$AJ$4,0))))+SUMPRODUCT((Inputs!$C$5:$C$120=$B29)*ISNUMBER(INDEX(Inputs!$K$5:$AJ$120,0,MATCH(I$2,Inputs!$K$4:$AJ$4,0))))+SUMPRODUCT((Inputs!$E$5:$E$120=$B29)*ISNUMBER(INDEX(Inputs!$K$5:$AJ$120,0,MATCH(I$2,Inputs!$K$4:$AJ$4,0))))=0,NA(),SUMPRODUCT((Inputs!$A$5:$A$120=$B29)*Inputs!$B$5:$B$120*(((Inputs!$G$5:$G$120="moeda")+(Inputs!$G$5:$G$120="acoes"))*Inputs!$B$1+((Inputs!$G$5:$G$120&lt;&gt;"moeda")*(Inputs!$G$5:$G$120&lt;&gt;"acoes")))*INDEX(Inputs!$K$5:$AJ$120,0,MATCH(I$2,Inputs!$K$4:$AJ$4,0)))+SUMPRODUCT((Inputs!$C$5:$C$120=$B29)*Inputs!$D$5:$D$120*(((Inputs!$G$5:$G$120="moeda")+(Inputs!$G$5:$G$120="acoes"))*Inputs!$B$1+((Inputs!$G$5:$G$120&lt;&gt;"moeda")*(Inputs!$G$5:$G$120&lt;&gt;"acoes")))*INDEX(Inputs!$K$5:$AJ$120,0,MATCH(I$2,Inputs!$K$4:$AJ$4,0)))+SUMPRODUCT((Inputs!$E$5:$E$120=$B29)*Inputs!$F$5:$F$120*(((Inputs!$G$5:$G$120="moeda")+(Inputs!$G$5:$G$120="acoes"))*Inputs!$B$1+((Inputs!$G$5:$G$120&lt;&gt;"moeda")*(Inputs!$G$5:$G$120&lt;&gt;"acoes")))*INDEX(Inputs!$K$5:$AJ$120,0,MATCH(I$2,Inputs!$K$4:$AJ$4,0)))))</f>
        <v>693.1</v>
      </c>
      <c r="J29" s="6">
        <f>IF(ISNA(MATCH(J$2,Inputs!$K$4:$AJ$4,0)),NA(),IF(SUMPRODUCT((Inputs!$A$5:$A$120=$B29)*ISNUMBER(INDEX(Inputs!$K$5:$AJ$120,0,MATCH(J$2,Inputs!$K$4:$AJ$4,0))))+SUMPRODUCT((Inputs!$C$5:$C$120=$B29)*ISNUMBER(INDEX(Inputs!$K$5:$AJ$120,0,MATCH(J$2,Inputs!$K$4:$AJ$4,0))))+SUMPRODUCT((Inputs!$E$5:$E$120=$B29)*ISNUMBER(INDEX(Inputs!$K$5:$AJ$120,0,MATCH(J$2,Inputs!$K$4:$AJ$4,0))))=0,NA(),SUMPRODUCT((Inputs!$A$5:$A$120=$B29)*Inputs!$B$5:$B$120*(((Inputs!$G$5:$G$120="moeda")+(Inputs!$G$5:$G$120="acoes"))*Inputs!$B$1+((Inputs!$G$5:$G$120&lt;&gt;"moeda")*(Inputs!$G$5:$G$120&lt;&gt;"acoes")))*INDEX(Inputs!$K$5:$AJ$120,0,MATCH(J$2,Inputs!$K$4:$AJ$4,0)))+SUMPRODUCT((Inputs!$C$5:$C$120=$B29)*Inputs!$D$5:$D$120*(((Inputs!$G$5:$G$120="moeda")+(Inputs!$G$5:$G$120="acoes"))*Inputs!$B$1+((Inputs!$G$5:$G$120&lt;&gt;"moeda")*(Inputs!$G$5:$G$120&lt;&gt;"acoes")))*INDEX(Inputs!$K$5:$AJ$120,0,MATCH(J$2,Inputs!$K$4:$AJ$4,0)))+SUMPRODUCT((Inputs!$E$5:$E$120=$B29)*Inputs!$F$5:$F$120*(((Inputs!$G$5:$G$120="moeda")+(Inputs!$G$5:$G$120="acoes"))*Inputs!$B$1+((Inputs!$G$5:$G$120&lt;&gt;"moeda")*(Inputs!$G$5:$G$120&lt;&gt;"acoes")))*INDEX(Inputs!$K$5:$AJ$120,0,MATCH(J$2,Inputs!$K$4:$AJ$4,0)))))</f>
        <v>835.8</v>
      </c>
      <c r="K29" s="6">
        <f>IF(ISNA(MATCH(K$2,Inputs!$K$4:$AJ$4,0)),NA(),IF(SUMPRODUCT((Inputs!$A$5:$A$120=$B29)*ISNUMBER(INDEX(Inputs!$K$5:$AJ$120,0,MATCH(K$2,Inputs!$K$4:$AJ$4,0))))+SUMPRODUCT((Inputs!$C$5:$C$120=$B29)*ISNUMBER(INDEX(Inputs!$K$5:$AJ$120,0,MATCH(K$2,Inputs!$K$4:$AJ$4,0))))+SUMPRODUCT((Inputs!$E$5:$E$120=$B29)*ISNUMBER(INDEX(Inputs!$K$5:$AJ$120,0,MATCH(K$2,Inputs!$K$4:$AJ$4,0))))=0,NA(),SUMPRODUCT((Inputs!$A$5:$A$120=$B29)*Inputs!$B$5:$B$120*(((Inputs!$G$5:$G$120="moeda")+(Inputs!$G$5:$G$120="acoes"))*Inputs!$B$1+((Inputs!$G$5:$G$120&lt;&gt;"moeda")*(Inputs!$G$5:$G$120&lt;&gt;"acoes")))*INDEX(Inputs!$K$5:$AJ$120,0,MATCH(K$2,Inputs!$K$4:$AJ$4,0)))+SUMPRODUCT((Inputs!$C$5:$C$120=$B29)*Inputs!$D$5:$D$120*(((Inputs!$G$5:$G$120="moeda")+(Inputs!$G$5:$G$120="acoes"))*Inputs!$B$1+((Inputs!$G$5:$G$120&lt;&gt;"moeda")*(Inputs!$G$5:$G$120&lt;&gt;"acoes")))*INDEX(Inputs!$K$5:$AJ$120,0,MATCH(K$2,Inputs!$K$4:$AJ$4,0)))+SUMPRODUCT((Inputs!$E$5:$E$120=$B29)*Inputs!$F$5:$F$120*(((Inputs!$G$5:$G$120="moeda")+(Inputs!$G$5:$G$120="acoes"))*Inputs!$B$1+((Inputs!$G$5:$G$120&lt;&gt;"moeda")*(Inputs!$G$5:$G$120&lt;&gt;"acoes")))*INDEX(Inputs!$K$5:$AJ$120,0,MATCH(K$2,Inputs!$K$4:$AJ$4,0)))))</f>
        <v>984.1</v>
      </c>
      <c r="L29" s="6">
        <f>IF(ISNA(MATCH(L$2,Inputs!$K$4:$AJ$4,0)),NA(),IF(SUMPRODUCT((Inputs!$A$5:$A$120=$B29)*ISNUMBER(INDEX(Inputs!$K$5:$AJ$120,0,MATCH(L$2,Inputs!$K$4:$AJ$4,0))))+SUMPRODUCT((Inputs!$C$5:$C$120=$B29)*ISNUMBER(INDEX(Inputs!$K$5:$AJ$120,0,MATCH(L$2,Inputs!$K$4:$AJ$4,0))))+SUMPRODUCT((Inputs!$E$5:$E$120=$B29)*ISNUMBER(INDEX(Inputs!$K$5:$AJ$120,0,MATCH(L$2,Inputs!$K$4:$AJ$4,0))))=0,NA(),SUMPRODUCT((Inputs!$A$5:$A$120=$B29)*Inputs!$B$5:$B$120*(((Inputs!$G$5:$G$120="moeda")+(Inputs!$G$5:$G$120="acoes"))*Inputs!$B$1+((Inputs!$G$5:$G$120&lt;&gt;"moeda")*(Inputs!$G$5:$G$120&lt;&gt;"acoes")))*INDEX(Inputs!$K$5:$AJ$120,0,MATCH(L$2,Inputs!$K$4:$AJ$4,0)))+SUMPRODUCT((Inputs!$C$5:$C$120=$B29)*Inputs!$D$5:$D$120*(((Inputs!$G$5:$G$120="moeda")+(Inputs!$G$5:$G$120="acoes"))*Inputs!$B$1+((Inputs!$G$5:$G$120&lt;&gt;"moeda")*(Inputs!$G$5:$G$120&lt;&gt;"acoes")))*INDEX(Inputs!$K$5:$AJ$120,0,MATCH(L$2,Inputs!$K$4:$AJ$4,0)))+SUMPRODUCT((Inputs!$E$5:$E$120=$B29)*Inputs!$F$5:$F$120*(((Inputs!$G$5:$G$120="moeda")+(Inputs!$G$5:$G$120="acoes"))*Inputs!$B$1+((Inputs!$G$5:$G$120&lt;&gt;"moeda")*(Inputs!$G$5:$G$120&lt;&gt;"acoes")))*INDEX(Inputs!$K$5:$AJ$120,0,MATCH(L$2,Inputs!$K$4:$AJ$4,0)))))</f>
        <v>1059.8</v>
      </c>
      <c r="M29" s="3">
        <f>L29</f>
        <v>1059.8</v>
      </c>
      <c r="N29" s="6">
        <f>IF(ISNA(MATCH(N$2,Inputs!$K$4:$AJ$4,0)),NA(),IF(SUMPRODUCT((Inputs!$A$5:$A$120=$B29)*ISNUMBER(INDEX(Inputs!$K$5:$AJ$120,0,MATCH(N$2,Inputs!$K$4:$AJ$4,0))))+SUMPRODUCT((Inputs!$C$5:$C$120=$B29)*ISNUMBER(INDEX(Inputs!$K$5:$AJ$120,0,MATCH(N$2,Inputs!$K$4:$AJ$4,0))))+SUMPRODUCT((Inputs!$E$5:$E$120=$B29)*ISNUMBER(INDEX(Inputs!$K$5:$AJ$120,0,MATCH(N$2,Inputs!$K$4:$AJ$4,0))))=0,NA(),SUMPRODUCT((Inputs!$A$5:$A$120=$B29)*Inputs!$B$5:$B$120*(((Inputs!$G$5:$G$120="moeda")+(Inputs!$G$5:$G$120="acoes"))*Inputs!$B$1+((Inputs!$G$5:$G$120&lt;&gt;"moeda")*(Inputs!$G$5:$G$120&lt;&gt;"acoes")))*INDEX(Inputs!$K$5:$AJ$120,0,MATCH(N$2,Inputs!$K$4:$AJ$4,0)))+SUMPRODUCT((Inputs!$C$5:$C$120=$B29)*Inputs!$D$5:$D$120*(((Inputs!$G$5:$G$120="moeda")+(Inputs!$G$5:$G$120="acoes"))*Inputs!$B$1+((Inputs!$G$5:$G$120&lt;&gt;"moeda")*(Inputs!$G$5:$G$120&lt;&gt;"acoes")))*INDEX(Inputs!$K$5:$AJ$120,0,MATCH(N$2,Inputs!$K$4:$AJ$4,0)))+SUMPRODUCT((Inputs!$E$5:$E$120=$B29)*Inputs!$F$5:$F$120*(((Inputs!$G$5:$G$120="moeda")+(Inputs!$G$5:$G$120="acoes"))*Inputs!$B$1+((Inputs!$G$5:$G$120&lt;&gt;"moeda")*(Inputs!$G$5:$G$120&lt;&gt;"acoes")))*INDEX(Inputs!$K$5:$AJ$120,0,MATCH(N$2,Inputs!$K$4:$AJ$4,0)))))</f>
        <v>739.7</v>
      </c>
      <c r="O29" s="6">
        <f>IF(ISNA(MATCH(O$2,Inputs!$K$4:$AJ$4,0)),NA(),IF(SUMPRODUCT((Inputs!$A$5:$A$120=$B29)*ISNUMBER(INDEX(Inputs!$K$5:$AJ$120,0,MATCH(O$2,Inputs!$K$4:$AJ$4,0))))+SUMPRODUCT((Inputs!$C$5:$C$120=$B29)*ISNUMBER(INDEX(Inputs!$K$5:$AJ$120,0,MATCH(O$2,Inputs!$K$4:$AJ$4,0))))+SUMPRODUCT((Inputs!$E$5:$E$120=$B29)*ISNUMBER(INDEX(Inputs!$K$5:$AJ$120,0,MATCH(O$2,Inputs!$K$4:$AJ$4,0))))=0,NA(),SUMPRODUCT((Inputs!$A$5:$A$120=$B29)*Inputs!$B$5:$B$120*(((Inputs!$G$5:$G$120="moeda")+(Inputs!$G$5:$G$120="acoes"))*Inputs!$B$1+((Inputs!$G$5:$G$120&lt;&gt;"moeda")*(Inputs!$G$5:$G$120&lt;&gt;"acoes")))*INDEX(Inputs!$K$5:$AJ$120,0,MATCH(O$2,Inputs!$K$4:$AJ$4,0)))+SUMPRODUCT((Inputs!$C$5:$C$120=$B29)*Inputs!$D$5:$D$120*(((Inputs!$G$5:$G$120="moeda")+(Inputs!$G$5:$G$120="acoes"))*Inputs!$B$1+((Inputs!$G$5:$G$120&lt;&gt;"moeda")*(Inputs!$G$5:$G$120&lt;&gt;"acoes")))*INDEX(Inputs!$K$5:$AJ$120,0,MATCH(O$2,Inputs!$K$4:$AJ$4,0)))+SUMPRODUCT((Inputs!$E$5:$E$120=$B29)*Inputs!$F$5:$F$120*(((Inputs!$G$5:$G$120="moeda")+(Inputs!$G$5:$G$120="acoes"))*Inputs!$B$1+((Inputs!$G$5:$G$120&lt;&gt;"moeda")*(Inputs!$G$5:$G$120&lt;&gt;"acoes")))*INDEX(Inputs!$K$5:$AJ$120,0,MATCH(O$2,Inputs!$K$4:$AJ$4,0)))))</f>
        <v>867.7</v>
      </c>
      <c r="P29" s="6">
        <f>IF(ISNA(MATCH(P$2,Inputs!$K$4:$AJ$4,0)),NA(),IF(SUMPRODUCT((Inputs!$A$5:$A$120=$B29)*ISNUMBER(INDEX(Inputs!$K$5:$AJ$120,0,MATCH(P$2,Inputs!$K$4:$AJ$4,0))))+SUMPRODUCT((Inputs!$C$5:$C$120=$B29)*ISNUMBER(INDEX(Inputs!$K$5:$AJ$120,0,MATCH(P$2,Inputs!$K$4:$AJ$4,0))))+SUMPRODUCT((Inputs!$E$5:$E$120=$B29)*ISNUMBER(INDEX(Inputs!$K$5:$AJ$120,0,MATCH(P$2,Inputs!$K$4:$AJ$4,0))))=0,NA(),SUMPRODUCT((Inputs!$A$5:$A$120=$B29)*Inputs!$B$5:$B$120*(((Inputs!$G$5:$G$120="moeda")+(Inputs!$G$5:$G$120="acoes"))*Inputs!$B$1+((Inputs!$G$5:$G$120&lt;&gt;"moeda")*(Inputs!$G$5:$G$120&lt;&gt;"acoes")))*INDEX(Inputs!$K$5:$AJ$120,0,MATCH(P$2,Inputs!$K$4:$AJ$4,0)))+SUMPRODUCT((Inputs!$C$5:$C$120=$B29)*Inputs!$D$5:$D$120*(((Inputs!$G$5:$G$120="moeda")+(Inputs!$G$5:$G$120="acoes"))*Inputs!$B$1+((Inputs!$G$5:$G$120&lt;&gt;"moeda")*(Inputs!$G$5:$G$120&lt;&gt;"acoes")))*INDEX(Inputs!$K$5:$AJ$120,0,MATCH(P$2,Inputs!$K$4:$AJ$4,0)))+SUMPRODUCT((Inputs!$E$5:$E$120=$B29)*Inputs!$F$5:$F$120*(((Inputs!$G$5:$G$120="moeda")+(Inputs!$G$5:$G$120="acoes"))*Inputs!$B$1+((Inputs!$G$5:$G$120&lt;&gt;"moeda")*(Inputs!$G$5:$G$120&lt;&gt;"acoes")))*INDEX(Inputs!$K$5:$AJ$120,0,MATCH(P$2,Inputs!$K$4:$AJ$4,0)))))</f>
        <v>1233.2</v>
      </c>
      <c r="Q29" s="6">
        <f>IF(ISNA(MATCH(Q$2,Inputs!$K$4:$AJ$4,0)),NA(),IF(SUMPRODUCT((Inputs!$A$5:$A$120=$B29)*ISNUMBER(INDEX(Inputs!$K$5:$AJ$120,0,MATCH(Q$2,Inputs!$K$4:$AJ$4,0))))+SUMPRODUCT((Inputs!$C$5:$C$120=$B29)*ISNUMBER(INDEX(Inputs!$K$5:$AJ$120,0,MATCH(Q$2,Inputs!$K$4:$AJ$4,0))))+SUMPRODUCT((Inputs!$E$5:$E$120=$B29)*ISNUMBER(INDEX(Inputs!$K$5:$AJ$120,0,MATCH(Q$2,Inputs!$K$4:$AJ$4,0))))=0,NA(),SUMPRODUCT((Inputs!$A$5:$A$120=$B29)*Inputs!$B$5:$B$120*(((Inputs!$G$5:$G$120="moeda")+(Inputs!$G$5:$G$120="acoes"))*Inputs!$B$1+((Inputs!$G$5:$G$120&lt;&gt;"moeda")*(Inputs!$G$5:$G$120&lt;&gt;"acoes")))*INDEX(Inputs!$K$5:$AJ$120,0,MATCH(Q$2,Inputs!$K$4:$AJ$4,0)))+SUMPRODUCT((Inputs!$C$5:$C$120=$B29)*Inputs!$D$5:$D$120*(((Inputs!$G$5:$G$120="moeda")+(Inputs!$G$5:$G$120="acoes"))*Inputs!$B$1+((Inputs!$G$5:$G$120&lt;&gt;"moeda")*(Inputs!$G$5:$G$120&lt;&gt;"acoes")))*INDEX(Inputs!$K$5:$AJ$120,0,MATCH(Q$2,Inputs!$K$4:$AJ$4,0)))+SUMPRODUCT((Inputs!$E$5:$E$120=$B29)*Inputs!$F$5:$F$120*(((Inputs!$G$5:$G$120="moeda")+(Inputs!$G$5:$G$120="acoes"))*Inputs!$B$1+((Inputs!$G$5:$G$120&lt;&gt;"moeda")*(Inputs!$G$5:$G$120&lt;&gt;"acoes")))*INDEX(Inputs!$K$5:$AJ$120,0,MATCH(Q$2,Inputs!$K$4:$AJ$4,0)))))</f>
        <v>1650.4</v>
      </c>
      <c r="R29" s="3">
        <f>Q29</f>
        <v>1650.4</v>
      </c>
      <c r="S29" s="6">
        <f>IF(ISNA(MATCH(S$2,Inputs!$K$4:$AJ$4,0)),NA(),IF(SUMPRODUCT((Inputs!$A$5:$A$120=$B29)*ISNUMBER(INDEX(Inputs!$K$5:$AJ$120,0,MATCH(S$2,Inputs!$K$4:$AJ$4,0))))+SUMPRODUCT((Inputs!$C$5:$C$120=$B29)*ISNUMBER(INDEX(Inputs!$K$5:$AJ$120,0,MATCH(S$2,Inputs!$K$4:$AJ$4,0))))+SUMPRODUCT((Inputs!$E$5:$E$120=$B29)*ISNUMBER(INDEX(Inputs!$K$5:$AJ$120,0,MATCH(S$2,Inputs!$K$4:$AJ$4,0))))=0,NA(),SUMPRODUCT((Inputs!$A$5:$A$120=$B29)*Inputs!$B$5:$B$120*(((Inputs!$G$5:$G$120="moeda")+(Inputs!$G$5:$G$120="acoes"))*Inputs!$B$1+((Inputs!$G$5:$G$120&lt;&gt;"moeda")*(Inputs!$G$5:$G$120&lt;&gt;"acoes")))*INDEX(Inputs!$K$5:$AJ$120,0,MATCH(S$2,Inputs!$K$4:$AJ$4,0)))+SUMPRODUCT((Inputs!$C$5:$C$120=$B29)*Inputs!$D$5:$D$120*(((Inputs!$G$5:$G$120="moeda")+(Inputs!$G$5:$G$120="acoes"))*Inputs!$B$1+((Inputs!$G$5:$G$120&lt;&gt;"moeda")*(Inputs!$G$5:$G$120&lt;&gt;"acoes")))*INDEX(Inputs!$K$5:$AJ$120,0,MATCH(S$2,Inputs!$K$4:$AJ$4,0)))+SUMPRODUCT((Inputs!$E$5:$E$120=$B29)*Inputs!$F$5:$F$120*(((Inputs!$G$5:$G$120="moeda")+(Inputs!$G$5:$G$120="acoes"))*Inputs!$B$1+((Inputs!$G$5:$G$120&lt;&gt;"moeda")*(Inputs!$G$5:$G$120&lt;&gt;"acoes")))*INDEX(Inputs!$K$5:$AJ$120,0,MATCH(S$2,Inputs!$K$4:$AJ$4,0)))))</f>
        <v>844.2</v>
      </c>
      <c r="T29" s="6">
        <f>IF(ISNA(MATCH(T$2,Inputs!$K$4:$AJ$4,0)),NA(),IF(SUMPRODUCT((Inputs!$A$5:$A$120=$B29)*ISNUMBER(INDEX(Inputs!$K$5:$AJ$120,0,MATCH(T$2,Inputs!$K$4:$AJ$4,0))))+SUMPRODUCT((Inputs!$C$5:$C$120=$B29)*ISNUMBER(INDEX(Inputs!$K$5:$AJ$120,0,MATCH(T$2,Inputs!$K$4:$AJ$4,0))))+SUMPRODUCT((Inputs!$E$5:$E$120=$B29)*ISNUMBER(INDEX(Inputs!$K$5:$AJ$120,0,MATCH(T$2,Inputs!$K$4:$AJ$4,0))))=0,NA(),SUMPRODUCT((Inputs!$A$5:$A$120=$B29)*Inputs!$B$5:$B$120*(((Inputs!$G$5:$G$120="moeda")+(Inputs!$G$5:$G$120="acoes"))*Inputs!$B$1+((Inputs!$G$5:$G$120&lt;&gt;"moeda")*(Inputs!$G$5:$G$120&lt;&gt;"acoes")))*INDEX(Inputs!$K$5:$AJ$120,0,MATCH(T$2,Inputs!$K$4:$AJ$4,0)))+SUMPRODUCT((Inputs!$C$5:$C$120=$B29)*Inputs!$D$5:$D$120*(((Inputs!$G$5:$G$120="moeda")+(Inputs!$G$5:$G$120="acoes"))*Inputs!$B$1+((Inputs!$G$5:$G$120&lt;&gt;"moeda")*(Inputs!$G$5:$G$120&lt;&gt;"acoes")))*INDEX(Inputs!$K$5:$AJ$120,0,MATCH(T$2,Inputs!$K$4:$AJ$4,0)))+SUMPRODUCT((Inputs!$E$5:$E$120=$B29)*Inputs!$F$5:$F$120*(((Inputs!$G$5:$G$120="moeda")+(Inputs!$G$5:$G$120="acoes"))*Inputs!$B$1+((Inputs!$G$5:$G$120&lt;&gt;"moeda")*(Inputs!$G$5:$G$120&lt;&gt;"acoes")))*INDEX(Inputs!$K$5:$AJ$120,0,MATCH(T$2,Inputs!$K$4:$AJ$4,0)))))</f>
        <v>1168.3</v>
      </c>
      <c r="U29" s="6">
        <f>IF(ISNA(MATCH(U$2,Inputs!$K$4:$AJ$4,0)),NA(),IF(SUMPRODUCT((Inputs!$A$5:$A$120=$B29)*ISNUMBER(INDEX(Inputs!$K$5:$AJ$120,0,MATCH(U$2,Inputs!$K$4:$AJ$4,0))))+SUMPRODUCT((Inputs!$C$5:$C$120=$B29)*ISNUMBER(INDEX(Inputs!$K$5:$AJ$120,0,MATCH(U$2,Inputs!$K$4:$AJ$4,0))))+SUMPRODUCT((Inputs!$E$5:$E$120=$B29)*ISNUMBER(INDEX(Inputs!$K$5:$AJ$120,0,MATCH(U$2,Inputs!$K$4:$AJ$4,0))))=0,NA(),SUMPRODUCT((Inputs!$A$5:$A$120=$B29)*Inputs!$B$5:$B$120*(((Inputs!$G$5:$G$120="moeda")+(Inputs!$G$5:$G$120="acoes"))*Inputs!$B$1+((Inputs!$G$5:$G$120&lt;&gt;"moeda")*(Inputs!$G$5:$G$120&lt;&gt;"acoes")))*INDEX(Inputs!$K$5:$AJ$120,0,MATCH(U$2,Inputs!$K$4:$AJ$4,0)))+SUMPRODUCT((Inputs!$C$5:$C$120=$B29)*Inputs!$D$5:$D$120*(((Inputs!$G$5:$G$120="moeda")+(Inputs!$G$5:$G$120="acoes"))*Inputs!$B$1+((Inputs!$G$5:$G$120&lt;&gt;"moeda")*(Inputs!$G$5:$G$120&lt;&gt;"acoes")))*INDEX(Inputs!$K$5:$AJ$120,0,MATCH(U$2,Inputs!$K$4:$AJ$4,0)))+SUMPRODUCT((Inputs!$E$5:$E$120=$B29)*Inputs!$F$5:$F$120*(((Inputs!$G$5:$G$120="moeda")+(Inputs!$G$5:$G$120="acoes"))*Inputs!$B$1+((Inputs!$G$5:$G$120&lt;&gt;"moeda")*(Inputs!$G$5:$G$120&lt;&gt;"acoes")))*INDEX(Inputs!$K$5:$AJ$120,0,MATCH(U$2,Inputs!$K$4:$AJ$4,0)))))</f>
        <v>1703.3</v>
      </c>
      <c r="V29" s="6">
        <f>IF(ISNA(MATCH(V$2,Inputs!$K$4:$AJ$4,0)),NA(),IF(SUMPRODUCT((Inputs!$A$5:$A$120=$B29)*ISNUMBER(INDEX(Inputs!$K$5:$AJ$120,0,MATCH(V$2,Inputs!$K$4:$AJ$4,0))))+SUMPRODUCT((Inputs!$C$5:$C$120=$B29)*ISNUMBER(INDEX(Inputs!$K$5:$AJ$120,0,MATCH(V$2,Inputs!$K$4:$AJ$4,0))))+SUMPRODUCT((Inputs!$E$5:$E$120=$B29)*ISNUMBER(INDEX(Inputs!$K$5:$AJ$120,0,MATCH(V$2,Inputs!$K$4:$AJ$4,0))))=0,NA(),SUMPRODUCT((Inputs!$A$5:$A$120=$B29)*Inputs!$B$5:$B$120*(((Inputs!$G$5:$G$120="moeda")+(Inputs!$G$5:$G$120="acoes"))*Inputs!$B$1+((Inputs!$G$5:$G$120&lt;&gt;"moeda")*(Inputs!$G$5:$G$120&lt;&gt;"acoes")))*INDEX(Inputs!$K$5:$AJ$120,0,MATCH(V$2,Inputs!$K$4:$AJ$4,0)))+SUMPRODUCT((Inputs!$C$5:$C$120=$B29)*Inputs!$D$5:$D$120*(((Inputs!$G$5:$G$120="moeda")+(Inputs!$G$5:$G$120="acoes"))*Inputs!$B$1+((Inputs!$G$5:$G$120&lt;&gt;"moeda")*(Inputs!$G$5:$G$120&lt;&gt;"acoes")))*INDEX(Inputs!$K$5:$AJ$120,0,MATCH(V$2,Inputs!$K$4:$AJ$4,0)))+SUMPRODUCT((Inputs!$E$5:$E$120=$B29)*Inputs!$F$5:$F$120*(((Inputs!$G$5:$G$120="moeda")+(Inputs!$G$5:$G$120="acoes"))*Inputs!$B$1+((Inputs!$G$5:$G$120&lt;&gt;"moeda")*(Inputs!$G$5:$G$120&lt;&gt;"acoes")))*INDEX(Inputs!$K$5:$AJ$120,0,MATCH(V$2,Inputs!$K$4:$AJ$4,0)))))</f>
        <v>2093.9</v>
      </c>
      <c r="W29" s="3">
        <f>V29</f>
        <v>2093.9</v>
      </c>
      <c r="X29" s="6">
        <f>IF(ISNA(MATCH(X$2,Inputs!$K$4:$AJ$4,0)),NA(),IF(SUMPRODUCT((Inputs!$A$5:$A$120=$B29)*ISNUMBER(INDEX(Inputs!$K$5:$AJ$120,0,MATCH(X$2,Inputs!$K$4:$AJ$4,0))))+SUMPRODUCT((Inputs!$C$5:$C$120=$B29)*ISNUMBER(INDEX(Inputs!$K$5:$AJ$120,0,MATCH(X$2,Inputs!$K$4:$AJ$4,0))))+SUMPRODUCT((Inputs!$E$5:$E$120=$B29)*ISNUMBER(INDEX(Inputs!$K$5:$AJ$120,0,MATCH(X$2,Inputs!$K$4:$AJ$4,0))))=0,NA(),SUMPRODUCT((Inputs!$A$5:$A$120=$B29)*Inputs!$B$5:$B$120*(((Inputs!$G$5:$G$120="moeda")+(Inputs!$G$5:$G$120="acoes"))*Inputs!$B$1+((Inputs!$G$5:$G$120&lt;&gt;"moeda")*(Inputs!$G$5:$G$120&lt;&gt;"acoes")))*INDEX(Inputs!$K$5:$AJ$120,0,MATCH(X$2,Inputs!$K$4:$AJ$4,0)))+SUMPRODUCT((Inputs!$C$5:$C$120=$B29)*Inputs!$D$5:$D$120*(((Inputs!$G$5:$G$120="moeda")+(Inputs!$G$5:$G$120="acoes"))*Inputs!$B$1+((Inputs!$G$5:$G$120&lt;&gt;"moeda")*(Inputs!$G$5:$G$120&lt;&gt;"acoes")))*INDEX(Inputs!$K$5:$AJ$120,0,MATCH(X$2,Inputs!$K$4:$AJ$4,0)))+SUMPRODUCT((Inputs!$E$5:$E$120=$B29)*Inputs!$F$5:$F$120*(((Inputs!$G$5:$G$120="moeda")+(Inputs!$G$5:$G$120="acoes"))*Inputs!$B$1+((Inputs!$G$5:$G$120&lt;&gt;"moeda")*(Inputs!$G$5:$G$120&lt;&gt;"acoes")))*INDEX(Inputs!$K$5:$AJ$120,0,MATCH(X$2,Inputs!$K$4:$AJ$4,0)))))</f>
        <v>1113.9</v>
      </c>
      <c r="Y29" s="6">
        <f>IF(ISNA(MATCH(Y$2,Inputs!$K$4:$AJ$4,0)),NA(),IF(SUMPRODUCT((Inputs!$A$5:$A$120=$B29)*ISNUMBER(INDEX(Inputs!$K$5:$AJ$120,0,MATCH(Y$2,Inputs!$K$4:$AJ$4,0))))+SUMPRODUCT((Inputs!$C$5:$C$120=$B29)*ISNUMBER(INDEX(Inputs!$K$5:$AJ$120,0,MATCH(Y$2,Inputs!$K$4:$AJ$4,0))))+SUMPRODUCT((Inputs!$E$5:$E$120=$B29)*ISNUMBER(INDEX(Inputs!$K$5:$AJ$120,0,MATCH(Y$2,Inputs!$K$4:$AJ$4,0))))=0,NA(),SUMPRODUCT((Inputs!$A$5:$A$120=$B29)*Inputs!$B$5:$B$120*(((Inputs!$G$5:$G$120="moeda")+(Inputs!$G$5:$G$120="acoes"))*Inputs!$B$1+((Inputs!$G$5:$G$120&lt;&gt;"moeda")*(Inputs!$G$5:$G$120&lt;&gt;"acoes")))*INDEX(Inputs!$K$5:$AJ$120,0,MATCH(Y$2,Inputs!$K$4:$AJ$4,0)))+SUMPRODUCT((Inputs!$C$5:$C$120=$B29)*Inputs!$D$5:$D$120*(((Inputs!$G$5:$G$120="moeda")+(Inputs!$G$5:$G$120="acoes"))*Inputs!$B$1+((Inputs!$G$5:$G$120&lt;&gt;"moeda")*(Inputs!$G$5:$G$120&lt;&gt;"acoes")))*INDEX(Inputs!$K$5:$AJ$120,0,MATCH(Y$2,Inputs!$K$4:$AJ$4,0)))+SUMPRODUCT((Inputs!$E$5:$E$120=$B29)*Inputs!$F$5:$F$120*(((Inputs!$G$5:$G$120="moeda")+(Inputs!$G$5:$G$120="acoes"))*Inputs!$B$1+((Inputs!$G$5:$G$120&lt;&gt;"moeda")*(Inputs!$G$5:$G$120&lt;&gt;"acoes")))*INDEX(Inputs!$K$5:$AJ$120,0,MATCH(Y$2,Inputs!$K$4:$AJ$4,0)))))</f>
        <v>1303</v>
      </c>
      <c r="Z29" s="6">
        <f>IF(ISNA(MATCH(Z$2,Inputs!$K$4:$AJ$4,0)),NA(),IF(SUMPRODUCT((Inputs!$A$5:$A$120=$B29)*ISNUMBER(INDEX(Inputs!$K$5:$AJ$120,0,MATCH(Z$2,Inputs!$K$4:$AJ$4,0))))+SUMPRODUCT((Inputs!$C$5:$C$120=$B29)*ISNUMBER(INDEX(Inputs!$K$5:$AJ$120,0,MATCH(Z$2,Inputs!$K$4:$AJ$4,0))))+SUMPRODUCT((Inputs!$E$5:$E$120=$B29)*ISNUMBER(INDEX(Inputs!$K$5:$AJ$120,0,MATCH(Z$2,Inputs!$K$4:$AJ$4,0))))=0,NA(),SUMPRODUCT((Inputs!$A$5:$A$120=$B29)*Inputs!$B$5:$B$120*(((Inputs!$G$5:$G$120="moeda")+(Inputs!$G$5:$G$120="acoes"))*Inputs!$B$1+((Inputs!$G$5:$G$120&lt;&gt;"moeda")*(Inputs!$G$5:$G$120&lt;&gt;"acoes")))*INDEX(Inputs!$K$5:$AJ$120,0,MATCH(Z$2,Inputs!$K$4:$AJ$4,0)))+SUMPRODUCT((Inputs!$C$5:$C$120=$B29)*Inputs!$D$5:$D$120*(((Inputs!$G$5:$G$120="moeda")+(Inputs!$G$5:$G$120="acoes"))*Inputs!$B$1+((Inputs!$G$5:$G$120&lt;&gt;"moeda")*(Inputs!$G$5:$G$120&lt;&gt;"acoes")))*INDEX(Inputs!$K$5:$AJ$120,0,MATCH(Z$2,Inputs!$K$4:$AJ$4,0)))+SUMPRODUCT((Inputs!$E$5:$E$120=$B29)*Inputs!$F$5:$F$120*(((Inputs!$G$5:$G$120="moeda")+(Inputs!$G$5:$G$120="acoes"))*Inputs!$B$1+((Inputs!$G$5:$G$120&lt;&gt;"moeda")*(Inputs!$G$5:$G$120&lt;&gt;"acoes")))*INDEX(Inputs!$K$5:$AJ$120,0,MATCH(Z$2,Inputs!$K$4:$AJ$4,0)))))</f>
        <v>1965.7</v>
      </c>
      <c r="AA29" s="6">
        <f>IF(ISNA(MATCH(AA$2,Inputs!$K$4:$AJ$4,0)),NA(),IF(SUMPRODUCT((Inputs!$A$5:$A$120=$B29)*ISNUMBER(INDEX(Inputs!$K$5:$AJ$120,0,MATCH(AA$2,Inputs!$K$4:$AJ$4,0))))+SUMPRODUCT((Inputs!$C$5:$C$120=$B29)*ISNUMBER(INDEX(Inputs!$K$5:$AJ$120,0,MATCH(AA$2,Inputs!$K$4:$AJ$4,0))))+SUMPRODUCT((Inputs!$E$5:$E$120=$B29)*ISNUMBER(INDEX(Inputs!$K$5:$AJ$120,0,MATCH(AA$2,Inputs!$K$4:$AJ$4,0))))=0,NA(),SUMPRODUCT((Inputs!$A$5:$A$120=$B29)*Inputs!$B$5:$B$120*(((Inputs!$G$5:$G$120="moeda")+(Inputs!$G$5:$G$120="acoes"))*Inputs!$B$1+((Inputs!$G$5:$G$120&lt;&gt;"moeda")*(Inputs!$G$5:$G$120&lt;&gt;"acoes")))*INDEX(Inputs!$K$5:$AJ$120,0,MATCH(AA$2,Inputs!$K$4:$AJ$4,0)))+SUMPRODUCT((Inputs!$C$5:$C$120=$B29)*Inputs!$D$5:$D$120*(((Inputs!$G$5:$G$120="moeda")+(Inputs!$G$5:$G$120="acoes"))*Inputs!$B$1+((Inputs!$G$5:$G$120&lt;&gt;"moeda")*(Inputs!$G$5:$G$120&lt;&gt;"acoes")))*INDEX(Inputs!$K$5:$AJ$120,0,MATCH(AA$2,Inputs!$K$4:$AJ$4,0)))+SUMPRODUCT((Inputs!$E$5:$E$120=$B29)*Inputs!$F$5:$F$120*(((Inputs!$G$5:$G$120="moeda")+(Inputs!$G$5:$G$120="acoes"))*Inputs!$B$1+((Inputs!$G$5:$G$120&lt;&gt;"moeda")*(Inputs!$G$5:$G$120&lt;&gt;"acoes")))*INDEX(Inputs!$K$5:$AJ$120,0,MATCH(AA$2,Inputs!$K$4:$AJ$4,0)))))</f>
        <v>2375</v>
      </c>
      <c r="AB29" s="3">
        <f>AA29</f>
        <v>2375</v>
      </c>
      <c r="AC29" s="6">
        <f>IF(ISNA(MATCH(AC$2,Inputs!$K$4:$AJ$4,0)),NA(),IF(SUMPRODUCT((Inputs!$A$5:$A$120=$B29)*ISNUMBER(INDEX(Inputs!$K$5:$AJ$120,0,MATCH(AC$2,Inputs!$K$4:$AJ$4,0))))+SUMPRODUCT((Inputs!$C$5:$C$120=$B29)*ISNUMBER(INDEX(Inputs!$K$5:$AJ$120,0,MATCH(AC$2,Inputs!$K$4:$AJ$4,0))))+SUMPRODUCT((Inputs!$E$5:$E$120=$B29)*ISNUMBER(INDEX(Inputs!$K$5:$AJ$120,0,MATCH(AC$2,Inputs!$K$4:$AJ$4,0))))=0,NA(),SUMPRODUCT((Inputs!$A$5:$A$120=$B29)*Inputs!$B$5:$B$120*(((Inputs!$G$5:$G$120="moeda")+(Inputs!$G$5:$G$120="acoes"))*Inputs!$B$1+((Inputs!$G$5:$G$120&lt;&gt;"moeda")*(Inputs!$G$5:$G$120&lt;&gt;"acoes")))*INDEX(Inputs!$K$5:$AJ$120,0,MATCH(AC$2,Inputs!$K$4:$AJ$4,0)))+SUMPRODUCT((Inputs!$C$5:$C$120=$B29)*Inputs!$D$5:$D$120*(((Inputs!$G$5:$G$120="moeda")+(Inputs!$G$5:$G$120="acoes"))*Inputs!$B$1+((Inputs!$G$5:$G$120&lt;&gt;"moeda")*(Inputs!$G$5:$G$120&lt;&gt;"acoes")))*INDEX(Inputs!$K$5:$AJ$120,0,MATCH(AC$2,Inputs!$K$4:$AJ$4,0)))+SUMPRODUCT((Inputs!$E$5:$E$120=$B29)*Inputs!$F$5:$F$120*(((Inputs!$G$5:$G$120="moeda")+(Inputs!$G$5:$G$120="acoes"))*Inputs!$B$1+((Inputs!$G$5:$G$120&lt;&gt;"moeda")*(Inputs!$G$5:$G$120&lt;&gt;"acoes")))*INDEX(Inputs!$K$5:$AJ$120,0,MATCH(AC$2,Inputs!$K$4:$AJ$4,0)))))</f>
        <v>1359</v>
      </c>
      <c r="AD29" s="6">
        <f>IF(ISNA(MATCH(AD$2,Inputs!$K$4:$AJ$4,0)),NA(),IF(SUMPRODUCT((Inputs!$A$5:$A$120=$B29)*ISNUMBER(INDEX(Inputs!$K$5:$AJ$120,0,MATCH(AD$2,Inputs!$K$4:$AJ$4,0))))+SUMPRODUCT((Inputs!$C$5:$C$120=$B29)*ISNUMBER(INDEX(Inputs!$K$5:$AJ$120,0,MATCH(AD$2,Inputs!$K$4:$AJ$4,0))))+SUMPRODUCT((Inputs!$E$5:$E$120=$B29)*ISNUMBER(INDEX(Inputs!$K$5:$AJ$120,0,MATCH(AD$2,Inputs!$K$4:$AJ$4,0))))=0,NA(),SUMPRODUCT((Inputs!$A$5:$A$120=$B29)*Inputs!$B$5:$B$120*(((Inputs!$G$5:$G$120="moeda")+(Inputs!$G$5:$G$120="acoes"))*Inputs!$B$1+((Inputs!$G$5:$G$120&lt;&gt;"moeda")*(Inputs!$G$5:$G$120&lt;&gt;"acoes")))*INDEX(Inputs!$K$5:$AJ$120,0,MATCH(AD$2,Inputs!$K$4:$AJ$4,0)))+SUMPRODUCT((Inputs!$C$5:$C$120=$B29)*Inputs!$D$5:$D$120*(((Inputs!$G$5:$G$120="moeda")+(Inputs!$G$5:$G$120="acoes"))*Inputs!$B$1+((Inputs!$G$5:$G$120&lt;&gt;"moeda")*(Inputs!$G$5:$G$120&lt;&gt;"acoes")))*INDEX(Inputs!$K$5:$AJ$120,0,MATCH(AD$2,Inputs!$K$4:$AJ$4,0)))+SUMPRODUCT((Inputs!$E$5:$E$120=$B29)*Inputs!$F$5:$F$120*(((Inputs!$G$5:$G$120="moeda")+(Inputs!$G$5:$G$120="acoes"))*Inputs!$B$1+((Inputs!$G$5:$G$120&lt;&gt;"moeda")*(Inputs!$G$5:$G$120&lt;&gt;"acoes")))*INDEX(Inputs!$K$5:$AJ$120,0,MATCH(AD$2,Inputs!$K$4:$AJ$4,0)))))</f>
        <v>1798</v>
      </c>
      <c r="AE29" s="6" t="e">
        <f>IF(ISNA(MATCH(AE$2,Inputs!$K$4:$AJ$4,0)),NA(),IF(SUMPRODUCT((Inputs!$A$5:$A$120=$B29)*ISNUMBER(INDEX(Inputs!$K$5:$AJ$120,0,MATCH(AE$2,Inputs!$K$4:$AJ$4,0))))+SUMPRODUCT((Inputs!$C$5:$C$120=$B29)*ISNUMBER(INDEX(Inputs!$K$5:$AJ$120,0,MATCH(AE$2,Inputs!$K$4:$AJ$4,0))))+SUMPRODUCT((Inputs!$E$5:$E$120=$B29)*ISNUMBER(INDEX(Inputs!$K$5:$AJ$120,0,MATCH(AE$2,Inputs!$K$4:$AJ$4,0))))=0,NA(),SUMPRODUCT((Inputs!$A$5:$A$120=$B29)*Inputs!$B$5:$B$120*(((Inputs!$G$5:$G$120="moeda")+(Inputs!$G$5:$G$120="acoes"))*Inputs!$B$1+((Inputs!$G$5:$G$120&lt;&gt;"moeda")*(Inputs!$G$5:$G$120&lt;&gt;"acoes")))*INDEX(Inputs!$K$5:$AJ$120,0,MATCH(AE$2,Inputs!$K$4:$AJ$4,0)))+SUMPRODUCT((Inputs!$C$5:$C$120=$B29)*Inputs!$D$5:$D$120*(((Inputs!$G$5:$G$120="moeda")+(Inputs!$G$5:$G$120="acoes"))*Inputs!$B$1+((Inputs!$G$5:$G$120&lt;&gt;"moeda")*(Inputs!$G$5:$G$120&lt;&gt;"acoes")))*INDEX(Inputs!$K$5:$AJ$120,0,MATCH(AE$2,Inputs!$K$4:$AJ$4,0)))+SUMPRODUCT((Inputs!$E$5:$E$120=$B29)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9" s="6" t="e">
        <f>IF(ISNA(MATCH(AF$2,Inputs!$K$4:$AJ$4,0)),NA(),IF(SUMPRODUCT((Inputs!$A$5:$A$120=$B29)*ISNUMBER(INDEX(Inputs!$K$5:$AJ$120,0,MATCH(AF$2,Inputs!$K$4:$AJ$4,0))))+SUMPRODUCT((Inputs!$C$5:$C$120=$B29)*ISNUMBER(INDEX(Inputs!$K$5:$AJ$120,0,MATCH(AF$2,Inputs!$K$4:$AJ$4,0))))+SUMPRODUCT((Inputs!$E$5:$E$120=$B29)*ISNUMBER(INDEX(Inputs!$K$5:$AJ$120,0,MATCH(AF$2,Inputs!$K$4:$AJ$4,0))))=0,NA(),SUMPRODUCT((Inputs!$A$5:$A$120=$B29)*Inputs!$B$5:$B$120*(((Inputs!$G$5:$G$120="moeda")+(Inputs!$G$5:$G$120="acoes"))*Inputs!$B$1+((Inputs!$G$5:$G$120&lt;&gt;"moeda")*(Inputs!$G$5:$G$120&lt;&gt;"acoes")))*INDEX(Inputs!$K$5:$AJ$120,0,MATCH(AF$2,Inputs!$K$4:$AJ$4,0)))+SUMPRODUCT((Inputs!$C$5:$C$120=$B29)*Inputs!$D$5:$D$120*(((Inputs!$G$5:$G$120="moeda")+(Inputs!$G$5:$G$120="acoes"))*Inputs!$B$1+((Inputs!$G$5:$G$120&lt;&gt;"moeda")*(Inputs!$G$5:$G$120&lt;&gt;"acoes")))*INDEX(Inputs!$K$5:$AJ$120,0,MATCH(AF$2,Inputs!$K$4:$AJ$4,0)))+SUMPRODUCT((Inputs!$E$5:$E$120=$B29)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9" s="3" t="e">
        <f>AF29</f>
        <v>#N/A</v>
      </c>
      <c r="AH29" s="6">
        <f>IF(ISNA(MATCH(AH$2,Inputs!$K$4:$AJ$4,0)),NA(),IF(SUMPRODUCT((Inputs!$A$5:$A$120=$B29)*ISNUMBER(INDEX(Inputs!$K$5:$AJ$120,0,MATCH(AH$2,Inputs!$K$4:$AJ$4,0))))+SUMPRODUCT((Inputs!$C$5:$C$120=$B29)*ISNUMBER(INDEX(Inputs!$K$5:$AJ$120,0,MATCH(AH$2,Inputs!$K$4:$AJ$4,0))))+SUMPRODUCT((Inputs!$E$5:$E$120=$B29)*ISNUMBER(INDEX(Inputs!$K$5:$AJ$120,0,MATCH(AH$2,Inputs!$K$4:$AJ$4,0))))=0,NA(),SUMPRODUCT((Inputs!$A$5:$A$120=$B29)*Inputs!$B$5:$B$120*(((Inputs!$G$5:$G$120="moeda")+(Inputs!$G$5:$G$120="acoes"))*Inputs!$B$1+((Inputs!$G$5:$G$120&lt;&gt;"moeda")*(Inputs!$G$5:$G$120&lt;&gt;"acoes")))*INDEX(Inputs!$K$5:$AJ$120,0,MATCH(AH$2,Inputs!$K$4:$AJ$4,0)))+SUMPRODUCT((Inputs!$C$5:$C$120=$B29)*Inputs!$D$5:$D$120*(((Inputs!$G$5:$G$120="moeda")+(Inputs!$G$5:$G$120="acoes"))*Inputs!$B$1+((Inputs!$G$5:$G$120&lt;&gt;"moeda")*(Inputs!$G$5:$G$120&lt;&gt;"acoes")))*INDEX(Inputs!$K$5:$AJ$120,0,MATCH(AH$2,Inputs!$K$4:$AJ$4,0)))+SUMPRODUCT((Inputs!$E$5:$E$120=$B29)*Inputs!$F$5:$F$120*(((Inputs!$G$5:$G$120="moeda")+(Inputs!$G$5:$G$120="acoes"))*Inputs!$B$1+((Inputs!$G$5:$G$120&lt;&gt;"moeda")*(Inputs!$G$5:$G$120&lt;&gt;"acoes")))*INDEX(Inputs!$K$5:$AJ$120,0,MATCH(AH$2,Inputs!$K$4:$AJ$4,0)))))</f>
        <v>565.8</v>
      </c>
      <c r="AI29" s="6">
        <f>IF(ISNA(MATCH(AI$2,Inputs!$K$4:$AJ$4,0)),NA(),IF(SUMPRODUCT((Inputs!$A$5:$A$120=$B29)*ISNUMBER(INDEX(Inputs!$K$5:$AJ$120,0,MATCH(AI$2,Inputs!$K$4:$AJ$4,0))))+SUMPRODUCT((Inputs!$C$5:$C$120=$B29)*ISNUMBER(INDEX(Inputs!$K$5:$AJ$120,0,MATCH(AI$2,Inputs!$K$4:$AJ$4,0))))+SUMPRODUCT((Inputs!$E$5:$E$120=$B29)*ISNUMBER(INDEX(Inputs!$K$5:$AJ$120,0,MATCH(AI$2,Inputs!$K$4:$AJ$4,0))))=0,NA(),SUMPRODUCT((Inputs!$A$5:$A$120=$B29)*Inputs!$B$5:$B$120*(((Inputs!$G$5:$G$120="moeda")+(Inputs!$G$5:$G$120="acoes"))*Inputs!$B$1+((Inputs!$G$5:$G$120&lt;&gt;"moeda")*(Inputs!$G$5:$G$120&lt;&gt;"acoes")))*INDEX(Inputs!$K$5:$AJ$120,0,MATCH(AI$2,Inputs!$K$4:$AJ$4,0)))+SUMPRODUCT((Inputs!$C$5:$C$120=$B29)*Inputs!$D$5:$D$120*(((Inputs!$G$5:$G$120="moeda")+(Inputs!$G$5:$G$120="acoes"))*Inputs!$B$1+((Inputs!$G$5:$G$120&lt;&gt;"moeda")*(Inputs!$G$5:$G$120&lt;&gt;"acoes")))*INDEX(Inputs!$K$5:$AJ$120,0,MATCH(AI$2,Inputs!$K$4:$AJ$4,0)))+SUMPRODUCT((Inputs!$E$5:$E$120=$B29)*Inputs!$F$5:$F$120*(((Inputs!$G$5:$G$120="moeda")+(Inputs!$G$5:$G$120="acoes"))*Inputs!$B$1+((Inputs!$G$5:$G$120&lt;&gt;"moeda")*(Inputs!$G$5:$G$120&lt;&gt;"acoes")))*INDEX(Inputs!$K$5:$AJ$120,0,MATCH(AI$2,Inputs!$K$4:$AJ$4,0)))))</f>
        <v>673.6</v>
      </c>
      <c r="AJ29" s="6">
        <f>IF(ISNA(MATCH(AJ$2,Inputs!$K$4:$AJ$4,0)),NA(),IF(SUMPRODUCT((Inputs!$A$5:$A$120=$B29)*ISNUMBER(INDEX(Inputs!$K$5:$AJ$120,0,MATCH(AJ$2,Inputs!$K$4:$AJ$4,0))))+SUMPRODUCT((Inputs!$C$5:$C$120=$B29)*ISNUMBER(INDEX(Inputs!$K$5:$AJ$120,0,MATCH(AJ$2,Inputs!$K$4:$AJ$4,0))))+SUMPRODUCT((Inputs!$E$5:$E$120=$B29)*ISNUMBER(INDEX(Inputs!$K$5:$AJ$120,0,MATCH(AJ$2,Inputs!$K$4:$AJ$4,0))))=0,NA(),SUMPRODUCT((Inputs!$A$5:$A$120=$B29)*Inputs!$B$5:$B$120*(((Inputs!$G$5:$G$120="moeda")+(Inputs!$G$5:$G$120="acoes"))*Inputs!$B$1+((Inputs!$G$5:$G$120&lt;&gt;"moeda")*(Inputs!$G$5:$G$120&lt;&gt;"acoes")))*INDEX(Inputs!$K$5:$AJ$120,0,MATCH(AJ$2,Inputs!$K$4:$AJ$4,0)))+SUMPRODUCT((Inputs!$C$5:$C$120=$B29)*Inputs!$D$5:$D$120*(((Inputs!$G$5:$G$120="moeda")+(Inputs!$G$5:$G$120="acoes"))*Inputs!$B$1+((Inputs!$G$5:$G$120&lt;&gt;"moeda")*(Inputs!$G$5:$G$120&lt;&gt;"acoes")))*INDEX(Inputs!$K$5:$AJ$120,0,MATCH(AJ$2,Inputs!$K$4:$AJ$4,0)))+SUMPRODUCT((Inputs!$E$5:$E$120=$B29)*Inputs!$F$5:$F$120*(((Inputs!$G$5:$G$120="moeda")+(Inputs!$G$5:$G$120="acoes"))*Inputs!$B$1+((Inputs!$G$5:$G$120&lt;&gt;"moeda")*(Inputs!$G$5:$G$120&lt;&gt;"acoes")))*INDEX(Inputs!$K$5:$AJ$120,0,MATCH(AJ$2,Inputs!$K$4:$AJ$4,0)))))</f>
        <v>795.6</v>
      </c>
      <c r="AK29" s="6">
        <f>IF(ISNA(MATCH(AK$2,Inputs!$K$4:$AJ$4,0)),NA(),IF(SUMPRODUCT((Inputs!$A$5:$A$120=$B29)*ISNUMBER(INDEX(Inputs!$K$5:$AJ$120,0,MATCH(AK$2,Inputs!$K$4:$AJ$4,0))))+SUMPRODUCT((Inputs!$C$5:$C$120=$B29)*ISNUMBER(INDEX(Inputs!$K$5:$AJ$120,0,MATCH(AK$2,Inputs!$K$4:$AJ$4,0))))+SUMPRODUCT((Inputs!$E$5:$E$120=$B29)*ISNUMBER(INDEX(Inputs!$K$5:$AJ$120,0,MATCH(AK$2,Inputs!$K$4:$AJ$4,0))))=0,NA(),SUMPRODUCT((Inputs!$A$5:$A$120=$B29)*Inputs!$B$5:$B$120*(((Inputs!$G$5:$G$120="moeda")+(Inputs!$G$5:$G$120="acoes"))*Inputs!$B$1+((Inputs!$G$5:$G$120&lt;&gt;"moeda")*(Inputs!$G$5:$G$120&lt;&gt;"acoes")))*INDEX(Inputs!$K$5:$AJ$120,0,MATCH(AK$2,Inputs!$K$4:$AJ$4,0)))+SUMPRODUCT((Inputs!$C$5:$C$120=$B29)*Inputs!$D$5:$D$120*(((Inputs!$G$5:$G$120="moeda")+(Inputs!$G$5:$G$120="acoes"))*Inputs!$B$1+((Inputs!$G$5:$G$120&lt;&gt;"moeda")*(Inputs!$G$5:$G$120&lt;&gt;"acoes")))*INDEX(Inputs!$K$5:$AJ$120,0,MATCH(AK$2,Inputs!$K$4:$AJ$4,0)))+SUMPRODUCT((Inputs!$E$5:$E$120=$B29)*Inputs!$F$5:$F$120*(((Inputs!$G$5:$G$120="moeda")+(Inputs!$G$5:$G$120="acoes"))*Inputs!$B$1+((Inputs!$G$5:$G$120&lt;&gt;"moeda")*(Inputs!$G$5:$G$120&lt;&gt;"acoes")))*INDEX(Inputs!$K$5:$AJ$120,0,MATCH(AK$2,Inputs!$K$4:$AJ$4,0)))))</f>
        <v>997.2</v>
      </c>
      <c r="AL29" s="3">
        <f>AK29</f>
        <v>997.2</v>
      </c>
    </row>
    <row r="30">
      <c r="B30" s="46" t="n">
        <v>25</v>
      </c>
      <c r="C30" s="26" t="inlineStr">
        <is>
          <t>Taxes payable</t>
        </is>
      </c>
      <c r="D30" s="6">
        <f>IF(ISNA(MATCH(D$2,Inputs!$K$4:$AJ$4,0)),NA(),IF(SUMPRODUCT((Inputs!$A$5:$A$120=$B30)*ISNUMBER(INDEX(Inputs!$K$5:$AJ$120,0,MATCH(D$2,Inputs!$K$4:$AJ$4,0))))+SUMPRODUCT((Inputs!$C$5:$C$120=$B30)*ISNUMBER(INDEX(Inputs!$K$5:$AJ$120,0,MATCH(D$2,Inputs!$K$4:$AJ$4,0))))+SUMPRODUCT((Inputs!$E$5:$E$120=$B30)*ISNUMBER(INDEX(Inputs!$K$5:$AJ$120,0,MATCH(D$2,Inputs!$K$4:$AJ$4,0))))=0,NA(),SUMPRODUCT((Inputs!$A$5:$A$120=$B30)*Inputs!$B$5:$B$120*(((Inputs!$G$5:$G$120="moeda")+(Inputs!$G$5:$G$120="acoes"))*Inputs!$B$1+((Inputs!$G$5:$G$120&lt;&gt;"moeda")*(Inputs!$G$5:$G$120&lt;&gt;"acoes")))*INDEX(Inputs!$K$5:$AJ$120,0,MATCH(D$2,Inputs!$K$4:$AJ$4,0)))+SUMPRODUCT((Inputs!$C$5:$C$120=$B30)*Inputs!$D$5:$D$120*(((Inputs!$G$5:$G$120="moeda")+(Inputs!$G$5:$G$120="acoes"))*Inputs!$B$1+((Inputs!$G$5:$G$120&lt;&gt;"moeda")*(Inputs!$G$5:$G$120&lt;&gt;"acoes")))*INDEX(Inputs!$K$5:$AJ$120,0,MATCH(D$2,Inputs!$K$4:$AJ$4,0)))+SUMPRODUCT((Inputs!$E$5:$E$120=$B30)*Inputs!$F$5:$F$120*(((Inputs!$G$5:$G$120="moeda")+(Inputs!$G$5:$G$120="acoes"))*Inputs!$B$1+((Inputs!$G$5:$G$120&lt;&gt;"moeda")*(Inputs!$G$5:$G$120&lt;&gt;"acoes")))*INDEX(Inputs!$K$5:$AJ$120,0,MATCH(D$2,Inputs!$K$4:$AJ$4,0)))))</f>
        <v>791.6</v>
      </c>
      <c r="E30" s="6">
        <f>IF(ISNA(MATCH(E$2,Inputs!$K$4:$AJ$4,0)),NA(),IF(SUMPRODUCT((Inputs!$A$5:$A$120=$B30)*ISNUMBER(INDEX(Inputs!$K$5:$AJ$120,0,MATCH(E$2,Inputs!$K$4:$AJ$4,0))))+SUMPRODUCT((Inputs!$C$5:$C$120=$B30)*ISNUMBER(INDEX(Inputs!$K$5:$AJ$120,0,MATCH(E$2,Inputs!$K$4:$AJ$4,0))))+SUMPRODUCT((Inputs!$E$5:$E$120=$B30)*ISNUMBER(INDEX(Inputs!$K$5:$AJ$120,0,MATCH(E$2,Inputs!$K$4:$AJ$4,0))))=0,NA(),SUMPRODUCT((Inputs!$A$5:$A$120=$B30)*Inputs!$B$5:$B$120*(((Inputs!$G$5:$G$120="moeda")+(Inputs!$G$5:$G$120="acoes"))*Inputs!$B$1+((Inputs!$G$5:$G$120&lt;&gt;"moeda")*(Inputs!$G$5:$G$120&lt;&gt;"acoes")))*INDEX(Inputs!$K$5:$AJ$120,0,MATCH(E$2,Inputs!$K$4:$AJ$4,0)))+SUMPRODUCT((Inputs!$C$5:$C$120=$B30)*Inputs!$D$5:$D$120*(((Inputs!$G$5:$G$120="moeda")+(Inputs!$G$5:$G$120="acoes"))*Inputs!$B$1+((Inputs!$G$5:$G$120&lt;&gt;"moeda")*(Inputs!$G$5:$G$120&lt;&gt;"acoes")))*INDEX(Inputs!$K$5:$AJ$120,0,MATCH(E$2,Inputs!$K$4:$AJ$4,0)))+SUMPRODUCT((Inputs!$E$5:$E$120=$B30)*Inputs!$F$5:$F$120*(((Inputs!$G$5:$G$120="moeda")+(Inputs!$G$5:$G$120="acoes"))*Inputs!$B$1+((Inputs!$G$5:$G$120&lt;&gt;"moeda")*(Inputs!$G$5:$G$120&lt;&gt;"acoes")))*INDEX(Inputs!$K$5:$AJ$120,0,MATCH(E$2,Inputs!$K$4:$AJ$4,0)))))</f>
        <v>529.9</v>
      </c>
      <c r="F30" s="6">
        <f>IF(ISNA(MATCH(F$2,Inputs!$K$4:$AJ$4,0)),NA(),IF(SUMPRODUCT((Inputs!$A$5:$A$120=$B30)*ISNUMBER(INDEX(Inputs!$K$5:$AJ$120,0,MATCH(F$2,Inputs!$K$4:$AJ$4,0))))+SUMPRODUCT((Inputs!$C$5:$C$120=$B30)*ISNUMBER(INDEX(Inputs!$K$5:$AJ$120,0,MATCH(F$2,Inputs!$K$4:$AJ$4,0))))+SUMPRODUCT((Inputs!$E$5:$E$120=$B30)*ISNUMBER(INDEX(Inputs!$K$5:$AJ$120,0,MATCH(F$2,Inputs!$K$4:$AJ$4,0))))=0,NA(),SUMPRODUCT((Inputs!$A$5:$A$120=$B30)*Inputs!$B$5:$B$120*(((Inputs!$G$5:$G$120="moeda")+(Inputs!$G$5:$G$120="acoes"))*Inputs!$B$1+((Inputs!$G$5:$G$120&lt;&gt;"moeda")*(Inputs!$G$5:$G$120&lt;&gt;"acoes")))*INDEX(Inputs!$K$5:$AJ$120,0,MATCH(F$2,Inputs!$K$4:$AJ$4,0)))+SUMPRODUCT((Inputs!$C$5:$C$120=$B30)*Inputs!$D$5:$D$120*(((Inputs!$G$5:$G$120="moeda")+(Inputs!$G$5:$G$120="acoes"))*Inputs!$B$1+((Inputs!$G$5:$G$120&lt;&gt;"moeda")*(Inputs!$G$5:$G$120&lt;&gt;"acoes")))*INDEX(Inputs!$K$5:$AJ$120,0,MATCH(F$2,Inputs!$K$4:$AJ$4,0)))+SUMPRODUCT((Inputs!$E$5:$E$120=$B30)*Inputs!$F$5:$F$120*(((Inputs!$G$5:$G$120="moeda")+(Inputs!$G$5:$G$120="acoes"))*Inputs!$B$1+((Inputs!$G$5:$G$120&lt;&gt;"moeda")*(Inputs!$G$5:$G$120&lt;&gt;"acoes")))*INDEX(Inputs!$K$5:$AJ$120,0,MATCH(F$2,Inputs!$K$4:$AJ$4,0)))))</f>
        <v>203.5</v>
      </c>
      <c r="G30" s="6">
        <f>IF(ISNA(MATCH(G$2,Inputs!$K$4:$AJ$4,0)),NA(),IF(SUMPRODUCT((Inputs!$A$5:$A$120=$B30)*ISNUMBER(INDEX(Inputs!$K$5:$AJ$120,0,MATCH(G$2,Inputs!$K$4:$AJ$4,0))))+SUMPRODUCT((Inputs!$C$5:$C$120=$B30)*ISNUMBER(INDEX(Inputs!$K$5:$AJ$120,0,MATCH(G$2,Inputs!$K$4:$AJ$4,0))))+SUMPRODUCT((Inputs!$E$5:$E$120=$B30)*ISNUMBER(INDEX(Inputs!$K$5:$AJ$120,0,MATCH(G$2,Inputs!$K$4:$AJ$4,0))))=0,NA(),SUMPRODUCT((Inputs!$A$5:$A$120=$B30)*Inputs!$B$5:$B$120*(((Inputs!$G$5:$G$120="moeda")+(Inputs!$G$5:$G$120="acoes"))*Inputs!$B$1+((Inputs!$G$5:$G$120&lt;&gt;"moeda")*(Inputs!$G$5:$G$120&lt;&gt;"acoes")))*INDEX(Inputs!$K$5:$AJ$120,0,MATCH(G$2,Inputs!$K$4:$AJ$4,0)))+SUMPRODUCT((Inputs!$C$5:$C$120=$B30)*Inputs!$D$5:$D$120*(((Inputs!$G$5:$G$120="moeda")+(Inputs!$G$5:$G$120="acoes"))*Inputs!$B$1+((Inputs!$G$5:$G$120&lt;&gt;"moeda")*(Inputs!$G$5:$G$120&lt;&gt;"acoes")))*INDEX(Inputs!$K$5:$AJ$120,0,MATCH(G$2,Inputs!$K$4:$AJ$4,0)))+SUMPRODUCT((Inputs!$E$5:$E$120=$B30)*Inputs!$F$5:$F$120*(((Inputs!$G$5:$G$120="moeda")+(Inputs!$G$5:$G$120="acoes"))*Inputs!$B$1+((Inputs!$G$5:$G$120&lt;&gt;"moeda")*(Inputs!$G$5:$G$120&lt;&gt;"acoes")))*INDEX(Inputs!$K$5:$AJ$120,0,MATCH(G$2,Inputs!$K$4:$AJ$4,0)))))</f>
        <v>126.9</v>
      </c>
      <c r="H30" s="3">
        <f>G30</f>
        <v>126.9</v>
      </c>
      <c r="I30" s="6">
        <f>IF(ISNA(MATCH(I$2,Inputs!$K$4:$AJ$4,0)),NA(),IF(SUMPRODUCT((Inputs!$A$5:$A$120=$B30)*ISNUMBER(INDEX(Inputs!$K$5:$AJ$120,0,MATCH(I$2,Inputs!$K$4:$AJ$4,0))))+SUMPRODUCT((Inputs!$C$5:$C$120=$B30)*ISNUMBER(INDEX(Inputs!$K$5:$AJ$120,0,MATCH(I$2,Inputs!$K$4:$AJ$4,0))))+SUMPRODUCT((Inputs!$E$5:$E$120=$B30)*ISNUMBER(INDEX(Inputs!$K$5:$AJ$120,0,MATCH(I$2,Inputs!$K$4:$AJ$4,0))))=0,NA(),SUMPRODUCT((Inputs!$A$5:$A$120=$B30)*Inputs!$B$5:$B$120*(((Inputs!$G$5:$G$120="moeda")+(Inputs!$G$5:$G$120="acoes"))*Inputs!$B$1+((Inputs!$G$5:$G$120&lt;&gt;"moeda")*(Inputs!$G$5:$G$120&lt;&gt;"acoes")))*INDEX(Inputs!$K$5:$AJ$120,0,MATCH(I$2,Inputs!$K$4:$AJ$4,0)))+SUMPRODUCT((Inputs!$C$5:$C$120=$B30)*Inputs!$D$5:$D$120*(((Inputs!$G$5:$G$120="moeda")+(Inputs!$G$5:$G$120="acoes"))*Inputs!$B$1+((Inputs!$G$5:$G$120&lt;&gt;"moeda")*(Inputs!$G$5:$G$120&lt;&gt;"acoes")))*INDEX(Inputs!$K$5:$AJ$120,0,MATCH(I$2,Inputs!$K$4:$AJ$4,0)))+SUMPRODUCT((Inputs!$E$5:$E$120=$B30)*Inputs!$F$5:$F$120*(((Inputs!$G$5:$G$120="moeda")+(Inputs!$G$5:$G$120="acoes"))*Inputs!$B$1+((Inputs!$G$5:$G$120&lt;&gt;"moeda")*(Inputs!$G$5:$G$120&lt;&gt;"acoes")))*INDEX(Inputs!$K$5:$AJ$120,0,MATCH(I$2,Inputs!$K$4:$AJ$4,0)))))</f>
        <v>598.3</v>
      </c>
      <c r="J30" s="6">
        <f>IF(ISNA(MATCH(J$2,Inputs!$K$4:$AJ$4,0)),NA(),IF(SUMPRODUCT((Inputs!$A$5:$A$120=$B30)*ISNUMBER(INDEX(Inputs!$K$5:$AJ$120,0,MATCH(J$2,Inputs!$K$4:$AJ$4,0))))+SUMPRODUCT((Inputs!$C$5:$C$120=$B30)*ISNUMBER(INDEX(Inputs!$K$5:$AJ$120,0,MATCH(J$2,Inputs!$K$4:$AJ$4,0))))+SUMPRODUCT((Inputs!$E$5:$E$120=$B30)*ISNUMBER(INDEX(Inputs!$K$5:$AJ$120,0,MATCH(J$2,Inputs!$K$4:$AJ$4,0))))=0,NA(),SUMPRODUCT((Inputs!$A$5:$A$120=$B30)*Inputs!$B$5:$B$120*(((Inputs!$G$5:$G$120="moeda")+(Inputs!$G$5:$G$120="acoes"))*Inputs!$B$1+((Inputs!$G$5:$G$120&lt;&gt;"moeda")*(Inputs!$G$5:$G$120&lt;&gt;"acoes")))*INDEX(Inputs!$K$5:$AJ$120,0,MATCH(J$2,Inputs!$K$4:$AJ$4,0)))+SUMPRODUCT((Inputs!$C$5:$C$120=$B30)*Inputs!$D$5:$D$120*(((Inputs!$G$5:$G$120="moeda")+(Inputs!$G$5:$G$120="acoes"))*Inputs!$B$1+((Inputs!$G$5:$G$120&lt;&gt;"moeda")*(Inputs!$G$5:$G$120&lt;&gt;"acoes")))*INDEX(Inputs!$K$5:$AJ$120,0,MATCH(J$2,Inputs!$K$4:$AJ$4,0)))+SUMPRODUCT((Inputs!$E$5:$E$120=$B30)*Inputs!$F$5:$F$120*(((Inputs!$G$5:$G$120="moeda")+(Inputs!$G$5:$G$120="acoes"))*Inputs!$B$1+((Inputs!$G$5:$G$120&lt;&gt;"moeda")*(Inputs!$G$5:$G$120&lt;&gt;"acoes")))*INDEX(Inputs!$K$5:$AJ$120,0,MATCH(J$2,Inputs!$K$4:$AJ$4,0)))))</f>
        <v>126.6</v>
      </c>
      <c r="K30" s="6">
        <f>IF(ISNA(MATCH(K$2,Inputs!$K$4:$AJ$4,0)),NA(),IF(SUMPRODUCT((Inputs!$A$5:$A$120=$B30)*ISNUMBER(INDEX(Inputs!$K$5:$AJ$120,0,MATCH(K$2,Inputs!$K$4:$AJ$4,0))))+SUMPRODUCT((Inputs!$C$5:$C$120=$B30)*ISNUMBER(INDEX(Inputs!$K$5:$AJ$120,0,MATCH(K$2,Inputs!$K$4:$AJ$4,0))))+SUMPRODUCT((Inputs!$E$5:$E$120=$B30)*ISNUMBER(INDEX(Inputs!$K$5:$AJ$120,0,MATCH(K$2,Inputs!$K$4:$AJ$4,0))))=0,NA(),SUMPRODUCT((Inputs!$A$5:$A$120=$B30)*Inputs!$B$5:$B$120*(((Inputs!$G$5:$G$120="moeda")+(Inputs!$G$5:$G$120="acoes"))*Inputs!$B$1+((Inputs!$G$5:$G$120&lt;&gt;"moeda")*(Inputs!$G$5:$G$120&lt;&gt;"acoes")))*INDEX(Inputs!$K$5:$AJ$120,0,MATCH(K$2,Inputs!$K$4:$AJ$4,0)))+SUMPRODUCT((Inputs!$C$5:$C$120=$B30)*Inputs!$D$5:$D$120*(((Inputs!$G$5:$G$120="moeda")+(Inputs!$G$5:$G$120="acoes"))*Inputs!$B$1+((Inputs!$G$5:$G$120&lt;&gt;"moeda")*(Inputs!$G$5:$G$120&lt;&gt;"acoes")))*INDEX(Inputs!$K$5:$AJ$120,0,MATCH(K$2,Inputs!$K$4:$AJ$4,0)))+SUMPRODUCT((Inputs!$E$5:$E$120=$B30)*Inputs!$F$5:$F$120*(((Inputs!$G$5:$G$120="moeda")+(Inputs!$G$5:$G$120="acoes"))*Inputs!$B$1+((Inputs!$G$5:$G$120&lt;&gt;"moeda")*(Inputs!$G$5:$G$120&lt;&gt;"acoes")))*INDEX(Inputs!$K$5:$AJ$120,0,MATCH(K$2,Inputs!$K$4:$AJ$4,0)))))</f>
        <v>685.6</v>
      </c>
      <c r="L30" s="6">
        <f>IF(ISNA(MATCH(L$2,Inputs!$K$4:$AJ$4,0)),NA(),IF(SUMPRODUCT((Inputs!$A$5:$A$120=$B30)*ISNUMBER(INDEX(Inputs!$K$5:$AJ$120,0,MATCH(L$2,Inputs!$K$4:$AJ$4,0))))+SUMPRODUCT((Inputs!$C$5:$C$120=$B30)*ISNUMBER(INDEX(Inputs!$K$5:$AJ$120,0,MATCH(L$2,Inputs!$K$4:$AJ$4,0))))+SUMPRODUCT((Inputs!$E$5:$E$120=$B30)*ISNUMBER(INDEX(Inputs!$K$5:$AJ$120,0,MATCH(L$2,Inputs!$K$4:$AJ$4,0))))=0,NA(),SUMPRODUCT((Inputs!$A$5:$A$120=$B30)*Inputs!$B$5:$B$120*(((Inputs!$G$5:$G$120="moeda")+(Inputs!$G$5:$G$120="acoes"))*Inputs!$B$1+((Inputs!$G$5:$G$120&lt;&gt;"moeda")*(Inputs!$G$5:$G$120&lt;&gt;"acoes")))*INDEX(Inputs!$K$5:$AJ$120,0,MATCH(L$2,Inputs!$K$4:$AJ$4,0)))+SUMPRODUCT((Inputs!$C$5:$C$120=$B30)*Inputs!$D$5:$D$120*(((Inputs!$G$5:$G$120="moeda")+(Inputs!$G$5:$G$120="acoes"))*Inputs!$B$1+((Inputs!$G$5:$G$120&lt;&gt;"moeda")*(Inputs!$G$5:$G$120&lt;&gt;"acoes")))*INDEX(Inputs!$K$5:$AJ$120,0,MATCH(L$2,Inputs!$K$4:$AJ$4,0)))+SUMPRODUCT((Inputs!$E$5:$E$120=$B30)*Inputs!$F$5:$F$120*(((Inputs!$G$5:$G$120="moeda")+(Inputs!$G$5:$G$120="acoes"))*Inputs!$B$1+((Inputs!$G$5:$G$120&lt;&gt;"moeda")*(Inputs!$G$5:$G$120&lt;&gt;"acoes")))*INDEX(Inputs!$K$5:$AJ$120,0,MATCH(L$2,Inputs!$K$4:$AJ$4,0)))))</f>
        <v>475.1</v>
      </c>
      <c r="M30" s="3">
        <f>L30</f>
        <v>475.1</v>
      </c>
      <c r="N30" s="6">
        <f>IF(ISNA(MATCH(N$2,Inputs!$K$4:$AJ$4,0)),NA(),IF(SUMPRODUCT((Inputs!$A$5:$A$120=$B30)*ISNUMBER(INDEX(Inputs!$K$5:$AJ$120,0,MATCH(N$2,Inputs!$K$4:$AJ$4,0))))+SUMPRODUCT((Inputs!$C$5:$C$120=$B30)*ISNUMBER(INDEX(Inputs!$K$5:$AJ$120,0,MATCH(N$2,Inputs!$K$4:$AJ$4,0))))+SUMPRODUCT((Inputs!$E$5:$E$120=$B30)*ISNUMBER(INDEX(Inputs!$K$5:$AJ$120,0,MATCH(N$2,Inputs!$K$4:$AJ$4,0))))=0,NA(),SUMPRODUCT((Inputs!$A$5:$A$120=$B30)*Inputs!$B$5:$B$120*(((Inputs!$G$5:$G$120="moeda")+(Inputs!$G$5:$G$120="acoes"))*Inputs!$B$1+((Inputs!$G$5:$G$120&lt;&gt;"moeda")*(Inputs!$G$5:$G$120&lt;&gt;"acoes")))*INDEX(Inputs!$K$5:$AJ$120,0,MATCH(N$2,Inputs!$K$4:$AJ$4,0)))+SUMPRODUCT((Inputs!$C$5:$C$120=$B30)*Inputs!$D$5:$D$120*(((Inputs!$G$5:$G$120="moeda")+(Inputs!$G$5:$G$120="acoes"))*Inputs!$B$1+((Inputs!$G$5:$G$120&lt;&gt;"moeda")*(Inputs!$G$5:$G$120&lt;&gt;"acoes")))*INDEX(Inputs!$K$5:$AJ$120,0,MATCH(N$2,Inputs!$K$4:$AJ$4,0)))+SUMPRODUCT((Inputs!$E$5:$E$120=$B30)*Inputs!$F$5:$F$120*(((Inputs!$G$5:$G$120="moeda")+(Inputs!$G$5:$G$120="acoes"))*Inputs!$B$1+((Inputs!$G$5:$G$120&lt;&gt;"moeda")*(Inputs!$G$5:$G$120&lt;&gt;"acoes")))*INDEX(Inputs!$K$5:$AJ$120,0,MATCH(N$2,Inputs!$K$4:$AJ$4,0)))))</f>
        <v>1528.3</v>
      </c>
      <c r="O30" s="6">
        <f>IF(ISNA(MATCH(O$2,Inputs!$K$4:$AJ$4,0)),NA(),IF(SUMPRODUCT((Inputs!$A$5:$A$120=$B30)*ISNUMBER(INDEX(Inputs!$K$5:$AJ$120,0,MATCH(O$2,Inputs!$K$4:$AJ$4,0))))+SUMPRODUCT((Inputs!$C$5:$C$120=$B30)*ISNUMBER(INDEX(Inputs!$K$5:$AJ$120,0,MATCH(O$2,Inputs!$K$4:$AJ$4,0))))+SUMPRODUCT((Inputs!$E$5:$E$120=$B30)*ISNUMBER(INDEX(Inputs!$K$5:$AJ$120,0,MATCH(O$2,Inputs!$K$4:$AJ$4,0))))=0,NA(),SUMPRODUCT((Inputs!$A$5:$A$120=$B30)*Inputs!$B$5:$B$120*(((Inputs!$G$5:$G$120="moeda")+(Inputs!$G$5:$G$120="acoes"))*Inputs!$B$1+((Inputs!$G$5:$G$120&lt;&gt;"moeda")*(Inputs!$G$5:$G$120&lt;&gt;"acoes")))*INDEX(Inputs!$K$5:$AJ$120,0,MATCH(O$2,Inputs!$K$4:$AJ$4,0)))+SUMPRODUCT((Inputs!$C$5:$C$120=$B30)*Inputs!$D$5:$D$120*(((Inputs!$G$5:$G$120="moeda")+(Inputs!$G$5:$G$120="acoes"))*Inputs!$B$1+((Inputs!$G$5:$G$120&lt;&gt;"moeda")*(Inputs!$G$5:$G$120&lt;&gt;"acoes")))*INDEX(Inputs!$K$5:$AJ$120,0,MATCH(O$2,Inputs!$K$4:$AJ$4,0)))+SUMPRODUCT((Inputs!$E$5:$E$120=$B30)*Inputs!$F$5:$F$120*(((Inputs!$G$5:$G$120="moeda")+(Inputs!$G$5:$G$120="acoes"))*Inputs!$B$1+((Inputs!$G$5:$G$120&lt;&gt;"moeda")*(Inputs!$G$5:$G$120&lt;&gt;"acoes")))*INDEX(Inputs!$K$5:$AJ$120,0,MATCH(O$2,Inputs!$K$4:$AJ$4,0)))))</f>
        <v>1233.8</v>
      </c>
      <c r="P30" s="6">
        <f>IF(ISNA(MATCH(P$2,Inputs!$K$4:$AJ$4,0)),NA(),IF(SUMPRODUCT((Inputs!$A$5:$A$120=$B30)*ISNUMBER(INDEX(Inputs!$K$5:$AJ$120,0,MATCH(P$2,Inputs!$K$4:$AJ$4,0))))+SUMPRODUCT((Inputs!$C$5:$C$120=$B30)*ISNUMBER(INDEX(Inputs!$K$5:$AJ$120,0,MATCH(P$2,Inputs!$K$4:$AJ$4,0))))+SUMPRODUCT((Inputs!$E$5:$E$120=$B30)*ISNUMBER(INDEX(Inputs!$K$5:$AJ$120,0,MATCH(P$2,Inputs!$K$4:$AJ$4,0))))=0,NA(),SUMPRODUCT((Inputs!$A$5:$A$120=$B30)*Inputs!$B$5:$B$120*(((Inputs!$G$5:$G$120="moeda")+(Inputs!$G$5:$G$120="acoes"))*Inputs!$B$1+((Inputs!$G$5:$G$120&lt;&gt;"moeda")*(Inputs!$G$5:$G$120&lt;&gt;"acoes")))*INDEX(Inputs!$K$5:$AJ$120,0,MATCH(P$2,Inputs!$K$4:$AJ$4,0)))+SUMPRODUCT((Inputs!$C$5:$C$120=$B30)*Inputs!$D$5:$D$120*(((Inputs!$G$5:$G$120="moeda")+(Inputs!$G$5:$G$120="acoes"))*Inputs!$B$1+((Inputs!$G$5:$G$120&lt;&gt;"moeda")*(Inputs!$G$5:$G$120&lt;&gt;"acoes")))*INDEX(Inputs!$K$5:$AJ$120,0,MATCH(P$2,Inputs!$K$4:$AJ$4,0)))+SUMPRODUCT((Inputs!$E$5:$E$120=$B30)*Inputs!$F$5:$F$120*(((Inputs!$G$5:$G$120="moeda")+(Inputs!$G$5:$G$120="acoes"))*Inputs!$B$1+((Inputs!$G$5:$G$120&lt;&gt;"moeda")*(Inputs!$G$5:$G$120&lt;&gt;"acoes")))*INDEX(Inputs!$K$5:$AJ$120,0,MATCH(P$2,Inputs!$K$4:$AJ$4,0)))))</f>
        <v>1977.5</v>
      </c>
      <c r="Q30" s="6">
        <f>IF(ISNA(MATCH(Q$2,Inputs!$K$4:$AJ$4,0)),NA(),IF(SUMPRODUCT((Inputs!$A$5:$A$120=$B30)*ISNUMBER(INDEX(Inputs!$K$5:$AJ$120,0,MATCH(Q$2,Inputs!$K$4:$AJ$4,0))))+SUMPRODUCT((Inputs!$C$5:$C$120=$B30)*ISNUMBER(INDEX(Inputs!$K$5:$AJ$120,0,MATCH(Q$2,Inputs!$K$4:$AJ$4,0))))+SUMPRODUCT((Inputs!$E$5:$E$120=$B30)*ISNUMBER(INDEX(Inputs!$K$5:$AJ$120,0,MATCH(Q$2,Inputs!$K$4:$AJ$4,0))))=0,NA(),SUMPRODUCT((Inputs!$A$5:$A$120=$B30)*Inputs!$B$5:$B$120*(((Inputs!$G$5:$G$120="moeda")+(Inputs!$G$5:$G$120="acoes"))*Inputs!$B$1+((Inputs!$G$5:$G$120&lt;&gt;"moeda")*(Inputs!$G$5:$G$120&lt;&gt;"acoes")))*INDEX(Inputs!$K$5:$AJ$120,0,MATCH(Q$2,Inputs!$K$4:$AJ$4,0)))+SUMPRODUCT((Inputs!$C$5:$C$120=$B30)*Inputs!$D$5:$D$120*(((Inputs!$G$5:$G$120="moeda")+(Inputs!$G$5:$G$120="acoes"))*Inputs!$B$1+((Inputs!$G$5:$G$120&lt;&gt;"moeda")*(Inputs!$G$5:$G$120&lt;&gt;"acoes")))*INDEX(Inputs!$K$5:$AJ$120,0,MATCH(Q$2,Inputs!$K$4:$AJ$4,0)))+SUMPRODUCT((Inputs!$E$5:$E$120=$B30)*Inputs!$F$5:$F$120*(((Inputs!$G$5:$G$120="moeda")+(Inputs!$G$5:$G$120="acoes"))*Inputs!$B$1+((Inputs!$G$5:$G$120&lt;&gt;"moeda")*(Inputs!$G$5:$G$120&lt;&gt;"acoes")))*INDEX(Inputs!$K$5:$AJ$120,0,MATCH(Q$2,Inputs!$K$4:$AJ$4,0)))))</f>
        <v>0</v>
      </c>
      <c r="R30" s="3">
        <f>Q30</f>
        <v>0</v>
      </c>
      <c r="S30" s="6">
        <f>IF(ISNA(MATCH(S$2,Inputs!$K$4:$AJ$4,0)),NA(),IF(SUMPRODUCT((Inputs!$A$5:$A$120=$B30)*ISNUMBER(INDEX(Inputs!$K$5:$AJ$120,0,MATCH(S$2,Inputs!$K$4:$AJ$4,0))))+SUMPRODUCT((Inputs!$C$5:$C$120=$B30)*ISNUMBER(INDEX(Inputs!$K$5:$AJ$120,0,MATCH(S$2,Inputs!$K$4:$AJ$4,0))))+SUMPRODUCT((Inputs!$E$5:$E$120=$B30)*ISNUMBER(INDEX(Inputs!$K$5:$AJ$120,0,MATCH(S$2,Inputs!$K$4:$AJ$4,0))))=0,NA(),SUMPRODUCT((Inputs!$A$5:$A$120=$B30)*Inputs!$B$5:$B$120*(((Inputs!$G$5:$G$120="moeda")+(Inputs!$G$5:$G$120="acoes"))*Inputs!$B$1+((Inputs!$G$5:$G$120&lt;&gt;"moeda")*(Inputs!$G$5:$G$120&lt;&gt;"acoes")))*INDEX(Inputs!$K$5:$AJ$120,0,MATCH(S$2,Inputs!$K$4:$AJ$4,0)))+SUMPRODUCT((Inputs!$C$5:$C$120=$B30)*Inputs!$D$5:$D$120*(((Inputs!$G$5:$G$120="moeda")+(Inputs!$G$5:$G$120="acoes"))*Inputs!$B$1+((Inputs!$G$5:$G$120&lt;&gt;"moeda")*(Inputs!$G$5:$G$120&lt;&gt;"acoes")))*INDEX(Inputs!$K$5:$AJ$120,0,MATCH(S$2,Inputs!$K$4:$AJ$4,0)))+SUMPRODUCT((Inputs!$E$5:$E$120=$B30)*Inputs!$F$5:$F$120*(((Inputs!$G$5:$G$120="moeda")+(Inputs!$G$5:$G$120="acoes"))*Inputs!$B$1+((Inputs!$G$5:$G$120&lt;&gt;"moeda")*(Inputs!$G$5:$G$120&lt;&gt;"acoes")))*INDEX(Inputs!$K$5:$AJ$120,0,MATCH(S$2,Inputs!$K$4:$AJ$4,0)))))</f>
        <v>0</v>
      </c>
      <c r="T30" s="6">
        <f>IF(ISNA(MATCH(T$2,Inputs!$K$4:$AJ$4,0)),NA(),IF(SUMPRODUCT((Inputs!$A$5:$A$120=$B30)*ISNUMBER(INDEX(Inputs!$K$5:$AJ$120,0,MATCH(T$2,Inputs!$K$4:$AJ$4,0))))+SUMPRODUCT((Inputs!$C$5:$C$120=$B30)*ISNUMBER(INDEX(Inputs!$K$5:$AJ$120,0,MATCH(T$2,Inputs!$K$4:$AJ$4,0))))+SUMPRODUCT((Inputs!$E$5:$E$120=$B30)*ISNUMBER(INDEX(Inputs!$K$5:$AJ$120,0,MATCH(T$2,Inputs!$K$4:$AJ$4,0))))=0,NA(),SUMPRODUCT((Inputs!$A$5:$A$120=$B30)*Inputs!$B$5:$B$120*(((Inputs!$G$5:$G$120="moeda")+(Inputs!$G$5:$G$120="acoes"))*Inputs!$B$1+((Inputs!$G$5:$G$120&lt;&gt;"moeda")*(Inputs!$G$5:$G$120&lt;&gt;"acoes")))*INDEX(Inputs!$K$5:$AJ$120,0,MATCH(T$2,Inputs!$K$4:$AJ$4,0)))+SUMPRODUCT((Inputs!$C$5:$C$120=$B30)*Inputs!$D$5:$D$120*(((Inputs!$G$5:$G$120="moeda")+(Inputs!$G$5:$G$120="acoes"))*Inputs!$B$1+((Inputs!$G$5:$G$120&lt;&gt;"moeda")*(Inputs!$G$5:$G$120&lt;&gt;"acoes")))*INDEX(Inputs!$K$5:$AJ$120,0,MATCH(T$2,Inputs!$K$4:$AJ$4,0)))+SUMPRODUCT((Inputs!$E$5:$E$120=$B30)*Inputs!$F$5:$F$120*(((Inputs!$G$5:$G$120="moeda")+(Inputs!$G$5:$G$120="acoes"))*Inputs!$B$1+((Inputs!$G$5:$G$120&lt;&gt;"moeda")*(Inputs!$G$5:$G$120&lt;&gt;"acoes")))*INDEX(Inputs!$K$5:$AJ$120,0,MATCH(T$2,Inputs!$K$4:$AJ$4,0)))))</f>
        <v>0</v>
      </c>
      <c r="U30" s="6">
        <f>IF(ISNA(MATCH(U$2,Inputs!$K$4:$AJ$4,0)),NA(),IF(SUMPRODUCT((Inputs!$A$5:$A$120=$B30)*ISNUMBER(INDEX(Inputs!$K$5:$AJ$120,0,MATCH(U$2,Inputs!$K$4:$AJ$4,0))))+SUMPRODUCT((Inputs!$C$5:$C$120=$B30)*ISNUMBER(INDEX(Inputs!$K$5:$AJ$120,0,MATCH(U$2,Inputs!$K$4:$AJ$4,0))))+SUMPRODUCT((Inputs!$E$5:$E$120=$B30)*ISNUMBER(INDEX(Inputs!$K$5:$AJ$120,0,MATCH(U$2,Inputs!$K$4:$AJ$4,0))))=0,NA(),SUMPRODUCT((Inputs!$A$5:$A$120=$B30)*Inputs!$B$5:$B$120*(((Inputs!$G$5:$G$120="moeda")+(Inputs!$G$5:$G$120="acoes"))*Inputs!$B$1+((Inputs!$G$5:$G$120&lt;&gt;"moeda")*(Inputs!$G$5:$G$120&lt;&gt;"acoes")))*INDEX(Inputs!$K$5:$AJ$120,0,MATCH(U$2,Inputs!$K$4:$AJ$4,0)))+SUMPRODUCT((Inputs!$C$5:$C$120=$B30)*Inputs!$D$5:$D$120*(((Inputs!$G$5:$G$120="moeda")+(Inputs!$G$5:$G$120="acoes"))*Inputs!$B$1+((Inputs!$G$5:$G$120&lt;&gt;"moeda")*(Inputs!$G$5:$G$120&lt;&gt;"acoes")))*INDEX(Inputs!$K$5:$AJ$120,0,MATCH(U$2,Inputs!$K$4:$AJ$4,0)))+SUMPRODUCT((Inputs!$E$5:$E$120=$B30)*Inputs!$F$5:$F$120*(((Inputs!$G$5:$G$120="moeda")+(Inputs!$G$5:$G$120="acoes"))*Inputs!$B$1+((Inputs!$G$5:$G$120&lt;&gt;"moeda")*(Inputs!$G$5:$G$120&lt;&gt;"acoes")))*INDEX(Inputs!$K$5:$AJ$120,0,MATCH(U$2,Inputs!$K$4:$AJ$4,0)))))</f>
        <v>0</v>
      </c>
      <c r="V30" s="6">
        <f>IF(ISNA(MATCH(V$2,Inputs!$K$4:$AJ$4,0)),NA(),IF(SUMPRODUCT((Inputs!$A$5:$A$120=$B30)*ISNUMBER(INDEX(Inputs!$K$5:$AJ$120,0,MATCH(V$2,Inputs!$K$4:$AJ$4,0))))+SUMPRODUCT((Inputs!$C$5:$C$120=$B30)*ISNUMBER(INDEX(Inputs!$K$5:$AJ$120,0,MATCH(V$2,Inputs!$K$4:$AJ$4,0))))+SUMPRODUCT((Inputs!$E$5:$E$120=$B30)*ISNUMBER(INDEX(Inputs!$K$5:$AJ$120,0,MATCH(V$2,Inputs!$K$4:$AJ$4,0))))=0,NA(),SUMPRODUCT((Inputs!$A$5:$A$120=$B30)*Inputs!$B$5:$B$120*(((Inputs!$G$5:$G$120="moeda")+(Inputs!$G$5:$G$120="acoes"))*Inputs!$B$1+((Inputs!$G$5:$G$120&lt;&gt;"moeda")*(Inputs!$G$5:$G$120&lt;&gt;"acoes")))*INDEX(Inputs!$K$5:$AJ$120,0,MATCH(V$2,Inputs!$K$4:$AJ$4,0)))+SUMPRODUCT((Inputs!$C$5:$C$120=$B30)*Inputs!$D$5:$D$120*(((Inputs!$G$5:$G$120="moeda")+(Inputs!$G$5:$G$120="acoes"))*Inputs!$B$1+((Inputs!$G$5:$G$120&lt;&gt;"moeda")*(Inputs!$G$5:$G$120&lt;&gt;"acoes")))*INDEX(Inputs!$K$5:$AJ$120,0,MATCH(V$2,Inputs!$K$4:$AJ$4,0)))+SUMPRODUCT((Inputs!$E$5:$E$120=$B30)*Inputs!$F$5:$F$120*(((Inputs!$G$5:$G$120="moeda")+(Inputs!$G$5:$G$120="acoes"))*Inputs!$B$1+((Inputs!$G$5:$G$120&lt;&gt;"moeda")*(Inputs!$G$5:$G$120&lt;&gt;"acoes")))*INDEX(Inputs!$K$5:$AJ$120,0,MATCH(V$2,Inputs!$K$4:$AJ$4,0)))))</f>
        <v>0</v>
      </c>
      <c r="W30" s="3">
        <f>V30</f>
        <v>0</v>
      </c>
      <c r="X30" s="6">
        <f>IF(ISNA(MATCH(X$2,Inputs!$K$4:$AJ$4,0)),NA(),IF(SUMPRODUCT((Inputs!$A$5:$A$120=$B30)*ISNUMBER(INDEX(Inputs!$K$5:$AJ$120,0,MATCH(X$2,Inputs!$K$4:$AJ$4,0))))+SUMPRODUCT((Inputs!$C$5:$C$120=$B30)*ISNUMBER(INDEX(Inputs!$K$5:$AJ$120,0,MATCH(X$2,Inputs!$K$4:$AJ$4,0))))+SUMPRODUCT((Inputs!$E$5:$E$120=$B30)*ISNUMBER(INDEX(Inputs!$K$5:$AJ$120,0,MATCH(X$2,Inputs!$K$4:$AJ$4,0))))=0,NA(),SUMPRODUCT((Inputs!$A$5:$A$120=$B30)*Inputs!$B$5:$B$120*(((Inputs!$G$5:$G$120="moeda")+(Inputs!$G$5:$G$120="acoes"))*Inputs!$B$1+((Inputs!$G$5:$G$120&lt;&gt;"moeda")*(Inputs!$G$5:$G$120&lt;&gt;"acoes")))*INDEX(Inputs!$K$5:$AJ$120,0,MATCH(X$2,Inputs!$K$4:$AJ$4,0)))+SUMPRODUCT((Inputs!$C$5:$C$120=$B30)*Inputs!$D$5:$D$120*(((Inputs!$G$5:$G$120="moeda")+(Inputs!$G$5:$G$120="acoes"))*Inputs!$B$1+((Inputs!$G$5:$G$120&lt;&gt;"moeda")*(Inputs!$G$5:$G$120&lt;&gt;"acoes")))*INDEX(Inputs!$K$5:$AJ$120,0,MATCH(X$2,Inputs!$K$4:$AJ$4,0)))+SUMPRODUCT((Inputs!$E$5:$E$120=$B30)*Inputs!$F$5:$F$120*(((Inputs!$G$5:$G$120="moeda")+(Inputs!$G$5:$G$120="acoes"))*Inputs!$B$1+((Inputs!$G$5:$G$120&lt;&gt;"moeda")*(Inputs!$G$5:$G$120&lt;&gt;"acoes")))*INDEX(Inputs!$K$5:$AJ$120,0,MATCH(X$2,Inputs!$K$4:$AJ$4,0)))))</f>
        <v>6175.7</v>
      </c>
      <c r="Y30" s="6">
        <f>IF(ISNA(MATCH(Y$2,Inputs!$K$4:$AJ$4,0)),NA(),IF(SUMPRODUCT((Inputs!$A$5:$A$120=$B30)*ISNUMBER(INDEX(Inputs!$K$5:$AJ$120,0,MATCH(Y$2,Inputs!$K$4:$AJ$4,0))))+SUMPRODUCT((Inputs!$C$5:$C$120=$B30)*ISNUMBER(INDEX(Inputs!$K$5:$AJ$120,0,MATCH(Y$2,Inputs!$K$4:$AJ$4,0))))+SUMPRODUCT((Inputs!$E$5:$E$120=$B30)*ISNUMBER(INDEX(Inputs!$K$5:$AJ$120,0,MATCH(Y$2,Inputs!$K$4:$AJ$4,0))))=0,NA(),SUMPRODUCT((Inputs!$A$5:$A$120=$B30)*Inputs!$B$5:$B$120*(((Inputs!$G$5:$G$120="moeda")+(Inputs!$G$5:$G$120="acoes"))*Inputs!$B$1+((Inputs!$G$5:$G$120&lt;&gt;"moeda")*(Inputs!$G$5:$G$120&lt;&gt;"acoes")))*INDEX(Inputs!$K$5:$AJ$120,0,MATCH(Y$2,Inputs!$K$4:$AJ$4,0)))+SUMPRODUCT((Inputs!$C$5:$C$120=$B30)*Inputs!$D$5:$D$120*(((Inputs!$G$5:$G$120="moeda")+(Inputs!$G$5:$G$120="acoes"))*Inputs!$B$1+((Inputs!$G$5:$G$120&lt;&gt;"moeda")*(Inputs!$G$5:$G$120&lt;&gt;"acoes")))*INDEX(Inputs!$K$5:$AJ$120,0,MATCH(Y$2,Inputs!$K$4:$AJ$4,0)))+SUMPRODUCT((Inputs!$E$5:$E$120=$B30)*Inputs!$F$5:$F$120*(((Inputs!$G$5:$G$120="moeda")+(Inputs!$G$5:$G$120="acoes"))*Inputs!$B$1+((Inputs!$G$5:$G$120&lt;&gt;"moeda")*(Inputs!$G$5:$G$120&lt;&gt;"acoes")))*INDEX(Inputs!$K$5:$AJ$120,0,MATCH(Y$2,Inputs!$K$4:$AJ$4,0)))))</f>
        <v>6958</v>
      </c>
      <c r="Z30" s="6">
        <f>IF(ISNA(MATCH(Z$2,Inputs!$K$4:$AJ$4,0)),NA(),IF(SUMPRODUCT((Inputs!$A$5:$A$120=$B30)*ISNUMBER(INDEX(Inputs!$K$5:$AJ$120,0,MATCH(Z$2,Inputs!$K$4:$AJ$4,0))))+SUMPRODUCT((Inputs!$C$5:$C$120=$B30)*ISNUMBER(INDEX(Inputs!$K$5:$AJ$120,0,MATCH(Z$2,Inputs!$K$4:$AJ$4,0))))+SUMPRODUCT((Inputs!$E$5:$E$120=$B30)*ISNUMBER(INDEX(Inputs!$K$5:$AJ$120,0,MATCH(Z$2,Inputs!$K$4:$AJ$4,0))))=0,NA(),SUMPRODUCT((Inputs!$A$5:$A$120=$B30)*Inputs!$B$5:$B$120*(((Inputs!$G$5:$G$120="moeda")+(Inputs!$G$5:$G$120="acoes"))*Inputs!$B$1+((Inputs!$G$5:$G$120&lt;&gt;"moeda")*(Inputs!$G$5:$G$120&lt;&gt;"acoes")))*INDEX(Inputs!$K$5:$AJ$120,0,MATCH(Z$2,Inputs!$K$4:$AJ$4,0)))+SUMPRODUCT((Inputs!$C$5:$C$120=$B30)*Inputs!$D$5:$D$120*(((Inputs!$G$5:$G$120="moeda")+(Inputs!$G$5:$G$120="acoes"))*Inputs!$B$1+((Inputs!$G$5:$G$120&lt;&gt;"moeda")*(Inputs!$G$5:$G$120&lt;&gt;"acoes")))*INDEX(Inputs!$K$5:$AJ$120,0,MATCH(Z$2,Inputs!$K$4:$AJ$4,0)))+SUMPRODUCT((Inputs!$E$5:$E$120=$B30)*Inputs!$F$5:$F$120*(((Inputs!$G$5:$G$120="moeda")+(Inputs!$G$5:$G$120="acoes"))*Inputs!$B$1+((Inputs!$G$5:$G$120&lt;&gt;"moeda")*(Inputs!$G$5:$G$120&lt;&gt;"acoes")))*INDEX(Inputs!$K$5:$AJ$120,0,MATCH(Z$2,Inputs!$K$4:$AJ$4,0)))))</f>
        <v>9444.4</v>
      </c>
      <c r="AA30" s="6">
        <f>IF(ISNA(MATCH(AA$2,Inputs!$K$4:$AJ$4,0)),NA(),IF(SUMPRODUCT((Inputs!$A$5:$A$120=$B30)*ISNUMBER(INDEX(Inputs!$K$5:$AJ$120,0,MATCH(AA$2,Inputs!$K$4:$AJ$4,0))))+SUMPRODUCT((Inputs!$C$5:$C$120=$B30)*ISNUMBER(INDEX(Inputs!$K$5:$AJ$120,0,MATCH(AA$2,Inputs!$K$4:$AJ$4,0))))+SUMPRODUCT((Inputs!$E$5:$E$120=$B30)*ISNUMBER(INDEX(Inputs!$K$5:$AJ$120,0,MATCH(AA$2,Inputs!$K$4:$AJ$4,0))))=0,NA(),SUMPRODUCT((Inputs!$A$5:$A$120=$B30)*Inputs!$B$5:$B$120*(((Inputs!$G$5:$G$120="moeda")+(Inputs!$G$5:$G$120="acoes"))*Inputs!$B$1+((Inputs!$G$5:$G$120&lt;&gt;"moeda")*(Inputs!$G$5:$G$120&lt;&gt;"acoes")))*INDEX(Inputs!$K$5:$AJ$120,0,MATCH(AA$2,Inputs!$K$4:$AJ$4,0)))+SUMPRODUCT((Inputs!$C$5:$C$120=$B30)*Inputs!$D$5:$D$120*(((Inputs!$G$5:$G$120="moeda")+(Inputs!$G$5:$G$120="acoes"))*Inputs!$B$1+((Inputs!$G$5:$G$120&lt;&gt;"moeda")*(Inputs!$G$5:$G$120&lt;&gt;"acoes")))*INDEX(Inputs!$K$5:$AJ$120,0,MATCH(AA$2,Inputs!$K$4:$AJ$4,0)))+SUMPRODUCT((Inputs!$E$5:$E$120=$B30)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0" s="3">
        <f>AA30</f>
        <v>0</v>
      </c>
      <c r="AC30" s="6">
        <f>IF(ISNA(MATCH(AC$2,Inputs!$K$4:$AJ$4,0)),NA(),IF(SUMPRODUCT((Inputs!$A$5:$A$120=$B30)*ISNUMBER(INDEX(Inputs!$K$5:$AJ$120,0,MATCH(AC$2,Inputs!$K$4:$AJ$4,0))))+SUMPRODUCT((Inputs!$C$5:$C$120=$B30)*ISNUMBER(INDEX(Inputs!$K$5:$AJ$120,0,MATCH(AC$2,Inputs!$K$4:$AJ$4,0))))+SUMPRODUCT((Inputs!$E$5:$E$120=$B30)*ISNUMBER(INDEX(Inputs!$K$5:$AJ$120,0,MATCH(AC$2,Inputs!$K$4:$AJ$4,0))))=0,NA(),SUMPRODUCT((Inputs!$A$5:$A$120=$B30)*Inputs!$B$5:$B$120*(((Inputs!$G$5:$G$120="moeda")+(Inputs!$G$5:$G$120="acoes"))*Inputs!$B$1+((Inputs!$G$5:$G$120&lt;&gt;"moeda")*(Inputs!$G$5:$G$120&lt;&gt;"acoes")))*INDEX(Inputs!$K$5:$AJ$120,0,MATCH(AC$2,Inputs!$K$4:$AJ$4,0)))+SUMPRODUCT((Inputs!$C$5:$C$120=$B30)*Inputs!$D$5:$D$120*(((Inputs!$G$5:$G$120="moeda")+(Inputs!$G$5:$G$120="acoes"))*Inputs!$B$1+((Inputs!$G$5:$G$120&lt;&gt;"moeda")*(Inputs!$G$5:$G$120&lt;&gt;"acoes")))*INDEX(Inputs!$K$5:$AJ$120,0,MATCH(AC$2,Inputs!$K$4:$AJ$4,0)))+SUMPRODUCT((Inputs!$E$5:$E$120=$B30)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0" s="6">
        <f>IF(ISNA(MATCH(AD$2,Inputs!$K$4:$AJ$4,0)),NA(),IF(SUMPRODUCT((Inputs!$A$5:$A$120=$B30)*ISNUMBER(INDEX(Inputs!$K$5:$AJ$120,0,MATCH(AD$2,Inputs!$K$4:$AJ$4,0))))+SUMPRODUCT((Inputs!$C$5:$C$120=$B30)*ISNUMBER(INDEX(Inputs!$K$5:$AJ$120,0,MATCH(AD$2,Inputs!$K$4:$AJ$4,0))))+SUMPRODUCT((Inputs!$E$5:$E$120=$B30)*ISNUMBER(INDEX(Inputs!$K$5:$AJ$120,0,MATCH(AD$2,Inputs!$K$4:$AJ$4,0))))=0,NA(),SUMPRODUCT((Inputs!$A$5:$A$120=$B30)*Inputs!$B$5:$B$120*(((Inputs!$G$5:$G$120="moeda")+(Inputs!$G$5:$G$120="acoes"))*Inputs!$B$1+((Inputs!$G$5:$G$120&lt;&gt;"moeda")*(Inputs!$G$5:$G$120&lt;&gt;"acoes")))*INDEX(Inputs!$K$5:$AJ$120,0,MATCH(AD$2,Inputs!$K$4:$AJ$4,0)))+SUMPRODUCT((Inputs!$C$5:$C$120=$B30)*Inputs!$D$5:$D$120*(((Inputs!$G$5:$G$120="moeda")+(Inputs!$G$5:$G$120="acoes"))*Inputs!$B$1+((Inputs!$G$5:$G$120&lt;&gt;"moeda")*(Inputs!$G$5:$G$120&lt;&gt;"acoes")))*INDEX(Inputs!$K$5:$AJ$120,0,MATCH(AD$2,Inputs!$K$4:$AJ$4,0)))+SUMPRODUCT((Inputs!$E$5:$E$120=$B30)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0" s="6" t="e">
        <f>IF(ISNA(MATCH(AE$2,Inputs!$K$4:$AJ$4,0)),NA(),IF(SUMPRODUCT((Inputs!$A$5:$A$120=$B30)*ISNUMBER(INDEX(Inputs!$K$5:$AJ$120,0,MATCH(AE$2,Inputs!$K$4:$AJ$4,0))))+SUMPRODUCT((Inputs!$C$5:$C$120=$B30)*ISNUMBER(INDEX(Inputs!$K$5:$AJ$120,0,MATCH(AE$2,Inputs!$K$4:$AJ$4,0))))+SUMPRODUCT((Inputs!$E$5:$E$120=$B30)*ISNUMBER(INDEX(Inputs!$K$5:$AJ$120,0,MATCH(AE$2,Inputs!$K$4:$AJ$4,0))))=0,NA(),SUMPRODUCT((Inputs!$A$5:$A$120=$B30)*Inputs!$B$5:$B$120*(((Inputs!$G$5:$G$120="moeda")+(Inputs!$G$5:$G$120="acoes"))*Inputs!$B$1+((Inputs!$G$5:$G$120&lt;&gt;"moeda")*(Inputs!$G$5:$G$120&lt;&gt;"acoes")))*INDEX(Inputs!$K$5:$AJ$120,0,MATCH(AE$2,Inputs!$K$4:$AJ$4,0)))+SUMPRODUCT((Inputs!$C$5:$C$120=$B30)*Inputs!$D$5:$D$120*(((Inputs!$G$5:$G$120="moeda")+(Inputs!$G$5:$G$120="acoes"))*Inputs!$B$1+((Inputs!$G$5:$G$120&lt;&gt;"moeda")*(Inputs!$G$5:$G$120&lt;&gt;"acoes")))*INDEX(Inputs!$K$5:$AJ$120,0,MATCH(AE$2,Inputs!$K$4:$AJ$4,0)))+SUMPRODUCT((Inputs!$E$5:$E$120=$B30)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0" s="6" t="e">
        <f>IF(ISNA(MATCH(AF$2,Inputs!$K$4:$AJ$4,0)),NA(),IF(SUMPRODUCT((Inputs!$A$5:$A$120=$B30)*ISNUMBER(INDEX(Inputs!$K$5:$AJ$120,0,MATCH(AF$2,Inputs!$K$4:$AJ$4,0))))+SUMPRODUCT((Inputs!$C$5:$C$120=$B30)*ISNUMBER(INDEX(Inputs!$K$5:$AJ$120,0,MATCH(AF$2,Inputs!$K$4:$AJ$4,0))))+SUMPRODUCT((Inputs!$E$5:$E$120=$B30)*ISNUMBER(INDEX(Inputs!$K$5:$AJ$120,0,MATCH(AF$2,Inputs!$K$4:$AJ$4,0))))=0,NA(),SUMPRODUCT((Inputs!$A$5:$A$120=$B30)*Inputs!$B$5:$B$120*(((Inputs!$G$5:$G$120="moeda")+(Inputs!$G$5:$G$120="acoes"))*Inputs!$B$1+((Inputs!$G$5:$G$120&lt;&gt;"moeda")*(Inputs!$G$5:$G$120&lt;&gt;"acoes")))*INDEX(Inputs!$K$5:$AJ$120,0,MATCH(AF$2,Inputs!$K$4:$AJ$4,0)))+SUMPRODUCT((Inputs!$C$5:$C$120=$B30)*Inputs!$D$5:$D$120*(((Inputs!$G$5:$G$120="moeda")+(Inputs!$G$5:$G$120="acoes"))*Inputs!$B$1+((Inputs!$G$5:$G$120&lt;&gt;"moeda")*(Inputs!$G$5:$G$120&lt;&gt;"acoes")))*INDEX(Inputs!$K$5:$AJ$120,0,MATCH(AF$2,Inputs!$K$4:$AJ$4,0)))+SUMPRODUCT((Inputs!$E$5:$E$120=$B30)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0" s="3" t="e">
        <f>AF30</f>
        <v>#N/A</v>
      </c>
      <c r="AH30" s="6">
        <f>IF(ISNA(MATCH(AH$2,Inputs!$K$4:$AJ$4,0)),NA(),IF(SUMPRODUCT((Inputs!$A$5:$A$120=$B30)*ISNUMBER(INDEX(Inputs!$K$5:$AJ$120,0,MATCH(AH$2,Inputs!$K$4:$AJ$4,0))))+SUMPRODUCT((Inputs!$C$5:$C$120=$B30)*ISNUMBER(INDEX(Inputs!$K$5:$AJ$120,0,MATCH(AH$2,Inputs!$K$4:$AJ$4,0))))+SUMPRODUCT((Inputs!$E$5:$E$120=$B30)*ISNUMBER(INDEX(Inputs!$K$5:$AJ$120,0,MATCH(AH$2,Inputs!$K$4:$AJ$4,0))))=0,NA(),SUMPRODUCT((Inputs!$A$5:$A$120=$B30)*Inputs!$B$5:$B$120*(((Inputs!$G$5:$G$120="moeda")+(Inputs!$G$5:$G$120="acoes"))*Inputs!$B$1+((Inputs!$G$5:$G$120&lt;&gt;"moeda")*(Inputs!$G$5:$G$120&lt;&gt;"acoes")))*INDEX(Inputs!$K$5:$AJ$120,0,MATCH(AH$2,Inputs!$K$4:$AJ$4,0)))+SUMPRODUCT((Inputs!$C$5:$C$120=$B30)*Inputs!$D$5:$D$120*(((Inputs!$G$5:$G$120="moeda")+(Inputs!$G$5:$G$120="acoes"))*Inputs!$B$1+((Inputs!$G$5:$G$120&lt;&gt;"moeda")*(Inputs!$G$5:$G$120&lt;&gt;"acoes")))*INDEX(Inputs!$K$5:$AJ$120,0,MATCH(AH$2,Inputs!$K$4:$AJ$4,0)))+SUMPRODUCT((Inputs!$E$5:$E$120=$B30)*Inputs!$F$5:$F$120*(((Inputs!$G$5:$G$120="moeda")+(Inputs!$G$5:$G$120="acoes"))*Inputs!$B$1+((Inputs!$G$5:$G$120&lt;&gt;"moeda")*(Inputs!$G$5:$G$120&lt;&gt;"acoes")))*INDEX(Inputs!$K$5:$AJ$120,0,MATCH(AH$2,Inputs!$K$4:$AJ$4,0)))))</f>
        <v>667.4</v>
      </c>
      <c r="AI30" s="6">
        <f>IF(ISNA(MATCH(AI$2,Inputs!$K$4:$AJ$4,0)),NA(),IF(SUMPRODUCT((Inputs!$A$5:$A$120=$B30)*ISNUMBER(INDEX(Inputs!$K$5:$AJ$120,0,MATCH(AI$2,Inputs!$K$4:$AJ$4,0))))+SUMPRODUCT((Inputs!$C$5:$C$120=$B30)*ISNUMBER(INDEX(Inputs!$K$5:$AJ$120,0,MATCH(AI$2,Inputs!$K$4:$AJ$4,0))))+SUMPRODUCT((Inputs!$E$5:$E$120=$B30)*ISNUMBER(INDEX(Inputs!$K$5:$AJ$120,0,MATCH(AI$2,Inputs!$K$4:$AJ$4,0))))=0,NA(),SUMPRODUCT((Inputs!$A$5:$A$120=$B30)*Inputs!$B$5:$B$120*(((Inputs!$G$5:$G$120="moeda")+(Inputs!$G$5:$G$120="acoes"))*Inputs!$B$1+((Inputs!$G$5:$G$120&lt;&gt;"moeda")*(Inputs!$G$5:$G$120&lt;&gt;"acoes")))*INDEX(Inputs!$K$5:$AJ$120,0,MATCH(AI$2,Inputs!$K$4:$AJ$4,0)))+SUMPRODUCT((Inputs!$C$5:$C$120=$B30)*Inputs!$D$5:$D$120*(((Inputs!$G$5:$G$120="moeda")+(Inputs!$G$5:$G$120="acoes"))*Inputs!$B$1+((Inputs!$G$5:$G$120&lt;&gt;"moeda")*(Inputs!$G$5:$G$120&lt;&gt;"acoes")))*INDEX(Inputs!$K$5:$AJ$120,0,MATCH(AI$2,Inputs!$K$4:$AJ$4,0)))+SUMPRODUCT((Inputs!$E$5:$E$120=$B30)*Inputs!$F$5:$F$120*(((Inputs!$G$5:$G$120="moeda")+(Inputs!$G$5:$G$120="acoes"))*Inputs!$B$1+((Inputs!$G$5:$G$120&lt;&gt;"moeda")*(Inputs!$G$5:$G$120&lt;&gt;"acoes")))*INDEX(Inputs!$K$5:$AJ$120,0,MATCH(AI$2,Inputs!$K$4:$AJ$4,0)))))</f>
        <v>1460.8</v>
      </c>
      <c r="AJ30" s="6">
        <f>IF(ISNA(MATCH(AJ$2,Inputs!$K$4:$AJ$4,0)),NA(),IF(SUMPRODUCT((Inputs!$A$5:$A$120=$B30)*ISNUMBER(INDEX(Inputs!$K$5:$AJ$120,0,MATCH(AJ$2,Inputs!$K$4:$AJ$4,0))))+SUMPRODUCT((Inputs!$C$5:$C$120=$B30)*ISNUMBER(INDEX(Inputs!$K$5:$AJ$120,0,MATCH(AJ$2,Inputs!$K$4:$AJ$4,0))))+SUMPRODUCT((Inputs!$E$5:$E$120=$B30)*ISNUMBER(INDEX(Inputs!$K$5:$AJ$120,0,MATCH(AJ$2,Inputs!$K$4:$AJ$4,0))))=0,NA(),SUMPRODUCT((Inputs!$A$5:$A$120=$B30)*Inputs!$B$5:$B$120*(((Inputs!$G$5:$G$120="moeda")+(Inputs!$G$5:$G$120="acoes"))*Inputs!$B$1+((Inputs!$G$5:$G$120&lt;&gt;"moeda")*(Inputs!$G$5:$G$120&lt;&gt;"acoes")))*INDEX(Inputs!$K$5:$AJ$120,0,MATCH(AJ$2,Inputs!$K$4:$AJ$4,0)))+SUMPRODUCT((Inputs!$C$5:$C$120=$B30)*Inputs!$D$5:$D$120*(((Inputs!$G$5:$G$120="moeda")+(Inputs!$G$5:$G$120="acoes"))*Inputs!$B$1+((Inputs!$G$5:$G$120&lt;&gt;"moeda")*(Inputs!$G$5:$G$120&lt;&gt;"acoes")))*INDEX(Inputs!$K$5:$AJ$120,0,MATCH(AJ$2,Inputs!$K$4:$AJ$4,0)))+SUMPRODUCT((Inputs!$E$5:$E$120=$B30)*Inputs!$F$5:$F$120*(((Inputs!$G$5:$G$120="moeda")+(Inputs!$G$5:$G$120="acoes"))*Inputs!$B$1+((Inputs!$G$5:$G$120&lt;&gt;"moeda")*(Inputs!$G$5:$G$120&lt;&gt;"acoes")))*INDEX(Inputs!$K$5:$AJ$120,0,MATCH(AJ$2,Inputs!$K$4:$AJ$4,0)))))</f>
        <v>1173.5</v>
      </c>
      <c r="AK30" s="6">
        <f>IF(ISNA(MATCH(AK$2,Inputs!$K$4:$AJ$4,0)),NA(),IF(SUMPRODUCT((Inputs!$A$5:$A$120=$B30)*ISNUMBER(INDEX(Inputs!$K$5:$AJ$120,0,MATCH(AK$2,Inputs!$K$4:$AJ$4,0))))+SUMPRODUCT((Inputs!$C$5:$C$120=$B30)*ISNUMBER(INDEX(Inputs!$K$5:$AJ$120,0,MATCH(AK$2,Inputs!$K$4:$AJ$4,0))))+SUMPRODUCT((Inputs!$E$5:$E$120=$B30)*ISNUMBER(INDEX(Inputs!$K$5:$AJ$120,0,MATCH(AK$2,Inputs!$K$4:$AJ$4,0))))=0,NA(),SUMPRODUCT((Inputs!$A$5:$A$120=$B30)*Inputs!$B$5:$B$120*(((Inputs!$G$5:$G$120="moeda")+(Inputs!$G$5:$G$120="acoes"))*Inputs!$B$1+((Inputs!$G$5:$G$120&lt;&gt;"moeda")*(Inputs!$G$5:$G$120&lt;&gt;"acoes")))*INDEX(Inputs!$K$5:$AJ$120,0,MATCH(AK$2,Inputs!$K$4:$AJ$4,0)))+SUMPRODUCT((Inputs!$C$5:$C$120=$B30)*Inputs!$D$5:$D$120*(((Inputs!$G$5:$G$120="moeda")+(Inputs!$G$5:$G$120="acoes"))*Inputs!$B$1+((Inputs!$G$5:$G$120&lt;&gt;"moeda")*(Inputs!$G$5:$G$120&lt;&gt;"acoes")))*INDEX(Inputs!$K$5:$AJ$120,0,MATCH(AK$2,Inputs!$K$4:$AJ$4,0)))+SUMPRODUCT((Inputs!$E$5:$E$120=$B30)*Inputs!$F$5:$F$120*(((Inputs!$G$5:$G$120="moeda")+(Inputs!$G$5:$G$120="acoes"))*Inputs!$B$1+((Inputs!$G$5:$G$120&lt;&gt;"moeda")*(Inputs!$G$5:$G$120&lt;&gt;"acoes")))*INDEX(Inputs!$K$5:$AJ$120,0,MATCH(AK$2,Inputs!$K$4:$AJ$4,0)))))</f>
        <v>495.1</v>
      </c>
      <c r="AL30" s="3">
        <f>AK30</f>
        <v>495.1</v>
      </c>
    </row>
    <row r="31">
      <c r="B31" s="46" t="n">
        <v>26</v>
      </c>
      <c r="C31" s="26" t="inlineStr">
        <is>
          <t>Other current liabilities (non-debt)</t>
        </is>
      </c>
      <c r="D31" s="6">
        <f>IF(ISNA(MATCH(D$2,Inputs!$K$4:$AJ$4,0)),NA(),IF(SUMPRODUCT((Inputs!$A$5:$A$120=$B31)*ISNUMBER(INDEX(Inputs!$K$5:$AJ$120,0,MATCH(D$2,Inputs!$K$4:$AJ$4,0))))+SUMPRODUCT((Inputs!$C$5:$C$120=$B31)*ISNUMBER(INDEX(Inputs!$K$5:$AJ$120,0,MATCH(D$2,Inputs!$K$4:$AJ$4,0))))+SUMPRODUCT((Inputs!$E$5:$E$120=$B31)*ISNUMBER(INDEX(Inputs!$K$5:$AJ$120,0,MATCH(D$2,Inputs!$K$4:$AJ$4,0))))=0,NA(),SUMPRODUCT((Inputs!$A$5:$A$120=$B31)*Inputs!$B$5:$B$120*(((Inputs!$G$5:$G$120="moeda")+(Inputs!$G$5:$G$120="acoes"))*Inputs!$B$1+((Inputs!$G$5:$G$120&lt;&gt;"moeda")*(Inputs!$G$5:$G$120&lt;&gt;"acoes")))*INDEX(Inputs!$K$5:$AJ$120,0,MATCH(D$2,Inputs!$K$4:$AJ$4,0)))+SUMPRODUCT((Inputs!$C$5:$C$120=$B31)*Inputs!$D$5:$D$120*(((Inputs!$G$5:$G$120="moeda")+(Inputs!$G$5:$G$120="acoes"))*Inputs!$B$1+((Inputs!$G$5:$G$120&lt;&gt;"moeda")*(Inputs!$G$5:$G$120&lt;&gt;"acoes")))*INDEX(Inputs!$K$5:$AJ$120,0,MATCH(D$2,Inputs!$K$4:$AJ$4,0)))+SUMPRODUCT((Inputs!$E$5:$E$120=$B31)*Inputs!$F$5:$F$120*(((Inputs!$G$5:$G$120="moeda")+(Inputs!$G$5:$G$120="acoes"))*Inputs!$B$1+((Inputs!$G$5:$G$120&lt;&gt;"moeda")*(Inputs!$G$5:$G$120&lt;&gt;"acoes")))*INDEX(Inputs!$K$5:$AJ$120,0,MATCH(D$2,Inputs!$K$4:$AJ$4,0)))))</f>
        <v>8628.2</v>
      </c>
      <c r="E31" s="6">
        <f>IF(ISNA(MATCH(E$2,Inputs!$K$4:$AJ$4,0)),NA(),IF(SUMPRODUCT((Inputs!$A$5:$A$120=$B31)*ISNUMBER(INDEX(Inputs!$K$5:$AJ$120,0,MATCH(E$2,Inputs!$K$4:$AJ$4,0))))+SUMPRODUCT((Inputs!$C$5:$C$120=$B31)*ISNUMBER(INDEX(Inputs!$K$5:$AJ$120,0,MATCH(E$2,Inputs!$K$4:$AJ$4,0))))+SUMPRODUCT((Inputs!$E$5:$E$120=$B31)*ISNUMBER(INDEX(Inputs!$K$5:$AJ$120,0,MATCH(E$2,Inputs!$K$4:$AJ$4,0))))=0,NA(),SUMPRODUCT((Inputs!$A$5:$A$120=$B31)*Inputs!$B$5:$B$120*(((Inputs!$G$5:$G$120="moeda")+(Inputs!$G$5:$G$120="acoes"))*Inputs!$B$1+((Inputs!$G$5:$G$120&lt;&gt;"moeda")*(Inputs!$G$5:$G$120&lt;&gt;"acoes")))*INDEX(Inputs!$K$5:$AJ$120,0,MATCH(E$2,Inputs!$K$4:$AJ$4,0)))+SUMPRODUCT((Inputs!$C$5:$C$120=$B31)*Inputs!$D$5:$D$120*(((Inputs!$G$5:$G$120="moeda")+(Inputs!$G$5:$G$120="acoes"))*Inputs!$B$1+((Inputs!$G$5:$G$120&lt;&gt;"moeda")*(Inputs!$G$5:$G$120&lt;&gt;"acoes")))*INDEX(Inputs!$K$5:$AJ$120,0,MATCH(E$2,Inputs!$K$4:$AJ$4,0)))+SUMPRODUCT((Inputs!$E$5:$E$120=$B31)*Inputs!$F$5:$F$120*(((Inputs!$G$5:$G$120="moeda")+(Inputs!$G$5:$G$120="acoes"))*Inputs!$B$1+((Inputs!$G$5:$G$120&lt;&gt;"moeda")*(Inputs!$G$5:$G$120&lt;&gt;"acoes")))*INDEX(Inputs!$K$5:$AJ$120,0,MATCH(E$2,Inputs!$K$4:$AJ$4,0)))))</f>
        <v>10431.5</v>
      </c>
      <c r="F31" s="6">
        <f>IF(ISNA(MATCH(F$2,Inputs!$K$4:$AJ$4,0)),NA(),IF(SUMPRODUCT((Inputs!$A$5:$A$120=$B31)*ISNUMBER(INDEX(Inputs!$K$5:$AJ$120,0,MATCH(F$2,Inputs!$K$4:$AJ$4,0))))+SUMPRODUCT((Inputs!$C$5:$C$120=$B31)*ISNUMBER(INDEX(Inputs!$K$5:$AJ$120,0,MATCH(F$2,Inputs!$K$4:$AJ$4,0))))+SUMPRODUCT((Inputs!$E$5:$E$120=$B31)*ISNUMBER(INDEX(Inputs!$K$5:$AJ$120,0,MATCH(F$2,Inputs!$K$4:$AJ$4,0))))=0,NA(),SUMPRODUCT((Inputs!$A$5:$A$120=$B31)*Inputs!$B$5:$B$120*(((Inputs!$G$5:$G$120="moeda")+(Inputs!$G$5:$G$120="acoes"))*Inputs!$B$1+((Inputs!$G$5:$G$120&lt;&gt;"moeda")*(Inputs!$G$5:$G$120&lt;&gt;"acoes")))*INDEX(Inputs!$K$5:$AJ$120,0,MATCH(F$2,Inputs!$K$4:$AJ$4,0)))+SUMPRODUCT((Inputs!$C$5:$C$120=$B31)*Inputs!$D$5:$D$120*(((Inputs!$G$5:$G$120="moeda")+(Inputs!$G$5:$G$120="acoes"))*Inputs!$B$1+((Inputs!$G$5:$G$120&lt;&gt;"moeda")*(Inputs!$G$5:$G$120&lt;&gt;"acoes")))*INDEX(Inputs!$K$5:$AJ$120,0,MATCH(F$2,Inputs!$K$4:$AJ$4,0)))+SUMPRODUCT((Inputs!$E$5:$E$120=$B31)*Inputs!$F$5:$F$120*(((Inputs!$G$5:$G$120="moeda")+(Inputs!$G$5:$G$120="acoes"))*Inputs!$B$1+((Inputs!$G$5:$G$120&lt;&gt;"moeda")*(Inputs!$G$5:$G$120&lt;&gt;"acoes")))*INDEX(Inputs!$K$5:$AJ$120,0,MATCH(F$2,Inputs!$K$4:$AJ$4,0)))))</f>
        <v>9512.1</v>
      </c>
      <c r="G31" s="6">
        <f>IF(ISNA(MATCH(G$2,Inputs!$K$4:$AJ$4,0)),NA(),IF(SUMPRODUCT((Inputs!$A$5:$A$120=$B31)*ISNUMBER(INDEX(Inputs!$K$5:$AJ$120,0,MATCH(G$2,Inputs!$K$4:$AJ$4,0))))+SUMPRODUCT((Inputs!$C$5:$C$120=$B31)*ISNUMBER(INDEX(Inputs!$K$5:$AJ$120,0,MATCH(G$2,Inputs!$K$4:$AJ$4,0))))+SUMPRODUCT((Inputs!$E$5:$E$120=$B31)*ISNUMBER(INDEX(Inputs!$K$5:$AJ$120,0,MATCH(G$2,Inputs!$K$4:$AJ$4,0))))=0,NA(),SUMPRODUCT((Inputs!$A$5:$A$120=$B31)*Inputs!$B$5:$B$120*(((Inputs!$G$5:$G$120="moeda")+(Inputs!$G$5:$G$120="acoes"))*Inputs!$B$1+((Inputs!$G$5:$G$120&lt;&gt;"moeda")*(Inputs!$G$5:$G$120&lt;&gt;"acoes")))*INDEX(Inputs!$K$5:$AJ$120,0,MATCH(G$2,Inputs!$K$4:$AJ$4,0)))+SUMPRODUCT((Inputs!$C$5:$C$120=$B31)*Inputs!$D$5:$D$120*(((Inputs!$G$5:$G$120="moeda")+(Inputs!$G$5:$G$120="acoes"))*Inputs!$B$1+((Inputs!$G$5:$G$120&lt;&gt;"moeda")*(Inputs!$G$5:$G$120&lt;&gt;"acoes")))*INDEX(Inputs!$K$5:$AJ$120,0,MATCH(G$2,Inputs!$K$4:$AJ$4,0)))+SUMPRODUCT((Inputs!$E$5:$E$120=$B31)*Inputs!$F$5:$F$120*(((Inputs!$G$5:$G$120="moeda")+(Inputs!$G$5:$G$120="acoes"))*Inputs!$B$1+((Inputs!$G$5:$G$120&lt;&gt;"moeda")*(Inputs!$G$5:$G$120&lt;&gt;"acoes")))*INDEX(Inputs!$K$5:$AJ$120,0,MATCH(G$2,Inputs!$K$4:$AJ$4,0)))))</f>
        <v>10758.8</v>
      </c>
      <c r="H31" s="3">
        <f>G31</f>
        <v>10758.8</v>
      </c>
      <c r="I31" s="6">
        <f>IF(ISNA(MATCH(I$2,Inputs!$K$4:$AJ$4,0)),NA(),IF(SUMPRODUCT((Inputs!$A$5:$A$120=$B31)*ISNUMBER(INDEX(Inputs!$K$5:$AJ$120,0,MATCH(I$2,Inputs!$K$4:$AJ$4,0))))+SUMPRODUCT((Inputs!$C$5:$C$120=$B31)*ISNUMBER(INDEX(Inputs!$K$5:$AJ$120,0,MATCH(I$2,Inputs!$K$4:$AJ$4,0))))+SUMPRODUCT((Inputs!$E$5:$E$120=$B31)*ISNUMBER(INDEX(Inputs!$K$5:$AJ$120,0,MATCH(I$2,Inputs!$K$4:$AJ$4,0))))=0,NA(),SUMPRODUCT((Inputs!$A$5:$A$120=$B31)*Inputs!$B$5:$B$120*(((Inputs!$G$5:$G$120="moeda")+(Inputs!$G$5:$G$120="acoes"))*Inputs!$B$1+((Inputs!$G$5:$G$120&lt;&gt;"moeda")*(Inputs!$G$5:$G$120&lt;&gt;"acoes")))*INDEX(Inputs!$K$5:$AJ$120,0,MATCH(I$2,Inputs!$K$4:$AJ$4,0)))+SUMPRODUCT((Inputs!$C$5:$C$120=$B31)*Inputs!$D$5:$D$120*(((Inputs!$G$5:$G$120="moeda")+(Inputs!$G$5:$G$120="acoes"))*Inputs!$B$1+((Inputs!$G$5:$G$120&lt;&gt;"moeda")*(Inputs!$G$5:$G$120&lt;&gt;"acoes")))*INDEX(Inputs!$K$5:$AJ$120,0,MATCH(I$2,Inputs!$K$4:$AJ$4,0)))+SUMPRODUCT((Inputs!$E$5:$E$120=$B31)*Inputs!$F$5:$F$120*(((Inputs!$G$5:$G$120="moeda")+(Inputs!$G$5:$G$120="acoes"))*Inputs!$B$1+((Inputs!$G$5:$G$120&lt;&gt;"moeda")*(Inputs!$G$5:$G$120&lt;&gt;"acoes")))*INDEX(Inputs!$K$5:$AJ$120,0,MATCH(I$2,Inputs!$K$4:$AJ$4,0)))))</f>
        <v>9305.4</v>
      </c>
      <c r="J31" s="6">
        <f>IF(ISNA(MATCH(J$2,Inputs!$K$4:$AJ$4,0)),NA(),IF(SUMPRODUCT((Inputs!$A$5:$A$120=$B31)*ISNUMBER(INDEX(Inputs!$K$5:$AJ$120,0,MATCH(J$2,Inputs!$K$4:$AJ$4,0))))+SUMPRODUCT((Inputs!$C$5:$C$120=$B31)*ISNUMBER(INDEX(Inputs!$K$5:$AJ$120,0,MATCH(J$2,Inputs!$K$4:$AJ$4,0))))+SUMPRODUCT((Inputs!$E$5:$E$120=$B31)*ISNUMBER(INDEX(Inputs!$K$5:$AJ$120,0,MATCH(J$2,Inputs!$K$4:$AJ$4,0))))=0,NA(),SUMPRODUCT((Inputs!$A$5:$A$120=$B31)*Inputs!$B$5:$B$120*(((Inputs!$G$5:$G$120="moeda")+(Inputs!$G$5:$G$120="acoes"))*Inputs!$B$1+((Inputs!$G$5:$G$120&lt;&gt;"moeda")*(Inputs!$G$5:$G$120&lt;&gt;"acoes")))*INDEX(Inputs!$K$5:$AJ$120,0,MATCH(J$2,Inputs!$K$4:$AJ$4,0)))+SUMPRODUCT((Inputs!$C$5:$C$120=$B31)*Inputs!$D$5:$D$120*(((Inputs!$G$5:$G$120="moeda")+(Inputs!$G$5:$G$120="acoes"))*Inputs!$B$1+((Inputs!$G$5:$G$120&lt;&gt;"moeda")*(Inputs!$G$5:$G$120&lt;&gt;"acoes")))*INDEX(Inputs!$K$5:$AJ$120,0,MATCH(J$2,Inputs!$K$4:$AJ$4,0)))+SUMPRODUCT((Inputs!$E$5:$E$120=$B31)*Inputs!$F$5:$F$120*(((Inputs!$G$5:$G$120="moeda")+(Inputs!$G$5:$G$120="acoes"))*Inputs!$B$1+((Inputs!$G$5:$G$120&lt;&gt;"moeda")*(Inputs!$G$5:$G$120&lt;&gt;"acoes")))*INDEX(Inputs!$K$5:$AJ$120,0,MATCH(J$2,Inputs!$K$4:$AJ$4,0)))))</f>
        <v>10877.1</v>
      </c>
      <c r="K31" s="6">
        <f>IF(ISNA(MATCH(K$2,Inputs!$K$4:$AJ$4,0)),NA(),IF(SUMPRODUCT((Inputs!$A$5:$A$120=$B31)*ISNUMBER(INDEX(Inputs!$K$5:$AJ$120,0,MATCH(K$2,Inputs!$K$4:$AJ$4,0))))+SUMPRODUCT((Inputs!$C$5:$C$120=$B31)*ISNUMBER(INDEX(Inputs!$K$5:$AJ$120,0,MATCH(K$2,Inputs!$K$4:$AJ$4,0))))+SUMPRODUCT((Inputs!$E$5:$E$120=$B31)*ISNUMBER(INDEX(Inputs!$K$5:$AJ$120,0,MATCH(K$2,Inputs!$K$4:$AJ$4,0))))=0,NA(),SUMPRODUCT((Inputs!$A$5:$A$120=$B31)*Inputs!$B$5:$B$120*(((Inputs!$G$5:$G$120="moeda")+(Inputs!$G$5:$G$120="acoes"))*Inputs!$B$1+((Inputs!$G$5:$G$120&lt;&gt;"moeda")*(Inputs!$G$5:$G$120&lt;&gt;"acoes")))*INDEX(Inputs!$K$5:$AJ$120,0,MATCH(K$2,Inputs!$K$4:$AJ$4,0)))+SUMPRODUCT((Inputs!$C$5:$C$120=$B31)*Inputs!$D$5:$D$120*(((Inputs!$G$5:$G$120="moeda")+(Inputs!$G$5:$G$120="acoes"))*Inputs!$B$1+((Inputs!$G$5:$G$120&lt;&gt;"moeda")*(Inputs!$G$5:$G$120&lt;&gt;"acoes")))*INDEX(Inputs!$K$5:$AJ$120,0,MATCH(K$2,Inputs!$K$4:$AJ$4,0)))+SUMPRODUCT((Inputs!$E$5:$E$120=$B31)*Inputs!$F$5:$F$120*(((Inputs!$G$5:$G$120="moeda")+(Inputs!$G$5:$G$120="acoes"))*Inputs!$B$1+((Inputs!$G$5:$G$120&lt;&gt;"moeda")*(Inputs!$G$5:$G$120&lt;&gt;"acoes")))*INDEX(Inputs!$K$5:$AJ$120,0,MATCH(K$2,Inputs!$K$4:$AJ$4,0)))))</f>
        <v>10555.3</v>
      </c>
      <c r="L31" s="6">
        <f>IF(ISNA(MATCH(L$2,Inputs!$K$4:$AJ$4,0)),NA(),IF(SUMPRODUCT((Inputs!$A$5:$A$120=$B31)*ISNUMBER(INDEX(Inputs!$K$5:$AJ$120,0,MATCH(L$2,Inputs!$K$4:$AJ$4,0))))+SUMPRODUCT((Inputs!$C$5:$C$120=$B31)*ISNUMBER(INDEX(Inputs!$K$5:$AJ$120,0,MATCH(L$2,Inputs!$K$4:$AJ$4,0))))+SUMPRODUCT((Inputs!$E$5:$E$120=$B31)*ISNUMBER(INDEX(Inputs!$K$5:$AJ$120,0,MATCH(L$2,Inputs!$K$4:$AJ$4,0))))=0,NA(),SUMPRODUCT((Inputs!$A$5:$A$120=$B31)*Inputs!$B$5:$B$120*(((Inputs!$G$5:$G$120="moeda")+(Inputs!$G$5:$G$120="acoes"))*Inputs!$B$1+((Inputs!$G$5:$G$120&lt;&gt;"moeda")*(Inputs!$G$5:$G$120&lt;&gt;"acoes")))*INDEX(Inputs!$K$5:$AJ$120,0,MATCH(L$2,Inputs!$K$4:$AJ$4,0)))+SUMPRODUCT((Inputs!$C$5:$C$120=$B31)*Inputs!$D$5:$D$120*(((Inputs!$G$5:$G$120="moeda")+(Inputs!$G$5:$G$120="acoes"))*Inputs!$B$1+((Inputs!$G$5:$G$120&lt;&gt;"moeda")*(Inputs!$G$5:$G$120&lt;&gt;"acoes")))*INDEX(Inputs!$K$5:$AJ$120,0,MATCH(L$2,Inputs!$K$4:$AJ$4,0)))+SUMPRODUCT((Inputs!$E$5:$E$120=$B31)*Inputs!$F$5:$F$120*(((Inputs!$G$5:$G$120="moeda")+(Inputs!$G$5:$G$120="acoes"))*Inputs!$B$1+((Inputs!$G$5:$G$120&lt;&gt;"moeda")*(Inputs!$G$5:$G$120&lt;&gt;"acoes")))*INDEX(Inputs!$K$5:$AJ$120,0,MATCH(L$2,Inputs!$K$4:$AJ$4,0)))))</f>
        <v>12171.6</v>
      </c>
      <c r="M31" s="3">
        <f>L31</f>
        <v>12171.6</v>
      </c>
      <c r="N31" s="6">
        <f>IF(ISNA(MATCH(N$2,Inputs!$K$4:$AJ$4,0)),NA(),IF(SUMPRODUCT((Inputs!$A$5:$A$120=$B31)*ISNUMBER(INDEX(Inputs!$K$5:$AJ$120,0,MATCH(N$2,Inputs!$K$4:$AJ$4,0))))+SUMPRODUCT((Inputs!$C$5:$C$120=$B31)*ISNUMBER(INDEX(Inputs!$K$5:$AJ$120,0,MATCH(N$2,Inputs!$K$4:$AJ$4,0))))+SUMPRODUCT((Inputs!$E$5:$E$120=$B31)*ISNUMBER(INDEX(Inputs!$K$5:$AJ$120,0,MATCH(N$2,Inputs!$K$4:$AJ$4,0))))=0,NA(),SUMPRODUCT((Inputs!$A$5:$A$120=$B31)*Inputs!$B$5:$B$120*(((Inputs!$G$5:$G$120="moeda")+(Inputs!$G$5:$G$120="acoes"))*Inputs!$B$1+((Inputs!$G$5:$G$120&lt;&gt;"moeda")*(Inputs!$G$5:$G$120&lt;&gt;"acoes")))*INDEX(Inputs!$K$5:$AJ$120,0,MATCH(N$2,Inputs!$K$4:$AJ$4,0)))+SUMPRODUCT((Inputs!$C$5:$C$120=$B31)*Inputs!$D$5:$D$120*(((Inputs!$G$5:$G$120="moeda")+(Inputs!$G$5:$G$120="acoes"))*Inputs!$B$1+((Inputs!$G$5:$G$120&lt;&gt;"moeda")*(Inputs!$G$5:$G$120&lt;&gt;"acoes")))*INDEX(Inputs!$K$5:$AJ$120,0,MATCH(N$2,Inputs!$K$4:$AJ$4,0)))+SUMPRODUCT((Inputs!$E$5:$E$120=$B31)*Inputs!$F$5:$F$120*(((Inputs!$G$5:$G$120="moeda")+(Inputs!$G$5:$G$120="acoes"))*Inputs!$B$1+((Inputs!$G$5:$G$120&lt;&gt;"moeda")*(Inputs!$G$5:$G$120&lt;&gt;"acoes")))*INDEX(Inputs!$K$5:$AJ$120,0,MATCH(N$2,Inputs!$K$4:$AJ$4,0)))))</f>
        <v>11723</v>
      </c>
      <c r="O31" s="6">
        <f>IF(ISNA(MATCH(O$2,Inputs!$K$4:$AJ$4,0)),NA(),IF(SUMPRODUCT((Inputs!$A$5:$A$120=$B31)*ISNUMBER(INDEX(Inputs!$K$5:$AJ$120,0,MATCH(O$2,Inputs!$K$4:$AJ$4,0))))+SUMPRODUCT((Inputs!$C$5:$C$120=$B31)*ISNUMBER(INDEX(Inputs!$K$5:$AJ$120,0,MATCH(O$2,Inputs!$K$4:$AJ$4,0))))+SUMPRODUCT((Inputs!$E$5:$E$120=$B31)*ISNUMBER(INDEX(Inputs!$K$5:$AJ$120,0,MATCH(O$2,Inputs!$K$4:$AJ$4,0))))=0,NA(),SUMPRODUCT((Inputs!$A$5:$A$120=$B31)*Inputs!$B$5:$B$120*(((Inputs!$G$5:$G$120="moeda")+(Inputs!$G$5:$G$120="acoes"))*Inputs!$B$1+((Inputs!$G$5:$G$120&lt;&gt;"moeda")*(Inputs!$G$5:$G$120&lt;&gt;"acoes")))*INDEX(Inputs!$K$5:$AJ$120,0,MATCH(O$2,Inputs!$K$4:$AJ$4,0)))+SUMPRODUCT((Inputs!$C$5:$C$120=$B31)*Inputs!$D$5:$D$120*(((Inputs!$G$5:$G$120="moeda")+(Inputs!$G$5:$G$120="acoes"))*Inputs!$B$1+((Inputs!$G$5:$G$120&lt;&gt;"moeda")*(Inputs!$G$5:$G$120&lt;&gt;"acoes")))*INDEX(Inputs!$K$5:$AJ$120,0,MATCH(O$2,Inputs!$K$4:$AJ$4,0)))+SUMPRODUCT((Inputs!$E$5:$E$120=$B31)*Inputs!$F$5:$F$120*(((Inputs!$G$5:$G$120="moeda")+(Inputs!$G$5:$G$120="acoes"))*Inputs!$B$1+((Inputs!$G$5:$G$120&lt;&gt;"moeda")*(Inputs!$G$5:$G$120&lt;&gt;"acoes")))*INDEX(Inputs!$K$5:$AJ$120,0,MATCH(O$2,Inputs!$K$4:$AJ$4,0)))))</f>
        <v>13677.7</v>
      </c>
      <c r="P31" s="6">
        <f>IF(ISNA(MATCH(P$2,Inputs!$K$4:$AJ$4,0)),NA(),IF(SUMPRODUCT((Inputs!$A$5:$A$120=$B31)*ISNUMBER(INDEX(Inputs!$K$5:$AJ$120,0,MATCH(P$2,Inputs!$K$4:$AJ$4,0))))+SUMPRODUCT((Inputs!$C$5:$C$120=$B31)*ISNUMBER(INDEX(Inputs!$K$5:$AJ$120,0,MATCH(P$2,Inputs!$K$4:$AJ$4,0))))+SUMPRODUCT((Inputs!$E$5:$E$120=$B31)*ISNUMBER(INDEX(Inputs!$K$5:$AJ$120,0,MATCH(P$2,Inputs!$K$4:$AJ$4,0))))=0,NA(),SUMPRODUCT((Inputs!$A$5:$A$120=$B31)*Inputs!$B$5:$B$120*(((Inputs!$G$5:$G$120="moeda")+(Inputs!$G$5:$G$120="acoes"))*Inputs!$B$1+((Inputs!$G$5:$G$120&lt;&gt;"moeda")*(Inputs!$G$5:$G$120&lt;&gt;"acoes")))*INDEX(Inputs!$K$5:$AJ$120,0,MATCH(P$2,Inputs!$K$4:$AJ$4,0)))+SUMPRODUCT((Inputs!$C$5:$C$120=$B31)*Inputs!$D$5:$D$120*(((Inputs!$G$5:$G$120="moeda")+(Inputs!$G$5:$G$120="acoes"))*Inputs!$B$1+((Inputs!$G$5:$G$120&lt;&gt;"moeda")*(Inputs!$G$5:$G$120&lt;&gt;"acoes")))*INDEX(Inputs!$K$5:$AJ$120,0,MATCH(P$2,Inputs!$K$4:$AJ$4,0)))+SUMPRODUCT((Inputs!$E$5:$E$120=$B31)*Inputs!$F$5:$F$120*(((Inputs!$G$5:$G$120="moeda")+(Inputs!$G$5:$G$120="acoes"))*Inputs!$B$1+((Inputs!$G$5:$G$120&lt;&gt;"moeda")*(Inputs!$G$5:$G$120&lt;&gt;"acoes")))*INDEX(Inputs!$K$5:$AJ$120,0,MATCH(P$2,Inputs!$K$4:$AJ$4,0)))))</f>
        <v>14107.7</v>
      </c>
      <c r="Q31" s="6">
        <f>IF(ISNA(MATCH(Q$2,Inputs!$K$4:$AJ$4,0)),NA(),IF(SUMPRODUCT((Inputs!$A$5:$A$120=$B31)*ISNUMBER(INDEX(Inputs!$K$5:$AJ$120,0,MATCH(Q$2,Inputs!$K$4:$AJ$4,0))))+SUMPRODUCT((Inputs!$C$5:$C$120=$B31)*ISNUMBER(INDEX(Inputs!$K$5:$AJ$120,0,MATCH(Q$2,Inputs!$K$4:$AJ$4,0))))+SUMPRODUCT((Inputs!$E$5:$E$120=$B31)*ISNUMBER(INDEX(Inputs!$K$5:$AJ$120,0,MATCH(Q$2,Inputs!$K$4:$AJ$4,0))))=0,NA(),SUMPRODUCT((Inputs!$A$5:$A$120=$B31)*Inputs!$B$5:$B$120*(((Inputs!$G$5:$G$120="moeda")+(Inputs!$G$5:$G$120="acoes"))*Inputs!$B$1+((Inputs!$G$5:$G$120&lt;&gt;"moeda")*(Inputs!$G$5:$G$120&lt;&gt;"acoes")))*INDEX(Inputs!$K$5:$AJ$120,0,MATCH(Q$2,Inputs!$K$4:$AJ$4,0)))+SUMPRODUCT((Inputs!$C$5:$C$120=$B31)*Inputs!$D$5:$D$120*(((Inputs!$G$5:$G$120="moeda")+(Inputs!$G$5:$G$120="acoes"))*Inputs!$B$1+((Inputs!$G$5:$G$120&lt;&gt;"moeda")*(Inputs!$G$5:$G$120&lt;&gt;"acoes")))*INDEX(Inputs!$K$5:$AJ$120,0,MATCH(Q$2,Inputs!$K$4:$AJ$4,0)))+SUMPRODUCT((Inputs!$E$5:$E$120=$B31)*Inputs!$F$5:$F$120*(((Inputs!$G$5:$G$120="moeda")+(Inputs!$G$5:$G$120="acoes"))*Inputs!$B$1+((Inputs!$G$5:$G$120&lt;&gt;"moeda")*(Inputs!$G$5:$G$120&lt;&gt;"acoes")))*INDEX(Inputs!$K$5:$AJ$120,0,MATCH(Q$2,Inputs!$K$4:$AJ$4,0)))))</f>
        <v>16139.5</v>
      </c>
      <c r="R31" s="3">
        <f>Q31</f>
        <v>16139.5</v>
      </c>
      <c r="S31" s="6">
        <f>IF(ISNA(MATCH(S$2,Inputs!$K$4:$AJ$4,0)),NA(),IF(SUMPRODUCT((Inputs!$A$5:$A$120=$B31)*ISNUMBER(INDEX(Inputs!$K$5:$AJ$120,0,MATCH(S$2,Inputs!$K$4:$AJ$4,0))))+SUMPRODUCT((Inputs!$C$5:$C$120=$B31)*ISNUMBER(INDEX(Inputs!$K$5:$AJ$120,0,MATCH(S$2,Inputs!$K$4:$AJ$4,0))))+SUMPRODUCT((Inputs!$E$5:$E$120=$B31)*ISNUMBER(INDEX(Inputs!$K$5:$AJ$120,0,MATCH(S$2,Inputs!$K$4:$AJ$4,0))))=0,NA(),SUMPRODUCT((Inputs!$A$5:$A$120=$B31)*Inputs!$B$5:$B$120*(((Inputs!$G$5:$G$120="moeda")+(Inputs!$G$5:$G$120="acoes"))*Inputs!$B$1+((Inputs!$G$5:$G$120&lt;&gt;"moeda")*(Inputs!$G$5:$G$120&lt;&gt;"acoes")))*INDEX(Inputs!$K$5:$AJ$120,0,MATCH(S$2,Inputs!$K$4:$AJ$4,0)))+SUMPRODUCT((Inputs!$C$5:$C$120=$B31)*Inputs!$D$5:$D$120*(((Inputs!$G$5:$G$120="moeda")+(Inputs!$G$5:$G$120="acoes"))*Inputs!$B$1+((Inputs!$G$5:$G$120&lt;&gt;"moeda")*(Inputs!$G$5:$G$120&lt;&gt;"acoes")))*INDEX(Inputs!$K$5:$AJ$120,0,MATCH(S$2,Inputs!$K$4:$AJ$4,0)))+SUMPRODUCT((Inputs!$E$5:$E$120=$B31)*Inputs!$F$5:$F$120*(((Inputs!$G$5:$G$120="moeda")+(Inputs!$G$5:$G$120="acoes"))*Inputs!$B$1+((Inputs!$G$5:$G$120&lt;&gt;"moeda")*(Inputs!$G$5:$G$120&lt;&gt;"acoes")))*INDEX(Inputs!$K$5:$AJ$120,0,MATCH(S$2,Inputs!$K$4:$AJ$4,0)))))</f>
        <v>13628.7</v>
      </c>
      <c r="T31" s="6">
        <f>IF(ISNA(MATCH(T$2,Inputs!$K$4:$AJ$4,0)),NA(),IF(SUMPRODUCT((Inputs!$A$5:$A$120=$B31)*ISNUMBER(INDEX(Inputs!$K$5:$AJ$120,0,MATCH(T$2,Inputs!$K$4:$AJ$4,0))))+SUMPRODUCT((Inputs!$C$5:$C$120=$B31)*ISNUMBER(INDEX(Inputs!$K$5:$AJ$120,0,MATCH(T$2,Inputs!$K$4:$AJ$4,0))))+SUMPRODUCT((Inputs!$E$5:$E$120=$B31)*ISNUMBER(INDEX(Inputs!$K$5:$AJ$120,0,MATCH(T$2,Inputs!$K$4:$AJ$4,0))))=0,NA(),SUMPRODUCT((Inputs!$A$5:$A$120=$B31)*Inputs!$B$5:$B$120*(((Inputs!$G$5:$G$120="moeda")+(Inputs!$G$5:$G$120="acoes"))*Inputs!$B$1+((Inputs!$G$5:$G$120&lt;&gt;"moeda")*(Inputs!$G$5:$G$120&lt;&gt;"acoes")))*INDEX(Inputs!$K$5:$AJ$120,0,MATCH(T$2,Inputs!$K$4:$AJ$4,0)))+SUMPRODUCT((Inputs!$C$5:$C$120=$B31)*Inputs!$D$5:$D$120*(((Inputs!$G$5:$G$120="moeda")+(Inputs!$G$5:$G$120="acoes"))*Inputs!$B$1+((Inputs!$G$5:$G$120&lt;&gt;"moeda")*(Inputs!$G$5:$G$120&lt;&gt;"acoes")))*INDEX(Inputs!$K$5:$AJ$120,0,MATCH(T$2,Inputs!$K$4:$AJ$4,0)))+SUMPRODUCT((Inputs!$E$5:$E$120=$B31)*Inputs!$F$5:$F$120*(((Inputs!$G$5:$G$120="moeda")+(Inputs!$G$5:$G$120="acoes"))*Inputs!$B$1+((Inputs!$G$5:$G$120&lt;&gt;"moeda")*(Inputs!$G$5:$G$120&lt;&gt;"acoes")))*INDEX(Inputs!$K$5:$AJ$120,0,MATCH(T$2,Inputs!$K$4:$AJ$4,0)))))</f>
        <v>17866.5</v>
      </c>
      <c r="U31" s="6">
        <f>IF(ISNA(MATCH(U$2,Inputs!$K$4:$AJ$4,0)),NA(),IF(SUMPRODUCT((Inputs!$A$5:$A$120=$B31)*ISNUMBER(INDEX(Inputs!$K$5:$AJ$120,0,MATCH(U$2,Inputs!$K$4:$AJ$4,0))))+SUMPRODUCT((Inputs!$C$5:$C$120=$B31)*ISNUMBER(INDEX(Inputs!$K$5:$AJ$120,0,MATCH(U$2,Inputs!$K$4:$AJ$4,0))))+SUMPRODUCT((Inputs!$E$5:$E$120=$B31)*ISNUMBER(INDEX(Inputs!$K$5:$AJ$120,0,MATCH(U$2,Inputs!$K$4:$AJ$4,0))))=0,NA(),SUMPRODUCT((Inputs!$A$5:$A$120=$B31)*Inputs!$B$5:$B$120*(((Inputs!$G$5:$G$120="moeda")+(Inputs!$G$5:$G$120="acoes"))*Inputs!$B$1+((Inputs!$G$5:$G$120&lt;&gt;"moeda")*(Inputs!$G$5:$G$120&lt;&gt;"acoes")))*INDEX(Inputs!$K$5:$AJ$120,0,MATCH(U$2,Inputs!$K$4:$AJ$4,0)))+SUMPRODUCT((Inputs!$C$5:$C$120=$B31)*Inputs!$D$5:$D$120*(((Inputs!$G$5:$G$120="moeda")+(Inputs!$G$5:$G$120="acoes"))*Inputs!$B$1+((Inputs!$G$5:$G$120&lt;&gt;"moeda")*(Inputs!$G$5:$G$120&lt;&gt;"acoes")))*INDEX(Inputs!$K$5:$AJ$120,0,MATCH(U$2,Inputs!$K$4:$AJ$4,0)))+SUMPRODUCT((Inputs!$E$5:$E$120=$B31)*Inputs!$F$5:$F$120*(((Inputs!$G$5:$G$120="moeda")+(Inputs!$G$5:$G$120="acoes"))*Inputs!$B$1+((Inputs!$G$5:$G$120&lt;&gt;"moeda")*(Inputs!$G$5:$G$120&lt;&gt;"acoes")))*INDEX(Inputs!$K$5:$AJ$120,0,MATCH(U$2,Inputs!$K$4:$AJ$4,0)))))</f>
        <v>18010</v>
      </c>
      <c r="V31" s="6">
        <f>IF(ISNA(MATCH(V$2,Inputs!$K$4:$AJ$4,0)),NA(),IF(SUMPRODUCT((Inputs!$A$5:$A$120=$B31)*ISNUMBER(INDEX(Inputs!$K$5:$AJ$120,0,MATCH(V$2,Inputs!$K$4:$AJ$4,0))))+SUMPRODUCT((Inputs!$C$5:$C$120=$B31)*ISNUMBER(INDEX(Inputs!$K$5:$AJ$120,0,MATCH(V$2,Inputs!$K$4:$AJ$4,0))))+SUMPRODUCT((Inputs!$E$5:$E$120=$B31)*ISNUMBER(INDEX(Inputs!$K$5:$AJ$120,0,MATCH(V$2,Inputs!$K$4:$AJ$4,0))))=0,NA(),SUMPRODUCT((Inputs!$A$5:$A$120=$B31)*Inputs!$B$5:$B$120*(((Inputs!$G$5:$G$120="moeda")+(Inputs!$G$5:$G$120="acoes"))*Inputs!$B$1+((Inputs!$G$5:$G$120&lt;&gt;"moeda")*(Inputs!$G$5:$G$120&lt;&gt;"acoes")))*INDEX(Inputs!$K$5:$AJ$120,0,MATCH(V$2,Inputs!$K$4:$AJ$4,0)))+SUMPRODUCT((Inputs!$C$5:$C$120=$B31)*Inputs!$D$5:$D$120*(((Inputs!$G$5:$G$120="moeda")+(Inputs!$G$5:$G$120="acoes"))*Inputs!$B$1+((Inputs!$G$5:$G$120&lt;&gt;"moeda")*(Inputs!$G$5:$G$120&lt;&gt;"acoes")))*INDEX(Inputs!$K$5:$AJ$120,0,MATCH(V$2,Inputs!$K$4:$AJ$4,0)))+SUMPRODUCT((Inputs!$E$5:$E$120=$B31)*Inputs!$F$5:$F$120*(((Inputs!$G$5:$G$120="moeda")+(Inputs!$G$5:$G$120="acoes"))*Inputs!$B$1+((Inputs!$G$5:$G$120&lt;&gt;"moeda")*(Inputs!$G$5:$G$120&lt;&gt;"acoes")))*INDEX(Inputs!$K$5:$AJ$120,0,MATCH(V$2,Inputs!$K$4:$AJ$4,0)))))</f>
        <v>17937</v>
      </c>
      <c r="W31" s="3">
        <f>V31</f>
        <v>17937</v>
      </c>
      <c r="X31" s="6">
        <f>IF(ISNA(MATCH(X$2,Inputs!$K$4:$AJ$4,0)),NA(),IF(SUMPRODUCT((Inputs!$A$5:$A$120=$B31)*ISNUMBER(INDEX(Inputs!$K$5:$AJ$120,0,MATCH(X$2,Inputs!$K$4:$AJ$4,0))))+SUMPRODUCT((Inputs!$C$5:$C$120=$B31)*ISNUMBER(INDEX(Inputs!$K$5:$AJ$120,0,MATCH(X$2,Inputs!$K$4:$AJ$4,0))))+SUMPRODUCT((Inputs!$E$5:$E$120=$B31)*ISNUMBER(INDEX(Inputs!$K$5:$AJ$120,0,MATCH(X$2,Inputs!$K$4:$AJ$4,0))))=0,NA(),SUMPRODUCT((Inputs!$A$5:$A$120=$B31)*Inputs!$B$5:$B$120*(((Inputs!$G$5:$G$120="moeda")+(Inputs!$G$5:$G$120="acoes"))*Inputs!$B$1+((Inputs!$G$5:$G$120&lt;&gt;"moeda")*(Inputs!$G$5:$G$120&lt;&gt;"acoes")))*INDEX(Inputs!$K$5:$AJ$120,0,MATCH(X$2,Inputs!$K$4:$AJ$4,0)))+SUMPRODUCT((Inputs!$C$5:$C$120=$B31)*Inputs!$D$5:$D$120*(((Inputs!$G$5:$G$120="moeda")+(Inputs!$G$5:$G$120="acoes"))*Inputs!$B$1+((Inputs!$G$5:$G$120&lt;&gt;"moeda")*(Inputs!$G$5:$G$120&lt;&gt;"acoes")))*INDEX(Inputs!$K$5:$AJ$120,0,MATCH(X$2,Inputs!$K$4:$AJ$4,0)))+SUMPRODUCT((Inputs!$E$5:$E$120=$B31)*Inputs!$F$5:$F$120*(((Inputs!$G$5:$G$120="moeda")+(Inputs!$G$5:$G$120="acoes"))*Inputs!$B$1+((Inputs!$G$5:$G$120&lt;&gt;"moeda")*(Inputs!$G$5:$G$120&lt;&gt;"acoes")))*INDEX(Inputs!$K$5:$AJ$120,0,MATCH(X$2,Inputs!$K$4:$AJ$4,0)))))</f>
        <v>15320.1</v>
      </c>
      <c r="Y31" s="6">
        <f>IF(ISNA(MATCH(Y$2,Inputs!$K$4:$AJ$4,0)),NA(),IF(SUMPRODUCT((Inputs!$A$5:$A$120=$B31)*ISNUMBER(INDEX(Inputs!$K$5:$AJ$120,0,MATCH(Y$2,Inputs!$K$4:$AJ$4,0))))+SUMPRODUCT((Inputs!$C$5:$C$120=$B31)*ISNUMBER(INDEX(Inputs!$K$5:$AJ$120,0,MATCH(Y$2,Inputs!$K$4:$AJ$4,0))))+SUMPRODUCT((Inputs!$E$5:$E$120=$B31)*ISNUMBER(INDEX(Inputs!$K$5:$AJ$120,0,MATCH(Y$2,Inputs!$K$4:$AJ$4,0))))=0,NA(),SUMPRODUCT((Inputs!$A$5:$A$120=$B31)*Inputs!$B$5:$B$120*(((Inputs!$G$5:$G$120="moeda")+(Inputs!$G$5:$G$120="acoes"))*Inputs!$B$1+((Inputs!$G$5:$G$120&lt;&gt;"moeda")*(Inputs!$G$5:$G$120&lt;&gt;"acoes")))*INDEX(Inputs!$K$5:$AJ$120,0,MATCH(Y$2,Inputs!$K$4:$AJ$4,0)))+SUMPRODUCT((Inputs!$C$5:$C$120=$B31)*Inputs!$D$5:$D$120*(((Inputs!$G$5:$G$120="moeda")+(Inputs!$G$5:$G$120="acoes"))*Inputs!$B$1+((Inputs!$G$5:$G$120&lt;&gt;"moeda")*(Inputs!$G$5:$G$120&lt;&gt;"acoes")))*INDEX(Inputs!$K$5:$AJ$120,0,MATCH(Y$2,Inputs!$K$4:$AJ$4,0)))+SUMPRODUCT((Inputs!$E$5:$E$120=$B31)*Inputs!$F$5:$F$120*(((Inputs!$G$5:$G$120="moeda")+(Inputs!$G$5:$G$120="acoes"))*Inputs!$B$1+((Inputs!$G$5:$G$120&lt;&gt;"moeda")*(Inputs!$G$5:$G$120&lt;&gt;"acoes")))*INDEX(Inputs!$K$5:$AJ$120,0,MATCH(Y$2,Inputs!$K$4:$AJ$4,0)))))</f>
        <v>20959.5</v>
      </c>
      <c r="Z31" s="6">
        <f>IF(ISNA(MATCH(Z$2,Inputs!$K$4:$AJ$4,0)),NA(),IF(SUMPRODUCT((Inputs!$A$5:$A$120=$B31)*ISNUMBER(INDEX(Inputs!$K$5:$AJ$120,0,MATCH(Z$2,Inputs!$K$4:$AJ$4,0))))+SUMPRODUCT((Inputs!$C$5:$C$120=$B31)*ISNUMBER(INDEX(Inputs!$K$5:$AJ$120,0,MATCH(Z$2,Inputs!$K$4:$AJ$4,0))))+SUMPRODUCT((Inputs!$E$5:$E$120=$B31)*ISNUMBER(INDEX(Inputs!$K$5:$AJ$120,0,MATCH(Z$2,Inputs!$K$4:$AJ$4,0))))=0,NA(),SUMPRODUCT((Inputs!$A$5:$A$120=$B31)*Inputs!$B$5:$B$120*(((Inputs!$G$5:$G$120="moeda")+(Inputs!$G$5:$G$120="acoes"))*Inputs!$B$1+((Inputs!$G$5:$G$120&lt;&gt;"moeda")*(Inputs!$G$5:$G$120&lt;&gt;"acoes")))*INDEX(Inputs!$K$5:$AJ$120,0,MATCH(Z$2,Inputs!$K$4:$AJ$4,0)))+SUMPRODUCT((Inputs!$C$5:$C$120=$B31)*Inputs!$D$5:$D$120*(((Inputs!$G$5:$G$120="moeda")+(Inputs!$G$5:$G$120="acoes"))*Inputs!$B$1+((Inputs!$G$5:$G$120&lt;&gt;"moeda")*(Inputs!$G$5:$G$120&lt;&gt;"acoes")))*INDEX(Inputs!$K$5:$AJ$120,0,MATCH(Z$2,Inputs!$K$4:$AJ$4,0)))+SUMPRODUCT((Inputs!$E$5:$E$120=$B31)*Inputs!$F$5:$F$120*(((Inputs!$G$5:$G$120="moeda")+(Inputs!$G$5:$G$120="acoes"))*Inputs!$B$1+((Inputs!$G$5:$G$120&lt;&gt;"moeda")*(Inputs!$G$5:$G$120&lt;&gt;"acoes")))*INDEX(Inputs!$K$5:$AJ$120,0,MATCH(Z$2,Inputs!$K$4:$AJ$4,0)))))</f>
        <v>22835.6</v>
      </c>
      <c r="AA31" s="6">
        <f>IF(ISNA(MATCH(AA$2,Inputs!$K$4:$AJ$4,0)),NA(),IF(SUMPRODUCT((Inputs!$A$5:$A$120=$B31)*ISNUMBER(INDEX(Inputs!$K$5:$AJ$120,0,MATCH(AA$2,Inputs!$K$4:$AJ$4,0))))+SUMPRODUCT((Inputs!$C$5:$C$120=$B31)*ISNUMBER(INDEX(Inputs!$K$5:$AJ$120,0,MATCH(AA$2,Inputs!$K$4:$AJ$4,0))))+SUMPRODUCT((Inputs!$E$5:$E$120=$B31)*ISNUMBER(INDEX(Inputs!$K$5:$AJ$120,0,MATCH(AA$2,Inputs!$K$4:$AJ$4,0))))=0,NA(),SUMPRODUCT((Inputs!$A$5:$A$120=$B31)*Inputs!$B$5:$B$120*(((Inputs!$G$5:$G$120="moeda")+(Inputs!$G$5:$G$120="acoes"))*Inputs!$B$1+((Inputs!$G$5:$G$120&lt;&gt;"moeda")*(Inputs!$G$5:$G$120&lt;&gt;"acoes")))*INDEX(Inputs!$K$5:$AJ$120,0,MATCH(AA$2,Inputs!$K$4:$AJ$4,0)))+SUMPRODUCT((Inputs!$C$5:$C$120=$B31)*Inputs!$D$5:$D$120*(((Inputs!$G$5:$G$120="moeda")+(Inputs!$G$5:$G$120="acoes"))*Inputs!$B$1+((Inputs!$G$5:$G$120&lt;&gt;"moeda")*(Inputs!$G$5:$G$120&lt;&gt;"acoes")))*INDEX(Inputs!$K$5:$AJ$120,0,MATCH(AA$2,Inputs!$K$4:$AJ$4,0)))+SUMPRODUCT((Inputs!$E$5:$E$120=$B31)*Inputs!$F$5:$F$120*(((Inputs!$G$5:$G$120="moeda")+(Inputs!$G$5:$G$120="acoes"))*Inputs!$B$1+((Inputs!$G$5:$G$120&lt;&gt;"moeda")*(Inputs!$G$5:$G$120&lt;&gt;"acoes")))*INDEX(Inputs!$K$5:$AJ$120,0,MATCH(AA$2,Inputs!$K$4:$AJ$4,0)))))</f>
        <v>25839</v>
      </c>
      <c r="AB31" s="3">
        <f>AA31</f>
        <v>25839</v>
      </c>
      <c r="AC31" s="6">
        <f>IF(ISNA(MATCH(AC$2,Inputs!$K$4:$AJ$4,0)),NA(),IF(SUMPRODUCT((Inputs!$A$5:$A$120=$B31)*ISNUMBER(INDEX(Inputs!$K$5:$AJ$120,0,MATCH(AC$2,Inputs!$K$4:$AJ$4,0))))+SUMPRODUCT((Inputs!$C$5:$C$120=$B31)*ISNUMBER(INDEX(Inputs!$K$5:$AJ$120,0,MATCH(AC$2,Inputs!$K$4:$AJ$4,0))))+SUMPRODUCT((Inputs!$E$5:$E$120=$B31)*ISNUMBER(INDEX(Inputs!$K$5:$AJ$120,0,MATCH(AC$2,Inputs!$K$4:$AJ$4,0))))=0,NA(),SUMPRODUCT((Inputs!$A$5:$A$120=$B31)*Inputs!$B$5:$B$120*(((Inputs!$G$5:$G$120="moeda")+(Inputs!$G$5:$G$120="acoes"))*Inputs!$B$1+((Inputs!$G$5:$G$120&lt;&gt;"moeda")*(Inputs!$G$5:$G$120&lt;&gt;"acoes")))*INDEX(Inputs!$K$5:$AJ$120,0,MATCH(AC$2,Inputs!$K$4:$AJ$4,0)))+SUMPRODUCT((Inputs!$C$5:$C$120=$B31)*Inputs!$D$5:$D$120*(((Inputs!$G$5:$G$120="moeda")+(Inputs!$G$5:$G$120="acoes"))*Inputs!$B$1+((Inputs!$G$5:$G$120&lt;&gt;"moeda")*(Inputs!$G$5:$G$120&lt;&gt;"acoes")))*INDEX(Inputs!$K$5:$AJ$120,0,MATCH(AC$2,Inputs!$K$4:$AJ$4,0)))+SUMPRODUCT((Inputs!$E$5:$E$120=$B31)*Inputs!$F$5:$F$120*(((Inputs!$G$5:$G$120="moeda")+(Inputs!$G$5:$G$120="acoes"))*Inputs!$B$1+((Inputs!$G$5:$G$120&lt;&gt;"moeda")*(Inputs!$G$5:$G$120&lt;&gt;"acoes")))*INDEX(Inputs!$K$5:$AJ$120,0,MATCH(AC$2,Inputs!$K$4:$AJ$4,0)))))</f>
        <v>26246</v>
      </c>
      <c r="AD31" s="6">
        <f>IF(ISNA(MATCH(AD$2,Inputs!$K$4:$AJ$4,0)),NA(),IF(SUMPRODUCT((Inputs!$A$5:$A$120=$B31)*ISNUMBER(INDEX(Inputs!$K$5:$AJ$120,0,MATCH(AD$2,Inputs!$K$4:$AJ$4,0))))+SUMPRODUCT((Inputs!$C$5:$C$120=$B31)*ISNUMBER(INDEX(Inputs!$K$5:$AJ$120,0,MATCH(AD$2,Inputs!$K$4:$AJ$4,0))))+SUMPRODUCT((Inputs!$E$5:$E$120=$B31)*ISNUMBER(INDEX(Inputs!$K$5:$AJ$120,0,MATCH(AD$2,Inputs!$K$4:$AJ$4,0))))=0,NA(),SUMPRODUCT((Inputs!$A$5:$A$120=$B31)*Inputs!$B$5:$B$120*(((Inputs!$G$5:$G$120="moeda")+(Inputs!$G$5:$G$120="acoes"))*Inputs!$B$1+((Inputs!$G$5:$G$120&lt;&gt;"moeda")*(Inputs!$G$5:$G$120&lt;&gt;"acoes")))*INDEX(Inputs!$K$5:$AJ$120,0,MATCH(AD$2,Inputs!$K$4:$AJ$4,0)))+SUMPRODUCT((Inputs!$C$5:$C$120=$B31)*Inputs!$D$5:$D$120*(((Inputs!$G$5:$G$120="moeda")+(Inputs!$G$5:$G$120="acoes"))*Inputs!$B$1+((Inputs!$G$5:$G$120&lt;&gt;"moeda")*(Inputs!$G$5:$G$120&lt;&gt;"acoes")))*INDEX(Inputs!$K$5:$AJ$120,0,MATCH(AD$2,Inputs!$K$4:$AJ$4,0)))+SUMPRODUCT((Inputs!$E$5:$E$120=$B31)*Inputs!$F$5:$F$120*(((Inputs!$G$5:$G$120="moeda")+(Inputs!$G$5:$G$120="acoes"))*Inputs!$B$1+((Inputs!$G$5:$G$120&lt;&gt;"moeda")*(Inputs!$G$5:$G$120&lt;&gt;"acoes")))*INDEX(Inputs!$K$5:$AJ$120,0,MATCH(AD$2,Inputs!$K$4:$AJ$4,0)))))</f>
        <v>32781</v>
      </c>
      <c r="AE31" s="6" t="e">
        <f>IF(ISNA(MATCH(AE$2,Inputs!$K$4:$AJ$4,0)),NA(),IF(SUMPRODUCT((Inputs!$A$5:$A$120=$B31)*ISNUMBER(INDEX(Inputs!$K$5:$AJ$120,0,MATCH(AE$2,Inputs!$K$4:$AJ$4,0))))+SUMPRODUCT((Inputs!$C$5:$C$120=$B31)*ISNUMBER(INDEX(Inputs!$K$5:$AJ$120,0,MATCH(AE$2,Inputs!$K$4:$AJ$4,0))))+SUMPRODUCT((Inputs!$E$5:$E$120=$B31)*ISNUMBER(INDEX(Inputs!$K$5:$AJ$120,0,MATCH(AE$2,Inputs!$K$4:$AJ$4,0))))=0,NA(),SUMPRODUCT((Inputs!$A$5:$A$120=$B31)*Inputs!$B$5:$B$120*(((Inputs!$G$5:$G$120="moeda")+(Inputs!$G$5:$G$120="acoes"))*Inputs!$B$1+((Inputs!$G$5:$G$120&lt;&gt;"moeda")*(Inputs!$G$5:$G$120&lt;&gt;"acoes")))*INDEX(Inputs!$K$5:$AJ$120,0,MATCH(AE$2,Inputs!$K$4:$AJ$4,0)))+SUMPRODUCT((Inputs!$C$5:$C$120=$B31)*Inputs!$D$5:$D$120*(((Inputs!$G$5:$G$120="moeda")+(Inputs!$G$5:$G$120="acoes"))*Inputs!$B$1+((Inputs!$G$5:$G$120&lt;&gt;"moeda")*(Inputs!$G$5:$G$120&lt;&gt;"acoes")))*INDEX(Inputs!$K$5:$AJ$120,0,MATCH(AE$2,Inputs!$K$4:$AJ$4,0)))+SUMPRODUCT((Inputs!$E$5:$E$120=$B31)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1" s="6" t="e">
        <f>IF(ISNA(MATCH(AF$2,Inputs!$K$4:$AJ$4,0)),NA(),IF(SUMPRODUCT((Inputs!$A$5:$A$120=$B31)*ISNUMBER(INDEX(Inputs!$K$5:$AJ$120,0,MATCH(AF$2,Inputs!$K$4:$AJ$4,0))))+SUMPRODUCT((Inputs!$C$5:$C$120=$B31)*ISNUMBER(INDEX(Inputs!$K$5:$AJ$120,0,MATCH(AF$2,Inputs!$K$4:$AJ$4,0))))+SUMPRODUCT((Inputs!$E$5:$E$120=$B31)*ISNUMBER(INDEX(Inputs!$K$5:$AJ$120,0,MATCH(AF$2,Inputs!$K$4:$AJ$4,0))))=0,NA(),SUMPRODUCT((Inputs!$A$5:$A$120=$B31)*Inputs!$B$5:$B$120*(((Inputs!$G$5:$G$120="moeda")+(Inputs!$G$5:$G$120="acoes"))*Inputs!$B$1+((Inputs!$G$5:$G$120&lt;&gt;"moeda")*(Inputs!$G$5:$G$120&lt;&gt;"acoes")))*INDEX(Inputs!$K$5:$AJ$120,0,MATCH(AF$2,Inputs!$K$4:$AJ$4,0)))+SUMPRODUCT((Inputs!$C$5:$C$120=$B31)*Inputs!$D$5:$D$120*(((Inputs!$G$5:$G$120="moeda")+(Inputs!$G$5:$G$120="acoes"))*Inputs!$B$1+((Inputs!$G$5:$G$120&lt;&gt;"moeda")*(Inputs!$G$5:$G$120&lt;&gt;"acoes")))*INDEX(Inputs!$K$5:$AJ$120,0,MATCH(AF$2,Inputs!$K$4:$AJ$4,0)))+SUMPRODUCT((Inputs!$E$5:$E$120=$B31)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1" s="3" t="e">
        <f>AF31</f>
        <v>#N/A</v>
      </c>
      <c r="AH31" s="6">
        <f>IF(ISNA(MATCH(AH$2,Inputs!$K$4:$AJ$4,0)),NA(),IF(SUMPRODUCT((Inputs!$A$5:$A$120=$B31)*ISNUMBER(INDEX(Inputs!$K$5:$AJ$120,0,MATCH(AH$2,Inputs!$K$4:$AJ$4,0))))+SUMPRODUCT((Inputs!$C$5:$C$120=$B31)*ISNUMBER(INDEX(Inputs!$K$5:$AJ$120,0,MATCH(AH$2,Inputs!$K$4:$AJ$4,0))))+SUMPRODUCT((Inputs!$E$5:$E$120=$B31)*ISNUMBER(INDEX(Inputs!$K$5:$AJ$120,0,MATCH(AH$2,Inputs!$K$4:$AJ$4,0))))=0,NA(),SUMPRODUCT((Inputs!$A$5:$A$120=$B31)*Inputs!$B$5:$B$120*(((Inputs!$G$5:$G$120="moeda")+(Inputs!$G$5:$G$120="acoes"))*Inputs!$B$1+((Inputs!$G$5:$G$120&lt;&gt;"moeda")*(Inputs!$G$5:$G$120&lt;&gt;"acoes")))*INDEX(Inputs!$K$5:$AJ$120,0,MATCH(AH$2,Inputs!$K$4:$AJ$4,0)))+SUMPRODUCT((Inputs!$C$5:$C$120=$B31)*Inputs!$D$5:$D$120*(((Inputs!$G$5:$G$120="moeda")+(Inputs!$G$5:$G$120="acoes"))*Inputs!$B$1+((Inputs!$G$5:$G$120&lt;&gt;"moeda")*(Inputs!$G$5:$G$120&lt;&gt;"acoes")))*INDEX(Inputs!$K$5:$AJ$120,0,MATCH(AH$2,Inputs!$K$4:$AJ$4,0)))+SUMPRODUCT((Inputs!$E$5:$E$120=$B31)*Inputs!$F$5:$F$120*(((Inputs!$G$5:$G$120="moeda")+(Inputs!$G$5:$G$120="acoes"))*Inputs!$B$1+((Inputs!$G$5:$G$120&lt;&gt;"moeda")*(Inputs!$G$5:$G$120&lt;&gt;"acoes")))*INDEX(Inputs!$K$5:$AJ$120,0,MATCH(AH$2,Inputs!$K$4:$AJ$4,0)))))</f>
        <v>6921.3</v>
      </c>
      <c r="AI31" s="6">
        <f>IF(ISNA(MATCH(AI$2,Inputs!$K$4:$AJ$4,0)),NA(),IF(SUMPRODUCT((Inputs!$A$5:$A$120=$B31)*ISNUMBER(INDEX(Inputs!$K$5:$AJ$120,0,MATCH(AI$2,Inputs!$K$4:$AJ$4,0))))+SUMPRODUCT((Inputs!$C$5:$C$120=$B31)*ISNUMBER(INDEX(Inputs!$K$5:$AJ$120,0,MATCH(AI$2,Inputs!$K$4:$AJ$4,0))))+SUMPRODUCT((Inputs!$E$5:$E$120=$B31)*ISNUMBER(INDEX(Inputs!$K$5:$AJ$120,0,MATCH(AI$2,Inputs!$K$4:$AJ$4,0))))=0,NA(),SUMPRODUCT((Inputs!$A$5:$A$120=$B31)*Inputs!$B$5:$B$120*(((Inputs!$G$5:$G$120="moeda")+(Inputs!$G$5:$G$120="acoes"))*Inputs!$B$1+((Inputs!$G$5:$G$120&lt;&gt;"moeda")*(Inputs!$G$5:$G$120&lt;&gt;"acoes")))*INDEX(Inputs!$K$5:$AJ$120,0,MATCH(AI$2,Inputs!$K$4:$AJ$4,0)))+SUMPRODUCT((Inputs!$C$5:$C$120=$B31)*Inputs!$D$5:$D$120*(((Inputs!$G$5:$G$120="moeda")+(Inputs!$G$5:$G$120="acoes"))*Inputs!$B$1+((Inputs!$G$5:$G$120&lt;&gt;"moeda")*(Inputs!$G$5:$G$120&lt;&gt;"acoes")))*INDEX(Inputs!$K$5:$AJ$120,0,MATCH(AI$2,Inputs!$K$4:$AJ$4,0)))+SUMPRODUCT((Inputs!$E$5:$E$120=$B31)*Inputs!$F$5:$F$120*(((Inputs!$G$5:$G$120="moeda")+(Inputs!$G$5:$G$120="acoes"))*Inputs!$B$1+((Inputs!$G$5:$G$120&lt;&gt;"moeda")*(Inputs!$G$5:$G$120&lt;&gt;"acoes")))*INDEX(Inputs!$K$5:$AJ$120,0,MATCH(AI$2,Inputs!$K$4:$AJ$4,0)))))</f>
        <v>7343.1</v>
      </c>
      <c r="AJ31" s="6">
        <f>IF(ISNA(MATCH(AJ$2,Inputs!$K$4:$AJ$4,0)),NA(),IF(SUMPRODUCT((Inputs!$A$5:$A$120=$B31)*ISNUMBER(INDEX(Inputs!$K$5:$AJ$120,0,MATCH(AJ$2,Inputs!$K$4:$AJ$4,0))))+SUMPRODUCT((Inputs!$C$5:$C$120=$B31)*ISNUMBER(INDEX(Inputs!$K$5:$AJ$120,0,MATCH(AJ$2,Inputs!$K$4:$AJ$4,0))))+SUMPRODUCT((Inputs!$E$5:$E$120=$B31)*ISNUMBER(INDEX(Inputs!$K$5:$AJ$120,0,MATCH(AJ$2,Inputs!$K$4:$AJ$4,0))))=0,NA(),SUMPRODUCT((Inputs!$A$5:$A$120=$B31)*Inputs!$B$5:$B$120*(((Inputs!$G$5:$G$120="moeda")+(Inputs!$G$5:$G$120="acoes"))*Inputs!$B$1+((Inputs!$G$5:$G$120&lt;&gt;"moeda")*(Inputs!$G$5:$G$120&lt;&gt;"acoes")))*INDEX(Inputs!$K$5:$AJ$120,0,MATCH(AJ$2,Inputs!$K$4:$AJ$4,0)))+SUMPRODUCT((Inputs!$C$5:$C$120=$B31)*Inputs!$D$5:$D$120*(((Inputs!$G$5:$G$120="moeda")+(Inputs!$G$5:$G$120="acoes"))*Inputs!$B$1+((Inputs!$G$5:$G$120&lt;&gt;"moeda")*(Inputs!$G$5:$G$120&lt;&gt;"acoes")))*INDEX(Inputs!$K$5:$AJ$120,0,MATCH(AJ$2,Inputs!$K$4:$AJ$4,0)))+SUMPRODUCT((Inputs!$E$5:$E$120=$B31)*Inputs!$F$5:$F$120*(((Inputs!$G$5:$G$120="moeda")+(Inputs!$G$5:$G$120="acoes"))*Inputs!$B$1+((Inputs!$G$5:$G$120&lt;&gt;"moeda")*(Inputs!$G$5:$G$120&lt;&gt;"acoes")))*INDEX(Inputs!$K$5:$AJ$120,0,MATCH(AJ$2,Inputs!$K$4:$AJ$4,0)))))</f>
        <v>7990.2</v>
      </c>
      <c r="AK31" s="6">
        <f>IF(ISNA(MATCH(AK$2,Inputs!$K$4:$AJ$4,0)),NA(),IF(SUMPRODUCT((Inputs!$A$5:$A$120=$B31)*ISNUMBER(INDEX(Inputs!$K$5:$AJ$120,0,MATCH(AK$2,Inputs!$K$4:$AJ$4,0))))+SUMPRODUCT((Inputs!$C$5:$C$120=$B31)*ISNUMBER(INDEX(Inputs!$K$5:$AJ$120,0,MATCH(AK$2,Inputs!$K$4:$AJ$4,0))))+SUMPRODUCT((Inputs!$E$5:$E$120=$B31)*ISNUMBER(INDEX(Inputs!$K$5:$AJ$120,0,MATCH(AK$2,Inputs!$K$4:$AJ$4,0))))=0,NA(),SUMPRODUCT((Inputs!$A$5:$A$120=$B31)*Inputs!$B$5:$B$120*(((Inputs!$G$5:$G$120="moeda")+(Inputs!$G$5:$G$120="acoes"))*Inputs!$B$1+((Inputs!$G$5:$G$120&lt;&gt;"moeda")*(Inputs!$G$5:$G$120&lt;&gt;"acoes")))*INDEX(Inputs!$K$5:$AJ$120,0,MATCH(AK$2,Inputs!$K$4:$AJ$4,0)))+SUMPRODUCT((Inputs!$C$5:$C$120=$B31)*Inputs!$D$5:$D$120*(((Inputs!$G$5:$G$120="moeda")+(Inputs!$G$5:$G$120="acoes"))*Inputs!$B$1+((Inputs!$G$5:$G$120&lt;&gt;"moeda")*(Inputs!$G$5:$G$120&lt;&gt;"acoes")))*INDEX(Inputs!$K$5:$AJ$120,0,MATCH(AK$2,Inputs!$K$4:$AJ$4,0)))+SUMPRODUCT((Inputs!$E$5:$E$120=$B31)*Inputs!$F$5:$F$120*(((Inputs!$G$5:$G$120="moeda")+(Inputs!$G$5:$G$120="acoes"))*Inputs!$B$1+((Inputs!$G$5:$G$120&lt;&gt;"moeda")*(Inputs!$G$5:$G$120&lt;&gt;"acoes")))*INDEX(Inputs!$K$5:$AJ$120,0,MATCH(AK$2,Inputs!$K$4:$AJ$4,0)))))</f>
        <v>9373.9</v>
      </c>
      <c r="AL31" s="3">
        <f>AK31</f>
        <v>9373.9</v>
      </c>
    </row>
    <row r="32">
      <c r="B32" s="46" t="n">
        <v>27</v>
      </c>
      <c r="C32" s="26" t="inlineStr">
        <is>
          <t>Current portion of long-term debt</t>
        </is>
      </c>
      <c r="D32" s="6">
        <f>IF(ISNA(MATCH(D$2,Inputs!$K$4:$AJ$4,0)),NA(),IF(SUMPRODUCT((Inputs!$A$5:$A$120=$B32)*ISNUMBER(INDEX(Inputs!$K$5:$AJ$120,0,MATCH(D$2,Inputs!$K$4:$AJ$4,0))))+SUMPRODUCT((Inputs!$C$5:$C$120=$B32)*ISNUMBER(INDEX(Inputs!$K$5:$AJ$120,0,MATCH(D$2,Inputs!$K$4:$AJ$4,0))))+SUMPRODUCT((Inputs!$E$5:$E$120=$B32)*ISNUMBER(INDEX(Inputs!$K$5:$AJ$120,0,MATCH(D$2,Inputs!$K$4:$AJ$4,0))))=0,NA(),SUMPRODUCT((Inputs!$A$5:$A$120=$B32)*Inputs!$B$5:$B$120*(((Inputs!$G$5:$G$120="moeda")+(Inputs!$G$5:$G$120="acoes"))*Inputs!$B$1+((Inputs!$G$5:$G$120&lt;&gt;"moeda")*(Inputs!$G$5:$G$120&lt;&gt;"acoes")))*INDEX(Inputs!$K$5:$AJ$120,0,MATCH(D$2,Inputs!$K$4:$AJ$4,0)))+SUMPRODUCT((Inputs!$C$5:$C$120=$B32)*Inputs!$D$5:$D$120*(((Inputs!$G$5:$G$120="moeda")+(Inputs!$G$5:$G$120="acoes"))*Inputs!$B$1+((Inputs!$G$5:$G$120&lt;&gt;"moeda")*(Inputs!$G$5:$G$120&lt;&gt;"acoes")))*INDEX(Inputs!$K$5:$AJ$120,0,MATCH(D$2,Inputs!$K$4:$AJ$4,0)))+SUMPRODUCT((Inputs!$E$5:$E$120=$B32)*Inputs!$F$5:$F$120*(((Inputs!$G$5:$G$120="moeda")+(Inputs!$G$5:$G$120="acoes"))*Inputs!$B$1+((Inputs!$G$5:$G$120&lt;&gt;"moeda")*(Inputs!$G$5:$G$120&lt;&gt;"acoes")))*INDEX(Inputs!$K$5:$AJ$120,0,MATCH(D$2,Inputs!$K$4:$AJ$4,0)))))</f>
        <v>4.9</v>
      </c>
      <c r="E32" s="6">
        <f>IF(ISNA(MATCH(E$2,Inputs!$K$4:$AJ$4,0)),NA(),IF(SUMPRODUCT((Inputs!$A$5:$A$120=$B32)*ISNUMBER(INDEX(Inputs!$K$5:$AJ$120,0,MATCH(E$2,Inputs!$K$4:$AJ$4,0))))+SUMPRODUCT((Inputs!$C$5:$C$120=$B32)*ISNUMBER(INDEX(Inputs!$K$5:$AJ$120,0,MATCH(E$2,Inputs!$K$4:$AJ$4,0))))+SUMPRODUCT((Inputs!$E$5:$E$120=$B32)*ISNUMBER(INDEX(Inputs!$K$5:$AJ$120,0,MATCH(E$2,Inputs!$K$4:$AJ$4,0))))=0,NA(),SUMPRODUCT((Inputs!$A$5:$A$120=$B32)*Inputs!$B$5:$B$120*(((Inputs!$G$5:$G$120="moeda")+(Inputs!$G$5:$G$120="acoes"))*Inputs!$B$1+((Inputs!$G$5:$G$120&lt;&gt;"moeda")*(Inputs!$G$5:$G$120&lt;&gt;"acoes")))*INDEX(Inputs!$K$5:$AJ$120,0,MATCH(E$2,Inputs!$K$4:$AJ$4,0)))+SUMPRODUCT((Inputs!$C$5:$C$120=$B32)*Inputs!$D$5:$D$120*(((Inputs!$G$5:$G$120="moeda")+(Inputs!$G$5:$G$120="acoes"))*Inputs!$B$1+((Inputs!$G$5:$G$120&lt;&gt;"moeda")*(Inputs!$G$5:$G$120&lt;&gt;"acoes")))*INDEX(Inputs!$K$5:$AJ$120,0,MATCH(E$2,Inputs!$K$4:$AJ$4,0)))+SUMPRODUCT((Inputs!$E$5:$E$120=$B32)*Inputs!$F$5:$F$120*(((Inputs!$G$5:$G$120="moeda")+(Inputs!$G$5:$G$120="acoes"))*Inputs!$B$1+((Inputs!$G$5:$G$120&lt;&gt;"moeda")*(Inputs!$G$5:$G$120&lt;&gt;"acoes")))*INDEX(Inputs!$K$5:$AJ$120,0,MATCH(E$2,Inputs!$K$4:$AJ$4,0)))))</f>
        <v>1778.5</v>
      </c>
      <c r="F32" s="6">
        <f>IF(ISNA(MATCH(F$2,Inputs!$K$4:$AJ$4,0)),NA(),IF(SUMPRODUCT((Inputs!$A$5:$A$120=$B32)*ISNUMBER(INDEX(Inputs!$K$5:$AJ$120,0,MATCH(F$2,Inputs!$K$4:$AJ$4,0))))+SUMPRODUCT((Inputs!$C$5:$C$120=$B32)*ISNUMBER(INDEX(Inputs!$K$5:$AJ$120,0,MATCH(F$2,Inputs!$K$4:$AJ$4,0))))+SUMPRODUCT((Inputs!$E$5:$E$120=$B32)*ISNUMBER(INDEX(Inputs!$K$5:$AJ$120,0,MATCH(F$2,Inputs!$K$4:$AJ$4,0))))=0,NA(),SUMPRODUCT((Inputs!$A$5:$A$120=$B32)*Inputs!$B$5:$B$120*(((Inputs!$G$5:$G$120="moeda")+(Inputs!$G$5:$G$120="acoes"))*Inputs!$B$1+((Inputs!$G$5:$G$120&lt;&gt;"moeda")*(Inputs!$G$5:$G$120&lt;&gt;"acoes")))*INDEX(Inputs!$K$5:$AJ$120,0,MATCH(F$2,Inputs!$K$4:$AJ$4,0)))+SUMPRODUCT((Inputs!$C$5:$C$120=$B32)*Inputs!$D$5:$D$120*(((Inputs!$G$5:$G$120="moeda")+(Inputs!$G$5:$G$120="acoes"))*Inputs!$B$1+((Inputs!$G$5:$G$120&lt;&gt;"moeda")*(Inputs!$G$5:$G$120&lt;&gt;"acoes")))*INDEX(Inputs!$K$5:$AJ$120,0,MATCH(F$2,Inputs!$K$4:$AJ$4,0)))+SUMPRODUCT((Inputs!$E$5:$E$120=$B32)*Inputs!$F$5:$F$120*(((Inputs!$G$5:$G$120="moeda")+(Inputs!$G$5:$G$120="acoes"))*Inputs!$B$1+((Inputs!$G$5:$G$120&lt;&gt;"moeda")*(Inputs!$G$5:$G$120&lt;&gt;"acoes")))*INDEX(Inputs!$K$5:$AJ$120,0,MATCH(F$2,Inputs!$K$4:$AJ$4,0)))))</f>
        <v>1563</v>
      </c>
      <c r="G32" s="6">
        <f>IF(ISNA(MATCH(G$2,Inputs!$K$4:$AJ$4,0)),NA(),IF(SUMPRODUCT((Inputs!$A$5:$A$120=$B32)*ISNUMBER(INDEX(Inputs!$K$5:$AJ$120,0,MATCH(G$2,Inputs!$K$4:$AJ$4,0))))+SUMPRODUCT((Inputs!$C$5:$C$120=$B32)*ISNUMBER(INDEX(Inputs!$K$5:$AJ$120,0,MATCH(G$2,Inputs!$K$4:$AJ$4,0))))+SUMPRODUCT((Inputs!$E$5:$E$120=$B32)*ISNUMBER(INDEX(Inputs!$K$5:$AJ$120,0,MATCH(G$2,Inputs!$K$4:$AJ$4,0))))=0,NA(),SUMPRODUCT((Inputs!$A$5:$A$120=$B32)*Inputs!$B$5:$B$120*(((Inputs!$G$5:$G$120="moeda")+(Inputs!$G$5:$G$120="acoes"))*Inputs!$B$1+((Inputs!$G$5:$G$120&lt;&gt;"moeda")*(Inputs!$G$5:$G$120&lt;&gt;"acoes")))*INDEX(Inputs!$K$5:$AJ$120,0,MATCH(G$2,Inputs!$K$4:$AJ$4,0)))+SUMPRODUCT((Inputs!$C$5:$C$120=$B32)*Inputs!$D$5:$D$120*(((Inputs!$G$5:$G$120="moeda")+(Inputs!$G$5:$G$120="acoes"))*Inputs!$B$1+((Inputs!$G$5:$G$120&lt;&gt;"moeda")*(Inputs!$G$5:$G$120&lt;&gt;"acoes")))*INDEX(Inputs!$K$5:$AJ$120,0,MATCH(G$2,Inputs!$K$4:$AJ$4,0)))+SUMPRODUCT((Inputs!$E$5:$E$120=$B32)*Inputs!$F$5:$F$120*(((Inputs!$G$5:$G$120="moeda")+(Inputs!$G$5:$G$120="acoes"))*Inputs!$B$1+((Inputs!$G$5:$G$120&lt;&gt;"moeda")*(Inputs!$G$5:$G$120&lt;&gt;"acoes")))*INDEX(Inputs!$K$5:$AJ$120,0,MATCH(G$2,Inputs!$K$4:$AJ$4,0)))))</f>
        <v>1538.3</v>
      </c>
      <c r="H32" s="3">
        <f>G32</f>
        <v>1538.3</v>
      </c>
      <c r="I32" s="6">
        <f>IF(ISNA(MATCH(I$2,Inputs!$K$4:$AJ$4,0)),NA(),IF(SUMPRODUCT((Inputs!$A$5:$A$120=$B32)*ISNUMBER(INDEX(Inputs!$K$5:$AJ$120,0,MATCH(I$2,Inputs!$K$4:$AJ$4,0))))+SUMPRODUCT((Inputs!$C$5:$C$120=$B32)*ISNUMBER(INDEX(Inputs!$K$5:$AJ$120,0,MATCH(I$2,Inputs!$K$4:$AJ$4,0))))+SUMPRODUCT((Inputs!$E$5:$E$120=$B32)*ISNUMBER(INDEX(Inputs!$K$5:$AJ$120,0,MATCH(I$2,Inputs!$K$4:$AJ$4,0))))=0,NA(),SUMPRODUCT((Inputs!$A$5:$A$120=$B32)*Inputs!$B$5:$B$120*(((Inputs!$G$5:$G$120="moeda")+(Inputs!$G$5:$G$120="acoes"))*Inputs!$B$1+((Inputs!$G$5:$G$120&lt;&gt;"moeda")*(Inputs!$G$5:$G$120&lt;&gt;"acoes")))*INDEX(Inputs!$K$5:$AJ$120,0,MATCH(I$2,Inputs!$K$4:$AJ$4,0)))+SUMPRODUCT((Inputs!$C$5:$C$120=$B32)*Inputs!$D$5:$D$120*(((Inputs!$G$5:$G$120="moeda")+(Inputs!$G$5:$G$120="acoes"))*Inputs!$B$1+((Inputs!$G$5:$G$120&lt;&gt;"moeda")*(Inputs!$G$5:$G$120&lt;&gt;"acoes")))*INDEX(Inputs!$K$5:$AJ$120,0,MATCH(I$2,Inputs!$K$4:$AJ$4,0)))+SUMPRODUCT((Inputs!$E$5:$E$120=$B32)*Inputs!$F$5:$F$120*(((Inputs!$G$5:$G$120="moeda")+(Inputs!$G$5:$G$120="acoes"))*Inputs!$B$1+((Inputs!$G$5:$G$120&lt;&gt;"moeda")*(Inputs!$G$5:$G$120&lt;&gt;"acoes")))*INDEX(Inputs!$K$5:$AJ$120,0,MATCH(I$2,Inputs!$K$4:$AJ$4,0)))))</f>
        <v>1355.9</v>
      </c>
      <c r="J32" s="6">
        <f>IF(ISNA(MATCH(J$2,Inputs!$K$4:$AJ$4,0)),NA(),IF(SUMPRODUCT((Inputs!$A$5:$A$120=$B32)*ISNUMBER(INDEX(Inputs!$K$5:$AJ$120,0,MATCH(J$2,Inputs!$K$4:$AJ$4,0))))+SUMPRODUCT((Inputs!$C$5:$C$120=$B32)*ISNUMBER(INDEX(Inputs!$K$5:$AJ$120,0,MATCH(J$2,Inputs!$K$4:$AJ$4,0))))+SUMPRODUCT((Inputs!$E$5:$E$120=$B32)*ISNUMBER(INDEX(Inputs!$K$5:$AJ$120,0,MATCH(J$2,Inputs!$K$4:$AJ$4,0))))=0,NA(),SUMPRODUCT((Inputs!$A$5:$A$120=$B32)*Inputs!$B$5:$B$120*(((Inputs!$G$5:$G$120="moeda")+(Inputs!$G$5:$G$120="acoes"))*Inputs!$B$1+((Inputs!$G$5:$G$120&lt;&gt;"moeda")*(Inputs!$G$5:$G$120&lt;&gt;"acoes")))*INDEX(Inputs!$K$5:$AJ$120,0,MATCH(J$2,Inputs!$K$4:$AJ$4,0)))+SUMPRODUCT((Inputs!$C$5:$C$120=$B32)*Inputs!$D$5:$D$120*(((Inputs!$G$5:$G$120="moeda")+(Inputs!$G$5:$G$120="acoes"))*Inputs!$B$1+((Inputs!$G$5:$G$120&lt;&gt;"moeda")*(Inputs!$G$5:$G$120&lt;&gt;"acoes")))*INDEX(Inputs!$K$5:$AJ$120,0,MATCH(J$2,Inputs!$K$4:$AJ$4,0)))+SUMPRODUCT((Inputs!$E$5:$E$120=$B32)*Inputs!$F$5:$F$120*(((Inputs!$G$5:$G$120="moeda")+(Inputs!$G$5:$G$120="acoes"))*Inputs!$B$1+((Inputs!$G$5:$G$120&lt;&gt;"moeda")*(Inputs!$G$5:$G$120&lt;&gt;"acoes")))*INDEX(Inputs!$K$5:$AJ$120,0,MATCH(J$2,Inputs!$K$4:$AJ$4,0)))))</f>
        <v>2121.8</v>
      </c>
      <c r="K32" s="6">
        <f>IF(ISNA(MATCH(K$2,Inputs!$K$4:$AJ$4,0)),NA(),IF(SUMPRODUCT((Inputs!$A$5:$A$120=$B32)*ISNUMBER(INDEX(Inputs!$K$5:$AJ$120,0,MATCH(K$2,Inputs!$K$4:$AJ$4,0))))+SUMPRODUCT((Inputs!$C$5:$C$120=$B32)*ISNUMBER(INDEX(Inputs!$K$5:$AJ$120,0,MATCH(K$2,Inputs!$K$4:$AJ$4,0))))+SUMPRODUCT((Inputs!$E$5:$E$120=$B32)*ISNUMBER(INDEX(Inputs!$K$5:$AJ$120,0,MATCH(K$2,Inputs!$K$4:$AJ$4,0))))=0,NA(),SUMPRODUCT((Inputs!$A$5:$A$120=$B32)*Inputs!$B$5:$B$120*(((Inputs!$G$5:$G$120="moeda")+(Inputs!$G$5:$G$120="acoes"))*Inputs!$B$1+((Inputs!$G$5:$G$120&lt;&gt;"moeda")*(Inputs!$G$5:$G$120&lt;&gt;"acoes")))*INDEX(Inputs!$K$5:$AJ$120,0,MATCH(K$2,Inputs!$K$4:$AJ$4,0)))+SUMPRODUCT((Inputs!$C$5:$C$120=$B32)*Inputs!$D$5:$D$120*(((Inputs!$G$5:$G$120="moeda")+(Inputs!$G$5:$G$120="acoes"))*Inputs!$B$1+((Inputs!$G$5:$G$120&lt;&gt;"moeda")*(Inputs!$G$5:$G$120&lt;&gt;"acoes")))*INDEX(Inputs!$K$5:$AJ$120,0,MATCH(K$2,Inputs!$K$4:$AJ$4,0)))+SUMPRODUCT((Inputs!$E$5:$E$120=$B32)*Inputs!$F$5:$F$120*(((Inputs!$G$5:$G$120="moeda")+(Inputs!$G$5:$G$120="acoes"))*Inputs!$B$1+((Inputs!$G$5:$G$120&lt;&gt;"moeda")*(Inputs!$G$5:$G$120&lt;&gt;"acoes")))*INDEX(Inputs!$K$5:$AJ$120,0,MATCH(K$2,Inputs!$K$4:$AJ$4,0)))))</f>
        <v>1744.6</v>
      </c>
      <c r="L32" s="6">
        <f>IF(ISNA(MATCH(L$2,Inputs!$K$4:$AJ$4,0)),NA(),IF(SUMPRODUCT((Inputs!$A$5:$A$120=$B32)*ISNUMBER(INDEX(Inputs!$K$5:$AJ$120,0,MATCH(L$2,Inputs!$K$4:$AJ$4,0))))+SUMPRODUCT((Inputs!$C$5:$C$120=$B32)*ISNUMBER(INDEX(Inputs!$K$5:$AJ$120,0,MATCH(L$2,Inputs!$K$4:$AJ$4,0))))+SUMPRODUCT((Inputs!$E$5:$E$120=$B32)*ISNUMBER(INDEX(Inputs!$K$5:$AJ$120,0,MATCH(L$2,Inputs!$K$4:$AJ$4,0))))=0,NA(),SUMPRODUCT((Inputs!$A$5:$A$120=$B32)*Inputs!$B$5:$B$120*(((Inputs!$G$5:$G$120="moeda")+(Inputs!$G$5:$G$120="acoes"))*Inputs!$B$1+((Inputs!$G$5:$G$120&lt;&gt;"moeda")*(Inputs!$G$5:$G$120&lt;&gt;"acoes")))*INDEX(Inputs!$K$5:$AJ$120,0,MATCH(L$2,Inputs!$K$4:$AJ$4,0)))+SUMPRODUCT((Inputs!$C$5:$C$120=$B32)*Inputs!$D$5:$D$120*(((Inputs!$G$5:$G$120="moeda")+(Inputs!$G$5:$G$120="acoes"))*Inputs!$B$1+((Inputs!$G$5:$G$120&lt;&gt;"moeda")*(Inputs!$G$5:$G$120&lt;&gt;"acoes")))*INDEX(Inputs!$K$5:$AJ$120,0,MATCH(L$2,Inputs!$K$4:$AJ$4,0)))+SUMPRODUCT((Inputs!$E$5:$E$120=$B32)*Inputs!$F$5:$F$120*(((Inputs!$G$5:$G$120="moeda")+(Inputs!$G$5:$G$120="acoes"))*Inputs!$B$1+((Inputs!$G$5:$G$120&lt;&gt;"moeda")*(Inputs!$G$5:$G$120&lt;&gt;"acoes")))*INDEX(Inputs!$K$5:$AJ$120,0,MATCH(L$2,Inputs!$K$4:$AJ$4,0)))))</f>
        <v>1501.1</v>
      </c>
      <c r="M32" s="3">
        <f>L32</f>
        <v>1501.1</v>
      </c>
      <c r="N32" s="6">
        <f>IF(ISNA(MATCH(N$2,Inputs!$K$4:$AJ$4,0)),NA(),IF(SUMPRODUCT((Inputs!$A$5:$A$120=$B32)*ISNUMBER(INDEX(Inputs!$K$5:$AJ$120,0,MATCH(N$2,Inputs!$K$4:$AJ$4,0))))+SUMPRODUCT((Inputs!$C$5:$C$120=$B32)*ISNUMBER(INDEX(Inputs!$K$5:$AJ$120,0,MATCH(N$2,Inputs!$K$4:$AJ$4,0))))+SUMPRODUCT((Inputs!$E$5:$E$120=$B32)*ISNUMBER(INDEX(Inputs!$K$5:$AJ$120,0,MATCH(N$2,Inputs!$K$4:$AJ$4,0))))=0,NA(),SUMPRODUCT((Inputs!$A$5:$A$120=$B32)*Inputs!$B$5:$B$120*(((Inputs!$G$5:$G$120="moeda")+(Inputs!$G$5:$G$120="acoes"))*Inputs!$B$1+((Inputs!$G$5:$G$120&lt;&gt;"moeda")*(Inputs!$G$5:$G$120&lt;&gt;"acoes")))*INDEX(Inputs!$K$5:$AJ$120,0,MATCH(N$2,Inputs!$K$4:$AJ$4,0)))+SUMPRODUCT((Inputs!$C$5:$C$120=$B32)*Inputs!$D$5:$D$120*(((Inputs!$G$5:$G$120="moeda")+(Inputs!$G$5:$G$120="acoes"))*Inputs!$B$1+((Inputs!$G$5:$G$120&lt;&gt;"moeda")*(Inputs!$G$5:$G$120&lt;&gt;"acoes")))*INDEX(Inputs!$K$5:$AJ$120,0,MATCH(N$2,Inputs!$K$4:$AJ$4,0)))+SUMPRODUCT((Inputs!$E$5:$E$120=$B32)*Inputs!$F$5:$F$120*(((Inputs!$G$5:$G$120="moeda")+(Inputs!$G$5:$G$120="acoes"))*Inputs!$B$1+((Inputs!$G$5:$G$120&lt;&gt;"moeda")*(Inputs!$G$5:$G$120&lt;&gt;"acoes")))*INDEX(Inputs!$K$5:$AJ$120,0,MATCH(N$2,Inputs!$K$4:$AJ$4,0)))))</f>
        <v>3.1</v>
      </c>
      <c r="O32" s="6">
        <f>IF(ISNA(MATCH(O$2,Inputs!$K$4:$AJ$4,0)),NA(),IF(SUMPRODUCT((Inputs!$A$5:$A$120=$B32)*ISNUMBER(INDEX(Inputs!$K$5:$AJ$120,0,MATCH(O$2,Inputs!$K$4:$AJ$4,0))))+SUMPRODUCT((Inputs!$C$5:$C$120=$B32)*ISNUMBER(INDEX(Inputs!$K$5:$AJ$120,0,MATCH(O$2,Inputs!$K$4:$AJ$4,0))))+SUMPRODUCT((Inputs!$E$5:$E$120=$B32)*ISNUMBER(INDEX(Inputs!$K$5:$AJ$120,0,MATCH(O$2,Inputs!$K$4:$AJ$4,0))))=0,NA(),SUMPRODUCT((Inputs!$A$5:$A$120=$B32)*Inputs!$B$5:$B$120*(((Inputs!$G$5:$G$120="moeda")+(Inputs!$G$5:$G$120="acoes"))*Inputs!$B$1+((Inputs!$G$5:$G$120&lt;&gt;"moeda")*(Inputs!$G$5:$G$120&lt;&gt;"acoes")))*INDEX(Inputs!$K$5:$AJ$120,0,MATCH(O$2,Inputs!$K$4:$AJ$4,0)))+SUMPRODUCT((Inputs!$C$5:$C$120=$B32)*Inputs!$D$5:$D$120*(((Inputs!$G$5:$G$120="moeda")+(Inputs!$G$5:$G$120="acoes"))*Inputs!$B$1+((Inputs!$G$5:$G$120&lt;&gt;"moeda")*(Inputs!$G$5:$G$120&lt;&gt;"acoes")))*INDEX(Inputs!$K$5:$AJ$120,0,MATCH(O$2,Inputs!$K$4:$AJ$4,0)))+SUMPRODUCT((Inputs!$E$5:$E$120=$B32)*Inputs!$F$5:$F$120*(((Inputs!$G$5:$G$120="moeda")+(Inputs!$G$5:$G$120="acoes"))*Inputs!$B$1+((Inputs!$G$5:$G$120&lt;&gt;"moeda")*(Inputs!$G$5:$G$120&lt;&gt;"acoes")))*INDEX(Inputs!$K$5:$AJ$120,0,MATCH(O$2,Inputs!$K$4:$AJ$4,0)))))</f>
        <v>661.6</v>
      </c>
      <c r="P32" s="6">
        <f>IF(ISNA(MATCH(P$2,Inputs!$K$4:$AJ$4,0)),NA(),IF(SUMPRODUCT((Inputs!$A$5:$A$120=$B32)*ISNUMBER(INDEX(Inputs!$K$5:$AJ$120,0,MATCH(P$2,Inputs!$K$4:$AJ$4,0))))+SUMPRODUCT((Inputs!$C$5:$C$120=$B32)*ISNUMBER(INDEX(Inputs!$K$5:$AJ$120,0,MATCH(P$2,Inputs!$K$4:$AJ$4,0))))+SUMPRODUCT((Inputs!$E$5:$E$120=$B32)*ISNUMBER(INDEX(Inputs!$K$5:$AJ$120,0,MATCH(P$2,Inputs!$K$4:$AJ$4,0))))=0,NA(),SUMPRODUCT((Inputs!$A$5:$A$120=$B32)*Inputs!$B$5:$B$120*(((Inputs!$G$5:$G$120="moeda")+(Inputs!$G$5:$G$120="acoes"))*Inputs!$B$1+((Inputs!$G$5:$G$120&lt;&gt;"moeda")*(Inputs!$G$5:$G$120&lt;&gt;"acoes")))*INDEX(Inputs!$K$5:$AJ$120,0,MATCH(P$2,Inputs!$K$4:$AJ$4,0)))+SUMPRODUCT((Inputs!$C$5:$C$120=$B32)*Inputs!$D$5:$D$120*(((Inputs!$G$5:$G$120="moeda")+(Inputs!$G$5:$G$120="acoes"))*Inputs!$B$1+((Inputs!$G$5:$G$120&lt;&gt;"moeda")*(Inputs!$G$5:$G$120&lt;&gt;"acoes")))*INDEX(Inputs!$K$5:$AJ$120,0,MATCH(P$2,Inputs!$K$4:$AJ$4,0)))+SUMPRODUCT((Inputs!$E$5:$E$120=$B32)*Inputs!$F$5:$F$120*(((Inputs!$G$5:$G$120="moeda")+(Inputs!$G$5:$G$120="acoes"))*Inputs!$B$1+((Inputs!$G$5:$G$120&lt;&gt;"moeda")*(Inputs!$G$5:$G$120&lt;&gt;"acoes")))*INDEX(Inputs!$K$5:$AJ$120,0,MATCH(P$2,Inputs!$K$4:$AJ$4,0)))))</f>
        <v>2244.7</v>
      </c>
      <c r="Q32" s="6">
        <f>IF(ISNA(MATCH(Q$2,Inputs!$K$4:$AJ$4,0)),NA(),IF(SUMPRODUCT((Inputs!$A$5:$A$120=$B32)*ISNUMBER(INDEX(Inputs!$K$5:$AJ$120,0,MATCH(Q$2,Inputs!$K$4:$AJ$4,0))))+SUMPRODUCT((Inputs!$C$5:$C$120=$B32)*ISNUMBER(INDEX(Inputs!$K$5:$AJ$120,0,MATCH(Q$2,Inputs!$K$4:$AJ$4,0))))+SUMPRODUCT((Inputs!$E$5:$E$120=$B32)*ISNUMBER(INDEX(Inputs!$K$5:$AJ$120,0,MATCH(Q$2,Inputs!$K$4:$AJ$4,0))))=0,NA(),SUMPRODUCT((Inputs!$A$5:$A$120=$B32)*Inputs!$B$5:$B$120*(((Inputs!$G$5:$G$120="moeda")+(Inputs!$G$5:$G$120="acoes"))*Inputs!$B$1+((Inputs!$G$5:$G$120&lt;&gt;"moeda")*(Inputs!$G$5:$G$120&lt;&gt;"acoes")))*INDEX(Inputs!$K$5:$AJ$120,0,MATCH(Q$2,Inputs!$K$4:$AJ$4,0)))+SUMPRODUCT((Inputs!$C$5:$C$120=$B32)*Inputs!$D$5:$D$120*(((Inputs!$G$5:$G$120="moeda")+(Inputs!$G$5:$G$120="acoes"))*Inputs!$B$1+((Inputs!$G$5:$G$120&lt;&gt;"moeda")*(Inputs!$G$5:$G$120&lt;&gt;"acoes")))*INDEX(Inputs!$K$5:$AJ$120,0,MATCH(Q$2,Inputs!$K$4:$AJ$4,0)))+SUMPRODUCT((Inputs!$E$5:$E$120=$B32)*Inputs!$F$5:$F$120*(((Inputs!$G$5:$G$120="moeda")+(Inputs!$G$5:$G$120="acoes"))*Inputs!$B$1+((Inputs!$G$5:$G$120&lt;&gt;"moeda")*(Inputs!$G$5:$G$120&lt;&gt;"acoes")))*INDEX(Inputs!$K$5:$AJ$120,0,MATCH(Q$2,Inputs!$K$4:$AJ$4,0)))))</f>
        <v>6904.5</v>
      </c>
      <c r="R32" s="3">
        <f>Q32</f>
        <v>6904.5</v>
      </c>
      <c r="S32" s="6">
        <f>IF(ISNA(MATCH(S$2,Inputs!$K$4:$AJ$4,0)),NA(),IF(SUMPRODUCT((Inputs!$A$5:$A$120=$B32)*ISNUMBER(INDEX(Inputs!$K$5:$AJ$120,0,MATCH(S$2,Inputs!$K$4:$AJ$4,0))))+SUMPRODUCT((Inputs!$C$5:$C$120=$B32)*ISNUMBER(INDEX(Inputs!$K$5:$AJ$120,0,MATCH(S$2,Inputs!$K$4:$AJ$4,0))))+SUMPRODUCT((Inputs!$E$5:$E$120=$B32)*ISNUMBER(INDEX(Inputs!$K$5:$AJ$120,0,MATCH(S$2,Inputs!$K$4:$AJ$4,0))))=0,NA(),SUMPRODUCT((Inputs!$A$5:$A$120=$B32)*Inputs!$B$5:$B$120*(((Inputs!$G$5:$G$120="moeda")+(Inputs!$G$5:$G$120="acoes"))*Inputs!$B$1+((Inputs!$G$5:$G$120&lt;&gt;"moeda")*(Inputs!$G$5:$G$120&lt;&gt;"acoes")))*INDEX(Inputs!$K$5:$AJ$120,0,MATCH(S$2,Inputs!$K$4:$AJ$4,0)))+SUMPRODUCT((Inputs!$C$5:$C$120=$B32)*Inputs!$D$5:$D$120*(((Inputs!$G$5:$G$120="moeda")+(Inputs!$G$5:$G$120="acoes"))*Inputs!$B$1+((Inputs!$G$5:$G$120&lt;&gt;"moeda")*(Inputs!$G$5:$G$120&lt;&gt;"acoes")))*INDEX(Inputs!$K$5:$AJ$120,0,MATCH(S$2,Inputs!$K$4:$AJ$4,0)))+SUMPRODUCT((Inputs!$E$5:$E$120=$B32)*Inputs!$F$5:$F$120*(((Inputs!$G$5:$G$120="moeda")+(Inputs!$G$5:$G$120="acoes"))*Inputs!$B$1+((Inputs!$G$5:$G$120&lt;&gt;"moeda")*(Inputs!$G$5:$G$120&lt;&gt;"acoes")))*INDEX(Inputs!$K$5:$AJ$120,0,MATCH(S$2,Inputs!$K$4:$AJ$4,0)))))</f>
        <v>1651.5</v>
      </c>
      <c r="T32" s="6">
        <f>IF(ISNA(MATCH(T$2,Inputs!$K$4:$AJ$4,0)),NA(),IF(SUMPRODUCT((Inputs!$A$5:$A$120=$B32)*ISNUMBER(INDEX(Inputs!$K$5:$AJ$120,0,MATCH(T$2,Inputs!$K$4:$AJ$4,0))))+SUMPRODUCT((Inputs!$C$5:$C$120=$B32)*ISNUMBER(INDEX(Inputs!$K$5:$AJ$120,0,MATCH(T$2,Inputs!$K$4:$AJ$4,0))))+SUMPRODUCT((Inputs!$E$5:$E$120=$B32)*ISNUMBER(INDEX(Inputs!$K$5:$AJ$120,0,MATCH(T$2,Inputs!$K$4:$AJ$4,0))))=0,NA(),SUMPRODUCT((Inputs!$A$5:$A$120=$B32)*Inputs!$B$5:$B$120*(((Inputs!$G$5:$G$120="moeda")+(Inputs!$G$5:$G$120="acoes"))*Inputs!$B$1+((Inputs!$G$5:$G$120&lt;&gt;"moeda")*(Inputs!$G$5:$G$120&lt;&gt;"acoes")))*INDEX(Inputs!$K$5:$AJ$120,0,MATCH(T$2,Inputs!$K$4:$AJ$4,0)))+SUMPRODUCT((Inputs!$C$5:$C$120=$B32)*Inputs!$D$5:$D$120*(((Inputs!$G$5:$G$120="moeda")+(Inputs!$G$5:$G$120="acoes"))*Inputs!$B$1+((Inputs!$G$5:$G$120&lt;&gt;"moeda")*(Inputs!$G$5:$G$120&lt;&gt;"acoes")))*INDEX(Inputs!$K$5:$AJ$120,0,MATCH(T$2,Inputs!$K$4:$AJ$4,0)))+SUMPRODUCT((Inputs!$E$5:$E$120=$B32)*Inputs!$F$5:$F$120*(((Inputs!$G$5:$G$120="moeda")+(Inputs!$G$5:$G$120="acoes"))*Inputs!$B$1+((Inputs!$G$5:$G$120&lt;&gt;"moeda")*(Inputs!$G$5:$G$120&lt;&gt;"acoes")))*INDEX(Inputs!$K$5:$AJ$120,0,MATCH(T$2,Inputs!$K$4:$AJ$4,0)))))</f>
        <v>5161.6</v>
      </c>
      <c r="U32" s="6">
        <f>IF(ISNA(MATCH(U$2,Inputs!$K$4:$AJ$4,0)),NA(),IF(SUMPRODUCT((Inputs!$A$5:$A$120=$B32)*ISNUMBER(INDEX(Inputs!$K$5:$AJ$120,0,MATCH(U$2,Inputs!$K$4:$AJ$4,0))))+SUMPRODUCT((Inputs!$C$5:$C$120=$B32)*ISNUMBER(INDEX(Inputs!$K$5:$AJ$120,0,MATCH(U$2,Inputs!$K$4:$AJ$4,0))))+SUMPRODUCT((Inputs!$E$5:$E$120=$B32)*ISNUMBER(INDEX(Inputs!$K$5:$AJ$120,0,MATCH(U$2,Inputs!$K$4:$AJ$4,0))))=0,NA(),SUMPRODUCT((Inputs!$A$5:$A$120=$B32)*Inputs!$B$5:$B$120*(((Inputs!$G$5:$G$120="moeda")+(Inputs!$G$5:$G$120="acoes"))*Inputs!$B$1+((Inputs!$G$5:$G$120&lt;&gt;"moeda")*(Inputs!$G$5:$G$120&lt;&gt;"acoes")))*INDEX(Inputs!$K$5:$AJ$120,0,MATCH(U$2,Inputs!$K$4:$AJ$4,0)))+SUMPRODUCT((Inputs!$C$5:$C$120=$B32)*Inputs!$D$5:$D$120*(((Inputs!$G$5:$G$120="moeda")+(Inputs!$G$5:$G$120="acoes"))*Inputs!$B$1+((Inputs!$G$5:$G$120&lt;&gt;"moeda")*(Inputs!$G$5:$G$120&lt;&gt;"acoes")))*INDEX(Inputs!$K$5:$AJ$120,0,MATCH(U$2,Inputs!$K$4:$AJ$4,0)))+SUMPRODUCT((Inputs!$E$5:$E$120=$B32)*Inputs!$F$5:$F$120*(((Inputs!$G$5:$G$120="moeda")+(Inputs!$G$5:$G$120="acoes"))*Inputs!$B$1+((Inputs!$G$5:$G$120&lt;&gt;"moeda")*(Inputs!$G$5:$G$120&lt;&gt;"acoes")))*INDEX(Inputs!$K$5:$AJ$120,0,MATCH(U$2,Inputs!$K$4:$AJ$4,0)))))</f>
        <v>2074.3</v>
      </c>
      <c r="V32" s="6">
        <f>IF(ISNA(MATCH(V$2,Inputs!$K$4:$AJ$4,0)),NA(),IF(SUMPRODUCT((Inputs!$A$5:$A$120=$B32)*ISNUMBER(INDEX(Inputs!$K$5:$AJ$120,0,MATCH(V$2,Inputs!$K$4:$AJ$4,0))))+SUMPRODUCT((Inputs!$C$5:$C$120=$B32)*ISNUMBER(INDEX(Inputs!$K$5:$AJ$120,0,MATCH(V$2,Inputs!$K$4:$AJ$4,0))))+SUMPRODUCT((Inputs!$E$5:$E$120=$B32)*ISNUMBER(INDEX(Inputs!$K$5:$AJ$120,0,MATCH(V$2,Inputs!$K$4:$AJ$4,0))))=0,NA(),SUMPRODUCT((Inputs!$A$5:$A$120=$B32)*Inputs!$B$5:$B$120*(((Inputs!$G$5:$G$120="moeda")+(Inputs!$G$5:$G$120="acoes"))*Inputs!$B$1+((Inputs!$G$5:$G$120&lt;&gt;"moeda")*(Inputs!$G$5:$G$120&lt;&gt;"acoes")))*INDEX(Inputs!$K$5:$AJ$120,0,MATCH(V$2,Inputs!$K$4:$AJ$4,0)))+SUMPRODUCT((Inputs!$C$5:$C$120=$B32)*Inputs!$D$5:$D$120*(((Inputs!$G$5:$G$120="moeda")+(Inputs!$G$5:$G$120="acoes"))*Inputs!$B$1+((Inputs!$G$5:$G$120&lt;&gt;"moeda")*(Inputs!$G$5:$G$120&lt;&gt;"acoes")))*INDEX(Inputs!$K$5:$AJ$120,0,MATCH(V$2,Inputs!$K$4:$AJ$4,0)))+SUMPRODUCT((Inputs!$E$5:$E$120=$B32)*Inputs!$F$5:$F$120*(((Inputs!$G$5:$G$120="moeda")+(Inputs!$G$5:$G$120="acoes"))*Inputs!$B$1+((Inputs!$G$5:$G$120&lt;&gt;"moeda")*(Inputs!$G$5:$G$120&lt;&gt;"acoes")))*INDEX(Inputs!$K$5:$AJ$120,0,MATCH(V$2,Inputs!$K$4:$AJ$4,0)))))</f>
        <v>5117.1</v>
      </c>
      <c r="W32" s="3">
        <f>V32</f>
        <v>5117.1</v>
      </c>
      <c r="X32" s="6">
        <f>IF(ISNA(MATCH(X$2,Inputs!$K$4:$AJ$4,0)),NA(),IF(SUMPRODUCT((Inputs!$A$5:$A$120=$B32)*ISNUMBER(INDEX(Inputs!$K$5:$AJ$120,0,MATCH(X$2,Inputs!$K$4:$AJ$4,0))))+SUMPRODUCT((Inputs!$C$5:$C$120=$B32)*ISNUMBER(INDEX(Inputs!$K$5:$AJ$120,0,MATCH(X$2,Inputs!$K$4:$AJ$4,0))))+SUMPRODUCT((Inputs!$E$5:$E$120=$B32)*ISNUMBER(INDEX(Inputs!$K$5:$AJ$120,0,MATCH(X$2,Inputs!$K$4:$AJ$4,0))))=0,NA(),SUMPRODUCT((Inputs!$A$5:$A$120=$B32)*Inputs!$B$5:$B$120*(((Inputs!$G$5:$G$120="moeda")+(Inputs!$G$5:$G$120="acoes"))*Inputs!$B$1+((Inputs!$G$5:$G$120&lt;&gt;"moeda")*(Inputs!$G$5:$G$120&lt;&gt;"acoes")))*INDEX(Inputs!$K$5:$AJ$120,0,MATCH(X$2,Inputs!$K$4:$AJ$4,0)))+SUMPRODUCT((Inputs!$C$5:$C$120=$B32)*Inputs!$D$5:$D$120*(((Inputs!$G$5:$G$120="moeda")+(Inputs!$G$5:$G$120="acoes"))*Inputs!$B$1+((Inputs!$G$5:$G$120&lt;&gt;"moeda")*(Inputs!$G$5:$G$120&lt;&gt;"acoes")))*INDEX(Inputs!$K$5:$AJ$120,0,MATCH(X$2,Inputs!$K$4:$AJ$4,0)))+SUMPRODUCT((Inputs!$E$5:$E$120=$B32)*Inputs!$F$5:$F$120*(((Inputs!$G$5:$G$120="moeda")+(Inputs!$G$5:$G$120="acoes"))*Inputs!$B$1+((Inputs!$G$5:$G$120&lt;&gt;"moeda")*(Inputs!$G$5:$G$120&lt;&gt;"acoes")))*INDEX(Inputs!$K$5:$AJ$120,0,MATCH(X$2,Inputs!$K$4:$AJ$4,0)))))</f>
        <v>4016.4</v>
      </c>
      <c r="Y32" s="6">
        <f>IF(ISNA(MATCH(Y$2,Inputs!$K$4:$AJ$4,0)),NA(),IF(SUMPRODUCT((Inputs!$A$5:$A$120=$B32)*ISNUMBER(INDEX(Inputs!$K$5:$AJ$120,0,MATCH(Y$2,Inputs!$K$4:$AJ$4,0))))+SUMPRODUCT((Inputs!$C$5:$C$120=$B32)*ISNUMBER(INDEX(Inputs!$K$5:$AJ$120,0,MATCH(Y$2,Inputs!$K$4:$AJ$4,0))))+SUMPRODUCT((Inputs!$E$5:$E$120=$B32)*ISNUMBER(INDEX(Inputs!$K$5:$AJ$120,0,MATCH(Y$2,Inputs!$K$4:$AJ$4,0))))=0,NA(),SUMPRODUCT((Inputs!$A$5:$A$120=$B32)*Inputs!$B$5:$B$120*(((Inputs!$G$5:$G$120="moeda")+(Inputs!$G$5:$G$120="acoes"))*Inputs!$B$1+((Inputs!$G$5:$G$120&lt;&gt;"moeda")*(Inputs!$G$5:$G$120&lt;&gt;"acoes")))*INDEX(Inputs!$K$5:$AJ$120,0,MATCH(Y$2,Inputs!$K$4:$AJ$4,0)))+SUMPRODUCT((Inputs!$C$5:$C$120=$B32)*Inputs!$D$5:$D$120*(((Inputs!$G$5:$G$120="moeda")+(Inputs!$G$5:$G$120="acoes"))*Inputs!$B$1+((Inputs!$G$5:$G$120&lt;&gt;"moeda")*(Inputs!$G$5:$G$120&lt;&gt;"acoes")))*INDEX(Inputs!$K$5:$AJ$120,0,MATCH(Y$2,Inputs!$K$4:$AJ$4,0)))+SUMPRODUCT((Inputs!$E$5:$E$120=$B32)*Inputs!$F$5:$F$120*(((Inputs!$G$5:$G$120="moeda")+(Inputs!$G$5:$G$120="acoes"))*Inputs!$B$1+((Inputs!$G$5:$G$120&lt;&gt;"moeda")*(Inputs!$G$5:$G$120&lt;&gt;"acoes")))*INDEX(Inputs!$K$5:$AJ$120,0,MATCH(Y$2,Inputs!$K$4:$AJ$4,0)))))</f>
        <v>5723.7</v>
      </c>
      <c r="Z32" s="6">
        <f>IF(ISNA(MATCH(Z$2,Inputs!$K$4:$AJ$4,0)),NA(),IF(SUMPRODUCT((Inputs!$A$5:$A$120=$B32)*ISNUMBER(INDEX(Inputs!$K$5:$AJ$120,0,MATCH(Z$2,Inputs!$K$4:$AJ$4,0))))+SUMPRODUCT((Inputs!$C$5:$C$120=$B32)*ISNUMBER(INDEX(Inputs!$K$5:$AJ$120,0,MATCH(Z$2,Inputs!$K$4:$AJ$4,0))))+SUMPRODUCT((Inputs!$E$5:$E$120=$B32)*ISNUMBER(INDEX(Inputs!$K$5:$AJ$120,0,MATCH(Z$2,Inputs!$K$4:$AJ$4,0))))=0,NA(),SUMPRODUCT((Inputs!$A$5:$A$120=$B32)*Inputs!$B$5:$B$120*(((Inputs!$G$5:$G$120="moeda")+(Inputs!$G$5:$G$120="acoes"))*Inputs!$B$1+((Inputs!$G$5:$G$120&lt;&gt;"moeda")*(Inputs!$G$5:$G$120&lt;&gt;"acoes")))*INDEX(Inputs!$K$5:$AJ$120,0,MATCH(Z$2,Inputs!$K$4:$AJ$4,0)))+SUMPRODUCT((Inputs!$C$5:$C$120=$B32)*Inputs!$D$5:$D$120*(((Inputs!$G$5:$G$120="moeda")+(Inputs!$G$5:$G$120="acoes"))*Inputs!$B$1+((Inputs!$G$5:$G$120&lt;&gt;"moeda")*(Inputs!$G$5:$G$120&lt;&gt;"acoes")))*INDEX(Inputs!$K$5:$AJ$120,0,MATCH(Z$2,Inputs!$K$4:$AJ$4,0)))+SUMPRODUCT((Inputs!$E$5:$E$120=$B32)*Inputs!$F$5:$F$120*(((Inputs!$G$5:$G$120="moeda")+(Inputs!$G$5:$G$120="acoes"))*Inputs!$B$1+((Inputs!$G$5:$G$120&lt;&gt;"moeda")*(Inputs!$G$5:$G$120&lt;&gt;"acoes")))*INDEX(Inputs!$K$5:$AJ$120,0,MATCH(Z$2,Inputs!$K$4:$AJ$4,0)))))</f>
        <v>1633</v>
      </c>
      <c r="AA32" s="6">
        <f>IF(ISNA(MATCH(AA$2,Inputs!$K$4:$AJ$4,0)),NA(),IF(SUMPRODUCT((Inputs!$A$5:$A$120=$B32)*ISNUMBER(INDEX(Inputs!$K$5:$AJ$120,0,MATCH(AA$2,Inputs!$K$4:$AJ$4,0))))+SUMPRODUCT((Inputs!$C$5:$C$120=$B32)*ISNUMBER(INDEX(Inputs!$K$5:$AJ$120,0,MATCH(AA$2,Inputs!$K$4:$AJ$4,0))))+SUMPRODUCT((Inputs!$E$5:$E$120=$B32)*ISNUMBER(INDEX(Inputs!$K$5:$AJ$120,0,MATCH(AA$2,Inputs!$K$4:$AJ$4,0))))=0,NA(),SUMPRODUCT((Inputs!$A$5:$A$120=$B32)*Inputs!$B$5:$B$120*(((Inputs!$G$5:$G$120="moeda")+(Inputs!$G$5:$G$120="acoes"))*Inputs!$B$1+((Inputs!$G$5:$G$120&lt;&gt;"moeda")*(Inputs!$G$5:$G$120&lt;&gt;"acoes")))*INDEX(Inputs!$K$5:$AJ$120,0,MATCH(AA$2,Inputs!$K$4:$AJ$4,0)))+SUMPRODUCT((Inputs!$C$5:$C$120=$B32)*Inputs!$D$5:$D$120*(((Inputs!$G$5:$G$120="moeda")+(Inputs!$G$5:$G$120="acoes"))*Inputs!$B$1+((Inputs!$G$5:$G$120&lt;&gt;"moeda")*(Inputs!$G$5:$G$120&lt;&gt;"acoes")))*INDEX(Inputs!$K$5:$AJ$120,0,MATCH(AA$2,Inputs!$K$4:$AJ$4,0)))+SUMPRODUCT((Inputs!$E$5:$E$120=$B32)*Inputs!$F$5:$F$120*(((Inputs!$G$5:$G$120="moeda")+(Inputs!$G$5:$G$120="acoes"))*Inputs!$B$1+((Inputs!$G$5:$G$120&lt;&gt;"moeda")*(Inputs!$G$5:$G$120&lt;&gt;"acoes")))*INDEX(Inputs!$K$5:$AJ$120,0,MATCH(AA$2,Inputs!$K$4:$AJ$4,0)))))</f>
        <v>1635</v>
      </c>
      <c r="AB32" s="3">
        <f>AA32</f>
        <v>1635</v>
      </c>
      <c r="AC32" s="6">
        <f>IF(ISNA(MATCH(AC$2,Inputs!$K$4:$AJ$4,0)),NA(),IF(SUMPRODUCT((Inputs!$A$5:$A$120=$B32)*ISNUMBER(INDEX(Inputs!$K$5:$AJ$120,0,MATCH(AC$2,Inputs!$K$4:$AJ$4,0))))+SUMPRODUCT((Inputs!$C$5:$C$120=$B32)*ISNUMBER(INDEX(Inputs!$K$5:$AJ$120,0,MATCH(AC$2,Inputs!$K$4:$AJ$4,0))))+SUMPRODUCT((Inputs!$E$5:$E$120=$B32)*ISNUMBER(INDEX(Inputs!$K$5:$AJ$120,0,MATCH(AC$2,Inputs!$K$4:$AJ$4,0))))=0,NA(),SUMPRODUCT((Inputs!$A$5:$A$120=$B32)*Inputs!$B$5:$B$120*(((Inputs!$G$5:$G$120="moeda")+(Inputs!$G$5:$G$120="acoes"))*Inputs!$B$1+((Inputs!$G$5:$G$120&lt;&gt;"moeda")*(Inputs!$G$5:$G$120&lt;&gt;"acoes")))*INDEX(Inputs!$K$5:$AJ$120,0,MATCH(AC$2,Inputs!$K$4:$AJ$4,0)))+SUMPRODUCT((Inputs!$C$5:$C$120=$B32)*Inputs!$D$5:$D$120*(((Inputs!$G$5:$G$120="moeda")+(Inputs!$G$5:$G$120="acoes"))*Inputs!$B$1+((Inputs!$G$5:$G$120&lt;&gt;"moeda")*(Inputs!$G$5:$G$120&lt;&gt;"acoes")))*INDEX(Inputs!$K$5:$AJ$120,0,MATCH(AC$2,Inputs!$K$4:$AJ$4,0)))+SUMPRODUCT((Inputs!$E$5:$E$120=$B32)*Inputs!$F$5:$F$120*(((Inputs!$G$5:$G$120="moeda")+(Inputs!$G$5:$G$120="acoes"))*Inputs!$B$1+((Inputs!$G$5:$G$120&lt;&gt;"moeda")*(Inputs!$G$5:$G$120&lt;&gt;"acoes")))*INDEX(Inputs!$K$5:$AJ$120,0,MATCH(AC$2,Inputs!$K$4:$AJ$4,0)))))</f>
        <v>4000</v>
      </c>
      <c r="AD32" s="6">
        <f>IF(ISNA(MATCH(AD$2,Inputs!$K$4:$AJ$4,0)),NA(),IF(SUMPRODUCT((Inputs!$A$5:$A$120=$B32)*ISNUMBER(INDEX(Inputs!$K$5:$AJ$120,0,MATCH(AD$2,Inputs!$K$4:$AJ$4,0))))+SUMPRODUCT((Inputs!$C$5:$C$120=$B32)*ISNUMBER(INDEX(Inputs!$K$5:$AJ$120,0,MATCH(AD$2,Inputs!$K$4:$AJ$4,0))))+SUMPRODUCT((Inputs!$E$5:$E$120=$B32)*ISNUMBER(INDEX(Inputs!$K$5:$AJ$120,0,MATCH(AD$2,Inputs!$K$4:$AJ$4,0))))=0,NA(),SUMPRODUCT((Inputs!$A$5:$A$120=$B32)*Inputs!$B$5:$B$120*(((Inputs!$G$5:$G$120="moeda")+(Inputs!$G$5:$G$120="acoes"))*Inputs!$B$1+((Inputs!$G$5:$G$120&lt;&gt;"moeda")*(Inputs!$G$5:$G$120&lt;&gt;"acoes")))*INDEX(Inputs!$K$5:$AJ$120,0,MATCH(AD$2,Inputs!$K$4:$AJ$4,0)))+SUMPRODUCT((Inputs!$C$5:$C$120=$B32)*Inputs!$D$5:$D$120*(((Inputs!$G$5:$G$120="moeda")+(Inputs!$G$5:$G$120="acoes"))*Inputs!$B$1+((Inputs!$G$5:$G$120&lt;&gt;"moeda")*(Inputs!$G$5:$G$120&lt;&gt;"acoes")))*INDEX(Inputs!$K$5:$AJ$120,0,MATCH(AD$2,Inputs!$K$4:$AJ$4,0)))+SUMPRODUCT((Inputs!$E$5:$E$120=$B32)*Inputs!$F$5:$F$120*(((Inputs!$G$5:$G$120="moeda")+(Inputs!$G$5:$G$120="acoes"))*Inputs!$B$1+((Inputs!$G$5:$G$120&lt;&gt;"moeda")*(Inputs!$G$5:$G$120&lt;&gt;"acoes")))*INDEX(Inputs!$K$5:$AJ$120,0,MATCH(AD$2,Inputs!$K$4:$AJ$4,0)))))</f>
        <v>7050</v>
      </c>
      <c r="AE32" s="6" t="e">
        <f>IF(ISNA(MATCH(AE$2,Inputs!$K$4:$AJ$4,0)),NA(),IF(SUMPRODUCT((Inputs!$A$5:$A$120=$B32)*ISNUMBER(INDEX(Inputs!$K$5:$AJ$120,0,MATCH(AE$2,Inputs!$K$4:$AJ$4,0))))+SUMPRODUCT((Inputs!$C$5:$C$120=$B32)*ISNUMBER(INDEX(Inputs!$K$5:$AJ$120,0,MATCH(AE$2,Inputs!$K$4:$AJ$4,0))))+SUMPRODUCT((Inputs!$E$5:$E$120=$B32)*ISNUMBER(INDEX(Inputs!$K$5:$AJ$120,0,MATCH(AE$2,Inputs!$K$4:$AJ$4,0))))=0,NA(),SUMPRODUCT((Inputs!$A$5:$A$120=$B32)*Inputs!$B$5:$B$120*(((Inputs!$G$5:$G$120="moeda")+(Inputs!$G$5:$G$120="acoes"))*Inputs!$B$1+((Inputs!$G$5:$G$120&lt;&gt;"moeda")*(Inputs!$G$5:$G$120&lt;&gt;"acoes")))*INDEX(Inputs!$K$5:$AJ$120,0,MATCH(AE$2,Inputs!$K$4:$AJ$4,0)))+SUMPRODUCT((Inputs!$C$5:$C$120=$B32)*Inputs!$D$5:$D$120*(((Inputs!$G$5:$G$120="moeda")+(Inputs!$G$5:$G$120="acoes"))*Inputs!$B$1+((Inputs!$G$5:$G$120&lt;&gt;"moeda")*(Inputs!$G$5:$G$120&lt;&gt;"acoes")))*INDEX(Inputs!$K$5:$AJ$120,0,MATCH(AE$2,Inputs!$K$4:$AJ$4,0)))+SUMPRODUCT((Inputs!$E$5:$E$120=$B32)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2" s="6" t="e">
        <f>IF(ISNA(MATCH(AF$2,Inputs!$K$4:$AJ$4,0)),NA(),IF(SUMPRODUCT((Inputs!$A$5:$A$120=$B32)*ISNUMBER(INDEX(Inputs!$K$5:$AJ$120,0,MATCH(AF$2,Inputs!$K$4:$AJ$4,0))))+SUMPRODUCT((Inputs!$C$5:$C$120=$B32)*ISNUMBER(INDEX(Inputs!$K$5:$AJ$120,0,MATCH(AF$2,Inputs!$K$4:$AJ$4,0))))+SUMPRODUCT((Inputs!$E$5:$E$120=$B32)*ISNUMBER(INDEX(Inputs!$K$5:$AJ$120,0,MATCH(AF$2,Inputs!$K$4:$AJ$4,0))))=0,NA(),SUMPRODUCT((Inputs!$A$5:$A$120=$B32)*Inputs!$B$5:$B$120*(((Inputs!$G$5:$G$120="moeda")+(Inputs!$G$5:$G$120="acoes"))*Inputs!$B$1+((Inputs!$G$5:$G$120&lt;&gt;"moeda")*(Inputs!$G$5:$G$120&lt;&gt;"acoes")))*INDEX(Inputs!$K$5:$AJ$120,0,MATCH(AF$2,Inputs!$K$4:$AJ$4,0)))+SUMPRODUCT((Inputs!$C$5:$C$120=$B32)*Inputs!$D$5:$D$120*(((Inputs!$G$5:$G$120="moeda")+(Inputs!$G$5:$G$120="acoes"))*Inputs!$B$1+((Inputs!$G$5:$G$120&lt;&gt;"moeda")*(Inputs!$G$5:$G$120&lt;&gt;"acoes")))*INDEX(Inputs!$K$5:$AJ$120,0,MATCH(AF$2,Inputs!$K$4:$AJ$4,0)))+SUMPRODUCT((Inputs!$E$5:$E$120=$B32)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2" s="3" t="e">
        <f>AF32</f>
        <v>#N/A</v>
      </c>
      <c r="AH32" s="6">
        <f>IF(ISNA(MATCH(AH$2,Inputs!$K$4:$AJ$4,0)),NA(),IF(SUMPRODUCT((Inputs!$A$5:$A$120=$B32)*ISNUMBER(INDEX(Inputs!$K$5:$AJ$120,0,MATCH(AH$2,Inputs!$K$4:$AJ$4,0))))+SUMPRODUCT((Inputs!$C$5:$C$120=$B32)*ISNUMBER(INDEX(Inputs!$K$5:$AJ$120,0,MATCH(AH$2,Inputs!$K$4:$AJ$4,0))))+SUMPRODUCT((Inputs!$E$5:$E$120=$B32)*ISNUMBER(INDEX(Inputs!$K$5:$AJ$120,0,MATCH(AH$2,Inputs!$K$4:$AJ$4,0))))=0,NA(),SUMPRODUCT((Inputs!$A$5:$A$120=$B32)*Inputs!$B$5:$B$120*(((Inputs!$G$5:$G$120="moeda")+(Inputs!$G$5:$G$120="acoes"))*Inputs!$B$1+((Inputs!$G$5:$G$120&lt;&gt;"moeda")*(Inputs!$G$5:$G$120&lt;&gt;"acoes")))*INDEX(Inputs!$K$5:$AJ$120,0,MATCH(AH$2,Inputs!$K$4:$AJ$4,0)))+SUMPRODUCT((Inputs!$C$5:$C$120=$B32)*Inputs!$D$5:$D$120*(((Inputs!$G$5:$G$120="moeda")+(Inputs!$G$5:$G$120="acoes"))*Inputs!$B$1+((Inputs!$G$5:$G$120&lt;&gt;"moeda")*(Inputs!$G$5:$G$120&lt;&gt;"acoes")))*INDEX(Inputs!$K$5:$AJ$120,0,MATCH(AH$2,Inputs!$K$4:$AJ$4,0)))+SUMPRODUCT((Inputs!$E$5:$E$120=$B32)*Inputs!$F$5:$F$120*(((Inputs!$G$5:$G$120="moeda")+(Inputs!$G$5:$G$120="acoes"))*Inputs!$B$1+((Inputs!$G$5:$G$120&lt;&gt;"moeda")*(Inputs!$G$5:$G$120&lt;&gt;"acoes")))*INDEX(Inputs!$K$5:$AJ$120,0,MATCH(AH$2,Inputs!$K$4:$AJ$4,0)))))</f>
        <v>3248</v>
      </c>
      <c r="AI32" s="6">
        <f>IF(ISNA(MATCH(AI$2,Inputs!$K$4:$AJ$4,0)),NA(),IF(SUMPRODUCT((Inputs!$A$5:$A$120=$B32)*ISNUMBER(INDEX(Inputs!$K$5:$AJ$120,0,MATCH(AI$2,Inputs!$K$4:$AJ$4,0))))+SUMPRODUCT((Inputs!$C$5:$C$120=$B32)*ISNUMBER(INDEX(Inputs!$K$5:$AJ$120,0,MATCH(AI$2,Inputs!$K$4:$AJ$4,0))))+SUMPRODUCT((Inputs!$E$5:$E$120=$B32)*ISNUMBER(INDEX(Inputs!$K$5:$AJ$120,0,MATCH(AI$2,Inputs!$K$4:$AJ$4,0))))=0,NA(),SUMPRODUCT((Inputs!$A$5:$A$120=$B32)*Inputs!$B$5:$B$120*(((Inputs!$G$5:$G$120="moeda")+(Inputs!$G$5:$G$120="acoes"))*Inputs!$B$1+((Inputs!$G$5:$G$120&lt;&gt;"moeda")*(Inputs!$G$5:$G$120&lt;&gt;"acoes")))*INDEX(Inputs!$K$5:$AJ$120,0,MATCH(AI$2,Inputs!$K$4:$AJ$4,0)))+SUMPRODUCT((Inputs!$C$5:$C$120=$B32)*Inputs!$D$5:$D$120*(((Inputs!$G$5:$G$120="moeda")+(Inputs!$G$5:$G$120="acoes"))*Inputs!$B$1+((Inputs!$G$5:$G$120&lt;&gt;"moeda")*(Inputs!$G$5:$G$120&lt;&gt;"acoes")))*INDEX(Inputs!$K$5:$AJ$120,0,MATCH(AI$2,Inputs!$K$4:$AJ$4,0)))+SUMPRODUCT((Inputs!$E$5:$E$120=$B32)*Inputs!$F$5:$F$120*(((Inputs!$G$5:$G$120="moeda")+(Inputs!$G$5:$G$120="acoes"))*Inputs!$B$1+((Inputs!$G$5:$G$120&lt;&gt;"moeda")*(Inputs!$G$5:$G$120&lt;&gt;"acoes")))*INDEX(Inputs!$K$5:$AJ$120,0,MATCH(AI$2,Inputs!$K$4:$AJ$4,0)))))</f>
        <v>1263.8</v>
      </c>
      <c r="AJ32" s="6">
        <f>IF(ISNA(MATCH(AJ$2,Inputs!$K$4:$AJ$4,0)),NA(),IF(SUMPRODUCT((Inputs!$A$5:$A$120=$B32)*ISNUMBER(INDEX(Inputs!$K$5:$AJ$120,0,MATCH(AJ$2,Inputs!$K$4:$AJ$4,0))))+SUMPRODUCT((Inputs!$C$5:$C$120=$B32)*ISNUMBER(INDEX(Inputs!$K$5:$AJ$120,0,MATCH(AJ$2,Inputs!$K$4:$AJ$4,0))))+SUMPRODUCT((Inputs!$E$5:$E$120=$B32)*ISNUMBER(INDEX(Inputs!$K$5:$AJ$120,0,MATCH(AJ$2,Inputs!$K$4:$AJ$4,0))))=0,NA(),SUMPRODUCT((Inputs!$A$5:$A$120=$B32)*Inputs!$B$5:$B$120*(((Inputs!$G$5:$G$120="moeda")+(Inputs!$G$5:$G$120="acoes"))*Inputs!$B$1+((Inputs!$G$5:$G$120&lt;&gt;"moeda")*(Inputs!$G$5:$G$120&lt;&gt;"acoes")))*INDEX(Inputs!$K$5:$AJ$120,0,MATCH(AJ$2,Inputs!$K$4:$AJ$4,0)))+SUMPRODUCT((Inputs!$C$5:$C$120=$B32)*Inputs!$D$5:$D$120*(((Inputs!$G$5:$G$120="moeda")+(Inputs!$G$5:$G$120="acoes"))*Inputs!$B$1+((Inputs!$G$5:$G$120&lt;&gt;"moeda")*(Inputs!$G$5:$G$120&lt;&gt;"acoes")))*INDEX(Inputs!$K$5:$AJ$120,0,MATCH(AJ$2,Inputs!$K$4:$AJ$4,0)))+SUMPRODUCT((Inputs!$E$5:$E$120=$B32)*Inputs!$F$5:$F$120*(((Inputs!$G$5:$G$120="moeda")+(Inputs!$G$5:$G$120="acoes"))*Inputs!$B$1+((Inputs!$G$5:$G$120&lt;&gt;"moeda")*(Inputs!$G$5:$G$120&lt;&gt;"acoes")))*INDEX(Inputs!$K$5:$AJ$120,0,MATCH(AJ$2,Inputs!$K$4:$AJ$4,0)))))</f>
        <v>587.5</v>
      </c>
      <c r="AK32" s="6">
        <f>IF(ISNA(MATCH(AK$2,Inputs!$K$4:$AJ$4,0)),NA(),IF(SUMPRODUCT((Inputs!$A$5:$A$120=$B32)*ISNUMBER(INDEX(Inputs!$K$5:$AJ$120,0,MATCH(AK$2,Inputs!$K$4:$AJ$4,0))))+SUMPRODUCT((Inputs!$C$5:$C$120=$B32)*ISNUMBER(INDEX(Inputs!$K$5:$AJ$120,0,MATCH(AK$2,Inputs!$K$4:$AJ$4,0))))+SUMPRODUCT((Inputs!$E$5:$E$120=$B32)*ISNUMBER(INDEX(Inputs!$K$5:$AJ$120,0,MATCH(AK$2,Inputs!$K$4:$AJ$4,0))))=0,NA(),SUMPRODUCT((Inputs!$A$5:$A$120=$B32)*Inputs!$B$5:$B$120*(((Inputs!$G$5:$G$120="moeda")+(Inputs!$G$5:$G$120="acoes"))*Inputs!$B$1+((Inputs!$G$5:$G$120&lt;&gt;"moeda")*(Inputs!$G$5:$G$120&lt;&gt;"acoes")))*INDEX(Inputs!$K$5:$AJ$120,0,MATCH(AK$2,Inputs!$K$4:$AJ$4,0)))+SUMPRODUCT((Inputs!$C$5:$C$120=$B32)*Inputs!$D$5:$D$120*(((Inputs!$G$5:$G$120="moeda")+(Inputs!$G$5:$G$120="acoes"))*Inputs!$B$1+((Inputs!$G$5:$G$120&lt;&gt;"moeda")*(Inputs!$G$5:$G$120&lt;&gt;"acoes")))*INDEX(Inputs!$K$5:$AJ$120,0,MATCH(AK$2,Inputs!$K$4:$AJ$4,0)))+SUMPRODUCT((Inputs!$E$5:$E$120=$B32)*Inputs!$F$5:$F$120*(((Inputs!$G$5:$G$120="moeda")+(Inputs!$G$5:$G$120="acoes"))*Inputs!$B$1+((Inputs!$G$5:$G$120&lt;&gt;"moeda")*(Inputs!$G$5:$G$120&lt;&gt;"acoes")))*INDEX(Inputs!$K$5:$AJ$120,0,MATCH(AK$2,Inputs!$K$4:$AJ$4,0)))))</f>
        <v>8.7</v>
      </c>
      <c r="AL32" s="3">
        <f>AK32</f>
        <v>8.7</v>
      </c>
    </row>
    <row r="33">
      <c r="B33" s="46" t="n">
        <v>28</v>
      </c>
      <c r="C33" s="26" t="inlineStr">
        <is>
          <t>Short term debt (Revolving credit facility)</t>
        </is>
      </c>
      <c r="D33" s="6">
        <f>IF(ISNA(MATCH(D$2,Inputs!$K$4:$AJ$4,0)),NA(),IF(SUMPRODUCT((Inputs!$A$5:$A$120=$B33)*ISNUMBER(INDEX(Inputs!$K$5:$AJ$120,0,MATCH(D$2,Inputs!$K$4:$AJ$4,0))))+SUMPRODUCT((Inputs!$C$5:$C$120=$B33)*ISNUMBER(INDEX(Inputs!$K$5:$AJ$120,0,MATCH(D$2,Inputs!$K$4:$AJ$4,0))))+SUMPRODUCT((Inputs!$E$5:$E$120=$B33)*ISNUMBER(INDEX(Inputs!$K$5:$AJ$120,0,MATCH(D$2,Inputs!$K$4:$AJ$4,0))))=0,NA(),SUMPRODUCT((Inputs!$A$5:$A$120=$B33)*Inputs!$B$5:$B$120*(((Inputs!$G$5:$G$120="moeda")+(Inputs!$G$5:$G$120="acoes"))*Inputs!$B$1+((Inputs!$G$5:$G$120&lt;&gt;"moeda")*(Inputs!$G$5:$G$120&lt;&gt;"acoes")))*INDEX(Inputs!$K$5:$AJ$120,0,MATCH(D$2,Inputs!$K$4:$AJ$4,0)))+SUMPRODUCT((Inputs!$C$5:$C$120=$B33)*Inputs!$D$5:$D$120*(((Inputs!$G$5:$G$120="moeda")+(Inputs!$G$5:$G$120="acoes"))*Inputs!$B$1+((Inputs!$G$5:$G$120&lt;&gt;"moeda")*(Inputs!$G$5:$G$120&lt;&gt;"acoes")))*INDEX(Inputs!$K$5:$AJ$120,0,MATCH(D$2,Inputs!$K$4:$AJ$4,0)))+SUMPRODUCT((Inputs!$E$5:$E$120=$B33)*Inputs!$F$5:$F$120*(((Inputs!$G$5:$G$120="moeda")+(Inputs!$G$5:$G$120="acoes"))*Inputs!$B$1+((Inputs!$G$5:$G$120&lt;&gt;"moeda")*(Inputs!$G$5:$G$120&lt;&gt;"acoes")))*INDEX(Inputs!$K$5:$AJ$120,0,MATCH(D$2,Inputs!$K$4:$AJ$4,0)))))</f>
        <v>0</v>
      </c>
      <c r="E33" s="6">
        <f>IF(ISNA(MATCH(E$2,Inputs!$K$4:$AJ$4,0)),NA(),IF(SUMPRODUCT((Inputs!$A$5:$A$120=$B33)*ISNUMBER(INDEX(Inputs!$K$5:$AJ$120,0,MATCH(E$2,Inputs!$K$4:$AJ$4,0))))+SUMPRODUCT((Inputs!$C$5:$C$120=$B33)*ISNUMBER(INDEX(Inputs!$K$5:$AJ$120,0,MATCH(E$2,Inputs!$K$4:$AJ$4,0))))+SUMPRODUCT((Inputs!$E$5:$E$120=$B33)*ISNUMBER(INDEX(Inputs!$K$5:$AJ$120,0,MATCH(E$2,Inputs!$K$4:$AJ$4,0))))=0,NA(),SUMPRODUCT((Inputs!$A$5:$A$120=$B33)*Inputs!$B$5:$B$120*(((Inputs!$G$5:$G$120="moeda")+(Inputs!$G$5:$G$120="acoes"))*Inputs!$B$1+((Inputs!$G$5:$G$120&lt;&gt;"moeda")*(Inputs!$G$5:$G$120&lt;&gt;"acoes")))*INDEX(Inputs!$K$5:$AJ$120,0,MATCH(E$2,Inputs!$K$4:$AJ$4,0)))+SUMPRODUCT((Inputs!$C$5:$C$120=$B33)*Inputs!$D$5:$D$120*(((Inputs!$G$5:$G$120="moeda")+(Inputs!$G$5:$G$120="acoes"))*Inputs!$B$1+((Inputs!$G$5:$G$120&lt;&gt;"moeda")*(Inputs!$G$5:$G$120&lt;&gt;"acoes")))*INDEX(Inputs!$K$5:$AJ$120,0,MATCH(E$2,Inputs!$K$4:$AJ$4,0)))+SUMPRODUCT((Inputs!$E$5:$E$120=$B33)*Inputs!$F$5:$F$120*(((Inputs!$G$5:$G$120="moeda")+(Inputs!$G$5:$G$120="acoes"))*Inputs!$B$1+((Inputs!$G$5:$G$120&lt;&gt;"moeda")*(Inputs!$G$5:$G$120&lt;&gt;"acoes")))*INDEX(Inputs!$K$5:$AJ$120,0,MATCH(E$2,Inputs!$K$4:$AJ$4,0)))))</f>
        <v>0</v>
      </c>
      <c r="F33" s="6">
        <f>IF(ISNA(MATCH(F$2,Inputs!$K$4:$AJ$4,0)),NA(),IF(SUMPRODUCT((Inputs!$A$5:$A$120=$B33)*ISNUMBER(INDEX(Inputs!$K$5:$AJ$120,0,MATCH(F$2,Inputs!$K$4:$AJ$4,0))))+SUMPRODUCT((Inputs!$C$5:$C$120=$B33)*ISNUMBER(INDEX(Inputs!$K$5:$AJ$120,0,MATCH(F$2,Inputs!$K$4:$AJ$4,0))))+SUMPRODUCT((Inputs!$E$5:$E$120=$B33)*ISNUMBER(INDEX(Inputs!$K$5:$AJ$120,0,MATCH(F$2,Inputs!$K$4:$AJ$4,0))))=0,NA(),SUMPRODUCT((Inputs!$A$5:$A$120=$B33)*Inputs!$B$5:$B$120*(((Inputs!$G$5:$G$120="moeda")+(Inputs!$G$5:$G$120="acoes"))*Inputs!$B$1+((Inputs!$G$5:$G$120&lt;&gt;"moeda")*(Inputs!$G$5:$G$120&lt;&gt;"acoes")))*INDEX(Inputs!$K$5:$AJ$120,0,MATCH(F$2,Inputs!$K$4:$AJ$4,0)))+SUMPRODUCT((Inputs!$C$5:$C$120=$B33)*Inputs!$D$5:$D$120*(((Inputs!$G$5:$G$120="moeda")+(Inputs!$G$5:$G$120="acoes"))*Inputs!$B$1+((Inputs!$G$5:$G$120&lt;&gt;"moeda")*(Inputs!$G$5:$G$120&lt;&gt;"acoes")))*INDEX(Inputs!$K$5:$AJ$120,0,MATCH(F$2,Inputs!$K$4:$AJ$4,0)))+SUMPRODUCT((Inputs!$E$5:$E$120=$B33)*Inputs!$F$5:$F$120*(((Inputs!$G$5:$G$120="moeda")+(Inputs!$G$5:$G$120="acoes"))*Inputs!$B$1+((Inputs!$G$5:$G$120&lt;&gt;"moeda")*(Inputs!$G$5:$G$120&lt;&gt;"acoes")))*INDEX(Inputs!$K$5:$AJ$120,0,MATCH(F$2,Inputs!$K$4:$AJ$4,0)))))</f>
        <v>0</v>
      </c>
      <c r="G33" s="6">
        <f>IF(ISNA(MATCH(G$2,Inputs!$K$4:$AJ$4,0)),NA(),IF(SUMPRODUCT((Inputs!$A$5:$A$120=$B33)*ISNUMBER(INDEX(Inputs!$K$5:$AJ$120,0,MATCH(G$2,Inputs!$K$4:$AJ$4,0))))+SUMPRODUCT((Inputs!$C$5:$C$120=$B33)*ISNUMBER(INDEX(Inputs!$K$5:$AJ$120,0,MATCH(G$2,Inputs!$K$4:$AJ$4,0))))+SUMPRODUCT((Inputs!$E$5:$E$120=$B33)*ISNUMBER(INDEX(Inputs!$K$5:$AJ$120,0,MATCH(G$2,Inputs!$K$4:$AJ$4,0))))=0,NA(),SUMPRODUCT((Inputs!$A$5:$A$120=$B33)*Inputs!$B$5:$B$120*(((Inputs!$G$5:$G$120="moeda")+(Inputs!$G$5:$G$120="acoes"))*Inputs!$B$1+((Inputs!$G$5:$G$120&lt;&gt;"moeda")*(Inputs!$G$5:$G$120&lt;&gt;"acoes")))*INDEX(Inputs!$K$5:$AJ$120,0,MATCH(G$2,Inputs!$K$4:$AJ$4,0)))+SUMPRODUCT((Inputs!$C$5:$C$120=$B33)*Inputs!$D$5:$D$120*(((Inputs!$G$5:$G$120="moeda")+(Inputs!$G$5:$G$120="acoes"))*Inputs!$B$1+((Inputs!$G$5:$G$120&lt;&gt;"moeda")*(Inputs!$G$5:$G$120&lt;&gt;"acoes")))*INDEX(Inputs!$K$5:$AJ$120,0,MATCH(G$2,Inputs!$K$4:$AJ$4,0)))+SUMPRODUCT((Inputs!$E$5:$E$120=$B33)*Inputs!$F$5:$F$120*(((Inputs!$G$5:$G$120="moeda")+(Inputs!$G$5:$G$120="acoes"))*Inputs!$B$1+((Inputs!$G$5:$G$120&lt;&gt;"moeda")*(Inputs!$G$5:$G$120&lt;&gt;"acoes")))*INDEX(Inputs!$K$5:$AJ$120,0,MATCH(G$2,Inputs!$K$4:$AJ$4,0)))))</f>
        <v>0</v>
      </c>
      <c r="H33" s="3">
        <f>G33</f>
        <v>0</v>
      </c>
      <c r="I33" s="6">
        <f>IF(ISNA(MATCH(I$2,Inputs!$K$4:$AJ$4,0)),NA(),IF(SUMPRODUCT((Inputs!$A$5:$A$120=$B33)*ISNUMBER(INDEX(Inputs!$K$5:$AJ$120,0,MATCH(I$2,Inputs!$K$4:$AJ$4,0))))+SUMPRODUCT((Inputs!$C$5:$C$120=$B33)*ISNUMBER(INDEX(Inputs!$K$5:$AJ$120,0,MATCH(I$2,Inputs!$K$4:$AJ$4,0))))+SUMPRODUCT((Inputs!$E$5:$E$120=$B33)*ISNUMBER(INDEX(Inputs!$K$5:$AJ$120,0,MATCH(I$2,Inputs!$K$4:$AJ$4,0))))=0,NA(),SUMPRODUCT((Inputs!$A$5:$A$120=$B33)*Inputs!$B$5:$B$120*(((Inputs!$G$5:$G$120="moeda")+(Inputs!$G$5:$G$120="acoes"))*Inputs!$B$1+((Inputs!$G$5:$G$120&lt;&gt;"moeda")*(Inputs!$G$5:$G$120&lt;&gt;"acoes")))*INDEX(Inputs!$K$5:$AJ$120,0,MATCH(I$2,Inputs!$K$4:$AJ$4,0)))+SUMPRODUCT((Inputs!$C$5:$C$120=$B33)*Inputs!$D$5:$D$120*(((Inputs!$G$5:$G$120="moeda")+(Inputs!$G$5:$G$120="acoes"))*Inputs!$B$1+((Inputs!$G$5:$G$120&lt;&gt;"moeda")*(Inputs!$G$5:$G$120&lt;&gt;"acoes")))*INDEX(Inputs!$K$5:$AJ$120,0,MATCH(I$2,Inputs!$K$4:$AJ$4,0)))+SUMPRODUCT((Inputs!$E$5:$E$120=$B33)*Inputs!$F$5:$F$120*(((Inputs!$G$5:$G$120="moeda")+(Inputs!$G$5:$G$120="acoes"))*Inputs!$B$1+((Inputs!$G$5:$G$120&lt;&gt;"moeda")*(Inputs!$G$5:$G$120&lt;&gt;"acoes")))*INDEX(Inputs!$K$5:$AJ$120,0,MATCH(I$2,Inputs!$K$4:$AJ$4,0)))))</f>
        <v>0</v>
      </c>
      <c r="J33" s="6">
        <f>IF(ISNA(MATCH(J$2,Inputs!$K$4:$AJ$4,0)),NA(),IF(SUMPRODUCT((Inputs!$A$5:$A$120=$B33)*ISNUMBER(INDEX(Inputs!$K$5:$AJ$120,0,MATCH(J$2,Inputs!$K$4:$AJ$4,0))))+SUMPRODUCT((Inputs!$C$5:$C$120=$B33)*ISNUMBER(INDEX(Inputs!$K$5:$AJ$120,0,MATCH(J$2,Inputs!$K$4:$AJ$4,0))))+SUMPRODUCT((Inputs!$E$5:$E$120=$B33)*ISNUMBER(INDEX(Inputs!$K$5:$AJ$120,0,MATCH(J$2,Inputs!$K$4:$AJ$4,0))))=0,NA(),SUMPRODUCT((Inputs!$A$5:$A$120=$B33)*Inputs!$B$5:$B$120*(((Inputs!$G$5:$G$120="moeda")+(Inputs!$G$5:$G$120="acoes"))*Inputs!$B$1+((Inputs!$G$5:$G$120&lt;&gt;"moeda")*(Inputs!$G$5:$G$120&lt;&gt;"acoes")))*INDEX(Inputs!$K$5:$AJ$120,0,MATCH(J$2,Inputs!$K$4:$AJ$4,0)))+SUMPRODUCT((Inputs!$C$5:$C$120=$B33)*Inputs!$D$5:$D$120*(((Inputs!$G$5:$G$120="moeda")+(Inputs!$G$5:$G$120="acoes"))*Inputs!$B$1+((Inputs!$G$5:$G$120&lt;&gt;"moeda")*(Inputs!$G$5:$G$120&lt;&gt;"acoes")))*INDEX(Inputs!$K$5:$AJ$120,0,MATCH(J$2,Inputs!$K$4:$AJ$4,0)))+SUMPRODUCT((Inputs!$E$5:$E$120=$B33)*Inputs!$F$5:$F$120*(((Inputs!$G$5:$G$120="moeda")+(Inputs!$G$5:$G$120="acoes"))*Inputs!$B$1+((Inputs!$G$5:$G$120&lt;&gt;"moeda")*(Inputs!$G$5:$G$120&lt;&gt;"acoes")))*INDEX(Inputs!$K$5:$AJ$120,0,MATCH(J$2,Inputs!$K$4:$AJ$4,0)))))</f>
        <v>0</v>
      </c>
      <c r="K33" s="6">
        <f>IF(ISNA(MATCH(K$2,Inputs!$K$4:$AJ$4,0)),NA(),IF(SUMPRODUCT((Inputs!$A$5:$A$120=$B33)*ISNUMBER(INDEX(Inputs!$K$5:$AJ$120,0,MATCH(K$2,Inputs!$K$4:$AJ$4,0))))+SUMPRODUCT((Inputs!$C$5:$C$120=$B33)*ISNUMBER(INDEX(Inputs!$K$5:$AJ$120,0,MATCH(K$2,Inputs!$K$4:$AJ$4,0))))+SUMPRODUCT((Inputs!$E$5:$E$120=$B33)*ISNUMBER(INDEX(Inputs!$K$5:$AJ$120,0,MATCH(K$2,Inputs!$K$4:$AJ$4,0))))=0,NA(),SUMPRODUCT((Inputs!$A$5:$A$120=$B33)*Inputs!$B$5:$B$120*(((Inputs!$G$5:$G$120="moeda")+(Inputs!$G$5:$G$120="acoes"))*Inputs!$B$1+((Inputs!$G$5:$G$120&lt;&gt;"moeda")*(Inputs!$G$5:$G$120&lt;&gt;"acoes")))*INDEX(Inputs!$K$5:$AJ$120,0,MATCH(K$2,Inputs!$K$4:$AJ$4,0)))+SUMPRODUCT((Inputs!$C$5:$C$120=$B33)*Inputs!$D$5:$D$120*(((Inputs!$G$5:$G$120="moeda")+(Inputs!$G$5:$G$120="acoes"))*Inputs!$B$1+((Inputs!$G$5:$G$120&lt;&gt;"moeda")*(Inputs!$G$5:$G$120&lt;&gt;"acoes")))*INDEX(Inputs!$K$5:$AJ$120,0,MATCH(K$2,Inputs!$K$4:$AJ$4,0)))+SUMPRODUCT((Inputs!$E$5:$E$120=$B33)*Inputs!$F$5:$F$120*(((Inputs!$G$5:$G$120="moeda")+(Inputs!$G$5:$G$120="acoes"))*Inputs!$B$1+((Inputs!$G$5:$G$120&lt;&gt;"moeda")*(Inputs!$G$5:$G$120&lt;&gt;"acoes")))*INDEX(Inputs!$K$5:$AJ$120,0,MATCH(K$2,Inputs!$K$4:$AJ$4,0)))))</f>
        <v>0</v>
      </c>
      <c r="L33" s="6">
        <f>IF(ISNA(MATCH(L$2,Inputs!$K$4:$AJ$4,0)),NA(),IF(SUMPRODUCT((Inputs!$A$5:$A$120=$B33)*ISNUMBER(INDEX(Inputs!$K$5:$AJ$120,0,MATCH(L$2,Inputs!$K$4:$AJ$4,0))))+SUMPRODUCT((Inputs!$C$5:$C$120=$B33)*ISNUMBER(INDEX(Inputs!$K$5:$AJ$120,0,MATCH(L$2,Inputs!$K$4:$AJ$4,0))))+SUMPRODUCT((Inputs!$E$5:$E$120=$B33)*ISNUMBER(INDEX(Inputs!$K$5:$AJ$120,0,MATCH(L$2,Inputs!$K$4:$AJ$4,0))))=0,NA(),SUMPRODUCT((Inputs!$A$5:$A$120=$B33)*Inputs!$B$5:$B$120*(((Inputs!$G$5:$G$120="moeda")+(Inputs!$G$5:$G$120="acoes"))*Inputs!$B$1+((Inputs!$G$5:$G$120&lt;&gt;"moeda")*(Inputs!$G$5:$G$120&lt;&gt;"acoes")))*INDEX(Inputs!$K$5:$AJ$120,0,MATCH(L$2,Inputs!$K$4:$AJ$4,0)))+SUMPRODUCT((Inputs!$C$5:$C$120=$B33)*Inputs!$D$5:$D$120*(((Inputs!$G$5:$G$120="moeda")+(Inputs!$G$5:$G$120="acoes"))*Inputs!$B$1+((Inputs!$G$5:$G$120&lt;&gt;"moeda")*(Inputs!$G$5:$G$120&lt;&gt;"acoes")))*INDEX(Inputs!$K$5:$AJ$120,0,MATCH(L$2,Inputs!$K$4:$AJ$4,0)))+SUMPRODUCT((Inputs!$E$5:$E$120=$B33)*Inputs!$F$5:$F$120*(((Inputs!$G$5:$G$120="moeda")+(Inputs!$G$5:$G$120="acoes"))*Inputs!$B$1+((Inputs!$G$5:$G$120&lt;&gt;"moeda")*(Inputs!$G$5:$G$120&lt;&gt;"acoes")))*INDEX(Inputs!$K$5:$AJ$120,0,MATCH(L$2,Inputs!$K$4:$AJ$4,0)))))</f>
        <v>0</v>
      </c>
      <c r="M33" s="3">
        <f>L33</f>
        <v>0</v>
      </c>
      <c r="N33" s="6">
        <f>IF(ISNA(MATCH(N$2,Inputs!$K$4:$AJ$4,0)),NA(),IF(SUMPRODUCT((Inputs!$A$5:$A$120=$B33)*ISNUMBER(INDEX(Inputs!$K$5:$AJ$120,0,MATCH(N$2,Inputs!$K$4:$AJ$4,0))))+SUMPRODUCT((Inputs!$C$5:$C$120=$B33)*ISNUMBER(INDEX(Inputs!$K$5:$AJ$120,0,MATCH(N$2,Inputs!$K$4:$AJ$4,0))))+SUMPRODUCT((Inputs!$E$5:$E$120=$B33)*ISNUMBER(INDEX(Inputs!$K$5:$AJ$120,0,MATCH(N$2,Inputs!$K$4:$AJ$4,0))))=0,NA(),SUMPRODUCT((Inputs!$A$5:$A$120=$B33)*Inputs!$B$5:$B$120*(((Inputs!$G$5:$G$120="moeda")+(Inputs!$G$5:$G$120="acoes"))*Inputs!$B$1+((Inputs!$G$5:$G$120&lt;&gt;"moeda")*(Inputs!$G$5:$G$120&lt;&gt;"acoes")))*INDEX(Inputs!$K$5:$AJ$120,0,MATCH(N$2,Inputs!$K$4:$AJ$4,0)))+SUMPRODUCT((Inputs!$C$5:$C$120=$B33)*Inputs!$D$5:$D$120*(((Inputs!$G$5:$G$120="moeda")+(Inputs!$G$5:$G$120="acoes"))*Inputs!$B$1+((Inputs!$G$5:$G$120&lt;&gt;"moeda")*(Inputs!$G$5:$G$120&lt;&gt;"acoes")))*INDEX(Inputs!$K$5:$AJ$120,0,MATCH(N$2,Inputs!$K$4:$AJ$4,0)))+SUMPRODUCT((Inputs!$E$5:$E$120=$B33)*Inputs!$F$5:$F$120*(((Inputs!$G$5:$G$120="moeda")+(Inputs!$G$5:$G$120="acoes"))*Inputs!$B$1+((Inputs!$G$5:$G$120&lt;&gt;"moeda")*(Inputs!$G$5:$G$120&lt;&gt;"acoes")))*INDEX(Inputs!$K$5:$AJ$120,0,MATCH(N$2,Inputs!$K$4:$AJ$4,0)))))</f>
        <v>0</v>
      </c>
      <c r="O33" s="6">
        <f>IF(ISNA(MATCH(O$2,Inputs!$K$4:$AJ$4,0)),NA(),IF(SUMPRODUCT((Inputs!$A$5:$A$120=$B33)*ISNUMBER(INDEX(Inputs!$K$5:$AJ$120,0,MATCH(O$2,Inputs!$K$4:$AJ$4,0))))+SUMPRODUCT((Inputs!$C$5:$C$120=$B33)*ISNUMBER(INDEX(Inputs!$K$5:$AJ$120,0,MATCH(O$2,Inputs!$K$4:$AJ$4,0))))+SUMPRODUCT((Inputs!$E$5:$E$120=$B33)*ISNUMBER(INDEX(Inputs!$K$5:$AJ$120,0,MATCH(O$2,Inputs!$K$4:$AJ$4,0))))=0,NA(),SUMPRODUCT((Inputs!$A$5:$A$120=$B33)*Inputs!$B$5:$B$120*(((Inputs!$G$5:$G$120="moeda")+(Inputs!$G$5:$G$120="acoes"))*Inputs!$B$1+((Inputs!$G$5:$G$120&lt;&gt;"moeda")*(Inputs!$G$5:$G$120&lt;&gt;"acoes")))*INDEX(Inputs!$K$5:$AJ$120,0,MATCH(O$2,Inputs!$K$4:$AJ$4,0)))+SUMPRODUCT((Inputs!$C$5:$C$120=$B33)*Inputs!$D$5:$D$120*(((Inputs!$G$5:$G$120="moeda")+(Inputs!$G$5:$G$120="acoes"))*Inputs!$B$1+((Inputs!$G$5:$G$120&lt;&gt;"moeda")*(Inputs!$G$5:$G$120&lt;&gt;"acoes")))*INDEX(Inputs!$K$5:$AJ$120,0,MATCH(O$2,Inputs!$K$4:$AJ$4,0)))+SUMPRODUCT((Inputs!$E$5:$E$120=$B33)*Inputs!$F$5:$F$120*(((Inputs!$G$5:$G$120="moeda")+(Inputs!$G$5:$G$120="acoes"))*Inputs!$B$1+((Inputs!$G$5:$G$120&lt;&gt;"moeda")*(Inputs!$G$5:$G$120&lt;&gt;"acoes")))*INDEX(Inputs!$K$5:$AJ$120,0,MATCH(O$2,Inputs!$K$4:$AJ$4,0)))))</f>
        <v>0</v>
      </c>
      <c r="P33" s="6">
        <f>IF(ISNA(MATCH(P$2,Inputs!$K$4:$AJ$4,0)),NA(),IF(SUMPRODUCT((Inputs!$A$5:$A$120=$B33)*ISNUMBER(INDEX(Inputs!$K$5:$AJ$120,0,MATCH(P$2,Inputs!$K$4:$AJ$4,0))))+SUMPRODUCT((Inputs!$C$5:$C$120=$B33)*ISNUMBER(INDEX(Inputs!$K$5:$AJ$120,0,MATCH(P$2,Inputs!$K$4:$AJ$4,0))))+SUMPRODUCT((Inputs!$E$5:$E$120=$B33)*ISNUMBER(INDEX(Inputs!$K$5:$AJ$120,0,MATCH(P$2,Inputs!$K$4:$AJ$4,0))))=0,NA(),SUMPRODUCT((Inputs!$A$5:$A$120=$B33)*Inputs!$B$5:$B$120*(((Inputs!$G$5:$G$120="moeda")+(Inputs!$G$5:$G$120="acoes"))*Inputs!$B$1+((Inputs!$G$5:$G$120&lt;&gt;"moeda")*(Inputs!$G$5:$G$120&lt;&gt;"acoes")))*INDEX(Inputs!$K$5:$AJ$120,0,MATCH(P$2,Inputs!$K$4:$AJ$4,0)))+SUMPRODUCT((Inputs!$C$5:$C$120=$B33)*Inputs!$D$5:$D$120*(((Inputs!$G$5:$G$120="moeda")+(Inputs!$G$5:$G$120="acoes"))*Inputs!$B$1+((Inputs!$G$5:$G$120&lt;&gt;"moeda")*(Inputs!$G$5:$G$120&lt;&gt;"acoes")))*INDEX(Inputs!$K$5:$AJ$120,0,MATCH(P$2,Inputs!$K$4:$AJ$4,0)))+SUMPRODUCT((Inputs!$E$5:$E$120=$B33)*Inputs!$F$5:$F$120*(((Inputs!$G$5:$G$120="moeda")+(Inputs!$G$5:$G$120="acoes"))*Inputs!$B$1+((Inputs!$G$5:$G$120&lt;&gt;"moeda")*(Inputs!$G$5:$G$120&lt;&gt;"acoes")))*INDEX(Inputs!$K$5:$AJ$120,0,MATCH(P$2,Inputs!$K$4:$AJ$4,0)))))</f>
        <v>0</v>
      </c>
      <c r="Q33" s="6">
        <f>IF(ISNA(MATCH(Q$2,Inputs!$K$4:$AJ$4,0)),NA(),IF(SUMPRODUCT((Inputs!$A$5:$A$120=$B33)*ISNUMBER(INDEX(Inputs!$K$5:$AJ$120,0,MATCH(Q$2,Inputs!$K$4:$AJ$4,0))))+SUMPRODUCT((Inputs!$C$5:$C$120=$B33)*ISNUMBER(INDEX(Inputs!$K$5:$AJ$120,0,MATCH(Q$2,Inputs!$K$4:$AJ$4,0))))+SUMPRODUCT((Inputs!$E$5:$E$120=$B33)*ISNUMBER(INDEX(Inputs!$K$5:$AJ$120,0,MATCH(Q$2,Inputs!$K$4:$AJ$4,0))))=0,NA(),SUMPRODUCT((Inputs!$A$5:$A$120=$B33)*Inputs!$B$5:$B$120*(((Inputs!$G$5:$G$120="moeda")+(Inputs!$G$5:$G$120="acoes"))*Inputs!$B$1+((Inputs!$G$5:$G$120&lt;&gt;"moeda")*(Inputs!$G$5:$G$120&lt;&gt;"acoes")))*INDEX(Inputs!$K$5:$AJ$120,0,MATCH(Q$2,Inputs!$K$4:$AJ$4,0)))+SUMPRODUCT((Inputs!$C$5:$C$120=$B33)*Inputs!$D$5:$D$120*(((Inputs!$G$5:$G$120="moeda")+(Inputs!$G$5:$G$120="acoes"))*Inputs!$B$1+((Inputs!$G$5:$G$120&lt;&gt;"moeda")*(Inputs!$G$5:$G$120&lt;&gt;"acoes")))*INDEX(Inputs!$K$5:$AJ$120,0,MATCH(Q$2,Inputs!$K$4:$AJ$4,0)))+SUMPRODUCT((Inputs!$E$5:$E$120=$B33)*Inputs!$F$5:$F$120*(((Inputs!$G$5:$G$120="moeda")+(Inputs!$G$5:$G$120="acoes"))*Inputs!$B$1+((Inputs!$G$5:$G$120&lt;&gt;"moeda")*(Inputs!$G$5:$G$120&lt;&gt;"acoes")))*INDEX(Inputs!$K$5:$AJ$120,0,MATCH(Q$2,Inputs!$K$4:$AJ$4,0)))))</f>
        <v>0</v>
      </c>
      <c r="R33" s="3">
        <f>Q33</f>
        <v>0</v>
      </c>
      <c r="S33" s="6">
        <f>IF(ISNA(MATCH(S$2,Inputs!$K$4:$AJ$4,0)),NA(),IF(SUMPRODUCT((Inputs!$A$5:$A$120=$B33)*ISNUMBER(INDEX(Inputs!$K$5:$AJ$120,0,MATCH(S$2,Inputs!$K$4:$AJ$4,0))))+SUMPRODUCT((Inputs!$C$5:$C$120=$B33)*ISNUMBER(INDEX(Inputs!$K$5:$AJ$120,0,MATCH(S$2,Inputs!$K$4:$AJ$4,0))))+SUMPRODUCT((Inputs!$E$5:$E$120=$B33)*ISNUMBER(INDEX(Inputs!$K$5:$AJ$120,0,MATCH(S$2,Inputs!$K$4:$AJ$4,0))))=0,NA(),SUMPRODUCT((Inputs!$A$5:$A$120=$B33)*Inputs!$B$5:$B$120*(((Inputs!$G$5:$G$120="moeda")+(Inputs!$G$5:$G$120="acoes"))*Inputs!$B$1+((Inputs!$G$5:$G$120&lt;&gt;"moeda")*(Inputs!$G$5:$G$120&lt;&gt;"acoes")))*INDEX(Inputs!$K$5:$AJ$120,0,MATCH(S$2,Inputs!$K$4:$AJ$4,0)))+SUMPRODUCT((Inputs!$C$5:$C$120=$B33)*Inputs!$D$5:$D$120*(((Inputs!$G$5:$G$120="moeda")+(Inputs!$G$5:$G$120="acoes"))*Inputs!$B$1+((Inputs!$G$5:$G$120&lt;&gt;"moeda")*(Inputs!$G$5:$G$120&lt;&gt;"acoes")))*INDEX(Inputs!$K$5:$AJ$120,0,MATCH(S$2,Inputs!$K$4:$AJ$4,0)))+SUMPRODUCT((Inputs!$E$5:$E$120=$B33)*Inputs!$F$5:$F$120*(((Inputs!$G$5:$G$120="moeda")+(Inputs!$G$5:$G$120="acoes"))*Inputs!$B$1+((Inputs!$G$5:$G$120&lt;&gt;"moeda")*(Inputs!$G$5:$G$120&lt;&gt;"acoes")))*INDEX(Inputs!$K$5:$AJ$120,0,MATCH(S$2,Inputs!$K$4:$AJ$4,0)))))</f>
        <v>0</v>
      </c>
      <c r="T33" s="6">
        <f>IF(ISNA(MATCH(T$2,Inputs!$K$4:$AJ$4,0)),NA(),IF(SUMPRODUCT((Inputs!$A$5:$A$120=$B33)*ISNUMBER(INDEX(Inputs!$K$5:$AJ$120,0,MATCH(T$2,Inputs!$K$4:$AJ$4,0))))+SUMPRODUCT((Inputs!$C$5:$C$120=$B33)*ISNUMBER(INDEX(Inputs!$K$5:$AJ$120,0,MATCH(T$2,Inputs!$K$4:$AJ$4,0))))+SUMPRODUCT((Inputs!$E$5:$E$120=$B33)*ISNUMBER(INDEX(Inputs!$K$5:$AJ$120,0,MATCH(T$2,Inputs!$K$4:$AJ$4,0))))=0,NA(),SUMPRODUCT((Inputs!$A$5:$A$120=$B33)*Inputs!$B$5:$B$120*(((Inputs!$G$5:$G$120="moeda")+(Inputs!$G$5:$G$120="acoes"))*Inputs!$B$1+((Inputs!$G$5:$G$120&lt;&gt;"moeda")*(Inputs!$G$5:$G$120&lt;&gt;"acoes")))*INDEX(Inputs!$K$5:$AJ$120,0,MATCH(T$2,Inputs!$K$4:$AJ$4,0)))+SUMPRODUCT((Inputs!$C$5:$C$120=$B33)*Inputs!$D$5:$D$120*(((Inputs!$G$5:$G$120="moeda")+(Inputs!$G$5:$G$120="acoes"))*Inputs!$B$1+((Inputs!$G$5:$G$120&lt;&gt;"moeda")*(Inputs!$G$5:$G$120&lt;&gt;"acoes")))*INDEX(Inputs!$K$5:$AJ$120,0,MATCH(T$2,Inputs!$K$4:$AJ$4,0)))+SUMPRODUCT((Inputs!$E$5:$E$120=$B33)*Inputs!$F$5:$F$120*(((Inputs!$G$5:$G$120="moeda")+(Inputs!$G$5:$G$120="acoes"))*Inputs!$B$1+((Inputs!$G$5:$G$120&lt;&gt;"moeda")*(Inputs!$G$5:$G$120&lt;&gt;"acoes")))*INDEX(Inputs!$K$5:$AJ$120,0,MATCH(T$2,Inputs!$K$4:$AJ$4,0)))))</f>
        <v>0</v>
      </c>
      <c r="U33" s="6">
        <f>IF(ISNA(MATCH(U$2,Inputs!$K$4:$AJ$4,0)),NA(),IF(SUMPRODUCT((Inputs!$A$5:$A$120=$B33)*ISNUMBER(INDEX(Inputs!$K$5:$AJ$120,0,MATCH(U$2,Inputs!$K$4:$AJ$4,0))))+SUMPRODUCT((Inputs!$C$5:$C$120=$B33)*ISNUMBER(INDEX(Inputs!$K$5:$AJ$120,0,MATCH(U$2,Inputs!$K$4:$AJ$4,0))))+SUMPRODUCT((Inputs!$E$5:$E$120=$B33)*ISNUMBER(INDEX(Inputs!$K$5:$AJ$120,0,MATCH(U$2,Inputs!$K$4:$AJ$4,0))))=0,NA(),SUMPRODUCT((Inputs!$A$5:$A$120=$B33)*Inputs!$B$5:$B$120*(((Inputs!$G$5:$G$120="moeda")+(Inputs!$G$5:$G$120="acoes"))*Inputs!$B$1+((Inputs!$G$5:$G$120&lt;&gt;"moeda")*(Inputs!$G$5:$G$120&lt;&gt;"acoes")))*INDEX(Inputs!$K$5:$AJ$120,0,MATCH(U$2,Inputs!$K$4:$AJ$4,0)))+SUMPRODUCT((Inputs!$C$5:$C$120=$B33)*Inputs!$D$5:$D$120*(((Inputs!$G$5:$G$120="moeda")+(Inputs!$G$5:$G$120="acoes"))*Inputs!$B$1+((Inputs!$G$5:$G$120&lt;&gt;"moeda")*(Inputs!$G$5:$G$120&lt;&gt;"acoes")))*INDEX(Inputs!$K$5:$AJ$120,0,MATCH(U$2,Inputs!$K$4:$AJ$4,0)))+SUMPRODUCT((Inputs!$E$5:$E$120=$B33)*Inputs!$F$5:$F$120*(((Inputs!$G$5:$G$120="moeda")+(Inputs!$G$5:$G$120="acoes"))*Inputs!$B$1+((Inputs!$G$5:$G$120&lt;&gt;"moeda")*(Inputs!$G$5:$G$120&lt;&gt;"acoes")))*INDEX(Inputs!$K$5:$AJ$120,0,MATCH(U$2,Inputs!$K$4:$AJ$4,0)))))</f>
        <v>0</v>
      </c>
      <c r="V33" s="6">
        <f>IF(ISNA(MATCH(V$2,Inputs!$K$4:$AJ$4,0)),NA(),IF(SUMPRODUCT((Inputs!$A$5:$A$120=$B33)*ISNUMBER(INDEX(Inputs!$K$5:$AJ$120,0,MATCH(V$2,Inputs!$K$4:$AJ$4,0))))+SUMPRODUCT((Inputs!$C$5:$C$120=$B33)*ISNUMBER(INDEX(Inputs!$K$5:$AJ$120,0,MATCH(V$2,Inputs!$K$4:$AJ$4,0))))+SUMPRODUCT((Inputs!$E$5:$E$120=$B33)*ISNUMBER(INDEX(Inputs!$K$5:$AJ$120,0,MATCH(V$2,Inputs!$K$4:$AJ$4,0))))=0,NA(),SUMPRODUCT((Inputs!$A$5:$A$120=$B33)*Inputs!$B$5:$B$120*(((Inputs!$G$5:$G$120="moeda")+(Inputs!$G$5:$G$120="acoes"))*Inputs!$B$1+((Inputs!$G$5:$G$120&lt;&gt;"moeda")*(Inputs!$G$5:$G$120&lt;&gt;"acoes")))*INDEX(Inputs!$K$5:$AJ$120,0,MATCH(V$2,Inputs!$K$4:$AJ$4,0)))+SUMPRODUCT((Inputs!$C$5:$C$120=$B33)*Inputs!$D$5:$D$120*(((Inputs!$G$5:$G$120="moeda")+(Inputs!$G$5:$G$120="acoes"))*Inputs!$B$1+((Inputs!$G$5:$G$120&lt;&gt;"moeda")*(Inputs!$G$5:$G$120&lt;&gt;"acoes")))*INDEX(Inputs!$K$5:$AJ$120,0,MATCH(V$2,Inputs!$K$4:$AJ$4,0)))+SUMPRODUCT((Inputs!$E$5:$E$120=$B33)*Inputs!$F$5:$F$120*(((Inputs!$G$5:$G$120="moeda")+(Inputs!$G$5:$G$120="acoes"))*Inputs!$B$1+((Inputs!$G$5:$G$120&lt;&gt;"moeda")*(Inputs!$G$5:$G$120&lt;&gt;"acoes")))*INDEX(Inputs!$K$5:$AJ$120,0,MATCH(V$2,Inputs!$K$4:$AJ$4,0)))))</f>
        <v>0</v>
      </c>
      <c r="W33" s="3">
        <f>V33</f>
        <v>0</v>
      </c>
      <c r="X33" s="6">
        <f>IF(ISNA(MATCH(X$2,Inputs!$K$4:$AJ$4,0)),NA(),IF(SUMPRODUCT((Inputs!$A$5:$A$120=$B33)*ISNUMBER(INDEX(Inputs!$K$5:$AJ$120,0,MATCH(X$2,Inputs!$K$4:$AJ$4,0))))+SUMPRODUCT((Inputs!$C$5:$C$120=$B33)*ISNUMBER(INDEX(Inputs!$K$5:$AJ$120,0,MATCH(X$2,Inputs!$K$4:$AJ$4,0))))+SUMPRODUCT((Inputs!$E$5:$E$120=$B33)*ISNUMBER(INDEX(Inputs!$K$5:$AJ$120,0,MATCH(X$2,Inputs!$K$4:$AJ$4,0))))=0,NA(),SUMPRODUCT((Inputs!$A$5:$A$120=$B33)*Inputs!$B$5:$B$120*(((Inputs!$G$5:$G$120="moeda")+(Inputs!$G$5:$G$120="acoes"))*Inputs!$B$1+((Inputs!$G$5:$G$120&lt;&gt;"moeda")*(Inputs!$G$5:$G$120&lt;&gt;"acoes")))*INDEX(Inputs!$K$5:$AJ$120,0,MATCH(X$2,Inputs!$K$4:$AJ$4,0)))+SUMPRODUCT((Inputs!$C$5:$C$120=$B33)*Inputs!$D$5:$D$120*(((Inputs!$G$5:$G$120="moeda")+(Inputs!$G$5:$G$120="acoes"))*Inputs!$B$1+((Inputs!$G$5:$G$120&lt;&gt;"moeda")*(Inputs!$G$5:$G$120&lt;&gt;"acoes")))*INDEX(Inputs!$K$5:$AJ$120,0,MATCH(X$2,Inputs!$K$4:$AJ$4,0)))+SUMPRODUCT((Inputs!$E$5:$E$120=$B33)*Inputs!$F$5:$F$120*(((Inputs!$G$5:$G$120="moeda")+(Inputs!$G$5:$G$120="acoes"))*Inputs!$B$1+((Inputs!$G$5:$G$120&lt;&gt;"moeda")*(Inputs!$G$5:$G$120&lt;&gt;"acoes")))*INDEX(Inputs!$K$5:$AJ$120,0,MATCH(X$2,Inputs!$K$4:$AJ$4,0)))))</f>
        <v>0</v>
      </c>
      <c r="Y33" s="6">
        <f>IF(ISNA(MATCH(Y$2,Inputs!$K$4:$AJ$4,0)),NA(),IF(SUMPRODUCT((Inputs!$A$5:$A$120=$B33)*ISNUMBER(INDEX(Inputs!$K$5:$AJ$120,0,MATCH(Y$2,Inputs!$K$4:$AJ$4,0))))+SUMPRODUCT((Inputs!$C$5:$C$120=$B33)*ISNUMBER(INDEX(Inputs!$K$5:$AJ$120,0,MATCH(Y$2,Inputs!$K$4:$AJ$4,0))))+SUMPRODUCT((Inputs!$E$5:$E$120=$B33)*ISNUMBER(INDEX(Inputs!$K$5:$AJ$120,0,MATCH(Y$2,Inputs!$K$4:$AJ$4,0))))=0,NA(),SUMPRODUCT((Inputs!$A$5:$A$120=$B33)*Inputs!$B$5:$B$120*(((Inputs!$G$5:$G$120="moeda")+(Inputs!$G$5:$G$120="acoes"))*Inputs!$B$1+((Inputs!$G$5:$G$120&lt;&gt;"moeda")*(Inputs!$G$5:$G$120&lt;&gt;"acoes")))*INDEX(Inputs!$K$5:$AJ$120,0,MATCH(Y$2,Inputs!$K$4:$AJ$4,0)))+SUMPRODUCT((Inputs!$C$5:$C$120=$B33)*Inputs!$D$5:$D$120*(((Inputs!$G$5:$G$120="moeda")+(Inputs!$G$5:$G$120="acoes"))*Inputs!$B$1+((Inputs!$G$5:$G$120&lt;&gt;"moeda")*(Inputs!$G$5:$G$120&lt;&gt;"acoes")))*INDEX(Inputs!$K$5:$AJ$120,0,MATCH(Y$2,Inputs!$K$4:$AJ$4,0)))+SUMPRODUCT((Inputs!$E$5:$E$120=$B33)*Inputs!$F$5:$F$120*(((Inputs!$G$5:$G$120="moeda")+(Inputs!$G$5:$G$120="acoes"))*Inputs!$B$1+((Inputs!$G$5:$G$120&lt;&gt;"moeda")*(Inputs!$G$5:$G$120&lt;&gt;"acoes")))*INDEX(Inputs!$K$5:$AJ$120,0,MATCH(Y$2,Inputs!$K$4:$AJ$4,0)))))</f>
        <v>0</v>
      </c>
      <c r="Z33" s="6">
        <f>IF(ISNA(MATCH(Z$2,Inputs!$K$4:$AJ$4,0)),NA(),IF(SUMPRODUCT((Inputs!$A$5:$A$120=$B33)*ISNUMBER(INDEX(Inputs!$K$5:$AJ$120,0,MATCH(Z$2,Inputs!$K$4:$AJ$4,0))))+SUMPRODUCT((Inputs!$C$5:$C$120=$B33)*ISNUMBER(INDEX(Inputs!$K$5:$AJ$120,0,MATCH(Z$2,Inputs!$K$4:$AJ$4,0))))+SUMPRODUCT((Inputs!$E$5:$E$120=$B33)*ISNUMBER(INDEX(Inputs!$K$5:$AJ$120,0,MATCH(Z$2,Inputs!$K$4:$AJ$4,0))))=0,NA(),SUMPRODUCT((Inputs!$A$5:$A$120=$B33)*Inputs!$B$5:$B$120*(((Inputs!$G$5:$G$120="moeda")+(Inputs!$G$5:$G$120="acoes"))*Inputs!$B$1+((Inputs!$G$5:$G$120&lt;&gt;"moeda")*(Inputs!$G$5:$G$120&lt;&gt;"acoes")))*INDEX(Inputs!$K$5:$AJ$120,0,MATCH(Z$2,Inputs!$K$4:$AJ$4,0)))+SUMPRODUCT((Inputs!$C$5:$C$120=$B33)*Inputs!$D$5:$D$120*(((Inputs!$G$5:$G$120="moeda")+(Inputs!$G$5:$G$120="acoes"))*Inputs!$B$1+((Inputs!$G$5:$G$120&lt;&gt;"moeda")*(Inputs!$G$5:$G$120&lt;&gt;"acoes")))*INDEX(Inputs!$K$5:$AJ$120,0,MATCH(Z$2,Inputs!$K$4:$AJ$4,0)))+SUMPRODUCT((Inputs!$E$5:$E$120=$B33)*Inputs!$F$5:$F$120*(((Inputs!$G$5:$G$120="moeda")+(Inputs!$G$5:$G$120="acoes"))*Inputs!$B$1+((Inputs!$G$5:$G$120&lt;&gt;"moeda")*(Inputs!$G$5:$G$120&lt;&gt;"acoes")))*INDEX(Inputs!$K$5:$AJ$120,0,MATCH(Z$2,Inputs!$K$4:$AJ$4,0)))))</f>
        <v>0</v>
      </c>
      <c r="AA33" s="6">
        <f>IF(ISNA(MATCH(AA$2,Inputs!$K$4:$AJ$4,0)),NA(),IF(SUMPRODUCT((Inputs!$A$5:$A$120=$B33)*ISNUMBER(INDEX(Inputs!$K$5:$AJ$120,0,MATCH(AA$2,Inputs!$K$4:$AJ$4,0))))+SUMPRODUCT((Inputs!$C$5:$C$120=$B33)*ISNUMBER(INDEX(Inputs!$K$5:$AJ$120,0,MATCH(AA$2,Inputs!$K$4:$AJ$4,0))))+SUMPRODUCT((Inputs!$E$5:$E$120=$B33)*ISNUMBER(INDEX(Inputs!$K$5:$AJ$120,0,MATCH(AA$2,Inputs!$K$4:$AJ$4,0))))=0,NA(),SUMPRODUCT((Inputs!$A$5:$A$120=$B33)*Inputs!$B$5:$B$120*(((Inputs!$G$5:$G$120="moeda")+(Inputs!$G$5:$G$120="acoes"))*Inputs!$B$1+((Inputs!$G$5:$G$120&lt;&gt;"moeda")*(Inputs!$G$5:$G$120&lt;&gt;"acoes")))*INDEX(Inputs!$K$5:$AJ$120,0,MATCH(AA$2,Inputs!$K$4:$AJ$4,0)))+SUMPRODUCT((Inputs!$C$5:$C$120=$B33)*Inputs!$D$5:$D$120*(((Inputs!$G$5:$G$120="moeda")+(Inputs!$G$5:$G$120="acoes"))*Inputs!$B$1+((Inputs!$G$5:$G$120&lt;&gt;"moeda")*(Inputs!$G$5:$G$120&lt;&gt;"acoes")))*INDEX(Inputs!$K$5:$AJ$120,0,MATCH(AA$2,Inputs!$K$4:$AJ$4,0)))+SUMPRODUCT((Inputs!$E$5:$E$120=$B33)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3" s="3">
        <f>AA33</f>
        <v>0</v>
      </c>
      <c r="AC33" s="6">
        <f>IF(ISNA(MATCH(AC$2,Inputs!$K$4:$AJ$4,0)),NA(),IF(SUMPRODUCT((Inputs!$A$5:$A$120=$B33)*ISNUMBER(INDEX(Inputs!$K$5:$AJ$120,0,MATCH(AC$2,Inputs!$K$4:$AJ$4,0))))+SUMPRODUCT((Inputs!$C$5:$C$120=$B33)*ISNUMBER(INDEX(Inputs!$K$5:$AJ$120,0,MATCH(AC$2,Inputs!$K$4:$AJ$4,0))))+SUMPRODUCT((Inputs!$E$5:$E$120=$B33)*ISNUMBER(INDEX(Inputs!$K$5:$AJ$120,0,MATCH(AC$2,Inputs!$K$4:$AJ$4,0))))=0,NA(),SUMPRODUCT((Inputs!$A$5:$A$120=$B33)*Inputs!$B$5:$B$120*(((Inputs!$G$5:$G$120="moeda")+(Inputs!$G$5:$G$120="acoes"))*Inputs!$B$1+((Inputs!$G$5:$G$120&lt;&gt;"moeda")*(Inputs!$G$5:$G$120&lt;&gt;"acoes")))*INDEX(Inputs!$K$5:$AJ$120,0,MATCH(AC$2,Inputs!$K$4:$AJ$4,0)))+SUMPRODUCT((Inputs!$C$5:$C$120=$B33)*Inputs!$D$5:$D$120*(((Inputs!$G$5:$G$120="moeda")+(Inputs!$G$5:$G$120="acoes"))*Inputs!$B$1+((Inputs!$G$5:$G$120&lt;&gt;"moeda")*(Inputs!$G$5:$G$120&lt;&gt;"acoes")))*INDEX(Inputs!$K$5:$AJ$120,0,MATCH(AC$2,Inputs!$K$4:$AJ$4,0)))+SUMPRODUCT((Inputs!$E$5:$E$120=$B33)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3" s="6">
        <f>IF(ISNA(MATCH(AD$2,Inputs!$K$4:$AJ$4,0)),NA(),IF(SUMPRODUCT((Inputs!$A$5:$A$120=$B33)*ISNUMBER(INDEX(Inputs!$K$5:$AJ$120,0,MATCH(AD$2,Inputs!$K$4:$AJ$4,0))))+SUMPRODUCT((Inputs!$C$5:$C$120=$B33)*ISNUMBER(INDEX(Inputs!$K$5:$AJ$120,0,MATCH(AD$2,Inputs!$K$4:$AJ$4,0))))+SUMPRODUCT((Inputs!$E$5:$E$120=$B33)*ISNUMBER(INDEX(Inputs!$K$5:$AJ$120,0,MATCH(AD$2,Inputs!$K$4:$AJ$4,0))))=0,NA(),SUMPRODUCT((Inputs!$A$5:$A$120=$B33)*Inputs!$B$5:$B$120*(((Inputs!$G$5:$G$120="moeda")+(Inputs!$G$5:$G$120="acoes"))*Inputs!$B$1+((Inputs!$G$5:$G$120&lt;&gt;"moeda")*(Inputs!$G$5:$G$120&lt;&gt;"acoes")))*INDEX(Inputs!$K$5:$AJ$120,0,MATCH(AD$2,Inputs!$K$4:$AJ$4,0)))+SUMPRODUCT((Inputs!$C$5:$C$120=$B33)*Inputs!$D$5:$D$120*(((Inputs!$G$5:$G$120="moeda")+(Inputs!$G$5:$G$120="acoes"))*Inputs!$B$1+((Inputs!$G$5:$G$120&lt;&gt;"moeda")*(Inputs!$G$5:$G$120&lt;&gt;"acoes")))*INDEX(Inputs!$K$5:$AJ$120,0,MATCH(AD$2,Inputs!$K$4:$AJ$4,0)))+SUMPRODUCT((Inputs!$E$5:$E$120=$B33)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3" s="6" t="e">
        <f>IF(ISNA(MATCH(AE$2,Inputs!$K$4:$AJ$4,0)),NA(),IF(SUMPRODUCT((Inputs!$A$5:$A$120=$B33)*ISNUMBER(INDEX(Inputs!$K$5:$AJ$120,0,MATCH(AE$2,Inputs!$K$4:$AJ$4,0))))+SUMPRODUCT((Inputs!$C$5:$C$120=$B33)*ISNUMBER(INDEX(Inputs!$K$5:$AJ$120,0,MATCH(AE$2,Inputs!$K$4:$AJ$4,0))))+SUMPRODUCT((Inputs!$E$5:$E$120=$B33)*ISNUMBER(INDEX(Inputs!$K$5:$AJ$120,0,MATCH(AE$2,Inputs!$K$4:$AJ$4,0))))=0,NA(),SUMPRODUCT((Inputs!$A$5:$A$120=$B33)*Inputs!$B$5:$B$120*(((Inputs!$G$5:$G$120="moeda")+(Inputs!$G$5:$G$120="acoes"))*Inputs!$B$1+((Inputs!$G$5:$G$120&lt;&gt;"moeda")*(Inputs!$G$5:$G$120&lt;&gt;"acoes")))*INDEX(Inputs!$K$5:$AJ$120,0,MATCH(AE$2,Inputs!$K$4:$AJ$4,0)))+SUMPRODUCT((Inputs!$C$5:$C$120=$B33)*Inputs!$D$5:$D$120*(((Inputs!$G$5:$G$120="moeda")+(Inputs!$G$5:$G$120="acoes"))*Inputs!$B$1+((Inputs!$G$5:$G$120&lt;&gt;"moeda")*(Inputs!$G$5:$G$120&lt;&gt;"acoes")))*INDEX(Inputs!$K$5:$AJ$120,0,MATCH(AE$2,Inputs!$K$4:$AJ$4,0)))+SUMPRODUCT((Inputs!$E$5:$E$120=$B33)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3" s="6" t="e">
        <f>IF(ISNA(MATCH(AF$2,Inputs!$K$4:$AJ$4,0)),NA(),IF(SUMPRODUCT((Inputs!$A$5:$A$120=$B33)*ISNUMBER(INDEX(Inputs!$K$5:$AJ$120,0,MATCH(AF$2,Inputs!$K$4:$AJ$4,0))))+SUMPRODUCT((Inputs!$C$5:$C$120=$B33)*ISNUMBER(INDEX(Inputs!$K$5:$AJ$120,0,MATCH(AF$2,Inputs!$K$4:$AJ$4,0))))+SUMPRODUCT((Inputs!$E$5:$E$120=$B33)*ISNUMBER(INDEX(Inputs!$K$5:$AJ$120,0,MATCH(AF$2,Inputs!$K$4:$AJ$4,0))))=0,NA(),SUMPRODUCT((Inputs!$A$5:$A$120=$B33)*Inputs!$B$5:$B$120*(((Inputs!$G$5:$G$120="moeda")+(Inputs!$G$5:$G$120="acoes"))*Inputs!$B$1+((Inputs!$G$5:$G$120&lt;&gt;"moeda")*(Inputs!$G$5:$G$120&lt;&gt;"acoes")))*INDEX(Inputs!$K$5:$AJ$120,0,MATCH(AF$2,Inputs!$K$4:$AJ$4,0)))+SUMPRODUCT((Inputs!$C$5:$C$120=$B33)*Inputs!$D$5:$D$120*(((Inputs!$G$5:$G$120="moeda")+(Inputs!$G$5:$G$120="acoes"))*Inputs!$B$1+((Inputs!$G$5:$G$120&lt;&gt;"moeda")*(Inputs!$G$5:$G$120&lt;&gt;"acoes")))*INDEX(Inputs!$K$5:$AJ$120,0,MATCH(AF$2,Inputs!$K$4:$AJ$4,0)))+SUMPRODUCT((Inputs!$E$5:$E$120=$B33)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3" s="3" t="e">
        <f>AF33</f>
        <v>#N/A</v>
      </c>
      <c r="AH33" s="6">
        <f>IF(ISNA(MATCH(AH$2,Inputs!$K$4:$AJ$4,0)),NA(),IF(SUMPRODUCT((Inputs!$A$5:$A$120=$B33)*ISNUMBER(INDEX(Inputs!$K$5:$AJ$120,0,MATCH(AH$2,Inputs!$K$4:$AJ$4,0))))+SUMPRODUCT((Inputs!$C$5:$C$120=$B33)*ISNUMBER(INDEX(Inputs!$K$5:$AJ$120,0,MATCH(AH$2,Inputs!$K$4:$AJ$4,0))))+SUMPRODUCT((Inputs!$E$5:$E$120=$B33)*ISNUMBER(INDEX(Inputs!$K$5:$AJ$120,0,MATCH(AH$2,Inputs!$K$4:$AJ$4,0))))=0,NA(),SUMPRODUCT((Inputs!$A$5:$A$120=$B33)*Inputs!$B$5:$B$120*(((Inputs!$G$5:$G$120="moeda")+(Inputs!$G$5:$G$120="acoes"))*Inputs!$B$1+((Inputs!$G$5:$G$120&lt;&gt;"moeda")*(Inputs!$G$5:$G$120&lt;&gt;"acoes")))*INDEX(Inputs!$K$5:$AJ$120,0,MATCH(AH$2,Inputs!$K$4:$AJ$4,0)))+SUMPRODUCT((Inputs!$C$5:$C$120=$B33)*Inputs!$D$5:$D$120*(((Inputs!$G$5:$G$120="moeda")+(Inputs!$G$5:$G$120="acoes"))*Inputs!$B$1+((Inputs!$G$5:$G$120&lt;&gt;"moeda")*(Inputs!$G$5:$G$120&lt;&gt;"acoes")))*INDEX(Inputs!$K$5:$AJ$120,0,MATCH(AH$2,Inputs!$K$4:$AJ$4,0)))+SUMPRODUCT((Inputs!$E$5:$E$120=$B33)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3" s="6">
        <f>IF(ISNA(MATCH(AI$2,Inputs!$K$4:$AJ$4,0)),NA(),IF(SUMPRODUCT((Inputs!$A$5:$A$120=$B33)*ISNUMBER(INDEX(Inputs!$K$5:$AJ$120,0,MATCH(AI$2,Inputs!$K$4:$AJ$4,0))))+SUMPRODUCT((Inputs!$C$5:$C$120=$B33)*ISNUMBER(INDEX(Inputs!$K$5:$AJ$120,0,MATCH(AI$2,Inputs!$K$4:$AJ$4,0))))+SUMPRODUCT((Inputs!$E$5:$E$120=$B33)*ISNUMBER(INDEX(Inputs!$K$5:$AJ$120,0,MATCH(AI$2,Inputs!$K$4:$AJ$4,0))))=0,NA(),SUMPRODUCT((Inputs!$A$5:$A$120=$B33)*Inputs!$B$5:$B$120*(((Inputs!$G$5:$G$120="moeda")+(Inputs!$G$5:$G$120="acoes"))*Inputs!$B$1+((Inputs!$G$5:$G$120&lt;&gt;"moeda")*(Inputs!$G$5:$G$120&lt;&gt;"acoes")))*INDEX(Inputs!$K$5:$AJ$120,0,MATCH(AI$2,Inputs!$K$4:$AJ$4,0)))+SUMPRODUCT((Inputs!$C$5:$C$120=$B33)*Inputs!$D$5:$D$120*(((Inputs!$G$5:$G$120="moeda")+(Inputs!$G$5:$G$120="acoes"))*Inputs!$B$1+((Inputs!$G$5:$G$120&lt;&gt;"moeda")*(Inputs!$G$5:$G$120&lt;&gt;"acoes")))*INDEX(Inputs!$K$5:$AJ$120,0,MATCH(AI$2,Inputs!$K$4:$AJ$4,0)))+SUMPRODUCT((Inputs!$E$5:$E$120=$B33)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3" s="6">
        <f>IF(ISNA(MATCH(AJ$2,Inputs!$K$4:$AJ$4,0)),NA(),IF(SUMPRODUCT((Inputs!$A$5:$A$120=$B33)*ISNUMBER(INDEX(Inputs!$K$5:$AJ$120,0,MATCH(AJ$2,Inputs!$K$4:$AJ$4,0))))+SUMPRODUCT((Inputs!$C$5:$C$120=$B33)*ISNUMBER(INDEX(Inputs!$K$5:$AJ$120,0,MATCH(AJ$2,Inputs!$K$4:$AJ$4,0))))+SUMPRODUCT((Inputs!$E$5:$E$120=$B33)*ISNUMBER(INDEX(Inputs!$K$5:$AJ$120,0,MATCH(AJ$2,Inputs!$K$4:$AJ$4,0))))=0,NA(),SUMPRODUCT((Inputs!$A$5:$A$120=$B33)*Inputs!$B$5:$B$120*(((Inputs!$G$5:$G$120="moeda")+(Inputs!$G$5:$G$120="acoes"))*Inputs!$B$1+((Inputs!$G$5:$G$120&lt;&gt;"moeda")*(Inputs!$G$5:$G$120&lt;&gt;"acoes")))*INDEX(Inputs!$K$5:$AJ$120,0,MATCH(AJ$2,Inputs!$K$4:$AJ$4,0)))+SUMPRODUCT((Inputs!$C$5:$C$120=$B33)*Inputs!$D$5:$D$120*(((Inputs!$G$5:$G$120="moeda")+(Inputs!$G$5:$G$120="acoes"))*Inputs!$B$1+((Inputs!$G$5:$G$120&lt;&gt;"moeda")*(Inputs!$G$5:$G$120&lt;&gt;"acoes")))*INDEX(Inputs!$K$5:$AJ$120,0,MATCH(AJ$2,Inputs!$K$4:$AJ$4,0)))+SUMPRODUCT((Inputs!$E$5:$E$120=$B33)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3" s="6">
        <f>IF(ISNA(MATCH(AK$2,Inputs!$K$4:$AJ$4,0)),NA(),IF(SUMPRODUCT((Inputs!$A$5:$A$120=$B33)*ISNUMBER(INDEX(Inputs!$K$5:$AJ$120,0,MATCH(AK$2,Inputs!$K$4:$AJ$4,0))))+SUMPRODUCT((Inputs!$C$5:$C$120=$B33)*ISNUMBER(INDEX(Inputs!$K$5:$AJ$120,0,MATCH(AK$2,Inputs!$K$4:$AJ$4,0))))+SUMPRODUCT((Inputs!$E$5:$E$120=$B33)*ISNUMBER(INDEX(Inputs!$K$5:$AJ$120,0,MATCH(AK$2,Inputs!$K$4:$AJ$4,0))))=0,NA(),SUMPRODUCT((Inputs!$A$5:$A$120=$B33)*Inputs!$B$5:$B$120*(((Inputs!$G$5:$G$120="moeda")+(Inputs!$G$5:$G$120="acoes"))*Inputs!$B$1+((Inputs!$G$5:$G$120&lt;&gt;"moeda")*(Inputs!$G$5:$G$120&lt;&gt;"acoes")))*INDEX(Inputs!$K$5:$AJ$120,0,MATCH(AK$2,Inputs!$K$4:$AJ$4,0)))+SUMPRODUCT((Inputs!$C$5:$C$120=$B33)*Inputs!$D$5:$D$120*(((Inputs!$G$5:$G$120="moeda")+(Inputs!$G$5:$G$120="acoes"))*Inputs!$B$1+((Inputs!$G$5:$G$120&lt;&gt;"moeda")*(Inputs!$G$5:$G$120&lt;&gt;"acoes")))*INDEX(Inputs!$K$5:$AJ$120,0,MATCH(AK$2,Inputs!$K$4:$AJ$4,0)))+SUMPRODUCT((Inputs!$E$5:$E$120=$B33)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3" s="3">
        <f>AK33</f>
        <v>0</v>
      </c>
    </row>
    <row r="34">
      <c r="B34" s="46" t="n">
        <v>29</v>
      </c>
      <c r="C34" s="26" t="inlineStr">
        <is>
          <t>Short term operating leases</t>
        </is>
      </c>
      <c r="D34" s="6">
        <f>IF(ISNA(MATCH(D$2,Inputs!$K$4:$AJ$4,0)),NA(),IF(SUMPRODUCT((Inputs!$A$5:$A$120=$B34)*ISNUMBER(INDEX(Inputs!$K$5:$AJ$120,0,MATCH(D$2,Inputs!$K$4:$AJ$4,0))))+SUMPRODUCT((Inputs!$C$5:$C$120=$B34)*ISNUMBER(INDEX(Inputs!$K$5:$AJ$120,0,MATCH(D$2,Inputs!$K$4:$AJ$4,0))))+SUMPRODUCT((Inputs!$E$5:$E$120=$B34)*ISNUMBER(INDEX(Inputs!$K$5:$AJ$120,0,MATCH(D$2,Inputs!$K$4:$AJ$4,0))))=0,NA(),SUMPRODUCT((Inputs!$A$5:$A$120=$B34)*Inputs!$B$5:$B$120*(((Inputs!$G$5:$G$120="moeda")+(Inputs!$G$5:$G$120="acoes"))*Inputs!$B$1+((Inputs!$G$5:$G$120&lt;&gt;"moeda")*(Inputs!$G$5:$G$120&lt;&gt;"acoes")))*INDEX(Inputs!$K$5:$AJ$120,0,MATCH(D$2,Inputs!$K$4:$AJ$4,0)))+SUMPRODUCT((Inputs!$C$5:$C$120=$B34)*Inputs!$D$5:$D$120*(((Inputs!$G$5:$G$120="moeda")+(Inputs!$G$5:$G$120="acoes"))*Inputs!$B$1+((Inputs!$G$5:$G$120&lt;&gt;"moeda")*(Inputs!$G$5:$G$120&lt;&gt;"acoes")))*INDEX(Inputs!$K$5:$AJ$120,0,MATCH(D$2,Inputs!$K$4:$AJ$4,0)))+SUMPRODUCT((Inputs!$E$5:$E$120=$B34)*Inputs!$F$5:$F$120*(((Inputs!$G$5:$G$120="moeda")+(Inputs!$G$5:$G$120="acoes"))*Inputs!$B$1+((Inputs!$G$5:$G$120&lt;&gt;"moeda")*(Inputs!$G$5:$G$120&lt;&gt;"acoes")))*INDEX(Inputs!$K$5:$AJ$120,0,MATCH(D$2,Inputs!$K$4:$AJ$4,0)))))</f>
        <v>0</v>
      </c>
      <c r="E34" s="6">
        <f>IF(ISNA(MATCH(E$2,Inputs!$K$4:$AJ$4,0)),NA(),IF(SUMPRODUCT((Inputs!$A$5:$A$120=$B34)*ISNUMBER(INDEX(Inputs!$K$5:$AJ$120,0,MATCH(E$2,Inputs!$K$4:$AJ$4,0))))+SUMPRODUCT((Inputs!$C$5:$C$120=$B34)*ISNUMBER(INDEX(Inputs!$K$5:$AJ$120,0,MATCH(E$2,Inputs!$K$4:$AJ$4,0))))+SUMPRODUCT((Inputs!$E$5:$E$120=$B34)*ISNUMBER(INDEX(Inputs!$K$5:$AJ$120,0,MATCH(E$2,Inputs!$K$4:$AJ$4,0))))=0,NA(),SUMPRODUCT((Inputs!$A$5:$A$120=$B34)*Inputs!$B$5:$B$120*(((Inputs!$G$5:$G$120="moeda")+(Inputs!$G$5:$G$120="acoes"))*Inputs!$B$1+((Inputs!$G$5:$G$120&lt;&gt;"moeda")*(Inputs!$G$5:$G$120&lt;&gt;"acoes")))*INDEX(Inputs!$K$5:$AJ$120,0,MATCH(E$2,Inputs!$K$4:$AJ$4,0)))+SUMPRODUCT((Inputs!$C$5:$C$120=$B34)*Inputs!$D$5:$D$120*(((Inputs!$G$5:$G$120="moeda")+(Inputs!$G$5:$G$120="acoes"))*Inputs!$B$1+((Inputs!$G$5:$G$120&lt;&gt;"moeda")*(Inputs!$G$5:$G$120&lt;&gt;"acoes")))*INDEX(Inputs!$K$5:$AJ$120,0,MATCH(E$2,Inputs!$K$4:$AJ$4,0)))+SUMPRODUCT((Inputs!$E$5:$E$120=$B34)*Inputs!$F$5:$F$120*(((Inputs!$G$5:$G$120="moeda")+(Inputs!$G$5:$G$120="acoes"))*Inputs!$B$1+((Inputs!$G$5:$G$120&lt;&gt;"moeda")*(Inputs!$G$5:$G$120&lt;&gt;"acoes")))*INDEX(Inputs!$K$5:$AJ$120,0,MATCH(E$2,Inputs!$K$4:$AJ$4,0)))))</f>
        <v>0</v>
      </c>
      <c r="F34" s="6">
        <f>IF(ISNA(MATCH(F$2,Inputs!$K$4:$AJ$4,0)),NA(),IF(SUMPRODUCT((Inputs!$A$5:$A$120=$B34)*ISNUMBER(INDEX(Inputs!$K$5:$AJ$120,0,MATCH(F$2,Inputs!$K$4:$AJ$4,0))))+SUMPRODUCT((Inputs!$C$5:$C$120=$B34)*ISNUMBER(INDEX(Inputs!$K$5:$AJ$120,0,MATCH(F$2,Inputs!$K$4:$AJ$4,0))))+SUMPRODUCT((Inputs!$E$5:$E$120=$B34)*ISNUMBER(INDEX(Inputs!$K$5:$AJ$120,0,MATCH(F$2,Inputs!$K$4:$AJ$4,0))))=0,NA(),SUMPRODUCT((Inputs!$A$5:$A$120=$B34)*Inputs!$B$5:$B$120*(((Inputs!$G$5:$G$120="moeda")+(Inputs!$G$5:$G$120="acoes"))*Inputs!$B$1+((Inputs!$G$5:$G$120&lt;&gt;"moeda")*(Inputs!$G$5:$G$120&lt;&gt;"acoes")))*INDEX(Inputs!$K$5:$AJ$120,0,MATCH(F$2,Inputs!$K$4:$AJ$4,0)))+SUMPRODUCT((Inputs!$C$5:$C$120=$B34)*Inputs!$D$5:$D$120*(((Inputs!$G$5:$G$120="moeda")+(Inputs!$G$5:$G$120="acoes"))*Inputs!$B$1+((Inputs!$G$5:$G$120&lt;&gt;"moeda")*(Inputs!$G$5:$G$120&lt;&gt;"acoes")))*INDEX(Inputs!$K$5:$AJ$120,0,MATCH(F$2,Inputs!$K$4:$AJ$4,0)))+SUMPRODUCT((Inputs!$E$5:$E$120=$B34)*Inputs!$F$5:$F$120*(((Inputs!$G$5:$G$120="moeda")+(Inputs!$G$5:$G$120="acoes"))*Inputs!$B$1+((Inputs!$G$5:$G$120&lt;&gt;"moeda")*(Inputs!$G$5:$G$120&lt;&gt;"acoes")))*INDEX(Inputs!$K$5:$AJ$120,0,MATCH(F$2,Inputs!$K$4:$AJ$4,0)))))</f>
        <v>0</v>
      </c>
      <c r="G34" s="6">
        <f>IF(ISNA(MATCH(G$2,Inputs!$K$4:$AJ$4,0)),NA(),IF(SUMPRODUCT((Inputs!$A$5:$A$120=$B34)*ISNUMBER(INDEX(Inputs!$K$5:$AJ$120,0,MATCH(G$2,Inputs!$K$4:$AJ$4,0))))+SUMPRODUCT((Inputs!$C$5:$C$120=$B34)*ISNUMBER(INDEX(Inputs!$K$5:$AJ$120,0,MATCH(G$2,Inputs!$K$4:$AJ$4,0))))+SUMPRODUCT((Inputs!$E$5:$E$120=$B34)*ISNUMBER(INDEX(Inputs!$K$5:$AJ$120,0,MATCH(G$2,Inputs!$K$4:$AJ$4,0))))=0,NA(),SUMPRODUCT((Inputs!$A$5:$A$120=$B34)*Inputs!$B$5:$B$120*(((Inputs!$G$5:$G$120="moeda")+(Inputs!$G$5:$G$120="acoes"))*Inputs!$B$1+((Inputs!$G$5:$G$120&lt;&gt;"moeda")*(Inputs!$G$5:$G$120&lt;&gt;"acoes")))*INDEX(Inputs!$K$5:$AJ$120,0,MATCH(G$2,Inputs!$K$4:$AJ$4,0)))+SUMPRODUCT((Inputs!$C$5:$C$120=$B34)*Inputs!$D$5:$D$120*(((Inputs!$G$5:$G$120="moeda")+(Inputs!$G$5:$G$120="acoes"))*Inputs!$B$1+((Inputs!$G$5:$G$120&lt;&gt;"moeda")*(Inputs!$G$5:$G$120&lt;&gt;"acoes")))*INDEX(Inputs!$K$5:$AJ$120,0,MATCH(G$2,Inputs!$K$4:$AJ$4,0)))+SUMPRODUCT((Inputs!$E$5:$E$120=$B34)*Inputs!$F$5:$F$120*(((Inputs!$G$5:$G$120="moeda")+(Inputs!$G$5:$G$120="acoes"))*Inputs!$B$1+((Inputs!$G$5:$G$120&lt;&gt;"moeda")*(Inputs!$G$5:$G$120&lt;&gt;"acoes")))*INDEX(Inputs!$K$5:$AJ$120,0,MATCH(G$2,Inputs!$K$4:$AJ$4,0)))))</f>
        <v>0</v>
      </c>
      <c r="H34" s="3">
        <f>G34</f>
        <v>0</v>
      </c>
      <c r="I34" s="6">
        <f>IF(ISNA(MATCH(I$2,Inputs!$K$4:$AJ$4,0)),NA(),IF(SUMPRODUCT((Inputs!$A$5:$A$120=$B34)*ISNUMBER(INDEX(Inputs!$K$5:$AJ$120,0,MATCH(I$2,Inputs!$K$4:$AJ$4,0))))+SUMPRODUCT((Inputs!$C$5:$C$120=$B34)*ISNUMBER(INDEX(Inputs!$K$5:$AJ$120,0,MATCH(I$2,Inputs!$K$4:$AJ$4,0))))+SUMPRODUCT((Inputs!$E$5:$E$120=$B34)*ISNUMBER(INDEX(Inputs!$K$5:$AJ$120,0,MATCH(I$2,Inputs!$K$4:$AJ$4,0))))=0,NA(),SUMPRODUCT((Inputs!$A$5:$A$120=$B34)*Inputs!$B$5:$B$120*(((Inputs!$G$5:$G$120="moeda")+(Inputs!$G$5:$G$120="acoes"))*Inputs!$B$1+((Inputs!$G$5:$G$120&lt;&gt;"moeda")*(Inputs!$G$5:$G$120&lt;&gt;"acoes")))*INDEX(Inputs!$K$5:$AJ$120,0,MATCH(I$2,Inputs!$K$4:$AJ$4,0)))+SUMPRODUCT((Inputs!$C$5:$C$120=$B34)*Inputs!$D$5:$D$120*(((Inputs!$G$5:$G$120="moeda")+(Inputs!$G$5:$G$120="acoes"))*Inputs!$B$1+((Inputs!$G$5:$G$120&lt;&gt;"moeda")*(Inputs!$G$5:$G$120&lt;&gt;"acoes")))*INDEX(Inputs!$K$5:$AJ$120,0,MATCH(I$2,Inputs!$K$4:$AJ$4,0)))+SUMPRODUCT((Inputs!$E$5:$E$120=$B34)*Inputs!$F$5:$F$120*(((Inputs!$G$5:$G$120="moeda")+(Inputs!$G$5:$G$120="acoes"))*Inputs!$B$1+((Inputs!$G$5:$G$120&lt;&gt;"moeda")*(Inputs!$G$5:$G$120&lt;&gt;"acoes")))*INDEX(Inputs!$K$5:$AJ$120,0,MATCH(I$2,Inputs!$K$4:$AJ$4,0)))))</f>
        <v>0</v>
      </c>
      <c r="J34" s="6">
        <f>IF(ISNA(MATCH(J$2,Inputs!$K$4:$AJ$4,0)),NA(),IF(SUMPRODUCT((Inputs!$A$5:$A$120=$B34)*ISNUMBER(INDEX(Inputs!$K$5:$AJ$120,0,MATCH(J$2,Inputs!$K$4:$AJ$4,0))))+SUMPRODUCT((Inputs!$C$5:$C$120=$B34)*ISNUMBER(INDEX(Inputs!$K$5:$AJ$120,0,MATCH(J$2,Inputs!$K$4:$AJ$4,0))))+SUMPRODUCT((Inputs!$E$5:$E$120=$B34)*ISNUMBER(INDEX(Inputs!$K$5:$AJ$120,0,MATCH(J$2,Inputs!$K$4:$AJ$4,0))))=0,NA(),SUMPRODUCT((Inputs!$A$5:$A$120=$B34)*Inputs!$B$5:$B$120*(((Inputs!$G$5:$G$120="moeda")+(Inputs!$G$5:$G$120="acoes"))*Inputs!$B$1+((Inputs!$G$5:$G$120&lt;&gt;"moeda")*(Inputs!$G$5:$G$120&lt;&gt;"acoes")))*INDEX(Inputs!$K$5:$AJ$120,0,MATCH(J$2,Inputs!$K$4:$AJ$4,0)))+SUMPRODUCT((Inputs!$C$5:$C$120=$B34)*Inputs!$D$5:$D$120*(((Inputs!$G$5:$G$120="moeda")+(Inputs!$G$5:$G$120="acoes"))*Inputs!$B$1+((Inputs!$G$5:$G$120&lt;&gt;"moeda")*(Inputs!$G$5:$G$120&lt;&gt;"acoes")))*INDEX(Inputs!$K$5:$AJ$120,0,MATCH(J$2,Inputs!$K$4:$AJ$4,0)))+SUMPRODUCT((Inputs!$E$5:$E$120=$B34)*Inputs!$F$5:$F$120*(((Inputs!$G$5:$G$120="moeda")+(Inputs!$G$5:$G$120="acoes"))*Inputs!$B$1+((Inputs!$G$5:$G$120&lt;&gt;"moeda")*(Inputs!$G$5:$G$120&lt;&gt;"acoes")))*INDEX(Inputs!$K$5:$AJ$120,0,MATCH(J$2,Inputs!$K$4:$AJ$4,0)))))</f>
        <v>0</v>
      </c>
      <c r="K34" s="6">
        <f>IF(ISNA(MATCH(K$2,Inputs!$K$4:$AJ$4,0)),NA(),IF(SUMPRODUCT((Inputs!$A$5:$A$120=$B34)*ISNUMBER(INDEX(Inputs!$K$5:$AJ$120,0,MATCH(K$2,Inputs!$K$4:$AJ$4,0))))+SUMPRODUCT((Inputs!$C$5:$C$120=$B34)*ISNUMBER(INDEX(Inputs!$K$5:$AJ$120,0,MATCH(K$2,Inputs!$K$4:$AJ$4,0))))+SUMPRODUCT((Inputs!$E$5:$E$120=$B34)*ISNUMBER(INDEX(Inputs!$K$5:$AJ$120,0,MATCH(K$2,Inputs!$K$4:$AJ$4,0))))=0,NA(),SUMPRODUCT((Inputs!$A$5:$A$120=$B34)*Inputs!$B$5:$B$120*(((Inputs!$G$5:$G$120="moeda")+(Inputs!$G$5:$G$120="acoes"))*Inputs!$B$1+((Inputs!$G$5:$G$120&lt;&gt;"moeda")*(Inputs!$G$5:$G$120&lt;&gt;"acoes")))*INDEX(Inputs!$K$5:$AJ$120,0,MATCH(K$2,Inputs!$K$4:$AJ$4,0)))+SUMPRODUCT((Inputs!$C$5:$C$120=$B34)*Inputs!$D$5:$D$120*(((Inputs!$G$5:$G$120="moeda")+(Inputs!$G$5:$G$120="acoes"))*Inputs!$B$1+((Inputs!$G$5:$G$120&lt;&gt;"moeda")*(Inputs!$G$5:$G$120&lt;&gt;"acoes")))*INDEX(Inputs!$K$5:$AJ$120,0,MATCH(K$2,Inputs!$K$4:$AJ$4,0)))+SUMPRODUCT((Inputs!$E$5:$E$120=$B34)*Inputs!$F$5:$F$120*(((Inputs!$G$5:$G$120="moeda")+(Inputs!$G$5:$G$120="acoes"))*Inputs!$B$1+((Inputs!$G$5:$G$120&lt;&gt;"moeda")*(Inputs!$G$5:$G$120&lt;&gt;"acoes")))*INDEX(Inputs!$K$5:$AJ$120,0,MATCH(K$2,Inputs!$K$4:$AJ$4,0)))))</f>
        <v>0</v>
      </c>
      <c r="L34" s="6">
        <f>IF(ISNA(MATCH(L$2,Inputs!$K$4:$AJ$4,0)),NA(),IF(SUMPRODUCT((Inputs!$A$5:$A$120=$B34)*ISNUMBER(INDEX(Inputs!$K$5:$AJ$120,0,MATCH(L$2,Inputs!$K$4:$AJ$4,0))))+SUMPRODUCT((Inputs!$C$5:$C$120=$B34)*ISNUMBER(INDEX(Inputs!$K$5:$AJ$120,0,MATCH(L$2,Inputs!$K$4:$AJ$4,0))))+SUMPRODUCT((Inputs!$E$5:$E$120=$B34)*ISNUMBER(INDEX(Inputs!$K$5:$AJ$120,0,MATCH(L$2,Inputs!$K$4:$AJ$4,0))))=0,NA(),SUMPRODUCT((Inputs!$A$5:$A$120=$B34)*Inputs!$B$5:$B$120*(((Inputs!$G$5:$G$120="moeda")+(Inputs!$G$5:$G$120="acoes"))*Inputs!$B$1+((Inputs!$G$5:$G$120&lt;&gt;"moeda")*(Inputs!$G$5:$G$120&lt;&gt;"acoes")))*INDEX(Inputs!$K$5:$AJ$120,0,MATCH(L$2,Inputs!$K$4:$AJ$4,0)))+SUMPRODUCT((Inputs!$C$5:$C$120=$B34)*Inputs!$D$5:$D$120*(((Inputs!$G$5:$G$120="moeda")+(Inputs!$G$5:$G$120="acoes"))*Inputs!$B$1+((Inputs!$G$5:$G$120&lt;&gt;"moeda")*(Inputs!$G$5:$G$120&lt;&gt;"acoes")))*INDEX(Inputs!$K$5:$AJ$120,0,MATCH(L$2,Inputs!$K$4:$AJ$4,0)))+SUMPRODUCT((Inputs!$E$5:$E$120=$B34)*Inputs!$F$5:$F$120*(((Inputs!$G$5:$G$120="moeda")+(Inputs!$G$5:$G$120="acoes"))*Inputs!$B$1+((Inputs!$G$5:$G$120&lt;&gt;"moeda")*(Inputs!$G$5:$G$120&lt;&gt;"acoes")))*INDEX(Inputs!$K$5:$AJ$120,0,MATCH(L$2,Inputs!$K$4:$AJ$4,0)))))</f>
        <v>0</v>
      </c>
      <c r="M34" s="3">
        <f>L34</f>
        <v>0</v>
      </c>
      <c r="N34" s="6">
        <f>IF(ISNA(MATCH(N$2,Inputs!$K$4:$AJ$4,0)),NA(),IF(SUMPRODUCT((Inputs!$A$5:$A$120=$B34)*ISNUMBER(INDEX(Inputs!$K$5:$AJ$120,0,MATCH(N$2,Inputs!$K$4:$AJ$4,0))))+SUMPRODUCT((Inputs!$C$5:$C$120=$B34)*ISNUMBER(INDEX(Inputs!$K$5:$AJ$120,0,MATCH(N$2,Inputs!$K$4:$AJ$4,0))))+SUMPRODUCT((Inputs!$E$5:$E$120=$B34)*ISNUMBER(INDEX(Inputs!$K$5:$AJ$120,0,MATCH(N$2,Inputs!$K$4:$AJ$4,0))))=0,NA(),SUMPRODUCT((Inputs!$A$5:$A$120=$B34)*Inputs!$B$5:$B$120*(((Inputs!$G$5:$G$120="moeda")+(Inputs!$G$5:$G$120="acoes"))*Inputs!$B$1+((Inputs!$G$5:$G$120&lt;&gt;"moeda")*(Inputs!$G$5:$G$120&lt;&gt;"acoes")))*INDEX(Inputs!$K$5:$AJ$120,0,MATCH(N$2,Inputs!$K$4:$AJ$4,0)))+SUMPRODUCT((Inputs!$C$5:$C$120=$B34)*Inputs!$D$5:$D$120*(((Inputs!$G$5:$G$120="moeda")+(Inputs!$G$5:$G$120="acoes"))*Inputs!$B$1+((Inputs!$G$5:$G$120&lt;&gt;"moeda")*(Inputs!$G$5:$G$120&lt;&gt;"acoes")))*INDEX(Inputs!$K$5:$AJ$120,0,MATCH(N$2,Inputs!$K$4:$AJ$4,0)))+SUMPRODUCT((Inputs!$E$5:$E$120=$B34)*Inputs!$F$5:$F$120*(((Inputs!$G$5:$G$120="moeda")+(Inputs!$G$5:$G$120="acoes"))*Inputs!$B$1+((Inputs!$G$5:$G$120&lt;&gt;"moeda")*(Inputs!$G$5:$G$120&lt;&gt;"acoes")))*INDEX(Inputs!$K$5:$AJ$120,0,MATCH(N$2,Inputs!$K$4:$AJ$4,0)))))</f>
        <v>0</v>
      </c>
      <c r="O34" s="6">
        <f>IF(ISNA(MATCH(O$2,Inputs!$K$4:$AJ$4,0)),NA(),IF(SUMPRODUCT((Inputs!$A$5:$A$120=$B34)*ISNUMBER(INDEX(Inputs!$K$5:$AJ$120,0,MATCH(O$2,Inputs!$K$4:$AJ$4,0))))+SUMPRODUCT((Inputs!$C$5:$C$120=$B34)*ISNUMBER(INDEX(Inputs!$K$5:$AJ$120,0,MATCH(O$2,Inputs!$K$4:$AJ$4,0))))+SUMPRODUCT((Inputs!$E$5:$E$120=$B34)*ISNUMBER(INDEX(Inputs!$K$5:$AJ$120,0,MATCH(O$2,Inputs!$K$4:$AJ$4,0))))=0,NA(),SUMPRODUCT((Inputs!$A$5:$A$120=$B34)*Inputs!$B$5:$B$120*(((Inputs!$G$5:$G$120="moeda")+(Inputs!$G$5:$G$120="acoes"))*Inputs!$B$1+((Inputs!$G$5:$G$120&lt;&gt;"moeda")*(Inputs!$G$5:$G$120&lt;&gt;"acoes")))*INDEX(Inputs!$K$5:$AJ$120,0,MATCH(O$2,Inputs!$K$4:$AJ$4,0)))+SUMPRODUCT((Inputs!$C$5:$C$120=$B34)*Inputs!$D$5:$D$120*(((Inputs!$G$5:$G$120="moeda")+(Inputs!$G$5:$G$120="acoes"))*Inputs!$B$1+((Inputs!$G$5:$G$120&lt;&gt;"moeda")*(Inputs!$G$5:$G$120&lt;&gt;"acoes")))*INDEX(Inputs!$K$5:$AJ$120,0,MATCH(O$2,Inputs!$K$4:$AJ$4,0)))+SUMPRODUCT((Inputs!$E$5:$E$120=$B34)*Inputs!$F$5:$F$120*(((Inputs!$G$5:$G$120="moeda")+(Inputs!$G$5:$G$120="acoes"))*Inputs!$B$1+((Inputs!$G$5:$G$120&lt;&gt;"moeda")*(Inputs!$G$5:$G$120&lt;&gt;"acoes")))*INDEX(Inputs!$K$5:$AJ$120,0,MATCH(O$2,Inputs!$K$4:$AJ$4,0)))))</f>
        <v>0</v>
      </c>
      <c r="P34" s="6">
        <f>IF(ISNA(MATCH(P$2,Inputs!$K$4:$AJ$4,0)),NA(),IF(SUMPRODUCT((Inputs!$A$5:$A$120=$B34)*ISNUMBER(INDEX(Inputs!$K$5:$AJ$120,0,MATCH(P$2,Inputs!$K$4:$AJ$4,0))))+SUMPRODUCT((Inputs!$C$5:$C$120=$B34)*ISNUMBER(INDEX(Inputs!$K$5:$AJ$120,0,MATCH(P$2,Inputs!$K$4:$AJ$4,0))))+SUMPRODUCT((Inputs!$E$5:$E$120=$B34)*ISNUMBER(INDEX(Inputs!$K$5:$AJ$120,0,MATCH(P$2,Inputs!$K$4:$AJ$4,0))))=0,NA(),SUMPRODUCT((Inputs!$A$5:$A$120=$B34)*Inputs!$B$5:$B$120*(((Inputs!$G$5:$G$120="moeda")+(Inputs!$G$5:$G$120="acoes"))*Inputs!$B$1+((Inputs!$G$5:$G$120&lt;&gt;"moeda")*(Inputs!$G$5:$G$120&lt;&gt;"acoes")))*INDEX(Inputs!$K$5:$AJ$120,0,MATCH(P$2,Inputs!$K$4:$AJ$4,0)))+SUMPRODUCT((Inputs!$C$5:$C$120=$B34)*Inputs!$D$5:$D$120*(((Inputs!$G$5:$G$120="moeda")+(Inputs!$G$5:$G$120="acoes"))*Inputs!$B$1+((Inputs!$G$5:$G$120&lt;&gt;"moeda")*(Inputs!$G$5:$G$120&lt;&gt;"acoes")))*INDEX(Inputs!$K$5:$AJ$120,0,MATCH(P$2,Inputs!$K$4:$AJ$4,0)))+SUMPRODUCT((Inputs!$E$5:$E$120=$B34)*Inputs!$F$5:$F$120*(((Inputs!$G$5:$G$120="moeda")+(Inputs!$G$5:$G$120="acoes"))*Inputs!$B$1+((Inputs!$G$5:$G$120&lt;&gt;"moeda")*(Inputs!$G$5:$G$120&lt;&gt;"acoes")))*INDEX(Inputs!$K$5:$AJ$120,0,MATCH(P$2,Inputs!$K$4:$AJ$4,0)))))</f>
        <v>0</v>
      </c>
      <c r="Q34" s="6">
        <f>IF(ISNA(MATCH(Q$2,Inputs!$K$4:$AJ$4,0)),NA(),IF(SUMPRODUCT((Inputs!$A$5:$A$120=$B34)*ISNUMBER(INDEX(Inputs!$K$5:$AJ$120,0,MATCH(Q$2,Inputs!$K$4:$AJ$4,0))))+SUMPRODUCT((Inputs!$C$5:$C$120=$B34)*ISNUMBER(INDEX(Inputs!$K$5:$AJ$120,0,MATCH(Q$2,Inputs!$K$4:$AJ$4,0))))+SUMPRODUCT((Inputs!$E$5:$E$120=$B34)*ISNUMBER(INDEX(Inputs!$K$5:$AJ$120,0,MATCH(Q$2,Inputs!$K$4:$AJ$4,0))))=0,NA(),SUMPRODUCT((Inputs!$A$5:$A$120=$B34)*Inputs!$B$5:$B$120*(((Inputs!$G$5:$G$120="moeda")+(Inputs!$G$5:$G$120="acoes"))*Inputs!$B$1+((Inputs!$G$5:$G$120&lt;&gt;"moeda")*(Inputs!$G$5:$G$120&lt;&gt;"acoes")))*INDEX(Inputs!$K$5:$AJ$120,0,MATCH(Q$2,Inputs!$K$4:$AJ$4,0)))+SUMPRODUCT((Inputs!$C$5:$C$120=$B34)*Inputs!$D$5:$D$120*(((Inputs!$G$5:$G$120="moeda")+(Inputs!$G$5:$G$120="acoes"))*Inputs!$B$1+((Inputs!$G$5:$G$120&lt;&gt;"moeda")*(Inputs!$G$5:$G$120&lt;&gt;"acoes")))*INDEX(Inputs!$K$5:$AJ$120,0,MATCH(Q$2,Inputs!$K$4:$AJ$4,0)))+SUMPRODUCT((Inputs!$E$5:$E$120=$B34)*Inputs!$F$5:$F$120*(((Inputs!$G$5:$G$120="moeda")+(Inputs!$G$5:$G$120="acoes"))*Inputs!$B$1+((Inputs!$G$5:$G$120&lt;&gt;"moeda")*(Inputs!$G$5:$G$120&lt;&gt;"acoes")))*INDEX(Inputs!$K$5:$AJ$120,0,MATCH(Q$2,Inputs!$K$4:$AJ$4,0)))))</f>
        <v>0</v>
      </c>
      <c r="R34" s="3">
        <f>Q34</f>
        <v>0</v>
      </c>
      <c r="S34" s="6">
        <f>IF(ISNA(MATCH(S$2,Inputs!$K$4:$AJ$4,0)),NA(),IF(SUMPRODUCT((Inputs!$A$5:$A$120=$B34)*ISNUMBER(INDEX(Inputs!$K$5:$AJ$120,0,MATCH(S$2,Inputs!$K$4:$AJ$4,0))))+SUMPRODUCT((Inputs!$C$5:$C$120=$B34)*ISNUMBER(INDEX(Inputs!$K$5:$AJ$120,0,MATCH(S$2,Inputs!$K$4:$AJ$4,0))))+SUMPRODUCT((Inputs!$E$5:$E$120=$B34)*ISNUMBER(INDEX(Inputs!$K$5:$AJ$120,0,MATCH(S$2,Inputs!$K$4:$AJ$4,0))))=0,NA(),SUMPRODUCT((Inputs!$A$5:$A$120=$B34)*Inputs!$B$5:$B$120*(((Inputs!$G$5:$G$120="moeda")+(Inputs!$G$5:$G$120="acoes"))*Inputs!$B$1+((Inputs!$G$5:$G$120&lt;&gt;"moeda")*(Inputs!$G$5:$G$120&lt;&gt;"acoes")))*INDEX(Inputs!$K$5:$AJ$120,0,MATCH(S$2,Inputs!$K$4:$AJ$4,0)))+SUMPRODUCT((Inputs!$C$5:$C$120=$B34)*Inputs!$D$5:$D$120*(((Inputs!$G$5:$G$120="moeda")+(Inputs!$G$5:$G$120="acoes"))*Inputs!$B$1+((Inputs!$G$5:$G$120&lt;&gt;"moeda")*(Inputs!$G$5:$G$120&lt;&gt;"acoes")))*INDEX(Inputs!$K$5:$AJ$120,0,MATCH(S$2,Inputs!$K$4:$AJ$4,0)))+SUMPRODUCT((Inputs!$E$5:$E$120=$B34)*Inputs!$F$5:$F$120*(((Inputs!$G$5:$G$120="moeda")+(Inputs!$G$5:$G$120="acoes"))*Inputs!$B$1+((Inputs!$G$5:$G$120&lt;&gt;"moeda")*(Inputs!$G$5:$G$120&lt;&gt;"acoes")))*INDEX(Inputs!$K$5:$AJ$120,0,MATCH(S$2,Inputs!$K$4:$AJ$4,0)))))</f>
        <v>0</v>
      </c>
      <c r="T34" s="6">
        <f>IF(ISNA(MATCH(T$2,Inputs!$K$4:$AJ$4,0)),NA(),IF(SUMPRODUCT((Inputs!$A$5:$A$120=$B34)*ISNUMBER(INDEX(Inputs!$K$5:$AJ$120,0,MATCH(T$2,Inputs!$K$4:$AJ$4,0))))+SUMPRODUCT((Inputs!$C$5:$C$120=$B34)*ISNUMBER(INDEX(Inputs!$K$5:$AJ$120,0,MATCH(T$2,Inputs!$K$4:$AJ$4,0))))+SUMPRODUCT((Inputs!$E$5:$E$120=$B34)*ISNUMBER(INDEX(Inputs!$K$5:$AJ$120,0,MATCH(T$2,Inputs!$K$4:$AJ$4,0))))=0,NA(),SUMPRODUCT((Inputs!$A$5:$A$120=$B34)*Inputs!$B$5:$B$120*(((Inputs!$G$5:$G$120="moeda")+(Inputs!$G$5:$G$120="acoes"))*Inputs!$B$1+((Inputs!$G$5:$G$120&lt;&gt;"moeda")*(Inputs!$G$5:$G$120&lt;&gt;"acoes")))*INDEX(Inputs!$K$5:$AJ$120,0,MATCH(T$2,Inputs!$K$4:$AJ$4,0)))+SUMPRODUCT((Inputs!$C$5:$C$120=$B34)*Inputs!$D$5:$D$120*(((Inputs!$G$5:$G$120="moeda")+(Inputs!$G$5:$G$120="acoes"))*Inputs!$B$1+((Inputs!$G$5:$G$120&lt;&gt;"moeda")*(Inputs!$G$5:$G$120&lt;&gt;"acoes")))*INDEX(Inputs!$K$5:$AJ$120,0,MATCH(T$2,Inputs!$K$4:$AJ$4,0)))+SUMPRODUCT((Inputs!$E$5:$E$120=$B34)*Inputs!$F$5:$F$120*(((Inputs!$G$5:$G$120="moeda")+(Inputs!$G$5:$G$120="acoes"))*Inputs!$B$1+((Inputs!$G$5:$G$120&lt;&gt;"moeda")*(Inputs!$G$5:$G$120&lt;&gt;"acoes")))*INDEX(Inputs!$K$5:$AJ$120,0,MATCH(T$2,Inputs!$K$4:$AJ$4,0)))))</f>
        <v>0</v>
      </c>
      <c r="U34" s="6">
        <f>IF(ISNA(MATCH(U$2,Inputs!$K$4:$AJ$4,0)),NA(),IF(SUMPRODUCT((Inputs!$A$5:$A$120=$B34)*ISNUMBER(INDEX(Inputs!$K$5:$AJ$120,0,MATCH(U$2,Inputs!$K$4:$AJ$4,0))))+SUMPRODUCT((Inputs!$C$5:$C$120=$B34)*ISNUMBER(INDEX(Inputs!$K$5:$AJ$120,0,MATCH(U$2,Inputs!$K$4:$AJ$4,0))))+SUMPRODUCT((Inputs!$E$5:$E$120=$B34)*ISNUMBER(INDEX(Inputs!$K$5:$AJ$120,0,MATCH(U$2,Inputs!$K$4:$AJ$4,0))))=0,NA(),SUMPRODUCT((Inputs!$A$5:$A$120=$B34)*Inputs!$B$5:$B$120*(((Inputs!$G$5:$G$120="moeda")+(Inputs!$G$5:$G$120="acoes"))*Inputs!$B$1+((Inputs!$G$5:$G$120&lt;&gt;"moeda")*(Inputs!$G$5:$G$120&lt;&gt;"acoes")))*INDEX(Inputs!$K$5:$AJ$120,0,MATCH(U$2,Inputs!$K$4:$AJ$4,0)))+SUMPRODUCT((Inputs!$C$5:$C$120=$B34)*Inputs!$D$5:$D$120*(((Inputs!$G$5:$G$120="moeda")+(Inputs!$G$5:$G$120="acoes"))*Inputs!$B$1+((Inputs!$G$5:$G$120&lt;&gt;"moeda")*(Inputs!$G$5:$G$120&lt;&gt;"acoes")))*INDEX(Inputs!$K$5:$AJ$120,0,MATCH(U$2,Inputs!$K$4:$AJ$4,0)))+SUMPRODUCT((Inputs!$E$5:$E$120=$B34)*Inputs!$F$5:$F$120*(((Inputs!$G$5:$G$120="moeda")+(Inputs!$G$5:$G$120="acoes"))*Inputs!$B$1+((Inputs!$G$5:$G$120&lt;&gt;"moeda")*(Inputs!$G$5:$G$120&lt;&gt;"acoes")))*INDEX(Inputs!$K$5:$AJ$120,0,MATCH(U$2,Inputs!$K$4:$AJ$4,0)))))</f>
        <v>0</v>
      </c>
      <c r="V34" s="6">
        <f>IF(ISNA(MATCH(V$2,Inputs!$K$4:$AJ$4,0)),NA(),IF(SUMPRODUCT((Inputs!$A$5:$A$120=$B34)*ISNUMBER(INDEX(Inputs!$K$5:$AJ$120,0,MATCH(V$2,Inputs!$K$4:$AJ$4,0))))+SUMPRODUCT((Inputs!$C$5:$C$120=$B34)*ISNUMBER(INDEX(Inputs!$K$5:$AJ$120,0,MATCH(V$2,Inputs!$K$4:$AJ$4,0))))+SUMPRODUCT((Inputs!$E$5:$E$120=$B34)*ISNUMBER(INDEX(Inputs!$K$5:$AJ$120,0,MATCH(V$2,Inputs!$K$4:$AJ$4,0))))=0,NA(),SUMPRODUCT((Inputs!$A$5:$A$120=$B34)*Inputs!$B$5:$B$120*(((Inputs!$G$5:$G$120="moeda")+(Inputs!$G$5:$G$120="acoes"))*Inputs!$B$1+((Inputs!$G$5:$G$120&lt;&gt;"moeda")*(Inputs!$G$5:$G$120&lt;&gt;"acoes")))*INDEX(Inputs!$K$5:$AJ$120,0,MATCH(V$2,Inputs!$K$4:$AJ$4,0)))+SUMPRODUCT((Inputs!$C$5:$C$120=$B34)*Inputs!$D$5:$D$120*(((Inputs!$G$5:$G$120="moeda")+(Inputs!$G$5:$G$120="acoes"))*Inputs!$B$1+((Inputs!$G$5:$G$120&lt;&gt;"moeda")*(Inputs!$G$5:$G$120&lt;&gt;"acoes")))*INDEX(Inputs!$K$5:$AJ$120,0,MATCH(V$2,Inputs!$K$4:$AJ$4,0)))+SUMPRODUCT((Inputs!$E$5:$E$120=$B34)*Inputs!$F$5:$F$120*(((Inputs!$G$5:$G$120="moeda")+(Inputs!$G$5:$G$120="acoes"))*Inputs!$B$1+((Inputs!$G$5:$G$120&lt;&gt;"moeda")*(Inputs!$G$5:$G$120&lt;&gt;"acoes")))*INDEX(Inputs!$K$5:$AJ$120,0,MATCH(V$2,Inputs!$K$4:$AJ$4,0)))))</f>
        <v>0</v>
      </c>
      <c r="W34" s="3">
        <f>V34</f>
        <v>0</v>
      </c>
      <c r="X34" s="6">
        <f>IF(ISNA(MATCH(X$2,Inputs!$K$4:$AJ$4,0)),NA(),IF(SUMPRODUCT((Inputs!$A$5:$A$120=$B34)*ISNUMBER(INDEX(Inputs!$K$5:$AJ$120,0,MATCH(X$2,Inputs!$K$4:$AJ$4,0))))+SUMPRODUCT((Inputs!$C$5:$C$120=$B34)*ISNUMBER(INDEX(Inputs!$K$5:$AJ$120,0,MATCH(X$2,Inputs!$K$4:$AJ$4,0))))+SUMPRODUCT((Inputs!$E$5:$E$120=$B34)*ISNUMBER(INDEX(Inputs!$K$5:$AJ$120,0,MATCH(X$2,Inputs!$K$4:$AJ$4,0))))=0,NA(),SUMPRODUCT((Inputs!$A$5:$A$120=$B34)*Inputs!$B$5:$B$120*(((Inputs!$G$5:$G$120="moeda")+(Inputs!$G$5:$G$120="acoes"))*Inputs!$B$1+((Inputs!$G$5:$G$120&lt;&gt;"moeda")*(Inputs!$G$5:$G$120&lt;&gt;"acoes")))*INDEX(Inputs!$K$5:$AJ$120,0,MATCH(X$2,Inputs!$K$4:$AJ$4,0)))+SUMPRODUCT((Inputs!$C$5:$C$120=$B34)*Inputs!$D$5:$D$120*(((Inputs!$G$5:$G$120="moeda")+(Inputs!$G$5:$G$120="acoes"))*Inputs!$B$1+((Inputs!$G$5:$G$120&lt;&gt;"moeda")*(Inputs!$G$5:$G$120&lt;&gt;"acoes")))*INDEX(Inputs!$K$5:$AJ$120,0,MATCH(X$2,Inputs!$K$4:$AJ$4,0)))+SUMPRODUCT((Inputs!$E$5:$E$120=$B34)*Inputs!$F$5:$F$120*(((Inputs!$G$5:$G$120="moeda")+(Inputs!$G$5:$G$120="acoes"))*Inputs!$B$1+((Inputs!$G$5:$G$120&lt;&gt;"moeda")*(Inputs!$G$5:$G$120&lt;&gt;"acoes")))*INDEX(Inputs!$K$5:$AJ$120,0,MATCH(X$2,Inputs!$K$4:$AJ$4,0)))))</f>
        <v>0</v>
      </c>
      <c r="Y34" s="6">
        <f>IF(ISNA(MATCH(Y$2,Inputs!$K$4:$AJ$4,0)),NA(),IF(SUMPRODUCT((Inputs!$A$5:$A$120=$B34)*ISNUMBER(INDEX(Inputs!$K$5:$AJ$120,0,MATCH(Y$2,Inputs!$K$4:$AJ$4,0))))+SUMPRODUCT((Inputs!$C$5:$C$120=$B34)*ISNUMBER(INDEX(Inputs!$K$5:$AJ$120,0,MATCH(Y$2,Inputs!$K$4:$AJ$4,0))))+SUMPRODUCT((Inputs!$E$5:$E$120=$B34)*ISNUMBER(INDEX(Inputs!$K$5:$AJ$120,0,MATCH(Y$2,Inputs!$K$4:$AJ$4,0))))=0,NA(),SUMPRODUCT((Inputs!$A$5:$A$120=$B34)*Inputs!$B$5:$B$120*(((Inputs!$G$5:$G$120="moeda")+(Inputs!$G$5:$G$120="acoes"))*Inputs!$B$1+((Inputs!$G$5:$G$120&lt;&gt;"moeda")*(Inputs!$G$5:$G$120&lt;&gt;"acoes")))*INDEX(Inputs!$K$5:$AJ$120,0,MATCH(Y$2,Inputs!$K$4:$AJ$4,0)))+SUMPRODUCT((Inputs!$C$5:$C$120=$B34)*Inputs!$D$5:$D$120*(((Inputs!$G$5:$G$120="moeda")+(Inputs!$G$5:$G$120="acoes"))*Inputs!$B$1+((Inputs!$G$5:$G$120&lt;&gt;"moeda")*(Inputs!$G$5:$G$120&lt;&gt;"acoes")))*INDEX(Inputs!$K$5:$AJ$120,0,MATCH(Y$2,Inputs!$K$4:$AJ$4,0)))+SUMPRODUCT((Inputs!$E$5:$E$120=$B34)*Inputs!$F$5:$F$120*(((Inputs!$G$5:$G$120="moeda")+(Inputs!$G$5:$G$120="acoes"))*Inputs!$B$1+((Inputs!$G$5:$G$120&lt;&gt;"moeda")*(Inputs!$G$5:$G$120&lt;&gt;"acoes")))*INDEX(Inputs!$K$5:$AJ$120,0,MATCH(Y$2,Inputs!$K$4:$AJ$4,0)))))</f>
        <v>0</v>
      </c>
      <c r="Z34" s="6">
        <f>IF(ISNA(MATCH(Z$2,Inputs!$K$4:$AJ$4,0)),NA(),IF(SUMPRODUCT((Inputs!$A$5:$A$120=$B34)*ISNUMBER(INDEX(Inputs!$K$5:$AJ$120,0,MATCH(Z$2,Inputs!$K$4:$AJ$4,0))))+SUMPRODUCT((Inputs!$C$5:$C$120=$B34)*ISNUMBER(INDEX(Inputs!$K$5:$AJ$120,0,MATCH(Z$2,Inputs!$K$4:$AJ$4,0))))+SUMPRODUCT((Inputs!$E$5:$E$120=$B34)*ISNUMBER(INDEX(Inputs!$K$5:$AJ$120,0,MATCH(Z$2,Inputs!$K$4:$AJ$4,0))))=0,NA(),SUMPRODUCT((Inputs!$A$5:$A$120=$B34)*Inputs!$B$5:$B$120*(((Inputs!$G$5:$G$120="moeda")+(Inputs!$G$5:$G$120="acoes"))*Inputs!$B$1+((Inputs!$G$5:$G$120&lt;&gt;"moeda")*(Inputs!$G$5:$G$120&lt;&gt;"acoes")))*INDEX(Inputs!$K$5:$AJ$120,0,MATCH(Z$2,Inputs!$K$4:$AJ$4,0)))+SUMPRODUCT((Inputs!$C$5:$C$120=$B34)*Inputs!$D$5:$D$120*(((Inputs!$G$5:$G$120="moeda")+(Inputs!$G$5:$G$120="acoes"))*Inputs!$B$1+((Inputs!$G$5:$G$120&lt;&gt;"moeda")*(Inputs!$G$5:$G$120&lt;&gt;"acoes")))*INDEX(Inputs!$K$5:$AJ$120,0,MATCH(Z$2,Inputs!$K$4:$AJ$4,0)))+SUMPRODUCT((Inputs!$E$5:$E$120=$B34)*Inputs!$F$5:$F$120*(((Inputs!$G$5:$G$120="moeda")+(Inputs!$G$5:$G$120="acoes"))*Inputs!$B$1+((Inputs!$G$5:$G$120&lt;&gt;"moeda")*(Inputs!$G$5:$G$120&lt;&gt;"acoes")))*INDEX(Inputs!$K$5:$AJ$120,0,MATCH(Z$2,Inputs!$K$4:$AJ$4,0)))))</f>
        <v>0</v>
      </c>
      <c r="AA34" s="6">
        <f>IF(ISNA(MATCH(AA$2,Inputs!$K$4:$AJ$4,0)),NA(),IF(SUMPRODUCT((Inputs!$A$5:$A$120=$B34)*ISNUMBER(INDEX(Inputs!$K$5:$AJ$120,0,MATCH(AA$2,Inputs!$K$4:$AJ$4,0))))+SUMPRODUCT((Inputs!$C$5:$C$120=$B34)*ISNUMBER(INDEX(Inputs!$K$5:$AJ$120,0,MATCH(AA$2,Inputs!$K$4:$AJ$4,0))))+SUMPRODUCT((Inputs!$E$5:$E$120=$B34)*ISNUMBER(INDEX(Inputs!$K$5:$AJ$120,0,MATCH(AA$2,Inputs!$K$4:$AJ$4,0))))=0,NA(),SUMPRODUCT((Inputs!$A$5:$A$120=$B34)*Inputs!$B$5:$B$120*(((Inputs!$G$5:$G$120="moeda")+(Inputs!$G$5:$G$120="acoes"))*Inputs!$B$1+((Inputs!$G$5:$G$120&lt;&gt;"moeda")*(Inputs!$G$5:$G$120&lt;&gt;"acoes")))*INDEX(Inputs!$K$5:$AJ$120,0,MATCH(AA$2,Inputs!$K$4:$AJ$4,0)))+SUMPRODUCT((Inputs!$C$5:$C$120=$B34)*Inputs!$D$5:$D$120*(((Inputs!$G$5:$G$120="moeda")+(Inputs!$G$5:$G$120="acoes"))*Inputs!$B$1+((Inputs!$G$5:$G$120&lt;&gt;"moeda")*(Inputs!$G$5:$G$120&lt;&gt;"acoes")))*INDEX(Inputs!$K$5:$AJ$120,0,MATCH(AA$2,Inputs!$K$4:$AJ$4,0)))+SUMPRODUCT((Inputs!$E$5:$E$120=$B34)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4" s="3">
        <f>AA34</f>
        <v>0</v>
      </c>
      <c r="AC34" s="6">
        <f>IF(ISNA(MATCH(AC$2,Inputs!$K$4:$AJ$4,0)),NA(),IF(SUMPRODUCT((Inputs!$A$5:$A$120=$B34)*ISNUMBER(INDEX(Inputs!$K$5:$AJ$120,0,MATCH(AC$2,Inputs!$K$4:$AJ$4,0))))+SUMPRODUCT((Inputs!$C$5:$C$120=$B34)*ISNUMBER(INDEX(Inputs!$K$5:$AJ$120,0,MATCH(AC$2,Inputs!$K$4:$AJ$4,0))))+SUMPRODUCT((Inputs!$E$5:$E$120=$B34)*ISNUMBER(INDEX(Inputs!$K$5:$AJ$120,0,MATCH(AC$2,Inputs!$K$4:$AJ$4,0))))=0,NA(),SUMPRODUCT((Inputs!$A$5:$A$120=$B34)*Inputs!$B$5:$B$120*(((Inputs!$G$5:$G$120="moeda")+(Inputs!$G$5:$G$120="acoes"))*Inputs!$B$1+((Inputs!$G$5:$G$120&lt;&gt;"moeda")*(Inputs!$G$5:$G$120&lt;&gt;"acoes")))*INDEX(Inputs!$K$5:$AJ$120,0,MATCH(AC$2,Inputs!$K$4:$AJ$4,0)))+SUMPRODUCT((Inputs!$C$5:$C$120=$B34)*Inputs!$D$5:$D$120*(((Inputs!$G$5:$G$120="moeda")+(Inputs!$G$5:$G$120="acoes"))*Inputs!$B$1+((Inputs!$G$5:$G$120&lt;&gt;"moeda")*(Inputs!$G$5:$G$120&lt;&gt;"acoes")))*INDEX(Inputs!$K$5:$AJ$120,0,MATCH(AC$2,Inputs!$K$4:$AJ$4,0)))+SUMPRODUCT((Inputs!$E$5:$E$120=$B34)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4" s="6">
        <f>IF(ISNA(MATCH(AD$2,Inputs!$K$4:$AJ$4,0)),NA(),IF(SUMPRODUCT((Inputs!$A$5:$A$120=$B34)*ISNUMBER(INDEX(Inputs!$K$5:$AJ$120,0,MATCH(AD$2,Inputs!$K$4:$AJ$4,0))))+SUMPRODUCT((Inputs!$C$5:$C$120=$B34)*ISNUMBER(INDEX(Inputs!$K$5:$AJ$120,0,MATCH(AD$2,Inputs!$K$4:$AJ$4,0))))+SUMPRODUCT((Inputs!$E$5:$E$120=$B34)*ISNUMBER(INDEX(Inputs!$K$5:$AJ$120,0,MATCH(AD$2,Inputs!$K$4:$AJ$4,0))))=0,NA(),SUMPRODUCT((Inputs!$A$5:$A$120=$B34)*Inputs!$B$5:$B$120*(((Inputs!$G$5:$G$120="moeda")+(Inputs!$G$5:$G$120="acoes"))*Inputs!$B$1+((Inputs!$G$5:$G$120&lt;&gt;"moeda")*(Inputs!$G$5:$G$120&lt;&gt;"acoes")))*INDEX(Inputs!$K$5:$AJ$120,0,MATCH(AD$2,Inputs!$K$4:$AJ$4,0)))+SUMPRODUCT((Inputs!$C$5:$C$120=$B34)*Inputs!$D$5:$D$120*(((Inputs!$G$5:$G$120="moeda")+(Inputs!$G$5:$G$120="acoes"))*Inputs!$B$1+((Inputs!$G$5:$G$120&lt;&gt;"moeda")*(Inputs!$G$5:$G$120&lt;&gt;"acoes")))*INDEX(Inputs!$K$5:$AJ$120,0,MATCH(AD$2,Inputs!$K$4:$AJ$4,0)))+SUMPRODUCT((Inputs!$E$5:$E$120=$B34)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4" s="6" t="e">
        <f>IF(ISNA(MATCH(AE$2,Inputs!$K$4:$AJ$4,0)),NA(),IF(SUMPRODUCT((Inputs!$A$5:$A$120=$B34)*ISNUMBER(INDEX(Inputs!$K$5:$AJ$120,0,MATCH(AE$2,Inputs!$K$4:$AJ$4,0))))+SUMPRODUCT((Inputs!$C$5:$C$120=$B34)*ISNUMBER(INDEX(Inputs!$K$5:$AJ$120,0,MATCH(AE$2,Inputs!$K$4:$AJ$4,0))))+SUMPRODUCT((Inputs!$E$5:$E$120=$B34)*ISNUMBER(INDEX(Inputs!$K$5:$AJ$120,0,MATCH(AE$2,Inputs!$K$4:$AJ$4,0))))=0,NA(),SUMPRODUCT((Inputs!$A$5:$A$120=$B34)*Inputs!$B$5:$B$120*(((Inputs!$G$5:$G$120="moeda")+(Inputs!$G$5:$G$120="acoes"))*Inputs!$B$1+((Inputs!$G$5:$G$120&lt;&gt;"moeda")*(Inputs!$G$5:$G$120&lt;&gt;"acoes")))*INDEX(Inputs!$K$5:$AJ$120,0,MATCH(AE$2,Inputs!$K$4:$AJ$4,0)))+SUMPRODUCT((Inputs!$C$5:$C$120=$B34)*Inputs!$D$5:$D$120*(((Inputs!$G$5:$G$120="moeda")+(Inputs!$G$5:$G$120="acoes"))*Inputs!$B$1+((Inputs!$G$5:$G$120&lt;&gt;"moeda")*(Inputs!$G$5:$G$120&lt;&gt;"acoes")))*INDEX(Inputs!$K$5:$AJ$120,0,MATCH(AE$2,Inputs!$K$4:$AJ$4,0)))+SUMPRODUCT((Inputs!$E$5:$E$120=$B34)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4" s="6" t="e">
        <f>IF(ISNA(MATCH(AF$2,Inputs!$K$4:$AJ$4,0)),NA(),IF(SUMPRODUCT((Inputs!$A$5:$A$120=$B34)*ISNUMBER(INDEX(Inputs!$K$5:$AJ$120,0,MATCH(AF$2,Inputs!$K$4:$AJ$4,0))))+SUMPRODUCT((Inputs!$C$5:$C$120=$B34)*ISNUMBER(INDEX(Inputs!$K$5:$AJ$120,0,MATCH(AF$2,Inputs!$K$4:$AJ$4,0))))+SUMPRODUCT((Inputs!$E$5:$E$120=$B34)*ISNUMBER(INDEX(Inputs!$K$5:$AJ$120,0,MATCH(AF$2,Inputs!$K$4:$AJ$4,0))))=0,NA(),SUMPRODUCT((Inputs!$A$5:$A$120=$B34)*Inputs!$B$5:$B$120*(((Inputs!$G$5:$G$120="moeda")+(Inputs!$G$5:$G$120="acoes"))*Inputs!$B$1+((Inputs!$G$5:$G$120&lt;&gt;"moeda")*(Inputs!$G$5:$G$120&lt;&gt;"acoes")))*INDEX(Inputs!$K$5:$AJ$120,0,MATCH(AF$2,Inputs!$K$4:$AJ$4,0)))+SUMPRODUCT((Inputs!$C$5:$C$120=$B34)*Inputs!$D$5:$D$120*(((Inputs!$G$5:$G$120="moeda")+(Inputs!$G$5:$G$120="acoes"))*Inputs!$B$1+((Inputs!$G$5:$G$120&lt;&gt;"moeda")*(Inputs!$G$5:$G$120&lt;&gt;"acoes")))*INDEX(Inputs!$K$5:$AJ$120,0,MATCH(AF$2,Inputs!$K$4:$AJ$4,0)))+SUMPRODUCT((Inputs!$E$5:$E$120=$B34)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4" s="3" t="e">
        <f>AF34</f>
        <v>#N/A</v>
      </c>
      <c r="AH34" s="6">
        <f>IF(ISNA(MATCH(AH$2,Inputs!$K$4:$AJ$4,0)),NA(),IF(SUMPRODUCT((Inputs!$A$5:$A$120=$B34)*ISNUMBER(INDEX(Inputs!$K$5:$AJ$120,0,MATCH(AH$2,Inputs!$K$4:$AJ$4,0))))+SUMPRODUCT((Inputs!$C$5:$C$120=$B34)*ISNUMBER(INDEX(Inputs!$K$5:$AJ$120,0,MATCH(AH$2,Inputs!$K$4:$AJ$4,0))))+SUMPRODUCT((Inputs!$E$5:$E$120=$B34)*ISNUMBER(INDEX(Inputs!$K$5:$AJ$120,0,MATCH(AH$2,Inputs!$K$4:$AJ$4,0))))=0,NA(),SUMPRODUCT((Inputs!$A$5:$A$120=$B34)*Inputs!$B$5:$B$120*(((Inputs!$G$5:$G$120="moeda")+(Inputs!$G$5:$G$120="acoes"))*Inputs!$B$1+((Inputs!$G$5:$G$120&lt;&gt;"moeda")*(Inputs!$G$5:$G$120&lt;&gt;"acoes")))*INDEX(Inputs!$K$5:$AJ$120,0,MATCH(AH$2,Inputs!$K$4:$AJ$4,0)))+SUMPRODUCT((Inputs!$C$5:$C$120=$B34)*Inputs!$D$5:$D$120*(((Inputs!$G$5:$G$120="moeda")+(Inputs!$G$5:$G$120="acoes"))*Inputs!$B$1+((Inputs!$G$5:$G$120&lt;&gt;"moeda")*(Inputs!$G$5:$G$120&lt;&gt;"acoes")))*INDEX(Inputs!$K$5:$AJ$120,0,MATCH(AH$2,Inputs!$K$4:$AJ$4,0)))+SUMPRODUCT((Inputs!$E$5:$E$120=$B34)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4" s="6">
        <f>IF(ISNA(MATCH(AI$2,Inputs!$K$4:$AJ$4,0)),NA(),IF(SUMPRODUCT((Inputs!$A$5:$A$120=$B34)*ISNUMBER(INDEX(Inputs!$K$5:$AJ$120,0,MATCH(AI$2,Inputs!$K$4:$AJ$4,0))))+SUMPRODUCT((Inputs!$C$5:$C$120=$B34)*ISNUMBER(INDEX(Inputs!$K$5:$AJ$120,0,MATCH(AI$2,Inputs!$K$4:$AJ$4,0))))+SUMPRODUCT((Inputs!$E$5:$E$120=$B34)*ISNUMBER(INDEX(Inputs!$K$5:$AJ$120,0,MATCH(AI$2,Inputs!$K$4:$AJ$4,0))))=0,NA(),SUMPRODUCT((Inputs!$A$5:$A$120=$B34)*Inputs!$B$5:$B$120*(((Inputs!$G$5:$G$120="moeda")+(Inputs!$G$5:$G$120="acoes"))*Inputs!$B$1+((Inputs!$G$5:$G$120&lt;&gt;"moeda")*(Inputs!$G$5:$G$120&lt;&gt;"acoes")))*INDEX(Inputs!$K$5:$AJ$120,0,MATCH(AI$2,Inputs!$K$4:$AJ$4,0)))+SUMPRODUCT((Inputs!$C$5:$C$120=$B34)*Inputs!$D$5:$D$120*(((Inputs!$G$5:$G$120="moeda")+(Inputs!$G$5:$G$120="acoes"))*Inputs!$B$1+((Inputs!$G$5:$G$120&lt;&gt;"moeda")*(Inputs!$G$5:$G$120&lt;&gt;"acoes")))*INDEX(Inputs!$K$5:$AJ$120,0,MATCH(AI$2,Inputs!$K$4:$AJ$4,0)))+SUMPRODUCT((Inputs!$E$5:$E$120=$B34)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4" s="6">
        <f>IF(ISNA(MATCH(AJ$2,Inputs!$K$4:$AJ$4,0)),NA(),IF(SUMPRODUCT((Inputs!$A$5:$A$120=$B34)*ISNUMBER(INDEX(Inputs!$K$5:$AJ$120,0,MATCH(AJ$2,Inputs!$K$4:$AJ$4,0))))+SUMPRODUCT((Inputs!$C$5:$C$120=$B34)*ISNUMBER(INDEX(Inputs!$K$5:$AJ$120,0,MATCH(AJ$2,Inputs!$K$4:$AJ$4,0))))+SUMPRODUCT((Inputs!$E$5:$E$120=$B34)*ISNUMBER(INDEX(Inputs!$K$5:$AJ$120,0,MATCH(AJ$2,Inputs!$K$4:$AJ$4,0))))=0,NA(),SUMPRODUCT((Inputs!$A$5:$A$120=$B34)*Inputs!$B$5:$B$120*(((Inputs!$G$5:$G$120="moeda")+(Inputs!$G$5:$G$120="acoes"))*Inputs!$B$1+((Inputs!$G$5:$G$120&lt;&gt;"moeda")*(Inputs!$G$5:$G$120&lt;&gt;"acoes")))*INDEX(Inputs!$K$5:$AJ$120,0,MATCH(AJ$2,Inputs!$K$4:$AJ$4,0)))+SUMPRODUCT((Inputs!$C$5:$C$120=$B34)*Inputs!$D$5:$D$120*(((Inputs!$G$5:$G$120="moeda")+(Inputs!$G$5:$G$120="acoes"))*Inputs!$B$1+((Inputs!$G$5:$G$120&lt;&gt;"moeda")*(Inputs!$G$5:$G$120&lt;&gt;"acoes")))*INDEX(Inputs!$K$5:$AJ$120,0,MATCH(AJ$2,Inputs!$K$4:$AJ$4,0)))+SUMPRODUCT((Inputs!$E$5:$E$120=$B34)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4" s="6">
        <f>IF(ISNA(MATCH(AK$2,Inputs!$K$4:$AJ$4,0)),NA(),IF(SUMPRODUCT((Inputs!$A$5:$A$120=$B34)*ISNUMBER(INDEX(Inputs!$K$5:$AJ$120,0,MATCH(AK$2,Inputs!$K$4:$AJ$4,0))))+SUMPRODUCT((Inputs!$C$5:$C$120=$B34)*ISNUMBER(INDEX(Inputs!$K$5:$AJ$120,0,MATCH(AK$2,Inputs!$K$4:$AJ$4,0))))+SUMPRODUCT((Inputs!$E$5:$E$120=$B34)*ISNUMBER(INDEX(Inputs!$K$5:$AJ$120,0,MATCH(AK$2,Inputs!$K$4:$AJ$4,0))))=0,NA(),SUMPRODUCT((Inputs!$A$5:$A$120=$B34)*Inputs!$B$5:$B$120*(((Inputs!$G$5:$G$120="moeda")+(Inputs!$G$5:$G$120="acoes"))*Inputs!$B$1+((Inputs!$G$5:$G$120&lt;&gt;"moeda")*(Inputs!$G$5:$G$120&lt;&gt;"acoes")))*INDEX(Inputs!$K$5:$AJ$120,0,MATCH(AK$2,Inputs!$K$4:$AJ$4,0)))+SUMPRODUCT((Inputs!$C$5:$C$120=$B34)*Inputs!$D$5:$D$120*(((Inputs!$G$5:$G$120="moeda")+(Inputs!$G$5:$G$120="acoes"))*Inputs!$B$1+((Inputs!$G$5:$G$120&lt;&gt;"moeda")*(Inputs!$G$5:$G$120&lt;&gt;"acoes")))*INDEX(Inputs!$K$5:$AJ$120,0,MATCH(AK$2,Inputs!$K$4:$AJ$4,0)))+SUMPRODUCT((Inputs!$E$5:$E$120=$B34)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4" s="3">
        <f>AK34</f>
        <v>0</v>
      </c>
    </row>
    <row r="35">
      <c r="B35" s="46" t="n">
        <v>30</v>
      </c>
      <c r="C35" s="26" t="inlineStr">
        <is>
          <t>Long term debt</t>
        </is>
      </c>
      <c r="D35" s="6">
        <f>IF(ISNA(MATCH(D$2,Inputs!$K$4:$AJ$4,0)),NA(),IF(SUMPRODUCT((Inputs!$A$5:$A$120=$B35)*ISNUMBER(INDEX(Inputs!$K$5:$AJ$120,0,MATCH(D$2,Inputs!$K$4:$AJ$4,0))))+SUMPRODUCT((Inputs!$C$5:$C$120=$B35)*ISNUMBER(INDEX(Inputs!$K$5:$AJ$120,0,MATCH(D$2,Inputs!$K$4:$AJ$4,0))))+SUMPRODUCT((Inputs!$E$5:$E$120=$B35)*ISNUMBER(INDEX(Inputs!$K$5:$AJ$120,0,MATCH(D$2,Inputs!$K$4:$AJ$4,0))))=0,NA(),SUMPRODUCT((Inputs!$A$5:$A$120=$B35)*Inputs!$B$5:$B$120*(((Inputs!$G$5:$G$120="moeda")+(Inputs!$G$5:$G$120="acoes"))*Inputs!$B$1+((Inputs!$G$5:$G$120&lt;&gt;"moeda")*(Inputs!$G$5:$G$120&lt;&gt;"acoes")))*INDEX(Inputs!$K$5:$AJ$120,0,MATCH(D$2,Inputs!$K$4:$AJ$4,0)))+SUMPRODUCT((Inputs!$C$5:$C$120=$B35)*Inputs!$D$5:$D$120*(((Inputs!$G$5:$G$120="moeda")+(Inputs!$G$5:$G$120="acoes"))*Inputs!$B$1+((Inputs!$G$5:$G$120&lt;&gt;"moeda")*(Inputs!$G$5:$G$120&lt;&gt;"acoes")))*INDEX(Inputs!$K$5:$AJ$120,0,MATCH(D$2,Inputs!$K$4:$AJ$4,0)))+SUMPRODUCT((Inputs!$E$5:$E$120=$B35)*Inputs!$F$5:$F$120*(((Inputs!$G$5:$G$120="moeda")+(Inputs!$G$5:$G$120="acoes"))*Inputs!$B$1+((Inputs!$G$5:$G$120&lt;&gt;"moeda")*(Inputs!$G$5:$G$120&lt;&gt;"acoes")))*INDEX(Inputs!$K$5:$AJ$120,0,MATCH(D$2,Inputs!$K$4:$AJ$4,0)))))</f>
        <v>16199.6</v>
      </c>
      <c r="E35" s="6">
        <f>IF(ISNA(MATCH(E$2,Inputs!$K$4:$AJ$4,0)),NA(),IF(SUMPRODUCT((Inputs!$A$5:$A$120=$B35)*ISNUMBER(INDEX(Inputs!$K$5:$AJ$120,0,MATCH(E$2,Inputs!$K$4:$AJ$4,0))))+SUMPRODUCT((Inputs!$C$5:$C$120=$B35)*ISNUMBER(INDEX(Inputs!$K$5:$AJ$120,0,MATCH(E$2,Inputs!$K$4:$AJ$4,0))))+SUMPRODUCT((Inputs!$E$5:$E$120=$B35)*ISNUMBER(INDEX(Inputs!$K$5:$AJ$120,0,MATCH(E$2,Inputs!$K$4:$AJ$4,0))))=0,NA(),SUMPRODUCT((Inputs!$A$5:$A$120=$B35)*Inputs!$B$5:$B$120*(((Inputs!$G$5:$G$120="moeda")+(Inputs!$G$5:$G$120="acoes"))*Inputs!$B$1+((Inputs!$G$5:$G$120&lt;&gt;"moeda")*(Inputs!$G$5:$G$120&lt;&gt;"acoes")))*INDEX(Inputs!$K$5:$AJ$120,0,MATCH(E$2,Inputs!$K$4:$AJ$4,0)))+SUMPRODUCT((Inputs!$C$5:$C$120=$B35)*Inputs!$D$5:$D$120*(((Inputs!$G$5:$G$120="moeda")+(Inputs!$G$5:$G$120="acoes"))*Inputs!$B$1+((Inputs!$G$5:$G$120&lt;&gt;"moeda")*(Inputs!$G$5:$G$120&lt;&gt;"acoes")))*INDEX(Inputs!$K$5:$AJ$120,0,MATCH(E$2,Inputs!$K$4:$AJ$4,0)))+SUMPRODUCT((Inputs!$E$5:$E$120=$B35)*Inputs!$F$5:$F$120*(((Inputs!$G$5:$G$120="moeda")+(Inputs!$G$5:$G$120="acoes"))*Inputs!$B$1+((Inputs!$G$5:$G$120&lt;&gt;"moeda")*(Inputs!$G$5:$G$120&lt;&gt;"acoes")))*INDEX(Inputs!$K$5:$AJ$120,0,MATCH(E$2,Inputs!$K$4:$AJ$4,0)))))</f>
        <v>14736.6</v>
      </c>
      <c r="F35" s="6">
        <f>IF(ISNA(MATCH(F$2,Inputs!$K$4:$AJ$4,0)),NA(),IF(SUMPRODUCT((Inputs!$A$5:$A$120=$B35)*ISNUMBER(INDEX(Inputs!$K$5:$AJ$120,0,MATCH(F$2,Inputs!$K$4:$AJ$4,0))))+SUMPRODUCT((Inputs!$C$5:$C$120=$B35)*ISNUMBER(INDEX(Inputs!$K$5:$AJ$120,0,MATCH(F$2,Inputs!$K$4:$AJ$4,0))))+SUMPRODUCT((Inputs!$E$5:$E$120=$B35)*ISNUMBER(INDEX(Inputs!$K$5:$AJ$120,0,MATCH(F$2,Inputs!$K$4:$AJ$4,0))))=0,NA(),SUMPRODUCT((Inputs!$A$5:$A$120=$B35)*Inputs!$B$5:$B$120*(((Inputs!$G$5:$G$120="moeda")+(Inputs!$G$5:$G$120="acoes"))*Inputs!$B$1+((Inputs!$G$5:$G$120&lt;&gt;"moeda")*(Inputs!$G$5:$G$120&lt;&gt;"acoes")))*INDEX(Inputs!$K$5:$AJ$120,0,MATCH(F$2,Inputs!$K$4:$AJ$4,0)))+SUMPRODUCT((Inputs!$C$5:$C$120=$B35)*Inputs!$D$5:$D$120*(((Inputs!$G$5:$G$120="moeda")+(Inputs!$G$5:$G$120="acoes"))*Inputs!$B$1+((Inputs!$G$5:$G$120&lt;&gt;"moeda")*(Inputs!$G$5:$G$120&lt;&gt;"acoes")))*INDEX(Inputs!$K$5:$AJ$120,0,MATCH(F$2,Inputs!$K$4:$AJ$4,0)))+SUMPRODUCT((Inputs!$E$5:$E$120=$B35)*Inputs!$F$5:$F$120*(((Inputs!$G$5:$G$120="moeda")+(Inputs!$G$5:$G$120="acoes"))*Inputs!$B$1+((Inputs!$G$5:$G$120&lt;&gt;"moeda")*(Inputs!$G$5:$G$120&lt;&gt;"acoes")))*INDEX(Inputs!$K$5:$AJ$120,0,MATCH(F$2,Inputs!$K$4:$AJ$4,0)))))</f>
        <v>15522.4</v>
      </c>
      <c r="G35" s="6">
        <f>IF(ISNA(MATCH(G$2,Inputs!$K$4:$AJ$4,0)),NA(),IF(SUMPRODUCT((Inputs!$A$5:$A$120=$B35)*ISNUMBER(INDEX(Inputs!$K$5:$AJ$120,0,MATCH(G$2,Inputs!$K$4:$AJ$4,0))))+SUMPRODUCT((Inputs!$C$5:$C$120=$B35)*ISNUMBER(INDEX(Inputs!$K$5:$AJ$120,0,MATCH(G$2,Inputs!$K$4:$AJ$4,0))))+SUMPRODUCT((Inputs!$E$5:$E$120=$B35)*ISNUMBER(INDEX(Inputs!$K$5:$AJ$120,0,MATCH(G$2,Inputs!$K$4:$AJ$4,0))))=0,NA(),SUMPRODUCT((Inputs!$A$5:$A$120=$B35)*Inputs!$B$5:$B$120*(((Inputs!$G$5:$G$120="moeda")+(Inputs!$G$5:$G$120="acoes"))*Inputs!$B$1+((Inputs!$G$5:$G$120&lt;&gt;"moeda")*(Inputs!$G$5:$G$120&lt;&gt;"acoes")))*INDEX(Inputs!$K$5:$AJ$120,0,MATCH(G$2,Inputs!$K$4:$AJ$4,0)))+SUMPRODUCT((Inputs!$C$5:$C$120=$B35)*Inputs!$D$5:$D$120*(((Inputs!$G$5:$G$120="moeda")+(Inputs!$G$5:$G$120="acoes"))*Inputs!$B$1+((Inputs!$G$5:$G$120&lt;&gt;"moeda")*(Inputs!$G$5:$G$120&lt;&gt;"acoes")))*INDEX(Inputs!$K$5:$AJ$120,0,MATCH(G$2,Inputs!$K$4:$AJ$4,0)))+SUMPRODUCT((Inputs!$E$5:$E$120=$B35)*Inputs!$F$5:$F$120*(((Inputs!$G$5:$G$120="moeda")+(Inputs!$G$5:$G$120="acoes"))*Inputs!$B$1+((Inputs!$G$5:$G$120&lt;&gt;"moeda")*(Inputs!$G$5:$G$120&lt;&gt;"acoes")))*INDEX(Inputs!$K$5:$AJ$120,0,MATCH(G$2,Inputs!$K$4:$AJ$4,0)))))</f>
        <v>15346.4</v>
      </c>
      <c r="H35" s="3">
        <f>G35</f>
        <v>15346.4</v>
      </c>
      <c r="I35" s="6">
        <f>IF(ISNA(MATCH(I$2,Inputs!$K$4:$AJ$4,0)),NA(),IF(SUMPRODUCT((Inputs!$A$5:$A$120=$B35)*ISNUMBER(INDEX(Inputs!$K$5:$AJ$120,0,MATCH(I$2,Inputs!$K$4:$AJ$4,0))))+SUMPRODUCT((Inputs!$C$5:$C$120=$B35)*ISNUMBER(INDEX(Inputs!$K$5:$AJ$120,0,MATCH(I$2,Inputs!$K$4:$AJ$4,0))))+SUMPRODUCT((Inputs!$E$5:$E$120=$B35)*ISNUMBER(INDEX(Inputs!$K$5:$AJ$120,0,MATCH(I$2,Inputs!$K$4:$AJ$4,0))))=0,NA(),SUMPRODUCT((Inputs!$A$5:$A$120=$B35)*Inputs!$B$5:$B$120*(((Inputs!$G$5:$G$120="moeda")+(Inputs!$G$5:$G$120="acoes"))*Inputs!$B$1+((Inputs!$G$5:$G$120&lt;&gt;"moeda")*(Inputs!$G$5:$G$120&lt;&gt;"acoes")))*INDEX(Inputs!$K$5:$AJ$120,0,MATCH(I$2,Inputs!$K$4:$AJ$4,0)))+SUMPRODUCT((Inputs!$C$5:$C$120=$B35)*Inputs!$D$5:$D$120*(((Inputs!$G$5:$G$120="moeda")+(Inputs!$G$5:$G$120="acoes"))*Inputs!$B$1+((Inputs!$G$5:$G$120&lt;&gt;"moeda")*(Inputs!$G$5:$G$120&lt;&gt;"acoes")))*INDEX(Inputs!$K$5:$AJ$120,0,MATCH(I$2,Inputs!$K$4:$AJ$4,0)))+SUMPRODUCT((Inputs!$E$5:$E$120=$B35)*Inputs!$F$5:$F$120*(((Inputs!$G$5:$G$120="moeda")+(Inputs!$G$5:$G$120="acoes"))*Inputs!$B$1+((Inputs!$G$5:$G$120&lt;&gt;"moeda")*(Inputs!$G$5:$G$120&lt;&gt;"acoes")))*INDEX(Inputs!$K$5:$AJ$120,0,MATCH(I$2,Inputs!$K$4:$AJ$4,0)))))</f>
        <v>15152.9</v>
      </c>
      <c r="J35" s="6">
        <f>IF(ISNA(MATCH(J$2,Inputs!$K$4:$AJ$4,0)),NA(),IF(SUMPRODUCT((Inputs!$A$5:$A$120=$B35)*ISNUMBER(INDEX(Inputs!$K$5:$AJ$120,0,MATCH(J$2,Inputs!$K$4:$AJ$4,0))))+SUMPRODUCT((Inputs!$C$5:$C$120=$B35)*ISNUMBER(INDEX(Inputs!$K$5:$AJ$120,0,MATCH(J$2,Inputs!$K$4:$AJ$4,0))))+SUMPRODUCT((Inputs!$E$5:$E$120=$B35)*ISNUMBER(INDEX(Inputs!$K$5:$AJ$120,0,MATCH(J$2,Inputs!$K$4:$AJ$4,0))))=0,NA(),SUMPRODUCT((Inputs!$A$5:$A$120=$B35)*Inputs!$B$5:$B$120*(((Inputs!$G$5:$G$120="moeda")+(Inputs!$G$5:$G$120="acoes"))*Inputs!$B$1+((Inputs!$G$5:$G$120&lt;&gt;"moeda")*(Inputs!$G$5:$G$120&lt;&gt;"acoes")))*INDEX(Inputs!$K$5:$AJ$120,0,MATCH(J$2,Inputs!$K$4:$AJ$4,0)))+SUMPRODUCT((Inputs!$C$5:$C$120=$B35)*Inputs!$D$5:$D$120*(((Inputs!$G$5:$G$120="moeda")+(Inputs!$G$5:$G$120="acoes"))*Inputs!$B$1+((Inputs!$G$5:$G$120&lt;&gt;"moeda")*(Inputs!$G$5:$G$120&lt;&gt;"acoes")))*INDEX(Inputs!$K$5:$AJ$120,0,MATCH(J$2,Inputs!$K$4:$AJ$4,0)))+SUMPRODUCT((Inputs!$E$5:$E$120=$B35)*Inputs!$F$5:$F$120*(((Inputs!$G$5:$G$120="moeda")+(Inputs!$G$5:$G$120="acoes"))*Inputs!$B$1+((Inputs!$G$5:$G$120&lt;&gt;"moeda")*(Inputs!$G$5:$G$120&lt;&gt;"acoes")))*INDEX(Inputs!$K$5:$AJ$120,0,MATCH(J$2,Inputs!$K$4:$AJ$4,0)))))</f>
        <v>14692</v>
      </c>
      <c r="K35" s="6">
        <f>IF(ISNA(MATCH(K$2,Inputs!$K$4:$AJ$4,0)),NA(),IF(SUMPRODUCT((Inputs!$A$5:$A$120=$B35)*ISNUMBER(INDEX(Inputs!$K$5:$AJ$120,0,MATCH(K$2,Inputs!$K$4:$AJ$4,0))))+SUMPRODUCT((Inputs!$C$5:$C$120=$B35)*ISNUMBER(INDEX(Inputs!$K$5:$AJ$120,0,MATCH(K$2,Inputs!$K$4:$AJ$4,0))))+SUMPRODUCT((Inputs!$E$5:$E$120=$B35)*ISNUMBER(INDEX(Inputs!$K$5:$AJ$120,0,MATCH(K$2,Inputs!$K$4:$AJ$4,0))))=0,NA(),SUMPRODUCT((Inputs!$A$5:$A$120=$B35)*Inputs!$B$5:$B$120*(((Inputs!$G$5:$G$120="moeda")+(Inputs!$G$5:$G$120="acoes"))*Inputs!$B$1+((Inputs!$G$5:$G$120&lt;&gt;"moeda")*(Inputs!$G$5:$G$120&lt;&gt;"acoes")))*INDEX(Inputs!$K$5:$AJ$120,0,MATCH(K$2,Inputs!$K$4:$AJ$4,0)))+SUMPRODUCT((Inputs!$C$5:$C$120=$B35)*Inputs!$D$5:$D$120*(((Inputs!$G$5:$G$120="moeda")+(Inputs!$G$5:$G$120="acoes"))*Inputs!$B$1+((Inputs!$G$5:$G$120&lt;&gt;"moeda")*(Inputs!$G$5:$G$120&lt;&gt;"acoes")))*INDEX(Inputs!$K$5:$AJ$120,0,MATCH(K$2,Inputs!$K$4:$AJ$4,0)))+SUMPRODUCT((Inputs!$E$5:$E$120=$B35)*Inputs!$F$5:$F$120*(((Inputs!$G$5:$G$120="moeda")+(Inputs!$G$5:$G$120="acoes"))*Inputs!$B$1+((Inputs!$G$5:$G$120&lt;&gt;"moeda")*(Inputs!$G$5:$G$120&lt;&gt;"acoes")))*INDEX(Inputs!$K$5:$AJ$120,0,MATCH(K$2,Inputs!$K$4:$AJ$4,0)))))</f>
        <v>14143.8</v>
      </c>
      <c r="L35" s="6">
        <f>IF(ISNA(MATCH(L$2,Inputs!$K$4:$AJ$4,0)),NA(),IF(SUMPRODUCT((Inputs!$A$5:$A$120=$B35)*ISNUMBER(INDEX(Inputs!$K$5:$AJ$120,0,MATCH(L$2,Inputs!$K$4:$AJ$4,0))))+SUMPRODUCT((Inputs!$C$5:$C$120=$B35)*ISNUMBER(INDEX(Inputs!$K$5:$AJ$120,0,MATCH(L$2,Inputs!$K$4:$AJ$4,0))))+SUMPRODUCT((Inputs!$E$5:$E$120=$B35)*ISNUMBER(INDEX(Inputs!$K$5:$AJ$120,0,MATCH(L$2,Inputs!$K$4:$AJ$4,0))))=0,NA(),SUMPRODUCT((Inputs!$A$5:$A$120=$B35)*Inputs!$B$5:$B$120*(((Inputs!$G$5:$G$120="moeda")+(Inputs!$G$5:$G$120="acoes"))*Inputs!$B$1+((Inputs!$G$5:$G$120&lt;&gt;"moeda")*(Inputs!$G$5:$G$120&lt;&gt;"acoes")))*INDEX(Inputs!$K$5:$AJ$120,0,MATCH(L$2,Inputs!$K$4:$AJ$4,0)))+SUMPRODUCT((Inputs!$C$5:$C$120=$B35)*Inputs!$D$5:$D$120*(((Inputs!$G$5:$G$120="moeda")+(Inputs!$G$5:$G$120="acoes"))*Inputs!$B$1+((Inputs!$G$5:$G$120&lt;&gt;"moeda")*(Inputs!$G$5:$G$120&lt;&gt;"acoes")))*INDEX(Inputs!$K$5:$AJ$120,0,MATCH(L$2,Inputs!$K$4:$AJ$4,0)))+SUMPRODUCT((Inputs!$E$5:$E$120=$B35)*Inputs!$F$5:$F$120*(((Inputs!$G$5:$G$120="moeda")+(Inputs!$G$5:$G$120="acoes"))*Inputs!$B$1+((Inputs!$G$5:$G$120&lt;&gt;"moeda")*(Inputs!$G$5:$G$120&lt;&gt;"acoes")))*INDEX(Inputs!$K$5:$AJ$120,0,MATCH(L$2,Inputs!$K$4:$AJ$4,0)))))</f>
        <v>14737.5</v>
      </c>
      <c r="M35" s="3">
        <f>L35</f>
        <v>14737.5</v>
      </c>
      <c r="N35" s="6">
        <f>IF(ISNA(MATCH(N$2,Inputs!$K$4:$AJ$4,0)),NA(),IF(SUMPRODUCT((Inputs!$A$5:$A$120=$B35)*ISNUMBER(INDEX(Inputs!$K$5:$AJ$120,0,MATCH(N$2,Inputs!$K$4:$AJ$4,0))))+SUMPRODUCT((Inputs!$C$5:$C$120=$B35)*ISNUMBER(INDEX(Inputs!$K$5:$AJ$120,0,MATCH(N$2,Inputs!$K$4:$AJ$4,0))))+SUMPRODUCT((Inputs!$E$5:$E$120=$B35)*ISNUMBER(INDEX(Inputs!$K$5:$AJ$120,0,MATCH(N$2,Inputs!$K$4:$AJ$4,0))))=0,NA(),SUMPRODUCT((Inputs!$A$5:$A$120=$B35)*Inputs!$B$5:$B$120*(((Inputs!$G$5:$G$120="moeda")+(Inputs!$G$5:$G$120="acoes"))*Inputs!$B$1+((Inputs!$G$5:$G$120&lt;&gt;"moeda")*(Inputs!$G$5:$G$120&lt;&gt;"acoes")))*INDEX(Inputs!$K$5:$AJ$120,0,MATCH(N$2,Inputs!$K$4:$AJ$4,0)))+SUMPRODUCT((Inputs!$C$5:$C$120=$B35)*Inputs!$D$5:$D$120*(((Inputs!$G$5:$G$120="moeda")+(Inputs!$G$5:$G$120="acoes"))*Inputs!$B$1+((Inputs!$G$5:$G$120&lt;&gt;"moeda")*(Inputs!$G$5:$G$120&lt;&gt;"acoes")))*INDEX(Inputs!$K$5:$AJ$120,0,MATCH(N$2,Inputs!$K$4:$AJ$4,0)))+SUMPRODUCT((Inputs!$E$5:$E$120=$B35)*Inputs!$F$5:$F$120*(((Inputs!$G$5:$G$120="moeda")+(Inputs!$G$5:$G$120="acoes"))*Inputs!$B$1+((Inputs!$G$5:$G$120&lt;&gt;"moeda")*(Inputs!$G$5:$G$120&lt;&gt;"acoes")))*INDEX(Inputs!$K$5:$AJ$120,0,MATCH(N$2,Inputs!$K$4:$AJ$4,0)))))</f>
        <v>18880.5</v>
      </c>
      <c r="O35" s="6">
        <f>IF(ISNA(MATCH(O$2,Inputs!$K$4:$AJ$4,0)),NA(),IF(SUMPRODUCT((Inputs!$A$5:$A$120=$B35)*ISNUMBER(INDEX(Inputs!$K$5:$AJ$120,0,MATCH(O$2,Inputs!$K$4:$AJ$4,0))))+SUMPRODUCT((Inputs!$C$5:$C$120=$B35)*ISNUMBER(INDEX(Inputs!$K$5:$AJ$120,0,MATCH(O$2,Inputs!$K$4:$AJ$4,0))))+SUMPRODUCT((Inputs!$E$5:$E$120=$B35)*ISNUMBER(INDEX(Inputs!$K$5:$AJ$120,0,MATCH(O$2,Inputs!$K$4:$AJ$4,0))))=0,NA(),SUMPRODUCT((Inputs!$A$5:$A$120=$B35)*Inputs!$B$5:$B$120*(((Inputs!$G$5:$G$120="moeda")+(Inputs!$G$5:$G$120="acoes"))*Inputs!$B$1+((Inputs!$G$5:$G$120&lt;&gt;"moeda")*(Inputs!$G$5:$G$120&lt;&gt;"acoes")))*INDEX(Inputs!$K$5:$AJ$120,0,MATCH(O$2,Inputs!$K$4:$AJ$4,0)))+SUMPRODUCT((Inputs!$C$5:$C$120=$B35)*Inputs!$D$5:$D$120*(((Inputs!$G$5:$G$120="moeda")+(Inputs!$G$5:$G$120="acoes"))*Inputs!$B$1+((Inputs!$G$5:$G$120&lt;&gt;"moeda")*(Inputs!$G$5:$G$120&lt;&gt;"acoes")))*INDEX(Inputs!$K$5:$AJ$120,0,MATCH(O$2,Inputs!$K$4:$AJ$4,0)))+SUMPRODUCT((Inputs!$E$5:$E$120=$B35)*Inputs!$F$5:$F$120*(((Inputs!$G$5:$G$120="moeda")+(Inputs!$G$5:$G$120="acoes"))*Inputs!$B$1+((Inputs!$G$5:$G$120&lt;&gt;"moeda")*(Inputs!$G$5:$G$120&lt;&gt;"acoes")))*INDEX(Inputs!$K$5:$AJ$120,0,MATCH(O$2,Inputs!$K$4:$AJ$4,0)))))</f>
        <v>18158.4</v>
      </c>
      <c r="P35" s="6">
        <f>IF(ISNA(MATCH(P$2,Inputs!$K$4:$AJ$4,0)),NA(),IF(SUMPRODUCT((Inputs!$A$5:$A$120=$B35)*ISNUMBER(INDEX(Inputs!$K$5:$AJ$120,0,MATCH(P$2,Inputs!$K$4:$AJ$4,0))))+SUMPRODUCT((Inputs!$C$5:$C$120=$B35)*ISNUMBER(INDEX(Inputs!$K$5:$AJ$120,0,MATCH(P$2,Inputs!$K$4:$AJ$4,0))))+SUMPRODUCT((Inputs!$E$5:$E$120=$B35)*ISNUMBER(INDEX(Inputs!$K$5:$AJ$120,0,MATCH(P$2,Inputs!$K$4:$AJ$4,0))))=0,NA(),SUMPRODUCT((Inputs!$A$5:$A$120=$B35)*Inputs!$B$5:$B$120*(((Inputs!$G$5:$G$120="moeda")+(Inputs!$G$5:$G$120="acoes"))*Inputs!$B$1+((Inputs!$G$5:$G$120&lt;&gt;"moeda")*(Inputs!$G$5:$G$120&lt;&gt;"acoes")))*INDEX(Inputs!$K$5:$AJ$120,0,MATCH(P$2,Inputs!$K$4:$AJ$4,0)))+SUMPRODUCT((Inputs!$C$5:$C$120=$B35)*Inputs!$D$5:$D$120*(((Inputs!$G$5:$G$120="moeda")+(Inputs!$G$5:$G$120="acoes"))*Inputs!$B$1+((Inputs!$G$5:$G$120&lt;&gt;"moeda")*(Inputs!$G$5:$G$120&lt;&gt;"acoes")))*INDEX(Inputs!$K$5:$AJ$120,0,MATCH(P$2,Inputs!$K$4:$AJ$4,0)))+SUMPRODUCT((Inputs!$E$5:$E$120=$B35)*Inputs!$F$5:$F$120*(((Inputs!$G$5:$G$120="moeda")+(Inputs!$G$5:$G$120="acoes"))*Inputs!$B$1+((Inputs!$G$5:$G$120&lt;&gt;"moeda")*(Inputs!$G$5:$G$120&lt;&gt;"acoes")))*INDEX(Inputs!$K$5:$AJ$120,0,MATCH(P$2,Inputs!$K$4:$AJ$4,0)))))</f>
        <v>17923.6</v>
      </c>
      <c r="Q35" s="6">
        <f>IF(ISNA(MATCH(Q$2,Inputs!$K$4:$AJ$4,0)),NA(),IF(SUMPRODUCT((Inputs!$A$5:$A$120=$B35)*ISNUMBER(INDEX(Inputs!$K$5:$AJ$120,0,MATCH(Q$2,Inputs!$K$4:$AJ$4,0))))+SUMPRODUCT((Inputs!$C$5:$C$120=$B35)*ISNUMBER(INDEX(Inputs!$K$5:$AJ$120,0,MATCH(Q$2,Inputs!$K$4:$AJ$4,0))))+SUMPRODUCT((Inputs!$E$5:$E$120=$B35)*ISNUMBER(INDEX(Inputs!$K$5:$AJ$120,0,MATCH(Q$2,Inputs!$K$4:$AJ$4,0))))=0,NA(),SUMPRODUCT((Inputs!$A$5:$A$120=$B35)*Inputs!$B$5:$B$120*(((Inputs!$G$5:$G$120="moeda")+(Inputs!$G$5:$G$120="acoes"))*Inputs!$B$1+((Inputs!$G$5:$G$120&lt;&gt;"moeda")*(Inputs!$G$5:$G$120&lt;&gt;"acoes")))*INDEX(Inputs!$K$5:$AJ$120,0,MATCH(Q$2,Inputs!$K$4:$AJ$4,0)))+SUMPRODUCT((Inputs!$C$5:$C$120=$B35)*Inputs!$D$5:$D$120*(((Inputs!$G$5:$G$120="moeda")+(Inputs!$G$5:$G$120="acoes"))*Inputs!$B$1+((Inputs!$G$5:$G$120&lt;&gt;"moeda")*(Inputs!$G$5:$G$120&lt;&gt;"acoes")))*INDEX(Inputs!$K$5:$AJ$120,0,MATCH(Q$2,Inputs!$K$4:$AJ$4,0)))+SUMPRODUCT((Inputs!$E$5:$E$120=$B35)*Inputs!$F$5:$F$120*(((Inputs!$G$5:$G$120="moeda")+(Inputs!$G$5:$G$120="acoes"))*Inputs!$B$1+((Inputs!$G$5:$G$120&lt;&gt;"moeda")*(Inputs!$G$5:$G$120&lt;&gt;"acoes")))*INDEX(Inputs!$K$5:$AJ$120,0,MATCH(Q$2,Inputs!$K$4:$AJ$4,0)))))</f>
        <v>18320.8</v>
      </c>
      <c r="R35" s="3">
        <f>Q35</f>
        <v>18320.8</v>
      </c>
      <c r="S35" s="6">
        <f>IF(ISNA(MATCH(S$2,Inputs!$K$4:$AJ$4,0)),NA(),IF(SUMPRODUCT((Inputs!$A$5:$A$120=$B35)*ISNUMBER(INDEX(Inputs!$K$5:$AJ$120,0,MATCH(S$2,Inputs!$K$4:$AJ$4,0))))+SUMPRODUCT((Inputs!$C$5:$C$120=$B35)*ISNUMBER(INDEX(Inputs!$K$5:$AJ$120,0,MATCH(S$2,Inputs!$K$4:$AJ$4,0))))+SUMPRODUCT((Inputs!$E$5:$E$120=$B35)*ISNUMBER(INDEX(Inputs!$K$5:$AJ$120,0,MATCH(S$2,Inputs!$K$4:$AJ$4,0))))=0,NA(),SUMPRODUCT((Inputs!$A$5:$A$120=$B35)*Inputs!$B$5:$B$120*(((Inputs!$G$5:$G$120="moeda")+(Inputs!$G$5:$G$120="acoes"))*Inputs!$B$1+((Inputs!$G$5:$G$120&lt;&gt;"moeda")*(Inputs!$G$5:$G$120&lt;&gt;"acoes")))*INDEX(Inputs!$K$5:$AJ$120,0,MATCH(S$2,Inputs!$K$4:$AJ$4,0)))+SUMPRODUCT((Inputs!$C$5:$C$120=$B35)*Inputs!$D$5:$D$120*(((Inputs!$G$5:$G$120="moeda")+(Inputs!$G$5:$G$120="acoes"))*Inputs!$B$1+((Inputs!$G$5:$G$120&lt;&gt;"moeda")*(Inputs!$G$5:$G$120&lt;&gt;"acoes")))*INDEX(Inputs!$K$5:$AJ$120,0,MATCH(S$2,Inputs!$K$4:$AJ$4,0)))+SUMPRODUCT((Inputs!$E$5:$E$120=$B35)*Inputs!$F$5:$F$120*(((Inputs!$G$5:$G$120="moeda")+(Inputs!$G$5:$G$120="acoes"))*Inputs!$B$1+((Inputs!$G$5:$G$120&lt;&gt;"moeda")*(Inputs!$G$5:$G$120&lt;&gt;"acoes")))*INDEX(Inputs!$K$5:$AJ$120,0,MATCH(S$2,Inputs!$K$4:$AJ$4,0)))))</f>
        <v>24559.9</v>
      </c>
      <c r="T35" s="6">
        <f>IF(ISNA(MATCH(T$2,Inputs!$K$4:$AJ$4,0)),NA(),IF(SUMPRODUCT((Inputs!$A$5:$A$120=$B35)*ISNUMBER(INDEX(Inputs!$K$5:$AJ$120,0,MATCH(T$2,Inputs!$K$4:$AJ$4,0))))+SUMPRODUCT((Inputs!$C$5:$C$120=$B35)*ISNUMBER(INDEX(Inputs!$K$5:$AJ$120,0,MATCH(T$2,Inputs!$K$4:$AJ$4,0))))+SUMPRODUCT((Inputs!$E$5:$E$120=$B35)*ISNUMBER(INDEX(Inputs!$K$5:$AJ$120,0,MATCH(T$2,Inputs!$K$4:$AJ$4,0))))=0,NA(),SUMPRODUCT((Inputs!$A$5:$A$120=$B35)*Inputs!$B$5:$B$120*(((Inputs!$G$5:$G$120="moeda")+(Inputs!$G$5:$G$120="acoes"))*Inputs!$B$1+((Inputs!$G$5:$G$120&lt;&gt;"moeda")*(Inputs!$G$5:$G$120&lt;&gt;"acoes")))*INDEX(Inputs!$K$5:$AJ$120,0,MATCH(T$2,Inputs!$K$4:$AJ$4,0)))+SUMPRODUCT((Inputs!$C$5:$C$120=$B35)*Inputs!$D$5:$D$120*(((Inputs!$G$5:$G$120="moeda")+(Inputs!$G$5:$G$120="acoes"))*Inputs!$B$1+((Inputs!$G$5:$G$120&lt;&gt;"moeda")*(Inputs!$G$5:$G$120&lt;&gt;"acoes")))*INDEX(Inputs!$K$5:$AJ$120,0,MATCH(T$2,Inputs!$K$4:$AJ$4,0)))+SUMPRODUCT((Inputs!$E$5:$E$120=$B35)*Inputs!$F$5:$F$120*(((Inputs!$G$5:$G$120="moeda")+(Inputs!$G$5:$G$120="acoes"))*Inputs!$B$1+((Inputs!$G$5:$G$120&lt;&gt;"moeda")*(Inputs!$G$5:$G$120&lt;&gt;"acoes")))*INDEX(Inputs!$K$5:$AJ$120,0,MATCH(T$2,Inputs!$K$4:$AJ$4,0)))))</f>
        <v>23730.4</v>
      </c>
      <c r="U35" s="6">
        <f>IF(ISNA(MATCH(U$2,Inputs!$K$4:$AJ$4,0)),NA(),IF(SUMPRODUCT((Inputs!$A$5:$A$120=$B35)*ISNUMBER(INDEX(Inputs!$K$5:$AJ$120,0,MATCH(U$2,Inputs!$K$4:$AJ$4,0))))+SUMPRODUCT((Inputs!$C$5:$C$120=$B35)*ISNUMBER(INDEX(Inputs!$K$5:$AJ$120,0,MATCH(U$2,Inputs!$K$4:$AJ$4,0))))+SUMPRODUCT((Inputs!$E$5:$E$120=$B35)*ISNUMBER(INDEX(Inputs!$K$5:$AJ$120,0,MATCH(U$2,Inputs!$K$4:$AJ$4,0))))=0,NA(),SUMPRODUCT((Inputs!$A$5:$A$120=$B35)*Inputs!$B$5:$B$120*(((Inputs!$G$5:$G$120="moeda")+(Inputs!$G$5:$G$120="acoes"))*Inputs!$B$1+((Inputs!$G$5:$G$120&lt;&gt;"moeda")*(Inputs!$G$5:$G$120&lt;&gt;"acoes")))*INDEX(Inputs!$K$5:$AJ$120,0,MATCH(U$2,Inputs!$K$4:$AJ$4,0)))+SUMPRODUCT((Inputs!$C$5:$C$120=$B35)*Inputs!$D$5:$D$120*(((Inputs!$G$5:$G$120="moeda")+(Inputs!$G$5:$G$120="acoes"))*Inputs!$B$1+((Inputs!$G$5:$G$120&lt;&gt;"moeda")*(Inputs!$G$5:$G$120&lt;&gt;"acoes")))*INDEX(Inputs!$K$5:$AJ$120,0,MATCH(U$2,Inputs!$K$4:$AJ$4,0)))+SUMPRODUCT((Inputs!$E$5:$E$120=$B35)*Inputs!$F$5:$F$120*(((Inputs!$G$5:$G$120="moeda")+(Inputs!$G$5:$G$120="acoes"))*Inputs!$B$1+((Inputs!$G$5:$G$120&lt;&gt;"moeda")*(Inputs!$G$5:$G$120&lt;&gt;"acoes")))*INDEX(Inputs!$K$5:$AJ$120,0,MATCH(U$2,Inputs!$K$4:$AJ$4,0)))))</f>
        <v>29045.4</v>
      </c>
      <c r="V35" s="6">
        <f>IF(ISNA(MATCH(V$2,Inputs!$K$4:$AJ$4,0)),NA(),IF(SUMPRODUCT((Inputs!$A$5:$A$120=$B35)*ISNUMBER(INDEX(Inputs!$K$5:$AJ$120,0,MATCH(V$2,Inputs!$K$4:$AJ$4,0))))+SUMPRODUCT((Inputs!$C$5:$C$120=$B35)*ISNUMBER(INDEX(Inputs!$K$5:$AJ$120,0,MATCH(V$2,Inputs!$K$4:$AJ$4,0))))+SUMPRODUCT((Inputs!$E$5:$E$120=$B35)*ISNUMBER(INDEX(Inputs!$K$5:$AJ$120,0,MATCH(V$2,Inputs!$K$4:$AJ$4,0))))=0,NA(),SUMPRODUCT((Inputs!$A$5:$A$120=$B35)*Inputs!$B$5:$B$120*(((Inputs!$G$5:$G$120="moeda")+(Inputs!$G$5:$G$120="acoes"))*Inputs!$B$1+((Inputs!$G$5:$G$120&lt;&gt;"moeda")*(Inputs!$G$5:$G$120&lt;&gt;"acoes")))*INDEX(Inputs!$K$5:$AJ$120,0,MATCH(V$2,Inputs!$K$4:$AJ$4,0)))+SUMPRODUCT((Inputs!$C$5:$C$120=$B35)*Inputs!$D$5:$D$120*(((Inputs!$G$5:$G$120="moeda")+(Inputs!$G$5:$G$120="acoes"))*Inputs!$B$1+((Inputs!$G$5:$G$120&lt;&gt;"moeda")*(Inputs!$G$5:$G$120&lt;&gt;"acoes")))*INDEX(Inputs!$K$5:$AJ$120,0,MATCH(V$2,Inputs!$K$4:$AJ$4,0)))+SUMPRODUCT((Inputs!$E$5:$E$120=$B35)*Inputs!$F$5:$F$120*(((Inputs!$G$5:$G$120="moeda")+(Inputs!$G$5:$G$120="acoes"))*Inputs!$B$1+((Inputs!$G$5:$G$120&lt;&gt;"moeda")*(Inputs!$G$5:$G$120&lt;&gt;"acoes")))*INDEX(Inputs!$K$5:$AJ$120,0,MATCH(V$2,Inputs!$K$4:$AJ$4,0)))))</f>
        <v>28527.1</v>
      </c>
      <c r="W35" s="3">
        <f>V35</f>
        <v>28527.1</v>
      </c>
      <c r="X35" s="6">
        <f>IF(ISNA(MATCH(X$2,Inputs!$K$4:$AJ$4,0)),NA(),IF(SUMPRODUCT((Inputs!$A$5:$A$120=$B35)*ISNUMBER(INDEX(Inputs!$K$5:$AJ$120,0,MATCH(X$2,Inputs!$K$4:$AJ$4,0))))+SUMPRODUCT((Inputs!$C$5:$C$120=$B35)*ISNUMBER(INDEX(Inputs!$K$5:$AJ$120,0,MATCH(X$2,Inputs!$K$4:$AJ$4,0))))+SUMPRODUCT((Inputs!$E$5:$E$120=$B35)*ISNUMBER(INDEX(Inputs!$K$5:$AJ$120,0,MATCH(X$2,Inputs!$K$4:$AJ$4,0))))=0,NA(),SUMPRODUCT((Inputs!$A$5:$A$120=$B35)*Inputs!$B$5:$B$120*(((Inputs!$G$5:$G$120="moeda")+(Inputs!$G$5:$G$120="acoes"))*Inputs!$B$1+((Inputs!$G$5:$G$120&lt;&gt;"moeda")*(Inputs!$G$5:$G$120&lt;&gt;"acoes")))*INDEX(Inputs!$K$5:$AJ$120,0,MATCH(X$2,Inputs!$K$4:$AJ$4,0)))+SUMPRODUCT((Inputs!$C$5:$C$120=$B35)*Inputs!$D$5:$D$120*(((Inputs!$G$5:$G$120="moeda")+(Inputs!$G$5:$G$120="acoes"))*Inputs!$B$1+((Inputs!$G$5:$G$120&lt;&gt;"moeda")*(Inputs!$G$5:$G$120&lt;&gt;"acoes")))*INDEX(Inputs!$K$5:$AJ$120,0,MATCH(X$2,Inputs!$K$4:$AJ$4,0)))+SUMPRODUCT((Inputs!$E$5:$E$120=$B35)*Inputs!$F$5:$F$120*(((Inputs!$G$5:$G$120="moeda")+(Inputs!$G$5:$G$120="acoes"))*Inputs!$B$1+((Inputs!$G$5:$G$120&lt;&gt;"moeda")*(Inputs!$G$5:$G$120&lt;&gt;"acoes")))*INDEX(Inputs!$K$5:$AJ$120,0,MATCH(X$2,Inputs!$K$4:$AJ$4,0)))))</f>
        <v>34499.5</v>
      </c>
      <c r="Y35" s="6">
        <f>IF(ISNA(MATCH(Y$2,Inputs!$K$4:$AJ$4,0)),NA(),IF(SUMPRODUCT((Inputs!$A$5:$A$120=$B35)*ISNUMBER(INDEX(Inputs!$K$5:$AJ$120,0,MATCH(Y$2,Inputs!$K$4:$AJ$4,0))))+SUMPRODUCT((Inputs!$C$5:$C$120=$B35)*ISNUMBER(INDEX(Inputs!$K$5:$AJ$120,0,MATCH(Y$2,Inputs!$K$4:$AJ$4,0))))+SUMPRODUCT((Inputs!$E$5:$E$120=$B35)*ISNUMBER(INDEX(Inputs!$K$5:$AJ$120,0,MATCH(Y$2,Inputs!$K$4:$AJ$4,0))))=0,NA(),SUMPRODUCT((Inputs!$A$5:$A$120=$B35)*Inputs!$B$5:$B$120*(((Inputs!$G$5:$G$120="moeda")+(Inputs!$G$5:$G$120="acoes"))*Inputs!$B$1+((Inputs!$G$5:$G$120&lt;&gt;"moeda")*(Inputs!$G$5:$G$120&lt;&gt;"acoes")))*INDEX(Inputs!$K$5:$AJ$120,0,MATCH(Y$2,Inputs!$K$4:$AJ$4,0)))+SUMPRODUCT((Inputs!$C$5:$C$120=$B35)*Inputs!$D$5:$D$120*(((Inputs!$G$5:$G$120="moeda")+(Inputs!$G$5:$G$120="acoes"))*Inputs!$B$1+((Inputs!$G$5:$G$120&lt;&gt;"moeda")*(Inputs!$G$5:$G$120&lt;&gt;"acoes")))*INDEX(Inputs!$K$5:$AJ$120,0,MATCH(Y$2,Inputs!$K$4:$AJ$4,0)))+SUMPRODUCT((Inputs!$E$5:$E$120=$B35)*Inputs!$F$5:$F$120*(((Inputs!$G$5:$G$120="moeda")+(Inputs!$G$5:$G$120="acoes"))*Inputs!$B$1+((Inputs!$G$5:$G$120&lt;&gt;"moeda")*(Inputs!$G$5:$G$120&lt;&gt;"acoes")))*INDEX(Inputs!$K$5:$AJ$120,0,MATCH(Y$2,Inputs!$K$4:$AJ$4,0)))))</f>
        <v>34180.1</v>
      </c>
      <c r="Z35" s="6">
        <f>IF(ISNA(MATCH(Z$2,Inputs!$K$4:$AJ$4,0)),NA(),IF(SUMPRODUCT((Inputs!$A$5:$A$120=$B35)*ISNUMBER(INDEX(Inputs!$K$5:$AJ$120,0,MATCH(Z$2,Inputs!$K$4:$AJ$4,0))))+SUMPRODUCT((Inputs!$C$5:$C$120=$B35)*ISNUMBER(INDEX(Inputs!$K$5:$AJ$120,0,MATCH(Z$2,Inputs!$K$4:$AJ$4,0))))+SUMPRODUCT((Inputs!$E$5:$E$120=$B35)*ISNUMBER(INDEX(Inputs!$K$5:$AJ$120,0,MATCH(Z$2,Inputs!$K$4:$AJ$4,0))))=0,NA(),SUMPRODUCT((Inputs!$A$5:$A$120=$B35)*Inputs!$B$5:$B$120*(((Inputs!$G$5:$G$120="moeda")+(Inputs!$G$5:$G$120="acoes"))*Inputs!$B$1+((Inputs!$G$5:$G$120&lt;&gt;"moeda")*(Inputs!$G$5:$G$120&lt;&gt;"acoes")))*INDEX(Inputs!$K$5:$AJ$120,0,MATCH(Z$2,Inputs!$K$4:$AJ$4,0)))+SUMPRODUCT((Inputs!$C$5:$C$120=$B35)*Inputs!$D$5:$D$120*(((Inputs!$G$5:$G$120="moeda")+(Inputs!$G$5:$G$120="acoes"))*Inputs!$B$1+((Inputs!$G$5:$G$120&lt;&gt;"moeda")*(Inputs!$G$5:$G$120&lt;&gt;"acoes")))*INDEX(Inputs!$K$5:$AJ$120,0,MATCH(Z$2,Inputs!$K$4:$AJ$4,0)))+SUMPRODUCT((Inputs!$E$5:$E$120=$B35)*Inputs!$F$5:$F$120*(((Inputs!$G$5:$G$120="moeda")+(Inputs!$G$5:$G$120="acoes"))*Inputs!$B$1+((Inputs!$G$5:$G$120&lt;&gt;"moeda")*(Inputs!$G$5:$G$120&lt;&gt;"acoes")))*INDEX(Inputs!$K$5:$AJ$120,0,MATCH(Z$2,Inputs!$K$4:$AJ$4,0)))))</f>
        <v>40873.6</v>
      </c>
      <c r="AA35" s="6">
        <f>IF(ISNA(MATCH(AA$2,Inputs!$K$4:$AJ$4,0)),NA(),IF(SUMPRODUCT((Inputs!$A$5:$A$120=$B35)*ISNUMBER(INDEX(Inputs!$K$5:$AJ$120,0,MATCH(AA$2,Inputs!$K$4:$AJ$4,0))))+SUMPRODUCT((Inputs!$C$5:$C$120=$B35)*ISNUMBER(INDEX(Inputs!$K$5:$AJ$120,0,MATCH(AA$2,Inputs!$K$4:$AJ$4,0))))+SUMPRODUCT((Inputs!$E$5:$E$120=$B35)*ISNUMBER(INDEX(Inputs!$K$5:$AJ$120,0,MATCH(AA$2,Inputs!$K$4:$AJ$4,0))))=0,NA(),SUMPRODUCT((Inputs!$A$5:$A$120=$B35)*Inputs!$B$5:$B$120*(((Inputs!$G$5:$G$120="moeda")+(Inputs!$G$5:$G$120="acoes"))*Inputs!$B$1+((Inputs!$G$5:$G$120&lt;&gt;"moeda")*(Inputs!$G$5:$G$120&lt;&gt;"acoes")))*INDEX(Inputs!$K$5:$AJ$120,0,MATCH(AA$2,Inputs!$K$4:$AJ$4,0)))+SUMPRODUCT((Inputs!$C$5:$C$120=$B35)*Inputs!$D$5:$D$120*(((Inputs!$G$5:$G$120="moeda")+(Inputs!$G$5:$G$120="acoes"))*Inputs!$B$1+((Inputs!$G$5:$G$120&lt;&gt;"moeda")*(Inputs!$G$5:$G$120&lt;&gt;"acoes")))*INDEX(Inputs!$K$5:$AJ$120,0,MATCH(AA$2,Inputs!$K$4:$AJ$4,0)))+SUMPRODUCT((Inputs!$E$5:$E$120=$B35)*Inputs!$F$5:$F$120*(((Inputs!$G$5:$G$120="moeda")+(Inputs!$G$5:$G$120="acoes"))*Inputs!$B$1+((Inputs!$G$5:$G$120&lt;&gt;"moeda")*(Inputs!$G$5:$G$120&lt;&gt;"acoes")))*INDEX(Inputs!$K$5:$AJ$120,0,MATCH(AA$2,Inputs!$K$4:$AJ$4,0)))))</f>
        <v>40868</v>
      </c>
      <c r="AB35" s="3">
        <f>AA35</f>
        <v>40868</v>
      </c>
      <c r="AC35" s="6">
        <f>IF(ISNA(MATCH(AC$2,Inputs!$K$4:$AJ$4,0)),NA(),IF(SUMPRODUCT((Inputs!$A$5:$A$120=$B35)*ISNUMBER(INDEX(Inputs!$K$5:$AJ$120,0,MATCH(AC$2,Inputs!$K$4:$AJ$4,0))))+SUMPRODUCT((Inputs!$C$5:$C$120=$B35)*ISNUMBER(INDEX(Inputs!$K$5:$AJ$120,0,MATCH(AC$2,Inputs!$K$4:$AJ$4,0))))+SUMPRODUCT((Inputs!$E$5:$E$120=$B35)*ISNUMBER(INDEX(Inputs!$K$5:$AJ$120,0,MATCH(AC$2,Inputs!$K$4:$AJ$4,0))))=0,NA(),SUMPRODUCT((Inputs!$A$5:$A$120=$B35)*Inputs!$B$5:$B$120*(((Inputs!$G$5:$G$120="moeda")+(Inputs!$G$5:$G$120="acoes"))*Inputs!$B$1+((Inputs!$G$5:$G$120&lt;&gt;"moeda")*(Inputs!$G$5:$G$120&lt;&gt;"acoes")))*INDEX(Inputs!$K$5:$AJ$120,0,MATCH(AC$2,Inputs!$K$4:$AJ$4,0)))+SUMPRODUCT((Inputs!$C$5:$C$120=$B35)*Inputs!$D$5:$D$120*(((Inputs!$G$5:$G$120="moeda")+(Inputs!$G$5:$G$120="acoes"))*Inputs!$B$1+((Inputs!$G$5:$G$120&lt;&gt;"moeda")*(Inputs!$G$5:$G$120&lt;&gt;"acoes")))*INDEX(Inputs!$K$5:$AJ$120,0,MATCH(AC$2,Inputs!$K$4:$AJ$4,0)))+SUMPRODUCT((Inputs!$E$5:$E$120=$B35)*Inputs!$F$5:$F$120*(((Inputs!$G$5:$G$120="moeda")+(Inputs!$G$5:$G$120="acoes"))*Inputs!$B$1+((Inputs!$G$5:$G$120&lt;&gt;"moeda")*(Inputs!$G$5:$G$120&lt;&gt;"acoes")))*INDEX(Inputs!$K$5:$AJ$120,0,MATCH(AC$2,Inputs!$K$4:$AJ$4,0)))))</f>
        <v>39370</v>
      </c>
      <c r="AD35" s="6">
        <f>IF(ISNA(MATCH(AD$2,Inputs!$K$4:$AJ$4,0)),NA(),IF(SUMPRODUCT((Inputs!$A$5:$A$120=$B35)*ISNUMBER(INDEX(Inputs!$K$5:$AJ$120,0,MATCH(AD$2,Inputs!$K$4:$AJ$4,0))))+SUMPRODUCT((Inputs!$C$5:$C$120=$B35)*ISNUMBER(INDEX(Inputs!$K$5:$AJ$120,0,MATCH(AD$2,Inputs!$K$4:$AJ$4,0))))+SUMPRODUCT((Inputs!$E$5:$E$120=$B35)*ISNUMBER(INDEX(Inputs!$K$5:$AJ$120,0,MATCH(AD$2,Inputs!$K$4:$AJ$4,0))))=0,NA(),SUMPRODUCT((Inputs!$A$5:$A$120=$B35)*Inputs!$B$5:$B$120*(((Inputs!$G$5:$G$120="moeda")+(Inputs!$G$5:$G$120="acoes"))*Inputs!$B$1+((Inputs!$G$5:$G$120&lt;&gt;"moeda")*(Inputs!$G$5:$G$120&lt;&gt;"acoes")))*INDEX(Inputs!$K$5:$AJ$120,0,MATCH(AD$2,Inputs!$K$4:$AJ$4,0)))+SUMPRODUCT((Inputs!$C$5:$C$120=$B35)*Inputs!$D$5:$D$120*(((Inputs!$G$5:$G$120="moeda")+(Inputs!$G$5:$G$120="acoes"))*Inputs!$B$1+((Inputs!$G$5:$G$120&lt;&gt;"moeda")*(Inputs!$G$5:$G$120&lt;&gt;"acoes")))*INDEX(Inputs!$K$5:$AJ$120,0,MATCH(AD$2,Inputs!$K$4:$AJ$4,0)))+SUMPRODUCT((Inputs!$E$5:$E$120=$B35)*Inputs!$F$5:$F$120*(((Inputs!$G$5:$G$120="moeda")+(Inputs!$G$5:$G$120="acoes"))*Inputs!$B$1+((Inputs!$G$5:$G$120&lt;&gt;"moeda")*(Inputs!$G$5:$G$120&lt;&gt;"acoes")))*INDEX(Inputs!$K$5:$AJ$120,0,MATCH(AD$2,Inputs!$K$4:$AJ$4,0)))))</f>
        <v>47858</v>
      </c>
      <c r="AE35" s="6" t="e">
        <f>IF(ISNA(MATCH(AE$2,Inputs!$K$4:$AJ$4,0)),NA(),IF(SUMPRODUCT((Inputs!$A$5:$A$120=$B35)*ISNUMBER(INDEX(Inputs!$K$5:$AJ$120,0,MATCH(AE$2,Inputs!$K$4:$AJ$4,0))))+SUMPRODUCT((Inputs!$C$5:$C$120=$B35)*ISNUMBER(INDEX(Inputs!$K$5:$AJ$120,0,MATCH(AE$2,Inputs!$K$4:$AJ$4,0))))+SUMPRODUCT((Inputs!$E$5:$E$120=$B35)*ISNUMBER(INDEX(Inputs!$K$5:$AJ$120,0,MATCH(AE$2,Inputs!$K$4:$AJ$4,0))))=0,NA(),SUMPRODUCT((Inputs!$A$5:$A$120=$B35)*Inputs!$B$5:$B$120*(((Inputs!$G$5:$G$120="moeda")+(Inputs!$G$5:$G$120="acoes"))*Inputs!$B$1+((Inputs!$G$5:$G$120&lt;&gt;"moeda")*(Inputs!$G$5:$G$120&lt;&gt;"acoes")))*INDEX(Inputs!$K$5:$AJ$120,0,MATCH(AE$2,Inputs!$K$4:$AJ$4,0)))+SUMPRODUCT((Inputs!$C$5:$C$120=$B35)*Inputs!$D$5:$D$120*(((Inputs!$G$5:$G$120="moeda")+(Inputs!$G$5:$G$120="acoes"))*Inputs!$B$1+((Inputs!$G$5:$G$120&lt;&gt;"moeda")*(Inputs!$G$5:$G$120&lt;&gt;"acoes")))*INDEX(Inputs!$K$5:$AJ$120,0,MATCH(AE$2,Inputs!$K$4:$AJ$4,0)))+SUMPRODUCT((Inputs!$E$5:$E$120=$B35)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5" s="6" t="e">
        <f>IF(ISNA(MATCH(AF$2,Inputs!$K$4:$AJ$4,0)),NA(),IF(SUMPRODUCT((Inputs!$A$5:$A$120=$B35)*ISNUMBER(INDEX(Inputs!$K$5:$AJ$120,0,MATCH(AF$2,Inputs!$K$4:$AJ$4,0))))+SUMPRODUCT((Inputs!$C$5:$C$120=$B35)*ISNUMBER(INDEX(Inputs!$K$5:$AJ$120,0,MATCH(AF$2,Inputs!$K$4:$AJ$4,0))))+SUMPRODUCT((Inputs!$E$5:$E$120=$B35)*ISNUMBER(INDEX(Inputs!$K$5:$AJ$120,0,MATCH(AF$2,Inputs!$K$4:$AJ$4,0))))=0,NA(),SUMPRODUCT((Inputs!$A$5:$A$120=$B35)*Inputs!$B$5:$B$120*(((Inputs!$G$5:$G$120="moeda")+(Inputs!$G$5:$G$120="acoes"))*Inputs!$B$1+((Inputs!$G$5:$G$120&lt;&gt;"moeda")*(Inputs!$G$5:$G$120&lt;&gt;"acoes")))*INDEX(Inputs!$K$5:$AJ$120,0,MATCH(AF$2,Inputs!$K$4:$AJ$4,0)))+SUMPRODUCT((Inputs!$C$5:$C$120=$B35)*Inputs!$D$5:$D$120*(((Inputs!$G$5:$G$120="moeda")+(Inputs!$G$5:$G$120="acoes"))*Inputs!$B$1+((Inputs!$G$5:$G$120&lt;&gt;"moeda")*(Inputs!$G$5:$G$120&lt;&gt;"acoes")))*INDEX(Inputs!$K$5:$AJ$120,0,MATCH(AF$2,Inputs!$K$4:$AJ$4,0)))+SUMPRODUCT((Inputs!$E$5:$E$120=$B35)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5" s="3" t="e">
        <f>AF35</f>
        <v>#N/A</v>
      </c>
      <c r="AH35" s="6">
        <f>IF(ISNA(MATCH(AH$2,Inputs!$K$4:$AJ$4,0)),NA(),IF(SUMPRODUCT((Inputs!$A$5:$A$120=$B35)*ISNUMBER(INDEX(Inputs!$K$5:$AJ$120,0,MATCH(AH$2,Inputs!$K$4:$AJ$4,0))))+SUMPRODUCT((Inputs!$C$5:$C$120=$B35)*ISNUMBER(INDEX(Inputs!$K$5:$AJ$120,0,MATCH(AH$2,Inputs!$K$4:$AJ$4,0))))+SUMPRODUCT((Inputs!$E$5:$E$120=$B35)*ISNUMBER(INDEX(Inputs!$K$5:$AJ$120,0,MATCH(AH$2,Inputs!$K$4:$AJ$4,0))))=0,NA(),SUMPRODUCT((Inputs!$A$5:$A$120=$B35)*Inputs!$B$5:$B$120*(((Inputs!$G$5:$G$120="moeda")+(Inputs!$G$5:$G$120="acoes"))*Inputs!$B$1+((Inputs!$G$5:$G$120&lt;&gt;"moeda")*(Inputs!$G$5:$G$120&lt;&gt;"acoes")))*INDEX(Inputs!$K$5:$AJ$120,0,MATCH(AH$2,Inputs!$K$4:$AJ$4,0)))+SUMPRODUCT((Inputs!$C$5:$C$120=$B35)*Inputs!$D$5:$D$120*(((Inputs!$G$5:$G$120="moeda")+(Inputs!$G$5:$G$120="acoes"))*Inputs!$B$1+((Inputs!$G$5:$G$120&lt;&gt;"moeda")*(Inputs!$G$5:$G$120&lt;&gt;"acoes")))*INDEX(Inputs!$K$5:$AJ$120,0,MATCH(AH$2,Inputs!$K$4:$AJ$4,0)))+SUMPRODUCT((Inputs!$E$5:$E$120=$B35)*Inputs!$F$5:$F$120*(((Inputs!$G$5:$G$120="moeda")+(Inputs!$G$5:$G$120="acoes"))*Inputs!$B$1+((Inputs!$G$5:$G$120&lt;&gt;"moeda")*(Inputs!$G$5:$G$120&lt;&gt;"acoes")))*INDEX(Inputs!$K$5:$AJ$120,0,MATCH(AH$2,Inputs!$K$4:$AJ$4,0)))))</f>
        <v>13982.3</v>
      </c>
      <c r="AI35" s="6">
        <f>IF(ISNA(MATCH(AI$2,Inputs!$K$4:$AJ$4,0)),NA(),IF(SUMPRODUCT((Inputs!$A$5:$A$120=$B35)*ISNUMBER(INDEX(Inputs!$K$5:$AJ$120,0,MATCH(AI$2,Inputs!$K$4:$AJ$4,0))))+SUMPRODUCT((Inputs!$C$5:$C$120=$B35)*ISNUMBER(INDEX(Inputs!$K$5:$AJ$120,0,MATCH(AI$2,Inputs!$K$4:$AJ$4,0))))+SUMPRODUCT((Inputs!$E$5:$E$120=$B35)*ISNUMBER(INDEX(Inputs!$K$5:$AJ$120,0,MATCH(AI$2,Inputs!$K$4:$AJ$4,0))))=0,NA(),SUMPRODUCT((Inputs!$A$5:$A$120=$B35)*Inputs!$B$5:$B$120*(((Inputs!$G$5:$G$120="moeda")+(Inputs!$G$5:$G$120="acoes"))*Inputs!$B$1+((Inputs!$G$5:$G$120&lt;&gt;"moeda")*(Inputs!$G$5:$G$120&lt;&gt;"acoes")))*INDEX(Inputs!$K$5:$AJ$120,0,MATCH(AI$2,Inputs!$K$4:$AJ$4,0)))+SUMPRODUCT((Inputs!$C$5:$C$120=$B35)*Inputs!$D$5:$D$120*(((Inputs!$G$5:$G$120="moeda")+(Inputs!$G$5:$G$120="acoes"))*Inputs!$B$1+((Inputs!$G$5:$G$120&lt;&gt;"moeda")*(Inputs!$G$5:$G$120&lt;&gt;"acoes")))*INDEX(Inputs!$K$5:$AJ$120,0,MATCH(AI$2,Inputs!$K$4:$AJ$4,0)))+SUMPRODUCT((Inputs!$E$5:$E$120=$B35)*Inputs!$F$5:$F$120*(((Inputs!$G$5:$G$120="moeda")+(Inputs!$G$5:$G$120="acoes"))*Inputs!$B$1+((Inputs!$G$5:$G$120&lt;&gt;"moeda")*(Inputs!$G$5:$G$120&lt;&gt;"acoes")))*INDEX(Inputs!$K$5:$AJ$120,0,MATCH(AI$2,Inputs!$K$4:$AJ$4,0)))))</f>
        <v>15064.4</v>
      </c>
      <c r="AJ35" s="6">
        <f>IF(ISNA(MATCH(AJ$2,Inputs!$K$4:$AJ$4,0)),NA(),IF(SUMPRODUCT((Inputs!$A$5:$A$120=$B35)*ISNUMBER(INDEX(Inputs!$K$5:$AJ$120,0,MATCH(AJ$2,Inputs!$K$4:$AJ$4,0))))+SUMPRODUCT((Inputs!$C$5:$C$120=$B35)*ISNUMBER(INDEX(Inputs!$K$5:$AJ$120,0,MATCH(AJ$2,Inputs!$K$4:$AJ$4,0))))+SUMPRODUCT((Inputs!$E$5:$E$120=$B35)*ISNUMBER(INDEX(Inputs!$K$5:$AJ$120,0,MATCH(AJ$2,Inputs!$K$4:$AJ$4,0))))=0,NA(),SUMPRODUCT((Inputs!$A$5:$A$120=$B35)*Inputs!$B$5:$B$120*(((Inputs!$G$5:$G$120="moeda")+(Inputs!$G$5:$G$120="acoes"))*Inputs!$B$1+((Inputs!$G$5:$G$120&lt;&gt;"moeda")*(Inputs!$G$5:$G$120&lt;&gt;"acoes")))*INDEX(Inputs!$K$5:$AJ$120,0,MATCH(AJ$2,Inputs!$K$4:$AJ$4,0)))+SUMPRODUCT((Inputs!$C$5:$C$120=$B35)*Inputs!$D$5:$D$120*(((Inputs!$G$5:$G$120="moeda")+(Inputs!$G$5:$G$120="acoes"))*Inputs!$B$1+((Inputs!$G$5:$G$120&lt;&gt;"moeda")*(Inputs!$G$5:$G$120&lt;&gt;"acoes")))*INDEX(Inputs!$K$5:$AJ$120,0,MATCH(AJ$2,Inputs!$K$4:$AJ$4,0)))+SUMPRODUCT((Inputs!$E$5:$E$120=$B35)*Inputs!$F$5:$F$120*(((Inputs!$G$5:$G$120="moeda")+(Inputs!$G$5:$G$120="acoes"))*Inputs!$B$1+((Inputs!$G$5:$G$120&lt;&gt;"moeda")*(Inputs!$G$5:$G$120&lt;&gt;"acoes")))*INDEX(Inputs!$K$5:$AJ$120,0,MATCH(AJ$2,Inputs!$K$4:$AJ$4,0)))))</f>
        <v>16334.6</v>
      </c>
      <c r="AK35" s="6">
        <f>IF(ISNA(MATCH(AK$2,Inputs!$K$4:$AJ$4,0)),NA(),IF(SUMPRODUCT((Inputs!$A$5:$A$120=$B35)*ISNUMBER(INDEX(Inputs!$K$5:$AJ$120,0,MATCH(AK$2,Inputs!$K$4:$AJ$4,0))))+SUMPRODUCT((Inputs!$C$5:$C$120=$B35)*ISNUMBER(INDEX(Inputs!$K$5:$AJ$120,0,MATCH(AK$2,Inputs!$K$4:$AJ$4,0))))+SUMPRODUCT((Inputs!$E$5:$E$120=$B35)*ISNUMBER(INDEX(Inputs!$K$5:$AJ$120,0,MATCH(AK$2,Inputs!$K$4:$AJ$4,0))))=0,NA(),SUMPRODUCT((Inputs!$A$5:$A$120=$B35)*Inputs!$B$5:$B$120*(((Inputs!$G$5:$G$120="moeda")+(Inputs!$G$5:$G$120="acoes"))*Inputs!$B$1+((Inputs!$G$5:$G$120&lt;&gt;"moeda")*(Inputs!$G$5:$G$120&lt;&gt;"acoes")))*INDEX(Inputs!$K$5:$AJ$120,0,MATCH(AK$2,Inputs!$K$4:$AJ$4,0)))+SUMPRODUCT((Inputs!$C$5:$C$120=$B35)*Inputs!$D$5:$D$120*(((Inputs!$G$5:$G$120="moeda")+(Inputs!$G$5:$G$120="acoes"))*Inputs!$B$1+((Inputs!$G$5:$G$120&lt;&gt;"moeda")*(Inputs!$G$5:$G$120&lt;&gt;"acoes")))*INDEX(Inputs!$K$5:$AJ$120,0,MATCH(AK$2,Inputs!$K$4:$AJ$4,0)))+SUMPRODUCT((Inputs!$E$5:$E$120=$B35)*Inputs!$F$5:$F$120*(((Inputs!$G$5:$G$120="moeda")+(Inputs!$G$5:$G$120="acoes"))*Inputs!$B$1+((Inputs!$G$5:$G$120&lt;&gt;"moeda")*(Inputs!$G$5:$G$120&lt;&gt;"acoes")))*INDEX(Inputs!$K$5:$AJ$120,0,MATCH(AK$2,Inputs!$K$4:$AJ$4,0)))))</f>
        <v>16586.6</v>
      </c>
      <c r="AL35" s="3">
        <f>AK35</f>
        <v>16586.6</v>
      </c>
    </row>
    <row r="36">
      <c r="B36" s="46" t="n">
        <v>31</v>
      </c>
      <c r="C36" s="26" t="inlineStr">
        <is>
          <t>Long term operating leases</t>
        </is>
      </c>
      <c r="D36" s="6">
        <f>IF(ISNA(MATCH(D$2,Inputs!$K$4:$AJ$4,0)),NA(),IF(SUMPRODUCT((Inputs!$A$5:$A$120=$B36)*ISNUMBER(INDEX(Inputs!$K$5:$AJ$120,0,MATCH(D$2,Inputs!$K$4:$AJ$4,0))))+SUMPRODUCT((Inputs!$C$5:$C$120=$B36)*ISNUMBER(INDEX(Inputs!$K$5:$AJ$120,0,MATCH(D$2,Inputs!$K$4:$AJ$4,0))))+SUMPRODUCT((Inputs!$E$5:$E$120=$B36)*ISNUMBER(INDEX(Inputs!$K$5:$AJ$120,0,MATCH(D$2,Inputs!$K$4:$AJ$4,0))))=0,NA(),SUMPRODUCT((Inputs!$A$5:$A$120=$B36)*Inputs!$B$5:$B$120*(((Inputs!$G$5:$G$120="moeda")+(Inputs!$G$5:$G$120="acoes"))*Inputs!$B$1+((Inputs!$G$5:$G$120&lt;&gt;"moeda")*(Inputs!$G$5:$G$120&lt;&gt;"acoes")))*INDEX(Inputs!$K$5:$AJ$120,0,MATCH(D$2,Inputs!$K$4:$AJ$4,0)))+SUMPRODUCT((Inputs!$C$5:$C$120=$B36)*Inputs!$D$5:$D$120*(((Inputs!$G$5:$G$120="moeda")+(Inputs!$G$5:$G$120="acoes"))*Inputs!$B$1+((Inputs!$G$5:$G$120&lt;&gt;"moeda")*(Inputs!$G$5:$G$120&lt;&gt;"acoes")))*INDEX(Inputs!$K$5:$AJ$120,0,MATCH(D$2,Inputs!$K$4:$AJ$4,0)))+SUMPRODUCT((Inputs!$E$5:$E$120=$B36)*Inputs!$F$5:$F$120*(((Inputs!$G$5:$G$120="moeda")+(Inputs!$G$5:$G$120="acoes"))*Inputs!$B$1+((Inputs!$G$5:$G$120&lt;&gt;"moeda")*(Inputs!$G$5:$G$120&lt;&gt;"acoes")))*INDEX(Inputs!$K$5:$AJ$120,0,MATCH(D$2,Inputs!$K$4:$AJ$4,0)))))</f>
        <v>0</v>
      </c>
      <c r="E36" s="6">
        <f>IF(ISNA(MATCH(E$2,Inputs!$K$4:$AJ$4,0)),NA(),IF(SUMPRODUCT((Inputs!$A$5:$A$120=$B36)*ISNUMBER(INDEX(Inputs!$K$5:$AJ$120,0,MATCH(E$2,Inputs!$K$4:$AJ$4,0))))+SUMPRODUCT((Inputs!$C$5:$C$120=$B36)*ISNUMBER(INDEX(Inputs!$K$5:$AJ$120,0,MATCH(E$2,Inputs!$K$4:$AJ$4,0))))+SUMPRODUCT((Inputs!$E$5:$E$120=$B36)*ISNUMBER(INDEX(Inputs!$K$5:$AJ$120,0,MATCH(E$2,Inputs!$K$4:$AJ$4,0))))=0,NA(),SUMPRODUCT((Inputs!$A$5:$A$120=$B36)*Inputs!$B$5:$B$120*(((Inputs!$G$5:$G$120="moeda")+(Inputs!$G$5:$G$120="acoes"))*Inputs!$B$1+((Inputs!$G$5:$G$120&lt;&gt;"moeda")*(Inputs!$G$5:$G$120&lt;&gt;"acoes")))*INDEX(Inputs!$K$5:$AJ$120,0,MATCH(E$2,Inputs!$K$4:$AJ$4,0)))+SUMPRODUCT((Inputs!$C$5:$C$120=$B36)*Inputs!$D$5:$D$120*(((Inputs!$G$5:$G$120="moeda")+(Inputs!$G$5:$G$120="acoes"))*Inputs!$B$1+((Inputs!$G$5:$G$120&lt;&gt;"moeda")*(Inputs!$G$5:$G$120&lt;&gt;"acoes")))*INDEX(Inputs!$K$5:$AJ$120,0,MATCH(E$2,Inputs!$K$4:$AJ$4,0)))+SUMPRODUCT((Inputs!$E$5:$E$120=$B36)*Inputs!$F$5:$F$120*(((Inputs!$G$5:$G$120="moeda")+(Inputs!$G$5:$G$120="acoes"))*Inputs!$B$1+((Inputs!$G$5:$G$120&lt;&gt;"moeda")*(Inputs!$G$5:$G$120&lt;&gt;"acoes")))*INDEX(Inputs!$K$5:$AJ$120,0,MATCH(E$2,Inputs!$K$4:$AJ$4,0)))))</f>
        <v>0</v>
      </c>
      <c r="F36" s="6">
        <f>IF(ISNA(MATCH(F$2,Inputs!$K$4:$AJ$4,0)),NA(),IF(SUMPRODUCT((Inputs!$A$5:$A$120=$B36)*ISNUMBER(INDEX(Inputs!$K$5:$AJ$120,0,MATCH(F$2,Inputs!$K$4:$AJ$4,0))))+SUMPRODUCT((Inputs!$C$5:$C$120=$B36)*ISNUMBER(INDEX(Inputs!$K$5:$AJ$120,0,MATCH(F$2,Inputs!$K$4:$AJ$4,0))))+SUMPRODUCT((Inputs!$E$5:$E$120=$B36)*ISNUMBER(INDEX(Inputs!$K$5:$AJ$120,0,MATCH(F$2,Inputs!$K$4:$AJ$4,0))))=0,NA(),SUMPRODUCT((Inputs!$A$5:$A$120=$B36)*Inputs!$B$5:$B$120*(((Inputs!$G$5:$G$120="moeda")+(Inputs!$G$5:$G$120="acoes"))*Inputs!$B$1+((Inputs!$G$5:$G$120&lt;&gt;"moeda")*(Inputs!$G$5:$G$120&lt;&gt;"acoes")))*INDEX(Inputs!$K$5:$AJ$120,0,MATCH(F$2,Inputs!$K$4:$AJ$4,0)))+SUMPRODUCT((Inputs!$C$5:$C$120=$B36)*Inputs!$D$5:$D$120*(((Inputs!$G$5:$G$120="moeda")+(Inputs!$G$5:$G$120="acoes"))*Inputs!$B$1+((Inputs!$G$5:$G$120&lt;&gt;"moeda")*(Inputs!$G$5:$G$120&lt;&gt;"acoes")))*INDEX(Inputs!$K$5:$AJ$120,0,MATCH(F$2,Inputs!$K$4:$AJ$4,0)))+SUMPRODUCT((Inputs!$E$5:$E$120=$B36)*Inputs!$F$5:$F$120*(((Inputs!$G$5:$G$120="moeda")+(Inputs!$G$5:$G$120="acoes"))*Inputs!$B$1+((Inputs!$G$5:$G$120&lt;&gt;"moeda")*(Inputs!$G$5:$G$120&lt;&gt;"acoes")))*INDEX(Inputs!$K$5:$AJ$120,0,MATCH(F$2,Inputs!$K$4:$AJ$4,0)))))</f>
        <v>0</v>
      </c>
      <c r="G36" s="6">
        <f>IF(ISNA(MATCH(G$2,Inputs!$K$4:$AJ$4,0)),NA(),IF(SUMPRODUCT((Inputs!$A$5:$A$120=$B36)*ISNUMBER(INDEX(Inputs!$K$5:$AJ$120,0,MATCH(G$2,Inputs!$K$4:$AJ$4,0))))+SUMPRODUCT((Inputs!$C$5:$C$120=$B36)*ISNUMBER(INDEX(Inputs!$K$5:$AJ$120,0,MATCH(G$2,Inputs!$K$4:$AJ$4,0))))+SUMPRODUCT((Inputs!$E$5:$E$120=$B36)*ISNUMBER(INDEX(Inputs!$K$5:$AJ$120,0,MATCH(G$2,Inputs!$K$4:$AJ$4,0))))=0,NA(),SUMPRODUCT((Inputs!$A$5:$A$120=$B36)*Inputs!$B$5:$B$120*(((Inputs!$G$5:$G$120="moeda")+(Inputs!$G$5:$G$120="acoes"))*Inputs!$B$1+((Inputs!$G$5:$G$120&lt;&gt;"moeda")*(Inputs!$G$5:$G$120&lt;&gt;"acoes")))*INDEX(Inputs!$K$5:$AJ$120,0,MATCH(G$2,Inputs!$K$4:$AJ$4,0)))+SUMPRODUCT((Inputs!$C$5:$C$120=$B36)*Inputs!$D$5:$D$120*(((Inputs!$G$5:$G$120="moeda")+(Inputs!$G$5:$G$120="acoes"))*Inputs!$B$1+((Inputs!$G$5:$G$120&lt;&gt;"moeda")*(Inputs!$G$5:$G$120&lt;&gt;"acoes")))*INDEX(Inputs!$K$5:$AJ$120,0,MATCH(G$2,Inputs!$K$4:$AJ$4,0)))+SUMPRODUCT((Inputs!$E$5:$E$120=$B36)*Inputs!$F$5:$F$120*(((Inputs!$G$5:$G$120="moeda")+(Inputs!$G$5:$G$120="acoes"))*Inputs!$B$1+((Inputs!$G$5:$G$120&lt;&gt;"moeda")*(Inputs!$G$5:$G$120&lt;&gt;"acoes")))*INDEX(Inputs!$K$5:$AJ$120,0,MATCH(G$2,Inputs!$K$4:$AJ$4,0)))))</f>
        <v>0</v>
      </c>
      <c r="H36" s="3">
        <f>G36</f>
        <v>0</v>
      </c>
      <c r="I36" s="6">
        <f>IF(ISNA(MATCH(I$2,Inputs!$K$4:$AJ$4,0)),NA(),IF(SUMPRODUCT((Inputs!$A$5:$A$120=$B36)*ISNUMBER(INDEX(Inputs!$K$5:$AJ$120,0,MATCH(I$2,Inputs!$K$4:$AJ$4,0))))+SUMPRODUCT((Inputs!$C$5:$C$120=$B36)*ISNUMBER(INDEX(Inputs!$K$5:$AJ$120,0,MATCH(I$2,Inputs!$K$4:$AJ$4,0))))+SUMPRODUCT((Inputs!$E$5:$E$120=$B36)*ISNUMBER(INDEX(Inputs!$K$5:$AJ$120,0,MATCH(I$2,Inputs!$K$4:$AJ$4,0))))=0,NA(),SUMPRODUCT((Inputs!$A$5:$A$120=$B36)*Inputs!$B$5:$B$120*(((Inputs!$G$5:$G$120="moeda")+(Inputs!$G$5:$G$120="acoes"))*Inputs!$B$1+((Inputs!$G$5:$G$120&lt;&gt;"moeda")*(Inputs!$G$5:$G$120&lt;&gt;"acoes")))*INDEX(Inputs!$K$5:$AJ$120,0,MATCH(I$2,Inputs!$K$4:$AJ$4,0)))+SUMPRODUCT((Inputs!$C$5:$C$120=$B36)*Inputs!$D$5:$D$120*(((Inputs!$G$5:$G$120="moeda")+(Inputs!$G$5:$G$120="acoes"))*Inputs!$B$1+((Inputs!$G$5:$G$120&lt;&gt;"moeda")*(Inputs!$G$5:$G$120&lt;&gt;"acoes")))*INDEX(Inputs!$K$5:$AJ$120,0,MATCH(I$2,Inputs!$K$4:$AJ$4,0)))+SUMPRODUCT((Inputs!$E$5:$E$120=$B36)*Inputs!$F$5:$F$120*(((Inputs!$G$5:$G$120="moeda")+(Inputs!$G$5:$G$120="acoes"))*Inputs!$B$1+((Inputs!$G$5:$G$120&lt;&gt;"moeda")*(Inputs!$G$5:$G$120&lt;&gt;"acoes")))*INDEX(Inputs!$K$5:$AJ$120,0,MATCH(I$2,Inputs!$K$4:$AJ$4,0)))))</f>
        <v>0</v>
      </c>
      <c r="J36" s="6">
        <f>IF(ISNA(MATCH(J$2,Inputs!$K$4:$AJ$4,0)),NA(),IF(SUMPRODUCT((Inputs!$A$5:$A$120=$B36)*ISNUMBER(INDEX(Inputs!$K$5:$AJ$120,0,MATCH(J$2,Inputs!$K$4:$AJ$4,0))))+SUMPRODUCT((Inputs!$C$5:$C$120=$B36)*ISNUMBER(INDEX(Inputs!$K$5:$AJ$120,0,MATCH(J$2,Inputs!$K$4:$AJ$4,0))))+SUMPRODUCT((Inputs!$E$5:$E$120=$B36)*ISNUMBER(INDEX(Inputs!$K$5:$AJ$120,0,MATCH(J$2,Inputs!$K$4:$AJ$4,0))))=0,NA(),SUMPRODUCT((Inputs!$A$5:$A$120=$B36)*Inputs!$B$5:$B$120*(((Inputs!$G$5:$G$120="moeda")+(Inputs!$G$5:$G$120="acoes"))*Inputs!$B$1+((Inputs!$G$5:$G$120&lt;&gt;"moeda")*(Inputs!$G$5:$G$120&lt;&gt;"acoes")))*INDEX(Inputs!$K$5:$AJ$120,0,MATCH(J$2,Inputs!$K$4:$AJ$4,0)))+SUMPRODUCT((Inputs!$C$5:$C$120=$B36)*Inputs!$D$5:$D$120*(((Inputs!$G$5:$G$120="moeda")+(Inputs!$G$5:$G$120="acoes"))*Inputs!$B$1+((Inputs!$G$5:$G$120&lt;&gt;"moeda")*(Inputs!$G$5:$G$120&lt;&gt;"acoes")))*INDEX(Inputs!$K$5:$AJ$120,0,MATCH(J$2,Inputs!$K$4:$AJ$4,0)))+SUMPRODUCT((Inputs!$E$5:$E$120=$B36)*Inputs!$F$5:$F$120*(((Inputs!$G$5:$G$120="moeda")+(Inputs!$G$5:$G$120="acoes"))*Inputs!$B$1+((Inputs!$G$5:$G$120&lt;&gt;"moeda")*(Inputs!$G$5:$G$120&lt;&gt;"acoes")))*INDEX(Inputs!$K$5:$AJ$120,0,MATCH(J$2,Inputs!$K$4:$AJ$4,0)))))</f>
        <v>0</v>
      </c>
      <c r="K36" s="6">
        <f>IF(ISNA(MATCH(K$2,Inputs!$K$4:$AJ$4,0)),NA(),IF(SUMPRODUCT((Inputs!$A$5:$A$120=$B36)*ISNUMBER(INDEX(Inputs!$K$5:$AJ$120,0,MATCH(K$2,Inputs!$K$4:$AJ$4,0))))+SUMPRODUCT((Inputs!$C$5:$C$120=$B36)*ISNUMBER(INDEX(Inputs!$K$5:$AJ$120,0,MATCH(K$2,Inputs!$K$4:$AJ$4,0))))+SUMPRODUCT((Inputs!$E$5:$E$120=$B36)*ISNUMBER(INDEX(Inputs!$K$5:$AJ$120,0,MATCH(K$2,Inputs!$K$4:$AJ$4,0))))=0,NA(),SUMPRODUCT((Inputs!$A$5:$A$120=$B36)*Inputs!$B$5:$B$120*(((Inputs!$G$5:$G$120="moeda")+(Inputs!$G$5:$G$120="acoes"))*Inputs!$B$1+((Inputs!$G$5:$G$120&lt;&gt;"moeda")*(Inputs!$G$5:$G$120&lt;&gt;"acoes")))*INDEX(Inputs!$K$5:$AJ$120,0,MATCH(K$2,Inputs!$K$4:$AJ$4,0)))+SUMPRODUCT((Inputs!$C$5:$C$120=$B36)*Inputs!$D$5:$D$120*(((Inputs!$G$5:$G$120="moeda")+(Inputs!$G$5:$G$120="acoes"))*Inputs!$B$1+((Inputs!$G$5:$G$120&lt;&gt;"moeda")*(Inputs!$G$5:$G$120&lt;&gt;"acoes")))*INDEX(Inputs!$K$5:$AJ$120,0,MATCH(K$2,Inputs!$K$4:$AJ$4,0)))+SUMPRODUCT((Inputs!$E$5:$E$120=$B36)*Inputs!$F$5:$F$120*(((Inputs!$G$5:$G$120="moeda")+(Inputs!$G$5:$G$120="acoes"))*Inputs!$B$1+((Inputs!$G$5:$G$120&lt;&gt;"moeda")*(Inputs!$G$5:$G$120&lt;&gt;"acoes")))*INDEX(Inputs!$K$5:$AJ$120,0,MATCH(K$2,Inputs!$K$4:$AJ$4,0)))))</f>
        <v>0</v>
      </c>
      <c r="L36" s="6">
        <f>IF(ISNA(MATCH(L$2,Inputs!$K$4:$AJ$4,0)),NA(),IF(SUMPRODUCT((Inputs!$A$5:$A$120=$B36)*ISNUMBER(INDEX(Inputs!$K$5:$AJ$120,0,MATCH(L$2,Inputs!$K$4:$AJ$4,0))))+SUMPRODUCT((Inputs!$C$5:$C$120=$B36)*ISNUMBER(INDEX(Inputs!$K$5:$AJ$120,0,MATCH(L$2,Inputs!$K$4:$AJ$4,0))))+SUMPRODUCT((Inputs!$E$5:$E$120=$B36)*ISNUMBER(INDEX(Inputs!$K$5:$AJ$120,0,MATCH(L$2,Inputs!$K$4:$AJ$4,0))))=0,NA(),SUMPRODUCT((Inputs!$A$5:$A$120=$B36)*Inputs!$B$5:$B$120*(((Inputs!$G$5:$G$120="moeda")+(Inputs!$G$5:$G$120="acoes"))*Inputs!$B$1+((Inputs!$G$5:$G$120&lt;&gt;"moeda")*(Inputs!$G$5:$G$120&lt;&gt;"acoes")))*INDEX(Inputs!$K$5:$AJ$120,0,MATCH(L$2,Inputs!$K$4:$AJ$4,0)))+SUMPRODUCT((Inputs!$C$5:$C$120=$B36)*Inputs!$D$5:$D$120*(((Inputs!$G$5:$G$120="moeda")+(Inputs!$G$5:$G$120="acoes"))*Inputs!$B$1+((Inputs!$G$5:$G$120&lt;&gt;"moeda")*(Inputs!$G$5:$G$120&lt;&gt;"acoes")))*INDEX(Inputs!$K$5:$AJ$120,0,MATCH(L$2,Inputs!$K$4:$AJ$4,0)))+SUMPRODUCT((Inputs!$E$5:$E$120=$B36)*Inputs!$F$5:$F$120*(((Inputs!$G$5:$G$120="moeda")+(Inputs!$G$5:$G$120="acoes"))*Inputs!$B$1+((Inputs!$G$5:$G$120&lt;&gt;"moeda")*(Inputs!$G$5:$G$120&lt;&gt;"acoes")))*INDEX(Inputs!$K$5:$AJ$120,0,MATCH(L$2,Inputs!$K$4:$AJ$4,0)))))</f>
        <v>0</v>
      </c>
      <c r="M36" s="3">
        <f>L36</f>
        <v>0</v>
      </c>
      <c r="N36" s="6">
        <f>IF(ISNA(MATCH(N$2,Inputs!$K$4:$AJ$4,0)),NA(),IF(SUMPRODUCT((Inputs!$A$5:$A$120=$B36)*ISNUMBER(INDEX(Inputs!$K$5:$AJ$120,0,MATCH(N$2,Inputs!$K$4:$AJ$4,0))))+SUMPRODUCT((Inputs!$C$5:$C$120=$B36)*ISNUMBER(INDEX(Inputs!$K$5:$AJ$120,0,MATCH(N$2,Inputs!$K$4:$AJ$4,0))))+SUMPRODUCT((Inputs!$E$5:$E$120=$B36)*ISNUMBER(INDEX(Inputs!$K$5:$AJ$120,0,MATCH(N$2,Inputs!$K$4:$AJ$4,0))))=0,NA(),SUMPRODUCT((Inputs!$A$5:$A$120=$B36)*Inputs!$B$5:$B$120*(((Inputs!$G$5:$G$120="moeda")+(Inputs!$G$5:$G$120="acoes"))*Inputs!$B$1+((Inputs!$G$5:$G$120&lt;&gt;"moeda")*(Inputs!$G$5:$G$120&lt;&gt;"acoes")))*INDEX(Inputs!$K$5:$AJ$120,0,MATCH(N$2,Inputs!$K$4:$AJ$4,0)))+SUMPRODUCT((Inputs!$C$5:$C$120=$B36)*Inputs!$D$5:$D$120*(((Inputs!$G$5:$G$120="moeda")+(Inputs!$G$5:$G$120="acoes"))*Inputs!$B$1+((Inputs!$G$5:$G$120&lt;&gt;"moeda")*(Inputs!$G$5:$G$120&lt;&gt;"acoes")))*INDEX(Inputs!$K$5:$AJ$120,0,MATCH(N$2,Inputs!$K$4:$AJ$4,0)))+SUMPRODUCT((Inputs!$E$5:$E$120=$B36)*Inputs!$F$5:$F$120*(((Inputs!$G$5:$G$120="moeda")+(Inputs!$G$5:$G$120="acoes"))*Inputs!$B$1+((Inputs!$G$5:$G$120&lt;&gt;"moeda")*(Inputs!$G$5:$G$120&lt;&gt;"acoes")))*INDEX(Inputs!$K$5:$AJ$120,0,MATCH(N$2,Inputs!$K$4:$AJ$4,0)))))</f>
        <v>0</v>
      </c>
      <c r="O36" s="6">
        <f>IF(ISNA(MATCH(O$2,Inputs!$K$4:$AJ$4,0)),NA(),IF(SUMPRODUCT((Inputs!$A$5:$A$120=$B36)*ISNUMBER(INDEX(Inputs!$K$5:$AJ$120,0,MATCH(O$2,Inputs!$K$4:$AJ$4,0))))+SUMPRODUCT((Inputs!$C$5:$C$120=$B36)*ISNUMBER(INDEX(Inputs!$K$5:$AJ$120,0,MATCH(O$2,Inputs!$K$4:$AJ$4,0))))+SUMPRODUCT((Inputs!$E$5:$E$120=$B36)*ISNUMBER(INDEX(Inputs!$K$5:$AJ$120,0,MATCH(O$2,Inputs!$K$4:$AJ$4,0))))=0,NA(),SUMPRODUCT((Inputs!$A$5:$A$120=$B36)*Inputs!$B$5:$B$120*(((Inputs!$G$5:$G$120="moeda")+(Inputs!$G$5:$G$120="acoes"))*Inputs!$B$1+((Inputs!$G$5:$G$120&lt;&gt;"moeda")*(Inputs!$G$5:$G$120&lt;&gt;"acoes")))*INDEX(Inputs!$K$5:$AJ$120,0,MATCH(O$2,Inputs!$K$4:$AJ$4,0)))+SUMPRODUCT((Inputs!$C$5:$C$120=$B36)*Inputs!$D$5:$D$120*(((Inputs!$G$5:$G$120="moeda")+(Inputs!$G$5:$G$120="acoes"))*Inputs!$B$1+((Inputs!$G$5:$G$120&lt;&gt;"moeda")*(Inputs!$G$5:$G$120&lt;&gt;"acoes")))*INDEX(Inputs!$K$5:$AJ$120,0,MATCH(O$2,Inputs!$K$4:$AJ$4,0)))+SUMPRODUCT((Inputs!$E$5:$E$120=$B36)*Inputs!$F$5:$F$120*(((Inputs!$G$5:$G$120="moeda")+(Inputs!$G$5:$G$120="acoes"))*Inputs!$B$1+((Inputs!$G$5:$G$120&lt;&gt;"moeda")*(Inputs!$G$5:$G$120&lt;&gt;"acoes")))*INDEX(Inputs!$K$5:$AJ$120,0,MATCH(O$2,Inputs!$K$4:$AJ$4,0)))))</f>
        <v>0</v>
      </c>
      <c r="P36" s="6">
        <f>IF(ISNA(MATCH(P$2,Inputs!$K$4:$AJ$4,0)),NA(),IF(SUMPRODUCT((Inputs!$A$5:$A$120=$B36)*ISNUMBER(INDEX(Inputs!$K$5:$AJ$120,0,MATCH(P$2,Inputs!$K$4:$AJ$4,0))))+SUMPRODUCT((Inputs!$C$5:$C$120=$B36)*ISNUMBER(INDEX(Inputs!$K$5:$AJ$120,0,MATCH(P$2,Inputs!$K$4:$AJ$4,0))))+SUMPRODUCT((Inputs!$E$5:$E$120=$B36)*ISNUMBER(INDEX(Inputs!$K$5:$AJ$120,0,MATCH(P$2,Inputs!$K$4:$AJ$4,0))))=0,NA(),SUMPRODUCT((Inputs!$A$5:$A$120=$B36)*Inputs!$B$5:$B$120*(((Inputs!$G$5:$G$120="moeda")+(Inputs!$G$5:$G$120="acoes"))*Inputs!$B$1+((Inputs!$G$5:$G$120&lt;&gt;"moeda")*(Inputs!$G$5:$G$120&lt;&gt;"acoes")))*INDEX(Inputs!$K$5:$AJ$120,0,MATCH(P$2,Inputs!$K$4:$AJ$4,0)))+SUMPRODUCT((Inputs!$C$5:$C$120=$B36)*Inputs!$D$5:$D$120*(((Inputs!$G$5:$G$120="moeda")+(Inputs!$G$5:$G$120="acoes"))*Inputs!$B$1+((Inputs!$G$5:$G$120&lt;&gt;"moeda")*(Inputs!$G$5:$G$120&lt;&gt;"acoes")))*INDEX(Inputs!$K$5:$AJ$120,0,MATCH(P$2,Inputs!$K$4:$AJ$4,0)))+SUMPRODUCT((Inputs!$E$5:$E$120=$B36)*Inputs!$F$5:$F$120*(((Inputs!$G$5:$G$120="moeda")+(Inputs!$G$5:$G$120="acoes"))*Inputs!$B$1+((Inputs!$G$5:$G$120&lt;&gt;"moeda")*(Inputs!$G$5:$G$120&lt;&gt;"acoes")))*INDEX(Inputs!$K$5:$AJ$120,0,MATCH(P$2,Inputs!$K$4:$AJ$4,0)))))</f>
        <v>0</v>
      </c>
      <c r="Q36" s="6">
        <f>IF(ISNA(MATCH(Q$2,Inputs!$K$4:$AJ$4,0)),NA(),IF(SUMPRODUCT((Inputs!$A$5:$A$120=$B36)*ISNUMBER(INDEX(Inputs!$K$5:$AJ$120,0,MATCH(Q$2,Inputs!$K$4:$AJ$4,0))))+SUMPRODUCT((Inputs!$C$5:$C$120=$B36)*ISNUMBER(INDEX(Inputs!$K$5:$AJ$120,0,MATCH(Q$2,Inputs!$K$4:$AJ$4,0))))+SUMPRODUCT((Inputs!$E$5:$E$120=$B36)*ISNUMBER(INDEX(Inputs!$K$5:$AJ$120,0,MATCH(Q$2,Inputs!$K$4:$AJ$4,0))))=0,NA(),SUMPRODUCT((Inputs!$A$5:$A$120=$B36)*Inputs!$B$5:$B$120*(((Inputs!$G$5:$G$120="moeda")+(Inputs!$G$5:$G$120="acoes"))*Inputs!$B$1+((Inputs!$G$5:$G$120&lt;&gt;"moeda")*(Inputs!$G$5:$G$120&lt;&gt;"acoes")))*INDEX(Inputs!$K$5:$AJ$120,0,MATCH(Q$2,Inputs!$K$4:$AJ$4,0)))+SUMPRODUCT((Inputs!$C$5:$C$120=$B36)*Inputs!$D$5:$D$120*(((Inputs!$G$5:$G$120="moeda")+(Inputs!$G$5:$G$120="acoes"))*Inputs!$B$1+((Inputs!$G$5:$G$120&lt;&gt;"moeda")*(Inputs!$G$5:$G$120&lt;&gt;"acoes")))*INDEX(Inputs!$K$5:$AJ$120,0,MATCH(Q$2,Inputs!$K$4:$AJ$4,0)))+SUMPRODUCT((Inputs!$E$5:$E$120=$B36)*Inputs!$F$5:$F$120*(((Inputs!$G$5:$G$120="moeda")+(Inputs!$G$5:$G$120="acoes"))*Inputs!$B$1+((Inputs!$G$5:$G$120&lt;&gt;"moeda")*(Inputs!$G$5:$G$120&lt;&gt;"acoes")))*INDEX(Inputs!$K$5:$AJ$120,0,MATCH(Q$2,Inputs!$K$4:$AJ$4,0)))))</f>
        <v>0</v>
      </c>
      <c r="R36" s="3">
        <f>Q36</f>
        <v>0</v>
      </c>
      <c r="S36" s="6">
        <f>IF(ISNA(MATCH(S$2,Inputs!$K$4:$AJ$4,0)),NA(),IF(SUMPRODUCT((Inputs!$A$5:$A$120=$B36)*ISNUMBER(INDEX(Inputs!$K$5:$AJ$120,0,MATCH(S$2,Inputs!$K$4:$AJ$4,0))))+SUMPRODUCT((Inputs!$C$5:$C$120=$B36)*ISNUMBER(INDEX(Inputs!$K$5:$AJ$120,0,MATCH(S$2,Inputs!$K$4:$AJ$4,0))))+SUMPRODUCT((Inputs!$E$5:$E$120=$B36)*ISNUMBER(INDEX(Inputs!$K$5:$AJ$120,0,MATCH(S$2,Inputs!$K$4:$AJ$4,0))))=0,NA(),SUMPRODUCT((Inputs!$A$5:$A$120=$B36)*Inputs!$B$5:$B$120*(((Inputs!$G$5:$G$120="moeda")+(Inputs!$G$5:$G$120="acoes"))*Inputs!$B$1+((Inputs!$G$5:$G$120&lt;&gt;"moeda")*(Inputs!$G$5:$G$120&lt;&gt;"acoes")))*INDEX(Inputs!$K$5:$AJ$120,0,MATCH(S$2,Inputs!$K$4:$AJ$4,0)))+SUMPRODUCT((Inputs!$C$5:$C$120=$B36)*Inputs!$D$5:$D$120*(((Inputs!$G$5:$G$120="moeda")+(Inputs!$G$5:$G$120="acoes"))*Inputs!$B$1+((Inputs!$G$5:$G$120&lt;&gt;"moeda")*(Inputs!$G$5:$G$120&lt;&gt;"acoes")))*INDEX(Inputs!$K$5:$AJ$120,0,MATCH(S$2,Inputs!$K$4:$AJ$4,0)))+SUMPRODUCT((Inputs!$E$5:$E$120=$B36)*Inputs!$F$5:$F$120*(((Inputs!$G$5:$G$120="moeda")+(Inputs!$G$5:$G$120="acoes"))*Inputs!$B$1+((Inputs!$G$5:$G$120&lt;&gt;"moeda")*(Inputs!$G$5:$G$120&lt;&gt;"acoes")))*INDEX(Inputs!$K$5:$AJ$120,0,MATCH(S$2,Inputs!$K$4:$AJ$4,0)))))</f>
        <v>0</v>
      </c>
      <c r="T36" s="6">
        <f>IF(ISNA(MATCH(T$2,Inputs!$K$4:$AJ$4,0)),NA(),IF(SUMPRODUCT((Inputs!$A$5:$A$120=$B36)*ISNUMBER(INDEX(Inputs!$K$5:$AJ$120,0,MATCH(T$2,Inputs!$K$4:$AJ$4,0))))+SUMPRODUCT((Inputs!$C$5:$C$120=$B36)*ISNUMBER(INDEX(Inputs!$K$5:$AJ$120,0,MATCH(T$2,Inputs!$K$4:$AJ$4,0))))+SUMPRODUCT((Inputs!$E$5:$E$120=$B36)*ISNUMBER(INDEX(Inputs!$K$5:$AJ$120,0,MATCH(T$2,Inputs!$K$4:$AJ$4,0))))=0,NA(),SUMPRODUCT((Inputs!$A$5:$A$120=$B36)*Inputs!$B$5:$B$120*(((Inputs!$G$5:$G$120="moeda")+(Inputs!$G$5:$G$120="acoes"))*Inputs!$B$1+((Inputs!$G$5:$G$120&lt;&gt;"moeda")*(Inputs!$G$5:$G$120&lt;&gt;"acoes")))*INDEX(Inputs!$K$5:$AJ$120,0,MATCH(T$2,Inputs!$K$4:$AJ$4,0)))+SUMPRODUCT((Inputs!$C$5:$C$120=$B36)*Inputs!$D$5:$D$120*(((Inputs!$G$5:$G$120="moeda")+(Inputs!$G$5:$G$120="acoes"))*Inputs!$B$1+((Inputs!$G$5:$G$120&lt;&gt;"moeda")*(Inputs!$G$5:$G$120&lt;&gt;"acoes")))*INDEX(Inputs!$K$5:$AJ$120,0,MATCH(T$2,Inputs!$K$4:$AJ$4,0)))+SUMPRODUCT((Inputs!$E$5:$E$120=$B36)*Inputs!$F$5:$F$120*(((Inputs!$G$5:$G$120="moeda")+(Inputs!$G$5:$G$120="acoes"))*Inputs!$B$1+((Inputs!$G$5:$G$120&lt;&gt;"moeda")*(Inputs!$G$5:$G$120&lt;&gt;"acoes")))*INDEX(Inputs!$K$5:$AJ$120,0,MATCH(T$2,Inputs!$K$4:$AJ$4,0)))))</f>
        <v>0</v>
      </c>
      <c r="U36" s="6">
        <f>IF(ISNA(MATCH(U$2,Inputs!$K$4:$AJ$4,0)),NA(),IF(SUMPRODUCT((Inputs!$A$5:$A$120=$B36)*ISNUMBER(INDEX(Inputs!$K$5:$AJ$120,0,MATCH(U$2,Inputs!$K$4:$AJ$4,0))))+SUMPRODUCT((Inputs!$C$5:$C$120=$B36)*ISNUMBER(INDEX(Inputs!$K$5:$AJ$120,0,MATCH(U$2,Inputs!$K$4:$AJ$4,0))))+SUMPRODUCT((Inputs!$E$5:$E$120=$B36)*ISNUMBER(INDEX(Inputs!$K$5:$AJ$120,0,MATCH(U$2,Inputs!$K$4:$AJ$4,0))))=0,NA(),SUMPRODUCT((Inputs!$A$5:$A$120=$B36)*Inputs!$B$5:$B$120*(((Inputs!$G$5:$G$120="moeda")+(Inputs!$G$5:$G$120="acoes"))*Inputs!$B$1+((Inputs!$G$5:$G$120&lt;&gt;"moeda")*(Inputs!$G$5:$G$120&lt;&gt;"acoes")))*INDEX(Inputs!$K$5:$AJ$120,0,MATCH(U$2,Inputs!$K$4:$AJ$4,0)))+SUMPRODUCT((Inputs!$C$5:$C$120=$B36)*Inputs!$D$5:$D$120*(((Inputs!$G$5:$G$120="moeda")+(Inputs!$G$5:$G$120="acoes"))*Inputs!$B$1+((Inputs!$G$5:$G$120&lt;&gt;"moeda")*(Inputs!$G$5:$G$120&lt;&gt;"acoes")))*INDEX(Inputs!$K$5:$AJ$120,0,MATCH(U$2,Inputs!$K$4:$AJ$4,0)))+SUMPRODUCT((Inputs!$E$5:$E$120=$B36)*Inputs!$F$5:$F$120*(((Inputs!$G$5:$G$120="moeda")+(Inputs!$G$5:$G$120="acoes"))*Inputs!$B$1+((Inputs!$G$5:$G$120&lt;&gt;"moeda")*(Inputs!$G$5:$G$120&lt;&gt;"acoes")))*INDEX(Inputs!$K$5:$AJ$120,0,MATCH(U$2,Inputs!$K$4:$AJ$4,0)))))</f>
        <v>0</v>
      </c>
      <c r="V36" s="6">
        <f>IF(ISNA(MATCH(V$2,Inputs!$K$4:$AJ$4,0)),NA(),IF(SUMPRODUCT((Inputs!$A$5:$A$120=$B36)*ISNUMBER(INDEX(Inputs!$K$5:$AJ$120,0,MATCH(V$2,Inputs!$K$4:$AJ$4,0))))+SUMPRODUCT((Inputs!$C$5:$C$120=$B36)*ISNUMBER(INDEX(Inputs!$K$5:$AJ$120,0,MATCH(V$2,Inputs!$K$4:$AJ$4,0))))+SUMPRODUCT((Inputs!$E$5:$E$120=$B36)*ISNUMBER(INDEX(Inputs!$K$5:$AJ$120,0,MATCH(V$2,Inputs!$K$4:$AJ$4,0))))=0,NA(),SUMPRODUCT((Inputs!$A$5:$A$120=$B36)*Inputs!$B$5:$B$120*(((Inputs!$G$5:$G$120="moeda")+(Inputs!$G$5:$G$120="acoes"))*Inputs!$B$1+((Inputs!$G$5:$G$120&lt;&gt;"moeda")*(Inputs!$G$5:$G$120&lt;&gt;"acoes")))*INDEX(Inputs!$K$5:$AJ$120,0,MATCH(V$2,Inputs!$K$4:$AJ$4,0)))+SUMPRODUCT((Inputs!$C$5:$C$120=$B36)*Inputs!$D$5:$D$120*(((Inputs!$G$5:$G$120="moeda")+(Inputs!$G$5:$G$120="acoes"))*Inputs!$B$1+((Inputs!$G$5:$G$120&lt;&gt;"moeda")*(Inputs!$G$5:$G$120&lt;&gt;"acoes")))*INDEX(Inputs!$K$5:$AJ$120,0,MATCH(V$2,Inputs!$K$4:$AJ$4,0)))+SUMPRODUCT((Inputs!$E$5:$E$120=$B36)*Inputs!$F$5:$F$120*(((Inputs!$G$5:$G$120="moeda")+(Inputs!$G$5:$G$120="acoes"))*Inputs!$B$1+((Inputs!$G$5:$G$120&lt;&gt;"moeda")*(Inputs!$G$5:$G$120&lt;&gt;"acoes")))*INDEX(Inputs!$K$5:$AJ$120,0,MATCH(V$2,Inputs!$K$4:$AJ$4,0)))))</f>
        <v>0</v>
      </c>
      <c r="W36" s="3">
        <f>V36</f>
        <v>0</v>
      </c>
      <c r="X36" s="6">
        <f>IF(ISNA(MATCH(X$2,Inputs!$K$4:$AJ$4,0)),NA(),IF(SUMPRODUCT((Inputs!$A$5:$A$120=$B36)*ISNUMBER(INDEX(Inputs!$K$5:$AJ$120,0,MATCH(X$2,Inputs!$K$4:$AJ$4,0))))+SUMPRODUCT((Inputs!$C$5:$C$120=$B36)*ISNUMBER(INDEX(Inputs!$K$5:$AJ$120,0,MATCH(X$2,Inputs!$K$4:$AJ$4,0))))+SUMPRODUCT((Inputs!$E$5:$E$120=$B36)*ISNUMBER(INDEX(Inputs!$K$5:$AJ$120,0,MATCH(X$2,Inputs!$K$4:$AJ$4,0))))=0,NA(),SUMPRODUCT((Inputs!$A$5:$A$120=$B36)*Inputs!$B$5:$B$120*(((Inputs!$G$5:$G$120="moeda")+(Inputs!$G$5:$G$120="acoes"))*Inputs!$B$1+((Inputs!$G$5:$G$120&lt;&gt;"moeda")*(Inputs!$G$5:$G$120&lt;&gt;"acoes")))*INDEX(Inputs!$K$5:$AJ$120,0,MATCH(X$2,Inputs!$K$4:$AJ$4,0)))+SUMPRODUCT((Inputs!$C$5:$C$120=$B36)*Inputs!$D$5:$D$120*(((Inputs!$G$5:$G$120="moeda")+(Inputs!$G$5:$G$120="acoes"))*Inputs!$B$1+((Inputs!$G$5:$G$120&lt;&gt;"moeda")*(Inputs!$G$5:$G$120&lt;&gt;"acoes")))*INDEX(Inputs!$K$5:$AJ$120,0,MATCH(X$2,Inputs!$K$4:$AJ$4,0)))+SUMPRODUCT((Inputs!$E$5:$E$120=$B36)*Inputs!$F$5:$F$120*(((Inputs!$G$5:$G$120="moeda")+(Inputs!$G$5:$G$120="acoes"))*Inputs!$B$1+((Inputs!$G$5:$G$120&lt;&gt;"moeda")*(Inputs!$G$5:$G$120&lt;&gt;"acoes")))*INDEX(Inputs!$K$5:$AJ$120,0,MATCH(X$2,Inputs!$K$4:$AJ$4,0)))))</f>
        <v>0</v>
      </c>
      <c r="Y36" s="6">
        <f>IF(ISNA(MATCH(Y$2,Inputs!$K$4:$AJ$4,0)),NA(),IF(SUMPRODUCT((Inputs!$A$5:$A$120=$B36)*ISNUMBER(INDEX(Inputs!$K$5:$AJ$120,0,MATCH(Y$2,Inputs!$K$4:$AJ$4,0))))+SUMPRODUCT((Inputs!$C$5:$C$120=$B36)*ISNUMBER(INDEX(Inputs!$K$5:$AJ$120,0,MATCH(Y$2,Inputs!$K$4:$AJ$4,0))))+SUMPRODUCT((Inputs!$E$5:$E$120=$B36)*ISNUMBER(INDEX(Inputs!$K$5:$AJ$120,0,MATCH(Y$2,Inputs!$K$4:$AJ$4,0))))=0,NA(),SUMPRODUCT((Inputs!$A$5:$A$120=$B36)*Inputs!$B$5:$B$120*(((Inputs!$G$5:$G$120="moeda")+(Inputs!$G$5:$G$120="acoes"))*Inputs!$B$1+((Inputs!$G$5:$G$120&lt;&gt;"moeda")*(Inputs!$G$5:$G$120&lt;&gt;"acoes")))*INDEX(Inputs!$K$5:$AJ$120,0,MATCH(Y$2,Inputs!$K$4:$AJ$4,0)))+SUMPRODUCT((Inputs!$C$5:$C$120=$B36)*Inputs!$D$5:$D$120*(((Inputs!$G$5:$G$120="moeda")+(Inputs!$G$5:$G$120="acoes"))*Inputs!$B$1+((Inputs!$G$5:$G$120&lt;&gt;"moeda")*(Inputs!$G$5:$G$120&lt;&gt;"acoes")))*INDEX(Inputs!$K$5:$AJ$120,0,MATCH(Y$2,Inputs!$K$4:$AJ$4,0)))+SUMPRODUCT((Inputs!$E$5:$E$120=$B36)*Inputs!$F$5:$F$120*(((Inputs!$G$5:$G$120="moeda")+(Inputs!$G$5:$G$120="acoes"))*Inputs!$B$1+((Inputs!$G$5:$G$120&lt;&gt;"moeda")*(Inputs!$G$5:$G$120&lt;&gt;"acoes")))*INDEX(Inputs!$K$5:$AJ$120,0,MATCH(Y$2,Inputs!$K$4:$AJ$4,0)))))</f>
        <v>0</v>
      </c>
      <c r="Z36" s="6">
        <f>IF(ISNA(MATCH(Z$2,Inputs!$K$4:$AJ$4,0)),NA(),IF(SUMPRODUCT((Inputs!$A$5:$A$120=$B36)*ISNUMBER(INDEX(Inputs!$K$5:$AJ$120,0,MATCH(Z$2,Inputs!$K$4:$AJ$4,0))))+SUMPRODUCT((Inputs!$C$5:$C$120=$B36)*ISNUMBER(INDEX(Inputs!$K$5:$AJ$120,0,MATCH(Z$2,Inputs!$K$4:$AJ$4,0))))+SUMPRODUCT((Inputs!$E$5:$E$120=$B36)*ISNUMBER(INDEX(Inputs!$K$5:$AJ$120,0,MATCH(Z$2,Inputs!$K$4:$AJ$4,0))))=0,NA(),SUMPRODUCT((Inputs!$A$5:$A$120=$B36)*Inputs!$B$5:$B$120*(((Inputs!$G$5:$G$120="moeda")+(Inputs!$G$5:$G$120="acoes"))*Inputs!$B$1+((Inputs!$G$5:$G$120&lt;&gt;"moeda")*(Inputs!$G$5:$G$120&lt;&gt;"acoes")))*INDEX(Inputs!$K$5:$AJ$120,0,MATCH(Z$2,Inputs!$K$4:$AJ$4,0)))+SUMPRODUCT((Inputs!$C$5:$C$120=$B36)*Inputs!$D$5:$D$120*(((Inputs!$G$5:$G$120="moeda")+(Inputs!$G$5:$G$120="acoes"))*Inputs!$B$1+((Inputs!$G$5:$G$120&lt;&gt;"moeda")*(Inputs!$G$5:$G$120&lt;&gt;"acoes")))*INDEX(Inputs!$K$5:$AJ$120,0,MATCH(Z$2,Inputs!$K$4:$AJ$4,0)))+SUMPRODUCT((Inputs!$E$5:$E$120=$B36)*Inputs!$F$5:$F$120*(((Inputs!$G$5:$G$120="moeda")+(Inputs!$G$5:$G$120="acoes"))*Inputs!$B$1+((Inputs!$G$5:$G$120&lt;&gt;"moeda")*(Inputs!$G$5:$G$120&lt;&gt;"acoes")))*INDEX(Inputs!$K$5:$AJ$120,0,MATCH(Z$2,Inputs!$K$4:$AJ$4,0)))))</f>
        <v>0</v>
      </c>
      <c r="AA36" s="6">
        <f>IF(ISNA(MATCH(AA$2,Inputs!$K$4:$AJ$4,0)),NA(),IF(SUMPRODUCT((Inputs!$A$5:$A$120=$B36)*ISNUMBER(INDEX(Inputs!$K$5:$AJ$120,0,MATCH(AA$2,Inputs!$K$4:$AJ$4,0))))+SUMPRODUCT((Inputs!$C$5:$C$120=$B36)*ISNUMBER(INDEX(Inputs!$K$5:$AJ$120,0,MATCH(AA$2,Inputs!$K$4:$AJ$4,0))))+SUMPRODUCT((Inputs!$E$5:$E$120=$B36)*ISNUMBER(INDEX(Inputs!$K$5:$AJ$120,0,MATCH(AA$2,Inputs!$K$4:$AJ$4,0))))=0,NA(),SUMPRODUCT((Inputs!$A$5:$A$120=$B36)*Inputs!$B$5:$B$120*(((Inputs!$G$5:$G$120="moeda")+(Inputs!$G$5:$G$120="acoes"))*Inputs!$B$1+((Inputs!$G$5:$G$120&lt;&gt;"moeda")*(Inputs!$G$5:$G$120&lt;&gt;"acoes")))*INDEX(Inputs!$K$5:$AJ$120,0,MATCH(AA$2,Inputs!$K$4:$AJ$4,0)))+SUMPRODUCT((Inputs!$C$5:$C$120=$B36)*Inputs!$D$5:$D$120*(((Inputs!$G$5:$G$120="moeda")+(Inputs!$G$5:$G$120="acoes"))*Inputs!$B$1+((Inputs!$G$5:$G$120&lt;&gt;"moeda")*(Inputs!$G$5:$G$120&lt;&gt;"acoes")))*INDEX(Inputs!$K$5:$AJ$120,0,MATCH(AA$2,Inputs!$K$4:$AJ$4,0)))+SUMPRODUCT((Inputs!$E$5:$E$120=$B36)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6" s="3">
        <f>AA36</f>
        <v>0</v>
      </c>
      <c r="AC36" s="6">
        <f>IF(ISNA(MATCH(AC$2,Inputs!$K$4:$AJ$4,0)),NA(),IF(SUMPRODUCT((Inputs!$A$5:$A$120=$B36)*ISNUMBER(INDEX(Inputs!$K$5:$AJ$120,0,MATCH(AC$2,Inputs!$K$4:$AJ$4,0))))+SUMPRODUCT((Inputs!$C$5:$C$120=$B36)*ISNUMBER(INDEX(Inputs!$K$5:$AJ$120,0,MATCH(AC$2,Inputs!$K$4:$AJ$4,0))))+SUMPRODUCT((Inputs!$E$5:$E$120=$B36)*ISNUMBER(INDEX(Inputs!$K$5:$AJ$120,0,MATCH(AC$2,Inputs!$K$4:$AJ$4,0))))=0,NA(),SUMPRODUCT((Inputs!$A$5:$A$120=$B36)*Inputs!$B$5:$B$120*(((Inputs!$G$5:$G$120="moeda")+(Inputs!$G$5:$G$120="acoes"))*Inputs!$B$1+((Inputs!$G$5:$G$120&lt;&gt;"moeda")*(Inputs!$G$5:$G$120&lt;&gt;"acoes")))*INDEX(Inputs!$K$5:$AJ$120,0,MATCH(AC$2,Inputs!$K$4:$AJ$4,0)))+SUMPRODUCT((Inputs!$C$5:$C$120=$B36)*Inputs!$D$5:$D$120*(((Inputs!$G$5:$G$120="moeda")+(Inputs!$G$5:$G$120="acoes"))*Inputs!$B$1+((Inputs!$G$5:$G$120&lt;&gt;"moeda")*(Inputs!$G$5:$G$120&lt;&gt;"acoes")))*INDEX(Inputs!$K$5:$AJ$120,0,MATCH(AC$2,Inputs!$K$4:$AJ$4,0)))+SUMPRODUCT((Inputs!$E$5:$E$120=$B36)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6" s="6">
        <f>IF(ISNA(MATCH(AD$2,Inputs!$K$4:$AJ$4,0)),NA(),IF(SUMPRODUCT((Inputs!$A$5:$A$120=$B36)*ISNUMBER(INDEX(Inputs!$K$5:$AJ$120,0,MATCH(AD$2,Inputs!$K$4:$AJ$4,0))))+SUMPRODUCT((Inputs!$C$5:$C$120=$B36)*ISNUMBER(INDEX(Inputs!$K$5:$AJ$120,0,MATCH(AD$2,Inputs!$K$4:$AJ$4,0))))+SUMPRODUCT((Inputs!$E$5:$E$120=$B36)*ISNUMBER(INDEX(Inputs!$K$5:$AJ$120,0,MATCH(AD$2,Inputs!$K$4:$AJ$4,0))))=0,NA(),SUMPRODUCT((Inputs!$A$5:$A$120=$B36)*Inputs!$B$5:$B$120*(((Inputs!$G$5:$G$120="moeda")+(Inputs!$G$5:$G$120="acoes"))*Inputs!$B$1+((Inputs!$G$5:$G$120&lt;&gt;"moeda")*(Inputs!$G$5:$G$120&lt;&gt;"acoes")))*INDEX(Inputs!$K$5:$AJ$120,0,MATCH(AD$2,Inputs!$K$4:$AJ$4,0)))+SUMPRODUCT((Inputs!$C$5:$C$120=$B36)*Inputs!$D$5:$D$120*(((Inputs!$G$5:$G$120="moeda")+(Inputs!$G$5:$G$120="acoes"))*Inputs!$B$1+((Inputs!$G$5:$G$120&lt;&gt;"moeda")*(Inputs!$G$5:$G$120&lt;&gt;"acoes")))*INDEX(Inputs!$K$5:$AJ$120,0,MATCH(AD$2,Inputs!$K$4:$AJ$4,0)))+SUMPRODUCT((Inputs!$E$5:$E$120=$B36)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6" s="6" t="e">
        <f>IF(ISNA(MATCH(AE$2,Inputs!$K$4:$AJ$4,0)),NA(),IF(SUMPRODUCT((Inputs!$A$5:$A$120=$B36)*ISNUMBER(INDEX(Inputs!$K$5:$AJ$120,0,MATCH(AE$2,Inputs!$K$4:$AJ$4,0))))+SUMPRODUCT((Inputs!$C$5:$C$120=$B36)*ISNUMBER(INDEX(Inputs!$K$5:$AJ$120,0,MATCH(AE$2,Inputs!$K$4:$AJ$4,0))))+SUMPRODUCT((Inputs!$E$5:$E$120=$B36)*ISNUMBER(INDEX(Inputs!$K$5:$AJ$120,0,MATCH(AE$2,Inputs!$K$4:$AJ$4,0))))=0,NA(),SUMPRODUCT((Inputs!$A$5:$A$120=$B36)*Inputs!$B$5:$B$120*(((Inputs!$G$5:$G$120="moeda")+(Inputs!$G$5:$G$120="acoes"))*Inputs!$B$1+((Inputs!$G$5:$G$120&lt;&gt;"moeda")*(Inputs!$G$5:$G$120&lt;&gt;"acoes")))*INDEX(Inputs!$K$5:$AJ$120,0,MATCH(AE$2,Inputs!$K$4:$AJ$4,0)))+SUMPRODUCT((Inputs!$C$5:$C$120=$B36)*Inputs!$D$5:$D$120*(((Inputs!$G$5:$G$120="moeda")+(Inputs!$G$5:$G$120="acoes"))*Inputs!$B$1+((Inputs!$G$5:$G$120&lt;&gt;"moeda")*(Inputs!$G$5:$G$120&lt;&gt;"acoes")))*INDEX(Inputs!$K$5:$AJ$120,0,MATCH(AE$2,Inputs!$K$4:$AJ$4,0)))+SUMPRODUCT((Inputs!$E$5:$E$120=$B36)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6" s="6" t="e">
        <f>IF(ISNA(MATCH(AF$2,Inputs!$K$4:$AJ$4,0)),NA(),IF(SUMPRODUCT((Inputs!$A$5:$A$120=$B36)*ISNUMBER(INDEX(Inputs!$K$5:$AJ$120,0,MATCH(AF$2,Inputs!$K$4:$AJ$4,0))))+SUMPRODUCT((Inputs!$C$5:$C$120=$B36)*ISNUMBER(INDEX(Inputs!$K$5:$AJ$120,0,MATCH(AF$2,Inputs!$K$4:$AJ$4,0))))+SUMPRODUCT((Inputs!$E$5:$E$120=$B36)*ISNUMBER(INDEX(Inputs!$K$5:$AJ$120,0,MATCH(AF$2,Inputs!$K$4:$AJ$4,0))))=0,NA(),SUMPRODUCT((Inputs!$A$5:$A$120=$B36)*Inputs!$B$5:$B$120*(((Inputs!$G$5:$G$120="moeda")+(Inputs!$G$5:$G$120="acoes"))*Inputs!$B$1+((Inputs!$G$5:$G$120&lt;&gt;"moeda")*(Inputs!$G$5:$G$120&lt;&gt;"acoes")))*INDEX(Inputs!$K$5:$AJ$120,0,MATCH(AF$2,Inputs!$K$4:$AJ$4,0)))+SUMPRODUCT((Inputs!$C$5:$C$120=$B36)*Inputs!$D$5:$D$120*(((Inputs!$G$5:$G$120="moeda")+(Inputs!$G$5:$G$120="acoes"))*Inputs!$B$1+((Inputs!$G$5:$G$120&lt;&gt;"moeda")*(Inputs!$G$5:$G$120&lt;&gt;"acoes")))*INDEX(Inputs!$K$5:$AJ$120,0,MATCH(AF$2,Inputs!$K$4:$AJ$4,0)))+SUMPRODUCT((Inputs!$E$5:$E$120=$B36)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6" s="3" t="e">
        <f>AF36</f>
        <v>#N/A</v>
      </c>
      <c r="AH36" s="6">
        <f>IF(ISNA(MATCH(AH$2,Inputs!$K$4:$AJ$4,0)),NA(),IF(SUMPRODUCT((Inputs!$A$5:$A$120=$B36)*ISNUMBER(INDEX(Inputs!$K$5:$AJ$120,0,MATCH(AH$2,Inputs!$K$4:$AJ$4,0))))+SUMPRODUCT((Inputs!$C$5:$C$120=$B36)*ISNUMBER(INDEX(Inputs!$K$5:$AJ$120,0,MATCH(AH$2,Inputs!$K$4:$AJ$4,0))))+SUMPRODUCT((Inputs!$E$5:$E$120=$B36)*ISNUMBER(INDEX(Inputs!$K$5:$AJ$120,0,MATCH(AH$2,Inputs!$K$4:$AJ$4,0))))=0,NA(),SUMPRODUCT((Inputs!$A$5:$A$120=$B36)*Inputs!$B$5:$B$120*(((Inputs!$G$5:$G$120="moeda")+(Inputs!$G$5:$G$120="acoes"))*Inputs!$B$1+((Inputs!$G$5:$G$120&lt;&gt;"moeda")*(Inputs!$G$5:$G$120&lt;&gt;"acoes")))*INDEX(Inputs!$K$5:$AJ$120,0,MATCH(AH$2,Inputs!$K$4:$AJ$4,0)))+SUMPRODUCT((Inputs!$C$5:$C$120=$B36)*Inputs!$D$5:$D$120*(((Inputs!$G$5:$G$120="moeda")+(Inputs!$G$5:$G$120="acoes"))*Inputs!$B$1+((Inputs!$G$5:$G$120&lt;&gt;"moeda")*(Inputs!$G$5:$G$120&lt;&gt;"acoes")))*INDEX(Inputs!$K$5:$AJ$120,0,MATCH(AH$2,Inputs!$K$4:$AJ$4,0)))+SUMPRODUCT((Inputs!$E$5:$E$120=$B36)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6" s="6">
        <f>IF(ISNA(MATCH(AI$2,Inputs!$K$4:$AJ$4,0)),NA(),IF(SUMPRODUCT((Inputs!$A$5:$A$120=$B36)*ISNUMBER(INDEX(Inputs!$K$5:$AJ$120,0,MATCH(AI$2,Inputs!$K$4:$AJ$4,0))))+SUMPRODUCT((Inputs!$C$5:$C$120=$B36)*ISNUMBER(INDEX(Inputs!$K$5:$AJ$120,0,MATCH(AI$2,Inputs!$K$4:$AJ$4,0))))+SUMPRODUCT((Inputs!$E$5:$E$120=$B36)*ISNUMBER(INDEX(Inputs!$K$5:$AJ$120,0,MATCH(AI$2,Inputs!$K$4:$AJ$4,0))))=0,NA(),SUMPRODUCT((Inputs!$A$5:$A$120=$B36)*Inputs!$B$5:$B$120*(((Inputs!$G$5:$G$120="moeda")+(Inputs!$G$5:$G$120="acoes"))*Inputs!$B$1+((Inputs!$G$5:$G$120&lt;&gt;"moeda")*(Inputs!$G$5:$G$120&lt;&gt;"acoes")))*INDEX(Inputs!$K$5:$AJ$120,0,MATCH(AI$2,Inputs!$K$4:$AJ$4,0)))+SUMPRODUCT((Inputs!$C$5:$C$120=$B36)*Inputs!$D$5:$D$120*(((Inputs!$G$5:$G$120="moeda")+(Inputs!$G$5:$G$120="acoes"))*Inputs!$B$1+((Inputs!$G$5:$G$120&lt;&gt;"moeda")*(Inputs!$G$5:$G$120&lt;&gt;"acoes")))*INDEX(Inputs!$K$5:$AJ$120,0,MATCH(AI$2,Inputs!$K$4:$AJ$4,0)))+SUMPRODUCT((Inputs!$E$5:$E$120=$B36)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6" s="6">
        <f>IF(ISNA(MATCH(AJ$2,Inputs!$K$4:$AJ$4,0)),NA(),IF(SUMPRODUCT((Inputs!$A$5:$A$120=$B36)*ISNUMBER(INDEX(Inputs!$K$5:$AJ$120,0,MATCH(AJ$2,Inputs!$K$4:$AJ$4,0))))+SUMPRODUCT((Inputs!$C$5:$C$120=$B36)*ISNUMBER(INDEX(Inputs!$K$5:$AJ$120,0,MATCH(AJ$2,Inputs!$K$4:$AJ$4,0))))+SUMPRODUCT((Inputs!$E$5:$E$120=$B36)*ISNUMBER(INDEX(Inputs!$K$5:$AJ$120,0,MATCH(AJ$2,Inputs!$K$4:$AJ$4,0))))=0,NA(),SUMPRODUCT((Inputs!$A$5:$A$120=$B36)*Inputs!$B$5:$B$120*(((Inputs!$G$5:$G$120="moeda")+(Inputs!$G$5:$G$120="acoes"))*Inputs!$B$1+((Inputs!$G$5:$G$120&lt;&gt;"moeda")*(Inputs!$G$5:$G$120&lt;&gt;"acoes")))*INDEX(Inputs!$K$5:$AJ$120,0,MATCH(AJ$2,Inputs!$K$4:$AJ$4,0)))+SUMPRODUCT((Inputs!$C$5:$C$120=$B36)*Inputs!$D$5:$D$120*(((Inputs!$G$5:$G$120="moeda")+(Inputs!$G$5:$G$120="acoes"))*Inputs!$B$1+((Inputs!$G$5:$G$120&lt;&gt;"moeda")*(Inputs!$G$5:$G$120&lt;&gt;"acoes")))*INDEX(Inputs!$K$5:$AJ$120,0,MATCH(AJ$2,Inputs!$K$4:$AJ$4,0)))+SUMPRODUCT((Inputs!$E$5:$E$120=$B36)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6" s="6">
        <f>IF(ISNA(MATCH(AK$2,Inputs!$K$4:$AJ$4,0)),NA(),IF(SUMPRODUCT((Inputs!$A$5:$A$120=$B36)*ISNUMBER(INDEX(Inputs!$K$5:$AJ$120,0,MATCH(AK$2,Inputs!$K$4:$AJ$4,0))))+SUMPRODUCT((Inputs!$C$5:$C$120=$B36)*ISNUMBER(INDEX(Inputs!$K$5:$AJ$120,0,MATCH(AK$2,Inputs!$K$4:$AJ$4,0))))+SUMPRODUCT((Inputs!$E$5:$E$120=$B36)*ISNUMBER(INDEX(Inputs!$K$5:$AJ$120,0,MATCH(AK$2,Inputs!$K$4:$AJ$4,0))))=0,NA(),SUMPRODUCT((Inputs!$A$5:$A$120=$B36)*Inputs!$B$5:$B$120*(((Inputs!$G$5:$G$120="moeda")+(Inputs!$G$5:$G$120="acoes"))*Inputs!$B$1+((Inputs!$G$5:$G$120&lt;&gt;"moeda")*(Inputs!$G$5:$G$120&lt;&gt;"acoes")))*INDEX(Inputs!$K$5:$AJ$120,0,MATCH(AK$2,Inputs!$K$4:$AJ$4,0)))+SUMPRODUCT((Inputs!$C$5:$C$120=$B36)*Inputs!$D$5:$D$120*(((Inputs!$G$5:$G$120="moeda")+(Inputs!$G$5:$G$120="acoes"))*Inputs!$B$1+((Inputs!$G$5:$G$120&lt;&gt;"moeda")*(Inputs!$G$5:$G$120&lt;&gt;"acoes")))*INDEX(Inputs!$K$5:$AJ$120,0,MATCH(AK$2,Inputs!$K$4:$AJ$4,0)))+SUMPRODUCT((Inputs!$E$5:$E$120=$B36)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6" s="3">
        <f>AK36</f>
        <v>0</v>
      </c>
    </row>
    <row r="37">
      <c r="B37" s="46" t="n">
        <v>32</v>
      </c>
      <c r="C37" s="26" t="inlineStr">
        <is>
          <t>Convertible debt</t>
        </is>
      </c>
      <c r="D37" s="6">
        <f>IF(ISNA(MATCH(D$2,Inputs!$K$4:$AJ$4,0)),NA(),IF(SUMPRODUCT((Inputs!$A$5:$A$120=$B37)*ISNUMBER(INDEX(Inputs!$K$5:$AJ$120,0,MATCH(D$2,Inputs!$K$4:$AJ$4,0))))+SUMPRODUCT((Inputs!$C$5:$C$120=$B37)*ISNUMBER(INDEX(Inputs!$K$5:$AJ$120,0,MATCH(D$2,Inputs!$K$4:$AJ$4,0))))+SUMPRODUCT((Inputs!$E$5:$E$120=$B37)*ISNUMBER(INDEX(Inputs!$K$5:$AJ$120,0,MATCH(D$2,Inputs!$K$4:$AJ$4,0))))=0,NA(),SUMPRODUCT((Inputs!$A$5:$A$120=$B37)*Inputs!$B$5:$B$120*(((Inputs!$G$5:$G$120="moeda")+(Inputs!$G$5:$G$120="acoes"))*Inputs!$B$1+((Inputs!$G$5:$G$120&lt;&gt;"moeda")*(Inputs!$G$5:$G$120&lt;&gt;"acoes")))*INDEX(Inputs!$K$5:$AJ$120,0,MATCH(D$2,Inputs!$K$4:$AJ$4,0)))+SUMPRODUCT((Inputs!$C$5:$C$120=$B37)*Inputs!$D$5:$D$120*(((Inputs!$G$5:$G$120="moeda")+(Inputs!$G$5:$G$120="acoes"))*Inputs!$B$1+((Inputs!$G$5:$G$120&lt;&gt;"moeda")*(Inputs!$G$5:$G$120&lt;&gt;"acoes")))*INDEX(Inputs!$K$5:$AJ$120,0,MATCH(D$2,Inputs!$K$4:$AJ$4,0)))+SUMPRODUCT((Inputs!$E$5:$E$120=$B37)*Inputs!$F$5:$F$120*(((Inputs!$G$5:$G$120="moeda")+(Inputs!$G$5:$G$120="acoes"))*Inputs!$B$1+((Inputs!$G$5:$G$120&lt;&gt;"moeda")*(Inputs!$G$5:$G$120&lt;&gt;"acoes")))*INDEX(Inputs!$K$5:$AJ$120,0,MATCH(D$2,Inputs!$K$4:$AJ$4,0)))))</f>
        <v>0</v>
      </c>
      <c r="E37" s="6">
        <f>IF(ISNA(MATCH(E$2,Inputs!$K$4:$AJ$4,0)),NA(),IF(SUMPRODUCT((Inputs!$A$5:$A$120=$B37)*ISNUMBER(INDEX(Inputs!$K$5:$AJ$120,0,MATCH(E$2,Inputs!$K$4:$AJ$4,0))))+SUMPRODUCT((Inputs!$C$5:$C$120=$B37)*ISNUMBER(INDEX(Inputs!$K$5:$AJ$120,0,MATCH(E$2,Inputs!$K$4:$AJ$4,0))))+SUMPRODUCT((Inputs!$E$5:$E$120=$B37)*ISNUMBER(INDEX(Inputs!$K$5:$AJ$120,0,MATCH(E$2,Inputs!$K$4:$AJ$4,0))))=0,NA(),SUMPRODUCT((Inputs!$A$5:$A$120=$B37)*Inputs!$B$5:$B$120*(((Inputs!$G$5:$G$120="moeda")+(Inputs!$G$5:$G$120="acoes"))*Inputs!$B$1+((Inputs!$G$5:$G$120&lt;&gt;"moeda")*(Inputs!$G$5:$G$120&lt;&gt;"acoes")))*INDEX(Inputs!$K$5:$AJ$120,0,MATCH(E$2,Inputs!$K$4:$AJ$4,0)))+SUMPRODUCT((Inputs!$C$5:$C$120=$B37)*Inputs!$D$5:$D$120*(((Inputs!$G$5:$G$120="moeda")+(Inputs!$G$5:$G$120="acoes"))*Inputs!$B$1+((Inputs!$G$5:$G$120&lt;&gt;"moeda")*(Inputs!$G$5:$G$120&lt;&gt;"acoes")))*INDEX(Inputs!$K$5:$AJ$120,0,MATCH(E$2,Inputs!$K$4:$AJ$4,0)))+SUMPRODUCT((Inputs!$E$5:$E$120=$B37)*Inputs!$F$5:$F$120*(((Inputs!$G$5:$G$120="moeda")+(Inputs!$G$5:$G$120="acoes"))*Inputs!$B$1+((Inputs!$G$5:$G$120&lt;&gt;"moeda")*(Inputs!$G$5:$G$120&lt;&gt;"acoes")))*INDEX(Inputs!$K$5:$AJ$120,0,MATCH(E$2,Inputs!$K$4:$AJ$4,0)))))</f>
        <v>0</v>
      </c>
      <c r="F37" s="6">
        <f>IF(ISNA(MATCH(F$2,Inputs!$K$4:$AJ$4,0)),NA(),IF(SUMPRODUCT((Inputs!$A$5:$A$120=$B37)*ISNUMBER(INDEX(Inputs!$K$5:$AJ$120,0,MATCH(F$2,Inputs!$K$4:$AJ$4,0))))+SUMPRODUCT((Inputs!$C$5:$C$120=$B37)*ISNUMBER(INDEX(Inputs!$K$5:$AJ$120,0,MATCH(F$2,Inputs!$K$4:$AJ$4,0))))+SUMPRODUCT((Inputs!$E$5:$E$120=$B37)*ISNUMBER(INDEX(Inputs!$K$5:$AJ$120,0,MATCH(F$2,Inputs!$K$4:$AJ$4,0))))=0,NA(),SUMPRODUCT((Inputs!$A$5:$A$120=$B37)*Inputs!$B$5:$B$120*(((Inputs!$G$5:$G$120="moeda")+(Inputs!$G$5:$G$120="acoes"))*Inputs!$B$1+((Inputs!$G$5:$G$120&lt;&gt;"moeda")*(Inputs!$G$5:$G$120&lt;&gt;"acoes")))*INDEX(Inputs!$K$5:$AJ$120,0,MATCH(F$2,Inputs!$K$4:$AJ$4,0)))+SUMPRODUCT((Inputs!$C$5:$C$120=$B37)*Inputs!$D$5:$D$120*(((Inputs!$G$5:$G$120="moeda")+(Inputs!$G$5:$G$120="acoes"))*Inputs!$B$1+((Inputs!$G$5:$G$120&lt;&gt;"moeda")*(Inputs!$G$5:$G$120&lt;&gt;"acoes")))*INDEX(Inputs!$K$5:$AJ$120,0,MATCH(F$2,Inputs!$K$4:$AJ$4,0)))+SUMPRODUCT((Inputs!$E$5:$E$120=$B37)*Inputs!$F$5:$F$120*(((Inputs!$G$5:$G$120="moeda")+(Inputs!$G$5:$G$120="acoes"))*Inputs!$B$1+((Inputs!$G$5:$G$120&lt;&gt;"moeda")*(Inputs!$G$5:$G$120&lt;&gt;"acoes")))*INDEX(Inputs!$K$5:$AJ$120,0,MATCH(F$2,Inputs!$K$4:$AJ$4,0)))))</f>
        <v>0</v>
      </c>
      <c r="G37" s="6">
        <f>IF(ISNA(MATCH(G$2,Inputs!$K$4:$AJ$4,0)),NA(),IF(SUMPRODUCT((Inputs!$A$5:$A$120=$B37)*ISNUMBER(INDEX(Inputs!$K$5:$AJ$120,0,MATCH(G$2,Inputs!$K$4:$AJ$4,0))))+SUMPRODUCT((Inputs!$C$5:$C$120=$B37)*ISNUMBER(INDEX(Inputs!$K$5:$AJ$120,0,MATCH(G$2,Inputs!$K$4:$AJ$4,0))))+SUMPRODUCT((Inputs!$E$5:$E$120=$B37)*ISNUMBER(INDEX(Inputs!$K$5:$AJ$120,0,MATCH(G$2,Inputs!$K$4:$AJ$4,0))))=0,NA(),SUMPRODUCT((Inputs!$A$5:$A$120=$B37)*Inputs!$B$5:$B$120*(((Inputs!$G$5:$G$120="moeda")+(Inputs!$G$5:$G$120="acoes"))*Inputs!$B$1+((Inputs!$G$5:$G$120&lt;&gt;"moeda")*(Inputs!$G$5:$G$120&lt;&gt;"acoes")))*INDEX(Inputs!$K$5:$AJ$120,0,MATCH(G$2,Inputs!$K$4:$AJ$4,0)))+SUMPRODUCT((Inputs!$C$5:$C$120=$B37)*Inputs!$D$5:$D$120*(((Inputs!$G$5:$G$120="moeda")+(Inputs!$G$5:$G$120="acoes"))*Inputs!$B$1+((Inputs!$G$5:$G$120&lt;&gt;"moeda")*(Inputs!$G$5:$G$120&lt;&gt;"acoes")))*INDEX(Inputs!$K$5:$AJ$120,0,MATCH(G$2,Inputs!$K$4:$AJ$4,0)))+SUMPRODUCT((Inputs!$E$5:$E$120=$B37)*Inputs!$F$5:$F$120*(((Inputs!$G$5:$G$120="moeda")+(Inputs!$G$5:$G$120="acoes"))*Inputs!$B$1+((Inputs!$G$5:$G$120&lt;&gt;"moeda")*(Inputs!$G$5:$G$120&lt;&gt;"acoes")))*INDEX(Inputs!$K$5:$AJ$120,0,MATCH(G$2,Inputs!$K$4:$AJ$4,0)))))</f>
        <v>0</v>
      </c>
      <c r="H37" s="3">
        <f>G37</f>
        <v>0</v>
      </c>
      <c r="I37" s="6">
        <f>IF(ISNA(MATCH(I$2,Inputs!$K$4:$AJ$4,0)),NA(),IF(SUMPRODUCT((Inputs!$A$5:$A$120=$B37)*ISNUMBER(INDEX(Inputs!$K$5:$AJ$120,0,MATCH(I$2,Inputs!$K$4:$AJ$4,0))))+SUMPRODUCT((Inputs!$C$5:$C$120=$B37)*ISNUMBER(INDEX(Inputs!$K$5:$AJ$120,0,MATCH(I$2,Inputs!$K$4:$AJ$4,0))))+SUMPRODUCT((Inputs!$E$5:$E$120=$B37)*ISNUMBER(INDEX(Inputs!$K$5:$AJ$120,0,MATCH(I$2,Inputs!$K$4:$AJ$4,0))))=0,NA(),SUMPRODUCT((Inputs!$A$5:$A$120=$B37)*Inputs!$B$5:$B$120*(((Inputs!$G$5:$G$120="moeda")+(Inputs!$G$5:$G$120="acoes"))*Inputs!$B$1+((Inputs!$G$5:$G$120&lt;&gt;"moeda")*(Inputs!$G$5:$G$120&lt;&gt;"acoes")))*INDEX(Inputs!$K$5:$AJ$120,0,MATCH(I$2,Inputs!$K$4:$AJ$4,0)))+SUMPRODUCT((Inputs!$C$5:$C$120=$B37)*Inputs!$D$5:$D$120*(((Inputs!$G$5:$G$120="moeda")+(Inputs!$G$5:$G$120="acoes"))*Inputs!$B$1+((Inputs!$G$5:$G$120&lt;&gt;"moeda")*(Inputs!$G$5:$G$120&lt;&gt;"acoes")))*INDEX(Inputs!$K$5:$AJ$120,0,MATCH(I$2,Inputs!$K$4:$AJ$4,0)))+SUMPRODUCT((Inputs!$E$5:$E$120=$B37)*Inputs!$F$5:$F$120*(((Inputs!$G$5:$G$120="moeda")+(Inputs!$G$5:$G$120="acoes"))*Inputs!$B$1+((Inputs!$G$5:$G$120&lt;&gt;"moeda")*(Inputs!$G$5:$G$120&lt;&gt;"acoes")))*INDEX(Inputs!$K$5:$AJ$120,0,MATCH(I$2,Inputs!$K$4:$AJ$4,0)))))</f>
        <v>0</v>
      </c>
      <c r="J37" s="6">
        <f>IF(ISNA(MATCH(J$2,Inputs!$K$4:$AJ$4,0)),NA(),IF(SUMPRODUCT((Inputs!$A$5:$A$120=$B37)*ISNUMBER(INDEX(Inputs!$K$5:$AJ$120,0,MATCH(J$2,Inputs!$K$4:$AJ$4,0))))+SUMPRODUCT((Inputs!$C$5:$C$120=$B37)*ISNUMBER(INDEX(Inputs!$K$5:$AJ$120,0,MATCH(J$2,Inputs!$K$4:$AJ$4,0))))+SUMPRODUCT((Inputs!$E$5:$E$120=$B37)*ISNUMBER(INDEX(Inputs!$K$5:$AJ$120,0,MATCH(J$2,Inputs!$K$4:$AJ$4,0))))=0,NA(),SUMPRODUCT((Inputs!$A$5:$A$120=$B37)*Inputs!$B$5:$B$120*(((Inputs!$G$5:$G$120="moeda")+(Inputs!$G$5:$G$120="acoes"))*Inputs!$B$1+((Inputs!$G$5:$G$120&lt;&gt;"moeda")*(Inputs!$G$5:$G$120&lt;&gt;"acoes")))*INDEX(Inputs!$K$5:$AJ$120,0,MATCH(J$2,Inputs!$K$4:$AJ$4,0)))+SUMPRODUCT((Inputs!$C$5:$C$120=$B37)*Inputs!$D$5:$D$120*(((Inputs!$G$5:$G$120="moeda")+(Inputs!$G$5:$G$120="acoes"))*Inputs!$B$1+((Inputs!$G$5:$G$120&lt;&gt;"moeda")*(Inputs!$G$5:$G$120&lt;&gt;"acoes")))*INDEX(Inputs!$K$5:$AJ$120,0,MATCH(J$2,Inputs!$K$4:$AJ$4,0)))+SUMPRODUCT((Inputs!$E$5:$E$120=$B37)*Inputs!$F$5:$F$120*(((Inputs!$G$5:$G$120="moeda")+(Inputs!$G$5:$G$120="acoes"))*Inputs!$B$1+((Inputs!$G$5:$G$120&lt;&gt;"moeda")*(Inputs!$G$5:$G$120&lt;&gt;"acoes")))*INDEX(Inputs!$K$5:$AJ$120,0,MATCH(J$2,Inputs!$K$4:$AJ$4,0)))))</f>
        <v>0</v>
      </c>
      <c r="K37" s="6">
        <f>IF(ISNA(MATCH(K$2,Inputs!$K$4:$AJ$4,0)),NA(),IF(SUMPRODUCT((Inputs!$A$5:$A$120=$B37)*ISNUMBER(INDEX(Inputs!$K$5:$AJ$120,0,MATCH(K$2,Inputs!$K$4:$AJ$4,0))))+SUMPRODUCT((Inputs!$C$5:$C$120=$B37)*ISNUMBER(INDEX(Inputs!$K$5:$AJ$120,0,MATCH(K$2,Inputs!$K$4:$AJ$4,0))))+SUMPRODUCT((Inputs!$E$5:$E$120=$B37)*ISNUMBER(INDEX(Inputs!$K$5:$AJ$120,0,MATCH(K$2,Inputs!$K$4:$AJ$4,0))))=0,NA(),SUMPRODUCT((Inputs!$A$5:$A$120=$B37)*Inputs!$B$5:$B$120*(((Inputs!$G$5:$G$120="moeda")+(Inputs!$G$5:$G$120="acoes"))*Inputs!$B$1+((Inputs!$G$5:$G$120&lt;&gt;"moeda")*(Inputs!$G$5:$G$120&lt;&gt;"acoes")))*INDEX(Inputs!$K$5:$AJ$120,0,MATCH(K$2,Inputs!$K$4:$AJ$4,0)))+SUMPRODUCT((Inputs!$C$5:$C$120=$B37)*Inputs!$D$5:$D$120*(((Inputs!$G$5:$G$120="moeda")+(Inputs!$G$5:$G$120="acoes"))*Inputs!$B$1+((Inputs!$G$5:$G$120&lt;&gt;"moeda")*(Inputs!$G$5:$G$120&lt;&gt;"acoes")))*INDEX(Inputs!$K$5:$AJ$120,0,MATCH(K$2,Inputs!$K$4:$AJ$4,0)))+SUMPRODUCT((Inputs!$E$5:$E$120=$B37)*Inputs!$F$5:$F$120*(((Inputs!$G$5:$G$120="moeda")+(Inputs!$G$5:$G$120="acoes"))*Inputs!$B$1+((Inputs!$G$5:$G$120&lt;&gt;"moeda")*(Inputs!$G$5:$G$120&lt;&gt;"acoes")))*INDEX(Inputs!$K$5:$AJ$120,0,MATCH(K$2,Inputs!$K$4:$AJ$4,0)))))</f>
        <v>0</v>
      </c>
      <c r="L37" s="6">
        <f>IF(ISNA(MATCH(L$2,Inputs!$K$4:$AJ$4,0)),NA(),IF(SUMPRODUCT((Inputs!$A$5:$A$120=$B37)*ISNUMBER(INDEX(Inputs!$K$5:$AJ$120,0,MATCH(L$2,Inputs!$K$4:$AJ$4,0))))+SUMPRODUCT((Inputs!$C$5:$C$120=$B37)*ISNUMBER(INDEX(Inputs!$K$5:$AJ$120,0,MATCH(L$2,Inputs!$K$4:$AJ$4,0))))+SUMPRODUCT((Inputs!$E$5:$E$120=$B37)*ISNUMBER(INDEX(Inputs!$K$5:$AJ$120,0,MATCH(L$2,Inputs!$K$4:$AJ$4,0))))=0,NA(),SUMPRODUCT((Inputs!$A$5:$A$120=$B37)*Inputs!$B$5:$B$120*(((Inputs!$G$5:$G$120="moeda")+(Inputs!$G$5:$G$120="acoes"))*Inputs!$B$1+((Inputs!$G$5:$G$120&lt;&gt;"moeda")*(Inputs!$G$5:$G$120&lt;&gt;"acoes")))*INDEX(Inputs!$K$5:$AJ$120,0,MATCH(L$2,Inputs!$K$4:$AJ$4,0)))+SUMPRODUCT((Inputs!$C$5:$C$120=$B37)*Inputs!$D$5:$D$120*(((Inputs!$G$5:$G$120="moeda")+(Inputs!$G$5:$G$120="acoes"))*Inputs!$B$1+((Inputs!$G$5:$G$120&lt;&gt;"moeda")*(Inputs!$G$5:$G$120&lt;&gt;"acoes")))*INDEX(Inputs!$K$5:$AJ$120,0,MATCH(L$2,Inputs!$K$4:$AJ$4,0)))+SUMPRODUCT((Inputs!$E$5:$E$120=$B37)*Inputs!$F$5:$F$120*(((Inputs!$G$5:$G$120="moeda")+(Inputs!$G$5:$G$120="acoes"))*Inputs!$B$1+((Inputs!$G$5:$G$120&lt;&gt;"moeda")*(Inputs!$G$5:$G$120&lt;&gt;"acoes")))*INDEX(Inputs!$K$5:$AJ$120,0,MATCH(L$2,Inputs!$K$4:$AJ$4,0)))))</f>
        <v>0</v>
      </c>
      <c r="M37" s="3">
        <f>L37</f>
        <v>0</v>
      </c>
      <c r="N37" s="6">
        <f>IF(ISNA(MATCH(N$2,Inputs!$K$4:$AJ$4,0)),NA(),IF(SUMPRODUCT((Inputs!$A$5:$A$120=$B37)*ISNUMBER(INDEX(Inputs!$K$5:$AJ$120,0,MATCH(N$2,Inputs!$K$4:$AJ$4,0))))+SUMPRODUCT((Inputs!$C$5:$C$120=$B37)*ISNUMBER(INDEX(Inputs!$K$5:$AJ$120,0,MATCH(N$2,Inputs!$K$4:$AJ$4,0))))+SUMPRODUCT((Inputs!$E$5:$E$120=$B37)*ISNUMBER(INDEX(Inputs!$K$5:$AJ$120,0,MATCH(N$2,Inputs!$K$4:$AJ$4,0))))=0,NA(),SUMPRODUCT((Inputs!$A$5:$A$120=$B37)*Inputs!$B$5:$B$120*(((Inputs!$G$5:$G$120="moeda")+(Inputs!$G$5:$G$120="acoes"))*Inputs!$B$1+((Inputs!$G$5:$G$120&lt;&gt;"moeda")*(Inputs!$G$5:$G$120&lt;&gt;"acoes")))*INDEX(Inputs!$K$5:$AJ$120,0,MATCH(N$2,Inputs!$K$4:$AJ$4,0)))+SUMPRODUCT((Inputs!$C$5:$C$120=$B37)*Inputs!$D$5:$D$120*(((Inputs!$G$5:$G$120="moeda")+(Inputs!$G$5:$G$120="acoes"))*Inputs!$B$1+((Inputs!$G$5:$G$120&lt;&gt;"moeda")*(Inputs!$G$5:$G$120&lt;&gt;"acoes")))*INDEX(Inputs!$K$5:$AJ$120,0,MATCH(N$2,Inputs!$K$4:$AJ$4,0)))+SUMPRODUCT((Inputs!$E$5:$E$120=$B37)*Inputs!$F$5:$F$120*(((Inputs!$G$5:$G$120="moeda")+(Inputs!$G$5:$G$120="acoes"))*Inputs!$B$1+((Inputs!$G$5:$G$120&lt;&gt;"moeda")*(Inputs!$G$5:$G$120&lt;&gt;"acoes")))*INDEX(Inputs!$K$5:$AJ$120,0,MATCH(N$2,Inputs!$K$4:$AJ$4,0)))))</f>
        <v>0</v>
      </c>
      <c r="O37" s="6">
        <f>IF(ISNA(MATCH(O$2,Inputs!$K$4:$AJ$4,0)),NA(),IF(SUMPRODUCT((Inputs!$A$5:$A$120=$B37)*ISNUMBER(INDEX(Inputs!$K$5:$AJ$120,0,MATCH(O$2,Inputs!$K$4:$AJ$4,0))))+SUMPRODUCT((Inputs!$C$5:$C$120=$B37)*ISNUMBER(INDEX(Inputs!$K$5:$AJ$120,0,MATCH(O$2,Inputs!$K$4:$AJ$4,0))))+SUMPRODUCT((Inputs!$E$5:$E$120=$B37)*ISNUMBER(INDEX(Inputs!$K$5:$AJ$120,0,MATCH(O$2,Inputs!$K$4:$AJ$4,0))))=0,NA(),SUMPRODUCT((Inputs!$A$5:$A$120=$B37)*Inputs!$B$5:$B$120*(((Inputs!$G$5:$G$120="moeda")+(Inputs!$G$5:$G$120="acoes"))*Inputs!$B$1+((Inputs!$G$5:$G$120&lt;&gt;"moeda")*(Inputs!$G$5:$G$120&lt;&gt;"acoes")))*INDEX(Inputs!$K$5:$AJ$120,0,MATCH(O$2,Inputs!$K$4:$AJ$4,0)))+SUMPRODUCT((Inputs!$C$5:$C$120=$B37)*Inputs!$D$5:$D$120*(((Inputs!$G$5:$G$120="moeda")+(Inputs!$G$5:$G$120="acoes"))*Inputs!$B$1+((Inputs!$G$5:$G$120&lt;&gt;"moeda")*(Inputs!$G$5:$G$120&lt;&gt;"acoes")))*INDEX(Inputs!$K$5:$AJ$120,0,MATCH(O$2,Inputs!$K$4:$AJ$4,0)))+SUMPRODUCT((Inputs!$E$5:$E$120=$B37)*Inputs!$F$5:$F$120*(((Inputs!$G$5:$G$120="moeda")+(Inputs!$G$5:$G$120="acoes"))*Inputs!$B$1+((Inputs!$G$5:$G$120&lt;&gt;"moeda")*(Inputs!$G$5:$G$120&lt;&gt;"acoes")))*INDEX(Inputs!$K$5:$AJ$120,0,MATCH(O$2,Inputs!$K$4:$AJ$4,0)))))</f>
        <v>0</v>
      </c>
      <c r="P37" s="6">
        <f>IF(ISNA(MATCH(P$2,Inputs!$K$4:$AJ$4,0)),NA(),IF(SUMPRODUCT((Inputs!$A$5:$A$120=$B37)*ISNUMBER(INDEX(Inputs!$K$5:$AJ$120,0,MATCH(P$2,Inputs!$K$4:$AJ$4,0))))+SUMPRODUCT((Inputs!$C$5:$C$120=$B37)*ISNUMBER(INDEX(Inputs!$K$5:$AJ$120,0,MATCH(P$2,Inputs!$K$4:$AJ$4,0))))+SUMPRODUCT((Inputs!$E$5:$E$120=$B37)*ISNUMBER(INDEX(Inputs!$K$5:$AJ$120,0,MATCH(P$2,Inputs!$K$4:$AJ$4,0))))=0,NA(),SUMPRODUCT((Inputs!$A$5:$A$120=$B37)*Inputs!$B$5:$B$120*(((Inputs!$G$5:$G$120="moeda")+(Inputs!$G$5:$G$120="acoes"))*Inputs!$B$1+((Inputs!$G$5:$G$120&lt;&gt;"moeda")*(Inputs!$G$5:$G$120&lt;&gt;"acoes")))*INDEX(Inputs!$K$5:$AJ$120,0,MATCH(P$2,Inputs!$K$4:$AJ$4,0)))+SUMPRODUCT((Inputs!$C$5:$C$120=$B37)*Inputs!$D$5:$D$120*(((Inputs!$G$5:$G$120="moeda")+(Inputs!$G$5:$G$120="acoes"))*Inputs!$B$1+((Inputs!$G$5:$G$120&lt;&gt;"moeda")*(Inputs!$G$5:$G$120&lt;&gt;"acoes")))*INDEX(Inputs!$K$5:$AJ$120,0,MATCH(P$2,Inputs!$K$4:$AJ$4,0)))+SUMPRODUCT((Inputs!$E$5:$E$120=$B37)*Inputs!$F$5:$F$120*(((Inputs!$G$5:$G$120="moeda")+(Inputs!$G$5:$G$120="acoes"))*Inputs!$B$1+((Inputs!$G$5:$G$120&lt;&gt;"moeda")*(Inputs!$G$5:$G$120&lt;&gt;"acoes")))*INDEX(Inputs!$K$5:$AJ$120,0,MATCH(P$2,Inputs!$K$4:$AJ$4,0)))))</f>
        <v>0</v>
      </c>
      <c r="Q37" s="6">
        <f>IF(ISNA(MATCH(Q$2,Inputs!$K$4:$AJ$4,0)),NA(),IF(SUMPRODUCT((Inputs!$A$5:$A$120=$B37)*ISNUMBER(INDEX(Inputs!$K$5:$AJ$120,0,MATCH(Q$2,Inputs!$K$4:$AJ$4,0))))+SUMPRODUCT((Inputs!$C$5:$C$120=$B37)*ISNUMBER(INDEX(Inputs!$K$5:$AJ$120,0,MATCH(Q$2,Inputs!$K$4:$AJ$4,0))))+SUMPRODUCT((Inputs!$E$5:$E$120=$B37)*ISNUMBER(INDEX(Inputs!$K$5:$AJ$120,0,MATCH(Q$2,Inputs!$K$4:$AJ$4,0))))=0,NA(),SUMPRODUCT((Inputs!$A$5:$A$120=$B37)*Inputs!$B$5:$B$120*(((Inputs!$G$5:$G$120="moeda")+(Inputs!$G$5:$G$120="acoes"))*Inputs!$B$1+((Inputs!$G$5:$G$120&lt;&gt;"moeda")*(Inputs!$G$5:$G$120&lt;&gt;"acoes")))*INDEX(Inputs!$K$5:$AJ$120,0,MATCH(Q$2,Inputs!$K$4:$AJ$4,0)))+SUMPRODUCT((Inputs!$C$5:$C$120=$B37)*Inputs!$D$5:$D$120*(((Inputs!$G$5:$G$120="moeda")+(Inputs!$G$5:$G$120="acoes"))*Inputs!$B$1+((Inputs!$G$5:$G$120&lt;&gt;"moeda")*(Inputs!$G$5:$G$120&lt;&gt;"acoes")))*INDEX(Inputs!$K$5:$AJ$120,0,MATCH(Q$2,Inputs!$K$4:$AJ$4,0)))+SUMPRODUCT((Inputs!$E$5:$E$120=$B37)*Inputs!$F$5:$F$120*(((Inputs!$G$5:$G$120="moeda")+(Inputs!$G$5:$G$120="acoes"))*Inputs!$B$1+((Inputs!$G$5:$G$120&lt;&gt;"moeda")*(Inputs!$G$5:$G$120&lt;&gt;"acoes")))*INDEX(Inputs!$K$5:$AJ$120,0,MATCH(Q$2,Inputs!$K$4:$AJ$4,0)))))</f>
        <v>0</v>
      </c>
      <c r="R37" s="3">
        <f>Q37</f>
        <v>0</v>
      </c>
      <c r="S37" s="6">
        <f>IF(ISNA(MATCH(S$2,Inputs!$K$4:$AJ$4,0)),NA(),IF(SUMPRODUCT((Inputs!$A$5:$A$120=$B37)*ISNUMBER(INDEX(Inputs!$K$5:$AJ$120,0,MATCH(S$2,Inputs!$K$4:$AJ$4,0))))+SUMPRODUCT((Inputs!$C$5:$C$120=$B37)*ISNUMBER(INDEX(Inputs!$K$5:$AJ$120,0,MATCH(S$2,Inputs!$K$4:$AJ$4,0))))+SUMPRODUCT((Inputs!$E$5:$E$120=$B37)*ISNUMBER(INDEX(Inputs!$K$5:$AJ$120,0,MATCH(S$2,Inputs!$K$4:$AJ$4,0))))=0,NA(),SUMPRODUCT((Inputs!$A$5:$A$120=$B37)*Inputs!$B$5:$B$120*(((Inputs!$G$5:$G$120="moeda")+(Inputs!$G$5:$G$120="acoes"))*Inputs!$B$1+((Inputs!$G$5:$G$120&lt;&gt;"moeda")*(Inputs!$G$5:$G$120&lt;&gt;"acoes")))*INDEX(Inputs!$K$5:$AJ$120,0,MATCH(S$2,Inputs!$K$4:$AJ$4,0)))+SUMPRODUCT((Inputs!$C$5:$C$120=$B37)*Inputs!$D$5:$D$120*(((Inputs!$G$5:$G$120="moeda")+(Inputs!$G$5:$G$120="acoes"))*Inputs!$B$1+((Inputs!$G$5:$G$120&lt;&gt;"moeda")*(Inputs!$G$5:$G$120&lt;&gt;"acoes")))*INDEX(Inputs!$K$5:$AJ$120,0,MATCH(S$2,Inputs!$K$4:$AJ$4,0)))+SUMPRODUCT((Inputs!$E$5:$E$120=$B37)*Inputs!$F$5:$F$120*(((Inputs!$G$5:$G$120="moeda")+(Inputs!$G$5:$G$120="acoes"))*Inputs!$B$1+((Inputs!$G$5:$G$120&lt;&gt;"moeda")*(Inputs!$G$5:$G$120&lt;&gt;"acoes")))*INDEX(Inputs!$K$5:$AJ$120,0,MATCH(S$2,Inputs!$K$4:$AJ$4,0)))))</f>
        <v>0</v>
      </c>
      <c r="T37" s="6">
        <f>IF(ISNA(MATCH(T$2,Inputs!$K$4:$AJ$4,0)),NA(),IF(SUMPRODUCT((Inputs!$A$5:$A$120=$B37)*ISNUMBER(INDEX(Inputs!$K$5:$AJ$120,0,MATCH(T$2,Inputs!$K$4:$AJ$4,0))))+SUMPRODUCT((Inputs!$C$5:$C$120=$B37)*ISNUMBER(INDEX(Inputs!$K$5:$AJ$120,0,MATCH(T$2,Inputs!$K$4:$AJ$4,0))))+SUMPRODUCT((Inputs!$E$5:$E$120=$B37)*ISNUMBER(INDEX(Inputs!$K$5:$AJ$120,0,MATCH(T$2,Inputs!$K$4:$AJ$4,0))))=0,NA(),SUMPRODUCT((Inputs!$A$5:$A$120=$B37)*Inputs!$B$5:$B$120*(((Inputs!$G$5:$G$120="moeda")+(Inputs!$G$5:$G$120="acoes"))*Inputs!$B$1+((Inputs!$G$5:$G$120&lt;&gt;"moeda")*(Inputs!$G$5:$G$120&lt;&gt;"acoes")))*INDEX(Inputs!$K$5:$AJ$120,0,MATCH(T$2,Inputs!$K$4:$AJ$4,0)))+SUMPRODUCT((Inputs!$C$5:$C$120=$B37)*Inputs!$D$5:$D$120*(((Inputs!$G$5:$G$120="moeda")+(Inputs!$G$5:$G$120="acoes"))*Inputs!$B$1+((Inputs!$G$5:$G$120&lt;&gt;"moeda")*(Inputs!$G$5:$G$120&lt;&gt;"acoes")))*INDEX(Inputs!$K$5:$AJ$120,0,MATCH(T$2,Inputs!$K$4:$AJ$4,0)))+SUMPRODUCT((Inputs!$E$5:$E$120=$B37)*Inputs!$F$5:$F$120*(((Inputs!$G$5:$G$120="moeda")+(Inputs!$G$5:$G$120="acoes"))*Inputs!$B$1+((Inputs!$G$5:$G$120&lt;&gt;"moeda")*(Inputs!$G$5:$G$120&lt;&gt;"acoes")))*INDEX(Inputs!$K$5:$AJ$120,0,MATCH(T$2,Inputs!$K$4:$AJ$4,0)))))</f>
        <v>0</v>
      </c>
      <c r="U37" s="6">
        <f>IF(ISNA(MATCH(U$2,Inputs!$K$4:$AJ$4,0)),NA(),IF(SUMPRODUCT((Inputs!$A$5:$A$120=$B37)*ISNUMBER(INDEX(Inputs!$K$5:$AJ$120,0,MATCH(U$2,Inputs!$K$4:$AJ$4,0))))+SUMPRODUCT((Inputs!$C$5:$C$120=$B37)*ISNUMBER(INDEX(Inputs!$K$5:$AJ$120,0,MATCH(U$2,Inputs!$K$4:$AJ$4,0))))+SUMPRODUCT((Inputs!$E$5:$E$120=$B37)*ISNUMBER(INDEX(Inputs!$K$5:$AJ$120,0,MATCH(U$2,Inputs!$K$4:$AJ$4,0))))=0,NA(),SUMPRODUCT((Inputs!$A$5:$A$120=$B37)*Inputs!$B$5:$B$120*(((Inputs!$G$5:$G$120="moeda")+(Inputs!$G$5:$G$120="acoes"))*Inputs!$B$1+((Inputs!$G$5:$G$120&lt;&gt;"moeda")*(Inputs!$G$5:$G$120&lt;&gt;"acoes")))*INDEX(Inputs!$K$5:$AJ$120,0,MATCH(U$2,Inputs!$K$4:$AJ$4,0)))+SUMPRODUCT((Inputs!$C$5:$C$120=$B37)*Inputs!$D$5:$D$120*(((Inputs!$G$5:$G$120="moeda")+(Inputs!$G$5:$G$120="acoes"))*Inputs!$B$1+((Inputs!$G$5:$G$120&lt;&gt;"moeda")*(Inputs!$G$5:$G$120&lt;&gt;"acoes")))*INDEX(Inputs!$K$5:$AJ$120,0,MATCH(U$2,Inputs!$K$4:$AJ$4,0)))+SUMPRODUCT((Inputs!$E$5:$E$120=$B37)*Inputs!$F$5:$F$120*(((Inputs!$G$5:$G$120="moeda")+(Inputs!$G$5:$G$120="acoes"))*Inputs!$B$1+((Inputs!$G$5:$G$120&lt;&gt;"moeda")*(Inputs!$G$5:$G$120&lt;&gt;"acoes")))*INDEX(Inputs!$K$5:$AJ$120,0,MATCH(U$2,Inputs!$K$4:$AJ$4,0)))))</f>
        <v>0</v>
      </c>
      <c r="V37" s="6">
        <f>IF(ISNA(MATCH(V$2,Inputs!$K$4:$AJ$4,0)),NA(),IF(SUMPRODUCT((Inputs!$A$5:$A$120=$B37)*ISNUMBER(INDEX(Inputs!$K$5:$AJ$120,0,MATCH(V$2,Inputs!$K$4:$AJ$4,0))))+SUMPRODUCT((Inputs!$C$5:$C$120=$B37)*ISNUMBER(INDEX(Inputs!$K$5:$AJ$120,0,MATCH(V$2,Inputs!$K$4:$AJ$4,0))))+SUMPRODUCT((Inputs!$E$5:$E$120=$B37)*ISNUMBER(INDEX(Inputs!$K$5:$AJ$120,0,MATCH(V$2,Inputs!$K$4:$AJ$4,0))))=0,NA(),SUMPRODUCT((Inputs!$A$5:$A$120=$B37)*Inputs!$B$5:$B$120*(((Inputs!$G$5:$G$120="moeda")+(Inputs!$G$5:$G$120="acoes"))*Inputs!$B$1+((Inputs!$G$5:$G$120&lt;&gt;"moeda")*(Inputs!$G$5:$G$120&lt;&gt;"acoes")))*INDEX(Inputs!$K$5:$AJ$120,0,MATCH(V$2,Inputs!$K$4:$AJ$4,0)))+SUMPRODUCT((Inputs!$C$5:$C$120=$B37)*Inputs!$D$5:$D$120*(((Inputs!$G$5:$G$120="moeda")+(Inputs!$G$5:$G$120="acoes"))*Inputs!$B$1+((Inputs!$G$5:$G$120&lt;&gt;"moeda")*(Inputs!$G$5:$G$120&lt;&gt;"acoes")))*INDEX(Inputs!$K$5:$AJ$120,0,MATCH(V$2,Inputs!$K$4:$AJ$4,0)))+SUMPRODUCT((Inputs!$E$5:$E$120=$B37)*Inputs!$F$5:$F$120*(((Inputs!$G$5:$G$120="moeda")+(Inputs!$G$5:$G$120="acoes"))*Inputs!$B$1+((Inputs!$G$5:$G$120&lt;&gt;"moeda")*(Inputs!$G$5:$G$120&lt;&gt;"acoes")))*INDEX(Inputs!$K$5:$AJ$120,0,MATCH(V$2,Inputs!$K$4:$AJ$4,0)))))</f>
        <v>0</v>
      </c>
      <c r="W37" s="3">
        <f>V37</f>
        <v>0</v>
      </c>
      <c r="X37" s="6">
        <f>IF(ISNA(MATCH(X$2,Inputs!$K$4:$AJ$4,0)),NA(),IF(SUMPRODUCT((Inputs!$A$5:$A$120=$B37)*ISNUMBER(INDEX(Inputs!$K$5:$AJ$120,0,MATCH(X$2,Inputs!$K$4:$AJ$4,0))))+SUMPRODUCT((Inputs!$C$5:$C$120=$B37)*ISNUMBER(INDEX(Inputs!$K$5:$AJ$120,0,MATCH(X$2,Inputs!$K$4:$AJ$4,0))))+SUMPRODUCT((Inputs!$E$5:$E$120=$B37)*ISNUMBER(INDEX(Inputs!$K$5:$AJ$120,0,MATCH(X$2,Inputs!$K$4:$AJ$4,0))))=0,NA(),SUMPRODUCT((Inputs!$A$5:$A$120=$B37)*Inputs!$B$5:$B$120*(((Inputs!$G$5:$G$120="moeda")+(Inputs!$G$5:$G$120="acoes"))*Inputs!$B$1+((Inputs!$G$5:$G$120&lt;&gt;"moeda")*(Inputs!$G$5:$G$120&lt;&gt;"acoes")))*INDEX(Inputs!$K$5:$AJ$120,0,MATCH(X$2,Inputs!$K$4:$AJ$4,0)))+SUMPRODUCT((Inputs!$C$5:$C$120=$B37)*Inputs!$D$5:$D$120*(((Inputs!$G$5:$G$120="moeda")+(Inputs!$G$5:$G$120="acoes"))*Inputs!$B$1+((Inputs!$G$5:$G$120&lt;&gt;"moeda")*(Inputs!$G$5:$G$120&lt;&gt;"acoes")))*INDEX(Inputs!$K$5:$AJ$120,0,MATCH(X$2,Inputs!$K$4:$AJ$4,0)))+SUMPRODUCT((Inputs!$E$5:$E$120=$B37)*Inputs!$F$5:$F$120*(((Inputs!$G$5:$G$120="moeda")+(Inputs!$G$5:$G$120="acoes"))*Inputs!$B$1+((Inputs!$G$5:$G$120&lt;&gt;"moeda")*(Inputs!$G$5:$G$120&lt;&gt;"acoes")))*INDEX(Inputs!$K$5:$AJ$120,0,MATCH(X$2,Inputs!$K$4:$AJ$4,0)))))</f>
        <v>0</v>
      </c>
      <c r="Y37" s="6">
        <f>IF(ISNA(MATCH(Y$2,Inputs!$K$4:$AJ$4,0)),NA(),IF(SUMPRODUCT((Inputs!$A$5:$A$120=$B37)*ISNUMBER(INDEX(Inputs!$K$5:$AJ$120,0,MATCH(Y$2,Inputs!$K$4:$AJ$4,0))))+SUMPRODUCT((Inputs!$C$5:$C$120=$B37)*ISNUMBER(INDEX(Inputs!$K$5:$AJ$120,0,MATCH(Y$2,Inputs!$K$4:$AJ$4,0))))+SUMPRODUCT((Inputs!$E$5:$E$120=$B37)*ISNUMBER(INDEX(Inputs!$K$5:$AJ$120,0,MATCH(Y$2,Inputs!$K$4:$AJ$4,0))))=0,NA(),SUMPRODUCT((Inputs!$A$5:$A$120=$B37)*Inputs!$B$5:$B$120*(((Inputs!$G$5:$G$120="moeda")+(Inputs!$G$5:$G$120="acoes"))*Inputs!$B$1+((Inputs!$G$5:$G$120&lt;&gt;"moeda")*(Inputs!$G$5:$G$120&lt;&gt;"acoes")))*INDEX(Inputs!$K$5:$AJ$120,0,MATCH(Y$2,Inputs!$K$4:$AJ$4,0)))+SUMPRODUCT((Inputs!$C$5:$C$120=$B37)*Inputs!$D$5:$D$120*(((Inputs!$G$5:$G$120="moeda")+(Inputs!$G$5:$G$120="acoes"))*Inputs!$B$1+((Inputs!$G$5:$G$120&lt;&gt;"moeda")*(Inputs!$G$5:$G$120&lt;&gt;"acoes")))*INDEX(Inputs!$K$5:$AJ$120,0,MATCH(Y$2,Inputs!$K$4:$AJ$4,0)))+SUMPRODUCT((Inputs!$E$5:$E$120=$B37)*Inputs!$F$5:$F$120*(((Inputs!$G$5:$G$120="moeda")+(Inputs!$G$5:$G$120="acoes"))*Inputs!$B$1+((Inputs!$G$5:$G$120&lt;&gt;"moeda")*(Inputs!$G$5:$G$120&lt;&gt;"acoes")))*INDEX(Inputs!$K$5:$AJ$120,0,MATCH(Y$2,Inputs!$K$4:$AJ$4,0)))))</f>
        <v>0</v>
      </c>
      <c r="Z37" s="6">
        <f>IF(ISNA(MATCH(Z$2,Inputs!$K$4:$AJ$4,0)),NA(),IF(SUMPRODUCT((Inputs!$A$5:$A$120=$B37)*ISNUMBER(INDEX(Inputs!$K$5:$AJ$120,0,MATCH(Z$2,Inputs!$K$4:$AJ$4,0))))+SUMPRODUCT((Inputs!$C$5:$C$120=$B37)*ISNUMBER(INDEX(Inputs!$K$5:$AJ$120,0,MATCH(Z$2,Inputs!$K$4:$AJ$4,0))))+SUMPRODUCT((Inputs!$E$5:$E$120=$B37)*ISNUMBER(INDEX(Inputs!$K$5:$AJ$120,0,MATCH(Z$2,Inputs!$K$4:$AJ$4,0))))=0,NA(),SUMPRODUCT((Inputs!$A$5:$A$120=$B37)*Inputs!$B$5:$B$120*(((Inputs!$G$5:$G$120="moeda")+(Inputs!$G$5:$G$120="acoes"))*Inputs!$B$1+((Inputs!$G$5:$G$120&lt;&gt;"moeda")*(Inputs!$G$5:$G$120&lt;&gt;"acoes")))*INDEX(Inputs!$K$5:$AJ$120,0,MATCH(Z$2,Inputs!$K$4:$AJ$4,0)))+SUMPRODUCT((Inputs!$C$5:$C$120=$B37)*Inputs!$D$5:$D$120*(((Inputs!$G$5:$G$120="moeda")+(Inputs!$G$5:$G$120="acoes"))*Inputs!$B$1+((Inputs!$G$5:$G$120&lt;&gt;"moeda")*(Inputs!$G$5:$G$120&lt;&gt;"acoes")))*INDEX(Inputs!$K$5:$AJ$120,0,MATCH(Z$2,Inputs!$K$4:$AJ$4,0)))+SUMPRODUCT((Inputs!$E$5:$E$120=$B37)*Inputs!$F$5:$F$120*(((Inputs!$G$5:$G$120="moeda")+(Inputs!$G$5:$G$120="acoes"))*Inputs!$B$1+((Inputs!$G$5:$G$120&lt;&gt;"moeda")*(Inputs!$G$5:$G$120&lt;&gt;"acoes")))*INDEX(Inputs!$K$5:$AJ$120,0,MATCH(Z$2,Inputs!$K$4:$AJ$4,0)))))</f>
        <v>0</v>
      </c>
      <c r="AA37" s="6">
        <f>IF(ISNA(MATCH(AA$2,Inputs!$K$4:$AJ$4,0)),NA(),IF(SUMPRODUCT((Inputs!$A$5:$A$120=$B37)*ISNUMBER(INDEX(Inputs!$K$5:$AJ$120,0,MATCH(AA$2,Inputs!$K$4:$AJ$4,0))))+SUMPRODUCT((Inputs!$C$5:$C$120=$B37)*ISNUMBER(INDEX(Inputs!$K$5:$AJ$120,0,MATCH(AA$2,Inputs!$K$4:$AJ$4,0))))+SUMPRODUCT((Inputs!$E$5:$E$120=$B37)*ISNUMBER(INDEX(Inputs!$K$5:$AJ$120,0,MATCH(AA$2,Inputs!$K$4:$AJ$4,0))))=0,NA(),SUMPRODUCT((Inputs!$A$5:$A$120=$B37)*Inputs!$B$5:$B$120*(((Inputs!$G$5:$G$120="moeda")+(Inputs!$G$5:$G$120="acoes"))*Inputs!$B$1+((Inputs!$G$5:$G$120&lt;&gt;"moeda")*(Inputs!$G$5:$G$120&lt;&gt;"acoes")))*INDEX(Inputs!$K$5:$AJ$120,0,MATCH(AA$2,Inputs!$K$4:$AJ$4,0)))+SUMPRODUCT((Inputs!$C$5:$C$120=$B37)*Inputs!$D$5:$D$120*(((Inputs!$G$5:$G$120="moeda")+(Inputs!$G$5:$G$120="acoes"))*Inputs!$B$1+((Inputs!$G$5:$G$120&lt;&gt;"moeda")*(Inputs!$G$5:$G$120&lt;&gt;"acoes")))*INDEX(Inputs!$K$5:$AJ$120,0,MATCH(AA$2,Inputs!$K$4:$AJ$4,0)))+SUMPRODUCT((Inputs!$E$5:$E$120=$B37)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7" s="3">
        <f>AA37</f>
        <v>0</v>
      </c>
      <c r="AC37" s="6">
        <f>IF(ISNA(MATCH(AC$2,Inputs!$K$4:$AJ$4,0)),NA(),IF(SUMPRODUCT((Inputs!$A$5:$A$120=$B37)*ISNUMBER(INDEX(Inputs!$K$5:$AJ$120,0,MATCH(AC$2,Inputs!$K$4:$AJ$4,0))))+SUMPRODUCT((Inputs!$C$5:$C$120=$B37)*ISNUMBER(INDEX(Inputs!$K$5:$AJ$120,0,MATCH(AC$2,Inputs!$K$4:$AJ$4,0))))+SUMPRODUCT((Inputs!$E$5:$E$120=$B37)*ISNUMBER(INDEX(Inputs!$K$5:$AJ$120,0,MATCH(AC$2,Inputs!$K$4:$AJ$4,0))))=0,NA(),SUMPRODUCT((Inputs!$A$5:$A$120=$B37)*Inputs!$B$5:$B$120*(((Inputs!$G$5:$G$120="moeda")+(Inputs!$G$5:$G$120="acoes"))*Inputs!$B$1+((Inputs!$G$5:$G$120&lt;&gt;"moeda")*(Inputs!$G$5:$G$120&lt;&gt;"acoes")))*INDEX(Inputs!$K$5:$AJ$120,0,MATCH(AC$2,Inputs!$K$4:$AJ$4,0)))+SUMPRODUCT((Inputs!$C$5:$C$120=$B37)*Inputs!$D$5:$D$120*(((Inputs!$G$5:$G$120="moeda")+(Inputs!$G$5:$G$120="acoes"))*Inputs!$B$1+((Inputs!$G$5:$G$120&lt;&gt;"moeda")*(Inputs!$G$5:$G$120&lt;&gt;"acoes")))*INDEX(Inputs!$K$5:$AJ$120,0,MATCH(AC$2,Inputs!$K$4:$AJ$4,0)))+SUMPRODUCT((Inputs!$E$5:$E$120=$B37)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7" s="6">
        <f>IF(ISNA(MATCH(AD$2,Inputs!$K$4:$AJ$4,0)),NA(),IF(SUMPRODUCT((Inputs!$A$5:$A$120=$B37)*ISNUMBER(INDEX(Inputs!$K$5:$AJ$120,0,MATCH(AD$2,Inputs!$K$4:$AJ$4,0))))+SUMPRODUCT((Inputs!$C$5:$C$120=$B37)*ISNUMBER(INDEX(Inputs!$K$5:$AJ$120,0,MATCH(AD$2,Inputs!$K$4:$AJ$4,0))))+SUMPRODUCT((Inputs!$E$5:$E$120=$B37)*ISNUMBER(INDEX(Inputs!$K$5:$AJ$120,0,MATCH(AD$2,Inputs!$K$4:$AJ$4,0))))=0,NA(),SUMPRODUCT((Inputs!$A$5:$A$120=$B37)*Inputs!$B$5:$B$120*(((Inputs!$G$5:$G$120="moeda")+(Inputs!$G$5:$G$120="acoes"))*Inputs!$B$1+((Inputs!$G$5:$G$120&lt;&gt;"moeda")*(Inputs!$G$5:$G$120&lt;&gt;"acoes")))*INDEX(Inputs!$K$5:$AJ$120,0,MATCH(AD$2,Inputs!$K$4:$AJ$4,0)))+SUMPRODUCT((Inputs!$C$5:$C$120=$B37)*Inputs!$D$5:$D$120*(((Inputs!$G$5:$G$120="moeda")+(Inputs!$G$5:$G$120="acoes"))*Inputs!$B$1+((Inputs!$G$5:$G$120&lt;&gt;"moeda")*(Inputs!$G$5:$G$120&lt;&gt;"acoes")))*INDEX(Inputs!$K$5:$AJ$120,0,MATCH(AD$2,Inputs!$K$4:$AJ$4,0)))+SUMPRODUCT((Inputs!$E$5:$E$120=$B37)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7" s="6" t="e">
        <f>IF(ISNA(MATCH(AE$2,Inputs!$K$4:$AJ$4,0)),NA(),IF(SUMPRODUCT((Inputs!$A$5:$A$120=$B37)*ISNUMBER(INDEX(Inputs!$K$5:$AJ$120,0,MATCH(AE$2,Inputs!$K$4:$AJ$4,0))))+SUMPRODUCT((Inputs!$C$5:$C$120=$B37)*ISNUMBER(INDEX(Inputs!$K$5:$AJ$120,0,MATCH(AE$2,Inputs!$K$4:$AJ$4,0))))+SUMPRODUCT((Inputs!$E$5:$E$120=$B37)*ISNUMBER(INDEX(Inputs!$K$5:$AJ$120,0,MATCH(AE$2,Inputs!$K$4:$AJ$4,0))))=0,NA(),SUMPRODUCT((Inputs!$A$5:$A$120=$B37)*Inputs!$B$5:$B$120*(((Inputs!$G$5:$G$120="moeda")+(Inputs!$G$5:$G$120="acoes"))*Inputs!$B$1+((Inputs!$G$5:$G$120&lt;&gt;"moeda")*(Inputs!$G$5:$G$120&lt;&gt;"acoes")))*INDEX(Inputs!$K$5:$AJ$120,0,MATCH(AE$2,Inputs!$K$4:$AJ$4,0)))+SUMPRODUCT((Inputs!$C$5:$C$120=$B37)*Inputs!$D$5:$D$120*(((Inputs!$G$5:$G$120="moeda")+(Inputs!$G$5:$G$120="acoes"))*Inputs!$B$1+((Inputs!$G$5:$G$120&lt;&gt;"moeda")*(Inputs!$G$5:$G$120&lt;&gt;"acoes")))*INDEX(Inputs!$K$5:$AJ$120,0,MATCH(AE$2,Inputs!$K$4:$AJ$4,0)))+SUMPRODUCT((Inputs!$E$5:$E$120=$B37)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7" s="6" t="e">
        <f>IF(ISNA(MATCH(AF$2,Inputs!$K$4:$AJ$4,0)),NA(),IF(SUMPRODUCT((Inputs!$A$5:$A$120=$B37)*ISNUMBER(INDEX(Inputs!$K$5:$AJ$120,0,MATCH(AF$2,Inputs!$K$4:$AJ$4,0))))+SUMPRODUCT((Inputs!$C$5:$C$120=$B37)*ISNUMBER(INDEX(Inputs!$K$5:$AJ$120,0,MATCH(AF$2,Inputs!$K$4:$AJ$4,0))))+SUMPRODUCT((Inputs!$E$5:$E$120=$B37)*ISNUMBER(INDEX(Inputs!$K$5:$AJ$120,0,MATCH(AF$2,Inputs!$K$4:$AJ$4,0))))=0,NA(),SUMPRODUCT((Inputs!$A$5:$A$120=$B37)*Inputs!$B$5:$B$120*(((Inputs!$G$5:$G$120="moeda")+(Inputs!$G$5:$G$120="acoes"))*Inputs!$B$1+((Inputs!$G$5:$G$120&lt;&gt;"moeda")*(Inputs!$G$5:$G$120&lt;&gt;"acoes")))*INDEX(Inputs!$K$5:$AJ$120,0,MATCH(AF$2,Inputs!$K$4:$AJ$4,0)))+SUMPRODUCT((Inputs!$C$5:$C$120=$B37)*Inputs!$D$5:$D$120*(((Inputs!$G$5:$G$120="moeda")+(Inputs!$G$5:$G$120="acoes"))*Inputs!$B$1+((Inputs!$G$5:$G$120&lt;&gt;"moeda")*(Inputs!$G$5:$G$120&lt;&gt;"acoes")))*INDEX(Inputs!$K$5:$AJ$120,0,MATCH(AF$2,Inputs!$K$4:$AJ$4,0)))+SUMPRODUCT((Inputs!$E$5:$E$120=$B37)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7" s="3" t="e">
        <f>AF37</f>
        <v>#N/A</v>
      </c>
      <c r="AH37" s="6">
        <f>IF(ISNA(MATCH(AH$2,Inputs!$K$4:$AJ$4,0)),NA(),IF(SUMPRODUCT((Inputs!$A$5:$A$120=$B37)*ISNUMBER(INDEX(Inputs!$K$5:$AJ$120,0,MATCH(AH$2,Inputs!$K$4:$AJ$4,0))))+SUMPRODUCT((Inputs!$C$5:$C$120=$B37)*ISNUMBER(INDEX(Inputs!$K$5:$AJ$120,0,MATCH(AH$2,Inputs!$K$4:$AJ$4,0))))+SUMPRODUCT((Inputs!$E$5:$E$120=$B37)*ISNUMBER(INDEX(Inputs!$K$5:$AJ$120,0,MATCH(AH$2,Inputs!$K$4:$AJ$4,0))))=0,NA(),SUMPRODUCT((Inputs!$A$5:$A$120=$B37)*Inputs!$B$5:$B$120*(((Inputs!$G$5:$G$120="moeda")+(Inputs!$G$5:$G$120="acoes"))*Inputs!$B$1+((Inputs!$G$5:$G$120&lt;&gt;"moeda")*(Inputs!$G$5:$G$120&lt;&gt;"acoes")))*INDEX(Inputs!$K$5:$AJ$120,0,MATCH(AH$2,Inputs!$K$4:$AJ$4,0)))+SUMPRODUCT((Inputs!$C$5:$C$120=$B37)*Inputs!$D$5:$D$120*(((Inputs!$G$5:$G$120="moeda")+(Inputs!$G$5:$G$120="acoes"))*Inputs!$B$1+((Inputs!$G$5:$G$120&lt;&gt;"moeda")*(Inputs!$G$5:$G$120&lt;&gt;"acoes")))*INDEX(Inputs!$K$5:$AJ$120,0,MATCH(AH$2,Inputs!$K$4:$AJ$4,0)))+SUMPRODUCT((Inputs!$E$5:$E$120=$B37)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7" s="6">
        <f>IF(ISNA(MATCH(AI$2,Inputs!$K$4:$AJ$4,0)),NA(),IF(SUMPRODUCT((Inputs!$A$5:$A$120=$B37)*ISNUMBER(INDEX(Inputs!$K$5:$AJ$120,0,MATCH(AI$2,Inputs!$K$4:$AJ$4,0))))+SUMPRODUCT((Inputs!$C$5:$C$120=$B37)*ISNUMBER(INDEX(Inputs!$K$5:$AJ$120,0,MATCH(AI$2,Inputs!$K$4:$AJ$4,0))))+SUMPRODUCT((Inputs!$E$5:$E$120=$B37)*ISNUMBER(INDEX(Inputs!$K$5:$AJ$120,0,MATCH(AI$2,Inputs!$K$4:$AJ$4,0))))=0,NA(),SUMPRODUCT((Inputs!$A$5:$A$120=$B37)*Inputs!$B$5:$B$120*(((Inputs!$G$5:$G$120="moeda")+(Inputs!$G$5:$G$120="acoes"))*Inputs!$B$1+((Inputs!$G$5:$G$120&lt;&gt;"moeda")*(Inputs!$G$5:$G$120&lt;&gt;"acoes")))*INDEX(Inputs!$K$5:$AJ$120,0,MATCH(AI$2,Inputs!$K$4:$AJ$4,0)))+SUMPRODUCT((Inputs!$C$5:$C$120=$B37)*Inputs!$D$5:$D$120*(((Inputs!$G$5:$G$120="moeda")+(Inputs!$G$5:$G$120="acoes"))*Inputs!$B$1+((Inputs!$G$5:$G$120&lt;&gt;"moeda")*(Inputs!$G$5:$G$120&lt;&gt;"acoes")))*INDEX(Inputs!$K$5:$AJ$120,0,MATCH(AI$2,Inputs!$K$4:$AJ$4,0)))+SUMPRODUCT((Inputs!$E$5:$E$120=$B37)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7" s="6">
        <f>IF(ISNA(MATCH(AJ$2,Inputs!$K$4:$AJ$4,0)),NA(),IF(SUMPRODUCT((Inputs!$A$5:$A$120=$B37)*ISNUMBER(INDEX(Inputs!$K$5:$AJ$120,0,MATCH(AJ$2,Inputs!$K$4:$AJ$4,0))))+SUMPRODUCT((Inputs!$C$5:$C$120=$B37)*ISNUMBER(INDEX(Inputs!$K$5:$AJ$120,0,MATCH(AJ$2,Inputs!$K$4:$AJ$4,0))))+SUMPRODUCT((Inputs!$E$5:$E$120=$B37)*ISNUMBER(INDEX(Inputs!$K$5:$AJ$120,0,MATCH(AJ$2,Inputs!$K$4:$AJ$4,0))))=0,NA(),SUMPRODUCT((Inputs!$A$5:$A$120=$B37)*Inputs!$B$5:$B$120*(((Inputs!$G$5:$G$120="moeda")+(Inputs!$G$5:$G$120="acoes"))*Inputs!$B$1+((Inputs!$G$5:$G$120&lt;&gt;"moeda")*(Inputs!$G$5:$G$120&lt;&gt;"acoes")))*INDEX(Inputs!$K$5:$AJ$120,0,MATCH(AJ$2,Inputs!$K$4:$AJ$4,0)))+SUMPRODUCT((Inputs!$C$5:$C$120=$B37)*Inputs!$D$5:$D$120*(((Inputs!$G$5:$G$120="moeda")+(Inputs!$G$5:$G$120="acoes"))*Inputs!$B$1+((Inputs!$G$5:$G$120&lt;&gt;"moeda")*(Inputs!$G$5:$G$120&lt;&gt;"acoes")))*INDEX(Inputs!$K$5:$AJ$120,0,MATCH(AJ$2,Inputs!$K$4:$AJ$4,0)))+SUMPRODUCT((Inputs!$E$5:$E$120=$B37)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7" s="6">
        <f>IF(ISNA(MATCH(AK$2,Inputs!$K$4:$AJ$4,0)),NA(),IF(SUMPRODUCT((Inputs!$A$5:$A$120=$B37)*ISNUMBER(INDEX(Inputs!$K$5:$AJ$120,0,MATCH(AK$2,Inputs!$K$4:$AJ$4,0))))+SUMPRODUCT((Inputs!$C$5:$C$120=$B37)*ISNUMBER(INDEX(Inputs!$K$5:$AJ$120,0,MATCH(AK$2,Inputs!$K$4:$AJ$4,0))))+SUMPRODUCT((Inputs!$E$5:$E$120=$B37)*ISNUMBER(INDEX(Inputs!$K$5:$AJ$120,0,MATCH(AK$2,Inputs!$K$4:$AJ$4,0))))=0,NA(),SUMPRODUCT((Inputs!$A$5:$A$120=$B37)*Inputs!$B$5:$B$120*(((Inputs!$G$5:$G$120="moeda")+(Inputs!$G$5:$G$120="acoes"))*Inputs!$B$1+((Inputs!$G$5:$G$120&lt;&gt;"moeda")*(Inputs!$G$5:$G$120&lt;&gt;"acoes")))*INDEX(Inputs!$K$5:$AJ$120,0,MATCH(AK$2,Inputs!$K$4:$AJ$4,0)))+SUMPRODUCT((Inputs!$C$5:$C$120=$B37)*Inputs!$D$5:$D$120*(((Inputs!$G$5:$G$120="moeda")+(Inputs!$G$5:$G$120="acoes"))*Inputs!$B$1+((Inputs!$G$5:$G$120&lt;&gt;"moeda")*(Inputs!$G$5:$G$120&lt;&gt;"acoes")))*INDEX(Inputs!$K$5:$AJ$120,0,MATCH(AK$2,Inputs!$K$4:$AJ$4,0)))+SUMPRODUCT((Inputs!$E$5:$E$120=$B37)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7" s="3">
        <f>AK37</f>
        <v>0</v>
      </c>
    </row>
    <row r="38">
      <c r="B38" s="46" t="n">
        <v>33</v>
      </c>
      <c r="C38" s="26" t="inlineStr">
        <is>
          <t>Deferred income taxes</t>
        </is>
      </c>
      <c r="D38" s="6">
        <f>IF(ISNA(MATCH(D$2,Inputs!$K$4:$AJ$4,0)),NA(),IF(SUMPRODUCT((Inputs!$A$5:$A$120=$B38)*ISNUMBER(INDEX(Inputs!$K$5:$AJ$120,0,MATCH(D$2,Inputs!$K$4:$AJ$4,0))))+SUMPRODUCT((Inputs!$C$5:$C$120=$B38)*ISNUMBER(INDEX(Inputs!$K$5:$AJ$120,0,MATCH(D$2,Inputs!$K$4:$AJ$4,0))))+SUMPRODUCT((Inputs!$E$5:$E$120=$B38)*ISNUMBER(INDEX(Inputs!$K$5:$AJ$120,0,MATCH(D$2,Inputs!$K$4:$AJ$4,0))))=0,NA(),SUMPRODUCT((Inputs!$A$5:$A$120=$B38)*Inputs!$B$5:$B$120*(((Inputs!$G$5:$G$120="moeda")+(Inputs!$G$5:$G$120="acoes"))*Inputs!$B$1+((Inputs!$G$5:$G$120&lt;&gt;"moeda")*(Inputs!$G$5:$G$120&lt;&gt;"acoes")))*INDEX(Inputs!$K$5:$AJ$120,0,MATCH(D$2,Inputs!$K$4:$AJ$4,0)))+SUMPRODUCT((Inputs!$C$5:$C$120=$B38)*Inputs!$D$5:$D$120*(((Inputs!$G$5:$G$120="moeda")+(Inputs!$G$5:$G$120="acoes"))*Inputs!$B$1+((Inputs!$G$5:$G$120&lt;&gt;"moeda")*(Inputs!$G$5:$G$120&lt;&gt;"acoes")))*INDEX(Inputs!$K$5:$AJ$120,0,MATCH(D$2,Inputs!$K$4:$AJ$4,0)))+SUMPRODUCT((Inputs!$E$5:$E$120=$B38)*Inputs!$F$5:$F$120*(((Inputs!$G$5:$G$120="moeda")+(Inputs!$G$5:$G$120="acoes"))*Inputs!$B$1+((Inputs!$G$5:$G$120&lt;&gt;"moeda")*(Inputs!$G$5:$G$120&lt;&gt;"acoes")))*INDEX(Inputs!$K$5:$AJ$120,0,MATCH(D$2,Inputs!$K$4:$AJ$4,0)))))</f>
        <v>2200.6</v>
      </c>
      <c r="E38" s="6">
        <f>IF(ISNA(MATCH(E$2,Inputs!$K$4:$AJ$4,0)),NA(),IF(SUMPRODUCT((Inputs!$A$5:$A$120=$B38)*ISNUMBER(INDEX(Inputs!$K$5:$AJ$120,0,MATCH(E$2,Inputs!$K$4:$AJ$4,0))))+SUMPRODUCT((Inputs!$C$5:$C$120=$B38)*ISNUMBER(INDEX(Inputs!$K$5:$AJ$120,0,MATCH(E$2,Inputs!$K$4:$AJ$4,0))))+SUMPRODUCT((Inputs!$E$5:$E$120=$B38)*ISNUMBER(INDEX(Inputs!$K$5:$AJ$120,0,MATCH(E$2,Inputs!$K$4:$AJ$4,0))))=0,NA(),SUMPRODUCT((Inputs!$A$5:$A$120=$B38)*Inputs!$B$5:$B$120*(((Inputs!$G$5:$G$120="moeda")+(Inputs!$G$5:$G$120="acoes"))*Inputs!$B$1+((Inputs!$G$5:$G$120&lt;&gt;"moeda")*(Inputs!$G$5:$G$120&lt;&gt;"acoes")))*INDEX(Inputs!$K$5:$AJ$120,0,MATCH(E$2,Inputs!$K$4:$AJ$4,0)))+SUMPRODUCT((Inputs!$C$5:$C$120=$B38)*Inputs!$D$5:$D$120*(((Inputs!$G$5:$G$120="moeda")+(Inputs!$G$5:$G$120="acoes"))*Inputs!$B$1+((Inputs!$G$5:$G$120&lt;&gt;"moeda")*(Inputs!$G$5:$G$120&lt;&gt;"acoes")))*INDEX(Inputs!$K$5:$AJ$120,0,MATCH(E$2,Inputs!$K$4:$AJ$4,0)))+SUMPRODUCT((Inputs!$E$5:$E$120=$B38)*Inputs!$F$5:$F$120*(((Inputs!$G$5:$G$120="moeda")+(Inputs!$G$5:$G$120="acoes"))*Inputs!$B$1+((Inputs!$G$5:$G$120&lt;&gt;"moeda")*(Inputs!$G$5:$G$120&lt;&gt;"acoes")))*INDEX(Inputs!$K$5:$AJ$120,0,MATCH(E$2,Inputs!$K$4:$AJ$4,0)))))</f>
        <v>1857.3</v>
      </c>
      <c r="F38" s="6">
        <f>IF(ISNA(MATCH(F$2,Inputs!$K$4:$AJ$4,0)),NA(),IF(SUMPRODUCT((Inputs!$A$5:$A$120=$B38)*ISNUMBER(INDEX(Inputs!$K$5:$AJ$120,0,MATCH(F$2,Inputs!$K$4:$AJ$4,0))))+SUMPRODUCT((Inputs!$C$5:$C$120=$B38)*ISNUMBER(INDEX(Inputs!$K$5:$AJ$120,0,MATCH(F$2,Inputs!$K$4:$AJ$4,0))))+SUMPRODUCT((Inputs!$E$5:$E$120=$B38)*ISNUMBER(INDEX(Inputs!$K$5:$AJ$120,0,MATCH(F$2,Inputs!$K$4:$AJ$4,0))))=0,NA(),SUMPRODUCT((Inputs!$A$5:$A$120=$B38)*Inputs!$B$5:$B$120*(((Inputs!$G$5:$G$120="moeda")+(Inputs!$G$5:$G$120="acoes"))*Inputs!$B$1+((Inputs!$G$5:$G$120&lt;&gt;"moeda")*(Inputs!$G$5:$G$120&lt;&gt;"acoes")))*INDEX(Inputs!$K$5:$AJ$120,0,MATCH(F$2,Inputs!$K$4:$AJ$4,0)))+SUMPRODUCT((Inputs!$C$5:$C$120=$B38)*Inputs!$D$5:$D$120*(((Inputs!$G$5:$G$120="moeda")+(Inputs!$G$5:$G$120="acoes"))*Inputs!$B$1+((Inputs!$G$5:$G$120&lt;&gt;"moeda")*(Inputs!$G$5:$G$120&lt;&gt;"acoes")))*INDEX(Inputs!$K$5:$AJ$120,0,MATCH(F$2,Inputs!$K$4:$AJ$4,0)))+SUMPRODUCT((Inputs!$E$5:$E$120=$B38)*Inputs!$F$5:$F$120*(((Inputs!$G$5:$G$120="moeda")+(Inputs!$G$5:$G$120="acoes"))*Inputs!$B$1+((Inputs!$G$5:$G$120&lt;&gt;"moeda")*(Inputs!$G$5:$G$120&lt;&gt;"acoes")))*INDEX(Inputs!$K$5:$AJ$120,0,MATCH(F$2,Inputs!$K$4:$AJ$4,0)))))</f>
        <v>1632.5</v>
      </c>
      <c r="G38" s="6">
        <f>IF(ISNA(MATCH(G$2,Inputs!$K$4:$AJ$4,0)),NA(),IF(SUMPRODUCT((Inputs!$A$5:$A$120=$B38)*ISNUMBER(INDEX(Inputs!$K$5:$AJ$120,0,MATCH(G$2,Inputs!$K$4:$AJ$4,0))))+SUMPRODUCT((Inputs!$C$5:$C$120=$B38)*ISNUMBER(INDEX(Inputs!$K$5:$AJ$120,0,MATCH(G$2,Inputs!$K$4:$AJ$4,0))))+SUMPRODUCT((Inputs!$E$5:$E$120=$B38)*ISNUMBER(INDEX(Inputs!$K$5:$AJ$120,0,MATCH(G$2,Inputs!$K$4:$AJ$4,0))))=0,NA(),SUMPRODUCT((Inputs!$A$5:$A$120=$B38)*Inputs!$B$5:$B$120*(((Inputs!$G$5:$G$120="moeda")+(Inputs!$G$5:$G$120="acoes"))*Inputs!$B$1+((Inputs!$G$5:$G$120&lt;&gt;"moeda")*(Inputs!$G$5:$G$120&lt;&gt;"acoes")))*INDEX(Inputs!$K$5:$AJ$120,0,MATCH(G$2,Inputs!$K$4:$AJ$4,0)))+SUMPRODUCT((Inputs!$C$5:$C$120=$B38)*Inputs!$D$5:$D$120*(((Inputs!$G$5:$G$120="moeda")+(Inputs!$G$5:$G$120="acoes"))*Inputs!$B$1+((Inputs!$G$5:$G$120&lt;&gt;"moeda")*(Inputs!$G$5:$G$120&lt;&gt;"acoes")))*INDEX(Inputs!$K$5:$AJ$120,0,MATCH(G$2,Inputs!$K$4:$AJ$4,0)))+SUMPRODUCT((Inputs!$E$5:$E$120=$B38)*Inputs!$F$5:$F$120*(((Inputs!$G$5:$G$120="moeda")+(Inputs!$G$5:$G$120="acoes"))*Inputs!$B$1+((Inputs!$G$5:$G$120&lt;&gt;"moeda")*(Inputs!$G$5:$G$120&lt;&gt;"acoes")))*INDEX(Inputs!$K$5:$AJ$120,0,MATCH(G$2,Inputs!$K$4:$AJ$4,0)))))</f>
        <v>1733.7</v>
      </c>
      <c r="H38" s="3">
        <f>G38</f>
        <v>1733.7</v>
      </c>
      <c r="I38" s="6">
        <f>IF(ISNA(MATCH(I$2,Inputs!$K$4:$AJ$4,0)),NA(),IF(SUMPRODUCT((Inputs!$A$5:$A$120=$B38)*ISNUMBER(INDEX(Inputs!$K$5:$AJ$120,0,MATCH(I$2,Inputs!$K$4:$AJ$4,0))))+SUMPRODUCT((Inputs!$C$5:$C$120=$B38)*ISNUMBER(INDEX(Inputs!$K$5:$AJ$120,0,MATCH(I$2,Inputs!$K$4:$AJ$4,0))))+SUMPRODUCT((Inputs!$E$5:$E$120=$B38)*ISNUMBER(INDEX(Inputs!$K$5:$AJ$120,0,MATCH(I$2,Inputs!$K$4:$AJ$4,0))))=0,NA(),SUMPRODUCT((Inputs!$A$5:$A$120=$B38)*Inputs!$B$5:$B$120*(((Inputs!$G$5:$G$120="moeda")+(Inputs!$G$5:$G$120="acoes"))*Inputs!$B$1+((Inputs!$G$5:$G$120&lt;&gt;"moeda")*(Inputs!$G$5:$G$120&lt;&gt;"acoes")))*INDEX(Inputs!$K$5:$AJ$120,0,MATCH(I$2,Inputs!$K$4:$AJ$4,0)))+SUMPRODUCT((Inputs!$C$5:$C$120=$B38)*Inputs!$D$5:$D$120*(((Inputs!$G$5:$G$120="moeda")+(Inputs!$G$5:$G$120="acoes"))*Inputs!$B$1+((Inputs!$G$5:$G$120&lt;&gt;"moeda")*(Inputs!$G$5:$G$120&lt;&gt;"acoes")))*INDEX(Inputs!$K$5:$AJ$120,0,MATCH(I$2,Inputs!$K$4:$AJ$4,0)))+SUMPRODUCT((Inputs!$E$5:$E$120=$B38)*Inputs!$F$5:$F$120*(((Inputs!$G$5:$G$120="moeda")+(Inputs!$G$5:$G$120="acoes"))*Inputs!$B$1+((Inputs!$G$5:$G$120&lt;&gt;"moeda")*(Inputs!$G$5:$G$120&lt;&gt;"acoes")))*INDEX(Inputs!$K$5:$AJ$120,0,MATCH(I$2,Inputs!$K$4:$AJ$4,0)))))</f>
        <v>1286.1</v>
      </c>
      <c r="J38" s="6">
        <f>IF(ISNA(MATCH(J$2,Inputs!$K$4:$AJ$4,0)),NA(),IF(SUMPRODUCT((Inputs!$A$5:$A$120=$B38)*ISNUMBER(INDEX(Inputs!$K$5:$AJ$120,0,MATCH(J$2,Inputs!$K$4:$AJ$4,0))))+SUMPRODUCT((Inputs!$C$5:$C$120=$B38)*ISNUMBER(INDEX(Inputs!$K$5:$AJ$120,0,MATCH(J$2,Inputs!$K$4:$AJ$4,0))))+SUMPRODUCT((Inputs!$E$5:$E$120=$B38)*ISNUMBER(INDEX(Inputs!$K$5:$AJ$120,0,MATCH(J$2,Inputs!$K$4:$AJ$4,0))))=0,NA(),SUMPRODUCT((Inputs!$A$5:$A$120=$B38)*Inputs!$B$5:$B$120*(((Inputs!$G$5:$G$120="moeda")+(Inputs!$G$5:$G$120="acoes"))*Inputs!$B$1+((Inputs!$G$5:$G$120&lt;&gt;"moeda")*(Inputs!$G$5:$G$120&lt;&gt;"acoes")))*INDEX(Inputs!$K$5:$AJ$120,0,MATCH(J$2,Inputs!$K$4:$AJ$4,0)))+SUMPRODUCT((Inputs!$C$5:$C$120=$B38)*Inputs!$D$5:$D$120*(((Inputs!$G$5:$G$120="moeda")+(Inputs!$G$5:$G$120="acoes"))*Inputs!$B$1+((Inputs!$G$5:$G$120&lt;&gt;"moeda")*(Inputs!$G$5:$G$120&lt;&gt;"acoes")))*INDEX(Inputs!$K$5:$AJ$120,0,MATCH(J$2,Inputs!$K$4:$AJ$4,0)))+SUMPRODUCT((Inputs!$E$5:$E$120=$B38)*Inputs!$F$5:$F$120*(((Inputs!$G$5:$G$120="moeda")+(Inputs!$G$5:$G$120="acoes"))*Inputs!$B$1+((Inputs!$G$5:$G$120&lt;&gt;"moeda")*(Inputs!$G$5:$G$120&lt;&gt;"acoes")))*INDEX(Inputs!$K$5:$AJ$120,0,MATCH(J$2,Inputs!$K$4:$AJ$4,0)))))</f>
        <v>862.5</v>
      </c>
      <c r="K38" s="6">
        <f>IF(ISNA(MATCH(K$2,Inputs!$K$4:$AJ$4,0)),NA(),IF(SUMPRODUCT((Inputs!$A$5:$A$120=$B38)*ISNUMBER(INDEX(Inputs!$K$5:$AJ$120,0,MATCH(K$2,Inputs!$K$4:$AJ$4,0))))+SUMPRODUCT((Inputs!$C$5:$C$120=$B38)*ISNUMBER(INDEX(Inputs!$K$5:$AJ$120,0,MATCH(K$2,Inputs!$K$4:$AJ$4,0))))+SUMPRODUCT((Inputs!$E$5:$E$120=$B38)*ISNUMBER(INDEX(Inputs!$K$5:$AJ$120,0,MATCH(K$2,Inputs!$K$4:$AJ$4,0))))=0,NA(),SUMPRODUCT((Inputs!$A$5:$A$120=$B38)*Inputs!$B$5:$B$120*(((Inputs!$G$5:$G$120="moeda")+(Inputs!$G$5:$G$120="acoes"))*Inputs!$B$1+((Inputs!$G$5:$G$120&lt;&gt;"moeda")*(Inputs!$G$5:$G$120&lt;&gt;"acoes")))*INDEX(Inputs!$K$5:$AJ$120,0,MATCH(K$2,Inputs!$K$4:$AJ$4,0)))+SUMPRODUCT((Inputs!$C$5:$C$120=$B38)*Inputs!$D$5:$D$120*(((Inputs!$G$5:$G$120="moeda")+(Inputs!$G$5:$G$120="acoes"))*Inputs!$B$1+((Inputs!$G$5:$G$120&lt;&gt;"moeda")*(Inputs!$G$5:$G$120&lt;&gt;"acoes")))*INDEX(Inputs!$K$5:$AJ$120,0,MATCH(K$2,Inputs!$K$4:$AJ$4,0)))+SUMPRODUCT((Inputs!$E$5:$E$120=$B38)*Inputs!$F$5:$F$120*(((Inputs!$G$5:$G$120="moeda")+(Inputs!$G$5:$G$120="acoes"))*Inputs!$B$1+((Inputs!$G$5:$G$120&lt;&gt;"moeda")*(Inputs!$G$5:$G$120&lt;&gt;"acoes")))*INDEX(Inputs!$K$5:$AJ$120,0,MATCH(K$2,Inputs!$K$4:$AJ$4,0)))))</f>
        <v>171.9</v>
      </c>
      <c r="L38" s="6">
        <f>IF(ISNA(MATCH(L$2,Inputs!$K$4:$AJ$4,0)),NA(),IF(SUMPRODUCT((Inputs!$A$5:$A$120=$B38)*ISNUMBER(INDEX(Inputs!$K$5:$AJ$120,0,MATCH(L$2,Inputs!$K$4:$AJ$4,0))))+SUMPRODUCT((Inputs!$C$5:$C$120=$B38)*ISNUMBER(INDEX(Inputs!$K$5:$AJ$120,0,MATCH(L$2,Inputs!$K$4:$AJ$4,0))))+SUMPRODUCT((Inputs!$E$5:$E$120=$B38)*ISNUMBER(INDEX(Inputs!$K$5:$AJ$120,0,MATCH(L$2,Inputs!$K$4:$AJ$4,0))))=0,NA(),SUMPRODUCT((Inputs!$A$5:$A$120=$B38)*Inputs!$B$5:$B$120*(((Inputs!$G$5:$G$120="moeda")+(Inputs!$G$5:$G$120="acoes"))*Inputs!$B$1+((Inputs!$G$5:$G$120&lt;&gt;"moeda")*(Inputs!$G$5:$G$120&lt;&gt;"acoes")))*INDEX(Inputs!$K$5:$AJ$120,0,MATCH(L$2,Inputs!$K$4:$AJ$4,0)))+SUMPRODUCT((Inputs!$C$5:$C$120=$B38)*Inputs!$D$5:$D$120*(((Inputs!$G$5:$G$120="moeda")+(Inputs!$G$5:$G$120="acoes"))*Inputs!$B$1+((Inputs!$G$5:$G$120&lt;&gt;"moeda")*(Inputs!$G$5:$G$120&lt;&gt;"acoes")))*INDEX(Inputs!$K$5:$AJ$120,0,MATCH(L$2,Inputs!$K$4:$AJ$4,0)))+SUMPRODUCT((Inputs!$E$5:$E$120=$B38)*Inputs!$F$5:$F$120*(((Inputs!$G$5:$G$120="moeda")+(Inputs!$G$5:$G$120="acoes"))*Inputs!$B$1+((Inputs!$G$5:$G$120&lt;&gt;"moeda")*(Inputs!$G$5:$G$120&lt;&gt;"acoes")))*INDEX(Inputs!$K$5:$AJ$120,0,MATCH(L$2,Inputs!$K$4:$AJ$4,0)))))</f>
        <v>87.3</v>
      </c>
      <c r="M38" s="3">
        <f>L38</f>
        <v>87.3</v>
      </c>
      <c r="N38" s="6">
        <f>IF(ISNA(MATCH(N$2,Inputs!$K$4:$AJ$4,0)),NA(),IF(SUMPRODUCT((Inputs!$A$5:$A$120=$B38)*ISNUMBER(INDEX(Inputs!$K$5:$AJ$120,0,MATCH(N$2,Inputs!$K$4:$AJ$4,0))))+SUMPRODUCT((Inputs!$C$5:$C$120=$B38)*ISNUMBER(INDEX(Inputs!$K$5:$AJ$120,0,MATCH(N$2,Inputs!$K$4:$AJ$4,0))))+SUMPRODUCT((Inputs!$E$5:$E$120=$B38)*ISNUMBER(INDEX(Inputs!$K$5:$AJ$120,0,MATCH(N$2,Inputs!$K$4:$AJ$4,0))))=0,NA(),SUMPRODUCT((Inputs!$A$5:$A$120=$B38)*Inputs!$B$5:$B$120*(((Inputs!$G$5:$G$120="moeda")+(Inputs!$G$5:$G$120="acoes"))*Inputs!$B$1+((Inputs!$G$5:$G$120&lt;&gt;"moeda")*(Inputs!$G$5:$G$120&lt;&gt;"acoes")))*INDEX(Inputs!$K$5:$AJ$120,0,MATCH(N$2,Inputs!$K$4:$AJ$4,0)))+SUMPRODUCT((Inputs!$C$5:$C$120=$B38)*Inputs!$D$5:$D$120*(((Inputs!$G$5:$G$120="moeda")+(Inputs!$G$5:$G$120="acoes"))*Inputs!$B$1+((Inputs!$G$5:$G$120&lt;&gt;"moeda")*(Inputs!$G$5:$G$120&lt;&gt;"acoes")))*INDEX(Inputs!$K$5:$AJ$120,0,MATCH(N$2,Inputs!$K$4:$AJ$4,0)))+SUMPRODUCT((Inputs!$E$5:$E$120=$B38)*Inputs!$F$5:$F$120*(((Inputs!$G$5:$G$120="moeda")+(Inputs!$G$5:$G$120="acoes"))*Inputs!$B$1+((Inputs!$G$5:$G$120&lt;&gt;"moeda")*(Inputs!$G$5:$G$120&lt;&gt;"acoes")))*INDEX(Inputs!$K$5:$AJ$120,0,MATCH(N$2,Inputs!$K$4:$AJ$4,0)))))</f>
        <v>0</v>
      </c>
      <c r="O38" s="6">
        <f>IF(ISNA(MATCH(O$2,Inputs!$K$4:$AJ$4,0)),NA(),IF(SUMPRODUCT((Inputs!$A$5:$A$120=$B38)*ISNUMBER(INDEX(Inputs!$K$5:$AJ$120,0,MATCH(O$2,Inputs!$K$4:$AJ$4,0))))+SUMPRODUCT((Inputs!$C$5:$C$120=$B38)*ISNUMBER(INDEX(Inputs!$K$5:$AJ$120,0,MATCH(O$2,Inputs!$K$4:$AJ$4,0))))+SUMPRODUCT((Inputs!$E$5:$E$120=$B38)*ISNUMBER(INDEX(Inputs!$K$5:$AJ$120,0,MATCH(O$2,Inputs!$K$4:$AJ$4,0))))=0,NA(),SUMPRODUCT((Inputs!$A$5:$A$120=$B38)*Inputs!$B$5:$B$120*(((Inputs!$G$5:$G$120="moeda")+(Inputs!$G$5:$G$120="acoes"))*Inputs!$B$1+((Inputs!$G$5:$G$120&lt;&gt;"moeda")*(Inputs!$G$5:$G$120&lt;&gt;"acoes")))*INDEX(Inputs!$K$5:$AJ$120,0,MATCH(O$2,Inputs!$K$4:$AJ$4,0)))+SUMPRODUCT((Inputs!$C$5:$C$120=$B38)*Inputs!$D$5:$D$120*(((Inputs!$G$5:$G$120="moeda")+(Inputs!$G$5:$G$120="acoes"))*Inputs!$B$1+((Inputs!$G$5:$G$120&lt;&gt;"moeda")*(Inputs!$G$5:$G$120&lt;&gt;"acoes")))*INDEX(Inputs!$K$5:$AJ$120,0,MATCH(O$2,Inputs!$K$4:$AJ$4,0)))+SUMPRODUCT((Inputs!$E$5:$E$120=$B38)*Inputs!$F$5:$F$120*(((Inputs!$G$5:$G$120="moeda")+(Inputs!$G$5:$G$120="acoes"))*Inputs!$B$1+((Inputs!$G$5:$G$120&lt;&gt;"moeda")*(Inputs!$G$5:$G$120&lt;&gt;"acoes")))*INDEX(Inputs!$K$5:$AJ$120,0,MATCH(O$2,Inputs!$K$4:$AJ$4,0)))))</f>
        <v>0</v>
      </c>
      <c r="P38" s="6">
        <f>IF(ISNA(MATCH(P$2,Inputs!$K$4:$AJ$4,0)),NA(),IF(SUMPRODUCT((Inputs!$A$5:$A$120=$B38)*ISNUMBER(INDEX(Inputs!$K$5:$AJ$120,0,MATCH(P$2,Inputs!$K$4:$AJ$4,0))))+SUMPRODUCT((Inputs!$C$5:$C$120=$B38)*ISNUMBER(INDEX(Inputs!$K$5:$AJ$120,0,MATCH(P$2,Inputs!$K$4:$AJ$4,0))))+SUMPRODUCT((Inputs!$E$5:$E$120=$B38)*ISNUMBER(INDEX(Inputs!$K$5:$AJ$120,0,MATCH(P$2,Inputs!$K$4:$AJ$4,0))))=0,NA(),SUMPRODUCT((Inputs!$A$5:$A$120=$B38)*Inputs!$B$5:$B$120*(((Inputs!$G$5:$G$120="moeda")+(Inputs!$G$5:$G$120="acoes"))*Inputs!$B$1+((Inputs!$G$5:$G$120&lt;&gt;"moeda")*(Inputs!$G$5:$G$120&lt;&gt;"acoes")))*INDEX(Inputs!$K$5:$AJ$120,0,MATCH(P$2,Inputs!$K$4:$AJ$4,0)))+SUMPRODUCT((Inputs!$C$5:$C$120=$B38)*Inputs!$D$5:$D$120*(((Inputs!$G$5:$G$120="moeda")+(Inputs!$G$5:$G$120="acoes"))*Inputs!$B$1+((Inputs!$G$5:$G$120&lt;&gt;"moeda")*(Inputs!$G$5:$G$120&lt;&gt;"acoes")))*INDEX(Inputs!$K$5:$AJ$120,0,MATCH(P$2,Inputs!$K$4:$AJ$4,0)))+SUMPRODUCT((Inputs!$E$5:$E$120=$B38)*Inputs!$F$5:$F$120*(((Inputs!$G$5:$G$120="moeda")+(Inputs!$G$5:$G$120="acoes"))*Inputs!$B$1+((Inputs!$G$5:$G$120&lt;&gt;"moeda")*(Inputs!$G$5:$G$120&lt;&gt;"acoes")))*INDEX(Inputs!$K$5:$AJ$120,0,MATCH(P$2,Inputs!$K$4:$AJ$4,0)))))</f>
        <v>0</v>
      </c>
      <c r="Q38" s="6">
        <f>IF(ISNA(MATCH(Q$2,Inputs!$K$4:$AJ$4,0)),NA(),IF(SUMPRODUCT((Inputs!$A$5:$A$120=$B38)*ISNUMBER(INDEX(Inputs!$K$5:$AJ$120,0,MATCH(Q$2,Inputs!$K$4:$AJ$4,0))))+SUMPRODUCT((Inputs!$C$5:$C$120=$B38)*ISNUMBER(INDEX(Inputs!$K$5:$AJ$120,0,MATCH(Q$2,Inputs!$K$4:$AJ$4,0))))+SUMPRODUCT((Inputs!$E$5:$E$120=$B38)*ISNUMBER(INDEX(Inputs!$K$5:$AJ$120,0,MATCH(Q$2,Inputs!$K$4:$AJ$4,0))))=0,NA(),SUMPRODUCT((Inputs!$A$5:$A$120=$B38)*Inputs!$B$5:$B$120*(((Inputs!$G$5:$G$120="moeda")+(Inputs!$G$5:$G$120="acoes"))*Inputs!$B$1+((Inputs!$G$5:$G$120&lt;&gt;"moeda")*(Inputs!$G$5:$G$120&lt;&gt;"acoes")))*INDEX(Inputs!$K$5:$AJ$120,0,MATCH(Q$2,Inputs!$K$4:$AJ$4,0)))+SUMPRODUCT((Inputs!$C$5:$C$120=$B38)*Inputs!$D$5:$D$120*(((Inputs!$G$5:$G$120="moeda")+(Inputs!$G$5:$G$120="acoes"))*Inputs!$B$1+((Inputs!$G$5:$G$120&lt;&gt;"moeda")*(Inputs!$G$5:$G$120&lt;&gt;"acoes")))*INDEX(Inputs!$K$5:$AJ$120,0,MATCH(Q$2,Inputs!$K$4:$AJ$4,0)))+SUMPRODUCT((Inputs!$E$5:$E$120=$B38)*Inputs!$F$5:$F$120*(((Inputs!$G$5:$G$120="moeda")+(Inputs!$G$5:$G$120="acoes"))*Inputs!$B$1+((Inputs!$G$5:$G$120&lt;&gt;"moeda")*(Inputs!$G$5:$G$120&lt;&gt;"acoes")))*INDEX(Inputs!$K$5:$AJ$120,0,MATCH(Q$2,Inputs!$K$4:$AJ$4,0)))))</f>
        <v>0</v>
      </c>
      <c r="R38" s="3">
        <f>Q38</f>
        <v>0</v>
      </c>
      <c r="S38" s="6">
        <f>IF(ISNA(MATCH(S$2,Inputs!$K$4:$AJ$4,0)),NA(),IF(SUMPRODUCT((Inputs!$A$5:$A$120=$B38)*ISNUMBER(INDEX(Inputs!$K$5:$AJ$120,0,MATCH(S$2,Inputs!$K$4:$AJ$4,0))))+SUMPRODUCT((Inputs!$C$5:$C$120=$B38)*ISNUMBER(INDEX(Inputs!$K$5:$AJ$120,0,MATCH(S$2,Inputs!$K$4:$AJ$4,0))))+SUMPRODUCT((Inputs!$E$5:$E$120=$B38)*ISNUMBER(INDEX(Inputs!$K$5:$AJ$120,0,MATCH(S$2,Inputs!$K$4:$AJ$4,0))))=0,NA(),SUMPRODUCT((Inputs!$A$5:$A$120=$B38)*Inputs!$B$5:$B$120*(((Inputs!$G$5:$G$120="moeda")+(Inputs!$G$5:$G$120="acoes"))*Inputs!$B$1+((Inputs!$G$5:$G$120&lt;&gt;"moeda")*(Inputs!$G$5:$G$120&lt;&gt;"acoes")))*INDEX(Inputs!$K$5:$AJ$120,0,MATCH(S$2,Inputs!$K$4:$AJ$4,0)))+SUMPRODUCT((Inputs!$C$5:$C$120=$B38)*Inputs!$D$5:$D$120*(((Inputs!$G$5:$G$120="moeda")+(Inputs!$G$5:$G$120="acoes"))*Inputs!$B$1+((Inputs!$G$5:$G$120&lt;&gt;"moeda")*(Inputs!$G$5:$G$120&lt;&gt;"acoes")))*INDEX(Inputs!$K$5:$AJ$120,0,MATCH(S$2,Inputs!$K$4:$AJ$4,0)))+SUMPRODUCT((Inputs!$E$5:$E$120=$B38)*Inputs!$F$5:$F$120*(((Inputs!$G$5:$G$120="moeda")+(Inputs!$G$5:$G$120="acoes"))*Inputs!$B$1+((Inputs!$G$5:$G$120&lt;&gt;"moeda")*(Inputs!$G$5:$G$120&lt;&gt;"acoes")))*INDEX(Inputs!$K$5:$AJ$120,0,MATCH(S$2,Inputs!$K$4:$AJ$4,0)))))</f>
        <v>0</v>
      </c>
      <c r="T38" s="6">
        <f>IF(ISNA(MATCH(T$2,Inputs!$K$4:$AJ$4,0)),NA(),IF(SUMPRODUCT((Inputs!$A$5:$A$120=$B38)*ISNUMBER(INDEX(Inputs!$K$5:$AJ$120,0,MATCH(T$2,Inputs!$K$4:$AJ$4,0))))+SUMPRODUCT((Inputs!$C$5:$C$120=$B38)*ISNUMBER(INDEX(Inputs!$K$5:$AJ$120,0,MATCH(T$2,Inputs!$K$4:$AJ$4,0))))+SUMPRODUCT((Inputs!$E$5:$E$120=$B38)*ISNUMBER(INDEX(Inputs!$K$5:$AJ$120,0,MATCH(T$2,Inputs!$K$4:$AJ$4,0))))=0,NA(),SUMPRODUCT((Inputs!$A$5:$A$120=$B38)*Inputs!$B$5:$B$120*(((Inputs!$G$5:$G$120="moeda")+(Inputs!$G$5:$G$120="acoes"))*Inputs!$B$1+((Inputs!$G$5:$G$120&lt;&gt;"moeda")*(Inputs!$G$5:$G$120&lt;&gt;"acoes")))*INDEX(Inputs!$K$5:$AJ$120,0,MATCH(T$2,Inputs!$K$4:$AJ$4,0)))+SUMPRODUCT((Inputs!$C$5:$C$120=$B38)*Inputs!$D$5:$D$120*(((Inputs!$G$5:$G$120="moeda")+(Inputs!$G$5:$G$120="acoes"))*Inputs!$B$1+((Inputs!$G$5:$G$120&lt;&gt;"moeda")*(Inputs!$G$5:$G$120&lt;&gt;"acoes")))*INDEX(Inputs!$K$5:$AJ$120,0,MATCH(T$2,Inputs!$K$4:$AJ$4,0)))+SUMPRODUCT((Inputs!$E$5:$E$120=$B38)*Inputs!$F$5:$F$120*(((Inputs!$G$5:$G$120="moeda")+(Inputs!$G$5:$G$120="acoes"))*Inputs!$B$1+((Inputs!$G$5:$G$120&lt;&gt;"moeda")*(Inputs!$G$5:$G$120&lt;&gt;"acoes")))*INDEX(Inputs!$K$5:$AJ$120,0,MATCH(T$2,Inputs!$K$4:$AJ$4,0)))))</f>
        <v>0</v>
      </c>
      <c r="U38" s="6">
        <f>IF(ISNA(MATCH(U$2,Inputs!$K$4:$AJ$4,0)),NA(),IF(SUMPRODUCT((Inputs!$A$5:$A$120=$B38)*ISNUMBER(INDEX(Inputs!$K$5:$AJ$120,0,MATCH(U$2,Inputs!$K$4:$AJ$4,0))))+SUMPRODUCT((Inputs!$C$5:$C$120=$B38)*ISNUMBER(INDEX(Inputs!$K$5:$AJ$120,0,MATCH(U$2,Inputs!$K$4:$AJ$4,0))))+SUMPRODUCT((Inputs!$E$5:$E$120=$B38)*ISNUMBER(INDEX(Inputs!$K$5:$AJ$120,0,MATCH(U$2,Inputs!$K$4:$AJ$4,0))))=0,NA(),SUMPRODUCT((Inputs!$A$5:$A$120=$B38)*Inputs!$B$5:$B$120*(((Inputs!$G$5:$G$120="moeda")+(Inputs!$G$5:$G$120="acoes"))*Inputs!$B$1+((Inputs!$G$5:$G$120&lt;&gt;"moeda")*(Inputs!$G$5:$G$120&lt;&gt;"acoes")))*INDEX(Inputs!$K$5:$AJ$120,0,MATCH(U$2,Inputs!$K$4:$AJ$4,0)))+SUMPRODUCT((Inputs!$C$5:$C$120=$B38)*Inputs!$D$5:$D$120*(((Inputs!$G$5:$G$120="moeda")+(Inputs!$G$5:$G$120="acoes"))*Inputs!$B$1+((Inputs!$G$5:$G$120&lt;&gt;"moeda")*(Inputs!$G$5:$G$120&lt;&gt;"acoes")))*INDEX(Inputs!$K$5:$AJ$120,0,MATCH(U$2,Inputs!$K$4:$AJ$4,0)))+SUMPRODUCT((Inputs!$E$5:$E$120=$B38)*Inputs!$F$5:$F$120*(((Inputs!$G$5:$G$120="moeda")+(Inputs!$G$5:$G$120="acoes"))*Inputs!$B$1+((Inputs!$G$5:$G$120&lt;&gt;"moeda")*(Inputs!$G$5:$G$120&lt;&gt;"acoes")))*INDEX(Inputs!$K$5:$AJ$120,0,MATCH(U$2,Inputs!$K$4:$AJ$4,0)))))</f>
        <v>0</v>
      </c>
      <c r="V38" s="6">
        <f>IF(ISNA(MATCH(V$2,Inputs!$K$4:$AJ$4,0)),NA(),IF(SUMPRODUCT((Inputs!$A$5:$A$120=$B38)*ISNUMBER(INDEX(Inputs!$K$5:$AJ$120,0,MATCH(V$2,Inputs!$K$4:$AJ$4,0))))+SUMPRODUCT((Inputs!$C$5:$C$120=$B38)*ISNUMBER(INDEX(Inputs!$K$5:$AJ$120,0,MATCH(V$2,Inputs!$K$4:$AJ$4,0))))+SUMPRODUCT((Inputs!$E$5:$E$120=$B38)*ISNUMBER(INDEX(Inputs!$K$5:$AJ$120,0,MATCH(V$2,Inputs!$K$4:$AJ$4,0))))=0,NA(),SUMPRODUCT((Inputs!$A$5:$A$120=$B38)*Inputs!$B$5:$B$120*(((Inputs!$G$5:$G$120="moeda")+(Inputs!$G$5:$G$120="acoes"))*Inputs!$B$1+((Inputs!$G$5:$G$120&lt;&gt;"moeda")*(Inputs!$G$5:$G$120&lt;&gt;"acoes")))*INDEX(Inputs!$K$5:$AJ$120,0,MATCH(V$2,Inputs!$K$4:$AJ$4,0)))+SUMPRODUCT((Inputs!$C$5:$C$120=$B38)*Inputs!$D$5:$D$120*(((Inputs!$G$5:$G$120="moeda")+(Inputs!$G$5:$G$120="acoes"))*Inputs!$B$1+((Inputs!$G$5:$G$120&lt;&gt;"moeda")*(Inputs!$G$5:$G$120&lt;&gt;"acoes")))*INDEX(Inputs!$K$5:$AJ$120,0,MATCH(V$2,Inputs!$K$4:$AJ$4,0)))+SUMPRODUCT((Inputs!$E$5:$E$120=$B38)*Inputs!$F$5:$F$120*(((Inputs!$G$5:$G$120="moeda")+(Inputs!$G$5:$G$120="acoes"))*Inputs!$B$1+((Inputs!$G$5:$G$120&lt;&gt;"moeda")*(Inputs!$G$5:$G$120&lt;&gt;"acoes")))*INDEX(Inputs!$K$5:$AJ$120,0,MATCH(V$2,Inputs!$K$4:$AJ$4,0)))))</f>
        <v>0</v>
      </c>
      <c r="W38" s="3">
        <f>V38</f>
        <v>0</v>
      </c>
      <c r="X38" s="6">
        <f>IF(ISNA(MATCH(X$2,Inputs!$K$4:$AJ$4,0)),NA(),IF(SUMPRODUCT((Inputs!$A$5:$A$120=$B38)*ISNUMBER(INDEX(Inputs!$K$5:$AJ$120,0,MATCH(X$2,Inputs!$K$4:$AJ$4,0))))+SUMPRODUCT((Inputs!$C$5:$C$120=$B38)*ISNUMBER(INDEX(Inputs!$K$5:$AJ$120,0,MATCH(X$2,Inputs!$K$4:$AJ$4,0))))+SUMPRODUCT((Inputs!$E$5:$E$120=$B38)*ISNUMBER(INDEX(Inputs!$K$5:$AJ$120,0,MATCH(X$2,Inputs!$K$4:$AJ$4,0))))=0,NA(),SUMPRODUCT((Inputs!$A$5:$A$120=$B38)*Inputs!$B$5:$B$120*(((Inputs!$G$5:$G$120="moeda")+(Inputs!$G$5:$G$120="acoes"))*Inputs!$B$1+((Inputs!$G$5:$G$120&lt;&gt;"moeda")*(Inputs!$G$5:$G$120&lt;&gt;"acoes")))*INDEX(Inputs!$K$5:$AJ$120,0,MATCH(X$2,Inputs!$K$4:$AJ$4,0)))+SUMPRODUCT((Inputs!$C$5:$C$120=$B38)*Inputs!$D$5:$D$120*(((Inputs!$G$5:$G$120="moeda")+(Inputs!$G$5:$G$120="acoes"))*Inputs!$B$1+((Inputs!$G$5:$G$120&lt;&gt;"moeda")*(Inputs!$G$5:$G$120&lt;&gt;"acoes")))*INDEX(Inputs!$K$5:$AJ$120,0,MATCH(X$2,Inputs!$K$4:$AJ$4,0)))+SUMPRODUCT((Inputs!$E$5:$E$120=$B38)*Inputs!$F$5:$F$120*(((Inputs!$G$5:$G$120="moeda")+(Inputs!$G$5:$G$120="acoes"))*Inputs!$B$1+((Inputs!$G$5:$G$120&lt;&gt;"moeda")*(Inputs!$G$5:$G$120&lt;&gt;"acoes")))*INDEX(Inputs!$K$5:$AJ$120,0,MATCH(X$2,Inputs!$K$4:$AJ$4,0)))))</f>
        <v>0</v>
      </c>
      <c r="Y38" s="6">
        <f>IF(ISNA(MATCH(Y$2,Inputs!$K$4:$AJ$4,0)),NA(),IF(SUMPRODUCT((Inputs!$A$5:$A$120=$B38)*ISNUMBER(INDEX(Inputs!$K$5:$AJ$120,0,MATCH(Y$2,Inputs!$K$4:$AJ$4,0))))+SUMPRODUCT((Inputs!$C$5:$C$120=$B38)*ISNUMBER(INDEX(Inputs!$K$5:$AJ$120,0,MATCH(Y$2,Inputs!$K$4:$AJ$4,0))))+SUMPRODUCT((Inputs!$E$5:$E$120=$B38)*ISNUMBER(INDEX(Inputs!$K$5:$AJ$120,0,MATCH(Y$2,Inputs!$K$4:$AJ$4,0))))=0,NA(),SUMPRODUCT((Inputs!$A$5:$A$120=$B38)*Inputs!$B$5:$B$120*(((Inputs!$G$5:$G$120="moeda")+(Inputs!$G$5:$G$120="acoes"))*Inputs!$B$1+((Inputs!$G$5:$G$120&lt;&gt;"moeda")*(Inputs!$G$5:$G$120&lt;&gt;"acoes")))*INDEX(Inputs!$K$5:$AJ$120,0,MATCH(Y$2,Inputs!$K$4:$AJ$4,0)))+SUMPRODUCT((Inputs!$C$5:$C$120=$B38)*Inputs!$D$5:$D$120*(((Inputs!$G$5:$G$120="moeda")+(Inputs!$G$5:$G$120="acoes"))*Inputs!$B$1+((Inputs!$G$5:$G$120&lt;&gt;"moeda")*(Inputs!$G$5:$G$120&lt;&gt;"acoes")))*INDEX(Inputs!$K$5:$AJ$120,0,MATCH(Y$2,Inputs!$K$4:$AJ$4,0)))+SUMPRODUCT((Inputs!$E$5:$E$120=$B38)*Inputs!$F$5:$F$120*(((Inputs!$G$5:$G$120="moeda")+(Inputs!$G$5:$G$120="acoes"))*Inputs!$B$1+((Inputs!$G$5:$G$120&lt;&gt;"moeda")*(Inputs!$G$5:$G$120&lt;&gt;"acoes")))*INDEX(Inputs!$K$5:$AJ$120,0,MATCH(Y$2,Inputs!$K$4:$AJ$4,0)))))</f>
        <v>0</v>
      </c>
      <c r="Z38" s="6">
        <f>IF(ISNA(MATCH(Z$2,Inputs!$K$4:$AJ$4,0)),NA(),IF(SUMPRODUCT((Inputs!$A$5:$A$120=$B38)*ISNUMBER(INDEX(Inputs!$K$5:$AJ$120,0,MATCH(Z$2,Inputs!$K$4:$AJ$4,0))))+SUMPRODUCT((Inputs!$C$5:$C$120=$B38)*ISNUMBER(INDEX(Inputs!$K$5:$AJ$120,0,MATCH(Z$2,Inputs!$K$4:$AJ$4,0))))+SUMPRODUCT((Inputs!$E$5:$E$120=$B38)*ISNUMBER(INDEX(Inputs!$K$5:$AJ$120,0,MATCH(Z$2,Inputs!$K$4:$AJ$4,0))))=0,NA(),SUMPRODUCT((Inputs!$A$5:$A$120=$B38)*Inputs!$B$5:$B$120*(((Inputs!$G$5:$G$120="moeda")+(Inputs!$G$5:$G$120="acoes"))*Inputs!$B$1+((Inputs!$G$5:$G$120&lt;&gt;"moeda")*(Inputs!$G$5:$G$120&lt;&gt;"acoes")))*INDEX(Inputs!$K$5:$AJ$120,0,MATCH(Z$2,Inputs!$K$4:$AJ$4,0)))+SUMPRODUCT((Inputs!$C$5:$C$120=$B38)*Inputs!$D$5:$D$120*(((Inputs!$G$5:$G$120="moeda")+(Inputs!$G$5:$G$120="acoes"))*Inputs!$B$1+((Inputs!$G$5:$G$120&lt;&gt;"moeda")*(Inputs!$G$5:$G$120&lt;&gt;"acoes")))*INDEX(Inputs!$K$5:$AJ$120,0,MATCH(Z$2,Inputs!$K$4:$AJ$4,0)))+SUMPRODUCT((Inputs!$E$5:$E$120=$B38)*Inputs!$F$5:$F$120*(((Inputs!$G$5:$G$120="moeda")+(Inputs!$G$5:$G$120="acoes"))*Inputs!$B$1+((Inputs!$G$5:$G$120&lt;&gt;"moeda")*(Inputs!$G$5:$G$120&lt;&gt;"acoes")))*INDEX(Inputs!$K$5:$AJ$120,0,MATCH(Z$2,Inputs!$K$4:$AJ$4,0)))))</f>
        <v>0</v>
      </c>
      <c r="AA38" s="6">
        <f>IF(ISNA(MATCH(AA$2,Inputs!$K$4:$AJ$4,0)),NA(),IF(SUMPRODUCT((Inputs!$A$5:$A$120=$B38)*ISNUMBER(INDEX(Inputs!$K$5:$AJ$120,0,MATCH(AA$2,Inputs!$K$4:$AJ$4,0))))+SUMPRODUCT((Inputs!$C$5:$C$120=$B38)*ISNUMBER(INDEX(Inputs!$K$5:$AJ$120,0,MATCH(AA$2,Inputs!$K$4:$AJ$4,0))))+SUMPRODUCT((Inputs!$E$5:$E$120=$B38)*ISNUMBER(INDEX(Inputs!$K$5:$AJ$120,0,MATCH(AA$2,Inputs!$K$4:$AJ$4,0))))=0,NA(),SUMPRODUCT((Inputs!$A$5:$A$120=$B38)*Inputs!$B$5:$B$120*(((Inputs!$G$5:$G$120="moeda")+(Inputs!$G$5:$G$120="acoes"))*Inputs!$B$1+((Inputs!$G$5:$G$120&lt;&gt;"moeda")*(Inputs!$G$5:$G$120&lt;&gt;"acoes")))*INDEX(Inputs!$K$5:$AJ$120,0,MATCH(AA$2,Inputs!$K$4:$AJ$4,0)))+SUMPRODUCT((Inputs!$C$5:$C$120=$B38)*Inputs!$D$5:$D$120*(((Inputs!$G$5:$G$120="moeda")+(Inputs!$G$5:$G$120="acoes"))*Inputs!$B$1+((Inputs!$G$5:$G$120&lt;&gt;"moeda")*(Inputs!$G$5:$G$120&lt;&gt;"acoes")))*INDEX(Inputs!$K$5:$AJ$120,0,MATCH(AA$2,Inputs!$K$4:$AJ$4,0)))+SUMPRODUCT((Inputs!$E$5:$E$120=$B38)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8" s="3">
        <f>AA38</f>
        <v>0</v>
      </c>
      <c r="AC38" s="6">
        <f>IF(ISNA(MATCH(AC$2,Inputs!$K$4:$AJ$4,0)),NA(),IF(SUMPRODUCT((Inputs!$A$5:$A$120=$B38)*ISNUMBER(INDEX(Inputs!$K$5:$AJ$120,0,MATCH(AC$2,Inputs!$K$4:$AJ$4,0))))+SUMPRODUCT((Inputs!$C$5:$C$120=$B38)*ISNUMBER(INDEX(Inputs!$K$5:$AJ$120,0,MATCH(AC$2,Inputs!$K$4:$AJ$4,0))))+SUMPRODUCT((Inputs!$E$5:$E$120=$B38)*ISNUMBER(INDEX(Inputs!$K$5:$AJ$120,0,MATCH(AC$2,Inputs!$K$4:$AJ$4,0))))=0,NA(),SUMPRODUCT((Inputs!$A$5:$A$120=$B38)*Inputs!$B$5:$B$120*(((Inputs!$G$5:$G$120="moeda")+(Inputs!$G$5:$G$120="acoes"))*Inputs!$B$1+((Inputs!$G$5:$G$120&lt;&gt;"moeda")*(Inputs!$G$5:$G$120&lt;&gt;"acoes")))*INDEX(Inputs!$K$5:$AJ$120,0,MATCH(AC$2,Inputs!$K$4:$AJ$4,0)))+SUMPRODUCT((Inputs!$C$5:$C$120=$B38)*Inputs!$D$5:$D$120*(((Inputs!$G$5:$G$120="moeda")+(Inputs!$G$5:$G$120="acoes"))*Inputs!$B$1+((Inputs!$G$5:$G$120&lt;&gt;"moeda")*(Inputs!$G$5:$G$120&lt;&gt;"acoes")))*INDEX(Inputs!$K$5:$AJ$120,0,MATCH(AC$2,Inputs!$K$4:$AJ$4,0)))+SUMPRODUCT((Inputs!$E$5:$E$120=$B38)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8" s="6">
        <f>IF(ISNA(MATCH(AD$2,Inputs!$K$4:$AJ$4,0)),NA(),IF(SUMPRODUCT((Inputs!$A$5:$A$120=$B38)*ISNUMBER(INDEX(Inputs!$K$5:$AJ$120,0,MATCH(AD$2,Inputs!$K$4:$AJ$4,0))))+SUMPRODUCT((Inputs!$C$5:$C$120=$B38)*ISNUMBER(INDEX(Inputs!$K$5:$AJ$120,0,MATCH(AD$2,Inputs!$K$4:$AJ$4,0))))+SUMPRODUCT((Inputs!$E$5:$E$120=$B38)*ISNUMBER(INDEX(Inputs!$K$5:$AJ$120,0,MATCH(AD$2,Inputs!$K$4:$AJ$4,0))))=0,NA(),SUMPRODUCT((Inputs!$A$5:$A$120=$B38)*Inputs!$B$5:$B$120*(((Inputs!$G$5:$G$120="moeda")+(Inputs!$G$5:$G$120="acoes"))*Inputs!$B$1+((Inputs!$G$5:$G$120&lt;&gt;"moeda")*(Inputs!$G$5:$G$120&lt;&gt;"acoes")))*INDEX(Inputs!$K$5:$AJ$120,0,MATCH(AD$2,Inputs!$K$4:$AJ$4,0)))+SUMPRODUCT((Inputs!$C$5:$C$120=$B38)*Inputs!$D$5:$D$120*(((Inputs!$G$5:$G$120="moeda")+(Inputs!$G$5:$G$120="acoes"))*Inputs!$B$1+((Inputs!$G$5:$G$120&lt;&gt;"moeda")*(Inputs!$G$5:$G$120&lt;&gt;"acoes")))*INDEX(Inputs!$K$5:$AJ$120,0,MATCH(AD$2,Inputs!$K$4:$AJ$4,0)))+SUMPRODUCT((Inputs!$E$5:$E$120=$B38)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8" s="6" t="e">
        <f>IF(ISNA(MATCH(AE$2,Inputs!$K$4:$AJ$4,0)),NA(),IF(SUMPRODUCT((Inputs!$A$5:$A$120=$B38)*ISNUMBER(INDEX(Inputs!$K$5:$AJ$120,0,MATCH(AE$2,Inputs!$K$4:$AJ$4,0))))+SUMPRODUCT((Inputs!$C$5:$C$120=$B38)*ISNUMBER(INDEX(Inputs!$K$5:$AJ$120,0,MATCH(AE$2,Inputs!$K$4:$AJ$4,0))))+SUMPRODUCT((Inputs!$E$5:$E$120=$B38)*ISNUMBER(INDEX(Inputs!$K$5:$AJ$120,0,MATCH(AE$2,Inputs!$K$4:$AJ$4,0))))=0,NA(),SUMPRODUCT((Inputs!$A$5:$A$120=$B38)*Inputs!$B$5:$B$120*(((Inputs!$G$5:$G$120="moeda")+(Inputs!$G$5:$G$120="acoes"))*Inputs!$B$1+((Inputs!$G$5:$G$120&lt;&gt;"moeda")*(Inputs!$G$5:$G$120&lt;&gt;"acoes")))*INDEX(Inputs!$K$5:$AJ$120,0,MATCH(AE$2,Inputs!$K$4:$AJ$4,0)))+SUMPRODUCT((Inputs!$C$5:$C$120=$B38)*Inputs!$D$5:$D$120*(((Inputs!$G$5:$G$120="moeda")+(Inputs!$G$5:$G$120="acoes"))*Inputs!$B$1+((Inputs!$G$5:$G$120&lt;&gt;"moeda")*(Inputs!$G$5:$G$120&lt;&gt;"acoes")))*INDEX(Inputs!$K$5:$AJ$120,0,MATCH(AE$2,Inputs!$K$4:$AJ$4,0)))+SUMPRODUCT((Inputs!$E$5:$E$120=$B38)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8" s="6" t="e">
        <f>IF(ISNA(MATCH(AF$2,Inputs!$K$4:$AJ$4,0)),NA(),IF(SUMPRODUCT((Inputs!$A$5:$A$120=$B38)*ISNUMBER(INDEX(Inputs!$K$5:$AJ$120,0,MATCH(AF$2,Inputs!$K$4:$AJ$4,0))))+SUMPRODUCT((Inputs!$C$5:$C$120=$B38)*ISNUMBER(INDEX(Inputs!$K$5:$AJ$120,0,MATCH(AF$2,Inputs!$K$4:$AJ$4,0))))+SUMPRODUCT((Inputs!$E$5:$E$120=$B38)*ISNUMBER(INDEX(Inputs!$K$5:$AJ$120,0,MATCH(AF$2,Inputs!$K$4:$AJ$4,0))))=0,NA(),SUMPRODUCT((Inputs!$A$5:$A$120=$B38)*Inputs!$B$5:$B$120*(((Inputs!$G$5:$G$120="moeda")+(Inputs!$G$5:$G$120="acoes"))*Inputs!$B$1+((Inputs!$G$5:$G$120&lt;&gt;"moeda")*(Inputs!$G$5:$G$120&lt;&gt;"acoes")))*INDEX(Inputs!$K$5:$AJ$120,0,MATCH(AF$2,Inputs!$K$4:$AJ$4,0)))+SUMPRODUCT((Inputs!$C$5:$C$120=$B38)*Inputs!$D$5:$D$120*(((Inputs!$G$5:$G$120="moeda")+(Inputs!$G$5:$G$120="acoes"))*Inputs!$B$1+((Inputs!$G$5:$G$120&lt;&gt;"moeda")*(Inputs!$G$5:$G$120&lt;&gt;"acoes")))*INDEX(Inputs!$K$5:$AJ$120,0,MATCH(AF$2,Inputs!$K$4:$AJ$4,0)))+SUMPRODUCT((Inputs!$E$5:$E$120=$B38)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8" s="3" t="e">
        <f>AF38</f>
        <v>#N/A</v>
      </c>
      <c r="AH38" s="6">
        <f>IF(ISNA(MATCH(AH$2,Inputs!$K$4:$AJ$4,0)),NA(),IF(SUMPRODUCT((Inputs!$A$5:$A$120=$B38)*ISNUMBER(INDEX(Inputs!$K$5:$AJ$120,0,MATCH(AH$2,Inputs!$K$4:$AJ$4,0))))+SUMPRODUCT((Inputs!$C$5:$C$120=$B38)*ISNUMBER(INDEX(Inputs!$K$5:$AJ$120,0,MATCH(AH$2,Inputs!$K$4:$AJ$4,0))))+SUMPRODUCT((Inputs!$E$5:$E$120=$B38)*ISNUMBER(INDEX(Inputs!$K$5:$AJ$120,0,MATCH(AH$2,Inputs!$K$4:$AJ$4,0))))=0,NA(),SUMPRODUCT((Inputs!$A$5:$A$120=$B38)*Inputs!$B$5:$B$120*(((Inputs!$G$5:$G$120="moeda")+(Inputs!$G$5:$G$120="acoes"))*Inputs!$B$1+((Inputs!$G$5:$G$120&lt;&gt;"moeda")*(Inputs!$G$5:$G$120&lt;&gt;"acoes")))*INDEX(Inputs!$K$5:$AJ$120,0,MATCH(AH$2,Inputs!$K$4:$AJ$4,0)))+SUMPRODUCT((Inputs!$C$5:$C$120=$B38)*Inputs!$D$5:$D$120*(((Inputs!$G$5:$G$120="moeda")+(Inputs!$G$5:$G$120="acoes"))*Inputs!$B$1+((Inputs!$G$5:$G$120&lt;&gt;"moeda")*(Inputs!$G$5:$G$120&lt;&gt;"acoes")))*INDEX(Inputs!$K$5:$AJ$120,0,MATCH(AH$2,Inputs!$K$4:$AJ$4,0)))+SUMPRODUCT((Inputs!$E$5:$E$120=$B38)*Inputs!$F$5:$F$120*(((Inputs!$G$5:$G$120="moeda")+(Inputs!$G$5:$G$120="acoes"))*Inputs!$B$1+((Inputs!$G$5:$G$120&lt;&gt;"moeda")*(Inputs!$G$5:$G$120&lt;&gt;"acoes")))*INDEX(Inputs!$K$5:$AJ$120,0,MATCH(AH$2,Inputs!$K$4:$AJ$4,0)))))</f>
        <v>2186.2</v>
      </c>
      <c r="AI38" s="6">
        <f>IF(ISNA(MATCH(AI$2,Inputs!$K$4:$AJ$4,0)),NA(),IF(SUMPRODUCT((Inputs!$A$5:$A$120=$B38)*ISNUMBER(INDEX(Inputs!$K$5:$AJ$120,0,MATCH(AI$2,Inputs!$K$4:$AJ$4,0))))+SUMPRODUCT((Inputs!$C$5:$C$120=$B38)*ISNUMBER(INDEX(Inputs!$K$5:$AJ$120,0,MATCH(AI$2,Inputs!$K$4:$AJ$4,0))))+SUMPRODUCT((Inputs!$E$5:$E$120=$B38)*ISNUMBER(INDEX(Inputs!$K$5:$AJ$120,0,MATCH(AI$2,Inputs!$K$4:$AJ$4,0))))=0,NA(),SUMPRODUCT((Inputs!$A$5:$A$120=$B38)*Inputs!$B$5:$B$120*(((Inputs!$G$5:$G$120="moeda")+(Inputs!$G$5:$G$120="acoes"))*Inputs!$B$1+((Inputs!$G$5:$G$120&lt;&gt;"moeda")*(Inputs!$G$5:$G$120&lt;&gt;"acoes")))*INDEX(Inputs!$K$5:$AJ$120,0,MATCH(AI$2,Inputs!$K$4:$AJ$4,0)))+SUMPRODUCT((Inputs!$C$5:$C$120=$B38)*Inputs!$D$5:$D$120*(((Inputs!$G$5:$G$120="moeda")+(Inputs!$G$5:$G$120="acoes"))*Inputs!$B$1+((Inputs!$G$5:$G$120&lt;&gt;"moeda")*(Inputs!$G$5:$G$120&lt;&gt;"acoes")))*INDEX(Inputs!$K$5:$AJ$120,0,MATCH(AI$2,Inputs!$K$4:$AJ$4,0)))+SUMPRODUCT((Inputs!$E$5:$E$120=$B38)*Inputs!$F$5:$F$120*(((Inputs!$G$5:$G$120="moeda")+(Inputs!$G$5:$G$120="acoes"))*Inputs!$B$1+((Inputs!$G$5:$G$120&lt;&gt;"moeda")*(Inputs!$G$5:$G$120&lt;&gt;"acoes")))*INDEX(Inputs!$K$5:$AJ$120,0,MATCH(AI$2,Inputs!$K$4:$AJ$4,0)))))</f>
        <v>2039.2</v>
      </c>
      <c r="AJ38" s="6">
        <f>IF(ISNA(MATCH(AJ$2,Inputs!$K$4:$AJ$4,0)),NA(),IF(SUMPRODUCT((Inputs!$A$5:$A$120=$B38)*ISNUMBER(INDEX(Inputs!$K$5:$AJ$120,0,MATCH(AJ$2,Inputs!$K$4:$AJ$4,0))))+SUMPRODUCT((Inputs!$C$5:$C$120=$B38)*ISNUMBER(INDEX(Inputs!$K$5:$AJ$120,0,MATCH(AJ$2,Inputs!$K$4:$AJ$4,0))))+SUMPRODUCT((Inputs!$E$5:$E$120=$B38)*ISNUMBER(INDEX(Inputs!$K$5:$AJ$120,0,MATCH(AJ$2,Inputs!$K$4:$AJ$4,0))))=0,NA(),SUMPRODUCT((Inputs!$A$5:$A$120=$B38)*Inputs!$B$5:$B$120*(((Inputs!$G$5:$G$120="moeda")+(Inputs!$G$5:$G$120="acoes"))*Inputs!$B$1+((Inputs!$G$5:$G$120&lt;&gt;"moeda")*(Inputs!$G$5:$G$120&lt;&gt;"acoes")))*INDEX(Inputs!$K$5:$AJ$120,0,MATCH(AJ$2,Inputs!$K$4:$AJ$4,0)))+SUMPRODUCT((Inputs!$C$5:$C$120=$B38)*Inputs!$D$5:$D$120*(((Inputs!$G$5:$G$120="moeda")+(Inputs!$G$5:$G$120="acoes"))*Inputs!$B$1+((Inputs!$G$5:$G$120&lt;&gt;"moeda")*(Inputs!$G$5:$G$120&lt;&gt;"acoes")))*INDEX(Inputs!$K$5:$AJ$120,0,MATCH(AJ$2,Inputs!$K$4:$AJ$4,0)))+SUMPRODUCT((Inputs!$E$5:$E$120=$B38)*Inputs!$F$5:$F$120*(((Inputs!$G$5:$G$120="moeda")+(Inputs!$G$5:$G$120="acoes"))*Inputs!$B$1+((Inputs!$G$5:$G$120&lt;&gt;"moeda")*(Inputs!$G$5:$G$120&lt;&gt;"acoes")))*INDEX(Inputs!$K$5:$AJ$120,0,MATCH(AJ$2,Inputs!$K$4:$AJ$4,0)))))</f>
        <v>2107.7</v>
      </c>
      <c r="AK38" s="6">
        <f>IF(ISNA(MATCH(AK$2,Inputs!$K$4:$AJ$4,0)),NA(),IF(SUMPRODUCT((Inputs!$A$5:$A$120=$B38)*ISNUMBER(INDEX(Inputs!$K$5:$AJ$120,0,MATCH(AK$2,Inputs!$K$4:$AJ$4,0))))+SUMPRODUCT((Inputs!$C$5:$C$120=$B38)*ISNUMBER(INDEX(Inputs!$K$5:$AJ$120,0,MATCH(AK$2,Inputs!$K$4:$AJ$4,0))))+SUMPRODUCT((Inputs!$E$5:$E$120=$B38)*ISNUMBER(INDEX(Inputs!$K$5:$AJ$120,0,MATCH(AK$2,Inputs!$K$4:$AJ$4,0))))=0,NA(),SUMPRODUCT((Inputs!$A$5:$A$120=$B38)*Inputs!$B$5:$B$120*(((Inputs!$G$5:$G$120="moeda")+(Inputs!$G$5:$G$120="acoes"))*Inputs!$B$1+((Inputs!$G$5:$G$120&lt;&gt;"moeda")*(Inputs!$G$5:$G$120&lt;&gt;"acoes")))*INDEX(Inputs!$K$5:$AJ$120,0,MATCH(AK$2,Inputs!$K$4:$AJ$4,0)))+SUMPRODUCT((Inputs!$C$5:$C$120=$B38)*Inputs!$D$5:$D$120*(((Inputs!$G$5:$G$120="moeda")+(Inputs!$G$5:$G$120="acoes"))*Inputs!$B$1+((Inputs!$G$5:$G$120&lt;&gt;"moeda")*(Inputs!$G$5:$G$120&lt;&gt;"acoes")))*INDEX(Inputs!$K$5:$AJ$120,0,MATCH(AK$2,Inputs!$K$4:$AJ$4,0)))+SUMPRODUCT((Inputs!$E$5:$E$120=$B38)*Inputs!$F$5:$F$120*(((Inputs!$G$5:$G$120="moeda")+(Inputs!$G$5:$G$120="acoes"))*Inputs!$B$1+((Inputs!$G$5:$G$120&lt;&gt;"moeda")*(Inputs!$G$5:$G$120&lt;&gt;"acoes")))*INDEX(Inputs!$K$5:$AJ$120,0,MATCH(AK$2,Inputs!$K$4:$AJ$4,0)))))</f>
        <v>2099.9</v>
      </c>
      <c r="AL38" s="3">
        <f>AK38</f>
        <v>2099.9</v>
      </c>
    </row>
    <row r="39">
      <c r="B39" s="46" t="n">
        <v>34</v>
      </c>
      <c r="C39" s="26" t="inlineStr">
        <is>
          <t>Other non-current liabilities</t>
        </is>
      </c>
      <c r="D39" s="6">
        <f>IF(ISNA(MATCH(D$2,Inputs!$K$4:$AJ$4,0)),NA(),IF(SUMPRODUCT((Inputs!$A$5:$A$120=$B39)*ISNUMBER(INDEX(Inputs!$K$5:$AJ$120,0,MATCH(D$2,Inputs!$K$4:$AJ$4,0))))+SUMPRODUCT((Inputs!$C$5:$C$120=$B39)*ISNUMBER(INDEX(Inputs!$K$5:$AJ$120,0,MATCH(D$2,Inputs!$K$4:$AJ$4,0))))+SUMPRODUCT((Inputs!$E$5:$E$120=$B39)*ISNUMBER(INDEX(Inputs!$K$5:$AJ$120,0,MATCH(D$2,Inputs!$K$4:$AJ$4,0))))=0,NA(),SUMPRODUCT((Inputs!$A$5:$A$120=$B39)*Inputs!$B$5:$B$120*(((Inputs!$G$5:$G$120="moeda")+(Inputs!$G$5:$G$120="acoes"))*Inputs!$B$1+((Inputs!$G$5:$G$120&lt;&gt;"moeda")*(Inputs!$G$5:$G$120&lt;&gt;"acoes")))*INDEX(Inputs!$K$5:$AJ$120,0,MATCH(D$2,Inputs!$K$4:$AJ$4,0)))+SUMPRODUCT((Inputs!$C$5:$C$120=$B39)*Inputs!$D$5:$D$120*(((Inputs!$G$5:$G$120="moeda")+(Inputs!$G$5:$G$120="acoes"))*Inputs!$B$1+((Inputs!$G$5:$G$120&lt;&gt;"moeda")*(Inputs!$G$5:$G$120&lt;&gt;"acoes")))*INDEX(Inputs!$K$5:$AJ$120,0,MATCH(D$2,Inputs!$K$4:$AJ$4,0)))+SUMPRODUCT((Inputs!$E$5:$E$120=$B39)*Inputs!$F$5:$F$120*(((Inputs!$G$5:$G$120="moeda")+(Inputs!$G$5:$G$120="acoes"))*Inputs!$B$1+((Inputs!$G$5:$G$120&lt;&gt;"moeda")*(Inputs!$G$5:$G$120&lt;&gt;"acoes")))*INDEX(Inputs!$K$5:$AJ$120,0,MATCH(D$2,Inputs!$K$4:$AJ$4,0)))))</f>
        <v>9624.6</v>
      </c>
      <c r="E39" s="6">
        <f>IF(ISNA(MATCH(E$2,Inputs!$K$4:$AJ$4,0)),NA(),IF(SUMPRODUCT((Inputs!$A$5:$A$120=$B39)*ISNUMBER(INDEX(Inputs!$K$5:$AJ$120,0,MATCH(E$2,Inputs!$K$4:$AJ$4,0))))+SUMPRODUCT((Inputs!$C$5:$C$120=$B39)*ISNUMBER(INDEX(Inputs!$K$5:$AJ$120,0,MATCH(E$2,Inputs!$K$4:$AJ$4,0))))+SUMPRODUCT((Inputs!$E$5:$E$120=$B39)*ISNUMBER(INDEX(Inputs!$K$5:$AJ$120,0,MATCH(E$2,Inputs!$K$4:$AJ$4,0))))=0,NA(),SUMPRODUCT((Inputs!$A$5:$A$120=$B39)*Inputs!$B$5:$B$120*(((Inputs!$G$5:$G$120="moeda")+(Inputs!$G$5:$G$120="acoes"))*Inputs!$B$1+((Inputs!$G$5:$G$120&lt;&gt;"moeda")*(Inputs!$G$5:$G$120&lt;&gt;"acoes")))*INDEX(Inputs!$K$5:$AJ$120,0,MATCH(E$2,Inputs!$K$4:$AJ$4,0)))+SUMPRODUCT((Inputs!$C$5:$C$120=$B39)*Inputs!$D$5:$D$120*(((Inputs!$G$5:$G$120="moeda")+(Inputs!$G$5:$G$120="acoes"))*Inputs!$B$1+((Inputs!$G$5:$G$120&lt;&gt;"moeda")*(Inputs!$G$5:$G$120&lt;&gt;"acoes")))*INDEX(Inputs!$K$5:$AJ$120,0,MATCH(E$2,Inputs!$K$4:$AJ$4,0)))+SUMPRODUCT((Inputs!$E$5:$E$120=$B39)*Inputs!$F$5:$F$120*(((Inputs!$G$5:$G$120="moeda")+(Inputs!$G$5:$G$120="acoes"))*Inputs!$B$1+((Inputs!$G$5:$G$120&lt;&gt;"moeda")*(Inputs!$G$5:$G$120&lt;&gt;"acoes")))*INDEX(Inputs!$K$5:$AJ$120,0,MATCH(E$2,Inputs!$K$4:$AJ$4,0)))))</f>
        <v>9458.4</v>
      </c>
      <c r="F39" s="6">
        <f>IF(ISNA(MATCH(F$2,Inputs!$K$4:$AJ$4,0)),NA(),IF(SUMPRODUCT((Inputs!$A$5:$A$120=$B39)*ISNUMBER(INDEX(Inputs!$K$5:$AJ$120,0,MATCH(F$2,Inputs!$K$4:$AJ$4,0))))+SUMPRODUCT((Inputs!$C$5:$C$120=$B39)*ISNUMBER(INDEX(Inputs!$K$5:$AJ$120,0,MATCH(F$2,Inputs!$K$4:$AJ$4,0))))+SUMPRODUCT((Inputs!$E$5:$E$120=$B39)*ISNUMBER(INDEX(Inputs!$K$5:$AJ$120,0,MATCH(F$2,Inputs!$K$4:$AJ$4,0))))=0,NA(),SUMPRODUCT((Inputs!$A$5:$A$120=$B39)*Inputs!$B$5:$B$120*(((Inputs!$G$5:$G$120="moeda")+(Inputs!$G$5:$G$120="acoes"))*Inputs!$B$1+((Inputs!$G$5:$G$120&lt;&gt;"moeda")*(Inputs!$G$5:$G$120&lt;&gt;"acoes")))*INDEX(Inputs!$K$5:$AJ$120,0,MATCH(F$2,Inputs!$K$4:$AJ$4,0)))+SUMPRODUCT((Inputs!$C$5:$C$120=$B39)*Inputs!$D$5:$D$120*(((Inputs!$G$5:$G$120="moeda")+(Inputs!$G$5:$G$120="acoes"))*Inputs!$B$1+((Inputs!$G$5:$G$120&lt;&gt;"moeda")*(Inputs!$G$5:$G$120&lt;&gt;"acoes")))*INDEX(Inputs!$K$5:$AJ$120,0,MATCH(F$2,Inputs!$K$4:$AJ$4,0)))+SUMPRODUCT((Inputs!$E$5:$E$120=$B39)*Inputs!$F$5:$F$120*(((Inputs!$G$5:$G$120="moeda")+(Inputs!$G$5:$G$120="acoes"))*Inputs!$B$1+((Inputs!$G$5:$G$120&lt;&gt;"moeda")*(Inputs!$G$5:$G$120&lt;&gt;"acoes")))*INDEX(Inputs!$K$5:$AJ$120,0,MATCH(F$2,Inputs!$K$4:$AJ$4,0)))))</f>
        <v>9396</v>
      </c>
      <c r="G39" s="6">
        <f>IF(ISNA(MATCH(G$2,Inputs!$K$4:$AJ$4,0)),NA(),IF(SUMPRODUCT((Inputs!$A$5:$A$120=$B39)*ISNUMBER(INDEX(Inputs!$K$5:$AJ$120,0,MATCH(G$2,Inputs!$K$4:$AJ$4,0))))+SUMPRODUCT((Inputs!$C$5:$C$120=$B39)*ISNUMBER(INDEX(Inputs!$K$5:$AJ$120,0,MATCH(G$2,Inputs!$K$4:$AJ$4,0))))+SUMPRODUCT((Inputs!$E$5:$E$120=$B39)*ISNUMBER(INDEX(Inputs!$K$5:$AJ$120,0,MATCH(G$2,Inputs!$K$4:$AJ$4,0))))=0,NA(),SUMPRODUCT((Inputs!$A$5:$A$120=$B39)*Inputs!$B$5:$B$120*(((Inputs!$G$5:$G$120="moeda")+(Inputs!$G$5:$G$120="acoes"))*Inputs!$B$1+((Inputs!$G$5:$G$120&lt;&gt;"moeda")*(Inputs!$G$5:$G$120&lt;&gt;"acoes")))*INDEX(Inputs!$K$5:$AJ$120,0,MATCH(G$2,Inputs!$K$4:$AJ$4,0)))+SUMPRODUCT((Inputs!$C$5:$C$120=$B39)*Inputs!$D$5:$D$120*(((Inputs!$G$5:$G$120="moeda")+(Inputs!$G$5:$G$120="acoes"))*Inputs!$B$1+((Inputs!$G$5:$G$120&lt;&gt;"moeda")*(Inputs!$G$5:$G$120&lt;&gt;"acoes")))*INDEX(Inputs!$K$5:$AJ$120,0,MATCH(G$2,Inputs!$K$4:$AJ$4,0)))+SUMPRODUCT((Inputs!$E$5:$E$120=$B39)*Inputs!$F$5:$F$120*(((Inputs!$G$5:$G$120="moeda")+(Inputs!$G$5:$G$120="acoes"))*Inputs!$B$1+((Inputs!$G$5:$G$120&lt;&gt;"moeda")*(Inputs!$G$5:$G$120&lt;&gt;"acoes")))*INDEX(Inputs!$K$5:$AJ$120,0,MATCH(G$2,Inputs!$K$4:$AJ$4,0)))))</f>
        <v>7518.4</v>
      </c>
      <c r="H39" s="3">
        <f>G39</f>
        <v>7518.4</v>
      </c>
      <c r="I39" s="6">
        <f>IF(ISNA(MATCH(I$2,Inputs!$K$4:$AJ$4,0)),NA(),IF(SUMPRODUCT((Inputs!$A$5:$A$120=$B39)*ISNUMBER(INDEX(Inputs!$K$5:$AJ$120,0,MATCH(I$2,Inputs!$K$4:$AJ$4,0))))+SUMPRODUCT((Inputs!$C$5:$C$120=$B39)*ISNUMBER(INDEX(Inputs!$K$5:$AJ$120,0,MATCH(I$2,Inputs!$K$4:$AJ$4,0))))+SUMPRODUCT((Inputs!$E$5:$E$120=$B39)*ISNUMBER(INDEX(Inputs!$K$5:$AJ$120,0,MATCH(I$2,Inputs!$K$4:$AJ$4,0))))=0,NA(),SUMPRODUCT((Inputs!$A$5:$A$120=$B39)*Inputs!$B$5:$B$120*(((Inputs!$G$5:$G$120="moeda")+(Inputs!$G$5:$G$120="acoes"))*Inputs!$B$1+((Inputs!$G$5:$G$120&lt;&gt;"moeda")*(Inputs!$G$5:$G$120&lt;&gt;"acoes")))*INDEX(Inputs!$K$5:$AJ$120,0,MATCH(I$2,Inputs!$K$4:$AJ$4,0)))+SUMPRODUCT((Inputs!$C$5:$C$120=$B39)*Inputs!$D$5:$D$120*(((Inputs!$G$5:$G$120="moeda")+(Inputs!$G$5:$G$120="acoes"))*Inputs!$B$1+((Inputs!$G$5:$G$120&lt;&gt;"moeda")*(Inputs!$G$5:$G$120&lt;&gt;"acoes")))*INDEX(Inputs!$K$5:$AJ$120,0,MATCH(I$2,Inputs!$K$4:$AJ$4,0)))+SUMPRODUCT((Inputs!$E$5:$E$120=$B39)*Inputs!$F$5:$F$120*(((Inputs!$G$5:$G$120="moeda")+(Inputs!$G$5:$G$120="acoes"))*Inputs!$B$1+((Inputs!$G$5:$G$120&lt;&gt;"moeda")*(Inputs!$G$5:$G$120&lt;&gt;"acoes")))*INDEX(Inputs!$K$5:$AJ$120,0,MATCH(I$2,Inputs!$K$4:$AJ$4,0)))))</f>
        <v>7632.3</v>
      </c>
      <c r="J39" s="6">
        <f>IF(ISNA(MATCH(J$2,Inputs!$K$4:$AJ$4,0)),NA(),IF(SUMPRODUCT((Inputs!$A$5:$A$120=$B39)*ISNUMBER(INDEX(Inputs!$K$5:$AJ$120,0,MATCH(J$2,Inputs!$K$4:$AJ$4,0))))+SUMPRODUCT((Inputs!$C$5:$C$120=$B39)*ISNUMBER(INDEX(Inputs!$K$5:$AJ$120,0,MATCH(J$2,Inputs!$K$4:$AJ$4,0))))+SUMPRODUCT((Inputs!$E$5:$E$120=$B39)*ISNUMBER(INDEX(Inputs!$K$5:$AJ$120,0,MATCH(J$2,Inputs!$K$4:$AJ$4,0))))=0,NA(),SUMPRODUCT((Inputs!$A$5:$A$120=$B39)*Inputs!$B$5:$B$120*(((Inputs!$G$5:$G$120="moeda")+(Inputs!$G$5:$G$120="acoes"))*Inputs!$B$1+((Inputs!$G$5:$G$120&lt;&gt;"moeda")*(Inputs!$G$5:$G$120&lt;&gt;"acoes")))*INDEX(Inputs!$K$5:$AJ$120,0,MATCH(J$2,Inputs!$K$4:$AJ$4,0)))+SUMPRODUCT((Inputs!$C$5:$C$120=$B39)*Inputs!$D$5:$D$120*(((Inputs!$G$5:$G$120="moeda")+(Inputs!$G$5:$G$120="acoes"))*Inputs!$B$1+((Inputs!$G$5:$G$120&lt;&gt;"moeda")*(Inputs!$G$5:$G$120&lt;&gt;"acoes")))*INDEX(Inputs!$K$5:$AJ$120,0,MATCH(J$2,Inputs!$K$4:$AJ$4,0)))+SUMPRODUCT((Inputs!$E$5:$E$120=$B39)*Inputs!$F$5:$F$120*(((Inputs!$G$5:$G$120="moeda")+(Inputs!$G$5:$G$120="acoes"))*Inputs!$B$1+((Inputs!$G$5:$G$120&lt;&gt;"moeda")*(Inputs!$G$5:$G$120&lt;&gt;"acoes")))*INDEX(Inputs!$K$5:$AJ$120,0,MATCH(J$2,Inputs!$K$4:$AJ$4,0)))))</f>
        <v>7229.3</v>
      </c>
      <c r="K39" s="6">
        <f>IF(ISNA(MATCH(K$2,Inputs!$K$4:$AJ$4,0)),NA(),IF(SUMPRODUCT((Inputs!$A$5:$A$120=$B39)*ISNUMBER(INDEX(Inputs!$K$5:$AJ$120,0,MATCH(K$2,Inputs!$K$4:$AJ$4,0))))+SUMPRODUCT((Inputs!$C$5:$C$120=$B39)*ISNUMBER(INDEX(Inputs!$K$5:$AJ$120,0,MATCH(K$2,Inputs!$K$4:$AJ$4,0))))+SUMPRODUCT((Inputs!$E$5:$E$120=$B39)*ISNUMBER(INDEX(Inputs!$K$5:$AJ$120,0,MATCH(K$2,Inputs!$K$4:$AJ$4,0))))=0,NA(),SUMPRODUCT((Inputs!$A$5:$A$120=$B39)*Inputs!$B$5:$B$120*(((Inputs!$G$5:$G$120="moeda")+(Inputs!$G$5:$G$120="acoes"))*Inputs!$B$1+((Inputs!$G$5:$G$120&lt;&gt;"moeda")*(Inputs!$G$5:$G$120&lt;&gt;"acoes")))*INDEX(Inputs!$K$5:$AJ$120,0,MATCH(K$2,Inputs!$K$4:$AJ$4,0)))+SUMPRODUCT((Inputs!$C$5:$C$120=$B39)*Inputs!$D$5:$D$120*(((Inputs!$G$5:$G$120="moeda")+(Inputs!$G$5:$G$120="acoes"))*Inputs!$B$1+((Inputs!$G$5:$G$120&lt;&gt;"moeda")*(Inputs!$G$5:$G$120&lt;&gt;"acoes")))*INDEX(Inputs!$K$5:$AJ$120,0,MATCH(K$2,Inputs!$K$4:$AJ$4,0)))+SUMPRODUCT((Inputs!$E$5:$E$120=$B39)*Inputs!$F$5:$F$120*(((Inputs!$G$5:$G$120="moeda")+(Inputs!$G$5:$G$120="acoes"))*Inputs!$B$1+((Inputs!$G$5:$G$120&lt;&gt;"moeda")*(Inputs!$G$5:$G$120&lt;&gt;"acoes")))*INDEX(Inputs!$K$5:$AJ$120,0,MATCH(K$2,Inputs!$K$4:$AJ$4,0)))))</f>
        <v>7327.1</v>
      </c>
      <c r="L39" s="6">
        <f>IF(ISNA(MATCH(L$2,Inputs!$K$4:$AJ$4,0)),NA(),IF(SUMPRODUCT((Inputs!$A$5:$A$120=$B39)*ISNUMBER(INDEX(Inputs!$K$5:$AJ$120,0,MATCH(L$2,Inputs!$K$4:$AJ$4,0))))+SUMPRODUCT((Inputs!$C$5:$C$120=$B39)*ISNUMBER(INDEX(Inputs!$K$5:$AJ$120,0,MATCH(L$2,Inputs!$K$4:$AJ$4,0))))+SUMPRODUCT((Inputs!$E$5:$E$120=$B39)*ISNUMBER(INDEX(Inputs!$K$5:$AJ$120,0,MATCH(L$2,Inputs!$K$4:$AJ$4,0))))=0,NA(),SUMPRODUCT((Inputs!$A$5:$A$120=$B39)*Inputs!$B$5:$B$120*(((Inputs!$G$5:$G$120="moeda")+(Inputs!$G$5:$G$120="acoes"))*Inputs!$B$1+((Inputs!$G$5:$G$120&lt;&gt;"moeda")*(Inputs!$G$5:$G$120&lt;&gt;"acoes")))*INDEX(Inputs!$K$5:$AJ$120,0,MATCH(L$2,Inputs!$K$4:$AJ$4,0)))+SUMPRODUCT((Inputs!$C$5:$C$120=$B39)*Inputs!$D$5:$D$120*(((Inputs!$G$5:$G$120="moeda")+(Inputs!$G$5:$G$120="acoes"))*Inputs!$B$1+((Inputs!$G$5:$G$120&lt;&gt;"moeda")*(Inputs!$G$5:$G$120&lt;&gt;"acoes")))*INDEX(Inputs!$K$5:$AJ$120,0,MATCH(L$2,Inputs!$K$4:$AJ$4,0)))+SUMPRODUCT((Inputs!$E$5:$E$120=$B39)*Inputs!$F$5:$F$120*(((Inputs!$G$5:$G$120="moeda")+(Inputs!$G$5:$G$120="acoes"))*Inputs!$B$1+((Inputs!$G$5:$G$120&lt;&gt;"moeda")*(Inputs!$G$5:$G$120&lt;&gt;"acoes")))*INDEX(Inputs!$K$5:$AJ$120,0,MATCH(L$2,Inputs!$K$4:$AJ$4,0)))))</f>
        <v>6751.4</v>
      </c>
      <c r="M39" s="3">
        <f>L39</f>
        <v>6751.4</v>
      </c>
      <c r="N39" s="6">
        <f>IF(ISNA(MATCH(N$2,Inputs!$K$4:$AJ$4,0)),NA(),IF(SUMPRODUCT((Inputs!$A$5:$A$120=$B39)*ISNUMBER(INDEX(Inputs!$K$5:$AJ$120,0,MATCH(N$2,Inputs!$K$4:$AJ$4,0))))+SUMPRODUCT((Inputs!$C$5:$C$120=$B39)*ISNUMBER(INDEX(Inputs!$K$5:$AJ$120,0,MATCH(N$2,Inputs!$K$4:$AJ$4,0))))+SUMPRODUCT((Inputs!$E$5:$E$120=$B39)*ISNUMBER(INDEX(Inputs!$K$5:$AJ$120,0,MATCH(N$2,Inputs!$K$4:$AJ$4,0))))=0,NA(),SUMPRODUCT((Inputs!$A$5:$A$120=$B39)*Inputs!$B$5:$B$120*(((Inputs!$G$5:$G$120="moeda")+(Inputs!$G$5:$G$120="acoes"))*Inputs!$B$1+((Inputs!$G$5:$G$120&lt;&gt;"moeda")*(Inputs!$G$5:$G$120&lt;&gt;"acoes")))*INDEX(Inputs!$K$5:$AJ$120,0,MATCH(N$2,Inputs!$K$4:$AJ$4,0)))+SUMPRODUCT((Inputs!$C$5:$C$120=$B39)*Inputs!$D$5:$D$120*(((Inputs!$G$5:$G$120="moeda")+(Inputs!$G$5:$G$120="acoes"))*Inputs!$B$1+((Inputs!$G$5:$G$120&lt;&gt;"moeda")*(Inputs!$G$5:$G$120&lt;&gt;"acoes")))*INDEX(Inputs!$K$5:$AJ$120,0,MATCH(N$2,Inputs!$K$4:$AJ$4,0)))+SUMPRODUCT((Inputs!$E$5:$E$120=$B39)*Inputs!$F$5:$F$120*(((Inputs!$G$5:$G$120="moeda")+(Inputs!$G$5:$G$120="acoes"))*Inputs!$B$1+((Inputs!$G$5:$G$120&lt;&gt;"moeda")*(Inputs!$G$5:$G$120&lt;&gt;"acoes")))*INDEX(Inputs!$K$5:$AJ$120,0,MATCH(N$2,Inputs!$K$4:$AJ$4,0)))))</f>
        <v>6977.6</v>
      </c>
      <c r="O39" s="6">
        <f>IF(ISNA(MATCH(O$2,Inputs!$K$4:$AJ$4,0)),NA(),IF(SUMPRODUCT((Inputs!$A$5:$A$120=$B39)*ISNUMBER(INDEX(Inputs!$K$5:$AJ$120,0,MATCH(O$2,Inputs!$K$4:$AJ$4,0))))+SUMPRODUCT((Inputs!$C$5:$C$120=$B39)*ISNUMBER(INDEX(Inputs!$K$5:$AJ$120,0,MATCH(O$2,Inputs!$K$4:$AJ$4,0))))+SUMPRODUCT((Inputs!$E$5:$E$120=$B39)*ISNUMBER(INDEX(Inputs!$K$5:$AJ$120,0,MATCH(O$2,Inputs!$K$4:$AJ$4,0))))=0,NA(),SUMPRODUCT((Inputs!$A$5:$A$120=$B39)*Inputs!$B$5:$B$120*(((Inputs!$G$5:$G$120="moeda")+(Inputs!$G$5:$G$120="acoes"))*Inputs!$B$1+((Inputs!$G$5:$G$120&lt;&gt;"moeda")*(Inputs!$G$5:$G$120&lt;&gt;"acoes")))*INDEX(Inputs!$K$5:$AJ$120,0,MATCH(O$2,Inputs!$K$4:$AJ$4,0)))+SUMPRODUCT((Inputs!$C$5:$C$120=$B39)*Inputs!$D$5:$D$120*(((Inputs!$G$5:$G$120="moeda")+(Inputs!$G$5:$G$120="acoes"))*Inputs!$B$1+((Inputs!$G$5:$G$120&lt;&gt;"moeda")*(Inputs!$G$5:$G$120&lt;&gt;"acoes")))*INDEX(Inputs!$K$5:$AJ$120,0,MATCH(O$2,Inputs!$K$4:$AJ$4,0)))+SUMPRODUCT((Inputs!$E$5:$E$120=$B39)*Inputs!$F$5:$F$120*(((Inputs!$G$5:$G$120="moeda")+(Inputs!$G$5:$G$120="acoes"))*Inputs!$B$1+((Inputs!$G$5:$G$120&lt;&gt;"moeda")*(Inputs!$G$5:$G$120&lt;&gt;"acoes")))*INDEX(Inputs!$K$5:$AJ$120,0,MATCH(O$2,Inputs!$K$4:$AJ$4,0)))))</f>
        <v>6591.3</v>
      </c>
      <c r="P39" s="6">
        <f>IF(ISNA(MATCH(P$2,Inputs!$K$4:$AJ$4,0)),NA(),IF(SUMPRODUCT((Inputs!$A$5:$A$120=$B39)*ISNUMBER(INDEX(Inputs!$K$5:$AJ$120,0,MATCH(P$2,Inputs!$K$4:$AJ$4,0))))+SUMPRODUCT((Inputs!$C$5:$C$120=$B39)*ISNUMBER(INDEX(Inputs!$K$5:$AJ$120,0,MATCH(P$2,Inputs!$K$4:$AJ$4,0))))+SUMPRODUCT((Inputs!$E$5:$E$120=$B39)*ISNUMBER(INDEX(Inputs!$K$5:$AJ$120,0,MATCH(P$2,Inputs!$K$4:$AJ$4,0))))=0,NA(),SUMPRODUCT((Inputs!$A$5:$A$120=$B39)*Inputs!$B$5:$B$120*(((Inputs!$G$5:$G$120="moeda")+(Inputs!$G$5:$G$120="acoes"))*Inputs!$B$1+((Inputs!$G$5:$G$120&lt;&gt;"moeda")*(Inputs!$G$5:$G$120&lt;&gt;"acoes")))*INDEX(Inputs!$K$5:$AJ$120,0,MATCH(P$2,Inputs!$K$4:$AJ$4,0)))+SUMPRODUCT((Inputs!$C$5:$C$120=$B39)*Inputs!$D$5:$D$120*(((Inputs!$G$5:$G$120="moeda")+(Inputs!$G$5:$G$120="acoes"))*Inputs!$B$1+((Inputs!$G$5:$G$120&lt;&gt;"moeda")*(Inputs!$G$5:$G$120&lt;&gt;"acoes")))*INDEX(Inputs!$K$5:$AJ$120,0,MATCH(P$2,Inputs!$K$4:$AJ$4,0)))+SUMPRODUCT((Inputs!$E$5:$E$120=$B39)*Inputs!$F$5:$F$120*(((Inputs!$G$5:$G$120="moeda")+(Inputs!$G$5:$G$120="acoes"))*Inputs!$B$1+((Inputs!$G$5:$G$120&lt;&gt;"moeda")*(Inputs!$G$5:$G$120&lt;&gt;"acoes")))*INDEX(Inputs!$K$5:$AJ$120,0,MATCH(P$2,Inputs!$K$4:$AJ$4,0)))))</f>
        <v>6686.3</v>
      </c>
      <c r="Q39" s="6">
        <f>IF(ISNA(MATCH(Q$2,Inputs!$K$4:$AJ$4,0)),NA(),IF(SUMPRODUCT((Inputs!$A$5:$A$120=$B39)*ISNUMBER(INDEX(Inputs!$K$5:$AJ$120,0,MATCH(Q$2,Inputs!$K$4:$AJ$4,0))))+SUMPRODUCT((Inputs!$C$5:$C$120=$B39)*ISNUMBER(INDEX(Inputs!$K$5:$AJ$120,0,MATCH(Q$2,Inputs!$K$4:$AJ$4,0))))+SUMPRODUCT((Inputs!$E$5:$E$120=$B39)*ISNUMBER(INDEX(Inputs!$K$5:$AJ$120,0,MATCH(Q$2,Inputs!$K$4:$AJ$4,0))))=0,NA(),SUMPRODUCT((Inputs!$A$5:$A$120=$B39)*Inputs!$B$5:$B$120*(((Inputs!$G$5:$G$120="moeda")+(Inputs!$G$5:$G$120="acoes"))*Inputs!$B$1+((Inputs!$G$5:$G$120&lt;&gt;"moeda")*(Inputs!$G$5:$G$120&lt;&gt;"acoes")))*INDEX(Inputs!$K$5:$AJ$120,0,MATCH(Q$2,Inputs!$K$4:$AJ$4,0)))+SUMPRODUCT((Inputs!$C$5:$C$120=$B39)*Inputs!$D$5:$D$120*(((Inputs!$G$5:$G$120="moeda")+(Inputs!$G$5:$G$120="acoes"))*Inputs!$B$1+((Inputs!$G$5:$G$120&lt;&gt;"moeda")*(Inputs!$G$5:$G$120&lt;&gt;"acoes")))*INDEX(Inputs!$K$5:$AJ$120,0,MATCH(Q$2,Inputs!$K$4:$AJ$4,0)))+SUMPRODUCT((Inputs!$E$5:$E$120=$B39)*Inputs!$F$5:$F$120*(((Inputs!$G$5:$G$120="moeda")+(Inputs!$G$5:$G$120="acoes"))*Inputs!$B$1+((Inputs!$G$5:$G$120&lt;&gt;"moeda")*(Inputs!$G$5:$G$120&lt;&gt;"acoes")))*INDEX(Inputs!$K$5:$AJ$120,0,MATCH(Q$2,Inputs!$K$4:$AJ$4,0)))))</f>
        <v>7528.6</v>
      </c>
      <c r="R39" s="3">
        <f>Q39</f>
        <v>7528.6</v>
      </c>
      <c r="S39" s="6">
        <f>IF(ISNA(MATCH(S$2,Inputs!$K$4:$AJ$4,0)),NA(),IF(SUMPRODUCT((Inputs!$A$5:$A$120=$B39)*ISNUMBER(INDEX(Inputs!$K$5:$AJ$120,0,MATCH(S$2,Inputs!$K$4:$AJ$4,0))))+SUMPRODUCT((Inputs!$C$5:$C$120=$B39)*ISNUMBER(INDEX(Inputs!$K$5:$AJ$120,0,MATCH(S$2,Inputs!$K$4:$AJ$4,0))))+SUMPRODUCT((Inputs!$E$5:$E$120=$B39)*ISNUMBER(INDEX(Inputs!$K$5:$AJ$120,0,MATCH(S$2,Inputs!$K$4:$AJ$4,0))))=0,NA(),SUMPRODUCT((Inputs!$A$5:$A$120=$B39)*Inputs!$B$5:$B$120*(((Inputs!$G$5:$G$120="moeda")+(Inputs!$G$5:$G$120="acoes"))*Inputs!$B$1+((Inputs!$G$5:$G$120&lt;&gt;"moeda")*(Inputs!$G$5:$G$120&lt;&gt;"acoes")))*INDEX(Inputs!$K$5:$AJ$120,0,MATCH(S$2,Inputs!$K$4:$AJ$4,0)))+SUMPRODUCT((Inputs!$C$5:$C$120=$B39)*Inputs!$D$5:$D$120*(((Inputs!$G$5:$G$120="moeda")+(Inputs!$G$5:$G$120="acoes"))*Inputs!$B$1+((Inputs!$G$5:$G$120&lt;&gt;"moeda")*(Inputs!$G$5:$G$120&lt;&gt;"acoes")))*INDEX(Inputs!$K$5:$AJ$120,0,MATCH(S$2,Inputs!$K$4:$AJ$4,0)))+SUMPRODUCT((Inputs!$E$5:$E$120=$B39)*Inputs!$F$5:$F$120*(((Inputs!$G$5:$G$120="moeda")+(Inputs!$G$5:$G$120="acoes"))*Inputs!$B$1+((Inputs!$G$5:$G$120&lt;&gt;"moeda")*(Inputs!$G$5:$G$120&lt;&gt;"acoes")))*INDEX(Inputs!$K$5:$AJ$120,0,MATCH(S$2,Inputs!$K$4:$AJ$4,0)))))</f>
        <v>7888.1</v>
      </c>
      <c r="T39" s="6">
        <f>IF(ISNA(MATCH(T$2,Inputs!$K$4:$AJ$4,0)),NA(),IF(SUMPRODUCT((Inputs!$A$5:$A$120=$B39)*ISNUMBER(INDEX(Inputs!$K$5:$AJ$120,0,MATCH(T$2,Inputs!$K$4:$AJ$4,0))))+SUMPRODUCT((Inputs!$C$5:$C$120=$B39)*ISNUMBER(INDEX(Inputs!$K$5:$AJ$120,0,MATCH(T$2,Inputs!$K$4:$AJ$4,0))))+SUMPRODUCT((Inputs!$E$5:$E$120=$B39)*ISNUMBER(INDEX(Inputs!$K$5:$AJ$120,0,MATCH(T$2,Inputs!$K$4:$AJ$4,0))))=0,NA(),SUMPRODUCT((Inputs!$A$5:$A$120=$B39)*Inputs!$B$5:$B$120*(((Inputs!$G$5:$G$120="moeda")+(Inputs!$G$5:$G$120="acoes"))*Inputs!$B$1+((Inputs!$G$5:$G$120&lt;&gt;"moeda")*(Inputs!$G$5:$G$120&lt;&gt;"acoes")))*INDEX(Inputs!$K$5:$AJ$120,0,MATCH(T$2,Inputs!$K$4:$AJ$4,0)))+SUMPRODUCT((Inputs!$C$5:$C$120=$B39)*Inputs!$D$5:$D$120*(((Inputs!$G$5:$G$120="moeda")+(Inputs!$G$5:$G$120="acoes"))*Inputs!$B$1+((Inputs!$G$5:$G$120&lt;&gt;"moeda")*(Inputs!$G$5:$G$120&lt;&gt;"acoes")))*INDEX(Inputs!$K$5:$AJ$120,0,MATCH(T$2,Inputs!$K$4:$AJ$4,0)))+SUMPRODUCT((Inputs!$E$5:$E$120=$B39)*Inputs!$F$5:$F$120*(((Inputs!$G$5:$G$120="moeda")+(Inputs!$G$5:$G$120="acoes"))*Inputs!$B$1+((Inputs!$G$5:$G$120&lt;&gt;"moeda")*(Inputs!$G$5:$G$120&lt;&gt;"acoes")))*INDEX(Inputs!$K$5:$AJ$120,0,MATCH(T$2,Inputs!$K$4:$AJ$4,0)))))</f>
        <v>7387.7</v>
      </c>
      <c r="U39" s="6">
        <f>IF(ISNA(MATCH(U$2,Inputs!$K$4:$AJ$4,0)),NA(),IF(SUMPRODUCT((Inputs!$A$5:$A$120=$B39)*ISNUMBER(INDEX(Inputs!$K$5:$AJ$120,0,MATCH(U$2,Inputs!$K$4:$AJ$4,0))))+SUMPRODUCT((Inputs!$C$5:$C$120=$B39)*ISNUMBER(INDEX(Inputs!$K$5:$AJ$120,0,MATCH(U$2,Inputs!$K$4:$AJ$4,0))))+SUMPRODUCT((Inputs!$E$5:$E$120=$B39)*ISNUMBER(INDEX(Inputs!$K$5:$AJ$120,0,MATCH(U$2,Inputs!$K$4:$AJ$4,0))))=0,NA(),SUMPRODUCT((Inputs!$A$5:$A$120=$B39)*Inputs!$B$5:$B$120*(((Inputs!$G$5:$G$120="moeda")+(Inputs!$G$5:$G$120="acoes"))*Inputs!$B$1+((Inputs!$G$5:$G$120&lt;&gt;"moeda")*(Inputs!$G$5:$G$120&lt;&gt;"acoes")))*INDEX(Inputs!$K$5:$AJ$120,0,MATCH(U$2,Inputs!$K$4:$AJ$4,0)))+SUMPRODUCT((Inputs!$C$5:$C$120=$B39)*Inputs!$D$5:$D$120*(((Inputs!$G$5:$G$120="moeda")+(Inputs!$G$5:$G$120="acoes"))*Inputs!$B$1+((Inputs!$G$5:$G$120&lt;&gt;"moeda")*(Inputs!$G$5:$G$120&lt;&gt;"acoes")))*INDEX(Inputs!$K$5:$AJ$120,0,MATCH(U$2,Inputs!$K$4:$AJ$4,0)))+SUMPRODUCT((Inputs!$E$5:$E$120=$B39)*Inputs!$F$5:$F$120*(((Inputs!$G$5:$G$120="moeda")+(Inputs!$G$5:$G$120="acoes"))*Inputs!$B$1+((Inputs!$G$5:$G$120&lt;&gt;"moeda")*(Inputs!$G$5:$G$120&lt;&gt;"acoes")))*INDEX(Inputs!$K$5:$AJ$120,0,MATCH(U$2,Inputs!$K$4:$AJ$4,0)))))</f>
        <v>7566.7</v>
      </c>
      <c r="V39" s="6">
        <f>IF(ISNA(MATCH(V$2,Inputs!$K$4:$AJ$4,0)),NA(),IF(SUMPRODUCT((Inputs!$A$5:$A$120=$B39)*ISNUMBER(INDEX(Inputs!$K$5:$AJ$120,0,MATCH(V$2,Inputs!$K$4:$AJ$4,0))))+SUMPRODUCT((Inputs!$C$5:$C$120=$B39)*ISNUMBER(INDEX(Inputs!$K$5:$AJ$120,0,MATCH(V$2,Inputs!$K$4:$AJ$4,0))))+SUMPRODUCT((Inputs!$E$5:$E$120=$B39)*ISNUMBER(INDEX(Inputs!$K$5:$AJ$120,0,MATCH(V$2,Inputs!$K$4:$AJ$4,0))))=0,NA(),SUMPRODUCT((Inputs!$A$5:$A$120=$B39)*Inputs!$B$5:$B$120*(((Inputs!$G$5:$G$120="moeda")+(Inputs!$G$5:$G$120="acoes"))*Inputs!$B$1+((Inputs!$G$5:$G$120&lt;&gt;"moeda")*(Inputs!$G$5:$G$120&lt;&gt;"acoes")))*INDEX(Inputs!$K$5:$AJ$120,0,MATCH(V$2,Inputs!$K$4:$AJ$4,0)))+SUMPRODUCT((Inputs!$C$5:$C$120=$B39)*Inputs!$D$5:$D$120*(((Inputs!$G$5:$G$120="moeda")+(Inputs!$G$5:$G$120="acoes"))*Inputs!$B$1+((Inputs!$G$5:$G$120&lt;&gt;"moeda")*(Inputs!$G$5:$G$120&lt;&gt;"acoes")))*INDEX(Inputs!$K$5:$AJ$120,0,MATCH(V$2,Inputs!$K$4:$AJ$4,0)))+SUMPRODUCT((Inputs!$E$5:$E$120=$B39)*Inputs!$F$5:$F$120*(((Inputs!$G$5:$G$120="moeda")+(Inputs!$G$5:$G$120="acoes"))*Inputs!$B$1+((Inputs!$G$5:$G$120&lt;&gt;"moeda")*(Inputs!$G$5:$G$120&lt;&gt;"acoes")))*INDEX(Inputs!$K$5:$AJ$120,0,MATCH(V$2,Inputs!$K$4:$AJ$4,0)))))</f>
        <v>7539.6</v>
      </c>
      <c r="W39" s="3">
        <f>V39</f>
        <v>7539.6</v>
      </c>
      <c r="X39" s="6">
        <f>IF(ISNA(MATCH(X$2,Inputs!$K$4:$AJ$4,0)),NA(),IF(SUMPRODUCT((Inputs!$A$5:$A$120=$B39)*ISNUMBER(INDEX(Inputs!$K$5:$AJ$120,0,MATCH(X$2,Inputs!$K$4:$AJ$4,0))))+SUMPRODUCT((Inputs!$C$5:$C$120=$B39)*ISNUMBER(INDEX(Inputs!$K$5:$AJ$120,0,MATCH(X$2,Inputs!$K$4:$AJ$4,0))))+SUMPRODUCT((Inputs!$E$5:$E$120=$B39)*ISNUMBER(INDEX(Inputs!$K$5:$AJ$120,0,MATCH(X$2,Inputs!$K$4:$AJ$4,0))))=0,NA(),SUMPRODUCT((Inputs!$A$5:$A$120=$B39)*Inputs!$B$5:$B$120*(((Inputs!$G$5:$G$120="moeda")+(Inputs!$G$5:$G$120="acoes"))*Inputs!$B$1+((Inputs!$G$5:$G$120&lt;&gt;"moeda")*(Inputs!$G$5:$G$120&lt;&gt;"acoes")))*INDEX(Inputs!$K$5:$AJ$120,0,MATCH(X$2,Inputs!$K$4:$AJ$4,0)))+SUMPRODUCT((Inputs!$C$5:$C$120=$B39)*Inputs!$D$5:$D$120*(((Inputs!$G$5:$G$120="moeda")+(Inputs!$G$5:$G$120="acoes"))*Inputs!$B$1+((Inputs!$G$5:$G$120&lt;&gt;"moeda")*(Inputs!$G$5:$G$120&lt;&gt;"acoes")))*INDEX(Inputs!$K$5:$AJ$120,0,MATCH(X$2,Inputs!$K$4:$AJ$4,0)))+SUMPRODUCT((Inputs!$E$5:$E$120=$B39)*Inputs!$F$5:$F$120*(((Inputs!$G$5:$G$120="moeda")+(Inputs!$G$5:$G$120="acoes"))*Inputs!$B$1+((Inputs!$G$5:$G$120&lt;&gt;"moeda")*(Inputs!$G$5:$G$120&lt;&gt;"acoes")))*INDEX(Inputs!$K$5:$AJ$120,0,MATCH(X$2,Inputs!$K$4:$AJ$4,0)))))</f>
        <v>8974.4</v>
      </c>
      <c r="Y39" s="6">
        <f>IF(ISNA(MATCH(Y$2,Inputs!$K$4:$AJ$4,0)),NA(),IF(SUMPRODUCT((Inputs!$A$5:$A$120=$B39)*ISNUMBER(INDEX(Inputs!$K$5:$AJ$120,0,MATCH(Y$2,Inputs!$K$4:$AJ$4,0))))+SUMPRODUCT((Inputs!$C$5:$C$120=$B39)*ISNUMBER(INDEX(Inputs!$K$5:$AJ$120,0,MATCH(Y$2,Inputs!$K$4:$AJ$4,0))))+SUMPRODUCT((Inputs!$E$5:$E$120=$B39)*ISNUMBER(INDEX(Inputs!$K$5:$AJ$120,0,MATCH(Y$2,Inputs!$K$4:$AJ$4,0))))=0,NA(),SUMPRODUCT((Inputs!$A$5:$A$120=$B39)*Inputs!$B$5:$B$120*(((Inputs!$G$5:$G$120="moeda")+(Inputs!$G$5:$G$120="acoes"))*Inputs!$B$1+((Inputs!$G$5:$G$120&lt;&gt;"moeda")*(Inputs!$G$5:$G$120&lt;&gt;"acoes")))*INDEX(Inputs!$K$5:$AJ$120,0,MATCH(Y$2,Inputs!$K$4:$AJ$4,0)))+SUMPRODUCT((Inputs!$C$5:$C$120=$B39)*Inputs!$D$5:$D$120*(((Inputs!$G$5:$G$120="moeda")+(Inputs!$G$5:$G$120="acoes"))*Inputs!$B$1+((Inputs!$G$5:$G$120&lt;&gt;"moeda")*(Inputs!$G$5:$G$120&lt;&gt;"acoes")))*INDEX(Inputs!$K$5:$AJ$120,0,MATCH(Y$2,Inputs!$K$4:$AJ$4,0)))+SUMPRODUCT((Inputs!$E$5:$E$120=$B39)*Inputs!$F$5:$F$120*(((Inputs!$G$5:$G$120="moeda")+(Inputs!$G$5:$G$120="acoes"))*Inputs!$B$1+((Inputs!$G$5:$G$120&lt;&gt;"moeda")*(Inputs!$G$5:$G$120&lt;&gt;"acoes")))*INDEX(Inputs!$K$5:$AJ$120,0,MATCH(Y$2,Inputs!$K$4:$AJ$4,0)))))</f>
        <v>9373.5</v>
      </c>
      <c r="Z39" s="6">
        <f>IF(ISNA(MATCH(Z$2,Inputs!$K$4:$AJ$4,0)),NA(),IF(SUMPRODUCT((Inputs!$A$5:$A$120=$B39)*ISNUMBER(INDEX(Inputs!$K$5:$AJ$120,0,MATCH(Z$2,Inputs!$K$4:$AJ$4,0))))+SUMPRODUCT((Inputs!$C$5:$C$120=$B39)*ISNUMBER(INDEX(Inputs!$K$5:$AJ$120,0,MATCH(Z$2,Inputs!$K$4:$AJ$4,0))))+SUMPRODUCT((Inputs!$E$5:$E$120=$B39)*ISNUMBER(INDEX(Inputs!$K$5:$AJ$120,0,MATCH(Z$2,Inputs!$K$4:$AJ$4,0))))=0,NA(),SUMPRODUCT((Inputs!$A$5:$A$120=$B39)*Inputs!$B$5:$B$120*(((Inputs!$G$5:$G$120="moeda")+(Inputs!$G$5:$G$120="acoes"))*Inputs!$B$1+((Inputs!$G$5:$G$120&lt;&gt;"moeda")*(Inputs!$G$5:$G$120&lt;&gt;"acoes")))*INDEX(Inputs!$K$5:$AJ$120,0,MATCH(Z$2,Inputs!$K$4:$AJ$4,0)))+SUMPRODUCT((Inputs!$C$5:$C$120=$B39)*Inputs!$D$5:$D$120*(((Inputs!$G$5:$G$120="moeda")+(Inputs!$G$5:$G$120="acoes"))*Inputs!$B$1+((Inputs!$G$5:$G$120&lt;&gt;"moeda")*(Inputs!$G$5:$G$120&lt;&gt;"acoes")))*INDEX(Inputs!$K$5:$AJ$120,0,MATCH(Z$2,Inputs!$K$4:$AJ$4,0)))+SUMPRODUCT((Inputs!$E$5:$E$120=$B39)*Inputs!$F$5:$F$120*(((Inputs!$G$5:$G$120="moeda")+(Inputs!$G$5:$G$120="acoes"))*Inputs!$B$1+((Inputs!$G$5:$G$120&lt;&gt;"moeda")*(Inputs!$G$5:$G$120&lt;&gt;"acoes")))*INDEX(Inputs!$K$5:$AJ$120,0,MATCH(Z$2,Inputs!$K$4:$AJ$4,0)))))</f>
        <v>10070.1</v>
      </c>
      <c r="AA39" s="6">
        <f>IF(ISNA(MATCH(AA$2,Inputs!$K$4:$AJ$4,0)),NA(),IF(SUMPRODUCT((Inputs!$A$5:$A$120=$B39)*ISNUMBER(INDEX(Inputs!$K$5:$AJ$120,0,MATCH(AA$2,Inputs!$K$4:$AJ$4,0))))+SUMPRODUCT((Inputs!$C$5:$C$120=$B39)*ISNUMBER(INDEX(Inputs!$K$5:$AJ$120,0,MATCH(AA$2,Inputs!$K$4:$AJ$4,0))))+SUMPRODUCT((Inputs!$E$5:$E$120=$B39)*ISNUMBER(INDEX(Inputs!$K$5:$AJ$120,0,MATCH(AA$2,Inputs!$K$4:$AJ$4,0))))=0,NA(),SUMPRODUCT((Inputs!$A$5:$A$120=$B39)*Inputs!$B$5:$B$120*(((Inputs!$G$5:$G$120="moeda")+(Inputs!$G$5:$G$120="acoes"))*Inputs!$B$1+((Inputs!$G$5:$G$120&lt;&gt;"moeda")*(Inputs!$G$5:$G$120&lt;&gt;"acoes")))*INDEX(Inputs!$K$5:$AJ$120,0,MATCH(AA$2,Inputs!$K$4:$AJ$4,0)))+SUMPRODUCT((Inputs!$C$5:$C$120=$B39)*Inputs!$D$5:$D$120*(((Inputs!$G$5:$G$120="moeda")+(Inputs!$G$5:$G$120="acoes"))*Inputs!$B$1+((Inputs!$G$5:$G$120&lt;&gt;"moeda")*(Inputs!$G$5:$G$120&lt;&gt;"acoes")))*INDEX(Inputs!$K$5:$AJ$120,0,MATCH(AA$2,Inputs!$K$4:$AJ$4,0)))+SUMPRODUCT((Inputs!$E$5:$E$120=$B39)*Inputs!$F$5:$F$120*(((Inputs!$G$5:$G$120="moeda")+(Inputs!$G$5:$G$120="acoes"))*Inputs!$B$1+((Inputs!$G$5:$G$120&lt;&gt;"moeda")*(Inputs!$G$5:$G$120&lt;&gt;"acoes")))*INDEX(Inputs!$K$5:$AJ$120,0,MATCH(AA$2,Inputs!$K$4:$AJ$4,0)))))</f>
        <v>9867</v>
      </c>
      <c r="AB39" s="3">
        <f>AA39</f>
        <v>9867</v>
      </c>
      <c r="AC39" s="6">
        <f>IF(ISNA(MATCH(AC$2,Inputs!$K$4:$AJ$4,0)),NA(),IF(SUMPRODUCT((Inputs!$A$5:$A$120=$B39)*ISNUMBER(INDEX(Inputs!$K$5:$AJ$120,0,MATCH(AC$2,Inputs!$K$4:$AJ$4,0))))+SUMPRODUCT((Inputs!$C$5:$C$120=$B39)*ISNUMBER(INDEX(Inputs!$K$5:$AJ$120,0,MATCH(AC$2,Inputs!$K$4:$AJ$4,0))))+SUMPRODUCT((Inputs!$E$5:$E$120=$B39)*ISNUMBER(INDEX(Inputs!$K$5:$AJ$120,0,MATCH(AC$2,Inputs!$K$4:$AJ$4,0))))=0,NA(),SUMPRODUCT((Inputs!$A$5:$A$120=$B39)*Inputs!$B$5:$B$120*(((Inputs!$G$5:$G$120="moeda")+(Inputs!$G$5:$G$120="acoes"))*Inputs!$B$1+((Inputs!$G$5:$G$120&lt;&gt;"moeda")*(Inputs!$G$5:$G$120&lt;&gt;"acoes")))*INDEX(Inputs!$K$5:$AJ$120,0,MATCH(AC$2,Inputs!$K$4:$AJ$4,0)))+SUMPRODUCT((Inputs!$C$5:$C$120=$B39)*Inputs!$D$5:$D$120*(((Inputs!$G$5:$G$120="moeda")+(Inputs!$G$5:$G$120="acoes"))*Inputs!$B$1+((Inputs!$G$5:$G$120&lt;&gt;"moeda")*(Inputs!$G$5:$G$120&lt;&gt;"acoes")))*INDEX(Inputs!$K$5:$AJ$120,0,MATCH(AC$2,Inputs!$K$4:$AJ$4,0)))+SUMPRODUCT((Inputs!$E$5:$E$120=$B39)*Inputs!$F$5:$F$120*(((Inputs!$G$5:$G$120="moeda")+(Inputs!$G$5:$G$120="acoes"))*Inputs!$B$1+((Inputs!$G$5:$G$120&lt;&gt;"moeda")*(Inputs!$G$5:$G$120&lt;&gt;"acoes")))*INDEX(Inputs!$K$5:$AJ$120,0,MATCH(AC$2,Inputs!$K$4:$AJ$4,0)))))</f>
        <v>9393</v>
      </c>
      <c r="AD39" s="6">
        <f>IF(ISNA(MATCH(AD$2,Inputs!$K$4:$AJ$4,0)),NA(),IF(SUMPRODUCT((Inputs!$A$5:$A$120=$B39)*ISNUMBER(INDEX(Inputs!$K$5:$AJ$120,0,MATCH(AD$2,Inputs!$K$4:$AJ$4,0))))+SUMPRODUCT((Inputs!$C$5:$C$120=$B39)*ISNUMBER(INDEX(Inputs!$K$5:$AJ$120,0,MATCH(AD$2,Inputs!$K$4:$AJ$4,0))))+SUMPRODUCT((Inputs!$E$5:$E$120=$B39)*ISNUMBER(INDEX(Inputs!$K$5:$AJ$120,0,MATCH(AD$2,Inputs!$K$4:$AJ$4,0))))=0,NA(),SUMPRODUCT((Inputs!$A$5:$A$120=$B39)*Inputs!$B$5:$B$120*(((Inputs!$G$5:$G$120="moeda")+(Inputs!$G$5:$G$120="acoes"))*Inputs!$B$1+((Inputs!$G$5:$G$120&lt;&gt;"moeda")*(Inputs!$G$5:$G$120&lt;&gt;"acoes")))*INDEX(Inputs!$K$5:$AJ$120,0,MATCH(AD$2,Inputs!$K$4:$AJ$4,0)))+SUMPRODUCT((Inputs!$C$5:$C$120=$B39)*Inputs!$D$5:$D$120*(((Inputs!$G$5:$G$120="moeda")+(Inputs!$G$5:$G$120="acoes"))*Inputs!$B$1+((Inputs!$G$5:$G$120&lt;&gt;"moeda")*(Inputs!$G$5:$G$120&lt;&gt;"acoes")))*INDEX(Inputs!$K$5:$AJ$120,0,MATCH(AD$2,Inputs!$K$4:$AJ$4,0)))+SUMPRODUCT((Inputs!$E$5:$E$120=$B39)*Inputs!$F$5:$F$120*(((Inputs!$G$5:$G$120="moeda")+(Inputs!$G$5:$G$120="acoes"))*Inputs!$B$1+((Inputs!$G$5:$G$120&lt;&gt;"moeda")*(Inputs!$G$5:$G$120&lt;&gt;"acoes")))*INDEX(Inputs!$K$5:$AJ$120,0,MATCH(AD$2,Inputs!$K$4:$AJ$4,0)))))</f>
        <v>12860</v>
      </c>
      <c r="AE39" s="6" t="e">
        <f>IF(ISNA(MATCH(AE$2,Inputs!$K$4:$AJ$4,0)),NA(),IF(SUMPRODUCT((Inputs!$A$5:$A$120=$B39)*ISNUMBER(INDEX(Inputs!$K$5:$AJ$120,0,MATCH(AE$2,Inputs!$K$4:$AJ$4,0))))+SUMPRODUCT((Inputs!$C$5:$C$120=$B39)*ISNUMBER(INDEX(Inputs!$K$5:$AJ$120,0,MATCH(AE$2,Inputs!$K$4:$AJ$4,0))))+SUMPRODUCT((Inputs!$E$5:$E$120=$B39)*ISNUMBER(INDEX(Inputs!$K$5:$AJ$120,0,MATCH(AE$2,Inputs!$K$4:$AJ$4,0))))=0,NA(),SUMPRODUCT((Inputs!$A$5:$A$120=$B39)*Inputs!$B$5:$B$120*(((Inputs!$G$5:$G$120="moeda")+(Inputs!$G$5:$G$120="acoes"))*Inputs!$B$1+((Inputs!$G$5:$G$120&lt;&gt;"moeda")*(Inputs!$G$5:$G$120&lt;&gt;"acoes")))*INDEX(Inputs!$K$5:$AJ$120,0,MATCH(AE$2,Inputs!$K$4:$AJ$4,0)))+SUMPRODUCT((Inputs!$C$5:$C$120=$B39)*Inputs!$D$5:$D$120*(((Inputs!$G$5:$G$120="moeda")+(Inputs!$G$5:$G$120="acoes"))*Inputs!$B$1+((Inputs!$G$5:$G$120&lt;&gt;"moeda")*(Inputs!$G$5:$G$120&lt;&gt;"acoes")))*INDEX(Inputs!$K$5:$AJ$120,0,MATCH(AE$2,Inputs!$K$4:$AJ$4,0)))+SUMPRODUCT((Inputs!$E$5:$E$120=$B39)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9" s="6" t="e">
        <f>IF(ISNA(MATCH(AF$2,Inputs!$K$4:$AJ$4,0)),NA(),IF(SUMPRODUCT((Inputs!$A$5:$A$120=$B39)*ISNUMBER(INDEX(Inputs!$K$5:$AJ$120,0,MATCH(AF$2,Inputs!$K$4:$AJ$4,0))))+SUMPRODUCT((Inputs!$C$5:$C$120=$B39)*ISNUMBER(INDEX(Inputs!$K$5:$AJ$120,0,MATCH(AF$2,Inputs!$K$4:$AJ$4,0))))+SUMPRODUCT((Inputs!$E$5:$E$120=$B39)*ISNUMBER(INDEX(Inputs!$K$5:$AJ$120,0,MATCH(AF$2,Inputs!$K$4:$AJ$4,0))))=0,NA(),SUMPRODUCT((Inputs!$A$5:$A$120=$B39)*Inputs!$B$5:$B$120*(((Inputs!$G$5:$G$120="moeda")+(Inputs!$G$5:$G$120="acoes"))*Inputs!$B$1+((Inputs!$G$5:$G$120&lt;&gt;"moeda")*(Inputs!$G$5:$G$120&lt;&gt;"acoes")))*INDEX(Inputs!$K$5:$AJ$120,0,MATCH(AF$2,Inputs!$K$4:$AJ$4,0)))+SUMPRODUCT((Inputs!$C$5:$C$120=$B39)*Inputs!$D$5:$D$120*(((Inputs!$G$5:$G$120="moeda")+(Inputs!$G$5:$G$120="acoes"))*Inputs!$B$1+((Inputs!$G$5:$G$120&lt;&gt;"moeda")*(Inputs!$G$5:$G$120&lt;&gt;"acoes")))*INDEX(Inputs!$K$5:$AJ$120,0,MATCH(AF$2,Inputs!$K$4:$AJ$4,0)))+SUMPRODUCT((Inputs!$E$5:$E$120=$B39)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9" s="3" t="e">
        <f>AF39</f>
        <v>#N/A</v>
      </c>
      <c r="AH39" s="6">
        <f>IF(ISNA(MATCH(AH$2,Inputs!$K$4:$AJ$4,0)),NA(),IF(SUMPRODUCT((Inputs!$A$5:$A$120=$B39)*ISNUMBER(INDEX(Inputs!$K$5:$AJ$120,0,MATCH(AH$2,Inputs!$K$4:$AJ$4,0))))+SUMPRODUCT((Inputs!$C$5:$C$120=$B39)*ISNUMBER(INDEX(Inputs!$K$5:$AJ$120,0,MATCH(AH$2,Inputs!$K$4:$AJ$4,0))))+SUMPRODUCT((Inputs!$E$5:$E$120=$B39)*ISNUMBER(INDEX(Inputs!$K$5:$AJ$120,0,MATCH(AH$2,Inputs!$K$4:$AJ$4,0))))=0,NA(),SUMPRODUCT((Inputs!$A$5:$A$120=$B39)*Inputs!$B$5:$B$120*(((Inputs!$G$5:$G$120="moeda")+(Inputs!$G$5:$G$120="acoes"))*Inputs!$B$1+((Inputs!$G$5:$G$120&lt;&gt;"moeda")*(Inputs!$G$5:$G$120&lt;&gt;"acoes")))*INDEX(Inputs!$K$5:$AJ$120,0,MATCH(AH$2,Inputs!$K$4:$AJ$4,0)))+SUMPRODUCT((Inputs!$C$5:$C$120=$B39)*Inputs!$D$5:$D$120*(((Inputs!$G$5:$G$120="moeda")+(Inputs!$G$5:$G$120="acoes"))*Inputs!$B$1+((Inputs!$G$5:$G$120&lt;&gt;"moeda")*(Inputs!$G$5:$G$120&lt;&gt;"acoes")))*INDEX(Inputs!$K$5:$AJ$120,0,MATCH(AH$2,Inputs!$K$4:$AJ$4,0)))+SUMPRODUCT((Inputs!$E$5:$E$120=$B39)*Inputs!$F$5:$F$120*(((Inputs!$G$5:$G$120="moeda")+(Inputs!$G$5:$G$120="acoes"))*Inputs!$B$1+((Inputs!$G$5:$G$120&lt;&gt;"moeda")*(Inputs!$G$5:$G$120&lt;&gt;"acoes")))*INDEX(Inputs!$K$5:$AJ$120,0,MATCH(AH$2,Inputs!$K$4:$AJ$4,0)))))</f>
        <v>9126.9</v>
      </c>
      <c r="AI39" s="6">
        <f>IF(ISNA(MATCH(AI$2,Inputs!$K$4:$AJ$4,0)),NA(),IF(SUMPRODUCT((Inputs!$A$5:$A$120=$B39)*ISNUMBER(INDEX(Inputs!$K$5:$AJ$120,0,MATCH(AI$2,Inputs!$K$4:$AJ$4,0))))+SUMPRODUCT((Inputs!$C$5:$C$120=$B39)*ISNUMBER(INDEX(Inputs!$K$5:$AJ$120,0,MATCH(AI$2,Inputs!$K$4:$AJ$4,0))))+SUMPRODUCT((Inputs!$E$5:$E$120=$B39)*ISNUMBER(INDEX(Inputs!$K$5:$AJ$120,0,MATCH(AI$2,Inputs!$K$4:$AJ$4,0))))=0,NA(),SUMPRODUCT((Inputs!$A$5:$A$120=$B39)*Inputs!$B$5:$B$120*(((Inputs!$G$5:$G$120="moeda")+(Inputs!$G$5:$G$120="acoes"))*Inputs!$B$1+((Inputs!$G$5:$G$120&lt;&gt;"moeda")*(Inputs!$G$5:$G$120&lt;&gt;"acoes")))*INDEX(Inputs!$K$5:$AJ$120,0,MATCH(AI$2,Inputs!$K$4:$AJ$4,0)))+SUMPRODUCT((Inputs!$C$5:$C$120=$B39)*Inputs!$D$5:$D$120*(((Inputs!$G$5:$G$120="moeda")+(Inputs!$G$5:$G$120="acoes"))*Inputs!$B$1+((Inputs!$G$5:$G$120&lt;&gt;"moeda")*(Inputs!$G$5:$G$120&lt;&gt;"acoes")))*INDEX(Inputs!$K$5:$AJ$120,0,MATCH(AI$2,Inputs!$K$4:$AJ$4,0)))+SUMPRODUCT((Inputs!$E$5:$E$120=$B39)*Inputs!$F$5:$F$120*(((Inputs!$G$5:$G$120="moeda")+(Inputs!$G$5:$G$120="acoes"))*Inputs!$B$1+((Inputs!$G$5:$G$120&lt;&gt;"moeda")*(Inputs!$G$5:$G$120&lt;&gt;"acoes")))*INDEX(Inputs!$K$5:$AJ$120,0,MATCH(AI$2,Inputs!$K$4:$AJ$4,0)))))</f>
        <v>8602.9</v>
      </c>
      <c r="AJ39" s="6">
        <f>IF(ISNA(MATCH(AJ$2,Inputs!$K$4:$AJ$4,0)),NA(),IF(SUMPRODUCT((Inputs!$A$5:$A$120=$B39)*ISNUMBER(INDEX(Inputs!$K$5:$AJ$120,0,MATCH(AJ$2,Inputs!$K$4:$AJ$4,0))))+SUMPRODUCT((Inputs!$C$5:$C$120=$B39)*ISNUMBER(INDEX(Inputs!$K$5:$AJ$120,0,MATCH(AJ$2,Inputs!$K$4:$AJ$4,0))))+SUMPRODUCT((Inputs!$E$5:$E$120=$B39)*ISNUMBER(INDEX(Inputs!$K$5:$AJ$120,0,MATCH(AJ$2,Inputs!$K$4:$AJ$4,0))))=0,NA(),SUMPRODUCT((Inputs!$A$5:$A$120=$B39)*Inputs!$B$5:$B$120*(((Inputs!$G$5:$G$120="moeda")+(Inputs!$G$5:$G$120="acoes"))*Inputs!$B$1+((Inputs!$G$5:$G$120&lt;&gt;"moeda")*(Inputs!$G$5:$G$120&lt;&gt;"acoes")))*INDEX(Inputs!$K$5:$AJ$120,0,MATCH(AJ$2,Inputs!$K$4:$AJ$4,0)))+SUMPRODUCT((Inputs!$C$5:$C$120=$B39)*Inputs!$D$5:$D$120*(((Inputs!$G$5:$G$120="moeda")+(Inputs!$G$5:$G$120="acoes"))*Inputs!$B$1+((Inputs!$G$5:$G$120&lt;&gt;"moeda")*(Inputs!$G$5:$G$120&lt;&gt;"acoes")))*INDEX(Inputs!$K$5:$AJ$120,0,MATCH(AJ$2,Inputs!$K$4:$AJ$4,0)))+SUMPRODUCT((Inputs!$E$5:$E$120=$B39)*Inputs!$F$5:$F$120*(((Inputs!$G$5:$G$120="moeda")+(Inputs!$G$5:$G$120="acoes"))*Inputs!$B$1+((Inputs!$G$5:$G$120&lt;&gt;"moeda")*(Inputs!$G$5:$G$120&lt;&gt;"acoes")))*INDEX(Inputs!$K$5:$AJ$120,0,MATCH(AJ$2,Inputs!$K$4:$AJ$4,0)))))</f>
        <v>8530.8</v>
      </c>
      <c r="AK39" s="6">
        <f>IF(ISNA(MATCH(AK$2,Inputs!$K$4:$AJ$4,0)),NA(),IF(SUMPRODUCT((Inputs!$A$5:$A$120=$B39)*ISNUMBER(INDEX(Inputs!$K$5:$AJ$120,0,MATCH(AK$2,Inputs!$K$4:$AJ$4,0))))+SUMPRODUCT((Inputs!$C$5:$C$120=$B39)*ISNUMBER(INDEX(Inputs!$K$5:$AJ$120,0,MATCH(AK$2,Inputs!$K$4:$AJ$4,0))))+SUMPRODUCT((Inputs!$E$5:$E$120=$B39)*ISNUMBER(INDEX(Inputs!$K$5:$AJ$120,0,MATCH(AK$2,Inputs!$K$4:$AJ$4,0))))=0,NA(),SUMPRODUCT((Inputs!$A$5:$A$120=$B39)*Inputs!$B$5:$B$120*(((Inputs!$G$5:$G$120="moeda")+(Inputs!$G$5:$G$120="acoes"))*Inputs!$B$1+((Inputs!$G$5:$G$120&lt;&gt;"moeda")*(Inputs!$G$5:$G$120&lt;&gt;"acoes")))*INDEX(Inputs!$K$5:$AJ$120,0,MATCH(AK$2,Inputs!$K$4:$AJ$4,0)))+SUMPRODUCT((Inputs!$C$5:$C$120=$B39)*Inputs!$D$5:$D$120*(((Inputs!$G$5:$G$120="moeda")+(Inputs!$G$5:$G$120="acoes"))*Inputs!$B$1+((Inputs!$G$5:$G$120&lt;&gt;"moeda")*(Inputs!$G$5:$G$120&lt;&gt;"acoes")))*INDEX(Inputs!$K$5:$AJ$120,0,MATCH(AK$2,Inputs!$K$4:$AJ$4,0)))+SUMPRODUCT((Inputs!$E$5:$E$120=$B39)*Inputs!$F$5:$F$120*(((Inputs!$G$5:$G$120="moeda")+(Inputs!$G$5:$G$120="acoes"))*Inputs!$B$1+((Inputs!$G$5:$G$120&lt;&gt;"moeda")*(Inputs!$G$5:$G$120&lt;&gt;"acoes")))*INDEX(Inputs!$K$5:$AJ$120,0,MATCH(AK$2,Inputs!$K$4:$AJ$4,0)))))</f>
        <v>9639.8</v>
      </c>
      <c r="AL39" s="3">
        <f>AK39</f>
        <v>9639.8</v>
      </c>
    </row>
    <row r="40">
      <c r="C40" s="1" t="n"/>
    </row>
    <row r="41">
      <c r="B41" s="46" t="n">
        <v>35</v>
      </c>
      <c r="C41" s="26" t="inlineStr">
        <is>
          <t>Minority interest</t>
        </is>
      </c>
      <c r="D41" s="6">
        <f>IF(ISNA(MATCH(D$2,Inputs!$K$4:$AJ$4,0)),NA(),IF(SUMPRODUCT((Inputs!$A$5:$A$120=$B41)*ISNUMBER(INDEX(Inputs!$K$5:$AJ$120,0,MATCH(D$2,Inputs!$K$4:$AJ$4,0))))+SUMPRODUCT((Inputs!$C$5:$C$120=$B41)*ISNUMBER(INDEX(Inputs!$K$5:$AJ$120,0,MATCH(D$2,Inputs!$K$4:$AJ$4,0))))+SUMPRODUCT((Inputs!$E$5:$E$120=$B41)*ISNUMBER(INDEX(Inputs!$K$5:$AJ$120,0,MATCH(D$2,Inputs!$K$4:$AJ$4,0))))=0,NA(),SUMPRODUCT((Inputs!$A$5:$A$120=$B41)*Inputs!$B$5:$B$120*(((Inputs!$G$5:$G$120="moeda")+(Inputs!$G$5:$G$120="acoes"))*Inputs!$B$1+((Inputs!$G$5:$G$120&lt;&gt;"moeda")*(Inputs!$G$5:$G$120&lt;&gt;"acoes")))*INDEX(Inputs!$K$5:$AJ$120,0,MATCH(D$2,Inputs!$K$4:$AJ$4,0)))+SUMPRODUCT((Inputs!$C$5:$C$120=$B41)*Inputs!$D$5:$D$120*(((Inputs!$G$5:$G$120="moeda")+(Inputs!$G$5:$G$120="acoes"))*Inputs!$B$1+((Inputs!$G$5:$G$120&lt;&gt;"moeda")*(Inputs!$G$5:$G$120&lt;&gt;"acoes")))*INDEX(Inputs!$K$5:$AJ$120,0,MATCH(D$2,Inputs!$K$4:$AJ$4,0)))+SUMPRODUCT((Inputs!$E$5:$E$120=$B41)*Inputs!$F$5:$F$120*(((Inputs!$G$5:$G$120="moeda")+(Inputs!$G$5:$G$120="acoes"))*Inputs!$B$1+((Inputs!$G$5:$G$120&lt;&gt;"moeda")*(Inputs!$G$5:$G$120&lt;&gt;"acoes")))*INDEX(Inputs!$K$5:$AJ$120,0,MATCH(D$2,Inputs!$K$4:$AJ$4,0)))))</f>
        <v>200.6</v>
      </c>
      <c r="E41" s="6">
        <f>IF(ISNA(MATCH(E$2,Inputs!$K$4:$AJ$4,0)),NA(),IF(SUMPRODUCT((Inputs!$A$5:$A$120=$B41)*ISNUMBER(INDEX(Inputs!$K$5:$AJ$120,0,MATCH(E$2,Inputs!$K$4:$AJ$4,0))))+SUMPRODUCT((Inputs!$C$5:$C$120=$B41)*ISNUMBER(INDEX(Inputs!$K$5:$AJ$120,0,MATCH(E$2,Inputs!$K$4:$AJ$4,0))))+SUMPRODUCT((Inputs!$E$5:$E$120=$B41)*ISNUMBER(INDEX(Inputs!$K$5:$AJ$120,0,MATCH(E$2,Inputs!$K$4:$AJ$4,0))))=0,NA(),SUMPRODUCT((Inputs!$A$5:$A$120=$B41)*Inputs!$B$5:$B$120*(((Inputs!$G$5:$G$120="moeda")+(Inputs!$G$5:$G$120="acoes"))*Inputs!$B$1+((Inputs!$G$5:$G$120&lt;&gt;"moeda")*(Inputs!$G$5:$G$120&lt;&gt;"acoes")))*INDEX(Inputs!$K$5:$AJ$120,0,MATCH(E$2,Inputs!$K$4:$AJ$4,0)))+SUMPRODUCT((Inputs!$C$5:$C$120=$B41)*Inputs!$D$5:$D$120*(((Inputs!$G$5:$G$120="moeda")+(Inputs!$G$5:$G$120="acoes"))*Inputs!$B$1+((Inputs!$G$5:$G$120&lt;&gt;"moeda")*(Inputs!$G$5:$G$120&lt;&gt;"acoes")))*INDEX(Inputs!$K$5:$AJ$120,0,MATCH(E$2,Inputs!$K$4:$AJ$4,0)))+SUMPRODUCT((Inputs!$E$5:$E$120=$B41)*Inputs!$F$5:$F$120*(((Inputs!$G$5:$G$120="moeda")+(Inputs!$G$5:$G$120="acoes"))*Inputs!$B$1+((Inputs!$G$5:$G$120&lt;&gt;"moeda")*(Inputs!$G$5:$G$120&lt;&gt;"acoes")))*INDEX(Inputs!$K$5:$AJ$120,0,MATCH(E$2,Inputs!$K$4:$AJ$4,0)))))</f>
        <v>219.1</v>
      </c>
      <c r="F41" s="6">
        <f>IF(ISNA(MATCH(F$2,Inputs!$K$4:$AJ$4,0)),NA(),IF(SUMPRODUCT((Inputs!$A$5:$A$120=$B41)*ISNUMBER(INDEX(Inputs!$K$5:$AJ$120,0,MATCH(F$2,Inputs!$K$4:$AJ$4,0))))+SUMPRODUCT((Inputs!$C$5:$C$120=$B41)*ISNUMBER(INDEX(Inputs!$K$5:$AJ$120,0,MATCH(F$2,Inputs!$K$4:$AJ$4,0))))+SUMPRODUCT((Inputs!$E$5:$E$120=$B41)*ISNUMBER(INDEX(Inputs!$K$5:$AJ$120,0,MATCH(F$2,Inputs!$K$4:$AJ$4,0))))=0,NA(),SUMPRODUCT((Inputs!$A$5:$A$120=$B41)*Inputs!$B$5:$B$120*(((Inputs!$G$5:$G$120="moeda")+(Inputs!$G$5:$G$120="acoes"))*Inputs!$B$1+((Inputs!$G$5:$G$120&lt;&gt;"moeda")*(Inputs!$G$5:$G$120&lt;&gt;"acoes")))*INDEX(Inputs!$K$5:$AJ$120,0,MATCH(F$2,Inputs!$K$4:$AJ$4,0)))+SUMPRODUCT((Inputs!$C$5:$C$120=$B41)*Inputs!$D$5:$D$120*(((Inputs!$G$5:$G$120="moeda")+(Inputs!$G$5:$G$120="acoes"))*Inputs!$B$1+((Inputs!$G$5:$G$120&lt;&gt;"moeda")*(Inputs!$G$5:$G$120&lt;&gt;"acoes")))*INDEX(Inputs!$K$5:$AJ$120,0,MATCH(F$2,Inputs!$K$4:$AJ$4,0)))+SUMPRODUCT((Inputs!$E$5:$E$120=$B41)*Inputs!$F$5:$F$120*(((Inputs!$G$5:$G$120="moeda")+(Inputs!$G$5:$G$120="acoes"))*Inputs!$B$1+((Inputs!$G$5:$G$120&lt;&gt;"moeda")*(Inputs!$G$5:$G$120&lt;&gt;"acoes")))*INDEX(Inputs!$K$5:$AJ$120,0,MATCH(F$2,Inputs!$K$4:$AJ$4,0)))))</f>
        <v>197.1</v>
      </c>
      <c r="G41" s="6">
        <f>IF(ISNA(MATCH(G$2,Inputs!$K$4:$AJ$4,0)),NA(),IF(SUMPRODUCT((Inputs!$A$5:$A$120=$B41)*ISNUMBER(INDEX(Inputs!$K$5:$AJ$120,0,MATCH(G$2,Inputs!$K$4:$AJ$4,0))))+SUMPRODUCT((Inputs!$C$5:$C$120=$B41)*ISNUMBER(INDEX(Inputs!$K$5:$AJ$120,0,MATCH(G$2,Inputs!$K$4:$AJ$4,0))))+SUMPRODUCT((Inputs!$E$5:$E$120=$B41)*ISNUMBER(INDEX(Inputs!$K$5:$AJ$120,0,MATCH(G$2,Inputs!$K$4:$AJ$4,0))))=0,NA(),SUMPRODUCT((Inputs!$A$5:$A$120=$B41)*Inputs!$B$5:$B$120*(((Inputs!$G$5:$G$120="moeda")+(Inputs!$G$5:$G$120="acoes"))*Inputs!$B$1+((Inputs!$G$5:$G$120&lt;&gt;"moeda")*(Inputs!$G$5:$G$120&lt;&gt;"acoes")))*INDEX(Inputs!$K$5:$AJ$120,0,MATCH(G$2,Inputs!$K$4:$AJ$4,0)))+SUMPRODUCT((Inputs!$C$5:$C$120=$B41)*Inputs!$D$5:$D$120*(((Inputs!$G$5:$G$120="moeda")+(Inputs!$G$5:$G$120="acoes"))*Inputs!$B$1+((Inputs!$G$5:$G$120&lt;&gt;"moeda")*(Inputs!$G$5:$G$120&lt;&gt;"acoes")))*INDEX(Inputs!$K$5:$AJ$120,0,MATCH(G$2,Inputs!$K$4:$AJ$4,0)))+SUMPRODUCT((Inputs!$E$5:$E$120=$B41)*Inputs!$F$5:$F$120*(((Inputs!$G$5:$G$120="moeda")+(Inputs!$G$5:$G$120="acoes"))*Inputs!$B$1+((Inputs!$G$5:$G$120&lt;&gt;"moeda")*(Inputs!$G$5:$G$120&lt;&gt;"acoes")))*INDEX(Inputs!$K$5:$AJ$120,0,MATCH(G$2,Inputs!$K$4:$AJ$4,0)))))</f>
        <v>175.6</v>
      </c>
      <c r="H41" s="3">
        <f>G41</f>
        <v>175.6</v>
      </c>
      <c r="I41" s="6">
        <f>IF(ISNA(MATCH(I$2,Inputs!$K$4:$AJ$4,0)),NA(),IF(SUMPRODUCT((Inputs!$A$5:$A$120=$B41)*ISNUMBER(INDEX(Inputs!$K$5:$AJ$120,0,MATCH(I$2,Inputs!$K$4:$AJ$4,0))))+SUMPRODUCT((Inputs!$C$5:$C$120=$B41)*ISNUMBER(INDEX(Inputs!$K$5:$AJ$120,0,MATCH(I$2,Inputs!$K$4:$AJ$4,0))))+SUMPRODUCT((Inputs!$E$5:$E$120=$B41)*ISNUMBER(INDEX(Inputs!$K$5:$AJ$120,0,MATCH(I$2,Inputs!$K$4:$AJ$4,0))))=0,NA(),SUMPRODUCT((Inputs!$A$5:$A$120=$B41)*Inputs!$B$5:$B$120*(((Inputs!$G$5:$G$120="moeda")+(Inputs!$G$5:$G$120="acoes"))*Inputs!$B$1+((Inputs!$G$5:$G$120&lt;&gt;"moeda")*(Inputs!$G$5:$G$120&lt;&gt;"acoes")))*INDEX(Inputs!$K$5:$AJ$120,0,MATCH(I$2,Inputs!$K$4:$AJ$4,0)))+SUMPRODUCT((Inputs!$C$5:$C$120=$B41)*Inputs!$D$5:$D$120*(((Inputs!$G$5:$G$120="moeda")+(Inputs!$G$5:$G$120="acoes"))*Inputs!$B$1+((Inputs!$G$5:$G$120&lt;&gt;"moeda")*(Inputs!$G$5:$G$120&lt;&gt;"acoes")))*INDEX(Inputs!$K$5:$AJ$120,0,MATCH(I$2,Inputs!$K$4:$AJ$4,0)))+SUMPRODUCT((Inputs!$E$5:$E$120=$B41)*Inputs!$F$5:$F$120*(((Inputs!$G$5:$G$120="moeda")+(Inputs!$G$5:$G$120="acoes"))*Inputs!$B$1+((Inputs!$G$5:$G$120&lt;&gt;"moeda")*(Inputs!$G$5:$G$120&lt;&gt;"acoes")))*INDEX(Inputs!$K$5:$AJ$120,0,MATCH(I$2,Inputs!$K$4:$AJ$4,0)))))</f>
        <v>131.2</v>
      </c>
      <c r="J41" s="6">
        <f>IF(ISNA(MATCH(J$2,Inputs!$K$4:$AJ$4,0)),NA(),IF(SUMPRODUCT((Inputs!$A$5:$A$120=$B41)*ISNUMBER(INDEX(Inputs!$K$5:$AJ$120,0,MATCH(J$2,Inputs!$K$4:$AJ$4,0))))+SUMPRODUCT((Inputs!$C$5:$C$120=$B41)*ISNUMBER(INDEX(Inputs!$K$5:$AJ$120,0,MATCH(J$2,Inputs!$K$4:$AJ$4,0))))+SUMPRODUCT((Inputs!$E$5:$E$120=$B41)*ISNUMBER(INDEX(Inputs!$K$5:$AJ$120,0,MATCH(J$2,Inputs!$K$4:$AJ$4,0))))=0,NA(),SUMPRODUCT((Inputs!$A$5:$A$120=$B41)*Inputs!$B$5:$B$120*(((Inputs!$G$5:$G$120="moeda")+(Inputs!$G$5:$G$120="acoes"))*Inputs!$B$1+((Inputs!$G$5:$G$120&lt;&gt;"moeda")*(Inputs!$G$5:$G$120&lt;&gt;"acoes")))*INDEX(Inputs!$K$5:$AJ$120,0,MATCH(J$2,Inputs!$K$4:$AJ$4,0)))+SUMPRODUCT((Inputs!$C$5:$C$120=$B41)*Inputs!$D$5:$D$120*(((Inputs!$G$5:$G$120="moeda")+(Inputs!$G$5:$G$120="acoes"))*Inputs!$B$1+((Inputs!$G$5:$G$120&lt;&gt;"moeda")*(Inputs!$G$5:$G$120&lt;&gt;"acoes")))*INDEX(Inputs!$K$5:$AJ$120,0,MATCH(J$2,Inputs!$K$4:$AJ$4,0)))+SUMPRODUCT((Inputs!$E$5:$E$120=$B41)*Inputs!$F$5:$F$120*(((Inputs!$G$5:$G$120="moeda")+(Inputs!$G$5:$G$120="acoes"))*Inputs!$B$1+((Inputs!$G$5:$G$120&lt;&gt;"moeda")*(Inputs!$G$5:$G$120&lt;&gt;"acoes")))*INDEX(Inputs!$K$5:$AJ$120,0,MATCH(J$2,Inputs!$K$4:$AJ$4,0)))))</f>
        <v>114.5</v>
      </c>
      <c r="K41" s="6">
        <f>IF(ISNA(MATCH(K$2,Inputs!$K$4:$AJ$4,0)),NA(),IF(SUMPRODUCT((Inputs!$A$5:$A$120=$B41)*ISNUMBER(INDEX(Inputs!$K$5:$AJ$120,0,MATCH(K$2,Inputs!$K$4:$AJ$4,0))))+SUMPRODUCT((Inputs!$C$5:$C$120=$B41)*ISNUMBER(INDEX(Inputs!$K$5:$AJ$120,0,MATCH(K$2,Inputs!$K$4:$AJ$4,0))))+SUMPRODUCT((Inputs!$E$5:$E$120=$B41)*ISNUMBER(INDEX(Inputs!$K$5:$AJ$120,0,MATCH(K$2,Inputs!$K$4:$AJ$4,0))))=0,NA(),SUMPRODUCT((Inputs!$A$5:$A$120=$B41)*Inputs!$B$5:$B$120*(((Inputs!$G$5:$G$120="moeda")+(Inputs!$G$5:$G$120="acoes"))*Inputs!$B$1+((Inputs!$G$5:$G$120&lt;&gt;"moeda")*(Inputs!$G$5:$G$120&lt;&gt;"acoes")))*INDEX(Inputs!$K$5:$AJ$120,0,MATCH(K$2,Inputs!$K$4:$AJ$4,0)))+SUMPRODUCT((Inputs!$C$5:$C$120=$B41)*Inputs!$D$5:$D$120*(((Inputs!$G$5:$G$120="moeda")+(Inputs!$G$5:$G$120="acoes"))*Inputs!$B$1+((Inputs!$G$5:$G$120&lt;&gt;"moeda")*(Inputs!$G$5:$G$120&lt;&gt;"acoes")))*INDEX(Inputs!$K$5:$AJ$120,0,MATCH(K$2,Inputs!$K$4:$AJ$4,0)))+SUMPRODUCT((Inputs!$E$5:$E$120=$B41)*Inputs!$F$5:$F$120*(((Inputs!$G$5:$G$120="moeda")+(Inputs!$G$5:$G$120="acoes"))*Inputs!$B$1+((Inputs!$G$5:$G$120&lt;&gt;"moeda")*(Inputs!$G$5:$G$120&lt;&gt;"acoes")))*INDEX(Inputs!$K$5:$AJ$120,0,MATCH(K$2,Inputs!$K$4:$AJ$4,0)))))</f>
        <v>95.8</v>
      </c>
      <c r="L41" s="6">
        <f>IF(ISNA(MATCH(L$2,Inputs!$K$4:$AJ$4,0)),NA(),IF(SUMPRODUCT((Inputs!$A$5:$A$120=$B41)*ISNUMBER(INDEX(Inputs!$K$5:$AJ$120,0,MATCH(L$2,Inputs!$K$4:$AJ$4,0))))+SUMPRODUCT((Inputs!$C$5:$C$120=$B41)*ISNUMBER(INDEX(Inputs!$K$5:$AJ$120,0,MATCH(L$2,Inputs!$K$4:$AJ$4,0))))+SUMPRODUCT((Inputs!$E$5:$E$120=$B41)*ISNUMBER(INDEX(Inputs!$K$5:$AJ$120,0,MATCH(L$2,Inputs!$K$4:$AJ$4,0))))=0,NA(),SUMPRODUCT((Inputs!$A$5:$A$120=$B41)*Inputs!$B$5:$B$120*(((Inputs!$G$5:$G$120="moeda")+(Inputs!$G$5:$G$120="acoes"))*Inputs!$B$1+((Inputs!$G$5:$G$120&lt;&gt;"moeda")*(Inputs!$G$5:$G$120&lt;&gt;"acoes")))*INDEX(Inputs!$K$5:$AJ$120,0,MATCH(L$2,Inputs!$K$4:$AJ$4,0)))+SUMPRODUCT((Inputs!$C$5:$C$120=$B41)*Inputs!$D$5:$D$120*(((Inputs!$G$5:$G$120="moeda")+(Inputs!$G$5:$G$120="acoes"))*Inputs!$B$1+((Inputs!$G$5:$G$120&lt;&gt;"moeda")*(Inputs!$G$5:$G$120&lt;&gt;"acoes")))*INDEX(Inputs!$K$5:$AJ$120,0,MATCH(L$2,Inputs!$K$4:$AJ$4,0)))+SUMPRODUCT((Inputs!$E$5:$E$120=$B41)*Inputs!$F$5:$F$120*(((Inputs!$G$5:$G$120="moeda")+(Inputs!$G$5:$G$120="acoes"))*Inputs!$B$1+((Inputs!$G$5:$G$120&lt;&gt;"moeda")*(Inputs!$G$5:$G$120&lt;&gt;"acoes")))*INDEX(Inputs!$K$5:$AJ$120,0,MATCH(L$2,Inputs!$K$4:$AJ$4,0)))))</f>
        <v>125.6</v>
      </c>
      <c r="M41" s="3">
        <f>L41</f>
        <v>125.6</v>
      </c>
      <c r="N41" s="6">
        <f>IF(ISNA(MATCH(N$2,Inputs!$K$4:$AJ$4,0)),NA(),IF(SUMPRODUCT((Inputs!$A$5:$A$120=$B41)*ISNUMBER(INDEX(Inputs!$K$5:$AJ$120,0,MATCH(N$2,Inputs!$K$4:$AJ$4,0))))+SUMPRODUCT((Inputs!$C$5:$C$120=$B41)*ISNUMBER(INDEX(Inputs!$K$5:$AJ$120,0,MATCH(N$2,Inputs!$K$4:$AJ$4,0))))+SUMPRODUCT((Inputs!$E$5:$E$120=$B41)*ISNUMBER(INDEX(Inputs!$K$5:$AJ$120,0,MATCH(N$2,Inputs!$K$4:$AJ$4,0))))=0,NA(),SUMPRODUCT((Inputs!$A$5:$A$120=$B41)*Inputs!$B$5:$B$120*(((Inputs!$G$5:$G$120="moeda")+(Inputs!$G$5:$G$120="acoes"))*Inputs!$B$1+((Inputs!$G$5:$G$120&lt;&gt;"moeda")*(Inputs!$G$5:$G$120&lt;&gt;"acoes")))*INDEX(Inputs!$K$5:$AJ$120,0,MATCH(N$2,Inputs!$K$4:$AJ$4,0)))+SUMPRODUCT((Inputs!$C$5:$C$120=$B41)*Inputs!$D$5:$D$120*(((Inputs!$G$5:$G$120="moeda")+(Inputs!$G$5:$G$120="acoes"))*Inputs!$B$1+((Inputs!$G$5:$G$120&lt;&gt;"moeda")*(Inputs!$G$5:$G$120&lt;&gt;"acoes")))*INDEX(Inputs!$K$5:$AJ$120,0,MATCH(N$2,Inputs!$K$4:$AJ$4,0)))+SUMPRODUCT((Inputs!$E$5:$E$120=$B41)*Inputs!$F$5:$F$120*(((Inputs!$G$5:$G$120="moeda")+(Inputs!$G$5:$G$120="acoes"))*Inputs!$B$1+((Inputs!$G$5:$G$120&lt;&gt;"moeda")*(Inputs!$G$5:$G$120&lt;&gt;"acoes")))*INDEX(Inputs!$K$5:$AJ$120,0,MATCH(N$2,Inputs!$K$4:$AJ$4,0)))))</f>
        <v>104.5</v>
      </c>
      <c r="O41" s="6">
        <f>IF(ISNA(MATCH(O$2,Inputs!$K$4:$AJ$4,0)),NA(),IF(SUMPRODUCT((Inputs!$A$5:$A$120=$B41)*ISNUMBER(INDEX(Inputs!$K$5:$AJ$120,0,MATCH(O$2,Inputs!$K$4:$AJ$4,0))))+SUMPRODUCT((Inputs!$C$5:$C$120=$B41)*ISNUMBER(INDEX(Inputs!$K$5:$AJ$120,0,MATCH(O$2,Inputs!$K$4:$AJ$4,0))))+SUMPRODUCT((Inputs!$E$5:$E$120=$B41)*ISNUMBER(INDEX(Inputs!$K$5:$AJ$120,0,MATCH(O$2,Inputs!$K$4:$AJ$4,0))))=0,NA(),SUMPRODUCT((Inputs!$A$5:$A$120=$B41)*Inputs!$B$5:$B$120*(((Inputs!$G$5:$G$120="moeda")+(Inputs!$G$5:$G$120="acoes"))*Inputs!$B$1+((Inputs!$G$5:$G$120&lt;&gt;"moeda")*(Inputs!$G$5:$G$120&lt;&gt;"acoes")))*INDEX(Inputs!$K$5:$AJ$120,0,MATCH(O$2,Inputs!$K$4:$AJ$4,0)))+SUMPRODUCT((Inputs!$C$5:$C$120=$B41)*Inputs!$D$5:$D$120*(((Inputs!$G$5:$G$120="moeda")+(Inputs!$G$5:$G$120="acoes"))*Inputs!$B$1+((Inputs!$G$5:$G$120&lt;&gt;"moeda")*(Inputs!$G$5:$G$120&lt;&gt;"acoes")))*INDEX(Inputs!$K$5:$AJ$120,0,MATCH(O$2,Inputs!$K$4:$AJ$4,0)))+SUMPRODUCT((Inputs!$E$5:$E$120=$B41)*Inputs!$F$5:$F$120*(((Inputs!$G$5:$G$120="moeda")+(Inputs!$G$5:$G$120="acoes"))*Inputs!$B$1+((Inputs!$G$5:$G$120&lt;&gt;"moeda")*(Inputs!$G$5:$G$120&lt;&gt;"acoes")))*INDEX(Inputs!$K$5:$AJ$120,0,MATCH(O$2,Inputs!$K$4:$AJ$4,0)))))</f>
        <v>85.5</v>
      </c>
      <c r="P41" s="6">
        <f>IF(ISNA(MATCH(P$2,Inputs!$K$4:$AJ$4,0)),NA(),IF(SUMPRODUCT((Inputs!$A$5:$A$120=$B41)*ISNUMBER(INDEX(Inputs!$K$5:$AJ$120,0,MATCH(P$2,Inputs!$K$4:$AJ$4,0))))+SUMPRODUCT((Inputs!$C$5:$C$120=$B41)*ISNUMBER(INDEX(Inputs!$K$5:$AJ$120,0,MATCH(P$2,Inputs!$K$4:$AJ$4,0))))+SUMPRODUCT((Inputs!$E$5:$E$120=$B41)*ISNUMBER(INDEX(Inputs!$K$5:$AJ$120,0,MATCH(P$2,Inputs!$K$4:$AJ$4,0))))=0,NA(),SUMPRODUCT((Inputs!$A$5:$A$120=$B41)*Inputs!$B$5:$B$120*(((Inputs!$G$5:$G$120="moeda")+(Inputs!$G$5:$G$120="acoes"))*Inputs!$B$1+((Inputs!$G$5:$G$120&lt;&gt;"moeda")*(Inputs!$G$5:$G$120&lt;&gt;"acoes")))*INDEX(Inputs!$K$5:$AJ$120,0,MATCH(P$2,Inputs!$K$4:$AJ$4,0)))+SUMPRODUCT((Inputs!$C$5:$C$120=$B41)*Inputs!$D$5:$D$120*(((Inputs!$G$5:$G$120="moeda")+(Inputs!$G$5:$G$120="acoes"))*Inputs!$B$1+((Inputs!$G$5:$G$120&lt;&gt;"moeda")*(Inputs!$G$5:$G$120&lt;&gt;"acoes")))*INDEX(Inputs!$K$5:$AJ$120,0,MATCH(P$2,Inputs!$K$4:$AJ$4,0)))+SUMPRODUCT((Inputs!$E$5:$E$120=$B41)*Inputs!$F$5:$F$120*(((Inputs!$G$5:$G$120="moeda")+(Inputs!$G$5:$G$120="acoes"))*Inputs!$B$1+((Inputs!$G$5:$G$120&lt;&gt;"moeda")*(Inputs!$G$5:$G$120&lt;&gt;"acoes")))*INDEX(Inputs!$K$5:$AJ$120,0,MATCH(P$2,Inputs!$K$4:$AJ$4,0)))))</f>
        <v>87</v>
      </c>
      <c r="Q41" s="6">
        <f>IF(ISNA(MATCH(Q$2,Inputs!$K$4:$AJ$4,0)),NA(),IF(SUMPRODUCT((Inputs!$A$5:$A$120=$B41)*ISNUMBER(INDEX(Inputs!$K$5:$AJ$120,0,MATCH(Q$2,Inputs!$K$4:$AJ$4,0))))+SUMPRODUCT((Inputs!$C$5:$C$120=$B41)*ISNUMBER(INDEX(Inputs!$K$5:$AJ$120,0,MATCH(Q$2,Inputs!$K$4:$AJ$4,0))))+SUMPRODUCT((Inputs!$E$5:$E$120=$B41)*ISNUMBER(INDEX(Inputs!$K$5:$AJ$120,0,MATCH(Q$2,Inputs!$K$4:$AJ$4,0))))=0,NA(),SUMPRODUCT((Inputs!$A$5:$A$120=$B41)*Inputs!$B$5:$B$120*(((Inputs!$G$5:$G$120="moeda")+(Inputs!$G$5:$G$120="acoes"))*Inputs!$B$1+((Inputs!$G$5:$G$120&lt;&gt;"moeda")*(Inputs!$G$5:$G$120&lt;&gt;"acoes")))*INDEX(Inputs!$K$5:$AJ$120,0,MATCH(Q$2,Inputs!$K$4:$AJ$4,0)))+SUMPRODUCT((Inputs!$C$5:$C$120=$B41)*Inputs!$D$5:$D$120*(((Inputs!$G$5:$G$120="moeda")+(Inputs!$G$5:$G$120="acoes"))*Inputs!$B$1+((Inputs!$G$5:$G$120&lt;&gt;"moeda")*(Inputs!$G$5:$G$120&lt;&gt;"acoes")))*INDEX(Inputs!$K$5:$AJ$120,0,MATCH(Q$2,Inputs!$K$4:$AJ$4,0)))+SUMPRODUCT((Inputs!$E$5:$E$120=$B41)*Inputs!$F$5:$F$120*(((Inputs!$G$5:$G$120="moeda")+(Inputs!$G$5:$G$120="acoes"))*Inputs!$B$1+((Inputs!$G$5:$G$120&lt;&gt;"moeda")*(Inputs!$G$5:$G$120&lt;&gt;"acoes")))*INDEX(Inputs!$K$5:$AJ$120,0,MATCH(Q$2,Inputs!$K$4:$AJ$4,0)))))</f>
        <v>91.8</v>
      </c>
      <c r="R41" s="3">
        <f>Q41</f>
        <v>91.8</v>
      </c>
      <c r="S41" s="6">
        <f>IF(ISNA(MATCH(S$2,Inputs!$K$4:$AJ$4,0)),NA(),IF(SUMPRODUCT((Inputs!$A$5:$A$120=$B41)*ISNUMBER(INDEX(Inputs!$K$5:$AJ$120,0,MATCH(S$2,Inputs!$K$4:$AJ$4,0))))+SUMPRODUCT((Inputs!$C$5:$C$120=$B41)*ISNUMBER(INDEX(Inputs!$K$5:$AJ$120,0,MATCH(S$2,Inputs!$K$4:$AJ$4,0))))+SUMPRODUCT((Inputs!$E$5:$E$120=$B41)*ISNUMBER(INDEX(Inputs!$K$5:$AJ$120,0,MATCH(S$2,Inputs!$K$4:$AJ$4,0))))=0,NA(),SUMPRODUCT((Inputs!$A$5:$A$120=$B41)*Inputs!$B$5:$B$120*(((Inputs!$G$5:$G$120="moeda")+(Inputs!$G$5:$G$120="acoes"))*Inputs!$B$1+((Inputs!$G$5:$G$120&lt;&gt;"moeda")*(Inputs!$G$5:$G$120&lt;&gt;"acoes")))*INDEX(Inputs!$K$5:$AJ$120,0,MATCH(S$2,Inputs!$K$4:$AJ$4,0)))+SUMPRODUCT((Inputs!$C$5:$C$120=$B41)*Inputs!$D$5:$D$120*(((Inputs!$G$5:$G$120="moeda")+(Inputs!$G$5:$G$120="acoes"))*Inputs!$B$1+((Inputs!$G$5:$G$120&lt;&gt;"moeda")*(Inputs!$G$5:$G$120&lt;&gt;"acoes")))*INDEX(Inputs!$K$5:$AJ$120,0,MATCH(S$2,Inputs!$K$4:$AJ$4,0)))+SUMPRODUCT((Inputs!$E$5:$E$120=$B41)*Inputs!$F$5:$F$120*(((Inputs!$G$5:$G$120="moeda")+(Inputs!$G$5:$G$120="acoes"))*Inputs!$B$1+((Inputs!$G$5:$G$120&lt;&gt;"moeda")*(Inputs!$G$5:$G$120&lt;&gt;"acoes")))*INDEX(Inputs!$K$5:$AJ$120,0,MATCH(S$2,Inputs!$K$4:$AJ$4,0)))))</f>
        <v>85.2</v>
      </c>
      <c r="T41" s="6">
        <f>IF(ISNA(MATCH(T$2,Inputs!$K$4:$AJ$4,0)),NA(),IF(SUMPRODUCT((Inputs!$A$5:$A$120=$B41)*ISNUMBER(INDEX(Inputs!$K$5:$AJ$120,0,MATCH(T$2,Inputs!$K$4:$AJ$4,0))))+SUMPRODUCT((Inputs!$C$5:$C$120=$B41)*ISNUMBER(INDEX(Inputs!$K$5:$AJ$120,0,MATCH(T$2,Inputs!$K$4:$AJ$4,0))))+SUMPRODUCT((Inputs!$E$5:$E$120=$B41)*ISNUMBER(INDEX(Inputs!$K$5:$AJ$120,0,MATCH(T$2,Inputs!$K$4:$AJ$4,0))))=0,NA(),SUMPRODUCT((Inputs!$A$5:$A$120=$B41)*Inputs!$B$5:$B$120*(((Inputs!$G$5:$G$120="moeda")+(Inputs!$G$5:$G$120="acoes"))*Inputs!$B$1+((Inputs!$G$5:$G$120&lt;&gt;"moeda")*(Inputs!$G$5:$G$120&lt;&gt;"acoes")))*INDEX(Inputs!$K$5:$AJ$120,0,MATCH(T$2,Inputs!$K$4:$AJ$4,0)))+SUMPRODUCT((Inputs!$C$5:$C$120=$B41)*Inputs!$D$5:$D$120*(((Inputs!$G$5:$G$120="moeda")+(Inputs!$G$5:$G$120="acoes"))*Inputs!$B$1+((Inputs!$G$5:$G$120&lt;&gt;"moeda")*(Inputs!$G$5:$G$120&lt;&gt;"acoes")))*INDEX(Inputs!$K$5:$AJ$120,0,MATCH(T$2,Inputs!$K$4:$AJ$4,0)))+SUMPRODUCT((Inputs!$E$5:$E$120=$B41)*Inputs!$F$5:$F$120*(((Inputs!$G$5:$G$120="moeda")+(Inputs!$G$5:$G$120="acoes"))*Inputs!$B$1+((Inputs!$G$5:$G$120&lt;&gt;"moeda")*(Inputs!$G$5:$G$120&lt;&gt;"acoes")))*INDEX(Inputs!$K$5:$AJ$120,0,MATCH(T$2,Inputs!$K$4:$AJ$4,0)))))</f>
        <v>73.5</v>
      </c>
      <c r="U41" s="6">
        <f>IF(ISNA(MATCH(U$2,Inputs!$K$4:$AJ$4,0)),NA(),IF(SUMPRODUCT((Inputs!$A$5:$A$120=$B41)*ISNUMBER(INDEX(Inputs!$K$5:$AJ$120,0,MATCH(U$2,Inputs!$K$4:$AJ$4,0))))+SUMPRODUCT((Inputs!$C$5:$C$120=$B41)*ISNUMBER(INDEX(Inputs!$K$5:$AJ$120,0,MATCH(U$2,Inputs!$K$4:$AJ$4,0))))+SUMPRODUCT((Inputs!$E$5:$E$120=$B41)*ISNUMBER(INDEX(Inputs!$K$5:$AJ$120,0,MATCH(U$2,Inputs!$K$4:$AJ$4,0))))=0,NA(),SUMPRODUCT((Inputs!$A$5:$A$120=$B41)*Inputs!$B$5:$B$120*(((Inputs!$G$5:$G$120="moeda")+(Inputs!$G$5:$G$120="acoes"))*Inputs!$B$1+((Inputs!$G$5:$G$120&lt;&gt;"moeda")*(Inputs!$G$5:$G$120&lt;&gt;"acoes")))*INDEX(Inputs!$K$5:$AJ$120,0,MATCH(U$2,Inputs!$K$4:$AJ$4,0)))+SUMPRODUCT((Inputs!$C$5:$C$120=$B41)*Inputs!$D$5:$D$120*(((Inputs!$G$5:$G$120="moeda")+(Inputs!$G$5:$G$120="acoes"))*Inputs!$B$1+((Inputs!$G$5:$G$120&lt;&gt;"moeda")*(Inputs!$G$5:$G$120&lt;&gt;"acoes")))*INDEX(Inputs!$K$5:$AJ$120,0,MATCH(U$2,Inputs!$K$4:$AJ$4,0)))+SUMPRODUCT((Inputs!$E$5:$E$120=$B41)*Inputs!$F$5:$F$120*(((Inputs!$G$5:$G$120="moeda")+(Inputs!$G$5:$G$120="acoes"))*Inputs!$B$1+((Inputs!$G$5:$G$120&lt;&gt;"moeda")*(Inputs!$G$5:$G$120&lt;&gt;"acoes")))*INDEX(Inputs!$K$5:$AJ$120,0,MATCH(U$2,Inputs!$K$4:$AJ$4,0)))))</f>
        <v>80.7</v>
      </c>
      <c r="V41" s="6">
        <f>IF(ISNA(MATCH(V$2,Inputs!$K$4:$AJ$4,0)),NA(),IF(SUMPRODUCT((Inputs!$A$5:$A$120=$B41)*ISNUMBER(INDEX(Inputs!$K$5:$AJ$120,0,MATCH(V$2,Inputs!$K$4:$AJ$4,0))))+SUMPRODUCT((Inputs!$C$5:$C$120=$B41)*ISNUMBER(INDEX(Inputs!$K$5:$AJ$120,0,MATCH(V$2,Inputs!$K$4:$AJ$4,0))))+SUMPRODUCT((Inputs!$E$5:$E$120=$B41)*ISNUMBER(INDEX(Inputs!$K$5:$AJ$120,0,MATCH(V$2,Inputs!$K$4:$AJ$4,0))))=0,NA(),SUMPRODUCT((Inputs!$A$5:$A$120=$B41)*Inputs!$B$5:$B$120*(((Inputs!$G$5:$G$120="moeda")+(Inputs!$G$5:$G$120="acoes"))*Inputs!$B$1+((Inputs!$G$5:$G$120&lt;&gt;"moeda")*(Inputs!$G$5:$G$120&lt;&gt;"acoes")))*INDEX(Inputs!$K$5:$AJ$120,0,MATCH(V$2,Inputs!$K$4:$AJ$4,0)))+SUMPRODUCT((Inputs!$C$5:$C$120=$B41)*Inputs!$D$5:$D$120*(((Inputs!$G$5:$G$120="moeda")+(Inputs!$G$5:$G$120="acoes"))*Inputs!$B$1+((Inputs!$G$5:$G$120&lt;&gt;"moeda")*(Inputs!$G$5:$G$120&lt;&gt;"acoes")))*INDEX(Inputs!$K$5:$AJ$120,0,MATCH(V$2,Inputs!$K$4:$AJ$4,0)))+SUMPRODUCT((Inputs!$E$5:$E$120=$B41)*Inputs!$F$5:$F$120*(((Inputs!$G$5:$G$120="moeda")+(Inputs!$G$5:$G$120="acoes"))*Inputs!$B$1+((Inputs!$G$5:$G$120&lt;&gt;"moeda")*(Inputs!$G$5:$G$120&lt;&gt;"acoes")))*INDEX(Inputs!$K$5:$AJ$120,0,MATCH(V$2,Inputs!$K$4:$AJ$4,0)))))</f>
        <v>79.5</v>
      </c>
      <c r="W41" s="3">
        <f>V41</f>
        <v>79.5</v>
      </c>
      <c r="X41" s="6">
        <f>IF(ISNA(MATCH(X$2,Inputs!$K$4:$AJ$4,0)),NA(),IF(SUMPRODUCT((Inputs!$A$5:$A$120=$B41)*ISNUMBER(INDEX(Inputs!$K$5:$AJ$120,0,MATCH(X$2,Inputs!$K$4:$AJ$4,0))))+SUMPRODUCT((Inputs!$C$5:$C$120=$B41)*ISNUMBER(INDEX(Inputs!$K$5:$AJ$120,0,MATCH(X$2,Inputs!$K$4:$AJ$4,0))))+SUMPRODUCT((Inputs!$E$5:$E$120=$B41)*ISNUMBER(INDEX(Inputs!$K$5:$AJ$120,0,MATCH(X$2,Inputs!$K$4:$AJ$4,0))))=0,NA(),SUMPRODUCT((Inputs!$A$5:$A$120=$B41)*Inputs!$B$5:$B$120*(((Inputs!$G$5:$G$120="moeda")+(Inputs!$G$5:$G$120="acoes"))*Inputs!$B$1+((Inputs!$G$5:$G$120&lt;&gt;"moeda")*(Inputs!$G$5:$G$120&lt;&gt;"acoes")))*INDEX(Inputs!$K$5:$AJ$120,0,MATCH(X$2,Inputs!$K$4:$AJ$4,0)))+SUMPRODUCT((Inputs!$C$5:$C$120=$B41)*Inputs!$D$5:$D$120*(((Inputs!$G$5:$G$120="moeda")+(Inputs!$G$5:$G$120="acoes"))*Inputs!$B$1+((Inputs!$G$5:$G$120&lt;&gt;"moeda")*(Inputs!$G$5:$G$120&lt;&gt;"acoes")))*INDEX(Inputs!$K$5:$AJ$120,0,MATCH(X$2,Inputs!$K$4:$AJ$4,0)))+SUMPRODUCT((Inputs!$E$5:$E$120=$B41)*Inputs!$F$5:$F$120*(((Inputs!$G$5:$G$120="moeda")+(Inputs!$G$5:$G$120="acoes"))*Inputs!$B$1+((Inputs!$G$5:$G$120&lt;&gt;"moeda")*(Inputs!$G$5:$G$120&lt;&gt;"acoes")))*INDEX(Inputs!$K$5:$AJ$120,0,MATCH(X$2,Inputs!$K$4:$AJ$4,0)))))</f>
        <v>82</v>
      </c>
      <c r="Y41" s="6">
        <f>IF(ISNA(MATCH(Y$2,Inputs!$K$4:$AJ$4,0)),NA(),IF(SUMPRODUCT((Inputs!$A$5:$A$120=$B41)*ISNUMBER(INDEX(Inputs!$K$5:$AJ$120,0,MATCH(Y$2,Inputs!$K$4:$AJ$4,0))))+SUMPRODUCT((Inputs!$C$5:$C$120=$B41)*ISNUMBER(INDEX(Inputs!$K$5:$AJ$120,0,MATCH(Y$2,Inputs!$K$4:$AJ$4,0))))+SUMPRODUCT((Inputs!$E$5:$E$120=$B41)*ISNUMBER(INDEX(Inputs!$K$5:$AJ$120,0,MATCH(Y$2,Inputs!$K$4:$AJ$4,0))))=0,NA(),SUMPRODUCT((Inputs!$A$5:$A$120=$B41)*Inputs!$B$5:$B$120*(((Inputs!$G$5:$G$120="moeda")+(Inputs!$G$5:$G$120="acoes"))*Inputs!$B$1+((Inputs!$G$5:$G$120&lt;&gt;"moeda")*(Inputs!$G$5:$G$120&lt;&gt;"acoes")))*INDEX(Inputs!$K$5:$AJ$120,0,MATCH(Y$2,Inputs!$K$4:$AJ$4,0)))+SUMPRODUCT((Inputs!$C$5:$C$120=$B41)*Inputs!$D$5:$D$120*(((Inputs!$G$5:$G$120="moeda")+(Inputs!$G$5:$G$120="acoes"))*Inputs!$B$1+((Inputs!$G$5:$G$120&lt;&gt;"moeda")*(Inputs!$G$5:$G$120&lt;&gt;"acoes")))*INDEX(Inputs!$K$5:$AJ$120,0,MATCH(Y$2,Inputs!$K$4:$AJ$4,0)))+SUMPRODUCT((Inputs!$E$5:$E$120=$B41)*Inputs!$F$5:$F$120*(((Inputs!$G$5:$G$120="moeda")+(Inputs!$G$5:$G$120="acoes"))*Inputs!$B$1+((Inputs!$G$5:$G$120&lt;&gt;"moeda")*(Inputs!$G$5:$G$120&lt;&gt;"acoes")))*INDEX(Inputs!$K$5:$AJ$120,0,MATCH(Y$2,Inputs!$K$4:$AJ$4,0)))))</f>
        <v>76.2</v>
      </c>
      <c r="Z41" s="6">
        <f>IF(ISNA(MATCH(Z$2,Inputs!$K$4:$AJ$4,0)),NA(),IF(SUMPRODUCT((Inputs!$A$5:$A$120=$B41)*ISNUMBER(INDEX(Inputs!$K$5:$AJ$120,0,MATCH(Z$2,Inputs!$K$4:$AJ$4,0))))+SUMPRODUCT((Inputs!$C$5:$C$120=$B41)*ISNUMBER(INDEX(Inputs!$K$5:$AJ$120,0,MATCH(Z$2,Inputs!$K$4:$AJ$4,0))))+SUMPRODUCT((Inputs!$E$5:$E$120=$B41)*ISNUMBER(INDEX(Inputs!$K$5:$AJ$120,0,MATCH(Z$2,Inputs!$K$4:$AJ$4,0))))=0,NA(),SUMPRODUCT((Inputs!$A$5:$A$120=$B41)*Inputs!$B$5:$B$120*(((Inputs!$G$5:$G$120="moeda")+(Inputs!$G$5:$G$120="acoes"))*Inputs!$B$1+((Inputs!$G$5:$G$120&lt;&gt;"moeda")*(Inputs!$G$5:$G$120&lt;&gt;"acoes")))*INDEX(Inputs!$K$5:$AJ$120,0,MATCH(Z$2,Inputs!$K$4:$AJ$4,0)))+SUMPRODUCT((Inputs!$C$5:$C$120=$B41)*Inputs!$D$5:$D$120*(((Inputs!$G$5:$G$120="moeda")+(Inputs!$G$5:$G$120="acoes"))*Inputs!$B$1+((Inputs!$G$5:$G$120&lt;&gt;"moeda")*(Inputs!$G$5:$G$120&lt;&gt;"acoes")))*INDEX(Inputs!$K$5:$AJ$120,0,MATCH(Z$2,Inputs!$K$4:$AJ$4,0)))+SUMPRODUCT((Inputs!$E$5:$E$120=$B41)*Inputs!$F$5:$F$120*(((Inputs!$G$5:$G$120="moeda")+(Inputs!$G$5:$G$120="acoes"))*Inputs!$B$1+((Inputs!$G$5:$G$120&lt;&gt;"moeda")*(Inputs!$G$5:$G$120&lt;&gt;"acoes")))*INDEX(Inputs!$K$5:$AJ$120,0,MATCH(Z$2,Inputs!$K$4:$AJ$4,0)))))</f>
        <v>57.5</v>
      </c>
      <c r="AA41" s="6">
        <f>IF(ISNA(MATCH(AA$2,Inputs!$K$4:$AJ$4,0)),NA(),IF(SUMPRODUCT((Inputs!$A$5:$A$120=$B41)*ISNUMBER(INDEX(Inputs!$K$5:$AJ$120,0,MATCH(AA$2,Inputs!$K$4:$AJ$4,0))))+SUMPRODUCT((Inputs!$C$5:$C$120=$B41)*ISNUMBER(INDEX(Inputs!$K$5:$AJ$120,0,MATCH(AA$2,Inputs!$K$4:$AJ$4,0))))+SUMPRODUCT((Inputs!$E$5:$E$120=$B41)*ISNUMBER(INDEX(Inputs!$K$5:$AJ$120,0,MATCH(AA$2,Inputs!$K$4:$AJ$4,0))))=0,NA(),SUMPRODUCT((Inputs!$A$5:$A$120=$B41)*Inputs!$B$5:$B$120*(((Inputs!$G$5:$G$120="moeda")+(Inputs!$G$5:$G$120="acoes"))*Inputs!$B$1+((Inputs!$G$5:$G$120&lt;&gt;"moeda")*(Inputs!$G$5:$G$120&lt;&gt;"acoes")))*INDEX(Inputs!$K$5:$AJ$120,0,MATCH(AA$2,Inputs!$K$4:$AJ$4,0)))+SUMPRODUCT((Inputs!$C$5:$C$120=$B41)*Inputs!$D$5:$D$120*(((Inputs!$G$5:$G$120="moeda")+(Inputs!$G$5:$G$120="acoes"))*Inputs!$B$1+((Inputs!$G$5:$G$120&lt;&gt;"moeda")*(Inputs!$G$5:$G$120&lt;&gt;"acoes")))*INDEX(Inputs!$K$5:$AJ$120,0,MATCH(AA$2,Inputs!$K$4:$AJ$4,0)))+SUMPRODUCT((Inputs!$E$5:$E$120=$B41)*Inputs!$F$5:$F$120*(((Inputs!$G$5:$G$120="moeda")+(Inputs!$G$5:$G$120="acoes"))*Inputs!$B$1+((Inputs!$G$5:$G$120&lt;&gt;"moeda")*(Inputs!$G$5:$G$120&lt;&gt;"acoes")))*INDEX(Inputs!$K$5:$AJ$120,0,MATCH(AA$2,Inputs!$K$4:$AJ$4,0)))))</f>
        <v>0</v>
      </c>
      <c r="AB41" s="3">
        <f>AA41</f>
        <v>0</v>
      </c>
      <c r="AC41" s="6">
        <f>IF(ISNA(MATCH(AC$2,Inputs!$K$4:$AJ$4,0)),NA(),IF(SUMPRODUCT((Inputs!$A$5:$A$120=$B41)*ISNUMBER(INDEX(Inputs!$K$5:$AJ$120,0,MATCH(AC$2,Inputs!$K$4:$AJ$4,0))))+SUMPRODUCT((Inputs!$C$5:$C$120=$B41)*ISNUMBER(INDEX(Inputs!$K$5:$AJ$120,0,MATCH(AC$2,Inputs!$K$4:$AJ$4,0))))+SUMPRODUCT((Inputs!$E$5:$E$120=$B41)*ISNUMBER(INDEX(Inputs!$K$5:$AJ$120,0,MATCH(AC$2,Inputs!$K$4:$AJ$4,0))))=0,NA(),SUMPRODUCT((Inputs!$A$5:$A$120=$B41)*Inputs!$B$5:$B$120*(((Inputs!$G$5:$G$120="moeda")+(Inputs!$G$5:$G$120="acoes"))*Inputs!$B$1+((Inputs!$G$5:$G$120&lt;&gt;"moeda")*(Inputs!$G$5:$G$120&lt;&gt;"acoes")))*INDEX(Inputs!$K$5:$AJ$120,0,MATCH(AC$2,Inputs!$K$4:$AJ$4,0)))+SUMPRODUCT((Inputs!$C$5:$C$120=$B41)*Inputs!$D$5:$D$120*(((Inputs!$G$5:$G$120="moeda")+(Inputs!$G$5:$G$120="acoes"))*Inputs!$B$1+((Inputs!$G$5:$G$120&lt;&gt;"moeda")*(Inputs!$G$5:$G$120&lt;&gt;"acoes")))*INDEX(Inputs!$K$5:$AJ$120,0,MATCH(AC$2,Inputs!$K$4:$AJ$4,0)))+SUMPRODUCT((Inputs!$E$5:$E$120=$B41)*Inputs!$F$5:$F$120*(((Inputs!$G$5:$G$120="moeda")+(Inputs!$G$5:$G$120="acoes"))*Inputs!$B$1+((Inputs!$G$5:$G$120&lt;&gt;"moeda")*(Inputs!$G$5:$G$120&lt;&gt;"acoes")))*INDEX(Inputs!$K$5:$AJ$120,0,MATCH(AC$2,Inputs!$K$4:$AJ$4,0)))))</f>
        <v>0</v>
      </c>
      <c r="AD41" s="6">
        <f>IF(ISNA(MATCH(AD$2,Inputs!$K$4:$AJ$4,0)),NA(),IF(SUMPRODUCT((Inputs!$A$5:$A$120=$B41)*ISNUMBER(INDEX(Inputs!$K$5:$AJ$120,0,MATCH(AD$2,Inputs!$K$4:$AJ$4,0))))+SUMPRODUCT((Inputs!$C$5:$C$120=$B41)*ISNUMBER(INDEX(Inputs!$K$5:$AJ$120,0,MATCH(AD$2,Inputs!$K$4:$AJ$4,0))))+SUMPRODUCT((Inputs!$E$5:$E$120=$B41)*ISNUMBER(INDEX(Inputs!$K$5:$AJ$120,0,MATCH(AD$2,Inputs!$K$4:$AJ$4,0))))=0,NA(),SUMPRODUCT((Inputs!$A$5:$A$120=$B41)*Inputs!$B$5:$B$120*(((Inputs!$G$5:$G$120="moeda")+(Inputs!$G$5:$G$120="acoes"))*Inputs!$B$1+((Inputs!$G$5:$G$120&lt;&gt;"moeda")*(Inputs!$G$5:$G$120&lt;&gt;"acoes")))*INDEX(Inputs!$K$5:$AJ$120,0,MATCH(AD$2,Inputs!$K$4:$AJ$4,0)))+SUMPRODUCT((Inputs!$C$5:$C$120=$B41)*Inputs!$D$5:$D$120*(((Inputs!$G$5:$G$120="moeda")+(Inputs!$G$5:$G$120="acoes"))*Inputs!$B$1+((Inputs!$G$5:$G$120&lt;&gt;"moeda")*(Inputs!$G$5:$G$120&lt;&gt;"acoes")))*INDEX(Inputs!$K$5:$AJ$120,0,MATCH(AD$2,Inputs!$K$4:$AJ$4,0)))+SUMPRODUCT((Inputs!$E$5:$E$120=$B41)*Inputs!$F$5:$F$120*(((Inputs!$G$5:$G$120="moeda")+(Inputs!$G$5:$G$120="acoes"))*Inputs!$B$1+((Inputs!$G$5:$G$120&lt;&gt;"moeda")*(Inputs!$G$5:$G$120&lt;&gt;"acoes")))*INDEX(Inputs!$K$5:$AJ$120,0,MATCH(AD$2,Inputs!$K$4:$AJ$4,0)))))</f>
        <v>0</v>
      </c>
      <c r="AE41" s="6" t="e">
        <f>IF(ISNA(MATCH(AE$2,Inputs!$K$4:$AJ$4,0)),NA(),IF(SUMPRODUCT((Inputs!$A$5:$A$120=$B41)*ISNUMBER(INDEX(Inputs!$K$5:$AJ$120,0,MATCH(AE$2,Inputs!$K$4:$AJ$4,0))))+SUMPRODUCT((Inputs!$C$5:$C$120=$B41)*ISNUMBER(INDEX(Inputs!$K$5:$AJ$120,0,MATCH(AE$2,Inputs!$K$4:$AJ$4,0))))+SUMPRODUCT((Inputs!$E$5:$E$120=$B41)*ISNUMBER(INDEX(Inputs!$K$5:$AJ$120,0,MATCH(AE$2,Inputs!$K$4:$AJ$4,0))))=0,NA(),SUMPRODUCT((Inputs!$A$5:$A$120=$B41)*Inputs!$B$5:$B$120*(((Inputs!$G$5:$G$120="moeda")+(Inputs!$G$5:$G$120="acoes"))*Inputs!$B$1+((Inputs!$G$5:$G$120&lt;&gt;"moeda")*(Inputs!$G$5:$G$120&lt;&gt;"acoes")))*INDEX(Inputs!$K$5:$AJ$120,0,MATCH(AE$2,Inputs!$K$4:$AJ$4,0)))+SUMPRODUCT((Inputs!$C$5:$C$120=$B41)*Inputs!$D$5:$D$120*(((Inputs!$G$5:$G$120="moeda")+(Inputs!$G$5:$G$120="acoes"))*Inputs!$B$1+((Inputs!$G$5:$G$120&lt;&gt;"moeda")*(Inputs!$G$5:$G$120&lt;&gt;"acoes")))*INDEX(Inputs!$K$5:$AJ$120,0,MATCH(AE$2,Inputs!$K$4:$AJ$4,0)))+SUMPRODUCT((Inputs!$E$5:$E$120=$B41)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1" s="6" t="e">
        <f>IF(ISNA(MATCH(AF$2,Inputs!$K$4:$AJ$4,0)),NA(),IF(SUMPRODUCT((Inputs!$A$5:$A$120=$B41)*ISNUMBER(INDEX(Inputs!$K$5:$AJ$120,0,MATCH(AF$2,Inputs!$K$4:$AJ$4,0))))+SUMPRODUCT((Inputs!$C$5:$C$120=$B41)*ISNUMBER(INDEX(Inputs!$K$5:$AJ$120,0,MATCH(AF$2,Inputs!$K$4:$AJ$4,0))))+SUMPRODUCT((Inputs!$E$5:$E$120=$B41)*ISNUMBER(INDEX(Inputs!$K$5:$AJ$120,0,MATCH(AF$2,Inputs!$K$4:$AJ$4,0))))=0,NA(),SUMPRODUCT((Inputs!$A$5:$A$120=$B41)*Inputs!$B$5:$B$120*(((Inputs!$G$5:$G$120="moeda")+(Inputs!$G$5:$G$120="acoes"))*Inputs!$B$1+((Inputs!$G$5:$G$120&lt;&gt;"moeda")*(Inputs!$G$5:$G$120&lt;&gt;"acoes")))*INDEX(Inputs!$K$5:$AJ$120,0,MATCH(AF$2,Inputs!$K$4:$AJ$4,0)))+SUMPRODUCT((Inputs!$C$5:$C$120=$B41)*Inputs!$D$5:$D$120*(((Inputs!$G$5:$G$120="moeda")+(Inputs!$G$5:$G$120="acoes"))*Inputs!$B$1+((Inputs!$G$5:$G$120&lt;&gt;"moeda")*(Inputs!$G$5:$G$120&lt;&gt;"acoes")))*INDEX(Inputs!$K$5:$AJ$120,0,MATCH(AF$2,Inputs!$K$4:$AJ$4,0)))+SUMPRODUCT((Inputs!$E$5:$E$120=$B41)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1" s="3" t="e">
        <f>AF41</f>
        <v>#N/A</v>
      </c>
      <c r="AH41" s="6">
        <f>IF(ISNA(MATCH(AH$2,Inputs!$K$4:$AJ$4,0)),NA(),IF(SUMPRODUCT((Inputs!$A$5:$A$120=$B41)*ISNUMBER(INDEX(Inputs!$K$5:$AJ$120,0,MATCH(AH$2,Inputs!$K$4:$AJ$4,0))))+SUMPRODUCT((Inputs!$C$5:$C$120=$B41)*ISNUMBER(INDEX(Inputs!$K$5:$AJ$120,0,MATCH(AH$2,Inputs!$K$4:$AJ$4,0))))+SUMPRODUCT((Inputs!$E$5:$E$120=$B41)*ISNUMBER(INDEX(Inputs!$K$5:$AJ$120,0,MATCH(AH$2,Inputs!$K$4:$AJ$4,0))))=0,NA(),SUMPRODUCT((Inputs!$A$5:$A$120=$B41)*Inputs!$B$5:$B$120*(((Inputs!$G$5:$G$120="moeda")+(Inputs!$G$5:$G$120="acoes"))*Inputs!$B$1+((Inputs!$G$5:$G$120&lt;&gt;"moeda")*(Inputs!$G$5:$G$120&lt;&gt;"acoes")))*INDEX(Inputs!$K$5:$AJ$120,0,MATCH(AH$2,Inputs!$K$4:$AJ$4,0)))+SUMPRODUCT((Inputs!$C$5:$C$120=$B41)*Inputs!$D$5:$D$120*(((Inputs!$G$5:$G$120="moeda")+(Inputs!$G$5:$G$120="acoes"))*Inputs!$B$1+((Inputs!$G$5:$G$120&lt;&gt;"moeda")*(Inputs!$G$5:$G$120&lt;&gt;"acoes")))*INDEX(Inputs!$K$5:$AJ$120,0,MATCH(AH$2,Inputs!$K$4:$AJ$4,0)))+SUMPRODUCT((Inputs!$E$5:$E$120=$B41)*Inputs!$F$5:$F$120*(((Inputs!$G$5:$G$120="moeda")+(Inputs!$G$5:$G$120="acoes"))*Inputs!$B$1+((Inputs!$G$5:$G$120&lt;&gt;"moeda")*(Inputs!$G$5:$G$120&lt;&gt;"acoes")))*INDEX(Inputs!$K$5:$AJ$120,0,MATCH(AH$2,Inputs!$K$4:$AJ$4,0)))))</f>
        <v>118.4</v>
      </c>
      <c r="AI41" s="6">
        <f>IF(ISNA(MATCH(AI$2,Inputs!$K$4:$AJ$4,0)),NA(),IF(SUMPRODUCT((Inputs!$A$5:$A$120=$B41)*ISNUMBER(INDEX(Inputs!$K$5:$AJ$120,0,MATCH(AI$2,Inputs!$K$4:$AJ$4,0))))+SUMPRODUCT((Inputs!$C$5:$C$120=$B41)*ISNUMBER(INDEX(Inputs!$K$5:$AJ$120,0,MATCH(AI$2,Inputs!$K$4:$AJ$4,0))))+SUMPRODUCT((Inputs!$E$5:$E$120=$B41)*ISNUMBER(INDEX(Inputs!$K$5:$AJ$120,0,MATCH(AI$2,Inputs!$K$4:$AJ$4,0))))=0,NA(),SUMPRODUCT((Inputs!$A$5:$A$120=$B41)*Inputs!$B$5:$B$120*(((Inputs!$G$5:$G$120="moeda")+(Inputs!$G$5:$G$120="acoes"))*Inputs!$B$1+((Inputs!$G$5:$G$120&lt;&gt;"moeda")*(Inputs!$G$5:$G$120&lt;&gt;"acoes")))*INDEX(Inputs!$K$5:$AJ$120,0,MATCH(AI$2,Inputs!$K$4:$AJ$4,0)))+SUMPRODUCT((Inputs!$C$5:$C$120=$B41)*Inputs!$D$5:$D$120*(((Inputs!$G$5:$G$120="moeda")+(Inputs!$G$5:$G$120="acoes"))*Inputs!$B$1+((Inputs!$G$5:$G$120&lt;&gt;"moeda")*(Inputs!$G$5:$G$120&lt;&gt;"acoes")))*INDEX(Inputs!$K$5:$AJ$120,0,MATCH(AI$2,Inputs!$K$4:$AJ$4,0)))+SUMPRODUCT((Inputs!$E$5:$E$120=$B41)*Inputs!$F$5:$F$120*(((Inputs!$G$5:$G$120="moeda")+(Inputs!$G$5:$G$120="acoes"))*Inputs!$B$1+((Inputs!$G$5:$G$120&lt;&gt;"moeda")*(Inputs!$G$5:$G$120&lt;&gt;"acoes")))*INDEX(Inputs!$K$5:$AJ$120,0,MATCH(AI$2,Inputs!$K$4:$AJ$4,0)))))</f>
        <v>179.1</v>
      </c>
      <c r="AJ41" s="6">
        <f>IF(ISNA(MATCH(AJ$2,Inputs!$K$4:$AJ$4,0)),NA(),IF(SUMPRODUCT((Inputs!$A$5:$A$120=$B41)*ISNUMBER(INDEX(Inputs!$K$5:$AJ$120,0,MATCH(AJ$2,Inputs!$K$4:$AJ$4,0))))+SUMPRODUCT((Inputs!$C$5:$C$120=$B41)*ISNUMBER(INDEX(Inputs!$K$5:$AJ$120,0,MATCH(AJ$2,Inputs!$K$4:$AJ$4,0))))+SUMPRODUCT((Inputs!$E$5:$E$120=$B41)*ISNUMBER(INDEX(Inputs!$K$5:$AJ$120,0,MATCH(AJ$2,Inputs!$K$4:$AJ$4,0))))=0,NA(),SUMPRODUCT((Inputs!$A$5:$A$120=$B41)*Inputs!$B$5:$B$120*(((Inputs!$G$5:$G$120="moeda")+(Inputs!$G$5:$G$120="acoes"))*Inputs!$B$1+((Inputs!$G$5:$G$120&lt;&gt;"moeda")*(Inputs!$G$5:$G$120&lt;&gt;"acoes")))*INDEX(Inputs!$K$5:$AJ$120,0,MATCH(AJ$2,Inputs!$K$4:$AJ$4,0)))+SUMPRODUCT((Inputs!$C$5:$C$120=$B41)*Inputs!$D$5:$D$120*(((Inputs!$G$5:$G$120="moeda")+(Inputs!$G$5:$G$120="acoes"))*Inputs!$B$1+((Inputs!$G$5:$G$120&lt;&gt;"moeda")*(Inputs!$G$5:$G$120&lt;&gt;"acoes")))*INDEX(Inputs!$K$5:$AJ$120,0,MATCH(AJ$2,Inputs!$K$4:$AJ$4,0)))+SUMPRODUCT((Inputs!$E$5:$E$120=$B41)*Inputs!$F$5:$F$120*(((Inputs!$G$5:$G$120="moeda")+(Inputs!$G$5:$G$120="acoes"))*Inputs!$B$1+((Inputs!$G$5:$G$120&lt;&gt;"moeda")*(Inputs!$G$5:$G$120&lt;&gt;"acoes")))*INDEX(Inputs!$K$5:$AJ$120,0,MATCH(AJ$2,Inputs!$K$4:$AJ$4,0)))))</f>
        <v>169.1</v>
      </c>
      <c r="AK41" s="6">
        <f>IF(ISNA(MATCH(AK$2,Inputs!$K$4:$AJ$4,0)),NA(),IF(SUMPRODUCT((Inputs!$A$5:$A$120=$B41)*ISNUMBER(INDEX(Inputs!$K$5:$AJ$120,0,MATCH(AK$2,Inputs!$K$4:$AJ$4,0))))+SUMPRODUCT((Inputs!$C$5:$C$120=$B41)*ISNUMBER(INDEX(Inputs!$K$5:$AJ$120,0,MATCH(AK$2,Inputs!$K$4:$AJ$4,0))))+SUMPRODUCT((Inputs!$E$5:$E$120=$B41)*ISNUMBER(INDEX(Inputs!$K$5:$AJ$120,0,MATCH(AK$2,Inputs!$K$4:$AJ$4,0))))=0,NA(),SUMPRODUCT((Inputs!$A$5:$A$120=$B41)*Inputs!$B$5:$B$120*(((Inputs!$G$5:$G$120="moeda")+(Inputs!$G$5:$G$120="acoes"))*Inputs!$B$1+((Inputs!$G$5:$G$120&lt;&gt;"moeda")*(Inputs!$G$5:$G$120&lt;&gt;"acoes")))*INDEX(Inputs!$K$5:$AJ$120,0,MATCH(AK$2,Inputs!$K$4:$AJ$4,0)))+SUMPRODUCT((Inputs!$C$5:$C$120=$B41)*Inputs!$D$5:$D$120*(((Inputs!$G$5:$G$120="moeda")+(Inputs!$G$5:$G$120="acoes"))*Inputs!$B$1+((Inputs!$G$5:$G$120&lt;&gt;"moeda")*(Inputs!$G$5:$G$120&lt;&gt;"acoes")))*INDEX(Inputs!$K$5:$AJ$120,0,MATCH(AK$2,Inputs!$K$4:$AJ$4,0)))+SUMPRODUCT((Inputs!$E$5:$E$120=$B41)*Inputs!$F$5:$F$120*(((Inputs!$G$5:$G$120="moeda")+(Inputs!$G$5:$G$120="acoes"))*Inputs!$B$1+((Inputs!$G$5:$G$120&lt;&gt;"moeda")*(Inputs!$G$5:$G$120&lt;&gt;"acoes")))*INDEX(Inputs!$K$5:$AJ$120,0,MATCH(AK$2,Inputs!$K$4:$AJ$4,0)))))</f>
        <v>183.6</v>
      </c>
      <c r="AL41" s="3">
        <f>AK41</f>
        <v>183.6</v>
      </c>
    </row>
    <row r="42">
      <c r="B42" s="46" t="n">
        <v>36</v>
      </c>
      <c r="C42" s="26" t="inlineStr">
        <is>
          <t>Convertible Preferred Stock</t>
        </is>
      </c>
      <c r="D42" s="6" t="e">
        <f>IF(ISNA(MATCH(D$2,Inputs!$K$4:$AJ$4,0)),NA(),IF(SUMPRODUCT((Inputs!$A$5:$A$120=$B42)*ISNUMBER(INDEX(Inputs!$K$5:$AJ$120,0,MATCH(D$2,Inputs!$K$4:$AJ$4,0))))+SUMPRODUCT((Inputs!$C$5:$C$120=$B42)*ISNUMBER(INDEX(Inputs!$K$5:$AJ$120,0,MATCH(D$2,Inputs!$K$4:$AJ$4,0))))+SUMPRODUCT((Inputs!$E$5:$E$120=$B42)*ISNUMBER(INDEX(Inputs!$K$5:$AJ$120,0,MATCH(D$2,Inputs!$K$4:$AJ$4,0))))=0,NA(),SUMPRODUCT((Inputs!$A$5:$A$120=$B42)*Inputs!$B$5:$B$120*(((Inputs!$G$5:$G$120="moeda")+(Inputs!$G$5:$G$120="acoes"))*Inputs!$B$1+((Inputs!$G$5:$G$120&lt;&gt;"moeda")*(Inputs!$G$5:$G$120&lt;&gt;"acoes")))*INDEX(Inputs!$K$5:$AJ$120,0,MATCH(D$2,Inputs!$K$4:$AJ$4,0)))+SUMPRODUCT((Inputs!$C$5:$C$120=$B42)*Inputs!$D$5:$D$120*(((Inputs!$G$5:$G$120="moeda")+(Inputs!$G$5:$G$120="acoes"))*Inputs!$B$1+((Inputs!$G$5:$G$120&lt;&gt;"moeda")*(Inputs!$G$5:$G$120&lt;&gt;"acoes")))*INDEX(Inputs!$K$5:$AJ$120,0,MATCH(D$2,Inputs!$K$4:$AJ$4,0)))+SUMPRODUCT((Inputs!$E$5:$E$120=$B42)*Inputs!$F$5:$F$120*(((Inputs!$G$5:$G$120="moeda")+(Inputs!$G$5:$G$120="acoes"))*Inputs!$B$1+((Inputs!$G$5:$G$120&lt;&gt;"moeda")*(Inputs!$G$5:$G$120&lt;&gt;"acoes")))*INDEX(Inputs!$K$5:$AJ$120,0,MATCH(D$2,Inputs!$K$4:$AJ$4,0)))))</f>
        <v>#N/A</v>
      </c>
      <c r="E42" s="6" t="e">
        <f>IF(ISNA(MATCH(E$2,Inputs!$K$4:$AJ$4,0)),NA(),IF(SUMPRODUCT((Inputs!$A$5:$A$120=$B42)*ISNUMBER(INDEX(Inputs!$K$5:$AJ$120,0,MATCH(E$2,Inputs!$K$4:$AJ$4,0))))+SUMPRODUCT((Inputs!$C$5:$C$120=$B42)*ISNUMBER(INDEX(Inputs!$K$5:$AJ$120,0,MATCH(E$2,Inputs!$K$4:$AJ$4,0))))+SUMPRODUCT((Inputs!$E$5:$E$120=$B42)*ISNUMBER(INDEX(Inputs!$K$5:$AJ$120,0,MATCH(E$2,Inputs!$K$4:$AJ$4,0))))=0,NA(),SUMPRODUCT((Inputs!$A$5:$A$120=$B42)*Inputs!$B$5:$B$120*(((Inputs!$G$5:$G$120="moeda")+(Inputs!$G$5:$G$120="acoes"))*Inputs!$B$1+((Inputs!$G$5:$G$120&lt;&gt;"moeda")*(Inputs!$G$5:$G$120&lt;&gt;"acoes")))*INDEX(Inputs!$K$5:$AJ$120,0,MATCH(E$2,Inputs!$K$4:$AJ$4,0)))+SUMPRODUCT((Inputs!$C$5:$C$120=$B42)*Inputs!$D$5:$D$120*(((Inputs!$G$5:$G$120="moeda")+(Inputs!$G$5:$G$120="acoes"))*Inputs!$B$1+((Inputs!$G$5:$G$120&lt;&gt;"moeda")*(Inputs!$G$5:$G$120&lt;&gt;"acoes")))*INDEX(Inputs!$K$5:$AJ$120,0,MATCH(E$2,Inputs!$K$4:$AJ$4,0)))+SUMPRODUCT((Inputs!$E$5:$E$120=$B42)*Inputs!$F$5:$F$120*(((Inputs!$G$5:$G$120="moeda")+(Inputs!$G$5:$G$120="acoes"))*Inputs!$B$1+((Inputs!$G$5:$G$120&lt;&gt;"moeda")*(Inputs!$G$5:$G$120&lt;&gt;"acoes")))*INDEX(Inputs!$K$5:$AJ$120,0,MATCH(E$2,Inputs!$K$4:$AJ$4,0)))))</f>
        <v>#N/A</v>
      </c>
      <c r="F42" s="6" t="e">
        <f>IF(ISNA(MATCH(F$2,Inputs!$K$4:$AJ$4,0)),NA(),IF(SUMPRODUCT((Inputs!$A$5:$A$120=$B42)*ISNUMBER(INDEX(Inputs!$K$5:$AJ$120,0,MATCH(F$2,Inputs!$K$4:$AJ$4,0))))+SUMPRODUCT((Inputs!$C$5:$C$120=$B42)*ISNUMBER(INDEX(Inputs!$K$5:$AJ$120,0,MATCH(F$2,Inputs!$K$4:$AJ$4,0))))+SUMPRODUCT((Inputs!$E$5:$E$120=$B42)*ISNUMBER(INDEX(Inputs!$K$5:$AJ$120,0,MATCH(F$2,Inputs!$K$4:$AJ$4,0))))=0,NA(),SUMPRODUCT((Inputs!$A$5:$A$120=$B42)*Inputs!$B$5:$B$120*(((Inputs!$G$5:$G$120="moeda")+(Inputs!$G$5:$G$120="acoes"))*Inputs!$B$1+((Inputs!$G$5:$G$120&lt;&gt;"moeda")*(Inputs!$G$5:$G$120&lt;&gt;"acoes")))*INDEX(Inputs!$K$5:$AJ$120,0,MATCH(F$2,Inputs!$K$4:$AJ$4,0)))+SUMPRODUCT((Inputs!$C$5:$C$120=$B42)*Inputs!$D$5:$D$120*(((Inputs!$G$5:$G$120="moeda")+(Inputs!$G$5:$G$120="acoes"))*Inputs!$B$1+((Inputs!$G$5:$G$120&lt;&gt;"moeda")*(Inputs!$G$5:$G$120&lt;&gt;"acoes")))*INDEX(Inputs!$K$5:$AJ$120,0,MATCH(F$2,Inputs!$K$4:$AJ$4,0)))+SUMPRODUCT((Inputs!$E$5:$E$120=$B42)*Inputs!$F$5:$F$120*(((Inputs!$G$5:$G$120="moeda")+(Inputs!$G$5:$G$120="acoes"))*Inputs!$B$1+((Inputs!$G$5:$G$120&lt;&gt;"moeda")*(Inputs!$G$5:$G$120&lt;&gt;"acoes")))*INDEX(Inputs!$K$5:$AJ$120,0,MATCH(F$2,Inputs!$K$4:$AJ$4,0)))))</f>
        <v>#N/A</v>
      </c>
      <c r="G42" s="6" t="e">
        <f>IF(ISNA(MATCH(G$2,Inputs!$K$4:$AJ$4,0)),NA(),IF(SUMPRODUCT((Inputs!$A$5:$A$120=$B42)*ISNUMBER(INDEX(Inputs!$K$5:$AJ$120,0,MATCH(G$2,Inputs!$K$4:$AJ$4,0))))+SUMPRODUCT((Inputs!$C$5:$C$120=$B42)*ISNUMBER(INDEX(Inputs!$K$5:$AJ$120,0,MATCH(G$2,Inputs!$K$4:$AJ$4,0))))+SUMPRODUCT((Inputs!$E$5:$E$120=$B42)*ISNUMBER(INDEX(Inputs!$K$5:$AJ$120,0,MATCH(G$2,Inputs!$K$4:$AJ$4,0))))=0,NA(),SUMPRODUCT((Inputs!$A$5:$A$120=$B42)*Inputs!$B$5:$B$120*(((Inputs!$G$5:$G$120="moeda")+(Inputs!$G$5:$G$120="acoes"))*Inputs!$B$1+((Inputs!$G$5:$G$120&lt;&gt;"moeda")*(Inputs!$G$5:$G$120&lt;&gt;"acoes")))*INDEX(Inputs!$K$5:$AJ$120,0,MATCH(G$2,Inputs!$K$4:$AJ$4,0)))+SUMPRODUCT((Inputs!$C$5:$C$120=$B42)*Inputs!$D$5:$D$120*(((Inputs!$G$5:$G$120="moeda")+(Inputs!$G$5:$G$120="acoes"))*Inputs!$B$1+((Inputs!$G$5:$G$120&lt;&gt;"moeda")*(Inputs!$G$5:$G$120&lt;&gt;"acoes")))*INDEX(Inputs!$K$5:$AJ$120,0,MATCH(G$2,Inputs!$K$4:$AJ$4,0)))+SUMPRODUCT((Inputs!$E$5:$E$120=$B42)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42" s="3" t="e">
        <f>G42</f>
        <v>#N/A</v>
      </c>
      <c r="I42" s="6" t="e">
        <f>IF(ISNA(MATCH(I$2,Inputs!$K$4:$AJ$4,0)),NA(),IF(SUMPRODUCT((Inputs!$A$5:$A$120=$B42)*ISNUMBER(INDEX(Inputs!$K$5:$AJ$120,0,MATCH(I$2,Inputs!$K$4:$AJ$4,0))))+SUMPRODUCT((Inputs!$C$5:$C$120=$B42)*ISNUMBER(INDEX(Inputs!$K$5:$AJ$120,0,MATCH(I$2,Inputs!$K$4:$AJ$4,0))))+SUMPRODUCT((Inputs!$E$5:$E$120=$B42)*ISNUMBER(INDEX(Inputs!$K$5:$AJ$120,0,MATCH(I$2,Inputs!$K$4:$AJ$4,0))))=0,NA(),SUMPRODUCT((Inputs!$A$5:$A$120=$B42)*Inputs!$B$5:$B$120*(((Inputs!$G$5:$G$120="moeda")+(Inputs!$G$5:$G$120="acoes"))*Inputs!$B$1+((Inputs!$G$5:$G$120&lt;&gt;"moeda")*(Inputs!$G$5:$G$120&lt;&gt;"acoes")))*INDEX(Inputs!$K$5:$AJ$120,0,MATCH(I$2,Inputs!$K$4:$AJ$4,0)))+SUMPRODUCT((Inputs!$C$5:$C$120=$B42)*Inputs!$D$5:$D$120*(((Inputs!$G$5:$G$120="moeda")+(Inputs!$G$5:$G$120="acoes"))*Inputs!$B$1+((Inputs!$G$5:$G$120&lt;&gt;"moeda")*(Inputs!$G$5:$G$120&lt;&gt;"acoes")))*INDEX(Inputs!$K$5:$AJ$120,0,MATCH(I$2,Inputs!$K$4:$AJ$4,0)))+SUMPRODUCT((Inputs!$E$5:$E$120=$B42)*Inputs!$F$5:$F$120*(((Inputs!$G$5:$G$120="moeda")+(Inputs!$G$5:$G$120="acoes"))*Inputs!$B$1+((Inputs!$G$5:$G$120&lt;&gt;"moeda")*(Inputs!$G$5:$G$120&lt;&gt;"acoes")))*INDEX(Inputs!$K$5:$AJ$120,0,MATCH(I$2,Inputs!$K$4:$AJ$4,0)))))</f>
        <v>#N/A</v>
      </c>
      <c r="J42" s="6" t="e">
        <f>IF(ISNA(MATCH(J$2,Inputs!$K$4:$AJ$4,0)),NA(),IF(SUMPRODUCT((Inputs!$A$5:$A$120=$B42)*ISNUMBER(INDEX(Inputs!$K$5:$AJ$120,0,MATCH(J$2,Inputs!$K$4:$AJ$4,0))))+SUMPRODUCT((Inputs!$C$5:$C$120=$B42)*ISNUMBER(INDEX(Inputs!$K$5:$AJ$120,0,MATCH(J$2,Inputs!$K$4:$AJ$4,0))))+SUMPRODUCT((Inputs!$E$5:$E$120=$B42)*ISNUMBER(INDEX(Inputs!$K$5:$AJ$120,0,MATCH(J$2,Inputs!$K$4:$AJ$4,0))))=0,NA(),SUMPRODUCT((Inputs!$A$5:$A$120=$B42)*Inputs!$B$5:$B$120*(((Inputs!$G$5:$G$120="moeda")+(Inputs!$G$5:$G$120="acoes"))*Inputs!$B$1+((Inputs!$G$5:$G$120&lt;&gt;"moeda")*(Inputs!$G$5:$G$120&lt;&gt;"acoes")))*INDEX(Inputs!$K$5:$AJ$120,0,MATCH(J$2,Inputs!$K$4:$AJ$4,0)))+SUMPRODUCT((Inputs!$C$5:$C$120=$B42)*Inputs!$D$5:$D$120*(((Inputs!$G$5:$G$120="moeda")+(Inputs!$G$5:$G$120="acoes"))*Inputs!$B$1+((Inputs!$G$5:$G$120&lt;&gt;"moeda")*(Inputs!$G$5:$G$120&lt;&gt;"acoes")))*INDEX(Inputs!$K$5:$AJ$120,0,MATCH(J$2,Inputs!$K$4:$AJ$4,0)))+SUMPRODUCT((Inputs!$E$5:$E$120=$B42)*Inputs!$F$5:$F$120*(((Inputs!$G$5:$G$120="moeda")+(Inputs!$G$5:$G$120="acoes"))*Inputs!$B$1+((Inputs!$G$5:$G$120&lt;&gt;"moeda")*(Inputs!$G$5:$G$120&lt;&gt;"acoes")))*INDEX(Inputs!$K$5:$AJ$120,0,MATCH(J$2,Inputs!$K$4:$AJ$4,0)))))</f>
        <v>#N/A</v>
      </c>
      <c r="K42" s="6" t="e">
        <f>IF(ISNA(MATCH(K$2,Inputs!$K$4:$AJ$4,0)),NA(),IF(SUMPRODUCT((Inputs!$A$5:$A$120=$B42)*ISNUMBER(INDEX(Inputs!$K$5:$AJ$120,0,MATCH(K$2,Inputs!$K$4:$AJ$4,0))))+SUMPRODUCT((Inputs!$C$5:$C$120=$B42)*ISNUMBER(INDEX(Inputs!$K$5:$AJ$120,0,MATCH(K$2,Inputs!$K$4:$AJ$4,0))))+SUMPRODUCT((Inputs!$E$5:$E$120=$B42)*ISNUMBER(INDEX(Inputs!$K$5:$AJ$120,0,MATCH(K$2,Inputs!$K$4:$AJ$4,0))))=0,NA(),SUMPRODUCT((Inputs!$A$5:$A$120=$B42)*Inputs!$B$5:$B$120*(((Inputs!$G$5:$G$120="moeda")+(Inputs!$G$5:$G$120="acoes"))*Inputs!$B$1+((Inputs!$G$5:$G$120&lt;&gt;"moeda")*(Inputs!$G$5:$G$120&lt;&gt;"acoes")))*INDEX(Inputs!$K$5:$AJ$120,0,MATCH(K$2,Inputs!$K$4:$AJ$4,0)))+SUMPRODUCT((Inputs!$C$5:$C$120=$B42)*Inputs!$D$5:$D$120*(((Inputs!$G$5:$G$120="moeda")+(Inputs!$G$5:$G$120="acoes"))*Inputs!$B$1+((Inputs!$G$5:$G$120&lt;&gt;"moeda")*(Inputs!$G$5:$G$120&lt;&gt;"acoes")))*INDEX(Inputs!$K$5:$AJ$120,0,MATCH(K$2,Inputs!$K$4:$AJ$4,0)))+SUMPRODUCT((Inputs!$E$5:$E$120=$B42)*Inputs!$F$5:$F$120*(((Inputs!$G$5:$G$120="moeda")+(Inputs!$G$5:$G$120="acoes"))*Inputs!$B$1+((Inputs!$G$5:$G$120&lt;&gt;"moeda")*(Inputs!$G$5:$G$120&lt;&gt;"acoes")))*INDEX(Inputs!$K$5:$AJ$120,0,MATCH(K$2,Inputs!$K$4:$AJ$4,0)))))</f>
        <v>#N/A</v>
      </c>
      <c r="L42" s="6" t="e">
        <f>IF(ISNA(MATCH(L$2,Inputs!$K$4:$AJ$4,0)),NA(),IF(SUMPRODUCT((Inputs!$A$5:$A$120=$B42)*ISNUMBER(INDEX(Inputs!$K$5:$AJ$120,0,MATCH(L$2,Inputs!$K$4:$AJ$4,0))))+SUMPRODUCT((Inputs!$C$5:$C$120=$B42)*ISNUMBER(INDEX(Inputs!$K$5:$AJ$120,0,MATCH(L$2,Inputs!$K$4:$AJ$4,0))))+SUMPRODUCT((Inputs!$E$5:$E$120=$B42)*ISNUMBER(INDEX(Inputs!$K$5:$AJ$120,0,MATCH(L$2,Inputs!$K$4:$AJ$4,0))))=0,NA(),SUMPRODUCT((Inputs!$A$5:$A$120=$B42)*Inputs!$B$5:$B$120*(((Inputs!$G$5:$G$120="moeda")+(Inputs!$G$5:$G$120="acoes"))*Inputs!$B$1+((Inputs!$G$5:$G$120&lt;&gt;"moeda")*(Inputs!$G$5:$G$120&lt;&gt;"acoes")))*INDEX(Inputs!$K$5:$AJ$120,0,MATCH(L$2,Inputs!$K$4:$AJ$4,0)))+SUMPRODUCT((Inputs!$C$5:$C$120=$B42)*Inputs!$D$5:$D$120*(((Inputs!$G$5:$G$120="moeda")+(Inputs!$G$5:$G$120="acoes"))*Inputs!$B$1+((Inputs!$G$5:$G$120&lt;&gt;"moeda")*(Inputs!$G$5:$G$120&lt;&gt;"acoes")))*INDEX(Inputs!$K$5:$AJ$120,0,MATCH(L$2,Inputs!$K$4:$AJ$4,0)))+SUMPRODUCT((Inputs!$E$5:$E$120=$B42)*Inputs!$F$5:$F$120*(((Inputs!$G$5:$G$120="moeda")+(Inputs!$G$5:$G$120="acoes"))*Inputs!$B$1+((Inputs!$G$5:$G$120&lt;&gt;"moeda")*(Inputs!$G$5:$G$120&lt;&gt;"acoes")))*INDEX(Inputs!$K$5:$AJ$120,0,MATCH(L$2,Inputs!$K$4:$AJ$4,0)))))</f>
        <v>#N/A</v>
      </c>
      <c r="M42" s="3" t="e">
        <f>L42</f>
        <v>#N/A</v>
      </c>
      <c r="N42" s="6" t="e">
        <f>IF(ISNA(MATCH(N$2,Inputs!$K$4:$AJ$4,0)),NA(),IF(SUMPRODUCT((Inputs!$A$5:$A$120=$B42)*ISNUMBER(INDEX(Inputs!$K$5:$AJ$120,0,MATCH(N$2,Inputs!$K$4:$AJ$4,0))))+SUMPRODUCT((Inputs!$C$5:$C$120=$B42)*ISNUMBER(INDEX(Inputs!$K$5:$AJ$120,0,MATCH(N$2,Inputs!$K$4:$AJ$4,0))))+SUMPRODUCT((Inputs!$E$5:$E$120=$B42)*ISNUMBER(INDEX(Inputs!$K$5:$AJ$120,0,MATCH(N$2,Inputs!$K$4:$AJ$4,0))))=0,NA(),SUMPRODUCT((Inputs!$A$5:$A$120=$B42)*Inputs!$B$5:$B$120*(((Inputs!$G$5:$G$120="moeda")+(Inputs!$G$5:$G$120="acoes"))*Inputs!$B$1+((Inputs!$G$5:$G$120&lt;&gt;"moeda")*(Inputs!$G$5:$G$120&lt;&gt;"acoes")))*INDEX(Inputs!$K$5:$AJ$120,0,MATCH(N$2,Inputs!$K$4:$AJ$4,0)))+SUMPRODUCT((Inputs!$C$5:$C$120=$B42)*Inputs!$D$5:$D$120*(((Inputs!$G$5:$G$120="moeda")+(Inputs!$G$5:$G$120="acoes"))*Inputs!$B$1+((Inputs!$G$5:$G$120&lt;&gt;"moeda")*(Inputs!$G$5:$G$120&lt;&gt;"acoes")))*INDEX(Inputs!$K$5:$AJ$120,0,MATCH(N$2,Inputs!$K$4:$AJ$4,0)))+SUMPRODUCT((Inputs!$E$5:$E$120=$B42)*Inputs!$F$5:$F$120*(((Inputs!$G$5:$G$120="moeda")+(Inputs!$G$5:$G$120="acoes"))*Inputs!$B$1+((Inputs!$G$5:$G$120&lt;&gt;"moeda")*(Inputs!$G$5:$G$120&lt;&gt;"acoes")))*INDEX(Inputs!$K$5:$AJ$120,0,MATCH(N$2,Inputs!$K$4:$AJ$4,0)))))</f>
        <v>#N/A</v>
      </c>
      <c r="O42" s="6" t="e">
        <f>IF(ISNA(MATCH(O$2,Inputs!$K$4:$AJ$4,0)),NA(),IF(SUMPRODUCT((Inputs!$A$5:$A$120=$B42)*ISNUMBER(INDEX(Inputs!$K$5:$AJ$120,0,MATCH(O$2,Inputs!$K$4:$AJ$4,0))))+SUMPRODUCT((Inputs!$C$5:$C$120=$B42)*ISNUMBER(INDEX(Inputs!$K$5:$AJ$120,0,MATCH(O$2,Inputs!$K$4:$AJ$4,0))))+SUMPRODUCT((Inputs!$E$5:$E$120=$B42)*ISNUMBER(INDEX(Inputs!$K$5:$AJ$120,0,MATCH(O$2,Inputs!$K$4:$AJ$4,0))))=0,NA(),SUMPRODUCT((Inputs!$A$5:$A$120=$B42)*Inputs!$B$5:$B$120*(((Inputs!$G$5:$G$120="moeda")+(Inputs!$G$5:$G$120="acoes"))*Inputs!$B$1+((Inputs!$G$5:$G$120&lt;&gt;"moeda")*(Inputs!$G$5:$G$120&lt;&gt;"acoes")))*INDEX(Inputs!$K$5:$AJ$120,0,MATCH(O$2,Inputs!$K$4:$AJ$4,0)))+SUMPRODUCT((Inputs!$C$5:$C$120=$B42)*Inputs!$D$5:$D$120*(((Inputs!$G$5:$G$120="moeda")+(Inputs!$G$5:$G$120="acoes"))*Inputs!$B$1+((Inputs!$G$5:$G$120&lt;&gt;"moeda")*(Inputs!$G$5:$G$120&lt;&gt;"acoes")))*INDEX(Inputs!$K$5:$AJ$120,0,MATCH(O$2,Inputs!$K$4:$AJ$4,0)))+SUMPRODUCT((Inputs!$E$5:$E$120=$B42)*Inputs!$F$5:$F$120*(((Inputs!$G$5:$G$120="moeda")+(Inputs!$G$5:$G$120="acoes"))*Inputs!$B$1+((Inputs!$G$5:$G$120&lt;&gt;"moeda")*(Inputs!$G$5:$G$120&lt;&gt;"acoes")))*INDEX(Inputs!$K$5:$AJ$120,0,MATCH(O$2,Inputs!$K$4:$AJ$4,0)))))</f>
        <v>#N/A</v>
      </c>
      <c r="P42" s="6" t="e">
        <f>IF(ISNA(MATCH(P$2,Inputs!$K$4:$AJ$4,0)),NA(),IF(SUMPRODUCT((Inputs!$A$5:$A$120=$B42)*ISNUMBER(INDEX(Inputs!$K$5:$AJ$120,0,MATCH(P$2,Inputs!$K$4:$AJ$4,0))))+SUMPRODUCT((Inputs!$C$5:$C$120=$B42)*ISNUMBER(INDEX(Inputs!$K$5:$AJ$120,0,MATCH(P$2,Inputs!$K$4:$AJ$4,0))))+SUMPRODUCT((Inputs!$E$5:$E$120=$B42)*ISNUMBER(INDEX(Inputs!$K$5:$AJ$120,0,MATCH(P$2,Inputs!$K$4:$AJ$4,0))))=0,NA(),SUMPRODUCT((Inputs!$A$5:$A$120=$B42)*Inputs!$B$5:$B$120*(((Inputs!$G$5:$G$120="moeda")+(Inputs!$G$5:$G$120="acoes"))*Inputs!$B$1+((Inputs!$G$5:$G$120&lt;&gt;"moeda")*(Inputs!$G$5:$G$120&lt;&gt;"acoes")))*INDEX(Inputs!$K$5:$AJ$120,0,MATCH(P$2,Inputs!$K$4:$AJ$4,0)))+SUMPRODUCT((Inputs!$C$5:$C$120=$B42)*Inputs!$D$5:$D$120*(((Inputs!$G$5:$G$120="moeda")+(Inputs!$G$5:$G$120="acoes"))*Inputs!$B$1+((Inputs!$G$5:$G$120&lt;&gt;"moeda")*(Inputs!$G$5:$G$120&lt;&gt;"acoes")))*INDEX(Inputs!$K$5:$AJ$120,0,MATCH(P$2,Inputs!$K$4:$AJ$4,0)))+SUMPRODUCT((Inputs!$E$5:$E$120=$B42)*Inputs!$F$5:$F$120*(((Inputs!$G$5:$G$120="moeda")+(Inputs!$G$5:$G$120="acoes"))*Inputs!$B$1+((Inputs!$G$5:$G$120&lt;&gt;"moeda")*(Inputs!$G$5:$G$120&lt;&gt;"acoes")))*INDEX(Inputs!$K$5:$AJ$120,0,MATCH(P$2,Inputs!$K$4:$AJ$4,0)))))</f>
        <v>#N/A</v>
      </c>
      <c r="Q42" s="6" t="e">
        <f>IF(ISNA(MATCH(Q$2,Inputs!$K$4:$AJ$4,0)),NA(),IF(SUMPRODUCT((Inputs!$A$5:$A$120=$B42)*ISNUMBER(INDEX(Inputs!$K$5:$AJ$120,0,MATCH(Q$2,Inputs!$K$4:$AJ$4,0))))+SUMPRODUCT((Inputs!$C$5:$C$120=$B42)*ISNUMBER(INDEX(Inputs!$K$5:$AJ$120,0,MATCH(Q$2,Inputs!$K$4:$AJ$4,0))))+SUMPRODUCT((Inputs!$E$5:$E$120=$B42)*ISNUMBER(INDEX(Inputs!$K$5:$AJ$120,0,MATCH(Q$2,Inputs!$K$4:$AJ$4,0))))=0,NA(),SUMPRODUCT((Inputs!$A$5:$A$120=$B42)*Inputs!$B$5:$B$120*(((Inputs!$G$5:$G$120="moeda")+(Inputs!$G$5:$G$120="acoes"))*Inputs!$B$1+((Inputs!$G$5:$G$120&lt;&gt;"moeda")*(Inputs!$G$5:$G$120&lt;&gt;"acoes")))*INDEX(Inputs!$K$5:$AJ$120,0,MATCH(Q$2,Inputs!$K$4:$AJ$4,0)))+SUMPRODUCT((Inputs!$C$5:$C$120=$B42)*Inputs!$D$5:$D$120*(((Inputs!$G$5:$G$120="moeda")+(Inputs!$G$5:$G$120="acoes"))*Inputs!$B$1+((Inputs!$G$5:$G$120&lt;&gt;"moeda")*(Inputs!$G$5:$G$120&lt;&gt;"acoes")))*INDEX(Inputs!$K$5:$AJ$120,0,MATCH(Q$2,Inputs!$K$4:$AJ$4,0)))+SUMPRODUCT((Inputs!$E$5:$E$120=$B42)*Inputs!$F$5:$F$120*(((Inputs!$G$5:$G$120="moeda")+(Inputs!$G$5:$G$120="acoes"))*Inputs!$B$1+((Inputs!$G$5:$G$120&lt;&gt;"moeda")*(Inputs!$G$5:$G$120&lt;&gt;"acoes")))*INDEX(Inputs!$K$5:$AJ$120,0,MATCH(Q$2,Inputs!$K$4:$AJ$4,0)))))</f>
        <v>#N/A</v>
      </c>
      <c r="R42" s="3" t="e">
        <f>Q42</f>
        <v>#N/A</v>
      </c>
      <c r="S42" s="6" t="e">
        <f>IF(ISNA(MATCH(S$2,Inputs!$K$4:$AJ$4,0)),NA(),IF(SUMPRODUCT((Inputs!$A$5:$A$120=$B42)*ISNUMBER(INDEX(Inputs!$K$5:$AJ$120,0,MATCH(S$2,Inputs!$K$4:$AJ$4,0))))+SUMPRODUCT((Inputs!$C$5:$C$120=$B42)*ISNUMBER(INDEX(Inputs!$K$5:$AJ$120,0,MATCH(S$2,Inputs!$K$4:$AJ$4,0))))+SUMPRODUCT((Inputs!$E$5:$E$120=$B42)*ISNUMBER(INDEX(Inputs!$K$5:$AJ$120,0,MATCH(S$2,Inputs!$K$4:$AJ$4,0))))=0,NA(),SUMPRODUCT((Inputs!$A$5:$A$120=$B42)*Inputs!$B$5:$B$120*(((Inputs!$G$5:$G$120="moeda")+(Inputs!$G$5:$G$120="acoes"))*Inputs!$B$1+((Inputs!$G$5:$G$120&lt;&gt;"moeda")*(Inputs!$G$5:$G$120&lt;&gt;"acoes")))*INDEX(Inputs!$K$5:$AJ$120,0,MATCH(S$2,Inputs!$K$4:$AJ$4,0)))+SUMPRODUCT((Inputs!$C$5:$C$120=$B42)*Inputs!$D$5:$D$120*(((Inputs!$G$5:$G$120="moeda")+(Inputs!$G$5:$G$120="acoes"))*Inputs!$B$1+((Inputs!$G$5:$G$120&lt;&gt;"moeda")*(Inputs!$G$5:$G$120&lt;&gt;"acoes")))*INDEX(Inputs!$K$5:$AJ$120,0,MATCH(S$2,Inputs!$K$4:$AJ$4,0)))+SUMPRODUCT((Inputs!$E$5:$E$120=$B42)*Inputs!$F$5:$F$120*(((Inputs!$G$5:$G$120="moeda")+(Inputs!$G$5:$G$120="acoes"))*Inputs!$B$1+((Inputs!$G$5:$G$120&lt;&gt;"moeda")*(Inputs!$G$5:$G$120&lt;&gt;"acoes")))*INDEX(Inputs!$K$5:$AJ$120,0,MATCH(S$2,Inputs!$K$4:$AJ$4,0)))))</f>
        <v>#N/A</v>
      </c>
      <c r="T42" s="6" t="e">
        <f>IF(ISNA(MATCH(T$2,Inputs!$K$4:$AJ$4,0)),NA(),IF(SUMPRODUCT((Inputs!$A$5:$A$120=$B42)*ISNUMBER(INDEX(Inputs!$K$5:$AJ$120,0,MATCH(T$2,Inputs!$K$4:$AJ$4,0))))+SUMPRODUCT((Inputs!$C$5:$C$120=$B42)*ISNUMBER(INDEX(Inputs!$K$5:$AJ$120,0,MATCH(T$2,Inputs!$K$4:$AJ$4,0))))+SUMPRODUCT((Inputs!$E$5:$E$120=$B42)*ISNUMBER(INDEX(Inputs!$K$5:$AJ$120,0,MATCH(T$2,Inputs!$K$4:$AJ$4,0))))=0,NA(),SUMPRODUCT((Inputs!$A$5:$A$120=$B42)*Inputs!$B$5:$B$120*(((Inputs!$G$5:$G$120="moeda")+(Inputs!$G$5:$G$120="acoes"))*Inputs!$B$1+((Inputs!$G$5:$G$120&lt;&gt;"moeda")*(Inputs!$G$5:$G$120&lt;&gt;"acoes")))*INDEX(Inputs!$K$5:$AJ$120,0,MATCH(T$2,Inputs!$K$4:$AJ$4,0)))+SUMPRODUCT((Inputs!$C$5:$C$120=$B42)*Inputs!$D$5:$D$120*(((Inputs!$G$5:$G$120="moeda")+(Inputs!$G$5:$G$120="acoes"))*Inputs!$B$1+((Inputs!$G$5:$G$120&lt;&gt;"moeda")*(Inputs!$G$5:$G$120&lt;&gt;"acoes")))*INDEX(Inputs!$K$5:$AJ$120,0,MATCH(T$2,Inputs!$K$4:$AJ$4,0)))+SUMPRODUCT((Inputs!$E$5:$E$120=$B42)*Inputs!$F$5:$F$120*(((Inputs!$G$5:$G$120="moeda")+(Inputs!$G$5:$G$120="acoes"))*Inputs!$B$1+((Inputs!$G$5:$G$120&lt;&gt;"moeda")*(Inputs!$G$5:$G$120&lt;&gt;"acoes")))*INDEX(Inputs!$K$5:$AJ$120,0,MATCH(T$2,Inputs!$K$4:$AJ$4,0)))))</f>
        <v>#N/A</v>
      </c>
      <c r="U42" s="6" t="e">
        <f>IF(ISNA(MATCH(U$2,Inputs!$K$4:$AJ$4,0)),NA(),IF(SUMPRODUCT((Inputs!$A$5:$A$120=$B42)*ISNUMBER(INDEX(Inputs!$K$5:$AJ$120,0,MATCH(U$2,Inputs!$K$4:$AJ$4,0))))+SUMPRODUCT((Inputs!$C$5:$C$120=$B42)*ISNUMBER(INDEX(Inputs!$K$5:$AJ$120,0,MATCH(U$2,Inputs!$K$4:$AJ$4,0))))+SUMPRODUCT((Inputs!$E$5:$E$120=$B42)*ISNUMBER(INDEX(Inputs!$K$5:$AJ$120,0,MATCH(U$2,Inputs!$K$4:$AJ$4,0))))=0,NA(),SUMPRODUCT((Inputs!$A$5:$A$120=$B42)*Inputs!$B$5:$B$120*(((Inputs!$G$5:$G$120="moeda")+(Inputs!$G$5:$G$120="acoes"))*Inputs!$B$1+((Inputs!$G$5:$G$120&lt;&gt;"moeda")*(Inputs!$G$5:$G$120&lt;&gt;"acoes")))*INDEX(Inputs!$K$5:$AJ$120,0,MATCH(U$2,Inputs!$K$4:$AJ$4,0)))+SUMPRODUCT((Inputs!$C$5:$C$120=$B42)*Inputs!$D$5:$D$120*(((Inputs!$G$5:$G$120="moeda")+(Inputs!$G$5:$G$120="acoes"))*Inputs!$B$1+((Inputs!$G$5:$G$120&lt;&gt;"moeda")*(Inputs!$G$5:$G$120&lt;&gt;"acoes")))*INDEX(Inputs!$K$5:$AJ$120,0,MATCH(U$2,Inputs!$K$4:$AJ$4,0)))+SUMPRODUCT((Inputs!$E$5:$E$120=$B42)*Inputs!$F$5:$F$120*(((Inputs!$G$5:$G$120="moeda")+(Inputs!$G$5:$G$120="acoes"))*Inputs!$B$1+((Inputs!$G$5:$G$120&lt;&gt;"moeda")*(Inputs!$G$5:$G$120&lt;&gt;"acoes")))*INDEX(Inputs!$K$5:$AJ$120,0,MATCH(U$2,Inputs!$K$4:$AJ$4,0)))))</f>
        <v>#N/A</v>
      </c>
      <c r="V42" s="6" t="e">
        <f>IF(ISNA(MATCH(V$2,Inputs!$K$4:$AJ$4,0)),NA(),IF(SUMPRODUCT((Inputs!$A$5:$A$120=$B42)*ISNUMBER(INDEX(Inputs!$K$5:$AJ$120,0,MATCH(V$2,Inputs!$K$4:$AJ$4,0))))+SUMPRODUCT((Inputs!$C$5:$C$120=$B42)*ISNUMBER(INDEX(Inputs!$K$5:$AJ$120,0,MATCH(V$2,Inputs!$K$4:$AJ$4,0))))+SUMPRODUCT((Inputs!$E$5:$E$120=$B42)*ISNUMBER(INDEX(Inputs!$K$5:$AJ$120,0,MATCH(V$2,Inputs!$K$4:$AJ$4,0))))=0,NA(),SUMPRODUCT((Inputs!$A$5:$A$120=$B42)*Inputs!$B$5:$B$120*(((Inputs!$G$5:$G$120="moeda")+(Inputs!$G$5:$G$120="acoes"))*Inputs!$B$1+((Inputs!$G$5:$G$120&lt;&gt;"moeda")*(Inputs!$G$5:$G$120&lt;&gt;"acoes")))*INDEX(Inputs!$K$5:$AJ$120,0,MATCH(V$2,Inputs!$K$4:$AJ$4,0)))+SUMPRODUCT((Inputs!$C$5:$C$120=$B42)*Inputs!$D$5:$D$120*(((Inputs!$G$5:$G$120="moeda")+(Inputs!$G$5:$G$120="acoes"))*Inputs!$B$1+((Inputs!$G$5:$G$120&lt;&gt;"moeda")*(Inputs!$G$5:$G$120&lt;&gt;"acoes")))*INDEX(Inputs!$K$5:$AJ$120,0,MATCH(V$2,Inputs!$K$4:$AJ$4,0)))+SUMPRODUCT((Inputs!$E$5:$E$120=$B42)*Inputs!$F$5:$F$120*(((Inputs!$G$5:$G$120="moeda")+(Inputs!$G$5:$G$120="acoes"))*Inputs!$B$1+((Inputs!$G$5:$G$120&lt;&gt;"moeda")*(Inputs!$G$5:$G$120&lt;&gt;"acoes")))*INDEX(Inputs!$K$5:$AJ$120,0,MATCH(V$2,Inputs!$K$4:$AJ$4,0)))))</f>
        <v>#N/A</v>
      </c>
      <c r="W42" s="3" t="e">
        <f>V42</f>
        <v>#N/A</v>
      </c>
      <c r="X42" s="6" t="e">
        <f>IF(ISNA(MATCH(X$2,Inputs!$K$4:$AJ$4,0)),NA(),IF(SUMPRODUCT((Inputs!$A$5:$A$120=$B42)*ISNUMBER(INDEX(Inputs!$K$5:$AJ$120,0,MATCH(X$2,Inputs!$K$4:$AJ$4,0))))+SUMPRODUCT((Inputs!$C$5:$C$120=$B42)*ISNUMBER(INDEX(Inputs!$K$5:$AJ$120,0,MATCH(X$2,Inputs!$K$4:$AJ$4,0))))+SUMPRODUCT((Inputs!$E$5:$E$120=$B42)*ISNUMBER(INDEX(Inputs!$K$5:$AJ$120,0,MATCH(X$2,Inputs!$K$4:$AJ$4,0))))=0,NA(),SUMPRODUCT((Inputs!$A$5:$A$120=$B42)*Inputs!$B$5:$B$120*(((Inputs!$G$5:$G$120="moeda")+(Inputs!$G$5:$G$120="acoes"))*Inputs!$B$1+((Inputs!$G$5:$G$120&lt;&gt;"moeda")*(Inputs!$G$5:$G$120&lt;&gt;"acoes")))*INDEX(Inputs!$K$5:$AJ$120,0,MATCH(X$2,Inputs!$K$4:$AJ$4,0)))+SUMPRODUCT((Inputs!$C$5:$C$120=$B42)*Inputs!$D$5:$D$120*(((Inputs!$G$5:$G$120="moeda")+(Inputs!$G$5:$G$120="acoes"))*Inputs!$B$1+((Inputs!$G$5:$G$120&lt;&gt;"moeda")*(Inputs!$G$5:$G$120&lt;&gt;"acoes")))*INDEX(Inputs!$K$5:$AJ$120,0,MATCH(X$2,Inputs!$K$4:$AJ$4,0)))+SUMPRODUCT((Inputs!$E$5:$E$120=$B42)*Inputs!$F$5:$F$120*(((Inputs!$G$5:$G$120="moeda")+(Inputs!$G$5:$G$120="acoes"))*Inputs!$B$1+((Inputs!$G$5:$G$120&lt;&gt;"moeda")*(Inputs!$G$5:$G$120&lt;&gt;"acoes")))*INDEX(Inputs!$K$5:$AJ$120,0,MATCH(X$2,Inputs!$K$4:$AJ$4,0)))))</f>
        <v>#N/A</v>
      </c>
      <c r="Y42" s="6" t="e">
        <f>IF(ISNA(MATCH(Y$2,Inputs!$K$4:$AJ$4,0)),NA(),IF(SUMPRODUCT((Inputs!$A$5:$A$120=$B42)*ISNUMBER(INDEX(Inputs!$K$5:$AJ$120,0,MATCH(Y$2,Inputs!$K$4:$AJ$4,0))))+SUMPRODUCT((Inputs!$C$5:$C$120=$B42)*ISNUMBER(INDEX(Inputs!$K$5:$AJ$120,0,MATCH(Y$2,Inputs!$K$4:$AJ$4,0))))+SUMPRODUCT((Inputs!$E$5:$E$120=$B42)*ISNUMBER(INDEX(Inputs!$K$5:$AJ$120,0,MATCH(Y$2,Inputs!$K$4:$AJ$4,0))))=0,NA(),SUMPRODUCT((Inputs!$A$5:$A$120=$B42)*Inputs!$B$5:$B$120*(((Inputs!$G$5:$G$120="moeda")+(Inputs!$G$5:$G$120="acoes"))*Inputs!$B$1+((Inputs!$G$5:$G$120&lt;&gt;"moeda")*(Inputs!$G$5:$G$120&lt;&gt;"acoes")))*INDEX(Inputs!$K$5:$AJ$120,0,MATCH(Y$2,Inputs!$K$4:$AJ$4,0)))+SUMPRODUCT((Inputs!$C$5:$C$120=$B42)*Inputs!$D$5:$D$120*(((Inputs!$G$5:$G$120="moeda")+(Inputs!$G$5:$G$120="acoes"))*Inputs!$B$1+((Inputs!$G$5:$G$120&lt;&gt;"moeda")*(Inputs!$G$5:$G$120&lt;&gt;"acoes")))*INDEX(Inputs!$K$5:$AJ$120,0,MATCH(Y$2,Inputs!$K$4:$AJ$4,0)))+SUMPRODUCT((Inputs!$E$5:$E$120=$B42)*Inputs!$F$5:$F$120*(((Inputs!$G$5:$G$120="moeda")+(Inputs!$G$5:$G$120="acoes"))*Inputs!$B$1+((Inputs!$G$5:$G$120&lt;&gt;"moeda")*(Inputs!$G$5:$G$120&lt;&gt;"acoes")))*INDEX(Inputs!$K$5:$AJ$120,0,MATCH(Y$2,Inputs!$K$4:$AJ$4,0)))))</f>
        <v>#N/A</v>
      </c>
      <c r="Z42" s="6" t="e">
        <f>IF(ISNA(MATCH(Z$2,Inputs!$K$4:$AJ$4,0)),NA(),IF(SUMPRODUCT((Inputs!$A$5:$A$120=$B42)*ISNUMBER(INDEX(Inputs!$K$5:$AJ$120,0,MATCH(Z$2,Inputs!$K$4:$AJ$4,0))))+SUMPRODUCT((Inputs!$C$5:$C$120=$B42)*ISNUMBER(INDEX(Inputs!$K$5:$AJ$120,0,MATCH(Z$2,Inputs!$K$4:$AJ$4,0))))+SUMPRODUCT((Inputs!$E$5:$E$120=$B42)*ISNUMBER(INDEX(Inputs!$K$5:$AJ$120,0,MATCH(Z$2,Inputs!$K$4:$AJ$4,0))))=0,NA(),SUMPRODUCT((Inputs!$A$5:$A$120=$B42)*Inputs!$B$5:$B$120*(((Inputs!$G$5:$G$120="moeda")+(Inputs!$G$5:$G$120="acoes"))*Inputs!$B$1+((Inputs!$G$5:$G$120&lt;&gt;"moeda")*(Inputs!$G$5:$G$120&lt;&gt;"acoes")))*INDEX(Inputs!$K$5:$AJ$120,0,MATCH(Z$2,Inputs!$K$4:$AJ$4,0)))+SUMPRODUCT((Inputs!$C$5:$C$120=$B42)*Inputs!$D$5:$D$120*(((Inputs!$G$5:$G$120="moeda")+(Inputs!$G$5:$G$120="acoes"))*Inputs!$B$1+((Inputs!$G$5:$G$120&lt;&gt;"moeda")*(Inputs!$G$5:$G$120&lt;&gt;"acoes")))*INDEX(Inputs!$K$5:$AJ$120,0,MATCH(Z$2,Inputs!$K$4:$AJ$4,0)))+SUMPRODUCT((Inputs!$E$5:$E$120=$B42)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42" s="6" t="e">
        <f>IF(ISNA(MATCH(AA$2,Inputs!$K$4:$AJ$4,0)),NA(),IF(SUMPRODUCT((Inputs!$A$5:$A$120=$B42)*ISNUMBER(INDEX(Inputs!$K$5:$AJ$120,0,MATCH(AA$2,Inputs!$K$4:$AJ$4,0))))+SUMPRODUCT((Inputs!$C$5:$C$120=$B42)*ISNUMBER(INDEX(Inputs!$K$5:$AJ$120,0,MATCH(AA$2,Inputs!$K$4:$AJ$4,0))))+SUMPRODUCT((Inputs!$E$5:$E$120=$B42)*ISNUMBER(INDEX(Inputs!$K$5:$AJ$120,0,MATCH(AA$2,Inputs!$K$4:$AJ$4,0))))=0,NA(),SUMPRODUCT((Inputs!$A$5:$A$120=$B42)*Inputs!$B$5:$B$120*(((Inputs!$G$5:$G$120="moeda")+(Inputs!$G$5:$G$120="acoes"))*Inputs!$B$1+((Inputs!$G$5:$G$120&lt;&gt;"moeda")*(Inputs!$G$5:$G$120&lt;&gt;"acoes")))*INDEX(Inputs!$K$5:$AJ$120,0,MATCH(AA$2,Inputs!$K$4:$AJ$4,0)))+SUMPRODUCT((Inputs!$C$5:$C$120=$B42)*Inputs!$D$5:$D$120*(((Inputs!$G$5:$G$120="moeda")+(Inputs!$G$5:$G$120="acoes"))*Inputs!$B$1+((Inputs!$G$5:$G$120&lt;&gt;"moeda")*(Inputs!$G$5:$G$120&lt;&gt;"acoes")))*INDEX(Inputs!$K$5:$AJ$120,0,MATCH(AA$2,Inputs!$K$4:$AJ$4,0)))+SUMPRODUCT((Inputs!$E$5:$E$120=$B42)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42" s="3" t="e">
        <f>AA42</f>
        <v>#N/A</v>
      </c>
      <c r="AC42" s="6" t="e">
        <f>IF(ISNA(MATCH(AC$2,Inputs!$K$4:$AJ$4,0)),NA(),IF(SUMPRODUCT((Inputs!$A$5:$A$120=$B42)*ISNUMBER(INDEX(Inputs!$K$5:$AJ$120,0,MATCH(AC$2,Inputs!$K$4:$AJ$4,0))))+SUMPRODUCT((Inputs!$C$5:$C$120=$B42)*ISNUMBER(INDEX(Inputs!$K$5:$AJ$120,0,MATCH(AC$2,Inputs!$K$4:$AJ$4,0))))+SUMPRODUCT((Inputs!$E$5:$E$120=$B42)*ISNUMBER(INDEX(Inputs!$K$5:$AJ$120,0,MATCH(AC$2,Inputs!$K$4:$AJ$4,0))))=0,NA(),SUMPRODUCT((Inputs!$A$5:$A$120=$B42)*Inputs!$B$5:$B$120*(((Inputs!$G$5:$G$120="moeda")+(Inputs!$G$5:$G$120="acoes"))*Inputs!$B$1+((Inputs!$G$5:$G$120&lt;&gt;"moeda")*(Inputs!$G$5:$G$120&lt;&gt;"acoes")))*INDEX(Inputs!$K$5:$AJ$120,0,MATCH(AC$2,Inputs!$K$4:$AJ$4,0)))+SUMPRODUCT((Inputs!$C$5:$C$120=$B42)*Inputs!$D$5:$D$120*(((Inputs!$G$5:$G$120="moeda")+(Inputs!$G$5:$G$120="acoes"))*Inputs!$B$1+((Inputs!$G$5:$G$120&lt;&gt;"moeda")*(Inputs!$G$5:$G$120&lt;&gt;"acoes")))*INDEX(Inputs!$K$5:$AJ$120,0,MATCH(AC$2,Inputs!$K$4:$AJ$4,0)))+SUMPRODUCT((Inputs!$E$5:$E$120=$B42)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42" s="6" t="e">
        <f>IF(ISNA(MATCH(AD$2,Inputs!$K$4:$AJ$4,0)),NA(),IF(SUMPRODUCT((Inputs!$A$5:$A$120=$B42)*ISNUMBER(INDEX(Inputs!$K$5:$AJ$120,0,MATCH(AD$2,Inputs!$K$4:$AJ$4,0))))+SUMPRODUCT((Inputs!$C$5:$C$120=$B42)*ISNUMBER(INDEX(Inputs!$K$5:$AJ$120,0,MATCH(AD$2,Inputs!$K$4:$AJ$4,0))))+SUMPRODUCT((Inputs!$E$5:$E$120=$B42)*ISNUMBER(INDEX(Inputs!$K$5:$AJ$120,0,MATCH(AD$2,Inputs!$K$4:$AJ$4,0))))=0,NA(),SUMPRODUCT((Inputs!$A$5:$A$120=$B42)*Inputs!$B$5:$B$120*(((Inputs!$G$5:$G$120="moeda")+(Inputs!$G$5:$G$120="acoes"))*Inputs!$B$1+((Inputs!$G$5:$G$120&lt;&gt;"moeda")*(Inputs!$G$5:$G$120&lt;&gt;"acoes")))*INDEX(Inputs!$K$5:$AJ$120,0,MATCH(AD$2,Inputs!$K$4:$AJ$4,0)))+SUMPRODUCT((Inputs!$C$5:$C$120=$B42)*Inputs!$D$5:$D$120*(((Inputs!$G$5:$G$120="moeda")+(Inputs!$G$5:$G$120="acoes"))*Inputs!$B$1+((Inputs!$G$5:$G$120&lt;&gt;"moeda")*(Inputs!$G$5:$G$120&lt;&gt;"acoes")))*INDEX(Inputs!$K$5:$AJ$120,0,MATCH(AD$2,Inputs!$K$4:$AJ$4,0)))+SUMPRODUCT((Inputs!$E$5:$E$120=$B42)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42" s="6" t="e">
        <f>IF(ISNA(MATCH(AE$2,Inputs!$K$4:$AJ$4,0)),NA(),IF(SUMPRODUCT((Inputs!$A$5:$A$120=$B42)*ISNUMBER(INDEX(Inputs!$K$5:$AJ$120,0,MATCH(AE$2,Inputs!$K$4:$AJ$4,0))))+SUMPRODUCT((Inputs!$C$5:$C$120=$B42)*ISNUMBER(INDEX(Inputs!$K$5:$AJ$120,0,MATCH(AE$2,Inputs!$K$4:$AJ$4,0))))+SUMPRODUCT((Inputs!$E$5:$E$120=$B42)*ISNUMBER(INDEX(Inputs!$K$5:$AJ$120,0,MATCH(AE$2,Inputs!$K$4:$AJ$4,0))))=0,NA(),SUMPRODUCT((Inputs!$A$5:$A$120=$B42)*Inputs!$B$5:$B$120*(((Inputs!$G$5:$G$120="moeda")+(Inputs!$G$5:$G$120="acoes"))*Inputs!$B$1+((Inputs!$G$5:$G$120&lt;&gt;"moeda")*(Inputs!$G$5:$G$120&lt;&gt;"acoes")))*INDEX(Inputs!$K$5:$AJ$120,0,MATCH(AE$2,Inputs!$K$4:$AJ$4,0)))+SUMPRODUCT((Inputs!$C$5:$C$120=$B42)*Inputs!$D$5:$D$120*(((Inputs!$G$5:$G$120="moeda")+(Inputs!$G$5:$G$120="acoes"))*Inputs!$B$1+((Inputs!$G$5:$G$120&lt;&gt;"moeda")*(Inputs!$G$5:$G$120&lt;&gt;"acoes")))*INDEX(Inputs!$K$5:$AJ$120,0,MATCH(AE$2,Inputs!$K$4:$AJ$4,0)))+SUMPRODUCT((Inputs!$E$5:$E$120=$B42)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2" s="6" t="e">
        <f>IF(ISNA(MATCH(AF$2,Inputs!$K$4:$AJ$4,0)),NA(),IF(SUMPRODUCT((Inputs!$A$5:$A$120=$B42)*ISNUMBER(INDEX(Inputs!$K$5:$AJ$120,0,MATCH(AF$2,Inputs!$K$4:$AJ$4,0))))+SUMPRODUCT((Inputs!$C$5:$C$120=$B42)*ISNUMBER(INDEX(Inputs!$K$5:$AJ$120,0,MATCH(AF$2,Inputs!$K$4:$AJ$4,0))))+SUMPRODUCT((Inputs!$E$5:$E$120=$B42)*ISNUMBER(INDEX(Inputs!$K$5:$AJ$120,0,MATCH(AF$2,Inputs!$K$4:$AJ$4,0))))=0,NA(),SUMPRODUCT((Inputs!$A$5:$A$120=$B42)*Inputs!$B$5:$B$120*(((Inputs!$G$5:$G$120="moeda")+(Inputs!$G$5:$G$120="acoes"))*Inputs!$B$1+((Inputs!$G$5:$G$120&lt;&gt;"moeda")*(Inputs!$G$5:$G$120&lt;&gt;"acoes")))*INDEX(Inputs!$K$5:$AJ$120,0,MATCH(AF$2,Inputs!$K$4:$AJ$4,0)))+SUMPRODUCT((Inputs!$C$5:$C$120=$B42)*Inputs!$D$5:$D$120*(((Inputs!$G$5:$G$120="moeda")+(Inputs!$G$5:$G$120="acoes"))*Inputs!$B$1+((Inputs!$G$5:$G$120&lt;&gt;"moeda")*(Inputs!$G$5:$G$120&lt;&gt;"acoes")))*INDEX(Inputs!$K$5:$AJ$120,0,MATCH(AF$2,Inputs!$K$4:$AJ$4,0)))+SUMPRODUCT((Inputs!$E$5:$E$120=$B42)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2" s="3" t="e">
        <f>AF42</f>
        <v>#N/A</v>
      </c>
      <c r="AH42" s="6" t="e">
        <f>IF(ISNA(MATCH(AH$2,Inputs!$K$4:$AJ$4,0)),NA(),IF(SUMPRODUCT((Inputs!$A$5:$A$120=$B42)*ISNUMBER(INDEX(Inputs!$K$5:$AJ$120,0,MATCH(AH$2,Inputs!$K$4:$AJ$4,0))))+SUMPRODUCT((Inputs!$C$5:$C$120=$B42)*ISNUMBER(INDEX(Inputs!$K$5:$AJ$120,0,MATCH(AH$2,Inputs!$K$4:$AJ$4,0))))+SUMPRODUCT((Inputs!$E$5:$E$120=$B42)*ISNUMBER(INDEX(Inputs!$K$5:$AJ$120,0,MATCH(AH$2,Inputs!$K$4:$AJ$4,0))))=0,NA(),SUMPRODUCT((Inputs!$A$5:$A$120=$B42)*Inputs!$B$5:$B$120*(((Inputs!$G$5:$G$120="moeda")+(Inputs!$G$5:$G$120="acoes"))*Inputs!$B$1+((Inputs!$G$5:$G$120&lt;&gt;"moeda")*(Inputs!$G$5:$G$120&lt;&gt;"acoes")))*INDEX(Inputs!$K$5:$AJ$120,0,MATCH(AH$2,Inputs!$K$4:$AJ$4,0)))+SUMPRODUCT((Inputs!$C$5:$C$120=$B42)*Inputs!$D$5:$D$120*(((Inputs!$G$5:$G$120="moeda")+(Inputs!$G$5:$G$120="acoes"))*Inputs!$B$1+((Inputs!$G$5:$G$120&lt;&gt;"moeda")*(Inputs!$G$5:$G$120&lt;&gt;"acoes")))*INDEX(Inputs!$K$5:$AJ$120,0,MATCH(AH$2,Inputs!$K$4:$AJ$4,0)))+SUMPRODUCT((Inputs!$E$5:$E$120=$B42)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42" s="6" t="e">
        <f>IF(ISNA(MATCH(AI$2,Inputs!$K$4:$AJ$4,0)),NA(),IF(SUMPRODUCT((Inputs!$A$5:$A$120=$B42)*ISNUMBER(INDEX(Inputs!$K$5:$AJ$120,0,MATCH(AI$2,Inputs!$K$4:$AJ$4,0))))+SUMPRODUCT((Inputs!$C$5:$C$120=$B42)*ISNUMBER(INDEX(Inputs!$K$5:$AJ$120,0,MATCH(AI$2,Inputs!$K$4:$AJ$4,0))))+SUMPRODUCT((Inputs!$E$5:$E$120=$B42)*ISNUMBER(INDEX(Inputs!$K$5:$AJ$120,0,MATCH(AI$2,Inputs!$K$4:$AJ$4,0))))=0,NA(),SUMPRODUCT((Inputs!$A$5:$A$120=$B42)*Inputs!$B$5:$B$120*(((Inputs!$G$5:$G$120="moeda")+(Inputs!$G$5:$G$120="acoes"))*Inputs!$B$1+((Inputs!$G$5:$G$120&lt;&gt;"moeda")*(Inputs!$G$5:$G$120&lt;&gt;"acoes")))*INDEX(Inputs!$K$5:$AJ$120,0,MATCH(AI$2,Inputs!$K$4:$AJ$4,0)))+SUMPRODUCT((Inputs!$C$5:$C$120=$B42)*Inputs!$D$5:$D$120*(((Inputs!$G$5:$G$120="moeda")+(Inputs!$G$5:$G$120="acoes"))*Inputs!$B$1+((Inputs!$G$5:$G$120&lt;&gt;"moeda")*(Inputs!$G$5:$G$120&lt;&gt;"acoes")))*INDEX(Inputs!$K$5:$AJ$120,0,MATCH(AI$2,Inputs!$K$4:$AJ$4,0)))+SUMPRODUCT((Inputs!$E$5:$E$120=$B42)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42" s="6" t="e">
        <f>IF(ISNA(MATCH(AJ$2,Inputs!$K$4:$AJ$4,0)),NA(),IF(SUMPRODUCT((Inputs!$A$5:$A$120=$B42)*ISNUMBER(INDEX(Inputs!$K$5:$AJ$120,0,MATCH(AJ$2,Inputs!$K$4:$AJ$4,0))))+SUMPRODUCT((Inputs!$C$5:$C$120=$B42)*ISNUMBER(INDEX(Inputs!$K$5:$AJ$120,0,MATCH(AJ$2,Inputs!$K$4:$AJ$4,0))))+SUMPRODUCT((Inputs!$E$5:$E$120=$B42)*ISNUMBER(INDEX(Inputs!$K$5:$AJ$120,0,MATCH(AJ$2,Inputs!$K$4:$AJ$4,0))))=0,NA(),SUMPRODUCT((Inputs!$A$5:$A$120=$B42)*Inputs!$B$5:$B$120*(((Inputs!$G$5:$G$120="moeda")+(Inputs!$G$5:$G$120="acoes"))*Inputs!$B$1+((Inputs!$G$5:$G$120&lt;&gt;"moeda")*(Inputs!$G$5:$G$120&lt;&gt;"acoes")))*INDEX(Inputs!$K$5:$AJ$120,0,MATCH(AJ$2,Inputs!$K$4:$AJ$4,0)))+SUMPRODUCT((Inputs!$C$5:$C$120=$B42)*Inputs!$D$5:$D$120*(((Inputs!$G$5:$G$120="moeda")+(Inputs!$G$5:$G$120="acoes"))*Inputs!$B$1+((Inputs!$G$5:$G$120&lt;&gt;"moeda")*(Inputs!$G$5:$G$120&lt;&gt;"acoes")))*INDEX(Inputs!$K$5:$AJ$120,0,MATCH(AJ$2,Inputs!$K$4:$AJ$4,0)))+SUMPRODUCT((Inputs!$E$5:$E$120=$B42)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42" s="6" t="e">
        <f>IF(ISNA(MATCH(AK$2,Inputs!$K$4:$AJ$4,0)),NA(),IF(SUMPRODUCT((Inputs!$A$5:$A$120=$B42)*ISNUMBER(INDEX(Inputs!$K$5:$AJ$120,0,MATCH(AK$2,Inputs!$K$4:$AJ$4,0))))+SUMPRODUCT((Inputs!$C$5:$C$120=$B42)*ISNUMBER(INDEX(Inputs!$K$5:$AJ$120,0,MATCH(AK$2,Inputs!$K$4:$AJ$4,0))))+SUMPRODUCT((Inputs!$E$5:$E$120=$B42)*ISNUMBER(INDEX(Inputs!$K$5:$AJ$120,0,MATCH(AK$2,Inputs!$K$4:$AJ$4,0))))=0,NA(),SUMPRODUCT((Inputs!$A$5:$A$120=$B42)*Inputs!$B$5:$B$120*(((Inputs!$G$5:$G$120="moeda")+(Inputs!$G$5:$G$120="acoes"))*Inputs!$B$1+((Inputs!$G$5:$G$120&lt;&gt;"moeda")*(Inputs!$G$5:$G$120&lt;&gt;"acoes")))*INDEX(Inputs!$K$5:$AJ$120,0,MATCH(AK$2,Inputs!$K$4:$AJ$4,0)))+SUMPRODUCT((Inputs!$C$5:$C$120=$B42)*Inputs!$D$5:$D$120*(((Inputs!$G$5:$G$120="moeda")+(Inputs!$G$5:$G$120="acoes"))*Inputs!$B$1+((Inputs!$G$5:$G$120&lt;&gt;"moeda")*(Inputs!$G$5:$G$120&lt;&gt;"acoes")))*INDEX(Inputs!$K$5:$AJ$120,0,MATCH(AK$2,Inputs!$K$4:$AJ$4,0)))+SUMPRODUCT((Inputs!$E$5:$E$120=$B42)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42" s="3" t="e">
        <f>AK42</f>
        <v>#N/A</v>
      </c>
    </row>
    <row r="43">
      <c r="B43" s="46" t="n">
        <v>37</v>
      </c>
      <c r="C43" s="24" t="inlineStr">
        <is>
          <t>Common Stock and APIC</t>
        </is>
      </c>
      <c r="D43" s="6">
        <f>IF(ISNA(MATCH(D$2,Inputs!$K$4:$AJ$4,0)),NA(),IF(SUMPRODUCT((Inputs!$A$5:$A$120=$B43)*ISNUMBER(INDEX(Inputs!$K$5:$AJ$120,0,MATCH(D$2,Inputs!$K$4:$AJ$4,0))))+SUMPRODUCT((Inputs!$C$5:$C$120=$B43)*ISNUMBER(INDEX(Inputs!$K$5:$AJ$120,0,MATCH(D$2,Inputs!$K$4:$AJ$4,0))))+SUMPRODUCT((Inputs!$E$5:$E$120=$B43)*ISNUMBER(INDEX(Inputs!$K$5:$AJ$120,0,MATCH(D$2,Inputs!$K$4:$AJ$4,0))))=0,NA(),SUMPRODUCT((Inputs!$A$5:$A$120=$B43)*Inputs!$B$5:$B$120*(((Inputs!$G$5:$G$120="moeda")+(Inputs!$G$5:$G$120="acoes"))*Inputs!$B$1+((Inputs!$G$5:$G$120&lt;&gt;"moeda")*(Inputs!$G$5:$G$120&lt;&gt;"acoes")))*INDEX(Inputs!$K$5:$AJ$120,0,MATCH(D$2,Inputs!$K$4:$AJ$4,0)))+SUMPRODUCT((Inputs!$C$5:$C$120=$B43)*Inputs!$D$5:$D$120*(((Inputs!$G$5:$G$120="moeda")+(Inputs!$G$5:$G$120="acoes"))*Inputs!$B$1+((Inputs!$G$5:$G$120&lt;&gt;"moeda")*(Inputs!$G$5:$G$120&lt;&gt;"acoes")))*INDEX(Inputs!$K$5:$AJ$120,0,MATCH(D$2,Inputs!$K$4:$AJ$4,0)))+SUMPRODUCT((Inputs!$E$5:$E$120=$B43)*Inputs!$F$5:$F$120*(((Inputs!$G$5:$G$120="moeda")+(Inputs!$G$5:$G$120="acoes"))*Inputs!$B$1+((Inputs!$G$5:$G$120&lt;&gt;"moeda")*(Inputs!$G$5:$G$120&lt;&gt;"acoes")))*INDEX(Inputs!$K$5:$AJ$120,0,MATCH(D$2,Inputs!$K$4:$AJ$4,0)))))</f>
        <v>7178.9</v>
      </c>
      <c r="E43" s="6">
        <f>IF(ISNA(MATCH(E$2,Inputs!$K$4:$AJ$4,0)),NA(),IF(SUMPRODUCT((Inputs!$A$5:$A$120=$B43)*ISNUMBER(INDEX(Inputs!$K$5:$AJ$120,0,MATCH(E$2,Inputs!$K$4:$AJ$4,0))))+SUMPRODUCT((Inputs!$C$5:$C$120=$B43)*ISNUMBER(INDEX(Inputs!$K$5:$AJ$120,0,MATCH(E$2,Inputs!$K$4:$AJ$4,0))))+SUMPRODUCT((Inputs!$E$5:$E$120=$B43)*ISNUMBER(INDEX(Inputs!$K$5:$AJ$120,0,MATCH(E$2,Inputs!$K$4:$AJ$4,0))))=0,NA(),SUMPRODUCT((Inputs!$A$5:$A$120=$B43)*Inputs!$B$5:$B$120*(((Inputs!$G$5:$G$120="moeda")+(Inputs!$G$5:$G$120="acoes"))*Inputs!$B$1+((Inputs!$G$5:$G$120&lt;&gt;"moeda")*(Inputs!$G$5:$G$120&lt;&gt;"acoes")))*INDEX(Inputs!$K$5:$AJ$120,0,MATCH(E$2,Inputs!$K$4:$AJ$4,0)))+SUMPRODUCT((Inputs!$C$5:$C$120=$B43)*Inputs!$D$5:$D$120*(((Inputs!$G$5:$G$120="moeda")+(Inputs!$G$5:$G$120="acoes"))*Inputs!$B$1+((Inputs!$G$5:$G$120&lt;&gt;"moeda")*(Inputs!$G$5:$G$120&lt;&gt;"acoes")))*INDEX(Inputs!$K$5:$AJ$120,0,MATCH(E$2,Inputs!$K$4:$AJ$4,0)))+SUMPRODUCT((Inputs!$E$5:$E$120=$B43)*Inputs!$F$5:$F$120*(((Inputs!$G$5:$G$120="moeda")+(Inputs!$G$5:$G$120="acoes"))*Inputs!$B$1+((Inputs!$G$5:$G$120&lt;&gt;"moeda")*(Inputs!$G$5:$G$120&lt;&gt;"acoes")))*INDEX(Inputs!$K$5:$AJ$120,0,MATCH(E$2,Inputs!$K$4:$AJ$4,0)))))</f>
        <v>7267.3</v>
      </c>
      <c r="F43" s="6">
        <f>IF(ISNA(MATCH(F$2,Inputs!$K$4:$AJ$4,0)),NA(),IF(SUMPRODUCT((Inputs!$A$5:$A$120=$B43)*ISNUMBER(INDEX(Inputs!$K$5:$AJ$120,0,MATCH(F$2,Inputs!$K$4:$AJ$4,0))))+SUMPRODUCT((Inputs!$C$5:$C$120=$B43)*ISNUMBER(INDEX(Inputs!$K$5:$AJ$120,0,MATCH(F$2,Inputs!$K$4:$AJ$4,0))))+SUMPRODUCT((Inputs!$E$5:$E$120=$B43)*ISNUMBER(INDEX(Inputs!$K$5:$AJ$120,0,MATCH(F$2,Inputs!$K$4:$AJ$4,0))))=0,NA(),SUMPRODUCT((Inputs!$A$5:$A$120=$B43)*Inputs!$B$5:$B$120*(((Inputs!$G$5:$G$120="moeda")+(Inputs!$G$5:$G$120="acoes"))*Inputs!$B$1+((Inputs!$G$5:$G$120&lt;&gt;"moeda")*(Inputs!$G$5:$G$120&lt;&gt;"acoes")))*INDEX(Inputs!$K$5:$AJ$120,0,MATCH(F$2,Inputs!$K$4:$AJ$4,0)))+SUMPRODUCT((Inputs!$C$5:$C$120=$B43)*Inputs!$D$5:$D$120*(((Inputs!$G$5:$G$120="moeda")+(Inputs!$G$5:$G$120="acoes"))*Inputs!$B$1+((Inputs!$G$5:$G$120&lt;&gt;"moeda")*(Inputs!$G$5:$G$120&lt;&gt;"acoes")))*INDEX(Inputs!$K$5:$AJ$120,0,MATCH(F$2,Inputs!$K$4:$AJ$4,0)))+SUMPRODUCT((Inputs!$E$5:$E$120=$B43)*Inputs!$F$5:$F$120*(((Inputs!$G$5:$G$120="moeda")+(Inputs!$G$5:$G$120="acoes"))*Inputs!$B$1+((Inputs!$G$5:$G$120&lt;&gt;"moeda")*(Inputs!$G$5:$G$120&lt;&gt;"acoes")))*INDEX(Inputs!$K$5:$AJ$120,0,MATCH(F$2,Inputs!$K$4:$AJ$4,0)))))</f>
        <v>7356.2</v>
      </c>
      <c r="G43" s="6">
        <f>IF(ISNA(MATCH(G$2,Inputs!$K$4:$AJ$4,0)),NA(),IF(SUMPRODUCT((Inputs!$A$5:$A$120=$B43)*ISNUMBER(INDEX(Inputs!$K$5:$AJ$120,0,MATCH(G$2,Inputs!$K$4:$AJ$4,0))))+SUMPRODUCT((Inputs!$C$5:$C$120=$B43)*ISNUMBER(INDEX(Inputs!$K$5:$AJ$120,0,MATCH(G$2,Inputs!$K$4:$AJ$4,0))))+SUMPRODUCT((Inputs!$E$5:$E$120=$B43)*ISNUMBER(INDEX(Inputs!$K$5:$AJ$120,0,MATCH(G$2,Inputs!$K$4:$AJ$4,0))))=0,NA(),SUMPRODUCT((Inputs!$A$5:$A$120=$B43)*Inputs!$B$5:$B$120*(((Inputs!$G$5:$G$120="moeda")+(Inputs!$G$5:$G$120="acoes"))*Inputs!$B$1+((Inputs!$G$5:$G$120&lt;&gt;"moeda")*(Inputs!$G$5:$G$120&lt;&gt;"acoes")))*INDEX(Inputs!$K$5:$AJ$120,0,MATCH(G$2,Inputs!$K$4:$AJ$4,0)))+SUMPRODUCT((Inputs!$C$5:$C$120=$B43)*Inputs!$D$5:$D$120*(((Inputs!$G$5:$G$120="moeda")+(Inputs!$G$5:$G$120="acoes"))*Inputs!$B$1+((Inputs!$G$5:$G$120&lt;&gt;"moeda")*(Inputs!$G$5:$G$120&lt;&gt;"acoes")))*INDEX(Inputs!$K$5:$AJ$120,0,MATCH(G$2,Inputs!$K$4:$AJ$4,0)))+SUMPRODUCT((Inputs!$E$5:$E$120=$B43)*Inputs!$F$5:$F$120*(((Inputs!$G$5:$G$120="moeda")+(Inputs!$G$5:$G$120="acoes"))*Inputs!$B$1+((Inputs!$G$5:$G$120&lt;&gt;"moeda")*(Inputs!$G$5:$G$120&lt;&gt;"acoes")))*INDEX(Inputs!$K$5:$AJ$120,0,MATCH(G$2,Inputs!$K$4:$AJ$4,0)))))</f>
        <v>7429.7</v>
      </c>
      <c r="H43" s="3">
        <f>G43</f>
        <v>7429.7</v>
      </c>
      <c r="I43" s="6">
        <f>IF(ISNA(MATCH(I$2,Inputs!$K$4:$AJ$4,0)),NA(),IF(SUMPRODUCT((Inputs!$A$5:$A$120=$B43)*ISNUMBER(INDEX(Inputs!$K$5:$AJ$120,0,MATCH(I$2,Inputs!$K$4:$AJ$4,0))))+SUMPRODUCT((Inputs!$C$5:$C$120=$B43)*ISNUMBER(INDEX(Inputs!$K$5:$AJ$120,0,MATCH(I$2,Inputs!$K$4:$AJ$4,0))))+SUMPRODUCT((Inputs!$E$5:$E$120=$B43)*ISNUMBER(INDEX(Inputs!$K$5:$AJ$120,0,MATCH(I$2,Inputs!$K$4:$AJ$4,0))))=0,NA(),SUMPRODUCT((Inputs!$A$5:$A$120=$B43)*Inputs!$B$5:$B$120*(((Inputs!$G$5:$G$120="moeda")+(Inputs!$G$5:$G$120="acoes"))*Inputs!$B$1+((Inputs!$G$5:$G$120&lt;&gt;"moeda")*(Inputs!$G$5:$G$120&lt;&gt;"acoes")))*INDEX(Inputs!$K$5:$AJ$120,0,MATCH(I$2,Inputs!$K$4:$AJ$4,0)))+SUMPRODUCT((Inputs!$C$5:$C$120=$B43)*Inputs!$D$5:$D$120*(((Inputs!$G$5:$G$120="moeda")+(Inputs!$G$5:$G$120="acoes"))*Inputs!$B$1+((Inputs!$G$5:$G$120&lt;&gt;"moeda")*(Inputs!$G$5:$G$120&lt;&gt;"acoes")))*INDEX(Inputs!$K$5:$AJ$120,0,MATCH(I$2,Inputs!$K$4:$AJ$4,0)))+SUMPRODUCT((Inputs!$E$5:$E$120=$B43)*Inputs!$F$5:$F$120*(((Inputs!$G$5:$G$120="moeda")+(Inputs!$G$5:$G$120="acoes"))*Inputs!$B$1+((Inputs!$G$5:$G$120&lt;&gt;"moeda")*(Inputs!$G$5:$G$120&lt;&gt;"acoes")))*INDEX(Inputs!$K$5:$AJ$120,0,MATCH(I$2,Inputs!$K$4:$AJ$4,0)))))</f>
        <v>7250.4</v>
      </c>
      <c r="J43" s="6">
        <f>IF(ISNA(MATCH(J$2,Inputs!$K$4:$AJ$4,0)),NA(),IF(SUMPRODUCT((Inputs!$A$5:$A$120=$B43)*ISNUMBER(INDEX(Inputs!$K$5:$AJ$120,0,MATCH(J$2,Inputs!$K$4:$AJ$4,0))))+SUMPRODUCT((Inputs!$C$5:$C$120=$B43)*ISNUMBER(INDEX(Inputs!$K$5:$AJ$120,0,MATCH(J$2,Inputs!$K$4:$AJ$4,0))))+SUMPRODUCT((Inputs!$E$5:$E$120=$B43)*ISNUMBER(INDEX(Inputs!$K$5:$AJ$120,0,MATCH(J$2,Inputs!$K$4:$AJ$4,0))))=0,NA(),SUMPRODUCT((Inputs!$A$5:$A$120=$B43)*Inputs!$B$5:$B$120*(((Inputs!$G$5:$G$120="moeda")+(Inputs!$G$5:$G$120="acoes"))*Inputs!$B$1+((Inputs!$G$5:$G$120&lt;&gt;"moeda")*(Inputs!$G$5:$G$120&lt;&gt;"acoes")))*INDEX(Inputs!$K$5:$AJ$120,0,MATCH(J$2,Inputs!$K$4:$AJ$4,0)))+SUMPRODUCT((Inputs!$C$5:$C$120=$B43)*Inputs!$D$5:$D$120*(((Inputs!$G$5:$G$120="moeda")+(Inputs!$G$5:$G$120="acoes"))*Inputs!$B$1+((Inputs!$G$5:$G$120&lt;&gt;"moeda")*(Inputs!$G$5:$G$120&lt;&gt;"acoes")))*INDEX(Inputs!$K$5:$AJ$120,0,MATCH(J$2,Inputs!$K$4:$AJ$4,0)))+SUMPRODUCT((Inputs!$E$5:$E$120=$B43)*Inputs!$F$5:$F$120*(((Inputs!$G$5:$G$120="moeda")+(Inputs!$G$5:$G$120="acoes"))*Inputs!$B$1+((Inputs!$G$5:$G$120&lt;&gt;"moeda")*(Inputs!$G$5:$G$120&lt;&gt;"acoes")))*INDEX(Inputs!$K$5:$AJ$120,0,MATCH(J$2,Inputs!$K$4:$AJ$4,0)))))</f>
        <v>7340.1</v>
      </c>
      <c r="K43" s="6">
        <f>IF(ISNA(MATCH(K$2,Inputs!$K$4:$AJ$4,0)),NA(),IF(SUMPRODUCT((Inputs!$A$5:$A$120=$B43)*ISNUMBER(INDEX(Inputs!$K$5:$AJ$120,0,MATCH(K$2,Inputs!$K$4:$AJ$4,0))))+SUMPRODUCT((Inputs!$C$5:$C$120=$B43)*ISNUMBER(INDEX(Inputs!$K$5:$AJ$120,0,MATCH(K$2,Inputs!$K$4:$AJ$4,0))))+SUMPRODUCT((Inputs!$E$5:$E$120=$B43)*ISNUMBER(INDEX(Inputs!$K$5:$AJ$120,0,MATCH(K$2,Inputs!$K$4:$AJ$4,0))))=0,NA(),SUMPRODUCT((Inputs!$A$5:$A$120=$B43)*Inputs!$B$5:$B$120*(((Inputs!$G$5:$G$120="moeda")+(Inputs!$G$5:$G$120="acoes"))*Inputs!$B$1+((Inputs!$G$5:$G$120&lt;&gt;"moeda")*(Inputs!$G$5:$G$120&lt;&gt;"acoes")))*INDEX(Inputs!$K$5:$AJ$120,0,MATCH(K$2,Inputs!$K$4:$AJ$4,0)))+SUMPRODUCT((Inputs!$C$5:$C$120=$B43)*Inputs!$D$5:$D$120*(((Inputs!$G$5:$G$120="moeda")+(Inputs!$G$5:$G$120="acoes"))*Inputs!$B$1+((Inputs!$G$5:$G$120&lt;&gt;"moeda")*(Inputs!$G$5:$G$120&lt;&gt;"acoes")))*INDEX(Inputs!$K$5:$AJ$120,0,MATCH(K$2,Inputs!$K$4:$AJ$4,0)))+SUMPRODUCT((Inputs!$E$5:$E$120=$B43)*Inputs!$F$5:$F$120*(((Inputs!$G$5:$G$120="moeda")+(Inputs!$G$5:$G$120="acoes"))*Inputs!$B$1+((Inputs!$G$5:$G$120&lt;&gt;"moeda")*(Inputs!$G$5:$G$120&lt;&gt;"acoes")))*INDEX(Inputs!$K$5:$AJ$120,0,MATCH(K$2,Inputs!$K$4:$AJ$4,0)))))</f>
        <v>7423.1</v>
      </c>
      <c r="L43" s="6">
        <f>IF(ISNA(MATCH(L$2,Inputs!$K$4:$AJ$4,0)),NA(),IF(SUMPRODUCT((Inputs!$A$5:$A$120=$B43)*ISNUMBER(INDEX(Inputs!$K$5:$AJ$120,0,MATCH(L$2,Inputs!$K$4:$AJ$4,0))))+SUMPRODUCT((Inputs!$C$5:$C$120=$B43)*ISNUMBER(INDEX(Inputs!$K$5:$AJ$120,0,MATCH(L$2,Inputs!$K$4:$AJ$4,0))))+SUMPRODUCT((Inputs!$E$5:$E$120=$B43)*ISNUMBER(INDEX(Inputs!$K$5:$AJ$120,0,MATCH(L$2,Inputs!$K$4:$AJ$4,0))))=0,NA(),SUMPRODUCT((Inputs!$A$5:$A$120=$B43)*Inputs!$B$5:$B$120*(((Inputs!$G$5:$G$120="moeda")+(Inputs!$G$5:$G$120="acoes"))*Inputs!$B$1+((Inputs!$G$5:$G$120&lt;&gt;"moeda")*(Inputs!$G$5:$G$120&lt;&gt;"acoes")))*INDEX(Inputs!$K$5:$AJ$120,0,MATCH(L$2,Inputs!$K$4:$AJ$4,0)))+SUMPRODUCT((Inputs!$C$5:$C$120=$B43)*Inputs!$D$5:$D$120*(((Inputs!$G$5:$G$120="moeda")+(Inputs!$G$5:$G$120="acoes"))*Inputs!$B$1+((Inputs!$G$5:$G$120&lt;&gt;"moeda")*(Inputs!$G$5:$G$120&lt;&gt;"acoes")))*INDEX(Inputs!$K$5:$AJ$120,0,MATCH(L$2,Inputs!$K$4:$AJ$4,0)))+SUMPRODUCT((Inputs!$E$5:$E$120=$B43)*Inputs!$F$5:$F$120*(((Inputs!$G$5:$G$120="moeda")+(Inputs!$G$5:$G$120="acoes"))*Inputs!$B$1+((Inputs!$G$5:$G$120&lt;&gt;"moeda")*(Inputs!$G$5:$G$120&lt;&gt;"acoes")))*INDEX(Inputs!$K$5:$AJ$120,0,MATCH(L$2,Inputs!$K$4:$AJ$4,0)))))</f>
        <v>7515.5</v>
      </c>
      <c r="M43" s="3">
        <f>L43</f>
        <v>7515.5</v>
      </c>
      <c r="N43" s="6">
        <f>IF(ISNA(MATCH(N$2,Inputs!$K$4:$AJ$4,0)),NA(),IF(SUMPRODUCT((Inputs!$A$5:$A$120=$B43)*ISNUMBER(INDEX(Inputs!$K$5:$AJ$120,0,MATCH(N$2,Inputs!$K$4:$AJ$4,0))))+SUMPRODUCT((Inputs!$C$5:$C$120=$B43)*ISNUMBER(INDEX(Inputs!$K$5:$AJ$120,0,MATCH(N$2,Inputs!$K$4:$AJ$4,0))))+SUMPRODUCT((Inputs!$E$5:$E$120=$B43)*ISNUMBER(INDEX(Inputs!$K$5:$AJ$120,0,MATCH(N$2,Inputs!$K$4:$AJ$4,0))))=0,NA(),SUMPRODUCT((Inputs!$A$5:$A$120=$B43)*Inputs!$B$5:$B$120*(((Inputs!$G$5:$G$120="moeda")+(Inputs!$G$5:$G$120="acoes"))*Inputs!$B$1+((Inputs!$G$5:$G$120&lt;&gt;"moeda")*(Inputs!$G$5:$G$120&lt;&gt;"acoes")))*INDEX(Inputs!$K$5:$AJ$120,0,MATCH(N$2,Inputs!$K$4:$AJ$4,0)))+SUMPRODUCT((Inputs!$C$5:$C$120=$B43)*Inputs!$D$5:$D$120*(((Inputs!$G$5:$G$120="moeda")+(Inputs!$G$5:$G$120="acoes"))*Inputs!$B$1+((Inputs!$G$5:$G$120&lt;&gt;"moeda")*(Inputs!$G$5:$G$120&lt;&gt;"acoes")))*INDEX(Inputs!$K$5:$AJ$120,0,MATCH(N$2,Inputs!$K$4:$AJ$4,0)))+SUMPRODUCT((Inputs!$E$5:$E$120=$B43)*Inputs!$F$5:$F$120*(((Inputs!$G$5:$G$120="moeda")+(Inputs!$G$5:$G$120="acoes"))*Inputs!$B$1+((Inputs!$G$5:$G$120&lt;&gt;"moeda")*(Inputs!$G$5:$G$120&lt;&gt;"acoes")))*INDEX(Inputs!$K$5:$AJ$120,0,MATCH(N$2,Inputs!$K$4:$AJ$4,0)))))</f>
        <v>7386.6</v>
      </c>
      <c r="O43" s="6">
        <f>IF(ISNA(MATCH(O$2,Inputs!$K$4:$AJ$4,0)),NA(),IF(SUMPRODUCT((Inputs!$A$5:$A$120=$B43)*ISNUMBER(INDEX(Inputs!$K$5:$AJ$120,0,MATCH(O$2,Inputs!$K$4:$AJ$4,0))))+SUMPRODUCT((Inputs!$C$5:$C$120=$B43)*ISNUMBER(INDEX(Inputs!$K$5:$AJ$120,0,MATCH(O$2,Inputs!$K$4:$AJ$4,0))))+SUMPRODUCT((Inputs!$E$5:$E$120=$B43)*ISNUMBER(INDEX(Inputs!$K$5:$AJ$120,0,MATCH(O$2,Inputs!$K$4:$AJ$4,0))))=0,NA(),SUMPRODUCT((Inputs!$A$5:$A$120=$B43)*Inputs!$B$5:$B$120*(((Inputs!$G$5:$G$120="moeda")+(Inputs!$G$5:$G$120="acoes"))*Inputs!$B$1+((Inputs!$G$5:$G$120&lt;&gt;"moeda")*(Inputs!$G$5:$G$120&lt;&gt;"acoes")))*INDEX(Inputs!$K$5:$AJ$120,0,MATCH(O$2,Inputs!$K$4:$AJ$4,0)))+SUMPRODUCT((Inputs!$C$5:$C$120=$B43)*Inputs!$D$5:$D$120*(((Inputs!$G$5:$G$120="moeda")+(Inputs!$G$5:$G$120="acoes"))*Inputs!$B$1+((Inputs!$G$5:$G$120&lt;&gt;"moeda")*(Inputs!$G$5:$G$120&lt;&gt;"acoes")))*INDEX(Inputs!$K$5:$AJ$120,0,MATCH(O$2,Inputs!$K$4:$AJ$4,0)))+SUMPRODUCT((Inputs!$E$5:$E$120=$B43)*Inputs!$F$5:$F$120*(((Inputs!$G$5:$G$120="moeda")+(Inputs!$G$5:$G$120="acoes"))*Inputs!$B$1+((Inputs!$G$5:$G$120&lt;&gt;"moeda")*(Inputs!$G$5:$G$120&lt;&gt;"acoes")))*INDEX(Inputs!$K$5:$AJ$120,0,MATCH(O$2,Inputs!$K$4:$AJ$4,0)))))</f>
        <v>7542.2</v>
      </c>
      <c r="P43" s="6">
        <f>IF(ISNA(MATCH(P$2,Inputs!$K$4:$AJ$4,0)),NA(),IF(SUMPRODUCT((Inputs!$A$5:$A$120=$B43)*ISNUMBER(INDEX(Inputs!$K$5:$AJ$120,0,MATCH(P$2,Inputs!$K$4:$AJ$4,0))))+SUMPRODUCT((Inputs!$C$5:$C$120=$B43)*ISNUMBER(INDEX(Inputs!$K$5:$AJ$120,0,MATCH(P$2,Inputs!$K$4:$AJ$4,0))))+SUMPRODUCT((Inputs!$E$5:$E$120=$B43)*ISNUMBER(INDEX(Inputs!$K$5:$AJ$120,0,MATCH(P$2,Inputs!$K$4:$AJ$4,0))))=0,NA(),SUMPRODUCT((Inputs!$A$5:$A$120=$B43)*Inputs!$B$5:$B$120*(((Inputs!$G$5:$G$120="moeda")+(Inputs!$G$5:$G$120="acoes"))*Inputs!$B$1+((Inputs!$G$5:$G$120&lt;&gt;"moeda")*(Inputs!$G$5:$G$120&lt;&gt;"acoes")))*INDEX(Inputs!$K$5:$AJ$120,0,MATCH(P$2,Inputs!$K$4:$AJ$4,0)))+SUMPRODUCT((Inputs!$C$5:$C$120=$B43)*Inputs!$D$5:$D$120*(((Inputs!$G$5:$G$120="moeda")+(Inputs!$G$5:$G$120="acoes"))*Inputs!$B$1+((Inputs!$G$5:$G$120&lt;&gt;"moeda")*(Inputs!$G$5:$G$120&lt;&gt;"acoes")))*INDEX(Inputs!$K$5:$AJ$120,0,MATCH(P$2,Inputs!$K$4:$AJ$4,0)))+SUMPRODUCT((Inputs!$E$5:$E$120=$B43)*Inputs!$F$5:$F$120*(((Inputs!$G$5:$G$120="moeda")+(Inputs!$G$5:$G$120="acoes"))*Inputs!$B$1+((Inputs!$G$5:$G$120&lt;&gt;"moeda")*(Inputs!$G$5:$G$120&lt;&gt;"acoes")))*INDEX(Inputs!$K$5:$AJ$120,0,MATCH(P$2,Inputs!$K$4:$AJ$4,0)))))</f>
        <v>7753.6</v>
      </c>
      <c r="Q43" s="6">
        <f>IF(ISNA(MATCH(Q$2,Inputs!$K$4:$AJ$4,0)),NA(),IF(SUMPRODUCT((Inputs!$A$5:$A$120=$B43)*ISNUMBER(INDEX(Inputs!$K$5:$AJ$120,0,MATCH(Q$2,Inputs!$K$4:$AJ$4,0))))+SUMPRODUCT((Inputs!$C$5:$C$120=$B43)*ISNUMBER(INDEX(Inputs!$K$5:$AJ$120,0,MATCH(Q$2,Inputs!$K$4:$AJ$4,0))))+SUMPRODUCT((Inputs!$E$5:$E$120=$B43)*ISNUMBER(INDEX(Inputs!$K$5:$AJ$120,0,MATCH(Q$2,Inputs!$K$4:$AJ$4,0))))=0,NA(),SUMPRODUCT((Inputs!$A$5:$A$120=$B43)*Inputs!$B$5:$B$120*(((Inputs!$G$5:$G$120="moeda")+(Inputs!$G$5:$G$120="acoes"))*Inputs!$B$1+((Inputs!$G$5:$G$120&lt;&gt;"moeda")*(Inputs!$G$5:$G$120&lt;&gt;"acoes")))*INDEX(Inputs!$K$5:$AJ$120,0,MATCH(Q$2,Inputs!$K$4:$AJ$4,0)))+SUMPRODUCT((Inputs!$C$5:$C$120=$B43)*Inputs!$D$5:$D$120*(((Inputs!$G$5:$G$120="moeda")+(Inputs!$G$5:$G$120="acoes"))*Inputs!$B$1+((Inputs!$G$5:$G$120&lt;&gt;"moeda")*(Inputs!$G$5:$G$120&lt;&gt;"acoes")))*INDEX(Inputs!$K$5:$AJ$120,0,MATCH(Q$2,Inputs!$K$4:$AJ$4,0)))+SUMPRODUCT((Inputs!$E$5:$E$120=$B43)*Inputs!$F$5:$F$120*(((Inputs!$G$5:$G$120="moeda")+(Inputs!$G$5:$G$120="acoes"))*Inputs!$B$1+((Inputs!$G$5:$G$120&lt;&gt;"moeda")*(Inputs!$G$5:$G$120&lt;&gt;"acoes")))*INDEX(Inputs!$K$5:$AJ$120,0,MATCH(Q$2,Inputs!$K$4:$AJ$4,0)))))</f>
        <v>7844</v>
      </c>
      <c r="R43" s="3">
        <f>Q43</f>
        <v>7844</v>
      </c>
      <c r="S43" s="6">
        <f>IF(ISNA(MATCH(S$2,Inputs!$K$4:$AJ$4,0)),NA(),IF(SUMPRODUCT((Inputs!$A$5:$A$120=$B43)*ISNUMBER(INDEX(Inputs!$K$5:$AJ$120,0,MATCH(S$2,Inputs!$K$4:$AJ$4,0))))+SUMPRODUCT((Inputs!$C$5:$C$120=$B43)*ISNUMBER(INDEX(Inputs!$K$5:$AJ$120,0,MATCH(S$2,Inputs!$K$4:$AJ$4,0))))+SUMPRODUCT((Inputs!$E$5:$E$120=$B43)*ISNUMBER(INDEX(Inputs!$K$5:$AJ$120,0,MATCH(S$2,Inputs!$K$4:$AJ$4,0))))=0,NA(),SUMPRODUCT((Inputs!$A$5:$A$120=$B43)*Inputs!$B$5:$B$120*(((Inputs!$G$5:$G$120="moeda")+(Inputs!$G$5:$G$120="acoes"))*Inputs!$B$1+((Inputs!$G$5:$G$120&lt;&gt;"moeda")*(Inputs!$G$5:$G$120&lt;&gt;"acoes")))*INDEX(Inputs!$K$5:$AJ$120,0,MATCH(S$2,Inputs!$K$4:$AJ$4,0)))+SUMPRODUCT((Inputs!$C$5:$C$120=$B43)*Inputs!$D$5:$D$120*(((Inputs!$G$5:$G$120="moeda")+(Inputs!$G$5:$G$120="acoes"))*Inputs!$B$1+((Inputs!$G$5:$G$120&lt;&gt;"moeda")*(Inputs!$G$5:$G$120&lt;&gt;"acoes")))*INDEX(Inputs!$K$5:$AJ$120,0,MATCH(S$2,Inputs!$K$4:$AJ$4,0)))+SUMPRODUCT((Inputs!$E$5:$E$120=$B43)*Inputs!$F$5:$F$120*(((Inputs!$G$5:$G$120="moeda")+(Inputs!$G$5:$G$120="acoes"))*Inputs!$B$1+((Inputs!$G$5:$G$120&lt;&gt;"moeda")*(Inputs!$G$5:$G$120&lt;&gt;"acoes")))*INDEX(Inputs!$K$5:$AJ$120,0,MATCH(S$2,Inputs!$K$4:$AJ$4,0)))))</f>
        <v>7603.7</v>
      </c>
      <c r="T43" s="6">
        <f>IF(ISNA(MATCH(T$2,Inputs!$K$4:$AJ$4,0)),NA(),IF(SUMPRODUCT((Inputs!$A$5:$A$120=$B43)*ISNUMBER(INDEX(Inputs!$K$5:$AJ$120,0,MATCH(T$2,Inputs!$K$4:$AJ$4,0))))+SUMPRODUCT((Inputs!$C$5:$C$120=$B43)*ISNUMBER(INDEX(Inputs!$K$5:$AJ$120,0,MATCH(T$2,Inputs!$K$4:$AJ$4,0))))+SUMPRODUCT((Inputs!$E$5:$E$120=$B43)*ISNUMBER(INDEX(Inputs!$K$5:$AJ$120,0,MATCH(T$2,Inputs!$K$4:$AJ$4,0))))=0,NA(),SUMPRODUCT((Inputs!$A$5:$A$120=$B43)*Inputs!$B$5:$B$120*(((Inputs!$G$5:$G$120="moeda")+(Inputs!$G$5:$G$120="acoes"))*Inputs!$B$1+((Inputs!$G$5:$G$120&lt;&gt;"moeda")*(Inputs!$G$5:$G$120&lt;&gt;"acoes")))*INDEX(Inputs!$K$5:$AJ$120,0,MATCH(T$2,Inputs!$K$4:$AJ$4,0)))+SUMPRODUCT((Inputs!$C$5:$C$120=$B43)*Inputs!$D$5:$D$120*(((Inputs!$G$5:$G$120="moeda")+(Inputs!$G$5:$G$120="acoes"))*Inputs!$B$1+((Inputs!$G$5:$G$120&lt;&gt;"moeda")*(Inputs!$G$5:$G$120&lt;&gt;"acoes")))*INDEX(Inputs!$K$5:$AJ$120,0,MATCH(T$2,Inputs!$K$4:$AJ$4,0)))+SUMPRODUCT((Inputs!$E$5:$E$120=$B43)*Inputs!$F$5:$F$120*(((Inputs!$G$5:$G$120="moeda")+(Inputs!$G$5:$G$120="acoes"))*Inputs!$B$1+((Inputs!$G$5:$G$120&lt;&gt;"moeda")*(Inputs!$G$5:$G$120&lt;&gt;"acoes")))*INDEX(Inputs!$K$5:$AJ$120,0,MATCH(T$2,Inputs!$K$4:$AJ$4,0)))))</f>
        <v>7808.4</v>
      </c>
      <c r="U43" s="6">
        <f>IF(ISNA(MATCH(U$2,Inputs!$K$4:$AJ$4,0)),NA(),IF(SUMPRODUCT((Inputs!$A$5:$A$120=$B43)*ISNUMBER(INDEX(Inputs!$K$5:$AJ$120,0,MATCH(U$2,Inputs!$K$4:$AJ$4,0))))+SUMPRODUCT((Inputs!$C$5:$C$120=$B43)*ISNUMBER(INDEX(Inputs!$K$5:$AJ$120,0,MATCH(U$2,Inputs!$K$4:$AJ$4,0))))+SUMPRODUCT((Inputs!$E$5:$E$120=$B43)*ISNUMBER(INDEX(Inputs!$K$5:$AJ$120,0,MATCH(U$2,Inputs!$K$4:$AJ$4,0))))=0,NA(),SUMPRODUCT((Inputs!$A$5:$A$120=$B43)*Inputs!$B$5:$B$120*(((Inputs!$G$5:$G$120="moeda")+(Inputs!$G$5:$G$120="acoes"))*Inputs!$B$1+((Inputs!$G$5:$G$120&lt;&gt;"moeda")*(Inputs!$G$5:$G$120&lt;&gt;"acoes")))*INDEX(Inputs!$K$5:$AJ$120,0,MATCH(U$2,Inputs!$K$4:$AJ$4,0)))+SUMPRODUCT((Inputs!$C$5:$C$120=$B43)*Inputs!$D$5:$D$120*(((Inputs!$G$5:$G$120="moeda")+(Inputs!$G$5:$G$120="acoes"))*Inputs!$B$1+((Inputs!$G$5:$G$120&lt;&gt;"moeda")*(Inputs!$G$5:$G$120&lt;&gt;"acoes")))*INDEX(Inputs!$K$5:$AJ$120,0,MATCH(U$2,Inputs!$K$4:$AJ$4,0)))+SUMPRODUCT((Inputs!$E$5:$E$120=$B43)*Inputs!$F$5:$F$120*(((Inputs!$G$5:$G$120="moeda")+(Inputs!$G$5:$G$120="acoes"))*Inputs!$B$1+((Inputs!$G$5:$G$120&lt;&gt;"moeda")*(Inputs!$G$5:$G$120&lt;&gt;"acoes")))*INDEX(Inputs!$K$5:$AJ$120,0,MATCH(U$2,Inputs!$K$4:$AJ$4,0)))))</f>
        <v>7933.5</v>
      </c>
      <c r="V43" s="6">
        <f>IF(ISNA(MATCH(V$2,Inputs!$K$4:$AJ$4,0)),NA(),IF(SUMPRODUCT((Inputs!$A$5:$A$120=$B43)*ISNUMBER(INDEX(Inputs!$K$5:$AJ$120,0,MATCH(V$2,Inputs!$K$4:$AJ$4,0))))+SUMPRODUCT((Inputs!$C$5:$C$120=$B43)*ISNUMBER(INDEX(Inputs!$K$5:$AJ$120,0,MATCH(V$2,Inputs!$K$4:$AJ$4,0))))+SUMPRODUCT((Inputs!$E$5:$E$120=$B43)*ISNUMBER(INDEX(Inputs!$K$5:$AJ$120,0,MATCH(V$2,Inputs!$K$4:$AJ$4,0))))=0,NA(),SUMPRODUCT((Inputs!$A$5:$A$120=$B43)*Inputs!$B$5:$B$120*(((Inputs!$G$5:$G$120="moeda")+(Inputs!$G$5:$G$120="acoes"))*Inputs!$B$1+((Inputs!$G$5:$G$120&lt;&gt;"moeda")*(Inputs!$G$5:$G$120&lt;&gt;"acoes")))*INDEX(Inputs!$K$5:$AJ$120,0,MATCH(V$2,Inputs!$K$4:$AJ$4,0)))+SUMPRODUCT((Inputs!$C$5:$C$120=$B43)*Inputs!$D$5:$D$120*(((Inputs!$G$5:$G$120="moeda")+(Inputs!$G$5:$G$120="acoes"))*Inputs!$B$1+((Inputs!$G$5:$G$120&lt;&gt;"moeda")*(Inputs!$G$5:$G$120&lt;&gt;"acoes")))*INDEX(Inputs!$K$5:$AJ$120,0,MATCH(V$2,Inputs!$K$4:$AJ$4,0)))+SUMPRODUCT((Inputs!$E$5:$E$120=$B43)*Inputs!$F$5:$F$120*(((Inputs!$G$5:$G$120="moeda")+(Inputs!$G$5:$G$120="acoes"))*Inputs!$B$1+((Inputs!$G$5:$G$120&lt;&gt;"moeda")*(Inputs!$G$5:$G$120&lt;&gt;"acoes")))*INDEX(Inputs!$K$5:$AJ$120,0,MATCH(V$2,Inputs!$K$4:$AJ$4,0)))))</f>
        <v>8031.7</v>
      </c>
      <c r="W43" s="3">
        <f>V43</f>
        <v>8031.7</v>
      </c>
      <c r="X43" s="6">
        <f>IF(ISNA(MATCH(X$2,Inputs!$K$4:$AJ$4,0)),NA(),IF(SUMPRODUCT((Inputs!$A$5:$A$120=$B43)*ISNUMBER(INDEX(Inputs!$K$5:$AJ$120,0,MATCH(X$2,Inputs!$K$4:$AJ$4,0))))+SUMPRODUCT((Inputs!$C$5:$C$120=$B43)*ISNUMBER(INDEX(Inputs!$K$5:$AJ$120,0,MATCH(X$2,Inputs!$K$4:$AJ$4,0))))+SUMPRODUCT((Inputs!$E$5:$E$120=$B43)*ISNUMBER(INDEX(Inputs!$K$5:$AJ$120,0,MATCH(X$2,Inputs!$K$4:$AJ$4,0))))=0,NA(),SUMPRODUCT((Inputs!$A$5:$A$120=$B43)*Inputs!$B$5:$B$120*(((Inputs!$G$5:$G$120="moeda")+(Inputs!$G$5:$G$120="acoes"))*Inputs!$B$1+((Inputs!$G$5:$G$120&lt;&gt;"moeda")*(Inputs!$G$5:$G$120&lt;&gt;"acoes")))*INDEX(Inputs!$K$5:$AJ$120,0,MATCH(X$2,Inputs!$K$4:$AJ$4,0)))+SUMPRODUCT((Inputs!$C$5:$C$120=$B43)*Inputs!$D$5:$D$120*(((Inputs!$G$5:$G$120="moeda")+(Inputs!$G$5:$G$120="acoes"))*Inputs!$B$1+((Inputs!$G$5:$G$120&lt;&gt;"moeda")*(Inputs!$G$5:$G$120&lt;&gt;"acoes")))*INDEX(Inputs!$K$5:$AJ$120,0,MATCH(X$2,Inputs!$K$4:$AJ$4,0)))+SUMPRODUCT((Inputs!$E$5:$E$120=$B43)*Inputs!$F$5:$F$120*(((Inputs!$G$5:$G$120="moeda")+(Inputs!$G$5:$G$120="acoes"))*Inputs!$B$1+((Inputs!$G$5:$G$120&lt;&gt;"moeda")*(Inputs!$G$5:$G$120&lt;&gt;"acoes")))*INDEX(Inputs!$K$5:$AJ$120,0,MATCH(X$2,Inputs!$K$4:$AJ$4,0)))))</f>
        <v>7502.6</v>
      </c>
      <c r="Y43" s="6">
        <f>IF(ISNA(MATCH(Y$2,Inputs!$K$4:$AJ$4,0)),NA(),IF(SUMPRODUCT((Inputs!$A$5:$A$120=$B43)*ISNUMBER(INDEX(Inputs!$K$5:$AJ$120,0,MATCH(Y$2,Inputs!$K$4:$AJ$4,0))))+SUMPRODUCT((Inputs!$C$5:$C$120=$B43)*ISNUMBER(INDEX(Inputs!$K$5:$AJ$120,0,MATCH(Y$2,Inputs!$K$4:$AJ$4,0))))+SUMPRODUCT((Inputs!$E$5:$E$120=$B43)*ISNUMBER(INDEX(Inputs!$K$5:$AJ$120,0,MATCH(Y$2,Inputs!$K$4:$AJ$4,0))))=0,NA(),SUMPRODUCT((Inputs!$A$5:$A$120=$B43)*Inputs!$B$5:$B$120*(((Inputs!$G$5:$G$120="moeda")+(Inputs!$G$5:$G$120="acoes"))*Inputs!$B$1+((Inputs!$G$5:$G$120&lt;&gt;"moeda")*(Inputs!$G$5:$G$120&lt;&gt;"acoes")))*INDEX(Inputs!$K$5:$AJ$120,0,MATCH(Y$2,Inputs!$K$4:$AJ$4,0)))+SUMPRODUCT((Inputs!$C$5:$C$120=$B43)*Inputs!$D$5:$D$120*(((Inputs!$G$5:$G$120="moeda")+(Inputs!$G$5:$G$120="acoes"))*Inputs!$B$1+((Inputs!$G$5:$G$120&lt;&gt;"moeda")*(Inputs!$G$5:$G$120&lt;&gt;"acoes")))*INDEX(Inputs!$K$5:$AJ$120,0,MATCH(Y$2,Inputs!$K$4:$AJ$4,0)))+SUMPRODUCT((Inputs!$E$5:$E$120=$B43)*Inputs!$F$5:$F$120*(((Inputs!$G$5:$G$120="moeda")+(Inputs!$G$5:$G$120="acoes"))*Inputs!$B$1+((Inputs!$G$5:$G$120&lt;&gt;"moeda")*(Inputs!$G$5:$G$120&lt;&gt;"acoes")))*INDEX(Inputs!$K$5:$AJ$120,0,MATCH(Y$2,Inputs!$K$4:$AJ$4,0)))))</f>
        <v>7681.3</v>
      </c>
      <c r="Z43" s="6">
        <f>IF(ISNA(MATCH(Z$2,Inputs!$K$4:$AJ$4,0)),NA(),IF(SUMPRODUCT((Inputs!$A$5:$A$120=$B43)*ISNUMBER(INDEX(Inputs!$K$5:$AJ$120,0,MATCH(Z$2,Inputs!$K$4:$AJ$4,0))))+SUMPRODUCT((Inputs!$C$5:$C$120=$B43)*ISNUMBER(INDEX(Inputs!$K$5:$AJ$120,0,MATCH(Z$2,Inputs!$K$4:$AJ$4,0))))+SUMPRODUCT((Inputs!$E$5:$E$120=$B43)*ISNUMBER(INDEX(Inputs!$K$5:$AJ$120,0,MATCH(Z$2,Inputs!$K$4:$AJ$4,0))))=0,NA(),SUMPRODUCT((Inputs!$A$5:$A$120=$B43)*Inputs!$B$5:$B$120*(((Inputs!$G$5:$G$120="moeda")+(Inputs!$G$5:$G$120="acoes"))*Inputs!$B$1+((Inputs!$G$5:$G$120&lt;&gt;"moeda")*(Inputs!$G$5:$G$120&lt;&gt;"acoes")))*INDEX(Inputs!$K$5:$AJ$120,0,MATCH(Z$2,Inputs!$K$4:$AJ$4,0)))+SUMPRODUCT((Inputs!$C$5:$C$120=$B43)*Inputs!$D$5:$D$120*(((Inputs!$G$5:$G$120="moeda")+(Inputs!$G$5:$G$120="acoes"))*Inputs!$B$1+((Inputs!$G$5:$G$120&lt;&gt;"moeda")*(Inputs!$G$5:$G$120&lt;&gt;"acoes")))*INDEX(Inputs!$K$5:$AJ$120,0,MATCH(Z$2,Inputs!$K$4:$AJ$4,0)))+SUMPRODUCT((Inputs!$E$5:$E$120=$B43)*Inputs!$F$5:$F$120*(((Inputs!$G$5:$G$120="moeda")+(Inputs!$G$5:$G$120="acoes"))*Inputs!$B$1+((Inputs!$G$5:$G$120&lt;&gt;"moeda")*(Inputs!$G$5:$G$120&lt;&gt;"acoes")))*INDEX(Inputs!$K$5:$AJ$120,0,MATCH(Z$2,Inputs!$K$4:$AJ$4,0)))))</f>
        <v>7823.3</v>
      </c>
      <c r="AA43" s="6">
        <f>IF(ISNA(MATCH(AA$2,Inputs!$K$4:$AJ$4,0)),NA(),IF(SUMPRODUCT((Inputs!$A$5:$A$120=$B43)*ISNUMBER(INDEX(Inputs!$K$5:$AJ$120,0,MATCH(AA$2,Inputs!$K$4:$AJ$4,0))))+SUMPRODUCT((Inputs!$C$5:$C$120=$B43)*ISNUMBER(INDEX(Inputs!$K$5:$AJ$120,0,MATCH(AA$2,Inputs!$K$4:$AJ$4,0))))+SUMPRODUCT((Inputs!$E$5:$E$120=$B43)*ISNUMBER(INDEX(Inputs!$K$5:$AJ$120,0,MATCH(AA$2,Inputs!$K$4:$AJ$4,0))))=0,NA(),SUMPRODUCT((Inputs!$A$5:$A$120=$B43)*Inputs!$B$5:$B$120*(((Inputs!$G$5:$G$120="moeda")+(Inputs!$G$5:$G$120="acoes"))*Inputs!$B$1+((Inputs!$G$5:$G$120&lt;&gt;"moeda")*(Inputs!$G$5:$G$120&lt;&gt;"acoes")))*INDEX(Inputs!$K$5:$AJ$120,0,MATCH(AA$2,Inputs!$K$4:$AJ$4,0)))+SUMPRODUCT((Inputs!$C$5:$C$120=$B43)*Inputs!$D$5:$D$120*(((Inputs!$G$5:$G$120="moeda")+(Inputs!$G$5:$G$120="acoes"))*Inputs!$B$1+((Inputs!$G$5:$G$120&lt;&gt;"moeda")*(Inputs!$G$5:$G$120&lt;&gt;"acoes")))*INDEX(Inputs!$K$5:$AJ$120,0,MATCH(AA$2,Inputs!$K$4:$AJ$4,0)))+SUMPRODUCT((Inputs!$E$5:$E$120=$B43)*Inputs!$F$5:$F$120*(((Inputs!$G$5:$G$120="moeda")+(Inputs!$G$5:$G$120="acoes"))*Inputs!$B$1+((Inputs!$G$5:$G$120&lt;&gt;"moeda")*(Inputs!$G$5:$G$120&lt;&gt;"acoes")))*INDEX(Inputs!$K$5:$AJ$120,0,MATCH(AA$2,Inputs!$K$4:$AJ$4,0)))))</f>
        <v>7936</v>
      </c>
      <c r="AB43" s="3">
        <f>AA43</f>
        <v>7936</v>
      </c>
      <c r="AC43" s="6">
        <f>IF(ISNA(MATCH(AC$2,Inputs!$K$4:$AJ$4,0)),NA(),IF(SUMPRODUCT((Inputs!$A$5:$A$120=$B43)*ISNUMBER(INDEX(Inputs!$K$5:$AJ$120,0,MATCH(AC$2,Inputs!$K$4:$AJ$4,0))))+SUMPRODUCT((Inputs!$C$5:$C$120=$B43)*ISNUMBER(INDEX(Inputs!$K$5:$AJ$120,0,MATCH(AC$2,Inputs!$K$4:$AJ$4,0))))+SUMPRODUCT((Inputs!$E$5:$E$120=$B43)*ISNUMBER(INDEX(Inputs!$K$5:$AJ$120,0,MATCH(AC$2,Inputs!$K$4:$AJ$4,0))))=0,NA(),SUMPRODUCT((Inputs!$A$5:$A$120=$B43)*Inputs!$B$5:$B$120*(((Inputs!$G$5:$G$120="moeda")+(Inputs!$G$5:$G$120="acoes"))*Inputs!$B$1+((Inputs!$G$5:$G$120&lt;&gt;"moeda")*(Inputs!$G$5:$G$120&lt;&gt;"acoes")))*INDEX(Inputs!$K$5:$AJ$120,0,MATCH(AC$2,Inputs!$K$4:$AJ$4,0)))+SUMPRODUCT((Inputs!$C$5:$C$120=$B43)*Inputs!$D$5:$D$120*(((Inputs!$G$5:$G$120="moeda")+(Inputs!$G$5:$G$120="acoes"))*Inputs!$B$1+((Inputs!$G$5:$G$120&lt;&gt;"moeda")*(Inputs!$G$5:$G$120&lt;&gt;"acoes")))*INDEX(Inputs!$K$5:$AJ$120,0,MATCH(AC$2,Inputs!$K$4:$AJ$4,0)))+SUMPRODUCT((Inputs!$E$5:$E$120=$B43)*Inputs!$F$5:$F$120*(((Inputs!$G$5:$G$120="moeda")+(Inputs!$G$5:$G$120="acoes"))*Inputs!$B$1+((Inputs!$G$5:$G$120&lt;&gt;"moeda")*(Inputs!$G$5:$G$120&lt;&gt;"acoes")))*INDEX(Inputs!$K$5:$AJ$120,0,MATCH(AC$2,Inputs!$K$4:$AJ$4,0)))))</f>
        <v>7511</v>
      </c>
      <c r="AD43" s="6">
        <f>IF(ISNA(MATCH(AD$2,Inputs!$K$4:$AJ$4,0)),NA(),IF(SUMPRODUCT((Inputs!$A$5:$A$120=$B43)*ISNUMBER(INDEX(Inputs!$K$5:$AJ$120,0,MATCH(AD$2,Inputs!$K$4:$AJ$4,0))))+SUMPRODUCT((Inputs!$C$5:$C$120=$B43)*ISNUMBER(INDEX(Inputs!$K$5:$AJ$120,0,MATCH(AD$2,Inputs!$K$4:$AJ$4,0))))+SUMPRODUCT((Inputs!$E$5:$E$120=$B43)*ISNUMBER(INDEX(Inputs!$K$5:$AJ$120,0,MATCH(AD$2,Inputs!$K$4:$AJ$4,0))))=0,NA(),SUMPRODUCT((Inputs!$A$5:$A$120=$B43)*Inputs!$B$5:$B$120*(((Inputs!$G$5:$G$120="moeda")+(Inputs!$G$5:$G$120="acoes"))*Inputs!$B$1+((Inputs!$G$5:$G$120&lt;&gt;"moeda")*(Inputs!$G$5:$G$120&lt;&gt;"acoes")))*INDEX(Inputs!$K$5:$AJ$120,0,MATCH(AD$2,Inputs!$K$4:$AJ$4,0)))+SUMPRODUCT((Inputs!$C$5:$C$120=$B43)*Inputs!$D$5:$D$120*(((Inputs!$G$5:$G$120="moeda")+(Inputs!$G$5:$G$120="acoes"))*Inputs!$B$1+((Inputs!$G$5:$G$120&lt;&gt;"moeda")*(Inputs!$G$5:$G$120&lt;&gt;"acoes")))*INDEX(Inputs!$K$5:$AJ$120,0,MATCH(AD$2,Inputs!$K$4:$AJ$4,0)))+SUMPRODUCT((Inputs!$E$5:$E$120=$B43)*Inputs!$F$5:$F$120*(((Inputs!$G$5:$G$120="moeda")+(Inputs!$G$5:$G$120="acoes"))*Inputs!$B$1+((Inputs!$G$5:$G$120&lt;&gt;"moeda")*(Inputs!$G$5:$G$120&lt;&gt;"acoes")))*INDEX(Inputs!$K$5:$AJ$120,0,MATCH(AD$2,Inputs!$K$4:$AJ$4,0)))))</f>
        <v>7705</v>
      </c>
      <c r="AE43" s="6" t="e">
        <f>IF(ISNA(MATCH(AE$2,Inputs!$K$4:$AJ$4,0)),NA(),IF(SUMPRODUCT((Inputs!$A$5:$A$120=$B43)*ISNUMBER(INDEX(Inputs!$K$5:$AJ$120,0,MATCH(AE$2,Inputs!$K$4:$AJ$4,0))))+SUMPRODUCT((Inputs!$C$5:$C$120=$B43)*ISNUMBER(INDEX(Inputs!$K$5:$AJ$120,0,MATCH(AE$2,Inputs!$K$4:$AJ$4,0))))+SUMPRODUCT((Inputs!$E$5:$E$120=$B43)*ISNUMBER(INDEX(Inputs!$K$5:$AJ$120,0,MATCH(AE$2,Inputs!$K$4:$AJ$4,0))))=0,NA(),SUMPRODUCT((Inputs!$A$5:$A$120=$B43)*Inputs!$B$5:$B$120*(((Inputs!$G$5:$G$120="moeda")+(Inputs!$G$5:$G$120="acoes"))*Inputs!$B$1+((Inputs!$G$5:$G$120&lt;&gt;"moeda")*(Inputs!$G$5:$G$120&lt;&gt;"acoes")))*INDEX(Inputs!$K$5:$AJ$120,0,MATCH(AE$2,Inputs!$K$4:$AJ$4,0)))+SUMPRODUCT((Inputs!$C$5:$C$120=$B43)*Inputs!$D$5:$D$120*(((Inputs!$G$5:$G$120="moeda")+(Inputs!$G$5:$G$120="acoes"))*Inputs!$B$1+((Inputs!$G$5:$G$120&lt;&gt;"moeda")*(Inputs!$G$5:$G$120&lt;&gt;"acoes")))*INDEX(Inputs!$K$5:$AJ$120,0,MATCH(AE$2,Inputs!$K$4:$AJ$4,0)))+SUMPRODUCT((Inputs!$E$5:$E$120=$B43)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3" s="6" t="e">
        <f>IF(ISNA(MATCH(AF$2,Inputs!$K$4:$AJ$4,0)),NA(),IF(SUMPRODUCT((Inputs!$A$5:$A$120=$B43)*ISNUMBER(INDEX(Inputs!$K$5:$AJ$120,0,MATCH(AF$2,Inputs!$K$4:$AJ$4,0))))+SUMPRODUCT((Inputs!$C$5:$C$120=$B43)*ISNUMBER(INDEX(Inputs!$K$5:$AJ$120,0,MATCH(AF$2,Inputs!$K$4:$AJ$4,0))))+SUMPRODUCT((Inputs!$E$5:$E$120=$B43)*ISNUMBER(INDEX(Inputs!$K$5:$AJ$120,0,MATCH(AF$2,Inputs!$K$4:$AJ$4,0))))=0,NA(),SUMPRODUCT((Inputs!$A$5:$A$120=$B43)*Inputs!$B$5:$B$120*(((Inputs!$G$5:$G$120="moeda")+(Inputs!$G$5:$G$120="acoes"))*Inputs!$B$1+((Inputs!$G$5:$G$120&lt;&gt;"moeda")*(Inputs!$G$5:$G$120&lt;&gt;"acoes")))*INDEX(Inputs!$K$5:$AJ$120,0,MATCH(AF$2,Inputs!$K$4:$AJ$4,0)))+SUMPRODUCT((Inputs!$C$5:$C$120=$B43)*Inputs!$D$5:$D$120*(((Inputs!$G$5:$G$120="moeda")+(Inputs!$G$5:$G$120="acoes"))*Inputs!$B$1+((Inputs!$G$5:$G$120&lt;&gt;"moeda")*(Inputs!$G$5:$G$120&lt;&gt;"acoes")))*INDEX(Inputs!$K$5:$AJ$120,0,MATCH(AF$2,Inputs!$K$4:$AJ$4,0)))+SUMPRODUCT((Inputs!$E$5:$E$120=$B43)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3" s="3" t="e">
        <f>AF43</f>
        <v>#N/A</v>
      </c>
      <c r="AH43" s="6">
        <f>IF(ISNA(MATCH(AH$2,Inputs!$K$4:$AJ$4,0)),NA(),IF(SUMPRODUCT((Inputs!$A$5:$A$120=$B43)*ISNUMBER(INDEX(Inputs!$K$5:$AJ$120,0,MATCH(AH$2,Inputs!$K$4:$AJ$4,0))))+SUMPRODUCT((Inputs!$C$5:$C$120=$B43)*ISNUMBER(INDEX(Inputs!$K$5:$AJ$120,0,MATCH(AH$2,Inputs!$K$4:$AJ$4,0))))+SUMPRODUCT((Inputs!$E$5:$E$120=$B43)*ISNUMBER(INDEX(Inputs!$K$5:$AJ$120,0,MATCH(AH$2,Inputs!$K$4:$AJ$4,0))))=0,NA(),SUMPRODUCT((Inputs!$A$5:$A$120=$B43)*Inputs!$B$5:$B$120*(((Inputs!$G$5:$G$120="moeda")+(Inputs!$G$5:$G$120="acoes"))*Inputs!$B$1+((Inputs!$G$5:$G$120&lt;&gt;"moeda")*(Inputs!$G$5:$G$120&lt;&gt;"acoes")))*INDEX(Inputs!$K$5:$AJ$120,0,MATCH(AH$2,Inputs!$K$4:$AJ$4,0)))+SUMPRODUCT((Inputs!$C$5:$C$120=$B43)*Inputs!$D$5:$D$120*(((Inputs!$G$5:$G$120="moeda")+(Inputs!$G$5:$G$120="acoes"))*Inputs!$B$1+((Inputs!$G$5:$G$120&lt;&gt;"moeda")*(Inputs!$G$5:$G$120&lt;&gt;"acoes")))*INDEX(Inputs!$K$5:$AJ$120,0,MATCH(AH$2,Inputs!$K$4:$AJ$4,0)))+SUMPRODUCT((Inputs!$E$5:$E$120=$B43)*Inputs!$F$5:$F$120*(((Inputs!$G$5:$G$120="moeda")+(Inputs!$G$5:$G$120="acoes"))*Inputs!$B$1+((Inputs!$G$5:$G$120&lt;&gt;"moeda")*(Inputs!$G$5:$G$120&lt;&gt;"acoes")))*INDEX(Inputs!$K$5:$AJ$120,0,MATCH(AH$2,Inputs!$K$4:$AJ$4,0)))))</f>
        <v>7154.2</v>
      </c>
      <c r="AI43" s="6">
        <f>IF(ISNA(MATCH(AI$2,Inputs!$K$4:$AJ$4,0)),NA(),IF(SUMPRODUCT((Inputs!$A$5:$A$120=$B43)*ISNUMBER(INDEX(Inputs!$K$5:$AJ$120,0,MATCH(AI$2,Inputs!$K$4:$AJ$4,0))))+SUMPRODUCT((Inputs!$C$5:$C$120=$B43)*ISNUMBER(INDEX(Inputs!$K$5:$AJ$120,0,MATCH(AI$2,Inputs!$K$4:$AJ$4,0))))+SUMPRODUCT((Inputs!$E$5:$E$120=$B43)*ISNUMBER(INDEX(Inputs!$K$5:$AJ$120,0,MATCH(AI$2,Inputs!$K$4:$AJ$4,0))))=0,NA(),SUMPRODUCT((Inputs!$A$5:$A$120=$B43)*Inputs!$B$5:$B$120*(((Inputs!$G$5:$G$120="moeda")+(Inputs!$G$5:$G$120="acoes"))*Inputs!$B$1+((Inputs!$G$5:$G$120&lt;&gt;"moeda")*(Inputs!$G$5:$G$120&lt;&gt;"acoes")))*INDEX(Inputs!$K$5:$AJ$120,0,MATCH(AI$2,Inputs!$K$4:$AJ$4,0)))+SUMPRODUCT((Inputs!$C$5:$C$120=$B43)*Inputs!$D$5:$D$120*(((Inputs!$G$5:$G$120="moeda")+(Inputs!$G$5:$G$120="acoes"))*Inputs!$B$1+((Inputs!$G$5:$G$120&lt;&gt;"moeda")*(Inputs!$G$5:$G$120&lt;&gt;"acoes")))*INDEX(Inputs!$K$5:$AJ$120,0,MATCH(AI$2,Inputs!$K$4:$AJ$4,0)))+SUMPRODUCT((Inputs!$E$5:$E$120=$B43)*Inputs!$F$5:$F$120*(((Inputs!$G$5:$G$120="moeda")+(Inputs!$G$5:$G$120="acoes"))*Inputs!$B$1+((Inputs!$G$5:$G$120&lt;&gt;"moeda")*(Inputs!$G$5:$G$120&lt;&gt;"acoes")))*INDEX(Inputs!$K$5:$AJ$120,0,MATCH(AI$2,Inputs!$K$4:$AJ$4,0)))))</f>
        <v>7227.5</v>
      </c>
      <c r="AJ43" s="6">
        <f>IF(ISNA(MATCH(AJ$2,Inputs!$K$4:$AJ$4,0)),NA(),IF(SUMPRODUCT((Inputs!$A$5:$A$120=$B43)*ISNUMBER(INDEX(Inputs!$K$5:$AJ$120,0,MATCH(AJ$2,Inputs!$K$4:$AJ$4,0))))+SUMPRODUCT((Inputs!$C$5:$C$120=$B43)*ISNUMBER(INDEX(Inputs!$K$5:$AJ$120,0,MATCH(AJ$2,Inputs!$K$4:$AJ$4,0))))+SUMPRODUCT((Inputs!$E$5:$E$120=$B43)*ISNUMBER(INDEX(Inputs!$K$5:$AJ$120,0,MATCH(AJ$2,Inputs!$K$4:$AJ$4,0))))=0,NA(),SUMPRODUCT((Inputs!$A$5:$A$120=$B43)*Inputs!$B$5:$B$120*(((Inputs!$G$5:$G$120="moeda")+(Inputs!$G$5:$G$120="acoes"))*Inputs!$B$1+((Inputs!$G$5:$G$120&lt;&gt;"moeda")*(Inputs!$G$5:$G$120&lt;&gt;"acoes")))*INDEX(Inputs!$K$5:$AJ$120,0,MATCH(AJ$2,Inputs!$K$4:$AJ$4,0)))+SUMPRODUCT((Inputs!$C$5:$C$120=$B43)*Inputs!$D$5:$D$120*(((Inputs!$G$5:$G$120="moeda")+(Inputs!$G$5:$G$120="acoes"))*Inputs!$B$1+((Inputs!$G$5:$G$120&lt;&gt;"moeda")*(Inputs!$G$5:$G$120&lt;&gt;"acoes")))*INDEX(Inputs!$K$5:$AJ$120,0,MATCH(AJ$2,Inputs!$K$4:$AJ$4,0)))+SUMPRODUCT((Inputs!$E$5:$E$120=$B43)*Inputs!$F$5:$F$120*(((Inputs!$G$5:$G$120="moeda")+(Inputs!$G$5:$G$120="acoes"))*Inputs!$B$1+((Inputs!$G$5:$G$120&lt;&gt;"moeda")*(Inputs!$G$5:$G$120&lt;&gt;"acoes")))*INDEX(Inputs!$K$5:$AJ$120,0,MATCH(AJ$2,Inputs!$K$4:$AJ$4,0)))))</f>
        <v>7296.9</v>
      </c>
      <c r="AK43" s="6">
        <f>IF(ISNA(MATCH(AK$2,Inputs!$K$4:$AJ$4,0)),NA(),IF(SUMPRODUCT((Inputs!$A$5:$A$120=$B43)*ISNUMBER(INDEX(Inputs!$K$5:$AJ$120,0,MATCH(AK$2,Inputs!$K$4:$AJ$4,0))))+SUMPRODUCT((Inputs!$C$5:$C$120=$B43)*ISNUMBER(INDEX(Inputs!$K$5:$AJ$120,0,MATCH(AK$2,Inputs!$K$4:$AJ$4,0))))+SUMPRODUCT((Inputs!$E$5:$E$120=$B43)*ISNUMBER(INDEX(Inputs!$K$5:$AJ$120,0,MATCH(AK$2,Inputs!$K$4:$AJ$4,0))))=0,NA(),SUMPRODUCT((Inputs!$A$5:$A$120=$B43)*Inputs!$B$5:$B$120*(((Inputs!$G$5:$G$120="moeda")+(Inputs!$G$5:$G$120="acoes"))*Inputs!$B$1+((Inputs!$G$5:$G$120&lt;&gt;"moeda")*(Inputs!$G$5:$G$120&lt;&gt;"acoes")))*INDEX(Inputs!$K$5:$AJ$120,0,MATCH(AK$2,Inputs!$K$4:$AJ$4,0)))+SUMPRODUCT((Inputs!$C$5:$C$120=$B43)*Inputs!$D$5:$D$120*(((Inputs!$G$5:$G$120="moeda")+(Inputs!$G$5:$G$120="acoes"))*Inputs!$B$1+((Inputs!$G$5:$G$120&lt;&gt;"moeda")*(Inputs!$G$5:$G$120&lt;&gt;"acoes")))*INDEX(Inputs!$K$5:$AJ$120,0,MATCH(AK$2,Inputs!$K$4:$AJ$4,0)))+SUMPRODUCT((Inputs!$E$5:$E$120=$B43)*Inputs!$F$5:$F$120*(((Inputs!$G$5:$G$120="moeda")+(Inputs!$G$5:$G$120="acoes"))*Inputs!$B$1+((Inputs!$G$5:$G$120&lt;&gt;"moeda")*(Inputs!$G$5:$G$120&lt;&gt;"acoes")))*INDEX(Inputs!$K$5:$AJ$120,0,MATCH(AK$2,Inputs!$K$4:$AJ$4,0)))))</f>
        <v>7376.7</v>
      </c>
      <c r="AL43" s="3">
        <f>AK43</f>
        <v>7376.7</v>
      </c>
    </row>
    <row r="44">
      <c r="B44" s="46" t="n">
        <v>38</v>
      </c>
      <c r="C44" s="26" t="inlineStr">
        <is>
          <t>Treasury stock (contra account)</t>
        </is>
      </c>
      <c r="D44" s="6">
        <f>IF(ISNA(MATCH(D$2,Inputs!$K$4:$AJ$4,0)),NA(),IF(SUMPRODUCT((Inputs!$A$5:$A$120=$B44)*ISNUMBER(INDEX(Inputs!$K$5:$AJ$120,0,MATCH(D$2,Inputs!$K$4:$AJ$4,0))))+SUMPRODUCT((Inputs!$C$5:$C$120=$B44)*ISNUMBER(INDEX(Inputs!$K$5:$AJ$120,0,MATCH(D$2,Inputs!$K$4:$AJ$4,0))))+SUMPRODUCT((Inputs!$E$5:$E$120=$B44)*ISNUMBER(INDEX(Inputs!$K$5:$AJ$120,0,MATCH(D$2,Inputs!$K$4:$AJ$4,0))))=0,NA(),SUMPRODUCT((Inputs!$A$5:$A$120=$B44)*Inputs!$B$5:$B$120*(((Inputs!$G$5:$G$120="moeda")+(Inputs!$G$5:$G$120="acoes"))*Inputs!$B$1+((Inputs!$G$5:$G$120&lt;&gt;"moeda")*(Inputs!$G$5:$G$120&lt;&gt;"acoes")))*INDEX(Inputs!$K$5:$AJ$120,0,MATCH(D$2,Inputs!$K$4:$AJ$4,0)))+SUMPRODUCT((Inputs!$C$5:$C$120=$B44)*Inputs!$D$5:$D$120*(((Inputs!$G$5:$G$120="moeda")+(Inputs!$G$5:$G$120="acoes"))*Inputs!$B$1+((Inputs!$G$5:$G$120&lt;&gt;"moeda")*(Inputs!$G$5:$G$120&lt;&gt;"acoes")))*INDEX(Inputs!$K$5:$AJ$120,0,MATCH(D$2,Inputs!$K$4:$AJ$4,0)))+SUMPRODUCT((Inputs!$E$5:$E$120=$B44)*Inputs!$F$5:$F$120*(((Inputs!$G$5:$G$120="moeda")+(Inputs!$G$5:$G$120="acoes"))*Inputs!$B$1+((Inputs!$G$5:$G$120&lt;&gt;"moeda")*(Inputs!$G$5:$G$120&lt;&gt;"acoes")))*INDEX(Inputs!$K$5:$AJ$120,0,MATCH(D$2,Inputs!$K$4:$AJ$4,0)))))</f>
        <v>-3065.9</v>
      </c>
      <c r="E44" s="6">
        <f>IF(ISNA(MATCH(E$2,Inputs!$K$4:$AJ$4,0)),NA(),IF(SUMPRODUCT((Inputs!$A$5:$A$120=$B44)*ISNUMBER(INDEX(Inputs!$K$5:$AJ$120,0,MATCH(E$2,Inputs!$K$4:$AJ$4,0))))+SUMPRODUCT((Inputs!$C$5:$C$120=$B44)*ISNUMBER(INDEX(Inputs!$K$5:$AJ$120,0,MATCH(E$2,Inputs!$K$4:$AJ$4,0))))+SUMPRODUCT((Inputs!$E$5:$E$120=$B44)*ISNUMBER(INDEX(Inputs!$K$5:$AJ$120,0,MATCH(E$2,Inputs!$K$4:$AJ$4,0))))=0,NA(),SUMPRODUCT((Inputs!$A$5:$A$120=$B44)*Inputs!$B$5:$B$120*(((Inputs!$G$5:$G$120="moeda")+(Inputs!$G$5:$G$120="acoes"))*Inputs!$B$1+((Inputs!$G$5:$G$120&lt;&gt;"moeda")*(Inputs!$G$5:$G$120&lt;&gt;"acoes")))*INDEX(Inputs!$K$5:$AJ$120,0,MATCH(E$2,Inputs!$K$4:$AJ$4,0)))+SUMPRODUCT((Inputs!$C$5:$C$120=$B44)*Inputs!$D$5:$D$120*(((Inputs!$G$5:$G$120="moeda")+(Inputs!$G$5:$G$120="acoes"))*Inputs!$B$1+((Inputs!$G$5:$G$120&lt;&gt;"moeda")*(Inputs!$G$5:$G$120&lt;&gt;"acoes")))*INDEX(Inputs!$K$5:$AJ$120,0,MATCH(E$2,Inputs!$K$4:$AJ$4,0)))+SUMPRODUCT((Inputs!$E$5:$E$120=$B44)*Inputs!$F$5:$F$120*(((Inputs!$G$5:$G$120="moeda")+(Inputs!$G$5:$G$120="acoes"))*Inputs!$B$1+((Inputs!$G$5:$G$120&lt;&gt;"moeda")*(Inputs!$G$5:$G$120&lt;&gt;"acoes")))*INDEX(Inputs!$K$5:$AJ$120,0,MATCH(E$2,Inputs!$K$4:$AJ$4,0)))))</f>
        <v>-3065.9</v>
      </c>
      <c r="F44" s="6">
        <f>IF(ISNA(MATCH(F$2,Inputs!$K$4:$AJ$4,0)),NA(),IF(SUMPRODUCT((Inputs!$A$5:$A$120=$B44)*ISNUMBER(INDEX(Inputs!$K$5:$AJ$120,0,MATCH(F$2,Inputs!$K$4:$AJ$4,0))))+SUMPRODUCT((Inputs!$C$5:$C$120=$B44)*ISNUMBER(INDEX(Inputs!$K$5:$AJ$120,0,MATCH(F$2,Inputs!$K$4:$AJ$4,0))))+SUMPRODUCT((Inputs!$E$5:$E$120=$B44)*ISNUMBER(INDEX(Inputs!$K$5:$AJ$120,0,MATCH(F$2,Inputs!$K$4:$AJ$4,0))))=0,NA(),SUMPRODUCT((Inputs!$A$5:$A$120=$B44)*Inputs!$B$5:$B$120*(((Inputs!$G$5:$G$120="moeda")+(Inputs!$G$5:$G$120="acoes"))*Inputs!$B$1+((Inputs!$G$5:$G$120&lt;&gt;"moeda")*(Inputs!$G$5:$G$120&lt;&gt;"acoes")))*INDEX(Inputs!$K$5:$AJ$120,0,MATCH(F$2,Inputs!$K$4:$AJ$4,0)))+SUMPRODUCT((Inputs!$C$5:$C$120=$B44)*Inputs!$D$5:$D$120*(((Inputs!$G$5:$G$120="moeda")+(Inputs!$G$5:$G$120="acoes"))*Inputs!$B$1+((Inputs!$G$5:$G$120&lt;&gt;"moeda")*(Inputs!$G$5:$G$120&lt;&gt;"acoes")))*INDEX(Inputs!$K$5:$AJ$120,0,MATCH(F$2,Inputs!$K$4:$AJ$4,0)))+SUMPRODUCT((Inputs!$E$5:$E$120=$B44)*Inputs!$F$5:$F$120*(((Inputs!$G$5:$G$120="moeda")+(Inputs!$G$5:$G$120="acoes"))*Inputs!$B$1+((Inputs!$G$5:$G$120&lt;&gt;"moeda")*(Inputs!$G$5:$G$120&lt;&gt;"acoes")))*INDEX(Inputs!$K$5:$AJ$120,0,MATCH(F$2,Inputs!$K$4:$AJ$4,0)))))</f>
        <v>-3065.9</v>
      </c>
      <c r="G44" s="6">
        <f>IF(ISNA(MATCH(G$2,Inputs!$K$4:$AJ$4,0)),NA(),IF(SUMPRODUCT((Inputs!$A$5:$A$120=$B44)*ISNUMBER(INDEX(Inputs!$K$5:$AJ$120,0,MATCH(G$2,Inputs!$K$4:$AJ$4,0))))+SUMPRODUCT((Inputs!$C$5:$C$120=$B44)*ISNUMBER(INDEX(Inputs!$K$5:$AJ$120,0,MATCH(G$2,Inputs!$K$4:$AJ$4,0))))+SUMPRODUCT((Inputs!$E$5:$E$120=$B44)*ISNUMBER(INDEX(Inputs!$K$5:$AJ$120,0,MATCH(G$2,Inputs!$K$4:$AJ$4,0))))=0,NA(),SUMPRODUCT((Inputs!$A$5:$A$120=$B44)*Inputs!$B$5:$B$120*(((Inputs!$G$5:$G$120="moeda")+(Inputs!$G$5:$G$120="acoes"))*Inputs!$B$1+((Inputs!$G$5:$G$120&lt;&gt;"moeda")*(Inputs!$G$5:$G$120&lt;&gt;"acoes")))*INDEX(Inputs!$K$5:$AJ$120,0,MATCH(G$2,Inputs!$K$4:$AJ$4,0)))+SUMPRODUCT((Inputs!$C$5:$C$120=$B44)*Inputs!$D$5:$D$120*(((Inputs!$G$5:$G$120="moeda")+(Inputs!$G$5:$G$120="acoes"))*Inputs!$B$1+((Inputs!$G$5:$G$120&lt;&gt;"moeda")*(Inputs!$G$5:$G$120&lt;&gt;"acoes")))*INDEX(Inputs!$K$5:$AJ$120,0,MATCH(G$2,Inputs!$K$4:$AJ$4,0)))+SUMPRODUCT((Inputs!$E$5:$E$120=$B44)*Inputs!$F$5:$F$120*(((Inputs!$G$5:$G$120="moeda")+(Inputs!$G$5:$G$120="acoes"))*Inputs!$B$1+((Inputs!$G$5:$G$120&lt;&gt;"moeda")*(Inputs!$G$5:$G$120&lt;&gt;"acoes")))*INDEX(Inputs!$K$5:$AJ$120,0,MATCH(G$2,Inputs!$K$4:$AJ$4,0)))))</f>
        <v>-3065.9</v>
      </c>
      <c r="H44" s="3">
        <f>G44</f>
        <v>-3065.9</v>
      </c>
      <c r="I44" s="6">
        <f>IF(ISNA(MATCH(I$2,Inputs!$K$4:$AJ$4,0)),NA(),IF(SUMPRODUCT((Inputs!$A$5:$A$120=$B44)*ISNUMBER(INDEX(Inputs!$K$5:$AJ$120,0,MATCH(I$2,Inputs!$K$4:$AJ$4,0))))+SUMPRODUCT((Inputs!$C$5:$C$120=$B44)*ISNUMBER(INDEX(Inputs!$K$5:$AJ$120,0,MATCH(I$2,Inputs!$K$4:$AJ$4,0))))+SUMPRODUCT((Inputs!$E$5:$E$120=$B44)*ISNUMBER(INDEX(Inputs!$K$5:$AJ$120,0,MATCH(I$2,Inputs!$K$4:$AJ$4,0))))=0,NA(),SUMPRODUCT((Inputs!$A$5:$A$120=$B44)*Inputs!$B$5:$B$120*(((Inputs!$G$5:$G$120="moeda")+(Inputs!$G$5:$G$120="acoes"))*Inputs!$B$1+((Inputs!$G$5:$G$120&lt;&gt;"moeda")*(Inputs!$G$5:$G$120&lt;&gt;"acoes")))*INDEX(Inputs!$K$5:$AJ$120,0,MATCH(I$2,Inputs!$K$4:$AJ$4,0)))+SUMPRODUCT((Inputs!$C$5:$C$120=$B44)*Inputs!$D$5:$D$120*(((Inputs!$G$5:$G$120="moeda")+(Inputs!$G$5:$G$120="acoes"))*Inputs!$B$1+((Inputs!$G$5:$G$120&lt;&gt;"moeda")*(Inputs!$G$5:$G$120&lt;&gt;"acoes")))*INDEX(Inputs!$K$5:$AJ$120,0,MATCH(I$2,Inputs!$K$4:$AJ$4,0)))+SUMPRODUCT((Inputs!$E$5:$E$120=$B44)*Inputs!$F$5:$F$120*(((Inputs!$G$5:$G$120="moeda")+(Inputs!$G$5:$G$120="acoes"))*Inputs!$B$1+((Inputs!$G$5:$G$120&lt;&gt;"moeda")*(Inputs!$G$5:$G$120&lt;&gt;"acoes")))*INDEX(Inputs!$K$5:$AJ$120,0,MATCH(I$2,Inputs!$K$4:$AJ$4,0)))))</f>
        <v>-3063.7</v>
      </c>
      <c r="J44" s="6">
        <f>IF(ISNA(MATCH(J$2,Inputs!$K$4:$AJ$4,0)),NA(),IF(SUMPRODUCT((Inputs!$A$5:$A$120=$B44)*ISNUMBER(INDEX(Inputs!$K$5:$AJ$120,0,MATCH(J$2,Inputs!$K$4:$AJ$4,0))))+SUMPRODUCT((Inputs!$C$5:$C$120=$B44)*ISNUMBER(INDEX(Inputs!$K$5:$AJ$120,0,MATCH(J$2,Inputs!$K$4:$AJ$4,0))))+SUMPRODUCT((Inputs!$E$5:$E$120=$B44)*ISNUMBER(INDEX(Inputs!$K$5:$AJ$120,0,MATCH(J$2,Inputs!$K$4:$AJ$4,0))))=0,NA(),SUMPRODUCT((Inputs!$A$5:$A$120=$B44)*Inputs!$B$5:$B$120*(((Inputs!$G$5:$G$120="moeda")+(Inputs!$G$5:$G$120="acoes"))*Inputs!$B$1+((Inputs!$G$5:$G$120&lt;&gt;"moeda")*(Inputs!$G$5:$G$120&lt;&gt;"acoes")))*INDEX(Inputs!$K$5:$AJ$120,0,MATCH(J$2,Inputs!$K$4:$AJ$4,0)))+SUMPRODUCT((Inputs!$C$5:$C$120=$B44)*Inputs!$D$5:$D$120*(((Inputs!$G$5:$G$120="moeda")+(Inputs!$G$5:$G$120="acoes"))*Inputs!$B$1+((Inputs!$G$5:$G$120&lt;&gt;"moeda")*(Inputs!$G$5:$G$120&lt;&gt;"acoes")))*INDEX(Inputs!$K$5:$AJ$120,0,MATCH(J$2,Inputs!$K$4:$AJ$4,0)))+SUMPRODUCT((Inputs!$E$5:$E$120=$B44)*Inputs!$F$5:$F$120*(((Inputs!$G$5:$G$120="moeda")+(Inputs!$G$5:$G$120="acoes"))*Inputs!$B$1+((Inputs!$G$5:$G$120&lt;&gt;"moeda")*(Inputs!$G$5:$G$120&lt;&gt;"acoes")))*INDEX(Inputs!$K$5:$AJ$120,0,MATCH(J$2,Inputs!$K$4:$AJ$4,0)))))</f>
        <v>-3063.7</v>
      </c>
      <c r="K44" s="6">
        <f>IF(ISNA(MATCH(K$2,Inputs!$K$4:$AJ$4,0)),NA(),IF(SUMPRODUCT((Inputs!$A$5:$A$120=$B44)*ISNUMBER(INDEX(Inputs!$K$5:$AJ$120,0,MATCH(K$2,Inputs!$K$4:$AJ$4,0))))+SUMPRODUCT((Inputs!$C$5:$C$120=$B44)*ISNUMBER(INDEX(Inputs!$K$5:$AJ$120,0,MATCH(K$2,Inputs!$K$4:$AJ$4,0))))+SUMPRODUCT((Inputs!$E$5:$E$120=$B44)*ISNUMBER(INDEX(Inputs!$K$5:$AJ$120,0,MATCH(K$2,Inputs!$K$4:$AJ$4,0))))=0,NA(),SUMPRODUCT((Inputs!$A$5:$A$120=$B44)*Inputs!$B$5:$B$120*(((Inputs!$G$5:$G$120="moeda")+(Inputs!$G$5:$G$120="acoes"))*Inputs!$B$1+((Inputs!$G$5:$G$120&lt;&gt;"moeda")*(Inputs!$G$5:$G$120&lt;&gt;"acoes")))*INDEX(Inputs!$K$5:$AJ$120,0,MATCH(K$2,Inputs!$K$4:$AJ$4,0)))+SUMPRODUCT((Inputs!$C$5:$C$120=$B44)*Inputs!$D$5:$D$120*(((Inputs!$G$5:$G$120="moeda")+(Inputs!$G$5:$G$120="acoes"))*Inputs!$B$1+((Inputs!$G$5:$G$120&lt;&gt;"moeda")*(Inputs!$G$5:$G$120&lt;&gt;"acoes")))*INDEX(Inputs!$K$5:$AJ$120,0,MATCH(K$2,Inputs!$K$4:$AJ$4,0)))+SUMPRODUCT((Inputs!$E$5:$E$120=$B44)*Inputs!$F$5:$F$120*(((Inputs!$G$5:$G$120="moeda")+(Inputs!$G$5:$G$120="acoes"))*Inputs!$B$1+((Inputs!$G$5:$G$120&lt;&gt;"moeda")*(Inputs!$G$5:$G$120&lt;&gt;"acoes")))*INDEX(Inputs!$K$5:$AJ$120,0,MATCH(K$2,Inputs!$K$4:$AJ$4,0)))))</f>
        <v>-3063.7</v>
      </c>
      <c r="L44" s="6">
        <f>IF(ISNA(MATCH(L$2,Inputs!$K$4:$AJ$4,0)),NA(),IF(SUMPRODUCT((Inputs!$A$5:$A$120=$B44)*ISNUMBER(INDEX(Inputs!$K$5:$AJ$120,0,MATCH(L$2,Inputs!$K$4:$AJ$4,0))))+SUMPRODUCT((Inputs!$C$5:$C$120=$B44)*ISNUMBER(INDEX(Inputs!$K$5:$AJ$120,0,MATCH(L$2,Inputs!$K$4:$AJ$4,0))))+SUMPRODUCT((Inputs!$E$5:$E$120=$B44)*ISNUMBER(INDEX(Inputs!$K$5:$AJ$120,0,MATCH(L$2,Inputs!$K$4:$AJ$4,0))))=0,NA(),SUMPRODUCT((Inputs!$A$5:$A$120=$B44)*Inputs!$B$5:$B$120*(((Inputs!$G$5:$G$120="moeda")+(Inputs!$G$5:$G$120="acoes"))*Inputs!$B$1+((Inputs!$G$5:$G$120&lt;&gt;"moeda")*(Inputs!$G$5:$G$120&lt;&gt;"acoes")))*INDEX(Inputs!$K$5:$AJ$120,0,MATCH(L$2,Inputs!$K$4:$AJ$4,0)))+SUMPRODUCT((Inputs!$C$5:$C$120=$B44)*Inputs!$D$5:$D$120*(((Inputs!$G$5:$G$120="moeda")+(Inputs!$G$5:$G$120="acoes"))*Inputs!$B$1+((Inputs!$G$5:$G$120&lt;&gt;"moeda")*(Inputs!$G$5:$G$120&lt;&gt;"acoes")))*INDEX(Inputs!$K$5:$AJ$120,0,MATCH(L$2,Inputs!$K$4:$AJ$4,0)))+SUMPRODUCT((Inputs!$E$5:$E$120=$B44)*Inputs!$F$5:$F$120*(((Inputs!$G$5:$G$120="moeda")+(Inputs!$G$5:$G$120="acoes"))*Inputs!$B$1+((Inputs!$G$5:$G$120&lt;&gt;"moeda")*(Inputs!$G$5:$G$120&lt;&gt;"acoes")))*INDEX(Inputs!$K$5:$AJ$120,0,MATCH(L$2,Inputs!$K$4:$AJ$4,0)))))</f>
        <v>-3063.7</v>
      </c>
      <c r="M44" s="3">
        <f>L44</f>
        <v>-3063.7</v>
      </c>
      <c r="N44" s="6">
        <f>IF(ISNA(MATCH(N$2,Inputs!$K$4:$AJ$4,0)),NA(),IF(SUMPRODUCT((Inputs!$A$5:$A$120=$B44)*ISNUMBER(INDEX(Inputs!$K$5:$AJ$120,0,MATCH(N$2,Inputs!$K$4:$AJ$4,0))))+SUMPRODUCT((Inputs!$C$5:$C$120=$B44)*ISNUMBER(INDEX(Inputs!$K$5:$AJ$120,0,MATCH(N$2,Inputs!$K$4:$AJ$4,0))))+SUMPRODUCT((Inputs!$E$5:$E$120=$B44)*ISNUMBER(INDEX(Inputs!$K$5:$AJ$120,0,MATCH(N$2,Inputs!$K$4:$AJ$4,0))))=0,NA(),SUMPRODUCT((Inputs!$A$5:$A$120=$B44)*Inputs!$B$5:$B$120*(((Inputs!$G$5:$G$120="moeda")+(Inputs!$G$5:$G$120="acoes"))*Inputs!$B$1+((Inputs!$G$5:$G$120&lt;&gt;"moeda")*(Inputs!$G$5:$G$120&lt;&gt;"acoes")))*INDEX(Inputs!$K$5:$AJ$120,0,MATCH(N$2,Inputs!$K$4:$AJ$4,0)))+SUMPRODUCT((Inputs!$C$5:$C$120=$B44)*Inputs!$D$5:$D$120*(((Inputs!$G$5:$G$120="moeda")+(Inputs!$G$5:$G$120="acoes"))*Inputs!$B$1+((Inputs!$G$5:$G$120&lt;&gt;"moeda")*(Inputs!$G$5:$G$120&lt;&gt;"acoes")))*INDEX(Inputs!$K$5:$AJ$120,0,MATCH(N$2,Inputs!$K$4:$AJ$4,0)))+SUMPRODUCT((Inputs!$E$5:$E$120=$B44)*Inputs!$F$5:$F$120*(((Inputs!$G$5:$G$120="moeda")+(Inputs!$G$5:$G$120="acoes"))*Inputs!$B$1+((Inputs!$G$5:$G$120&lt;&gt;"moeda")*(Inputs!$G$5:$G$120&lt;&gt;"acoes")))*INDEX(Inputs!$K$5:$AJ$120,0,MATCH(N$2,Inputs!$K$4:$AJ$4,0)))))</f>
        <v>-3058.2</v>
      </c>
      <c r="O44" s="6">
        <f>IF(ISNA(MATCH(O$2,Inputs!$K$4:$AJ$4,0)),NA(),IF(SUMPRODUCT((Inputs!$A$5:$A$120=$B44)*ISNUMBER(INDEX(Inputs!$K$5:$AJ$120,0,MATCH(O$2,Inputs!$K$4:$AJ$4,0))))+SUMPRODUCT((Inputs!$C$5:$C$120=$B44)*ISNUMBER(INDEX(Inputs!$K$5:$AJ$120,0,MATCH(O$2,Inputs!$K$4:$AJ$4,0))))+SUMPRODUCT((Inputs!$E$5:$E$120=$B44)*ISNUMBER(INDEX(Inputs!$K$5:$AJ$120,0,MATCH(O$2,Inputs!$K$4:$AJ$4,0))))=0,NA(),SUMPRODUCT((Inputs!$A$5:$A$120=$B44)*Inputs!$B$5:$B$120*(((Inputs!$G$5:$G$120="moeda")+(Inputs!$G$5:$G$120="acoes"))*Inputs!$B$1+((Inputs!$G$5:$G$120&lt;&gt;"moeda")*(Inputs!$G$5:$G$120&lt;&gt;"acoes")))*INDEX(Inputs!$K$5:$AJ$120,0,MATCH(O$2,Inputs!$K$4:$AJ$4,0)))+SUMPRODUCT((Inputs!$C$5:$C$120=$B44)*Inputs!$D$5:$D$120*(((Inputs!$G$5:$G$120="moeda")+(Inputs!$G$5:$G$120="acoes"))*Inputs!$B$1+((Inputs!$G$5:$G$120&lt;&gt;"moeda")*(Inputs!$G$5:$G$120&lt;&gt;"acoes")))*INDEX(Inputs!$K$5:$AJ$120,0,MATCH(O$2,Inputs!$K$4:$AJ$4,0)))+SUMPRODUCT((Inputs!$E$5:$E$120=$B44)*Inputs!$F$5:$F$120*(((Inputs!$G$5:$G$120="moeda")+(Inputs!$G$5:$G$120="acoes"))*Inputs!$B$1+((Inputs!$G$5:$G$120&lt;&gt;"moeda")*(Inputs!$G$5:$G$120&lt;&gt;"acoes")))*INDEX(Inputs!$K$5:$AJ$120,0,MATCH(O$2,Inputs!$K$4:$AJ$4,0)))))</f>
        <v>-3058.2</v>
      </c>
      <c r="P44" s="6">
        <f>IF(ISNA(MATCH(P$2,Inputs!$K$4:$AJ$4,0)),NA(),IF(SUMPRODUCT((Inputs!$A$5:$A$120=$B44)*ISNUMBER(INDEX(Inputs!$K$5:$AJ$120,0,MATCH(P$2,Inputs!$K$4:$AJ$4,0))))+SUMPRODUCT((Inputs!$C$5:$C$120=$B44)*ISNUMBER(INDEX(Inputs!$K$5:$AJ$120,0,MATCH(P$2,Inputs!$K$4:$AJ$4,0))))+SUMPRODUCT((Inputs!$E$5:$E$120=$B44)*ISNUMBER(INDEX(Inputs!$K$5:$AJ$120,0,MATCH(P$2,Inputs!$K$4:$AJ$4,0))))=0,NA(),SUMPRODUCT((Inputs!$A$5:$A$120=$B44)*Inputs!$B$5:$B$120*(((Inputs!$G$5:$G$120="moeda")+(Inputs!$G$5:$G$120="acoes"))*Inputs!$B$1+((Inputs!$G$5:$G$120&lt;&gt;"moeda")*(Inputs!$G$5:$G$120&lt;&gt;"acoes")))*INDEX(Inputs!$K$5:$AJ$120,0,MATCH(P$2,Inputs!$K$4:$AJ$4,0)))+SUMPRODUCT((Inputs!$C$5:$C$120=$B44)*Inputs!$D$5:$D$120*(((Inputs!$G$5:$G$120="moeda")+(Inputs!$G$5:$G$120="acoes"))*Inputs!$B$1+((Inputs!$G$5:$G$120&lt;&gt;"moeda")*(Inputs!$G$5:$G$120&lt;&gt;"acoes")))*INDEX(Inputs!$K$5:$AJ$120,0,MATCH(P$2,Inputs!$K$4:$AJ$4,0)))+SUMPRODUCT((Inputs!$E$5:$E$120=$B44)*Inputs!$F$5:$F$120*(((Inputs!$G$5:$G$120="moeda")+(Inputs!$G$5:$G$120="acoes"))*Inputs!$B$1+((Inputs!$G$5:$G$120&lt;&gt;"moeda")*(Inputs!$G$5:$G$120&lt;&gt;"acoes")))*INDEX(Inputs!$K$5:$AJ$120,0,MATCH(P$2,Inputs!$K$4:$AJ$4,0)))))</f>
        <v>-3058.2</v>
      </c>
      <c r="Q44" s="6">
        <f>IF(ISNA(MATCH(Q$2,Inputs!$K$4:$AJ$4,0)),NA(),IF(SUMPRODUCT((Inputs!$A$5:$A$120=$B44)*ISNUMBER(INDEX(Inputs!$K$5:$AJ$120,0,MATCH(Q$2,Inputs!$K$4:$AJ$4,0))))+SUMPRODUCT((Inputs!$C$5:$C$120=$B44)*ISNUMBER(INDEX(Inputs!$K$5:$AJ$120,0,MATCH(Q$2,Inputs!$K$4:$AJ$4,0))))+SUMPRODUCT((Inputs!$E$5:$E$120=$B44)*ISNUMBER(INDEX(Inputs!$K$5:$AJ$120,0,MATCH(Q$2,Inputs!$K$4:$AJ$4,0))))=0,NA(),SUMPRODUCT((Inputs!$A$5:$A$120=$B44)*Inputs!$B$5:$B$120*(((Inputs!$G$5:$G$120="moeda")+(Inputs!$G$5:$G$120="acoes"))*Inputs!$B$1+((Inputs!$G$5:$G$120&lt;&gt;"moeda")*(Inputs!$G$5:$G$120&lt;&gt;"acoes")))*INDEX(Inputs!$K$5:$AJ$120,0,MATCH(Q$2,Inputs!$K$4:$AJ$4,0)))+SUMPRODUCT((Inputs!$C$5:$C$120=$B44)*Inputs!$D$5:$D$120*(((Inputs!$G$5:$G$120="moeda")+(Inputs!$G$5:$G$120="acoes"))*Inputs!$B$1+((Inputs!$G$5:$G$120&lt;&gt;"moeda")*(Inputs!$G$5:$G$120&lt;&gt;"acoes")))*INDEX(Inputs!$K$5:$AJ$120,0,MATCH(Q$2,Inputs!$K$4:$AJ$4,0)))+SUMPRODUCT((Inputs!$E$5:$E$120=$B44)*Inputs!$F$5:$F$120*(((Inputs!$G$5:$G$120="moeda")+(Inputs!$G$5:$G$120="acoes"))*Inputs!$B$1+((Inputs!$G$5:$G$120&lt;&gt;"moeda")*(Inputs!$G$5:$G$120&lt;&gt;"acoes")))*INDEX(Inputs!$K$5:$AJ$120,0,MATCH(Q$2,Inputs!$K$4:$AJ$4,0)))))</f>
        <v>-3057.4</v>
      </c>
      <c r="R44" s="3">
        <f>Q44</f>
        <v>-3057.4</v>
      </c>
      <c r="S44" s="6">
        <f>IF(ISNA(MATCH(S$2,Inputs!$K$4:$AJ$4,0)),NA(),IF(SUMPRODUCT((Inputs!$A$5:$A$120=$B44)*ISNUMBER(INDEX(Inputs!$K$5:$AJ$120,0,MATCH(S$2,Inputs!$K$4:$AJ$4,0))))+SUMPRODUCT((Inputs!$C$5:$C$120=$B44)*ISNUMBER(INDEX(Inputs!$K$5:$AJ$120,0,MATCH(S$2,Inputs!$K$4:$AJ$4,0))))+SUMPRODUCT((Inputs!$E$5:$E$120=$B44)*ISNUMBER(INDEX(Inputs!$K$5:$AJ$120,0,MATCH(S$2,Inputs!$K$4:$AJ$4,0))))=0,NA(),SUMPRODUCT((Inputs!$A$5:$A$120=$B44)*Inputs!$B$5:$B$120*(((Inputs!$G$5:$G$120="moeda")+(Inputs!$G$5:$G$120="acoes"))*Inputs!$B$1+((Inputs!$G$5:$G$120&lt;&gt;"moeda")*(Inputs!$G$5:$G$120&lt;&gt;"acoes")))*INDEX(Inputs!$K$5:$AJ$120,0,MATCH(S$2,Inputs!$K$4:$AJ$4,0)))+SUMPRODUCT((Inputs!$C$5:$C$120=$B44)*Inputs!$D$5:$D$120*(((Inputs!$G$5:$G$120="moeda")+(Inputs!$G$5:$G$120="acoes"))*Inputs!$B$1+((Inputs!$G$5:$G$120&lt;&gt;"moeda")*(Inputs!$G$5:$G$120&lt;&gt;"acoes")))*INDEX(Inputs!$K$5:$AJ$120,0,MATCH(S$2,Inputs!$K$4:$AJ$4,0)))+SUMPRODUCT((Inputs!$E$5:$E$120=$B44)*Inputs!$F$5:$F$120*(((Inputs!$G$5:$G$120="moeda")+(Inputs!$G$5:$G$120="acoes"))*Inputs!$B$1+((Inputs!$G$5:$G$120&lt;&gt;"moeda")*(Inputs!$G$5:$G$120&lt;&gt;"acoes")))*INDEX(Inputs!$K$5:$AJ$120,0,MATCH(S$2,Inputs!$K$4:$AJ$4,0)))))</f>
        <v>-3045.9</v>
      </c>
      <c r="T44" s="6">
        <f>IF(ISNA(MATCH(T$2,Inputs!$K$4:$AJ$4,0)),NA(),IF(SUMPRODUCT((Inputs!$A$5:$A$120=$B44)*ISNUMBER(INDEX(Inputs!$K$5:$AJ$120,0,MATCH(T$2,Inputs!$K$4:$AJ$4,0))))+SUMPRODUCT((Inputs!$C$5:$C$120=$B44)*ISNUMBER(INDEX(Inputs!$K$5:$AJ$120,0,MATCH(T$2,Inputs!$K$4:$AJ$4,0))))+SUMPRODUCT((Inputs!$E$5:$E$120=$B44)*ISNUMBER(INDEX(Inputs!$K$5:$AJ$120,0,MATCH(T$2,Inputs!$K$4:$AJ$4,0))))=0,NA(),SUMPRODUCT((Inputs!$A$5:$A$120=$B44)*Inputs!$B$5:$B$120*(((Inputs!$G$5:$G$120="moeda")+(Inputs!$G$5:$G$120="acoes"))*Inputs!$B$1+((Inputs!$G$5:$G$120&lt;&gt;"moeda")*(Inputs!$G$5:$G$120&lt;&gt;"acoes")))*INDEX(Inputs!$K$5:$AJ$120,0,MATCH(T$2,Inputs!$K$4:$AJ$4,0)))+SUMPRODUCT((Inputs!$C$5:$C$120=$B44)*Inputs!$D$5:$D$120*(((Inputs!$G$5:$G$120="moeda")+(Inputs!$G$5:$G$120="acoes"))*Inputs!$B$1+((Inputs!$G$5:$G$120&lt;&gt;"moeda")*(Inputs!$G$5:$G$120&lt;&gt;"acoes")))*INDEX(Inputs!$K$5:$AJ$120,0,MATCH(T$2,Inputs!$K$4:$AJ$4,0)))+SUMPRODUCT((Inputs!$E$5:$E$120=$B44)*Inputs!$F$5:$F$120*(((Inputs!$G$5:$G$120="moeda")+(Inputs!$G$5:$G$120="acoes"))*Inputs!$B$1+((Inputs!$G$5:$G$120&lt;&gt;"moeda")*(Inputs!$G$5:$G$120&lt;&gt;"acoes")))*INDEX(Inputs!$K$5:$AJ$120,0,MATCH(T$2,Inputs!$K$4:$AJ$4,0)))))</f>
        <v>-3045.9</v>
      </c>
      <c r="U44" s="6">
        <f>IF(ISNA(MATCH(U$2,Inputs!$K$4:$AJ$4,0)),NA(),IF(SUMPRODUCT((Inputs!$A$5:$A$120=$B44)*ISNUMBER(INDEX(Inputs!$K$5:$AJ$120,0,MATCH(U$2,Inputs!$K$4:$AJ$4,0))))+SUMPRODUCT((Inputs!$C$5:$C$120=$B44)*ISNUMBER(INDEX(Inputs!$K$5:$AJ$120,0,MATCH(U$2,Inputs!$K$4:$AJ$4,0))))+SUMPRODUCT((Inputs!$E$5:$E$120=$B44)*ISNUMBER(INDEX(Inputs!$K$5:$AJ$120,0,MATCH(U$2,Inputs!$K$4:$AJ$4,0))))=0,NA(),SUMPRODUCT((Inputs!$A$5:$A$120=$B44)*Inputs!$B$5:$B$120*(((Inputs!$G$5:$G$120="moeda")+(Inputs!$G$5:$G$120="acoes"))*Inputs!$B$1+((Inputs!$G$5:$G$120&lt;&gt;"moeda")*(Inputs!$G$5:$G$120&lt;&gt;"acoes")))*INDEX(Inputs!$K$5:$AJ$120,0,MATCH(U$2,Inputs!$K$4:$AJ$4,0)))+SUMPRODUCT((Inputs!$C$5:$C$120=$B44)*Inputs!$D$5:$D$120*(((Inputs!$G$5:$G$120="moeda")+(Inputs!$G$5:$G$120="acoes"))*Inputs!$B$1+((Inputs!$G$5:$G$120&lt;&gt;"moeda")*(Inputs!$G$5:$G$120&lt;&gt;"acoes")))*INDEX(Inputs!$K$5:$AJ$120,0,MATCH(U$2,Inputs!$K$4:$AJ$4,0)))+SUMPRODUCT((Inputs!$E$5:$E$120=$B44)*Inputs!$F$5:$F$120*(((Inputs!$G$5:$G$120="moeda")+(Inputs!$G$5:$G$120="acoes"))*Inputs!$B$1+((Inputs!$G$5:$G$120&lt;&gt;"moeda")*(Inputs!$G$5:$G$120&lt;&gt;"acoes")))*INDEX(Inputs!$K$5:$AJ$120,0,MATCH(U$2,Inputs!$K$4:$AJ$4,0)))))</f>
        <v>-3045.9</v>
      </c>
      <c r="V44" s="6">
        <f>IF(ISNA(MATCH(V$2,Inputs!$K$4:$AJ$4,0)),NA(),IF(SUMPRODUCT((Inputs!$A$5:$A$120=$B44)*ISNUMBER(INDEX(Inputs!$K$5:$AJ$120,0,MATCH(V$2,Inputs!$K$4:$AJ$4,0))))+SUMPRODUCT((Inputs!$C$5:$C$120=$B44)*ISNUMBER(INDEX(Inputs!$K$5:$AJ$120,0,MATCH(V$2,Inputs!$K$4:$AJ$4,0))))+SUMPRODUCT((Inputs!$E$5:$E$120=$B44)*ISNUMBER(INDEX(Inputs!$K$5:$AJ$120,0,MATCH(V$2,Inputs!$K$4:$AJ$4,0))))=0,NA(),SUMPRODUCT((Inputs!$A$5:$A$120=$B44)*Inputs!$B$5:$B$120*(((Inputs!$G$5:$G$120="moeda")+(Inputs!$G$5:$G$120="acoes"))*Inputs!$B$1+((Inputs!$G$5:$G$120&lt;&gt;"moeda")*(Inputs!$G$5:$G$120&lt;&gt;"acoes")))*INDEX(Inputs!$K$5:$AJ$120,0,MATCH(V$2,Inputs!$K$4:$AJ$4,0)))+SUMPRODUCT((Inputs!$C$5:$C$120=$B44)*Inputs!$D$5:$D$120*(((Inputs!$G$5:$G$120="moeda")+(Inputs!$G$5:$G$120="acoes"))*Inputs!$B$1+((Inputs!$G$5:$G$120&lt;&gt;"moeda")*(Inputs!$G$5:$G$120&lt;&gt;"acoes")))*INDEX(Inputs!$K$5:$AJ$120,0,MATCH(V$2,Inputs!$K$4:$AJ$4,0)))+SUMPRODUCT((Inputs!$E$5:$E$120=$B44)*Inputs!$F$5:$F$120*(((Inputs!$G$5:$G$120="moeda")+(Inputs!$G$5:$G$120="acoes"))*Inputs!$B$1+((Inputs!$G$5:$G$120&lt;&gt;"moeda")*(Inputs!$G$5:$G$120&lt;&gt;"acoes")))*INDEX(Inputs!$K$5:$AJ$120,0,MATCH(V$2,Inputs!$K$4:$AJ$4,0)))))</f>
        <v>-3062.7</v>
      </c>
      <c r="W44" s="3">
        <f>V44</f>
        <v>-3062.7</v>
      </c>
      <c r="X44" s="6">
        <f>IF(ISNA(MATCH(X$2,Inputs!$K$4:$AJ$4,0)),NA(),IF(SUMPRODUCT((Inputs!$A$5:$A$120=$B44)*ISNUMBER(INDEX(Inputs!$K$5:$AJ$120,0,MATCH(X$2,Inputs!$K$4:$AJ$4,0))))+SUMPRODUCT((Inputs!$C$5:$C$120=$B44)*ISNUMBER(INDEX(Inputs!$K$5:$AJ$120,0,MATCH(X$2,Inputs!$K$4:$AJ$4,0))))+SUMPRODUCT((Inputs!$E$5:$E$120=$B44)*ISNUMBER(INDEX(Inputs!$K$5:$AJ$120,0,MATCH(X$2,Inputs!$K$4:$AJ$4,0))))=0,NA(),SUMPRODUCT((Inputs!$A$5:$A$120=$B44)*Inputs!$B$5:$B$120*(((Inputs!$G$5:$G$120="moeda")+(Inputs!$G$5:$G$120="acoes"))*Inputs!$B$1+((Inputs!$G$5:$G$120&lt;&gt;"moeda")*(Inputs!$G$5:$G$120&lt;&gt;"acoes")))*INDEX(Inputs!$K$5:$AJ$120,0,MATCH(X$2,Inputs!$K$4:$AJ$4,0)))+SUMPRODUCT((Inputs!$C$5:$C$120=$B44)*Inputs!$D$5:$D$120*(((Inputs!$G$5:$G$120="moeda")+(Inputs!$G$5:$G$120="acoes"))*Inputs!$B$1+((Inputs!$G$5:$G$120&lt;&gt;"moeda")*(Inputs!$G$5:$G$120&lt;&gt;"acoes")))*INDEX(Inputs!$K$5:$AJ$120,0,MATCH(X$2,Inputs!$K$4:$AJ$4,0)))+SUMPRODUCT((Inputs!$E$5:$E$120=$B44)*Inputs!$F$5:$F$120*(((Inputs!$G$5:$G$120="moeda")+(Inputs!$G$5:$G$120="acoes"))*Inputs!$B$1+((Inputs!$G$5:$G$120&lt;&gt;"moeda")*(Inputs!$G$5:$G$120&lt;&gt;"acoes")))*INDEX(Inputs!$K$5:$AJ$120,0,MATCH(X$2,Inputs!$K$4:$AJ$4,0)))))</f>
        <v>-3062.7</v>
      </c>
      <c r="Y44" s="6">
        <f>IF(ISNA(MATCH(Y$2,Inputs!$K$4:$AJ$4,0)),NA(),IF(SUMPRODUCT((Inputs!$A$5:$A$120=$B44)*ISNUMBER(INDEX(Inputs!$K$5:$AJ$120,0,MATCH(Y$2,Inputs!$K$4:$AJ$4,0))))+SUMPRODUCT((Inputs!$C$5:$C$120=$B44)*ISNUMBER(INDEX(Inputs!$K$5:$AJ$120,0,MATCH(Y$2,Inputs!$K$4:$AJ$4,0))))+SUMPRODUCT((Inputs!$E$5:$E$120=$B44)*ISNUMBER(INDEX(Inputs!$K$5:$AJ$120,0,MATCH(Y$2,Inputs!$K$4:$AJ$4,0))))=0,NA(),SUMPRODUCT((Inputs!$A$5:$A$120=$B44)*Inputs!$B$5:$B$120*(((Inputs!$G$5:$G$120="moeda")+(Inputs!$G$5:$G$120="acoes"))*Inputs!$B$1+((Inputs!$G$5:$G$120&lt;&gt;"moeda")*(Inputs!$G$5:$G$120&lt;&gt;"acoes")))*INDEX(Inputs!$K$5:$AJ$120,0,MATCH(Y$2,Inputs!$K$4:$AJ$4,0)))+SUMPRODUCT((Inputs!$C$5:$C$120=$B44)*Inputs!$D$5:$D$120*(((Inputs!$G$5:$G$120="moeda")+(Inputs!$G$5:$G$120="acoes"))*Inputs!$B$1+((Inputs!$G$5:$G$120&lt;&gt;"moeda")*(Inputs!$G$5:$G$120&lt;&gt;"acoes")))*INDEX(Inputs!$K$5:$AJ$120,0,MATCH(Y$2,Inputs!$K$4:$AJ$4,0)))+SUMPRODUCT((Inputs!$E$5:$E$120=$B44)*Inputs!$F$5:$F$120*(((Inputs!$G$5:$G$120="moeda")+(Inputs!$G$5:$G$120="acoes"))*Inputs!$B$1+((Inputs!$G$5:$G$120&lt;&gt;"moeda")*(Inputs!$G$5:$G$120&lt;&gt;"acoes")))*INDEX(Inputs!$K$5:$AJ$120,0,MATCH(Y$2,Inputs!$K$4:$AJ$4,0)))))</f>
        <v>-3068.6</v>
      </c>
      <c r="Z44" s="6">
        <f>IF(ISNA(MATCH(Z$2,Inputs!$K$4:$AJ$4,0)),NA(),IF(SUMPRODUCT((Inputs!$A$5:$A$120=$B44)*ISNUMBER(INDEX(Inputs!$K$5:$AJ$120,0,MATCH(Z$2,Inputs!$K$4:$AJ$4,0))))+SUMPRODUCT((Inputs!$C$5:$C$120=$B44)*ISNUMBER(INDEX(Inputs!$K$5:$AJ$120,0,MATCH(Z$2,Inputs!$K$4:$AJ$4,0))))+SUMPRODUCT((Inputs!$E$5:$E$120=$B44)*ISNUMBER(INDEX(Inputs!$K$5:$AJ$120,0,MATCH(Z$2,Inputs!$K$4:$AJ$4,0))))=0,NA(),SUMPRODUCT((Inputs!$A$5:$A$120=$B44)*Inputs!$B$5:$B$120*(((Inputs!$G$5:$G$120="moeda")+(Inputs!$G$5:$G$120="acoes"))*Inputs!$B$1+((Inputs!$G$5:$G$120&lt;&gt;"moeda")*(Inputs!$G$5:$G$120&lt;&gt;"acoes")))*INDEX(Inputs!$K$5:$AJ$120,0,MATCH(Z$2,Inputs!$K$4:$AJ$4,0)))+SUMPRODUCT((Inputs!$C$5:$C$120=$B44)*Inputs!$D$5:$D$120*(((Inputs!$G$5:$G$120="moeda")+(Inputs!$G$5:$G$120="acoes"))*Inputs!$B$1+((Inputs!$G$5:$G$120&lt;&gt;"moeda")*(Inputs!$G$5:$G$120&lt;&gt;"acoes")))*INDEX(Inputs!$K$5:$AJ$120,0,MATCH(Z$2,Inputs!$K$4:$AJ$4,0)))+SUMPRODUCT((Inputs!$E$5:$E$120=$B44)*Inputs!$F$5:$F$120*(((Inputs!$G$5:$G$120="moeda")+(Inputs!$G$5:$G$120="acoes"))*Inputs!$B$1+((Inputs!$G$5:$G$120&lt;&gt;"moeda")*(Inputs!$G$5:$G$120&lt;&gt;"acoes")))*INDEX(Inputs!$K$5:$AJ$120,0,MATCH(Z$2,Inputs!$K$4:$AJ$4,0)))))</f>
        <v>-3075.7</v>
      </c>
      <c r="AA44" s="6">
        <f>IF(ISNA(MATCH(AA$2,Inputs!$K$4:$AJ$4,0)),NA(),IF(SUMPRODUCT((Inputs!$A$5:$A$120=$B44)*ISNUMBER(INDEX(Inputs!$K$5:$AJ$120,0,MATCH(AA$2,Inputs!$K$4:$AJ$4,0))))+SUMPRODUCT((Inputs!$C$5:$C$120=$B44)*ISNUMBER(INDEX(Inputs!$K$5:$AJ$120,0,MATCH(AA$2,Inputs!$K$4:$AJ$4,0))))+SUMPRODUCT((Inputs!$E$5:$E$120=$B44)*ISNUMBER(INDEX(Inputs!$K$5:$AJ$120,0,MATCH(AA$2,Inputs!$K$4:$AJ$4,0))))=0,NA(),SUMPRODUCT((Inputs!$A$5:$A$120=$B44)*Inputs!$B$5:$B$120*(((Inputs!$G$5:$G$120="moeda")+(Inputs!$G$5:$G$120="acoes"))*Inputs!$B$1+((Inputs!$G$5:$G$120&lt;&gt;"moeda")*(Inputs!$G$5:$G$120&lt;&gt;"acoes")))*INDEX(Inputs!$K$5:$AJ$120,0,MATCH(AA$2,Inputs!$K$4:$AJ$4,0)))+SUMPRODUCT((Inputs!$C$5:$C$120=$B44)*Inputs!$D$5:$D$120*(((Inputs!$G$5:$G$120="moeda")+(Inputs!$G$5:$G$120="acoes"))*Inputs!$B$1+((Inputs!$G$5:$G$120&lt;&gt;"moeda")*(Inputs!$G$5:$G$120&lt;&gt;"acoes")))*INDEX(Inputs!$K$5:$AJ$120,0,MATCH(AA$2,Inputs!$K$4:$AJ$4,0)))+SUMPRODUCT((Inputs!$E$5:$E$120=$B44)*Inputs!$F$5:$F$120*(((Inputs!$G$5:$G$120="moeda")+(Inputs!$G$5:$G$120="acoes"))*Inputs!$B$1+((Inputs!$G$5:$G$120&lt;&gt;"moeda")*(Inputs!$G$5:$G$120&lt;&gt;"acoes")))*INDEX(Inputs!$K$5:$AJ$120,0,MATCH(AA$2,Inputs!$K$4:$AJ$4,0)))))</f>
        <v>-3013</v>
      </c>
      <c r="AB44" s="3">
        <f>AA44</f>
        <v>-3013</v>
      </c>
      <c r="AC44" s="6">
        <f>IF(ISNA(MATCH(AC$2,Inputs!$K$4:$AJ$4,0)),NA(),IF(SUMPRODUCT((Inputs!$A$5:$A$120=$B44)*ISNUMBER(INDEX(Inputs!$K$5:$AJ$120,0,MATCH(AC$2,Inputs!$K$4:$AJ$4,0))))+SUMPRODUCT((Inputs!$C$5:$C$120=$B44)*ISNUMBER(INDEX(Inputs!$K$5:$AJ$120,0,MATCH(AC$2,Inputs!$K$4:$AJ$4,0))))+SUMPRODUCT((Inputs!$E$5:$E$120=$B44)*ISNUMBER(INDEX(Inputs!$K$5:$AJ$120,0,MATCH(AC$2,Inputs!$K$4:$AJ$4,0))))=0,NA(),SUMPRODUCT((Inputs!$A$5:$A$120=$B44)*Inputs!$B$5:$B$120*(((Inputs!$G$5:$G$120="moeda")+(Inputs!$G$5:$G$120="acoes"))*Inputs!$B$1+((Inputs!$G$5:$G$120&lt;&gt;"moeda")*(Inputs!$G$5:$G$120&lt;&gt;"acoes")))*INDEX(Inputs!$K$5:$AJ$120,0,MATCH(AC$2,Inputs!$K$4:$AJ$4,0)))+SUMPRODUCT((Inputs!$C$5:$C$120=$B44)*Inputs!$D$5:$D$120*(((Inputs!$G$5:$G$120="moeda")+(Inputs!$G$5:$G$120="acoes"))*Inputs!$B$1+((Inputs!$G$5:$G$120&lt;&gt;"moeda")*(Inputs!$G$5:$G$120&lt;&gt;"acoes")))*INDEX(Inputs!$K$5:$AJ$120,0,MATCH(AC$2,Inputs!$K$4:$AJ$4,0)))+SUMPRODUCT((Inputs!$E$5:$E$120=$B44)*Inputs!$F$5:$F$120*(((Inputs!$G$5:$G$120="moeda")+(Inputs!$G$5:$G$120="acoes"))*Inputs!$B$1+((Inputs!$G$5:$G$120&lt;&gt;"moeda")*(Inputs!$G$5:$G$120&lt;&gt;"acoes")))*INDEX(Inputs!$K$5:$AJ$120,0,MATCH(AC$2,Inputs!$K$4:$AJ$4,0)))))</f>
        <v>-3013</v>
      </c>
      <c r="AD44" s="6">
        <f>IF(ISNA(MATCH(AD$2,Inputs!$K$4:$AJ$4,0)),NA(),IF(SUMPRODUCT((Inputs!$A$5:$A$120=$B44)*ISNUMBER(INDEX(Inputs!$K$5:$AJ$120,0,MATCH(AD$2,Inputs!$K$4:$AJ$4,0))))+SUMPRODUCT((Inputs!$C$5:$C$120=$B44)*ISNUMBER(INDEX(Inputs!$K$5:$AJ$120,0,MATCH(AD$2,Inputs!$K$4:$AJ$4,0))))+SUMPRODUCT((Inputs!$E$5:$E$120=$B44)*ISNUMBER(INDEX(Inputs!$K$5:$AJ$120,0,MATCH(AD$2,Inputs!$K$4:$AJ$4,0))))=0,NA(),SUMPRODUCT((Inputs!$A$5:$A$120=$B44)*Inputs!$B$5:$B$120*(((Inputs!$G$5:$G$120="moeda")+(Inputs!$G$5:$G$120="acoes"))*Inputs!$B$1+((Inputs!$G$5:$G$120&lt;&gt;"moeda")*(Inputs!$G$5:$G$120&lt;&gt;"acoes")))*INDEX(Inputs!$K$5:$AJ$120,0,MATCH(AD$2,Inputs!$K$4:$AJ$4,0)))+SUMPRODUCT((Inputs!$C$5:$C$120=$B44)*Inputs!$D$5:$D$120*(((Inputs!$G$5:$G$120="moeda")+(Inputs!$G$5:$G$120="acoes"))*Inputs!$B$1+((Inputs!$G$5:$G$120&lt;&gt;"moeda")*(Inputs!$G$5:$G$120&lt;&gt;"acoes")))*INDEX(Inputs!$K$5:$AJ$120,0,MATCH(AD$2,Inputs!$K$4:$AJ$4,0)))+SUMPRODUCT((Inputs!$E$5:$E$120=$B44)*Inputs!$F$5:$F$120*(((Inputs!$G$5:$G$120="moeda")+(Inputs!$G$5:$G$120="acoes"))*Inputs!$B$1+((Inputs!$G$5:$G$120&lt;&gt;"moeda")*(Inputs!$G$5:$G$120&lt;&gt;"acoes")))*INDEX(Inputs!$K$5:$AJ$120,0,MATCH(AD$2,Inputs!$K$4:$AJ$4,0)))))</f>
        <v>-3013</v>
      </c>
      <c r="AE44" s="6" t="e">
        <f>IF(ISNA(MATCH(AE$2,Inputs!$K$4:$AJ$4,0)),NA(),IF(SUMPRODUCT((Inputs!$A$5:$A$120=$B44)*ISNUMBER(INDEX(Inputs!$K$5:$AJ$120,0,MATCH(AE$2,Inputs!$K$4:$AJ$4,0))))+SUMPRODUCT((Inputs!$C$5:$C$120=$B44)*ISNUMBER(INDEX(Inputs!$K$5:$AJ$120,0,MATCH(AE$2,Inputs!$K$4:$AJ$4,0))))+SUMPRODUCT((Inputs!$E$5:$E$120=$B44)*ISNUMBER(INDEX(Inputs!$K$5:$AJ$120,0,MATCH(AE$2,Inputs!$K$4:$AJ$4,0))))=0,NA(),SUMPRODUCT((Inputs!$A$5:$A$120=$B44)*Inputs!$B$5:$B$120*(((Inputs!$G$5:$G$120="moeda")+(Inputs!$G$5:$G$120="acoes"))*Inputs!$B$1+((Inputs!$G$5:$G$120&lt;&gt;"moeda")*(Inputs!$G$5:$G$120&lt;&gt;"acoes")))*INDEX(Inputs!$K$5:$AJ$120,0,MATCH(AE$2,Inputs!$K$4:$AJ$4,0)))+SUMPRODUCT((Inputs!$C$5:$C$120=$B44)*Inputs!$D$5:$D$120*(((Inputs!$G$5:$G$120="moeda")+(Inputs!$G$5:$G$120="acoes"))*Inputs!$B$1+((Inputs!$G$5:$G$120&lt;&gt;"moeda")*(Inputs!$G$5:$G$120&lt;&gt;"acoes")))*INDEX(Inputs!$K$5:$AJ$120,0,MATCH(AE$2,Inputs!$K$4:$AJ$4,0)))+SUMPRODUCT((Inputs!$E$5:$E$120=$B44)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4" s="6" t="e">
        <f>IF(ISNA(MATCH(AF$2,Inputs!$K$4:$AJ$4,0)),NA(),IF(SUMPRODUCT((Inputs!$A$5:$A$120=$B44)*ISNUMBER(INDEX(Inputs!$K$5:$AJ$120,0,MATCH(AF$2,Inputs!$K$4:$AJ$4,0))))+SUMPRODUCT((Inputs!$C$5:$C$120=$B44)*ISNUMBER(INDEX(Inputs!$K$5:$AJ$120,0,MATCH(AF$2,Inputs!$K$4:$AJ$4,0))))+SUMPRODUCT((Inputs!$E$5:$E$120=$B44)*ISNUMBER(INDEX(Inputs!$K$5:$AJ$120,0,MATCH(AF$2,Inputs!$K$4:$AJ$4,0))))=0,NA(),SUMPRODUCT((Inputs!$A$5:$A$120=$B44)*Inputs!$B$5:$B$120*(((Inputs!$G$5:$G$120="moeda")+(Inputs!$G$5:$G$120="acoes"))*Inputs!$B$1+((Inputs!$G$5:$G$120&lt;&gt;"moeda")*(Inputs!$G$5:$G$120&lt;&gt;"acoes")))*INDEX(Inputs!$K$5:$AJ$120,0,MATCH(AF$2,Inputs!$K$4:$AJ$4,0)))+SUMPRODUCT((Inputs!$C$5:$C$120=$B44)*Inputs!$D$5:$D$120*(((Inputs!$G$5:$G$120="moeda")+(Inputs!$G$5:$G$120="acoes"))*Inputs!$B$1+((Inputs!$G$5:$G$120&lt;&gt;"moeda")*(Inputs!$G$5:$G$120&lt;&gt;"acoes")))*INDEX(Inputs!$K$5:$AJ$120,0,MATCH(AF$2,Inputs!$K$4:$AJ$4,0)))+SUMPRODUCT((Inputs!$E$5:$E$120=$B44)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4" s="3" t="e">
        <f>AF44</f>
        <v>#N/A</v>
      </c>
      <c r="AH44" s="6">
        <f>IF(ISNA(MATCH(AH$2,Inputs!$K$4:$AJ$4,0)),NA(),IF(SUMPRODUCT((Inputs!$A$5:$A$120=$B44)*ISNUMBER(INDEX(Inputs!$K$5:$AJ$120,0,MATCH(AH$2,Inputs!$K$4:$AJ$4,0))))+SUMPRODUCT((Inputs!$C$5:$C$120=$B44)*ISNUMBER(INDEX(Inputs!$K$5:$AJ$120,0,MATCH(AH$2,Inputs!$K$4:$AJ$4,0))))+SUMPRODUCT((Inputs!$E$5:$E$120=$B44)*ISNUMBER(INDEX(Inputs!$K$5:$AJ$120,0,MATCH(AH$2,Inputs!$K$4:$AJ$4,0))))=0,NA(),SUMPRODUCT((Inputs!$A$5:$A$120=$B44)*Inputs!$B$5:$B$120*(((Inputs!$G$5:$G$120="moeda")+(Inputs!$G$5:$G$120="acoes"))*Inputs!$B$1+((Inputs!$G$5:$G$120&lt;&gt;"moeda")*(Inputs!$G$5:$G$120&lt;&gt;"acoes")))*INDEX(Inputs!$K$5:$AJ$120,0,MATCH(AH$2,Inputs!$K$4:$AJ$4,0)))+SUMPRODUCT((Inputs!$C$5:$C$120=$B44)*Inputs!$D$5:$D$120*(((Inputs!$G$5:$G$120="moeda")+(Inputs!$G$5:$G$120="acoes"))*Inputs!$B$1+((Inputs!$G$5:$G$120&lt;&gt;"moeda")*(Inputs!$G$5:$G$120&lt;&gt;"acoes")))*INDEX(Inputs!$K$5:$AJ$120,0,MATCH(AH$2,Inputs!$K$4:$AJ$4,0)))+SUMPRODUCT((Inputs!$E$5:$E$120=$B44)*Inputs!$F$5:$F$120*(((Inputs!$G$5:$G$120="moeda")+(Inputs!$G$5:$G$120="acoes"))*Inputs!$B$1+((Inputs!$G$5:$G$120&lt;&gt;"moeda")*(Inputs!$G$5:$G$120&lt;&gt;"acoes")))*INDEX(Inputs!$K$5:$AJ$120,0,MATCH(AH$2,Inputs!$K$4:$AJ$4,0)))))</f>
        <v>-3068.9</v>
      </c>
      <c r="AI44" s="6">
        <f>IF(ISNA(MATCH(AI$2,Inputs!$K$4:$AJ$4,0)),NA(),IF(SUMPRODUCT((Inputs!$A$5:$A$120=$B44)*ISNUMBER(INDEX(Inputs!$K$5:$AJ$120,0,MATCH(AI$2,Inputs!$K$4:$AJ$4,0))))+SUMPRODUCT((Inputs!$C$5:$C$120=$B44)*ISNUMBER(INDEX(Inputs!$K$5:$AJ$120,0,MATCH(AI$2,Inputs!$K$4:$AJ$4,0))))+SUMPRODUCT((Inputs!$E$5:$E$120=$B44)*ISNUMBER(INDEX(Inputs!$K$5:$AJ$120,0,MATCH(AI$2,Inputs!$K$4:$AJ$4,0))))=0,NA(),SUMPRODUCT((Inputs!$A$5:$A$120=$B44)*Inputs!$B$5:$B$120*(((Inputs!$G$5:$G$120="moeda")+(Inputs!$G$5:$G$120="acoes"))*Inputs!$B$1+((Inputs!$G$5:$G$120&lt;&gt;"moeda")*(Inputs!$G$5:$G$120&lt;&gt;"acoes")))*INDEX(Inputs!$K$5:$AJ$120,0,MATCH(AI$2,Inputs!$K$4:$AJ$4,0)))+SUMPRODUCT((Inputs!$C$5:$C$120=$B44)*Inputs!$D$5:$D$120*(((Inputs!$G$5:$G$120="moeda")+(Inputs!$G$5:$G$120="acoes"))*Inputs!$B$1+((Inputs!$G$5:$G$120&lt;&gt;"moeda")*(Inputs!$G$5:$G$120&lt;&gt;"acoes")))*INDEX(Inputs!$K$5:$AJ$120,0,MATCH(AI$2,Inputs!$K$4:$AJ$4,0)))+SUMPRODUCT((Inputs!$E$5:$E$120=$B44)*Inputs!$F$5:$F$120*(((Inputs!$G$5:$G$120="moeda")+(Inputs!$G$5:$G$120="acoes"))*Inputs!$B$1+((Inputs!$G$5:$G$120&lt;&gt;"moeda")*(Inputs!$G$5:$G$120&lt;&gt;"acoes")))*INDEX(Inputs!$K$5:$AJ$120,0,MATCH(AI$2,Inputs!$K$4:$AJ$4,0)))))</f>
        <v>-3068.9</v>
      </c>
      <c r="AJ44" s="6">
        <f>IF(ISNA(MATCH(AJ$2,Inputs!$K$4:$AJ$4,0)),NA(),IF(SUMPRODUCT((Inputs!$A$5:$A$120=$B44)*ISNUMBER(INDEX(Inputs!$K$5:$AJ$120,0,MATCH(AJ$2,Inputs!$K$4:$AJ$4,0))))+SUMPRODUCT((Inputs!$C$5:$C$120=$B44)*ISNUMBER(INDEX(Inputs!$K$5:$AJ$120,0,MATCH(AJ$2,Inputs!$K$4:$AJ$4,0))))+SUMPRODUCT((Inputs!$E$5:$E$120=$B44)*ISNUMBER(INDEX(Inputs!$K$5:$AJ$120,0,MATCH(AJ$2,Inputs!$K$4:$AJ$4,0))))=0,NA(),SUMPRODUCT((Inputs!$A$5:$A$120=$B44)*Inputs!$B$5:$B$120*(((Inputs!$G$5:$G$120="moeda")+(Inputs!$G$5:$G$120="acoes"))*Inputs!$B$1+((Inputs!$G$5:$G$120&lt;&gt;"moeda")*(Inputs!$G$5:$G$120&lt;&gt;"acoes")))*INDEX(Inputs!$K$5:$AJ$120,0,MATCH(AJ$2,Inputs!$K$4:$AJ$4,0)))+SUMPRODUCT((Inputs!$C$5:$C$120=$B44)*Inputs!$D$5:$D$120*(((Inputs!$G$5:$G$120="moeda")+(Inputs!$G$5:$G$120="acoes"))*Inputs!$B$1+((Inputs!$G$5:$G$120&lt;&gt;"moeda")*(Inputs!$G$5:$G$120&lt;&gt;"acoes")))*INDEX(Inputs!$K$5:$AJ$120,0,MATCH(AJ$2,Inputs!$K$4:$AJ$4,0)))+SUMPRODUCT((Inputs!$E$5:$E$120=$B44)*Inputs!$F$5:$F$120*(((Inputs!$G$5:$G$120="moeda")+(Inputs!$G$5:$G$120="acoes"))*Inputs!$B$1+((Inputs!$G$5:$G$120&lt;&gt;"moeda")*(Inputs!$G$5:$G$120&lt;&gt;"acoes")))*INDEX(Inputs!$K$5:$AJ$120,0,MATCH(AJ$2,Inputs!$K$4:$AJ$4,0)))))</f>
        <v>-3068.9</v>
      </c>
      <c r="AK44" s="6">
        <f>IF(ISNA(MATCH(AK$2,Inputs!$K$4:$AJ$4,0)),NA(),IF(SUMPRODUCT((Inputs!$A$5:$A$120=$B44)*ISNUMBER(INDEX(Inputs!$K$5:$AJ$120,0,MATCH(AK$2,Inputs!$K$4:$AJ$4,0))))+SUMPRODUCT((Inputs!$C$5:$C$120=$B44)*ISNUMBER(INDEX(Inputs!$K$5:$AJ$120,0,MATCH(AK$2,Inputs!$K$4:$AJ$4,0))))+SUMPRODUCT((Inputs!$E$5:$E$120=$B44)*ISNUMBER(INDEX(Inputs!$K$5:$AJ$120,0,MATCH(AK$2,Inputs!$K$4:$AJ$4,0))))=0,NA(),SUMPRODUCT((Inputs!$A$5:$A$120=$B44)*Inputs!$B$5:$B$120*(((Inputs!$G$5:$G$120="moeda")+(Inputs!$G$5:$G$120="acoes"))*Inputs!$B$1+((Inputs!$G$5:$G$120&lt;&gt;"moeda")*(Inputs!$G$5:$G$120&lt;&gt;"acoes")))*INDEX(Inputs!$K$5:$AJ$120,0,MATCH(AK$2,Inputs!$K$4:$AJ$4,0)))+SUMPRODUCT((Inputs!$C$5:$C$120=$B44)*Inputs!$D$5:$D$120*(((Inputs!$G$5:$G$120="moeda")+(Inputs!$G$5:$G$120="acoes"))*Inputs!$B$1+((Inputs!$G$5:$G$120&lt;&gt;"moeda")*(Inputs!$G$5:$G$120&lt;&gt;"acoes")))*INDEX(Inputs!$K$5:$AJ$120,0,MATCH(AK$2,Inputs!$K$4:$AJ$4,0)))+SUMPRODUCT((Inputs!$E$5:$E$120=$B44)*Inputs!$F$5:$F$120*(((Inputs!$G$5:$G$120="moeda")+(Inputs!$G$5:$G$120="acoes"))*Inputs!$B$1+((Inputs!$G$5:$G$120&lt;&gt;"moeda")*(Inputs!$G$5:$G$120&lt;&gt;"acoes")))*INDEX(Inputs!$K$5:$AJ$120,0,MATCH(AK$2,Inputs!$K$4:$AJ$4,0)))))</f>
        <v>-3068.9</v>
      </c>
      <c r="AL44" s="3">
        <f>AK44</f>
        <v>-3068.9</v>
      </c>
    </row>
    <row r="45">
      <c r="B45" s="46" t="n">
        <v>39</v>
      </c>
      <c r="C45" s="26" t="inlineStr">
        <is>
          <t>Comprehensive (accumulated) loss</t>
        </is>
      </c>
      <c r="D45" s="6">
        <f>IF(ISNA(MATCH(D$2,Inputs!$K$4:$AJ$4,0)),NA(),IF(SUMPRODUCT((Inputs!$A$5:$A$120=$B45)*ISNUMBER(INDEX(Inputs!$K$5:$AJ$120,0,MATCH(D$2,Inputs!$K$4:$AJ$4,0))))+SUMPRODUCT((Inputs!$C$5:$C$120=$B45)*ISNUMBER(INDEX(Inputs!$K$5:$AJ$120,0,MATCH(D$2,Inputs!$K$4:$AJ$4,0))))+SUMPRODUCT((Inputs!$E$5:$E$120=$B45)*ISNUMBER(INDEX(Inputs!$K$5:$AJ$120,0,MATCH(D$2,Inputs!$K$4:$AJ$4,0))))=0,NA(),SUMPRODUCT((Inputs!$A$5:$A$120=$B45)*Inputs!$B$5:$B$120*(((Inputs!$G$5:$G$120="moeda")+(Inputs!$G$5:$G$120="acoes"))*Inputs!$B$1+((Inputs!$G$5:$G$120&lt;&gt;"moeda")*(Inputs!$G$5:$G$120&lt;&gt;"acoes")))*INDEX(Inputs!$K$5:$AJ$120,0,MATCH(D$2,Inputs!$K$4:$AJ$4,0)))+SUMPRODUCT((Inputs!$C$5:$C$120=$B45)*Inputs!$D$5:$D$120*(((Inputs!$G$5:$G$120="moeda")+(Inputs!$G$5:$G$120="acoes"))*Inputs!$B$1+((Inputs!$G$5:$G$120&lt;&gt;"moeda")*(Inputs!$G$5:$G$120&lt;&gt;"acoes")))*INDEX(Inputs!$K$5:$AJ$120,0,MATCH(D$2,Inputs!$K$4:$AJ$4,0)))+SUMPRODUCT((Inputs!$E$5:$E$120=$B45)*Inputs!$F$5:$F$120*(((Inputs!$G$5:$G$120="moeda")+(Inputs!$G$5:$G$120="acoes"))*Inputs!$B$1+((Inputs!$G$5:$G$120&lt;&gt;"moeda")*(Inputs!$G$5:$G$120&lt;&gt;"acoes")))*INDEX(Inputs!$K$5:$AJ$120,0,MATCH(D$2,Inputs!$K$4:$AJ$4,0)))))</f>
        <v>-6395.6</v>
      </c>
      <c r="E45" s="6">
        <f>IF(ISNA(MATCH(E$2,Inputs!$K$4:$AJ$4,0)),NA(),IF(SUMPRODUCT((Inputs!$A$5:$A$120=$B45)*ISNUMBER(INDEX(Inputs!$K$5:$AJ$120,0,MATCH(E$2,Inputs!$K$4:$AJ$4,0))))+SUMPRODUCT((Inputs!$C$5:$C$120=$B45)*ISNUMBER(INDEX(Inputs!$K$5:$AJ$120,0,MATCH(E$2,Inputs!$K$4:$AJ$4,0))))+SUMPRODUCT((Inputs!$E$5:$E$120=$B45)*ISNUMBER(INDEX(Inputs!$K$5:$AJ$120,0,MATCH(E$2,Inputs!$K$4:$AJ$4,0))))=0,NA(),SUMPRODUCT((Inputs!$A$5:$A$120=$B45)*Inputs!$B$5:$B$120*(((Inputs!$G$5:$G$120="moeda")+(Inputs!$G$5:$G$120="acoes"))*Inputs!$B$1+((Inputs!$G$5:$G$120&lt;&gt;"moeda")*(Inputs!$G$5:$G$120&lt;&gt;"acoes")))*INDEX(Inputs!$K$5:$AJ$120,0,MATCH(E$2,Inputs!$K$4:$AJ$4,0)))+SUMPRODUCT((Inputs!$C$5:$C$120=$B45)*Inputs!$D$5:$D$120*(((Inputs!$G$5:$G$120="moeda")+(Inputs!$G$5:$G$120="acoes"))*Inputs!$B$1+((Inputs!$G$5:$G$120&lt;&gt;"moeda")*(Inputs!$G$5:$G$120&lt;&gt;"acoes")))*INDEX(Inputs!$K$5:$AJ$120,0,MATCH(E$2,Inputs!$K$4:$AJ$4,0)))+SUMPRODUCT((Inputs!$E$5:$E$120=$B45)*Inputs!$F$5:$F$120*(((Inputs!$G$5:$G$120="moeda")+(Inputs!$G$5:$G$120="acoes"))*Inputs!$B$1+((Inputs!$G$5:$G$120&lt;&gt;"moeda")*(Inputs!$G$5:$G$120&lt;&gt;"acoes")))*INDEX(Inputs!$K$5:$AJ$120,0,MATCH(E$2,Inputs!$K$4:$AJ$4,0)))))</f>
        <v>-6287.1</v>
      </c>
      <c r="F45" s="6">
        <f>IF(ISNA(MATCH(F$2,Inputs!$K$4:$AJ$4,0)),NA(),IF(SUMPRODUCT((Inputs!$A$5:$A$120=$B45)*ISNUMBER(INDEX(Inputs!$K$5:$AJ$120,0,MATCH(F$2,Inputs!$K$4:$AJ$4,0))))+SUMPRODUCT((Inputs!$C$5:$C$120=$B45)*ISNUMBER(INDEX(Inputs!$K$5:$AJ$120,0,MATCH(F$2,Inputs!$K$4:$AJ$4,0))))+SUMPRODUCT((Inputs!$E$5:$E$120=$B45)*ISNUMBER(INDEX(Inputs!$K$5:$AJ$120,0,MATCH(F$2,Inputs!$K$4:$AJ$4,0))))=0,NA(),SUMPRODUCT((Inputs!$A$5:$A$120=$B45)*Inputs!$B$5:$B$120*(((Inputs!$G$5:$G$120="moeda")+(Inputs!$G$5:$G$120="acoes"))*Inputs!$B$1+((Inputs!$G$5:$G$120&lt;&gt;"moeda")*(Inputs!$G$5:$G$120&lt;&gt;"acoes")))*INDEX(Inputs!$K$5:$AJ$120,0,MATCH(F$2,Inputs!$K$4:$AJ$4,0)))+SUMPRODUCT((Inputs!$C$5:$C$120=$B45)*Inputs!$D$5:$D$120*(((Inputs!$G$5:$G$120="moeda")+(Inputs!$G$5:$G$120="acoes"))*Inputs!$B$1+((Inputs!$G$5:$G$120&lt;&gt;"moeda")*(Inputs!$G$5:$G$120&lt;&gt;"acoes")))*INDEX(Inputs!$K$5:$AJ$120,0,MATCH(F$2,Inputs!$K$4:$AJ$4,0)))+SUMPRODUCT((Inputs!$E$5:$E$120=$B45)*Inputs!$F$5:$F$120*(((Inputs!$G$5:$G$120="moeda")+(Inputs!$G$5:$G$120="acoes"))*Inputs!$B$1+((Inputs!$G$5:$G$120&lt;&gt;"moeda")*(Inputs!$G$5:$G$120&lt;&gt;"acoes")))*INDEX(Inputs!$K$5:$AJ$120,0,MATCH(F$2,Inputs!$K$4:$AJ$4,0)))))</f>
        <v>-6172.7</v>
      </c>
      <c r="G45" s="6">
        <f>IF(ISNA(MATCH(G$2,Inputs!$K$4:$AJ$4,0)),NA(),IF(SUMPRODUCT((Inputs!$A$5:$A$120=$B45)*ISNUMBER(INDEX(Inputs!$K$5:$AJ$120,0,MATCH(G$2,Inputs!$K$4:$AJ$4,0))))+SUMPRODUCT((Inputs!$C$5:$C$120=$B45)*ISNUMBER(INDEX(Inputs!$K$5:$AJ$120,0,MATCH(G$2,Inputs!$K$4:$AJ$4,0))))+SUMPRODUCT((Inputs!$E$5:$E$120=$B45)*ISNUMBER(INDEX(Inputs!$K$5:$AJ$120,0,MATCH(G$2,Inputs!$K$4:$AJ$4,0))))=0,NA(),SUMPRODUCT((Inputs!$A$5:$A$120=$B45)*Inputs!$B$5:$B$120*(((Inputs!$G$5:$G$120="moeda")+(Inputs!$G$5:$G$120="acoes"))*Inputs!$B$1+((Inputs!$G$5:$G$120&lt;&gt;"moeda")*(Inputs!$G$5:$G$120&lt;&gt;"acoes")))*INDEX(Inputs!$K$5:$AJ$120,0,MATCH(G$2,Inputs!$K$4:$AJ$4,0)))+SUMPRODUCT((Inputs!$C$5:$C$120=$B45)*Inputs!$D$5:$D$120*(((Inputs!$G$5:$G$120="moeda")+(Inputs!$G$5:$G$120="acoes"))*Inputs!$B$1+((Inputs!$G$5:$G$120&lt;&gt;"moeda")*(Inputs!$G$5:$G$120&lt;&gt;"acoes")))*INDEX(Inputs!$K$5:$AJ$120,0,MATCH(G$2,Inputs!$K$4:$AJ$4,0)))+SUMPRODUCT((Inputs!$E$5:$E$120=$B45)*Inputs!$F$5:$F$120*(((Inputs!$G$5:$G$120="moeda")+(Inputs!$G$5:$G$120="acoes"))*Inputs!$B$1+((Inputs!$G$5:$G$120&lt;&gt;"moeda")*(Inputs!$G$5:$G$120&lt;&gt;"acoes")))*INDEX(Inputs!$K$5:$AJ$120,0,MATCH(G$2,Inputs!$K$4:$AJ$4,0)))))</f>
        <v>-4343.1</v>
      </c>
      <c r="H45" s="3">
        <f>G45</f>
        <v>-4343.1</v>
      </c>
      <c r="I45" s="6">
        <f>IF(ISNA(MATCH(I$2,Inputs!$K$4:$AJ$4,0)),NA(),IF(SUMPRODUCT((Inputs!$A$5:$A$120=$B45)*ISNUMBER(INDEX(Inputs!$K$5:$AJ$120,0,MATCH(I$2,Inputs!$K$4:$AJ$4,0))))+SUMPRODUCT((Inputs!$C$5:$C$120=$B45)*ISNUMBER(INDEX(Inputs!$K$5:$AJ$120,0,MATCH(I$2,Inputs!$K$4:$AJ$4,0))))+SUMPRODUCT((Inputs!$E$5:$E$120=$B45)*ISNUMBER(INDEX(Inputs!$K$5:$AJ$120,0,MATCH(I$2,Inputs!$K$4:$AJ$4,0))))=0,NA(),SUMPRODUCT((Inputs!$A$5:$A$120=$B45)*Inputs!$B$5:$B$120*(((Inputs!$G$5:$G$120="moeda")+(Inputs!$G$5:$G$120="acoes"))*Inputs!$B$1+((Inputs!$G$5:$G$120&lt;&gt;"moeda")*(Inputs!$G$5:$G$120&lt;&gt;"acoes")))*INDEX(Inputs!$K$5:$AJ$120,0,MATCH(I$2,Inputs!$K$4:$AJ$4,0)))+SUMPRODUCT((Inputs!$C$5:$C$120=$B45)*Inputs!$D$5:$D$120*(((Inputs!$G$5:$G$120="moeda")+(Inputs!$G$5:$G$120="acoes"))*Inputs!$B$1+((Inputs!$G$5:$G$120&lt;&gt;"moeda")*(Inputs!$G$5:$G$120&lt;&gt;"acoes")))*INDEX(Inputs!$K$5:$AJ$120,0,MATCH(I$2,Inputs!$K$4:$AJ$4,0)))+SUMPRODUCT((Inputs!$E$5:$E$120=$B45)*Inputs!$F$5:$F$120*(((Inputs!$G$5:$G$120="moeda")+(Inputs!$G$5:$G$120="acoes"))*Inputs!$B$1+((Inputs!$G$5:$G$120&lt;&gt;"moeda")*(Inputs!$G$5:$G$120&lt;&gt;"acoes")))*INDEX(Inputs!$K$5:$AJ$120,0,MATCH(I$2,Inputs!$K$4:$AJ$4,0)))))</f>
        <v>-4225.3</v>
      </c>
      <c r="J45" s="6">
        <f>IF(ISNA(MATCH(J$2,Inputs!$K$4:$AJ$4,0)),NA(),IF(SUMPRODUCT((Inputs!$A$5:$A$120=$B45)*ISNUMBER(INDEX(Inputs!$K$5:$AJ$120,0,MATCH(J$2,Inputs!$K$4:$AJ$4,0))))+SUMPRODUCT((Inputs!$C$5:$C$120=$B45)*ISNUMBER(INDEX(Inputs!$K$5:$AJ$120,0,MATCH(J$2,Inputs!$K$4:$AJ$4,0))))+SUMPRODUCT((Inputs!$E$5:$E$120=$B45)*ISNUMBER(INDEX(Inputs!$K$5:$AJ$120,0,MATCH(J$2,Inputs!$K$4:$AJ$4,0))))=0,NA(),SUMPRODUCT((Inputs!$A$5:$A$120=$B45)*Inputs!$B$5:$B$120*(((Inputs!$G$5:$G$120="moeda")+(Inputs!$G$5:$G$120="acoes"))*Inputs!$B$1+((Inputs!$G$5:$G$120&lt;&gt;"moeda")*(Inputs!$G$5:$G$120&lt;&gt;"acoes")))*INDEX(Inputs!$K$5:$AJ$120,0,MATCH(J$2,Inputs!$K$4:$AJ$4,0)))+SUMPRODUCT((Inputs!$C$5:$C$120=$B45)*Inputs!$D$5:$D$120*(((Inputs!$G$5:$G$120="moeda")+(Inputs!$G$5:$G$120="acoes"))*Inputs!$B$1+((Inputs!$G$5:$G$120&lt;&gt;"moeda")*(Inputs!$G$5:$G$120&lt;&gt;"acoes")))*INDEX(Inputs!$K$5:$AJ$120,0,MATCH(J$2,Inputs!$K$4:$AJ$4,0)))+SUMPRODUCT((Inputs!$E$5:$E$120=$B45)*Inputs!$F$5:$F$120*(((Inputs!$G$5:$G$120="moeda")+(Inputs!$G$5:$G$120="acoes"))*Inputs!$B$1+((Inputs!$G$5:$G$120&lt;&gt;"moeda")*(Inputs!$G$5:$G$120&lt;&gt;"acoes")))*INDEX(Inputs!$K$5:$AJ$120,0,MATCH(J$2,Inputs!$K$4:$AJ$4,0)))))</f>
        <v>-4287.7</v>
      </c>
      <c r="K45" s="6">
        <f>IF(ISNA(MATCH(K$2,Inputs!$K$4:$AJ$4,0)),NA(),IF(SUMPRODUCT((Inputs!$A$5:$A$120=$B45)*ISNUMBER(INDEX(Inputs!$K$5:$AJ$120,0,MATCH(K$2,Inputs!$K$4:$AJ$4,0))))+SUMPRODUCT((Inputs!$C$5:$C$120=$B45)*ISNUMBER(INDEX(Inputs!$K$5:$AJ$120,0,MATCH(K$2,Inputs!$K$4:$AJ$4,0))))+SUMPRODUCT((Inputs!$E$5:$E$120=$B45)*ISNUMBER(INDEX(Inputs!$K$5:$AJ$120,0,MATCH(K$2,Inputs!$K$4:$AJ$4,0))))=0,NA(),SUMPRODUCT((Inputs!$A$5:$A$120=$B45)*Inputs!$B$5:$B$120*(((Inputs!$G$5:$G$120="moeda")+(Inputs!$G$5:$G$120="acoes"))*Inputs!$B$1+((Inputs!$G$5:$G$120&lt;&gt;"moeda")*(Inputs!$G$5:$G$120&lt;&gt;"acoes")))*INDEX(Inputs!$K$5:$AJ$120,0,MATCH(K$2,Inputs!$K$4:$AJ$4,0)))+SUMPRODUCT((Inputs!$C$5:$C$120=$B45)*Inputs!$D$5:$D$120*(((Inputs!$G$5:$G$120="moeda")+(Inputs!$G$5:$G$120="acoes"))*Inputs!$B$1+((Inputs!$G$5:$G$120&lt;&gt;"moeda")*(Inputs!$G$5:$G$120&lt;&gt;"acoes")))*INDEX(Inputs!$K$5:$AJ$120,0,MATCH(K$2,Inputs!$K$4:$AJ$4,0)))+SUMPRODUCT((Inputs!$E$5:$E$120=$B45)*Inputs!$F$5:$F$120*(((Inputs!$G$5:$G$120="moeda")+(Inputs!$G$5:$G$120="acoes"))*Inputs!$B$1+((Inputs!$G$5:$G$120&lt;&gt;"moeda")*(Inputs!$G$5:$G$120&lt;&gt;"acoes")))*INDEX(Inputs!$K$5:$AJ$120,0,MATCH(K$2,Inputs!$K$4:$AJ$4,0)))))</f>
        <v>-4295.8</v>
      </c>
      <c r="L45" s="6">
        <f>IF(ISNA(MATCH(L$2,Inputs!$K$4:$AJ$4,0)),NA(),IF(SUMPRODUCT((Inputs!$A$5:$A$120=$B45)*ISNUMBER(INDEX(Inputs!$K$5:$AJ$120,0,MATCH(L$2,Inputs!$K$4:$AJ$4,0))))+SUMPRODUCT((Inputs!$C$5:$C$120=$B45)*ISNUMBER(INDEX(Inputs!$K$5:$AJ$120,0,MATCH(L$2,Inputs!$K$4:$AJ$4,0))))+SUMPRODUCT((Inputs!$E$5:$E$120=$B45)*ISNUMBER(INDEX(Inputs!$K$5:$AJ$120,0,MATCH(L$2,Inputs!$K$4:$AJ$4,0))))=0,NA(),SUMPRODUCT((Inputs!$A$5:$A$120=$B45)*Inputs!$B$5:$B$120*(((Inputs!$G$5:$G$120="moeda")+(Inputs!$G$5:$G$120="acoes"))*Inputs!$B$1+((Inputs!$G$5:$G$120&lt;&gt;"moeda")*(Inputs!$G$5:$G$120&lt;&gt;"acoes")))*INDEX(Inputs!$K$5:$AJ$120,0,MATCH(L$2,Inputs!$K$4:$AJ$4,0)))+SUMPRODUCT((Inputs!$C$5:$C$120=$B45)*Inputs!$D$5:$D$120*(((Inputs!$G$5:$G$120="moeda")+(Inputs!$G$5:$G$120="acoes"))*Inputs!$B$1+((Inputs!$G$5:$G$120&lt;&gt;"moeda")*(Inputs!$G$5:$G$120&lt;&gt;"acoes")))*INDEX(Inputs!$K$5:$AJ$120,0,MATCH(L$2,Inputs!$K$4:$AJ$4,0)))+SUMPRODUCT((Inputs!$E$5:$E$120=$B45)*Inputs!$F$5:$F$120*(((Inputs!$G$5:$G$120="moeda")+(Inputs!$G$5:$G$120="acoes"))*Inputs!$B$1+((Inputs!$G$5:$G$120&lt;&gt;"moeda")*(Inputs!$G$5:$G$120&lt;&gt;"acoes")))*INDEX(Inputs!$K$5:$AJ$120,0,MATCH(L$2,Inputs!$K$4:$AJ$4,0)))))</f>
        <v>-3844.6</v>
      </c>
      <c r="M45" s="3">
        <f>L45</f>
        <v>-3844.6</v>
      </c>
      <c r="N45" s="6">
        <f>IF(ISNA(MATCH(N$2,Inputs!$K$4:$AJ$4,0)),NA(),IF(SUMPRODUCT((Inputs!$A$5:$A$120=$B45)*ISNUMBER(INDEX(Inputs!$K$5:$AJ$120,0,MATCH(N$2,Inputs!$K$4:$AJ$4,0))))+SUMPRODUCT((Inputs!$C$5:$C$120=$B45)*ISNUMBER(INDEX(Inputs!$K$5:$AJ$120,0,MATCH(N$2,Inputs!$K$4:$AJ$4,0))))+SUMPRODUCT((Inputs!$E$5:$E$120=$B45)*ISNUMBER(INDEX(Inputs!$K$5:$AJ$120,0,MATCH(N$2,Inputs!$K$4:$AJ$4,0))))=0,NA(),SUMPRODUCT((Inputs!$A$5:$A$120=$B45)*Inputs!$B$5:$B$120*(((Inputs!$G$5:$G$120="moeda")+(Inputs!$G$5:$G$120="acoes"))*Inputs!$B$1+((Inputs!$G$5:$G$120&lt;&gt;"moeda")*(Inputs!$G$5:$G$120&lt;&gt;"acoes")))*INDEX(Inputs!$K$5:$AJ$120,0,MATCH(N$2,Inputs!$K$4:$AJ$4,0)))+SUMPRODUCT((Inputs!$C$5:$C$120=$B45)*Inputs!$D$5:$D$120*(((Inputs!$G$5:$G$120="moeda")+(Inputs!$G$5:$G$120="acoes"))*Inputs!$B$1+((Inputs!$G$5:$G$120&lt;&gt;"moeda")*(Inputs!$G$5:$G$120&lt;&gt;"acoes")))*INDEX(Inputs!$K$5:$AJ$120,0,MATCH(N$2,Inputs!$K$4:$AJ$4,0)))+SUMPRODUCT((Inputs!$E$5:$E$120=$B45)*Inputs!$F$5:$F$120*(((Inputs!$G$5:$G$120="moeda")+(Inputs!$G$5:$G$120="acoes"))*Inputs!$B$1+((Inputs!$G$5:$G$120&lt;&gt;"moeda")*(Inputs!$G$5:$G$120&lt;&gt;"acoes")))*INDEX(Inputs!$K$5:$AJ$120,0,MATCH(N$2,Inputs!$K$4:$AJ$4,0)))))</f>
        <v>-3777.3</v>
      </c>
      <c r="O45" s="6">
        <f>IF(ISNA(MATCH(O$2,Inputs!$K$4:$AJ$4,0)),NA(),IF(SUMPRODUCT((Inputs!$A$5:$A$120=$B45)*ISNUMBER(INDEX(Inputs!$K$5:$AJ$120,0,MATCH(O$2,Inputs!$K$4:$AJ$4,0))))+SUMPRODUCT((Inputs!$C$5:$C$120=$B45)*ISNUMBER(INDEX(Inputs!$K$5:$AJ$120,0,MATCH(O$2,Inputs!$K$4:$AJ$4,0))))+SUMPRODUCT((Inputs!$E$5:$E$120=$B45)*ISNUMBER(INDEX(Inputs!$K$5:$AJ$120,0,MATCH(O$2,Inputs!$K$4:$AJ$4,0))))=0,NA(),SUMPRODUCT((Inputs!$A$5:$A$120=$B45)*Inputs!$B$5:$B$120*(((Inputs!$G$5:$G$120="moeda")+(Inputs!$G$5:$G$120="acoes"))*Inputs!$B$1+((Inputs!$G$5:$G$120&lt;&gt;"moeda")*(Inputs!$G$5:$G$120&lt;&gt;"acoes")))*INDEX(Inputs!$K$5:$AJ$120,0,MATCH(O$2,Inputs!$K$4:$AJ$4,0)))+SUMPRODUCT((Inputs!$C$5:$C$120=$B45)*Inputs!$D$5:$D$120*(((Inputs!$G$5:$G$120="moeda")+(Inputs!$G$5:$G$120="acoes"))*Inputs!$B$1+((Inputs!$G$5:$G$120&lt;&gt;"moeda")*(Inputs!$G$5:$G$120&lt;&gt;"acoes")))*INDEX(Inputs!$K$5:$AJ$120,0,MATCH(O$2,Inputs!$K$4:$AJ$4,0)))+SUMPRODUCT((Inputs!$E$5:$E$120=$B45)*Inputs!$F$5:$F$120*(((Inputs!$G$5:$G$120="moeda")+(Inputs!$G$5:$G$120="acoes"))*Inputs!$B$1+((Inputs!$G$5:$G$120&lt;&gt;"moeda")*(Inputs!$G$5:$G$120&lt;&gt;"acoes")))*INDEX(Inputs!$K$5:$AJ$120,0,MATCH(O$2,Inputs!$K$4:$AJ$4,0)))))</f>
        <v>-3788.7</v>
      </c>
      <c r="P45" s="6">
        <f>IF(ISNA(MATCH(P$2,Inputs!$K$4:$AJ$4,0)),NA(),IF(SUMPRODUCT((Inputs!$A$5:$A$120=$B45)*ISNUMBER(INDEX(Inputs!$K$5:$AJ$120,0,MATCH(P$2,Inputs!$K$4:$AJ$4,0))))+SUMPRODUCT((Inputs!$C$5:$C$120=$B45)*ISNUMBER(INDEX(Inputs!$K$5:$AJ$120,0,MATCH(P$2,Inputs!$K$4:$AJ$4,0))))+SUMPRODUCT((Inputs!$E$5:$E$120=$B45)*ISNUMBER(INDEX(Inputs!$K$5:$AJ$120,0,MATCH(P$2,Inputs!$K$4:$AJ$4,0))))=0,NA(),SUMPRODUCT((Inputs!$A$5:$A$120=$B45)*Inputs!$B$5:$B$120*(((Inputs!$G$5:$G$120="moeda")+(Inputs!$G$5:$G$120="acoes"))*Inputs!$B$1+((Inputs!$G$5:$G$120&lt;&gt;"moeda")*(Inputs!$G$5:$G$120&lt;&gt;"acoes")))*INDEX(Inputs!$K$5:$AJ$120,0,MATCH(P$2,Inputs!$K$4:$AJ$4,0)))+SUMPRODUCT((Inputs!$C$5:$C$120=$B45)*Inputs!$D$5:$D$120*(((Inputs!$G$5:$G$120="moeda")+(Inputs!$G$5:$G$120="acoes"))*Inputs!$B$1+((Inputs!$G$5:$G$120&lt;&gt;"moeda")*(Inputs!$G$5:$G$120&lt;&gt;"acoes")))*INDEX(Inputs!$K$5:$AJ$120,0,MATCH(P$2,Inputs!$K$4:$AJ$4,0)))+SUMPRODUCT((Inputs!$E$5:$E$120=$B45)*Inputs!$F$5:$F$120*(((Inputs!$G$5:$G$120="moeda")+(Inputs!$G$5:$G$120="acoes"))*Inputs!$B$1+((Inputs!$G$5:$G$120&lt;&gt;"moeda")*(Inputs!$G$5:$G$120&lt;&gt;"acoes")))*INDEX(Inputs!$K$5:$AJ$120,0,MATCH(P$2,Inputs!$K$4:$AJ$4,0)))))</f>
        <v>-3784.9</v>
      </c>
      <c r="Q45" s="6">
        <f>IF(ISNA(MATCH(Q$2,Inputs!$K$4:$AJ$4,0)),NA(),IF(SUMPRODUCT((Inputs!$A$5:$A$120=$B45)*ISNUMBER(INDEX(Inputs!$K$5:$AJ$120,0,MATCH(Q$2,Inputs!$K$4:$AJ$4,0))))+SUMPRODUCT((Inputs!$C$5:$C$120=$B45)*ISNUMBER(INDEX(Inputs!$K$5:$AJ$120,0,MATCH(Q$2,Inputs!$K$4:$AJ$4,0))))+SUMPRODUCT((Inputs!$E$5:$E$120=$B45)*ISNUMBER(INDEX(Inputs!$K$5:$AJ$120,0,MATCH(Q$2,Inputs!$K$4:$AJ$4,0))))=0,NA(),SUMPRODUCT((Inputs!$A$5:$A$120=$B45)*Inputs!$B$5:$B$120*(((Inputs!$G$5:$G$120="moeda")+(Inputs!$G$5:$G$120="acoes"))*Inputs!$B$1+((Inputs!$G$5:$G$120&lt;&gt;"moeda")*(Inputs!$G$5:$G$120&lt;&gt;"acoes")))*INDEX(Inputs!$K$5:$AJ$120,0,MATCH(Q$2,Inputs!$K$4:$AJ$4,0)))+SUMPRODUCT((Inputs!$C$5:$C$120=$B45)*Inputs!$D$5:$D$120*(((Inputs!$G$5:$G$120="moeda")+(Inputs!$G$5:$G$120="acoes"))*Inputs!$B$1+((Inputs!$G$5:$G$120&lt;&gt;"moeda")*(Inputs!$G$5:$G$120&lt;&gt;"acoes")))*INDEX(Inputs!$K$5:$AJ$120,0,MATCH(Q$2,Inputs!$K$4:$AJ$4,0)))+SUMPRODUCT((Inputs!$E$5:$E$120=$B45)*Inputs!$F$5:$F$120*(((Inputs!$G$5:$G$120="moeda")+(Inputs!$G$5:$G$120="acoes"))*Inputs!$B$1+((Inputs!$G$5:$G$120&lt;&gt;"moeda")*(Inputs!$G$5:$G$120&lt;&gt;"acoes")))*INDEX(Inputs!$K$5:$AJ$120,0,MATCH(Q$2,Inputs!$K$4:$AJ$4,0)))))</f>
        <v>-4327</v>
      </c>
      <c r="R45" s="3">
        <f>Q45</f>
        <v>-4327</v>
      </c>
      <c r="S45" s="6">
        <f>IF(ISNA(MATCH(S$2,Inputs!$K$4:$AJ$4,0)),NA(),IF(SUMPRODUCT((Inputs!$A$5:$A$120=$B45)*ISNUMBER(INDEX(Inputs!$K$5:$AJ$120,0,MATCH(S$2,Inputs!$K$4:$AJ$4,0))))+SUMPRODUCT((Inputs!$C$5:$C$120=$B45)*ISNUMBER(INDEX(Inputs!$K$5:$AJ$120,0,MATCH(S$2,Inputs!$K$4:$AJ$4,0))))+SUMPRODUCT((Inputs!$E$5:$E$120=$B45)*ISNUMBER(INDEX(Inputs!$K$5:$AJ$120,0,MATCH(S$2,Inputs!$K$4:$AJ$4,0))))=0,NA(),SUMPRODUCT((Inputs!$A$5:$A$120=$B45)*Inputs!$B$5:$B$120*(((Inputs!$G$5:$G$120="moeda")+(Inputs!$G$5:$G$120="acoes"))*Inputs!$B$1+((Inputs!$G$5:$G$120&lt;&gt;"moeda")*(Inputs!$G$5:$G$120&lt;&gt;"acoes")))*INDEX(Inputs!$K$5:$AJ$120,0,MATCH(S$2,Inputs!$K$4:$AJ$4,0)))+SUMPRODUCT((Inputs!$C$5:$C$120=$B45)*Inputs!$D$5:$D$120*(((Inputs!$G$5:$G$120="moeda")+(Inputs!$G$5:$G$120="acoes"))*Inputs!$B$1+((Inputs!$G$5:$G$120&lt;&gt;"moeda")*(Inputs!$G$5:$G$120&lt;&gt;"acoes")))*INDEX(Inputs!$K$5:$AJ$120,0,MATCH(S$2,Inputs!$K$4:$AJ$4,0)))+SUMPRODUCT((Inputs!$E$5:$E$120=$B45)*Inputs!$F$5:$F$120*(((Inputs!$G$5:$G$120="moeda")+(Inputs!$G$5:$G$120="acoes"))*Inputs!$B$1+((Inputs!$G$5:$G$120&lt;&gt;"moeda")*(Inputs!$G$5:$G$120&lt;&gt;"acoes")))*INDEX(Inputs!$K$5:$AJ$120,0,MATCH(S$2,Inputs!$K$4:$AJ$4,0)))))</f>
        <v>-4299.5</v>
      </c>
      <c r="T45" s="6">
        <f>IF(ISNA(MATCH(T$2,Inputs!$K$4:$AJ$4,0)),NA(),IF(SUMPRODUCT((Inputs!$A$5:$A$120=$B45)*ISNUMBER(INDEX(Inputs!$K$5:$AJ$120,0,MATCH(T$2,Inputs!$K$4:$AJ$4,0))))+SUMPRODUCT((Inputs!$C$5:$C$120=$B45)*ISNUMBER(INDEX(Inputs!$K$5:$AJ$120,0,MATCH(T$2,Inputs!$K$4:$AJ$4,0))))+SUMPRODUCT((Inputs!$E$5:$E$120=$B45)*ISNUMBER(INDEX(Inputs!$K$5:$AJ$120,0,MATCH(T$2,Inputs!$K$4:$AJ$4,0))))=0,NA(),SUMPRODUCT((Inputs!$A$5:$A$120=$B45)*Inputs!$B$5:$B$120*(((Inputs!$G$5:$G$120="moeda")+(Inputs!$G$5:$G$120="acoes"))*Inputs!$B$1+((Inputs!$G$5:$G$120&lt;&gt;"moeda")*(Inputs!$G$5:$G$120&lt;&gt;"acoes")))*INDEX(Inputs!$K$5:$AJ$120,0,MATCH(T$2,Inputs!$K$4:$AJ$4,0)))+SUMPRODUCT((Inputs!$C$5:$C$120=$B45)*Inputs!$D$5:$D$120*(((Inputs!$G$5:$G$120="moeda")+(Inputs!$G$5:$G$120="acoes"))*Inputs!$B$1+((Inputs!$G$5:$G$120&lt;&gt;"moeda")*(Inputs!$G$5:$G$120&lt;&gt;"acoes")))*INDEX(Inputs!$K$5:$AJ$120,0,MATCH(T$2,Inputs!$K$4:$AJ$4,0)))+SUMPRODUCT((Inputs!$E$5:$E$120=$B45)*Inputs!$F$5:$F$120*(((Inputs!$G$5:$G$120="moeda")+(Inputs!$G$5:$G$120="acoes"))*Inputs!$B$1+((Inputs!$G$5:$G$120&lt;&gt;"moeda")*(Inputs!$G$5:$G$120&lt;&gt;"acoes")))*INDEX(Inputs!$K$5:$AJ$120,0,MATCH(T$2,Inputs!$K$4:$AJ$4,0)))))</f>
        <v>-4378.5</v>
      </c>
      <c r="U45" s="6">
        <f>IF(ISNA(MATCH(U$2,Inputs!$K$4:$AJ$4,0)),NA(),IF(SUMPRODUCT((Inputs!$A$5:$A$120=$B45)*ISNUMBER(INDEX(Inputs!$K$5:$AJ$120,0,MATCH(U$2,Inputs!$K$4:$AJ$4,0))))+SUMPRODUCT((Inputs!$C$5:$C$120=$B45)*ISNUMBER(INDEX(Inputs!$K$5:$AJ$120,0,MATCH(U$2,Inputs!$K$4:$AJ$4,0))))+SUMPRODUCT((Inputs!$E$5:$E$120=$B45)*ISNUMBER(INDEX(Inputs!$K$5:$AJ$120,0,MATCH(U$2,Inputs!$K$4:$AJ$4,0))))=0,NA(),SUMPRODUCT((Inputs!$A$5:$A$120=$B45)*Inputs!$B$5:$B$120*(((Inputs!$G$5:$G$120="moeda")+(Inputs!$G$5:$G$120="acoes"))*Inputs!$B$1+((Inputs!$G$5:$G$120&lt;&gt;"moeda")*(Inputs!$G$5:$G$120&lt;&gt;"acoes")))*INDEX(Inputs!$K$5:$AJ$120,0,MATCH(U$2,Inputs!$K$4:$AJ$4,0)))+SUMPRODUCT((Inputs!$C$5:$C$120=$B45)*Inputs!$D$5:$D$120*(((Inputs!$G$5:$G$120="moeda")+(Inputs!$G$5:$G$120="acoes"))*Inputs!$B$1+((Inputs!$G$5:$G$120&lt;&gt;"moeda")*(Inputs!$G$5:$G$120&lt;&gt;"acoes")))*INDEX(Inputs!$K$5:$AJ$120,0,MATCH(U$2,Inputs!$K$4:$AJ$4,0)))+SUMPRODUCT((Inputs!$E$5:$E$120=$B45)*Inputs!$F$5:$F$120*(((Inputs!$G$5:$G$120="moeda")+(Inputs!$G$5:$G$120="acoes"))*Inputs!$B$1+((Inputs!$G$5:$G$120&lt;&gt;"moeda")*(Inputs!$G$5:$G$120&lt;&gt;"acoes")))*INDEX(Inputs!$K$5:$AJ$120,0,MATCH(U$2,Inputs!$K$4:$AJ$4,0)))))</f>
        <v>-4274.8</v>
      </c>
      <c r="V45" s="6">
        <f>IF(ISNA(MATCH(V$2,Inputs!$K$4:$AJ$4,0)),NA(),IF(SUMPRODUCT((Inputs!$A$5:$A$120=$B45)*ISNUMBER(INDEX(Inputs!$K$5:$AJ$120,0,MATCH(V$2,Inputs!$K$4:$AJ$4,0))))+SUMPRODUCT((Inputs!$C$5:$C$120=$B45)*ISNUMBER(INDEX(Inputs!$K$5:$AJ$120,0,MATCH(V$2,Inputs!$K$4:$AJ$4,0))))+SUMPRODUCT((Inputs!$E$5:$E$120=$B45)*ISNUMBER(INDEX(Inputs!$K$5:$AJ$120,0,MATCH(V$2,Inputs!$K$4:$AJ$4,0))))=0,NA(),SUMPRODUCT((Inputs!$A$5:$A$120=$B45)*Inputs!$B$5:$B$120*(((Inputs!$G$5:$G$120="moeda")+(Inputs!$G$5:$G$120="acoes"))*Inputs!$B$1+((Inputs!$G$5:$G$120&lt;&gt;"moeda")*(Inputs!$G$5:$G$120&lt;&gt;"acoes")))*INDEX(Inputs!$K$5:$AJ$120,0,MATCH(V$2,Inputs!$K$4:$AJ$4,0)))+SUMPRODUCT((Inputs!$C$5:$C$120=$B45)*Inputs!$D$5:$D$120*(((Inputs!$G$5:$G$120="moeda")+(Inputs!$G$5:$G$120="acoes"))*Inputs!$B$1+((Inputs!$G$5:$G$120&lt;&gt;"moeda")*(Inputs!$G$5:$G$120&lt;&gt;"acoes")))*INDEX(Inputs!$K$5:$AJ$120,0,MATCH(V$2,Inputs!$K$4:$AJ$4,0)))+SUMPRODUCT((Inputs!$E$5:$E$120=$B45)*Inputs!$F$5:$F$120*(((Inputs!$G$5:$G$120="moeda")+(Inputs!$G$5:$G$120="acoes"))*Inputs!$B$1+((Inputs!$G$5:$G$120&lt;&gt;"moeda")*(Inputs!$G$5:$G$120&lt;&gt;"acoes")))*INDEX(Inputs!$K$5:$AJ$120,0,MATCH(V$2,Inputs!$K$4:$AJ$4,0)))))</f>
        <v>-4321.9</v>
      </c>
      <c r="W45" s="3">
        <f>V45</f>
        <v>-4321.9</v>
      </c>
      <c r="X45" s="6">
        <f>IF(ISNA(MATCH(X$2,Inputs!$K$4:$AJ$4,0)),NA(),IF(SUMPRODUCT((Inputs!$A$5:$A$120=$B45)*ISNUMBER(INDEX(Inputs!$K$5:$AJ$120,0,MATCH(X$2,Inputs!$K$4:$AJ$4,0))))+SUMPRODUCT((Inputs!$C$5:$C$120=$B45)*ISNUMBER(INDEX(Inputs!$K$5:$AJ$120,0,MATCH(X$2,Inputs!$K$4:$AJ$4,0))))+SUMPRODUCT((Inputs!$E$5:$E$120=$B45)*ISNUMBER(INDEX(Inputs!$K$5:$AJ$120,0,MATCH(X$2,Inputs!$K$4:$AJ$4,0))))=0,NA(),SUMPRODUCT((Inputs!$A$5:$A$120=$B45)*Inputs!$B$5:$B$120*(((Inputs!$G$5:$G$120="moeda")+(Inputs!$G$5:$G$120="acoes"))*Inputs!$B$1+((Inputs!$G$5:$G$120&lt;&gt;"moeda")*(Inputs!$G$5:$G$120&lt;&gt;"acoes")))*INDEX(Inputs!$K$5:$AJ$120,0,MATCH(X$2,Inputs!$K$4:$AJ$4,0)))+SUMPRODUCT((Inputs!$C$5:$C$120=$B45)*Inputs!$D$5:$D$120*(((Inputs!$G$5:$G$120="moeda")+(Inputs!$G$5:$G$120="acoes"))*Inputs!$B$1+((Inputs!$G$5:$G$120&lt;&gt;"moeda")*(Inputs!$G$5:$G$120&lt;&gt;"acoes")))*INDEX(Inputs!$K$5:$AJ$120,0,MATCH(X$2,Inputs!$K$4:$AJ$4,0)))+SUMPRODUCT((Inputs!$E$5:$E$120=$B45)*Inputs!$F$5:$F$120*(((Inputs!$G$5:$G$120="moeda")+(Inputs!$G$5:$G$120="acoes"))*Inputs!$B$1+((Inputs!$G$5:$G$120&lt;&gt;"moeda")*(Inputs!$G$5:$G$120&lt;&gt;"acoes")))*INDEX(Inputs!$K$5:$AJ$120,0,MATCH(X$2,Inputs!$K$4:$AJ$4,0)))))</f>
        <v>-3774.6</v>
      </c>
      <c r="Y45" s="6">
        <f>IF(ISNA(MATCH(Y$2,Inputs!$K$4:$AJ$4,0)),NA(),IF(SUMPRODUCT((Inputs!$A$5:$A$120=$B45)*ISNUMBER(INDEX(Inputs!$K$5:$AJ$120,0,MATCH(Y$2,Inputs!$K$4:$AJ$4,0))))+SUMPRODUCT((Inputs!$C$5:$C$120=$B45)*ISNUMBER(INDEX(Inputs!$K$5:$AJ$120,0,MATCH(Y$2,Inputs!$K$4:$AJ$4,0))))+SUMPRODUCT((Inputs!$E$5:$E$120=$B45)*ISNUMBER(INDEX(Inputs!$K$5:$AJ$120,0,MATCH(Y$2,Inputs!$K$4:$AJ$4,0))))=0,NA(),SUMPRODUCT((Inputs!$A$5:$A$120=$B45)*Inputs!$B$5:$B$120*(((Inputs!$G$5:$G$120="moeda")+(Inputs!$G$5:$G$120="acoes"))*Inputs!$B$1+((Inputs!$G$5:$G$120&lt;&gt;"moeda")*(Inputs!$G$5:$G$120&lt;&gt;"acoes")))*INDEX(Inputs!$K$5:$AJ$120,0,MATCH(Y$2,Inputs!$K$4:$AJ$4,0)))+SUMPRODUCT((Inputs!$C$5:$C$120=$B45)*Inputs!$D$5:$D$120*(((Inputs!$G$5:$G$120="moeda")+(Inputs!$G$5:$G$120="acoes"))*Inputs!$B$1+((Inputs!$G$5:$G$120&lt;&gt;"moeda")*(Inputs!$G$5:$G$120&lt;&gt;"acoes")))*INDEX(Inputs!$K$5:$AJ$120,0,MATCH(Y$2,Inputs!$K$4:$AJ$4,0)))+SUMPRODUCT((Inputs!$E$5:$E$120=$B45)*Inputs!$F$5:$F$120*(((Inputs!$G$5:$G$120="moeda")+(Inputs!$G$5:$G$120="acoes"))*Inputs!$B$1+((Inputs!$G$5:$G$120&lt;&gt;"moeda")*(Inputs!$G$5:$G$120&lt;&gt;"acoes")))*INDEX(Inputs!$K$5:$AJ$120,0,MATCH(Y$2,Inputs!$K$4:$AJ$4,0)))))</f>
        <v>-3716</v>
      </c>
      <c r="Z45" s="6">
        <f>IF(ISNA(MATCH(Z$2,Inputs!$K$4:$AJ$4,0)),NA(),IF(SUMPRODUCT((Inputs!$A$5:$A$120=$B45)*ISNUMBER(INDEX(Inputs!$K$5:$AJ$120,0,MATCH(Z$2,Inputs!$K$4:$AJ$4,0))))+SUMPRODUCT((Inputs!$C$5:$C$120=$B45)*ISNUMBER(INDEX(Inputs!$K$5:$AJ$120,0,MATCH(Z$2,Inputs!$K$4:$AJ$4,0))))+SUMPRODUCT((Inputs!$E$5:$E$120=$B45)*ISNUMBER(INDEX(Inputs!$K$5:$AJ$120,0,MATCH(Z$2,Inputs!$K$4:$AJ$4,0))))=0,NA(),SUMPRODUCT((Inputs!$A$5:$A$120=$B45)*Inputs!$B$5:$B$120*(((Inputs!$G$5:$G$120="moeda")+(Inputs!$G$5:$G$120="acoes"))*Inputs!$B$1+((Inputs!$G$5:$G$120&lt;&gt;"moeda")*(Inputs!$G$5:$G$120&lt;&gt;"acoes")))*INDEX(Inputs!$K$5:$AJ$120,0,MATCH(Z$2,Inputs!$K$4:$AJ$4,0)))+SUMPRODUCT((Inputs!$C$5:$C$120=$B45)*Inputs!$D$5:$D$120*(((Inputs!$G$5:$G$120="moeda")+(Inputs!$G$5:$G$120="acoes"))*Inputs!$B$1+((Inputs!$G$5:$G$120&lt;&gt;"moeda")*(Inputs!$G$5:$G$120&lt;&gt;"acoes")))*INDEX(Inputs!$K$5:$AJ$120,0,MATCH(Z$2,Inputs!$K$4:$AJ$4,0)))+SUMPRODUCT((Inputs!$E$5:$E$120=$B45)*Inputs!$F$5:$F$120*(((Inputs!$G$5:$G$120="moeda")+(Inputs!$G$5:$G$120="acoes"))*Inputs!$B$1+((Inputs!$G$5:$G$120&lt;&gt;"moeda")*(Inputs!$G$5:$G$120&lt;&gt;"acoes")))*INDEX(Inputs!$K$5:$AJ$120,0,MATCH(Z$2,Inputs!$K$4:$AJ$4,0)))))</f>
        <v>-3206.3</v>
      </c>
      <c r="AA45" s="6">
        <f>IF(ISNA(MATCH(AA$2,Inputs!$K$4:$AJ$4,0)),NA(),IF(SUMPRODUCT((Inputs!$A$5:$A$120=$B45)*ISNUMBER(INDEX(Inputs!$K$5:$AJ$120,0,MATCH(AA$2,Inputs!$K$4:$AJ$4,0))))+SUMPRODUCT((Inputs!$C$5:$C$120=$B45)*ISNUMBER(INDEX(Inputs!$K$5:$AJ$120,0,MATCH(AA$2,Inputs!$K$4:$AJ$4,0))))+SUMPRODUCT((Inputs!$E$5:$E$120=$B45)*ISNUMBER(INDEX(Inputs!$K$5:$AJ$120,0,MATCH(AA$2,Inputs!$K$4:$AJ$4,0))))=0,NA(),SUMPRODUCT((Inputs!$A$5:$A$120=$B45)*Inputs!$B$5:$B$120*(((Inputs!$G$5:$G$120="moeda")+(Inputs!$G$5:$G$120="acoes"))*Inputs!$B$1+((Inputs!$G$5:$G$120&lt;&gt;"moeda")*(Inputs!$G$5:$G$120&lt;&gt;"acoes")))*INDEX(Inputs!$K$5:$AJ$120,0,MATCH(AA$2,Inputs!$K$4:$AJ$4,0)))+SUMPRODUCT((Inputs!$C$5:$C$120=$B45)*Inputs!$D$5:$D$120*(((Inputs!$G$5:$G$120="moeda")+(Inputs!$G$5:$G$120="acoes"))*Inputs!$B$1+((Inputs!$G$5:$G$120&lt;&gt;"moeda")*(Inputs!$G$5:$G$120&lt;&gt;"acoes")))*INDEX(Inputs!$K$5:$AJ$120,0,MATCH(AA$2,Inputs!$K$4:$AJ$4,0)))+SUMPRODUCT((Inputs!$E$5:$E$120=$B45)*Inputs!$F$5:$F$120*(((Inputs!$G$5:$G$120="moeda")+(Inputs!$G$5:$G$120="acoes"))*Inputs!$B$1+((Inputs!$G$5:$G$120&lt;&gt;"moeda")*(Inputs!$G$5:$G$120&lt;&gt;"acoes")))*INDEX(Inputs!$K$5:$AJ$120,0,MATCH(AA$2,Inputs!$K$4:$AJ$4,0)))))</f>
        <v>-2880</v>
      </c>
      <c r="AB45" s="3">
        <f>AA45</f>
        <v>-2880</v>
      </c>
      <c r="AC45" s="6">
        <f>IF(ISNA(MATCH(AC$2,Inputs!$K$4:$AJ$4,0)),NA(),IF(SUMPRODUCT((Inputs!$A$5:$A$120=$B45)*ISNUMBER(INDEX(Inputs!$K$5:$AJ$120,0,MATCH(AC$2,Inputs!$K$4:$AJ$4,0))))+SUMPRODUCT((Inputs!$C$5:$C$120=$B45)*ISNUMBER(INDEX(Inputs!$K$5:$AJ$120,0,MATCH(AC$2,Inputs!$K$4:$AJ$4,0))))+SUMPRODUCT((Inputs!$E$5:$E$120=$B45)*ISNUMBER(INDEX(Inputs!$K$5:$AJ$120,0,MATCH(AC$2,Inputs!$K$4:$AJ$4,0))))=0,NA(),SUMPRODUCT((Inputs!$A$5:$A$120=$B45)*Inputs!$B$5:$B$120*(((Inputs!$G$5:$G$120="moeda")+(Inputs!$G$5:$G$120="acoes"))*Inputs!$B$1+((Inputs!$G$5:$G$120&lt;&gt;"moeda")*(Inputs!$G$5:$G$120&lt;&gt;"acoes")))*INDEX(Inputs!$K$5:$AJ$120,0,MATCH(AC$2,Inputs!$K$4:$AJ$4,0)))+SUMPRODUCT((Inputs!$C$5:$C$120=$B45)*Inputs!$D$5:$D$120*(((Inputs!$G$5:$G$120="moeda")+(Inputs!$G$5:$G$120="acoes"))*Inputs!$B$1+((Inputs!$G$5:$G$120&lt;&gt;"moeda")*(Inputs!$G$5:$G$120&lt;&gt;"acoes")))*INDEX(Inputs!$K$5:$AJ$120,0,MATCH(AC$2,Inputs!$K$4:$AJ$4,0)))+SUMPRODUCT((Inputs!$E$5:$E$120=$B45)*Inputs!$F$5:$F$120*(((Inputs!$G$5:$G$120="moeda")+(Inputs!$G$5:$G$120="acoes"))*Inputs!$B$1+((Inputs!$G$5:$G$120&lt;&gt;"moeda")*(Inputs!$G$5:$G$120&lt;&gt;"acoes")))*INDEX(Inputs!$K$5:$AJ$120,0,MATCH(AC$2,Inputs!$K$4:$AJ$4,0)))))</f>
        <v>-2833</v>
      </c>
      <c r="AD45" s="6">
        <f>IF(ISNA(MATCH(AD$2,Inputs!$K$4:$AJ$4,0)),NA(),IF(SUMPRODUCT((Inputs!$A$5:$A$120=$B45)*ISNUMBER(INDEX(Inputs!$K$5:$AJ$120,0,MATCH(AD$2,Inputs!$K$4:$AJ$4,0))))+SUMPRODUCT((Inputs!$C$5:$C$120=$B45)*ISNUMBER(INDEX(Inputs!$K$5:$AJ$120,0,MATCH(AD$2,Inputs!$K$4:$AJ$4,0))))+SUMPRODUCT((Inputs!$E$5:$E$120=$B45)*ISNUMBER(INDEX(Inputs!$K$5:$AJ$120,0,MATCH(AD$2,Inputs!$K$4:$AJ$4,0))))=0,NA(),SUMPRODUCT((Inputs!$A$5:$A$120=$B45)*Inputs!$B$5:$B$120*(((Inputs!$G$5:$G$120="moeda")+(Inputs!$G$5:$G$120="acoes"))*Inputs!$B$1+((Inputs!$G$5:$G$120&lt;&gt;"moeda")*(Inputs!$G$5:$G$120&lt;&gt;"acoes")))*INDEX(Inputs!$K$5:$AJ$120,0,MATCH(AD$2,Inputs!$K$4:$AJ$4,0)))+SUMPRODUCT((Inputs!$C$5:$C$120=$B45)*Inputs!$D$5:$D$120*(((Inputs!$G$5:$G$120="moeda")+(Inputs!$G$5:$G$120="acoes"))*Inputs!$B$1+((Inputs!$G$5:$G$120&lt;&gt;"moeda")*(Inputs!$G$5:$G$120&lt;&gt;"acoes")))*INDEX(Inputs!$K$5:$AJ$120,0,MATCH(AD$2,Inputs!$K$4:$AJ$4,0)))+SUMPRODUCT((Inputs!$E$5:$E$120=$B45)*Inputs!$F$5:$F$120*(((Inputs!$G$5:$G$120="moeda")+(Inputs!$G$5:$G$120="acoes"))*Inputs!$B$1+((Inputs!$G$5:$G$120&lt;&gt;"moeda")*(Inputs!$G$5:$G$120&lt;&gt;"acoes")))*INDEX(Inputs!$K$5:$AJ$120,0,MATCH(AD$2,Inputs!$K$4:$AJ$4,0)))))</f>
        <v>-2761</v>
      </c>
      <c r="AE45" s="6" t="e">
        <f>IF(ISNA(MATCH(AE$2,Inputs!$K$4:$AJ$4,0)),NA(),IF(SUMPRODUCT((Inputs!$A$5:$A$120=$B45)*ISNUMBER(INDEX(Inputs!$K$5:$AJ$120,0,MATCH(AE$2,Inputs!$K$4:$AJ$4,0))))+SUMPRODUCT((Inputs!$C$5:$C$120=$B45)*ISNUMBER(INDEX(Inputs!$K$5:$AJ$120,0,MATCH(AE$2,Inputs!$K$4:$AJ$4,0))))+SUMPRODUCT((Inputs!$E$5:$E$120=$B45)*ISNUMBER(INDEX(Inputs!$K$5:$AJ$120,0,MATCH(AE$2,Inputs!$K$4:$AJ$4,0))))=0,NA(),SUMPRODUCT((Inputs!$A$5:$A$120=$B45)*Inputs!$B$5:$B$120*(((Inputs!$G$5:$G$120="moeda")+(Inputs!$G$5:$G$120="acoes"))*Inputs!$B$1+((Inputs!$G$5:$G$120&lt;&gt;"moeda")*(Inputs!$G$5:$G$120&lt;&gt;"acoes")))*INDEX(Inputs!$K$5:$AJ$120,0,MATCH(AE$2,Inputs!$K$4:$AJ$4,0)))+SUMPRODUCT((Inputs!$C$5:$C$120=$B45)*Inputs!$D$5:$D$120*(((Inputs!$G$5:$G$120="moeda")+(Inputs!$G$5:$G$120="acoes"))*Inputs!$B$1+((Inputs!$G$5:$G$120&lt;&gt;"moeda")*(Inputs!$G$5:$G$120&lt;&gt;"acoes")))*INDEX(Inputs!$K$5:$AJ$120,0,MATCH(AE$2,Inputs!$K$4:$AJ$4,0)))+SUMPRODUCT((Inputs!$E$5:$E$120=$B45)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5" s="6" t="e">
        <f>IF(ISNA(MATCH(AF$2,Inputs!$K$4:$AJ$4,0)),NA(),IF(SUMPRODUCT((Inputs!$A$5:$A$120=$B45)*ISNUMBER(INDEX(Inputs!$K$5:$AJ$120,0,MATCH(AF$2,Inputs!$K$4:$AJ$4,0))))+SUMPRODUCT((Inputs!$C$5:$C$120=$B45)*ISNUMBER(INDEX(Inputs!$K$5:$AJ$120,0,MATCH(AF$2,Inputs!$K$4:$AJ$4,0))))+SUMPRODUCT((Inputs!$E$5:$E$120=$B45)*ISNUMBER(INDEX(Inputs!$K$5:$AJ$120,0,MATCH(AF$2,Inputs!$K$4:$AJ$4,0))))=0,NA(),SUMPRODUCT((Inputs!$A$5:$A$120=$B45)*Inputs!$B$5:$B$120*(((Inputs!$G$5:$G$120="moeda")+(Inputs!$G$5:$G$120="acoes"))*Inputs!$B$1+((Inputs!$G$5:$G$120&lt;&gt;"moeda")*(Inputs!$G$5:$G$120&lt;&gt;"acoes")))*INDEX(Inputs!$K$5:$AJ$120,0,MATCH(AF$2,Inputs!$K$4:$AJ$4,0)))+SUMPRODUCT((Inputs!$C$5:$C$120=$B45)*Inputs!$D$5:$D$120*(((Inputs!$G$5:$G$120="moeda")+(Inputs!$G$5:$G$120="acoes"))*Inputs!$B$1+((Inputs!$G$5:$G$120&lt;&gt;"moeda")*(Inputs!$G$5:$G$120&lt;&gt;"acoes")))*INDEX(Inputs!$K$5:$AJ$120,0,MATCH(AF$2,Inputs!$K$4:$AJ$4,0)))+SUMPRODUCT((Inputs!$E$5:$E$120=$B45)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5" s="3" t="e">
        <f>AF45</f>
        <v>#N/A</v>
      </c>
      <c r="AH45" s="6">
        <f>IF(ISNA(MATCH(AH$2,Inputs!$K$4:$AJ$4,0)),NA(),IF(SUMPRODUCT((Inputs!$A$5:$A$120=$B45)*ISNUMBER(INDEX(Inputs!$K$5:$AJ$120,0,MATCH(AH$2,Inputs!$K$4:$AJ$4,0))))+SUMPRODUCT((Inputs!$C$5:$C$120=$B45)*ISNUMBER(INDEX(Inputs!$K$5:$AJ$120,0,MATCH(AH$2,Inputs!$K$4:$AJ$4,0))))+SUMPRODUCT((Inputs!$E$5:$E$120=$B45)*ISNUMBER(INDEX(Inputs!$K$5:$AJ$120,0,MATCH(AH$2,Inputs!$K$4:$AJ$4,0))))=0,NA(),SUMPRODUCT((Inputs!$A$5:$A$120=$B45)*Inputs!$B$5:$B$120*(((Inputs!$G$5:$G$120="moeda")+(Inputs!$G$5:$G$120="acoes"))*Inputs!$B$1+((Inputs!$G$5:$G$120&lt;&gt;"moeda")*(Inputs!$G$5:$G$120&lt;&gt;"acoes")))*INDEX(Inputs!$K$5:$AJ$120,0,MATCH(AH$2,Inputs!$K$4:$AJ$4,0)))+SUMPRODUCT((Inputs!$C$5:$C$120=$B45)*Inputs!$D$5:$D$120*(((Inputs!$G$5:$G$120="moeda")+(Inputs!$G$5:$G$120="acoes"))*Inputs!$B$1+((Inputs!$G$5:$G$120&lt;&gt;"moeda")*(Inputs!$G$5:$G$120&lt;&gt;"acoes")))*INDEX(Inputs!$K$5:$AJ$120,0,MATCH(AH$2,Inputs!$K$4:$AJ$4,0)))+SUMPRODUCT((Inputs!$E$5:$E$120=$B45)*Inputs!$F$5:$F$120*(((Inputs!$G$5:$G$120="moeda")+(Inputs!$G$5:$G$120="acoes"))*Inputs!$B$1+((Inputs!$G$5:$G$120&lt;&gt;"moeda")*(Inputs!$G$5:$G$120&lt;&gt;"acoes")))*INDEX(Inputs!$K$5:$AJ$120,0,MATCH(AH$2,Inputs!$K$4:$AJ$4,0)))))</f>
        <v>-6885.9</v>
      </c>
      <c r="AI45" s="6">
        <f>IF(ISNA(MATCH(AI$2,Inputs!$K$4:$AJ$4,0)),NA(),IF(SUMPRODUCT((Inputs!$A$5:$A$120=$B45)*ISNUMBER(INDEX(Inputs!$K$5:$AJ$120,0,MATCH(AI$2,Inputs!$K$4:$AJ$4,0))))+SUMPRODUCT((Inputs!$C$5:$C$120=$B45)*ISNUMBER(INDEX(Inputs!$K$5:$AJ$120,0,MATCH(AI$2,Inputs!$K$4:$AJ$4,0))))+SUMPRODUCT((Inputs!$E$5:$E$120=$B45)*ISNUMBER(INDEX(Inputs!$K$5:$AJ$120,0,MATCH(AI$2,Inputs!$K$4:$AJ$4,0))))=0,NA(),SUMPRODUCT((Inputs!$A$5:$A$120=$B45)*Inputs!$B$5:$B$120*(((Inputs!$G$5:$G$120="moeda")+(Inputs!$G$5:$G$120="acoes"))*Inputs!$B$1+((Inputs!$G$5:$G$120&lt;&gt;"moeda")*(Inputs!$G$5:$G$120&lt;&gt;"acoes")))*INDEX(Inputs!$K$5:$AJ$120,0,MATCH(AI$2,Inputs!$K$4:$AJ$4,0)))+SUMPRODUCT((Inputs!$C$5:$C$120=$B45)*Inputs!$D$5:$D$120*(((Inputs!$G$5:$G$120="moeda")+(Inputs!$G$5:$G$120="acoes"))*Inputs!$B$1+((Inputs!$G$5:$G$120&lt;&gt;"moeda")*(Inputs!$G$5:$G$120&lt;&gt;"acoes")))*INDEX(Inputs!$K$5:$AJ$120,0,MATCH(AI$2,Inputs!$K$4:$AJ$4,0)))+SUMPRODUCT((Inputs!$E$5:$E$120=$B45)*Inputs!$F$5:$F$120*(((Inputs!$G$5:$G$120="moeda")+(Inputs!$G$5:$G$120="acoes"))*Inputs!$B$1+((Inputs!$G$5:$G$120&lt;&gt;"moeda")*(Inputs!$G$5:$G$120&lt;&gt;"acoes")))*INDEX(Inputs!$K$5:$AJ$120,0,MATCH(AI$2,Inputs!$K$4:$AJ$4,0)))))</f>
        <v>-6682.9</v>
      </c>
      <c r="AJ45" s="6">
        <f>IF(ISNA(MATCH(AJ$2,Inputs!$K$4:$AJ$4,0)),NA(),IF(SUMPRODUCT((Inputs!$A$5:$A$120=$B45)*ISNUMBER(INDEX(Inputs!$K$5:$AJ$120,0,MATCH(AJ$2,Inputs!$K$4:$AJ$4,0))))+SUMPRODUCT((Inputs!$C$5:$C$120=$B45)*ISNUMBER(INDEX(Inputs!$K$5:$AJ$120,0,MATCH(AJ$2,Inputs!$K$4:$AJ$4,0))))+SUMPRODUCT((Inputs!$E$5:$E$120=$B45)*ISNUMBER(INDEX(Inputs!$K$5:$AJ$120,0,MATCH(AJ$2,Inputs!$K$4:$AJ$4,0))))=0,NA(),SUMPRODUCT((Inputs!$A$5:$A$120=$B45)*Inputs!$B$5:$B$120*(((Inputs!$G$5:$G$120="moeda")+(Inputs!$G$5:$G$120="acoes"))*Inputs!$B$1+((Inputs!$G$5:$G$120&lt;&gt;"moeda")*(Inputs!$G$5:$G$120&lt;&gt;"acoes")))*INDEX(Inputs!$K$5:$AJ$120,0,MATCH(AJ$2,Inputs!$K$4:$AJ$4,0)))+SUMPRODUCT((Inputs!$C$5:$C$120=$B45)*Inputs!$D$5:$D$120*(((Inputs!$G$5:$G$120="moeda")+(Inputs!$G$5:$G$120="acoes"))*Inputs!$B$1+((Inputs!$G$5:$G$120&lt;&gt;"moeda")*(Inputs!$G$5:$G$120&lt;&gt;"acoes")))*INDEX(Inputs!$K$5:$AJ$120,0,MATCH(AJ$2,Inputs!$K$4:$AJ$4,0)))+SUMPRODUCT((Inputs!$E$5:$E$120=$B45)*Inputs!$F$5:$F$120*(((Inputs!$G$5:$G$120="moeda")+(Inputs!$G$5:$G$120="acoes"))*Inputs!$B$1+((Inputs!$G$5:$G$120&lt;&gt;"moeda")*(Inputs!$G$5:$G$120&lt;&gt;"acoes")))*INDEX(Inputs!$K$5:$AJ$120,0,MATCH(AJ$2,Inputs!$K$4:$AJ$4,0)))))</f>
        <v>-6555.1</v>
      </c>
      <c r="AK45" s="6">
        <f>IF(ISNA(MATCH(AK$2,Inputs!$K$4:$AJ$4,0)),NA(),IF(SUMPRODUCT((Inputs!$A$5:$A$120=$B45)*ISNUMBER(INDEX(Inputs!$K$5:$AJ$120,0,MATCH(AK$2,Inputs!$K$4:$AJ$4,0))))+SUMPRODUCT((Inputs!$C$5:$C$120=$B45)*ISNUMBER(INDEX(Inputs!$K$5:$AJ$120,0,MATCH(AK$2,Inputs!$K$4:$AJ$4,0))))+SUMPRODUCT((Inputs!$E$5:$E$120=$B45)*ISNUMBER(INDEX(Inputs!$K$5:$AJ$120,0,MATCH(AK$2,Inputs!$K$4:$AJ$4,0))))=0,NA(),SUMPRODUCT((Inputs!$A$5:$A$120=$B45)*Inputs!$B$5:$B$120*(((Inputs!$G$5:$G$120="moeda")+(Inputs!$G$5:$G$120="acoes"))*Inputs!$B$1+((Inputs!$G$5:$G$120&lt;&gt;"moeda")*(Inputs!$G$5:$G$120&lt;&gt;"acoes")))*INDEX(Inputs!$K$5:$AJ$120,0,MATCH(AK$2,Inputs!$K$4:$AJ$4,0)))+SUMPRODUCT((Inputs!$C$5:$C$120=$B45)*Inputs!$D$5:$D$120*(((Inputs!$G$5:$G$120="moeda")+(Inputs!$G$5:$G$120="acoes"))*Inputs!$B$1+((Inputs!$G$5:$G$120&lt;&gt;"moeda")*(Inputs!$G$5:$G$120&lt;&gt;"acoes")))*INDEX(Inputs!$K$5:$AJ$120,0,MATCH(AK$2,Inputs!$K$4:$AJ$4,0)))+SUMPRODUCT((Inputs!$E$5:$E$120=$B45)*Inputs!$F$5:$F$120*(((Inputs!$G$5:$G$120="moeda")+(Inputs!$G$5:$G$120="acoes"))*Inputs!$B$1+((Inputs!$G$5:$G$120&lt;&gt;"moeda")*(Inputs!$G$5:$G$120&lt;&gt;"acoes")))*INDEX(Inputs!$K$5:$AJ$120,0,MATCH(AK$2,Inputs!$K$4:$AJ$4,0)))))</f>
        <v>-6496.4</v>
      </c>
      <c r="AL45" s="3">
        <f>AK45</f>
        <v>-6496.4</v>
      </c>
    </row>
    <row r="46">
      <c r="B46" s="46" t="n">
        <v>40</v>
      </c>
      <c r="C46" s="26" t="inlineStr">
        <is>
          <t>Other equity account</t>
        </is>
      </c>
      <c r="D46" s="6">
        <f>IF(ISNA(MATCH(D$2,Inputs!$K$4:$AJ$4,0)),NA(),IF(SUMPRODUCT((Inputs!$A$5:$A$120=$B46)*ISNUMBER(INDEX(Inputs!$K$5:$AJ$120,0,MATCH(D$2,Inputs!$K$4:$AJ$4,0))))+SUMPRODUCT((Inputs!$C$5:$C$120=$B46)*ISNUMBER(INDEX(Inputs!$K$5:$AJ$120,0,MATCH(D$2,Inputs!$K$4:$AJ$4,0))))+SUMPRODUCT((Inputs!$E$5:$E$120=$B46)*ISNUMBER(INDEX(Inputs!$K$5:$AJ$120,0,MATCH(D$2,Inputs!$K$4:$AJ$4,0))))=0,NA(),SUMPRODUCT((Inputs!$A$5:$A$120=$B46)*Inputs!$B$5:$B$120*(((Inputs!$G$5:$G$120="moeda")+(Inputs!$G$5:$G$120="acoes"))*Inputs!$B$1+((Inputs!$G$5:$G$120&lt;&gt;"moeda")*(Inputs!$G$5:$G$120&lt;&gt;"acoes")))*INDEX(Inputs!$K$5:$AJ$120,0,MATCH(D$2,Inputs!$K$4:$AJ$4,0)))+SUMPRODUCT((Inputs!$C$5:$C$120=$B46)*Inputs!$D$5:$D$120*(((Inputs!$G$5:$G$120="moeda")+(Inputs!$G$5:$G$120="acoes"))*Inputs!$B$1+((Inputs!$G$5:$G$120&lt;&gt;"moeda")*(Inputs!$G$5:$G$120&lt;&gt;"acoes")))*INDEX(Inputs!$K$5:$AJ$120,0,MATCH(D$2,Inputs!$K$4:$AJ$4,0)))+SUMPRODUCT((Inputs!$E$5:$E$120=$B46)*Inputs!$F$5:$F$120*(((Inputs!$G$5:$G$120="moeda")+(Inputs!$G$5:$G$120="acoes"))*Inputs!$B$1+((Inputs!$G$5:$G$120&lt;&gt;"moeda")*(Inputs!$G$5:$G$120&lt;&gt;"acoes")))*INDEX(Inputs!$K$5:$AJ$120,0,MATCH(D$2,Inputs!$K$4:$AJ$4,0)))))</f>
        <v>0</v>
      </c>
      <c r="E46" s="6">
        <f>IF(ISNA(MATCH(E$2,Inputs!$K$4:$AJ$4,0)),NA(),IF(SUMPRODUCT((Inputs!$A$5:$A$120=$B46)*ISNUMBER(INDEX(Inputs!$K$5:$AJ$120,0,MATCH(E$2,Inputs!$K$4:$AJ$4,0))))+SUMPRODUCT((Inputs!$C$5:$C$120=$B46)*ISNUMBER(INDEX(Inputs!$K$5:$AJ$120,0,MATCH(E$2,Inputs!$K$4:$AJ$4,0))))+SUMPRODUCT((Inputs!$E$5:$E$120=$B46)*ISNUMBER(INDEX(Inputs!$K$5:$AJ$120,0,MATCH(E$2,Inputs!$K$4:$AJ$4,0))))=0,NA(),SUMPRODUCT((Inputs!$A$5:$A$120=$B46)*Inputs!$B$5:$B$120*(((Inputs!$G$5:$G$120="moeda")+(Inputs!$G$5:$G$120="acoes"))*Inputs!$B$1+((Inputs!$G$5:$G$120&lt;&gt;"moeda")*(Inputs!$G$5:$G$120&lt;&gt;"acoes")))*INDEX(Inputs!$K$5:$AJ$120,0,MATCH(E$2,Inputs!$K$4:$AJ$4,0)))+SUMPRODUCT((Inputs!$C$5:$C$120=$B46)*Inputs!$D$5:$D$120*(((Inputs!$G$5:$G$120="moeda")+(Inputs!$G$5:$G$120="acoes"))*Inputs!$B$1+((Inputs!$G$5:$G$120&lt;&gt;"moeda")*(Inputs!$G$5:$G$120&lt;&gt;"acoes")))*INDEX(Inputs!$K$5:$AJ$120,0,MATCH(E$2,Inputs!$K$4:$AJ$4,0)))+SUMPRODUCT((Inputs!$E$5:$E$120=$B46)*Inputs!$F$5:$F$120*(((Inputs!$G$5:$G$120="moeda")+(Inputs!$G$5:$G$120="acoes"))*Inputs!$B$1+((Inputs!$G$5:$G$120&lt;&gt;"moeda")*(Inputs!$G$5:$G$120&lt;&gt;"acoes")))*INDEX(Inputs!$K$5:$AJ$120,0,MATCH(E$2,Inputs!$K$4:$AJ$4,0)))))</f>
        <v>0</v>
      </c>
      <c r="F46" s="6">
        <f>IF(ISNA(MATCH(F$2,Inputs!$K$4:$AJ$4,0)),NA(),IF(SUMPRODUCT((Inputs!$A$5:$A$120=$B46)*ISNUMBER(INDEX(Inputs!$K$5:$AJ$120,0,MATCH(F$2,Inputs!$K$4:$AJ$4,0))))+SUMPRODUCT((Inputs!$C$5:$C$120=$B46)*ISNUMBER(INDEX(Inputs!$K$5:$AJ$120,0,MATCH(F$2,Inputs!$K$4:$AJ$4,0))))+SUMPRODUCT((Inputs!$E$5:$E$120=$B46)*ISNUMBER(INDEX(Inputs!$K$5:$AJ$120,0,MATCH(F$2,Inputs!$K$4:$AJ$4,0))))=0,NA(),SUMPRODUCT((Inputs!$A$5:$A$120=$B46)*Inputs!$B$5:$B$120*(((Inputs!$G$5:$G$120="moeda")+(Inputs!$G$5:$G$120="acoes"))*Inputs!$B$1+((Inputs!$G$5:$G$120&lt;&gt;"moeda")*(Inputs!$G$5:$G$120&lt;&gt;"acoes")))*INDEX(Inputs!$K$5:$AJ$120,0,MATCH(F$2,Inputs!$K$4:$AJ$4,0)))+SUMPRODUCT((Inputs!$C$5:$C$120=$B46)*Inputs!$D$5:$D$120*(((Inputs!$G$5:$G$120="moeda")+(Inputs!$G$5:$G$120="acoes"))*Inputs!$B$1+((Inputs!$G$5:$G$120&lt;&gt;"moeda")*(Inputs!$G$5:$G$120&lt;&gt;"acoes")))*INDEX(Inputs!$K$5:$AJ$120,0,MATCH(F$2,Inputs!$K$4:$AJ$4,0)))+SUMPRODUCT((Inputs!$E$5:$E$120=$B46)*Inputs!$F$5:$F$120*(((Inputs!$G$5:$G$120="moeda")+(Inputs!$G$5:$G$120="acoes"))*Inputs!$B$1+((Inputs!$G$5:$G$120&lt;&gt;"moeda")*(Inputs!$G$5:$G$120&lt;&gt;"acoes")))*INDEX(Inputs!$K$5:$AJ$120,0,MATCH(F$2,Inputs!$K$4:$AJ$4,0)))))</f>
        <v>0</v>
      </c>
      <c r="G46" s="6">
        <f>IF(ISNA(MATCH(G$2,Inputs!$K$4:$AJ$4,0)),NA(),IF(SUMPRODUCT((Inputs!$A$5:$A$120=$B46)*ISNUMBER(INDEX(Inputs!$K$5:$AJ$120,0,MATCH(G$2,Inputs!$K$4:$AJ$4,0))))+SUMPRODUCT((Inputs!$C$5:$C$120=$B46)*ISNUMBER(INDEX(Inputs!$K$5:$AJ$120,0,MATCH(G$2,Inputs!$K$4:$AJ$4,0))))+SUMPRODUCT((Inputs!$E$5:$E$120=$B46)*ISNUMBER(INDEX(Inputs!$K$5:$AJ$120,0,MATCH(G$2,Inputs!$K$4:$AJ$4,0))))=0,NA(),SUMPRODUCT((Inputs!$A$5:$A$120=$B46)*Inputs!$B$5:$B$120*(((Inputs!$G$5:$G$120="moeda")+(Inputs!$G$5:$G$120="acoes"))*Inputs!$B$1+((Inputs!$G$5:$G$120&lt;&gt;"moeda")*(Inputs!$G$5:$G$120&lt;&gt;"acoes")))*INDEX(Inputs!$K$5:$AJ$120,0,MATCH(G$2,Inputs!$K$4:$AJ$4,0)))+SUMPRODUCT((Inputs!$C$5:$C$120=$B46)*Inputs!$D$5:$D$120*(((Inputs!$G$5:$G$120="moeda")+(Inputs!$G$5:$G$120="acoes"))*Inputs!$B$1+((Inputs!$G$5:$G$120&lt;&gt;"moeda")*(Inputs!$G$5:$G$120&lt;&gt;"acoes")))*INDEX(Inputs!$K$5:$AJ$120,0,MATCH(G$2,Inputs!$K$4:$AJ$4,0)))+SUMPRODUCT((Inputs!$E$5:$E$120=$B46)*Inputs!$F$5:$F$120*(((Inputs!$G$5:$G$120="moeda")+(Inputs!$G$5:$G$120="acoes"))*Inputs!$B$1+((Inputs!$G$5:$G$120&lt;&gt;"moeda")*(Inputs!$G$5:$G$120&lt;&gt;"acoes")))*INDEX(Inputs!$K$5:$AJ$120,0,MATCH(G$2,Inputs!$K$4:$AJ$4,0)))))</f>
        <v>0</v>
      </c>
      <c r="H46" s="3">
        <f>G46</f>
        <v>0</v>
      </c>
      <c r="I46" s="6">
        <f>IF(ISNA(MATCH(I$2,Inputs!$K$4:$AJ$4,0)),NA(),IF(SUMPRODUCT((Inputs!$A$5:$A$120=$B46)*ISNUMBER(INDEX(Inputs!$K$5:$AJ$120,0,MATCH(I$2,Inputs!$K$4:$AJ$4,0))))+SUMPRODUCT((Inputs!$C$5:$C$120=$B46)*ISNUMBER(INDEX(Inputs!$K$5:$AJ$120,0,MATCH(I$2,Inputs!$K$4:$AJ$4,0))))+SUMPRODUCT((Inputs!$E$5:$E$120=$B46)*ISNUMBER(INDEX(Inputs!$K$5:$AJ$120,0,MATCH(I$2,Inputs!$K$4:$AJ$4,0))))=0,NA(),SUMPRODUCT((Inputs!$A$5:$A$120=$B46)*Inputs!$B$5:$B$120*(((Inputs!$G$5:$G$120="moeda")+(Inputs!$G$5:$G$120="acoes"))*Inputs!$B$1+((Inputs!$G$5:$G$120&lt;&gt;"moeda")*(Inputs!$G$5:$G$120&lt;&gt;"acoes")))*INDEX(Inputs!$K$5:$AJ$120,0,MATCH(I$2,Inputs!$K$4:$AJ$4,0)))+SUMPRODUCT((Inputs!$C$5:$C$120=$B46)*Inputs!$D$5:$D$120*(((Inputs!$G$5:$G$120="moeda")+(Inputs!$G$5:$G$120="acoes"))*Inputs!$B$1+((Inputs!$G$5:$G$120&lt;&gt;"moeda")*(Inputs!$G$5:$G$120&lt;&gt;"acoes")))*INDEX(Inputs!$K$5:$AJ$120,0,MATCH(I$2,Inputs!$K$4:$AJ$4,0)))+SUMPRODUCT((Inputs!$E$5:$E$120=$B46)*Inputs!$F$5:$F$120*(((Inputs!$G$5:$G$120="moeda")+(Inputs!$G$5:$G$120="acoes"))*Inputs!$B$1+((Inputs!$G$5:$G$120&lt;&gt;"moeda")*(Inputs!$G$5:$G$120&lt;&gt;"acoes")))*INDEX(Inputs!$K$5:$AJ$120,0,MATCH(I$2,Inputs!$K$4:$AJ$4,0)))))</f>
        <v>0</v>
      </c>
      <c r="J46" s="6">
        <f>IF(ISNA(MATCH(J$2,Inputs!$K$4:$AJ$4,0)),NA(),IF(SUMPRODUCT((Inputs!$A$5:$A$120=$B46)*ISNUMBER(INDEX(Inputs!$K$5:$AJ$120,0,MATCH(J$2,Inputs!$K$4:$AJ$4,0))))+SUMPRODUCT((Inputs!$C$5:$C$120=$B46)*ISNUMBER(INDEX(Inputs!$K$5:$AJ$120,0,MATCH(J$2,Inputs!$K$4:$AJ$4,0))))+SUMPRODUCT((Inputs!$E$5:$E$120=$B46)*ISNUMBER(INDEX(Inputs!$K$5:$AJ$120,0,MATCH(J$2,Inputs!$K$4:$AJ$4,0))))=0,NA(),SUMPRODUCT((Inputs!$A$5:$A$120=$B46)*Inputs!$B$5:$B$120*(((Inputs!$G$5:$G$120="moeda")+(Inputs!$G$5:$G$120="acoes"))*Inputs!$B$1+((Inputs!$G$5:$G$120&lt;&gt;"moeda")*(Inputs!$G$5:$G$120&lt;&gt;"acoes")))*INDEX(Inputs!$K$5:$AJ$120,0,MATCH(J$2,Inputs!$K$4:$AJ$4,0)))+SUMPRODUCT((Inputs!$C$5:$C$120=$B46)*Inputs!$D$5:$D$120*(((Inputs!$G$5:$G$120="moeda")+(Inputs!$G$5:$G$120="acoes"))*Inputs!$B$1+((Inputs!$G$5:$G$120&lt;&gt;"moeda")*(Inputs!$G$5:$G$120&lt;&gt;"acoes")))*INDEX(Inputs!$K$5:$AJ$120,0,MATCH(J$2,Inputs!$K$4:$AJ$4,0)))+SUMPRODUCT((Inputs!$E$5:$E$120=$B46)*Inputs!$F$5:$F$120*(((Inputs!$G$5:$G$120="moeda")+(Inputs!$G$5:$G$120="acoes"))*Inputs!$B$1+((Inputs!$G$5:$G$120&lt;&gt;"moeda")*(Inputs!$G$5:$G$120&lt;&gt;"acoes")))*INDEX(Inputs!$K$5:$AJ$120,0,MATCH(J$2,Inputs!$K$4:$AJ$4,0)))))</f>
        <v>0</v>
      </c>
      <c r="K46" s="6">
        <f>IF(ISNA(MATCH(K$2,Inputs!$K$4:$AJ$4,0)),NA(),IF(SUMPRODUCT((Inputs!$A$5:$A$120=$B46)*ISNUMBER(INDEX(Inputs!$K$5:$AJ$120,0,MATCH(K$2,Inputs!$K$4:$AJ$4,0))))+SUMPRODUCT((Inputs!$C$5:$C$120=$B46)*ISNUMBER(INDEX(Inputs!$K$5:$AJ$120,0,MATCH(K$2,Inputs!$K$4:$AJ$4,0))))+SUMPRODUCT((Inputs!$E$5:$E$120=$B46)*ISNUMBER(INDEX(Inputs!$K$5:$AJ$120,0,MATCH(K$2,Inputs!$K$4:$AJ$4,0))))=0,NA(),SUMPRODUCT((Inputs!$A$5:$A$120=$B46)*Inputs!$B$5:$B$120*(((Inputs!$G$5:$G$120="moeda")+(Inputs!$G$5:$G$120="acoes"))*Inputs!$B$1+((Inputs!$G$5:$G$120&lt;&gt;"moeda")*(Inputs!$G$5:$G$120&lt;&gt;"acoes")))*INDEX(Inputs!$K$5:$AJ$120,0,MATCH(K$2,Inputs!$K$4:$AJ$4,0)))+SUMPRODUCT((Inputs!$C$5:$C$120=$B46)*Inputs!$D$5:$D$120*(((Inputs!$G$5:$G$120="moeda")+(Inputs!$G$5:$G$120="acoes"))*Inputs!$B$1+((Inputs!$G$5:$G$120&lt;&gt;"moeda")*(Inputs!$G$5:$G$120&lt;&gt;"acoes")))*INDEX(Inputs!$K$5:$AJ$120,0,MATCH(K$2,Inputs!$K$4:$AJ$4,0)))+SUMPRODUCT((Inputs!$E$5:$E$120=$B46)*Inputs!$F$5:$F$120*(((Inputs!$G$5:$G$120="moeda")+(Inputs!$G$5:$G$120="acoes"))*Inputs!$B$1+((Inputs!$G$5:$G$120&lt;&gt;"moeda")*(Inputs!$G$5:$G$120&lt;&gt;"acoes")))*INDEX(Inputs!$K$5:$AJ$120,0,MATCH(K$2,Inputs!$K$4:$AJ$4,0)))))</f>
        <v>0</v>
      </c>
      <c r="L46" s="6">
        <f>IF(ISNA(MATCH(L$2,Inputs!$K$4:$AJ$4,0)),NA(),IF(SUMPRODUCT((Inputs!$A$5:$A$120=$B46)*ISNUMBER(INDEX(Inputs!$K$5:$AJ$120,0,MATCH(L$2,Inputs!$K$4:$AJ$4,0))))+SUMPRODUCT((Inputs!$C$5:$C$120=$B46)*ISNUMBER(INDEX(Inputs!$K$5:$AJ$120,0,MATCH(L$2,Inputs!$K$4:$AJ$4,0))))+SUMPRODUCT((Inputs!$E$5:$E$120=$B46)*ISNUMBER(INDEX(Inputs!$K$5:$AJ$120,0,MATCH(L$2,Inputs!$K$4:$AJ$4,0))))=0,NA(),SUMPRODUCT((Inputs!$A$5:$A$120=$B46)*Inputs!$B$5:$B$120*(((Inputs!$G$5:$G$120="moeda")+(Inputs!$G$5:$G$120="acoes"))*Inputs!$B$1+((Inputs!$G$5:$G$120&lt;&gt;"moeda")*(Inputs!$G$5:$G$120&lt;&gt;"acoes")))*INDEX(Inputs!$K$5:$AJ$120,0,MATCH(L$2,Inputs!$K$4:$AJ$4,0)))+SUMPRODUCT((Inputs!$C$5:$C$120=$B46)*Inputs!$D$5:$D$120*(((Inputs!$G$5:$G$120="moeda")+(Inputs!$G$5:$G$120="acoes"))*Inputs!$B$1+((Inputs!$G$5:$G$120&lt;&gt;"moeda")*(Inputs!$G$5:$G$120&lt;&gt;"acoes")))*INDEX(Inputs!$K$5:$AJ$120,0,MATCH(L$2,Inputs!$K$4:$AJ$4,0)))+SUMPRODUCT((Inputs!$E$5:$E$120=$B46)*Inputs!$F$5:$F$120*(((Inputs!$G$5:$G$120="moeda")+(Inputs!$G$5:$G$120="acoes"))*Inputs!$B$1+((Inputs!$G$5:$G$120&lt;&gt;"moeda")*(Inputs!$G$5:$G$120&lt;&gt;"acoes")))*INDEX(Inputs!$K$5:$AJ$120,0,MATCH(L$2,Inputs!$K$4:$AJ$4,0)))))</f>
        <v>0</v>
      </c>
      <c r="M46" s="3">
        <f>L46</f>
        <v>0</v>
      </c>
      <c r="N46" s="6">
        <f>IF(ISNA(MATCH(N$2,Inputs!$K$4:$AJ$4,0)),NA(),IF(SUMPRODUCT((Inputs!$A$5:$A$120=$B46)*ISNUMBER(INDEX(Inputs!$K$5:$AJ$120,0,MATCH(N$2,Inputs!$K$4:$AJ$4,0))))+SUMPRODUCT((Inputs!$C$5:$C$120=$B46)*ISNUMBER(INDEX(Inputs!$K$5:$AJ$120,0,MATCH(N$2,Inputs!$K$4:$AJ$4,0))))+SUMPRODUCT((Inputs!$E$5:$E$120=$B46)*ISNUMBER(INDEX(Inputs!$K$5:$AJ$120,0,MATCH(N$2,Inputs!$K$4:$AJ$4,0))))=0,NA(),SUMPRODUCT((Inputs!$A$5:$A$120=$B46)*Inputs!$B$5:$B$120*(((Inputs!$G$5:$G$120="moeda")+(Inputs!$G$5:$G$120="acoes"))*Inputs!$B$1+((Inputs!$G$5:$G$120&lt;&gt;"moeda")*(Inputs!$G$5:$G$120&lt;&gt;"acoes")))*INDEX(Inputs!$K$5:$AJ$120,0,MATCH(N$2,Inputs!$K$4:$AJ$4,0)))+SUMPRODUCT((Inputs!$C$5:$C$120=$B46)*Inputs!$D$5:$D$120*(((Inputs!$G$5:$G$120="moeda")+(Inputs!$G$5:$G$120="acoes"))*Inputs!$B$1+((Inputs!$G$5:$G$120&lt;&gt;"moeda")*(Inputs!$G$5:$G$120&lt;&gt;"acoes")))*INDEX(Inputs!$K$5:$AJ$120,0,MATCH(N$2,Inputs!$K$4:$AJ$4,0)))+SUMPRODUCT((Inputs!$E$5:$E$120=$B46)*Inputs!$F$5:$F$120*(((Inputs!$G$5:$G$120="moeda")+(Inputs!$G$5:$G$120="acoes"))*Inputs!$B$1+((Inputs!$G$5:$G$120&lt;&gt;"moeda")*(Inputs!$G$5:$G$120&lt;&gt;"acoes")))*INDEX(Inputs!$K$5:$AJ$120,0,MATCH(N$2,Inputs!$K$4:$AJ$4,0)))))</f>
        <v>0</v>
      </c>
      <c r="O46" s="6">
        <f>IF(ISNA(MATCH(O$2,Inputs!$K$4:$AJ$4,0)),NA(),IF(SUMPRODUCT((Inputs!$A$5:$A$120=$B46)*ISNUMBER(INDEX(Inputs!$K$5:$AJ$120,0,MATCH(O$2,Inputs!$K$4:$AJ$4,0))))+SUMPRODUCT((Inputs!$C$5:$C$120=$B46)*ISNUMBER(INDEX(Inputs!$K$5:$AJ$120,0,MATCH(O$2,Inputs!$K$4:$AJ$4,0))))+SUMPRODUCT((Inputs!$E$5:$E$120=$B46)*ISNUMBER(INDEX(Inputs!$K$5:$AJ$120,0,MATCH(O$2,Inputs!$K$4:$AJ$4,0))))=0,NA(),SUMPRODUCT((Inputs!$A$5:$A$120=$B46)*Inputs!$B$5:$B$120*(((Inputs!$G$5:$G$120="moeda")+(Inputs!$G$5:$G$120="acoes"))*Inputs!$B$1+((Inputs!$G$5:$G$120&lt;&gt;"moeda")*(Inputs!$G$5:$G$120&lt;&gt;"acoes")))*INDEX(Inputs!$K$5:$AJ$120,0,MATCH(O$2,Inputs!$K$4:$AJ$4,0)))+SUMPRODUCT((Inputs!$C$5:$C$120=$B46)*Inputs!$D$5:$D$120*(((Inputs!$G$5:$G$120="moeda")+(Inputs!$G$5:$G$120="acoes"))*Inputs!$B$1+((Inputs!$G$5:$G$120&lt;&gt;"moeda")*(Inputs!$G$5:$G$120&lt;&gt;"acoes")))*INDEX(Inputs!$K$5:$AJ$120,0,MATCH(O$2,Inputs!$K$4:$AJ$4,0)))+SUMPRODUCT((Inputs!$E$5:$E$120=$B46)*Inputs!$F$5:$F$120*(((Inputs!$G$5:$G$120="moeda")+(Inputs!$G$5:$G$120="acoes"))*Inputs!$B$1+((Inputs!$G$5:$G$120&lt;&gt;"moeda")*(Inputs!$G$5:$G$120&lt;&gt;"acoes")))*INDEX(Inputs!$K$5:$AJ$120,0,MATCH(O$2,Inputs!$K$4:$AJ$4,0)))))</f>
        <v>0</v>
      </c>
      <c r="P46" s="6">
        <f>IF(ISNA(MATCH(P$2,Inputs!$K$4:$AJ$4,0)),NA(),IF(SUMPRODUCT((Inputs!$A$5:$A$120=$B46)*ISNUMBER(INDEX(Inputs!$K$5:$AJ$120,0,MATCH(P$2,Inputs!$K$4:$AJ$4,0))))+SUMPRODUCT((Inputs!$C$5:$C$120=$B46)*ISNUMBER(INDEX(Inputs!$K$5:$AJ$120,0,MATCH(P$2,Inputs!$K$4:$AJ$4,0))))+SUMPRODUCT((Inputs!$E$5:$E$120=$B46)*ISNUMBER(INDEX(Inputs!$K$5:$AJ$120,0,MATCH(P$2,Inputs!$K$4:$AJ$4,0))))=0,NA(),SUMPRODUCT((Inputs!$A$5:$A$120=$B46)*Inputs!$B$5:$B$120*(((Inputs!$G$5:$G$120="moeda")+(Inputs!$G$5:$G$120="acoes"))*Inputs!$B$1+((Inputs!$G$5:$G$120&lt;&gt;"moeda")*(Inputs!$G$5:$G$120&lt;&gt;"acoes")))*INDEX(Inputs!$K$5:$AJ$120,0,MATCH(P$2,Inputs!$K$4:$AJ$4,0)))+SUMPRODUCT((Inputs!$C$5:$C$120=$B46)*Inputs!$D$5:$D$120*(((Inputs!$G$5:$G$120="moeda")+(Inputs!$G$5:$G$120="acoes"))*Inputs!$B$1+((Inputs!$G$5:$G$120&lt;&gt;"moeda")*(Inputs!$G$5:$G$120&lt;&gt;"acoes")))*INDEX(Inputs!$K$5:$AJ$120,0,MATCH(P$2,Inputs!$K$4:$AJ$4,0)))+SUMPRODUCT((Inputs!$E$5:$E$120=$B46)*Inputs!$F$5:$F$120*(((Inputs!$G$5:$G$120="moeda")+(Inputs!$G$5:$G$120="acoes"))*Inputs!$B$1+((Inputs!$G$5:$G$120&lt;&gt;"moeda")*(Inputs!$G$5:$G$120&lt;&gt;"acoes")))*INDEX(Inputs!$K$5:$AJ$120,0,MATCH(P$2,Inputs!$K$4:$AJ$4,0)))))</f>
        <v>0</v>
      </c>
      <c r="Q46" s="6">
        <f>IF(ISNA(MATCH(Q$2,Inputs!$K$4:$AJ$4,0)),NA(),IF(SUMPRODUCT((Inputs!$A$5:$A$120=$B46)*ISNUMBER(INDEX(Inputs!$K$5:$AJ$120,0,MATCH(Q$2,Inputs!$K$4:$AJ$4,0))))+SUMPRODUCT((Inputs!$C$5:$C$120=$B46)*ISNUMBER(INDEX(Inputs!$K$5:$AJ$120,0,MATCH(Q$2,Inputs!$K$4:$AJ$4,0))))+SUMPRODUCT((Inputs!$E$5:$E$120=$B46)*ISNUMBER(INDEX(Inputs!$K$5:$AJ$120,0,MATCH(Q$2,Inputs!$K$4:$AJ$4,0))))=0,NA(),SUMPRODUCT((Inputs!$A$5:$A$120=$B46)*Inputs!$B$5:$B$120*(((Inputs!$G$5:$G$120="moeda")+(Inputs!$G$5:$G$120="acoes"))*Inputs!$B$1+((Inputs!$G$5:$G$120&lt;&gt;"moeda")*(Inputs!$G$5:$G$120&lt;&gt;"acoes")))*INDEX(Inputs!$K$5:$AJ$120,0,MATCH(Q$2,Inputs!$K$4:$AJ$4,0)))+SUMPRODUCT((Inputs!$C$5:$C$120=$B46)*Inputs!$D$5:$D$120*(((Inputs!$G$5:$G$120="moeda")+(Inputs!$G$5:$G$120="acoes"))*Inputs!$B$1+((Inputs!$G$5:$G$120&lt;&gt;"moeda")*(Inputs!$G$5:$G$120&lt;&gt;"acoes")))*INDEX(Inputs!$K$5:$AJ$120,0,MATCH(Q$2,Inputs!$K$4:$AJ$4,0)))+SUMPRODUCT((Inputs!$E$5:$E$120=$B46)*Inputs!$F$5:$F$120*(((Inputs!$G$5:$G$120="moeda")+(Inputs!$G$5:$G$120="acoes"))*Inputs!$B$1+((Inputs!$G$5:$G$120&lt;&gt;"moeda")*(Inputs!$G$5:$G$120&lt;&gt;"acoes")))*INDEX(Inputs!$K$5:$AJ$120,0,MATCH(Q$2,Inputs!$K$4:$AJ$4,0)))))</f>
        <v>0</v>
      </c>
      <c r="R46" s="3">
        <f>Q46</f>
        <v>0</v>
      </c>
      <c r="S46" s="6">
        <f>IF(ISNA(MATCH(S$2,Inputs!$K$4:$AJ$4,0)),NA(),IF(SUMPRODUCT((Inputs!$A$5:$A$120=$B46)*ISNUMBER(INDEX(Inputs!$K$5:$AJ$120,0,MATCH(S$2,Inputs!$K$4:$AJ$4,0))))+SUMPRODUCT((Inputs!$C$5:$C$120=$B46)*ISNUMBER(INDEX(Inputs!$K$5:$AJ$120,0,MATCH(S$2,Inputs!$K$4:$AJ$4,0))))+SUMPRODUCT((Inputs!$E$5:$E$120=$B46)*ISNUMBER(INDEX(Inputs!$K$5:$AJ$120,0,MATCH(S$2,Inputs!$K$4:$AJ$4,0))))=0,NA(),SUMPRODUCT((Inputs!$A$5:$A$120=$B46)*Inputs!$B$5:$B$120*(((Inputs!$G$5:$G$120="moeda")+(Inputs!$G$5:$G$120="acoes"))*Inputs!$B$1+((Inputs!$G$5:$G$120&lt;&gt;"moeda")*(Inputs!$G$5:$G$120&lt;&gt;"acoes")))*INDEX(Inputs!$K$5:$AJ$120,0,MATCH(S$2,Inputs!$K$4:$AJ$4,0)))+SUMPRODUCT((Inputs!$C$5:$C$120=$B46)*Inputs!$D$5:$D$120*(((Inputs!$G$5:$G$120="moeda")+(Inputs!$G$5:$G$120="acoes"))*Inputs!$B$1+((Inputs!$G$5:$G$120&lt;&gt;"moeda")*(Inputs!$G$5:$G$120&lt;&gt;"acoes")))*INDEX(Inputs!$K$5:$AJ$120,0,MATCH(S$2,Inputs!$K$4:$AJ$4,0)))+SUMPRODUCT((Inputs!$E$5:$E$120=$B46)*Inputs!$F$5:$F$120*(((Inputs!$G$5:$G$120="moeda")+(Inputs!$G$5:$G$120="acoes"))*Inputs!$B$1+((Inputs!$G$5:$G$120&lt;&gt;"moeda")*(Inputs!$G$5:$G$120&lt;&gt;"acoes")))*INDEX(Inputs!$K$5:$AJ$120,0,MATCH(S$2,Inputs!$K$4:$AJ$4,0)))))</f>
        <v>0</v>
      </c>
      <c r="T46" s="6">
        <f>IF(ISNA(MATCH(T$2,Inputs!$K$4:$AJ$4,0)),NA(),IF(SUMPRODUCT((Inputs!$A$5:$A$120=$B46)*ISNUMBER(INDEX(Inputs!$K$5:$AJ$120,0,MATCH(T$2,Inputs!$K$4:$AJ$4,0))))+SUMPRODUCT((Inputs!$C$5:$C$120=$B46)*ISNUMBER(INDEX(Inputs!$K$5:$AJ$120,0,MATCH(T$2,Inputs!$K$4:$AJ$4,0))))+SUMPRODUCT((Inputs!$E$5:$E$120=$B46)*ISNUMBER(INDEX(Inputs!$K$5:$AJ$120,0,MATCH(T$2,Inputs!$K$4:$AJ$4,0))))=0,NA(),SUMPRODUCT((Inputs!$A$5:$A$120=$B46)*Inputs!$B$5:$B$120*(((Inputs!$G$5:$G$120="moeda")+(Inputs!$G$5:$G$120="acoes"))*Inputs!$B$1+((Inputs!$G$5:$G$120&lt;&gt;"moeda")*(Inputs!$G$5:$G$120&lt;&gt;"acoes")))*INDEX(Inputs!$K$5:$AJ$120,0,MATCH(T$2,Inputs!$K$4:$AJ$4,0)))+SUMPRODUCT((Inputs!$C$5:$C$120=$B46)*Inputs!$D$5:$D$120*(((Inputs!$G$5:$G$120="moeda")+(Inputs!$G$5:$G$120="acoes"))*Inputs!$B$1+((Inputs!$G$5:$G$120&lt;&gt;"moeda")*(Inputs!$G$5:$G$120&lt;&gt;"acoes")))*INDEX(Inputs!$K$5:$AJ$120,0,MATCH(T$2,Inputs!$K$4:$AJ$4,0)))+SUMPRODUCT((Inputs!$E$5:$E$120=$B46)*Inputs!$F$5:$F$120*(((Inputs!$G$5:$G$120="moeda")+(Inputs!$G$5:$G$120="acoes"))*Inputs!$B$1+((Inputs!$G$5:$G$120&lt;&gt;"moeda")*(Inputs!$G$5:$G$120&lt;&gt;"acoes")))*INDEX(Inputs!$K$5:$AJ$120,0,MATCH(T$2,Inputs!$K$4:$AJ$4,0)))))</f>
        <v>0</v>
      </c>
      <c r="U46" s="6">
        <f>IF(ISNA(MATCH(U$2,Inputs!$K$4:$AJ$4,0)),NA(),IF(SUMPRODUCT((Inputs!$A$5:$A$120=$B46)*ISNUMBER(INDEX(Inputs!$K$5:$AJ$120,0,MATCH(U$2,Inputs!$K$4:$AJ$4,0))))+SUMPRODUCT((Inputs!$C$5:$C$120=$B46)*ISNUMBER(INDEX(Inputs!$K$5:$AJ$120,0,MATCH(U$2,Inputs!$K$4:$AJ$4,0))))+SUMPRODUCT((Inputs!$E$5:$E$120=$B46)*ISNUMBER(INDEX(Inputs!$K$5:$AJ$120,0,MATCH(U$2,Inputs!$K$4:$AJ$4,0))))=0,NA(),SUMPRODUCT((Inputs!$A$5:$A$120=$B46)*Inputs!$B$5:$B$120*(((Inputs!$G$5:$G$120="moeda")+(Inputs!$G$5:$G$120="acoes"))*Inputs!$B$1+((Inputs!$G$5:$G$120&lt;&gt;"moeda")*(Inputs!$G$5:$G$120&lt;&gt;"acoes")))*INDEX(Inputs!$K$5:$AJ$120,0,MATCH(U$2,Inputs!$K$4:$AJ$4,0)))+SUMPRODUCT((Inputs!$C$5:$C$120=$B46)*Inputs!$D$5:$D$120*(((Inputs!$G$5:$G$120="moeda")+(Inputs!$G$5:$G$120="acoes"))*Inputs!$B$1+((Inputs!$G$5:$G$120&lt;&gt;"moeda")*(Inputs!$G$5:$G$120&lt;&gt;"acoes")))*INDEX(Inputs!$K$5:$AJ$120,0,MATCH(U$2,Inputs!$K$4:$AJ$4,0)))+SUMPRODUCT((Inputs!$E$5:$E$120=$B46)*Inputs!$F$5:$F$120*(((Inputs!$G$5:$G$120="moeda")+(Inputs!$G$5:$G$120="acoes"))*Inputs!$B$1+((Inputs!$G$5:$G$120&lt;&gt;"moeda")*(Inputs!$G$5:$G$120&lt;&gt;"acoes")))*INDEX(Inputs!$K$5:$AJ$120,0,MATCH(U$2,Inputs!$K$4:$AJ$4,0)))))</f>
        <v>0</v>
      </c>
      <c r="V46" s="6">
        <f>IF(ISNA(MATCH(V$2,Inputs!$K$4:$AJ$4,0)),NA(),IF(SUMPRODUCT((Inputs!$A$5:$A$120=$B46)*ISNUMBER(INDEX(Inputs!$K$5:$AJ$120,0,MATCH(V$2,Inputs!$K$4:$AJ$4,0))))+SUMPRODUCT((Inputs!$C$5:$C$120=$B46)*ISNUMBER(INDEX(Inputs!$K$5:$AJ$120,0,MATCH(V$2,Inputs!$K$4:$AJ$4,0))))+SUMPRODUCT((Inputs!$E$5:$E$120=$B46)*ISNUMBER(INDEX(Inputs!$K$5:$AJ$120,0,MATCH(V$2,Inputs!$K$4:$AJ$4,0))))=0,NA(),SUMPRODUCT((Inputs!$A$5:$A$120=$B46)*Inputs!$B$5:$B$120*(((Inputs!$G$5:$G$120="moeda")+(Inputs!$G$5:$G$120="acoes"))*Inputs!$B$1+((Inputs!$G$5:$G$120&lt;&gt;"moeda")*(Inputs!$G$5:$G$120&lt;&gt;"acoes")))*INDEX(Inputs!$K$5:$AJ$120,0,MATCH(V$2,Inputs!$K$4:$AJ$4,0)))+SUMPRODUCT((Inputs!$C$5:$C$120=$B46)*Inputs!$D$5:$D$120*(((Inputs!$G$5:$G$120="moeda")+(Inputs!$G$5:$G$120="acoes"))*Inputs!$B$1+((Inputs!$G$5:$G$120&lt;&gt;"moeda")*(Inputs!$G$5:$G$120&lt;&gt;"acoes")))*INDEX(Inputs!$K$5:$AJ$120,0,MATCH(V$2,Inputs!$K$4:$AJ$4,0)))+SUMPRODUCT((Inputs!$E$5:$E$120=$B46)*Inputs!$F$5:$F$120*(((Inputs!$G$5:$G$120="moeda")+(Inputs!$G$5:$G$120="acoes"))*Inputs!$B$1+((Inputs!$G$5:$G$120&lt;&gt;"moeda")*(Inputs!$G$5:$G$120&lt;&gt;"acoes")))*INDEX(Inputs!$K$5:$AJ$120,0,MATCH(V$2,Inputs!$K$4:$AJ$4,0)))))</f>
        <v>0</v>
      </c>
      <c r="W46" s="3">
        <f>V46</f>
        <v>0</v>
      </c>
      <c r="X46" s="6">
        <f>IF(ISNA(MATCH(X$2,Inputs!$K$4:$AJ$4,0)),NA(),IF(SUMPRODUCT((Inputs!$A$5:$A$120=$B46)*ISNUMBER(INDEX(Inputs!$K$5:$AJ$120,0,MATCH(X$2,Inputs!$K$4:$AJ$4,0))))+SUMPRODUCT((Inputs!$C$5:$C$120=$B46)*ISNUMBER(INDEX(Inputs!$K$5:$AJ$120,0,MATCH(X$2,Inputs!$K$4:$AJ$4,0))))+SUMPRODUCT((Inputs!$E$5:$E$120=$B46)*ISNUMBER(INDEX(Inputs!$K$5:$AJ$120,0,MATCH(X$2,Inputs!$K$4:$AJ$4,0))))=0,NA(),SUMPRODUCT((Inputs!$A$5:$A$120=$B46)*Inputs!$B$5:$B$120*(((Inputs!$G$5:$G$120="moeda")+(Inputs!$G$5:$G$120="acoes"))*Inputs!$B$1+((Inputs!$G$5:$G$120&lt;&gt;"moeda")*(Inputs!$G$5:$G$120&lt;&gt;"acoes")))*INDEX(Inputs!$K$5:$AJ$120,0,MATCH(X$2,Inputs!$K$4:$AJ$4,0)))+SUMPRODUCT((Inputs!$C$5:$C$120=$B46)*Inputs!$D$5:$D$120*(((Inputs!$G$5:$G$120="moeda")+(Inputs!$G$5:$G$120="acoes"))*Inputs!$B$1+((Inputs!$G$5:$G$120&lt;&gt;"moeda")*(Inputs!$G$5:$G$120&lt;&gt;"acoes")))*INDEX(Inputs!$K$5:$AJ$120,0,MATCH(X$2,Inputs!$K$4:$AJ$4,0)))+SUMPRODUCT((Inputs!$E$5:$E$120=$B46)*Inputs!$F$5:$F$120*(((Inputs!$G$5:$G$120="moeda")+(Inputs!$G$5:$G$120="acoes"))*Inputs!$B$1+((Inputs!$G$5:$G$120&lt;&gt;"moeda")*(Inputs!$G$5:$G$120&lt;&gt;"acoes")))*INDEX(Inputs!$K$5:$AJ$120,0,MATCH(X$2,Inputs!$K$4:$AJ$4,0)))))</f>
        <v>0</v>
      </c>
      <c r="Y46" s="6">
        <f>IF(ISNA(MATCH(Y$2,Inputs!$K$4:$AJ$4,0)),NA(),IF(SUMPRODUCT((Inputs!$A$5:$A$120=$B46)*ISNUMBER(INDEX(Inputs!$K$5:$AJ$120,0,MATCH(Y$2,Inputs!$K$4:$AJ$4,0))))+SUMPRODUCT((Inputs!$C$5:$C$120=$B46)*ISNUMBER(INDEX(Inputs!$K$5:$AJ$120,0,MATCH(Y$2,Inputs!$K$4:$AJ$4,0))))+SUMPRODUCT((Inputs!$E$5:$E$120=$B46)*ISNUMBER(INDEX(Inputs!$K$5:$AJ$120,0,MATCH(Y$2,Inputs!$K$4:$AJ$4,0))))=0,NA(),SUMPRODUCT((Inputs!$A$5:$A$120=$B46)*Inputs!$B$5:$B$120*(((Inputs!$G$5:$G$120="moeda")+(Inputs!$G$5:$G$120="acoes"))*Inputs!$B$1+((Inputs!$G$5:$G$120&lt;&gt;"moeda")*(Inputs!$G$5:$G$120&lt;&gt;"acoes")))*INDEX(Inputs!$K$5:$AJ$120,0,MATCH(Y$2,Inputs!$K$4:$AJ$4,0)))+SUMPRODUCT((Inputs!$C$5:$C$120=$B46)*Inputs!$D$5:$D$120*(((Inputs!$G$5:$G$120="moeda")+(Inputs!$G$5:$G$120="acoes"))*Inputs!$B$1+((Inputs!$G$5:$G$120&lt;&gt;"moeda")*(Inputs!$G$5:$G$120&lt;&gt;"acoes")))*INDEX(Inputs!$K$5:$AJ$120,0,MATCH(Y$2,Inputs!$K$4:$AJ$4,0)))+SUMPRODUCT((Inputs!$E$5:$E$120=$B46)*Inputs!$F$5:$F$120*(((Inputs!$G$5:$G$120="moeda")+(Inputs!$G$5:$G$120="acoes"))*Inputs!$B$1+((Inputs!$G$5:$G$120&lt;&gt;"moeda")*(Inputs!$G$5:$G$120&lt;&gt;"acoes")))*INDEX(Inputs!$K$5:$AJ$120,0,MATCH(Y$2,Inputs!$K$4:$AJ$4,0)))))</f>
        <v>0</v>
      </c>
      <c r="Z46" s="6">
        <f>IF(ISNA(MATCH(Z$2,Inputs!$K$4:$AJ$4,0)),NA(),IF(SUMPRODUCT((Inputs!$A$5:$A$120=$B46)*ISNUMBER(INDEX(Inputs!$K$5:$AJ$120,0,MATCH(Z$2,Inputs!$K$4:$AJ$4,0))))+SUMPRODUCT((Inputs!$C$5:$C$120=$B46)*ISNUMBER(INDEX(Inputs!$K$5:$AJ$120,0,MATCH(Z$2,Inputs!$K$4:$AJ$4,0))))+SUMPRODUCT((Inputs!$E$5:$E$120=$B46)*ISNUMBER(INDEX(Inputs!$K$5:$AJ$120,0,MATCH(Z$2,Inputs!$K$4:$AJ$4,0))))=0,NA(),SUMPRODUCT((Inputs!$A$5:$A$120=$B46)*Inputs!$B$5:$B$120*(((Inputs!$G$5:$G$120="moeda")+(Inputs!$G$5:$G$120="acoes"))*Inputs!$B$1+((Inputs!$G$5:$G$120&lt;&gt;"moeda")*(Inputs!$G$5:$G$120&lt;&gt;"acoes")))*INDEX(Inputs!$K$5:$AJ$120,0,MATCH(Z$2,Inputs!$K$4:$AJ$4,0)))+SUMPRODUCT((Inputs!$C$5:$C$120=$B46)*Inputs!$D$5:$D$120*(((Inputs!$G$5:$G$120="moeda")+(Inputs!$G$5:$G$120="acoes"))*Inputs!$B$1+((Inputs!$G$5:$G$120&lt;&gt;"moeda")*(Inputs!$G$5:$G$120&lt;&gt;"acoes")))*INDEX(Inputs!$K$5:$AJ$120,0,MATCH(Z$2,Inputs!$K$4:$AJ$4,0)))+SUMPRODUCT((Inputs!$E$5:$E$120=$B46)*Inputs!$F$5:$F$120*(((Inputs!$G$5:$G$120="moeda")+(Inputs!$G$5:$G$120="acoes"))*Inputs!$B$1+((Inputs!$G$5:$G$120&lt;&gt;"moeda")*(Inputs!$G$5:$G$120&lt;&gt;"acoes")))*INDEX(Inputs!$K$5:$AJ$120,0,MATCH(Z$2,Inputs!$K$4:$AJ$4,0)))))</f>
        <v>0</v>
      </c>
      <c r="AA46" s="6">
        <f>IF(ISNA(MATCH(AA$2,Inputs!$K$4:$AJ$4,0)),NA(),IF(SUMPRODUCT((Inputs!$A$5:$A$120=$B46)*ISNUMBER(INDEX(Inputs!$K$5:$AJ$120,0,MATCH(AA$2,Inputs!$K$4:$AJ$4,0))))+SUMPRODUCT((Inputs!$C$5:$C$120=$B46)*ISNUMBER(INDEX(Inputs!$K$5:$AJ$120,0,MATCH(AA$2,Inputs!$K$4:$AJ$4,0))))+SUMPRODUCT((Inputs!$E$5:$E$120=$B46)*ISNUMBER(INDEX(Inputs!$K$5:$AJ$120,0,MATCH(AA$2,Inputs!$K$4:$AJ$4,0))))=0,NA(),SUMPRODUCT((Inputs!$A$5:$A$120=$B46)*Inputs!$B$5:$B$120*(((Inputs!$G$5:$G$120="moeda")+(Inputs!$G$5:$G$120="acoes"))*Inputs!$B$1+((Inputs!$G$5:$G$120&lt;&gt;"moeda")*(Inputs!$G$5:$G$120&lt;&gt;"acoes")))*INDEX(Inputs!$K$5:$AJ$120,0,MATCH(AA$2,Inputs!$K$4:$AJ$4,0)))+SUMPRODUCT((Inputs!$C$5:$C$120=$B46)*Inputs!$D$5:$D$120*(((Inputs!$G$5:$G$120="moeda")+(Inputs!$G$5:$G$120="acoes"))*Inputs!$B$1+((Inputs!$G$5:$G$120&lt;&gt;"moeda")*(Inputs!$G$5:$G$120&lt;&gt;"acoes")))*INDEX(Inputs!$K$5:$AJ$120,0,MATCH(AA$2,Inputs!$K$4:$AJ$4,0)))+SUMPRODUCT((Inputs!$E$5:$E$120=$B46)*Inputs!$F$5:$F$120*(((Inputs!$G$5:$G$120="moeda")+(Inputs!$G$5:$G$120="acoes"))*Inputs!$B$1+((Inputs!$G$5:$G$120&lt;&gt;"moeda")*(Inputs!$G$5:$G$120&lt;&gt;"acoes")))*INDEX(Inputs!$K$5:$AJ$120,0,MATCH(AA$2,Inputs!$K$4:$AJ$4,0)))))</f>
        <v>0</v>
      </c>
      <c r="AB46" s="3">
        <f>AA46</f>
        <v>0</v>
      </c>
      <c r="AC46" s="6">
        <f>IF(ISNA(MATCH(AC$2,Inputs!$K$4:$AJ$4,0)),NA(),IF(SUMPRODUCT((Inputs!$A$5:$A$120=$B46)*ISNUMBER(INDEX(Inputs!$K$5:$AJ$120,0,MATCH(AC$2,Inputs!$K$4:$AJ$4,0))))+SUMPRODUCT((Inputs!$C$5:$C$120=$B46)*ISNUMBER(INDEX(Inputs!$K$5:$AJ$120,0,MATCH(AC$2,Inputs!$K$4:$AJ$4,0))))+SUMPRODUCT((Inputs!$E$5:$E$120=$B46)*ISNUMBER(INDEX(Inputs!$K$5:$AJ$120,0,MATCH(AC$2,Inputs!$K$4:$AJ$4,0))))=0,NA(),SUMPRODUCT((Inputs!$A$5:$A$120=$B46)*Inputs!$B$5:$B$120*(((Inputs!$G$5:$G$120="moeda")+(Inputs!$G$5:$G$120="acoes"))*Inputs!$B$1+((Inputs!$G$5:$G$120&lt;&gt;"moeda")*(Inputs!$G$5:$G$120&lt;&gt;"acoes")))*INDEX(Inputs!$K$5:$AJ$120,0,MATCH(AC$2,Inputs!$K$4:$AJ$4,0)))+SUMPRODUCT((Inputs!$C$5:$C$120=$B46)*Inputs!$D$5:$D$120*(((Inputs!$G$5:$G$120="moeda")+(Inputs!$G$5:$G$120="acoes"))*Inputs!$B$1+((Inputs!$G$5:$G$120&lt;&gt;"moeda")*(Inputs!$G$5:$G$120&lt;&gt;"acoes")))*INDEX(Inputs!$K$5:$AJ$120,0,MATCH(AC$2,Inputs!$K$4:$AJ$4,0)))+SUMPRODUCT((Inputs!$E$5:$E$120=$B46)*Inputs!$F$5:$F$120*(((Inputs!$G$5:$G$120="moeda")+(Inputs!$G$5:$G$120="acoes"))*Inputs!$B$1+((Inputs!$G$5:$G$120&lt;&gt;"moeda")*(Inputs!$G$5:$G$120&lt;&gt;"acoes")))*INDEX(Inputs!$K$5:$AJ$120,0,MATCH(AC$2,Inputs!$K$4:$AJ$4,0)))))</f>
        <v>0</v>
      </c>
      <c r="AD46" s="6">
        <f>IF(ISNA(MATCH(AD$2,Inputs!$K$4:$AJ$4,0)),NA(),IF(SUMPRODUCT((Inputs!$A$5:$A$120=$B46)*ISNUMBER(INDEX(Inputs!$K$5:$AJ$120,0,MATCH(AD$2,Inputs!$K$4:$AJ$4,0))))+SUMPRODUCT((Inputs!$C$5:$C$120=$B46)*ISNUMBER(INDEX(Inputs!$K$5:$AJ$120,0,MATCH(AD$2,Inputs!$K$4:$AJ$4,0))))+SUMPRODUCT((Inputs!$E$5:$E$120=$B46)*ISNUMBER(INDEX(Inputs!$K$5:$AJ$120,0,MATCH(AD$2,Inputs!$K$4:$AJ$4,0))))=0,NA(),SUMPRODUCT((Inputs!$A$5:$A$120=$B46)*Inputs!$B$5:$B$120*(((Inputs!$G$5:$G$120="moeda")+(Inputs!$G$5:$G$120="acoes"))*Inputs!$B$1+((Inputs!$G$5:$G$120&lt;&gt;"moeda")*(Inputs!$G$5:$G$120&lt;&gt;"acoes")))*INDEX(Inputs!$K$5:$AJ$120,0,MATCH(AD$2,Inputs!$K$4:$AJ$4,0)))+SUMPRODUCT((Inputs!$C$5:$C$120=$B46)*Inputs!$D$5:$D$120*(((Inputs!$G$5:$G$120="moeda")+(Inputs!$G$5:$G$120="acoes"))*Inputs!$B$1+((Inputs!$G$5:$G$120&lt;&gt;"moeda")*(Inputs!$G$5:$G$120&lt;&gt;"acoes")))*INDEX(Inputs!$K$5:$AJ$120,0,MATCH(AD$2,Inputs!$K$4:$AJ$4,0)))+SUMPRODUCT((Inputs!$E$5:$E$120=$B46)*Inputs!$F$5:$F$120*(((Inputs!$G$5:$G$120="moeda")+(Inputs!$G$5:$G$120="acoes"))*Inputs!$B$1+((Inputs!$G$5:$G$120&lt;&gt;"moeda")*(Inputs!$G$5:$G$120&lt;&gt;"acoes")))*INDEX(Inputs!$K$5:$AJ$120,0,MATCH(AD$2,Inputs!$K$4:$AJ$4,0)))))</f>
        <v>0</v>
      </c>
      <c r="AE46" s="6" t="e">
        <f>IF(ISNA(MATCH(AE$2,Inputs!$K$4:$AJ$4,0)),NA(),IF(SUMPRODUCT((Inputs!$A$5:$A$120=$B46)*ISNUMBER(INDEX(Inputs!$K$5:$AJ$120,0,MATCH(AE$2,Inputs!$K$4:$AJ$4,0))))+SUMPRODUCT((Inputs!$C$5:$C$120=$B46)*ISNUMBER(INDEX(Inputs!$K$5:$AJ$120,0,MATCH(AE$2,Inputs!$K$4:$AJ$4,0))))+SUMPRODUCT((Inputs!$E$5:$E$120=$B46)*ISNUMBER(INDEX(Inputs!$K$5:$AJ$120,0,MATCH(AE$2,Inputs!$K$4:$AJ$4,0))))=0,NA(),SUMPRODUCT((Inputs!$A$5:$A$120=$B46)*Inputs!$B$5:$B$120*(((Inputs!$G$5:$G$120="moeda")+(Inputs!$G$5:$G$120="acoes"))*Inputs!$B$1+((Inputs!$G$5:$G$120&lt;&gt;"moeda")*(Inputs!$G$5:$G$120&lt;&gt;"acoes")))*INDEX(Inputs!$K$5:$AJ$120,0,MATCH(AE$2,Inputs!$K$4:$AJ$4,0)))+SUMPRODUCT((Inputs!$C$5:$C$120=$B46)*Inputs!$D$5:$D$120*(((Inputs!$G$5:$G$120="moeda")+(Inputs!$G$5:$G$120="acoes"))*Inputs!$B$1+((Inputs!$G$5:$G$120&lt;&gt;"moeda")*(Inputs!$G$5:$G$120&lt;&gt;"acoes")))*INDEX(Inputs!$K$5:$AJ$120,0,MATCH(AE$2,Inputs!$K$4:$AJ$4,0)))+SUMPRODUCT((Inputs!$E$5:$E$120=$B46)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6" s="6" t="e">
        <f>IF(ISNA(MATCH(AF$2,Inputs!$K$4:$AJ$4,0)),NA(),IF(SUMPRODUCT((Inputs!$A$5:$A$120=$B46)*ISNUMBER(INDEX(Inputs!$K$5:$AJ$120,0,MATCH(AF$2,Inputs!$K$4:$AJ$4,0))))+SUMPRODUCT((Inputs!$C$5:$C$120=$B46)*ISNUMBER(INDEX(Inputs!$K$5:$AJ$120,0,MATCH(AF$2,Inputs!$K$4:$AJ$4,0))))+SUMPRODUCT((Inputs!$E$5:$E$120=$B46)*ISNUMBER(INDEX(Inputs!$K$5:$AJ$120,0,MATCH(AF$2,Inputs!$K$4:$AJ$4,0))))=0,NA(),SUMPRODUCT((Inputs!$A$5:$A$120=$B46)*Inputs!$B$5:$B$120*(((Inputs!$G$5:$G$120="moeda")+(Inputs!$G$5:$G$120="acoes"))*Inputs!$B$1+((Inputs!$G$5:$G$120&lt;&gt;"moeda")*(Inputs!$G$5:$G$120&lt;&gt;"acoes")))*INDEX(Inputs!$K$5:$AJ$120,0,MATCH(AF$2,Inputs!$K$4:$AJ$4,0)))+SUMPRODUCT((Inputs!$C$5:$C$120=$B46)*Inputs!$D$5:$D$120*(((Inputs!$G$5:$G$120="moeda")+(Inputs!$G$5:$G$120="acoes"))*Inputs!$B$1+((Inputs!$G$5:$G$120&lt;&gt;"moeda")*(Inputs!$G$5:$G$120&lt;&gt;"acoes")))*INDEX(Inputs!$K$5:$AJ$120,0,MATCH(AF$2,Inputs!$K$4:$AJ$4,0)))+SUMPRODUCT((Inputs!$E$5:$E$120=$B46)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6" s="3" t="e">
        <f>AF46</f>
        <v>#N/A</v>
      </c>
      <c r="AH46" s="6">
        <f>IF(ISNA(MATCH(AH$2,Inputs!$K$4:$AJ$4,0)),NA(),IF(SUMPRODUCT((Inputs!$A$5:$A$120=$B46)*ISNUMBER(INDEX(Inputs!$K$5:$AJ$120,0,MATCH(AH$2,Inputs!$K$4:$AJ$4,0))))+SUMPRODUCT((Inputs!$C$5:$C$120=$B46)*ISNUMBER(INDEX(Inputs!$K$5:$AJ$120,0,MATCH(AH$2,Inputs!$K$4:$AJ$4,0))))+SUMPRODUCT((Inputs!$E$5:$E$120=$B46)*ISNUMBER(INDEX(Inputs!$K$5:$AJ$120,0,MATCH(AH$2,Inputs!$K$4:$AJ$4,0))))=0,NA(),SUMPRODUCT((Inputs!$A$5:$A$120=$B46)*Inputs!$B$5:$B$120*(((Inputs!$G$5:$G$120="moeda")+(Inputs!$G$5:$G$120="acoes"))*Inputs!$B$1+((Inputs!$G$5:$G$120&lt;&gt;"moeda")*(Inputs!$G$5:$G$120&lt;&gt;"acoes")))*INDEX(Inputs!$K$5:$AJ$120,0,MATCH(AH$2,Inputs!$K$4:$AJ$4,0)))+SUMPRODUCT((Inputs!$C$5:$C$120=$B46)*Inputs!$D$5:$D$120*(((Inputs!$G$5:$G$120="moeda")+(Inputs!$G$5:$G$120="acoes"))*Inputs!$B$1+((Inputs!$G$5:$G$120&lt;&gt;"moeda")*(Inputs!$G$5:$G$120&lt;&gt;"acoes")))*INDEX(Inputs!$K$5:$AJ$120,0,MATCH(AH$2,Inputs!$K$4:$AJ$4,0)))+SUMPRODUCT((Inputs!$E$5:$E$120=$B46)*Inputs!$F$5:$F$120*(((Inputs!$G$5:$G$120="moeda")+(Inputs!$G$5:$G$120="acoes"))*Inputs!$B$1+((Inputs!$G$5:$G$120&lt;&gt;"moeda")*(Inputs!$G$5:$G$120&lt;&gt;"acoes")))*INDEX(Inputs!$K$5:$AJ$120,0,MATCH(AH$2,Inputs!$K$4:$AJ$4,0)))))</f>
        <v>0</v>
      </c>
      <c r="AI46" s="6">
        <f>IF(ISNA(MATCH(AI$2,Inputs!$K$4:$AJ$4,0)),NA(),IF(SUMPRODUCT((Inputs!$A$5:$A$120=$B46)*ISNUMBER(INDEX(Inputs!$K$5:$AJ$120,0,MATCH(AI$2,Inputs!$K$4:$AJ$4,0))))+SUMPRODUCT((Inputs!$C$5:$C$120=$B46)*ISNUMBER(INDEX(Inputs!$K$5:$AJ$120,0,MATCH(AI$2,Inputs!$K$4:$AJ$4,0))))+SUMPRODUCT((Inputs!$E$5:$E$120=$B46)*ISNUMBER(INDEX(Inputs!$K$5:$AJ$120,0,MATCH(AI$2,Inputs!$K$4:$AJ$4,0))))=0,NA(),SUMPRODUCT((Inputs!$A$5:$A$120=$B46)*Inputs!$B$5:$B$120*(((Inputs!$G$5:$G$120="moeda")+(Inputs!$G$5:$G$120="acoes"))*Inputs!$B$1+((Inputs!$G$5:$G$120&lt;&gt;"moeda")*(Inputs!$G$5:$G$120&lt;&gt;"acoes")))*INDEX(Inputs!$K$5:$AJ$120,0,MATCH(AI$2,Inputs!$K$4:$AJ$4,0)))+SUMPRODUCT((Inputs!$C$5:$C$120=$B46)*Inputs!$D$5:$D$120*(((Inputs!$G$5:$G$120="moeda")+(Inputs!$G$5:$G$120="acoes"))*Inputs!$B$1+((Inputs!$G$5:$G$120&lt;&gt;"moeda")*(Inputs!$G$5:$G$120&lt;&gt;"acoes")))*INDEX(Inputs!$K$5:$AJ$120,0,MATCH(AI$2,Inputs!$K$4:$AJ$4,0)))+SUMPRODUCT((Inputs!$E$5:$E$120=$B46)*Inputs!$F$5:$F$120*(((Inputs!$G$5:$G$120="moeda")+(Inputs!$G$5:$G$120="acoes"))*Inputs!$B$1+((Inputs!$G$5:$G$120&lt;&gt;"moeda")*(Inputs!$G$5:$G$120&lt;&gt;"acoes")))*INDEX(Inputs!$K$5:$AJ$120,0,MATCH(AI$2,Inputs!$K$4:$AJ$4,0)))))</f>
        <v>0</v>
      </c>
      <c r="AJ46" s="6">
        <f>IF(ISNA(MATCH(AJ$2,Inputs!$K$4:$AJ$4,0)),NA(),IF(SUMPRODUCT((Inputs!$A$5:$A$120=$B46)*ISNUMBER(INDEX(Inputs!$K$5:$AJ$120,0,MATCH(AJ$2,Inputs!$K$4:$AJ$4,0))))+SUMPRODUCT((Inputs!$C$5:$C$120=$B46)*ISNUMBER(INDEX(Inputs!$K$5:$AJ$120,0,MATCH(AJ$2,Inputs!$K$4:$AJ$4,0))))+SUMPRODUCT((Inputs!$E$5:$E$120=$B46)*ISNUMBER(INDEX(Inputs!$K$5:$AJ$120,0,MATCH(AJ$2,Inputs!$K$4:$AJ$4,0))))=0,NA(),SUMPRODUCT((Inputs!$A$5:$A$120=$B46)*Inputs!$B$5:$B$120*(((Inputs!$G$5:$G$120="moeda")+(Inputs!$G$5:$G$120="acoes"))*Inputs!$B$1+((Inputs!$G$5:$G$120&lt;&gt;"moeda")*(Inputs!$G$5:$G$120&lt;&gt;"acoes")))*INDEX(Inputs!$K$5:$AJ$120,0,MATCH(AJ$2,Inputs!$K$4:$AJ$4,0)))+SUMPRODUCT((Inputs!$C$5:$C$120=$B46)*Inputs!$D$5:$D$120*(((Inputs!$G$5:$G$120="moeda")+(Inputs!$G$5:$G$120="acoes"))*Inputs!$B$1+((Inputs!$G$5:$G$120&lt;&gt;"moeda")*(Inputs!$G$5:$G$120&lt;&gt;"acoes")))*INDEX(Inputs!$K$5:$AJ$120,0,MATCH(AJ$2,Inputs!$K$4:$AJ$4,0)))+SUMPRODUCT((Inputs!$E$5:$E$120=$B46)*Inputs!$F$5:$F$120*(((Inputs!$G$5:$G$120="moeda")+(Inputs!$G$5:$G$120="acoes"))*Inputs!$B$1+((Inputs!$G$5:$G$120&lt;&gt;"moeda")*(Inputs!$G$5:$G$120&lt;&gt;"acoes")))*INDEX(Inputs!$K$5:$AJ$120,0,MATCH(AJ$2,Inputs!$K$4:$AJ$4,0)))))</f>
        <v>0</v>
      </c>
      <c r="AK46" s="6">
        <f>IF(ISNA(MATCH(AK$2,Inputs!$K$4:$AJ$4,0)),NA(),IF(SUMPRODUCT((Inputs!$A$5:$A$120=$B46)*ISNUMBER(INDEX(Inputs!$K$5:$AJ$120,0,MATCH(AK$2,Inputs!$K$4:$AJ$4,0))))+SUMPRODUCT((Inputs!$C$5:$C$120=$B46)*ISNUMBER(INDEX(Inputs!$K$5:$AJ$120,0,MATCH(AK$2,Inputs!$K$4:$AJ$4,0))))+SUMPRODUCT((Inputs!$E$5:$E$120=$B46)*ISNUMBER(INDEX(Inputs!$K$5:$AJ$120,0,MATCH(AK$2,Inputs!$K$4:$AJ$4,0))))=0,NA(),SUMPRODUCT((Inputs!$A$5:$A$120=$B46)*Inputs!$B$5:$B$120*(((Inputs!$G$5:$G$120="moeda")+(Inputs!$G$5:$G$120="acoes"))*Inputs!$B$1+((Inputs!$G$5:$G$120&lt;&gt;"moeda")*(Inputs!$G$5:$G$120&lt;&gt;"acoes")))*INDEX(Inputs!$K$5:$AJ$120,0,MATCH(AK$2,Inputs!$K$4:$AJ$4,0)))+SUMPRODUCT((Inputs!$C$5:$C$120=$B46)*Inputs!$D$5:$D$120*(((Inputs!$G$5:$G$120="moeda")+(Inputs!$G$5:$G$120="acoes"))*Inputs!$B$1+((Inputs!$G$5:$G$120&lt;&gt;"moeda")*(Inputs!$G$5:$G$120&lt;&gt;"acoes")))*INDEX(Inputs!$K$5:$AJ$120,0,MATCH(AK$2,Inputs!$K$4:$AJ$4,0)))+SUMPRODUCT((Inputs!$E$5:$E$120=$B46)*Inputs!$F$5:$F$120*(((Inputs!$G$5:$G$120="moeda")+(Inputs!$G$5:$G$120="acoes"))*Inputs!$B$1+((Inputs!$G$5:$G$120&lt;&gt;"moeda")*(Inputs!$G$5:$G$120&lt;&gt;"acoes")))*INDEX(Inputs!$K$5:$AJ$120,0,MATCH(AK$2,Inputs!$K$4:$AJ$4,0)))))</f>
        <v>0</v>
      </c>
      <c r="AL46" s="3">
        <f>AK46</f>
        <v>0</v>
      </c>
    </row>
    <row r="47">
      <c r="B47" s="46" t="n">
        <v>41</v>
      </c>
      <c r="C47" s="28" t="inlineStr">
        <is>
          <t>Retained earnings</t>
        </is>
      </c>
      <c r="D47" s="6">
        <f>IF(ISNA(MATCH(D$2,Inputs!$K$4:$AJ$4,0)),NA(),IF(SUMPRODUCT((Inputs!$A$5:$A$120=$B47)*ISNUMBER(INDEX(Inputs!$K$5:$AJ$120,0,MATCH(D$2,Inputs!$K$4:$AJ$4,0))))+SUMPRODUCT((Inputs!$C$5:$C$120=$B47)*ISNUMBER(INDEX(Inputs!$K$5:$AJ$120,0,MATCH(D$2,Inputs!$K$4:$AJ$4,0))))+SUMPRODUCT((Inputs!$E$5:$E$120=$B47)*ISNUMBER(INDEX(Inputs!$K$5:$AJ$120,0,MATCH(D$2,Inputs!$K$4:$AJ$4,0))))=0,NA(),SUMPRODUCT((Inputs!$A$5:$A$120=$B47)*Inputs!$B$5:$B$120*(((Inputs!$G$5:$G$120="moeda")+(Inputs!$G$5:$G$120="acoes"))*Inputs!$B$1+((Inputs!$G$5:$G$120&lt;&gt;"moeda")*(Inputs!$G$5:$G$120&lt;&gt;"acoes")))*INDEX(Inputs!$K$5:$AJ$120,0,MATCH(D$2,Inputs!$K$4:$AJ$4,0)))+SUMPRODUCT((Inputs!$C$5:$C$120=$B47)*Inputs!$D$5:$D$120*(((Inputs!$G$5:$G$120="moeda")+(Inputs!$G$5:$G$120="acoes"))*Inputs!$B$1+((Inputs!$G$5:$G$120&lt;&gt;"moeda")*(Inputs!$G$5:$G$120&lt;&gt;"acoes")))*INDEX(Inputs!$K$5:$AJ$120,0,MATCH(D$2,Inputs!$K$4:$AJ$4,0)))+SUMPRODUCT((Inputs!$E$5:$E$120=$B47)*Inputs!$F$5:$F$120*(((Inputs!$G$5:$G$120="moeda")+(Inputs!$G$5:$G$120="acoes"))*Inputs!$B$1+((Inputs!$G$5:$G$120&lt;&gt;"moeda")*(Inputs!$G$5:$G$120&lt;&gt;"acoes")))*INDEX(Inputs!$K$5:$AJ$120,0,MATCH(D$2,Inputs!$K$4:$AJ$4,0)))))</f>
        <v>9181.3</v>
      </c>
      <c r="E47" s="6">
        <f>IF(ISNA(MATCH(E$2,Inputs!$K$4:$AJ$4,0)),NA(),IF(SUMPRODUCT((Inputs!$A$5:$A$120=$B47)*ISNUMBER(INDEX(Inputs!$K$5:$AJ$120,0,MATCH(E$2,Inputs!$K$4:$AJ$4,0))))+SUMPRODUCT((Inputs!$C$5:$C$120=$B47)*ISNUMBER(INDEX(Inputs!$K$5:$AJ$120,0,MATCH(E$2,Inputs!$K$4:$AJ$4,0))))+SUMPRODUCT((Inputs!$E$5:$E$120=$B47)*ISNUMBER(INDEX(Inputs!$K$5:$AJ$120,0,MATCH(E$2,Inputs!$K$4:$AJ$4,0))))=0,NA(),SUMPRODUCT((Inputs!$A$5:$A$120=$B47)*Inputs!$B$5:$B$120*(((Inputs!$G$5:$G$120="moeda")+(Inputs!$G$5:$G$120="acoes"))*Inputs!$B$1+((Inputs!$G$5:$G$120&lt;&gt;"moeda")*(Inputs!$G$5:$G$120&lt;&gt;"acoes")))*INDEX(Inputs!$K$5:$AJ$120,0,MATCH(E$2,Inputs!$K$4:$AJ$4,0)))+SUMPRODUCT((Inputs!$C$5:$C$120=$B47)*Inputs!$D$5:$D$120*(((Inputs!$G$5:$G$120="moeda")+(Inputs!$G$5:$G$120="acoes"))*Inputs!$B$1+((Inputs!$G$5:$G$120&lt;&gt;"moeda")*(Inputs!$G$5:$G$120&lt;&gt;"acoes")))*INDEX(Inputs!$K$5:$AJ$120,0,MATCH(E$2,Inputs!$K$4:$AJ$4,0)))+SUMPRODUCT((Inputs!$E$5:$E$120=$B47)*Inputs!$F$5:$F$120*(((Inputs!$G$5:$G$120="moeda")+(Inputs!$G$5:$G$120="acoes"))*Inputs!$B$1+((Inputs!$G$5:$G$120&lt;&gt;"moeda")*(Inputs!$G$5:$G$120&lt;&gt;"acoes")))*INDEX(Inputs!$K$5:$AJ$120,0,MATCH(E$2,Inputs!$K$4:$AJ$4,0)))))</f>
        <v>8530.1</v>
      </c>
      <c r="F47" s="6">
        <f>IF(ISNA(MATCH(F$2,Inputs!$K$4:$AJ$4,0)),NA(),IF(SUMPRODUCT((Inputs!$A$5:$A$120=$B47)*ISNUMBER(INDEX(Inputs!$K$5:$AJ$120,0,MATCH(F$2,Inputs!$K$4:$AJ$4,0))))+SUMPRODUCT((Inputs!$C$5:$C$120=$B47)*ISNUMBER(INDEX(Inputs!$K$5:$AJ$120,0,MATCH(F$2,Inputs!$K$4:$AJ$4,0))))+SUMPRODUCT((Inputs!$E$5:$E$120=$B47)*ISNUMBER(INDEX(Inputs!$K$5:$AJ$120,0,MATCH(F$2,Inputs!$K$4:$AJ$4,0))))=0,NA(),SUMPRODUCT((Inputs!$A$5:$A$120=$B47)*Inputs!$B$5:$B$120*(((Inputs!$G$5:$G$120="moeda")+(Inputs!$G$5:$G$120="acoes"))*Inputs!$B$1+((Inputs!$G$5:$G$120&lt;&gt;"moeda")*(Inputs!$G$5:$G$120&lt;&gt;"acoes")))*INDEX(Inputs!$K$5:$AJ$120,0,MATCH(F$2,Inputs!$K$4:$AJ$4,0)))+SUMPRODUCT((Inputs!$C$5:$C$120=$B47)*Inputs!$D$5:$D$120*(((Inputs!$G$5:$G$120="moeda")+(Inputs!$G$5:$G$120="acoes"))*Inputs!$B$1+((Inputs!$G$5:$G$120&lt;&gt;"moeda")*(Inputs!$G$5:$G$120&lt;&gt;"acoes")))*INDEX(Inputs!$K$5:$AJ$120,0,MATCH(F$2,Inputs!$K$4:$AJ$4,0)))+SUMPRODUCT((Inputs!$E$5:$E$120=$B47)*Inputs!$F$5:$F$120*(((Inputs!$G$5:$G$120="moeda")+(Inputs!$G$5:$G$120="acoes"))*Inputs!$B$1+((Inputs!$G$5:$G$120&lt;&gt;"moeda")*(Inputs!$G$5:$G$120&lt;&gt;"acoes")))*INDEX(Inputs!$K$5:$AJ$120,0,MATCH(F$2,Inputs!$K$4:$AJ$4,0)))))</f>
        <v>9639.4</v>
      </c>
      <c r="G47" s="6">
        <f>IF(ISNA(MATCH(G$2,Inputs!$K$4:$AJ$4,0)),NA(),IF(SUMPRODUCT((Inputs!$A$5:$A$120=$B47)*ISNUMBER(INDEX(Inputs!$K$5:$AJ$120,0,MATCH(G$2,Inputs!$K$4:$AJ$4,0))))+SUMPRODUCT((Inputs!$C$5:$C$120=$B47)*ISNUMBER(INDEX(Inputs!$K$5:$AJ$120,0,MATCH(G$2,Inputs!$K$4:$AJ$4,0))))+SUMPRODUCT((Inputs!$E$5:$E$120=$B47)*ISNUMBER(INDEX(Inputs!$K$5:$AJ$120,0,MATCH(G$2,Inputs!$K$4:$AJ$4,0))))=0,NA(),SUMPRODUCT((Inputs!$A$5:$A$120=$B47)*Inputs!$B$5:$B$120*(((Inputs!$G$5:$G$120="moeda")+(Inputs!$G$5:$G$120="acoes"))*Inputs!$B$1+((Inputs!$G$5:$G$120&lt;&gt;"moeda")*(Inputs!$G$5:$G$120&lt;&gt;"acoes")))*INDEX(Inputs!$K$5:$AJ$120,0,MATCH(G$2,Inputs!$K$4:$AJ$4,0)))+SUMPRODUCT((Inputs!$C$5:$C$120=$B47)*Inputs!$D$5:$D$120*(((Inputs!$G$5:$G$120="moeda")+(Inputs!$G$5:$G$120="acoes"))*Inputs!$B$1+((Inputs!$G$5:$G$120&lt;&gt;"moeda")*(Inputs!$G$5:$G$120&lt;&gt;"acoes")))*INDEX(Inputs!$K$5:$AJ$120,0,MATCH(G$2,Inputs!$K$4:$AJ$4,0)))+SUMPRODUCT((Inputs!$E$5:$E$120=$B47)*Inputs!$F$5:$F$120*(((Inputs!$G$5:$G$120="moeda")+(Inputs!$G$5:$G$120="acoes"))*Inputs!$B$1+((Inputs!$G$5:$G$120&lt;&gt;"moeda")*(Inputs!$G$5:$G$120&lt;&gt;"acoes")))*INDEX(Inputs!$K$5:$AJ$120,0,MATCH(G$2,Inputs!$K$4:$AJ$4,0)))))</f>
        <v>8958.5</v>
      </c>
      <c r="H47" s="3">
        <f>G47</f>
        <v>8958.5</v>
      </c>
      <c r="I47" s="6">
        <f>IF(ISNA(MATCH(I$2,Inputs!$K$4:$AJ$4,0)),NA(),IF(SUMPRODUCT((Inputs!$A$5:$A$120=$B47)*ISNUMBER(INDEX(Inputs!$K$5:$AJ$120,0,MATCH(I$2,Inputs!$K$4:$AJ$4,0))))+SUMPRODUCT((Inputs!$C$5:$C$120=$B47)*ISNUMBER(INDEX(Inputs!$K$5:$AJ$120,0,MATCH(I$2,Inputs!$K$4:$AJ$4,0))))+SUMPRODUCT((Inputs!$E$5:$E$120=$B47)*ISNUMBER(INDEX(Inputs!$K$5:$AJ$120,0,MATCH(I$2,Inputs!$K$4:$AJ$4,0))))=0,NA(),SUMPRODUCT((Inputs!$A$5:$A$120=$B47)*Inputs!$B$5:$B$120*(((Inputs!$G$5:$G$120="moeda")+(Inputs!$G$5:$G$120="acoes"))*Inputs!$B$1+((Inputs!$G$5:$G$120&lt;&gt;"moeda")*(Inputs!$G$5:$G$120&lt;&gt;"acoes")))*INDEX(Inputs!$K$5:$AJ$120,0,MATCH(I$2,Inputs!$K$4:$AJ$4,0)))+SUMPRODUCT((Inputs!$C$5:$C$120=$B47)*Inputs!$D$5:$D$120*(((Inputs!$G$5:$G$120="moeda")+(Inputs!$G$5:$G$120="acoes"))*Inputs!$B$1+((Inputs!$G$5:$G$120&lt;&gt;"moeda")*(Inputs!$G$5:$G$120&lt;&gt;"acoes")))*INDEX(Inputs!$K$5:$AJ$120,0,MATCH(I$2,Inputs!$K$4:$AJ$4,0)))+SUMPRODUCT((Inputs!$E$5:$E$120=$B47)*Inputs!$F$5:$F$120*(((Inputs!$G$5:$G$120="moeda")+(Inputs!$G$5:$G$120="acoes"))*Inputs!$B$1+((Inputs!$G$5:$G$120&lt;&gt;"moeda")*(Inputs!$G$5:$G$120&lt;&gt;"acoes")))*INDEX(Inputs!$K$5:$AJ$120,0,MATCH(I$2,Inputs!$K$4:$AJ$4,0)))))</f>
        <v>9369.4</v>
      </c>
      <c r="J47" s="6">
        <f>IF(ISNA(MATCH(J$2,Inputs!$K$4:$AJ$4,0)),NA(),IF(SUMPRODUCT((Inputs!$A$5:$A$120=$B47)*ISNUMBER(INDEX(Inputs!$K$5:$AJ$120,0,MATCH(J$2,Inputs!$K$4:$AJ$4,0))))+SUMPRODUCT((Inputs!$C$5:$C$120=$B47)*ISNUMBER(INDEX(Inputs!$K$5:$AJ$120,0,MATCH(J$2,Inputs!$K$4:$AJ$4,0))))+SUMPRODUCT((Inputs!$E$5:$E$120=$B47)*ISNUMBER(INDEX(Inputs!$K$5:$AJ$120,0,MATCH(J$2,Inputs!$K$4:$AJ$4,0))))=0,NA(),SUMPRODUCT((Inputs!$A$5:$A$120=$B47)*Inputs!$B$5:$B$120*(((Inputs!$G$5:$G$120="moeda")+(Inputs!$G$5:$G$120="acoes"))*Inputs!$B$1+((Inputs!$G$5:$G$120&lt;&gt;"moeda")*(Inputs!$G$5:$G$120&lt;&gt;"acoes")))*INDEX(Inputs!$K$5:$AJ$120,0,MATCH(J$2,Inputs!$K$4:$AJ$4,0)))+SUMPRODUCT((Inputs!$C$5:$C$120=$B47)*Inputs!$D$5:$D$120*(((Inputs!$G$5:$G$120="moeda")+(Inputs!$G$5:$G$120="acoes"))*Inputs!$B$1+((Inputs!$G$5:$G$120&lt;&gt;"moeda")*(Inputs!$G$5:$G$120&lt;&gt;"acoes")))*INDEX(Inputs!$K$5:$AJ$120,0,MATCH(J$2,Inputs!$K$4:$AJ$4,0)))+SUMPRODUCT((Inputs!$E$5:$E$120=$B47)*Inputs!$F$5:$F$120*(((Inputs!$G$5:$G$120="moeda")+(Inputs!$G$5:$G$120="acoes"))*Inputs!$B$1+((Inputs!$G$5:$G$120&lt;&gt;"moeda")*(Inputs!$G$5:$G$120&lt;&gt;"acoes")))*INDEX(Inputs!$K$5:$AJ$120,0,MATCH(J$2,Inputs!$K$4:$AJ$4,0)))))</f>
        <v>8556</v>
      </c>
      <c r="K47" s="6">
        <f>IF(ISNA(MATCH(K$2,Inputs!$K$4:$AJ$4,0)),NA(),IF(SUMPRODUCT((Inputs!$A$5:$A$120=$B47)*ISNUMBER(INDEX(Inputs!$K$5:$AJ$120,0,MATCH(K$2,Inputs!$K$4:$AJ$4,0))))+SUMPRODUCT((Inputs!$C$5:$C$120=$B47)*ISNUMBER(INDEX(Inputs!$K$5:$AJ$120,0,MATCH(K$2,Inputs!$K$4:$AJ$4,0))))+SUMPRODUCT((Inputs!$E$5:$E$120=$B47)*ISNUMBER(INDEX(Inputs!$K$5:$AJ$120,0,MATCH(K$2,Inputs!$K$4:$AJ$4,0))))=0,NA(),SUMPRODUCT((Inputs!$A$5:$A$120=$B47)*Inputs!$B$5:$B$120*(((Inputs!$G$5:$G$120="moeda")+(Inputs!$G$5:$G$120="acoes"))*Inputs!$B$1+((Inputs!$G$5:$G$120&lt;&gt;"moeda")*(Inputs!$G$5:$G$120&lt;&gt;"acoes")))*INDEX(Inputs!$K$5:$AJ$120,0,MATCH(K$2,Inputs!$K$4:$AJ$4,0)))+SUMPRODUCT((Inputs!$C$5:$C$120=$B47)*Inputs!$D$5:$D$120*(((Inputs!$G$5:$G$120="moeda")+(Inputs!$G$5:$G$120="acoes"))*Inputs!$B$1+((Inputs!$G$5:$G$120&lt;&gt;"moeda")*(Inputs!$G$5:$G$120&lt;&gt;"acoes")))*INDEX(Inputs!$K$5:$AJ$120,0,MATCH(K$2,Inputs!$K$4:$AJ$4,0)))+SUMPRODUCT((Inputs!$E$5:$E$120=$B47)*Inputs!$F$5:$F$120*(((Inputs!$G$5:$G$120="moeda")+(Inputs!$G$5:$G$120="acoes"))*Inputs!$B$1+((Inputs!$G$5:$G$120&lt;&gt;"moeda")*(Inputs!$G$5:$G$120&lt;&gt;"acoes")))*INDEX(Inputs!$K$5:$AJ$120,0,MATCH(K$2,Inputs!$K$4:$AJ$4,0)))))</f>
        <v>10006.5</v>
      </c>
      <c r="L47" s="6">
        <f>IF(ISNA(MATCH(L$2,Inputs!$K$4:$AJ$4,0)),NA(),IF(SUMPRODUCT((Inputs!$A$5:$A$120=$B47)*ISNUMBER(INDEX(Inputs!$K$5:$AJ$120,0,MATCH(L$2,Inputs!$K$4:$AJ$4,0))))+SUMPRODUCT((Inputs!$C$5:$C$120=$B47)*ISNUMBER(INDEX(Inputs!$K$5:$AJ$120,0,MATCH(L$2,Inputs!$K$4:$AJ$4,0))))+SUMPRODUCT((Inputs!$E$5:$E$120=$B47)*ISNUMBER(INDEX(Inputs!$K$5:$AJ$120,0,MATCH(L$2,Inputs!$K$4:$AJ$4,0))))=0,NA(),SUMPRODUCT((Inputs!$A$5:$A$120=$B47)*Inputs!$B$5:$B$120*(((Inputs!$G$5:$G$120="moeda")+(Inputs!$G$5:$G$120="acoes"))*Inputs!$B$1+((Inputs!$G$5:$G$120&lt;&gt;"moeda")*(Inputs!$G$5:$G$120&lt;&gt;"acoes")))*INDEX(Inputs!$K$5:$AJ$120,0,MATCH(L$2,Inputs!$K$4:$AJ$4,0)))+SUMPRODUCT((Inputs!$C$5:$C$120=$B47)*Inputs!$D$5:$D$120*(((Inputs!$G$5:$G$120="moeda")+(Inputs!$G$5:$G$120="acoes"))*Inputs!$B$1+((Inputs!$G$5:$G$120&lt;&gt;"moeda")*(Inputs!$G$5:$G$120&lt;&gt;"acoes")))*INDEX(Inputs!$K$5:$AJ$120,0,MATCH(L$2,Inputs!$K$4:$AJ$4,0)))+SUMPRODUCT((Inputs!$E$5:$E$120=$B47)*Inputs!$F$5:$F$120*(((Inputs!$G$5:$G$120="moeda")+(Inputs!$G$5:$G$120="acoes"))*Inputs!$B$1+((Inputs!$G$5:$G$120&lt;&gt;"moeda")*(Inputs!$G$5:$G$120&lt;&gt;"acoes")))*INDEX(Inputs!$K$5:$AJ$120,0,MATCH(L$2,Inputs!$K$4:$AJ$4,0)))))</f>
        <v>10042.6</v>
      </c>
      <c r="M47" s="3">
        <f>L47</f>
        <v>10042.6</v>
      </c>
      <c r="N47" s="6">
        <f>IF(ISNA(MATCH(N$2,Inputs!$K$4:$AJ$4,0)),NA(),IF(SUMPRODUCT((Inputs!$A$5:$A$120=$B47)*ISNUMBER(INDEX(Inputs!$K$5:$AJ$120,0,MATCH(N$2,Inputs!$K$4:$AJ$4,0))))+SUMPRODUCT((Inputs!$C$5:$C$120=$B47)*ISNUMBER(INDEX(Inputs!$K$5:$AJ$120,0,MATCH(N$2,Inputs!$K$4:$AJ$4,0))))+SUMPRODUCT((Inputs!$E$5:$E$120=$B47)*ISNUMBER(INDEX(Inputs!$K$5:$AJ$120,0,MATCH(N$2,Inputs!$K$4:$AJ$4,0))))=0,NA(),SUMPRODUCT((Inputs!$A$5:$A$120=$B47)*Inputs!$B$5:$B$120*(((Inputs!$G$5:$G$120="moeda")+(Inputs!$G$5:$G$120="acoes"))*Inputs!$B$1+((Inputs!$G$5:$G$120&lt;&gt;"moeda")*(Inputs!$G$5:$G$120&lt;&gt;"acoes")))*INDEX(Inputs!$K$5:$AJ$120,0,MATCH(N$2,Inputs!$K$4:$AJ$4,0)))+SUMPRODUCT((Inputs!$C$5:$C$120=$B47)*Inputs!$D$5:$D$120*(((Inputs!$G$5:$G$120="moeda")+(Inputs!$G$5:$G$120="acoes"))*Inputs!$B$1+((Inputs!$G$5:$G$120&lt;&gt;"moeda")*(Inputs!$G$5:$G$120&lt;&gt;"acoes")))*INDEX(Inputs!$K$5:$AJ$120,0,MATCH(N$2,Inputs!$K$4:$AJ$4,0)))+SUMPRODUCT((Inputs!$E$5:$E$120=$B47)*Inputs!$F$5:$F$120*(((Inputs!$G$5:$G$120="moeda")+(Inputs!$G$5:$G$120="acoes"))*Inputs!$B$1+((Inputs!$G$5:$G$120&lt;&gt;"moeda")*(Inputs!$G$5:$G$120&lt;&gt;"acoes")))*INDEX(Inputs!$K$5:$AJ$120,0,MATCH(N$2,Inputs!$K$4:$AJ$4,0)))))</f>
        <v>10639.3</v>
      </c>
      <c r="O47" s="6">
        <f>IF(ISNA(MATCH(O$2,Inputs!$K$4:$AJ$4,0)),NA(),IF(SUMPRODUCT((Inputs!$A$5:$A$120=$B47)*ISNUMBER(INDEX(Inputs!$K$5:$AJ$120,0,MATCH(O$2,Inputs!$K$4:$AJ$4,0))))+SUMPRODUCT((Inputs!$C$5:$C$120=$B47)*ISNUMBER(INDEX(Inputs!$K$5:$AJ$120,0,MATCH(O$2,Inputs!$K$4:$AJ$4,0))))+SUMPRODUCT((Inputs!$E$5:$E$120=$B47)*ISNUMBER(INDEX(Inputs!$K$5:$AJ$120,0,MATCH(O$2,Inputs!$K$4:$AJ$4,0))))=0,NA(),SUMPRODUCT((Inputs!$A$5:$A$120=$B47)*Inputs!$B$5:$B$120*(((Inputs!$G$5:$G$120="moeda")+(Inputs!$G$5:$G$120="acoes"))*Inputs!$B$1+((Inputs!$G$5:$G$120&lt;&gt;"moeda")*(Inputs!$G$5:$G$120&lt;&gt;"acoes")))*INDEX(Inputs!$K$5:$AJ$120,0,MATCH(O$2,Inputs!$K$4:$AJ$4,0)))+SUMPRODUCT((Inputs!$C$5:$C$120=$B47)*Inputs!$D$5:$D$120*(((Inputs!$G$5:$G$120="moeda")+(Inputs!$G$5:$G$120="acoes"))*Inputs!$B$1+((Inputs!$G$5:$G$120&lt;&gt;"moeda")*(Inputs!$G$5:$G$120&lt;&gt;"acoes")))*INDEX(Inputs!$K$5:$AJ$120,0,MATCH(O$2,Inputs!$K$4:$AJ$4,0)))+SUMPRODUCT((Inputs!$E$5:$E$120=$B47)*Inputs!$F$5:$F$120*(((Inputs!$G$5:$G$120="moeda")+(Inputs!$G$5:$G$120="acoes"))*Inputs!$B$1+((Inputs!$G$5:$G$120&lt;&gt;"moeda")*(Inputs!$G$5:$G$120&lt;&gt;"acoes")))*INDEX(Inputs!$K$5:$AJ$120,0,MATCH(O$2,Inputs!$K$4:$AJ$4,0)))))</f>
        <v>10368.5</v>
      </c>
      <c r="P47" s="6">
        <f>IF(ISNA(MATCH(P$2,Inputs!$K$4:$AJ$4,0)),NA(),IF(SUMPRODUCT((Inputs!$A$5:$A$120=$B47)*ISNUMBER(INDEX(Inputs!$K$5:$AJ$120,0,MATCH(P$2,Inputs!$K$4:$AJ$4,0))))+SUMPRODUCT((Inputs!$C$5:$C$120=$B47)*ISNUMBER(INDEX(Inputs!$K$5:$AJ$120,0,MATCH(P$2,Inputs!$K$4:$AJ$4,0))))+SUMPRODUCT((Inputs!$E$5:$E$120=$B47)*ISNUMBER(INDEX(Inputs!$K$5:$AJ$120,0,MATCH(P$2,Inputs!$K$4:$AJ$4,0))))=0,NA(),SUMPRODUCT((Inputs!$A$5:$A$120=$B47)*Inputs!$B$5:$B$120*(((Inputs!$G$5:$G$120="moeda")+(Inputs!$G$5:$G$120="acoes"))*Inputs!$B$1+((Inputs!$G$5:$G$120&lt;&gt;"moeda")*(Inputs!$G$5:$G$120&lt;&gt;"acoes")))*INDEX(Inputs!$K$5:$AJ$120,0,MATCH(P$2,Inputs!$K$4:$AJ$4,0)))+SUMPRODUCT((Inputs!$C$5:$C$120=$B47)*Inputs!$D$5:$D$120*(((Inputs!$G$5:$G$120="moeda")+(Inputs!$G$5:$G$120="acoes"))*Inputs!$B$1+((Inputs!$G$5:$G$120&lt;&gt;"moeda")*(Inputs!$G$5:$G$120&lt;&gt;"acoes")))*INDEX(Inputs!$K$5:$AJ$120,0,MATCH(P$2,Inputs!$K$4:$AJ$4,0)))+SUMPRODUCT((Inputs!$E$5:$E$120=$B47)*Inputs!$F$5:$F$120*(((Inputs!$G$5:$G$120="moeda")+(Inputs!$G$5:$G$120="acoes"))*Inputs!$B$1+((Inputs!$G$5:$G$120&lt;&gt;"moeda")*(Inputs!$G$5:$G$120&lt;&gt;"acoes")))*INDEX(Inputs!$K$5:$AJ$120,0,MATCH(P$2,Inputs!$K$4:$AJ$4,0)))))</f>
        <v>10309.9</v>
      </c>
      <c r="Q47" s="6">
        <f>IF(ISNA(MATCH(Q$2,Inputs!$K$4:$AJ$4,0)),NA(),IF(SUMPRODUCT((Inputs!$A$5:$A$120=$B47)*ISNUMBER(INDEX(Inputs!$K$5:$AJ$120,0,MATCH(Q$2,Inputs!$K$4:$AJ$4,0))))+SUMPRODUCT((Inputs!$C$5:$C$120=$B47)*ISNUMBER(INDEX(Inputs!$K$5:$AJ$120,0,MATCH(Q$2,Inputs!$K$4:$AJ$4,0))))+SUMPRODUCT((Inputs!$E$5:$E$120=$B47)*ISNUMBER(INDEX(Inputs!$K$5:$AJ$120,0,MATCH(Q$2,Inputs!$K$4:$AJ$4,0))))=0,NA(),SUMPRODUCT((Inputs!$A$5:$A$120=$B47)*Inputs!$B$5:$B$120*(((Inputs!$G$5:$G$120="moeda")+(Inputs!$G$5:$G$120="acoes"))*Inputs!$B$1+((Inputs!$G$5:$G$120&lt;&gt;"moeda")*(Inputs!$G$5:$G$120&lt;&gt;"acoes")))*INDEX(Inputs!$K$5:$AJ$120,0,MATCH(Q$2,Inputs!$K$4:$AJ$4,0)))+SUMPRODUCT((Inputs!$C$5:$C$120=$B47)*Inputs!$D$5:$D$120*(((Inputs!$G$5:$G$120="moeda")+(Inputs!$G$5:$G$120="acoes"))*Inputs!$B$1+((Inputs!$G$5:$G$120&lt;&gt;"moeda")*(Inputs!$G$5:$G$120&lt;&gt;"acoes")))*INDEX(Inputs!$K$5:$AJ$120,0,MATCH(Q$2,Inputs!$K$4:$AJ$4,0)))+SUMPRODUCT((Inputs!$E$5:$E$120=$B47)*Inputs!$F$5:$F$120*(((Inputs!$G$5:$G$120="moeda")+(Inputs!$G$5:$G$120="acoes"))*Inputs!$B$1+((Inputs!$G$5:$G$120&lt;&gt;"moeda")*(Inputs!$G$5:$G$120&lt;&gt;"acoes")))*INDEX(Inputs!$K$5:$AJ$120,0,MATCH(Q$2,Inputs!$K$4:$AJ$4,0)))))</f>
        <v>10312.3</v>
      </c>
      <c r="R47" s="3">
        <f>Q47</f>
        <v>10312.3</v>
      </c>
      <c r="S47" s="6">
        <f>IF(ISNA(MATCH(S$2,Inputs!$K$4:$AJ$4,0)),NA(),IF(SUMPRODUCT((Inputs!$A$5:$A$120=$B47)*ISNUMBER(INDEX(Inputs!$K$5:$AJ$120,0,MATCH(S$2,Inputs!$K$4:$AJ$4,0))))+SUMPRODUCT((Inputs!$C$5:$C$120=$B47)*ISNUMBER(INDEX(Inputs!$K$5:$AJ$120,0,MATCH(S$2,Inputs!$K$4:$AJ$4,0))))+SUMPRODUCT((Inputs!$E$5:$E$120=$B47)*ISNUMBER(INDEX(Inputs!$K$5:$AJ$120,0,MATCH(S$2,Inputs!$K$4:$AJ$4,0))))=0,NA(),SUMPRODUCT((Inputs!$A$5:$A$120=$B47)*Inputs!$B$5:$B$120*(((Inputs!$G$5:$G$120="moeda")+(Inputs!$G$5:$G$120="acoes"))*Inputs!$B$1+((Inputs!$G$5:$G$120&lt;&gt;"moeda")*(Inputs!$G$5:$G$120&lt;&gt;"acoes")))*INDEX(Inputs!$K$5:$AJ$120,0,MATCH(S$2,Inputs!$K$4:$AJ$4,0)))+SUMPRODUCT((Inputs!$C$5:$C$120=$B47)*Inputs!$D$5:$D$120*(((Inputs!$G$5:$G$120="moeda")+(Inputs!$G$5:$G$120="acoes"))*Inputs!$B$1+((Inputs!$G$5:$G$120&lt;&gt;"moeda")*(Inputs!$G$5:$G$120&lt;&gt;"acoes")))*INDEX(Inputs!$K$5:$AJ$120,0,MATCH(S$2,Inputs!$K$4:$AJ$4,0)))+SUMPRODUCT((Inputs!$E$5:$E$120=$B47)*Inputs!$F$5:$F$120*(((Inputs!$G$5:$G$120="moeda")+(Inputs!$G$5:$G$120="acoes"))*Inputs!$B$1+((Inputs!$G$5:$G$120&lt;&gt;"moeda")*(Inputs!$G$5:$G$120&lt;&gt;"acoes")))*INDEX(Inputs!$K$5:$AJ$120,0,MATCH(S$2,Inputs!$K$4:$AJ$4,0)))))</f>
        <v>12553.9</v>
      </c>
      <c r="T47" s="6">
        <f>IF(ISNA(MATCH(T$2,Inputs!$K$4:$AJ$4,0)),NA(),IF(SUMPRODUCT((Inputs!$A$5:$A$120=$B47)*ISNUMBER(INDEX(Inputs!$K$5:$AJ$120,0,MATCH(T$2,Inputs!$K$4:$AJ$4,0))))+SUMPRODUCT((Inputs!$C$5:$C$120=$B47)*ISNUMBER(INDEX(Inputs!$K$5:$AJ$120,0,MATCH(T$2,Inputs!$K$4:$AJ$4,0))))+SUMPRODUCT((Inputs!$E$5:$E$120=$B47)*ISNUMBER(INDEX(Inputs!$K$5:$AJ$120,0,MATCH(T$2,Inputs!$K$4:$AJ$4,0))))=0,NA(),SUMPRODUCT((Inputs!$A$5:$A$120=$B47)*Inputs!$B$5:$B$120*(((Inputs!$G$5:$G$120="moeda")+(Inputs!$G$5:$G$120="acoes"))*Inputs!$B$1+((Inputs!$G$5:$G$120&lt;&gt;"moeda")*(Inputs!$G$5:$G$120&lt;&gt;"acoes")))*INDEX(Inputs!$K$5:$AJ$120,0,MATCH(T$2,Inputs!$K$4:$AJ$4,0)))+SUMPRODUCT((Inputs!$C$5:$C$120=$B47)*Inputs!$D$5:$D$120*(((Inputs!$G$5:$G$120="moeda")+(Inputs!$G$5:$G$120="acoes"))*Inputs!$B$1+((Inputs!$G$5:$G$120&lt;&gt;"moeda")*(Inputs!$G$5:$G$120&lt;&gt;"acoes")))*INDEX(Inputs!$K$5:$AJ$120,0,MATCH(T$2,Inputs!$K$4:$AJ$4,0)))+SUMPRODUCT((Inputs!$E$5:$E$120=$B47)*Inputs!$F$5:$F$120*(((Inputs!$G$5:$G$120="moeda")+(Inputs!$G$5:$G$120="acoes"))*Inputs!$B$1+((Inputs!$G$5:$G$120&lt;&gt;"moeda")*(Inputs!$G$5:$G$120&lt;&gt;"acoes")))*INDEX(Inputs!$K$5:$AJ$120,0,MATCH(T$2,Inputs!$K$4:$AJ$4,0)))))</f>
        <v>13178</v>
      </c>
      <c r="U47" s="6">
        <f>IF(ISNA(MATCH(U$2,Inputs!$K$4:$AJ$4,0)),NA(),IF(SUMPRODUCT((Inputs!$A$5:$A$120=$B47)*ISNUMBER(INDEX(Inputs!$K$5:$AJ$120,0,MATCH(U$2,Inputs!$K$4:$AJ$4,0))))+SUMPRODUCT((Inputs!$C$5:$C$120=$B47)*ISNUMBER(INDEX(Inputs!$K$5:$AJ$120,0,MATCH(U$2,Inputs!$K$4:$AJ$4,0))))+SUMPRODUCT((Inputs!$E$5:$E$120=$B47)*ISNUMBER(INDEX(Inputs!$K$5:$AJ$120,0,MATCH(U$2,Inputs!$K$4:$AJ$4,0))))=0,NA(),SUMPRODUCT((Inputs!$A$5:$A$120=$B47)*Inputs!$B$5:$B$120*(((Inputs!$G$5:$G$120="moeda")+(Inputs!$G$5:$G$120="acoes"))*Inputs!$B$1+((Inputs!$G$5:$G$120&lt;&gt;"moeda")*(Inputs!$G$5:$G$120&lt;&gt;"acoes")))*INDEX(Inputs!$K$5:$AJ$120,0,MATCH(U$2,Inputs!$K$4:$AJ$4,0)))+SUMPRODUCT((Inputs!$C$5:$C$120=$B47)*Inputs!$D$5:$D$120*(((Inputs!$G$5:$G$120="moeda")+(Inputs!$G$5:$G$120="acoes"))*Inputs!$B$1+((Inputs!$G$5:$G$120&lt;&gt;"moeda")*(Inputs!$G$5:$G$120&lt;&gt;"acoes")))*INDEX(Inputs!$K$5:$AJ$120,0,MATCH(U$2,Inputs!$K$4:$AJ$4,0)))+SUMPRODUCT((Inputs!$E$5:$E$120=$B47)*Inputs!$F$5:$F$120*(((Inputs!$G$5:$G$120="moeda")+(Inputs!$G$5:$G$120="acoes"))*Inputs!$B$1+((Inputs!$G$5:$G$120&lt;&gt;"moeda")*(Inputs!$G$5:$G$120&lt;&gt;"acoes")))*INDEX(Inputs!$K$5:$AJ$120,0,MATCH(U$2,Inputs!$K$4:$AJ$4,0)))))</f>
        <v>13627.2</v>
      </c>
      <c r="V47" s="6">
        <f>IF(ISNA(MATCH(V$2,Inputs!$K$4:$AJ$4,0)),NA(),IF(SUMPRODUCT((Inputs!$A$5:$A$120=$B47)*ISNUMBER(INDEX(Inputs!$K$5:$AJ$120,0,MATCH(V$2,Inputs!$K$4:$AJ$4,0))))+SUMPRODUCT((Inputs!$C$5:$C$120=$B47)*ISNUMBER(INDEX(Inputs!$K$5:$AJ$120,0,MATCH(V$2,Inputs!$K$4:$AJ$4,0))))+SUMPRODUCT((Inputs!$E$5:$E$120=$B47)*ISNUMBER(INDEX(Inputs!$K$5:$AJ$120,0,MATCH(V$2,Inputs!$K$4:$AJ$4,0))))=0,NA(),SUMPRODUCT((Inputs!$A$5:$A$120=$B47)*Inputs!$B$5:$B$120*(((Inputs!$G$5:$G$120="moeda")+(Inputs!$G$5:$G$120="acoes"))*Inputs!$B$1+((Inputs!$G$5:$G$120&lt;&gt;"moeda")*(Inputs!$G$5:$G$120&lt;&gt;"acoes")))*INDEX(Inputs!$K$5:$AJ$120,0,MATCH(V$2,Inputs!$K$4:$AJ$4,0)))+SUMPRODUCT((Inputs!$C$5:$C$120=$B47)*Inputs!$D$5:$D$120*(((Inputs!$G$5:$G$120="moeda")+(Inputs!$G$5:$G$120="acoes"))*Inputs!$B$1+((Inputs!$G$5:$G$120&lt;&gt;"moeda")*(Inputs!$G$5:$G$120&lt;&gt;"acoes")))*INDEX(Inputs!$K$5:$AJ$120,0,MATCH(V$2,Inputs!$K$4:$AJ$4,0)))+SUMPRODUCT((Inputs!$E$5:$E$120=$B47)*Inputs!$F$5:$F$120*(((Inputs!$G$5:$G$120="moeda")+(Inputs!$G$5:$G$120="acoes"))*Inputs!$B$1+((Inputs!$G$5:$G$120&lt;&gt;"moeda")*(Inputs!$G$5:$G$120&lt;&gt;"acoes")))*INDEX(Inputs!$K$5:$AJ$120,0,MATCH(V$2,Inputs!$K$4:$AJ$4,0)))))</f>
        <v>13545</v>
      </c>
      <c r="W47" s="3">
        <f>V47</f>
        <v>13545</v>
      </c>
      <c r="X47" s="6">
        <f>IF(ISNA(MATCH(X$2,Inputs!$K$4:$AJ$4,0)),NA(),IF(SUMPRODUCT((Inputs!$A$5:$A$120=$B47)*ISNUMBER(INDEX(Inputs!$K$5:$AJ$120,0,MATCH(X$2,Inputs!$K$4:$AJ$4,0))))+SUMPRODUCT((Inputs!$C$5:$C$120=$B47)*ISNUMBER(INDEX(Inputs!$K$5:$AJ$120,0,MATCH(X$2,Inputs!$K$4:$AJ$4,0))))+SUMPRODUCT((Inputs!$E$5:$E$120=$B47)*ISNUMBER(INDEX(Inputs!$K$5:$AJ$120,0,MATCH(X$2,Inputs!$K$4:$AJ$4,0))))=0,NA(),SUMPRODUCT((Inputs!$A$5:$A$120=$B47)*Inputs!$B$5:$B$120*(((Inputs!$G$5:$G$120="moeda")+(Inputs!$G$5:$G$120="acoes"))*Inputs!$B$1+((Inputs!$G$5:$G$120&lt;&gt;"moeda")*(Inputs!$G$5:$G$120&lt;&gt;"acoes")))*INDEX(Inputs!$K$5:$AJ$120,0,MATCH(X$2,Inputs!$K$4:$AJ$4,0)))+SUMPRODUCT((Inputs!$C$5:$C$120=$B47)*Inputs!$D$5:$D$120*(((Inputs!$G$5:$G$120="moeda")+(Inputs!$G$5:$G$120="acoes"))*Inputs!$B$1+((Inputs!$G$5:$G$120&lt;&gt;"moeda")*(Inputs!$G$5:$G$120&lt;&gt;"acoes")))*INDEX(Inputs!$K$5:$AJ$120,0,MATCH(X$2,Inputs!$K$4:$AJ$4,0)))+SUMPRODUCT((Inputs!$E$5:$E$120=$B47)*Inputs!$F$5:$F$120*(((Inputs!$G$5:$G$120="moeda")+(Inputs!$G$5:$G$120="acoes"))*Inputs!$B$1+((Inputs!$G$5:$G$120&lt;&gt;"moeda")*(Inputs!$G$5:$G$120&lt;&gt;"acoes")))*INDEX(Inputs!$K$5:$AJ$120,0,MATCH(X$2,Inputs!$K$4:$AJ$4,0)))))</f>
        <v>15099.5</v>
      </c>
      <c r="Y47" s="6">
        <f>IF(ISNA(MATCH(Y$2,Inputs!$K$4:$AJ$4,0)),NA(),IF(SUMPRODUCT((Inputs!$A$5:$A$120=$B47)*ISNUMBER(INDEX(Inputs!$K$5:$AJ$120,0,MATCH(Y$2,Inputs!$K$4:$AJ$4,0))))+SUMPRODUCT((Inputs!$C$5:$C$120=$B47)*ISNUMBER(INDEX(Inputs!$K$5:$AJ$120,0,MATCH(Y$2,Inputs!$K$4:$AJ$4,0))))+SUMPRODUCT((Inputs!$E$5:$E$120=$B47)*ISNUMBER(INDEX(Inputs!$K$5:$AJ$120,0,MATCH(Y$2,Inputs!$K$4:$AJ$4,0))))=0,NA(),SUMPRODUCT((Inputs!$A$5:$A$120=$B47)*Inputs!$B$5:$B$120*(((Inputs!$G$5:$G$120="moeda")+(Inputs!$G$5:$G$120="acoes"))*Inputs!$B$1+((Inputs!$G$5:$G$120&lt;&gt;"moeda")*(Inputs!$G$5:$G$120&lt;&gt;"acoes")))*INDEX(Inputs!$K$5:$AJ$120,0,MATCH(Y$2,Inputs!$K$4:$AJ$4,0)))+SUMPRODUCT((Inputs!$C$5:$C$120=$B47)*Inputs!$D$5:$D$120*(((Inputs!$G$5:$G$120="moeda")+(Inputs!$G$5:$G$120="acoes"))*Inputs!$B$1+((Inputs!$G$5:$G$120&lt;&gt;"moeda")*(Inputs!$G$5:$G$120&lt;&gt;"acoes")))*INDEX(Inputs!$K$5:$AJ$120,0,MATCH(Y$2,Inputs!$K$4:$AJ$4,0)))+SUMPRODUCT((Inputs!$E$5:$E$120=$B47)*Inputs!$F$5:$F$120*(((Inputs!$G$5:$G$120="moeda")+(Inputs!$G$5:$G$120="acoes"))*Inputs!$B$1+((Inputs!$G$5:$G$120&lt;&gt;"moeda")*(Inputs!$G$5:$G$120&lt;&gt;"acoes")))*INDEX(Inputs!$K$5:$AJ$120,0,MATCH(Y$2,Inputs!$K$4:$AJ$4,0)))))</f>
        <v>17376.2</v>
      </c>
      <c r="Z47" s="6">
        <f>IF(ISNA(MATCH(Z$2,Inputs!$K$4:$AJ$4,0)),NA(),IF(SUMPRODUCT((Inputs!$A$5:$A$120=$B47)*ISNUMBER(INDEX(Inputs!$K$5:$AJ$120,0,MATCH(Z$2,Inputs!$K$4:$AJ$4,0))))+SUMPRODUCT((Inputs!$C$5:$C$120=$B47)*ISNUMBER(INDEX(Inputs!$K$5:$AJ$120,0,MATCH(Z$2,Inputs!$K$4:$AJ$4,0))))+SUMPRODUCT((Inputs!$E$5:$E$120=$B47)*ISNUMBER(INDEX(Inputs!$K$5:$AJ$120,0,MATCH(Z$2,Inputs!$K$4:$AJ$4,0))))=0,NA(),SUMPRODUCT((Inputs!$A$5:$A$120=$B47)*Inputs!$B$5:$B$120*(((Inputs!$G$5:$G$120="moeda")+(Inputs!$G$5:$G$120="acoes"))*Inputs!$B$1+((Inputs!$G$5:$G$120&lt;&gt;"moeda")*(Inputs!$G$5:$G$120&lt;&gt;"acoes")))*INDEX(Inputs!$K$5:$AJ$120,0,MATCH(Z$2,Inputs!$K$4:$AJ$4,0)))+SUMPRODUCT((Inputs!$C$5:$C$120=$B47)*Inputs!$D$5:$D$120*(((Inputs!$G$5:$G$120="moeda")+(Inputs!$G$5:$G$120="acoes"))*Inputs!$B$1+((Inputs!$G$5:$G$120&lt;&gt;"moeda")*(Inputs!$G$5:$G$120&lt;&gt;"acoes")))*INDEX(Inputs!$K$5:$AJ$120,0,MATCH(Z$2,Inputs!$K$4:$AJ$4,0)))+SUMPRODUCT((Inputs!$E$5:$E$120=$B47)*Inputs!$F$5:$F$120*(((Inputs!$G$5:$G$120="moeda")+(Inputs!$G$5:$G$120="acoes"))*Inputs!$B$1+((Inputs!$G$5:$G$120&lt;&gt;"moeda")*(Inputs!$G$5:$G$120&lt;&gt;"acoes")))*INDEX(Inputs!$K$5:$AJ$120,0,MATCH(Z$2,Inputs!$K$4:$AJ$4,0)))))</f>
        <v>22252</v>
      </c>
      <c r="AA47" s="6">
        <f>IF(ISNA(MATCH(AA$2,Inputs!$K$4:$AJ$4,0)),NA(),IF(SUMPRODUCT((Inputs!$A$5:$A$120=$B47)*ISNUMBER(INDEX(Inputs!$K$5:$AJ$120,0,MATCH(AA$2,Inputs!$K$4:$AJ$4,0))))+SUMPRODUCT((Inputs!$C$5:$C$120=$B47)*ISNUMBER(INDEX(Inputs!$K$5:$AJ$120,0,MATCH(AA$2,Inputs!$K$4:$AJ$4,0))))+SUMPRODUCT((Inputs!$E$5:$E$120=$B47)*ISNUMBER(INDEX(Inputs!$K$5:$AJ$120,0,MATCH(AA$2,Inputs!$K$4:$AJ$4,0))))=0,NA(),SUMPRODUCT((Inputs!$A$5:$A$120=$B47)*Inputs!$B$5:$B$120*(((Inputs!$G$5:$G$120="moeda")+(Inputs!$G$5:$G$120="acoes"))*Inputs!$B$1+((Inputs!$G$5:$G$120&lt;&gt;"moeda")*(Inputs!$G$5:$G$120&lt;&gt;"acoes")))*INDEX(Inputs!$K$5:$AJ$120,0,MATCH(AA$2,Inputs!$K$4:$AJ$4,0)))+SUMPRODUCT((Inputs!$C$5:$C$120=$B47)*Inputs!$D$5:$D$120*(((Inputs!$G$5:$G$120="moeda")+(Inputs!$G$5:$G$120="acoes"))*Inputs!$B$1+((Inputs!$G$5:$G$120&lt;&gt;"moeda")*(Inputs!$G$5:$G$120&lt;&gt;"acoes")))*INDEX(Inputs!$K$5:$AJ$120,0,MATCH(AA$2,Inputs!$K$4:$AJ$4,0)))+SUMPRODUCT((Inputs!$E$5:$E$120=$B47)*Inputs!$F$5:$F$120*(((Inputs!$G$5:$G$120="moeda")+(Inputs!$G$5:$G$120="acoes"))*Inputs!$B$1+((Inputs!$G$5:$G$120&lt;&gt;"moeda")*(Inputs!$G$5:$G$120&lt;&gt;"acoes")))*INDEX(Inputs!$K$5:$AJ$120,0,MATCH(AA$2,Inputs!$K$4:$AJ$4,0)))))</f>
        <v>24470</v>
      </c>
      <c r="AB47" s="3">
        <f>AA47</f>
        <v>24470</v>
      </c>
      <c r="AC47" s="6">
        <f>IF(ISNA(MATCH(AC$2,Inputs!$K$4:$AJ$4,0)),NA(),IF(SUMPRODUCT((Inputs!$A$5:$A$120=$B47)*ISNUMBER(INDEX(Inputs!$K$5:$AJ$120,0,MATCH(AC$2,Inputs!$K$4:$AJ$4,0))))+SUMPRODUCT((Inputs!$C$5:$C$120=$B47)*ISNUMBER(INDEX(Inputs!$K$5:$AJ$120,0,MATCH(AC$2,Inputs!$K$4:$AJ$4,0))))+SUMPRODUCT((Inputs!$E$5:$E$120=$B47)*ISNUMBER(INDEX(Inputs!$K$5:$AJ$120,0,MATCH(AC$2,Inputs!$K$4:$AJ$4,0))))=0,NA(),SUMPRODUCT((Inputs!$A$5:$A$120=$B47)*Inputs!$B$5:$B$120*(((Inputs!$G$5:$G$120="moeda")+(Inputs!$G$5:$G$120="acoes"))*Inputs!$B$1+((Inputs!$G$5:$G$120&lt;&gt;"moeda")*(Inputs!$G$5:$G$120&lt;&gt;"acoes")))*INDEX(Inputs!$K$5:$AJ$120,0,MATCH(AC$2,Inputs!$K$4:$AJ$4,0)))+SUMPRODUCT((Inputs!$C$5:$C$120=$B47)*Inputs!$D$5:$D$120*(((Inputs!$G$5:$G$120="moeda")+(Inputs!$G$5:$G$120="acoes"))*Inputs!$B$1+((Inputs!$G$5:$G$120&lt;&gt;"moeda")*(Inputs!$G$5:$G$120&lt;&gt;"acoes")))*INDEX(Inputs!$K$5:$AJ$120,0,MATCH(AC$2,Inputs!$K$4:$AJ$4,0)))+SUMPRODUCT((Inputs!$E$5:$E$120=$B47)*Inputs!$F$5:$F$120*(((Inputs!$G$5:$G$120="moeda")+(Inputs!$G$5:$G$120="acoes"))*Inputs!$B$1+((Inputs!$G$5:$G$120&lt;&gt;"moeda")*(Inputs!$G$5:$G$120&lt;&gt;"acoes")))*INDEX(Inputs!$K$5:$AJ$120,0,MATCH(AC$2,Inputs!$K$4:$AJ$4,0)))))</f>
        <v>29514</v>
      </c>
      <c r="AD47" s="6">
        <f>IF(ISNA(MATCH(AD$2,Inputs!$K$4:$AJ$4,0)),NA(),IF(SUMPRODUCT((Inputs!$A$5:$A$120=$B47)*ISNUMBER(INDEX(Inputs!$K$5:$AJ$120,0,MATCH(AD$2,Inputs!$K$4:$AJ$4,0))))+SUMPRODUCT((Inputs!$C$5:$C$120=$B47)*ISNUMBER(INDEX(Inputs!$K$5:$AJ$120,0,MATCH(AD$2,Inputs!$K$4:$AJ$4,0))))+SUMPRODUCT((Inputs!$E$5:$E$120=$B47)*ISNUMBER(INDEX(Inputs!$K$5:$AJ$120,0,MATCH(AD$2,Inputs!$K$4:$AJ$4,0))))=0,NA(),SUMPRODUCT((Inputs!$A$5:$A$120=$B47)*Inputs!$B$5:$B$120*(((Inputs!$G$5:$G$120="moeda")+(Inputs!$G$5:$G$120="acoes"))*Inputs!$B$1+((Inputs!$G$5:$G$120&lt;&gt;"moeda")*(Inputs!$G$5:$G$120&lt;&gt;"acoes")))*INDEX(Inputs!$K$5:$AJ$120,0,MATCH(AD$2,Inputs!$K$4:$AJ$4,0)))+SUMPRODUCT((Inputs!$C$5:$C$120=$B47)*Inputs!$D$5:$D$120*(((Inputs!$G$5:$G$120="moeda")+(Inputs!$G$5:$G$120="acoes"))*Inputs!$B$1+((Inputs!$G$5:$G$120&lt;&gt;"moeda")*(Inputs!$G$5:$G$120&lt;&gt;"acoes")))*INDEX(Inputs!$K$5:$AJ$120,0,MATCH(AD$2,Inputs!$K$4:$AJ$4,0)))+SUMPRODUCT((Inputs!$E$5:$E$120=$B47)*Inputs!$F$5:$F$120*(((Inputs!$G$5:$G$120="moeda")+(Inputs!$G$5:$G$120="acoes"))*Inputs!$B$1+((Inputs!$G$5:$G$120&lt;&gt;"moeda")*(Inputs!$G$5:$G$120&lt;&gt;"acoes")))*INDEX(Inputs!$K$5:$AJ$120,0,MATCH(AD$2,Inputs!$K$4:$AJ$4,0)))))</f>
        <v>31893</v>
      </c>
      <c r="AE47" s="6" t="e">
        <f>IF(ISNA(MATCH(AE$2,Inputs!$K$4:$AJ$4,0)),NA(),IF(SUMPRODUCT((Inputs!$A$5:$A$120=$B47)*ISNUMBER(INDEX(Inputs!$K$5:$AJ$120,0,MATCH(AE$2,Inputs!$K$4:$AJ$4,0))))+SUMPRODUCT((Inputs!$C$5:$C$120=$B47)*ISNUMBER(INDEX(Inputs!$K$5:$AJ$120,0,MATCH(AE$2,Inputs!$K$4:$AJ$4,0))))+SUMPRODUCT((Inputs!$E$5:$E$120=$B47)*ISNUMBER(INDEX(Inputs!$K$5:$AJ$120,0,MATCH(AE$2,Inputs!$K$4:$AJ$4,0))))=0,NA(),SUMPRODUCT((Inputs!$A$5:$A$120=$B47)*Inputs!$B$5:$B$120*(((Inputs!$G$5:$G$120="moeda")+(Inputs!$G$5:$G$120="acoes"))*Inputs!$B$1+((Inputs!$G$5:$G$120&lt;&gt;"moeda")*(Inputs!$G$5:$G$120&lt;&gt;"acoes")))*INDEX(Inputs!$K$5:$AJ$120,0,MATCH(AE$2,Inputs!$K$4:$AJ$4,0)))+SUMPRODUCT((Inputs!$C$5:$C$120=$B47)*Inputs!$D$5:$D$120*(((Inputs!$G$5:$G$120="moeda")+(Inputs!$G$5:$G$120="acoes"))*Inputs!$B$1+((Inputs!$G$5:$G$120&lt;&gt;"moeda")*(Inputs!$G$5:$G$120&lt;&gt;"acoes")))*INDEX(Inputs!$K$5:$AJ$120,0,MATCH(AE$2,Inputs!$K$4:$AJ$4,0)))+SUMPRODUCT((Inputs!$E$5:$E$120=$B47)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7" s="6" t="e">
        <f>IF(ISNA(MATCH(AF$2,Inputs!$K$4:$AJ$4,0)),NA(),IF(SUMPRODUCT((Inputs!$A$5:$A$120=$B47)*ISNUMBER(INDEX(Inputs!$K$5:$AJ$120,0,MATCH(AF$2,Inputs!$K$4:$AJ$4,0))))+SUMPRODUCT((Inputs!$C$5:$C$120=$B47)*ISNUMBER(INDEX(Inputs!$K$5:$AJ$120,0,MATCH(AF$2,Inputs!$K$4:$AJ$4,0))))+SUMPRODUCT((Inputs!$E$5:$E$120=$B47)*ISNUMBER(INDEX(Inputs!$K$5:$AJ$120,0,MATCH(AF$2,Inputs!$K$4:$AJ$4,0))))=0,NA(),SUMPRODUCT((Inputs!$A$5:$A$120=$B47)*Inputs!$B$5:$B$120*(((Inputs!$G$5:$G$120="moeda")+(Inputs!$G$5:$G$120="acoes"))*Inputs!$B$1+((Inputs!$G$5:$G$120&lt;&gt;"moeda")*(Inputs!$G$5:$G$120&lt;&gt;"acoes")))*INDEX(Inputs!$K$5:$AJ$120,0,MATCH(AF$2,Inputs!$K$4:$AJ$4,0)))+SUMPRODUCT((Inputs!$C$5:$C$120=$B47)*Inputs!$D$5:$D$120*(((Inputs!$G$5:$G$120="moeda")+(Inputs!$G$5:$G$120="acoes"))*Inputs!$B$1+((Inputs!$G$5:$G$120&lt;&gt;"moeda")*(Inputs!$G$5:$G$120&lt;&gt;"acoes")))*INDEX(Inputs!$K$5:$AJ$120,0,MATCH(AF$2,Inputs!$K$4:$AJ$4,0)))+SUMPRODUCT((Inputs!$E$5:$E$120=$B47)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7" s="3" t="e">
        <f>AF47</f>
        <v>#N/A</v>
      </c>
      <c r="AH47" s="6">
        <f>IF(ISNA(MATCH(AH$2,Inputs!$K$4:$AJ$4,0)),NA(),IF(SUMPRODUCT((Inputs!$A$5:$A$120=$B47)*ISNUMBER(INDEX(Inputs!$K$5:$AJ$120,0,MATCH(AH$2,Inputs!$K$4:$AJ$4,0))))+SUMPRODUCT((Inputs!$C$5:$C$120=$B47)*ISNUMBER(INDEX(Inputs!$K$5:$AJ$120,0,MATCH(AH$2,Inputs!$K$4:$AJ$4,0))))+SUMPRODUCT((Inputs!$E$5:$E$120=$B47)*ISNUMBER(INDEX(Inputs!$K$5:$AJ$120,0,MATCH(AH$2,Inputs!$K$4:$AJ$4,0))))=0,NA(),SUMPRODUCT((Inputs!$A$5:$A$120=$B47)*Inputs!$B$5:$B$120*(((Inputs!$G$5:$G$120="moeda")+(Inputs!$G$5:$G$120="acoes"))*Inputs!$B$1+((Inputs!$G$5:$G$120&lt;&gt;"moeda")*(Inputs!$G$5:$G$120&lt;&gt;"acoes")))*INDEX(Inputs!$K$5:$AJ$120,0,MATCH(AH$2,Inputs!$K$4:$AJ$4,0)))+SUMPRODUCT((Inputs!$C$5:$C$120=$B47)*Inputs!$D$5:$D$120*(((Inputs!$G$5:$G$120="moeda")+(Inputs!$G$5:$G$120="acoes"))*Inputs!$B$1+((Inputs!$G$5:$G$120&lt;&gt;"moeda")*(Inputs!$G$5:$G$120&lt;&gt;"acoes")))*INDEX(Inputs!$K$5:$AJ$120,0,MATCH(AH$2,Inputs!$K$4:$AJ$4,0)))+SUMPRODUCT((Inputs!$E$5:$E$120=$B47)*Inputs!$F$5:$F$120*(((Inputs!$G$5:$G$120="moeda")+(Inputs!$G$5:$G$120="acoes"))*Inputs!$B$1+((Inputs!$G$5:$G$120&lt;&gt;"moeda")*(Inputs!$G$5:$G$120&lt;&gt;"acoes")))*INDEX(Inputs!$K$5:$AJ$120,0,MATCH(AH$2,Inputs!$K$4:$AJ$4,0)))))</f>
        <v>5879.4</v>
      </c>
      <c r="AI47" s="6">
        <f>IF(ISNA(MATCH(AI$2,Inputs!$K$4:$AJ$4,0)),NA(),IF(SUMPRODUCT((Inputs!$A$5:$A$120=$B47)*ISNUMBER(INDEX(Inputs!$K$5:$AJ$120,0,MATCH(AI$2,Inputs!$K$4:$AJ$4,0))))+SUMPRODUCT((Inputs!$C$5:$C$120=$B47)*ISNUMBER(INDEX(Inputs!$K$5:$AJ$120,0,MATCH(AI$2,Inputs!$K$4:$AJ$4,0))))+SUMPRODUCT((Inputs!$E$5:$E$120=$B47)*ISNUMBER(INDEX(Inputs!$K$5:$AJ$120,0,MATCH(AI$2,Inputs!$K$4:$AJ$4,0))))=0,NA(),SUMPRODUCT((Inputs!$A$5:$A$120=$B47)*Inputs!$B$5:$B$120*(((Inputs!$G$5:$G$120="moeda")+(Inputs!$G$5:$G$120="acoes"))*Inputs!$B$1+((Inputs!$G$5:$G$120&lt;&gt;"moeda")*(Inputs!$G$5:$G$120&lt;&gt;"acoes")))*INDEX(Inputs!$K$5:$AJ$120,0,MATCH(AI$2,Inputs!$K$4:$AJ$4,0)))+SUMPRODUCT((Inputs!$C$5:$C$120=$B47)*Inputs!$D$5:$D$120*(((Inputs!$G$5:$G$120="moeda")+(Inputs!$G$5:$G$120="acoes"))*Inputs!$B$1+((Inputs!$G$5:$G$120&lt;&gt;"moeda")*(Inputs!$G$5:$G$120&lt;&gt;"acoes")))*INDEX(Inputs!$K$5:$AJ$120,0,MATCH(AI$2,Inputs!$K$4:$AJ$4,0)))+SUMPRODUCT((Inputs!$E$5:$E$120=$B47)*Inputs!$F$5:$F$120*(((Inputs!$G$5:$G$120="moeda")+(Inputs!$G$5:$G$120="acoes"))*Inputs!$B$1+((Inputs!$G$5:$G$120&lt;&gt;"moeda")*(Inputs!$G$5:$G$120&lt;&gt;"acoes")))*INDEX(Inputs!$K$5:$AJ$120,0,MATCH(AI$2,Inputs!$K$4:$AJ$4,0)))))</f>
        <v>6617.2</v>
      </c>
      <c r="AJ47" s="6">
        <f>IF(ISNA(MATCH(AJ$2,Inputs!$K$4:$AJ$4,0)),NA(),IF(SUMPRODUCT((Inputs!$A$5:$A$120=$B47)*ISNUMBER(INDEX(Inputs!$K$5:$AJ$120,0,MATCH(AJ$2,Inputs!$K$4:$AJ$4,0))))+SUMPRODUCT((Inputs!$C$5:$C$120=$B47)*ISNUMBER(INDEX(Inputs!$K$5:$AJ$120,0,MATCH(AJ$2,Inputs!$K$4:$AJ$4,0))))+SUMPRODUCT((Inputs!$E$5:$E$120=$B47)*ISNUMBER(INDEX(Inputs!$K$5:$AJ$120,0,MATCH(AJ$2,Inputs!$K$4:$AJ$4,0))))=0,NA(),SUMPRODUCT((Inputs!$A$5:$A$120=$B47)*Inputs!$B$5:$B$120*(((Inputs!$G$5:$G$120="moeda")+(Inputs!$G$5:$G$120="acoes"))*Inputs!$B$1+((Inputs!$G$5:$G$120&lt;&gt;"moeda")*(Inputs!$G$5:$G$120&lt;&gt;"acoes")))*INDEX(Inputs!$K$5:$AJ$120,0,MATCH(AJ$2,Inputs!$K$4:$AJ$4,0)))+SUMPRODUCT((Inputs!$C$5:$C$120=$B47)*Inputs!$D$5:$D$120*(((Inputs!$G$5:$G$120="moeda")+(Inputs!$G$5:$G$120="acoes"))*Inputs!$B$1+((Inputs!$G$5:$G$120&lt;&gt;"moeda")*(Inputs!$G$5:$G$120&lt;&gt;"acoes")))*INDEX(Inputs!$K$5:$AJ$120,0,MATCH(AJ$2,Inputs!$K$4:$AJ$4,0)))+SUMPRODUCT((Inputs!$E$5:$E$120=$B47)*Inputs!$F$5:$F$120*(((Inputs!$G$5:$G$120="moeda")+(Inputs!$G$5:$G$120="acoes"))*Inputs!$B$1+((Inputs!$G$5:$G$120&lt;&gt;"moeda")*(Inputs!$G$5:$G$120&lt;&gt;"acoes")))*INDEX(Inputs!$K$5:$AJ$120,0,MATCH(AJ$2,Inputs!$K$4:$AJ$4,0)))))</f>
        <v>7154</v>
      </c>
      <c r="AK47" s="6">
        <f>IF(ISNA(MATCH(AK$2,Inputs!$K$4:$AJ$4,0)),NA(),IF(SUMPRODUCT((Inputs!$A$5:$A$120=$B47)*ISNUMBER(INDEX(Inputs!$K$5:$AJ$120,0,MATCH(AK$2,Inputs!$K$4:$AJ$4,0))))+SUMPRODUCT((Inputs!$C$5:$C$120=$B47)*ISNUMBER(INDEX(Inputs!$K$5:$AJ$120,0,MATCH(AK$2,Inputs!$K$4:$AJ$4,0))))+SUMPRODUCT((Inputs!$E$5:$E$120=$B47)*ISNUMBER(INDEX(Inputs!$K$5:$AJ$120,0,MATCH(AK$2,Inputs!$K$4:$AJ$4,0))))=0,NA(),SUMPRODUCT((Inputs!$A$5:$A$120=$B47)*Inputs!$B$5:$B$120*(((Inputs!$G$5:$G$120="moeda")+(Inputs!$G$5:$G$120="acoes"))*Inputs!$B$1+((Inputs!$G$5:$G$120&lt;&gt;"moeda")*(Inputs!$G$5:$G$120&lt;&gt;"acoes")))*INDEX(Inputs!$K$5:$AJ$120,0,MATCH(AK$2,Inputs!$K$4:$AJ$4,0)))+SUMPRODUCT((Inputs!$C$5:$C$120=$B47)*Inputs!$D$5:$D$120*(((Inputs!$G$5:$G$120="moeda")+(Inputs!$G$5:$G$120="acoes"))*Inputs!$B$1+((Inputs!$G$5:$G$120&lt;&gt;"moeda")*(Inputs!$G$5:$G$120&lt;&gt;"acoes")))*INDEX(Inputs!$K$5:$AJ$120,0,MATCH(AK$2,Inputs!$K$4:$AJ$4,0)))+SUMPRODUCT((Inputs!$E$5:$E$120=$B47)*Inputs!$F$5:$F$120*(((Inputs!$G$5:$G$120="moeda")+(Inputs!$G$5:$G$120="acoes"))*Inputs!$B$1+((Inputs!$G$5:$G$120&lt;&gt;"moeda")*(Inputs!$G$5:$G$120&lt;&gt;"acoes")))*INDEX(Inputs!$K$5:$AJ$120,0,MATCH(AK$2,Inputs!$K$4:$AJ$4,0)))))</f>
        <v>7830.2</v>
      </c>
      <c r="AL47" s="3">
        <f>AK47</f>
        <v>7830.2</v>
      </c>
    </row>
    <row r="48"/>
    <row r="49" customFormat="1" s="1">
      <c r="C49" s="4" t="n"/>
      <c r="D49" s="245" t="n"/>
      <c r="E49" s="245" t="n"/>
      <c r="F49" s="245" t="n"/>
      <c r="G49" s="245" t="n"/>
      <c r="H49" s="3" t="n"/>
      <c r="I49" s="245" t="n"/>
      <c r="J49" s="245" t="n"/>
      <c r="K49" s="245" t="n"/>
      <c r="L49" s="245" t="n"/>
      <c r="M49" s="3" t="n"/>
      <c r="N49" s="245" t="n"/>
      <c r="O49" s="245" t="n"/>
      <c r="P49" s="245" t="n"/>
      <c r="Q49" s="245" t="n"/>
      <c r="R49" s="3" t="n"/>
      <c r="S49" s="245" t="n"/>
      <c r="T49" s="245" t="n"/>
      <c r="U49" s="245" t="n"/>
      <c r="V49" s="245" t="n"/>
      <c r="W49" s="3" t="n"/>
      <c r="X49" s="245" t="n"/>
      <c r="Y49" s="245" t="n"/>
      <c r="Z49" s="245" t="n"/>
      <c r="AA49" s="245" t="n"/>
      <c r="AC49" s="245" t="n"/>
      <c r="AD49" s="245" t="n"/>
      <c r="AE49" s="245" t="n"/>
      <c r="AF49" s="245" t="n"/>
    </row>
    <row r="50">
      <c r="B50" s="46" t="n">
        <v>44</v>
      </c>
      <c r="C50" s="24" t="inlineStr">
        <is>
          <t>Net income reported (lucro liquido) - memo p/ check IS [Model linha 4]</t>
        </is>
      </c>
      <c r="D50" s="6">
        <f>IF(ISNA(MATCH(D$2,Inputs!$K$4:$AJ$4,0)),NA(),IF(SUMPRODUCT((Inputs!$A$5:$A$120=$B50)*ISNUMBER(INDEX(Inputs!$K$5:$AJ$120,0,MATCH(D$2,Inputs!$K$4:$AJ$4,0))))+SUMPRODUCT((Inputs!$C$5:$C$120=$B50)*ISNUMBER(INDEX(Inputs!$K$5:$AJ$120,0,MATCH(D$2,Inputs!$K$4:$AJ$4,0))))+SUMPRODUCT((Inputs!$E$5:$E$120=$B50)*ISNUMBER(INDEX(Inputs!$K$5:$AJ$120,0,MATCH(D$2,Inputs!$K$4:$AJ$4,0))))=0,NA(),SUMPRODUCT((Inputs!$A$5:$A$120=$B50)*Inputs!$B$5:$B$120*(((Inputs!$G$5:$G$120="moeda")+(Inputs!$G$5:$G$120="acoes"))*Inputs!$B$1+((Inputs!$G$5:$G$120&lt;&gt;"moeda")*(Inputs!$G$5:$G$120&lt;&gt;"acoes")))*INDEX(Inputs!$K$5:$AJ$120,0,MATCH(D$2,Inputs!$K$4:$AJ$4,0)))+SUMPRODUCT((Inputs!$C$5:$C$120=$B50)*Inputs!$D$5:$D$120*(((Inputs!$G$5:$G$120="moeda")+(Inputs!$G$5:$G$120="acoes"))*Inputs!$B$1+((Inputs!$G$5:$G$120&lt;&gt;"moeda")*(Inputs!$G$5:$G$120&lt;&gt;"acoes")))*INDEX(Inputs!$K$5:$AJ$120,0,MATCH(D$2,Inputs!$K$4:$AJ$4,0)))+SUMPRODUCT((Inputs!$E$5:$E$120=$B50)*Inputs!$F$5:$F$120*(((Inputs!$G$5:$G$120="moeda")+(Inputs!$G$5:$G$120="acoes"))*Inputs!$B$1+((Inputs!$G$5:$G$120&lt;&gt;"moeda")*(Inputs!$G$5:$G$120&lt;&gt;"acoes")))*INDEX(Inputs!$K$5:$AJ$120,0,MATCH(D$2,Inputs!$K$4:$AJ$4,0)))))</f>
        <v>1355.3</v>
      </c>
      <c r="E50" s="6">
        <f>IF(ISNA(MATCH(E$2,Inputs!$K$4:$AJ$4,0)),NA(),IF(SUMPRODUCT((Inputs!$A$5:$A$120=$B50)*ISNUMBER(INDEX(Inputs!$K$5:$AJ$120,0,MATCH(E$2,Inputs!$K$4:$AJ$4,0))))+SUMPRODUCT((Inputs!$C$5:$C$120=$B50)*ISNUMBER(INDEX(Inputs!$K$5:$AJ$120,0,MATCH(E$2,Inputs!$K$4:$AJ$4,0))))+SUMPRODUCT((Inputs!$E$5:$E$120=$B50)*ISNUMBER(INDEX(Inputs!$K$5:$AJ$120,0,MATCH(E$2,Inputs!$K$4:$AJ$4,0))))=0,NA(),SUMPRODUCT((Inputs!$A$5:$A$120=$B50)*Inputs!$B$5:$B$120*(((Inputs!$G$5:$G$120="moeda")+(Inputs!$G$5:$G$120="acoes"))*Inputs!$B$1+((Inputs!$G$5:$G$120&lt;&gt;"moeda")*(Inputs!$G$5:$G$120&lt;&gt;"acoes")))*INDEX(Inputs!$K$5:$AJ$120,0,MATCH(E$2,Inputs!$K$4:$AJ$4,0)))+SUMPRODUCT((Inputs!$C$5:$C$120=$B50)*Inputs!$D$5:$D$120*(((Inputs!$G$5:$G$120="moeda")+(Inputs!$G$5:$G$120="acoes"))*Inputs!$B$1+((Inputs!$G$5:$G$120&lt;&gt;"moeda")*(Inputs!$G$5:$G$120&lt;&gt;"acoes")))*INDEX(Inputs!$K$5:$AJ$120,0,MATCH(E$2,Inputs!$K$4:$AJ$4,0)))+SUMPRODUCT((Inputs!$E$5:$E$120=$B50)*Inputs!$F$5:$F$120*(((Inputs!$G$5:$G$120="moeda")+(Inputs!$G$5:$G$120="acoes"))*Inputs!$B$1+((Inputs!$G$5:$G$120&lt;&gt;"moeda")*(Inputs!$G$5:$G$120&lt;&gt;"acoes")))*INDEX(Inputs!$K$5:$AJ$120,0,MATCH(E$2,Inputs!$K$4:$AJ$4,0)))))</f>
        <v>1390.2</v>
      </c>
      <c r="F50" s="6">
        <f>IF(ISNA(MATCH(F$2,Inputs!$K$4:$AJ$4,0)),NA(),IF(SUMPRODUCT((Inputs!$A$5:$A$120=$B50)*ISNUMBER(INDEX(Inputs!$K$5:$AJ$120,0,MATCH(F$2,Inputs!$K$4:$AJ$4,0))))+SUMPRODUCT((Inputs!$C$5:$C$120=$B50)*ISNUMBER(INDEX(Inputs!$K$5:$AJ$120,0,MATCH(F$2,Inputs!$K$4:$AJ$4,0))))+SUMPRODUCT((Inputs!$E$5:$E$120=$B50)*ISNUMBER(INDEX(Inputs!$K$5:$AJ$120,0,MATCH(F$2,Inputs!$K$4:$AJ$4,0))))=0,NA(),SUMPRODUCT((Inputs!$A$5:$A$120=$B50)*Inputs!$B$5:$B$120*(((Inputs!$G$5:$G$120="moeda")+(Inputs!$G$5:$G$120="acoes"))*Inputs!$B$1+((Inputs!$G$5:$G$120&lt;&gt;"moeda")*(Inputs!$G$5:$G$120&lt;&gt;"acoes")))*INDEX(Inputs!$K$5:$AJ$120,0,MATCH(F$2,Inputs!$K$4:$AJ$4,0)))+SUMPRODUCT((Inputs!$C$5:$C$120=$B50)*Inputs!$D$5:$D$120*(((Inputs!$G$5:$G$120="moeda")+(Inputs!$G$5:$G$120="acoes"))*Inputs!$B$1+((Inputs!$G$5:$G$120&lt;&gt;"moeda")*(Inputs!$G$5:$G$120&lt;&gt;"acoes")))*INDEX(Inputs!$K$5:$AJ$120,0,MATCH(F$2,Inputs!$K$4:$AJ$4,0)))+SUMPRODUCT((Inputs!$E$5:$E$120=$B50)*Inputs!$F$5:$F$120*(((Inputs!$G$5:$G$120="moeda")+(Inputs!$G$5:$G$120="acoes"))*Inputs!$B$1+((Inputs!$G$5:$G$120&lt;&gt;"moeda")*(Inputs!$G$5:$G$120&lt;&gt;"acoes")))*INDEX(Inputs!$K$5:$AJ$120,0,MATCH(F$2,Inputs!$K$4:$AJ$4,0)))))</f>
        <v>1110.1</v>
      </c>
      <c r="G50" s="6">
        <f>IF(ISNA(MATCH(G$2,Inputs!$K$4:$AJ$4,0)),NA(),IF(SUMPRODUCT((Inputs!$A$5:$A$120=$B50)*ISNUMBER(INDEX(Inputs!$K$5:$AJ$120,0,MATCH(G$2,Inputs!$K$4:$AJ$4,0))))+SUMPRODUCT((Inputs!$C$5:$C$120=$B50)*ISNUMBER(INDEX(Inputs!$K$5:$AJ$120,0,MATCH(G$2,Inputs!$K$4:$AJ$4,0))))+SUMPRODUCT((Inputs!$E$5:$E$120=$B50)*ISNUMBER(INDEX(Inputs!$K$5:$AJ$120,0,MATCH(G$2,Inputs!$K$4:$AJ$4,0))))=0,NA(),SUMPRODUCT((Inputs!$A$5:$A$120=$B50)*Inputs!$B$5:$B$120*(((Inputs!$G$5:$G$120="moeda")+(Inputs!$G$5:$G$120="acoes"))*Inputs!$B$1+((Inputs!$G$5:$G$120&lt;&gt;"moeda")*(Inputs!$G$5:$G$120&lt;&gt;"acoes")))*INDEX(Inputs!$K$5:$AJ$120,0,MATCH(G$2,Inputs!$K$4:$AJ$4,0)))+SUMPRODUCT((Inputs!$C$5:$C$120=$B50)*Inputs!$D$5:$D$120*(((Inputs!$G$5:$G$120="moeda")+(Inputs!$G$5:$G$120="acoes"))*Inputs!$B$1+((Inputs!$G$5:$G$120&lt;&gt;"moeda")*(Inputs!$G$5:$G$120&lt;&gt;"acoes")))*INDEX(Inputs!$K$5:$AJ$120,0,MATCH(G$2,Inputs!$K$4:$AJ$4,0)))+SUMPRODUCT((Inputs!$E$5:$E$120=$B50)*Inputs!$F$5:$F$120*(((Inputs!$G$5:$G$120="moeda")+(Inputs!$G$5:$G$120="acoes"))*Inputs!$B$1+((Inputs!$G$5:$G$120&lt;&gt;"moeda")*(Inputs!$G$5:$G$120&lt;&gt;"acoes")))*INDEX(Inputs!$K$5:$AJ$120,0,MATCH(G$2,Inputs!$K$4:$AJ$4,0)))))</f>
        <v>1726.1</v>
      </c>
      <c r="H50" s="3">
        <f>SUM(D50:G50)</f>
        <v>5581.7</v>
      </c>
      <c r="I50" s="6">
        <f>IF(ISNA(MATCH(I$2,Inputs!$K$4:$AJ$4,0)),NA(),IF(SUMPRODUCT((Inputs!$A$5:$A$120=$B50)*ISNUMBER(INDEX(Inputs!$K$5:$AJ$120,0,MATCH(I$2,Inputs!$K$4:$AJ$4,0))))+SUMPRODUCT((Inputs!$C$5:$C$120=$B50)*ISNUMBER(INDEX(Inputs!$K$5:$AJ$120,0,MATCH(I$2,Inputs!$K$4:$AJ$4,0))))+SUMPRODUCT((Inputs!$E$5:$E$120=$B50)*ISNUMBER(INDEX(Inputs!$K$5:$AJ$120,0,MATCH(I$2,Inputs!$K$4:$AJ$4,0))))=0,NA(),SUMPRODUCT((Inputs!$A$5:$A$120=$B50)*Inputs!$B$5:$B$120*(((Inputs!$G$5:$G$120="moeda")+(Inputs!$G$5:$G$120="acoes"))*Inputs!$B$1+((Inputs!$G$5:$G$120&lt;&gt;"moeda")*(Inputs!$G$5:$G$120&lt;&gt;"acoes")))*INDEX(Inputs!$K$5:$AJ$120,0,MATCH(I$2,Inputs!$K$4:$AJ$4,0)))+SUMPRODUCT((Inputs!$C$5:$C$120=$B50)*Inputs!$D$5:$D$120*(((Inputs!$G$5:$G$120="moeda")+(Inputs!$G$5:$G$120="acoes"))*Inputs!$B$1+((Inputs!$G$5:$G$120&lt;&gt;"moeda")*(Inputs!$G$5:$G$120&lt;&gt;"acoes")))*INDEX(Inputs!$K$5:$AJ$120,0,MATCH(I$2,Inputs!$K$4:$AJ$4,0)))+SUMPRODUCT((Inputs!$E$5:$E$120=$B50)*Inputs!$F$5:$F$120*(((Inputs!$G$5:$G$120="moeda")+(Inputs!$G$5:$G$120="acoes"))*Inputs!$B$1+((Inputs!$G$5:$G$120&lt;&gt;"moeda")*(Inputs!$G$5:$G$120&lt;&gt;"acoes")))*INDEX(Inputs!$K$5:$AJ$120,0,MATCH(I$2,Inputs!$K$4:$AJ$4,0)))))</f>
        <v>1902.9</v>
      </c>
      <c r="J50" s="6">
        <f>IF(ISNA(MATCH(J$2,Inputs!$K$4:$AJ$4,0)),NA(),IF(SUMPRODUCT((Inputs!$A$5:$A$120=$B50)*ISNUMBER(INDEX(Inputs!$K$5:$AJ$120,0,MATCH(J$2,Inputs!$K$4:$AJ$4,0))))+SUMPRODUCT((Inputs!$C$5:$C$120=$B50)*ISNUMBER(INDEX(Inputs!$K$5:$AJ$120,0,MATCH(J$2,Inputs!$K$4:$AJ$4,0))))+SUMPRODUCT((Inputs!$E$5:$E$120=$B50)*ISNUMBER(INDEX(Inputs!$K$5:$AJ$120,0,MATCH(J$2,Inputs!$K$4:$AJ$4,0))))=0,NA(),SUMPRODUCT((Inputs!$A$5:$A$120=$B50)*Inputs!$B$5:$B$120*(((Inputs!$G$5:$G$120="moeda")+(Inputs!$G$5:$G$120="acoes"))*Inputs!$B$1+((Inputs!$G$5:$G$120&lt;&gt;"moeda")*(Inputs!$G$5:$G$120&lt;&gt;"acoes")))*INDEX(Inputs!$K$5:$AJ$120,0,MATCH(J$2,Inputs!$K$4:$AJ$4,0)))+SUMPRODUCT((Inputs!$C$5:$C$120=$B50)*Inputs!$D$5:$D$120*(((Inputs!$G$5:$G$120="moeda")+(Inputs!$G$5:$G$120="acoes"))*Inputs!$B$1+((Inputs!$G$5:$G$120&lt;&gt;"moeda")*(Inputs!$G$5:$G$120&lt;&gt;"acoes")))*INDEX(Inputs!$K$5:$AJ$120,0,MATCH(J$2,Inputs!$K$4:$AJ$4,0)))+SUMPRODUCT((Inputs!$E$5:$E$120=$B50)*Inputs!$F$5:$F$120*(((Inputs!$G$5:$G$120="moeda")+(Inputs!$G$5:$G$120="acoes"))*Inputs!$B$1+((Inputs!$G$5:$G$120&lt;&gt;"moeda")*(Inputs!$G$5:$G$120&lt;&gt;"acoes")))*INDEX(Inputs!$K$5:$AJ$120,0,MATCH(J$2,Inputs!$K$4:$AJ$4,0)))))</f>
        <v>952.5</v>
      </c>
      <c r="K50" s="6">
        <f>IF(ISNA(MATCH(K$2,Inputs!$K$4:$AJ$4,0)),NA(),IF(SUMPRODUCT((Inputs!$A$5:$A$120=$B50)*ISNUMBER(INDEX(Inputs!$K$5:$AJ$120,0,MATCH(K$2,Inputs!$K$4:$AJ$4,0))))+SUMPRODUCT((Inputs!$C$5:$C$120=$B50)*ISNUMBER(INDEX(Inputs!$K$5:$AJ$120,0,MATCH(K$2,Inputs!$K$4:$AJ$4,0))))+SUMPRODUCT((Inputs!$E$5:$E$120=$B50)*ISNUMBER(INDEX(Inputs!$K$5:$AJ$120,0,MATCH(K$2,Inputs!$K$4:$AJ$4,0))))=0,NA(),SUMPRODUCT((Inputs!$A$5:$A$120=$B50)*Inputs!$B$5:$B$120*(((Inputs!$G$5:$G$120="moeda")+(Inputs!$G$5:$G$120="acoes"))*Inputs!$B$1+((Inputs!$G$5:$G$120&lt;&gt;"moeda")*(Inputs!$G$5:$G$120&lt;&gt;"acoes")))*INDEX(Inputs!$K$5:$AJ$120,0,MATCH(K$2,Inputs!$K$4:$AJ$4,0)))+SUMPRODUCT((Inputs!$C$5:$C$120=$B50)*Inputs!$D$5:$D$120*(((Inputs!$G$5:$G$120="moeda")+(Inputs!$G$5:$G$120="acoes"))*Inputs!$B$1+((Inputs!$G$5:$G$120&lt;&gt;"moeda")*(Inputs!$G$5:$G$120&lt;&gt;"acoes")))*INDEX(Inputs!$K$5:$AJ$120,0,MATCH(K$2,Inputs!$K$4:$AJ$4,0)))+SUMPRODUCT((Inputs!$E$5:$E$120=$B50)*Inputs!$F$5:$F$120*(((Inputs!$G$5:$G$120="moeda")+(Inputs!$G$5:$G$120="acoes"))*Inputs!$B$1+((Inputs!$G$5:$G$120&lt;&gt;"moeda")*(Inputs!$G$5:$G$120&lt;&gt;"acoes")))*INDEX(Inputs!$K$5:$AJ$120,0,MATCH(K$2,Inputs!$K$4:$AJ$4,0)))))</f>
        <v>1451.7</v>
      </c>
      <c r="L50" s="6">
        <f>IF(ISNA(MATCH(L$2,Inputs!$K$4:$AJ$4,0)),NA(),IF(SUMPRODUCT((Inputs!$A$5:$A$120=$B50)*ISNUMBER(INDEX(Inputs!$K$5:$AJ$120,0,MATCH(L$2,Inputs!$K$4:$AJ$4,0))))+SUMPRODUCT((Inputs!$C$5:$C$120=$B50)*ISNUMBER(INDEX(Inputs!$K$5:$AJ$120,0,MATCH(L$2,Inputs!$K$4:$AJ$4,0))))+SUMPRODUCT((Inputs!$E$5:$E$120=$B50)*ISNUMBER(INDEX(Inputs!$K$5:$AJ$120,0,MATCH(L$2,Inputs!$K$4:$AJ$4,0))))=0,NA(),SUMPRODUCT((Inputs!$A$5:$A$120=$B50)*Inputs!$B$5:$B$120*(((Inputs!$G$5:$G$120="moeda")+(Inputs!$G$5:$G$120="acoes"))*Inputs!$B$1+((Inputs!$G$5:$G$120&lt;&gt;"moeda")*(Inputs!$G$5:$G$120&lt;&gt;"acoes")))*INDEX(Inputs!$K$5:$AJ$120,0,MATCH(L$2,Inputs!$K$4:$AJ$4,0)))+SUMPRODUCT((Inputs!$C$5:$C$120=$B50)*Inputs!$D$5:$D$120*(((Inputs!$G$5:$G$120="moeda")+(Inputs!$G$5:$G$120="acoes"))*Inputs!$B$1+((Inputs!$G$5:$G$120&lt;&gt;"moeda")*(Inputs!$G$5:$G$120&lt;&gt;"acoes")))*INDEX(Inputs!$K$5:$AJ$120,0,MATCH(L$2,Inputs!$K$4:$AJ$4,0)))+SUMPRODUCT((Inputs!$E$5:$E$120=$B50)*Inputs!$F$5:$F$120*(((Inputs!$G$5:$G$120="moeda")+(Inputs!$G$5:$G$120="acoes"))*Inputs!$B$1+((Inputs!$G$5:$G$120&lt;&gt;"moeda")*(Inputs!$G$5:$G$120&lt;&gt;"acoes")))*INDEX(Inputs!$K$5:$AJ$120,0,MATCH(L$2,Inputs!$K$4:$AJ$4,0)))))</f>
        <v>1937.7</v>
      </c>
      <c r="M50" s="3">
        <f>SUM(I50:L50)</f>
        <v>6244.8</v>
      </c>
      <c r="N50" s="6">
        <f>IF(ISNA(MATCH(N$2,Inputs!$K$4:$AJ$4,0)),NA(),IF(SUMPRODUCT((Inputs!$A$5:$A$120=$B50)*ISNUMBER(INDEX(Inputs!$K$5:$AJ$120,0,MATCH(N$2,Inputs!$K$4:$AJ$4,0))))+SUMPRODUCT((Inputs!$C$5:$C$120=$B50)*ISNUMBER(INDEX(Inputs!$K$5:$AJ$120,0,MATCH(N$2,Inputs!$K$4:$AJ$4,0))))+SUMPRODUCT((Inputs!$E$5:$E$120=$B50)*ISNUMBER(INDEX(Inputs!$K$5:$AJ$120,0,MATCH(N$2,Inputs!$K$4:$AJ$4,0))))=0,NA(),SUMPRODUCT((Inputs!$A$5:$A$120=$B50)*Inputs!$B$5:$B$120*(((Inputs!$G$5:$G$120="moeda")+(Inputs!$G$5:$G$120="acoes"))*Inputs!$B$1+((Inputs!$G$5:$G$120&lt;&gt;"moeda")*(Inputs!$G$5:$G$120&lt;&gt;"acoes")))*INDEX(Inputs!$K$5:$AJ$120,0,MATCH(N$2,Inputs!$K$4:$AJ$4,0)))+SUMPRODUCT((Inputs!$C$5:$C$120=$B50)*Inputs!$D$5:$D$120*(((Inputs!$G$5:$G$120="moeda")+(Inputs!$G$5:$G$120="acoes"))*Inputs!$B$1+((Inputs!$G$5:$G$120&lt;&gt;"moeda")*(Inputs!$G$5:$G$120&lt;&gt;"acoes")))*INDEX(Inputs!$K$5:$AJ$120,0,MATCH(N$2,Inputs!$K$4:$AJ$4,0)))+SUMPRODUCT((Inputs!$E$5:$E$120=$B50)*Inputs!$F$5:$F$120*(((Inputs!$G$5:$G$120="moeda")+(Inputs!$G$5:$G$120="acoes"))*Inputs!$B$1+((Inputs!$G$5:$G$120&lt;&gt;"moeda")*(Inputs!$G$5:$G$120&lt;&gt;"acoes")))*INDEX(Inputs!$K$5:$AJ$120,0,MATCH(N$2,Inputs!$K$4:$AJ$4,0)))))</f>
        <v>1344.9</v>
      </c>
      <c r="O50" s="6">
        <f>IF(ISNA(MATCH(O$2,Inputs!$K$4:$AJ$4,0)),NA(),IF(SUMPRODUCT((Inputs!$A$5:$A$120=$B50)*ISNUMBER(INDEX(Inputs!$K$5:$AJ$120,0,MATCH(O$2,Inputs!$K$4:$AJ$4,0))))+SUMPRODUCT((Inputs!$C$5:$C$120=$B50)*ISNUMBER(INDEX(Inputs!$K$5:$AJ$120,0,MATCH(O$2,Inputs!$K$4:$AJ$4,0))))+SUMPRODUCT((Inputs!$E$5:$E$120=$B50)*ISNUMBER(INDEX(Inputs!$K$5:$AJ$120,0,MATCH(O$2,Inputs!$K$4:$AJ$4,0))))=0,NA(),SUMPRODUCT((Inputs!$A$5:$A$120=$B50)*Inputs!$B$5:$B$120*(((Inputs!$G$5:$G$120="moeda")+(Inputs!$G$5:$G$120="acoes"))*Inputs!$B$1+((Inputs!$G$5:$G$120&lt;&gt;"moeda")*(Inputs!$G$5:$G$120&lt;&gt;"acoes")))*INDEX(Inputs!$K$5:$AJ$120,0,MATCH(O$2,Inputs!$K$4:$AJ$4,0)))+SUMPRODUCT((Inputs!$C$5:$C$120=$B50)*Inputs!$D$5:$D$120*(((Inputs!$G$5:$G$120="moeda")+(Inputs!$G$5:$G$120="acoes"))*Inputs!$B$1+((Inputs!$G$5:$G$120&lt;&gt;"moeda")*(Inputs!$G$5:$G$120&lt;&gt;"acoes")))*INDEX(Inputs!$K$5:$AJ$120,0,MATCH(O$2,Inputs!$K$4:$AJ$4,0)))+SUMPRODUCT((Inputs!$E$5:$E$120=$B50)*Inputs!$F$5:$F$120*(((Inputs!$G$5:$G$120="moeda")+(Inputs!$G$5:$G$120="acoes"))*Inputs!$B$1+((Inputs!$G$5:$G$120&lt;&gt;"moeda")*(Inputs!$G$5:$G$120&lt;&gt;"acoes")))*INDEX(Inputs!$K$5:$AJ$120,0,MATCH(O$2,Inputs!$K$4:$AJ$4,0)))))</f>
        <v>1763.2</v>
      </c>
      <c r="P50" s="6">
        <f>IF(ISNA(MATCH(P$2,Inputs!$K$4:$AJ$4,0)),NA(),IF(SUMPRODUCT((Inputs!$A$5:$A$120=$B50)*ISNUMBER(INDEX(Inputs!$K$5:$AJ$120,0,MATCH(P$2,Inputs!$K$4:$AJ$4,0))))+SUMPRODUCT((Inputs!$C$5:$C$120=$B50)*ISNUMBER(INDEX(Inputs!$K$5:$AJ$120,0,MATCH(P$2,Inputs!$K$4:$AJ$4,0))))+SUMPRODUCT((Inputs!$E$5:$E$120=$B50)*ISNUMBER(INDEX(Inputs!$K$5:$AJ$120,0,MATCH(P$2,Inputs!$K$4:$AJ$4,0))))=0,NA(),SUMPRODUCT((Inputs!$A$5:$A$120=$B50)*Inputs!$B$5:$B$120*(((Inputs!$G$5:$G$120="moeda")+(Inputs!$G$5:$G$120="acoes"))*Inputs!$B$1+((Inputs!$G$5:$G$120&lt;&gt;"moeda")*(Inputs!$G$5:$G$120&lt;&gt;"acoes")))*INDEX(Inputs!$K$5:$AJ$120,0,MATCH(P$2,Inputs!$K$4:$AJ$4,0)))+SUMPRODUCT((Inputs!$C$5:$C$120=$B50)*Inputs!$D$5:$D$120*(((Inputs!$G$5:$G$120="moeda")+(Inputs!$G$5:$G$120="acoes"))*Inputs!$B$1+((Inputs!$G$5:$G$120&lt;&gt;"moeda")*(Inputs!$G$5:$G$120&lt;&gt;"acoes")))*INDEX(Inputs!$K$5:$AJ$120,0,MATCH(P$2,Inputs!$K$4:$AJ$4,0)))+SUMPRODUCT((Inputs!$E$5:$E$120=$B50)*Inputs!$F$5:$F$120*(((Inputs!$G$5:$G$120="moeda")+(Inputs!$G$5:$G$120="acoes"))*Inputs!$B$1+((Inputs!$G$5:$G$120&lt;&gt;"moeda")*(Inputs!$G$5:$G$120&lt;&gt;"acoes")))*INDEX(Inputs!$K$5:$AJ$120,0,MATCH(P$2,Inputs!$K$4:$AJ$4,0)))))</f>
        <v>-57.4</v>
      </c>
      <c r="Q50" s="6">
        <f>IF(ISNA(MATCH(Q$2,Inputs!$K$4:$AJ$4,0)),NA(),IF(SUMPRODUCT((Inputs!$A$5:$A$120=$B50)*ISNUMBER(INDEX(Inputs!$K$5:$AJ$120,0,MATCH(Q$2,Inputs!$K$4:$AJ$4,0))))+SUMPRODUCT((Inputs!$C$5:$C$120=$B50)*ISNUMBER(INDEX(Inputs!$K$5:$AJ$120,0,MATCH(Q$2,Inputs!$K$4:$AJ$4,0))))+SUMPRODUCT((Inputs!$E$5:$E$120=$B50)*ISNUMBER(INDEX(Inputs!$K$5:$AJ$120,0,MATCH(Q$2,Inputs!$K$4:$AJ$4,0))))=0,NA(),SUMPRODUCT((Inputs!$A$5:$A$120=$B50)*Inputs!$B$5:$B$120*(((Inputs!$G$5:$G$120="moeda")+(Inputs!$G$5:$G$120="acoes"))*Inputs!$B$1+((Inputs!$G$5:$G$120&lt;&gt;"moeda")*(Inputs!$G$5:$G$120&lt;&gt;"acoes")))*INDEX(Inputs!$K$5:$AJ$120,0,MATCH(Q$2,Inputs!$K$4:$AJ$4,0)))+SUMPRODUCT((Inputs!$C$5:$C$120=$B50)*Inputs!$D$5:$D$120*(((Inputs!$G$5:$G$120="moeda")+(Inputs!$G$5:$G$120="acoes"))*Inputs!$B$1+((Inputs!$G$5:$G$120&lt;&gt;"moeda")*(Inputs!$G$5:$G$120&lt;&gt;"acoes")))*INDEX(Inputs!$K$5:$AJ$120,0,MATCH(Q$2,Inputs!$K$4:$AJ$4,0)))+SUMPRODUCT((Inputs!$E$5:$E$120=$B50)*Inputs!$F$5:$F$120*(((Inputs!$G$5:$G$120="moeda")+(Inputs!$G$5:$G$120="acoes"))*Inputs!$B$1+((Inputs!$G$5:$G$120&lt;&gt;"moeda")*(Inputs!$G$5:$G$120&lt;&gt;"acoes")))*INDEX(Inputs!$K$5:$AJ$120,0,MATCH(Q$2,Inputs!$K$4:$AJ$4,0)))))</f>
        <v>2189.7</v>
      </c>
      <c r="R50" s="3">
        <f>SUM(N50:Q50)</f>
        <v>5240.4</v>
      </c>
      <c r="S50" s="6">
        <f>IF(ISNA(MATCH(S$2,Inputs!$K$4:$AJ$4,0)),NA(),IF(SUMPRODUCT((Inputs!$A$5:$A$120=$B50)*ISNUMBER(INDEX(Inputs!$K$5:$AJ$120,0,MATCH(S$2,Inputs!$K$4:$AJ$4,0))))+SUMPRODUCT((Inputs!$C$5:$C$120=$B50)*ISNUMBER(INDEX(Inputs!$K$5:$AJ$120,0,MATCH(S$2,Inputs!$K$4:$AJ$4,0))))+SUMPRODUCT((Inputs!$E$5:$E$120=$B50)*ISNUMBER(INDEX(Inputs!$K$5:$AJ$120,0,MATCH(S$2,Inputs!$K$4:$AJ$4,0))))=0,NA(),SUMPRODUCT((Inputs!$A$5:$A$120=$B50)*Inputs!$B$5:$B$120*(((Inputs!$G$5:$G$120="moeda")+(Inputs!$G$5:$G$120="acoes"))*Inputs!$B$1+((Inputs!$G$5:$G$120&lt;&gt;"moeda")*(Inputs!$G$5:$G$120&lt;&gt;"acoes")))*INDEX(Inputs!$K$5:$AJ$120,0,MATCH(S$2,Inputs!$K$4:$AJ$4,0)))+SUMPRODUCT((Inputs!$C$5:$C$120=$B50)*Inputs!$D$5:$D$120*(((Inputs!$G$5:$G$120="moeda")+(Inputs!$G$5:$G$120="acoes"))*Inputs!$B$1+((Inputs!$G$5:$G$120&lt;&gt;"moeda")*(Inputs!$G$5:$G$120&lt;&gt;"acoes")))*INDEX(Inputs!$K$5:$AJ$120,0,MATCH(S$2,Inputs!$K$4:$AJ$4,0)))+SUMPRODUCT((Inputs!$E$5:$E$120=$B50)*Inputs!$F$5:$F$120*(((Inputs!$G$5:$G$120="moeda")+(Inputs!$G$5:$G$120="acoes"))*Inputs!$B$1+((Inputs!$G$5:$G$120&lt;&gt;"moeda")*(Inputs!$G$5:$G$120&lt;&gt;"acoes")))*INDEX(Inputs!$K$5:$AJ$120,0,MATCH(S$2,Inputs!$K$4:$AJ$4,0)))))</f>
        <v>2242.9</v>
      </c>
      <c r="T50" s="6">
        <f>IF(ISNA(MATCH(T$2,Inputs!$K$4:$AJ$4,0)),NA(),IF(SUMPRODUCT((Inputs!$A$5:$A$120=$B50)*ISNUMBER(INDEX(Inputs!$K$5:$AJ$120,0,MATCH(T$2,Inputs!$K$4:$AJ$4,0))))+SUMPRODUCT((Inputs!$C$5:$C$120=$B50)*ISNUMBER(INDEX(Inputs!$K$5:$AJ$120,0,MATCH(T$2,Inputs!$K$4:$AJ$4,0))))+SUMPRODUCT((Inputs!$E$5:$E$120=$B50)*ISNUMBER(INDEX(Inputs!$K$5:$AJ$120,0,MATCH(T$2,Inputs!$K$4:$AJ$4,0))))=0,NA(),SUMPRODUCT((Inputs!$A$5:$A$120=$B50)*Inputs!$B$5:$B$120*(((Inputs!$G$5:$G$120="moeda")+(Inputs!$G$5:$G$120="acoes"))*Inputs!$B$1+((Inputs!$G$5:$G$120&lt;&gt;"moeda")*(Inputs!$G$5:$G$120&lt;&gt;"acoes")))*INDEX(Inputs!$K$5:$AJ$120,0,MATCH(T$2,Inputs!$K$4:$AJ$4,0)))+SUMPRODUCT((Inputs!$C$5:$C$120=$B50)*Inputs!$D$5:$D$120*(((Inputs!$G$5:$G$120="moeda")+(Inputs!$G$5:$G$120="acoes"))*Inputs!$B$1+((Inputs!$G$5:$G$120&lt;&gt;"moeda")*(Inputs!$G$5:$G$120&lt;&gt;"acoes")))*INDEX(Inputs!$K$5:$AJ$120,0,MATCH(T$2,Inputs!$K$4:$AJ$4,0)))+SUMPRODUCT((Inputs!$E$5:$E$120=$B50)*Inputs!$F$5:$F$120*(((Inputs!$G$5:$G$120="moeda")+(Inputs!$G$5:$G$120="acoes"))*Inputs!$B$1+((Inputs!$G$5:$G$120&lt;&gt;"moeda")*(Inputs!$G$5:$G$120&lt;&gt;"acoes")))*INDEX(Inputs!$K$5:$AJ$120,0,MATCH(T$2,Inputs!$K$4:$AJ$4,0)))))</f>
        <v>2967</v>
      </c>
      <c r="U50" s="6">
        <f>IF(ISNA(MATCH(U$2,Inputs!$K$4:$AJ$4,0)),NA(),IF(SUMPRODUCT((Inputs!$A$5:$A$120=$B50)*ISNUMBER(INDEX(Inputs!$K$5:$AJ$120,0,MATCH(U$2,Inputs!$K$4:$AJ$4,0))))+SUMPRODUCT((Inputs!$C$5:$C$120=$B50)*ISNUMBER(INDEX(Inputs!$K$5:$AJ$120,0,MATCH(U$2,Inputs!$K$4:$AJ$4,0))))+SUMPRODUCT((Inputs!$E$5:$E$120=$B50)*ISNUMBER(INDEX(Inputs!$K$5:$AJ$120,0,MATCH(U$2,Inputs!$K$4:$AJ$4,0))))=0,NA(),SUMPRODUCT((Inputs!$A$5:$A$120=$B50)*Inputs!$B$5:$B$120*(((Inputs!$G$5:$G$120="moeda")+(Inputs!$G$5:$G$120="acoes"))*Inputs!$B$1+((Inputs!$G$5:$G$120&lt;&gt;"moeda")*(Inputs!$G$5:$G$120&lt;&gt;"acoes")))*INDEX(Inputs!$K$5:$AJ$120,0,MATCH(U$2,Inputs!$K$4:$AJ$4,0)))+SUMPRODUCT((Inputs!$C$5:$C$120=$B50)*Inputs!$D$5:$D$120*(((Inputs!$G$5:$G$120="moeda")+(Inputs!$G$5:$G$120="acoes"))*Inputs!$B$1+((Inputs!$G$5:$G$120&lt;&gt;"moeda")*(Inputs!$G$5:$G$120&lt;&gt;"acoes")))*INDEX(Inputs!$K$5:$AJ$120,0,MATCH(U$2,Inputs!$K$4:$AJ$4,0)))+SUMPRODUCT((Inputs!$E$5:$E$120=$B50)*Inputs!$F$5:$F$120*(((Inputs!$G$5:$G$120="moeda")+(Inputs!$G$5:$G$120="acoes"))*Inputs!$B$1+((Inputs!$G$5:$G$120&lt;&gt;"moeda")*(Inputs!$G$5:$G$120&lt;&gt;"acoes")))*INDEX(Inputs!$K$5:$AJ$120,0,MATCH(U$2,Inputs!$K$4:$AJ$4,0)))))</f>
        <v>970.3</v>
      </c>
      <c r="V50" s="6">
        <f>IF(ISNA(MATCH(V$2,Inputs!$K$4:$AJ$4,0)),NA(),IF(SUMPRODUCT((Inputs!$A$5:$A$120=$B50)*ISNUMBER(INDEX(Inputs!$K$5:$AJ$120,0,MATCH(V$2,Inputs!$K$4:$AJ$4,0))))+SUMPRODUCT((Inputs!$C$5:$C$120=$B50)*ISNUMBER(INDEX(Inputs!$K$5:$AJ$120,0,MATCH(V$2,Inputs!$K$4:$AJ$4,0))))+SUMPRODUCT((Inputs!$E$5:$E$120=$B50)*ISNUMBER(INDEX(Inputs!$K$5:$AJ$120,0,MATCH(V$2,Inputs!$K$4:$AJ$4,0))))=0,NA(),SUMPRODUCT((Inputs!$A$5:$A$120=$B50)*Inputs!$B$5:$B$120*(((Inputs!$G$5:$G$120="moeda")+(Inputs!$G$5:$G$120="acoes"))*Inputs!$B$1+((Inputs!$G$5:$G$120&lt;&gt;"moeda")*(Inputs!$G$5:$G$120&lt;&gt;"acoes")))*INDEX(Inputs!$K$5:$AJ$120,0,MATCH(V$2,Inputs!$K$4:$AJ$4,0)))+SUMPRODUCT((Inputs!$C$5:$C$120=$B50)*Inputs!$D$5:$D$120*(((Inputs!$G$5:$G$120="moeda")+(Inputs!$G$5:$G$120="acoes"))*Inputs!$B$1+((Inputs!$G$5:$G$120&lt;&gt;"moeda")*(Inputs!$G$5:$G$120&lt;&gt;"acoes")))*INDEX(Inputs!$K$5:$AJ$120,0,MATCH(V$2,Inputs!$K$4:$AJ$4,0)))+SUMPRODUCT((Inputs!$E$5:$E$120=$B50)*Inputs!$F$5:$F$120*(((Inputs!$G$5:$G$120="moeda")+(Inputs!$G$5:$G$120="acoes"))*Inputs!$B$1+((Inputs!$G$5:$G$120&lt;&gt;"moeda")*(Inputs!$G$5:$G$120&lt;&gt;"acoes")))*INDEX(Inputs!$K$5:$AJ$120,0,MATCH(V$2,Inputs!$K$4:$AJ$4,0)))))</f>
        <v>4409.8</v>
      </c>
      <c r="W50" s="3">
        <f>SUM(S50:V50)</f>
        <v>10590</v>
      </c>
      <c r="X50" s="6">
        <f>IF(ISNA(MATCH(X$2,Inputs!$K$4:$AJ$4,0)),NA(),IF(SUMPRODUCT((Inputs!$A$5:$A$120=$B50)*ISNUMBER(INDEX(Inputs!$K$5:$AJ$120,0,MATCH(X$2,Inputs!$K$4:$AJ$4,0))))+SUMPRODUCT((Inputs!$C$5:$C$120=$B50)*ISNUMBER(INDEX(Inputs!$K$5:$AJ$120,0,MATCH(X$2,Inputs!$K$4:$AJ$4,0))))+SUMPRODUCT((Inputs!$E$5:$E$120=$B50)*ISNUMBER(INDEX(Inputs!$K$5:$AJ$120,0,MATCH(X$2,Inputs!$K$4:$AJ$4,0))))=0,NA(),SUMPRODUCT((Inputs!$A$5:$A$120=$B50)*Inputs!$B$5:$B$120*(((Inputs!$G$5:$G$120="moeda")+(Inputs!$G$5:$G$120="acoes"))*Inputs!$B$1+((Inputs!$G$5:$G$120&lt;&gt;"moeda")*(Inputs!$G$5:$G$120&lt;&gt;"acoes")))*INDEX(Inputs!$K$5:$AJ$120,0,MATCH(X$2,Inputs!$K$4:$AJ$4,0)))+SUMPRODUCT((Inputs!$C$5:$C$120=$B50)*Inputs!$D$5:$D$120*(((Inputs!$G$5:$G$120="moeda")+(Inputs!$G$5:$G$120="acoes"))*Inputs!$B$1+((Inputs!$G$5:$G$120&lt;&gt;"moeda")*(Inputs!$G$5:$G$120&lt;&gt;"acoes")))*INDEX(Inputs!$K$5:$AJ$120,0,MATCH(X$2,Inputs!$K$4:$AJ$4,0)))+SUMPRODUCT((Inputs!$E$5:$E$120=$B50)*Inputs!$F$5:$F$120*(((Inputs!$G$5:$G$120="moeda")+(Inputs!$G$5:$G$120="acoes"))*Inputs!$B$1+((Inputs!$G$5:$G$120&lt;&gt;"moeda")*(Inputs!$G$5:$G$120&lt;&gt;"acoes")))*INDEX(Inputs!$K$5:$AJ$120,0,MATCH(X$2,Inputs!$K$4:$AJ$4,0)))))</f>
        <v>2759</v>
      </c>
      <c r="Y50" s="6">
        <f>IF(ISNA(MATCH(Y$2,Inputs!$K$4:$AJ$4,0)),NA(),IF(SUMPRODUCT((Inputs!$A$5:$A$120=$B50)*ISNUMBER(INDEX(Inputs!$K$5:$AJ$120,0,MATCH(Y$2,Inputs!$K$4:$AJ$4,0))))+SUMPRODUCT((Inputs!$C$5:$C$120=$B50)*ISNUMBER(INDEX(Inputs!$K$5:$AJ$120,0,MATCH(Y$2,Inputs!$K$4:$AJ$4,0))))+SUMPRODUCT((Inputs!$E$5:$E$120=$B50)*ISNUMBER(INDEX(Inputs!$K$5:$AJ$120,0,MATCH(Y$2,Inputs!$K$4:$AJ$4,0))))=0,NA(),SUMPRODUCT((Inputs!$A$5:$A$120=$B50)*Inputs!$B$5:$B$120*(((Inputs!$G$5:$G$120="moeda")+(Inputs!$G$5:$G$120="acoes"))*Inputs!$B$1+((Inputs!$G$5:$G$120&lt;&gt;"moeda")*(Inputs!$G$5:$G$120&lt;&gt;"acoes")))*INDEX(Inputs!$K$5:$AJ$120,0,MATCH(Y$2,Inputs!$K$4:$AJ$4,0)))+SUMPRODUCT((Inputs!$C$5:$C$120=$B50)*Inputs!$D$5:$D$120*(((Inputs!$G$5:$G$120="moeda")+(Inputs!$G$5:$G$120="acoes"))*Inputs!$B$1+((Inputs!$G$5:$G$120&lt;&gt;"moeda")*(Inputs!$G$5:$G$120&lt;&gt;"acoes")))*INDEX(Inputs!$K$5:$AJ$120,0,MATCH(Y$2,Inputs!$K$4:$AJ$4,0)))+SUMPRODUCT((Inputs!$E$5:$E$120=$B50)*Inputs!$F$5:$F$120*(((Inputs!$G$5:$G$120="moeda")+(Inputs!$G$5:$G$120="acoes"))*Inputs!$B$1+((Inputs!$G$5:$G$120&lt;&gt;"moeda")*(Inputs!$G$5:$G$120&lt;&gt;"acoes")))*INDEX(Inputs!$K$5:$AJ$120,0,MATCH(Y$2,Inputs!$K$4:$AJ$4,0)))))</f>
        <v>5661</v>
      </c>
      <c r="Z50" s="6">
        <f>IF(ISNA(MATCH(Z$2,Inputs!$K$4:$AJ$4,0)),NA(),IF(SUMPRODUCT((Inputs!$A$5:$A$120=$B50)*ISNUMBER(INDEX(Inputs!$K$5:$AJ$120,0,MATCH(Z$2,Inputs!$K$4:$AJ$4,0))))+SUMPRODUCT((Inputs!$C$5:$C$120=$B50)*ISNUMBER(INDEX(Inputs!$K$5:$AJ$120,0,MATCH(Z$2,Inputs!$K$4:$AJ$4,0))))+SUMPRODUCT((Inputs!$E$5:$E$120=$B50)*ISNUMBER(INDEX(Inputs!$K$5:$AJ$120,0,MATCH(Z$2,Inputs!$K$4:$AJ$4,0))))=0,NA(),SUMPRODUCT((Inputs!$A$5:$A$120=$B50)*Inputs!$B$5:$B$120*(((Inputs!$G$5:$G$120="moeda")+(Inputs!$G$5:$G$120="acoes"))*Inputs!$B$1+((Inputs!$G$5:$G$120&lt;&gt;"moeda")*(Inputs!$G$5:$G$120&lt;&gt;"acoes")))*INDEX(Inputs!$K$5:$AJ$120,0,MATCH(Z$2,Inputs!$K$4:$AJ$4,0)))+SUMPRODUCT((Inputs!$C$5:$C$120=$B50)*Inputs!$D$5:$D$120*(((Inputs!$G$5:$G$120="moeda")+(Inputs!$G$5:$G$120="acoes"))*Inputs!$B$1+((Inputs!$G$5:$G$120&lt;&gt;"moeda")*(Inputs!$G$5:$G$120&lt;&gt;"acoes")))*INDEX(Inputs!$K$5:$AJ$120,0,MATCH(Z$2,Inputs!$K$4:$AJ$4,0)))+SUMPRODUCT((Inputs!$E$5:$E$120=$B50)*Inputs!$F$5:$F$120*(((Inputs!$G$5:$G$120="moeda")+(Inputs!$G$5:$G$120="acoes"))*Inputs!$B$1+((Inputs!$G$5:$G$120&lt;&gt;"moeda")*(Inputs!$G$5:$G$120&lt;&gt;"acoes")))*INDEX(Inputs!$K$5:$AJ$120,0,MATCH(Z$2,Inputs!$K$4:$AJ$4,0)))))</f>
        <v>5582.5</v>
      </c>
      <c r="AA50" s="6">
        <f>IF(ISNA(MATCH(AA$2,Inputs!$K$4:$AJ$4,0)),NA(),IF(SUMPRODUCT((Inputs!$A$5:$A$120=$B50)*ISNUMBER(INDEX(Inputs!$K$5:$AJ$120,0,MATCH(AA$2,Inputs!$K$4:$AJ$4,0))))+SUMPRODUCT((Inputs!$C$5:$C$120=$B50)*ISNUMBER(INDEX(Inputs!$K$5:$AJ$120,0,MATCH(AA$2,Inputs!$K$4:$AJ$4,0))))+SUMPRODUCT((Inputs!$E$5:$E$120=$B50)*ISNUMBER(INDEX(Inputs!$K$5:$AJ$120,0,MATCH(AA$2,Inputs!$K$4:$AJ$4,0))))=0,NA(),SUMPRODUCT((Inputs!$A$5:$A$120=$B50)*Inputs!$B$5:$B$120*(((Inputs!$G$5:$G$120="moeda")+(Inputs!$G$5:$G$120="acoes"))*Inputs!$B$1+((Inputs!$G$5:$G$120&lt;&gt;"moeda")*(Inputs!$G$5:$G$120&lt;&gt;"acoes")))*INDEX(Inputs!$K$5:$AJ$120,0,MATCH(AA$2,Inputs!$K$4:$AJ$4,0)))+SUMPRODUCT((Inputs!$C$5:$C$120=$B50)*Inputs!$D$5:$D$120*(((Inputs!$G$5:$G$120="moeda")+(Inputs!$G$5:$G$120="acoes"))*Inputs!$B$1+((Inputs!$G$5:$G$120&lt;&gt;"moeda")*(Inputs!$G$5:$G$120&lt;&gt;"acoes")))*INDEX(Inputs!$K$5:$AJ$120,0,MATCH(AA$2,Inputs!$K$4:$AJ$4,0)))+SUMPRODUCT((Inputs!$E$5:$E$120=$B50)*Inputs!$F$5:$F$120*(((Inputs!$G$5:$G$120="moeda")+(Inputs!$G$5:$G$120="acoes"))*Inputs!$B$1+((Inputs!$G$5:$G$120&lt;&gt;"moeda")*(Inputs!$G$5:$G$120&lt;&gt;"acoes")))*INDEX(Inputs!$K$5:$AJ$120,0,MATCH(AA$2,Inputs!$K$4:$AJ$4,0)))))</f>
        <v>6637.7</v>
      </c>
      <c r="AB50" s="3">
        <f>SUM(X50:AA50)</f>
        <v>20640.2</v>
      </c>
      <c r="AC50" s="6">
        <f>IF(ISNA(MATCH(AC$2,Inputs!$K$4:$AJ$4,0)),NA(),IF(SUMPRODUCT((Inputs!$A$5:$A$120=$B50)*ISNUMBER(INDEX(Inputs!$K$5:$AJ$120,0,MATCH(AC$2,Inputs!$K$4:$AJ$4,0))))+SUMPRODUCT((Inputs!$C$5:$C$120=$B50)*ISNUMBER(INDEX(Inputs!$K$5:$AJ$120,0,MATCH(AC$2,Inputs!$K$4:$AJ$4,0))))+SUMPRODUCT((Inputs!$E$5:$E$120=$B50)*ISNUMBER(INDEX(Inputs!$K$5:$AJ$120,0,MATCH(AC$2,Inputs!$K$4:$AJ$4,0))))=0,NA(),SUMPRODUCT((Inputs!$A$5:$A$120=$B50)*Inputs!$B$5:$B$120*(((Inputs!$G$5:$G$120="moeda")+(Inputs!$G$5:$G$120="acoes"))*Inputs!$B$1+((Inputs!$G$5:$G$120&lt;&gt;"moeda")*(Inputs!$G$5:$G$120&lt;&gt;"acoes")))*INDEX(Inputs!$K$5:$AJ$120,0,MATCH(AC$2,Inputs!$K$4:$AJ$4,0)))+SUMPRODUCT((Inputs!$C$5:$C$120=$B50)*Inputs!$D$5:$D$120*(((Inputs!$G$5:$G$120="moeda")+(Inputs!$G$5:$G$120="acoes"))*Inputs!$B$1+((Inputs!$G$5:$G$120&lt;&gt;"moeda")*(Inputs!$G$5:$G$120&lt;&gt;"acoes")))*INDEX(Inputs!$K$5:$AJ$120,0,MATCH(AC$2,Inputs!$K$4:$AJ$4,0)))+SUMPRODUCT((Inputs!$E$5:$E$120=$B50)*Inputs!$F$5:$F$120*(((Inputs!$G$5:$G$120="moeda")+(Inputs!$G$5:$G$120="acoes"))*Inputs!$B$1+((Inputs!$G$5:$G$120&lt;&gt;"moeda")*(Inputs!$G$5:$G$120&lt;&gt;"acoes")))*INDEX(Inputs!$K$5:$AJ$120,0,MATCH(AC$2,Inputs!$K$4:$AJ$4,0)))))</f>
        <v>7396</v>
      </c>
      <c r="AD50" s="6">
        <f>IF(ISNA(MATCH(AD$2,Inputs!$K$4:$AJ$4,0)),NA(),IF(SUMPRODUCT((Inputs!$A$5:$A$120=$B50)*ISNUMBER(INDEX(Inputs!$K$5:$AJ$120,0,MATCH(AD$2,Inputs!$K$4:$AJ$4,0))))+SUMPRODUCT((Inputs!$C$5:$C$120=$B50)*ISNUMBER(INDEX(Inputs!$K$5:$AJ$120,0,MATCH(AD$2,Inputs!$K$4:$AJ$4,0))))+SUMPRODUCT((Inputs!$E$5:$E$120=$B50)*ISNUMBER(INDEX(Inputs!$K$5:$AJ$120,0,MATCH(AD$2,Inputs!$K$4:$AJ$4,0))))=0,NA(),SUMPRODUCT((Inputs!$A$5:$A$120=$B50)*Inputs!$B$5:$B$120*(((Inputs!$G$5:$G$120="moeda")+(Inputs!$G$5:$G$120="acoes"))*Inputs!$B$1+((Inputs!$G$5:$G$120&lt;&gt;"moeda")*(Inputs!$G$5:$G$120&lt;&gt;"acoes")))*INDEX(Inputs!$K$5:$AJ$120,0,MATCH(AD$2,Inputs!$K$4:$AJ$4,0)))+SUMPRODUCT((Inputs!$C$5:$C$120=$B50)*Inputs!$D$5:$D$120*(((Inputs!$G$5:$G$120="moeda")+(Inputs!$G$5:$G$120="acoes"))*Inputs!$B$1+((Inputs!$G$5:$G$120&lt;&gt;"moeda")*(Inputs!$G$5:$G$120&lt;&gt;"acoes")))*INDEX(Inputs!$K$5:$AJ$120,0,MATCH(AD$2,Inputs!$K$4:$AJ$4,0)))+SUMPRODUCT((Inputs!$E$5:$E$120=$B50)*Inputs!$F$5:$F$120*(((Inputs!$G$5:$G$120="moeda")+(Inputs!$G$5:$G$120="acoes"))*Inputs!$B$1+((Inputs!$G$5:$G$120&lt;&gt;"moeda")*(Inputs!$G$5:$G$120&lt;&gt;"acoes")))*INDEX(Inputs!$K$5:$AJ$120,0,MATCH(AD$2,Inputs!$K$4:$AJ$4,0)))))</f>
        <v>7095</v>
      </c>
      <c r="AE50" s="6" t="e">
        <f>IF(ISNA(MATCH(AE$2,Inputs!$K$4:$AJ$4,0)),NA(),IF(SUMPRODUCT((Inputs!$A$5:$A$120=$B50)*ISNUMBER(INDEX(Inputs!$K$5:$AJ$120,0,MATCH(AE$2,Inputs!$K$4:$AJ$4,0))))+SUMPRODUCT((Inputs!$C$5:$C$120=$B50)*ISNUMBER(INDEX(Inputs!$K$5:$AJ$120,0,MATCH(AE$2,Inputs!$K$4:$AJ$4,0))))+SUMPRODUCT((Inputs!$E$5:$E$120=$B50)*ISNUMBER(INDEX(Inputs!$K$5:$AJ$120,0,MATCH(AE$2,Inputs!$K$4:$AJ$4,0))))=0,NA(),SUMPRODUCT((Inputs!$A$5:$A$120=$B50)*Inputs!$B$5:$B$120*(((Inputs!$G$5:$G$120="moeda")+(Inputs!$G$5:$G$120="acoes"))*Inputs!$B$1+((Inputs!$G$5:$G$120&lt;&gt;"moeda")*(Inputs!$G$5:$G$120&lt;&gt;"acoes")))*INDEX(Inputs!$K$5:$AJ$120,0,MATCH(AE$2,Inputs!$K$4:$AJ$4,0)))+SUMPRODUCT((Inputs!$C$5:$C$120=$B50)*Inputs!$D$5:$D$120*(((Inputs!$G$5:$G$120="moeda")+(Inputs!$G$5:$G$120="acoes"))*Inputs!$B$1+((Inputs!$G$5:$G$120&lt;&gt;"moeda")*(Inputs!$G$5:$G$120&lt;&gt;"acoes")))*INDEX(Inputs!$K$5:$AJ$120,0,MATCH(AE$2,Inputs!$K$4:$AJ$4,0)))+SUMPRODUCT((Inputs!$E$5:$E$120=$B50)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0" s="6" t="e">
        <f>IF(ISNA(MATCH(AF$2,Inputs!$K$4:$AJ$4,0)),NA(),IF(SUMPRODUCT((Inputs!$A$5:$A$120=$B50)*ISNUMBER(INDEX(Inputs!$K$5:$AJ$120,0,MATCH(AF$2,Inputs!$K$4:$AJ$4,0))))+SUMPRODUCT((Inputs!$C$5:$C$120=$B50)*ISNUMBER(INDEX(Inputs!$K$5:$AJ$120,0,MATCH(AF$2,Inputs!$K$4:$AJ$4,0))))+SUMPRODUCT((Inputs!$E$5:$E$120=$B50)*ISNUMBER(INDEX(Inputs!$K$5:$AJ$120,0,MATCH(AF$2,Inputs!$K$4:$AJ$4,0))))=0,NA(),SUMPRODUCT((Inputs!$A$5:$A$120=$B50)*Inputs!$B$5:$B$120*(((Inputs!$G$5:$G$120="moeda")+(Inputs!$G$5:$G$120="acoes"))*Inputs!$B$1+((Inputs!$G$5:$G$120&lt;&gt;"moeda")*(Inputs!$G$5:$G$120&lt;&gt;"acoes")))*INDEX(Inputs!$K$5:$AJ$120,0,MATCH(AF$2,Inputs!$K$4:$AJ$4,0)))+SUMPRODUCT((Inputs!$C$5:$C$120=$B50)*Inputs!$D$5:$D$120*(((Inputs!$G$5:$G$120="moeda")+(Inputs!$G$5:$G$120="acoes"))*Inputs!$B$1+((Inputs!$G$5:$G$120&lt;&gt;"moeda")*(Inputs!$G$5:$G$120&lt;&gt;"acoes")))*INDEX(Inputs!$K$5:$AJ$120,0,MATCH(AF$2,Inputs!$K$4:$AJ$4,0)))+SUMPRODUCT((Inputs!$E$5:$E$120=$B50)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0" s="3" t="e">
        <f>SUM(AC50:AF50)</f>
        <v>#N/A</v>
      </c>
      <c r="AH50">
        <f>IF(ISNA(MATCH(AH$2,Inputs!$K$4:$AJ$4,0)),NA(),IF(SUMPRODUCT((Inputs!$A$5:$A$120=$B50)*ISNUMBER(INDEX(Inputs!$K$5:$AJ$120,0,MATCH(AH$2,Inputs!$K$4:$AJ$4,0))))+SUMPRODUCT((Inputs!$C$5:$C$120=$B50)*ISNUMBER(INDEX(Inputs!$K$5:$AJ$120,0,MATCH(AH$2,Inputs!$K$4:$AJ$4,0))))+SUMPRODUCT((Inputs!$E$5:$E$120=$B50)*ISNUMBER(INDEX(Inputs!$K$5:$AJ$120,0,MATCH(AH$2,Inputs!$K$4:$AJ$4,0))))=0,NA(),SUMPRODUCT((Inputs!$A$5:$A$120=$B50)*Inputs!$B$5:$B$120*(((Inputs!$G$5:$G$120="moeda")+(Inputs!$G$5:$G$120="acoes"))*Inputs!$B$1+((Inputs!$G$5:$G$120&lt;&gt;"moeda")*(Inputs!$G$5:$G$120&lt;&gt;"acoes")))*INDEX(Inputs!$K$5:$AJ$120,0,MATCH(AH$2,Inputs!$K$4:$AJ$4,0)))+SUMPRODUCT((Inputs!$C$5:$C$120=$B50)*Inputs!$D$5:$D$120*(((Inputs!$G$5:$G$120="moeda")+(Inputs!$G$5:$G$120="acoes"))*Inputs!$B$1+((Inputs!$G$5:$G$120&lt;&gt;"moeda")*(Inputs!$G$5:$G$120&lt;&gt;"acoes")))*INDEX(Inputs!$K$5:$AJ$120,0,MATCH(AH$2,Inputs!$K$4:$AJ$4,0)))+SUMPRODUCT((Inputs!$E$5:$E$120=$B50)*Inputs!$F$5:$F$120*(((Inputs!$G$5:$G$120="moeda")+(Inputs!$G$5:$G$120="acoes"))*Inputs!$B$1+((Inputs!$G$5:$G$120&lt;&gt;"moeda")*(Inputs!$G$5:$G$120&lt;&gt;"acoes")))*INDEX(Inputs!$K$5:$AJ$120,0,MATCH(AH$2,Inputs!$K$4:$AJ$4,0)))))</f>
        <v>1456.5</v>
      </c>
      <c r="AI50">
        <f>IF(ISNA(MATCH(AI$2,Inputs!$K$4:$AJ$4,0)),NA(),IF(SUMPRODUCT((Inputs!$A$5:$A$120=$B50)*ISNUMBER(INDEX(Inputs!$K$5:$AJ$120,0,MATCH(AI$2,Inputs!$K$4:$AJ$4,0))))+SUMPRODUCT((Inputs!$C$5:$C$120=$B50)*ISNUMBER(INDEX(Inputs!$K$5:$AJ$120,0,MATCH(AI$2,Inputs!$K$4:$AJ$4,0))))+SUMPRODUCT((Inputs!$E$5:$E$120=$B50)*ISNUMBER(INDEX(Inputs!$K$5:$AJ$120,0,MATCH(AI$2,Inputs!$K$4:$AJ$4,0))))=0,NA(),SUMPRODUCT((Inputs!$A$5:$A$120=$B50)*Inputs!$B$5:$B$120*(((Inputs!$G$5:$G$120="moeda")+(Inputs!$G$5:$G$120="acoes"))*Inputs!$B$1+((Inputs!$G$5:$G$120&lt;&gt;"moeda")*(Inputs!$G$5:$G$120&lt;&gt;"acoes")))*INDEX(Inputs!$K$5:$AJ$120,0,MATCH(AI$2,Inputs!$K$4:$AJ$4,0)))+SUMPRODUCT((Inputs!$C$5:$C$120=$B50)*Inputs!$D$5:$D$120*(((Inputs!$G$5:$G$120="moeda")+(Inputs!$G$5:$G$120="acoes"))*Inputs!$B$1+((Inputs!$G$5:$G$120&lt;&gt;"moeda")*(Inputs!$G$5:$G$120&lt;&gt;"acoes")))*INDEX(Inputs!$K$5:$AJ$120,0,MATCH(AI$2,Inputs!$K$4:$AJ$4,0)))+SUMPRODUCT((Inputs!$E$5:$E$120=$B50)*Inputs!$F$5:$F$120*(((Inputs!$G$5:$G$120="moeda")+(Inputs!$G$5:$G$120="acoes"))*Inputs!$B$1+((Inputs!$G$5:$G$120&lt;&gt;"moeda")*(Inputs!$G$5:$G$120&lt;&gt;"acoes")))*INDEX(Inputs!$K$5:$AJ$120,0,MATCH(AI$2,Inputs!$K$4:$AJ$4,0)))))</f>
        <v>1412</v>
      </c>
      <c r="AJ50">
        <f>IF(ISNA(MATCH(AJ$2,Inputs!$K$4:$AJ$4,0)),NA(),IF(SUMPRODUCT((Inputs!$A$5:$A$120=$B50)*ISNUMBER(INDEX(Inputs!$K$5:$AJ$120,0,MATCH(AJ$2,Inputs!$K$4:$AJ$4,0))))+SUMPRODUCT((Inputs!$C$5:$C$120=$B50)*ISNUMBER(INDEX(Inputs!$K$5:$AJ$120,0,MATCH(AJ$2,Inputs!$K$4:$AJ$4,0))))+SUMPRODUCT((Inputs!$E$5:$E$120=$B50)*ISNUMBER(INDEX(Inputs!$K$5:$AJ$120,0,MATCH(AJ$2,Inputs!$K$4:$AJ$4,0))))=0,NA(),SUMPRODUCT((Inputs!$A$5:$A$120=$B50)*Inputs!$B$5:$B$120*(((Inputs!$G$5:$G$120="moeda")+(Inputs!$G$5:$G$120="acoes"))*Inputs!$B$1+((Inputs!$G$5:$G$120&lt;&gt;"moeda")*(Inputs!$G$5:$G$120&lt;&gt;"acoes")))*INDEX(Inputs!$K$5:$AJ$120,0,MATCH(AJ$2,Inputs!$K$4:$AJ$4,0)))+SUMPRODUCT((Inputs!$C$5:$C$120=$B50)*Inputs!$D$5:$D$120*(((Inputs!$G$5:$G$120="moeda")+(Inputs!$G$5:$G$120="acoes"))*Inputs!$B$1+((Inputs!$G$5:$G$120&lt;&gt;"moeda")*(Inputs!$G$5:$G$120&lt;&gt;"acoes")))*INDEX(Inputs!$K$5:$AJ$120,0,MATCH(AJ$2,Inputs!$K$4:$AJ$4,0)))+SUMPRODUCT((Inputs!$E$5:$E$120=$B50)*Inputs!$F$5:$F$120*(((Inputs!$G$5:$G$120="moeda")+(Inputs!$G$5:$G$120="acoes"))*Inputs!$B$1+((Inputs!$G$5:$G$120&lt;&gt;"moeda")*(Inputs!$G$5:$G$120&lt;&gt;"acoes")))*INDEX(Inputs!$K$5:$AJ$120,0,MATCH(AJ$2,Inputs!$K$4:$AJ$4,0)))))</f>
        <v>1208.4</v>
      </c>
      <c r="AK50">
        <f>IF(ISNA(MATCH(AK$2,Inputs!$K$4:$AJ$4,0)),NA(),IF(SUMPRODUCT((Inputs!$A$5:$A$120=$B50)*ISNUMBER(INDEX(Inputs!$K$5:$AJ$120,0,MATCH(AK$2,Inputs!$K$4:$AJ$4,0))))+SUMPRODUCT((Inputs!$C$5:$C$120=$B50)*ISNUMBER(INDEX(Inputs!$K$5:$AJ$120,0,MATCH(AK$2,Inputs!$K$4:$AJ$4,0))))+SUMPRODUCT((Inputs!$E$5:$E$120=$B50)*ISNUMBER(INDEX(Inputs!$K$5:$AJ$120,0,MATCH(AK$2,Inputs!$K$4:$AJ$4,0))))=0,NA(),SUMPRODUCT((Inputs!$A$5:$A$120=$B50)*Inputs!$B$5:$B$120*(((Inputs!$G$5:$G$120="moeda")+(Inputs!$G$5:$G$120="acoes"))*Inputs!$B$1+((Inputs!$G$5:$G$120&lt;&gt;"moeda")*(Inputs!$G$5:$G$120&lt;&gt;"acoes")))*INDEX(Inputs!$K$5:$AJ$120,0,MATCH(AK$2,Inputs!$K$4:$AJ$4,0)))+SUMPRODUCT((Inputs!$C$5:$C$120=$B50)*Inputs!$D$5:$D$120*(((Inputs!$G$5:$G$120="moeda")+(Inputs!$G$5:$G$120="acoes"))*Inputs!$B$1+((Inputs!$G$5:$G$120&lt;&gt;"moeda")*(Inputs!$G$5:$G$120&lt;&gt;"acoes")))*INDEX(Inputs!$K$5:$AJ$120,0,MATCH(AK$2,Inputs!$K$4:$AJ$4,0)))+SUMPRODUCT((Inputs!$E$5:$E$120=$B50)*Inputs!$F$5:$F$120*(((Inputs!$G$5:$G$120="moeda")+(Inputs!$G$5:$G$120="acoes"))*Inputs!$B$1+((Inputs!$G$5:$G$120&lt;&gt;"moeda")*(Inputs!$G$5:$G$120&lt;&gt;"acoes")))*INDEX(Inputs!$K$5:$AJ$120,0,MATCH(AK$2,Inputs!$K$4:$AJ$4,0)))))</f>
        <v>2116.8</v>
      </c>
      <c r="AL50">
        <f>SUM(AH50:AK50)</f>
        <v>6193.7</v>
      </c>
    </row>
    <row r="52">
      <c r="C52" s="254" t="inlineStr">
        <is>
          <t>Drivers de receita (memo) - codigos 45+ [Model, bloco abaixo da receita liquida]</t>
        </is>
      </c>
    </row>
    <row r="53">
      <c r="B53" s="46" t="n">
        <v>45</v>
      </c>
      <c r="C53" s="29" t="inlineStr">
        <is>
          <t>Receita Mounjaro (USD)</t>
        </is>
      </c>
      <c r="D53" s="263" t="e">
        <f>IF(ISNA(MATCH(D$2,Inputs!$K$4:$AJ$4,0)),NA(),IF(SUMPRODUCT((Inputs!$A$5:$A$120=$B53)*ISNUMBER(INDEX(Inputs!$K$5:$AJ$120,0,MATCH(D$2,Inputs!$K$4:$AJ$4,0))))+SUMPRODUCT((Inputs!$C$5:$C$120=$B53)*ISNUMBER(INDEX(Inputs!$K$5:$AJ$120,0,MATCH(D$2,Inputs!$K$4:$AJ$4,0))))+SUMPRODUCT((Inputs!$E$5:$E$120=$B53)*ISNUMBER(INDEX(Inputs!$K$5:$AJ$120,0,MATCH(D$2,Inputs!$K$4:$AJ$4,0))))=0,NA(),SUMPRODUCT((Inputs!$A$5:$A$120=$B53)*Inputs!$B$5:$B$120*(((Inputs!$G$5:$G$120="moeda")+(Inputs!$G$5:$G$120="acoes"))*Inputs!$B$1+((Inputs!$G$5:$G$120&lt;&gt;"moeda")*(Inputs!$G$5:$G$120&lt;&gt;"acoes")))*INDEX(Inputs!$K$5:$AJ$120,0,MATCH(D$2,Inputs!$K$4:$AJ$4,0)))+SUMPRODUCT((Inputs!$C$5:$C$120=$B53)*Inputs!$D$5:$D$120*(((Inputs!$G$5:$G$120="moeda")+(Inputs!$G$5:$G$120="acoes"))*Inputs!$B$1+((Inputs!$G$5:$G$120&lt;&gt;"moeda")*(Inputs!$G$5:$G$120&lt;&gt;"acoes")))*INDEX(Inputs!$K$5:$AJ$120,0,MATCH(D$2,Inputs!$K$4:$AJ$4,0)))+SUMPRODUCT((Inputs!$E$5:$E$120=$B53)*Inputs!$F$5:$F$120*(((Inputs!$G$5:$G$120="moeda")+(Inputs!$G$5:$G$120="acoes"))*Inputs!$B$1+((Inputs!$G$5:$G$120&lt;&gt;"moeda")*(Inputs!$G$5:$G$120&lt;&gt;"acoes")))*INDEX(Inputs!$K$5:$AJ$120,0,MATCH(D$2,Inputs!$K$4:$AJ$4,0)))))</f>
        <v>#N/A</v>
      </c>
      <c r="E53" s="263" t="e">
        <f>IF(ISNA(MATCH(E$2,Inputs!$K$4:$AJ$4,0)),NA(),IF(SUMPRODUCT((Inputs!$A$5:$A$120=$B53)*ISNUMBER(INDEX(Inputs!$K$5:$AJ$120,0,MATCH(E$2,Inputs!$K$4:$AJ$4,0))))+SUMPRODUCT((Inputs!$C$5:$C$120=$B53)*ISNUMBER(INDEX(Inputs!$K$5:$AJ$120,0,MATCH(E$2,Inputs!$K$4:$AJ$4,0))))+SUMPRODUCT((Inputs!$E$5:$E$120=$B53)*ISNUMBER(INDEX(Inputs!$K$5:$AJ$120,0,MATCH(E$2,Inputs!$K$4:$AJ$4,0))))=0,NA(),SUMPRODUCT((Inputs!$A$5:$A$120=$B53)*Inputs!$B$5:$B$120*(((Inputs!$G$5:$G$120="moeda")+(Inputs!$G$5:$G$120="acoes"))*Inputs!$B$1+((Inputs!$G$5:$G$120&lt;&gt;"moeda")*(Inputs!$G$5:$G$120&lt;&gt;"acoes")))*INDEX(Inputs!$K$5:$AJ$120,0,MATCH(E$2,Inputs!$K$4:$AJ$4,0)))+SUMPRODUCT((Inputs!$C$5:$C$120=$B53)*Inputs!$D$5:$D$120*(((Inputs!$G$5:$G$120="moeda")+(Inputs!$G$5:$G$120="acoes"))*Inputs!$B$1+((Inputs!$G$5:$G$120&lt;&gt;"moeda")*(Inputs!$G$5:$G$120&lt;&gt;"acoes")))*INDEX(Inputs!$K$5:$AJ$120,0,MATCH(E$2,Inputs!$K$4:$AJ$4,0)))+SUMPRODUCT((Inputs!$E$5:$E$120=$B53)*Inputs!$F$5:$F$120*(((Inputs!$G$5:$G$120="moeda")+(Inputs!$G$5:$G$120="acoes"))*Inputs!$B$1+((Inputs!$G$5:$G$120&lt;&gt;"moeda")*(Inputs!$G$5:$G$120&lt;&gt;"acoes")))*INDEX(Inputs!$K$5:$AJ$120,0,MATCH(E$2,Inputs!$K$4:$AJ$4,0)))))</f>
        <v>#N/A</v>
      </c>
      <c r="F53" s="263">
        <f>IF(ISNA(MATCH(F$2,Inputs!$K$4:$AJ$4,0)),NA(),IF(SUMPRODUCT((Inputs!$A$5:$A$120=$B53)*ISNUMBER(INDEX(Inputs!$K$5:$AJ$120,0,MATCH(F$2,Inputs!$K$4:$AJ$4,0))))+SUMPRODUCT((Inputs!$C$5:$C$120=$B53)*ISNUMBER(INDEX(Inputs!$K$5:$AJ$120,0,MATCH(F$2,Inputs!$K$4:$AJ$4,0))))+SUMPRODUCT((Inputs!$E$5:$E$120=$B53)*ISNUMBER(INDEX(Inputs!$K$5:$AJ$120,0,MATCH(F$2,Inputs!$K$4:$AJ$4,0))))=0,NA(),SUMPRODUCT((Inputs!$A$5:$A$120=$B53)*Inputs!$B$5:$B$120*(((Inputs!$G$5:$G$120="moeda")+(Inputs!$G$5:$G$120="acoes"))*Inputs!$B$1+((Inputs!$G$5:$G$120&lt;&gt;"moeda")*(Inputs!$G$5:$G$120&lt;&gt;"acoes")))*INDEX(Inputs!$K$5:$AJ$120,0,MATCH(F$2,Inputs!$K$4:$AJ$4,0)))+SUMPRODUCT((Inputs!$C$5:$C$120=$B53)*Inputs!$D$5:$D$120*(((Inputs!$G$5:$G$120="moeda")+(Inputs!$G$5:$G$120="acoes"))*Inputs!$B$1+((Inputs!$G$5:$G$120&lt;&gt;"moeda")*(Inputs!$G$5:$G$120&lt;&gt;"acoes")))*INDEX(Inputs!$K$5:$AJ$120,0,MATCH(F$2,Inputs!$K$4:$AJ$4,0)))+SUMPRODUCT((Inputs!$E$5:$E$120=$B53)*Inputs!$F$5:$F$120*(((Inputs!$G$5:$G$120="moeda")+(Inputs!$G$5:$G$120="acoes"))*Inputs!$B$1+((Inputs!$G$5:$G$120&lt;&gt;"moeda")*(Inputs!$G$5:$G$120&lt;&gt;"acoes")))*INDEX(Inputs!$K$5:$AJ$120,0,MATCH(F$2,Inputs!$K$4:$AJ$4,0)))))</f>
        <v>0</v>
      </c>
      <c r="G53" s="263">
        <f>IF(ISNA(MATCH(G$2,Inputs!$K$4:$AJ$4,0)),NA(),IF(SUMPRODUCT((Inputs!$A$5:$A$120=$B53)*ISNUMBER(INDEX(Inputs!$K$5:$AJ$120,0,MATCH(G$2,Inputs!$K$4:$AJ$4,0))))+SUMPRODUCT((Inputs!$C$5:$C$120=$B53)*ISNUMBER(INDEX(Inputs!$K$5:$AJ$120,0,MATCH(G$2,Inputs!$K$4:$AJ$4,0))))+SUMPRODUCT((Inputs!$E$5:$E$120=$B53)*ISNUMBER(INDEX(Inputs!$K$5:$AJ$120,0,MATCH(G$2,Inputs!$K$4:$AJ$4,0))))=0,NA(),SUMPRODUCT((Inputs!$A$5:$A$120=$B53)*Inputs!$B$5:$B$120*(((Inputs!$G$5:$G$120="moeda")+(Inputs!$G$5:$G$120="acoes"))*Inputs!$B$1+((Inputs!$G$5:$G$120&lt;&gt;"moeda")*(Inputs!$G$5:$G$120&lt;&gt;"acoes")))*INDEX(Inputs!$K$5:$AJ$120,0,MATCH(G$2,Inputs!$K$4:$AJ$4,0)))+SUMPRODUCT((Inputs!$C$5:$C$120=$B53)*Inputs!$D$5:$D$120*(((Inputs!$G$5:$G$120="moeda")+(Inputs!$G$5:$G$120="acoes"))*Inputs!$B$1+((Inputs!$G$5:$G$120&lt;&gt;"moeda")*(Inputs!$G$5:$G$120&lt;&gt;"acoes")))*INDEX(Inputs!$K$5:$AJ$120,0,MATCH(G$2,Inputs!$K$4:$AJ$4,0)))+SUMPRODUCT((Inputs!$E$5:$E$120=$B53)*Inputs!$F$5:$F$120*(((Inputs!$G$5:$G$120="moeda")+(Inputs!$G$5:$G$120="acoes"))*Inputs!$B$1+((Inputs!$G$5:$G$120&lt;&gt;"moeda")*(Inputs!$G$5:$G$120&lt;&gt;"acoes")))*INDEX(Inputs!$K$5:$AJ$120,0,MATCH(G$2,Inputs!$K$4:$AJ$4,0)))))</f>
        <v>0</v>
      </c>
      <c r="H53" s="264" t="e">
        <f>SUM(D53:G53)</f>
        <v>#N/A</v>
      </c>
      <c r="I53" s="263">
        <f>IF(ISNA(MATCH(I$2,Inputs!$K$4:$AJ$4,0)),NA(),IF(SUMPRODUCT((Inputs!$A$5:$A$120=$B53)*ISNUMBER(INDEX(Inputs!$K$5:$AJ$120,0,MATCH(I$2,Inputs!$K$4:$AJ$4,0))))+SUMPRODUCT((Inputs!$C$5:$C$120=$B53)*ISNUMBER(INDEX(Inputs!$K$5:$AJ$120,0,MATCH(I$2,Inputs!$K$4:$AJ$4,0))))+SUMPRODUCT((Inputs!$E$5:$E$120=$B53)*ISNUMBER(INDEX(Inputs!$K$5:$AJ$120,0,MATCH(I$2,Inputs!$K$4:$AJ$4,0))))=0,NA(),SUMPRODUCT((Inputs!$A$5:$A$120=$B53)*Inputs!$B$5:$B$120*(((Inputs!$G$5:$G$120="moeda")+(Inputs!$G$5:$G$120="acoes"))*Inputs!$B$1+((Inputs!$G$5:$G$120&lt;&gt;"moeda")*(Inputs!$G$5:$G$120&lt;&gt;"acoes")))*INDEX(Inputs!$K$5:$AJ$120,0,MATCH(I$2,Inputs!$K$4:$AJ$4,0)))+SUMPRODUCT((Inputs!$C$5:$C$120=$B53)*Inputs!$D$5:$D$120*(((Inputs!$G$5:$G$120="moeda")+(Inputs!$G$5:$G$120="acoes"))*Inputs!$B$1+((Inputs!$G$5:$G$120&lt;&gt;"moeda")*(Inputs!$G$5:$G$120&lt;&gt;"acoes")))*INDEX(Inputs!$K$5:$AJ$120,0,MATCH(I$2,Inputs!$K$4:$AJ$4,0)))+SUMPRODUCT((Inputs!$E$5:$E$120=$B53)*Inputs!$F$5:$F$120*(((Inputs!$G$5:$G$120="moeda")+(Inputs!$G$5:$G$120="acoes"))*Inputs!$B$1+((Inputs!$G$5:$G$120&lt;&gt;"moeda")*(Inputs!$G$5:$G$120&lt;&gt;"acoes")))*INDEX(Inputs!$K$5:$AJ$120,0,MATCH(I$2,Inputs!$K$4:$AJ$4,0)))))</f>
        <v>0</v>
      </c>
      <c r="J53" s="263">
        <f>IF(ISNA(MATCH(J$2,Inputs!$K$4:$AJ$4,0)),NA(),IF(SUMPRODUCT((Inputs!$A$5:$A$120=$B53)*ISNUMBER(INDEX(Inputs!$K$5:$AJ$120,0,MATCH(J$2,Inputs!$K$4:$AJ$4,0))))+SUMPRODUCT((Inputs!$C$5:$C$120=$B53)*ISNUMBER(INDEX(Inputs!$K$5:$AJ$120,0,MATCH(J$2,Inputs!$K$4:$AJ$4,0))))+SUMPRODUCT((Inputs!$E$5:$E$120=$B53)*ISNUMBER(INDEX(Inputs!$K$5:$AJ$120,0,MATCH(J$2,Inputs!$K$4:$AJ$4,0))))=0,NA(),SUMPRODUCT((Inputs!$A$5:$A$120=$B53)*Inputs!$B$5:$B$120*(((Inputs!$G$5:$G$120="moeda")+(Inputs!$G$5:$G$120="acoes"))*Inputs!$B$1+((Inputs!$G$5:$G$120&lt;&gt;"moeda")*(Inputs!$G$5:$G$120&lt;&gt;"acoes")))*INDEX(Inputs!$K$5:$AJ$120,0,MATCH(J$2,Inputs!$K$4:$AJ$4,0)))+SUMPRODUCT((Inputs!$C$5:$C$120=$B53)*Inputs!$D$5:$D$120*(((Inputs!$G$5:$G$120="moeda")+(Inputs!$G$5:$G$120="acoes"))*Inputs!$B$1+((Inputs!$G$5:$G$120&lt;&gt;"moeda")*(Inputs!$G$5:$G$120&lt;&gt;"acoes")))*INDEX(Inputs!$K$5:$AJ$120,0,MATCH(J$2,Inputs!$K$4:$AJ$4,0)))+SUMPRODUCT((Inputs!$E$5:$E$120=$B53)*Inputs!$F$5:$F$120*(((Inputs!$G$5:$G$120="moeda")+(Inputs!$G$5:$G$120="acoes"))*Inputs!$B$1+((Inputs!$G$5:$G$120&lt;&gt;"moeda")*(Inputs!$G$5:$G$120&lt;&gt;"acoes")))*INDEX(Inputs!$K$5:$AJ$120,0,MATCH(J$2,Inputs!$K$4:$AJ$4,0)))))</f>
        <v>16</v>
      </c>
      <c r="K53" s="263">
        <f>IF(ISNA(MATCH(K$2,Inputs!$K$4:$AJ$4,0)),NA(),IF(SUMPRODUCT((Inputs!$A$5:$A$120=$B53)*ISNUMBER(INDEX(Inputs!$K$5:$AJ$120,0,MATCH(K$2,Inputs!$K$4:$AJ$4,0))))+SUMPRODUCT((Inputs!$C$5:$C$120=$B53)*ISNUMBER(INDEX(Inputs!$K$5:$AJ$120,0,MATCH(K$2,Inputs!$K$4:$AJ$4,0))))+SUMPRODUCT((Inputs!$E$5:$E$120=$B53)*ISNUMBER(INDEX(Inputs!$K$5:$AJ$120,0,MATCH(K$2,Inputs!$K$4:$AJ$4,0))))=0,NA(),SUMPRODUCT((Inputs!$A$5:$A$120=$B53)*Inputs!$B$5:$B$120*(((Inputs!$G$5:$G$120="moeda")+(Inputs!$G$5:$G$120="acoes"))*Inputs!$B$1+((Inputs!$G$5:$G$120&lt;&gt;"moeda")*(Inputs!$G$5:$G$120&lt;&gt;"acoes")))*INDEX(Inputs!$K$5:$AJ$120,0,MATCH(K$2,Inputs!$K$4:$AJ$4,0)))+SUMPRODUCT((Inputs!$C$5:$C$120=$B53)*Inputs!$D$5:$D$120*(((Inputs!$G$5:$G$120="moeda")+(Inputs!$G$5:$G$120="acoes"))*Inputs!$B$1+((Inputs!$G$5:$G$120&lt;&gt;"moeda")*(Inputs!$G$5:$G$120&lt;&gt;"acoes")))*INDEX(Inputs!$K$5:$AJ$120,0,MATCH(K$2,Inputs!$K$4:$AJ$4,0)))+SUMPRODUCT((Inputs!$E$5:$E$120=$B53)*Inputs!$F$5:$F$120*(((Inputs!$G$5:$G$120="moeda")+(Inputs!$G$5:$G$120="acoes"))*Inputs!$B$1+((Inputs!$G$5:$G$120&lt;&gt;"moeda")*(Inputs!$G$5:$G$120&lt;&gt;"acoes")))*INDEX(Inputs!$K$5:$AJ$120,0,MATCH(K$2,Inputs!$K$4:$AJ$4,0)))))</f>
        <v>187.3</v>
      </c>
      <c r="L53" s="263">
        <f>IF(ISNA(MATCH(L$2,Inputs!$K$4:$AJ$4,0)),NA(),IF(SUMPRODUCT((Inputs!$A$5:$A$120=$B53)*ISNUMBER(INDEX(Inputs!$K$5:$AJ$120,0,MATCH(L$2,Inputs!$K$4:$AJ$4,0))))+SUMPRODUCT((Inputs!$C$5:$C$120=$B53)*ISNUMBER(INDEX(Inputs!$K$5:$AJ$120,0,MATCH(L$2,Inputs!$K$4:$AJ$4,0))))+SUMPRODUCT((Inputs!$E$5:$E$120=$B53)*ISNUMBER(INDEX(Inputs!$K$5:$AJ$120,0,MATCH(L$2,Inputs!$K$4:$AJ$4,0))))=0,NA(),SUMPRODUCT((Inputs!$A$5:$A$120=$B53)*Inputs!$B$5:$B$120*(((Inputs!$G$5:$G$120="moeda")+(Inputs!$G$5:$G$120="acoes"))*Inputs!$B$1+((Inputs!$G$5:$G$120&lt;&gt;"moeda")*(Inputs!$G$5:$G$120&lt;&gt;"acoes")))*INDEX(Inputs!$K$5:$AJ$120,0,MATCH(L$2,Inputs!$K$4:$AJ$4,0)))+SUMPRODUCT((Inputs!$C$5:$C$120=$B53)*Inputs!$D$5:$D$120*(((Inputs!$G$5:$G$120="moeda")+(Inputs!$G$5:$G$120="acoes"))*Inputs!$B$1+((Inputs!$G$5:$G$120&lt;&gt;"moeda")*(Inputs!$G$5:$G$120&lt;&gt;"acoes")))*INDEX(Inputs!$K$5:$AJ$120,0,MATCH(L$2,Inputs!$K$4:$AJ$4,0)))+SUMPRODUCT((Inputs!$E$5:$E$120=$B53)*Inputs!$F$5:$F$120*(((Inputs!$G$5:$G$120="moeda")+(Inputs!$G$5:$G$120="acoes"))*Inputs!$B$1+((Inputs!$G$5:$G$120&lt;&gt;"moeda")*(Inputs!$G$5:$G$120&lt;&gt;"acoes")))*INDEX(Inputs!$K$5:$AJ$120,0,MATCH(L$2,Inputs!$K$4:$AJ$4,0)))))</f>
        <v>279.3</v>
      </c>
      <c r="M53" s="264">
        <f>SUM(I53:L53)</f>
        <v>482.6</v>
      </c>
      <c r="N53" s="263">
        <f>IF(ISNA(MATCH(N$2,Inputs!$K$4:$AJ$4,0)),NA(),IF(SUMPRODUCT((Inputs!$A$5:$A$120=$B53)*ISNUMBER(INDEX(Inputs!$K$5:$AJ$120,0,MATCH(N$2,Inputs!$K$4:$AJ$4,0))))+SUMPRODUCT((Inputs!$C$5:$C$120=$B53)*ISNUMBER(INDEX(Inputs!$K$5:$AJ$120,0,MATCH(N$2,Inputs!$K$4:$AJ$4,0))))+SUMPRODUCT((Inputs!$E$5:$E$120=$B53)*ISNUMBER(INDEX(Inputs!$K$5:$AJ$120,0,MATCH(N$2,Inputs!$K$4:$AJ$4,0))))=0,NA(),SUMPRODUCT((Inputs!$A$5:$A$120=$B53)*Inputs!$B$5:$B$120*(((Inputs!$G$5:$G$120="moeda")+(Inputs!$G$5:$G$120="acoes"))*Inputs!$B$1+((Inputs!$G$5:$G$120&lt;&gt;"moeda")*(Inputs!$G$5:$G$120&lt;&gt;"acoes")))*INDEX(Inputs!$K$5:$AJ$120,0,MATCH(N$2,Inputs!$K$4:$AJ$4,0)))+SUMPRODUCT((Inputs!$C$5:$C$120=$B53)*Inputs!$D$5:$D$120*(((Inputs!$G$5:$G$120="moeda")+(Inputs!$G$5:$G$120="acoes"))*Inputs!$B$1+((Inputs!$G$5:$G$120&lt;&gt;"moeda")*(Inputs!$G$5:$G$120&lt;&gt;"acoes")))*INDEX(Inputs!$K$5:$AJ$120,0,MATCH(N$2,Inputs!$K$4:$AJ$4,0)))+SUMPRODUCT((Inputs!$E$5:$E$120=$B53)*Inputs!$F$5:$F$120*(((Inputs!$G$5:$G$120="moeda")+(Inputs!$G$5:$G$120="acoes"))*Inputs!$B$1+((Inputs!$G$5:$G$120&lt;&gt;"moeda")*(Inputs!$G$5:$G$120&lt;&gt;"acoes")))*INDEX(Inputs!$K$5:$AJ$120,0,MATCH(N$2,Inputs!$K$4:$AJ$4,0)))))</f>
        <v>568.5</v>
      </c>
      <c r="O53" s="263">
        <f>IF(ISNA(MATCH(O$2,Inputs!$K$4:$AJ$4,0)),NA(),IF(SUMPRODUCT((Inputs!$A$5:$A$120=$B53)*ISNUMBER(INDEX(Inputs!$K$5:$AJ$120,0,MATCH(O$2,Inputs!$K$4:$AJ$4,0))))+SUMPRODUCT((Inputs!$C$5:$C$120=$B53)*ISNUMBER(INDEX(Inputs!$K$5:$AJ$120,0,MATCH(O$2,Inputs!$K$4:$AJ$4,0))))+SUMPRODUCT((Inputs!$E$5:$E$120=$B53)*ISNUMBER(INDEX(Inputs!$K$5:$AJ$120,0,MATCH(O$2,Inputs!$K$4:$AJ$4,0))))=0,NA(),SUMPRODUCT((Inputs!$A$5:$A$120=$B53)*Inputs!$B$5:$B$120*(((Inputs!$G$5:$G$120="moeda")+(Inputs!$G$5:$G$120="acoes"))*Inputs!$B$1+((Inputs!$G$5:$G$120&lt;&gt;"moeda")*(Inputs!$G$5:$G$120&lt;&gt;"acoes")))*INDEX(Inputs!$K$5:$AJ$120,0,MATCH(O$2,Inputs!$K$4:$AJ$4,0)))+SUMPRODUCT((Inputs!$C$5:$C$120=$B53)*Inputs!$D$5:$D$120*(((Inputs!$G$5:$G$120="moeda")+(Inputs!$G$5:$G$120="acoes"))*Inputs!$B$1+((Inputs!$G$5:$G$120&lt;&gt;"moeda")*(Inputs!$G$5:$G$120&lt;&gt;"acoes")))*INDEX(Inputs!$K$5:$AJ$120,0,MATCH(O$2,Inputs!$K$4:$AJ$4,0)))+SUMPRODUCT((Inputs!$E$5:$E$120=$B53)*Inputs!$F$5:$F$120*(((Inputs!$G$5:$G$120="moeda")+(Inputs!$G$5:$G$120="acoes"))*Inputs!$B$1+((Inputs!$G$5:$G$120&lt;&gt;"moeda")*(Inputs!$G$5:$G$120&lt;&gt;"acoes")))*INDEX(Inputs!$K$5:$AJ$120,0,MATCH(O$2,Inputs!$K$4:$AJ$4,0)))))</f>
        <v>979.7</v>
      </c>
      <c r="P53" s="263">
        <f>IF(ISNA(MATCH(P$2,Inputs!$K$4:$AJ$4,0)),NA(),IF(SUMPRODUCT((Inputs!$A$5:$A$120=$B53)*ISNUMBER(INDEX(Inputs!$K$5:$AJ$120,0,MATCH(P$2,Inputs!$K$4:$AJ$4,0))))+SUMPRODUCT((Inputs!$C$5:$C$120=$B53)*ISNUMBER(INDEX(Inputs!$K$5:$AJ$120,0,MATCH(P$2,Inputs!$K$4:$AJ$4,0))))+SUMPRODUCT((Inputs!$E$5:$E$120=$B53)*ISNUMBER(INDEX(Inputs!$K$5:$AJ$120,0,MATCH(P$2,Inputs!$K$4:$AJ$4,0))))=0,NA(),SUMPRODUCT((Inputs!$A$5:$A$120=$B53)*Inputs!$B$5:$B$120*(((Inputs!$G$5:$G$120="moeda")+(Inputs!$G$5:$G$120="acoes"))*Inputs!$B$1+((Inputs!$G$5:$G$120&lt;&gt;"moeda")*(Inputs!$G$5:$G$120&lt;&gt;"acoes")))*INDEX(Inputs!$K$5:$AJ$120,0,MATCH(P$2,Inputs!$K$4:$AJ$4,0)))+SUMPRODUCT((Inputs!$C$5:$C$120=$B53)*Inputs!$D$5:$D$120*(((Inputs!$G$5:$G$120="moeda")+(Inputs!$G$5:$G$120="acoes"))*Inputs!$B$1+((Inputs!$G$5:$G$120&lt;&gt;"moeda")*(Inputs!$G$5:$G$120&lt;&gt;"acoes")))*INDEX(Inputs!$K$5:$AJ$120,0,MATCH(P$2,Inputs!$K$4:$AJ$4,0)))+SUMPRODUCT((Inputs!$E$5:$E$120=$B53)*Inputs!$F$5:$F$120*(((Inputs!$G$5:$G$120="moeda")+(Inputs!$G$5:$G$120="acoes"))*Inputs!$B$1+((Inputs!$G$5:$G$120&lt;&gt;"moeda")*(Inputs!$G$5:$G$120&lt;&gt;"acoes")))*INDEX(Inputs!$K$5:$AJ$120,0,MATCH(P$2,Inputs!$K$4:$AJ$4,0)))))</f>
        <v>1409.3</v>
      </c>
      <c r="Q53" s="263">
        <f>IF(ISNA(MATCH(Q$2,Inputs!$K$4:$AJ$4,0)),NA(),IF(SUMPRODUCT((Inputs!$A$5:$A$120=$B53)*ISNUMBER(INDEX(Inputs!$K$5:$AJ$120,0,MATCH(Q$2,Inputs!$K$4:$AJ$4,0))))+SUMPRODUCT((Inputs!$C$5:$C$120=$B53)*ISNUMBER(INDEX(Inputs!$K$5:$AJ$120,0,MATCH(Q$2,Inputs!$K$4:$AJ$4,0))))+SUMPRODUCT((Inputs!$E$5:$E$120=$B53)*ISNUMBER(INDEX(Inputs!$K$5:$AJ$120,0,MATCH(Q$2,Inputs!$K$4:$AJ$4,0))))=0,NA(),SUMPRODUCT((Inputs!$A$5:$A$120=$B53)*Inputs!$B$5:$B$120*(((Inputs!$G$5:$G$120="moeda")+(Inputs!$G$5:$G$120="acoes"))*Inputs!$B$1+((Inputs!$G$5:$G$120&lt;&gt;"moeda")*(Inputs!$G$5:$G$120&lt;&gt;"acoes")))*INDEX(Inputs!$K$5:$AJ$120,0,MATCH(Q$2,Inputs!$K$4:$AJ$4,0)))+SUMPRODUCT((Inputs!$C$5:$C$120=$B53)*Inputs!$D$5:$D$120*(((Inputs!$G$5:$G$120="moeda")+(Inputs!$G$5:$G$120="acoes"))*Inputs!$B$1+((Inputs!$G$5:$G$120&lt;&gt;"moeda")*(Inputs!$G$5:$G$120&lt;&gt;"acoes")))*INDEX(Inputs!$K$5:$AJ$120,0,MATCH(Q$2,Inputs!$K$4:$AJ$4,0)))+SUMPRODUCT((Inputs!$E$5:$E$120=$B53)*Inputs!$F$5:$F$120*(((Inputs!$G$5:$G$120="moeda")+(Inputs!$G$5:$G$120="acoes"))*Inputs!$B$1+((Inputs!$G$5:$G$120&lt;&gt;"moeda")*(Inputs!$G$5:$G$120&lt;&gt;"acoes")))*INDEX(Inputs!$K$5:$AJ$120,0,MATCH(Q$2,Inputs!$K$4:$AJ$4,0)))))</f>
        <v>2205.6</v>
      </c>
      <c r="R53" s="264">
        <f>SUM(N53:Q53)</f>
        <v>5163.1</v>
      </c>
      <c r="S53" s="263">
        <f>IF(ISNA(MATCH(S$2,Inputs!$K$4:$AJ$4,0)),NA(),IF(SUMPRODUCT((Inputs!$A$5:$A$120=$B53)*ISNUMBER(INDEX(Inputs!$K$5:$AJ$120,0,MATCH(S$2,Inputs!$K$4:$AJ$4,0))))+SUMPRODUCT((Inputs!$C$5:$C$120=$B53)*ISNUMBER(INDEX(Inputs!$K$5:$AJ$120,0,MATCH(S$2,Inputs!$K$4:$AJ$4,0))))+SUMPRODUCT((Inputs!$E$5:$E$120=$B53)*ISNUMBER(INDEX(Inputs!$K$5:$AJ$120,0,MATCH(S$2,Inputs!$K$4:$AJ$4,0))))=0,NA(),SUMPRODUCT((Inputs!$A$5:$A$120=$B53)*Inputs!$B$5:$B$120*(((Inputs!$G$5:$G$120="moeda")+(Inputs!$G$5:$G$120="acoes"))*Inputs!$B$1+((Inputs!$G$5:$G$120&lt;&gt;"moeda")*(Inputs!$G$5:$G$120&lt;&gt;"acoes")))*INDEX(Inputs!$K$5:$AJ$120,0,MATCH(S$2,Inputs!$K$4:$AJ$4,0)))+SUMPRODUCT((Inputs!$C$5:$C$120=$B53)*Inputs!$D$5:$D$120*(((Inputs!$G$5:$G$120="moeda")+(Inputs!$G$5:$G$120="acoes"))*Inputs!$B$1+((Inputs!$G$5:$G$120&lt;&gt;"moeda")*(Inputs!$G$5:$G$120&lt;&gt;"acoes")))*INDEX(Inputs!$K$5:$AJ$120,0,MATCH(S$2,Inputs!$K$4:$AJ$4,0)))+SUMPRODUCT((Inputs!$E$5:$E$120=$B53)*Inputs!$F$5:$F$120*(((Inputs!$G$5:$G$120="moeda")+(Inputs!$G$5:$G$120="acoes"))*Inputs!$B$1+((Inputs!$G$5:$G$120&lt;&gt;"moeda")*(Inputs!$G$5:$G$120&lt;&gt;"acoes")))*INDEX(Inputs!$K$5:$AJ$120,0,MATCH(S$2,Inputs!$K$4:$AJ$4,0)))))</f>
        <v>1806.5</v>
      </c>
      <c r="T53" s="263">
        <f>IF(ISNA(MATCH(T$2,Inputs!$K$4:$AJ$4,0)),NA(),IF(SUMPRODUCT((Inputs!$A$5:$A$120=$B53)*ISNUMBER(INDEX(Inputs!$K$5:$AJ$120,0,MATCH(T$2,Inputs!$K$4:$AJ$4,0))))+SUMPRODUCT((Inputs!$C$5:$C$120=$B53)*ISNUMBER(INDEX(Inputs!$K$5:$AJ$120,0,MATCH(T$2,Inputs!$K$4:$AJ$4,0))))+SUMPRODUCT((Inputs!$E$5:$E$120=$B53)*ISNUMBER(INDEX(Inputs!$K$5:$AJ$120,0,MATCH(T$2,Inputs!$K$4:$AJ$4,0))))=0,NA(),SUMPRODUCT((Inputs!$A$5:$A$120=$B53)*Inputs!$B$5:$B$120*(((Inputs!$G$5:$G$120="moeda")+(Inputs!$G$5:$G$120="acoes"))*Inputs!$B$1+((Inputs!$G$5:$G$120&lt;&gt;"moeda")*(Inputs!$G$5:$G$120&lt;&gt;"acoes")))*INDEX(Inputs!$K$5:$AJ$120,0,MATCH(T$2,Inputs!$K$4:$AJ$4,0)))+SUMPRODUCT((Inputs!$C$5:$C$120=$B53)*Inputs!$D$5:$D$120*(((Inputs!$G$5:$G$120="moeda")+(Inputs!$G$5:$G$120="acoes"))*Inputs!$B$1+((Inputs!$G$5:$G$120&lt;&gt;"moeda")*(Inputs!$G$5:$G$120&lt;&gt;"acoes")))*INDEX(Inputs!$K$5:$AJ$120,0,MATCH(T$2,Inputs!$K$4:$AJ$4,0)))+SUMPRODUCT((Inputs!$E$5:$E$120=$B53)*Inputs!$F$5:$F$120*(((Inputs!$G$5:$G$120="moeda")+(Inputs!$G$5:$G$120="acoes"))*Inputs!$B$1+((Inputs!$G$5:$G$120&lt;&gt;"moeda")*(Inputs!$G$5:$G$120&lt;&gt;"acoes")))*INDEX(Inputs!$K$5:$AJ$120,0,MATCH(T$2,Inputs!$K$4:$AJ$4,0)))))</f>
        <v>3090.8</v>
      </c>
      <c r="U53" s="263">
        <f>IF(ISNA(MATCH(U$2,Inputs!$K$4:$AJ$4,0)),NA(),IF(SUMPRODUCT((Inputs!$A$5:$A$120=$B53)*ISNUMBER(INDEX(Inputs!$K$5:$AJ$120,0,MATCH(U$2,Inputs!$K$4:$AJ$4,0))))+SUMPRODUCT((Inputs!$C$5:$C$120=$B53)*ISNUMBER(INDEX(Inputs!$K$5:$AJ$120,0,MATCH(U$2,Inputs!$K$4:$AJ$4,0))))+SUMPRODUCT((Inputs!$E$5:$E$120=$B53)*ISNUMBER(INDEX(Inputs!$K$5:$AJ$120,0,MATCH(U$2,Inputs!$K$4:$AJ$4,0))))=0,NA(),SUMPRODUCT((Inputs!$A$5:$A$120=$B53)*Inputs!$B$5:$B$120*(((Inputs!$G$5:$G$120="moeda")+(Inputs!$G$5:$G$120="acoes"))*Inputs!$B$1+((Inputs!$G$5:$G$120&lt;&gt;"moeda")*(Inputs!$G$5:$G$120&lt;&gt;"acoes")))*INDEX(Inputs!$K$5:$AJ$120,0,MATCH(U$2,Inputs!$K$4:$AJ$4,0)))+SUMPRODUCT((Inputs!$C$5:$C$120=$B53)*Inputs!$D$5:$D$120*(((Inputs!$G$5:$G$120="moeda")+(Inputs!$G$5:$G$120="acoes"))*Inputs!$B$1+((Inputs!$G$5:$G$120&lt;&gt;"moeda")*(Inputs!$G$5:$G$120&lt;&gt;"acoes")))*INDEX(Inputs!$K$5:$AJ$120,0,MATCH(U$2,Inputs!$K$4:$AJ$4,0)))+SUMPRODUCT((Inputs!$E$5:$E$120=$B53)*Inputs!$F$5:$F$120*(((Inputs!$G$5:$G$120="moeda")+(Inputs!$G$5:$G$120="acoes"))*Inputs!$B$1+((Inputs!$G$5:$G$120&lt;&gt;"moeda")*(Inputs!$G$5:$G$120&lt;&gt;"acoes")))*INDEX(Inputs!$K$5:$AJ$120,0,MATCH(U$2,Inputs!$K$4:$AJ$4,0)))))</f>
        <v>3112.7</v>
      </c>
      <c r="V53" s="263">
        <f>IF(ISNA(MATCH(V$2,Inputs!$K$4:$AJ$4,0)),NA(),IF(SUMPRODUCT((Inputs!$A$5:$A$120=$B53)*ISNUMBER(INDEX(Inputs!$K$5:$AJ$120,0,MATCH(V$2,Inputs!$K$4:$AJ$4,0))))+SUMPRODUCT((Inputs!$C$5:$C$120=$B53)*ISNUMBER(INDEX(Inputs!$K$5:$AJ$120,0,MATCH(V$2,Inputs!$K$4:$AJ$4,0))))+SUMPRODUCT((Inputs!$E$5:$E$120=$B53)*ISNUMBER(INDEX(Inputs!$K$5:$AJ$120,0,MATCH(V$2,Inputs!$K$4:$AJ$4,0))))=0,NA(),SUMPRODUCT((Inputs!$A$5:$A$120=$B53)*Inputs!$B$5:$B$120*(((Inputs!$G$5:$G$120="moeda")+(Inputs!$G$5:$G$120="acoes"))*Inputs!$B$1+((Inputs!$G$5:$G$120&lt;&gt;"moeda")*(Inputs!$G$5:$G$120&lt;&gt;"acoes")))*INDEX(Inputs!$K$5:$AJ$120,0,MATCH(V$2,Inputs!$K$4:$AJ$4,0)))+SUMPRODUCT((Inputs!$C$5:$C$120=$B53)*Inputs!$D$5:$D$120*(((Inputs!$G$5:$G$120="moeda")+(Inputs!$G$5:$G$120="acoes"))*Inputs!$B$1+((Inputs!$G$5:$G$120&lt;&gt;"moeda")*(Inputs!$G$5:$G$120&lt;&gt;"acoes")))*INDEX(Inputs!$K$5:$AJ$120,0,MATCH(V$2,Inputs!$K$4:$AJ$4,0)))+SUMPRODUCT((Inputs!$E$5:$E$120=$B53)*Inputs!$F$5:$F$120*(((Inputs!$G$5:$G$120="moeda")+(Inputs!$G$5:$G$120="acoes"))*Inputs!$B$1+((Inputs!$G$5:$G$120&lt;&gt;"moeda")*(Inputs!$G$5:$G$120&lt;&gt;"acoes")))*INDEX(Inputs!$K$5:$AJ$120,0,MATCH(V$2,Inputs!$K$4:$AJ$4,0)))))</f>
        <v>3530.1</v>
      </c>
      <c r="W53" s="264">
        <f>SUM(S53:V53)</f>
        <v>11540.1</v>
      </c>
      <c r="X53" s="263">
        <f>IF(ISNA(MATCH(X$2,Inputs!$K$4:$AJ$4,0)),NA(),IF(SUMPRODUCT((Inputs!$A$5:$A$120=$B53)*ISNUMBER(INDEX(Inputs!$K$5:$AJ$120,0,MATCH(X$2,Inputs!$K$4:$AJ$4,0))))+SUMPRODUCT((Inputs!$C$5:$C$120=$B53)*ISNUMBER(INDEX(Inputs!$K$5:$AJ$120,0,MATCH(X$2,Inputs!$K$4:$AJ$4,0))))+SUMPRODUCT((Inputs!$E$5:$E$120=$B53)*ISNUMBER(INDEX(Inputs!$K$5:$AJ$120,0,MATCH(X$2,Inputs!$K$4:$AJ$4,0))))=0,NA(),SUMPRODUCT((Inputs!$A$5:$A$120=$B53)*Inputs!$B$5:$B$120*(((Inputs!$G$5:$G$120="moeda")+(Inputs!$G$5:$G$120="acoes"))*Inputs!$B$1+((Inputs!$G$5:$G$120&lt;&gt;"moeda")*(Inputs!$G$5:$G$120&lt;&gt;"acoes")))*INDEX(Inputs!$K$5:$AJ$120,0,MATCH(X$2,Inputs!$K$4:$AJ$4,0)))+SUMPRODUCT((Inputs!$C$5:$C$120=$B53)*Inputs!$D$5:$D$120*(((Inputs!$G$5:$G$120="moeda")+(Inputs!$G$5:$G$120="acoes"))*Inputs!$B$1+((Inputs!$G$5:$G$120&lt;&gt;"moeda")*(Inputs!$G$5:$G$120&lt;&gt;"acoes")))*INDEX(Inputs!$K$5:$AJ$120,0,MATCH(X$2,Inputs!$K$4:$AJ$4,0)))+SUMPRODUCT((Inputs!$E$5:$E$120=$B53)*Inputs!$F$5:$F$120*(((Inputs!$G$5:$G$120="moeda")+(Inputs!$G$5:$G$120="acoes"))*Inputs!$B$1+((Inputs!$G$5:$G$120&lt;&gt;"moeda")*(Inputs!$G$5:$G$120&lt;&gt;"acoes")))*INDEX(Inputs!$K$5:$AJ$120,0,MATCH(X$2,Inputs!$K$4:$AJ$4,0)))))</f>
        <v>3842</v>
      </c>
      <c r="Y53" s="263">
        <f>IF(ISNA(MATCH(Y$2,Inputs!$K$4:$AJ$4,0)),NA(),IF(SUMPRODUCT((Inputs!$A$5:$A$120=$B53)*ISNUMBER(INDEX(Inputs!$K$5:$AJ$120,0,MATCH(Y$2,Inputs!$K$4:$AJ$4,0))))+SUMPRODUCT((Inputs!$C$5:$C$120=$B53)*ISNUMBER(INDEX(Inputs!$K$5:$AJ$120,0,MATCH(Y$2,Inputs!$K$4:$AJ$4,0))))+SUMPRODUCT((Inputs!$E$5:$E$120=$B53)*ISNUMBER(INDEX(Inputs!$K$5:$AJ$120,0,MATCH(Y$2,Inputs!$K$4:$AJ$4,0))))=0,NA(),SUMPRODUCT((Inputs!$A$5:$A$120=$B53)*Inputs!$B$5:$B$120*(((Inputs!$G$5:$G$120="moeda")+(Inputs!$G$5:$G$120="acoes"))*Inputs!$B$1+((Inputs!$G$5:$G$120&lt;&gt;"moeda")*(Inputs!$G$5:$G$120&lt;&gt;"acoes")))*INDEX(Inputs!$K$5:$AJ$120,0,MATCH(Y$2,Inputs!$K$4:$AJ$4,0)))+SUMPRODUCT((Inputs!$C$5:$C$120=$B53)*Inputs!$D$5:$D$120*(((Inputs!$G$5:$G$120="moeda")+(Inputs!$G$5:$G$120="acoes"))*Inputs!$B$1+((Inputs!$G$5:$G$120&lt;&gt;"moeda")*(Inputs!$G$5:$G$120&lt;&gt;"acoes")))*INDEX(Inputs!$K$5:$AJ$120,0,MATCH(Y$2,Inputs!$K$4:$AJ$4,0)))+SUMPRODUCT((Inputs!$E$5:$E$120=$B53)*Inputs!$F$5:$F$120*(((Inputs!$G$5:$G$120="moeda")+(Inputs!$G$5:$G$120="acoes"))*Inputs!$B$1+((Inputs!$G$5:$G$120&lt;&gt;"moeda")*(Inputs!$G$5:$G$120&lt;&gt;"acoes")))*INDEX(Inputs!$K$5:$AJ$120,0,MATCH(Y$2,Inputs!$K$4:$AJ$4,0)))))</f>
        <v>5199</v>
      </c>
      <c r="Z53" s="263">
        <f>IF(ISNA(MATCH(Z$2,Inputs!$K$4:$AJ$4,0)),NA(),IF(SUMPRODUCT((Inputs!$A$5:$A$120=$B53)*ISNUMBER(INDEX(Inputs!$K$5:$AJ$120,0,MATCH(Z$2,Inputs!$K$4:$AJ$4,0))))+SUMPRODUCT((Inputs!$C$5:$C$120=$B53)*ISNUMBER(INDEX(Inputs!$K$5:$AJ$120,0,MATCH(Z$2,Inputs!$K$4:$AJ$4,0))))+SUMPRODUCT((Inputs!$E$5:$E$120=$B53)*ISNUMBER(INDEX(Inputs!$K$5:$AJ$120,0,MATCH(Z$2,Inputs!$K$4:$AJ$4,0))))=0,NA(),SUMPRODUCT((Inputs!$A$5:$A$120=$B53)*Inputs!$B$5:$B$120*(((Inputs!$G$5:$G$120="moeda")+(Inputs!$G$5:$G$120="acoes"))*Inputs!$B$1+((Inputs!$G$5:$G$120&lt;&gt;"moeda")*(Inputs!$G$5:$G$120&lt;&gt;"acoes")))*INDEX(Inputs!$K$5:$AJ$120,0,MATCH(Z$2,Inputs!$K$4:$AJ$4,0)))+SUMPRODUCT((Inputs!$C$5:$C$120=$B53)*Inputs!$D$5:$D$120*(((Inputs!$G$5:$G$120="moeda")+(Inputs!$G$5:$G$120="acoes"))*Inputs!$B$1+((Inputs!$G$5:$G$120&lt;&gt;"moeda")*(Inputs!$G$5:$G$120&lt;&gt;"acoes")))*INDEX(Inputs!$K$5:$AJ$120,0,MATCH(Z$2,Inputs!$K$4:$AJ$4,0)))+SUMPRODUCT((Inputs!$E$5:$E$120=$B53)*Inputs!$F$5:$F$120*(((Inputs!$G$5:$G$120="moeda")+(Inputs!$G$5:$G$120="acoes"))*Inputs!$B$1+((Inputs!$G$5:$G$120&lt;&gt;"moeda")*(Inputs!$G$5:$G$120&lt;&gt;"acoes")))*INDEX(Inputs!$K$5:$AJ$120,0,MATCH(Z$2,Inputs!$K$4:$AJ$4,0)))))</f>
        <v>6515.1</v>
      </c>
      <c r="AA53" s="263">
        <f>IF(ISNA(MATCH(AA$2,Inputs!$K$4:$AJ$4,0)),NA(),IF(SUMPRODUCT((Inputs!$A$5:$A$120=$B53)*ISNUMBER(INDEX(Inputs!$K$5:$AJ$120,0,MATCH(AA$2,Inputs!$K$4:$AJ$4,0))))+SUMPRODUCT((Inputs!$C$5:$C$120=$B53)*ISNUMBER(INDEX(Inputs!$K$5:$AJ$120,0,MATCH(AA$2,Inputs!$K$4:$AJ$4,0))))+SUMPRODUCT((Inputs!$E$5:$E$120=$B53)*ISNUMBER(INDEX(Inputs!$K$5:$AJ$120,0,MATCH(AA$2,Inputs!$K$4:$AJ$4,0))))=0,NA(),SUMPRODUCT((Inputs!$A$5:$A$120=$B53)*Inputs!$B$5:$B$120*(((Inputs!$G$5:$G$120="moeda")+(Inputs!$G$5:$G$120="acoes"))*Inputs!$B$1+((Inputs!$G$5:$G$120&lt;&gt;"moeda")*(Inputs!$G$5:$G$120&lt;&gt;"acoes")))*INDEX(Inputs!$K$5:$AJ$120,0,MATCH(AA$2,Inputs!$K$4:$AJ$4,0)))+SUMPRODUCT((Inputs!$C$5:$C$120=$B53)*Inputs!$D$5:$D$120*(((Inputs!$G$5:$G$120="moeda")+(Inputs!$G$5:$G$120="acoes"))*Inputs!$B$1+((Inputs!$G$5:$G$120&lt;&gt;"moeda")*(Inputs!$G$5:$G$120&lt;&gt;"acoes")))*INDEX(Inputs!$K$5:$AJ$120,0,MATCH(AA$2,Inputs!$K$4:$AJ$4,0)))+SUMPRODUCT((Inputs!$E$5:$E$120=$B53)*Inputs!$F$5:$F$120*(((Inputs!$G$5:$G$120="moeda")+(Inputs!$G$5:$G$120="acoes"))*Inputs!$B$1+((Inputs!$G$5:$G$120&lt;&gt;"moeda")*(Inputs!$G$5:$G$120&lt;&gt;"acoes")))*INDEX(Inputs!$K$5:$AJ$120,0,MATCH(AA$2,Inputs!$K$4:$AJ$4,0)))))</f>
        <v>7410.2</v>
      </c>
      <c r="AB53" s="264">
        <f>SUM(X53:AA53)</f>
        <v>22966.3</v>
      </c>
      <c r="AC53" s="263">
        <f>IF(ISNA(MATCH(AC$2,Inputs!$K$4:$AJ$4,0)),NA(),IF(SUMPRODUCT((Inputs!$A$5:$A$120=$B53)*ISNUMBER(INDEX(Inputs!$K$5:$AJ$120,0,MATCH(AC$2,Inputs!$K$4:$AJ$4,0))))+SUMPRODUCT((Inputs!$C$5:$C$120=$B53)*ISNUMBER(INDEX(Inputs!$K$5:$AJ$120,0,MATCH(AC$2,Inputs!$K$4:$AJ$4,0))))+SUMPRODUCT((Inputs!$E$5:$E$120=$B53)*ISNUMBER(INDEX(Inputs!$K$5:$AJ$120,0,MATCH(AC$2,Inputs!$K$4:$AJ$4,0))))=0,NA(),SUMPRODUCT((Inputs!$A$5:$A$120=$B53)*Inputs!$B$5:$B$120*(((Inputs!$G$5:$G$120="moeda")+(Inputs!$G$5:$G$120="acoes"))*Inputs!$B$1+((Inputs!$G$5:$G$120&lt;&gt;"moeda")*(Inputs!$G$5:$G$120&lt;&gt;"acoes")))*INDEX(Inputs!$K$5:$AJ$120,0,MATCH(AC$2,Inputs!$K$4:$AJ$4,0)))+SUMPRODUCT((Inputs!$C$5:$C$120=$B53)*Inputs!$D$5:$D$120*(((Inputs!$G$5:$G$120="moeda")+(Inputs!$G$5:$G$120="acoes"))*Inputs!$B$1+((Inputs!$G$5:$G$120&lt;&gt;"moeda")*(Inputs!$G$5:$G$120&lt;&gt;"acoes")))*INDEX(Inputs!$K$5:$AJ$120,0,MATCH(AC$2,Inputs!$K$4:$AJ$4,0)))+SUMPRODUCT((Inputs!$E$5:$E$120=$B53)*Inputs!$F$5:$F$120*(((Inputs!$G$5:$G$120="moeda")+(Inputs!$G$5:$G$120="acoes"))*Inputs!$B$1+((Inputs!$G$5:$G$120&lt;&gt;"moeda")*(Inputs!$G$5:$G$120&lt;&gt;"acoes")))*INDEX(Inputs!$K$5:$AJ$120,0,MATCH(AC$2,Inputs!$K$4:$AJ$4,0)))))</f>
        <v>8662</v>
      </c>
      <c r="AD53" s="263">
        <f>IF(ISNA(MATCH(AD$2,Inputs!$K$4:$AJ$4,0)),NA(),IF(SUMPRODUCT((Inputs!$A$5:$A$120=$B53)*ISNUMBER(INDEX(Inputs!$K$5:$AJ$120,0,MATCH(AD$2,Inputs!$K$4:$AJ$4,0))))+SUMPRODUCT((Inputs!$C$5:$C$120=$B53)*ISNUMBER(INDEX(Inputs!$K$5:$AJ$120,0,MATCH(AD$2,Inputs!$K$4:$AJ$4,0))))+SUMPRODUCT((Inputs!$E$5:$E$120=$B53)*ISNUMBER(INDEX(Inputs!$K$5:$AJ$120,0,MATCH(AD$2,Inputs!$K$4:$AJ$4,0))))=0,NA(),SUMPRODUCT((Inputs!$A$5:$A$120=$B53)*Inputs!$B$5:$B$120*(((Inputs!$G$5:$G$120="moeda")+(Inputs!$G$5:$G$120="acoes"))*Inputs!$B$1+((Inputs!$G$5:$G$120&lt;&gt;"moeda")*(Inputs!$G$5:$G$120&lt;&gt;"acoes")))*INDEX(Inputs!$K$5:$AJ$120,0,MATCH(AD$2,Inputs!$K$4:$AJ$4,0)))+SUMPRODUCT((Inputs!$C$5:$C$120=$B53)*Inputs!$D$5:$D$120*(((Inputs!$G$5:$G$120="moeda")+(Inputs!$G$5:$G$120="acoes"))*Inputs!$B$1+((Inputs!$G$5:$G$120&lt;&gt;"moeda")*(Inputs!$G$5:$G$120&lt;&gt;"acoes")))*INDEX(Inputs!$K$5:$AJ$120,0,MATCH(AD$2,Inputs!$K$4:$AJ$4,0)))+SUMPRODUCT((Inputs!$E$5:$E$120=$B53)*Inputs!$F$5:$F$120*(((Inputs!$G$5:$G$120="moeda")+(Inputs!$G$5:$G$120="acoes"))*Inputs!$B$1+((Inputs!$G$5:$G$120&lt;&gt;"moeda")*(Inputs!$G$5:$G$120&lt;&gt;"acoes")))*INDEX(Inputs!$K$5:$AJ$120,0,MATCH(AD$2,Inputs!$K$4:$AJ$4,0)))))</f>
        <v>9943</v>
      </c>
      <c r="AE53" s="263" t="e">
        <f>IF(ISNA(MATCH(AE$2,Inputs!$K$4:$AJ$4,0)),NA(),IF(SUMPRODUCT((Inputs!$A$5:$A$120=$B53)*ISNUMBER(INDEX(Inputs!$K$5:$AJ$120,0,MATCH(AE$2,Inputs!$K$4:$AJ$4,0))))+SUMPRODUCT((Inputs!$C$5:$C$120=$B53)*ISNUMBER(INDEX(Inputs!$K$5:$AJ$120,0,MATCH(AE$2,Inputs!$K$4:$AJ$4,0))))+SUMPRODUCT((Inputs!$E$5:$E$120=$B53)*ISNUMBER(INDEX(Inputs!$K$5:$AJ$120,0,MATCH(AE$2,Inputs!$K$4:$AJ$4,0))))=0,NA(),SUMPRODUCT((Inputs!$A$5:$A$120=$B53)*Inputs!$B$5:$B$120*(((Inputs!$G$5:$G$120="moeda")+(Inputs!$G$5:$G$120="acoes"))*Inputs!$B$1+((Inputs!$G$5:$G$120&lt;&gt;"moeda")*(Inputs!$G$5:$G$120&lt;&gt;"acoes")))*INDEX(Inputs!$K$5:$AJ$120,0,MATCH(AE$2,Inputs!$K$4:$AJ$4,0)))+SUMPRODUCT((Inputs!$C$5:$C$120=$B53)*Inputs!$D$5:$D$120*(((Inputs!$G$5:$G$120="moeda")+(Inputs!$G$5:$G$120="acoes"))*Inputs!$B$1+((Inputs!$G$5:$G$120&lt;&gt;"moeda")*(Inputs!$G$5:$G$120&lt;&gt;"acoes")))*INDEX(Inputs!$K$5:$AJ$120,0,MATCH(AE$2,Inputs!$K$4:$AJ$4,0)))+SUMPRODUCT((Inputs!$E$5:$E$120=$B53)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3" s="263" t="e">
        <f>IF(ISNA(MATCH(AF$2,Inputs!$K$4:$AJ$4,0)),NA(),IF(SUMPRODUCT((Inputs!$A$5:$A$120=$B53)*ISNUMBER(INDEX(Inputs!$K$5:$AJ$120,0,MATCH(AF$2,Inputs!$K$4:$AJ$4,0))))+SUMPRODUCT((Inputs!$C$5:$C$120=$B53)*ISNUMBER(INDEX(Inputs!$K$5:$AJ$120,0,MATCH(AF$2,Inputs!$K$4:$AJ$4,0))))+SUMPRODUCT((Inputs!$E$5:$E$120=$B53)*ISNUMBER(INDEX(Inputs!$K$5:$AJ$120,0,MATCH(AF$2,Inputs!$K$4:$AJ$4,0))))=0,NA(),SUMPRODUCT((Inputs!$A$5:$A$120=$B53)*Inputs!$B$5:$B$120*(((Inputs!$G$5:$G$120="moeda")+(Inputs!$G$5:$G$120="acoes"))*Inputs!$B$1+((Inputs!$G$5:$G$120&lt;&gt;"moeda")*(Inputs!$G$5:$G$120&lt;&gt;"acoes")))*INDEX(Inputs!$K$5:$AJ$120,0,MATCH(AF$2,Inputs!$K$4:$AJ$4,0)))+SUMPRODUCT((Inputs!$C$5:$C$120=$B53)*Inputs!$D$5:$D$120*(((Inputs!$G$5:$G$120="moeda")+(Inputs!$G$5:$G$120="acoes"))*Inputs!$B$1+((Inputs!$G$5:$G$120&lt;&gt;"moeda")*(Inputs!$G$5:$G$120&lt;&gt;"acoes")))*INDEX(Inputs!$K$5:$AJ$120,0,MATCH(AF$2,Inputs!$K$4:$AJ$4,0)))+SUMPRODUCT((Inputs!$E$5:$E$120=$B53)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3" s="264" t="e">
        <f>SUM(AC53:AF53)</f>
        <v>#N/A</v>
      </c>
      <c r="AH53" s="263" t="e">
        <f>IF(ISNA(MATCH(AH$2,Inputs!$K$4:$AJ$4,0)),NA(),IF(SUMPRODUCT((Inputs!$A$5:$A$120=$B53)*ISNUMBER(INDEX(Inputs!$K$5:$AJ$120,0,MATCH(AH$2,Inputs!$K$4:$AJ$4,0))))+SUMPRODUCT((Inputs!$C$5:$C$120=$B53)*ISNUMBER(INDEX(Inputs!$K$5:$AJ$120,0,MATCH(AH$2,Inputs!$K$4:$AJ$4,0))))+SUMPRODUCT((Inputs!$E$5:$E$120=$B53)*ISNUMBER(INDEX(Inputs!$K$5:$AJ$120,0,MATCH(AH$2,Inputs!$K$4:$AJ$4,0))))=0,NA(),SUMPRODUCT((Inputs!$A$5:$A$120=$B53)*Inputs!$B$5:$B$120*(((Inputs!$G$5:$G$120="moeda")+(Inputs!$G$5:$G$120="acoes"))*Inputs!$B$1+((Inputs!$G$5:$G$120&lt;&gt;"moeda")*(Inputs!$G$5:$G$120&lt;&gt;"acoes")))*INDEX(Inputs!$K$5:$AJ$120,0,MATCH(AH$2,Inputs!$K$4:$AJ$4,0)))+SUMPRODUCT((Inputs!$C$5:$C$120=$B53)*Inputs!$D$5:$D$120*(((Inputs!$G$5:$G$120="moeda")+(Inputs!$G$5:$G$120="acoes"))*Inputs!$B$1+((Inputs!$G$5:$G$120&lt;&gt;"moeda")*(Inputs!$G$5:$G$120&lt;&gt;"acoes")))*INDEX(Inputs!$K$5:$AJ$120,0,MATCH(AH$2,Inputs!$K$4:$AJ$4,0)))+SUMPRODUCT((Inputs!$E$5:$E$120=$B53)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53" s="263" t="e">
        <f>IF(ISNA(MATCH(AI$2,Inputs!$K$4:$AJ$4,0)),NA(),IF(SUMPRODUCT((Inputs!$A$5:$A$120=$B53)*ISNUMBER(INDEX(Inputs!$K$5:$AJ$120,0,MATCH(AI$2,Inputs!$K$4:$AJ$4,0))))+SUMPRODUCT((Inputs!$C$5:$C$120=$B53)*ISNUMBER(INDEX(Inputs!$K$5:$AJ$120,0,MATCH(AI$2,Inputs!$K$4:$AJ$4,0))))+SUMPRODUCT((Inputs!$E$5:$E$120=$B53)*ISNUMBER(INDEX(Inputs!$K$5:$AJ$120,0,MATCH(AI$2,Inputs!$K$4:$AJ$4,0))))=0,NA(),SUMPRODUCT((Inputs!$A$5:$A$120=$B53)*Inputs!$B$5:$B$120*(((Inputs!$G$5:$G$120="moeda")+(Inputs!$G$5:$G$120="acoes"))*Inputs!$B$1+((Inputs!$G$5:$G$120&lt;&gt;"moeda")*(Inputs!$G$5:$G$120&lt;&gt;"acoes")))*INDEX(Inputs!$K$5:$AJ$120,0,MATCH(AI$2,Inputs!$K$4:$AJ$4,0)))+SUMPRODUCT((Inputs!$C$5:$C$120=$B53)*Inputs!$D$5:$D$120*(((Inputs!$G$5:$G$120="moeda")+(Inputs!$G$5:$G$120="acoes"))*Inputs!$B$1+((Inputs!$G$5:$G$120&lt;&gt;"moeda")*(Inputs!$G$5:$G$120&lt;&gt;"acoes")))*INDEX(Inputs!$K$5:$AJ$120,0,MATCH(AI$2,Inputs!$K$4:$AJ$4,0)))+SUMPRODUCT((Inputs!$E$5:$E$120=$B53)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53" s="263" t="e">
        <f>IF(ISNA(MATCH(AJ$2,Inputs!$K$4:$AJ$4,0)),NA(),IF(SUMPRODUCT((Inputs!$A$5:$A$120=$B53)*ISNUMBER(INDEX(Inputs!$K$5:$AJ$120,0,MATCH(AJ$2,Inputs!$K$4:$AJ$4,0))))+SUMPRODUCT((Inputs!$C$5:$C$120=$B53)*ISNUMBER(INDEX(Inputs!$K$5:$AJ$120,0,MATCH(AJ$2,Inputs!$K$4:$AJ$4,0))))+SUMPRODUCT((Inputs!$E$5:$E$120=$B53)*ISNUMBER(INDEX(Inputs!$K$5:$AJ$120,0,MATCH(AJ$2,Inputs!$K$4:$AJ$4,0))))=0,NA(),SUMPRODUCT((Inputs!$A$5:$A$120=$B53)*Inputs!$B$5:$B$120*(((Inputs!$G$5:$G$120="moeda")+(Inputs!$G$5:$G$120="acoes"))*Inputs!$B$1+((Inputs!$G$5:$G$120&lt;&gt;"moeda")*(Inputs!$G$5:$G$120&lt;&gt;"acoes")))*INDEX(Inputs!$K$5:$AJ$120,0,MATCH(AJ$2,Inputs!$K$4:$AJ$4,0)))+SUMPRODUCT((Inputs!$C$5:$C$120=$B53)*Inputs!$D$5:$D$120*(((Inputs!$G$5:$G$120="moeda")+(Inputs!$G$5:$G$120="acoes"))*Inputs!$B$1+((Inputs!$G$5:$G$120&lt;&gt;"moeda")*(Inputs!$G$5:$G$120&lt;&gt;"acoes")))*INDEX(Inputs!$K$5:$AJ$120,0,MATCH(AJ$2,Inputs!$K$4:$AJ$4,0)))+SUMPRODUCT((Inputs!$E$5:$E$120=$B53)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53" s="263" t="e">
        <f>IF(ISNA(MATCH(AK$2,Inputs!$K$4:$AJ$4,0)),NA(),IF(SUMPRODUCT((Inputs!$A$5:$A$120=$B53)*ISNUMBER(INDEX(Inputs!$K$5:$AJ$120,0,MATCH(AK$2,Inputs!$K$4:$AJ$4,0))))+SUMPRODUCT((Inputs!$C$5:$C$120=$B53)*ISNUMBER(INDEX(Inputs!$K$5:$AJ$120,0,MATCH(AK$2,Inputs!$K$4:$AJ$4,0))))+SUMPRODUCT((Inputs!$E$5:$E$120=$B53)*ISNUMBER(INDEX(Inputs!$K$5:$AJ$120,0,MATCH(AK$2,Inputs!$K$4:$AJ$4,0))))=0,NA(),SUMPRODUCT((Inputs!$A$5:$A$120=$B53)*Inputs!$B$5:$B$120*(((Inputs!$G$5:$G$120="moeda")+(Inputs!$G$5:$G$120="acoes"))*Inputs!$B$1+((Inputs!$G$5:$G$120&lt;&gt;"moeda")*(Inputs!$G$5:$G$120&lt;&gt;"acoes")))*INDEX(Inputs!$K$5:$AJ$120,0,MATCH(AK$2,Inputs!$K$4:$AJ$4,0)))+SUMPRODUCT((Inputs!$C$5:$C$120=$B53)*Inputs!$D$5:$D$120*(((Inputs!$G$5:$G$120="moeda")+(Inputs!$G$5:$G$120="acoes"))*Inputs!$B$1+((Inputs!$G$5:$G$120&lt;&gt;"moeda")*(Inputs!$G$5:$G$120&lt;&gt;"acoes")))*INDEX(Inputs!$K$5:$AJ$120,0,MATCH(AK$2,Inputs!$K$4:$AJ$4,0)))+SUMPRODUCT((Inputs!$E$5:$E$120=$B53)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53" s="264" t="e">
        <f>SUM(AH53:AK53)</f>
        <v>#N/A</v>
      </c>
    </row>
    <row r="54">
      <c r="B54" s="46" t="n">
        <v>46</v>
      </c>
      <c r="C54" s="29" t="inlineStr">
        <is>
          <t>Receita Zepbound (USD)</t>
        </is>
      </c>
      <c r="D54" s="263" t="e">
        <f>IF(ISNA(MATCH(D$2,Inputs!$K$4:$AJ$4,0)),NA(),IF(SUMPRODUCT((Inputs!$A$5:$A$120=$B54)*ISNUMBER(INDEX(Inputs!$K$5:$AJ$120,0,MATCH(D$2,Inputs!$K$4:$AJ$4,0))))+SUMPRODUCT((Inputs!$C$5:$C$120=$B54)*ISNUMBER(INDEX(Inputs!$K$5:$AJ$120,0,MATCH(D$2,Inputs!$K$4:$AJ$4,0))))+SUMPRODUCT((Inputs!$E$5:$E$120=$B54)*ISNUMBER(INDEX(Inputs!$K$5:$AJ$120,0,MATCH(D$2,Inputs!$K$4:$AJ$4,0))))=0,NA(),SUMPRODUCT((Inputs!$A$5:$A$120=$B54)*Inputs!$B$5:$B$120*(((Inputs!$G$5:$G$120="moeda")+(Inputs!$G$5:$G$120="acoes"))*Inputs!$B$1+((Inputs!$G$5:$G$120&lt;&gt;"moeda")*(Inputs!$G$5:$G$120&lt;&gt;"acoes")))*INDEX(Inputs!$K$5:$AJ$120,0,MATCH(D$2,Inputs!$K$4:$AJ$4,0)))+SUMPRODUCT((Inputs!$C$5:$C$120=$B54)*Inputs!$D$5:$D$120*(((Inputs!$G$5:$G$120="moeda")+(Inputs!$G$5:$G$120="acoes"))*Inputs!$B$1+((Inputs!$G$5:$G$120&lt;&gt;"moeda")*(Inputs!$G$5:$G$120&lt;&gt;"acoes")))*INDEX(Inputs!$K$5:$AJ$120,0,MATCH(D$2,Inputs!$K$4:$AJ$4,0)))+SUMPRODUCT((Inputs!$E$5:$E$120=$B54)*Inputs!$F$5:$F$120*(((Inputs!$G$5:$G$120="moeda")+(Inputs!$G$5:$G$120="acoes"))*Inputs!$B$1+((Inputs!$G$5:$G$120&lt;&gt;"moeda")*(Inputs!$G$5:$G$120&lt;&gt;"acoes")))*INDEX(Inputs!$K$5:$AJ$120,0,MATCH(D$2,Inputs!$K$4:$AJ$4,0)))))</f>
        <v>#N/A</v>
      </c>
      <c r="E54" s="263" t="e">
        <f>IF(ISNA(MATCH(E$2,Inputs!$K$4:$AJ$4,0)),NA(),IF(SUMPRODUCT((Inputs!$A$5:$A$120=$B54)*ISNUMBER(INDEX(Inputs!$K$5:$AJ$120,0,MATCH(E$2,Inputs!$K$4:$AJ$4,0))))+SUMPRODUCT((Inputs!$C$5:$C$120=$B54)*ISNUMBER(INDEX(Inputs!$K$5:$AJ$120,0,MATCH(E$2,Inputs!$K$4:$AJ$4,0))))+SUMPRODUCT((Inputs!$E$5:$E$120=$B54)*ISNUMBER(INDEX(Inputs!$K$5:$AJ$120,0,MATCH(E$2,Inputs!$K$4:$AJ$4,0))))=0,NA(),SUMPRODUCT((Inputs!$A$5:$A$120=$B54)*Inputs!$B$5:$B$120*(((Inputs!$G$5:$G$120="moeda")+(Inputs!$G$5:$G$120="acoes"))*Inputs!$B$1+((Inputs!$G$5:$G$120&lt;&gt;"moeda")*(Inputs!$G$5:$G$120&lt;&gt;"acoes")))*INDEX(Inputs!$K$5:$AJ$120,0,MATCH(E$2,Inputs!$K$4:$AJ$4,0)))+SUMPRODUCT((Inputs!$C$5:$C$120=$B54)*Inputs!$D$5:$D$120*(((Inputs!$G$5:$G$120="moeda")+(Inputs!$G$5:$G$120="acoes"))*Inputs!$B$1+((Inputs!$G$5:$G$120&lt;&gt;"moeda")*(Inputs!$G$5:$G$120&lt;&gt;"acoes")))*INDEX(Inputs!$K$5:$AJ$120,0,MATCH(E$2,Inputs!$K$4:$AJ$4,0)))+SUMPRODUCT((Inputs!$E$5:$E$120=$B54)*Inputs!$F$5:$F$120*(((Inputs!$G$5:$G$120="moeda")+(Inputs!$G$5:$G$120="acoes"))*Inputs!$B$1+((Inputs!$G$5:$G$120&lt;&gt;"moeda")*(Inputs!$G$5:$G$120&lt;&gt;"acoes")))*INDEX(Inputs!$K$5:$AJ$120,0,MATCH(E$2,Inputs!$K$4:$AJ$4,0)))))</f>
        <v>#N/A</v>
      </c>
      <c r="F54" s="263" t="e">
        <f>IF(ISNA(MATCH(F$2,Inputs!$K$4:$AJ$4,0)),NA(),IF(SUMPRODUCT((Inputs!$A$5:$A$120=$B54)*ISNUMBER(INDEX(Inputs!$K$5:$AJ$120,0,MATCH(F$2,Inputs!$K$4:$AJ$4,0))))+SUMPRODUCT((Inputs!$C$5:$C$120=$B54)*ISNUMBER(INDEX(Inputs!$K$5:$AJ$120,0,MATCH(F$2,Inputs!$K$4:$AJ$4,0))))+SUMPRODUCT((Inputs!$E$5:$E$120=$B54)*ISNUMBER(INDEX(Inputs!$K$5:$AJ$120,0,MATCH(F$2,Inputs!$K$4:$AJ$4,0))))=0,NA(),SUMPRODUCT((Inputs!$A$5:$A$120=$B54)*Inputs!$B$5:$B$120*(((Inputs!$G$5:$G$120="moeda")+(Inputs!$G$5:$G$120="acoes"))*Inputs!$B$1+((Inputs!$G$5:$G$120&lt;&gt;"moeda")*(Inputs!$G$5:$G$120&lt;&gt;"acoes")))*INDEX(Inputs!$K$5:$AJ$120,0,MATCH(F$2,Inputs!$K$4:$AJ$4,0)))+SUMPRODUCT((Inputs!$C$5:$C$120=$B54)*Inputs!$D$5:$D$120*(((Inputs!$G$5:$G$120="moeda")+(Inputs!$G$5:$G$120="acoes"))*Inputs!$B$1+((Inputs!$G$5:$G$120&lt;&gt;"moeda")*(Inputs!$G$5:$G$120&lt;&gt;"acoes")))*INDEX(Inputs!$K$5:$AJ$120,0,MATCH(F$2,Inputs!$K$4:$AJ$4,0)))+SUMPRODUCT((Inputs!$E$5:$E$120=$B54)*Inputs!$F$5:$F$120*(((Inputs!$G$5:$G$120="moeda")+(Inputs!$G$5:$G$120="acoes"))*Inputs!$B$1+((Inputs!$G$5:$G$120&lt;&gt;"moeda")*(Inputs!$G$5:$G$120&lt;&gt;"acoes")))*INDEX(Inputs!$K$5:$AJ$120,0,MATCH(F$2,Inputs!$K$4:$AJ$4,0)))))</f>
        <v>#N/A</v>
      </c>
      <c r="G54" s="263" t="e">
        <f>IF(ISNA(MATCH(G$2,Inputs!$K$4:$AJ$4,0)),NA(),IF(SUMPRODUCT((Inputs!$A$5:$A$120=$B54)*ISNUMBER(INDEX(Inputs!$K$5:$AJ$120,0,MATCH(G$2,Inputs!$K$4:$AJ$4,0))))+SUMPRODUCT((Inputs!$C$5:$C$120=$B54)*ISNUMBER(INDEX(Inputs!$K$5:$AJ$120,0,MATCH(G$2,Inputs!$K$4:$AJ$4,0))))+SUMPRODUCT((Inputs!$E$5:$E$120=$B54)*ISNUMBER(INDEX(Inputs!$K$5:$AJ$120,0,MATCH(G$2,Inputs!$K$4:$AJ$4,0))))=0,NA(),SUMPRODUCT((Inputs!$A$5:$A$120=$B54)*Inputs!$B$5:$B$120*(((Inputs!$G$5:$G$120="moeda")+(Inputs!$G$5:$G$120="acoes"))*Inputs!$B$1+((Inputs!$G$5:$G$120&lt;&gt;"moeda")*(Inputs!$G$5:$G$120&lt;&gt;"acoes")))*INDEX(Inputs!$K$5:$AJ$120,0,MATCH(G$2,Inputs!$K$4:$AJ$4,0)))+SUMPRODUCT((Inputs!$C$5:$C$120=$B54)*Inputs!$D$5:$D$120*(((Inputs!$G$5:$G$120="moeda")+(Inputs!$G$5:$G$120="acoes"))*Inputs!$B$1+((Inputs!$G$5:$G$120&lt;&gt;"moeda")*(Inputs!$G$5:$G$120&lt;&gt;"acoes")))*INDEX(Inputs!$K$5:$AJ$120,0,MATCH(G$2,Inputs!$K$4:$AJ$4,0)))+SUMPRODUCT((Inputs!$E$5:$E$120=$B54)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54" s="264" t="e">
        <f>SUM(D54:G54)</f>
        <v>#N/A</v>
      </c>
      <c r="I54" s="263" t="e">
        <f>IF(ISNA(MATCH(I$2,Inputs!$K$4:$AJ$4,0)),NA(),IF(SUMPRODUCT((Inputs!$A$5:$A$120=$B54)*ISNUMBER(INDEX(Inputs!$K$5:$AJ$120,0,MATCH(I$2,Inputs!$K$4:$AJ$4,0))))+SUMPRODUCT((Inputs!$C$5:$C$120=$B54)*ISNUMBER(INDEX(Inputs!$K$5:$AJ$120,0,MATCH(I$2,Inputs!$K$4:$AJ$4,0))))+SUMPRODUCT((Inputs!$E$5:$E$120=$B54)*ISNUMBER(INDEX(Inputs!$K$5:$AJ$120,0,MATCH(I$2,Inputs!$K$4:$AJ$4,0))))=0,NA(),SUMPRODUCT((Inputs!$A$5:$A$120=$B54)*Inputs!$B$5:$B$120*(((Inputs!$G$5:$G$120="moeda")+(Inputs!$G$5:$G$120="acoes"))*Inputs!$B$1+((Inputs!$G$5:$G$120&lt;&gt;"moeda")*(Inputs!$G$5:$G$120&lt;&gt;"acoes")))*INDEX(Inputs!$K$5:$AJ$120,0,MATCH(I$2,Inputs!$K$4:$AJ$4,0)))+SUMPRODUCT((Inputs!$C$5:$C$120=$B54)*Inputs!$D$5:$D$120*(((Inputs!$G$5:$G$120="moeda")+(Inputs!$G$5:$G$120="acoes"))*Inputs!$B$1+((Inputs!$G$5:$G$120&lt;&gt;"moeda")*(Inputs!$G$5:$G$120&lt;&gt;"acoes")))*INDEX(Inputs!$K$5:$AJ$120,0,MATCH(I$2,Inputs!$K$4:$AJ$4,0)))+SUMPRODUCT((Inputs!$E$5:$E$120=$B54)*Inputs!$F$5:$F$120*(((Inputs!$G$5:$G$120="moeda")+(Inputs!$G$5:$G$120="acoes"))*Inputs!$B$1+((Inputs!$G$5:$G$120&lt;&gt;"moeda")*(Inputs!$G$5:$G$120&lt;&gt;"acoes")))*INDEX(Inputs!$K$5:$AJ$120,0,MATCH(I$2,Inputs!$K$4:$AJ$4,0)))))</f>
        <v>#N/A</v>
      </c>
      <c r="J54" s="263" t="e">
        <f>IF(ISNA(MATCH(J$2,Inputs!$K$4:$AJ$4,0)),NA(),IF(SUMPRODUCT((Inputs!$A$5:$A$120=$B54)*ISNUMBER(INDEX(Inputs!$K$5:$AJ$120,0,MATCH(J$2,Inputs!$K$4:$AJ$4,0))))+SUMPRODUCT((Inputs!$C$5:$C$120=$B54)*ISNUMBER(INDEX(Inputs!$K$5:$AJ$120,0,MATCH(J$2,Inputs!$K$4:$AJ$4,0))))+SUMPRODUCT((Inputs!$E$5:$E$120=$B54)*ISNUMBER(INDEX(Inputs!$K$5:$AJ$120,0,MATCH(J$2,Inputs!$K$4:$AJ$4,0))))=0,NA(),SUMPRODUCT((Inputs!$A$5:$A$120=$B54)*Inputs!$B$5:$B$120*(((Inputs!$G$5:$G$120="moeda")+(Inputs!$G$5:$G$120="acoes"))*Inputs!$B$1+((Inputs!$G$5:$G$120&lt;&gt;"moeda")*(Inputs!$G$5:$G$120&lt;&gt;"acoes")))*INDEX(Inputs!$K$5:$AJ$120,0,MATCH(J$2,Inputs!$K$4:$AJ$4,0)))+SUMPRODUCT((Inputs!$C$5:$C$120=$B54)*Inputs!$D$5:$D$120*(((Inputs!$G$5:$G$120="moeda")+(Inputs!$G$5:$G$120="acoes"))*Inputs!$B$1+((Inputs!$G$5:$G$120&lt;&gt;"moeda")*(Inputs!$G$5:$G$120&lt;&gt;"acoes")))*INDEX(Inputs!$K$5:$AJ$120,0,MATCH(J$2,Inputs!$K$4:$AJ$4,0)))+SUMPRODUCT((Inputs!$E$5:$E$120=$B54)*Inputs!$F$5:$F$120*(((Inputs!$G$5:$G$120="moeda")+(Inputs!$G$5:$G$120="acoes"))*Inputs!$B$1+((Inputs!$G$5:$G$120&lt;&gt;"moeda")*(Inputs!$G$5:$G$120&lt;&gt;"acoes")))*INDEX(Inputs!$K$5:$AJ$120,0,MATCH(J$2,Inputs!$K$4:$AJ$4,0)))))</f>
        <v>#N/A</v>
      </c>
      <c r="K54" s="263" t="e">
        <f>IF(ISNA(MATCH(K$2,Inputs!$K$4:$AJ$4,0)),NA(),IF(SUMPRODUCT((Inputs!$A$5:$A$120=$B54)*ISNUMBER(INDEX(Inputs!$K$5:$AJ$120,0,MATCH(K$2,Inputs!$K$4:$AJ$4,0))))+SUMPRODUCT((Inputs!$C$5:$C$120=$B54)*ISNUMBER(INDEX(Inputs!$K$5:$AJ$120,0,MATCH(K$2,Inputs!$K$4:$AJ$4,0))))+SUMPRODUCT((Inputs!$E$5:$E$120=$B54)*ISNUMBER(INDEX(Inputs!$K$5:$AJ$120,0,MATCH(K$2,Inputs!$K$4:$AJ$4,0))))=0,NA(),SUMPRODUCT((Inputs!$A$5:$A$120=$B54)*Inputs!$B$5:$B$120*(((Inputs!$G$5:$G$120="moeda")+(Inputs!$G$5:$G$120="acoes"))*Inputs!$B$1+((Inputs!$G$5:$G$120&lt;&gt;"moeda")*(Inputs!$G$5:$G$120&lt;&gt;"acoes")))*INDEX(Inputs!$K$5:$AJ$120,0,MATCH(K$2,Inputs!$K$4:$AJ$4,0)))+SUMPRODUCT((Inputs!$C$5:$C$120=$B54)*Inputs!$D$5:$D$120*(((Inputs!$G$5:$G$120="moeda")+(Inputs!$G$5:$G$120="acoes"))*Inputs!$B$1+((Inputs!$G$5:$G$120&lt;&gt;"moeda")*(Inputs!$G$5:$G$120&lt;&gt;"acoes")))*INDEX(Inputs!$K$5:$AJ$120,0,MATCH(K$2,Inputs!$K$4:$AJ$4,0)))+SUMPRODUCT((Inputs!$E$5:$E$120=$B54)*Inputs!$F$5:$F$120*(((Inputs!$G$5:$G$120="moeda")+(Inputs!$G$5:$G$120="acoes"))*Inputs!$B$1+((Inputs!$G$5:$G$120&lt;&gt;"moeda")*(Inputs!$G$5:$G$120&lt;&gt;"acoes")))*INDEX(Inputs!$K$5:$AJ$120,0,MATCH(K$2,Inputs!$K$4:$AJ$4,0)))))</f>
        <v>#N/A</v>
      </c>
      <c r="L54" s="263" t="e">
        <f>IF(ISNA(MATCH(L$2,Inputs!$K$4:$AJ$4,0)),NA(),IF(SUMPRODUCT((Inputs!$A$5:$A$120=$B54)*ISNUMBER(INDEX(Inputs!$K$5:$AJ$120,0,MATCH(L$2,Inputs!$K$4:$AJ$4,0))))+SUMPRODUCT((Inputs!$C$5:$C$120=$B54)*ISNUMBER(INDEX(Inputs!$K$5:$AJ$120,0,MATCH(L$2,Inputs!$K$4:$AJ$4,0))))+SUMPRODUCT((Inputs!$E$5:$E$120=$B54)*ISNUMBER(INDEX(Inputs!$K$5:$AJ$120,0,MATCH(L$2,Inputs!$K$4:$AJ$4,0))))=0,NA(),SUMPRODUCT((Inputs!$A$5:$A$120=$B54)*Inputs!$B$5:$B$120*(((Inputs!$G$5:$G$120="moeda")+(Inputs!$G$5:$G$120="acoes"))*Inputs!$B$1+((Inputs!$G$5:$G$120&lt;&gt;"moeda")*(Inputs!$G$5:$G$120&lt;&gt;"acoes")))*INDEX(Inputs!$K$5:$AJ$120,0,MATCH(L$2,Inputs!$K$4:$AJ$4,0)))+SUMPRODUCT((Inputs!$C$5:$C$120=$B54)*Inputs!$D$5:$D$120*(((Inputs!$G$5:$G$120="moeda")+(Inputs!$G$5:$G$120="acoes"))*Inputs!$B$1+((Inputs!$G$5:$G$120&lt;&gt;"moeda")*(Inputs!$G$5:$G$120&lt;&gt;"acoes")))*INDEX(Inputs!$K$5:$AJ$120,0,MATCH(L$2,Inputs!$K$4:$AJ$4,0)))+SUMPRODUCT((Inputs!$E$5:$E$120=$B54)*Inputs!$F$5:$F$120*(((Inputs!$G$5:$G$120="moeda")+(Inputs!$G$5:$G$120="acoes"))*Inputs!$B$1+((Inputs!$G$5:$G$120&lt;&gt;"moeda")*(Inputs!$G$5:$G$120&lt;&gt;"acoes")))*INDEX(Inputs!$K$5:$AJ$120,0,MATCH(L$2,Inputs!$K$4:$AJ$4,0)))))</f>
        <v>#N/A</v>
      </c>
      <c r="M54" s="264" t="e">
        <f>SUM(I54:L54)</f>
        <v>#N/A</v>
      </c>
      <c r="N54" s="263">
        <f>IF(ISNA(MATCH(N$2,Inputs!$K$4:$AJ$4,0)),NA(),IF(SUMPRODUCT((Inputs!$A$5:$A$120=$B54)*ISNUMBER(INDEX(Inputs!$K$5:$AJ$120,0,MATCH(N$2,Inputs!$K$4:$AJ$4,0))))+SUMPRODUCT((Inputs!$C$5:$C$120=$B54)*ISNUMBER(INDEX(Inputs!$K$5:$AJ$120,0,MATCH(N$2,Inputs!$K$4:$AJ$4,0))))+SUMPRODUCT((Inputs!$E$5:$E$120=$B54)*ISNUMBER(INDEX(Inputs!$K$5:$AJ$120,0,MATCH(N$2,Inputs!$K$4:$AJ$4,0))))=0,NA(),SUMPRODUCT((Inputs!$A$5:$A$120=$B54)*Inputs!$B$5:$B$120*(((Inputs!$G$5:$G$120="moeda")+(Inputs!$G$5:$G$120="acoes"))*Inputs!$B$1+((Inputs!$G$5:$G$120&lt;&gt;"moeda")*(Inputs!$G$5:$G$120&lt;&gt;"acoes")))*INDEX(Inputs!$K$5:$AJ$120,0,MATCH(N$2,Inputs!$K$4:$AJ$4,0)))+SUMPRODUCT((Inputs!$C$5:$C$120=$B54)*Inputs!$D$5:$D$120*(((Inputs!$G$5:$G$120="moeda")+(Inputs!$G$5:$G$120="acoes"))*Inputs!$B$1+((Inputs!$G$5:$G$120&lt;&gt;"moeda")*(Inputs!$G$5:$G$120&lt;&gt;"acoes")))*INDEX(Inputs!$K$5:$AJ$120,0,MATCH(N$2,Inputs!$K$4:$AJ$4,0)))+SUMPRODUCT((Inputs!$E$5:$E$120=$B54)*Inputs!$F$5:$F$120*(((Inputs!$G$5:$G$120="moeda")+(Inputs!$G$5:$G$120="acoes"))*Inputs!$B$1+((Inputs!$G$5:$G$120&lt;&gt;"moeda")*(Inputs!$G$5:$G$120&lt;&gt;"acoes")))*INDEX(Inputs!$K$5:$AJ$120,0,MATCH(N$2,Inputs!$K$4:$AJ$4,0)))))</f>
        <v>0</v>
      </c>
      <c r="O54" s="263">
        <f>IF(ISNA(MATCH(O$2,Inputs!$K$4:$AJ$4,0)),NA(),IF(SUMPRODUCT((Inputs!$A$5:$A$120=$B54)*ISNUMBER(INDEX(Inputs!$K$5:$AJ$120,0,MATCH(O$2,Inputs!$K$4:$AJ$4,0))))+SUMPRODUCT((Inputs!$C$5:$C$120=$B54)*ISNUMBER(INDEX(Inputs!$K$5:$AJ$120,0,MATCH(O$2,Inputs!$K$4:$AJ$4,0))))+SUMPRODUCT((Inputs!$E$5:$E$120=$B54)*ISNUMBER(INDEX(Inputs!$K$5:$AJ$120,0,MATCH(O$2,Inputs!$K$4:$AJ$4,0))))=0,NA(),SUMPRODUCT((Inputs!$A$5:$A$120=$B54)*Inputs!$B$5:$B$120*(((Inputs!$G$5:$G$120="moeda")+(Inputs!$G$5:$G$120="acoes"))*Inputs!$B$1+((Inputs!$G$5:$G$120&lt;&gt;"moeda")*(Inputs!$G$5:$G$120&lt;&gt;"acoes")))*INDEX(Inputs!$K$5:$AJ$120,0,MATCH(O$2,Inputs!$K$4:$AJ$4,0)))+SUMPRODUCT((Inputs!$C$5:$C$120=$B54)*Inputs!$D$5:$D$120*(((Inputs!$G$5:$G$120="moeda")+(Inputs!$G$5:$G$120="acoes"))*Inputs!$B$1+((Inputs!$G$5:$G$120&lt;&gt;"moeda")*(Inputs!$G$5:$G$120&lt;&gt;"acoes")))*INDEX(Inputs!$K$5:$AJ$120,0,MATCH(O$2,Inputs!$K$4:$AJ$4,0)))+SUMPRODUCT((Inputs!$E$5:$E$120=$B54)*Inputs!$F$5:$F$120*(((Inputs!$G$5:$G$120="moeda")+(Inputs!$G$5:$G$120="acoes"))*Inputs!$B$1+((Inputs!$G$5:$G$120&lt;&gt;"moeda")*(Inputs!$G$5:$G$120&lt;&gt;"acoes")))*INDEX(Inputs!$K$5:$AJ$120,0,MATCH(O$2,Inputs!$K$4:$AJ$4,0)))))</f>
        <v>0</v>
      </c>
      <c r="P54" s="263">
        <f>IF(ISNA(MATCH(P$2,Inputs!$K$4:$AJ$4,0)),NA(),IF(SUMPRODUCT((Inputs!$A$5:$A$120=$B54)*ISNUMBER(INDEX(Inputs!$K$5:$AJ$120,0,MATCH(P$2,Inputs!$K$4:$AJ$4,0))))+SUMPRODUCT((Inputs!$C$5:$C$120=$B54)*ISNUMBER(INDEX(Inputs!$K$5:$AJ$120,0,MATCH(P$2,Inputs!$K$4:$AJ$4,0))))+SUMPRODUCT((Inputs!$E$5:$E$120=$B54)*ISNUMBER(INDEX(Inputs!$K$5:$AJ$120,0,MATCH(P$2,Inputs!$K$4:$AJ$4,0))))=0,NA(),SUMPRODUCT((Inputs!$A$5:$A$120=$B54)*Inputs!$B$5:$B$120*(((Inputs!$G$5:$G$120="moeda")+(Inputs!$G$5:$G$120="acoes"))*Inputs!$B$1+((Inputs!$G$5:$G$120&lt;&gt;"moeda")*(Inputs!$G$5:$G$120&lt;&gt;"acoes")))*INDEX(Inputs!$K$5:$AJ$120,0,MATCH(P$2,Inputs!$K$4:$AJ$4,0)))+SUMPRODUCT((Inputs!$C$5:$C$120=$B54)*Inputs!$D$5:$D$120*(((Inputs!$G$5:$G$120="moeda")+(Inputs!$G$5:$G$120="acoes"))*Inputs!$B$1+((Inputs!$G$5:$G$120&lt;&gt;"moeda")*(Inputs!$G$5:$G$120&lt;&gt;"acoes")))*INDEX(Inputs!$K$5:$AJ$120,0,MATCH(P$2,Inputs!$K$4:$AJ$4,0)))+SUMPRODUCT((Inputs!$E$5:$E$120=$B54)*Inputs!$F$5:$F$120*(((Inputs!$G$5:$G$120="moeda")+(Inputs!$G$5:$G$120="acoes"))*Inputs!$B$1+((Inputs!$G$5:$G$120&lt;&gt;"moeda")*(Inputs!$G$5:$G$120&lt;&gt;"acoes")))*INDEX(Inputs!$K$5:$AJ$120,0,MATCH(P$2,Inputs!$K$4:$AJ$4,0)))))</f>
        <v>0</v>
      </c>
      <c r="Q54" s="263">
        <f>IF(ISNA(MATCH(Q$2,Inputs!$K$4:$AJ$4,0)),NA(),IF(SUMPRODUCT((Inputs!$A$5:$A$120=$B54)*ISNUMBER(INDEX(Inputs!$K$5:$AJ$120,0,MATCH(Q$2,Inputs!$K$4:$AJ$4,0))))+SUMPRODUCT((Inputs!$C$5:$C$120=$B54)*ISNUMBER(INDEX(Inputs!$K$5:$AJ$120,0,MATCH(Q$2,Inputs!$K$4:$AJ$4,0))))+SUMPRODUCT((Inputs!$E$5:$E$120=$B54)*ISNUMBER(INDEX(Inputs!$K$5:$AJ$120,0,MATCH(Q$2,Inputs!$K$4:$AJ$4,0))))=0,NA(),SUMPRODUCT((Inputs!$A$5:$A$120=$B54)*Inputs!$B$5:$B$120*(((Inputs!$G$5:$G$120="moeda")+(Inputs!$G$5:$G$120="acoes"))*Inputs!$B$1+((Inputs!$G$5:$G$120&lt;&gt;"moeda")*(Inputs!$G$5:$G$120&lt;&gt;"acoes")))*INDEX(Inputs!$K$5:$AJ$120,0,MATCH(Q$2,Inputs!$K$4:$AJ$4,0)))+SUMPRODUCT((Inputs!$C$5:$C$120=$B54)*Inputs!$D$5:$D$120*(((Inputs!$G$5:$G$120="moeda")+(Inputs!$G$5:$G$120="acoes"))*Inputs!$B$1+((Inputs!$G$5:$G$120&lt;&gt;"moeda")*(Inputs!$G$5:$G$120&lt;&gt;"acoes")))*INDEX(Inputs!$K$5:$AJ$120,0,MATCH(Q$2,Inputs!$K$4:$AJ$4,0)))+SUMPRODUCT((Inputs!$E$5:$E$120=$B54)*Inputs!$F$5:$F$120*(((Inputs!$G$5:$G$120="moeda")+(Inputs!$G$5:$G$120="acoes"))*Inputs!$B$1+((Inputs!$G$5:$G$120&lt;&gt;"moeda")*(Inputs!$G$5:$G$120&lt;&gt;"acoes")))*INDEX(Inputs!$K$5:$AJ$120,0,MATCH(Q$2,Inputs!$K$4:$AJ$4,0)))))</f>
        <v>175.8</v>
      </c>
      <c r="R54" s="264">
        <f>SUM(N54:Q54)</f>
        <v>175.8</v>
      </c>
      <c r="S54" s="263">
        <f>IF(ISNA(MATCH(S$2,Inputs!$K$4:$AJ$4,0)),NA(),IF(SUMPRODUCT((Inputs!$A$5:$A$120=$B54)*ISNUMBER(INDEX(Inputs!$K$5:$AJ$120,0,MATCH(S$2,Inputs!$K$4:$AJ$4,0))))+SUMPRODUCT((Inputs!$C$5:$C$120=$B54)*ISNUMBER(INDEX(Inputs!$K$5:$AJ$120,0,MATCH(S$2,Inputs!$K$4:$AJ$4,0))))+SUMPRODUCT((Inputs!$E$5:$E$120=$B54)*ISNUMBER(INDEX(Inputs!$K$5:$AJ$120,0,MATCH(S$2,Inputs!$K$4:$AJ$4,0))))=0,NA(),SUMPRODUCT((Inputs!$A$5:$A$120=$B54)*Inputs!$B$5:$B$120*(((Inputs!$G$5:$G$120="moeda")+(Inputs!$G$5:$G$120="acoes"))*Inputs!$B$1+((Inputs!$G$5:$G$120&lt;&gt;"moeda")*(Inputs!$G$5:$G$120&lt;&gt;"acoes")))*INDEX(Inputs!$K$5:$AJ$120,0,MATCH(S$2,Inputs!$K$4:$AJ$4,0)))+SUMPRODUCT((Inputs!$C$5:$C$120=$B54)*Inputs!$D$5:$D$120*(((Inputs!$G$5:$G$120="moeda")+(Inputs!$G$5:$G$120="acoes"))*Inputs!$B$1+((Inputs!$G$5:$G$120&lt;&gt;"moeda")*(Inputs!$G$5:$G$120&lt;&gt;"acoes")))*INDEX(Inputs!$K$5:$AJ$120,0,MATCH(S$2,Inputs!$K$4:$AJ$4,0)))+SUMPRODUCT((Inputs!$E$5:$E$120=$B54)*Inputs!$F$5:$F$120*(((Inputs!$G$5:$G$120="moeda")+(Inputs!$G$5:$G$120="acoes"))*Inputs!$B$1+((Inputs!$G$5:$G$120&lt;&gt;"moeda")*(Inputs!$G$5:$G$120&lt;&gt;"acoes")))*INDEX(Inputs!$K$5:$AJ$120,0,MATCH(S$2,Inputs!$K$4:$AJ$4,0)))))</f>
        <v>517.4</v>
      </c>
      <c r="T54" s="263">
        <f>IF(ISNA(MATCH(T$2,Inputs!$K$4:$AJ$4,0)),NA(),IF(SUMPRODUCT((Inputs!$A$5:$A$120=$B54)*ISNUMBER(INDEX(Inputs!$K$5:$AJ$120,0,MATCH(T$2,Inputs!$K$4:$AJ$4,0))))+SUMPRODUCT((Inputs!$C$5:$C$120=$B54)*ISNUMBER(INDEX(Inputs!$K$5:$AJ$120,0,MATCH(T$2,Inputs!$K$4:$AJ$4,0))))+SUMPRODUCT((Inputs!$E$5:$E$120=$B54)*ISNUMBER(INDEX(Inputs!$K$5:$AJ$120,0,MATCH(T$2,Inputs!$K$4:$AJ$4,0))))=0,NA(),SUMPRODUCT((Inputs!$A$5:$A$120=$B54)*Inputs!$B$5:$B$120*(((Inputs!$G$5:$G$120="moeda")+(Inputs!$G$5:$G$120="acoes"))*Inputs!$B$1+((Inputs!$G$5:$G$120&lt;&gt;"moeda")*(Inputs!$G$5:$G$120&lt;&gt;"acoes")))*INDEX(Inputs!$K$5:$AJ$120,0,MATCH(T$2,Inputs!$K$4:$AJ$4,0)))+SUMPRODUCT((Inputs!$C$5:$C$120=$B54)*Inputs!$D$5:$D$120*(((Inputs!$G$5:$G$120="moeda")+(Inputs!$G$5:$G$120="acoes"))*Inputs!$B$1+((Inputs!$G$5:$G$120&lt;&gt;"moeda")*(Inputs!$G$5:$G$120&lt;&gt;"acoes")))*INDEX(Inputs!$K$5:$AJ$120,0,MATCH(T$2,Inputs!$K$4:$AJ$4,0)))+SUMPRODUCT((Inputs!$E$5:$E$120=$B54)*Inputs!$F$5:$F$120*(((Inputs!$G$5:$G$120="moeda")+(Inputs!$G$5:$G$120="acoes"))*Inputs!$B$1+((Inputs!$G$5:$G$120&lt;&gt;"moeda")*(Inputs!$G$5:$G$120&lt;&gt;"acoes")))*INDEX(Inputs!$K$5:$AJ$120,0,MATCH(T$2,Inputs!$K$4:$AJ$4,0)))))</f>
        <v>1243.2</v>
      </c>
      <c r="U54" s="263">
        <f>IF(ISNA(MATCH(U$2,Inputs!$K$4:$AJ$4,0)),NA(),IF(SUMPRODUCT((Inputs!$A$5:$A$120=$B54)*ISNUMBER(INDEX(Inputs!$K$5:$AJ$120,0,MATCH(U$2,Inputs!$K$4:$AJ$4,0))))+SUMPRODUCT((Inputs!$C$5:$C$120=$B54)*ISNUMBER(INDEX(Inputs!$K$5:$AJ$120,0,MATCH(U$2,Inputs!$K$4:$AJ$4,0))))+SUMPRODUCT((Inputs!$E$5:$E$120=$B54)*ISNUMBER(INDEX(Inputs!$K$5:$AJ$120,0,MATCH(U$2,Inputs!$K$4:$AJ$4,0))))=0,NA(),SUMPRODUCT((Inputs!$A$5:$A$120=$B54)*Inputs!$B$5:$B$120*(((Inputs!$G$5:$G$120="moeda")+(Inputs!$G$5:$G$120="acoes"))*Inputs!$B$1+((Inputs!$G$5:$G$120&lt;&gt;"moeda")*(Inputs!$G$5:$G$120&lt;&gt;"acoes")))*INDEX(Inputs!$K$5:$AJ$120,0,MATCH(U$2,Inputs!$K$4:$AJ$4,0)))+SUMPRODUCT((Inputs!$C$5:$C$120=$B54)*Inputs!$D$5:$D$120*(((Inputs!$G$5:$G$120="moeda")+(Inputs!$G$5:$G$120="acoes"))*Inputs!$B$1+((Inputs!$G$5:$G$120&lt;&gt;"moeda")*(Inputs!$G$5:$G$120&lt;&gt;"acoes")))*INDEX(Inputs!$K$5:$AJ$120,0,MATCH(U$2,Inputs!$K$4:$AJ$4,0)))+SUMPRODUCT((Inputs!$E$5:$E$120=$B54)*Inputs!$F$5:$F$120*(((Inputs!$G$5:$G$120="moeda")+(Inputs!$G$5:$G$120="acoes"))*Inputs!$B$1+((Inputs!$G$5:$G$120&lt;&gt;"moeda")*(Inputs!$G$5:$G$120&lt;&gt;"acoes")))*INDEX(Inputs!$K$5:$AJ$120,0,MATCH(U$2,Inputs!$K$4:$AJ$4,0)))))</f>
        <v>1257.8</v>
      </c>
      <c r="V54" s="263">
        <f>IF(ISNA(MATCH(V$2,Inputs!$K$4:$AJ$4,0)),NA(),IF(SUMPRODUCT((Inputs!$A$5:$A$120=$B54)*ISNUMBER(INDEX(Inputs!$K$5:$AJ$120,0,MATCH(V$2,Inputs!$K$4:$AJ$4,0))))+SUMPRODUCT((Inputs!$C$5:$C$120=$B54)*ISNUMBER(INDEX(Inputs!$K$5:$AJ$120,0,MATCH(V$2,Inputs!$K$4:$AJ$4,0))))+SUMPRODUCT((Inputs!$E$5:$E$120=$B54)*ISNUMBER(INDEX(Inputs!$K$5:$AJ$120,0,MATCH(V$2,Inputs!$K$4:$AJ$4,0))))=0,NA(),SUMPRODUCT((Inputs!$A$5:$A$120=$B54)*Inputs!$B$5:$B$120*(((Inputs!$G$5:$G$120="moeda")+(Inputs!$G$5:$G$120="acoes"))*Inputs!$B$1+((Inputs!$G$5:$G$120&lt;&gt;"moeda")*(Inputs!$G$5:$G$120&lt;&gt;"acoes")))*INDEX(Inputs!$K$5:$AJ$120,0,MATCH(V$2,Inputs!$K$4:$AJ$4,0)))+SUMPRODUCT((Inputs!$C$5:$C$120=$B54)*Inputs!$D$5:$D$120*(((Inputs!$G$5:$G$120="moeda")+(Inputs!$G$5:$G$120="acoes"))*Inputs!$B$1+((Inputs!$G$5:$G$120&lt;&gt;"moeda")*(Inputs!$G$5:$G$120&lt;&gt;"acoes")))*INDEX(Inputs!$K$5:$AJ$120,0,MATCH(V$2,Inputs!$K$4:$AJ$4,0)))+SUMPRODUCT((Inputs!$E$5:$E$120=$B54)*Inputs!$F$5:$F$120*(((Inputs!$G$5:$G$120="moeda")+(Inputs!$G$5:$G$120="acoes"))*Inputs!$B$1+((Inputs!$G$5:$G$120&lt;&gt;"moeda")*(Inputs!$G$5:$G$120&lt;&gt;"acoes")))*INDEX(Inputs!$K$5:$AJ$120,0,MATCH(V$2,Inputs!$K$4:$AJ$4,0)))))</f>
        <v>1907.3</v>
      </c>
      <c r="W54" s="264">
        <f>SUM(S54:V54)</f>
        <v>4925.7</v>
      </c>
      <c r="X54" s="263">
        <f>IF(ISNA(MATCH(X$2,Inputs!$K$4:$AJ$4,0)),NA(),IF(SUMPRODUCT((Inputs!$A$5:$A$120=$B54)*ISNUMBER(INDEX(Inputs!$K$5:$AJ$120,0,MATCH(X$2,Inputs!$K$4:$AJ$4,0))))+SUMPRODUCT((Inputs!$C$5:$C$120=$B54)*ISNUMBER(INDEX(Inputs!$K$5:$AJ$120,0,MATCH(X$2,Inputs!$K$4:$AJ$4,0))))+SUMPRODUCT((Inputs!$E$5:$E$120=$B54)*ISNUMBER(INDEX(Inputs!$K$5:$AJ$120,0,MATCH(X$2,Inputs!$K$4:$AJ$4,0))))=0,NA(),SUMPRODUCT((Inputs!$A$5:$A$120=$B54)*Inputs!$B$5:$B$120*(((Inputs!$G$5:$G$120="moeda")+(Inputs!$G$5:$G$120="acoes"))*Inputs!$B$1+((Inputs!$G$5:$G$120&lt;&gt;"moeda")*(Inputs!$G$5:$G$120&lt;&gt;"acoes")))*INDEX(Inputs!$K$5:$AJ$120,0,MATCH(X$2,Inputs!$K$4:$AJ$4,0)))+SUMPRODUCT((Inputs!$C$5:$C$120=$B54)*Inputs!$D$5:$D$120*(((Inputs!$G$5:$G$120="moeda")+(Inputs!$G$5:$G$120="acoes"))*Inputs!$B$1+((Inputs!$G$5:$G$120&lt;&gt;"moeda")*(Inputs!$G$5:$G$120&lt;&gt;"acoes")))*INDEX(Inputs!$K$5:$AJ$120,0,MATCH(X$2,Inputs!$K$4:$AJ$4,0)))+SUMPRODUCT((Inputs!$E$5:$E$120=$B54)*Inputs!$F$5:$F$120*(((Inputs!$G$5:$G$120="moeda")+(Inputs!$G$5:$G$120="acoes"))*Inputs!$B$1+((Inputs!$G$5:$G$120&lt;&gt;"moeda")*(Inputs!$G$5:$G$120&lt;&gt;"acoes")))*INDEX(Inputs!$K$5:$AJ$120,0,MATCH(X$2,Inputs!$K$4:$AJ$4,0)))))</f>
        <v>2312</v>
      </c>
      <c r="Y54" s="263">
        <f>IF(ISNA(MATCH(Y$2,Inputs!$K$4:$AJ$4,0)),NA(),IF(SUMPRODUCT((Inputs!$A$5:$A$120=$B54)*ISNUMBER(INDEX(Inputs!$K$5:$AJ$120,0,MATCH(Y$2,Inputs!$K$4:$AJ$4,0))))+SUMPRODUCT((Inputs!$C$5:$C$120=$B54)*ISNUMBER(INDEX(Inputs!$K$5:$AJ$120,0,MATCH(Y$2,Inputs!$K$4:$AJ$4,0))))+SUMPRODUCT((Inputs!$E$5:$E$120=$B54)*ISNUMBER(INDEX(Inputs!$K$5:$AJ$120,0,MATCH(Y$2,Inputs!$K$4:$AJ$4,0))))=0,NA(),SUMPRODUCT((Inputs!$A$5:$A$120=$B54)*Inputs!$B$5:$B$120*(((Inputs!$G$5:$G$120="moeda")+(Inputs!$G$5:$G$120="acoes"))*Inputs!$B$1+((Inputs!$G$5:$G$120&lt;&gt;"moeda")*(Inputs!$G$5:$G$120&lt;&gt;"acoes")))*INDEX(Inputs!$K$5:$AJ$120,0,MATCH(Y$2,Inputs!$K$4:$AJ$4,0)))+SUMPRODUCT((Inputs!$C$5:$C$120=$B54)*Inputs!$D$5:$D$120*(((Inputs!$G$5:$G$120="moeda")+(Inputs!$G$5:$G$120="acoes"))*Inputs!$B$1+((Inputs!$G$5:$G$120&lt;&gt;"moeda")*(Inputs!$G$5:$G$120&lt;&gt;"acoes")))*INDEX(Inputs!$K$5:$AJ$120,0,MATCH(Y$2,Inputs!$K$4:$AJ$4,0)))+SUMPRODUCT((Inputs!$E$5:$E$120=$B54)*Inputs!$F$5:$F$120*(((Inputs!$G$5:$G$120="moeda")+(Inputs!$G$5:$G$120="acoes"))*Inputs!$B$1+((Inputs!$G$5:$G$120&lt;&gt;"moeda")*(Inputs!$G$5:$G$120&lt;&gt;"acoes")))*INDEX(Inputs!$K$5:$AJ$120,0,MATCH(Y$2,Inputs!$K$4:$AJ$4,0)))))</f>
        <v>3381</v>
      </c>
      <c r="Z54" s="263">
        <f>IF(ISNA(MATCH(Z$2,Inputs!$K$4:$AJ$4,0)),NA(),IF(SUMPRODUCT((Inputs!$A$5:$A$120=$B54)*ISNUMBER(INDEX(Inputs!$K$5:$AJ$120,0,MATCH(Z$2,Inputs!$K$4:$AJ$4,0))))+SUMPRODUCT((Inputs!$C$5:$C$120=$B54)*ISNUMBER(INDEX(Inputs!$K$5:$AJ$120,0,MATCH(Z$2,Inputs!$K$4:$AJ$4,0))))+SUMPRODUCT((Inputs!$E$5:$E$120=$B54)*ISNUMBER(INDEX(Inputs!$K$5:$AJ$120,0,MATCH(Z$2,Inputs!$K$4:$AJ$4,0))))=0,NA(),SUMPRODUCT((Inputs!$A$5:$A$120=$B54)*Inputs!$B$5:$B$120*(((Inputs!$G$5:$G$120="moeda")+(Inputs!$G$5:$G$120="acoes"))*Inputs!$B$1+((Inputs!$G$5:$G$120&lt;&gt;"moeda")*(Inputs!$G$5:$G$120&lt;&gt;"acoes")))*INDEX(Inputs!$K$5:$AJ$120,0,MATCH(Z$2,Inputs!$K$4:$AJ$4,0)))+SUMPRODUCT((Inputs!$C$5:$C$120=$B54)*Inputs!$D$5:$D$120*(((Inputs!$G$5:$G$120="moeda")+(Inputs!$G$5:$G$120="acoes"))*Inputs!$B$1+((Inputs!$G$5:$G$120&lt;&gt;"moeda")*(Inputs!$G$5:$G$120&lt;&gt;"acoes")))*INDEX(Inputs!$K$5:$AJ$120,0,MATCH(Z$2,Inputs!$K$4:$AJ$4,0)))+SUMPRODUCT((Inputs!$E$5:$E$120=$B54)*Inputs!$F$5:$F$120*(((Inputs!$G$5:$G$120="moeda")+(Inputs!$G$5:$G$120="acoes"))*Inputs!$B$1+((Inputs!$G$5:$G$120&lt;&gt;"moeda")*(Inputs!$G$5:$G$120&lt;&gt;"acoes")))*INDEX(Inputs!$K$5:$AJ$120,0,MATCH(Z$2,Inputs!$K$4:$AJ$4,0)))))</f>
        <v>3588.1</v>
      </c>
      <c r="AA54" s="263">
        <f>IF(ISNA(MATCH(AA$2,Inputs!$K$4:$AJ$4,0)),NA(),IF(SUMPRODUCT((Inputs!$A$5:$A$120=$B54)*ISNUMBER(INDEX(Inputs!$K$5:$AJ$120,0,MATCH(AA$2,Inputs!$K$4:$AJ$4,0))))+SUMPRODUCT((Inputs!$C$5:$C$120=$B54)*ISNUMBER(INDEX(Inputs!$K$5:$AJ$120,0,MATCH(AA$2,Inputs!$K$4:$AJ$4,0))))+SUMPRODUCT((Inputs!$E$5:$E$120=$B54)*ISNUMBER(INDEX(Inputs!$K$5:$AJ$120,0,MATCH(AA$2,Inputs!$K$4:$AJ$4,0))))=0,NA(),SUMPRODUCT((Inputs!$A$5:$A$120=$B54)*Inputs!$B$5:$B$120*(((Inputs!$G$5:$G$120="moeda")+(Inputs!$G$5:$G$120="acoes"))*Inputs!$B$1+((Inputs!$G$5:$G$120&lt;&gt;"moeda")*(Inputs!$G$5:$G$120&lt;&gt;"acoes")))*INDEX(Inputs!$K$5:$AJ$120,0,MATCH(AA$2,Inputs!$K$4:$AJ$4,0)))+SUMPRODUCT((Inputs!$C$5:$C$120=$B54)*Inputs!$D$5:$D$120*(((Inputs!$G$5:$G$120="moeda")+(Inputs!$G$5:$G$120="acoes"))*Inputs!$B$1+((Inputs!$G$5:$G$120&lt;&gt;"moeda")*(Inputs!$G$5:$G$120&lt;&gt;"acoes")))*INDEX(Inputs!$K$5:$AJ$120,0,MATCH(AA$2,Inputs!$K$4:$AJ$4,0)))+SUMPRODUCT((Inputs!$E$5:$E$120=$B54)*Inputs!$F$5:$F$120*(((Inputs!$G$5:$G$120="moeda")+(Inputs!$G$5:$G$120="acoes"))*Inputs!$B$1+((Inputs!$G$5:$G$120&lt;&gt;"moeda")*(Inputs!$G$5:$G$120&lt;&gt;"acoes")))*INDEX(Inputs!$K$5:$AJ$120,0,MATCH(AA$2,Inputs!$K$4:$AJ$4,0)))))</f>
        <v>4260.7</v>
      </c>
      <c r="AB54" s="264">
        <f>SUM(X54:AA54)</f>
        <v>13541.8</v>
      </c>
      <c r="AC54" s="263">
        <f>IF(ISNA(MATCH(AC$2,Inputs!$K$4:$AJ$4,0)),NA(),IF(SUMPRODUCT((Inputs!$A$5:$A$120=$B54)*ISNUMBER(INDEX(Inputs!$K$5:$AJ$120,0,MATCH(AC$2,Inputs!$K$4:$AJ$4,0))))+SUMPRODUCT((Inputs!$C$5:$C$120=$B54)*ISNUMBER(INDEX(Inputs!$K$5:$AJ$120,0,MATCH(AC$2,Inputs!$K$4:$AJ$4,0))))+SUMPRODUCT((Inputs!$E$5:$E$120=$B54)*ISNUMBER(INDEX(Inputs!$K$5:$AJ$120,0,MATCH(AC$2,Inputs!$K$4:$AJ$4,0))))=0,NA(),SUMPRODUCT((Inputs!$A$5:$A$120=$B54)*Inputs!$B$5:$B$120*(((Inputs!$G$5:$G$120="moeda")+(Inputs!$G$5:$G$120="acoes"))*Inputs!$B$1+((Inputs!$G$5:$G$120&lt;&gt;"moeda")*(Inputs!$G$5:$G$120&lt;&gt;"acoes")))*INDEX(Inputs!$K$5:$AJ$120,0,MATCH(AC$2,Inputs!$K$4:$AJ$4,0)))+SUMPRODUCT((Inputs!$C$5:$C$120=$B54)*Inputs!$D$5:$D$120*(((Inputs!$G$5:$G$120="moeda")+(Inputs!$G$5:$G$120="acoes"))*Inputs!$B$1+((Inputs!$G$5:$G$120&lt;&gt;"moeda")*(Inputs!$G$5:$G$120&lt;&gt;"acoes")))*INDEX(Inputs!$K$5:$AJ$120,0,MATCH(AC$2,Inputs!$K$4:$AJ$4,0)))+SUMPRODUCT((Inputs!$E$5:$E$120=$B54)*Inputs!$F$5:$F$120*(((Inputs!$G$5:$G$120="moeda")+(Inputs!$G$5:$G$120="acoes"))*Inputs!$B$1+((Inputs!$G$5:$G$120&lt;&gt;"moeda")*(Inputs!$G$5:$G$120&lt;&gt;"acoes")))*INDEX(Inputs!$K$5:$AJ$120,0,MATCH(AC$2,Inputs!$K$4:$AJ$4,0)))))</f>
        <v>4160</v>
      </c>
      <c r="AD54" s="263">
        <f>IF(ISNA(MATCH(AD$2,Inputs!$K$4:$AJ$4,0)),NA(),IF(SUMPRODUCT((Inputs!$A$5:$A$120=$B54)*ISNUMBER(INDEX(Inputs!$K$5:$AJ$120,0,MATCH(AD$2,Inputs!$K$4:$AJ$4,0))))+SUMPRODUCT((Inputs!$C$5:$C$120=$B54)*ISNUMBER(INDEX(Inputs!$K$5:$AJ$120,0,MATCH(AD$2,Inputs!$K$4:$AJ$4,0))))+SUMPRODUCT((Inputs!$E$5:$E$120=$B54)*ISNUMBER(INDEX(Inputs!$K$5:$AJ$120,0,MATCH(AD$2,Inputs!$K$4:$AJ$4,0))))=0,NA(),SUMPRODUCT((Inputs!$A$5:$A$120=$B54)*Inputs!$B$5:$B$120*(((Inputs!$G$5:$G$120="moeda")+(Inputs!$G$5:$G$120="acoes"))*Inputs!$B$1+((Inputs!$G$5:$G$120&lt;&gt;"moeda")*(Inputs!$G$5:$G$120&lt;&gt;"acoes")))*INDEX(Inputs!$K$5:$AJ$120,0,MATCH(AD$2,Inputs!$K$4:$AJ$4,0)))+SUMPRODUCT((Inputs!$C$5:$C$120=$B54)*Inputs!$D$5:$D$120*(((Inputs!$G$5:$G$120="moeda")+(Inputs!$G$5:$G$120="acoes"))*Inputs!$B$1+((Inputs!$G$5:$G$120&lt;&gt;"moeda")*(Inputs!$G$5:$G$120&lt;&gt;"acoes")))*INDEX(Inputs!$K$5:$AJ$120,0,MATCH(AD$2,Inputs!$K$4:$AJ$4,0)))+SUMPRODUCT((Inputs!$E$5:$E$120=$B54)*Inputs!$F$5:$F$120*(((Inputs!$G$5:$G$120="moeda")+(Inputs!$G$5:$G$120="acoes"))*Inputs!$B$1+((Inputs!$G$5:$G$120&lt;&gt;"moeda")*(Inputs!$G$5:$G$120&lt;&gt;"acoes")))*INDEX(Inputs!$K$5:$AJ$120,0,MATCH(AD$2,Inputs!$K$4:$AJ$4,0)))))</f>
        <v>4928</v>
      </c>
      <c r="AE54" s="263" t="e">
        <f>IF(ISNA(MATCH(AE$2,Inputs!$K$4:$AJ$4,0)),NA(),IF(SUMPRODUCT((Inputs!$A$5:$A$120=$B54)*ISNUMBER(INDEX(Inputs!$K$5:$AJ$120,0,MATCH(AE$2,Inputs!$K$4:$AJ$4,0))))+SUMPRODUCT((Inputs!$C$5:$C$120=$B54)*ISNUMBER(INDEX(Inputs!$K$5:$AJ$120,0,MATCH(AE$2,Inputs!$K$4:$AJ$4,0))))+SUMPRODUCT((Inputs!$E$5:$E$120=$B54)*ISNUMBER(INDEX(Inputs!$K$5:$AJ$120,0,MATCH(AE$2,Inputs!$K$4:$AJ$4,0))))=0,NA(),SUMPRODUCT((Inputs!$A$5:$A$120=$B54)*Inputs!$B$5:$B$120*(((Inputs!$G$5:$G$120="moeda")+(Inputs!$G$5:$G$120="acoes"))*Inputs!$B$1+((Inputs!$G$5:$G$120&lt;&gt;"moeda")*(Inputs!$G$5:$G$120&lt;&gt;"acoes")))*INDEX(Inputs!$K$5:$AJ$120,0,MATCH(AE$2,Inputs!$K$4:$AJ$4,0)))+SUMPRODUCT((Inputs!$C$5:$C$120=$B54)*Inputs!$D$5:$D$120*(((Inputs!$G$5:$G$120="moeda")+(Inputs!$G$5:$G$120="acoes"))*Inputs!$B$1+((Inputs!$G$5:$G$120&lt;&gt;"moeda")*(Inputs!$G$5:$G$120&lt;&gt;"acoes")))*INDEX(Inputs!$K$5:$AJ$120,0,MATCH(AE$2,Inputs!$K$4:$AJ$4,0)))+SUMPRODUCT((Inputs!$E$5:$E$120=$B54)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4" s="263" t="e">
        <f>IF(ISNA(MATCH(AF$2,Inputs!$K$4:$AJ$4,0)),NA(),IF(SUMPRODUCT((Inputs!$A$5:$A$120=$B54)*ISNUMBER(INDEX(Inputs!$K$5:$AJ$120,0,MATCH(AF$2,Inputs!$K$4:$AJ$4,0))))+SUMPRODUCT((Inputs!$C$5:$C$120=$B54)*ISNUMBER(INDEX(Inputs!$K$5:$AJ$120,0,MATCH(AF$2,Inputs!$K$4:$AJ$4,0))))+SUMPRODUCT((Inputs!$E$5:$E$120=$B54)*ISNUMBER(INDEX(Inputs!$K$5:$AJ$120,0,MATCH(AF$2,Inputs!$K$4:$AJ$4,0))))=0,NA(),SUMPRODUCT((Inputs!$A$5:$A$120=$B54)*Inputs!$B$5:$B$120*(((Inputs!$G$5:$G$120="moeda")+(Inputs!$G$5:$G$120="acoes"))*Inputs!$B$1+((Inputs!$G$5:$G$120&lt;&gt;"moeda")*(Inputs!$G$5:$G$120&lt;&gt;"acoes")))*INDEX(Inputs!$K$5:$AJ$120,0,MATCH(AF$2,Inputs!$K$4:$AJ$4,0)))+SUMPRODUCT((Inputs!$C$5:$C$120=$B54)*Inputs!$D$5:$D$120*(((Inputs!$G$5:$G$120="moeda")+(Inputs!$G$5:$G$120="acoes"))*Inputs!$B$1+((Inputs!$G$5:$G$120&lt;&gt;"moeda")*(Inputs!$G$5:$G$120&lt;&gt;"acoes")))*INDEX(Inputs!$K$5:$AJ$120,0,MATCH(AF$2,Inputs!$K$4:$AJ$4,0)))+SUMPRODUCT((Inputs!$E$5:$E$120=$B54)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4" s="264" t="e">
        <f>SUM(AC54:AF54)</f>
        <v>#N/A</v>
      </c>
      <c r="AH54" s="263" t="e">
        <f>IF(ISNA(MATCH(AH$2,Inputs!$K$4:$AJ$4,0)),NA(),IF(SUMPRODUCT((Inputs!$A$5:$A$120=$B54)*ISNUMBER(INDEX(Inputs!$K$5:$AJ$120,0,MATCH(AH$2,Inputs!$K$4:$AJ$4,0))))+SUMPRODUCT((Inputs!$C$5:$C$120=$B54)*ISNUMBER(INDEX(Inputs!$K$5:$AJ$120,0,MATCH(AH$2,Inputs!$K$4:$AJ$4,0))))+SUMPRODUCT((Inputs!$E$5:$E$120=$B54)*ISNUMBER(INDEX(Inputs!$K$5:$AJ$120,0,MATCH(AH$2,Inputs!$K$4:$AJ$4,0))))=0,NA(),SUMPRODUCT((Inputs!$A$5:$A$120=$B54)*Inputs!$B$5:$B$120*(((Inputs!$G$5:$G$120="moeda")+(Inputs!$G$5:$G$120="acoes"))*Inputs!$B$1+((Inputs!$G$5:$G$120&lt;&gt;"moeda")*(Inputs!$G$5:$G$120&lt;&gt;"acoes")))*INDEX(Inputs!$K$5:$AJ$120,0,MATCH(AH$2,Inputs!$K$4:$AJ$4,0)))+SUMPRODUCT((Inputs!$C$5:$C$120=$B54)*Inputs!$D$5:$D$120*(((Inputs!$G$5:$G$120="moeda")+(Inputs!$G$5:$G$120="acoes"))*Inputs!$B$1+((Inputs!$G$5:$G$120&lt;&gt;"moeda")*(Inputs!$G$5:$G$120&lt;&gt;"acoes")))*INDEX(Inputs!$K$5:$AJ$120,0,MATCH(AH$2,Inputs!$K$4:$AJ$4,0)))+SUMPRODUCT((Inputs!$E$5:$E$120=$B54)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54" s="263" t="e">
        <f>IF(ISNA(MATCH(AI$2,Inputs!$K$4:$AJ$4,0)),NA(),IF(SUMPRODUCT((Inputs!$A$5:$A$120=$B54)*ISNUMBER(INDEX(Inputs!$K$5:$AJ$120,0,MATCH(AI$2,Inputs!$K$4:$AJ$4,0))))+SUMPRODUCT((Inputs!$C$5:$C$120=$B54)*ISNUMBER(INDEX(Inputs!$K$5:$AJ$120,0,MATCH(AI$2,Inputs!$K$4:$AJ$4,0))))+SUMPRODUCT((Inputs!$E$5:$E$120=$B54)*ISNUMBER(INDEX(Inputs!$K$5:$AJ$120,0,MATCH(AI$2,Inputs!$K$4:$AJ$4,0))))=0,NA(),SUMPRODUCT((Inputs!$A$5:$A$120=$B54)*Inputs!$B$5:$B$120*(((Inputs!$G$5:$G$120="moeda")+(Inputs!$G$5:$G$120="acoes"))*Inputs!$B$1+((Inputs!$G$5:$G$120&lt;&gt;"moeda")*(Inputs!$G$5:$G$120&lt;&gt;"acoes")))*INDEX(Inputs!$K$5:$AJ$120,0,MATCH(AI$2,Inputs!$K$4:$AJ$4,0)))+SUMPRODUCT((Inputs!$C$5:$C$120=$B54)*Inputs!$D$5:$D$120*(((Inputs!$G$5:$G$120="moeda")+(Inputs!$G$5:$G$120="acoes"))*Inputs!$B$1+((Inputs!$G$5:$G$120&lt;&gt;"moeda")*(Inputs!$G$5:$G$120&lt;&gt;"acoes")))*INDEX(Inputs!$K$5:$AJ$120,0,MATCH(AI$2,Inputs!$K$4:$AJ$4,0)))+SUMPRODUCT((Inputs!$E$5:$E$120=$B54)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54" s="263" t="e">
        <f>IF(ISNA(MATCH(AJ$2,Inputs!$K$4:$AJ$4,0)),NA(),IF(SUMPRODUCT((Inputs!$A$5:$A$120=$B54)*ISNUMBER(INDEX(Inputs!$K$5:$AJ$120,0,MATCH(AJ$2,Inputs!$K$4:$AJ$4,0))))+SUMPRODUCT((Inputs!$C$5:$C$120=$B54)*ISNUMBER(INDEX(Inputs!$K$5:$AJ$120,0,MATCH(AJ$2,Inputs!$K$4:$AJ$4,0))))+SUMPRODUCT((Inputs!$E$5:$E$120=$B54)*ISNUMBER(INDEX(Inputs!$K$5:$AJ$120,0,MATCH(AJ$2,Inputs!$K$4:$AJ$4,0))))=0,NA(),SUMPRODUCT((Inputs!$A$5:$A$120=$B54)*Inputs!$B$5:$B$120*(((Inputs!$G$5:$G$120="moeda")+(Inputs!$G$5:$G$120="acoes"))*Inputs!$B$1+((Inputs!$G$5:$G$120&lt;&gt;"moeda")*(Inputs!$G$5:$G$120&lt;&gt;"acoes")))*INDEX(Inputs!$K$5:$AJ$120,0,MATCH(AJ$2,Inputs!$K$4:$AJ$4,0)))+SUMPRODUCT((Inputs!$C$5:$C$120=$B54)*Inputs!$D$5:$D$120*(((Inputs!$G$5:$G$120="moeda")+(Inputs!$G$5:$G$120="acoes"))*Inputs!$B$1+((Inputs!$G$5:$G$120&lt;&gt;"moeda")*(Inputs!$G$5:$G$120&lt;&gt;"acoes")))*INDEX(Inputs!$K$5:$AJ$120,0,MATCH(AJ$2,Inputs!$K$4:$AJ$4,0)))+SUMPRODUCT((Inputs!$E$5:$E$120=$B54)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54" s="263" t="e">
        <f>IF(ISNA(MATCH(AK$2,Inputs!$K$4:$AJ$4,0)),NA(),IF(SUMPRODUCT((Inputs!$A$5:$A$120=$B54)*ISNUMBER(INDEX(Inputs!$K$5:$AJ$120,0,MATCH(AK$2,Inputs!$K$4:$AJ$4,0))))+SUMPRODUCT((Inputs!$C$5:$C$120=$B54)*ISNUMBER(INDEX(Inputs!$K$5:$AJ$120,0,MATCH(AK$2,Inputs!$K$4:$AJ$4,0))))+SUMPRODUCT((Inputs!$E$5:$E$120=$B54)*ISNUMBER(INDEX(Inputs!$K$5:$AJ$120,0,MATCH(AK$2,Inputs!$K$4:$AJ$4,0))))=0,NA(),SUMPRODUCT((Inputs!$A$5:$A$120=$B54)*Inputs!$B$5:$B$120*(((Inputs!$G$5:$G$120="moeda")+(Inputs!$G$5:$G$120="acoes"))*Inputs!$B$1+((Inputs!$G$5:$G$120&lt;&gt;"moeda")*(Inputs!$G$5:$G$120&lt;&gt;"acoes")))*INDEX(Inputs!$K$5:$AJ$120,0,MATCH(AK$2,Inputs!$K$4:$AJ$4,0)))+SUMPRODUCT((Inputs!$C$5:$C$120=$B54)*Inputs!$D$5:$D$120*(((Inputs!$G$5:$G$120="moeda")+(Inputs!$G$5:$G$120="acoes"))*Inputs!$B$1+((Inputs!$G$5:$G$120&lt;&gt;"moeda")*(Inputs!$G$5:$G$120&lt;&gt;"acoes")))*INDEX(Inputs!$K$5:$AJ$120,0,MATCH(AK$2,Inputs!$K$4:$AJ$4,0)))+SUMPRODUCT((Inputs!$E$5:$E$120=$B54)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54" s="264" t="e">
        <f>SUM(AH54:AK54)</f>
        <v>#N/A</v>
      </c>
    </row>
    <row r="55">
      <c r="B55" s="46" t="n">
        <v>47</v>
      </c>
      <c r="C55" s="29" t="inlineStr">
        <is>
          <t>Receita Trulicity (USD)</t>
        </is>
      </c>
      <c r="D55" s="263">
        <f>IF(ISNA(MATCH(D$2,Inputs!$K$4:$AJ$4,0)),NA(),IF(SUMPRODUCT((Inputs!$A$5:$A$120=$B55)*ISNUMBER(INDEX(Inputs!$K$5:$AJ$120,0,MATCH(D$2,Inputs!$K$4:$AJ$4,0))))+SUMPRODUCT((Inputs!$C$5:$C$120=$B55)*ISNUMBER(INDEX(Inputs!$K$5:$AJ$120,0,MATCH(D$2,Inputs!$K$4:$AJ$4,0))))+SUMPRODUCT((Inputs!$E$5:$E$120=$B55)*ISNUMBER(INDEX(Inputs!$K$5:$AJ$120,0,MATCH(D$2,Inputs!$K$4:$AJ$4,0))))=0,NA(),SUMPRODUCT((Inputs!$A$5:$A$120=$B55)*Inputs!$B$5:$B$120*(((Inputs!$G$5:$G$120="moeda")+(Inputs!$G$5:$G$120="acoes"))*Inputs!$B$1+((Inputs!$G$5:$G$120&lt;&gt;"moeda")*(Inputs!$G$5:$G$120&lt;&gt;"acoes")))*INDEX(Inputs!$K$5:$AJ$120,0,MATCH(D$2,Inputs!$K$4:$AJ$4,0)))+SUMPRODUCT((Inputs!$C$5:$C$120=$B55)*Inputs!$D$5:$D$120*(((Inputs!$G$5:$G$120="moeda")+(Inputs!$G$5:$G$120="acoes"))*Inputs!$B$1+((Inputs!$G$5:$G$120&lt;&gt;"moeda")*(Inputs!$G$5:$G$120&lt;&gt;"acoes")))*INDEX(Inputs!$K$5:$AJ$120,0,MATCH(D$2,Inputs!$K$4:$AJ$4,0)))+SUMPRODUCT((Inputs!$E$5:$E$120=$B55)*Inputs!$F$5:$F$120*(((Inputs!$G$5:$G$120="moeda")+(Inputs!$G$5:$G$120="acoes"))*Inputs!$B$1+((Inputs!$G$5:$G$120&lt;&gt;"moeda")*(Inputs!$G$5:$G$120&lt;&gt;"acoes")))*INDEX(Inputs!$K$5:$AJ$120,0,MATCH(D$2,Inputs!$K$4:$AJ$4,0)))))</f>
        <v>1452.4</v>
      </c>
      <c r="E55" s="263">
        <f>IF(ISNA(MATCH(E$2,Inputs!$K$4:$AJ$4,0)),NA(),IF(SUMPRODUCT((Inputs!$A$5:$A$120=$B55)*ISNUMBER(INDEX(Inputs!$K$5:$AJ$120,0,MATCH(E$2,Inputs!$K$4:$AJ$4,0))))+SUMPRODUCT((Inputs!$C$5:$C$120=$B55)*ISNUMBER(INDEX(Inputs!$K$5:$AJ$120,0,MATCH(E$2,Inputs!$K$4:$AJ$4,0))))+SUMPRODUCT((Inputs!$E$5:$E$120=$B55)*ISNUMBER(INDEX(Inputs!$K$5:$AJ$120,0,MATCH(E$2,Inputs!$K$4:$AJ$4,0))))=0,NA(),SUMPRODUCT((Inputs!$A$5:$A$120=$B55)*Inputs!$B$5:$B$120*(((Inputs!$G$5:$G$120="moeda")+(Inputs!$G$5:$G$120="acoes"))*Inputs!$B$1+((Inputs!$G$5:$G$120&lt;&gt;"moeda")*(Inputs!$G$5:$G$120&lt;&gt;"acoes")))*INDEX(Inputs!$K$5:$AJ$120,0,MATCH(E$2,Inputs!$K$4:$AJ$4,0)))+SUMPRODUCT((Inputs!$C$5:$C$120=$B55)*Inputs!$D$5:$D$120*(((Inputs!$G$5:$G$120="moeda")+(Inputs!$G$5:$G$120="acoes"))*Inputs!$B$1+((Inputs!$G$5:$G$120&lt;&gt;"moeda")*(Inputs!$G$5:$G$120&lt;&gt;"acoes")))*INDEX(Inputs!$K$5:$AJ$120,0,MATCH(E$2,Inputs!$K$4:$AJ$4,0)))+SUMPRODUCT((Inputs!$E$5:$E$120=$B55)*Inputs!$F$5:$F$120*(((Inputs!$G$5:$G$120="moeda")+(Inputs!$G$5:$G$120="acoes"))*Inputs!$B$1+((Inputs!$G$5:$G$120&lt;&gt;"moeda")*(Inputs!$G$5:$G$120&lt;&gt;"acoes")))*INDEX(Inputs!$K$5:$AJ$120,0,MATCH(E$2,Inputs!$K$4:$AJ$4,0)))))</f>
        <v>1535.6</v>
      </c>
      <c r="F55" s="263">
        <f>IF(ISNA(MATCH(F$2,Inputs!$K$4:$AJ$4,0)),NA(),IF(SUMPRODUCT((Inputs!$A$5:$A$120=$B55)*ISNUMBER(INDEX(Inputs!$K$5:$AJ$120,0,MATCH(F$2,Inputs!$K$4:$AJ$4,0))))+SUMPRODUCT((Inputs!$C$5:$C$120=$B55)*ISNUMBER(INDEX(Inputs!$K$5:$AJ$120,0,MATCH(F$2,Inputs!$K$4:$AJ$4,0))))+SUMPRODUCT((Inputs!$E$5:$E$120=$B55)*ISNUMBER(INDEX(Inputs!$K$5:$AJ$120,0,MATCH(F$2,Inputs!$K$4:$AJ$4,0))))=0,NA(),SUMPRODUCT((Inputs!$A$5:$A$120=$B55)*Inputs!$B$5:$B$120*(((Inputs!$G$5:$G$120="moeda")+(Inputs!$G$5:$G$120="acoes"))*Inputs!$B$1+((Inputs!$G$5:$G$120&lt;&gt;"moeda")*(Inputs!$G$5:$G$120&lt;&gt;"acoes")))*INDEX(Inputs!$K$5:$AJ$120,0,MATCH(F$2,Inputs!$K$4:$AJ$4,0)))+SUMPRODUCT((Inputs!$C$5:$C$120=$B55)*Inputs!$D$5:$D$120*(((Inputs!$G$5:$G$120="moeda")+(Inputs!$G$5:$G$120="acoes"))*Inputs!$B$1+((Inputs!$G$5:$G$120&lt;&gt;"moeda")*(Inputs!$G$5:$G$120&lt;&gt;"acoes")))*INDEX(Inputs!$K$5:$AJ$120,0,MATCH(F$2,Inputs!$K$4:$AJ$4,0)))+SUMPRODUCT((Inputs!$E$5:$E$120=$B55)*Inputs!$F$5:$F$120*(((Inputs!$G$5:$G$120="moeda")+(Inputs!$G$5:$G$120="acoes"))*Inputs!$B$1+((Inputs!$G$5:$G$120&lt;&gt;"moeda")*(Inputs!$G$5:$G$120&lt;&gt;"acoes")))*INDEX(Inputs!$K$5:$AJ$120,0,MATCH(F$2,Inputs!$K$4:$AJ$4,0)))))</f>
        <v>1600.1</v>
      </c>
      <c r="G55" s="263">
        <f>IF(ISNA(MATCH(G$2,Inputs!$K$4:$AJ$4,0)),NA(),IF(SUMPRODUCT((Inputs!$A$5:$A$120=$B55)*ISNUMBER(INDEX(Inputs!$K$5:$AJ$120,0,MATCH(G$2,Inputs!$K$4:$AJ$4,0))))+SUMPRODUCT((Inputs!$C$5:$C$120=$B55)*ISNUMBER(INDEX(Inputs!$K$5:$AJ$120,0,MATCH(G$2,Inputs!$K$4:$AJ$4,0))))+SUMPRODUCT((Inputs!$E$5:$E$120=$B55)*ISNUMBER(INDEX(Inputs!$K$5:$AJ$120,0,MATCH(G$2,Inputs!$K$4:$AJ$4,0))))=0,NA(),SUMPRODUCT((Inputs!$A$5:$A$120=$B55)*Inputs!$B$5:$B$120*(((Inputs!$G$5:$G$120="moeda")+(Inputs!$G$5:$G$120="acoes"))*Inputs!$B$1+((Inputs!$G$5:$G$120&lt;&gt;"moeda")*(Inputs!$G$5:$G$120&lt;&gt;"acoes")))*INDEX(Inputs!$K$5:$AJ$120,0,MATCH(G$2,Inputs!$K$4:$AJ$4,0)))+SUMPRODUCT((Inputs!$C$5:$C$120=$B55)*Inputs!$D$5:$D$120*(((Inputs!$G$5:$G$120="moeda")+(Inputs!$G$5:$G$120="acoes"))*Inputs!$B$1+((Inputs!$G$5:$G$120&lt;&gt;"moeda")*(Inputs!$G$5:$G$120&lt;&gt;"acoes")))*INDEX(Inputs!$K$5:$AJ$120,0,MATCH(G$2,Inputs!$K$4:$AJ$4,0)))+SUMPRODUCT((Inputs!$E$5:$E$120=$B55)*Inputs!$F$5:$F$120*(((Inputs!$G$5:$G$120="moeda")+(Inputs!$G$5:$G$120="acoes"))*Inputs!$B$1+((Inputs!$G$5:$G$120&lt;&gt;"moeda")*(Inputs!$G$5:$G$120&lt;&gt;"acoes")))*INDEX(Inputs!$K$5:$AJ$120,0,MATCH(G$2,Inputs!$K$4:$AJ$4,0)))))</f>
        <v>1883.8</v>
      </c>
      <c r="H55" s="264">
        <f>SUM(D55:G55)</f>
        <v>6471.9</v>
      </c>
      <c r="I55" s="263">
        <f>IF(ISNA(MATCH(I$2,Inputs!$K$4:$AJ$4,0)),NA(),IF(SUMPRODUCT((Inputs!$A$5:$A$120=$B55)*ISNUMBER(INDEX(Inputs!$K$5:$AJ$120,0,MATCH(I$2,Inputs!$K$4:$AJ$4,0))))+SUMPRODUCT((Inputs!$C$5:$C$120=$B55)*ISNUMBER(INDEX(Inputs!$K$5:$AJ$120,0,MATCH(I$2,Inputs!$K$4:$AJ$4,0))))+SUMPRODUCT((Inputs!$E$5:$E$120=$B55)*ISNUMBER(INDEX(Inputs!$K$5:$AJ$120,0,MATCH(I$2,Inputs!$K$4:$AJ$4,0))))=0,NA(),SUMPRODUCT((Inputs!$A$5:$A$120=$B55)*Inputs!$B$5:$B$120*(((Inputs!$G$5:$G$120="moeda")+(Inputs!$G$5:$G$120="acoes"))*Inputs!$B$1+((Inputs!$G$5:$G$120&lt;&gt;"moeda")*(Inputs!$G$5:$G$120&lt;&gt;"acoes")))*INDEX(Inputs!$K$5:$AJ$120,0,MATCH(I$2,Inputs!$K$4:$AJ$4,0)))+SUMPRODUCT((Inputs!$C$5:$C$120=$B55)*Inputs!$D$5:$D$120*(((Inputs!$G$5:$G$120="moeda")+(Inputs!$G$5:$G$120="acoes"))*Inputs!$B$1+((Inputs!$G$5:$G$120&lt;&gt;"moeda")*(Inputs!$G$5:$G$120&lt;&gt;"acoes")))*INDEX(Inputs!$K$5:$AJ$120,0,MATCH(I$2,Inputs!$K$4:$AJ$4,0)))+SUMPRODUCT((Inputs!$E$5:$E$120=$B55)*Inputs!$F$5:$F$120*(((Inputs!$G$5:$G$120="moeda")+(Inputs!$G$5:$G$120="acoes"))*Inputs!$B$1+((Inputs!$G$5:$G$120&lt;&gt;"moeda")*(Inputs!$G$5:$G$120&lt;&gt;"acoes")))*INDEX(Inputs!$K$5:$AJ$120,0,MATCH(I$2,Inputs!$K$4:$AJ$4,0)))))</f>
        <v>1741.3</v>
      </c>
      <c r="J55" s="263">
        <f>IF(ISNA(MATCH(J$2,Inputs!$K$4:$AJ$4,0)),NA(),IF(SUMPRODUCT((Inputs!$A$5:$A$120=$B55)*ISNUMBER(INDEX(Inputs!$K$5:$AJ$120,0,MATCH(J$2,Inputs!$K$4:$AJ$4,0))))+SUMPRODUCT((Inputs!$C$5:$C$120=$B55)*ISNUMBER(INDEX(Inputs!$K$5:$AJ$120,0,MATCH(J$2,Inputs!$K$4:$AJ$4,0))))+SUMPRODUCT((Inputs!$E$5:$E$120=$B55)*ISNUMBER(INDEX(Inputs!$K$5:$AJ$120,0,MATCH(J$2,Inputs!$K$4:$AJ$4,0))))=0,NA(),SUMPRODUCT((Inputs!$A$5:$A$120=$B55)*Inputs!$B$5:$B$120*(((Inputs!$G$5:$G$120="moeda")+(Inputs!$G$5:$G$120="acoes"))*Inputs!$B$1+((Inputs!$G$5:$G$120&lt;&gt;"moeda")*(Inputs!$G$5:$G$120&lt;&gt;"acoes")))*INDEX(Inputs!$K$5:$AJ$120,0,MATCH(J$2,Inputs!$K$4:$AJ$4,0)))+SUMPRODUCT((Inputs!$C$5:$C$120=$B55)*Inputs!$D$5:$D$120*(((Inputs!$G$5:$G$120="moeda")+(Inputs!$G$5:$G$120="acoes"))*Inputs!$B$1+((Inputs!$G$5:$G$120&lt;&gt;"moeda")*(Inputs!$G$5:$G$120&lt;&gt;"acoes")))*INDEX(Inputs!$K$5:$AJ$120,0,MATCH(J$2,Inputs!$K$4:$AJ$4,0)))+SUMPRODUCT((Inputs!$E$5:$E$120=$B55)*Inputs!$F$5:$F$120*(((Inputs!$G$5:$G$120="moeda")+(Inputs!$G$5:$G$120="acoes"))*Inputs!$B$1+((Inputs!$G$5:$G$120&lt;&gt;"moeda")*(Inputs!$G$5:$G$120&lt;&gt;"acoes")))*INDEX(Inputs!$K$5:$AJ$120,0,MATCH(J$2,Inputs!$K$4:$AJ$4,0)))))</f>
        <v>1911.9</v>
      </c>
      <c r="K55" s="263">
        <f>IF(ISNA(MATCH(K$2,Inputs!$K$4:$AJ$4,0)),NA(),IF(SUMPRODUCT((Inputs!$A$5:$A$120=$B55)*ISNUMBER(INDEX(Inputs!$K$5:$AJ$120,0,MATCH(K$2,Inputs!$K$4:$AJ$4,0))))+SUMPRODUCT((Inputs!$C$5:$C$120=$B55)*ISNUMBER(INDEX(Inputs!$K$5:$AJ$120,0,MATCH(K$2,Inputs!$K$4:$AJ$4,0))))+SUMPRODUCT((Inputs!$E$5:$E$120=$B55)*ISNUMBER(INDEX(Inputs!$K$5:$AJ$120,0,MATCH(K$2,Inputs!$K$4:$AJ$4,0))))=0,NA(),SUMPRODUCT((Inputs!$A$5:$A$120=$B55)*Inputs!$B$5:$B$120*(((Inputs!$G$5:$G$120="moeda")+(Inputs!$G$5:$G$120="acoes"))*Inputs!$B$1+((Inputs!$G$5:$G$120&lt;&gt;"moeda")*(Inputs!$G$5:$G$120&lt;&gt;"acoes")))*INDEX(Inputs!$K$5:$AJ$120,0,MATCH(K$2,Inputs!$K$4:$AJ$4,0)))+SUMPRODUCT((Inputs!$C$5:$C$120=$B55)*Inputs!$D$5:$D$120*(((Inputs!$G$5:$G$120="moeda")+(Inputs!$G$5:$G$120="acoes"))*Inputs!$B$1+((Inputs!$G$5:$G$120&lt;&gt;"moeda")*(Inputs!$G$5:$G$120&lt;&gt;"acoes")))*INDEX(Inputs!$K$5:$AJ$120,0,MATCH(K$2,Inputs!$K$4:$AJ$4,0)))+SUMPRODUCT((Inputs!$E$5:$E$120=$B55)*Inputs!$F$5:$F$120*(((Inputs!$G$5:$G$120="moeda")+(Inputs!$G$5:$G$120="acoes"))*Inputs!$B$1+((Inputs!$G$5:$G$120&lt;&gt;"moeda")*(Inputs!$G$5:$G$120&lt;&gt;"acoes")))*INDEX(Inputs!$K$5:$AJ$120,0,MATCH(K$2,Inputs!$K$4:$AJ$4,0)))))</f>
        <v>1850.4</v>
      </c>
      <c r="L55" s="263">
        <f>IF(ISNA(MATCH(L$2,Inputs!$K$4:$AJ$4,0)),NA(),IF(SUMPRODUCT((Inputs!$A$5:$A$120=$B55)*ISNUMBER(INDEX(Inputs!$K$5:$AJ$120,0,MATCH(L$2,Inputs!$K$4:$AJ$4,0))))+SUMPRODUCT((Inputs!$C$5:$C$120=$B55)*ISNUMBER(INDEX(Inputs!$K$5:$AJ$120,0,MATCH(L$2,Inputs!$K$4:$AJ$4,0))))+SUMPRODUCT((Inputs!$E$5:$E$120=$B55)*ISNUMBER(INDEX(Inputs!$K$5:$AJ$120,0,MATCH(L$2,Inputs!$K$4:$AJ$4,0))))=0,NA(),SUMPRODUCT((Inputs!$A$5:$A$120=$B55)*Inputs!$B$5:$B$120*(((Inputs!$G$5:$G$120="moeda")+(Inputs!$G$5:$G$120="acoes"))*Inputs!$B$1+((Inputs!$G$5:$G$120&lt;&gt;"moeda")*(Inputs!$G$5:$G$120&lt;&gt;"acoes")))*INDEX(Inputs!$K$5:$AJ$120,0,MATCH(L$2,Inputs!$K$4:$AJ$4,0)))+SUMPRODUCT((Inputs!$C$5:$C$120=$B55)*Inputs!$D$5:$D$120*(((Inputs!$G$5:$G$120="moeda")+(Inputs!$G$5:$G$120="acoes"))*Inputs!$B$1+((Inputs!$G$5:$G$120&lt;&gt;"moeda")*(Inputs!$G$5:$G$120&lt;&gt;"acoes")))*INDEX(Inputs!$K$5:$AJ$120,0,MATCH(L$2,Inputs!$K$4:$AJ$4,0)))+SUMPRODUCT((Inputs!$E$5:$E$120=$B55)*Inputs!$F$5:$F$120*(((Inputs!$G$5:$G$120="moeda")+(Inputs!$G$5:$G$120="acoes"))*Inputs!$B$1+((Inputs!$G$5:$G$120&lt;&gt;"moeda")*(Inputs!$G$5:$G$120&lt;&gt;"acoes")))*INDEX(Inputs!$K$5:$AJ$120,0,MATCH(L$2,Inputs!$K$4:$AJ$4,0)))))</f>
        <v>1936.2</v>
      </c>
      <c r="M55" s="264">
        <f>SUM(I55:L55)</f>
        <v>7439.8</v>
      </c>
      <c r="N55" s="263">
        <f>IF(ISNA(MATCH(N$2,Inputs!$K$4:$AJ$4,0)),NA(),IF(SUMPRODUCT((Inputs!$A$5:$A$120=$B55)*ISNUMBER(INDEX(Inputs!$K$5:$AJ$120,0,MATCH(N$2,Inputs!$K$4:$AJ$4,0))))+SUMPRODUCT((Inputs!$C$5:$C$120=$B55)*ISNUMBER(INDEX(Inputs!$K$5:$AJ$120,0,MATCH(N$2,Inputs!$K$4:$AJ$4,0))))+SUMPRODUCT((Inputs!$E$5:$E$120=$B55)*ISNUMBER(INDEX(Inputs!$K$5:$AJ$120,0,MATCH(N$2,Inputs!$K$4:$AJ$4,0))))=0,NA(),SUMPRODUCT((Inputs!$A$5:$A$120=$B55)*Inputs!$B$5:$B$120*(((Inputs!$G$5:$G$120="moeda")+(Inputs!$G$5:$G$120="acoes"))*Inputs!$B$1+((Inputs!$G$5:$G$120&lt;&gt;"moeda")*(Inputs!$G$5:$G$120&lt;&gt;"acoes")))*INDEX(Inputs!$K$5:$AJ$120,0,MATCH(N$2,Inputs!$K$4:$AJ$4,0)))+SUMPRODUCT((Inputs!$C$5:$C$120=$B55)*Inputs!$D$5:$D$120*(((Inputs!$G$5:$G$120="moeda")+(Inputs!$G$5:$G$120="acoes"))*Inputs!$B$1+((Inputs!$G$5:$G$120&lt;&gt;"moeda")*(Inputs!$G$5:$G$120&lt;&gt;"acoes")))*INDEX(Inputs!$K$5:$AJ$120,0,MATCH(N$2,Inputs!$K$4:$AJ$4,0)))+SUMPRODUCT((Inputs!$E$5:$E$120=$B55)*Inputs!$F$5:$F$120*(((Inputs!$G$5:$G$120="moeda")+(Inputs!$G$5:$G$120="acoes"))*Inputs!$B$1+((Inputs!$G$5:$G$120&lt;&gt;"moeda")*(Inputs!$G$5:$G$120&lt;&gt;"acoes")))*INDEX(Inputs!$K$5:$AJ$120,0,MATCH(N$2,Inputs!$K$4:$AJ$4,0)))))</f>
        <v>1977.1</v>
      </c>
      <c r="O55" s="263">
        <f>IF(ISNA(MATCH(O$2,Inputs!$K$4:$AJ$4,0)),NA(),IF(SUMPRODUCT((Inputs!$A$5:$A$120=$B55)*ISNUMBER(INDEX(Inputs!$K$5:$AJ$120,0,MATCH(O$2,Inputs!$K$4:$AJ$4,0))))+SUMPRODUCT((Inputs!$C$5:$C$120=$B55)*ISNUMBER(INDEX(Inputs!$K$5:$AJ$120,0,MATCH(O$2,Inputs!$K$4:$AJ$4,0))))+SUMPRODUCT((Inputs!$E$5:$E$120=$B55)*ISNUMBER(INDEX(Inputs!$K$5:$AJ$120,0,MATCH(O$2,Inputs!$K$4:$AJ$4,0))))=0,NA(),SUMPRODUCT((Inputs!$A$5:$A$120=$B55)*Inputs!$B$5:$B$120*(((Inputs!$G$5:$G$120="moeda")+(Inputs!$G$5:$G$120="acoes"))*Inputs!$B$1+((Inputs!$G$5:$G$120&lt;&gt;"moeda")*(Inputs!$G$5:$G$120&lt;&gt;"acoes")))*INDEX(Inputs!$K$5:$AJ$120,0,MATCH(O$2,Inputs!$K$4:$AJ$4,0)))+SUMPRODUCT((Inputs!$C$5:$C$120=$B55)*Inputs!$D$5:$D$120*(((Inputs!$G$5:$G$120="moeda")+(Inputs!$G$5:$G$120="acoes"))*Inputs!$B$1+((Inputs!$G$5:$G$120&lt;&gt;"moeda")*(Inputs!$G$5:$G$120&lt;&gt;"acoes")))*INDEX(Inputs!$K$5:$AJ$120,0,MATCH(O$2,Inputs!$K$4:$AJ$4,0)))+SUMPRODUCT((Inputs!$E$5:$E$120=$B55)*Inputs!$F$5:$F$120*(((Inputs!$G$5:$G$120="moeda")+(Inputs!$G$5:$G$120="acoes"))*Inputs!$B$1+((Inputs!$G$5:$G$120&lt;&gt;"moeda")*(Inputs!$G$5:$G$120&lt;&gt;"acoes")))*INDEX(Inputs!$K$5:$AJ$120,0,MATCH(O$2,Inputs!$K$4:$AJ$4,0)))))</f>
        <v>1812.5</v>
      </c>
      <c r="P55" s="263">
        <f>IF(ISNA(MATCH(P$2,Inputs!$K$4:$AJ$4,0)),NA(),IF(SUMPRODUCT((Inputs!$A$5:$A$120=$B55)*ISNUMBER(INDEX(Inputs!$K$5:$AJ$120,0,MATCH(P$2,Inputs!$K$4:$AJ$4,0))))+SUMPRODUCT((Inputs!$C$5:$C$120=$B55)*ISNUMBER(INDEX(Inputs!$K$5:$AJ$120,0,MATCH(P$2,Inputs!$K$4:$AJ$4,0))))+SUMPRODUCT((Inputs!$E$5:$E$120=$B55)*ISNUMBER(INDEX(Inputs!$K$5:$AJ$120,0,MATCH(P$2,Inputs!$K$4:$AJ$4,0))))=0,NA(),SUMPRODUCT((Inputs!$A$5:$A$120=$B55)*Inputs!$B$5:$B$120*(((Inputs!$G$5:$G$120="moeda")+(Inputs!$G$5:$G$120="acoes"))*Inputs!$B$1+((Inputs!$G$5:$G$120&lt;&gt;"moeda")*(Inputs!$G$5:$G$120&lt;&gt;"acoes")))*INDEX(Inputs!$K$5:$AJ$120,0,MATCH(P$2,Inputs!$K$4:$AJ$4,0)))+SUMPRODUCT((Inputs!$C$5:$C$120=$B55)*Inputs!$D$5:$D$120*(((Inputs!$G$5:$G$120="moeda")+(Inputs!$G$5:$G$120="acoes"))*Inputs!$B$1+((Inputs!$G$5:$G$120&lt;&gt;"moeda")*(Inputs!$G$5:$G$120&lt;&gt;"acoes")))*INDEX(Inputs!$K$5:$AJ$120,0,MATCH(P$2,Inputs!$K$4:$AJ$4,0)))+SUMPRODUCT((Inputs!$E$5:$E$120=$B55)*Inputs!$F$5:$F$120*(((Inputs!$G$5:$G$120="moeda")+(Inputs!$G$5:$G$120="acoes"))*Inputs!$B$1+((Inputs!$G$5:$G$120&lt;&gt;"moeda")*(Inputs!$G$5:$G$120&lt;&gt;"acoes")))*INDEX(Inputs!$K$5:$AJ$120,0,MATCH(P$2,Inputs!$K$4:$AJ$4,0)))))</f>
        <v>1673.6</v>
      </c>
      <c r="Q55" s="263">
        <f>IF(ISNA(MATCH(Q$2,Inputs!$K$4:$AJ$4,0)),NA(),IF(SUMPRODUCT((Inputs!$A$5:$A$120=$B55)*ISNUMBER(INDEX(Inputs!$K$5:$AJ$120,0,MATCH(Q$2,Inputs!$K$4:$AJ$4,0))))+SUMPRODUCT((Inputs!$C$5:$C$120=$B55)*ISNUMBER(INDEX(Inputs!$K$5:$AJ$120,0,MATCH(Q$2,Inputs!$K$4:$AJ$4,0))))+SUMPRODUCT((Inputs!$E$5:$E$120=$B55)*ISNUMBER(INDEX(Inputs!$K$5:$AJ$120,0,MATCH(Q$2,Inputs!$K$4:$AJ$4,0))))=0,NA(),SUMPRODUCT((Inputs!$A$5:$A$120=$B55)*Inputs!$B$5:$B$120*(((Inputs!$G$5:$G$120="moeda")+(Inputs!$G$5:$G$120="acoes"))*Inputs!$B$1+((Inputs!$G$5:$G$120&lt;&gt;"moeda")*(Inputs!$G$5:$G$120&lt;&gt;"acoes")))*INDEX(Inputs!$K$5:$AJ$120,0,MATCH(Q$2,Inputs!$K$4:$AJ$4,0)))+SUMPRODUCT((Inputs!$C$5:$C$120=$B55)*Inputs!$D$5:$D$120*(((Inputs!$G$5:$G$120="moeda")+(Inputs!$G$5:$G$120="acoes"))*Inputs!$B$1+((Inputs!$G$5:$G$120&lt;&gt;"moeda")*(Inputs!$G$5:$G$120&lt;&gt;"acoes")))*INDEX(Inputs!$K$5:$AJ$120,0,MATCH(Q$2,Inputs!$K$4:$AJ$4,0)))+SUMPRODUCT((Inputs!$E$5:$E$120=$B55)*Inputs!$F$5:$F$120*(((Inputs!$G$5:$G$120="moeda")+(Inputs!$G$5:$G$120="acoes"))*Inputs!$B$1+((Inputs!$G$5:$G$120&lt;&gt;"moeda")*(Inputs!$G$5:$G$120&lt;&gt;"acoes")))*INDEX(Inputs!$K$5:$AJ$120,0,MATCH(Q$2,Inputs!$K$4:$AJ$4,0)))))</f>
        <v>1669.2</v>
      </c>
      <c r="R55" s="264">
        <f>SUM(N55:Q55)</f>
        <v>7132.4</v>
      </c>
      <c r="S55" s="263">
        <f>IF(ISNA(MATCH(S$2,Inputs!$K$4:$AJ$4,0)),NA(),IF(SUMPRODUCT((Inputs!$A$5:$A$120=$B55)*ISNUMBER(INDEX(Inputs!$K$5:$AJ$120,0,MATCH(S$2,Inputs!$K$4:$AJ$4,0))))+SUMPRODUCT((Inputs!$C$5:$C$120=$B55)*ISNUMBER(INDEX(Inputs!$K$5:$AJ$120,0,MATCH(S$2,Inputs!$K$4:$AJ$4,0))))+SUMPRODUCT((Inputs!$E$5:$E$120=$B55)*ISNUMBER(INDEX(Inputs!$K$5:$AJ$120,0,MATCH(S$2,Inputs!$K$4:$AJ$4,0))))=0,NA(),SUMPRODUCT((Inputs!$A$5:$A$120=$B55)*Inputs!$B$5:$B$120*(((Inputs!$G$5:$G$120="moeda")+(Inputs!$G$5:$G$120="acoes"))*Inputs!$B$1+((Inputs!$G$5:$G$120&lt;&gt;"moeda")*(Inputs!$G$5:$G$120&lt;&gt;"acoes")))*INDEX(Inputs!$K$5:$AJ$120,0,MATCH(S$2,Inputs!$K$4:$AJ$4,0)))+SUMPRODUCT((Inputs!$C$5:$C$120=$B55)*Inputs!$D$5:$D$120*(((Inputs!$G$5:$G$120="moeda")+(Inputs!$G$5:$G$120="acoes"))*Inputs!$B$1+((Inputs!$G$5:$G$120&lt;&gt;"moeda")*(Inputs!$G$5:$G$120&lt;&gt;"acoes")))*INDEX(Inputs!$K$5:$AJ$120,0,MATCH(S$2,Inputs!$K$4:$AJ$4,0)))+SUMPRODUCT((Inputs!$E$5:$E$120=$B55)*Inputs!$F$5:$F$120*(((Inputs!$G$5:$G$120="moeda")+(Inputs!$G$5:$G$120="acoes"))*Inputs!$B$1+((Inputs!$G$5:$G$120&lt;&gt;"moeda")*(Inputs!$G$5:$G$120&lt;&gt;"acoes")))*INDEX(Inputs!$K$5:$AJ$120,0,MATCH(S$2,Inputs!$K$4:$AJ$4,0)))))</f>
        <v>1456.3</v>
      </c>
      <c r="T55" s="263">
        <f>IF(ISNA(MATCH(T$2,Inputs!$K$4:$AJ$4,0)),NA(),IF(SUMPRODUCT((Inputs!$A$5:$A$120=$B55)*ISNUMBER(INDEX(Inputs!$K$5:$AJ$120,0,MATCH(T$2,Inputs!$K$4:$AJ$4,0))))+SUMPRODUCT((Inputs!$C$5:$C$120=$B55)*ISNUMBER(INDEX(Inputs!$K$5:$AJ$120,0,MATCH(T$2,Inputs!$K$4:$AJ$4,0))))+SUMPRODUCT((Inputs!$E$5:$E$120=$B55)*ISNUMBER(INDEX(Inputs!$K$5:$AJ$120,0,MATCH(T$2,Inputs!$K$4:$AJ$4,0))))=0,NA(),SUMPRODUCT((Inputs!$A$5:$A$120=$B55)*Inputs!$B$5:$B$120*(((Inputs!$G$5:$G$120="moeda")+(Inputs!$G$5:$G$120="acoes"))*Inputs!$B$1+((Inputs!$G$5:$G$120&lt;&gt;"moeda")*(Inputs!$G$5:$G$120&lt;&gt;"acoes")))*INDEX(Inputs!$K$5:$AJ$120,0,MATCH(T$2,Inputs!$K$4:$AJ$4,0)))+SUMPRODUCT((Inputs!$C$5:$C$120=$B55)*Inputs!$D$5:$D$120*(((Inputs!$G$5:$G$120="moeda")+(Inputs!$G$5:$G$120="acoes"))*Inputs!$B$1+((Inputs!$G$5:$G$120&lt;&gt;"moeda")*(Inputs!$G$5:$G$120&lt;&gt;"acoes")))*INDEX(Inputs!$K$5:$AJ$120,0,MATCH(T$2,Inputs!$K$4:$AJ$4,0)))+SUMPRODUCT((Inputs!$E$5:$E$120=$B55)*Inputs!$F$5:$F$120*(((Inputs!$G$5:$G$120="moeda")+(Inputs!$G$5:$G$120="acoes"))*Inputs!$B$1+((Inputs!$G$5:$G$120&lt;&gt;"moeda")*(Inputs!$G$5:$G$120&lt;&gt;"acoes")))*INDEX(Inputs!$K$5:$AJ$120,0,MATCH(T$2,Inputs!$K$4:$AJ$4,0)))))</f>
        <v>1245.6</v>
      </c>
      <c r="U55" s="263">
        <f>IF(ISNA(MATCH(U$2,Inputs!$K$4:$AJ$4,0)),NA(),IF(SUMPRODUCT((Inputs!$A$5:$A$120=$B55)*ISNUMBER(INDEX(Inputs!$K$5:$AJ$120,0,MATCH(U$2,Inputs!$K$4:$AJ$4,0))))+SUMPRODUCT((Inputs!$C$5:$C$120=$B55)*ISNUMBER(INDEX(Inputs!$K$5:$AJ$120,0,MATCH(U$2,Inputs!$K$4:$AJ$4,0))))+SUMPRODUCT((Inputs!$E$5:$E$120=$B55)*ISNUMBER(INDEX(Inputs!$K$5:$AJ$120,0,MATCH(U$2,Inputs!$K$4:$AJ$4,0))))=0,NA(),SUMPRODUCT((Inputs!$A$5:$A$120=$B55)*Inputs!$B$5:$B$120*(((Inputs!$G$5:$G$120="moeda")+(Inputs!$G$5:$G$120="acoes"))*Inputs!$B$1+((Inputs!$G$5:$G$120&lt;&gt;"moeda")*(Inputs!$G$5:$G$120&lt;&gt;"acoes")))*INDEX(Inputs!$K$5:$AJ$120,0,MATCH(U$2,Inputs!$K$4:$AJ$4,0)))+SUMPRODUCT((Inputs!$C$5:$C$120=$B55)*Inputs!$D$5:$D$120*(((Inputs!$G$5:$G$120="moeda")+(Inputs!$G$5:$G$120="acoes"))*Inputs!$B$1+((Inputs!$G$5:$G$120&lt;&gt;"moeda")*(Inputs!$G$5:$G$120&lt;&gt;"acoes")))*INDEX(Inputs!$K$5:$AJ$120,0,MATCH(U$2,Inputs!$K$4:$AJ$4,0)))+SUMPRODUCT((Inputs!$E$5:$E$120=$B55)*Inputs!$F$5:$F$120*(((Inputs!$G$5:$G$120="moeda")+(Inputs!$G$5:$G$120="acoes"))*Inputs!$B$1+((Inputs!$G$5:$G$120&lt;&gt;"moeda")*(Inputs!$G$5:$G$120&lt;&gt;"acoes")))*INDEX(Inputs!$K$5:$AJ$120,0,MATCH(U$2,Inputs!$K$4:$AJ$4,0)))))</f>
        <v>1301.4</v>
      </c>
      <c r="V55" s="263">
        <f>IF(ISNA(MATCH(V$2,Inputs!$K$4:$AJ$4,0)),NA(),IF(SUMPRODUCT((Inputs!$A$5:$A$120=$B55)*ISNUMBER(INDEX(Inputs!$K$5:$AJ$120,0,MATCH(V$2,Inputs!$K$4:$AJ$4,0))))+SUMPRODUCT((Inputs!$C$5:$C$120=$B55)*ISNUMBER(INDEX(Inputs!$K$5:$AJ$120,0,MATCH(V$2,Inputs!$K$4:$AJ$4,0))))+SUMPRODUCT((Inputs!$E$5:$E$120=$B55)*ISNUMBER(INDEX(Inputs!$K$5:$AJ$120,0,MATCH(V$2,Inputs!$K$4:$AJ$4,0))))=0,NA(),SUMPRODUCT((Inputs!$A$5:$A$120=$B55)*Inputs!$B$5:$B$120*(((Inputs!$G$5:$G$120="moeda")+(Inputs!$G$5:$G$120="acoes"))*Inputs!$B$1+((Inputs!$G$5:$G$120&lt;&gt;"moeda")*(Inputs!$G$5:$G$120&lt;&gt;"acoes")))*INDEX(Inputs!$K$5:$AJ$120,0,MATCH(V$2,Inputs!$K$4:$AJ$4,0)))+SUMPRODUCT((Inputs!$C$5:$C$120=$B55)*Inputs!$D$5:$D$120*(((Inputs!$G$5:$G$120="moeda")+(Inputs!$G$5:$G$120="acoes"))*Inputs!$B$1+((Inputs!$G$5:$G$120&lt;&gt;"moeda")*(Inputs!$G$5:$G$120&lt;&gt;"acoes")))*INDEX(Inputs!$K$5:$AJ$120,0,MATCH(V$2,Inputs!$K$4:$AJ$4,0)))+SUMPRODUCT((Inputs!$E$5:$E$120=$B55)*Inputs!$F$5:$F$120*(((Inputs!$G$5:$G$120="moeda")+(Inputs!$G$5:$G$120="acoes"))*Inputs!$B$1+((Inputs!$G$5:$G$120&lt;&gt;"moeda")*(Inputs!$G$5:$G$120&lt;&gt;"acoes")))*INDEX(Inputs!$K$5:$AJ$120,0,MATCH(V$2,Inputs!$K$4:$AJ$4,0)))))</f>
        <v>1250.2</v>
      </c>
      <c r="W55" s="264">
        <f>SUM(S55:V55)</f>
        <v>5253.5</v>
      </c>
      <c r="X55" s="263">
        <f>IF(ISNA(MATCH(X$2,Inputs!$K$4:$AJ$4,0)),NA(),IF(SUMPRODUCT((Inputs!$A$5:$A$120=$B55)*ISNUMBER(INDEX(Inputs!$K$5:$AJ$120,0,MATCH(X$2,Inputs!$K$4:$AJ$4,0))))+SUMPRODUCT((Inputs!$C$5:$C$120=$B55)*ISNUMBER(INDEX(Inputs!$K$5:$AJ$120,0,MATCH(X$2,Inputs!$K$4:$AJ$4,0))))+SUMPRODUCT((Inputs!$E$5:$E$120=$B55)*ISNUMBER(INDEX(Inputs!$K$5:$AJ$120,0,MATCH(X$2,Inputs!$K$4:$AJ$4,0))))=0,NA(),SUMPRODUCT((Inputs!$A$5:$A$120=$B55)*Inputs!$B$5:$B$120*(((Inputs!$G$5:$G$120="moeda")+(Inputs!$G$5:$G$120="acoes"))*Inputs!$B$1+((Inputs!$G$5:$G$120&lt;&gt;"moeda")*(Inputs!$G$5:$G$120&lt;&gt;"acoes")))*INDEX(Inputs!$K$5:$AJ$120,0,MATCH(X$2,Inputs!$K$4:$AJ$4,0)))+SUMPRODUCT((Inputs!$C$5:$C$120=$B55)*Inputs!$D$5:$D$120*(((Inputs!$G$5:$G$120="moeda")+(Inputs!$G$5:$G$120="acoes"))*Inputs!$B$1+((Inputs!$G$5:$G$120&lt;&gt;"moeda")*(Inputs!$G$5:$G$120&lt;&gt;"acoes")))*INDEX(Inputs!$K$5:$AJ$120,0,MATCH(X$2,Inputs!$K$4:$AJ$4,0)))+SUMPRODUCT((Inputs!$E$5:$E$120=$B55)*Inputs!$F$5:$F$120*(((Inputs!$G$5:$G$120="moeda")+(Inputs!$G$5:$G$120="acoes"))*Inputs!$B$1+((Inputs!$G$5:$G$120&lt;&gt;"moeda")*(Inputs!$G$5:$G$120&lt;&gt;"acoes")))*INDEX(Inputs!$K$5:$AJ$120,0,MATCH(X$2,Inputs!$K$4:$AJ$4,0)))))</f>
        <v>1095</v>
      </c>
      <c r="Y55" s="263">
        <f>IF(ISNA(MATCH(Y$2,Inputs!$K$4:$AJ$4,0)),NA(),IF(SUMPRODUCT((Inputs!$A$5:$A$120=$B55)*ISNUMBER(INDEX(Inputs!$K$5:$AJ$120,0,MATCH(Y$2,Inputs!$K$4:$AJ$4,0))))+SUMPRODUCT((Inputs!$C$5:$C$120=$B55)*ISNUMBER(INDEX(Inputs!$K$5:$AJ$120,0,MATCH(Y$2,Inputs!$K$4:$AJ$4,0))))+SUMPRODUCT((Inputs!$E$5:$E$120=$B55)*ISNUMBER(INDEX(Inputs!$K$5:$AJ$120,0,MATCH(Y$2,Inputs!$K$4:$AJ$4,0))))=0,NA(),SUMPRODUCT((Inputs!$A$5:$A$120=$B55)*Inputs!$B$5:$B$120*(((Inputs!$G$5:$G$120="moeda")+(Inputs!$G$5:$G$120="acoes"))*Inputs!$B$1+((Inputs!$G$5:$G$120&lt;&gt;"moeda")*(Inputs!$G$5:$G$120&lt;&gt;"acoes")))*INDEX(Inputs!$K$5:$AJ$120,0,MATCH(Y$2,Inputs!$K$4:$AJ$4,0)))+SUMPRODUCT((Inputs!$C$5:$C$120=$B55)*Inputs!$D$5:$D$120*(((Inputs!$G$5:$G$120="moeda")+(Inputs!$G$5:$G$120="acoes"))*Inputs!$B$1+((Inputs!$G$5:$G$120&lt;&gt;"moeda")*(Inputs!$G$5:$G$120&lt;&gt;"acoes")))*INDEX(Inputs!$K$5:$AJ$120,0,MATCH(Y$2,Inputs!$K$4:$AJ$4,0)))+SUMPRODUCT((Inputs!$E$5:$E$120=$B55)*Inputs!$F$5:$F$120*(((Inputs!$G$5:$G$120="moeda")+(Inputs!$G$5:$G$120="acoes"))*Inputs!$B$1+((Inputs!$G$5:$G$120&lt;&gt;"moeda")*(Inputs!$G$5:$G$120&lt;&gt;"acoes")))*INDEX(Inputs!$K$5:$AJ$120,0,MATCH(Y$2,Inputs!$K$4:$AJ$4,0)))))</f>
        <v>1092</v>
      </c>
      <c r="Z55" s="263">
        <f>IF(ISNA(MATCH(Z$2,Inputs!$K$4:$AJ$4,0)),NA(),IF(SUMPRODUCT((Inputs!$A$5:$A$120=$B55)*ISNUMBER(INDEX(Inputs!$K$5:$AJ$120,0,MATCH(Z$2,Inputs!$K$4:$AJ$4,0))))+SUMPRODUCT((Inputs!$C$5:$C$120=$B55)*ISNUMBER(INDEX(Inputs!$K$5:$AJ$120,0,MATCH(Z$2,Inputs!$K$4:$AJ$4,0))))+SUMPRODUCT((Inputs!$E$5:$E$120=$B55)*ISNUMBER(INDEX(Inputs!$K$5:$AJ$120,0,MATCH(Z$2,Inputs!$K$4:$AJ$4,0))))=0,NA(),SUMPRODUCT((Inputs!$A$5:$A$120=$B55)*Inputs!$B$5:$B$120*(((Inputs!$G$5:$G$120="moeda")+(Inputs!$G$5:$G$120="acoes"))*Inputs!$B$1+((Inputs!$G$5:$G$120&lt;&gt;"moeda")*(Inputs!$G$5:$G$120&lt;&gt;"acoes")))*INDEX(Inputs!$K$5:$AJ$120,0,MATCH(Z$2,Inputs!$K$4:$AJ$4,0)))+SUMPRODUCT((Inputs!$C$5:$C$120=$B55)*Inputs!$D$5:$D$120*(((Inputs!$G$5:$G$120="moeda")+(Inputs!$G$5:$G$120="acoes"))*Inputs!$B$1+((Inputs!$G$5:$G$120&lt;&gt;"moeda")*(Inputs!$G$5:$G$120&lt;&gt;"acoes")))*INDEX(Inputs!$K$5:$AJ$120,0,MATCH(Z$2,Inputs!$K$4:$AJ$4,0)))+SUMPRODUCT((Inputs!$E$5:$E$120=$B55)*Inputs!$F$5:$F$120*(((Inputs!$G$5:$G$120="moeda")+(Inputs!$G$5:$G$120="acoes"))*Inputs!$B$1+((Inputs!$G$5:$G$120&lt;&gt;"moeda")*(Inputs!$G$5:$G$120&lt;&gt;"acoes")))*INDEX(Inputs!$K$5:$AJ$120,0,MATCH(Z$2,Inputs!$K$4:$AJ$4,0)))))</f>
        <v>1051.8</v>
      </c>
      <c r="AA55" s="263">
        <f>IF(ISNA(MATCH(AA$2,Inputs!$K$4:$AJ$4,0)),NA(),IF(SUMPRODUCT((Inputs!$A$5:$A$120=$B55)*ISNUMBER(INDEX(Inputs!$K$5:$AJ$120,0,MATCH(AA$2,Inputs!$K$4:$AJ$4,0))))+SUMPRODUCT((Inputs!$C$5:$C$120=$B55)*ISNUMBER(INDEX(Inputs!$K$5:$AJ$120,0,MATCH(AA$2,Inputs!$K$4:$AJ$4,0))))+SUMPRODUCT((Inputs!$E$5:$E$120=$B55)*ISNUMBER(INDEX(Inputs!$K$5:$AJ$120,0,MATCH(AA$2,Inputs!$K$4:$AJ$4,0))))=0,NA(),SUMPRODUCT((Inputs!$A$5:$A$120=$B55)*Inputs!$B$5:$B$120*(((Inputs!$G$5:$G$120="moeda")+(Inputs!$G$5:$G$120="acoes"))*Inputs!$B$1+((Inputs!$G$5:$G$120&lt;&gt;"moeda")*(Inputs!$G$5:$G$120&lt;&gt;"acoes")))*INDEX(Inputs!$K$5:$AJ$120,0,MATCH(AA$2,Inputs!$K$4:$AJ$4,0)))+SUMPRODUCT((Inputs!$C$5:$C$120=$B55)*Inputs!$D$5:$D$120*(((Inputs!$G$5:$G$120="moeda")+(Inputs!$G$5:$G$120="acoes"))*Inputs!$B$1+((Inputs!$G$5:$G$120&lt;&gt;"moeda")*(Inputs!$G$5:$G$120&lt;&gt;"acoes")))*INDEX(Inputs!$K$5:$AJ$120,0,MATCH(AA$2,Inputs!$K$4:$AJ$4,0)))+SUMPRODUCT((Inputs!$E$5:$E$120=$B55)*Inputs!$F$5:$F$120*(((Inputs!$G$5:$G$120="moeda")+(Inputs!$G$5:$G$120="acoes"))*Inputs!$B$1+((Inputs!$G$5:$G$120&lt;&gt;"moeda")*(Inputs!$G$5:$G$120&lt;&gt;"acoes")))*INDEX(Inputs!$K$5:$AJ$120,0,MATCH(AA$2,Inputs!$K$4:$AJ$4,0)))))</f>
        <v>1036.8</v>
      </c>
      <c r="AB55" s="264">
        <f>SUM(X55:AA55)</f>
        <v>4275.6</v>
      </c>
      <c r="AC55" s="263">
        <f>IF(ISNA(MATCH(AC$2,Inputs!$K$4:$AJ$4,0)),NA(),IF(SUMPRODUCT((Inputs!$A$5:$A$120=$B55)*ISNUMBER(INDEX(Inputs!$K$5:$AJ$120,0,MATCH(AC$2,Inputs!$K$4:$AJ$4,0))))+SUMPRODUCT((Inputs!$C$5:$C$120=$B55)*ISNUMBER(INDEX(Inputs!$K$5:$AJ$120,0,MATCH(AC$2,Inputs!$K$4:$AJ$4,0))))+SUMPRODUCT((Inputs!$E$5:$E$120=$B55)*ISNUMBER(INDEX(Inputs!$K$5:$AJ$120,0,MATCH(AC$2,Inputs!$K$4:$AJ$4,0))))=0,NA(),SUMPRODUCT((Inputs!$A$5:$A$120=$B55)*Inputs!$B$5:$B$120*(((Inputs!$G$5:$G$120="moeda")+(Inputs!$G$5:$G$120="acoes"))*Inputs!$B$1+((Inputs!$G$5:$G$120&lt;&gt;"moeda")*(Inputs!$G$5:$G$120&lt;&gt;"acoes")))*INDEX(Inputs!$K$5:$AJ$120,0,MATCH(AC$2,Inputs!$K$4:$AJ$4,0)))+SUMPRODUCT((Inputs!$C$5:$C$120=$B55)*Inputs!$D$5:$D$120*(((Inputs!$G$5:$G$120="moeda")+(Inputs!$G$5:$G$120="acoes"))*Inputs!$B$1+((Inputs!$G$5:$G$120&lt;&gt;"moeda")*(Inputs!$G$5:$G$120&lt;&gt;"acoes")))*INDEX(Inputs!$K$5:$AJ$120,0,MATCH(AC$2,Inputs!$K$4:$AJ$4,0)))+SUMPRODUCT((Inputs!$E$5:$E$120=$B55)*Inputs!$F$5:$F$120*(((Inputs!$G$5:$G$120="moeda")+(Inputs!$G$5:$G$120="acoes"))*Inputs!$B$1+((Inputs!$G$5:$G$120&lt;&gt;"moeda")*(Inputs!$G$5:$G$120&lt;&gt;"acoes")))*INDEX(Inputs!$K$5:$AJ$120,0,MATCH(AC$2,Inputs!$K$4:$AJ$4,0)))))</f>
        <v>919</v>
      </c>
      <c r="AD55" s="263">
        <f>IF(ISNA(MATCH(AD$2,Inputs!$K$4:$AJ$4,0)),NA(),IF(SUMPRODUCT((Inputs!$A$5:$A$120=$B55)*ISNUMBER(INDEX(Inputs!$K$5:$AJ$120,0,MATCH(AD$2,Inputs!$K$4:$AJ$4,0))))+SUMPRODUCT((Inputs!$C$5:$C$120=$B55)*ISNUMBER(INDEX(Inputs!$K$5:$AJ$120,0,MATCH(AD$2,Inputs!$K$4:$AJ$4,0))))+SUMPRODUCT((Inputs!$E$5:$E$120=$B55)*ISNUMBER(INDEX(Inputs!$K$5:$AJ$120,0,MATCH(AD$2,Inputs!$K$4:$AJ$4,0))))=0,NA(),SUMPRODUCT((Inputs!$A$5:$A$120=$B55)*Inputs!$B$5:$B$120*(((Inputs!$G$5:$G$120="moeda")+(Inputs!$G$5:$G$120="acoes"))*Inputs!$B$1+((Inputs!$G$5:$G$120&lt;&gt;"moeda")*(Inputs!$G$5:$G$120&lt;&gt;"acoes")))*INDEX(Inputs!$K$5:$AJ$120,0,MATCH(AD$2,Inputs!$K$4:$AJ$4,0)))+SUMPRODUCT((Inputs!$C$5:$C$120=$B55)*Inputs!$D$5:$D$120*(((Inputs!$G$5:$G$120="moeda")+(Inputs!$G$5:$G$120="acoes"))*Inputs!$B$1+((Inputs!$G$5:$G$120&lt;&gt;"moeda")*(Inputs!$G$5:$G$120&lt;&gt;"acoes")))*INDEX(Inputs!$K$5:$AJ$120,0,MATCH(AD$2,Inputs!$K$4:$AJ$4,0)))+SUMPRODUCT((Inputs!$E$5:$E$120=$B55)*Inputs!$F$5:$F$120*(((Inputs!$G$5:$G$120="moeda")+(Inputs!$G$5:$G$120="acoes"))*Inputs!$B$1+((Inputs!$G$5:$G$120&lt;&gt;"moeda")*(Inputs!$G$5:$G$120&lt;&gt;"acoes")))*INDEX(Inputs!$K$5:$AJ$120,0,MATCH(AD$2,Inputs!$K$4:$AJ$4,0)))))</f>
        <v>1219</v>
      </c>
      <c r="AE55" s="263" t="e">
        <f>IF(ISNA(MATCH(AE$2,Inputs!$K$4:$AJ$4,0)),NA(),IF(SUMPRODUCT((Inputs!$A$5:$A$120=$B55)*ISNUMBER(INDEX(Inputs!$K$5:$AJ$120,0,MATCH(AE$2,Inputs!$K$4:$AJ$4,0))))+SUMPRODUCT((Inputs!$C$5:$C$120=$B55)*ISNUMBER(INDEX(Inputs!$K$5:$AJ$120,0,MATCH(AE$2,Inputs!$K$4:$AJ$4,0))))+SUMPRODUCT((Inputs!$E$5:$E$120=$B55)*ISNUMBER(INDEX(Inputs!$K$5:$AJ$120,0,MATCH(AE$2,Inputs!$K$4:$AJ$4,0))))=0,NA(),SUMPRODUCT((Inputs!$A$5:$A$120=$B55)*Inputs!$B$5:$B$120*(((Inputs!$G$5:$G$120="moeda")+(Inputs!$G$5:$G$120="acoes"))*Inputs!$B$1+((Inputs!$G$5:$G$120&lt;&gt;"moeda")*(Inputs!$G$5:$G$120&lt;&gt;"acoes")))*INDEX(Inputs!$K$5:$AJ$120,0,MATCH(AE$2,Inputs!$K$4:$AJ$4,0)))+SUMPRODUCT((Inputs!$C$5:$C$120=$B55)*Inputs!$D$5:$D$120*(((Inputs!$G$5:$G$120="moeda")+(Inputs!$G$5:$G$120="acoes"))*Inputs!$B$1+((Inputs!$G$5:$G$120&lt;&gt;"moeda")*(Inputs!$G$5:$G$120&lt;&gt;"acoes")))*INDEX(Inputs!$K$5:$AJ$120,0,MATCH(AE$2,Inputs!$K$4:$AJ$4,0)))+SUMPRODUCT((Inputs!$E$5:$E$120=$B55)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5" s="263" t="e">
        <f>IF(ISNA(MATCH(AF$2,Inputs!$K$4:$AJ$4,0)),NA(),IF(SUMPRODUCT((Inputs!$A$5:$A$120=$B55)*ISNUMBER(INDEX(Inputs!$K$5:$AJ$120,0,MATCH(AF$2,Inputs!$K$4:$AJ$4,0))))+SUMPRODUCT((Inputs!$C$5:$C$120=$B55)*ISNUMBER(INDEX(Inputs!$K$5:$AJ$120,0,MATCH(AF$2,Inputs!$K$4:$AJ$4,0))))+SUMPRODUCT((Inputs!$E$5:$E$120=$B55)*ISNUMBER(INDEX(Inputs!$K$5:$AJ$120,0,MATCH(AF$2,Inputs!$K$4:$AJ$4,0))))=0,NA(),SUMPRODUCT((Inputs!$A$5:$A$120=$B55)*Inputs!$B$5:$B$120*(((Inputs!$G$5:$G$120="moeda")+(Inputs!$G$5:$G$120="acoes"))*Inputs!$B$1+((Inputs!$G$5:$G$120&lt;&gt;"moeda")*(Inputs!$G$5:$G$120&lt;&gt;"acoes")))*INDEX(Inputs!$K$5:$AJ$120,0,MATCH(AF$2,Inputs!$K$4:$AJ$4,0)))+SUMPRODUCT((Inputs!$C$5:$C$120=$B55)*Inputs!$D$5:$D$120*(((Inputs!$G$5:$G$120="moeda")+(Inputs!$G$5:$G$120="acoes"))*Inputs!$B$1+((Inputs!$G$5:$G$120&lt;&gt;"moeda")*(Inputs!$G$5:$G$120&lt;&gt;"acoes")))*INDEX(Inputs!$K$5:$AJ$120,0,MATCH(AF$2,Inputs!$K$4:$AJ$4,0)))+SUMPRODUCT((Inputs!$E$5:$E$120=$B55)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5" s="264" t="e">
        <f>SUM(AC55:AF55)</f>
        <v>#N/A</v>
      </c>
      <c r="AH55" s="263">
        <f>IF(ISNA(MATCH(AH$2,Inputs!$K$4:$AJ$4,0)),NA(),IF(SUMPRODUCT((Inputs!$A$5:$A$120=$B55)*ISNUMBER(INDEX(Inputs!$K$5:$AJ$120,0,MATCH(AH$2,Inputs!$K$4:$AJ$4,0))))+SUMPRODUCT((Inputs!$C$5:$C$120=$B55)*ISNUMBER(INDEX(Inputs!$K$5:$AJ$120,0,MATCH(AH$2,Inputs!$K$4:$AJ$4,0))))+SUMPRODUCT((Inputs!$E$5:$E$120=$B55)*ISNUMBER(INDEX(Inputs!$K$5:$AJ$120,0,MATCH(AH$2,Inputs!$K$4:$AJ$4,0))))=0,NA(),SUMPRODUCT((Inputs!$A$5:$A$120=$B55)*Inputs!$B$5:$B$120*(((Inputs!$G$5:$G$120="moeda")+(Inputs!$G$5:$G$120="acoes"))*Inputs!$B$1+((Inputs!$G$5:$G$120&lt;&gt;"moeda")*(Inputs!$G$5:$G$120&lt;&gt;"acoes")))*INDEX(Inputs!$K$5:$AJ$120,0,MATCH(AH$2,Inputs!$K$4:$AJ$4,0)))+SUMPRODUCT((Inputs!$C$5:$C$120=$B55)*Inputs!$D$5:$D$120*(((Inputs!$G$5:$G$120="moeda")+(Inputs!$G$5:$G$120="acoes"))*Inputs!$B$1+((Inputs!$G$5:$G$120&lt;&gt;"moeda")*(Inputs!$G$5:$G$120&lt;&gt;"acoes")))*INDEX(Inputs!$K$5:$AJ$120,0,MATCH(AH$2,Inputs!$K$4:$AJ$4,0)))+SUMPRODUCT((Inputs!$E$5:$E$120=$B55)*Inputs!$F$5:$F$120*(((Inputs!$G$5:$G$120="moeda")+(Inputs!$G$5:$G$120="acoes"))*Inputs!$B$1+((Inputs!$G$5:$G$120&lt;&gt;"moeda")*(Inputs!$G$5:$G$120&lt;&gt;"acoes")))*INDEX(Inputs!$K$5:$AJ$120,0,MATCH(AH$2,Inputs!$K$4:$AJ$4,0)))))</f>
        <v>1229.4</v>
      </c>
      <c r="AI55" s="263">
        <f>IF(ISNA(MATCH(AI$2,Inputs!$K$4:$AJ$4,0)),NA(),IF(SUMPRODUCT((Inputs!$A$5:$A$120=$B55)*ISNUMBER(INDEX(Inputs!$K$5:$AJ$120,0,MATCH(AI$2,Inputs!$K$4:$AJ$4,0))))+SUMPRODUCT((Inputs!$C$5:$C$120=$B55)*ISNUMBER(INDEX(Inputs!$K$5:$AJ$120,0,MATCH(AI$2,Inputs!$K$4:$AJ$4,0))))+SUMPRODUCT((Inputs!$E$5:$E$120=$B55)*ISNUMBER(INDEX(Inputs!$K$5:$AJ$120,0,MATCH(AI$2,Inputs!$K$4:$AJ$4,0))))=0,NA(),SUMPRODUCT((Inputs!$A$5:$A$120=$B55)*Inputs!$B$5:$B$120*(((Inputs!$G$5:$G$120="moeda")+(Inputs!$G$5:$G$120="acoes"))*Inputs!$B$1+((Inputs!$G$5:$G$120&lt;&gt;"moeda")*(Inputs!$G$5:$G$120&lt;&gt;"acoes")))*INDEX(Inputs!$K$5:$AJ$120,0,MATCH(AI$2,Inputs!$K$4:$AJ$4,0)))+SUMPRODUCT((Inputs!$C$5:$C$120=$B55)*Inputs!$D$5:$D$120*(((Inputs!$G$5:$G$120="moeda")+(Inputs!$G$5:$G$120="acoes"))*Inputs!$B$1+((Inputs!$G$5:$G$120&lt;&gt;"moeda")*(Inputs!$G$5:$G$120&lt;&gt;"acoes")))*INDEX(Inputs!$K$5:$AJ$120,0,MATCH(AI$2,Inputs!$K$4:$AJ$4,0)))+SUMPRODUCT((Inputs!$E$5:$E$120=$B55)*Inputs!$F$5:$F$120*(((Inputs!$G$5:$G$120="moeda")+(Inputs!$G$5:$G$120="acoes"))*Inputs!$B$1+((Inputs!$G$5:$G$120&lt;&gt;"moeda")*(Inputs!$G$5:$G$120&lt;&gt;"acoes")))*INDEX(Inputs!$K$5:$AJ$120,0,MATCH(AI$2,Inputs!$K$4:$AJ$4,0)))))</f>
        <v>1229.8</v>
      </c>
      <c r="AJ55" s="263">
        <f>IF(ISNA(MATCH(AJ$2,Inputs!$K$4:$AJ$4,0)),NA(),IF(SUMPRODUCT((Inputs!$A$5:$A$120=$B55)*ISNUMBER(INDEX(Inputs!$K$5:$AJ$120,0,MATCH(AJ$2,Inputs!$K$4:$AJ$4,0))))+SUMPRODUCT((Inputs!$C$5:$C$120=$B55)*ISNUMBER(INDEX(Inputs!$K$5:$AJ$120,0,MATCH(AJ$2,Inputs!$K$4:$AJ$4,0))))+SUMPRODUCT((Inputs!$E$5:$E$120=$B55)*ISNUMBER(INDEX(Inputs!$K$5:$AJ$120,0,MATCH(AJ$2,Inputs!$K$4:$AJ$4,0))))=0,NA(),SUMPRODUCT((Inputs!$A$5:$A$120=$B55)*Inputs!$B$5:$B$120*(((Inputs!$G$5:$G$120="moeda")+(Inputs!$G$5:$G$120="acoes"))*Inputs!$B$1+((Inputs!$G$5:$G$120&lt;&gt;"moeda")*(Inputs!$G$5:$G$120&lt;&gt;"acoes")))*INDEX(Inputs!$K$5:$AJ$120,0,MATCH(AJ$2,Inputs!$K$4:$AJ$4,0)))+SUMPRODUCT((Inputs!$C$5:$C$120=$B55)*Inputs!$D$5:$D$120*(((Inputs!$G$5:$G$120="moeda")+(Inputs!$G$5:$G$120="acoes"))*Inputs!$B$1+((Inputs!$G$5:$G$120&lt;&gt;"moeda")*(Inputs!$G$5:$G$120&lt;&gt;"acoes")))*INDEX(Inputs!$K$5:$AJ$120,0,MATCH(AJ$2,Inputs!$K$4:$AJ$4,0)))+SUMPRODUCT((Inputs!$E$5:$E$120=$B55)*Inputs!$F$5:$F$120*(((Inputs!$G$5:$G$120="moeda")+(Inputs!$G$5:$G$120="acoes"))*Inputs!$B$1+((Inputs!$G$5:$G$120&lt;&gt;"moeda")*(Inputs!$G$5:$G$120&lt;&gt;"acoes")))*INDEX(Inputs!$K$5:$AJ$120,0,MATCH(AJ$2,Inputs!$K$4:$AJ$4,0)))))</f>
        <v>1106.6</v>
      </c>
      <c r="AK55" s="263">
        <f>IF(ISNA(MATCH(AK$2,Inputs!$K$4:$AJ$4,0)),NA(),IF(SUMPRODUCT((Inputs!$A$5:$A$120=$B55)*ISNUMBER(INDEX(Inputs!$K$5:$AJ$120,0,MATCH(AK$2,Inputs!$K$4:$AJ$4,0))))+SUMPRODUCT((Inputs!$C$5:$C$120=$B55)*ISNUMBER(INDEX(Inputs!$K$5:$AJ$120,0,MATCH(AK$2,Inputs!$K$4:$AJ$4,0))))+SUMPRODUCT((Inputs!$E$5:$E$120=$B55)*ISNUMBER(INDEX(Inputs!$K$5:$AJ$120,0,MATCH(AK$2,Inputs!$K$4:$AJ$4,0))))=0,NA(),SUMPRODUCT((Inputs!$A$5:$A$120=$B55)*Inputs!$B$5:$B$120*(((Inputs!$G$5:$G$120="moeda")+(Inputs!$G$5:$G$120="acoes"))*Inputs!$B$1+((Inputs!$G$5:$G$120&lt;&gt;"moeda")*(Inputs!$G$5:$G$120&lt;&gt;"acoes")))*INDEX(Inputs!$K$5:$AJ$120,0,MATCH(AK$2,Inputs!$K$4:$AJ$4,0)))+SUMPRODUCT((Inputs!$C$5:$C$120=$B55)*Inputs!$D$5:$D$120*(((Inputs!$G$5:$G$120="moeda")+(Inputs!$G$5:$G$120="acoes"))*Inputs!$B$1+((Inputs!$G$5:$G$120&lt;&gt;"moeda")*(Inputs!$G$5:$G$120&lt;&gt;"acoes")))*INDEX(Inputs!$K$5:$AJ$120,0,MATCH(AK$2,Inputs!$K$4:$AJ$4,0)))+SUMPRODUCT((Inputs!$E$5:$E$120=$B55)*Inputs!$F$5:$F$120*(((Inputs!$G$5:$G$120="moeda")+(Inputs!$G$5:$G$120="acoes"))*Inputs!$B$1+((Inputs!$G$5:$G$120&lt;&gt;"moeda")*(Inputs!$G$5:$G$120&lt;&gt;"acoes")))*INDEX(Inputs!$K$5:$AJ$120,0,MATCH(AK$2,Inputs!$K$4:$AJ$4,0)))))</f>
        <v>1502.4</v>
      </c>
      <c r="AL55" s="264">
        <f>SUM(AH55:AK55)</f>
        <v>5068.2</v>
      </c>
    </row>
    <row r="56">
      <c r="B56" s="46" t="n">
        <v>48</v>
      </c>
      <c r="C56" s="29" t="inlineStr">
        <is>
          <t>Receita Verzenio (USD)</t>
        </is>
      </c>
      <c r="D56" s="263">
        <f>IF(ISNA(MATCH(D$2,Inputs!$K$4:$AJ$4,0)),NA(),IF(SUMPRODUCT((Inputs!$A$5:$A$120=$B56)*ISNUMBER(INDEX(Inputs!$K$5:$AJ$120,0,MATCH(D$2,Inputs!$K$4:$AJ$4,0))))+SUMPRODUCT((Inputs!$C$5:$C$120=$B56)*ISNUMBER(INDEX(Inputs!$K$5:$AJ$120,0,MATCH(D$2,Inputs!$K$4:$AJ$4,0))))+SUMPRODUCT((Inputs!$E$5:$E$120=$B56)*ISNUMBER(INDEX(Inputs!$K$5:$AJ$120,0,MATCH(D$2,Inputs!$K$4:$AJ$4,0))))=0,NA(),SUMPRODUCT((Inputs!$A$5:$A$120=$B56)*Inputs!$B$5:$B$120*(((Inputs!$G$5:$G$120="moeda")+(Inputs!$G$5:$G$120="acoes"))*Inputs!$B$1+((Inputs!$G$5:$G$120&lt;&gt;"moeda")*(Inputs!$G$5:$G$120&lt;&gt;"acoes")))*INDEX(Inputs!$K$5:$AJ$120,0,MATCH(D$2,Inputs!$K$4:$AJ$4,0)))+SUMPRODUCT((Inputs!$C$5:$C$120=$B56)*Inputs!$D$5:$D$120*(((Inputs!$G$5:$G$120="moeda")+(Inputs!$G$5:$G$120="acoes"))*Inputs!$B$1+((Inputs!$G$5:$G$120&lt;&gt;"moeda")*(Inputs!$G$5:$G$120&lt;&gt;"acoes")))*INDEX(Inputs!$K$5:$AJ$120,0,MATCH(D$2,Inputs!$K$4:$AJ$4,0)))+SUMPRODUCT((Inputs!$E$5:$E$120=$B56)*Inputs!$F$5:$F$120*(((Inputs!$G$5:$G$120="moeda")+(Inputs!$G$5:$G$120="acoes"))*Inputs!$B$1+((Inputs!$G$5:$G$120&lt;&gt;"moeda")*(Inputs!$G$5:$G$120&lt;&gt;"acoes")))*INDEX(Inputs!$K$5:$AJ$120,0,MATCH(D$2,Inputs!$K$4:$AJ$4,0)))))</f>
        <v>269</v>
      </c>
      <c r="E56" s="263">
        <f>IF(ISNA(MATCH(E$2,Inputs!$K$4:$AJ$4,0)),NA(),IF(SUMPRODUCT((Inputs!$A$5:$A$120=$B56)*ISNUMBER(INDEX(Inputs!$K$5:$AJ$120,0,MATCH(E$2,Inputs!$K$4:$AJ$4,0))))+SUMPRODUCT((Inputs!$C$5:$C$120=$B56)*ISNUMBER(INDEX(Inputs!$K$5:$AJ$120,0,MATCH(E$2,Inputs!$K$4:$AJ$4,0))))+SUMPRODUCT((Inputs!$E$5:$E$120=$B56)*ISNUMBER(INDEX(Inputs!$K$5:$AJ$120,0,MATCH(E$2,Inputs!$K$4:$AJ$4,0))))=0,NA(),SUMPRODUCT((Inputs!$A$5:$A$120=$B56)*Inputs!$B$5:$B$120*(((Inputs!$G$5:$G$120="moeda")+(Inputs!$G$5:$G$120="acoes"))*Inputs!$B$1+((Inputs!$G$5:$G$120&lt;&gt;"moeda")*(Inputs!$G$5:$G$120&lt;&gt;"acoes")))*INDEX(Inputs!$K$5:$AJ$120,0,MATCH(E$2,Inputs!$K$4:$AJ$4,0)))+SUMPRODUCT((Inputs!$C$5:$C$120=$B56)*Inputs!$D$5:$D$120*(((Inputs!$G$5:$G$120="moeda")+(Inputs!$G$5:$G$120="acoes"))*Inputs!$B$1+((Inputs!$G$5:$G$120&lt;&gt;"moeda")*(Inputs!$G$5:$G$120&lt;&gt;"acoes")))*INDEX(Inputs!$K$5:$AJ$120,0,MATCH(E$2,Inputs!$K$4:$AJ$4,0)))+SUMPRODUCT((Inputs!$E$5:$E$120=$B56)*Inputs!$F$5:$F$120*(((Inputs!$G$5:$G$120="moeda")+(Inputs!$G$5:$G$120="acoes"))*Inputs!$B$1+((Inputs!$G$5:$G$120&lt;&gt;"moeda")*(Inputs!$G$5:$G$120&lt;&gt;"acoes")))*INDEX(Inputs!$K$5:$AJ$120,0,MATCH(E$2,Inputs!$K$4:$AJ$4,0)))))</f>
        <v>341.3</v>
      </c>
      <c r="F56" s="263">
        <f>IF(ISNA(MATCH(F$2,Inputs!$K$4:$AJ$4,0)),NA(),IF(SUMPRODUCT((Inputs!$A$5:$A$120=$B56)*ISNUMBER(INDEX(Inputs!$K$5:$AJ$120,0,MATCH(F$2,Inputs!$K$4:$AJ$4,0))))+SUMPRODUCT((Inputs!$C$5:$C$120=$B56)*ISNUMBER(INDEX(Inputs!$K$5:$AJ$120,0,MATCH(F$2,Inputs!$K$4:$AJ$4,0))))+SUMPRODUCT((Inputs!$E$5:$E$120=$B56)*ISNUMBER(INDEX(Inputs!$K$5:$AJ$120,0,MATCH(F$2,Inputs!$K$4:$AJ$4,0))))=0,NA(),SUMPRODUCT((Inputs!$A$5:$A$120=$B56)*Inputs!$B$5:$B$120*(((Inputs!$G$5:$G$120="moeda")+(Inputs!$G$5:$G$120="acoes"))*Inputs!$B$1+((Inputs!$G$5:$G$120&lt;&gt;"moeda")*(Inputs!$G$5:$G$120&lt;&gt;"acoes")))*INDEX(Inputs!$K$5:$AJ$120,0,MATCH(F$2,Inputs!$K$4:$AJ$4,0)))+SUMPRODUCT((Inputs!$C$5:$C$120=$B56)*Inputs!$D$5:$D$120*(((Inputs!$G$5:$G$120="moeda")+(Inputs!$G$5:$G$120="acoes"))*Inputs!$B$1+((Inputs!$G$5:$G$120&lt;&gt;"moeda")*(Inputs!$G$5:$G$120&lt;&gt;"acoes")))*INDEX(Inputs!$K$5:$AJ$120,0,MATCH(F$2,Inputs!$K$4:$AJ$4,0)))+SUMPRODUCT((Inputs!$E$5:$E$120=$B56)*Inputs!$F$5:$F$120*(((Inputs!$G$5:$G$120="moeda")+(Inputs!$G$5:$G$120="acoes"))*Inputs!$B$1+((Inputs!$G$5:$G$120&lt;&gt;"moeda")*(Inputs!$G$5:$G$120&lt;&gt;"acoes")))*INDEX(Inputs!$K$5:$AJ$120,0,MATCH(F$2,Inputs!$K$4:$AJ$4,0)))))</f>
        <v>335.5</v>
      </c>
      <c r="G56" s="263">
        <f>IF(ISNA(MATCH(G$2,Inputs!$K$4:$AJ$4,0)),NA(),IF(SUMPRODUCT((Inputs!$A$5:$A$120=$B56)*ISNUMBER(INDEX(Inputs!$K$5:$AJ$120,0,MATCH(G$2,Inputs!$K$4:$AJ$4,0))))+SUMPRODUCT((Inputs!$C$5:$C$120=$B56)*ISNUMBER(INDEX(Inputs!$K$5:$AJ$120,0,MATCH(G$2,Inputs!$K$4:$AJ$4,0))))+SUMPRODUCT((Inputs!$E$5:$E$120=$B56)*ISNUMBER(INDEX(Inputs!$K$5:$AJ$120,0,MATCH(G$2,Inputs!$K$4:$AJ$4,0))))=0,NA(),SUMPRODUCT((Inputs!$A$5:$A$120=$B56)*Inputs!$B$5:$B$120*(((Inputs!$G$5:$G$120="moeda")+(Inputs!$G$5:$G$120="acoes"))*Inputs!$B$1+((Inputs!$G$5:$G$120&lt;&gt;"moeda")*(Inputs!$G$5:$G$120&lt;&gt;"acoes")))*INDEX(Inputs!$K$5:$AJ$120,0,MATCH(G$2,Inputs!$K$4:$AJ$4,0)))+SUMPRODUCT((Inputs!$C$5:$C$120=$B56)*Inputs!$D$5:$D$120*(((Inputs!$G$5:$G$120="moeda")+(Inputs!$G$5:$G$120="acoes"))*Inputs!$B$1+((Inputs!$G$5:$G$120&lt;&gt;"moeda")*(Inputs!$G$5:$G$120&lt;&gt;"acoes")))*INDEX(Inputs!$K$5:$AJ$120,0,MATCH(G$2,Inputs!$K$4:$AJ$4,0)))+SUMPRODUCT((Inputs!$E$5:$E$120=$B56)*Inputs!$F$5:$F$120*(((Inputs!$G$5:$G$120="moeda")+(Inputs!$G$5:$G$120="acoes"))*Inputs!$B$1+((Inputs!$G$5:$G$120&lt;&gt;"moeda")*(Inputs!$G$5:$G$120&lt;&gt;"acoes")))*INDEX(Inputs!$K$5:$AJ$120,0,MATCH(G$2,Inputs!$K$4:$AJ$4,0)))))</f>
        <v>404.1</v>
      </c>
      <c r="H56" s="264">
        <f>SUM(D56:G56)</f>
        <v>1349.9</v>
      </c>
      <c r="I56" s="263">
        <f>IF(ISNA(MATCH(I$2,Inputs!$K$4:$AJ$4,0)),NA(),IF(SUMPRODUCT((Inputs!$A$5:$A$120=$B56)*ISNUMBER(INDEX(Inputs!$K$5:$AJ$120,0,MATCH(I$2,Inputs!$K$4:$AJ$4,0))))+SUMPRODUCT((Inputs!$C$5:$C$120=$B56)*ISNUMBER(INDEX(Inputs!$K$5:$AJ$120,0,MATCH(I$2,Inputs!$K$4:$AJ$4,0))))+SUMPRODUCT((Inputs!$E$5:$E$120=$B56)*ISNUMBER(INDEX(Inputs!$K$5:$AJ$120,0,MATCH(I$2,Inputs!$K$4:$AJ$4,0))))=0,NA(),SUMPRODUCT((Inputs!$A$5:$A$120=$B56)*Inputs!$B$5:$B$120*(((Inputs!$G$5:$G$120="moeda")+(Inputs!$G$5:$G$120="acoes"))*Inputs!$B$1+((Inputs!$G$5:$G$120&lt;&gt;"moeda")*(Inputs!$G$5:$G$120&lt;&gt;"acoes")))*INDEX(Inputs!$K$5:$AJ$120,0,MATCH(I$2,Inputs!$K$4:$AJ$4,0)))+SUMPRODUCT((Inputs!$C$5:$C$120=$B56)*Inputs!$D$5:$D$120*(((Inputs!$G$5:$G$120="moeda")+(Inputs!$G$5:$G$120="acoes"))*Inputs!$B$1+((Inputs!$G$5:$G$120&lt;&gt;"moeda")*(Inputs!$G$5:$G$120&lt;&gt;"acoes")))*INDEX(Inputs!$K$5:$AJ$120,0,MATCH(I$2,Inputs!$K$4:$AJ$4,0)))+SUMPRODUCT((Inputs!$E$5:$E$120=$B56)*Inputs!$F$5:$F$120*(((Inputs!$G$5:$G$120="moeda")+(Inputs!$G$5:$G$120="acoes"))*Inputs!$B$1+((Inputs!$G$5:$G$120&lt;&gt;"moeda")*(Inputs!$G$5:$G$120&lt;&gt;"acoes")))*INDEX(Inputs!$K$5:$AJ$120,0,MATCH(I$2,Inputs!$K$4:$AJ$4,0)))))</f>
        <v>469.4</v>
      </c>
      <c r="J56" s="263">
        <f>IF(ISNA(MATCH(J$2,Inputs!$K$4:$AJ$4,0)),NA(),IF(SUMPRODUCT((Inputs!$A$5:$A$120=$B56)*ISNUMBER(INDEX(Inputs!$K$5:$AJ$120,0,MATCH(J$2,Inputs!$K$4:$AJ$4,0))))+SUMPRODUCT((Inputs!$C$5:$C$120=$B56)*ISNUMBER(INDEX(Inputs!$K$5:$AJ$120,0,MATCH(J$2,Inputs!$K$4:$AJ$4,0))))+SUMPRODUCT((Inputs!$E$5:$E$120=$B56)*ISNUMBER(INDEX(Inputs!$K$5:$AJ$120,0,MATCH(J$2,Inputs!$K$4:$AJ$4,0))))=0,NA(),SUMPRODUCT((Inputs!$A$5:$A$120=$B56)*Inputs!$B$5:$B$120*(((Inputs!$G$5:$G$120="moeda")+(Inputs!$G$5:$G$120="acoes"))*Inputs!$B$1+((Inputs!$G$5:$G$120&lt;&gt;"moeda")*(Inputs!$G$5:$G$120&lt;&gt;"acoes")))*INDEX(Inputs!$K$5:$AJ$120,0,MATCH(J$2,Inputs!$K$4:$AJ$4,0)))+SUMPRODUCT((Inputs!$C$5:$C$120=$B56)*Inputs!$D$5:$D$120*(((Inputs!$G$5:$G$120="moeda")+(Inputs!$G$5:$G$120="acoes"))*Inputs!$B$1+((Inputs!$G$5:$G$120&lt;&gt;"moeda")*(Inputs!$G$5:$G$120&lt;&gt;"acoes")))*INDEX(Inputs!$K$5:$AJ$120,0,MATCH(J$2,Inputs!$K$4:$AJ$4,0)))+SUMPRODUCT((Inputs!$E$5:$E$120=$B56)*Inputs!$F$5:$F$120*(((Inputs!$G$5:$G$120="moeda")+(Inputs!$G$5:$G$120="acoes"))*Inputs!$B$1+((Inputs!$G$5:$G$120&lt;&gt;"moeda")*(Inputs!$G$5:$G$120&lt;&gt;"acoes")))*INDEX(Inputs!$K$5:$AJ$120,0,MATCH(J$2,Inputs!$K$4:$AJ$4,0)))))</f>
        <v>588.5</v>
      </c>
      <c r="K56" s="263">
        <f>IF(ISNA(MATCH(K$2,Inputs!$K$4:$AJ$4,0)),NA(),IF(SUMPRODUCT((Inputs!$A$5:$A$120=$B56)*ISNUMBER(INDEX(Inputs!$K$5:$AJ$120,0,MATCH(K$2,Inputs!$K$4:$AJ$4,0))))+SUMPRODUCT((Inputs!$C$5:$C$120=$B56)*ISNUMBER(INDEX(Inputs!$K$5:$AJ$120,0,MATCH(K$2,Inputs!$K$4:$AJ$4,0))))+SUMPRODUCT((Inputs!$E$5:$E$120=$B56)*ISNUMBER(INDEX(Inputs!$K$5:$AJ$120,0,MATCH(K$2,Inputs!$K$4:$AJ$4,0))))=0,NA(),SUMPRODUCT((Inputs!$A$5:$A$120=$B56)*Inputs!$B$5:$B$120*(((Inputs!$G$5:$G$120="moeda")+(Inputs!$G$5:$G$120="acoes"))*Inputs!$B$1+((Inputs!$G$5:$G$120&lt;&gt;"moeda")*(Inputs!$G$5:$G$120&lt;&gt;"acoes")))*INDEX(Inputs!$K$5:$AJ$120,0,MATCH(K$2,Inputs!$K$4:$AJ$4,0)))+SUMPRODUCT((Inputs!$C$5:$C$120=$B56)*Inputs!$D$5:$D$120*(((Inputs!$G$5:$G$120="moeda")+(Inputs!$G$5:$G$120="acoes"))*Inputs!$B$1+((Inputs!$G$5:$G$120&lt;&gt;"moeda")*(Inputs!$G$5:$G$120&lt;&gt;"acoes")))*INDEX(Inputs!$K$5:$AJ$120,0,MATCH(K$2,Inputs!$K$4:$AJ$4,0)))+SUMPRODUCT((Inputs!$E$5:$E$120=$B56)*Inputs!$F$5:$F$120*(((Inputs!$G$5:$G$120="moeda")+(Inputs!$G$5:$G$120="acoes"))*Inputs!$B$1+((Inputs!$G$5:$G$120&lt;&gt;"moeda")*(Inputs!$G$5:$G$120&lt;&gt;"acoes")))*INDEX(Inputs!$K$5:$AJ$120,0,MATCH(K$2,Inputs!$K$4:$AJ$4,0)))))</f>
        <v>617.7</v>
      </c>
      <c r="L56" s="263">
        <f>IF(ISNA(MATCH(L$2,Inputs!$K$4:$AJ$4,0)),NA(),IF(SUMPRODUCT((Inputs!$A$5:$A$120=$B56)*ISNUMBER(INDEX(Inputs!$K$5:$AJ$120,0,MATCH(L$2,Inputs!$K$4:$AJ$4,0))))+SUMPRODUCT((Inputs!$C$5:$C$120=$B56)*ISNUMBER(INDEX(Inputs!$K$5:$AJ$120,0,MATCH(L$2,Inputs!$K$4:$AJ$4,0))))+SUMPRODUCT((Inputs!$E$5:$E$120=$B56)*ISNUMBER(INDEX(Inputs!$K$5:$AJ$120,0,MATCH(L$2,Inputs!$K$4:$AJ$4,0))))=0,NA(),SUMPRODUCT((Inputs!$A$5:$A$120=$B56)*Inputs!$B$5:$B$120*(((Inputs!$G$5:$G$120="moeda")+(Inputs!$G$5:$G$120="acoes"))*Inputs!$B$1+((Inputs!$G$5:$G$120&lt;&gt;"moeda")*(Inputs!$G$5:$G$120&lt;&gt;"acoes")))*INDEX(Inputs!$K$5:$AJ$120,0,MATCH(L$2,Inputs!$K$4:$AJ$4,0)))+SUMPRODUCT((Inputs!$C$5:$C$120=$B56)*Inputs!$D$5:$D$120*(((Inputs!$G$5:$G$120="moeda")+(Inputs!$G$5:$G$120="acoes"))*Inputs!$B$1+((Inputs!$G$5:$G$120&lt;&gt;"moeda")*(Inputs!$G$5:$G$120&lt;&gt;"acoes")))*INDEX(Inputs!$K$5:$AJ$120,0,MATCH(L$2,Inputs!$K$4:$AJ$4,0)))+SUMPRODUCT((Inputs!$E$5:$E$120=$B56)*Inputs!$F$5:$F$120*(((Inputs!$G$5:$G$120="moeda")+(Inputs!$G$5:$G$120="acoes"))*Inputs!$B$1+((Inputs!$G$5:$G$120&lt;&gt;"moeda")*(Inputs!$G$5:$G$120&lt;&gt;"acoes")))*INDEX(Inputs!$K$5:$AJ$120,0,MATCH(L$2,Inputs!$K$4:$AJ$4,0)))))</f>
        <v>807.9</v>
      </c>
      <c r="M56" s="264">
        <f>SUM(I56:L56)</f>
        <v>2483.5</v>
      </c>
      <c r="N56" s="263">
        <f>IF(ISNA(MATCH(N$2,Inputs!$K$4:$AJ$4,0)),NA(),IF(SUMPRODUCT((Inputs!$A$5:$A$120=$B56)*ISNUMBER(INDEX(Inputs!$K$5:$AJ$120,0,MATCH(N$2,Inputs!$K$4:$AJ$4,0))))+SUMPRODUCT((Inputs!$C$5:$C$120=$B56)*ISNUMBER(INDEX(Inputs!$K$5:$AJ$120,0,MATCH(N$2,Inputs!$K$4:$AJ$4,0))))+SUMPRODUCT((Inputs!$E$5:$E$120=$B56)*ISNUMBER(INDEX(Inputs!$K$5:$AJ$120,0,MATCH(N$2,Inputs!$K$4:$AJ$4,0))))=0,NA(),SUMPRODUCT((Inputs!$A$5:$A$120=$B56)*Inputs!$B$5:$B$120*(((Inputs!$G$5:$G$120="moeda")+(Inputs!$G$5:$G$120="acoes"))*Inputs!$B$1+((Inputs!$G$5:$G$120&lt;&gt;"moeda")*(Inputs!$G$5:$G$120&lt;&gt;"acoes")))*INDEX(Inputs!$K$5:$AJ$120,0,MATCH(N$2,Inputs!$K$4:$AJ$4,0)))+SUMPRODUCT((Inputs!$C$5:$C$120=$B56)*Inputs!$D$5:$D$120*(((Inputs!$G$5:$G$120="moeda")+(Inputs!$G$5:$G$120="acoes"))*Inputs!$B$1+((Inputs!$G$5:$G$120&lt;&gt;"moeda")*(Inputs!$G$5:$G$120&lt;&gt;"acoes")))*INDEX(Inputs!$K$5:$AJ$120,0,MATCH(N$2,Inputs!$K$4:$AJ$4,0)))+SUMPRODUCT((Inputs!$E$5:$E$120=$B56)*Inputs!$F$5:$F$120*(((Inputs!$G$5:$G$120="moeda")+(Inputs!$G$5:$G$120="acoes"))*Inputs!$B$1+((Inputs!$G$5:$G$120&lt;&gt;"moeda")*(Inputs!$G$5:$G$120&lt;&gt;"acoes")))*INDEX(Inputs!$K$5:$AJ$120,0,MATCH(N$2,Inputs!$K$4:$AJ$4,0)))))</f>
        <v>750.9</v>
      </c>
      <c r="O56" s="263">
        <f>IF(ISNA(MATCH(O$2,Inputs!$K$4:$AJ$4,0)),NA(),IF(SUMPRODUCT((Inputs!$A$5:$A$120=$B56)*ISNUMBER(INDEX(Inputs!$K$5:$AJ$120,0,MATCH(O$2,Inputs!$K$4:$AJ$4,0))))+SUMPRODUCT((Inputs!$C$5:$C$120=$B56)*ISNUMBER(INDEX(Inputs!$K$5:$AJ$120,0,MATCH(O$2,Inputs!$K$4:$AJ$4,0))))+SUMPRODUCT((Inputs!$E$5:$E$120=$B56)*ISNUMBER(INDEX(Inputs!$K$5:$AJ$120,0,MATCH(O$2,Inputs!$K$4:$AJ$4,0))))=0,NA(),SUMPRODUCT((Inputs!$A$5:$A$120=$B56)*Inputs!$B$5:$B$120*(((Inputs!$G$5:$G$120="moeda")+(Inputs!$G$5:$G$120="acoes"))*Inputs!$B$1+((Inputs!$G$5:$G$120&lt;&gt;"moeda")*(Inputs!$G$5:$G$120&lt;&gt;"acoes")))*INDEX(Inputs!$K$5:$AJ$120,0,MATCH(O$2,Inputs!$K$4:$AJ$4,0)))+SUMPRODUCT((Inputs!$C$5:$C$120=$B56)*Inputs!$D$5:$D$120*(((Inputs!$G$5:$G$120="moeda")+(Inputs!$G$5:$G$120="acoes"))*Inputs!$B$1+((Inputs!$G$5:$G$120&lt;&gt;"moeda")*(Inputs!$G$5:$G$120&lt;&gt;"acoes")))*INDEX(Inputs!$K$5:$AJ$120,0,MATCH(O$2,Inputs!$K$4:$AJ$4,0)))+SUMPRODUCT((Inputs!$E$5:$E$120=$B56)*Inputs!$F$5:$F$120*(((Inputs!$G$5:$G$120="moeda")+(Inputs!$G$5:$G$120="acoes"))*Inputs!$B$1+((Inputs!$G$5:$G$120&lt;&gt;"moeda")*(Inputs!$G$5:$G$120&lt;&gt;"acoes")))*INDEX(Inputs!$K$5:$AJ$120,0,MATCH(O$2,Inputs!$K$4:$AJ$4,0)))))</f>
        <v>926.8</v>
      </c>
      <c r="P56" s="263">
        <f>IF(ISNA(MATCH(P$2,Inputs!$K$4:$AJ$4,0)),NA(),IF(SUMPRODUCT((Inputs!$A$5:$A$120=$B56)*ISNUMBER(INDEX(Inputs!$K$5:$AJ$120,0,MATCH(P$2,Inputs!$K$4:$AJ$4,0))))+SUMPRODUCT((Inputs!$C$5:$C$120=$B56)*ISNUMBER(INDEX(Inputs!$K$5:$AJ$120,0,MATCH(P$2,Inputs!$K$4:$AJ$4,0))))+SUMPRODUCT((Inputs!$E$5:$E$120=$B56)*ISNUMBER(INDEX(Inputs!$K$5:$AJ$120,0,MATCH(P$2,Inputs!$K$4:$AJ$4,0))))=0,NA(),SUMPRODUCT((Inputs!$A$5:$A$120=$B56)*Inputs!$B$5:$B$120*(((Inputs!$G$5:$G$120="moeda")+(Inputs!$G$5:$G$120="acoes"))*Inputs!$B$1+((Inputs!$G$5:$G$120&lt;&gt;"moeda")*(Inputs!$G$5:$G$120&lt;&gt;"acoes")))*INDEX(Inputs!$K$5:$AJ$120,0,MATCH(P$2,Inputs!$K$4:$AJ$4,0)))+SUMPRODUCT((Inputs!$C$5:$C$120=$B56)*Inputs!$D$5:$D$120*(((Inputs!$G$5:$G$120="moeda")+(Inputs!$G$5:$G$120="acoes"))*Inputs!$B$1+((Inputs!$G$5:$G$120&lt;&gt;"moeda")*(Inputs!$G$5:$G$120&lt;&gt;"acoes")))*INDEX(Inputs!$K$5:$AJ$120,0,MATCH(P$2,Inputs!$K$4:$AJ$4,0)))+SUMPRODUCT((Inputs!$E$5:$E$120=$B56)*Inputs!$F$5:$F$120*(((Inputs!$G$5:$G$120="moeda")+(Inputs!$G$5:$G$120="acoes"))*Inputs!$B$1+((Inputs!$G$5:$G$120&lt;&gt;"moeda")*(Inputs!$G$5:$G$120&lt;&gt;"acoes")))*INDEX(Inputs!$K$5:$AJ$120,0,MATCH(P$2,Inputs!$K$4:$AJ$4,0)))))</f>
        <v>1040.2</v>
      </c>
      <c r="Q56" s="263">
        <f>IF(ISNA(MATCH(Q$2,Inputs!$K$4:$AJ$4,0)),NA(),IF(SUMPRODUCT((Inputs!$A$5:$A$120=$B56)*ISNUMBER(INDEX(Inputs!$K$5:$AJ$120,0,MATCH(Q$2,Inputs!$K$4:$AJ$4,0))))+SUMPRODUCT((Inputs!$C$5:$C$120=$B56)*ISNUMBER(INDEX(Inputs!$K$5:$AJ$120,0,MATCH(Q$2,Inputs!$K$4:$AJ$4,0))))+SUMPRODUCT((Inputs!$E$5:$E$120=$B56)*ISNUMBER(INDEX(Inputs!$K$5:$AJ$120,0,MATCH(Q$2,Inputs!$K$4:$AJ$4,0))))=0,NA(),SUMPRODUCT((Inputs!$A$5:$A$120=$B56)*Inputs!$B$5:$B$120*(((Inputs!$G$5:$G$120="moeda")+(Inputs!$G$5:$G$120="acoes"))*Inputs!$B$1+((Inputs!$G$5:$G$120&lt;&gt;"moeda")*(Inputs!$G$5:$G$120&lt;&gt;"acoes")))*INDEX(Inputs!$K$5:$AJ$120,0,MATCH(Q$2,Inputs!$K$4:$AJ$4,0)))+SUMPRODUCT((Inputs!$C$5:$C$120=$B56)*Inputs!$D$5:$D$120*(((Inputs!$G$5:$G$120="moeda")+(Inputs!$G$5:$G$120="acoes"))*Inputs!$B$1+((Inputs!$G$5:$G$120&lt;&gt;"moeda")*(Inputs!$G$5:$G$120&lt;&gt;"acoes")))*INDEX(Inputs!$K$5:$AJ$120,0,MATCH(Q$2,Inputs!$K$4:$AJ$4,0)))+SUMPRODUCT((Inputs!$E$5:$E$120=$B56)*Inputs!$F$5:$F$120*(((Inputs!$G$5:$G$120="moeda")+(Inputs!$G$5:$G$120="acoes"))*Inputs!$B$1+((Inputs!$G$5:$G$120&lt;&gt;"moeda")*(Inputs!$G$5:$G$120&lt;&gt;"acoes")))*INDEX(Inputs!$K$5:$AJ$120,0,MATCH(Q$2,Inputs!$K$4:$AJ$4,0)))))</f>
        <v>1145.4</v>
      </c>
      <c r="R56" s="264">
        <f>SUM(N56:Q56)</f>
        <v>3863.3</v>
      </c>
      <c r="S56" s="263">
        <f>IF(ISNA(MATCH(S$2,Inputs!$K$4:$AJ$4,0)),NA(),IF(SUMPRODUCT((Inputs!$A$5:$A$120=$B56)*ISNUMBER(INDEX(Inputs!$K$5:$AJ$120,0,MATCH(S$2,Inputs!$K$4:$AJ$4,0))))+SUMPRODUCT((Inputs!$C$5:$C$120=$B56)*ISNUMBER(INDEX(Inputs!$K$5:$AJ$120,0,MATCH(S$2,Inputs!$K$4:$AJ$4,0))))+SUMPRODUCT((Inputs!$E$5:$E$120=$B56)*ISNUMBER(INDEX(Inputs!$K$5:$AJ$120,0,MATCH(S$2,Inputs!$K$4:$AJ$4,0))))=0,NA(),SUMPRODUCT((Inputs!$A$5:$A$120=$B56)*Inputs!$B$5:$B$120*(((Inputs!$G$5:$G$120="moeda")+(Inputs!$G$5:$G$120="acoes"))*Inputs!$B$1+((Inputs!$G$5:$G$120&lt;&gt;"moeda")*(Inputs!$G$5:$G$120&lt;&gt;"acoes")))*INDEX(Inputs!$K$5:$AJ$120,0,MATCH(S$2,Inputs!$K$4:$AJ$4,0)))+SUMPRODUCT((Inputs!$C$5:$C$120=$B56)*Inputs!$D$5:$D$120*(((Inputs!$G$5:$G$120="moeda")+(Inputs!$G$5:$G$120="acoes"))*Inputs!$B$1+((Inputs!$G$5:$G$120&lt;&gt;"moeda")*(Inputs!$G$5:$G$120&lt;&gt;"acoes")))*INDEX(Inputs!$K$5:$AJ$120,0,MATCH(S$2,Inputs!$K$4:$AJ$4,0)))+SUMPRODUCT((Inputs!$E$5:$E$120=$B56)*Inputs!$F$5:$F$120*(((Inputs!$G$5:$G$120="moeda")+(Inputs!$G$5:$G$120="acoes"))*Inputs!$B$1+((Inputs!$G$5:$G$120&lt;&gt;"moeda")*(Inputs!$G$5:$G$120&lt;&gt;"acoes")))*INDEX(Inputs!$K$5:$AJ$120,0,MATCH(S$2,Inputs!$K$4:$AJ$4,0)))))</f>
        <v>1050.3</v>
      </c>
      <c r="T56" s="263">
        <f>IF(ISNA(MATCH(T$2,Inputs!$K$4:$AJ$4,0)),NA(),IF(SUMPRODUCT((Inputs!$A$5:$A$120=$B56)*ISNUMBER(INDEX(Inputs!$K$5:$AJ$120,0,MATCH(T$2,Inputs!$K$4:$AJ$4,0))))+SUMPRODUCT((Inputs!$C$5:$C$120=$B56)*ISNUMBER(INDEX(Inputs!$K$5:$AJ$120,0,MATCH(T$2,Inputs!$K$4:$AJ$4,0))))+SUMPRODUCT((Inputs!$E$5:$E$120=$B56)*ISNUMBER(INDEX(Inputs!$K$5:$AJ$120,0,MATCH(T$2,Inputs!$K$4:$AJ$4,0))))=0,NA(),SUMPRODUCT((Inputs!$A$5:$A$120=$B56)*Inputs!$B$5:$B$120*(((Inputs!$G$5:$G$120="moeda")+(Inputs!$G$5:$G$120="acoes"))*Inputs!$B$1+((Inputs!$G$5:$G$120&lt;&gt;"moeda")*(Inputs!$G$5:$G$120&lt;&gt;"acoes")))*INDEX(Inputs!$K$5:$AJ$120,0,MATCH(T$2,Inputs!$K$4:$AJ$4,0)))+SUMPRODUCT((Inputs!$C$5:$C$120=$B56)*Inputs!$D$5:$D$120*(((Inputs!$G$5:$G$120="moeda")+(Inputs!$G$5:$G$120="acoes"))*Inputs!$B$1+((Inputs!$G$5:$G$120&lt;&gt;"moeda")*(Inputs!$G$5:$G$120&lt;&gt;"acoes")))*INDEX(Inputs!$K$5:$AJ$120,0,MATCH(T$2,Inputs!$K$4:$AJ$4,0)))+SUMPRODUCT((Inputs!$E$5:$E$120=$B56)*Inputs!$F$5:$F$120*(((Inputs!$G$5:$G$120="moeda")+(Inputs!$G$5:$G$120="acoes"))*Inputs!$B$1+((Inputs!$G$5:$G$120&lt;&gt;"moeda")*(Inputs!$G$5:$G$120&lt;&gt;"acoes")))*INDEX(Inputs!$K$5:$AJ$120,0,MATCH(T$2,Inputs!$K$4:$AJ$4,0)))))</f>
        <v>1331.9</v>
      </c>
      <c r="U56" s="263">
        <f>IF(ISNA(MATCH(U$2,Inputs!$K$4:$AJ$4,0)),NA(),IF(SUMPRODUCT((Inputs!$A$5:$A$120=$B56)*ISNUMBER(INDEX(Inputs!$K$5:$AJ$120,0,MATCH(U$2,Inputs!$K$4:$AJ$4,0))))+SUMPRODUCT((Inputs!$C$5:$C$120=$B56)*ISNUMBER(INDEX(Inputs!$K$5:$AJ$120,0,MATCH(U$2,Inputs!$K$4:$AJ$4,0))))+SUMPRODUCT((Inputs!$E$5:$E$120=$B56)*ISNUMBER(INDEX(Inputs!$K$5:$AJ$120,0,MATCH(U$2,Inputs!$K$4:$AJ$4,0))))=0,NA(),SUMPRODUCT((Inputs!$A$5:$A$120=$B56)*Inputs!$B$5:$B$120*(((Inputs!$G$5:$G$120="moeda")+(Inputs!$G$5:$G$120="acoes"))*Inputs!$B$1+((Inputs!$G$5:$G$120&lt;&gt;"moeda")*(Inputs!$G$5:$G$120&lt;&gt;"acoes")))*INDEX(Inputs!$K$5:$AJ$120,0,MATCH(U$2,Inputs!$K$4:$AJ$4,0)))+SUMPRODUCT((Inputs!$C$5:$C$120=$B56)*Inputs!$D$5:$D$120*(((Inputs!$G$5:$G$120="moeda")+(Inputs!$G$5:$G$120="acoes"))*Inputs!$B$1+((Inputs!$G$5:$G$120&lt;&gt;"moeda")*(Inputs!$G$5:$G$120&lt;&gt;"acoes")))*INDEX(Inputs!$K$5:$AJ$120,0,MATCH(U$2,Inputs!$K$4:$AJ$4,0)))+SUMPRODUCT((Inputs!$E$5:$E$120=$B56)*Inputs!$F$5:$F$120*(((Inputs!$G$5:$G$120="moeda")+(Inputs!$G$5:$G$120="acoes"))*Inputs!$B$1+((Inputs!$G$5:$G$120&lt;&gt;"moeda")*(Inputs!$G$5:$G$120&lt;&gt;"acoes")))*INDEX(Inputs!$K$5:$AJ$120,0,MATCH(U$2,Inputs!$K$4:$AJ$4,0)))))</f>
        <v>1369.3</v>
      </c>
      <c r="V56" s="263">
        <f>IF(ISNA(MATCH(V$2,Inputs!$K$4:$AJ$4,0)),NA(),IF(SUMPRODUCT((Inputs!$A$5:$A$120=$B56)*ISNUMBER(INDEX(Inputs!$K$5:$AJ$120,0,MATCH(V$2,Inputs!$K$4:$AJ$4,0))))+SUMPRODUCT((Inputs!$C$5:$C$120=$B56)*ISNUMBER(INDEX(Inputs!$K$5:$AJ$120,0,MATCH(V$2,Inputs!$K$4:$AJ$4,0))))+SUMPRODUCT((Inputs!$E$5:$E$120=$B56)*ISNUMBER(INDEX(Inputs!$K$5:$AJ$120,0,MATCH(V$2,Inputs!$K$4:$AJ$4,0))))=0,NA(),SUMPRODUCT((Inputs!$A$5:$A$120=$B56)*Inputs!$B$5:$B$120*(((Inputs!$G$5:$G$120="moeda")+(Inputs!$G$5:$G$120="acoes"))*Inputs!$B$1+((Inputs!$G$5:$G$120&lt;&gt;"moeda")*(Inputs!$G$5:$G$120&lt;&gt;"acoes")))*INDEX(Inputs!$K$5:$AJ$120,0,MATCH(V$2,Inputs!$K$4:$AJ$4,0)))+SUMPRODUCT((Inputs!$C$5:$C$120=$B56)*Inputs!$D$5:$D$120*(((Inputs!$G$5:$G$120="moeda")+(Inputs!$G$5:$G$120="acoes"))*Inputs!$B$1+((Inputs!$G$5:$G$120&lt;&gt;"moeda")*(Inputs!$G$5:$G$120&lt;&gt;"acoes")))*INDEX(Inputs!$K$5:$AJ$120,0,MATCH(V$2,Inputs!$K$4:$AJ$4,0)))+SUMPRODUCT((Inputs!$E$5:$E$120=$B56)*Inputs!$F$5:$F$120*(((Inputs!$G$5:$G$120="moeda")+(Inputs!$G$5:$G$120="acoes"))*Inputs!$B$1+((Inputs!$G$5:$G$120&lt;&gt;"moeda")*(Inputs!$G$5:$G$120&lt;&gt;"acoes")))*INDEX(Inputs!$K$5:$AJ$120,0,MATCH(V$2,Inputs!$K$4:$AJ$4,0)))))</f>
        <v>1555.1</v>
      </c>
      <c r="W56" s="264">
        <f>SUM(S56:V56)</f>
        <v>5306.6</v>
      </c>
      <c r="X56" s="263">
        <f>IF(ISNA(MATCH(X$2,Inputs!$K$4:$AJ$4,0)),NA(),IF(SUMPRODUCT((Inputs!$A$5:$A$120=$B56)*ISNUMBER(INDEX(Inputs!$K$5:$AJ$120,0,MATCH(X$2,Inputs!$K$4:$AJ$4,0))))+SUMPRODUCT((Inputs!$C$5:$C$120=$B56)*ISNUMBER(INDEX(Inputs!$K$5:$AJ$120,0,MATCH(X$2,Inputs!$K$4:$AJ$4,0))))+SUMPRODUCT((Inputs!$E$5:$E$120=$B56)*ISNUMBER(INDEX(Inputs!$K$5:$AJ$120,0,MATCH(X$2,Inputs!$K$4:$AJ$4,0))))=0,NA(),SUMPRODUCT((Inputs!$A$5:$A$120=$B56)*Inputs!$B$5:$B$120*(((Inputs!$G$5:$G$120="moeda")+(Inputs!$G$5:$G$120="acoes"))*Inputs!$B$1+((Inputs!$G$5:$G$120&lt;&gt;"moeda")*(Inputs!$G$5:$G$120&lt;&gt;"acoes")))*INDEX(Inputs!$K$5:$AJ$120,0,MATCH(X$2,Inputs!$K$4:$AJ$4,0)))+SUMPRODUCT((Inputs!$C$5:$C$120=$B56)*Inputs!$D$5:$D$120*(((Inputs!$G$5:$G$120="moeda")+(Inputs!$G$5:$G$120="acoes"))*Inputs!$B$1+((Inputs!$G$5:$G$120&lt;&gt;"moeda")*(Inputs!$G$5:$G$120&lt;&gt;"acoes")))*INDEX(Inputs!$K$5:$AJ$120,0,MATCH(X$2,Inputs!$K$4:$AJ$4,0)))+SUMPRODUCT((Inputs!$E$5:$E$120=$B56)*Inputs!$F$5:$F$120*(((Inputs!$G$5:$G$120="moeda")+(Inputs!$G$5:$G$120="acoes"))*Inputs!$B$1+((Inputs!$G$5:$G$120&lt;&gt;"moeda")*(Inputs!$G$5:$G$120&lt;&gt;"acoes")))*INDEX(Inputs!$K$5:$AJ$120,0,MATCH(X$2,Inputs!$K$4:$AJ$4,0)))))</f>
        <v>1159</v>
      </c>
      <c r="Y56" s="263">
        <f>IF(ISNA(MATCH(Y$2,Inputs!$K$4:$AJ$4,0)),NA(),IF(SUMPRODUCT((Inputs!$A$5:$A$120=$B56)*ISNUMBER(INDEX(Inputs!$K$5:$AJ$120,0,MATCH(Y$2,Inputs!$K$4:$AJ$4,0))))+SUMPRODUCT((Inputs!$C$5:$C$120=$B56)*ISNUMBER(INDEX(Inputs!$K$5:$AJ$120,0,MATCH(Y$2,Inputs!$K$4:$AJ$4,0))))+SUMPRODUCT((Inputs!$E$5:$E$120=$B56)*ISNUMBER(INDEX(Inputs!$K$5:$AJ$120,0,MATCH(Y$2,Inputs!$K$4:$AJ$4,0))))=0,NA(),SUMPRODUCT((Inputs!$A$5:$A$120=$B56)*Inputs!$B$5:$B$120*(((Inputs!$G$5:$G$120="moeda")+(Inputs!$G$5:$G$120="acoes"))*Inputs!$B$1+((Inputs!$G$5:$G$120&lt;&gt;"moeda")*(Inputs!$G$5:$G$120&lt;&gt;"acoes")))*INDEX(Inputs!$K$5:$AJ$120,0,MATCH(Y$2,Inputs!$K$4:$AJ$4,0)))+SUMPRODUCT((Inputs!$C$5:$C$120=$B56)*Inputs!$D$5:$D$120*(((Inputs!$G$5:$G$120="moeda")+(Inputs!$G$5:$G$120="acoes"))*Inputs!$B$1+((Inputs!$G$5:$G$120&lt;&gt;"moeda")*(Inputs!$G$5:$G$120&lt;&gt;"acoes")))*INDEX(Inputs!$K$5:$AJ$120,0,MATCH(Y$2,Inputs!$K$4:$AJ$4,0)))+SUMPRODUCT((Inputs!$E$5:$E$120=$B56)*Inputs!$F$5:$F$120*(((Inputs!$G$5:$G$120="moeda")+(Inputs!$G$5:$G$120="acoes"))*Inputs!$B$1+((Inputs!$G$5:$G$120&lt;&gt;"moeda")*(Inputs!$G$5:$G$120&lt;&gt;"acoes")))*INDEX(Inputs!$K$5:$AJ$120,0,MATCH(Y$2,Inputs!$K$4:$AJ$4,0)))))</f>
        <v>1489</v>
      </c>
      <c r="Z56" s="263">
        <f>IF(ISNA(MATCH(Z$2,Inputs!$K$4:$AJ$4,0)),NA(),IF(SUMPRODUCT((Inputs!$A$5:$A$120=$B56)*ISNUMBER(INDEX(Inputs!$K$5:$AJ$120,0,MATCH(Z$2,Inputs!$K$4:$AJ$4,0))))+SUMPRODUCT((Inputs!$C$5:$C$120=$B56)*ISNUMBER(INDEX(Inputs!$K$5:$AJ$120,0,MATCH(Z$2,Inputs!$K$4:$AJ$4,0))))+SUMPRODUCT((Inputs!$E$5:$E$120=$B56)*ISNUMBER(INDEX(Inputs!$K$5:$AJ$120,0,MATCH(Z$2,Inputs!$K$4:$AJ$4,0))))=0,NA(),SUMPRODUCT((Inputs!$A$5:$A$120=$B56)*Inputs!$B$5:$B$120*(((Inputs!$G$5:$G$120="moeda")+(Inputs!$G$5:$G$120="acoes"))*Inputs!$B$1+((Inputs!$G$5:$G$120&lt;&gt;"moeda")*(Inputs!$G$5:$G$120&lt;&gt;"acoes")))*INDEX(Inputs!$K$5:$AJ$120,0,MATCH(Z$2,Inputs!$K$4:$AJ$4,0)))+SUMPRODUCT((Inputs!$C$5:$C$120=$B56)*Inputs!$D$5:$D$120*(((Inputs!$G$5:$G$120="moeda")+(Inputs!$G$5:$G$120="acoes"))*Inputs!$B$1+((Inputs!$G$5:$G$120&lt;&gt;"moeda")*(Inputs!$G$5:$G$120&lt;&gt;"acoes")))*INDEX(Inputs!$K$5:$AJ$120,0,MATCH(Z$2,Inputs!$K$4:$AJ$4,0)))+SUMPRODUCT((Inputs!$E$5:$E$120=$B56)*Inputs!$F$5:$F$120*(((Inputs!$G$5:$G$120="moeda")+(Inputs!$G$5:$G$120="acoes"))*Inputs!$B$1+((Inputs!$G$5:$G$120&lt;&gt;"moeda")*(Inputs!$G$5:$G$120&lt;&gt;"acoes")))*INDEX(Inputs!$K$5:$AJ$120,0,MATCH(Z$2,Inputs!$K$4:$AJ$4,0)))))</f>
        <v>1470.2</v>
      </c>
      <c r="AA56" s="263">
        <f>IF(ISNA(MATCH(AA$2,Inputs!$K$4:$AJ$4,0)),NA(),IF(SUMPRODUCT((Inputs!$A$5:$A$120=$B56)*ISNUMBER(INDEX(Inputs!$K$5:$AJ$120,0,MATCH(AA$2,Inputs!$K$4:$AJ$4,0))))+SUMPRODUCT((Inputs!$C$5:$C$120=$B56)*ISNUMBER(INDEX(Inputs!$K$5:$AJ$120,0,MATCH(AA$2,Inputs!$K$4:$AJ$4,0))))+SUMPRODUCT((Inputs!$E$5:$E$120=$B56)*ISNUMBER(INDEX(Inputs!$K$5:$AJ$120,0,MATCH(AA$2,Inputs!$K$4:$AJ$4,0))))=0,NA(),SUMPRODUCT((Inputs!$A$5:$A$120=$B56)*Inputs!$B$5:$B$120*(((Inputs!$G$5:$G$120="moeda")+(Inputs!$G$5:$G$120="acoes"))*Inputs!$B$1+((Inputs!$G$5:$G$120&lt;&gt;"moeda")*(Inputs!$G$5:$G$120&lt;&gt;"acoes")))*INDEX(Inputs!$K$5:$AJ$120,0,MATCH(AA$2,Inputs!$K$4:$AJ$4,0)))+SUMPRODUCT((Inputs!$C$5:$C$120=$B56)*Inputs!$D$5:$D$120*(((Inputs!$G$5:$G$120="moeda")+(Inputs!$G$5:$G$120="acoes"))*Inputs!$B$1+((Inputs!$G$5:$G$120&lt;&gt;"moeda")*(Inputs!$G$5:$G$120&lt;&gt;"acoes")))*INDEX(Inputs!$K$5:$AJ$120,0,MATCH(AA$2,Inputs!$K$4:$AJ$4,0)))+SUMPRODUCT((Inputs!$E$5:$E$120=$B56)*Inputs!$F$5:$F$120*(((Inputs!$G$5:$G$120="moeda")+(Inputs!$G$5:$G$120="acoes"))*Inputs!$B$1+((Inputs!$G$5:$G$120&lt;&gt;"moeda")*(Inputs!$G$5:$G$120&lt;&gt;"acoes")))*INDEX(Inputs!$K$5:$AJ$120,0,MATCH(AA$2,Inputs!$K$4:$AJ$4,0)))))</f>
        <v>1604.6</v>
      </c>
      <c r="AB56" s="264">
        <f>SUM(X56:AA56)</f>
        <v>5722.8</v>
      </c>
      <c r="AC56" s="263">
        <f>IF(ISNA(MATCH(AC$2,Inputs!$K$4:$AJ$4,0)),NA(),IF(SUMPRODUCT((Inputs!$A$5:$A$120=$B56)*ISNUMBER(INDEX(Inputs!$K$5:$AJ$120,0,MATCH(AC$2,Inputs!$K$4:$AJ$4,0))))+SUMPRODUCT((Inputs!$C$5:$C$120=$B56)*ISNUMBER(INDEX(Inputs!$K$5:$AJ$120,0,MATCH(AC$2,Inputs!$K$4:$AJ$4,0))))+SUMPRODUCT((Inputs!$E$5:$E$120=$B56)*ISNUMBER(INDEX(Inputs!$K$5:$AJ$120,0,MATCH(AC$2,Inputs!$K$4:$AJ$4,0))))=0,NA(),SUMPRODUCT((Inputs!$A$5:$A$120=$B56)*Inputs!$B$5:$B$120*(((Inputs!$G$5:$G$120="moeda")+(Inputs!$G$5:$G$120="acoes"))*Inputs!$B$1+((Inputs!$G$5:$G$120&lt;&gt;"moeda")*(Inputs!$G$5:$G$120&lt;&gt;"acoes")))*INDEX(Inputs!$K$5:$AJ$120,0,MATCH(AC$2,Inputs!$K$4:$AJ$4,0)))+SUMPRODUCT((Inputs!$C$5:$C$120=$B56)*Inputs!$D$5:$D$120*(((Inputs!$G$5:$G$120="moeda")+(Inputs!$G$5:$G$120="acoes"))*Inputs!$B$1+((Inputs!$G$5:$G$120&lt;&gt;"moeda")*(Inputs!$G$5:$G$120&lt;&gt;"acoes")))*INDEX(Inputs!$K$5:$AJ$120,0,MATCH(AC$2,Inputs!$K$4:$AJ$4,0)))+SUMPRODUCT((Inputs!$E$5:$E$120=$B56)*Inputs!$F$5:$F$120*(((Inputs!$G$5:$G$120="moeda")+(Inputs!$G$5:$G$120="acoes"))*Inputs!$B$1+((Inputs!$G$5:$G$120&lt;&gt;"moeda")*(Inputs!$G$5:$G$120&lt;&gt;"acoes")))*INDEX(Inputs!$K$5:$AJ$120,0,MATCH(AC$2,Inputs!$K$4:$AJ$4,0)))))</f>
        <v>1302</v>
      </c>
      <c r="AD56" s="263">
        <f>IF(ISNA(MATCH(AD$2,Inputs!$K$4:$AJ$4,0)),NA(),IF(SUMPRODUCT((Inputs!$A$5:$A$120=$B56)*ISNUMBER(INDEX(Inputs!$K$5:$AJ$120,0,MATCH(AD$2,Inputs!$K$4:$AJ$4,0))))+SUMPRODUCT((Inputs!$C$5:$C$120=$B56)*ISNUMBER(INDEX(Inputs!$K$5:$AJ$120,0,MATCH(AD$2,Inputs!$K$4:$AJ$4,0))))+SUMPRODUCT((Inputs!$E$5:$E$120=$B56)*ISNUMBER(INDEX(Inputs!$K$5:$AJ$120,0,MATCH(AD$2,Inputs!$K$4:$AJ$4,0))))=0,NA(),SUMPRODUCT((Inputs!$A$5:$A$120=$B56)*Inputs!$B$5:$B$120*(((Inputs!$G$5:$G$120="moeda")+(Inputs!$G$5:$G$120="acoes"))*Inputs!$B$1+((Inputs!$G$5:$G$120&lt;&gt;"moeda")*(Inputs!$G$5:$G$120&lt;&gt;"acoes")))*INDEX(Inputs!$K$5:$AJ$120,0,MATCH(AD$2,Inputs!$K$4:$AJ$4,0)))+SUMPRODUCT((Inputs!$C$5:$C$120=$B56)*Inputs!$D$5:$D$120*(((Inputs!$G$5:$G$120="moeda")+(Inputs!$G$5:$G$120="acoes"))*Inputs!$B$1+((Inputs!$G$5:$G$120&lt;&gt;"moeda")*(Inputs!$G$5:$G$120&lt;&gt;"acoes")))*INDEX(Inputs!$K$5:$AJ$120,0,MATCH(AD$2,Inputs!$K$4:$AJ$4,0)))+SUMPRODUCT((Inputs!$E$5:$E$120=$B56)*Inputs!$F$5:$F$120*(((Inputs!$G$5:$G$120="moeda")+(Inputs!$G$5:$G$120="acoes"))*Inputs!$B$1+((Inputs!$G$5:$G$120&lt;&gt;"moeda")*(Inputs!$G$5:$G$120&lt;&gt;"acoes")))*INDEX(Inputs!$K$5:$AJ$120,0,MATCH(AD$2,Inputs!$K$4:$AJ$4,0)))))</f>
        <v>1474</v>
      </c>
      <c r="AE56" s="263" t="e">
        <f>IF(ISNA(MATCH(AE$2,Inputs!$K$4:$AJ$4,0)),NA(),IF(SUMPRODUCT((Inputs!$A$5:$A$120=$B56)*ISNUMBER(INDEX(Inputs!$K$5:$AJ$120,0,MATCH(AE$2,Inputs!$K$4:$AJ$4,0))))+SUMPRODUCT((Inputs!$C$5:$C$120=$B56)*ISNUMBER(INDEX(Inputs!$K$5:$AJ$120,0,MATCH(AE$2,Inputs!$K$4:$AJ$4,0))))+SUMPRODUCT((Inputs!$E$5:$E$120=$B56)*ISNUMBER(INDEX(Inputs!$K$5:$AJ$120,0,MATCH(AE$2,Inputs!$K$4:$AJ$4,0))))=0,NA(),SUMPRODUCT((Inputs!$A$5:$A$120=$B56)*Inputs!$B$5:$B$120*(((Inputs!$G$5:$G$120="moeda")+(Inputs!$G$5:$G$120="acoes"))*Inputs!$B$1+((Inputs!$G$5:$G$120&lt;&gt;"moeda")*(Inputs!$G$5:$G$120&lt;&gt;"acoes")))*INDEX(Inputs!$K$5:$AJ$120,0,MATCH(AE$2,Inputs!$K$4:$AJ$4,0)))+SUMPRODUCT((Inputs!$C$5:$C$120=$B56)*Inputs!$D$5:$D$120*(((Inputs!$G$5:$G$120="moeda")+(Inputs!$G$5:$G$120="acoes"))*Inputs!$B$1+((Inputs!$G$5:$G$120&lt;&gt;"moeda")*(Inputs!$G$5:$G$120&lt;&gt;"acoes")))*INDEX(Inputs!$K$5:$AJ$120,0,MATCH(AE$2,Inputs!$K$4:$AJ$4,0)))+SUMPRODUCT((Inputs!$E$5:$E$120=$B56)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6" s="263" t="e">
        <f>IF(ISNA(MATCH(AF$2,Inputs!$K$4:$AJ$4,0)),NA(),IF(SUMPRODUCT((Inputs!$A$5:$A$120=$B56)*ISNUMBER(INDEX(Inputs!$K$5:$AJ$120,0,MATCH(AF$2,Inputs!$K$4:$AJ$4,0))))+SUMPRODUCT((Inputs!$C$5:$C$120=$B56)*ISNUMBER(INDEX(Inputs!$K$5:$AJ$120,0,MATCH(AF$2,Inputs!$K$4:$AJ$4,0))))+SUMPRODUCT((Inputs!$E$5:$E$120=$B56)*ISNUMBER(INDEX(Inputs!$K$5:$AJ$120,0,MATCH(AF$2,Inputs!$K$4:$AJ$4,0))))=0,NA(),SUMPRODUCT((Inputs!$A$5:$A$120=$B56)*Inputs!$B$5:$B$120*(((Inputs!$G$5:$G$120="moeda")+(Inputs!$G$5:$G$120="acoes"))*Inputs!$B$1+((Inputs!$G$5:$G$120&lt;&gt;"moeda")*(Inputs!$G$5:$G$120&lt;&gt;"acoes")))*INDEX(Inputs!$K$5:$AJ$120,0,MATCH(AF$2,Inputs!$K$4:$AJ$4,0)))+SUMPRODUCT((Inputs!$C$5:$C$120=$B56)*Inputs!$D$5:$D$120*(((Inputs!$G$5:$G$120="moeda")+(Inputs!$G$5:$G$120="acoes"))*Inputs!$B$1+((Inputs!$G$5:$G$120&lt;&gt;"moeda")*(Inputs!$G$5:$G$120&lt;&gt;"acoes")))*INDEX(Inputs!$K$5:$AJ$120,0,MATCH(AF$2,Inputs!$K$4:$AJ$4,0)))+SUMPRODUCT((Inputs!$E$5:$E$120=$B56)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6" s="264" t="e">
        <f>SUM(AC56:AF56)</f>
        <v>#N/A</v>
      </c>
      <c r="AH56" s="263">
        <f>IF(ISNA(MATCH(AH$2,Inputs!$K$4:$AJ$4,0)),NA(),IF(SUMPRODUCT((Inputs!$A$5:$A$120=$B56)*ISNUMBER(INDEX(Inputs!$K$5:$AJ$120,0,MATCH(AH$2,Inputs!$K$4:$AJ$4,0))))+SUMPRODUCT((Inputs!$C$5:$C$120=$B56)*ISNUMBER(INDEX(Inputs!$K$5:$AJ$120,0,MATCH(AH$2,Inputs!$K$4:$AJ$4,0))))+SUMPRODUCT((Inputs!$E$5:$E$120=$B56)*ISNUMBER(INDEX(Inputs!$K$5:$AJ$120,0,MATCH(AH$2,Inputs!$K$4:$AJ$4,0))))=0,NA(),SUMPRODUCT((Inputs!$A$5:$A$120=$B56)*Inputs!$B$5:$B$120*(((Inputs!$G$5:$G$120="moeda")+(Inputs!$G$5:$G$120="acoes"))*Inputs!$B$1+((Inputs!$G$5:$G$120&lt;&gt;"moeda")*(Inputs!$G$5:$G$120&lt;&gt;"acoes")))*INDEX(Inputs!$K$5:$AJ$120,0,MATCH(AH$2,Inputs!$K$4:$AJ$4,0)))+SUMPRODUCT((Inputs!$C$5:$C$120=$B56)*Inputs!$D$5:$D$120*(((Inputs!$G$5:$G$120="moeda")+(Inputs!$G$5:$G$120="acoes"))*Inputs!$B$1+((Inputs!$G$5:$G$120&lt;&gt;"moeda")*(Inputs!$G$5:$G$120&lt;&gt;"acoes")))*INDEX(Inputs!$K$5:$AJ$120,0,MATCH(AH$2,Inputs!$K$4:$AJ$4,0)))+SUMPRODUCT((Inputs!$E$5:$E$120=$B56)*Inputs!$F$5:$F$120*(((Inputs!$G$5:$G$120="moeda")+(Inputs!$G$5:$G$120="acoes"))*Inputs!$B$1+((Inputs!$G$5:$G$120&lt;&gt;"moeda")*(Inputs!$G$5:$G$120&lt;&gt;"acoes")))*INDEX(Inputs!$K$5:$AJ$120,0,MATCH(AH$2,Inputs!$K$4:$AJ$4,0)))))</f>
        <v>188</v>
      </c>
      <c r="AI56" s="263">
        <f>IF(ISNA(MATCH(AI$2,Inputs!$K$4:$AJ$4,0)),NA(),IF(SUMPRODUCT((Inputs!$A$5:$A$120=$B56)*ISNUMBER(INDEX(Inputs!$K$5:$AJ$120,0,MATCH(AI$2,Inputs!$K$4:$AJ$4,0))))+SUMPRODUCT((Inputs!$C$5:$C$120=$B56)*ISNUMBER(INDEX(Inputs!$K$5:$AJ$120,0,MATCH(AI$2,Inputs!$K$4:$AJ$4,0))))+SUMPRODUCT((Inputs!$E$5:$E$120=$B56)*ISNUMBER(INDEX(Inputs!$K$5:$AJ$120,0,MATCH(AI$2,Inputs!$K$4:$AJ$4,0))))=0,NA(),SUMPRODUCT((Inputs!$A$5:$A$120=$B56)*Inputs!$B$5:$B$120*(((Inputs!$G$5:$G$120="moeda")+(Inputs!$G$5:$G$120="acoes"))*Inputs!$B$1+((Inputs!$G$5:$G$120&lt;&gt;"moeda")*(Inputs!$G$5:$G$120&lt;&gt;"acoes")))*INDEX(Inputs!$K$5:$AJ$120,0,MATCH(AI$2,Inputs!$K$4:$AJ$4,0)))+SUMPRODUCT((Inputs!$C$5:$C$120=$B56)*Inputs!$D$5:$D$120*(((Inputs!$G$5:$G$120="moeda")+(Inputs!$G$5:$G$120="acoes"))*Inputs!$B$1+((Inputs!$G$5:$G$120&lt;&gt;"moeda")*(Inputs!$G$5:$G$120&lt;&gt;"acoes")))*INDEX(Inputs!$K$5:$AJ$120,0,MATCH(AI$2,Inputs!$K$4:$AJ$4,0)))+SUMPRODUCT((Inputs!$E$5:$E$120=$B56)*Inputs!$F$5:$F$120*(((Inputs!$G$5:$G$120="moeda")+(Inputs!$G$5:$G$120="acoes"))*Inputs!$B$1+((Inputs!$G$5:$G$120&lt;&gt;"moeda")*(Inputs!$G$5:$G$120&lt;&gt;"acoes")))*INDEX(Inputs!$K$5:$AJ$120,0,MATCH(AI$2,Inputs!$K$4:$AJ$4,0)))))</f>
        <v>208.6</v>
      </c>
      <c r="AJ56" s="263">
        <f>IF(ISNA(MATCH(AJ$2,Inputs!$K$4:$AJ$4,0)),NA(),IF(SUMPRODUCT((Inputs!$A$5:$A$120=$B56)*ISNUMBER(INDEX(Inputs!$K$5:$AJ$120,0,MATCH(AJ$2,Inputs!$K$4:$AJ$4,0))))+SUMPRODUCT((Inputs!$C$5:$C$120=$B56)*ISNUMBER(INDEX(Inputs!$K$5:$AJ$120,0,MATCH(AJ$2,Inputs!$K$4:$AJ$4,0))))+SUMPRODUCT((Inputs!$E$5:$E$120=$B56)*ISNUMBER(INDEX(Inputs!$K$5:$AJ$120,0,MATCH(AJ$2,Inputs!$K$4:$AJ$4,0))))=0,NA(),SUMPRODUCT((Inputs!$A$5:$A$120=$B56)*Inputs!$B$5:$B$120*(((Inputs!$G$5:$G$120="moeda")+(Inputs!$G$5:$G$120="acoes"))*Inputs!$B$1+((Inputs!$G$5:$G$120&lt;&gt;"moeda")*(Inputs!$G$5:$G$120&lt;&gt;"acoes")))*INDEX(Inputs!$K$5:$AJ$120,0,MATCH(AJ$2,Inputs!$K$4:$AJ$4,0)))+SUMPRODUCT((Inputs!$C$5:$C$120=$B56)*Inputs!$D$5:$D$120*(((Inputs!$G$5:$G$120="moeda")+(Inputs!$G$5:$G$120="acoes"))*Inputs!$B$1+((Inputs!$G$5:$G$120&lt;&gt;"moeda")*(Inputs!$G$5:$G$120&lt;&gt;"acoes")))*INDEX(Inputs!$K$5:$AJ$120,0,MATCH(AJ$2,Inputs!$K$4:$AJ$4,0)))+SUMPRODUCT((Inputs!$E$5:$E$120=$B56)*Inputs!$F$5:$F$120*(((Inputs!$G$5:$G$120="moeda")+(Inputs!$G$5:$G$120="acoes"))*Inputs!$B$1+((Inputs!$G$5:$G$120&lt;&gt;"moeda")*(Inputs!$G$5:$G$120&lt;&gt;"acoes")))*INDEX(Inputs!$K$5:$AJ$120,0,MATCH(AJ$2,Inputs!$K$4:$AJ$4,0)))))</f>
        <v>234.4</v>
      </c>
      <c r="AK56" s="263">
        <f>IF(ISNA(MATCH(AK$2,Inputs!$K$4:$AJ$4,0)),NA(),IF(SUMPRODUCT((Inputs!$A$5:$A$120=$B56)*ISNUMBER(INDEX(Inputs!$K$5:$AJ$120,0,MATCH(AK$2,Inputs!$K$4:$AJ$4,0))))+SUMPRODUCT((Inputs!$C$5:$C$120=$B56)*ISNUMBER(INDEX(Inputs!$K$5:$AJ$120,0,MATCH(AK$2,Inputs!$K$4:$AJ$4,0))))+SUMPRODUCT((Inputs!$E$5:$E$120=$B56)*ISNUMBER(INDEX(Inputs!$K$5:$AJ$120,0,MATCH(AK$2,Inputs!$K$4:$AJ$4,0))))=0,NA(),SUMPRODUCT((Inputs!$A$5:$A$120=$B56)*Inputs!$B$5:$B$120*(((Inputs!$G$5:$G$120="moeda")+(Inputs!$G$5:$G$120="acoes"))*Inputs!$B$1+((Inputs!$G$5:$G$120&lt;&gt;"moeda")*(Inputs!$G$5:$G$120&lt;&gt;"acoes")))*INDEX(Inputs!$K$5:$AJ$120,0,MATCH(AK$2,Inputs!$K$4:$AJ$4,0)))+SUMPRODUCT((Inputs!$C$5:$C$120=$B56)*Inputs!$D$5:$D$120*(((Inputs!$G$5:$G$120="moeda")+(Inputs!$G$5:$G$120="acoes"))*Inputs!$B$1+((Inputs!$G$5:$G$120&lt;&gt;"moeda")*(Inputs!$G$5:$G$120&lt;&gt;"acoes")))*INDEX(Inputs!$K$5:$AJ$120,0,MATCH(AK$2,Inputs!$K$4:$AJ$4,0)))+SUMPRODUCT((Inputs!$E$5:$E$120=$B56)*Inputs!$F$5:$F$120*(((Inputs!$G$5:$G$120="moeda")+(Inputs!$G$5:$G$120="acoes"))*Inputs!$B$1+((Inputs!$G$5:$G$120&lt;&gt;"moeda")*(Inputs!$G$5:$G$120&lt;&gt;"acoes")))*INDEX(Inputs!$K$5:$AJ$120,0,MATCH(AK$2,Inputs!$K$4:$AJ$4,0)))))</f>
        <v>281.5</v>
      </c>
      <c r="AL56" s="264">
        <f>SUM(AH56:AK56)</f>
        <v>912.5</v>
      </c>
    </row>
    <row r="57">
      <c r="B57" s="46" t="n">
        <v>49</v>
      </c>
      <c r="C57" s="29" t="inlineStr">
        <is>
          <t>Receita Jardiance (USD)</t>
        </is>
      </c>
      <c r="D57" s="263">
        <f>IF(ISNA(MATCH(D$2,Inputs!$K$4:$AJ$4,0)),NA(),IF(SUMPRODUCT((Inputs!$A$5:$A$120=$B57)*ISNUMBER(INDEX(Inputs!$K$5:$AJ$120,0,MATCH(D$2,Inputs!$K$4:$AJ$4,0))))+SUMPRODUCT((Inputs!$C$5:$C$120=$B57)*ISNUMBER(INDEX(Inputs!$K$5:$AJ$120,0,MATCH(D$2,Inputs!$K$4:$AJ$4,0))))+SUMPRODUCT((Inputs!$E$5:$E$120=$B57)*ISNUMBER(INDEX(Inputs!$K$5:$AJ$120,0,MATCH(D$2,Inputs!$K$4:$AJ$4,0))))=0,NA(),SUMPRODUCT((Inputs!$A$5:$A$120=$B57)*Inputs!$B$5:$B$120*(((Inputs!$G$5:$G$120="moeda")+(Inputs!$G$5:$G$120="acoes"))*Inputs!$B$1+((Inputs!$G$5:$G$120&lt;&gt;"moeda")*(Inputs!$G$5:$G$120&lt;&gt;"acoes")))*INDEX(Inputs!$K$5:$AJ$120,0,MATCH(D$2,Inputs!$K$4:$AJ$4,0)))+SUMPRODUCT((Inputs!$C$5:$C$120=$B57)*Inputs!$D$5:$D$120*(((Inputs!$G$5:$G$120="moeda")+(Inputs!$G$5:$G$120="acoes"))*Inputs!$B$1+((Inputs!$G$5:$G$120&lt;&gt;"moeda")*(Inputs!$G$5:$G$120&lt;&gt;"acoes")))*INDEX(Inputs!$K$5:$AJ$120,0,MATCH(D$2,Inputs!$K$4:$AJ$4,0)))+SUMPRODUCT((Inputs!$E$5:$E$120=$B57)*Inputs!$F$5:$F$120*(((Inputs!$G$5:$G$120="moeda")+(Inputs!$G$5:$G$120="acoes"))*Inputs!$B$1+((Inputs!$G$5:$G$120&lt;&gt;"moeda")*(Inputs!$G$5:$G$120&lt;&gt;"acoes")))*INDEX(Inputs!$K$5:$AJ$120,0,MATCH(D$2,Inputs!$K$4:$AJ$4,0)))))</f>
        <v>312</v>
      </c>
      <c r="E57" s="263">
        <f>IF(ISNA(MATCH(E$2,Inputs!$K$4:$AJ$4,0)),NA(),IF(SUMPRODUCT((Inputs!$A$5:$A$120=$B57)*ISNUMBER(INDEX(Inputs!$K$5:$AJ$120,0,MATCH(E$2,Inputs!$K$4:$AJ$4,0))))+SUMPRODUCT((Inputs!$C$5:$C$120=$B57)*ISNUMBER(INDEX(Inputs!$K$5:$AJ$120,0,MATCH(E$2,Inputs!$K$4:$AJ$4,0))))+SUMPRODUCT((Inputs!$E$5:$E$120=$B57)*ISNUMBER(INDEX(Inputs!$K$5:$AJ$120,0,MATCH(E$2,Inputs!$K$4:$AJ$4,0))))=0,NA(),SUMPRODUCT((Inputs!$A$5:$A$120=$B57)*Inputs!$B$5:$B$120*(((Inputs!$G$5:$G$120="moeda")+(Inputs!$G$5:$G$120="acoes"))*Inputs!$B$1+((Inputs!$G$5:$G$120&lt;&gt;"moeda")*(Inputs!$G$5:$G$120&lt;&gt;"acoes")))*INDEX(Inputs!$K$5:$AJ$120,0,MATCH(E$2,Inputs!$K$4:$AJ$4,0)))+SUMPRODUCT((Inputs!$C$5:$C$120=$B57)*Inputs!$D$5:$D$120*(((Inputs!$G$5:$G$120="moeda")+(Inputs!$G$5:$G$120="acoes"))*Inputs!$B$1+((Inputs!$G$5:$G$120&lt;&gt;"moeda")*(Inputs!$G$5:$G$120&lt;&gt;"acoes")))*INDEX(Inputs!$K$5:$AJ$120,0,MATCH(E$2,Inputs!$K$4:$AJ$4,0)))+SUMPRODUCT((Inputs!$E$5:$E$120=$B57)*Inputs!$F$5:$F$120*(((Inputs!$G$5:$G$120="moeda")+(Inputs!$G$5:$G$120="acoes"))*Inputs!$B$1+((Inputs!$G$5:$G$120&lt;&gt;"moeda")*(Inputs!$G$5:$G$120&lt;&gt;"acoes")))*INDEX(Inputs!$K$5:$AJ$120,0,MATCH(E$2,Inputs!$K$4:$AJ$4,0)))))</f>
        <v>356.5</v>
      </c>
      <c r="F57" s="263">
        <f>IF(ISNA(MATCH(F$2,Inputs!$K$4:$AJ$4,0)),NA(),IF(SUMPRODUCT((Inputs!$A$5:$A$120=$B57)*ISNUMBER(INDEX(Inputs!$K$5:$AJ$120,0,MATCH(F$2,Inputs!$K$4:$AJ$4,0))))+SUMPRODUCT((Inputs!$C$5:$C$120=$B57)*ISNUMBER(INDEX(Inputs!$K$5:$AJ$120,0,MATCH(F$2,Inputs!$K$4:$AJ$4,0))))+SUMPRODUCT((Inputs!$E$5:$E$120=$B57)*ISNUMBER(INDEX(Inputs!$K$5:$AJ$120,0,MATCH(F$2,Inputs!$K$4:$AJ$4,0))))=0,NA(),SUMPRODUCT((Inputs!$A$5:$A$120=$B57)*Inputs!$B$5:$B$120*(((Inputs!$G$5:$G$120="moeda")+(Inputs!$G$5:$G$120="acoes"))*Inputs!$B$1+((Inputs!$G$5:$G$120&lt;&gt;"moeda")*(Inputs!$G$5:$G$120&lt;&gt;"acoes")))*INDEX(Inputs!$K$5:$AJ$120,0,MATCH(F$2,Inputs!$K$4:$AJ$4,0)))+SUMPRODUCT((Inputs!$C$5:$C$120=$B57)*Inputs!$D$5:$D$120*(((Inputs!$G$5:$G$120="moeda")+(Inputs!$G$5:$G$120="acoes"))*Inputs!$B$1+((Inputs!$G$5:$G$120&lt;&gt;"moeda")*(Inputs!$G$5:$G$120&lt;&gt;"acoes")))*INDEX(Inputs!$K$5:$AJ$120,0,MATCH(F$2,Inputs!$K$4:$AJ$4,0)))+SUMPRODUCT((Inputs!$E$5:$E$120=$B57)*Inputs!$F$5:$F$120*(((Inputs!$G$5:$G$120="moeda")+(Inputs!$G$5:$G$120="acoes"))*Inputs!$B$1+((Inputs!$G$5:$G$120&lt;&gt;"moeda")*(Inputs!$G$5:$G$120&lt;&gt;"acoes")))*INDEX(Inputs!$K$5:$AJ$120,0,MATCH(F$2,Inputs!$K$4:$AJ$4,0)))))</f>
        <v>390.4</v>
      </c>
      <c r="G57" s="263">
        <f>IF(ISNA(MATCH(G$2,Inputs!$K$4:$AJ$4,0)),NA(),IF(SUMPRODUCT((Inputs!$A$5:$A$120=$B57)*ISNUMBER(INDEX(Inputs!$K$5:$AJ$120,0,MATCH(G$2,Inputs!$K$4:$AJ$4,0))))+SUMPRODUCT((Inputs!$C$5:$C$120=$B57)*ISNUMBER(INDEX(Inputs!$K$5:$AJ$120,0,MATCH(G$2,Inputs!$K$4:$AJ$4,0))))+SUMPRODUCT((Inputs!$E$5:$E$120=$B57)*ISNUMBER(INDEX(Inputs!$K$5:$AJ$120,0,MATCH(G$2,Inputs!$K$4:$AJ$4,0))))=0,NA(),SUMPRODUCT((Inputs!$A$5:$A$120=$B57)*Inputs!$B$5:$B$120*(((Inputs!$G$5:$G$120="moeda")+(Inputs!$G$5:$G$120="acoes"))*Inputs!$B$1+((Inputs!$G$5:$G$120&lt;&gt;"moeda")*(Inputs!$G$5:$G$120&lt;&gt;"acoes")))*INDEX(Inputs!$K$5:$AJ$120,0,MATCH(G$2,Inputs!$K$4:$AJ$4,0)))+SUMPRODUCT((Inputs!$C$5:$C$120=$B57)*Inputs!$D$5:$D$120*(((Inputs!$G$5:$G$120="moeda")+(Inputs!$G$5:$G$120="acoes"))*Inputs!$B$1+((Inputs!$G$5:$G$120&lt;&gt;"moeda")*(Inputs!$G$5:$G$120&lt;&gt;"acoes")))*INDEX(Inputs!$K$5:$AJ$120,0,MATCH(G$2,Inputs!$K$4:$AJ$4,0)))+SUMPRODUCT((Inputs!$E$5:$E$120=$B57)*Inputs!$F$5:$F$120*(((Inputs!$G$5:$G$120="moeda")+(Inputs!$G$5:$G$120="acoes"))*Inputs!$B$1+((Inputs!$G$5:$G$120&lt;&gt;"moeda")*(Inputs!$G$5:$G$120&lt;&gt;"acoes")))*INDEX(Inputs!$K$5:$AJ$120,0,MATCH(G$2,Inputs!$K$4:$AJ$4,0)))))</f>
        <v>431.9</v>
      </c>
      <c r="H57" s="264">
        <f>SUM(D57:G57)</f>
        <v>1490.8</v>
      </c>
      <c r="I57" s="263">
        <f>IF(ISNA(MATCH(I$2,Inputs!$K$4:$AJ$4,0)),NA(),IF(SUMPRODUCT((Inputs!$A$5:$A$120=$B57)*ISNUMBER(INDEX(Inputs!$K$5:$AJ$120,0,MATCH(I$2,Inputs!$K$4:$AJ$4,0))))+SUMPRODUCT((Inputs!$C$5:$C$120=$B57)*ISNUMBER(INDEX(Inputs!$K$5:$AJ$120,0,MATCH(I$2,Inputs!$K$4:$AJ$4,0))))+SUMPRODUCT((Inputs!$E$5:$E$120=$B57)*ISNUMBER(INDEX(Inputs!$K$5:$AJ$120,0,MATCH(I$2,Inputs!$K$4:$AJ$4,0))))=0,NA(),SUMPRODUCT((Inputs!$A$5:$A$120=$B57)*Inputs!$B$5:$B$120*(((Inputs!$G$5:$G$120="moeda")+(Inputs!$G$5:$G$120="acoes"))*Inputs!$B$1+((Inputs!$G$5:$G$120&lt;&gt;"moeda")*(Inputs!$G$5:$G$120&lt;&gt;"acoes")))*INDEX(Inputs!$K$5:$AJ$120,0,MATCH(I$2,Inputs!$K$4:$AJ$4,0)))+SUMPRODUCT((Inputs!$C$5:$C$120=$B57)*Inputs!$D$5:$D$120*(((Inputs!$G$5:$G$120="moeda")+(Inputs!$G$5:$G$120="acoes"))*Inputs!$B$1+((Inputs!$G$5:$G$120&lt;&gt;"moeda")*(Inputs!$G$5:$G$120&lt;&gt;"acoes")))*INDEX(Inputs!$K$5:$AJ$120,0,MATCH(I$2,Inputs!$K$4:$AJ$4,0)))+SUMPRODUCT((Inputs!$E$5:$E$120=$B57)*Inputs!$F$5:$F$120*(((Inputs!$G$5:$G$120="moeda")+(Inputs!$G$5:$G$120="acoes"))*Inputs!$B$1+((Inputs!$G$5:$G$120&lt;&gt;"moeda")*(Inputs!$G$5:$G$120&lt;&gt;"acoes")))*INDEX(Inputs!$K$5:$AJ$120,0,MATCH(I$2,Inputs!$K$4:$AJ$4,0)))))</f>
        <v>419.4</v>
      </c>
      <c r="J57" s="263">
        <f>IF(ISNA(MATCH(J$2,Inputs!$K$4:$AJ$4,0)),NA(),IF(SUMPRODUCT((Inputs!$A$5:$A$120=$B57)*ISNUMBER(INDEX(Inputs!$K$5:$AJ$120,0,MATCH(J$2,Inputs!$K$4:$AJ$4,0))))+SUMPRODUCT((Inputs!$C$5:$C$120=$B57)*ISNUMBER(INDEX(Inputs!$K$5:$AJ$120,0,MATCH(J$2,Inputs!$K$4:$AJ$4,0))))+SUMPRODUCT((Inputs!$E$5:$E$120=$B57)*ISNUMBER(INDEX(Inputs!$K$5:$AJ$120,0,MATCH(J$2,Inputs!$K$4:$AJ$4,0))))=0,NA(),SUMPRODUCT((Inputs!$A$5:$A$120=$B57)*Inputs!$B$5:$B$120*(((Inputs!$G$5:$G$120="moeda")+(Inputs!$G$5:$G$120="acoes"))*Inputs!$B$1+((Inputs!$G$5:$G$120&lt;&gt;"moeda")*(Inputs!$G$5:$G$120&lt;&gt;"acoes")))*INDEX(Inputs!$K$5:$AJ$120,0,MATCH(J$2,Inputs!$K$4:$AJ$4,0)))+SUMPRODUCT((Inputs!$C$5:$C$120=$B57)*Inputs!$D$5:$D$120*(((Inputs!$G$5:$G$120="moeda")+(Inputs!$G$5:$G$120="acoes"))*Inputs!$B$1+((Inputs!$G$5:$G$120&lt;&gt;"moeda")*(Inputs!$G$5:$G$120&lt;&gt;"acoes")))*INDEX(Inputs!$K$5:$AJ$120,0,MATCH(J$2,Inputs!$K$4:$AJ$4,0)))+SUMPRODUCT((Inputs!$E$5:$E$120=$B57)*Inputs!$F$5:$F$120*(((Inputs!$G$5:$G$120="moeda")+(Inputs!$G$5:$G$120="acoes"))*Inputs!$B$1+((Inputs!$G$5:$G$120&lt;&gt;"moeda")*(Inputs!$G$5:$G$120&lt;&gt;"acoes")))*INDEX(Inputs!$K$5:$AJ$120,0,MATCH(J$2,Inputs!$K$4:$AJ$4,0)))))</f>
        <v>461</v>
      </c>
      <c r="K57" s="263">
        <f>IF(ISNA(MATCH(K$2,Inputs!$K$4:$AJ$4,0)),NA(),IF(SUMPRODUCT((Inputs!$A$5:$A$120=$B57)*ISNUMBER(INDEX(Inputs!$K$5:$AJ$120,0,MATCH(K$2,Inputs!$K$4:$AJ$4,0))))+SUMPRODUCT((Inputs!$C$5:$C$120=$B57)*ISNUMBER(INDEX(Inputs!$K$5:$AJ$120,0,MATCH(K$2,Inputs!$K$4:$AJ$4,0))))+SUMPRODUCT((Inputs!$E$5:$E$120=$B57)*ISNUMBER(INDEX(Inputs!$K$5:$AJ$120,0,MATCH(K$2,Inputs!$K$4:$AJ$4,0))))=0,NA(),SUMPRODUCT((Inputs!$A$5:$A$120=$B57)*Inputs!$B$5:$B$120*(((Inputs!$G$5:$G$120="moeda")+(Inputs!$G$5:$G$120="acoes"))*Inputs!$B$1+((Inputs!$G$5:$G$120&lt;&gt;"moeda")*(Inputs!$G$5:$G$120&lt;&gt;"acoes")))*INDEX(Inputs!$K$5:$AJ$120,0,MATCH(K$2,Inputs!$K$4:$AJ$4,0)))+SUMPRODUCT((Inputs!$C$5:$C$120=$B57)*Inputs!$D$5:$D$120*(((Inputs!$G$5:$G$120="moeda")+(Inputs!$G$5:$G$120="acoes"))*Inputs!$B$1+((Inputs!$G$5:$G$120&lt;&gt;"moeda")*(Inputs!$G$5:$G$120&lt;&gt;"acoes")))*INDEX(Inputs!$K$5:$AJ$120,0,MATCH(K$2,Inputs!$K$4:$AJ$4,0)))+SUMPRODUCT((Inputs!$E$5:$E$120=$B57)*Inputs!$F$5:$F$120*(((Inputs!$G$5:$G$120="moeda")+(Inputs!$G$5:$G$120="acoes"))*Inputs!$B$1+((Inputs!$G$5:$G$120&lt;&gt;"moeda")*(Inputs!$G$5:$G$120&lt;&gt;"acoes")))*INDEX(Inputs!$K$5:$AJ$120,0,MATCH(K$2,Inputs!$K$4:$AJ$4,0)))))</f>
        <v>573.3</v>
      </c>
      <c r="L57" s="263">
        <f>IF(ISNA(MATCH(L$2,Inputs!$K$4:$AJ$4,0)),NA(),IF(SUMPRODUCT((Inputs!$A$5:$A$120=$B57)*ISNUMBER(INDEX(Inputs!$K$5:$AJ$120,0,MATCH(L$2,Inputs!$K$4:$AJ$4,0))))+SUMPRODUCT((Inputs!$C$5:$C$120=$B57)*ISNUMBER(INDEX(Inputs!$K$5:$AJ$120,0,MATCH(L$2,Inputs!$K$4:$AJ$4,0))))+SUMPRODUCT((Inputs!$E$5:$E$120=$B57)*ISNUMBER(INDEX(Inputs!$K$5:$AJ$120,0,MATCH(L$2,Inputs!$K$4:$AJ$4,0))))=0,NA(),SUMPRODUCT((Inputs!$A$5:$A$120=$B57)*Inputs!$B$5:$B$120*(((Inputs!$G$5:$G$120="moeda")+(Inputs!$G$5:$G$120="acoes"))*Inputs!$B$1+((Inputs!$G$5:$G$120&lt;&gt;"moeda")*(Inputs!$G$5:$G$120&lt;&gt;"acoes")))*INDEX(Inputs!$K$5:$AJ$120,0,MATCH(L$2,Inputs!$K$4:$AJ$4,0)))+SUMPRODUCT((Inputs!$C$5:$C$120=$B57)*Inputs!$D$5:$D$120*(((Inputs!$G$5:$G$120="moeda")+(Inputs!$G$5:$G$120="acoes"))*Inputs!$B$1+((Inputs!$G$5:$G$120&lt;&gt;"moeda")*(Inputs!$G$5:$G$120&lt;&gt;"acoes")))*INDEX(Inputs!$K$5:$AJ$120,0,MATCH(L$2,Inputs!$K$4:$AJ$4,0)))+SUMPRODUCT((Inputs!$E$5:$E$120=$B57)*Inputs!$F$5:$F$120*(((Inputs!$G$5:$G$120="moeda")+(Inputs!$G$5:$G$120="acoes"))*Inputs!$B$1+((Inputs!$G$5:$G$120&lt;&gt;"moeda")*(Inputs!$G$5:$G$120&lt;&gt;"acoes")))*INDEX(Inputs!$K$5:$AJ$120,0,MATCH(L$2,Inputs!$K$4:$AJ$4,0)))))</f>
        <v>612.3</v>
      </c>
      <c r="M57" s="264">
        <f>SUM(I57:L57)</f>
        <v>2066</v>
      </c>
      <c r="N57" s="263">
        <f>IF(ISNA(MATCH(N$2,Inputs!$K$4:$AJ$4,0)),NA(),IF(SUMPRODUCT((Inputs!$A$5:$A$120=$B57)*ISNUMBER(INDEX(Inputs!$K$5:$AJ$120,0,MATCH(N$2,Inputs!$K$4:$AJ$4,0))))+SUMPRODUCT((Inputs!$C$5:$C$120=$B57)*ISNUMBER(INDEX(Inputs!$K$5:$AJ$120,0,MATCH(N$2,Inputs!$K$4:$AJ$4,0))))+SUMPRODUCT((Inputs!$E$5:$E$120=$B57)*ISNUMBER(INDEX(Inputs!$K$5:$AJ$120,0,MATCH(N$2,Inputs!$K$4:$AJ$4,0))))=0,NA(),SUMPRODUCT((Inputs!$A$5:$A$120=$B57)*Inputs!$B$5:$B$120*(((Inputs!$G$5:$G$120="moeda")+(Inputs!$G$5:$G$120="acoes"))*Inputs!$B$1+((Inputs!$G$5:$G$120&lt;&gt;"moeda")*(Inputs!$G$5:$G$120&lt;&gt;"acoes")))*INDEX(Inputs!$K$5:$AJ$120,0,MATCH(N$2,Inputs!$K$4:$AJ$4,0)))+SUMPRODUCT((Inputs!$C$5:$C$120=$B57)*Inputs!$D$5:$D$120*(((Inputs!$G$5:$G$120="moeda")+(Inputs!$G$5:$G$120="acoes"))*Inputs!$B$1+((Inputs!$G$5:$G$120&lt;&gt;"moeda")*(Inputs!$G$5:$G$120&lt;&gt;"acoes")))*INDEX(Inputs!$K$5:$AJ$120,0,MATCH(N$2,Inputs!$K$4:$AJ$4,0)))+SUMPRODUCT((Inputs!$E$5:$E$120=$B57)*Inputs!$F$5:$F$120*(((Inputs!$G$5:$G$120="moeda")+(Inputs!$G$5:$G$120="acoes"))*Inputs!$B$1+((Inputs!$G$5:$G$120&lt;&gt;"moeda")*(Inputs!$G$5:$G$120&lt;&gt;"acoes")))*INDEX(Inputs!$K$5:$AJ$120,0,MATCH(N$2,Inputs!$K$4:$AJ$4,0)))))</f>
        <v>577.5</v>
      </c>
      <c r="O57" s="263">
        <f>IF(ISNA(MATCH(O$2,Inputs!$K$4:$AJ$4,0)),NA(),IF(SUMPRODUCT((Inputs!$A$5:$A$120=$B57)*ISNUMBER(INDEX(Inputs!$K$5:$AJ$120,0,MATCH(O$2,Inputs!$K$4:$AJ$4,0))))+SUMPRODUCT((Inputs!$C$5:$C$120=$B57)*ISNUMBER(INDEX(Inputs!$K$5:$AJ$120,0,MATCH(O$2,Inputs!$K$4:$AJ$4,0))))+SUMPRODUCT((Inputs!$E$5:$E$120=$B57)*ISNUMBER(INDEX(Inputs!$K$5:$AJ$120,0,MATCH(O$2,Inputs!$K$4:$AJ$4,0))))=0,NA(),SUMPRODUCT((Inputs!$A$5:$A$120=$B57)*Inputs!$B$5:$B$120*(((Inputs!$G$5:$G$120="moeda")+(Inputs!$G$5:$G$120="acoes"))*Inputs!$B$1+((Inputs!$G$5:$G$120&lt;&gt;"moeda")*(Inputs!$G$5:$G$120&lt;&gt;"acoes")))*INDEX(Inputs!$K$5:$AJ$120,0,MATCH(O$2,Inputs!$K$4:$AJ$4,0)))+SUMPRODUCT((Inputs!$C$5:$C$120=$B57)*Inputs!$D$5:$D$120*(((Inputs!$G$5:$G$120="moeda")+(Inputs!$G$5:$G$120="acoes"))*Inputs!$B$1+((Inputs!$G$5:$G$120&lt;&gt;"moeda")*(Inputs!$G$5:$G$120&lt;&gt;"acoes")))*INDEX(Inputs!$K$5:$AJ$120,0,MATCH(O$2,Inputs!$K$4:$AJ$4,0)))+SUMPRODUCT((Inputs!$E$5:$E$120=$B57)*Inputs!$F$5:$F$120*(((Inputs!$G$5:$G$120="moeda")+(Inputs!$G$5:$G$120="acoes"))*Inputs!$B$1+((Inputs!$G$5:$G$120&lt;&gt;"moeda")*(Inputs!$G$5:$G$120&lt;&gt;"acoes")))*INDEX(Inputs!$K$5:$AJ$120,0,MATCH(O$2,Inputs!$K$4:$AJ$4,0)))))</f>
        <v>668.3</v>
      </c>
      <c r="P57" s="263">
        <f>IF(ISNA(MATCH(P$2,Inputs!$K$4:$AJ$4,0)),NA(),IF(SUMPRODUCT((Inputs!$A$5:$A$120=$B57)*ISNUMBER(INDEX(Inputs!$K$5:$AJ$120,0,MATCH(P$2,Inputs!$K$4:$AJ$4,0))))+SUMPRODUCT((Inputs!$C$5:$C$120=$B57)*ISNUMBER(INDEX(Inputs!$K$5:$AJ$120,0,MATCH(P$2,Inputs!$K$4:$AJ$4,0))))+SUMPRODUCT((Inputs!$E$5:$E$120=$B57)*ISNUMBER(INDEX(Inputs!$K$5:$AJ$120,0,MATCH(P$2,Inputs!$K$4:$AJ$4,0))))=0,NA(),SUMPRODUCT((Inputs!$A$5:$A$120=$B57)*Inputs!$B$5:$B$120*(((Inputs!$G$5:$G$120="moeda")+(Inputs!$G$5:$G$120="acoes"))*Inputs!$B$1+((Inputs!$G$5:$G$120&lt;&gt;"moeda")*(Inputs!$G$5:$G$120&lt;&gt;"acoes")))*INDEX(Inputs!$K$5:$AJ$120,0,MATCH(P$2,Inputs!$K$4:$AJ$4,0)))+SUMPRODUCT((Inputs!$C$5:$C$120=$B57)*Inputs!$D$5:$D$120*(((Inputs!$G$5:$G$120="moeda")+(Inputs!$G$5:$G$120="acoes"))*Inputs!$B$1+((Inputs!$G$5:$G$120&lt;&gt;"moeda")*(Inputs!$G$5:$G$120&lt;&gt;"acoes")))*INDEX(Inputs!$K$5:$AJ$120,0,MATCH(P$2,Inputs!$K$4:$AJ$4,0)))+SUMPRODUCT((Inputs!$E$5:$E$120=$B57)*Inputs!$F$5:$F$120*(((Inputs!$G$5:$G$120="moeda")+(Inputs!$G$5:$G$120="acoes"))*Inputs!$B$1+((Inputs!$G$5:$G$120&lt;&gt;"moeda")*(Inputs!$G$5:$G$120&lt;&gt;"acoes")))*INDEX(Inputs!$K$5:$AJ$120,0,MATCH(P$2,Inputs!$K$4:$AJ$4,0)))))</f>
        <v>700.8</v>
      </c>
      <c r="Q57" s="263">
        <f>IF(ISNA(MATCH(Q$2,Inputs!$K$4:$AJ$4,0)),NA(),IF(SUMPRODUCT((Inputs!$A$5:$A$120=$B57)*ISNUMBER(INDEX(Inputs!$K$5:$AJ$120,0,MATCH(Q$2,Inputs!$K$4:$AJ$4,0))))+SUMPRODUCT((Inputs!$C$5:$C$120=$B57)*ISNUMBER(INDEX(Inputs!$K$5:$AJ$120,0,MATCH(Q$2,Inputs!$K$4:$AJ$4,0))))+SUMPRODUCT((Inputs!$E$5:$E$120=$B57)*ISNUMBER(INDEX(Inputs!$K$5:$AJ$120,0,MATCH(Q$2,Inputs!$K$4:$AJ$4,0))))=0,NA(),SUMPRODUCT((Inputs!$A$5:$A$120=$B57)*Inputs!$B$5:$B$120*(((Inputs!$G$5:$G$120="moeda")+(Inputs!$G$5:$G$120="acoes"))*Inputs!$B$1+((Inputs!$G$5:$G$120&lt;&gt;"moeda")*(Inputs!$G$5:$G$120&lt;&gt;"acoes")))*INDEX(Inputs!$K$5:$AJ$120,0,MATCH(Q$2,Inputs!$K$4:$AJ$4,0)))+SUMPRODUCT((Inputs!$C$5:$C$120=$B57)*Inputs!$D$5:$D$120*(((Inputs!$G$5:$G$120="moeda")+(Inputs!$G$5:$G$120="acoes"))*Inputs!$B$1+((Inputs!$G$5:$G$120&lt;&gt;"moeda")*(Inputs!$G$5:$G$120&lt;&gt;"acoes")))*INDEX(Inputs!$K$5:$AJ$120,0,MATCH(Q$2,Inputs!$K$4:$AJ$4,0)))+SUMPRODUCT((Inputs!$E$5:$E$120=$B57)*Inputs!$F$5:$F$120*(((Inputs!$G$5:$G$120="moeda")+(Inputs!$G$5:$G$120="acoes"))*Inputs!$B$1+((Inputs!$G$5:$G$120&lt;&gt;"moeda")*(Inputs!$G$5:$G$120&lt;&gt;"acoes")))*INDEX(Inputs!$K$5:$AJ$120,0,MATCH(Q$2,Inputs!$K$4:$AJ$4,0)))))</f>
        <v>798.1</v>
      </c>
      <c r="R57" s="264">
        <f>SUM(N57:Q57)</f>
        <v>2744.7</v>
      </c>
      <c r="S57" s="263">
        <f>IF(ISNA(MATCH(S$2,Inputs!$K$4:$AJ$4,0)),NA(),IF(SUMPRODUCT((Inputs!$A$5:$A$120=$B57)*ISNUMBER(INDEX(Inputs!$K$5:$AJ$120,0,MATCH(S$2,Inputs!$K$4:$AJ$4,0))))+SUMPRODUCT((Inputs!$C$5:$C$120=$B57)*ISNUMBER(INDEX(Inputs!$K$5:$AJ$120,0,MATCH(S$2,Inputs!$K$4:$AJ$4,0))))+SUMPRODUCT((Inputs!$E$5:$E$120=$B57)*ISNUMBER(INDEX(Inputs!$K$5:$AJ$120,0,MATCH(S$2,Inputs!$K$4:$AJ$4,0))))=0,NA(),SUMPRODUCT((Inputs!$A$5:$A$120=$B57)*Inputs!$B$5:$B$120*(((Inputs!$G$5:$G$120="moeda")+(Inputs!$G$5:$G$120="acoes"))*Inputs!$B$1+((Inputs!$G$5:$G$120&lt;&gt;"moeda")*(Inputs!$G$5:$G$120&lt;&gt;"acoes")))*INDEX(Inputs!$K$5:$AJ$120,0,MATCH(S$2,Inputs!$K$4:$AJ$4,0)))+SUMPRODUCT((Inputs!$C$5:$C$120=$B57)*Inputs!$D$5:$D$120*(((Inputs!$G$5:$G$120="moeda")+(Inputs!$G$5:$G$120="acoes"))*Inputs!$B$1+((Inputs!$G$5:$G$120&lt;&gt;"moeda")*(Inputs!$G$5:$G$120&lt;&gt;"acoes")))*INDEX(Inputs!$K$5:$AJ$120,0,MATCH(S$2,Inputs!$K$4:$AJ$4,0)))+SUMPRODUCT((Inputs!$E$5:$E$120=$B57)*Inputs!$F$5:$F$120*(((Inputs!$G$5:$G$120="moeda")+(Inputs!$G$5:$G$120="acoes"))*Inputs!$B$1+((Inputs!$G$5:$G$120&lt;&gt;"moeda")*(Inputs!$G$5:$G$120&lt;&gt;"acoes")))*INDEX(Inputs!$K$5:$AJ$120,0,MATCH(S$2,Inputs!$K$4:$AJ$4,0)))))</f>
        <v>686.5</v>
      </c>
      <c r="T57" s="263">
        <f>IF(ISNA(MATCH(T$2,Inputs!$K$4:$AJ$4,0)),NA(),IF(SUMPRODUCT((Inputs!$A$5:$A$120=$B57)*ISNUMBER(INDEX(Inputs!$K$5:$AJ$120,0,MATCH(T$2,Inputs!$K$4:$AJ$4,0))))+SUMPRODUCT((Inputs!$C$5:$C$120=$B57)*ISNUMBER(INDEX(Inputs!$K$5:$AJ$120,0,MATCH(T$2,Inputs!$K$4:$AJ$4,0))))+SUMPRODUCT((Inputs!$E$5:$E$120=$B57)*ISNUMBER(INDEX(Inputs!$K$5:$AJ$120,0,MATCH(T$2,Inputs!$K$4:$AJ$4,0))))=0,NA(),SUMPRODUCT((Inputs!$A$5:$A$120=$B57)*Inputs!$B$5:$B$120*(((Inputs!$G$5:$G$120="moeda")+(Inputs!$G$5:$G$120="acoes"))*Inputs!$B$1+((Inputs!$G$5:$G$120&lt;&gt;"moeda")*(Inputs!$G$5:$G$120&lt;&gt;"acoes")))*INDEX(Inputs!$K$5:$AJ$120,0,MATCH(T$2,Inputs!$K$4:$AJ$4,0)))+SUMPRODUCT((Inputs!$C$5:$C$120=$B57)*Inputs!$D$5:$D$120*(((Inputs!$G$5:$G$120="moeda")+(Inputs!$G$5:$G$120="acoes"))*Inputs!$B$1+((Inputs!$G$5:$G$120&lt;&gt;"moeda")*(Inputs!$G$5:$G$120&lt;&gt;"acoes")))*INDEX(Inputs!$K$5:$AJ$120,0,MATCH(T$2,Inputs!$K$4:$AJ$4,0)))+SUMPRODUCT((Inputs!$E$5:$E$120=$B57)*Inputs!$F$5:$F$120*(((Inputs!$G$5:$G$120="moeda")+(Inputs!$G$5:$G$120="acoes"))*Inputs!$B$1+((Inputs!$G$5:$G$120&lt;&gt;"moeda")*(Inputs!$G$5:$G$120&lt;&gt;"acoes")))*INDEX(Inputs!$K$5:$AJ$120,0,MATCH(T$2,Inputs!$K$4:$AJ$4,0)))))</f>
        <v>769.6</v>
      </c>
      <c r="U57" s="263">
        <f>IF(ISNA(MATCH(U$2,Inputs!$K$4:$AJ$4,0)),NA(),IF(SUMPRODUCT((Inputs!$A$5:$A$120=$B57)*ISNUMBER(INDEX(Inputs!$K$5:$AJ$120,0,MATCH(U$2,Inputs!$K$4:$AJ$4,0))))+SUMPRODUCT((Inputs!$C$5:$C$120=$B57)*ISNUMBER(INDEX(Inputs!$K$5:$AJ$120,0,MATCH(U$2,Inputs!$K$4:$AJ$4,0))))+SUMPRODUCT((Inputs!$E$5:$E$120=$B57)*ISNUMBER(INDEX(Inputs!$K$5:$AJ$120,0,MATCH(U$2,Inputs!$K$4:$AJ$4,0))))=0,NA(),SUMPRODUCT((Inputs!$A$5:$A$120=$B57)*Inputs!$B$5:$B$120*(((Inputs!$G$5:$G$120="moeda")+(Inputs!$G$5:$G$120="acoes"))*Inputs!$B$1+((Inputs!$G$5:$G$120&lt;&gt;"moeda")*(Inputs!$G$5:$G$120&lt;&gt;"acoes")))*INDEX(Inputs!$K$5:$AJ$120,0,MATCH(U$2,Inputs!$K$4:$AJ$4,0)))+SUMPRODUCT((Inputs!$C$5:$C$120=$B57)*Inputs!$D$5:$D$120*(((Inputs!$G$5:$G$120="moeda")+(Inputs!$G$5:$G$120="acoes"))*Inputs!$B$1+((Inputs!$G$5:$G$120&lt;&gt;"moeda")*(Inputs!$G$5:$G$120&lt;&gt;"acoes")))*INDEX(Inputs!$K$5:$AJ$120,0,MATCH(U$2,Inputs!$K$4:$AJ$4,0)))+SUMPRODUCT((Inputs!$E$5:$E$120=$B57)*Inputs!$F$5:$F$120*(((Inputs!$G$5:$G$120="moeda")+(Inputs!$G$5:$G$120="acoes"))*Inputs!$B$1+((Inputs!$G$5:$G$120&lt;&gt;"moeda")*(Inputs!$G$5:$G$120&lt;&gt;"acoes")))*INDEX(Inputs!$K$5:$AJ$120,0,MATCH(U$2,Inputs!$K$4:$AJ$4,0)))))</f>
        <v>686.4</v>
      </c>
      <c r="V57" s="263">
        <f>IF(ISNA(MATCH(V$2,Inputs!$K$4:$AJ$4,0)),NA(),IF(SUMPRODUCT((Inputs!$A$5:$A$120=$B57)*ISNUMBER(INDEX(Inputs!$K$5:$AJ$120,0,MATCH(V$2,Inputs!$K$4:$AJ$4,0))))+SUMPRODUCT((Inputs!$C$5:$C$120=$B57)*ISNUMBER(INDEX(Inputs!$K$5:$AJ$120,0,MATCH(V$2,Inputs!$K$4:$AJ$4,0))))+SUMPRODUCT((Inputs!$E$5:$E$120=$B57)*ISNUMBER(INDEX(Inputs!$K$5:$AJ$120,0,MATCH(V$2,Inputs!$K$4:$AJ$4,0))))=0,NA(),SUMPRODUCT((Inputs!$A$5:$A$120=$B57)*Inputs!$B$5:$B$120*(((Inputs!$G$5:$G$120="moeda")+(Inputs!$G$5:$G$120="acoes"))*Inputs!$B$1+((Inputs!$G$5:$G$120&lt;&gt;"moeda")*(Inputs!$G$5:$G$120&lt;&gt;"acoes")))*INDEX(Inputs!$K$5:$AJ$120,0,MATCH(V$2,Inputs!$K$4:$AJ$4,0)))+SUMPRODUCT((Inputs!$C$5:$C$120=$B57)*Inputs!$D$5:$D$120*(((Inputs!$G$5:$G$120="moeda")+(Inputs!$G$5:$G$120="acoes"))*Inputs!$B$1+((Inputs!$G$5:$G$120&lt;&gt;"moeda")*(Inputs!$G$5:$G$120&lt;&gt;"acoes")))*INDEX(Inputs!$K$5:$AJ$120,0,MATCH(V$2,Inputs!$K$4:$AJ$4,0)))+SUMPRODUCT((Inputs!$E$5:$E$120=$B57)*Inputs!$F$5:$F$120*(((Inputs!$G$5:$G$120="moeda")+(Inputs!$G$5:$G$120="acoes"))*Inputs!$B$1+((Inputs!$G$5:$G$120&lt;&gt;"moeda")*(Inputs!$G$5:$G$120&lt;&gt;"acoes")))*INDEX(Inputs!$K$5:$AJ$120,0,MATCH(V$2,Inputs!$K$4:$AJ$4,0)))))</f>
        <v>1198.4</v>
      </c>
      <c r="W57" s="264">
        <f>SUM(S57:V57)</f>
        <v>3340.9</v>
      </c>
      <c r="X57" s="263">
        <f>IF(ISNA(MATCH(X$2,Inputs!$K$4:$AJ$4,0)),NA(),IF(SUMPRODUCT((Inputs!$A$5:$A$120=$B57)*ISNUMBER(INDEX(Inputs!$K$5:$AJ$120,0,MATCH(X$2,Inputs!$K$4:$AJ$4,0))))+SUMPRODUCT((Inputs!$C$5:$C$120=$B57)*ISNUMBER(INDEX(Inputs!$K$5:$AJ$120,0,MATCH(X$2,Inputs!$K$4:$AJ$4,0))))+SUMPRODUCT((Inputs!$E$5:$E$120=$B57)*ISNUMBER(INDEX(Inputs!$K$5:$AJ$120,0,MATCH(X$2,Inputs!$K$4:$AJ$4,0))))=0,NA(),SUMPRODUCT((Inputs!$A$5:$A$120=$B57)*Inputs!$B$5:$B$120*(((Inputs!$G$5:$G$120="moeda")+(Inputs!$G$5:$G$120="acoes"))*Inputs!$B$1+((Inputs!$G$5:$G$120&lt;&gt;"moeda")*(Inputs!$G$5:$G$120&lt;&gt;"acoes")))*INDEX(Inputs!$K$5:$AJ$120,0,MATCH(X$2,Inputs!$K$4:$AJ$4,0)))+SUMPRODUCT((Inputs!$C$5:$C$120=$B57)*Inputs!$D$5:$D$120*(((Inputs!$G$5:$G$120="moeda")+(Inputs!$G$5:$G$120="acoes"))*Inputs!$B$1+((Inputs!$G$5:$G$120&lt;&gt;"moeda")*(Inputs!$G$5:$G$120&lt;&gt;"acoes")))*INDEX(Inputs!$K$5:$AJ$120,0,MATCH(X$2,Inputs!$K$4:$AJ$4,0)))+SUMPRODUCT((Inputs!$E$5:$E$120=$B57)*Inputs!$F$5:$F$120*(((Inputs!$G$5:$G$120="moeda")+(Inputs!$G$5:$G$120="acoes"))*Inputs!$B$1+((Inputs!$G$5:$G$120&lt;&gt;"moeda")*(Inputs!$G$5:$G$120&lt;&gt;"acoes")))*INDEX(Inputs!$K$5:$AJ$120,0,MATCH(X$2,Inputs!$K$4:$AJ$4,0)))))</f>
        <v>1014</v>
      </c>
      <c r="Y57" s="263">
        <f>IF(ISNA(MATCH(Y$2,Inputs!$K$4:$AJ$4,0)),NA(),IF(SUMPRODUCT((Inputs!$A$5:$A$120=$B57)*ISNUMBER(INDEX(Inputs!$K$5:$AJ$120,0,MATCH(Y$2,Inputs!$K$4:$AJ$4,0))))+SUMPRODUCT((Inputs!$C$5:$C$120=$B57)*ISNUMBER(INDEX(Inputs!$K$5:$AJ$120,0,MATCH(Y$2,Inputs!$K$4:$AJ$4,0))))+SUMPRODUCT((Inputs!$E$5:$E$120=$B57)*ISNUMBER(INDEX(Inputs!$K$5:$AJ$120,0,MATCH(Y$2,Inputs!$K$4:$AJ$4,0))))=0,NA(),SUMPRODUCT((Inputs!$A$5:$A$120=$B57)*Inputs!$B$5:$B$120*(((Inputs!$G$5:$G$120="moeda")+(Inputs!$G$5:$G$120="acoes"))*Inputs!$B$1+((Inputs!$G$5:$G$120&lt;&gt;"moeda")*(Inputs!$G$5:$G$120&lt;&gt;"acoes")))*INDEX(Inputs!$K$5:$AJ$120,0,MATCH(Y$2,Inputs!$K$4:$AJ$4,0)))+SUMPRODUCT((Inputs!$C$5:$C$120=$B57)*Inputs!$D$5:$D$120*(((Inputs!$G$5:$G$120="moeda")+(Inputs!$G$5:$G$120="acoes"))*Inputs!$B$1+((Inputs!$G$5:$G$120&lt;&gt;"moeda")*(Inputs!$G$5:$G$120&lt;&gt;"acoes")))*INDEX(Inputs!$K$5:$AJ$120,0,MATCH(Y$2,Inputs!$K$4:$AJ$4,0)))+SUMPRODUCT((Inputs!$E$5:$E$120=$B57)*Inputs!$F$5:$F$120*(((Inputs!$G$5:$G$120="moeda")+(Inputs!$G$5:$G$120="acoes"))*Inputs!$B$1+((Inputs!$G$5:$G$120&lt;&gt;"moeda")*(Inputs!$G$5:$G$120&lt;&gt;"acoes")))*INDEX(Inputs!$K$5:$AJ$120,0,MATCH(Y$2,Inputs!$K$4:$AJ$4,0)))))</f>
        <v>690</v>
      </c>
      <c r="Z57" s="263">
        <f>IF(ISNA(MATCH(Z$2,Inputs!$K$4:$AJ$4,0)),NA(),IF(SUMPRODUCT((Inputs!$A$5:$A$120=$B57)*ISNUMBER(INDEX(Inputs!$K$5:$AJ$120,0,MATCH(Z$2,Inputs!$K$4:$AJ$4,0))))+SUMPRODUCT((Inputs!$C$5:$C$120=$B57)*ISNUMBER(INDEX(Inputs!$K$5:$AJ$120,0,MATCH(Z$2,Inputs!$K$4:$AJ$4,0))))+SUMPRODUCT((Inputs!$E$5:$E$120=$B57)*ISNUMBER(INDEX(Inputs!$K$5:$AJ$120,0,MATCH(Z$2,Inputs!$K$4:$AJ$4,0))))=0,NA(),SUMPRODUCT((Inputs!$A$5:$A$120=$B57)*Inputs!$B$5:$B$120*(((Inputs!$G$5:$G$120="moeda")+(Inputs!$G$5:$G$120="acoes"))*Inputs!$B$1+((Inputs!$G$5:$G$120&lt;&gt;"moeda")*(Inputs!$G$5:$G$120&lt;&gt;"acoes")))*INDEX(Inputs!$K$5:$AJ$120,0,MATCH(Z$2,Inputs!$K$4:$AJ$4,0)))+SUMPRODUCT((Inputs!$C$5:$C$120=$B57)*Inputs!$D$5:$D$120*(((Inputs!$G$5:$G$120="moeda")+(Inputs!$G$5:$G$120="acoes"))*Inputs!$B$1+((Inputs!$G$5:$G$120&lt;&gt;"moeda")*(Inputs!$G$5:$G$120&lt;&gt;"acoes")))*INDEX(Inputs!$K$5:$AJ$120,0,MATCH(Z$2,Inputs!$K$4:$AJ$4,0)))+SUMPRODUCT((Inputs!$E$5:$E$120=$B57)*Inputs!$F$5:$F$120*(((Inputs!$G$5:$G$120="moeda")+(Inputs!$G$5:$G$120="acoes"))*Inputs!$B$1+((Inputs!$G$5:$G$120&lt;&gt;"moeda")*(Inputs!$G$5:$G$120&lt;&gt;"acoes")))*INDEX(Inputs!$K$5:$AJ$120,0,MATCH(Z$2,Inputs!$K$4:$AJ$4,0)))))</f>
        <v>959</v>
      </c>
      <c r="AA57" s="263">
        <f>IF(ISNA(MATCH(AA$2,Inputs!$K$4:$AJ$4,0)),NA(),IF(SUMPRODUCT((Inputs!$A$5:$A$120=$B57)*ISNUMBER(INDEX(Inputs!$K$5:$AJ$120,0,MATCH(AA$2,Inputs!$K$4:$AJ$4,0))))+SUMPRODUCT((Inputs!$C$5:$C$120=$B57)*ISNUMBER(INDEX(Inputs!$K$5:$AJ$120,0,MATCH(AA$2,Inputs!$K$4:$AJ$4,0))))+SUMPRODUCT((Inputs!$E$5:$E$120=$B57)*ISNUMBER(INDEX(Inputs!$K$5:$AJ$120,0,MATCH(AA$2,Inputs!$K$4:$AJ$4,0))))=0,NA(),SUMPRODUCT((Inputs!$A$5:$A$120=$B57)*Inputs!$B$5:$B$120*(((Inputs!$G$5:$G$120="moeda")+(Inputs!$G$5:$G$120="acoes"))*Inputs!$B$1+((Inputs!$G$5:$G$120&lt;&gt;"moeda")*(Inputs!$G$5:$G$120&lt;&gt;"acoes")))*INDEX(Inputs!$K$5:$AJ$120,0,MATCH(AA$2,Inputs!$K$4:$AJ$4,0)))+SUMPRODUCT((Inputs!$C$5:$C$120=$B57)*Inputs!$D$5:$D$120*(((Inputs!$G$5:$G$120="moeda")+(Inputs!$G$5:$G$120="acoes"))*Inputs!$B$1+((Inputs!$G$5:$G$120&lt;&gt;"moeda")*(Inputs!$G$5:$G$120&lt;&gt;"acoes")))*INDEX(Inputs!$K$5:$AJ$120,0,MATCH(AA$2,Inputs!$K$4:$AJ$4,0)))+SUMPRODUCT((Inputs!$E$5:$E$120=$B57)*Inputs!$F$5:$F$120*(((Inputs!$G$5:$G$120="moeda")+(Inputs!$G$5:$G$120="acoes"))*Inputs!$B$1+((Inputs!$G$5:$G$120&lt;&gt;"moeda")*(Inputs!$G$5:$G$120&lt;&gt;"acoes")))*INDEX(Inputs!$K$5:$AJ$120,0,MATCH(AA$2,Inputs!$K$4:$AJ$4,0)))))</f>
        <v>768.6</v>
      </c>
      <c r="AB57" s="264">
        <f>SUM(X57:AA57)</f>
        <v>3431.6</v>
      </c>
      <c r="AC57" s="263">
        <f>IF(ISNA(MATCH(AC$2,Inputs!$K$4:$AJ$4,0)),NA(),IF(SUMPRODUCT((Inputs!$A$5:$A$120=$B57)*ISNUMBER(INDEX(Inputs!$K$5:$AJ$120,0,MATCH(AC$2,Inputs!$K$4:$AJ$4,0))))+SUMPRODUCT((Inputs!$C$5:$C$120=$B57)*ISNUMBER(INDEX(Inputs!$K$5:$AJ$120,0,MATCH(AC$2,Inputs!$K$4:$AJ$4,0))))+SUMPRODUCT((Inputs!$E$5:$E$120=$B57)*ISNUMBER(INDEX(Inputs!$K$5:$AJ$120,0,MATCH(AC$2,Inputs!$K$4:$AJ$4,0))))=0,NA(),SUMPRODUCT((Inputs!$A$5:$A$120=$B57)*Inputs!$B$5:$B$120*(((Inputs!$G$5:$G$120="moeda")+(Inputs!$G$5:$G$120="acoes"))*Inputs!$B$1+((Inputs!$G$5:$G$120&lt;&gt;"moeda")*(Inputs!$G$5:$G$120&lt;&gt;"acoes")))*INDEX(Inputs!$K$5:$AJ$120,0,MATCH(AC$2,Inputs!$K$4:$AJ$4,0)))+SUMPRODUCT((Inputs!$C$5:$C$120=$B57)*Inputs!$D$5:$D$120*(((Inputs!$G$5:$G$120="moeda")+(Inputs!$G$5:$G$120="acoes"))*Inputs!$B$1+((Inputs!$G$5:$G$120&lt;&gt;"moeda")*(Inputs!$G$5:$G$120&lt;&gt;"acoes")))*INDEX(Inputs!$K$5:$AJ$120,0,MATCH(AC$2,Inputs!$K$4:$AJ$4,0)))+SUMPRODUCT((Inputs!$E$5:$E$120=$B57)*Inputs!$F$5:$F$120*(((Inputs!$G$5:$G$120="moeda")+(Inputs!$G$5:$G$120="acoes"))*Inputs!$B$1+((Inputs!$G$5:$G$120&lt;&gt;"moeda")*(Inputs!$G$5:$G$120&lt;&gt;"acoes")))*INDEX(Inputs!$K$5:$AJ$120,0,MATCH(AC$2,Inputs!$K$4:$AJ$4,0)))))</f>
        <v>1114</v>
      </c>
      <c r="AD57" s="263">
        <f>IF(ISNA(MATCH(AD$2,Inputs!$K$4:$AJ$4,0)),NA(),IF(SUMPRODUCT((Inputs!$A$5:$A$120=$B57)*ISNUMBER(INDEX(Inputs!$K$5:$AJ$120,0,MATCH(AD$2,Inputs!$K$4:$AJ$4,0))))+SUMPRODUCT((Inputs!$C$5:$C$120=$B57)*ISNUMBER(INDEX(Inputs!$K$5:$AJ$120,0,MATCH(AD$2,Inputs!$K$4:$AJ$4,0))))+SUMPRODUCT((Inputs!$E$5:$E$120=$B57)*ISNUMBER(INDEX(Inputs!$K$5:$AJ$120,0,MATCH(AD$2,Inputs!$K$4:$AJ$4,0))))=0,NA(),SUMPRODUCT((Inputs!$A$5:$A$120=$B57)*Inputs!$B$5:$B$120*(((Inputs!$G$5:$G$120="moeda")+(Inputs!$G$5:$G$120="acoes"))*Inputs!$B$1+((Inputs!$G$5:$G$120&lt;&gt;"moeda")*(Inputs!$G$5:$G$120&lt;&gt;"acoes")))*INDEX(Inputs!$K$5:$AJ$120,0,MATCH(AD$2,Inputs!$K$4:$AJ$4,0)))+SUMPRODUCT((Inputs!$C$5:$C$120=$B57)*Inputs!$D$5:$D$120*(((Inputs!$G$5:$G$120="moeda")+(Inputs!$G$5:$G$120="acoes"))*Inputs!$B$1+((Inputs!$G$5:$G$120&lt;&gt;"moeda")*(Inputs!$G$5:$G$120&lt;&gt;"acoes")))*INDEX(Inputs!$K$5:$AJ$120,0,MATCH(AD$2,Inputs!$K$4:$AJ$4,0)))+SUMPRODUCT((Inputs!$E$5:$E$120=$B57)*Inputs!$F$5:$F$120*(((Inputs!$G$5:$G$120="moeda")+(Inputs!$G$5:$G$120="acoes"))*Inputs!$B$1+((Inputs!$G$5:$G$120&lt;&gt;"moeda")*(Inputs!$G$5:$G$120&lt;&gt;"acoes")))*INDEX(Inputs!$K$5:$AJ$120,0,MATCH(AD$2,Inputs!$K$4:$AJ$4,0)))))</f>
        <v>1232</v>
      </c>
      <c r="AE57" s="263" t="e">
        <f>IF(ISNA(MATCH(AE$2,Inputs!$K$4:$AJ$4,0)),NA(),IF(SUMPRODUCT((Inputs!$A$5:$A$120=$B57)*ISNUMBER(INDEX(Inputs!$K$5:$AJ$120,0,MATCH(AE$2,Inputs!$K$4:$AJ$4,0))))+SUMPRODUCT((Inputs!$C$5:$C$120=$B57)*ISNUMBER(INDEX(Inputs!$K$5:$AJ$120,0,MATCH(AE$2,Inputs!$K$4:$AJ$4,0))))+SUMPRODUCT((Inputs!$E$5:$E$120=$B57)*ISNUMBER(INDEX(Inputs!$K$5:$AJ$120,0,MATCH(AE$2,Inputs!$K$4:$AJ$4,0))))=0,NA(),SUMPRODUCT((Inputs!$A$5:$A$120=$B57)*Inputs!$B$5:$B$120*(((Inputs!$G$5:$G$120="moeda")+(Inputs!$G$5:$G$120="acoes"))*Inputs!$B$1+((Inputs!$G$5:$G$120&lt;&gt;"moeda")*(Inputs!$G$5:$G$120&lt;&gt;"acoes")))*INDEX(Inputs!$K$5:$AJ$120,0,MATCH(AE$2,Inputs!$K$4:$AJ$4,0)))+SUMPRODUCT((Inputs!$C$5:$C$120=$B57)*Inputs!$D$5:$D$120*(((Inputs!$G$5:$G$120="moeda")+(Inputs!$G$5:$G$120="acoes"))*Inputs!$B$1+((Inputs!$G$5:$G$120&lt;&gt;"moeda")*(Inputs!$G$5:$G$120&lt;&gt;"acoes")))*INDEX(Inputs!$K$5:$AJ$120,0,MATCH(AE$2,Inputs!$K$4:$AJ$4,0)))+SUMPRODUCT((Inputs!$E$5:$E$120=$B57)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7" s="263" t="e">
        <f>IF(ISNA(MATCH(AF$2,Inputs!$K$4:$AJ$4,0)),NA(),IF(SUMPRODUCT((Inputs!$A$5:$A$120=$B57)*ISNUMBER(INDEX(Inputs!$K$5:$AJ$120,0,MATCH(AF$2,Inputs!$K$4:$AJ$4,0))))+SUMPRODUCT((Inputs!$C$5:$C$120=$B57)*ISNUMBER(INDEX(Inputs!$K$5:$AJ$120,0,MATCH(AF$2,Inputs!$K$4:$AJ$4,0))))+SUMPRODUCT((Inputs!$E$5:$E$120=$B57)*ISNUMBER(INDEX(Inputs!$K$5:$AJ$120,0,MATCH(AF$2,Inputs!$K$4:$AJ$4,0))))=0,NA(),SUMPRODUCT((Inputs!$A$5:$A$120=$B57)*Inputs!$B$5:$B$120*(((Inputs!$G$5:$G$120="moeda")+(Inputs!$G$5:$G$120="acoes"))*Inputs!$B$1+((Inputs!$G$5:$G$120&lt;&gt;"moeda")*(Inputs!$G$5:$G$120&lt;&gt;"acoes")))*INDEX(Inputs!$K$5:$AJ$120,0,MATCH(AF$2,Inputs!$K$4:$AJ$4,0)))+SUMPRODUCT((Inputs!$C$5:$C$120=$B57)*Inputs!$D$5:$D$120*(((Inputs!$G$5:$G$120="moeda")+(Inputs!$G$5:$G$120="acoes"))*Inputs!$B$1+((Inputs!$G$5:$G$120&lt;&gt;"moeda")*(Inputs!$G$5:$G$120&lt;&gt;"acoes")))*INDEX(Inputs!$K$5:$AJ$120,0,MATCH(AF$2,Inputs!$K$4:$AJ$4,0)))+SUMPRODUCT((Inputs!$E$5:$E$120=$B57)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7" s="264" t="e">
        <f>SUM(AC57:AF57)</f>
        <v>#N/A</v>
      </c>
      <c r="AH57" s="263">
        <f>IF(ISNA(MATCH(AH$2,Inputs!$K$4:$AJ$4,0)),NA(),IF(SUMPRODUCT((Inputs!$A$5:$A$120=$B57)*ISNUMBER(INDEX(Inputs!$K$5:$AJ$120,0,MATCH(AH$2,Inputs!$K$4:$AJ$4,0))))+SUMPRODUCT((Inputs!$C$5:$C$120=$B57)*ISNUMBER(INDEX(Inputs!$K$5:$AJ$120,0,MATCH(AH$2,Inputs!$K$4:$AJ$4,0))))+SUMPRODUCT((Inputs!$E$5:$E$120=$B57)*ISNUMBER(INDEX(Inputs!$K$5:$AJ$120,0,MATCH(AH$2,Inputs!$K$4:$AJ$4,0))))=0,NA(),SUMPRODUCT((Inputs!$A$5:$A$120=$B57)*Inputs!$B$5:$B$120*(((Inputs!$G$5:$G$120="moeda")+(Inputs!$G$5:$G$120="acoes"))*Inputs!$B$1+((Inputs!$G$5:$G$120&lt;&gt;"moeda")*(Inputs!$G$5:$G$120&lt;&gt;"acoes")))*INDEX(Inputs!$K$5:$AJ$120,0,MATCH(AH$2,Inputs!$K$4:$AJ$4,0)))+SUMPRODUCT((Inputs!$C$5:$C$120=$B57)*Inputs!$D$5:$D$120*(((Inputs!$G$5:$G$120="moeda")+(Inputs!$G$5:$G$120="acoes"))*Inputs!$B$1+((Inputs!$G$5:$G$120&lt;&gt;"moeda")*(Inputs!$G$5:$G$120&lt;&gt;"acoes")))*INDEX(Inputs!$K$5:$AJ$120,0,MATCH(AH$2,Inputs!$K$4:$AJ$4,0)))+SUMPRODUCT((Inputs!$E$5:$E$120=$B57)*Inputs!$F$5:$F$120*(((Inputs!$G$5:$G$120="moeda")+(Inputs!$G$5:$G$120="acoes"))*Inputs!$B$1+((Inputs!$G$5:$G$120&lt;&gt;"moeda")*(Inputs!$G$5:$G$120&lt;&gt;"acoes")))*INDEX(Inputs!$K$5:$AJ$120,0,MATCH(AH$2,Inputs!$K$4:$AJ$4,0)))))</f>
        <v>267.5</v>
      </c>
      <c r="AI57" s="263">
        <f>IF(ISNA(MATCH(AI$2,Inputs!$K$4:$AJ$4,0)),NA(),IF(SUMPRODUCT((Inputs!$A$5:$A$120=$B57)*ISNUMBER(INDEX(Inputs!$K$5:$AJ$120,0,MATCH(AI$2,Inputs!$K$4:$AJ$4,0))))+SUMPRODUCT((Inputs!$C$5:$C$120=$B57)*ISNUMBER(INDEX(Inputs!$K$5:$AJ$120,0,MATCH(AI$2,Inputs!$K$4:$AJ$4,0))))+SUMPRODUCT((Inputs!$E$5:$E$120=$B57)*ISNUMBER(INDEX(Inputs!$K$5:$AJ$120,0,MATCH(AI$2,Inputs!$K$4:$AJ$4,0))))=0,NA(),SUMPRODUCT((Inputs!$A$5:$A$120=$B57)*Inputs!$B$5:$B$120*(((Inputs!$G$5:$G$120="moeda")+(Inputs!$G$5:$G$120="acoes"))*Inputs!$B$1+((Inputs!$G$5:$G$120&lt;&gt;"moeda")*(Inputs!$G$5:$G$120&lt;&gt;"acoes")))*INDEX(Inputs!$K$5:$AJ$120,0,MATCH(AI$2,Inputs!$K$4:$AJ$4,0)))+SUMPRODUCT((Inputs!$C$5:$C$120=$B57)*Inputs!$D$5:$D$120*(((Inputs!$G$5:$G$120="moeda")+(Inputs!$G$5:$G$120="acoes"))*Inputs!$B$1+((Inputs!$G$5:$G$120&lt;&gt;"moeda")*(Inputs!$G$5:$G$120&lt;&gt;"acoes")))*INDEX(Inputs!$K$5:$AJ$120,0,MATCH(AI$2,Inputs!$K$4:$AJ$4,0)))+SUMPRODUCT((Inputs!$E$5:$E$120=$B57)*Inputs!$F$5:$F$120*(((Inputs!$G$5:$G$120="moeda")+(Inputs!$G$5:$G$120="acoes"))*Inputs!$B$1+((Inputs!$G$5:$G$120&lt;&gt;"moeda")*(Inputs!$G$5:$G$120&lt;&gt;"acoes")))*INDEX(Inputs!$K$5:$AJ$120,0,MATCH(AI$2,Inputs!$K$4:$AJ$4,0)))))</f>
        <v>262</v>
      </c>
      <c r="AJ57" s="263">
        <f>IF(ISNA(MATCH(AJ$2,Inputs!$K$4:$AJ$4,0)),NA(),IF(SUMPRODUCT((Inputs!$A$5:$A$120=$B57)*ISNUMBER(INDEX(Inputs!$K$5:$AJ$120,0,MATCH(AJ$2,Inputs!$K$4:$AJ$4,0))))+SUMPRODUCT((Inputs!$C$5:$C$120=$B57)*ISNUMBER(INDEX(Inputs!$K$5:$AJ$120,0,MATCH(AJ$2,Inputs!$K$4:$AJ$4,0))))+SUMPRODUCT((Inputs!$E$5:$E$120=$B57)*ISNUMBER(INDEX(Inputs!$K$5:$AJ$120,0,MATCH(AJ$2,Inputs!$K$4:$AJ$4,0))))=0,NA(),SUMPRODUCT((Inputs!$A$5:$A$120=$B57)*Inputs!$B$5:$B$120*(((Inputs!$G$5:$G$120="moeda")+(Inputs!$G$5:$G$120="acoes"))*Inputs!$B$1+((Inputs!$G$5:$G$120&lt;&gt;"moeda")*(Inputs!$G$5:$G$120&lt;&gt;"acoes")))*INDEX(Inputs!$K$5:$AJ$120,0,MATCH(AJ$2,Inputs!$K$4:$AJ$4,0)))+SUMPRODUCT((Inputs!$C$5:$C$120=$B57)*Inputs!$D$5:$D$120*(((Inputs!$G$5:$G$120="moeda")+(Inputs!$G$5:$G$120="acoes"))*Inputs!$B$1+((Inputs!$G$5:$G$120&lt;&gt;"moeda")*(Inputs!$G$5:$G$120&lt;&gt;"acoes")))*INDEX(Inputs!$K$5:$AJ$120,0,MATCH(AJ$2,Inputs!$K$4:$AJ$4,0)))+SUMPRODUCT((Inputs!$E$5:$E$120=$B57)*Inputs!$F$5:$F$120*(((Inputs!$G$5:$G$120="moeda")+(Inputs!$G$5:$G$120="acoes"))*Inputs!$B$1+((Inputs!$G$5:$G$120&lt;&gt;"moeda")*(Inputs!$G$5:$G$120&lt;&gt;"acoes")))*INDEX(Inputs!$K$5:$AJ$120,0,MATCH(AJ$2,Inputs!$K$4:$AJ$4,0)))))</f>
        <v>310.8</v>
      </c>
      <c r="AK57" s="263">
        <f>IF(ISNA(MATCH(AK$2,Inputs!$K$4:$AJ$4,0)),NA(),IF(SUMPRODUCT((Inputs!$A$5:$A$120=$B57)*ISNUMBER(INDEX(Inputs!$K$5:$AJ$120,0,MATCH(AK$2,Inputs!$K$4:$AJ$4,0))))+SUMPRODUCT((Inputs!$C$5:$C$120=$B57)*ISNUMBER(INDEX(Inputs!$K$5:$AJ$120,0,MATCH(AK$2,Inputs!$K$4:$AJ$4,0))))+SUMPRODUCT((Inputs!$E$5:$E$120=$B57)*ISNUMBER(INDEX(Inputs!$K$5:$AJ$120,0,MATCH(AK$2,Inputs!$K$4:$AJ$4,0))))=0,NA(),SUMPRODUCT((Inputs!$A$5:$A$120=$B57)*Inputs!$B$5:$B$120*(((Inputs!$G$5:$G$120="moeda")+(Inputs!$G$5:$G$120="acoes"))*Inputs!$B$1+((Inputs!$G$5:$G$120&lt;&gt;"moeda")*(Inputs!$G$5:$G$120&lt;&gt;"acoes")))*INDEX(Inputs!$K$5:$AJ$120,0,MATCH(AK$2,Inputs!$K$4:$AJ$4,0)))+SUMPRODUCT((Inputs!$C$5:$C$120=$B57)*Inputs!$D$5:$D$120*(((Inputs!$G$5:$G$120="moeda")+(Inputs!$G$5:$G$120="acoes"))*Inputs!$B$1+((Inputs!$G$5:$G$120&lt;&gt;"moeda")*(Inputs!$G$5:$G$120&lt;&gt;"acoes")))*INDEX(Inputs!$K$5:$AJ$120,0,MATCH(AK$2,Inputs!$K$4:$AJ$4,0)))+SUMPRODUCT((Inputs!$E$5:$E$120=$B57)*Inputs!$F$5:$F$120*(((Inputs!$G$5:$G$120="moeda")+(Inputs!$G$5:$G$120="acoes"))*Inputs!$B$1+((Inputs!$G$5:$G$120&lt;&gt;"moeda")*(Inputs!$G$5:$G$120&lt;&gt;"acoes")))*INDEX(Inputs!$K$5:$AJ$120,0,MATCH(AK$2,Inputs!$K$4:$AJ$4,0)))))</f>
        <v>313.5</v>
      </c>
      <c r="AL57" s="264">
        <f>SUM(AH57:AK57)</f>
        <v>1153.8</v>
      </c>
    </row>
    <row r="58">
      <c r="B58" s="46" t="n">
        <v>50</v>
      </c>
      <c r="C58" s="29" t="inlineStr">
        <is>
          <t>Receita Taltz (USD)</t>
        </is>
      </c>
      <c r="D58" s="263">
        <f>IF(ISNA(MATCH(D$2,Inputs!$K$4:$AJ$4,0)),NA(),IF(SUMPRODUCT((Inputs!$A$5:$A$120=$B58)*ISNUMBER(INDEX(Inputs!$K$5:$AJ$120,0,MATCH(D$2,Inputs!$K$4:$AJ$4,0))))+SUMPRODUCT((Inputs!$C$5:$C$120=$B58)*ISNUMBER(INDEX(Inputs!$K$5:$AJ$120,0,MATCH(D$2,Inputs!$K$4:$AJ$4,0))))+SUMPRODUCT((Inputs!$E$5:$E$120=$B58)*ISNUMBER(INDEX(Inputs!$K$5:$AJ$120,0,MATCH(D$2,Inputs!$K$4:$AJ$4,0))))=0,NA(),SUMPRODUCT((Inputs!$A$5:$A$120=$B58)*Inputs!$B$5:$B$120*(((Inputs!$G$5:$G$120="moeda")+(Inputs!$G$5:$G$120="acoes"))*Inputs!$B$1+((Inputs!$G$5:$G$120&lt;&gt;"moeda")*(Inputs!$G$5:$G$120&lt;&gt;"acoes")))*INDEX(Inputs!$K$5:$AJ$120,0,MATCH(D$2,Inputs!$K$4:$AJ$4,0)))+SUMPRODUCT((Inputs!$C$5:$C$120=$B58)*Inputs!$D$5:$D$120*(((Inputs!$G$5:$G$120="moeda")+(Inputs!$G$5:$G$120="acoes"))*Inputs!$B$1+((Inputs!$G$5:$G$120&lt;&gt;"moeda")*(Inputs!$G$5:$G$120&lt;&gt;"acoes")))*INDEX(Inputs!$K$5:$AJ$120,0,MATCH(D$2,Inputs!$K$4:$AJ$4,0)))+SUMPRODUCT((Inputs!$E$5:$E$120=$B58)*Inputs!$F$5:$F$120*(((Inputs!$G$5:$G$120="moeda")+(Inputs!$G$5:$G$120="acoes"))*Inputs!$B$1+((Inputs!$G$5:$G$120&lt;&gt;"moeda")*(Inputs!$G$5:$G$120&lt;&gt;"acoes")))*INDEX(Inputs!$K$5:$AJ$120,0,MATCH(D$2,Inputs!$K$4:$AJ$4,0)))))</f>
        <v>403.2</v>
      </c>
      <c r="E58" s="263">
        <f>IF(ISNA(MATCH(E$2,Inputs!$K$4:$AJ$4,0)),NA(),IF(SUMPRODUCT((Inputs!$A$5:$A$120=$B58)*ISNUMBER(INDEX(Inputs!$K$5:$AJ$120,0,MATCH(E$2,Inputs!$K$4:$AJ$4,0))))+SUMPRODUCT((Inputs!$C$5:$C$120=$B58)*ISNUMBER(INDEX(Inputs!$K$5:$AJ$120,0,MATCH(E$2,Inputs!$K$4:$AJ$4,0))))+SUMPRODUCT((Inputs!$E$5:$E$120=$B58)*ISNUMBER(INDEX(Inputs!$K$5:$AJ$120,0,MATCH(E$2,Inputs!$K$4:$AJ$4,0))))=0,NA(),SUMPRODUCT((Inputs!$A$5:$A$120=$B58)*Inputs!$B$5:$B$120*(((Inputs!$G$5:$G$120="moeda")+(Inputs!$G$5:$G$120="acoes"))*Inputs!$B$1+((Inputs!$G$5:$G$120&lt;&gt;"moeda")*(Inputs!$G$5:$G$120&lt;&gt;"acoes")))*INDEX(Inputs!$K$5:$AJ$120,0,MATCH(E$2,Inputs!$K$4:$AJ$4,0)))+SUMPRODUCT((Inputs!$C$5:$C$120=$B58)*Inputs!$D$5:$D$120*(((Inputs!$G$5:$G$120="moeda")+(Inputs!$G$5:$G$120="acoes"))*Inputs!$B$1+((Inputs!$G$5:$G$120&lt;&gt;"moeda")*(Inputs!$G$5:$G$120&lt;&gt;"acoes")))*INDEX(Inputs!$K$5:$AJ$120,0,MATCH(E$2,Inputs!$K$4:$AJ$4,0)))+SUMPRODUCT((Inputs!$E$5:$E$120=$B58)*Inputs!$F$5:$F$120*(((Inputs!$G$5:$G$120="moeda")+(Inputs!$G$5:$G$120="acoes"))*Inputs!$B$1+((Inputs!$G$5:$G$120&lt;&gt;"moeda")*(Inputs!$G$5:$G$120&lt;&gt;"acoes")))*INDEX(Inputs!$K$5:$AJ$120,0,MATCH(E$2,Inputs!$K$4:$AJ$4,0)))))</f>
        <v>569.1</v>
      </c>
      <c r="F58" s="263">
        <f>IF(ISNA(MATCH(F$2,Inputs!$K$4:$AJ$4,0)),NA(),IF(SUMPRODUCT((Inputs!$A$5:$A$120=$B58)*ISNUMBER(INDEX(Inputs!$K$5:$AJ$120,0,MATCH(F$2,Inputs!$K$4:$AJ$4,0))))+SUMPRODUCT((Inputs!$C$5:$C$120=$B58)*ISNUMBER(INDEX(Inputs!$K$5:$AJ$120,0,MATCH(F$2,Inputs!$K$4:$AJ$4,0))))+SUMPRODUCT((Inputs!$E$5:$E$120=$B58)*ISNUMBER(INDEX(Inputs!$K$5:$AJ$120,0,MATCH(F$2,Inputs!$K$4:$AJ$4,0))))=0,NA(),SUMPRODUCT((Inputs!$A$5:$A$120=$B58)*Inputs!$B$5:$B$120*(((Inputs!$G$5:$G$120="moeda")+(Inputs!$G$5:$G$120="acoes"))*Inputs!$B$1+((Inputs!$G$5:$G$120&lt;&gt;"moeda")*(Inputs!$G$5:$G$120&lt;&gt;"acoes")))*INDEX(Inputs!$K$5:$AJ$120,0,MATCH(F$2,Inputs!$K$4:$AJ$4,0)))+SUMPRODUCT((Inputs!$C$5:$C$120=$B58)*Inputs!$D$5:$D$120*(((Inputs!$G$5:$G$120="moeda")+(Inputs!$G$5:$G$120="acoes"))*Inputs!$B$1+((Inputs!$G$5:$G$120&lt;&gt;"moeda")*(Inputs!$G$5:$G$120&lt;&gt;"acoes")))*INDEX(Inputs!$K$5:$AJ$120,0,MATCH(F$2,Inputs!$K$4:$AJ$4,0)))+SUMPRODUCT((Inputs!$E$5:$E$120=$B58)*Inputs!$F$5:$F$120*(((Inputs!$G$5:$G$120="moeda")+(Inputs!$G$5:$G$120="acoes"))*Inputs!$B$1+((Inputs!$G$5:$G$120&lt;&gt;"moeda")*(Inputs!$G$5:$G$120&lt;&gt;"acoes")))*INDEX(Inputs!$K$5:$AJ$120,0,MATCH(F$2,Inputs!$K$4:$AJ$4,0)))))</f>
        <v>593.1</v>
      </c>
      <c r="G58" s="263">
        <f>IF(ISNA(MATCH(G$2,Inputs!$K$4:$AJ$4,0)),NA(),IF(SUMPRODUCT((Inputs!$A$5:$A$120=$B58)*ISNUMBER(INDEX(Inputs!$K$5:$AJ$120,0,MATCH(G$2,Inputs!$K$4:$AJ$4,0))))+SUMPRODUCT((Inputs!$C$5:$C$120=$B58)*ISNUMBER(INDEX(Inputs!$K$5:$AJ$120,0,MATCH(G$2,Inputs!$K$4:$AJ$4,0))))+SUMPRODUCT((Inputs!$E$5:$E$120=$B58)*ISNUMBER(INDEX(Inputs!$K$5:$AJ$120,0,MATCH(G$2,Inputs!$K$4:$AJ$4,0))))=0,NA(),SUMPRODUCT((Inputs!$A$5:$A$120=$B58)*Inputs!$B$5:$B$120*(((Inputs!$G$5:$G$120="moeda")+(Inputs!$G$5:$G$120="acoes"))*Inputs!$B$1+((Inputs!$G$5:$G$120&lt;&gt;"moeda")*(Inputs!$G$5:$G$120&lt;&gt;"acoes")))*INDEX(Inputs!$K$5:$AJ$120,0,MATCH(G$2,Inputs!$K$4:$AJ$4,0)))+SUMPRODUCT((Inputs!$C$5:$C$120=$B58)*Inputs!$D$5:$D$120*(((Inputs!$G$5:$G$120="moeda")+(Inputs!$G$5:$G$120="acoes"))*Inputs!$B$1+((Inputs!$G$5:$G$120&lt;&gt;"moeda")*(Inputs!$G$5:$G$120&lt;&gt;"acoes")))*INDEX(Inputs!$K$5:$AJ$120,0,MATCH(G$2,Inputs!$K$4:$AJ$4,0)))+SUMPRODUCT((Inputs!$E$5:$E$120=$B58)*Inputs!$F$5:$F$120*(((Inputs!$G$5:$G$120="moeda")+(Inputs!$G$5:$G$120="acoes"))*Inputs!$B$1+((Inputs!$G$5:$G$120&lt;&gt;"moeda")*(Inputs!$G$5:$G$120&lt;&gt;"acoes")))*INDEX(Inputs!$K$5:$AJ$120,0,MATCH(G$2,Inputs!$K$4:$AJ$4,0)))))</f>
        <v>647.4</v>
      </c>
      <c r="H58" s="264">
        <f>SUM(D58:G58)</f>
        <v>2212.8</v>
      </c>
      <c r="I58" s="263">
        <f>IF(ISNA(MATCH(I$2,Inputs!$K$4:$AJ$4,0)),NA(),IF(SUMPRODUCT((Inputs!$A$5:$A$120=$B58)*ISNUMBER(INDEX(Inputs!$K$5:$AJ$120,0,MATCH(I$2,Inputs!$K$4:$AJ$4,0))))+SUMPRODUCT((Inputs!$C$5:$C$120=$B58)*ISNUMBER(INDEX(Inputs!$K$5:$AJ$120,0,MATCH(I$2,Inputs!$K$4:$AJ$4,0))))+SUMPRODUCT((Inputs!$E$5:$E$120=$B58)*ISNUMBER(INDEX(Inputs!$K$5:$AJ$120,0,MATCH(I$2,Inputs!$K$4:$AJ$4,0))))=0,NA(),SUMPRODUCT((Inputs!$A$5:$A$120=$B58)*Inputs!$B$5:$B$120*(((Inputs!$G$5:$G$120="moeda")+(Inputs!$G$5:$G$120="acoes"))*Inputs!$B$1+((Inputs!$G$5:$G$120&lt;&gt;"moeda")*(Inputs!$G$5:$G$120&lt;&gt;"acoes")))*INDEX(Inputs!$K$5:$AJ$120,0,MATCH(I$2,Inputs!$K$4:$AJ$4,0)))+SUMPRODUCT((Inputs!$C$5:$C$120=$B58)*Inputs!$D$5:$D$120*(((Inputs!$G$5:$G$120="moeda")+(Inputs!$G$5:$G$120="acoes"))*Inputs!$B$1+((Inputs!$G$5:$G$120&lt;&gt;"moeda")*(Inputs!$G$5:$G$120&lt;&gt;"acoes")))*INDEX(Inputs!$K$5:$AJ$120,0,MATCH(I$2,Inputs!$K$4:$AJ$4,0)))+SUMPRODUCT((Inputs!$E$5:$E$120=$B58)*Inputs!$F$5:$F$120*(((Inputs!$G$5:$G$120="moeda")+(Inputs!$G$5:$G$120="acoes"))*Inputs!$B$1+((Inputs!$G$5:$G$120&lt;&gt;"moeda")*(Inputs!$G$5:$G$120&lt;&gt;"acoes")))*INDEX(Inputs!$K$5:$AJ$120,0,MATCH(I$2,Inputs!$K$4:$AJ$4,0)))))</f>
        <v>488.1</v>
      </c>
      <c r="J58" s="263">
        <f>IF(ISNA(MATCH(J$2,Inputs!$K$4:$AJ$4,0)),NA(),IF(SUMPRODUCT((Inputs!$A$5:$A$120=$B58)*ISNUMBER(INDEX(Inputs!$K$5:$AJ$120,0,MATCH(J$2,Inputs!$K$4:$AJ$4,0))))+SUMPRODUCT((Inputs!$C$5:$C$120=$B58)*ISNUMBER(INDEX(Inputs!$K$5:$AJ$120,0,MATCH(J$2,Inputs!$K$4:$AJ$4,0))))+SUMPRODUCT((Inputs!$E$5:$E$120=$B58)*ISNUMBER(INDEX(Inputs!$K$5:$AJ$120,0,MATCH(J$2,Inputs!$K$4:$AJ$4,0))))=0,NA(),SUMPRODUCT((Inputs!$A$5:$A$120=$B58)*Inputs!$B$5:$B$120*(((Inputs!$G$5:$G$120="moeda")+(Inputs!$G$5:$G$120="acoes"))*Inputs!$B$1+((Inputs!$G$5:$G$120&lt;&gt;"moeda")*(Inputs!$G$5:$G$120&lt;&gt;"acoes")))*INDEX(Inputs!$K$5:$AJ$120,0,MATCH(J$2,Inputs!$K$4:$AJ$4,0)))+SUMPRODUCT((Inputs!$C$5:$C$120=$B58)*Inputs!$D$5:$D$120*(((Inputs!$G$5:$G$120="moeda")+(Inputs!$G$5:$G$120="acoes"))*Inputs!$B$1+((Inputs!$G$5:$G$120&lt;&gt;"moeda")*(Inputs!$G$5:$G$120&lt;&gt;"acoes")))*INDEX(Inputs!$K$5:$AJ$120,0,MATCH(J$2,Inputs!$K$4:$AJ$4,0)))+SUMPRODUCT((Inputs!$E$5:$E$120=$B58)*Inputs!$F$5:$F$120*(((Inputs!$G$5:$G$120="moeda")+(Inputs!$G$5:$G$120="acoes"))*Inputs!$B$1+((Inputs!$G$5:$G$120&lt;&gt;"moeda")*(Inputs!$G$5:$G$120&lt;&gt;"acoes")))*INDEX(Inputs!$K$5:$AJ$120,0,MATCH(J$2,Inputs!$K$4:$AJ$4,0)))))</f>
        <v>606.2</v>
      </c>
      <c r="K58" s="263">
        <f>IF(ISNA(MATCH(K$2,Inputs!$K$4:$AJ$4,0)),NA(),IF(SUMPRODUCT((Inputs!$A$5:$A$120=$B58)*ISNUMBER(INDEX(Inputs!$K$5:$AJ$120,0,MATCH(K$2,Inputs!$K$4:$AJ$4,0))))+SUMPRODUCT((Inputs!$C$5:$C$120=$B58)*ISNUMBER(INDEX(Inputs!$K$5:$AJ$120,0,MATCH(K$2,Inputs!$K$4:$AJ$4,0))))+SUMPRODUCT((Inputs!$E$5:$E$120=$B58)*ISNUMBER(INDEX(Inputs!$K$5:$AJ$120,0,MATCH(K$2,Inputs!$K$4:$AJ$4,0))))=0,NA(),SUMPRODUCT((Inputs!$A$5:$A$120=$B58)*Inputs!$B$5:$B$120*(((Inputs!$G$5:$G$120="moeda")+(Inputs!$G$5:$G$120="acoes"))*Inputs!$B$1+((Inputs!$G$5:$G$120&lt;&gt;"moeda")*(Inputs!$G$5:$G$120&lt;&gt;"acoes")))*INDEX(Inputs!$K$5:$AJ$120,0,MATCH(K$2,Inputs!$K$4:$AJ$4,0)))+SUMPRODUCT((Inputs!$C$5:$C$120=$B58)*Inputs!$D$5:$D$120*(((Inputs!$G$5:$G$120="moeda")+(Inputs!$G$5:$G$120="acoes"))*Inputs!$B$1+((Inputs!$G$5:$G$120&lt;&gt;"moeda")*(Inputs!$G$5:$G$120&lt;&gt;"acoes")))*INDEX(Inputs!$K$5:$AJ$120,0,MATCH(K$2,Inputs!$K$4:$AJ$4,0)))+SUMPRODUCT((Inputs!$E$5:$E$120=$B58)*Inputs!$F$5:$F$120*(((Inputs!$G$5:$G$120="moeda")+(Inputs!$G$5:$G$120="acoes"))*Inputs!$B$1+((Inputs!$G$5:$G$120&lt;&gt;"moeda")*(Inputs!$G$5:$G$120&lt;&gt;"acoes")))*INDEX(Inputs!$K$5:$AJ$120,0,MATCH(K$2,Inputs!$K$4:$AJ$4,0)))))</f>
        <v>679.9</v>
      </c>
      <c r="L58" s="263">
        <f>IF(ISNA(MATCH(L$2,Inputs!$K$4:$AJ$4,0)),NA(),IF(SUMPRODUCT((Inputs!$A$5:$A$120=$B58)*ISNUMBER(INDEX(Inputs!$K$5:$AJ$120,0,MATCH(L$2,Inputs!$K$4:$AJ$4,0))))+SUMPRODUCT((Inputs!$C$5:$C$120=$B58)*ISNUMBER(INDEX(Inputs!$K$5:$AJ$120,0,MATCH(L$2,Inputs!$K$4:$AJ$4,0))))+SUMPRODUCT((Inputs!$E$5:$E$120=$B58)*ISNUMBER(INDEX(Inputs!$K$5:$AJ$120,0,MATCH(L$2,Inputs!$K$4:$AJ$4,0))))=0,NA(),SUMPRODUCT((Inputs!$A$5:$A$120=$B58)*Inputs!$B$5:$B$120*(((Inputs!$G$5:$G$120="moeda")+(Inputs!$G$5:$G$120="acoes"))*Inputs!$B$1+((Inputs!$G$5:$G$120&lt;&gt;"moeda")*(Inputs!$G$5:$G$120&lt;&gt;"acoes")))*INDEX(Inputs!$K$5:$AJ$120,0,MATCH(L$2,Inputs!$K$4:$AJ$4,0)))+SUMPRODUCT((Inputs!$C$5:$C$120=$B58)*Inputs!$D$5:$D$120*(((Inputs!$G$5:$G$120="moeda")+(Inputs!$G$5:$G$120="acoes"))*Inputs!$B$1+((Inputs!$G$5:$G$120&lt;&gt;"moeda")*(Inputs!$G$5:$G$120&lt;&gt;"acoes")))*INDEX(Inputs!$K$5:$AJ$120,0,MATCH(L$2,Inputs!$K$4:$AJ$4,0)))+SUMPRODUCT((Inputs!$E$5:$E$120=$B58)*Inputs!$F$5:$F$120*(((Inputs!$G$5:$G$120="moeda")+(Inputs!$G$5:$G$120="acoes"))*Inputs!$B$1+((Inputs!$G$5:$G$120&lt;&gt;"moeda")*(Inputs!$G$5:$G$120&lt;&gt;"acoes")))*INDEX(Inputs!$K$5:$AJ$120,0,MATCH(L$2,Inputs!$K$4:$AJ$4,0)))))</f>
        <v>707.8</v>
      </c>
      <c r="M58" s="264">
        <f>SUM(I58:L58)</f>
        <v>2482</v>
      </c>
      <c r="N58" s="263">
        <f>IF(ISNA(MATCH(N$2,Inputs!$K$4:$AJ$4,0)),NA(),IF(SUMPRODUCT((Inputs!$A$5:$A$120=$B58)*ISNUMBER(INDEX(Inputs!$K$5:$AJ$120,0,MATCH(N$2,Inputs!$K$4:$AJ$4,0))))+SUMPRODUCT((Inputs!$C$5:$C$120=$B58)*ISNUMBER(INDEX(Inputs!$K$5:$AJ$120,0,MATCH(N$2,Inputs!$K$4:$AJ$4,0))))+SUMPRODUCT((Inputs!$E$5:$E$120=$B58)*ISNUMBER(INDEX(Inputs!$K$5:$AJ$120,0,MATCH(N$2,Inputs!$K$4:$AJ$4,0))))=0,NA(),SUMPRODUCT((Inputs!$A$5:$A$120=$B58)*Inputs!$B$5:$B$120*(((Inputs!$G$5:$G$120="moeda")+(Inputs!$G$5:$G$120="acoes"))*Inputs!$B$1+((Inputs!$G$5:$G$120&lt;&gt;"moeda")*(Inputs!$G$5:$G$120&lt;&gt;"acoes")))*INDEX(Inputs!$K$5:$AJ$120,0,MATCH(N$2,Inputs!$K$4:$AJ$4,0)))+SUMPRODUCT((Inputs!$C$5:$C$120=$B58)*Inputs!$D$5:$D$120*(((Inputs!$G$5:$G$120="moeda")+(Inputs!$G$5:$G$120="acoes"))*Inputs!$B$1+((Inputs!$G$5:$G$120&lt;&gt;"moeda")*(Inputs!$G$5:$G$120&lt;&gt;"acoes")))*INDEX(Inputs!$K$5:$AJ$120,0,MATCH(N$2,Inputs!$K$4:$AJ$4,0)))+SUMPRODUCT((Inputs!$E$5:$E$120=$B58)*Inputs!$F$5:$F$120*(((Inputs!$G$5:$G$120="moeda")+(Inputs!$G$5:$G$120="acoes"))*Inputs!$B$1+((Inputs!$G$5:$G$120&lt;&gt;"moeda")*(Inputs!$G$5:$G$120&lt;&gt;"acoes")))*INDEX(Inputs!$K$5:$AJ$120,0,MATCH(N$2,Inputs!$K$4:$AJ$4,0)))))</f>
        <v>527</v>
      </c>
      <c r="O58" s="263">
        <f>IF(ISNA(MATCH(O$2,Inputs!$K$4:$AJ$4,0)),NA(),IF(SUMPRODUCT((Inputs!$A$5:$A$120=$B58)*ISNUMBER(INDEX(Inputs!$K$5:$AJ$120,0,MATCH(O$2,Inputs!$K$4:$AJ$4,0))))+SUMPRODUCT((Inputs!$C$5:$C$120=$B58)*ISNUMBER(INDEX(Inputs!$K$5:$AJ$120,0,MATCH(O$2,Inputs!$K$4:$AJ$4,0))))+SUMPRODUCT((Inputs!$E$5:$E$120=$B58)*ISNUMBER(INDEX(Inputs!$K$5:$AJ$120,0,MATCH(O$2,Inputs!$K$4:$AJ$4,0))))=0,NA(),SUMPRODUCT((Inputs!$A$5:$A$120=$B58)*Inputs!$B$5:$B$120*(((Inputs!$G$5:$G$120="moeda")+(Inputs!$G$5:$G$120="acoes"))*Inputs!$B$1+((Inputs!$G$5:$G$120&lt;&gt;"moeda")*(Inputs!$G$5:$G$120&lt;&gt;"acoes")))*INDEX(Inputs!$K$5:$AJ$120,0,MATCH(O$2,Inputs!$K$4:$AJ$4,0)))+SUMPRODUCT((Inputs!$C$5:$C$120=$B58)*Inputs!$D$5:$D$120*(((Inputs!$G$5:$G$120="moeda")+(Inputs!$G$5:$G$120="acoes"))*Inputs!$B$1+((Inputs!$G$5:$G$120&lt;&gt;"moeda")*(Inputs!$G$5:$G$120&lt;&gt;"acoes")))*INDEX(Inputs!$K$5:$AJ$120,0,MATCH(O$2,Inputs!$K$4:$AJ$4,0)))+SUMPRODUCT((Inputs!$E$5:$E$120=$B58)*Inputs!$F$5:$F$120*(((Inputs!$G$5:$G$120="moeda")+(Inputs!$G$5:$G$120="acoes"))*Inputs!$B$1+((Inputs!$G$5:$G$120&lt;&gt;"moeda")*(Inputs!$G$5:$G$120&lt;&gt;"acoes")))*INDEX(Inputs!$K$5:$AJ$120,0,MATCH(O$2,Inputs!$K$4:$AJ$4,0)))))</f>
        <v>703.9</v>
      </c>
      <c r="P58" s="263">
        <f>IF(ISNA(MATCH(P$2,Inputs!$K$4:$AJ$4,0)),NA(),IF(SUMPRODUCT((Inputs!$A$5:$A$120=$B58)*ISNUMBER(INDEX(Inputs!$K$5:$AJ$120,0,MATCH(P$2,Inputs!$K$4:$AJ$4,0))))+SUMPRODUCT((Inputs!$C$5:$C$120=$B58)*ISNUMBER(INDEX(Inputs!$K$5:$AJ$120,0,MATCH(P$2,Inputs!$K$4:$AJ$4,0))))+SUMPRODUCT((Inputs!$E$5:$E$120=$B58)*ISNUMBER(INDEX(Inputs!$K$5:$AJ$120,0,MATCH(P$2,Inputs!$K$4:$AJ$4,0))))=0,NA(),SUMPRODUCT((Inputs!$A$5:$A$120=$B58)*Inputs!$B$5:$B$120*(((Inputs!$G$5:$G$120="moeda")+(Inputs!$G$5:$G$120="acoes"))*Inputs!$B$1+((Inputs!$G$5:$G$120&lt;&gt;"moeda")*(Inputs!$G$5:$G$120&lt;&gt;"acoes")))*INDEX(Inputs!$K$5:$AJ$120,0,MATCH(P$2,Inputs!$K$4:$AJ$4,0)))+SUMPRODUCT((Inputs!$C$5:$C$120=$B58)*Inputs!$D$5:$D$120*(((Inputs!$G$5:$G$120="moeda")+(Inputs!$G$5:$G$120="acoes"))*Inputs!$B$1+((Inputs!$G$5:$G$120&lt;&gt;"moeda")*(Inputs!$G$5:$G$120&lt;&gt;"acoes")))*INDEX(Inputs!$K$5:$AJ$120,0,MATCH(P$2,Inputs!$K$4:$AJ$4,0)))+SUMPRODUCT((Inputs!$E$5:$E$120=$B58)*Inputs!$F$5:$F$120*(((Inputs!$G$5:$G$120="moeda")+(Inputs!$G$5:$G$120="acoes"))*Inputs!$B$1+((Inputs!$G$5:$G$120&lt;&gt;"moeda")*(Inputs!$G$5:$G$120&lt;&gt;"acoes")))*INDEX(Inputs!$K$5:$AJ$120,0,MATCH(P$2,Inputs!$K$4:$AJ$4,0)))))</f>
        <v>744.2</v>
      </c>
      <c r="Q58" s="263">
        <f>IF(ISNA(MATCH(Q$2,Inputs!$K$4:$AJ$4,0)),NA(),IF(SUMPRODUCT((Inputs!$A$5:$A$120=$B58)*ISNUMBER(INDEX(Inputs!$K$5:$AJ$120,0,MATCH(Q$2,Inputs!$K$4:$AJ$4,0))))+SUMPRODUCT((Inputs!$C$5:$C$120=$B58)*ISNUMBER(INDEX(Inputs!$K$5:$AJ$120,0,MATCH(Q$2,Inputs!$K$4:$AJ$4,0))))+SUMPRODUCT((Inputs!$E$5:$E$120=$B58)*ISNUMBER(INDEX(Inputs!$K$5:$AJ$120,0,MATCH(Q$2,Inputs!$K$4:$AJ$4,0))))=0,NA(),SUMPRODUCT((Inputs!$A$5:$A$120=$B58)*Inputs!$B$5:$B$120*(((Inputs!$G$5:$G$120="moeda")+(Inputs!$G$5:$G$120="acoes"))*Inputs!$B$1+((Inputs!$G$5:$G$120&lt;&gt;"moeda")*(Inputs!$G$5:$G$120&lt;&gt;"acoes")))*INDEX(Inputs!$K$5:$AJ$120,0,MATCH(Q$2,Inputs!$K$4:$AJ$4,0)))+SUMPRODUCT((Inputs!$C$5:$C$120=$B58)*Inputs!$D$5:$D$120*(((Inputs!$G$5:$G$120="moeda")+(Inputs!$G$5:$G$120="acoes"))*Inputs!$B$1+((Inputs!$G$5:$G$120&lt;&gt;"moeda")*(Inputs!$G$5:$G$120&lt;&gt;"acoes")))*INDEX(Inputs!$K$5:$AJ$120,0,MATCH(Q$2,Inputs!$K$4:$AJ$4,0)))+SUMPRODUCT((Inputs!$E$5:$E$120=$B58)*Inputs!$F$5:$F$120*(((Inputs!$G$5:$G$120="moeda")+(Inputs!$G$5:$G$120="acoes"))*Inputs!$B$1+((Inputs!$G$5:$G$120&lt;&gt;"moeda")*(Inputs!$G$5:$G$120&lt;&gt;"acoes")))*INDEX(Inputs!$K$5:$AJ$120,0,MATCH(Q$2,Inputs!$K$4:$AJ$4,0)))))</f>
        <v>784.6</v>
      </c>
      <c r="R58" s="264">
        <f>SUM(N58:Q58)</f>
        <v>2759.7</v>
      </c>
      <c r="S58" s="263">
        <f>IF(ISNA(MATCH(S$2,Inputs!$K$4:$AJ$4,0)),NA(),IF(SUMPRODUCT((Inputs!$A$5:$A$120=$B58)*ISNUMBER(INDEX(Inputs!$K$5:$AJ$120,0,MATCH(S$2,Inputs!$K$4:$AJ$4,0))))+SUMPRODUCT((Inputs!$C$5:$C$120=$B58)*ISNUMBER(INDEX(Inputs!$K$5:$AJ$120,0,MATCH(S$2,Inputs!$K$4:$AJ$4,0))))+SUMPRODUCT((Inputs!$E$5:$E$120=$B58)*ISNUMBER(INDEX(Inputs!$K$5:$AJ$120,0,MATCH(S$2,Inputs!$K$4:$AJ$4,0))))=0,NA(),SUMPRODUCT((Inputs!$A$5:$A$120=$B58)*Inputs!$B$5:$B$120*(((Inputs!$G$5:$G$120="moeda")+(Inputs!$G$5:$G$120="acoes"))*Inputs!$B$1+((Inputs!$G$5:$G$120&lt;&gt;"moeda")*(Inputs!$G$5:$G$120&lt;&gt;"acoes")))*INDEX(Inputs!$K$5:$AJ$120,0,MATCH(S$2,Inputs!$K$4:$AJ$4,0)))+SUMPRODUCT((Inputs!$C$5:$C$120=$B58)*Inputs!$D$5:$D$120*(((Inputs!$G$5:$G$120="moeda")+(Inputs!$G$5:$G$120="acoes"))*Inputs!$B$1+((Inputs!$G$5:$G$120&lt;&gt;"moeda")*(Inputs!$G$5:$G$120&lt;&gt;"acoes")))*INDEX(Inputs!$K$5:$AJ$120,0,MATCH(S$2,Inputs!$K$4:$AJ$4,0)))+SUMPRODUCT((Inputs!$E$5:$E$120=$B58)*Inputs!$F$5:$F$120*(((Inputs!$G$5:$G$120="moeda")+(Inputs!$G$5:$G$120="acoes"))*Inputs!$B$1+((Inputs!$G$5:$G$120&lt;&gt;"moeda")*(Inputs!$G$5:$G$120&lt;&gt;"acoes")))*INDEX(Inputs!$K$5:$AJ$120,0,MATCH(S$2,Inputs!$K$4:$AJ$4,0)))))</f>
        <v>604.1</v>
      </c>
      <c r="T58" s="263">
        <f>IF(ISNA(MATCH(T$2,Inputs!$K$4:$AJ$4,0)),NA(),IF(SUMPRODUCT((Inputs!$A$5:$A$120=$B58)*ISNUMBER(INDEX(Inputs!$K$5:$AJ$120,0,MATCH(T$2,Inputs!$K$4:$AJ$4,0))))+SUMPRODUCT((Inputs!$C$5:$C$120=$B58)*ISNUMBER(INDEX(Inputs!$K$5:$AJ$120,0,MATCH(T$2,Inputs!$K$4:$AJ$4,0))))+SUMPRODUCT((Inputs!$E$5:$E$120=$B58)*ISNUMBER(INDEX(Inputs!$K$5:$AJ$120,0,MATCH(T$2,Inputs!$K$4:$AJ$4,0))))=0,NA(),SUMPRODUCT((Inputs!$A$5:$A$120=$B58)*Inputs!$B$5:$B$120*(((Inputs!$G$5:$G$120="moeda")+(Inputs!$G$5:$G$120="acoes"))*Inputs!$B$1+((Inputs!$G$5:$G$120&lt;&gt;"moeda")*(Inputs!$G$5:$G$120&lt;&gt;"acoes")))*INDEX(Inputs!$K$5:$AJ$120,0,MATCH(T$2,Inputs!$K$4:$AJ$4,0)))+SUMPRODUCT((Inputs!$C$5:$C$120=$B58)*Inputs!$D$5:$D$120*(((Inputs!$G$5:$G$120="moeda")+(Inputs!$G$5:$G$120="acoes"))*Inputs!$B$1+((Inputs!$G$5:$G$120&lt;&gt;"moeda")*(Inputs!$G$5:$G$120&lt;&gt;"acoes")))*INDEX(Inputs!$K$5:$AJ$120,0,MATCH(T$2,Inputs!$K$4:$AJ$4,0)))+SUMPRODUCT((Inputs!$E$5:$E$120=$B58)*Inputs!$F$5:$F$120*(((Inputs!$G$5:$G$120="moeda")+(Inputs!$G$5:$G$120="acoes"))*Inputs!$B$1+((Inputs!$G$5:$G$120&lt;&gt;"moeda")*(Inputs!$G$5:$G$120&lt;&gt;"acoes")))*INDEX(Inputs!$K$5:$AJ$120,0,MATCH(T$2,Inputs!$K$4:$AJ$4,0)))))</f>
        <v>824.7</v>
      </c>
      <c r="U58" s="263">
        <f>IF(ISNA(MATCH(U$2,Inputs!$K$4:$AJ$4,0)),NA(),IF(SUMPRODUCT((Inputs!$A$5:$A$120=$B58)*ISNUMBER(INDEX(Inputs!$K$5:$AJ$120,0,MATCH(U$2,Inputs!$K$4:$AJ$4,0))))+SUMPRODUCT((Inputs!$C$5:$C$120=$B58)*ISNUMBER(INDEX(Inputs!$K$5:$AJ$120,0,MATCH(U$2,Inputs!$K$4:$AJ$4,0))))+SUMPRODUCT((Inputs!$E$5:$E$120=$B58)*ISNUMBER(INDEX(Inputs!$K$5:$AJ$120,0,MATCH(U$2,Inputs!$K$4:$AJ$4,0))))=0,NA(),SUMPRODUCT((Inputs!$A$5:$A$120=$B58)*Inputs!$B$5:$B$120*(((Inputs!$G$5:$G$120="moeda")+(Inputs!$G$5:$G$120="acoes"))*Inputs!$B$1+((Inputs!$G$5:$G$120&lt;&gt;"moeda")*(Inputs!$G$5:$G$120&lt;&gt;"acoes")))*INDEX(Inputs!$K$5:$AJ$120,0,MATCH(U$2,Inputs!$K$4:$AJ$4,0)))+SUMPRODUCT((Inputs!$C$5:$C$120=$B58)*Inputs!$D$5:$D$120*(((Inputs!$G$5:$G$120="moeda")+(Inputs!$G$5:$G$120="acoes"))*Inputs!$B$1+((Inputs!$G$5:$G$120&lt;&gt;"moeda")*(Inputs!$G$5:$G$120&lt;&gt;"acoes")))*INDEX(Inputs!$K$5:$AJ$120,0,MATCH(U$2,Inputs!$K$4:$AJ$4,0)))+SUMPRODUCT((Inputs!$E$5:$E$120=$B58)*Inputs!$F$5:$F$120*(((Inputs!$G$5:$G$120="moeda")+(Inputs!$G$5:$G$120="acoes"))*Inputs!$B$1+((Inputs!$G$5:$G$120&lt;&gt;"moeda")*(Inputs!$G$5:$G$120&lt;&gt;"acoes")))*INDEX(Inputs!$K$5:$AJ$120,0,MATCH(U$2,Inputs!$K$4:$AJ$4,0)))))</f>
        <v>879.6</v>
      </c>
      <c r="V58" s="263">
        <f>IF(ISNA(MATCH(V$2,Inputs!$K$4:$AJ$4,0)),NA(),IF(SUMPRODUCT((Inputs!$A$5:$A$120=$B58)*ISNUMBER(INDEX(Inputs!$K$5:$AJ$120,0,MATCH(V$2,Inputs!$K$4:$AJ$4,0))))+SUMPRODUCT((Inputs!$C$5:$C$120=$B58)*ISNUMBER(INDEX(Inputs!$K$5:$AJ$120,0,MATCH(V$2,Inputs!$K$4:$AJ$4,0))))+SUMPRODUCT((Inputs!$E$5:$E$120=$B58)*ISNUMBER(INDEX(Inputs!$K$5:$AJ$120,0,MATCH(V$2,Inputs!$K$4:$AJ$4,0))))=0,NA(),SUMPRODUCT((Inputs!$A$5:$A$120=$B58)*Inputs!$B$5:$B$120*(((Inputs!$G$5:$G$120="moeda")+(Inputs!$G$5:$G$120="acoes"))*Inputs!$B$1+((Inputs!$G$5:$G$120&lt;&gt;"moeda")*(Inputs!$G$5:$G$120&lt;&gt;"acoes")))*INDEX(Inputs!$K$5:$AJ$120,0,MATCH(V$2,Inputs!$K$4:$AJ$4,0)))+SUMPRODUCT((Inputs!$C$5:$C$120=$B58)*Inputs!$D$5:$D$120*(((Inputs!$G$5:$G$120="moeda")+(Inputs!$G$5:$G$120="acoes"))*Inputs!$B$1+((Inputs!$G$5:$G$120&lt;&gt;"moeda")*(Inputs!$G$5:$G$120&lt;&gt;"acoes")))*INDEX(Inputs!$K$5:$AJ$120,0,MATCH(V$2,Inputs!$K$4:$AJ$4,0)))+SUMPRODUCT((Inputs!$E$5:$E$120=$B58)*Inputs!$F$5:$F$120*(((Inputs!$G$5:$G$120="moeda")+(Inputs!$G$5:$G$120="acoes"))*Inputs!$B$1+((Inputs!$G$5:$G$120&lt;&gt;"moeda")*(Inputs!$G$5:$G$120&lt;&gt;"acoes")))*INDEX(Inputs!$K$5:$AJ$120,0,MATCH(V$2,Inputs!$K$4:$AJ$4,0)))))</f>
        <v>952</v>
      </c>
      <c r="W58" s="264">
        <f>SUM(S58:V58)</f>
        <v>3260.4</v>
      </c>
      <c r="X58" s="263">
        <f>IF(ISNA(MATCH(X$2,Inputs!$K$4:$AJ$4,0)),NA(),IF(SUMPRODUCT((Inputs!$A$5:$A$120=$B58)*ISNUMBER(INDEX(Inputs!$K$5:$AJ$120,0,MATCH(X$2,Inputs!$K$4:$AJ$4,0))))+SUMPRODUCT((Inputs!$C$5:$C$120=$B58)*ISNUMBER(INDEX(Inputs!$K$5:$AJ$120,0,MATCH(X$2,Inputs!$K$4:$AJ$4,0))))+SUMPRODUCT((Inputs!$E$5:$E$120=$B58)*ISNUMBER(INDEX(Inputs!$K$5:$AJ$120,0,MATCH(X$2,Inputs!$K$4:$AJ$4,0))))=0,NA(),SUMPRODUCT((Inputs!$A$5:$A$120=$B58)*Inputs!$B$5:$B$120*(((Inputs!$G$5:$G$120="moeda")+(Inputs!$G$5:$G$120="acoes"))*Inputs!$B$1+((Inputs!$G$5:$G$120&lt;&gt;"moeda")*(Inputs!$G$5:$G$120&lt;&gt;"acoes")))*INDEX(Inputs!$K$5:$AJ$120,0,MATCH(X$2,Inputs!$K$4:$AJ$4,0)))+SUMPRODUCT((Inputs!$C$5:$C$120=$B58)*Inputs!$D$5:$D$120*(((Inputs!$G$5:$G$120="moeda")+(Inputs!$G$5:$G$120="acoes"))*Inputs!$B$1+((Inputs!$G$5:$G$120&lt;&gt;"moeda")*(Inputs!$G$5:$G$120&lt;&gt;"acoes")))*INDEX(Inputs!$K$5:$AJ$120,0,MATCH(X$2,Inputs!$K$4:$AJ$4,0)))+SUMPRODUCT((Inputs!$E$5:$E$120=$B58)*Inputs!$F$5:$F$120*(((Inputs!$G$5:$G$120="moeda")+(Inputs!$G$5:$G$120="acoes"))*Inputs!$B$1+((Inputs!$G$5:$G$120&lt;&gt;"moeda")*(Inputs!$G$5:$G$120&lt;&gt;"acoes")))*INDEX(Inputs!$K$5:$AJ$120,0,MATCH(X$2,Inputs!$K$4:$AJ$4,0)))))</f>
        <v>762</v>
      </c>
      <c r="Y58" s="263">
        <f>IF(ISNA(MATCH(Y$2,Inputs!$K$4:$AJ$4,0)),NA(),IF(SUMPRODUCT((Inputs!$A$5:$A$120=$B58)*ISNUMBER(INDEX(Inputs!$K$5:$AJ$120,0,MATCH(Y$2,Inputs!$K$4:$AJ$4,0))))+SUMPRODUCT((Inputs!$C$5:$C$120=$B58)*ISNUMBER(INDEX(Inputs!$K$5:$AJ$120,0,MATCH(Y$2,Inputs!$K$4:$AJ$4,0))))+SUMPRODUCT((Inputs!$E$5:$E$120=$B58)*ISNUMBER(INDEX(Inputs!$K$5:$AJ$120,0,MATCH(Y$2,Inputs!$K$4:$AJ$4,0))))=0,NA(),SUMPRODUCT((Inputs!$A$5:$A$120=$B58)*Inputs!$B$5:$B$120*(((Inputs!$G$5:$G$120="moeda")+(Inputs!$G$5:$G$120="acoes"))*Inputs!$B$1+((Inputs!$G$5:$G$120&lt;&gt;"moeda")*(Inputs!$G$5:$G$120&lt;&gt;"acoes")))*INDEX(Inputs!$K$5:$AJ$120,0,MATCH(Y$2,Inputs!$K$4:$AJ$4,0)))+SUMPRODUCT((Inputs!$C$5:$C$120=$B58)*Inputs!$D$5:$D$120*(((Inputs!$G$5:$G$120="moeda")+(Inputs!$G$5:$G$120="acoes"))*Inputs!$B$1+((Inputs!$G$5:$G$120&lt;&gt;"moeda")*(Inputs!$G$5:$G$120&lt;&gt;"acoes")))*INDEX(Inputs!$K$5:$AJ$120,0,MATCH(Y$2,Inputs!$K$4:$AJ$4,0)))+SUMPRODUCT((Inputs!$E$5:$E$120=$B58)*Inputs!$F$5:$F$120*(((Inputs!$G$5:$G$120="moeda")+(Inputs!$G$5:$G$120="acoes"))*Inputs!$B$1+((Inputs!$G$5:$G$120&lt;&gt;"moeda")*(Inputs!$G$5:$G$120&lt;&gt;"acoes")))*INDEX(Inputs!$K$5:$AJ$120,0,MATCH(Y$2,Inputs!$K$4:$AJ$4,0)))))</f>
        <v>848</v>
      </c>
      <c r="Z58" s="263">
        <f>IF(ISNA(MATCH(Z$2,Inputs!$K$4:$AJ$4,0)),NA(),IF(SUMPRODUCT((Inputs!$A$5:$A$120=$B58)*ISNUMBER(INDEX(Inputs!$K$5:$AJ$120,0,MATCH(Z$2,Inputs!$K$4:$AJ$4,0))))+SUMPRODUCT((Inputs!$C$5:$C$120=$B58)*ISNUMBER(INDEX(Inputs!$K$5:$AJ$120,0,MATCH(Z$2,Inputs!$K$4:$AJ$4,0))))+SUMPRODUCT((Inputs!$E$5:$E$120=$B58)*ISNUMBER(INDEX(Inputs!$K$5:$AJ$120,0,MATCH(Z$2,Inputs!$K$4:$AJ$4,0))))=0,NA(),SUMPRODUCT((Inputs!$A$5:$A$120=$B58)*Inputs!$B$5:$B$120*(((Inputs!$G$5:$G$120="moeda")+(Inputs!$G$5:$G$120="acoes"))*Inputs!$B$1+((Inputs!$G$5:$G$120&lt;&gt;"moeda")*(Inputs!$G$5:$G$120&lt;&gt;"acoes")))*INDEX(Inputs!$K$5:$AJ$120,0,MATCH(Z$2,Inputs!$K$4:$AJ$4,0)))+SUMPRODUCT((Inputs!$C$5:$C$120=$B58)*Inputs!$D$5:$D$120*(((Inputs!$G$5:$G$120="moeda")+(Inputs!$G$5:$G$120="acoes"))*Inputs!$B$1+((Inputs!$G$5:$G$120&lt;&gt;"moeda")*(Inputs!$G$5:$G$120&lt;&gt;"acoes")))*INDEX(Inputs!$K$5:$AJ$120,0,MATCH(Z$2,Inputs!$K$4:$AJ$4,0)))+SUMPRODUCT((Inputs!$E$5:$E$120=$B58)*Inputs!$F$5:$F$120*(((Inputs!$G$5:$G$120="moeda")+(Inputs!$G$5:$G$120="acoes"))*Inputs!$B$1+((Inputs!$G$5:$G$120&lt;&gt;"moeda")*(Inputs!$G$5:$G$120&lt;&gt;"acoes")))*INDEX(Inputs!$K$5:$AJ$120,0,MATCH(Z$2,Inputs!$K$4:$AJ$4,0)))))</f>
        <v>901.5</v>
      </c>
      <c r="AA58" s="263">
        <f>IF(ISNA(MATCH(AA$2,Inputs!$K$4:$AJ$4,0)),NA(),IF(SUMPRODUCT((Inputs!$A$5:$A$120=$B58)*ISNUMBER(INDEX(Inputs!$K$5:$AJ$120,0,MATCH(AA$2,Inputs!$K$4:$AJ$4,0))))+SUMPRODUCT((Inputs!$C$5:$C$120=$B58)*ISNUMBER(INDEX(Inputs!$K$5:$AJ$120,0,MATCH(AA$2,Inputs!$K$4:$AJ$4,0))))+SUMPRODUCT((Inputs!$E$5:$E$120=$B58)*ISNUMBER(INDEX(Inputs!$K$5:$AJ$120,0,MATCH(AA$2,Inputs!$K$4:$AJ$4,0))))=0,NA(),SUMPRODUCT((Inputs!$A$5:$A$120=$B58)*Inputs!$B$5:$B$120*(((Inputs!$G$5:$G$120="moeda")+(Inputs!$G$5:$G$120="acoes"))*Inputs!$B$1+((Inputs!$G$5:$G$120&lt;&gt;"moeda")*(Inputs!$G$5:$G$120&lt;&gt;"acoes")))*INDEX(Inputs!$K$5:$AJ$120,0,MATCH(AA$2,Inputs!$K$4:$AJ$4,0)))+SUMPRODUCT((Inputs!$C$5:$C$120=$B58)*Inputs!$D$5:$D$120*(((Inputs!$G$5:$G$120="moeda")+(Inputs!$G$5:$G$120="acoes"))*Inputs!$B$1+((Inputs!$G$5:$G$120&lt;&gt;"moeda")*(Inputs!$G$5:$G$120&lt;&gt;"acoes")))*INDEX(Inputs!$K$5:$AJ$120,0,MATCH(AA$2,Inputs!$K$4:$AJ$4,0)))+SUMPRODUCT((Inputs!$E$5:$E$120=$B58)*Inputs!$F$5:$F$120*(((Inputs!$G$5:$G$120="moeda")+(Inputs!$G$5:$G$120="acoes"))*Inputs!$B$1+((Inputs!$G$5:$G$120&lt;&gt;"moeda")*(Inputs!$G$5:$G$120&lt;&gt;"acoes")))*INDEX(Inputs!$K$5:$AJ$120,0,MATCH(AA$2,Inputs!$K$4:$AJ$4,0)))))</f>
        <v>1052.1</v>
      </c>
      <c r="AB58" s="264">
        <f>SUM(X58:AA58)</f>
        <v>3563.6</v>
      </c>
      <c r="AC58" s="263">
        <f>IF(ISNA(MATCH(AC$2,Inputs!$K$4:$AJ$4,0)),NA(),IF(SUMPRODUCT((Inputs!$A$5:$A$120=$B58)*ISNUMBER(INDEX(Inputs!$K$5:$AJ$120,0,MATCH(AC$2,Inputs!$K$4:$AJ$4,0))))+SUMPRODUCT((Inputs!$C$5:$C$120=$B58)*ISNUMBER(INDEX(Inputs!$K$5:$AJ$120,0,MATCH(AC$2,Inputs!$K$4:$AJ$4,0))))+SUMPRODUCT((Inputs!$E$5:$E$120=$B58)*ISNUMBER(INDEX(Inputs!$K$5:$AJ$120,0,MATCH(AC$2,Inputs!$K$4:$AJ$4,0))))=0,NA(),SUMPRODUCT((Inputs!$A$5:$A$120=$B58)*Inputs!$B$5:$B$120*(((Inputs!$G$5:$G$120="moeda")+(Inputs!$G$5:$G$120="acoes"))*Inputs!$B$1+((Inputs!$G$5:$G$120&lt;&gt;"moeda")*(Inputs!$G$5:$G$120&lt;&gt;"acoes")))*INDEX(Inputs!$K$5:$AJ$120,0,MATCH(AC$2,Inputs!$K$4:$AJ$4,0)))+SUMPRODUCT((Inputs!$C$5:$C$120=$B58)*Inputs!$D$5:$D$120*(((Inputs!$G$5:$G$120="moeda")+(Inputs!$G$5:$G$120="acoes"))*Inputs!$B$1+((Inputs!$G$5:$G$120&lt;&gt;"moeda")*(Inputs!$G$5:$G$120&lt;&gt;"acoes")))*INDEX(Inputs!$K$5:$AJ$120,0,MATCH(AC$2,Inputs!$K$4:$AJ$4,0)))+SUMPRODUCT((Inputs!$E$5:$E$120=$B58)*Inputs!$F$5:$F$120*(((Inputs!$G$5:$G$120="moeda")+(Inputs!$G$5:$G$120="acoes"))*Inputs!$B$1+((Inputs!$G$5:$G$120&lt;&gt;"moeda")*(Inputs!$G$5:$G$120&lt;&gt;"acoes")))*INDEX(Inputs!$K$5:$AJ$120,0,MATCH(AC$2,Inputs!$K$4:$AJ$4,0)))))</f>
        <v>733</v>
      </c>
      <c r="AD58" s="263">
        <f>IF(ISNA(MATCH(AD$2,Inputs!$K$4:$AJ$4,0)),NA(),IF(SUMPRODUCT((Inputs!$A$5:$A$120=$B58)*ISNUMBER(INDEX(Inputs!$K$5:$AJ$120,0,MATCH(AD$2,Inputs!$K$4:$AJ$4,0))))+SUMPRODUCT((Inputs!$C$5:$C$120=$B58)*ISNUMBER(INDEX(Inputs!$K$5:$AJ$120,0,MATCH(AD$2,Inputs!$K$4:$AJ$4,0))))+SUMPRODUCT((Inputs!$E$5:$E$120=$B58)*ISNUMBER(INDEX(Inputs!$K$5:$AJ$120,0,MATCH(AD$2,Inputs!$K$4:$AJ$4,0))))=0,NA(),SUMPRODUCT((Inputs!$A$5:$A$120=$B58)*Inputs!$B$5:$B$120*(((Inputs!$G$5:$G$120="moeda")+(Inputs!$G$5:$G$120="acoes"))*Inputs!$B$1+((Inputs!$G$5:$G$120&lt;&gt;"moeda")*(Inputs!$G$5:$G$120&lt;&gt;"acoes")))*INDEX(Inputs!$K$5:$AJ$120,0,MATCH(AD$2,Inputs!$K$4:$AJ$4,0)))+SUMPRODUCT((Inputs!$C$5:$C$120=$B58)*Inputs!$D$5:$D$120*(((Inputs!$G$5:$G$120="moeda")+(Inputs!$G$5:$G$120="acoes"))*Inputs!$B$1+((Inputs!$G$5:$G$120&lt;&gt;"moeda")*(Inputs!$G$5:$G$120&lt;&gt;"acoes")))*INDEX(Inputs!$K$5:$AJ$120,0,MATCH(AD$2,Inputs!$K$4:$AJ$4,0)))+SUMPRODUCT((Inputs!$E$5:$E$120=$B58)*Inputs!$F$5:$F$120*(((Inputs!$G$5:$G$120="moeda")+(Inputs!$G$5:$G$120="acoes"))*Inputs!$B$1+((Inputs!$G$5:$G$120&lt;&gt;"moeda")*(Inputs!$G$5:$G$120&lt;&gt;"acoes")))*INDEX(Inputs!$K$5:$AJ$120,0,MATCH(AD$2,Inputs!$K$4:$AJ$4,0)))))</f>
        <v>856</v>
      </c>
      <c r="AE58" s="263" t="e">
        <f>IF(ISNA(MATCH(AE$2,Inputs!$K$4:$AJ$4,0)),NA(),IF(SUMPRODUCT((Inputs!$A$5:$A$120=$B58)*ISNUMBER(INDEX(Inputs!$K$5:$AJ$120,0,MATCH(AE$2,Inputs!$K$4:$AJ$4,0))))+SUMPRODUCT((Inputs!$C$5:$C$120=$B58)*ISNUMBER(INDEX(Inputs!$K$5:$AJ$120,0,MATCH(AE$2,Inputs!$K$4:$AJ$4,0))))+SUMPRODUCT((Inputs!$E$5:$E$120=$B58)*ISNUMBER(INDEX(Inputs!$K$5:$AJ$120,0,MATCH(AE$2,Inputs!$K$4:$AJ$4,0))))=0,NA(),SUMPRODUCT((Inputs!$A$5:$A$120=$B58)*Inputs!$B$5:$B$120*(((Inputs!$G$5:$G$120="moeda")+(Inputs!$G$5:$G$120="acoes"))*Inputs!$B$1+((Inputs!$G$5:$G$120&lt;&gt;"moeda")*(Inputs!$G$5:$G$120&lt;&gt;"acoes")))*INDEX(Inputs!$K$5:$AJ$120,0,MATCH(AE$2,Inputs!$K$4:$AJ$4,0)))+SUMPRODUCT((Inputs!$C$5:$C$120=$B58)*Inputs!$D$5:$D$120*(((Inputs!$G$5:$G$120="moeda")+(Inputs!$G$5:$G$120="acoes"))*Inputs!$B$1+((Inputs!$G$5:$G$120&lt;&gt;"moeda")*(Inputs!$G$5:$G$120&lt;&gt;"acoes")))*INDEX(Inputs!$K$5:$AJ$120,0,MATCH(AE$2,Inputs!$K$4:$AJ$4,0)))+SUMPRODUCT((Inputs!$E$5:$E$120=$B58)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8" s="263" t="e">
        <f>IF(ISNA(MATCH(AF$2,Inputs!$K$4:$AJ$4,0)),NA(),IF(SUMPRODUCT((Inputs!$A$5:$A$120=$B58)*ISNUMBER(INDEX(Inputs!$K$5:$AJ$120,0,MATCH(AF$2,Inputs!$K$4:$AJ$4,0))))+SUMPRODUCT((Inputs!$C$5:$C$120=$B58)*ISNUMBER(INDEX(Inputs!$K$5:$AJ$120,0,MATCH(AF$2,Inputs!$K$4:$AJ$4,0))))+SUMPRODUCT((Inputs!$E$5:$E$120=$B58)*ISNUMBER(INDEX(Inputs!$K$5:$AJ$120,0,MATCH(AF$2,Inputs!$K$4:$AJ$4,0))))=0,NA(),SUMPRODUCT((Inputs!$A$5:$A$120=$B58)*Inputs!$B$5:$B$120*(((Inputs!$G$5:$G$120="moeda")+(Inputs!$G$5:$G$120="acoes"))*Inputs!$B$1+((Inputs!$G$5:$G$120&lt;&gt;"moeda")*(Inputs!$G$5:$G$120&lt;&gt;"acoes")))*INDEX(Inputs!$K$5:$AJ$120,0,MATCH(AF$2,Inputs!$K$4:$AJ$4,0)))+SUMPRODUCT((Inputs!$C$5:$C$120=$B58)*Inputs!$D$5:$D$120*(((Inputs!$G$5:$G$120="moeda")+(Inputs!$G$5:$G$120="acoes"))*Inputs!$B$1+((Inputs!$G$5:$G$120&lt;&gt;"moeda")*(Inputs!$G$5:$G$120&lt;&gt;"acoes")))*INDEX(Inputs!$K$5:$AJ$120,0,MATCH(AF$2,Inputs!$K$4:$AJ$4,0)))+SUMPRODUCT((Inputs!$E$5:$E$120=$B58)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8" s="264" t="e">
        <f>SUM(AC58:AF58)</f>
        <v>#N/A</v>
      </c>
      <c r="AH58" s="263">
        <f>IF(ISNA(MATCH(AH$2,Inputs!$K$4:$AJ$4,0)),NA(),IF(SUMPRODUCT((Inputs!$A$5:$A$120=$B58)*ISNUMBER(INDEX(Inputs!$K$5:$AJ$120,0,MATCH(AH$2,Inputs!$K$4:$AJ$4,0))))+SUMPRODUCT((Inputs!$C$5:$C$120=$B58)*ISNUMBER(INDEX(Inputs!$K$5:$AJ$120,0,MATCH(AH$2,Inputs!$K$4:$AJ$4,0))))+SUMPRODUCT((Inputs!$E$5:$E$120=$B58)*ISNUMBER(INDEX(Inputs!$K$5:$AJ$120,0,MATCH(AH$2,Inputs!$K$4:$AJ$4,0))))=0,NA(),SUMPRODUCT((Inputs!$A$5:$A$120=$B58)*Inputs!$B$5:$B$120*(((Inputs!$G$5:$G$120="moeda")+(Inputs!$G$5:$G$120="acoes"))*Inputs!$B$1+((Inputs!$G$5:$G$120&lt;&gt;"moeda")*(Inputs!$G$5:$G$120&lt;&gt;"acoes")))*INDEX(Inputs!$K$5:$AJ$120,0,MATCH(AH$2,Inputs!$K$4:$AJ$4,0)))+SUMPRODUCT((Inputs!$C$5:$C$120=$B58)*Inputs!$D$5:$D$120*(((Inputs!$G$5:$G$120="moeda")+(Inputs!$G$5:$G$120="acoes"))*Inputs!$B$1+((Inputs!$G$5:$G$120&lt;&gt;"moeda")*(Inputs!$G$5:$G$120&lt;&gt;"acoes")))*INDEX(Inputs!$K$5:$AJ$120,0,MATCH(AH$2,Inputs!$K$4:$AJ$4,0)))+SUMPRODUCT((Inputs!$E$5:$E$120=$B58)*Inputs!$F$5:$F$120*(((Inputs!$G$5:$G$120="moeda")+(Inputs!$G$5:$G$120="acoes"))*Inputs!$B$1+((Inputs!$G$5:$G$120&lt;&gt;"moeda")*(Inputs!$G$5:$G$120&lt;&gt;"acoes")))*INDEX(Inputs!$K$5:$AJ$120,0,MATCH(AH$2,Inputs!$K$4:$AJ$4,0)))))</f>
        <v>443.5</v>
      </c>
      <c r="AI58" s="263">
        <f>IF(ISNA(MATCH(AI$2,Inputs!$K$4:$AJ$4,0)),NA(),IF(SUMPRODUCT((Inputs!$A$5:$A$120=$B58)*ISNUMBER(INDEX(Inputs!$K$5:$AJ$120,0,MATCH(AI$2,Inputs!$K$4:$AJ$4,0))))+SUMPRODUCT((Inputs!$C$5:$C$120=$B58)*ISNUMBER(INDEX(Inputs!$K$5:$AJ$120,0,MATCH(AI$2,Inputs!$K$4:$AJ$4,0))))+SUMPRODUCT((Inputs!$E$5:$E$120=$B58)*ISNUMBER(INDEX(Inputs!$K$5:$AJ$120,0,MATCH(AI$2,Inputs!$K$4:$AJ$4,0))))=0,NA(),SUMPRODUCT((Inputs!$A$5:$A$120=$B58)*Inputs!$B$5:$B$120*(((Inputs!$G$5:$G$120="moeda")+(Inputs!$G$5:$G$120="acoes"))*Inputs!$B$1+((Inputs!$G$5:$G$120&lt;&gt;"moeda")*(Inputs!$G$5:$G$120&lt;&gt;"acoes")))*INDEX(Inputs!$K$5:$AJ$120,0,MATCH(AI$2,Inputs!$K$4:$AJ$4,0)))+SUMPRODUCT((Inputs!$C$5:$C$120=$B58)*Inputs!$D$5:$D$120*(((Inputs!$G$5:$G$120="moeda")+(Inputs!$G$5:$G$120="acoes"))*Inputs!$B$1+((Inputs!$G$5:$G$120&lt;&gt;"moeda")*(Inputs!$G$5:$G$120&lt;&gt;"acoes")))*INDEX(Inputs!$K$5:$AJ$120,0,MATCH(AI$2,Inputs!$K$4:$AJ$4,0)))+SUMPRODUCT((Inputs!$E$5:$E$120=$B58)*Inputs!$F$5:$F$120*(((Inputs!$G$5:$G$120="moeda")+(Inputs!$G$5:$G$120="acoes"))*Inputs!$B$1+((Inputs!$G$5:$G$120&lt;&gt;"moeda")*(Inputs!$G$5:$G$120&lt;&gt;"acoes")))*INDEX(Inputs!$K$5:$AJ$120,0,MATCH(AI$2,Inputs!$K$4:$AJ$4,0)))))</f>
        <v>395.2</v>
      </c>
      <c r="AJ58" s="263">
        <f>IF(ISNA(MATCH(AJ$2,Inputs!$K$4:$AJ$4,0)),NA(),IF(SUMPRODUCT((Inputs!$A$5:$A$120=$B58)*ISNUMBER(INDEX(Inputs!$K$5:$AJ$120,0,MATCH(AJ$2,Inputs!$K$4:$AJ$4,0))))+SUMPRODUCT((Inputs!$C$5:$C$120=$B58)*ISNUMBER(INDEX(Inputs!$K$5:$AJ$120,0,MATCH(AJ$2,Inputs!$K$4:$AJ$4,0))))+SUMPRODUCT((Inputs!$E$5:$E$120=$B58)*ISNUMBER(INDEX(Inputs!$K$5:$AJ$120,0,MATCH(AJ$2,Inputs!$K$4:$AJ$4,0))))=0,NA(),SUMPRODUCT((Inputs!$A$5:$A$120=$B58)*Inputs!$B$5:$B$120*(((Inputs!$G$5:$G$120="moeda")+(Inputs!$G$5:$G$120="acoes"))*Inputs!$B$1+((Inputs!$G$5:$G$120&lt;&gt;"moeda")*(Inputs!$G$5:$G$120&lt;&gt;"acoes")))*INDEX(Inputs!$K$5:$AJ$120,0,MATCH(AJ$2,Inputs!$K$4:$AJ$4,0)))+SUMPRODUCT((Inputs!$C$5:$C$120=$B58)*Inputs!$D$5:$D$120*(((Inputs!$G$5:$G$120="moeda")+(Inputs!$G$5:$G$120="acoes"))*Inputs!$B$1+((Inputs!$G$5:$G$120&lt;&gt;"moeda")*(Inputs!$G$5:$G$120&lt;&gt;"acoes")))*INDEX(Inputs!$K$5:$AJ$120,0,MATCH(AJ$2,Inputs!$K$4:$AJ$4,0)))+SUMPRODUCT((Inputs!$E$5:$E$120=$B58)*Inputs!$F$5:$F$120*(((Inputs!$G$5:$G$120="moeda")+(Inputs!$G$5:$G$120="acoes"))*Inputs!$B$1+((Inputs!$G$5:$G$120&lt;&gt;"moeda")*(Inputs!$G$5:$G$120&lt;&gt;"acoes")))*INDEX(Inputs!$K$5:$AJ$120,0,MATCH(AJ$2,Inputs!$K$4:$AJ$4,0)))))</f>
        <v>454.5</v>
      </c>
      <c r="AK58" s="263">
        <f>IF(ISNA(MATCH(AK$2,Inputs!$K$4:$AJ$4,0)),NA(),IF(SUMPRODUCT((Inputs!$A$5:$A$120=$B58)*ISNUMBER(INDEX(Inputs!$K$5:$AJ$120,0,MATCH(AK$2,Inputs!$K$4:$AJ$4,0))))+SUMPRODUCT((Inputs!$C$5:$C$120=$B58)*ISNUMBER(INDEX(Inputs!$K$5:$AJ$120,0,MATCH(AK$2,Inputs!$K$4:$AJ$4,0))))+SUMPRODUCT((Inputs!$E$5:$E$120=$B58)*ISNUMBER(INDEX(Inputs!$K$5:$AJ$120,0,MATCH(AK$2,Inputs!$K$4:$AJ$4,0))))=0,NA(),SUMPRODUCT((Inputs!$A$5:$A$120=$B58)*Inputs!$B$5:$B$120*(((Inputs!$G$5:$G$120="moeda")+(Inputs!$G$5:$G$120="acoes"))*Inputs!$B$1+((Inputs!$G$5:$G$120&lt;&gt;"moeda")*(Inputs!$G$5:$G$120&lt;&gt;"acoes")))*INDEX(Inputs!$K$5:$AJ$120,0,MATCH(AK$2,Inputs!$K$4:$AJ$4,0)))+SUMPRODUCT((Inputs!$C$5:$C$120=$B58)*Inputs!$D$5:$D$120*(((Inputs!$G$5:$G$120="moeda")+(Inputs!$G$5:$G$120="acoes"))*Inputs!$B$1+((Inputs!$G$5:$G$120&lt;&gt;"moeda")*(Inputs!$G$5:$G$120&lt;&gt;"acoes")))*INDEX(Inputs!$K$5:$AJ$120,0,MATCH(AK$2,Inputs!$K$4:$AJ$4,0)))+SUMPRODUCT((Inputs!$E$5:$E$120=$B58)*Inputs!$F$5:$F$120*(((Inputs!$G$5:$G$120="moeda")+(Inputs!$G$5:$G$120="acoes"))*Inputs!$B$1+((Inputs!$G$5:$G$120&lt;&gt;"moeda")*(Inputs!$G$5:$G$120&lt;&gt;"acoes")))*INDEX(Inputs!$K$5:$AJ$120,0,MATCH(AK$2,Inputs!$K$4:$AJ$4,0)))))</f>
        <v>495.3</v>
      </c>
      <c r="AL58" s="264">
        <f>SUM(AH58:AK58)</f>
        <v>1788.5</v>
      </c>
    </row>
    <row r="59">
      <c r="B59" s="46" t="n">
        <v>51</v>
      </c>
      <c r="C59" s="29" t="inlineStr">
        <is>
          <t>Receita Humalog (USD)</t>
        </is>
      </c>
      <c r="D59" s="263">
        <f>IF(ISNA(MATCH(D$2,Inputs!$K$4:$AJ$4,0)),NA(),IF(SUMPRODUCT((Inputs!$A$5:$A$120=$B59)*ISNUMBER(INDEX(Inputs!$K$5:$AJ$120,0,MATCH(D$2,Inputs!$K$4:$AJ$4,0))))+SUMPRODUCT((Inputs!$C$5:$C$120=$B59)*ISNUMBER(INDEX(Inputs!$K$5:$AJ$120,0,MATCH(D$2,Inputs!$K$4:$AJ$4,0))))+SUMPRODUCT((Inputs!$E$5:$E$120=$B59)*ISNUMBER(INDEX(Inputs!$K$5:$AJ$120,0,MATCH(D$2,Inputs!$K$4:$AJ$4,0))))=0,NA(),SUMPRODUCT((Inputs!$A$5:$A$120=$B59)*Inputs!$B$5:$B$120*(((Inputs!$G$5:$G$120="moeda")+(Inputs!$G$5:$G$120="acoes"))*Inputs!$B$1+((Inputs!$G$5:$G$120&lt;&gt;"moeda")*(Inputs!$G$5:$G$120&lt;&gt;"acoes")))*INDEX(Inputs!$K$5:$AJ$120,0,MATCH(D$2,Inputs!$K$4:$AJ$4,0)))+SUMPRODUCT((Inputs!$C$5:$C$120=$B59)*Inputs!$D$5:$D$120*(((Inputs!$G$5:$G$120="moeda")+(Inputs!$G$5:$G$120="acoes"))*Inputs!$B$1+((Inputs!$G$5:$G$120&lt;&gt;"moeda")*(Inputs!$G$5:$G$120&lt;&gt;"acoes")))*INDEX(Inputs!$K$5:$AJ$120,0,MATCH(D$2,Inputs!$K$4:$AJ$4,0)))+SUMPRODUCT((Inputs!$E$5:$E$120=$B59)*Inputs!$F$5:$F$120*(((Inputs!$G$5:$G$120="moeda")+(Inputs!$G$5:$G$120="acoes"))*Inputs!$B$1+((Inputs!$G$5:$G$120&lt;&gt;"moeda")*(Inputs!$G$5:$G$120&lt;&gt;"acoes")))*INDEX(Inputs!$K$5:$AJ$120,0,MATCH(D$2,Inputs!$K$4:$AJ$4,0)))))</f>
        <v>617</v>
      </c>
      <c r="E59" s="263">
        <f>IF(ISNA(MATCH(E$2,Inputs!$K$4:$AJ$4,0)),NA(),IF(SUMPRODUCT((Inputs!$A$5:$A$120=$B59)*ISNUMBER(INDEX(Inputs!$K$5:$AJ$120,0,MATCH(E$2,Inputs!$K$4:$AJ$4,0))))+SUMPRODUCT((Inputs!$C$5:$C$120=$B59)*ISNUMBER(INDEX(Inputs!$K$5:$AJ$120,0,MATCH(E$2,Inputs!$K$4:$AJ$4,0))))+SUMPRODUCT((Inputs!$E$5:$E$120=$B59)*ISNUMBER(INDEX(Inputs!$K$5:$AJ$120,0,MATCH(E$2,Inputs!$K$4:$AJ$4,0))))=0,NA(),SUMPRODUCT((Inputs!$A$5:$A$120=$B59)*Inputs!$B$5:$B$120*(((Inputs!$G$5:$G$120="moeda")+(Inputs!$G$5:$G$120="acoes"))*Inputs!$B$1+((Inputs!$G$5:$G$120&lt;&gt;"moeda")*(Inputs!$G$5:$G$120&lt;&gt;"acoes")))*INDEX(Inputs!$K$5:$AJ$120,0,MATCH(E$2,Inputs!$K$4:$AJ$4,0)))+SUMPRODUCT((Inputs!$C$5:$C$120=$B59)*Inputs!$D$5:$D$120*(((Inputs!$G$5:$G$120="moeda")+(Inputs!$G$5:$G$120="acoes"))*Inputs!$B$1+((Inputs!$G$5:$G$120&lt;&gt;"moeda")*(Inputs!$G$5:$G$120&lt;&gt;"acoes")))*INDEX(Inputs!$K$5:$AJ$120,0,MATCH(E$2,Inputs!$K$4:$AJ$4,0)))+SUMPRODUCT((Inputs!$E$5:$E$120=$B59)*Inputs!$F$5:$F$120*(((Inputs!$G$5:$G$120="moeda")+(Inputs!$G$5:$G$120="acoes"))*Inputs!$B$1+((Inputs!$G$5:$G$120&lt;&gt;"moeda")*(Inputs!$G$5:$G$120&lt;&gt;"acoes")))*INDEX(Inputs!$K$5:$AJ$120,0,MATCH(E$2,Inputs!$K$4:$AJ$4,0)))))</f>
        <v>607.6</v>
      </c>
      <c r="F59" s="263">
        <f>IF(ISNA(MATCH(F$2,Inputs!$K$4:$AJ$4,0)),NA(),IF(SUMPRODUCT((Inputs!$A$5:$A$120=$B59)*ISNUMBER(INDEX(Inputs!$K$5:$AJ$120,0,MATCH(F$2,Inputs!$K$4:$AJ$4,0))))+SUMPRODUCT((Inputs!$C$5:$C$120=$B59)*ISNUMBER(INDEX(Inputs!$K$5:$AJ$120,0,MATCH(F$2,Inputs!$K$4:$AJ$4,0))))+SUMPRODUCT((Inputs!$E$5:$E$120=$B59)*ISNUMBER(INDEX(Inputs!$K$5:$AJ$120,0,MATCH(F$2,Inputs!$K$4:$AJ$4,0))))=0,NA(),SUMPRODUCT((Inputs!$A$5:$A$120=$B59)*Inputs!$B$5:$B$120*(((Inputs!$G$5:$G$120="moeda")+(Inputs!$G$5:$G$120="acoes"))*Inputs!$B$1+((Inputs!$G$5:$G$120&lt;&gt;"moeda")*(Inputs!$G$5:$G$120&lt;&gt;"acoes")))*INDEX(Inputs!$K$5:$AJ$120,0,MATCH(F$2,Inputs!$K$4:$AJ$4,0)))+SUMPRODUCT((Inputs!$C$5:$C$120=$B59)*Inputs!$D$5:$D$120*(((Inputs!$G$5:$G$120="moeda")+(Inputs!$G$5:$G$120="acoes"))*Inputs!$B$1+((Inputs!$G$5:$G$120&lt;&gt;"moeda")*(Inputs!$G$5:$G$120&lt;&gt;"acoes")))*INDEX(Inputs!$K$5:$AJ$120,0,MATCH(F$2,Inputs!$K$4:$AJ$4,0)))+SUMPRODUCT((Inputs!$E$5:$E$120=$B59)*Inputs!$F$5:$F$120*(((Inputs!$G$5:$G$120="moeda")+(Inputs!$G$5:$G$120="acoes"))*Inputs!$B$1+((Inputs!$G$5:$G$120&lt;&gt;"moeda")*(Inputs!$G$5:$G$120&lt;&gt;"acoes")))*INDEX(Inputs!$K$5:$AJ$120,0,MATCH(F$2,Inputs!$K$4:$AJ$4,0)))))</f>
        <v>626.7</v>
      </c>
      <c r="G59" s="263">
        <f>IF(ISNA(MATCH(G$2,Inputs!$K$4:$AJ$4,0)),NA(),IF(SUMPRODUCT((Inputs!$A$5:$A$120=$B59)*ISNUMBER(INDEX(Inputs!$K$5:$AJ$120,0,MATCH(G$2,Inputs!$K$4:$AJ$4,0))))+SUMPRODUCT((Inputs!$C$5:$C$120=$B59)*ISNUMBER(INDEX(Inputs!$K$5:$AJ$120,0,MATCH(G$2,Inputs!$K$4:$AJ$4,0))))+SUMPRODUCT((Inputs!$E$5:$E$120=$B59)*ISNUMBER(INDEX(Inputs!$K$5:$AJ$120,0,MATCH(G$2,Inputs!$K$4:$AJ$4,0))))=0,NA(),SUMPRODUCT((Inputs!$A$5:$A$120=$B59)*Inputs!$B$5:$B$120*(((Inputs!$G$5:$G$120="moeda")+(Inputs!$G$5:$G$120="acoes"))*Inputs!$B$1+((Inputs!$G$5:$G$120&lt;&gt;"moeda")*(Inputs!$G$5:$G$120&lt;&gt;"acoes")))*INDEX(Inputs!$K$5:$AJ$120,0,MATCH(G$2,Inputs!$K$4:$AJ$4,0)))+SUMPRODUCT((Inputs!$C$5:$C$120=$B59)*Inputs!$D$5:$D$120*(((Inputs!$G$5:$G$120="moeda")+(Inputs!$G$5:$G$120="acoes"))*Inputs!$B$1+((Inputs!$G$5:$G$120&lt;&gt;"moeda")*(Inputs!$G$5:$G$120&lt;&gt;"acoes")))*INDEX(Inputs!$K$5:$AJ$120,0,MATCH(G$2,Inputs!$K$4:$AJ$4,0)))+SUMPRODUCT((Inputs!$E$5:$E$120=$B59)*Inputs!$F$5:$F$120*(((Inputs!$G$5:$G$120="moeda")+(Inputs!$G$5:$G$120="acoes"))*Inputs!$B$1+((Inputs!$G$5:$G$120&lt;&gt;"moeda")*(Inputs!$G$5:$G$120&lt;&gt;"acoes")))*INDEX(Inputs!$K$5:$AJ$120,0,MATCH(G$2,Inputs!$K$4:$AJ$4,0)))))</f>
        <v>601.7</v>
      </c>
      <c r="H59" s="264">
        <f>SUM(D59:G59)</f>
        <v>2453</v>
      </c>
      <c r="I59" s="263">
        <f>IF(ISNA(MATCH(I$2,Inputs!$K$4:$AJ$4,0)),NA(),IF(SUMPRODUCT((Inputs!$A$5:$A$120=$B59)*ISNUMBER(INDEX(Inputs!$K$5:$AJ$120,0,MATCH(I$2,Inputs!$K$4:$AJ$4,0))))+SUMPRODUCT((Inputs!$C$5:$C$120=$B59)*ISNUMBER(INDEX(Inputs!$K$5:$AJ$120,0,MATCH(I$2,Inputs!$K$4:$AJ$4,0))))+SUMPRODUCT((Inputs!$E$5:$E$120=$B59)*ISNUMBER(INDEX(Inputs!$K$5:$AJ$120,0,MATCH(I$2,Inputs!$K$4:$AJ$4,0))))=0,NA(),SUMPRODUCT((Inputs!$A$5:$A$120=$B59)*Inputs!$B$5:$B$120*(((Inputs!$G$5:$G$120="moeda")+(Inputs!$G$5:$G$120="acoes"))*Inputs!$B$1+((Inputs!$G$5:$G$120&lt;&gt;"moeda")*(Inputs!$G$5:$G$120&lt;&gt;"acoes")))*INDEX(Inputs!$K$5:$AJ$120,0,MATCH(I$2,Inputs!$K$4:$AJ$4,0)))+SUMPRODUCT((Inputs!$C$5:$C$120=$B59)*Inputs!$D$5:$D$120*(((Inputs!$G$5:$G$120="moeda")+(Inputs!$G$5:$G$120="acoes"))*Inputs!$B$1+((Inputs!$G$5:$G$120&lt;&gt;"moeda")*(Inputs!$G$5:$G$120&lt;&gt;"acoes")))*INDEX(Inputs!$K$5:$AJ$120,0,MATCH(I$2,Inputs!$K$4:$AJ$4,0)))+SUMPRODUCT((Inputs!$E$5:$E$120=$B59)*Inputs!$F$5:$F$120*(((Inputs!$G$5:$G$120="moeda")+(Inputs!$G$5:$G$120="acoes"))*Inputs!$B$1+((Inputs!$G$5:$G$120&lt;&gt;"moeda")*(Inputs!$G$5:$G$120&lt;&gt;"acoes")))*INDEX(Inputs!$K$5:$AJ$120,0,MATCH(I$2,Inputs!$K$4:$AJ$4,0)))))</f>
        <v>618.2</v>
      </c>
      <c r="J59" s="263">
        <f>IF(ISNA(MATCH(J$2,Inputs!$K$4:$AJ$4,0)),NA(),IF(SUMPRODUCT((Inputs!$A$5:$A$120=$B59)*ISNUMBER(INDEX(Inputs!$K$5:$AJ$120,0,MATCH(J$2,Inputs!$K$4:$AJ$4,0))))+SUMPRODUCT((Inputs!$C$5:$C$120=$B59)*ISNUMBER(INDEX(Inputs!$K$5:$AJ$120,0,MATCH(J$2,Inputs!$K$4:$AJ$4,0))))+SUMPRODUCT((Inputs!$E$5:$E$120=$B59)*ISNUMBER(INDEX(Inputs!$K$5:$AJ$120,0,MATCH(J$2,Inputs!$K$4:$AJ$4,0))))=0,NA(),SUMPRODUCT((Inputs!$A$5:$A$120=$B59)*Inputs!$B$5:$B$120*(((Inputs!$G$5:$G$120="moeda")+(Inputs!$G$5:$G$120="acoes"))*Inputs!$B$1+((Inputs!$G$5:$G$120&lt;&gt;"moeda")*(Inputs!$G$5:$G$120&lt;&gt;"acoes")))*INDEX(Inputs!$K$5:$AJ$120,0,MATCH(J$2,Inputs!$K$4:$AJ$4,0)))+SUMPRODUCT((Inputs!$C$5:$C$120=$B59)*Inputs!$D$5:$D$120*(((Inputs!$G$5:$G$120="moeda")+(Inputs!$G$5:$G$120="acoes"))*Inputs!$B$1+((Inputs!$G$5:$G$120&lt;&gt;"moeda")*(Inputs!$G$5:$G$120&lt;&gt;"acoes")))*INDEX(Inputs!$K$5:$AJ$120,0,MATCH(J$2,Inputs!$K$4:$AJ$4,0)))+SUMPRODUCT((Inputs!$E$5:$E$120=$B59)*Inputs!$F$5:$F$120*(((Inputs!$G$5:$G$120="moeda")+(Inputs!$G$5:$G$120="acoes"))*Inputs!$B$1+((Inputs!$G$5:$G$120&lt;&gt;"moeda")*(Inputs!$G$5:$G$120&lt;&gt;"acoes")))*INDEX(Inputs!$K$5:$AJ$120,0,MATCH(J$2,Inputs!$K$4:$AJ$4,0)))))</f>
        <v>447.1</v>
      </c>
      <c r="K59" s="263">
        <f>IF(ISNA(MATCH(K$2,Inputs!$K$4:$AJ$4,0)),NA(),IF(SUMPRODUCT((Inputs!$A$5:$A$120=$B59)*ISNUMBER(INDEX(Inputs!$K$5:$AJ$120,0,MATCH(K$2,Inputs!$K$4:$AJ$4,0))))+SUMPRODUCT((Inputs!$C$5:$C$120=$B59)*ISNUMBER(INDEX(Inputs!$K$5:$AJ$120,0,MATCH(K$2,Inputs!$K$4:$AJ$4,0))))+SUMPRODUCT((Inputs!$E$5:$E$120=$B59)*ISNUMBER(INDEX(Inputs!$K$5:$AJ$120,0,MATCH(K$2,Inputs!$K$4:$AJ$4,0))))=0,NA(),SUMPRODUCT((Inputs!$A$5:$A$120=$B59)*Inputs!$B$5:$B$120*(((Inputs!$G$5:$G$120="moeda")+(Inputs!$G$5:$G$120="acoes"))*Inputs!$B$1+((Inputs!$G$5:$G$120&lt;&gt;"moeda")*(Inputs!$G$5:$G$120&lt;&gt;"acoes")))*INDEX(Inputs!$K$5:$AJ$120,0,MATCH(K$2,Inputs!$K$4:$AJ$4,0)))+SUMPRODUCT((Inputs!$C$5:$C$120=$B59)*Inputs!$D$5:$D$120*(((Inputs!$G$5:$G$120="moeda")+(Inputs!$G$5:$G$120="acoes"))*Inputs!$B$1+((Inputs!$G$5:$G$120&lt;&gt;"moeda")*(Inputs!$G$5:$G$120&lt;&gt;"acoes")))*INDEX(Inputs!$K$5:$AJ$120,0,MATCH(K$2,Inputs!$K$4:$AJ$4,0)))+SUMPRODUCT((Inputs!$E$5:$E$120=$B59)*Inputs!$F$5:$F$120*(((Inputs!$G$5:$G$120="moeda")+(Inputs!$G$5:$G$120="acoes"))*Inputs!$B$1+((Inputs!$G$5:$G$120&lt;&gt;"moeda")*(Inputs!$G$5:$G$120&lt;&gt;"acoes")))*INDEX(Inputs!$K$5:$AJ$120,0,MATCH(K$2,Inputs!$K$4:$AJ$4,0)))))</f>
        <v>447</v>
      </c>
      <c r="L59" s="263">
        <f>IF(ISNA(MATCH(L$2,Inputs!$K$4:$AJ$4,0)),NA(),IF(SUMPRODUCT((Inputs!$A$5:$A$120=$B59)*ISNUMBER(INDEX(Inputs!$K$5:$AJ$120,0,MATCH(L$2,Inputs!$K$4:$AJ$4,0))))+SUMPRODUCT((Inputs!$C$5:$C$120=$B59)*ISNUMBER(INDEX(Inputs!$K$5:$AJ$120,0,MATCH(L$2,Inputs!$K$4:$AJ$4,0))))+SUMPRODUCT((Inputs!$E$5:$E$120=$B59)*ISNUMBER(INDEX(Inputs!$K$5:$AJ$120,0,MATCH(L$2,Inputs!$K$4:$AJ$4,0))))=0,NA(),SUMPRODUCT((Inputs!$A$5:$A$120=$B59)*Inputs!$B$5:$B$120*(((Inputs!$G$5:$G$120="moeda")+(Inputs!$G$5:$G$120="acoes"))*Inputs!$B$1+((Inputs!$G$5:$G$120&lt;&gt;"moeda")*(Inputs!$G$5:$G$120&lt;&gt;"acoes")))*INDEX(Inputs!$K$5:$AJ$120,0,MATCH(L$2,Inputs!$K$4:$AJ$4,0)))+SUMPRODUCT((Inputs!$C$5:$C$120=$B59)*Inputs!$D$5:$D$120*(((Inputs!$G$5:$G$120="moeda")+(Inputs!$G$5:$G$120="acoes"))*Inputs!$B$1+((Inputs!$G$5:$G$120&lt;&gt;"moeda")*(Inputs!$G$5:$G$120&lt;&gt;"acoes")))*INDEX(Inputs!$K$5:$AJ$120,0,MATCH(L$2,Inputs!$K$4:$AJ$4,0)))+SUMPRODUCT((Inputs!$E$5:$E$120=$B59)*Inputs!$F$5:$F$120*(((Inputs!$G$5:$G$120="moeda")+(Inputs!$G$5:$G$120="acoes"))*Inputs!$B$1+((Inputs!$G$5:$G$120&lt;&gt;"moeda")*(Inputs!$G$5:$G$120&lt;&gt;"acoes")))*INDEX(Inputs!$K$5:$AJ$120,0,MATCH(L$2,Inputs!$K$4:$AJ$4,0)))))</f>
        <v>548.4</v>
      </c>
      <c r="M59" s="264">
        <f>SUM(I59:L59)</f>
        <v>2060.7</v>
      </c>
      <c r="N59" s="263">
        <f>IF(ISNA(MATCH(N$2,Inputs!$K$4:$AJ$4,0)),NA(),IF(SUMPRODUCT((Inputs!$A$5:$A$120=$B59)*ISNUMBER(INDEX(Inputs!$K$5:$AJ$120,0,MATCH(N$2,Inputs!$K$4:$AJ$4,0))))+SUMPRODUCT((Inputs!$C$5:$C$120=$B59)*ISNUMBER(INDEX(Inputs!$K$5:$AJ$120,0,MATCH(N$2,Inputs!$K$4:$AJ$4,0))))+SUMPRODUCT((Inputs!$E$5:$E$120=$B59)*ISNUMBER(INDEX(Inputs!$K$5:$AJ$120,0,MATCH(N$2,Inputs!$K$4:$AJ$4,0))))=0,NA(),SUMPRODUCT((Inputs!$A$5:$A$120=$B59)*Inputs!$B$5:$B$120*(((Inputs!$G$5:$G$120="moeda")+(Inputs!$G$5:$G$120="acoes"))*Inputs!$B$1+((Inputs!$G$5:$G$120&lt;&gt;"moeda")*(Inputs!$G$5:$G$120&lt;&gt;"acoes")))*INDEX(Inputs!$K$5:$AJ$120,0,MATCH(N$2,Inputs!$K$4:$AJ$4,0)))+SUMPRODUCT((Inputs!$C$5:$C$120=$B59)*Inputs!$D$5:$D$120*(((Inputs!$G$5:$G$120="moeda")+(Inputs!$G$5:$G$120="acoes"))*Inputs!$B$1+((Inputs!$G$5:$G$120&lt;&gt;"moeda")*(Inputs!$G$5:$G$120&lt;&gt;"acoes")))*INDEX(Inputs!$K$5:$AJ$120,0,MATCH(N$2,Inputs!$K$4:$AJ$4,0)))+SUMPRODUCT((Inputs!$E$5:$E$120=$B59)*Inputs!$F$5:$F$120*(((Inputs!$G$5:$G$120="moeda")+(Inputs!$G$5:$G$120="acoes"))*Inputs!$B$1+((Inputs!$G$5:$G$120&lt;&gt;"moeda")*(Inputs!$G$5:$G$120&lt;&gt;"acoes")))*INDEX(Inputs!$K$5:$AJ$120,0,MATCH(N$2,Inputs!$K$4:$AJ$4,0)))))</f>
        <v>460.9</v>
      </c>
      <c r="O59" s="263">
        <f>IF(ISNA(MATCH(O$2,Inputs!$K$4:$AJ$4,0)),NA(),IF(SUMPRODUCT((Inputs!$A$5:$A$120=$B59)*ISNUMBER(INDEX(Inputs!$K$5:$AJ$120,0,MATCH(O$2,Inputs!$K$4:$AJ$4,0))))+SUMPRODUCT((Inputs!$C$5:$C$120=$B59)*ISNUMBER(INDEX(Inputs!$K$5:$AJ$120,0,MATCH(O$2,Inputs!$K$4:$AJ$4,0))))+SUMPRODUCT((Inputs!$E$5:$E$120=$B59)*ISNUMBER(INDEX(Inputs!$K$5:$AJ$120,0,MATCH(O$2,Inputs!$K$4:$AJ$4,0))))=0,NA(),SUMPRODUCT((Inputs!$A$5:$A$120=$B59)*Inputs!$B$5:$B$120*(((Inputs!$G$5:$G$120="moeda")+(Inputs!$G$5:$G$120="acoes"))*Inputs!$B$1+((Inputs!$G$5:$G$120&lt;&gt;"moeda")*(Inputs!$G$5:$G$120&lt;&gt;"acoes")))*INDEX(Inputs!$K$5:$AJ$120,0,MATCH(O$2,Inputs!$K$4:$AJ$4,0)))+SUMPRODUCT((Inputs!$C$5:$C$120=$B59)*Inputs!$D$5:$D$120*(((Inputs!$G$5:$G$120="moeda")+(Inputs!$G$5:$G$120="acoes"))*Inputs!$B$1+((Inputs!$G$5:$G$120&lt;&gt;"moeda")*(Inputs!$G$5:$G$120&lt;&gt;"acoes")))*INDEX(Inputs!$K$5:$AJ$120,0,MATCH(O$2,Inputs!$K$4:$AJ$4,0)))+SUMPRODUCT((Inputs!$E$5:$E$120=$B59)*Inputs!$F$5:$F$120*(((Inputs!$G$5:$G$120="moeda")+(Inputs!$G$5:$G$120="acoes"))*Inputs!$B$1+((Inputs!$G$5:$G$120&lt;&gt;"moeda")*(Inputs!$G$5:$G$120&lt;&gt;"acoes")))*INDEX(Inputs!$K$5:$AJ$120,0,MATCH(O$2,Inputs!$K$4:$AJ$4,0)))))</f>
        <v>440.4</v>
      </c>
      <c r="P59" s="263">
        <f>IF(ISNA(MATCH(P$2,Inputs!$K$4:$AJ$4,0)),NA(),IF(SUMPRODUCT((Inputs!$A$5:$A$120=$B59)*ISNUMBER(INDEX(Inputs!$K$5:$AJ$120,0,MATCH(P$2,Inputs!$K$4:$AJ$4,0))))+SUMPRODUCT((Inputs!$C$5:$C$120=$B59)*ISNUMBER(INDEX(Inputs!$K$5:$AJ$120,0,MATCH(P$2,Inputs!$K$4:$AJ$4,0))))+SUMPRODUCT((Inputs!$E$5:$E$120=$B59)*ISNUMBER(INDEX(Inputs!$K$5:$AJ$120,0,MATCH(P$2,Inputs!$K$4:$AJ$4,0))))=0,NA(),SUMPRODUCT((Inputs!$A$5:$A$120=$B59)*Inputs!$B$5:$B$120*(((Inputs!$G$5:$G$120="moeda")+(Inputs!$G$5:$G$120="acoes"))*Inputs!$B$1+((Inputs!$G$5:$G$120&lt;&gt;"moeda")*(Inputs!$G$5:$G$120&lt;&gt;"acoes")))*INDEX(Inputs!$K$5:$AJ$120,0,MATCH(P$2,Inputs!$K$4:$AJ$4,0)))+SUMPRODUCT((Inputs!$C$5:$C$120=$B59)*Inputs!$D$5:$D$120*(((Inputs!$G$5:$G$120="moeda")+(Inputs!$G$5:$G$120="acoes"))*Inputs!$B$1+((Inputs!$G$5:$G$120&lt;&gt;"moeda")*(Inputs!$G$5:$G$120&lt;&gt;"acoes")))*INDEX(Inputs!$K$5:$AJ$120,0,MATCH(P$2,Inputs!$K$4:$AJ$4,0)))+SUMPRODUCT((Inputs!$E$5:$E$120=$B59)*Inputs!$F$5:$F$120*(((Inputs!$G$5:$G$120="moeda")+(Inputs!$G$5:$G$120="acoes"))*Inputs!$B$1+((Inputs!$G$5:$G$120&lt;&gt;"moeda")*(Inputs!$G$5:$G$120&lt;&gt;"acoes")))*INDEX(Inputs!$K$5:$AJ$120,0,MATCH(P$2,Inputs!$K$4:$AJ$4,0)))))</f>
        <v>395.4</v>
      </c>
      <c r="Q59" s="263">
        <f>IF(ISNA(MATCH(Q$2,Inputs!$K$4:$AJ$4,0)),NA(),IF(SUMPRODUCT((Inputs!$A$5:$A$120=$B59)*ISNUMBER(INDEX(Inputs!$K$5:$AJ$120,0,MATCH(Q$2,Inputs!$K$4:$AJ$4,0))))+SUMPRODUCT((Inputs!$C$5:$C$120=$B59)*ISNUMBER(INDEX(Inputs!$K$5:$AJ$120,0,MATCH(Q$2,Inputs!$K$4:$AJ$4,0))))+SUMPRODUCT((Inputs!$E$5:$E$120=$B59)*ISNUMBER(INDEX(Inputs!$K$5:$AJ$120,0,MATCH(Q$2,Inputs!$K$4:$AJ$4,0))))=0,NA(),SUMPRODUCT((Inputs!$A$5:$A$120=$B59)*Inputs!$B$5:$B$120*(((Inputs!$G$5:$G$120="moeda")+(Inputs!$G$5:$G$120="acoes"))*Inputs!$B$1+((Inputs!$G$5:$G$120&lt;&gt;"moeda")*(Inputs!$G$5:$G$120&lt;&gt;"acoes")))*INDEX(Inputs!$K$5:$AJ$120,0,MATCH(Q$2,Inputs!$K$4:$AJ$4,0)))+SUMPRODUCT((Inputs!$C$5:$C$120=$B59)*Inputs!$D$5:$D$120*(((Inputs!$G$5:$G$120="moeda")+(Inputs!$G$5:$G$120="acoes"))*Inputs!$B$1+((Inputs!$G$5:$G$120&lt;&gt;"moeda")*(Inputs!$G$5:$G$120&lt;&gt;"acoes")))*INDEX(Inputs!$K$5:$AJ$120,0,MATCH(Q$2,Inputs!$K$4:$AJ$4,0)))+SUMPRODUCT((Inputs!$E$5:$E$120=$B59)*Inputs!$F$5:$F$120*(((Inputs!$G$5:$G$120="moeda")+(Inputs!$G$5:$G$120="acoes"))*Inputs!$B$1+((Inputs!$G$5:$G$120&lt;&gt;"moeda")*(Inputs!$G$5:$G$120&lt;&gt;"acoes")))*INDEX(Inputs!$K$5:$AJ$120,0,MATCH(Q$2,Inputs!$K$4:$AJ$4,0)))))</f>
        <v>366.6</v>
      </c>
      <c r="R59" s="264">
        <f>SUM(N59:Q59)</f>
        <v>1663.3</v>
      </c>
      <c r="S59" s="263">
        <f>IF(ISNA(MATCH(S$2,Inputs!$K$4:$AJ$4,0)),NA(),IF(SUMPRODUCT((Inputs!$A$5:$A$120=$B59)*ISNUMBER(INDEX(Inputs!$K$5:$AJ$120,0,MATCH(S$2,Inputs!$K$4:$AJ$4,0))))+SUMPRODUCT((Inputs!$C$5:$C$120=$B59)*ISNUMBER(INDEX(Inputs!$K$5:$AJ$120,0,MATCH(S$2,Inputs!$K$4:$AJ$4,0))))+SUMPRODUCT((Inputs!$E$5:$E$120=$B59)*ISNUMBER(INDEX(Inputs!$K$5:$AJ$120,0,MATCH(S$2,Inputs!$K$4:$AJ$4,0))))=0,NA(),SUMPRODUCT((Inputs!$A$5:$A$120=$B59)*Inputs!$B$5:$B$120*(((Inputs!$G$5:$G$120="moeda")+(Inputs!$G$5:$G$120="acoes"))*Inputs!$B$1+((Inputs!$G$5:$G$120&lt;&gt;"moeda")*(Inputs!$G$5:$G$120&lt;&gt;"acoes")))*INDEX(Inputs!$K$5:$AJ$120,0,MATCH(S$2,Inputs!$K$4:$AJ$4,0)))+SUMPRODUCT((Inputs!$C$5:$C$120=$B59)*Inputs!$D$5:$D$120*(((Inputs!$G$5:$G$120="moeda")+(Inputs!$G$5:$G$120="acoes"))*Inputs!$B$1+((Inputs!$G$5:$G$120&lt;&gt;"moeda")*(Inputs!$G$5:$G$120&lt;&gt;"acoes")))*INDEX(Inputs!$K$5:$AJ$120,0,MATCH(S$2,Inputs!$K$4:$AJ$4,0)))+SUMPRODUCT((Inputs!$E$5:$E$120=$B59)*Inputs!$F$5:$F$120*(((Inputs!$G$5:$G$120="moeda")+(Inputs!$G$5:$G$120="acoes"))*Inputs!$B$1+((Inputs!$G$5:$G$120&lt;&gt;"moeda")*(Inputs!$G$5:$G$120&lt;&gt;"acoes")))*INDEX(Inputs!$K$5:$AJ$120,0,MATCH(S$2,Inputs!$K$4:$AJ$4,0)))))</f>
        <v>538.7</v>
      </c>
      <c r="T59" s="263">
        <f>IF(ISNA(MATCH(T$2,Inputs!$K$4:$AJ$4,0)),NA(),IF(SUMPRODUCT((Inputs!$A$5:$A$120=$B59)*ISNUMBER(INDEX(Inputs!$K$5:$AJ$120,0,MATCH(T$2,Inputs!$K$4:$AJ$4,0))))+SUMPRODUCT((Inputs!$C$5:$C$120=$B59)*ISNUMBER(INDEX(Inputs!$K$5:$AJ$120,0,MATCH(T$2,Inputs!$K$4:$AJ$4,0))))+SUMPRODUCT((Inputs!$E$5:$E$120=$B59)*ISNUMBER(INDEX(Inputs!$K$5:$AJ$120,0,MATCH(T$2,Inputs!$K$4:$AJ$4,0))))=0,NA(),SUMPRODUCT((Inputs!$A$5:$A$120=$B59)*Inputs!$B$5:$B$120*(((Inputs!$G$5:$G$120="moeda")+(Inputs!$G$5:$G$120="acoes"))*Inputs!$B$1+((Inputs!$G$5:$G$120&lt;&gt;"moeda")*(Inputs!$G$5:$G$120&lt;&gt;"acoes")))*INDEX(Inputs!$K$5:$AJ$120,0,MATCH(T$2,Inputs!$K$4:$AJ$4,0)))+SUMPRODUCT((Inputs!$C$5:$C$120=$B59)*Inputs!$D$5:$D$120*(((Inputs!$G$5:$G$120="moeda")+(Inputs!$G$5:$G$120="acoes"))*Inputs!$B$1+((Inputs!$G$5:$G$120&lt;&gt;"moeda")*(Inputs!$G$5:$G$120&lt;&gt;"acoes")))*INDEX(Inputs!$K$5:$AJ$120,0,MATCH(T$2,Inputs!$K$4:$AJ$4,0)))+SUMPRODUCT((Inputs!$E$5:$E$120=$B59)*Inputs!$F$5:$F$120*(((Inputs!$G$5:$G$120="moeda")+(Inputs!$G$5:$G$120="acoes"))*Inputs!$B$1+((Inputs!$G$5:$G$120&lt;&gt;"moeda")*(Inputs!$G$5:$G$120&lt;&gt;"acoes")))*INDEX(Inputs!$K$5:$AJ$120,0,MATCH(T$2,Inputs!$K$4:$AJ$4,0)))))</f>
        <v>631.6</v>
      </c>
      <c r="U59" s="263">
        <f>IF(ISNA(MATCH(U$2,Inputs!$K$4:$AJ$4,0)),NA(),IF(SUMPRODUCT((Inputs!$A$5:$A$120=$B59)*ISNUMBER(INDEX(Inputs!$K$5:$AJ$120,0,MATCH(U$2,Inputs!$K$4:$AJ$4,0))))+SUMPRODUCT((Inputs!$C$5:$C$120=$B59)*ISNUMBER(INDEX(Inputs!$K$5:$AJ$120,0,MATCH(U$2,Inputs!$K$4:$AJ$4,0))))+SUMPRODUCT((Inputs!$E$5:$E$120=$B59)*ISNUMBER(INDEX(Inputs!$K$5:$AJ$120,0,MATCH(U$2,Inputs!$K$4:$AJ$4,0))))=0,NA(),SUMPRODUCT((Inputs!$A$5:$A$120=$B59)*Inputs!$B$5:$B$120*(((Inputs!$G$5:$G$120="moeda")+(Inputs!$G$5:$G$120="acoes"))*Inputs!$B$1+((Inputs!$G$5:$G$120&lt;&gt;"moeda")*(Inputs!$G$5:$G$120&lt;&gt;"acoes")))*INDEX(Inputs!$K$5:$AJ$120,0,MATCH(U$2,Inputs!$K$4:$AJ$4,0)))+SUMPRODUCT((Inputs!$C$5:$C$120=$B59)*Inputs!$D$5:$D$120*(((Inputs!$G$5:$G$120="moeda")+(Inputs!$G$5:$G$120="acoes"))*Inputs!$B$1+((Inputs!$G$5:$G$120&lt;&gt;"moeda")*(Inputs!$G$5:$G$120&lt;&gt;"acoes")))*INDEX(Inputs!$K$5:$AJ$120,0,MATCH(U$2,Inputs!$K$4:$AJ$4,0)))+SUMPRODUCT((Inputs!$E$5:$E$120=$B59)*Inputs!$F$5:$F$120*(((Inputs!$G$5:$G$120="moeda")+(Inputs!$G$5:$G$120="acoes"))*Inputs!$B$1+((Inputs!$G$5:$G$120&lt;&gt;"moeda")*(Inputs!$G$5:$G$120&lt;&gt;"acoes")))*INDEX(Inputs!$K$5:$AJ$120,0,MATCH(U$2,Inputs!$K$4:$AJ$4,0)))))</f>
        <v>534.6</v>
      </c>
      <c r="V59" s="263">
        <f>IF(ISNA(MATCH(V$2,Inputs!$K$4:$AJ$4,0)),NA(),IF(SUMPRODUCT((Inputs!$A$5:$A$120=$B59)*ISNUMBER(INDEX(Inputs!$K$5:$AJ$120,0,MATCH(V$2,Inputs!$K$4:$AJ$4,0))))+SUMPRODUCT((Inputs!$C$5:$C$120=$B59)*ISNUMBER(INDEX(Inputs!$K$5:$AJ$120,0,MATCH(V$2,Inputs!$K$4:$AJ$4,0))))+SUMPRODUCT((Inputs!$E$5:$E$120=$B59)*ISNUMBER(INDEX(Inputs!$K$5:$AJ$120,0,MATCH(V$2,Inputs!$K$4:$AJ$4,0))))=0,NA(),SUMPRODUCT((Inputs!$A$5:$A$120=$B59)*Inputs!$B$5:$B$120*(((Inputs!$G$5:$G$120="moeda")+(Inputs!$G$5:$G$120="acoes"))*Inputs!$B$1+((Inputs!$G$5:$G$120&lt;&gt;"moeda")*(Inputs!$G$5:$G$120&lt;&gt;"acoes")))*INDEX(Inputs!$K$5:$AJ$120,0,MATCH(V$2,Inputs!$K$4:$AJ$4,0)))+SUMPRODUCT((Inputs!$C$5:$C$120=$B59)*Inputs!$D$5:$D$120*(((Inputs!$G$5:$G$120="moeda")+(Inputs!$G$5:$G$120="acoes"))*Inputs!$B$1+((Inputs!$G$5:$G$120&lt;&gt;"moeda")*(Inputs!$G$5:$G$120&lt;&gt;"acoes")))*INDEX(Inputs!$K$5:$AJ$120,0,MATCH(V$2,Inputs!$K$4:$AJ$4,0)))+SUMPRODUCT((Inputs!$E$5:$E$120=$B59)*Inputs!$F$5:$F$120*(((Inputs!$G$5:$G$120="moeda")+(Inputs!$G$5:$G$120="acoes"))*Inputs!$B$1+((Inputs!$G$5:$G$120&lt;&gt;"moeda")*(Inputs!$G$5:$G$120&lt;&gt;"acoes")))*INDEX(Inputs!$K$5:$AJ$120,0,MATCH(V$2,Inputs!$K$4:$AJ$4,0)))))</f>
        <v>619.9</v>
      </c>
      <c r="W59" s="264">
        <f>SUM(S59:V59)</f>
        <v>2324.8</v>
      </c>
      <c r="X59" s="263" t="e">
        <f>IF(ISNA(MATCH(X$2,Inputs!$K$4:$AJ$4,0)),NA(),IF(SUMPRODUCT((Inputs!$A$5:$A$120=$B59)*ISNUMBER(INDEX(Inputs!$K$5:$AJ$120,0,MATCH(X$2,Inputs!$K$4:$AJ$4,0))))+SUMPRODUCT((Inputs!$C$5:$C$120=$B59)*ISNUMBER(INDEX(Inputs!$K$5:$AJ$120,0,MATCH(X$2,Inputs!$K$4:$AJ$4,0))))+SUMPRODUCT((Inputs!$E$5:$E$120=$B59)*ISNUMBER(INDEX(Inputs!$K$5:$AJ$120,0,MATCH(X$2,Inputs!$K$4:$AJ$4,0))))=0,NA(),SUMPRODUCT((Inputs!$A$5:$A$120=$B59)*Inputs!$B$5:$B$120*(((Inputs!$G$5:$G$120="moeda")+(Inputs!$G$5:$G$120="acoes"))*Inputs!$B$1+((Inputs!$G$5:$G$120&lt;&gt;"moeda")*(Inputs!$G$5:$G$120&lt;&gt;"acoes")))*INDEX(Inputs!$K$5:$AJ$120,0,MATCH(X$2,Inputs!$K$4:$AJ$4,0)))+SUMPRODUCT((Inputs!$C$5:$C$120=$B59)*Inputs!$D$5:$D$120*(((Inputs!$G$5:$G$120="moeda")+(Inputs!$G$5:$G$120="acoes"))*Inputs!$B$1+((Inputs!$G$5:$G$120&lt;&gt;"moeda")*(Inputs!$G$5:$G$120&lt;&gt;"acoes")))*INDEX(Inputs!$K$5:$AJ$120,0,MATCH(X$2,Inputs!$K$4:$AJ$4,0)))+SUMPRODUCT((Inputs!$E$5:$E$120=$B59)*Inputs!$F$5:$F$120*(((Inputs!$G$5:$G$120="moeda")+(Inputs!$G$5:$G$120="acoes"))*Inputs!$B$1+((Inputs!$G$5:$G$120&lt;&gt;"moeda")*(Inputs!$G$5:$G$120&lt;&gt;"acoes")))*INDEX(Inputs!$K$5:$AJ$120,0,MATCH(X$2,Inputs!$K$4:$AJ$4,0)))))</f>
        <v>#N/A</v>
      </c>
      <c r="Y59" s="263" t="e">
        <f>IF(ISNA(MATCH(Y$2,Inputs!$K$4:$AJ$4,0)),NA(),IF(SUMPRODUCT((Inputs!$A$5:$A$120=$B59)*ISNUMBER(INDEX(Inputs!$K$5:$AJ$120,0,MATCH(Y$2,Inputs!$K$4:$AJ$4,0))))+SUMPRODUCT((Inputs!$C$5:$C$120=$B59)*ISNUMBER(INDEX(Inputs!$K$5:$AJ$120,0,MATCH(Y$2,Inputs!$K$4:$AJ$4,0))))+SUMPRODUCT((Inputs!$E$5:$E$120=$B59)*ISNUMBER(INDEX(Inputs!$K$5:$AJ$120,0,MATCH(Y$2,Inputs!$K$4:$AJ$4,0))))=0,NA(),SUMPRODUCT((Inputs!$A$5:$A$120=$B59)*Inputs!$B$5:$B$120*(((Inputs!$G$5:$G$120="moeda")+(Inputs!$G$5:$G$120="acoes"))*Inputs!$B$1+((Inputs!$G$5:$G$120&lt;&gt;"moeda")*(Inputs!$G$5:$G$120&lt;&gt;"acoes")))*INDEX(Inputs!$K$5:$AJ$120,0,MATCH(Y$2,Inputs!$K$4:$AJ$4,0)))+SUMPRODUCT((Inputs!$C$5:$C$120=$B59)*Inputs!$D$5:$D$120*(((Inputs!$G$5:$G$120="moeda")+(Inputs!$G$5:$G$120="acoes"))*Inputs!$B$1+((Inputs!$G$5:$G$120&lt;&gt;"moeda")*(Inputs!$G$5:$G$120&lt;&gt;"acoes")))*INDEX(Inputs!$K$5:$AJ$120,0,MATCH(Y$2,Inputs!$K$4:$AJ$4,0)))+SUMPRODUCT((Inputs!$E$5:$E$120=$B59)*Inputs!$F$5:$F$120*(((Inputs!$G$5:$G$120="moeda")+(Inputs!$G$5:$G$120="acoes"))*Inputs!$B$1+((Inputs!$G$5:$G$120&lt;&gt;"moeda")*(Inputs!$G$5:$G$120&lt;&gt;"acoes")))*INDEX(Inputs!$K$5:$AJ$120,0,MATCH(Y$2,Inputs!$K$4:$AJ$4,0)))))</f>
        <v>#N/A</v>
      </c>
      <c r="Z59" s="263" t="e">
        <f>IF(ISNA(MATCH(Z$2,Inputs!$K$4:$AJ$4,0)),NA(),IF(SUMPRODUCT((Inputs!$A$5:$A$120=$B59)*ISNUMBER(INDEX(Inputs!$K$5:$AJ$120,0,MATCH(Z$2,Inputs!$K$4:$AJ$4,0))))+SUMPRODUCT((Inputs!$C$5:$C$120=$B59)*ISNUMBER(INDEX(Inputs!$K$5:$AJ$120,0,MATCH(Z$2,Inputs!$K$4:$AJ$4,0))))+SUMPRODUCT((Inputs!$E$5:$E$120=$B59)*ISNUMBER(INDEX(Inputs!$K$5:$AJ$120,0,MATCH(Z$2,Inputs!$K$4:$AJ$4,0))))=0,NA(),SUMPRODUCT((Inputs!$A$5:$A$120=$B59)*Inputs!$B$5:$B$120*(((Inputs!$G$5:$G$120="moeda")+(Inputs!$G$5:$G$120="acoes"))*Inputs!$B$1+((Inputs!$G$5:$G$120&lt;&gt;"moeda")*(Inputs!$G$5:$G$120&lt;&gt;"acoes")))*INDEX(Inputs!$K$5:$AJ$120,0,MATCH(Z$2,Inputs!$K$4:$AJ$4,0)))+SUMPRODUCT((Inputs!$C$5:$C$120=$B59)*Inputs!$D$5:$D$120*(((Inputs!$G$5:$G$120="moeda")+(Inputs!$G$5:$G$120="acoes"))*Inputs!$B$1+((Inputs!$G$5:$G$120&lt;&gt;"moeda")*(Inputs!$G$5:$G$120&lt;&gt;"acoes")))*INDEX(Inputs!$K$5:$AJ$120,0,MATCH(Z$2,Inputs!$K$4:$AJ$4,0)))+SUMPRODUCT((Inputs!$E$5:$E$120=$B59)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59" s="263" t="e">
        <f>IF(ISNA(MATCH(AA$2,Inputs!$K$4:$AJ$4,0)),NA(),IF(SUMPRODUCT((Inputs!$A$5:$A$120=$B59)*ISNUMBER(INDEX(Inputs!$K$5:$AJ$120,0,MATCH(AA$2,Inputs!$K$4:$AJ$4,0))))+SUMPRODUCT((Inputs!$C$5:$C$120=$B59)*ISNUMBER(INDEX(Inputs!$K$5:$AJ$120,0,MATCH(AA$2,Inputs!$K$4:$AJ$4,0))))+SUMPRODUCT((Inputs!$E$5:$E$120=$B59)*ISNUMBER(INDEX(Inputs!$K$5:$AJ$120,0,MATCH(AA$2,Inputs!$K$4:$AJ$4,0))))=0,NA(),SUMPRODUCT((Inputs!$A$5:$A$120=$B59)*Inputs!$B$5:$B$120*(((Inputs!$G$5:$G$120="moeda")+(Inputs!$G$5:$G$120="acoes"))*Inputs!$B$1+((Inputs!$G$5:$G$120&lt;&gt;"moeda")*(Inputs!$G$5:$G$120&lt;&gt;"acoes")))*INDEX(Inputs!$K$5:$AJ$120,0,MATCH(AA$2,Inputs!$K$4:$AJ$4,0)))+SUMPRODUCT((Inputs!$C$5:$C$120=$B59)*Inputs!$D$5:$D$120*(((Inputs!$G$5:$G$120="moeda")+(Inputs!$G$5:$G$120="acoes"))*Inputs!$B$1+((Inputs!$G$5:$G$120&lt;&gt;"moeda")*(Inputs!$G$5:$G$120&lt;&gt;"acoes")))*INDEX(Inputs!$K$5:$AJ$120,0,MATCH(AA$2,Inputs!$K$4:$AJ$4,0)))+SUMPRODUCT((Inputs!$E$5:$E$120=$B59)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59" s="264" t="e">
        <f>SUM(X59:AA59)</f>
        <v>#N/A</v>
      </c>
      <c r="AC59" s="263" t="e">
        <f>IF(ISNA(MATCH(AC$2,Inputs!$K$4:$AJ$4,0)),NA(),IF(SUMPRODUCT((Inputs!$A$5:$A$120=$B59)*ISNUMBER(INDEX(Inputs!$K$5:$AJ$120,0,MATCH(AC$2,Inputs!$K$4:$AJ$4,0))))+SUMPRODUCT((Inputs!$C$5:$C$120=$B59)*ISNUMBER(INDEX(Inputs!$K$5:$AJ$120,0,MATCH(AC$2,Inputs!$K$4:$AJ$4,0))))+SUMPRODUCT((Inputs!$E$5:$E$120=$B59)*ISNUMBER(INDEX(Inputs!$K$5:$AJ$120,0,MATCH(AC$2,Inputs!$K$4:$AJ$4,0))))=0,NA(),SUMPRODUCT((Inputs!$A$5:$A$120=$B59)*Inputs!$B$5:$B$120*(((Inputs!$G$5:$G$120="moeda")+(Inputs!$G$5:$G$120="acoes"))*Inputs!$B$1+((Inputs!$G$5:$G$120&lt;&gt;"moeda")*(Inputs!$G$5:$G$120&lt;&gt;"acoes")))*INDEX(Inputs!$K$5:$AJ$120,0,MATCH(AC$2,Inputs!$K$4:$AJ$4,0)))+SUMPRODUCT((Inputs!$C$5:$C$120=$B59)*Inputs!$D$5:$D$120*(((Inputs!$G$5:$G$120="moeda")+(Inputs!$G$5:$G$120="acoes"))*Inputs!$B$1+((Inputs!$G$5:$G$120&lt;&gt;"moeda")*(Inputs!$G$5:$G$120&lt;&gt;"acoes")))*INDEX(Inputs!$K$5:$AJ$120,0,MATCH(AC$2,Inputs!$K$4:$AJ$4,0)))+SUMPRODUCT((Inputs!$E$5:$E$120=$B59)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59" s="263" t="e">
        <f>IF(ISNA(MATCH(AD$2,Inputs!$K$4:$AJ$4,0)),NA(),IF(SUMPRODUCT((Inputs!$A$5:$A$120=$B59)*ISNUMBER(INDEX(Inputs!$K$5:$AJ$120,0,MATCH(AD$2,Inputs!$K$4:$AJ$4,0))))+SUMPRODUCT((Inputs!$C$5:$C$120=$B59)*ISNUMBER(INDEX(Inputs!$K$5:$AJ$120,0,MATCH(AD$2,Inputs!$K$4:$AJ$4,0))))+SUMPRODUCT((Inputs!$E$5:$E$120=$B59)*ISNUMBER(INDEX(Inputs!$K$5:$AJ$120,0,MATCH(AD$2,Inputs!$K$4:$AJ$4,0))))=0,NA(),SUMPRODUCT((Inputs!$A$5:$A$120=$B59)*Inputs!$B$5:$B$120*(((Inputs!$G$5:$G$120="moeda")+(Inputs!$G$5:$G$120="acoes"))*Inputs!$B$1+((Inputs!$G$5:$G$120&lt;&gt;"moeda")*(Inputs!$G$5:$G$120&lt;&gt;"acoes")))*INDEX(Inputs!$K$5:$AJ$120,0,MATCH(AD$2,Inputs!$K$4:$AJ$4,0)))+SUMPRODUCT((Inputs!$C$5:$C$120=$B59)*Inputs!$D$5:$D$120*(((Inputs!$G$5:$G$120="moeda")+(Inputs!$G$5:$G$120="acoes"))*Inputs!$B$1+((Inputs!$G$5:$G$120&lt;&gt;"moeda")*(Inputs!$G$5:$G$120&lt;&gt;"acoes")))*INDEX(Inputs!$K$5:$AJ$120,0,MATCH(AD$2,Inputs!$K$4:$AJ$4,0)))+SUMPRODUCT((Inputs!$E$5:$E$120=$B59)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59" s="263" t="e">
        <f>IF(ISNA(MATCH(AE$2,Inputs!$K$4:$AJ$4,0)),NA(),IF(SUMPRODUCT((Inputs!$A$5:$A$120=$B59)*ISNUMBER(INDEX(Inputs!$K$5:$AJ$120,0,MATCH(AE$2,Inputs!$K$4:$AJ$4,0))))+SUMPRODUCT((Inputs!$C$5:$C$120=$B59)*ISNUMBER(INDEX(Inputs!$K$5:$AJ$120,0,MATCH(AE$2,Inputs!$K$4:$AJ$4,0))))+SUMPRODUCT((Inputs!$E$5:$E$120=$B59)*ISNUMBER(INDEX(Inputs!$K$5:$AJ$120,0,MATCH(AE$2,Inputs!$K$4:$AJ$4,0))))=0,NA(),SUMPRODUCT((Inputs!$A$5:$A$120=$B59)*Inputs!$B$5:$B$120*(((Inputs!$G$5:$G$120="moeda")+(Inputs!$G$5:$G$120="acoes"))*Inputs!$B$1+((Inputs!$G$5:$G$120&lt;&gt;"moeda")*(Inputs!$G$5:$G$120&lt;&gt;"acoes")))*INDEX(Inputs!$K$5:$AJ$120,0,MATCH(AE$2,Inputs!$K$4:$AJ$4,0)))+SUMPRODUCT((Inputs!$C$5:$C$120=$B59)*Inputs!$D$5:$D$120*(((Inputs!$G$5:$G$120="moeda")+(Inputs!$G$5:$G$120="acoes"))*Inputs!$B$1+((Inputs!$G$5:$G$120&lt;&gt;"moeda")*(Inputs!$G$5:$G$120&lt;&gt;"acoes")))*INDEX(Inputs!$K$5:$AJ$120,0,MATCH(AE$2,Inputs!$K$4:$AJ$4,0)))+SUMPRODUCT((Inputs!$E$5:$E$120=$B59)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9" s="263" t="e">
        <f>IF(ISNA(MATCH(AF$2,Inputs!$K$4:$AJ$4,0)),NA(),IF(SUMPRODUCT((Inputs!$A$5:$A$120=$B59)*ISNUMBER(INDEX(Inputs!$K$5:$AJ$120,0,MATCH(AF$2,Inputs!$K$4:$AJ$4,0))))+SUMPRODUCT((Inputs!$C$5:$C$120=$B59)*ISNUMBER(INDEX(Inputs!$K$5:$AJ$120,0,MATCH(AF$2,Inputs!$K$4:$AJ$4,0))))+SUMPRODUCT((Inputs!$E$5:$E$120=$B59)*ISNUMBER(INDEX(Inputs!$K$5:$AJ$120,0,MATCH(AF$2,Inputs!$K$4:$AJ$4,0))))=0,NA(),SUMPRODUCT((Inputs!$A$5:$A$120=$B59)*Inputs!$B$5:$B$120*(((Inputs!$G$5:$G$120="moeda")+(Inputs!$G$5:$G$120="acoes"))*Inputs!$B$1+((Inputs!$G$5:$G$120&lt;&gt;"moeda")*(Inputs!$G$5:$G$120&lt;&gt;"acoes")))*INDEX(Inputs!$K$5:$AJ$120,0,MATCH(AF$2,Inputs!$K$4:$AJ$4,0)))+SUMPRODUCT((Inputs!$C$5:$C$120=$B59)*Inputs!$D$5:$D$120*(((Inputs!$G$5:$G$120="moeda")+(Inputs!$G$5:$G$120="acoes"))*Inputs!$B$1+((Inputs!$G$5:$G$120&lt;&gt;"moeda")*(Inputs!$G$5:$G$120&lt;&gt;"acoes")))*INDEX(Inputs!$K$5:$AJ$120,0,MATCH(AF$2,Inputs!$K$4:$AJ$4,0)))+SUMPRODUCT((Inputs!$E$5:$E$120=$B59)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9" s="264" t="e">
        <f>SUM(AC59:AF59)</f>
        <v>#N/A</v>
      </c>
      <c r="AH59" s="263">
        <f>IF(ISNA(MATCH(AH$2,Inputs!$K$4:$AJ$4,0)),NA(),IF(SUMPRODUCT((Inputs!$A$5:$A$120=$B59)*ISNUMBER(INDEX(Inputs!$K$5:$AJ$120,0,MATCH(AH$2,Inputs!$K$4:$AJ$4,0))))+SUMPRODUCT((Inputs!$C$5:$C$120=$B59)*ISNUMBER(INDEX(Inputs!$K$5:$AJ$120,0,MATCH(AH$2,Inputs!$K$4:$AJ$4,0))))+SUMPRODUCT((Inputs!$E$5:$E$120=$B59)*ISNUMBER(INDEX(Inputs!$K$5:$AJ$120,0,MATCH(AH$2,Inputs!$K$4:$AJ$4,0))))=0,NA(),SUMPRODUCT((Inputs!$A$5:$A$120=$B59)*Inputs!$B$5:$B$120*(((Inputs!$G$5:$G$120="moeda")+(Inputs!$G$5:$G$120="acoes"))*Inputs!$B$1+((Inputs!$G$5:$G$120&lt;&gt;"moeda")*(Inputs!$G$5:$G$120&lt;&gt;"acoes")))*INDEX(Inputs!$K$5:$AJ$120,0,MATCH(AH$2,Inputs!$K$4:$AJ$4,0)))+SUMPRODUCT((Inputs!$C$5:$C$120=$B59)*Inputs!$D$5:$D$120*(((Inputs!$G$5:$G$120="moeda")+(Inputs!$G$5:$G$120="acoes"))*Inputs!$B$1+((Inputs!$G$5:$G$120&lt;&gt;"moeda")*(Inputs!$G$5:$G$120&lt;&gt;"acoes")))*INDEX(Inputs!$K$5:$AJ$120,0,MATCH(AH$2,Inputs!$K$4:$AJ$4,0)))+SUMPRODUCT((Inputs!$E$5:$E$120=$B59)*Inputs!$F$5:$F$120*(((Inputs!$G$5:$G$120="moeda")+(Inputs!$G$5:$G$120="acoes"))*Inputs!$B$1+((Inputs!$G$5:$G$120&lt;&gt;"moeda")*(Inputs!$G$5:$G$120&lt;&gt;"acoes")))*INDEX(Inputs!$K$5:$AJ$120,0,MATCH(AH$2,Inputs!$K$4:$AJ$4,0)))))</f>
        <v>695.8</v>
      </c>
      <c r="AI59" s="263">
        <f>IF(ISNA(MATCH(AI$2,Inputs!$K$4:$AJ$4,0)),NA(),IF(SUMPRODUCT((Inputs!$A$5:$A$120=$B59)*ISNUMBER(INDEX(Inputs!$K$5:$AJ$120,0,MATCH(AI$2,Inputs!$K$4:$AJ$4,0))))+SUMPRODUCT((Inputs!$C$5:$C$120=$B59)*ISNUMBER(INDEX(Inputs!$K$5:$AJ$120,0,MATCH(AI$2,Inputs!$K$4:$AJ$4,0))))+SUMPRODUCT((Inputs!$E$5:$E$120=$B59)*ISNUMBER(INDEX(Inputs!$K$5:$AJ$120,0,MATCH(AI$2,Inputs!$K$4:$AJ$4,0))))=0,NA(),SUMPRODUCT((Inputs!$A$5:$A$120=$B59)*Inputs!$B$5:$B$120*(((Inputs!$G$5:$G$120="moeda")+(Inputs!$G$5:$G$120="acoes"))*Inputs!$B$1+((Inputs!$G$5:$G$120&lt;&gt;"moeda")*(Inputs!$G$5:$G$120&lt;&gt;"acoes")))*INDEX(Inputs!$K$5:$AJ$120,0,MATCH(AI$2,Inputs!$K$4:$AJ$4,0)))+SUMPRODUCT((Inputs!$C$5:$C$120=$B59)*Inputs!$D$5:$D$120*(((Inputs!$G$5:$G$120="moeda")+(Inputs!$G$5:$G$120="acoes"))*Inputs!$B$1+((Inputs!$G$5:$G$120&lt;&gt;"moeda")*(Inputs!$G$5:$G$120&lt;&gt;"acoes")))*INDEX(Inputs!$K$5:$AJ$120,0,MATCH(AI$2,Inputs!$K$4:$AJ$4,0)))+SUMPRODUCT((Inputs!$E$5:$E$120=$B59)*Inputs!$F$5:$F$120*(((Inputs!$G$5:$G$120="moeda")+(Inputs!$G$5:$G$120="acoes"))*Inputs!$B$1+((Inputs!$G$5:$G$120&lt;&gt;"moeda")*(Inputs!$G$5:$G$120&lt;&gt;"acoes")))*INDEX(Inputs!$K$5:$AJ$120,0,MATCH(AI$2,Inputs!$K$4:$AJ$4,0)))))</f>
        <v>555.1</v>
      </c>
      <c r="AJ59" s="263">
        <f>IF(ISNA(MATCH(AJ$2,Inputs!$K$4:$AJ$4,0)),NA(),IF(SUMPRODUCT((Inputs!$A$5:$A$120=$B59)*ISNUMBER(INDEX(Inputs!$K$5:$AJ$120,0,MATCH(AJ$2,Inputs!$K$4:$AJ$4,0))))+SUMPRODUCT((Inputs!$C$5:$C$120=$B59)*ISNUMBER(INDEX(Inputs!$K$5:$AJ$120,0,MATCH(AJ$2,Inputs!$K$4:$AJ$4,0))))+SUMPRODUCT((Inputs!$E$5:$E$120=$B59)*ISNUMBER(INDEX(Inputs!$K$5:$AJ$120,0,MATCH(AJ$2,Inputs!$K$4:$AJ$4,0))))=0,NA(),SUMPRODUCT((Inputs!$A$5:$A$120=$B59)*Inputs!$B$5:$B$120*(((Inputs!$G$5:$G$120="moeda")+(Inputs!$G$5:$G$120="acoes"))*Inputs!$B$1+((Inputs!$G$5:$G$120&lt;&gt;"moeda")*(Inputs!$G$5:$G$120&lt;&gt;"acoes")))*INDEX(Inputs!$K$5:$AJ$120,0,MATCH(AJ$2,Inputs!$K$4:$AJ$4,0)))+SUMPRODUCT((Inputs!$C$5:$C$120=$B59)*Inputs!$D$5:$D$120*(((Inputs!$G$5:$G$120="moeda")+(Inputs!$G$5:$G$120="acoes"))*Inputs!$B$1+((Inputs!$G$5:$G$120&lt;&gt;"moeda")*(Inputs!$G$5:$G$120&lt;&gt;"acoes")))*INDEX(Inputs!$K$5:$AJ$120,0,MATCH(AJ$2,Inputs!$K$4:$AJ$4,0)))+SUMPRODUCT((Inputs!$E$5:$E$120=$B59)*Inputs!$F$5:$F$120*(((Inputs!$G$5:$G$120="moeda")+(Inputs!$G$5:$G$120="acoes"))*Inputs!$B$1+((Inputs!$G$5:$G$120&lt;&gt;"moeda")*(Inputs!$G$5:$G$120&lt;&gt;"acoes")))*INDEX(Inputs!$K$5:$AJ$120,0,MATCH(AJ$2,Inputs!$K$4:$AJ$4,0)))))</f>
        <v>656.9</v>
      </c>
      <c r="AK59" s="263">
        <f>IF(ISNA(MATCH(AK$2,Inputs!$K$4:$AJ$4,0)),NA(),IF(SUMPRODUCT((Inputs!$A$5:$A$120=$B59)*ISNUMBER(INDEX(Inputs!$K$5:$AJ$120,0,MATCH(AK$2,Inputs!$K$4:$AJ$4,0))))+SUMPRODUCT((Inputs!$C$5:$C$120=$B59)*ISNUMBER(INDEX(Inputs!$K$5:$AJ$120,0,MATCH(AK$2,Inputs!$K$4:$AJ$4,0))))+SUMPRODUCT((Inputs!$E$5:$E$120=$B59)*ISNUMBER(INDEX(Inputs!$K$5:$AJ$120,0,MATCH(AK$2,Inputs!$K$4:$AJ$4,0))))=0,NA(),SUMPRODUCT((Inputs!$A$5:$A$120=$B59)*Inputs!$B$5:$B$120*(((Inputs!$G$5:$G$120="moeda")+(Inputs!$G$5:$G$120="acoes"))*Inputs!$B$1+((Inputs!$G$5:$G$120&lt;&gt;"moeda")*(Inputs!$G$5:$G$120&lt;&gt;"acoes")))*INDEX(Inputs!$K$5:$AJ$120,0,MATCH(AK$2,Inputs!$K$4:$AJ$4,0)))+SUMPRODUCT((Inputs!$C$5:$C$120=$B59)*Inputs!$D$5:$D$120*(((Inputs!$G$5:$G$120="moeda")+(Inputs!$G$5:$G$120="acoes"))*Inputs!$B$1+((Inputs!$G$5:$G$120&lt;&gt;"moeda")*(Inputs!$G$5:$G$120&lt;&gt;"acoes")))*INDEX(Inputs!$K$5:$AJ$120,0,MATCH(AK$2,Inputs!$K$4:$AJ$4,0)))+SUMPRODUCT((Inputs!$E$5:$E$120=$B59)*Inputs!$F$5:$F$120*(((Inputs!$G$5:$G$120="moeda")+(Inputs!$G$5:$G$120="acoes"))*Inputs!$B$1+((Inputs!$G$5:$G$120&lt;&gt;"moeda")*(Inputs!$G$5:$G$120&lt;&gt;"acoes")))*INDEX(Inputs!$K$5:$AJ$120,0,MATCH(AK$2,Inputs!$K$4:$AJ$4,0)))))</f>
        <v>718.1</v>
      </c>
      <c r="AL59" s="264">
        <f>SUM(AH59:AK59)</f>
        <v>2625.9</v>
      </c>
    </row>
    <row r="60">
      <c r="B60" s="46" t="n">
        <v>52</v>
      </c>
      <c r="C60" s="29" t="inlineStr">
        <is>
          <t>Cardiometabolic Health / Diabetes - receita (USD)</t>
        </is>
      </c>
      <c r="D60" s="263">
        <f>IF(ISNA(MATCH(D$2,Inputs!$K$4:$AJ$4,0)),NA(),IF(SUMPRODUCT((Inputs!$A$5:$A$120=$B60)*ISNUMBER(INDEX(Inputs!$K$5:$AJ$120,0,MATCH(D$2,Inputs!$K$4:$AJ$4,0))))+SUMPRODUCT((Inputs!$C$5:$C$120=$B60)*ISNUMBER(INDEX(Inputs!$K$5:$AJ$120,0,MATCH(D$2,Inputs!$K$4:$AJ$4,0))))+SUMPRODUCT((Inputs!$E$5:$E$120=$B60)*ISNUMBER(INDEX(Inputs!$K$5:$AJ$120,0,MATCH(D$2,Inputs!$K$4:$AJ$4,0))))=0,NA(),SUMPRODUCT((Inputs!$A$5:$A$120=$B60)*Inputs!$B$5:$B$120*(((Inputs!$G$5:$G$120="moeda")+(Inputs!$G$5:$G$120="acoes"))*Inputs!$B$1+((Inputs!$G$5:$G$120&lt;&gt;"moeda")*(Inputs!$G$5:$G$120&lt;&gt;"acoes")))*INDEX(Inputs!$K$5:$AJ$120,0,MATCH(D$2,Inputs!$K$4:$AJ$4,0)))+SUMPRODUCT((Inputs!$C$5:$C$120=$B60)*Inputs!$D$5:$D$120*(((Inputs!$G$5:$G$120="moeda")+(Inputs!$G$5:$G$120="acoes"))*Inputs!$B$1+((Inputs!$G$5:$G$120&lt;&gt;"moeda")*(Inputs!$G$5:$G$120&lt;&gt;"acoes")))*INDEX(Inputs!$K$5:$AJ$120,0,MATCH(D$2,Inputs!$K$4:$AJ$4,0)))+SUMPRODUCT((Inputs!$E$5:$E$120=$B60)*Inputs!$F$5:$F$120*(((Inputs!$G$5:$G$120="moeda")+(Inputs!$G$5:$G$120="acoes"))*Inputs!$B$1+((Inputs!$G$5:$G$120&lt;&gt;"moeda")*(Inputs!$G$5:$G$120&lt;&gt;"acoes")))*INDEX(Inputs!$K$5:$AJ$120,0,MATCH(D$2,Inputs!$K$4:$AJ$4,0)))))</f>
        <v>3111.1</v>
      </c>
      <c r="E60" s="263">
        <f>IF(ISNA(MATCH(E$2,Inputs!$K$4:$AJ$4,0)),NA(),IF(SUMPRODUCT((Inputs!$A$5:$A$120=$B60)*ISNUMBER(INDEX(Inputs!$K$5:$AJ$120,0,MATCH(E$2,Inputs!$K$4:$AJ$4,0))))+SUMPRODUCT((Inputs!$C$5:$C$120=$B60)*ISNUMBER(INDEX(Inputs!$K$5:$AJ$120,0,MATCH(E$2,Inputs!$K$4:$AJ$4,0))))+SUMPRODUCT((Inputs!$E$5:$E$120=$B60)*ISNUMBER(INDEX(Inputs!$K$5:$AJ$120,0,MATCH(E$2,Inputs!$K$4:$AJ$4,0))))=0,NA(),SUMPRODUCT((Inputs!$A$5:$A$120=$B60)*Inputs!$B$5:$B$120*(((Inputs!$G$5:$G$120="moeda")+(Inputs!$G$5:$G$120="acoes"))*Inputs!$B$1+((Inputs!$G$5:$G$120&lt;&gt;"moeda")*(Inputs!$G$5:$G$120&lt;&gt;"acoes")))*INDEX(Inputs!$K$5:$AJ$120,0,MATCH(E$2,Inputs!$K$4:$AJ$4,0)))+SUMPRODUCT((Inputs!$C$5:$C$120=$B60)*Inputs!$D$5:$D$120*(((Inputs!$G$5:$G$120="moeda")+(Inputs!$G$5:$G$120="acoes"))*Inputs!$B$1+((Inputs!$G$5:$G$120&lt;&gt;"moeda")*(Inputs!$G$5:$G$120&lt;&gt;"acoes")))*INDEX(Inputs!$K$5:$AJ$120,0,MATCH(E$2,Inputs!$K$4:$AJ$4,0)))+SUMPRODUCT((Inputs!$E$5:$E$120=$B60)*Inputs!$F$5:$F$120*(((Inputs!$G$5:$G$120="moeda")+(Inputs!$G$5:$G$120="acoes"))*Inputs!$B$1+((Inputs!$G$5:$G$120&lt;&gt;"moeda")*(Inputs!$G$5:$G$120&lt;&gt;"acoes")))*INDEX(Inputs!$K$5:$AJ$120,0,MATCH(E$2,Inputs!$K$4:$AJ$4,0)))))</f>
        <v>3175.5</v>
      </c>
      <c r="F60" s="263">
        <f>IF(ISNA(MATCH(F$2,Inputs!$K$4:$AJ$4,0)),NA(),IF(SUMPRODUCT((Inputs!$A$5:$A$120=$B60)*ISNUMBER(INDEX(Inputs!$K$5:$AJ$120,0,MATCH(F$2,Inputs!$K$4:$AJ$4,0))))+SUMPRODUCT((Inputs!$C$5:$C$120=$B60)*ISNUMBER(INDEX(Inputs!$K$5:$AJ$120,0,MATCH(F$2,Inputs!$K$4:$AJ$4,0))))+SUMPRODUCT((Inputs!$E$5:$E$120=$B60)*ISNUMBER(INDEX(Inputs!$K$5:$AJ$120,0,MATCH(F$2,Inputs!$K$4:$AJ$4,0))))=0,NA(),SUMPRODUCT((Inputs!$A$5:$A$120=$B60)*Inputs!$B$5:$B$120*(((Inputs!$G$5:$G$120="moeda")+(Inputs!$G$5:$G$120="acoes"))*Inputs!$B$1+((Inputs!$G$5:$G$120&lt;&gt;"moeda")*(Inputs!$G$5:$G$120&lt;&gt;"acoes")))*INDEX(Inputs!$K$5:$AJ$120,0,MATCH(F$2,Inputs!$K$4:$AJ$4,0)))+SUMPRODUCT((Inputs!$C$5:$C$120=$B60)*Inputs!$D$5:$D$120*(((Inputs!$G$5:$G$120="moeda")+(Inputs!$G$5:$G$120="acoes"))*Inputs!$B$1+((Inputs!$G$5:$G$120&lt;&gt;"moeda")*(Inputs!$G$5:$G$120&lt;&gt;"acoes")))*INDEX(Inputs!$K$5:$AJ$120,0,MATCH(F$2,Inputs!$K$4:$AJ$4,0)))+SUMPRODUCT((Inputs!$E$5:$E$120=$B60)*Inputs!$F$5:$F$120*(((Inputs!$G$5:$G$120="moeda")+(Inputs!$G$5:$G$120="acoes"))*Inputs!$B$1+((Inputs!$G$5:$G$120&lt;&gt;"moeda")*(Inputs!$G$5:$G$120&lt;&gt;"acoes")))*INDEX(Inputs!$K$5:$AJ$120,0,MATCH(F$2,Inputs!$K$4:$AJ$4,0)))))</f>
        <v>3274.1</v>
      </c>
      <c r="G60" s="263">
        <f>IF(ISNA(MATCH(G$2,Inputs!$K$4:$AJ$4,0)),NA(),IF(SUMPRODUCT((Inputs!$A$5:$A$120=$B60)*ISNUMBER(INDEX(Inputs!$K$5:$AJ$120,0,MATCH(G$2,Inputs!$K$4:$AJ$4,0))))+SUMPRODUCT((Inputs!$C$5:$C$120=$B60)*ISNUMBER(INDEX(Inputs!$K$5:$AJ$120,0,MATCH(G$2,Inputs!$K$4:$AJ$4,0))))+SUMPRODUCT((Inputs!$E$5:$E$120=$B60)*ISNUMBER(INDEX(Inputs!$K$5:$AJ$120,0,MATCH(G$2,Inputs!$K$4:$AJ$4,0))))=0,NA(),SUMPRODUCT((Inputs!$A$5:$A$120=$B60)*Inputs!$B$5:$B$120*(((Inputs!$G$5:$G$120="moeda")+(Inputs!$G$5:$G$120="acoes"))*Inputs!$B$1+((Inputs!$G$5:$G$120&lt;&gt;"moeda")*(Inputs!$G$5:$G$120&lt;&gt;"acoes")))*INDEX(Inputs!$K$5:$AJ$120,0,MATCH(G$2,Inputs!$K$4:$AJ$4,0)))+SUMPRODUCT((Inputs!$C$5:$C$120=$B60)*Inputs!$D$5:$D$120*(((Inputs!$G$5:$G$120="moeda")+(Inputs!$G$5:$G$120="acoes"))*Inputs!$B$1+((Inputs!$G$5:$G$120&lt;&gt;"moeda")*(Inputs!$G$5:$G$120&lt;&gt;"acoes")))*INDEX(Inputs!$K$5:$AJ$120,0,MATCH(G$2,Inputs!$K$4:$AJ$4,0)))+SUMPRODUCT((Inputs!$E$5:$E$120=$B60)*Inputs!$F$5:$F$120*(((Inputs!$G$5:$G$120="moeda")+(Inputs!$G$5:$G$120="acoes"))*Inputs!$B$1+((Inputs!$G$5:$G$120&lt;&gt;"moeda")*(Inputs!$G$5:$G$120&lt;&gt;"acoes")))*INDEX(Inputs!$K$5:$AJ$120,0,MATCH(G$2,Inputs!$K$4:$AJ$4,0)))))</f>
        <v>3627.5</v>
      </c>
      <c r="H60" s="264">
        <f>SUM(D60:G60)</f>
        <v>13188.2</v>
      </c>
      <c r="I60" s="263">
        <f>IF(ISNA(MATCH(I$2,Inputs!$K$4:$AJ$4,0)),NA(),IF(SUMPRODUCT((Inputs!$A$5:$A$120=$B60)*ISNUMBER(INDEX(Inputs!$K$5:$AJ$120,0,MATCH(I$2,Inputs!$K$4:$AJ$4,0))))+SUMPRODUCT((Inputs!$C$5:$C$120=$B60)*ISNUMBER(INDEX(Inputs!$K$5:$AJ$120,0,MATCH(I$2,Inputs!$K$4:$AJ$4,0))))+SUMPRODUCT((Inputs!$E$5:$E$120=$B60)*ISNUMBER(INDEX(Inputs!$K$5:$AJ$120,0,MATCH(I$2,Inputs!$K$4:$AJ$4,0))))=0,NA(),SUMPRODUCT((Inputs!$A$5:$A$120=$B60)*Inputs!$B$5:$B$120*(((Inputs!$G$5:$G$120="moeda")+(Inputs!$G$5:$G$120="acoes"))*Inputs!$B$1+((Inputs!$G$5:$G$120&lt;&gt;"moeda")*(Inputs!$G$5:$G$120&lt;&gt;"acoes")))*INDEX(Inputs!$K$5:$AJ$120,0,MATCH(I$2,Inputs!$K$4:$AJ$4,0)))+SUMPRODUCT((Inputs!$C$5:$C$120=$B60)*Inputs!$D$5:$D$120*(((Inputs!$G$5:$G$120="moeda")+(Inputs!$G$5:$G$120="acoes"))*Inputs!$B$1+((Inputs!$G$5:$G$120&lt;&gt;"moeda")*(Inputs!$G$5:$G$120&lt;&gt;"acoes")))*INDEX(Inputs!$K$5:$AJ$120,0,MATCH(I$2,Inputs!$K$4:$AJ$4,0)))+SUMPRODUCT((Inputs!$E$5:$E$120=$B60)*Inputs!$F$5:$F$120*(((Inputs!$G$5:$G$120="moeda")+(Inputs!$G$5:$G$120="acoes"))*Inputs!$B$1+((Inputs!$G$5:$G$120&lt;&gt;"moeda")*(Inputs!$G$5:$G$120&lt;&gt;"acoes")))*INDEX(Inputs!$K$5:$AJ$120,0,MATCH(I$2,Inputs!$K$4:$AJ$4,0)))))</f>
        <v>3388.2</v>
      </c>
      <c r="J60" s="263">
        <f>IF(ISNA(MATCH(J$2,Inputs!$K$4:$AJ$4,0)),NA(),IF(SUMPRODUCT((Inputs!$A$5:$A$120=$B60)*ISNUMBER(INDEX(Inputs!$K$5:$AJ$120,0,MATCH(J$2,Inputs!$K$4:$AJ$4,0))))+SUMPRODUCT((Inputs!$C$5:$C$120=$B60)*ISNUMBER(INDEX(Inputs!$K$5:$AJ$120,0,MATCH(J$2,Inputs!$K$4:$AJ$4,0))))+SUMPRODUCT((Inputs!$E$5:$E$120=$B60)*ISNUMBER(INDEX(Inputs!$K$5:$AJ$120,0,MATCH(J$2,Inputs!$K$4:$AJ$4,0))))=0,NA(),SUMPRODUCT((Inputs!$A$5:$A$120=$B60)*Inputs!$B$5:$B$120*(((Inputs!$G$5:$G$120="moeda")+(Inputs!$G$5:$G$120="acoes"))*Inputs!$B$1+((Inputs!$G$5:$G$120&lt;&gt;"moeda")*(Inputs!$G$5:$G$120&lt;&gt;"acoes")))*INDEX(Inputs!$K$5:$AJ$120,0,MATCH(J$2,Inputs!$K$4:$AJ$4,0)))+SUMPRODUCT((Inputs!$C$5:$C$120=$B60)*Inputs!$D$5:$D$120*(((Inputs!$G$5:$G$120="moeda")+(Inputs!$G$5:$G$120="acoes"))*Inputs!$B$1+((Inputs!$G$5:$G$120&lt;&gt;"moeda")*(Inputs!$G$5:$G$120&lt;&gt;"acoes")))*INDEX(Inputs!$K$5:$AJ$120,0,MATCH(J$2,Inputs!$K$4:$AJ$4,0)))+SUMPRODUCT((Inputs!$E$5:$E$120=$B60)*Inputs!$F$5:$F$120*(((Inputs!$G$5:$G$120="moeda")+(Inputs!$G$5:$G$120="acoes"))*Inputs!$B$1+((Inputs!$G$5:$G$120&lt;&gt;"moeda")*(Inputs!$G$5:$G$120&lt;&gt;"acoes")))*INDEX(Inputs!$K$5:$AJ$120,0,MATCH(J$2,Inputs!$K$4:$AJ$4,0)))))</f>
        <v>3438.2</v>
      </c>
      <c r="K60" s="263">
        <f>IF(ISNA(MATCH(K$2,Inputs!$K$4:$AJ$4,0)),NA(),IF(SUMPRODUCT((Inputs!$A$5:$A$120=$B60)*ISNUMBER(INDEX(Inputs!$K$5:$AJ$120,0,MATCH(K$2,Inputs!$K$4:$AJ$4,0))))+SUMPRODUCT((Inputs!$C$5:$C$120=$B60)*ISNUMBER(INDEX(Inputs!$K$5:$AJ$120,0,MATCH(K$2,Inputs!$K$4:$AJ$4,0))))+SUMPRODUCT((Inputs!$E$5:$E$120=$B60)*ISNUMBER(INDEX(Inputs!$K$5:$AJ$120,0,MATCH(K$2,Inputs!$K$4:$AJ$4,0))))=0,NA(),SUMPRODUCT((Inputs!$A$5:$A$120=$B60)*Inputs!$B$5:$B$120*(((Inputs!$G$5:$G$120="moeda")+(Inputs!$G$5:$G$120="acoes"))*Inputs!$B$1+((Inputs!$G$5:$G$120&lt;&gt;"moeda")*(Inputs!$G$5:$G$120&lt;&gt;"acoes")))*INDEX(Inputs!$K$5:$AJ$120,0,MATCH(K$2,Inputs!$K$4:$AJ$4,0)))+SUMPRODUCT((Inputs!$C$5:$C$120=$B60)*Inputs!$D$5:$D$120*(((Inputs!$G$5:$G$120="moeda")+(Inputs!$G$5:$G$120="acoes"))*Inputs!$B$1+((Inputs!$G$5:$G$120&lt;&gt;"moeda")*(Inputs!$G$5:$G$120&lt;&gt;"acoes")))*INDEX(Inputs!$K$5:$AJ$120,0,MATCH(K$2,Inputs!$K$4:$AJ$4,0)))+SUMPRODUCT((Inputs!$E$5:$E$120=$B60)*Inputs!$F$5:$F$120*(((Inputs!$G$5:$G$120="moeda")+(Inputs!$G$5:$G$120="acoes"))*Inputs!$B$1+((Inputs!$G$5:$G$120&lt;&gt;"moeda")*(Inputs!$G$5:$G$120&lt;&gt;"acoes")))*INDEX(Inputs!$K$5:$AJ$120,0,MATCH(K$2,Inputs!$K$4:$AJ$4,0)))))</f>
        <v>3662.6</v>
      </c>
      <c r="L60" s="263">
        <f>IF(ISNA(MATCH(L$2,Inputs!$K$4:$AJ$4,0)),NA(),IF(SUMPRODUCT((Inputs!$A$5:$A$120=$B60)*ISNUMBER(INDEX(Inputs!$K$5:$AJ$120,0,MATCH(L$2,Inputs!$K$4:$AJ$4,0))))+SUMPRODUCT((Inputs!$C$5:$C$120=$B60)*ISNUMBER(INDEX(Inputs!$K$5:$AJ$120,0,MATCH(L$2,Inputs!$K$4:$AJ$4,0))))+SUMPRODUCT((Inputs!$E$5:$E$120=$B60)*ISNUMBER(INDEX(Inputs!$K$5:$AJ$120,0,MATCH(L$2,Inputs!$K$4:$AJ$4,0))))=0,NA(),SUMPRODUCT((Inputs!$A$5:$A$120=$B60)*Inputs!$B$5:$B$120*(((Inputs!$G$5:$G$120="moeda")+(Inputs!$G$5:$G$120="acoes"))*Inputs!$B$1+((Inputs!$G$5:$G$120&lt;&gt;"moeda")*(Inputs!$G$5:$G$120&lt;&gt;"acoes")))*INDEX(Inputs!$K$5:$AJ$120,0,MATCH(L$2,Inputs!$K$4:$AJ$4,0)))+SUMPRODUCT((Inputs!$C$5:$C$120=$B60)*Inputs!$D$5:$D$120*(((Inputs!$G$5:$G$120="moeda")+(Inputs!$G$5:$G$120="acoes"))*Inputs!$B$1+((Inputs!$G$5:$G$120&lt;&gt;"moeda")*(Inputs!$G$5:$G$120&lt;&gt;"acoes")))*INDEX(Inputs!$K$5:$AJ$120,0,MATCH(L$2,Inputs!$K$4:$AJ$4,0)))+SUMPRODUCT((Inputs!$E$5:$E$120=$B60)*Inputs!$F$5:$F$120*(((Inputs!$G$5:$G$120="moeda")+(Inputs!$G$5:$G$120="acoes"))*Inputs!$B$1+((Inputs!$G$5:$G$120&lt;&gt;"moeda")*(Inputs!$G$5:$G$120&lt;&gt;"acoes")))*INDEX(Inputs!$K$5:$AJ$120,0,MATCH(L$2,Inputs!$K$4:$AJ$4,0)))))</f>
        <v>3975.9</v>
      </c>
      <c r="M60" s="264">
        <f>SUM(I60:L60)</f>
        <v>14464.9</v>
      </c>
      <c r="N60" s="263">
        <f>IF(ISNA(MATCH(N$2,Inputs!$K$4:$AJ$4,0)),NA(),IF(SUMPRODUCT((Inputs!$A$5:$A$120=$B60)*ISNUMBER(INDEX(Inputs!$K$5:$AJ$120,0,MATCH(N$2,Inputs!$K$4:$AJ$4,0))))+SUMPRODUCT((Inputs!$C$5:$C$120=$B60)*ISNUMBER(INDEX(Inputs!$K$5:$AJ$120,0,MATCH(N$2,Inputs!$K$4:$AJ$4,0))))+SUMPRODUCT((Inputs!$E$5:$E$120=$B60)*ISNUMBER(INDEX(Inputs!$K$5:$AJ$120,0,MATCH(N$2,Inputs!$K$4:$AJ$4,0))))=0,NA(),SUMPRODUCT((Inputs!$A$5:$A$120=$B60)*Inputs!$B$5:$B$120*(((Inputs!$G$5:$G$120="moeda")+(Inputs!$G$5:$G$120="acoes"))*Inputs!$B$1+((Inputs!$G$5:$G$120&lt;&gt;"moeda")*(Inputs!$G$5:$G$120&lt;&gt;"acoes")))*INDEX(Inputs!$K$5:$AJ$120,0,MATCH(N$2,Inputs!$K$4:$AJ$4,0)))+SUMPRODUCT((Inputs!$C$5:$C$120=$B60)*Inputs!$D$5:$D$120*(((Inputs!$G$5:$G$120="moeda")+(Inputs!$G$5:$G$120="acoes"))*Inputs!$B$1+((Inputs!$G$5:$G$120&lt;&gt;"moeda")*(Inputs!$G$5:$G$120&lt;&gt;"acoes")))*INDEX(Inputs!$K$5:$AJ$120,0,MATCH(N$2,Inputs!$K$4:$AJ$4,0)))+SUMPRODUCT((Inputs!$E$5:$E$120=$B60)*Inputs!$F$5:$F$120*(((Inputs!$G$5:$G$120="moeda")+(Inputs!$G$5:$G$120="acoes"))*Inputs!$B$1+((Inputs!$G$5:$G$120&lt;&gt;"moeda")*(Inputs!$G$5:$G$120&lt;&gt;"acoes")))*INDEX(Inputs!$K$5:$AJ$120,0,MATCH(N$2,Inputs!$K$4:$AJ$4,0)))))</f>
        <v>4190.4</v>
      </c>
      <c r="O60" s="263">
        <f>IF(ISNA(MATCH(O$2,Inputs!$K$4:$AJ$4,0)),NA(),IF(SUMPRODUCT((Inputs!$A$5:$A$120=$B60)*ISNUMBER(INDEX(Inputs!$K$5:$AJ$120,0,MATCH(O$2,Inputs!$K$4:$AJ$4,0))))+SUMPRODUCT((Inputs!$C$5:$C$120=$B60)*ISNUMBER(INDEX(Inputs!$K$5:$AJ$120,0,MATCH(O$2,Inputs!$K$4:$AJ$4,0))))+SUMPRODUCT((Inputs!$E$5:$E$120=$B60)*ISNUMBER(INDEX(Inputs!$K$5:$AJ$120,0,MATCH(O$2,Inputs!$K$4:$AJ$4,0))))=0,NA(),SUMPRODUCT((Inputs!$A$5:$A$120=$B60)*Inputs!$B$5:$B$120*(((Inputs!$G$5:$G$120="moeda")+(Inputs!$G$5:$G$120="acoes"))*Inputs!$B$1+((Inputs!$G$5:$G$120&lt;&gt;"moeda")*(Inputs!$G$5:$G$120&lt;&gt;"acoes")))*INDEX(Inputs!$K$5:$AJ$120,0,MATCH(O$2,Inputs!$K$4:$AJ$4,0)))+SUMPRODUCT((Inputs!$C$5:$C$120=$B60)*Inputs!$D$5:$D$120*(((Inputs!$G$5:$G$120="moeda")+(Inputs!$G$5:$G$120="acoes"))*Inputs!$B$1+((Inputs!$G$5:$G$120&lt;&gt;"moeda")*(Inputs!$G$5:$G$120&lt;&gt;"acoes")))*INDEX(Inputs!$K$5:$AJ$120,0,MATCH(O$2,Inputs!$K$4:$AJ$4,0)))+SUMPRODUCT((Inputs!$E$5:$E$120=$B60)*Inputs!$F$5:$F$120*(((Inputs!$G$5:$G$120="moeda")+(Inputs!$G$5:$G$120="acoes"))*Inputs!$B$1+((Inputs!$G$5:$G$120&lt;&gt;"moeda")*(Inputs!$G$5:$G$120&lt;&gt;"acoes")))*INDEX(Inputs!$K$5:$AJ$120,0,MATCH(O$2,Inputs!$K$4:$AJ$4,0)))))</f>
        <v>5010.9</v>
      </c>
      <c r="P60" s="263">
        <f>IF(ISNA(MATCH(P$2,Inputs!$K$4:$AJ$4,0)),NA(),IF(SUMPRODUCT((Inputs!$A$5:$A$120=$B60)*ISNUMBER(INDEX(Inputs!$K$5:$AJ$120,0,MATCH(P$2,Inputs!$K$4:$AJ$4,0))))+SUMPRODUCT((Inputs!$C$5:$C$120=$B60)*ISNUMBER(INDEX(Inputs!$K$5:$AJ$120,0,MATCH(P$2,Inputs!$K$4:$AJ$4,0))))+SUMPRODUCT((Inputs!$E$5:$E$120=$B60)*ISNUMBER(INDEX(Inputs!$K$5:$AJ$120,0,MATCH(P$2,Inputs!$K$4:$AJ$4,0))))=0,NA(),SUMPRODUCT((Inputs!$A$5:$A$120=$B60)*Inputs!$B$5:$B$120*(((Inputs!$G$5:$G$120="moeda")+(Inputs!$G$5:$G$120="acoes"))*Inputs!$B$1+((Inputs!$G$5:$G$120&lt;&gt;"moeda")*(Inputs!$G$5:$G$120&lt;&gt;"acoes")))*INDEX(Inputs!$K$5:$AJ$120,0,MATCH(P$2,Inputs!$K$4:$AJ$4,0)))+SUMPRODUCT((Inputs!$C$5:$C$120=$B60)*Inputs!$D$5:$D$120*(((Inputs!$G$5:$G$120="moeda")+(Inputs!$G$5:$G$120="acoes"))*Inputs!$B$1+((Inputs!$G$5:$G$120&lt;&gt;"moeda")*(Inputs!$G$5:$G$120&lt;&gt;"acoes")))*INDEX(Inputs!$K$5:$AJ$120,0,MATCH(P$2,Inputs!$K$4:$AJ$4,0)))+SUMPRODUCT((Inputs!$E$5:$E$120=$B60)*Inputs!$F$5:$F$120*(((Inputs!$G$5:$G$120="moeda")+(Inputs!$G$5:$G$120="acoes"))*Inputs!$B$1+((Inputs!$G$5:$G$120&lt;&gt;"moeda")*(Inputs!$G$5:$G$120&lt;&gt;"acoes")))*INDEX(Inputs!$K$5:$AJ$120,0,MATCH(P$2,Inputs!$K$4:$AJ$4,0)))))</f>
        <v>4720.4</v>
      </c>
      <c r="Q60" s="263">
        <f>IF(ISNA(MATCH(Q$2,Inputs!$K$4:$AJ$4,0)),NA(),IF(SUMPRODUCT((Inputs!$A$5:$A$120=$B60)*ISNUMBER(INDEX(Inputs!$K$5:$AJ$120,0,MATCH(Q$2,Inputs!$K$4:$AJ$4,0))))+SUMPRODUCT((Inputs!$C$5:$C$120=$B60)*ISNUMBER(INDEX(Inputs!$K$5:$AJ$120,0,MATCH(Q$2,Inputs!$K$4:$AJ$4,0))))+SUMPRODUCT((Inputs!$E$5:$E$120=$B60)*ISNUMBER(INDEX(Inputs!$K$5:$AJ$120,0,MATCH(Q$2,Inputs!$K$4:$AJ$4,0))))=0,NA(),SUMPRODUCT((Inputs!$A$5:$A$120=$B60)*Inputs!$B$5:$B$120*(((Inputs!$G$5:$G$120="moeda")+(Inputs!$G$5:$G$120="acoes"))*Inputs!$B$1+((Inputs!$G$5:$G$120&lt;&gt;"moeda")*(Inputs!$G$5:$G$120&lt;&gt;"acoes")))*INDEX(Inputs!$K$5:$AJ$120,0,MATCH(Q$2,Inputs!$K$4:$AJ$4,0)))+SUMPRODUCT((Inputs!$C$5:$C$120=$B60)*Inputs!$D$5:$D$120*(((Inputs!$G$5:$G$120="moeda")+(Inputs!$G$5:$G$120="acoes"))*Inputs!$B$1+((Inputs!$G$5:$G$120&lt;&gt;"moeda")*(Inputs!$G$5:$G$120&lt;&gt;"acoes")))*INDEX(Inputs!$K$5:$AJ$120,0,MATCH(Q$2,Inputs!$K$4:$AJ$4,0)))+SUMPRODUCT((Inputs!$E$5:$E$120=$B60)*Inputs!$F$5:$F$120*(((Inputs!$G$5:$G$120="moeda")+(Inputs!$G$5:$G$120="acoes"))*Inputs!$B$1+((Inputs!$G$5:$G$120&lt;&gt;"moeda")*(Inputs!$G$5:$G$120&lt;&gt;"acoes")))*INDEX(Inputs!$K$5:$AJ$120,0,MATCH(Q$2,Inputs!$K$4:$AJ$4,0)))))</f>
        <v>5746</v>
      </c>
      <c r="R60" s="264">
        <f>SUM(N60:Q60)</f>
        <v>19667.7</v>
      </c>
      <c r="S60" s="263">
        <f>IF(ISNA(MATCH(S$2,Inputs!$K$4:$AJ$4,0)),NA(),IF(SUMPRODUCT((Inputs!$A$5:$A$120=$B60)*ISNUMBER(INDEX(Inputs!$K$5:$AJ$120,0,MATCH(S$2,Inputs!$K$4:$AJ$4,0))))+SUMPRODUCT((Inputs!$C$5:$C$120=$B60)*ISNUMBER(INDEX(Inputs!$K$5:$AJ$120,0,MATCH(S$2,Inputs!$K$4:$AJ$4,0))))+SUMPRODUCT((Inputs!$E$5:$E$120=$B60)*ISNUMBER(INDEX(Inputs!$K$5:$AJ$120,0,MATCH(S$2,Inputs!$K$4:$AJ$4,0))))=0,NA(),SUMPRODUCT((Inputs!$A$5:$A$120=$B60)*Inputs!$B$5:$B$120*(((Inputs!$G$5:$G$120="moeda")+(Inputs!$G$5:$G$120="acoes"))*Inputs!$B$1+((Inputs!$G$5:$G$120&lt;&gt;"moeda")*(Inputs!$G$5:$G$120&lt;&gt;"acoes")))*INDEX(Inputs!$K$5:$AJ$120,0,MATCH(S$2,Inputs!$K$4:$AJ$4,0)))+SUMPRODUCT((Inputs!$C$5:$C$120=$B60)*Inputs!$D$5:$D$120*(((Inputs!$G$5:$G$120="moeda")+(Inputs!$G$5:$G$120="acoes"))*Inputs!$B$1+((Inputs!$G$5:$G$120&lt;&gt;"moeda")*(Inputs!$G$5:$G$120&lt;&gt;"acoes")))*INDEX(Inputs!$K$5:$AJ$120,0,MATCH(S$2,Inputs!$K$4:$AJ$4,0)))+SUMPRODUCT((Inputs!$E$5:$E$120=$B60)*Inputs!$F$5:$F$120*(((Inputs!$G$5:$G$120="moeda")+(Inputs!$G$5:$G$120="acoes"))*Inputs!$B$1+((Inputs!$G$5:$G$120&lt;&gt;"moeda")*(Inputs!$G$5:$G$120&lt;&gt;"acoes")))*INDEX(Inputs!$K$5:$AJ$120,0,MATCH(S$2,Inputs!$K$4:$AJ$4,0)))))</f>
        <v>5493</v>
      </c>
      <c r="T60" s="263">
        <f>IF(ISNA(MATCH(T$2,Inputs!$K$4:$AJ$4,0)),NA(),IF(SUMPRODUCT((Inputs!$A$5:$A$120=$B60)*ISNUMBER(INDEX(Inputs!$K$5:$AJ$120,0,MATCH(T$2,Inputs!$K$4:$AJ$4,0))))+SUMPRODUCT((Inputs!$C$5:$C$120=$B60)*ISNUMBER(INDEX(Inputs!$K$5:$AJ$120,0,MATCH(T$2,Inputs!$K$4:$AJ$4,0))))+SUMPRODUCT((Inputs!$E$5:$E$120=$B60)*ISNUMBER(INDEX(Inputs!$K$5:$AJ$120,0,MATCH(T$2,Inputs!$K$4:$AJ$4,0))))=0,NA(),SUMPRODUCT((Inputs!$A$5:$A$120=$B60)*Inputs!$B$5:$B$120*(((Inputs!$G$5:$G$120="moeda")+(Inputs!$G$5:$G$120="acoes"))*Inputs!$B$1+((Inputs!$G$5:$G$120&lt;&gt;"moeda")*(Inputs!$G$5:$G$120&lt;&gt;"acoes")))*INDEX(Inputs!$K$5:$AJ$120,0,MATCH(T$2,Inputs!$K$4:$AJ$4,0)))+SUMPRODUCT((Inputs!$C$5:$C$120=$B60)*Inputs!$D$5:$D$120*(((Inputs!$G$5:$G$120="moeda")+(Inputs!$G$5:$G$120="acoes"))*Inputs!$B$1+((Inputs!$G$5:$G$120&lt;&gt;"moeda")*(Inputs!$G$5:$G$120&lt;&gt;"acoes")))*INDEX(Inputs!$K$5:$AJ$120,0,MATCH(T$2,Inputs!$K$4:$AJ$4,0)))+SUMPRODUCT((Inputs!$E$5:$E$120=$B60)*Inputs!$F$5:$F$120*(((Inputs!$G$5:$G$120="moeda")+(Inputs!$G$5:$G$120="acoes"))*Inputs!$B$1+((Inputs!$G$5:$G$120&lt;&gt;"moeda")*(Inputs!$G$5:$G$120&lt;&gt;"acoes")))*INDEX(Inputs!$K$5:$AJ$120,0,MATCH(T$2,Inputs!$K$4:$AJ$4,0)))))</f>
        <v>7514.6</v>
      </c>
      <c r="U60" s="263">
        <f>IF(ISNA(MATCH(U$2,Inputs!$K$4:$AJ$4,0)),NA(),IF(SUMPRODUCT((Inputs!$A$5:$A$120=$B60)*ISNUMBER(INDEX(Inputs!$K$5:$AJ$120,0,MATCH(U$2,Inputs!$K$4:$AJ$4,0))))+SUMPRODUCT((Inputs!$C$5:$C$120=$B60)*ISNUMBER(INDEX(Inputs!$K$5:$AJ$120,0,MATCH(U$2,Inputs!$K$4:$AJ$4,0))))+SUMPRODUCT((Inputs!$E$5:$E$120=$B60)*ISNUMBER(INDEX(Inputs!$K$5:$AJ$120,0,MATCH(U$2,Inputs!$K$4:$AJ$4,0))))=0,NA(),SUMPRODUCT((Inputs!$A$5:$A$120=$B60)*Inputs!$B$5:$B$120*(((Inputs!$G$5:$G$120="moeda")+(Inputs!$G$5:$G$120="acoes"))*Inputs!$B$1+((Inputs!$G$5:$G$120&lt;&gt;"moeda")*(Inputs!$G$5:$G$120&lt;&gt;"acoes")))*INDEX(Inputs!$K$5:$AJ$120,0,MATCH(U$2,Inputs!$K$4:$AJ$4,0)))+SUMPRODUCT((Inputs!$C$5:$C$120=$B60)*Inputs!$D$5:$D$120*(((Inputs!$G$5:$G$120="moeda")+(Inputs!$G$5:$G$120="acoes"))*Inputs!$B$1+((Inputs!$G$5:$G$120&lt;&gt;"moeda")*(Inputs!$G$5:$G$120&lt;&gt;"acoes")))*INDEX(Inputs!$K$5:$AJ$120,0,MATCH(U$2,Inputs!$K$4:$AJ$4,0)))+SUMPRODUCT((Inputs!$E$5:$E$120=$B60)*Inputs!$F$5:$F$120*(((Inputs!$G$5:$G$120="moeda")+(Inputs!$G$5:$G$120="acoes"))*Inputs!$B$1+((Inputs!$G$5:$G$120&lt;&gt;"moeda")*(Inputs!$G$5:$G$120&lt;&gt;"acoes")))*INDEX(Inputs!$K$5:$AJ$120,0,MATCH(U$2,Inputs!$K$4:$AJ$4,0)))))</f>
        <v>7407</v>
      </c>
      <c r="V60" s="263">
        <f>IF(ISNA(MATCH(V$2,Inputs!$K$4:$AJ$4,0)),NA(),IF(SUMPRODUCT((Inputs!$A$5:$A$120=$B60)*ISNUMBER(INDEX(Inputs!$K$5:$AJ$120,0,MATCH(V$2,Inputs!$K$4:$AJ$4,0))))+SUMPRODUCT((Inputs!$C$5:$C$120=$B60)*ISNUMBER(INDEX(Inputs!$K$5:$AJ$120,0,MATCH(V$2,Inputs!$K$4:$AJ$4,0))))+SUMPRODUCT((Inputs!$E$5:$E$120=$B60)*ISNUMBER(INDEX(Inputs!$K$5:$AJ$120,0,MATCH(V$2,Inputs!$K$4:$AJ$4,0))))=0,NA(),SUMPRODUCT((Inputs!$A$5:$A$120=$B60)*Inputs!$B$5:$B$120*(((Inputs!$G$5:$G$120="moeda")+(Inputs!$G$5:$G$120="acoes"))*Inputs!$B$1+((Inputs!$G$5:$G$120&lt;&gt;"moeda")*(Inputs!$G$5:$G$120&lt;&gt;"acoes")))*INDEX(Inputs!$K$5:$AJ$120,0,MATCH(V$2,Inputs!$K$4:$AJ$4,0)))+SUMPRODUCT((Inputs!$C$5:$C$120=$B60)*Inputs!$D$5:$D$120*(((Inputs!$G$5:$G$120="moeda")+(Inputs!$G$5:$G$120="acoes"))*Inputs!$B$1+((Inputs!$G$5:$G$120&lt;&gt;"moeda")*(Inputs!$G$5:$G$120&lt;&gt;"acoes")))*INDEX(Inputs!$K$5:$AJ$120,0,MATCH(V$2,Inputs!$K$4:$AJ$4,0)))+SUMPRODUCT((Inputs!$E$5:$E$120=$B60)*Inputs!$F$5:$F$120*(((Inputs!$G$5:$G$120="moeda")+(Inputs!$G$5:$G$120="acoes"))*Inputs!$B$1+((Inputs!$G$5:$G$120&lt;&gt;"moeda")*(Inputs!$G$5:$G$120&lt;&gt;"acoes")))*INDEX(Inputs!$K$5:$AJ$120,0,MATCH(V$2,Inputs!$K$4:$AJ$4,0)))))</f>
        <v>9106.3</v>
      </c>
      <c r="W60" s="264">
        <f>SUM(S60:V60)</f>
        <v>29520.9</v>
      </c>
      <c r="X60" s="263">
        <f>IF(ISNA(MATCH(X$2,Inputs!$K$4:$AJ$4,0)),NA(),IF(SUMPRODUCT((Inputs!$A$5:$A$120=$B60)*ISNUMBER(INDEX(Inputs!$K$5:$AJ$120,0,MATCH(X$2,Inputs!$K$4:$AJ$4,0))))+SUMPRODUCT((Inputs!$C$5:$C$120=$B60)*ISNUMBER(INDEX(Inputs!$K$5:$AJ$120,0,MATCH(X$2,Inputs!$K$4:$AJ$4,0))))+SUMPRODUCT((Inputs!$E$5:$E$120=$B60)*ISNUMBER(INDEX(Inputs!$K$5:$AJ$120,0,MATCH(X$2,Inputs!$K$4:$AJ$4,0))))=0,NA(),SUMPRODUCT((Inputs!$A$5:$A$120=$B60)*Inputs!$B$5:$B$120*(((Inputs!$G$5:$G$120="moeda")+(Inputs!$G$5:$G$120="acoes"))*Inputs!$B$1+((Inputs!$G$5:$G$120&lt;&gt;"moeda")*(Inputs!$G$5:$G$120&lt;&gt;"acoes")))*INDEX(Inputs!$K$5:$AJ$120,0,MATCH(X$2,Inputs!$K$4:$AJ$4,0)))+SUMPRODUCT((Inputs!$C$5:$C$120=$B60)*Inputs!$D$5:$D$120*(((Inputs!$G$5:$G$120="moeda")+(Inputs!$G$5:$G$120="acoes"))*Inputs!$B$1+((Inputs!$G$5:$G$120&lt;&gt;"moeda")*(Inputs!$G$5:$G$120&lt;&gt;"acoes")))*INDEX(Inputs!$K$5:$AJ$120,0,MATCH(X$2,Inputs!$K$4:$AJ$4,0)))+SUMPRODUCT((Inputs!$E$5:$E$120=$B60)*Inputs!$F$5:$F$120*(((Inputs!$G$5:$G$120="moeda")+(Inputs!$G$5:$G$120="acoes"))*Inputs!$B$1+((Inputs!$G$5:$G$120&lt;&gt;"moeda")*(Inputs!$G$5:$G$120&lt;&gt;"acoes")))*INDEX(Inputs!$K$5:$AJ$120,0,MATCH(X$2,Inputs!$K$4:$AJ$4,0)))))</f>
        <v>9208</v>
      </c>
      <c r="Y60" s="263">
        <f>IF(ISNA(MATCH(Y$2,Inputs!$K$4:$AJ$4,0)),NA(),IF(SUMPRODUCT((Inputs!$A$5:$A$120=$B60)*ISNUMBER(INDEX(Inputs!$K$5:$AJ$120,0,MATCH(Y$2,Inputs!$K$4:$AJ$4,0))))+SUMPRODUCT((Inputs!$C$5:$C$120=$B60)*ISNUMBER(INDEX(Inputs!$K$5:$AJ$120,0,MATCH(Y$2,Inputs!$K$4:$AJ$4,0))))+SUMPRODUCT((Inputs!$E$5:$E$120=$B60)*ISNUMBER(INDEX(Inputs!$K$5:$AJ$120,0,MATCH(Y$2,Inputs!$K$4:$AJ$4,0))))=0,NA(),SUMPRODUCT((Inputs!$A$5:$A$120=$B60)*Inputs!$B$5:$B$120*(((Inputs!$G$5:$G$120="moeda")+(Inputs!$G$5:$G$120="acoes"))*Inputs!$B$1+((Inputs!$G$5:$G$120&lt;&gt;"moeda")*(Inputs!$G$5:$G$120&lt;&gt;"acoes")))*INDEX(Inputs!$K$5:$AJ$120,0,MATCH(Y$2,Inputs!$K$4:$AJ$4,0)))+SUMPRODUCT((Inputs!$C$5:$C$120=$B60)*Inputs!$D$5:$D$120*(((Inputs!$G$5:$G$120="moeda")+(Inputs!$G$5:$G$120="acoes"))*Inputs!$B$1+((Inputs!$G$5:$G$120&lt;&gt;"moeda")*(Inputs!$G$5:$G$120&lt;&gt;"acoes")))*INDEX(Inputs!$K$5:$AJ$120,0,MATCH(Y$2,Inputs!$K$4:$AJ$4,0)))+SUMPRODUCT((Inputs!$E$5:$E$120=$B60)*Inputs!$F$5:$F$120*(((Inputs!$G$5:$G$120="moeda")+(Inputs!$G$5:$G$120="acoes"))*Inputs!$B$1+((Inputs!$G$5:$G$120&lt;&gt;"moeda")*(Inputs!$G$5:$G$120&lt;&gt;"acoes")))*INDEX(Inputs!$K$5:$AJ$120,0,MATCH(Y$2,Inputs!$K$4:$AJ$4,0)))))</f>
        <v>11343</v>
      </c>
      <c r="Z60" s="263">
        <f>IF(ISNA(MATCH(Z$2,Inputs!$K$4:$AJ$4,0)),NA(),IF(SUMPRODUCT((Inputs!$A$5:$A$120=$B60)*ISNUMBER(INDEX(Inputs!$K$5:$AJ$120,0,MATCH(Z$2,Inputs!$K$4:$AJ$4,0))))+SUMPRODUCT((Inputs!$C$5:$C$120=$B60)*ISNUMBER(INDEX(Inputs!$K$5:$AJ$120,0,MATCH(Z$2,Inputs!$K$4:$AJ$4,0))))+SUMPRODUCT((Inputs!$E$5:$E$120=$B60)*ISNUMBER(INDEX(Inputs!$K$5:$AJ$120,0,MATCH(Z$2,Inputs!$K$4:$AJ$4,0))))=0,NA(),SUMPRODUCT((Inputs!$A$5:$A$120=$B60)*Inputs!$B$5:$B$120*(((Inputs!$G$5:$G$120="moeda")+(Inputs!$G$5:$G$120="acoes"))*Inputs!$B$1+((Inputs!$G$5:$G$120&lt;&gt;"moeda")*(Inputs!$G$5:$G$120&lt;&gt;"acoes")))*INDEX(Inputs!$K$5:$AJ$120,0,MATCH(Z$2,Inputs!$K$4:$AJ$4,0)))+SUMPRODUCT((Inputs!$C$5:$C$120=$B60)*Inputs!$D$5:$D$120*(((Inputs!$G$5:$G$120="moeda")+(Inputs!$G$5:$G$120="acoes"))*Inputs!$B$1+((Inputs!$G$5:$G$120&lt;&gt;"moeda")*(Inputs!$G$5:$G$120&lt;&gt;"acoes")))*INDEX(Inputs!$K$5:$AJ$120,0,MATCH(Z$2,Inputs!$K$4:$AJ$4,0)))+SUMPRODUCT((Inputs!$E$5:$E$120=$B60)*Inputs!$F$5:$F$120*(((Inputs!$G$5:$G$120="moeda")+(Inputs!$G$5:$G$120="acoes"))*Inputs!$B$1+((Inputs!$G$5:$G$120&lt;&gt;"moeda")*(Inputs!$G$5:$G$120&lt;&gt;"acoes")))*INDEX(Inputs!$K$5:$AJ$120,0,MATCH(Z$2,Inputs!$K$4:$AJ$4,0)))))</f>
        <v>13177.9</v>
      </c>
      <c r="AA60" s="263">
        <f>IF(ISNA(MATCH(AA$2,Inputs!$K$4:$AJ$4,0)),NA(),IF(SUMPRODUCT((Inputs!$A$5:$A$120=$B60)*ISNUMBER(INDEX(Inputs!$K$5:$AJ$120,0,MATCH(AA$2,Inputs!$K$4:$AJ$4,0))))+SUMPRODUCT((Inputs!$C$5:$C$120=$B60)*ISNUMBER(INDEX(Inputs!$K$5:$AJ$120,0,MATCH(AA$2,Inputs!$K$4:$AJ$4,0))))+SUMPRODUCT((Inputs!$E$5:$E$120=$B60)*ISNUMBER(INDEX(Inputs!$K$5:$AJ$120,0,MATCH(AA$2,Inputs!$K$4:$AJ$4,0))))=0,NA(),SUMPRODUCT((Inputs!$A$5:$A$120=$B60)*Inputs!$B$5:$B$120*(((Inputs!$G$5:$G$120="moeda")+(Inputs!$G$5:$G$120="acoes"))*Inputs!$B$1+((Inputs!$G$5:$G$120&lt;&gt;"moeda")*(Inputs!$G$5:$G$120&lt;&gt;"acoes")))*INDEX(Inputs!$K$5:$AJ$120,0,MATCH(AA$2,Inputs!$K$4:$AJ$4,0)))+SUMPRODUCT((Inputs!$C$5:$C$120=$B60)*Inputs!$D$5:$D$120*(((Inputs!$G$5:$G$120="moeda")+(Inputs!$G$5:$G$120="acoes"))*Inputs!$B$1+((Inputs!$G$5:$G$120&lt;&gt;"moeda")*(Inputs!$G$5:$G$120&lt;&gt;"acoes")))*INDEX(Inputs!$K$5:$AJ$120,0,MATCH(AA$2,Inputs!$K$4:$AJ$4,0)))+SUMPRODUCT((Inputs!$E$5:$E$120=$B60)*Inputs!$F$5:$F$120*(((Inputs!$G$5:$G$120="moeda")+(Inputs!$G$5:$G$120="acoes"))*Inputs!$B$1+((Inputs!$G$5:$G$120&lt;&gt;"moeda")*(Inputs!$G$5:$G$120&lt;&gt;"acoes")))*INDEX(Inputs!$K$5:$AJ$120,0,MATCH(AA$2,Inputs!$K$4:$AJ$4,0)))))</f>
        <v>14492.2</v>
      </c>
      <c r="AB60" s="264">
        <f>SUM(X60:AA60)</f>
        <v>48221.1</v>
      </c>
      <c r="AC60" s="263">
        <f>IF(ISNA(MATCH(AC$2,Inputs!$K$4:$AJ$4,0)),NA(),IF(SUMPRODUCT((Inputs!$A$5:$A$120=$B60)*ISNUMBER(INDEX(Inputs!$K$5:$AJ$120,0,MATCH(AC$2,Inputs!$K$4:$AJ$4,0))))+SUMPRODUCT((Inputs!$C$5:$C$120=$B60)*ISNUMBER(INDEX(Inputs!$K$5:$AJ$120,0,MATCH(AC$2,Inputs!$K$4:$AJ$4,0))))+SUMPRODUCT((Inputs!$E$5:$E$120=$B60)*ISNUMBER(INDEX(Inputs!$K$5:$AJ$120,0,MATCH(AC$2,Inputs!$K$4:$AJ$4,0))))=0,NA(),SUMPRODUCT((Inputs!$A$5:$A$120=$B60)*Inputs!$B$5:$B$120*(((Inputs!$G$5:$G$120="moeda")+(Inputs!$G$5:$G$120="acoes"))*Inputs!$B$1+((Inputs!$G$5:$G$120&lt;&gt;"moeda")*(Inputs!$G$5:$G$120&lt;&gt;"acoes")))*INDEX(Inputs!$K$5:$AJ$120,0,MATCH(AC$2,Inputs!$K$4:$AJ$4,0)))+SUMPRODUCT((Inputs!$C$5:$C$120=$B60)*Inputs!$D$5:$D$120*(((Inputs!$G$5:$G$120="moeda")+(Inputs!$G$5:$G$120="acoes"))*Inputs!$B$1+((Inputs!$G$5:$G$120&lt;&gt;"moeda")*(Inputs!$G$5:$G$120&lt;&gt;"acoes")))*INDEX(Inputs!$K$5:$AJ$120,0,MATCH(AC$2,Inputs!$K$4:$AJ$4,0)))+SUMPRODUCT((Inputs!$E$5:$E$120=$B60)*Inputs!$F$5:$F$120*(((Inputs!$G$5:$G$120="moeda")+(Inputs!$G$5:$G$120="acoes"))*Inputs!$B$1+((Inputs!$G$5:$G$120&lt;&gt;"moeda")*(Inputs!$G$5:$G$120&lt;&gt;"acoes")))*INDEX(Inputs!$K$5:$AJ$120,0,MATCH(AC$2,Inputs!$K$4:$AJ$4,0)))))</f>
        <v>15760</v>
      </c>
      <c r="AD60" s="263">
        <f>IF(ISNA(MATCH(AD$2,Inputs!$K$4:$AJ$4,0)),NA(),IF(SUMPRODUCT((Inputs!$A$5:$A$120=$B60)*ISNUMBER(INDEX(Inputs!$K$5:$AJ$120,0,MATCH(AD$2,Inputs!$K$4:$AJ$4,0))))+SUMPRODUCT((Inputs!$C$5:$C$120=$B60)*ISNUMBER(INDEX(Inputs!$K$5:$AJ$120,0,MATCH(AD$2,Inputs!$K$4:$AJ$4,0))))+SUMPRODUCT((Inputs!$E$5:$E$120=$B60)*ISNUMBER(INDEX(Inputs!$K$5:$AJ$120,0,MATCH(AD$2,Inputs!$K$4:$AJ$4,0))))=0,NA(),SUMPRODUCT((Inputs!$A$5:$A$120=$B60)*Inputs!$B$5:$B$120*(((Inputs!$G$5:$G$120="moeda")+(Inputs!$G$5:$G$120="acoes"))*Inputs!$B$1+((Inputs!$G$5:$G$120&lt;&gt;"moeda")*(Inputs!$G$5:$G$120&lt;&gt;"acoes")))*INDEX(Inputs!$K$5:$AJ$120,0,MATCH(AD$2,Inputs!$K$4:$AJ$4,0)))+SUMPRODUCT((Inputs!$C$5:$C$120=$B60)*Inputs!$D$5:$D$120*(((Inputs!$G$5:$G$120="moeda")+(Inputs!$G$5:$G$120="acoes"))*Inputs!$B$1+((Inputs!$G$5:$G$120&lt;&gt;"moeda")*(Inputs!$G$5:$G$120&lt;&gt;"acoes")))*INDEX(Inputs!$K$5:$AJ$120,0,MATCH(AD$2,Inputs!$K$4:$AJ$4,0)))+SUMPRODUCT((Inputs!$E$5:$E$120=$B60)*Inputs!$F$5:$F$120*(((Inputs!$G$5:$G$120="moeda")+(Inputs!$G$5:$G$120="acoes"))*Inputs!$B$1+((Inputs!$G$5:$G$120&lt;&gt;"moeda")*(Inputs!$G$5:$G$120&lt;&gt;"acoes")))*INDEX(Inputs!$K$5:$AJ$120,0,MATCH(AD$2,Inputs!$K$4:$AJ$4,0)))))</f>
        <v>18353</v>
      </c>
      <c r="AE60" s="263" t="e">
        <f>IF(ISNA(MATCH(AE$2,Inputs!$K$4:$AJ$4,0)),NA(),IF(SUMPRODUCT((Inputs!$A$5:$A$120=$B60)*ISNUMBER(INDEX(Inputs!$K$5:$AJ$120,0,MATCH(AE$2,Inputs!$K$4:$AJ$4,0))))+SUMPRODUCT((Inputs!$C$5:$C$120=$B60)*ISNUMBER(INDEX(Inputs!$K$5:$AJ$120,0,MATCH(AE$2,Inputs!$K$4:$AJ$4,0))))+SUMPRODUCT((Inputs!$E$5:$E$120=$B60)*ISNUMBER(INDEX(Inputs!$K$5:$AJ$120,0,MATCH(AE$2,Inputs!$K$4:$AJ$4,0))))=0,NA(),SUMPRODUCT((Inputs!$A$5:$A$120=$B60)*Inputs!$B$5:$B$120*(((Inputs!$G$5:$G$120="moeda")+(Inputs!$G$5:$G$120="acoes"))*Inputs!$B$1+((Inputs!$G$5:$G$120&lt;&gt;"moeda")*(Inputs!$G$5:$G$120&lt;&gt;"acoes")))*INDEX(Inputs!$K$5:$AJ$120,0,MATCH(AE$2,Inputs!$K$4:$AJ$4,0)))+SUMPRODUCT((Inputs!$C$5:$C$120=$B60)*Inputs!$D$5:$D$120*(((Inputs!$G$5:$G$120="moeda")+(Inputs!$G$5:$G$120="acoes"))*Inputs!$B$1+((Inputs!$G$5:$G$120&lt;&gt;"moeda")*(Inputs!$G$5:$G$120&lt;&gt;"acoes")))*INDEX(Inputs!$K$5:$AJ$120,0,MATCH(AE$2,Inputs!$K$4:$AJ$4,0)))+SUMPRODUCT((Inputs!$E$5:$E$120=$B60)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0" s="263" t="e">
        <f>IF(ISNA(MATCH(AF$2,Inputs!$K$4:$AJ$4,0)),NA(),IF(SUMPRODUCT((Inputs!$A$5:$A$120=$B60)*ISNUMBER(INDEX(Inputs!$K$5:$AJ$120,0,MATCH(AF$2,Inputs!$K$4:$AJ$4,0))))+SUMPRODUCT((Inputs!$C$5:$C$120=$B60)*ISNUMBER(INDEX(Inputs!$K$5:$AJ$120,0,MATCH(AF$2,Inputs!$K$4:$AJ$4,0))))+SUMPRODUCT((Inputs!$E$5:$E$120=$B60)*ISNUMBER(INDEX(Inputs!$K$5:$AJ$120,0,MATCH(AF$2,Inputs!$K$4:$AJ$4,0))))=0,NA(),SUMPRODUCT((Inputs!$A$5:$A$120=$B60)*Inputs!$B$5:$B$120*(((Inputs!$G$5:$G$120="moeda")+(Inputs!$G$5:$G$120="acoes"))*Inputs!$B$1+((Inputs!$G$5:$G$120&lt;&gt;"moeda")*(Inputs!$G$5:$G$120&lt;&gt;"acoes")))*INDEX(Inputs!$K$5:$AJ$120,0,MATCH(AF$2,Inputs!$K$4:$AJ$4,0)))+SUMPRODUCT((Inputs!$C$5:$C$120=$B60)*Inputs!$D$5:$D$120*(((Inputs!$G$5:$G$120="moeda")+(Inputs!$G$5:$G$120="acoes"))*Inputs!$B$1+((Inputs!$G$5:$G$120&lt;&gt;"moeda")*(Inputs!$G$5:$G$120&lt;&gt;"acoes")))*INDEX(Inputs!$K$5:$AJ$120,0,MATCH(AF$2,Inputs!$K$4:$AJ$4,0)))+SUMPRODUCT((Inputs!$E$5:$E$120=$B60)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0" s="264" t="e">
        <f>SUM(AC60:AF60)</f>
        <v>#N/A</v>
      </c>
      <c r="AH60" s="263">
        <f>IF(ISNA(MATCH(AH$2,Inputs!$K$4:$AJ$4,0)),NA(),IF(SUMPRODUCT((Inputs!$A$5:$A$120=$B60)*ISNUMBER(INDEX(Inputs!$K$5:$AJ$120,0,MATCH(AH$2,Inputs!$K$4:$AJ$4,0))))+SUMPRODUCT((Inputs!$C$5:$C$120=$B60)*ISNUMBER(INDEX(Inputs!$K$5:$AJ$120,0,MATCH(AH$2,Inputs!$K$4:$AJ$4,0))))+SUMPRODUCT((Inputs!$E$5:$E$120=$B60)*ISNUMBER(INDEX(Inputs!$K$5:$AJ$120,0,MATCH(AH$2,Inputs!$K$4:$AJ$4,0))))=0,NA(),SUMPRODUCT((Inputs!$A$5:$A$120=$B60)*Inputs!$B$5:$B$120*(((Inputs!$G$5:$G$120="moeda")+(Inputs!$G$5:$G$120="acoes"))*Inputs!$B$1+((Inputs!$G$5:$G$120&lt;&gt;"moeda")*(Inputs!$G$5:$G$120&lt;&gt;"acoes")))*INDEX(Inputs!$K$5:$AJ$120,0,MATCH(AH$2,Inputs!$K$4:$AJ$4,0)))+SUMPRODUCT((Inputs!$C$5:$C$120=$B60)*Inputs!$D$5:$D$120*(((Inputs!$G$5:$G$120="moeda")+(Inputs!$G$5:$G$120="acoes"))*Inputs!$B$1+((Inputs!$G$5:$G$120&lt;&gt;"moeda")*(Inputs!$G$5:$G$120&lt;&gt;"acoes")))*INDEX(Inputs!$K$5:$AJ$120,0,MATCH(AH$2,Inputs!$K$4:$AJ$4,0)))+SUMPRODUCT((Inputs!$E$5:$E$120=$B60)*Inputs!$F$5:$F$120*(((Inputs!$G$5:$G$120="moeda")+(Inputs!$G$5:$G$120="acoes"))*Inputs!$B$1+((Inputs!$G$5:$G$120&lt;&gt;"moeda")*(Inputs!$G$5:$G$120&lt;&gt;"acoes")))*INDEX(Inputs!$K$5:$AJ$120,0,MATCH(AH$2,Inputs!$K$4:$AJ$4,0)))))</f>
        <v>2968.9</v>
      </c>
      <c r="AI60" s="263">
        <f>IF(ISNA(MATCH(AI$2,Inputs!$K$4:$AJ$4,0)),NA(),IF(SUMPRODUCT((Inputs!$A$5:$A$120=$B60)*ISNUMBER(INDEX(Inputs!$K$5:$AJ$120,0,MATCH(AI$2,Inputs!$K$4:$AJ$4,0))))+SUMPRODUCT((Inputs!$C$5:$C$120=$B60)*ISNUMBER(INDEX(Inputs!$K$5:$AJ$120,0,MATCH(AI$2,Inputs!$K$4:$AJ$4,0))))+SUMPRODUCT((Inputs!$E$5:$E$120=$B60)*ISNUMBER(INDEX(Inputs!$K$5:$AJ$120,0,MATCH(AI$2,Inputs!$K$4:$AJ$4,0))))=0,NA(),SUMPRODUCT((Inputs!$A$5:$A$120=$B60)*Inputs!$B$5:$B$120*(((Inputs!$G$5:$G$120="moeda")+(Inputs!$G$5:$G$120="acoes"))*Inputs!$B$1+((Inputs!$G$5:$G$120&lt;&gt;"moeda")*(Inputs!$G$5:$G$120&lt;&gt;"acoes")))*INDEX(Inputs!$K$5:$AJ$120,0,MATCH(AI$2,Inputs!$K$4:$AJ$4,0)))+SUMPRODUCT((Inputs!$C$5:$C$120=$B60)*Inputs!$D$5:$D$120*(((Inputs!$G$5:$G$120="moeda")+(Inputs!$G$5:$G$120="acoes"))*Inputs!$B$1+((Inputs!$G$5:$G$120&lt;&gt;"moeda")*(Inputs!$G$5:$G$120&lt;&gt;"acoes")))*INDEX(Inputs!$K$5:$AJ$120,0,MATCH(AI$2,Inputs!$K$4:$AJ$4,0)))+SUMPRODUCT((Inputs!$E$5:$E$120=$B60)*Inputs!$F$5:$F$120*(((Inputs!$G$5:$G$120="moeda")+(Inputs!$G$5:$G$120="acoes"))*Inputs!$B$1+((Inputs!$G$5:$G$120&lt;&gt;"moeda")*(Inputs!$G$5:$G$120&lt;&gt;"acoes")))*INDEX(Inputs!$K$5:$AJ$120,0,MATCH(AI$2,Inputs!$K$4:$AJ$4,0)))))</f>
        <v>2779</v>
      </c>
      <c r="AJ60" s="263">
        <f>IF(ISNA(MATCH(AJ$2,Inputs!$K$4:$AJ$4,0)),NA(),IF(SUMPRODUCT((Inputs!$A$5:$A$120=$B60)*ISNUMBER(INDEX(Inputs!$K$5:$AJ$120,0,MATCH(AJ$2,Inputs!$K$4:$AJ$4,0))))+SUMPRODUCT((Inputs!$C$5:$C$120=$B60)*ISNUMBER(INDEX(Inputs!$K$5:$AJ$120,0,MATCH(AJ$2,Inputs!$K$4:$AJ$4,0))))+SUMPRODUCT((Inputs!$E$5:$E$120=$B60)*ISNUMBER(INDEX(Inputs!$K$5:$AJ$120,0,MATCH(AJ$2,Inputs!$K$4:$AJ$4,0))))=0,NA(),SUMPRODUCT((Inputs!$A$5:$A$120=$B60)*Inputs!$B$5:$B$120*(((Inputs!$G$5:$G$120="moeda")+(Inputs!$G$5:$G$120="acoes"))*Inputs!$B$1+((Inputs!$G$5:$G$120&lt;&gt;"moeda")*(Inputs!$G$5:$G$120&lt;&gt;"acoes")))*INDEX(Inputs!$K$5:$AJ$120,0,MATCH(AJ$2,Inputs!$K$4:$AJ$4,0)))+SUMPRODUCT((Inputs!$C$5:$C$120=$B60)*Inputs!$D$5:$D$120*(((Inputs!$G$5:$G$120="moeda")+(Inputs!$G$5:$G$120="acoes"))*Inputs!$B$1+((Inputs!$G$5:$G$120&lt;&gt;"moeda")*(Inputs!$G$5:$G$120&lt;&gt;"acoes")))*INDEX(Inputs!$K$5:$AJ$120,0,MATCH(AJ$2,Inputs!$K$4:$AJ$4,0)))+SUMPRODUCT((Inputs!$E$5:$E$120=$B60)*Inputs!$F$5:$F$120*(((Inputs!$G$5:$G$120="moeda")+(Inputs!$G$5:$G$120="acoes"))*Inputs!$B$1+((Inputs!$G$5:$G$120&lt;&gt;"moeda")*(Inputs!$G$5:$G$120&lt;&gt;"acoes")))*INDEX(Inputs!$K$5:$AJ$120,0,MATCH(AJ$2,Inputs!$K$4:$AJ$4,0)))))</f>
        <v>2783</v>
      </c>
      <c r="AK60" s="263">
        <f>IF(ISNA(MATCH(AK$2,Inputs!$K$4:$AJ$4,0)),NA(),IF(SUMPRODUCT((Inputs!$A$5:$A$120=$B60)*ISNUMBER(INDEX(Inputs!$K$5:$AJ$120,0,MATCH(AK$2,Inputs!$K$4:$AJ$4,0))))+SUMPRODUCT((Inputs!$C$5:$C$120=$B60)*ISNUMBER(INDEX(Inputs!$K$5:$AJ$120,0,MATCH(AK$2,Inputs!$K$4:$AJ$4,0))))+SUMPRODUCT((Inputs!$E$5:$E$120=$B60)*ISNUMBER(INDEX(Inputs!$K$5:$AJ$120,0,MATCH(AK$2,Inputs!$K$4:$AJ$4,0))))=0,NA(),SUMPRODUCT((Inputs!$A$5:$A$120=$B60)*Inputs!$B$5:$B$120*(((Inputs!$G$5:$G$120="moeda")+(Inputs!$G$5:$G$120="acoes"))*Inputs!$B$1+((Inputs!$G$5:$G$120&lt;&gt;"moeda")*(Inputs!$G$5:$G$120&lt;&gt;"acoes")))*INDEX(Inputs!$K$5:$AJ$120,0,MATCH(AK$2,Inputs!$K$4:$AJ$4,0)))+SUMPRODUCT((Inputs!$C$5:$C$120=$B60)*Inputs!$D$5:$D$120*(((Inputs!$G$5:$G$120="moeda")+(Inputs!$G$5:$G$120="acoes"))*Inputs!$B$1+((Inputs!$G$5:$G$120&lt;&gt;"moeda")*(Inputs!$G$5:$G$120&lt;&gt;"acoes")))*INDEX(Inputs!$K$5:$AJ$120,0,MATCH(AK$2,Inputs!$K$4:$AJ$4,0)))+SUMPRODUCT((Inputs!$E$5:$E$120=$B60)*Inputs!$F$5:$F$120*(((Inputs!$G$5:$G$120="moeda")+(Inputs!$G$5:$G$120="acoes"))*Inputs!$B$1+((Inputs!$G$5:$G$120&lt;&gt;"moeda")*(Inputs!$G$5:$G$120&lt;&gt;"acoes")))*INDEX(Inputs!$K$5:$AJ$120,0,MATCH(AK$2,Inputs!$K$4:$AJ$4,0)))))</f>
        <v>3303.4</v>
      </c>
      <c r="AL60" s="264">
        <f>SUM(AH60:AK60)</f>
        <v>11834.3</v>
      </c>
    </row>
    <row r="61">
      <c r="B61" s="46" t="n">
        <v>53</v>
      </c>
      <c r="C61" s="29" t="inlineStr">
        <is>
          <t>Oncologia - receita (USD)</t>
        </is>
      </c>
      <c r="D61" s="263">
        <f>IF(ISNA(MATCH(D$2,Inputs!$K$4:$AJ$4,0)),NA(),IF(SUMPRODUCT((Inputs!$A$5:$A$120=$B61)*ISNUMBER(INDEX(Inputs!$K$5:$AJ$120,0,MATCH(D$2,Inputs!$K$4:$AJ$4,0))))+SUMPRODUCT((Inputs!$C$5:$C$120=$B61)*ISNUMBER(INDEX(Inputs!$K$5:$AJ$120,0,MATCH(D$2,Inputs!$K$4:$AJ$4,0))))+SUMPRODUCT((Inputs!$E$5:$E$120=$B61)*ISNUMBER(INDEX(Inputs!$K$5:$AJ$120,0,MATCH(D$2,Inputs!$K$4:$AJ$4,0))))=0,NA(),SUMPRODUCT((Inputs!$A$5:$A$120=$B61)*Inputs!$B$5:$B$120*(((Inputs!$G$5:$G$120="moeda")+(Inputs!$G$5:$G$120="acoes"))*Inputs!$B$1+((Inputs!$G$5:$G$120&lt;&gt;"moeda")*(Inputs!$G$5:$G$120&lt;&gt;"acoes")))*INDEX(Inputs!$K$5:$AJ$120,0,MATCH(D$2,Inputs!$K$4:$AJ$4,0)))+SUMPRODUCT((Inputs!$C$5:$C$120=$B61)*Inputs!$D$5:$D$120*(((Inputs!$G$5:$G$120="moeda")+(Inputs!$G$5:$G$120="acoes"))*Inputs!$B$1+((Inputs!$G$5:$G$120&lt;&gt;"moeda")*(Inputs!$G$5:$G$120&lt;&gt;"acoes")))*INDEX(Inputs!$K$5:$AJ$120,0,MATCH(D$2,Inputs!$K$4:$AJ$4,0)))+SUMPRODUCT((Inputs!$E$5:$E$120=$B61)*Inputs!$F$5:$F$120*(((Inputs!$G$5:$G$120="moeda")+(Inputs!$G$5:$G$120="acoes"))*Inputs!$B$1+((Inputs!$G$5:$G$120&lt;&gt;"moeda")*(Inputs!$G$5:$G$120&lt;&gt;"acoes")))*INDEX(Inputs!$K$5:$AJ$120,0,MATCH(D$2,Inputs!$K$4:$AJ$4,0)))))</f>
        <v>1372.2</v>
      </c>
      <c r="E61" s="263">
        <f>IF(ISNA(MATCH(E$2,Inputs!$K$4:$AJ$4,0)),NA(),IF(SUMPRODUCT((Inputs!$A$5:$A$120=$B61)*ISNUMBER(INDEX(Inputs!$K$5:$AJ$120,0,MATCH(E$2,Inputs!$K$4:$AJ$4,0))))+SUMPRODUCT((Inputs!$C$5:$C$120=$B61)*ISNUMBER(INDEX(Inputs!$K$5:$AJ$120,0,MATCH(E$2,Inputs!$K$4:$AJ$4,0))))+SUMPRODUCT((Inputs!$E$5:$E$120=$B61)*ISNUMBER(INDEX(Inputs!$K$5:$AJ$120,0,MATCH(E$2,Inputs!$K$4:$AJ$4,0))))=0,NA(),SUMPRODUCT((Inputs!$A$5:$A$120=$B61)*Inputs!$B$5:$B$120*(((Inputs!$G$5:$G$120="moeda")+(Inputs!$G$5:$G$120="acoes"))*Inputs!$B$1+((Inputs!$G$5:$G$120&lt;&gt;"moeda")*(Inputs!$G$5:$G$120&lt;&gt;"acoes")))*INDEX(Inputs!$K$5:$AJ$120,0,MATCH(E$2,Inputs!$K$4:$AJ$4,0)))+SUMPRODUCT((Inputs!$C$5:$C$120=$B61)*Inputs!$D$5:$D$120*(((Inputs!$G$5:$G$120="moeda")+(Inputs!$G$5:$G$120="acoes"))*Inputs!$B$1+((Inputs!$G$5:$G$120&lt;&gt;"moeda")*(Inputs!$G$5:$G$120&lt;&gt;"acoes")))*INDEX(Inputs!$K$5:$AJ$120,0,MATCH(E$2,Inputs!$K$4:$AJ$4,0)))+SUMPRODUCT((Inputs!$E$5:$E$120=$B61)*Inputs!$F$5:$F$120*(((Inputs!$G$5:$G$120="moeda")+(Inputs!$G$5:$G$120="acoes"))*Inputs!$B$1+((Inputs!$G$5:$G$120&lt;&gt;"moeda")*(Inputs!$G$5:$G$120&lt;&gt;"acoes")))*INDEX(Inputs!$K$5:$AJ$120,0,MATCH(E$2,Inputs!$K$4:$AJ$4,0)))))</f>
        <v>1554</v>
      </c>
      <c r="F61" s="263">
        <f>IF(ISNA(MATCH(F$2,Inputs!$K$4:$AJ$4,0)),NA(),IF(SUMPRODUCT((Inputs!$A$5:$A$120=$B61)*ISNUMBER(INDEX(Inputs!$K$5:$AJ$120,0,MATCH(F$2,Inputs!$K$4:$AJ$4,0))))+SUMPRODUCT((Inputs!$C$5:$C$120=$B61)*ISNUMBER(INDEX(Inputs!$K$5:$AJ$120,0,MATCH(F$2,Inputs!$K$4:$AJ$4,0))))+SUMPRODUCT((Inputs!$E$5:$E$120=$B61)*ISNUMBER(INDEX(Inputs!$K$5:$AJ$120,0,MATCH(F$2,Inputs!$K$4:$AJ$4,0))))=0,NA(),SUMPRODUCT((Inputs!$A$5:$A$120=$B61)*Inputs!$B$5:$B$120*(((Inputs!$G$5:$G$120="moeda")+(Inputs!$G$5:$G$120="acoes"))*Inputs!$B$1+((Inputs!$G$5:$G$120&lt;&gt;"moeda")*(Inputs!$G$5:$G$120&lt;&gt;"acoes")))*INDEX(Inputs!$K$5:$AJ$120,0,MATCH(F$2,Inputs!$K$4:$AJ$4,0)))+SUMPRODUCT((Inputs!$C$5:$C$120=$B61)*Inputs!$D$5:$D$120*(((Inputs!$G$5:$G$120="moeda")+(Inputs!$G$5:$G$120="acoes"))*Inputs!$B$1+((Inputs!$G$5:$G$120&lt;&gt;"moeda")*(Inputs!$G$5:$G$120&lt;&gt;"acoes")))*INDEX(Inputs!$K$5:$AJ$120,0,MATCH(F$2,Inputs!$K$4:$AJ$4,0)))+SUMPRODUCT((Inputs!$E$5:$E$120=$B61)*Inputs!$F$5:$F$120*(((Inputs!$G$5:$G$120="moeda")+(Inputs!$G$5:$G$120="acoes"))*Inputs!$B$1+((Inputs!$G$5:$G$120&lt;&gt;"moeda")*(Inputs!$G$5:$G$120&lt;&gt;"acoes")))*INDEX(Inputs!$K$5:$AJ$120,0,MATCH(F$2,Inputs!$K$4:$AJ$4,0)))))</f>
        <v>1406.1</v>
      </c>
      <c r="G61" s="263">
        <f>IF(ISNA(MATCH(G$2,Inputs!$K$4:$AJ$4,0)),NA(),IF(SUMPRODUCT((Inputs!$A$5:$A$120=$B61)*ISNUMBER(INDEX(Inputs!$K$5:$AJ$120,0,MATCH(G$2,Inputs!$K$4:$AJ$4,0))))+SUMPRODUCT((Inputs!$C$5:$C$120=$B61)*ISNUMBER(INDEX(Inputs!$K$5:$AJ$120,0,MATCH(G$2,Inputs!$K$4:$AJ$4,0))))+SUMPRODUCT((Inputs!$E$5:$E$120=$B61)*ISNUMBER(INDEX(Inputs!$K$5:$AJ$120,0,MATCH(G$2,Inputs!$K$4:$AJ$4,0))))=0,NA(),SUMPRODUCT((Inputs!$A$5:$A$120=$B61)*Inputs!$B$5:$B$120*(((Inputs!$G$5:$G$120="moeda")+(Inputs!$G$5:$G$120="acoes"))*Inputs!$B$1+((Inputs!$G$5:$G$120&lt;&gt;"moeda")*(Inputs!$G$5:$G$120&lt;&gt;"acoes")))*INDEX(Inputs!$K$5:$AJ$120,0,MATCH(G$2,Inputs!$K$4:$AJ$4,0)))+SUMPRODUCT((Inputs!$C$5:$C$120=$B61)*Inputs!$D$5:$D$120*(((Inputs!$G$5:$G$120="moeda")+(Inputs!$G$5:$G$120="acoes"))*Inputs!$B$1+((Inputs!$G$5:$G$120&lt;&gt;"moeda")*(Inputs!$G$5:$G$120&lt;&gt;"acoes")))*INDEX(Inputs!$K$5:$AJ$120,0,MATCH(G$2,Inputs!$K$4:$AJ$4,0)))+SUMPRODUCT((Inputs!$E$5:$E$120=$B61)*Inputs!$F$5:$F$120*(((Inputs!$G$5:$G$120="moeda")+(Inputs!$G$5:$G$120="acoes"))*Inputs!$B$1+((Inputs!$G$5:$G$120&lt;&gt;"moeda")*(Inputs!$G$5:$G$120&lt;&gt;"acoes")))*INDEX(Inputs!$K$5:$AJ$120,0,MATCH(G$2,Inputs!$K$4:$AJ$4,0)))))</f>
        <v>1408.9</v>
      </c>
      <c r="H61" s="264">
        <f>SUM(D61:G61)</f>
        <v>5741.2</v>
      </c>
      <c r="I61" s="263">
        <f>IF(ISNA(MATCH(I$2,Inputs!$K$4:$AJ$4,0)),NA(),IF(SUMPRODUCT((Inputs!$A$5:$A$120=$B61)*ISNUMBER(INDEX(Inputs!$K$5:$AJ$120,0,MATCH(I$2,Inputs!$K$4:$AJ$4,0))))+SUMPRODUCT((Inputs!$C$5:$C$120=$B61)*ISNUMBER(INDEX(Inputs!$K$5:$AJ$120,0,MATCH(I$2,Inputs!$K$4:$AJ$4,0))))+SUMPRODUCT((Inputs!$E$5:$E$120=$B61)*ISNUMBER(INDEX(Inputs!$K$5:$AJ$120,0,MATCH(I$2,Inputs!$K$4:$AJ$4,0))))=0,NA(),SUMPRODUCT((Inputs!$A$5:$A$120=$B61)*Inputs!$B$5:$B$120*(((Inputs!$G$5:$G$120="moeda")+(Inputs!$G$5:$G$120="acoes"))*Inputs!$B$1+((Inputs!$G$5:$G$120&lt;&gt;"moeda")*(Inputs!$G$5:$G$120&lt;&gt;"acoes")))*INDEX(Inputs!$K$5:$AJ$120,0,MATCH(I$2,Inputs!$K$4:$AJ$4,0)))+SUMPRODUCT((Inputs!$C$5:$C$120=$B61)*Inputs!$D$5:$D$120*(((Inputs!$G$5:$G$120="moeda")+(Inputs!$G$5:$G$120="acoes"))*Inputs!$B$1+((Inputs!$G$5:$G$120&lt;&gt;"moeda")*(Inputs!$G$5:$G$120&lt;&gt;"acoes")))*INDEX(Inputs!$K$5:$AJ$120,0,MATCH(I$2,Inputs!$K$4:$AJ$4,0)))+SUMPRODUCT((Inputs!$E$5:$E$120=$B61)*Inputs!$F$5:$F$120*(((Inputs!$G$5:$G$120="moeda")+(Inputs!$G$5:$G$120="acoes"))*Inputs!$B$1+((Inputs!$G$5:$G$120&lt;&gt;"moeda")*(Inputs!$G$5:$G$120&lt;&gt;"acoes")))*INDEX(Inputs!$K$5:$AJ$120,0,MATCH(I$2,Inputs!$K$4:$AJ$4,0)))))</f>
        <v>1353</v>
      </c>
      <c r="J61" s="263">
        <f>IF(ISNA(MATCH(J$2,Inputs!$K$4:$AJ$4,0)),NA(),IF(SUMPRODUCT((Inputs!$A$5:$A$120=$B61)*ISNUMBER(INDEX(Inputs!$K$5:$AJ$120,0,MATCH(J$2,Inputs!$K$4:$AJ$4,0))))+SUMPRODUCT((Inputs!$C$5:$C$120=$B61)*ISNUMBER(INDEX(Inputs!$K$5:$AJ$120,0,MATCH(J$2,Inputs!$K$4:$AJ$4,0))))+SUMPRODUCT((Inputs!$E$5:$E$120=$B61)*ISNUMBER(INDEX(Inputs!$K$5:$AJ$120,0,MATCH(J$2,Inputs!$K$4:$AJ$4,0))))=0,NA(),SUMPRODUCT((Inputs!$A$5:$A$120=$B61)*Inputs!$B$5:$B$120*(((Inputs!$G$5:$G$120="moeda")+(Inputs!$G$5:$G$120="acoes"))*Inputs!$B$1+((Inputs!$G$5:$G$120&lt;&gt;"moeda")*(Inputs!$G$5:$G$120&lt;&gt;"acoes")))*INDEX(Inputs!$K$5:$AJ$120,0,MATCH(J$2,Inputs!$K$4:$AJ$4,0)))+SUMPRODUCT((Inputs!$C$5:$C$120=$B61)*Inputs!$D$5:$D$120*(((Inputs!$G$5:$G$120="moeda")+(Inputs!$G$5:$G$120="acoes"))*Inputs!$B$1+((Inputs!$G$5:$G$120&lt;&gt;"moeda")*(Inputs!$G$5:$G$120&lt;&gt;"acoes")))*INDEX(Inputs!$K$5:$AJ$120,0,MATCH(J$2,Inputs!$K$4:$AJ$4,0)))+SUMPRODUCT((Inputs!$E$5:$E$120=$B61)*Inputs!$F$5:$F$120*(((Inputs!$G$5:$G$120="moeda")+(Inputs!$G$5:$G$120="acoes"))*Inputs!$B$1+((Inputs!$G$5:$G$120&lt;&gt;"moeda")*(Inputs!$G$5:$G$120&lt;&gt;"acoes")))*INDEX(Inputs!$K$5:$AJ$120,0,MATCH(J$2,Inputs!$K$4:$AJ$4,0)))))</f>
        <v>1368.7</v>
      </c>
      <c r="K61" s="263">
        <f>IF(ISNA(MATCH(K$2,Inputs!$K$4:$AJ$4,0)),NA(),IF(SUMPRODUCT((Inputs!$A$5:$A$120=$B61)*ISNUMBER(INDEX(Inputs!$K$5:$AJ$120,0,MATCH(K$2,Inputs!$K$4:$AJ$4,0))))+SUMPRODUCT((Inputs!$C$5:$C$120=$B61)*ISNUMBER(INDEX(Inputs!$K$5:$AJ$120,0,MATCH(K$2,Inputs!$K$4:$AJ$4,0))))+SUMPRODUCT((Inputs!$E$5:$E$120=$B61)*ISNUMBER(INDEX(Inputs!$K$5:$AJ$120,0,MATCH(K$2,Inputs!$K$4:$AJ$4,0))))=0,NA(),SUMPRODUCT((Inputs!$A$5:$A$120=$B61)*Inputs!$B$5:$B$120*(((Inputs!$G$5:$G$120="moeda")+(Inputs!$G$5:$G$120="acoes"))*Inputs!$B$1+((Inputs!$G$5:$G$120&lt;&gt;"moeda")*(Inputs!$G$5:$G$120&lt;&gt;"acoes")))*INDEX(Inputs!$K$5:$AJ$120,0,MATCH(K$2,Inputs!$K$4:$AJ$4,0)))+SUMPRODUCT((Inputs!$C$5:$C$120=$B61)*Inputs!$D$5:$D$120*(((Inputs!$G$5:$G$120="moeda")+(Inputs!$G$5:$G$120="acoes"))*Inputs!$B$1+((Inputs!$G$5:$G$120&lt;&gt;"moeda")*(Inputs!$G$5:$G$120&lt;&gt;"acoes")))*INDEX(Inputs!$K$5:$AJ$120,0,MATCH(K$2,Inputs!$K$4:$AJ$4,0)))+SUMPRODUCT((Inputs!$E$5:$E$120=$B61)*Inputs!$F$5:$F$120*(((Inputs!$G$5:$G$120="moeda")+(Inputs!$G$5:$G$120="acoes"))*Inputs!$B$1+((Inputs!$G$5:$G$120&lt;&gt;"moeda")*(Inputs!$G$5:$G$120&lt;&gt;"acoes")))*INDEX(Inputs!$K$5:$AJ$120,0,MATCH(K$2,Inputs!$K$4:$AJ$4,0)))))</f>
        <v>1293.3</v>
      </c>
      <c r="L61" s="263">
        <f>IF(ISNA(MATCH(L$2,Inputs!$K$4:$AJ$4,0)),NA(),IF(SUMPRODUCT((Inputs!$A$5:$A$120=$B61)*ISNUMBER(INDEX(Inputs!$K$5:$AJ$120,0,MATCH(L$2,Inputs!$K$4:$AJ$4,0))))+SUMPRODUCT((Inputs!$C$5:$C$120=$B61)*ISNUMBER(INDEX(Inputs!$K$5:$AJ$120,0,MATCH(L$2,Inputs!$K$4:$AJ$4,0))))+SUMPRODUCT((Inputs!$E$5:$E$120=$B61)*ISNUMBER(INDEX(Inputs!$K$5:$AJ$120,0,MATCH(L$2,Inputs!$K$4:$AJ$4,0))))=0,NA(),SUMPRODUCT((Inputs!$A$5:$A$120=$B61)*Inputs!$B$5:$B$120*(((Inputs!$G$5:$G$120="moeda")+(Inputs!$G$5:$G$120="acoes"))*Inputs!$B$1+((Inputs!$G$5:$G$120&lt;&gt;"moeda")*(Inputs!$G$5:$G$120&lt;&gt;"acoes")))*INDEX(Inputs!$K$5:$AJ$120,0,MATCH(L$2,Inputs!$K$4:$AJ$4,0)))+SUMPRODUCT((Inputs!$C$5:$C$120=$B61)*Inputs!$D$5:$D$120*(((Inputs!$G$5:$G$120="moeda")+(Inputs!$G$5:$G$120="acoes"))*Inputs!$B$1+((Inputs!$G$5:$G$120&lt;&gt;"moeda")*(Inputs!$G$5:$G$120&lt;&gt;"acoes")))*INDEX(Inputs!$K$5:$AJ$120,0,MATCH(L$2,Inputs!$K$4:$AJ$4,0)))+SUMPRODUCT((Inputs!$E$5:$E$120=$B61)*Inputs!$F$5:$F$120*(((Inputs!$G$5:$G$120="moeda")+(Inputs!$G$5:$G$120="acoes"))*Inputs!$B$1+((Inputs!$G$5:$G$120&lt;&gt;"moeda")*(Inputs!$G$5:$G$120&lt;&gt;"acoes")))*INDEX(Inputs!$K$5:$AJ$120,0,MATCH(L$2,Inputs!$K$4:$AJ$4,0)))))</f>
        <v>1651.2</v>
      </c>
      <c r="M61" s="264">
        <f>SUM(I61:L61)</f>
        <v>5666.2</v>
      </c>
      <c r="N61" s="263">
        <f>IF(ISNA(MATCH(N$2,Inputs!$K$4:$AJ$4,0)),NA(),IF(SUMPRODUCT((Inputs!$A$5:$A$120=$B61)*ISNUMBER(INDEX(Inputs!$K$5:$AJ$120,0,MATCH(N$2,Inputs!$K$4:$AJ$4,0))))+SUMPRODUCT((Inputs!$C$5:$C$120=$B61)*ISNUMBER(INDEX(Inputs!$K$5:$AJ$120,0,MATCH(N$2,Inputs!$K$4:$AJ$4,0))))+SUMPRODUCT((Inputs!$E$5:$E$120=$B61)*ISNUMBER(INDEX(Inputs!$K$5:$AJ$120,0,MATCH(N$2,Inputs!$K$4:$AJ$4,0))))=0,NA(),SUMPRODUCT((Inputs!$A$5:$A$120=$B61)*Inputs!$B$5:$B$120*(((Inputs!$G$5:$G$120="moeda")+(Inputs!$G$5:$G$120="acoes"))*Inputs!$B$1+((Inputs!$G$5:$G$120&lt;&gt;"moeda")*(Inputs!$G$5:$G$120&lt;&gt;"acoes")))*INDEX(Inputs!$K$5:$AJ$120,0,MATCH(N$2,Inputs!$K$4:$AJ$4,0)))+SUMPRODUCT((Inputs!$C$5:$C$120=$B61)*Inputs!$D$5:$D$120*(((Inputs!$G$5:$G$120="moeda")+(Inputs!$G$5:$G$120="acoes"))*Inputs!$B$1+((Inputs!$G$5:$G$120&lt;&gt;"moeda")*(Inputs!$G$5:$G$120&lt;&gt;"acoes")))*INDEX(Inputs!$K$5:$AJ$120,0,MATCH(N$2,Inputs!$K$4:$AJ$4,0)))+SUMPRODUCT((Inputs!$E$5:$E$120=$B61)*Inputs!$F$5:$F$120*(((Inputs!$G$5:$G$120="moeda")+(Inputs!$G$5:$G$120="acoes"))*Inputs!$B$1+((Inputs!$G$5:$G$120&lt;&gt;"moeda")*(Inputs!$G$5:$G$120&lt;&gt;"acoes")))*INDEX(Inputs!$K$5:$AJ$120,0,MATCH(N$2,Inputs!$K$4:$AJ$4,0)))))</f>
        <v>1356</v>
      </c>
      <c r="O61" s="263">
        <f>IF(ISNA(MATCH(O$2,Inputs!$K$4:$AJ$4,0)),NA(),IF(SUMPRODUCT((Inputs!$A$5:$A$120=$B61)*ISNUMBER(INDEX(Inputs!$K$5:$AJ$120,0,MATCH(O$2,Inputs!$K$4:$AJ$4,0))))+SUMPRODUCT((Inputs!$C$5:$C$120=$B61)*ISNUMBER(INDEX(Inputs!$K$5:$AJ$120,0,MATCH(O$2,Inputs!$K$4:$AJ$4,0))))+SUMPRODUCT((Inputs!$E$5:$E$120=$B61)*ISNUMBER(INDEX(Inputs!$K$5:$AJ$120,0,MATCH(O$2,Inputs!$K$4:$AJ$4,0))))=0,NA(),SUMPRODUCT((Inputs!$A$5:$A$120=$B61)*Inputs!$B$5:$B$120*(((Inputs!$G$5:$G$120="moeda")+(Inputs!$G$5:$G$120="acoes"))*Inputs!$B$1+((Inputs!$G$5:$G$120&lt;&gt;"moeda")*(Inputs!$G$5:$G$120&lt;&gt;"acoes")))*INDEX(Inputs!$K$5:$AJ$120,0,MATCH(O$2,Inputs!$K$4:$AJ$4,0)))+SUMPRODUCT((Inputs!$C$5:$C$120=$B61)*Inputs!$D$5:$D$120*(((Inputs!$G$5:$G$120="moeda")+(Inputs!$G$5:$G$120="acoes"))*Inputs!$B$1+((Inputs!$G$5:$G$120&lt;&gt;"moeda")*(Inputs!$G$5:$G$120&lt;&gt;"acoes")))*INDEX(Inputs!$K$5:$AJ$120,0,MATCH(O$2,Inputs!$K$4:$AJ$4,0)))+SUMPRODUCT((Inputs!$E$5:$E$120=$B61)*Inputs!$F$5:$F$120*(((Inputs!$G$5:$G$120="moeda")+(Inputs!$G$5:$G$120="acoes"))*Inputs!$B$1+((Inputs!$G$5:$G$120&lt;&gt;"moeda")*(Inputs!$G$5:$G$120&lt;&gt;"acoes")))*INDEX(Inputs!$K$5:$AJ$120,0,MATCH(O$2,Inputs!$K$4:$AJ$4,0)))))</f>
        <v>1671</v>
      </c>
      <c r="P61" s="263">
        <f>IF(ISNA(MATCH(P$2,Inputs!$K$4:$AJ$4,0)),NA(),IF(SUMPRODUCT((Inputs!$A$5:$A$120=$B61)*ISNUMBER(INDEX(Inputs!$K$5:$AJ$120,0,MATCH(P$2,Inputs!$K$4:$AJ$4,0))))+SUMPRODUCT((Inputs!$C$5:$C$120=$B61)*ISNUMBER(INDEX(Inputs!$K$5:$AJ$120,0,MATCH(P$2,Inputs!$K$4:$AJ$4,0))))+SUMPRODUCT((Inputs!$E$5:$E$120=$B61)*ISNUMBER(INDEX(Inputs!$K$5:$AJ$120,0,MATCH(P$2,Inputs!$K$4:$AJ$4,0))))=0,NA(),SUMPRODUCT((Inputs!$A$5:$A$120=$B61)*Inputs!$B$5:$B$120*(((Inputs!$G$5:$G$120="moeda")+(Inputs!$G$5:$G$120="acoes"))*Inputs!$B$1+((Inputs!$G$5:$G$120&lt;&gt;"moeda")*(Inputs!$G$5:$G$120&lt;&gt;"acoes")))*INDEX(Inputs!$K$5:$AJ$120,0,MATCH(P$2,Inputs!$K$4:$AJ$4,0)))+SUMPRODUCT((Inputs!$C$5:$C$120=$B61)*Inputs!$D$5:$D$120*(((Inputs!$G$5:$G$120="moeda")+(Inputs!$G$5:$G$120="acoes"))*Inputs!$B$1+((Inputs!$G$5:$G$120&lt;&gt;"moeda")*(Inputs!$G$5:$G$120&lt;&gt;"acoes")))*INDEX(Inputs!$K$5:$AJ$120,0,MATCH(P$2,Inputs!$K$4:$AJ$4,0)))+SUMPRODUCT((Inputs!$E$5:$E$120=$B61)*Inputs!$F$5:$F$120*(((Inputs!$G$5:$G$120="moeda")+(Inputs!$G$5:$G$120="acoes"))*Inputs!$B$1+((Inputs!$G$5:$G$120&lt;&gt;"moeda")*(Inputs!$G$5:$G$120&lt;&gt;"acoes")))*INDEX(Inputs!$K$5:$AJ$120,0,MATCH(P$2,Inputs!$K$4:$AJ$4,0)))))</f>
        <v>1747.1</v>
      </c>
      <c r="Q61" s="263">
        <f>IF(ISNA(MATCH(Q$2,Inputs!$K$4:$AJ$4,0)),NA(),IF(SUMPRODUCT((Inputs!$A$5:$A$120=$B61)*ISNUMBER(INDEX(Inputs!$K$5:$AJ$120,0,MATCH(Q$2,Inputs!$K$4:$AJ$4,0))))+SUMPRODUCT((Inputs!$C$5:$C$120=$B61)*ISNUMBER(INDEX(Inputs!$K$5:$AJ$120,0,MATCH(Q$2,Inputs!$K$4:$AJ$4,0))))+SUMPRODUCT((Inputs!$E$5:$E$120=$B61)*ISNUMBER(INDEX(Inputs!$K$5:$AJ$120,0,MATCH(Q$2,Inputs!$K$4:$AJ$4,0))))=0,NA(),SUMPRODUCT((Inputs!$A$5:$A$120=$B61)*Inputs!$B$5:$B$120*(((Inputs!$G$5:$G$120="moeda")+(Inputs!$G$5:$G$120="acoes"))*Inputs!$B$1+((Inputs!$G$5:$G$120&lt;&gt;"moeda")*(Inputs!$G$5:$G$120&lt;&gt;"acoes")))*INDEX(Inputs!$K$5:$AJ$120,0,MATCH(Q$2,Inputs!$K$4:$AJ$4,0)))+SUMPRODUCT((Inputs!$C$5:$C$120=$B61)*Inputs!$D$5:$D$120*(((Inputs!$G$5:$G$120="moeda")+(Inputs!$G$5:$G$120="acoes"))*Inputs!$B$1+((Inputs!$G$5:$G$120&lt;&gt;"moeda")*(Inputs!$G$5:$G$120&lt;&gt;"acoes")))*INDEX(Inputs!$K$5:$AJ$120,0,MATCH(Q$2,Inputs!$K$4:$AJ$4,0)))+SUMPRODUCT((Inputs!$E$5:$E$120=$B61)*Inputs!$F$5:$F$120*(((Inputs!$G$5:$G$120="moeda")+(Inputs!$G$5:$G$120="acoes"))*Inputs!$B$1+((Inputs!$G$5:$G$120&lt;&gt;"moeda")*(Inputs!$G$5:$G$120&lt;&gt;"acoes")))*INDEX(Inputs!$K$5:$AJ$120,0,MATCH(Q$2,Inputs!$K$4:$AJ$4,0)))))</f>
        <v>1884.2</v>
      </c>
      <c r="R61" s="264">
        <f>SUM(N61:Q61)</f>
        <v>6658.3</v>
      </c>
      <c r="S61" s="263">
        <f>IF(ISNA(MATCH(S$2,Inputs!$K$4:$AJ$4,0)),NA(),IF(SUMPRODUCT((Inputs!$A$5:$A$120=$B61)*ISNUMBER(INDEX(Inputs!$K$5:$AJ$120,0,MATCH(S$2,Inputs!$K$4:$AJ$4,0))))+SUMPRODUCT((Inputs!$C$5:$C$120=$B61)*ISNUMBER(INDEX(Inputs!$K$5:$AJ$120,0,MATCH(S$2,Inputs!$K$4:$AJ$4,0))))+SUMPRODUCT((Inputs!$E$5:$E$120=$B61)*ISNUMBER(INDEX(Inputs!$K$5:$AJ$120,0,MATCH(S$2,Inputs!$K$4:$AJ$4,0))))=0,NA(),SUMPRODUCT((Inputs!$A$5:$A$120=$B61)*Inputs!$B$5:$B$120*(((Inputs!$G$5:$G$120="moeda")+(Inputs!$G$5:$G$120="acoes"))*Inputs!$B$1+((Inputs!$G$5:$G$120&lt;&gt;"moeda")*(Inputs!$G$5:$G$120&lt;&gt;"acoes")))*INDEX(Inputs!$K$5:$AJ$120,0,MATCH(S$2,Inputs!$K$4:$AJ$4,0)))+SUMPRODUCT((Inputs!$C$5:$C$120=$B61)*Inputs!$D$5:$D$120*(((Inputs!$G$5:$G$120="moeda")+(Inputs!$G$5:$G$120="acoes"))*Inputs!$B$1+((Inputs!$G$5:$G$120&lt;&gt;"moeda")*(Inputs!$G$5:$G$120&lt;&gt;"acoes")))*INDEX(Inputs!$K$5:$AJ$120,0,MATCH(S$2,Inputs!$K$4:$AJ$4,0)))+SUMPRODUCT((Inputs!$E$5:$E$120=$B61)*Inputs!$F$5:$F$120*(((Inputs!$G$5:$G$120="moeda")+(Inputs!$G$5:$G$120="acoes"))*Inputs!$B$1+((Inputs!$G$5:$G$120&lt;&gt;"moeda")*(Inputs!$G$5:$G$120&lt;&gt;"acoes")))*INDEX(Inputs!$K$5:$AJ$120,0,MATCH(S$2,Inputs!$K$4:$AJ$4,0)))))</f>
        <v>1810</v>
      </c>
      <c r="T61" s="263">
        <f>IF(ISNA(MATCH(T$2,Inputs!$K$4:$AJ$4,0)),NA(),IF(SUMPRODUCT((Inputs!$A$5:$A$120=$B61)*ISNUMBER(INDEX(Inputs!$K$5:$AJ$120,0,MATCH(T$2,Inputs!$K$4:$AJ$4,0))))+SUMPRODUCT((Inputs!$C$5:$C$120=$B61)*ISNUMBER(INDEX(Inputs!$K$5:$AJ$120,0,MATCH(T$2,Inputs!$K$4:$AJ$4,0))))+SUMPRODUCT((Inputs!$E$5:$E$120=$B61)*ISNUMBER(INDEX(Inputs!$K$5:$AJ$120,0,MATCH(T$2,Inputs!$K$4:$AJ$4,0))))=0,NA(),SUMPRODUCT((Inputs!$A$5:$A$120=$B61)*Inputs!$B$5:$B$120*(((Inputs!$G$5:$G$120="moeda")+(Inputs!$G$5:$G$120="acoes"))*Inputs!$B$1+((Inputs!$G$5:$G$120&lt;&gt;"moeda")*(Inputs!$G$5:$G$120&lt;&gt;"acoes")))*INDEX(Inputs!$K$5:$AJ$120,0,MATCH(T$2,Inputs!$K$4:$AJ$4,0)))+SUMPRODUCT((Inputs!$C$5:$C$120=$B61)*Inputs!$D$5:$D$120*(((Inputs!$G$5:$G$120="moeda")+(Inputs!$G$5:$G$120="acoes"))*Inputs!$B$1+((Inputs!$G$5:$G$120&lt;&gt;"moeda")*(Inputs!$G$5:$G$120&lt;&gt;"acoes")))*INDEX(Inputs!$K$5:$AJ$120,0,MATCH(T$2,Inputs!$K$4:$AJ$4,0)))+SUMPRODUCT((Inputs!$E$5:$E$120=$B61)*Inputs!$F$5:$F$120*(((Inputs!$G$5:$G$120="moeda")+(Inputs!$G$5:$G$120="acoes"))*Inputs!$B$1+((Inputs!$G$5:$G$120&lt;&gt;"moeda")*(Inputs!$G$5:$G$120&lt;&gt;"acoes")))*INDEX(Inputs!$K$5:$AJ$120,0,MATCH(T$2,Inputs!$K$4:$AJ$4,0)))))</f>
        <v>2158.7</v>
      </c>
      <c r="U61" s="263">
        <f>IF(ISNA(MATCH(U$2,Inputs!$K$4:$AJ$4,0)),NA(),IF(SUMPRODUCT((Inputs!$A$5:$A$120=$B61)*ISNUMBER(INDEX(Inputs!$K$5:$AJ$120,0,MATCH(U$2,Inputs!$K$4:$AJ$4,0))))+SUMPRODUCT((Inputs!$C$5:$C$120=$B61)*ISNUMBER(INDEX(Inputs!$K$5:$AJ$120,0,MATCH(U$2,Inputs!$K$4:$AJ$4,0))))+SUMPRODUCT((Inputs!$E$5:$E$120=$B61)*ISNUMBER(INDEX(Inputs!$K$5:$AJ$120,0,MATCH(U$2,Inputs!$K$4:$AJ$4,0))))=0,NA(),SUMPRODUCT((Inputs!$A$5:$A$120=$B61)*Inputs!$B$5:$B$120*(((Inputs!$G$5:$G$120="moeda")+(Inputs!$G$5:$G$120="acoes"))*Inputs!$B$1+((Inputs!$G$5:$G$120&lt;&gt;"moeda")*(Inputs!$G$5:$G$120&lt;&gt;"acoes")))*INDEX(Inputs!$K$5:$AJ$120,0,MATCH(U$2,Inputs!$K$4:$AJ$4,0)))+SUMPRODUCT((Inputs!$C$5:$C$120=$B61)*Inputs!$D$5:$D$120*(((Inputs!$G$5:$G$120="moeda")+(Inputs!$G$5:$G$120="acoes"))*Inputs!$B$1+((Inputs!$G$5:$G$120&lt;&gt;"moeda")*(Inputs!$G$5:$G$120&lt;&gt;"acoes")))*INDEX(Inputs!$K$5:$AJ$120,0,MATCH(U$2,Inputs!$K$4:$AJ$4,0)))+SUMPRODUCT((Inputs!$E$5:$E$120=$B61)*Inputs!$F$5:$F$120*(((Inputs!$G$5:$G$120="moeda")+(Inputs!$G$5:$G$120="acoes"))*Inputs!$B$1+((Inputs!$G$5:$G$120&lt;&gt;"moeda")*(Inputs!$G$5:$G$120&lt;&gt;"acoes")))*INDEX(Inputs!$K$5:$AJ$120,0,MATCH(U$2,Inputs!$K$4:$AJ$4,0)))))</f>
        <v>2231.8</v>
      </c>
      <c r="V61" s="263">
        <f>IF(ISNA(MATCH(V$2,Inputs!$K$4:$AJ$4,0)),NA(),IF(SUMPRODUCT((Inputs!$A$5:$A$120=$B61)*ISNUMBER(INDEX(Inputs!$K$5:$AJ$120,0,MATCH(V$2,Inputs!$K$4:$AJ$4,0))))+SUMPRODUCT((Inputs!$C$5:$C$120=$B61)*ISNUMBER(INDEX(Inputs!$K$5:$AJ$120,0,MATCH(V$2,Inputs!$K$4:$AJ$4,0))))+SUMPRODUCT((Inputs!$E$5:$E$120=$B61)*ISNUMBER(INDEX(Inputs!$K$5:$AJ$120,0,MATCH(V$2,Inputs!$K$4:$AJ$4,0))))=0,NA(),SUMPRODUCT((Inputs!$A$5:$A$120=$B61)*Inputs!$B$5:$B$120*(((Inputs!$G$5:$G$120="moeda")+(Inputs!$G$5:$G$120="acoes"))*Inputs!$B$1+((Inputs!$G$5:$G$120&lt;&gt;"moeda")*(Inputs!$G$5:$G$120&lt;&gt;"acoes")))*INDEX(Inputs!$K$5:$AJ$120,0,MATCH(V$2,Inputs!$K$4:$AJ$4,0)))+SUMPRODUCT((Inputs!$C$5:$C$120=$B61)*Inputs!$D$5:$D$120*(((Inputs!$G$5:$G$120="moeda")+(Inputs!$G$5:$G$120="acoes"))*Inputs!$B$1+((Inputs!$G$5:$G$120&lt;&gt;"moeda")*(Inputs!$G$5:$G$120&lt;&gt;"acoes")))*INDEX(Inputs!$K$5:$AJ$120,0,MATCH(V$2,Inputs!$K$4:$AJ$4,0)))+SUMPRODUCT((Inputs!$E$5:$E$120=$B61)*Inputs!$F$5:$F$120*(((Inputs!$G$5:$G$120="moeda")+(Inputs!$G$5:$G$120="acoes"))*Inputs!$B$1+((Inputs!$G$5:$G$120&lt;&gt;"moeda")*(Inputs!$G$5:$G$120&lt;&gt;"acoes")))*INDEX(Inputs!$K$5:$AJ$120,0,MATCH(V$2,Inputs!$K$4:$AJ$4,0)))))</f>
        <v>2551.9</v>
      </c>
      <c r="W61" s="264">
        <f>SUM(S61:V61)</f>
        <v>8752.4</v>
      </c>
      <c r="X61" s="263">
        <f>IF(ISNA(MATCH(X$2,Inputs!$K$4:$AJ$4,0)),NA(),IF(SUMPRODUCT((Inputs!$A$5:$A$120=$B61)*ISNUMBER(INDEX(Inputs!$K$5:$AJ$120,0,MATCH(X$2,Inputs!$K$4:$AJ$4,0))))+SUMPRODUCT((Inputs!$C$5:$C$120=$B61)*ISNUMBER(INDEX(Inputs!$K$5:$AJ$120,0,MATCH(X$2,Inputs!$K$4:$AJ$4,0))))+SUMPRODUCT((Inputs!$E$5:$E$120=$B61)*ISNUMBER(INDEX(Inputs!$K$5:$AJ$120,0,MATCH(X$2,Inputs!$K$4:$AJ$4,0))))=0,NA(),SUMPRODUCT((Inputs!$A$5:$A$120=$B61)*Inputs!$B$5:$B$120*(((Inputs!$G$5:$G$120="moeda")+(Inputs!$G$5:$G$120="acoes"))*Inputs!$B$1+((Inputs!$G$5:$G$120&lt;&gt;"moeda")*(Inputs!$G$5:$G$120&lt;&gt;"acoes")))*INDEX(Inputs!$K$5:$AJ$120,0,MATCH(X$2,Inputs!$K$4:$AJ$4,0)))+SUMPRODUCT((Inputs!$C$5:$C$120=$B61)*Inputs!$D$5:$D$120*(((Inputs!$G$5:$G$120="moeda")+(Inputs!$G$5:$G$120="acoes"))*Inputs!$B$1+((Inputs!$G$5:$G$120&lt;&gt;"moeda")*(Inputs!$G$5:$G$120&lt;&gt;"acoes")))*INDEX(Inputs!$K$5:$AJ$120,0,MATCH(X$2,Inputs!$K$4:$AJ$4,0)))+SUMPRODUCT((Inputs!$E$5:$E$120=$B61)*Inputs!$F$5:$F$120*(((Inputs!$G$5:$G$120="moeda")+(Inputs!$G$5:$G$120="acoes"))*Inputs!$B$1+((Inputs!$G$5:$G$120&lt;&gt;"moeda")*(Inputs!$G$5:$G$120&lt;&gt;"acoes")))*INDEX(Inputs!$K$5:$AJ$120,0,MATCH(X$2,Inputs!$K$4:$AJ$4,0)))))</f>
        <v>1948</v>
      </c>
      <c r="Y61" s="263">
        <f>IF(ISNA(MATCH(Y$2,Inputs!$K$4:$AJ$4,0)),NA(),IF(SUMPRODUCT((Inputs!$A$5:$A$120=$B61)*ISNUMBER(INDEX(Inputs!$K$5:$AJ$120,0,MATCH(Y$2,Inputs!$K$4:$AJ$4,0))))+SUMPRODUCT((Inputs!$C$5:$C$120=$B61)*ISNUMBER(INDEX(Inputs!$K$5:$AJ$120,0,MATCH(Y$2,Inputs!$K$4:$AJ$4,0))))+SUMPRODUCT((Inputs!$E$5:$E$120=$B61)*ISNUMBER(INDEX(Inputs!$K$5:$AJ$120,0,MATCH(Y$2,Inputs!$K$4:$AJ$4,0))))=0,NA(),SUMPRODUCT((Inputs!$A$5:$A$120=$B61)*Inputs!$B$5:$B$120*(((Inputs!$G$5:$G$120="moeda")+(Inputs!$G$5:$G$120="acoes"))*Inputs!$B$1+((Inputs!$G$5:$G$120&lt;&gt;"moeda")*(Inputs!$G$5:$G$120&lt;&gt;"acoes")))*INDEX(Inputs!$K$5:$AJ$120,0,MATCH(Y$2,Inputs!$K$4:$AJ$4,0)))+SUMPRODUCT((Inputs!$C$5:$C$120=$B61)*Inputs!$D$5:$D$120*(((Inputs!$G$5:$G$120="moeda")+(Inputs!$G$5:$G$120="acoes"))*Inputs!$B$1+((Inputs!$G$5:$G$120&lt;&gt;"moeda")*(Inputs!$G$5:$G$120&lt;&gt;"acoes")))*INDEX(Inputs!$K$5:$AJ$120,0,MATCH(Y$2,Inputs!$K$4:$AJ$4,0)))+SUMPRODUCT((Inputs!$E$5:$E$120=$B61)*Inputs!$F$5:$F$120*(((Inputs!$G$5:$G$120="moeda")+(Inputs!$G$5:$G$120="acoes"))*Inputs!$B$1+((Inputs!$G$5:$G$120&lt;&gt;"moeda")*(Inputs!$G$5:$G$120&lt;&gt;"acoes")))*INDEX(Inputs!$K$5:$AJ$120,0,MATCH(Y$2,Inputs!$K$4:$AJ$4,0)))))</f>
        <v>2414</v>
      </c>
      <c r="Z61" s="263">
        <f>IF(ISNA(MATCH(Z$2,Inputs!$K$4:$AJ$4,0)),NA(),IF(SUMPRODUCT((Inputs!$A$5:$A$120=$B61)*ISNUMBER(INDEX(Inputs!$K$5:$AJ$120,0,MATCH(Z$2,Inputs!$K$4:$AJ$4,0))))+SUMPRODUCT((Inputs!$C$5:$C$120=$B61)*ISNUMBER(INDEX(Inputs!$K$5:$AJ$120,0,MATCH(Z$2,Inputs!$K$4:$AJ$4,0))))+SUMPRODUCT((Inputs!$E$5:$E$120=$B61)*ISNUMBER(INDEX(Inputs!$K$5:$AJ$120,0,MATCH(Z$2,Inputs!$K$4:$AJ$4,0))))=0,NA(),SUMPRODUCT((Inputs!$A$5:$A$120=$B61)*Inputs!$B$5:$B$120*(((Inputs!$G$5:$G$120="moeda")+(Inputs!$G$5:$G$120="acoes"))*Inputs!$B$1+((Inputs!$G$5:$G$120&lt;&gt;"moeda")*(Inputs!$G$5:$G$120&lt;&gt;"acoes")))*INDEX(Inputs!$K$5:$AJ$120,0,MATCH(Z$2,Inputs!$K$4:$AJ$4,0)))+SUMPRODUCT((Inputs!$C$5:$C$120=$B61)*Inputs!$D$5:$D$120*(((Inputs!$G$5:$G$120="moeda")+(Inputs!$G$5:$G$120="acoes"))*Inputs!$B$1+((Inputs!$G$5:$G$120&lt;&gt;"moeda")*(Inputs!$G$5:$G$120&lt;&gt;"acoes")))*INDEX(Inputs!$K$5:$AJ$120,0,MATCH(Z$2,Inputs!$K$4:$AJ$4,0)))+SUMPRODUCT((Inputs!$E$5:$E$120=$B61)*Inputs!$F$5:$F$120*(((Inputs!$G$5:$G$120="moeda")+(Inputs!$G$5:$G$120="acoes"))*Inputs!$B$1+((Inputs!$G$5:$G$120&lt;&gt;"moeda")*(Inputs!$G$5:$G$120&lt;&gt;"acoes")))*INDEX(Inputs!$K$5:$AJ$120,0,MATCH(Z$2,Inputs!$K$4:$AJ$4,0)))))</f>
        <v>2407.6</v>
      </c>
      <c r="AA61" s="263">
        <f>IF(ISNA(MATCH(AA$2,Inputs!$K$4:$AJ$4,0)),NA(),IF(SUMPRODUCT((Inputs!$A$5:$A$120=$B61)*ISNUMBER(INDEX(Inputs!$K$5:$AJ$120,0,MATCH(AA$2,Inputs!$K$4:$AJ$4,0))))+SUMPRODUCT((Inputs!$C$5:$C$120=$B61)*ISNUMBER(INDEX(Inputs!$K$5:$AJ$120,0,MATCH(AA$2,Inputs!$K$4:$AJ$4,0))))+SUMPRODUCT((Inputs!$E$5:$E$120=$B61)*ISNUMBER(INDEX(Inputs!$K$5:$AJ$120,0,MATCH(AA$2,Inputs!$K$4:$AJ$4,0))))=0,NA(),SUMPRODUCT((Inputs!$A$5:$A$120=$B61)*Inputs!$B$5:$B$120*(((Inputs!$G$5:$G$120="moeda")+(Inputs!$G$5:$G$120="acoes"))*Inputs!$B$1+((Inputs!$G$5:$G$120&lt;&gt;"moeda")*(Inputs!$G$5:$G$120&lt;&gt;"acoes")))*INDEX(Inputs!$K$5:$AJ$120,0,MATCH(AA$2,Inputs!$K$4:$AJ$4,0)))+SUMPRODUCT((Inputs!$C$5:$C$120=$B61)*Inputs!$D$5:$D$120*(((Inputs!$G$5:$G$120="moeda")+(Inputs!$G$5:$G$120="acoes"))*Inputs!$B$1+((Inputs!$G$5:$G$120&lt;&gt;"moeda")*(Inputs!$G$5:$G$120&lt;&gt;"acoes")))*INDEX(Inputs!$K$5:$AJ$120,0,MATCH(AA$2,Inputs!$K$4:$AJ$4,0)))+SUMPRODUCT((Inputs!$E$5:$E$120=$B61)*Inputs!$F$5:$F$120*(((Inputs!$G$5:$G$120="moeda")+(Inputs!$G$5:$G$120="acoes"))*Inputs!$B$1+((Inputs!$G$5:$G$120&lt;&gt;"moeda")*(Inputs!$G$5:$G$120&lt;&gt;"acoes")))*INDEX(Inputs!$K$5:$AJ$120,0,MATCH(AA$2,Inputs!$K$4:$AJ$4,0)))))</f>
        <v>2607.3</v>
      </c>
      <c r="AB61" s="264">
        <f>SUM(X61:AA61)</f>
        <v>9376.9</v>
      </c>
      <c r="AC61" s="263">
        <f>IF(ISNA(MATCH(AC$2,Inputs!$K$4:$AJ$4,0)),NA(),IF(SUMPRODUCT((Inputs!$A$5:$A$120=$B61)*ISNUMBER(INDEX(Inputs!$K$5:$AJ$120,0,MATCH(AC$2,Inputs!$K$4:$AJ$4,0))))+SUMPRODUCT((Inputs!$C$5:$C$120=$B61)*ISNUMBER(INDEX(Inputs!$K$5:$AJ$120,0,MATCH(AC$2,Inputs!$K$4:$AJ$4,0))))+SUMPRODUCT((Inputs!$E$5:$E$120=$B61)*ISNUMBER(INDEX(Inputs!$K$5:$AJ$120,0,MATCH(AC$2,Inputs!$K$4:$AJ$4,0))))=0,NA(),SUMPRODUCT((Inputs!$A$5:$A$120=$B61)*Inputs!$B$5:$B$120*(((Inputs!$G$5:$G$120="moeda")+(Inputs!$G$5:$G$120="acoes"))*Inputs!$B$1+((Inputs!$G$5:$G$120&lt;&gt;"moeda")*(Inputs!$G$5:$G$120&lt;&gt;"acoes")))*INDEX(Inputs!$K$5:$AJ$120,0,MATCH(AC$2,Inputs!$K$4:$AJ$4,0)))+SUMPRODUCT((Inputs!$C$5:$C$120=$B61)*Inputs!$D$5:$D$120*(((Inputs!$G$5:$G$120="moeda")+(Inputs!$G$5:$G$120="acoes"))*Inputs!$B$1+((Inputs!$G$5:$G$120&lt;&gt;"moeda")*(Inputs!$G$5:$G$120&lt;&gt;"acoes")))*INDEX(Inputs!$K$5:$AJ$120,0,MATCH(AC$2,Inputs!$K$4:$AJ$4,0)))+SUMPRODUCT((Inputs!$E$5:$E$120=$B61)*Inputs!$F$5:$F$120*(((Inputs!$G$5:$G$120="moeda")+(Inputs!$G$5:$G$120="acoes"))*Inputs!$B$1+((Inputs!$G$5:$G$120&lt;&gt;"moeda")*(Inputs!$G$5:$G$120&lt;&gt;"acoes")))*INDEX(Inputs!$K$5:$AJ$120,0,MATCH(AC$2,Inputs!$K$4:$AJ$4,0)))))</f>
        <v>2268</v>
      </c>
      <c r="AD61" s="263">
        <f>IF(ISNA(MATCH(AD$2,Inputs!$K$4:$AJ$4,0)),NA(),IF(SUMPRODUCT((Inputs!$A$5:$A$120=$B61)*ISNUMBER(INDEX(Inputs!$K$5:$AJ$120,0,MATCH(AD$2,Inputs!$K$4:$AJ$4,0))))+SUMPRODUCT((Inputs!$C$5:$C$120=$B61)*ISNUMBER(INDEX(Inputs!$K$5:$AJ$120,0,MATCH(AD$2,Inputs!$K$4:$AJ$4,0))))+SUMPRODUCT((Inputs!$E$5:$E$120=$B61)*ISNUMBER(INDEX(Inputs!$K$5:$AJ$120,0,MATCH(AD$2,Inputs!$K$4:$AJ$4,0))))=0,NA(),SUMPRODUCT((Inputs!$A$5:$A$120=$B61)*Inputs!$B$5:$B$120*(((Inputs!$G$5:$G$120="moeda")+(Inputs!$G$5:$G$120="acoes"))*Inputs!$B$1+((Inputs!$G$5:$G$120&lt;&gt;"moeda")*(Inputs!$G$5:$G$120&lt;&gt;"acoes")))*INDEX(Inputs!$K$5:$AJ$120,0,MATCH(AD$2,Inputs!$K$4:$AJ$4,0)))+SUMPRODUCT((Inputs!$C$5:$C$120=$B61)*Inputs!$D$5:$D$120*(((Inputs!$G$5:$G$120="moeda")+(Inputs!$G$5:$G$120="acoes"))*Inputs!$B$1+((Inputs!$G$5:$G$120&lt;&gt;"moeda")*(Inputs!$G$5:$G$120&lt;&gt;"acoes")))*INDEX(Inputs!$K$5:$AJ$120,0,MATCH(AD$2,Inputs!$K$4:$AJ$4,0)))+SUMPRODUCT((Inputs!$E$5:$E$120=$B61)*Inputs!$F$5:$F$120*(((Inputs!$G$5:$G$120="moeda")+(Inputs!$G$5:$G$120="acoes"))*Inputs!$B$1+((Inputs!$G$5:$G$120&lt;&gt;"moeda")*(Inputs!$G$5:$G$120&lt;&gt;"acoes")))*INDEX(Inputs!$K$5:$AJ$120,0,MATCH(AD$2,Inputs!$K$4:$AJ$4,0)))))</f>
        <v>2570</v>
      </c>
      <c r="AE61" s="263" t="e">
        <f>IF(ISNA(MATCH(AE$2,Inputs!$K$4:$AJ$4,0)),NA(),IF(SUMPRODUCT((Inputs!$A$5:$A$120=$B61)*ISNUMBER(INDEX(Inputs!$K$5:$AJ$120,0,MATCH(AE$2,Inputs!$K$4:$AJ$4,0))))+SUMPRODUCT((Inputs!$C$5:$C$120=$B61)*ISNUMBER(INDEX(Inputs!$K$5:$AJ$120,0,MATCH(AE$2,Inputs!$K$4:$AJ$4,0))))+SUMPRODUCT((Inputs!$E$5:$E$120=$B61)*ISNUMBER(INDEX(Inputs!$K$5:$AJ$120,0,MATCH(AE$2,Inputs!$K$4:$AJ$4,0))))=0,NA(),SUMPRODUCT((Inputs!$A$5:$A$120=$B61)*Inputs!$B$5:$B$120*(((Inputs!$G$5:$G$120="moeda")+(Inputs!$G$5:$G$120="acoes"))*Inputs!$B$1+((Inputs!$G$5:$G$120&lt;&gt;"moeda")*(Inputs!$G$5:$G$120&lt;&gt;"acoes")))*INDEX(Inputs!$K$5:$AJ$120,0,MATCH(AE$2,Inputs!$K$4:$AJ$4,0)))+SUMPRODUCT((Inputs!$C$5:$C$120=$B61)*Inputs!$D$5:$D$120*(((Inputs!$G$5:$G$120="moeda")+(Inputs!$G$5:$G$120="acoes"))*Inputs!$B$1+((Inputs!$G$5:$G$120&lt;&gt;"moeda")*(Inputs!$G$5:$G$120&lt;&gt;"acoes")))*INDEX(Inputs!$K$5:$AJ$120,0,MATCH(AE$2,Inputs!$K$4:$AJ$4,0)))+SUMPRODUCT((Inputs!$E$5:$E$120=$B61)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1" s="263" t="e">
        <f>IF(ISNA(MATCH(AF$2,Inputs!$K$4:$AJ$4,0)),NA(),IF(SUMPRODUCT((Inputs!$A$5:$A$120=$B61)*ISNUMBER(INDEX(Inputs!$K$5:$AJ$120,0,MATCH(AF$2,Inputs!$K$4:$AJ$4,0))))+SUMPRODUCT((Inputs!$C$5:$C$120=$B61)*ISNUMBER(INDEX(Inputs!$K$5:$AJ$120,0,MATCH(AF$2,Inputs!$K$4:$AJ$4,0))))+SUMPRODUCT((Inputs!$E$5:$E$120=$B61)*ISNUMBER(INDEX(Inputs!$K$5:$AJ$120,0,MATCH(AF$2,Inputs!$K$4:$AJ$4,0))))=0,NA(),SUMPRODUCT((Inputs!$A$5:$A$120=$B61)*Inputs!$B$5:$B$120*(((Inputs!$G$5:$G$120="moeda")+(Inputs!$G$5:$G$120="acoes"))*Inputs!$B$1+((Inputs!$G$5:$G$120&lt;&gt;"moeda")*(Inputs!$G$5:$G$120&lt;&gt;"acoes")))*INDEX(Inputs!$K$5:$AJ$120,0,MATCH(AF$2,Inputs!$K$4:$AJ$4,0)))+SUMPRODUCT((Inputs!$C$5:$C$120=$B61)*Inputs!$D$5:$D$120*(((Inputs!$G$5:$G$120="moeda")+(Inputs!$G$5:$G$120="acoes"))*Inputs!$B$1+((Inputs!$G$5:$G$120&lt;&gt;"moeda")*(Inputs!$G$5:$G$120&lt;&gt;"acoes")))*INDEX(Inputs!$K$5:$AJ$120,0,MATCH(AF$2,Inputs!$K$4:$AJ$4,0)))+SUMPRODUCT((Inputs!$E$5:$E$120=$B61)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1" s="264" t="e">
        <f>SUM(AC61:AF61)</f>
        <v>#N/A</v>
      </c>
      <c r="AH61" s="263">
        <f>IF(ISNA(MATCH(AH$2,Inputs!$K$4:$AJ$4,0)),NA(),IF(SUMPRODUCT((Inputs!$A$5:$A$120=$B61)*ISNUMBER(INDEX(Inputs!$K$5:$AJ$120,0,MATCH(AH$2,Inputs!$K$4:$AJ$4,0))))+SUMPRODUCT((Inputs!$C$5:$C$120=$B61)*ISNUMBER(INDEX(Inputs!$K$5:$AJ$120,0,MATCH(AH$2,Inputs!$K$4:$AJ$4,0))))+SUMPRODUCT((Inputs!$E$5:$E$120=$B61)*ISNUMBER(INDEX(Inputs!$K$5:$AJ$120,0,MATCH(AH$2,Inputs!$K$4:$AJ$4,0))))=0,NA(),SUMPRODUCT((Inputs!$A$5:$A$120=$B61)*Inputs!$B$5:$B$120*(((Inputs!$G$5:$G$120="moeda")+(Inputs!$G$5:$G$120="acoes"))*Inputs!$B$1+((Inputs!$G$5:$G$120&lt;&gt;"moeda")*(Inputs!$G$5:$G$120&lt;&gt;"acoes")))*INDEX(Inputs!$K$5:$AJ$120,0,MATCH(AH$2,Inputs!$K$4:$AJ$4,0)))+SUMPRODUCT((Inputs!$C$5:$C$120=$B61)*Inputs!$D$5:$D$120*(((Inputs!$G$5:$G$120="moeda")+(Inputs!$G$5:$G$120="acoes"))*Inputs!$B$1+((Inputs!$G$5:$G$120&lt;&gt;"moeda")*(Inputs!$G$5:$G$120&lt;&gt;"acoes")))*INDEX(Inputs!$K$5:$AJ$120,0,MATCH(AH$2,Inputs!$K$4:$AJ$4,0)))+SUMPRODUCT((Inputs!$E$5:$E$120=$B61)*Inputs!$F$5:$F$120*(((Inputs!$G$5:$G$120="moeda")+(Inputs!$G$5:$G$120="acoes"))*Inputs!$B$1+((Inputs!$G$5:$G$120&lt;&gt;"moeda")*(Inputs!$G$5:$G$120&lt;&gt;"acoes")))*INDEX(Inputs!$K$5:$AJ$120,0,MATCH(AH$2,Inputs!$K$4:$AJ$4,0)))))</f>
        <v>1201.5</v>
      </c>
      <c r="AI61" s="263">
        <f>IF(ISNA(MATCH(AI$2,Inputs!$K$4:$AJ$4,0)),NA(),IF(SUMPRODUCT((Inputs!$A$5:$A$120=$B61)*ISNUMBER(INDEX(Inputs!$K$5:$AJ$120,0,MATCH(AI$2,Inputs!$K$4:$AJ$4,0))))+SUMPRODUCT((Inputs!$C$5:$C$120=$B61)*ISNUMBER(INDEX(Inputs!$K$5:$AJ$120,0,MATCH(AI$2,Inputs!$K$4:$AJ$4,0))))+SUMPRODUCT((Inputs!$E$5:$E$120=$B61)*ISNUMBER(INDEX(Inputs!$K$5:$AJ$120,0,MATCH(AI$2,Inputs!$K$4:$AJ$4,0))))=0,NA(),SUMPRODUCT((Inputs!$A$5:$A$120=$B61)*Inputs!$B$5:$B$120*(((Inputs!$G$5:$G$120="moeda")+(Inputs!$G$5:$G$120="acoes"))*Inputs!$B$1+((Inputs!$G$5:$G$120&lt;&gt;"moeda")*(Inputs!$G$5:$G$120&lt;&gt;"acoes")))*INDEX(Inputs!$K$5:$AJ$120,0,MATCH(AI$2,Inputs!$K$4:$AJ$4,0)))+SUMPRODUCT((Inputs!$C$5:$C$120=$B61)*Inputs!$D$5:$D$120*(((Inputs!$G$5:$G$120="moeda")+(Inputs!$G$5:$G$120="acoes"))*Inputs!$B$1+((Inputs!$G$5:$G$120&lt;&gt;"moeda")*(Inputs!$G$5:$G$120&lt;&gt;"acoes")))*INDEX(Inputs!$K$5:$AJ$120,0,MATCH(AI$2,Inputs!$K$4:$AJ$4,0)))+SUMPRODUCT((Inputs!$E$5:$E$120=$B61)*Inputs!$F$5:$F$120*(((Inputs!$G$5:$G$120="moeda")+(Inputs!$G$5:$G$120="acoes"))*Inputs!$B$1+((Inputs!$G$5:$G$120&lt;&gt;"moeda")*(Inputs!$G$5:$G$120&lt;&gt;"acoes")))*INDEX(Inputs!$K$5:$AJ$120,0,MATCH(AI$2,Inputs!$K$4:$AJ$4,0)))))</f>
        <v>1268.6</v>
      </c>
      <c r="AJ61" s="263">
        <f>IF(ISNA(MATCH(AJ$2,Inputs!$K$4:$AJ$4,0)),NA(),IF(SUMPRODUCT((Inputs!$A$5:$A$120=$B61)*ISNUMBER(INDEX(Inputs!$K$5:$AJ$120,0,MATCH(AJ$2,Inputs!$K$4:$AJ$4,0))))+SUMPRODUCT((Inputs!$C$5:$C$120=$B61)*ISNUMBER(INDEX(Inputs!$K$5:$AJ$120,0,MATCH(AJ$2,Inputs!$K$4:$AJ$4,0))))+SUMPRODUCT((Inputs!$E$5:$E$120=$B61)*ISNUMBER(INDEX(Inputs!$K$5:$AJ$120,0,MATCH(AJ$2,Inputs!$K$4:$AJ$4,0))))=0,NA(),SUMPRODUCT((Inputs!$A$5:$A$120=$B61)*Inputs!$B$5:$B$120*(((Inputs!$G$5:$G$120="moeda")+(Inputs!$G$5:$G$120="acoes"))*Inputs!$B$1+((Inputs!$G$5:$G$120&lt;&gt;"moeda")*(Inputs!$G$5:$G$120&lt;&gt;"acoes")))*INDEX(Inputs!$K$5:$AJ$120,0,MATCH(AJ$2,Inputs!$K$4:$AJ$4,0)))+SUMPRODUCT((Inputs!$C$5:$C$120=$B61)*Inputs!$D$5:$D$120*(((Inputs!$G$5:$G$120="moeda")+(Inputs!$G$5:$G$120="acoes"))*Inputs!$B$1+((Inputs!$G$5:$G$120&lt;&gt;"moeda")*(Inputs!$G$5:$G$120&lt;&gt;"acoes")))*INDEX(Inputs!$K$5:$AJ$120,0,MATCH(AJ$2,Inputs!$K$4:$AJ$4,0)))+SUMPRODUCT((Inputs!$E$5:$E$120=$B61)*Inputs!$F$5:$F$120*(((Inputs!$G$5:$G$120="moeda")+(Inputs!$G$5:$G$120="acoes"))*Inputs!$B$1+((Inputs!$G$5:$G$120&lt;&gt;"moeda")*(Inputs!$G$5:$G$120&lt;&gt;"acoes")))*INDEX(Inputs!$K$5:$AJ$120,0,MATCH(AJ$2,Inputs!$K$4:$AJ$4,0)))))</f>
        <v>1333.4</v>
      </c>
      <c r="AK61" s="263">
        <f>IF(ISNA(MATCH(AK$2,Inputs!$K$4:$AJ$4,0)),NA(),IF(SUMPRODUCT((Inputs!$A$5:$A$120=$B61)*ISNUMBER(INDEX(Inputs!$K$5:$AJ$120,0,MATCH(AK$2,Inputs!$K$4:$AJ$4,0))))+SUMPRODUCT((Inputs!$C$5:$C$120=$B61)*ISNUMBER(INDEX(Inputs!$K$5:$AJ$120,0,MATCH(AK$2,Inputs!$K$4:$AJ$4,0))))+SUMPRODUCT((Inputs!$E$5:$E$120=$B61)*ISNUMBER(INDEX(Inputs!$K$5:$AJ$120,0,MATCH(AK$2,Inputs!$K$4:$AJ$4,0))))=0,NA(),SUMPRODUCT((Inputs!$A$5:$A$120=$B61)*Inputs!$B$5:$B$120*(((Inputs!$G$5:$G$120="moeda")+(Inputs!$G$5:$G$120="acoes"))*Inputs!$B$1+((Inputs!$G$5:$G$120&lt;&gt;"moeda")*(Inputs!$G$5:$G$120&lt;&gt;"acoes")))*INDEX(Inputs!$K$5:$AJ$120,0,MATCH(AK$2,Inputs!$K$4:$AJ$4,0)))+SUMPRODUCT((Inputs!$C$5:$C$120=$B61)*Inputs!$D$5:$D$120*(((Inputs!$G$5:$G$120="moeda")+(Inputs!$G$5:$G$120="acoes"))*Inputs!$B$1+((Inputs!$G$5:$G$120&lt;&gt;"moeda")*(Inputs!$G$5:$G$120&lt;&gt;"acoes")))*INDEX(Inputs!$K$5:$AJ$120,0,MATCH(AK$2,Inputs!$K$4:$AJ$4,0)))+SUMPRODUCT((Inputs!$E$5:$E$120=$B61)*Inputs!$F$5:$F$120*(((Inputs!$G$5:$G$120="moeda")+(Inputs!$G$5:$G$120="acoes"))*Inputs!$B$1+((Inputs!$G$5:$G$120&lt;&gt;"moeda")*(Inputs!$G$5:$G$120&lt;&gt;"acoes")))*INDEX(Inputs!$K$5:$AJ$120,0,MATCH(AK$2,Inputs!$K$4:$AJ$4,0)))))</f>
        <v>1515.8</v>
      </c>
      <c r="AL61" s="264">
        <f>SUM(AH61:AK61)</f>
        <v>5319.3</v>
      </c>
    </row>
    <row r="62">
      <c r="B62" s="46" t="n">
        <v>54</v>
      </c>
      <c r="C62" s="29" t="inlineStr">
        <is>
          <t>Imunologia - receita (USD)</t>
        </is>
      </c>
      <c r="D62" s="263">
        <f>IF(ISNA(MATCH(D$2,Inputs!$K$4:$AJ$4,0)),NA(),IF(SUMPRODUCT((Inputs!$A$5:$A$120=$B62)*ISNUMBER(INDEX(Inputs!$K$5:$AJ$120,0,MATCH(D$2,Inputs!$K$4:$AJ$4,0))))+SUMPRODUCT((Inputs!$C$5:$C$120=$B62)*ISNUMBER(INDEX(Inputs!$K$5:$AJ$120,0,MATCH(D$2,Inputs!$K$4:$AJ$4,0))))+SUMPRODUCT((Inputs!$E$5:$E$120=$B62)*ISNUMBER(INDEX(Inputs!$K$5:$AJ$120,0,MATCH(D$2,Inputs!$K$4:$AJ$4,0))))=0,NA(),SUMPRODUCT((Inputs!$A$5:$A$120=$B62)*Inputs!$B$5:$B$120*(((Inputs!$G$5:$G$120="moeda")+(Inputs!$G$5:$G$120="acoes"))*Inputs!$B$1+((Inputs!$G$5:$G$120&lt;&gt;"moeda")*(Inputs!$G$5:$G$120&lt;&gt;"acoes")))*INDEX(Inputs!$K$5:$AJ$120,0,MATCH(D$2,Inputs!$K$4:$AJ$4,0)))+SUMPRODUCT((Inputs!$C$5:$C$120=$B62)*Inputs!$D$5:$D$120*(((Inputs!$G$5:$G$120="moeda")+(Inputs!$G$5:$G$120="acoes"))*Inputs!$B$1+((Inputs!$G$5:$G$120&lt;&gt;"moeda")*(Inputs!$G$5:$G$120&lt;&gt;"acoes")))*INDEX(Inputs!$K$5:$AJ$120,0,MATCH(D$2,Inputs!$K$4:$AJ$4,0)))+SUMPRODUCT((Inputs!$E$5:$E$120=$B62)*Inputs!$F$5:$F$120*(((Inputs!$G$5:$G$120="moeda")+(Inputs!$G$5:$G$120="acoes"))*Inputs!$B$1+((Inputs!$G$5:$G$120&lt;&gt;"moeda")*(Inputs!$G$5:$G$120&lt;&gt;"acoes")))*INDEX(Inputs!$K$5:$AJ$120,0,MATCH(D$2,Inputs!$K$4:$AJ$4,0)))))</f>
        <v>613.9</v>
      </c>
      <c r="E62" s="263">
        <f>IF(ISNA(MATCH(E$2,Inputs!$K$4:$AJ$4,0)),NA(),IF(SUMPRODUCT((Inputs!$A$5:$A$120=$B62)*ISNUMBER(INDEX(Inputs!$K$5:$AJ$120,0,MATCH(E$2,Inputs!$K$4:$AJ$4,0))))+SUMPRODUCT((Inputs!$C$5:$C$120=$B62)*ISNUMBER(INDEX(Inputs!$K$5:$AJ$120,0,MATCH(E$2,Inputs!$K$4:$AJ$4,0))))+SUMPRODUCT((Inputs!$E$5:$E$120=$B62)*ISNUMBER(INDEX(Inputs!$K$5:$AJ$120,0,MATCH(E$2,Inputs!$K$4:$AJ$4,0))))=0,NA(),SUMPRODUCT((Inputs!$A$5:$A$120=$B62)*Inputs!$B$5:$B$120*(((Inputs!$G$5:$G$120="moeda")+(Inputs!$G$5:$G$120="acoes"))*Inputs!$B$1+((Inputs!$G$5:$G$120&lt;&gt;"moeda")*(Inputs!$G$5:$G$120&lt;&gt;"acoes")))*INDEX(Inputs!$K$5:$AJ$120,0,MATCH(E$2,Inputs!$K$4:$AJ$4,0)))+SUMPRODUCT((Inputs!$C$5:$C$120=$B62)*Inputs!$D$5:$D$120*(((Inputs!$G$5:$G$120="moeda")+(Inputs!$G$5:$G$120="acoes"))*Inputs!$B$1+((Inputs!$G$5:$G$120&lt;&gt;"moeda")*(Inputs!$G$5:$G$120&lt;&gt;"acoes")))*INDEX(Inputs!$K$5:$AJ$120,0,MATCH(E$2,Inputs!$K$4:$AJ$4,0)))+SUMPRODUCT((Inputs!$E$5:$E$120=$B62)*Inputs!$F$5:$F$120*(((Inputs!$G$5:$G$120="moeda")+(Inputs!$G$5:$G$120="acoes"))*Inputs!$B$1+((Inputs!$G$5:$G$120&lt;&gt;"moeda")*(Inputs!$G$5:$G$120&lt;&gt;"acoes")))*INDEX(Inputs!$K$5:$AJ$120,0,MATCH(E$2,Inputs!$K$4:$AJ$4,0)))))</f>
        <v>785.4</v>
      </c>
      <c r="F62" s="263">
        <f>IF(ISNA(MATCH(F$2,Inputs!$K$4:$AJ$4,0)),NA(),IF(SUMPRODUCT((Inputs!$A$5:$A$120=$B62)*ISNUMBER(INDEX(Inputs!$K$5:$AJ$120,0,MATCH(F$2,Inputs!$K$4:$AJ$4,0))))+SUMPRODUCT((Inputs!$C$5:$C$120=$B62)*ISNUMBER(INDEX(Inputs!$K$5:$AJ$120,0,MATCH(F$2,Inputs!$K$4:$AJ$4,0))))+SUMPRODUCT((Inputs!$E$5:$E$120=$B62)*ISNUMBER(INDEX(Inputs!$K$5:$AJ$120,0,MATCH(F$2,Inputs!$K$4:$AJ$4,0))))=0,NA(),SUMPRODUCT((Inputs!$A$5:$A$120=$B62)*Inputs!$B$5:$B$120*(((Inputs!$G$5:$G$120="moeda")+(Inputs!$G$5:$G$120="acoes"))*Inputs!$B$1+((Inputs!$G$5:$G$120&lt;&gt;"moeda")*(Inputs!$G$5:$G$120&lt;&gt;"acoes")))*INDEX(Inputs!$K$5:$AJ$120,0,MATCH(F$2,Inputs!$K$4:$AJ$4,0)))+SUMPRODUCT((Inputs!$C$5:$C$120=$B62)*Inputs!$D$5:$D$120*(((Inputs!$G$5:$G$120="moeda")+(Inputs!$G$5:$G$120="acoes"))*Inputs!$B$1+((Inputs!$G$5:$G$120&lt;&gt;"moeda")*(Inputs!$G$5:$G$120&lt;&gt;"acoes")))*INDEX(Inputs!$K$5:$AJ$120,0,MATCH(F$2,Inputs!$K$4:$AJ$4,0)))+SUMPRODUCT((Inputs!$E$5:$E$120=$B62)*Inputs!$F$5:$F$120*(((Inputs!$G$5:$G$120="moeda")+(Inputs!$G$5:$G$120="acoes"))*Inputs!$B$1+((Inputs!$G$5:$G$120&lt;&gt;"moeda")*(Inputs!$G$5:$G$120&lt;&gt;"acoes")))*INDEX(Inputs!$K$5:$AJ$120,0,MATCH(F$2,Inputs!$K$4:$AJ$4,0)))))</f>
        <v>1004.9</v>
      </c>
      <c r="G62" s="263">
        <f>IF(ISNA(MATCH(G$2,Inputs!$K$4:$AJ$4,0)),NA(),IF(SUMPRODUCT((Inputs!$A$5:$A$120=$B62)*ISNUMBER(INDEX(Inputs!$K$5:$AJ$120,0,MATCH(G$2,Inputs!$K$4:$AJ$4,0))))+SUMPRODUCT((Inputs!$C$5:$C$120=$B62)*ISNUMBER(INDEX(Inputs!$K$5:$AJ$120,0,MATCH(G$2,Inputs!$K$4:$AJ$4,0))))+SUMPRODUCT((Inputs!$E$5:$E$120=$B62)*ISNUMBER(INDEX(Inputs!$K$5:$AJ$120,0,MATCH(G$2,Inputs!$K$4:$AJ$4,0))))=0,NA(),SUMPRODUCT((Inputs!$A$5:$A$120=$B62)*Inputs!$B$5:$B$120*(((Inputs!$G$5:$G$120="moeda")+(Inputs!$G$5:$G$120="acoes"))*Inputs!$B$1+((Inputs!$G$5:$G$120&lt;&gt;"moeda")*(Inputs!$G$5:$G$120&lt;&gt;"acoes")))*INDEX(Inputs!$K$5:$AJ$120,0,MATCH(G$2,Inputs!$K$4:$AJ$4,0)))+SUMPRODUCT((Inputs!$C$5:$C$120=$B62)*Inputs!$D$5:$D$120*(((Inputs!$G$5:$G$120="moeda")+(Inputs!$G$5:$G$120="acoes"))*Inputs!$B$1+((Inputs!$G$5:$G$120&lt;&gt;"moeda")*(Inputs!$G$5:$G$120&lt;&gt;"acoes")))*INDEX(Inputs!$K$5:$AJ$120,0,MATCH(G$2,Inputs!$K$4:$AJ$4,0)))+SUMPRODUCT((Inputs!$E$5:$E$120=$B62)*Inputs!$F$5:$F$120*(((Inputs!$G$5:$G$120="moeda")+(Inputs!$G$5:$G$120="acoes"))*Inputs!$B$1+((Inputs!$G$5:$G$120&lt;&gt;"moeda")*(Inputs!$G$5:$G$120&lt;&gt;"acoes")))*INDEX(Inputs!$K$5:$AJ$120,0,MATCH(G$2,Inputs!$K$4:$AJ$4,0)))))</f>
        <v>956.6</v>
      </c>
      <c r="H62" s="264">
        <f>SUM(D62:G62)</f>
        <v>3360.8</v>
      </c>
      <c r="I62" s="263">
        <f>IF(ISNA(MATCH(I$2,Inputs!$K$4:$AJ$4,0)),NA(),IF(SUMPRODUCT((Inputs!$A$5:$A$120=$B62)*ISNUMBER(INDEX(Inputs!$K$5:$AJ$120,0,MATCH(I$2,Inputs!$K$4:$AJ$4,0))))+SUMPRODUCT((Inputs!$C$5:$C$120=$B62)*ISNUMBER(INDEX(Inputs!$K$5:$AJ$120,0,MATCH(I$2,Inputs!$K$4:$AJ$4,0))))+SUMPRODUCT((Inputs!$E$5:$E$120=$B62)*ISNUMBER(INDEX(Inputs!$K$5:$AJ$120,0,MATCH(I$2,Inputs!$K$4:$AJ$4,0))))=0,NA(),SUMPRODUCT((Inputs!$A$5:$A$120=$B62)*Inputs!$B$5:$B$120*(((Inputs!$G$5:$G$120="moeda")+(Inputs!$G$5:$G$120="acoes"))*Inputs!$B$1+((Inputs!$G$5:$G$120&lt;&gt;"moeda")*(Inputs!$G$5:$G$120&lt;&gt;"acoes")))*INDEX(Inputs!$K$5:$AJ$120,0,MATCH(I$2,Inputs!$K$4:$AJ$4,0)))+SUMPRODUCT((Inputs!$C$5:$C$120=$B62)*Inputs!$D$5:$D$120*(((Inputs!$G$5:$G$120="moeda")+(Inputs!$G$5:$G$120="acoes"))*Inputs!$B$1+((Inputs!$G$5:$G$120&lt;&gt;"moeda")*(Inputs!$G$5:$G$120&lt;&gt;"acoes")))*INDEX(Inputs!$K$5:$AJ$120,0,MATCH(I$2,Inputs!$K$4:$AJ$4,0)))+SUMPRODUCT((Inputs!$E$5:$E$120=$B62)*Inputs!$F$5:$F$120*(((Inputs!$G$5:$G$120="moeda")+(Inputs!$G$5:$G$120="acoes"))*Inputs!$B$1+((Inputs!$G$5:$G$120&lt;&gt;"moeda")*(Inputs!$G$5:$G$120&lt;&gt;"acoes")))*INDEX(Inputs!$K$5:$AJ$120,0,MATCH(I$2,Inputs!$K$4:$AJ$4,0)))))</f>
        <v>748.1</v>
      </c>
      <c r="J62" s="263">
        <f>IF(ISNA(MATCH(J$2,Inputs!$K$4:$AJ$4,0)),NA(),IF(SUMPRODUCT((Inputs!$A$5:$A$120=$B62)*ISNUMBER(INDEX(Inputs!$K$5:$AJ$120,0,MATCH(J$2,Inputs!$K$4:$AJ$4,0))))+SUMPRODUCT((Inputs!$C$5:$C$120=$B62)*ISNUMBER(INDEX(Inputs!$K$5:$AJ$120,0,MATCH(J$2,Inputs!$K$4:$AJ$4,0))))+SUMPRODUCT((Inputs!$E$5:$E$120=$B62)*ISNUMBER(INDEX(Inputs!$K$5:$AJ$120,0,MATCH(J$2,Inputs!$K$4:$AJ$4,0))))=0,NA(),SUMPRODUCT((Inputs!$A$5:$A$120=$B62)*Inputs!$B$5:$B$120*(((Inputs!$G$5:$G$120="moeda")+(Inputs!$G$5:$G$120="acoes"))*Inputs!$B$1+((Inputs!$G$5:$G$120&lt;&gt;"moeda")*(Inputs!$G$5:$G$120&lt;&gt;"acoes")))*INDEX(Inputs!$K$5:$AJ$120,0,MATCH(J$2,Inputs!$K$4:$AJ$4,0)))+SUMPRODUCT((Inputs!$C$5:$C$120=$B62)*Inputs!$D$5:$D$120*(((Inputs!$G$5:$G$120="moeda")+(Inputs!$G$5:$G$120="acoes"))*Inputs!$B$1+((Inputs!$G$5:$G$120&lt;&gt;"moeda")*(Inputs!$G$5:$G$120&lt;&gt;"acoes")))*INDEX(Inputs!$K$5:$AJ$120,0,MATCH(J$2,Inputs!$K$4:$AJ$4,0)))+SUMPRODUCT((Inputs!$E$5:$E$120=$B62)*Inputs!$F$5:$F$120*(((Inputs!$G$5:$G$120="moeda")+(Inputs!$G$5:$G$120="acoes"))*Inputs!$B$1+((Inputs!$G$5:$G$120&lt;&gt;"moeda")*(Inputs!$G$5:$G$120&lt;&gt;"acoes")))*INDEX(Inputs!$K$5:$AJ$120,0,MATCH(J$2,Inputs!$K$4:$AJ$4,0)))))</f>
        <v>796.5</v>
      </c>
      <c r="K62" s="263">
        <f>IF(ISNA(MATCH(K$2,Inputs!$K$4:$AJ$4,0)),NA(),IF(SUMPRODUCT((Inputs!$A$5:$A$120=$B62)*ISNUMBER(INDEX(Inputs!$K$5:$AJ$120,0,MATCH(K$2,Inputs!$K$4:$AJ$4,0))))+SUMPRODUCT((Inputs!$C$5:$C$120=$B62)*ISNUMBER(INDEX(Inputs!$K$5:$AJ$120,0,MATCH(K$2,Inputs!$K$4:$AJ$4,0))))+SUMPRODUCT((Inputs!$E$5:$E$120=$B62)*ISNUMBER(INDEX(Inputs!$K$5:$AJ$120,0,MATCH(K$2,Inputs!$K$4:$AJ$4,0))))=0,NA(),SUMPRODUCT((Inputs!$A$5:$A$120=$B62)*Inputs!$B$5:$B$120*(((Inputs!$G$5:$G$120="moeda")+(Inputs!$G$5:$G$120="acoes"))*Inputs!$B$1+((Inputs!$G$5:$G$120&lt;&gt;"moeda")*(Inputs!$G$5:$G$120&lt;&gt;"acoes")))*INDEX(Inputs!$K$5:$AJ$120,0,MATCH(K$2,Inputs!$K$4:$AJ$4,0)))+SUMPRODUCT((Inputs!$C$5:$C$120=$B62)*Inputs!$D$5:$D$120*(((Inputs!$G$5:$G$120="moeda")+(Inputs!$G$5:$G$120="acoes"))*Inputs!$B$1+((Inputs!$G$5:$G$120&lt;&gt;"moeda")*(Inputs!$G$5:$G$120&lt;&gt;"acoes")))*INDEX(Inputs!$K$5:$AJ$120,0,MATCH(K$2,Inputs!$K$4:$AJ$4,0)))+SUMPRODUCT((Inputs!$E$5:$E$120=$B62)*Inputs!$F$5:$F$120*(((Inputs!$G$5:$G$120="moeda")+(Inputs!$G$5:$G$120="acoes"))*Inputs!$B$1+((Inputs!$G$5:$G$120&lt;&gt;"moeda")*(Inputs!$G$5:$G$120&lt;&gt;"acoes")))*INDEX(Inputs!$K$5:$AJ$120,0,MATCH(K$2,Inputs!$K$4:$AJ$4,0)))))</f>
        <v>866.4</v>
      </c>
      <c r="L62" s="263">
        <f>IF(ISNA(MATCH(L$2,Inputs!$K$4:$AJ$4,0)),NA(),IF(SUMPRODUCT((Inputs!$A$5:$A$120=$B62)*ISNUMBER(INDEX(Inputs!$K$5:$AJ$120,0,MATCH(L$2,Inputs!$K$4:$AJ$4,0))))+SUMPRODUCT((Inputs!$C$5:$C$120=$B62)*ISNUMBER(INDEX(Inputs!$K$5:$AJ$120,0,MATCH(L$2,Inputs!$K$4:$AJ$4,0))))+SUMPRODUCT((Inputs!$E$5:$E$120=$B62)*ISNUMBER(INDEX(Inputs!$K$5:$AJ$120,0,MATCH(L$2,Inputs!$K$4:$AJ$4,0))))=0,NA(),SUMPRODUCT((Inputs!$A$5:$A$120=$B62)*Inputs!$B$5:$B$120*(((Inputs!$G$5:$G$120="moeda")+(Inputs!$G$5:$G$120="acoes"))*Inputs!$B$1+((Inputs!$G$5:$G$120&lt;&gt;"moeda")*(Inputs!$G$5:$G$120&lt;&gt;"acoes")))*INDEX(Inputs!$K$5:$AJ$120,0,MATCH(L$2,Inputs!$K$4:$AJ$4,0)))+SUMPRODUCT((Inputs!$C$5:$C$120=$B62)*Inputs!$D$5:$D$120*(((Inputs!$G$5:$G$120="moeda")+(Inputs!$G$5:$G$120="acoes"))*Inputs!$B$1+((Inputs!$G$5:$G$120&lt;&gt;"moeda")*(Inputs!$G$5:$G$120&lt;&gt;"acoes")))*INDEX(Inputs!$K$5:$AJ$120,0,MATCH(L$2,Inputs!$K$4:$AJ$4,0)))+SUMPRODUCT((Inputs!$E$5:$E$120=$B62)*Inputs!$F$5:$F$120*(((Inputs!$G$5:$G$120="moeda")+(Inputs!$G$5:$G$120="acoes"))*Inputs!$B$1+((Inputs!$G$5:$G$120&lt;&gt;"moeda")*(Inputs!$G$5:$G$120&lt;&gt;"acoes")))*INDEX(Inputs!$K$5:$AJ$120,0,MATCH(L$2,Inputs!$K$4:$AJ$4,0)))))</f>
        <v>933.5</v>
      </c>
      <c r="M62" s="264">
        <f>SUM(I62:L62)</f>
        <v>3344.5</v>
      </c>
      <c r="N62" s="263">
        <f>IF(ISNA(MATCH(N$2,Inputs!$K$4:$AJ$4,0)),NA(),IF(SUMPRODUCT((Inputs!$A$5:$A$120=$B62)*ISNUMBER(INDEX(Inputs!$K$5:$AJ$120,0,MATCH(N$2,Inputs!$K$4:$AJ$4,0))))+SUMPRODUCT((Inputs!$C$5:$C$120=$B62)*ISNUMBER(INDEX(Inputs!$K$5:$AJ$120,0,MATCH(N$2,Inputs!$K$4:$AJ$4,0))))+SUMPRODUCT((Inputs!$E$5:$E$120=$B62)*ISNUMBER(INDEX(Inputs!$K$5:$AJ$120,0,MATCH(N$2,Inputs!$K$4:$AJ$4,0))))=0,NA(),SUMPRODUCT((Inputs!$A$5:$A$120=$B62)*Inputs!$B$5:$B$120*(((Inputs!$G$5:$G$120="moeda")+(Inputs!$G$5:$G$120="acoes"))*Inputs!$B$1+((Inputs!$G$5:$G$120&lt;&gt;"moeda")*(Inputs!$G$5:$G$120&lt;&gt;"acoes")))*INDEX(Inputs!$K$5:$AJ$120,0,MATCH(N$2,Inputs!$K$4:$AJ$4,0)))+SUMPRODUCT((Inputs!$C$5:$C$120=$B62)*Inputs!$D$5:$D$120*(((Inputs!$G$5:$G$120="moeda")+(Inputs!$G$5:$G$120="acoes"))*Inputs!$B$1+((Inputs!$G$5:$G$120&lt;&gt;"moeda")*(Inputs!$G$5:$G$120&lt;&gt;"acoes")))*INDEX(Inputs!$K$5:$AJ$120,0,MATCH(N$2,Inputs!$K$4:$AJ$4,0)))+SUMPRODUCT((Inputs!$E$5:$E$120=$B62)*Inputs!$F$5:$F$120*(((Inputs!$G$5:$G$120="moeda")+(Inputs!$G$5:$G$120="acoes"))*Inputs!$B$1+((Inputs!$G$5:$G$120&lt;&gt;"moeda")*(Inputs!$G$5:$G$120&lt;&gt;"acoes")))*INDEX(Inputs!$K$5:$AJ$120,0,MATCH(N$2,Inputs!$K$4:$AJ$4,0)))))</f>
        <v>777.8</v>
      </c>
      <c r="O62" s="263">
        <f>IF(ISNA(MATCH(O$2,Inputs!$K$4:$AJ$4,0)),NA(),IF(SUMPRODUCT((Inputs!$A$5:$A$120=$B62)*ISNUMBER(INDEX(Inputs!$K$5:$AJ$120,0,MATCH(O$2,Inputs!$K$4:$AJ$4,0))))+SUMPRODUCT((Inputs!$C$5:$C$120=$B62)*ISNUMBER(INDEX(Inputs!$K$5:$AJ$120,0,MATCH(O$2,Inputs!$K$4:$AJ$4,0))))+SUMPRODUCT((Inputs!$E$5:$E$120=$B62)*ISNUMBER(INDEX(Inputs!$K$5:$AJ$120,0,MATCH(O$2,Inputs!$K$4:$AJ$4,0))))=0,NA(),SUMPRODUCT((Inputs!$A$5:$A$120=$B62)*Inputs!$B$5:$B$120*(((Inputs!$G$5:$G$120="moeda")+(Inputs!$G$5:$G$120="acoes"))*Inputs!$B$1+((Inputs!$G$5:$G$120&lt;&gt;"moeda")*(Inputs!$G$5:$G$120&lt;&gt;"acoes")))*INDEX(Inputs!$K$5:$AJ$120,0,MATCH(O$2,Inputs!$K$4:$AJ$4,0)))+SUMPRODUCT((Inputs!$C$5:$C$120=$B62)*Inputs!$D$5:$D$120*(((Inputs!$G$5:$G$120="moeda")+(Inputs!$G$5:$G$120="acoes"))*Inputs!$B$1+((Inputs!$G$5:$G$120&lt;&gt;"moeda")*(Inputs!$G$5:$G$120&lt;&gt;"acoes")))*INDEX(Inputs!$K$5:$AJ$120,0,MATCH(O$2,Inputs!$K$4:$AJ$4,0)))+SUMPRODUCT((Inputs!$E$5:$E$120=$B62)*Inputs!$F$5:$F$120*(((Inputs!$G$5:$G$120="moeda")+(Inputs!$G$5:$G$120="acoes"))*Inputs!$B$1+((Inputs!$G$5:$G$120&lt;&gt;"moeda")*(Inputs!$G$5:$G$120&lt;&gt;"acoes")))*INDEX(Inputs!$K$5:$AJ$120,0,MATCH(O$2,Inputs!$K$4:$AJ$4,0)))))</f>
        <v>928.5</v>
      </c>
      <c r="P62" s="263">
        <f>IF(ISNA(MATCH(P$2,Inputs!$K$4:$AJ$4,0)),NA(),IF(SUMPRODUCT((Inputs!$A$5:$A$120=$B62)*ISNUMBER(INDEX(Inputs!$K$5:$AJ$120,0,MATCH(P$2,Inputs!$K$4:$AJ$4,0))))+SUMPRODUCT((Inputs!$C$5:$C$120=$B62)*ISNUMBER(INDEX(Inputs!$K$5:$AJ$120,0,MATCH(P$2,Inputs!$K$4:$AJ$4,0))))+SUMPRODUCT((Inputs!$E$5:$E$120=$B62)*ISNUMBER(INDEX(Inputs!$K$5:$AJ$120,0,MATCH(P$2,Inputs!$K$4:$AJ$4,0))))=0,NA(),SUMPRODUCT((Inputs!$A$5:$A$120=$B62)*Inputs!$B$5:$B$120*(((Inputs!$G$5:$G$120="moeda")+(Inputs!$G$5:$G$120="acoes"))*Inputs!$B$1+((Inputs!$G$5:$G$120&lt;&gt;"moeda")*(Inputs!$G$5:$G$120&lt;&gt;"acoes")))*INDEX(Inputs!$K$5:$AJ$120,0,MATCH(P$2,Inputs!$K$4:$AJ$4,0)))+SUMPRODUCT((Inputs!$C$5:$C$120=$B62)*Inputs!$D$5:$D$120*(((Inputs!$G$5:$G$120="moeda")+(Inputs!$G$5:$G$120="acoes"))*Inputs!$B$1+((Inputs!$G$5:$G$120&lt;&gt;"moeda")*(Inputs!$G$5:$G$120&lt;&gt;"acoes")))*INDEX(Inputs!$K$5:$AJ$120,0,MATCH(P$2,Inputs!$K$4:$AJ$4,0)))+SUMPRODUCT((Inputs!$E$5:$E$120=$B62)*Inputs!$F$5:$F$120*(((Inputs!$G$5:$G$120="moeda")+(Inputs!$G$5:$G$120="acoes"))*Inputs!$B$1+((Inputs!$G$5:$G$120&lt;&gt;"moeda")*(Inputs!$G$5:$G$120&lt;&gt;"acoes")))*INDEX(Inputs!$K$5:$AJ$120,0,MATCH(P$2,Inputs!$K$4:$AJ$4,0)))))</f>
        <v>986.9</v>
      </c>
      <c r="Q62" s="263">
        <f>IF(ISNA(MATCH(Q$2,Inputs!$K$4:$AJ$4,0)),NA(),IF(SUMPRODUCT((Inputs!$A$5:$A$120=$B62)*ISNUMBER(INDEX(Inputs!$K$5:$AJ$120,0,MATCH(Q$2,Inputs!$K$4:$AJ$4,0))))+SUMPRODUCT((Inputs!$C$5:$C$120=$B62)*ISNUMBER(INDEX(Inputs!$K$5:$AJ$120,0,MATCH(Q$2,Inputs!$K$4:$AJ$4,0))))+SUMPRODUCT((Inputs!$E$5:$E$120=$B62)*ISNUMBER(INDEX(Inputs!$K$5:$AJ$120,0,MATCH(Q$2,Inputs!$K$4:$AJ$4,0))))=0,NA(),SUMPRODUCT((Inputs!$A$5:$A$120=$B62)*Inputs!$B$5:$B$120*(((Inputs!$G$5:$G$120="moeda")+(Inputs!$G$5:$G$120="acoes"))*Inputs!$B$1+((Inputs!$G$5:$G$120&lt;&gt;"moeda")*(Inputs!$G$5:$G$120&lt;&gt;"acoes")))*INDEX(Inputs!$K$5:$AJ$120,0,MATCH(Q$2,Inputs!$K$4:$AJ$4,0)))+SUMPRODUCT((Inputs!$C$5:$C$120=$B62)*Inputs!$D$5:$D$120*(((Inputs!$G$5:$G$120="moeda")+(Inputs!$G$5:$G$120="acoes"))*Inputs!$B$1+((Inputs!$G$5:$G$120&lt;&gt;"moeda")*(Inputs!$G$5:$G$120&lt;&gt;"acoes")))*INDEX(Inputs!$K$5:$AJ$120,0,MATCH(Q$2,Inputs!$K$4:$AJ$4,0)))+SUMPRODUCT((Inputs!$E$5:$E$120=$B62)*Inputs!$F$5:$F$120*(((Inputs!$G$5:$G$120="moeda")+(Inputs!$G$5:$G$120="acoes"))*Inputs!$B$1+((Inputs!$G$5:$G$120&lt;&gt;"moeda")*(Inputs!$G$5:$G$120&lt;&gt;"acoes")))*INDEX(Inputs!$K$5:$AJ$120,0,MATCH(Q$2,Inputs!$K$4:$AJ$4,0)))))</f>
        <v>1104.3</v>
      </c>
      <c r="R62" s="264">
        <f>SUM(N62:Q62)</f>
        <v>3797.5</v>
      </c>
      <c r="S62" s="263">
        <f>IF(ISNA(MATCH(S$2,Inputs!$K$4:$AJ$4,0)),NA(),IF(SUMPRODUCT((Inputs!$A$5:$A$120=$B62)*ISNUMBER(INDEX(Inputs!$K$5:$AJ$120,0,MATCH(S$2,Inputs!$K$4:$AJ$4,0))))+SUMPRODUCT((Inputs!$C$5:$C$120=$B62)*ISNUMBER(INDEX(Inputs!$K$5:$AJ$120,0,MATCH(S$2,Inputs!$K$4:$AJ$4,0))))+SUMPRODUCT((Inputs!$E$5:$E$120=$B62)*ISNUMBER(INDEX(Inputs!$K$5:$AJ$120,0,MATCH(S$2,Inputs!$K$4:$AJ$4,0))))=0,NA(),SUMPRODUCT((Inputs!$A$5:$A$120=$B62)*Inputs!$B$5:$B$120*(((Inputs!$G$5:$G$120="moeda")+(Inputs!$G$5:$G$120="acoes"))*Inputs!$B$1+((Inputs!$G$5:$G$120&lt;&gt;"moeda")*(Inputs!$G$5:$G$120&lt;&gt;"acoes")))*INDEX(Inputs!$K$5:$AJ$120,0,MATCH(S$2,Inputs!$K$4:$AJ$4,0)))+SUMPRODUCT((Inputs!$C$5:$C$120=$B62)*Inputs!$D$5:$D$120*(((Inputs!$G$5:$G$120="moeda")+(Inputs!$G$5:$G$120="acoes"))*Inputs!$B$1+((Inputs!$G$5:$G$120&lt;&gt;"moeda")*(Inputs!$G$5:$G$120&lt;&gt;"acoes")))*INDEX(Inputs!$K$5:$AJ$120,0,MATCH(S$2,Inputs!$K$4:$AJ$4,0)))+SUMPRODUCT((Inputs!$E$5:$E$120=$B62)*Inputs!$F$5:$F$120*(((Inputs!$G$5:$G$120="moeda")+(Inputs!$G$5:$G$120="acoes"))*Inputs!$B$1+((Inputs!$G$5:$G$120&lt;&gt;"moeda")*(Inputs!$G$5:$G$120&lt;&gt;"acoes")))*INDEX(Inputs!$K$5:$AJ$120,0,MATCH(S$2,Inputs!$K$4:$AJ$4,0)))))</f>
        <v>834</v>
      </c>
      <c r="T62" s="263">
        <f>IF(ISNA(MATCH(T$2,Inputs!$K$4:$AJ$4,0)),NA(),IF(SUMPRODUCT((Inputs!$A$5:$A$120=$B62)*ISNUMBER(INDEX(Inputs!$K$5:$AJ$120,0,MATCH(T$2,Inputs!$K$4:$AJ$4,0))))+SUMPRODUCT((Inputs!$C$5:$C$120=$B62)*ISNUMBER(INDEX(Inputs!$K$5:$AJ$120,0,MATCH(T$2,Inputs!$K$4:$AJ$4,0))))+SUMPRODUCT((Inputs!$E$5:$E$120=$B62)*ISNUMBER(INDEX(Inputs!$K$5:$AJ$120,0,MATCH(T$2,Inputs!$K$4:$AJ$4,0))))=0,NA(),SUMPRODUCT((Inputs!$A$5:$A$120=$B62)*Inputs!$B$5:$B$120*(((Inputs!$G$5:$G$120="moeda")+(Inputs!$G$5:$G$120="acoes"))*Inputs!$B$1+((Inputs!$G$5:$G$120&lt;&gt;"moeda")*(Inputs!$G$5:$G$120&lt;&gt;"acoes")))*INDEX(Inputs!$K$5:$AJ$120,0,MATCH(T$2,Inputs!$K$4:$AJ$4,0)))+SUMPRODUCT((Inputs!$C$5:$C$120=$B62)*Inputs!$D$5:$D$120*(((Inputs!$G$5:$G$120="moeda")+(Inputs!$G$5:$G$120="acoes"))*Inputs!$B$1+((Inputs!$G$5:$G$120&lt;&gt;"moeda")*(Inputs!$G$5:$G$120&lt;&gt;"acoes")))*INDEX(Inputs!$K$5:$AJ$120,0,MATCH(T$2,Inputs!$K$4:$AJ$4,0)))+SUMPRODUCT((Inputs!$E$5:$E$120=$B62)*Inputs!$F$5:$F$120*(((Inputs!$G$5:$G$120="moeda")+(Inputs!$G$5:$G$120="acoes"))*Inputs!$B$1+((Inputs!$G$5:$G$120&lt;&gt;"moeda")*(Inputs!$G$5:$G$120&lt;&gt;"acoes")))*INDEX(Inputs!$K$5:$AJ$120,0,MATCH(T$2,Inputs!$K$4:$AJ$4,0)))))</f>
        <v>1082.4</v>
      </c>
      <c r="U62" s="263">
        <f>IF(ISNA(MATCH(U$2,Inputs!$K$4:$AJ$4,0)),NA(),IF(SUMPRODUCT((Inputs!$A$5:$A$120=$B62)*ISNUMBER(INDEX(Inputs!$K$5:$AJ$120,0,MATCH(U$2,Inputs!$K$4:$AJ$4,0))))+SUMPRODUCT((Inputs!$C$5:$C$120=$B62)*ISNUMBER(INDEX(Inputs!$K$5:$AJ$120,0,MATCH(U$2,Inputs!$K$4:$AJ$4,0))))+SUMPRODUCT((Inputs!$E$5:$E$120=$B62)*ISNUMBER(INDEX(Inputs!$K$5:$AJ$120,0,MATCH(U$2,Inputs!$K$4:$AJ$4,0))))=0,NA(),SUMPRODUCT((Inputs!$A$5:$A$120=$B62)*Inputs!$B$5:$B$120*(((Inputs!$G$5:$G$120="moeda")+(Inputs!$G$5:$G$120="acoes"))*Inputs!$B$1+((Inputs!$G$5:$G$120&lt;&gt;"moeda")*(Inputs!$G$5:$G$120&lt;&gt;"acoes")))*INDEX(Inputs!$K$5:$AJ$120,0,MATCH(U$2,Inputs!$K$4:$AJ$4,0)))+SUMPRODUCT((Inputs!$C$5:$C$120=$B62)*Inputs!$D$5:$D$120*(((Inputs!$G$5:$G$120="moeda")+(Inputs!$G$5:$G$120="acoes"))*Inputs!$B$1+((Inputs!$G$5:$G$120&lt;&gt;"moeda")*(Inputs!$G$5:$G$120&lt;&gt;"acoes")))*INDEX(Inputs!$K$5:$AJ$120,0,MATCH(U$2,Inputs!$K$4:$AJ$4,0)))+SUMPRODUCT((Inputs!$E$5:$E$120=$B62)*Inputs!$F$5:$F$120*(((Inputs!$G$5:$G$120="moeda")+(Inputs!$G$5:$G$120="acoes"))*Inputs!$B$1+((Inputs!$G$5:$G$120&lt;&gt;"moeda")*(Inputs!$G$5:$G$120&lt;&gt;"acoes")))*INDEX(Inputs!$K$5:$AJ$120,0,MATCH(U$2,Inputs!$K$4:$AJ$4,0)))))</f>
        <v>1185.7</v>
      </c>
      <c r="V62" s="263">
        <f>IF(ISNA(MATCH(V$2,Inputs!$K$4:$AJ$4,0)),NA(),IF(SUMPRODUCT((Inputs!$A$5:$A$120=$B62)*ISNUMBER(INDEX(Inputs!$K$5:$AJ$120,0,MATCH(V$2,Inputs!$K$4:$AJ$4,0))))+SUMPRODUCT((Inputs!$C$5:$C$120=$B62)*ISNUMBER(INDEX(Inputs!$K$5:$AJ$120,0,MATCH(V$2,Inputs!$K$4:$AJ$4,0))))+SUMPRODUCT((Inputs!$E$5:$E$120=$B62)*ISNUMBER(INDEX(Inputs!$K$5:$AJ$120,0,MATCH(V$2,Inputs!$K$4:$AJ$4,0))))=0,NA(),SUMPRODUCT((Inputs!$A$5:$A$120=$B62)*Inputs!$B$5:$B$120*(((Inputs!$G$5:$G$120="moeda")+(Inputs!$G$5:$G$120="acoes"))*Inputs!$B$1+((Inputs!$G$5:$G$120&lt;&gt;"moeda")*(Inputs!$G$5:$G$120&lt;&gt;"acoes")))*INDEX(Inputs!$K$5:$AJ$120,0,MATCH(V$2,Inputs!$K$4:$AJ$4,0)))+SUMPRODUCT((Inputs!$C$5:$C$120=$B62)*Inputs!$D$5:$D$120*(((Inputs!$G$5:$G$120="moeda")+(Inputs!$G$5:$G$120="acoes"))*Inputs!$B$1+((Inputs!$G$5:$G$120&lt;&gt;"moeda")*(Inputs!$G$5:$G$120&lt;&gt;"acoes")))*INDEX(Inputs!$K$5:$AJ$120,0,MATCH(V$2,Inputs!$K$4:$AJ$4,0)))+SUMPRODUCT((Inputs!$E$5:$E$120=$B62)*Inputs!$F$5:$F$120*(((Inputs!$G$5:$G$120="moeda")+(Inputs!$G$5:$G$120="acoes"))*Inputs!$B$1+((Inputs!$G$5:$G$120&lt;&gt;"moeda")*(Inputs!$G$5:$G$120&lt;&gt;"acoes")))*INDEX(Inputs!$K$5:$AJ$120,0,MATCH(V$2,Inputs!$K$4:$AJ$4,0)))))</f>
        <v>1290.9</v>
      </c>
      <c r="W62" s="264">
        <f>SUM(S62:V62)</f>
        <v>4393</v>
      </c>
      <c r="X62" s="263">
        <f>IF(ISNA(MATCH(X$2,Inputs!$K$4:$AJ$4,0)),NA(),IF(SUMPRODUCT((Inputs!$A$5:$A$120=$B62)*ISNUMBER(INDEX(Inputs!$K$5:$AJ$120,0,MATCH(X$2,Inputs!$K$4:$AJ$4,0))))+SUMPRODUCT((Inputs!$C$5:$C$120=$B62)*ISNUMBER(INDEX(Inputs!$K$5:$AJ$120,0,MATCH(X$2,Inputs!$K$4:$AJ$4,0))))+SUMPRODUCT((Inputs!$E$5:$E$120=$B62)*ISNUMBER(INDEX(Inputs!$K$5:$AJ$120,0,MATCH(X$2,Inputs!$K$4:$AJ$4,0))))=0,NA(),SUMPRODUCT((Inputs!$A$5:$A$120=$B62)*Inputs!$B$5:$B$120*(((Inputs!$G$5:$G$120="moeda")+(Inputs!$G$5:$G$120="acoes"))*Inputs!$B$1+((Inputs!$G$5:$G$120&lt;&gt;"moeda")*(Inputs!$G$5:$G$120&lt;&gt;"acoes")))*INDEX(Inputs!$K$5:$AJ$120,0,MATCH(X$2,Inputs!$K$4:$AJ$4,0)))+SUMPRODUCT((Inputs!$C$5:$C$120=$B62)*Inputs!$D$5:$D$120*(((Inputs!$G$5:$G$120="moeda")+(Inputs!$G$5:$G$120="acoes"))*Inputs!$B$1+((Inputs!$G$5:$G$120&lt;&gt;"moeda")*(Inputs!$G$5:$G$120&lt;&gt;"acoes")))*INDEX(Inputs!$K$5:$AJ$120,0,MATCH(X$2,Inputs!$K$4:$AJ$4,0)))+SUMPRODUCT((Inputs!$E$5:$E$120=$B62)*Inputs!$F$5:$F$120*(((Inputs!$G$5:$G$120="moeda")+(Inputs!$G$5:$G$120="acoes"))*Inputs!$B$1+((Inputs!$G$5:$G$120&lt;&gt;"moeda")*(Inputs!$G$5:$G$120&lt;&gt;"acoes")))*INDEX(Inputs!$K$5:$AJ$120,0,MATCH(X$2,Inputs!$K$4:$AJ$4,0)))))</f>
        <v>1088</v>
      </c>
      <c r="Y62" s="263">
        <f>IF(ISNA(MATCH(Y$2,Inputs!$K$4:$AJ$4,0)),NA(),IF(SUMPRODUCT((Inputs!$A$5:$A$120=$B62)*ISNUMBER(INDEX(Inputs!$K$5:$AJ$120,0,MATCH(Y$2,Inputs!$K$4:$AJ$4,0))))+SUMPRODUCT((Inputs!$C$5:$C$120=$B62)*ISNUMBER(INDEX(Inputs!$K$5:$AJ$120,0,MATCH(Y$2,Inputs!$K$4:$AJ$4,0))))+SUMPRODUCT((Inputs!$E$5:$E$120=$B62)*ISNUMBER(INDEX(Inputs!$K$5:$AJ$120,0,MATCH(Y$2,Inputs!$K$4:$AJ$4,0))))=0,NA(),SUMPRODUCT((Inputs!$A$5:$A$120=$B62)*Inputs!$B$5:$B$120*(((Inputs!$G$5:$G$120="moeda")+(Inputs!$G$5:$G$120="acoes"))*Inputs!$B$1+((Inputs!$G$5:$G$120&lt;&gt;"moeda")*(Inputs!$G$5:$G$120&lt;&gt;"acoes")))*INDEX(Inputs!$K$5:$AJ$120,0,MATCH(Y$2,Inputs!$K$4:$AJ$4,0)))+SUMPRODUCT((Inputs!$C$5:$C$120=$B62)*Inputs!$D$5:$D$120*(((Inputs!$G$5:$G$120="moeda")+(Inputs!$G$5:$G$120="acoes"))*Inputs!$B$1+((Inputs!$G$5:$G$120&lt;&gt;"moeda")*(Inputs!$G$5:$G$120&lt;&gt;"acoes")))*INDEX(Inputs!$K$5:$AJ$120,0,MATCH(Y$2,Inputs!$K$4:$AJ$4,0)))+SUMPRODUCT((Inputs!$E$5:$E$120=$B62)*Inputs!$F$5:$F$120*(((Inputs!$G$5:$G$120="moeda")+(Inputs!$G$5:$G$120="acoes"))*Inputs!$B$1+((Inputs!$G$5:$G$120&lt;&gt;"moeda")*(Inputs!$G$5:$G$120&lt;&gt;"acoes")))*INDEX(Inputs!$K$5:$AJ$120,0,MATCH(Y$2,Inputs!$K$4:$AJ$4,0)))))</f>
        <v>1256</v>
      </c>
      <c r="Z62" s="263">
        <f>IF(ISNA(MATCH(Z$2,Inputs!$K$4:$AJ$4,0)),NA(),IF(SUMPRODUCT((Inputs!$A$5:$A$120=$B62)*ISNUMBER(INDEX(Inputs!$K$5:$AJ$120,0,MATCH(Z$2,Inputs!$K$4:$AJ$4,0))))+SUMPRODUCT((Inputs!$C$5:$C$120=$B62)*ISNUMBER(INDEX(Inputs!$K$5:$AJ$120,0,MATCH(Z$2,Inputs!$K$4:$AJ$4,0))))+SUMPRODUCT((Inputs!$E$5:$E$120=$B62)*ISNUMBER(INDEX(Inputs!$K$5:$AJ$120,0,MATCH(Z$2,Inputs!$K$4:$AJ$4,0))))=0,NA(),SUMPRODUCT((Inputs!$A$5:$A$120=$B62)*Inputs!$B$5:$B$120*(((Inputs!$G$5:$G$120="moeda")+(Inputs!$G$5:$G$120="acoes"))*Inputs!$B$1+((Inputs!$G$5:$G$120&lt;&gt;"moeda")*(Inputs!$G$5:$G$120&lt;&gt;"acoes")))*INDEX(Inputs!$K$5:$AJ$120,0,MATCH(Z$2,Inputs!$K$4:$AJ$4,0)))+SUMPRODUCT((Inputs!$C$5:$C$120=$B62)*Inputs!$D$5:$D$120*(((Inputs!$G$5:$G$120="moeda")+(Inputs!$G$5:$G$120="acoes"))*Inputs!$B$1+((Inputs!$G$5:$G$120&lt;&gt;"moeda")*(Inputs!$G$5:$G$120&lt;&gt;"acoes")))*INDEX(Inputs!$K$5:$AJ$120,0,MATCH(Z$2,Inputs!$K$4:$AJ$4,0)))+SUMPRODUCT((Inputs!$E$5:$E$120=$B62)*Inputs!$F$5:$F$120*(((Inputs!$G$5:$G$120="moeda")+(Inputs!$G$5:$G$120="acoes"))*Inputs!$B$1+((Inputs!$G$5:$G$120&lt;&gt;"moeda")*(Inputs!$G$5:$G$120&lt;&gt;"acoes")))*INDEX(Inputs!$K$5:$AJ$120,0,MATCH(Z$2,Inputs!$K$4:$AJ$4,0)))))</f>
        <v>1362.4</v>
      </c>
      <c r="AA62" s="263">
        <f>IF(ISNA(MATCH(AA$2,Inputs!$K$4:$AJ$4,0)),NA(),IF(SUMPRODUCT((Inputs!$A$5:$A$120=$B62)*ISNUMBER(INDEX(Inputs!$K$5:$AJ$120,0,MATCH(AA$2,Inputs!$K$4:$AJ$4,0))))+SUMPRODUCT((Inputs!$C$5:$C$120=$B62)*ISNUMBER(INDEX(Inputs!$K$5:$AJ$120,0,MATCH(AA$2,Inputs!$K$4:$AJ$4,0))))+SUMPRODUCT((Inputs!$E$5:$E$120=$B62)*ISNUMBER(INDEX(Inputs!$K$5:$AJ$120,0,MATCH(AA$2,Inputs!$K$4:$AJ$4,0))))=0,NA(),SUMPRODUCT((Inputs!$A$5:$A$120=$B62)*Inputs!$B$5:$B$120*(((Inputs!$G$5:$G$120="moeda")+(Inputs!$G$5:$G$120="acoes"))*Inputs!$B$1+((Inputs!$G$5:$G$120&lt;&gt;"moeda")*(Inputs!$G$5:$G$120&lt;&gt;"acoes")))*INDEX(Inputs!$K$5:$AJ$120,0,MATCH(AA$2,Inputs!$K$4:$AJ$4,0)))+SUMPRODUCT((Inputs!$C$5:$C$120=$B62)*Inputs!$D$5:$D$120*(((Inputs!$G$5:$G$120="moeda")+(Inputs!$G$5:$G$120="acoes"))*Inputs!$B$1+((Inputs!$G$5:$G$120&lt;&gt;"moeda")*(Inputs!$G$5:$G$120&lt;&gt;"acoes")))*INDEX(Inputs!$K$5:$AJ$120,0,MATCH(AA$2,Inputs!$K$4:$AJ$4,0)))+SUMPRODUCT((Inputs!$E$5:$E$120=$B62)*Inputs!$F$5:$F$120*(((Inputs!$G$5:$G$120="moeda")+(Inputs!$G$5:$G$120="acoes"))*Inputs!$B$1+((Inputs!$G$5:$G$120&lt;&gt;"moeda")*(Inputs!$G$5:$G$120&lt;&gt;"acoes")))*INDEX(Inputs!$K$5:$AJ$120,0,MATCH(AA$2,Inputs!$K$4:$AJ$4,0)))))</f>
        <v>1541</v>
      </c>
      <c r="AB62" s="264">
        <f>SUM(X62:AA62)</f>
        <v>5247.4</v>
      </c>
      <c r="AC62" s="263">
        <f>IF(ISNA(MATCH(AC$2,Inputs!$K$4:$AJ$4,0)),NA(),IF(SUMPRODUCT((Inputs!$A$5:$A$120=$B62)*ISNUMBER(INDEX(Inputs!$K$5:$AJ$120,0,MATCH(AC$2,Inputs!$K$4:$AJ$4,0))))+SUMPRODUCT((Inputs!$C$5:$C$120=$B62)*ISNUMBER(INDEX(Inputs!$K$5:$AJ$120,0,MATCH(AC$2,Inputs!$K$4:$AJ$4,0))))+SUMPRODUCT((Inputs!$E$5:$E$120=$B62)*ISNUMBER(INDEX(Inputs!$K$5:$AJ$120,0,MATCH(AC$2,Inputs!$K$4:$AJ$4,0))))=0,NA(),SUMPRODUCT((Inputs!$A$5:$A$120=$B62)*Inputs!$B$5:$B$120*(((Inputs!$G$5:$G$120="moeda")+(Inputs!$G$5:$G$120="acoes"))*Inputs!$B$1+((Inputs!$G$5:$G$120&lt;&gt;"moeda")*(Inputs!$G$5:$G$120&lt;&gt;"acoes")))*INDEX(Inputs!$K$5:$AJ$120,0,MATCH(AC$2,Inputs!$K$4:$AJ$4,0)))+SUMPRODUCT((Inputs!$C$5:$C$120=$B62)*Inputs!$D$5:$D$120*(((Inputs!$G$5:$G$120="moeda")+(Inputs!$G$5:$G$120="acoes"))*Inputs!$B$1+((Inputs!$G$5:$G$120&lt;&gt;"moeda")*(Inputs!$G$5:$G$120&lt;&gt;"acoes")))*INDEX(Inputs!$K$5:$AJ$120,0,MATCH(AC$2,Inputs!$K$4:$AJ$4,0)))+SUMPRODUCT((Inputs!$E$5:$E$120=$B62)*Inputs!$F$5:$F$120*(((Inputs!$G$5:$G$120="moeda")+(Inputs!$G$5:$G$120="acoes"))*Inputs!$B$1+((Inputs!$G$5:$G$120&lt;&gt;"moeda")*(Inputs!$G$5:$G$120&lt;&gt;"acoes")))*INDEX(Inputs!$K$5:$AJ$120,0,MATCH(AC$2,Inputs!$K$4:$AJ$4,0)))))</f>
        <v>1203</v>
      </c>
      <c r="AD62" s="263">
        <f>IF(ISNA(MATCH(AD$2,Inputs!$K$4:$AJ$4,0)),NA(),IF(SUMPRODUCT((Inputs!$A$5:$A$120=$B62)*ISNUMBER(INDEX(Inputs!$K$5:$AJ$120,0,MATCH(AD$2,Inputs!$K$4:$AJ$4,0))))+SUMPRODUCT((Inputs!$C$5:$C$120=$B62)*ISNUMBER(INDEX(Inputs!$K$5:$AJ$120,0,MATCH(AD$2,Inputs!$K$4:$AJ$4,0))))+SUMPRODUCT((Inputs!$E$5:$E$120=$B62)*ISNUMBER(INDEX(Inputs!$K$5:$AJ$120,0,MATCH(AD$2,Inputs!$K$4:$AJ$4,0))))=0,NA(),SUMPRODUCT((Inputs!$A$5:$A$120=$B62)*Inputs!$B$5:$B$120*(((Inputs!$G$5:$G$120="moeda")+(Inputs!$G$5:$G$120="acoes"))*Inputs!$B$1+((Inputs!$G$5:$G$120&lt;&gt;"moeda")*(Inputs!$G$5:$G$120&lt;&gt;"acoes")))*INDEX(Inputs!$K$5:$AJ$120,0,MATCH(AD$2,Inputs!$K$4:$AJ$4,0)))+SUMPRODUCT((Inputs!$C$5:$C$120=$B62)*Inputs!$D$5:$D$120*(((Inputs!$G$5:$G$120="moeda")+(Inputs!$G$5:$G$120="acoes"))*Inputs!$B$1+((Inputs!$G$5:$G$120&lt;&gt;"moeda")*(Inputs!$G$5:$G$120&lt;&gt;"acoes")))*INDEX(Inputs!$K$5:$AJ$120,0,MATCH(AD$2,Inputs!$K$4:$AJ$4,0)))+SUMPRODUCT((Inputs!$E$5:$E$120=$B62)*Inputs!$F$5:$F$120*(((Inputs!$G$5:$G$120="moeda")+(Inputs!$G$5:$G$120="acoes"))*Inputs!$B$1+((Inputs!$G$5:$G$120&lt;&gt;"moeda")*(Inputs!$G$5:$G$120&lt;&gt;"acoes")))*INDEX(Inputs!$K$5:$AJ$120,0,MATCH(AD$2,Inputs!$K$4:$AJ$4,0)))))</f>
        <v>1417</v>
      </c>
      <c r="AE62" s="263" t="e">
        <f>IF(ISNA(MATCH(AE$2,Inputs!$K$4:$AJ$4,0)),NA(),IF(SUMPRODUCT((Inputs!$A$5:$A$120=$B62)*ISNUMBER(INDEX(Inputs!$K$5:$AJ$120,0,MATCH(AE$2,Inputs!$K$4:$AJ$4,0))))+SUMPRODUCT((Inputs!$C$5:$C$120=$B62)*ISNUMBER(INDEX(Inputs!$K$5:$AJ$120,0,MATCH(AE$2,Inputs!$K$4:$AJ$4,0))))+SUMPRODUCT((Inputs!$E$5:$E$120=$B62)*ISNUMBER(INDEX(Inputs!$K$5:$AJ$120,0,MATCH(AE$2,Inputs!$K$4:$AJ$4,0))))=0,NA(),SUMPRODUCT((Inputs!$A$5:$A$120=$B62)*Inputs!$B$5:$B$120*(((Inputs!$G$5:$G$120="moeda")+(Inputs!$G$5:$G$120="acoes"))*Inputs!$B$1+((Inputs!$G$5:$G$120&lt;&gt;"moeda")*(Inputs!$G$5:$G$120&lt;&gt;"acoes")))*INDEX(Inputs!$K$5:$AJ$120,0,MATCH(AE$2,Inputs!$K$4:$AJ$4,0)))+SUMPRODUCT((Inputs!$C$5:$C$120=$B62)*Inputs!$D$5:$D$120*(((Inputs!$G$5:$G$120="moeda")+(Inputs!$G$5:$G$120="acoes"))*Inputs!$B$1+((Inputs!$G$5:$G$120&lt;&gt;"moeda")*(Inputs!$G$5:$G$120&lt;&gt;"acoes")))*INDEX(Inputs!$K$5:$AJ$120,0,MATCH(AE$2,Inputs!$K$4:$AJ$4,0)))+SUMPRODUCT((Inputs!$E$5:$E$120=$B62)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2" s="263" t="e">
        <f>IF(ISNA(MATCH(AF$2,Inputs!$K$4:$AJ$4,0)),NA(),IF(SUMPRODUCT((Inputs!$A$5:$A$120=$B62)*ISNUMBER(INDEX(Inputs!$K$5:$AJ$120,0,MATCH(AF$2,Inputs!$K$4:$AJ$4,0))))+SUMPRODUCT((Inputs!$C$5:$C$120=$B62)*ISNUMBER(INDEX(Inputs!$K$5:$AJ$120,0,MATCH(AF$2,Inputs!$K$4:$AJ$4,0))))+SUMPRODUCT((Inputs!$E$5:$E$120=$B62)*ISNUMBER(INDEX(Inputs!$K$5:$AJ$120,0,MATCH(AF$2,Inputs!$K$4:$AJ$4,0))))=0,NA(),SUMPRODUCT((Inputs!$A$5:$A$120=$B62)*Inputs!$B$5:$B$120*(((Inputs!$G$5:$G$120="moeda")+(Inputs!$G$5:$G$120="acoes"))*Inputs!$B$1+((Inputs!$G$5:$G$120&lt;&gt;"moeda")*(Inputs!$G$5:$G$120&lt;&gt;"acoes")))*INDEX(Inputs!$K$5:$AJ$120,0,MATCH(AF$2,Inputs!$K$4:$AJ$4,0)))+SUMPRODUCT((Inputs!$C$5:$C$120=$B62)*Inputs!$D$5:$D$120*(((Inputs!$G$5:$G$120="moeda")+(Inputs!$G$5:$G$120="acoes"))*Inputs!$B$1+((Inputs!$G$5:$G$120&lt;&gt;"moeda")*(Inputs!$G$5:$G$120&lt;&gt;"acoes")))*INDEX(Inputs!$K$5:$AJ$120,0,MATCH(AF$2,Inputs!$K$4:$AJ$4,0)))+SUMPRODUCT((Inputs!$E$5:$E$120=$B62)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2" s="264" t="e">
        <f>SUM(AC62:AF62)</f>
        <v>#N/A</v>
      </c>
      <c r="AH62" s="263">
        <f>IF(ISNA(MATCH(AH$2,Inputs!$K$4:$AJ$4,0)),NA(),IF(SUMPRODUCT((Inputs!$A$5:$A$120=$B62)*ISNUMBER(INDEX(Inputs!$K$5:$AJ$120,0,MATCH(AH$2,Inputs!$K$4:$AJ$4,0))))+SUMPRODUCT((Inputs!$C$5:$C$120=$B62)*ISNUMBER(INDEX(Inputs!$K$5:$AJ$120,0,MATCH(AH$2,Inputs!$K$4:$AJ$4,0))))+SUMPRODUCT((Inputs!$E$5:$E$120=$B62)*ISNUMBER(INDEX(Inputs!$K$5:$AJ$120,0,MATCH(AH$2,Inputs!$K$4:$AJ$4,0))))=0,NA(),SUMPRODUCT((Inputs!$A$5:$A$120=$B62)*Inputs!$B$5:$B$120*(((Inputs!$G$5:$G$120="moeda")+(Inputs!$G$5:$G$120="acoes"))*Inputs!$B$1+((Inputs!$G$5:$G$120&lt;&gt;"moeda")*(Inputs!$G$5:$G$120&lt;&gt;"acoes")))*INDEX(Inputs!$K$5:$AJ$120,0,MATCH(AH$2,Inputs!$K$4:$AJ$4,0)))+SUMPRODUCT((Inputs!$C$5:$C$120=$B62)*Inputs!$D$5:$D$120*(((Inputs!$G$5:$G$120="moeda")+(Inputs!$G$5:$G$120="acoes"))*Inputs!$B$1+((Inputs!$G$5:$G$120&lt;&gt;"moeda")*(Inputs!$G$5:$G$120&lt;&gt;"acoes")))*INDEX(Inputs!$K$5:$AJ$120,0,MATCH(AH$2,Inputs!$K$4:$AJ$4,0)))+SUMPRODUCT((Inputs!$E$5:$E$120=$B62)*Inputs!$F$5:$F$120*(((Inputs!$G$5:$G$120="moeda")+(Inputs!$G$5:$G$120="acoes"))*Inputs!$B$1+((Inputs!$G$5:$G$120&lt;&gt;"moeda")*(Inputs!$G$5:$G$120&lt;&gt;"acoes")))*INDEX(Inputs!$K$5:$AJ$120,0,MATCH(AH$2,Inputs!$K$4:$AJ$4,0)))))</f>
        <v>585.8</v>
      </c>
      <c r="AI62" s="263">
        <f>IF(ISNA(MATCH(AI$2,Inputs!$K$4:$AJ$4,0)),NA(),IF(SUMPRODUCT((Inputs!$A$5:$A$120=$B62)*ISNUMBER(INDEX(Inputs!$K$5:$AJ$120,0,MATCH(AI$2,Inputs!$K$4:$AJ$4,0))))+SUMPRODUCT((Inputs!$C$5:$C$120=$B62)*ISNUMBER(INDEX(Inputs!$K$5:$AJ$120,0,MATCH(AI$2,Inputs!$K$4:$AJ$4,0))))+SUMPRODUCT((Inputs!$E$5:$E$120=$B62)*ISNUMBER(INDEX(Inputs!$K$5:$AJ$120,0,MATCH(AI$2,Inputs!$K$4:$AJ$4,0))))=0,NA(),SUMPRODUCT((Inputs!$A$5:$A$120=$B62)*Inputs!$B$5:$B$120*(((Inputs!$G$5:$G$120="moeda")+(Inputs!$G$5:$G$120="acoes"))*Inputs!$B$1+((Inputs!$G$5:$G$120&lt;&gt;"moeda")*(Inputs!$G$5:$G$120&lt;&gt;"acoes")))*INDEX(Inputs!$K$5:$AJ$120,0,MATCH(AI$2,Inputs!$K$4:$AJ$4,0)))+SUMPRODUCT((Inputs!$C$5:$C$120=$B62)*Inputs!$D$5:$D$120*(((Inputs!$G$5:$G$120="moeda")+(Inputs!$G$5:$G$120="acoes"))*Inputs!$B$1+((Inputs!$G$5:$G$120&lt;&gt;"moeda")*(Inputs!$G$5:$G$120&lt;&gt;"acoes")))*INDEX(Inputs!$K$5:$AJ$120,0,MATCH(AI$2,Inputs!$K$4:$AJ$4,0)))+SUMPRODUCT((Inputs!$E$5:$E$120=$B62)*Inputs!$F$5:$F$120*(((Inputs!$G$5:$G$120="moeda")+(Inputs!$G$5:$G$120="acoes"))*Inputs!$B$1+((Inputs!$G$5:$G$120&lt;&gt;"moeda")*(Inputs!$G$5:$G$120&lt;&gt;"acoes")))*INDEX(Inputs!$K$5:$AJ$120,0,MATCH(AI$2,Inputs!$K$4:$AJ$4,0)))))</f>
        <v>548.3</v>
      </c>
      <c r="AJ62" s="263">
        <f>IF(ISNA(MATCH(AJ$2,Inputs!$K$4:$AJ$4,0)),NA(),IF(SUMPRODUCT((Inputs!$A$5:$A$120=$B62)*ISNUMBER(INDEX(Inputs!$K$5:$AJ$120,0,MATCH(AJ$2,Inputs!$K$4:$AJ$4,0))))+SUMPRODUCT((Inputs!$C$5:$C$120=$B62)*ISNUMBER(INDEX(Inputs!$K$5:$AJ$120,0,MATCH(AJ$2,Inputs!$K$4:$AJ$4,0))))+SUMPRODUCT((Inputs!$E$5:$E$120=$B62)*ISNUMBER(INDEX(Inputs!$K$5:$AJ$120,0,MATCH(AJ$2,Inputs!$K$4:$AJ$4,0))))=0,NA(),SUMPRODUCT((Inputs!$A$5:$A$120=$B62)*Inputs!$B$5:$B$120*(((Inputs!$G$5:$G$120="moeda")+(Inputs!$G$5:$G$120="acoes"))*Inputs!$B$1+((Inputs!$G$5:$G$120&lt;&gt;"moeda")*(Inputs!$G$5:$G$120&lt;&gt;"acoes")))*INDEX(Inputs!$K$5:$AJ$120,0,MATCH(AJ$2,Inputs!$K$4:$AJ$4,0)))+SUMPRODUCT((Inputs!$C$5:$C$120=$B62)*Inputs!$D$5:$D$120*(((Inputs!$G$5:$G$120="moeda")+(Inputs!$G$5:$G$120="acoes"))*Inputs!$B$1+((Inputs!$G$5:$G$120&lt;&gt;"moeda")*(Inputs!$G$5:$G$120&lt;&gt;"acoes")))*INDEX(Inputs!$K$5:$AJ$120,0,MATCH(AJ$2,Inputs!$K$4:$AJ$4,0)))+SUMPRODUCT((Inputs!$E$5:$E$120=$B62)*Inputs!$F$5:$F$120*(((Inputs!$G$5:$G$120="moeda")+(Inputs!$G$5:$G$120="acoes"))*Inputs!$B$1+((Inputs!$G$5:$G$120&lt;&gt;"moeda")*(Inputs!$G$5:$G$120&lt;&gt;"acoes")))*INDEX(Inputs!$K$5:$AJ$120,0,MATCH(AJ$2,Inputs!$K$4:$AJ$4,0)))))</f>
        <v>627.1</v>
      </c>
      <c r="AK62" s="263">
        <f>IF(ISNA(MATCH(AK$2,Inputs!$K$4:$AJ$4,0)),NA(),IF(SUMPRODUCT((Inputs!$A$5:$A$120=$B62)*ISNUMBER(INDEX(Inputs!$K$5:$AJ$120,0,MATCH(AK$2,Inputs!$K$4:$AJ$4,0))))+SUMPRODUCT((Inputs!$C$5:$C$120=$B62)*ISNUMBER(INDEX(Inputs!$K$5:$AJ$120,0,MATCH(AK$2,Inputs!$K$4:$AJ$4,0))))+SUMPRODUCT((Inputs!$E$5:$E$120=$B62)*ISNUMBER(INDEX(Inputs!$K$5:$AJ$120,0,MATCH(AK$2,Inputs!$K$4:$AJ$4,0))))=0,NA(),SUMPRODUCT((Inputs!$A$5:$A$120=$B62)*Inputs!$B$5:$B$120*(((Inputs!$G$5:$G$120="moeda")+(Inputs!$G$5:$G$120="acoes"))*Inputs!$B$1+((Inputs!$G$5:$G$120&lt;&gt;"moeda")*(Inputs!$G$5:$G$120&lt;&gt;"acoes")))*INDEX(Inputs!$K$5:$AJ$120,0,MATCH(AK$2,Inputs!$K$4:$AJ$4,0)))+SUMPRODUCT((Inputs!$C$5:$C$120=$B62)*Inputs!$D$5:$D$120*(((Inputs!$G$5:$G$120="moeda")+(Inputs!$G$5:$G$120="acoes"))*Inputs!$B$1+((Inputs!$G$5:$G$120&lt;&gt;"moeda")*(Inputs!$G$5:$G$120&lt;&gt;"acoes")))*INDEX(Inputs!$K$5:$AJ$120,0,MATCH(AK$2,Inputs!$K$4:$AJ$4,0)))+SUMPRODUCT((Inputs!$E$5:$E$120=$B62)*Inputs!$F$5:$F$120*(((Inputs!$G$5:$G$120="moeda")+(Inputs!$G$5:$G$120="acoes"))*Inputs!$B$1+((Inputs!$G$5:$G$120&lt;&gt;"moeda")*(Inputs!$G$5:$G$120&lt;&gt;"acoes")))*INDEX(Inputs!$K$5:$AJ$120,0,MATCH(AK$2,Inputs!$K$4:$AJ$4,0)))))</f>
        <v>700.7</v>
      </c>
      <c r="AL62" s="264">
        <f>SUM(AH62:AK62)</f>
        <v>2461.9</v>
      </c>
    </row>
    <row r="63">
      <c r="B63" s="46" t="n">
        <v>55</v>
      </c>
      <c r="C63" s="29" t="inlineStr">
        <is>
          <t>Neurociência - receita (USD)</t>
        </is>
      </c>
      <c r="D63" s="263">
        <f>IF(ISNA(MATCH(D$2,Inputs!$K$4:$AJ$4,0)),NA(),IF(SUMPRODUCT((Inputs!$A$5:$A$120=$B63)*ISNUMBER(INDEX(Inputs!$K$5:$AJ$120,0,MATCH(D$2,Inputs!$K$4:$AJ$4,0))))+SUMPRODUCT((Inputs!$C$5:$C$120=$B63)*ISNUMBER(INDEX(Inputs!$K$5:$AJ$120,0,MATCH(D$2,Inputs!$K$4:$AJ$4,0))))+SUMPRODUCT((Inputs!$E$5:$E$120=$B63)*ISNUMBER(INDEX(Inputs!$K$5:$AJ$120,0,MATCH(D$2,Inputs!$K$4:$AJ$4,0))))=0,NA(),SUMPRODUCT((Inputs!$A$5:$A$120=$B63)*Inputs!$B$5:$B$120*(((Inputs!$G$5:$G$120="moeda")+(Inputs!$G$5:$G$120="acoes"))*Inputs!$B$1+((Inputs!$G$5:$G$120&lt;&gt;"moeda")*(Inputs!$G$5:$G$120&lt;&gt;"acoes")))*INDEX(Inputs!$K$5:$AJ$120,0,MATCH(D$2,Inputs!$K$4:$AJ$4,0)))+SUMPRODUCT((Inputs!$C$5:$C$120=$B63)*Inputs!$D$5:$D$120*(((Inputs!$G$5:$G$120="moeda")+(Inputs!$G$5:$G$120="acoes"))*Inputs!$B$1+((Inputs!$G$5:$G$120&lt;&gt;"moeda")*(Inputs!$G$5:$G$120&lt;&gt;"acoes")))*INDEX(Inputs!$K$5:$AJ$120,0,MATCH(D$2,Inputs!$K$4:$AJ$4,0)))+SUMPRODUCT((Inputs!$E$5:$E$120=$B63)*Inputs!$F$5:$F$120*(((Inputs!$G$5:$G$120="moeda")+(Inputs!$G$5:$G$120="acoes"))*Inputs!$B$1+((Inputs!$G$5:$G$120&lt;&gt;"moeda")*(Inputs!$G$5:$G$120&lt;&gt;"acoes")))*INDEX(Inputs!$K$5:$AJ$120,0,MATCH(D$2,Inputs!$K$4:$AJ$4,0)))))</f>
        <v>465.4</v>
      </c>
      <c r="E63" s="263">
        <f>IF(ISNA(MATCH(E$2,Inputs!$K$4:$AJ$4,0)),NA(),IF(SUMPRODUCT((Inputs!$A$5:$A$120=$B63)*ISNUMBER(INDEX(Inputs!$K$5:$AJ$120,0,MATCH(E$2,Inputs!$K$4:$AJ$4,0))))+SUMPRODUCT((Inputs!$C$5:$C$120=$B63)*ISNUMBER(INDEX(Inputs!$K$5:$AJ$120,0,MATCH(E$2,Inputs!$K$4:$AJ$4,0))))+SUMPRODUCT((Inputs!$E$5:$E$120=$B63)*ISNUMBER(INDEX(Inputs!$K$5:$AJ$120,0,MATCH(E$2,Inputs!$K$4:$AJ$4,0))))=0,NA(),SUMPRODUCT((Inputs!$A$5:$A$120=$B63)*Inputs!$B$5:$B$120*(((Inputs!$G$5:$G$120="moeda")+(Inputs!$G$5:$G$120="acoes"))*Inputs!$B$1+((Inputs!$G$5:$G$120&lt;&gt;"moeda")*(Inputs!$G$5:$G$120&lt;&gt;"acoes")))*INDEX(Inputs!$K$5:$AJ$120,0,MATCH(E$2,Inputs!$K$4:$AJ$4,0)))+SUMPRODUCT((Inputs!$C$5:$C$120=$B63)*Inputs!$D$5:$D$120*(((Inputs!$G$5:$G$120="moeda")+(Inputs!$G$5:$G$120="acoes"))*Inputs!$B$1+((Inputs!$G$5:$G$120&lt;&gt;"moeda")*(Inputs!$G$5:$G$120&lt;&gt;"acoes")))*INDEX(Inputs!$K$5:$AJ$120,0,MATCH(E$2,Inputs!$K$4:$AJ$4,0)))+SUMPRODUCT((Inputs!$E$5:$E$120=$B63)*Inputs!$F$5:$F$120*(((Inputs!$G$5:$G$120="moeda")+(Inputs!$G$5:$G$120="acoes"))*Inputs!$B$1+((Inputs!$G$5:$G$120&lt;&gt;"moeda")*(Inputs!$G$5:$G$120&lt;&gt;"acoes")))*INDEX(Inputs!$K$5:$AJ$120,0,MATCH(E$2,Inputs!$K$4:$AJ$4,0)))))</f>
        <v>512.2</v>
      </c>
      <c r="F63" s="263">
        <f>IF(ISNA(MATCH(F$2,Inputs!$K$4:$AJ$4,0)),NA(),IF(SUMPRODUCT((Inputs!$A$5:$A$120=$B63)*ISNUMBER(INDEX(Inputs!$K$5:$AJ$120,0,MATCH(F$2,Inputs!$K$4:$AJ$4,0))))+SUMPRODUCT((Inputs!$C$5:$C$120=$B63)*ISNUMBER(INDEX(Inputs!$K$5:$AJ$120,0,MATCH(F$2,Inputs!$K$4:$AJ$4,0))))+SUMPRODUCT((Inputs!$E$5:$E$120=$B63)*ISNUMBER(INDEX(Inputs!$K$5:$AJ$120,0,MATCH(F$2,Inputs!$K$4:$AJ$4,0))))=0,NA(),SUMPRODUCT((Inputs!$A$5:$A$120=$B63)*Inputs!$B$5:$B$120*(((Inputs!$G$5:$G$120="moeda")+(Inputs!$G$5:$G$120="acoes"))*Inputs!$B$1+((Inputs!$G$5:$G$120&lt;&gt;"moeda")*(Inputs!$G$5:$G$120&lt;&gt;"acoes")))*INDEX(Inputs!$K$5:$AJ$120,0,MATCH(F$2,Inputs!$K$4:$AJ$4,0)))+SUMPRODUCT((Inputs!$C$5:$C$120=$B63)*Inputs!$D$5:$D$120*(((Inputs!$G$5:$G$120="moeda")+(Inputs!$G$5:$G$120="acoes"))*Inputs!$B$1+((Inputs!$G$5:$G$120&lt;&gt;"moeda")*(Inputs!$G$5:$G$120&lt;&gt;"acoes")))*INDEX(Inputs!$K$5:$AJ$120,0,MATCH(F$2,Inputs!$K$4:$AJ$4,0)))+SUMPRODUCT((Inputs!$E$5:$E$120=$B63)*Inputs!$F$5:$F$120*(((Inputs!$G$5:$G$120="moeda")+(Inputs!$G$5:$G$120="acoes"))*Inputs!$B$1+((Inputs!$G$5:$G$120&lt;&gt;"moeda")*(Inputs!$G$5:$G$120&lt;&gt;"acoes")))*INDEX(Inputs!$K$5:$AJ$120,0,MATCH(F$2,Inputs!$K$4:$AJ$4,0)))))</f>
        <v>450.2</v>
      </c>
      <c r="G63" s="263">
        <f>IF(ISNA(MATCH(G$2,Inputs!$K$4:$AJ$4,0)),NA(),IF(SUMPRODUCT((Inputs!$A$5:$A$120=$B63)*ISNUMBER(INDEX(Inputs!$K$5:$AJ$120,0,MATCH(G$2,Inputs!$K$4:$AJ$4,0))))+SUMPRODUCT((Inputs!$C$5:$C$120=$B63)*ISNUMBER(INDEX(Inputs!$K$5:$AJ$120,0,MATCH(G$2,Inputs!$K$4:$AJ$4,0))))+SUMPRODUCT((Inputs!$E$5:$E$120=$B63)*ISNUMBER(INDEX(Inputs!$K$5:$AJ$120,0,MATCH(G$2,Inputs!$K$4:$AJ$4,0))))=0,NA(),SUMPRODUCT((Inputs!$A$5:$A$120=$B63)*Inputs!$B$5:$B$120*(((Inputs!$G$5:$G$120="moeda")+(Inputs!$G$5:$G$120="acoes"))*Inputs!$B$1+((Inputs!$G$5:$G$120&lt;&gt;"moeda")*(Inputs!$G$5:$G$120&lt;&gt;"acoes")))*INDEX(Inputs!$K$5:$AJ$120,0,MATCH(G$2,Inputs!$K$4:$AJ$4,0)))+SUMPRODUCT((Inputs!$C$5:$C$120=$B63)*Inputs!$D$5:$D$120*(((Inputs!$G$5:$G$120="moeda")+(Inputs!$G$5:$G$120="acoes"))*Inputs!$B$1+((Inputs!$G$5:$G$120&lt;&gt;"moeda")*(Inputs!$G$5:$G$120&lt;&gt;"acoes")))*INDEX(Inputs!$K$5:$AJ$120,0,MATCH(G$2,Inputs!$K$4:$AJ$4,0)))+SUMPRODUCT((Inputs!$E$5:$E$120=$B63)*Inputs!$F$5:$F$120*(((Inputs!$G$5:$G$120="moeda")+(Inputs!$G$5:$G$120="acoes"))*Inputs!$B$1+((Inputs!$G$5:$G$120&lt;&gt;"moeda")*(Inputs!$G$5:$G$120&lt;&gt;"acoes")))*INDEX(Inputs!$K$5:$AJ$120,0,MATCH(G$2,Inputs!$K$4:$AJ$4,0)))))</f>
        <v>470.7</v>
      </c>
      <c r="H63" s="264">
        <f>SUM(D63:G63)</f>
        <v>1898.5</v>
      </c>
      <c r="I63" s="263">
        <f>IF(ISNA(MATCH(I$2,Inputs!$K$4:$AJ$4,0)),NA(),IF(SUMPRODUCT((Inputs!$A$5:$A$120=$B63)*ISNUMBER(INDEX(Inputs!$K$5:$AJ$120,0,MATCH(I$2,Inputs!$K$4:$AJ$4,0))))+SUMPRODUCT((Inputs!$C$5:$C$120=$B63)*ISNUMBER(INDEX(Inputs!$K$5:$AJ$120,0,MATCH(I$2,Inputs!$K$4:$AJ$4,0))))+SUMPRODUCT((Inputs!$E$5:$E$120=$B63)*ISNUMBER(INDEX(Inputs!$K$5:$AJ$120,0,MATCH(I$2,Inputs!$K$4:$AJ$4,0))))=0,NA(),SUMPRODUCT((Inputs!$A$5:$A$120=$B63)*Inputs!$B$5:$B$120*(((Inputs!$G$5:$G$120="moeda")+(Inputs!$G$5:$G$120="acoes"))*Inputs!$B$1+((Inputs!$G$5:$G$120&lt;&gt;"moeda")*(Inputs!$G$5:$G$120&lt;&gt;"acoes")))*INDEX(Inputs!$K$5:$AJ$120,0,MATCH(I$2,Inputs!$K$4:$AJ$4,0)))+SUMPRODUCT((Inputs!$C$5:$C$120=$B63)*Inputs!$D$5:$D$120*(((Inputs!$G$5:$G$120="moeda")+(Inputs!$G$5:$G$120="acoes"))*Inputs!$B$1+((Inputs!$G$5:$G$120&lt;&gt;"moeda")*(Inputs!$G$5:$G$120&lt;&gt;"acoes")))*INDEX(Inputs!$K$5:$AJ$120,0,MATCH(I$2,Inputs!$K$4:$AJ$4,0)))+SUMPRODUCT((Inputs!$E$5:$E$120=$B63)*Inputs!$F$5:$F$120*(((Inputs!$G$5:$G$120="moeda")+(Inputs!$G$5:$G$120="acoes"))*Inputs!$B$1+((Inputs!$G$5:$G$120&lt;&gt;"moeda")*(Inputs!$G$5:$G$120&lt;&gt;"acoes")))*INDEX(Inputs!$K$5:$AJ$120,0,MATCH(I$2,Inputs!$K$4:$AJ$4,0)))))</f>
        <v>397.7</v>
      </c>
      <c r="J63" s="263">
        <f>IF(ISNA(MATCH(J$2,Inputs!$K$4:$AJ$4,0)),NA(),IF(SUMPRODUCT((Inputs!$A$5:$A$120=$B63)*ISNUMBER(INDEX(Inputs!$K$5:$AJ$120,0,MATCH(J$2,Inputs!$K$4:$AJ$4,0))))+SUMPRODUCT((Inputs!$C$5:$C$120=$B63)*ISNUMBER(INDEX(Inputs!$K$5:$AJ$120,0,MATCH(J$2,Inputs!$K$4:$AJ$4,0))))+SUMPRODUCT((Inputs!$E$5:$E$120=$B63)*ISNUMBER(INDEX(Inputs!$K$5:$AJ$120,0,MATCH(J$2,Inputs!$K$4:$AJ$4,0))))=0,NA(),SUMPRODUCT((Inputs!$A$5:$A$120=$B63)*Inputs!$B$5:$B$120*(((Inputs!$G$5:$G$120="moeda")+(Inputs!$G$5:$G$120="acoes"))*Inputs!$B$1+((Inputs!$G$5:$G$120&lt;&gt;"moeda")*(Inputs!$G$5:$G$120&lt;&gt;"acoes")))*INDEX(Inputs!$K$5:$AJ$120,0,MATCH(J$2,Inputs!$K$4:$AJ$4,0)))+SUMPRODUCT((Inputs!$C$5:$C$120=$B63)*Inputs!$D$5:$D$120*(((Inputs!$G$5:$G$120="moeda")+(Inputs!$G$5:$G$120="acoes"))*Inputs!$B$1+((Inputs!$G$5:$G$120&lt;&gt;"moeda")*(Inputs!$G$5:$G$120&lt;&gt;"acoes")))*INDEX(Inputs!$K$5:$AJ$120,0,MATCH(J$2,Inputs!$K$4:$AJ$4,0)))+SUMPRODUCT((Inputs!$E$5:$E$120=$B63)*Inputs!$F$5:$F$120*(((Inputs!$G$5:$G$120="moeda")+(Inputs!$G$5:$G$120="acoes"))*Inputs!$B$1+((Inputs!$G$5:$G$120&lt;&gt;"moeda")*(Inputs!$G$5:$G$120&lt;&gt;"acoes")))*INDEX(Inputs!$K$5:$AJ$120,0,MATCH(J$2,Inputs!$K$4:$AJ$4,0)))))</f>
        <v>389.9</v>
      </c>
      <c r="K63" s="263">
        <f>IF(ISNA(MATCH(K$2,Inputs!$K$4:$AJ$4,0)),NA(),IF(SUMPRODUCT((Inputs!$A$5:$A$120=$B63)*ISNUMBER(INDEX(Inputs!$K$5:$AJ$120,0,MATCH(K$2,Inputs!$K$4:$AJ$4,0))))+SUMPRODUCT((Inputs!$C$5:$C$120=$B63)*ISNUMBER(INDEX(Inputs!$K$5:$AJ$120,0,MATCH(K$2,Inputs!$K$4:$AJ$4,0))))+SUMPRODUCT((Inputs!$E$5:$E$120=$B63)*ISNUMBER(INDEX(Inputs!$K$5:$AJ$120,0,MATCH(K$2,Inputs!$K$4:$AJ$4,0))))=0,NA(),SUMPRODUCT((Inputs!$A$5:$A$120=$B63)*Inputs!$B$5:$B$120*(((Inputs!$G$5:$G$120="moeda")+(Inputs!$G$5:$G$120="acoes"))*Inputs!$B$1+((Inputs!$G$5:$G$120&lt;&gt;"moeda")*(Inputs!$G$5:$G$120&lt;&gt;"acoes")))*INDEX(Inputs!$K$5:$AJ$120,0,MATCH(K$2,Inputs!$K$4:$AJ$4,0)))+SUMPRODUCT((Inputs!$C$5:$C$120=$B63)*Inputs!$D$5:$D$120*(((Inputs!$G$5:$G$120="moeda")+(Inputs!$G$5:$G$120="acoes"))*Inputs!$B$1+((Inputs!$G$5:$G$120&lt;&gt;"moeda")*(Inputs!$G$5:$G$120&lt;&gt;"acoes")))*INDEX(Inputs!$K$5:$AJ$120,0,MATCH(K$2,Inputs!$K$4:$AJ$4,0)))+SUMPRODUCT((Inputs!$E$5:$E$120=$B63)*Inputs!$F$5:$F$120*(((Inputs!$G$5:$G$120="moeda")+(Inputs!$G$5:$G$120="acoes"))*Inputs!$B$1+((Inputs!$G$5:$G$120&lt;&gt;"moeda")*(Inputs!$G$5:$G$120&lt;&gt;"acoes")))*INDEX(Inputs!$K$5:$AJ$120,0,MATCH(K$2,Inputs!$K$4:$AJ$4,0)))))</f>
        <v>373.2</v>
      </c>
      <c r="L63" s="263">
        <f>IF(ISNA(MATCH(L$2,Inputs!$K$4:$AJ$4,0)),NA(),IF(SUMPRODUCT((Inputs!$A$5:$A$120=$B63)*ISNUMBER(INDEX(Inputs!$K$5:$AJ$120,0,MATCH(L$2,Inputs!$K$4:$AJ$4,0))))+SUMPRODUCT((Inputs!$C$5:$C$120=$B63)*ISNUMBER(INDEX(Inputs!$K$5:$AJ$120,0,MATCH(L$2,Inputs!$K$4:$AJ$4,0))))+SUMPRODUCT((Inputs!$E$5:$E$120=$B63)*ISNUMBER(INDEX(Inputs!$K$5:$AJ$120,0,MATCH(L$2,Inputs!$K$4:$AJ$4,0))))=0,NA(),SUMPRODUCT((Inputs!$A$5:$A$120=$B63)*Inputs!$B$5:$B$120*(((Inputs!$G$5:$G$120="moeda")+(Inputs!$G$5:$G$120="acoes"))*Inputs!$B$1+((Inputs!$G$5:$G$120&lt;&gt;"moeda")*(Inputs!$G$5:$G$120&lt;&gt;"acoes")))*INDEX(Inputs!$K$5:$AJ$120,0,MATCH(L$2,Inputs!$K$4:$AJ$4,0)))+SUMPRODUCT((Inputs!$C$5:$C$120=$B63)*Inputs!$D$5:$D$120*(((Inputs!$G$5:$G$120="moeda")+(Inputs!$G$5:$G$120="acoes"))*Inputs!$B$1+((Inputs!$G$5:$G$120&lt;&gt;"moeda")*(Inputs!$G$5:$G$120&lt;&gt;"acoes")))*INDEX(Inputs!$K$5:$AJ$120,0,MATCH(L$2,Inputs!$K$4:$AJ$4,0)))+SUMPRODUCT((Inputs!$E$5:$E$120=$B63)*Inputs!$F$5:$F$120*(((Inputs!$G$5:$G$120="moeda")+(Inputs!$G$5:$G$120="acoes"))*Inputs!$B$1+((Inputs!$G$5:$G$120&lt;&gt;"moeda")*(Inputs!$G$5:$G$120&lt;&gt;"acoes")))*INDEX(Inputs!$K$5:$AJ$120,0,MATCH(L$2,Inputs!$K$4:$AJ$4,0)))))</f>
        <v>385.3</v>
      </c>
      <c r="M63" s="264">
        <f>SUM(I63:L63)</f>
        <v>1546.1</v>
      </c>
      <c r="N63" s="263">
        <f>IF(ISNA(MATCH(N$2,Inputs!$K$4:$AJ$4,0)),NA(),IF(SUMPRODUCT((Inputs!$A$5:$A$120=$B63)*ISNUMBER(INDEX(Inputs!$K$5:$AJ$120,0,MATCH(N$2,Inputs!$K$4:$AJ$4,0))))+SUMPRODUCT((Inputs!$C$5:$C$120=$B63)*ISNUMBER(INDEX(Inputs!$K$5:$AJ$120,0,MATCH(N$2,Inputs!$K$4:$AJ$4,0))))+SUMPRODUCT((Inputs!$E$5:$E$120=$B63)*ISNUMBER(INDEX(Inputs!$K$5:$AJ$120,0,MATCH(N$2,Inputs!$K$4:$AJ$4,0))))=0,NA(),SUMPRODUCT((Inputs!$A$5:$A$120=$B63)*Inputs!$B$5:$B$120*(((Inputs!$G$5:$G$120="moeda")+(Inputs!$G$5:$G$120="acoes"))*Inputs!$B$1+((Inputs!$G$5:$G$120&lt;&gt;"moeda")*(Inputs!$G$5:$G$120&lt;&gt;"acoes")))*INDEX(Inputs!$K$5:$AJ$120,0,MATCH(N$2,Inputs!$K$4:$AJ$4,0)))+SUMPRODUCT((Inputs!$C$5:$C$120=$B63)*Inputs!$D$5:$D$120*(((Inputs!$G$5:$G$120="moeda")+(Inputs!$G$5:$G$120="acoes"))*Inputs!$B$1+((Inputs!$G$5:$G$120&lt;&gt;"moeda")*(Inputs!$G$5:$G$120&lt;&gt;"acoes")))*INDEX(Inputs!$K$5:$AJ$120,0,MATCH(N$2,Inputs!$K$4:$AJ$4,0)))+SUMPRODUCT((Inputs!$E$5:$E$120=$B63)*Inputs!$F$5:$F$120*(((Inputs!$G$5:$G$120="moeda")+(Inputs!$G$5:$G$120="acoes"))*Inputs!$B$1+((Inputs!$G$5:$G$120&lt;&gt;"moeda")*(Inputs!$G$5:$G$120&lt;&gt;"acoes")))*INDEX(Inputs!$K$5:$AJ$120,0,MATCH(N$2,Inputs!$K$4:$AJ$4,0)))))</f>
        <v>360.5</v>
      </c>
      <c r="O63" s="263">
        <f>IF(ISNA(MATCH(O$2,Inputs!$K$4:$AJ$4,0)),NA(),IF(SUMPRODUCT((Inputs!$A$5:$A$120=$B63)*ISNUMBER(INDEX(Inputs!$K$5:$AJ$120,0,MATCH(O$2,Inputs!$K$4:$AJ$4,0))))+SUMPRODUCT((Inputs!$C$5:$C$120=$B63)*ISNUMBER(INDEX(Inputs!$K$5:$AJ$120,0,MATCH(O$2,Inputs!$K$4:$AJ$4,0))))+SUMPRODUCT((Inputs!$E$5:$E$120=$B63)*ISNUMBER(INDEX(Inputs!$K$5:$AJ$120,0,MATCH(O$2,Inputs!$K$4:$AJ$4,0))))=0,NA(),SUMPRODUCT((Inputs!$A$5:$A$120=$B63)*Inputs!$B$5:$B$120*(((Inputs!$G$5:$G$120="moeda")+(Inputs!$G$5:$G$120="acoes"))*Inputs!$B$1+((Inputs!$G$5:$G$120&lt;&gt;"moeda")*(Inputs!$G$5:$G$120&lt;&gt;"acoes")))*INDEX(Inputs!$K$5:$AJ$120,0,MATCH(O$2,Inputs!$K$4:$AJ$4,0)))+SUMPRODUCT((Inputs!$C$5:$C$120=$B63)*Inputs!$D$5:$D$120*(((Inputs!$G$5:$G$120="moeda")+(Inputs!$G$5:$G$120="acoes"))*Inputs!$B$1+((Inputs!$G$5:$G$120&lt;&gt;"moeda")*(Inputs!$G$5:$G$120&lt;&gt;"acoes")))*INDEX(Inputs!$K$5:$AJ$120,0,MATCH(O$2,Inputs!$K$4:$AJ$4,0)))+SUMPRODUCT((Inputs!$E$5:$E$120=$B63)*Inputs!$F$5:$F$120*(((Inputs!$G$5:$G$120="moeda")+(Inputs!$G$5:$G$120="acoes"))*Inputs!$B$1+((Inputs!$G$5:$G$120&lt;&gt;"moeda")*(Inputs!$G$5:$G$120&lt;&gt;"acoes")))*INDEX(Inputs!$K$5:$AJ$120,0,MATCH(O$2,Inputs!$K$4:$AJ$4,0)))))</f>
        <v>387.2</v>
      </c>
      <c r="P63" s="263">
        <f>IF(ISNA(MATCH(P$2,Inputs!$K$4:$AJ$4,0)),NA(),IF(SUMPRODUCT((Inputs!$A$5:$A$120=$B63)*ISNUMBER(INDEX(Inputs!$K$5:$AJ$120,0,MATCH(P$2,Inputs!$K$4:$AJ$4,0))))+SUMPRODUCT((Inputs!$C$5:$C$120=$B63)*ISNUMBER(INDEX(Inputs!$K$5:$AJ$120,0,MATCH(P$2,Inputs!$K$4:$AJ$4,0))))+SUMPRODUCT((Inputs!$E$5:$E$120=$B63)*ISNUMBER(INDEX(Inputs!$K$5:$AJ$120,0,MATCH(P$2,Inputs!$K$4:$AJ$4,0))))=0,NA(),SUMPRODUCT((Inputs!$A$5:$A$120=$B63)*Inputs!$B$5:$B$120*(((Inputs!$G$5:$G$120="moeda")+(Inputs!$G$5:$G$120="acoes"))*Inputs!$B$1+((Inputs!$G$5:$G$120&lt;&gt;"moeda")*(Inputs!$G$5:$G$120&lt;&gt;"acoes")))*INDEX(Inputs!$K$5:$AJ$120,0,MATCH(P$2,Inputs!$K$4:$AJ$4,0)))+SUMPRODUCT((Inputs!$C$5:$C$120=$B63)*Inputs!$D$5:$D$120*(((Inputs!$G$5:$G$120="moeda")+(Inputs!$G$5:$G$120="acoes"))*Inputs!$B$1+((Inputs!$G$5:$G$120&lt;&gt;"moeda")*(Inputs!$G$5:$G$120&lt;&gt;"acoes")))*INDEX(Inputs!$K$5:$AJ$120,0,MATCH(P$2,Inputs!$K$4:$AJ$4,0)))+SUMPRODUCT((Inputs!$E$5:$E$120=$B63)*Inputs!$F$5:$F$120*(((Inputs!$G$5:$G$120="moeda")+(Inputs!$G$5:$G$120="acoes"))*Inputs!$B$1+((Inputs!$G$5:$G$120&lt;&gt;"moeda")*(Inputs!$G$5:$G$120&lt;&gt;"acoes")))*INDEX(Inputs!$K$5:$AJ$120,0,MATCH(P$2,Inputs!$K$4:$AJ$4,0)))))</f>
        <v>1768.1</v>
      </c>
      <c r="Q63" s="263">
        <f>IF(ISNA(MATCH(Q$2,Inputs!$K$4:$AJ$4,0)),NA(),IF(SUMPRODUCT((Inputs!$A$5:$A$120=$B63)*ISNUMBER(INDEX(Inputs!$K$5:$AJ$120,0,MATCH(Q$2,Inputs!$K$4:$AJ$4,0))))+SUMPRODUCT((Inputs!$C$5:$C$120=$B63)*ISNUMBER(INDEX(Inputs!$K$5:$AJ$120,0,MATCH(Q$2,Inputs!$K$4:$AJ$4,0))))+SUMPRODUCT((Inputs!$E$5:$E$120=$B63)*ISNUMBER(INDEX(Inputs!$K$5:$AJ$120,0,MATCH(Q$2,Inputs!$K$4:$AJ$4,0))))=0,NA(),SUMPRODUCT((Inputs!$A$5:$A$120=$B63)*Inputs!$B$5:$B$120*(((Inputs!$G$5:$G$120="moeda")+(Inputs!$G$5:$G$120="acoes"))*Inputs!$B$1+((Inputs!$G$5:$G$120&lt;&gt;"moeda")*(Inputs!$G$5:$G$120&lt;&gt;"acoes")))*INDEX(Inputs!$K$5:$AJ$120,0,MATCH(Q$2,Inputs!$K$4:$AJ$4,0)))+SUMPRODUCT((Inputs!$C$5:$C$120=$B63)*Inputs!$D$5:$D$120*(((Inputs!$G$5:$G$120="moeda")+(Inputs!$G$5:$G$120="acoes"))*Inputs!$B$1+((Inputs!$G$5:$G$120&lt;&gt;"moeda")*(Inputs!$G$5:$G$120&lt;&gt;"acoes")))*INDEX(Inputs!$K$5:$AJ$120,0,MATCH(Q$2,Inputs!$K$4:$AJ$4,0)))+SUMPRODUCT((Inputs!$E$5:$E$120=$B63)*Inputs!$F$5:$F$120*(((Inputs!$G$5:$G$120="moeda")+(Inputs!$G$5:$G$120="acoes"))*Inputs!$B$1+((Inputs!$G$5:$G$120&lt;&gt;"moeda")*(Inputs!$G$5:$G$120&lt;&gt;"acoes")))*INDEX(Inputs!$K$5:$AJ$120,0,MATCH(Q$2,Inputs!$K$4:$AJ$4,0)))))</f>
        <v>362.7</v>
      </c>
      <c r="R63" s="264">
        <f>SUM(N63:Q63)</f>
        <v>2878.5</v>
      </c>
      <c r="S63" s="263">
        <f>IF(ISNA(MATCH(S$2,Inputs!$K$4:$AJ$4,0)),NA(),IF(SUMPRODUCT((Inputs!$A$5:$A$120=$B63)*ISNUMBER(INDEX(Inputs!$K$5:$AJ$120,0,MATCH(S$2,Inputs!$K$4:$AJ$4,0))))+SUMPRODUCT((Inputs!$C$5:$C$120=$B63)*ISNUMBER(INDEX(Inputs!$K$5:$AJ$120,0,MATCH(S$2,Inputs!$K$4:$AJ$4,0))))+SUMPRODUCT((Inputs!$E$5:$E$120=$B63)*ISNUMBER(INDEX(Inputs!$K$5:$AJ$120,0,MATCH(S$2,Inputs!$K$4:$AJ$4,0))))=0,NA(),SUMPRODUCT((Inputs!$A$5:$A$120=$B63)*Inputs!$B$5:$B$120*(((Inputs!$G$5:$G$120="moeda")+(Inputs!$G$5:$G$120="acoes"))*Inputs!$B$1+((Inputs!$G$5:$G$120&lt;&gt;"moeda")*(Inputs!$G$5:$G$120&lt;&gt;"acoes")))*INDEX(Inputs!$K$5:$AJ$120,0,MATCH(S$2,Inputs!$K$4:$AJ$4,0)))+SUMPRODUCT((Inputs!$C$5:$C$120=$B63)*Inputs!$D$5:$D$120*(((Inputs!$G$5:$G$120="moeda")+(Inputs!$G$5:$G$120="acoes"))*Inputs!$B$1+((Inputs!$G$5:$G$120&lt;&gt;"moeda")*(Inputs!$G$5:$G$120&lt;&gt;"acoes")))*INDEX(Inputs!$K$5:$AJ$120,0,MATCH(S$2,Inputs!$K$4:$AJ$4,0)))+SUMPRODUCT((Inputs!$E$5:$E$120=$B63)*Inputs!$F$5:$F$120*(((Inputs!$G$5:$G$120="moeda")+(Inputs!$G$5:$G$120="acoes"))*Inputs!$B$1+((Inputs!$G$5:$G$120&lt;&gt;"moeda")*(Inputs!$G$5:$G$120&lt;&gt;"acoes")))*INDEX(Inputs!$K$5:$AJ$120,0,MATCH(S$2,Inputs!$K$4:$AJ$4,0)))))</f>
        <v>389.1</v>
      </c>
      <c r="T63" s="263">
        <f>IF(ISNA(MATCH(T$2,Inputs!$K$4:$AJ$4,0)),NA(),IF(SUMPRODUCT((Inputs!$A$5:$A$120=$B63)*ISNUMBER(INDEX(Inputs!$K$5:$AJ$120,0,MATCH(T$2,Inputs!$K$4:$AJ$4,0))))+SUMPRODUCT((Inputs!$C$5:$C$120=$B63)*ISNUMBER(INDEX(Inputs!$K$5:$AJ$120,0,MATCH(T$2,Inputs!$K$4:$AJ$4,0))))+SUMPRODUCT((Inputs!$E$5:$E$120=$B63)*ISNUMBER(INDEX(Inputs!$K$5:$AJ$120,0,MATCH(T$2,Inputs!$K$4:$AJ$4,0))))=0,NA(),SUMPRODUCT((Inputs!$A$5:$A$120=$B63)*Inputs!$B$5:$B$120*(((Inputs!$G$5:$G$120="moeda")+(Inputs!$G$5:$G$120="acoes"))*Inputs!$B$1+((Inputs!$G$5:$G$120&lt;&gt;"moeda")*(Inputs!$G$5:$G$120&lt;&gt;"acoes")))*INDEX(Inputs!$K$5:$AJ$120,0,MATCH(T$2,Inputs!$K$4:$AJ$4,0)))+SUMPRODUCT((Inputs!$C$5:$C$120=$B63)*Inputs!$D$5:$D$120*(((Inputs!$G$5:$G$120="moeda")+(Inputs!$G$5:$G$120="acoes"))*Inputs!$B$1+((Inputs!$G$5:$G$120&lt;&gt;"moeda")*(Inputs!$G$5:$G$120&lt;&gt;"acoes")))*INDEX(Inputs!$K$5:$AJ$120,0,MATCH(T$2,Inputs!$K$4:$AJ$4,0)))+SUMPRODUCT((Inputs!$E$5:$E$120=$B63)*Inputs!$F$5:$F$120*(((Inputs!$G$5:$G$120="moeda")+(Inputs!$G$5:$G$120="acoes"))*Inputs!$B$1+((Inputs!$G$5:$G$120&lt;&gt;"moeda")*(Inputs!$G$5:$G$120&lt;&gt;"acoes")))*INDEX(Inputs!$K$5:$AJ$120,0,MATCH(T$2,Inputs!$K$4:$AJ$4,0)))))</f>
        <v>339.5</v>
      </c>
      <c r="U63" s="263">
        <f>IF(ISNA(MATCH(U$2,Inputs!$K$4:$AJ$4,0)),NA(),IF(SUMPRODUCT((Inputs!$A$5:$A$120=$B63)*ISNUMBER(INDEX(Inputs!$K$5:$AJ$120,0,MATCH(U$2,Inputs!$K$4:$AJ$4,0))))+SUMPRODUCT((Inputs!$C$5:$C$120=$B63)*ISNUMBER(INDEX(Inputs!$K$5:$AJ$120,0,MATCH(U$2,Inputs!$K$4:$AJ$4,0))))+SUMPRODUCT((Inputs!$E$5:$E$120=$B63)*ISNUMBER(INDEX(Inputs!$K$5:$AJ$120,0,MATCH(U$2,Inputs!$K$4:$AJ$4,0))))=0,NA(),SUMPRODUCT((Inputs!$A$5:$A$120=$B63)*Inputs!$B$5:$B$120*(((Inputs!$G$5:$G$120="moeda")+(Inputs!$G$5:$G$120="acoes"))*Inputs!$B$1+((Inputs!$G$5:$G$120&lt;&gt;"moeda")*(Inputs!$G$5:$G$120&lt;&gt;"acoes")))*INDEX(Inputs!$K$5:$AJ$120,0,MATCH(U$2,Inputs!$K$4:$AJ$4,0)))+SUMPRODUCT((Inputs!$C$5:$C$120=$B63)*Inputs!$D$5:$D$120*(((Inputs!$G$5:$G$120="moeda")+(Inputs!$G$5:$G$120="acoes"))*Inputs!$B$1+((Inputs!$G$5:$G$120&lt;&gt;"moeda")*(Inputs!$G$5:$G$120&lt;&gt;"acoes")))*INDEX(Inputs!$K$5:$AJ$120,0,MATCH(U$2,Inputs!$K$4:$AJ$4,0)))+SUMPRODUCT((Inputs!$E$5:$E$120=$B63)*Inputs!$F$5:$F$120*(((Inputs!$G$5:$G$120="moeda")+(Inputs!$G$5:$G$120="acoes"))*Inputs!$B$1+((Inputs!$G$5:$G$120&lt;&gt;"moeda")*(Inputs!$G$5:$G$120&lt;&gt;"acoes")))*INDEX(Inputs!$K$5:$AJ$120,0,MATCH(U$2,Inputs!$K$4:$AJ$4,0)))))</f>
        <v>351.8</v>
      </c>
      <c r="V63" s="263">
        <f>IF(ISNA(MATCH(V$2,Inputs!$K$4:$AJ$4,0)),NA(),IF(SUMPRODUCT((Inputs!$A$5:$A$120=$B63)*ISNUMBER(INDEX(Inputs!$K$5:$AJ$120,0,MATCH(V$2,Inputs!$K$4:$AJ$4,0))))+SUMPRODUCT((Inputs!$C$5:$C$120=$B63)*ISNUMBER(INDEX(Inputs!$K$5:$AJ$120,0,MATCH(V$2,Inputs!$K$4:$AJ$4,0))))+SUMPRODUCT((Inputs!$E$5:$E$120=$B63)*ISNUMBER(INDEX(Inputs!$K$5:$AJ$120,0,MATCH(V$2,Inputs!$K$4:$AJ$4,0))))=0,NA(),SUMPRODUCT((Inputs!$A$5:$A$120=$B63)*Inputs!$B$5:$B$120*(((Inputs!$G$5:$G$120="moeda")+(Inputs!$G$5:$G$120="acoes"))*Inputs!$B$1+((Inputs!$G$5:$G$120&lt;&gt;"moeda")*(Inputs!$G$5:$G$120&lt;&gt;"acoes")))*INDEX(Inputs!$K$5:$AJ$120,0,MATCH(V$2,Inputs!$K$4:$AJ$4,0)))+SUMPRODUCT((Inputs!$C$5:$C$120=$B63)*Inputs!$D$5:$D$120*(((Inputs!$G$5:$G$120="moeda")+(Inputs!$G$5:$G$120="acoes"))*Inputs!$B$1+((Inputs!$G$5:$G$120&lt;&gt;"moeda")*(Inputs!$G$5:$G$120&lt;&gt;"acoes")))*INDEX(Inputs!$K$5:$AJ$120,0,MATCH(V$2,Inputs!$K$4:$AJ$4,0)))+SUMPRODUCT((Inputs!$E$5:$E$120=$B63)*Inputs!$F$5:$F$120*(((Inputs!$G$5:$G$120="moeda")+(Inputs!$G$5:$G$120="acoes"))*Inputs!$B$1+((Inputs!$G$5:$G$120&lt;&gt;"moeda")*(Inputs!$G$5:$G$120&lt;&gt;"acoes")))*INDEX(Inputs!$K$5:$AJ$120,0,MATCH(V$2,Inputs!$K$4:$AJ$4,0)))))</f>
        <v>393</v>
      </c>
      <c r="W63" s="264">
        <f>SUM(S63:V63)</f>
        <v>1473.4</v>
      </c>
      <c r="X63" s="263">
        <f>IF(ISNA(MATCH(X$2,Inputs!$K$4:$AJ$4,0)),NA(),IF(SUMPRODUCT((Inputs!$A$5:$A$120=$B63)*ISNUMBER(INDEX(Inputs!$K$5:$AJ$120,0,MATCH(X$2,Inputs!$K$4:$AJ$4,0))))+SUMPRODUCT((Inputs!$C$5:$C$120=$B63)*ISNUMBER(INDEX(Inputs!$K$5:$AJ$120,0,MATCH(X$2,Inputs!$K$4:$AJ$4,0))))+SUMPRODUCT((Inputs!$E$5:$E$120=$B63)*ISNUMBER(INDEX(Inputs!$K$5:$AJ$120,0,MATCH(X$2,Inputs!$K$4:$AJ$4,0))))=0,NA(),SUMPRODUCT((Inputs!$A$5:$A$120=$B63)*Inputs!$B$5:$B$120*(((Inputs!$G$5:$G$120="moeda")+(Inputs!$G$5:$G$120="acoes"))*Inputs!$B$1+((Inputs!$G$5:$G$120&lt;&gt;"moeda")*(Inputs!$G$5:$G$120&lt;&gt;"acoes")))*INDEX(Inputs!$K$5:$AJ$120,0,MATCH(X$2,Inputs!$K$4:$AJ$4,0)))+SUMPRODUCT((Inputs!$C$5:$C$120=$B63)*Inputs!$D$5:$D$120*(((Inputs!$G$5:$G$120="moeda")+(Inputs!$G$5:$G$120="acoes"))*Inputs!$B$1+((Inputs!$G$5:$G$120&lt;&gt;"moeda")*(Inputs!$G$5:$G$120&lt;&gt;"acoes")))*INDEX(Inputs!$K$5:$AJ$120,0,MATCH(X$2,Inputs!$K$4:$AJ$4,0)))+SUMPRODUCT((Inputs!$E$5:$E$120=$B63)*Inputs!$F$5:$F$120*(((Inputs!$G$5:$G$120="moeda")+(Inputs!$G$5:$G$120="acoes"))*Inputs!$B$1+((Inputs!$G$5:$G$120&lt;&gt;"moeda")*(Inputs!$G$5:$G$120&lt;&gt;"acoes")))*INDEX(Inputs!$K$5:$AJ$120,0,MATCH(X$2,Inputs!$K$4:$AJ$4,0)))))</f>
        <v>272</v>
      </c>
      <c r="Y63" s="263">
        <f>IF(ISNA(MATCH(Y$2,Inputs!$K$4:$AJ$4,0)),NA(),IF(SUMPRODUCT((Inputs!$A$5:$A$120=$B63)*ISNUMBER(INDEX(Inputs!$K$5:$AJ$120,0,MATCH(Y$2,Inputs!$K$4:$AJ$4,0))))+SUMPRODUCT((Inputs!$C$5:$C$120=$B63)*ISNUMBER(INDEX(Inputs!$K$5:$AJ$120,0,MATCH(Y$2,Inputs!$K$4:$AJ$4,0))))+SUMPRODUCT((Inputs!$E$5:$E$120=$B63)*ISNUMBER(INDEX(Inputs!$K$5:$AJ$120,0,MATCH(Y$2,Inputs!$K$4:$AJ$4,0))))=0,NA(),SUMPRODUCT((Inputs!$A$5:$A$120=$B63)*Inputs!$B$5:$B$120*(((Inputs!$G$5:$G$120="moeda")+(Inputs!$G$5:$G$120="acoes"))*Inputs!$B$1+((Inputs!$G$5:$G$120&lt;&gt;"moeda")*(Inputs!$G$5:$G$120&lt;&gt;"acoes")))*INDEX(Inputs!$K$5:$AJ$120,0,MATCH(Y$2,Inputs!$K$4:$AJ$4,0)))+SUMPRODUCT((Inputs!$C$5:$C$120=$B63)*Inputs!$D$5:$D$120*(((Inputs!$G$5:$G$120="moeda")+(Inputs!$G$5:$G$120="acoes"))*Inputs!$B$1+((Inputs!$G$5:$G$120&lt;&gt;"moeda")*(Inputs!$G$5:$G$120&lt;&gt;"acoes")))*INDEX(Inputs!$K$5:$AJ$120,0,MATCH(Y$2,Inputs!$K$4:$AJ$4,0)))+SUMPRODUCT((Inputs!$E$5:$E$120=$B63)*Inputs!$F$5:$F$120*(((Inputs!$G$5:$G$120="moeda")+(Inputs!$G$5:$G$120="acoes"))*Inputs!$B$1+((Inputs!$G$5:$G$120&lt;&gt;"moeda")*(Inputs!$G$5:$G$120&lt;&gt;"acoes")))*INDEX(Inputs!$K$5:$AJ$120,0,MATCH(Y$2,Inputs!$K$4:$AJ$4,0)))))</f>
        <v>344</v>
      </c>
      <c r="Z63" s="263">
        <f>IF(ISNA(MATCH(Z$2,Inputs!$K$4:$AJ$4,0)),NA(),IF(SUMPRODUCT((Inputs!$A$5:$A$120=$B63)*ISNUMBER(INDEX(Inputs!$K$5:$AJ$120,0,MATCH(Z$2,Inputs!$K$4:$AJ$4,0))))+SUMPRODUCT((Inputs!$C$5:$C$120=$B63)*ISNUMBER(INDEX(Inputs!$K$5:$AJ$120,0,MATCH(Z$2,Inputs!$K$4:$AJ$4,0))))+SUMPRODUCT((Inputs!$E$5:$E$120=$B63)*ISNUMBER(INDEX(Inputs!$K$5:$AJ$120,0,MATCH(Z$2,Inputs!$K$4:$AJ$4,0))))=0,NA(),SUMPRODUCT((Inputs!$A$5:$A$120=$B63)*Inputs!$B$5:$B$120*(((Inputs!$G$5:$G$120="moeda")+(Inputs!$G$5:$G$120="acoes"))*Inputs!$B$1+((Inputs!$G$5:$G$120&lt;&gt;"moeda")*(Inputs!$G$5:$G$120&lt;&gt;"acoes")))*INDEX(Inputs!$K$5:$AJ$120,0,MATCH(Z$2,Inputs!$K$4:$AJ$4,0)))+SUMPRODUCT((Inputs!$C$5:$C$120=$B63)*Inputs!$D$5:$D$120*(((Inputs!$G$5:$G$120="moeda")+(Inputs!$G$5:$G$120="acoes"))*Inputs!$B$1+((Inputs!$G$5:$G$120&lt;&gt;"moeda")*(Inputs!$G$5:$G$120&lt;&gt;"acoes")))*INDEX(Inputs!$K$5:$AJ$120,0,MATCH(Z$2,Inputs!$K$4:$AJ$4,0)))+SUMPRODUCT((Inputs!$E$5:$E$120=$B63)*Inputs!$F$5:$F$120*(((Inputs!$G$5:$G$120="moeda")+(Inputs!$G$5:$G$120="acoes"))*Inputs!$B$1+((Inputs!$G$5:$G$120&lt;&gt;"moeda")*(Inputs!$G$5:$G$120&lt;&gt;"acoes")))*INDEX(Inputs!$K$5:$AJ$120,0,MATCH(Z$2,Inputs!$K$4:$AJ$4,0)))))</f>
        <v>315.7</v>
      </c>
      <c r="AA63" s="263">
        <f>IF(ISNA(MATCH(AA$2,Inputs!$K$4:$AJ$4,0)),NA(),IF(SUMPRODUCT((Inputs!$A$5:$A$120=$B63)*ISNUMBER(INDEX(Inputs!$K$5:$AJ$120,0,MATCH(AA$2,Inputs!$K$4:$AJ$4,0))))+SUMPRODUCT((Inputs!$C$5:$C$120=$B63)*ISNUMBER(INDEX(Inputs!$K$5:$AJ$120,0,MATCH(AA$2,Inputs!$K$4:$AJ$4,0))))+SUMPRODUCT((Inputs!$E$5:$E$120=$B63)*ISNUMBER(INDEX(Inputs!$K$5:$AJ$120,0,MATCH(AA$2,Inputs!$K$4:$AJ$4,0))))=0,NA(),SUMPRODUCT((Inputs!$A$5:$A$120=$B63)*Inputs!$B$5:$B$120*(((Inputs!$G$5:$G$120="moeda")+(Inputs!$G$5:$G$120="acoes"))*Inputs!$B$1+((Inputs!$G$5:$G$120&lt;&gt;"moeda")*(Inputs!$G$5:$G$120&lt;&gt;"acoes")))*INDEX(Inputs!$K$5:$AJ$120,0,MATCH(AA$2,Inputs!$K$4:$AJ$4,0)))+SUMPRODUCT((Inputs!$C$5:$C$120=$B63)*Inputs!$D$5:$D$120*(((Inputs!$G$5:$G$120="moeda")+(Inputs!$G$5:$G$120="acoes"))*Inputs!$B$1+((Inputs!$G$5:$G$120&lt;&gt;"moeda")*(Inputs!$G$5:$G$120&lt;&gt;"acoes")))*INDEX(Inputs!$K$5:$AJ$120,0,MATCH(AA$2,Inputs!$K$4:$AJ$4,0)))+SUMPRODUCT((Inputs!$E$5:$E$120=$B63)*Inputs!$F$5:$F$120*(((Inputs!$G$5:$G$120="moeda")+(Inputs!$G$5:$G$120="acoes"))*Inputs!$B$1+((Inputs!$G$5:$G$120&lt;&gt;"moeda")*(Inputs!$G$5:$G$120&lt;&gt;"acoes")))*INDEX(Inputs!$K$5:$AJ$120,0,MATCH(AA$2,Inputs!$K$4:$AJ$4,0)))))</f>
        <v>459.2</v>
      </c>
      <c r="AB63" s="264">
        <f>SUM(X63:AA63)</f>
        <v>1390.9</v>
      </c>
      <c r="AC63" s="263">
        <f>IF(ISNA(MATCH(AC$2,Inputs!$K$4:$AJ$4,0)),NA(),IF(SUMPRODUCT((Inputs!$A$5:$A$120=$B63)*ISNUMBER(INDEX(Inputs!$K$5:$AJ$120,0,MATCH(AC$2,Inputs!$K$4:$AJ$4,0))))+SUMPRODUCT((Inputs!$C$5:$C$120=$B63)*ISNUMBER(INDEX(Inputs!$K$5:$AJ$120,0,MATCH(AC$2,Inputs!$K$4:$AJ$4,0))))+SUMPRODUCT((Inputs!$E$5:$E$120=$B63)*ISNUMBER(INDEX(Inputs!$K$5:$AJ$120,0,MATCH(AC$2,Inputs!$K$4:$AJ$4,0))))=0,NA(),SUMPRODUCT((Inputs!$A$5:$A$120=$B63)*Inputs!$B$5:$B$120*(((Inputs!$G$5:$G$120="moeda")+(Inputs!$G$5:$G$120="acoes"))*Inputs!$B$1+((Inputs!$G$5:$G$120&lt;&gt;"moeda")*(Inputs!$G$5:$G$120&lt;&gt;"acoes")))*INDEX(Inputs!$K$5:$AJ$120,0,MATCH(AC$2,Inputs!$K$4:$AJ$4,0)))+SUMPRODUCT((Inputs!$C$5:$C$120=$B63)*Inputs!$D$5:$D$120*(((Inputs!$G$5:$G$120="moeda")+(Inputs!$G$5:$G$120="acoes"))*Inputs!$B$1+((Inputs!$G$5:$G$120&lt;&gt;"moeda")*(Inputs!$G$5:$G$120&lt;&gt;"acoes")))*INDEX(Inputs!$K$5:$AJ$120,0,MATCH(AC$2,Inputs!$K$4:$AJ$4,0)))+SUMPRODUCT((Inputs!$E$5:$E$120=$B63)*Inputs!$F$5:$F$120*(((Inputs!$G$5:$G$120="moeda")+(Inputs!$G$5:$G$120="acoes"))*Inputs!$B$1+((Inputs!$G$5:$G$120&lt;&gt;"moeda")*(Inputs!$G$5:$G$120&lt;&gt;"acoes")))*INDEX(Inputs!$K$5:$AJ$120,0,MATCH(AC$2,Inputs!$K$4:$AJ$4,0)))))</f>
        <v>382</v>
      </c>
      <c r="AD63" s="263">
        <f>IF(ISNA(MATCH(AD$2,Inputs!$K$4:$AJ$4,0)),NA(),IF(SUMPRODUCT((Inputs!$A$5:$A$120=$B63)*ISNUMBER(INDEX(Inputs!$K$5:$AJ$120,0,MATCH(AD$2,Inputs!$K$4:$AJ$4,0))))+SUMPRODUCT((Inputs!$C$5:$C$120=$B63)*ISNUMBER(INDEX(Inputs!$K$5:$AJ$120,0,MATCH(AD$2,Inputs!$K$4:$AJ$4,0))))+SUMPRODUCT((Inputs!$E$5:$E$120=$B63)*ISNUMBER(INDEX(Inputs!$K$5:$AJ$120,0,MATCH(AD$2,Inputs!$K$4:$AJ$4,0))))=0,NA(),SUMPRODUCT((Inputs!$A$5:$A$120=$B63)*Inputs!$B$5:$B$120*(((Inputs!$G$5:$G$120="moeda")+(Inputs!$G$5:$G$120="acoes"))*Inputs!$B$1+((Inputs!$G$5:$G$120&lt;&gt;"moeda")*(Inputs!$G$5:$G$120&lt;&gt;"acoes")))*INDEX(Inputs!$K$5:$AJ$120,0,MATCH(AD$2,Inputs!$K$4:$AJ$4,0)))+SUMPRODUCT((Inputs!$C$5:$C$120=$B63)*Inputs!$D$5:$D$120*(((Inputs!$G$5:$G$120="moeda")+(Inputs!$G$5:$G$120="acoes"))*Inputs!$B$1+((Inputs!$G$5:$G$120&lt;&gt;"moeda")*(Inputs!$G$5:$G$120&lt;&gt;"acoes")))*INDEX(Inputs!$K$5:$AJ$120,0,MATCH(AD$2,Inputs!$K$4:$AJ$4,0)))+SUMPRODUCT((Inputs!$E$5:$E$120=$B63)*Inputs!$F$5:$F$120*(((Inputs!$G$5:$G$120="moeda")+(Inputs!$G$5:$G$120="acoes"))*Inputs!$B$1+((Inputs!$G$5:$G$120&lt;&gt;"moeda")*(Inputs!$G$5:$G$120&lt;&gt;"acoes")))*INDEX(Inputs!$K$5:$AJ$120,0,MATCH(AD$2,Inputs!$K$4:$AJ$4,0)))))</f>
        <v>429</v>
      </c>
      <c r="AE63" s="263" t="e">
        <f>IF(ISNA(MATCH(AE$2,Inputs!$K$4:$AJ$4,0)),NA(),IF(SUMPRODUCT((Inputs!$A$5:$A$120=$B63)*ISNUMBER(INDEX(Inputs!$K$5:$AJ$120,0,MATCH(AE$2,Inputs!$K$4:$AJ$4,0))))+SUMPRODUCT((Inputs!$C$5:$C$120=$B63)*ISNUMBER(INDEX(Inputs!$K$5:$AJ$120,0,MATCH(AE$2,Inputs!$K$4:$AJ$4,0))))+SUMPRODUCT((Inputs!$E$5:$E$120=$B63)*ISNUMBER(INDEX(Inputs!$K$5:$AJ$120,0,MATCH(AE$2,Inputs!$K$4:$AJ$4,0))))=0,NA(),SUMPRODUCT((Inputs!$A$5:$A$120=$B63)*Inputs!$B$5:$B$120*(((Inputs!$G$5:$G$120="moeda")+(Inputs!$G$5:$G$120="acoes"))*Inputs!$B$1+((Inputs!$G$5:$G$120&lt;&gt;"moeda")*(Inputs!$G$5:$G$120&lt;&gt;"acoes")))*INDEX(Inputs!$K$5:$AJ$120,0,MATCH(AE$2,Inputs!$K$4:$AJ$4,0)))+SUMPRODUCT((Inputs!$C$5:$C$120=$B63)*Inputs!$D$5:$D$120*(((Inputs!$G$5:$G$120="moeda")+(Inputs!$G$5:$G$120="acoes"))*Inputs!$B$1+((Inputs!$G$5:$G$120&lt;&gt;"moeda")*(Inputs!$G$5:$G$120&lt;&gt;"acoes")))*INDEX(Inputs!$K$5:$AJ$120,0,MATCH(AE$2,Inputs!$K$4:$AJ$4,0)))+SUMPRODUCT((Inputs!$E$5:$E$120=$B63)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3" s="263" t="e">
        <f>IF(ISNA(MATCH(AF$2,Inputs!$K$4:$AJ$4,0)),NA(),IF(SUMPRODUCT((Inputs!$A$5:$A$120=$B63)*ISNUMBER(INDEX(Inputs!$K$5:$AJ$120,0,MATCH(AF$2,Inputs!$K$4:$AJ$4,0))))+SUMPRODUCT((Inputs!$C$5:$C$120=$B63)*ISNUMBER(INDEX(Inputs!$K$5:$AJ$120,0,MATCH(AF$2,Inputs!$K$4:$AJ$4,0))))+SUMPRODUCT((Inputs!$E$5:$E$120=$B63)*ISNUMBER(INDEX(Inputs!$K$5:$AJ$120,0,MATCH(AF$2,Inputs!$K$4:$AJ$4,0))))=0,NA(),SUMPRODUCT((Inputs!$A$5:$A$120=$B63)*Inputs!$B$5:$B$120*(((Inputs!$G$5:$G$120="moeda")+(Inputs!$G$5:$G$120="acoes"))*Inputs!$B$1+((Inputs!$G$5:$G$120&lt;&gt;"moeda")*(Inputs!$G$5:$G$120&lt;&gt;"acoes")))*INDEX(Inputs!$K$5:$AJ$120,0,MATCH(AF$2,Inputs!$K$4:$AJ$4,0)))+SUMPRODUCT((Inputs!$C$5:$C$120=$B63)*Inputs!$D$5:$D$120*(((Inputs!$G$5:$G$120="moeda")+(Inputs!$G$5:$G$120="acoes"))*Inputs!$B$1+((Inputs!$G$5:$G$120&lt;&gt;"moeda")*(Inputs!$G$5:$G$120&lt;&gt;"acoes")))*INDEX(Inputs!$K$5:$AJ$120,0,MATCH(AF$2,Inputs!$K$4:$AJ$4,0)))+SUMPRODUCT((Inputs!$E$5:$E$120=$B63)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3" s="264" t="e">
        <f>SUM(AC63:AF63)</f>
        <v>#N/A</v>
      </c>
      <c r="AH63" s="263">
        <f>IF(ISNA(MATCH(AH$2,Inputs!$K$4:$AJ$4,0)),NA(),IF(SUMPRODUCT((Inputs!$A$5:$A$120=$B63)*ISNUMBER(INDEX(Inputs!$K$5:$AJ$120,0,MATCH(AH$2,Inputs!$K$4:$AJ$4,0))))+SUMPRODUCT((Inputs!$C$5:$C$120=$B63)*ISNUMBER(INDEX(Inputs!$K$5:$AJ$120,0,MATCH(AH$2,Inputs!$K$4:$AJ$4,0))))+SUMPRODUCT((Inputs!$E$5:$E$120=$B63)*ISNUMBER(INDEX(Inputs!$K$5:$AJ$120,0,MATCH(AH$2,Inputs!$K$4:$AJ$4,0))))=0,NA(),SUMPRODUCT((Inputs!$A$5:$A$120=$B63)*Inputs!$B$5:$B$120*(((Inputs!$G$5:$G$120="moeda")+(Inputs!$G$5:$G$120="acoes"))*Inputs!$B$1+((Inputs!$G$5:$G$120&lt;&gt;"moeda")*(Inputs!$G$5:$G$120&lt;&gt;"acoes")))*INDEX(Inputs!$K$5:$AJ$120,0,MATCH(AH$2,Inputs!$K$4:$AJ$4,0)))+SUMPRODUCT((Inputs!$C$5:$C$120=$B63)*Inputs!$D$5:$D$120*(((Inputs!$G$5:$G$120="moeda")+(Inputs!$G$5:$G$120="acoes"))*Inputs!$B$1+((Inputs!$G$5:$G$120&lt;&gt;"moeda")*(Inputs!$G$5:$G$120&lt;&gt;"acoes")))*INDEX(Inputs!$K$5:$AJ$120,0,MATCH(AH$2,Inputs!$K$4:$AJ$4,0)))+SUMPRODUCT((Inputs!$E$5:$E$120=$B63)*Inputs!$F$5:$F$120*(((Inputs!$G$5:$G$120="moeda")+(Inputs!$G$5:$G$120="acoes"))*Inputs!$B$1+((Inputs!$G$5:$G$120&lt;&gt;"moeda")*(Inputs!$G$5:$G$120&lt;&gt;"acoes")))*INDEX(Inputs!$K$5:$AJ$120,0,MATCH(AH$2,Inputs!$K$4:$AJ$4,0)))))</f>
        <v>463.5</v>
      </c>
      <c r="AI63" s="263">
        <f>IF(ISNA(MATCH(AI$2,Inputs!$K$4:$AJ$4,0)),NA(),IF(SUMPRODUCT((Inputs!$A$5:$A$120=$B63)*ISNUMBER(INDEX(Inputs!$K$5:$AJ$120,0,MATCH(AI$2,Inputs!$K$4:$AJ$4,0))))+SUMPRODUCT((Inputs!$C$5:$C$120=$B63)*ISNUMBER(INDEX(Inputs!$K$5:$AJ$120,0,MATCH(AI$2,Inputs!$K$4:$AJ$4,0))))+SUMPRODUCT((Inputs!$E$5:$E$120=$B63)*ISNUMBER(INDEX(Inputs!$K$5:$AJ$120,0,MATCH(AI$2,Inputs!$K$4:$AJ$4,0))))=0,NA(),SUMPRODUCT((Inputs!$A$5:$A$120=$B63)*Inputs!$B$5:$B$120*(((Inputs!$G$5:$G$120="moeda")+(Inputs!$G$5:$G$120="acoes"))*Inputs!$B$1+((Inputs!$G$5:$G$120&lt;&gt;"moeda")*(Inputs!$G$5:$G$120&lt;&gt;"acoes")))*INDEX(Inputs!$K$5:$AJ$120,0,MATCH(AI$2,Inputs!$K$4:$AJ$4,0)))+SUMPRODUCT((Inputs!$C$5:$C$120=$B63)*Inputs!$D$5:$D$120*(((Inputs!$G$5:$G$120="moeda")+(Inputs!$G$5:$G$120="acoes"))*Inputs!$B$1+((Inputs!$G$5:$G$120&lt;&gt;"moeda")*(Inputs!$G$5:$G$120&lt;&gt;"acoes")))*INDEX(Inputs!$K$5:$AJ$120,0,MATCH(AI$2,Inputs!$K$4:$AJ$4,0)))+SUMPRODUCT((Inputs!$E$5:$E$120=$B63)*Inputs!$F$5:$F$120*(((Inputs!$G$5:$G$120="moeda")+(Inputs!$G$5:$G$120="acoes"))*Inputs!$B$1+((Inputs!$G$5:$G$120&lt;&gt;"moeda")*(Inputs!$G$5:$G$120&lt;&gt;"acoes")))*INDEX(Inputs!$K$5:$AJ$120,0,MATCH(AI$2,Inputs!$K$4:$AJ$4,0)))))</f>
        <v>422.5</v>
      </c>
      <c r="AJ63" s="263">
        <f>IF(ISNA(MATCH(AJ$2,Inputs!$K$4:$AJ$4,0)),NA(),IF(SUMPRODUCT((Inputs!$A$5:$A$120=$B63)*ISNUMBER(INDEX(Inputs!$K$5:$AJ$120,0,MATCH(AJ$2,Inputs!$K$4:$AJ$4,0))))+SUMPRODUCT((Inputs!$C$5:$C$120=$B63)*ISNUMBER(INDEX(Inputs!$K$5:$AJ$120,0,MATCH(AJ$2,Inputs!$K$4:$AJ$4,0))))+SUMPRODUCT((Inputs!$E$5:$E$120=$B63)*ISNUMBER(INDEX(Inputs!$K$5:$AJ$120,0,MATCH(AJ$2,Inputs!$K$4:$AJ$4,0))))=0,NA(),SUMPRODUCT((Inputs!$A$5:$A$120=$B63)*Inputs!$B$5:$B$120*(((Inputs!$G$5:$G$120="moeda")+(Inputs!$G$5:$G$120="acoes"))*Inputs!$B$1+((Inputs!$G$5:$G$120&lt;&gt;"moeda")*(Inputs!$G$5:$G$120&lt;&gt;"acoes")))*INDEX(Inputs!$K$5:$AJ$120,0,MATCH(AJ$2,Inputs!$K$4:$AJ$4,0)))+SUMPRODUCT((Inputs!$C$5:$C$120=$B63)*Inputs!$D$5:$D$120*(((Inputs!$G$5:$G$120="moeda")+(Inputs!$G$5:$G$120="acoes"))*Inputs!$B$1+((Inputs!$G$5:$G$120&lt;&gt;"moeda")*(Inputs!$G$5:$G$120&lt;&gt;"acoes")))*INDEX(Inputs!$K$5:$AJ$120,0,MATCH(AJ$2,Inputs!$K$4:$AJ$4,0)))+SUMPRODUCT((Inputs!$E$5:$E$120=$B63)*Inputs!$F$5:$F$120*(((Inputs!$G$5:$G$120="moeda")+(Inputs!$G$5:$G$120="acoes"))*Inputs!$B$1+((Inputs!$G$5:$G$120&lt;&gt;"moeda")*(Inputs!$G$5:$G$120&lt;&gt;"acoes")))*INDEX(Inputs!$K$5:$AJ$120,0,MATCH(AJ$2,Inputs!$K$4:$AJ$4,0)))))</f>
        <v>470.7</v>
      </c>
      <c r="AK63" s="263">
        <f>IF(ISNA(MATCH(AK$2,Inputs!$K$4:$AJ$4,0)),NA(),IF(SUMPRODUCT((Inputs!$A$5:$A$120=$B63)*ISNUMBER(INDEX(Inputs!$K$5:$AJ$120,0,MATCH(AK$2,Inputs!$K$4:$AJ$4,0))))+SUMPRODUCT((Inputs!$C$5:$C$120=$B63)*ISNUMBER(INDEX(Inputs!$K$5:$AJ$120,0,MATCH(AK$2,Inputs!$K$4:$AJ$4,0))))+SUMPRODUCT((Inputs!$E$5:$E$120=$B63)*ISNUMBER(INDEX(Inputs!$K$5:$AJ$120,0,MATCH(AK$2,Inputs!$K$4:$AJ$4,0))))=0,NA(),SUMPRODUCT((Inputs!$A$5:$A$120=$B63)*Inputs!$B$5:$B$120*(((Inputs!$G$5:$G$120="moeda")+(Inputs!$G$5:$G$120="acoes"))*Inputs!$B$1+((Inputs!$G$5:$G$120&lt;&gt;"moeda")*(Inputs!$G$5:$G$120&lt;&gt;"acoes")))*INDEX(Inputs!$K$5:$AJ$120,0,MATCH(AK$2,Inputs!$K$4:$AJ$4,0)))+SUMPRODUCT((Inputs!$C$5:$C$120=$B63)*Inputs!$D$5:$D$120*(((Inputs!$G$5:$G$120="moeda")+(Inputs!$G$5:$G$120="acoes"))*Inputs!$B$1+((Inputs!$G$5:$G$120&lt;&gt;"moeda")*(Inputs!$G$5:$G$120&lt;&gt;"acoes")))*INDEX(Inputs!$K$5:$AJ$120,0,MATCH(AK$2,Inputs!$K$4:$AJ$4,0)))+SUMPRODUCT((Inputs!$E$5:$E$120=$B63)*Inputs!$F$5:$F$120*(((Inputs!$G$5:$G$120="moeda")+(Inputs!$G$5:$G$120="acoes"))*Inputs!$B$1+((Inputs!$G$5:$G$120&lt;&gt;"moeda")*(Inputs!$G$5:$G$120&lt;&gt;"acoes")))*INDEX(Inputs!$K$5:$AJ$120,0,MATCH(AK$2,Inputs!$K$4:$AJ$4,0)))))</f>
        <v>474.6</v>
      </c>
      <c r="AL63" s="264">
        <f>SUM(AH63:AK63)</f>
        <v>1831.3</v>
      </c>
    </row>
    <row r="64">
      <c r="B64" s="46" t="n">
        <v>56</v>
      </c>
      <c r="C64" s="29" t="inlineStr">
        <is>
          <t>Receita EUA (USD)</t>
        </is>
      </c>
      <c r="D64" s="263">
        <f>IF(ISNA(MATCH(D$2,Inputs!$K$4:$AJ$4,0)),NA(),IF(SUMPRODUCT((Inputs!$A$5:$A$120=$B64)*ISNUMBER(INDEX(Inputs!$K$5:$AJ$120,0,MATCH(D$2,Inputs!$K$4:$AJ$4,0))))+SUMPRODUCT((Inputs!$C$5:$C$120=$B64)*ISNUMBER(INDEX(Inputs!$K$5:$AJ$120,0,MATCH(D$2,Inputs!$K$4:$AJ$4,0))))+SUMPRODUCT((Inputs!$E$5:$E$120=$B64)*ISNUMBER(INDEX(Inputs!$K$5:$AJ$120,0,MATCH(D$2,Inputs!$K$4:$AJ$4,0))))=0,NA(),SUMPRODUCT((Inputs!$A$5:$A$120=$B64)*Inputs!$B$5:$B$120*(((Inputs!$G$5:$G$120="moeda")+(Inputs!$G$5:$G$120="acoes"))*Inputs!$B$1+((Inputs!$G$5:$G$120&lt;&gt;"moeda")*(Inputs!$G$5:$G$120&lt;&gt;"acoes")))*INDEX(Inputs!$K$5:$AJ$120,0,MATCH(D$2,Inputs!$K$4:$AJ$4,0)))+SUMPRODUCT((Inputs!$C$5:$C$120=$B64)*Inputs!$D$5:$D$120*(((Inputs!$G$5:$G$120="moeda")+(Inputs!$G$5:$G$120="acoes"))*Inputs!$B$1+((Inputs!$G$5:$G$120&lt;&gt;"moeda")*(Inputs!$G$5:$G$120&lt;&gt;"acoes")))*INDEX(Inputs!$K$5:$AJ$120,0,MATCH(D$2,Inputs!$K$4:$AJ$4,0)))+SUMPRODUCT((Inputs!$E$5:$E$120=$B64)*Inputs!$F$5:$F$120*(((Inputs!$G$5:$G$120="moeda")+(Inputs!$G$5:$G$120="acoes"))*Inputs!$B$1+((Inputs!$G$5:$G$120&lt;&gt;"moeda")*(Inputs!$G$5:$G$120&lt;&gt;"acoes")))*INDEX(Inputs!$K$5:$AJ$120,0,MATCH(D$2,Inputs!$K$4:$AJ$4,0)))))</f>
        <v>3941.3</v>
      </c>
      <c r="E64" s="263">
        <f>IF(ISNA(MATCH(E$2,Inputs!$K$4:$AJ$4,0)),NA(),IF(SUMPRODUCT((Inputs!$A$5:$A$120=$B64)*ISNUMBER(INDEX(Inputs!$K$5:$AJ$120,0,MATCH(E$2,Inputs!$K$4:$AJ$4,0))))+SUMPRODUCT((Inputs!$C$5:$C$120=$B64)*ISNUMBER(INDEX(Inputs!$K$5:$AJ$120,0,MATCH(E$2,Inputs!$K$4:$AJ$4,0))))+SUMPRODUCT((Inputs!$E$5:$E$120=$B64)*ISNUMBER(INDEX(Inputs!$K$5:$AJ$120,0,MATCH(E$2,Inputs!$K$4:$AJ$4,0))))=0,NA(),SUMPRODUCT((Inputs!$A$5:$A$120=$B64)*Inputs!$B$5:$B$120*(((Inputs!$G$5:$G$120="moeda")+(Inputs!$G$5:$G$120="acoes"))*Inputs!$B$1+((Inputs!$G$5:$G$120&lt;&gt;"moeda")*(Inputs!$G$5:$G$120&lt;&gt;"acoes")))*INDEX(Inputs!$K$5:$AJ$120,0,MATCH(E$2,Inputs!$K$4:$AJ$4,0)))+SUMPRODUCT((Inputs!$C$5:$C$120=$B64)*Inputs!$D$5:$D$120*(((Inputs!$G$5:$G$120="moeda")+(Inputs!$G$5:$G$120="acoes"))*Inputs!$B$1+((Inputs!$G$5:$G$120&lt;&gt;"moeda")*(Inputs!$G$5:$G$120&lt;&gt;"acoes")))*INDEX(Inputs!$K$5:$AJ$120,0,MATCH(E$2,Inputs!$K$4:$AJ$4,0)))+SUMPRODUCT((Inputs!$E$5:$E$120=$B64)*Inputs!$F$5:$F$120*(((Inputs!$G$5:$G$120="moeda")+(Inputs!$G$5:$G$120="acoes"))*Inputs!$B$1+((Inputs!$G$5:$G$120&lt;&gt;"moeda")*(Inputs!$G$5:$G$120&lt;&gt;"acoes")))*INDEX(Inputs!$K$5:$AJ$120,0,MATCH(E$2,Inputs!$K$4:$AJ$4,0)))))</f>
        <v>3704.2</v>
      </c>
      <c r="F64" s="263">
        <f>IF(ISNA(MATCH(F$2,Inputs!$K$4:$AJ$4,0)),NA(),IF(SUMPRODUCT((Inputs!$A$5:$A$120=$B64)*ISNUMBER(INDEX(Inputs!$K$5:$AJ$120,0,MATCH(F$2,Inputs!$K$4:$AJ$4,0))))+SUMPRODUCT((Inputs!$C$5:$C$120=$B64)*ISNUMBER(INDEX(Inputs!$K$5:$AJ$120,0,MATCH(F$2,Inputs!$K$4:$AJ$4,0))))+SUMPRODUCT((Inputs!$E$5:$E$120=$B64)*ISNUMBER(INDEX(Inputs!$K$5:$AJ$120,0,MATCH(F$2,Inputs!$K$4:$AJ$4,0))))=0,NA(),SUMPRODUCT((Inputs!$A$5:$A$120=$B64)*Inputs!$B$5:$B$120*(((Inputs!$G$5:$G$120="moeda")+(Inputs!$G$5:$G$120="acoes"))*Inputs!$B$1+((Inputs!$G$5:$G$120&lt;&gt;"moeda")*(Inputs!$G$5:$G$120&lt;&gt;"acoes")))*INDEX(Inputs!$K$5:$AJ$120,0,MATCH(F$2,Inputs!$K$4:$AJ$4,0)))+SUMPRODUCT((Inputs!$C$5:$C$120=$B64)*Inputs!$D$5:$D$120*(((Inputs!$G$5:$G$120="moeda")+(Inputs!$G$5:$G$120="acoes"))*Inputs!$B$1+((Inputs!$G$5:$G$120&lt;&gt;"moeda")*(Inputs!$G$5:$G$120&lt;&gt;"acoes")))*INDEX(Inputs!$K$5:$AJ$120,0,MATCH(F$2,Inputs!$K$4:$AJ$4,0)))+SUMPRODUCT((Inputs!$E$5:$E$120=$B64)*Inputs!$F$5:$F$120*(((Inputs!$G$5:$G$120="moeda")+(Inputs!$G$5:$G$120="acoes"))*Inputs!$B$1+((Inputs!$G$5:$G$120&lt;&gt;"moeda")*(Inputs!$G$5:$G$120&lt;&gt;"acoes")))*INDEX(Inputs!$K$5:$AJ$120,0,MATCH(F$2,Inputs!$K$4:$AJ$4,0)))))</f>
        <v>3989.6</v>
      </c>
      <c r="G64" s="263">
        <f>IF(ISNA(MATCH(G$2,Inputs!$K$4:$AJ$4,0)),NA(),IF(SUMPRODUCT((Inputs!$A$5:$A$120=$B64)*ISNUMBER(INDEX(Inputs!$K$5:$AJ$120,0,MATCH(G$2,Inputs!$K$4:$AJ$4,0))))+SUMPRODUCT((Inputs!$C$5:$C$120=$B64)*ISNUMBER(INDEX(Inputs!$K$5:$AJ$120,0,MATCH(G$2,Inputs!$K$4:$AJ$4,0))))+SUMPRODUCT((Inputs!$E$5:$E$120=$B64)*ISNUMBER(INDEX(Inputs!$K$5:$AJ$120,0,MATCH(G$2,Inputs!$K$4:$AJ$4,0))))=0,NA(),SUMPRODUCT((Inputs!$A$5:$A$120=$B64)*Inputs!$B$5:$B$120*(((Inputs!$G$5:$G$120="moeda")+(Inputs!$G$5:$G$120="acoes"))*Inputs!$B$1+((Inputs!$G$5:$G$120&lt;&gt;"moeda")*(Inputs!$G$5:$G$120&lt;&gt;"acoes")))*INDEX(Inputs!$K$5:$AJ$120,0,MATCH(G$2,Inputs!$K$4:$AJ$4,0)))+SUMPRODUCT((Inputs!$C$5:$C$120=$B64)*Inputs!$D$5:$D$120*(((Inputs!$G$5:$G$120="moeda")+(Inputs!$G$5:$G$120="acoes"))*Inputs!$B$1+((Inputs!$G$5:$G$120&lt;&gt;"moeda")*(Inputs!$G$5:$G$120&lt;&gt;"acoes")))*INDEX(Inputs!$K$5:$AJ$120,0,MATCH(G$2,Inputs!$K$4:$AJ$4,0)))+SUMPRODUCT((Inputs!$E$5:$E$120=$B64)*Inputs!$F$5:$F$120*(((Inputs!$G$5:$G$120="moeda")+(Inputs!$G$5:$G$120="acoes"))*Inputs!$B$1+((Inputs!$G$5:$G$120&lt;&gt;"moeda")*(Inputs!$G$5:$G$120&lt;&gt;"acoes")))*INDEX(Inputs!$K$5:$AJ$120,0,MATCH(G$2,Inputs!$K$4:$AJ$4,0)))))</f>
        <v>5175.9</v>
      </c>
      <c r="H64" s="264">
        <f>SUM(D64:G64)</f>
        <v>16811</v>
      </c>
      <c r="I64" s="263">
        <f>IF(ISNA(MATCH(I$2,Inputs!$K$4:$AJ$4,0)),NA(),IF(SUMPRODUCT((Inputs!$A$5:$A$120=$B64)*ISNUMBER(INDEX(Inputs!$K$5:$AJ$120,0,MATCH(I$2,Inputs!$K$4:$AJ$4,0))))+SUMPRODUCT((Inputs!$C$5:$C$120=$B64)*ISNUMBER(INDEX(Inputs!$K$5:$AJ$120,0,MATCH(I$2,Inputs!$K$4:$AJ$4,0))))+SUMPRODUCT((Inputs!$E$5:$E$120=$B64)*ISNUMBER(INDEX(Inputs!$K$5:$AJ$120,0,MATCH(I$2,Inputs!$K$4:$AJ$4,0))))=0,NA(),SUMPRODUCT((Inputs!$A$5:$A$120=$B64)*Inputs!$B$5:$B$120*(((Inputs!$G$5:$G$120="moeda")+(Inputs!$G$5:$G$120="acoes"))*Inputs!$B$1+((Inputs!$G$5:$G$120&lt;&gt;"moeda")*(Inputs!$G$5:$G$120&lt;&gt;"acoes")))*INDEX(Inputs!$K$5:$AJ$120,0,MATCH(I$2,Inputs!$K$4:$AJ$4,0)))+SUMPRODUCT((Inputs!$C$5:$C$120=$B64)*Inputs!$D$5:$D$120*(((Inputs!$G$5:$G$120="moeda")+(Inputs!$G$5:$G$120="acoes"))*Inputs!$B$1+((Inputs!$G$5:$G$120&lt;&gt;"moeda")*(Inputs!$G$5:$G$120&lt;&gt;"acoes")))*INDEX(Inputs!$K$5:$AJ$120,0,MATCH(I$2,Inputs!$K$4:$AJ$4,0)))+SUMPRODUCT((Inputs!$E$5:$E$120=$B64)*Inputs!$F$5:$F$120*(((Inputs!$G$5:$G$120="moeda")+(Inputs!$G$5:$G$120="acoes"))*Inputs!$B$1+((Inputs!$G$5:$G$120&lt;&gt;"moeda")*(Inputs!$G$5:$G$120&lt;&gt;"acoes")))*INDEX(Inputs!$K$5:$AJ$120,0,MATCH(I$2,Inputs!$K$4:$AJ$4,0)))))</f>
        <v>5174.6</v>
      </c>
      <c r="J64" s="263">
        <f>IF(ISNA(MATCH(J$2,Inputs!$K$4:$AJ$4,0)),NA(),IF(SUMPRODUCT((Inputs!$A$5:$A$120=$B64)*ISNUMBER(INDEX(Inputs!$K$5:$AJ$120,0,MATCH(J$2,Inputs!$K$4:$AJ$4,0))))+SUMPRODUCT((Inputs!$C$5:$C$120=$B64)*ISNUMBER(INDEX(Inputs!$K$5:$AJ$120,0,MATCH(J$2,Inputs!$K$4:$AJ$4,0))))+SUMPRODUCT((Inputs!$E$5:$E$120=$B64)*ISNUMBER(INDEX(Inputs!$K$5:$AJ$120,0,MATCH(J$2,Inputs!$K$4:$AJ$4,0))))=0,NA(),SUMPRODUCT((Inputs!$A$5:$A$120=$B64)*Inputs!$B$5:$B$120*(((Inputs!$G$5:$G$120="moeda")+(Inputs!$G$5:$G$120="acoes"))*Inputs!$B$1+((Inputs!$G$5:$G$120&lt;&gt;"moeda")*(Inputs!$G$5:$G$120&lt;&gt;"acoes")))*INDEX(Inputs!$K$5:$AJ$120,0,MATCH(J$2,Inputs!$K$4:$AJ$4,0)))+SUMPRODUCT((Inputs!$C$5:$C$120=$B64)*Inputs!$D$5:$D$120*(((Inputs!$G$5:$G$120="moeda")+(Inputs!$G$5:$G$120="acoes"))*Inputs!$B$1+((Inputs!$G$5:$G$120&lt;&gt;"moeda")*(Inputs!$G$5:$G$120&lt;&gt;"acoes")))*INDEX(Inputs!$K$5:$AJ$120,0,MATCH(J$2,Inputs!$K$4:$AJ$4,0)))+SUMPRODUCT((Inputs!$E$5:$E$120=$B64)*Inputs!$F$5:$F$120*(((Inputs!$G$5:$G$120="moeda")+(Inputs!$G$5:$G$120="acoes"))*Inputs!$B$1+((Inputs!$G$5:$G$120&lt;&gt;"moeda")*(Inputs!$G$5:$G$120&lt;&gt;"acoes")))*INDEX(Inputs!$K$5:$AJ$120,0,MATCH(J$2,Inputs!$K$4:$AJ$4,0)))))</f>
        <v>3934.8</v>
      </c>
      <c r="K64" s="263">
        <f>IF(ISNA(MATCH(K$2,Inputs!$K$4:$AJ$4,0)),NA(),IF(SUMPRODUCT((Inputs!$A$5:$A$120=$B64)*ISNUMBER(INDEX(Inputs!$K$5:$AJ$120,0,MATCH(K$2,Inputs!$K$4:$AJ$4,0))))+SUMPRODUCT((Inputs!$C$5:$C$120=$B64)*ISNUMBER(INDEX(Inputs!$K$5:$AJ$120,0,MATCH(K$2,Inputs!$K$4:$AJ$4,0))))+SUMPRODUCT((Inputs!$E$5:$E$120=$B64)*ISNUMBER(INDEX(Inputs!$K$5:$AJ$120,0,MATCH(K$2,Inputs!$K$4:$AJ$4,0))))=0,NA(),SUMPRODUCT((Inputs!$A$5:$A$120=$B64)*Inputs!$B$5:$B$120*(((Inputs!$G$5:$G$120="moeda")+(Inputs!$G$5:$G$120="acoes"))*Inputs!$B$1+((Inputs!$G$5:$G$120&lt;&gt;"moeda")*(Inputs!$G$5:$G$120&lt;&gt;"acoes")))*INDEX(Inputs!$K$5:$AJ$120,0,MATCH(K$2,Inputs!$K$4:$AJ$4,0)))+SUMPRODUCT((Inputs!$C$5:$C$120=$B64)*Inputs!$D$5:$D$120*(((Inputs!$G$5:$G$120="moeda")+(Inputs!$G$5:$G$120="acoes"))*Inputs!$B$1+((Inputs!$G$5:$G$120&lt;&gt;"moeda")*(Inputs!$G$5:$G$120&lt;&gt;"acoes")))*INDEX(Inputs!$K$5:$AJ$120,0,MATCH(K$2,Inputs!$K$4:$AJ$4,0)))+SUMPRODUCT((Inputs!$E$5:$E$120=$B64)*Inputs!$F$5:$F$120*(((Inputs!$G$5:$G$120="moeda")+(Inputs!$G$5:$G$120="acoes"))*Inputs!$B$1+((Inputs!$G$5:$G$120&lt;&gt;"moeda")*(Inputs!$G$5:$G$120&lt;&gt;"acoes")))*INDEX(Inputs!$K$5:$AJ$120,0,MATCH(K$2,Inputs!$K$4:$AJ$4,0)))))</f>
        <v>4422.1</v>
      </c>
      <c r="L64" s="263">
        <f>IF(ISNA(MATCH(L$2,Inputs!$K$4:$AJ$4,0)),NA(),IF(SUMPRODUCT((Inputs!$A$5:$A$120=$B64)*ISNUMBER(INDEX(Inputs!$K$5:$AJ$120,0,MATCH(L$2,Inputs!$K$4:$AJ$4,0))))+SUMPRODUCT((Inputs!$C$5:$C$120=$B64)*ISNUMBER(INDEX(Inputs!$K$5:$AJ$120,0,MATCH(L$2,Inputs!$K$4:$AJ$4,0))))+SUMPRODUCT((Inputs!$E$5:$E$120=$B64)*ISNUMBER(INDEX(Inputs!$K$5:$AJ$120,0,MATCH(L$2,Inputs!$K$4:$AJ$4,0))))=0,NA(),SUMPRODUCT((Inputs!$A$5:$A$120=$B64)*Inputs!$B$5:$B$120*(((Inputs!$G$5:$G$120="moeda")+(Inputs!$G$5:$G$120="acoes"))*Inputs!$B$1+((Inputs!$G$5:$G$120&lt;&gt;"moeda")*(Inputs!$G$5:$G$120&lt;&gt;"acoes")))*INDEX(Inputs!$K$5:$AJ$120,0,MATCH(L$2,Inputs!$K$4:$AJ$4,0)))+SUMPRODUCT((Inputs!$C$5:$C$120=$B64)*Inputs!$D$5:$D$120*(((Inputs!$G$5:$G$120="moeda")+(Inputs!$G$5:$G$120="acoes"))*Inputs!$B$1+((Inputs!$G$5:$G$120&lt;&gt;"moeda")*(Inputs!$G$5:$G$120&lt;&gt;"acoes")))*INDEX(Inputs!$K$5:$AJ$120,0,MATCH(L$2,Inputs!$K$4:$AJ$4,0)))+SUMPRODUCT((Inputs!$E$5:$E$120=$B64)*Inputs!$F$5:$F$120*(((Inputs!$G$5:$G$120="moeda")+(Inputs!$G$5:$G$120="acoes"))*Inputs!$B$1+((Inputs!$G$5:$G$120&lt;&gt;"moeda")*(Inputs!$G$5:$G$120&lt;&gt;"acoes")))*INDEX(Inputs!$K$5:$AJ$120,0,MATCH(L$2,Inputs!$K$4:$AJ$4,0)))))</f>
        <v>4658.5</v>
      </c>
      <c r="M64" s="264">
        <f>SUM(I64:L64)</f>
        <v>18190</v>
      </c>
      <c r="N64" s="263">
        <f>IF(ISNA(MATCH(N$2,Inputs!$K$4:$AJ$4,0)),NA(),IF(SUMPRODUCT((Inputs!$A$5:$A$120=$B64)*ISNUMBER(INDEX(Inputs!$K$5:$AJ$120,0,MATCH(N$2,Inputs!$K$4:$AJ$4,0))))+SUMPRODUCT((Inputs!$C$5:$C$120=$B64)*ISNUMBER(INDEX(Inputs!$K$5:$AJ$120,0,MATCH(N$2,Inputs!$K$4:$AJ$4,0))))+SUMPRODUCT((Inputs!$E$5:$E$120=$B64)*ISNUMBER(INDEX(Inputs!$K$5:$AJ$120,0,MATCH(N$2,Inputs!$K$4:$AJ$4,0))))=0,NA(),SUMPRODUCT((Inputs!$A$5:$A$120=$B64)*Inputs!$B$5:$B$120*(((Inputs!$G$5:$G$120="moeda")+(Inputs!$G$5:$G$120="acoes"))*Inputs!$B$1+((Inputs!$G$5:$G$120&lt;&gt;"moeda")*(Inputs!$G$5:$G$120&lt;&gt;"acoes")))*INDEX(Inputs!$K$5:$AJ$120,0,MATCH(N$2,Inputs!$K$4:$AJ$4,0)))+SUMPRODUCT((Inputs!$C$5:$C$120=$B64)*Inputs!$D$5:$D$120*(((Inputs!$G$5:$G$120="moeda")+(Inputs!$G$5:$G$120="acoes"))*Inputs!$B$1+((Inputs!$G$5:$G$120&lt;&gt;"moeda")*(Inputs!$G$5:$G$120&lt;&gt;"acoes")))*INDEX(Inputs!$K$5:$AJ$120,0,MATCH(N$2,Inputs!$K$4:$AJ$4,0)))+SUMPRODUCT((Inputs!$E$5:$E$120=$B64)*Inputs!$F$5:$F$120*(((Inputs!$G$5:$G$120="moeda")+(Inputs!$G$5:$G$120="acoes"))*Inputs!$B$1+((Inputs!$G$5:$G$120&lt;&gt;"moeda")*(Inputs!$G$5:$G$120&lt;&gt;"acoes")))*INDEX(Inputs!$K$5:$AJ$120,0,MATCH(N$2,Inputs!$K$4:$AJ$4,0)))))</f>
        <v>4436.2</v>
      </c>
      <c r="O64" s="263">
        <f>IF(ISNA(MATCH(O$2,Inputs!$K$4:$AJ$4,0)),NA(),IF(SUMPRODUCT((Inputs!$A$5:$A$120=$B64)*ISNUMBER(INDEX(Inputs!$K$5:$AJ$120,0,MATCH(O$2,Inputs!$K$4:$AJ$4,0))))+SUMPRODUCT((Inputs!$C$5:$C$120=$B64)*ISNUMBER(INDEX(Inputs!$K$5:$AJ$120,0,MATCH(O$2,Inputs!$K$4:$AJ$4,0))))+SUMPRODUCT((Inputs!$E$5:$E$120=$B64)*ISNUMBER(INDEX(Inputs!$K$5:$AJ$120,0,MATCH(O$2,Inputs!$K$4:$AJ$4,0))))=0,NA(),SUMPRODUCT((Inputs!$A$5:$A$120=$B64)*Inputs!$B$5:$B$120*(((Inputs!$G$5:$G$120="moeda")+(Inputs!$G$5:$G$120="acoes"))*Inputs!$B$1+((Inputs!$G$5:$G$120&lt;&gt;"moeda")*(Inputs!$G$5:$G$120&lt;&gt;"acoes")))*INDEX(Inputs!$K$5:$AJ$120,0,MATCH(O$2,Inputs!$K$4:$AJ$4,0)))+SUMPRODUCT((Inputs!$C$5:$C$120=$B64)*Inputs!$D$5:$D$120*(((Inputs!$G$5:$G$120="moeda")+(Inputs!$G$5:$G$120="acoes"))*Inputs!$B$1+((Inputs!$G$5:$G$120&lt;&gt;"moeda")*(Inputs!$G$5:$G$120&lt;&gt;"acoes")))*INDEX(Inputs!$K$5:$AJ$120,0,MATCH(O$2,Inputs!$K$4:$AJ$4,0)))+SUMPRODUCT((Inputs!$E$5:$E$120=$B64)*Inputs!$F$5:$F$120*(((Inputs!$G$5:$G$120="moeda")+(Inputs!$G$5:$G$120="acoes"))*Inputs!$B$1+((Inputs!$G$5:$G$120&lt;&gt;"moeda")*(Inputs!$G$5:$G$120&lt;&gt;"acoes")))*INDEX(Inputs!$K$5:$AJ$120,0,MATCH(O$2,Inputs!$K$4:$AJ$4,0)))))</f>
        <v>5531.4</v>
      </c>
      <c r="P64" s="263">
        <f>IF(ISNA(MATCH(P$2,Inputs!$K$4:$AJ$4,0)),NA(),IF(SUMPRODUCT((Inputs!$A$5:$A$120=$B64)*ISNUMBER(INDEX(Inputs!$K$5:$AJ$120,0,MATCH(P$2,Inputs!$K$4:$AJ$4,0))))+SUMPRODUCT((Inputs!$C$5:$C$120=$B64)*ISNUMBER(INDEX(Inputs!$K$5:$AJ$120,0,MATCH(P$2,Inputs!$K$4:$AJ$4,0))))+SUMPRODUCT((Inputs!$E$5:$E$120=$B64)*ISNUMBER(INDEX(Inputs!$K$5:$AJ$120,0,MATCH(P$2,Inputs!$K$4:$AJ$4,0))))=0,NA(),SUMPRODUCT((Inputs!$A$5:$A$120=$B64)*Inputs!$B$5:$B$120*(((Inputs!$G$5:$G$120="moeda")+(Inputs!$G$5:$G$120="acoes"))*Inputs!$B$1+((Inputs!$G$5:$G$120&lt;&gt;"moeda")*(Inputs!$G$5:$G$120&lt;&gt;"acoes")))*INDEX(Inputs!$K$5:$AJ$120,0,MATCH(P$2,Inputs!$K$4:$AJ$4,0)))+SUMPRODUCT((Inputs!$C$5:$C$120=$B64)*Inputs!$D$5:$D$120*(((Inputs!$G$5:$G$120="moeda")+(Inputs!$G$5:$G$120="acoes"))*Inputs!$B$1+((Inputs!$G$5:$G$120&lt;&gt;"moeda")*(Inputs!$G$5:$G$120&lt;&gt;"acoes")))*INDEX(Inputs!$K$5:$AJ$120,0,MATCH(P$2,Inputs!$K$4:$AJ$4,0)))+SUMPRODUCT((Inputs!$E$5:$E$120=$B64)*Inputs!$F$5:$F$120*(((Inputs!$G$5:$G$120="moeda")+(Inputs!$G$5:$G$120="acoes"))*Inputs!$B$1+((Inputs!$G$5:$G$120&lt;&gt;"moeda")*(Inputs!$G$5:$G$120&lt;&gt;"acoes")))*INDEX(Inputs!$K$5:$AJ$120,0,MATCH(P$2,Inputs!$K$4:$AJ$4,0)))))</f>
        <v>5368.1</v>
      </c>
      <c r="Q64" s="263">
        <f>IF(ISNA(MATCH(Q$2,Inputs!$K$4:$AJ$4,0)),NA(),IF(SUMPRODUCT((Inputs!$A$5:$A$120=$B64)*ISNUMBER(INDEX(Inputs!$K$5:$AJ$120,0,MATCH(Q$2,Inputs!$K$4:$AJ$4,0))))+SUMPRODUCT((Inputs!$C$5:$C$120=$B64)*ISNUMBER(INDEX(Inputs!$K$5:$AJ$120,0,MATCH(Q$2,Inputs!$K$4:$AJ$4,0))))+SUMPRODUCT((Inputs!$E$5:$E$120=$B64)*ISNUMBER(INDEX(Inputs!$K$5:$AJ$120,0,MATCH(Q$2,Inputs!$K$4:$AJ$4,0))))=0,NA(),SUMPRODUCT((Inputs!$A$5:$A$120=$B64)*Inputs!$B$5:$B$120*(((Inputs!$G$5:$G$120="moeda")+(Inputs!$G$5:$G$120="acoes"))*Inputs!$B$1+((Inputs!$G$5:$G$120&lt;&gt;"moeda")*(Inputs!$G$5:$G$120&lt;&gt;"acoes")))*INDEX(Inputs!$K$5:$AJ$120,0,MATCH(Q$2,Inputs!$K$4:$AJ$4,0)))+SUMPRODUCT((Inputs!$C$5:$C$120=$B64)*Inputs!$D$5:$D$120*(((Inputs!$G$5:$G$120="moeda")+(Inputs!$G$5:$G$120="acoes"))*Inputs!$B$1+((Inputs!$G$5:$G$120&lt;&gt;"moeda")*(Inputs!$G$5:$G$120&lt;&gt;"acoes")))*INDEX(Inputs!$K$5:$AJ$120,0,MATCH(Q$2,Inputs!$K$4:$AJ$4,0)))+SUMPRODUCT((Inputs!$E$5:$E$120=$B64)*Inputs!$F$5:$F$120*(((Inputs!$G$5:$G$120="moeda")+(Inputs!$G$5:$G$120="acoes"))*Inputs!$B$1+((Inputs!$G$5:$G$120&lt;&gt;"moeda")*(Inputs!$G$5:$G$120&lt;&gt;"acoes")))*INDEX(Inputs!$K$5:$AJ$120,0,MATCH(Q$2,Inputs!$K$4:$AJ$4,0)))))</f>
        <v>6455.4</v>
      </c>
      <c r="R64" s="264">
        <f>SUM(N64:Q64)</f>
        <v>21791.1</v>
      </c>
      <c r="S64" s="263">
        <f>IF(ISNA(MATCH(S$2,Inputs!$K$4:$AJ$4,0)),NA(),IF(SUMPRODUCT((Inputs!$A$5:$A$120=$B64)*ISNUMBER(INDEX(Inputs!$K$5:$AJ$120,0,MATCH(S$2,Inputs!$K$4:$AJ$4,0))))+SUMPRODUCT((Inputs!$C$5:$C$120=$B64)*ISNUMBER(INDEX(Inputs!$K$5:$AJ$120,0,MATCH(S$2,Inputs!$K$4:$AJ$4,0))))+SUMPRODUCT((Inputs!$E$5:$E$120=$B64)*ISNUMBER(INDEX(Inputs!$K$5:$AJ$120,0,MATCH(S$2,Inputs!$K$4:$AJ$4,0))))=0,NA(),SUMPRODUCT((Inputs!$A$5:$A$120=$B64)*Inputs!$B$5:$B$120*(((Inputs!$G$5:$G$120="moeda")+(Inputs!$G$5:$G$120="acoes"))*Inputs!$B$1+((Inputs!$G$5:$G$120&lt;&gt;"moeda")*(Inputs!$G$5:$G$120&lt;&gt;"acoes")))*INDEX(Inputs!$K$5:$AJ$120,0,MATCH(S$2,Inputs!$K$4:$AJ$4,0)))+SUMPRODUCT((Inputs!$C$5:$C$120=$B64)*Inputs!$D$5:$D$120*(((Inputs!$G$5:$G$120="moeda")+(Inputs!$G$5:$G$120="acoes"))*Inputs!$B$1+((Inputs!$G$5:$G$120&lt;&gt;"moeda")*(Inputs!$G$5:$G$120&lt;&gt;"acoes")))*INDEX(Inputs!$K$5:$AJ$120,0,MATCH(S$2,Inputs!$K$4:$AJ$4,0)))+SUMPRODUCT((Inputs!$E$5:$E$120=$B64)*Inputs!$F$5:$F$120*(((Inputs!$G$5:$G$120="moeda")+(Inputs!$G$5:$G$120="acoes"))*Inputs!$B$1+((Inputs!$G$5:$G$120&lt;&gt;"moeda")*(Inputs!$G$5:$G$120&lt;&gt;"acoes")))*INDEX(Inputs!$K$5:$AJ$120,0,MATCH(S$2,Inputs!$K$4:$AJ$4,0)))))</f>
        <v>5694.4</v>
      </c>
      <c r="T64" s="263">
        <f>IF(ISNA(MATCH(T$2,Inputs!$K$4:$AJ$4,0)),NA(),IF(SUMPRODUCT((Inputs!$A$5:$A$120=$B64)*ISNUMBER(INDEX(Inputs!$K$5:$AJ$120,0,MATCH(T$2,Inputs!$K$4:$AJ$4,0))))+SUMPRODUCT((Inputs!$C$5:$C$120=$B64)*ISNUMBER(INDEX(Inputs!$K$5:$AJ$120,0,MATCH(T$2,Inputs!$K$4:$AJ$4,0))))+SUMPRODUCT((Inputs!$E$5:$E$120=$B64)*ISNUMBER(INDEX(Inputs!$K$5:$AJ$120,0,MATCH(T$2,Inputs!$K$4:$AJ$4,0))))=0,NA(),SUMPRODUCT((Inputs!$A$5:$A$120=$B64)*Inputs!$B$5:$B$120*(((Inputs!$G$5:$G$120="moeda")+(Inputs!$G$5:$G$120="acoes"))*Inputs!$B$1+((Inputs!$G$5:$G$120&lt;&gt;"moeda")*(Inputs!$G$5:$G$120&lt;&gt;"acoes")))*INDEX(Inputs!$K$5:$AJ$120,0,MATCH(T$2,Inputs!$K$4:$AJ$4,0)))+SUMPRODUCT((Inputs!$C$5:$C$120=$B64)*Inputs!$D$5:$D$120*(((Inputs!$G$5:$G$120="moeda")+(Inputs!$G$5:$G$120="acoes"))*Inputs!$B$1+((Inputs!$G$5:$G$120&lt;&gt;"moeda")*(Inputs!$G$5:$G$120&lt;&gt;"acoes")))*INDEX(Inputs!$K$5:$AJ$120,0,MATCH(T$2,Inputs!$K$4:$AJ$4,0)))+SUMPRODUCT((Inputs!$E$5:$E$120=$B64)*Inputs!$F$5:$F$120*(((Inputs!$G$5:$G$120="moeda")+(Inputs!$G$5:$G$120="acoes"))*Inputs!$B$1+((Inputs!$G$5:$G$120&lt;&gt;"moeda")*(Inputs!$G$5:$G$120&lt;&gt;"acoes")))*INDEX(Inputs!$K$5:$AJ$120,0,MATCH(T$2,Inputs!$K$4:$AJ$4,0)))))</f>
        <v>7835.2</v>
      </c>
      <c r="U64" s="263">
        <f>IF(ISNA(MATCH(U$2,Inputs!$K$4:$AJ$4,0)),NA(),IF(SUMPRODUCT((Inputs!$A$5:$A$120=$B64)*ISNUMBER(INDEX(Inputs!$K$5:$AJ$120,0,MATCH(U$2,Inputs!$K$4:$AJ$4,0))))+SUMPRODUCT((Inputs!$C$5:$C$120=$B64)*ISNUMBER(INDEX(Inputs!$K$5:$AJ$120,0,MATCH(U$2,Inputs!$K$4:$AJ$4,0))))+SUMPRODUCT((Inputs!$E$5:$E$120=$B64)*ISNUMBER(INDEX(Inputs!$K$5:$AJ$120,0,MATCH(U$2,Inputs!$K$4:$AJ$4,0))))=0,NA(),SUMPRODUCT((Inputs!$A$5:$A$120=$B64)*Inputs!$B$5:$B$120*(((Inputs!$G$5:$G$120="moeda")+(Inputs!$G$5:$G$120="acoes"))*Inputs!$B$1+((Inputs!$G$5:$G$120&lt;&gt;"moeda")*(Inputs!$G$5:$G$120&lt;&gt;"acoes")))*INDEX(Inputs!$K$5:$AJ$120,0,MATCH(U$2,Inputs!$K$4:$AJ$4,0)))+SUMPRODUCT((Inputs!$C$5:$C$120=$B64)*Inputs!$D$5:$D$120*(((Inputs!$G$5:$G$120="moeda")+(Inputs!$G$5:$G$120="acoes"))*Inputs!$B$1+((Inputs!$G$5:$G$120&lt;&gt;"moeda")*(Inputs!$G$5:$G$120&lt;&gt;"acoes")))*INDEX(Inputs!$K$5:$AJ$120,0,MATCH(U$2,Inputs!$K$4:$AJ$4,0)))+SUMPRODUCT((Inputs!$E$5:$E$120=$B64)*Inputs!$F$5:$F$120*(((Inputs!$G$5:$G$120="moeda")+(Inputs!$G$5:$G$120="acoes"))*Inputs!$B$1+((Inputs!$G$5:$G$120&lt;&gt;"moeda")*(Inputs!$G$5:$G$120&lt;&gt;"acoes")))*INDEX(Inputs!$K$5:$AJ$120,0,MATCH(U$2,Inputs!$K$4:$AJ$4,0)))))</f>
        <v>7813.6</v>
      </c>
      <c r="V64" s="263">
        <f>IF(ISNA(MATCH(V$2,Inputs!$K$4:$AJ$4,0)),NA(),IF(SUMPRODUCT((Inputs!$A$5:$A$120=$B64)*ISNUMBER(INDEX(Inputs!$K$5:$AJ$120,0,MATCH(V$2,Inputs!$K$4:$AJ$4,0))))+SUMPRODUCT((Inputs!$C$5:$C$120=$B64)*ISNUMBER(INDEX(Inputs!$K$5:$AJ$120,0,MATCH(V$2,Inputs!$K$4:$AJ$4,0))))+SUMPRODUCT((Inputs!$E$5:$E$120=$B64)*ISNUMBER(INDEX(Inputs!$K$5:$AJ$120,0,MATCH(V$2,Inputs!$K$4:$AJ$4,0))))=0,NA(),SUMPRODUCT((Inputs!$A$5:$A$120=$B64)*Inputs!$B$5:$B$120*(((Inputs!$G$5:$G$120="moeda")+(Inputs!$G$5:$G$120="acoes"))*Inputs!$B$1+((Inputs!$G$5:$G$120&lt;&gt;"moeda")*(Inputs!$G$5:$G$120&lt;&gt;"acoes")))*INDEX(Inputs!$K$5:$AJ$120,0,MATCH(V$2,Inputs!$K$4:$AJ$4,0)))+SUMPRODUCT((Inputs!$C$5:$C$120=$B64)*Inputs!$D$5:$D$120*(((Inputs!$G$5:$G$120="moeda")+(Inputs!$G$5:$G$120="acoes"))*Inputs!$B$1+((Inputs!$G$5:$G$120&lt;&gt;"moeda")*(Inputs!$G$5:$G$120&lt;&gt;"acoes")))*INDEX(Inputs!$K$5:$AJ$120,0,MATCH(V$2,Inputs!$K$4:$AJ$4,0)))+SUMPRODUCT((Inputs!$E$5:$E$120=$B64)*Inputs!$F$5:$F$120*(((Inputs!$G$5:$G$120="moeda")+(Inputs!$G$5:$G$120="acoes"))*Inputs!$B$1+((Inputs!$G$5:$G$120&lt;&gt;"moeda")*(Inputs!$G$5:$G$120&lt;&gt;"acoes")))*INDEX(Inputs!$K$5:$AJ$120,0,MATCH(V$2,Inputs!$K$4:$AJ$4,0)))))</f>
        <v>9032</v>
      </c>
      <c r="W64" s="264">
        <f>SUM(S64:V64)</f>
        <v>30375.2</v>
      </c>
      <c r="X64" s="263">
        <f>IF(ISNA(MATCH(X$2,Inputs!$K$4:$AJ$4,0)),NA(),IF(SUMPRODUCT((Inputs!$A$5:$A$120=$B64)*ISNUMBER(INDEX(Inputs!$K$5:$AJ$120,0,MATCH(X$2,Inputs!$K$4:$AJ$4,0))))+SUMPRODUCT((Inputs!$C$5:$C$120=$B64)*ISNUMBER(INDEX(Inputs!$K$5:$AJ$120,0,MATCH(X$2,Inputs!$K$4:$AJ$4,0))))+SUMPRODUCT((Inputs!$E$5:$E$120=$B64)*ISNUMBER(INDEX(Inputs!$K$5:$AJ$120,0,MATCH(X$2,Inputs!$K$4:$AJ$4,0))))=0,NA(),SUMPRODUCT((Inputs!$A$5:$A$120=$B64)*Inputs!$B$5:$B$120*(((Inputs!$G$5:$G$120="moeda")+(Inputs!$G$5:$G$120="acoes"))*Inputs!$B$1+((Inputs!$G$5:$G$120&lt;&gt;"moeda")*(Inputs!$G$5:$G$120&lt;&gt;"acoes")))*INDEX(Inputs!$K$5:$AJ$120,0,MATCH(X$2,Inputs!$K$4:$AJ$4,0)))+SUMPRODUCT((Inputs!$C$5:$C$120=$B64)*Inputs!$D$5:$D$120*(((Inputs!$G$5:$G$120="moeda")+(Inputs!$G$5:$G$120="acoes"))*Inputs!$B$1+((Inputs!$G$5:$G$120&lt;&gt;"moeda")*(Inputs!$G$5:$G$120&lt;&gt;"acoes")))*INDEX(Inputs!$K$5:$AJ$120,0,MATCH(X$2,Inputs!$K$4:$AJ$4,0)))+SUMPRODUCT((Inputs!$E$5:$E$120=$B64)*Inputs!$F$5:$F$120*(((Inputs!$G$5:$G$120="moeda")+(Inputs!$G$5:$G$120="acoes"))*Inputs!$B$1+((Inputs!$G$5:$G$120&lt;&gt;"moeda")*(Inputs!$G$5:$G$120&lt;&gt;"acoes")))*INDEX(Inputs!$K$5:$AJ$120,0,MATCH(X$2,Inputs!$K$4:$AJ$4,0)))))</f>
        <v>8489</v>
      </c>
      <c r="Y64" s="263">
        <f>IF(ISNA(MATCH(Y$2,Inputs!$K$4:$AJ$4,0)),NA(),IF(SUMPRODUCT((Inputs!$A$5:$A$120=$B64)*ISNUMBER(INDEX(Inputs!$K$5:$AJ$120,0,MATCH(Y$2,Inputs!$K$4:$AJ$4,0))))+SUMPRODUCT((Inputs!$C$5:$C$120=$B64)*ISNUMBER(INDEX(Inputs!$K$5:$AJ$120,0,MATCH(Y$2,Inputs!$K$4:$AJ$4,0))))+SUMPRODUCT((Inputs!$E$5:$E$120=$B64)*ISNUMBER(INDEX(Inputs!$K$5:$AJ$120,0,MATCH(Y$2,Inputs!$K$4:$AJ$4,0))))=0,NA(),SUMPRODUCT((Inputs!$A$5:$A$120=$B64)*Inputs!$B$5:$B$120*(((Inputs!$G$5:$G$120="moeda")+(Inputs!$G$5:$G$120="acoes"))*Inputs!$B$1+((Inputs!$G$5:$G$120&lt;&gt;"moeda")*(Inputs!$G$5:$G$120&lt;&gt;"acoes")))*INDEX(Inputs!$K$5:$AJ$120,0,MATCH(Y$2,Inputs!$K$4:$AJ$4,0)))+SUMPRODUCT((Inputs!$C$5:$C$120=$B64)*Inputs!$D$5:$D$120*(((Inputs!$G$5:$G$120="moeda")+(Inputs!$G$5:$G$120="acoes"))*Inputs!$B$1+((Inputs!$G$5:$G$120&lt;&gt;"moeda")*(Inputs!$G$5:$G$120&lt;&gt;"acoes")))*INDEX(Inputs!$K$5:$AJ$120,0,MATCH(Y$2,Inputs!$K$4:$AJ$4,0)))+SUMPRODUCT((Inputs!$E$5:$E$120=$B64)*Inputs!$F$5:$F$120*(((Inputs!$G$5:$G$120="moeda")+(Inputs!$G$5:$G$120="acoes"))*Inputs!$B$1+((Inputs!$G$5:$G$120&lt;&gt;"moeda")*(Inputs!$G$5:$G$120&lt;&gt;"acoes")))*INDEX(Inputs!$K$5:$AJ$120,0,MATCH(Y$2,Inputs!$K$4:$AJ$4,0)))))</f>
        <v>10814</v>
      </c>
      <c r="Z64" s="263">
        <f>IF(ISNA(MATCH(Z$2,Inputs!$K$4:$AJ$4,0)),NA(),IF(SUMPRODUCT((Inputs!$A$5:$A$120=$B64)*ISNUMBER(INDEX(Inputs!$K$5:$AJ$120,0,MATCH(Z$2,Inputs!$K$4:$AJ$4,0))))+SUMPRODUCT((Inputs!$C$5:$C$120=$B64)*ISNUMBER(INDEX(Inputs!$K$5:$AJ$120,0,MATCH(Z$2,Inputs!$K$4:$AJ$4,0))))+SUMPRODUCT((Inputs!$E$5:$E$120=$B64)*ISNUMBER(INDEX(Inputs!$K$5:$AJ$120,0,MATCH(Z$2,Inputs!$K$4:$AJ$4,0))))=0,NA(),SUMPRODUCT((Inputs!$A$5:$A$120=$B64)*Inputs!$B$5:$B$120*(((Inputs!$G$5:$G$120="moeda")+(Inputs!$G$5:$G$120="acoes"))*Inputs!$B$1+((Inputs!$G$5:$G$120&lt;&gt;"moeda")*(Inputs!$G$5:$G$120&lt;&gt;"acoes")))*INDEX(Inputs!$K$5:$AJ$120,0,MATCH(Z$2,Inputs!$K$4:$AJ$4,0)))+SUMPRODUCT((Inputs!$C$5:$C$120=$B64)*Inputs!$D$5:$D$120*(((Inputs!$G$5:$G$120="moeda")+(Inputs!$G$5:$G$120="acoes"))*Inputs!$B$1+((Inputs!$G$5:$G$120&lt;&gt;"moeda")*(Inputs!$G$5:$G$120&lt;&gt;"acoes")))*INDEX(Inputs!$K$5:$AJ$120,0,MATCH(Z$2,Inputs!$K$4:$AJ$4,0)))+SUMPRODUCT((Inputs!$E$5:$E$120=$B64)*Inputs!$F$5:$F$120*(((Inputs!$G$5:$G$120="moeda")+(Inputs!$G$5:$G$120="acoes"))*Inputs!$B$1+((Inputs!$G$5:$G$120&lt;&gt;"moeda")*(Inputs!$G$5:$G$120&lt;&gt;"acoes")))*INDEX(Inputs!$K$5:$AJ$120,0,MATCH(Z$2,Inputs!$K$4:$AJ$4,0)))))</f>
        <v>11300</v>
      </c>
      <c r="AA64" s="263">
        <f>IF(ISNA(MATCH(AA$2,Inputs!$K$4:$AJ$4,0)),NA(),IF(SUMPRODUCT((Inputs!$A$5:$A$120=$B64)*ISNUMBER(INDEX(Inputs!$K$5:$AJ$120,0,MATCH(AA$2,Inputs!$K$4:$AJ$4,0))))+SUMPRODUCT((Inputs!$C$5:$C$120=$B64)*ISNUMBER(INDEX(Inputs!$K$5:$AJ$120,0,MATCH(AA$2,Inputs!$K$4:$AJ$4,0))))+SUMPRODUCT((Inputs!$E$5:$E$120=$B64)*ISNUMBER(INDEX(Inputs!$K$5:$AJ$120,0,MATCH(AA$2,Inputs!$K$4:$AJ$4,0))))=0,NA(),SUMPRODUCT((Inputs!$A$5:$A$120=$B64)*Inputs!$B$5:$B$120*(((Inputs!$G$5:$G$120="moeda")+(Inputs!$G$5:$G$120="acoes"))*Inputs!$B$1+((Inputs!$G$5:$G$120&lt;&gt;"moeda")*(Inputs!$G$5:$G$120&lt;&gt;"acoes")))*INDEX(Inputs!$K$5:$AJ$120,0,MATCH(AA$2,Inputs!$K$4:$AJ$4,0)))+SUMPRODUCT((Inputs!$C$5:$C$120=$B64)*Inputs!$D$5:$D$120*(((Inputs!$G$5:$G$120="moeda")+(Inputs!$G$5:$G$120="acoes"))*Inputs!$B$1+((Inputs!$G$5:$G$120&lt;&gt;"moeda")*(Inputs!$G$5:$G$120&lt;&gt;"acoes")))*INDEX(Inputs!$K$5:$AJ$120,0,MATCH(AA$2,Inputs!$K$4:$AJ$4,0)))+SUMPRODUCT((Inputs!$E$5:$E$120=$B64)*Inputs!$F$5:$F$120*(((Inputs!$G$5:$G$120="moeda")+(Inputs!$G$5:$G$120="acoes"))*Inputs!$B$1+((Inputs!$G$5:$G$120&lt;&gt;"moeda")*(Inputs!$G$5:$G$120&lt;&gt;"acoes")))*INDEX(Inputs!$K$5:$AJ$120,0,MATCH(AA$2,Inputs!$K$4:$AJ$4,0)))))</f>
        <v>12877.4</v>
      </c>
      <c r="AB64" s="264">
        <f>SUM(X64:AA64)</f>
        <v>43480.4</v>
      </c>
      <c r="AC64" s="263">
        <f>IF(ISNA(MATCH(AC$2,Inputs!$K$4:$AJ$4,0)),NA(),IF(SUMPRODUCT((Inputs!$A$5:$A$120=$B64)*ISNUMBER(INDEX(Inputs!$K$5:$AJ$120,0,MATCH(AC$2,Inputs!$K$4:$AJ$4,0))))+SUMPRODUCT((Inputs!$C$5:$C$120=$B64)*ISNUMBER(INDEX(Inputs!$K$5:$AJ$120,0,MATCH(AC$2,Inputs!$K$4:$AJ$4,0))))+SUMPRODUCT((Inputs!$E$5:$E$120=$B64)*ISNUMBER(INDEX(Inputs!$K$5:$AJ$120,0,MATCH(AC$2,Inputs!$K$4:$AJ$4,0))))=0,NA(),SUMPRODUCT((Inputs!$A$5:$A$120=$B64)*Inputs!$B$5:$B$120*(((Inputs!$G$5:$G$120="moeda")+(Inputs!$G$5:$G$120="acoes"))*Inputs!$B$1+((Inputs!$G$5:$G$120&lt;&gt;"moeda")*(Inputs!$G$5:$G$120&lt;&gt;"acoes")))*INDEX(Inputs!$K$5:$AJ$120,0,MATCH(AC$2,Inputs!$K$4:$AJ$4,0)))+SUMPRODUCT((Inputs!$C$5:$C$120=$B64)*Inputs!$D$5:$D$120*(((Inputs!$G$5:$G$120="moeda")+(Inputs!$G$5:$G$120="acoes"))*Inputs!$B$1+((Inputs!$G$5:$G$120&lt;&gt;"moeda")*(Inputs!$G$5:$G$120&lt;&gt;"acoes")))*INDEX(Inputs!$K$5:$AJ$120,0,MATCH(AC$2,Inputs!$K$4:$AJ$4,0)))+SUMPRODUCT((Inputs!$E$5:$E$120=$B64)*Inputs!$F$5:$F$120*(((Inputs!$G$5:$G$120="moeda")+(Inputs!$G$5:$G$120="acoes"))*Inputs!$B$1+((Inputs!$G$5:$G$120&lt;&gt;"moeda")*(Inputs!$G$5:$G$120&lt;&gt;"acoes")))*INDEX(Inputs!$K$5:$AJ$120,0,MATCH(AC$2,Inputs!$K$4:$AJ$4,0)))))</f>
        <v>12119</v>
      </c>
      <c r="AD64" s="263">
        <f>IF(ISNA(MATCH(AD$2,Inputs!$K$4:$AJ$4,0)),NA(),IF(SUMPRODUCT((Inputs!$A$5:$A$120=$B64)*ISNUMBER(INDEX(Inputs!$K$5:$AJ$120,0,MATCH(AD$2,Inputs!$K$4:$AJ$4,0))))+SUMPRODUCT((Inputs!$C$5:$C$120=$B64)*ISNUMBER(INDEX(Inputs!$K$5:$AJ$120,0,MATCH(AD$2,Inputs!$K$4:$AJ$4,0))))+SUMPRODUCT((Inputs!$E$5:$E$120=$B64)*ISNUMBER(INDEX(Inputs!$K$5:$AJ$120,0,MATCH(AD$2,Inputs!$K$4:$AJ$4,0))))=0,NA(),SUMPRODUCT((Inputs!$A$5:$A$120=$B64)*Inputs!$B$5:$B$120*(((Inputs!$G$5:$G$120="moeda")+(Inputs!$G$5:$G$120="acoes"))*Inputs!$B$1+((Inputs!$G$5:$G$120&lt;&gt;"moeda")*(Inputs!$G$5:$G$120&lt;&gt;"acoes")))*INDEX(Inputs!$K$5:$AJ$120,0,MATCH(AD$2,Inputs!$K$4:$AJ$4,0)))+SUMPRODUCT((Inputs!$C$5:$C$120=$B64)*Inputs!$D$5:$D$120*(((Inputs!$G$5:$G$120="moeda")+(Inputs!$G$5:$G$120="acoes"))*Inputs!$B$1+((Inputs!$G$5:$G$120&lt;&gt;"moeda")*(Inputs!$G$5:$G$120&lt;&gt;"acoes")))*INDEX(Inputs!$K$5:$AJ$120,0,MATCH(AD$2,Inputs!$K$4:$AJ$4,0)))+SUMPRODUCT((Inputs!$E$5:$E$120=$B64)*Inputs!$F$5:$F$120*(((Inputs!$G$5:$G$120="moeda")+(Inputs!$G$5:$G$120="acoes"))*Inputs!$B$1+((Inputs!$G$5:$G$120&lt;&gt;"moeda")*(Inputs!$G$5:$G$120&lt;&gt;"acoes")))*INDEX(Inputs!$K$5:$AJ$120,0,MATCH(AD$2,Inputs!$K$4:$AJ$4,0)))))</f>
        <v>14413</v>
      </c>
      <c r="AE64" s="263" t="e">
        <f>IF(ISNA(MATCH(AE$2,Inputs!$K$4:$AJ$4,0)),NA(),IF(SUMPRODUCT((Inputs!$A$5:$A$120=$B64)*ISNUMBER(INDEX(Inputs!$K$5:$AJ$120,0,MATCH(AE$2,Inputs!$K$4:$AJ$4,0))))+SUMPRODUCT((Inputs!$C$5:$C$120=$B64)*ISNUMBER(INDEX(Inputs!$K$5:$AJ$120,0,MATCH(AE$2,Inputs!$K$4:$AJ$4,0))))+SUMPRODUCT((Inputs!$E$5:$E$120=$B64)*ISNUMBER(INDEX(Inputs!$K$5:$AJ$120,0,MATCH(AE$2,Inputs!$K$4:$AJ$4,0))))=0,NA(),SUMPRODUCT((Inputs!$A$5:$A$120=$B64)*Inputs!$B$5:$B$120*(((Inputs!$G$5:$G$120="moeda")+(Inputs!$G$5:$G$120="acoes"))*Inputs!$B$1+((Inputs!$G$5:$G$120&lt;&gt;"moeda")*(Inputs!$G$5:$G$120&lt;&gt;"acoes")))*INDEX(Inputs!$K$5:$AJ$120,0,MATCH(AE$2,Inputs!$K$4:$AJ$4,0)))+SUMPRODUCT((Inputs!$C$5:$C$120=$B64)*Inputs!$D$5:$D$120*(((Inputs!$G$5:$G$120="moeda")+(Inputs!$G$5:$G$120="acoes"))*Inputs!$B$1+((Inputs!$G$5:$G$120&lt;&gt;"moeda")*(Inputs!$G$5:$G$120&lt;&gt;"acoes")))*INDEX(Inputs!$K$5:$AJ$120,0,MATCH(AE$2,Inputs!$K$4:$AJ$4,0)))+SUMPRODUCT((Inputs!$E$5:$E$120=$B64)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4" s="263" t="e">
        <f>IF(ISNA(MATCH(AF$2,Inputs!$K$4:$AJ$4,0)),NA(),IF(SUMPRODUCT((Inputs!$A$5:$A$120=$B64)*ISNUMBER(INDEX(Inputs!$K$5:$AJ$120,0,MATCH(AF$2,Inputs!$K$4:$AJ$4,0))))+SUMPRODUCT((Inputs!$C$5:$C$120=$B64)*ISNUMBER(INDEX(Inputs!$K$5:$AJ$120,0,MATCH(AF$2,Inputs!$K$4:$AJ$4,0))))+SUMPRODUCT((Inputs!$E$5:$E$120=$B64)*ISNUMBER(INDEX(Inputs!$K$5:$AJ$120,0,MATCH(AF$2,Inputs!$K$4:$AJ$4,0))))=0,NA(),SUMPRODUCT((Inputs!$A$5:$A$120=$B64)*Inputs!$B$5:$B$120*(((Inputs!$G$5:$G$120="moeda")+(Inputs!$G$5:$G$120="acoes"))*Inputs!$B$1+((Inputs!$G$5:$G$120&lt;&gt;"moeda")*(Inputs!$G$5:$G$120&lt;&gt;"acoes")))*INDEX(Inputs!$K$5:$AJ$120,0,MATCH(AF$2,Inputs!$K$4:$AJ$4,0)))+SUMPRODUCT((Inputs!$C$5:$C$120=$B64)*Inputs!$D$5:$D$120*(((Inputs!$G$5:$G$120="moeda")+(Inputs!$G$5:$G$120="acoes"))*Inputs!$B$1+((Inputs!$G$5:$G$120&lt;&gt;"moeda")*(Inputs!$G$5:$G$120&lt;&gt;"acoes")))*INDEX(Inputs!$K$5:$AJ$120,0,MATCH(AF$2,Inputs!$K$4:$AJ$4,0)))+SUMPRODUCT((Inputs!$E$5:$E$120=$B64)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4" s="264" t="e">
        <f>SUM(AC64:AF64)</f>
        <v>#N/A</v>
      </c>
      <c r="AH64" s="263">
        <f>IF(ISNA(MATCH(AH$2,Inputs!$K$4:$AJ$4,0)),NA(),IF(SUMPRODUCT((Inputs!$A$5:$A$120=$B64)*ISNUMBER(INDEX(Inputs!$K$5:$AJ$120,0,MATCH(AH$2,Inputs!$K$4:$AJ$4,0))))+SUMPRODUCT((Inputs!$C$5:$C$120=$B64)*ISNUMBER(INDEX(Inputs!$K$5:$AJ$120,0,MATCH(AH$2,Inputs!$K$4:$AJ$4,0))))+SUMPRODUCT((Inputs!$E$5:$E$120=$B64)*ISNUMBER(INDEX(Inputs!$K$5:$AJ$120,0,MATCH(AH$2,Inputs!$K$4:$AJ$4,0))))=0,NA(),SUMPRODUCT((Inputs!$A$5:$A$120=$B64)*Inputs!$B$5:$B$120*(((Inputs!$G$5:$G$120="moeda")+(Inputs!$G$5:$G$120="acoes"))*Inputs!$B$1+((Inputs!$G$5:$G$120&lt;&gt;"moeda")*(Inputs!$G$5:$G$120&lt;&gt;"acoes")))*INDEX(Inputs!$K$5:$AJ$120,0,MATCH(AH$2,Inputs!$K$4:$AJ$4,0)))+SUMPRODUCT((Inputs!$C$5:$C$120=$B64)*Inputs!$D$5:$D$120*(((Inputs!$G$5:$G$120="moeda")+(Inputs!$G$5:$G$120="acoes"))*Inputs!$B$1+((Inputs!$G$5:$G$120&lt;&gt;"moeda")*(Inputs!$G$5:$G$120&lt;&gt;"acoes")))*INDEX(Inputs!$K$5:$AJ$120,0,MATCH(AH$2,Inputs!$K$4:$AJ$4,0)))+SUMPRODUCT((Inputs!$E$5:$E$120=$B64)*Inputs!$F$5:$F$120*(((Inputs!$G$5:$G$120="moeda")+(Inputs!$G$5:$G$120="acoes"))*Inputs!$B$1+((Inputs!$G$5:$G$120&lt;&gt;"moeda")*(Inputs!$G$5:$G$120&lt;&gt;"acoes")))*INDEX(Inputs!$K$5:$AJ$120,0,MATCH(AH$2,Inputs!$K$4:$AJ$4,0)))))</f>
        <v>3328.8</v>
      </c>
      <c r="AI64" s="263">
        <f>IF(ISNA(MATCH(AI$2,Inputs!$K$4:$AJ$4,0)),NA(),IF(SUMPRODUCT((Inputs!$A$5:$A$120=$B64)*ISNUMBER(INDEX(Inputs!$K$5:$AJ$120,0,MATCH(AI$2,Inputs!$K$4:$AJ$4,0))))+SUMPRODUCT((Inputs!$C$5:$C$120=$B64)*ISNUMBER(INDEX(Inputs!$K$5:$AJ$120,0,MATCH(AI$2,Inputs!$K$4:$AJ$4,0))))+SUMPRODUCT((Inputs!$E$5:$E$120=$B64)*ISNUMBER(INDEX(Inputs!$K$5:$AJ$120,0,MATCH(AI$2,Inputs!$K$4:$AJ$4,0))))=0,NA(),SUMPRODUCT((Inputs!$A$5:$A$120=$B64)*Inputs!$B$5:$B$120*(((Inputs!$G$5:$G$120="moeda")+(Inputs!$G$5:$G$120="acoes"))*Inputs!$B$1+((Inputs!$G$5:$G$120&lt;&gt;"moeda")*(Inputs!$G$5:$G$120&lt;&gt;"acoes")))*INDEX(Inputs!$K$5:$AJ$120,0,MATCH(AI$2,Inputs!$K$4:$AJ$4,0)))+SUMPRODUCT((Inputs!$C$5:$C$120=$B64)*Inputs!$D$5:$D$120*(((Inputs!$G$5:$G$120="moeda")+(Inputs!$G$5:$G$120="acoes"))*Inputs!$B$1+((Inputs!$G$5:$G$120&lt;&gt;"moeda")*(Inputs!$G$5:$G$120&lt;&gt;"acoes")))*INDEX(Inputs!$K$5:$AJ$120,0,MATCH(AI$2,Inputs!$K$4:$AJ$4,0)))+SUMPRODUCT((Inputs!$E$5:$E$120=$B64)*Inputs!$F$5:$F$120*(((Inputs!$G$5:$G$120="moeda")+(Inputs!$G$5:$G$120="acoes"))*Inputs!$B$1+((Inputs!$G$5:$G$120&lt;&gt;"moeda")*(Inputs!$G$5:$G$120&lt;&gt;"acoes")))*INDEX(Inputs!$K$5:$AJ$120,0,MATCH(AI$2,Inputs!$K$4:$AJ$4,0)))))</f>
        <v>3144.8</v>
      </c>
      <c r="AJ64" s="263">
        <f>IF(ISNA(MATCH(AJ$2,Inputs!$K$4:$AJ$4,0)),NA(),IF(SUMPRODUCT((Inputs!$A$5:$A$120=$B64)*ISNUMBER(INDEX(Inputs!$K$5:$AJ$120,0,MATCH(AJ$2,Inputs!$K$4:$AJ$4,0))))+SUMPRODUCT((Inputs!$C$5:$C$120=$B64)*ISNUMBER(INDEX(Inputs!$K$5:$AJ$120,0,MATCH(AJ$2,Inputs!$K$4:$AJ$4,0))))+SUMPRODUCT((Inputs!$E$5:$E$120=$B64)*ISNUMBER(INDEX(Inputs!$K$5:$AJ$120,0,MATCH(AJ$2,Inputs!$K$4:$AJ$4,0))))=0,NA(),SUMPRODUCT((Inputs!$A$5:$A$120=$B64)*Inputs!$B$5:$B$120*(((Inputs!$G$5:$G$120="moeda")+(Inputs!$G$5:$G$120="acoes"))*Inputs!$B$1+((Inputs!$G$5:$G$120&lt;&gt;"moeda")*(Inputs!$G$5:$G$120&lt;&gt;"acoes")))*INDEX(Inputs!$K$5:$AJ$120,0,MATCH(AJ$2,Inputs!$K$4:$AJ$4,0)))+SUMPRODUCT((Inputs!$C$5:$C$120=$B64)*Inputs!$D$5:$D$120*(((Inputs!$G$5:$G$120="moeda")+(Inputs!$G$5:$G$120="acoes"))*Inputs!$B$1+((Inputs!$G$5:$G$120&lt;&gt;"moeda")*(Inputs!$G$5:$G$120&lt;&gt;"acoes")))*INDEX(Inputs!$K$5:$AJ$120,0,MATCH(AJ$2,Inputs!$K$4:$AJ$4,0)))+SUMPRODUCT((Inputs!$E$5:$E$120=$B64)*Inputs!$F$5:$F$120*(((Inputs!$G$5:$G$120="moeda")+(Inputs!$G$5:$G$120="acoes"))*Inputs!$B$1+((Inputs!$G$5:$G$120&lt;&gt;"moeda")*(Inputs!$G$5:$G$120&lt;&gt;"acoes")))*INDEX(Inputs!$K$5:$AJ$120,0,MATCH(AJ$2,Inputs!$K$4:$AJ$4,0)))))</f>
        <v>3161.4</v>
      </c>
      <c r="AK64" s="263">
        <f>IF(ISNA(MATCH(AK$2,Inputs!$K$4:$AJ$4,0)),NA(),IF(SUMPRODUCT((Inputs!$A$5:$A$120=$B64)*ISNUMBER(INDEX(Inputs!$K$5:$AJ$120,0,MATCH(AK$2,Inputs!$K$4:$AJ$4,0))))+SUMPRODUCT((Inputs!$C$5:$C$120=$B64)*ISNUMBER(INDEX(Inputs!$K$5:$AJ$120,0,MATCH(AK$2,Inputs!$K$4:$AJ$4,0))))+SUMPRODUCT((Inputs!$E$5:$E$120=$B64)*ISNUMBER(INDEX(Inputs!$K$5:$AJ$120,0,MATCH(AK$2,Inputs!$K$4:$AJ$4,0))))=0,NA(),SUMPRODUCT((Inputs!$A$5:$A$120=$B64)*Inputs!$B$5:$B$120*(((Inputs!$G$5:$G$120="moeda")+(Inputs!$G$5:$G$120="acoes"))*Inputs!$B$1+((Inputs!$G$5:$G$120&lt;&gt;"moeda")*(Inputs!$G$5:$G$120&lt;&gt;"acoes")))*INDEX(Inputs!$K$5:$AJ$120,0,MATCH(AK$2,Inputs!$K$4:$AJ$4,0)))+SUMPRODUCT((Inputs!$C$5:$C$120=$B64)*Inputs!$D$5:$D$120*(((Inputs!$G$5:$G$120="moeda")+(Inputs!$G$5:$G$120="acoes"))*Inputs!$B$1+((Inputs!$G$5:$G$120&lt;&gt;"moeda")*(Inputs!$G$5:$G$120&lt;&gt;"acoes")))*INDEX(Inputs!$K$5:$AJ$120,0,MATCH(AK$2,Inputs!$K$4:$AJ$4,0)))+SUMPRODUCT((Inputs!$E$5:$E$120=$B64)*Inputs!$F$5:$F$120*(((Inputs!$G$5:$G$120="moeda")+(Inputs!$G$5:$G$120="acoes"))*Inputs!$B$1+((Inputs!$G$5:$G$120&lt;&gt;"moeda")*(Inputs!$G$5:$G$120&lt;&gt;"acoes")))*INDEX(Inputs!$K$5:$AJ$120,0,MATCH(AK$2,Inputs!$K$4:$AJ$4,0)))))</f>
        <v>4597.9</v>
      </c>
      <c r="AL64" s="264">
        <f>SUM(AH64:AK64)</f>
        <v>14232.9</v>
      </c>
    </row>
    <row r="65">
      <c r="B65" s="46" t="n">
        <v>57</v>
      </c>
      <c r="C65" s="29" t="inlineStr">
        <is>
          <t>Receita fora dos EUA (USD)</t>
        </is>
      </c>
      <c r="D65" s="263">
        <f>IF(ISNA(MATCH(D$2,Inputs!$K$4:$AJ$4,0)),NA(),IF(SUMPRODUCT((Inputs!$A$5:$A$120=$B65)*ISNUMBER(INDEX(Inputs!$K$5:$AJ$120,0,MATCH(D$2,Inputs!$K$4:$AJ$4,0))))+SUMPRODUCT((Inputs!$C$5:$C$120=$B65)*ISNUMBER(INDEX(Inputs!$K$5:$AJ$120,0,MATCH(D$2,Inputs!$K$4:$AJ$4,0))))+SUMPRODUCT((Inputs!$E$5:$E$120=$B65)*ISNUMBER(INDEX(Inputs!$K$5:$AJ$120,0,MATCH(D$2,Inputs!$K$4:$AJ$4,0))))=0,NA(),SUMPRODUCT((Inputs!$A$5:$A$120=$B65)*Inputs!$B$5:$B$120*(((Inputs!$G$5:$G$120="moeda")+(Inputs!$G$5:$G$120="acoes"))*Inputs!$B$1+((Inputs!$G$5:$G$120&lt;&gt;"moeda")*(Inputs!$G$5:$G$120&lt;&gt;"acoes")))*INDEX(Inputs!$K$5:$AJ$120,0,MATCH(D$2,Inputs!$K$4:$AJ$4,0)))+SUMPRODUCT((Inputs!$C$5:$C$120=$B65)*Inputs!$D$5:$D$120*(((Inputs!$G$5:$G$120="moeda")+(Inputs!$G$5:$G$120="acoes"))*Inputs!$B$1+((Inputs!$G$5:$G$120&lt;&gt;"moeda")*(Inputs!$G$5:$G$120&lt;&gt;"acoes")))*INDEX(Inputs!$K$5:$AJ$120,0,MATCH(D$2,Inputs!$K$4:$AJ$4,0)))+SUMPRODUCT((Inputs!$E$5:$E$120=$B65)*Inputs!$F$5:$F$120*(((Inputs!$G$5:$G$120="moeda")+(Inputs!$G$5:$G$120="acoes"))*Inputs!$B$1+((Inputs!$G$5:$G$120&lt;&gt;"moeda")*(Inputs!$G$5:$G$120&lt;&gt;"acoes")))*INDEX(Inputs!$K$5:$AJ$120,0,MATCH(D$2,Inputs!$K$4:$AJ$4,0)))))</f>
        <v>2864.3</v>
      </c>
      <c r="E65" s="263">
        <f>IF(ISNA(MATCH(E$2,Inputs!$K$4:$AJ$4,0)),NA(),IF(SUMPRODUCT((Inputs!$A$5:$A$120=$B65)*ISNUMBER(INDEX(Inputs!$K$5:$AJ$120,0,MATCH(E$2,Inputs!$K$4:$AJ$4,0))))+SUMPRODUCT((Inputs!$C$5:$C$120=$B65)*ISNUMBER(INDEX(Inputs!$K$5:$AJ$120,0,MATCH(E$2,Inputs!$K$4:$AJ$4,0))))+SUMPRODUCT((Inputs!$E$5:$E$120=$B65)*ISNUMBER(INDEX(Inputs!$K$5:$AJ$120,0,MATCH(E$2,Inputs!$K$4:$AJ$4,0))))=0,NA(),SUMPRODUCT((Inputs!$A$5:$A$120=$B65)*Inputs!$B$5:$B$120*(((Inputs!$G$5:$G$120="moeda")+(Inputs!$G$5:$G$120="acoes"))*Inputs!$B$1+((Inputs!$G$5:$G$120&lt;&gt;"moeda")*(Inputs!$G$5:$G$120&lt;&gt;"acoes")))*INDEX(Inputs!$K$5:$AJ$120,0,MATCH(E$2,Inputs!$K$4:$AJ$4,0)))+SUMPRODUCT((Inputs!$C$5:$C$120=$B65)*Inputs!$D$5:$D$120*(((Inputs!$G$5:$G$120="moeda")+(Inputs!$G$5:$G$120="acoes"))*Inputs!$B$1+((Inputs!$G$5:$G$120&lt;&gt;"moeda")*(Inputs!$G$5:$G$120&lt;&gt;"acoes")))*INDEX(Inputs!$K$5:$AJ$120,0,MATCH(E$2,Inputs!$K$4:$AJ$4,0)))+SUMPRODUCT((Inputs!$E$5:$E$120=$B65)*Inputs!$F$5:$F$120*(((Inputs!$G$5:$G$120="moeda")+(Inputs!$G$5:$G$120="acoes"))*Inputs!$B$1+((Inputs!$G$5:$G$120&lt;&gt;"moeda")*(Inputs!$G$5:$G$120&lt;&gt;"acoes")))*INDEX(Inputs!$K$5:$AJ$120,0,MATCH(E$2,Inputs!$K$4:$AJ$4,0)))))</f>
        <v>3035.9</v>
      </c>
      <c r="F65" s="263">
        <f>IF(ISNA(MATCH(F$2,Inputs!$K$4:$AJ$4,0)),NA(),IF(SUMPRODUCT((Inputs!$A$5:$A$120=$B65)*ISNUMBER(INDEX(Inputs!$K$5:$AJ$120,0,MATCH(F$2,Inputs!$K$4:$AJ$4,0))))+SUMPRODUCT((Inputs!$C$5:$C$120=$B65)*ISNUMBER(INDEX(Inputs!$K$5:$AJ$120,0,MATCH(F$2,Inputs!$K$4:$AJ$4,0))))+SUMPRODUCT((Inputs!$E$5:$E$120=$B65)*ISNUMBER(INDEX(Inputs!$K$5:$AJ$120,0,MATCH(F$2,Inputs!$K$4:$AJ$4,0))))=0,NA(),SUMPRODUCT((Inputs!$A$5:$A$120=$B65)*Inputs!$B$5:$B$120*(((Inputs!$G$5:$G$120="moeda")+(Inputs!$G$5:$G$120="acoes"))*Inputs!$B$1+((Inputs!$G$5:$G$120&lt;&gt;"moeda")*(Inputs!$G$5:$G$120&lt;&gt;"acoes")))*INDEX(Inputs!$K$5:$AJ$120,0,MATCH(F$2,Inputs!$K$4:$AJ$4,0)))+SUMPRODUCT((Inputs!$C$5:$C$120=$B65)*Inputs!$D$5:$D$120*(((Inputs!$G$5:$G$120="moeda")+(Inputs!$G$5:$G$120="acoes"))*Inputs!$B$1+((Inputs!$G$5:$G$120&lt;&gt;"moeda")*(Inputs!$G$5:$G$120&lt;&gt;"acoes")))*INDEX(Inputs!$K$5:$AJ$120,0,MATCH(F$2,Inputs!$K$4:$AJ$4,0)))+SUMPRODUCT((Inputs!$E$5:$E$120=$B65)*Inputs!$F$5:$F$120*(((Inputs!$G$5:$G$120="moeda")+(Inputs!$G$5:$G$120="acoes"))*Inputs!$B$1+((Inputs!$G$5:$G$120&lt;&gt;"moeda")*(Inputs!$G$5:$G$120&lt;&gt;"acoes")))*INDEX(Inputs!$K$5:$AJ$120,0,MATCH(F$2,Inputs!$K$4:$AJ$4,0)))))</f>
        <v>2783.3</v>
      </c>
      <c r="G65" s="263">
        <f>IF(ISNA(MATCH(G$2,Inputs!$K$4:$AJ$4,0)),NA(),IF(SUMPRODUCT((Inputs!$A$5:$A$120=$B65)*ISNUMBER(INDEX(Inputs!$K$5:$AJ$120,0,MATCH(G$2,Inputs!$K$4:$AJ$4,0))))+SUMPRODUCT((Inputs!$C$5:$C$120=$B65)*ISNUMBER(INDEX(Inputs!$K$5:$AJ$120,0,MATCH(G$2,Inputs!$K$4:$AJ$4,0))))+SUMPRODUCT((Inputs!$E$5:$E$120=$B65)*ISNUMBER(INDEX(Inputs!$K$5:$AJ$120,0,MATCH(G$2,Inputs!$K$4:$AJ$4,0))))=0,NA(),SUMPRODUCT((Inputs!$A$5:$A$120=$B65)*Inputs!$B$5:$B$120*(((Inputs!$G$5:$G$120="moeda")+(Inputs!$G$5:$G$120="acoes"))*Inputs!$B$1+((Inputs!$G$5:$G$120&lt;&gt;"moeda")*(Inputs!$G$5:$G$120&lt;&gt;"acoes")))*INDEX(Inputs!$K$5:$AJ$120,0,MATCH(G$2,Inputs!$K$4:$AJ$4,0)))+SUMPRODUCT((Inputs!$C$5:$C$120=$B65)*Inputs!$D$5:$D$120*(((Inputs!$G$5:$G$120="moeda")+(Inputs!$G$5:$G$120="acoes"))*Inputs!$B$1+((Inputs!$G$5:$G$120&lt;&gt;"moeda")*(Inputs!$G$5:$G$120&lt;&gt;"acoes")))*INDEX(Inputs!$K$5:$AJ$120,0,MATCH(G$2,Inputs!$K$4:$AJ$4,0)))+SUMPRODUCT((Inputs!$E$5:$E$120=$B65)*Inputs!$F$5:$F$120*(((Inputs!$G$5:$G$120="moeda")+(Inputs!$G$5:$G$120="acoes"))*Inputs!$B$1+((Inputs!$G$5:$G$120&lt;&gt;"moeda")*(Inputs!$G$5:$G$120&lt;&gt;"acoes")))*INDEX(Inputs!$K$5:$AJ$120,0,MATCH(G$2,Inputs!$K$4:$AJ$4,0)))))</f>
        <v>2824</v>
      </c>
      <c r="H65" s="264">
        <f>SUM(D65:G65)</f>
        <v>11507.5</v>
      </c>
      <c r="I65" s="263">
        <f>IF(ISNA(MATCH(I$2,Inputs!$K$4:$AJ$4,0)),NA(),IF(SUMPRODUCT((Inputs!$A$5:$A$120=$B65)*ISNUMBER(INDEX(Inputs!$K$5:$AJ$120,0,MATCH(I$2,Inputs!$K$4:$AJ$4,0))))+SUMPRODUCT((Inputs!$C$5:$C$120=$B65)*ISNUMBER(INDEX(Inputs!$K$5:$AJ$120,0,MATCH(I$2,Inputs!$K$4:$AJ$4,0))))+SUMPRODUCT((Inputs!$E$5:$E$120=$B65)*ISNUMBER(INDEX(Inputs!$K$5:$AJ$120,0,MATCH(I$2,Inputs!$K$4:$AJ$4,0))))=0,NA(),SUMPRODUCT((Inputs!$A$5:$A$120=$B65)*Inputs!$B$5:$B$120*(((Inputs!$G$5:$G$120="moeda")+(Inputs!$G$5:$G$120="acoes"))*Inputs!$B$1+((Inputs!$G$5:$G$120&lt;&gt;"moeda")*(Inputs!$G$5:$G$120&lt;&gt;"acoes")))*INDEX(Inputs!$K$5:$AJ$120,0,MATCH(I$2,Inputs!$K$4:$AJ$4,0)))+SUMPRODUCT((Inputs!$C$5:$C$120=$B65)*Inputs!$D$5:$D$120*(((Inputs!$G$5:$G$120="moeda")+(Inputs!$G$5:$G$120="acoes"))*Inputs!$B$1+((Inputs!$G$5:$G$120&lt;&gt;"moeda")*(Inputs!$G$5:$G$120&lt;&gt;"acoes")))*INDEX(Inputs!$K$5:$AJ$120,0,MATCH(I$2,Inputs!$K$4:$AJ$4,0)))+SUMPRODUCT((Inputs!$E$5:$E$120=$B65)*Inputs!$F$5:$F$120*(((Inputs!$G$5:$G$120="moeda")+(Inputs!$G$5:$G$120="acoes"))*Inputs!$B$1+((Inputs!$G$5:$G$120&lt;&gt;"moeda")*(Inputs!$G$5:$G$120&lt;&gt;"acoes")))*INDEX(Inputs!$K$5:$AJ$120,0,MATCH(I$2,Inputs!$K$4:$AJ$4,0)))))</f>
        <v>2635.4</v>
      </c>
      <c r="J65" s="263">
        <f>IF(ISNA(MATCH(J$2,Inputs!$K$4:$AJ$4,0)),NA(),IF(SUMPRODUCT((Inputs!$A$5:$A$120=$B65)*ISNUMBER(INDEX(Inputs!$K$5:$AJ$120,0,MATCH(J$2,Inputs!$K$4:$AJ$4,0))))+SUMPRODUCT((Inputs!$C$5:$C$120=$B65)*ISNUMBER(INDEX(Inputs!$K$5:$AJ$120,0,MATCH(J$2,Inputs!$K$4:$AJ$4,0))))+SUMPRODUCT((Inputs!$E$5:$E$120=$B65)*ISNUMBER(INDEX(Inputs!$K$5:$AJ$120,0,MATCH(J$2,Inputs!$K$4:$AJ$4,0))))=0,NA(),SUMPRODUCT((Inputs!$A$5:$A$120=$B65)*Inputs!$B$5:$B$120*(((Inputs!$G$5:$G$120="moeda")+(Inputs!$G$5:$G$120="acoes"))*Inputs!$B$1+((Inputs!$G$5:$G$120&lt;&gt;"moeda")*(Inputs!$G$5:$G$120&lt;&gt;"acoes")))*INDEX(Inputs!$K$5:$AJ$120,0,MATCH(J$2,Inputs!$K$4:$AJ$4,0)))+SUMPRODUCT((Inputs!$C$5:$C$120=$B65)*Inputs!$D$5:$D$120*(((Inputs!$G$5:$G$120="moeda")+(Inputs!$G$5:$G$120="acoes"))*Inputs!$B$1+((Inputs!$G$5:$G$120&lt;&gt;"moeda")*(Inputs!$G$5:$G$120&lt;&gt;"acoes")))*INDEX(Inputs!$K$5:$AJ$120,0,MATCH(J$2,Inputs!$K$4:$AJ$4,0)))+SUMPRODUCT((Inputs!$E$5:$E$120=$B65)*Inputs!$F$5:$F$120*(((Inputs!$G$5:$G$120="moeda")+(Inputs!$G$5:$G$120="acoes"))*Inputs!$B$1+((Inputs!$G$5:$G$120&lt;&gt;"moeda")*(Inputs!$G$5:$G$120&lt;&gt;"acoes")))*INDEX(Inputs!$K$5:$AJ$120,0,MATCH(J$2,Inputs!$K$4:$AJ$4,0)))))</f>
        <v>2553.3</v>
      </c>
      <c r="K65" s="263">
        <f>IF(ISNA(MATCH(K$2,Inputs!$K$4:$AJ$4,0)),NA(),IF(SUMPRODUCT((Inputs!$A$5:$A$120=$B65)*ISNUMBER(INDEX(Inputs!$K$5:$AJ$120,0,MATCH(K$2,Inputs!$K$4:$AJ$4,0))))+SUMPRODUCT((Inputs!$C$5:$C$120=$B65)*ISNUMBER(INDEX(Inputs!$K$5:$AJ$120,0,MATCH(K$2,Inputs!$K$4:$AJ$4,0))))+SUMPRODUCT((Inputs!$E$5:$E$120=$B65)*ISNUMBER(INDEX(Inputs!$K$5:$AJ$120,0,MATCH(K$2,Inputs!$K$4:$AJ$4,0))))=0,NA(),SUMPRODUCT((Inputs!$A$5:$A$120=$B65)*Inputs!$B$5:$B$120*(((Inputs!$G$5:$G$120="moeda")+(Inputs!$G$5:$G$120="acoes"))*Inputs!$B$1+((Inputs!$G$5:$G$120&lt;&gt;"moeda")*(Inputs!$G$5:$G$120&lt;&gt;"acoes")))*INDEX(Inputs!$K$5:$AJ$120,0,MATCH(K$2,Inputs!$K$4:$AJ$4,0)))+SUMPRODUCT((Inputs!$C$5:$C$120=$B65)*Inputs!$D$5:$D$120*(((Inputs!$G$5:$G$120="moeda")+(Inputs!$G$5:$G$120="acoes"))*Inputs!$B$1+((Inputs!$G$5:$G$120&lt;&gt;"moeda")*(Inputs!$G$5:$G$120&lt;&gt;"acoes")))*INDEX(Inputs!$K$5:$AJ$120,0,MATCH(K$2,Inputs!$K$4:$AJ$4,0)))+SUMPRODUCT((Inputs!$E$5:$E$120=$B65)*Inputs!$F$5:$F$120*(((Inputs!$G$5:$G$120="moeda")+(Inputs!$G$5:$G$120="acoes"))*Inputs!$B$1+((Inputs!$G$5:$G$120&lt;&gt;"moeda")*(Inputs!$G$5:$G$120&lt;&gt;"acoes")))*INDEX(Inputs!$K$5:$AJ$120,0,MATCH(K$2,Inputs!$K$4:$AJ$4,0)))))</f>
        <v>2519.4</v>
      </c>
      <c r="L65" s="263">
        <f>IF(ISNA(MATCH(L$2,Inputs!$K$4:$AJ$4,0)),NA(),IF(SUMPRODUCT((Inputs!$A$5:$A$120=$B65)*ISNUMBER(INDEX(Inputs!$K$5:$AJ$120,0,MATCH(L$2,Inputs!$K$4:$AJ$4,0))))+SUMPRODUCT((Inputs!$C$5:$C$120=$B65)*ISNUMBER(INDEX(Inputs!$K$5:$AJ$120,0,MATCH(L$2,Inputs!$K$4:$AJ$4,0))))+SUMPRODUCT((Inputs!$E$5:$E$120=$B65)*ISNUMBER(INDEX(Inputs!$K$5:$AJ$120,0,MATCH(L$2,Inputs!$K$4:$AJ$4,0))))=0,NA(),SUMPRODUCT((Inputs!$A$5:$A$120=$B65)*Inputs!$B$5:$B$120*(((Inputs!$G$5:$G$120="moeda")+(Inputs!$G$5:$G$120="acoes"))*Inputs!$B$1+((Inputs!$G$5:$G$120&lt;&gt;"moeda")*(Inputs!$G$5:$G$120&lt;&gt;"acoes")))*INDEX(Inputs!$K$5:$AJ$120,0,MATCH(L$2,Inputs!$K$4:$AJ$4,0)))+SUMPRODUCT((Inputs!$C$5:$C$120=$B65)*Inputs!$D$5:$D$120*(((Inputs!$G$5:$G$120="moeda")+(Inputs!$G$5:$G$120="acoes"))*Inputs!$B$1+((Inputs!$G$5:$G$120&lt;&gt;"moeda")*(Inputs!$G$5:$G$120&lt;&gt;"acoes")))*INDEX(Inputs!$K$5:$AJ$120,0,MATCH(L$2,Inputs!$K$4:$AJ$4,0)))+SUMPRODUCT((Inputs!$E$5:$E$120=$B65)*Inputs!$F$5:$F$120*(((Inputs!$G$5:$G$120="moeda")+(Inputs!$G$5:$G$120="acoes"))*Inputs!$B$1+((Inputs!$G$5:$G$120&lt;&gt;"moeda")*(Inputs!$G$5:$G$120&lt;&gt;"acoes")))*INDEX(Inputs!$K$5:$AJ$120,0,MATCH(L$2,Inputs!$K$4:$AJ$4,0)))))</f>
        <v>2643.2</v>
      </c>
      <c r="M65" s="264">
        <f>SUM(I65:L65)</f>
        <v>10351.3</v>
      </c>
      <c r="N65" s="263">
        <f>IF(ISNA(MATCH(N$2,Inputs!$K$4:$AJ$4,0)),NA(),IF(SUMPRODUCT((Inputs!$A$5:$A$120=$B65)*ISNUMBER(INDEX(Inputs!$K$5:$AJ$120,0,MATCH(N$2,Inputs!$K$4:$AJ$4,0))))+SUMPRODUCT((Inputs!$C$5:$C$120=$B65)*ISNUMBER(INDEX(Inputs!$K$5:$AJ$120,0,MATCH(N$2,Inputs!$K$4:$AJ$4,0))))+SUMPRODUCT((Inputs!$E$5:$E$120=$B65)*ISNUMBER(INDEX(Inputs!$K$5:$AJ$120,0,MATCH(N$2,Inputs!$K$4:$AJ$4,0))))=0,NA(),SUMPRODUCT((Inputs!$A$5:$A$120=$B65)*Inputs!$B$5:$B$120*(((Inputs!$G$5:$G$120="moeda")+(Inputs!$G$5:$G$120="acoes"))*Inputs!$B$1+((Inputs!$G$5:$G$120&lt;&gt;"moeda")*(Inputs!$G$5:$G$120&lt;&gt;"acoes")))*INDEX(Inputs!$K$5:$AJ$120,0,MATCH(N$2,Inputs!$K$4:$AJ$4,0)))+SUMPRODUCT((Inputs!$C$5:$C$120=$B65)*Inputs!$D$5:$D$120*(((Inputs!$G$5:$G$120="moeda")+(Inputs!$G$5:$G$120="acoes"))*Inputs!$B$1+((Inputs!$G$5:$G$120&lt;&gt;"moeda")*(Inputs!$G$5:$G$120&lt;&gt;"acoes")))*INDEX(Inputs!$K$5:$AJ$120,0,MATCH(N$2,Inputs!$K$4:$AJ$4,0)))+SUMPRODUCT((Inputs!$E$5:$E$120=$B65)*Inputs!$F$5:$F$120*(((Inputs!$G$5:$G$120="moeda")+(Inputs!$G$5:$G$120="acoes"))*Inputs!$B$1+((Inputs!$G$5:$G$120&lt;&gt;"moeda")*(Inputs!$G$5:$G$120&lt;&gt;"acoes")))*INDEX(Inputs!$K$5:$AJ$120,0,MATCH(N$2,Inputs!$K$4:$AJ$4,0)))))</f>
        <v>2523.9</v>
      </c>
      <c r="O65" s="263">
        <f>IF(ISNA(MATCH(O$2,Inputs!$K$4:$AJ$4,0)),NA(),IF(SUMPRODUCT((Inputs!$A$5:$A$120=$B65)*ISNUMBER(INDEX(Inputs!$K$5:$AJ$120,0,MATCH(O$2,Inputs!$K$4:$AJ$4,0))))+SUMPRODUCT((Inputs!$C$5:$C$120=$B65)*ISNUMBER(INDEX(Inputs!$K$5:$AJ$120,0,MATCH(O$2,Inputs!$K$4:$AJ$4,0))))+SUMPRODUCT((Inputs!$E$5:$E$120=$B65)*ISNUMBER(INDEX(Inputs!$K$5:$AJ$120,0,MATCH(O$2,Inputs!$K$4:$AJ$4,0))))=0,NA(),SUMPRODUCT((Inputs!$A$5:$A$120=$B65)*Inputs!$B$5:$B$120*(((Inputs!$G$5:$G$120="moeda")+(Inputs!$G$5:$G$120="acoes"))*Inputs!$B$1+((Inputs!$G$5:$G$120&lt;&gt;"moeda")*(Inputs!$G$5:$G$120&lt;&gt;"acoes")))*INDEX(Inputs!$K$5:$AJ$120,0,MATCH(O$2,Inputs!$K$4:$AJ$4,0)))+SUMPRODUCT((Inputs!$C$5:$C$120=$B65)*Inputs!$D$5:$D$120*(((Inputs!$G$5:$G$120="moeda")+(Inputs!$G$5:$G$120="acoes"))*Inputs!$B$1+((Inputs!$G$5:$G$120&lt;&gt;"moeda")*(Inputs!$G$5:$G$120&lt;&gt;"acoes")))*INDEX(Inputs!$K$5:$AJ$120,0,MATCH(O$2,Inputs!$K$4:$AJ$4,0)))+SUMPRODUCT((Inputs!$E$5:$E$120=$B65)*Inputs!$F$5:$F$120*(((Inputs!$G$5:$G$120="moeda")+(Inputs!$G$5:$G$120="acoes"))*Inputs!$B$1+((Inputs!$G$5:$G$120&lt;&gt;"moeda")*(Inputs!$G$5:$G$120&lt;&gt;"acoes")))*INDEX(Inputs!$K$5:$AJ$120,0,MATCH(O$2,Inputs!$K$4:$AJ$4,0)))))</f>
        <v>2780.7</v>
      </c>
      <c r="P65" s="263">
        <f>IF(ISNA(MATCH(P$2,Inputs!$K$4:$AJ$4,0)),NA(),IF(SUMPRODUCT((Inputs!$A$5:$A$120=$B65)*ISNUMBER(INDEX(Inputs!$K$5:$AJ$120,0,MATCH(P$2,Inputs!$K$4:$AJ$4,0))))+SUMPRODUCT((Inputs!$C$5:$C$120=$B65)*ISNUMBER(INDEX(Inputs!$K$5:$AJ$120,0,MATCH(P$2,Inputs!$K$4:$AJ$4,0))))+SUMPRODUCT((Inputs!$E$5:$E$120=$B65)*ISNUMBER(INDEX(Inputs!$K$5:$AJ$120,0,MATCH(P$2,Inputs!$K$4:$AJ$4,0))))=0,NA(),SUMPRODUCT((Inputs!$A$5:$A$120=$B65)*Inputs!$B$5:$B$120*(((Inputs!$G$5:$G$120="moeda")+(Inputs!$G$5:$G$120="acoes"))*Inputs!$B$1+((Inputs!$G$5:$G$120&lt;&gt;"moeda")*(Inputs!$G$5:$G$120&lt;&gt;"acoes")))*INDEX(Inputs!$K$5:$AJ$120,0,MATCH(P$2,Inputs!$K$4:$AJ$4,0)))+SUMPRODUCT((Inputs!$C$5:$C$120=$B65)*Inputs!$D$5:$D$120*(((Inputs!$G$5:$G$120="moeda")+(Inputs!$G$5:$G$120="acoes"))*Inputs!$B$1+((Inputs!$G$5:$G$120&lt;&gt;"moeda")*(Inputs!$G$5:$G$120&lt;&gt;"acoes")))*INDEX(Inputs!$K$5:$AJ$120,0,MATCH(P$2,Inputs!$K$4:$AJ$4,0)))+SUMPRODUCT((Inputs!$E$5:$E$120=$B65)*Inputs!$F$5:$F$120*(((Inputs!$G$5:$G$120="moeda")+(Inputs!$G$5:$G$120="acoes"))*Inputs!$B$1+((Inputs!$G$5:$G$120&lt;&gt;"moeda")*(Inputs!$G$5:$G$120&lt;&gt;"acoes")))*INDEX(Inputs!$K$5:$AJ$120,0,MATCH(P$2,Inputs!$K$4:$AJ$4,0)))))</f>
        <v>4130.5</v>
      </c>
      <c r="Q65" s="263">
        <f>IF(ISNA(MATCH(Q$2,Inputs!$K$4:$AJ$4,0)),NA(),IF(SUMPRODUCT((Inputs!$A$5:$A$120=$B65)*ISNUMBER(INDEX(Inputs!$K$5:$AJ$120,0,MATCH(Q$2,Inputs!$K$4:$AJ$4,0))))+SUMPRODUCT((Inputs!$C$5:$C$120=$B65)*ISNUMBER(INDEX(Inputs!$K$5:$AJ$120,0,MATCH(Q$2,Inputs!$K$4:$AJ$4,0))))+SUMPRODUCT((Inputs!$E$5:$E$120=$B65)*ISNUMBER(INDEX(Inputs!$K$5:$AJ$120,0,MATCH(Q$2,Inputs!$K$4:$AJ$4,0))))=0,NA(),SUMPRODUCT((Inputs!$A$5:$A$120=$B65)*Inputs!$B$5:$B$120*(((Inputs!$G$5:$G$120="moeda")+(Inputs!$G$5:$G$120="acoes"))*Inputs!$B$1+((Inputs!$G$5:$G$120&lt;&gt;"moeda")*(Inputs!$G$5:$G$120&lt;&gt;"acoes")))*INDEX(Inputs!$K$5:$AJ$120,0,MATCH(Q$2,Inputs!$K$4:$AJ$4,0)))+SUMPRODUCT((Inputs!$C$5:$C$120=$B65)*Inputs!$D$5:$D$120*(((Inputs!$G$5:$G$120="moeda")+(Inputs!$G$5:$G$120="acoes"))*Inputs!$B$1+((Inputs!$G$5:$G$120&lt;&gt;"moeda")*(Inputs!$G$5:$G$120&lt;&gt;"acoes")))*INDEX(Inputs!$K$5:$AJ$120,0,MATCH(Q$2,Inputs!$K$4:$AJ$4,0)))+SUMPRODUCT((Inputs!$E$5:$E$120=$B65)*Inputs!$F$5:$F$120*(((Inputs!$G$5:$G$120="moeda")+(Inputs!$G$5:$G$120="acoes"))*Inputs!$B$1+((Inputs!$G$5:$G$120&lt;&gt;"moeda")*(Inputs!$G$5:$G$120&lt;&gt;"acoes")))*INDEX(Inputs!$K$5:$AJ$120,0,MATCH(Q$2,Inputs!$K$4:$AJ$4,0)))))</f>
        <v>2898.1</v>
      </c>
      <c r="R65" s="264">
        <f>SUM(N65:Q65)</f>
        <v>12333.2</v>
      </c>
      <c r="S65" s="263">
        <f>IF(ISNA(MATCH(S$2,Inputs!$K$4:$AJ$4,0)),NA(),IF(SUMPRODUCT((Inputs!$A$5:$A$120=$B65)*ISNUMBER(INDEX(Inputs!$K$5:$AJ$120,0,MATCH(S$2,Inputs!$K$4:$AJ$4,0))))+SUMPRODUCT((Inputs!$C$5:$C$120=$B65)*ISNUMBER(INDEX(Inputs!$K$5:$AJ$120,0,MATCH(S$2,Inputs!$K$4:$AJ$4,0))))+SUMPRODUCT((Inputs!$E$5:$E$120=$B65)*ISNUMBER(INDEX(Inputs!$K$5:$AJ$120,0,MATCH(S$2,Inputs!$K$4:$AJ$4,0))))=0,NA(),SUMPRODUCT((Inputs!$A$5:$A$120=$B65)*Inputs!$B$5:$B$120*(((Inputs!$G$5:$G$120="moeda")+(Inputs!$G$5:$G$120="acoes"))*Inputs!$B$1+((Inputs!$G$5:$G$120&lt;&gt;"moeda")*(Inputs!$G$5:$G$120&lt;&gt;"acoes")))*INDEX(Inputs!$K$5:$AJ$120,0,MATCH(S$2,Inputs!$K$4:$AJ$4,0)))+SUMPRODUCT((Inputs!$C$5:$C$120=$B65)*Inputs!$D$5:$D$120*(((Inputs!$G$5:$G$120="moeda")+(Inputs!$G$5:$G$120="acoes"))*Inputs!$B$1+((Inputs!$G$5:$G$120&lt;&gt;"moeda")*(Inputs!$G$5:$G$120&lt;&gt;"acoes")))*INDEX(Inputs!$K$5:$AJ$120,0,MATCH(S$2,Inputs!$K$4:$AJ$4,0)))+SUMPRODUCT((Inputs!$E$5:$E$120=$B65)*Inputs!$F$5:$F$120*(((Inputs!$G$5:$G$120="moeda")+(Inputs!$G$5:$G$120="acoes"))*Inputs!$B$1+((Inputs!$G$5:$G$120&lt;&gt;"moeda")*(Inputs!$G$5:$G$120&lt;&gt;"acoes")))*INDEX(Inputs!$K$5:$AJ$120,0,MATCH(S$2,Inputs!$K$4:$AJ$4,0)))))</f>
        <v>3073.7</v>
      </c>
      <c r="T65" s="263">
        <f>IF(ISNA(MATCH(T$2,Inputs!$K$4:$AJ$4,0)),NA(),IF(SUMPRODUCT((Inputs!$A$5:$A$120=$B65)*ISNUMBER(INDEX(Inputs!$K$5:$AJ$120,0,MATCH(T$2,Inputs!$K$4:$AJ$4,0))))+SUMPRODUCT((Inputs!$C$5:$C$120=$B65)*ISNUMBER(INDEX(Inputs!$K$5:$AJ$120,0,MATCH(T$2,Inputs!$K$4:$AJ$4,0))))+SUMPRODUCT((Inputs!$E$5:$E$120=$B65)*ISNUMBER(INDEX(Inputs!$K$5:$AJ$120,0,MATCH(T$2,Inputs!$K$4:$AJ$4,0))))=0,NA(),SUMPRODUCT((Inputs!$A$5:$A$120=$B65)*Inputs!$B$5:$B$120*(((Inputs!$G$5:$G$120="moeda")+(Inputs!$G$5:$G$120="acoes"))*Inputs!$B$1+((Inputs!$G$5:$G$120&lt;&gt;"moeda")*(Inputs!$G$5:$G$120&lt;&gt;"acoes")))*INDEX(Inputs!$K$5:$AJ$120,0,MATCH(T$2,Inputs!$K$4:$AJ$4,0)))+SUMPRODUCT((Inputs!$C$5:$C$120=$B65)*Inputs!$D$5:$D$120*(((Inputs!$G$5:$G$120="moeda")+(Inputs!$G$5:$G$120="acoes"))*Inputs!$B$1+((Inputs!$G$5:$G$120&lt;&gt;"moeda")*(Inputs!$G$5:$G$120&lt;&gt;"acoes")))*INDEX(Inputs!$K$5:$AJ$120,0,MATCH(T$2,Inputs!$K$4:$AJ$4,0)))+SUMPRODUCT((Inputs!$E$5:$E$120=$B65)*Inputs!$F$5:$F$120*(((Inputs!$G$5:$G$120="moeda")+(Inputs!$G$5:$G$120="acoes"))*Inputs!$B$1+((Inputs!$G$5:$G$120&lt;&gt;"moeda")*(Inputs!$G$5:$G$120&lt;&gt;"acoes")))*INDEX(Inputs!$K$5:$AJ$120,0,MATCH(T$2,Inputs!$K$4:$AJ$4,0)))))</f>
        <v>3467.5</v>
      </c>
      <c r="U65" s="263">
        <f>IF(ISNA(MATCH(U$2,Inputs!$K$4:$AJ$4,0)),NA(),IF(SUMPRODUCT((Inputs!$A$5:$A$120=$B65)*ISNUMBER(INDEX(Inputs!$K$5:$AJ$120,0,MATCH(U$2,Inputs!$K$4:$AJ$4,0))))+SUMPRODUCT((Inputs!$C$5:$C$120=$B65)*ISNUMBER(INDEX(Inputs!$K$5:$AJ$120,0,MATCH(U$2,Inputs!$K$4:$AJ$4,0))))+SUMPRODUCT((Inputs!$E$5:$E$120=$B65)*ISNUMBER(INDEX(Inputs!$K$5:$AJ$120,0,MATCH(U$2,Inputs!$K$4:$AJ$4,0))))=0,NA(),SUMPRODUCT((Inputs!$A$5:$A$120=$B65)*Inputs!$B$5:$B$120*(((Inputs!$G$5:$G$120="moeda")+(Inputs!$G$5:$G$120="acoes"))*Inputs!$B$1+((Inputs!$G$5:$G$120&lt;&gt;"moeda")*(Inputs!$G$5:$G$120&lt;&gt;"acoes")))*INDEX(Inputs!$K$5:$AJ$120,0,MATCH(U$2,Inputs!$K$4:$AJ$4,0)))+SUMPRODUCT((Inputs!$C$5:$C$120=$B65)*Inputs!$D$5:$D$120*(((Inputs!$G$5:$G$120="moeda")+(Inputs!$G$5:$G$120="acoes"))*Inputs!$B$1+((Inputs!$G$5:$G$120&lt;&gt;"moeda")*(Inputs!$G$5:$G$120&lt;&gt;"acoes")))*INDEX(Inputs!$K$5:$AJ$120,0,MATCH(U$2,Inputs!$K$4:$AJ$4,0)))+SUMPRODUCT((Inputs!$E$5:$E$120=$B65)*Inputs!$F$5:$F$120*(((Inputs!$G$5:$G$120="moeda")+(Inputs!$G$5:$G$120="acoes"))*Inputs!$B$1+((Inputs!$G$5:$G$120&lt;&gt;"moeda")*(Inputs!$G$5:$G$120&lt;&gt;"acoes")))*INDEX(Inputs!$K$5:$AJ$120,0,MATCH(U$2,Inputs!$K$4:$AJ$4,0)))))</f>
        <v>3625.5</v>
      </c>
      <c r="V65" s="263">
        <f>IF(ISNA(MATCH(V$2,Inputs!$K$4:$AJ$4,0)),NA(),IF(SUMPRODUCT((Inputs!$A$5:$A$120=$B65)*ISNUMBER(INDEX(Inputs!$K$5:$AJ$120,0,MATCH(V$2,Inputs!$K$4:$AJ$4,0))))+SUMPRODUCT((Inputs!$C$5:$C$120=$B65)*ISNUMBER(INDEX(Inputs!$K$5:$AJ$120,0,MATCH(V$2,Inputs!$K$4:$AJ$4,0))))+SUMPRODUCT((Inputs!$E$5:$E$120=$B65)*ISNUMBER(INDEX(Inputs!$K$5:$AJ$120,0,MATCH(V$2,Inputs!$K$4:$AJ$4,0))))=0,NA(),SUMPRODUCT((Inputs!$A$5:$A$120=$B65)*Inputs!$B$5:$B$120*(((Inputs!$G$5:$G$120="moeda")+(Inputs!$G$5:$G$120="acoes"))*Inputs!$B$1+((Inputs!$G$5:$G$120&lt;&gt;"moeda")*(Inputs!$G$5:$G$120&lt;&gt;"acoes")))*INDEX(Inputs!$K$5:$AJ$120,0,MATCH(V$2,Inputs!$K$4:$AJ$4,0)))+SUMPRODUCT((Inputs!$C$5:$C$120=$B65)*Inputs!$D$5:$D$120*(((Inputs!$G$5:$G$120="moeda")+(Inputs!$G$5:$G$120="acoes"))*Inputs!$B$1+((Inputs!$G$5:$G$120&lt;&gt;"moeda")*(Inputs!$G$5:$G$120&lt;&gt;"acoes")))*INDEX(Inputs!$K$5:$AJ$120,0,MATCH(V$2,Inputs!$K$4:$AJ$4,0)))+SUMPRODUCT((Inputs!$E$5:$E$120=$B65)*Inputs!$F$5:$F$120*(((Inputs!$G$5:$G$120="moeda")+(Inputs!$G$5:$G$120="acoes"))*Inputs!$B$1+((Inputs!$G$5:$G$120&lt;&gt;"moeda")*(Inputs!$G$5:$G$120&lt;&gt;"acoes")))*INDEX(Inputs!$K$5:$AJ$120,0,MATCH(V$2,Inputs!$K$4:$AJ$4,0)))))</f>
        <v>4500.8</v>
      </c>
      <c r="W65" s="264">
        <f>SUM(S65:V65)</f>
        <v>14667.5</v>
      </c>
      <c r="X65" s="263">
        <f>IF(ISNA(MATCH(X$2,Inputs!$K$4:$AJ$4,0)),NA(),IF(SUMPRODUCT((Inputs!$A$5:$A$120=$B65)*ISNUMBER(INDEX(Inputs!$K$5:$AJ$120,0,MATCH(X$2,Inputs!$K$4:$AJ$4,0))))+SUMPRODUCT((Inputs!$C$5:$C$120=$B65)*ISNUMBER(INDEX(Inputs!$K$5:$AJ$120,0,MATCH(X$2,Inputs!$K$4:$AJ$4,0))))+SUMPRODUCT((Inputs!$E$5:$E$120=$B65)*ISNUMBER(INDEX(Inputs!$K$5:$AJ$120,0,MATCH(X$2,Inputs!$K$4:$AJ$4,0))))=0,NA(),SUMPRODUCT((Inputs!$A$5:$A$120=$B65)*Inputs!$B$5:$B$120*(((Inputs!$G$5:$G$120="moeda")+(Inputs!$G$5:$G$120="acoes"))*Inputs!$B$1+((Inputs!$G$5:$G$120&lt;&gt;"moeda")*(Inputs!$G$5:$G$120&lt;&gt;"acoes")))*INDEX(Inputs!$K$5:$AJ$120,0,MATCH(X$2,Inputs!$K$4:$AJ$4,0)))+SUMPRODUCT((Inputs!$C$5:$C$120=$B65)*Inputs!$D$5:$D$120*(((Inputs!$G$5:$G$120="moeda")+(Inputs!$G$5:$G$120="acoes"))*Inputs!$B$1+((Inputs!$G$5:$G$120&lt;&gt;"moeda")*(Inputs!$G$5:$G$120&lt;&gt;"acoes")))*INDEX(Inputs!$K$5:$AJ$120,0,MATCH(X$2,Inputs!$K$4:$AJ$4,0)))+SUMPRODUCT((Inputs!$E$5:$E$120=$B65)*Inputs!$F$5:$F$120*(((Inputs!$G$5:$G$120="moeda")+(Inputs!$G$5:$G$120="acoes"))*Inputs!$B$1+((Inputs!$G$5:$G$120&lt;&gt;"moeda")*(Inputs!$G$5:$G$120&lt;&gt;"acoes")))*INDEX(Inputs!$K$5:$AJ$120,0,MATCH(X$2,Inputs!$K$4:$AJ$4,0)))))</f>
        <v>4239</v>
      </c>
      <c r="Y65" s="263">
        <f>IF(ISNA(MATCH(Y$2,Inputs!$K$4:$AJ$4,0)),NA(),IF(SUMPRODUCT((Inputs!$A$5:$A$120=$B65)*ISNUMBER(INDEX(Inputs!$K$5:$AJ$120,0,MATCH(Y$2,Inputs!$K$4:$AJ$4,0))))+SUMPRODUCT((Inputs!$C$5:$C$120=$B65)*ISNUMBER(INDEX(Inputs!$K$5:$AJ$120,0,MATCH(Y$2,Inputs!$K$4:$AJ$4,0))))+SUMPRODUCT((Inputs!$E$5:$E$120=$B65)*ISNUMBER(INDEX(Inputs!$K$5:$AJ$120,0,MATCH(Y$2,Inputs!$K$4:$AJ$4,0))))=0,NA(),SUMPRODUCT((Inputs!$A$5:$A$120=$B65)*Inputs!$B$5:$B$120*(((Inputs!$G$5:$G$120="moeda")+(Inputs!$G$5:$G$120="acoes"))*Inputs!$B$1+((Inputs!$G$5:$G$120&lt;&gt;"moeda")*(Inputs!$G$5:$G$120&lt;&gt;"acoes")))*INDEX(Inputs!$K$5:$AJ$120,0,MATCH(Y$2,Inputs!$K$4:$AJ$4,0)))+SUMPRODUCT((Inputs!$C$5:$C$120=$B65)*Inputs!$D$5:$D$120*(((Inputs!$G$5:$G$120="moeda")+(Inputs!$G$5:$G$120="acoes"))*Inputs!$B$1+((Inputs!$G$5:$G$120&lt;&gt;"moeda")*(Inputs!$G$5:$G$120&lt;&gt;"acoes")))*INDEX(Inputs!$K$5:$AJ$120,0,MATCH(Y$2,Inputs!$K$4:$AJ$4,0)))+SUMPRODUCT((Inputs!$E$5:$E$120=$B65)*Inputs!$F$5:$F$120*(((Inputs!$G$5:$G$120="moeda")+(Inputs!$G$5:$G$120="acoes"))*Inputs!$B$1+((Inputs!$G$5:$G$120&lt;&gt;"moeda")*(Inputs!$G$5:$G$120&lt;&gt;"acoes")))*INDEX(Inputs!$K$5:$AJ$120,0,MATCH(Y$2,Inputs!$K$4:$AJ$4,0)))))</f>
        <v>4743</v>
      </c>
      <c r="Z65" s="263">
        <f>IF(ISNA(MATCH(Z$2,Inputs!$K$4:$AJ$4,0)),NA(),IF(SUMPRODUCT((Inputs!$A$5:$A$120=$B65)*ISNUMBER(INDEX(Inputs!$K$5:$AJ$120,0,MATCH(Z$2,Inputs!$K$4:$AJ$4,0))))+SUMPRODUCT((Inputs!$C$5:$C$120=$B65)*ISNUMBER(INDEX(Inputs!$K$5:$AJ$120,0,MATCH(Z$2,Inputs!$K$4:$AJ$4,0))))+SUMPRODUCT((Inputs!$E$5:$E$120=$B65)*ISNUMBER(INDEX(Inputs!$K$5:$AJ$120,0,MATCH(Z$2,Inputs!$K$4:$AJ$4,0))))=0,NA(),SUMPRODUCT((Inputs!$A$5:$A$120=$B65)*Inputs!$B$5:$B$120*(((Inputs!$G$5:$G$120="moeda")+(Inputs!$G$5:$G$120="acoes"))*Inputs!$B$1+((Inputs!$G$5:$G$120&lt;&gt;"moeda")*(Inputs!$G$5:$G$120&lt;&gt;"acoes")))*INDEX(Inputs!$K$5:$AJ$120,0,MATCH(Z$2,Inputs!$K$4:$AJ$4,0)))+SUMPRODUCT((Inputs!$C$5:$C$120=$B65)*Inputs!$D$5:$D$120*(((Inputs!$G$5:$G$120="moeda")+(Inputs!$G$5:$G$120="acoes"))*Inputs!$B$1+((Inputs!$G$5:$G$120&lt;&gt;"moeda")*(Inputs!$G$5:$G$120&lt;&gt;"acoes")))*INDEX(Inputs!$K$5:$AJ$120,0,MATCH(Z$2,Inputs!$K$4:$AJ$4,0)))+SUMPRODUCT((Inputs!$E$5:$E$120=$B65)*Inputs!$F$5:$F$120*(((Inputs!$G$5:$G$120="moeda")+(Inputs!$G$5:$G$120="acoes"))*Inputs!$B$1+((Inputs!$G$5:$G$120&lt;&gt;"moeda")*(Inputs!$G$5:$G$120&lt;&gt;"acoes")))*INDEX(Inputs!$K$5:$AJ$120,0,MATCH(Z$2,Inputs!$K$4:$AJ$4,0)))))</f>
        <v>6300.8</v>
      </c>
      <c r="AA65" s="263">
        <f>IF(ISNA(MATCH(AA$2,Inputs!$K$4:$AJ$4,0)),NA(),IF(SUMPRODUCT((Inputs!$A$5:$A$120=$B65)*ISNUMBER(INDEX(Inputs!$K$5:$AJ$120,0,MATCH(AA$2,Inputs!$K$4:$AJ$4,0))))+SUMPRODUCT((Inputs!$C$5:$C$120=$B65)*ISNUMBER(INDEX(Inputs!$K$5:$AJ$120,0,MATCH(AA$2,Inputs!$K$4:$AJ$4,0))))+SUMPRODUCT((Inputs!$E$5:$E$120=$B65)*ISNUMBER(INDEX(Inputs!$K$5:$AJ$120,0,MATCH(AA$2,Inputs!$K$4:$AJ$4,0))))=0,NA(),SUMPRODUCT((Inputs!$A$5:$A$120=$B65)*Inputs!$B$5:$B$120*(((Inputs!$G$5:$G$120="moeda")+(Inputs!$G$5:$G$120="acoes"))*Inputs!$B$1+((Inputs!$G$5:$G$120&lt;&gt;"moeda")*(Inputs!$G$5:$G$120&lt;&gt;"acoes")))*INDEX(Inputs!$K$5:$AJ$120,0,MATCH(AA$2,Inputs!$K$4:$AJ$4,0)))+SUMPRODUCT((Inputs!$C$5:$C$120=$B65)*Inputs!$D$5:$D$120*(((Inputs!$G$5:$G$120="moeda")+(Inputs!$G$5:$G$120="acoes"))*Inputs!$B$1+((Inputs!$G$5:$G$120&lt;&gt;"moeda")*(Inputs!$G$5:$G$120&lt;&gt;"acoes")))*INDEX(Inputs!$K$5:$AJ$120,0,MATCH(AA$2,Inputs!$K$4:$AJ$4,0)))+SUMPRODUCT((Inputs!$E$5:$E$120=$B65)*Inputs!$F$5:$F$120*(((Inputs!$G$5:$G$120="moeda")+(Inputs!$G$5:$G$120="acoes"))*Inputs!$B$1+((Inputs!$G$5:$G$120&lt;&gt;"moeda")*(Inputs!$G$5:$G$120&lt;&gt;"acoes")))*INDEX(Inputs!$K$5:$AJ$120,0,MATCH(AA$2,Inputs!$K$4:$AJ$4,0)))))</f>
        <v>6414.6</v>
      </c>
      <c r="AB65" s="264">
        <f>SUM(X65:AA65)</f>
        <v>21697.4</v>
      </c>
      <c r="AC65" s="263">
        <f>IF(ISNA(MATCH(AC$2,Inputs!$K$4:$AJ$4,0)),NA(),IF(SUMPRODUCT((Inputs!$A$5:$A$120=$B65)*ISNUMBER(INDEX(Inputs!$K$5:$AJ$120,0,MATCH(AC$2,Inputs!$K$4:$AJ$4,0))))+SUMPRODUCT((Inputs!$C$5:$C$120=$B65)*ISNUMBER(INDEX(Inputs!$K$5:$AJ$120,0,MATCH(AC$2,Inputs!$K$4:$AJ$4,0))))+SUMPRODUCT((Inputs!$E$5:$E$120=$B65)*ISNUMBER(INDEX(Inputs!$K$5:$AJ$120,0,MATCH(AC$2,Inputs!$K$4:$AJ$4,0))))=0,NA(),SUMPRODUCT((Inputs!$A$5:$A$120=$B65)*Inputs!$B$5:$B$120*(((Inputs!$G$5:$G$120="moeda")+(Inputs!$G$5:$G$120="acoes"))*Inputs!$B$1+((Inputs!$G$5:$G$120&lt;&gt;"moeda")*(Inputs!$G$5:$G$120&lt;&gt;"acoes")))*INDEX(Inputs!$K$5:$AJ$120,0,MATCH(AC$2,Inputs!$K$4:$AJ$4,0)))+SUMPRODUCT((Inputs!$C$5:$C$120=$B65)*Inputs!$D$5:$D$120*(((Inputs!$G$5:$G$120="moeda")+(Inputs!$G$5:$G$120="acoes"))*Inputs!$B$1+((Inputs!$G$5:$G$120&lt;&gt;"moeda")*(Inputs!$G$5:$G$120&lt;&gt;"acoes")))*INDEX(Inputs!$K$5:$AJ$120,0,MATCH(AC$2,Inputs!$K$4:$AJ$4,0)))+SUMPRODUCT((Inputs!$E$5:$E$120=$B65)*Inputs!$F$5:$F$120*(((Inputs!$G$5:$G$120="moeda")+(Inputs!$G$5:$G$120="acoes"))*Inputs!$B$1+((Inputs!$G$5:$G$120&lt;&gt;"moeda")*(Inputs!$G$5:$G$120&lt;&gt;"acoes")))*INDEX(Inputs!$K$5:$AJ$120,0,MATCH(AC$2,Inputs!$K$4:$AJ$4,0)))))</f>
        <v>7680</v>
      </c>
      <c r="AD65" s="263">
        <f>IF(ISNA(MATCH(AD$2,Inputs!$K$4:$AJ$4,0)),NA(),IF(SUMPRODUCT((Inputs!$A$5:$A$120=$B65)*ISNUMBER(INDEX(Inputs!$K$5:$AJ$120,0,MATCH(AD$2,Inputs!$K$4:$AJ$4,0))))+SUMPRODUCT((Inputs!$C$5:$C$120=$B65)*ISNUMBER(INDEX(Inputs!$K$5:$AJ$120,0,MATCH(AD$2,Inputs!$K$4:$AJ$4,0))))+SUMPRODUCT((Inputs!$E$5:$E$120=$B65)*ISNUMBER(INDEX(Inputs!$K$5:$AJ$120,0,MATCH(AD$2,Inputs!$K$4:$AJ$4,0))))=0,NA(),SUMPRODUCT((Inputs!$A$5:$A$120=$B65)*Inputs!$B$5:$B$120*(((Inputs!$G$5:$G$120="moeda")+(Inputs!$G$5:$G$120="acoes"))*Inputs!$B$1+((Inputs!$G$5:$G$120&lt;&gt;"moeda")*(Inputs!$G$5:$G$120&lt;&gt;"acoes")))*INDEX(Inputs!$K$5:$AJ$120,0,MATCH(AD$2,Inputs!$K$4:$AJ$4,0)))+SUMPRODUCT((Inputs!$C$5:$C$120=$B65)*Inputs!$D$5:$D$120*(((Inputs!$G$5:$G$120="moeda")+(Inputs!$G$5:$G$120="acoes"))*Inputs!$B$1+((Inputs!$G$5:$G$120&lt;&gt;"moeda")*(Inputs!$G$5:$G$120&lt;&gt;"acoes")))*INDEX(Inputs!$K$5:$AJ$120,0,MATCH(AD$2,Inputs!$K$4:$AJ$4,0)))+SUMPRODUCT((Inputs!$E$5:$E$120=$B65)*Inputs!$F$5:$F$120*(((Inputs!$G$5:$G$120="moeda")+(Inputs!$G$5:$G$120="acoes"))*Inputs!$B$1+((Inputs!$G$5:$G$120&lt;&gt;"moeda")*(Inputs!$G$5:$G$120&lt;&gt;"acoes")))*INDEX(Inputs!$K$5:$AJ$120,0,MATCH(AD$2,Inputs!$K$4:$AJ$4,0)))))</f>
        <v>8561</v>
      </c>
      <c r="AE65" s="263" t="e">
        <f>IF(ISNA(MATCH(AE$2,Inputs!$K$4:$AJ$4,0)),NA(),IF(SUMPRODUCT((Inputs!$A$5:$A$120=$B65)*ISNUMBER(INDEX(Inputs!$K$5:$AJ$120,0,MATCH(AE$2,Inputs!$K$4:$AJ$4,0))))+SUMPRODUCT((Inputs!$C$5:$C$120=$B65)*ISNUMBER(INDEX(Inputs!$K$5:$AJ$120,0,MATCH(AE$2,Inputs!$K$4:$AJ$4,0))))+SUMPRODUCT((Inputs!$E$5:$E$120=$B65)*ISNUMBER(INDEX(Inputs!$K$5:$AJ$120,0,MATCH(AE$2,Inputs!$K$4:$AJ$4,0))))=0,NA(),SUMPRODUCT((Inputs!$A$5:$A$120=$B65)*Inputs!$B$5:$B$120*(((Inputs!$G$5:$G$120="moeda")+(Inputs!$G$5:$G$120="acoes"))*Inputs!$B$1+((Inputs!$G$5:$G$120&lt;&gt;"moeda")*(Inputs!$G$5:$G$120&lt;&gt;"acoes")))*INDEX(Inputs!$K$5:$AJ$120,0,MATCH(AE$2,Inputs!$K$4:$AJ$4,0)))+SUMPRODUCT((Inputs!$C$5:$C$120=$B65)*Inputs!$D$5:$D$120*(((Inputs!$G$5:$G$120="moeda")+(Inputs!$G$5:$G$120="acoes"))*Inputs!$B$1+((Inputs!$G$5:$G$120&lt;&gt;"moeda")*(Inputs!$G$5:$G$120&lt;&gt;"acoes")))*INDEX(Inputs!$K$5:$AJ$120,0,MATCH(AE$2,Inputs!$K$4:$AJ$4,0)))+SUMPRODUCT((Inputs!$E$5:$E$120=$B65)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5" s="263" t="e">
        <f>IF(ISNA(MATCH(AF$2,Inputs!$K$4:$AJ$4,0)),NA(),IF(SUMPRODUCT((Inputs!$A$5:$A$120=$B65)*ISNUMBER(INDEX(Inputs!$K$5:$AJ$120,0,MATCH(AF$2,Inputs!$K$4:$AJ$4,0))))+SUMPRODUCT((Inputs!$C$5:$C$120=$B65)*ISNUMBER(INDEX(Inputs!$K$5:$AJ$120,0,MATCH(AF$2,Inputs!$K$4:$AJ$4,0))))+SUMPRODUCT((Inputs!$E$5:$E$120=$B65)*ISNUMBER(INDEX(Inputs!$K$5:$AJ$120,0,MATCH(AF$2,Inputs!$K$4:$AJ$4,0))))=0,NA(),SUMPRODUCT((Inputs!$A$5:$A$120=$B65)*Inputs!$B$5:$B$120*(((Inputs!$G$5:$G$120="moeda")+(Inputs!$G$5:$G$120="acoes"))*Inputs!$B$1+((Inputs!$G$5:$G$120&lt;&gt;"moeda")*(Inputs!$G$5:$G$120&lt;&gt;"acoes")))*INDEX(Inputs!$K$5:$AJ$120,0,MATCH(AF$2,Inputs!$K$4:$AJ$4,0)))+SUMPRODUCT((Inputs!$C$5:$C$120=$B65)*Inputs!$D$5:$D$120*(((Inputs!$G$5:$G$120="moeda")+(Inputs!$G$5:$G$120="acoes"))*Inputs!$B$1+((Inputs!$G$5:$G$120&lt;&gt;"moeda")*(Inputs!$G$5:$G$120&lt;&gt;"acoes")))*INDEX(Inputs!$K$5:$AJ$120,0,MATCH(AF$2,Inputs!$K$4:$AJ$4,0)))+SUMPRODUCT((Inputs!$E$5:$E$120=$B65)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5" s="264" t="e">
        <f>SUM(AC65:AF65)</f>
        <v>#N/A</v>
      </c>
      <c r="AH65" s="263">
        <f>IF(ISNA(MATCH(AH$2,Inputs!$K$4:$AJ$4,0)),NA(),IF(SUMPRODUCT((Inputs!$A$5:$A$120=$B65)*ISNUMBER(INDEX(Inputs!$K$5:$AJ$120,0,MATCH(AH$2,Inputs!$K$4:$AJ$4,0))))+SUMPRODUCT((Inputs!$C$5:$C$120=$B65)*ISNUMBER(INDEX(Inputs!$K$5:$AJ$120,0,MATCH(AH$2,Inputs!$K$4:$AJ$4,0))))+SUMPRODUCT((Inputs!$E$5:$E$120=$B65)*ISNUMBER(INDEX(Inputs!$K$5:$AJ$120,0,MATCH(AH$2,Inputs!$K$4:$AJ$4,0))))=0,NA(),SUMPRODUCT((Inputs!$A$5:$A$120=$B65)*Inputs!$B$5:$B$120*(((Inputs!$G$5:$G$120="moeda")+(Inputs!$G$5:$G$120="acoes"))*Inputs!$B$1+((Inputs!$G$5:$G$120&lt;&gt;"moeda")*(Inputs!$G$5:$G$120&lt;&gt;"acoes")))*INDEX(Inputs!$K$5:$AJ$120,0,MATCH(AH$2,Inputs!$K$4:$AJ$4,0)))+SUMPRODUCT((Inputs!$C$5:$C$120=$B65)*Inputs!$D$5:$D$120*(((Inputs!$G$5:$G$120="moeda")+(Inputs!$G$5:$G$120="acoes"))*Inputs!$B$1+((Inputs!$G$5:$G$120&lt;&gt;"moeda")*(Inputs!$G$5:$G$120&lt;&gt;"acoes")))*INDEX(Inputs!$K$5:$AJ$120,0,MATCH(AH$2,Inputs!$K$4:$AJ$4,0)))+SUMPRODUCT((Inputs!$E$5:$E$120=$B65)*Inputs!$F$5:$F$120*(((Inputs!$G$5:$G$120="moeda")+(Inputs!$G$5:$G$120="acoes"))*Inputs!$B$1+((Inputs!$G$5:$G$120&lt;&gt;"moeda")*(Inputs!$G$5:$G$120&lt;&gt;"acoes")))*INDEX(Inputs!$K$5:$AJ$120,0,MATCH(AH$2,Inputs!$K$4:$AJ$4,0)))))</f>
        <v>2531</v>
      </c>
      <c r="AI65" s="263">
        <f>IF(ISNA(MATCH(AI$2,Inputs!$K$4:$AJ$4,0)),NA(),IF(SUMPRODUCT((Inputs!$A$5:$A$120=$B65)*ISNUMBER(INDEX(Inputs!$K$5:$AJ$120,0,MATCH(AI$2,Inputs!$K$4:$AJ$4,0))))+SUMPRODUCT((Inputs!$C$5:$C$120=$B65)*ISNUMBER(INDEX(Inputs!$K$5:$AJ$120,0,MATCH(AI$2,Inputs!$K$4:$AJ$4,0))))+SUMPRODUCT((Inputs!$E$5:$E$120=$B65)*ISNUMBER(INDEX(Inputs!$K$5:$AJ$120,0,MATCH(AI$2,Inputs!$K$4:$AJ$4,0))))=0,NA(),SUMPRODUCT((Inputs!$A$5:$A$120=$B65)*Inputs!$B$5:$B$120*(((Inputs!$G$5:$G$120="moeda")+(Inputs!$G$5:$G$120="acoes"))*Inputs!$B$1+((Inputs!$G$5:$G$120&lt;&gt;"moeda")*(Inputs!$G$5:$G$120&lt;&gt;"acoes")))*INDEX(Inputs!$K$5:$AJ$120,0,MATCH(AI$2,Inputs!$K$4:$AJ$4,0)))+SUMPRODUCT((Inputs!$C$5:$C$120=$B65)*Inputs!$D$5:$D$120*(((Inputs!$G$5:$G$120="moeda")+(Inputs!$G$5:$G$120="acoes"))*Inputs!$B$1+((Inputs!$G$5:$G$120&lt;&gt;"moeda")*(Inputs!$G$5:$G$120&lt;&gt;"acoes")))*INDEX(Inputs!$K$5:$AJ$120,0,MATCH(AI$2,Inputs!$K$4:$AJ$4,0)))+SUMPRODUCT((Inputs!$E$5:$E$120=$B65)*Inputs!$F$5:$F$120*(((Inputs!$G$5:$G$120="moeda")+(Inputs!$G$5:$G$120="acoes"))*Inputs!$B$1+((Inputs!$G$5:$G$120&lt;&gt;"moeda")*(Inputs!$G$5:$G$120&lt;&gt;"acoes")))*INDEX(Inputs!$K$5:$AJ$120,0,MATCH(AI$2,Inputs!$K$4:$AJ$4,0)))))</f>
        <v>2354.6</v>
      </c>
      <c r="AJ65" s="263">
        <f>IF(ISNA(MATCH(AJ$2,Inputs!$K$4:$AJ$4,0)),NA(),IF(SUMPRODUCT((Inputs!$A$5:$A$120=$B65)*ISNUMBER(INDEX(Inputs!$K$5:$AJ$120,0,MATCH(AJ$2,Inputs!$K$4:$AJ$4,0))))+SUMPRODUCT((Inputs!$C$5:$C$120=$B65)*ISNUMBER(INDEX(Inputs!$K$5:$AJ$120,0,MATCH(AJ$2,Inputs!$K$4:$AJ$4,0))))+SUMPRODUCT((Inputs!$E$5:$E$120=$B65)*ISNUMBER(INDEX(Inputs!$K$5:$AJ$120,0,MATCH(AJ$2,Inputs!$K$4:$AJ$4,0))))=0,NA(),SUMPRODUCT((Inputs!$A$5:$A$120=$B65)*Inputs!$B$5:$B$120*(((Inputs!$G$5:$G$120="moeda")+(Inputs!$G$5:$G$120="acoes"))*Inputs!$B$1+((Inputs!$G$5:$G$120&lt;&gt;"moeda")*(Inputs!$G$5:$G$120&lt;&gt;"acoes")))*INDEX(Inputs!$K$5:$AJ$120,0,MATCH(AJ$2,Inputs!$K$4:$AJ$4,0)))+SUMPRODUCT((Inputs!$C$5:$C$120=$B65)*Inputs!$D$5:$D$120*(((Inputs!$G$5:$G$120="moeda")+(Inputs!$G$5:$G$120="acoes"))*Inputs!$B$1+((Inputs!$G$5:$G$120&lt;&gt;"moeda")*(Inputs!$G$5:$G$120&lt;&gt;"acoes")))*INDEX(Inputs!$K$5:$AJ$120,0,MATCH(AJ$2,Inputs!$K$4:$AJ$4,0)))+SUMPRODUCT((Inputs!$E$5:$E$120=$B65)*Inputs!$F$5:$F$120*(((Inputs!$G$5:$G$120="moeda")+(Inputs!$G$5:$G$120="acoes"))*Inputs!$B$1+((Inputs!$G$5:$G$120&lt;&gt;"moeda")*(Inputs!$G$5:$G$120&lt;&gt;"acoes")))*INDEX(Inputs!$K$5:$AJ$120,0,MATCH(AJ$2,Inputs!$K$4:$AJ$4,0)))))</f>
        <v>2579.3</v>
      </c>
      <c r="AK65" s="263">
        <f>IF(ISNA(MATCH(AK$2,Inputs!$K$4:$AJ$4,0)),NA(),IF(SUMPRODUCT((Inputs!$A$5:$A$120=$B65)*ISNUMBER(INDEX(Inputs!$K$5:$AJ$120,0,MATCH(AK$2,Inputs!$K$4:$AJ$4,0))))+SUMPRODUCT((Inputs!$C$5:$C$120=$B65)*ISNUMBER(INDEX(Inputs!$K$5:$AJ$120,0,MATCH(AK$2,Inputs!$K$4:$AJ$4,0))))+SUMPRODUCT((Inputs!$E$5:$E$120=$B65)*ISNUMBER(INDEX(Inputs!$K$5:$AJ$120,0,MATCH(AK$2,Inputs!$K$4:$AJ$4,0))))=0,NA(),SUMPRODUCT((Inputs!$A$5:$A$120=$B65)*Inputs!$B$5:$B$120*(((Inputs!$G$5:$G$120="moeda")+(Inputs!$G$5:$G$120="acoes"))*Inputs!$B$1+((Inputs!$G$5:$G$120&lt;&gt;"moeda")*(Inputs!$G$5:$G$120&lt;&gt;"acoes")))*INDEX(Inputs!$K$5:$AJ$120,0,MATCH(AK$2,Inputs!$K$4:$AJ$4,0)))+SUMPRODUCT((Inputs!$C$5:$C$120=$B65)*Inputs!$D$5:$D$120*(((Inputs!$G$5:$G$120="moeda")+(Inputs!$G$5:$G$120="acoes"))*Inputs!$B$1+((Inputs!$G$5:$G$120&lt;&gt;"moeda")*(Inputs!$G$5:$G$120&lt;&gt;"acoes")))*INDEX(Inputs!$K$5:$AJ$120,0,MATCH(AK$2,Inputs!$K$4:$AJ$4,0)))+SUMPRODUCT((Inputs!$E$5:$E$120=$B65)*Inputs!$F$5:$F$120*(((Inputs!$G$5:$G$120="moeda")+(Inputs!$G$5:$G$120="acoes"))*Inputs!$B$1+((Inputs!$G$5:$G$120&lt;&gt;"moeda")*(Inputs!$G$5:$G$120&lt;&gt;"acoes")))*INDEX(Inputs!$K$5:$AJ$120,0,MATCH(AK$2,Inputs!$K$4:$AJ$4,0)))))</f>
        <v>2842</v>
      </c>
      <c r="AL65" s="264">
        <f>SUM(AH65:AK65)</f>
        <v>10306.9</v>
      </c>
    </row>
    <row r="66">
      <c r="B66" s="46" t="n">
        <v>58</v>
      </c>
      <c r="C66" s="29" t="inlineStr">
        <is>
          <t>Receita de produtos (USD)</t>
        </is>
      </c>
      <c r="D66" s="263">
        <f>IF(ISNA(MATCH(D$2,Inputs!$K$4:$AJ$4,0)),NA(),IF(SUMPRODUCT((Inputs!$A$5:$A$120=$B66)*ISNUMBER(INDEX(Inputs!$K$5:$AJ$120,0,MATCH(D$2,Inputs!$K$4:$AJ$4,0))))+SUMPRODUCT((Inputs!$C$5:$C$120=$B66)*ISNUMBER(INDEX(Inputs!$K$5:$AJ$120,0,MATCH(D$2,Inputs!$K$4:$AJ$4,0))))+SUMPRODUCT((Inputs!$E$5:$E$120=$B66)*ISNUMBER(INDEX(Inputs!$K$5:$AJ$120,0,MATCH(D$2,Inputs!$K$4:$AJ$4,0))))=0,NA(),SUMPRODUCT((Inputs!$A$5:$A$120=$B66)*Inputs!$B$5:$B$120*(((Inputs!$G$5:$G$120="moeda")+(Inputs!$G$5:$G$120="acoes"))*Inputs!$B$1+((Inputs!$G$5:$G$120&lt;&gt;"moeda")*(Inputs!$G$5:$G$120&lt;&gt;"acoes")))*INDEX(Inputs!$K$5:$AJ$120,0,MATCH(D$2,Inputs!$K$4:$AJ$4,0)))+SUMPRODUCT((Inputs!$C$5:$C$120=$B66)*Inputs!$D$5:$D$120*(((Inputs!$G$5:$G$120="moeda")+(Inputs!$G$5:$G$120="acoes"))*Inputs!$B$1+((Inputs!$G$5:$G$120&lt;&gt;"moeda")*(Inputs!$G$5:$G$120&lt;&gt;"acoes")))*INDEX(Inputs!$K$5:$AJ$120,0,MATCH(D$2,Inputs!$K$4:$AJ$4,0)))+SUMPRODUCT((Inputs!$E$5:$E$120=$B66)*Inputs!$F$5:$F$120*(((Inputs!$G$5:$G$120="moeda")+(Inputs!$G$5:$G$120="acoes"))*Inputs!$B$1+((Inputs!$G$5:$G$120&lt;&gt;"moeda")*(Inputs!$G$5:$G$120&lt;&gt;"acoes")))*INDEX(Inputs!$K$5:$AJ$120,0,MATCH(D$2,Inputs!$K$4:$AJ$4,0)))))</f>
        <v>6320</v>
      </c>
      <c r="E66" s="263">
        <f>IF(ISNA(MATCH(E$2,Inputs!$K$4:$AJ$4,0)),NA(),IF(SUMPRODUCT((Inputs!$A$5:$A$120=$B66)*ISNUMBER(INDEX(Inputs!$K$5:$AJ$120,0,MATCH(E$2,Inputs!$K$4:$AJ$4,0))))+SUMPRODUCT((Inputs!$C$5:$C$120=$B66)*ISNUMBER(INDEX(Inputs!$K$5:$AJ$120,0,MATCH(E$2,Inputs!$K$4:$AJ$4,0))))+SUMPRODUCT((Inputs!$E$5:$E$120=$B66)*ISNUMBER(INDEX(Inputs!$K$5:$AJ$120,0,MATCH(E$2,Inputs!$K$4:$AJ$4,0))))=0,NA(),SUMPRODUCT((Inputs!$A$5:$A$120=$B66)*Inputs!$B$5:$B$120*(((Inputs!$G$5:$G$120="moeda")+(Inputs!$G$5:$G$120="acoes"))*Inputs!$B$1+((Inputs!$G$5:$G$120&lt;&gt;"moeda")*(Inputs!$G$5:$G$120&lt;&gt;"acoes")))*INDEX(Inputs!$K$5:$AJ$120,0,MATCH(E$2,Inputs!$K$4:$AJ$4,0)))+SUMPRODUCT((Inputs!$C$5:$C$120=$B66)*Inputs!$D$5:$D$120*(((Inputs!$G$5:$G$120="moeda")+(Inputs!$G$5:$G$120="acoes"))*Inputs!$B$1+((Inputs!$G$5:$G$120&lt;&gt;"moeda")*(Inputs!$G$5:$G$120&lt;&gt;"acoes")))*INDEX(Inputs!$K$5:$AJ$120,0,MATCH(E$2,Inputs!$K$4:$AJ$4,0)))+SUMPRODUCT((Inputs!$E$5:$E$120=$B66)*Inputs!$F$5:$F$120*(((Inputs!$G$5:$G$120="moeda")+(Inputs!$G$5:$G$120="acoes"))*Inputs!$B$1+((Inputs!$G$5:$G$120&lt;&gt;"moeda")*(Inputs!$G$5:$G$120&lt;&gt;"acoes")))*INDEX(Inputs!$K$5:$AJ$120,0,MATCH(E$2,Inputs!$K$4:$AJ$4,0)))))</f>
        <v>6070.5</v>
      </c>
      <c r="F66" s="263">
        <f>IF(ISNA(MATCH(F$2,Inputs!$K$4:$AJ$4,0)),NA(),IF(SUMPRODUCT((Inputs!$A$5:$A$120=$B66)*ISNUMBER(INDEX(Inputs!$K$5:$AJ$120,0,MATCH(F$2,Inputs!$K$4:$AJ$4,0))))+SUMPRODUCT((Inputs!$C$5:$C$120=$B66)*ISNUMBER(INDEX(Inputs!$K$5:$AJ$120,0,MATCH(F$2,Inputs!$K$4:$AJ$4,0))))+SUMPRODUCT((Inputs!$E$5:$E$120=$B66)*ISNUMBER(INDEX(Inputs!$K$5:$AJ$120,0,MATCH(F$2,Inputs!$K$4:$AJ$4,0))))=0,NA(),SUMPRODUCT((Inputs!$A$5:$A$120=$B66)*Inputs!$B$5:$B$120*(((Inputs!$G$5:$G$120="moeda")+(Inputs!$G$5:$G$120="acoes"))*Inputs!$B$1+((Inputs!$G$5:$G$120&lt;&gt;"moeda")*(Inputs!$G$5:$G$120&lt;&gt;"acoes")))*INDEX(Inputs!$K$5:$AJ$120,0,MATCH(F$2,Inputs!$K$4:$AJ$4,0)))+SUMPRODUCT((Inputs!$C$5:$C$120=$B66)*Inputs!$D$5:$D$120*(((Inputs!$G$5:$G$120="moeda")+(Inputs!$G$5:$G$120="acoes"))*Inputs!$B$1+((Inputs!$G$5:$G$120&lt;&gt;"moeda")*(Inputs!$G$5:$G$120&lt;&gt;"acoes")))*INDEX(Inputs!$K$5:$AJ$120,0,MATCH(F$2,Inputs!$K$4:$AJ$4,0)))+SUMPRODUCT((Inputs!$E$5:$E$120=$B66)*Inputs!$F$5:$F$120*(((Inputs!$G$5:$G$120="moeda")+(Inputs!$G$5:$G$120="acoes"))*Inputs!$B$1+((Inputs!$G$5:$G$120&lt;&gt;"moeda")*(Inputs!$G$5:$G$120&lt;&gt;"acoes")))*INDEX(Inputs!$K$5:$AJ$120,0,MATCH(F$2,Inputs!$K$4:$AJ$4,0)))))</f>
        <v>6189</v>
      </c>
      <c r="G66" s="263">
        <f>IF(ISNA(MATCH(G$2,Inputs!$K$4:$AJ$4,0)),NA(),IF(SUMPRODUCT((Inputs!$A$5:$A$120=$B66)*ISNUMBER(INDEX(Inputs!$K$5:$AJ$120,0,MATCH(G$2,Inputs!$K$4:$AJ$4,0))))+SUMPRODUCT((Inputs!$C$5:$C$120=$B66)*ISNUMBER(INDEX(Inputs!$K$5:$AJ$120,0,MATCH(G$2,Inputs!$K$4:$AJ$4,0))))+SUMPRODUCT((Inputs!$E$5:$E$120=$B66)*ISNUMBER(INDEX(Inputs!$K$5:$AJ$120,0,MATCH(G$2,Inputs!$K$4:$AJ$4,0))))=0,NA(),SUMPRODUCT((Inputs!$A$5:$A$120=$B66)*Inputs!$B$5:$B$120*(((Inputs!$G$5:$G$120="moeda")+(Inputs!$G$5:$G$120="acoes"))*Inputs!$B$1+((Inputs!$G$5:$G$120&lt;&gt;"moeda")*(Inputs!$G$5:$G$120&lt;&gt;"acoes")))*INDEX(Inputs!$K$5:$AJ$120,0,MATCH(G$2,Inputs!$K$4:$AJ$4,0)))+SUMPRODUCT((Inputs!$C$5:$C$120=$B66)*Inputs!$D$5:$D$120*(((Inputs!$G$5:$G$120="moeda")+(Inputs!$G$5:$G$120="acoes"))*Inputs!$B$1+((Inputs!$G$5:$G$120&lt;&gt;"moeda")*(Inputs!$G$5:$G$120&lt;&gt;"acoes")))*INDEX(Inputs!$K$5:$AJ$120,0,MATCH(G$2,Inputs!$K$4:$AJ$4,0)))+SUMPRODUCT((Inputs!$E$5:$E$120=$B66)*Inputs!$F$5:$F$120*(((Inputs!$G$5:$G$120="moeda")+(Inputs!$G$5:$G$120="acoes"))*Inputs!$B$1+((Inputs!$G$5:$G$120&lt;&gt;"moeda")*(Inputs!$G$5:$G$120&lt;&gt;"acoes")))*INDEX(Inputs!$K$5:$AJ$120,0,MATCH(G$2,Inputs!$K$4:$AJ$4,0)))))</f>
        <v>7378.4</v>
      </c>
      <c r="H66" s="264">
        <f>SUM(D66:G66)</f>
        <v>25957.9</v>
      </c>
      <c r="I66" s="263">
        <f>IF(ISNA(MATCH(I$2,Inputs!$K$4:$AJ$4,0)),NA(),IF(SUMPRODUCT((Inputs!$A$5:$A$120=$B66)*ISNUMBER(INDEX(Inputs!$K$5:$AJ$120,0,MATCH(I$2,Inputs!$K$4:$AJ$4,0))))+SUMPRODUCT((Inputs!$C$5:$C$120=$B66)*ISNUMBER(INDEX(Inputs!$K$5:$AJ$120,0,MATCH(I$2,Inputs!$K$4:$AJ$4,0))))+SUMPRODUCT((Inputs!$E$5:$E$120=$B66)*ISNUMBER(INDEX(Inputs!$K$5:$AJ$120,0,MATCH(I$2,Inputs!$K$4:$AJ$4,0))))=0,NA(),SUMPRODUCT((Inputs!$A$5:$A$120=$B66)*Inputs!$B$5:$B$120*(((Inputs!$G$5:$G$120="moeda")+(Inputs!$G$5:$G$120="acoes"))*Inputs!$B$1+((Inputs!$G$5:$G$120&lt;&gt;"moeda")*(Inputs!$G$5:$G$120&lt;&gt;"acoes")))*INDEX(Inputs!$K$5:$AJ$120,0,MATCH(I$2,Inputs!$K$4:$AJ$4,0)))+SUMPRODUCT((Inputs!$C$5:$C$120=$B66)*Inputs!$D$5:$D$120*(((Inputs!$G$5:$G$120="moeda")+(Inputs!$G$5:$G$120="acoes"))*Inputs!$B$1+((Inputs!$G$5:$G$120&lt;&gt;"moeda")*(Inputs!$G$5:$G$120&lt;&gt;"acoes")))*INDEX(Inputs!$K$5:$AJ$120,0,MATCH(I$2,Inputs!$K$4:$AJ$4,0)))+SUMPRODUCT((Inputs!$E$5:$E$120=$B66)*Inputs!$F$5:$F$120*(((Inputs!$G$5:$G$120="moeda")+(Inputs!$G$5:$G$120="acoes"))*Inputs!$B$1+((Inputs!$G$5:$G$120&lt;&gt;"moeda")*(Inputs!$G$5:$G$120&lt;&gt;"acoes")))*INDEX(Inputs!$K$5:$AJ$120,0,MATCH(I$2,Inputs!$K$4:$AJ$4,0)))))</f>
        <v>7132.9</v>
      </c>
      <c r="J66" s="263">
        <f>IF(ISNA(MATCH(J$2,Inputs!$K$4:$AJ$4,0)),NA(),IF(SUMPRODUCT((Inputs!$A$5:$A$120=$B66)*ISNUMBER(INDEX(Inputs!$K$5:$AJ$120,0,MATCH(J$2,Inputs!$K$4:$AJ$4,0))))+SUMPRODUCT((Inputs!$C$5:$C$120=$B66)*ISNUMBER(INDEX(Inputs!$K$5:$AJ$120,0,MATCH(J$2,Inputs!$K$4:$AJ$4,0))))+SUMPRODUCT((Inputs!$E$5:$E$120=$B66)*ISNUMBER(INDEX(Inputs!$K$5:$AJ$120,0,MATCH(J$2,Inputs!$K$4:$AJ$4,0))))=0,NA(),SUMPRODUCT((Inputs!$A$5:$A$120=$B66)*Inputs!$B$5:$B$120*(((Inputs!$G$5:$G$120="moeda")+(Inputs!$G$5:$G$120="acoes"))*Inputs!$B$1+((Inputs!$G$5:$G$120&lt;&gt;"moeda")*(Inputs!$G$5:$G$120&lt;&gt;"acoes")))*INDEX(Inputs!$K$5:$AJ$120,0,MATCH(J$2,Inputs!$K$4:$AJ$4,0)))+SUMPRODUCT((Inputs!$C$5:$C$120=$B66)*Inputs!$D$5:$D$120*(((Inputs!$G$5:$G$120="moeda")+(Inputs!$G$5:$G$120="acoes"))*Inputs!$B$1+((Inputs!$G$5:$G$120&lt;&gt;"moeda")*(Inputs!$G$5:$G$120&lt;&gt;"acoes")))*INDEX(Inputs!$K$5:$AJ$120,0,MATCH(J$2,Inputs!$K$4:$AJ$4,0)))+SUMPRODUCT((Inputs!$E$5:$E$120=$B66)*Inputs!$F$5:$F$120*(((Inputs!$G$5:$G$120="moeda")+(Inputs!$G$5:$G$120="acoes"))*Inputs!$B$1+((Inputs!$G$5:$G$120&lt;&gt;"moeda")*(Inputs!$G$5:$G$120&lt;&gt;"acoes")))*INDEX(Inputs!$K$5:$AJ$120,0,MATCH(J$2,Inputs!$K$4:$AJ$4,0)))))</f>
        <v>5870.9</v>
      </c>
      <c r="K66" s="263">
        <f>IF(ISNA(MATCH(K$2,Inputs!$K$4:$AJ$4,0)),NA(),IF(SUMPRODUCT((Inputs!$A$5:$A$120=$B66)*ISNUMBER(INDEX(Inputs!$K$5:$AJ$120,0,MATCH(K$2,Inputs!$K$4:$AJ$4,0))))+SUMPRODUCT((Inputs!$C$5:$C$120=$B66)*ISNUMBER(INDEX(Inputs!$K$5:$AJ$120,0,MATCH(K$2,Inputs!$K$4:$AJ$4,0))))+SUMPRODUCT((Inputs!$E$5:$E$120=$B66)*ISNUMBER(INDEX(Inputs!$K$5:$AJ$120,0,MATCH(K$2,Inputs!$K$4:$AJ$4,0))))=0,NA(),SUMPRODUCT((Inputs!$A$5:$A$120=$B66)*Inputs!$B$5:$B$120*(((Inputs!$G$5:$G$120="moeda")+(Inputs!$G$5:$G$120="acoes"))*Inputs!$B$1+((Inputs!$G$5:$G$120&lt;&gt;"moeda")*(Inputs!$G$5:$G$120&lt;&gt;"acoes")))*INDEX(Inputs!$K$5:$AJ$120,0,MATCH(K$2,Inputs!$K$4:$AJ$4,0)))+SUMPRODUCT((Inputs!$C$5:$C$120=$B66)*Inputs!$D$5:$D$120*(((Inputs!$G$5:$G$120="moeda")+(Inputs!$G$5:$G$120="acoes"))*Inputs!$B$1+((Inputs!$G$5:$G$120&lt;&gt;"moeda")*(Inputs!$G$5:$G$120&lt;&gt;"acoes")))*INDEX(Inputs!$K$5:$AJ$120,0,MATCH(K$2,Inputs!$K$4:$AJ$4,0)))+SUMPRODUCT((Inputs!$E$5:$E$120=$B66)*Inputs!$F$5:$F$120*(((Inputs!$G$5:$G$120="moeda")+(Inputs!$G$5:$G$120="acoes"))*Inputs!$B$1+((Inputs!$G$5:$G$120&lt;&gt;"moeda")*(Inputs!$G$5:$G$120&lt;&gt;"acoes")))*INDEX(Inputs!$K$5:$AJ$120,0,MATCH(K$2,Inputs!$K$4:$AJ$4,0)))))</f>
        <v>6119.2</v>
      </c>
      <c r="L66" s="263">
        <f>IF(ISNA(MATCH(L$2,Inputs!$K$4:$AJ$4,0)),NA(),IF(SUMPRODUCT((Inputs!$A$5:$A$120=$B66)*ISNUMBER(INDEX(Inputs!$K$5:$AJ$120,0,MATCH(L$2,Inputs!$K$4:$AJ$4,0))))+SUMPRODUCT((Inputs!$C$5:$C$120=$B66)*ISNUMBER(INDEX(Inputs!$K$5:$AJ$120,0,MATCH(L$2,Inputs!$K$4:$AJ$4,0))))+SUMPRODUCT((Inputs!$E$5:$E$120=$B66)*ISNUMBER(INDEX(Inputs!$K$5:$AJ$120,0,MATCH(L$2,Inputs!$K$4:$AJ$4,0))))=0,NA(),SUMPRODUCT((Inputs!$A$5:$A$120=$B66)*Inputs!$B$5:$B$120*(((Inputs!$G$5:$G$120="moeda")+(Inputs!$G$5:$G$120="acoes"))*Inputs!$B$1+((Inputs!$G$5:$G$120&lt;&gt;"moeda")*(Inputs!$G$5:$G$120&lt;&gt;"acoes")))*INDEX(Inputs!$K$5:$AJ$120,0,MATCH(L$2,Inputs!$K$4:$AJ$4,0)))+SUMPRODUCT((Inputs!$C$5:$C$120=$B66)*Inputs!$D$5:$D$120*(((Inputs!$G$5:$G$120="moeda")+(Inputs!$G$5:$G$120="acoes"))*Inputs!$B$1+((Inputs!$G$5:$G$120&lt;&gt;"moeda")*(Inputs!$G$5:$G$120&lt;&gt;"acoes")))*INDEX(Inputs!$K$5:$AJ$120,0,MATCH(L$2,Inputs!$K$4:$AJ$4,0)))+SUMPRODUCT((Inputs!$E$5:$E$120=$B66)*Inputs!$F$5:$F$120*(((Inputs!$G$5:$G$120="moeda")+(Inputs!$G$5:$G$120="acoes"))*Inputs!$B$1+((Inputs!$G$5:$G$120&lt;&gt;"moeda")*(Inputs!$G$5:$G$120&lt;&gt;"acoes")))*INDEX(Inputs!$K$5:$AJ$120,0,MATCH(L$2,Inputs!$K$4:$AJ$4,0)))))</f>
        <v>6339.8</v>
      </c>
      <c r="M66" s="264">
        <f>SUM(I66:L66)</f>
        <v>25462.8</v>
      </c>
      <c r="N66" s="263">
        <f>IF(ISNA(MATCH(N$2,Inputs!$K$4:$AJ$4,0)),NA(),IF(SUMPRODUCT((Inputs!$A$5:$A$120=$B66)*ISNUMBER(INDEX(Inputs!$K$5:$AJ$120,0,MATCH(N$2,Inputs!$K$4:$AJ$4,0))))+SUMPRODUCT((Inputs!$C$5:$C$120=$B66)*ISNUMBER(INDEX(Inputs!$K$5:$AJ$120,0,MATCH(N$2,Inputs!$K$4:$AJ$4,0))))+SUMPRODUCT((Inputs!$E$5:$E$120=$B66)*ISNUMBER(INDEX(Inputs!$K$5:$AJ$120,0,MATCH(N$2,Inputs!$K$4:$AJ$4,0))))=0,NA(),SUMPRODUCT((Inputs!$A$5:$A$120=$B66)*Inputs!$B$5:$B$120*(((Inputs!$G$5:$G$120="moeda")+(Inputs!$G$5:$G$120="acoes"))*Inputs!$B$1+((Inputs!$G$5:$G$120&lt;&gt;"moeda")*(Inputs!$G$5:$G$120&lt;&gt;"acoes")))*INDEX(Inputs!$K$5:$AJ$120,0,MATCH(N$2,Inputs!$K$4:$AJ$4,0)))+SUMPRODUCT((Inputs!$C$5:$C$120=$B66)*Inputs!$D$5:$D$120*(((Inputs!$G$5:$G$120="moeda")+(Inputs!$G$5:$G$120="acoes"))*Inputs!$B$1+((Inputs!$G$5:$G$120&lt;&gt;"moeda")*(Inputs!$G$5:$G$120&lt;&gt;"acoes")))*INDEX(Inputs!$K$5:$AJ$120,0,MATCH(N$2,Inputs!$K$4:$AJ$4,0)))+SUMPRODUCT((Inputs!$E$5:$E$120=$B66)*Inputs!$F$5:$F$120*(((Inputs!$G$5:$G$120="moeda")+(Inputs!$G$5:$G$120="acoes"))*Inputs!$B$1+((Inputs!$G$5:$G$120&lt;&gt;"moeda")*(Inputs!$G$5:$G$120&lt;&gt;"acoes")))*INDEX(Inputs!$K$5:$AJ$120,0,MATCH(N$2,Inputs!$K$4:$AJ$4,0)))))</f>
        <v>6238.2</v>
      </c>
      <c r="O66" s="263">
        <f>IF(ISNA(MATCH(O$2,Inputs!$K$4:$AJ$4,0)),NA(),IF(SUMPRODUCT((Inputs!$A$5:$A$120=$B66)*ISNUMBER(INDEX(Inputs!$K$5:$AJ$120,0,MATCH(O$2,Inputs!$K$4:$AJ$4,0))))+SUMPRODUCT((Inputs!$C$5:$C$120=$B66)*ISNUMBER(INDEX(Inputs!$K$5:$AJ$120,0,MATCH(O$2,Inputs!$K$4:$AJ$4,0))))+SUMPRODUCT((Inputs!$E$5:$E$120=$B66)*ISNUMBER(INDEX(Inputs!$K$5:$AJ$120,0,MATCH(O$2,Inputs!$K$4:$AJ$4,0))))=0,NA(),SUMPRODUCT((Inputs!$A$5:$A$120=$B66)*Inputs!$B$5:$B$120*(((Inputs!$G$5:$G$120="moeda")+(Inputs!$G$5:$G$120="acoes"))*Inputs!$B$1+((Inputs!$G$5:$G$120&lt;&gt;"moeda")*(Inputs!$G$5:$G$120&lt;&gt;"acoes")))*INDEX(Inputs!$K$5:$AJ$120,0,MATCH(O$2,Inputs!$K$4:$AJ$4,0)))+SUMPRODUCT((Inputs!$C$5:$C$120=$B66)*Inputs!$D$5:$D$120*(((Inputs!$G$5:$G$120="moeda")+(Inputs!$G$5:$G$120="acoes"))*Inputs!$B$1+((Inputs!$G$5:$G$120&lt;&gt;"moeda")*(Inputs!$G$5:$G$120&lt;&gt;"acoes")))*INDEX(Inputs!$K$5:$AJ$120,0,MATCH(O$2,Inputs!$K$4:$AJ$4,0)))+SUMPRODUCT((Inputs!$E$5:$E$120=$B66)*Inputs!$F$5:$F$120*(((Inputs!$G$5:$G$120="moeda")+(Inputs!$G$5:$G$120="acoes"))*Inputs!$B$1+((Inputs!$G$5:$G$120&lt;&gt;"moeda")*(Inputs!$G$5:$G$120&lt;&gt;"acoes")))*INDEX(Inputs!$K$5:$AJ$120,0,MATCH(O$2,Inputs!$K$4:$AJ$4,0)))))</f>
        <v>6979.8</v>
      </c>
      <c r="P66" s="263">
        <f>IF(ISNA(MATCH(P$2,Inputs!$K$4:$AJ$4,0)),NA(),IF(SUMPRODUCT((Inputs!$A$5:$A$120=$B66)*ISNUMBER(INDEX(Inputs!$K$5:$AJ$120,0,MATCH(P$2,Inputs!$K$4:$AJ$4,0))))+SUMPRODUCT((Inputs!$C$5:$C$120=$B66)*ISNUMBER(INDEX(Inputs!$K$5:$AJ$120,0,MATCH(P$2,Inputs!$K$4:$AJ$4,0))))+SUMPRODUCT((Inputs!$E$5:$E$120=$B66)*ISNUMBER(INDEX(Inputs!$K$5:$AJ$120,0,MATCH(P$2,Inputs!$K$4:$AJ$4,0))))=0,NA(),SUMPRODUCT((Inputs!$A$5:$A$120=$B66)*Inputs!$B$5:$B$120*(((Inputs!$G$5:$G$120="moeda")+(Inputs!$G$5:$G$120="acoes"))*Inputs!$B$1+((Inputs!$G$5:$G$120&lt;&gt;"moeda")*(Inputs!$G$5:$G$120&lt;&gt;"acoes")))*INDEX(Inputs!$K$5:$AJ$120,0,MATCH(P$2,Inputs!$K$4:$AJ$4,0)))+SUMPRODUCT((Inputs!$C$5:$C$120=$B66)*Inputs!$D$5:$D$120*(((Inputs!$G$5:$G$120="moeda")+(Inputs!$G$5:$G$120="acoes"))*Inputs!$B$1+((Inputs!$G$5:$G$120&lt;&gt;"moeda")*(Inputs!$G$5:$G$120&lt;&gt;"acoes")))*INDEX(Inputs!$K$5:$AJ$120,0,MATCH(P$2,Inputs!$K$4:$AJ$4,0)))+SUMPRODUCT((Inputs!$E$5:$E$120=$B66)*Inputs!$F$5:$F$120*(((Inputs!$G$5:$G$120="moeda")+(Inputs!$G$5:$G$120="acoes"))*Inputs!$B$1+((Inputs!$G$5:$G$120&lt;&gt;"moeda")*(Inputs!$G$5:$G$120&lt;&gt;"acoes")))*INDEX(Inputs!$K$5:$AJ$120,0,MATCH(P$2,Inputs!$K$4:$AJ$4,0)))))</f>
        <v>7306.2</v>
      </c>
      <c r="Q66" s="263">
        <f>IF(ISNA(MATCH(Q$2,Inputs!$K$4:$AJ$4,0)),NA(),IF(SUMPRODUCT((Inputs!$A$5:$A$120=$B66)*ISNUMBER(INDEX(Inputs!$K$5:$AJ$120,0,MATCH(Q$2,Inputs!$K$4:$AJ$4,0))))+SUMPRODUCT((Inputs!$C$5:$C$120=$B66)*ISNUMBER(INDEX(Inputs!$K$5:$AJ$120,0,MATCH(Q$2,Inputs!$K$4:$AJ$4,0))))+SUMPRODUCT((Inputs!$E$5:$E$120=$B66)*ISNUMBER(INDEX(Inputs!$K$5:$AJ$120,0,MATCH(Q$2,Inputs!$K$4:$AJ$4,0))))=0,NA(),SUMPRODUCT((Inputs!$A$5:$A$120=$B66)*Inputs!$B$5:$B$120*(((Inputs!$G$5:$G$120="moeda")+(Inputs!$G$5:$G$120="acoes"))*Inputs!$B$1+((Inputs!$G$5:$G$120&lt;&gt;"moeda")*(Inputs!$G$5:$G$120&lt;&gt;"acoes")))*INDEX(Inputs!$K$5:$AJ$120,0,MATCH(Q$2,Inputs!$K$4:$AJ$4,0)))+SUMPRODUCT((Inputs!$C$5:$C$120=$B66)*Inputs!$D$5:$D$120*(((Inputs!$G$5:$G$120="moeda")+(Inputs!$G$5:$G$120="acoes"))*Inputs!$B$1+((Inputs!$G$5:$G$120&lt;&gt;"moeda")*(Inputs!$G$5:$G$120&lt;&gt;"acoes")))*INDEX(Inputs!$K$5:$AJ$120,0,MATCH(Q$2,Inputs!$K$4:$AJ$4,0)))+SUMPRODUCT((Inputs!$E$5:$E$120=$B66)*Inputs!$F$5:$F$120*(((Inputs!$G$5:$G$120="moeda")+(Inputs!$G$5:$G$120="acoes"))*Inputs!$B$1+((Inputs!$G$5:$G$120&lt;&gt;"moeda")*(Inputs!$G$5:$G$120&lt;&gt;"acoes")))*INDEX(Inputs!$K$5:$AJ$120,0,MATCH(Q$2,Inputs!$K$4:$AJ$4,0)))))</f>
        <v>8289.7</v>
      </c>
      <c r="R66" s="264">
        <f>SUM(N66:Q66)</f>
        <v>28813.9</v>
      </c>
      <c r="S66" s="263">
        <f>IF(ISNA(MATCH(S$2,Inputs!$K$4:$AJ$4,0)),NA(),IF(SUMPRODUCT((Inputs!$A$5:$A$120=$B66)*ISNUMBER(INDEX(Inputs!$K$5:$AJ$120,0,MATCH(S$2,Inputs!$K$4:$AJ$4,0))))+SUMPRODUCT((Inputs!$C$5:$C$120=$B66)*ISNUMBER(INDEX(Inputs!$K$5:$AJ$120,0,MATCH(S$2,Inputs!$K$4:$AJ$4,0))))+SUMPRODUCT((Inputs!$E$5:$E$120=$B66)*ISNUMBER(INDEX(Inputs!$K$5:$AJ$120,0,MATCH(S$2,Inputs!$K$4:$AJ$4,0))))=0,NA(),SUMPRODUCT((Inputs!$A$5:$A$120=$B66)*Inputs!$B$5:$B$120*(((Inputs!$G$5:$G$120="moeda")+(Inputs!$G$5:$G$120="acoes"))*Inputs!$B$1+((Inputs!$G$5:$G$120&lt;&gt;"moeda")*(Inputs!$G$5:$G$120&lt;&gt;"acoes")))*INDEX(Inputs!$K$5:$AJ$120,0,MATCH(S$2,Inputs!$K$4:$AJ$4,0)))+SUMPRODUCT((Inputs!$C$5:$C$120=$B66)*Inputs!$D$5:$D$120*(((Inputs!$G$5:$G$120="moeda")+(Inputs!$G$5:$G$120="acoes"))*Inputs!$B$1+((Inputs!$G$5:$G$120&lt;&gt;"moeda")*(Inputs!$G$5:$G$120&lt;&gt;"acoes")))*INDEX(Inputs!$K$5:$AJ$120,0,MATCH(S$2,Inputs!$K$4:$AJ$4,0)))+SUMPRODUCT((Inputs!$E$5:$E$120=$B66)*Inputs!$F$5:$F$120*(((Inputs!$G$5:$G$120="moeda")+(Inputs!$G$5:$G$120="acoes"))*Inputs!$B$1+((Inputs!$G$5:$G$120&lt;&gt;"moeda")*(Inputs!$G$5:$G$120&lt;&gt;"acoes")))*INDEX(Inputs!$K$5:$AJ$120,0,MATCH(S$2,Inputs!$K$4:$AJ$4,0)))))</f>
        <v>7796.5</v>
      </c>
      <c r="T66" s="263">
        <f>IF(ISNA(MATCH(T$2,Inputs!$K$4:$AJ$4,0)),NA(),IF(SUMPRODUCT((Inputs!$A$5:$A$120=$B66)*ISNUMBER(INDEX(Inputs!$K$5:$AJ$120,0,MATCH(T$2,Inputs!$K$4:$AJ$4,0))))+SUMPRODUCT((Inputs!$C$5:$C$120=$B66)*ISNUMBER(INDEX(Inputs!$K$5:$AJ$120,0,MATCH(T$2,Inputs!$K$4:$AJ$4,0))))+SUMPRODUCT((Inputs!$E$5:$E$120=$B66)*ISNUMBER(INDEX(Inputs!$K$5:$AJ$120,0,MATCH(T$2,Inputs!$K$4:$AJ$4,0))))=0,NA(),SUMPRODUCT((Inputs!$A$5:$A$120=$B66)*Inputs!$B$5:$B$120*(((Inputs!$G$5:$G$120="moeda")+(Inputs!$G$5:$G$120="acoes"))*Inputs!$B$1+((Inputs!$G$5:$G$120&lt;&gt;"moeda")*(Inputs!$G$5:$G$120&lt;&gt;"acoes")))*INDEX(Inputs!$K$5:$AJ$120,0,MATCH(T$2,Inputs!$K$4:$AJ$4,0)))+SUMPRODUCT((Inputs!$C$5:$C$120=$B66)*Inputs!$D$5:$D$120*(((Inputs!$G$5:$G$120="moeda")+(Inputs!$G$5:$G$120="acoes"))*Inputs!$B$1+((Inputs!$G$5:$G$120&lt;&gt;"moeda")*(Inputs!$G$5:$G$120&lt;&gt;"acoes")))*INDEX(Inputs!$K$5:$AJ$120,0,MATCH(T$2,Inputs!$K$4:$AJ$4,0)))+SUMPRODUCT((Inputs!$E$5:$E$120=$B66)*Inputs!$F$5:$F$120*(((Inputs!$G$5:$G$120="moeda")+(Inputs!$G$5:$G$120="acoes"))*Inputs!$B$1+((Inputs!$G$5:$G$120&lt;&gt;"moeda")*(Inputs!$G$5:$G$120&lt;&gt;"acoes")))*INDEX(Inputs!$K$5:$AJ$120,0,MATCH(T$2,Inputs!$K$4:$AJ$4,0)))))</f>
        <v>10354.9</v>
      </c>
      <c r="U66" s="263">
        <f>IF(ISNA(MATCH(U$2,Inputs!$K$4:$AJ$4,0)),NA(),IF(SUMPRODUCT((Inputs!$A$5:$A$120=$B66)*ISNUMBER(INDEX(Inputs!$K$5:$AJ$120,0,MATCH(U$2,Inputs!$K$4:$AJ$4,0))))+SUMPRODUCT((Inputs!$C$5:$C$120=$B66)*ISNUMBER(INDEX(Inputs!$K$5:$AJ$120,0,MATCH(U$2,Inputs!$K$4:$AJ$4,0))))+SUMPRODUCT((Inputs!$E$5:$E$120=$B66)*ISNUMBER(INDEX(Inputs!$K$5:$AJ$120,0,MATCH(U$2,Inputs!$K$4:$AJ$4,0))))=0,NA(),SUMPRODUCT((Inputs!$A$5:$A$120=$B66)*Inputs!$B$5:$B$120*(((Inputs!$G$5:$G$120="moeda")+(Inputs!$G$5:$G$120="acoes"))*Inputs!$B$1+((Inputs!$G$5:$G$120&lt;&gt;"moeda")*(Inputs!$G$5:$G$120&lt;&gt;"acoes")))*INDEX(Inputs!$K$5:$AJ$120,0,MATCH(U$2,Inputs!$K$4:$AJ$4,0)))+SUMPRODUCT((Inputs!$C$5:$C$120=$B66)*Inputs!$D$5:$D$120*(((Inputs!$G$5:$G$120="moeda")+(Inputs!$G$5:$G$120="acoes"))*Inputs!$B$1+((Inputs!$G$5:$G$120&lt;&gt;"moeda")*(Inputs!$G$5:$G$120&lt;&gt;"acoes")))*INDEX(Inputs!$K$5:$AJ$120,0,MATCH(U$2,Inputs!$K$4:$AJ$4,0)))+SUMPRODUCT((Inputs!$E$5:$E$120=$B66)*Inputs!$F$5:$F$120*(((Inputs!$G$5:$G$120="moeda")+(Inputs!$G$5:$G$120="acoes"))*Inputs!$B$1+((Inputs!$G$5:$G$120&lt;&gt;"moeda")*(Inputs!$G$5:$G$120&lt;&gt;"acoes")))*INDEX(Inputs!$K$5:$AJ$120,0,MATCH(U$2,Inputs!$K$4:$AJ$4,0)))))</f>
        <v>10571.6</v>
      </c>
      <c r="V66" s="263">
        <f>IF(ISNA(MATCH(V$2,Inputs!$K$4:$AJ$4,0)),NA(),IF(SUMPRODUCT((Inputs!$A$5:$A$120=$B66)*ISNUMBER(INDEX(Inputs!$K$5:$AJ$120,0,MATCH(V$2,Inputs!$K$4:$AJ$4,0))))+SUMPRODUCT((Inputs!$C$5:$C$120=$B66)*ISNUMBER(INDEX(Inputs!$K$5:$AJ$120,0,MATCH(V$2,Inputs!$K$4:$AJ$4,0))))+SUMPRODUCT((Inputs!$E$5:$E$120=$B66)*ISNUMBER(INDEX(Inputs!$K$5:$AJ$120,0,MATCH(V$2,Inputs!$K$4:$AJ$4,0))))=0,NA(),SUMPRODUCT((Inputs!$A$5:$A$120=$B66)*Inputs!$B$5:$B$120*(((Inputs!$G$5:$G$120="moeda")+(Inputs!$G$5:$G$120="acoes"))*Inputs!$B$1+((Inputs!$G$5:$G$120&lt;&gt;"moeda")*(Inputs!$G$5:$G$120&lt;&gt;"acoes")))*INDEX(Inputs!$K$5:$AJ$120,0,MATCH(V$2,Inputs!$K$4:$AJ$4,0)))+SUMPRODUCT((Inputs!$C$5:$C$120=$B66)*Inputs!$D$5:$D$120*(((Inputs!$G$5:$G$120="moeda")+(Inputs!$G$5:$G$120="acoes"))*Inputs!$B$1+((Inputs!$G$5:$G$120&lt;&gt;"moeda")*(Inputs!$G$5:$G$120&lt;&gt;"acoes")))*INDEX(Inputs!$K$5:$AJ$120,0,MATCH(V$2,Inputs!$K$4:$AJ$4,0)))+SUMPRODUCT((Inputs!$E$5:$E$120=$B66)*Inputs!$F$5:$F$120*(((Inputs!$G$5:$G$120="moeda")+(Inputs!$G$5:$G$120="acoes"))*Inputs!$B$1+((Inputs!$G$5:$G$120&lt;&gt;"moeda")*(Inputs!$G$5:$G$120&lt;&gt;"acoes")))*INDEX(Inputs!$K$5:$AJ$120,0,MATCH(V$2,Inputs!$K$4:$AJ$4,0)))))</f>
        <v>12024.9</v>
      </c>
      <c r="W66" s="264">
        <f>SUM(S66:V66)</f>
        <v>40747.9</v>
      </c>
      <c r="X66" s="263">
        <f>IF(ISNA(MATCH(X$2,Inputs!$K$4:$AJ$4,0)),NA(),IF(SUMPRODUCT((Inputs!$A$5:$A$120=$B66)*ISNUMBER(INDEX(Inputs!$K$5:$AJ$120,0,MATCH(X$2,Inputs!$K$4:$AJ$4,0))))+SUMPRODUCT((Inputs!$C$5:$C$120=$B66)*ISNUMBER(INDEX(Inputs!$K$5:$AJ$120,0,MATCH(X$2,Inputs!$K$4:$AJ$4,0))))+SUMPRODUCT((Inputs!$E$5:$E$120=$B66)*ISNUMBER(INDEX(Inputs!$K$5:$AJ$120,0,MATCH(X$2,Inputs!$K$4:$AJ$4,0))))=0,NA(),SUMPRODUCT((Inputs!$A$5:$A$120=$B66)*Inputs!$B$5:$B$120*(((Inputs!$G$5:$G$120="moeda")+(Inputs!$G$5:$G$120="acoes"))*Inputs!$B$1+((Inputs!$G$5:$G$120&lt;&gt;"moeda")*(Inputs!$G$5:$G$120&lt;&gt;"acoes")))*INDEX(Inputs!$K$5:$AJ$120,0,MATCH(X$2,Inputs!$K$4:$AJ$4,0)))+SUMPRODUCT((Inputs!$C$5:$C$120=$B66)*Inputs!$D$5:$D$120*(((Inputs!$G$5:$G$120="moeda")+(Inputs!$G$5:$G$120="acoes"))*Inputs!$B$1+((Inputs!$G$5:$G$120&lt;&gt;"moeda")*(Inputs!$G$5:$G$120&lt;&gt;"acoes")))*INDEX(Inputs!$K$5:$AJ$120,0,MATCH(X$2,Inputs!$K$4:$AJ$4,0)))+SUMPRODUCT((Inputs!$E$5:$E$120=$B66)*Inputs!$F$5:$F$120*(((Inputs!$G$5:$G$120="moeda")+(Inputs!$G$5:$G$120="acoes"))*Inputs!$B$1+((Inputs!$G$5:$G$120&lt;&gt;"moeda")*(Inputs!$G$5:$G$120&lt;&gt;"acoes")))*INDEX(Inputs!$K$5:$AJ$120,0,MATCH(X$2,Inputs!$K$4:$AJ$4,0)))))</f>
        <v>11601</v>
      </c>
      <c r="Y66" s="263">
        <f>IF(ISNA(MATCH(Y$2,Inputs!$K$4:$AJ$4,0)),NA(),IF(SUMPRODUCT((Inputs!$A$5:$A$120=$B66)*ISNUMBER(INDEX(Inputs!$K$5:$AJ$120,0,MATCH(Y$2,Inputs!$K$4:$AJ$4,0))))+SUMPRODUCT((Inputs!$C$5:$C$120=$B66)*ISNUMBER(INDEX(Inputs!$K$5:$AJ$120,0,MATCH(Y$2,Inputs!$K$4:$AJ$4,0))))+SUMPRODUCT((Inputs!$E$5:$E$120=$B66)*ISNUMBER(INDEX(Inputs!$K$5:$AJ$120,0,MATCH(Y$2,Inputs!$K$4:$AJ$4,0))))=0,NA(),SUMPRODUCT((Inputs!$A$5:$A$120=$B66)*Inputs!$B$5:$B$120*(((Inputs!$G$5:$G$120="moeda")+(Inputs!$G$5:$G$120="acoes"))*Inputs!$B$1+((Inputs!$G$5:$G$120&lt;&gt;"moeda")*(Inputs!$G$5:$G$120&lt;&gt;"acoes")))*INDEX(Inputs!$K$5:$AJ$120,0,MATCH(Y$2,Inputs!$K$4:$AJ$4,0)))+SUMPRODUCT((Inputs!$C$5:$C$120=$B66)*Inputs!$D$5:$D$120*(((Inputs!$G$5:$G$120="moeda")+(Inputs!$G$5:$G$120="acoes"))*Inputs!$B$1+((Inputs!$G$5:$G$120&lt;&gt;"moeda")*(Inputs!$G$5:$G$120&lt;&gt;"acoes")))*INDEX(Inputs!$K$5:$AJ$120,0,MATCH(Y$2,Inputs!$K$4:$AJ$4,0)))+SUMPRODUCT((Inputs!$E$5:$E$120=$B66)*Inputs!$F$5:$F$120*(((Inputs!$G$5:$G$120="moeda")+(Inputs!$G$5:$G$120="acoes"))*Inputs!$B$1+((Inputs!$G$5:$G$120&lt;&gt;"moeda")*(Inputs!$G$5:$G$120&lt;&gt;"acoes")))*INDEX(Inputs!$K$5:$AJ$120,0,MATCH(Y$2,Inputs!$K$4:$AJ$4,0)))))</f>
        <v>14726</v>
      </c>
      <c r="Z66" s="263">
        <f>IF(ISNA(MATCH(Z$2,Inputs!$K$4:$AJ$4,0)),NA(),IF(SUMPRODUCT((Inputs!$A$5:$A$120=$B66)*ISNUMBER(INDEX(Inputs!$K$5:$AJ$120,0,MATCH(Z$2,Inputs!$K$4:$AJ$4,0))))+SUMPRODUCT((Inputs!$C$5:$C$120=$B66)*ISNUMBER(INDEX(Inputs!$K$5:$AJ$120,0,MATCH(Z$2,Inputs!$K$4:$AJ$4,0))))+SUMPRODUCT((Inputs!$E$5:$E$120=$B66)*ISNUMBER(INDEX(Inputs!$K$5:$AJ$120,0,MATCH(Z$2,Inputs!$K$4:$AJ$4,0))))=0,NA(),SUMPRODUCT((Inputs!$A$5:$A$120=$B66)*Inputs!$B$5:$B$120*(((Inputs!$G$5:$G$120="moeda")+(Inputs!$G$5:$G$120="acoes"))*Inputs!$B$1+((Inputs!$G$5:$G$120&lt;&gt;"moeda")*(Inputs!$G$5:$G$120&lt;&gt;"acoes")))*INDEX(Inputs!$K$5:$AJ$120,0,MATCH(Z$2,Inputs!$K$4:$AJ$4,0)))+SUMPRODUCT((Inputs!$C$5:$C$120=$B66)*Inputs!$D$5:$D$120*(((Inputs!$G$5:$G$120="moeda")+(Inputs!$G$5:$G$120="acoes"))*Inputs!$B$1+((Inputs!$G$5:$G$120&lt;&gt;"moeda")*(Inputs!$G$5:$G$120&lt;&gt;"acoes")))*INDEX(Inputs!$K$5:$AJ$120,0,MATCH(Z$2,Inputs!$K$4:$AJ$4,0)))+SUMPRODUCT((Inputs!$E$5:$E$120=$B66)*Inputs!$F$5:$F$120*(((Inputs!$G$5:$G$120="moeda")+(Inputs!$G$5:$G$120="acoes"))*Inputs!$B$1+((Inputs!$G$5:$G$120&lt;&gt;"moeda")*(Inputs!$G$5:$G$120&lt;&gt;"acoes")))*INDEX(Inputs!$K$5:$AJ$120,0,MATCH(Z$2,Inputs!$K$4:$AJ$4,0)))))</f>
        <v>16330.5</v>
      </c>
      <c r="AA66" s="263">
        <f>IF(ISNA(MATCH(AA$2,Inputs!$K$4:$AJ$4,0)),NA(),IF(SUMPRODUCT((Inputs!$A$5:$A$120=$B66)*ISNUMBER(INDEX(Inputs!$K$5:$AJ$120,0,MATCH(AA$2,Inputs!$K$4:$AJ$4,0))))+SUMPRODUCT((Inputs!$C$5:$C$120=$B66)*ISNUMBER(INDEX(Inputs!$K$5:$AJ$120,0,MATCH(AA$2,Inputs!$K$4:$AJ$4,0))))+SUMPRODUCT((Inputs!$E$5:$E$120=$B66)*ISNUMBER(INDEX(Inputs!$K$5:$AJ$120,0,MATCH(AA$2,Inputs!$K$4:$AJ$4,0))))=0,NA(),SUMPRODUCT((Inputs!$A$5:$A$120=$B66)*Inputs!$B$5:$B$120*(((Inputs!$G$5:$G$120="moeda")+(Inputs!$G$5:$G$120="acoes"))*Inputs!$B$1+((Inputs!$G$5:$G$120&lt;&gt;"moeda")*(Inputs!$G$5:$G$120&lt;&gt;"acoes")))*INDEX(Inputs!$K$5:$AJ$120,0,MATCH(AA$2,Inputs!$K$4:$AJ$4,0)))+SUMPRODUCT((Inputs!$C$5:$C$120=$B66)*Inputs!$D$5:$D$120*(((Inputs!$G$5:$G$120="moeda")+(Inputs!$G$5:$G$120="acoes"))*Inputs!$B$1+((Inputs!$G$5:$G$120&lt;&gt;"moeda")*(Inputs!$G$5:$G$120&lt;&gt;"acoes")))*INDEX(Inputs!$K$5:$AJ$120,0,MATCH(AA$2,Inputs!$K$4:$AJ$4,0)))+SUMPRODUCT((Inputs!$E$5:$E$120=$B66)*Inputs!$F$5:$F$120*(((Inputs!$G$5:$G$120="moeda")+(Inputs!$G$5:$G$120="acoes"))*Inputs!$B$1+((Inputs!$G$5:$G$120&lt;&gt;"moeda")*(Inputs!$G$5:$G$120&lt;&gt;"acoes")))*INDEX(Inputs!$K$5:$AJ$120,0,MATCH(AA$2,Inputs!$K$4:$AJ$4,0)))))</f>
        <v>18300.3</v>
      </c>
      <c r="AB66" s="264">
        <f>SUM(X66:AA66)</f>
        <v>60957.8</v>
      </c>
      <c r="AC66" s="263">
        <f>IF(ISNA(MATCH(AC$2,Inputs!$K$4:$AJ$4,0)),NA(),IF(SUMPRODUCT((Inputs!$A$5:$A$120=$B66)*ISNUMBER(INDEX(Inputs!$K$5:$AJ$120,0,MATCH(AC$2,Inputs!$K$4:$AJ$4,0))))+SUMPRODUCT((Inputs!$C$5:$C$120=$B66)*ISNUMBER(INDEX(Inputs!$K$5:$AJ$120,0,MATCH(AC$2,Inputs!$K$4:$AJ$4,0))))+SUMPRODUCT((Inputs!$E$5:$E$120=$B66)*ISNUMBER(INDEX(Inputs!$K$5:$AJ$120,0,MATCH(AC$2,Inputs!$K$4:$AJ$4,0))))=0,NA(),SUMPRODUCT((Inputs!$A$5:$A$120=$B66)*Inputs!$B$5:$B$120*(((Inputs!$G$5:$G$120="moeda")+(Inputs!$G$5:$G$120="acoes"))*Inputs!$B$1+((Inputs!$G$5:$G$120&lt;&gt;"moeda")*(Inputs!$G$5:$G$120&lt;&gt;"acoes")))*INDEX(Inputs!$K$5:$AJ$120,0,MATCH(AC$2,Inputs!$K$4:$AJ$4,0)))+SUMPRODUCT((Inputs!$C$5:$C$120=$B66)*Inputs!$D$5:$D$120*(((Inputs!$G$5:$G$120="moeda")+(Inputs!$G$5:$G$120="acoes"))*Inputs!$B$1+((Inputs!$G$5:$G$120&lt;&gt;"moeda")*(Inputs!$G$5:$G$120&lt;&gt;"acoes")))*INDEX(Inputs!$K$5:$AJ$120,0,MATCH(AC$2,Inputs!$K$4:$AJ$4,0)))+SUMPRODUCT((Inputs!$E$5:$E$120=$B66)*Inputs!$F$5:$F$120*(((Inputs!$G$5:$G$120="moeda")+(Inputs!$G$5:$G$120="acoes"))*Inputs!$B$1+((Inputs!$G$5:$G$120&lt;&gt;"moeda")*(Inputs!$G$5:$G$120&lt;&gt;"acoes")))*INDEX(Inputs!$K$5:$AJ$120,0,MATCH(AC$2,Inputs!$K$4:$AJ$4,0)))))</f>
        <v>18453</v>
      </c>
      <c r="AD66" s="263">
        <f>IF(ISNA(MATCH(AD$2,Inputs!$K$4:$AJ$4,0)),NA(),IF(SUMPRODUCT((Inputs!$A$5:$A$120=$B66)*ISNUMBER(INDEX(Inputs!$K$5:$AJ$120,0,MATCH(AD$2,Inputs!$K$4:$AJ$4,0))))+SUMPRODUCT((Inputs!$C$5:$C$120=$B66)*ISNUMBER(INDEX(Inputs!$K$5:$AJ$120,0,MATCH(AD$2,Inputs!$K$4:$AJ$4,0))))+SUMPRODUCT((Inputs!$E$5:$E$120=$B66)*ISNUMBER(INDEX(Inputs!$K$5:$AJ$120,0,MATCH(AD$2,Inputs!$K$4:$AJ$4,0))))=0,NA(),SUMPRODUCT((Inputs!$A$5:$A$120=$B66)*Inputs!$B$5:$B$120*(((Inputs!$G$5:$G$120="moeda")+(Inputs!$G$5:$G$120="acoes"))*Inputs!$B$1+((Inputs!$G$5:$G$120&lt;&gt;"moeda")*(Inputs!$G$5:$G$120&lt;&gt;"acoes")))*INDEX(Inputs!$K$5:$AJ$120,0,MATCH(AD$2,Inputs!$K$4:$AJ$4,0)))+SUMPRODUCT((Inputs!$C$5:$C$120=$B66)*Inputs!$D$5:$D$120*(((Inputs!$G$5:$G$120="moeda")+(Inputs!$G$5:$G$120="acoes"))*Inputs!$B$1+((Inputs!$G$5:$G$120&lt;&gt;"moeda")*(Inputs!$G$5:$G$120&lt;&gt;"acoes")))*INDEX(Inputs!$K$5:$AJ$120,0,MATCH(AD$2,Inputs!$K$4:$AJ$4,0)))+SUMPRODUCT((Inputs!$E$5:$E$120=$B66)*Inputs!$F$5:$F$120*(((Inputs!$G$5:$G$120="moeda")+(Inputs!$G$5:$G$120="acoes"))*Inputs!$B$1+((Inputs!$G$5:$G$120&lt;&gt;"moeda")*(Inputs!$G$5:$G$120&lt;&gt;"acoes")))*INDEX(Inputs!$K$5:$AJ$120,0,MATCH(AD$2,Inputs!$K$4:$AJ$4,0)))))</f>
        <v>21403</v>
      </c>
      <c r="AE66" s="263" t="e">
        <f>IF(ISNA(MATCH(AE$2,Inputs!$K$4:$AJ$4,0)),NA(),IF(SUMPRODUCT((Inputs!$A$5:$A$120=$B66)*ISNUMBER(INDEX(Inputs!$K$5:$AJ$120,0,MATCH(AE$2,Inputs!$K$4:$AJ$4,0))))+SUMPRODUCT((Inputs!$C$5:$C$120=$B66)*ISNUMBER(INDEX(Inputs!$K$5:$AJ$120,0,MATCH(AE$2,Inputs!$K$4:$AJ$4,0))))+SUMPRODUCT((Inputs!$E$5:$E$120=$B66)*ISNUMBER(INDEX(Inputs!$K$5:$AJ$120,0,MATCH(AE$2,Inputs!$K$4:$AJ$4,0))))=0,NA(),SUMPRODUCT((Inputs!$A$5:$A$120=$B66)*Inputs!$B$5:$B$120*(((Inputs!$G$5:$G$120="moeda")+(Inputs!$G$5:$G$120="acoes"))*Inputs!$B$1+((Inputs!$G$5:$G$120&lt;&gt;"moeda")*(Inputs!$G$5:$G$120&lt;&gt;"acoes")))*INDEX(Inputs!$K$5:$AJ$120,0,MATCH(AE$2,Inputs!$K$4:$AJ$4,0)))+SUMPRODUCT((Inputs!$C$5:$C$120=$B66)*Inputs!$D$5:$D$120*(((Inputs!$G$5:$G$120="moeda")+(Inputs!$G$5:$G$120="acoes"))*Inputs!$B$1+((Inputs!$G$5:$G$120&lt;&gt;"moeda")*(Inputs!$G$5:$G$120&lt;&gt;"acoes")))*INDEX(Inputs!$K$5:$AJ$120,0,MATCH(AE$2,Inputs!$K$4:$AJ$4,0)))+SUMPRODUCT((Inputs!$E$5:$E$120=$B66)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6" s="263" t="e">
        <f>IF(ISNA(MATCH(AF$2,Inputs!$K$4:$AJ$4,0)),NA(),IF(SUMPRODUCT((Inputs!$A$5:$A$120=$B66)*ISNUMBER(INDEX(Inputs!$K$5:$AJ$120,0,MATCH(AF$2,Inputs!$K$4:$AJ$4,0))))+SUMPRODUCT((Inputs!$C$5:$C$120=$B66)*ISNUMBER(INDEX(Inputs!$K$5:$AJ$120,0,MATCH(AF$2,Inputs!$K$4:$AJ$4,0))))+SUMPRODUCT((Inputs!$E$5:$E$120=$B66)*ISNUMBER(INDEX(Inputs!$K$5:$AJ$120,0,MATCH(AF$2,Inputs!$K$4:$AJ$4,0))))=0,NA(),SUMPRODUCT((Inputs!$A$5:$A$120=$B66)*Inputs!$B$5:$B$120*(((Inputs!$G$5:$G$120="moeda")+(Inputs!$G$5:$G$120="acoes"))*Inputs!$B$1+((Inputs!$G$5:$G$120&lt;&gt;"moeda")*(Inputs!$G$5:$G$120&lt;&gt;"acoes")))*INDEX(Inputs!$K$5:$AJ$120,0,MATCH(AF$2,Inputs!$K$4:$AJ$4,0)))+SUMPRODUCT((Inputs!$C$5:$C$120=$B66)*Inputs!$D$5:$D$120*(((Inputs!$G$5:$G$120="moeda")+(Inputs!$G$5:$G$120="acoes"))*Inputs!$B$1+((Inputs!$G$5:$G$120&lt;&gt;"moeda")*(Inputs!$G$5:$G$120&lt;&gt;"acoes")))*INDEX(Inputs!$K$5:$AJ$120,0,MATCH(AF$2,Inputs!$K$4:$AJ$4,0)))+SUMPRODUCT((Inputs!$E$5:$E$120=$B66)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6" s="264" t="e">
        <f>SUM(AC66:AF66)</f>
        <v>#N/A</v>
      </c>
      <c r="AH66" s="263">
        <f>IF(ISNA(MATCH(AH$2,Inputs!$K$4:$AJ$4,0)),NA(),IF(SUMPRODUCT((Inputs!$A$5:$A$120=$B66)*ISNUMBER(INDEX(Inputs!$K$5:$AJ$120,0,MATCH(AH$2,Inputs!$K$4:$AJ$4,0))))+SUMPRODUCT((Inputs!$C$5:$C$120=$B66)*ISNUMBER(INDEX(Inputs!$K$5:$AJ$120,0,MATCH(AH$2,Inputs!$K$4:$AJ$4,0))))+SUMPRODUCT((Inputs!$E$5:$E$120=$B66)*ISNUMBER(INDEX(Inputs!$K$5:$AJ$120,0,MATCH(AH$2,Inputs!$K$4:$AJ$4,0))))=0,NA(),SUMPRODUCT((Inputs!$A$5:$A$120=$B66)*Inputs!$B$5:$B$120*(((Inputs!$G$5:$G$120="moeda")+(Inputs!$G$5:$G$120="acoes"))*Inputs!$B$1+((Inputs!$G$5:$G$120&lt;&gt;"moeda")*(Inputs!$G$5:$G$120&lt;&gt;"acoes")))*INDEX(Inputs!$K$5:$AJ$120,0,MATCH(AH$2,Inputs!$K$4:$AJ$4,0)))+SUMPRODUCT((Inputs!$C$5:$C$120=$B66)*Inputs!$D$5:$D$120*(((Inputs!$G$5:$G$120="moeda")+(Inputs!$G$5:$G$120="acoes"))*Inputs!$B$1+((Inputs!$G$5:$G$120&lt;&gt;"moeda")*(Inputs!$G$5:$G$120&lt;&gt;"acoes")))*INDEX(Inputs!$K$5:$AJ$120,0,MATCH(AH$2,Inputs!$K$4:$AJ$4,0)))+SUMPRODUCT((Inputs!$E$5:$E$120=$B66)*Inputs!$F$5:$F$120*(((Inputs!$G$5:$G$120="moeda")+(Inputs!$G$5:$G$120="acoes"))*Inputs!$B$1+((Inputs!$G$5:$G$120&lt;&gt;"moeda")*(Inputs!$G$5:$G$120&lt;&gt;"acoes")))*INDEX(Inputs!$K$5:$AJ$120,0,MATCH(AH$2,Inputs!$K$4:$AJ$4,0)))))</f>
        <v>5403.5</v>
      </c>
      <c r="AI66" s="263">
        <f>IF(ISNA(MATCH(AI$2,Inputs!$K$4:$AJ$4,0)),NA(),IF(SUMPRODUCT((Inputs!$A$5:$A$120=$B66)*ISNUMBER(INDEX(Inputs!$K$5:$AJ$120,0,MATCH(AI$2,Inputs!$K$4:$AJ$4,0))))+SUMPRODUCT((Inputs!$C$5:$C$120=$B66)*ISNUMBER(INDEX(Inputs!$K$5:$AJ$120,0,MATCH(AI$2,Inputs!$K$4:$AJ$4,0))))+SUMPRODUCT((Inputs!$E$5:$E$120=$B66)*ISNUMBER(INDEX(Inputs!$K$5:$AJ$120,0,MATCH(AI$2,Inputs!$K$4:$AJ$4,0))))=0,NA(),SUMPRODUCT((Inputs!$A$5:$A$120=$B66)*Inputs!$B$5:$B$120*(((Inputs!$G$5:$G$120="moeda")+(Inputs!$G$5:$G$120="acoes"))*Inputs!$B$1+((Inputs!$G$5:$G$120&lt;&gt;"moeda")*(Inputs!$G$5:$G$120&lt;&gt;"acoes")))*INDEX(Inputs!$K$5:$AJ$120,0,MATCH(AI$2,Inputs!$K$4:$AJ$4,0)))+SUMPRODUCT((Inputs!$C$5:$C$120=$B66)*Inputs!$D$5:$D$120*(((Inputs!$G$5:$G$120="moeda")+(Inputs!$G$5:$G$120="acoes"))*Inputs!$B$1+((Inputs!$G$5:$G$120&lt;&gt;"moeda")*(Inputs!$G$5:$G$120&lt;&gt;"acoes")))*INDEX(Inputs!$K$5:$AJ$120,0,MATCH(AI$2,Inputs!$K$4:$AJ$4,0)))+SUMPRODUCT((Inputs!$E$5:$E$120=$B66)*Inputs!$F$5:$F$120*(((Inputs!$G$5:$G$120="moeda")+(Inputs!$G$5:$G$120="acoes"))*Inputs!$B$1+((Inputs!$G$5:$G$120&lt;&gt;"moeda")*(Inputs!$G$5:$G$120&lt;&gt;"acoes")))*INDEX(Inputs!$K$5:$AJ$120,0,MATCH(AI$2,Inputs!$K$4:$AJ$4,0)))))</f>
        <v>5077.7</v>
      </c>
      <c r="AJ66" s="263">
        <f>IF(ISNA(MATCH(AJ$2,Inputs!$K$4:$AJ$4,0)),NA(),IF(SUMPRODUCT((Inputs!$A$5:$A$120=$B66)*ISNUMBER(INDEX(Inputs!$K$5:$AJ$120,0,MATCH(AJ$2,Inputs!$K$4:$AJ$4,0))))+SUMPRODUCT((Inputs!$C$5:$C$120=$B66)*ISNUMBER(INDEX(Inputs!$K$5:$AJ$120,0,MATCH(AJ$2,Inputs!$K$4:$AJ$4,0))))+SUMPRODUCT((Inputs!$E$5:$E$120=$B66)*ISNUMBER(INDEX(Inputs!$K$5:$AJ$120,0,MATCH(AJ$2,Inputs!$K$4:$AJ$4,0))))=0,NA(),SUMPRODUCT((Inputs!$A$5:$A$120=$B66)*Inputs!$B$5:$B$120*(((Inputs!$G$5:$G$120="moeda")+(Inputs!$G$5:$G$120="acoes"))*Inputs!$B$1+((Inputs!$G$5:$G$120&lt;&gt;"moeda")*(Inputs!$G$5:$G$120&lt;&gt;"acoes")))*INDEX(Inputs!$K$5:$AJ$120,0,MATCH(AJ$2,Inputs!$K$4:$AJ$4,0)))+SUMPRODUCT((Inputs!$C$5:$C$120=$B66)*Inputs!$D$5:$D$120*(((Inputs!$G$5:$G$120="moeda")+(Inputs!$G$5:$G$120="acoes"))*Inputs!$B$1+((Inputs!$G$5:$G$120&lt;&gt;"moeda")*(Inputs!$G$5:$G$120&lt;&gt;"acoes")))*INDEX(Inputs!$K$5:$AJ$120,0,MATCH(AJ$2,Inputs!$K$4:$AJ$4,0)))+SUMPRODUCT((Inputs!$E$5:$E$120=$B66)*Inputs!$F$5:$F$120*(((Inputs!$G$5:$G$120="moeda")+(Inputs!$G$5:$G$120="acoes"))*Inputs!$B$1+((Inputs!$G$5:$G$120&lt;&gt;"moeda")*(Inputs!$G$5:$G$120&lt;&gt;"acoes")))*INDEX(Inputs!$K$5:$AJ$120,0,MATCH(AJ$2,Inputs!$K$4:$AJ$4,0)))))</f>
        <v>5281.1</v>
      </c>
      <c r="AK66" s="263">
        <f>IF(ISNA(MATCH(AK$2,Inputs!$K$4:$AJ$4,0)),NA(),IF(SUMPRODUCT((Inputs!$A$5:$A$120=$B66)*ISNUMBER(INDEX(Inputs!$K$5:$AJ$120,0,MATCH(AK$2,Inputs!$K$4:$AJ$4,0))))+SUMPRODUCT((Inputs!$C$5:$C$120=$B66)*ISNUMBER(INDEX(Inputs!$K$5:$AJ$120,0,MATCH(AK$2,Inputs!$K$4:$AJ$4,0))))+SUMPRODUCT((Inputs!$E$5:$E$120=$B66)*ISNUMBER(INDEX(Inputs!$K$5:$AJ$120,0,MATCH(AK$2,Inputs!$K$4:$AJ$4,0))))=0,NA(),SUMPRODUCT((Inputs!$A$5:$A$120=$B66)*Inputs!$B$5:$B$120*(((Inputs!$G$5:$G$120="moeda")+(Inputs!$G$5:$G$120="acoes"))*Inputs!$B$1+((Inputs!$G$5:$G$120&lt;&gt;"moeda")*(Inputs!$G$5:$G$120&lt;&gt;"acoes")))*INDEX(Inputs!$K$5:$AJ$120,0,MATCH(AK$2,Inputs!$K$4:$AJ$4,0)))+SUMPRODUCT((Inputs!$C$5:$C$120=$B66)*Inputs!$D$5:$D$120*(((Inputs!$G$5:$G$120="moeda")+(Inputs!$G$5:$G$120="acoes"))*Inputs!$B$1+((Inputs!$G$5:$G$120&lt;&gt;"moeda")*(Inputs!$G$5:$G$120&lt;&gt;"acoes")))*INDEX(Inputs!$K$5:$AJ$120,0,MATCH(AK$2,Inputs!$K$4:$AJ$4,0)))+SUMPRODUCT((Inputs!$E$5:$E$120=$B66)*Inputs!$F$5:$F$120*(((Inputs!$G$5:$G$120="moeda")+(Inputs!$G$5:$G$120="acoes"))*Inputs!$B$1+((Inputs!$G$5:$G$120&lt;&gt;"moeda")*(Inputs!$G$5:$G$120&lt;&gt;"acoes")))*INDEX(Inputs!$K$5:$AJ$120,0,MATCH(AK$2,Inputs!$K$4:$AJ$4,0)))))</f>
        <v>6932.5</v>
      </c>
      <c r="AL66" s="264">
        <f>SUM(AH66:AK66)</f>
        <v>22694.8</v>
      </c>
    </row>
    <row r="67">
      <c r="B67" s="46" t="n">
        <v>59</v>
      </c>
      <c r="C67" s="29" t="inlineStr">
        <is>
          <t>Receita de colaboração e outras (USD)</t>
        </is>
      </c>
      <c r="D67" s="263">
        <f>IF(ISNA(MATCH(D$2,Inputs!$K$4:$AJ$4,0)),NA(),IF(SUMPRODUCT((Inputs!$A$5:$A$120=$B67)*ISNUMBER(INDEX(Inputs!$K$5:$AJ$120,0,MATCH(D$2,Inputs!$K$4:$AJ$4,0))))+SUMPRODUCT((Inputs!$C$5:$C$120=$B67)*ISNUMBER(INDEX(Inputs!$K$5:$AJ$120,0,MATCH(D$2,Inputs!$K$4:$AJ$4,0))))+SUMPRODUCT((Inputs!$E$5:$E$120=$B67)*ISNUMBER(INDEX(Inputs!$K$5:$AJ$120,0,MATCH(D$2,Inputs!$K$4:$AJ$4,0))))=0,NA(),SUMPRODUCT((Inputs!$A$5:$A$120=$B67)*Inputs!$B$5:$B$120*(((Inputs!$G$5:$G$120="moeda")+(Inputs!$G$5:$G$120="acoes"))*Inputs!$B$1+((Inputs!$G$5:$G$120&lt;&gt;"moeda")*(Inputs!$G$5:$G$120&lt;&gt;"acoes")))*INDEX(Inputs!$K$5:$AJ$120,0,MATCH(D$2,Inputs!$K$4:$AJ$4,0)))+SUMPRODUCT((Inputs!$C$5:$C$120=$B67)*Inputs!$D$5:$D$120*(((Inputs!$G$5:$G$120="moeda")+(Inputs!$G$5:$G$120="acoes"))*Inputs!$B$1+((Inputs!$G$5:$G$120&lt;&gt;"moeda")*(Inputs!$G$5:$G$120&lt;&gt;"acoes")))*INDEX(Inputs!$K$5:$AJ$120,0,MATCH(D$2,Inputs!$K$4:$AJ$4,0)))+SUMPRODUCT((Inputs!$E$5:$E$120=$B67)*Inputs!$F$5:$F$120*(((Inputs!$G$5:$G$120="moeda")+(Inputs!$G$5:$G$120="acoes"))*Inputs!$B$1+((Inputs!$G$5:$G$120&lt;&gt;"moeda")*(Inputs!$G$5:$G$120&lt;&gt;"acoes")))*INDEX(Inputs!$K$5:$AJ$120,0,MATCH(D$2,Inputs!$K$4:$AJ$4,0)))))</f>
        <v>485.6</v>
      </c>
      <c r="E67" s="263">
        <f>IF(ISNA(MATCH(E$2,Inputs!$K$4:$AJ$4,0)),NA(),IF(SUMPRODUCT((Inputs!$A$5:$A$120=$B67)*ISNUMBER(INDEX(Inputs!$K$5:$AJ$120,0,MATCH(E$2,Inputs!$K$4:$AJ$4,0))))+SUMPRODUCT((Inputs!$C$5:$C$120=$B67)*ISNUMBER(INDEX(Inputs!$K$5:$AJ$120,0,MATCH(E$2,Inputs!$K$4:$AJ$4,0))))+SUMPRODUCT((Inputs!$E$5:$E$120=$B67)*ISNUMBER(INDEX(Inputs!$K$5:$AJ$120,0,MATCH(E$2,Inputs!$K$4:$AJ$4,0))))=0,NA(),SUMPRODUCT((Inputs!$A$5:$A$120=$B67)*Inputs!$B$5:$B$120*(((Inputs!$G$5:$G$120="moeda")+(Inputs!$G$5:$G$120="acoes"))*Inputs!$B$1+((Inputs!$G$5:$G$120&lt;&gt;"moeda")*(Inputs!$G$5:$G$120&lt;&gt;"acoes")))*INDEX(Inputs!$K$5:$AJ$120,0,MATCH(E$2,Inputs!$K$4:$AJ$4,0)))+SUMPRODUCT((Inputs!$C$5:$C$120=$B67)*Inputs!$D$5:$D$120*(((Inputs!$G$5:$G$120="moeda")+(Inputs!$G$5:$G$120="acoes"))*Inputs!$B$1+((Inputs!$G$5:$G$120&lt;&gt;"moeda")*(Inputs!$G$5:$G$120&lt;&gt;"acoes")))*INDEX(Inputs!$K$5:$AJ$120,0,MATCH(E$2,Inputs!$K$4:$AJ$4,0)))+SUMPRODUCT((Inputs!$E$5:$E$120=$B67)*Inputs!$F$5:$F$120*(((Inputs!$G$5:$G$120="moeda")+(Inputs!$G$5:$G$120="acoes"))*Inputs!$B$1+((Inputs!$G$5:$G$120&lt;&gt;"moeda")*(Inputs!$G$5:$G$120&lt;&gt;"acoes")))*INDEX(Inputs!$K$5:$AJ$120,0,MATCH(E$2,Inputs!$K$4:$AJ$4,0)))))</f>
        <v>669.6</v>
      </c>
      <c r="F67" s="263">
        <f>IF(ISNA(MATCH(F$2,Inputs!$K$4:$AJ$4,0)),NA(),IF(SUMPRODUCT((Inputs!$A$5:$A$120=$B67)*ISNUMBER(INDEX(Inputs!$K$5:$AJ$120,0,MATCH(F$2,Inputs!$K$4:$AJ$4,0))))+SUMPRODUCT((Inputs!$C$5:$C$120=$B67)*ISNUMBER(INDEX(Inputs!$K$5:$AJ$120,0,MATCH(F$2,Inputs!$K$4:$AJ$4,0))))+SUMPRODUCT((Inputs!$E$5:$E$120=$B67)*ISNUMBER(INDEX(Inputs!$K$5:$AJ$120,0,MATCH(F$2,Inputs!$K$4:$AJ$4,0))))=0,NA(),SUMPRODUCT((Inputs!$A$5:$A$120=$B67)*Inputs!$B$5:$B$120*(((Inputs!$G$5:$G$120="moeda")+(Inputs!$G$5:$G$120="acoes"))*Inputs!$B$1+((Inputs!$G$5:$G$120&lt;&gt;"moeda")*(Inputs!$G$5:$G$120&lt;&gt;"acoes")))*INDEX(Inputs!$K$5:$AJ$120,0,MATCH(F$2,Inputs!$K$4:$AJ$4,0)))+SUMPRODUCT((Inputs!$C$5:$C$120=$B67)*Inputs!$D$5:$D$120*(((Inputs!$G$5:$G$120="moeda")+(Inputs!$G$5:$G$120="acoes"))*Inputs!$B$1+((Inputs!$G$5:$G$120&lt;&gt;"moeda")*(Inputs!$G$5:$G$120&lt;&gt;"acoes")))*INDEX(Inputs!$K$5:$AJ$120,0,MATCH(F$2,Inputs!$K$4:$AJ$4,0)))+SUMPRODUCT((Inputs!$E$5:$E$120=$B67)*Inputs!$F$5:$F$120*(((Inputs!$G$5:$G$120="moeda")+(Inputs!$G$5:$G$120="acoes"))*Inputs!$B$1+((Inputs!$G$5:$G$120&lt;&gt;"moeda")*(Inputs!$G$5:$G$120&lt;&gt;"acoes")))*INDEX(Inputs!$K$5:$AJ$120,0,MATCH(F$2,Inputs!$K$4:$AJ$4,0)))))</f>
        <v>583.8</v>
      </c>
      <c r="G67" s="263">
        <f>IF(ISNA(MATCH(G$2,Inputs!$K$4:$AJ$4,0)),NA(),IF(SUMPRODUCT((Inputs!$A$5:$A$120=$B67)*ISNUMBER(INDEX(Inputs!$K$5:$AJ$120,0,MATCH(G$2,Inputs!$K$4:$AJ$4,0))))+SUMPRODUCT((Inputs!$C$5:$C$120=$B67)*ISNUMBER(INDEX(Inputs!$K$5:$AJ$120,0,MATCH(G$2,Inputs!$K$4:$AJ$4,0))))+SUMPRODUCT((Inputs!$E$5:$E$120=$B67)*ISNUMBER(INDEX(Inputs!$K$5:$AJ$120,0,MATCH(G$2,Inputs!$K$4:$AJ$4,0))))=0,NA(),SUMPRODUCT((Inputs!$A$5:$A$120=$B67)*Inputs!$B$5:$B$120*(((Inputs!$G$5:$G$120="moeda")+(Inputs!$G$5:$G$120="acoes"))*Inputs!$B$1+((Inputs!$G$5:$G$120&lt;&gt;"moeda")*(Inputs!$G$5:$G$120&lt;&gt;"acoes")))*INDEX(Inputs!$K$5:$AJ$120,0,MATCH(G$2,Inputs!$K$4:$AJ$4,0)))+SUMPRODUCT((Inputs!$C$5:$C$120=$B67)*Inputs!$D$5:$D$120*(((Inputs!$G$5:$G$120="moeda")+(Inputs!$G$5:$G$120="acoes"))*Inputs!$B$1+((Inputs!$G$5:$G$120&lt;&gt;"moeda")*(Inputs!$G$5:$G$120&lt;&gt;"acoes")))*INDEX(Inputs!$K$5:$AJ$120,0,MATCH(G$2,Inputs!$K$4:$AJ$4,0)))+SUMPRODUCT((Inputs!$E$5:$E$120=$B67)*Inputs!$F$5:$F$120*(((Inputs!$G$5:$G$120="moeda")+(Inputs!$G$5:$G$120="acoes"))*Inputs!$B$1+((Inputs!$G$5:$G$120&lt;&gt;"moeda")*(Inputs!$G$5:$G$120&lt;&gt;"acoes")))*INDEX(Inputs!$K$5:$AJ$120,0,MATCH(G$2,Inputs!$K$4:$AJ$4,0)))))</f>
        <v>621.5</v>
      </c>
      <c r="H67" s="264">
        <f>SUM(D67:G67)</f>
        <v>2360.5</v>
      </c>
      <c r="I67" s="263">
        <f>IF(ISNA(MATCH(I$2,Inputs!$K$4:$AJ$4,0)),NA(),IF(SUMPRODUCT((Inputs!$A$5:$A$120=$B67)*ISNUMBER(INDEX(Inputs!$K$5:$AJ$120,0,MATCH(I$2,Inputs!$K$4:$AJ$4,0))))+SUMPRODUCT((Inputs!$C$5:$C$120=$B67)*ISNUMBER(INDEX(Inputs!$K$5:$AJ$120,0,MATCH(I$2,Inputs!$K$4:$AJ$4,0))))+SUMPRODUCT((Inputs!$E$5:$E$120=$B67)*ISNUMBER(INDEX(Inputs!$K$5:$AJ$120,0,MATCH(I$2,Inputs!$K$4:$AJ$4,0))))=0,NA(),SUMPRODUCT((Inputs!$A$5:$A$120=$B67)*Inputs!$B$5:$B$120*(((Inputs!$G$5:$G$120="moeda")+(Inputs!$G$5:$G$120="acoes"))*Inputs!$B$1+((Inputs!$G$5:$G$120&lt;&gt;"moeda")*(Inputs!$G$5:$G$120&lt;&gt;"acoes")))*INDEX(Inputs!$K$5:$AJ$120,0,MATCH(I$2,Inputs!$K$4:$AJ$4,0)))+SUMPRODUCT((Inputs!$C$5:$C$120=$B67)*Inputs!$D$5:$D$120*(((Inputs!$G$5:$G$120="moeda")+(Inputs!$G$5:$G$120="acoes"))*Inputs!$B$1+((Inputs!$G$5:$G$120&lt;&gt;"moeda")*(Inputs!$G$5:$G$120&lt;&gt;"acoes")))*INDEX(Inputs!$K$5:$AJ$120,0,MATCH(I$2,Inputs!$K$4:$AJ$4,0)))+SUMPRODUCT((Inputs!$E$5:$E$120=$B67)*Inputs!$F$5:$F$120*(((Inputs!$G$5:$G$120="moeda")+(Inputs!$G$5:$G$120="acoes"))*Inputs!$B$1+((Inputs!$G$5:$G$120&lt;&gt;"moeda")*(Inputs!$G$5:$G$120&lt;&gt;"acoes")))*INDEX(Inputs!$K$5:$AJ$120,0,MATCH(I$2,Inputs!$K$4:$AJ$4,0)))))</f>
        <v>677.1</v>
      </c>
      <c r="J67" s="263">
        <f>IF(ISNA(MATCH(J$2,Inputs!$K$4:$AJ$4,0)),NA(),IF(SUMPRODUCT((Inputs!$A$5:$A$120=$B67)*ISNUMBER(INDEX(Inputs!$K$5:$AJ$120,0,MATCH(J$2,Inputs!$K$4:$AJ$4,0))))+SUMPRODUCT((Inputs!$C$5:$C$120=$B67)*ISNUMBER(INDEX(Inputs!$K$5:$AJ$120,0,MATCH(J$2,Inputs!$K$4:$AJ$4,0))))+SUMPRODUCT((Inputs!$E$5:$E$120=$B67)*ISNUMBER(INDEX(Inputs!$K$5:$AJ$120,0,MATCH(J$2,Inputs!$K$4:$AJ$4,0))))=0,NA(),SUMPRODUCT((Inputs!$A$5:$A$120=$B67)*Inputs!$B$5:$B$120*(((Inputs!$G$5:$G$120="moeda")+(Inputs!$G$5:$G$120="acoes"))*Inputs!$B$1+((Inputs!$G$5:$G$120&lt;&gt;"moeda")*(Inputs!$G$5:$G$120&lt;&gt;"acoes")))*INDEX(Inputs!$K$5:$AJ$120,0,MATCH(J$2,Inputs!$K$4:$AJ$4,0)))+SUMPRODUCT((Inputs!$C$5:$C$120=$B67)*Inputs!$D$5:$D$120*(((Inputs!$G$5:$G$120="moeda")+(Inputs!$G$5:$G$120="acoes"))*Inputs!$B$1+((Inputs!$G$5:$G$120&lt;&gt;"moeda")*(Inputs!$G$5:$G$120&lt;&gt;"acoes")))*INDEX(Inputs!$K$5:$AJ$120,0,MATCH(J$2,Inputs!$K$4:$AJ$4,0)))+SUMPRODUCT((Inputs!$E$5:$E$120=$B67)*Inputs!$F$5:$F$120*(((Inputs!$G$5:$G$120="moeda")+(Inputs!$G$5:$G$120="acoes"))*Inputs!$B$1+((Inputs!$G$5:$G$120&lt;&gt;"moeda")*(Inputs!$G$5:$G$120&lt;&gt;"acoes")))*INDEX(Inputs!$K$5:$AJ$120,0,MATCH(J$2,Inputs!$K$4:$AJ$4,0)))))</f>
        <v>617.1</v>
      </c>
      <c r="K67" s="263">
        <f>IF(ISNA(MATCH(K$2,Inputs!$K$4:$AJ$4,0)),NA(),IF(SUMPRODUCT((Inputs!$A$5:$A$120=$B67)*ISNUMBER(INDEX(Inputs!$K$5:$AJ$120,0,MATCH(K$2,Inputs!$K$4:$AJ$4,0))))+SUMPRODUCT((Inputs!$C$5:$C$120=$B67)*ISNUMBER(INDEX(Inputs!$K$5:$AJ$120,0,MATCH(K$2,Inputs!$K$4:$AJ$4,0))))+SUMPRODUCT((Inputs!$E$5:$E$120=$B67)*ISNUMBER(INDEX(Inputs!$K$5:$AJ$120,0,MATCH(K$2,Inputs!$K$4:$AJ$4,0))))=0,NA(),SUMPRODUCT((Inputs!$A$5:$A$120=$B67)*Inputs!$B$5:$B$120*(((Inputs!$G$5:$G$120="moeda")+(Inputs!$G$5:$G$120="acoes"))*Inputs!$B$1+((Inputs!$G$5:$G$120&lt;&gt;"moeda")*(Inputs!$G$5:$G$120&lt;&gt;"acoes")))*INDEX(Inputs!$K$5:$AJ$120,0,MATCH(K$2,Inputs!$K$4:$AJ$4,0)))+SUMPRODUCT((Inputs!$C$5:$C$120=$B67)*Inputs!$D$5:$D$120*(((Inputs!$G$5:$G$120="moeda")+(Inputs!$G$5:$G$120="acoes"))*Inputs!$B$1+((Inputs!$G$5:$G$120&lt;&gt;"moeda")*(Inputs!$G$5:$G$120&lt;&gt;"acoes")))*INDEX(Inputs!$K$5:$AJ$120,0,MATCH(K$2,Inputs!$K$4:$AJ$4,0)))+SUMPRODUCT((Inputs!$E$5:$E$120=$B67)*Inputs!$F$5:$F$120*(((Inputs!$G$5:$G$120="moeda")+(Inputs!$G$5:$G$120="acoes"))*Inputs!$B$1+((Inputs!$G$5:$G$120&lt;&gt;"moeda")*(Inputs!$G$5:$G$120&lt;&gt;"acoes")))*INDEX(Inputs!$K$5:$AJ$120,0,MATCH(K$2,Inputs!$K$4:$AJ$4,0)))))</f>
        <v>822.4</v>
      </c>
      <c r="L67" s="263">
        <f>IF(ISNA(MATCH(L$2,Inputs!$K$4:$AJ$4,0)),NA(),IF(SUMPRODUCT((Inputs!$A$5:$A$120=$B67)*ISNUMBER(INDEX(Inputs!$K$5:$AJ$120,0,MATCH(L$2,Inputs!$K$4:$AJ$4,0))))+SUMPRODUCT((Inputs!$C$5:$C$120=$B67)*ISNUMBER(INDEX(Inputs!$K$5:$AJ$120,0,MATCH(L$2,Inputs!$K$4:$AJ$4,0))))+SUMPRODUCT((Inputs!$E$5:$E$120=$B67)*ISNUMBER(INDEX(Inputs!$K$5:$AJ$120,0,MATCH(L$2,Inputs!$K$4:$AJ$4,0))))=0,NA(),SUMPRODUCT((Inputs!$A$5:$A$120=$B67)*Inputs!$B$5:$B$120*(((Inputs!$G$5:$G$120="moeda")+(Inputs!$G$5:$G$120="acoes"))*Inputs!$B$1+((Inputs!$G$5:$G$120&lt;&gt;"moeda")*(Inputs!$G$5:$G$120&lt;&gt;"acoes")))*INDEX(Inputs!$K$5:$AJ$120,0,MATCH(L$2,Inputs!$K$4:$AJ$4,0)))+SUMPRODUCT((Inputs!$C$5:$C$120=$B67)*Inputs!$D$5:$D$120*(((Inputs!$G$5:$G$120="moeda")+(Inputs!$G$5:$G$120="acoes"))*Inputs!$B$1+((Inputs!$G$5:$G$120&lt;&gt;"moeda")*(Inputs!$G$5:$G$120&lt;&gt;"acoes")))*INDEX(Inputs!$K$5:$AJ$120,0,MATCH(L$2,Inputs!$K$4:$AJ$4,0)))+SUMPRODUCT((Inputs!$E$5:$E$120=$B67)*Inputs!$F$5:$F$120*(((Inputs!$G$5:$G$120="moeda")+(Inputs!$G$5:$G$120="acoes"))*Inputs!$B$1+((Inputs!$G$5:$G$120&lt;&gt;"moeda")*(Inputs!$G$5:$G$120&lt;&gt;"acoes")))*INDEX(Inputs!$K$5:$AJ$120,0,MATCH(L$2,Inputs!$K$4:$AJ$4,0)))))</f>
        <v>962</v>
      </c>
      <c r="M67" s="264">
        <f>SUM(I67:L67)</f>
        <v>3078.6</v>
      </c>
      <c r="N67" s="263">
        <f>IF(ISNA(MATCH(N$2,Inputs!$K$4:$AJ$4,0)),NA(),IF(SUMPRODUCT((Inputs!$A$5:$A$120=$B67)*ISNUMBER(INDEX(Inputs!$K$5:$AJ$120,0,MATCH(N$2,Inputs!$K$4:$AJ$4,0))))+SUMPRODUCT((Inputs!$C$5:$C$120=$B67)*ISNUMBER(INDEX(Inputs!$K$5:$AJ$120,0,MATCH(N$2,Inputs!$K$4:$AJ$4,0))))+SUMPRODUCT((Inputs!$E$5:$E$120=$B67)*ISNUMBER(INDEX(Inputs!$K$5:$AJ$120,0,MATCH(N$2,Inputs!$K$4:$AJ$4,0))))=0,NA(),SUMPRODUCT((Inputs!$A$5:$A$120=$B67)*Inputs!$B$5:$B$120*(((Inputs!$G$5:$G$120="moeda")+(Inputs!$G$5:$G$120="acoes"))*Inputs!$B$1+((Inputs!$G$5:$G$120&lt;&gt;"moeda")*(Inputs!$G$5:$G$120&lt;&gt;"acoes")))*INDEX(Inputs!$K$5:$AJ$120,0,MATCH(N$2,Inputs!$K$4:$AJ$4,0)))+SUMPRODUCT((Inputs!$C$5:$C$120=$B67)*Inputs!$D$5:$D$120*(((Inputs!$G$5:$G$120="moeda")+(Inputs!$G$5:$G$120="acoes"))*Inputs!$B$1+((Inputs!$G$5:$G$120&lt;&gt;"moeda")*(Inputs!$G$5:$G$120&lt;&gt;"acoes")))*INDEX(Inputs!$K$5:$AJ$120,0,MATCH(N$2,Inputs!$K$4:$AJ$4,0)))+SUMPRODUCT((Inputs!$E$5:$E$120=$B67)*Inputs!$F$5:$F$120*(((Inputs!$G$5:$G$120="moeda")+(Inputs!$G$5:$G$120="acoes"))*Inputs!$B$1+((Inputs!$G$5:$G$120&lt;&gt;"moeda")*(Inputs!$G$5:$G$120&lt;&gt;"acoes")))*INDEX(Inputs!$K$5:$AJ$120,0,MATCH(N$2,Inputs!$K$4:$AJ$4,0)))))</f>
        <v>721.8</v>
      </c>
      <c r="O67" s="263">
        <f>IF(ISNA(MATCH(O$2,Inputs!$K$4:$AJ$4,0)),NA(),IF(SUMPRODUCT((Inputs!$A$5:$A$120=$B67)*ISNUMBER(INDEX(Inputs!$K$5:$AJ$120,0,MATCH(O$2,Inputs!$K$4:$AJ$4,0))))+SUMPRODUCT((Inputs!$C$5:$C$120=$B67)*ISNUMBER(INDEX(Inputs!$K$5:$AJ$120,0,MATCH(O$2,Inputs!$K$4:$AJ$4,0))))+SUMPRODUCT((Inputs!$E$5:$E$120=$B67)*ISNUMBER(INDEX(Inputs!$K$5:$AJ$120,0,MATCH(O$2,Inputs!$K$4:$AJ$4,0))))=0,NA(),SUMPRODUCT((Inputs!$A$5:$A$120=$B67)*Inputs!$B$5:$B$120*(((Inputs!$G$5:$G$120="moeda")+(Inputs!$G$5:$G$120="acoes"))*Inputs!$B$1+((Inputs!$G$5:$G$120&lt;&gt;"moeda")*(Inputs!$G$5:$G$120&lt;&gt;"acoes")))*INDEX(Inputs!$K$5:$AJ$120,0,MATCH(O$2,Inputs!$K$4:$AJ$4,0)))+SUMPRODUCT((Inputs!$C$5:$C$120=$B67)*Inputs!$D$5:$D$120*(((Inputs!$G$5:$G$120="moeda")+(Inputs!$G$5:$G$120="acoes"))*Inputs!$B$1+((Inputs!$G$5:$G$120&lt;&gt;"moeda")*(Inputs!$G$5:$G$120&lt;&gt;"acoes")))*INDEX(Inputs!$K$5:$AJ$120,0,MATCH(O$2,Inputs!$K$4:$AJ$4,0)))+SUMPRODUCT((Inputs!$E$5:$E$120=$B67)*Inputs!$F$5:$F$120*(((Inputs!$G$5:$G$120="moeda")+(Inputs!$G$5:$G$120="acoes"))*Inputs!$B$1+((Inputs!$G$5:$G$120&lt;&gt;"moeda")*(Inputs!$G$5:$G$120&lt;&gt;"acoes")))*INDEX(Inputs!$K$5:$AJ$120,0,MATCH(O$2,Inputs!$K$4:$AJ$4,0)))))</f>
        <v>1332.3</v>
      </c>
      <c r="P67" s="263">
        <f>IF(ISNA(MATCH(P$2,Inputs!$K$4:$AJ$4,0)),NA(),IF(SUMPRODUCT((Inputs!$A$5:$A$120=$B67)*ISNUMBER(INDEX(Inputs!$K$5:$AJ$120,0,MATCH(P$2,Inputs!$K$4:$AJ$4,0))))+SUMPRODUCT((Inputs!$C$5:$C$120=$B67)*ISNUMBER(INDEX(Inputs!$K$5:$AJ$120,0,MATCH(P$2,Inputs!$K$4:$AJ$4,0))))+SUMPRODUCT((Inputs!$E$5:$E$120=$B67)*ISNUMBER(INDEX(Inputs!$K$5:$AJ$120,0,MATCH(P$2,Inputs!$K$4:$AJ$4,0))))=0,NA(),SUMPRODUCT((Inputs!$A$5:$A$120=$B67)*Inputs!$B$5:$B$120*(((Inputs!$G$5:$G$120="moeda")+(Inputs!$G$5:$G$120="acoes"))*Inputs!$B$1+((Inputs!$G$5:$G$120&lt;&gt;"moeda")*(Inputs!$G$5:$G$120&lt;&gt;"acoes")))*INDEX(Inputs!$K$5:$AJ$120,0,MATCH(P$2,Inputs!$K$4:$AJ$4,0)))+SUMPRODUCT((Inputs!$C$5:$C$120=$B67)*Inputs!$D$5:$D$120*(((Inputs!$G$5:$G$120="moeda")+(Inputs!$G$5:$G$120="acoes"))*Inputs!$B$1+((Inputs!$G$5:$G$120&lt;&gt;"moeda")*(Inputs!$G$5:$G$120&lt;&gt;"acoes")))*INDEX(Inputs!$K$5:$AJ$120,0,MATCH(P$2,Inputs!$K$4:$AJ$4,0)))+SUMPRODUCT((Inputs!$E$5:$E$120=$B67)*Inputs!$F$5:$F$120*(((Inputs!$G$5:$G$120="moeda")+(Inputs!$G$5:$G$120="acoes"))*Inputs!$B$1+((Inputs!$G$5:$G$120&lt;&gt;"moeda")*(Inputs!$G$5:$G$120&lt;&gt;"acoes")))*INDEX(Inputs!$K$5:$AJ$120,0,MATCH(P$2,Inputs!$K$4:$AJ$4,0)))))</f>
        <v>2192.4</v>
      </c>
      <c r="Q67" s="263">
        <f>IF(ISNA(MATCH(Q$2,Inputs!$K$4:$AJ$4,0)),NA(),IF(SUMPRODUCT((Inputs!$A$5:$A$120=$B67)*ISNUMBER(INDEX(Inputs!$K$5:$AJ$120,0,MATCH(Q$2,Inputs!$K$4:$AJ$4,0))))+SUMPRODUCT((Inputs!$C$5:$C$120=$B67)*ISNUMBER(INDEX(Inputs!$K$5:$AJ$120,0,MATCH(Q$2,Inputs!$K$4:$AJ$4,0))))+SUMPRODUCT((Inputs!$E$5:$E$120=$B67)*ISNUMBER(INDEX(Inputs!$K$5:$AJ$120,0,MATCH(Q$2,Inputs!$K$4:$AJ$4,0))))=0,NA(),SUMPRODUCT((Inputs!$A$5:$A$120=$B67)*Inputs!$B$5:$B$120*(((Inputs!$G$5:$G$120="moeda")+(Inputs!$G$5:$G$120="acoes"))*Inputs!$B$1+((Inputs!$G$5:$G$120&lt;&gt;"moeda")*(Inputs!$G$5:$G$120&lt;&gt;"acoes")))*INDEX(Inputs!$K$5:$AJ$120,0,MATCH(Q$2,Inputs!$K$4:$AJ$4,0)))+SUMPRODUCT((Inputs!$C$5:$C$120=$B67)*Inputs!$D$5:$D$120*(((Inputs!$G$5:$G$120="moeda")+(Inputs!$G$5:$G$120="acoes"))*Inputs!$B$1+((Inputs!$G$5:$G$120&lt;&gt;"moeda")*(Inputs!$G$5:$G$120&lt;&gt;"acoes")))*INDEX(Inputs!$K$5:$AJ$120,0,MATCH(Q$2,Inputs!$K$4:$AJ$4,0)))+SUMPRODUCT((Inputs!$E$5:$E$120=$B67)*Inputs!$F$5:$F$120*(((Inputs!$G$5:$G$120="moeda")+(Inputs!$G$5:$G$120="acoes"))*Inputs!$B$1+((Inputs!$G$5:$G$120&lt;&gt;"moeda")*(Inputs!$G$5:$G$120&lt;&gt;"acoes")))*INDEX(Inputs!$K$5:$AJ$120,0,MATCH(Q$2,Inputs!$K$4:$AJ$4,0)))))</f>
        <v>1063.7</v>
      </c>
      <c r="R67" s="264">
        <f>SUM(N67:Q67)</f>
        <v>5310.2</v>
      </c>
      <c r="S67" s="263">
        <f>IF(ISNA(MATCH(S$2,Inputs!$K$4:$AJ$4,0)),NA(),IF(SUMPRODUCT((Inputs!$A$5:$A$120=$B67)*ISNUMBER(INDEX(Inputs!$K$5:$AJ$120,0,MATCH(S$2,Inputs!$K$4:$AJ$4,0))))+SUMPRODUCT((Inputs!$C$5:$C$120=$B67)*ISNUMBER(INDEX(Inputs!$K$5:$AJ$120,0,MATCH(S$2,Inputs!$K$4:$AJ$4,0))))+SUMPRODUCT((Inputs!$E$5:$E$120=$B67)*ISNUMBER(INDEX(Inputs!$K$5:$AJ$120,0,MATCH(S$2,Inputs!$K$4:$AJ$4,0))))=0,NA(),SUMPRODUCT((Inputs!$A$5:$A$120=$B67)*Inputs!$B$5:$B$120*(((Inputs!$G$5:$G$120="moeda")+(Inputs!$G$5:$G$120="acoes"))*Inputs!$B$1+((Inputs!$G$5:$G$120&lt;&gt;"moeda")*(Inputs!$G$5:$G$120&lt;&gt;"acoes")))*INDEX(Inputs!$K$5:$AJ$120,0,MATCH(S$2,Inputs!$K$4:$AJ$4,0)))+SUMPRODUCT((Inputs!$C$5:$C$120=$B67)*Inputs!$D$5:$D$120*(((Inputs!$G$5:$G$120="moeda")+(Inputs!$G$5:$G$120="acoes"))*Inputs!$B$1+((Inputs!$G$5:$G$120&lt;&gt;"moeda")*(Inputs!$G$5:$G$120&lt;&gt;"acoes")))*INDEX(Inputs!$K$5:$AJ$120,0,MATCH(S$2,Inputs!$K$4:$AJ$4,0)))+SUMPRODUCT((Inputs!$E$5:$E$120=$B67)*Inputs!$F$5:$F$120*(((Inputs!$G$5:$G$120="moeda")+(Inputs!$G$5:$G$120="acoes"))*Inputs!$B$1+((Inputs!$G$5:$G$120&lt;&gt;"moeda")*(Inputs!$G$5:$G$120&lt;&gt;"acoes")))*INDEX(Inputs!$K$5:$AJ$120,0,MATCH(S$2,Inputs!$K$4:$AJ$4,0)))))</f>
        <v>971.5</v>
      </c>
      <c r="T67" s="263">
        <f>IF(ISNA(MATCH(T$2,Inputs!$K$4:$AJ$4,0)),NA(),IF(SUMPRODUCT((Inputs!$A$5:$A$120=$B67)*ISNUMBER(INDEX(Inputs!$K$5:$AJ$120,0,MATCH(T$2,Inputs!$K$4:$AJ$4,0))))+SUMPRODUCT((Inputs!$C$5:$C$120=$B67)*ISNUMBER(INDEX(Inputs!$K$5:$AJ$120,0,MATCH(T$2,Inputs!$K$4:$AJ$4,0))))+SUMPRODUCT((Inputs!$E$5:$E$120=$B67)*ISNUMBER(INDEX(Inputs!$K$5:$AJ$120,0,MATCH(T$2,Inputs!$K$4:$AJ$4,0))))=0,NA(),SUMPRODUCT((Inputs!$A$5:$A$120=$B67)*Inputs!$B$5:$B$120*(((Inputs!$G$5:$G$120="moeda")+(Inputs!$G$5:$G$120="acoes"))*Inputs!$B$1+((Inputs!$G$5:$G$120&lt;&gt;"moeda")*(Inputs!$G$5:$G$120&lt;&gt;"acoes")))*INDEX(Inputs!$K$5:$AJ$120,0,MATCH(T$2,Inputs!$K$4:$AJ$4,0)))+SUMPRODUCT((Inputs!$C$5:$C$120=$B67)*Inputs!$D$5:$D$120*(((Inputs!$G$5:$G$120="moeda")+(Inputs!$G$5:$G$120="acoes"))*Inputs!$B$1+((Inputs!$G$5:$G$120&lt;&gt;"moeda")*(Inputs!$G$5:$G$120&lt;&gt;"acoes")))*INDEX(Inputs!$K$5:$AJ$120,0,MATCH(T$2,Inputs!$K$4:$AJ$4,0)))+SUMPRODUCT((Inputs!$E$5:$E$120=$B67)*Inputs!$F$5:$F$120*(((Inputs!$G$5:$G$120="moeda")+(Inputs!$G$5:$G$120="acoes"))*Inputs!$B$1+((Inputs!$G$5:$G$120&lt;&gt;"moeda")*(Inputs!$G$5:$G$120&lt;&gt;"acoes")))*INDEX(Inputs!$K$5:$AJ$120,0,MATCH(T$2,Inputs!$K$4:$AJ$4,0)))))</f>
        <v>947.9</v>
      </c>
      <c r="U67" s="263">
        <f>IF(ISNA(MATCH(U$2,Inputs!$K$4:$AJ$4,0)),NA(),IF(SUMPRODUCT((Inputs!$A$5:$A$120=$B67)*ISNUMBER(INDEX(Inputs!$K$5:$AJ$120,0,MATCH(U$2,Inputs!$K$4:$AJ$4,0))))+SUMPRODUCT((Inputs!$C$5:$C$120=$B67)*ISNUMBER(INDEX(Inputs!$K$5:$AJ$120,0,MATCH(U$2,Inputs!$K$4:$AJ$4,0))))+SUMPRODUCT((Inputs!$E$5:$E$120=$B67)*ISNUMBER(INDEX(Inputs!$K$5:$AJ$120,0,MATCH(U$2,Inputs!$K$4:$AJ$4,0))))=0,NA(),SUMPRODUCT((Inputs!$A$5:$A$120=$B67)*Inputs!$B$5:$B$120*(((Inputs!$G$5:$G$120="moeda")+(Inputs!$G$5:$G$120="acoes"))*Inputs!$B$1+((Inputs!$G$5:$G$120&lt;&gt;"moeda")*(Inputs!$G$5:$G$120&lt;&gt;"acoes")))*INDEX(Inputs!$K$5:$AJ$120,0,MATCH(U$2,Inputs!$K$4:$AJ$4,0)))+SUMPRODUCT((Inputs!$C$5:$C$120=$B67)*Inputs!$D$5:$D$120*(((Inputs!$G$5:$G$120="moeda")+(Inputs!$G$5:$G$120="acoes"))*Inputs!$B$1+((Inputs!$G$5:$G$120&lt;&gt;"moeda")*(Inputs!$G$5:$G$120&lt;&gt;"acoes")))*INDEX(Inputs!$K$5:$AJ$120,0,MATCH(U$2,Inputs!$K$4:$AJ$4,0)))+SUMPRODUCT((Inputs!$E$5:$E$120=$B67)*Inputs!$F$5:$F$120*(((Inputs!$G$5:$G$120="moeda")+(Inputs!$G$5:$G$120="acoes"))*Inputs!$B$1+((Inputs!$G$5:$G$120&lt;&gt;"moeda")*(Inputs!$G$5:$G$120&lt;&gt;"acoes")))*INDEX(Inputs!$K$5:$AJ$120,0,MATCH(U$2,Inputs!$K$4:$AJ$4,0)))))</f>
        <v>867.5</v>
      </c>
      <c r="V67" s="263">
        <f>IF(ISNA(MATCH(V$2,Inputs!$K$4:$AJ$4,0)),NA(),IF(SUMPRODUCT((Inputs!$A$5:$A$120=$B67)*ISNUMBER(INDEX(Inputs!$K$5:$AJ$120,0,MATCH(V$2,Inputs!$K$4:$AJ$4,0))))+SUMPRODUCT((Inputs!$C$5:$C$120=$B67)*ISNUMBER(INDEX(Inputs!$K$5:$AJ$120,0,MATCH(V$2,Inputs!$K$4:$AJ$4,0))))+SUMPRODUCT((Inputs!$E$5:$E$120=$B67)*ISNUMBER(INDEX(Inputs!$K$5:$AJ$120,0,MATCH(V$2,Inputs!$K$4:$AJ$4,0))))=0,NA(),SUMPRODUCT((Inputs!$A$5:$A$120=$B67)*Inputs!$B$5:$B$120*(((Inputs!$G$5:$G$120="moeda")+(Inputs!$G$5:$G$120="acoes"))*Inputs!$B$1+((Inputs!$G$5:$G$120&lt;&gt;"moeda")*(Inputs!$G$5:$G$120&lt;&gt;"acoes")))*INDEX(Inputs!$K$5:$AJ$120,0,MATCH(V$2,Inputs!$K$4:$AJ$4,0)))+SUMPRODUCT((Inputs!$C$5:$C$120=$B67)*Inputs!$D$5:$D$120*(((Inputs!$G$5:$G$120="moeda")+(Inputs!$G$5:$G$120="acoes"))*Inputs!$B$1+((Inputs!$G$5:$G$120&lt;&gt;"moeda")*(Inputs!$G$5:$G$120&lt;&gt;"acoes")))*INDEX(Inputs!$K$5:$AJ$120,0,MATCH(V$2,Inputs!$K$4:$AJ$4,0)))+SUMPRODUCT((Inputs!$E$5:$E$120=$B67)*Inputs!$F$5:$F$120*(((Inputs!$G$5:$G$120="moeda")+(Inputs!$G$5:$G$120="acoes"))*Inputs!$B$1+((Inputs!$G$5:$G$120&lt;&gt;"moeda")*(Inputs!$G$5:$G$120&lt;&gt;"acoes")))*INDEX(Inputs!$K$5:$AJ$120,0,MATCH(V$2,Inputs!$K$4:$AJ$4,0)))))</f>
        <v>1507.9</v>
      </c>
      <c r="W67" s="264">
        <f>SUM(S67:V67)</f>
        <v>4294.8</v>
      </c>
      <c r="X67" s="263">
        <f>IF(ISNA(MATCH(X$2,Inputs!$K$4:$AJ$4,0)),NA(),IF(SUMPRODUCT((Inputs!$A$5:$A$120=$B67)*ISNUMBER(INDEX(Inputs!$K$5:$AJ$120,0,MATCH(X$2,Inputs!$K$4:$AJ$4,0))))+SUMPRODUCT((Inputs!$C$5:$C$120=$B67)*ISNUMBER(INDEX(Inputs!$K$5:$AJ$120,0,MATCH(X$2,Inputs!$K$4:$AJ$4,0))))+SUMPRODUCT((Inputs!$E$5:$E$120=$B67)*ISNUMBER(INDEX(Inputs!$K$5:$AJ$120,0,MATCH(X$2,Inputs!$K$4:$AJ$4,0))))=0,NA(),SUMPRODUCT((Inputs!$A$5:$A$120=$B67)*Inputs!$B$5:$B$120*(((Inputs!$G$5:$G$120="moeda")+(Inputs!$G$5:$G$120="acoes"))*Inputs!$B$1+((Inputs!$G$5:$G$120&lt;&gt;"moeda")*(Inputs!$G$5:$G$120&lt;&gt;"acoes")))*INDEX(Inputs!$K$5:$AJ$120,0,MATCH(X$2,Inputs!$K$4:$AJ$4,0)))+SUMPRODUCT((Inputs!$C$5:$C$120=$B67)*Inputs!$D$5:$D$120*(((Inputs!$G$5:$G$120="moeda")+(Inputs!$G$5:$G$120="acoes"))*Inputs!$B$1+((Inputs!$G$5:$G$120&lt;&gt;"moeda")*(Inputs!$G$5:$G$120&lt;&gt;"acoes")))*INDEX(Inputs!$K$5:$AJ$120,0,MATCH(X$2,Inputs!$K$4:$AJ$4,0)))+SUMPRODUCT((Inputs!$E$5:$E$120=$B67)*Inputs!$F$5:$F$120*(((Inputs!$G$5:$G$120="moeda")+(Inputs!$G$5:$G$120="acoes"))*Inputs!$B$1+((Inputs!$G$5:$G$120&lt;&gt;"moeda")*(Inputs!$G$5:$G$120&lt;&gt;"acoes")))*INDEX(Inputs!$K$5:$AJ$120,0,MATCH(X$2,Inputs!$K$4:$AJ$4,0)))))</f>
        <v>1127</v>
      </c>
      <c r="Y67" s="263">
        <f>IF(ISNA(MATCH(Y$2,Inputs!$K$4:$AJ$4,0)),NA(),IF(SUMPRODUCT((Inputs!$A$5:$A$120=$B67)*ISNUMBER(INDEX(Inputs!$K$5:$AJ$120,0,MATCH(Y$2,Inputs!$K$4:$AJ$4,0))))+SUMPRODUCT((Inputs!$C$5:$C$120=$B67)*ISNUMBER(INDEX(Inputs!$K$5:$AJ$120,0,MATCH(Y$2,Inputs!$K$4:$AJ$4,0))))+SUMPRODUCT((Inputs!$E$5:$E$120=$B67)*ISNUMBER(INDEX(Inputs!$K$5:$AJ$120,0,MATCH(Y$2,Inputs!$K$4:$AJ$4,0))))=0,NA(),SUMPRODUCT((Inputs!$A$5:$A$120=$B67)*Inputs!$B$5:$B$120*(((Inputs!$G$5:$G$120="moeda")+(Inputs!$G$5:$G$120="acoes"))*Inputs!$B$1+((Inputs!$G$5:$G$120&lt;&gt;"moeda")*(Inputs!$G$5:$G$120&lt;&gt;"acoes")))*INDEX(Inputs!$K$5:$AJ$120,0,MATCH(Y$2,Inputs!$K$4:$AJ$4,0)))+SUMPRODUCT((Inputs!$C$5:$C$120=$B67)*Inputs!$D$5:$D$120*(((Inputs!$G$5:$G$120="moeda")+(Inputs!$G$5:$G$120="acoes"))*Inputs!$B$1+((Inputs!$G$5:$G$120&lt;&gt;"moeda")*(Inputs!$G$5:$G$120&lt;&gt;"acoes")))*INDEX(Inputs!$K$5:$AJ$120,0,MATCH(Y$2,Inputs!$K$4:$AJ$4,0)))+SUMPRODUCT((Inputs!$E$5:$E$120=$B67)*Inputs!$F$5:$F$120*(((Inputs!$G$5:$G$120="moeda")+(Inputs!$G$5:$G$120="acoes"))*Inputs!$B$1+((Inputs!$G$5:$G$120&lt;&gt;"moeda")*(Inputs!$G$5:$G$120&lt;&gt;"acoes")))*INDEX(Inputs!$K$5:$AJ$120,0,MATCH(Y$2,Inputs!$K$4:$AJ$4,0)))))</f>
        <v>832</v>
      </c>
      <c r="Z67" s="263">
        <f>IF(ISNA(MATCH(Z$2,Inputs!$K$4:$AJ$4,0)),NA(),IF(SUMPRODUCT((Inputs!$A$5:$A$120=$B67)*ISNUMBER(INDEX(Inputs!$K$5:$AJ$120,0,MATCH(Z$2,Inputs!$K$4:$AJ$4,0))))+SUMPRODUCT((Inputs!$C$5:$C$120=$B67)*ISNUMBER(INDEX(Inputs!$K$5:$AJ$120,0,MATCH(Z$2,Inputs!$K$4:$AJ$4,0))))+SUMPRODUCT((Inputs!$E$5:$E$120=$B67)*ISNUMBER(INDEX(Inputs!$K$5:$AJ$120,0,MATCH(Z$2,Inputs!$K$4:$AJ$4,0))))=0,NA(),SUMPRODUCT((Inputs!$A$5:$A$120=$B67)*Inputs!$B$5:$B$120*(((Inputs!$G$5:$G$120="moeda")+(Inputs!$G$5:$G$120="acoes"))*Inputs!$B$1+((Inputs!$G$5:$G$120&lt;&gt;"moeda")*(Inputs!$G$5:$G$120&lt;&gt;"acoes")))*INDEX(Inputs!$K$5:$AJ$120,0,MATCH(Z$2,Inputs!$K$4:$AJ$4,0)))+SUMPRODUCT((Inputs!$C$5:$C$120=$B67)*Inputs!$D$5:$D$120*(((Inputs!$G$5:$G$120="moeda")+(Inputs!$G$5:$G$120="acoes"))*Inputs!$B$1+((Inputs!$G$5:$G$120&lt;&gt;"moeda")*(Inputs!$G$5:$G$120&lt;&gt;"acoes")))*INDEX(Inputs!$K$5:$AJ$120,0,MATCH(Z$2,Inputs!$K$4:$AJ$4,0)))+SUMPRODUCT((Inputs!$E$5:$E$120=$B67)*Inputs!$F$5:$F$120*(((Inputs!$G$5:$G$120="moeda")+(Inputs!$G$5:$G$120="acoes"))*Inputs!$B$1+((Inputs!$G$5:$G$120&lt;&gt;"moeda")*(Inputs!$G$5:$G$120&lt;&gt;"acoes")))*INDEX(Inputs!$K$5:$AJ$120,0,MATCH(Z$2,Inputs!$K$4:$AJ$4,0)))))</f>
        <v>1270.3</v>
      </c>
      <c r="AA67" s="263">
        <f>IF(ISNA(MATCH(AA$2,Inputs!$K$4:$AJ$4,0)),NA(),IF(SUMPRODUCT((Inputs!$A$5:$A$120=$B67)*ISNUMBER(INDEX(Inputs!$K$5:$AJ$120,0,MATCH(AA$2,Inputs!$K$4:$AJ$4,0))))+SUMPRODUCT((Inputs!$C$5:$C$120=$B67)*ISNUMBER(INDEX(Inputs!$K$5:$AJ$120,0,MATCH(AA$2,Inputs!$K$4:$AJ$4,0))))+SUMPRODUCT((Inputs!$E$5:$E$120=$B67)*ISNUMBER(INDEX(Inputs!$K$5:$AJ$120,0,MATCH(AA$2,Inputs!$K$4:$AJ$4,0))))=0,NA(),SUMPRODUCT((Inputs!$A$5:$A$120=$B67)*Inputs!$B$5:$B$120*(((Inputs!$G$5:$G$120="moeda")+(Inputs!$G$5:$G$120="acoes"))*Inputs!$B$1+((Inputs!$G$5:$G$120&lt;&gt;"moeda")*(Inputs!$G$5:$G$120&lt;&gt;"acoes")))*INDEX(Inputs!$K$5:$AJ$120,0,MATCH(AA$2,Inputs!$K$4:$AJ$4,0)))+SUMPRODUCT((Inputs!$C$5:$C$120=$B67)*Inputs!$D$5:$D$120*(((Inputs!$G$5:$G$120="moeda")+(Inputs!$G$5:$G$120="acoes"))*Inputs!$B$1+((Inputs!$G$5:$G$120&lt;&gt;"moeda")*(Inputs!$G$5:$G$120&lt;&gt;"acoes")))*INDEX(Inputs!$K$5:$AJ$120,0,MATCH(AA$2,Inputs!$K$4:$AJ$4,0)))+SUMPRODUCT((Inputs!$E$5:$E$120=$B67)*Inputs!$F$5:$F$120*(((Inputs!$G$5:$G$120="moeda")+(Inputs!$G$5:$G$120="acoes"))*Inputs!$B$1+((Inputs!$G$5:$G$120&lt;&gt;"moeda")*(Inputs!$G$5:$G$120&lt;&gt;"acoes")))*INDEX(Inputs!$K$5:$AJ$120,0,MATCH(AA$2,Inputs!$K$4:$AJ$4,0)))))</f>
        <v>991.7</v>
      </c>
      <c r="AB67" s="264">
        <f>SUM(X67:AA67)</f>
        <v>4221</v>
      </c>
      <c r="AC67" s="263">
        <f>IF(ISNA(MATCH(AC$2,Inputs!$K$4:$AJ$4,0)),NA(),IF(SUMPRODUCT((Inputs!$A$5:$A$120=$B67)*ISNUMBER(INDEX(Inputs!$K$5:$AJ$120,0,MATCH(AC$2,Inputs!$K$4:$AJ$4,0))))+SUMPRODUCT((Inputs!$C$5:$C$120=$B67)*ISNUMBER(INDEX(Inputs!$K$5:$AJ$120,0,MATCH(AC$2,Inputs!$K$4:$AJ$4,0))))+SUMPRODUCT((Inputs!$E$5:$E$120=$B67)*ISNUMBER(INDEX(Inputs!$K$5:$AJ$120,0,MATCH(AC$2,Inputs!$K$4:$AJ$4,0))))=0,NA(),SUMPRODUCT((Inputs!$A$5:$A$120=$B67)*Inputs!$B$5:$B$120*(((Inputs!$G$5:$G$120="moeda")+(Inputs!$G$5:$G$120="acoes"))*Inputs!$B$1+((Inputs!$G$5:$G$120&lt;&gt;"moeda")*(Inputs!$G$5:$G$120&lt;&gt;"acoes")))*INDEX(Inputs!$K$5:$AJ$120,0,MATCH(AC$2,Inputs!$K$4:$AJ$4,0)))+SUMPRODUCT((Inputs!$C$5:$C$120=$B67)*Inputs!$D$5:$D$120*(((Inputs!$G$5:$G$120="moeda")+(Inputs!$G$5:$G$120="acoes"))*Inputs!$B$1+((Inputs!$G$5:$G$120&lt;&gt;"moeda")*(Inputs!$G$5:$G$120&lt;&gt;"acoes")))*INDEX(Inputs!$K$5:$AJ$120,0,MATCH(AC$2,Inputs!$K$4:$AJ$4,0)))+SUMPRODUCT((Inputs!$E$5:$E$120=$B67)*Inputs!$F$5:$F$120*(((Inputs!$G$5:$G$120="moeda")+(Inputs!$G$5:$G$120="acoes"))*Inputs!$B$1+((Inputs!$G$5:$G$120&lt;&gt;"moeda")*(Inputs!$G$5:$G$120&lt;&gt;"acoes")))*INDEX(Inputs!$K$5:$AJ$120,0,MATCH(AC$2,Inputs!$K$4:$AJ$4,0)))))</f>
        <v>1346</v>
      </c>
      <c r="AD67" s="263">
        <f>IF(ISNA(MATCH(AD$2,Inputs!$K$4:$AJ$4,0)),NA(),IF(SUMPRODUCT((Inputs!$A$5:$A$120=$B67)*ISNUMBER(INDEX(Inputs!$K$5:$AJ$120,0,MATCH(AD$2,Inputs!$K$4:$AJ$4,0))))+SUMPRODUCT((Inputs!$C$5:$C$120=$B67)*ISNUMBER(INDEX(Inputs!$K$5:$AJ$120,0,MATCH(AD$2,Inputs!$K$4:$AJ$4,0))))+SUMPRODUCT((Inputs!$E$5:$E$120=$B67)*ISNUMBER(INDEX(Inputs!$K$5:$AJ$120,0,MATCH(AD$2,Inputs!$K$4:$AJ$4,0))))=0,NA(),SUMPRODUCT((Inputs!$A$5:$A$120=$B67)*Inputs!$B$5:$B$120*(((Inputs!$G$5:$G$120="moeda")+(Inputs!$G$5:$G$120="acoes"))*Inputs!$B$1+((Inputs!$G$5:$G$120&lt;&gt;"moeda")*(Inputs!$G$5:$G$120&lt;&gt;"acoes")))*INDEX(Inputs!$K$5:$AJ$120,0,MATCH(AD$2,Inputs!$K$4:$AJ$4,0)))+SUMPRODUCT((Inputs!$C$5:$C$120=$B67)*Inputs!$D$5:$D$120*(((Inputs!$G$5:$G$120="moeda")+(Inputs!$G$5:$G$120="acoes"))*Inputs!$B$1+((Inputs!$G$5:$G$120&lt;&gt;"moeda")*(Inputs!$G$5:$G$120&lt;&gt;"acoes")))*INDEX(Inputs!$K$5:$AJ$120,0,MATCH(AD$2,Inputs!$K$4:$AJ$4,0)))+SUMPRODUCT((Inputs!$E$5:$E$120=$B67)*Inputs!$F$5:$F$120*(((Inputs!$G$5:$G$120="moeda")+(Inputs!$G$5:$G$120="acoes"))*Inputs!$B$1+((Inputs!$G$5:$G$120&lt;&gt;"moeda")*(Inputs!$G$5:$G$120&lt;&gt;"acoes")))*INDEX(Inputs!$K$5:$AJ$120,0,MATCH(AD$2,Inputs!$K$4:$AJ$4,0)))))</f>
        <v>1571</v>
      </c>
      <c r="AE67" s="263" t="e">
        <f>IF(ISNA(MATCH(AE$2,Inputs!$K$4:$AJ$4,0)),NA(),IF(SUMPRODUCT((Inputs!$A$5:$A$120=$B67)*ISNUMBER(INDEX(Inputs!$K$5:$AJ$120,0,MATCH(AE$2,Inputs!$K$4:$AJ$4,0))))+SUMPRODUCT((Inputs!$C$5:$C$120=$B67)*ISNUMBER(INDEX(Inputs!$K$5:$AJ$120,0,MATCH(AE$2,Inputs!$K$4:$AJ$4,0))))+SUMPRODUCT((Inputs!$E$5:$E$120=$B67)*ISNUMBER(INDEX(Inputs!$K$5:$AJ$120,0,MATCH(AE$2,Inputs!$K$4:$AJ$4,0))))=0,NA(),SUMPRODUCT((Inputs!$A$5:$A$120=$B67)*Inputs!$B$5:$B$120*(((Inputs!$G$5:$G$120="moeda")+(Inputs!$G$5:$G$120="acoes"))*Inputs!$B$1+((Inputs!$G$5:$G$120&lt;&gt;"moeda")*(Inputs!$G$5:$G$120&lt;&gt;"acoes")))*INDEX(Inputs!$K$5:$AJ$120,0,MATCH(AE$2,Inputs!$K$4:$AJ$4,0)))+SUMPRODUCT((Inputs!$C$5:$C$120=$B67)*Inputs!$D$5:$D$120*(((Inputs!$G$5:$G$120="moeda")+(Inputs!$G$5:$G$120="acoes"))*Inputs!$B$1+((Inputs!$G$5:$G$120&lt;&gt;"moeda")*(Inputs!$G$5:$G$120&lt;&gt;"acoes")))*INDEX(Inputs!$K$5:$AJ$120,0,MATCH(AE$2,Inputs!$K$4:$AJ$4,0)))+SUMPRODUCT((Inputs!$E$5:$E$120=$B67)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7" s="263" t="e">
        <f>IF(ISNA(MATCH(AF$2,Inputs!$K$4:$AJ$4,0)),NA(),IF(SUMPRODUCT((Inputs!$A$5:$A$120=$B67)*ISNUMBER(INDEX(Inputs!$K$5:$AJ$120,0,MATCH(AF$2,Inputs!$K$4:$AJ$4,0))))+SUMPRODUCT((Inputs!$C$5:$C$120=$B67)*ISNUMBER(INDEX(Inputs!$K$5:$AJ$120,0,MATCH(AF$2,Inputs!$K$4:$AJ$4,0))))+SUMPRODUCT((Inputs!$E$5:$E$120=$B67)*ISNUMBER(INDEX(Inputs!$K$5:$AJ$120,0,MATCH(AF$2,Inputs!$K$4:$AJ$4,0))))=0,NA(),SUMPRODUCT((Inputs!$A$5:$A$120=$B67)*Inputs!$B$5:$B$120*(((Inputs!$G$5:$G$120="moeda")+(Inputs!$G$5:$G$120="acoes"))*Inputs!$B$1+((Inputs!$G$5:$G$120&lt;&gt;"moeda")*(Inputs!$G$5:$G$120&lt;&gt;"acoes")))*INDEX(Inputs!$K$5:$AJ$120,0,MATCH(AF$2,Inputs!$K$4:$AJ$4,0)))+SUMPRODUCT((Inputs!$C$5:$C$120=$B67)*Inputs!$D$5:$D$120*(((Inputs!$G$5:$G$120="moeda")+(Inputs!$G$5:$G$120="acoes"))*Inputs!$B$1+((Inputs!$G$5:$G$120&lt;&gt;"moeda")*(Inputs!$G$5:$G$120&lt;&gt;"acoes")))*INDEX(Inputs!$K$5:$AJ$120,0,MATCH(AF$2,Inputs!$K$4:$AJ$4,0)))+SUMPRODUCT((Inputs!$E$5:$E$120=$B67)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7" s="264" t="e">
        <f>SUM(AC67:AF67)</f>
        <v>#N/A</v>
      </c>
      <c r="AH67" s="263">
        <f>IF(ISNA(MATCH(AH$2,Inputs!$K$4:$AJ$4,0)),NA(),IF(SUMPRODUCT((Inputs!$A$5:$A$120=$B67)*ISNUMBER(INDEX(Inputs!$K$5:$AJ$120,0,MATCH(AH$2,Inputs!$K$4:$AJ$4,0))))+SUMPRODUCT((Inputs!$C$5:$C$120=$B67)*ISNUMBER(INDEX(Inputs!$K$5:$AJ$120,0,MATCH(AH$2,Inputs!$K$4:$AJ$4,0))))+SUMPRODUCT((Inputs!$E$5:$E$120=$B67)*ISNUMBER(INDEX(Inputs!$K$5:$AJ$120,0,MATCH(AH$2,Inputs!$K$4:$AJ$4,0))))=0,NA(),SUMPRODUCT((Inputs!$A$5:$A$120=$B67)*Inputs!$B$5:$B$120*(((Inputs!$G$5:$G$120="moeda")+(Inputs!$G$5:$G$120="acoes"))*Inputs!$B$1+((Inputs!$G$5:$G$120&lt;&gt;"moeda")*(Inputs!$G$5:$G$120&lt;&gt;"acoes")))*INDEX(Inputs!$K$5:$AJ$120,0,MATCH(AH$2,Inputs!$K$4:$AJ$4,0)))+SUMPRODUCT((Inputs!$C$5:$C$120=$B67)*Inputs!$D$5:$D$120*(((Inputs!$G$5:$G$120="moeda")+(Inputs!$G$5:$G$120="acoes"))*Inputs!$B$1+((Inputs!$G$5:$G$120&lt;&gt;"moeda")*(Inputs!$G$5:$G$120&lt;&gt;"acoes")))*INDEX(Inputs!$K$5:$AJ$120,0,MATCH(AH$2,Inputs!$K$4:$AJ$4,0)))+SUMPRODUCT((Inputs!$E$5:$E$120=$B67)*Inputs!$F$5:$F$120*(((Inputs!$G$5:$G$120="moeda")+(Inputs!$G$5:$G$120="acoes"))*Inputs!$B$1+((Inputs!$G$5:$G$120&lt;&gt;"moeda")*(Inputs!$G$5:$G$120&lt;&gt;"acoes")))*INDEX(Inputs!$K$5:$AJ$120,0,MATCH(AH$2,Inputs!$K$4:$AJ$4,0)))))</f>
        <v>456.3</v>
      </c>
      <c r="AI67" s="263">
        <f>IF(ISNA(MATCH(AI$2,Inputs!$K$4:$AJ$4,0)),NA(),IF(SUMPRODUCT((Inputs!$A$5:$A$120=$B67)*ISNUMBER(INDEX(Inputs!$K$5:$AJ$120,0,MATCH(AI$2,Inputs!$K$4:$AJ$4,0))))+SUMPRODUCT((Inputs!$C$5:$C$120=$B67)*ISNUMBER(INDEX(Inputs!$K$5:$AJ$120,0,MATCH(AI$2,Inputs!$K$4:$AJ$4,0))))+SUMPRODUCT((Inputs!$E$5:$E$120=$B67)*ISNUMBER(INDEX(Inputs!$K$5:$AJ$120,0,MATCH(AI$2,Inputs!$K$4:$AJ$4,0))))=0,NA(),SUMPRODUCT((Inputs!$A$5:$A$120=$B67)*Inputs!$B$5:$B$120*(((Inputs!$G$5:$G$120="moeda")+(Inputs!$G$5:$G$120="acoes"))*Inputs!$B$1+((Inputs!$G$5:$G$120&lt;&gt;"moeda")*(Inputs!$G$5:$G$120&lt;&gt;"acoes")))*INDEX(Inputs!$K$5:$AJ$120,0,MATCH(AI$2,Inputs!$K$4:$AJ$4,0)))+SUMPRODUCT((Inputs!$C$5:$C$120=$B67)*Inputs!$D$5:$D$120*(((Inputs!$G$5:$G$120="moeda")+(Inputs!$G$5:$G$120="acoes"))*Inputs!$B$1+((Inputs!$G$5:$G$120&lt;&gt;"moeda")*(Inputs!$G$5:$G$120&lt;&gt;"acoes")))*INDEX(Inputs!$K$5:$AJ$120,0,MATCH(AI$2,Inputs!$K$4:$AJ$4,0)))+SUMPRODUCT((Inputs!$E$5:$E$120=$B67)*Inputs!$F$5:$F$120*(((Inputs!$G$5:$G$120="moeda")+(Inputs!$G$5:$G$120="acoes"))*Inputs!$B$1+((Inputs!$G$5:$G$120&lt;&gt;"moeda")*(Inputs!$G$5:$G$120&lt;&gt;"acoes")))*INDEX(Inputs!$K$5:$AJ$120,0,MATCH(AI$2,Inputs!$K$4:$AJ$4,0)))))</f>
        <v>421.7</v>
      </c>
      <c r="AJ67" s="263">
        <f>IF(ISNA(MATCH(AJ$2,Inputs!$K$4:$AJ$4,0)),NA(),IF(SUMPRODUCT((Inputs!$A$5:$A$120=$B67)*ISNUMBER(INDEX(Inputs!$K$5:$AJ$120,0,MATCH(AJ$2,Inputs!$K$4:$AJ$4,0))))+SUMPRODUCT((Inputs!$C$5:$C$120=$B67)*ISNUMBER(INDEX(Inputs!$K$5:$AJ$120,0,MATCH(AJ$2,Inputs!$K$4:$AJ$4,0))))+SUMPRODUCT((Inputs!$E$5:$E$120=$B67)*ISNUMBER(INDEX(Inputs!$K$5:$AJ$120,0,MATCH(AJ$2,Inputs!$K$4:$AJ$4,0))))=0,NA(),SUMPRODUCT((Inputs!$A$5:$A$120=$B67)*Inputs!$B$5:$B$120*(((Inputs!$G$5:$G$120="moeda")+(Inputs!$G$5:$G$120="acoes"))*Inputs!$B$1+((Inputs!$G$5:$G$120&lt;&gt;"moeda")*(Inputs!$G$5:$G$120&lt;&gt;"acoes")))*INDEX(Inputs!$K$5:$AJ$120,0,MATCH(AJ$2,Inputs!$K$4:$AJ$4,0)))+SUMPRODUCT((Inputs!$C$5:$C$120=$B67)*Inputs!$D$5:$D$120*(((Inputs!$G$5:$G$120="moeda")+(Inputs!$G$5:$G$120="acoes"))*Inputs!$B$1+((Inputs!$G$5:$G$120&lt;&gt;"moeda")*(Inputs!$G$5:$G$120&lt;&gt;"acoes")))*INDEX(Inputs!$K$5:$AJ$120,0,MATCH(AJ$2,Inputs!$K$4:$AJ$4,0)))+SUMPRODUCT((Inputs!$E$5:$E$120=$B67)*Inputs!$F$5:$F$120*(((Inputs!$G$5:$G$120="moeda")+(Inputs!$G$5:$G$120="acoes"))*Inputs!$B$1+((Inputs!$G$5:$G$120&lt;&gt;"moeda")*(Inputs!$G$5:$G$120&lt;&gt;"acoes")))*INDEX(Inputs!$K$5:$AJ$120,0,MATCH(AJ$2,Inputs!$K$4:$AJ$4,0)))))</f>
        <v>459.5</v>
      </c>
      <c r="AK67" s="263">
        <f>IF(ISNA(MATCH(AK$2,Inputs!$K$4:$AJ$4,0)),NA(),IF(SUMPRODUCT((Inputs!$A$5:$A$120=$B67)*ISNUMBER(INDEX(Inputs!$K$5:$AJ$120,0,MATCH(AK$2,Inputs!$K$4:$AJ$4,0))))+SUMPRODUCT((Inputs!$C$5:$C$120=$B67)*ISNUMBER(INDEX(Inputs!$K$5:$AJ$120,0,MATCH(AK$2,Inputs!$K$4:$AJ$4,0))))+SUMPRODUCT((Inputs!$E$5:$E$120=$B67)*ISNUMBER(INDEX(Inputs!$K$5:$AJ$120,0,MATCH(AK$2,Inputs!$K$4:$AJ$4,0))))=0,NA(),SUMPRODUCT((Inputs!$A$5:$A$120=$B67)*Inputs!$B$5:$B$120*(((Inputs!$G$5:$G$120="moeda")+(Inputs!$G$5:$G$120="acoes"))*Inputs!$B$1+((Inputs!$G$5:$G$120&lt;&gt;"moeda")*(Inputs!$G$5:$G$120&lt;&gt;"acoes")))*INDEX(Inputs!$K$5:$AJ$120,0,MATCH(AK$2,Inputs!$K$4:$AJ$4,0)))+SUMPRODUCT((Inputs!$C$5:$C$120=$B67)*Inputs!$D$5:$D$120*(((Inputs!$G$5:$G$120="moeda")+(Inputs!$G$5:$G$120="acoes"))*Inputs!$B$1+((Inputs!$G$5:$G$120&lt;&gt;"moeda")*(Inputs!$G$5:$G$120&lt;&gt;"acoes")))*INDEX(Inputs!$K$5:$AJ$120,0,MATCH(AK$2,Inputs!$K$4:$AJ$4,0)))+SUMPRODUCT((Inputs!$E$5:$E$120=$B67)*Inputs!$F$5:$F$120*(((Inputs!$G$5:$G$120="moeda")+(Inputs!$G$5:$G$120="acoes"))*Inputs!$B$1+((Inputs!$G$5:$G$120&lt;&gt;"moeda")*(Inputs!$G$5:$G$120&lt;&gt;"acoes")))*INDEX(Inputs!$K$5:$AJ$120,0,MATCH(AK$2,Inputs!$K$4:$AJ$4,0)))))</f>
        <v>507.5</v>
      </c>
      <c r="AL67" s="264">
        <f>SUM(AH67:AK67)</f>
        <v>1845</v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387"/>
  <sheetViews>
    <sheetView showGridLines="0"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12" sqref="D12"/>
    </sheetView>
  </sheetViews>
  <sheetFormatPr baseColWidth="8" defaultRowHeight="12.75" outlineLevelRow="1"/>
  <cols>
    <col width="1.7109375" bestFit="1" customWidth="1" style="1" min="1" max="1"/>
    <col outlineLevel="1" width="7.85546875" customWidth="1" style="1" min="2" max="2"/>
    <col width="84.7109375" customWidth="1" style="4" min="3" max="3"/>
    <col outlineLevel="1" width="11.42578125" customWidth="1" style="4" min="4" max="7"/>
    <col width="11.42578125" bestFit="1" customWidth="1" style="4" min="8" max="8"/>
    <col outlineLevel="1" width="11.42578125" customWidth="1" style="4" min="9" max="12"/>
    <col width="11.42578125" bestFit="1" customWidth="1" style="4" min="13" max="13"/>
    <col outlineLevel="1" width="11.42578125" customWidth="1" style="4" min="14" max="17"/>
    <col width="11.42578125" bestFit="1" customWidth="1" style="4" min="18" max="18"/>
    <col outlineLevel="1" width="11.42578125" customWidth="1" style="4" min="19" max="22"/>
    <col width="11.42578125" bestFit="1" customWidth="1" style="4" min="23" max="23"/>
    <col outlineLevel="1" width="11.42578125" customWidth="1" style="4" min="24" max="24"/>
    <col outlineLevel="1" width="11.140625" customWidth="1" style="4" min="25" max="25"/>
    <col outlineLevel="1" width="11.42578125" customWidth="1" style="4" min="26" max="27"/>
    <col width="11.140625" bestFit="1" customWidth="1" style="4" min="28" max="28"/>
    <col outlineLevel="1" width="12.28515625" customWidth="1" style="4" min="29" max="29"/>
    <col outlineLevel="1" width="13.28515625" customWidth="1" style="4" min="30" max="30"/>
    <col outlineLevel="1" width="11" customWidth="1" style="4" min="31" max="31"/>
    <col outlineLevel="1" width="10.140625" customWidth="1" style="4" min="32" max="32"/>
    <col width="11" bestFit="1" customWidth="1" style="4" min="33" max="33"/>
    <col outlineLevel="1" width="10.140625" customWidth="1" style="4" min="34" max="34"/>
    <col outlineLevel="1" width="11.140625" customWidth="1" style="4" min="35" max="35"/>
    <col outlineLevel="1" width="10.140625" customWidth="1" style="4" min="36" max="37"/>
    <col width="10" bestFit="1" customWidth="1" style="4" min="38" max="38"/>
    <col outlineLevel="1" width="10.140625" customWidth="1" style="4" min="39" max="39"/>
    <col outlineLevel="1" width="11.140625" customWidth="1" style="4" min="40" max="40"/>
    <col outlineLevel="1" width="10.140625" customWidth="1" style="4" min="41" max="42"/>
    <col width="10" bestFit="1" customWidth="1" style="4" min="43" max="43"/>
    <col outlineLevel="1" width="10.140625" customWidth="1" style="4" min="44" max="44"/>
    <col outlineLevel="1" width="11.140625" customWidth="1" style="4" min="45" max="45"/>
    <col outlineLevel="1" width="10.140625" customWidth="1" style="4" min="46" max="47"/>
    <col width="10" bestFit="1" customWidth="1" style="4" min="48" max="48"/>
    <col outlineLevel="1" width="10.140625" customWidth="1" style="4" min="49" max="49"/>
    <col outlineLevel="1" width="11.140625" customWidth="1" style="4" min="50" max="50"/>
    <col outlineLevel="1" width="10.140625" customWidth="1" style="4" min="51" max="52"/>
    <col width="10" bestFit="1" customWidth="1" style="4" min="53" max="53"/>
    <col outlineLevel="1" width="10.140625" customWidth="1" style="4" min="54" max="54"/>
    <col outlineLevel="1" width="11.140625" customWidth="1" style="4" min="55" max="55"/>
    <col outlineLevel="1" width="10.140625" customWidth="1" style="4" min="56" max="57"/>
    <col width="10" bestFit="1" customWidth="1" style="4" min="58" max="58"/>
    <col outlineLevel="1" width="10.140625" customWidth="1" style="4" min="59" max="59"/>
    <col outlineLevel="1" width="11.140625" customWidth="1" style="4" min="60" max="60"/>
    <col outlineLevel="1" width="10.140625" customWidth="1" style="4" min="61" max="62"/>
    <col width="10" bestFit="1" customWidth="1" style="4" min="63" max="63"/>
    <col outlineLevel="1" width="10.140625" customWidth="1" style="4" min="64" max="64"/>
    <col outlineLevel="1" width="11.140625" customWidth="1" style="4" min="65" max="65"/>
    <col outlineLevel="1" width="10.140625" customWidth="1" style="4" min="66" max="67"/>
    <col width="10" bestFit="1" customWidth="1" style="4" min="68" max="68"/>
    <col outlineLevel="1" width="10.140625" customWidth="1" style="4" min="69" max="69"/>
    <col outlineLevel="1" width="11.140625" customWidth="1" style="4" min="70" max="70"/>
    <col outlineLevel="1" width="10.140625" customWidth="1" style="4" min="71" max="72"/>
    <col width="10" bestFit="1" customWidth="1" style="4" min="73" max="73"/>
    <col outlineLevel="1" width="10.140625" customWidth="1" style="4" min="74" max="74"/>
    <col outlineLevel="1" width="11.140625" customWidth="1" style="4" min="75" max="75"/>
    <col outlineLevel="1" width="10.140625" customWidth="1" style="4" min="76" max="77"/>
    <col width="10" bestFit="1" customWidth="1" style="4" min="78" max="78"/>
    <col outlineLevel="1" width="10.140625" customWidth="1" style="4" min="79" max="79"/>
    <col outlineLevel="1" width="11.140625" customWidth="1" style="4" min="80" max="80"/>
    <col outlineLevel="1" width="10.140625" customWidth="1" style="4" min="81" max="82"/>
    <col width="10" bestFit="1" customWidth="1" style="4" min="83" max="83"/>
    <col outlineLevel="1" width="10.140625" customWidth="1" style="4" min="84" max="84"/>
    <col outlineLevel="1" width="11.140625" customWidth="1" style="4" min="85" max="85"/>
    <col outlineLevel="1" width="10.140625" customWidth="1" style="4" min="86" max="87"/>
    <col width="10" bestFit="1" customWidth="1" style="4" min="88" max="88"/>
    <col outlineLevel="1" width="10.140625" customWidth="1" style="4" min="89" max="89"/>
    <col outlineLevel="1" width="11.140625" customWidth="1" style="4" min="90" max="90"/>
    <col outlineLevel="1" width="10.140625" customWidth="1" style="4" min="91" max="92"/>
    <col width="10" bestFit="1" customWidth="1" style="4" min="93" max="93"/>
    <col outlineLevel="1" width="10.140625" customWidth="1" style="4" min="94" max="94"/>
    <col outlineLevel="1" width="11.140625" customWidth="1" style="4" min="95" max="95"/>
    <col outlineLevel="1" width="10.140625" customWidth="1" style="4" min="96" max="97"/>
    <col width="10" bestFit="1" customWidth="1" style="4" min="98" max="98"/>
    <col outlineLevel="1" width="10.140625" customWidth="1" style="4" min="99" max="99"/>
    <col outlineLevel="1" width="11.140625" customWidth="1" style="4" min="100" max="100"/>
    <col outlineLevel="1" width="10.140625" customWidth="1" style="4" min="101" max="102"/>
    <col width="10" bestFit="1" customWidth="1" style="4" min="103" max="103"/>
    <col width="9.140625" customWidth="1" style="4" min="104" max="104"/>
    <col width="9.140625" customWidth="1" style="4" min="105" max="16384"/>
  </cols>
  <sheetData>
    <row r="1">
      <c r="A1" s="243" t="n"/>
      <c r="C1" s="2" t="inlineStr">
        <is>
          <t>CHECKS</t>
        </is>
      </c>
      <c r="D1" s="3">
        <f>SUM(D2,D3)</f>
        <v>0</v>
      </c>
      <c r="E1" s="3">
        <f>SUM(E2,E3)</f>
        <v>0</v>
      </c>
      <c r="F1" s="3">
        <f>SUM(F2,F3)</f>
        <v>0</v>
      </c>
      <c r="G1" s="3">
        <f>SUM(G2,G3)</f>
        <v>0</v>
      </c>
      <c r="H1" s="3">
        <f>SUM(H2,H3)</f>
        <v>0</v>
      </c>
      <c r="I1" s="3">
        <f>SUM(I2,I3)</f>
        <v>0</v>
      </c>
      <c r="J1" s="3">
        <f>SUM(J2,J3)</f>
        <v>0</v>
      </c>
      <c r="K1" s="3">
        <f>SUM(K2,K3)</f>
        <v>0</v>
      </c>
      <c r="L1" s="3">
        <f>SUM(L2,L3)</f>
        <v>0</v>
      </c>
      <c r="M1" s="3">
        <f>SUM(M2,M3)</f>
        <v>0</v>
      </c>
      <c r="N1" s="3">
        <f>SUM(N2,N3)</f>
        <v>0</v>
      </c>
      <c r="O1" s="3">
        <f>SUM(O2,O3)</f>
        <v>0</v>
      </c>
      <c r="P1" s="3">
        <f>SUM(P2,P3)</f>
        <v>0</v>
      </c>
      <c r="Q1" s="3">
        <f>SUM(Q2,Q3)</f>
        <v>0</v>
      </c>
      <c r="R1" s="3">
        <f>SUM(R2,R3)</f>
        <v>0</v>
      </c>
      <c r="S1" s="3">
        <f>SUM(S2,S3)</f>
        <v>0</v>
      </c>
      <c r="T1" s="3">
        <f>SUM(T2,T3)</f>
        <v>0</v>
      </c>
      <c r="U1" s="3">
        <f>SUM(U2,U3)</f>
        <v>0</v>
      </c>
      <c r="V1" s="3">
        <f>SUM(V2,V3)</f>
        <v>0</v>
      </c>
      <c r="W1" s="3">
        <f>SUM(W2,W3)</f>
        <v>0</v>
      </c>
      <c r="X1" s="3">
        <f>SUM(X2,X3)</f>
        <v>0</v>
      </c>
      <c r="Y1" s="3">
        <f>SUM(Y2,Y3)</f>
        <v>0</v>
      </c>
      <c r="Z1" s="3">
        <f>SUM(Z2,Z3)</f>
        <v>0</v>
      </c>
      <c r="AA1" s="3">
        <f>SUM(AA2,AA3)</f>
        <v>0</v>
      </c>
      <c r="AB1" s="3">
        <f>SUM(AB2,AB3)</f>
        <v>0</v>
      </c>
      <c r="AC1" s="3">
        <f>SUM(AC2,AC3)</f>
        <v>0</v>
      </c>
      <c r="AD1" s="3">
        <f>SUM(AD2,AD3)</f>
        <v>0</v>
      </c>
      <c r="AE1" s="3">
        <f>SUM(AE2,AE3)</f>
        <v>0</v>
      </c>
      <c r="AF1" s="3">
        <f>SUM(AF2,AF3)</f>
        <v>0</v>
      </c>
      <c r="AG1" s="3">
        <f>SUM(AG2,AG3)</f>
        <v>0</v>
      </c>
      <c r="AH1" s="3">
        <f>SUM(AH2,AH3)</f>
        <v>0</v>
      </c>
      <c r="AI1" s="3">
        <f>SUM(AI2,AI3)</f>
        <v>0</v>
      </c>
      <c r="AJ1" s="3">
        <f>SUM(AJ2,AJ3)</f>
        <v>0</v>
      </c>
      <c r="AK1" s="3">
        <f>SUM(AK2,AK3)</f>
        <v>0</v>
      </c>
      <c r="AL1" s="3">
        <f>SUM(AL2,AL3)</f>
        <v>0</v>
      </c>
      <c r="AM1" s="3" t="e">
        <f>SUM(AM2,AM3)</f>
        <v>#DIV/0!</v>
      </c>
      <c r="AN1" s="3" t="e">
        <f>SUM(AN2,AN3)</f>
        <v>#DIV/0!</v>
      </c>
      <c r="AO1" s="3" t="e">
        <f>SUM(AO2,AO3)</f>
        <v>#DIV/0!</v>
      </c>
      <c r="AP1" s="3" t="e">
        <f>SUM(AP2,AP3)</f>
        <v>#DIV/0!</v>
      </c>
      <c r="AQ1" s="3" t="e">
        <f>SUM(AQ2,AQ3)</f>
        <v>#DIV/0!</v>
      </c>
      <c r="AR1" s="3" t="e">
        <f>SUM(AR2,AR3)</f>
        <v>#DIV/0!</v>
      </c>
      <c r="AS1" s="3" t="e">
        <f>SUM(AS2,AS3)</f>
        <v>#DIV/0!</v>
      </c>
      <c r="AT1" s="3" t="e">
        <f>SUM(AT2,AT3)</f>
        <v>#DIV/0!</v>
      </c>
      <c r="AU1" s="3" t="e">
        <f>SUM(AU2,AU3)</f>
        <v>#DIV/0!</v>
      </c>
      <c r="AV1" s="3" t="e">
        <f>SUM(AV2,AV3)</f>
        <v>#DIV/0!</v>
      </c>
      <c r="AW1" s="3" t="e">
        <f>SUM(AW2,AW3)</f>
        <v>#DIV/0!</v>
      </c>
      <c r="AX1" s="3" t="e">
        <f>SUM(AX2,AX3)</f>
        <v>#DIV/0!</v>
      </c>
      <c r="AY1" s="3" t="e">
        <f>SUM(AY2,AY3)</f>
        <v>#DIV/0!</v>
      </c>
      <c r="AZ1" s="3" t="e">
        <f>SUM(AZ2,AZ3)</f>
        <v>#DIV/0!</v>
      </c>
      <c r="BA1" s="3" t="e">
        <f>SUM(BA2,BA3)</f>
        <v>#DIV/0!</v>
      </c>
      <c r="BB1" s="3" t="e">
        <f>SUM(BB2,BB3)</f>
        <v>#DIV/0!</v>
      </c>
      <c r="BC1" s="3" t="e">
        <f>SUM(BC2,BC3)</f>
        <v>#DIV/0!</v>
      </c>
      <c r="BD1" s="3" t="e">
        <f>SUM(BD2,BD3)</f>
        <v>#DIV/0!</v>
      </c>
      <c r="BE1" s="3" t="e">
        <f>SUM(BE2,BE3)</f>
        <v>#DIV/0!</v>
      </c>
      <c r="BF1" s="3" t="e">
        <f>SUM(BF2,BF3)</f>
        <v>#DIV/0!</v>
      </c>
      <c r="BG1" s="3" t="e">
        <f>SUM(BG2,BG3)</f>
        <v>#DIV/0!</v>
      </c>
      <c r="BH1" s="3" t="e">
        <f>SUM(BH2,BH3)</f>
        <v>#DIV/0!</v>
      </c>
      <c r="BI1" s="3" t="e">
        <f>SUM(BI2,BI3)</f>
        <v>#DIV/0!</v>
      </c>
      <c r="BJ1" s="3" t="e">
        <f>SUM(BJ2,BJ3)</f>
        <v>#DIV/0!</v>
      </c>
      <c r="BK1" s="3" t="e">
        <f>SUM(BK2,BK3)</f>
        <v>#DIV/0!</v>
      </c>
      <c r="BL1" s="3" t="e">
        <f>SUM(BL2,BL3)</f>
        <v>#DIV/0!</v>
      </c>
      <c r="BM1" s="3" t="e">
        <f>SUM(BM2,BM3)</f>
        <v>#DIV/0!</v>
      </c>
      <c r="BN1" s="3" t="e">
        <f>SUM(BN2,BN3)</f>
        <v>#DIV/0!</v>
      </c>
      <c r="BO1" s="3" t="e">
        <f>SUM(BO2,BO3)</f>
        <v>#DIV/0!</v>
      </c>
      <c r="BP1" s="3" t="e">
        <f>SUM(BP2,BP3)</f>
        <v>#DIV/0!</v>
      </c>
      <c r="BQ1" s="3" t="e">
        <f>SUM(BQ2,BQ3)</f>
        <v>#DIV/0!</v>
      </c>
      <c r="BR1" s="3" t="e">
        <f>SUM(BR2,BR3)</f>
        <v>#DIV/0!</v>
      </c>
      <c r="BS1" s="3" t="e">
        <f>SUM(BS2,BS3)</f>
        <v>#DIV/0!</v>
      </c>
      <c r="BT1" s="3" t="e">
        <f>SUM(BT2,BT3)</f>
        <v>#DIV/0!</v>
      </c>
      <c r="BU1" s="3" t="e">
        <f>SUM(BU2,BU3)</f>
        <v>#DIV/0!</v>
      </c>
      <c r="BV1" s="3" t="e">
        <f>SUM(BV2,BV3)</f>
        <v>#DIV/0!</v>
      </c>
      <c r="BW1" s="3" t="e">
        <f>SUM(BW2,BW3)</f>
        <v>#DIV/0!</v>
      </c>
      <c r="BX1" s="3" t="e">
        <f>SUM(BX2,BX3)</f>
        <v>#DIV/0!</v>
      </c>
      <c r="BY1" s="3" t="e">
        <f>SUM(BY2,BY3)</f>
        <v>#DIV/0!</v>
      </c>
      <c r="BZ1" s="3" t="e">
        <f>SUM(BZ2,BZ3)</f>
        <v>#DIV/0!</v>
      </c>
      <c r="CA1" s="3" t="e">
        <f>SUM(CA2,CA3)</f>
        <v>#DIV/0!</v>
      </c>
      <c r="CB1" s="3" t="e">
        <f>SUM(CB2,CB3)</f>
        <v>#DIV/0!</v>
      </c>
      <c r="CC1" s="3" t="e">
        <f>SUM(CC2,CC3)</f>
        <v>#DIV/0!</v>
      </c>
      <c r="CD1" s="3" t="e">
        <f>SUM(CD2,CD3)</f>
        <v>#DIV/0!</v>
      </c>
      <c r="CE1" s="3" t="e">
        <f>SUM(CE2,CE3)</f>
        <v>#DIV/0!</v>
      </c>
      <c r="CF1" s="3" t="e">
        <f>SUM(CF2,CF3)</f>
        <v>#DIV/0!</v>
      </c>
      <c r="CG1" s="3" t="e">
        <f>SUM(CG2,CG3)</f>
        <v>#DIV/0!</v>
      </c>
      <c r="CH1" s="3" t="e">
        <f>SUM(CH2,CH3)</f>
        <v>#DIV/0!</v>
      </c>
      <c r="CI1" s="3" t="e">
        <f>SUM(CI2,CI3)</f>
        <v>#DIV/0!</v>
      </c>
      <c r="CJ1" s="3" t="e">
        <f>SUM(CJ2,CJ3)</f>
        <v>#DIV/0!</v>
      </c>
      <c r="CK1" s="3" t="e">
        <f>SUM(CK2,CK3)</f>
        <v>#DIV/0!</v>
      </c>
      <c r="CL1" s="3" t="e">
        <f>SUM(CL2,CL3)</f>
        <v>#DIV/0!</v>
      </c>
      <c r="CM1" s="3" t="e">
        <f>SUM(CM2,CM3)</f>
        <v>#DIV/0!</v>
      </c>
      <c r="CN1" s="3" t="e">
        <f>SUM(CN2,CN3)</f>
        <v>#DIV/0!</v>
      </c>
      <c r="CO1" s="3" t="e">
        <f>SUM(CO2,CO3)</f>
        <v>#DIV/0!</v>
      </c>
      <c r="CP1" s="3" t="e">
        <f>SUM(CP2,CP3)</f>
        <v>#DIV/0!</v>
      </c>
      <c r="CQ1" s="3" t="e">
        <f>SUM(CQ2,CQ3)</f>
        <v>#DIV/0!</v>
      </c>
      <c r="CR1" s="3" t="e">
        <f>SUM(CR2,CR3)</f>
        <v>#DIV/0!</v>
      </c>
      <c r="CS1" s="3" t="e">
        <f>SUM(CS2,CS3)</f>
        <v>#DIV/0!</v>
      </c>
      <c r="CT1" s="3" t="e">
        <f>SUM(CT2,CT3)</f>
        <v>#DIV/0!</v>
      </c>
      <c r="CU1" s="3" t="e">
        <f>SUM(CU2,CU3)</f>
        <v>#DIV/0!</v>
      </c>
      <c r="CV1" s="3" t="e">
        <f>SUM(CV2,CV3)</f>
        <v>#DIV/0!</v>
      </c>
      <c r="CW1" s="3" t="e">
        <f>SUM(CW2,CW3)</f>
        <v>#DIV/0!</v>
      </c>
      <c r="CX1" s="3" t="e">
        <f>SUM(CX2,CX3)</f>
        <v>#DIV/0!</v>
      </c>
      <c r="CY1" s="3" t="e">
        <f>SUM(CY2,CY3)</f>
        <v>#DIV/0!</v>
      </c>
    </row>
    <row r="2" outlineLevel="1">
      <c r="C2" s="5" t="inlineStr">
        <is>
          <t>BS</t>
        </is>
      </c>
      <c r="D2" s="3">
        <f>ABS(D192-D268)</f>
        <v>0</v>
      </c>
      <c r="E2" s="3">
        <f>ABS(E192-E268)</f>
        <v>0</v>
      </c>
      <c r="F2" s="3">
        <f>ABS(F192-F268)</f>
        <v>0</v>
      </c>
      <c r="G2" s="3">
        <f>ABS(G192-G268)</f>
        <v>0</v>
      </c>
      <c r="H2" s="3">
        <f>ABS(H192-H268)</f>
        <v>0</v>
      </c>
      <c r="I2" s="3">
        <f>ABS(I192-I268)</f>
        <v>0</v>
      </c>
      <c r="J2" s="3">
        <f>ABS(J192-J268)</f>
        <v>0</v>
      </c>
      <c r="K2" s="3">
        <f>ABS(K192-K268)</f>
        <v>0</v>
      </c>
      <c r="L2" s="3">
        <f>ABS(L192-L268)</f>
        <v>0</v>
      </c>
      <c r="M2" s="3">
        <f>ABS(M192-M268)</f>
        <v>0</v>
      </c>
      <c r="N2" s="3">
        <f>ABS(N192-N268)</f>
        <v>0</v>
      </c>
      <c r="O2" s="3">
        <f>ABS(O192-O268)</f>
        <v>0</v>
      </c>
      <c r="P2" s="3">
        <f>ABS(P192-P268)</f>
        <v>0</v>
      </c>
      <c r="Q2" s="3">
        <f>ABS(Q192-Q268)</f>
        <v>0</v>
      </c>
      <c r="R2" s="3">
        <f>ABS(R192-R268)</f>
        <v>0</v>
      </c>
      <c r="S2" s="3">
        <f>ABS(S192-S268)</f>
        <v>0</v>
      </c>
      <c r="T2" s="3">
        <f>ABS(T192-T268)</f>
        <v>0</v>
      </c>
      <c r="U2" s="3">
        <f>ABS(U192-U268)</f>
        <v>0</v>
      </c>
      <c r="V2" s="3">
        <f>ABS(V192-V268)</f>
        <v>0</v>
      </c>
      <c r="W2" s="3">
        <f>ABS(W192-W268)</f>
        <v>0</v>
      </c>
      <c r="X2" s="3">
        <f>ABS(X192-X268)</f>
        <v>0</v>
      </c>
      <c r="Y2" s="3">
        <f>ABS(Y192-Y268)</f>
        <v>0</v>
      </c>
      <c r="Z2" s="3">
        <f>ABS(Z192-Z268)</f>
        <v>0</v>
      </c>
      <c r="AA2" s="3">
        <f>ABS(AA192-AA268)</f>
        <v>0</v>
      </c>
      <c r="AB2" s="3">
        <f>ABS(AB192-AB268)</f>
        <v>0</v>
      </c>
      <c r="AC2" s="3">
        <f>ABS(AC192-AC268)</f>
        <v>0</v>
      </c>
      <c r="AD2" s="3">
        <f>ABS(AD192-AD268)</f>
        <v>0</v>
      </c>
      <c r="AE2" s="3">
        <f>ABS(AE192-AE268)</f>
        <v>0</v>
      </c>
      <c r="AF2" s="3">
        <f>ABS(AF192-AF268)</f>
        <v>0</v>
      </c>
      <c r="AG2" s="3">
        <f>ABS(AG192-AG268)</f>
        <v>0</v>
      </c>
      <c r="AH2" s="3">
        <f>ABS(AH192-AH268)</f>
        <v>0</v>
      </c>
      <c r="AI2" s="3">
        <f>ABS(AI192-AI268)</f>
        <v>0</v>
      </c>
      <c r="AJ2" s="3">
        <f>ABS(AJ192-AJ268)</f>
        <v>0</v>
      </c>
      <c r="AK2" s="3">
        <f>ABS(AK192-AK268)</f>
        <v>0</v>
      </c>
      <c r="AL2" s="3">
        <f>ABS(AL192-AL268)</f>
        <v>0</v>
      </c>
      <c r="AM2" s="3" t="e">
        <f>ABS(AM192-AM268)</f>
        <v>#DIV/0!</v>
      </c>
      <c r="AN2" s="3" t="e">
        <f>ABS(AN192-AN268)</f>
        <v>#DIV/0!</v>
      </c>
      <c r="AO2" s="3" t="e">
        <f>ABS(AO192-AO268)</f>
        <v>#DIV/0!</v>
      </c>
      <c r="AP2" s="3" t="e">
        <f>ABS(AP192-AP268)</f>
        <v>#DIV/0!</v>
      </c>
      <c r="AQ2" s="3" t="e">
        <f>ABS(AQ192-AQ268)</f>
        <v>#DIV/0!</v>
      </c>
      <c r="AR2" s="3" t="e">
        <f>ABS(AR192-AR268)</f>
        <v>#DIV/0!</v>
      </c>
      <c r="AS2" s="3" t="e">
        <f>ABS(AS192-AS268)</f>
        <v>#DIV/0!</v>
      </c>
      <c r="AT2" s="3" t="e">
        <f>ABS(AT192-AT268)</f>
        <v>#DIV/0!</v>
      </c>
      <c r="AU2" s="3" t="e">
        <f>ABS(AU192-AU268)</f>
        <v>#DIV/0!</v>
      </c>
      <c r="AV2" s="3" t="e">
        <f>ABS(AV192-AV268)</f>
        <v>#DIV/0!</v>
      </c>
      <c r="AW2" s="3" t="e">
        <f>ABS(AW192-AW268)</f>
        <v>#DIV/0!</v>
      </c>
      <c r="AX2" s="3" t="e">
        <f>ABS(AX192-AX268)</f>
        <v>#DIV/0!</v>
      </c>
      <c r="AY2" s="3" t="e">
        <f>ABS(AY192-AY268)</f>
        <v>#DIV/0!</v>
      </c>
      <c r="AZ2" s="3" t="e">
        <f>ABS(AZ192-AZ268)</f>
        <v>#DIV/0!</v>
      </c>
      <c r="BA2" s="3" t="e">
        <f>ABS(BA192-BA268)</f>
        <v>#DIV/0!</v>
      </c>
      <c r="BB2" s="3" t="e">
        <f>ABS(BB192-BB268)</f>
        <v>#DIV/0!</v>
      </c>
      <c r="BC2" s="3" t="e">
        <f>ABS(BC192-BC268)</f>
        <v>#DIV/0!</v>
      </c>
      <c r="BD2" s="3" t="e">
        <f>ABS(BD192-BD268)</f>
        <v>#DIV/0!</v>
      </c>
      <c r="BE2" s="3" t="e">
        <f>ABS(BE192-BE268)</f>
        <v>#DIV/0!</v>
      </c>
      <c r="BF2" s="3" t="e">
        <f>ABS(BF192-BF268)</f>
        <v>#DIV/0!</v>
      </c>
      <c r="BG2" s="3" t="e">
        <f>ABS(BG192-BG268)</f>
        <v>#DIV/0!</v>
      </c>
      <c r="BH2" s="3" t="e">
        <f>ABS(BH192-BH268)</f>
        <v>#DIV/0!</v>
      </c>
      <c r="BI2" s="3" t="e">
        <f>ABS(BI192-BI268)</f>
        <v>#DIV/0!</v>
      </c>
      <c r="BJ2" s="3" t="e">
        <f>ABS(BJ192-BJ268)</f>
        <v>#DIV/0!</v>
      </c>
      <c r="BK2" s="3" t="e">
        <f>ABS(BK192-BK268)</f>
        <v>#DIV/0!</v>
      </c>
      <c r="BL2" s="3" t="e">
        <f>ABS(BL192-BL268)</f>
        <v>#DIV/0!</v>
      </c>
      <c r="BM2" s="3" t="e">
        <f>ABS(BM192-BM268)</f>
        <v>#DIV/0!</v>
      </c>
      <c r="BN2" s="3" t="e">
        <f>ABS(BN192-BN268)</f>
        <v>#DIV/0!</v>
      </c>
      <c r="BO2" s="3" t="e">
        <f>ABS(BO192-BO268)</f>
        <v>#DIV/0!</v>
      </c>
      <c r="BP2" s="3" t="e">
        <f>ABS(BP192-BP268)</f>
        <v>#DIV/0!</v>
      </c>
      <c r="BQ2" s="3" t="e">
        <f>ABS(BQ192-BQ268)</f>
        <v>#DIV/0!</v>
      </c>
      <c r="BR2" s="3" t="e">
        <f>ABS(BR192-BR268)</f>
        <v>#DIV/0!</v>
      </c>
      <c r="BS2" s="3" t="e">
        <f>ABS(BS192-BS268)</f>
        <v>#DIV/0!</v>
      </c>
      <c r="BT2" s="3" t="e">
        <f>ABS(BT192-BT268)</f>
        <v>#DIV/0!</v>
      </c>
      <c r="BU2" s="3" t="e">
        <f>ABS(BU192-BU268)</f>
        <v>#DIV/0!</v>
      </c>
      <c r="BV2" s="3" t="e">
        <f>ABS(BV192-BV268)</f>
        <v>#DIV/0!</v>
      </c>
      <c r="BW2" s="3" t="e">
        <f>ABS(BW192-BW268)</f>
        <v>#DIV/0!</v>
      </c>
      <c r="BX2" s="3" t="e">
        <f>ABS(BX192-BX268)</f>
        <v>#DIV/0!</v>
      </c>
      <c r="BY2" s="3" t="e">
        <f>ABS(BY192-BY268)</f>
        <v>#DIV/0!</v>
      </c>
      <c r="BZ2" s="3" t="e">
        <f>ABS(BZ192-BZ268)</f>
        <v>#DIV/0!</v>
      </c>
      <c r="CA2" s="3" t="e">
        <f>ABS(CA192-CA268)</f>
        <v>#DIV/0!</v>
      </c>
      <c r="CB2" s="3" t="e">
        <f>ABS(CB192-CB268)</f>
        <v>#DIV/0!</v>
      </c>
      <c r="CC2" s="3" t="e">
        <f>ABS(CC192-CC268)</f>
        <v>#DIV/0!</v>
      </c>
      <c r="CD2" s="3" t="e">
        <f>ABS(CD192-CD268)</f>
        <v>#DIV/0!</v>
      </c>
      <c r="CE2" s="3" t="e">
        <f>ABS(CE192-CE268)</f>
        <v>#DIV/0!</v>
      </c>
      <c r="CF2" s="3" t="e">
        <f>ABS(CF192-CF268)</f>
        <v>#DIV/0!</v>
      </c>
      <c r="CG2" s="3" t="e">
        <f>ABS(CG192-CG268)</f>
        <v>#DIV/0!</v>
      </c>
      <c r="CH2" s="3" t="e">
        <f>ABS(CH192-CH268)</f>
        <v>#DIV/0!</v>
      </c>
      <c r="CI2" s="3" t="e">
        <f>ABS(CI192-CI268)</f>
        <v>#DIV/0!</v>
      </c>
      <c r="CJ2" s="3" t="e">
        <f>ABS(CJ192-CJ268)</f>
        <v>#DIV/0!</v>
      </c>
      <c r="CK2" s="3" t="e">
        <f>ABS(CK192-CK268)</f>
        <v>#DIV/0!</v>
      </c>
      <c r="CL2" s="3" t="e">
        <f>ABS(CL192-CL268)</f>
        <v>#DIV/0!</v>
      </c>
      <c r="CM2" s="3" t="e">
        <f>ABS(CM192-CM268)</f>
        <v>#DIV/0!</v>
      </c>
      <c r="CN2" s="3" t="e">
        <f>ABS(CN192-CN268)</f>
        <v>#DIV/0!</v>
      </c>
      <c r="CO2" s="3" t="e">
        <f>ABS(CO192-CO268)</f>
        <v>#DIV/0!</v>
      </c>
      <c r="CP2" s="3" t="e">
        <f>ABS(CP192-CP268)</f>
        <v>#DIV/0!</v>
      </c>
      <c r="CQ2" s="3" t="e">
        <f>ABS(CQ192-CQ268)</f>
        <v>#DIV/0!</v>
      </c>
      <c r="CR2" s="3" t="e">
        <f>ABS(CR192-CR268)</f>
        <v>#DIV/0!</v>
      </c>
      <c r="CS2" s="3" t="e">
        <f>ABS(CS192-CS268)</f>
        <v>#DIV/0!</v>
      </c>
      <c r="CT2" s="3" t="e">
        <f>ABS(CT192-CT268)</f>
        <v>#DIV/0!</v>
      </c>
      <c r="CU2" s="3" t="e">
        <f>ABS(CU192-CU268)</f>
        <v>#DIV/0!</v>
      </c>
      <c r="CV2" s="3" t="e">
        <f>ABS(CV192-CV268)</f>
        <v>#DIV/0!</v>
      </c>
      <c r="CW2" s="3" t="e">
        <f>ABS(CW192-CW268)</f>
        <v>#DIV/0!</v>
      </c>
      <c r="CX2" s="3" t="e">
        <f>ABS(CX192-CX268)</f>
        <v>#DIV/0!</v>
      </c>
      <c r="CY2" s="3" t="e">
        <f>ABS(CY192-CY268)</f>
        <v>#DIV/0!</v>
      </c>
    </row>
    <row r="3" outlineLevel="1">
      <c r="C3" s="5" t="inlineStr">
        <is>
          <t>IS</t>
        </is>
      </c>
      <c r="D3" s="3">
        <f>IF(COUNT(D4)=0,"",ABS(D132-D4))</f>
        <v>0</v>
      </c>
      <c r="E3" s="3">
        <f>IF(COUNT(E4)=0,"",ABS(E132-E4))</f>
        <v>0</v>
      </c>
      <c r="F3" s="3">
        <f>IF(COUNT(F4)=0,"",ABS(F132-F4))</f>
        <v>0</v>
      </c>
      <c r="G3" s="3">
        <f>IF(COUNT(G4)=0,"",ABS(G132-G4))</f>
        <v>0</v>
      </c>
      <c r="H3" s="3">
        <f>IF(COUNT(H4)=0,"",ABS(H132-H4))</f>
        <v>0</v>
      </c>
      <c r="I3" s="3">
        <f>IF(COUNT(I4)=0,"",ABS(I132-I4))</f>
        <v>0</v>
      </c>
      <c r="J3" s="3">
        <f>IF(COUNT(J4)=0,"",ABS(J132-J4))</f>
        <v>0</v>
      </c>
      <c r="K3" s="3">
        <f>IF(COUNT(K4)=0,"",ABS(K132-K4))</f>
        <v>0</v>
      </c>
      <c r="L3" s="3">
        <f>IF(COUNT(L4)=0,"",ABS(L132-L4))</f>
        <v>0</v>
      </c>
      <c r="M3" s="3">
        <f>IF(COUNT(M4)=0,"",ABS(M132-M4))</f>
        <v>0</v>
      </c>
      <c r="N3" s="3">
        <f>IF(COUNT(N4)=0,"",ABS(N132-N4))</f>
        <v>0</v>
      </c>
      <c r="O3" s="3">
        <f>IF(COUNT(O4)=0,"",ABS(O132-O4))</f>
        <v>0</v>
      </c>
      <c r="P3" s="3">
        <f>IF(COUNT(P4)=0,"",ABS(P132-P4))</f>
        <v>0</v>
      </c>
      <c r="Q3" s="3">
        <f>IF(COUNT(Q4)=0,"",ABS(Q132-Q4))</f>
        <v>0</v>
      </c>
      <c r="R3" s="3">
        <f>IF(COUNT(R4)=0,"",ABS(R132-R4))</f>
        <v>0</v>
      </c>
      <c r="S3" s="3">
        <f>IF(COUNT(S4)=0,"",ABS(S132-S4))</f>
        <v>0</v>
      </c>
      <c r="T3" s="3">
        <f>IF(COUNT(T4)=0,"",ABS(T132-T4))</f>
        <v>0</v>
      </c>
      <c r="U3" s="3">
        <f>IF(COUNT(U4)=0,"",ABS(U132-U4))</f>
        <v>0</v>
      </c>
      <c r="V3" s="3">
        <f>IF(COUNT(V4)=0,"",ABS(V132-V4))</f>
        <v>0</v>
      </c>
      <c r="W3" s="3">
        <f>IF(COUNT(W4)=0,"",ABS(W132-W4))</f>
        <v>0</v>
      </c>
      <c r="X3" s="3">
        <f>IF(COUNT(X4)=0,"",ABS(X132-X4))</f>
        <v>0</v>
      </c>
      <c r="Y3" s="3">
        <f>IF(COUNT(Y4)=0,"",ABS(Y132-Y4))</f>
        <v>0</v>
      </c>
      <c r="Z3" s="3">
        <f>IF(COUNT(Z4)=0,"",ABS(Z132-Z4))</f>
        <v>0</v>
      </c>
      <c r="AA3" s="3">
        <f>IF(COUNT(AA4)=0,"",ABS(AA132-AA4))</f>
        <v>0</v>
      </c>
      <c r="AB3" s="3">
        <f>IF(COUNT(AB4)=0,"",ABS(AB132-AB4))</f>
        <v>0</v>
      </c>
      <c r="AC3" s="3">
        <f>IF(COUNT(AC4)=0,"",ABS(AC132-AC4))</f>
        <v>0</v>
      </c>
      <c r="AD3" s="3">
        <f>IF(COUNT(AD4)=0,"",ABS(AD132-AD4))</f>
        <v>0</v>
      </c>
      <c r="AE3" s="3">
        <f>IF(COUNT(AE4)=0,"",ABS(AE132-AE4))</f>
        <v>0</v>
      </c>
      <c r="AF3" s="3">
        <f>IF(COUNT(AF4)=0,"",ABS(AF132-AF4))</f>
        <v>0</v>
      </c>
      <c r="AG3" s="3">
        <f>IF(COUNT(AG4)=0,"",ABS(AG132-AG4))</f>
        <v>0</v>
      </c>
      <c r="AH3" s="3">
        <f>IF(COUNT(AH4)=0,"",ABS(AH132-AH4))</f>
        <v>0</v>
      </c>
      <c r="AI3" s="3">
        <f>IF(COUNT(AI4)=0,"",ABS(AI132-AI4))</f>
        <v>0</v>
      </c>
      <c r="AJ3" s="3" t="str">
        <f>IF(COUNT(AJ4)=0,"",ABS(AJ132-AJ4))</f>
        <v/>
      </c>
      <c r="AK3" s="3" t="str">
        <f>IF(COUNT(AK4)=0,"",ABS(AK132-AK4))</f>
        <v/>
      </c>
      <c r="AL3" s="3" t="str">
        <f>IF(COUNT(AL4)=0,"",ABS(AL132-AL4))</f>
        <v/>
      </c>
      <c r="AM3" s="3" t="str">
        <f>IF(COUNT(AM4)=0,"",ABS(AM132-AM4))</f>
        <v/>
      </c>
      <c r="AN3" s="3" t="str">
        <f>IF(COUNT(AN4)=0,"",ABS(AN132-AN4))</f>
        <v/>
      </c>
      <c r="AO3" s="3" t="str">
        <f>IF(COUNT(AO4)=0,"",ABS(AO132-AO4))</f>
        <v/>
      </c>
      <c r="AP3" s="3" t="str">
        <f>IF(COUNT(AP4)=0,"",ABS(AP132-AP4))</f>
        <v/>
      </c>
      <c r="AQ3" s="3" t="str">
        <f>IF(COUNT(AQ4)=0,"",ABS(AQ132-AQ4))</f>
        <v/>
      </c>
      <c r="AR3" s="3" t="str">
        <f>IF(COUNT(AR4)=0,"",ABS(AR132-AR4))</f>
        <v/>
      </c>
      <c r="AS3" s="3" t="str">
        <f>IF(COUNT(AS4)=0,"",ABS(AS132-AS4))</f>
        <v/>
      </c>
      <c r="AT3" s="3" t="str">
        <f>IF(COUNT(AT4)=0,"",ABS(AT132-AT4))</f>
        <v/>
      </c>
      <c r="AU3" s="3" t="str">
        <f>IF(COUNT(AU4)=0,"",ABS(AU132-AU4))</f>
        <v/>
      </c>
      <c r="AV3" s="3" t="str">
        <f>IF(COUNT(AV4)=0,"",ABS(AV132-AV4))</f>
        <v/>
      </c>
      <c r="AW3" s="3" t="str">
        <f>IF(COUNT(AW4)=0,"",ABS(AW132-AW4))</f>
        <v/>
      </c>
      <c r="AX3" s="3" t="str">
        <f>IF(COUNT(AX4)=0,"",ABS(AX132-AX4))</f>
        <v/>
      </c>
      <c r="AY3" s="3" t="str">
        <f>IF(COUNT(AY4)=0,"",ABS(AY132-AY4))</f>
        <v/>
      </c>
      <c r="AZ3" s="3" t="str">
        <f>IF(COUNT(AZ4)=0,"",ABS(AZ132-AZ4))</f>
        <v/>
      </c>
      <c r="BA3" s="3" t="str">
        <f>IF(COUNT(BA4)=0,"",ABS(BA132-BA4))</f>
        <v/>
      </c>
      <c r="BB3" s="3" t="str">
        <f>IF(COUNT(BB4)=0,"",ABS(BB132-BB4))</f>
        <v/>
      </c>
      <c r="BC3" s="3" t="str">
        <f>IF(COUNT(BC4)=0,"",ABS(BC132-BC4))</f>
        <v/>
      </c>
      <c r="BD3" s="3" t="str">
        <f>IF(COUNT(BD4)=0,"",ABS(BD132-BD4))</f>
        <v/>
      </c>
      <c r="BE3" s="3" t="str">
        <f>IF(COUNT(BE4)=0,"",ABS(BE132-BE4))</f>
        <v/>
      </c>
      <c r="BF3" s="3" t="str">
        <f>IF(COUNT(BF4)=0,"",ABS(BF132-BF4))</f>
        <v/>
      </c>
      <c r="BG3" s="3" t="str">
        <f>IF(COUNT(BG4)=0,"",ABS(BG132-BG4))</f>
        <v/>
      </c>
      <c r="BH3" s="3" t="str">
        <f>IF(COUNT(BH4)=0,"",ABS(BH132-BH4))</f>
        <v/>
      </c>
      <c r="BI3" s="3" t="str">
        <f>IF(COUNT(BI4)=0,"",ABS(BI132-BI4))</f>
        <v/>
      </c>
      <c r="BJ3" s="3" t="str">
        <f>IF(COUNT(BJ4)=0,"",ABS(BJ132-BJ4))</f>
        <v/>
      </c>
      <c r="BK3" s="3" t="str">
        <f>IF(COUNT(BK4)=0,"",ABS(BK132-BK4))</f>
        <v/>
      </c>
      <c r="BL3" s="3" t="str">
        <f>IF(COUNT(BL4)=0,"",ABS(BL132-BL4))</f>
        <v/>
      </c>
      <c r="BM3" s="3" t="str">
        <f>IF(COUNT(BM4)=0,"",ABS(BM132-BM4))</f>
        <v/>
      </c>
      <c r="BN3" s="3" t="str">
        <f>IF(COUNT(BN4)=0,"",ABS(BN132-BN4))</f>
        <v/>
      </c>
      <c r="BO3" s="3" t="str">
        <f>IF(COUNT(BO4)=0,"",ABS(BO132-BO4))</f>
        <v/>
      </c>
      <c r="BP3" s="3" t="str">
        <f>IF(COUNT(BP4)=0,"",ABS(BP132-BP4))</f>
        <v/>
      </c>
      <c r="BQ3" s="3" t="str">
        <f>IF(COUNT(BQ4)=0,"",ABS(BQ132-BQ4))</f>
        <v/>
      </c>
      <c r="BR3" s="3" t="str">
        <f>IF(COUNT(BR4)=0,"",ABS(BR132-BR4))</f>
        <v/>
      </c>
      <c r="BS3" s="3" t="str">
        <f>IF(COUNT(BS4)=0,"",ABS(BS132-BS4))</f>
        <v/>
      </c>
      <c r="BT3" s="3" t="str">
        <f>IF(COUNT(BT4)=0,"",ABS(BT132-BT4))</f>
        <v/>
      </c>
      <c r="BU3" s="3" t="str">
        <f>IF(COUNT(BU4)=0,"",ABS(BU132-BU4))</f>
        <v/>
      </c>
      <c r="BV3" s="3" t="str">
        <f>IF(COUNT(BV4)=0,"",ABS(BV132-BV4))</f>
        <v/>
      </c>
      <c r="BW3" s="3" t="str">
        <f>IF(COUNT(BW4)=0,"",ABS(BW132-BW4))</f>
        <v/>
      </c>
      <c r="BX3" s="3" t="str">
        <f>IF(COUNT(BX4)=0,"",ABS(BX132-BX4))</f>
        <v/>
      </c>
      <c r="BY3" s="3" t="str">
        <f>IF(COUNT(BY4)=0,"",ABS(BY132-BY4))</f>
        <v/>
      </c>
      <c r="BZ3" s="3" t="str">
        <f>IF(COUNT(BZ4)=0,"",ABS(BZ132-BZ4))</f>
        <v/>
      </c>
      <c r="CA3" s="3" t="str">
        <f>IF(COUNT(CA4)=0,"",ABS(CA132-CA4))</f>
        <v/>
      </c>
      <c r="CB3" s="3" t="str">
        <f>IF(COUNT(CB4)=0,"",ABS(CB132-CB4))</f>
        <v/>
      </c>
      <c r="CC3" s="3" t="str">
        <f>IF(COUNT(CC4)=0,"",ABS(CC132-CC4))</f>
        <v/>
      </c>
      <c r="CD3" s="3" t="str">
        <f>IF(COUNT(CD4)=0,"",ABS(CD132-CD4))</f>
        <v/>
      </c>
      <c r="CE3" s="3" t="str">
        <f>IF(COUNT(CE4)=0,"",ABS(CE132-CE4))</f>
        <v/>
      </c>
      <c r="CF3" s="3" t="str">
        <f>IF(COUNT(CF4)=0,"",ABS(CF132-CF4))</f>
        <v/>
      </c>
      <c r="CG3" s="3" t="str">
        <f>IF(COUNT(CG4)=0,"",ABS(CG132-CG4))</f>
        <v/>
      </c>
      <c r="CH3" s="3" t="str">
        <f>IF(COUNT(CH4)=0,"",ABS(CH132-CH4))</f>
        <v/>
      </c>
      <c r="CI3" s="3" t="str">
        <f>IF(COUNT(CI4)=0,"",ABS(CI132-CI4))</f>
        <v/>
      </c>
      <c r="CJ3" s="3" t="str">
        <f>IF(COUNT(CJ4)=0,"",ABS(CJ132-CJ4))</f>
        <v/>
      </c>
      <c r="CK3" s="3" t="str">
        <f>IF(COUNT(CK4)=0,"",ABS(CK132-CK4))</f>
        <v/>
      </c>
      <c r="CL3" s="3" t="str">
        <f>IF(COUNT(CL4)=0,"",ABS(CL132-CL4))</f>
        <v/>
      </c>
      <c r="CM3" s="3" t="str">
        <f>IF(COUNT(CM4)=0,"",ABS(CM132-CM4))</f>
        <v/>
      </c>
      <c r="CN3" s="3" t="str">
        <f>IF(COUNT(CN4)=0,"",ABS(CN132-CN4))</f>
        <v/>
      </c>
      <c r="CO3" s="3" t="str">
        <f>IF(COUNT(CO4)=0,"",ABS(CO132-CO4))</f>
        <v/>
      </c>
      <c r="CP3" s="3" t="str">
        <f>IF(COUNT(CP4)=0,"",ABS(CP132-CP4))</f>
        <v/>
      </c>
      <c r="CQ3" s="3" t="str">
        <f>IF(COUNT(CQ4)=0,"",ABS(CQ132-CQ4))</f>
        <v/>
      </c>
      <c r="CR3" s="3" t="str">
        <f>IF(COUNT(CR4)=0,"",ABS(CR132-CR4))</f>
        <v/>
      </c>
      <c r="CS3" s="3" t="str">
        <f>IF(COUNT(CS4)=0,"",ABS(CS132-CS4))</f>
        <v/>
      </c>
      <c r="CT3" s="3" t="str">
        <f>IF(COUNT(CT4)=0,"",ABS(CT132-CT4))</f>
        <v/>
      </c>
      <c r="CU3" s="3" t="str">
        <f>IF(COUNT(CU4)=0,"",ABS(CU132-CU4))</f>
        <v/>
      </c>
      <c r="CV3" s="3" t="str">
        <f>IF(COUNT(CV4)=0,"",ABS(CV132-CV4))</f>
        <v/>
      </c>
      <c r="CW3" s="3" t="str">
        <f>IF(COUNT(CW4)=0,"",ABS(CW132-CW4))</f>
        <v/>
      </c>
      <c r="CX3" s="3" t="str">
        <f>IF(COUNT(CX4)=0,"",ABS(CX132-CX4))</f>
        <v/>
      </c>
      <c r="CY3" s="3" t="str">
        <f>IF(COUNT(CY4)=0,"",ABS(CY132-CY4))</f>
        <v/>
      </c>
    </row>
    <row r="4" outlineLevel="1">
      <c r="C4" s="14" t="inlineStr">
        <is>
          <t>Net Income reportado (lucro liquido) - base do check IS</t>
        </is>
      </c>
      <c r="D4" s="16">
        <f>INDEX('Inputs (2)'!$D$50:$AL$50,MATCH(D$7,'Inputs (2)'!$D$2:$AL$2,0))</f>
        <v>1456.5</v>
      </c>
      <c r="E4" s="16">
        <f>INDEX('Inputs (2)'!$D$50:$AL$50,MATCH(E$7,'Inputs (2)'!$D$2:$AL$2,0))</f>
        <v>1412</v>
      </c>
      <c r="F4" s="16">
        <f>INDEX('Inputs (2)'!$D$50:$AL$50,MATCH(F$7,'Inputs (2)'!$D$2:$AL$2,0))</f>
        <v>1208.4</v>
      </c>
      <c r="G4" s="16">
        <f>INDEX('Inputs (2)'!$D$50:$AL$50,MATCH(G$7,'Inputs (2)'!$D$2:$AL$2,0))</f>
        <v>2116.8</v>
      </c>
      <c r="H4" s="16">
        <f>IF(COUNT(D4:G4)=4,SUM(D4:G4),"")</f>
        <v>6193.7</v>
      </c>
      <c r="I4" s="16">
        <f>INDEX('Inputs (2)'!$D$50:$AL$50,MATCH(I$7,'Inputs (2)'!$D$2:$AL$2,0))</f>
        <v>1355.3</v>
      </c>
      <c r="J4" s="16">
        <f>INDEX('Inputs (2)'!$D$50:$AL$50,MATCH(J$7,'Inputs (2)'!$D$2:$AL$2,0))</f>
        <v>1390.2</v>
      </c>
      <c r="K4" s="16">
        <f>INDEX('Inputs (2)'!$D$50:$AL$50,MATCH(K$7,'Inputs (2)'!$D$2:$AL$2,0))</f>
        <v>1110.1</v>
      </c>
      <c r="L4" s="16">
        <f>INDEX('Inputs (2)'!$D$50:$AL$50,MATCH(L$7,'Inputs (2)'!$D$2:$AL$2,0))</f>
        <v>1726.1</v>
      </c>
      <c r="M4" s="16">
        <f>IF(COUNT(I4:L4)=4,SUM(I4:L4),"")</f>
        <v>5581.7</v>
      </c>
      <c r="N4" s="16">
        <f>INDEX('Inputs (2)'!$D$50:$AL$50,MATCH(N$7,'Inputs (2)'!$D$2:$AL$2,0))</f>
        <v>1902.9</v>
      </c>
      <c r="O4" s="16">
        <f>INDEX('Inputs (2)'!$D$50:$AL$50,MATCH(O$7,'Inputs (2)'!$D$2:$AL$2,0))</f>
        <v>952.5</v>
      </c>
      <c r="P4" s="16">
        <f>INDEX('Inputs (2)'!$D$50:$AL$50,MATCH(P$7,'Inputs (2)'!$D$2:$AL$2,0))</f>
        <v>1451.7</v>
      </c>
      <c r="Q4" s="16">
        <f>INDEX('Inputs (2)'!$D$50:$AL$50,MATCH(Q$7,'Inputs (2)'!$D$2:$AL$2,0))</f>
        <v>1937.7</v>
      </c>
      <c r="R4" s="16">
        <f>IF(COUNT(N4:Q4)=4,SUM(N4:Q4),"")</f>
        <v>6244.8</v>
      </c>
      <c r="S4" s="16">
        <f>INDEX('Inputs (2)'!$D$50:$AL$50,MATCH(S$7,'Inputs (2)'!$D$2:$AL$2,0))</f>
        <v>1344.9</v>
      </c>
      <c r="T4" s="16">
        <f>INDEX('Inputs (2)'!$D$50:$AL$50,MATCH(T$7,'Inputs (2)'!$D$2:$AL$2,0))</f>
        <v>1763.2</v>
      </c>
      <c r="U4" s="16">
        <f>INDEX('Inputs (2)'!$D$50:$AL$50,MATCH(U$7,'Inputs (2)'!$D$2:$AL$2,0))</f>
        <v>-57.4</v>
      </c>
      <c r="V4" s="16">
        <f>INDEX('Inputs (2)'!$D$50:$AL$50,MATCH(V$7,'Inputs (2)'!$D$2:$AL$2,0))</f>
        <v>2189.7</v>
      </c>
      <c r="W4" s="16">
        <f>IF(COUNT(S4:V4)=4,SUM(S4:V4),"")</f>
        <v>5240.4</v>
      </c>
      <c r="X4" s="16">
        <f>INDEX('Inputs (2)'!$D$50:$AL$50,MATCH(X$7,'Inputs (2)'!$D$2:$AL$2,0))</f>
        <v>2242.9</v>
      </c>
      <c r="Y4" s="16">
        <f>INDEX('Inputs (2)'!$D$50:$AL$50,MATCH(Y$7,'Inputs (2)'!$D$2:$AL$2,0))</f>
        <v>2967</v>
      </c>
      <c r="Z4" s="16">
        <f>INDEX('Inputs (2)'!$D$50:$AL$50,MATCH(Z$7,'Inputs (2)'!$D$2:$AL$2,0))</f>
        <v>970.3</v>
      </c>
      <c r="AA4" s="16">
        <f>INDEX('Inputs (2)'!$D$50:$AL$50,MATCH(AA$7,'Inputs (2)'!$D$2:$AL$2,0))</f>
        <v>4409.8</v>
      </c>
      <c r="AB4" s="16">
        <f>IF(COUNT(X4:AA4)=4,SUM(X4:AA4),"")</f>
        <v>10590</v>
      </c>
      <c r="AC4" s="16">
        <f>INDEX('Inputs (2)'!$D$50:$AL$50,MATCH(AC$7,'Inputs (2)'!$D$2:$AL$2,0))</f>
        <v>2759</v>
      </c>
      <c r="AD4" s="16">
        <f>INDEX('Inputs (2)'!$D$50:$AL$50,MATCH(AD$7,'Inputs (2)'!$D$2:$AL$2,0))</f>
        <v>5661</v>
      </c>
      <c r="AE4" s="16">
        <f>INDEX('Inputs (2)'!$D$50:$AL$50,MATCH(AE$7,'Inputs (2)'!$D$2:$AL$2,0))</f>
        <v>5582.5</v>
      </c>
      <c r="AF4" s="16">
        <f>INDEX('Inputs (2)'!$D$50:$AL$50,MATCH(AF$7,'Inputs (2)'!$D$2:$AL$2,0))</f>
        <v>6637.7</v>
      </c>
      <c r="AG4" s="16">
        <f>IF(COUNT(AC4:AF4)=4,SUM(AC4:AF4),"")</f>
        <v>20640.2</v>
      </c>
      <c r="AH4" s="6">
        <f>INDEX('Inputs (2)'!$D$50:$AL$50,MATCH(AH$7,'Inputs (2)'!$D$2:$AL$2,0))</f>
        <v>7396</v>
      </c>
      <c r="AI4" s="6">
        <f>INDEX('Inputs (2)'!$D$50:$AL$50,MATCH(AI$7,'Inputs (2)'!$D$2:$AL$2,0))</f>
        <v>7095</v>
      </c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</row>
    <row r="5">
      <c r="B5" s="7" t="n">
        <v>45930</v>
      </c>
      <c r="D5" s="9" t="n">
        <v>43921</v>
      </c>
      <c r="E5" s="10">
        <f>DATE(YEAR(D5),MONTH(D5)+3,DAY(D5)-1)</f>
        <v>44012.0</v>
      </c>
      <c r="F5" s="10">
        <f>DATE(YEAR(E5),MONTH(E5)+3,DAY(E5))</f>
        <v>44104.0</v>
      </c>
      <c r="G5" s="10">
        <f>DATE(YEAR(F5),MONTH(F5)+3,DAY(F5)+1)</f>
        <v>44196.0</v>
      </c>
      <c r="H5" s="8">
        <f>G5</f>
        <v>44196.0</v>
      </c>
      <c r="I5" s="9" t="n">
        <v>44286</v>
      </c>
      <c r="J5" s="10">
        <f>DATE(YEAR(I5),MONTH(I5)+3,DAY(I5)-1)</f>
        <v>44377.0</v>
      </c>
      <c r="K5" s="10">
        <f>DATE(YEAR(J5),MONTH(J5)+3,DAY(J5))</f>
        <v>44469.0</v>
      </c>
      <c r="L5" s="10">
        <f>DATE(YEAR(K5),MONTH(K5)+3,DAY(K5)+1)</f>
        <v>44561.0</v>
      </c>
      <c r="M5" s="8">
        <f>L5</f>
        <v>44561.0</v>
      </c>
      <c r="N5" s="10">
        <f>DATE(YEAR(M5),MONTH(M5)+3,DAY(M5))</f>
        <v>44651.0</v>
      </c>
      <c r="O5" s="10">
        <f>DATE(YEAR(N5),MONTH(N5)+3,DAY(N5)-1)</f>
        <v>44742.0</v>
      </c>
      <c r="P5" s="10">
        <f>DATE(YEAR(O5),MONTH(O5)+3,DAY(O5))</f>
        <v>44834.0</v>
      </c>
      <c r="Q5" s="10">
        <f>DATE(YEAR(P5),MONTH(P5)+3,DAY(P5)+1)</f>
        <v>44926.0</v>
      </c>
      <c r="R5" s="8">
        <f>Q5</f>
        <v>44926.0</v>
      </c>
      <c r="S5" s="10">
        <f>DATE(YEAR(R5),MONTH(R5)+3,DAY(R5))</f>
        <v>45016.0</v>
      </c>
      <c r="T5" s="10">
        <f>DATE(YEAR(S5),MONTH(S5)+3,DAY(S5))-1</f>
        <v>45107.0</v>
      </c>
      <c r="U5" s="10">
        <f>DATE(YEAR(T5),MONTH(T5)+3,DAY(T5))</f>
        <v>45199.0</v>
      </c>
      <c r="V5" s="10">
        <f>DATE(YEAR(U5),MONTH(U5)+3,DAY(U5))+1</f>
        <v>45291.0</v>
      </c>
      <c r="W5" s="8">
        <f>V5</f>
        <v>45291.0</v>
      </c>
      <c r="X5" s="10">
        <f>DATE(YEAR(W5),MONTH(W5)+3,DAY(W5))</f>
        <v>45382.0</v>
      </c>
      <c r="Y5" s="10">
        <f>DATE(YEAR(X5),MONTH(X5)+3,DAY(X5))-1</f>
        <v>45473.0</v>
      </c>
      <c r="Z5" s="10">
        <f>DATE(YEAR(Y5),MONTH(Y5)+3,DAY(Y5))</f>
        <v>45565.0</v>
      </c>
      <c r="AA5" s="10">
        <f>DATE(YEAR(Z5),MONTH(Z5)+3,DAY(Z5))+1</f>
        <v>45657.0</v>
      </c>
      <c r="AB5" s="8">
        <f>AA5</f>
        <v>45657.0</v>
      </c>
      <c r="AC5" s="10">
        <f>DATE(YEAR(AB5),MONTH(AB5)+3,DAY(AB5))</f>
        <v>45747.0</v>
      </c>
      <c r="AD5" s="10">
        <f>DATE(YEAR(AC5),MONTH(AC5)+3,DAY(AC5))-1</f>
        <v>45838.0</v>
      </c>
      <c r="AE5" s="10">
        <f>DATE(YEAR(AD5),MONTH(AD5)+3,DAY(AD5))</f>
        <v>45930.0</v>
      </c>
      <c r="AF5" s="10">
        <f>DATE(YEAR(AE5),MONTH(AE5)+3,DAY(AE5))+1</f>
        <v>46022.0</v>
      </c>
      <c r="AG5" s="8">
        <f>AF5</f>
        <v>46022.0</v>
      </c>
      <c r="AH5" s="10">
        <f>DATE(YEAR(AG5),MONTH(AG5)+3,DAY(AG5))</f>
        <v>46112.0</v>
      </c>
      <c r="AI5" s="10">
        <f>DATE(YEAR(AH5),MONTH(AH5)+3,DAY(AH5))-1</f>
        <v>46203.0</v>
      </c>
      <c r="AJ5" s="10">
        <f>DATE(YEAR(AI5),MONTH(AI5)+3,DAY(AI5))</f>
        <v>46295.0</v>
      </c>
      <c r="AK5" s="10">
        <f>DATE(YEAR(AJ5),MONTH(AJ5)+3,DAY(AJ5))+1</f>
        <v>46387.0</v>
      </c>
      <c r="AL5" s="8">
        <f>AK5</f>
        <v>46387.0</v>
      </c>
      <c r="AM5" s="10">
        <f>DATE(YEAR(AL5),MONTH(AL5)+3,DAY(AL5))</f>
        <v>46477.0</v>
      </c>
      <c r="AN5" s="10">
        <f>DATE(YEAR(AM5),MONTH(AM5)+3,DAY(AM5))-1</f>
        <v>46568.0</v>
      </c>
      <c r="AO5" s="10">
        <f>DATE(YEAR(AN5),MONTH(AN5)+3,DAY(AN5))</f>
        <v>46660.0</v>
      </c>
      <c r="AP5" s="10">
        <f>DATE(YEAR(AO5),MONTH(AO5)+3,DAY(AO5))+1</f>
        <v>46752.0</v>
      </c>
      <c r="AQ5" s="8">
        <f>AP5</f>
        <v>46752.0</v>
      </c>
      <c r="AR5" s="10">
        <f>DATE(YEAR(AQ5),MONTH(AQ5)+3,DAY(AQ5))</f>
        <v>46843.0</v>
      </c>
      <c r="AS5" s="10">
        <f>DATE(YEAR(AR5),MONTH(AR5)+3,DAY(AR5))-1</f>
        <v>46934.0</v>
      </c>
      <c r="AT5" s="10">
        <f>DATE(YEAR(AS5),MONTH(AS5)+3,DAY(AS5))</f>
        <v>47026.0</v>
      </c>
      <c r="AU5" s="10">
        <f>DATE(YEAR(AT5),MONTH(AT5)+3,DAY(AT5))+1</f>
        <v>47118.0</v>
      </c>
      <c r="AV5" s="8">
        <f>AU5</f>
        <v>47118.0</v>
      </c>
      <c r="AW5" s="10">
        <f>DATE(YEAR(AV5),MONTH(AV5)+3,DAY(AV5))</f>
        <v>47208.0</v>
      </c>
      <c r="AX5" s="10">
        <f>DATE(YEAR(AW5),MONTH(AW5)+3,DAY(AW5))-1</f>
        <v>47299.0</v>
      </c>
      <c r="AY5" s="10">
        <f>DATE(YEAR(AX5),MONTH(AX5)+3,DAY(AX5))</f>
        <v>47391.0</v>
      </c>
      <c r="AZ5" s="10">
        <f>DATE(YEAR(AY5),MONTH(AY5)+3,DAY(AY5))+1</f>
        <v>47483.0</v>
      </c>
      <c r="BA5" s="8">
        <f>AZ5</f>
        <v>47483.0</v>
      </c>
      <c r="BB5" s="10">
        <f>DATE(YEAR(BA5),MONTH(BA5)+3,DAY(BA5))</f>
        <v>47573.0</v>
      </c>
      <c r="BC5" s="10">
        <f>DATE(YEAR(BB5),MONTH(BB5)+3,DAY(BB5))-1</f>
        <v>47664.0</v>
      </c>
      <c r="BD5" s="10">
        <f>DATE(YEAR(BC5),MONTH(BC5)+3,DAY(BC5))</f>
        <v>47756.0</v>
      </c>
      <c r="BE5" s="10">
        <f>DATE(YEAR(BD5),MONTH(BD5)+3,DAY(BD5))+1</f>
        <v>47848.0</v>
      </c>
      <c r="BF5" s="8">
        <f>BE5</f>
        <v>47848.0</v>
      </c>
      <c r="BG5" s="10">
        <f>DATE(YEAR(BF5),MONTH(BF5)+3,DAY(BF5))</f>
        <v>47938.0</v>
      </c>
      <c r="BH5" s="10">
        <f>DATE(YEAR(BG5),MONTH(BG5)+3,DAY(BG5))-1</f>
        <v>48029.0</v>
      </c>
      <c r="BI5" s="10">
        <f>DATE(YEAR(BH5),MONTH(BH5)+3,DAY(BH5))</f>
        <v>48121.0</v>
      </c>
      <c r="BJ5" s="10">
        <f>DATE(YEAR(BI5),MONTH(BI5)+3,DAY(BI5))+1</f>
        <v>48213.0</v>
      </c>
      <c r="BK5" s="8">
        <f>BJ5</f>
        <v>48213.0</v>
      </c>
      <c r="BL5" s="10">
        <f>DATE(YEAR(BK5),MONTH(BK5)+3,DAY(BK5))</f>
        <v>48304.0</v>
      </c>
      <c r="BM5" s="10">
        <f>DATE(YEAR(BL5),MONTH(BL5)+3,DAY(BL5))-1</f>
        <v>48395.0</v>
      </c>
      <c r="BN5" s="10">
        <f>DATE(YEAR(BM5),MONTH(BM5)+3,DAY(BM5))</f>
        <v>48487.0</v>
      </c>
      <c r="BO5" s="10">
        <f>DATE(YEAR(BN5),MONTH(BN5)+3,DAY(BN5))+1</f>
        <v>48579.0</v>
      </c>
      <c r="BP5" s="8">
        <f>BO5</f>
        <v>48579.0</v>
      </c>
      <c r="BQ5" s="10">
        <f>DATE(YEAR(BP5),MONTH(BP5)+3,DAY(BP5))</f>
        <v>48669.0</v>
      </c>
      <c r="BR5" s="10">
        <f>DATE(YEAR(BQ5),MONTH(BQ5)+3,DAY(BQ5))-1</f>
        <v>48760.0</v>
      </c>
      <c r="BS5" s="10">
        <f>DATE(YEAR(BR5),MONTH(BR5)+3,DAY(BR5))</f>
        <v>48852.0</v>
      </c>
      <c r="BT5" s="10">
        <f>DATE(YEAR(BS5),MONTH(BS5)+3,DAY(BS5))+1</f>
        <v>48944.0</v>
      </c>
      <c r="BU5" s="8">
        <f>BT5</f>
        <v>48944.0</v>
      </c>
      <c r="BV5" s="10">
        <f>DATE(YEAR(BU5),MONTH(BU5)+3,DAY(BU5))</f>
        <v>49034.0</v>
      </c>
      <c r="BW5" s="10">
        <f>DATE(YEAR(BV5),MONTH(BV5)+3,DAY(BV5))-1</f>
        <v>49125.0</v>
      </c>
      <c r="BX5" s="10">
        <f>DATE(YEAR(BW5),MONTH(BW5)+3,DAY(BW5))</f>
        <v>49217.0</v>
      </c>
      <c r="BY5" s="10">
        <f>DATE(YEAR(BX5),MONTH(BX5)+3,DAY(BX5))+1</f>
        <v>49309.0</v>
      </c>
      <c r="BZ5" s="8">
        <f>BY5</f>
        <v>49309.0</v>
      </c>
      <c r="CA5" s="10">
        <f>DATE(YEAR(BZ5),MONTH(BZ5)+3,DAY(BZ5))</f>
        <v>49399.0</v>
      </c>
      <c r="CB5" s="10">
        <f>DATE(YEAR(CA5),MONTH(CA5)+3,DAY(CA5))-1</f>
        <v>49490.0</v>
      </c>
      <c r="CC5" s="10">
        <f>DATE(YEAR(CB5),MONTH(CB5)+3,DAY(CB5))</f>
        <v>49582.0</v>
      </c>
      <c r="CD5" s="10">
        <f>DATE(YEAR(CC5),MONTH(CC5)+3,DAY(CC5))+1</f>
        <v>49674.0</v>
      </c>
      <c r="CE5" s="8">
        <f>CD5</f>
        <v>49674.0</v>
      </c>
      <c r="CF5" s="10">
        <f>DATE(YEAR(CE5),MONTH(CE5)+3,DAY(CE5))</f>
        <v>49765.0</v>
      </c>
      <c r="CG5" s="10">
        <f>DATE(YEAR(CF5),MONTH(CF5)+3,DAY(CF5))-1</f>
        <v>49856.0</v>
      </c>
      <c r="CH5" s="10">
        <f>DATE(YEAR(CG5),MONTH(CG5)+3,DAY(CG5))</f>
        <v>49948.0</v>
      </c>
      <c r="CI5" s="10">
        <f>DATE(YEAR(CH5),MONTH(CH5)+3,DAY(CH5))+1</f>
        <v>50040.0</v>
      </c>
      <c r="CJ5" s="8">
        <f>CI5</f>
        <v>50040.0</v>
      </c>
      <c r="CK5" s="10">
        <f>DATE(YEAR(CJ5),MONTH(CJ5)+3,DAY(CJ5))</f>
        <v>50130.0</v>
      </c>
      <c r="CL5" s="10">
        <f>DATE(YEAR(CK5),MONTH(CK5)+3,DAY(CK5))-1</f>
        <v>50221.0</v>
      </c>
      <c r="CM5" s="10">
        <f>DATE(YEAR(CL5),MONTH(CL5)+3,DAY(CL5))</f>
        <v>50313.0</v>
      </c>
      <c r="CN5" s="10">
        <f>DATE(YEAR(CM5),MONTH(CM5)+3,DAY(CM5))+1</f>
        <v>50405.0</v>
      </c>
      <c r="CO5" s="8">
        <f>CN5</f>
        <v>50405.0</v>
      </c>
      <c r="CP5" s="10">
        <f>DATE(YEAR(CO5),MONTH(CO5)+3,DAY(CO5))</f>
        <v>50495.0</v>
      </c>
      <c r="CQ5" s="10">
        <f>DATE(YEAR(CP5),MONTH(CP5)+3,DAY(CP5))-1</f>
        <v>50586.0</v>
      </c>
      <c r="CR5" s="10">
        <f>DATE(YEAR(CQ5),MONTH(CQ5)+3,DAY(CQ5))</f>
        <v>50678.0</v>
      </c>
      <c r="CS5" s="10">
        <f>DATE(YEAR(CR5),MONTH(CR5)+3,DAY(CR5))+1</f>
        <v>50770.0</v>
      </c>
      <c r="CT5" s="8">
        <f>CS5</f>
        <v>50770.0</v>
      </c>
      <c r="CU5" s="10">
        <f>DATE(YEAR(CT5),MONTH(CT5)+3,DAY(CT5))</f>
        <v>50860.0</v>
      </c>
      <c r="CV5" s="10">
        <f>DATE(YEAR(CU5),MONTH(CU5)+3,DAY(CU5))-1</f>
        <v>50951.0</v>
      </c>
      <c r="CW5" s="10">
        <f>DATE(YEAR(CV5),MONTH(CV5)+3,DAY(CV5))</f>
        <v>51043.0</v>
      </c>
      <c r="CX5" s="10">
        <f>DATE(YEAR(CW5),MONTH(CW5)+3,DAY(CW5))+1</f>
        <v>51135.0</v>
      </c>
      <c r="CY5" s="8">
        <f>CX5</f>
        <v>51135.0</v>
      </c>
    </row>
    <row r="6">
      <c r="B6" s="49" t="n"/>
      <c r="D6" s="11">
        <f>YEAR(D5)</f>
        <v>2020</v>
      </c>
      <c r="E6" s="11">
        <f>YEAR(E5)</f>
        <v>2020</v>
      </c>
      <c r="F6" s="11">
        <f>YEAR(F5)</f>
        <v>2020</v>
      </c>
      <c r="G6" s="11">
        <f>YEAR(G5)</f>
        <v>2020</v>
      </c>
      <c r="H6" s="11">
        <f>YEAR(H5)</f>
        <v>2020</v>
      </c>
      <c r="I6" s="11">
        <f>YEAR(I5)</f>
        <v>2021</v>
      </c>
      <c r="J6" s="11">
        <f>YEAR(J5)</f>
        <v>2021</v>
      </c>
      <c r="K6" s="11">
        <f>YEAR(K5)</f>
        <v>2021</v>
      </c>
      <c r="L6" s="11">
        <f>YEAR(L5)</f>
        <v>2021</v>
      </c>
      <c r="M6" s="11">
        <f>YEAR(M5)</f>
        <v>2021</v>
      </c>
      <c r="N6" s="11">
        <f>YEAR(N5)</f>
        <v>2022</v>
      </c>
      <c r="O6" s="11">
        <f>YEAR(O5)</f>
        <v>2022</v>
      </c>
      <c r="P6" s="11">
        <f>YEAR(P5)</f>
        <v>2022</v>
      </c>
      <c r="Q6" s="11">
        <f>YEAR(Q5)</f>
        <v>2022</v>
      </c>
      <c r="R6" s="11">
        <f>YEAR(R5)</f>
        <v>2022</v>
      </c>
      <c r="S6" s="11">
        <f>YEAR(S5)</f>
        <v>2023</v>
      </c>
      <c r="T6" s="11">
        <f>YEAR(T5)</f>
        <v>2023</v>
      </c>
      <c r="U6" s="11">
        <f>YEAR(U5)</f>
        <v>2023</v>
      </c>
      <c r="V6" s="11">
        <f>YEAR(V5)</f>
        <v>2023</v>
      </c>
      <c r="W6" s="11">
        <f>YEAR(W5)</f>
        <v>2023</v>
      </c>
      <c r="X6" s="11">
        <f>YEAR(X5)</f>
        <v>2024</v>
      </c>
      <c r="Y6" s="11">
        <f>YEAR(Y5)</f>
        <v>2024</v>
      </c>
      <c r="Z6" s="11">
        <f>YEAR(Z5)</f>
        <v>2024</v>
      </c>
      <c r="AA6" s="11">
        <f>YEAR(AA5)</f>
        <v>2024</v>
      </c>
      <c r="AB6" s="11">
        <f>YEAR(AB5)</f>
        <v>2024</v>
      </c>
      <c r="AC6" s="11">
        <f>YEAR(AC5)</f>
        <v>2025</v>
      </c>
      <c r="AD6" s="11">
        <f>YEAR(AD5)</f>
        <v>2025</v>
      </c>
      <c r="AE6" s="11">
        <f>YEAR(AE5)</f>
        <v>2025</v>
      </c>
      <c r="AF6" s="11">
        <f>YEAR(AF5)</f>
        <v>2025</v>
      </c>
      <c r="AG6" s="11">
        <f>YEAR(AG5)</f>
        <v>2025</v>
      </c>
      <c r="AH6" s="11">
        <f>YEAR(AH5)</f>
        <v>2026</v>
      </c>
      <c r="AI6" s="11">
        <f>YEAR(AI5)</f>
        <v>2026</v>
      </c>
      <c r="AJ6" s="11">
        <f>YEAR(AJ5)</f>
        <v>2026</v>
      </c>
      <c r="AK6" s="11">
        <f>YEAR(AK5)</f>
        <v>2026</v>
      </c>
      <c r="AL6" s="11">
        <f>YEAR(AL5)</f>
        <v>2026</v>
      </c>
      <c r="AM6" s="11">
        <f>YEAR(AM5)</f>
        <v>2027</v>
      </c>
      <c r="AN6" s="11">
        <f>YEAR(AN5)</f>
        <v>2027</v>
      </c>
      <c r="AO6" s="11">
        <f>YEAR(AO5)</f>
        <v>2027</v>
      </c>
      <c r="AP6" s="11">
        <f>YEAR(AP5)</f>
        <v>2027</v>
      </c>
      <c r="AQ6" s="11">
        <f>YEAR(AQ5)</f>
        <v>2027</v>
      </c>
      <c r="AR6" s="11">
        <f>YEAR(AR5)</f>
        <v>2028</v>
      </c>
      <c r="AS6" s="11">
        <f>YEAR(AS5)</f>
        <v>2028</v>
      </c>
      <c r="AT6" s="11">
        <f>YEAR(AT5)</f>
        <v>2028</v>
      </c>
      <c r="AU6" s="11">
        <f>YEAR(AU5)</f>
        <v>2028</v>
      </c>
      <c r="AV6" s="11">
        <f>YEAR(AV5)</f>
        <v>2028</v>
      </c>
      <c r="AW6" s="11">
        <f>YEAR(AW5)</f>
        <v>2029</v>
      </c>
      <c r="AX6" s="11">
        <f>YEAR(AX5)</f>
        <v>2029</v>
      </c>
      <c r="AY6" s="11">
        <f>YEAR(AY5)</f>
        <v>2029</v>
      </c>
      <c r="AZ6" s="11">
        <f>YEAR(AZ5)</f>
        <v>2029</v>
      </c>
      <c r="BA6" s="11">
        <f>YEAR(BA5)</f>
        <v>2029</v>
      </c>
      <c r="BB6" s="11">
        <f>YEAR(BB5)</f>
        <v>2030</v>
      </c>
      <c r="BC6" s="11">
        <f>YEAR(BC5)</f>
        <v>2030</v>
      </c>
      <c r="BD6" s="11">
        <f>YEAR(BD5)</f>
        <v>2030</v>
      </c>
      <c r="BE6" s="11">
        <f>YEAR(BE5)</f>
        <v>2030</v>
      </c>
      <c r="BF6" s="11">
        <f>YEAR(BF5)</f>
        <v>2030</v>
      </c>
      <c r="BG6" s="11">
        <f>YEAR(BG5)</f>
        <v>2031</v>
      </c>
      <c r="BH6" s="11">
        <f>YEAR(BH5)</f>
        <v>2031</v>
      </c>
      <c r="BI6" s="11">
        <f>YEAR(BI5)</f>
        <v>2031</v>
      </c>
      <c r="BJ6" s="11">
        <f>YEAR(BJ5)</f>
        <v>2031</v>
      </c>
      <c r="BK6" s="11">
        <f>YEAR(BK5)</f>
        <v>2031</v>
      </c>
      <c r="BL6" s="11">
        <f>YEAR(BL5)</f>
        <v>2032</v>
      </c>
      <c r="BM6" s="11">
        <f>YEAR(BM5)</f>
        <v>2032</v>
      </c>
      <c r="BN6" s="11">
        <f>YEAR(BN5)</f>
        <v>2032</v>
      </c>
      <c r="BO6" s="11">
        <f>YEAR(BO5)</f>
        <v>2032</v>
      </c>
      <c r="BP6" s="11">
        <f>YEAR(BP5)</f>
        <v>2032</v>
      </c>
      <c r="BQ6" s="11">
        <f>YEAR(BQ5)</f>
        <v>2033</v>
      </c>
      <c r="BR6" s="11">
        <f>YEAR(BR5)</f>
        <v>2033</v>
      </c>
      <c r="BS6" s="11">
        <f>YEAR(BS5)</f>
        <v>2033</v>
      </c>
      <c r="BT6" s="11">
        <f>YEAR(BT5)</f>
        <v>2033</v>
      </c>
      <c r="BU6" s="11">
        <f>YEAR(BU5)</f>
        <v>2033</v>
      </c>
      <c r="BV6" s="11">
        <f>YEAR(BV5)</f>
        <v>2034</v>
      </c>
      <c r="BW6" s="11">
        <f>YEAR(BW5)</f>
        <v>2034</v>
      </c>
      <c r="BX6" s="11">
        <f>YEAR(BX5)</f>
        <v>2034</v>
      </c>
      <c r="BY6" s="11">
        <f>YEAR(BY5)</f>
        <v>2034</v>
      </c>
      <c r="BZ6" s="11">
        <f>YEAR(BZ5)</f>
        <v>2034</v>
      </c>
      <c r="CA6" s="11">
        <f>YEAR(CA5)</f>
        <v>2035</v>
      </c>
      <c r="CB6" s="11">
        <f>YEAR(CB5)</f>
        <v>2035</v>
      </c>
      <c r="CC6" s="11">
        <f>YEAR(CC5)</f>
        <v>2035</v>
      </c>
      <c r="CD6" s="11">
        <f>YEAR(CD5)</f>
        <v>2035</v>
      </c>
      <c r="CE6" s="11">
        <f>YEAR(CE5)</f>
        <v>2035</v>
      </c>
      <c r="CF6" s="11">
        <f>YEAR(CF5)</f>
        <v>2036</v>
      </c>
      <c r="CG6" s="11">
        <f>YEAR(CG5)</f>
        <v>2036</v>
      </c>
      <c r="CH6" s="11">
        <f>YEAR(CH5)</f>
        <v>2036</v>
      </c>
      <c r="CI6" s="11">
        <f>YEAR(CI5)</f>
        <v>2036</v>
      </c>
      <c r="CJ6" s="11">
        <f>YEAR(CJ5)</f>
        <v>2036</v>
      </c>
      <c r="CK6" s="11">
        <f>YEAR(CK5)</f>
        <v>2037</v>
      </c>
      <c r="CL6" s="11">
        <f>YEAR(CL5)</f>
        <v>2037</v>
      </c>
      <c r="CM6" s="11">
        <f>YEAR(CM5)</f>
        <v>2037</v>
      </c>
      <c r="CN6" s="11">
        <f>YEAR(CN5)</f>
        <v>2037</v>
      </c>
      <c r="CO6" s="11">
        <f>YEAR(CO5)</f>
        <v>2037</v>
      </c>
      <c r="CP6" s="11">
        <f>YEAR(CP5)</f>
        <v>2038</v>
      </c>
      <c r="CQ6" s="11">
        <f>YEAR(CQ5)</f>
        <v>2038</v>
      </c>
      <c r="CR6" s="11">
        <f>YEAR(CR5)</f>
        <v>2038</v>
      </c>
      <c r="CS6" s="11">
        <f>YEAR(CS5)</f>
        <v>2038</v>
      </c>
      <c r="CT6" s="11">
        <f>YEAR(CT5)</f>
        <v>2038</v>
      </c>
      <c r="CU6" s="11">
        <f>YEAR(CU5)</f>
        <v>2039</v>
      </c>
      <c r="CV6" s="11">
        <f>YEAR(CV5)</f>
        <v>2039</v>
      </c>
      <c r="CW6" s="11">
        <f>YEAR(CW5)</f>
        <v>2039</v>
      </c>
      <c r="CX6" s="11">
        <f>YEAR(CX5)</f>
        <v>2039</v>
      </c>
      <c r="CY6" s="11">
        <f>YEAR(CY5)</f>
        <v>2039</v>
      </c>
    </row>
    <row r="7">
      <c r="B7" s="4" t="n"/>
      <c r="D7" s="50" t="str">
        <f>"1Q"&amp;RIGHT(D6,2)</f>
        <v>1Q20</v>
      </c>
      <c r="E7" s="50" t="str">
        <f>"2Q"&amp;RIGHT(E6,2)</f>
        <v>2Q20</v>
      </c>
      <c r="F7" s="50" t="str">
        <f>"3Q"&amp;RIGHT(F6,2)</f>
        <v>3Q20</v>
      </c>
      <c r="G7" s="50" t="str">
        <f>"4Q"&amp;RIGHT(G6,2)</f>
        <v>4Q20</v>
      </c>
      <c r="H7" s="31" t="n">
        <v>2020</v>
      </c>
      <c r="I7" s="50" t="str">
        <f>"1Q"&amp;RIGHT(I6,2)</f>
        <v>1Q21</v>
      </c>
      <c r="J7" s="50" t="str">
        <f>"2Q"&amp;RIGHT(J6,2)</f>
        <v>2Q21</v>
      </c>
      <c r="K7" s="50" t="str">
        <f>"3Q"&amp;RIGHT(K6,2)</f>
        <v>3Q21</v>
      </c>
      <c r="L7" s="50" t="str">
        <f>"4Q"&amp;RIGHT(L6,2)</f>
        <v>4Q21</v>
      </c>
      <c r="M7" s="31">
        <f>H7+1</f>
        <v>2021</v>
      </c>
      <c r="N7" s="50" t="str">
        <f>"1Q"&amp;RIGHT(N6,2)</f>
        <v>1Q22</v>
      </c>
      <c r="O7" s="50" t="str">
        <f>"2Q"&amp;RIGHT(O6,2)</f>
        <v>2Q22</v>
      </c>
      <c r="P7" s="50" t="str">
        <f>"3Q"&amp;RIGHT(P6,2)</f>
        <v>3Q22</v>
      </c>
      <c r="Q7" s="50" t="str">
        <f>"4Q"&amp;RIGHT(Q6,2)</f>
        <v>4Q22</v>
      </c>
      <c r="R7" s="31">
        <f>M7+1</f>
        <v>2022</v>
      </c>
      <c r="S7" s="50" t="str">
        <f>"1Q"&amp;RIGHT(S6,2)</f>
        <v>1Q23</v>
      </c>
      <c r="T7" s="50" t="str">
        <f>"2Q"&amp;RIGHT(T6,2)</f>
        <v>2Q23</v>
      </c>
      <c r="U7" s="50" t="str">
        <f>"3Q"&amp;RIGHT(U6,2)</f>
        <v>3Q23</v>
      </c>
      <c r="V7" s="50" t="str">
        <f>"4Q"&amp;RIGHT(V6,2)</f>
        <v>4Q23</v>
      </c>
      <c r="W7" s="31">
        <f>R7+1</f>
        <v>2023</v>
      </c>
      <c r="X7" s="50" t="str">
        <f>"1Q"&amp;RIGHT(X6,2)</f>
        <v>1Q24</v>
      </c>
      <c r="Y7" s="50" t="str">
        <f>"2Q"&amp;RIGHT(Y6,2)</f>
        <v>2Q24</v>
      </c>
      <c r="Z7" s="50" t="str">
        <f>"3Q"&amp;RIGHT(Z6,2)</f>
        <v>3Q24</v>
      </c>
      <c r="AA7" s="50" t="str">
        <f>"4Q"&amp;RIGHT(AA6,2)</f>
        <v>4Q24</v>
      </c>
      <c r="AB7" s="31">
        <f>W7+1</f>
        <v>2024</v>
      </c>
      <c r="AC7" s="50" t="str">
        <f>"1Q"&amp;RIGHT(AC6,2)</f>
        <v>1Q25</v>
      </c>
      <c r="AD7" s="50" t="str">
        <f>"2Q"&amp;RIGHT(AD6,2)</f>
        <v>2Q25</v>
      </c>
      <c r="AE7" s="50" t="str">
        <f>"3Q"&amp;RIGHT(AE6,2)</f>
        <v>3Q25</v>
      </c>
      <c r="AF7" s="50" t="str">
        <f>"4Q"&amp;RIGHT(AF6,2)</f>
        <v>4Q25</v>
      </c>
      <c r="AG7" s="31">
        <f>AB7+1</f>
        <v>2025</v>
      </c>
      <c r="AH7" s="50" t="str">
        <f>"1Q"&amp;RIGHT(AH6,2)</f>
        <v>1Q26</v>
      </c>
      <c r="AI7" s="50" t="str">
        <f>"2Q"&amp;RIGHT(AI6,2)</f>
        <v>2Q26</v>
      </c>
      <c r="AJ7" s="50" t="str">
        <f>"3Q"&amp;RIGHT(AJ6,2)</f>
        <v>3Q26</v>
      </c>
      <c r="AK7" s="50" t="str">
        <f>"4Q"&amp;RIGHT(AK6,2)</f>
        <v>4Q26</v>
      </c>
      <c r="AL7" s="31">
        <f>AG7+1</f>
        <v>2026</v>
      </c>
      <c r="AM7" s="50" t="str">
        <f>"1Q"&amp;RIGHT(AM6,2)</f>
        <v>1Q27</v>
      </c>
      <c r="AN7" s="50" t="str">
        <f>"2Q"&amp;RIGHT(AN6,2)</f>
        <v>2Q27</v>
      </c>
      <c r="AO7" s="50" t="str">
        <f>"3Q"&amp;RIGHT(AO6,2)</f>
        <v>3Q27</v>
      </c>
      <c r="AP7" s="50" t="str">
        <f>"4Q"&amp;RIGHT(AP6,2)</f>
        <v>4Q27</v>
      </c>
      <c r="AQ7" s="31">
        <f>AL7+1</f>
        <v>2027</v>
      </c>
      <c r="AR7" s="50" t="str">
        <f>"1Q"&amp;RIGHT(AR6,2)</f>
        <v>1Q28</v>
      </c>
      <c r="AS7" s="50" t="str">
        <f>"2Q"&amp;RIGHT(AS6,2)</f>
        <v>2Q28</v>
      </c>
      <c r="AT7" s="50" t="str">
        <f>"3Q"&amp;RIGHT(AT6,2)</f>
        <v>3Q28</v>
      </c>
      <c r="AU7" s="50" t="str">
        <f>"4Q"&amp;RIGHT(AU6,2)</f>
        <v>4Q28</v>
      </c>
      <c r="AV7" s="31">
        <f>AQ7+1</f>
        <v>2028</v>
      </c>
      <c r="AW7" s="50" t="str">
        <f>"1Q"&amp;RIGHT(AW6,2)</f>
        <v>1Q29</v>
      </c>
      <c r="AX7" s="50" t="str">
        <f>"2Q"&amp;RIGHT(AX6,2)</f>
        <v>2Q29</v>
      </c>
      <c r="AY7" s="50" t="str">
        <f>"3Q"&amp;RIGHT(AY6,2)</f>
        <v>3Q29</v>
      </c>
      <c r="AZ7" s="50" t="str">
        <f>"4Q"&amp;RIGHT(AZ6,2)</f>
        <v>4Q29</v>
      </c>
      <c r="BA7" s="31">
        <f>AV7+1</f>
        <v>2029</v>
      </c>
      <c r="BB7" s="50" t="str">
        <f>"1Q"&amp;RIGHT(BB6,2)</f>
        <v>1Q30</v>
      </c>
      <c r="BC7" s="50" t="str">
        <f>"2Q"&amp;RIGHT(BC6,2)</f>
        <v>2Q30</v>
      </c>
      <c r="BD7" s="50" t="str">
        <f>"3Q"&amp;RIGHT(BD6,2)</f>
        <v>3Q30</v>
      </c>
      <c r="BE7" s="50" t="str">
        <f>"4Q"&amp;RIGHT(BE6,2)</f>
        <v>4Q30</v>
      </c>
      <c r="BF7" s="31">
        <f>BA7+1</f>
        <v>2030</v>
      </c>
      <c r="BG7" s="50" t="str">
        <f>"1Q"&amp;RIGHT(BG6,2)</f>
        <v>1Q31</v>
      </c>
      <c r="BH7" s="50" t="str">
        <f>"2Q"&amp;RIGHT(BH6,2)</f>
        <v>2Q31</v>
      </c>
      <c r="BI7" s="50" t="str">
        <f>"3Q"&amp;RIGHT(BI6,2)</f>
        <v>3Q31</v>
      </c>
      <c r="BJ7" s="50" t="str">
        <f>"4Q"&amp;RIGHT(BJ6,2)</f>
        <v>4Q31</v>
      </c>
      <c r="BK7" s="31">
        <f>BF7+1</f>
        <v>2031</v>
      </c>
      <c r="BL7" s="50" t="str">
        <f>"1Q"&amp;RIGHT(BL6,2)</f>
        <v>1Q32</v>
      </c>
      <c r="BM7" s="50" t="str">
        <f>"2Q"&amp;RIGHT(BM6,2)</f>
        <v>2Q32</v>
      </c>
      <c r="BN7" s="50" t="str">
        <f>"3Q"&amp;RIGHT(BN6,2)</f>
        <v>3Q32</v>
      </c>
      <c r="BO7" s="50" t="str">
        <f>"4Q"&amp;RIGHT(BO6,2)</f>
        <v>4Q32</v>
      </c>
      <c r="BP7" s="31">
        <f>BK7+1</f>
        <v>2032</v>
      </c>
      <c r="BQ7" s="50" t="str">
        <f>"1Q"&amp;RIGHT(BQ6,2)</f>
        <v>1Q33</v>
      </c>
      <c r="BR7" s="50" t="str">
        <f>"2Q"&amp;RIGHT(BR6,2)</f>
        <v>2Q33</v>
      </c>
      <c r="BS7" s="50" t="str">
        <f>"3Q"&amp;RIGHT(BS6,2)</f>
        <v>3Q33</v>
      </c>
      <c r="BT7" s="50" t="str">
        <f>"4Q"&amp;RIGHT(BT6,2)</f>
        <v>4Q33</v>
      </c>
      <c r="BU7" s="31">
        <f>BP7+1</f>
        <v>2033</v>
      </c>
      <c r="BV7" s="50" t="str">
        <f>"1Q"&amp;RIGHT(BV6,2)</f>
        <v>1Q34</v>
      </c>
      <c r="BW7" s="50" t="str">
        <f>"2Q"&amp;RIGHT(BW6,2)</f>
        <v>2Q34</v>
      </c>
      <c r="BX7" s="50" t="str">
        <f>"3Q"&amp;RIGHT(BX6,2)</f>
        <v>3Q34</v>
      </c>
      <c r="BY7" s="50" t="str">
        <f>"4Q"&amp;RIGHT(BY6,2)</f>
        <v>4Q34</v>
      </c>
      <c r="BZ7" s="31">
        <f>BU7+1</f>
        <v>2034</v>
      </c>
      <c r="CA7" s="50" t="str">
        <f>"1Q"&amp;RIGHT(CA6,2)</f>
        <v>1Q35</v>
      </c>
      <c r="CB7" s="50" t="str">
        <f>"2Q"&amp;RIGHT(CB6,2)</f>
        <v>2Q35</v>
      </c>
      <c r="CC7" s="50" t="str">
        <f>"3Q"&amp;RIGHT(CC6,2)</f>
        <v>3Q35</v>
      </c>
      <c r="CD7" s="50" t="str">
        <f>"4Q"&amp;RIGHT(CD6,2)</f>
        <v>4Q35</v>
      </c>
      <c r="CE7" s="31">
        <f>BZ7+1</f>
        <v>2035</v>
      </c>
      <c r="CF7" s="50" t="str">
        <f>"1Q"&amp;RIGHT(CF6,2)</f>
        <v>1Q36</v>
      </c>
      <c r="CG7" s="50" t="str">
        <f>"2Q"&amp;RIGHT(CG6,2)</f>
        <v>2Q36</v>
      </c>
      <c r="CH7" s="50" t="str">
        <f>"3Q"&amp;RIGHT(CH6,2)</f>
        <v>3Q36</v>
      </c>
      <c r="CI7" s="50" t="str">
        <f>"4Q"&amp;RIGHT(CI6,2)</f>
        <v>4Q36</v>
      </c>
      <c r="CJ7" s="31">
        <f>CE7+1</f>
        <v>2036</v>
      </c>
      <c r="CK7" s="50" t="str">
        <f>"1Q"&amp;RIGHT(CK6,2)</f>
        <v>1Q37</v>
      </c>
      <c r="CL7" s="50" t="str">
        <f>"2Q"&amp;RIGHT(CL6,2)</f>
        <v>2Q37</v>
      </c>
      <c r="CM7" s="50" t="str">
        <f>"3Q"&amp;RIGHT(CM6,2)</f>
        <v>3Q37</v>
      </c>
      <c r="CN7" s="50" t="str">
        <f>"4Q"&amp;RIGHT(CN6,2)</f>
        <v>4Q37</v>
      </c>
      <c r="CO7" s="31">
        <f>CJ7+1</f>
        <v>2037</v>
      </c>
      <c r="CP7" s="50" t="str">
        <f>"1Q"&amp;RIGHT(CP6,2)</f>
        <v>1Q38</v>
      </c>
      <c r="CQ7" s="50" t="str">
        <f>"2Q"&amp;RIGHT(CQ6,2)</f>
        <v>2Q38</v>
      </c>
      <c r="CR7" s="50" t="str">
        <f>"3Q"&amp;RIGHT(CR6,2)</f>
        <v>3Q38</v>
      </c>
      <c r="CS7" s="50" t="str">
        <f>"4Q"&amp;RIGHT(CS6,2)</f>
        <v>4Q38</v>
      </c>
      <c r="CT7" s="31">
        <f>CO7+1</f>
        <v>2038</v>
      </c>
      <c r="CU7" s="50" t="str">
        <f>"1Q"&amp;RIGHT(CU6,2)</f>
        <v>1Q39</v>
      </c>
      <c r="CV7" s="50" t="str">
        <f>"2Q"&amp;RIGHT(CV6,2)</f>
        <v>2Q39</v>
      </c>
      <c r="CW7" s="50" t="str">
        <f>"3Q"&amp;RIGHT(CW6,2)</f>
        <v>3Q39</v>
      </c>
      <c r="CX7" s="50" t="str">
        <f>"4Q"&amp;RIGHT(CX6,2)</f>
        <v>4Q39</v>
      </c>
      <c r="CY7" s="31">
        <f>CT7+1</f>
        <v>2039</v>
      </c>
    </row>
    <row r="8">
      <c r="B8" s="4" t="n"/>
      <c r="C8" s="4" t="inlineStr">
        <is>
          <t>IPCA</t>
        </is>
      </c>
      <c r="D8" s="50" t="n"/>
      <c r="E8" s="50" t="n"/>
      <c r="F8" s="50" t="n"/>
      <c r="G8" s="50" t="n"/>
      <c r="H8" s="227" t="n">
        <v>0.0485</v>
      </c>
      <c r="I8" s="50" t="n"/>
      <c r="J8" s="50" t="n"/>
      <c r="K8" s="50" t="n"/>
      <c r="L8" s="50" t="n"/>
      <c r="M8" s="227" t="n">
        <v>0.1006</v>
      </c>
      <c r="N8" s="50" t="n"/>
      <c r="O8" s="50" t="n"/>
      <c r="P8" s="50" t="n"/>
      <c r="Q8" s="50" t="n"/>
      <c r="R8" s="227" t="n">
        <v>0.0579</v>
      </c>
      <c r="S8" s="50" t="n"/>
      <c r="T8" s="50" t="n"/>
      <c r="U8" s="50" t="n"/>
      <c r="V8" s="50" t="n"/>
      <c r="W8" s="227" t="n">
        <v>0.0468</v>
      </c>
      <c r="X8" s="50" t="n"/>
      <c r="Y8" s="50" t="n"/>
      <c r="Z8" s="50" t="n"/>
      <c r="AA8" s="50" t="n"/>
      <c r="AB8" s="227" t="n">
        <v>0.0483</v>
      </c>
      <c r="AC8" s="50" t="n"/>
      <c r="AD8" s="50" t="n"/>
      <c r="AE8" s="50" t="n"/>
      <c r="AF8" s="50" t="n"/>
      <c r="AG8" s="227" t="n">
        <v>0.0468</v>
      </c>
      <c r="AH8" s="50" t="n"/>
      <c r="AI8" s="50" t="n"/>
      <c r="AJ8" s="50" t="n"/>
      <c r="AK8" s="50" t="n"/>
      <c r="AL8" s="217" t="n"/>
      <c r="AM8" s="50" t="n"/>
      <c r="AN8" s="50" t="n"/>
      <c r="AO8" s="50" t="n"/>
      <c r="AP8" s="50" t="n"/>
      <c r="AQ8" s="217" t="n"/>
      <c r="AR8" s="50" t="n"/>
      <c r="AS8" s="50" t="n"/>
      <c r="AT8" s="50" t="n"/>
      <c r="AU8" s="50" t="n"/>
      <c r="AV8" s="217" t="n"/>
      <c r="AW8" s="50" t="n"/>
      <c r="AX8" s="50" t="n"/>
      <c r="AY8" s="50" t="n"/>
      <c r="AZ8" s="50" t="n"/>
      <c r="BA8" s="217" t="n"/>
      <c r="BB8" s="50" t="n"/>
      <c r="BC8" s="50" t="n"/>
      <c r="BD8" s="50" t="n"/>
      <c r="BE8" s="50" t="n"/>
      <c r="BF8" s="217" t="n"/>
      <c r="BG8" s="50" t="n"/>
      <c r="BH8" s="50" t="n"/>
      <c r="BI8" s="50" t="n"/>
      <c r="BJ8" s="50" t="n"/>
      <c r="BK8" s="217" t="n"/>
      <c r="BL8" s="50" t="n"/>
      <c r="BM8" s="50" t="n"/>
      <c r="BN8" s="50" t="n"/>
      <c r="BO8" s="50" t="n"/>
      <c r="BP8" s="217" t="n"/>
      <c r="BQ8" s="50" t="n"/>
      <c r="BR8" s="50" t="n"/>
      <c r="BS8" s="50" t="n"/>
      <c r="BT8" s="50" t="n"/>
      <c r="BU8" s="217" t="n"/>
      <c r="BV8" s="50" t="n"/>
      <c r="BW8" s="50" t="n"/>
      <c r="BX8" s="50" t="n"/>
      <c r="BY8" s="50" t="n"/>
      <c r="BZ8" s="217" t="n"/>
      <c r="CA8" s="50" t="n"/>
      <c r="CB8" s="50" t="n"/>
      <c r="CC8" s="50" t="n"/>
      <c r="CD8" s="50" t="n"/>
      <c r="CE8" s="217" t="n"/>
      <c r="CF8" s="50" t="n"/>
      <c r="CG8" s="50" t="n"/>
      <c r="CH8" s="50" t="n"/>
      <c r="CI8" s="50" t="n"/>
      <c r="CJ8" s="217" t="n"/>
      <c r="CK8" s="50" t="n"/>
      <c r="CL8" s="50" t="n"/>
      <c r="CM8" s="50" t="n"/>
      <c r="CN8" s="50" t="n"/>
      <c r="CO8" s="217" t="n"/>
      <c r="CP8" s="50" t="n"/>
      <c r="CQ8" s="50" t="n"/>
      <c r="CR8" s="50" t="n"/>
      <c r="CS8" s="50" t="n"/>
      <c r="CT8" s="217" t="n"/>
      <c r="CU8" s="50" t="n"/>
      <c r="CV8" s="50" t="n"/>
      <c r="CW8" s="50" t="n"/>
      <c r="CX8" s="50" t="n"/>
      <c r="CY8" s="217" t="n"/>
    </row>
    <row r="9">
      <c r="B9" s="4" t="n"/>
      <c r="C9" s="4" t="inlineStr">
        <is>
          <t>GDP BRAZIL</t>
        </is>
      </c>
      <c r="D9" s="50" t="n"/>
      <c r="E9" s="50" t="n"/>
      <c r="F9" s="50" t="n"/>
      <c r="G9" s="50" t="n"/>
      <c r="H9" s="228" t="n">
        <v>-0.046</v>
      </c>
      <c r="I9" s="50" t="n"/>
      <c r="J9" s="50" t="n"/>
      <c r="K9" s="50" t="n"/>
      <c r="L9" s="50" t="n"/>
      <c r="M9" s="228" t="n">
        <v>0.046</v>
      </c>
      <c r="N9" s="50" t="n"/>
      <c r="O9" s="50" t="n"/>
      <c r="P9" s="50" t="n"/>
      <c r="Q9" s="50" t="n"/>
      <c r="R9" s="228" t="n"/>
      <c r="S9" s="50" t="n"/>
      <c r="T9" s="50" t="n"/>
      <c r="U9" s="50" t="n"/>
      <c r="V9" s="50" t="n"/>
      <c r="W9" s="228" t="n"/>
      <c r="X9" s="50" t="n"/>
      <c r="Y9" s="50" t="n"/>
      <c r="Z9" s="50" t="n"/>
      <c r="AA9" s="50" t="n"/>
      <c r="AB9" s="228" t="n"/>
      <c r="AC9" s="50" t="n"/>
      <c r="AD9" s="50" t="n"/>
      <c r="AE9" s="50" t="n"/>
      <c r="AF9" s="50" t="n"/>
      <c r="AG9" s="228" t="n"/>
      <c r="AH9" s="50" t="n"/>
      <c r="AI9" s="50" t="n"/>
      <c r="AJ9" s="50" t="n"/>
      <c r="AK9" s="50" t="n"/>
      <c r="AL9" s="217" t="n"/>
      <c r="AM9" s="50" t="n"/>
      <c r="AN9" s="50" t="n"/>
      <c r="AO9" s="50" t="n"/>
      <c r="AP9" s="50" t="n"/>
      <c r="AQ9" s="217" t="n"/>
      <c r="AR9" s="50" t="n"/>
      <c r="AS9" s="50" t="n"/>
      <c r="AT9" s="50" t="n"/>
      <c r="AU9" s="50" t="n"/>
      <c r="AV9" s="217" t="n"/>
      <c r="AW9" s="50" t="n"/>
      <c r="AX9" s="50" t="n"/>
      <c r="AY9" s="50" t="n"/>
      <c r="AZ9" s="50" t="n"/>
      <c r="BA9" s="217" t="n"/>
      <c r="BB9" s="50" t="n"/>
      <c r="BC9" s="50" t="n"/>
      <c r="BD9" s="50" t="n"/>
      <c r="BE9" s="50" t="n"/>
      <c r="BF9" s="217" t="n"/>
      <c r="BG9" s="50" t="n"/>
      <c r="BH9" s="50" t="n"/>
      <c r="BI9" s="50" t="n"/>
      <c r="BJ9" s="50" t="n"/>
      <c r="BK9" s="217" t="n"/>
      <c r="BL9" s="50" t="n"/>
      <c r="BM9" s="50" t="n"/>
      <c r="BN9" s="50" t="n"/>
      <c r="BO9" s="50" t="n"/>
      <c r="BP9" s="217" t="n"/>
      <c r="BQ9" s="50" t="n"/>
      <c r="BR9" s="50" t="n"/>
      <c r="BS9" s="50" t="n"/>
      <c r="BT9" s="50" t="n"/>
      <c r="BU9" s="217" t="n"/>
      <c r="BV9" s="50" t="n"/>
      <c r="BW9" s="50" t="n"/>
      <c r="BX9" s="50" t="n"/>
      <c r="BY9" s="50" t="n"/>
      <c r="BZ9" s="217" t="n"/>
      <c r="CA9" s="50" t="n"/>
      <c r="CB9" s="50" t="n"/>
      <c r="CC9" s="50" t="n"/>
      <c r="CD9" s="50" t="n"/>
      <c r="CE9" s="217" t="n"/>
      <c r="CF9" s="50" t="n"/>
      <c r="CG9" s="50" t="n"/>
      <c r="CH9" s="50" t="n"/>
      <c r="CI9" s="50" t="n"/>
      <c r="CJ9" s="217" t="n"/>
      <c r="CK9" s="50" t="n"/>
      <c r="CL9" s="50" t="n"/>
      <c r="CM9" s="50" t="n"/>
      <c r="CN9" s="50" t="n"/>
      <c r="CO9" s="217" t="n"/>
      <c r="CP9" s="50" t="n"/>
      <c r="CQ9" s="50" t="n"/>
      <c r="CR9" s="50" t="n"/>
      <c r="CS9" s="50" t="n"/>
      <c r="CT9" s="217" t="n"/>
      <c r="CU9" s="50" t="n"/>
      <c r="CV9" s="50" t="n"/>
      <c r="CW9" s="50" t="n"/>
      <c r="CX9" s="50" t="n"/>
      <c r="CY9" s="217" t="n"/>
    </row>
    <row r="10">
      <c r="C10" s="4" t="inlineStr">
        <is>
          <t>CDI</t>
        </is>
      </c>
      <c r="H10" s="228" t="n">
        <v>0.0275</v>
      </c>
      <c r="M10" s="228" t="n">
        <v>0.0442</v>
      </c>
      <c r="R10" s="228" t="n">
        <v>0.1239</v>
      </c>
      <c r="W10" s="228" t="n">
        <v>0.1304</v>
      </c>
      <c r="AB10" s="228" t="n">
        <v>0.1064</v>
      </c>
      <c r="AG10" s="228" t="n">
        <v>0.1464</v>
      </c>
    </row>
    <row r="13" customFormat="1" s="17">
      <c r="A13" s="13" t="n"/>
      <c r="B13" s="13" t="n"/>
      <c r="C13" s="12" t="inlineStr">
        <is>
          <t>Income Statement</t>
        </is>
      </c>
      <c r="D13" s="12" t="str">
        <f>D7</f>
        <v>1Q20</v>
      </c>
      <c r="E13" s="12" t="str">
        <f>E7</f>
        <v>2Q20</v>
      </c>
      <c r="F13" s="12" t="str">
        <f>F7</f>
        <v>3Q20</v>
      </c>
      <c r="G13" s="12" t="str">
        <f>G7</f>
        <v>4Q20</v>
      </c>
      <c r="H13" s="12">
        <f>H7</f>
        <v>2020</v>
      </c>
      <c r="I13" s="12" t="str">
        <f>I7</f>
        <v>1Q21</v>
      </c>
      <c r="J13" s="12" t="str">
        <f>J7</f>
        <v>2Q21</v>
      </c>
      <c r="K13" s="12" t="str">
        <f>K7</f>
        <v>3Q21</v>
      </c>
      <c r="L13" s="12" t="str">
        <f>L7</f>
        <v>4Q21</v>
      </c>
      <c r="M13" s="12">
        <f>M7</f>
        <v>2021</v>
      </c>
      <c r="N13" s="12" t="str">
        <f>N7</f>
        <v>1Q22</v>
      </c>
      <c r="O13" s="12" t="str">
        <f>O7</f>
        <v>2Q22</v>
      </c>
      <c r="P13" s="12" t="str">
        <f>P7</f>
        <v>3Q22</v>
      </c>
      <c r="Q13" s="12" t="str">
        <f>Q7</f>
        <v>4Q22</v>
      </c>
      <c r="R13" s="12">
        <f>R7</f>
        <v>2022</v>
      </c>
      <c r="S13" s="12" t="str">
        <f>S7</f>
        <v>1Q23</v>
      </c>
      <c r="T13" s="12" t="str">
        <f>T7</f>
        <v>2Q23</v>
      </c>
      <c r="U13" s="12" t="str">
        <f>U7</f>
        <v>3Q23</v>
      </c>
      <c r="V13" s="12" t="str">
        <f>V7</f>
        <v>4Q23</v>
      </c>
      <c r="W13" s="12">
        <f>W7</f>
        <v>2023</v>
      </c>
      <c r="X13" s="12" t="str">
        <f>X7</f>
        <v>1Q24</v>
      </c>
      <c r="Y13" s="12" t="str">
        <f>Y7</f>
        <v>2Q24</v>
      </c>
      <c r="Z13" s="12" t="str">
        <f>Z7</f>
        <v>3Q24</v>
      </c>
      <c r="AA13" s="12" t="str">
        <f>AA7</f>
        <v>4Q24</v>
      </c>
      <c r="AB13" s="12">
        <f>AB7</f>
        <v>2024</v>
      </c>
      <c r="AC13" s="12" t="str">
        <f>AC7</f>
        <v>1Q25</v>
      </c>
      <c r="AD13" s="12" t="str">
        <f>AD7</f>
        <v>2Q25</v>
      </c>
      <c r="AE13" s="12" t="str">
        <f>AE7</f>
        <v>3Q25</v>
      </c>
      <c r="AF13" s="12" t="str">
        <f>AF7</f>
        <v>4Q25</v>
      </c>
      <c r="AG13" s="12">
        <f>AG7</f>
        <v>2025</v>
      </c>
      <c r="AH13" s="12" t="str">
        <f>AH7</f>
        <v>1Q26</v>
      </c>
      <c r="AI13" s="12" t="str">
        <f>AI7</f>
        <v>2Q26</v>
      </c>
      <c r="AJ13" s="12" t="str">
        <f>AJ7</f>
        <v>3Q26</v>
      </c>
      <c r="AK13" s="12" t="str">
        <f>AK7</f>
        <v>4Q26</v>
      </c>
      <c r="AL13" s="12">
        <f>AL7</f>
        <v>2026</v>
      </c>
      <c r="AM13" s="12" t="str">
        <f>AM7</f>
        <v>1Q27</v>
      </c>
      <c r="AN13" s="12" t="str">
        <f>AN7</f>
        <v>2Q27</v>
      </c>
      <c r="AO13" s="12" t="str">
        <f>AO7</f>
        <v>3Q27</v>
      </c>
      <c r="AP13" s="12" t="str">
        <f>AP7</f>
        <v>4Q27</v>
      </c>
      <c r="AQ13" s="12">
        <f>AQ7</f>
        <v>2027</v>
      </c>
      <c r="AR13" s="12" t="str">
        <f>AR7</f>
        <v>1Q28</v>
      </c>
      <c r="AS13" s="12" t="str">
        <f>AS7</f>
        <v>2Q28</v>
      </c>
      <c r="AT13" s="12" t="str">
        <f>AT7</f>
        <v>3Q28</v>
      </c>
      <c r="AU13" s="12" t="str">
        <f>AU7</f>
        <v>4Q28</v>
      </c>
      <c r="AV13" s="12">
        <f>AV7</f>
        <v>2028</v>
      </c>
      <c r="AW13" s="12" t="str">
        <f>AW7</f>
        <v>1Q29</v>
      </c>
      <c r="AX13" s="12" t="str">
        <f>AX7</f>
        <v>2Q29</v>
      </c>
      <c r="AY13" s="12" t="str">
        <f>AY7</f>
        <v>3Q29</v>
      </c>
      <c r="AZ13" s="12" t="str">
        <f>AZ7</f>
        <v>4Q29</v>
      </c>
      <c r="BA13" s="12">
        <f>BA7</f>
        <v>2029</v>
      </c>
      <c r="BB13" s="12" t="str">
        <f>BB7</f>
        <v>1Q30</v>
      </c>
      <c r="BC13" s="12" t="str">
        <f>BC7</f>
        <v>2Q30</v>
      </c>
      <c r="BD13" s="12" t="str">
        <f>BD7</f>
        <v>3Q30</v>
      </c>
      <c r="BE13" s="12" t="str">
        <f>BE7</f>
        <v>4Q30</v>
      </c>
      <c r="BF13" s="12">
        <f>BF7</f>
        <v>2030</v>
      </c>
      <c r="BG13" s="12" t="str">
        <f>BG7</f>
        <v>1Q31</v>
      </c>
      <c r="BH13" s="12" t="str">
        <f>BH7</f>
        <v>2Q31</v>
      </c>
      <c r="BI13" s="12" t="str">
        <f>BI7</f>
        <v>3Q31</v>
      </c>
      <c r="BJ13" s="12" t="str">
        <f>BJ7</f>
        <v>4Q31</v>
      </c>
      <c r="BK13" s="12">
        <f>BK7</f>
        <v>2031</v>
      </c>
      <c r="BL13" s="12" t="str">
        <f>BL7</f>
        <v>1Q32</v>
      </c>
      <c r="BM13" s="12" t="str">
        <f>BM7</f>
        <v>2Q32</v>
      </c>
      <c r="BN13" s="12" t="str">
        <f>BN7</f>
        <v>3Q32</v>
      </c>
      <c r="BO13" s="12" t="str">
        <f>BO7</f>
        <v>4Q32</v>
      </c>
      <c r="BP13" s="12">
        <f>BP7</f>
        <v>2032</v>
      </c>
      <c r="BQ13" s="12" t="str">
        <f>BQ7</f>
        <v>1Q33</v>
      </c>
      <c r="BR13" s="12" t="str">
        <f>BR7</f>
        <v>2Q33</v>
      </c>
      <c r="BS13" s="12" t="str">
        <f>BS7</f>
        <v>3Q33</v>
      </c>
      <c r="BT13" s="12" t="str">
        <f>BT7</f>
        <v>4Q33</v>
      </c>
      <c r="BU13" s="12">
        <f>BU7</f>
        <v>2033</v>
      </c>
      <c r="BV13" s="12" t="str">
        <f>BV7</f>
        <v>1Q34</v>
      </c>
      <c r="BW13" s="12" t="str">
        <f>BW7</f>
        <v>2Q34</v>
      </c>
      <c r="BX13" s="12" t="str">
        <f>BX7</f>
        <v>3Q34</v>
      </c>
      <c r="BY13" s="12" t="str">
        <f>BY7</f>
        <v>4Q34</v>
      </c>
      <c r="BZ13" s="12">
        <f>BZ7</f>
        <v>2034</v>
      </c>
      <c r="CA13" s="12" t="str">
        <f>CA7</f>
        <v>1Q35</v>
      </c>
      <c r="CB13" s="12" t="str">
        <f>CB7</f>
        <v>2Q35</v>
      </c>
      <c r="CC13" s="12" t="str">
        <f>CC7</f>
        <v>3Q35</v>
      </c>
      <c r="CD13" s="12" t="str">
        <f>CD7</f>
        <v>4Q35</v>
      </c>
      <c r="CE13" s="12">
        <f>CE7</f>
        <v>2035</v>
      </c>
      <c r="CF13" s="12" t="str">
        <f>CF7</f>
        <v>1Q36</v>
      </c>
      <c r="CG13" s="12" t="str">
        <f>CG7</f>
        <v>2Q36</v>
      </c>
      <c r="CH13" s="12" t="str">
        <f>CH7</f>
        <v>3Q36</v>
      </c>
      <c r="CI13" s="12" t="str">
        <f>CI7</f>
        <v>4Q36</v>
      </c>
      <c r="CJ13" s="12">
        <f>CJ7</f>
        <v>2036</v>
      </c>
      <c r="CK13" s="12" t="str">
        <f>CK7</f>
        <v>1Q37</v>
      </c>
      <c r="CL13" s="12" t="str">
        <f>CL7</f>
        <v>2Q37</v>
      </c>
      <c r="CM13" s="12" t="str">
        <f>CM7</f>
        <v>3Q37</v>
      </c>
      <c r="CN13" s="12" t="str">
        <f>CN7</f>
        <v>4Q37</v>
      </c>
      <c r="CO13" s="12">
        <f>CO7</f>
        <v>2037</v>
      </c>
      <c r="CP13" s="12" t="str">
        <f>CP7</f>
        <v>1Q38</v>
      </c>
      <c r="CQ13" s="12" t="str">
        <f>CQ7</f>
        <v>2Q38</v>
      </c>
      <c r="CR13" s="12" t="str">
        <f>CR7</f>
        <v>3Q38</v>
      </c>
      <c r="CS13" s="12" t="str">
        <f>CS7</f>
        <v>4Q38</v>
      </c>
      <c r="CT13" s="12">
        <f>CT7</f>
        <v>2038</v>
      </c>
      <c r="CU13" s="12" t="str">
        <f>CU7</f>
        <v>1Q39</v>
      </c>
      <c r="CV13" s="12" t="str">
        <f>CV7</f>
        <v>2Q39</v>
      </c>
      <c r="CW13" s="12" t="str">
        <f>CW7</f>
        <v>3Q39</v>
      </c>
      <c r="CX13" s="12" t="str">
        <f>CX7</f>
        <v>4Q39</v>
      </c>
      <c r="CY13" s="12">
        <f>CY7</f>
        <v>2039</v>
      </c>
    </row>
    <row r="14">
      <c r="C14" s="2" t="n"/>
    </row>
    <row r="15" customFormat="1" s="17">
      <c r="A15" s="13" t="n"/>
      <c r="B15" s="1" t="n"/>
      <c r="C15" s="14" t="inlineStr">
        <is>
          <t>Net Revenues</t>
        </is>
      </c>
      <c r="D15" s="15">
        <f>INDEX('Inputs (2)'!$D$4:$AL$4,MATCH(D$7,'Inputs (2)'!$D$2:$AL$2,0))</f>
        <v>5859.8</v>
      </c>
      <c r="E15" s="15">
        <f>INDEX('Inputs (2)'!$D$4:$AL$4,MATCH(E$7,'Inputs (2)'!$D$2:$AL$2,0))</f>
        <v>5499.4</v>
      </c>
      <c r="F15" s="15">
        <f>INDEX('Inputs (2)'!$D$4:$AL$4,MATCH(F$7,'Inputs (2)'!$D$2:$AL$2,0))</f>
        <v>5740.6</v>
      </c>
      <c r="G15" s="15">
        <f>INDEX('Inputs (2)'!$D$4:$AL$4,MATCH(G$7,'Inputs (2)'!$D$2:$AL$2,0))</f>
        <v>7440</v>
      </c>
      <c r="H15" s="16">
        <f>SUM(D15:G15)</f>
        <v>24539.8</v>
      </c>
      <c r="I15" s="15">
        <f>INDEX('Inputs (2)'!$D$4:$AL$4,MATCH(I$7,'Inputs (2)'!$D$2:$AL$2,0))</f>
        <v>6805.6</v>
      </c>
      <c r="J15" s="15">
        <f>INDEX('Inputs (2)'!$D$4:$AL$4,MATCH(J$7,'Inputs (2)'!$D$2:$AL$2,0))</f>
        <v>6740.1</v>
      </c>
      <c r="K15" s="15">
        <f>INDEX('Inputs (2)'!$D$4:$AL$4,MATCH(K$7,'Inputs (2)'!$D$2:$AL$2,0))</f>
        <v>6772.8</v>
      </c>
      <c r="L15" s="15">
        <f>INDEX('Inputs (2)'!$D$4:$AL$4,MATCH(L$7,'Inputs (2)'!$D$2:$AL$2,0))</f>
        <v>7999.9</v>
      </c>
      <c r="M15" s="16">
        <f>SUM(I15:L15)</f>
        <v>28318.4</v>
      </c>
      <c r="N15" s="15">
        <f>INDEX('Inputs (2)'!$D$4:$AL$4,MATCH(N$7,'Inputs (2)'!$D$2:$AL$2,0))</f>
        <v>7810</v>
      </c>
      <c r="O15" s="15">
        <f>INDEX('Inputs (2)'!$D$4:$AL$4,MATCH(O$7,'Inputs (2)'!$D$2:$AL$2,0))</f>
        <v>6488</v>
      </c>
      <c r="P15" s="15">
        <f>INDEX('Inputs (2)'!$D$4:$AL$4,MATCH(P$7,'Inputs (2)'!$D$2:$AL$2,0))</f>
        <v>6941.6</v>
      </c>
      <c r="Q15" s="15">
        <f>INDEX('Inputs (2)'!$D$4:$AL$4,MATCH(Q$7,'Inputs (2)'!$D$2:$AL$2,0))</f>
        <v>7301.8</v>
      </c>
      <c r="R15" s="16">
        <f>SUM(N15:Q15)</f>
        <v>28541.4</v>
      </c>
      <c r="S15" s="15">
        <f>INDEX('Inputs (2)'!$D$4:$AL$4,MATCH(S$7,'Inputs (2)'!$D$2:$AL$2,0))</f>
        <v>6960</v>
      </c>
      <c r="T15" s="15">
        <f>INDEX('Inputs (2)'!$D$4:$AL$4,MATCH(T$7,'Inputs (2)'!$D$2:$AL$2,0))</f>
        <v>8312.1</v>
      </c>
      <c r="U15" s="15">
        <f>INDEX('Inputs (2)'!$D$4:$AL$4,MATCH(U$7,'Inputs (2)'!$D$2:$AL$2,0))</f>
        <v>9498.6</v>
      </c>
      <c r="V15" s="15">
        <f>INDEX('Inputs (2)'!$D$4:$AL$4,MATCH(V$7,'Inputs (2)'!$D$2:$AL$2,0))</f>
        <v>9353.4</v>
      </c>
      <c r="W15" s="16">
        <f>SUM(S15:V15)</f>
        <v>34124.1</v>
      </c>
      <c r="X15" s="15">
        <f>INDEX('Inputs (2)'!$D$4:$AL$4,MATCH(X$7,'Inputs (2)'!$D$2:$AL$2,0))</f>
        <v>8768</v>
      </c>
      <c r="Y15" s="15">
        <f>INDEX('Inputs (2)'!$D$4:$AL$4,MATCH(Y$7,'Inputs (2)'!$D$2:$AL$2,0))</f>
        <v>11302.8</v>
      </c>
      <c r="Z15" s="15">
        <f>INDEX('Inputs (2)'!$D$4:$AL$4,MATCH(Z$7,'Inputs (2)'!$D$2:$AL$2,0))</f>
        <v>11439.1</v>
      </c>
      <c r="AA15" s="15">
        <f>INDEX('Inputs (2)'!$D$4:$AL$4,MATCH(AA$7,'Inputs (2)'!$D$2:$AL$2,0))</f>
        <v>13532.8</v>
      </c>
      <c r="AB15" s="16">
        <f>SUM(X15:AA15)</f>
        <v>45042.7</v>
      </c>
      <c r="AC15" s="15">
        <f>INDEX('Inputs (2)'!$D$4:$AL$4,MATCH(AC$7,'Inputs (2)'!$D$2:$AL$2,0))</f>
        <v>12729</v>
      </c>
      <c r="AD15" s="15">
        <f>INDEX('Inputs (2)'!$D$4:$AL$4,MATCH(AD$7,'Inputs (2)'!$D$2:$AL$2,0))</f>
        <v>15558</v>
      </c>
      <c r="AE15" s="15">
        <f>INDEX('Inputs (2)'!$D$4:$AL$4,MATCH(AE$7,'Inputs (2)'!$D$2:$AL$2,0))</f>
        <v>17600.8</v>
      </c>
      <c r="AF15" s="15">
        <f>INDEX('Inputs (2)'!$D$4:$AL$4,MATCH(AF$7,'Inputs (2)'!$D$2:$AL$2,0))</f>
        <v>19292</v>
      </c>
      <c r="AG15" s="16">
        <f>SUM(AC15:AF15)</f>
        <v>65179.8</v>
      </c>
      <c r="AH15" s="16">
        <f>INDEX('Inputs (2)'!$D$4:$AL$4,MATCH(AH$7,'Inputs (2)'!$D$2:$AL$2,0))</f>
        <v>19799</v>
      </c>
      <c r="AI15" s="16">
        <f>INDEX('Inputs (2)'!$D$4:$AL$4,MATCH(AI$7,'Inputs (2)'!$D$2:$AL$2,0))</f>
        <v>22974</v>
      </c>
      <c r="AJ15" s="16">
        <f>AE15*(1+AJ16)</f>
        <v>17600.8</v>
      </c>
      <c r="AK15" s="16">
        <f>AF15*(1+AK16)</f>
        <v>19292</v>
      </c>
      <c r="AL15" s="16">
        <f>SUM(AH15:AK15)</f>
        <v>79665.8</v>
      </c>
      <c r="AM15" s="16">
        <f>AH15*(1+AM16)</f>
        <v>19799</v>
      </c>
      <c r="AN15" s="16">
        <f>AI15*(1+AN16)</f>
        <v>22974</v>
      </c>
      <c r="AO15" s="16">
        <f>AJ15*(1+AO16)</f>
        <v>17600.8</v>
      </c>
      <c r="AP15" s="16">
        <f>AK15*(1+AP16)</f>
        <v>19292</v>
      </c>
      <c r="AQ15" s="16">
        <f>SUM(AM15:AP15)</f>
        <v>79665.8</v>
      </c>
      <c r="AR15" s="16">
        <f>AM15*(1+AR16)</f>
        <v>19799</v>
      </c>
      <c r="AS15" s="16">
        <f>AN15*(1+AS16)</f>
        <v>22974</v>
      </c>
      <c r="AT15" s="16">
        <f>AO15*(1+AT16)</f>
        <v>17600.8</v>
      </c>
      <c r="AU15" s="16">
        <f>AP15*(1+AU16)</f>
        <v>19292</v>
      </c>
      <c r="AV15" s="16">
        <f>SUM(AR15:AU15)</f>
        <v>79665.8</v>
      </c>
      <c r="AW15" s="16">
        <f>AR15*(1+AW16)</f>
        <v>19799</v>
      </c>
      <c r="AX15" s="16">
        <f>AS15*(1+AX16)</f>
        <v>22974</v>
      </c>
      <c r="AY15" s="16">
        <f>AT15*(1+AY16)</f>
        <v>17600.8</v>
      </c>
      <c r="AZ15" s="16">
        <f>AU15*(1+AZ16)</f>
        <v>19292</v>
      </c>
      <c r="BA15" s="16">
        <f>SUM(AW15:AZ15)</f>
        <v>79665.8</v>
      </c>
      <c r="BB15" s="16">
        <f>AW15*(1+BB16)</f>
        <v>19799</v>
      </c>
      <c r="BC15" s="16">
        <f>AX15*(1+BC16)</f>
        <v>22974</v>
      </c>
      <c r="BD15" s="16">
        <f>AY15*(1+BD16)</f>
        <v>17600.8</v>
      </c>
      <c r="BE15" s="16">
        <f>AZ15*(1+BE16)</f>
        <v>19292</v>
      </c>
      <c r="BF15" s="16">
        <f>SUM(BB15:BE15)</f>
        <v>79665.8</v>
      </c>
      <c r="BG15" s="16">
        <f>BB15*(1+BG16)</f>
        <v>19799</v>
      </c>
      <c r="BH15" s="16">
        <f>BC15*(1+BH16)</f>
        <v>22974</v>
      </c>
      <c r="BI15" s="16">
        <f>BD15*(1+BI16)</f>
        <v>17600.8</v>
      </c>
      <c r="BJ15" s="16">
        <f>BE15*(1+BJ16)</f>
        <v>19292</v>
      </c>
      <c r="BK15" s="16">
        <f>SUM(BG15:BJ15)</f>
        <v>79665.8</v>
      </c>
      <c r="BL15" s="16">
        <f>BG15*(1+BL16)</f>
        <v>19799</v>
      </c>
      <c r="BM15" s="16">
        <f>BH15*(1+BM16)</f>
        <v>22974</v>
      </c>
      <c r="BN15" s="16">
        <f>BI15*(1+BN16)</f>
        <v>17600.8</v>
      </c>
      <c r="BO15" s="16">
        <f>BJ15*(1+BO16)</f>
        <v>19292</v>
      </c>
      <c r="BP15" s="16">
        <f>SUM(BL15:BO15)</f>
        <v>79665.8</v>
      </c>
      <c r="BQ15" s="16">
        <f>BL15*(1+BQ16)</f>
        <v>19799</v>
      </c>
      <c r="BR15" s="16">
        <f>BM15*(1+BR16)</f>
        <v>22974</v>
      </c>
      <c r="BS15" s="16">
        <f>BN15*(1+BS16)</f>
        <v>17600.8</v>
      </c>
      <c r="BT15" s="16">
        <f>BO15*(1+BT16)</f>
        <v>19292</v>
      </c>
      <c r="BU15" s="16">
        <f>SUM(BQ15:BT15)</f>
        <v>79665.8</v>
      </c>
      <c r="BV15" s="16">
        <f>BQ15*(1+BV16)</f>
        <v>19799</v>
      </c>
      <c r="BW15" s="16">
        <f>BR15*(1+BW16)</f>
        <v>22974</v>
      </c>
      <c r="BX15" s="16">
        <f>BS15*(1+BX16)</f>
        <v>17600.8</v>
      </c>
      <c r="BY15" s="16">
        <f>BT15*(1+BY16)</f>
        <v>19292</v>
      </c>
      <c r="BZ15" s="16">
        <f>SUM(BV15:BY15)</f>
        <v>79665.8</v>
      </c>
      <c r="CA15" s="16">
        <f>BV15*(1+CA16)</f>
        <v>19799</v>
      </c>
      <c r="CB15" s="16">
        <f>BW15*(1+CB16)</f>
        <v>22974</v>
      </c>
      <c r="CC15" s="16">
        <f>BX15*(1+CC16)</f>
        <v>17600.8</v>
      </c>
      <c r="CD15" s="16">
        <f>BY15*(1+CD16)</f>
        <v>19292</v>
      </c>
      <c r="CE15" s="16">
        <f>SUM(CA15:CD15)</f>
        <v>79665.8</v>
      </c>
      <c r="CF15" s="16">
        <f>CA15*(1+CF16)</f>
        <v>19799</v>
      </c>
      <c r="CG15" s="16">
        <f>CB15*(1+CG16)</f>
        <v>22974</v>
      </c>
      <c r="CH15" s="16">
        <f>CC15*(1+CH16)</f>
        <v>17600.8</v>
      </c>
      <c r="CI15" s="16">
        <f>CD15*(1+CI16)</f>
        <v>19292</v>
      </c>
      <c r="CJ15" s="16">
        <f>SUM(CF15:CI15)</f>
        <v>79665.8</v>
      </c>
      <c r="CK15" s="16">
        <f>CF15*(1+CK16)</f>
        <v>19799</v>
      </c>
      <c r="CL15" s="16">
        <f>CG15*(1+CL16)</f>
        <v>22974</v>
      </c>
      <c r="CM15" s="16">
        <f>CH15*(1+CM16)</f>
        <v>17600.8</v>
      </c>
      <c r="CN15" s="16">
        <f>CI15*(1+CN16)</f>
        <v>19292</v>
      </c>
      <c r="CO15" s="16">
        <f>SUM(CK15:CN15)</f>
        <v>79665.8</v>
      </c>
      <c r="CP15" s="16">
        <f>CK15*(1+CP16)</f>
        <v>19799</v>
      </c>
      <c r="CQ15" s="16">
        <f>CL15*(1+CQ16)</f>
        <v>22974</v>
      </c>
      <c r="CR15" s="16">
        <f>CM15*(1+CR16)</f>
        <v>17600.8</v>
      </c>
      <c r="CS15" s="16">
        <f>CN15*(1+CS16)</f>
        <v>19292</v>
      </c>
      <c r="CT15" s="16">
        <f>SUM(CP15:CS15)</f>
        <v>79665.8</v>
      </c>
      <c r="CU15" s="16">
        <f>CP15*(1+CU16)</f>
        <v>19799</v>
      </c>
      <c r="CV15" s="16">
        <f>CQ15*(1+CV16)</f>
        <v>22974</v>
      </c>
      <c r="CW15" s="16">
        <f>CR15*(1+CW16)</f>
        <v>17600.8</v>
      </c>
      <c r="CX15" s="16">
        <f>CS15*(1+CX16)</f>
        <v>19292</v>
      </c>
      <c r="CY15" s="16">
        <f>SUM(CU15:CX15)</f>
        <v>79665.8</v>
      </c>
    </row>
    <row r="16" hidden="1" outlineLevel="1" customFormat="1" s="23">
      <c r="A16" s="18" t="n"/>
      <c r="B16" s="19" t="n"/>
      <c r="C16" s="33" t="inlineStr">
        <is>
          <t>% YoY</t>
        </is>
      </c>
      <c r="D16" s="21" t="n"/>
      <c r="E16" s="47" t="n"/>
      <c r="F16" s="47" t="n"/>
      <c r="G16" s="47" t="n"/>
      <c r="H16" s="21" t="n"/>
      <c r="I16" s="21" t="n"/>
      <c r="J16" s="47" t="n"/>
      <c r="K16" s="47" t="n"/>
      <c r="L16" s="47" t="n"/>
      <c r="M16" s="21" t="n"/>
      <c r="N16" s="47">
        <f>N15/I15-1</f>
        <v>0.147584342306336</v>
      </c>
      <c r="O16" s="47">
        <f>O15/J15-1</f>
        <v>-0.0374030058901202</v>
      </c>
      <c r="P16" s="47">
        <f>P15/K15-1</f>
        <v>0.0249232223009686</v>
      </c>
      <c r="Q16" s="47">
        <f>Q15/L15-1</f>
        <v>-0.087263590794885</v>
      </c>
      <c r="R16" s="47">
        <f>R15/M15-1</f>
        <v>0.00787473868580135</v>
      </c>
      <c r="S16" s="47">
        <f>S15/N15-1</f>
        <v>-0.108834827144686</v>
      </c>
      <c r="T16" s="47">
        <f>T15/O15-1</f>
        <v>0.281149815043157</v>
      </c>
      <c r="U16" s="47">
        <f>U15/P15-1</f>
        <v>0.368358879797165</v>
      </c>
      <c r="V16" s="47">
        <f>V15/Q15-1</f>
        <v>0.280971815168863</v>
      </c>
      <c r="W16" s="47">
        <f>W15/R15-1</f>
        <v>0.195600075679539</v>
      </c>
      <c r="X16" s="47">
        <f>X15/S15-1</f>
        <v>0.259770114942529</v>
      </c>
      <c r="Y16" s="47">
        <f>Y15/T15-1</f>
        <v>0.359800772367993</v>
      </c>
      <c r="Z16" s="47">
        <f>Z15/U15-1</f>
        <v>0.204293264270524</v>
      </c>
      <c r="AA16" s="47">
        <f>AA15/V15-1</f>
        <v>0.446832167981696</v>
      </c>
      <c r="AB16" s="47">
        <f>AB15/W15-1</f>
        <v>0.319967413059978</v>
      </c>
      <c r="AC16" s="47">
        <f>AC15/X15-1</f>
        <v>0.451756386861314</v>
      </c>
      <c r="AD16" s="47">
        <f>AD15/Y15-1</f>
        <v>0.376473086314896</v>
      </c>
      <c r="AE16" s="47">
        <f>AE15/Z15-1</f>
        <v>0.538652516369295</v>
      </c>
      <c r="AF16" s="44">
        <f>AF15/AA15-1</f>
        <v>0.425573421612675</v>
      </c>
      <c r="AG16" s="47">
        <f>AG15/AB15-1</f>
        <v>0.447066894302518</v>
      </c>
      <c r="AH16" s="44">
        <f>AH15/AC15-1</f>
        <v>0.5554246209443</v>
      </c>
      <c r="AI16" s="44">
        <f>AI15/AD15-1</f>
        <v>0.476667952178943</v>
      </c>
      <c r="AJ16" s="44" t="n"/>
      <c r="AK16" s="44" t="n"/>
      <c r="AL16" s="22">
        <f>AL15/AG15-1</f>
        <v>0.222246769704725</v>
      </c>
      <c r="AM16" s="44" t="n"/>
      <c r="AN16" s="44" t="n"/>
      <c r="AO16" s="44" t="n"/>
      <c r="AP16" s="44" t="n"/>
      <c r="AQ16" s="22">
        <f>AQ15/AL15-1</f>
        <v>0</v>
      </c>
      <c r="AR16" s="44" t="n"/>
      <c r="AS16" s="44" t="n"/>
      <c r="AT16" s="44" t="n"/>
      <c r="AU16" s="44" t="n"/>
      <c r="AV16" s="22">
        <f>AV15/AQ15-1</f>
        <v>0</v>
      </c>
      <c r="AW16" s="44" t="n"/>
      <c r="AX16" s="44" t="n"/>
      <c r="AY16" s="44" t="n"/>
      <c r="AZ16" s="44" t="n"/>
      <c r="BA16" s="22">
        <f>BA15/AV15-1</f>
        <v>0</v>
      </c>
      <c r="BB16" s="44" t="n"/>
      <c r="BC16" s="44" t="n"/>
      <c r="BD16" s="44" t="n"/>
      <c r="BE16" s="44" t="n"/>
      <c r="BF16" s="22">
        <f>BF15/BA15-1</f>
        <v>0</v>
      </c>
      <c r="BG16" s="44" t="n"/>
      <c r="BH16" s="44" t="n"/>
      <c r="BI16" s="44" t="n"/>
      <c r="BJ16" s="44" t="n"/>
      <c r="BK16" s="22">
        <f>BK15/BF15-1</f>
        <v>0</v>
      </c>
      <c r="BL16" s="44" t="n"/>
      <c r="BM16" s="44" t="n"/>
      <c r="BN16" s="44" t="n"/>
      <c r="BO16" s="44" t="n"/>
      <c r="BP16" s="22">
        <f>BP15/BK15-1</f>
        <v>0</v>
      </c>
      <c r="BQ16" s="44" t="n"/>
      <c r="BR16" s="44" t="n"/>
      <c r="BS16" s="44" t="n"/>
      <c r="BT16" s="44" t="n"/>
      <c r="BU16" s="22">
        <f>BU15/BP15-1</f>
        <v>0</v>
      </c>
      <c r="BV16" s="44" t="n"/>
      <c r="BW16" s="44" t="n"/>
      <c r="BX16" s="44" t="n"/>
      <c r="BY16" s="44" t="n"/>
      <c r="BZ16" s="22">
        <f>BZ15/BU15-1</f>
        <v>0</v>
      </c>
      <c r="CA16" s="44" t="n"/>
      <c r="CB16" s="44" t="n"/>
      <c r="CC16" s="44" t="n"/>
      <c r="CD16" s="44" t="n"/>
      <c r="CE16" s="22">
        <f>CE15/BZ15-1</f>
        <v>0</v>
      </c>
      <c r="CF16" s="44" t="n"/>
      <c r="CG16" s="44" t="n"/>
      <c r="CH16" s="44" t="n"/>
      <c r="CI16" s="44" t="n"/>
      <c r="CJ16" s="22">
        <f>CJ15/CE15-1</f>
        <v>0</v>
      </c>
      <c r="CK16" s="44" t="n"/>
      <c r="CL16" s="44" t="n"/>
      <c r="CM16" s="44" t="n"/>
      <c r="CN16" s="44" t="n"/>
      <c r="CO16" s="22">
        <f>CO15/CJ15-1</f>
        <v>0</v>
      </c>
      <c r="CP16" s="44" t="n"/>
      <c r="CQ16" s="44" t="n"/>
      <c r="CR16" s="44" t="n"/>
      <c r="CS16" s="44" t="n"/>
      <c r="CT16" s="22">
        <f>CT15/CO15-1</f>
        <v>0</v>
      </c>
      <c r="CU16" s="44" t="n"/>
      <c r="CV16" s="44" t="n"/>
      <c r="CW16" s="44" t="n"/>
      <c r="CX16" s="44" t="n"/>
      <c r="CY16" s="22">
        <f>CY15/CT15-1</f>
        <v>0</v>
      </c>
    </row>
    <row r="17" hidden="1" outlineLevel="1" customFormat="1" s="23">
      <c r="A17" s="18" t="n"/>
      <c r="B17" s="19" t="n"/>
      <c r="C17" s="229" t="inlineStr">
        <is>
          <t>Check Receita (linha 15 - EUA + exterior)</t>
        </is>
      </c>
      <c r="D17" s="15">
        <f>IF(COUNT(D22)=0,"",D22)</f>
        <v>0</v>
      </c>
      <c r="E17" s="15">
        <f>IF(COUNT(E22)=0,"",E22)</f>
        <v>0</v>
      </c>
      <c r="F17" s="15">
        <f>IF(COUNT(F22)=0,"",F22)</f>
        <v>-0.1</v>
      </c>
      <c r="G17" s="15">
        <f>IF(COUNT(G22)=0,"",G22)</f>
        <v>0.1</v>
      </c>
      <c r="H17" s="16">
        <f>IF(COUNT(H22)=0,"",H22)</f>
        <v>0</v>
      </c>
      <c r="I17" s="15">
        <f>IF(COUNT(I22)=0,"",I22)</f>
        <v>0</v>
      </c>
      <c r="J17" s="15">
        <f>IF(COUNT(J22)=0,"",J22)</f>
        <v>0</v>
      </c>
      <c r="K17" s="15">
        <f>IF(COUNT(K22)=0,"",K22)</f>
        <v>-0.1</v>
      </c>
      <c r="L17" s="15">
        <f>IF(COUNT(L22)=0,"",L22)</f>
        <v>0</v>
      </c>
      <c r="M17" s="16">
        <f>IF(COUNT(M22)=0,"",M22)</f>
        <v>-0.1</v>
      </c>
      <c r="N17" s="15">
        <f>IF(COUNT(N22)=0,"",N22)</f>
        <v>0</v>
      </c>
      <c r="O17" s="15">
        <f>IF(COUNT(O22)=0,"",O22)</f>
        <v>-0.1</v>
      </c>
      <c r="P17" s="15">
        <f>IF(COUNT(P22)=0,"",P22)</f>
        <v>0.1</v>
      </c>
      <c r="Q17" s="15">
        <f>IF(COUNT(Q22)=0,"",Q22)</f>
        <v>0.1</v>
      </c>
      <c r="R17" s="16">
        <f>IF(COUNT(R22)=0,"",R22)</f>
        <v>0.1</v>
      </c>
      <c r="S17" s="15">
        <f>IF(COUNT(S22)=0,"",S22)</f>
        <v>-0.1</v>
      </c>
      <c r="T17" s="15">
        <f>IF(COUNT(T22)=0,"",T22)</f>
        <v>0</v>
      </c>
      <c r="U17" s="15">
        <f>IF(COUNT(U22)=0,"",U22)</f>
        <v>0</v>
      </c>
      <c r="V17" s="15">
        <f>IF(COUNT(V22)=0,"",V22)</f>
        <v>-0.1</v>
      </c>
      <c r="W17" s="16">
        <f>IF(COUNT(W22)=0,"",W22)</f>
        <v>-0.2</v>
      </c>
      <c r="X17" s="15">
        <f>IF(COUNT(X22)=0,"",X22)</f>
        <v>-0.1</v>
      </c>
      <c r="Y17" s="15">
        <f>IF(COUNT(Y22)=0,"",Y22)</f>
        <v>0.1</v>
      </c>
      <c r="Z17" s="15">
        <f>IF(COUNT(Z22)=0,"",Z22)</f>
        <v>0</v>
      </c>
      <c r="AA17" s="15">
        <f>IF(COUNT(AA22)=0,"",AA22)</f>
        <v>0</v>
      </c>
      <c r="AB17" s="16">
        <f>IF(COUNT(AB22)=0,"",AB22)</f>
        <v>0</v>
      </c>
      <c r="AC17" s="15">
        <f>IF(COUNT(AC22)=0,"",AC22)</f>
        <v>1</v>
      </c>
      <c r="AD17" s="15">
        <f>IF(COUNT(AD22)=0,"",AD22)</f>
        <v>1</v>
      </c>
      <c r="AE17" s="15">
        <f>IF(COUNT(AE22)=0,"",AE22)</f>
        <v>0</v>
      </c>
      <c r="AF17" s="15">
        <f>IF(COUNT(AF22)=0,"",AF22)</f>
        <v>0</v>
      </c>
      <c r="AG17" s="16">
        <f>IF(COUNT(AG22)=0,"",AG22)</f>
        <v>2</v>
      </c>
      <c r="AH17" s="16">
        <f>IF(COUNT(AH22)=0,"",AH22)</f>
        <v>0</v>
      </c>
      <c r="AI17" s="16">
        <f>IF(COUNT(AI22)=0,"",AI22)</f>
        <v>0</v>
      </c>
      <c r="AJ17" s="44" t="n"/>
      <c r="AK17" s="44" t="n"/>
      <c r="AL17" s="22" t="n"/>
      <c r="AM17" s="44" t="n"/>
      <c r="AN17" s="44" t="n"/>
      <c r="AO17" s="44" t="n"/>
      <c r="AP17" s="44" t="n"/>
      <c r="AQ17" s="22" t="n"/>
      <c r="AR17" s="44" t="n"/>
      <c r="AS17" s="44" t="n"/>
      <c r="AT17" s="44" t="n"/>
      <c r="AU17" s="44" t="n"/>
      <c r="AV17" s="22" t="n"/>
      <c r="AW17" s="44" t="n"/>
      <c r="AX17" s="44" t="n"/>
      <c r="AY17" s="44" t="n"/>
      <c r="AZ17" s="44" t="n"/>
      <c r="BA17" s="22" t="n"/>
      <c r="BB17" s="44" t="n"/>
      <c r="BC17" s="44" t="n"/>
      <c r="BD17" s="44" t="n"/>
      <c r="BE17" s="44" t="n"/>
      <c r="BF17" s="22" t="n"/>
      <c r="BG17" s="44" t="n"/>
      <c r="BH17" s="44" t="n"/>
      <c r="BI17" s="44" t="n"/>
      <c r="BJ17" s="44" t="n"/>
      <c r="BK17" s="22" t="n"/>
      <c r="BL17" s="44" t="n"/>
      <c r="BM17" s="44" t="n"/>
      <c r="BN17" s="44" t="n"/>
      <c r="BO17" s="44" t="n"/>
      <c r="BP17" s="22" t="n"/>
      <c r="BQ17" s="44" t="n"/>
      <c r="BR17" s="44" t="n"/>
      <c r="BS17" s="44" t="n"/>
      <c r="BT17" s="44" t="n"/>
      <c r="BU17" s="22" t="n"/>
      <c r="BV17" s="44" t="n"/>
      <c r="BW17" s="44" t="n"/>
      <c r="BX17" s="44" t="n"/>
      <c r="BY17" s="44" t="n"/>
      <c r="BZ17" s="22" t="n"/>
      <c r="CA17" s="44" t="n"/>
      <c r="CB17" s="44" t="n"/>
      <c r="CC17" s="44" t="n"/>
      <c r="CD17" s="44" t="n"/>
      <c r="CE17" s="22" t="n"/>
      <c r="CF17" s="44" t="n"/>
      <c r="CG17" s="44" t="n"/>
      <c r="CH17" s="44" t="n"/>
      <c r="CI17" s="44" t="n"/>
      <c r="CJ17" s="22" t="n"/>
      <c r="CK17" s="44" t="n"/>
      <c r="CL17" s="44" t="n"/>
      <c r="CM17" s="44" t="n"/>
      <c r="CN17" s="44" t="n"/>
      <c r="CO17" s="22" t="n"/>
      <c r="CP17" s="44" t="n"/>
      <c r="CQ17" s="44" t="n"/>
      <c r="CR17" s="44" t="n"/>
      <c r="CS17" s="44" t="n"/>
      <c r="CT17" s="22" t="n"/>
      <c r="CU17" s="44" t="n"/>
      <c r="CV17" s="44" t="n"/>
      <c r="CW17" s="44" t="n"/>
      <c r="CX17" s="44" t="n"/>
      <c r="CY17" s="22" t="n"/>
    </row>
    <row r="18">
      <c r="C18" s="12" t="inlineStr">
        <is>
          <t>Receita por região e tipo (USD milhões)</t>
        </is>
      </c>
      <c r="D18" s="12" t="str">
        <f>D7</f>
        <v>1Q20</v>
      </c>
      <c r="E18" s="12" t="str">
        <f>E7</f>
        <v>2Q20</v>
      </c>
      <c r="F18" s="12" t="str">
        <f>F7</f>
        <v>3Q20</v>
      </c>
      <c r="G18" s="12" t="str">
        <f>G7</f>
        <v>4Q20</v>
      </c>
      <c r="H18" s="12">
        <f>H7</f>
        <v>2020</v>
      </c>
      <c r="I18" s="12" t="str">
        <f>I7</f>
        <v>1Q21</v>
      </c>
      <c r="J18" s="12" t="str">
        <f>J7</f>
        <v>2Q21</v>
      </c>
      <c r="K18" s="12" t="str">
        <f>K7</f>
        <v>3Q21</v>
      </c>
      <c r="L18" s="12" t="str">
        <f>L7</f>
        <v>4Q21</v>
      </c>
      <c r="M18" s="12">
        <f>M7</f>
        <v>2021</v>
      </c>
      <c r="N18" s="12" t="str">
        <f>N7</f>
        <v>1Q22</v>
      </c>
      <c r="O18" s="12" t="str">
        <f>O7</f>
        <v>2Q22</v>
      </c>
      <c r="P18" s="12" t="str">
        <f>P7</f>
        <v>3Q22</v>
      </c>
      <c r="Q18" s="12" t="str">
        <f>Q7</f>
        <v>4Q22</v>
      </c>
      <c r="R18" s="12">
        <f>R7</f>
        <v>2022</v>
      </c>
      <c r="S18" s="12" t="str">
        <f>S7</f>
        <v>1Q23</v>
      </c>
      <c r="T18" s="12" t="str">
        <f>T7</f>
        <v>2Q23</v>
      </c>
      <c r="U18" s="12" t="str">
        <f>U7</f>
        <v>3Q23</v>
      </c>
      <c r="V18" s="12" t="str">
        <f>V7</f>
        <v>4Q23</v>
      </c>
      <c r="W18" s="12">
        <f>W7</f>
        <v>2023</v>
      </c>
      <c r="X18" s="12" t="str">
        <f>X7</f>
        <v>1Q24</v>
      </c>
      <c r="Y18" s="12" t="str">
        <f>Y7</f>
        <v>2Q24</v>
      </c>
      <c r="Z18" s="12" t="str">
        <f>Z7</f>
        <v>3Q24</v>
      </c>
      <c r="AA18" s="12" t="str">
        <f>AA7</f>
        <v>4Q24</v>
      </c>
      <c r="AB18" s="12">
        <f>AB7</f>
        <v>2024</v>
      </c>
      <c r="AC18" s="12" t="str">
        <f>AC7</f>
        <v>1Q25</v>
      </c>
      <c r="AD18" s="12" t="str">
        <f>AD7</f>
        <v>2Q25</v>
      </c>
      <c r="AE18" s="12" t="str">
        <f>AE7</f>
        <v>3Q25</v>
      </c>
      <c r="AF18" s="12" t="str">
        <f>AF7</f>
        <v>4Q25</v>
      </c>
      <c r="AG18" s="12">
        <f>AG7</f>
        <v>2025</v>
      </c>
      <c r="AH18" s="12" t="str">
        <f>AH7</f>
        <v>1Q26</v>
      </c>
      <c r="AI18" s="12" t="str">
        <f>AI7</f>
        <v>2Q26</v>
      </c>
    </row>
    <row r="19">
      <c r="C19" s="14" t="inlineStr">
        <is>
          <t xml:space="preserve">   EUA</t>
        </is>
      </c>
      <c r="D19" s="265">
        <f>IFERROR(INDEX('Inputs (2)'!$D$64:$AL$64,MATCH(D$7,'Inputs (2)'!$D$2:$AL$2,0)),"")</f>
        <v>3328.8</v>
      </c>
      <c r="E19" s="265">
        <f>IFERROR(INDEX('Inputs (2)'!$D$64:$AL$64,MATCH(E$7,'Inputs (2)'!$D$2:$AL$2,0)),"")</f>
        <v>3144.8</v>
      </c>
      <c r="F19" s="265">
        <f>IFERROR(INDEX('Inputs (2)'!$D$64:$AL$64,MATCH(F$7,'Inputs (2)'!$D$2:$AL$2,0)),"")</f>
        <v>3161.4</v>
      </c>
      <c r="G19" s="265">
        <f>IFERROR(INDEX('Inputs (2)'!$D$64:$AL$64,MATCH(G$7,'Inputs (2)'!$D$2:$AL$2,0)),"")</f>
        <v>4597.9</v>
      </c>
      <c r="H19" s="266">
        <f>IF(COUNT(D19:G19)=4,SUM(D19:G19),"")</f>
        <v>14232.9</v>
      </c>
      <c r="I19" s="265">
        <f>IFERROR(INDEX('Inputs (2)'!$D$64:$AL$64,MATCH(I$7,'Inputs (2)'!$D$2:$AL$2,0)),"")</f>
        <v>3941.3</v>
      </c>
      <c r="J19" s="265">
        <f>IFERROR(INDEX('Inputs (2)'!$D$64:$AL$64,MATCH(J$7,'Inputs (2)'!$D$2:$AL$2,0)),"")</f>
        <v>3704.2</v>
      </c>
      <c r="K19" s="265">
        <f>IFERROR(INDEX('Inputs (2)'!$D$64:$AL$64,MATCH(K$7,'Inputs (2)'!$D$2:$AL$2,0)),"")</f>
        <v>3989.6</v>
      </c>
      <c r="L19" s="265">
        <f>IFERROR(INDEX('Inputs (2)'!$D$64:$AL$64,MATCH(L$7,'Inputs (2)'!$D$2:$AL$2,0)),"")</f>
        <v>5175.9</v>
      </c>
      <c r="M19" s="266">
        <f>IF(COUNT(I19:L19)=4,SUM(I19:L19),"")</f>
        <v>16811</v>
      </c>
      <c r="N19" s="265">
        <f>IFERROR(INDEX('Inputs (2)'!$D$64:$AL$64,MATCH(N$7,'Inputs (2)'!$D$2:$AL$2,0)),"")</f>
        <v>5174.6</v>
      </c>
      <c r="O19" s="265">
        <f>IFERROR(INDEX('Inputs (2)'!$D$64:$AL$64,MATCH(O$7,'Inputs (2)'!$D$2:$AL$2,0)),"")</f>
        <v>3934.8</v>
      </c>
      <c r="P19" s="265">
        <f>IFERROR(INDEX('Inputs (2)'!$D$64:$AL$64,MATCH(P$7,'Inputs (2)'!$D$2:$AL$2,0)),"")</f>
        <v>4422.1</v>
      </c>
      <c r="Q19" s="265">
        <f>IFERROR(INDEX('Inputs (2)'!$D$64:$AL$64,MATCH(Q$7,'Inputs (2)'!$D$2:$AL$2,0)),"")</f>
        <v>4658.5</v>
      </c>
      <c r="R19" s="266">
        <f>IF(COUNT(N19:Q19)=4,SUM(N19:Q19),"")</f>
        <v>18190</v>
      </c>
      <c r="S19" s="265">
        <f>IFERROR(INDEX('Inputs (2)'!$D$64:$AL$64,MATCH(S$7,'Inputs (2)'!$D$2:$AL$2,0)),"")</f>
        <v>4436.2</v>
      </c>
      <c r="T19" s="265">
        <f>IFERROR(INDEX('Inputs (2)'!$D$64:$AL$64,MATCH(T$7,'Inputs (2)'!$D$2:$AL$2,0)),"")</f>
        <v>5531.4</v>
      </c>
      <c r="U19" s="265">
        <f>IFERROR(INDEX('Inputs (2)'!$D$64:$AL$64,MATCH(U$7,'Inputs (2)'!$D$2:$AL$2,0)),"")</f>
        <v>5368.1</v>
      </c>
      <c r="V19" s="265">
        <f>IFERROR(INDEX('Inputs (2)'!$D$64:$AL$64,MATCH(V$7,'Inputs (2)'!$D$2:$AL$2,0)),"")</f>
        <v>6455.4</v>
      </c>
      <c r="W19" s="266">
        <f>IF(COUNT(S19:V19)=4,SUM(S19:V19),"")</f>
        <v>21791.1</v>
      </c>
      <c r="X19" s="265">
        <f>IFERROR(INDEX('Inputs (2)'!$D$64:$AL$64,MATCH(X$7,'Inputs (2)'!$D$2:$AL$2,0)),"")</f>
        <v>5694.4</v>
      </c>
      <c r="Y19" s="265">
        <f>IFERROR(INDEX('Inputs (2)'!$D$64:$AL$64,MATCH(Y$7,'Inputs (2)'!$D$2:$AL$2,0)),"")</f>
        <v>7835.2</v>
      </c>
      <c r="Z19" s="265">
        <f>IFERROR(INDEX('Inputs (2)'!$D$64:$AL$64,MATCH(Z$7,'Inputs (2)'!$D$2:$AL$2,0)),"")</f>
        <v>7813.6</v>
      </c>
      <c r="AA19" s="265">
        <f>IFERROR(INDEX('Inputs (2)'!$D$64:$AL$64,MATCH(AA$7,'Inputs (2)'!$D$2:$AL$2,0)),"")</f>
        <v>9032</v>
      </c>
      <c r="AB19" s="266">
        <f>IF(COUNT(X19:AA19)=4,SUM(X19:AA19),"")</f>
        <v>30375.2</v>
      </c>
      <c r="AC19" s="265">
        <f>IFERROR(INDEX('Inputs (2)'!$D$64:$AL$64,MATCH(AC$7,'Inputs (2)'!$D$2:$AL$2,0)),"")</f>
        <v>8489</v>
      </c>
      <c r="AD19" s="265">
        <f>IFERROR(INDEX('Inputs (2)'!$D$64:$AL$64,MATCH(AD$7,'Inputs (2)'!$D$2:$AL$2,0)),"")</f>
        <v>10814</v>
      </c>
      <c r="AE19" s="265">
        <f>IFERROR(INDEX('Inputs (2)'!$D$64:$AL$64,MATCH(AE$7,'Inputs (2)'!$D$2:$AL$2,0)),"")</f>
        <v>11300</v>
      </c>
      <c r="AF19" s="265">
        <f>IFERROR(INDEX('Inputs (2)'!$D$64:$AL$64,MATCH(AF$7,'Inputs (2)'!$D$2:$AL$2,0)),"")</f>
        <v>12877.4</v>
      </c>
      <c r="AG19" s="266">
        <f>IF(COUNT(AC19:AF19)=4,SUM(AC19:AF19),"")</f>
        <v>43480.4</v>
      </c>
      <c r="AH19" s="266">
        <f>IFERROR(INDEX('Inputs (2)'!$D$64:$AL$64,MATCH(AH$7,'Inputs (2)'!$D$2:$AL$2,0)),"")</f>
        <v>12119</v>
      </c>
      <c r="AI19" s="266">
        <f>IFERROR(INDEX('Inputs (2)'!$D$64:$AL$64,MATCH(AI$7,'Inputs (2)'!$D$2:$AL$2,0)),"")</f>
        <v>14413</v>
      </c>
    </row>
    <row r="20">
      <c r="C20" s="14" t="inlineStr">
        <is>
          <t xml:space="preserve">   Fora dos EUA</t>
        </is>
      </c>
      <c r="D20" s="265">
        <f>IFERROR(INDEX('Inputs (2)'!$D$65:$AL$65,MATCH(D$7,'Inputs (2)'!$D$2:$AL$2,0)),"")</f>
        <v>2531</v>
      </c>
      <c r="E20" s="265">
        <f>IFERROR(INDEX('Inputs (2)'!$D$65:$AL$65,MATCH(E$7,'Inputs (2)'!$D$2:$AL$2,0)),"")</f>
        <v>2354.6</v>
      </c>
      <c r="F20" s="265">
        <f>IFERROR(INDEX('Inputs (2)'!$D$65:$AL$65,MATCH(F$7,'Inputs (2)'!$D$2:$AL$2,0)),"")</f>
        <v>2579.3</v>
      </c>
      <c r="G20" s="265">
        <f>IFERROR(INDEX('Inputs (2)'!$D$65:$AL$65,MATCH(G$7,'Inputs (2)'!$D$2:$AL$2,0)),"")</f>
        <v>2842</v>
      </c>
      <c r="H20" s="266">
        <f>IF(COUNT(D20:G20)=4,SUM(D20:G20),"")</f>
        <v>10306.9</v>
      </c>
      <c r="I20" s="265">
        <f>IFERROR(INDEX('Inputs (2)'!$D$65:$AL$65,MATCH(I$7,'Inputs (2)'!$D$2:$AL$2,0)),"")</f>
        <v>2864.3</v>
      </c>
      <c r="J20" s="265">
        <f>IFERROR(INDEX('Inputs (2)'!$D$65:$AL$65,MATCH(J$7,'Inputs (2)'!$D$2:$AL$2,0)),"")</f>
        <v>3035.9</v>
      </c>
      <c r="K20" s="265">
        <f>IFERROR(INDEX('Inputs (2)'!$D$65:$AL$65,MATCH(K$7,'Inputs (2)'!$D$2:$AL$2,0)),"")</f>
        <v>2783.3</v>
      </c>
      <c r="L20" s="265">
        <f>IFERROR(INDEX('Inputs (2)'!$D$65:$AL$65,MATCH(L$7,'Inputs (2)'!$D$2:$AL$2,0)),"")</f>
        <v>2824</v>
      </c>
      <c r="M20" s="266">
        <f>IF(COUNT(I20:L20)=4,SUM(I20:L20),"")</f>
        <v>11507.5</v>
      </c>
      <c r="N20" s="265">
        <f>IFERROR(INDEX('Inputs (2)'!$D$65:$AL$65,MATCH(N$7,'Inputs (2)'!$D$2:$AL$2,0)),"")</f>
        <v>2635.4</v>
      </c>
      <c r="O20" s="265">
        <f>IFERROR(INDEX('Inputs (2)'!$D$65:$AL$65,MATCH(O$7,'Inputs (2)'!$D$2:$AL$2,0)),"")</f>
        <v>2553.3</v>
      </c>
      <c r="P20" s="265">
        <f>IFERROR(INDEX('Inputs (2)'!$D$65:$AL$65,MATCH(P$7,'Inputs (2)'!$D$2:$AL$2,0)),"")</f>
        <v>2519.4</v>
      </c>
      <c r="Q20" s="265">
        <f>IFERROR(INDEX('Inputs (2)'!$D$65:$AL$65,MATCH(Q$7,'Inputs (2)'!$D$2:$AL$2,0)),"")</f>
        <v>2643.2</v>
      </c>
      <c r="R20" s="266">
        <f>IF(COUNT(N20:Q20)=4,SUM(N20:Q20),"")</f>
        <v>10351.3</v>
      </c>
      <c r="S20" s="265">
        <f>IFERROR(INDEX('Inputs (2)'!$D$65:$AL$65,MATCH(S$7,'Inputs (2)'!$D$2:$AL$2,0)),"")</f>
        <v>2523.9</v>
      </c>
      <c r="T20" s="265">
        <f>IFERROR(INDEX('Inputs (2)'!$D$65:$AL$65,MATCH(T$7,'Inputs (2)'!$D$2:$AL$2,0)),"")</f>
        <v>2780.7</v>
      </c>
      <c r="U20" s="265">
        <f>IFERROR(INDEX('Inputs (2)'!$D$65:$AL$65,MATCH(U$7,'Inputs (2)'!$D$2:$AL$2,0)),"")</f>
        <v>4130.5</v>
      </c>
      <c r="V20" s="265">
        <f>IFERROR(INDEX('Inputs (2)'!$D$65:$AL$65,MATCH(V$7,'Inputs (2)'!$D$2:$AL$2,0)),"")</f>
        <v>2898.1</v>
      </c>
      <c r="W20" s="266">
        <f>IF(COUNT(S20:V20)=4,SUM(S20:V20),"")</f>
        <v>12333.2</v>
      </c>
      <c r="X20" s="265">
        <f>IFERROR(INDEX('Inputs (2)'!$D$65:$AL$65,MATCH(X$7,'Inputs (2)'!$D$2:$AL$2,0)),"")</f>
        <v>3073.7</v>
      </c>
      <c r="Y20" s="265">
        <f>IFERROR(INDEX('Inputs (2)'!$D$65:$AL$65,MATCH(Y$7,'Inputs (2)'!$D$2:$AL$2,0)),"")</f>
        <v>3467.5</v>
      </c>
      <c r="Z20" s="265">
        <f>IFERROR(INDEX('Inputs (2)'!$D$65:$AL$65,MATCH(Z$7,'Inputs (2)'!$D$2:$AL$2,0)),"")</f>
        <v>3625.5</v>
      </c>
      <c r="AA20" s="265">
        <f>IFERROR(INDEX('Inputs (2)'!$D$65:$AL$65,MATCH(AA$7,'Inputs (2)'!$D$2:$AL$2,0)),"")</f>
        <v>4500.8</v>
      </c>
      <c r="AB20" s="266">
        <f>IF(COUNT(X20:AA20)=4,SUM(X20:AA20),"")</f>
        <v>14667.5</v>
      </c>
      <c r="AC20" s="265">
        <f>IFERROR(INDEX('Inputs (2)'!$D$65:$AL$65,MATCH(AC$7,'Inputs (2)'!$D$2:$AL$2,0)),"")</f>
        <v>4239</v>
      </c>
      <c r="AD20" s="265">
        <f>IFERROR(INDEX('Inputs (2)'!$D$65:$AL$65,MATCH(AD$7,'Inputs (2)'!$D$2:$AL$2,0)),"")</f>
        <v>4743</v>
      </c>
      <c r="AE20" s="265">
        <f>IFERROR(INDEX('Inputs (2)'!$D$65:$AL$65,MATCH(AE$7,'Inputs (2)'!$D$2:$AL$2,0)),"")</f>
        <v>6300.8</v>
      </c>
      <c r="AF20" s="265">
        <f>IFERROR(INDEX('Inputs (2)'!$D$65:$AL$65,MATCH(AF$7,'Inputs (2)'!$D$2:$AL$2,0)),"")</f>
        <v>6414.6</v>
      </c>
      <c r="AG20" s="266">
        <f>IF(COUNT(AC20:AF20)=4,SUM(AC20:AF20),"")</f>
        <v>21697.4</v>
      </c>
      <c r="AH20" s="266">
        <f>IFERROR(INDEX('Inputs (2)'!$D$65:$AL$65,MATCH(AH$7,'Inputs (2)'!$D$2:$AL$2,0)),"")</f>
        <v>7680</v>
      </c>
      <c r="AI20" s="266">
        <f>IFERROR(INDEX('Inputs (2)'!$D$65:$AL$65,MATCH(AI$7,'Inputs (2)'!$D$2:$AL$2,0)),"")</f>
        <v>8561</v>
      </c>
    </row>
    <row r="21">
      <c r="C21" s="267" t="inlineStr">
        <is>
          <t>Receita (EUA + exterior)</t>
        </is>
      </c>
      <c r="D21" s="265">
        <f>IF(COUNT(D19,D20)=0,"",N(D19)+N(D20))</f>
        <v>5859.8</v>
      </c>
      <c r="E21" s="265">
        <f>IF(COUNT(E19,E20)=0,"",N(E19)+N(E20))</f>
        <v>5499.4</v>
      </c>
      <c r="F21" s="265">
        <f>IF(COUNT(F19,F20)=0,"",N(F19)+N(F20))</f>
        <v>5740.7</v>
      </c>
      <c r="G21" s="265">
        <f>IF(COUNT(G19,G20)=0,"",N(G19)+N(G20))</f>
        <v>7439.9</v>
      </c>
      <c r="H21" s="266">
        <f>IF(COUNT(H19,H20)=0,"",N(H19)+N(H20))</f>
        <v>24539.8</v>
      </c>
      <c r="I21" s="265">
        <f>IF(COUNT(I19,I20)=0,"",N(I19)+N(I20))</f>
        <v>6805.6</v>
      </c>
      <c r="J21" s="265">
        <f>IF(COUNT(J19,J20)=0,"",N(J19)+N(J20))</f>
        <v>6740.1</v>
      </c>
      <c r="K21" s="265">
        <f>IF(COUNT(K19,K20)=0,"",N(K19)+N(K20))</f>
        <v>6772.9</v>
      </c>
      <c r="L21" s="265">
        <f>IF(COUNT(L19,L20)=0,"",N(L19)+N(L20))</f>
        <v>7999.9</v>
      </c>
      <c r="M21" s="266">
        <f>IF(COUNT(M19,M20)=0,"",N(M19)+N(M20))</f>
        <v>28318.5</v>
      </c>
      <c r="N21" s="265">
        <f>IF(COUNT(N19,N20)=0,"",N(N19)+N(N20))</f>
        <v>7810</v>
      </c>
      <c r="O21" s="265">
        <f>IF(COUNT(O19,O20)=0,"",N(O19)+N(O20))</f>
        <v>6488.1</v>
      </c>
      <c r="P21" s="265">
        <f>IF(COUNT(P19,P20)=0,"",N(P19)+N(P20))</f>
        <v>6941.5</v>
      </c>
      <c r="Q21" s="265">
        <f>IF(COUNT(Q19,Q20)=0,"",N(Q19)+N(Q20))</f>
        <v>7301.7</v>
      </c>
      <c r="R21" s="266">
        <f>IF(COUNT(R19,R20)=0,"",N(R19)+N(R20))</f>
        <v>28541.3</v>
      </c>
      <c r="S21" s="265">
        <f>IF(COUNT(S19,S20)=0,"",N(S19)+N(S20))</f>
        <v>6960.1</v>
      </c>
      <c r="T21" s="265">
        <f>IF(COUNT(T19,T20)=0,"",N(T19)+N(T20))</f>
        <v>8312.1</v>
      </c>
      <c r="U21" s="265">
        <f>IF(COUNT(U19,U20)=0,"",N(U19)+N(U20))</f>
        <v>9498.6</v>
      </c>
      <c r="V21" s="265">
        <f>IF(COUNT(V19,V20)=0,"",N(V19)+N(V20))</f>
        <v>9353.5</v>
      </c>
      <c r="W21" s="266">
        <f>IF(COUNT(W19,W20)=0,"",N(W19)+N(W20))</f>
        <v>34124.3</v>
      </c>
      <c r="X21" s="265">
        <f>IF(COUNT(X19,X20)=0,"",N(X19)+N(X20))</f>
        <v>8768.1</v>
      </c>
      <c r="Y21" s="265">
        <f>IF(COUNT(Y19,Y20)=0,"",N(Y19)+N(Y20))</f>
        <v>11302.7</v>
      </c>
      <c r="Z21" s="265">
        <f>IF(COUNT(Z19,Z20)=0,"",N(Z19)+N(Z20))</f>
        <v>11439.1</v>
      </c>
      <c r="AA21" s="265">
        <f>IF(COUNT(AA19,AA20)=0,"",N(AA19)+N(AA20))</f>
        <v>13532.8</v>
      </c>
      <c r="AB21" s="266">
        <f>IF(COUNT(AB19,AB20)=0,"",N(AB19)+N(AB20))</f>
        <v>45042.7</v>
      </c>
      <c r="AC21" s="265">
        <f>IF(COUNT(AC19,AC20)=0,"",N(AC19)+N(AC20))</f>
        <v>12728</v>
      </c>
      <c r="AD21" s="265">
        <f>IF(COUNT(AD19,AD20)=0,"",N(AD19)+N(AD20))</f>
        <v>15557</v>
      </c>
      <c r="AE21" s="265">
        <f>IF(COUNT(AE19,AE20)=0,"",N(AE19)+N(AE20))</f>
        <v>17600.8</v>
      </c>
      <c r="AF21" s="265">
        <f>IF(COUNT(AF19,AF20)=0,"",N(AF19)+N(AF20))</f>
        <v>19292</v>
      </c>
      <c r="AG21" s="266">
        <f>IF(COUNT(AG19,AG20)=0,"",N(AG19)+N(AG20))</f>
        <v>65177.8</v>
      </c>
      <c r="AH21" s="266">
        <f>IF(COUNT(AH19,AH20)=0,"",N(AH19)+N(AH20))</f>
        <v>19799</v>
      </c>
      <c r="AI21" s="266">
        <f>IF(COUNT(AI19,AI20)=0,"",N(AI19)+N(AI20))</f>
        <v>22974</v>
      </c>
    </row>
    <row r="22">
      <c r="C22" s="14" t="inlineStr">
        <is>
          <t>Check vs Net Revenues (linha 15)</t>
        </is>
      </c>
      <c r="D22" s="265">
        <f>IF(COUNT(D21)=0,"",ROUND(D15-D21,1))</f>
        <v>0</v>
      </c>
      <c r="E22" s="265">
        <f>IF(COUNT(E21)=0,"",ROUND(E15-E21,1))</f>
        <v>0</v>
      </c>
      <c r="F22" s="265">
        <f>IF(COUNT(F21)=0,"",ROUND(F15-F21,1))</f>
        <v>-0.1</v>
      </c>
      <c r="G22" s="265">
        <f>IF(COUNT(G21)=0,"",ROUND(G15-G21,1))</f>
        <v>0.1</v>
      </c>
      <c r="H22" s="266">
        <f>IF(COUNT(H21)=0,"",ROUND(H15-H21,1))</f>
        <v>0</v>
      </c>
      <c r="I22" s="265">
        <f>IF(COUNT(I21)=0,"",ROUND(I15-I21,1))</f>
        <v>0</v>
      </c>
      <c r="J22" s="265">
        <f>IF(COUNT(J21)=0,"",ROUND(J15-J21,1))</f>
        <v>0</v>
      </c>
      <c r="K22" s="265">
        <f>IF(COUNT(K21)=0,"",ROUND(K15-K21,1))</f>
        <v>-0.1</v>
      </c>
      <c r="L22" s="265">
        <f>IF(COUNT(L21)=0,"",ROUND(L15-L21,1))</f>
        <v>0</v>
      </c>
      <c r="M22" s="266">
        <f>IF(COUNT(M21)=0,"",ROUND(M15-M21,1))</f>
        <v>-0.1</v>
      </c>
      <c r="N22" s="265">
        <f>IF(COUNT(N21)=0,"",ROUND(N15-N21,1))</f>
        <v>0</v>
      </c>
      <c r="O22" s="265">
        <f>IF(COUNT(O21)=0,"",ROUND(O15-O21,1))</f>
        <v>-0.1</v>
      </c>
      <c r="P22" s="265">
        <f>IF(COUNT(P21)=0,"",ROUND(P15-P21,1))</f>
        <v>0.1</v>
      </c>
      <c r="Q22" s="265">
        <f>IF(COUNT(Q21)=0,"",ROUND(Q15-Q21,1))</f>
        <v>0.1</v>
      </c>
      <c r="R22" s="266">
        <f>IF(COUNT(R21)=0,"",ROUND(R15-R21,1))</f>
        <v>0.1</v>
      </c>
      <c r="S22" s="265">
        <f>IF(COUNT(S21)=0,"",ROUND(S15-S21,1))</f>
        <v>-0.1</v>
      </c>
      <c r="T22" s="265">
        <f>IF(COUNT(T21)=0,"",ROUND(T15-T21,1))</f>
        <v>0</v>
      </c>
      <c r="U22" s="265">
        <f>IF(COUNT(U21)=0,"",ROUND(U15-U21,1))</f>
        <v>0</v>
      </c>
      <c r="V22" s="265">
        <f>IF(COUNT(V21)=0,"",ROUND(V15-V21,1))</f>
        <v>-0.1</v>
      </c>
      <c r="W22" s="266">
        <f>IF(COUNT(W21)=0,"",ROUND(W15-W21,1))</f>
        <v>-0.2</v>
      </c>
      <c r="X22" s="265">
        <f>IF(COUNT(X21)=0,"",ROUND(X15-X21,1))</f>
        <v>-0.1</v>
      </c>
      <c r="Y22" s="265">
        <f>IF(COUNT(Y21)=0,"",ROUND(Y15-Y21,1))</f>
        <v>0.1</v>
      </c>
      <c r="Z22" s="265">
        <f>IF(COUNT(Z21)=0,"",ROUND(Z15-Z21,1))</f>
        <v>0</v>
      </c>
      <c r="AA22" s="265">
        <f>IF(COUNT(AA21)=0,"",ROUND(AA15-AA21,1))</f>
        <v>0</v>
      </c>
      <c r="AB22" s="266">
        <f>IF(COUNT(AB21)=0,"",ROUND(AB15-AB21,1))</f>
        <v>0</v>
      </c>
      <c r="AC22" s="265">
        <f>IF(COUNT(AC21)=0,"",ROUND(AC15-AC21,1))</f>
        <v>1</v>
      </c>
      <c r="AD22" s="265">
        <f>IF(COUNT(AD21)=0,"",ROUND(AD15-AD21,1))</f>
        <v>1</v>
      </c>
      <c r="AE22" s="265">
        <f>IF(COUNT(AE21)=0,"",ROUND(AE15-AE21,1))</f>
        <v>0</v>
      </c>
      <c r="AF22" s="265">
        <f>IF(COUNT(AF21)=0,"",ROUND(AF15-AF21,1))</f>
        <v>0</v>
      </c>
      <c r="AG22" s="266">
        <f>IF(COUNT(AG21)=0,"",ROUND(AG15-AG21,1))</f>
        <v>2</v>
      </c>
      <c r="AH22" s="266">
        <f>IF(COUNT(AH21)=0,"",ROUND(AH15-AH21,1))</f>
        <v>0</v>
      </c>
      <c r="AI22" s="266">
        <f>IF(COUNT(AI21)=0,"",ROUND(AI15-AI21,1))</f>
        <v>0</v>
      </c>
    </row>
    <row r="23">
      <c r="C23" s="14" t="inlineStr">
        <is>
          <t xml:space="preserve">   Receita de produtos</t>
        </is>
      </c>
      <c r="D23" s="265">
        <f>IFERROR(INDEX('Inputs (2)'!$D$66:$AL$66,MATCH(D$7,'Inputs (2)'!$D$2:$AL$2,0)),"")</f>
        <v>5403.5</v>
      </c>
      <c r="E23" s="265">
        <f>IFERROR(INDEX('Inputs (2)'!$D$66:$AL$66,MATCH(E$7,'Inputs (2)'!$D$2:$AL$2,0)),"")</f>
        <v>5077.7</v>
      </c>
      <c r="F23" s="265">
        <f>IFERROR(INDEX('Inputs (2)'!$D$66:$AL$66,MATCH(F$7,'Inputs (2)'!$D$2:$AL$2,0)),"")</f>
        <v>5281.1</v>
      </c>
      <c r="G23" s="265">
        <f>IFERROR(INDEX('Inputs (2)'!$D$66:$AL$66,MATCH(G$7,'Inputs (2)'!$D$2:$AL$2,0)),"")</f>
        <v>6932.5</v>
      </c>
      <c r="H23" s="266">
        <f>IF(COUNT(D23:G23)=4,SUM(D23:G23),"")</f>
        <v>22694.8</v>
      </c>
      <c r="I23" s="265">
        <f>IFERROR(INDEX('Inputs (2)'!$D$66:$AL$66,MATCH(I$7,'Inputs (2)'!$D$2:$AL$2,0)),"")</f>
        <v>6320</v>
      </c>
      <c r="J23" s="265">
        <f>IFERROR(INDEX('Inputs (2)'!$D$66:$AL$66,MATCH(J$7,'Inputs (2)'!$D$2:$AL$2,0)),"")</f>
        <v>6070.5</v>
      </c>
      <c r="K23" s="265">
        <f>IFERROR(INDEX('Inputs (2)'!$D$66:$AL$66,MATCH(K$7,'Inputs (2)'!$D$2:$AL$2,0)),"")</f>
        <v>6189</v>
      </c>
      <c r="L23" s="265">
        <f>IFERROR(INDEX('Inputs (2)'!$D$66:$AL$66,MATCH(L$7,'Inputs (2)'!$D$2:$AL$2,0)),"")</f>
        <v>7378.4</v>
      </c>
      <c r="M23" s="266">
        <f>IF(COUNT(I23:L23)=4,SUM(I23:L23),"")</f>
        <v>25957.9</v>
      </c>
      <c r="N23" s="265">
        <f>IFERROR(INDEX('Inputs (2)'!$D$66:$AL$66,MATCH(N$7,'Inputs (2)'!$D$2:$AL$2,0)),"")</f>
        <v>7132.9</v>
      </c>
      <c r="O23" s="265">
        <f>IFERROR(INDEX('Inputs (2)'!$D$66:$AL$66,MATCH(O$7,'Inputs (2)'!$D$2:$AL$2,0)),"")</f>
        <v>5870.9</v>
      </c>
      <c r="P23" s="265">
        <f>IFERROR(INDEX('Inputs (2)'!$D$66:$AL$66,MATCH(P$7,'Inputs (2)'!$D$2:$AL$2,0)),"")</f>
        <v>6119.2</v>
      </c>
      <c r="Q23" s="265">
        <f>IFERROR(INDEX('Inputs (2)'!$D$66:$AL$66,MATCH(Q$7,'Inputs (2)'!$D$2:$AL$2,0)),"")</f>
        <v>6339.8</v>
      </c>
      <c r="R23" s="266">
        <f>IF(COUNT(N23:Q23)=4,SUM(N23:Q23),"")</f>
        <v>25462.8</v>
      </c>
      <c r="S23" s="265">
        <f>IFERROR(INDEX('Inputs (2)'!$D$66:$AL$66,MATCH(S$7,'Inputs (2)'!$D$2:$AL$2,0)),"")</f>
        <v>6238.2</v>
      </c>
      <c r="T23" s="265">
        <f>IFERROR(INDEX('Inputs (2)'!$D$66:$AL$66,MATCH(T$7,'Inputs (2)'!$D$2:$AL$2,0)),"")</f>
        <v>6979.8</v>
      </c>
      <c r="U23" s="265">
        <f>IFERROR(INDEX('Inputs (2)'!$D$66:$AL$66,MATCH(U$7,'Inputs (2)'!$D$2:$AL$2,0)),"")</f>
        <v>7306.2</v>
      </c>
      <c r="V23" s="265">
        <f>IFERROR(INDEX('Inputs (2)'!$D$66:$AL$66,MATCH(V$7,'Inputs (2)'!$D$2:$AL$2,0)),"")</f>
        <v>8289.7</v>
      </c>
      <c r="W23" s="266">
        <f>IF(COUNT(S23:V23)=4,SUM(S23:V23),"")</f>
        <v>28813.9</v>
      </c>
      <c r="X23" s="265">
        <f>IFERROR(INDEX('Inputs (2)'!$D$66:$AL$66,MATCH(X$7,'Inputs (2)'!$D$2:$AL$2,0)),"")</f>
        <v>7796.5</v>
      </c>
      <c r="Y23" s="265">
        <f>IFERROR(INDEX('Inputs (2)'!$D$66:$AL$66,MATCH(Y$7,'Inputs (2)'!$D$2:$AL$2,0)),"")</f>
        <v>10354.9</v>
      </c>
      <c r="Z23" s="265">
        <f>IFERROR(INDEX('Inputs (2)'!$D$66:$AL$66,MATCH(Z$7,'Inputs (2)'!$D$2:$AL$2,0)),"")</f>
        <v>10571.6</v>
      </c>
      <c r="AA23" s="265">
        <f>IFERROR(INDEX('Inputs (2)'!$D$66:$AL$66,MATCH(AA$7,'Inputs (2)'!$D$2:$AL$2,0)),"")</f>
        <v>12024.9</v>
      </c>
      <c r="AB23" s="266">
        <f>IF(COUNT(X23:AA23)=4,SUM(X23:AA23),"")</f>
        <v>40747.9</v>
      </c>
      <c r="AC23" s="265">
        <f>IFERROR(INDEX('Inputs (2)'!$D$66:$AL$66,MATCH(AC$7,'Inputs (2)'!$D$2:$AL$2,0)),"")</f>
        <v>11601</v>
      </c>
      <c r="AD23" s="265">
        <f>IFERROR(INDEX('Inputs (2)'!$D$66:$AL$66,MATCH(AD$7,'Inputs (2)'!$D$2:$AL$2,0)),"")</f>
        <v>14726</v>
      </c>
      <c r="AE23" s="265">
        <f>IFERROR(INDEX('Inputs (2)'!$D$66:$AL$66,MATCH(AE$7,'Inputs (2)'!$D$2:$AL$2,0)),"")</f>
        <v>16330.5</v>
      </c>
      <c r="AF23" s="265">
        <f>IFERROR(INDEX('Inputs (2)'!$D$66:$AL$66,MATCH(AF$7,'Inputs (2)'!$D$2:$AL$2,0)),"")</f>
        <v>18300.3</v>
      </c>
      <c r="AG23" s="266">
        <f>IF(COUNT(AC23:AF23)=4,SUM(AC23:AF23),"")</f>
        <v>60957.8</v>
      </c>
      <c r="AH23" s="266">
        <f>IFERROR(INDEX('Inputs (2)'!$D$66:$AL$66,MATCH(AH$7,'Inputs (2)'!$D$2:$AL$2,0)),"")</f>
        <v>18453</v>
      </c>
      <c r="AI23" s="266">
        <f>IFERROR(INDEX('Inputs (2)'!$D$66:$AL$66,MATCH(AI$7,'Inputs (2)'!$D$2:$AL$2,0)),"")</f>
        <v>21403</v>
      </c>
    </row>
    <row r="24">
      <c r="C24" s="14" t="inlineStr">
        <is>
          <t xml:space="preserve">   Colaboração e outras</t>
        </is>
      </c>
      <c r="D24" s="265">
        <f>IFERROR(INDEX('Inputs (2)'!$D$67:$AL$67,MATCH(D$7,'Inputs (2)'!$D$2:$AL$2,0)),"")</f>
        <v>456.3</v>
      </c>
      <c r="E24" s="265">
        <f>IFERROR(INDEX('Inputs (2)'!$D$67:$AL$67,MATCH(E$7,'Inputs (2)'!$D$2:$AL$2,0)),"")</f>
        <v>421.7</v>
      </c>
      <c r="F24" s="265">
        <f>IFERROR(INDEX('Inputs (2)'!$D$67:$AL$67,MATCH(F$7,'Inputs (2)'!$D$2:$AL$2,0)),"")</f>
        <v>459.5</v>
      </c>
      <c r="G24" s="265">
        <f>IFERROR(INDEX('Inputs (2)'!$D$67:$AL$67,MATCH(G$7,'Inputs (2)'!$D$2:$AL$2,0)),"")</f>
        <v>507.5</v>
      </c>
      <c r="H24" s="266">
        <f>IF(COUNT(D24:G24)=4,SUM(D24:G24),"")</f>
        <v>1845</v>
      </c>
      <c r="I24" s="265">
        <f>IFERROR(INDEX('Inputs (2)'!$D$67:$AL$67,MATCH(I$7,'Inputs (2)'!$D$2:$AL$2,0)),"")</f>
        <v>485.6</v>
      </c>
      <c r="J24" s="265">
        <f>IFERROR(INDEX('Inputs (2)'!$D$67:$AL$67,MATCH(J$7,'Inputs (2)'!$D$2:$AL$2,0)),"")</f>
        <v>669.6</v>
      </c>
      <c r="K24" s="265">
        <f>IFERROR(INDEX('Inputs (2)'!$D$67:$AL$67,MATCH(K$7,'Inputs (2)'!$D$2:$AL$2,0)),"")</f>
        <v>583.8</v>
      </c>
      <c r="L24" s="265">
        <f>IFERROR(INDEX('Inputs (2)'!$D$67:$AL$67,MATCH(L$7,'Inputs (2)'!$D$2:$AL$2,0)),"")</f>
        <v>621.5</v>
      </c>
      <c r="M24" s="266">
        <f>IF(COUNT(I24:L24)=4,SUM(I24:L24),"")</f>
        <v>2360.5</v>
      </c>
      <c r="N24" s="265">
        <f>IFERROR(INDEX('Inputs (2)'!$D$67:$AL$67,MATCH(N$7,'Inputs (2)'!$D$2:$AL$2,0)),"")</f>
        <v>677.1</v>
      </c>
      <c r="O24" s="265">
        <f>IFERROR(INDEX('Inputs (2)'!$D$67:$AL$67,MATCH(O$7,'Inputs (2)'!$D$2:$AL$2,0)),"")</f>
        <v>617.1</v>
      </c>
      <c r="P24" s="265">
        <f>IFERROR(INDEX('Inputs (2)'!$D$67:$AL$67,MATCH(P$7,'Inputs (2)'!$D$2:$AL$2,0)),"")</f>
        <v>822.4</v>
      </c>
      <c r="Q24" s="265">
        <f>IFERROR(INDEX('Inputs (2)'!$D$67:$AL$67,MATCH(Q$7,'Inputs (2)'!$D$2:$AL$2,0)),"")</f>
        <v>962</v>
      </c>
      <c r="R24" s="266">
        <f>IF(COUNT(N24:Q24)=4,SUM(N24:Q24),"")</f>
        <v>3078.6</v>
      </c>
      <c r="S24" s="265">
        <f>IFERROR(INDEX('Inputs (2)'!$D$67:$AL$67,MATCH(S$7,'Inputs (2)'!$D$2:$AL$2,0)),"")</f>
        <v>721.8</v>
      </c>
      <c r="T24" s="265">
        <f>IFERROR(INDEX('Inputs (2)'!$D$67:$AL$67,MATCH(T$7,'Inputs (2)'!$D$2:$AL$2,0)),"")</f>
        <v>1332.3</v>
      </c>
      <c r="U24" s="265">
        <f>IFERROR(INDEX('Inputs (2)'!$D$67:$AL$67,MATCH(U$7,'Inputs (2)'!$D$2:$AL$2,0)),"")</f>
        <v>2192.4</v>
      </c>
      <c r="V24" s="265">
        <f>IFERROR(INDEX('Inputs (2)'!$D$67:$AL$67,MATCH(V$7,'Inputs (2)'!$D$2:$AL$2,0)),"")</f>
        <v>1063.7</v>
      </c>
      <c r="W24" s="266">
        <f>IF(COUNT(S24:V24)=4,SUM(S24:V24),"")</f>
        <v>5310.2</v>
      </c>
      <c r="X24" s="265">
        <f>IFERROR(INDEX('Inputs (2)'!$D$67:$AL$67,MATCH(X$7,'Inputs (2)'!$D$2:$AL$2,0)),"")</f>
        <v>971.5</v>
      </c>
      <c r="Y24" s="265">
        <f>IFERROR(INDEX('Inputs (2)'!$D$67:$AL$67,MATCH(Y$7,'Inputs (2)'!$D$2:$AL$2,0)),"")</f>
        <v>947.9</v>
      </c>
      <c r="Z24" s="265">
        <f>IFERROR(INDEX('Inputs (2)'!$D$67:$AL$67,MATCH(Z$7,'Inputs (2)'!$D$2:$AL$2,0)),"")</f>
        <v>867.5</v>
      </c>
      <c r="AA24" s="265">
        <f>IFERROR(INDEX('Inputs (2)'!$D$67:$AL$67,MATCH(AA$7,'Inputs (2)'!$D$2:$AL$2,0)),"")</f>
        <v>1507.9</v>
      </c>
      <c r="AB24" s="266">
        <f>IF(COUNT(X24:AA24)=4,SUM(X24:AA24),"")</f>
        <v>4294.8</v>
      </c>
      <c r="AC24" s="265">
        <f>IFERROR(INDEX('Inputs (2)'!$D$67:$AL$67,MATCH(AC$7,'Inputs (2)'!$D$2:$AL$2,0)),"")</f>
        <v>1127</v>
      </c>
      <c r="AD24" s="265">
        <f>IFERROR(INDEX('Inputs (2)'!$D$67:$AL$67,MATCH(AD$7,'Inputs (2)'!$D$2:$AL$2,0)),"")</f>
        <v>832</v>
      </c>
      <c r="AE24" s="265">
        <f>IFERROR(INDEX('Inputs (2)'!$D$67:$AL$67,MATCH(AE$7,'Inputs (2)'!$D$2:$AL$2,0)),"")</f>
        <v>1270.3</v>
      </c>
      <c r="AF24" s="265">
        <f>IFERROR(INDEX('Inputs (2)'!$D$67:$AL$67,MATCH(AF$7,'Inputs (2)'!$D$2:$AL$2,0)),"")</f>
        <v>991.7</v>
      </c>
      <c r="AG24" s="266">
        <f>IF(COUNT(AC24:AF24)=4,SUM(AC24:AF24),"")</f>
        <v>4221</v>
      </c>
      <c r="AH24" s="266">
        <f>IFERROR(INDEX('Inputs (2)'!$D$67:$AL$67,MATCH(AH$7,'Inputs (2)'!$D$2:$AL$2,0)),"")</f>
        <v>1346</v>
      </c>
      <c r="AI24" s="266">
        <f>IFERROR(INDEX('Inputs (2)'!$D$67:$AL$67,MATCH(AI$7,'Inputs (2)'!$D$2:$AL$2,0)),"")</f>
        <v>1571</v>
      </c>
    </row>
    <row r="25"/>
    <row r="26">
      <c r="C26" s="12" t="inlineStr">
        <is>
          <t>Principais produtos (USD milhões)</t>
        </is>
      </c>
      <c r="D26" s="12" t="str">
        <f>D7</f>
        <v>1Q20</v>
      </c>
      <c r="E26" s="12" t="str">
        <f>E7</f>
        <v>2Q20</v>
      </c>
      <c r="F26" s="12" t="str">
        <f>F7</f>
        <v>3Q20</v>
      </c>
      <c r="G26" s="12" t="str">
        <f>G7</f>
        <v>4Q20</v>
      </c>
      <c r="H26" s="12">
        <f>H7</f>
        <v>2020</v>
      </c>
      <c r="I26" s="12" t="str">
        <f>I7</f>
        <v>1Q21</v>
      </c>
      <c r="J26" s="12" t="str">
        <f>J7</f>
        <v>2Q21</v>
      </c>
      <c r="K26" s="12" t="str">
        <f>K7</f>
        <v>3Q21</v>
      </c>
      <c r="L26" s="12" t="str">
        <f>L7</f>
        <v>4Q21</v>
      </c>
      <c r="M26" s="12">
        <f>M7</f>
        <v>2021</v>
      </c>
      <c r="N26" s="12" t="str">
        <f>N7</f>
        <v>1Q22</v>
      </c>
      <c r="O26" s="12" t="str">
        <f>O7</f>
        <v>2Q22</v>
      </c>
      <c r="P26" s="12" t="str">
        <f>P7</f>
        <v>3Q22</v>
      </c>
      <c r="Q26" s="12" t="str">
        <f>Q7</f>
        <v>4Q22</v>
      </c>
      <c r="R26" s="12">
        <f>R7</f>
        <v>2022</v>
      </c>
      <c r="S26" s="12" t="str">
        <f>S7</f>
        <v>1Q23</v>
      </c>
      <c r="T26" s="12" t="str">
        <f>T7</f>
        <v>2Q23</v>
      </c>
      <c r="U26" s="12" t="str">
        <f>U7</f>
        <v>3Q23</v>
      </c>
      <c r="V26" s="12" t="str">
        <f>V7</f>
        <v>4Q23</v>
      </c>
      <c r="W26" s="12">
        <f>W7</f>
        <v>2023</v>
      </c>
      <c r="X26" s="12" t="str">
        <f>X7</f>
        <v>1Q24</v>
      </c>
      <c r="Y26" s="12" t="str">
        <f>Y7</f>
        <v>2Q24</v>
      </c>
      <c r="Z26" s="12" t="str">
        <f>Z7</f>
        <v>3Q24</v>
      </c>
      <c r="AA26" s="12" t="str">
        <f>AA7</f>
        <v>4Q24</v>
      </c>
      <c r="AB26" s="12">
        <f>AB7</f>
        <v>2024</v>
      </c>
      <c r="AC26" s="12" t="str">
        <f>AC7</f>
        <v>1Q25</v>
      </c>
      <c r="AD26" s="12" t="str">
        <f>AD7</f>
        <v>2Q25</v>
      </c>
      <c r="AE26" s="12" t="str">
        <f>AE7</f>
        <v>3Q25</v>
      </c>
      <c r="AF26" s="12" t="str">
        <f>AF7</f>
        <v>4Q25</v>
      </c>
      <c r="AG26" s="12">
        <f>AG7</f>
        <v>2025</v>
      </c>
      <c r="AH26" s="12" t="str">
        <f>AH7</f>
        <v>1Q26</v>
      </c>
      <c r="AI26" s="12" t="str">
        <f>AI7</f>
        <v>2Q26</v>
      </c>
    </row>
    <row r="27">
      <c r="C27" s="14" t="inlineStr">
        <is>
          <t xml:space="preserve">   Mounjaro (tirzepatida, diabetes)</t>
        </is>
      </c>
      <c r="D27" s="265" t="str">
        <f>IFERROR(INDEX('Inputs (2)'!$D$53:$AL$53,MATCH(D$7,'Inputs (2)'!$D$2:$AL$2,0)),"")</f>
        <v/>
      </c>
      <c r="E27" s="265" t="str">
        <f>IFERROR(INDEX('Inputs (2)'!$D$53:$AL$53,MATCH(E$7,'Inputs (2)'!$D$2:$AL$2,0)),"")</f>
        <v/>
      </c>
      <c r="F27" s="265" t="str">
        <f>IFERROR(INDEX('Inputs (2)'!$D$53:$AL$53,MATCH(F$7,'Inputs (2)'!$D$2:$AL$2,0)),"")</f>
        <v/>
      </c>
      <c r="G27" s="265" t="str">
        <f>IFERROR(INDEX('Inputs (2)'!$D$53:$AL$53,MATCH(G$7,'Inputs (2)'!$D$2:$AL$2,0)),"")</f>
        <v/>
      </c>
      <c r="H27" s="266" t="str">
        <f>IF(COUNT(D27:G27)=4,SUM(D27:G27),"")</f>
        <v/>
      </c>
      <c r="I27" s="265" t="str">
        <f>IFERROR(INDEX('Inputs (2)'!$D$53:$AL$53,MATCH(I$7,'Inputs (2)'!$D$2:$AL$2,0)),"")</f>
        <v/>
      </c>
      <c r="J27" s="265" t="str">
        <f>IFERROR(INDEX('Inputs (2)'!$D$53:$AL$53,MATCH(J$7,'Inputs (2)'!$D$2:$AL$2,0)),"")</f>
        <v/>
      </c>
      <c r="K27" s="265">
        <f>IFERROR(INDEX('Inputs (2)'!$D$53:$AL$53,MATCH(K$7,'Inputs (2)'!$D$2:$AL$2,0)),"")</f>
        <v>0</v>
      </c>
      <c r="L27" s="265">
        <f>IFERROR(INDEX('Inputs (2)'!$D$53:$AL$53,MATCH(L$7,'Inputs (2)'!$D$2:$AL$2,0)),"")</f>
        <v>0</v>
      </c>
      <c r="M27" s="266" t="str">
        <f>IF(COUNT(I27:L27)=4,SUM(I27:L27),"")</f>
        <v/>
      </c>
      <c r="N27" s="265">
        <f>IFERROR(INDEX('Inputs (2)'!$D$53:$AL$53,MATCH(N$7,'Inputs (2)'!$D$2:$AL$2,0)),"")</f>
        <v>0</v>
      </c>
      <c r="O27" s="265">
        <f>IFERROR(INDEX('Inputs (2)'!$D$53:$AL$53,MATCH(O$7,'Inputs (2)'!$D$2:$AL$2,0)),"")</f>
        <v>16</v>
      </c>
      <c r="P27" s="265">
        <f>IFERROR(INDEX('Inputs (2)'!$D$53:$AL$53,MATCH(P$7,'Inputs (2)'!$D$2:$AL$2,0)),"")</f>
        <v>187.3</v>
      </c>
      <c r="Q27" s="265">
        <f>IFERROR(INDEX('Inputs (2)'!$D$53:$AL$53,MATCH(Q$7,'Inputs (2)'!$D$2:$AL$2,0)),"")</f>
        <v>279.3</v>
      </c>
      <c r="R27" s="266">
        <f>IF(COUNT(N27:Q27)=4,SUM(N27:Q27),"")</f>
        <v>482.6</v>
      </c>
      <c r="S27" s="265">
        <f>IFERROR(INDEX('Inputs (2)'!$D$53:$AL$53,MATCH(S$7,'Inputs (2)'!$D$2:$AL$2,0)),"")</f>
        <v>568.5</v>
      </c>
      <c r="T27" s="265">
        <f>IFERROR(INDEX('Inputs (2)'!$D$53:$AL$53,MATCH(T$7,'Inputs (2)'!$D$2:$AL$2,0)),"")</f>
        <v>979.7</v>
      </c>
      <c r="U27" s="265">
        <f>IFERROR(INDEX('Inputs (2)'!$D$53:$AL$53,MATCH(U$7,'Inputs (2)'!$D$2:$AL$2,0)),"")</f>
        <v>1409.3</v>
      </c>
      <c r="V27" s="265">
        <f>IFERROR(INDEX('Inputs (2)'!$D$53:$AL$53,MATCH(V$7,'Inputs (2)'!$D$2:$AL$2,0)),"")</f>
        <v>2205.6</v>
      </c>
      <c r="W27" s="266">
        <f>IF(COUNT(S27:V27)=4,SUM(S27:V27),"")</f>
        <v>5163.1</v>
      </c>
      <c r="X27" s="265">
        <f>IFERROR(INDEX('Inputs (2)'!$D$53:$AL$53,MATCH(X$7,'Inputs (2)'!$D$2:$AL$2,0)),"")</f>
        <v>1806.5</v>
      </c>
      <c r="Y27" s="265">
        <f>IFERROR(INDEX('Inputs (2)'!$D$53:$AL$53,MATCH(Y$7,'Inputs (2)'!$D$2:$AL$2,0)),"")</f>
        <v>3090.8</v>
      </c>
      <c r="Z27" s="265">
        <f>IFERROR(INDEX('Inputs (2)'!$D$53:$AL$53,MATCH(Z$7,'Inputs (2)'!$D$2:$AL$2,0)),"")</f>
        <v>3112.7</v>
      </c>
      <c r="AA27" s="265">
        <f>IFERROR(INDEX('Inputs (2)'!$D$53:$AL$53,MATCH(AA$7,'Inputs (2)'!$D$2:$AL$2,0)),"")</f>
        <v>3530.1</v>
      </c>
      <c r="AB27" s="266">
        <f>IF(COUNT(X27:AA27)=4,SUM(X27:AA27),"")</f>
        <v>11540.1</v>
      </c>
      <c r="AC27" s="265">
        <f>IFERROR(INDEX('Inputs (2)'!$D$53:$AL$53,MATCH(AC$7,'Inputs (2)'!$D$2:$AL$2,0)),"")</f>
        <v>3842</v>
      </c>
      <c r="AD27" s="265">
        <f>IFERROR(INDEX('Inputs (2)'!$D$53:$AL$53,MATCH(AD$7,'Inputs (2)'!$D$2:$AL$2,0)),"")</f>
        <v>5199</v>
      </c>
      <c r="AE27" s="265">
        <f>IFERROR(INDEX('Inputs (2)'!$D$53:$AL$53,MATCH(AE$7,'Inputs (2)'!$D$2:$AL$2,0)),"")</f>
        <v>6515.1</v>
      </c>
      <c r="AF27" s="265">
        <f>IFERROR(INDEX('Inputs (2)'!$D$53:$AL$53,MATCH(AF$7,'Inputs (2)'!$D$2:$AL$2,0)),"")</f>
        <v>7410.2</v>
      </c>
      <c r="AG27" s="266">
        <f>IF(COUNT(AC27:AF27)=4,SUM(AC27:AF27),"")</f>
        <v>22966.3</v>
      </c>
      <c r="AH27" s="266">
        <f>IFERROR(INDEX('Inputs (2)'!$D$53:$AL$53,MATCH(AH$7,'Inputs (2)'!$D$2:$AL$2,0)),"")</f>
        <v>8662</v>
      </c>
      <c r="AI27" s="266">
        <f>IFERROR(INDEX('Inputs (2)'!$D$53:$AL$53,MATCH(AI$7,'Inputs (2)'!$D$2:$AL$2,0)),"")</f>
        <v>9943</v>
      </c>
    </row>
    <row r="28">
      <c r="C28" s="14" t="inlineStr">
        <is>
          <t xml:space="preserve">   Zepbound (tirzepatida, obesidade)</t>
        </is>
      </c>
      <c r="D28" s="265" t="str">
        <f>IFERROR(INDEX('Inputs (2)'!$D$54:$AL$54,MATCH(D$7,'Inputs (2)'!$D$2:$AL$2,0)),"")</f>
        <v/>
      </c>
      <c r="E28" s="265" t="str">
        <f>IFERROR(INDEX('Inputs (2)'!$D$54:$AL$54,MATCH(E$7,'Inputs (2)'!$D$2:$AL$2,0)),"")</f>
        <v/>
      </c>
      <c r="F28" s="265" t="str">
        <f>IFERROR(INDEX('Inputs (2)'!$D$54:$AL$54,MATCH(F$7,'Inputs (2)'!$D$2:$AL$2,0)),"")</f>
        <v/>
      </c>
      <c r="G28" s="265" t="str">
        <f>IFERROR(INDEX('Inputs (2)'!$D$54:$AL$54,MATCH(G$7,'Inputs (2)'!$D$2:$AL$2,0)),"")</f>
        <v/>
      </c>
      <c r="H28" s="266" t="str">
        <f>IF(COUNT(D28:G28)=4,SUM(D28:G28),"")</f>
        <v/>
      </c>
      <c r="I28" s="265" t="str">
        <f>IFERROR(INDEX('Inputs (2)'!$D$54:$AL$54,MATCH(I$7,'Inputs (2)'!$D$2:$AL$2,0)),"")</f>
        <v/>
      </c>
      <c r="J28" s="265" t="str">
        <f>IFERROR(INDEX('Inputs (2)'!$D$54:$AL$54,MATCH(J$7,'Inputs (2)'!$D$2:$AL$2,0)),"")</f>
        <v/>
      </c>
      <c r="K28" s="265" t="str">
        <f>IFERROR(INDEX('Inputs (2)'!$D$54:$AL$54,MATCH(K$7,'Inputs (2)'!$D$2:$AL$2,0)),"")</f>
        <v/>
      </c>
      <c r="L28" s="265" t="str">
        <f>IFERROR(INDEX('Inputs (2)'!$D$54:$AL$54,MATCH(L$7,'Inputs (2)'!$D$2:$AL$2,0)),"")</f>
        <v/>
      </c>
      <c r="M28" s="266" t="str">
        <f>IF(COUNT(I28:L28)=4,SUM(I28:L28),"")</f>
        <v/>
      </c>
      <c r="N28" s="265" t="str">
        <f>IFERROR(INDEX('Inputs (2)'!$D$54:$AL$54,MATCH(N$7,'Inputs (2)'!$D$2:$AL$2,0)),"")</f>
        <v/>
      </c>
      <c r="O28" s="265" t="str">
        <f>IFERROR(INDEX('Inputs (2)'!$D$54:$AL$54,MATCH(O$7,'Inputs (2)'!$D$2:$AL$2,0)),"")</f>
        <v/>
      </c>
      <c r="P28" s="265" t="str">
        <f>IFERROR(INDEX('Inputs (2)'!$D$54:$AL$54,MATCH(P$7,'Inputs (2)'!$D$2:$AL$2,0)),"")</f>
        <v/>
      </c>
      <c r="Q28" s="265" t="str">
        <f>IFERROR(INDEX('Inputs (2)'!$D$54:$AL$54,MATCH(Q$7,'Inputs (2)'!$D$2:$AL$2,0)),"")</f>
        <v/>
      </c>
      <c r="R28" s="266" t="str">
        <f>IF(COUNT(N28:Q28)=4,SUM(N28:Q28),"")</f>
        <v/>
      </c>
      <c r="S28" s="265">
        <f>IFERROR(INDEX('Inputs (2)'!$D$54:$AL$54,MATCH(S$7,'Inputs (2)'!$D$2:$AL$2,0)),"")</f>
        <v>0</v>
      </c>
      <c r="T28" s="265">
        <f>IFERROR(INDEX('Inputs (2)'!$D$54:$AL$54,MATCH(T$7,'Inputs (2)'!$D$2:$AL$2,0)),"")</f>
        <v>0</v>
      </c>
      <c r="U28" s="265">
        <f>IFERROR(INDEX('Inputs (2)'!$D$54:$AL$54,MATCH(U$7,'Inputs (2)'!$D$2:$AL$2,0)),"")</f>
        <v>0</v>
      </c>
      <c r="V28" s="265">
        <f>IFERROR(INDEX('Inputs (2)'!$D$54:$AL$54,MATCH(V$7,'Inputs (2)'!$D$2:$AL$2,0)),"")</f>
        <v>175.8</v>
      </c>
      <c r="W28" s="266">
        <f>IF(COUNT(S28:V28)=4,SUM(S28:V28),"")</f>
        <v>175.8</v>
      </c>
      <c r="X28" s="265">
        <f>IFERROR(INDEX('Inputs (2)'!$D$54:$AL$54,MATCH(X$7,'Inputs (2)'!$D$2:$AL$2,0)),"")</f>
        <v>517.4</v>
      </c>
      <c r="Y28" s="265">
        <f>IFERROR(INDEX('Inputs (2)'!$D$54:$AL$54,MATCH(Y$7,'Inputs (2)'!$D$2:$AL$2,0)),"")</f>
        <v>1243.2</v>
      </c>
      <c r="Z28" s="265">
        <f>IFERROR(INDEX('Inputs (2)'!$D$54:$AL$54,MATCH(Z$7,'Inputs (2)'!$D$2:$AL$2,0)),"")</f>
        <v>1257.8</v>
      </c>
      <c r="AA28" s="265">
        <f>IFERROR(INDEX('Inputs (2)'!$D$54:$AL$54,MATCH(AA$7,'Inputs (2)'!$D$2:$AL$2,0)),"")</f>
        <v>1907.3</v>
      </c>
      <c r="AB28" s="266">
        <f>IF(COUNT(X28:AA28)=4,SUM(X28:AA28),"")</f>
        <v>4925.7</v>
      </c>
      <c r="AC28" s="265">
        <f>IFERROR(INDEX('Inputs (2)'!$D$54:$AL$54,MATCH(AC$7,'Inputs (2)'!$D$2:$AL$2,0)),"")</f>
        <v>2312</v>
      </c>
      <c r="AD28" s="265">
        <f>IFERROR(INDEX('Inputs (2)'!$D$54:$AL$54,MATCH(AD$7,'Inputs (2)'!$D$2:$AL$2,0)),"")</f>
        <v>3381</v>
      </c>
      <c r="AE28" s="265">
        <f>IFERROR(INDEX('Inputs (2)'!$D$54:$AL$54,MATCH(AE$7,'Inputs (2)'!$D$2:$AL$2,0)),"")</f>
        <v>3588.1</v>
      </c>
      <c r="AF28" s="265">
        <f>IFERROR(INDEX('Inputs (2)'!$D$54:$AL$54,MATCH(AF$7,'Inputs (2)'!$D$2:$AL$2,0)),"")</f>
        <v>4260.7</v>
      </c>
      <c r="AG28" s="266">
        <f>IF(COUNT(AC28:AF28)=4,SUM(AC28:AF28),"")</f>
        <v>13541.8</v>
      </c>
      <c r="AH28" s="266">
        <f>IFERROR(INDEX('Inputs (2)'!$D$54:$AL$54,MATCH(AH$7,'Inputs (2)'!$D$2:$AL$2,0)),"")</f>
        <v>4160</v>
      </c>
      <c r="AI28" s="266">
        <f>IFERROR(INDEX('Inputs (2)'!$D$54:$AL$54,MATCH(AI$7,'Inputs (2)'!$D$2:$AL$2,0)),"")</f>
        <v>4928</v>
      </c>
    </row>
    <row r="29">
      <c r="C29" s="267" t="inlineStr">
        <is>
          <t>Tirzepatida (Mounjaro + Zepbound)</t>
        </is>
      </c>
      <c r="D29" s="265" t="str">
        <f>IF(COUNT(D27,D28)=0,"",N(D27)+N(D28))</f>
        <v/>
      </c>
      <c r="E29" s="265" t="str">
        <f>IF(COUNT(E27,E28)=0,"",N(E27)+N(E28))</f>
        <v/>
      </c>
      <c r="F29" s="265" t="str">
        <f>IF(COUNT(F27,F28)=0,"",N(F27)+N(F28))</f>
        <v/>
      </c>
      <c r="G29" s="265" t="str">
        <f>IF(COUNT(G27,G28)=0,"",N(G27)+N(G28))</f>
        <v/>
      </c>
      <c r="H29" s="266" t="str">
        <f>IF(COUNT(H27,H28)=0,"",N(H27)+N(H28))</f>
        <v/>
      </c>
      <c r="I29" s="265" t="str">
        <f>IF(COUNT(I27,I28)=0,"",N(I27)+N(I28))</f>
        <v/>
      </c>
      <c r="J29" s="265" t="str">
        <f>IF(COUNT(J27,J28)=0,"",N(J27)+N(J28))</f>
        <v/>
      </c>
      <c r="K29" s="265">
        <f>IF(COUNT(K27,K28)=0,"",N(K27)+N(K28))</f>
        <v>0</v>
      </c>
      <c r="L29" s="265">
        <f>IF(COUNT(L27,L28)=0,"",N(L27)+N(L28))</f>
        <v>0</v>
      </c>
      <c r="M29" s="266" t="str">
        <f>IF(COUNT(M27,M28)=0,"",N(M27)+N(M28))</f>
        <v/>
      </c>
      <c r="N29" s="265">
        <f>IF(COUNT(N27,N28)=0,"",N(N27)+N(N28))</f>
        <v>0</v>
      </c>
      <c r="O29" s="265">
        <f>IF(COUNT(O27,O28)=0,"",N(O27)+N(O28))</f>
        <v>16</v>
      </c>
      <c r="P29" s="265">
        <f>IF(COUNT(P27,P28)=0,"",N(P27)+N(P28))</f>
        <v>187.3</v>
      </c>
      <c r="Q29" s="265">
        <f>IF(COUNT(Q27,Q28)=0,"",N(Q27)+N(Q28))</f>
        <v>279.3</v>
      </c>
      <c r="R29" s="266">
        <f>IF(COUNT(R27,R28)=0,"",N(R27)+N(R28))</f>
        <v>482.6</v>
      </c>
      <c r="S29" s="265">
        <f>IF(COUNT(S27,S28)=0,"",N(S27)+N(S28))</f>
        <v>568.5</v>
      </c>
      <c r="T29" s="265">
        <f>IF(COUNT(T27,T28)=0,"",N(T27)+N(T28))</f>
        <v>979.7</v>
      </c>
      <c r="U29" s="265">
        <f>IF(COUNT(U27,U28)=0,"",N(U27)+N(U28))</f>
        <v>1409.3</v>
      </c>
      <c r="V29" s="265">
        <f>IF(COUNT(V27,V28)=0,"",N(V27)+N(V28))</f>
        <v>2381.4</v>
      </c>
      <c r="W29" s="266">
        <f>IF(COUNT(W27,W28)=0,"",N(W27)+N(W28))</f>
        <v>5338.9</v>
      </c>
      <c r="X29" s="265">
        <f>IF(COUNT(X27,X28)=0,"",N(X27)+N(X28))</f>
        <v>2323.9</v>
      </c>
      <c r="Y29" s="265">
        <f>IF(COUNT(Y27,Y28)=0,"",N(Y27)+N(Y28))</f>
        <v>4334</v>
      </c>
      <c r="Z29" s="265">
        <f>IF(COUNT(Z27,Z28)=0,"",N(Z27)+N(Z28))</f>
        <v>4370.5</v>
      </c>
      <c r="AA29" s="265">
        <f>IF(COUNT(AA27,AA28)=0,"",N(AA27)+N(AA28))</f>
        <v>5437.4</v>
      </c>
      <c r="AB29" s="266">
        <f>IF(COUNT(AB27,AB28)=0,"",N(AB27)+N(AB28))</f>
        <v>16465.8</v>
      </c>
      <c r="AC29" s="265">
        <f>IF(COUNT(AC27,AC28)=0,"",N(AC27)+N(AC28))</f>
        <v>6154</v>
      </c>
      <c r="AD29" s="265">
        <f>IF(COUNT(AD27,AD28)=0,"",N(AD27)+N(AD28))</f>
        <v>8580</v>
      </c>
      <c r="AE29" s="265">
        <f>IF(COUNT(AE27,AE28)=0,"",N(AE27)+N(AE28))</f>
        <v>10103.2</v>
      </c>
      <c r="AF29" s="265">
        <f>IF(COUNT(AF27,AF28)=0,"",N(AF27)+N(AF28))</f>
        <v>11670.9</v>
      </c>
      <c r="AG29" s="266">
        <f>IF(COUNT(AG27,AG28)=0,"",N(AG27)+N(AG28))</f>
        <v>36508.1</v>
      </c>
      <c r="AH29" s="266">
        <f>IF(COUNT(AH27,AH28)=0,"",N(AH27)+N(AH28))</f>
        <v>12822</v>
      </c>
      <c r="AI29" s="266">
        <f>IF(COUNT(AI27,AI28)=0,"",N(AI27)+N(AI28))</f>
        <v>14871</v>
      </c>
    </row>
    <row r="30">
      <c r="C30" s="14" t="inlineStr">
        <is>
          <t xml:space="preserve">   % tirzepatida na receita</t>
        </is>
      </c>
      <c r="D30" s="268" t="str">
        <f>IFERROR(D29/D21,"")</f>
        <v/>
      </c>
      <c r="E30" s="268" t="str">
        <f>IFERROR(E29/E21,"")</f>
        <v/>
      </c>
      <c r="F30" s="268" t="str">
        <f>IFERROR(F29/F21,"")</f>
        <v/>
      </c>
      <c r="G30" s="268" t="str">
        <f>IFERROR(G29/G21,"")</f>
        <v/>
      </c>
      <c r="H30" s="269" t="str">
        <f>IFERROR(H29/H21,"")</f>
        <v/>
      </c>
      <c r="I30" s="268" t="str">
        <f>IFERROR(I29/I21,"")</f>
        <v/>
      </c>
      <c r="J30" s="268" t="str">
        <f>IFERROR(J29/J21,"")</f>
        <v/>
      </c>
      <c r="K30" s="268">
        <f>IFERROR(K29/K21,"")</f>
        <v>0</v>
      </c>
      <c r="L30" s="268">
        <f>IFERROR(L29/L21,"")</f>
        <v>0</v>
      </c>
      <c r="M30" s="269" t="str">
        <f>IFERROR(M29/M21,"")</f>
        <v/>
      </c>
      <c r="N30" s="268">
        <f>IFERROR(N29/N21,"")</f>
        <v>0</v>
      </c>
      <c r="O30" s="268">
        <f>IFERROR(O29/O21,"")</f>
        <v>0.00246605323592423</v>
      </c>
      <c r="P30" s="268">
        <f>IFERROR(P29/P21,"")</f>
        <v>0.0269826406396312</v>
      </c>
      <c r="Q30" s="268">
        <f>IFERROR(Q29/Q21,"")</f>
        <v>0.0382513661202186</v>
      </c>
      <c r="R30" s="269">
        <f>IFERROR(R29/R21,"")</f>
        <v>0.0169088303616163</v>
      </c>
      <c r="S30" s="268">
        <f>IFERROR(S29/S21,"")</f>
        <v>0.0816798609215385</v>
      </c>
      <c r="T30" s="268">
        <f>IFERROR(T29/T21,"")</f>
        <v>0.117864318282985</v>
      </c>
      <c r="U30" s="268">
        <f>IFERROR(U29/U21,"")</f>
        <v>0.148369233360706</v>
      </c>
      <c r="V30" s="268">
        <f>IFERROR(V29/V21,"")</f>
        <v>0.254599882396964</v>
      </c>
      <c r="W30" s="269">
        <f>IFERROR(W29/W21,"")</f>
        <v>0.156454491374182</v>
      </c>
      <c r="X30" s="268">
        <f>IFERROR(X29/X21,"")</f>
        <v>0.265040316602229</v>
      </c>
      <c r="Y30" s="268">
        <f>IFERROR(Y29/Y21,"")</f>
        <v>0.383448202641847</v>
      </c>
      <c r="Z30" s="268">
        <f>IFERROR(Z29/Z21,"")</f>
        <v>0.382066770987228</v>
      </c>
      <c r="AA30" s="268">
        <f>IFERROR(AA29/AA21,"")</f>
        <v>0.401794159375739</v>
      </c>
      <c r="AB30" s="269">
        <f>IFERROR(AB29/AB21,"")</f>
        <v>0.365559791042722</v>
      </c>
      <c r="AC30" s="268">
        <f>IFERROR(AC29/AC21,"")</f>
        <v>0.483500942803268</v>
      </c>
      <c r="AD30" s="268">
        <f>IFERROR(AD29/AD21,"")</f>
        <v>0.551520215979945</v>
      </c>
      <c r="AE30" s="268">
        <f>IFERROR(AE29/AE21,"")</f>
        <v>0.574019362756238</v>
      </c>
      <c r="AF30" s="268">
        <f>IFERROR(AF29/AF21,"")</f>
        <v>0.604960605432304</v>
      </c>
      <c r="AG30" s="269">
        <f>IFERROR(AG29/AG21,"")</f>
        <v>0.560130903467131</v>
      </c>
      <c r="AH30" s="269">
        <f>IFERROR(AH29/AH21,"")</f>
        <v>0.647608465073994</v>
      </c>
      <c r="AI30" s="269">
        <f>IFERROR(AI29/AI21,"")</f>
        <v>0.647296944371899</v>
      </c>
    </row>
    <row r="31">
      <c r="C31" s="14" t="inlineStr">
        <is>
          <t xml:space="preserve">   Trulicity</t>
        </is>
      </c>
      <c r="D31" s="265">
        <f>IFERROR(INDEX('Inputs (2)'!$D$55:$AL$55,MATCH(D$7,'Inputs (2)'!$D$2:$AL$2,0)),"")</f>
        <v>1229.4</v>
      </c>
      <c r="E31" s="265">
        <f>IFERROR(INDEX('Inputs (2)'!$D$55:$AL$55,MATCH(E$7,'Inputs (2)'!$D$2:$AL$2,0)),"")</f>
        <v>1229.8</v>
      </c>
      <c r="F31" s="265">
        <f>IFERROR(INDEX('Inputs (2)'!$D$55:$AL$55,MATCH(F$7,'Inputs (2)'!$D$2:$AL$2,0)),"")</f>
        <v>1106.6</v>
      </c>
      <c r="G31" s="265">
        <f>IFERROR(INDEX('Inputs (2)'!$D$55:$AL$55,MATCH(G$7,'Inputs (2)'!$D$2:$AL$2,0)),"")</f>
        <v>1502.4</v>
      </c>
      <c r="H31" s="266">
        <f>IF(COUNT(D31:G31)=4,SUM(D31:G31),"")</f>
        <v>5068.2</v>
      </c>
      <c r="I31" s="265">
        <f>IFERROR(INDEX('Inputs (2)'!$D$55:$AL$55,MATCH(I$7,'Inputs (2)'!$D$2:$AL$2,0)),"")</f>
        <v>1452.4</v>
      </c>
      <c r="J31" s="265">
        <f>IFERROR(INDEX('Inputs (2)'!$D$55:$AL$55,MATCH(J$7,'Inputs (2)'!$D$2:$AL$2,0)),"")</f>
        <v>1535.6</v>
      </c>
      <c r="K31" s="265">
        <f>IFERROR(INDEX('Inputs (2)'!$D$55:$AL$55,MATCH(K$7,'Inputs (2)'!$D$2:$AL$2,0)),"")</f>
        <v>1600.1</v>
      </c>
      <c r="L31" s="265">
        <f>IFERROR(INDEX('Inputs (2)'!$D$55:$AL$55,MATCH(L$7,'Inputs (2)'!$D$2:$AL$2,0)),"")</f>
        <v>1883.8</v>
      </c>
      <c r="M31" s="266">
        <f>IF(COUNT(I31:L31)=4,SUM(I31:L31),"")</f>
        <v>6471.9</v>
      </c>
      <c r="N31" s="265">
        <f>IFERROR(INDEX('Inputs (2)'!$D$55:$AL$55,MATCH(N$7,'Inputs (2)'!$D$2:$AL$2,0)),"")</f>
        <v>1741.3</v>
      </c>
      <c r="O31" s="265">
        <f>IFERROR(INDEX('Inputs (2)'!$D$55:$AL$55,MATCH(O$7,'Inputs (2)'!$D$2:$AL$2,0)),"")</f>
        <v>1911.9</v>
      </c>
      <c r="P31" s="265">
        <f>IFERROR(INDEX('Inputs (2)'!$D$55:$AL$55,MATCH(P$7,'Inputs (2)'!$D$2:$AL$2,0)),"")</f>
        <v>1850.4</v>
      </c>
      <c r="Q31" s="265">
        <f>IFERROR(INDEX('Inputs (2)'!$D$55:$AL$55,MATCH(Q$7,'Inputs (2)'!$D$2:$AL$2,0)),"")</f>
        <v>1936.2</v>
      </c>
      <c r="R31" s="266">
        <f>IF(COUNT(N31:Q31)=4,SUM(N31:Q31),"")</f>
        <v>7439.8</v>
      </c>
      <c r="S31" s="265">
        <f>IFERROR(INDEX('Inputs (2)'!$D$55:$AL$55,MATCH(S$7,'Inputs (2)'!$D$2:$AL$2,0)),"")</f>
        <v>1977.1</v>
      </c>
      <c r="T31" s="265">
        <f>IFERROR(INDEX('Inputs (2)'!$D$55:$AL$55,MATCH(T$7,'Inputs (2)'!$D$2:$AL$2,0)),"")</f>
        <v>1812.5</v>
      </c>
      <c r="U31" s="265">
        <f>IFERROR(INDEX('Inputs (2)'!$D$55:$AL$55,MATCH(U$7,'Inputs (2)'!$D$2:$AL$2,0)),"")</f>
        <v>1673.6</v>
      </c>
      <c r="V31" s="265">
        <f>IFERROR(INDEX('Inputs (2)'!$D$55:$AL$55,MATCH(V$7,'Inputs (2)'!$D$2:$AL$2,0)),"")</f>
        <v>1669.2</v>
      </c>
      <c r="W31" s="266">
        <f>IF(COUNT(S31:V31)=4,SUM(S31:V31),"")</f>
        <v>7132.4</v>
      </c>
      <c r="X31" s="265">
        <f>IFERROR(INDEX('Inputs (2)'!$D$55:$AL$55,MATCH(X$7,'Inputs (2)'!$D$2:$AL$2,0)),"")</f>
        <v>1456.3</v>
      </c>
      <c r="Y31" s="265">
        <f>IFERROR(INDEX('Inputs (2)'!$D$55:$AL$55,MATCH(Y$7,'Inputs (2)'!$D$2:$AL$2,0)),"")</f>
        <v>1245.6</v>
      </c>
      <c r="Z31" s="265">
        <f>IFERROR(INDEX('Inputs (2)'!$D$55:$AL$55,MATCH(Z$7,'Inputs (2)'!$D$2:$AL$2,0)),"")</f>
        <v>1301.4</v>
      </c>
      <c r="AA31" s="265">
        <f>IFERROR(INDEX('Inputs (2)'!$D$55:$AL$55,MATCH(AA$7,'Inputs (2)'!$D$2:$AL$2,0)),"")</f>
        <v>1250.2</v>
      </c>
      <c r="AB31" s="266">
        <f>IF(COUNT(X31:AA31)=4,SUM(X31:AA31),"")</f>
        <v>5253.5</v>
      </c>
      <c r="AC31" s="265">
        <f>IFERROR(INDEX('Inputs (2)'!$D$55:$AL$55,MATCH(AC$7,'Inputs (2)'!$D$2:$AL$2,0)),"")</f>
        <v>1095</v>
      </c>
      <c r="AD31" s="265">
        <f>IFERROR(INDEX('Inputs (2)'!$D$55:$AL$55,MATCH(AD$7,'Inputs (2)'!$D$2:$AL$2,0)),"")</f>
        <v>1092</v>
      </c>
      <c r="AE31" s="265">
        <f>IFERROR(INDEX('Inputs (2)'!$D$55:$AL$55,MATCH(AE$7,'Inputs (2)'!$D$2:$AL$2,0)),"")</f>
        <v>1051.8</v>
      </c>
      <c r="AF31" s="265">
        <f>IFERROR(INDEX('Inputs (2)'!$D$55:$AL$55,MATCH(AF$7,'Inputs (2)'!$D$2:$AL$2,0)),"")</f>
        <v>1036.8</v>
      </c>
      <c r="AG31" s="266">
        <f>IF(COUNT(AC31:AF31)=4,SUM(AC31:AF31),"")</f>
        <v>4275.6</v>
      </c>
      <c r="AH31" s="266">
        <f>IFERROR(INDEX('Inputs (2)'!$D$55:$AL$55,MATCH(AH$7,'Inputs (2)'!$D$2:$AL$2,0)),"")</f>
        <v>919</v>
      </c>
      <c r="AI31" s="266">
        <f>IFERROR(INDEX('Inputs (2)'!$D$55:$AL$55,MATCH(AI$7,'Inputs (2)'!$D$2:$AL$2,0)),"")</f>
        <v>1219</v>
      </c>
    </row>
    <row r="32">
      <c r="C32" s="14" t="inlineStr">
        <is>
          <t xml:space="preserve">   Verzenio</t>
        </is>
      </c>
      <c r="D32" s="265">
        <f>IFERROR(INDEX('Inputs (2)'!$D$56:$AL$56,MATCH(D$7,'Inputs (2)'!$D$2:$AL$2,0)),"")</f>
        <v>188</v>
      </c>
      <c r="E32" s="265">
        <f>IFERROR(INDEX('Inputs (2)'!$D$56:$AL$56,MATCH(E$7,'Inputs (2)'!$D$2:$AL$2,0)),"")</f>
        <v>208.6</v>
      </c>
      <c r="F32" s="265">
        <f>IFERROR(INDEX('Inputs (2)'!$D$56:$AL$56,MATCH(F$7,'Inputs (2)'!$D$2:$AL$2,0)),"")</f>
        <v>234.4</v>
      </c>
      <c r="G32" s="265">
        <f>IFERROR(INDEX('Inputs (2)'!$D$56:$AL$56,MATCH(G$7,'Inputs (2)'!$D$2:$AL$2,0)),"")</f>
        <v>281.5</v>
      </c>
      <c r="H32" s="266">
        <f>IF(COUNT(D32:G32)=4,SUM(D32:G32),"")</f>
        <v>912.5</v>
      </c>
      <c r="I32" s="265">
        <f>IFERROR(INDEX('Inputs (2)'!$D$56:$AL$56,MATCH(I$7,'Inputs (2)'!$D$2:$AL$2,0)),"")</f>
        <v>269</v>
      </c>
      <c r="J32" s="265">
        <f>IFERROR(INDEX('Inputs (2)'!$D$56:$AL$56,MATCH(J$7,'Inputs (2)'!$D$2:$AL$2,0)),"")</f>
        <v>341.3</v>
      </c>
      <c r="K32" s="265">
        <f>IFERROR(INDEX('Inputs (2)'!$D$56:$AL$56,MATCH(K$7,'Inputs (2)'!$D$2:$AL$2,0)),"")</f>
        <v>335.5</v>
      </c>
      <c r="L32" s="265">
        <f>IFERROR(INDEX('Inputs (2)'!$D$56:$AL$56,MATCH(L$7,'Inputs (2)'!$D$2:$AL$2,0)),"")</f>
        <v>404.1</v>
      </c>
      <c r="M32" s="266">
        <f>IF(COUNT(I32:L32)=4,SUM(I32:L32),"")</f>
        <v>1349.9</v>
      </c>
      <c r="N32" s="265">
        <f>IFERROR(INDEX('Inputs (2)'!$D$56:$AL$56,MATCH(N$7,'Inputs (2)'!$D$2:$AL$2,0)),"")</f>
        <v>469.4</v>
      </c>
      <c r="O32" s="265">
        <f>IFERROR(INDEX('Inputs (2)'!$D$56:$AL$56,MATCH(O$7,'Inputs (2)'!$D$2:$AL$2,0)),"")</f>
        <v>588.5</v>
      </c>
      <c r="P32" s="265">
        <f>IFERROR(INDEX('Inputs (2)'!$D$56:$AL$56,MATCH(P$7,'Inputs (2)'!$D$2:$AL$2,0)),"")</f>
        <v>617.7</v>
      </c>
      <c r="Q32" s="265">
        <f>IFERROR(INDEX('Inputs (2)'!$D$56:$AL$56,MATCH(Q$7,'Inputs (2)'!$D$2:$AL$2,0)),"")</f>
        <v>807.9</v>
      </c>
      <c r="R32" s="266">
        <f>IF(COUNT(N32:Q32)=4,SUM(N32:Q32),"")</f>
        <v>2483.5</v>
      </c>
      <c r="S32" s="265">
        <f>IFERROR(INDEX('Inputs (2)'!$D$56:$AL$56,MATCH(S$7,'Inputs (2)'!$D$2:$AL$2,0)),"")</f>
        <v>750.9</v>
      </c>
      <c r="T32" s="265">
        <f>IFERROR(INDEX('Inputs (2)'!$D$56:$AL$56,MATCH(T$7,'Inputs (2)'!$D$2:$AL$2,0)),"")</f>
        <v>926.8</v>
      </c>
      <c r="U32" s="265">
        <f>IFERROR(INDEX('Inputs (2)'!$D$56:$AL$56,MATCH(U$7,'Inputs (2)'!$D$2:$AL$2,0)),"")</f>
        <v>1040.2</v>
      </c>
      <c r="V32" s="265">
        <f>IFERROR(INDEX('Inputs (2)'!$D$56:$AL$56,MATCH(V$7,'Inputs (2)'!$D$2:$AL$2,0)),"")</f>
        <v>1145.4</v>
      </c>
      <c r="W32" s="266">
        <f>IF(COUNT(S32:V32)=4,SUM(S32:V32),"")</f>
        <v>3863.3</v>
      </c>
      <c r="X32" s="265">
        <f>IFERROR(INDEX('Inputs (2)'!$D$56:$AL$56,MATCH(X$7,'Inputs (2)'!$D$2:$AL$2,0)),"")</f>
        <v>1050.3</v>
      </c>
      <c r="Y32" s="265">
        <f>IFERROR(INDEX('Inputs (2)'!$D$56:$AL$56,MATCH(Y$7,'Inputs (2)'!$D$2:$AL$2,0)),"")</f>
        <v>1331.9</v>
      </c>
      <c r="Z32" s="265">
        <f>IFERROR(INDEX('Inputs (2)'!$D$56:$AL$56,MATCH(Z$7,'Inputs (2)'!$D$2:$AL$2,0)),"")</f>
        <v>1369.3</v>
      </c>
      <c r="AA32" s="265">
        <f>IFERROR(INDEX('Inputs (2)'!$D$56:$AL$56,MATCH(AA$7,'Inputs (2)'!$D$2:$AL$2,0)),"")</f>
        <v>1555.1</v>
      </c>
      <c r="AB32" s="266">
        <f>IF(COUNT(X32:AA32)=4,SUM(X32:AA32),"")</f>
        <v>5306.6</v>
      </c>
      <c r="AC32" s="265">
        <f>IFERROR(INDEX('Inputs (2)'!$D$56:$AL$56,MATCH(AC$7,'Inputs (2)'!$D$2:$AL$2,0)),"")</f>
        <v>1159</v>
      </c>
      <c r="AD32" s="265">
        <f>IFERROR(INDEX('Inputs (2)'!$D$56:$AL$56,MATCH(AD$7,'Inputs (2)'!$D$2:$AL$2,0)),"")</f>
        <v>1489</v>
      </c>
      <c r="AE32" s="265">
        <f>IFERROR(INDEX('Inputs (2)'!$D$56:$AL$56,MATCH(AE$7,'Inputs (2)'!$D$2:$AL$2,0)),"")</f>
        <v>1470.2</v>
      </c>
      <c r="AF32" s="265">
        <f>IFERROR(INDEX('Inputs (2)'!$D$56:$AL$56,MATCH(AF$7,'Inputs (2)'!$D$2:$AL$2,0)),"")</f>
        <v>1604.6</v>
      </c>
      <c r="AG32" s="266">
        <f>IF(COUNT(AC32:AF32)=4,SUM(AC32:AF32),"")</f>
        <v>5722.8</v>
      </c>
      <c r="AH32" s="266">
        <f>IFERROR(INDEX('Inputs (2)'!$D$56:$AL$56,MATCH(AH$7,'Inputs (2)'!$D$2:$AL$2,0)),"")</f>
        <v>1302</v>
      </c>
      <c r="AI32" s="266">
        <f>IFERROR(INDEX('Inputs (2)'!$D$56:$AL$56,MATCH(AI$7,'Inputs (2)'!$D$2:$AL$2,0)),"")</f>
        <v>1474</v>
      </c>
    </row>
    <row r="33">
      <c r="C33" s="14" t="inlineStr">
        <is>
          <t xml:space="preserve">   Jardiance</t>
        </is>
      </c>
      <c r="D33" s="265">
        <f>IFERROR(INDEX('Inputs (2)'!$D$57:$AL$57,MATCH(D$7,'Inputs (2)'!$D$2:$AL$2,0)),"")</f>
        <v>267.5</v>
      </c>
      <c r="E33" s="265">
        <f>IFERROR(INDEX('Inputs (2)'!$D$57:$AL$57,MATCH(E$7,'Inputs (2)'!$D$2:$AL$2,0)),"")</f>
        <v>262</v>
      </c>
      <c r="F33" s="265">
        <f>IFERROR(INDEX('Inputs (2)'!$D$57:$AL$57,MATCH(F$7,'Inputs (2)'!$D$2:$AL$2,0)),"")</f>
        <v>310.8</v>
      </c>
      <c r="G33" s="265">
        <f>IFERROR(INDEX('Inputs (2)'!$D$57:$AL$57,MATCH(G$7,'Inputs (2)'!$D$2:$AL$2,0)),"")</f>
        <v>313.5</v>
      </c>
      <c r="H33" s="266">
        <f>IF(COUNT(D33:G33)=4,SUM(D33:G33),"")</f>
        <v>1153.8</v>
      </c>
      <c r="I33" s="265">
        <f>IFERROR(INDEX('Inputs (2)'!$D$57:$AL$57,MATCH(I$7,'Inputs (2)'!$D$2:$AL$2,0)),"")</f>
        <v>312</v>
      </c>
      <c r="J33" s="265">
        <f>IFERROR(INDEX('Inputs (2)'!$D$57:$AL$57,MATCH(J$7,'Inputs (2)'!$D$2:$AL$2,0)),"")</f>
        <v>356.5</v>
      </c>
      <c r="K33" s="265">
        <f>IFERROR(INDEX('Inputs (2)'!$D$57:$AL$57,MATCH(K$7,'Inputs (2)'!$D$2:$AL$2,0)),"")</f>
        <v>390.4</v>
      </c>
      <c r="L33" s="265">
        <f>IFERROR(INDEX('Inputs (2)'!$D$57:$AL$57,MATCH(L$7,'Inputs (2)'!$D$2:$AL$2,0)),"")</f>
        <v>431.9</v>
      </c>
      <c r="M33" s="266">
        <f>IF(COUNT(I33:L33)=4,SUM(I33:L33),"")</f>
        <v>1490.8</v>
      </c>
      <c r="N33" s="265">
        <f>IFERROR(INDEX('Inputs (2)'!$D$57:$AL$57,MATCH(N$7,'Inputs (2)'!$D$2:$AL$2,0)),"")</f>
        <v>419.4</v>
      </c>
      <c r="O33" s="265">
        <f>IFERROR(INDEX('Inputs (2)'!$D$57:$AL$57,MATCH(O$7,'Inputs (2)'!$D$2:$AL$2,0)),"")</f>
        <v>461</v>
      </c>
      <c r="P33" s="265">
        <f>IFERROR(INDEX('Inputs (2)'!$D$57:$AL$57,MATCH(P$7,'Inputs (2)'!$D$2:$AL$2,0)),"")</f>
        <v>573.3</v>
      </c>
      <c r="Q33" s="265">
        <f>IFERROR(INDEX('Inputs (2)'!$D$57:$AL$57,MATCH(Q$7,'Inputs (2)'!$D$2:$AL$2,0)),"")</f>
        <v>612.3</v>
      </c>
      <c r="R33" s="266">
        <f>IF(COUNT(N33:Q33)=4,SUM(N33:Q33),"")</f>
        <v>2066</v>
      </c>
      <c r="S33" s="265">
        <f>IFERROR(INDEX('Inputs (2)'!$D$57:$AL$57,MATCH(S$7,'Inputs (2)'!$D$2:$AL$2,0)),"")</f>
        <v>577.5</v>
      </c>
      <c r="T33" s="265">
        <f>IFERROR(INDEX('Inputs (2)'!$D$57:$AL$57,MATCH(T$7,'Inputs (2)'!$D$2:$AL$2,0)),"")</f>
        <v>668.3</v>
      </c>
      <c r="U33" s="265">
        <f>IFERROR(INDEX('Inputs (2)'!$D$57:$AL$57,MATCH(U$7,'Inputs (2)'!$D$2:$AL$2,0)),"")</f>
        <v>700.8</v>
      </c>
      <c r="V33" s="265">
        <f>IFERROR(INDEX('Inputs (2)'!$D$57:$AL$57,MATCH(V$7,'Inputs (2)'!$D$2:$AL$2,0)),"")</f>
        <v>798.1</v>
      </c>
      <c r="W33" s="266">
        <f>IF(COUNT(S33:V33)=4,SUM(S33:V33),"")</f>
        <v>2744.7</v>
      </c>
      <c r="X33" s="265">
        <f>IFERROR(INDEX('Inputs (2)'!$D$57:$AL$57,MATCH(X$7,'Inputs (2)'!$D$2:$AL$2,0)),"")</f>
        <v>686.5</v>
      </c>
      <c r="Y33" s="265">
        <f>IFERROR(INDEX('Inputs (2)'!$D$57:$AL$57,MATCH(Y$7,'Inputs (2)'!$D$2:$AL$2,0)),"")</f>
        <v>769.6</v>
      </c>
      <c r="Z33" s="265">
        <f>IFERROR(INDEX('Inputs (2)'!$D$57:$AL$57,MATCH(Z$7,'Inputs (2)'!$D$2:$AL$2,0)),"")</f>
        <v>686.4</v>
      </c>
      <c r="AA33" s="265">
        <f>IFERROR(INDEX('Inputs (2)'!$D$57:$AL$57,MATCH(AA$7,'Inputs (2)'!$D$2:$AL$2,0)),"")</f>
        <v>1198.4</v>
      </c>
      <c r="AB33" s="266">
        <f>IF(COUNT(X33:AA33)=4,SUM(X33:AA33),"")</f>
        <v>3340.9</v>
      </c>
      <c r="AC33" s="265">
        <f>IFERROR(INDEX('Inputs (2)'!$D$57:$AL$57,MATCH(AC$7,'Inputs (2)'!$D$2:$AL$2,0)),"")</f>
        <v>1014</v>
      </c>
      <c r="AD33" s="265">
        <f>IFERROR(INDEX('Inputs (2)'!$D$57:$AL$57,MATCH(AD$7,'Inputs (2)'!$D$2:$AL$2,0)),"")</f>
        <v>690</v>
      </c>
      <c r="AE33" s="265">
        <f>IFERROR(INDEX('Inputs (2)'!$D$57:$AL$57,MATCH(AE$7,'Inputs (2)'!$D$2:$AL$2,0)),"")</f>
        <v>959</v>
      </c>
      <c r="AF33" s="265">
        <f>IFERROR(INDEX('Inputs (2)'!$D$57:$AL$57,MATCH(AF$7,'Inputs (2)'!$D$2:$AL$2,0)),"")</f>
        <v>768.6</v>
      </c>
      <c r="AG33" s="266">
        <f>IF(COUNT(AC33:AF33)=4,SUM(AC33:AF33),"")</f>
        <v>3431.6</v>
      </c>
      <c r="AH33" s="266">
        <f>IFERROR(INDEX('Inputs (2)'!$D$57:$AL$57,MATCH(AH$7,'Inputs (2)'!$D$2:$AL$2,0)),"")</f>
        <v>1114</v>
      </c>
      <c r="AI33" s="266">
        <f>IFERROR(INDEX('Inputs (2)'!$D$57:$AL$57,MATCH(AI$7,'Inputs (2)'!$D$2:$AL$2,0)),"")</f>
        <v>1232</v>
      </c>
    </row>
    <row r="34">
      <c r="C34" s="14" t="inlineStr">
        <is>
          <t xml:space="preserve">   Taltz</t>
        </is>
      </c>
      <c r="D34" s="265">
        <f>IFERROR(INDEX('Inputs (2)'!$D$58:$AL$58,MATCH(D$7,'Inputs (2)'!$D$2:$AL$2,0)),"")</f>
        <v>443.5</v>
      </c>
      <c r="E34" s="265">
        <f>IFERROR(INDEX('Inputs (2)'!$D$58:$AL$58,MATCH(E$7,'Inputs (2)'!$D$2:$AL$2,0)),"")</f>
        <v>395.2</v>
      </c>
      <c r="F34" s="265">
        <f>IFERROR(INDEX('Inputs (2)'!$D$58:$AL$58,MATCH(F$7,'Inputs (2)'!$D$2:$AL$2,0)),"")</f>
        <v>454.5</v>
      </c>
      <c r="G34" s="265">
        <f>IFERROR(INDEX('Inputs (2)'!$D$58:$AL$58,MATCH(G$7,'Inputs (2)'!$D$2:$AL$2,0)),"")</f>
        <v>495.3</v>
      </c>
      <c r="H34" s="266">
        <f>IF(COUNT(D34:G34)=4,SUM(D34:G34),"")</f>
        <v>1788.5</v>
      </c>
      <c r="I34" s="265">
        <f>IFERROR(INDEX('Inputs (2)'!$D$58:$AL$58,MATCH(I$7,'Inputs (2)'!$D$2:$AL$2,0)),"")</f>
        <v>403.2</v>
      </c>
      <c r="J34" s="265">
        <f>IFERROR(INDEX('Inputs (2)'!$D$58:$AL$58,MATCH(J$7,'Inputs (2)'!$D$2:$AL$2,0)),"")</f>
        <v>569.1</v>
      </c>
      <c r="K34" s="265">
        <f>IFERROR(INDEX('Inputs (2)'!$D$58:$AL$58,MATCH(K$7,'Inputs (2)'!$D$2:$AL$2,0)),"")</f>
        <v>593.1</v>
      </c>
      <c r="L34" s="265">
        <f>IFERROR(INDEX('Inputs (2)'!$D$58:$AL$58,MATCH(L$7,'Inputs (2)'!$D$2:$AL$2,0)),"")</f>
        <v>647.4</v>
      </c>
      <c r="M34" s="266">
        <f>IF(COUNT(I34:L34)=4,SUM(I34:L34),"")</f>
        <v>2212.8</v>
      </c>
      <c r="N34" s="265">
        <f>IFERROR(INDEX('Inputs (2)'!$D$58:$AL$58,MATCH(N$7,'Inputs (2)'!$D$2:$AL$2,0)),"")</f>
        <v>488.1</v>
      </c>
      <c r="O34" s="265">
        <f>IFERROR(INDEX('Inputs (2)'!$D$58:$AL$58,MATCH(O$7,'Inputs (2)'!$D$2:$AL$2,0)),"")</f>
        <v>606.2</v>
      </c>
      <c r="P34" s="265">
        <f>IFERROR(INDEX('Inputs (2)'!$D$58:$AL$58,MATCH(P$7,'Inputs (2)'!$D$2:$AL$2,0)),"")</f>
        <v>679.9</v>
      </c>
      <c r="Q34" s="265">
        <f>IFERROR(INDEX('Inputs (2)'!$D$58:$AL$58,MATCH(Q$7,'Inputs (2)'!$D$2:$AL$2,0)),"")</f>
        <v>707.8</v>
      </c>
      <c r="R34" s="266">
        <f>IF(COUNT(N34:Q34)=4,SUM(N34:Q34),"")</f>
        <v>2482</v>
      </c>
      <c r="S34" s="265">
        <f>IFERROR(INDEX('Inputs (2)'!$D$58:$AL$58,MATCH(S$7,'Inputs (2)'!$D$2:$AL$2,0)),"")</f>
        <v>527</v>
      </c>
      <c r="T34" s="265">
        <f>IFERROR(INDEX('Inputs (2)'!$D$58:$AL$58,MATCH(T$7,'Inputs (2)'!$D$2:$AL$2,0)),"")</f>
        <v>703.9</v>
      </c>
      <c r="U34" s="265">
        <f>IFERROR(INDEX('Inputs (2)'!$D$58:$AL$58,MATCH(U$7,'Inputs (2)'!$D$2:$AL$2,0)),"")</f>
        <v>744.2</v>
      </c>
      <c r="V34" s="265">
        <f>IFERROR(INDEX('Inputs (2)'!$D$58:$AL$58,MATCH(V$7,'Inputs (2)'!$D$2:$AL$2,0)),"")</f>
        <v>784.6</v>
      </c>
      <c r="W34" s="266">
        <f>IF(COUNT(S34:V34)=4,SUM(S34:V34),"")</f>
        <v>2759.7</v>
      </c>
      <c r="X34" s="265">
        <f>IFERROR(INDEX('Inputs (2)'!$D$58:$AL$58,MATCH(X$7,'Inputs (2)'!$D$2:$AL$2,0)),"")</f>
        <v>604.1</v>
      </c>
      <c r="Y34" s="265">
        <f>IFERROR(INDEX('Inputs (2)'!$D$58:$AL$58,MATCH(Y$7,'Inputs (2)'!$D$2:$AL$2,0)),"")</f>
        <v>824.7</v>
      </c>
      <c r="Z34" s="265">
        <f>IFERROR(INDEX('Inputs (2)'!$D$58:$AL$58,MATCH(Z$7,'Inputs (2)'!$D$2:$AL$2,0)),"")</f>
        <v>879.6</v>
      </c>
      <c r="AA34" s="265">
        <f>IFERROR(INDEX('Inputs (2)'!$D$58:$AL$58,MATCH(AA$7,'Inputs (2)'!$D$2:$AL$2,0)),"")</f>
        <v>952</v>
      </c>
      <c r="AB34" s="266">
        <f>IF(COUNT(X34:AA34)=4,SUM(X34:AA34),"")</f>
        <v>3260.4</v>
      </c>
      <c r="AC34" s="265">
        <f>IFERROR(INDEX('Inputs (2)'!$D$58:$AL$58,MATCH(AC$7,'Inputs (2)'!$D$2:$AL$2,0)),"")</f>
        <v>762</v>
      </c>
      <c r="AD34" s="265">
        <f>IFERROR(INDEX('Inputs (2)'!$D$58:$AL$58,MATCH(AD$7,'Inputs (2)'!$D$2:$AL$2,0)),"")</f>
        <v>848</v>
      </c>
      <c r="AE34" s="265">
        <f>IFERROR(INDEX('Inputs (2)'!$D$58:$AL$58,MATCH(AE$7,'Inputs (2)'!$D$2:$AL$2,0)),"")</f>
        <v>901.5</v>
      </c>
      <c r="AF34" s="265">
        <f>IFERROR(INDEX('Inputs (2)'!$D$58:$AL$58,MATCH(AF$7,'Inputs (2)'!$D$2:$AL$2,0)),"")</f>
        <v>1052.1</v>
      </c>
      <c r="AG34" s="266">
        <f>IF(COUNT(AC34:AF34)=4,SUM(AC34:AF34),"")</f>
        <v>3563.6</v>
      </c>
      <c r="AH34" s="266">
        <f>IFERROR(INDEX('Inputs (2)'!$D$58:$AL$58,MATCH(AH$7,'Inputs (2)'!$D$2:$AL$2,0)),"")</f>
        <v>733</v>
      </c>
      <c r="AI34" s="266">
        <f>IFERROR(INDEX('Inputs (2)'!$D$58:$AL$58,MATCH(AI$7,'Inputs (2)'!$D$2:$AL$2,0)),"")</f>
        <v>856</v>
      </c>
    </row>
    <row r="35">
      <c r="C35" s="14" t="inlineStr">
        <is>
          <t xml:space="preserve">   Humalog (até 2024)</t>
        </is>
      </c>
      <c r="D35" s="265">
        <f>IFERROR(INDEX('Inputs (2)'!$D$59:$AL$59,MATCH(D$7,'Inputs (2)'!$D$2:$AL$2,0)),"")</f>
        <v>695.8</v>
      </c>
      <c r="E35" s="265">
        <f>IFERROR(INDEX('Inputs (2)'!$D$59:$AL$59,MATCH(E$7,'Inputs (2)'!$D$2:$AL$2,0)),"")</f>
        <v>555.1</v>
      </c>
      <c r="F35" s="265">
        <f>IFERROR(INDEX('Inputs (2)'!$D$59:$AL$59,MATCH(F$7,'Inputs (2)'!$D$2:$AL$2,0)),"")</f>
        <v>656.9</v>
      </c>
      <c r="G35" s="265">
        <f>IFERROR(INDEX('Inputs (2)'!$D$59:$AL$59,MATCH(G$7,'Inputs (2)'!$D$2:$AL$2,0)),"")</f>
        <v>718.1</v>
      </c>
      <c r="H35" s="266">
        <f>IF(COUNT(D35:G35)=4,SUM(D35:G35),"")</f>
        <v>2625.9</v>
      </c>
      <c r="I35" s="265">
        <f>IFERROR(INDEX('Inputs (2)'!$D$59:$AL$59,MATCH(I$7,'Inputs (2)'!$D$2:$AL$2,0)),"")</f>
        <v>617</v>
      </c>
      <c r="J35" s="265">
        <f>IFERROR(INDEX('Inputs (2)'!$D$59:$AL$59,MATCH(J$7,'Inputs (2)'!$D$2:$AL$2,0)),"")</f>
        <v>607.6</v>
      </c>
      <c r="K35" s="265">
        <f>IFERROR(INDEX('Inputs (2)'!$D$59:$AL$59,MATCH(K$7,'Inputs (2)'!$D$2:$AL$2,0)),"")</f>
        <v>626.7</v>
      </c>
      <c r="L35" s="265">
        <f>IFERROR(INDEX('Inputs (2)'!$D$59:$AL$59,MATCH(L$7,'Inputs (2)'!$D$2:$AL$2,0)),"")</f>
        <v>601.7</v>
      </c>
      <c r="M35" s="266">
        <f>IF(COUNT(I35:L35)=4,SUM(I35:L35),"")</f>
        <v>2453</v>
      </c>
      <c r="N35" s="265">
        <f>IFERROR(INDEX('Inputs (2)'!$D$59:$AL$59,MATCH(N$7,'Inputs (2)'!$D$2:$AL$2,0)),"")</f>
        <v>618.2</v>
      </c>
      <c r="O35" s="265">
        <f>IFERROR(INDEX('Inputs (2)'!$D$59:$AL$59,MATCH(O$7,'Inputs (2)'!$D$2:$AL$2,0)),"")</f>
        <v>447.1</v>
      </c>
      <c r="P35" s="265">
        <f>IFERROR(INDEX('Inputs (2)'!$D$59:$AL$59,MATCH(P$7,'Inputs (2)'!$D$2:$AL$2,0)),"")</f>
        <v>447</v>
      </c>
      <c r="Q35" s="265">
        <f>IFERROR(INDEX('Inputs (2)'!$D$59:$AL$59,MATCH(Q$7,'Inputs (2)'!$D$2:$AL$2,0)),"")</f>
        <v>548.4</v>
      </c>
      <c r="R35" s="266">
        <f>IF(COUNT(N35:Q35)=4,SUM(N35:Q35),"")</f>
        <v>2060.7</v>
      </c>
      <c r="S35" s="265">
        <f>IFERROR(INDEX('Inputs (2)'!$D$59:$AL$59,MATCH(S$7,'Inputs (2)'!$D$2:$AL$2,0)),"")</f>
        <v>460.9</v>
      </c>
      <c r="T35" s="265">
        <f>IFERROR(INDEX('Inputs (2)'!$D$59:$AL$59,MATCH(T$7,'Inputs (2)'!$D$2:$AL$2,0)),"")</f>
        <v>440.4</v>
      </c>
      <c r="U35" s="265">
        <f>IFERROR(INDEX('Inputs (2)'!$D$59:$AL$59,MATCH(U$7,'Inputs (2)'!$D$2:$AL$2,0)),"")</f>
        <v>395.4</v>
      </c>
      <c r="V35" s="265">
        <f>IFERROR(INDEX('Inputs (2)'!$D$59:$AL$59,MATCH(V$7,'Inputs (2)'!$D$2:$AL$2,0)),"")</f>
        <v>366.6</v>
      </c>
      <c r="W35" s="266">
        <f>IF(COUNT(S35:V35)=4,SUM(S35:V35),"")</f>
        <v>1663.3</v>
      </c>
      <c r="X35" s="265">
        <f>IFERROR(INDEX('Inputs (2)'!$D$59:$AL$59,MATCH(X$7,'Inputs (2)'!$D$2:$AL$2,0)),"")</f>
        <v>538.7</v>
      </c>
      <c r="Y35" s="265">
        <f>IFERROR(INDEX('Inputs (2)'!$D$59:$AL$59,MATCH(Y$7,'Inputs (2)'!$D$2:$AL$2,0)),"")</f>
        <v>631.6</v>
      </c>
      <c r="Z35" s="265">
        <f>IFERROR(INDEX('Inputs (2)'!$D$59:$AL$59,MATCH(Z$7,'Inputs (2)'!$D$2:$AL$2,0)),"")</f>
        <v>534.6</v>
      </c>
      <c r="AA35" s="265">
        <f>IFERROR(INDEX('Inputs (2)'!$D$59:$AL$59,MATCH(AA$7,'Inputs (2)'!$D$2:$AL$2,0)),"")</f>
        <v>619.9</v>
      </c>
      <c r="AB35" s="266">
        <f>IF(COUNT(X35:AA35)=4,SUM(X35:AA35),"")</f>
        <v>2324.8</v>
      </c>
      <c r="AC35" s="265" t="str">
        <f>IFERROR(INDEX('Inputs (2)'!$D$59:$AL$59,MATCH(AC$7,'Inputs (2)'!$D$2:$AL$2,0)),"")</f>
        <v/>
      </c>
      <c r="AD35" s="265" t="str">
        <f>IFERROR(INDEX('Inputs (2)'!$D$59:$AL$59,MATCH(AD$7,'Inputs (2)'!$D$2:$AL$2,0)),"")</f>
        <v/>
      </c>
      <c r="AE35" s="265" t="str">
        <f>IFERROR(INDEX('Inputs (2)'!$D$59:$AL$59,MATCH(AE$7,'Inputs (2)'!$D$2:$AL$2,0)),"")</f>
        <v/>
      </c>
      <c r="AF35" s="265" t="str">
        <f>IFERROR(INDEX('Inputs (2)'!$D$59:$AL$59,MATCH(AF$7,'Inputs (2)'!$D$2:$AL$2,0)),"")</f>
        <v/>
      </c>
      <c r="AG35" s="266" t="str">
        <f>IF(COUNT(AC35:AF35)=4,SUM(AC35:AF35),"")</f>
        <v/>
      </c>
      <c r="AH35" s="266" t="str">
        <f>IFERROR(INDEX('Inputs (2)'!$D$59:$AL$59,MATCH(AH$7,'Inputs (2)'!$D$2:$AL$2,0)),"")</f>
        <v/>
      </c>
      <c r="AI35" s="266" t="str">
        <f>IFERROR(INDEX('Inputs (2)'!$D$59:$AL$59,MATCH(AI$7,'Inputs (2)'!$D$2:$AL$2,0)),"")</f>
        <v/>
      </c>
    </row>
    <row r="36"/>
    <row r="37">
      <c r="C37" s="12" t="inlineStr">
        <is>
          <t>Áreas terapêuticas (USD milhões)</t>
        </is>
      </c>
      <c r="D37" s="12" t="str">
        <f>D7</f>
        <v>1Q20</v>
      </c>
      <c r="E37" s="12" t="str">
        <f>E7</f>
        <v>2Q20</v>
      </c>
      <c r="F37" s="12" t="str">
        <f>F7</f>
        <v>3Q20</v>
      </c>
      <c r="G37" s="12" t="str">
        <f>G7</f>
        <v>4Q20</v>
      </c>
      <c r="H37" s="12">
        <f>H7</f>
        <v>2020</v>
      </c>
      <c r="I37" s="12" t="str">
        <f>I7</f>
        <v>1Q21</v>
      </c>
      <c r="J37" s="12" t="str">
        <f>J7</f>
        <v>2Q21</v>
      </c>
      <c r="K37" s="12" t="str">
        <f>K7</f>
        <v>3Q21</v>
      </c>
      <c r="L37" s="12" t="str">
        <f>L7</f>
        <v>4Q21</v>
      </c>
      <c r="M37" s="12">
        <f>M7</f>
        <v>2021</v>
      </c>
      <c r="N37" s="12" t="str">
        <f>N7</f>
        <v>1Q22</v>
      </c>
      <c r="O37" s="12" t="str">
        <f>O7</f>
        <v>2Q22</v>
      </c>
      <c r="P37" s="12" t="str">
        <f>P7</f>
        <v>3Q22</v>
      </c>
      <c r="Q37" s="12" t="str">
        <f>Q7</f>
        <v>4Q22</v>
      </c>
      <c r="R37" s="12">
        <f>R7</f>
        <v>2022</v>
      </c>
      <c r="S37" s="12" t="str">
        <f>S7</f>
        <v>1Q23</v>
      </c>
      <c r="T37" s="12" t="str">
        <f>T7</f>
        <v>2Q23</v>
      </c>
      <c r="U37" s="12" t="str">
        <f>U7</f>
        <v>3Q23</v>
      </c>
      <c r="V37" s="12" t="str">
        <f>V7</f>
        <v>4Q23</v>
      </c>
      <c r="W37" s="12">
        <f>W7</f>
        <v>2023</v>
      </c>
      <c r="X37" s="12" t="str">
        <f>X7</f>
        <v>1Q24</v>
      </c>
      <c r="Y37" s="12" t="str">
        <f>Y7</f>
        <v>2Q24</v>
      </c>
      <c r="Z37" s="12" t="str">
        <f>Z7</f>
        <v>3Q24</v>
      </c>
      <c r="AA37" s="12" t="str">
        <f>AA7</f>
        <v>4Q24</v>
      </c>
      <c r="AB37" s="12">
        <f>AB7</f>
        <v>2024</v>
      </c>
      <c r="AC37" s="12" t="str">
        <f>AC7</f>
        <v>1Q25</v>
      </c>
      <c r="AD37" s="12" t="str">
        <f>AD7</f>
        <v>2Q25</v>
      </c>
      <c r="AE37" s="12" t="str">
        <f>AE7</f>
        <v>3Q25</v>
      </c>
      <c r="AF37" s="12" t="str">
        <f>AF7</f>
        <v>4Q25</v>
      </c>
      <c r="AG37" s="12">
        <f>AG7</f>
        <v>2025</v>
      </c>
      <c r="AH37" s="12" t="str">
        <f>AH7</f>
        <v>1Q26</v>
      </c>
      <c r="AI37" s="12" t="str">
        <f>AI7</f>
        <v>2Q26</v>
      </c>
    </row>
    <row r="38">
      <c r="C38" s="14" t="inlineStr">
        <is>
          <t xml:space="preserve">   Cardiometabolic Health (até 2022: Diabetes)</t>
        </is>
      </c>
      <c r="D38" s="265">
        <f>IFERROR(INDEX('Inputs (2)'!$D$60:$AL$60,MATCH(D$7,'Inputs (2)'!$D$2:$AL$2,0)),"")</f>
        <v>2968.9</v>
      </c>
      <c r="E38" s="265">
        <f>IFERROR(INDEX('Inputs (2)'!$D$60:$AL$60,MATCH(E$7,'Inputs (2)'!$D$2:$AL$2,0)),"")</f>
        <v>2779</v>
      </c>
      <c r="F38" s="265">
        <f>IFERROR(INDEX('Inputs (2)'!$D$60:$AL$60,MATCH(F$7,'Inputs (2)'!$D$2:$AL$2,0)),"")</f>
        <v>2783</v>
      </c>
      <c r="G38" s="265">
        <f>IFERROR(INDEX('Inputs (2)'!$D$60:$AL$60,MATCH(G$7,'Inputs (2)'!$D$2:$AL$2,0)),"")</f>
        <v>3303.4</v>
      </c>
      <c r="H38" s="266">
        <f>IF(COUNT(D38:G38)=4,SUM(D38:G38),"")</f>
        <v>11834.3</v>
      </c>
      <c r="I38" s="265">
        <f>IFERROR(INDEX('Inputs (2)'!$D$60:$AL$60,MATCH(I$7,'Inputs (2)'!$D$2:$AL$2,0)),"")</f>
        <v>3111.1</v>
      </c>
      <c r="J38" s="265">
        <f>IFERROR(INDEX('Inputs (2)'!$D$60:$AL$60,MATCH(J$7,'Inputs (2)'!$D$2:$AL$2,0)),"")</f>
        <v>3175.5</v>
      </c>
      <c r="K38" s="265">
        <f>IFERROR(INDEX('Inputs (2)'!$D$60:$AL$60,MATCH(K$7,'Inputs (2)'!$D$2:$AL$2,0)),"")</f>
        <v>3274.1</v>
      </c>
      <c r="L38" s="265">
        <f>IFERROR(INDEX('Inputs (2)'!$D$60:$AL$60,MATCH(L$7,'Inputs (2)'!$D$2:$AL$2,0)),"")</f>
        <v>3627.5</v>
      </c>
      <c r="M38" s="266">
        <f>IF(COUNT(I38:L38)=4,SUM(I38:L38),"")</f>
        <v>13188.2</v>
      </c>
      <c r="N38" s="265">
        <f>IFERROR(INDEX('Inputs (2)'!$D$60:$AL$60,MATCH(N$7,'Inputs (2)'!$D$2:$AL$2,0)),"")</f>
        <v>3388.2</v>
      </c>
      <c r="O38" s="265">
        <f>IFERROR(INDEX('Inputs (2)'!$D$60:$AL$60,MATCH(O$7,'Inputs (2)'!$D$2:$AL$2,0)),"")</f>
        <v>3438.2</v>
      </c>
      <c r="P38" s="265">
        <f>IFERROR(INDEX('Inputs (2)'!$D$60:$AL$60,MATCH(P$7,'Inputs (2)'!$D$2:$AL$2,0)),"")</f>
        <v>3662.6</v>
      </c>
      <c r="Q38" s="265">
        <f>IFERROR(INDEX('Inputs (2)'!$D$60:$AL$60,MATCH(Q$7,'Inputs (2)'!$D$2:$AL$2,0)),"")</f>
        <v>3975.9</v>
      </c>
      <c r="R38" s="266">
        <f>IF(COUNT(N38:Q38)=4,SUM(N38:Q38),"")</f>
        <v>14464.9</v>
      </c>
      <c r="S38" s="265">
        <f>IFERROR(INDEX('Inputs (2)'!$D$60:$AL$60,MATCH(S$7,'Inputs (2)'!$D$2:$AL$2,0)),"")</f>
        <v>4190.4</v>
      </c>
      <c r="T38" s="265">
        <f>IFERROR(INDEX('Inputs (2)'!$D$60:$AL$60,MATCH(T$7,'Inputs (2)'!$D$2:$AL$2,0)),"")</f>
        <v>5010.9</v>
      </c>
      <c r="U38" s="265">
        <f>IFERROR(INDEX('Inputs (2)'!$D$60:$AL$60,MATCH(U$7,'Inputs (2)'!$D$2:$AL$2,0)),"")</f>
        <v>4720.4</v>
      </c>
      <c r="V38" s="265">
        <f>IFERROR(INDEX('Inputs (2)'!$D$60:$AL$60,MATCH(V$7,'Inputs (2)'!$D$2:$AL$2,0)),"")</f>
        <v>5746</v>
      </c>
      <c r="W38" s="266">
        <f>IF(COUNT(S38:V38)=4,SUM(S38:V38),"")</f>
        <v>19667.7</v>
      </c>
      <c r="X38" s="265">
        <f>IFERROR(INDEX('Inputs (2)'!$D$60:$AL$60,MATCH(X$7,'Inputs (2)'!$D$2:$AL$2,0)),"")</f>
        <v>5493</v>
      </c>
      <c r="Y38" s="265">
        <f>IFERROR(INDEX('Inputs (2)'!$D$60:$AL$60,MATCH(Y$7,'Inputs (2)'!$D$2:$AL$2,0)),"")</f>
        <v>7514.6</v>
      </c>
      <c r="Z38" s="265">
        <f>IFERROR(INDEX('Inputs (2)'!$D$60:$AL$60,MATCH(Z$7,'Inputs (2)'!$D$2:$AL$2,0)),"")</f>
        <v>7407</v>
      </c>
      <c r="AA38" s="265">
        <f>IFERROR(INDEX('Inputs (2)'!$D$60:$AL$60,MATCH(AA$7,'Inputs (2)'!$D$2:$AL$2,0)),"")</f>
        <v>9106.3</v>
      </c>
      <c r="AB38" s="266">
        <f>IF(COUNT(X38:AA38)=4,SUM(X38:AA38),"")</f>
        <v>29520.9</v>
      </c>
      <c r="AC38" s="265">
        <f>IFERROR(INDEX('Inputs (2)'!$D$60:$AL$60,MATCH(AC$7,'Inputs (2)'!$D$2:$AL$2,0)),"")</f>
        <v>9208</v>
      </c>
      <c r="AD38" s="265">
        <f>IFERROR(INDEX('Inputs (2)'!$D$60:$AL$60,MATCH(AD$7,'Inputs (2)'!$D$2:$AL$2,0)),"")</f>
        <v>11343</v>
      </c>
      <c r="AE38" s="265">
        <f>IFERROR(INDEX('Inputs (2)'!$D$60:$AL$60,MATCH(AE$7,'Inputs (2)'!$D$2:$AL$2,0)),"")</f>
        <v>13177.9</v>
      </c>
      <c r="AF38" s="265">
        <f>IFERROR(INDEX('Inputs (2)'!$D$60:$AL$60,MATCH(AF$7,'Inputs (2)'!$D$2:$AL$2,0)),"")</f>
        <v>14492.2</v>
      </c>
      <c r="AG38" s="266">
        <f>IF(COUNT(AC38:AF38)=4,SUM(AC38:AF38),"")</f>
        <v>48221.1</v>
      </c>
      <c r="AH38" s="266">
        <f>IFERROR(INDEX('Inputs (2)'!$D$60:$AL$60,MATCH(AH$7,'Inputs (2)'!$D$2:$AL$2,0)),"")</f>
        <v>15760</v>
      </c>
      <c r="AI38" s="266">
        <f>IFERROR(INDEX('Inputs (2)'!$D$60:$AL$60,MATCH(AI$7,'Inputs (2)'!$D$2:$AL$2,0)),"")</f>
        <v>18353</v>
      </c>
    </row>
    <row r="39">
      <c r="C39" s="14" t="inlineStr">
        <is>
          <t xml:space="preserve">   Oncologia</t>
        </is>
      </c>
      <c r="D39" s="265">
        <f>IFERROR(INDEX('Inputs (2)'!$D$61:$AL$61,MATCH(D$7,'Inputs (2)'!$D$2:$AL$2,0)),"")</f>
        <v>1201.5</v>
      </c>
      <c r="E39" s="265">
        <f>IFERROR(INDEX('Inputs (2)'!$D$61:$AL$61,MATCH(E$7,'Inputs (2)'!$D$2:$AL$2,0)),"")</f>
        <v>1268.6</v>
      </c>
      <c r="F39" s="265">
        <f>IFERROR(INDEX('Inputs (2)'!$D$61:$AL$61,MATCH(F$7,'Inputs (2)'!$D$2:$AL$2,0)),"")</f>
        <v>1333.4</v>
      </c>
      <c r="G39" s="265">
        <f>IFERROR(INDEX('Inputs (2)'!$D$61:$AL$61,MATCH(G$7,'Inputs (2)'!$D$2:$AL$2,0)),"")</f>
        <v>1515.8</v>
      </c>
      <c r="H39" s="266">
        <f>IF(COUNT(D39:G39)=4,SUM(D39:G39),"")</f>
        <v>5319.3</v>
      </c>
      <c r="I39" s="265">
        <f>IFERROR(INDEX('Inputs (2)'!$D$61:$AL$61,MATCH(I$7,'Inputs (2)'!$D$2:$AL$2,0)),"")</f>
        <v>1372.2</v>
      </c>
      <c r="J39" s="265">
        <f>IFERROR(INDEX('Inputs (2)'!$D$61:$AL$61,MATCH(J$7,'Inputs (2)'!$D$2:$AL$2,0)),"")</f>
        <v>1554</v>
      </c>
      <c r="K39" s="265">
        <f>IFERROR(INDEX('Inputs (2)'!$D$61:$AL$61,MATCH(K$7,'Inputs (2)'!$D$2:$AL$2,0)),"")</f>
        <v>1406.1</v>
      </c>
      <c r="L39" s="265">
        <f>IFERROR(INDEX('Inputs (2)'!$D$61:$AL$61,MATCH(L$7,'Inputs (2)'!$D$2:$AL$2,0)),"")</f>
        <v>1408.9</v>
      </c>
      <c r="M39" s="266">
        <f>IF(COUNT(I39:L39)=4,SUM(I39:L39),"")</f>
        <v>5741.2</v>
      </c>
      <c r="N39" s="265">
        <f>IFERROR(INDEX('Inputs (2)'!$D$61:$AL$61,MATCH(N$7,'Inputs (2)'!$D$2:$AL$2,0)),"")</f>
        <v>1353</v>
      </c>
      <c r="O39" s="265">
        <f>IFERROR(INDEX('Inputs (2)'!$D$61:$AL$61,MATCH(O$7,'Inputs (2)'!$D$2:$AL$2,0)),"")</f>
        <v>1368.7</v>
      </c>
      <c r="P39" s="265">
        <f>IFERROR(INDEX('Inputs (2)'!$D$61:$AL$61,MATCH(P$7,'Inputs (2)'!$D$2:$AL$2,0)),"")</f>
        <v>1293.3</v>
      </c>
      <c r="Q39" s="265">
        <f>IFERROR(INDEX('Inputs (2)'!$D$61:$AL$61,MATCH(Q$7,'Inputs (2)'!$D$2:$AL$2,0)),"")</f>
        <v>1651.2</v>
      </c>
      <c r="R39" s="266">
        <f>IF(COUNT(N39:Q39)=4,SUM(N39:Q39),"")</f>
        <v>5666.2</v>
      </c>
      <c r="S39" s="265">
        <f>IFERROR(INDEX('Inputs (2)'!$D$61:$AL$61,MATCH(S$7,'Inputs (2)'!$D$2:$AL$2,0)),"")</f>
        <v>1356</v>
      </c>
      <c r="T39" s="265">
        <f>IFERROR(INDEX('Inputs (2)'!$D$61:$AL$61,MATCH(T$7,'Inputs (2)'!$D$2:$AL$2,0)),"")</f>
        <v>1671</v>
      </c>
      <c r="U39" s="265">
        <f>IFERROR(INDEX('Inputs (2)'!$D$61:$AL$61,MATCH(U$7,'Inputs (2)'!$D$2:$AL$2,0)),"")</f>
        <v>1747.1</v>
      </c>
      <c r="V39" s="265">
        <f>IFERROR(INDEX('Inputs (2)'!$D$61:$AL$61,MATCH(V$7,'Inputs (2)'!$D$2:$AL$2,0)),"")</f>
        <v>1884.2</v>
      </c>
      <c r="W39" s="266">
        <f>IF(COUNT(S39:V39)=4,SUM(S39:V39),"")</f>
        <v>6658.3</v>
      </c>
      <c r="X39" s="265">
        <f>IFERROR(INDEX('Inputs (2)'!$D$61:$AL$61,MATCH(X$7,'Inputs (2)'!$D$2:$AL$2,0)),"")</f>
        <v>1810</v>
      </c>
      <c r="Y39" s="265">
        <f>IFERROR(INDEX('Inputs (2)'!$D$61:$AL$61,MATCH(Y$7,'Inputs (2)'!$D$2:$AL$2,0)),"")</f>
        <v>2158.7</v>
      </c>
      <c r="Z39" s="265">
        <f>IFERROR(INDEX('Inputs (2)'!$D$61:$AL$61,MATCH(Z$7,'Inputs (2)'!$D$2:$AL$2,0)),"")</f>
        <v>2231.8</v>
      </c>
      <c r="AA39" s="265">
        <f>IFERROR(INDEX('Inputs (2)'!$D$61:$AL$61,MATCH(AA$7,'Inputs (2)'!$D$2:$AL$2,0)),"")</f>
        <v>2551.9</v>
      </c>
      <c r="AB39" s="266">
        <f>IF(COUNT(X39:AA39)=4,SUM(X39:AA39),"")</f>
        <v>8752.4</v>
      </c>
      <c r="AC39" s="265">
        <f>IFERROR(INDEX('Inputs (2)'!$D$61:$AL$61,MATCH(AC$7,'Inputs (2)'!$D$2:$AL$2,0)),"")</f>
        <v>1948</v>
      </c>
      <c r="AD39" s="265">
        <f>IFERROR(INDEX('Inputs (2)'!$D$61:$AL$61,MATCH(AD$7,'Inputs (2)'!$D$2:$AL$2,0)),"")</f>
        <v>2414</v>
      </c>
      <c r="AE39" s="265">
        <f>IFERROR(INDEX('Inputs (2)'!$D$61:$AL$61,MATCH(AE$7,'Inputs (2)'!$D$2:$AL$2,0)),"")</f>
        <v>2407.6</v>
      </c>
      <c r="AF39" s="265">
        <f>IFERROR(INDEX('Inputs (2)'!$D$61:$AL$61,MATCH(AF$7,'Inputs (2)'!$D$2:$AL$2,0)),"")</f>
        <v>2607.3</v>
      </c>
      <c r="AG39" s="266">
        <f>IF(COUNT(AC39:AF39)=4,SUM(AC39:AF39),"")</f>
        <v>9376.9</v>
      </c>
      <c r="AH39" s="266">
        <f>IFERROR(INDEX('Inputs (2)'!$D$61:$AL$61,MATCH(AH$7,'Inputs (2)'!$D$2:$AL$2,0)),"")</f>
        <v>2268</v>
      </c>
      <c r="AI39" s="266">
        <f>IFERROR(INDEX('Inputs (2)'!$D$61:$AL$61,MATCH(AI$7,'Inputs (2)'!$D$2:$AL$2,0)),"")</f>
        <v>2570</v>
      </c>
    </row>
    <row r="40">
      <c r="C40" s="14" t="inlineStr">
        <is>
          <t xml:space="preserve">   Imunologia</t>
        </is>
      </c>
      <c r="D40" s="265">
        <f>IFERROR(INDEX('Inputs (2)'!$D$62:$AL$62,MATCH(D$7,'Inputs (2)'!$D$2:$AL$2,0)),"")</f>
        <v>585.8</v>
      </c>
      <c r="E40" s="265">
        <f>IFERROR(INDEX('Inputs (2)'!$D$62:$AL$62,MATCH(E$7,'Inputs (2)'!$D$2:$AL$2,0)),"")</f>
        <v>548.3</v>
      </c>
      <c r="F40" s="265">
        <f>IFERROR(INDEX('Inputs (2)'!$D$62:$AL$62,MATCH(F$7,'Inputs (2)'!$D$2:$AL$2,0)),"")</f>
        <v>627.1</v>
      </c>
      <c r="G40" s="265">
        <f>IFERROR(INDEX('Inputs (2)'!$D$62:$AL$62,MATCH(G$7,'Inputs (2)'!$D$2:$AL$2,0)),"")</f>
        <v>700.7</v>
      </c>
      <c r="H40" s="266">
        <f>IF(COUNT(D40:G40)=4,SUM(D40:G40),"")</f>
        <v>2461.9</v>
      </c>
      <c r="I40" s="265">
        <f>IFERROR(INDEX('Inputs (2)'!$D$62:$AL$62,MATCH(I$7,'Inputs (2)'!$D$2:$AL$2,0)),"")</f>
        <v>613.9</v>
      </c>
      <c r="J40" s="265">
        <f>IFERROR(INDEX('Inputs (2)'!$D$62:$AL$62,MATCH(J$7,'Inputs (2)'!$D$2:$AL$2,0)),"")</f>
        <v>785.4</v>
      </c>
      <c r="K40" s="265">
        <f>IFERROR(INDEX('Inputs (2)'!$D$62:$AL$62,MATCH(K$7,'Inputs (2)'!$D$2:$AL$2,0)),"")</f>
        <v>1004.9</v>
      </c>
      <c r="L40" s="265">
        <f>IFERROR(INDEX('Inputs (2)'!$D$62:$AL$62,MATCH(L$7,'Inputs (2)'!$D$2:$AL$2,0)),"")</f>
        <v>956.6</v>
      </c>
      <c r="M40" s="266">
        <f>IF(COUNT(I40:L40)=4,SUM(I40:L40),"")</f>
        <v>3360.8</v>
      </c>
      <c r="N40" s="265">
        <f>IFERROR(INDEX('Inputs (2)'!$D$62:$AL$62,MATCH(N$7,'Inputs (2)'!$D$2:$AL$2,0)),"")</f>
        <v>748.1</v>
      </c>
      <c r="O40" s="265">
        <f>IFERROR(INDEX('Inputs (2)'!$D$62:$AL$62,MATCH(O$7,'Inputs (2)'!$D$2:$AL$2,0)),"")</f>
        <v>796.5</v>
      </c>
      <c r="P40" s="265">
        <f>IFERROR(INDEX('Inputs (2)'!$D$62:$AL$62,MATCH(P$7,'Inputs (2)'!$D$2:$AL$2,0)),"")</f>
        <v>866.4</v>
      </c>
      <c r="Q40" s="265">
        <f>IFERROR(INDEX('Inputs (2)'!$D$62:$AL$62,MATCH(Q$7,'Inputs (2)'!$D$2:$AL$2,0)),"")</f>
        <v>933.5</v>
      </c>
      <c r="R40" s="266">
        <f>IF(COUNT(N40:Q40)=4,SUM(N40:Q40),"")</f>
        <v>3344.5</v>
      </c>
      <c r="S40" s="265">
        <f>IFERROR(INDEX('Inputs (2)'!$D$62:$AL$62,MATCH(S$7,'Inputs (2)'!$D$2:$AL$2,0)),"")</f>
        <v>777.8</v>
      </c>
      <c r="T40" s="265">
        <f>IFERROR(INDEX('Inputs (2)'!$D$62:$AL$62,MATCH(T$7,'Inputs (2)'!$D$2:$AL$2,0)),"")</f>
        <v>928.5</v>
      </c>
      <c r="U40" s="265">
        <f>IFERROR(INDEX('Inputs (2)'!$D$62:$AL$62,MATCH(U$7,'Inputs (2)'!$D$2:$AL$2,0)),"")</f>
        <v>986.9</v>
      </c>
      <c r="V40" s="265">
        <f>IFERROR(INDEX('Inputs (2)'!$D$62:$AL$62,MATCH(V$7,'Inputs (2)'!$D$2:$AL$2,0)),"")</f>
        <v>1104.3</v>
      </c>
      <c r="W40" s="266">
        <f>IF(COUNT(S40:V40)=4,SUM(S40:V40),"")</f>
        <v>3797.5</v>
      </c>
      <c r="X40" s="265">
        <f>IFERROR(INDEX('Inputs (2)'!$D$62:$AL$62,MATCH(X$7,'Inputs (2)'!$D$2:$AL$2,0)),"")</f>
        <v>834</v>
      </c>
      <c r="Y40" s="265">
        <f>IFERROR(INDEX('Inputs (2)'!$D$62:$AL$62,MATCH(Y$7,'Inputs (2)'!$D$2:$AL$2,0)),"")</f>
        <v>1082.4</v>
      </c>
      <c r="Z40" s="265">
        <f>IFERROR(INDEX('Inputs (2)'!$D$62:$AL$62,MATCH(Z$7,'Inputs (2)'!$D$2:$AL$2,0)),"")</f>
        <v>1185.7</v>
      </c>
      <c r="AA40" s="265">
        <f>IFERROR(INDEX('Inputs (2)'!$D$62:$AL$62,MATCH(AA$7,'Inputs (2)'!$D$2:$AL$2,0)),"")</f>
        <v>1290.9</v>
      </c>
      <c r="AB40" s="266">
        <f>IF(COUNT(X40:AA40)=4,SUM(X40:AA40),"")</f>
        <v>4393</v>
      </c>
      <c r="AC40" s="265">
        <f>IFERROR(INDEX('Inputs (2)'!$D$62:$AL$62,MATCH(AC$7,'Inputs (2)'!$D$2:$AL$2,0)),"")</f>
        <v>1088</v>
      </c>
      <c r="AD40" s="265">
        <f>IFERROR(INDEX('Inputs (2)'!$D$62:$AL$62,MATCH(AD$7,'Inputs (2)'!$D$2:$AL$2,0)),"")</f>
        <v>1256</v>
      </c>
      <c r="AE40" s="265">
        <f>IFERROR(INDEX('Inputs (2)'!$D$62:$AL$62,MATCH(AE$7,'Inputs (2)'!$D$2:$AL$2,0)),"")</f>
        <v>1362.4</v>
      </c>
      <c r="AF40" s="265">
        <f>IFERROR(INDEX('Inputs (2)'!$D$62:$AL$62,MATCH(AF$7,'Inputs (2)'!$D$2:$AL$2,0)),"")</f>
        <v>1541</v>
      </c>
      <c r="AG40" s="266">
        <f>IF(COUNT(AC40:AF40)=4,SUM(AC40:AF40),"")</f>
        <v>5247.4</v>
      </c>
      <c r="AH40" s="266">
        <f>IFERROR(INDEX('Inputs (2)'!$D$62:$AL$62,MATCH(AH$7,'Inputs (2)'!$D$2:$AL$2,0)),"")</f>
        <v>1203</v>
      </c>
      <c r="AI40" s="266">
        <f>IFERROR(INDEX('Inputs (2)'!$D$62:$AL$62,MATCH(AI$7,'Inputs (2)'!$D$2:$AL$2,0)),"")</f>
        <v>1417</v>
      </c>
    </row>
    <row r="41">
      <c r="C41" s="14" t="inlineStr">
        <is>
          <t xml:space="preserve">   Neurociência</t>
        </is>
      </c>
      <c r="D41" s="265">
        <f>IFERROR(INDEX('Inputs (2)'!$D$63:$AL$63,MATCH(D$7,'Inputs (2)'!$D$2:$AL$2,0)),"")</f>
        <v>463.5</v>
      </c>
      <c r="E41" s="265">
        <f>IFERROR(INDEX('Inputs (2)'!$D$63:$AL$63,MATCH(E$7,'Inputs (2)'!$D$2:$AL$2,0)),"")</f>
        <v>422.5</v>
      </c>
      <c r="F41" s="265">
        <f>IFERROR(INDEX('Inputs (2)'!$D$63:$AL$63,MATCH(F$7,'Inputs (2)'!$D$2:$AL$2,0)),"")</f>
        <v>470.7</v>
      </c>
      <c r="G41" s="265">
        <f>IFERROR(INDEX('Inputs (2)'!$D$63:$AL$63,MATCH(G$7,'Inputs (2)'!$D$2:$AL$2,0)),"")</f>
        <v>474.6</v>
      </c>
      <c r="H41" s="266">
        <f>IF(COUNT(D41:G41)=4,SUM(D41:G41),"")</f>
        <v>1831.3</v>
      </c>
      <c r="I41" s="265">
        <f>IFERROR(INDEX('Inputs (2)'!$D$63:$AL$63,MATCH(I$7,'Inputs (2)'!$D$2:$AL$2,0)),"")</f>
        <v>465.4</v>
      </c>
      <c r="J41" s="265">
        <f>IFERROR(INDEX('Inputs (2)'!$D$63:$AL$63,MATCH(J$7,'Inputs (2)'!$D$2:$AL$2,0)),"")</f>
        <v>512.2</v>
      </c>
      <c r="K41" s="265">
        <f>IFERROR(INDEX('Inputs (2)'!$D$63:$AL$63,MATCH(K$7,'Inputs (2)'!$D$2:$AL$2,0)),"")</f>
        <v>450.2</v>
      </c>
      <c r="L41" s="265">
        <f>IFERROR(INDEX('Inputs (2)'!$D$63:$AL$63,MATCH(L$7,'Inputs (2)'!$D$2:$AL$2,0)),"")</f>
        <v>470.7</v>
      </c>
      <c r="M41" s="266">
        <f>IF(COUNT(I41:L41)=4,SUM(I41:L41),"")</f>
        <v>1898.5</v>
      </c>
      <c r="N41" s="265">
        <f>IFERROR(INDEX('Inputs (2)'!$D$63:$AL$63,MATCH(N$7,'Inputs (2)'!$D$2:$AL$2,0)),"")</f>
        <v>397.7</v>
      </c>
      <c r="O41" s="265">
        <f>IFERROR(INDEX('Inputs (2)'!$D$63:$AL$63,MATCH(O$7,'Inputs (2)'!$D$2:$AL$2,0)),"")</f>
        <v>389.9</v>
      </c>
      <c r="P41" s="265">
        <f>IFERROR(INDEX('Inputs (2)'!$D$63:$AL$63,MATCH(P$7,'Inputs (2)'!$D$2:$AL$2,0)),"")</f>
        <v>373.2</v>
      </c>
      <c r="Q41" s="265">
        <f>IFERROR(INDEX('Inputs (2)'!$D$63:$AL$63,MATCH(Q$7,'Inputs (2)'!$D$2:$AL$2,0)),"")</f>
        <v>385.3</v>
      </c>
      <c r="R41" s="266">
        <f>IF(COUNT(N41:Q41)=4,SUM(N41:Q41),"")</f>
        <v>1546.1</v>
      </c>
      <c r="S41" s="265">
        <f>IFERROR(INDEX('Inputs (2)'!$D$63:$AL$63,MATCH(S$7,'Inputs (2)'!$D$2:$AL$2,0)),"")</f>
        <v>360.5</v>
      </c>
      <c r="T41" s="265">
        <f>IFERROR(INDEX('Inputs (2)'!$D$63:$AL$63,MATCH(T$7,'Inputs (2)'!$D$2:$AL$2,0)),"")</f>
        <v>387.2</v>
      </c>
      <c r="U41" s="265">
        <f>IFERROR(INDEX('Inputs (2)'!$D$63:$AL$63,MATCH(U$7,'Inputs (2)'!$D$2:$AL$2,0)),"")</f>
        <v>1768.1</v>
      </c>
      <c r="V41" s="265">
        <f>IFERROR(INDEX('Inputs (2)'!$D$63:$AL$63,MATCH(V$7,'Inputs (2)'!$D$2:$AL$2,0)),"")</f>
        <v>362.7</v>
      </c>
      <c r="W41" s="266">
        <f>IF(COUNT(S41:V41)=4,SUM(S41:V41),"")</f>
        <v>2878.5</v>
      </c>
      <c r="X41" s="265">
        <f>IFERROR(INDEX('Inputs (2)'!$D$63:$AL$63,MATCH(X$7,'Inputs (2)'!$D$2:$AL$2,0)),"")</f>
        <v>389.1</v>
      </c>
      <c r="Y41" s="265">
        <f>IFERROR(INDEX('Inputs (2)'!$D$63:$AL$63,MATCH(Y$7,'Inputs (2)'!$D$2:$AL$2,0)),"")</f>
        <v>339.5</v>
      </c>
      <c r="Z41" s="265">
        <f>IFERROR(INDEX('Inputs (2)'!$D$63:$AL$63,MATCH(Z$7,'Inputs (2)'!$D$2:$AL$2,0)),"")</f>
        <v>351.8</v>
      </c>
      <c r="AA41" s="265">
        <f>IFERROR(INDEX('Inputs (2)'!$D$63:$AL$63,MATCH(AA$7,'Inputs (2)'!$D$2:$AL$2,0)),"")</f>
        <v>393</v>
      </c>
      <c r="AB41" s="266">
        <f>IF(COUNT(X41:AA41)=4,SUM(X41:AA41),"")</f>
        <v>1473.4</v>
      </c>
      <c r="AC41" s="265">
        <f>IFERROR(INDEX('Inputs (2)'!$D$63:$AL$63,MATCH(AC$7,'Inputs (2)'!$D$2:$AL$2,0)),"")</f>
        <v>272</v>
      </c>
      <c r="AD41" s="265">
        <f>IFERROR(INDEX('Inputs (2)'!$D$63:$AL$63,MATCH(AD$7,'Inputs (2)'!$D$2:$AL$2,0)),"")</f>
        <v>344</v>
      </c>
      <c r="AE41" s="265">
        <f>IFERROR(INDEX('Inputs (2)'!$D$63:$AL$63,MATCH(AE$7,'Inputs (2)'!$D$2:$AL$2,0)),"")</f>
        <v>315.7</v>
      </c>
      <c r="AF41" s="265">
        <f>IFERROR(INDEX('Inputs (2)'!$D$63:$AL$63,MATCH(AF$7,'Inputs (2)'!$D$2:$AL$2,0)),"")</f>
        <v>459.2</v>
      </c>
      <c r="AG41" s="266">
        <f>IF(COUNT(AC41:AF41)=4,SUM(AC41:AF41),"")</f>
        <v>1390.9</v>
      </c>
      <c r="AH41" s="266">
        <f>IFERROR(INDEX('Inputs (2)'!$D$63:$AL$63,MATCH(AH$7,'Inputs (2)'!$D$2:$AL$2,0)),"")</f>
        <v>382</v>
      </c>
      <c r="AI41" s="266">
        <f>IFERROR(INDEX('Inputs (2)'!$D$63:$AL$63,MATCH(AI$7,'Inputs (2)'!$D$2:$AL$2,0)),"")</f>
        <v>429</v>
      </c>
    </row>
    <row r="42">
      <c r="C42" s="14" t="inlineStr">
        <is>
          <t xml:space="preserve">   % YoY Cardiometabolic</t>
        </is>
      </c>
      <c r="D42" s="268" t="str">
        <f>""</f>
        <v/>
      </c>
      <c r="E42" s="268" t="str">
        <f>""</f>
        <v/>
      </c>
      <c r="F42" s="268" t="str">
        <f>""</f>
        <v/>
      </c>
      <c r="G42" s="268" t="str">
        <f>""</f>
        <v/>
      </c>
      <c r="H42" s="269" t="str">
        <f>""</f>
        <v/>
      </c>
      <c r="I42" s="268">
        <f>IFERROR(I38/D38-1,"")</f>
        <v>0.0478965273333558</v>
      </c>
      <c r="J42" s="268">
        <f>IFERROR(J38/E38-1,"")</f>
        <v>0.14267722202231</v>
      </c>
      <c r="K42" s="268">
        <f>IFERROR(K38/F38-1,"")</f>
        <v>0.176464247215235</v>
      </c>
      <c r="L42" s="268">
        <f>IFERROR(L38/G38-1,"")</f>
        <v>0.0981110371132774</v>
      </c>
      <c r="M42" s="269">
        <f>IFERROR(M38/H38-1,"")</f>
        <v>0.114404738767819</v>
      </c>
      <c r="N42" s="268">
        <f>IFERROR(N38/I38-1,"")</f>
        <v>0.089068175243483</v>
      </c>
      <c r="O42" s="268">
        <f>IFERROR(O38/J38-1,"")</f>
        <v>0.082727129585892</v>
      </c>
      <c r="P42" s="268">
        <f>IFERROR(P38/K38-1,"")</f>
        <v>0.11865856265844</v>
      </c>
      <c r="Q42" s="268">
        <f>IFERROR(Q38/L38-1,"")</f>
        <v>0.0960441075120606</v>
      </c>
      <c r="R42" s="269">
        <f>IFERROR(R38/M38-1,"")</f>
        <v>0.0968062358775268</v>
      </c>
      <c r="S42" s="268">
        <f>IFERROR(S38/N38-1,"")</f>
        <v>0.236762882946697</v>
      </c>
      <c r="T42" s="268">
        <f>IFERROR(T38/O38-1,"")</f>
        <v>0.457419580012797</v>
      </c>
      <c r="U42" s="268">
        <f>IFERROR(U38/P38-1,"")</f>
        <v>0.288811226997215</v>
      </c>
      <c r="V42" s="268">
        <f>IFERROR(V38/Q38-1,"")</f>
        <v>0.445207374430947</v>
      </c>
      <c r="W42" s="269">
        <f>IFERROR(W38/R38-1,"")</f>
        <v>0.359684477597495</v>
      </c>
      <c r="X42" s="268">
        <f>IFERROR(X38/S38-1,"")</f>
        <v>0.310853379152348</v>
      </c>
      <c r="Y42" s="268">
        <f>IFERROR(Y38/T38-1,"")</f>
        <v>0.499650761340278</v>
      </c>
      <c r="Z42" s="268">
        <f>IFERROR(Z38/U38-1,"")</f>
        <v>0.569146682484535</v>
      </c>
      <c r="AA42" s="268">
        <f>IFERROR(AA38/V38-1,"")</f>
        <v>0.584806822137139</v>
      </c>
      <c r="AB42" s="269">
        <f>IFERROR(AB38/W38-1,"")</f>
        <v>0.500983846611449</v>
      </c>
      <c r="AC42" s="268">
        <f>IFERROR(AC38/X38-1,"")</f>
        <v>0.676315310395048</v>
      </c>
      <c r="AD42" s="268">
        <f>IFERROR(AD38/Y38-1,"")</f>
        <v>0.509461581454768</v>
      </c>
      <c r="AE42" s="268">
        <f>IFERROR(AE38/Z38-1,"")</f>
        <v>0.779114351289321</v>
      </c>
      <c r="AF42" s="268">
        <f>IFERROR(AF38/AA38-1,"")</f>
        <v>0.591447679079319</v>
      </c>
      <c r="AG42" s="269">
        <f>IFERROR(AG38/AB38-1,"")</f>
        <v>0.633456297064114</v>
      </c>
      <c r="AH42" s="269">
        <f>IFERROR(AH38/AC38-1,"")</f>
        <v>0.711555169417897</v>
      </c>
      <c r="AI42" s="269">
        <f>IFERROR(AI38/AD38-1,"")</f>
        <v>0.618002292162567</v>
      </c>
    </row>
    <row r="43"/>
    <row r="44"/>
    <row r="45"/>
    <row r="46"/>
    <row r="47" hidden="1" outlineLevel="1" customFormat="1" s="23">
      <c r="A47" s="18" t="n"/>
      <c r="B47" s="19" t="n"/>
      <c r="C47" s="20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  <c r="AO47" s="21" t="n"/>
      <c r="AP47" s="21" t="n"/>
      <c r="AQ47" s="21" t="n"/>
      <c r="AR47" s="21" t="n"/>
      <c r="AS47" s="21" t="n"/>
      <c r="AT47" s="21" t="n"/>
      <c r="AU47" s="21" t="n"/>
      <c r="AV47" s="21" t="n"/>
      <c r="AW47" s="21" t="n"/>
      <c r="AX47" s="21" t="n"/>
      <c r="AY47" s="21" t="n"/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  <c r="BL47" s="21" t="n"/>
      <c r="BM47" s="21" t="n"/>
      <c r="BN47" s="21" t="n"/>
      <c r="BO47" s="21" t="n"/>
      <c r="BP47" s="21" t="n"/>
      <c r="BQ47" s="21" t="n"/>
      <c r="BR47" s="21" t="n"/>
      <c r="BS47" s="21" t="n"/>
      <c r="BT47" s="21" t="n"/>
      <c r="BU47" s="21" t="n"/>
      <c r="BV47" s="21" t="n"/>
      <c r="BW47" s="21" t="n"/>
      <c r="BX47" s="21" t="n"/>
      <c r="BY47" s="21" t="n"/>
      <c r="BZ47" s="21" t="n"/>
      <c r="CA47" s="21" t="n"/>
      <c r="CB47" s="21" t="n"/>
      <c r="CC47" s="21" t="n"/>
      <c r="CD47" s="21" t="n"/>
      <c r="CE47" s="21" t="n"/>
      <c r="CF47" s="21" t="n"/>
      <c r="CG47" s="21" t="n"/>
      <c r="CH47" s="21" t="n"/>
      <c r="CI47" s="21" t="n"/>
      <c r="CJ47" s="21" t="n"/>
      <c r="CK47" s="21" t="n"/>
      <c r="CL47" s="21" t="n"/>
      <c r="CM47" s="21" t="n"/>
      <c r="CN47" s="21" t="n"/>
      <c r="CO47" s="21" t="n"/>
      <c r="CP47" s="21" t="n"/>
      <c r="CQ47" s="21" t="n"/>
      <c r="CR47" s="21" t="n"/>
      <c r="CS47" s="21" t="n"/>
      <c r="CT47" s="21" t="n"/>
      <c r="CU47" s="21" t="n"/>
      <c r="CV47" s="21" t="n"/>
      <c r="CW47" s="21" t="n"/>
      <c r="CX47" s="21" t="n"/>
      <c r="CY47" s="21" t="n"/>
    </row>
    <row r="48" hidden="1" outlineLevel="1" customFormat="1" s="23">
      <c r="A48" s="18" t="n"/>
      <c r="B48" s="19" t="n"/>
      <c r="C48" s="20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  <c r="AO48" s="21" t="n"/>
      <c r="AP48" s="21" t="n"/>
      <c r="AQ48" s="21" t="n"/>
      <c r="AR48" s="21" t="n"/>
      <c r="AS48" s="21" t="n"/>
      <c r="AT48" s="21" t="n"/>
      <c r="AU48" s="21" t="n"/>
      <c r="AV48" s="21" t="n"/>
      <c r="AW48" s="21" t="n"/>
      <c r="AX48" s="21" t="n"/>
      <c r="AY48" s="21" t="n"/>
      <c r="AZ48" s="21" t="n"/>
      <c r="BA48" s="21" t="n"/>
      <c r="BB48" s="21" t="n"/>
      <c r="BC48" s="21" t="n"/>
      <c r="BD48" s="21" t="n"/>
      <c r="BE48" s="21" t="n"/>
      <c r="BF48" s="21" t="n"/>
      <c r="BG48" s="21" t="n"/>
      <c r="BH48" s="21" t="n"/>
      <c r="BI48" s="21" t="n"/>
      <c r="BJ48" s="21" t="n"/>
      <c r="BK48" s="21" t="n"/>
      <c r="BL48" s="21" t="n"/>
      <c r="BM48" s="21" t="n"/>
      <c r="BN48" s="21" t="n"/>
      <c r="BO48" s="21" t="n"/>
      <c r="BP48" s="21" t="n"/>
      <c r="BQ48" s="21" t="n"/>
      <c r="BR48" s="21" t="n"/>
      <c r="BS48" s="21" t="n"/>
      <c r="BT48" s="21" t="n"/>
      <c r="BU48" s="21" t="n"/>
      <c r="BV48" s="21" t="n"/>
      <c r="BW48" s="21" t="n"/>
      <c r="BX48" s="21" t="n"/>
      <c r="BY48" s="21" t="n"/>
      <c r="BZ48" s="21" t="n"/>
      <c r="CA48" s="21" t="n"/>
      <c r="CB48" s="21" t="n"/>
      <c r="CC48" s="21" t="n"/>
      <c r="CD48" s="21" t="n"/>
      <c r="CE48" s="21" t="n"/>
      <c r="CF48" s="21" t="n"/>
      <c r="CG48" s="21" t="n"/>
      <c r="CH48" s="21" t="n"/>
      <c r="CI48" s="21" t="n"/>
      <c r="CJ48" s="21" t="n"/>
      <c r="CK48" s="21" t="n"/>
      <c r="CL48" s="21" t="n"/>
      <c r="CM48" s="21" t="n"/>
      <c r="CN48" s="21" t="n"/>
      <c r="CO48" s="21" t="n"/>
      <c r="CP48" s="21" t="n"/>
      <c r="CQ48" s="21" t="n"/>
      <c r="CR48" s="21" t="n"/>
      <c r="CS48" s="21" t="n"/>
      <c r="CT48" s="21" t="n"/>
      <c r="CU48" s="21" t="n"/>
      <c r="CV48" s="21" t="n"/>
      <c r="CW48" s="21" t="n"/>
      <c r="CX48" s="21" t="n"/>
      <c r="CY48" s="21" t="n"/>
    </row>
    <row r="49" collapsed="1">
      <c r="C49" s="24" t="inlineStr">
        <is>
          <t>COGS (cash)</t>
        </is>
      </c>
      <c r="D49" s="25">
        <f>INDEX('Inputs (2)'!$D$5:$AL$5,MATCH(D$7,'Inputs (2)'!$D$2:$AL$2,0))</f>
        <v>-1215.1</v>
      </c>
      <c r="E49" s="25">
        <f>INDEX('Inputs (2)'!$D$5:$AL$5,MATCH(E$7,'Inputs (2)'!$D$2:$AL$2,0))</f>
        <v>-1222</v>
      </c>
      <c r="F49" s="25">
        <f>INDEX('Inputs (2)'!$D$5:$AL$5,MATCH(F$7,'Inputs (2)'!$D$2:$AL$2,0))</f>
        <v>-1326.4</v>
      </c>
      <c r="G49" s="25">
        <f>INDEX('Inputs (2)'!$D$5:$AL$5,MATCH(G$7,'Inputs (2)'!$D$2:$AL$2,0))</f>
        <v>-1719.8</v>
      </c>
      <c r="H49" s="3">
        <f>SUM(D49:G49)</f>
        <v>-5483.3</v>
      </c>
      <c r="I49" s="25">
        <f>INDEX('Inputs (2)'!$D$5:$AL$5,MATCH(I$7,'Inputs (2)'!$D$2:$AL$2,0))</f>
        <v>-1878.6</v>
      </c>
      <c r="J49" s="25">
        <f>INDEX('Inputs (2)'!$D$5:$AL$5,MATCH(J$7,'Inputs (2)'!$D$2:$AL$2,0))</f>
        <v>-1953.2</v>
      </c>
      <c r="K49" s="25">
        <f>INDEX('Inputs (2)'!$D$5:$AL$5,MATCH(K$7,'Inputs (2)'!$D$2:$AL$2,0))</f>
        <v>-1430.8</v>
      </c>
      <c r="L49" s="25">
        <f>INDEX('Inputs (2)'!$D$5:$AL$5,MATCH(L$7,'Inputs (2)'!$D$2:$AL$2,0))</f>
        <v>-2050.2</v>
      </c>
      <c r="M49" s="3">
        <f>SUM(I49:L49)</f>
        <v>-7312.8</v>
      </c>
      <c r="N49" s="25">
        <f>INDEX('Inputs (2)'!$D$5:$AL$5,MATCH(N$7,'Inputs (2)'!$D$2:$AL$2,0))</f>
        <v>-2072.1</v>
      </c>
      <c r="O49" s="25">
        <f>INDEX('Inputs (2)'!$D$5:$AL$5,MATCH(O$7,'Inputs (2)'!$D$2:$AL$2,0))</f>
        <v>-1430.5</v>
      </c>
      <c r="P49" s="25">
        <f>INDEX('Inputs (2)'!$D$5:$AL$5,MATCH(P$7,'Inputs (2)'!$D$2:$AL$2,0))</f>
        <v>-1579.1</v>
      </c>
      <c r="Q49" s="25">
        <f>INDEX('Inputs (2)'!$D$5:$AL$5,MATCH(Q$7,'Inputs (2)'!$D$2:$AL$2,0))</f>
        <v>-1548.1</v>
      </c>
      <c r="R49" s="3">
        <f>SUM(N49:Q49)</f>
        <v>-6629.8</v>
      </c>
      <c r="S49" s="25">
        <f>INDEX('Inputs (2)'!$D$5:$AL$5,MATCH(S$7,'Inputs (2)'!$D$2:$AL$2,0))</f>
        <v>-1626.7</v>
      </c>
      <c r="T49" s="25">
        <f>INDEX('Inputs (2)'!$D$5:$AL$5,MATCH(T$7,'Inputs (2)'!$D$2:$AL$2,0))</f>
        <v>-1807.4</v>
      </c>
      <c r="U49" s="25">
        <f>INDEX('Inputs (2)'!$D$5:$AL$5,MATCH(U$7,'Inputs (2)'!$D$2:$AL$2,0))</f>
        <v>-1860.1</v>
      </c>
      <c r="V49" s="25">
        <f>INDEX('Inputs (2)'!$D$5:$AL$5,MATCH(V$7,'Inputs (2)'!$D$2:$AL$2,0))</f>
        <v>-1788</v>
      </c>
      <c r="W49" s="3">
        <f>SUM(S49:V49)</f>
        <v>-7082.2</v>
      </c>
      <c r="X49" s="25">
        <f>INDEX('Inputs (2)'!$D$5:$AL$5,MATCH(X$7,'Inputs (2)'!$D$2:$AL$2,0))</f>
        <v>-1673.5</v>
      </c>
      <c r="Y49" s="25">
        <f>INDEX('Inputs (2)'!$D$5:$AL$5,MATCH(Y$7,'Inputs (2)'!$D$2:$AL$2,0))</f>
        <v>-2170.2</v>
      </c>
      <c r="Z49" s="25">
        <f>INDEX('Inputs (2)'!$D$5:$AL$5,MATCH(Z$7,'Inputs (2)'!$D$2:$AL$2,0))</f>
        <v>-2170.8</v>
      </c>
      <c r="AA49" s="25">
        <f>INDEX('Inputs (2)'!$D$5:$AL$5,MATCH(AA$7,'Inputs (2)'!$D$2:$AL$2,0))</f>
        <v>-2403.8</v>
      </c>
      <c r="AB49" s="3">
        <f>SUM(X49:AA49)</f>
        <v>-8418.3</v>
      </c>
      <c r="AC49" s="25">
        <f>INDEX('Inputs (2)'!$D$5:$AL$5,MATCH(AC$7,'Inputs (2)'!$D$2:$AL$2,0))</f>
        <v>-2225</v>
      </c>
      <c r="AD49" s="25">
        <f>INDEX('Inputs (2)'!$D$5:$AL$5,MATCH(AD$7,'Inputs (2)'!$D$2:$AL$2,0))</f>
        <v>-2448</v>
      </c>
      <c r="AE49" s="25">
        <f>INDEX('Inputs (2)'!$D$5:$AL$5,MATCH(AE$7,'Inputs (2)'!$D$2:$AL$2,0))</f>
        <v>-3008.3</v>
      </c>
      <c r="AF49" s="25">
        <f>INDEX('Inputs (2)'!$D$5:$AL$5,MATCH(AF$7,'Inputs (2)'!$D$2:$AL$2,0))</f>
        <v>-3371.7</v>
      </c>
      <c r="AG49" s="3">
        <f>SUM(AC49:AF49)</f>
        <v>-11053</v>
      </c>
      <c r="AH49" s="3">
        <f>INDEX('Inputs (2)'!$D$5:$AL$5,MATCH(AH$7,'Inputs (2)'!$D$2:$AL$2,0))</f>
        <v>-3577</v>
      </c>
      <c r="AI49" s="3">
        <f>INDEX('Inputs (2)'!$D$5:$AL$5,MATCH(AI$7,'Inputs (2)'!$D$2:$AL$2,0))</f>
        <v>-3268</v>
      </c>
      <c r="AJ49" s="3">
        <f>(100%-AJ50)*-AJ15</f>
        <v>-17600.8</v>
      </c>
      <c r="AK49" s="3">
        <f>(100%-AK50)*-AK15</f>
        <v>-19292</v>
      </c>
      <c r="AL49" s="3">
        <f>SUM(AH49:AK49)</f>
        <v>-43737.8</v>
      </c>
      <c r="AM49" s="3">
        <f>(100%-AM50)*-AM15</f>
        <v>-19799</v>
      </c>
      <c r="AN49" s="3">
        <f>(100%-AN50)*-AN15</f>
        <v>-22974</v>
      </c>
      <c r="AO49" s="3">
        <f>(100%-AO50)*-AO15</f>
        <v>-17600.8</v>
      </c>
      <c r="AP49" s="3">
        <f>(100%-AP50)*-AP15</f>
        <v>-19292</v>
      </c>
      <c r="AQ49" s="3">
        <f>SUM(AM49:AP49)</f>
        <v>-79665.8</v>
      </c>
      <c r="AR49" s="3">
        <f>(100%-AR50)*-AR15</f>
        <v>-19799</v>
      </c>
      <c r="AS49" s="3">
        <f>(100%-AS50)*-AS15</f>
        <v>-22974</v>
      </c>
      <c r="AT49" s="3">
        <f>(100%-AT50)*-AT15</f>
        <v>-17600.8</v>
      </c>
      <c r="AU49" s="3">
        <f>(100%-AU50)*-AU15</f>
        <v>-19292</v>
      </c>
      <c r="AV49" s="3">
        <f>SUM(AR49:AU49)</f>
        <v>-79665.8</v>
      </c>
      <c r="AW49" s="3">
        <f>(100%-AW50)*-AW15</f>
        <v>-19799</v>
      </c>
      <c r="AX49" s="3">
        <f>(100%-AX50)*-AX15</f>
        <v>-22974</v>
      </c>
      <c r="AY49" s="3">
        <f>(100%-AY50)*-AY15</f>
        <v>-17600.8</v>
      </c>
      <c r="AZ49" s="3">
        <f>(100%-AZ50)*-AZ15</f>
        <v>-19292</v>
      </c>
      <c r="BA49" s="3">
        <f>SUM(AW49:AZ49)</f>
        <v>-79665.8</v>
      </c>
      <c r="BB49" s="3">
        <f>(100%-BB50)*-BB15</f>
        <v>-19799</v>
      </c>
      <c r="BC49" s="3">
        <f>(100%-BC50)*-BC15</f>
        <v>-22974</v>
      </c>
      <c r="BD49" s="3">
        <f>(100%-BD50)*-BD15</f>
        <v>-17600.8</v>
      </c>
      <c r="BE49" s="3">
        <f>(100%-BE50)*-BE15</f>
        <v>-19292</v>
      </c>
      <c r="BF49" s="3">
        <f>SUM(BB49:BE49)</f>
        <v>-79665.8</v>
      </c>
      <c r="BG49" s="3">
        <f>(100%-BG50)*-BG15</f>
        <v>-19799</v>
      </c>
      <c r="BH49" s="3">
        <f>(100%-BH50)*-BH15</f>
        <v>-22974</v>
      </c>
      <c r="BI49" s="3">
        <f>(100%-BI50)*-BI15</f>
        <v>-17600.8</v>
      </c>
      <c r="BJ49" s="3">
        <f>(100%-BJ50)*-BJ15</f>
        <v>-19292</v>
      </c>
      <c r="BK49" s="3">
        <f>SUM(BG49:BJ49)</f>
        <v>-79665.8</v>
      </c>
      <c r="BL49" s="3">
        <f>(100%-BL50)*-BL15</f>
        <v>-19799</v>
      </c>
      <c r="BM49" s="3">
        <f>(100%-BM50)*-BM15</f>
        <v>-22974</v>
      </c>
      <c r="BN49" s="3">
        <f>(100%-BN50)*-BN15</f>
        <v>-17600.8</v>
      </c>
      <c r="BO49" s="3">
        <f>(100%-BO50)*-BO15</f>
        <v>-19292</v>
      </c>
      <c r="BP49" s="3">
        <f>SUM(BL49:BO49)</f>
        <v>-79665.8</v>
      </c>
      <c r="BQ49" s="3">
        <f>(100%-BQ50)*-BQ15</f>
        <v>-19799</v>
      </c>
      <c r="BR49" s="3">
        <f>(100%-BR50)*-BR15</f>
        <v>-22974</v>
      </c>
      <c r="BS49" s="3">
        <f>(100%-BS50)*-BS15</f>
        <v>-17600.8</v>
      </c>
      <c r="BT49" s="3">
        <f>(100%-BT50)*-BT15</f>
        <v>-19292</v>
      </c>
      <c r="BU49" s="3">
        <f>SUM(BQ49:BT49)</f>
        <v>-79665.8</v>
      </c>
      <c r="BV49" s="3">
        <f>(100%-BV50)*-BV15</f>
        <v>-19799</v>
      </c>
      <c r="BW49" s="3">
        <f>(100%-BW50)*-BW15</f>
        <v>-22974</v>
      </c>
      <c r="BX49" s="3">
        <f>(100%-BX50)*-BX15</f>
        <v>-17600.8</v>
      </c>
      <c r="BY49" s="3">
        <f>(100%-BY50)*-BY15</f>
        <v>-19292</v>
      </c>
      <c r="BZ49" s="3">
        <f>SUM(BV49:BY49)</f>
        <v>-79665.8</v>
      </c>
      <c r="CA49" s="3">
        <f>(100%-CA50)*-CA15</f>
        <v>-19799</v>
      </c>
      <c r="CB49" s="3">
        <f>(100%-CB50)*-CB15</f>
        <v>-22974</v>
      </c>
      <c r="CC49" s="3">
        <f>(100%-CC50)*-CC15</f>
        <v>-17600.8</v>
      </c>
      <c r="CD49" s="3">
        <f>(100%-CD50)*-CD15</f>
        <v>-19292</v>
      </c>
      <c r="CE49" s="3">
        <f>SUM(CA49:CD49)</f>
        <v>-79665.8</v>
      </c>
      <c r="CF49" s="3">
        <f>(100%-CF50)*-CF15</f>
        <v>-19799</v>
      </c>
      <c r="CG49" s="3">
        <f>(100%-CG50)*-CG15</f>
        <v>-22974</v>
      </c>
      <c r="CH49" s="3">
        <f>(100%-CH50)*-CH15</f>
        <v>-17600.8</v>
      </c>
      <c r="CI49" s="3">
        <f>(100%-CI50)*-CI15</f>
        <v>-19292</v>
      </c>
      <c r="CJ49" s="3">
        <f>SUM(CF49:CI49)</f>
        <v>-79665.8</v>
      </c>
      <c r="CK49" s="3">
        <f>(100%-CK50)*-CK15</f>
        <v>-19799</v>
      </c>
      <c r="CL49" s="3">
        <f>(100%-CL50)*-CL15</f>
        <v>-22974</v>
      </c>
      <c r="CM49" s="3">
        <f>(100%-CM50)*-CM15</f>
        <v>-17600.8</v>
      </c>
      <c r="CN49" s="3">
        <f>(100%-CN50)*-CN15</f>
        <v>-19292</v>
      </c>
      <c r="CO49" s="3">
        <f>SUM(CK49:CN49)</f>
        <v>-79665.8</v>
      </c>
      <c r="CP49" s="3">
        <f>(100%-CP50)*-CP15</f>
        <v>-19799</v>
      </c>
      <c r="CQ49" s="3">
        <f>(100%-CQ50)*-CQ15</f>
        <v>-22974</v>
      </c>
      <c r="CR49" s="3">
        <f>(100%-CR50)*-CR15</f>
        <v>-17600.8</v>
      </c>
      <c r="CS49" s="3">
        <f>(100%-CS50)*-CS15</f>
        <v>-19292</v>
      </c>
      <c r="CT49" s="3">
        <f>SUM(CP49:CS49)</f>
        <v>-79665.8</v>
      </c>
      <c r="CU49" s="3">
        <f>(100%-CU50)*-CU15</f>
        <v>-19799</v>
      </c>
      <c r="CV49" s="3">
        <f>(100%-CV50)*-CV15</f>
        <v>-22974</v>
      </c>
      <c r="CW49" s="3">
        <f>(100%-CW50)*-CW15</f>
        <v>-17600.8</v>
      </c>
      <c r="CX49" s="3">
        <f>(100%-CX50)*-CX15</f>
        <v>-19292</v>
      </c>
      <c r="CY49" s="3">
        <f>SUM(CU49:CX49)</f>
        <v>-79665.8</v>
      </c>
    </row>
    <row r="50" hidden="1" outlineLevel="1" customFormat="1" s="1">
      <c r="C50" s="57" t="inlineStr">
        <is>
          <t>% Gross Margin</t>
        </is>
      </c>
      <c r="D50" s="54">
        <f>(D15+D49)/D$15</f>
        <v>0.792637973992287</v>
      </c>
      <c r="E50" s="54">
        <f>(E15+E49)/E$15</f>
        <v>0.777793941157217</v>
      </c>
      <c r="F50" s="54">
        <f>(F15+F49)/F$15</f>
        <v>0.76894401282096</v>
      </c>
      <c r="G50" s="54">
        <f>(G15+G49)/G$15</f>
        <v>0.768844086021505</v>
      </c>
      <c r="H50" s="54">
        <f>(H15+H49)/H$15</f>
        <v>0.776554821147687</v>
      </c>
      <c r="I50" s="54">
        <f>(I15+I49)/I$15</f>
        <v>0.723962619019631</v>
      </c>
      <c r="J50" s="54">
        <f>(J15+J49)/J$15</f>
        <v>0.710212014658536</v>
      </c>
      <c r="K50" s="54">
        <f>(K15+K49)/K$15</f>
        <v>0.788743208126624</v>
      </c>
      <c r="L50" s="54">
        <f>(L15+L49)/L$15</f>
        <v>0.743721796522457</v>
      </c>
      <c r="M50" s="54">
        <f>(M15+M49)/M$15</f>
        <v>0.741765071472965</v>
      </c>
      <c r="N50" s="54">
        <f>(N15+N49)/N$15</f>
        <v>0.734686299615877</v>
      </c>
      <c r="O50" s="54">
        <f>(O15+O49)/O$15</f>
        <v>0.779516029593095</v>
      </c>
      <c r="P50" s="54">
        <f>(P15+P49)/P$15</f>
        <v>0.772516422726749</v>
      </c>
      <c r="Q50" s="54">
        <f>(Q15+Q49)/Q$15</f>
        <v>0.787983784820181</v>
      </c>
      <c r="R50" s="54">
        <f>(R15+R49)/R$15</f>
        <v>0.7677128662224</v>
      </c>
      <c r="S50" s="54">
        <f>(S15+S49)/S$15</f>
        <v>0.766278735632184</v>
      </c>
      <c r="T50" s="54">
        <f>(T15+T49)/T$15</f>
        <v>0.782557957676159</v>
      </c>
      <c r="U50" s="54">
        <f>(U15+U49)/U$15</f>
        <v>0.804171141010254</v>
      </c>
      <c r="V50" s="54">
        <f>(V15+V49)/V$15</f>
        <v>0.808839566360896</v>
      </c>
      <c r="W50" s="54">
        <f>(W15+W49)/W$15</f>
        <v>0.792457530015444</v>
      </c>
      <c r="X50" s="54">
        <f>(X15+X49)/X$15</f>
        <v>0.80913549270073</v>
      </c>
      <c r="Y50" s="54">
        <f>(Y15+Y49)/Y$15</f>
        <v>0.807994479244081</v>
      </c>
      <c r="Z50" s="54">
        <f>(Z15+Z49)/Z$15</f>
        <v>0.810229825773007</v>
      </c>
      <c r="AA50" s="54">
        <f>(AA15+AA49)/AA$15</f>
        <v>0.822372310238827</v>
      </c>
      <c r="AB50" s="54">
        <f>(AB15+AB49)/AB$15</f>
        <v>0.813104010194771</v>
      </c>
      <c r="AC50" s="54">
        <f>(AC15+AC49)/AC$15</f>
        <v>0.825202293974389</v>
      </c>
      <c r="AD50" s="54">
        <f>(AD15+AD49)/AD$15</f>
        <v>0.84265329733899</v>
      </c>
      <c r="AE50" s="54">
        <f>(AE15+AE49)/AE$15</f>
        <v>0.829081632653061</v>
      </c>
      <c r="AF50" s="44">
        <f>(AF15+AF49)/AF$15</f>
        <v>0.82522807381298</v>
      </c>
      <c r="AG50" s="54">
        <f>(AG15+AG49)/AG$15</f>
        <v>0.830422922439161</v>
      </c>
      <c r="AH50" s="55">
        <f>(AH15+AH49)/AH$15</f>
        <v>0.819334309813627</v>
      </c>
      <c r="AI50" s="55">
        <f>(AI15+AI49)/AI$15</f>
        <v>0.85775224166449</v>
      </c>
      <c r="AJ50" s="55" t="n"/>
      <c r="AK50" s="55" t="n"/>
      <c r="AL50" s="54">
        <f>(AL15+AL49)/AL$15</f>
        <v>0.450983985599843</v>
      </c>
      <c r="AM50" s="55" t="n"/>
      <c r="AN50" s="55" t="n"/>
      <c r="AO50" s="55" t="n"/>
      <c r="AP50" s="55" t="n"/>
      <c r="AQ50" s="54">
        <f>(AQ15+AQ49)/AQ$15</f>
        <v>0</v>
      </c>
      <c r="AR50" s="55" t="n"/>
      <c r="AS50" s="55" t="n"/>
      <c r="AT50" s="55" t="n"/>
      <c r="AU50" s="55" t="n"/>
      <c r="AV50" s="54">
        <f>(AV15+AV49)/AV$15</f>
        <v>0</v>
      </c>
      <c r="AW50" s="55" t="n"/>
      <c r="AX50" s="55" t="n"/>
      <c r="AY50" s="55" t="n"/>
      <c r="AZ50" s="55" t="n"/>
      <c r="BA50" s="54">
        <f>(BA15+BA49)/BA$15</f>
        <v>0</v>
      </c>
      <c r="BB50" s="55" t="n"/>
      <c r="BC50" s="55" t="n"/>
      <c r="BD50" s="55" t="n"/>
      <c r="BE50" s="55" t="n"/>
      <c r="BF50" s="54">
        <f>(BF15+BF49)/BF$15</f>
        <v>0</v>
      </c>
      <c r="BG50" s="55" t="n"/>
      <c r="BH50" s="55" t="n"/>
      <c r="BI50" s="55" t="n"/>
      <c r="BJ50" s="55" t="n"/>
      <c r="BK50" s="54">
        <f>(BK15+BK49)/BK$15</f>
        <v>0</v>
      </c>
      <c r="BL50" s="55" t="n"/>
      <c r="BM50" s="55" t="n"/>
      <c r="BN50" s="55" t="n"/>
      <c r="BO50" s="55" t="n"/>
      <c r="BP50" s="54">
        <f>(BP15+BP49)/BP$15</f>
        <v>0</v>
      </c>
      <c r="BQ50" s="55" t="n"/>
      <c r="BR50" s="55" t="n"/>
      <c r="BS50" s="55" t="n"/>
      <c r="BT50" s="55" t="n"/>
      <c r="BU50" s="54">
        <f>(BU15+BU49)/BU$15</f>
        <v>0</v>
      </c>
      <c r="BV50" s="55" t="n"/>
      <c r="BW50" s="55" t="n"/>
      <c r="BX50" s="55" t="n"/>
      <c r="BY50" s="55" t="n"/>
      <c r="BZ50" s="54">
        <f>(BZ15+BZ49)/BZ$15</f>
        <v>0</v>
      </c>
      <c r="CA50" s="55" t="n"/>
      <c r="CB50" s="55" t="n"/>
      <c r="CC50" s="55" t="n"/>
      <c r="CD50" s="55" t="n"/>
      <c r="CE50" s="54">
        <f>(CE15+CE49)/CE$15</f>
        <v>0</v>
      </c>
      <c r="CF50" s="55" t="n"/>
      <c r="CG50" s="55" t="n"/>
      <c r="CH50" s="55" t="n"/>
      <c r="CI50" s="55" t="n"/>
      <c r="CJ50" s="54">
        <f>(CJ15+CJ49)/CJ$15</f>
        <v>0</v>
      </c>
      <c r="CK50" s="55" t="n"/>
      <c r="CL50" s="55" t="n"/>
      <c r="CM50" s="55" t="n"/>
      <c r="CN50" s="55" t="n"/>
      <c r="CO50" s="54">
        <f>(CO15+CO49)/CO$15</f>
        <v>0</v>
      </c>
      <c r="CP50" s="55" t="n"/>
      <c r="CQ50" s="55" t="n"/>
      <c r="CR50" s="55" t="n"/>
      <c r="CS50" s="55" t="n"/>
      <c r="CT50" s="54">
        <f>(CT15+CT49)/CT$15</f>
        <v>0</v>
      </c>
      <c r="CU50" s="55" t="n"/>
      <c r="CV50" s="55" t="n"/>
      <c r="CW50" s="55" t="n"/>
      <c r="CX50" s="55" t="n"/>
      <c r="CY50" s="54">
        <f>(CY15+CY49)/CY$15</f>
        <v>0</v>
      </c>
    </row>
    <row r="51" hidden="1" outlineLevel="1"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  <c r="Z51" s="32" t="n"/>
      <c r="AA51" s="32" t="n"/>
      <c r="AB51" s="32" t="n"/>
      <c r="AC51" s="32" t="n"/>
      <c r="AD51" s="32" t="n"/>
      <c r="AE51" s="32" t="n"/>
      <c r="AF51" s="32" t="n"/>
      <c r="AG51" s="32" t="n"/>
      <c r="AH51" s="32" t="n"/>
      <c r="AI51" s="32" t="n"/>
      <c r="AJ51" s="32" t="n"/>
      <c r="AK51" s="32" t="n"/>
      <c r="AL51" s="32" t="n"/>
      <c r="AM51" s="32" t="n"/>
      <c r="AN51" s="32" t="n"/>
      <c r="AO51" s="32" t="n"/>
      <c r="AP51" s="32" t="n"/>
      <c r="AQ51" s="32" t="n"/>
      <c r="AR51" s="32" t="n"/>
      <c r="AS51" s="32" t="n"/>
      <c r="AT51" s="32" t="n"/>
      <c r="AU51" s="32" t="n"/>
      <c r="AV51" s="32" t="n"/>
      <c r="AW51" s="32" t="n"/>
      <c r="AX51" s="32" t="n"/>
      <c r="AY51" s="32" t="n"/>
      <c r="AZ51" s="32" t="n"/>
      <c r="BA51" s="32" t="n"/>
      <c r="BB51" s="32" t="n"/>
      <c r="BC51" s="32" t="n"/>
      <c r="BD51" s="32" t="n"/>
      <c r="BE51" s="32" t="n"/>
      <c r="BF51" s="32" t="n"/>
      <c r="BG51" s="32" t="n"/>
      <c r="BH51" s="32" t="n"/>
      <c r="BI51" s="32" t="n"/>
      <c r="BJ51" s="32" t="n"/>
      <c r="BK51" s="32" t="n"/>
      <c r="BL51" s="32" t="n"/>
      <c r="BM51" s="32" t="n"/>
      <c r="BN51" s="32" t="n"/>
      <c r="BO51" s="32" t="n"/>
      <c r="BP51" s="32" t="n"/>
      <c r="BQ51" s="32" t="n"/>
      <c r="BR51" s="32" t="n"/>
      <c r="BS51" s="32" t="n"/>
      <c r="BT51" s="32" t="n"/>
      <c r="BU51" s="32" t="n"/>
      <c r="BV51" s="32" t="n"/>
      <c r="BW51" s="32" t="n"/>
      <c r="BX51" s="32" t="n"/>
      <c r="BY51" s="32" t="n"/>
      <c r="BZ51" s="32" t="n"/>
      <c r="CA51" s="32" t="n"/>
      <c r="CB51" s="32" t="n"/>
      <c r="CC51" s="32" t="n"/>
      <c r="CD51" s="32" t="n"/>
      <c r="CE51" s="32" t="n"/>
      <c r="CF51" s="32" t="n"/>
      <c r="CG51" s="32" t="n"/>
      <c r="CH51" s="32" t="n"/>
      <c r="CI51" s="32" t="n"/>
      <c r="CJ51" s="32" t="n"/>
      <c r="CK51" s="32" t="n"/>
      <c r="CL51" s="32" t="n"/>
      <c r="CM51" s="32" t="n"/>
      <c r="CN51" s="32" t="n"/>
      <c r="CO51" s="32" t="n"/>
      <c r="CP51" s="32" t="n"/>
      <c r="CQ51" s="32" t="n"/>
      <c r="CR51" s="32" t="n"/>
      <c r="CS51" s="32" t="n"/>
      <c r="CT51" s="32" t="n"/>
      <c r="CU51" s="32" t="n"/>
      <c r="CV51" s="32" t="n"/>
      <c r="CW51" s="32" t="n"/>
      <c r="CX51" s="32" t="n"/>
      <c r="CY51" s="32" t="n"/>
    </row>
    <row r="52" hidden="1" outlineLevel="1"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  <c r="AG52" s="32" t="n"/>
      <c r="AH52" s="32" t="n"/>
      <c r="AI52" s="32" t="n"/>
      <c r="AJ52" s="32" t="n"/>
      <c r="AK52" s="32" t="n"/>
      <c r="AL52" s="32" t="n"/>
      <c r="AM52" s="32" t="n"/>
      <c r="AN52" s="32" t="n"/>
      <c r="AO52" s="32" t="n"/>
      <c r="AP52" s="32" t="n"/>
      <c r="AQ52" s="32" t="n"/>
      <c r="AR52" s="32" t="n"/>
      <c r="AS52" s="32" t="n"/>
      <c r="AT52" s="32" t="n"/>
      <c r="AU52" s="32" t="n"/>
      <c r="AV52" s="32" t="n"/>
      <c r="AW52" s="32" t="n"/>
      <c r="AX52" s="32" t="n"/>
      <c r="AY52" s="32" t="n"/>
      <c r="AZ52" s="32" t="n"/>
      <c r="BA52" s="32" t="n"/>
      <c r="BB52" s="32" t="n"/>
      <c r="BC52" s="32" t="n"/>
      <c r="BD52" s="32" t="n"/>
      <c r="BE52" s="32" t="n"/>
      <c r="BF52" s="32" t="n"/>
      <c r="BG52" s="32" t="n"/>
      <c r="BH52" s="32" t="n"/>
      <c r="BI52" s="32" t="n"/>
      <c r="BJ52" s="32" t="n"/>
      <c r="BK52" s="32" t="n"/>
      <c r="BL52" s="32" t="n"/>
      <c r="BM52" s="32" t="n"/>
      <c r="BN52" s="32" t="n"/>
      <c r="BO52" s="32" t="n"/>
      <c r="BP52" s="32" t="n"/>
      <c r="BQ52" s="32" t="n"/>
      <c r="BR52" s="32" t="n"/>
      <c r="BS52" s="32" t="n"/>
      <c r="BT52" s="32" t="n"/>
      <c r="BU52" s="32" t="n"/>
      <c r="BV52" s="32" t="n"/>
      <c r="BW52" s="32" t="n"/>
      <c r="BX52" s="32" t="n"/>
      <c r="BY52" s="32" t="n"/>
      <c r="BZ52" s="32" t="n"/>
      <c r="CA52" s="32" t="n"/>
      <c r="CB52" s="32" t="n"/>
      <c r="CC52" s="32" t="n"/>
      <c r="CD52" s="32" t="n"/>
      <c r="CE52" s="32" t="n"/>
      <c r="CF52" s="32" t="n"/>
      <c r="CG52" s="32" t="n"/>
      <c r="CH52" s="32" t="n"/>
      <c r="CI52" s="32" t="n"/>
      <c r="CJ52" s="32" t="n"/>
      <c r="CK52" s="32" t="n"/>
      <c r="CL52" s="32" t="n"/>
      <c r="CM52" s="32" t="n"/>
      <c r="CN52" s="32" t="n"/>
      <c r="CO52" s="32" t="n"/>
      <c r="CP52" s="32" t="n"/>
      <c r="CQ52" s="32" t="n"/>
      <c r="CR52" s="32" t="n"/>
      <c r="CS52" s="32" t="n"/>
      <c r="CT52" s="32" t="n"/>
      <c r="CU52" s="32" t="n"/>
      <c r="CV52" s="32" t="n"/>
      <c r="CW52" s="32" t="n"/>
      <c r="CX52" s="32" t="n"/>
      <c r="CY52" s="32" t="n"/>
    </row>
    <row r="53" collapsed="1">
      <c r="C53" s="24" t="inlineStr">
        <is>
          <t>SG&amp;A and Other (cash)</t>
        </is>
      </c>
      <c r="D53" s="25">
        <f>INDEX('Inputs (2)'!$D$6:$AL$6,MATCH(D$7,'Inputs (2)'!$D$2:$AL$2,0))</f>
        <v>-4371.1</v>
      </c>
      <c r="E53" s="25">
        <f>INDEX('Inputs (2)'!$D$6:$AL$6,MATCH(E$7,'Inputs (2)'!$D$2:$AL$2,0))</f>
        <v>-3953</v>
      </c>
      <c r="F53" s="25">
        <f>INDEX('Inputs (2)'!$D$6:$AL$6,MATCH(F$7,'Inputs (2)'!$D$2:$AL$2,0))</f>
        <v>-4055.8</v>
      </c>
      <c r="G53" s="25">
        <f>INDEX('Inputs (2)'!$D$6:$AL$6,MATCH(G$7,'Inputs (2)'!$D$2:$AL$2,0))</f>
        <v>-5352.7</v>
      </c>
      <c r="H53" s="3">
        <f>SUM(D53:G53)</f>
        <v>-17732.6</v>
      </c>
      <c r="I53" s="25">
        <f>INDEX('Inputs (2)'!$D$6:$AL$6,MATCH(I$7,'Inputs (2)'!$D$2:$AL$2,0))</f>
        <v>-4576.7</v>
      </c>
      <c r="J53" s="25">
        <f>INDEX('Inputs (2)'!$D$6:$AL$6,MATCH(J$7,'Inputs (2)'!$D$2:$AL$2,0))</f>
        <v>-4417.6</v>
      </c>
      <c r="K53" s="25">
        <f>INDEX('Inputs (2)'!$D$6:$AL$6,MATCH(K$7,'Inputs (2)'!$D$2:$AL$2,0))</f>
        <v>-4959.7</v>
      </c>
      <c r="L53" s="25">
        <f>INDEX('Inputs (2)'!$D$6:$AL$6,MATCH(L$7,'Inputs (2)'!$D$2:$AL$2,0))</f>
        <v>-5504</v>
      </c>
      <c r="M53" s="3">
        <f>SUM(I53:L53)</f>
        <v>-19458</v>
      </c>
      <c r="N53" s="25">
        <f>INDEX('Inputs (2)'!$D$6:$AL$6,MATCH(N$7,'Inputs (2)'!$D$2:$AL$2,0))</f>
        <v>-5302.2</v>
      </c>
      <c r="O53" s="25">
        <f>INDEX('Inputs (2)'!$D$6:$AL$6,MATCH(O$7,'Inputs (2)'!$D$2:$AL$2,0))</f>
        <v>-4708.6</v>
      </c>
      <c r="P53" s="25">
        <f>INDEX('Inputs (2)'!$D$6:$AL$6,MATCH(P$7,'Inputs (2)'!$D$2:$AL$2,0))</f>
        <v>-4999.6</v>
      </c>
      <c r="Q53" s="25">
        <f>INDEX('Inputs (2)'!$D$6:$AL$6,MATCH(Q$7,'Inputs (2)'!$D$2:$AL$2,0))</f>
        <v>-5378.7</v>
      </c>
      <c r="R53" s="3">
        <f>SUM(N53:Q53)</f>
        <v>-20389.1</v>
      </c>
      <c r="S53" s="25">
        <f>INDEX('Inputs (2)'!$D$6:$AL$6,MATCH(S$7,'Inputs (2)'!$D$2:$AL$2,0))</f>
        <v>-4971</v>
      </c>
      <c r="T53" s="25">
        <f>INDEX('Inputs (2)'!$D$6:$AL$6,MATCH(T$7,'Inputs (2)'!$D$2:$AL$2,0))</f>
        <v>-6138.4</v>
      </c>
      <c r="U53" s="25">
        <f>INDEX('Inputs (2)'!$D$6:$AL$6,MATCH(U$7,'Inputs (2)'!$D$2:$AL$2,0))</f>
        <v>-7227.5</v>
      </c>
      <c r="V53" s="25">
        <f>INDEX('Inputs (2)'!$D$6:$AL$6,MATCH(V$7,'Inputs (2)'!$D$2:$AL$2,0))</f>
        <v>-7177.7</v>
      </c>
      <c r="W53" s="3">
        <f>SUM(S53:V53)</f>
        <v>-25514.6</v>
      </c>
      <c r="X53" s="25">
        <f>INDEX('Inputs (2)'!$D$6:$AL$6,MATCH(X$7,'Inputs (2)'!$D$2:$AL$2,0))</f>
        <v>-6693.9</v>
      </c>
      <c r="Y53" s="25">
        <f>INDEX('Inputs (2)'!$D$6:$AL$6,MATCH(Y$7,'Inputs (2)'!$D$2:$AL$2,0))</f>
        <v>-8718.2</v>
      </c>
      <c r="Z53" s="25">
        <f>INDEX('Inputs (2)'!$D$6:$AL$6,MATCH(Z$7,'Inputs (2)'!$D$2:$AL$2,0))</f>
        <v>-8801.5</v>
      </c>
      <c r="AA53" s="25">
        <f>INDEX('Inputs (2)'!$D$6:$AL$6,MATCH(AA$7,'Inputs (2)'!$D$2:$AL$2,0))</f>
        <v>-10644.2</v>
      </c>
      <c r="AB53" s="3">
        <f>SUM(X53:AA53)</f>
        <v>-34857.8</v>
      </c>
      <c r="AC53" s="25">
        <f>INDEX('Inputs (2)'!$D$6:$AL$6,MATCH(AC$7,'Inputs (2)'!$D$2:$AL$2,0))</f>
        <v>-10041.2</v>
      </c>
      <c r="AD53" s="25">
        <f>INDEX('Inputs (2)'!$D$6:$AL$6,MATCH(AD$7,'Inputs (2)'!$D$2:$AL$2,0))</f>
        <v>-12631.5</v>
      </c>
      <c r="AE53" s="25">
        <f>INDEX('Inputs (2)'!$D$6:$AL$6,MATCH(AE$7,'Inputs (2)'!$D$2:$AL$2,0))</f>
        <v>-14122.5</v>
      </c>
      <c r="AF53" s="25">
        <f>INDEX('Inputs (2)'!$D$6:$AL$6,MATCH(AF$7,'Inputs (2)'!$D$2:$AL$2,0))</f>
        <v>-15334.6</v>
      </c>
      <c r="AG53" s="3">
        <f>SUM(AC53:AF53)</f>
        <v>-52129.8</v>
      </c>
      <c r="AH53" s="3">
        <f>INDEX('Inputs (2)'!$D$6:$AL$6,MATCH(AH$7,'Inputs (2)'!$D$2:$AL$2,0))</f>
        <v>-15713</v>
      </c>
      <c r="AI53" s="3">
        <f>INDEX('Inputs (2)'!$D$6:$AL$6,MATCH(AI$7,'Inputs (2)'!$D$2:$AL$2,0))</f>
        <v>-19172</v>
      </c>
      <c r="AJ53" s="3">
        <f>-AJ15*AJ54</f>
        <v>0</v>
      </c>
      <c r="AK53" s="3">
        <f>-AK15*AK54</f>
        <v>0</v>
      </c>
      <c r="AL53" s="3">
        <f>SUM(AH53:AK53)</f>
        <v>-34885</v>
      </c>
      <c r="AM53" s="3">
        <f>-AM15*AM54</f>
        <v>0</v>
      </c>
      <c r="AN53" s="3">
        <f>-AN15*AN54</f>
        <v>0</v>
      </c>
      <c r="AO53" s="3">
        <f>-AO15*AO54</f>
        <v>0</v>
      </c>
      <c r="AP53" s="3">
        <f>-AP15*AP54</f>
        <v>0</v>
      </c>
      <c r="AQ53" s="3">
        <f>SUM(AM53:AP53)</f>
        <v>0</v>
      </c>
      <c r="AR53" s="3">
        <f>-AR15*AR54</f>
        <v>0</v>
      </c>
      <c r="AS53" s="3">
        <f>-AS15*AS54</f>
        <v>0</v>
      </c>
      <c r="AT53" s="3">
        <f>-AT15*AT54</f>
        <v>0</v>
      </c>
      <c r="AU53" s="3">
        <f>-AU15*AU54</f>
        <v>0</v>
      </c>
      <c r="AV53" s="3">
        <f>SUM(AR53:AU53)</f>
        <v>0</v>
      </c>
      <c r="AW53" s="3">
        <f>-AW15*AW54</f>
        <v>0</v>
      </c>
      <c r="AX53" s="3">
        <f>-AX15*AX54</f>
        <v>0</v>
      </c>
      <c r="AY53" s="3">
        <f>-AY15*AY54</f>
        <v>0</v>
      </c>
      <c r="AZ53" s="3">
        <f>-AZ15*AZ54</f>
        <v>0</v>
      </c>
      <c r="BA53" s="3">
        <f>SUM(AW53:AZ53)</f>
        <v>0</v>
      </c>
      <c r="BB53" s="3">
        <f>-BB15*BB54</f>
        <v>0</v>
      </c>
      <c r="BC53" s="3">
        <f>-BC15*BC54</f>
        <v>0</v>
      </c>
      <c r="BD53" s="3">
        <f>-BD15*BD54</f>
        <v>0</v>
      </c>
      <c r="BE53" s="3">
        <f>-BE15*BE54</f>
        <v>0</v>
      </c>
      <c r="BF53" s="3">
        <f>SUM(BB53:BE53)</f>
        <v>0</v>
      </c>
      <c r="BG53" s="3">
        <f>-BG15*BG54</f>
        <v>0</v>
      </c>
      <c r="BH53" s="3">
        <f>-BH15*BH54</f>
        <v>0</v>
      </c>
      <c r="BI53" s="3">
        <f>-BI15*BI54</f>
        <v>0</v>
      </c>
      <c r="BJ53" s="3">
        <f>-BJ15*BJ54</f>
        <v>0</v>
      </c>
      <c r="BK53" s="3">
        <f>SUM(BG53:BJ53)</f>
        <v>0</v>
      </c>
      <c r="BL53" s="3">
        <f>-BL15*BL54</f>
        <v>0</v>
      </c>
      <c r="BM53" s="3">
        <f>-BM15*BM54</f>
        <v>0</v>
      </c>
      <c r="BN53" s="3">
        <f>-BN15*BN54</f>
        <v>0</v>
      </c>
      <c r="BO53" s="3">
        <f>-BO15*BO54</f>
        <v>0</v>
      </c>
      <c r="BP53" s="3">
        <f>SUM(BL53:BO53)</f>
        <v>0</v>
      </c>
      <c r="BQ53" s="3">
        <f>-BQ15*BQ54</f>
        <v>0</v>
      </c>
      <c r="BR53" s="3">
        <f>-BR15*BR54</f>
        <v>0</v>
      </c>
      <c r="BS53" s="3">
        <f>-BS15*BS54</f>
        <v>0</v>
      </c>
      <c r="BT53" s="3">
        <f>-BT15*BT54</f>
        <v>0</v>
      </c>
      <c r="BU53" s="3">
        <f>SUM(BQ53:BT53)</f>
        <v>0</v>
      </c>
      <c r="BV53" s="3">
        <f>-BV15*BV54</f>
        <v>0</v>
      </c>
      <c r="BW53" s="3">
        <f>-BW15*BW54</f>
        <v>0</v>
      </c>
      <c r="BX53" s="3">
        <f>-BX15*BX54</f>
        <v>0</v>
      </c>
      <c r="BY53" s="3">
        <f>-BY15*BY54</f>
        <v>0</v>
      </c>
      <c r="BZ53" s="3">
        <f>SUM(BV53:BY53)</f>
        <v>0</v>
      </c>
      <c r="CA53" s="3">
        <f>-CA15*CA54</f>
        <v>0</v>
      </c>
      <c r="CB53" s="3">
        <f>-CB15*CB54</f>
        <v>0</v>
      </c>
      <c r="CC53" s="3">
        <f>-CC15*CC54</f>
        <v>0</v>
      </c>
      <c r="CD53" s="3">
        <f>-CD15*CD54</f>
        <v>0</v>
      </c>
      <c r="CE53" s="3">
        <f>SUM(CA53:CD53)</f>
        <v>0</v>
      </c>
      <c r="CF53" s="3">
        <f>-CF15*CF54</f>
        <v>0</v>
      </c>
      <c r="CG53" s="3">
        <f>-CG15*CG54</f>
        <v>0</v>
      </c>
      <c r="CH53" s="3">
        <f>-CH15*CH54</f>
        <v>0</v>
      </c>
      <c r="CI53" s="3">
        <f>-CI15*CI54</f>
        <v>0</v>
      </c>
      <c r="CJ53" s="3">
        <f>SUM(CF53:CI53)</f>
        <v>0</v>
      </c>
      <c r="CK53" s="3">
        <f>-CK15*CK54</f>
        <v>0</v>
      </c>
      <c r="CL53" s="3">
        <f>-CL15*CL54</f>
        <v>0</v>
      </c>
      <c r="CM53" s="3">
        <f>-CM15*CM54</f>
        <v>0</v>
      </c>
      <c r="CN53" s="3">
        <f>-CN15*CN54</f>
        <v>0</v>
      </c>
      <c r="CO53" s="3">
        <f>SUM(CK53:CN53)</f>
        <v>0</v>
      </c>
      <c r="CP53" s="3">
        <f>-CP15*CP54</f>
        <v>0</v>
      </c>
      <c r="CQ53" s="3">
        <f>-CQ15*CQ54</f>
        <v>0</v>
      </c>
      <c r="CR53" s="3">
        <f>-CR15*CR54</f>
        <v>0</v>
      </c>
      <c r="CS53" s="3">
        <f>-CS15*CS54</f>
        <v>0</v>
      </c>
      <c r="CT53" s="3">
        <f>SUM(CP53:CS53)</f>
        <v>0</v>
      </c>
      <c r="CU53" s="3">
        <f>-CU15*CU54</f>
        <v>0</v>
      </c>
      <c r="CV53" s="3">
        <f>-CV15*CV54</f>
        <v>0</v>
      </c>
      <c r="CW53" s="3">
        <f>-CW15*CW54</f>
        <v>0</v>
      </c>
      <c r="CX53" s="3">
        <f>-CX15*CX54</f>
        <v>0</v>
      </c>
      <c r="CY53" s="3">
        <f>SUM(CU53:CX53)</f>
        <v>0</v>
      </c>
    </row>
    <row r="54" hidden="1" outlineLevel="1">
      <c r="C54" s="33" t="inlineStr">
        <is>
          <t>% SG&amp;A and Other Margin</t>
        </is>
      </c>
      <c r="D54" s="56">
        <f>-(D53/D$15)</f>
        <v>0.745946960647121</v>
      </c>
      <c r="E54" s="56">
        <f>-(E53/E$15)</f>
        <v>0.718805687893225</v>
      </c>
      <c r="F54" s="56">
        <f>-(F53/F$15)</f>
        <v>0.706511514475839</v>
      </c>
      <c r="G54" s="56">
        <f>-(G53/G$15)</f>
        <v>0.719448924731183</v>
      </c>
      <c r="H54" s="56">
        <f>-(H53/H$15)</f>
        <v>0.722605726208038</v>
      </c>
      <c r="I54" s="56">
        <f>-(I53/I$15)</f>
        <v>0.67249030210415</v>
      </c>
      <c r="J54" s="56">
        <f>-(J53/J$15)</f>
        <v>0.655420542721918</v>
      </c>
      <c r="K54" s="56">
        <f>-(K53/K$15)</f>
        <v>0.732296834396409</v>
      </c>
      <c r="L54" s="56">
        <f>-(L53/L$15)</f>
        <v>0.688008600107501</v>
      </c>
      <c r="M54" s="56">
        <f>-(M53/M$15)</f>
        <v>0.687115091248093</v>
      </c>
      <c r="N54" s="56">
        <f>-(N53/N$15)</f>
        <v>0.678898847631242</v>
      </c>
      <c r="O54" s="56">
        <f>-(O53/O$15)</f>
        <v>0.725739827373613</v>
      </c>
      <c r="P54" s="56">
        <f>-(P53/P$15)</f>
        <v>0.720237409242826</v>
      </c>
      <c r="Q54" s="56">
        <f>-(Q53/Q$15)</f>
        <v>0.736626585225561</v>
      </c>
      <c r="R54" s="56">
        <f>-(R53/R$15)</f>
        <v>0.714369302136546</v>
      </c>
      <c r="S54" s="56">
        <f>-(S53/S$15)</f>
        <v>0.714224137931035</v>
      </c>
      <c r="T54" s="56">
        <f>-(T53/T$15)</f>
        <v>0.738489671683449</v>
      </c>
      <c r="U54" s="56">
        <f>-(U53/U$15)</f>
        <v>0.760901606552545</v>
      </c>
      <c r="V54" s="56">
        <f>-(V53/V$15)</f>
        <v>0.767389398507495</v>
      </c>
      <c r="W54" s="56">
        <f>-(W53/W$15)</f>
        <v>0.747700305649087</v>
      </c>
      <c r="X54" s="56">
        <f>-(X53/X$15)</f>
        <v>0.763446624087591</v>
      </c>
      <c r="Y54" s="56">
        <f>-(Y53/Y$15)</f>
        <v>0.771330997628906</v>
      </c>
      <c r="Z54" s="56">
        <f>-(Z53/Z$15)</f>
        <v>0.769422419595947</v>
      </c>
      <c r="AA54" s="56">
        <f>-(AA53/AA$15)</f>
        <v>0.786548238354221</v>
      </c>
      <c r="AB54" s="56">
        <f>-(AB53/AB$15)</f>
        <v>0.773883448372322</v>
      </c>
      <c r="AC54" s="56">
        <f>-(AC53/AC$15)</f>
        <v>0.788844371121062</v>
      </c>
      <c r="AD54" s="56">
        <f>-(AD53/AD$15)</f>
        <v>0.811897416120324</v>
      </c>
      <c r="AE54" s="56">
        <f>-(AE53/AE$15)</f>
        <v>0.802378300986319</v>
      </c>
      <c r="AF54" s="44">
        <f>-(AF53/AF$15)</f>
        <v>0.794868339207962</v>
      </c>
      <c r="AG54" s="56">
        <f>-(AG53/AG$15)</f>
        <v>0.799784595841043</v>
      </c>
      <c r="AH54" s="45">
        <f>-(AH53/AH$15)</f>
        <v>0.793625940704076</v>
      </c>
      <c r="AI54" s="45">
        <f>-(AI53/AI$15)</f>
        <v>0.834508574910769</v>
      </c>
      <c r="AJ54" s="45" t="n"/>
      <c r="AK54" s="45" t="n"/>
      <c r="AL54" s="56">
        <f>-(AL53/AL$15)</f>
        <v>0.437891792965112</v>
      </c>
      <c r="AM54" s="45" t="n"/>
      <c r="AN54" s="45" t="n"/>
      <c r="AO54" s="45" t="n"/>
      <c r="AP54" s="45" t="n"/>
      <c r="AQ54" s="56">
        <f>-(AQ53/AQ$15)</f>
        <v>0</v>
      </c>
      <c r="AR54" s="45" t="n"/>
      <c r="AS54" s="45" t="n"/>
      <c r="AT54" s="45" t="n"/>
      <c r="AU54" s="45" t="n"/>
      <c r="AV54" s="56">
        <f>-(AV53/AV$15)</f>
        <v>0</v>
      </c>
      <c r="AW54" s="45" t="n"/>
      <c r="AX54" s="45" t="n"/>
      <c r="AY54" s="45" t="n"/>
      <c r="AZ54" s="45" t="n"/>
      <c r="BA54" s="56">
        <f>-(BA53/BA$15)</f>
        <v>0</v>
      </c>
      <c r="BB54" s="45" t="n"/>
      <c r="BC54" s="45" t="n"/>
      <c r="BD54" s="45" t="n"/>
      <c r="BE54" s="45" t="n"/>
      <c r="BF54" s="56">
        <f>-(BF53/BF$15)</f>
        <v>0</v>
      </c>
      <c r="BG54" s="45" t="n"/>
      <c r="BH54" s="45" t="n"/>
      <c r="BI54" s="45" t="n"/>
      <c r="BJ54" s="45" t="n"/>
      <c r="BK54" s="56">
        <f>-(BK53/BK$15)</f>
        <v>0</v>
      </c>
      <c r="BL54" s="45" t="n"/>
      <c r="BM54" s="45" t="n"/>
      <c r="BN54" s="45" t="n"/>
      <c r="BO54" s="45" t="n"/>
      <c r="BP54" s="56">
        <f>-(BP53/BP$15)</f>
        <v>0</v>
      </c>
      <c r="BQ54" s="45" t="n"/>
      <c r="BR54" s="45" t="n"/>
      <c r="BS54" s="45" t="n"/>
      <c r="BT54" s="45" t="n"/>
      <c r="BU54" s="56">
        <f>-(BU53/BU$15)</f>
        <v>0</v>
      </c>
      <c r="BV54" s="45" t="n"/>
      <c r="BW54" s="45" t="n"/>
      <c r="BX54" s="45" t="n"/>
      <c r="BY54" s="45" t="n"/>
      <c r="BZ54" s="56">
        <f>-(BZ53/BZ$15)</f>
        <v>0</v>
      </c>
      <c r="CA54" s="45" t="n"/>
      <c r="CB54" s="45" t="n"/>
      <c r="CC54" s="45" t="n"/>
      <c r="CD54" s="45" t="n"/>
      <c r="CE54" s="56">
        <f>-(CE53/CE$15)</f>
        <v>0</v>
      </c>
      <c r="CF54" s="45" t="n"/>
      <c r="CG54" s="45" t="n"/>
      <c r="CH54" s="45" t="n"/>
      <c r="CI54" s="45" t="n"/>
      <c r="CJ54" s="56">
        <f>-(CJ53/CJ$15)</f>
        <v>0</v>
      </c>
      <c r="CK54" s="45" t="n"/>
      <c r="CL54" s="45" t="n"/>
      <c r="CM54" s="45" t="n"/>
      <c r="CN54" s="45" t="n"/>
      <c r="CO54" s="56">
        <f>-(CO53/CO$15)</f>
        <v>0</v>
      </c>
      <c r="CP54" s="45" t="n"/>
      <c r="CQ54" s="45" t="n"/>
      <c r="CR54" s="45" t="n"/>
      <c r="CS54" s="45" t="n"/>
      <c r="CT54" s="56">
        <f>-(CT53/CT$15)</f>
        <v>0</v>
      </c>
      <c r="CU54" s="45" t="n"/>
      <c r="CV54" s="45" t="n"/>
      <c r="CW54" s="45" t="n"/>
      <c r="CX54" s="45" t="n"/>
      <c r="CY54" s="56">
        <f>-(CY53/CY$15)</f>
        <v>0</v>
      </c>
    </row>
    <row r="55" hidden="1" outlineLevel="1"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  <c r="Z55" s="32" t="n"/>
      <c r="AA55" s="32" t="n"/>
      <c r="AB55" s="32" t="n"/>
      <c r="AC55" s="32" t="n"/>
      <c r="AD55" s="32" t="n"/>
      <c r="AE55" s="32" t="n"/>
      <c r="AF55" s="32" t="n"/>
      <c r="AG55" s="32" t="n"/>
      <c r="AH55" s="32" t="n"/>
      <c r="AI55" s="32" t="n"/>
      <c r="AJ55" s="32" t="n"/>
      <c r="AK55" s="32" t="n"/>
      <c r="AL55" s="32" t="n"/>
      <c r="AM55" s="32" t="n"/>
      <c r="AN55" s="32" t="n"/>
      <c r="AO55" s="32" t="n"/>
      <c r="AP55" s="32" t="n"/>
      <c r="AQ55" s="32" t="n"/>
      <c r="AR55" s="32" t="n"/>
      <c r="AS55" s="32" t="n"/>
      <c r="AT55" s="32" t="n"/>
      <c r="AU55" s="32" t="n"/>
      <c r="AV55" s="32" t="n"/>
      <c r="AW55" s="32" t="n"/>
      <c r="AX55" s="32" t="n"/>
      <c r="AY55" s="32" t="n"/>
      <c r="AZ55" s="32" t="n"/>
      <c r="BA55" s="32" t="n"/>
      <c r="BB55" s="32" t="n"/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2" t="n"/>
      <c r="BQ55" s="32" t="n"/>
      <c r="BR55" s="32" t="n"/>
      <c r="BS55" s="32" t="n"/>
      <c r="BT55" s="32" t="n"/>
      <c r="BU55" s="32" t="n"/>
      <c r="BV55" s="32" t="n"/>
      <c r="BW55" s="32" t="n"/>
      <c r="BX55" s="32" t="n"/>
      <c r="BY55" s="32" t="n"/>
      <c r="BZ55" s="32" t="n"/>
      <c r="CA55" s="32" t="n"/>
      <c r="CB55" s="32" t="n"/>
      <c r="CC55" s="32" t="n"/>
      <c r="CD55" s="32" t="n"/>
      <c r="CE55" s="32" t="n"/>
      <c r="CF55" s="32" t="n"/>
      <c r="CG55" s="32" t="n"/>
      <c r="CH55" s="32" t="n"/>
      <c r="CI55" s="32" t="n"/>
      <c r="CJ55" s="32" t="n"/>
      <c r="CK55" s="32" t="n"/>
      <c r="CL55" s="32" t="n"/>
      <c r="CM55" s="32" t="n"/>
      <c r="CN55" s="32" t="n"/>
      <c r="CO55" s="32" t="n"/>
      <c r="CP55" s="32" t="n"/>
      <c r="CQ55" s="32" t="n"/>
      <c r="CR55" s="32" t="n"/>
      <c r="CS55" s="32" t="n"/>
      <c r="CT55" s="32" t="n"/>
      <c r="CU55" s="32" t="n"/>
      <c r="CV55" s="32" t="n"/>
      <c r="CW55" s="32" t="n"/>
      <c r="CX55" s="32" t="n"/>
      <c r="CY55" s="32" t="n"/>
    </row>
    <row r="56" hidden="1" outlineLevel="1">
      <c r="C56" s="32" t="inlineStr">
        <is>
          <t>Com Vendas</t>
        </is>
      </c>
      <c r="D56" s="6" t="n"/>
      <c r="E56" s="6" t="n"/>
      <c r="F56" s="6" t="n"/>
      <c r="G56" s="6" t="n"/>
      <c r="H56" s="32" t="n"/>
      <c r="I56" s="6" t="n"/>
      <c r="J56" s="6" t="n"/>
      <c r="K56" s="6" t="n"/>
      <c r="L56" s="6" t="n"/>
      <c r="M56" s="32" t="n"/>
      <c r="N56" s="6" t="n"/>
      <c r="O56" s="6" t="n"/>
      <c r="P56" s="6" t="n"/>
      <c r="Q56" s="6" t="n"/>
      <c r="R56" s="32" t="n"/>
      <c r="S56" s="6" t="n"/>
      <c r="T56" s="6" t="n"/>
      <c r="U56" s="6" t="n"/>
      <c r="V56" s="6" t="n"/>
      <c r="W56" s="32" t="n"/>
      <c r="X56" s="6" t="n"/>
      <c r="Y56" s="6" t="n"/>
      <c r="Z56" s="6" t="n"/>
      <c r="AA56" s="6" t="n"/>
      <c r="AB56" s="32" t="n"/>
      <c r="AC56" s="6" t="n"/>
      <c r="AD56" s="6" t="n"/>
      <c r="AE56" s="6" t="n"/>
      <c r="AF56" s="6" t="n"/>
      <c r="AG56" s="32" t="n"/>
      <c r="AH56" s="32" t="n"/>
      <c r="AI56" s="32" t="n"/>
      <c r="AJ56" s="32" t="n"/>
      <c r="AK56" s="32" t="n"/>
      <c r="AL56" s="32" t="n"/>
      <c r="AM56" s="32" t="n"/>
      <c r="AN56" s="32" t="n"/>
      <c r="AO56" s="32" t="n"/>
      <c r="AP56" s="32" t="n"/>
      <c r="AQ56" s="32" t="n"/>
      <c r="AR56" s="32" t="n"/>
      <c r="AS56" s="32" t="n"/>
      <c r="AT56" s="32" t="n"/>
      <c r="AU56" s="32" t="n"/>
      <c r="AV56" s="32" t="n"/>
      <c r="AW56" s="32" t="n"/>
      <c r="AX56" s="32" t="n"/>
      <c r="AY56" s="32" t="n"/>
      <c r="AZ56" s="32" t="n"/>
      <c r="BA56" s="32" t="n"/>
      <c r="BB56" s="32" t="n"/>
      <c r="BC56" s="32" t="n"/>
      <c r="BD56" s="32" t="n"/>
      <c r="BE56" s="32" t="n"/>
      <c r="BF56" s="32" t="n"/>
      <c r="BG56" s="32" t="n"/>
      <c r="BH56" s="32" t="n"/>
      <c r="BI56" s="32" t="n"/>
      <c r="BJ56" s="32" t="n"/>
      <c r="BK56" s="32" t="n"/>
      <c r="BL56" s="32" t="n"/>
      <c r="BM56" s="32" t="n"/>
      <c r="BN56" s="32" t="n"/>
      <c r="BO56" s="32" t="n"/>
      <c r="BP56" s="32" t="n"/>
      <c r="BQ56" s="32" t="n"/>
      <c r="BR56" s="32" t="n"/>
      <c r="BS56" s="32" t="n"/>
      <c r="BT56" s="32" t="n"/>
      <c r="BU56" s="32" t="n"/>
      <c r="BV56" s="32" t="n"/>
      <c r="BW56" s="32" t="n"/>
      <c r="BX56" s="32" t="n"/>
      <c r="BY56" s="32" t="n"/>
      <c r="BZ56" s="32" t="n"/>
      <c r="CA56" s="32" t="n"/>
      <c r="CB56" s="32" t="n"/>
      <c r="CC56" s="32" t="n"/>
      <c r="CD56" s="32" t="n"/>
      <c r="CE56" s="32" t="n"/>
      <c r="CF56" s="32" t="n"/>
      <c r="CG56" s="32" t="n"/>
      <c r="CH56" s="32" t="n"/>
      <c r="CI56" s="32" t="n"/>
      <c r="CJ56" s="32" t="n"/>
      <c r="CK56" s="32" t="n"/>
      <c r="CL56" s="32" t="n"/>
      <c r="CM56" s="32" t="n"/>
      <c r="CN56" s="32" t="n"/>
      <c r="CO56" s="32" t="n"/>
      <c r="CP56" s="32" t="n"/>
      <c r="CQ56" s="32" t="n"/>
      <c r="CR56" s="32" t="n"/>
      <c r="CS56" s="32" t="n"/>
      <c r="CT56" s="32" t="n"/>
      <c r="CU56" s="32" t="n"/>
      <c r="CV56" s="32" t="n"/>
      <c r="CW56" s="32" t="n"/>
      <c r="CX56" s="32" t="n"/>
      <c r="CY56" s="32" t="n"/>
    </row>
    <row r="57" hidden="1" outlineLevel="1">
      <c r="C57" s="32" t="inlineStr">
        <is>
          <t>Gerais &amp; Administrativas</t>
        </is>
      </c>
      <c r="D57" s="6" t="n"/>
      <c r="E57" s="6" t="n"/>
      <c r="F57" s="6" t="n"/>
      <c r="G57" s="6" t="n"/>
      <c r="H57" s="32" t="n"/>
      <c r="I57" s="6" t="n"/>
      <c r="J57" s="6" t="n"/>
      <c r="K57" s="6" t="n"/>
      <c r="L57" s="6" t="n"/>
      <c r="M57" s="32" t="n"/>
      <c r="N57" s="6" t="n"/>
      <c r="O57" s="6" t="n"/>
      <c r="P57" s="6" t="n"/>
      <c r="Q57" s="6" t="n"/>
      <c r="R57" s="32" t="n"/>
      <c r="S57" s="6" t="n"/>
      <c r="T57" s="6" t="n"/>
      <c r="U57" s="6" t="n"/>
      <c r="V57" s="6" t="n"/>
      <c r="W57" s="32" t="n"/>
      <c r="X57" s="6" t="n"/>
      <c r="Y57" s="6" t="n"/>
      <c r="Z57" s="6" t="n"/>
      <c r="AA57" s="6" t="n"/>
      <c r="AB57" s="32" t="n"/>
      <c r="AC57" s="6" t="n"/>
      <c r="AD57" s="6" t="n"/>
      <c r="AE57" s="6" t="n"/>
      <c r="AF57" s="6" t="n"/>
      <c r="AG57" s="32" t="n"/>
      <c r="AH57" s="32" t="n"/>
      <c r="AI57" s="32" t="n"/>
      <c r="AJ57" s="32" t="n"/>
      <c r="AK57" s="32" t="n"/>
      <c r="AL57" s="32" t="n"/>
      <c r="AM57" s="32" t="n"/>
      <c r="AN57" s="32" t="n"/>
      <c r="AO57" s="32" t="n"/>
      <c r="AP57" s="32" t="n"/>
      <c r="AQ57" s="32" t="n"/>
      <c r="AR57" s="32" t="n"/>
      <c r="AS57" s="32" t="n"/>
      <c r="AT57" s="32" t="n"/>
      <c r="AU57" s="32" t="n"/>
      <c r="AV57" s="32" t="n"/>
      <c r="AW57" s="32" t="n"/>
      <c r="AX57" s="32" t="n"/>
      <c r="AY57" s="32" t="n"/>
      <c r="AZ57" s="32" t="n"/>
      <c r="BA57" s="32" t="n"/>
      <c r="BB57" s="32" t="n"/>
      <c r="BC57" s="32" t="n"/>
      <c r="BD57" s="32" t="n"/>
      <c r="BE57" s="32" t="n"/>
      <c r="BF57" s="32" t="n"/>
      <c r="BG57" s="32" t="n"/>
      <c r="BH57" s="32" t="n"/>
      <c r="BI57" s="32" t="n"/>
      <c r="BJ57" s="32" t="n"/>
      <c r="BK57" s="32" t="n"/>
      <c r="BL57" s="32" t="n"/>
      <c r="BM57" s="32" t="n"/>
      <c r="BN57" s="32" t="n"/>
      <c r="BO57" s="32" t="n"/>
      <c r="BP57" s="32" t="n"/>
      <c r="BQ57" s="32" t="n"/>
      <c r="BR57" s="32" t="n"/>
      <c r="BS57" s="32" t="n"/>
      <c r="BT57" s="32" t="n"/>
      <c r="BU57" s="32" t="n"/>
      <c r="BV57" s="32" t="n"/>
      <c r="BW57" s="32" t="n"/>
      <c r="BX57" s="32" t="n"/>
      <c r="BY57" s="32" t="n"/>
      <c r="BZ57" s="32" t="n"/>
      <c r="CA57" s="32" t="n"/>
      <c r="CB57" s="32" t="n"/>
      <c r="CC57" s="32" t="n"/>
      <c r="CD57" s="32" t="n"/>
      <c r="CE57" s="32" t="n"/>
      <c r="CF57" s="32" t="n"/>
      <c r="CG57" s="32" t="n"/>
      <c r="CH57" s="32" t="n"/>
      <c r="CI57" s="32" t="n"/>
      <c r="CJ57" s="32" t="n"/>
      <c r="CK57" s="32" t="n"/>
      <c r="CL57" s="32" t="n"/>
      <c r="CM57" s="32" t="n"/>
      <c r="CN57" s="32" t="n"/>
      <c r="CO57" s="32" t="n"/>
      <c r="CP57" s="32" t="n"/>
      <c r="CQ57" s="32" t="n"/>
      <c r="CR57" s="32" t="n"/>
      <c r="CS57" s="32" t="n"/>
      <c r="CT57" s="32" t="n"/>
      <c r="CU57" s="32" t="n"/>
      <c r="CV57" s="32" t="n"/>
      <c r="CW57" s="32" t="n"/>
      <c r="CX57" s="32" t="n"/>
      <c r="CY57" s="32" t="n"/>
    </row>
    <row r="58" hidden="1" outlineLevel="1">
      <c r="C58" s="32" t="inlineStr">
        <is>
          <t>Outras Receitas (Despesas) Operacionais, Líquidas</t>
        </is>
      </c>
      <c r="D58" s="6" t="n"/>
      <c r="E58" s="6" t="n"/>
      <c r="F58" s="6" t="n"/>
      <c r="G58" s="6" t="n"/>
      <c r="H58" s="32" t="n"/>
      <c r="I58" s="6" t="n"/>
      <c r="J58" s="6" t="n"/>
      <c r="K58" s="6" t="n"/>
      <c r="L58" s="6" t="n"/>
      <c r="M58" s="32" t="n"/>
      <c r="N58" s="6" t="n"/>
      <c r="O58" s="6" t="n"/>
      <c r="P58" s="6" t="n"/>
      <c r="Q58" s="6" t="n"/>
      <c r="R58" s="32" t="n"/>
      <c r="S58" s="6" t="n"/>
      <c r="T58" s="6" t="n"/>
      <c r="U58" s="6" t="n"/>
      <c r="V58" s="6" t="n"/>
      <c r="W58" s="32" t="n"/>
      <c r="X58" s="6" t="n"/>
      <c r="Y58" s="6" t="n"/>
      <c r="Z58" s="6" t="n"/>
      <c r="AA58" s="6" t="n"/>
      <c r="AB58" s="32" t="n"/>
      <c r="AC58" s="6" t="n"/>
      <c r="AD58" s="6" t="n"/>
      <c r="AE58" s="6" t="n"/>
      <c r="AF58" s="6" t="n"/>
      <c r="AG58" s="32" t="n"/>
      <c r="AH58" s="32" t="n"/>
      <c r="AI58" s="32" t="n"/>
      <c r="AJ58" s="32" t="n"/>
      <c r="AK58" s="32" t="n"/>
      <c r="AL58" s="32" t="n"/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  <c r="AV58" s="32" t="n"/>
      <c r="AW58" s="32" t="n"/>
      <c r="AX58" s="32" t="n"/>
      <c r="AY58" s="32" t="n"/>
      <c r="AZ58" s="32" t="n"/>
      <c r="BA58" s="32" t="n"/>
      <c r="BB58" s="32" t="n"/>
      <c r="BC58" s="32" t="n"/>
      <c r="BD58" s="32" t="n"/>
      <c r="BE58" s="32" t="n"/>
      <c r="BF58" s="32" t="n"/>
      <c r="BG58" s="32" t="n"/>
      <c r="BH58" s="32" t="n"/>
      <c r="BI58" s="32" t="n"/>
      <c r="BJ58" s="32" t="n"/>
      <c r="BK58" s="32" t="n"/>
      <c r="BL58" s="32" t="n"/>
      <c r="BM58" s="32" t="n"/>
      <c r="BN58" s="32" t="n"/>
      <c r="BO58" s="32" t="n"/>
      <c r="BP58" s="32" t="n"/>
      <c r="BQ58" s="32" t="n"/>
      <c r="BR58" s="32" t="n"/>
      <c r="BS58" s="32" t="n"/>
      <c r="BT58" s="32" t="n"/>
      <c r="BU58" s="32" t="n"/>
      <c r="BV58" s="32" t="n"/>
      <c r="BW58" s="32" t="n"/>
      <c r="BX58" s="32" t="n"/>
      <c r="BY58" s="32" t="n"/>
      <c r="BZ58" s="32" t="n"/>
      <c r="CA58" s="32" t="n"/>
      <c r="CB58" s="32" t="n"/>
      <c r="CC58" s="32" t="n"/>
      <c r="CD58" s="32" t="n"/>
      <c r="CE58" s="32" t="n"/>
      <c r="CF58" s="32" t="n"/>
      <c r="CG58" s="32" t="n"/>
      <c r="CH58" s="32" t="n"/>
      <c r="CI58" s="32" t="n"/>
      <c r="CJ58" s="32" t="n"/>
      <c r="CK58" s="32" t="n"/>
      <c r="CL58" s="32" t="n"/>
      <c r="CM58" s="32" t="n"/>
      <c r="CN58" s="32" t="n"/>
      <c r="CO58" s="32" t="n"/>
      <c r="CP58" s="32" t="n"/>
      <c r="CQ58" s="32" t="n"/>
      <c r="CR58" s="32" t="n"/>
      <c r="CS58" s="32" t="n"/>
      <c r="CT58" s="32" t="n"/>
      <c r="CU58" s="32" t="n"/>
      <c r="CV58" s="32" t="n"/>
      <c r="CW58" s="32" t="n"/>
      <c r="CX58" s="32" t="n"/>
      <c r="CY58" s="32" t="n"/>
    </row>
    <row r="59" hidden="1" outlineLevel="1"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  <c r="Z59" s="32" t="n"/>
      <c r="AA59" s="32" t="n"/>
      <c r="AB59" s="32" t="n"/>
      <c r="AC59" s="32" t="n"/>
      <c r="AD59" s="32" t="n"/>
      <c r="AE59" s="32" t="n"/>
      <c r="AF59" s="32" t="n"/>
      <c r="AG59" s="32" t="n"/>
      <c r="AH59" s="32" t="n"/>
      <c r="AI59" s="32" t="n"/>
      <c r="AJ59" s="32" t="n"/>
      <c r="AK59" s="32" t="n"/>
      <c r="AL59" s="32" t="n"/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  <c r="AV59" s="32" t="n"/>
      <c r="AW59" s="32" t="n"/>
      <c r="AX59" s="32" t="n"/>
      <c r="AY59" s="32" t="n"/>
      <c r="AZ59" s="32" t="n"/>
      <c r="BA59" s="32" t="n"/>
      <c r="BB59" s="32" t="n"/>
      <c r="BC59" s="32" t="n"/>
      <c r="BD59" s="32" t="n"/>
      <c r="BE59" s="32" t="n"/>
      <c r="BF59" s="32" t="n"/>
      <c r="BG59" s="32" t="n"/>
      <c r="BH59" s="32" t="n"/>
      <c r="BI59" s="32" t="n"/>
      <c r="BJ59" s="32" t="n"/>
      <c r="BK59" s="32" t="n"/>
      <c r="BL59" s="32" t="n"/>
      <c r="BM59" s="32" t="n"/>
      <c r="BN59" s="32" t="n"/>
      <c r="BO59" s="32" t="n"/>
      <c r="BP59" s="32" t="n"/>
      <c r="BQ59" s="32" t="n"/>
      <c r="BR59" s="32" t="n"/>
      <c r="BS59" s="32" t="n"/>
      <c r="BT59" s="32" t="n"/>
      <c r="BU59" s="32" t="n"/>
      <c r="BV59" s="32" t="n"/>
      <c r="BW59" s="32" t="n"/>
      <c r="BX59" s="32" t="n"/>
      <c r="BY59" s="32" t="n"/>
      <c r="BZ59" s="32" t="n"/>
      <c r="CA59" s="32" t="n"/>
      <c r="CB59" s="32" t="n"/>
      <c r="CC59" s="32" t="n"/>
      <c r="CD59" s="32" t="n"/>
      <c r="CE59" s="32" t="n"/>
      <c r="CF59" s="32" t="n"/>
      <c r="CG59" s="32" t="n"/>
      <c r="CH59" s="32" t="n"/>
      <c r="CI59" s="32" t="n"/>
      <c r="CJ59" s="32" t="n"/>
      <c r="CK59" s="32" t="n"/>
      <c r="CL59" s="32" t="n"/>
      <c r="CM59" s="32" t="n"/>
      <c r="CN59" s="32" t="n"/>
      <c r="CO59" s="32" t="n"/>
      <c r="CP59" s="32" t="n"/>
      <c r="CQ59" s="32" t="n"/>
      <c r="CR59" s="32" t="n"/>
      <c r="CS59" s="32" t="n"/>
      <c r="CT59" s="32" t="n"/>
      <c r="CU59" s="32" t="n"/>
      <c r="CV59" s="32" t="n"/>
      <c r="CW59" s="32" t="n"/>
      <c r="CX59" s="32" t="n"/>
      <c r="CY59" s="32" t="n"/>
    </row>
    <row r="60" hidden="1" outlineLevel="1">
      <c r="C60" s="32" t="inlineStr">
        <is>
          <t>Com Vendas (%)</t>
        </is>
      </c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  <c r="Z60" s="32" t="n"/>
      <c r="AA60" s="32" t="n"/>
      <c r="AB60" s="32" t="n"/>
      <c r="AC60" s="32" t="n"/>
      <c r="AD60" s="32" t="n"/>
      <c r="AE60" s="32" t="n"/>
      <c r="AF60" s="32" t="n"/>
      <c r="AG60" s="32" t="n"/>
      <c r="AH60" s="32" t="n"/>
      <c r="AI60" s="32" t="n"/>
      <c r="AJ60" s="32" t="n"/>
      <c r="AK60" s="32" t="n"/>
      <c r="AL60" s="32" t="n"/>
      <c r="AM60" s="32" t="n"/>
      <c r="AN60" s="32" t="n"/>
      <c r="AO60" s="32" t="n"/>
      <c r="AP60" s="32" t="n"/>
      <c r="AQ60" s="32" t="n"/>
      <c r="AR60" s="32" t="n"/>
      <c r="AS60" s="32" t="n"/>
      <c r="AT60" s="32" t="n"/>
      <c r="AU60" s="32" t="n"/>
      <c r="AV60" s="32" t="n"/>
      <c r="AW60" s="32" t="n"/>
      <c r="AX60" s="32" t="n"/>
      <c r="AY60" s="32" t="n"/>
      <c r="AZ60" s="32" t="n"/>
      <c r="BA60" s="32" t="n"/>
      <c r="BB60" s="32" t="n"/>
      <c r="BC60" s="32" t="n"/>
      <c r="BD60" s="32" t="n"/>
      <c r="BE60" s="32" t="n"/>
      <c r="BF60" s="32" t="n"/>
      <c r="BG60" s="32" t="n"/>
      <c r="BH60" s="32" t="n"/>
      <c r="BI60" s="32" t="n"/>
      <c r="BJ60" s="32" t="n"/>
      <c r="BK60" s="32" t="n"/>
      <c r="BL60" s="32" t="n"/>
      <c r="BM60" s="32" t="n"/>
      <c r="BN60" s="32" t="n"/>
      <c r="BO60" s="32" t="n"/>
      <c r="BP60" s="32" t="n"/>
      <c r="BQ60" s="32" t="n"/>
      <c r="BR60" s="32" t="n"/>
      <c r="BS60" s="32" t="n"/>
      <c r="BT60" s="32" t="n"/>
      <c r="BU60" s="32" t="n"/>
      <c r="BV60" s="32" t="n"/>
      <c r="BW60" s="32" t="n"/>
      <c r="BX60" s="32" t="n"/>
      <c r="BY60" s="32" t="n"/>
      <c r="BZ60" s="32" t="n"/>
      <c r="CA60" s="32" t="n"/>
      <c r="CB60" s="32" t="n"/>
      <c r="CC60" s="32" t="n"/>
      <c r="CD60" s="32" t="n"/>
      <c r="CE60" s="32" t="n"/>
      <c r="CF60" s="32" t="n"/>
      <c r="CG60" s="32" t="n"/>
      <c r="CH60" s="32" t="n"/>
      <c r="CI60" s="32" t="n"/>
      <c r="CJ60" s="32" t="n"/>
      <c r="CK60" s="32" t="n"/>
      <c r="CL60" s="32" t="n"/>
      <c r="CM60" s="32" t="n"/>
      <c r="CN60" s="32" t="n"/>
      <c r="CO60" s="32" t="n"/>
      <c r="CP60" s="32" t="n"/>
      <c r="CQ60" s="32" t="n"/>
      <c r="CR60" s="32" t="n"/>
      <c r="CS60" s="32" t="n"/>
      <c r="CT60" s="32" t="n"/>
      <c r="CU60" s="32" t="n"/>
      <c r="CV60" s="32" t="n"/>
      <c r="CW60" s="32" t="n"/>
      <c r="CX60" s="32" t="n"/>
      <c r="CY60" s="32" t="n"/>
    </row>
    <row r="61" hidden="1" outlineLevel="1">
      <c r="C61" s="32" t="inlineStr">
        <is>
          <t>Gerais &amp; Administrativas (%)</t>
        </is>
      </c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  <c r="Z61" s="32" t="n"/>
      <c r="AA61" s="32" t="n"/>
      <c r="AB61" s="32" t="n"/>
      <c r="AC61" s="32" t="n"/>
      <c r="AD61" s="32" t="n"/>
      <c r="AE61" s="32" t="n"/>
      <c r="AF61" s="32" t="n"/>
      <c r="AG61" s="32" t="n"/>
      <c r="AH61" s="32" t="n"/>
      <c r="AI61" s="32" t="n"/>
      <c r="AJ61" s="32" t="n"/>
      <c r="AK61" s="32" t="n"/>
      <c r="AL61" s="32" t="n"/>
      <c r="AM61" s="32" t="n"/>
      <c r="AN61" s="32" t="n"/>
      <c r="AO61" s="32" t="n"/>
      <c r="AP61" s="32" t="n"/>
      <c r="AQ61" s="32" t="n"/>
      <c r="AR61" s="32" t="n"/>
      <c r="AS61" s="32" t="n"/>
      <c r="AT61" s="32" t="n"/>
      <c r="AU61" s="32" t="n"/>
      <c r="AV61" s="32" t="n"/>
      <c r="AW61" s="32" t="n"/>
      <c r="AX61" s="32" t="n"/>
      <c r="AY61" s="32" t="n"/>
      <c r="AZ61" s="32" t="n"/>
      <c r="BA61" s="32" t="n"/>
      <c r="BB61" s="32" t="n"/>
      <c r="BC61" s="32" t="n"/>
      <c r="BD61" s="32" t="n"/>
      <c r="BE61" s="32" t="n"/>
      <c r="BF61" s="32" t="n"/>
      <c r="BG61" s="32" t="n"/>
      <c r="BH61" s="32" t="n"/>
      <c r="BI61" s="32" t="n"/>
      <c r="BJ61" s="32" t="n"/>
      <c r="BK61" s="32" t="n"/>
      <c r="BL61" s="32" t="n"/>
      <c r="BM61" s="32" t="n"/>
      <c r="BN61" s="32" t="n"/>
      <c r="BO61" s="32" t="n"/>
      <c r="BP61" s="32" t="n"/>
      <c r="BQ61" s="32" t="n"/>
      <c r="BR61" s="32" t="n"/>
      <c r="BS61" s="32" t="n"/>
      <c r="BT61" s="32" t="n"/>
      <c r="BU61" s="32" t="n"/>
      <c r="BV61" s="32" t="n"/>
      <c r="BW61" s="32" t="n"/>
      <c r="BX61" s="32" t="n"/>
      <c r="BY61" s="32" t="n"/>
      <c r="BZ61" s="32" t="n"/>
      <c r="CA61" s="32" t="n"/>
      <c r="CB61" s="32" t="n"/>
      <c r="CC61" s="32" t="n"/>
      <c r="CD61" s="32" t="n"/>
      <c r="CE61" s="32" t="n"/>
      <c r="CF61" s="32" t="n"/>
      <c r="CG61" s="32" t="n"/>
      <c r="CH61" s="32" t="n"/>
      <c r="CI61" s="32" t="n"/>
      <c r="CJ61" s="32" t="n"/>
      <c r="CK61" s="32" t="n"/>
      <c r="CL61" s="32" t="n"/>
      <c r="CM61" s="32" t="n"/>
      <c r="CN61" s="32" t="n"/>
      <c r="CO61" s="32" t="n"/>
      <c r="CP61" s="32" t="n"/>
      <c r="CQ61" s="32" t="n"/>
      <c r="CR61" s="32" t="n"/>
      <c r="CS61" s="32" t="n"/>
      <c r="CT61" s="32" t="n"/>
      <c r="CU61" s="32" t="n"/>
      <c r="CV61" s="32" t="n"/>
      <c r="CW61" s="32" t="n"/>
      <c r="CX61" s="32" t="n"/>
      <c r="CY61" s="32" t="n"/>
    </row>
    <row r="62" hidden="1" outlineLevel="1">
      <c r="C62" s="32" t="inlineStr">
        <is>
          <t>Outras Receitas (Despesas) Operacionais, Líquidas (%)</t>
        </is>
      </c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  <c r="AV62" s="32" t="n"/>
      <c r="AW62" s="32" t="n"/>
      <c r="AX62" s="32" t="n"/>
      <c r="AY62" s="32" t="n"/>
      <c r="AZ62" s="32" t="n"/>
      <c r="BA62" s="32" t="n"/>
      <c r="BB62" s="32" t="n"/>
      <c r="BC62" s="32" t="n"/>
      <c r="BD62" s="32" t="n"/>
      <c r="BE62" s="32" t="n"/>
      <c r="BF62" s="32" t="n"/>
      <c r="BG62" s="32" t="n"/>
      <c r="BH62" s="32" t="n"/>
      <c r="BI62" s="32" t="n"/>
      <c r="BJ62" s="32" t="n"/>
      <c r="BK62" s="32" t="n"/>
      <c r="BL62" s="32" t="n"/>
      <c r="BM62" s="32" t="n"/>
      <c r="BN62" s="32" t="n"/>
      <c r="BO62" s="32" t="n"/>
      <c r="BP62" s="32" t="n"/>
      <c r="BQ62" s="32" t="n"/>
      <c r="BR62" s="32" t="n"/>
      <c r="BS62" s="32" t="n"/>
      <c r="BT62" s="32" t="n"/>
      <c r="BU62" s="32" t="n"/>
      <c r="BV62" s="32" t="n"/>
      <c r="BW62" s="32" t="n"/>
      <c r="BX62" s="32" t="n"/>
      <c r="BY62" s="32" t="n"/>
      <c r="BZ62" s="32" t="n"/>
      <c r="CA62" s="32" t="n"/>
      <c r="CB62" s="32" t="n"/>
      <c r="CC62" s="32" t="n"/>
      <c r="CD62" s="32" t="n"/>
      <c r="CE62" s="32" t="n"/>
      <c r="CF62" s="32" t="n"/>
      <c r="CG62" s="32" t="n"/>
      <c r="CH62" s="32" t="n"/>
      <c r="CI62" s="32" t="n"/>
      <c r="CJ62" s="32" t="n"/>
      <c r="CK62" s="32" t="n"/>
      <c r="CL62" s="32" t="n"/>
      <c r="CM62" s="32" t="n"/>
      <c r="CN62" s="32" t="n"/>
      <c r="CO62" s="32" t="n"/>
      <c r="CP62" s="32" t="n"/>
      <c r="CQ62" s="32" t="n"/>
      <c r="CR62" s="32" t="n"/>
      <c r="CS62" s="32" t="n"/>
      <c r="CT62" s="32" t="n"/>
      <c r="CU62" s="32" t="n"/>
      <c r="CV62" s="32" t="n"/>
      <c r="CW62" s="32" t="n"/>
      <c r="CX62" s="32" t="n"/>
      <c r="CY62" s="32" t="n"/>
    </row>
    <row r="63" hidden="1" outlineLevel="1"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  <c r="Z63" s="32" t="n"/>
      <c r="AA63" s="32" t="n"/>
      <c r="AB63" s="32" t="n"/>
      <c r="AC63" s="32" t="n"/>
      <c r="AD63" s="32" t="n"/>
      <c r="AE63" s="32" t="n"/>
      <c r="AF63" s="32" t="n"/>
      <c r="AG63" s="32" t="n"/>
      <c r="AH63" s="32" t="n"/>
      <c r="AI63" s="32" t="n"/>
      <c r="AJ63" s="32" t="n"/>
      <c r="AK63" s="32" t="n"/>
      <c r="AL63" s="32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  <c r="AV63" s="32" t="n"/>
      <c r="AW63" s="32" t="n"/>
      <c r="AX63" s="32" t="n"/>
      <c r="AY63" s="32" t="n"/>
      <c r="AZ63" s="32" t="n"/>
      <c r="BA63" s="32" t="n"/>
      <c r="BB63" s="32" t="n"/>
      <c r="BC63" s="32" t="n"/>
      <c r="BD63" s="32" t="n"/>
      <c r="BE63" s="32" t="n"/>
      <c r="BF63" s="32" t="n"/>
      <c r="BG63" s="32" t="n"/>
      <c r="BH63" s="32" t="n"/>
      <c r="BI63" s="32" t="n"/>
      <c r="BJ63" s="32" t="n"/>
      <c r="BK63" s="32" t="n"/>
      <c r="BL63" s="32" t="n"/>
      <c r="BM63" s="32" t="n"/>
      <c r="BN63" s="32" t="n"/>
      <c r="BO63" s="32" t="n"/>
      <c r="BP63" s="32" t="n"/>
      <c r="BQ63" s="32" t="n"/>
      <c r="BR63" s="32" t="n"/>
      <c r="BS63" s="32" t="n"/>
      <c r="BT63" s="32" t="n"/>
      <c r="BU63" s="32" t="n"/>
      <c r="BV63" s="32" t="n"/>
      <c r="BW63" s="32" t="n"/>
      <c r="BX63" s="32" t="n"/>
      <c r="BY63" s="32" t="n"/>
      <c r="BZ63" s="32" t="n"/>
      <c r="CA63" s="32" t="n"/>
      <c r="CB63" s="32" t="n"/>
      <c r="CC63" s="32" t="n"/>
      <c r="CD63" s="32" t="n"/>
      <c r="CE63" s="32" t="n"/>
      <c r="CF63" s="32" t="n"/>
      <c r="CG63" s="32" t="n"/>
      <c r="CH63" s="32" t="n"/>
      <c r="CI63" s="32" t="n"/>
      <c r="CJ63" s="32" t="n"/>
      <c r="CK63" s="32" t="n"/>
      <c r="CL63" s="32" t="n"/>
      <c r="CM63" s="32" t="n"/>
      <c r="CN63" s="32" t="n"/>
      <c r="CO63" s="32" t="n"/>
      <c r="CP63" s="32" t="n"/>
      <c r="CQ63" s="32" t="n"/>
      <c r="CR63" s="32" t="n"/>
      <c r="CS63" s="32" t="n"/>
      <c r="CT63" s="32" t="n"/>
      <c r="CU63" s="32" t="n"/>
      <c r="CV63" s="32" t="n"/>
      <c r="CW63" s="32" t="n"/>
      <c r="CX63" s="32" t="n"/>
      <c r="CY63" s="32" t="n"/>
    </row>
    <row r="64" collapsed="1" customFormat="1" s="17">
      <c r="A64" s="13" t="n"/>
      <c r="B64" s="1" t="n"/>
      <c r="C64" s="14" t="inlineStr">
        <is>
          <t>EBITDA</t>
        </is>
      </c>
      <c r="D64" s="16">
        <f>SUM(D15,D49,D53)</f>
        <v>273.600000000001</v>
      </c>
      <c r="E64" s="16">
        <f>SUM(E15,E49,E53)</f>
        <v>324.4</v>
      </c>
      <c r="F64" s="16">
        <f>SUM(F15,F49,F53)</f>
        <v>358.4</v>
      </c>
      <c r="G64" s="16">
        <f>SUM(G15,G49,G53)</f>
        <v>367.5</v>
      </c>
      <c r="H64" s="16">
        <f>SUM(D64:G64)</f>
        <v>1323.9</v>
      </c>
      <c r="I64" s="16">
        <f>SUM(I15,I49,I53)</f>
        <v>350.3</v>
      </c>
      <c r="J64" s="16">
        <f>SUM(J15,J49,J53)</f>
        <v>369.3</v>
      </c>
      <c r="K64" s="16">
        <f>SUM(K15,K49,K53)</f>
        <v>382.3</v>
      </c>
      <c r="L64" s="16">
        <f>SUM(L15,L49,L53)</f>
        <v>445.7</v>
      </c>
      <c r="M64" s="16">
        <f>SUM(I64:L64)</f>
        <v>1547.6</v>
      </c>
      <c r="N64" s="16">
        <f>SUM(N15,N49,N53)</f>
        <v>435.7</v>
      </c>
      <c r="O64" s="16">
        <f>SUM(O15,O49,O53)</f>
        <v>348.9</v>
      </c>
      <c r="P64" s="16">
        <f>SUM(P15,P49,P53)</f>
        <v>362.899999999999</v>
      </c>
      <c r="Q64" s="16">
        <f>SUM(Q15,Q49,Q53)</f>
        <v>375</v>
      </c>
      <c r="R64" s="16">
        <f>SUM(N64:Q64)</f>
        <v>1522.5</v>
      </c>
      <c r="S64" s="16">
        <f>SUM(S15,S49,S53)</f>
        <v>362.3</v>
      </c>
      <c r="T64" s="16">
        <f>SUM(T15,T49,T53)</f>
        <v>366.300000000001</v>
      </c>
      <c r="U64" s="16">
        <f>SUM(U15,U49,U53)</f>
        <v>411</v>
      </c>
      <c r="V64" s="16">
        <f>SUM(V15,V49,V53)</f>
        <v>387.7</v>
      </c>
      <c r="W64" s="16">
        <f>SUM(S64:V64)</f>
        <v>1527.3</v>
      </c>
      <c r="X64" s="16">
        <f>SUM(X15,X49,X53)</f>
        <v>400.6</v>
      </c>
      <c r="Y64" s="16">
        <f>SUM(Y15,Y49,Y53)</f>
        <v>414.399999999999</v>
      </c>
      <c r="Z64" s="16">
        <f>SUM(Z15,Z49,Z53)</f>
        <v>466.800000000001</v>
      </c>
      <c r="AA64" s="16">
        <f>SUM(AA15,AA49,AA53)</f>
        <v>484.799999999999</v>
      </c>
      <c r="AB64" s="16">
        <f>SUM(X64:AA64)</f>
        <v>1766.6</v>
      </c>
      <c r="AC64" s="16">
        <f>SUM(AC15,AC49,AC53)</f>
        <v>462.799999999999</v>
      </c>
      <c r="AD64" s="16">
        <f>SUM(AD15,AD49,AD53)</f>
        <v>478.5</v>
      </c>
      <c r="AE64" s="16">
        <f>SUM(AE15,AE49,AE53)</f>
        <v>470</v>
      </c>
      <c r="AF64" s="16">
        <f>SUM(AF15,AF49,AF53)</f>
        <v>585.700000000002</v>
      </c>
      <c r="AG64" s="16">
        <f>SUM(AC64:AF64)</f>
        <v>1997</v>
      </c>
      <c r="AH64" s="16">
        <f>SUM(AH15,AH49,AH53)</f>
        <v>509</v>
      </c>
      <c r="AI64" s="16">
        <f>SUM(AI15,AI49,AI53)</f>
        <v>534</v>
      </c>
      <c r="AJ64" s="16">
        <f>SUM(AJ15,AJ49,AJ53)</f>
        <v>0</v>
      </c>
      <c r="AK64" s="16">
        <f>SUM(AK15,AK49,AK53)</f>
        <v>0</v>
      </c>
      <c r="AL64" s="16">
        <f>SUM(AH64:AK64)</f>
        <v>1043</v>
      </c>
      <c r="AM64" s="16">
        <f>SUM(AM15,AM49,AM53)</f>
        <v>0</v>
      </c>
      <c r="AN64" s="16">
        <f>SUM(AN15,AN49,AN53)</f>
        <v>0</v>
      </c>
      <c r="AO64" s="16">
        <f>SUM(AO15,AO49,AO53)</f>
        <v>0</v>
      </c>
      <c r="AP64" s="16">
        <f>SUM(AP15,AP49,AP53)</f>
        <v>0</v>
      </c>
      <c r="AQ64" s="16">
        <f>SUM(AM64:AP64)</f>
        <v>0</v>
      </c>
      <c r="AR64" s="16">
        <f>SUM(AR15,AR49,AR53)</f>
        <v>0</v>
      </c>
      <c r="AS64" s="16">
        <f>SUM(AS15,AS49,AS53)</f>
        <v>0</v>
      </c>
      <c r="AT64" s="16">
        <f>SUM(AT15,AT49,AT53)</f>
        <v>0</v>
      </c>
      <c r="AU64" s="16">
        <f>SUM(AU15,AU49,AU53)</f>
        <v>0</v>
      </c>
      <c r="AV64" s="16">
        <f>SUM(AR64:AU64)</f>
        <v>0</v>
      </c>
      <c r="AW64" s="16">
        <f>SUM(AW15,AW49,AW53)</f>
        <v>0</v>
      </c>
      <c r="AX64" s="16">
        <f>SUM(AX15,AX49,AX53)</f>
        <v>0</v>
      </c>
      <c r="AY64" s="16">
        <f>SUM(AY15,AY49,AY53)</f>
        <v>0</v>
      </c>
      <c r="AZ64" s="16">
        <f>SUM(AZ15,AZ49,AZ53)</f>
        <v>0</v>
      </c>
      <c r="BA64" s="16">
        <f>SUM(AW64:AZ64)</f>
        <v>0</v>
      </c>
      <c r="BB64" s="16">
        <f>SUM(BB15,BB49,BB53)</f>
        <v>0</v>
      </c>
      <c r="BC64" s="16">
        <f>SUM(BC15,BC49,BC53)</f>
        <v>0</v>
      </c>
      <c r="BD64" s="16">
        <f>SUM(BD15,BD49,BD53)</f>
        <v>0</v>
      </c>
      <c r="BE64" s="16">
        <f>SUM(BE15,BE49,BE53)</f>
        <v>0</v>
      </c>
      <c r="BF64" s="16">
        <f>SUM(BB64:BE64)</f>
        <v>0</v>
      </c>
      <c r="BG64" s="16">
        <f>SUM(BG15,BG49,BG53)</f>
        <v>0</v>
      </c>
      <c r="BH64" s="16">
        <f>SUM(BH15,BH49,BH53)</f>
        <v>0</v>
      </c>
      <c r="BI64" s="16">
        <f>SUM(BI15,BI49,BI53)</f>
        <v>0</v>
      </c>
      <c r="BJ64" s="16">
        <f>SUM(BJ15,BJ49,BJ53)</f>
        <v>0</v>
      </c>
      <c r="BK64" s="16">
        <f>SUM(BG64:BJ64)</f>
        <v>0</v>
      </c>
      <c r="BL64" s="16">
        <f>SUM(BL15,BL49,BL53)</f>
        <v>0</v>
      </c>
      <c r="BM64" s="16">
        <f>SUM(BM15,BM49,BM53)</f>
        <v>0</v>
      </c>
      <c r="BN64" s="16">
        <f>SUM(BN15,BN49,BN53)</f>
        <v>0</v>
      </c>
      <c r="BO64" s="16">
        <f>SUM(BO15,BO49,BO53)</f>
        <v>0</v>
      </c>
      <c r="BP64" s="16">
        <f>SUM(BL64:BO64)</f>
        <v>0</v>
      </c>
      <c r="BQ64" s="16">
        <f>SUM(BQ15,BQ49,BQ53)</f>
        <v>0</v>
      </c>
      <c r="BR64" s="16">
        <f>SUM(BR15,BR49,BR53)</f>
        <v>0</v>
      </c>
      <c r="BS64" s="16">
        <f>SUM(BS15,BS49,BS53)</f>
        <v>0</v>
      </c>
      <c r="BT64" s="16">
        <f>SUM(BT15,BT49,BT53)</f>
        <v>0</v>
      </c>
      <c r="BU64" s="16">
        <f>SUM(BQ64:BT64)</f>
        <v>0</v>
      </c>
      <c r="BV64" s="16">
        <f>SUM(BV15,BV49,BV53)</f>
        <v>0</v>
      </c>
      <c r="BW64" s="16">
        <f>SUM(BW15,BW49,BW53)</f>
        <v>0</v>
      </c>
      <c r="BX64" s="16">
        <f>SUM(BX15,BX49,BX53)</f>
        <v>0</v>
      </c>
      <c r="BY64" s="16">
        <f>SUM(BY15,BY49,BY53)</f>
        <v>0</v>
      </c>
      <c r="BZ64" s="16">
        <f>SUM(BV64:BY64)</f>
        <v>0</v>
      </c>
      <c r="CA64" s="16">
        <f>SUM(CA15,CA49,CA53)</f>
        <v>0</v>
      </c>
      <c r="CB64" s="16">
        <f>SUM(CB15,CB49,CB53)</f>
        <v>0</v>
      </c>
      <c r="CC64" s="16">
        <f>SUM(CC15,CC49,CC53)</f>
        <v>0</v>
      </c>
      <c r="CD64" s="16">
        <f>SUM(CD15,CD49,CD53)</f>
        <v>0</v>
      </c>
      <c r="CE64" s="16">
        <f>SUM(CA64:CD64)</f>
        <v>0</v>
      </c>
      <c r="CF64" s="16">
        <f>SUM(CF15,CF49,CF53)</f>
        <v>0</v>
      </c>
      <c r="CG64" s="16">
        <f>SUM(CG15,CG49,CG53)</f>
        <v>0</v>
      </c>
      <c r="CH64" s="16">
        <f>SUM(CH15,CH49,CH53)</f>
        <v>0</v>
      </c>
      <c r="CI64" s="16">
        <f>SUM(CI15,CI49,CI53)</f>
        <v>0</v>
      </c>
      <c r="CJ64" s="16">
        <f>SUM(CF64:CI64)</f>
        <v>0</v>
      </c>
      <c r="CK64" s="16">
        <f>SUM(CK15,CK49,CK53)</f>
        <v>0</v>
      </c>
      <c r="CL64" s="16">
        <f>SUM(CL15,CL49,CL53)</f>
        <v>0</v>
      </c>
      <c r="CM64" s="16">
        <f>SUM(CM15,CM49,CM53)</f>
        <v>0</v>
      </c>
      <c r="CN64" s="16">
        <f>SUM(CN15,CN49,CN53)</f>
        <v>0</v>
      </c>
      <c r="CO64" s="16">
        <f>SUM(CK64:CN64)</f>
        <v>0</v>
      </c>
      <c r="CP64" s="16">
        <f>SUM(CP15,CP49,CP53)</f>
        <v>0</v>
      </c>
      <c r="CQ64" s="16">
        <f>SUM(CQ15,CQ49,CQ53)</f>
        <v>0</v>
      </c>
      <c r="CR64" s="16">
        <f>SUM(CR15,CR49,CR53)</f>
        <v>0</v>
      </c>
      <c r="CS64" s="16">
        <f>SUM(CS15,CS49,CS53)</f>
        <v>0</v>
      </c>
      <c r="CT64" s="16">
        <f>SUM(CP64:CS64)</f>
        <v>0</v>
      </c>
      <c r="CU64" s="16">
        <f>SUM(CU15,CU49,CU53)</f>
        <v>0</v>
      </c>
      <c r="CV64" s="16">
        <f>SUM(CV15,CV49,CV53)</f>
        <v>0</v>
      </c>
      <c r="CW64" s="16">
        <f>SUM(CW15,CW49,CW53)</f>
        <v>0</v>
      </c>
      <c r="CX64" s="16">
        <f>SUM(CX15,CX49,CX53)</f>
        <v>0</v>
      </c>
      <c r="CY64" s="16">
        <f>SUM(CU64:CX64)</f>
        <v>0</v>
      </c>
    </row>
    <row r="65" ht="13.5" customHeight="1">
      <c r="C65" s="24" t="inlineStr">
        <is>
          <t>D&amp;A</t>
        </is>
      </c>
      <c r="D65" s="25">
        <f>INDEX('Inputs (2)'!$D$7:$AL$7,MATCH(D$7,'Inputs (2)'!$D$2:$AL$2,0))</f>
        <v>-273.6</v>
      </c>
      <c r="E65" s="25">
        <f>INDEX('Inputs (2)'!$D$7:$AL$7,MATCH(E$7,'Inputs (2)'!$D$2:$AL$2,0))</f>
        <v>-324.4</v>
      </c>
      <c r="F65" s="25">
        <f>INDEX('Inputs (2)'!$D$7:$AL$7,MATCH(F$7,'Inputs (2)'!$D$2:$AL$2,0))</f>
        <v>-358.4</v>
      </c>
      <c r="G65" s="25">
        <f>INDEX('Inputs (2)'!$D$7:$AL$7,MATCH(G$7,'Inputs (2)'!$D$2:$AL$2,0))</f>
        <v>-367.5</v>
      </c>
      <c r="H65" s="3">
        <f>SUM(D65:G65)</f>
        <v>-1323.9</v>
      </c>
      <c r="I65" s="25">
        <f>INDEX('Inputs (2)'!$D$7:$AL$7,MATCH(I$7,'Inputs (2)'!$D$2:$AL$2,0))</f>
        <v>-350.3</v>
      </c>
      <c r="J65" s="25">
        <f>INDEX('Inputs (2)'!$D$7:$AL$7,MATCH(J$7,'Inputs (2)'!$D$2:$AL$2,0))</f>
        <v>-369.3</v>
      </c>
      <c r="K65" s="25">
        <f>INDEX('Inputs (2)'!$D$7:$AL$7,MATCH(K$7,'Inputs (2)'!$D$2:$AL$2,0))</f>
        <v>-382.3</v>
      </c>
      <c r="L65" s="25">
        <f>INDEX('Inputs (2)'!$D$7:$AL$7,MATCH(L$7,'Inputs (2)'!$D$2:$AL$2,0))</f>
        <v>-445.7</v>
      </c>
      <c r="M65" s="3">
        <f>SUM(I65:L65)</f>
        <v>-1547.6</v>
      </c>
      <c r="N65" s="25">
        <f>INDEX('Inputs (2)'!$D$7:$AL$7,MATCH(N$7,'Inputs (2)'!$D$2:$AL$2,0))</f>
        <v>-435.7</v>
      </c>
      <c r="O65" s="25">
        <f>INDEX('Inputs (2)'!$D$7:$AL$7,MATCH(O$7,'Inputs (2)'!$D$2:$AL$2,0))</f>
        <v>-348.9</v>
      </c>
      <c r="P65" s="25">
        <f>INDEX('Inputs (2)'!$D$7:$AL$7,MATCH(P$7,'Inputs (2)'!$D$2:$AL$2,0))</f>
        <v>-362.9</v>
      </c>
      <c r="Q65" s="25">
        <f>INDEX('Inputs (2)'!$D$7:$AL$7,MATCH(Q$7,'Inputs (2)'!$D$2:$AL$2,0))</f>
        <v>-375</v>
      </c>
      <c r="R65" s="3">
        <f>SUM(N65:Q65)</f>
        <v>-1522.5</v>
      </c>
      <c r="S65" s="25">
        <f>INDEX('Inputs (2)'!$D$7:$AL$7,MATCH(S$7,'Inputs (2)'!$D$2:$AL$2,0))</f>
        <v>-362.3</v>
      </c>
      <c r="T65" s="25">
        <f>INDEX('Inputs (2)'!$D$7:$AL$7,MATCH(T$7,'Inputs (2)'!$D$2:$AL$2,0))</f>
        <v>-366.3</v>
      </c>
      <c r="U65" s="25">
        <f>INDEX('Inputs (2)'!$D$7:$AL$7,MATCH(U$7,'Inputs (2)'!$D$2:$AL$2,0))</f>
        <v>-411</v>
      </c>
      <c r="V65" s="25">
        <f>INDEX('Inputs (2)'!$D$7:$AL$7,MATCH(V$7,'Inputs (2)'!$D$2:$AL$2,0))</f>
        <v>-387.7</v>
      </c>
      <c r="W65" s="3">
        <f>SUM(S65:V65)</f>
        <v>-1527.3</v>
      </c>
      <c r="X65" s="25">
        <f>INDEX('Inputs (2)'!$D$7:$AL$7,MATCH(X$7,'Inputs (2)'!$D$2:$AL$2,0))</f>
        <v>-400.6</v>
      </c>
      <c r="Y65" s="25">
        <f>INDEX('Inputs (2)'!$D$7:$AL$7,MATCH(Y$7,'Inputs (2)'!$D$2:$AL$2,0))</f>
        <v>-414.4</v>
      </c>
      <c r="Z65" s="25">
        <f>INDEX('Inputs (2)'!$D$7:$AL$7,MATCH(Z$7,'Inputs (2)'!$D$2:$AL$2,0))</f>
        <v>-466.8</v>
      </c>
      <c r="AA65" s="25">
        <f>INDEX('Inputs (2)'!$D$7:$AL$7,MATCH(AA$7,'Inputs (2)'!$D$2:$AL$2,0))</f>
        <v>-484.8</v>
      </c>
      <c r="AB65" s="3">
        <f>SUM(X65:AA65)</f>
        <v>-1766.6</v>
      </c>
      <c r="AC65" s="25">
        <f>INDEX('Inputs (2)'!$D$7:$AL$7,MATCH(AC$7,'Inputs (2)'!$D$2:$AL$2,0))</f>
        <v>-462.8</v>
      </c>
      <c r="AD65" s="25">
        <f>INDEX('Inputs (2)'!$D$7:$AL$7,MATCH(AD$7,'Inputs (2)'!$D$2:$AL$2,0))</f>
        <v>-478.5</v>
      </c>
      <c r="AE65" s="25">
        <f>INDEX('Inputs (2)'!$D$7:$AL$7,MATCH(AE$7,'Inputs (2)'!$D$2:$AL$2,0))</f>
        <v>-470</v>
      </c>
      <c r="AF65" s="25">
        <f>INDEX('Inputs (2)'!$D$7:$AL$7,MATCH(AF$7,'Inputs (2)'!$D$2:$AL$2,0))</f>
        <v>-585.7</v>
      </c>
      <c r="AG65" s="3">
        <f>SUM(AC65:AF65)</f>
        <v>-1997</v>
      </c>
      <c r="AH65" s="3">
        <f>INDEX('Inputs (2)'!$D$7:$AL$7,MATCH(AH$7,'Inputs (2)'!$D$2:$AL$2,0))</f>
        <v>-509</v>
      </c>
      <c r="AI65" s="3">
        <f>INDEX('Inputs (2)'!$D$7:$AL$7,MATCH(AI$7,'Inputs (2)'!$D$2:$AL$2,0))</f>
        <v>-534</v>
      </c>
      <c r="AJ65" s="3">
        <f>-AJ66*AJ15</f>
        <v>0</v>
      </c>
      <c r="AK65" s="3">
        <f>-AK66*AK15</f>
        <v>0</v>
      </c>
      <c r="AL65" s="3">
        <f>SUM(AH65:AK65)</f>
        <v>-1043</v>
      </c>
      <c r="AM65" s="3">
        <f>-AM66*AM15</f>
        <v>0</v>
      </c>
      <c r="AN65" s="3">
        <f>-AN66*AN15</f>
        <v>0</v>
      </c>
      <c r="AO65" s="3">
        <f>-AO66*AO15</f>
        <v>0</v>
      </c>
      <c r="AP65" s="3">
        <f>-AP66*AP15</f>
        <v>0</v>
      </c>
      <c r="AQ65" s="3">
        <f>SUM(AM65:AP65)</f>
        <v>0</v>
      </c>
      <c r="AR65" s="3">
        <f>-AR66*AR15</f>
        <v>0</v>
      </c>
      <c r="AS65" s="3">
        <f>-AS66*AS15</f>
        <v>0</v>
      </c>
      <c r="AT65" s="3">
        <f>-AT66*AT15</f>
        <v>0</v>
      </c>
      <c r="AU65" s="3">
        <f>-AU66*AU15</f>
        <v>0</v>
      </c>
      <c r="AV65" s="3">
        <f>SUM(AR65:AU65)</f>
        <v>0</v>
      </c>
      <c r="AW65" s="3">
        <f>-AW66*AW15</f>
        <v>0</v>
      </c>
      <c r="AX65" s="3">
        <f>-AX66*AX15</f>
        <v>0</v>
      </c>
      <c r="AY65" s="3">
        <f>-AY66*AY15</f>
        <v>0</v>
      </c>
      <c r="AZ65" s="3">
        <f>-AZ66*AZ15</f>
        <v>0</v>
      </c>
      <c r="BA65" s="3">
        <f>SUM(AW65:AZ65)</f>
        <v>0</v>
      </c>
      <c r="BB65" s="3">
        <f>-BB66*BB15</f>
        <v>0</v>
      </c>
      <c r="BC65" s="3">
        <f>-BC66*BC15</f>
        <v>0</v>
      </c>
      <c r="BD65" s="3">
        <f>-BD66*BD15</f>
        <v>0</v>
      </c>
      <c r="BE65" s="3">
        <f>-BE66*BE15</f>
        <v>0</v>
      </c>
      <c r="BF65" s="3">
        <f>SUM(BB65:BE65)</f>
        <v>0</v>
      </c>
      <c r="BG65" s="3">
        <f>-BG66*BG15</f>
        <v>0</v>
      </c>
      <c r="BH65" s="3">
        <f>-BH66*BH15</f>
        <v>0</v>
      </c>
      <c r="BI65" s="3">
        <f>-BI66*BI15</f>
        <v>0</v>
      </c>
      <c r="BJ65" s="3">
        <f>-BJ66*BJ15</f>
        <v>0</v>
      </c>
      <c r="BK65" s="3">
        <f>SUM(BG65:BJ65)</f>
        <v>0</v>
      </c>
      <c r="BL65" s="3">
        <f>-BL66*BL15</f>
        <v>0</v>
      </c>
      <c r="BM65" s="3">
        <f>-BM66*BM15</f>
        <v>0</v>
      </c>
      <c r="BN65" s="3">
        <f>-BN66*BN15</f>
        <v>0</v>
      </c>
      <c r="BO65" s="3">
        <f>-BO66*BO15</f>
        <v>0</v>
      </c>
      <c r="BP65" s="3">
        <f>SUM(BL65:BO65)</f>
        <v>0</v>
      </c>
      <c r="BQ65" s="3">
        <f>-BQ66*BQ15</f>
        <v>0</v>
      </c>
      <c r="BR65" s="3">
        <f>-BR66*BR15</f>
        <v>0</v>
      </c>
      <c r="BS65" s="3">
        <f>-BS66*BS15</f>
        <v>0</v>
      </c>
      <c r="BT65" s="3">
        <f>-BT66*BT15</f>
        <v>0</v>
      </c>
      <c r="BU65" s="3">
        <f>SUM(BQ65:BT65)</f>
        <v>0</v>
      </c>
      <c r="BV65" s="3">
        <f>-BV66*BV15</f>
        <v>0</v>
      </c>
      <c r="BW65" s="3">
        <f>-BW66*BW15</f>
        <v>0</v>
      </c>
      <c r="BX65" s="3">
        <f>-BX66*BX15</f>
        <v>0</v>
      </c>
      <c r="BY65" s="3">
        <f>-BY66*BY15</f>
        <v>0</v>
      </c>
      <c r="BZ65" s="3">
        <f>SUM(BV65:BY65)</f>
        <v>0</v>
      </c>
      <c r="CA65" s="3">
        <f>-CA66*CA15</f>
        <v>0</v>
      </c>
      <c r="CB65" s="3">
        <f>-CB66*CB15</f>
        <v>0</v>
      </c>
      <c r="CC65" s="3">
        <f>-CC66*CC15</f>
        <v>0</v>
      </c>
      <c r="CD65" s="3">
        <f>-CD66*CD15</f>
        <v>0</v>
      </c>
      <c r="CE65" s="3">
        <f>SUM(CA65:CD65)</f>
        <v>0</v>
      </c>
      <c r="CF65" s="3">
        <f>-CF66*CF15</f>
        <v>0</v>
      </c>
      <c r="CG65" s="3">
        <f>-CG66*CG15</f>
        <v>0</v>
      </c>
      <c r="CH65" s="3">
        <f>-CH66*CH15</f>
        <v>0</v>
      </c>
      <c r="CI65" s="3">
        <f>-CI66*CI15</f>
        <v>0</v>
      </c>
      <c r="CJ65" s="3">
        <f>SUM(CF65:CI65)</f>
        <v>0</v>
      </c>
      <c r="CK65" s="3">
        <f>-CK66*CK15</f>
        <v>0</v>
      </c>
      <c r="CL65" s="3">
        <f>-CL66*CL15</f>
        <v>0</v>
      </c>
      <c r="CM65" s="3">
        <f>-CM66*CM15</f>
        <v>0</v>
      </c>
      <c r="CN65" s="3">
        <f>-CN66*CN15</f>
        <v>0</v>
      </c>
      <c r="CO65" s="3">
        <f>SUM(CK65:CN65)</f>
        <v>0</v>
      </c>
      <c r="CP65" s="3">
        <f>-CP66*CP15</f>
        <v>0</v>
      </c>
      <c r="CQ65" s="3">
        <f>-CQ66*CQ15</f>
        <v>0</v>
      </c>
      <c r="CR65" s="3">
        <f>-CR66*CR15</f>
        <v>0</v>
      </c>
      <c r="CS65" s="3">
        <f>-CS66*CS15</f>
        <v>0</v>
      </c>
      <c r="CT65" s="3">
        <f>SUM(CP65:CS65)</f>
        <v>0</v>
      </c>
      <c r="CU65" s="3">
        <f>-CU66*CU15</f>
        <v>0</v>
      </c>
      <c r="CV65" s="3">
        <f>-CV66*CV15</f>
        <v>0</v>
      </c>
      <c r="CW65" s="3">
        <f>-CW66*CW15</f>
        <v>0</v>
      </c>
      <c r="CX65" s="3">
        <f>-CX66*CX15</f>
        <v>0</v>
      </c>
      <c r="CY65" s="3">
        <f>SUM(CU65:CX65)</f>
        <v>0</v>
      </c>
    </row>
    <row r="66" hidden="1" outlineLevel="1" customFormat="1" s="247">
      <c r="A66" s="48" t="n"/>
      <c r="B66" s="48" t="n"/>
      <c r="C66" s="246" t="inlineStr">
        <is>
          <t>% of Revenue</t>
        </is>
      </c>
      <c r="D66" s="48">
        <f>-D65/D15</f>
        <v>0.0466910133451654</v>
      </c>
      <c r="E66" s="48">
        <f>-E65/E15</f>
        <v>0.0589882532639924</v>
      </c>
      <c r="F66" s="48">
        <f>-F65/F15</f>
        <v>0.0624324983451207</v>
      </c>
      <c r="G66" s="48">
        <f>-G65/G15</f>
        <v>0.0493951612903226</v>
      </c>
      <c r="H66" s="48" t="n"/>
      <c r="I66" s="48">
        <f>-I65/I15</f>
        <v>0.0514723169154814</v>
      </c>
      <c r="J66" s="48">
        <f>-J65/J15</f>
        <v>0.0547914719366182</v>
      </c>
      <c r="K66" s="48">
        <f>-K65/K15</f>
        <v>0.056446373730215</v>
      </c>
      <c r="L66" s="48">
        <f>-L65/L15</f>
        <v>0.0557131964149552</v>
      </c>
      <c r="M66" s="48" t="n"/>
      <c r="N66" s="48">
        <f>-N65/N15</f>
        <v>0.0557874519846351</v>
      </c>
      <c r="O66" s="48">
        <f>-O65/O15</f>
        <v>0.0537762022194821</v>
      </c>
      <c r="P66" s="48">
        <f>-P65/P15</f>
        <v>0.052279013483923</v>
      </c>
      <c r="Q66" s="48">
        <f>-Q65/Q15</f>
        <v>0.0513571995946205</v>
      </c>
      <c r="R66" s="48" t="n"/>
      <c r="S66" s="48">
        <f>-S65/S15</f>
        <v>0.0520545977011494</v>
      </c>
      <c r="T66" s="48">
        <f>-T65/T15</f>
        <v>0.0440682859927094</v>
      </c>
      <c r="U66" s="48">
        <f>-U65/U15</f>
        <v>0.0432695344577096</v>
      </c>
      <c r="V66" s="48">
        <f>-V65/V15</f>
        <v>0.0414501678534009</v>
      </c>
      <c r="W66" s="48" t="n"/>
      <c r="X66" s="48">
        <f>-X65/X15</f>
        <v>0.0456888686131387</v>
      </c>
      <c r="Y66" s="48">
        <f>-Y65/Y15</f>
        <v>0.036663481615175</v>
      </c>
      <c r="Z66" s="48">
        <f>-Z65/Z15</f>
        <v>0.0408074061770594</v>
      </c>
      <c r="AA66" s="48">
        <f>-AA65/AA15</f>
        <v>0.0358240718846063</v>
      </c>
      <c r="AB66" s="48" t="n"/>
      <c r="AC66" s="48">
        <f>-AC65/AC15</f>
        <v>0.036357922853327</v>
      </c>
      <c r="AD66" s="48">
        <f>-AD65/AD15</f>
        <v>0.0307558812186656</v>
      </c>
      <c r="AE66" s="48">
        <f>-AE65/AE15</f>
        <v>0.0267033316667424</v>
      </c>
      <c r="AF66" s="218">
        <f>-AF65/AF15</f>
        <v>0.0303597346050176</v>
      </c>
      <c r="AG66" s="48" t="n"/>
      <c r="AH66" s="218">
        <f>-AH65/AH15</f>
        <v>0.025708369109551</v>
      </c>
      <c r="AI66" s="218">
        <f>-AI65/AI15</f>
        <v>0.0232436667537216</v>
      </c>
      <c r="AJ66" s="218" t="n"/>
      <c r="AK66" s="218" t="n"/>
      <c r="AL66" s="48" t="n"/>
      <c r="AM66" s="218" t="n"/>
      <c r="AN66" s="218" t="n"/>
      <c r="AO66" s="218" t="n"/>
      <c r="AP66" s="218" t="n"/>
      <c r="AQ66" s="48" t="n"/>
      <c r="AR66" s="218" t="n"/>
      <c r="AS66" s="218" t="n"/>
      <c r="AT66" s="218" t="n"/>
      <c r="AU66" s="218" t="n"/>
      <c r="AV66" s="48" t="n"/>
      <c r="AW66" s="218" t="n"/>
      <c r="AX66" s="218" t="n"/>
      <c r="AY66" s="218" t="n"/>
      <c r="AZ66" s="218" t="n"/>
      <c r="BA66" s="48" t="n"/>
      <c r="BB66" s="218" t="n"/>
      <c r="BC66" s="218" t="n"/>
      <c r="BD66" s="218" t="n"/>
      <c r="BE66" s="218" t="n"/>
      <c r="BF66" s="48" t="n"/>
      <c r="BG66" s="218" t="n"/>
      <c r="BH66" s="218" t="n"/>
      <c r="BI66" s="218" t="n"/>
      <c r="BJ66" s="218" t="n"/>
      <c r="BK66" s="48" t="n"/>
      <c r="BL66" s="218" t="n"/>
      <c r="BM66" s="218" t="n"/>
      <c r="BN66" s="218" t="n"/>
      <c r="BO66" s="218" t="n"/>
      <c r="BP66" s="48" t="n"/>
      <c r="BQ66" s="218" t="n"/>
      <c r="BR66" s="218" t="n"/>
      <c r="BS66" s="218" t="n"/>
      <c r="BT66" s="218" t="n"/>
      <c r="BU66" s="48" t="n"/>
      <c r="BV66" s="218" t="n"/>
      <c r="BW66" s="218" t="n"/>
      <c r="BX66" s="218" t="n"/>
      <c r="BY66" s="218" t="n"/>
      <c r="BZ66" s="48" t="n"/>
      <c r="CA66" s="218" t="n"/>
      <c r="CB66" s="218" t="n"/>
      <c r="CC66" s="218" t="n"/>
      <c r="CD66" s="218" t="n"/>
      <c r="CE66" s="48" t="n"/>
      <c r="CF66" s="218" t="n"/>
      <c r="CG66" s="218" t="n"/>
      <c r="CH66" s="218" t="n"/>
      <c r="CI66" s="218" t="n"/>
      <c r="CJ66" s="48" t="n"/>
      <c r="CK66" s="218" t="n"/>
      <c r="CL66" s="218" t="n"/>
      <c r="CM66" s="218" t="n"/>
      <c r="CN66" s="218" t="n"/>
      <c r="CO66" s="48" t="n"/>
      <c r="CP66" s="218" t="n"/>
      <c r="CQ66" s="218" t="n"/>
      <c r="CR66" s="218" t="n"/>
      <c r="CS66" s="218" t="n"/>
      <c r="CT66" s="48" t="n"/>
      <c r="CU66" s="218" t="n"/>
      <c r="CV66" s="218" t="n"/>
      <c r="CW66" s="218" t="n"/>
      <c r="CX66" s="218" t="n"/>
      <c r="CY66" s="48" t="n"/>
    </row>
    <row r="67" hidden="1" outlineLevel="1">
      <c r="C67" s="32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  <c r="CD67" s="3" t="n"/>
      <c r="CE67" s="3" t="n"/>
      <c r="CF67" s="3" t="n"/>
      <c r="CG67" s="3" t="n"/>
      <c r="CH67" s="3" t="n"/>
      <c r="CI67" s="3" t="n"/>
      <c r="CJ67" s="3" t="n"/>
      <c r="CK67" s="3" t="n"/>
      <c r="CL67" s="3" t="n"/>
      <c r="CM67" s="3" t="n"/>
      <c r="CN67" s="3" t="n"/>
      <c r="CO67" s="3" t="n"/>
      <c r="CP67" s="3" t="n"/>
      <c r="CQ67" s="3" t="n"/>
      <c r="CR67" s="3" t="n"/>
      <c r="CS67" s="3" t="n"/>
      <c r="CT67" s="3" t="n"/>
      <c r="CU67" s="3" t="n"/>
      <c r="CV67" s="3" t="n"/>
      <c r="CW67" s="3" t="n"/>
      <c r="CX67" s="3" t="n"/>
      <c r="CY67" s="3" t="n"/>
    </row>
    <row r="68" collapsed="1" customFormat="1" s="17">
      <c r="A68" s="13" t="n"/>
      <c r="B68" s="1" t="n"/>
      <c r="C68" s="14" t="inlineStr">
        <is>
          <t>Operating Profit - EBIT</t>
        </is>
      </c>
      <c r="D68" s="16">
        <f>SUM(D64,D65)</f>
        <v>0</v>
      </c>
      <c r="E68" s="16">
        <f>SUM(E64,E65)</f>
        <v>0</v>
      </c>
      <c r="F68" s="16">
        <f>SUM(F64,F65)</f>
        <v>0</v>
      </c>
      <c r="G68" s="16">
        <f>SUM(G64,G65)</f>
        <v>0</v>
      </c>
      <c r="H68" s="16">
        <f>SUM(D68:G68)</f>
        <v>0</v>
      </c>
      <c r="I68" s="16">
        <f>SUM(I64,I65)</f>
        <v>0</v>
      </c>
      <c r="J68" s="16">
        <f>SUM(J64,J65)</f>
        <v>0</v>
      </c>
      <c r="K68" s="16">
        <f>SUM(K64,K65)</f>
        <v>0</v>
      </c>
      <c r="L68" s="16">
        <f>SUM(L64,L65)</f>
        <v>0</v>
      </c>
      <c r="M68" s="16">
        <f>SUM(I68:L68)</f>
        <v>0</v>
      </c>
      <c r="N68" s="16">
        <f>SUM(N64,N65)</f>
        <v>0</v>
      </c>
      <c r="O68" s="16">
        <f>SUM(O64,O65)</f>
        <v>0</v>
      </c>
      <c r="P68" s="16">
        <f>SUM(P64,P65)</f>
        <v>0</v>
      </c>
      <c r="Q68" s="16">
        <f>SUM(Q64,Q65)</f>
        <v>0</v>
      </c>
      <c r="R68" s="16">
        <f>SUM(N68:Q68)</f>
        <v>0</v>
      </c>
      <c r="S68" s="16">
        <f>SUM(S64,S65)</f>
        <v>0</v>
      </c>
      <c r="T68" s="16">
        <f>SUM(T64,T65)</f>
        <v>0</v>
      </c>
      <c r="U68" s="16">
        <f>SUM(U64,U65)</f>
        <v>0</v>
      </c>
      <c r="V68" s="16">
        <f>SUM(V64,V65)</f>
        <v>0</v>
      </c>
      <c r="W68" s="16">
        <f>SUM(S68:V68)</f>
        <v>0</v>
      </c>
      <c r="X68" s="16">
        <f>SUM(X64,X65)</f>
        <v>0</v>
      </c>
      <c r="Y68" s="16">
        <f>SUM(Y64,Y65)</f>
        <v>0</v>
      </c>
      <c r="Z68" s="16">
        <f>SUM(Z64,Z65)</f>
        <v>0</v>
      </c>
      <c r="AA68" s="16">
        <f>SUM(AA64,AA65)</f>
        <v>0</v>
      </c>
      <c r="AB68" s="16">
        <f>SUM(X68:AA68)</f>
        <v>0</v>
      </c>
      <c r="AC68" s="16">
        <f>SUM(AC64,AC65)</f>
        <v>0</v>
      </c>
      <c r="AD68" s="16">
        <f>SUM(AD64,AD65)</f>
        <v>0</v>
      </c>
      <c r="AE68" s="16">
        <f>SUM(AE64,AE65)</f>
        <v>0</v>
      </c>
      <c r="AF68" s="16">
        <f>SUM(AF64,AF65)</f>
        <v>0</v>
      </c>
      <c r="AG68" s="16">
        <f>SUM(AC68:AF68)</f>
        <v>0</v>
      </c>
      <c r="AH68" s="16">
        <f>SUM(AH64,AH65)</f>
        <v>0</v>
      </c>
      <c r="AI68" s="16">
        <f>SUM(AI64,AI65)</f>
        <v>0</v>
      </c>
      <c r="AJ68" s="16">
        <f>SUM(AJ64,AJ65)</f>
        <v>0</v>
      </c>
      <c r="AK68" s="16">
        <f>SUM(AK64,AK65)</f>
        <v>0</v>
      </c>
      <c r="AL68" s="16">
        <f>SUM(AL64,AL65)</f>
        <v>0</v>
      </c>
      <c r="AM68" s="16">
        <f>SUM(AM64,AM65)</f>
        <v>0</v>
      </c>
      <c r="AN68" s="16">
        <f>SUM(AN64,AN65)</f>
        <v>0</v>
      </c>
      <c r="AO68" s="16">
        <f>SUM(AO64,AO65)</f>
        <v>0</v>
      </c>
      <c r="AP68" s="16">
        <f>SUM(AP64,AP65)</f>
        <v>0</v>
      </c>
      <c r="AQ68" s="16">
        <f>SUM(AQ64,AQ65)</f>
        <v>0</v>
      </c>
      <c r="AR68" s="16">
        <f>SUM(AR64,AR65)</f>
        <v>0</v>
      </c>
      <c r="AS68" s="16">
        <f>SUM(AS64,AS65)</f>
        <v>0</v>
      </c>
      <c r="AT68" s="16">
        <f>SUM(AT64,AT65)</f>
        <v>0</v>
      </c>
      <c r="AU68" s="16">
        <f>SUM(AU64,AU65)</f>
        <v>0</v>
      </c>
      <c r="AV68" s="16">
        <f>SUM(AV64,AV65)</f>
        <v>0</v>
      </c>
      <c r="AW68" s="16">
        <f>SUM(AW64,AW65)</f>
        <v>0</v>
      </c>
      <c r="AX68" s="16">
        <f>SUM(AX64,AX65)</f>
        <v>0</v>
      </c>
      <c r="AY68" s="16">
        <f>SUM(AY64,AY65)</f>
        <v>0</v>
      </c>
      <c r="AZ68" s="16">
        <f>SUM(AZ64,AZ65)</f>
        <v>0</v>
      </c>
      <c r="BA68" s="16">
        <f>SUM(BA64,BA65)</f>
        <v>0</v>
      </c>
      <c r="BB68" s="16">
        <f>SUM(BB64,BB65)</f>
        <v>0</v>
      </c>
      <c r="BC68" s="16">
        <f>SUM(BC64,BC65)</f>
        <v>0</v>
      </c>
      <c r="BD68" s="16">
        <f>SUM(BD64,BD65)</f>
        <v>0</v>
      </c>
      <c r="BE68" s="16">
        <f>SUM(BE64,BE65)</f>
        <v>0</v>
      </c>
      <c r="BF68" s="16">
        <f>SUM(BF64,BF65)</f>
        <v>0</v>
      </c>
      <c r="BG68" s="16">
        <f>SUM(BG64,BG65)</f>
        <v>0</v>
      </c>
      <c r="BH68" s="16">
        <f>SUM(BH64,BH65)</f>
        <v>0</v>
      </c>
      <c r="BI68" s="16">
        <f>SUM(BI64,BI65)</f>
        <v>0</v>
      </c>
      <c r="BJ68" s="16">
        <f>SUM(BJ64,BJ65)</f>
        <v>0</v>
      </c>
      <c r="BK68" s="16">
        <f>SUM(BK64,BK65)</f>
        <v>0</v>
      </c>
      <c r="BL68" s="16">
        <f>SUM(BL64,BL65)</f>
        <v>0</v>
      </c>
      <c r="BM68" s="16">
        <f>SUM(BM64,BM65)</f>
        <v>0</v>
      </c>
      <c r="BN68" s="16">
        <f>SUM(BN64,BN65)</f>
        <v>0</v>
      </c>
      <c r="BO68" s="16">
        <f>SUM(BO64,BO65)</f>
        <v>0</v>
      </c>
      <c r="BP68" s="16">
        <f>SUM(BP64,BP65)</f>
        <v>0</v>
      </c>
      <c r="BQ68" s="16">
        <f>SUM(BQ64,BQ65)</f>
        <v>0</v>
      </c>
      <c r="BR68" s="16">
        <f>SUM(BR64,BR65)</f>
        <v>0</v>
      </c>
      <c r="BS68" s="16">
        <f>SUM(BS64,BS65)</f>
        <v>0</v>
      </c>
      <c r="BT68" s="16">
        <f>SUM(BT64,BT65)</f>
        <v>0</v>
      </c>
      <c r="BU68" s="16">
        <f>SUM(BU64,BU65)</f>
        <v>0</v>
      </c>
      <c r="BV68" s="16">
        <f>SUM(BV64,BV65)</f>
        <v>0</v>
      </c>
      <c r="BW68" s="16">
        <f>SUM(BW64,BW65)</f>
        <v>0</v>
      </c>
      <c r="BX68" s="16">
        <f>SUM(BX64,BX65)</f>
        <v>0</v>
      </c>
      <c r="BY68" s="16">
        <f>SUM(BY64,BY65)</f>
        <v>0</v>
      </c>
      <c r="BZ68" s="16">
        <f>SUM(BZ64,BZ65)</f>
        <v>0</v>
      </c>
      <c r="CA68" s="16">
        <f>SUM(CA64,CA65)</f>
        <v>0</v>
      </c>
      <c r="CB68" s="16">
        <f>SUM(CB64,CB65)</f>
        <v>0</v>
      </c>
      <c r="CC68" s="16">
        <f>SUM(CC64,CC65)</f>
        <v>0</v>
      </c>
      <c r="CD68" s="16">
        <f>SUM(CD64,CD65)</f>
        <v>0</v>
      </c>
      <c r="CE68" s="16">
        <f>SUM(CE64,CE65)</f>
        <v>0</v>
      </c>
      <c r="CF68" s="16">
        <f>SUM(CF64,CF65)</f>
        <v>0</v>
      </c>
      <c r="CG68" s="16">
        <f>SUM(CG64,CG65)</f>
        <v>0</v>
      </c>
      <c r="CH68" s="16">
        <f>SUM(CH64,CH65)</f>
        <v>0</v>
      </c>
      <c r="CI68" s="16">
        <f>SUM(CI64,CI65)</f>
        <v>0</v>
      </c>
      <c r="CJ68" s="16">
        <f>SUM(CJ64,CJ65)</f>
        <v>0</v>
      </c>
      <c r="CK68" s="16">
        <f>SUM(CK64,CK65)</f>
        <v>0</v>
      </c>
      <c r="CL68" s="16">
        <f>SUM(CL64,CL65)</f>
        <v>0</v>
      </c>
      <c r="CM68" s="16">
        <f>SUM(CM64,CM65)</f>
        <v>0</v>
      </c>
      <c r="CN68" s="16">
        <f>SUM(CN64,CN65)</f>
        <v>0</v>
      </c>
      <c r="CO68" s="16">
        <f>SUM(CO64,CO65)</f>
        <v>0</v>
      </c>
      <c r="CP68" s="16">
        <f>SUM(CP64,CP65)</f>
        <v>0</v>
      </c>
      <c r="CQ68" s="16">
        <f>SUM(CQ64,CQ65)</f>
        <v>0</v>
      </c>
      <c r="CR68" s="16">
        <f>SUM(CR64,CR65)</f>
        <v>0</v>
      </c>
      <c r="CS68" s="16">
        <f>SUM(CS64,CS65)</f>
        <v>0</v>
      </c>
      <c r="CT68" s="16">
        <f>SUM(CT64,CT65)</f>
        <v>0</v>
      </c>
      <c r="CU68" s="16">
        <f>SUM(CU64,CU65)</f>
        <v>0</v>
      </c>
      <c r="CV68" s="16">
        <f>SUM(CV64,CV65)</f>
        <v>0</v>
      </c>
      <c r="CW68" s="16">
        <f>SUM(CW64,CW65)</f>
        <v>0</v>
      </c>
      <c r="CX68" s="16">
        <f>SUM(CX64,CX65)</f>
        <v>0</v>
      </c>
      <c r="CY68" s="16">
        <f>SUM(CY64,CY65)</f>
        <v>0</v>
      </c>
    </row>
    <row r="69">
      <c r="C69" s="26" t="inlineStr">
        <is>
          <t>Interest Expense</t>
        </is>
      </c>
      <c r="D69" s="25">
        <f>INDEX('Inputs (2)'!$D$8:$AL$8,MATCH(D$7,'Inputs (2)'!$D$2:$AL$2,0))</f>
        <v>-92.5</v>
      </c>
      <c r="E69" s="25">
        <f>INDEX('Inputs (2)'!$D$8:$AL$8,MATCH(E$7,'Inputs (2)'!$D$2:$AL$2,0))</f>
        <v>-88.3</v>
      </c>
      <c r="F69" s="25">
        <f>INDEX('Inputs (2)'!$D$8:$AL$8,MATCH(F$7,'Inputs (2)'!$D$2:$AL$2,0))</f>
        <v>-89.6</v>
      </c>
      <c r="G69" s="25">
        <f>INDEX('Inputs (2)'!$D$8:$AL$8,MATCH(G$7,'Inputs (2)'!$D$2:$AL$2,0))</f>
        <v>-89.2</v>
      </c>
      <c r="H69" s="3">
        <f>SUM(D69:G69)</f>
        <v>-359.6</v>
      </c>
      <c r="I69" s="25">
        <f>INDEX('Inputs (2)'!$D$8:$AL$8,MATCH(I$7,'Inputs (2)'!$D$2:$AL$2,0))</f>
        <v>-87.8</v>
      </c>
      <c r="J69" s="25">
        <f>INDEX('Inputs (2)'!$D$8:$AL$8,MATCH(J$7,'Inputs (2)'!$D$2:$AL$2,0))</f>
        <v>-86.9</v>
      </c>
      <c r="K69" s="25">
        <f>INDEX('Inputs (2)'!$D$8:$AL$8,MATCH(K$7,'Inputs (2)'!$D$2:$AL$2,0))</f>
        <v>-83.6</v>
      </c>
      <c r="L69" s="25">
        <f>INDEX('Inputs (2)'!$D$8:$AL$8,MATCH(L$7,'Inputs (2)'!$D$2:$AL$2,0))</f>
        <v>-81.4</v>
      </c>
      <c r="M69" s="3">
        <f>SUM(I69:L69)</f>
        <v>-339.7</v>
      </c>
      <c r="N69" s="25">
        <f>INDEX('Inputs (2)'!$D$8:$AL$8,MATCH(N$7,'Inputs (2)'!$D$2:$AL$2,0))</f>
        <v>-84.9</v>
      </c>
      <c r="O69" s="25">
        <f>INDEX('Inputs (2)'!$D$8:$AL$8,MATCH(O$7,'Inputs (2)'!$D$2:$AL$2,0))</f>
        <v>-81.2</v>
      </c>
      <c r="P69" s="25">
        <f>INDEX('Inputs (2)'!$D$8:$AL$8,MATCH(P$7,'Inputs (2)'!$D$2:$AL$2,0))</f>
        <v>-81.5</v>
      </c>
      <c r="Q69" s="25">
        <f>INDEX('Inputs (2)'!$D$8:$AL$8,MATCH(Q$7,'Inputs (2)'!$D$2:$AL$2,0))</f>
        <v>-84</v>
      </c>
      <c r="R69" s="3">
        <f>SUM(N69:Q69)</f>
        <v>-331.6</v>
      </c>
      <c r="S69" s="25">
        <f>INDEX('Inputs (2)'!$D$8:$AL$8,MATCH(S$7,'Inputs (2)'!$D$2:$AL$2,0))</f>
        <v>-102.8</v>
      </c>
      <c r="T69" s="25">
        <f>INDEX('Inputs (2)'!$D$8:$AL$8,MATCH(T$7,'Inputs (2)'!$D$2:$AL$2,0))</f>
        <v>-120.3</v>
      </c>
      <c r="U69" s="25">
        <f>INDEX('Inputs (2)'!$D$8:$AL$8,MATCH(U$7,'Inputs (2)'!$D$2:$AL$2,0))</f>
        <v>-124.6</v>
      </c>
      <c r="V69" s="25">
        <f>INDEX('Inputs (2)'!$D$8:$AL$8,MATCH(V$7,'Inputs (2)'!$D$2:$AL$2,0))</f>
        <v>-138.2</v>
      </c>
      <c r="W69" s="3">
        <f>SUM(S69:V69)</f>
        <v>-485.9</v>
      </c>
      <c r="X69" s="25">
        <f>INDEX('Inputs (2)'!$D$8:$AL$8,MATCH(X$7,'Inputs (2)'!$D$2:$AL$2,0))</f>
        <v>-179.6</v>
      </c>
      <c r="Y69" s="25">
        <f>INDEX('Inputs (2)'!$D$8:$AL$8,MATCH(Y$7,'Inputs (2)'!$D$2:$AL$2,0))</f>
        <v>-183.6</v>
      </c>
      <c r="Z69" s="25">
        <f>INDEX('Inputs (2)'!$D$8:$AL$8,MATCH(Z$7,'Inputs (2)'!$D$2:$AL$2,0))</f>
        <v>-192.7</v>
      </c>
      <c r="AA69" s="25">
        <f>INDEX('Inputs (2)'!$D$8:$AL$8,MATCH(AA$7,'Inputs (2)'!$D$2:$AL$2,0))</f>
        <v>-224.7</v>
      </c>
      <c r="AB69" s="3">
        <f>SUM(X69:AA69)</f>
        <v>-780.6</v>
      </c>
      <c r="AC69" s="25">
        <f>INDEX('Inputs (2)'!$D$8:$AL$8,MATCH(AC$7,'Inputs (2)'!$D$2:$AL$2,0))</f>
        <v>-243.7</v>
      </c>
      <c r="AD69" s="25">
        <f>INDEX('Inputs (2)'!$D$8:$AL$8,MATCH(AD$7,'Inputs (2)'!$D$2:$AL$2,0))</f>
        <v>-249</v>
      </c>
      <c r="AE69" s="25">
        <f>INDEX('Inputs (2)'!$D$8:$AL$8,MATCH(AE$7,'Inputs (2)'!$D$2:$AL$2,0))</f>
        <v>-179.6</v>
      </c>
      <c r="AF69" s="25">
        <f>INDEX('Inputs (2)'!$D$8:$AL$8,MATCH(AF$7,'Inputs (2)'!$D$2:$AL$2,0))</f>
        <v>-222.6</v>
      </c>
      <c r="AG69" s="3">
        <f>SUM(AC69:AF69)</f>
        <v>-894.9</v>
      </c>
      <c r="AH69" s="3">
        <f>INDEX('Inputs (2)'!$D$8:$AL$8,MATCH(AH$7,'Inputs (2)'!$D$2:$AL$2,0))</f>
        <v>0</v>
      </c>
      <c r="AI69" s="3">
        <f>INDEX('Inputs (2)'!$D$8:$AL$8,MATCH(AI$7,'Inputs (2)'!$D$2:$AL$2,0))</f>
        <v>0</v>
      </c>
      <c r="AJ69" s="3" t="n"/>
      <c r="AK69" s="3" t="n"/>
      <c r="AL69" s="3">
        <f>SUM(AH69:AK69)</f>
        <v>0</v>
      </c>
      <c r="AM69" s="3" t="n"/>
      <c r="AN69" s="3" t="n"/>
      <c r="AO69" s="3" t="n"/>
      <c r="AP69" s="3" t="n"/>
      <c r="AQ69" s="3">
        <f>SUM(AM69:AP69)</f>
        <v>0</v>
      </c>
      <c r="AR69" s="3" t="n"/>
      <c r="AS69" s="3" t="n"/>
      <c r="AT69" s="3" t="n"/>
      <c r="AU69" s="3" t="n"/>
      <c r="AV69" s="3">
        <f>SUM(AR69:AU69)</f>
        <v>0</v>
      </c>
      <c r="AW69" s="3" t="n"/>
      <c r="AX69" s="3" t="n"/>
      <c r="AY69" s="3" t="n"/>
      <c r="AZ69" s="3" t="n"/>
      <c r="BA69" s="3">
        <f>SUM(AW69:AZ69)</f>
        <v>0</v>
      </c>
      <c r="BB69" s="3" t="n"/>
      <c r="BC69" s="3" t="n"/>
      <c r="BD69" s="3" t="n"/>
      <c r="BE69" s="3" t="n"/>
      <c r="BF69" s="3">
        <f>SUM(BB69:BE69)</f>
        <v>0</v>
      </c>
      <c r="BG69" s="3" t="n"/>
      <c r="BH69" s="3" t="n"/>
      <c r="BI69" s="3" t="n"/>
      <c r="BJ69" s="3" t="n"/>
      <c r="BK69" s="3">
        <f>SUM(BG69:BJ69)</f>
        <v>0</v>
      </c>
      <c r="BL69" s="3" t="n"/>
      <c r="BM69" s="3" t="n"/>
      <c r="BN69" s="3" t="n"/>
      <c r="BO69" s="3" t="n"/>
      <c r="BP69" s="3">
        <f>SUM(BL69:BO69)</f>
        <v>0</v>
      </c>
      <c r="BQ69" s="3" t="n"/>
      <c r="BR69" s="3" t="n"/>
      <c r="BS69" s="3" t="n"/>
      <c r="BT69" s="3" t="n"/>
      <c r="BU69" s="3">
        <f>SUM(BQ69:BT69)</f>
        <v>0</v>
      </c>
      <c r="BV69" s="3" t="n"/>
      <c r="BW69" s="3" t="n"/>
      <c r="BX69" s="3" t="n"/>
      <c r="BY69" s="3" t="n"/>
      <c r="BZ69" s="3">
        <f>SUM(BV69:BY69)</f>
        <v>0</v>
      </c>
      <c r="CA69" s="3" t="n"/>
      <c r="CB69" s="3" t="n"/>
      <c r="CC69" s="3" t="n"/>
      <c r="CD69" s="3" t="n"/>
      <c r="CE69" s="3">
        <f>SUM(CA69:CD69)</f>
        <v>0</v>
      </c>
      <c r="CF69" s="3" t="n"/>
      <c r="CG69" s="3" t="n"/>
      <c r="CH69" s="3" t="n"/>
      <c r="CI69" s="3" t="n"/>
      <c r="CJ69" s="3">
        <f>SUM(CF69:CI69)</f>
        <v>0</v>
      </c>
      <c r="CK69" s="3" t="n"/>
      <c r="CL69" s="3" t="n"/>
      <c r="CM69" s="3" t="n"/>
      <c r="CN69" s="3" t="n"/>
      <c r="CO69" s="3">
        <f>SUM(CK69:CN69)</f>
        <v>0</v>
      </c>
      <c r="CP69" s="3" t="n"/>
      <c r="CQ69" s="3" t="n"/>
      <c r="CR69" s="3" t="n"/>
      <c r="CS69" s="3" t="n"/>
      <c r="CT69" s="3">
        <f>SUM(CP69:CS69)</f>
        <v>0</v>
      </c>
      <c r="CU69" s="3" t="n"/>
      <c r="CV69" s="3" t="n"/>
      <c r="CW69" s="3" t="n"/>
      <c r="CX69" s="3" t="n"/>
      <c r="CY69" s="3">
        <f>SUM(CU69:CX69)</f>
        <v>0</v>
      </c>
    </row>
    <row r="70" hidden="1" outlineLevel="1">
      <c r="C70" s="32" t="inlineStr">
        <is>
          <t>% of Debt</t>
        </is>
      </c>
      <c r="D70" s="48">
        <f>IFERROR(-D69/SUM(D207+D212),0)</f>
        <v>0.00536844976581952</v>
      </c>
      <c r="E70" s="48">
        <f>IFERROR(-E69/SUM(E207+E212),0)</f>
        <v>0.00540782205019537</v>
      </c>
      <c r="F70" s="48">
        <f>IFERROR(-F69/SUM(F207+F212),0)</f>
        <v>0.00529485111185964</v>
      </c>
      <c r="G70" s="48">
        <f>IFERROR(-G69/SUM(G207+G212),0)</f>
        <v>0.00537501581773153</v>
      </c>
      <c r="H70" s="3" t="n"/>
      <c r="I70" s="48">
        <f>IFERROR(-I69/SUM(I207+I212),0)</f>
        <v>0.005418248017526</v>
      </c>
      <c r="J70" s="48">
        <f>IFERROR(-J69/SUM(J207+J212),0)</f>
        <v>0.00526185127549939</v>
      </c>
      <c r="K70" s="48">
        <f>IFERROR(-K69/SUM(K207+K212),0)</f>
        <v>0.00489306659487047</v>
      </c>
      <c r="L70" s="48">
        <f>IFERROR(-L69/SUM(L207+L212),0)</f>
        <v>0.00482093256024685</v>
      </c>
      <c r="M70" s="3" t="n"/>
      <c r="N70" s="48">
        <f>IFERROR(-N69/SUM(N207+N212),0)</f>
        <v>0.00514271176584609</v>
      </c>
      <c r="O70" s="48">
        <f>IFERROR(-O69/SUM(O207+O212),0)</f>
        <v>0.0048293663538284</v>
      </c>
      <c r="P70" s="48">
        <f>IFERROR(-P69/SUM(P207+P212),0)</f>
        <v>0.00512952846101558</v>
      </c>
      <c r="Q70" s="48">
        <f>IFERROR(-Q69/SUM(Q207+Q212),0)</f>
        <v>0.00517285972928701</v>
      </c>
      <c r="R70" s="3" t="n"/>
      <c r="S70" s="48">
        <f>IFERROR(-S69/SUM(S207+S212),0)</f>
        <v>0.00544387722679998</v>
      </c>
      <c r="T70" s="48">
        <f>IFERROR(-T69/SUM(T207+T212),0)</f>
        <v>0.00639213602550478</v>
      </c>
      <c r="U70" s="48">
        <f>IFERROR(-U69/SUM(U207+U212),0)</f>
        <v>0.00617801202877783</v>
      </c>
      <c r="V70" s="48">
        <f>IFERROR(-V69/SUM(V207+V212),0)</f>
        <v>0.00547862661692824</v>
      </c>
      <c r="W70" s="3" t="n"/>
      <c r="X70" s="48">
        <f>IFERROR(-X69/SUM(X207+X212),0)</f>
        <v>0.0068519804359935</v>
      </c>
      <c r="Y70" s="48">
        <f>IFERROR(-Y69/SUM(Y207+Y212),0)</f>
        <v>0.0063547002630486</v>
      </c>
      <c r="Z70" s="48">
        <f>IFERROR(-Z69/SUM(Z207+Z212),0)</f>
        <v>0.00619221907666205</v>
      </c>
      <c r="AA70" s="48">
        <f>IFERROR(-AA69/SUM(AA207+AA212),0)</f>
        <v>0.00667871431034175</v>
      </c>
      <c r="AB70" s="3" t="n"/>
      <c r="AC70" s="48">
        <f>IFERROR(-AC69/SUM(AC207+AC212),0)</f>
        <v>0.00632725705487863</v>
      </c>
      <c r="AD70" s="48">
        <f>IFERROR(-AD69/SUM(AD207+AD212),0)</f>
        <v>0.00624000721735775</v>
      </c>
      <c r="AE70" s="48">
        <f>IFERROR(-AE69/SUM(AE207+AE212),0)</f>
        <v>0.00422522620016656</v>
      </c>
      <c r="AF70" s="231">
        <f>IFERROR(-AF69/SUM(AF207+AF212),0)</f>
        <v>0.00523727736865633</v>
      </c>
      <c r="AG70" s="3" t="n"/>
      <c r="AH70" s="6">
        <f>IFERROR(-AH69/SUM(AH207+AH212),0)</f>
        <v>0</v>
      </c>
      <c r="AI70" s="6">
        <f>IFERROR(-AI69/SUM(AI207+AI212),0)</f>
        <v>0</v>
      </c>
      <c r="AJ70" s="6" t="n"/>
      <c r="AK70" s="6" t="n"/>
      <c r="AL70" s="3" t="n"/>
      <c r="AM70" s="6" t="n"/>
      <c r="AN70" s="6" t="n"/>
      <c r="AO70" s="6" t="n"/>
      <c r="AP70" s="6" t="n"/>
      <c r="AQ70" s="3" t="n"/>
      <c r="AR70" s="6" t="n"/>
      <c r="AS70" s="6" t="n"/>
      <c r="AT70" s="6" t="n"/>
      <c r="AU70" s="6" t="n"/>
      <c r="AV70" s="3" t="n"/>
      <c r="AW70" s="6" t="n"/>
      <c r="AX70" s="6" t="n"/>
      <c r="AY70" s="6" t="n"/>
      <c r="AZ70" s="6" t="n"/>
      <c r="BA70" s="3" t="n"/>
      <c r="BB70" s="6" t="n"/>
      <c r="BC70" s="6" t="n"/>
      <c r="BD70" s="6" t="n"/>
      <c r="BE70" s="6" t="n"/>
      <c r="BF70" s="3" t="n"/>
      <c r="BG70" s="6" t="n"/>
      <c r="BH70" s="6" t="n"/>
      <c r="BI70" s="6" t="n"/>
      <c r="BJ70" s="6" t="n"/>
      <c r="BK70" s="3" t="n"/>
      <c r="BL70" s="6" t="n"/>
      <c r="BM70" s="6" t="n"/>
      <c r="BN70" s="6" t="n"/>
      <c r="BO70" s="6" t="n"/>
      <c r="BP70" s="3" t="n"/>
      <c r="BQ70" s="6" t="n"/>
      <c r="BR70" s="6" t="n"/>
      <c r="BS70" s="6" t="n"/>
      <c r="BT70" s="6" t="n"/>
      <c r="BU70" s="3" t="n"/>
      <c r="BV70" s="6" t="n"/>
      <c r="BW70" s="6" t="n"/>
      <c r="BX70" s="6" t="n"/>
      <c r="BY70" s="6" t="n"/>
      <c r="BZ70" s="3" t="n"/>
      <c r="CA70" s="6" t="n"/>
      <c r="CB70" s="6" t="n"/>
      <c r="CC70" s="6" t="n"/>
      <c r="CD70" s="6" t="n"/>
      <c r="CE70" s="3" t="n"/>
      <c r="CF70" s="6" t="n"/>
      <c r="CG70" s="6" t="n"/>
      <c r="CH70" s="6" t="n"/>
      <c r="CI70" s="6" t="n"/>
      <c r="CJ70" s="3" t="n"/>
      <c r="CK70" s="6" t="n"/>
      <c r="CL70" s="6" t="n"/>
      <c r="CM70" s="6" t="n"/>
      <c r="CN70" s="6" t="n"/>
      <c r="CO70" s="3" t="n"/>
      <c r="CP70" s="6" t="n"/>
      <c r="CQ70" s="6" t="n"/>
      <c r="CR70" s="6" t="n"/>
      <c r="CS70" s="6" t="n"/>
      <c r="CT70" s="3" t="n"/>
      <c r="CU70" s="6" t="n"/>
      <c r="CV70" s="6" t="n"/>
      <c r="CW70" s="6" t="n"/>
      <c r="CX70" s="6" t="n"/>
      <c r="CY70" s="3" t="n"/>
    </row>
    <row r="71" hidden="1" outlineLevel="1">
      <c r="C71" s="32" t="inlineStr">
        <is>
          <t>%CDI</t>
        </is>
      </c>
      <c r="D71" s="6" t="n"/>
      <c r="E71" s="6" t="n"/>
      <c r="F71" s="6" t="n"/>
      <c r="G71" s="6" t="n"/>
      <c r="H71" s="3" t="n"/>
      <c r="I71" s="6" t="n"/>
      <c r="J71" s="6" t="n"/>
      <c r="K71" s="6" t="n"/>
      <c r="L71" s="6" t="n"/>
      <c r="M71" s="3" t="n"/>
      <c r="N71" s="6" t="n"/>
      <c r="O71" s="6" t="n"/>
      <c r="P71" s="6" t="n"/>
      <c r="Q71" s="6" t="n"/>
      <c r="R71" s="3" t="n"/>
      <c r="S71" s="6" t="n"/>
      <c r="T71" s="6" t="n"/>
      <c r="U71" s="6" t="n"/>
      <c r="V71" s="6" t="n"/>
      <c r="W71" s="3" t="n"/>
      <c r="X71" s="6" t="n"/>
      <c r="Y71" s="6" t="n"/>
      <c r="Z71" s="6" t="n"/>
      <c r="AA71" s="6" t="n"/>
      <c r="AB71" s="3" t="n"/>
      <c r="AC71" s="6" t="n"/>
      <c r="AD71" s="6" t="n"/>
      <c r="AE71" s="6" t="n"/>
      <c r="AF71" s="6" t="n"/>
      <c r="AG71" s="3" t="n"/>
      <c r="AH71" s="6" t="n"/>
      <c r="AI71" s="6" t="n"/>
      <c r="AJ71" s="6" t="n"/>
      <c r="AK71" s="6" t="n"/>
      <c r="AL71" s="3" t="n"/>
      <c r="AM71" s="6" t="n"/>
      <c r="AN71" s="6" t="n"/>
      <c r="AO71" s="6" t="n"/>
      <c r="AP71" s="6" t="n"/>
      <c r="AQ71" s="3" t="n"/>
      <c r="AR71" s="6" t="n"/>
      <c r="AS71" s="6" t="n"/>
      <c r="AT71" s="6" t="n"/>
      <c r="AU71" s="6" t="n"/>
      <c r="AV71" s="3" t="n"/>
      <c r="AW71" s="6" t="n"/>
      <c r="AX71" s="6" t="n"/>
      <c r="AY71" s="6" t="n"/>
      <c r="AZ71" s="6" t="n"/>
      <c r="BA71" s="3" t="n"/>
      <c r="BB71" s="6" t="n"/>
      <c r="BC71" s="6" t="n"/>
      <c r="BD71" s="6" t="n"/>
      <c r="BE71" s="6" t="n"/>
      <c r="BF71" s="3" t="n"/>
      <c r="BG71" s="6" t="n"/>
      <c r="BH71" s="6" t="n"/>
      <c r="BI71" s="6" t="n"/>
      <c r="BJ71" s="6" t="n"/>
      <c r="BK71" s="3" t="n"/>
      <c r="BL71" s="6" t="n"/>
      <c r="BM71" s="6" t="n"/>
      <c r="BN71" s="6" t="n"/>
      <c r="BO71" s="6" t="n"/>
      <c r="BP71" s="3" t="n"/>
      <c r="BQ71" s="6" t="n"/>
      <c r="BR71" s="6" t="n"/>
      <c r="BS71" s="6" t="n"/>
      <c r="BT71" s="6" t="n"/>
      <c r="BU71" s="3" t="n"/>
      <c r="BV71" s="6" t="n"/>
      <c r="BW71" s="6" t="n"/>
      <c r="BX71" s="6" t="n"/>
      <c r="BY71" s="6" t="n"/>
      <c r="BZ71" s="3" t="n"/>
      <c r="CA71" s="6" t="n"/>
      <c r="CB71" s="6" t="n"/>
      <c r="CC71" s="6" t="n"/>
      <c r="CD71" s="6" t="n"/>
      <c r="CE71" s="3" t="n"/>
      <c r="CF71" s="6" t="n"/>
      <c r="CG71" s="6" t="n"/>
      <c r="CH71" s="6" t="n"/>
      <c r="CI71" s="6" t="n"/>
      <c r="CJ71" s="3" t="n"/>
      <c r="CK71" s="6" t="n"/>
      <c r="CL71" s="6" t="n"/>
      <c r="CM71" s="6" t="n"/>
      <c r="CN71" s="6" t="n"/>
      <c r="CO71" s="3" t="n"/>
      <c r="CP71" s="6" t="n"/>
      <c r="CQ71" s="6" t="n"/>
      <c r="CR71" s="6" t="n"/>
      <c r="CS71" s="6" t="n"/>
      <c r="CT71" s="3" t="n"/>
      <c r="CU71" s="6" t="n"/>
      <c r="CV71" s="6" t="n"/>
      <c r="CW71" s="6" t="n"/>
      <c r="CX71" s="6" t="n"/>
      <c r="CY71" s="3" t="n"/>
    </row>
    <row r="72" hidden="1" outlineLevel="1">
      <c r="C72" s="34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  <c r="CD72" s="3" t="n"/>
      <c r="CE72" s="3" t="n"/>
      <c r="CF72" s="3" t="n"/>
      <c r="CG72" s="3" t="n"/>
      <c r="CH72" s="3" t="n"/>
      <c r="CI72" s="3" t="n"/>
      <c r="CJ72" s="3" t="n"/>
      <c r="CK72" s="3" t="n"/>
      <c r="CL72" s="3" t="n"/>
      <c r="CM72" s="3" t="n"/>
      <c r="CN72" s="3" t="n"/>
      <c r="CO72" s="3" t="n"/>
      <c r="CP72" s="3" t="n"/>
      <c r="CQ72" s="3" t="n"/>
      <c r="CR72" s="3" t="n"/>
      <c r="CS72" s="3" t="n"/>
      <c r="CT72" s="3" t="n"/>
      <c r="CU72" s="3" t="n"/>
      <c r="CV72" s="3" t="n"/>
      <c r="CW72" s="3" t="n"/>
      <c r="CX72" s="3" t="n"/>
      <c r="CY72" s="3" t="n"/>
    </row>
    <row r="73" hidden="1" outlineLevel="1">
      <c r="C73" s="34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  <c r="CD73" s="3" t="n"/>
      <c r="CE73" s="3" t="n"/>
      <c r="CF73" s="3" t="n"/>
      <c r="CG73" s="3" t="n"/>
      <c r="CH73" s="3" t="n"/>
      <c r="CI73" s="3" t="n"/>
      <c r="CJ73" s="3" t="n"/>
      <c r="CK73" s="3" t="n"/>
      <c r="CL73" s="3" t="n"/>
      <c r="CM73" s="3" t="n"/>
      <c r="CN73" s="3" t="n"/>
      <c r="CO73" s="3" t="n"/>
      <c r="CP73" s="3" t="n"/>
      <c r="CQ73" s="3" t="n"/>
      <c r="CR73" s="3" t="n"/>
      <c r="CS73" s="3" t="n"/>
      <c r="CT73" s="3" t="n"/>
      <c r="CU73" s="3" t="n"/>
      <c r="CV73" s="3" t="n"/>
      <c r="CW73" s="3" t="n"/>
      <c r="CX73" s="3" t="n"/>
      <c r="CY73" s="3" t="n"/>
    </row>
    <row r="74" hidden="1" outlineLevel="1">
      <c r="C74" s="34" t="inlineStr">
        <is>
          <t>RECEITA FINANCEIRA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  <c r="CD74" s="3" t="n"/>
      <c r="CE74" s="3" t="n"/>
      <c r="CF74" s="3" t="n"/>
      <c r="CG74" s="3" t="n"/>
      <c r="CH74" s="3" t="n"/>
      <c r="CI74" s="3" t="n"/>
      <c r="CJ74" s="3" t="n"/>
      <c r="CK74" s="3" t="n"/>
      <c r="CL74" s="3" t="n"/>
      <c r="CM74" s="3" t="n"/>
      <c r="CN74" s="3" t="n"/>
      <c r="CO74" s="3" t="n"/>
      <c r="CP74" s="3" t="n"/>
      <c r="CQ74" s="3" t="n"/>
      <c r="CR74" s="3" t="n"/>
      <c r="CS74" s="3" t="n"/>
      <c r="CT74" s="3" t="n"/>
      <c r="CU74" s="3" t="n"/>
      <c r="CV74" s="3" t="n"/>
      <c r="CW74" s="3" t="n"/>
      <c r="CX74" s="3" t="n"/>
      <c r="CY74" s="3" t="n"/>
    </row>
    <row r="75" hidden="1" outlineLevel="1">
      <c r="C75" s="34" t="inlineStr">
        <is>
          <t>DESPESA FINANCEIRA</t>
        </is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  <c r="CD75" s="3" t="n"/>
      <c r="CE75" s="3" t="n"/>
      <c r="CF75" s="3" t="n"/>
      <c r="CG75" s="3" t="n"/>
      <c r="CH75" s="3" t="n"/>
      <c r="CI75" s="3" t="n"/>
      <c r="CJ75" s="3" t="n"/>
      <c r="CK75" s="3" t="n"/>
      <c r="CL75" s="3" t="n"/>
      <c r="CM75" s="3" t="n"/>
      <c r="CN75" s="3" t="n"/>
      <c r="CO75" s="3" t="n"/>
      <c r="CP75" s="3" t="n"/>
      <c r="CQ75" s="3" t="n"/>
      <c r="CR75" s="3" t="n"/>
      <c r="CS75" s="3" t="n"/>
      <c r="CT75" s="3" t="n"/>
      <c r="CU75" s="3" t="n"/>
      <c r="CV75" s="3" t="n"/>
      <c r="CW75" s="3" t="n"/>
      <c r="CX75" s="3" t="n"/>
      <c r="CY75" s="3" t="n"/>
    </row>
    <row r="76" hidden="1" outlineLevel="1">
      <c r="C76" s="34" t="inlineStr">
        <is>
          <t>OUTROS</t>
        </is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  <c r="CD76" s="3" t="n"/>
      <c r="CE76" s="3" t="n"/>
      <c r="CF76" s="3" t="n"/>
      <c r="CG76" s="3" t="n"/>
      <c r="CH76" s="3" t="n"/>
      <c r="CI76" s="3" t="n"/>
      <c r="CJ76" s="3" t="n"/>
      <c r="CK76" s="3" t="n"/>
      <c r="CL76" s="3" t="n"/>
      <c r="CM76" s="3" t="n"/>
      <c r="CN76" s="3" t="n"/>
      <c r="CO76" s="3" t="n"/>
      <c r="CP76" s="3" t="n"/>
      <c r="CQ76" s="3" t="n"/>
      <c r="CR76" s="3" t="n"/>
      <c r="CS76" s="3" t="n"/>
      <c r="CT76" s="3" t="n"/>
      <c r="CU76" s="3" t="n"/>
      <c r="CV76" s="3" t="n"/>
      <c r="CW76" s="3" t="n"/>
      <c r="CX76" s="3" t="n"/>
      <c r="CY76" s="3" t="n"/>
    </row>
    <row r="77" hidden="1" outlineLevel="1">
      <c r="C77" s="34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  <c r="CD77" s="3" t="n"/>
      <c r="CE77" s="3" t="n"/>
      <c r="CF77" s="3" t="n"/>
      <c r="CG77" s="3" t="n"/>
      <c r="CH77" s="3" t="n"/>
      <c r="CI77" s="3" t="n"/>
      <c r="CJ77" s="3" t="n"/>
      <c r="CK77" s="3" t="n"/>
      <c r="CL77" s="3" t="n"/>
      <c r="CM77" s="3" t="n"/>
      <c r="CN77" s="3" t="n"/>
      <c r="CO77" s="3" t="n"/>
      <c r="CP77" s="3" t="n"/>
      <c r="CQ77" s="3" t="n"/>
      <c r="CR77" s="3" t="n"/>
      <c r="CS77" s="3" t="n"/>
      <c r="CT77" s="3" t="n"/>
      <c r="CU77" s="3" t="n"/>
      <c r="CV77" s="3" t="n"/>
      <c r="CW77" s="3" t="n"/>
      <c r="CX77" s="3" t="n"/>
      <c r="CY77" s="3" t="n"/>
    </row>
    <row r="78" hidden="1" outlineLevel="1">
      <c r="C78" s="34" t="inlineStr">
        <is>
          <t>Cash and equivalents (inc. investment securities)</t>
        </is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  <c r="CD78" s="3" t="n"/>
      <c r="CE78" s="3" t="n"/>
      <c r="CF78" s="3" t="n"/>
      <c r="CG78" s="3" t="n"/>
      <c r="CH78" s="3" t="n"/>
      <c r="CI78" s="3" t="n"/>
      <c r="CJ78" s="3" t="n"/>
      <c r="CK78" s="3" t="n"/>
      <c r="CL78" s="3" t="n"/>
      <c r="CM78" s="3" t="n"/>
      <c r="CN78" s="3" t="n"/>
      <c r="CO78" s="3" t="n"/>
      <c r="CP78" s="3" t="n"/>
      <c r="CQ78" s="3" t="n"/>
      <c r="CR78" s="3" t="n"/>
      <c r="CS78" s="3" t="n"/>
      <c r="CT78" s="3" t="n"/>
      <c r="CU78" s="3" t="n"/>
      <c r="CV78" s="3" t="n"/>
      <c r="CW78" s="3" t="n"/>
      <c r="CX78" s="3" t="n"/>
      <c r="CY78" s="3" t="n"/>
    </row>
    <row r="79" hidden="1" outlineLevel="1">
      <c r="C79" s="34" t="inlineStr">
        <is>
          <t>Interest on cash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  <c r="CD79" s="3" t="n"/>
      <c r="CE79" s="3" t="n"/>
      <c r="CF79" s="3" t="n"/>
      <c r="CG79" s="3" t="n"/>
      <c r="CH79" s="3" t="n"/>
      <c r="CI79" s="3" t="n"/>
      <c r="CJ79" s="3" t="n"/>
      <c r="CK79" s="3" t="n"/>
      <c r="CL79" s="3" t="n"/>
      <c r="CM79" s="3" t="n"/>
      <c r="CN79" s="3" t="n"/>
      <c r="CO79" s="3" t="n"/>
      <c r="CP79" s="3" t="n"/>
      <c r="CQ79" s="3" t="n"/>
      <c r="CR79" s="3" t="n"/>
      <c r="CS79" s="3" t="n"/>
      <c r="CT79" s="3" t="n"/>
      <c r="CU79" s="3" t="n"/>
      <c r="CV79" s="3" t="n"/>
      <c r="CW79" s="3" t="n"/>
      <c r="CX79" s="3" t="n"/>
      <c r="CY79" s="3" t="n"/>
    </row>
    <row r="80" hidden="1" outlineLevel="1">
      <c r="C80" s="34" t="inlineStr">
        <is>
          <t>Average interest rate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  <c r="CD80" s="3" t="n"/>
      <c r="CE80" s="3" t="n"/>
      <c r="CF80" s="3" t="n"/>
      <c r="CG80" s="3" t="n"/>
      <c r="CH80" s="3" t="n"/>
      <c r="CI80" s="3" t="n"/>
      <c r="CJ80" s="3" t="n"/>
      <c r="CK80" s="3" t="n"/>
      <c r="CL80" s="3" t="n"/>
      <c r="CM80" s="3" t="n"/>
      <c r="CN80" s="3" t="n"/>
      <c r="CO80" s="3" t="n"/>
      <c r="CP80" s="3" t="n"/>
      <c r="CQ80" s="3" t="n"/>
      <c r="CR80" s="3" t="n"/>
      <c r="CS80" s="3" t="n"/>
      <c r="CT80" s="3" t="n"/>
      <c r="CU80" s="3" t="n"/>
      <c r="CV80" s="3" t="n"/>
      <c r="CW80" s="3" t="n"/>
      <c r="CX80" s="3" t="n"/>
      <c r="CY80" s="3" t="n"/>
    </row>
    <row r="81" hidden="1" outlineLevel="1">
      <c r="C81" s="34" t="inlineStr">
        <is>
          <t>% CDI</t>
        </is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  <c r="CD81" s="3" t="n"/>
      <c r="CE81" s="3" t="n"/>
      <c r="CF81" s="3" t="n"/>
      <c r="CG81" s="3" t="n"/>
      <c r="CH81" s="3" t="n"/>
      <c r="CI81" s="3" t="n"/>
      <c r="CJ81" s="3" t="n"/>
      <c r="CK81" s="3" t="n"/>
      <c r="CL81" s="3" t="n"/>
      <c r="CM81" s="3" t="n"/>
      <c r="CN81" s="3" t="n"/>
      <c r="CO81" s="3" t="n"/>
      <c r="CP81" s="3" t="n"/>
      <c r="CQ81" s="3" t="n"/>
      <c r="CR81" s="3" t="n"/>
      <c r="CS81" s="3" t="n"/>
      <c r="CT81" s="3" t="n"/>
      <c r="CU81" s="3" t="n"/>
      <c r="CV81" s="3" t="n"/>
      <c r="CW81" s="3" t="n"/>
      <c r="CX81" s="3" t="n"/>
      <c r="CY81" s="3" t="n"/>
    </row>
    <row r="82" hidden="1" outlineLevel="1">
      <c r="C82" s="34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  <c r="BZ82" s="3" t="n"/>
      <c r="CA82" s="3" t="n"/>
      <c r="CB82" s="3" t="n"/>
      <c r="CC82" s="3" t="n"/>
      <c r="CD82" s="3" t="n"/>
      <c r="CE82" s="3" t="n"/>
      <c r="CF82" s="3" t="n"/>
      <c r="CG82" s="3" t="n"/>
      <c r="CH82" s="3" t="n"/>
      <c r="CI82" s="3" t="n"/>
      <c r="CJ82" s="3" t="n"/>
      <c r="CK82" s="3" t="n"/>
      <c r="CL82" s="3" t="n"/>
      <c r="CM82" s="3" t="n"/>
      <c r="CN82" s="3" t="n"/>
      <c r="CO82" s="3" t="n"/>
      <c r="CP82" s="3" t="n"/>
      <c r="CQ82" s="3" t="n"/>
      <c r="CR82" s="3" t="n"/>
      <c r="CS82" s="3" t="n"/>
      <c r="CT82" s="3" t="n"/>
      <c r="CU82" s="3" t="n"/>
      <c r="CV82" s="3" t="n"/>
      <c r="CW82" s="3" t="n"/>
      <c r="CX82" s="3" t="n"/>
      <c r="CY82" s="3" t="n"/>
    </row>
    <row r="83" hidden="1" outlineLevel="1">
      <c r="C83" s="34" t="inlineStr">
        <is>
          <t>Current portion of long-term debt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  <c r="BZ83" s="3" t="n"/>
      <c r="CA83" s="3" t="n"/>
      <c r="CB83" s="3" t="n"/>
      <c r="CC83" s="3" t="n"/>
      <c r="CD83" s="3" t="n"/>
      <c r="CE83" s="3" t="n"/>
      <c r="CF83" s="3" t="n"/>
      <c r="CG83" s="3" t="n"/>
      <c r="CH83" s="3" t="n"/>
      <c r="CI83" s="3" t="n"/>
      <c r="CJ83" s="3" t="n"/>
      <c r="CK83" s="3" t="n"/>
      <c r="CL83" s="3" t="n"/>
      <c r="CM83" s="3" t="n"/>
      <c r="CN83" s="3" t="n"/>
      <c r="CO83" s="3" t="n"/>
      <c r="CP83" s="3" t="n"/>
      <c r="CQ83" s="3" t="n"/>
      <c r="CR83" s="3" t="n"/>
      <c r="CS83" s="3" t="n"/>
      <c r="CT83" s="3" t="n"/>
      <c r="CU83" s="3" t="n"/>
      <c r="CV83" s="3" t="n"/>
      <c r="CW83" s="3" t="n"/>
      <c r="CX83" s="3" t="n"/>
      <c r="CY83" s="3" t="n"/>
    </row>
    <row r="84" hidden="1" outlineLevel="1">
      <c r="C84" s="34" t="inlineStr">
        <is>
          <t>Short term debt (Revolving credit facility)</t>
        </is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  <c r="BZ84" s="3" t="n"/>
      <c r="CA84" s="3" t="n"/>
      <c r="CB84" s="3" t="n"/>
      <c r="CC84" s="3" t="n"/>
      <c r="CD84" s="3" t="n"/>
      <c r="CE84" s="3" t="n"/>
      <c r="CF84" s="3" t="n"/>
      <c r="CG84" s="3" t="n"/>
      <c r="CH84" s="3" t="n"/>
      <c r="CI84" s="3" t="n"/>
      <c r="CJ84" s="3" t="n"/>
      <c r="CK84" s="3" t="n"/>
      <c r="CL84" s="3" t="n"/>
      <c r="CM84" s="3" t="n"/>
      <c r="CN84" s="3" t="n"/>
      <c r="CO84" s="3" t="n"/>
      <c r="CP84" s="3" t="n"/>
      <c r="CQ84" s="3" t="n"/>
      <c r="CR84" s="3" t="n"/>
      <c r="CS84" s="3" t="n"/>
      <c r="CT84" s="3" t="n"/>
      <c r="CU84" s="3" t="n"/>
      <c r="CV84" s="3" t="n"/>
      <c r="CW84" s="3" t="n"/>
      <c r="CX84" s="3" t="n"/>
      <c r="CY84" s="3" t="n"/>
    </row>
    <row r="85" hidden="1" outlineLevel="1">
      <c r="C85" s="34" t="inlineStr">
        <is>
          <t>Long term debt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  <c r="BZ85" s="3" t="n"/>
      <c r="CA85" s="3" t="n"/>
      <c r="CB85" s="3" t="n"/>
      <c r="CC85" s="3" t="n"/>
      <c r="CD85" s="3" t="n"/>
      <c r="CE85" s="3" t="n"/>
      <c r="CF85" s="3" t="n"/>
      <c r="CG85" s="3" t="n"/>
      <c r="CH85" s="3" t="n"/>
      <c r="CI85" s="3" t="n"/>
      <c r="CJ85" s="3" t="n"/>
      <c r="CK85" s="3" t="n"/>
      <c r="CL85" s="3" t="n"/>
      <c r="CM85" s="3" t="n"/>
      <c r="CN85" s="3" t="n"/>
      <c r="CO85" s="3" t="n"/>
      <c r="CP85" s="3" t="n"/>
      <c r="CQ85" s="3" t="n"/>
      <c r="CR85" s="3" t="n"/>
      <c r="CS85" s="3" t="n"/>
      <c r="CT85" s="3" t="n"/>
      <c r="CU85" s="3" t="n"/>
      <c r="CV85" s="3" t="n"/>
      <c r="CW85" s="3" t="n"/>
      <c r="CX85" s="3" t="n"/>
      <c r="CY85" s="3" t="n"/>
    </row>
    <row r="86" hidden="1" outlineLevel="1">
      <c r="C86" s="34" t="inlineStr">
        <is>
          <t>Convertible debt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  <c r="BZ86" s="3" t="n"/>
      <c r="CA86" s="3" t="n"/>
      <c r="CB86" s="3" t="n"/>
      <c r="CC86" s="3" t="n"/>
      <c r="CD86" s="3" t="n"/>
      <c r="CE86" s="3" t="n"/>
      <c r="CF86" s="3" t="n"/>
      <c r="CG86" s="3" t="n"/>
      <c r="CH86" s="3" t="n"/>
      <c r="CI86" s="3" t="n"/>
      <c r="CJ86" s="3" t="n"/>
      <c r="CK86" s="3" t="n"/>
      <c r="CL86" s="3" t="n"/>
      <c r="CM86" s="3" t="n"/>
      <c r="CN86" s="3" t="n"/>
      <c r="CO86" s="3" t="n"/>
      <c r="CP86" s="3" t="n"/>
      <c r="CQ86" s="3" t="n"/>
      <c r="CR86" s="3" t="n"/>
      <c r="CS86" s="3" t="n"/>
      <c r="CT86" s="3" t="n"/>
      <c r="CU86" s="3" t="n"/>
      <c r="CV86" s="3" t="n"/>
      <c r="CW86" s="3" t="n"/>
      <c r="CX86" s="3" t="n"/>
      <c r="CY86" s="3" t="n"/>
    </row>
    <row r="87" hidden="1" outlineLevel="1">
      <c r="C87" s="34" t="inlineStr">
        <is>
          <t>Total debt</t>
        </is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  <c r="BZ87" s="3" t="n"/>
      <c r="CA87" s="3" t="n"/>
      <c r="CB87" s="3" t="n"/>
      <c r="CC87" s="3" t="n"/>
      <c r="CD87" s="3" t="n"/>
      <c r="CE87" s="3" t="n"/>
      <c r="CF87" s="3" t="n"/>
      <c r="CG87" s="3" t="n"/>
      <c r="CH87" s="3" t="n"/>
      <c r="CI87" s="3" t="n"/>
      <c r="CJ87" s="3" t="n"/>
      <c r="CK87" s="3" t="n"/>
      <c r="CL87" s="3" t="n"/>
      <c r="CM87" s="3" t="n"/>
      <c r="CN87" s="3" t="n"/>
      <c r="CO87" s="3" t="n"/>
      <c r="CP87" s="3" t="n"/>
      <c r="CQ87" s="3" t="n"/>
      <c r="CR87" s="3" t="n"/>
      <c r="CS87" s="3" t="n"/>
      <c r="CT87" s="3" t="n"/>
      <c r="CU87" s="3" t="n"/>
      <c r="CV87" s="3" t="n"/>
      <c r="CW87" s="3" t="n"/>
      <c r="CX87" s="3" t="n"/>
      <c r="CY87" s="3" t="n"/>
    </row>
    <row r="88" hidden="1" outlineLevel="1">
      <c r="C88" s="34" t="inlineStr">
        <is>
          <t>Interest expense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  <c r="BZ88" s="3" t="n"/>
      <c r="CA88" s="3" t="n"/>
      <c r="CB88" s="3" t="n"/>
      <c r="CC88" s="3" t="n"/>
      <c r="CD88" s="3" t="n"/>
      <c r="CE88" s="3" t="n"/>
      <c r="CF88" s="3" t="n"/>
      <c r="CG88" s="3" t="n"/>
      <c r="CH88" s="3" t="n"/>
      <c r="CI88" s="3" t="n"/>
      <c r="CJ88" s="3" t="n"/>
      <c r="CK88" s="3" t="n"/>
      <c r="CL88" s="3" t="n"/>
      <c r="CM88" s="3" t="n"/>
      <c r="CN88" s="3" t="n"/>
      <c r="CO88" s="3" t="n"/>
      <c r="CP88" s="3" t="n"/>
      <c r="CQ88" s="3" t="n"/>
      <c r="CR88" s="3" t="n"/>
      <c r="CS88" s="3" t="n"/>
      <c r="CT88" s="3" t="n"/>
      <c r="CU88" s="3" t="n"/>
      <c r="CV88" s="3" t="n"/>
      <c r="CW88" s="3" t="n"/>
      <c r="CX88" s="3" t="n"/>
      <c r="CY88" s="3" t="n"/>
    </row>
    <row r="89" hidden="1" outlineLevel="1">
      <c r="C89" s="34" t="inlineStr">
        <is>
          <t>Average interest rate</t>
        </is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  <c r="BZ89" s="3" t="n"/>
      <c r="CA89" s="3" t="n"/>
      <c r="CB89" s="3" t="n"/>
      <c r="CC89" s="3" t="n"/>
      <c r="CD89" s="3" t="n"/>
      <c r="CE89" s="3" t="n"/>
      <c r="CF89" s="3" t="n"/>
      <c r="CG89" s="3" t="n"/>
      <c r="CH89" s="3" t="n"/>
      <c r="CI89" s="3" t="n"/>
      <c r="CJ89" s="3" t="n"/>
      <c r="CK89" s="3" t="n"/>
      <c r="CL89" s="3" t="n"/>
      <c r="CM89" s="3" t="n"/>
      <c r="CN89" s="3" t="n"/>
      <c r="CO89" s="3" t="n"/>
      <c r="CP89" s="3" t="n"/>
      <c r="CQ89" s="3" t="n"/>
      <c r="CR89" s="3" t="n"/>
      <c r="CS89" s="3" t="n"/>
      <c r="CT89" s="3" t="n"/>
      <c r="CU89" s="3" t="n"/>
      <c r="CV89" s="3" t="n"/>
      <c r="CW89" s="3" t="n"/>
      <c r="CX89" s="3" t="n"/>
      <c r="CY89" s="3" t="n"/>
    </row>
    <row r="90" hidden="1" outlineLevel="1">
      <c r="C90" s="34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  <c r="BZ90" s="3" t="n"/>
      <c r="CA90" s="3" t="n"/>
      <c r="CB90" s="3" t="n"/>
      <c r="CC90" s="3" t="n"/>
      <c r="CD90" s="3" t="n"/>
      <c r="CE90" s="3" t="n"/>
      <c r="CF90" s="3" t="n"/>
      <c r="CG90" s="3" t="n"/>
      <c r="CH90" s="3" t="n"/>
      <c r="CI90" s="3" t="n"/>
      <c r="CJ90" s="3" t="n"/>
      <c r="CK90" s="3" t="n"/>
      <c r="CL90" s="3" t="n"/>
      <c r="CM90" s="3" t="n"/>
      <c r="CN90" s="3" t="n"/>
      <c r="CO90" s="3" t="n"/>
      <c r="CP90" s="3" t="n"/>
      <c r="CQ90" s="3" t="n"/>
      <c r="CR90" s="3" t="n"/>
      <c r="CS90" s="3" t="n"/>
      <c r="CT90" s="3" t="n"/>
      <c r="CU90" s="3" t="n"/>
      <c r="CV90" s="3" t="n"/>
      <c r="CW90" s="3" t="n"/>
      <c r="CX90" s="3" t="n"/>
      <c r="CY90" s="3" t="n"/>
    </row>
    <row r="91" hidden="1" outlineLevel="1">
      <c r="C91" s="34" t="inlineStr">
        <is>
          <t>Stake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  <c r="BZ91" s="3" t="n"/>
      <c r="CA91" s="3" t="n"/>
      <c r="CB91" s="3" t="n"/>
      <c r="CC91" s="3" t="n"/>
      <c r="CD91" s="3" t="n"/>
      <c r="CE91" s="3" t="n"/>
      <c r="CF91" s="3" t="n"/>
      <c r="CG91" s="3" t="n"/>
      <c r="CH91" s="3" t="n"/>
      <c r="CI91" s="3" t="n"/>
      <c r="CJ91" s="3" t="n"/>
      <c r="CK91" s="3" t="n"/>
      <c r="CL91" s="3" t="n"/>
      <c r="CM91" s="3" t="n"/>
      <c r="CN91" s="3" t="n"/>
      <c r="CO91" s="3" t="n"/>
      <c r="CP91" s="3" t="n"/>
      <c r="CQ91" s="3" t="n"/>
      <c r="CR91" s="3" t="n"/>
      <c r="CS91" s="3" t="n"/>
      <c r="CT91" s="3" t="n"/>
      <c r="CU91" s="3" t="n"/>
      <c r="CV91" s="3" t="n"/>
      <c r="CW91" s="3" t="n"/>
      <c r="CX91" s="3" t="n"/>
      <c r="CY91" s="3" t="n"/>
    </row>
    <row r="92" hidden="1" outlineLevel="1">
      <c r="C92" s="34" t="inlineStr">
        <is>
          <t>PRE</t>
        </is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  <c r="BZ92" s="3" t="n"/>
      <c r="CA92" s="3" t="n"/>
      <c r="CB92" s="3" t="n"/>
      <c r="CC92" s="3" t="n"/>
      <c r="CD92" s="3" t="n"/>
      <c r="CE92" s="3" t="n"/>
      <c r="CF92" s="3" t="n"/>
      <c r="CG92" s="3" t="n"/>
      <c r="CH92" s="3" t="n"/>
      <c r="CI92" s="3" t="n"/>
      <c r="CJ92" s="3" t="n"/>
      <c r="CK92" s="3" t="n"/>
      <c r="CL92" s="3" t="n"/>
      <c r="CM92" s="3" t="n"/>
      <c r="CN92" s="3" t="n"/>
      <c r="CO92" s="3" t="n"/>
      <c r="CP92" s="3" t="n"/>
      <c r="CQ92" s="3" t="n"/>
      <c r="CR92" s="3" t="n"/>
      <c r="CS92" s="3" t="n"/>
      <c r="CT92" s="3" t="n"/>
      <c r="CU92" s="3" t="n"/>
      <c r="CV92" s="3" t="n"/>
      <c r="CW92" s="3" t="n"/>
      <c r="CX92" s="3" t="n"/>
      <c r="CY92" s="3" t="n"/>
    </row>
    <row r="93" hidden="1" outlineLevel="1">
      <c r="C93" s="34" t="inlineStr">
        <is>
          <t>CDI+</t>
        </is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  <c r="BZ93" s="3" t="n"/>
      <c r="CA93" s="3" t="n"/>
      <c r="CB93" s="3" t="n"/>
      <c r="CC93" s="3" t="n"/>
      <c r="CD93" s="3" t="n"/>
      <c r="CE93" s="3" t="n"/>
      <c r="CF93" s="3" t="n"/>
      <c r="CG93" s="3" t="n"/>
      <c r="CH93" s="3" t="n"/>
      <c r="CI93" s="3" t="n"/>
      <c r="CJ93" s="3" t="n"/>
      <c r="CK93" s="3" t="n"/>
      <c r="CL93" s="3" t="n"/>
      <c r="CM93" s="3" t="n"/>
      <c r="CN93" s="3" t="n"/>
      <c r="CO93" s="3" t="n"/>
      <c r="CP93" s="3" t="n"/>
      <c r="CQ93" s="3" t="n"/>
      <c r="CR93" s="3" t="n"/>
      <c r="CS93" s="3" t="n"/>
      <c r="CT93" s="3" t="n"/>
      <c r="CU93" s="3" t="n"/>
      <c r="CV93" s="3" t="n"/>
      <c r="CW93" s="3" t="n"/>
      <c r="CX93" s="3" t="n"/>
      <c r="CY93" s="3" t="n"/>
    </row>
    <row r="94" hidden="1" outlineLevel="1">
      <c r="C94" s="34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  <c r="BZ94" s="3" t="n"/>
      <c r="CA94" s="3" t="n"/>
      <c r="CB94" s="3" t="n"/>
      <c r="CC94" s="3" t="n"/>
      <c r="CD94" s="3" t="n"/>
      <c r="CE94" s="3" t="n"/>
      <c r="CF94" s="3" t="n"/>
      <c r="CG94" s="3" t="n"/>
      <c r="CH94" s="3" t="n"/>
      <c r="CI94" s="3" t="n"/>
      <c r="CJ94" s="3" t="n"/>
      <c r="CK94" s="3" t="n"/>
      <c r="CL94" s="3" t="n"/>
      <c r="CM94" s="3" t="n"/>
      <c r="CN94" s="3" t="n"/>
      <c r="CO94" s="3" t="n"/>
      <c r="CP94" s="3" t="n"/>
      <c r="CQ94" s="3" t="n"/>
      <c r="CR94" s="3" t="n"/>
      <c r="CS94" s="3" t="n"/>
      <c r="CT94" s="3" t="n"/>
      <c r="CU94" s="3" t="n"/>
      <c r="CV94" s="3" t="n"/>
      <c r="CW94" s="3" t="n"/>
      <c r="CX94" s="3" t="n"/>
      <c r="CY94" s="3" t="n"/>
    </row>
    <row r="95" hidden="1" outlineLevel="1">
      <c r="C95" s="34" t="inlineStr">
        <is>
          <t>Spread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  <c r="BZ95" s="3" t="n"/>
      <c r="CA95" s="3" t="n"/>
      <c r="CB95" s="3" t="n"/>
      <c r="CC95" s="3" t="n"/>
      <c r="CD95" s="3" t="n"/>
      <c r="CE95" s="3" t="n"/>
      <c r="CF95" s="3" t="n"/>
      <c r="CG95" s="3" t="n"/>
      <c r="CH95" s="3" t="n"/>
      <c r="CI95" s="3" t="n"/>
      <c r="CJ95" s="3" t="n"/>
      <c r="CK95" s="3" t="n"/>
      <c r="CL95" s="3" t="n"/>
      <c r="CM95" s="3" t="n"/>
      <c r="CN95" s="3" t="n"/>
      <c r="CO95" s="3" t="n"/>
      <c r="CP95" s="3" t="n"/>
      <c r="CQ95" s="3" t="n"/>
      <c r="CR95" s="3" t="n"/>
      <c r="CS95" s="3" t="n"/>
      <c r="CT95" s="3" t="n"/>
      <c r="CU95" s="3" t="n"/>
      <c r="CV95" s="3" t="n"/>
      <c r="CW95" s="3" t="n"/>
      <c r="CX95" s="3" t="n"/>
      <c r="CY95" s="3" t="n"/>
    </row>
    <row r="96" hidden="1" outlineLevel="1">
      <c r="C96" s="34" t="inlineStr">
        <is>
          <t>PRE</t>
        </is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  <c r="BZ96" s="3" t="n"/>
      <c r="CA96" s="3" t="n"/>
      <c r="CB96" s="3" t="n"/>
      <c r="CC96" s="3" t="n"/>
      <c r="CD96" s="3" t="n"/>
      <c r="CE96" s="3" t="n"/>
      <c r="CF96" s="3" t="n"/>
      <c r="CG96" s="3" t="n"/>
      <c r="CH96" s="3" t="n"/>
      <c r="CI96" s="3" t="n"/>
      <c r="CJ96" s="3" t="n"/>
      <c r="CK96" s="3" t="n"/>
      <c r="CL96" s="3" t="n"/>
      <c r="CM96" s="3" t="n"/>
      <c r="CN96" s="3" t="n"/>
      <c r="CO96" s="3" t="n"/>
      <c r="CP96" s="3" t="n"/>
      <c r="CQ96" s="3" t="n"/>
      <c r="CR96" s="3" t="n"/>
      <c r="CS96" s="3" t="n"/>
      <c r="CT96" s="3" t="n"/>
      <c r="CU96" s="3" t="n"/>
      <c r="CV96" s="3" t="n"/>
      <c r="CW96" s="3" t="n"/>
      <c r="CX96" s="3" t="n"/>
      <c r="CY96" s="3" t="n"/>
    </row>
    <row r="97" hidden="1" outlineLevel="1">
      <c r="C97" s="34" t="inlineStr">
        <is>
          <t>CDI+</t>
        </is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  <c r="BZ97" s="3" t="n"/>
      <c r="CA97" s="3" t="n"/>
      <c r="CB97" s="3" t="n"/>
      <c r="CC97" s="3" t="n"/>
      <c r="CD97" s="3" t="n"/>
      <c r="CE97" s="3" t="n"/>
      <c r="CF97" s="3" t="n"/>
      <c r="CG97" s="3" t="n"/>
      <c r="CH97" s="3" t="n"/>
      <c r="CI97" s="3" t="n"/>
      <c r="CJ97" s="3" t="n"/>
      <c r="CK97" s="3" t="n"/>
      <c r="CL97" s="3" t="n"/>
      <c r="CM97" s="3" t="n"/>
      <c r="CN97" s="3" t="n"/>
      <c r="CO97" s="3" t="n"/>
      <c r="CP97" s="3" t="n"/>
      <c r="CQ97" s="3" t="n"/>
      <c r="CR97" s="3" t="n"/>
      <c r="CS97" s="3" t="n"/>
      <c r="CT97" s="3" t="n"/>
      <c r="CU97" s="3" t="n"/>
      <c r="CV97" s="3" t="n"/>
      <c r="CW97" s="3" t="n"/>
      <c r="CX97" s="3" t="n"/>
      <c r="CY97" s="3" t="n"/>
    </row>
    <row r="98" hidden="1" outlineLevel="1">
      <c r="C98" s="34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  <c r="BZ98" s="3" t="n"/>
      <c r="CA98" s="3" t="n"/>
      <c r="CB98" s="3" t="n"/>
      <c r="CC98" s="3" t="n"/>
      <c r="CD98" s="3" t="n"/>
      <c r="CE98" s="3" t="n"/>
      <c r="CF98" s="3" t="n"/>
      <c r="CG98" s="3" t="n"/>
      <c r="CH98" s="3" t="n"/>
      <c r="CI98" s="3" t="n"/>
      <c r="CJ98" s="3" t="n"/>
      <c r="CK98" s="3" t="n"/>
      <c r="CL98" s="3" t="n"/>
      <c r="CM98" s="3" t="n"/>
      <c r="CN98" s="3" t="n"/>
      <c r="CO98" s="3" t="n"/>
      <c r="CP98" s="3" t="n"/>
      <c r="CQ98" s="3" t="n"/>
      <c r="CR98" s="3" t="n"/>
      <c r="CS98" s="3" t="n"/>
      <c r="CT98" s="3" t="n"/>
      <c r="CU98" s="3" t="n"/>
      <c r="CV98" s="3" t="n"/>
      <c r="CW98" s="3" t="n"/>
      <c r="CX98" s="3" t="n"/>
      <c r="CY98" s="3" t="n"/>
    </row>
    <row r="99" hidden="1" outlineLevel="1">
      <c r="C99" s="34" t="inlineStr">
        <is>
          <t>RECEITAS FINANCEIRAS - Rendimentos de aplicações financeiras</t>
        </is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  <c r="BZ99" s="3" t="n"/>
      <c r="CA99" s="3" t="n"/>
      <c r="CB99" s="3" t="n"/>
      <c r="CC99" s="3" t="n"/>
      <c r="CD99" s="3" t="n"/>
      <c r="CE99" s="3" t="n"/>
      <c r="CF99" s="3" t="n"/>
      <c r="CG99" s="3" t="n"/>
      <c r="CH99" s="3" t="n"/>
      <c r="CI99" s="3" t="n"/>
      <c r="CJ99" s="3" t="n"/>
      <c r="CK99" s="3" t="n"/>
      <c r="CL99" s="3" t="n"/>
      <c r="CM99" s="3" t="n"/>
      <c r="CN99" s="3" t="n"/>
      <c r="CO99" s="3" t="n"/>
      <c r="CP99" s="3" t="n"/>
      <c r="CQ99" s="3" t="n"/>
      <c r="CR99" s="3" t="n"/>
      <c r="CS99" s="3" t="n"/>
      <c r="CT99" s="3" t="n"/>
      <c r="CU99" s="3" t="n"/>
      <c r="CV99" s="3" t="n"/>
      <c r="CW99" s="3" t="n"/>
      <c r="CX99" s="3" t="n"/>
      <c r="CY99" s="3" t="n"/>
    </row>
    <row r="100" hidden="1" outlineLevel="1">
      <c r="C100" s="34" t="inlineStr">
        <is>
          <t>RECEITAS FINANCEIRAS - Variação cambial ativa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  <c r="BZ100" s="3" t="n"/>
      <c r="CA100" s="3" t="n"/>
      <c r="CB100" s="3" t="n"/>
      <c r="CC100" s="3" t="n"/>
      <c r="CD100" s="3" t="n"/>
      <c r="CE100" s="3" t="n"/>
      <c r="CF100" s="3" t="n"/>
      <c r="CG100" s="3" t="n"/>
      <c r="CH100" s="3" t="n"/>
      <c r="CI100" s="3" t="n"/>
      <c r="CJ100" s="3" t="n"/>
      <c r="CK100" s="3" t="n"/>
      <c r="CL100" s="3" t="n"/>
      <c r="CM100" s="3" t="n"/>
      <c r="CN100" s="3" t="n"/>
      <c r="CO100" s="3" t="n"/>
      <c r="CP100" s="3" t="n"/>
      <c r="CQ100" s="3" t="n"/>
      <c r="CR100" s="3" t="n"/>
      <c r="CS100" s="3" t="n"/>
      <c r="CT100" s="3" t="n"/>
      <c r="CU100" s="3" t="n"/>
      <c r="CV100" s="3" t="n"/>
      <c r="CW100" s="3" t="n"/>
      <c r="CX100" s="3" t="n"/>
      <c r="CY100" s="3" t="n"/>
    </row>
    <row r="101" hidden="1" outlineLevel="1">
      <c r="C101" s="34" t="inlineStr">
        <is>
          <t>RECEITAS FINANCEIRAS - Atualização de contas a pagar por aquisição de empresas</t>
        </is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  <c r="BZ101" s="3" t="n"/>
      <c r="CA101" s="3" t="n"/>
      <c r="CB101" s="3" t="n"/>
      <c r="CC101" s="3" t="n"/>
      <c r="CD101" s="3" t="n"/>
      <c r="CE101" s="3" t="n"/>
      <c r="CF101" s="3" t="n"/>
      <c r="CG101" s="3" t="n"/>
      <c r="CH101" s="3" t="n"/>
      <c r="CI101" s="3" t="n"/>
      <c r="CJ101" s="3" t="n"/>
      <c r="CK101" s="3" t="n"/>
      <c r="CL101" s="3" t="n"/>
      <c r="CM101" s="3" t="n"/>
      <c r="CN101" s="3" t="n"/>
      <c r="CO101" s="3" t="n"/>
      <c r="CP101" s="3" t="n"/>
      <c r="CQ101" s="3" t="n"/>
      <c r="CR101" s="3" t="n"/>
      <c r="CS101" s="3" t="n"/>
      <c r="CT101" s="3" t="n"/>
      <c r="CU101" s="3" t="n"/>
      <c r="CV101" s="3" t="n"/>
      <c r="CW101" s="3" t="n"/>
      <c r="CX101" s="3" t="n"/>
      <c r="CY101" s="3" t="n"/>
    </row>
    <row r="102" hidden="1" outlineLevel="1">
      <c r="C102" s="34" t="inlineStr">
        <is>
          <t>RECEITAS FINANCEIRAS - Resultado positivo com instrumentos derivativos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/>
      <c r="CF102" s="3" t="n"/>
      <c r="CG102" s="3" t="n"/>
      <c r="CH102" s="3" t="n"/>
      <c r="CI102" s="3" t="n"/>
      <c r="CJ102" s="3" t="n"/>
      <c r="CK102" s="3" t="n"/>
      <c r="CL102" s="3" t="n"/>
      <c r="CM102" s="3" t="n"/>
      <c r="CN102" s="3" t="n"/>
      <c r="CO102" s="3" t="n"/>
      <c r="CP102" s="3" t="n"/>
      <c r="CQ102" s="3" t="n"/>
      <c r="CR102" s="3" t="n"/>
      <c r="CS102" s="3" t="n"/>
      <c r="CT102" s="3" t="n"/>
      <c r="CU102" s="3" t="n"/>
      <c r="CV102" s="3" t="n"/>
      <c r="CW102" s="3" t="n"/>
      <c r="CX102" s="3" t="n"/>
      <c r="CY102" s="3" t="n"/>
    </row>
    <row r="103" hidden="1" outlineLevel="1">
      <c r="C103" s="34" t="inlineStr">
        <is>
          <t>RECEITAS FINANCEIRAS - Descontos obtidos de fornecedores por antecipação</t>
        </is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  <c r="BZ103" s="3" t="n"/>
      <c r="CA103" s="3" t="n"/>
      <c r="CB103" s="3" t="n"/>
      <c r="CC103" s="3" t="n"/>
      <c r="CD103" s="3" t="n"/>
      <c r="CE103" s="3" t="n"/>
      <c r="CF103" s="3" t="n"/>
      <c r="CG103" s="3" t="n"/>
      <c r="CH103" s="3" t="n"/>
      <c r="CI103" s="3" t="n"/>
      <c r="CJ103" s="3" t="n"/>
      <c r="CK103" s="3" t="n"/>
      <c r="CL103" s="3" t="n"/>
      <c r="CM103" s="3" t="n"/>
      <c r="CN103" s="3" t="n"/>
      <c r="CO103" s="3" t="n"/>
      <c r="CP103" s="3" t="n"/>
      <c r="CQ103" s="3" t="n"/>
      <c r="CR103" s="3" t="n"/>
      <c r="CS103" s="3" t="n"/>
      <c r="CT103" s="3" t="n"/>
      <c r="CU103" s="3" t="n"/>
      <c r="CV103" s="3" t="n"/>
      <c r="CW103" s="3" t="n"/>
      <c r="CX103" s="3" t="n"/>
      <c r="CY103" s="3" t="n"/>
    </row>
    <row r="104" hidden="1" outlineLevel="1">
      <c r="C104" s="34" t="inlineStr">
        <is>
          <t>RECEITAS FINANCEIRAS - Atualização monetária sobre Exclusão ICMS da base de PIS/COFINS (nota explicativa nº 7)</t>
        </is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  <c r="BZ104" s="3" t="n"/>
      <c r="CA104" s="3" t="n"/>
      <c r="CB104" s="3" t="n"/>
      <c r="CC104" s="3" t="n"/>
      <c r="CD104" s="3" t="n"/>
      <c r="CE104" s="3" t="n"/>
      <c r="CF104" s="3" t="n"/>
      <c r="CG104" s="3" t="n"/>
      <c r="CH104" s="3" t="n"/>
      <c r="CI104" s="3" t="n"/>
      <c r="CJ104" s="3" t="n"/>
      <c r="CK104" s="3" t="n"/>
      <c r="CL104" s="3" t="n"/>
      <c r="CM104" s="3" t="n"/>
      <c r="CN104" s="3" t="n"/>
      <c r="CO104" s="3" t="n"/>
      <c r="CP104" s="3" t="n"/>
      <c r="CQ104" s="3" t="n"/>
      <c r="CR104" s="3" t="n"/>
      <c r="CS104" s="3" t="n"/>
      <c r="CT104" s="3" t="n"/>
      <c r="CU104" s="3" t="n"/>
      <c r="CV104" s="3" t="n"/>
      <c r="CW104" s="3" t="n"/>
      <c r="CX104" s="3" t="n"/>
      <c r="CY104" s="3" t="n"/>
    </row>
    <row r="105" hidden="1" outlineLevel="1">
      <c r="C105" s="34" t="inlineStr">
        <is>
          <t>RECEITAS FINANCEIRAS - Outras</t>
        </is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/>
      <c r="CF105" s="3" t="n"/>
      <c r="CG105" s="3" t="n"/>
      <c r="CH105" s="3" t="n"/>
      <c r="CI105" s="3" t="n"/>
      <c r="CJ105" s="3" t="n"/>
      <c r="CK105" s="3" t="n"/>
      <c r="CL105" s="3" t="n"/>
      <c r="CM105" s="3" t="n"/>
      <c r="CN105" s="3" t="n"/>
      <c r="CO105" s="3" t="n"/>
      <c r="CP105" s="3" t="n"/>
      <c r="CQ105" s="3" t="n"/>
      <c r="CR105" s="3" t="n"/>
      <c r="CS105" s="3" t="n"/>
      <c r="CT105" s="3" t="n"/>
      <c r="CU105" s="3" t="n"/>
      <c r="CV105" s="3" t="n"/>
      <c r="CW105" s="3" t="n"/>
      <c r="CX105" s="3" t="n"/>
      <c r="CY105" s="3" t="n"/>
    </row>
    <row r="106" hidden="1" outlineLevel="1">
      <c r="C106" s="34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  <c r="BZ106" s="3" t="n"/>
      <c r="CA106" s="3" t="n"/>
      <c r="CB106" s="3" t="n"/>
      <c r="CC106" s="3" t="n"/>
      <c r="CD106" s="3" t="n"/>
      <c r="CE106" s="3" t="n"/>
      <c r="CF106" s="3" t="n"/>
      <c r="CG106" s="3" t="n"/>
      <c r="CH106" s="3" t="n"/>
      <c r="CI106" s="3" t="n"/>
      <c r="CJ106" s="3" t="n"/>
      <c r="CK106" s="3" t="n"/>
      <c r="CL106" s="3" t="n"/>
      <c r="CM106" s="3" t="n"/>
      <c r="CN106" s="3" t="n"/>
      <c r="CO106" s="3" t="n"/>
      <c r="CP106" s="3" t="n"/>
      <c r="CQ106" s="3" t="n"/>
      <c r="CR106" s="3" t="n"/>
      <c r="CS106" s="3" t="n"/>
      <c r="CT106" s="3" t="n"/>
      <c r="CU106" s="3" t="n"/>
      <c r="CV106" s="3" t="n"/>
      <c r="CW106" s="3" t="n"/>
      <c r="CX106" s="3" t="n"/>
      <c r="CY106" s="3" t="n"/>
    </row>
    <row r="107" hidden="1" outlineLevel="1">
      <c r="C107" s="34" t="inlineStr">
        <is>
          <t>DESPESAS FINANCEIRAS - Encargos sobre empréstimos, financiamentos e debêntures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  <c r="BZ107" s="3" t="n"/>
      <c r="CA107" s="3" t="n"/>
      <c r="CB107" s="3" t="n"/>
      <c r="CC107" s="3" t="n"/>
      <c r="CD107" s="3" t="n"/>
      <c r="CE107" s="3" t="n"/>
      <c r="CF107" s="3" t="n"/>
      <c r="CG107" s="3" t="n"/>
      <c r="CH107" s="3" t="n"/>
      <c r="CI107" s="3" t="n"/>
      <c r="CJ107" s="3" t="n"/>
      <c r="CK107" s="3" t="n"/>
      <c r="CL107" s="3" t="n"/>
      <c r="CM107" s="3" t="n"/>
      <c r="CN107" s="3" t="n"/>
      <c r="CO107" s="3" t="n"/>
      <c r="CP107" s="3" t="n"/>
      <c r="CQ107" s="3" t="n"/>
      <c r="CR107" s="3" t="n"/>
      <c r="CS107" s="3" t="n"/>
      <c r="CT107" s="3" t="n"/>
      <c r="CU107" s="3" t="n"/>
      <c r="CV107" s="3" t="n"/>
      <c r="CW107" s="3" t="n"/>
      <c r="CX107" s="3" t="n"/>
      <c r="CY107" s="3" t="n"/>
    </row>
    <row r="108" hidden="1" outlineLevel="1">
      <c r="C108" s="34" t="inlineStr">
        <is>
          <t>DESPESAS FINANCEIRAS - Variação cambial passiva</t>
        </is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  <c r="BZ108" s="3" t="n"/>
      <c r="CA108" s="3" t="n"/>
      <c r="CB108" s="3" t="n"/>
      <c r="CC108" s="3" t="n"/>
      <c r="CD108" s="3" t="n"/>
      <c r="CE108" s="3" t="n"/>
      <c r="CF108" s="3" t="n"/>
      <c r="CG108" s="3" t="n"/>
      <c r="CH108" s="3" t="n"/>
      <c r="CI108" s="3" t="n"/>
      <c r="CJ108" s="3" t="n"/>
      <c r="CK108" s="3" t="n"/>
      <c r="CL108" s="3" t="n"/>
      <c r="CM108" s="3" t="n"/>
      <c r="CN108" s="3" t="n"/>
      <c r="CO108" s="3" t="n"/>
      <c r="CP108" s="3" t="n"/>
      <c r="CQ108" s="3" t="n"/>
      <c r="CR108" s="3" t="n"/>
      <c r="CS108" s="3" t="n"/>
      <c r="CT108" s="3" t="n"/>
      <c r="CU108" s="3" t="n"/>
      <c r="CV108" s="3" t="n"/>
      <c r="CW108" s="3" t="n"/>
      <c r="CX108" s="3" t="n"/>
      <c r="CY108" s="3" t="n"/>
    </row>
    <row r="109" hidden="1" outlineLevel="1">
      <c r="C109" s="34" t="inlineStr">
        <is>
          <t>DESPESAS FINANCEIRAS - Resultado negativo com instrumentos derivativos</t>
        </is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  <c r="BZ109" s="3" t="n"/>
      <c r="CA109" s="3" t="n"/>
      <c r="CB109" s="3" t="n"/>
      <c r="CC109" s="3" t="n"/>
      <c r="CD109" s="3" t="n"/>
      <c r="CE109" s="3" t="n"/>
      <c r="CF109" s="3" t="n"/>
      <c r="CG109" s="3" t="n"/>
      <c r="CH109" s="3" t="n"/>
      <c r="CI109" s="3" t="n"/>
      <c r="CJ109" s="3" t="n"/>
      <c r="CK109" s="3" t="n"/>
      <c r="CL109" s="3" t="n"/>
      <c r="CM109" s="3" t="n"/>
      <c r="CN109" s="3" t="n"/>
      <c r="CO109" s="3" t="n"/>
      <c r="CP109" s="3" t="n"/>
      <c r="CQ109" s="3" t="n"/>
      <c r="CR109" s="3" t="n"/>
      <c r="CS109" s="3" t="n"/>
      <c r="CT109" s="3" t="n"/>
      <c r="CU109" s="3" t="n"/>
      <c r="CV109" s="3" t="n"/>
      <c r="CW109" s="3" t="n"/>
      <c r="CX109" s="3" t="n"/>
      <c r="CY109" s="3" t="n"/>
    </row>
    <row r="110" hidden="1" outlineLevel="1">
      <c r="C110" s="34" t="inlineStr">
        <is>
          <t>DESPESAS FINANCEIRAS - Juros sobre arrendamento - IFRS16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  <c r="BZ110" s="3" t="n"/>
      <c r="CA110" s="3" t="n"/>
      <c r="CB110" s="3" t="n"/>
      <c r="CC110" s="3" t="n"/>
      <c r="CD110" s="3" t="n"/>
      <c r="CE110" s="3" t="n"/>
      <c r="CF110" s="3" t="n"/>
      <c r="CG110" s="3" t="n"/>
      <c r="CH110" s="3" t="n"/>
      <c r="CI110" s="3" t="n"/>
      <c r="CJ110" s="3" t="n"/>
      <c r="CK110" s="3" t="n"/>
      <c r="CL110" s="3" t="n"/>
      <c r="CM110" s="3" t="n"/>
      <c r="CN110" s="3" t="n"/>
      <c r="CO110" s="3" t="n"/>
      <c r="CP110" s="3" t="n"/>
      <c r="CQ110" s="3" t="n"/>
      <c r="CR110" s="3" t="n"/>
      <c r="CS110" s="3" t="n"/>
      <c r="CT110" s="3" t="n"/>
      <c r="CU110" s="3" t="n"/>
      <c r="CV110" s="3" t="n"/>
      <c r="CW110" s="3" t="n"/>
      <c r="CX110" s="3" t="n"/>
      <c r="CY110" s="3" t="n"/>
    </row>
    <row r="111" hidden="1" outlineLevel="1">
      <c r="C111" s="34" t="inlineStr">
        <is>
          <t>DESPESAS FINANCEIRAS - Despesas bancárias</t>
        </is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  <c r="BZ111" s="3" t="n"/>
      <c r="CA111" s="3" t="n"/>
      <c r="CB111" s="3" t="n"/>
      <c r="CC111" s="3" t="n"/>
      <c r="CD111" s="3" t="n"/>
      <c r="CE111" s="3" t="n"/>
      <c r="CF111" s="3" t="n"/>
      <c r="CG111" s="3" t="n"/>
      <c r="CH111" s="3" t="n"/>
      <c r="CI111" s="3" t="n"/>
      <c r="CJ111" s="3" t="n"/>
      <c r="CK111" s="3" t="n"/>
      <c r="CL111" s="3" t="n"/>
      <c r="CM111" s="3" t="n"/>
      <c r="CN111" s="3" t="n"/>
      <c r="CO111" s="3" t="n"/>
      <c r="CP111" s="3" t="n"/>
      <c r="CQ111" s="3" t="n"/>
      <c r="CR111" s="3" t="n"/>
      <c r="CS111" s="3" t="n"/>
      <c r="CT111" s="3" t="n"/>
      <c r="CU111" s="3" t="n"/>
      <c r="CV111" s="3" t="n"/>
      <c r="CW111" s="3" t="n"/>
      <c r="CX111" s="3" t="n"/>
      <c r="CY111" s="3" t="n"/>
    </row>
    <row r="112" hidden="1" outlineLevel="1">
      <c r="C112" s="34" t="inlineStr">
        <is>
          <t>DESPESAS FINANCEIRAS - Despesas com obtenção de empréstimos e financiamentos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  <c r="BZ112" s="3" t="n"/>
      <c r="CA112" s="3" t="n"/>
      <c r="CB112" s="3" t="n"/>
      <c r="CC112" s="3" t="n"/>
      <c r="CD112" s="3" t="n"/>
      <c r="CE112" s="3" t="n"/>
      <c r="CF112" s="3" t="n"/>
      <c r="CG112" s="3" t="n"/>
      <c r="CH112" s="3" t="n"/>
      <c r="CI112" s="3" t="n"/>
      <c r="CJ112" s="3" t="n"/>
      <c r="CK112" s="3" t="n"/>
      <c r="CL112" s="3" t="n"/>
      <c r="CM112" s="3" t="n"/>
      <c r="CN112" s="3" t="n"/>
      <c r="CO112" s="3" t="n"/>
      <c r="CP112" s="3" t="n"/>
      <c r="CQ112" s="3" t="n"/>
      <c r="CR112" s="3" t="n"/>
      <c r="CS112" s="3" t="n"/>
      <c r="CT112" s="3" t="n"/>
      <c r="CU112" s="3" t="n"/>
      <c r="CV112" s="3" t="n"/>
      <c r="CW112" s="3" t="n"/>
      <c r="CX112" s="3" t="n"/>
      <c r="CY112" s="3" t="n"/>
    </row>
    <row r="113" hidden="1" outlineLevel="1">
      <c r="C113" s="34" t="inlineStr">
        <is>
          <t>DESPESAS FINANCEIRAS - Atualização de contas a pagar por aquisição de empresas</t>
        </is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  <c r="BZ113" s="3" t="n"/>
      <c r="CA113" s="3" t="n"/>
      <c r="CB113" s="3" t="n"/>
      <c r="CC113" s="3" t="n"/>
      <c r="CD113" s="3" t="n"/>
      <c r="CE113" s="3" t="n"/>
      <c r="CF113" s="3" t="n"/>
      <c r="CG113" s="3" t="n"/>
      <c r="CH113" s="3" t="n"/>
      <c r="CI113" s="3" t="n"/>
      <c r="CJ113" s="3" t="n"/>
      <c r="CK113" s="3" t="n"/>
      <c r="CL113" s="3" t="n"/>
      <c r="CM113" s="3" t="n"/>
      <c r="CN113" s="3" t="n"/>
      <c r="CO113" s="3" t="n"/>
      <c r="CP113" s="3" t="n"/>
      <c r="CQ113" s="3" t="n"/>
      <c r="CR113" s="3" t="n"/>
      <c r="CS113" s="3" t="n"/>
      <c r="CT113" s="3" t="n"/>
      <c r="CU113" s="3" t="n"/>
      <c r="CV113" s="3" t="n"/>
      <c r="CW113" s="3" t="n"/>
      <c r="CX113" s="3" t="n"/>
      <c r="CY113" s="3" t="n"/>
    </row>
    <row r="114" hidden="1" outlineLevel="1">
      <c r="C114" s="34" t="inlineStr">
        <is>
          <t>DESPESAS FINANCEIRAS - Outras</t>
        </is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  <c r="BZ114" s="3" t="n"/>
      <c r="CA114" s="3" t="n"/>
      <c r="CB114" s="3" t="n"/>
      <c r="CC114" s="3" t="n"/>
      <c r="CD114" s="3" t="n"/>
      <c r="CE114" s="3" t="n"/>
      <c r="CF114" s="3" t="n"/>
      <c r="CG114" s="3" t="n"/>
      <c r="CH114" s="3" t="n"/>
      <c r="CI114" s="3" t="n"/>
      <c r="CJ114" s="3" t="n"/>
      <c r="CK114" s="3" t="n"/>
      <c r="CL114" s="3" t="n"/>
      <c r="CM114" s="3" t="n"/>
      <c r="CN114" s="3" t="n"/>
      <c r="CO114" s="3" t="n"/>
      <c r="CP114" s="3" t="n"/>
      <c r="CQ114" s="3" t="n"/>
      <c r="CR114" s="3" t="n"/>
      <c r="CS114" s="3" t="n"/>
      <c r="CT114" s="3" t="n"/>
      <c r="CU114" s="3" t="n"/>
      <c r="CV114" s="3" t="n"/>
      <c r="CW114" s="3" t="n"/>
      <c r="CX114" s="3" t="n"/>
      <c r="CY114" s="3" t="n"/>
    </row>
    <row r="115" hidden="1" outlineLevel="1">
      <c r="C115" s="34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  <c r="BZ115" s="3" t="n"/>
      <c r="CA115" s="3" t="n"/>
      <c r="CB115" s="3" t="n"/>
      <c r="CC115" s="3" t="n"/>
      <c r="CD115" s="3" t="n"/>
      <c r="CE115" s="3" t="n"/>
      <c r="CF115" s="3" t="n"/>
      <c r="CG115" s="3" t="n"/>
      <c r="CH115" s="3" t="n"/>
      <c r="CI115" s="3" t="n"/>
      <c r="CJ115" s="3" t="n"/>
      <c r="CK115" s="3" t="n"/>
      <c r="CL115" s="3" t="n"/>
      <c r="CM115" s="3" t="n"/>
      <c r="CN115" s="3" t="n"/>
      <c r="CO115" s="3" t="n"/>
      <c r="CP115" s="3" t="n"/>
      <c r="CQ115" s="3" t="n"/>
      <c r="CR115" s="3" t="n"/>
      <c r="CS115" s="3" t="n"/>
      <c r="CT115" s="3" t="n"/>
      <c r="CU115" s="3" t="n"/>
      <c r="CV115" s="3" t="n"/>
      <c r="CW115" s="3" t="n"/>
      <c r="CX115" s="3" t="n"/>
      <c r="CY115" s="3" t="n"/>
    </row>
    <row r="116" hidden="1" outlineLevel="1">
      <c r="C116" s="34" t="inlineStr">
        <is>
          <t>CHECK [EX IFRS-16]</t>
        </is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  <c r="BZ116" s="3" t="n"/>
      <c r="CA116" s="3" t="n"/>
      <c r="CB116" s="3" t="n"/>
      <c r="CC116" s="3" t="n"/>
      <c r="CD116" s="3" t="n"/>
      <c r="CE116" s="3" t="n"/>
      <c r="CF116" s="3" t="n"/>
      <c r="CG116" s="3" t="n"/>
      <c r="CH116" s="3" t="n"/>
      <c r="CI116" s="3" t="n"/>
      <c r="CJ116" s="3" t="n"/>
      <c r="CK116" s="3" t="n"/>
      <c r="CL116" s="3" t="n"/>
      <c r="CM116" s="3" t="n"/>
      <c r="CN116" s="3" t="n"/>
      <c r="CO116" s="3" t="n"/>
      <c r="CP116" s="3" t="n"/>
      <c r="CQ116" s="3" t="n"/>
      <c r="CR116" s="3" t="n"/>
      <c r="CS116" s="3" t="n"/>
      <c r="CT116" s="3" t="n"/>
      <c r="CU116" s="3" t="n"/>
      <c r="CV116" s="3" t="n"/>
      <c r="CW116" s="3" t="n"/>
      <c r="CX116" s="3" t="n"/>
      <c r="CY116" s="3" t="n"/>
    </row>
    <row r="117" hidden="1" outlineLevel="1">
      <c r="C117" s="34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  <c r="BZ117" s="3" t="n"/>
      <c r="CA117" s="3" t="n"/>
      <c r="CB117" s="3" t="n"/>
      <c r="CC117" s="3" t="n"/>
      <c r="CD117" s="3" t="n"/>
      <c r="CE117" s="3" t="n"/>
      <c r="CF117" s="3" t="n"/>
      <c r="CG117" s="3" t="n"/>
      <c r="CH117" s="3" t="n"/>
      <c r="CI117" s="3" t="n"/>
      <c r="CJ117" s="3" t="n"/>
      <c r="CK117" s="3" t="n"/>
      <c r="CL117" s="3" t="n"/>
      <c r="CM117" s="3" t="n"/>
      <c r="CN117" s="3" t="n"/>
      <c r="CO117" s="3" t="n"/>
      <c r="CP117" s="3" t="n"/>
      <c r="CQ117" s="3" t="n"/>
      <c r="CR117" s="3" t="n"/>
      <c r="CS117" s="3" t="n"/>
      <c r="CT117" s="3" t="n"/>
      <c r="CU117" s="3" t="n"/>
      <c r="CV117" s="3" t="n"/>
      <c r="CW117" s="3" t="n"/>
      <c r="CX117" s="3" t="n"/>
      <c r="CY117" s="3" t="n"/>
    </row>
    <row r="118" collapsed="1">
      <c r="C118" s="26" t="inlineStr">
        <is>
          <t>Nonoperating Income / (Loss)</t>
        </is>
      </c>
      <c r="D118" s="25">
        <f>INDEX('Inputs (2)'!$D$9:$AL$9,MATCH(D$7,'Inputs (2)'!$D$2:$AL$2,0))</f>
        <v>1772.4</v>
      </c>
      <c r="E118" s="25">
        <f>INDEX('Inputs (2)'!$D$9:$AL$9,MATCH(E$7,'Inputs (2)'!$D$2:$AL$2,0))</f>
        <v>1732</v>
      </c>
      <c r="F118" s="25">
        <f>INDEX('Inputs (2)'!$D$9:$AL$9,MATCH(F$7,'Inputs (2)'!$D$2:$AL$2,0))</f>
        <v>1526.8</v>
      </c>
      <c r="G118" s="25">
        <f>INDEX('Inputs (2)'!$D$9:$AL$9,MATCH(G$7,'Inputs (2)'!$D$2:$AL$2,0))</f>
        <v>2558.3</v>
      </c>
      <c r="H118" s="3">
        <f>SUM(D118:G118)</f>
        <v>7589.5</v>
      </c>
      <c r="I118" s="25">
        <f>INDEX('Inputs (2)'!$D$9:$AL$9,MATCH(I$7,'Inputs (2)'!$D$2:$AL$2,0))</f>
        <v>1564.2</v>
      </c>
      <c r="J118" s="25">
        <f>INDEX('Inputs (2)'!$D$9:$AL$9,MATCH(J$7,'Inputs (2)'!$D$2:$AL$2,0))</f>
        <v>1680.8</v>
      </c>
      <c r="K118" s="25">
        <f>INDEX('Inputs (2)'!$D$9:$AL$9,MATCH(K$7,'Inputs (2)'!$D$2:$AL$2,0))</f>
        <v>1328.9</v>
      </c>
      <c r="L118" s="25">
        <f>INDEX('Inputs (2)'!$D$9:$AL$9,MATCH(L$7,'Inputs (2)'!$D$2:$AL$2,0))</f>
        <v>1921.3</v>
      </c>
      <c r="M118" s="3">
        <f>SUM(I118:L118)</f>
        <v>6495.2</v>
      </c>
      <c r="N118" s="25">
        <f>INDEX('Inputs (2)'!$D$9:$AL$9,MATCH(N$7,'Inputs (2)'!$D$2:$AL$2,0))</f>
        <v>2138.5</v>
      </c>
      <c r="O118" s="25">
        <f>INDEX('Inputs (2)'!$D$9:$AL$9,MATCH(O$7,'Inputs (2)'!$D$2:$AL$2,0))</f>
        <v>1172.1</v>
      </c>
      <c r="P118" s="25">
        <f>INDEX('Inputs (2)'!$D$9:$AL$9,MATCH(P$7,'Inputs (2)'!$D$2:$AL$2,0))</f>
        <v>1647</v>
      </c>
      <c r="Q118" s="25">
        <f>INDEX('Inputs (2)'!$D$9:$AL$9,MATCH(Q$7,'Inputs (2)'!$D$2:$AL$2,0))</f>
        <v>2180.4</v>
      </c>
      <c r="R118" s="3">
        <f>SUM(N118:Q118)</f>
        <v>7138</v>
      </c>
      <c r="S118" s="25">
        <f>INDEX('Inputs (2)'!$D$9:$AL$9,MATCH(S$7,'Inputs (2)'!$D$2:$AL$2,0))</f>
        <v>1632.5</v>
      </c>
      <c r="T118" s="25">
        <f>INDEX('Inputs (2)'!$D$9:$AL$9,MATCH(T$7,'Inputs (2)'!$D$2:$AL$2,0))</f>
        <v>2209.2</v>
      </c>
      <c r="U118" s="25">
        <f>INDEX('Inputs (2)'!$D$9:$AL$9,MATCH(U$7,'Inputs (2)'!$D$2:$AL$2,0))</f>
        <v>551.8</v>
      </c>
      <c r="V118" s="25">
        <f>INDEX('Inputs (2)'!$D$9:$AL$9,MATCH(V$7,'Inputs (2)'!$D$2:$AL$2,0))</f>
        <v>2647</v>
      </c>
      <c r="W118" s="3">
        <f>SUM(S118:V118)</f>
        <v>7040.5</v>
      </c>
      <c r="X118" s="25">
        <f>INDEX('Inputs (2)'!$D$9:$AL$9,MATCH(X$7,'Inputs (2)'!$D$2:$AL$2,0))</f>
        <v>2715.7</v>
      </c>
      <c r="Y118" s="25">
        <f>INDEX('Inputs (2)'!$D$9:$AL$9,MATCH(Y$7,'Inputs (2)'!$D$2:$AL$2,0))</f>
        <v>3700.8</v>
      </c>
      <c r="Z118" s="25">
        <f>INDEX('Inputs (2)'!$D$9:$AL$9,MATCH(Z$7,'Inputs (2)'!$D$2:$AL$2,0))</f>
        <v>1781.1</v>
      </c>
      <c r="AA118" s="25">
        <f>INDEX('Inputs (2)'!$D$9:$AL$9,MATCH(AA$7,'Inputs (2)'!$D$2:$AL$2,0))</f>
        <v>5263.4</v>
      </c>
      <c r="AB118" s="3">
        <f>SUM(X118:AA118)</f>
        <v>13461</v>
      </c>
      <c r="AC118" s="25">
        <f>INDEX('Inputs (2)'!$D$9:$AL$9,MATCH(AC$7,'Inputs (2)'!$D$2:$AL$2,0))</f>
        <v>3699.7</v>
      </c>
      <c r="AD118" s="25">
        <f>INDEX('Inputs (2)'!$D$9:$AL$9,MATCH(AD$7,'Inputs (2)'!$D$2:$AL$2,0))</f>
        <v>7026</v>
      </c>
      <c r="AE118" s="25">
        <f>INDEX('Inputs (2)'!$D$9:$AL$9,MATCH(AE$7,'Inputs (2)'!$D$2:$AL$2,0))</f>
        <v>7412</v>
      </c>
      <c r="AF118" s="25">
        <f>INDEX('Inputs (2)'!$D$9:$AL$9,MATCH(AF$7,'Inputs (2)'!$D$2:$AL$2,0))</f>
        <v>8488.8</v>
      </c>
      <c r="AG118" s="3">
        <f>SUM(AC118:AF118)</f>
        <v>26626.5</v>
      </c>
      <c r="AH118" s="3">
        <f>INDEX('Inputs (2)'!$D$9:$AL$9,MATCH(AH$7,'Inputs (2)'!$D$2:$AL$2,0))</f>
        <v>8850</v>
      </c>
      <c r="AI118" s="3">
        <f>INDEX('Inputs (2)'!$D$9:$AL$9,MATCH(AI$7,'Inputs (2)'!$D$2:$AL$2,0))</f>
        <v>9247</v>
      </c>
      <c r="AJ118" s="3">
        <f>AH118</f>
        <v>8850</v>
      </c>
      <c r="AK118" s="3">
        <f>AI118</f>
        <v>9247</v>
      </c>
      <c r="AL118" s="3">
        <f>SUM(AH118:AK118)</f>
        <v>36194</v>
      </c>
      <c r="AM118" s="3">
        <f>AK118</f>
        <v>9247</v>
      </c>
      <c r="AN118" s="3">
        <f>AL118</f>
        <v>36194</v>
      </c>
      <c r="AO118" s="3">
        <f>AM118</f>
        <v>9247</v>
      </c>
      <c r="AP118" s="3">
        <f>AN118</f>
        <v>36194</v>
      </c>
      <c r="AQ118" s="3">
        <f>SUM(AM118:AP118)</f>
        <v>90882</v>
      </c>
      <c r="AR118" s="3">
        <f>AP118</f>
        <v>36194</v>
      </c>
      <c r="AS118" s="3">
        <f>AQ118</f>
        <v>90882</v>
      </c>
      <c r="AT118" s="3">
        <f>AR118</f>
        <v>36194</v>
      </c>
      <c r="AU118" s="3">
        <f>AS118</f>
        <v>90882</v>
      </c>
      <c r="AV118" s="3">
        <f>SUM(AR118:AU118)</f>
        <v>254152</v>
      </c>
      <c r="AW118" s="3">
        <f>AU118</f>
        <v>90882</v>
      </c>
      <c r="AX118" s="3">
        <f>AV118</f>
        <v>254152</v>
      </c>
      <c r="AY118" s="3">
        <f>AW118</f>
        <v>90882</v>
      </c>
      <c r="AZ118" s="3">
        <f>AX118</f>
        <v>254152</v>
      </c>
      <c r="BA118" s="3">
        <f>SUM(AW118:AZ118)</f>
        <v>690068</v>
      </c>
      <c r="BB118" s="3">
        <f>AZ118</f>
        <v>254152</v>
      </c>
      <c r="BC118" s="3">
        <f>BA118</f>
        <v>690068</v>
      </c>
      <c r="BD118" s="3">
        <f>BB118</f>
        <v>254152</v>
      </c>
      <c r="BE118" s="3">
        <f>BC118</f>
        <v>690068</v>
      </c>
      <c r="BF118" s="3">
        <f>SUM(BB118:BE118)</f>
        <v>1888440</v>
      </c>
      <c r="BG118" s="3">
        <f>BE118</f>
        <v>690068</v>
      </c>
      <c r="BH118" s="3">
        <f>BF118</f>
        <v>1888440</v>
      </c>
      <c r="BI118" s="3">
        <f>BG118</f>
        <v>690068</v>
      </c>
      <c r="BJ118" s="3">
        <f>BH118</f>
        <v>1888440</v>
      </c>
      <c r="BK118" s="3">
        <f>SUM(BG118:BJ118)</f>
        <v>5157016</v>
      </c>
      <c r="BL118" s="3">
        <f>BJ118</f>
        <v>1888440</v>
      </c>
      <c r="BM118" s="3">
        <f>BK118</f>
        <v>5157016</v>
      </c>
      <c r="BN118" s="3">
        <f>BL118</f>
        <v>1888440</v>
      </c>
      <c r="BO118" s="3">
        <f>BM118</f>
        <v>5157016</v>
      </c>
      <c r="BP118" s="3">
        <f>SUM(BL118:BO118)</f>
        <v>14090912</v>
      </c>
      <c r="BQ118" s="3">
        <f>BO118</f>
        <v>5157016</v>
      </c>
      <c r="BR118" s="3">
        <f>BP118</f>
        <v>14090912</v>
      </c>
      <c r="BS118" s="3">
        <f>BQ118</f>
        <v>5157016</v>
      </c>
      <c r="BT118" s="3">
        <f>BR118</f>
        <v>14090912</v>
      </c>
      <c r="BU118" s="3">
        <f>SUM(BQ118:BT118)</f>
        <v>38495856</v>
      </c>
      <c r="BV118" s="3">
        <f>BT118</f>
        <v>14090912</v>
      </c>
      <c r="BW118" s="3">
        <f>BU118</f>
        <v>38495856</v>
      </c>
      <c r="BX118" s="3">
        <f>BV118</f>
        <v>14090912</v>
      </c>
      <c r="BY118" s="3">
        <f>BW118</f>
        <v>38495856</v>
      </c>
      <c r="BZ118" s="3">
        <f>SUM(BV118:BY118)</f>
        <v>105173536</v>
      </c>
      <c r="CA118" s="3">
        <f>BY118</f>
        <v>38495856</v>
      </c>
      <c r="CB118" s="3">
        <f>BZ118</f>
        <v>105173536</v>
      </c>
      <c r="CC118" s="3">
        <f>CA118</f>
        <v>38495856</v>
      </c>
      <c r="CD118" s="3">
        <f>CB118</f>
        <v>105173536</v>
      </c>
      <c r="CE118" s="3">
        <f>SUM(CA118:CD118)</f>
        <v>287338784</v>
      </c>
      <c r="CF118" s="3">
        <f>CD118</f>
        <v>105173536</v>
      </c>
      <c r="CG118" s="3">
        <f>CE118</f>
        <v>287338784</v>
      </c>
      <c r="CH118" s="3">
        <f>CF118</f>
        <v>105173536</v>
      </c>
      <c r="CI118" s="3">
        <f>CG118</f>
        <v>287338784</v>
      </c>
      <c r="CJ118" s="3">
        <f>SUM(CF118:CI118)</f>
        <v>785024640</v>
      </c>
      <c r="CK118" s="3">
        <f>CI118</f>
        <v>287338784</v>
      </c>
      <c r="CL118" s="3">
        <f>CJ118</f>
        <v>785024640</v>
      </c>
      <c r="CM118" s="3">
        <f>CK118</f>
        <v>287338784</v>
      </c>
      <c r="CN118" s="3">
        <f>CL118</f>
        <v>785024640</v>
      </c>
      <c r="CO118" s="3">
        <f>SUM(CK118:CN118)</f>
        <v>2144726848</v>
      </c>
      <c r="CP118" s="3">
        <f>CN118</f>
        <v>785024640</v>
      </c>
      <c r="CQ118" s="3">
        <f>CO118</f>
        <v>2144726848</v>
      </c>
      <c r="CR118" s="3">
        <f>CP118</f>
        <v>785024640</v>
      </c>
      <c r="CS118" s="3">
        <f>CQ118</f>
        <v>2144726848</v>
      </c>
      <c r="CT118" s="3">
        <f>SUM(CP118:CS118)</f>
        <v>5859502976</v>
      </c>
      <c r="CU118" s="3">
        <f>CS118</f>
        <v>2144726848</v>
      </c>
      <c r="CV118" s="3">
        <f>CT118</f>
        <v>5859502976</v>
      </c>
      <c r="CW118" s="3">
        <f>CU118</f>
        <v>2144726848</v>
      </c>
      <c r="CX118" s="3">
        <f>CV118</f>
        <v>5859502976</v>
      </c>
      <c r="CY118" s="3">
        <f>SUM(CU118:CX118)</f>
        <v>16008459648</v>
      </c>
    </row>
    <row r="119" hidden="1" outlineLevel="1">
      <c r="C119" s="34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  <c r="BZ119" s="3" t="n"/>
      <c r="CA119" s="3" t="n"/>
      <c r="CB119" s="3" t="n"/>
      <c r="CC119" s="3" t="n"/>
      <c r="CD119" s="3" t="n"/>
      <c r="CE119" s="3" t="n"/>
      <c r="CF119" s="3" t="n"/>
      <c r="CG119" s="3" t="n"/>
      <c r="CH119" s="3" t="n"/>
      <c r="CI119" s="3" t="n"/>
      <c r="CJ119" s="3" t="n"/>
      <c r="CK119" s="3" t="n"/>
      <c r="CL119" s="3" t="n"/>
      <c r="CM119" s="3" t="n"/>
      <c r="CN119" s="3" t="n"/>
      <c r="CO119" s="3" t="n"/>
      <c r="CP119" s="3" t="n"/>
      <c r="CQ119" s="3" t="n"/>
      <c r="CR119" s="3" t="n"/>
      <c r="CS119" s="3" t="n"/>
      <c r="CT119" s="3" t="n"/>
      <c r="CU119" s="3" t="n"/>
      <c r="CV119" s="3" t="n"/>
      <c r="CW119" s="3" t="n"/>
      <c r="CX119" s="3" t="n"/>
      <c r="CY119" s="3" t="n"/>
    </row>
    <row r="120" hidden="1" outlineLevel="1">
      <c r="C120" s="32" t="inlineStr">
        <is>
          <t>Resultado Não Recorrente</t>
        </is>
      </c>
      <c r="D120" s="6" t="n"/>
      <c r="E120" s="6" t="n"/>
      <c r="F120" s="6" t="n"/>
      <c r="G120" s="6" t="n"/>
      <c r="H120" s="3" t="n"/>
      <c r="I120" s="6" t="n"/>
      <c r="J120" s="6" t="n"/>
      <c r="K120" s="6" t="n"/>
      <c r="L120" s="6" t="n"/>
      <c r="M120" s="3" t="n"/>
      <c r="N120" s="6" t="n"/>
      <c r="O120" s="6" t="n"/>
      <c r="P120" s="6" t="n"/>
      <c r="Q120" s="6" t="n"/>
      <c r="R120" s="3" t="n"/>
      <c r="S120" s="6" t="n"/>
      <c r="T120" s="6" t="n"/>
      <c r="U120" s="6" t="n"/>
      <c r="V120" s="6" t="n"/>
      <c r="W120" s="3" t="n"/>
      <c r="X120" s="6" t="n"/>
      <c r="Y120" s="6" t="n"/>
      <c r="Z120" s="6" t="n"/>
      <c r="AA120" s="6" t="n"/>
      <c r="AB120" s="3" t="n"/>
      <c r="AC120" s="6" t="n"/>
      <c r="AD120" s="6" t="n"/>
      <c r="AE120" s="6" t="n"/>
      <c r="AF120" s="6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  <c r="BZ120" s="3" t="n"/>
      <c r="CA120" s="3" t="n"/>
      <c r="CB120" s="3" t="n"/>
      <c r="CC120" s="3" t="n"/>
      <c r="CD120" s="3" t="n"/>
      <c r="CE120" s="3" t="n"/>
      <c r="CF120" s="3" t="n"/>
      <c r="CG120" s="3" t="n"/>
      <c r="CH120" s="3" t="n"/>
      <c r="CI120" s="3" t="n"/>
      <c r="CJ120" s="3" t="n"/>
      <c r="CK120" s="3" t="n"/>
      <c r="CL120" s="3" t="n"/>
      <c r="CM120" s="3" t="n"/>
      <c r="CN120" s="3" t="n"/>
      <c r="CO120" s="3" t="n"/>
      <c r="CP120" s="3" t="n"/>
      <c r="CQ120" s="3" t="n"/>
      <c r="CR120" s="3" t="n"/>
      <c r="CS120" s="3" t="n"/>
      <c r="CT120" s="3" t="n"/>
      <c r="CU120" s="3" t="n"/>
      <c r="CV120" s="3" t="n"/>
      <c r="CW120" s="3" t="n"/>
      <c r="CX120" s="3" t="n"/>
      <c r="CY120" s="3" t="n"/>
    </row>
    <row r="121" hidden="1" outlineLevel="1">
      <c r="C121" s="32" t="inlineStr">
        <is>
          <t>Plano de Opção de Compra de Ações</t>
        </is>
      </c>
      <c r="D121" s="6" t="n"/>
      <c r="E121" s="6" t="n"/>
      <c r="F121" s="6" t="n"/>
      <c r="G121" s="6" t="n"/>
      <c r="H121" s="3" t="n"/>
      <c r="I121" s="6" t="n"/>
      <c r="J121" s="6" t="n"/>
      <c r="K121" s="6" t="n"/>
      <c r="L121" s="6" t="n"/>
      <c r="M121" s="3" t="n"/>
      <c r="N121" s="6" t="n"/>
      <c r="O121" s="6" t="n"/>
      <c r="P121" s="6" t="n"/>
      <c r="Q121" s="6" t="n"/>
      <c r="R121" s="3" t="n"/>
      <c r="S121" s="6" t="n"/>
      <c r="T121" s="6" t="n"/>
      <c r="U121" s="6" t="n"/>
      <c r="V121" s="6" t="n"/>
      <c r="W121" s="3" t="n"/>
      <c r="X121" s="6" t="n"/>
      <c r="Y121" s="6" t="n"/>
      <c r="Z121" s="6" t="n"/>
      <c r="AA121" s="6" t="n"/>
      <c r="AB121" s="3" t="n"/>
      <c r="AC121" s="6" t="n"/>
      <c r="AD121" s="6" t="n"/>
      <c r="AE121" s="6" t="n"/>
      <c r="AF121" s="6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/>
      <c r="CB121" s="3" t="n"/>
      <c r="CC121" s="3" t="n"/>
      <c r="CD121" s="3" t="n"/>
      <c r="CE121" s="3" t="n"/>
      <c r="CF121" s="3" t="n"/>
      <c r="CG121" s="3" t="n"/>
      <c r="CH121" s="3" t="n"/>
      <c r="CI121" s="3" t="n"/>
      <c r="CJ121" s="3" t="n"/>
      <c r="CK121" s="3" t="n"/>
      <c r="CL121" s="3" t="n"/>
      <c r="CM121" s="3" t="n"/>
      <c r="CN121" s="3" t="n"/>
      <c r="CO121" s="3" t="n"/>
      <c r="CP121" s="3" t="n"/>
      <c r="CQ121" s="3" t="n"/>
      <c r="CR121" s="3" t="n"/>
      <c r="CS121" s="3" t="n"/>
      <c r="CT121" s="3" t="n"/>
      <c r="CU121" s="3" t="n"/>
      <c r="CV121" s="3" t="n"/>
      <c r="CW121" s="3" t="n"/>
      <c r="CX121" s="3" t="n"/>
      <c r="CY121" s="3" t="n"/>
    </row>
    <row r="122" hidden="1" outlineLevel="1">
      <c r="C122" s="32" t="inlineStr">
        <is>
          <t>Baixa Imobilizado</t>
        </is>
      </c>
      <c r="D122" s="6" t="n"/>
      <c r="E122" s="6" t="n"/>
      <c r="F122" s="6" t="n"/>
      <c r="G122" s="6" t="n"/>
      <c r="H122" s="3" t="n"/>
      <c r="I122" s="6" t="n"/>
      <c r="J122" s="6" t="n"/>
      <c r="K122" s="6" t="n"/>
      <c r="L122" s="6" t="n"/>
      <c r="M122" s="3" t="n"/>
      <c r="N122" s="6" t="n"/>
      <c r="O122" s="6" t="n"/>
      <c r="P122" s="6" t="n"/>
      <c r="Q122" s="6" t="n"/>
      <c r="R122" s="3" t="n"/>
      <c r="S122" s="6" t="n"/>
      <c r="T122" s="6" t="n"/>
      <c r="U122" s="6" t="n"/>
      <c r="V122" s="6" t="n"/>
      <c r="W122" s="3" t="n"/>
      <c r="X122" s="6" t="n"/>
      <c r="Y122" s="6" t="n"/>
      <c r="Z122" s="6" t="n"/>
      <c r="AA122" s="6" t="n"/>
      <c r="AB122" s="3" t="n"/>
      <c r="AC122" s="6" t="n"/>
      <c r="AD122" s="6" t="n"/>
      <c r="AE122" s="6" t="n"/>
      <c r="AF122" s="6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  <c r="BZ122" s="3" t="n"/>
      <c r="CA122" s="3" t="n"/>
      <c r="CB122" s="3" t="n"/>
      <c r="CC122" s="3" t="n"/>
      <c r="CD122" s="3" t="n"/>
      <c r="CE122" s="3" t="n"/>
      <c r="CF122" s="3" t="n"/>
      <c r="CG122" s="3" t="n"/>
      <c r="CH122" s="3" t="n"/>
      <c r="CI122" s="3" t="n"/>
      <c r="CJ122" s="3" t="n"/>
      <c r="CK122" s="3" t="n"/>
      <c r="CL122" s="3" t="n"/>
      <c r="CM122" s="3" t="n"/>
      <c r="CN122" s="3" t="n"/>
      <c r="CO122" s="3" t="n"/>
      <c r="CP122" s="3" t="n"/>
      <c r="CQ122" s="3" t="n"/>
      <c r="CR122" s="3" t="n"/>
      <c r="CS122" s="3" t="n"/>
      <c r="CT122" s="3" t="n"/>
      <c r="CU122" s="3" t="n"/>
      <c r="CV122" s="3" t="n"/>
      <c r="CW122" s="3" t="n"/>
      <c r="CX122" s="3" t="n"/>
      <c r="CY122" s="3" t="n"/>
    </row>
    <row r="123" hidden="1" outlineLevel="1">
      <c r="C123" s="34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  <c r="BZ123" s="3" t="n"/>
      <c r="CA123" s="3" t="n"/>
      <c r="CB123" s="3" t="n"/>
      <c r="CC123" s="3" t="n"/>
      <c r="CD123" s="3" t="n"/>
      <c r="CE123" s="3" t="n"/>
      <c r="CF123" s="3" t="n"/>
      <c r="CG123" s="3" t="n"/>
      <c r="CH123" s="3" t="n"/>
      <c r="CI123" s="3" t="n"/>
      <c r="CJ123" s="3" t="n"/>
      <c r="CK123" s="3" t="n"/>
      <c r="CL123" s="3" t="n"/>
      <c r="CM123" s="3" t="n"/>
      <c r="CN123" s="3" t="n"/>
      <c r="CO123" s="3" t="n"/>
      <c r="CP123" s="3" t="n"/>
      <c r="CQ123" s="3" t="n"/>
      <c r="CR123" s="3" t="n"/>
      <c r="CS123" s="3" t="n"/>
      <c r="CT123" s="3" t="n"/>
      <c r="CU123" s="3" t="n"/>
      <c r="CV123" s="3" t="n"/>
      <c r="CW123" s="3" t="n"/>
      <c r="CX123" s="3" t="n"/>
      <c r="CY123" s="3" t="n"/>
    </row>
    <row r="124" hidden="1" outlineLevel="1">
      <c r="C124" s="34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  <c r="BZ124" s="3" t="n"/>
      <c r="CA124" s="3" t="n"/>
      <c r="CB124" s="3" t="n"/>
      <c r="CC124" s="3" t="n"/>
      <c r="CD124" s="3" t="n"/>
      <c r="CE124" s="3" t="n"/>
      <c r="CF124" s="3" t="n"/>
      <c r="CG124" s="3" t="n"/>
      <c r="CH124" s="3" t="n"/>
      <c r="CI124" s="3" t="n"/>
      <c r="CJ124" s="3" t="n"/>
      <c r="CK124" s="3" t="n"/>
      <c r="CL124" s="3" t="n"/>
      <c r="CM124" s="3" t="n"/>
      <c r="CN124" s="3" t="n"/>
      <c r="CO124" s="3" t="n"/>
      <c r="CP124" s="3" t="n"/>
      <c r="CQ124" s="3" t="n"/>
      <c r="CR124" s="3" t="n"/>
      <c r="CS124" s="3" t="n"/>
      <c r="CT124" s="3" t="n"/>
      <c r="CU124" s="3" t="n"/>
      <c r="CV124" s="3" t="n"/>
      <c r="CW124" s="3" t="n"/>
      <c r="CX124" s="3" t="n"/>
      <c r="CY124" s="3" t="n"/>
    </row>
    <row r="125" collapsed="1" customFormat="1" s="17">
      <c r="A125" s="13" t="n"/>
      <c r="B125" s="1" t="n"/>
      <c r="C125" s="14" t="inlineStr">
        <is>
          <t>Pretax Income - EBT</t>
        </is>
      </c>
      <c r="D125" s="16">
        <f>SUM(D68,D69,D118)</f>
        <v>1679.9</v>
      </c>
      <c r="E125" s="16">
        <f>SUM(E68,E69,E118)</f>
        <v>1643.7</v>
      </c>
      <c r="F125" s="16">
        <f>SUM(F68,F69,F118)</f>
        <v>1437.2</v>
      </c>
      <c r="G125" s="16">
        <f>SUM(G68,G69,G118)</f>
        <v>2469.1</v>
      </c>
      <c r="H125" s="16">
        <f>SUM(D125:G125)</f>
        <v>7229.9</v>
      </c>
      <c r="I125" s="16">
        <f>SUM(I68,I69,I118)</f>
        <v>1476.4</v>
      </c>
      <c r="J125" s="16">
        <f>SUM(J68,J69,J118)</f>
        <v>1593.9</v>
      </c>
      <c r="K125" s="16">
        <f>SUM(K68,K69,K118)</f>
        <v>1245.3</v>
      </c>
      <c r="L125" s="16">
        <f>SUM(L68,L69,L118)</f>
        <v>1839.9</v>
      </c>
      <c r="M125" s="16">
        <f>SUM(I125:L125)</f>
        <v>6155.5</v>
      </c>
      <c r="N125" s="16">
        <f>SUM(N68,N69,N118)</f>
        <v>2053.6</v>
      </c>
      <c r="O125" s="16">
        <f>SUM(O68,O69,O118)</f>
        <v>1090.9</v>
      </c>
      <c r="P125" s="16">
        <f>SUM(P68,P69,P118)</f>
        <v>1565.5</v>
      </c>
      <c r="Q125" s="16">
        <f>SUM(Q68,Q69,Q118)</f>
        <v>2096.4</v>
      </c>
      <c r="R125" s="16">
        <f>SUM(N125:Q125)</f>
        <v>6806.4</v>
      </c>
      <c r="S125" s="16">
        <f>SUM(S68,S69,S118)</f>
        <v>1529.7</v>
      </c>
      <c r="T125" s="16">
        <f>SUM(T68,T69,T118)</f>
        <v>2088.9</v>
      </c>
      <c r="U125" s="16">
        <f>SUM(U68,U69,U118)</f>
        <v>427.2</v>
      </c>
      <c r="V125" s="16">
        <f>SUM(V68,V69,V118)</f>
        <v>2508.8</v>
      </c>
      <c r="W125" s="16">
        <f>SUM(S125:V125)</f>
        <v>6554.6</v>
      </c>
      <c r="X125" s="16">
        <f>SUM(X68,X69,X118)</f>
        <v>2536.1</v>
      </c>
      <c r="Y125" s="16">
        <f>SUM(Y68,Y69,Y118)</f>
        <v>3517.2</v>
      </c>
      <c r="Z125" s="16">
        <f>SUM(Z68,Z69,Z118)</f>
        <v>1588.4</v>
      </c>
      <c r="AA125" s="16">
        <f>SUM(AA68,AA69,AA118)</f>
        <v>5038.7</v>
      </c>
      <c r="AB125" s="16">
        <f>SUM(X125:AA125)</f>
        <v>12680.4</v>
      </c>
      <c r="AC125" s="16">
        <f>SUM(AC68,AC69,AC118)</f>
        <v>3456</v>
      </c>
      <c r="AD125" s="16">
        <f>SUM(AD68,AD69,AD118)</f>
        <v>6777</v>
      </c>
      <c r="AE125" s="16">
        <f>SUM(AE68,AE69,AE118)</f>
        <v>7232.4</v>
      </c>
      <c r="AF125" s="16">
        <f>SUM(AF68,AF69,AF118)</f>
        <v>8266.2</v>
      </c>
      <c r="AG125" s="16">
        <f>SUM(AC125:AF125)</f>
        <v>25731.6</v>
      </c>
      <c r="AH125" s="16">
        <f>SUM(AH68,AH69,AH118)</f>
        <v>8850</v>
      </c>
      <c r="AI125" s="16">
        <f>SUM(AI68,AI69,AI118)</f>
        <v>9247</v>
      </c>
      <c r="AJ125" s="16">
        <f>SUM(AJ68,AJ69,AJ118)</f>
        <v>8850</v>
      </c>
      <c r="AK125" s="16">
        <f>SUM(AK68,AK69,AK118)</f>
        <v>9247</v>
      </c>
      <c r="AL125" s="16">
        <f>SUM(AH125:AK125)</f>
        <v>36194</v>
      </c>
      <c r="AM125" s="16">
        <f>SUM(AM68,AM69,AM118)</f>
        <v>9247</v>
      </c>
      <c r="AN125" s="16">
        <f>SUM(AN68,AN69,AN118)</f>
        <v>36194</v>
      </c>
      <c r="AO125" s="16">
        <f>SUM(AO68,AO69,AO118)</f>
        <v>9247</v>
      </c>
      <c r="AP125" s="16">
        <f>SUM(AP68,AP69,AP118)</f>
        <v>36194</v>
      </c>
      <c r="AQ125" s="16">
        <f>SUM(AM125:AP125)</f>
        <v>90882</v>
      </c>
      <c r="AR125" s="16">
        <f>SUM(AR68,AR69,AR118)</f>
        <v>36194</v>
      </c>
      <c r="AS125" s="16">
        <f>SUM(AS68,AS69,AS118)</f>
        <v>90882</v>
      </c>
      <c r="AT125" s="16">
        <f>SUM(AT68,AT69,AT118)</f>
        <v>36194</v>
      </c>
      <c r="AU125" s="16">
        <f>SUM(AU68,AU69,AU118)</f>
        <v>90882</v>
      </c>
      <c r="AV125" s="16">
        <f>SUM(AR125:AU125)</f>
        <v>254152</v>
      </c>
      <c r="AW125" s="16">
        <f>SUM(AW68,AW69,AW118)</f>
        <v>90882</v>
      </c>
      <c r="AX125" s="16">
        <f>SUM(AX68,AX69,AX118)</f>
        <v>254152</v>
      </c>
      <c r="AY125" s="16">
        <f>SUM(AY68,AY69,AY118)</f>
        <v>90882</v>
      </c>
      <c r="AZ125" s="16">
        <f>SUM(AZ68,AZ69,AZ118)</f>
        <v>254152</v>
      </c>
      <c r="BA125" s="16">
        <f>SUM(AW125:AZ125)</f>
        <v>690068</v>
      </c>
      <c r="BB125" s="16">
        <f>SUM(BB68,BB69,BB118)</f>
        <v>254152</v>
      </c>
      <c r="BC125" s="16">
        <f>SUM(BC68,BC69,BC118)</f>
        <v>690068</v>
      </c>
      <c r="BD125" s="16">
        <f>SUM(BD68,BD69,BD118)</f>
        <v>254152</v>
      </c>
      <c r="BE125" s="16">
        <f>SUM(BE68,BE69,BE118)</f>
        <v>690068</v>
      </c>
      <c r="BF125" s="16">
        <f>SUM(BB125:BE125)</f>
        <v>1888440</v>
      </c>
      <c r="BG125" s="16">
        <f>SUM(BG68,BG69,BG118)</f>
        <v>690068</v>
      </c>
      <c r="BH125" s="16">
        <f>SUM(BH68,BH69,BH118)</f>
        <v>1888440</v>
      </c>
      <c r="BI125" s="16">
        <f>SUM(BI68,BI69,BI118)</f>
        <v>690068</v>
      </c>
      <c r="BJ125" s="16">
        <f>SUM(BJ68,BJ69,BJ118)</f>
        <v>1888440</v>
      </c>
      <c r="BK125" s="16">
        <f>SUM(BG125:BJ125)</f>
        <v>5157016</v>
      </c>
      <c r="BL125" s="16">
        <f>SUM(BL68,BL69,BL118)</f>
        <v>1888440</v>
      </c>
      <c r="BM125" s="16">
        <f>SUM(BM68,BM69,BM118)</f>
        <v>5157016</v>
      </c>
      <c r="BN125" s="16">
        <f>SUM(BN68,BN69,BN118)</f>
        <v>1888440</v>
      </c>
      <c r="BO125" s="16">
        <f>SUM(BO68,BO69,BO118)</f>
        <v>5157016</v>
      </c>
      <c r="BP125" s="16">
        <f>SUM(BL125:BO125)</f>
        <v>14090912</v>
      </c>
      <c r="BQ125" s="16">
        <f>SUM(BQ68,BQ69,BQ118)</f>
        <v>5157016</v>
      </c>
      <c r="BR125" s="16">
        <f>SUM(BR68,BR69,BR118)</f>
        <v>14090912</v>
      </c>
      <c r="BS125" s="16">
        <f>SUM(BS68,BS69,BS118)</f>
        <v>5157016</v>
      </c>
      <c r="BT125" s="16">
        <f>SUM(BT68,BT69,BT118)</f>
        <v>14090912</v>
      </c>
      <c r="BU125" s="16">
        <f>SUM(BQ125:BT125)</f>
        <v>38495856</v>
      </c>
      <c r="BV125" s="16">
        <f>SUM(BV68,BV69,BV118)</f>
        <v>14090912</v>
      </c>
      <c r="BW125" s="16">
        <f>SUM(BW68,BW69,BW118)</f>
        <v>38495856</v>
      </c>
      <c r="BX125" s="16">
        <f>SUM(BX68,BX69,BX118)</f>
        <v>14090912</v>
      </c>
      <c r="BY125" s="16">
        <f>SUM(BY68,BY69,BY118)</f>
        <v>38495856</v>
      </c>
      <c r="BZ125" s="16">
        <f>SUM(BV125:BY125)</f>
        <v>105173536</v>
      </c>
      <c r="CA125" s="16">
        <f>SUM(CA68,CA69,CA118)</f>
        <v>38495856</v>
      </c>
      <c r="CB125" s="16">
        <f>SUM(CB68,CB69,CB118)</f>
        <v>105173536</v>
      </c>
      <c r="CC125" s="16">
        <f>SUM(CC68,CC69,CC118)</f>
        <v>38495856</v>
      </c>
      <c r="CD125" s="16">
        <f>SUM(CD68,CD69,CD118)</f>
        <v>105173536</v>
      </c>
      <c r="CE125" s="16">
        <f>SUM(CA125:CD125)</f>
        <v>287338784</v>
      </c>
      <c r="CF125" s="16">
        <f>SUM(CF68,CF69,CF118)</f>
        <v>105173536</v>
      </c>
      <c r="CG125" s="16">
        <f>SUM(CG68,CG69,CG118)</f>
        <v>287338784</v>
      </c>
      <c r="CH125" s="16">
        <f>SUM(CH68,CH69,CH118)</f>
        <v>105173536</v>
      </c>
      <c r="CI125" s="16">
        <f>SUM(CI68,CI69,CI118)</f>
        <v>287338784</v>
      </c>
      <c r="CJ125" s="16">
        <f>SUM(CF125:CI125)</f>
        <v>785024640</v>
      </c>
      <c r="CK125" s="16">
        <f>SUM(CK68,CK69,CK118)</f>
        <v>287338784</v>
      </c>
      <c r="CL125" s="16">
        <f>SUM(CL68,CL69,CL118)</f>
        <v>785024640</v>
      </c>
      <c r="CM125" s="16">
        <f>SUM(CM68,CM69,CM118)</f>
        <v>287338784</v>
      </c>
      <c r="CN125" s="16">
        <f>SUM(CN68,CN69,CN118)</f>
        <v>785024640</v>
      </c>
      <c r="CO125" s="16">
        <f>SUM(CK125:CN125)</f>
        <v>2144726848</v>
      </c>
      <c r="CP125" s="16">
        <f>SUM(CP68,CP69,CP118)</f>
        <v>785024640</v>
      </c>
      <c r="CQ125" s="16">
        <f>SUM(CQ68,CQ69,CQ118)</f>
        <v>2144726848</v>
      </c>
      <c r="CR125" s="16">
        <f>SUM(CR68,CR69,CR118)</f>
        <v>785024640</v>
      </c>
      <c r="CS125" s="16">
        <f>SUM(CS68,CS69,CS118)</f>
        <v>2144726848</v>
      </c>
      <c r="CT125" s="16">
        <f>SUM(CP125:CS125)</f>
        <v>5859502976</v>
      </c>
      <c r="CU125" s="16">
        <f>SUM(CU68,CU69,CU118)</f>
        <v>2144726848</v>
      </c>
      <c r="CV125" s="16">
        <f>SUM(CV68,CV69,CV118)</f>
        <v>5859502976</v>
      </c>
      <c r="CW125" s="16">
        <f>SUM(CW68,CW69,CW118)</f>
        <v>2144726848</v>
      </c>
      <c r="CX125" s="16">
        <f>SUM(CX68,CX69,CX118)</f>
        <v>5859502976</v>
      </c>
      <c r="CY125" s="16">
        <f>SUM(CU125:CX125)</f>
        <v>16008459648</v>
      </c>
    </row>
    <row r="126">
      <c r="C126" s="26" t="inlineStr">
        <is>
          <t>Taxes</t>
        </is>
      </c>
      <c r="D126" s="25">
        <f>INDEX('Inputs (2)'!$D$10:$AL$10,MATCH(D$7,'Inputs (2)'!$D$2:$AL$2,0))</f>
        <v>-223.4</v>
      </c>
      <c r="E126" s="25">
        <f>INDEX('Inputs (2)'!$D$10:$AL$10,MATCH(E$7,'Inputs (2)'!$D$2:$AL$2,0))</f>
        <v>-231.7</v>
      </c>
      <c r="F126" s="25">
        <f>INDEX('Inputs (2)'!$D$10:$AL$10,MATCH(F$7,'Inputs (2)'!$D$2:$AL$2,0))</f>
        <v>-228.8</v>
      </c>
      <c r="G126" s="25">
        <f>INDEX('Inputs (2)'!$D$10:$AL$10,MATCH(G$7,'Inputs (2)'!$D$2:$AL$2,0))</f>
        <v>-352.3</v>
      </c>
      <c r="H126" s="3">
        <f>SUM(D126:G126)</f>
        <v>-1036.2</v>
      </c>
      <c r="I126" s="25">
        <f>INDEX('Inputs (2)'!$D$10:$AL$10,MATCH(I$7,'Inputs (2)'!$D$2:$AL$2,0))</f>
        <v>-121.1</v>
      </c>
      <c r="J126" s="25">
        <f>INDEX('Inputs (2)'!$D$10:$AL$10,MATCH(J$7,'Inputs (2)'!$D$2:$AL$2,0))</f>
        <v>-203.7</v>
      </c>
      <c r="K126" s="25">
        <f>INDEX('Inputs (2)'!$D$10:$AL$10,MATCH(K$7,'Inputs (2)'!$D$2:$AL$2,0))</f>
        <v>-135.2</v>
      </c>
      <c r="L126" s="25">
        <f>INDEX('Inputs (2)'!$D$10:$AL$10,MATCH(L$7,'Inputs (2)'!$D$2:$AL$2,0))</f>
        <v>-113.8</v>
      </c>
      <c r="M126" s="3">
        <f>SUM(I126:L126)</f>
        <v>-573.8</v>
      </c>
      <c r="N126" s="25">
        <f>INDEX('Inputs (2)'!$D$10:$AL$10,MATCH(N$7,'Inputs (2)'!$D$2:$AL$2,0))</f>
        <v>-150.7</v>
      </c>
      <c r="O126" s="25">
        <f>INDEX('Inputs (2)'!$D$10:$AL$10,MATCH(O$7,'Inputs (2)'!$D$2:$AL$2,0))</f>
        <v>-138.4</v>
      </c>
      <c r="P126" s="25">
        <f>INDEX('Inputs (2)'!$D$10:$AL$10,MATCH(P$7,'Inputs (2)'!$D$2:$AL$2,0))</f>
        <v>-113.8</v>
      </c>
      <c r="Q126" s="25">
        <f>INDEX('Inputs (2)'!$D$10:$AL$10,MATCH(Q$7,'Inputs (2)'!$D$2:$AL$2,0))</f>
        <v>-158.7</v>
      </c>
      <c r="R126" s="3">
        <f>SUM(N126:Q126)</f>
        <v>-561.6</v>
      </c>
      <c r="S126" s="25">
        <f>INDEX('Inputs (2)'!$D$10:$AL$10,MATCH(S$7,'Inputs (2)'!$D$2:$AL$2,0))</f>
        <v>-184.8</v>
      </c>
      <c r="T126" s="25">
        <f>INDEX('Inputs (2)'!$D$10:$AL$10,MATCH(T$7,'Inputs (2)'!$D$2:$AL$2,0))</f>
        <v>-325.7</v>
      </c>
      <c r="U126" s="25">
        <f>INDEX('Inputs (2)'!$D$10:$AL$10,MATCH(U$7,'Inputs (2)'!$D$2:$AL$2,0))</f>
        <v>-484.6</v>
      </c>
      <c r="V126" s="25">
        <f>INDEX('Inputs (2)'!$D$10:$AL$10,MATCH(V$7,'Inputs (2)'!$D$2:$AL$2,0))</f>
        <v>-319.1</v>
      </c>
      <c r="W126" s="3">
        <f>SUM(S126:V126)</f>
        <v>-1314.2</v>
      </c>
      <c r="X126" s="25">
        <f>INDEX('Inputs (2)'!$D$10:$AL$10,MATCH(X$7,'Inputs (2)'!$D$2:$AL$2,0))</f>
        <v>-293.2</v>
      </c>
      <c r="Y126" s="25">
        <f>INDEX('Inputs (2)'!$D$10:$AL$10,MATCH(Y$7,'Inputs (2)'!$D$2:$AL$2,0))</f>
        <v>-550.2</v>
      </c>
      <c r="Z126" s="25">
        <f>INDEX('Inputs (2)'!$D$10:$AL$10,MATCH(Z$7,'Inputs (2)'!$D$2:$AL$2,0))</f>
        <v>-618.1</v>
      </c>
      <c r="AA126" s="25">
        <f>INDEX('Inputs (2)'!$D$10:$AL$10,MATCH(AA$7,'Inputs (2)'!$D$2:$AL$2,0))</f>
        <v>-628.9</v>
      </c>
      <c r="AB126" s="3">
        <f>SUM(X126:AA126)</f>
        <v>-2090.4</v>
      </c>
      <c r="AC126" s="25">
        <f>INDEX('Inputs (2)'!$D$10:$AL$10,MATCH(AC$7,'Inputs (2)'!$D$2:$AL$2,0))</f>
        <v>-697</v>
      </c>
      <c r="AD126" s="25">
        <f>INDEX('Inputs (2)'!$D$10:$AL$10,MATCH(AD$7,'Inputs (2)'!$D$2:$AL$2,0))</f>
        <v>-1116</v>
      </c>
      <c r="AE126" s="25">
        <f>INDEX('Inputs (2)'!$D$10:$AL$10,MATCH(AE$7,'Inputs (2)'!$D$2:$AL$2,0))</f>
        <v>-1649.9</v>
      </c>
      <c r="AF126" s="25">
        <f>INDEX('Inputs (2)'!$D$10:$AL$10,MATCH(AF$7,'Inputs (2)'!$D$2:$AL$2,0))</f>
        <v>-1628.5</v>
      </c>
      <c r="AG126" s="3">
        <f>SUM(AC126:AF126)</f>
        <v>-5091.4</v>
      </c>
      <c r="AH126" s="3">
        <f>INDEX('Inputs (2)'!$D$10:$AL$10,MATCH(AH$7,'Inputs (2)'!$D$2:$AL$2,0))</f>
        <v>-1454</v>
      </c>
      <c r="AI126" s="3">
        <f>INDEX('Inputs (2)'!$D$10:$AL$10,MATCH(AI$7,'Inputs (2)'!$D$2:$AL$2,0))</f>
        <v>-2152</v>
      </c>
      <c r="AJ126" s="3">
        <f>AJ127*-AJ125</f>
        <v>0</v>
      </c>
      <c r="AK126" s="3">
        <f>AK127*-AK125</f>
        <v>0</v>
      </c>
      <c r="AL126" s="3">
        <f>SUM(AH126:AK126)</f>
        <v>-3606</v>
      </c>
      <c r="AM126" s="3">
        <f>AM127*-AM125</f>
        <v>0</v>
      </c>
      <c r="AN126" s="3">
        <f>AN127*-AN125</f>
        <v>0</v>
      </c>
      <c r="AO126" s="3">
        <f>AO127*-AO125</f>
        <v>0</v>
      </c>
      <c r="AP126" s="3">
        <f>AP127*-AP125</f>
        <v>0</v>
      </c>
      <c r="AQ126" s="3">
        <f>SUM(AM126:AP126)</f>
        <v>0</v>
      </c>
      <c r="AR126" s="3">
        <f>AR127*-AR125</f>
        <v>0</v>
      </c>
      <c r="AS126" s="3">
        <f>AS127*-AS125</f>
        <v>0</v>
      </c>
      <c r="AT126" s="3">
        <f>AT127*-AT125</f>
        <v>0</v>
      </c>
      <c r="AU126" s="3">
        <f>AU127*-AU125</f>
        <v>0</v>
      </c>
      <c r="AV126" s="3">
        <f>SUM(AR126:AU126)</f>
        <v>0</v>
      </c>
      <c r="AW126" s="3">
        <f>AW127*-AW125</f>
        <v>0</v>
      </c>
      <c r="AX126" s="3">
        <f>AX127*-AX125</f>
        <v>0</v>
      </c>
      <c r="AY126" s="3">
        <f>AY127*-AY125</f>
        <v>0</v>
      </c>
      <c r="AZ126" s="3">
        <f>AZ127*-AZ125</f>
        <v>0</v>
      </c>
      <c r="BA126" s="3">
        <f>SUM(AW126:AZ126)</f>
        <v>0</v>
      </c>
      <c r="BB126" s="3">
        <f>BB127*-BB125</f>
        <v>0</v>
      </c>
      <c r="BC126" s="3">
        <f>BC127*-BC125</f>
        <v>0</v>
      </c>
      <c r="BD126" s="3">
        <f>BD127*-BD125</f>
        <v>0</v>
      </c>
      <c r="BE126" s="3">
        <f>BE127*-BE125</f>
        <v>0</v>
      </c>
      <c r="BF126" s="3">
        <f>SUM(BB126:BE126)</f>
        <v>0</v>
      </c>
      <c r="BG126" s="3">
        <f>BG127*-BG125</f>
        <v>0</v>
      </c>
      <c r="BH126" s="3">
        <f>BH127*-BH125</f>
        <v>0</v>
      </c>
      <c r="BI126" s="3">
        <f>BI127*-BI125</f>
        <v>0</v>
      </c>
      <c r="BJ126" s="3">
        <f>BJ127*-BJ125</f>
        <v>0</v>
      </c>
      <c r="BK126" s="3">
        <f>SUM(BG126:BJ126)</f>
        <v>0</v>
      </c>
      <c r="BL126" s="3">
        <f>BL127*-BL125</f>
        <v>0</v>
      </c>
      <c r="BM126" s="3">
        <f>BM127*-BM125</f>
        <v>0</v>
      </c>
      <c r="BN126" s="3">
        <f>BN127*-BN125</f>
        <v>0</v>
      </c>
      <c r="BO126" s="3">
        <f>BO127*-BO125</f>
        <v>0</v>
      </c>
      <c r="BP126" s="3">
        <f>SUM(BL126:BO126)</f>
        <v>0</v>
      </c>
      <c r="BQ126" s="3">
        <f>BQ127*-BQ125</f>
        <v>0</v>
      </c>
      <c r="BR126" s="3">
        <f>BR127*-BR125</f>
        <v>0</v>
      </c>
      <c r="BS126" s="3">
        <f>BS127*-BS125</f>
        <v>0</v>
      </c>
      <c r="BT126" s="3">
        <f>BT127*-BT125</f>
        <v>0</v>
      </c>
      <c r="BU126" s="3">
        <f>SUM(BQ126:BT126)</f>
        <v>0</v>
      </c>
      <c r="BV126" s="3">
        <f>BV127*-BV125</f>
        <v>0</v>
      </c>
      <c r="BW126" s="3">
        <f>BW127*-BW125</f>
        <v>0</v>
      </c>
      <c r="BX126" s="3">
        <f>BX127*-BX125</f>
        <v>0</v>
      </c>
      <c r="BY126" s="3">
        <f>BY127*-BY125</f>
        <v>0</v>
      </c>
      <c r="BZ126" s="3">
        <f>SUM(BV126:BY126)</f>
        <v>0</v>
      </c>
      <c r="CA126" s="3">
        <f>CA127*-CA125</f>
        <v>0</v>
      </c>
      <c r="CB126" s="3">
        <f>CB127*-CB125</f>
        <v>0</v>
      </c>
      <c r="CC126" s="3">
        <f>CC127*-CC125</f>
        <v>0</v>
      </c>
      <c r="CD126" s="3">
        <f>CD127*-CD125</f>
        <v>0</v>
      </c>
      <c r="CE126" s="3">
        <f>SUM(CA126:CD126)</f>
        <v>0</v>
      </c>
      <c r="CF126" s="3">
        <f>CF127*-CF125</f>
        <v>0</v>
      </c>
      <c r="CG126" s="3">
        <f>CG127*-CG125</f>
        <v>0</v>
      </c>
      <c r="CH126" s="3">
        <f>CH127*-CH125</f>
        <v>0</v>
      </c>
      <c r="CI126" s="3">
        <f>CI127*-CI125</f>
        <v>0</v>
      </c>
      <c r="CJ126" s="3">
        <f>SUM(CF126:CI126)</f>
        <v>0</v>
      </c>
      <c r="CK126" s="3">
        <f>CK127*-CK125</f>
        <v>0</v>
      </c>
      <c r="CL126" s="3">
        <f>CL127*-CL125</f>
        <v>0</v>
      </c>
      <c r="CM126" s="3">
        <f>CM127*-CM125</f>
        <v>0</v>
      </c>
      <c r="CN126" s="3">
        <f>CN127*-CN125</f>
        <v>0</v>
      </c>
      <c r="CO126" s="3">
        <f>SUM(CK126:CN126)</f>
        <v>0</v>
      </c>
      <c r="CP126" s="3">
        <f>CP127*-CP125</f>
        <v>0</v>
      </c>
      <c r="CQ126" s="3">
        <f>CQ127*-CQ125</f>
        <v>0</v>
      </c>
      <c r="CR126" s="3">
        <f>CR127*-CR125</f>
        <v>0</v>
      </c>
      <c r="CS126" s="3">
        <f>CS127*-CS125</f>
        <v>0</v>
      </c>
      <c r="CT126" s="3">
        <f>SUM(CP126:CS126)</f>
        <v>0</v>
      </c>
      <c r="CU126" s="3">
        <f>CU127*-CU125</f>
        <v>0</v>
      </c>
      <c r="CV126" s="3">
        <f>CV127*-CV125</f>
        <v>0</v>
      </c>
      <c r="CW126" s="3">
        <f>CW127*-CW125</f>
        <v>0</v>
      </c>
      <c r="CX126" s="3">
        <f>CX127*-CX125</f>
        <v>0</v>
      </c>
      <c r="CY126" s="3">
        <f>SUM(CU126:CX126)</f>
        <v>0</v>
      </c>
    </row>
    <row r="127" hidden="1" outlineLevel="1">
      <c r="C127" s="34" t="inlineStr">
        <is>
          <t>% ETR</t>
        </is>
      </c>
      <c r="D127" s="48">
        <f>-D126/D125</f>
        <v>0.132984106196797</v>
      </c>
      <c r="E127" s="48">
        <f>-E126/E125</f>
        <v>0.140962462736509</v>
      </c>
      <c r="F127" s="48">
        <f>-F126/F125</f>
        <v>0.15919844141386</v>
      </c>
      <c r="G127" s="48">
        <f>-G126/G125</f>
        <v>0.142683568911749</v>
      </c>
      <c r="H127" s="48">
        <f>-H126/H125</f>
        <v>0.143321484391209</v>
      </c>
      <c r="I127" s="48">
        <f>-I126/I125</f>
        <v>0.0820238417772961</v>
      </c>
      <c r="J127" s="48">
        <f>-J126/J125</f>
        <v>0.127799736495389</v>
      </c>
      <c r="K127" s="48">
        <f>-K126/K125</f>
        <v>0.108568216494018</v>
      </c>
      <c r="L127" s="48">
        <f>-L126/L125</f>
        <v>0.0618511875645416</v>
      </c>
      <c r="M127" s="48">
        <f>-M126/M125</f>
        <v>0.0932174478109008</v>
      </c>
      <c r="N127" s="48">
        <f>-N126/N125</f>
        <v>0.0733833268406701</v>
      </c>
      <c r="O127" s="48">
        <f>-O126/O125</f>
        <v>0.126867723897699</v>
      </c>
      <c r="P127" s="48">
        <f>-P126/P125</f>
        <v>0.0726924305333759</v>
      </c>
      <c r="Q127" s="48">
        <f>-Q126/Q125</f>
        <v>0.0757012020606754</v>
      </c>
      <c r="R127" s="48">
        <f>-R126/R125</f>
        <v>0.0825105782792666</v>
      </c>
      <c r="S127" s="48">
        <f>-S126/S125</f>
        <v>0.120808001568935</v>
      </c>
      <c r="T127" s="48">
        <f>-T126/T125</f>
        <v>0.155919383407535</v>
      </c>
      <c r="U127" s="48">
        <f>-U126/U125</f>
        <v>1.13436329588015</v>
      </c>
      <c r="V127" s="48">
        <f>-V126/V125</f>
        <v>0.127192283163265</v>
      </c>
      <c r="W127" s="48">
        <f>-W126/W125</f>
        <v>0.20050041192445</v>
      </c>
      <c r="X127" s="48">
        <f>-X126/X125</f>
        <v>0.115610583178897</v>
      </c>
      <c r="Y127" s="48">
        <f>-Y126/Y125</f>
        <v>0.156431252132378</v>
      </c>
      <c r="Z127" s="48">
        <f>-Z126/Z125</f>
        <v>0.38913371946613</v>
      </c>
      <c r="AA127" s="48">
        <f>-AA126/AA125</f>
        <v>0.124813940103598</v>
      </c>
      <c r="AB127" s="48">
        <f>-AB126/AB125</f>
        <v>0.164852843758872</v>
      </c>
      <c r="AC127" s="48">
        <f>-AC126/AC125</f>
        <v>0.201678240740741</v>
      </c>
      <c r="AD127" s="48">
        <f>-AD126/AD125</f>
        <v>0.164674634794157</v>
      </c>
      <c r="AE127" s="48">
        <f>-AE126/AE125</f>
        <v>0.228126209833527</v>
      </c>
      <c r="AF127" s="44">
        <f>-AF126/AF125</f>
        <v>0.197007089109869</v>
      </c>
      <c r="AG127" s="48">
        <f>-AG126/AG125</f>
        <v>0.19786565934493</v>
      </c>
      <c r="AH127" s="44">
        <f>-AH126/AH125</f>
        <v>0.164293785310734</v>
      </c>
      <c r="AI127" s="44">
        <f>-AI126/AI125</f>
        <v>0.232724126743809</v>
      </c>
      <c r="AJ127" s="44" t="n"/>
      <c r="AK127" s="44" t="n"/>
      <c r="AL127" s="48">
        <f>-AL126/AL125</f>
        <v>0.0996297728905344</v>
      </c>
      <c r="AM127" s="44" t="n"/>
      <c r="AN127" s="44" t="n"/>
      <c r="AO127" s="44" t="n"/>
      <c r="AP127" s="44" t="n"/>
      <c r="AQ127" s="48">
        <f>-AQ126/AQ125</f>
        <v>0</v>
      </c>
      <c r="AR127" s="44" t="n"/>
      <c r="AS127" s="44" t="n"/>
      <c r="AT127" s="44" t="n"/>
      <c r="AU127" s="44" t="n"/>
      <c r="AV127" s="48">
        <f>-AV126/AV125</f>
        <v>0</v>
      </c>
      <c r="AW127" s="44" t="n"/>
      <c r="AX127" s="44" t="n"/>
      <c r="AY127" s="44" t="n"/>
      <c r="AZ127" s="44" t="n"/>
      <c r="BA127" s="48">
        <f>-BA126/BA125</f>
        <v>0</v>
      </c>
      <c r="BB127" s="44" t="n"/>
      <c r="BC127" s="44" t="n"/>
      <c r="BD127" s="44" t="n"/>
      <c r="BE127" s="44" t="n"/>
      <c r="BF127" s="48">
        <f>-BF126/BF125</f>
        <v>0</v>
      </c>
      <c r="BG127" s="44" t="n"/>
      <c r="BH127" s="44" t="n"/>
      <c r="BI127" s="44" t="n"/>
      <c r="BJ127" s="44" t="n"/>
      <c r="BK127" s="48">
        <f>-BK126/BK125</f>
        <v>0</v>
      </c>
      <c r="BL127" s="44" t="n"/>
      <c r="BM127" s="44" t="n"/>
      <c r="BN127" s="44" t="n"/>
      <c r="BO127" s="44" t="n"/>
      <c r="BP127" s="48">
        <f>-BP126/BP125</f>
        <v>0</v>
      </c>
      <c r="BQ127" s="44" t="n"/>
      <c r="BR127" s="44" t="n"/>
      <c r="BS127" s="44" t="n"/>
      <c r="BT127" s="44" t="n"/>
      <c r="BU127" s="48">
        <f>-BU126/BU125</f>
        <v>0</v>
      </c>
      <c r="BV127" s="44" t="n"/>
      <c r="BW127" s="44" t="n"/>
      <c r="BX127" s="44" t="n"/>
      <c r="BY127" s="44" t="n"/>
      <c r="BZ127" s="48">
        <f>-BZ126/BZ125</f>
        <v>0</v>
      </c>
      <c r="CA127" s="44" t="n"/>
      <c r="CB127" s="44" t="n"/>
      <c r="CC127" s="44" t="n"/>
      <c r="CD127" s="44" t="n"/>
      <c r="CE127" s="48">
        <f>-CE126/CE125</f>
        <v>0</v>
      </c>
      <c r="CF127" s="44" t="n"/>
      <c r="CG127" s="44" t="n"/>
      <c r="CH127" s="44" t="n"/>
      <c r="CI127" s="44" t="n"/>
      <c r="CJ127" s="48">
        <f>-CJ126/CJ125</f>
        <v>0</v>
      </c>
      <c r="CK127" s="44" t="n"/>
      <c r="CL127" s="44" t="n"/>
      <c r="CM127" s="44" t="n"/>
      <c r="CN127" s="44" t="n"/>
      <c r="CO127" s="48">
        <f>-CO126/CO125</f>
        <v>0</v>
      </c>
      <c r="CP127" s="44" t="n"/>
      <c r="CQ127" s="44" t="n"/>
      <c r="CR127" s="44" t="n"/>
      <c r="CS127" s="44" t="n"/>
      <c r="CT127" s="48">
        <f>-CT126/CT125</f>
        <v>0</v>
      </c>
      <c r="CU127" s="44" t="n"/>
      <c r="CV127" s="44" t="n"/>
      <c r="CW127" s="44" t="n"/>
      <c r="CX127" s="44" t="n"/>
      <c r="CY127" s="48">
        <f>-CY126/CY125</f>
        <v>0</v>
      </c>
    </row>
    <row r="128" hidden="1" outlineLevel="1">
      <c r="C128" s="34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  <c r="BZ128" s="3" t="n"/>
      <c r="CA128" s="3" t="n"/>
      <c r="CB128" s="3" t="n"/>
      <c r="CC128" s="3" t="n"/>
      <c r="CD128" s="3" t="n"/>
      <c r="CE128" s="3" t="n"/>
      <c r="CF128" s="3" t="n"/>
      <c r="CG128" s="3" t="n"/>
      <c r="CH128" s="3" t="n"/>
      <c r="CI128" s="3" t="n"/>
      <c r="CJ128" s="3" t="n"/>
      <c r="CK128" s="3" t="n"/>
      <c r="CL128" s="3" t="n"/>
      <c r="CM128" s="3" t="n"/>
      <c r="CN128" s="3" t="n"/>
      <c r="CO128" s="3" t="n"/>
      <c r="CP128" s="3" t="n"/>
      <c r="CQ128" s="3" t="n"/>
      <c r="CR128" s="3" t="n"/>
      <c r="CS128" s="3" t="n"/>
      <c r="CT128" s="3" t="n"/>
      <c r="CU128" s="3" t="n"/>
      <c r="CV128" s="3" t="n"/>
      <c r="CW128" s="3" t="n"/>
      <c r="CX128" s="3" t="n"/>
      <c r="CY128" s="3" t="n"/>
    </row>
    <row r="129" hidden="1" outlineLevel="1">
      <c r="C129" s="34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  <c r="BZ129" s="3" t="n"/>
      <c r="CA129" s="3" t="n"/>
      <c r="CB129" s="3" t="n"/>
      <c r="CC129" s="3" t="n"/>
      <c r="CD129" s="3" t="n"/>
      <c r="CE129" s="3" t="n"/>
      <c r="CF129" s="3" t="n"/>
      <c r="CG129" s="3" t="n"/>
      <c r="CH129" s="3" t="n"/>
      <c r="CI129" s="3" t="n"/>
      <c r="CJ129" s="3" t="n"/>
      <c r="CK129" s="3" t="n"/>
      <c r="CL129" s="3" t="n"/>
      <c r="CM129" s="3" t="n"/>
      <c r="CN129" s="3" t="n"/>
      <c r="CO129" s="3" t="n"/>
      <c r="CP129" s="3" t="n"/>
      <c r="CQ129" s="3" t="n"/>
      <c r="CR129" s="3" t="n"/>
      <c r="CS129" s="3" t="n"/>
      <c r="CT129" s="3" t="n"/>
      <c r="CU129" s="3" t="n"/>
      <c r="CV129" s="3" t="n"/>
      <c r="CW129" s="3" t="n"/>
      <c r="CX129" s="3" t="n"/>
      <c r="CY129" s="3" t="n"/>
    </row>
    <row r="130" collapsed="1">
      <c r="C130" s="26" t="inlineStr">
        <is>
          <t>Equity in Income of Affiliates, after tax (enter as +)</t>
        </is>
      </c>
      <c r="D130" s="25">
        <f>INDEX('Inputs (2)'!$D$11:$AL$11,MATCH(D$7,'Inputs (2)'!$D$2:$AL$2,0))</f>
        <v>0</v>
      </c>
      <c r="E130" s="25">
        <f>INDEX('Inputs (2)'!$D$11:$AL$11,MATCH(E$7,'Inputs (2)'!$D$2:$AL$2,0))</f>
        <v>0</v>
      </c>
      <c r="F130" s="25">
        <f>INDEX('Inputs (2)'!$D$11:$AL$11,MATCH(F$7,'Inputs (2)'!$D$2:$AL$2,0))</f>
        <v>0</v>
      </c>
      <c r="G130" s="25">
        <f>INDEX('Inputs (2)'!$D$11:$AL$11,MATCH(G$7,'Inputs (2)'!$D$2:$AL$2,0))</f>
        <v>0</v>
      </c>
      <c r="H130" s="3">
        <f>SUM(D130:G130)</f>
        <v>0</v>
      </c>
      <c r="I130" s="25">
        <f>INDEX('Inputs (2)'!$D$11:$AL$11,MATCH(I$7,'Inputs (2)'!$D$2:$AL$2,0))</f>
        <v>0</v>
      </c>
      <c r="J130" s="25">
        <f>INDEX('Inputs (2)'!$D$11:$AL$11,MATCH(J$7,'Inputs (2)'!$D$2:$AL$2,0))</f>
        <v>0</v>
      </c>
      <c r="K130" s="25">
        <f>INDEX('Inputs (2)'!$D$11:$AL$11,MATCH(K$7,'Inputs (2)'!$D$2:$AL$2,0))</f>
        <v>0</v>
      </c>
      <c r="L130" s="25">
        <f>INDEX('Inputs (2)'!$D$11:$AL$11,MATCH(L$7,'Inputs (2)'!$D$2:$AL$2,0))</f>
        <v>0</v>
      </c>
      <c r="M130" s="3">
        <f>SUM(I130:L130)</f>
        <v>0</v>
      </c>
      <c r="N130" s="25">
        <f>INDEX('Inputs (2)'!$D$11:$AL$11,MATCH(N$7,'Inputs (2)'!$D$2:$AL$2,0))</f>
        <v>0</v>
      </c>
      <c r="O130" s="25">
        <f>INDEX('Inputs (2)'!$D$11:$AL$11,MATCH(O$7,'Inputs (2)'!$D$2:$AL$2,0))</f>
        <v>0</v>
      </c>
      <c r="P130" s="25">
        <f>INDEX('Inputs (2)'!$D$11:$AL$11,MATCH(P$7,'Inputs (2)'!$D$2:$AL$2,0))</f>
        <v>0</v>
      </c>
      <c r="Q130" s="25">
        <f>INDEX('Inputs (2)'!$D$11:$AL$11,MATCH(Q$7,'Inputs (2)'!$D$2:$AL$2,0))</f>
        <v>0</v>
      </c>
      <c r="R130" s="3">
        <f>SUM(N130:Q130)</f>
        <v>0</v>
      </c>
      <c r="S130" s="25">
        <f>INDEX('Inputs (2)'!$D$11:$AL$11,MATCH(S$7,'Inputs (2)'!$D$2:$AL$2,0))</f>
        <v>0</v>
      </c>
      <c r="T130" s="25">
        <f>INDEX('Inputs (2)'!$D$11:$AL$11,MATCH(T$7,'Inputs (2)'!$D$2:$AL$2,0))</f>
        <v>0</v>
      </c>
      <c r="U130" s="25">
        <f>INDEX('Inputs (2)'!$D$11:$AL$11,MATCH(U$7,'Inputs (2)'!$D$2:$AL$2,0))</f>
        <v>0</v>
      </c>
      <c r="V130" s="25">
        <f>INDEX('Inputs (2)'!$D$11:$AL$11,MATCH(V$7,'Inputs (2)'!$D$2:$AL$2,0))</f>
        <v>0</v>
      </c>
      <c r="W130" s="3">
        <f>SUM(S130:V130)</f>
        <v>0</v>
      </c>
      <c r="X130" s="25">
        <f>INDEX('Inputs (2)'!$D$11:$AL$11,MATCH(X$7,'Inputs (2)'!$D$2:$AL$2,0))</f>
        <v>0</v>
      </c>
      <c r="Y130" s="25">
        <f>INDEX('Inputs (2)'!$D$11:$AL$11,MATCH(Y$7,'Inputs (2)'!$D$2:$AL$2,0))</f>
        <v>0</v>
      </c>
      <c r="Z130" s="25">
        <f>INDEX('Inputs (2)'!$D$11:$AL$11,MATCH(Z$7,'Inputs (2)'!$D$2:$AL$2,0))</f>
        <v>0</v>
      </c>
      <c r="AA130" s="25">
        <f>INDEX('Inputs (2)'!$D$11:$AL$11,MATCH(AA$7,'Inputs (2)'!$D$2:$AL$2,0))</f>
        <v>0</v>
      </c>
      <c r="AB130" s="3">
        <f>SUM(X130:AA130)</f>
        <v>0</v>
      </c>
      <c r="AC130" s="25">
        <f>INDEX('Inputs (2)'!$D$11:$AL$11,MATCH(AC$7,'Inputs (2)'!$D$2:$AL$2,0))</f>
        <v>0</v>
      </c>
      <c r="AD130" s="25">
        <f>INDEX('Inputs (2)'!$D$11:$AL$11,MATCH(AD$7,'Inputs (2)'!$D$2:$AL$2,0))</f>
        <v>0</v>
      </c>
      <c r="AE130" s="25">
        <f>INDEX('Inputs (2)'!$D$11:$AL$11,MATCH(AE$7,'Inputs (2)'!$D$2:$AL$2,0))</f>
        <v>0</v>
      </c>
      <c r="AF130" s="25">
        <f>INDEX('Inputs (2)'!$D$11:$AL$11,MATCH(AF$7,'Inputs (2)'!$D$2:$AL$2,0))</f>
        <v>0</v>
      </c>
      <c r="AG130" s="3">
        <f>SUM(AC130:AF130)</f>
        <v>0</v>
      </c>
      <c r="AH130" s="3">
        <f>INDEX('Inputs (2)'!$D$11:$AL$11,MATCH(AH$7,'Inputs (2)'!$D$2:$AL$2,0))</f>
        <v>0</v>
      </c>
      <c r="AI130" s="3">
        <f>INDEX('Inputs (2)'!$D$11:$AL$11,MATCH(AI$7,'Inputs (2)'!$D$2:$AL$2,0))</f>
        <v>0</v>
      </c>
      <c r="AJ130" s="3">
        <f>AE130*(1+AJ158)</f>
        <v>0</v>
      </c>
      <c r="AK130" s="3">
        <f>AF130*(1+AK158)</f>
        <v>0</v>
      </c>
      <c r="AL130" s="3">
        <f>SUM(AH130:AK130)</f>
        <v>0</v>
      </c>
      <c r="AM130" s="3">
        <f>AH130*(1+AM158)</f>
        <v>0</v>
      </c>
      <c r="AN130" s="3">
        <f>AI130*(1+AN158)</f>
        <v>0</v>
      </c>
      <c r="AO130" s="3">
        <f>AJ130*(1+AO158)</f>
        <v>0</v>
      </c>
      <c r="AP130" s="3">
        <f>AK130*(1+AP158)</f>
        <v>0</v>
      </c>
      <c r="AQ130" s="3">
        <f>SUM(AM130:AP130)</f>
        <v>0</v>
      </c>
      <c r="AR130" s="3">
        <f>AM130*(1+AR158)</f>
        <v>0</v>
      </c>
      <c r="AS130" s="3">
        <f>AN130*(1+AS158)</f>
        <v>0</v>
      </c>
      <c r="AT130" s="3">
        <f>AO130*(1+AT158)</f>
        <v>0</v>
      </c>
      <c r="AU130" s="3">
        <f>AP130*(1+AU158)</f>
        <v>0</v>
      </c>
      <c r="AV130" s="3">
        <f>SUM(AR130:AU130)</f>
        <v>0</v>
      </c>
      <c r="AW130" s="3">
        <f>AR130*(1+AW158)</f>
        <v>0</v>
      </c>
      <c r="AX130" s="3">
        <f>AS130*(1+AX158)</f>
        <v>0</v>
      </c>
      <c r="AY130" s="3">
        <f>AT130*(1+AY158)</f>
        <v>0</v>
      </c>
      <c r="AZ130" s="3">
        <f>AU130*(1+AZ158)</f>
        <v>0</v>
      </c>
      <c r="BA130" s="3">
        <f>SUM(AW130:AZ130)</f>
        <v>0</v>
      </c>
      <c r="BB130" s="3">
        <f>AW130*(1+BB158)</f>
        <v>0</v>
      </c>
      <c r="BC130" s="3">
        <f>AX130*(1+BC158)</f>
        <v>0</v>
      </c>
      <c r="BD130" s="3">
        <f>AY130*(1+BD158)</f>
        <v>0</v>
      </c>
      <c r="BE130" s="3">
        <f>AZ130*(1+BE158)</f>
        <v>0</v>
      </c>
      <c r="BF130" s="3">
        <f>SUM(BB130:BE130)</f>
        <v>0</v>
      </c>
      <c r="BG130" s="3">
        <f>BB130*(1+BG158)</f>
        <v>0</v>
      </c>
      <c r="BH130" s="3">
        <f>BC130*(1+BH158)</f>
        <v>0</v>
      </c>
      <c r="BI130" s="3">
        <f>BD130*(1+BI158)</f>
        <v>0</v>
      </c>
      <c r="BJ130" s="3">
        <f>BE130*(1+BJ158)</f>
        <v>0</v>
      </c>
      <c r="BK130" s="3">
        <f>SUM(BG130:BJ130)</f>
        <v>0</v>
      </c>
      <c r="BL130" s="3">
        <f>BG130*(1+BL158)</f>
        <v>0</v>
      </c>
      <c r="BM130" s="3">
        <f>BH130*(1+BM158)</f>
        <v>0</v>
      </c>
      <c r="BN130" s="3">
        <f>BI130*(1+BN158)</f>
        <v>0</v>
      </c>
      <c r="BO130" s="3">
        <f>BJ130*(1+BO158)</f>
        <v>0</v>
      </c>
      <c r="BP130" s="3">
        <f>SUM(BL130:BO130)</f>
        <v>0</v>
      </c>
      <c r="BQ130" s="3">
        <f>BL130*(1+BQ158)</f>
        <v>0</v>
      </c>
      <c r="BR130" s="3">
        <f>BM130*(1+BR158)</f>
        <v>0</v>
      </c>
      <c r="BS130" s="3">
        <f>BN130*(1+BS158)</f>
        <v>0</v>
      </c>
      <c r="BT130" s="3">
        <f>BO130*(1+BT158)</f>
        <v>0</v>
      </c>
      <c r="BU130" s="3">
        <f>SUM(BQ130:BT130)</f>
        <v>0</v>
      </c>
      <c r="BV130" s="3">
        <f>BQ130*(1+BV158)</f>
        <v>0</v>
      </c>
      <c r="BW130" s="3">
        <f>BR130*(1+BW158)</f>
        <v>0</v>
      </c>
      <c r="BX130" s="3">
        <f>BS130*(1+BX158)</f>
        <v>0</v>
      </c>
      <c r="BY130" s="3">
        <f>BT130*(1+BY158)</f>
        <v>0</v>
      </c>
      <c r="BZ130" s="3">
        <f>SUM(BV130:BY130)</f>
        <v>0</v>
      </c>
      <c r="CA130" s="3">
        <f>BV130*(1+CA158)</f>
        <v>0</v>
      </c>
      <c r="CB130" s="3">
        <f>BW130*(1+CB158)</f>
        <v>0</v>
      </c>
      <c r="CC130" s="3">
        <f>BX130*(1+CC158)</f>
        <v>0</v>
      </c>
      <c r="CD130" s="3">
        <f>BY130*(1+CD158)</f>
        <v>0</v>
      </c>
      <c r="CE130" s="3">
        <f>SUM(CA130:CD130)</f>
        <v>0</v>
      </c>
      <c r="CF130" s="3">
        <f>CA130*(1+CF158)</f>
        <v>0</v>
      </c>
      <c r="CG130" s="3">
        <f>CB130*(1+CG158)</f>
        <v>0</v>
      </c>
      <c r="CH130" s="3">
        <f>CC130*(1+CH158)</f>
        <v>0</v>
      </c>
      <c r="CI130" s="3">
        <f>CD130*(1+CI158)</f>
        <v>0</v>
      </c>
      <c r="CJ130" s="3">
        <f>SUM(CF130:CI130)</f>
        <v>0</v>
      </c>
      <c r="CK130" s="3">
        <f>CF130*(1+CK158)</f>
        <v>0</v>
      </c>
      <c r="CL130" s="3">
        <f>CG130*(1+CL158)</f>
        <v>0</v>
      </c>
      <c r="CM130" s="3">
        <f>CH130*(1+CM158)</f>
        <v>0</v>
      </c>
      <c r="CN130" s="3">
        <f>CI130*(1+CN158)</f>
        <v>0</v>
      </c>
      <c r="CO130" s="3">
        <f>SUM(CK130:CN130)</f>
        <v>0</v>
      </c>
      <c r="CP130" s="3">
        <f>CK130*(1+CP158)</f>
        <v>0</v>
      </c>
      <c r="CQ130" s="3">
        <f>CL130*(1+CQ158)</f>
        <v>0</v>
      </c>
      <c r="CR130" s="3">
        <f>CM130*(1+CR158)</f>
        <v>0</v>
      </c>
      <c r="CS130" s="3">
        <f>CN130*(1+CS158)</f>
        <v>0</v>
      </c>
      <c r="CT130" s="3">
        <f>SUM(CP130:CS130)</f>
        <v>0</v>
      </c>
      <c r="CU130" s="3">
        <f>CP130*(1+CU158)</f>
        <v>0</v>
      </c>
      <c r="CV130" s="3">
        <f>CQ130*(1+CV158)</f>
        <v>0</v>
      </c>
      <c r="CW130" s="3">
        <f>CR130*(1+CW158)</f>
        <v>0</v>
      </c>
      <c r="CX130" s="3">
        <f>CS130*(1+CX158)</f>
        <v>0</v>
      </c>
      <c r="CY130" s="3">
        <f>SUM(CU130:CX130)</f>
        <v>0</v>
      </c>
    </row>
    <row r="131">
      <c r="C131" s="26" t="inlineStr">
        <is>
          <t>Minority Interest Expense, after tax (enter as - )</t>
        </is>
      </c>
      <c r="D131" s="25">
        <f>INDEX('Inputs (2)'!$D$12:$AL$12,MATCH(D$7,'Inputs (2)'!$D$2:$AL$2,0))</f>
        <v>0</v>
      </c>
      <c r="E131" s="25">
        <f>INDEX('Inputs (2)'!$D$12:$AL$12,MATCH(E$7,'Inputs (2)'!$D$2:$AL$2,0))</f>
        <v>0</v>
      </c>
      <c r="F131" s="25">
        <f>INDEX('Inputs (2)'!$D$12:$AL$12,MATCH(F$7,'Inputs (2)'!$D$2:$AL$2,0))</f>
        <v>0</v>
      </c>
      <c r="G131" s="25">
        <f>INDEX('Inputs (2)'!$D$12:$AL$12,MATCH(G$7,'Inputs (2)'!$D$2:$AL$2,0))</f>
        <v>0</v>
      </c>
      <c r="H131" s="3">
        <f>SUM(D131:G131)</f>
        <v>0</v>
      </c>
      <c r="I131" s="25">
        <f>INDEX('Inputs (2)'!$D$12:$AL$12,MATCH(I$7,'Inputs (2)'!$D$2:$AL$2,0))</f>
        <v>0</v>
      </c>
      <c r="J131" s="25">
        <f>INDEX('Inputs (2)'!$D$12:$AL$12,MATCH(J$7,'Inputs (2)'!$D$2:$AL$2,0))</f>
        <v>0</v>
      </c>
      <c r="K131" s="25">
        <f>INDEX('Inputs (2)'!$D$12:$AL$12,MATCH(K$7,'Inputs (2)'!$D$2:$AL$2,0))</f>
        <v>0</v>
      </c>
      <c r="L131" s="25">
        <f>INDEX('Inputs (2)'!$D$12:$AL$12,MATCH(L$7,'Inputs (2)'!$D$2:$AL$2,0))</f>
        <v>0</v>
      </c>
      <c r="M131" s="3">
        <f>SUM(I131:L131)</f>
        <v>0</v>
      </c>
      <c r="N131" s="25">
        <f>INDEX('Inputs (2)'!$D$12:$AL$12,MATCH(N$7,'Inputs (2)'!$D$2:$AL$2,0))</f>
        <v>0</v>
      </c>
      <c r="O131" s="25">
        <f>INDEX('Inputs (2)'!$D$12:$AL$12,MATCH(O$7,'Inputs (2)'!$D$2:$AL$2,0))</f>
        <v>0</v>
      </c>
      <c r="P131" s="25">
        <f>INDEX('Inputs (2)'!$D$12:$AL$12,MATCH(P$7,'Inputs (2)'!$D$2:$AL$2,0))</f>
        <v>0</v>
      </c>
      <c r="Q131" s="25">
        <f>INDEX('Inputs (2)'!$D$12:$AL$12,MATCH(Q$7,'Inputs (2)'!$D$2:$AL$2,0))</f>
        <v>0</v>
      </c>
      <c r="R131" s="3">
        <f>SUM(N131:Q131)</f>
        <v>0</v>
      </c>
      <c r="S131" s="25">
        <f>INDEX('Inputs (2)'!$D$12:$AL$12,MATCH(S$7,'Inputs (2)'!$D$2:$AL$2,0))</f>
        <v>0</v>
      </c>
      <c r="T131" s="25">
        <f>INDEX('Inputs (2)'!$D$12:$AL$12,MATCH(T$7,'Inputs (2)'!$D$2:$AL$2,0))</f>
        <v>0</v>
      </c>
      <c r="U131" s="25">
        <f>INDEX('Inputs (2)'!$D$12:$AL$12,MATCH(U$7,'Inputs (2)'!$D$2:$AL$2,0))</f>
        <v>0</v>
      </c>
      <c r="V131" s="25">
        <f>INDEX('Inputs (2)'!$D$12:$AL$12,MATCH(V$7,'Inputs (2)'!$D$2:$AL$2,0))</f>
        <v>0</v>
      </c>
      <c r="W131" s="3">
        <f>SUM(S131:V131)</f>
        <v>0</v>
      </c>
      <c r="X131" s="25">
        <f>INDEX('Inputs (2)'!$D$12:$AL$12,MATCH(X$7,'Inputs (2)'!$D$2:$AL$2,0))</f>
        <v>0</v>
      </c>
      <c r="Y131" s="25">
        <f>INDEX('Inputs (2)'!$D$12:$AL$12,MATCH(Y$7,'Inputs (2)'!$D$2:$AL$2,0))</f>
        <v>0</v>
      </c>
      <c r="Z131" s="25">
        <f>INDEX('Inputs (2)'!$D$12:$AL$12,MATCH(Z$7,'Inputs (2)'!$D$2:$AL$2,0))</f>
        <v>0</v>
      </c>
      <c r="AA131" s="25">
        <f>INDEX('Inputs (2)'!$D$12:$AL$12,MATCH(AA$7,'Inputs (2)'!$D$2:$AL$2,0))</f>
        <v>0</v>
      </c>
      <c r="AB131" s="3">
        <f>SUM(X131:AA131)</f>
        <v>0</v>
      </c>
      <c r="AC131" s="25">
        <f>INDEX('Inputs (2)'!$D$12:$AL$12,MATCH(AC$7,'Inputs (2)'!$D$2:$AL$2,0))</f>
        <v>0</v>
      </c>
      <c r="AD131" s="25">
        <f>INDEX('Inputs (2)'!$D$12:$AL$12,MATCH(AD$7,'Inputs (2)'!$D$2:$AL$2,0))</f>
        <v>0</v>
      </c>
      <c r="AE131" s="25">
        <f>INDEX('Inputs (2)'!$D$12:$AL$12,MATCH(AE$7,'Inputs (2)'!$D$2:$AL$2,0))</f>
        <v>0</v>
      </c>
      <c r="AF131" s="25">
        <f>INDEX('Inputs (2)'!$D$12:$AL$12,MATCH(AF$7,'Inputs (2)'!$D$2:$AL$2,0))</f>
        <v>0</v>
      </c>
      <c r="AG131" s="3">
        <f>SUM(AC131:AF131)</f>
        <v>0</v>
      </c>
      <c r="AH131" s="3">
        <f>INDEX('Inputs (2)'!$D$12:$AL$12,MATCH(AH$7,'Inputs (2)'!$D$2:$AL$2,0))</f>
        <v>0</v>
      </c>
      <c r="AI131" s="3">
        <f>INDEX('Inputs (2)'!$D$12:$AL$12,MATCH(AI$7,'Inputs (2)'!$D$2:$AL$2,0))</f>
        <v>0</v>
      </c>
      <c r="AJ131" s="3">
        <f>AE131*(1+AJ245)</f>
        <v>0</v>
      </c>
      <c r="AK131" s="3">
        <f>AF131*(1+AK245)</f>
        <v>0</v>
      </c>
      <c r="AL131" s="3">
        <f>SUM(AH131:AK131)</f>
        <v>0</v>
      </c>
      <c r="AM131" s="3">
        <f>AH131*(1+AM245)</f>
        <v>0</v>
      </c>
      <c r="AN131" s="3">
        <f>AI131*(1+AN245)</f>
        <v>0</v>
      </c>
      <c r="AO131" s="3">
        <f>AJ131*(1+AO245)</f>
        <v>0</v>
      </c>
      <c r="AP131" s="3">
        <f>AK131*(1+AP245)</f>
        <v>0</v>
      </c>
      <c r="AQ131" s="3">
        <f>SUM(AM131:AP131)</f>
        <v>0</v>
      </c>
      <c r="AR131" s="3">
        <f>AM131*(1+AR245)</f>
        <v>0</v>
      </c>
      <c r="AS131" s="3">
        <f>AN131*(1+AS245)</f>
        <v>0</v>
      </c>
      <c r="AT131" s="3">
        <f>AO131*(1+AT245)</f>
        <v>0</v>
      </c>
      <c r="AU131" s="3">
        <f>AP131*(1+AU245)</f>
        <v>0</v>
      </c>
      <c r="AV131" s="3">
        <f>SUM(AR131:AU131)</f>
        <v>0</v>
      </c>
      <c r="AW131" s="3">
        <f>AR131*(1+AW245)</f>
        <v>0</v>
      </c>
      <c r="AX131" s="3">
        <f>AS131*(1+AX245)</f>
        <v>0</v>
      </c>
      <c r="AY131" s="3">
        <f>AT131*(1+AY245)</f>
        <v>0</v>
      </c>
      <c r="AZ131" s="3">
        <f>AU131*(1+AZ245)</f>
        <v>0</v>
      </c>
      <c r="BA131" s="3">
        <f>SUM(AW131:AZ131)</f>
        <v>0</v>
      </c>
      <c r="BB131" s="3">
        <f>AW131*(1+BB245)</f>
        <v>0</v>
      </c>
      <c r="BC131" s="3">
        <f>AX131*(1+BC245)</f>
        <v>0</v>
      </c>
      <c r="BD131" s="3">
        <f>AY131*(1+BD245)</f>
        <v>0</v>
      </c>
      <c r="BE131" s="3">
        <f>AZ131*(1+BE245)</f>
        <v>0</v>
      </c>
      <c r="BF131" s="3">
        <f>SUM(BB131:BE131)</f>
        <v>0</v>
      </c>
      <c r="BG131" s="3">
        <f>BB131*(1+BG245)</f>
        <v>0</v>
      </c>
      <c r="BH131" s="3">
        <f>BC131*(1+BH245)</f>
        <v>0</v>
      </c>
      <c r="BI131" s="3">
        <f>BD131*(1+BI245)</f>
        <v>0</v>
      </c>
      <c r="BJ131" s="3">
        <f>BE131*(1+BJ245)</f>
        <v>0</v>
      </c>
      <c r="BK131" s="3">
        <f>SUM(BG131:BJ131)</f>
        <v>0</v>
      </c>
      <c r="BL131" s="3">
        <f>BG131*(1+BL245)</f>
        <v>0</v>
      </c>
      <c r="BM131" s="3">
        <f>BH131*(1+BM245)</f>
        <v>0</v>
      </c>
      <c r="BN131" s="3">
        <f>BI131*(1+BN245)</f>
        <v>0</v>
      </c>
      <c r="BO131" s="3">
        <f>BJ131*(1+BO245)</f>
        <v>0</v>
      </c>
      <c r="BP131" s="3">
        <f>SUM(BL131:BO131)</f>
        <v>0</v>
      </c>
      <c r="BQ131" s="3">
        <f>BL131*(1+BQ245)</f>
        <v>0</v>
      </c>
      <c r="BR131" s="3">
        <f>BM131*(1+BR245)</f>
        <v>0</v>
      </c>
      <c r="BS131" s="3">
        <f>BN131*(1+BS245)</f>
        <v>0</v>
      </c>
      <c r="BT131" s="3">
        <f>BO131*(1+BT245)</f>
        <v>0</v>
      </c>
      <c r="BU131" s="3">
        <f>SUM(BQ131:BT131)</f>
        <v>0</v>
      </c>
      <c r="BV131" s="3">
        <f>BQ131*(1+BV245)</f>
        <v>0</v>
      </c>
      <c r="BW131" s="3">
        <f>BR131*(1+BW245)</f>
        <v>0</v>
      </c>
      <c r="BX131" s="3">
        <f>BS131*(1+BX245)</f>
        <v>0</v>
      </c>
      <c r="BY131" s="3">
        <f>BT131*(1+BY245)</f>
        <v>0</v>
      </c>
      <c r="BZ131" s="3">
        <f>SUM(BV131:BY131)</f>
        <v>0</v>
      </c>
      <c r="CA131" s="3">
        <f>BV131*(1+CA245)</f>
        <v>0</v>
      </c>
      <c r="CB131" s="3">
        <f>BW131*(1+CB245)</f>
        <v>0</v>
      </c>
      <c r="CC131" s="3">
        <f>BX131*(1+CC245)</f>
        <v>0</v>
      </c>
      <c r="CD131" s="3">
        <f>BY131*(1+CD245)</f>
        <v>0</v>
      </c>
      <c r="CE131" s="3">
        <f>SUM(CA131:CD131)</f>
        <v>0</v>
      </c>
      <c r="CF131" s="3">
        <f>CA131*(1+CF245)</f>
        <v>0</v>
      </c>
      <c r="CG131" s="3">
        <f>CB131*(1+CG245)</f>
        <v>0</v>
      </c>
      <c r="CH131" s="3">
        <f>CC131*(1+CH245)</f>
        <v>0</v>
      </c>
      <c r="CI131" s="3">
        <f>CD131*(1+CI245)</f>
        <v>0</v>
      </c>
      <c r="CJ131" s="3">
        <f>SUM(CF131:CI131)</f>
        <v>0</v>
      </c>
      <c r="CK131" s="3">
        <f>CF131*(1+CK245)</f>
        <v>0</v>
      </c>
      <c r="CL131" s="3">
        <f>CG131*(1+CL245)</f>
        <v>0</v>
      </c>
      <c r="CM131" s="3">
        <f>CH131*(1+CM245)</f>
        <v>0</v>
      </c>
      <c r="CN131" s="3">
        <f>CI131*(1+CN245)</f>
        <v>0</v>
      </c>
      <c r="CO131" s="3">
        <f>SUM(CK131:CN131)</f>
        <v>0</v>
      </c>
      <c r="CP131" s="3">
        <f>CK131*(1+CP245)</f>
        <v>0</v>
      </c>
      <c r="CQ131" s="3">
        <f>CL131*(1+CQ245)</f>
        <v>0</v>
      </c>
      <c r="CR131" s="3">
        <f>CM131*(1+CR245)</f>
        <v>0</v>
      </c>
      <c r="CS131" s="3">
        <f>CN131*(1+CS245)</f>
        <v>0</v>
      </c>
      <c r="CT131" s="3">
        <f>SUM(CP131:CS131)</f>
        <v>0</v>
      </c>
      <c r="CU131" s="3">
        <f>CP131*(1+CU245)</f>
        <v>0</v>
      </c>
      <c r="CV131" s="3">
        <f>CQ131*(1+CV245)</f>
        <v>0</v>
      </c>
      <c r="CW131" s="3">
        <f>CR131*(1+CW245)</f>
        <v>0</v>
      </c>
      <c r="CX131" s="3">
        <f>CS131*(1+CX245)</f>
        <v>0</v>
      </c>
      <c r="CY131" s="3">
        <f>SUM(CU131:CX131)</f>
        <v>0</v>
      </c>
    </row>
    <row r="132" customFormat="1" s="17">
      <c r="A132" s="13" t="n"/>
      <c r="B132" s="1" t="n"/>
      <c r="C132" s="14" t="inlineStr">
        <is>
          <t>Net Income</t>
        </is>
      </c>
      <c r="D132" s="16">
        <f>SUM(D125,D126,D130,D131)</f>
        <v>1456.5</v>
      </c>
      <c r="E132" s="16">
        <f>SUM(E125,E126,E130,E131)</f>
        <v>1412</v>
      </c>
      <c r="F132" s="16">
        <f>SUM(F125,F126,F130,F131)</f>
        <v>1208.4</v>
      </c>
      <c r="G132" s="16">
        <f>SUM(G125,G126,G130,G131)</f>
        <v>2116.8</v>
      </c>
      <c r="H132" s="16">
        <f>SUM(D132:G132)</f>
        <v>6193.7</v>
      </c>
      <c r="I132" s="16">
        <f>SUM(I125,I126,I130,I131)</f>
        <v>1355.3</v>
      </c>
      <c r="J132" s="16">
        <f>SUM(J125,J126,J130,J131)</f>
        <v>1390.2</v>
      </c>
      <c r="K132" s="16">
        <f>SUM(K125,K126,K130,K131)</f>
        <v>1110.1</v>
      </c>
      <c r="L132" s="16">
        <f>SUM(L125,L126,L130,L131)</f>
        <v>1726.1</v>
      </c>
      <c r="M132" s="16">
        <f>SUM(I132:L132)</f>
        <v>5581.7</v>
      </c>
      <c r="N132" s="16">
        <f>SUM(N125,N126,N130,N131)</f>
        <v>1902.9</v>
      </c>
      <c r="O132" s="16">
        <f>SUM(O125,O126,O130,O131)</f>
        <v>952.5</v>
      </c>
      <c r="P132" s="16">
        <f>SUM(P125,P126,P130,P131)</f>
        <v>1451.7</v>
      </c>
      <c r="Q132" s="16">
        <f>SUM(Q125,Q126,Q130,Q131)</f>
        <v>1937.7</v>
      </c>
      <c r="R132" s="16">
        <f>SUM(N132:Q132)</f>
        <v>6244.8</v>
      </c>
      <c r="S132" s="16">
        <f>SUM(S125,S126,S130,S131)</f>
        <v>1344.9</v>
      </c>
      <c r="T132" s="16">
        <f>SUM(T125,T126,T130,T131)</f>
        <v>1763.2</v>
      </c>
      <c r="U132" s="16">
        <f>SUM(U125,U126,U130,U131)</f>
        <v>-57.4</v>
      </c>
      <c r="V132" s="16">
        <f>SUM(V125,V126,V130,V131)</f>
        <v>2189.7</v>
      </c>
      <c r="W132" s="16">
        <f>SUM(S132:V132)</f>
        <v>5240.4</v>
      </c>
      <c r="X132" s="16">
        <f>SUM(X125,X126,X130,X131)</f>
        <v>2242.9</v>
      </c>
      <c r="Y132" s="16">
        <f>SUM(Y125,Y126,Y130,Y131)</f>
        <v>2967</v>
      </c>
      <c r="Z132" s="16">
        <f>SUM(Z125,Z126,Z130,Z131)</f>
        <v>970.3</v>
      </c>
      <c r="AA132" s="16">
        <f>SUM(AA125,AA126,AA130,AA131)</f>
        <v>4409.8</v>
      </c>
      <c r="AB132" s="16">
        <f>SUM(X132:AA132)</f>
        <v>10590</v>
      </c>
      <c r="AC132" s="16">
        <f>SUM(AC125,AC126,AC130,AC131)</f>
        <v>2759</v>
      </c>
      <c r="AD132" s="16">
        <f>SUM(AD125,AD126,AD130,AD131)</f>
        <v>5661</v>
      </c>
      <c r="AE132" s="16">
        <f>SUM(AE125,AE126,AE130,AE131)</f>
        <v>5582.5</v>
      </c>
      <c r="AF132" s="16">
        <f>SUM(AF125,AF126,AF130,AF131)</f>
        <v>6637.7</v>
      </c>
      <c r="AG132" s="16">
        <f>SUM(AC132:AF132)</f>
        <v>20640.2</v>
      </c>
      <c r="AH132" s="16">
        <f>SUM(AH125,AH126,AH130,AH131)</f>
        <v>7396</v>
      </c>
      <c r="AI132" s="16">
        <f>SUM(AI125,AI126,AI130,AI131)</f>
        <v>7095</v>
      </c>
      <c r="AJ132" s="16">
        <f>SUM(AJ125,AJ126,AJ130,AJ131)</f>
        <v>8850</v>
      </c>
      <c r="AK132" s="16">
        <f>SUM(AK125,AK126,AK130,AK131)</f>
        <v>9247</v>
      </c>
      <c r="AL132" s="16">
        <f>SUM(AH132:AK132)</f>
        <v>32588</v>
      </c>
      <c r="AM132" s="16">
        <f>SUM(AM125,AM126,AM130,AM131)</f>
        <v>9247</v>
      </c>
      <c r="AN132" s="16">
        <f>SUM(AN125,AN126,AN130,AN131)</f>
        <v>36194</v>
      </c>
      <c r="AO132" s="16">
        <f>SUM(AO125,AO126,AO130,AO131)</f>
        <v>9247</v>
      </c>
      <c r="AP132" s="16">
        <f>SUM(AP125,AP126,AP130,AP131)</f>
        <v>36194</v>
      </c>
      <c r="AQ132" s="16">
        <f>SUM(AM132:AP132)</f>
        <v>90882</v>
      </c>
      <c r="AR132" s="16">
        <f>SUM(AR125,AR126,AR130,AR131)</f>
        <v>36194</v>
      </c>
      <c r="AS132" s="16">
        <f>SUM(AS125,AS126,AS130,AS131)</f>
        <v>90882</v>
      </c>
      <c r="AT132" s="16">
        <f>SUM(AT125,AT126,AT130,AT131)</f>
        <v>36194</v>
      </c>
      <c r="AU132" s="16">
        <f>SUM(AU125,AU126,AU130,AU131)</f>
        <v>90882</v>
      </c>
      <c r="AV132" s="16">
        <f>SUM(AR132:AU132)</f>
        <v>254152</v>
      </c>
      <c r="AW132" s="16">
        <f>SUM(AW125,AW126,AW130,AW131)</f>
        <v>90882</v>
      </c>
      <c r="AX132" s="16">
        <f>SUM(AX125,AX126,AX130,AX131)</f>
        <v>254152</v>
      </c>
      <c r="AY132" s="16">
        <f>SUM(AY125,AY126,AY130,AY131)</f>
        <v>90882</v>
      </c>
      <c r="AZ132" s="16">
        <f>SUM(AZ125,AZ126,AZ130,AZ131)</f>
        <v>254152</v>
      </c>
      <c r="BA132" s="16">
        <f>SUM(AW132:AZ132)</f>
        <v>690068</v>
      </c>
      <c r="BB132" s="16">
        <f>SUM(BB125,BB126,BB130,BB131)</f>
        <v>254152</v>
      </c>
      <c r="BC132" s="16">
        <f>SUM(BC125,BC126,BC130,BC131)</f>
        <v>690068</v>
      </c>
      <c r="BD132" s="16">
        <f>SUM(BD125,BD126,BD130,BD131)</f>
        <v>254152</v>
      </c>
      <c r="BE132" s="16">
        <f>SUM(BE125,BE126,BE130,BE131)</f>
        <v>690068</v>
      </c>
      <c r="BF132" s="16">
        <f>SUM(BB132:BE132)</f>
        <v>1888440</v>
      </c>
      <c r="BG132" s="16">
        <f>SUM(BG125,BG126,BG130,BG131)</f>
        <v>690068</v>
      </c>
      <c r="BH132" s="16">
        <f>SUM(BH125,BH126,BH130,BH131)</f>
        <v>1888440</v>
      </c>
      <c r="BI132" s="16">
        <f>SUM(BI125,BI126,BI130,BI131)</f>
        <v>690068</v>
      </c>
      <c r="BJ132" s="16">
        <f>SUM(BJ125,BJ126,BJ130,BJ131)</f>
        <v>1888440</v>
      </c>
      <c r="BK132" s="16">
        <f>SUM(BG132:BJ132)</f>
        <v>5157016</v>
      </c>
      <c r="BL132" s="16">
        <f>SUM(BL125,BL126,BL130,BL131)</f>
        <v>1888440</v>
      </c>
      <c r="BM132" s="16">
        <f>SUM(BM125,BM126,BM130,BM131)</f>
        <v>5157016</v>
      </c>
      <c r="BN132" s="16">
        <f>SUM(BN125,BN126,BN130,BN131)</f>
        <v>1888440</v>
      </c>
      <c r="BO132" s="16">
        <f>SUM(BO125,BO126,BO130,BO131)</f>
        <v>5157016</v>
      </c>
      <c r="BP132" s="16">
        <f>SUM(BL132:BO132)</f>
        <v>14090912</v>
      </c>
      <c r="BQ132" s="16">
        <f>SUM(BQ125,BQ126,BQ130,BQ131)</f>
        <v>5157016</v>
      </c>
      <c r="BR132" s="16">
        <f>SUM(BR125,BR126,BR130,BR131)</f>
        <v>14090912</v>
      </c>
      <c r="BS132" s="16">
        <f>SUM(BS125,BS126,BS130,BS131)</f>
        <v>5157016</v>
      </c>
      <c r="BT132" s="16">
        <f>SUM(BT125,BT126,BT130,BT131)</f>
        <v>14090912</v>
      </c>
      <c r="BU132" s="16">
        <f>SUM(BQ132:BT132)</f>
        <v>38495856</v>
      </c>
      <c r="BV132" s="16">
        <f>SUM(BV125,BV126,BV130,BV131)</f>
        <v>14090912</v>
      </c>
      <c r="BW132" s="16">
        <f>SUM(BW125,BW126,BW130,BW131)</f>
        <v>38495856</v>
      </c>
      <c r="BX132" s="16">
        <f>SUM(BX125,BX126,BX130,BX131)</f>
        <v>14090912</v>
      </c>
      <c r="BY132" s="16">
        <f>SUM(BY125,BY126,BY130,BY131)</f>
        <v>38495856</v>
      </c>
      <c r="BZ132" s="16">
        <f>SUM(BV132:BY132)</f>
        <v>105173536</v>
      </c>
      <c r="CA132" s="16">
        <f>SUM(CA125,CA126,CA130,CA131)</f>
        <v>38495856</v>
      </c>
      <c r="CB132" s="16">
        <f>SUM(CB125,CB126,CB130,CB131)</f>
        <v>105173536</v>
      </c>
      <c r="CC132" s="16">
        <f>SUM(CC125,CC126,CC130,CC131)</f>
        <v>38495856</v>
      </c>
      <c r="CD132" s="16">
        <f>SUM(CD125,CD126,CD130,CD131)</f>
        <v>105173536</v>
      </c>
      <c r="CE132" s="16">
        <f>SUM(CA132:CD132)</f>
        <v>287338784</v>
      </c>
      <c r="CF132" s="16">
        <f>SUM(CF125,CF126,CF130,CF131)</f>
        <v>105173536</v>
      </c>
      <c r="CG132" s="16">
        <f>SUM(CG125,CG126,CG130,CG131)</f>
        <v>287338784</v>
      </c>
      <c r="CH132" s="16">
        <f>SUM(CH125,CH126,CH130,CH131)</f>
        <v>105173536</v>
      </c>
      <c r="CI132" s="16">
        <f>SUM(CI125,CI126,CI130,CI131)</f>
        <v>287338784</v>
      </c>
      <c r="CJ132" s="16">
        <f>SUM(CF132:CI132)</f>
        <v>785024640</v>
      </c>
      <c r="CK132" s="16">
        <f>SUM(CK125,CK126,CK130,CK131)</f>
        <v>287338784</v>
      </c>
      <c r="CL132" s="16">
        <f>SUM(CL125,CL126,CL130,CL131)</f>
        <v>785024640</v>
      </c>
      <c r="CM132" s="16">
        <f>SUM(CM125,CM126,CM130,CM131)</f>
        <v>287338784</v>
      </c>
      <c r="CN132" s="16">
        <f>SUM(CN125,CN126,CN130,CN131)</f>
        <v>785024640</v>
      </c>
      <c r="CO132" s="16">
        <f>SUM(CK132:CN132)</f>
        <v>2144726848</v>
      </c>
      <c r="CP132" s="16">
        <f>SUM(CP125,CP126,CP130,CP131)</f>
        <v>785024640</v>
      </c>
      <c r="CQ132" s="16">
        <f>SUM(CQ125,CQ126,CQ130,CQ131)</f>
        <v>2144726848</v>
      </c>
      <c r="CR132" s="16">
        <f>SUM(CR125,CR126,CR130,CR131)</f>
        <v>785024640</v>
      </c>
      <c r="CS132" s="16">
        <f>SUM(CS125,CS126,CS130,CS131)</f>
        <v>2144726848</v>
      </c>
      <c r="CT132" s="16">
        <f>SUM(CP132:CS132)</f>
        <v>5859502976</v>
      </c>
      <c r="CU132" s="16">
        <f>SUM(CU125,CU126,CU130,CU131)</f>
        <v>2144726848</v>
      </c>
      <c r="CV132" s="16">
        <f>SUM(CV125,CV126,CV130,CV131)</f>
        <v>5859502976</v>
      </c>
      <c r="CW132" s="16">
        <f>SUM(CW125,CW126,CW130,CW131)</f>
        <v>2144726848</v>
      </c>
      <c r="CX132" s="16">
        <f>SUM(CX125,CX126,CX130,CX131)</f>
        <v>5859502976</v>
      </c>
      <c r="CY132" s="16">
        <f>SUM(CU132:CX132)</f>
        <v>16008459648</v>
      </c>
    </row>
    <row r="133">
      <c r="C133" s="24" t="inlineStr">
        <is>
          <t>Common Dividends</t>
        </is>
      </c>
      <c r="D133" s="25">
        <f>INDEX('Inputs (2)'!$D$13:$AL$13,MATCH(D$7,'Inputs (2)'!$D$2:$AL$2,0))</f>
        <v>-671.3</v>
      </c>
      <c r="E133" s="25">
        <f>INDEX('Inputs (2)'!$D$13:$AL$13,MATCH(E$7,'Inputs (2)'!$D$2:$AL$2,0))</f>
        <v>-674.2</v>
      </c>
      <c r="F133" s="25">
        <f>INDEX('Inputs (2)'!$D$13:$AL$13,MATCH(F$7,'Inputs (2)'!$D$2:$AL$2,0))</f>
        <v>-671.6</v>
      </c>
      <c r="G133" s="25">
        <f>INDEX('Inputs (2)'!$D$13:$AL$13,MATCH(G$7,'Inputs (2)'!$D$2:$AL$2,0))</f>
        <v>-670</v>
      </c>
      <c r="H133" s="3">
        <f>SUM(D133:G133)</f>
        <v>-2687.1</v>
      </c>
      <c r="I133" s="25">
        <f>INDEX('Inputs (2)'!$D$13:$AL$13,MATCH(I$7,'Inputs (2)'!$D$2:$AL$2,0))</f>
        <v>-774.8</v>
      </c>
      <c r="J133" s="25">
        <f>INDEX('Inputs (2)'!$D$13:$AL$13,MATCH(J$7,'Inputs (2)'!$D$2:$AL$2,0))</f>
        <v>-768.3</v>
      </c>
      <c r="K133" s="25">
        <f>INDEX('Inputs (2)'!$D$13:$AL$13,MATCH(K$7,'Inputs (2)'!$D$2:$AL$2,0))</f>
        <v>-770.4</v>
      </c>
      <c r="L133" s="25">
        <f>INDEX('Inputs (2)'!$D$13:$AL$13,MATCH(L$7,'Inputs (2)'!$D$2:$AL$2,0))</f>
        <v>-773.3</v>
      </c>
      <c r="M133" s="3">
        <f>SUM(I133:L133)</f>
        <v>-3086.8</v>
      </c>
      <c r="N133" s="25">
        <f>INDEX('Inputs (2)'!$D$13:$AL$13,MATCH(N$7,'Inputs (2)'!$D$2:$AL$2,0))</f>
        <v>-885.5</v>
      </c>
      <c r="O133" s="25">
        <f>INDEX('Inputs (2)'!$D$13:$AL$13,MATCH(O$7,'Inputs (2)'!$D$2:$AL$2,0))</f>
        <v>-883.7</v>
      </c>
      <c r="P133" s="25">
        <f>INDEX('Inputs (2)'!$D$13:$AL$13,MATCH(P$7,'Inputs (2)'!$D$2:$AL$2,0))</f>
        <v>-882.2</v>
      </c>
      <c r="Q133" s="25">
        <f>INDEX('Inputs (2)'!$D$13:$AL$13,MATCH(Q$7,'Inputs (2)'!$D$2:$AL$2,0))</f>
        <v>-884.4</v>
      </c>
      <c r="R133" s="3">
        <f>SUM(N133:Q133)</f>
        <v>-3535.8</v>
      </c>
      <c r="S133" s="25">
        <f>INDEX('Inputs (2)'!$D$13:$AL$13,MATCH(S$7,'Inputs (2)'!$D$2:$AL$2,0))</f>
        <v>-1017.2</v>
      </c>
      <c r="T133" s="25">
        <f>INDEX('Inputs (2)'!$D$13:$AL$13,MATCH(T$7,'Inputs (2)'!$D$2:$AL$2,0))</f>
        <v>-1017.8</v>
      </c>
      <c r="U133" s="25">
        <f>INDEX('Inputs (2)'!$D$13:$AL$13,MATCH(U$7,'Inputs (2)'!$D$2:$AL$2,0))</f>
        <v>-1016.2</v>
      </c>
      <c r="V133" s="25">
        <f>INDEX('Inputs (2)'!$D$13:$AL$13,MATCH(V$7,'Inputs (2)'!$D$2:$AL$2,0))</f>
        <v>-1018.1</v>
      </c>
      <c r="W133" s="3">
        <f>SUM(S133:V133)</f>
        <v>-4069.3</v>
      </c>
      <c r="X133" s="25">
        <f>INDEX('Inputs (2)'!$D$13:$AL$13,MATCH(X$7,'Inputs (2)'!$D$2:$AL$2,0))</f>
        <v>-1169.2</v>
      </c>
      <c r="Y133" s="25">
        <f>INDEX('Inputs (2)'!$D$13:$AL$13,MATCH(Y$7,'Inputs (2)'!$D$2:$AL$2,0))</f>
        <v>-1172.4</v>
      </c>
      <c r="Z133" s="25">
        <f>INDEX('Inputs (2)'!$D$13:$AL$13,MATCH(Z$7,'Inputs (2)'!$D$2:$AL$2,0))</f>
        <v>-1170.5</v>
      </c>
      <c r="AA133" s="25">
        <f>INDEX('Inputs (2)'!$D$13:$AL$13,MATCH(AA$7,'Inputs (2)'!$D$2:$AL$2,0))</f>
        <v>-1168.3</v>
      </c>
      <c r="AB133" s="3">
        <f>SUM(X133:AA133)</f>
        <v>-4680.4</v>
      </c>
      <c r="AC133" s="25">
        <f>INDEX('Inputs (2)'!$D$13:$AL$13,MATCH(AC$7,'Inputs (2)'!$D$2:$AL$2,0))</f>
        <v>-1346.3</v>
      </c>
      <c r="AD133" s="25">
        <f>INDEX('Inputs (2)'!$D$13:$AL$13,MATCH(AD$7,'Inputs (2)'!$D$2:$AL$2,0))</f>
        <v>-1347</v>
      </c>
      <c r="AE133" s="25">
        <f>INDEX('Inputs (2)'!$D$13:$AL$13,MATCH(AE$7,'Inputs (2)'!$D$2:$AL$2,0))</f>
        <v>-1345.2</v>
      </c>
      <c r="AF133" s="25">
        <f>INDEX('Inputs (2)'!$D$13:$AL$13,MATCH(AF$7,'Inputs (2)'!$D$2:$AL$2,0))</f>
        <v>-1345.5</v>
      </c>
      <c r="AG133" s="3">
        <f>SUM(AC133:AF133)</f>
        <v>-5384</v>
      </c>
      <c r="AH133" s="3">
        <f>INDEX('Inputs (2)'!$D$13:$AL$13,MATCH(AH$7,'Inputs (2)'!$D$2:$AL$2,0))</f>
        <v>-1548</v>
      </c>
      <c r="AI133" s="3">
        <f>INDEX('Inputs (2)'!$D$13:$AL$13,MATCH(AI$7,'Inputs (2)'!$D$2:$AL$2,0))</f>
        <v>-1546</v>
      </c>
      <c r="AJ133" s="3" t="n"/>
      <c r="AK133" s="3" t="n"/>
      <c r="AL133" s="3">
        <f>SUM(AH133:AK133)</f>
        <v>-3094</v>
      </c>
      <c r="AM133" s="3" t="n"/>
      <c r="AN133" s="3" t="n"/>
      <c r="AO133" s="3" t="n"/>
      <c r="AP133" s="3" t="n"/>
      <c r="AQ133" s="3">
        <f>SUM(AM133:AP133)</f>
        <v>0</v>
      </c>
      <c r="AR133" s="3" t="n"/>
      <c r="AS133" s="3" t="n"/>
      <c r="AT133" s="3" t="n"/>
      <c r="AU133" s="3" t="n"/>
      <c r="AV133" s="3">
        <f>SUM(AR133:AU133)</f>
        <v>0</v>
      </c>
      <c r="AW133" s="3" t="n"/>
      <c r="AX133" s="3" t="n"/>
      <c r="AY133" s="3" t="n"/>
      <c r="AZ133" s="3" t="n"/>
      <c r="BA133" s="3">
        <f>SUM(AW133:AZ133)</f>
        <v>0</v>
      </c>
      <c r="BB133" s="3" t="n"/>
      <c r="BC133" s="3" t="n"/>
      <c r="BD133" s="3" t="n"/>
      <c r="BE133" s="3" t="n"/>
      <c r="BF133" s="3">
        <f>SUM(BB133:BE133)</f>
        <v>0</v>
      </c>
      <c r="BG133" s="3" t="n"/>
      <c r="BH133" s="3" t="n"/>
      <c r="BI133" s="3" t="n"/>
      <c r="BJ133" s="3" t="n"/>
      <c r="BK133" s="3">
        <f>SUM(BG133:BJ133)</f>
        <v>0</v>
      </c>
      <c r="BL133" s="3" t="n"/>
      <c r="BM133" s="3" t="n"/>
      <c r="BN133" s="3" t="n"/>
      <c r="BO133" s="3" t="n"/>
      <c r="BP133" s="3">
        <f>SUM(BL133:BO133)</f>
        <v>0</v>
      </c>
      <c r="BQ133" s="3" t="n"/>
      <c r="BR133" s="3" t="n"/>
      <c r="BS133" s="3" t="n"/>
      <c r="BT133" s="3" t="n"/>
      <c r="BU133" s="3">
        <f>SUM(BQ133:BT133)</f>
        <v>0</v>
      </c>
      <c r="BV133" s="3" t="n"/>
      <c r="BW133" s="3" t="n"/>
      <c r="BX133" s="3" t="n"/>
      <c r="BY133" s="3" t="n"/>
      <c r="BZ133" s="3">
        <f>SUM(BV133:BY133)</f>
        <v>0</v>
      </c>
      <c r="CA133" s="3" t="n"/>
      <c r="CB133" s="3" t="n"/>
      <c r="CC133" s="3" t="n"/>
      <c r="CD133" s="3" t="n"/>
      <c r="CE133" s="3">
        <f>SUM(CA133:CD133)</f>
        <v>0</v>
      </c>
      <c r="CF133" s="3" t="n"/>
      <c r="CG133" s="3" t="n"/>
      <c r="CH133" s="3" t="n"/>
      <c r="CI133" s="3" t="n"/>
      <c r="CJ133" s="3">
        <f>SUM(CF133:CI133)</f>
        <v>0</v>
      </c>
      <c r="CK133" s="3" t="n"/>
      <c r="CL133" s="3" t="n"/>
      <c r="CM133" s="3" t="n"/>
      <c r="CN133" s="3" t="n"/>
      <c r="CO133" s="3">
        <f>SUM(CK133:CN133)</f>
        <v>0</v>
      </c>
      <c r="CP133" s="3" t="n"/>
      <c r="CQ133" s="3" t="n"/>
      <c r="CR133" s="3" t="n"/>
      <c r="CS133" s="3" t="n"/>
      <c r="CT133" s="3">
        <f>SUM(CP133:CS133)</f>
        <v>0</v>
      </c>
      <c r="CU133" s="3" t="n"/>
      <c r="CV133" s="3" t="n"/>
      <c r="CW133" s="3" t="n"/>
      <c r="CX133" s="3" t="n"/>
      <c r="CY133" s="3">
        <f>SUM(CU133:CX133)</f>
        <v>0</v>
      </c>
    </row>
    <row r="134" hidden="1" outlineLevel="1">
      <c r="C134" s="32" t="inlineStr">
        <is>
          <t>% DVD Payout</t>
        </is>
      </c>
      <c r="D134" s="40">
        <f>-D133/D132</f>
        <v>0.4608994164092</v>
      </c>
      <c r="E134" s="40">
        <f>-E133/E132</f>
        <v>0.477478753541077</v>
      </c>
      <c r="F134" s="40">
        <f>-F133/F132</f>
        <v>0.555776233035419</v>
      </c>
      <c r="G134" s="40">
        <f>-G133/G132</f>
        <v>0.316515495086924</v>
      </c>
      <c r="H134" s="40">
        <f>-H133/H132</f>
        <v>0.433844067358768</v>
      </c>
      <c r="I134" s="40">
        <f>-I133/I132</f>
        <v>0.571681546521065</v>
      </c>
      <c r="J134" s="40">
        <f>-J133/J132</f>
        <v>0.552654294346137</v>
      </c>
      <c r="K134" s="40">
        <f>-K133/K132</f>
        <v>0.693991532294388</v>
      </c>
      <c r="L134" s="40">
        <f>-L133/L132</f>
        <v>0.448004171253114</v>
      </c>
      <c r="M134" s="40">
        <f>-M133/M132</f>
        <v>0.553021480910834</v>
      </c>
      <c r="N134" s="40">
        <f>-N133/N132</f>
        <v>0.465342372168795</v>
      </c>
      <c r="O134" s="40">
        <f>-O133/O132</f>
        <v>0.927769028871391</v>
      </c>
      <c r="P134" s="40">
        <f>-P133/P132</f>
        <v>0.607701315698836</v>
      </c>
      <c r="Q134" s="40">
        <f>-Q133/Q132</f>
        <v>0.456417402074625</v>
      </c>
      <c r="R134" s="40">
        <f>-R133/R132</f>
        <v>0.56619907763259</v>
      </c>
      <c r="S134" s="40">
        <f>-S133/S132</f>
        <v>0.756338761246189</v>
      </c>
      <c r="T134" s="40">
        <f>-T133/T132</f>
        <v>0.577245916515426</v>
      </c>
      <c r="U134" s="40">
        <f>-U133/U132</f>
        <v>-17.7038327526132</v>
      </c>
      <c r="V134" s="40">
        <f>-V133/V132</f>
        <v>0.464949536466183</v>
      </c>
      <c r="W134" s="40">
        <f>-W133/W132</f>
        <v>0.776524692771544</v>
      </c>
      <c r="X134" s="40">
        <f>-X133/X132</f>
        <v>0.521289402113335</v>
      </c>
      <c r="Y134" s="40">
        <f>-Y133/Y132</f>
        <v>0.395146612740142</v>
      </c>
      <c r="Z134" s="40">
        <f>-Z133/Z132</f>
        <v>1.20632793981243</v>
      </c>
      <c r="AA134" s="40">
        <f>-AA133/AA132</f>
        <v>0.264932650006803</v>
      </c>
      <c r="AB134" s="40">
        <f>-AB133/AB132</f>
        <v>0.441964117091596</v>
      </c>
      <c r="AC134" s="40">
        <f>-AC133/AC132</f>
        <v>0.487966654584995</v>
      </c>
      <c r="AD134" s="40">
        <f>-AD133/AD132</f>
        <v>0.23794382617912</v>
      </c>
      <c r="AE134" s="40">
        <f>-AE133/AE132</f>
        <v>0.240967308553515</v>
      </c>
      <c r="AF134" s="44">
        <f>-AF133/AF132</f>
        <v>0.202705756512045</v>
      </c>
      <c r="AG134" s="3" t="n"/>
      <c r="AH134" s="44">
        <f>-AH133/AH132</f>
        <v>0.209302325581395</v>
      </c>
      <c r="AI134" s="44">
        <f>-AI133/AI132</f>
        <v>0.217899929527837</v>
      </c>
      <c r="AJ134" s="44" t="n"/>
      <c r="AK134" s="44" t="n"/>
      <c r="AL134" s="3">
        <f>-AL133/AL132</f>
        <v>0.0949429237756229</v>
      </c>
      <c r="AM134" s="44" t="n"/>
      <c r="AN134" s="44" t="n"/>
      <c r="AO134" s="44" t="n"/>
      <c r="AP134" s="44" t="n"/>
      <c r="AQ134" s="3">
        <f>-AQ133/AQ132</f>
        <v>0</v>
      </c>
      <c r="AR134" s="44" t="n"/>
      <c r="AS134" s="44" t="n"/>
      <c r="AT134" s="44" t="n"/>
      <c r="AU134" s="44" t="n"/>
      <c r="AV134" s="3">
        <f>-AV133/AV132</f>
        <v>0</v>
      </c>
      <c r="AW134" s="44" t="n"/>
      <c r="AX134" s="44" t="n"/>
      <c r="AY134" s="44" t="n"/>
      <c r="AZ134" s="44" t="n"/>
      <c r="BA134" s="3">
        <f>-BA133/BA132</f>
        <v>0</v>
      </c>
      <c r="BB134" s="44" t="n"/>
      <c r="BC134" s="44" t="n"/>
      <c r="BD134" s="44" t="n"/>
      <c r="BE134" s="44" t="n"/>
      <c r="BF134" s="3">
        <f>-BF133/BF132</f>
        <v>0</v>
      </c>
      <c r="BG134" s="44" t="n"/>
      <c r="BH134" s="44" t="n"/>
      <c r="BI134" s="44" t="n"/>
      <c r="BJ134" s="44" t="n"/>
      <c r="BK134" s="3">
        <f>-BK133/BK132</f>
        <v>0</v>
      </c>
      <c r="BL134" s="44" t="n"/>
      <c r="BM134" s="44" t="n"/>
      <c r="BN134" s="44" t="n"/>
      <c r="BO134" s="44" t="n"/>
      <c r="BP134" s="3">
        <f>-BP133/BP132</f>
        <v>0</v>
      </c>
      <c r="BQ134" s="44" t="n"/>
      <c r="BR134" s="44" t="n"/>
      <c r="BS134" s="44" t="n"/>
      <c r="BT134" s="44" t="n"/>
      <c r="BU134" s="3">
        <f>-BU133/BU132</f>
        <v>0</v>
      </c>
      <c r="BV134" s="44" t="n"/>
      <c r="BW134" s="44" t="n"/>
      <c r="BX134" s="44" t="n"/>
      <c r="BY134" s="44" t="n"/>
      <c r="BZ134" s="3">
        <f>-BZ133/BZ132</f>
        <v>0</v>
      </c>
      <c r="CA134" s="44" t="n"/>
      <c r="CB134" s="44" t="n"/>
      <c r="CC134" s="44" t="n"/>
      <c r="CD134" s="44" t="n"/>
      <c r="CE134" s="3">
        <f>-CE133/CE132</f>
        <v>0</v>
      </c>
      <c r="CF134" s="44" t="n"/>
      <c r="CG134" s="44" t="n"/>
      <c r="CH134" s="44" t="n"/>
      <c r="CI134" s="44" t="n"/>
      <c r="CJ134" s="3">
        <f>-CJ133/CJ132</f>
        <v>0</v>
      </c>
      <c r="CK134" s="44" t="n"/>
      <c r="CL134" s="44" t="n"/>
      <c r="CM134" s="44" t="n"/>
      <c r="CN134" s="44" t="n"/>
      <c r="CO134" s="3">
        <f>-CO133/CO132</f>
        <v>0</v>
      </c>
      <c r="CP134" s="44" t="n"/>
      <c r="CQ134" s="44" t="n"/>
      <c r="CR134" s="44" t="n"/>
      <c r="CS134" s="44" t="n"/>
      <c r="CT134" s="3">
        <f>-CT133/CT132</f>
        <v>0</v>
      </c>
      <c r="CU134" s="44" t="n"/>
      <c r="CV134" s="44" t="n"/>
      <c r="CW134" s="44" t="n"/>
      <c r="CX134" s="44" t="n"/>
      <c r="CY134" s="3">
        <f>-CY133/CY132</f>
        <v>0</v>
      </c>
    </row>
    <row r="135" hidden="1" outlineLevel="1">
      <c r="C135" s="5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  <c r="AJ135" s="1" t="n"/>
      <c r="AK135" s="1" t="n"/>
      <c r="AL135" s="1" t="n"/>
      <c r="AM135" s="1" t="n"/>
      <c r="AN135" s="1" t="n"/>
      <c r="AO135" s="1" t="n"/>
      <c r="AP135" s="1" t="n"/>
      <c r="AQ135" s="1" t="n"/>
      <c r="AR135" s="1" t="n"/>
      <c r="AS135" s="1" t="n"/>
      <c r="AT135" s="1" t="n"/>
      <c r="AU135" s="1" t="n"/>
      <c r="AV135" s="1" t="n"/>
      <c r="AW135" s="1" t="n"/>
      <c r="AX135" s="1" t="n"/>
      <c r="AY135" s="1" t="n"/>
      <c r="AZ135" s="1" t="n"/>
      <c r="BA135" s="1" t="n"/>
      <c r="BB135" s="1" t="n"/>
      <c r="BC135" s="1" t="n"/>
      <c r="BD135" s="1" t="n"/>
      <c r="BE135" s="1" t="n"/>
      <c r="BF135" s="1" t="n"/>
      <c r="BG135" s="1" t="n"/>
      <c r="BH135" s="1" t="n"/>
      <c r="BI135" s="1" t="n"/>
      <c r="BJ135" s="1" t="n"/>
      <c r="BK135" s="1" t="n"/>
      <c r="BL135" s="1" t="n"/>
      <c r="BM135" s="1" t="n"/>
      <c r="BN135" s="1" t="n"/>
      <c r="BO135" s="1" t="n"/>
      <c r="BP135" s="1" t="n"/>
      <c r="BQ135" s="1" t="n"/>
      <c r="BR135" s="1" t="n"/>
      <c r="BS135" s="1" t="n"/>
      <c r="BT135" s="1" t="n"/>
      <c r="BU135" s="1" t="n"/>
      <c r="BV135" s="1" t="n"/>
      <c r="BW135" s="1" t="n"/>
      <c r="BX135" s="1" t="n"/>
      <c r="BY135" s="1" t="n"/>
      <c r="BZ135" s="1" t="n"/>
      <c r="CA135" s="1" t="n"/>
      <c r="CB135" s="1" t="n"/>
      <c r="CC135" s="1" t="n"/>
      <c r="CD135" s="1" t="n"/>
      <c r="CE135" s="1" t="n"/>
      <c r="CF135" s="1" t="n"/>
      <c r="CG135" s="1" t="n"/>
      <c r="CH135" s="1" t="n"/>
      <c r="CI135" s="1" t="n"/>
      <c r="CJ135" s="1" t="n"/>
      <c r="CK135" s="1" t="n"/>
      <c r="CL135" s="1" t="n"/>
      <c r="CM135" s="1" t="n"/>
      <c r="CN135" s="1" t="n"/>
      <c r="CO135" s="1" t="n"/>
      <c r="CP135" s="1" t="n"/>
      <c r="CQ135" s="1" t="n"/>
      <c r="CR135" s="1" t="n"/>
      <c r="CS135" s="1" t="n"/>
      <c r="CT135" s="1" t="n"/>
      <c r="CU135" s="1" t="n"/>
      <c r="CV135" s="1" t="n"/>
      <c r="CW135" s="1" t="n"/>
      <c r="CX135" s="1" t="n"/>
      <c r="CY135" s="1" t="n"/>
    </row>
    <row r="136" hidden="1" outlineLevel="1">
      <c r="C136" s="5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  <c r="AJ136" s="1" t="n"/>
      <c r="AK136" s="1" t="n"/>
      <c r="AL136" s="1" t="n"/>
      <c r="AM136" s="1" t="n"/>
      <c r="AN136" s="1" t="n"/>
      <c r="AO136" s="1" t="n"/>
      <c r="AP136" s="1" t="n"/>
      <c r="AQ136" s="1" t="n"/>
      <c r="AR136" s="1" t="n"/>
      <c r="AS136" s="1" t="n"/>
      <c r="AT136" s="1" t="n"/>
      <c r="AU136" s="1" t="n"/>
      <c r="AV136" s="1" t="n"/>
      <c r="AW136" s="1" t="n"/>
      <c r="AX136" s="1" t="n"/>
      <c r="AY136" s="1" t="n"/>
      <c r="AZ136" s="1" t="n"/>
      <c r="BA136" s="1" t="n"/>
      <c r="BB136" s="1" t="n"/>
      <c r="BC136" s="1" t="n"/>
      <c r="BD136" s="1" t="n"/>
      <c r="BE136" s="1" t="n"/>
      <c r="BF136" s="1" t="n"/>
      <c r="BG136" s="1" t="n"/>
      <c r="BH136" s="1" t="n"/>
      <c r="BI136" s="1" t="n"/>
      <c r="BJ136" s="1" t="n"/>
      <c r="BK136" s="1" t="n"/>
      <c r="BL136" s="1" t="n"/>
      <c r="BM136" s="1" t="n"/>
      <c r="BN136" s="1" t="n"/>
      <c r="BO136" s="1" t="n"/>
      <c r="BP136" s="1" t="n"/>
      <c r="BQ136" s="1" t="n"/>
      <c r="BR136" s="1" t="n"/>
      <c r="BS136" s="1" t="n"/>
      <c r="BT136" s="1" t="n"/>
      <c r="BU136" s="1" t="n"/>
      <c r="BV136" s="1" t="n"/>
      <c r="BW136" s="1" t="n"/>
      <c r="BX136" s="1" t="n"/>
      <c r="BY136" s="1" t="n"/>
      <c r="BZ136" s="1" t="n"/>
      <c r="CA136" s="1" t="n"/>
      <c r="CB136" s="1" t="n"/>
      <c r="CC136" s="1" t="n"/>
      <c r="CD136" s="1" t="n"/>
      <c r="CE136" s="1" t="n"/>
      <c r="CF136" s="1" t="n"/>
      <c r="CG136" s="1" t="n"/>
      <c r="CH136" s="1" t="n"/>
      <c r="CI136" s="1" t="n"/>
      <c r="CJ136" s="1" t="n"/>
      <c r="CK136" s="1" t="n"/>
      <c r="CL136" s="1" t="n"/>
      <c r="CM136" s="1" t="n"/>
      <c r="CN136" s="1" t="n"/>
      <c r="CO136" s="1" t="n"/>
      <c r="CP136" s="1" t="n"/>
      <c r="CQ136" s="1" t="n"/>
      <c r="CR136" s="1" t="n"/>
      <c r="CS136" s="1" t="n"/>
      <c r="CT136" s="1" t="n"/>
      <c r="CU136" s="1" t="n"/>
      <c r="CV136" s="1" t="n"/>
      <c r="CW136" s="1" t="n"/>
      <c r="CX136" s="1" t="n"/>
      <c r="CY136" s="1" t="n"/>
    </row>
    <row r="137" collapsed="1" ht="11.25" customHeight="1">
      <c r="C137" s="12" t="inlineStr">
        <is>
          <t>Balance Sheet</t>
        </is>
      </c>
      <c r="D137" s="12" t="str">
        <f>D13</f>
        <v>1Q20</v>
      </c>
      <c r="E137" s="12" t="str">
        <f>E13</f>
        <v>2Q20</v>
      </c>
      <c r="F137" s="12" t="str">
        <f>F13</f>
        <v>3Q20</v>
      </c>
      <c r="G137" s="12" t="str">
        <f>G13</f>
        <v>4Q20</v>
      </c>
      <c r="H137" s="12">
        <f>H13</f>
        <v>2020</v>
      </c>
      <c r="I137" s="12" t="str">
        <f>I13</f>
        <v>1Q21</v>
      </c>
      <c r="J137" s="12" t="str">
        <f>J13</f>
        <v>2Q21</v>
      </c>
      <c r="K137" s="12" t="str">
        <f>K13</f>
        <v>3Q21</v>
      </c>
      <c r="L137" s="12" t="str">
        <f>L13</f>
        <v>4Q21</v>
      </c>
      <c r="M137" s="12">
        <f>M13</f>
        <v>2021</v>
      </c>
      <c r="N137" s="12" t="str">
        <f>N13</f>
        <v>1Q22</v>
      </c>
      <c r="O137" s="12" t="str">
        <f>O13</f>
        <v>2Q22</v>
      </c>
      <c r="P137" s="12" t="str">
        <f>P13</f>
        <v>3Q22</v>
      </c>
      <c r="Q137" s="12" t="str">
        <f>Q13</f>
        <v>4Q22</v>
      </c>
      <c r="R137" s="12">
        <f>R13</f>
        <v>2022</v>
      </c>
      <c r="S137" s="12" t="str">
        <f>S13</f>
        <v>1Q23</v>
      </c>
      <c r="T137" s="12" t="str">
        <f>T13</f>
        <v>2Q23</v>
      </c>
      <c r="U137" s="12" t="str">
        <f>U13</f>
        <v>3Q23</v>
      </c>
      <c r="V137" s="12" t="str">
        <f>V13</f>
        <v>4Q23</v>
      </c>
      <c r="W137" s="12">
        <f>W13</f>
        <v>2023</v>
      </c>
      <c r="X137" s="12" t="str">
        <f>X13</f>
        <v>1Q24</v>
      </c>
      <c r="Y137" s="12" t="str">
        <f>Y13</f>
        <v>2Q24</v>
      </c>
      <c r="Z137" s="12" t="str">
        <f>Z13</f>
        <v>3Q24</v>
      </c>
      <c r="AA137" s="12" t="str">
        <f>AA13</f>
        <v>4Q24</v>
      </c>
      <c r="AB137" s="12">
        <f>AB13</f>
        <v>2024</v>
      </c>
      <c r="AC137" s="12" t="str">
        <f>AC13</f>
        <v>1Q25</v>
      </c>
      <c r="AD137" s="12" t="str">
        <f>AD13</f>
        <v>2Q25</v>
      </c>
      <c r="AE137" s="12" t="str">
        <f>AE13</f>
        <v>3Q25</v>
      </c>
      <c r="AF137" s="12" t="str">
        <f>AF13</f>
        <v>4Q25</v>
      </c>
      <c r="AG137" s="12">
        <f>AG13</f>
        <v>2025</v>
      </c>
      <c r="AH137" s="12" t="str">
        <f>AH13</f>
        <v>1Q26</v>
      </c>
      <c r="AI137" s="12" t="str">
        <f>AI13</f>
        <v>2Q26</v>
      </c>
      <c r="AJ137" s="12" t="str">
        <f>AJ13</f>
        <v>3Q26</v>
      </c>
      <c r="AK137" s="12" t="str">
        <f>AK13</f>
        <v>4Q26</v>
      </c>
      <c r="AL137" s="12">
        <f>AL13</f>
        <v>2026</v>
      </c>
      <c r="AM137" s="12" t="str">
        <f>AM13</f>
        <v>1Q27</v>
      </c>
      <c r="AN137" s="12" t="str">
        <f>AN13</f>
        <v>2Q27</v>
      </c>
      <c r="AO137" s="12" t="str">
        <f>AO13</f>
        <v>3Q27</v>
      </c>
      <c r="AP137" s="12" t="str">
        <f>AP13</f>
        <v>4Q27</v>
      </c>
      <c r="AQ137" s="12">
        <f>AQ13</f>
        <v>2027</v>
      </c>
      <c r="AR137" s="12" t="str">
        <f>AR13</f>
        <v>1Q28</v>
      </c>
      <c r="AS137" s="12" t="str">
        <f>AS13</f>
        <v>2Q28</v>
      </c>
      <c r="AT137" s="12" t="str">
        <f>AT13</f>
        <v>3Q28</v>
      </c>
      <c r="AU137" s="12" t="str">
        <f>AU13</f>
        <v>4Q28</v>
      </c>
      <c r="AV137" s="12">
        <f>AV13</f>
        <v>2028</v>
      </c>
      <c r="AW137" s="12" t="str">
        <f>AW13</f>
        <v>1Q29</v>
      </c>
      <c r="AX137" s="12" t="str">
        <f>AX13</f>
        <v>2Q29</v>
      </c>
      <c r="AY137" s="12" t="str">
        <f>AY13</f>
        <v>3Q29</v>
      </c>
      <c r="AZ137" s="12" t="str">
        <f>AZ13</f>
        <v>4Q29</v>
      </c>
      <c r="BA137" s="12">
        <f>BA13</f>
        <v>2029</v>
      </c>
      <c r="BB137" s="12" t="str">
        <f>BB13</f>
        <v>1Q30</v>
      </c>
      <c r="BC137" s="12" t="str">
        <f>BC13</f>
        <v>2Q30</v>
      </c>
      <c r="BD137" s="12" t="str">
        <f>BD13</f>
        <v>3Q30</v>
      </c>
      <c r="BE137" s="12" t="str">
        <f>BE13</f>
        <v>4Q30</v>
      </c>
      <c r="BF137" s="12">
        <f>BF13</f>
        <v>2030</v>
      </c>
      <c r="BG137" s="12" t="str">
        <f>BG13</f>
        <v>1Q31</v>
      </c>
      <c r="BH137" s="12" t="str">
        <f>BH13</f>
        <v>2Q31</v>
      </c>
      <c r="BI137" s="12" t="str">
        <f>BI13</f>
        <v>3Q31</v>
      </c>
      <c r="BJ137" s="12" t="str">
        <f>BJ13</f>
        <v>4Q31</v>
      </c>
      <c r="BK137" s="12">
        <f>BK13</f>
        <v>2031</v>
      </c>
      <c r="BL137" s="12" t="str">
        <f>BL13</f>
        <v>1Q32</v>
      </c>
      <c r="BM137" s="12" t="str">
        <f>BM13</f>
        <v>2Q32</v>
      </c>
      <c r="BN137" s="12" t="str">
        <f>BN13</f>
        <v>3Q32</v>
      </c>
      <c r="BO137" s="12" t="str">
        <f>BO13</f>
        <v>4Q32</v>
      </c>
      <c r="BP137" s="12">
        <f>BP13</f>
        <v>2032</v>
      </c>
      <c r="BQ137" s="12" t="str">
        <f>BQ13</f>
        <v>1Q33</v>
      </c>
      <c r="BR137" s="12" t="str">
        <f>BR13</f>
        <v>2Q33</v>
      </c>
      <c r="BS137" s="12" t="str">
        <f>BS13</f>
        <v>3Q33</v>
      </c>
      <c r="BT137" s="12" t="str">
        <f>BT13</f>
        <v>4Q33</v>
      </c>
      <c r="BU137" s="12">
        <f>BU13</f>
        <v>2033</v>
      </c>
      <c r="BV137" s="12" t="str">
        <f>BV13</f>
        <v>1Q34</v>
      </c>
      <c r="BW137" s="12" t="str">
        <f>BW13</f>
        <v>2Q34</v>
      </c>
      <c r="BX137" s="12" t="str">
        <f>BX13</f>
        <v>3Q34</v>
      </c>
      <c r="BY137" s="12" t="str">
        <f>BY13</f>
        <v>4Q34</v>
      </c>
      <c r="BZ137" s="12">
        <f>BZ13</f>
        <v>2034</v>
      </c>
      <c r="CA137" s="12" t="str">
        <f>CA13</f>
        <v>1Q35</v>
      </c>
      <c r="CB137" s="12" t="str">
        <f>CB13</f>
        <v>2Q35</v>
      </c>
      <c r="CC137" s="12" t="str">
        <f>CC13</f>
        <v>3Q35</v>
      </c>
      <c r="CD137" s="12" t="str">
        <f>CD13</f>
        <v>4Q35</v>
      </c>
      <c r="CE137" s="12">
        <f>CE13</f>
        <v>2035</v>
      </c>
      <c r="CF137" s="12" t="str">
        <f>CF13</f>
        <v>1Q36</v>
      </c>
      <c r="CG137" s="12" t="str">
        <f>CG13</f>
        <v>2Q36</v>
      </c>
      <c r="CH137" s="12" t="str">
        <f>CH13</f>
        <v>3Q36</v>
      </c>
      <c r="CI137" s="12" t="str">
        <f>CI13</f>
        <v>4Q36</v>
      </c>
      <c r="CJ137" s="12">
        <f>CJ13</f>
        <v>2036</v>
      </c>
      <c r="CK137" s="12" t="str">
        <f>CK13</f>
        <v>1Q37</v>
      </c>
      <c r="CL137" s="12" t="str">
        <f>CL13</f>
        <v>2Q37</v>
      </c>
      <c r="CM137" s="12" t="str">
        <f>CM13</f>
        <v>3Q37</v>
      </c>
      <c r="CN137" s="12" t="str">
        <f>CN13</f>
        <v>4Q37</v>
      </c>
      <c r="CO137" s="12">
        <f>CO13</f>
        <v>2037</v>
      </c>
      <c r="CP137" s="12" t="str">
        <f>CP13</f>
        <v>1Q38</v>
      </c>
      <c r="CQ137" s="12" t="str">
        <f>CQ13</f>
        <v>2Q38</v>
      </c>
      <c r="CR137" s="12" t="str">
        <f>CR13</f>
        <v>3Q38</v>
      </c>
      <c r="CS137" s="12" t="str">
        <f>CS13</f>
        <v>4Q38</v>
      </c>
      <c r="CT137" s="12">
        <f>CT13</f>
        <v>2038</v>
      </c>
      <c r="CU137" s="12" t="str">
        <f>CU13</f>
        <v>1Q39</v>
      </c>
      <c r="CV137" s="12" t="str">
        <f>CV13</f>
        <v>2Q39</v>
      </c>
      <c r="CW137" s="12" t="str">
        <f>CW13</f>
        <v>3Q39</v>
      </c>
      <c r="CX137" s="12" t="str">
        <f>CX13</f>
        <v>4Q39</v>
      </c>
      <c r="CY137" s="12">
        <f>CY13</f>
        <v>2039</v>
      </c>
    </row>
    <row r="138">
      <c r="C138" s="5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  <c r="AJ138" s="1" t="n"/>
      <c r="AK138" s="1" t="n"/>
      <c r="AL138" s="1" t="n"/>
      <c r="AM138" s="1" t="n"/>
      <c r="AN138" s="1" t="n"/>
      <c r="AO138" s="1" t="n"/>
      <c r="AP138" s="1" t="n"/>
      <c r="AQ138" s="1" t="n"/>
      <c r="AR138" s="1" t="n"/>
      <c r="AS138" s="1" t="n"/>
      <c r="AT138" s="1" t="n"/>
      <c r="AU138" s="1" t="n"/>
      <c r="AV138" s="1" t="n"/>
      <c r="AW138" s="1" t="n"/>
      <c r="AX138" s="1" t="n"/>
      <c r="AY138" s="1" t="n"/>
      <c r="AZ138" s="1" t="n"/>
      <c r="BA138" s="1" t="n"/>
      <c r="BB138" s="1" t="n"/>
      <c r="BC138" s="1" t="n"/>
      <c r="BD138" s="1" t="n"/>
      <c r="BE138" s="1" t="n"/>
      <c r="BF138" s="1" t="n"/>
      <c r="BG138" s="1" t="n"/>
      <c r="BH138" s="1" t="n"/>
      <c r="BI138" s="1" t="n"/>
      <c r="BJ138" s="1" t="n"/>
      <c r="BK138" s="1" t="n"/>
      <c r="BL138" s="1" t="n"/>
      <c r="BM138" s="1" t="n"/>
      <c r="BN138" s="1" t="n"/>
      <c r="BO138" s="1" t="n"/>
      <c r="BP138" s="1" t="n"/>
      <c r="BQ138" s="1" t="n"/>
      <c r="BR138" s="1" t="n"/>
      <c r="BS138" s="1" t="n"/>
      <c r="BT138" s="1" t="n"/>
      <c r="BU138" s="1" t="n"/>
      <c r="BV138" s="1" t="n"/>
      <c r="BW138" s="1" t="n"/>
      <c r="BX138" s="1" t="n"/>
      <c r="BY138" s="1" t="n"/>
      <c r="BZ138" s="1" t="n"/>
      <c r="CA138" s="1" t="n"/>
      <c r="CB138" s="1" t="n"/>
      <c r="CC138" s="1" t="n"/>
      <c r="CD138" s="1" t="n"/>
      <c r="CE138" s="1" t="n"/>
      <c r="CF138" s="1" t="n"/>
      <c r="CG138" s="1" t="n"/>
      <c r="CH138" s="1" t="n"/>
      <c r="CI138" s="1" t="n"/>
      <c r="CJ138" s="1" t="n"/>
      <c r="CK138" s="1" t="n"/>
      <c r="CL138" s="1" t="n"/>
      <c r="CM138" s="1" t="n"/>
      <c r="CN138" s="1" t="n"/>
      <c r="CO138" s="1" t="n"/>
      <c r="CP138" s="1" t="n"/>
      <c r="CQ138" s="1" t="n"/>
      <c r="CR138" s="1" t="n"/>
      <c r="CS138" s="1" t="n"/>
      <c r="CT138" s="1" t="n"/>
      <c r="CU138" s="1" t="n"/>
      <c r="CV138" s="1" t="n"/>
      <c r="CW138" s="1" t="n"/>
      <c r="CX138" s="1" t="n"/>
      <c r="CY138" s="1" t="n"/>
    </row>
    <row r="139">
      <c r="C139" s="24" t="inlineStr">
        <is>
          <t>Cash and equivalents (inc. investment securities)</t>
        </is>
      </c>
      <c r="D139" s="25">
        <f>INDEX('Inputs (2)'!$D$15:$AL$15,MATCH(D$7,'Inputs (2)'!$D$2:$AL$2,0))</f>
        <v>1777.4</v>
      </c>
      <c r="E139" s="25">
        <f>INDEX('Inputs (2)'!$D$15:$AL$15,MATCH(E$7,'Inputs (2)'!$D$2:$AL$2,0))</f>
        <v>2387.9</v>
      </c>
      <c r="F139" s="25">
        <f>INDEX('Inputs (2)'!$D$15:$AL$15,MATCH(F$7,'Inputs (2)'!$D$2:$AL$2,0))</f>
        <v>3630.3</v>
      </c>
      <c r="G139" s="25">
        <f>INDEX('Inputs (2)'!$D$15:$AL$15,MATCH(G$7,'Inputs (2)'!$D$2:$AL$2,0))</f>
        <v>3681.3</v>
      </c>
      <c r="H139" s="3">
        <f>G139</f>
        <v>3681.3</v>
      </c>
      <c r="I139" s="25">
        <f>INDEX('Inputs (2)'!$D$15:$AL$15,MATCH(I$7,'Inputs (2)'!$D$2:$AL$2,0))</f>
        <v>3051.4</v>
      </c>
      <c r="J139" s="25">
        <f>INDEX('Inputs (2)'!$D$15:$AL$15,MATCH(J$7,'Inputs (2)'!$D$2:$AL$2,0))</f>
        <v>3271.2</v>
      </c>
      <c r="K139" s="25">
        <f>INDEX('Inputs (2)'!$D$15:$AL$15,MATCH(K$7,'Inputs (2)'!$D$2:$AL$2,0))</f>
        <v>3825.3</v>
      </c>
      <c r="L139" s="25">
        <f>INDEX('Inputs (2)'!$D$15:$AL$15,MATCH(L$7,'Inputs (2)'!$D$2:$AL$2,0))</f>
        <v>3908.6</v>
      </c>
      <c r="M139" s="3">
        <f>L139</f>
        <v>3908.6</v>
      </c>
      <c r="N139" s="25">
        <f>INDEX('Inputs (2)'!$D$15:$AL$15,MATCH(N$7,'Inputs (2)'!$D$2:$AL$2,0))</f>
        <v>2568.3</v>
      </c>
      <c r="O139" s="25">
        <f>INDEX('Inputs (2)'!$D$15:$AL$15,MATCH(O$7,'Inputs (2)'!$D$2:$AL$2,0))</f>
        <v>2736.7</v>
      </c>
      <c r="P139" s="25">
        <f>INDEX('Inputs (2)'!$D$15:$AL$15,MATCH(P$7,'Inputs (2)'!$D$2:$AL$2,0))</f>
        <v>2742.1</v>
      </c>
      <c r="Q139" s="25">
        <f>INDEX('Inputs (2)'!$D$15:$AL$15,MATCH(Q$7,'Inputs (2)'!$D$2:$AL$2,0))</f>
        <v>2211.8</v>
      </c>
      <c r="R139" s="3">
        <f>Q139</f>
        <v>2211.8</v>
      </c>
      <c r="S139" s="25">
        <f>INDEX('Inputs (2)'!$D$15:$AL$15,MATCH(S$7,'Inputs (2)'!$D$2:$AL$2,0))</f>
        <v>3669.3</v>
      </c>
      <c r="T139" s="25">
        <f>INDEX('Inputs (2)'!$D$15:$AL$15,MATCH(T$7,'Inputs (2)'!$D$2:$AL$2,0))</f>
        <v>2829.1</v>
      </c>
      <c r="U139" s="25">
        <f>INDEX('Inputs (2)'!$D$15:$AL$15,MATCH(U$7,'Inputs (2)'!$D$2:$AL$2,0))</f>
        <v>2493.9</v>
      </c>
      <c r="V139" s="25">
        <f>INDEX('Inputs (2)'!$D$15:$AL$15,MATCH(V$7,'Inputs (2)'!$D$2:$AL$2,0))</f>
        <v>2927.7</v>
      </c>
      <c r="W139" s="3">
        <f>V139</f>
        <v>2927.7</v>
      </c>
      <c r="X139" s="25">
        <f>INDEX('Inputs (2)'!$D$15:$AL$15,MATCH(X$7,'Inputs (2)'!$D$2:$AL$2,0))</f>
        <v>2586.3</v>
      </c>
      <c r="Y139" s="25">
        <f>INDEX('Inputs (2)'!$D$15:$AL$15,MATCH(Y$7,'Inputs (2)'!$D$2:$AL$2,0))</f>
        <v>3364</v>
      </c>
      <c r="Z139" s="25">
        <f>INDEX('Inputs (2)'!$D$15:$AL$15,MATCH(Z$7,'Inputs (2)'!$D$2:$AL$2,0))</f>
        <v>3518.4</v>
      </c>
      <c r="AA139" s="25">
        <f>INDEX('Inputs (2)'!$D$15:$AL$15,MATCH(AA$7,'Inputs (2)'!$D$2:$AL$2,0))</f>
        <v>3423.2</v>
      </c>
      <c r="AB139" s="3">
        <f>AA139</f>
        <v>3423.2</v>
      </c>
      <c r="AC139" s="25">
        <f>INDEX('Inputs (2)'!$D$15:$AL$15,MATCH(AC$7,'Inputs (2)'!$D$2:$AL$2,0))</f>
        <v>3220.7</v>
      </c>
      <c r="AD139" s="25">
        <f>INDEX('Inputs (2)'!$D$15:$AL$15,MATCH(AD$7,'Inputs (2)'!$D$2:$AL$2,0))</f>
        <v>3546</v>
      </c>
      <c r="AE139" s="25">
        <f>INDEX('Inputs (2)'!$D$15:$AL$15,MATCH(AE$7,'Inputs (2)'!$D$2:$AL$2,0))</f>
        <v>9913.5</v>
      </c>
      <c r="AF139" s="25">
        <f>INDEX('Inputs (2)'!$D$15:$AL$15,MATCH(AF$7,'Inputs (2)'!$D$2:$AL$2,0))</f>
        <v>7268</v>
      </c>
      <c r="AG139" s="3">
        <f>AF139</f>
        <v>7268</v>
      </c>
      <c r="AH139" s="3">
        <f>INDEX('Inputs (2)'!$D$15:$AL$15,MATCH(AH$7,'Inputs (2)'!$D$2:$AL$2,0))</f>
        <v>5282</v>
      </c>
      <c r="AI139" s="3">
        <f>INDEX('Inputs (2)'!$D$15:$AL$15,MATCH(AI$7,'Inputs (2)'!$D$2:$AL$2,0))</f>
        <v>8950</v>
      </c>
      <c r="AJ139" s="3">
        <f>AI139+AJ309</f>
        <v>64876</v>
      </c>
      <c r="AK139" s="3">
        <f>AJ139+AK309</f>
        <v>74123</v>
      </c>
      <c r="AL139" s="3">
        <f>AK139</f>
        <v>74123</v>
      </c>
      <c r="AM139" s="3" t="e">
        <f>AL139+AM309</f>
        <v>#DIV/0!</v>
      </c>
      <c r="AN139" s="3" t="e">
        <f>AM139+AN309</f>
        <v>#DIV/0!</v>
      </c>
      <c r="AO139" s="3" t="e">
        <f>AN139+AO309</f>
        <v>#DIV/0!</v>
      </c>
      <c r="AP139" s="3" t="e">
        <f>AO139+AP309</f>
        <v>#DIV/0!</v>
      </c>
      <c r="AQ139" s="3" t="e">
        <f>AP139</f>
        <v>#DIV/0!</v>
      </c>
      <c r="AR139" s="3" t="e">
        <f>AQ139+AR309</f>
        <v>#DIV/0!</v>
      </c>
      <c r="AS139" s="3" t="e">
        <f>AR139+AS309</f>
        <v>#DIV/0!</v>
      </c>
      <c r="AT139" s="3" t="e">
        <f>AS139+AT309</f>
        <v>#DIV/0!</v>
      </c>
      <c r="AU139" s="3" t="e">
        <f>AT139+AU309</f>
        <v>#DIV/0!</v>
      </c>
      <c r="AV139" s="3" t="e">
        <f>AU139</f>
        <v>#DIV/0!</v>
      </c>
      <c r="AW139" s="3" t="e">
        <f>AV139+AW309</f>
        <v>#DIV/0!</v>
      </c>
      <c r="AX139" s="3" t="e">
        <f>AW139+AX309</f>
        <v>#DIV/0!</v>
      </c>
      <c r="AY139" s="3" t="e">
        <f>AX139+AY309</f>
        <v>#DIV/0!</v>
      </c>
      <c r="AZ139" s="3" t="e">
        <f>AY139+AZ309</f>
        <v>#DIV/0!</v>
      </c>
      <c r="BA139" s="3" t="e">
        <f>AZ139</f>
        <v>#DIV/0!</v>
      </c>
      <c r="BB139" s="3" t="e">
        <f>BA139+BB309</f>
        <v>#DIV/0!</v>
      </c>
      <c r="BC139" s="3" t="e">
        <f>BB139+BC309</f>
        <v>#DIV/0!</v>
      </c>
      <c r="BD139" s="3" t="e">
        <f>BC139+BD309</f>
        <v>#DIV/0!</v>
      </c>
      <c r="BE139" s="3" t="e">
        <f>BD139+BE309</f>
        <v>#DIV/0!</v>
      </c>
      <c r="BF139" s="3" t="e">
        <f>BE139</f>
        <v>#DIV/0!</v>
      </c>
      <c r="BG139" s="3" t="e">
        <f>BF139+BG309</f>
        <v>#DIV/0!</v>
      </c>
      <c r="BH139" s="3" t="e">
        <f>BG139+BH309</f>
        <v>#DIV/0!</v>
      </c>
      <c r="BI139" s="3" t="e">
        <f>BH139+BI309</f>
        <v>#DIV/0!</v>
      </c>
      <c r="BJ139" s="3" t="e">
        <f>BI139+BJ309</f>
        <v>#DIV/0!</v>
      </c>
      <c r="BK139" s="3" t="e">
        <f>BJ139</f>
        <v>#DIV/0!</v>
      </c>
      <c r="BL139" s="3" t="e">
        <f>BK139+BL309</f>
        <v>#DIV/0!</v>
      </c>
      <c r="BM139" s="3" t="e">
        <f>BL139+BM309</f>
        <v>#DIV/0!</v>
      </c>
      <c r="BN139" s="3" t="e">
        <f>BM139+BN309</f>
        <v>#DIV/0!</v>
      </c>
      <c r="BO139" s="3" t="e">
        <f>BN139+BO309</f>
        <v>#DIV/0!</v>
      </c>
      <c r="BP139" s="3" t="e">
        <f>BO139</f>
        <v>#DIV/0!</v>
      </c>
      <c r="BQ139" s="3" t="e">
        <f>BP139+BQ309</f>
        <v>#DIV/0!</v>
      </c>
      <c r="BR139" s="3" t="e">
        <f>BQ139+BR309</f>
        <v>#DIV/0!</v>
      </c>
      <c r="BS139" s="3" t="e">
        <f>BR139+BS309</f>
        <v>#DIV/0!</v>
      </c>
      <c r="BT139" s="3" t="e">
        <f>BS139+BT309</f>
        <v>#DIV/0!</v>
      </c>
      <c r="BU139" s="3" t="e">
        <f>BT139</f>
        <v>#DIV/0!</v>
      </c>
      <c r="BV139" s="3" t="e">
        <f>BU139+BV309</f>
        <v>#DIV/0!</v>
      </c>
      <c r="BW139" s="3" t="e">
        <f>BV139+BW309</f>
        <v>#DIV/0!</v>
      </c>
      <c r="BX139" s="3" t="e">
        <f>BW139+BX309</f>
        <v>#DIV/0!</v>
      </c>
      <c r="BY139" s="3" t="e">
        <f>BX139+BY309</f>
        <v>#DIV/0!</v>
      </c>
      <c r="BZ139" s="3" t="e">
        <f>BY139</f>
        <v>#DIV/0!</v>
      </c>
      <c r="CA139" s="3" t="e">
        <f>BZ139+CA309</f>
        <v>#DIV/0!</v>
      </c>
      <c r="CB139" s="3" t="e">
        <f>CA139+CB309</f>
        <v>#DIV/0!</v>
      </c>
      <c r="CC139" s="3" t="e">
        <f>CB139+CC309</f>
        <v>#DIV/0!</v>
      </c>
      <c r="CD139" s="3" t="e">
        <f>CC139+CD309</f>
        <v>#DIV/0!</v>
      </c>
      <c r="CE139" s="3" t="e">
        <f>CD139</f>
        <v>#DIV/0!</v>
      </c>
      <c r="CF139" s="3" t="e">
        <f>CE139+CF309</f>
        <v>#DIV/0!</v>
      </c>
      <c r="CG139" s="3" t="e">
        <f>CF139+CG309</f>
        <v>#DIV/0!</v>
      </c>
      <c r="CH139" s="3" t="e">
        <f>CG139+CH309</f>
        <v>#DIV/0!</v>
      </c>
      <c r="CI139" s="3" t="e">
        <f>CH139+CI309</f>
        <v>#DIV/0!</v>
      </c>
      <c r="CJ139" s="3" t="e">
        <f>CI139</f>
        <v>#DIV/0!</v>
      </c>
      <c r="CK139" s="3" t="e">
        <f>CJ139+CK309</f>
        <v>#DIV/0!</v>
      </c>
      <c r="CL139" s="3" t="e">
        <f>CK139+CL309</f>
        <v>#DIV/0!</v>
      </c>
      <c r="CM139" s="3" t="e">
        <f>CL139+CM309</f>
        <v>#DIV/0!</v>
      </c>
      <c r="CN139" s="3" t="e">
        <f>CM139+CN309</f>
        <v>#DIV/0!</v>
      </c>
      <c r="CO139" s="3" t="e">
        <f>CN139</f>
        <v>#DIV/0!</v>
      </c>
      <c r="CP139" s="3" t="e">
        <f>CO139+CP309</f>
        <v>#DIV/0!</v>
      </c>
      <c r="CQ139" s="3" t="e">
        <f>CP139+CQ309</f>
        <v>#DIV/0!</v>
      </c>
      <c r="CR139" s="3" t="e">
        <f>CQ139+CR309</f>
        <v>#DIV/0!</v>
      </c>
      <c r="CS139" s="3" t="e">
        <f>CR139+CS309</f>
        <v>#DIV/0!</v>
      </c>
      <c r="CT139" s="3" t="e">
        <f>CS139</f>
        <v>#DIV/0!</v>
      </c>
      <c r="CU139" s="3" t="e">
        <f>CT139+CU309</f>
        <v>#DIV/0!</v>
      </c>
      <c r="CV139" s="3" t="e">
        <f>CU139+CV309</f>
        <v>#DIV/0!</v>
      </c>
      <c r="CW139" s="3" t="e">
        <f>CV139+CW309</f>
        <v>#DIV/0!</v>
      </c>
      <c r="CX139" s="3" t="e">
        <f>CW139+CX309</f>
        <v>#DIV/0!</v>
      </c>
      <c r="CY139" s="3" t="e">
        <f>CX139</f>
        <v>#DIV/0!</v>
      </c>
    </row>
    <row r="140">
      <c r="C140" s="26" t="inlineStr">
        <is>
          <t>Accounts receivable</t>
        </is>
      </c>
      <c r="D140" s="25">
        <f>INDEX('Inputs (2)'!$D$16:$AL$16,MATCH(D$7,'Inputs (2)'!$D$2:$AL$2,0))</f>
        <v>5106.1</v>
      </c>
      <c r="E140" s="25">
        <f>INDEX('Inputs (2)'!$D$16:$AL$16,MATCH(E$7,'Inputs (2)'!$D$2:$AL$2,0))</f>
        <v>4828.9</v>
      </c>
      <c r="F140" s="25">
        <f>INDEX('Inputs (2)'!$D$16:$AL$16,MATCH(F$7,'Inputs (2)'!$D$2:$AL$2,0))</f>
        <v>4886.7</v>
      </c>
      <c r="G140" s="25">
        <f>INDEX('Inputs (2)'!$D$16:$AL$16,MATCH(G$7,'Inputs (2)'!$D$2:$AL$2,0))</f>
        <v>5875.3</v>
      </c>
      <c r="H140" s="3">
        <f>G140</f>
        <v>5875.3</v>
      </c>
      <c r="I140" s="25">
        <f>INDEX('Inputs (2)'!$D$16:$AL$16,MATCH(I$7,'Inputs (2)'!$D$2:$AL$2,0))</f>
        <v>5592.8</v>
      </c>
      <c r="J140" s="25">
        <f>INDEX('Inputs (2)'!$D$16:$AL$16,MATCH(J$7,'Inputs (2)'!$D$2:$AL$2,0))</f>
        <v>5829.4</v>
      </c>
      <c r="K140" s="25">
        <f>INDEX('Inputs (2)'!$D$16:$AL$16,MATCH(K$7,'Inputs (2)'!$D$2:$AL$2,0))</f>
        <v>5914.3</v>
      </c>
      <c r="L140" s="25">
        <f>INDEX('Inputs (2)'!$D$16:$AL$16,MATCH(L$7,'Inputs (2)'!$D$2:$AL$2,0))</f>
        <v>6672.8</v>
      </c>
      <c r="M140" s="3">
        <f>L140</f>
        <v>6672.8</v>
      </c>
      <c r="N140" s="25">
        <f>INDEX('Inputs (2)'!$D$16:$AL$16,MATCH(N$7,'Inputs (2)'!$D$2:$AL$2,0))</f>
        <v>6322.5</v>
      </c>
      <c r="O140" s="25">
        <f>INDEX('Inputs (2)'!$D$16:$AL$16,MATCH(O$7,'Inputs (2)'!$D$2:$AL$2,0))</f>
        <v>6364.5</v>
      </c>
      <c r="P140" s="25">
        <f>INDEX('Inputs (2)'!$D$16:$AL$16,MATCH(P$7,'Inputs (2)'!$D$2:$AL$2,0))</f>
        <v>6715.3</v>
      </c>
      <c r="Q140" s="25">
        <f>INDEX('Inputs (2)'!$D$16:$AL$16,MATCH(Q$7,'Inputs (2)'!$D$2:$AL$2,0))</f>
        <v>6896</v>
      </c>
      <c r="R140" s="3">
        <f>Q140</f>
        <v>6896</v>
      </c>
      <c r="S140" s="25">
        <f>INDEX('Inputs (2)'!$D$16:$AL$16,MATCH(S$7,'Inputs (2)'!$D$2:$AL$2,0))</f>
        <v>7526.2</v>
      </c>
      <c r="T140" s="25">
        <f>INDEX('Inputs (2)'!$D$16:$AL$16,MATCH(T$7,'Inputs (2)'!$D$2:$AL$2,0))</f>
        <v>7516.1</v>
      </c>
      <c r="U140" s="25">
        <f>INDEX('Inputs (2)'!$D$16:$AL$16,MATCH(U$7,'Inputs (2)'!$D$2:$AL$2,0))</f>
        <v>8167.1</v>
      </c>
      <c r="V140" s="25">
        <f>INDEX('Inputs (2)'!$D$16:$AL$16,MATCH(V$7,'Inputs (2)'!$D$2:$AL$2,0))</f>
        <v>9090.5</v>
      </c>
      <c r="W140" s="3">
        <f>V140</f>
        <v>9090.5</v>
      </c>
      <c r="X140" s="25">
        <f>INDEX('Inputs (2)'!$D$16:$AL$16,MATCH(X$7,'Inputs (2)'!$D$2:$AL$2,0))</f>
        <v>7885.6</v>
      </c>
      <c r="Y140" s="25">
        <f>INDEX('Inputs (2)'!$D$16:$AL$16,MATCH(Y$7,'Inputs (2)'!$D$2:$AL$2,0))</f>
        <v>11027.9</v>
      </c>
      <c r="Z140" s="25">
        <f>INDEX('Inputs (2)'!$D$16:$AL$16,MATCH(Z$7,'Inputs (2)'!$D$2:$AL$2,0))</f>
        <v>10294.8</v>
      </c>
      <c r="AA140" s="25">
        <f>INDEX('Inputs (2)'!$D$16:$AL$16,MATCH(AA$7,'Inputs (2)'!$D$2:$AL$2,0))</f>
        <v>11005.7</v>
      </c>
      <c r="AB140" s="3">
        <f>AA140</f>
        <v>11005.7</v>
      </c>
      <c r="AC140" s="25">
        <f>INDEX('Inputs (2)'!$D$16:$AL$16,MATCH(AC$7,'Inputs (2)'!$D$2:$AL$2,0))</f>
        <v>12036.6</v>
      </c>
      <c r="AD140" s="25">
        <f>INDEX('Inputs (2)'!$D$16:$AL$16,MATCH(AD$7,'Inputs (2)'!$D$2:$AL$2,0))</f>
        <v>14170.4</v>
      </c>
      <c r="AE140" s="25">
        <f>INDEX('Inputs (2)'!$D$16:$AL$16,MATCH(AE$7,'Inputs (2)'!$D$2:$AL$2,0))</f>
        <v>16107.4</v>
      </c>
      <c r="AF140" s="25">
        <f>INDEX('Inputs (2)'!$D$16:$AL$16,MATCH(AF$7,'Inputs (2)'!$D$2:$AL$2,0))</f>
        <v>17760</v>
      </c>
      <c r="AG140" s="3">
        <f>AF140</f>
        <v>17760</v>
      </c>
      <c r="AH140" s="3">
        <f>INDEX('Inputs (2)'!$D$16:$AL$16,MATCH(AH$7,'Inputs (2)'!$D$2:$AL$2,0))</f>
        <v>18429</v>
      </c>
      <c r="AI140" s="3">
        <f>INDEX('Inputs (2)'!$D$16:$AL$16,MATCH(AI$7,'Inputs (2)'!$D$2:$AL$2,0))</f>
        <v>20083</v>
      </c>
      <c r="AJ140" s="3">
        <f>(AJ141/(AJ$5-AI$5))*AJ$15</f>
        <v>0</v>
      </c>
      <c r="AK140" s="3">
        <f>(AK141/(AK$5-AJ$5))*AK$15</f>
        <v>0</v>
      </c>
      <c r="AL140" s="3">
        <f>AK140</f>
        <v>0</v>
      </c>
      <c r="AM140" s="3">
        <f>(AM141/(AM$5-AL$5))*AM$15</f>
        <v>0</v>
      </c>
      <c r="AN140" s="3">
        <f>(AN141/(AN$5-AM$5))*AN$15</f>
        <v>0</v>
      </c>
      <c r="AO140" s="3">
        <f>(AO141/(AO$5-AN$5))*AO$15</f>
        <v>0</v>
      </c>
      <c r="AP140" s="3">
        <f>(AP141/(AP$5-AO$5))*AP$15</f>
        <v>0</v>
      </c>
      <c r="AQ140" s="3">
        <f>AP140</f>
        <v>0</v>
      </c>
      <c r="AR140" s="3">
        <f>(AR141/(AR$5-AQ$5))*AR$15</f>
        <v>0</v>
      </c>
      <c r="AS140" s="3">
        <f>(AS141/(AS$5-AR$5))*AS$15</f>
        <v>0</v>
      </c>
      <c r="AT140" s="3">
        <f>(AT141/(AT$5-AS$5))*AT$15</f>
        <v>0</v>
      </c>
      <c r="AU140" s="3">
        <f>(AU141/(AU$5-AT$5))*AU$15</f>
        <v>0</v>
      </c>
      <c r="AV140" s="3">
        <f>AU140</f>
        <v>0</v>
      </c>
      <c r="AW140" s="3">
        <f>(AW141/(AW$5-AV$5))*AW$15</f>
        <v>0</v>
      </c>
      <c r="AX140" s="3">
        <f>(AX141/(AX$5-AW$5))*AX$15</f>
        <v>0</v>
      </c>
      <c r="AY140" s="3">
        <f>(AY141/(AY$5-AX$5))*AY$15</f>
        <v>0</v>
      </c>
      <c r="AZ140" s="3">
        <f>(AZ141/(AZ$5-AY$5))*AZ$15</f>
        <v>0</v>
      </c>
      <c r="BA140" s="3">
        <f>AZ140</f>
        <v>0</v>
      </c>
      <c r="BB140" s="3">
        <f>(BB141/(BB$5-BA$5))*BB$15</f>
        <v>0</v>
      </c>
      <c r="BC140" s="3">
        <f>(BC141/(BC$5-BB$5))*BC$15</f>
        <v>0</v>
      </c>
      <c r="BD140" s="3">
        <f>(BD141/(BD$5-BC$5))*BD$15</f>
        <v>0</v>
      </c>
      <c r="BE140" s="3">
        <f>(BE141/(BE$5-BD$5))*BE$15</f>
        <v>0</v>
      </c>
      <c r="BF140" s="3">
        <f>BE140</f>
        <v>0</v>
      </c>
      <c r="BG140" s="3">
        <f>(BG141/(BG$5-BF$5))*BG$15</f>
        <v>0</v>
      </c>
      <c r="BH140" s="3">
        <f>(BH141/(BH$5-BG$5))*BH$15</f>
        <v>0</v>
      </c>
      <c r="BI140" s="3">
        <f>(BI141/(BI$5-BH$5))*BI$15</f>
        <v>0</v>
      </c>
      <c r="BJ140" s="3">
        <f>(BJ141/(BJ$5-BI$5))*BJ$15</f>
        <v>0</v>
      </c>
      <c r="BK140" s="3">
        <f>BJ140</f>
        <v>0</v>
      </c>
      <c r="BL140" s="3">
        <f>(BL141/(BL$5-BK$5))*BL$15</f>
        <v>0</v>
      </c>
      <c r="BM140" s="3">
        <f>(BM141/(BM$5-BL$5))*BM$15</f>
        <v>0</v>
      </c>
      <c r="BN140" s="3">
        <f>(BN141/(BN$5-BM$5))*BN$15</f>
        <v>0</v>
      </c>
      <c r="BO140" s="3">
        <f>(BO141/(BO$5-BN$5))*BO$15</f>
        <v>0</v>
      </c>
      <c r="BP140" s="3">
        <f>BO140</f>
        <v>0</v>
      </c>
      <c r="BQ140" s="3">
        <f>(BQ141/(BQ$5-BP$5))*BQ$15</f>
        <v>0</v>
      </c>
      <c r="BR140" s="3">
        <f>(BR141/(BR$5-BQ$5))*BR$15</f>
        <v>0</v>
      </c>
      <c r="BS140" s="3">
        <f>(BS141/(BS$5-BR$5))*BS$15</f>
        <v>0</v>
      </c>
      <c r="BT140" s="3">
        <f>(BT141/(BT$5-BS$5))*BT$15</f>
        <v>0</v>
      </c>
      <c r="BU140" s="3">
        <f>BT140</f>
        <v>0</v>
      </c>
      <c r="BV140" s="3">
        <f>(BV141/(BV$5-BU$5))*BV$15</f>
        <v>0</v>
      </c>
      <c r="BW140" s="3">
        <f>(BW141/(BW$5-BV$5))*BW$15</f>
        <v>0</v>
      </c>
      <c r="BX140" s="3">
        <f>(BX141/(BX$5-BW$5))*BX$15</f>
        <v>0</v>
      </c>
      <c r="BY140" s="3">
        <f>(BY141/(BY$5-BX$5))*BY$15</f>
        <v>0</v>
      </c>
      <c r="BZ140" s="3">
        <f>BY140</f>
        <v>0</v>
      </c>
      <c r="CA140" s="3">
        <f>(CA141/(CA$5-BZ$5))*CA$15</f>
        <v>0</v>
      </c>
      <c r="CB140" s="3">
        <f>(CB141/(CB$5-CA$5))*CB$15</f>
        <v>0</v>
      </c>
      <c r="CC140" s="3">
        <f>(CC141/(CC$5-CB$5))*CC$15</f>
        <v>0</v>
      </c>
      <c r="CD140" s="3">
        <f>(CD141/(CD$5-CC$5))*CD$15</f>
        <v>0</v>
      </c>
      <c r="CE140" s="3">
        <f>CD140</f>
        <v>0</v>
      </c>
      <c r="CF140" s="3">
        <f>(CF141/(CF$5-CE$5))*CF$15</f>
        <v>0</v>
      </c>
      <c r="CG140" s="3">
        <f>(CG141/(CG$5-CF$5))*CG$15</f>
        <v>0</v>
      </c>
      <c r="CH140" s="3">
        <f>(CH141/(CH$5-CG$5))*CH$15</f>
        <v>0</v>
      </c>
      <c r="CI140" s="3">
        <f>(CI141/(CI$5-CH$5))*CI$15</f>
        <v>0</v>
      </c>
      <c r="CJ140" s="3">
        <f>CI140</f>
        <v>0</v>
      </c>
      <c r="CK140" s="3">
        <f>(CK141/(CK$5-CJ$5))*CK$15</f>
        <v>0</v>
      </c>
      <c r="CL140" s="3">
        <f>(CL141/(CL$5-CK$5))*CL$15</f>
        <v>0</v>
      </c>
      <c r="CM140" s="3">
        <f>(CM141/(CM$5-CL$5))*CM$15</f>
        <v>0</v>
      </c>
      <c r="CN140" s="3">
        <f>(CN141/(CN$5-CM$5))*CN$15</f>
        <v>0</v>
      </c>
      <c r="CO140" s="3">
        <f>CN140</f>
        <v>0</v>
      </c>
      <c r="CP140" s="3">
        <f>(CP141/(CP$5-CO$5))*CP$15</f>
        <v>0</v>
      </c>
      <c r="CQ140" s="3">
        <f>(CQ141/(CQ$5-CP$5))*CQ$15</f>
        <v>0</v>
      </c>
      <c r="CR140" s="3">
        <f>(CR141/(CR$5-CQ$5))*CR$15</f>
        <v>0</v>
      </c>
      <c r="CS140" s="3">
        <f>(CS141/(CS$5-CR$5))*CS$15</f>
        <v>0</v>
      </c>
      <c r="CT140" s="3">
        <f>CS140</f>
        <v>0</v>
      </c>
      <c r="CU140" s="3">
        <f>(CU141/(CU$5-CT$5))*CU$15</f>
        <v>0</v>
      </c>
      <c r="CV140" s="3">
        <f>(CV141/(CV$5-CU$5))*CV$15</f>
        <v>0</v>
      </c>
      <c r="CW140" s="3">
        <f>(CW141/(CW$5-CV$5))*CW$15</f>
        <v>0</v>
      </c>
      <c r="CX140" s="3">
        <f>(CX141/(CX$5-CW$5))*CX$15</f>
        <v>0</v>
      </c>
      <c r="CY140" s="3">
        <f>CX140</f>
        <v>0</v>
      </c>
    </row>
    <row r="141" hidden="1" outlineLevel="1">
      <c r="C141" s="34" t="inlineStr">
        <is>
          <t>DSO</t>
        </is>
      </c>
      <c r="D141" s="3" t="n"/>
      <c r="E141" s="3">
        <f>(E140/E$15)*(E$5-D$5)</f>
        <v>79.9050623704404</v>
      </c>
      <c r="F141" s="3">
        <f>(F140/F$15)*(F$5-E$5)</f>
        <v>78.3152283733408</v>
      </c>
      <c r="G141" s="3">
        <f>(G140/G$15)*(G$5-F$5)</f>
        <v>72.651559139785</v>
      </c>
      <c r="H141" s="3" t="n"/>
      <c r="I141" s="3">
        <f>(I140/I$15)*(I$5-H$5)</f>
        <v>73.9614435171036</v>
      </c>
      <c r="J141" s="3">
        <f>(J140/J$15)*(J$5-I$5)</f>
        <v>78.7043812406344</v>
      </c>
      <c r="K141" s="3">
        <f>(K140/K$15)*(K$5-J$5)</f>
        <v>80.3383534136546</v>
      </c>
      <c r="L141" s="3">
        <f>(L140/L$15)*(L$5-K$5)</f>
        <v>76.7381592269903</v>
      </c>
      <c r="M141" s="3" t="n"/>
      <c r="N141" s="3">
        <f>(N140/N$15)*(N$5-M$5)</f>
        <v>72.8585147247119</v>
      </c>
      <c r="O141" s="3">
        <f>(O140/O$15)*(O$5-N$5)</f>
        <v>89.2678020961776</v>
      </c>
      <c r="P141" s="3">
        <f>(P140/P$15)*(P$5-O$5)</f>
        <v>89.0007491068342</v>
      </c>
      <c r="Q141" s="3">
        <f>(Q140/Q$15)*(Q$5-P$5)</f>
        <v>86.8870689419047</v>
      </c>
      <c r="R141" s="3" t="n"/>
      <c r="S141" s="3">
        <f>(S140/S$15)*(S$5-R$5)</f>
        <v>97.3215517241379</v>
      </c>
      <c r="T141" s="3">
        <f>(T140/T$15)*(T$5-S$5)</f>
        <v>82.285475391297</v>
      </c>
      <c r="U141" s="3">
        <f>(U140/U$15)*(U$5-T$5)</f>
        <v>79.1035731581496</v>
      </c>
      <c r="V141" s="3">
        <f>(V140/V$15)*(V$5-U$5)</f>
        <v>89.4141167917549</v>
      </c>
      <c r="W141" s="3" t="n"/>
      <c r="X141" s="3">
        <f>(X140/X$15)*(X$5-W$5)</f>
        <v>81.8418795620438</v>
      </c>
      <c r="Y141" s="3">
        <f>(Y140/Y$15)*(Y$5-X$5)</f>
        <v>88.7867519552677</v>
      </c>
      <c r="Z141" s="3">
        <f>(Z140/Z$15)*(Z$5-Y$5)</f>
        <v>82.7968633896023</v>
      </c>
      <c r="AA141" s="3">
        <f>(AA140/AA$15)*(AA$5-Z$5)</f>
        <v>74.8200224639395</v>
      </c>
      <c r="AB141" s="3" t="n"/>
      <c r="AC141" s="3">
        <f>(AC140/AC$15)*(AC$5-AB$5)</f>
        <v>85.1044072590149</v>
      </c>
      <c r="AD141" s="3">
        <f>(AD140/AD$15)*(AD$5-AC$5)</f>
        <v>82.8838154004371</v>
      </c>
      <c r="AE141" s="3">
        <f>(AE140/AE$15)*(AE$5-AD$5)</f>
        <v>84.1939457297396</v>
      </c>
      <c r="AF141" s="6">
        <f>(AF140/AF$15)*(AF$5-AE$5)</f>
        <v>84.6941737507775</v>
      </c>
      <c r="AG141" s="3" t="n"/>
      <c r="AH141" s="6">
        <f>(AH140/AH$15)*(AH$5-AG$5)</f>
        <v>83.7724127481186</v>
      </c>
      <c r="AI141" s="6">
        <f>(AI140/AI$15)*(AI$5-AH$5)</f>
        <v>79.5487507617307</v>
      </c>
      <c r="AJ141" s="6" t="n"/>
      <c r="AK141" s="6" t="n"/>
      <c r="AL141" s="3" t="n"/>
      <c r="AM141" s="6" t="n"/>
      <c r="AN141" s="6" t="n"/>
      <c r="AO141" s="6" t="n"/>
      <c r="AP141" s="6" t="n"/>
      <c r="AQ141" s="3" t="n"/>
      <c r="AR141" s="6" t="n"/>
      <c r="AS141" s="6" t="n"/>
      <c r="AT141" s="6" t="n"/>
      <c r="AU141" s="6" t="n"/>
      <c r="AV141" s="3" t="n"/>
      <c r="AW141" s="6" t="n"/>
      <c r="AX141" s="6" t="n"/>
      <c r="AY141" s="6" t="n"/>
      <c r="AZ141" s="6" t="n"/>
      <c r="BA141" s="3" t="n"/>
      <c r="BB141" s="6" t="n"/>
      <c r="BC141" s="6" t="n"/>
      <c r="BD141" s="6" t="n"/>
      <c r="BE141" s="6" t="n"/>
      <c r="BF141" s="3" t="n"/>
      <c r="BG141" s="6" t="n"/>
      <c r="BH141" s="6" t="n"/>
      <c r="BI141" s="6" t="n"/>
      <c r="BJ141" s="6" t="n"/>
      <c r="BK141" s="3" t="n"/>
      <c r="BL141" s="6" t="n"/>
      <c r="BM141" s="6" t="n"/>
      <c r="BN141" s="6" t="n"/>
      <c r="BO141" s="6" t="n"/>
      <c r="BP141" s="3" t="n"/>
      <c r="BQ141" s="6" t="n"/>
      <c r="BR141" s="6" t="n"/>
      <c r="BS141" s="6" t="n"/>
      <c r="BT141" s="6" t="n"/>
      <c r="BU141" s="3" t="n"/>
      <c r="BV141" s="6" t="n"/>
      <c r="BW141" s="6" t="n"/>
      <c r="BX141" s="6" t="n"/>
      <c r="BY141" s="6" t="n"/>
      <c r="BZ141" s="3" t="n"/>
      <c r="CA141" s="6" t="n"/>
      <c r="CB141" s="6" t="n"/>
      <c r="CC141" s="6" t="n"/>
      <c r="CD141" s="6" t="n"/>
      <c r="CE141" s="3" t="n"/>
      <c r="CF141" s="6" t="n"/>
      <c r="CG141" s="6" t="n"/>
      <c r="CH141" s="6" t="n"/>
      <c r="CI141" s="6" t="n"/>
      <c r="CJ141" s="3" t="n"/>
      <c r="CK141" s="6" t="n"/>
      <c r="CL141" s="6" t="n"/>
      <c r="CM141" s="6" t="n"/>
      <c r="CN141" s="6" t="n"/>
      <c r="CO141" s="3" t="n"/>
      <c r="CP141" s="6" t="n"/>
      <c r="CQ141" s="6" t="n"/>
      <c r="CR141" s="6" t="n"/>
      <c r="CS141" s="6" t="n"/>
      <c r="CT141" s="3" t="n"/>
      <c r="CU141" s="6" t="n"/>
      <c r="CV141" s="6" t="n"/>
      <c r="CW141" s="6" t="n"/>
      <c r="CX141" s="6" t="n"/>
      <c r="CY141" s="3" t="n"/>
    </row>
    <row r="142" hidden="1" outlineLevel="1">
      <c r="C142" s="34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  <c r="BZ142" s="3" t="n"/>
      <c r="CA142" s="3" t="n"/>
      <c r="CB142" s="3" t="n"/>
      <c r="CC142" s="3" t="n"/>
      <c r="CD142" s="3" t="n"/>
      <c r="CE142" s="3" t="n"/>
      <c r="CF142" s="3" t="n"/>
      <c r="CG142" s="3" t="n"/>
      <c r="CH142" s="3" t="n"/>
      <c r="CI142" s="3" t="n"/>
      <c r="CJ142" s="3" t="n"/>
      <c r="CK142" s="3" t="n"/>
      <c r="CL142" s="3" t="n"/>
      <c r="CM142" s="3" t="n"/>
      <c r="CN142" s="3" t="n"/>
      <c r="CO142" s="3" t="n"/>
      <c r="CP142" s="3" t="n"/>
      <c r="CQ142" s="3" t="n"/>
      <c r="CR142" s="3" t="n"/>
      <c r="CS142" s="3" t="n"/>
      <c r="CT142" s="3" t="n"/>
      <c r="CU142" s="3" t="n"/>
      <c r="CV142" s="3" t="n"/>
      <c r="CW142" s="3" t="n"/>
      <c r="CX142" s="3" t="n"/>
      <c r="CY142" s="3" t="n"/>
    </row>
    <row r="143" hidden="1" outlineLevel="1">
      <c r="C143" s="34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  <c r="BZ143" s="3" t="n"/>
      <c r="CA143" s="3" t="n"/>
      <c r="CB143" s="3" t="n"/>
      <c r="CC143" s="3" t="n"/>
      <c r="CD143" s="3" t="n"/>
      <c r="CE143" s="3" t="n"/>
      <c r="CF143" s="3" t="n"/>
      <c r="CG143" s="3" t="n"/>
      <c r="CH143" s="3" t="n"/>
      <c r="CI143" s="3" t="n"/>
      <c r="CJ143" s="3" t="n"/>
      <c r="CK143" s="3" t="n"/>
      <c r="CL143" s="3" t="n"/>
      <c r="CM143" s="3" t="n"/>
      <c r="CN143" s="3" t="n"/>
      <c r="CO143" s="3" t="n"/>
      <c r="CP143" s="3" t="n"/>
      <c r="CQ143" s="3" t="n"/>
      <c r="CR143" s="3" t="n"/>
      <c r="CS143" s="3" t="n"/>
      <c r="CT143" s="3" t="n"/>
      <c r="CU143" s="3" t="n"/>
      <c r="CV143" s="3" t="n"/>
      <c r="CW143" s="3" t="n"/>
      <c r="CX143" s="3" t="n"/>
      <c r="CY143" s="3" t="n"/>
    </row>
    <row r="144" collapsed="1">
      <c r="C144" s="26" t="inlineStr">
        <is>
          <t>Inventories</t>
        </is>
      </c>
      <c r="D144" s="25">
        <f>INDEX('Inputs (2)'!$D$17:$AL$17,MATCH(D$7,'Inputs (2)'!$D$2:$AL$2,0))</f>
        <v>3102.4</v>
      </c>
      <c r="E144" s="25">
        <f>INDEX('Inputs (2)'!$D$17:$AL$17,MATCH(E$7,'Inputs (2)'!$D$2:$AL$2,0))</f>
        <v>3313.9</v>
      </c>
      <c r="F144" s="25">
        <f>INDEX('Inputs (2)'!$D$17:$AL$17,MATCH(F$7,'Inputs (2)'!$D$2:$AL$2,0))</f>
        <v>3555.4</v>
      </c>
      <c r="G144" s="25">
        <f>INDEX('Inputs (2)'!$D$17:$AL$17,MATCH(G$7,'Inputs (2)'!$D$2:$AL$2,0))</f>
        <v>3980.3</v>
      </c>
      <c r="H144" s="3">
        <f>G144</f>
        <v>3980.3</v>
      </c>
      <c r="I144" s="25">
        <f>INDEX('Inputs (2)'!$D$17:$AL$17,MATCH(I$7,'Inputs (2)'!$D$2:$AL$2,0))</f>
        <v>3660.8</v>
      </c>
      <c r="J144" s="25">
        <f>INDEX('Inputs (2)'!$D$17:$AL$17,MATCH(J$7,'Inputs (2)'!$D$2:$AL$2,0))</f>
        <v>3824.9</v>
      </c>
      <c r="K144" s="25">
        <f>INDEX('Inputs (2)'!$D$17:$AL$17,MATCH(K$7,'Inputs (2)'!$D$2:$AL$2,0))</f>
        <v>3907.4</v>
      </c>
      <c r="L144" s="25">
        <f>INDEX('Inputs (2)'!$D$17:$AL$17,MATCH(L$7,'Inputs (2)'!$D$2:$AL$2,0))</f>
        <v>3886</v>
      </c>
      <c r="M144" s="3">
        <f>L144</f>
        <v>3886</v>
      </c>
      <c r="N144" s="25">
        <f>INDEX('Inputs (2)'!$D$17:$AL$17,MATCH(N$7,'Inputs (2)'!$D$2:$AL$2,0))</f>
        <v>3893</v>
      </c>
      <c r="O144" s="25">
        <f>INDEX('Inputs (2)'!$D$17:$AL$17,MATCH(O$7,'Inputs (2)'!$D$2:$AL$2,0))</f>
        <v>3899.4</v>
      </c>
      <c r="P144" s="25">
        <f>INDEX('Inputs (2)'!$D$17:$AL$17,MATCH(P$7,'Inputs (2)'!$D$2:$AL$2,0))</f>
        <v>3831.1</v>
      </c>
      <c r="Q144" s="25">
        <f>INDEX('Inputs (2)'!$D$17:$AL$17,MATCH(Q$7,'Inputs (2)'!$D$2:$AL$2,0))</f>
        <v>4309.7</v>
      </c>
      <c r="R144" s="3">
        <f>Q144</f>
        <v>4309.7</v>
      </c>
      <c r="S144" s="25">
        <f>INDEX('Inputs (2)'!$D$17:$AL$17,MATCH(S$7,'Inputs (2)'!$D$2:$AL$2,0))</f>
        <v>4544.8</v>
      </c>
      <c r="T144" s="25">
        <f>INDEX('Inputs (2)'!$D$17:$AL$17,MATCH(T$7,'Inputs (2)'!$D$2:$AL$2,0))</f>
        <v>4798.7</v>
      </c>
      <c r="U144" s="25">
        <f>INDEX('Inputs (2)'!$D$17:$AL$17,MATCH(U$7,'Inputs (2)'!$D$2:$AL$2,0))</f>
        <v>4901.4</v>
      </c>
      <c r="V144" s="25">
        <f>INDEX('Inputs (2)'!$D$17:$AL$17,MATCH(V$7,'Inputs (2)'!$D$2:$AL$2,0))</f>
        <v>5772.8</v>
      </c>
      <c r="W144" s="3">
        <f>V144</f>
        <v>5772.8</v>
      </c>
      <c r="X144" s="25">
        <f>INDEX('Inputs (2)'!$D$17:$AL$17,MATCH(X$7,'Inputs (2)'!$D$2:$AL$2,0))</f>
        <v>6101.8</v>
      </c>
      <c r="Y144" s="25">
        <f>INDEX('Inputs (2)'!$D$17:$AL$17,MATCH(Y$7,'Inputs (2)'!$D$2:$AL$2,0))</f>
        <v>6481.5</v>
      </c>
      <c r="Z144" s="25">
        <f>INDEX('Inputs (2)'!$D$17:$AL$17,MATCH(Z$7,'Inputs (2)'!$D$2:$AL$2,0))</f>
        <v>7459.8</v>
      </c>
      <c r="AA144" s="25">
        <f>INDEX('Inputs (2)'!$D$17:$AL$17,MATCH(AA$7,'Inputs (2)'!$D$2:$AL$2,0))</f>
        <v>7589.2</v>
      </c>
      <c r="AB144" s="3">
        <f>AA144</f>
        <v>7589.2</v>
      </c>
      <c r="AC144" s="25">
        <f>INDEX('Inputs (2)'!$D$17:$AL$17,MATCH(AC$7,'Inputs (2)'!$D$2:$AL$2,0))</f>
        <v>9311</v>
      </c>
      <c r="AD144" s="25">
        <f>INDEX('Inputs (2)'!$D$17:$AL$17,MATCH(AD$7,'Inputs (2)'!$D$2:$AL$2,0))</f>
        <v>11013.8</v>
      </c>
      <c r="AE144" s="25">
        <f>INDEX('Inputs (2)'!$D$17:$AL$17,MATCH(AE$7,'Inputs (2)'!$D$2:$AL$2,0))</f>
        <v>12180.4</v>
      </c>
      <c r="AF144" s="25">
        <f>INDEX('Inputs (2)'!$D$17:$AL$17,MATCH(AF$7,'Inputs (2)'!$D$2:$AL$2,0))</f>
        <v>13744</v>
      </c>
      <c r="AG144" s="3">
        <f>AF144</f>
        <v>13744</v>
      </c>
      <c r="AH144" s="3">
        <f>INDEX('Inputs (2)'!$D$17:$AL$17,MATCH(AH$7,'Inputs (2)'!$D$2:$AL$2,0))</f>
        <v>14529</v>
      </c>
      <c r="AI144" s="3">
        <f>INDEX('Inputs (2)'!$D$17:$AL$17,MATCH(AI$7,'Inputs (2)'!$D$2:$AL$2,0))</f>
        <v>16793</v>
      </c>
      <c r="AJ144" s="3">
        <f>(AJ145/(AJ$5-AI$5))*-AJ$49</f>
        <v>0</v>
      </c>
      <c r="AK144" s="3">
        <f>(AK145/(AK$5-AJ$5))*-AK$49</f>
        <v>0</v>
      </c>
      <c r="AL144" s="3">
        <f>AK144</f>
        <v>0</v>
      </c>
      <c r="AM144" s="3">
        <f>(AM145/(AM$5-AL$5))*-AM$49</f>
        <v>0</v>
      </c>
      <c r="AN144" s="3">
        <f>(AN145/(AN$5-AM$5))*-AN$49</f>
        <v>0</v>
      </c>
      <c r="AO144" s="3">
        <f>(AO145/(AO$5-AN$5))*-AO$49</f>
        <v>0</v>
      </c>
      <c r="AP144" s="3">
        <f>(AP145/(AP$5-AO$5))*-AP$49</f>
        <v>0</v>
      </c>
      <c r="AQ144" s="3">
        <f>AP144</f>
        <v>0</v>
      </c>
      <c r="AR144" s="3">
        <f>(AR145/(AR$5-AQ$5))*-AR$49</f>
        <v>0</v>
      </c>
      <c r="AS144" s="3">
        <f>(AS145/(AS$5-AR$5))*-AS$49</f>
        <v>0</v>
      </c>
      <c r="AT144" s="3">
        <f>(AT145/(AT$5-AS$5))*-AT$49</f>
        <v>0</v>
      </c>
      <c r="AU144" s="3">
        <f>(AU145/(AU$5-AT$5))*-AU$49</f>
        <v>0</v>
      </c>
      <c r="AV144" s="3">
        <f>AU144</f>
        <v>0</v>
      </c>
      <c r="AW144" s="3">
        <f>(AW145/(AW$5-AV$5))*-AW$49</f>
        <v>0</v>
      </c>
      <c r="AX144" s="3">
        <f>(AX145/(AX$5-AW$5))*-AX$49</f>
        <v>0</v>
      </c>
      <c r="AY144" s="3">
        <f>(AY145/(AY$5-AX$5))*-AY$49</f>
        <v>0</v>
      </c>
      <c r="AZ144" s="3">
        <f>(AZ145/(AZ$5-AY$5))*-AZ$49</f>
        <v>0</v>
      </c>
      <c r="BA144" s="3">
        <f>AZ144</f>
        <v>0</v>
      </c>
      <c r="BB144" s="3">
        <f>(BB145/(BB$5-BA$5))*-BB$49</f>
        <v>0</v>
      </c>
      <c r="BC144" s="3">
        <f>(BC145/(BC$5-BB$5))*-BC$49</f>
        <v>0</v>
      </c>
      <c r="BD144" s="3">
        <f>(BD145/(BD$5-BC$5))*-BD$49</f>
        <v>0</v>
      </c>
      <c r="BE144" s="3">
        <f>(BE145/(BE$5-BD$5))*-BE$49</f>
        <v>0</v>
      </c>
      <c r="BF144" s="3">
        <f>BE144</f>
        <v>0</v>
      </c>
      <c r="BG144" s="3">
        <f>(BG145/(BG$5-BF$5))*-BG$49</f>
        <v>0</v>
      </c>
      <c r="BH144" s="3">
        <f>(BH145/(BH$5-BG$5))*-BH$49</f>
        <v>0</v>
      </c>
      <c r="BI144" s="3">
        <f>(BI145/(BI$5-BH$5))*-BI$49</f>
        <v>0</v>
      </c>
      <c r="BJ144" s="3">
        <f>(BJ145/(BJ$5-BI$5))*-BJ$49</f>
        <v>0</v>
      </c>
      <c r="BK144" s="3">
        <f>BJ144</f>
        <v>0</v>
      </c>
      <c r="BL144" s="3">
        <f>(BL145/(BL$5-BK$5))*-BL$49</f>
        <v>0</v>
      </c>
      <c r="BM144" s="3">
        <f>(BM145/(BM$5-BL$5))*-BM$49</f>
        <v>0</v>
      </c>
      <c r="BN144" s="3">
        <f>(BN145/(BN$5-BM$5))*-BN$49</f>
        <v>0</v>
      </c>
      <c r="BO144" s="3">
        <f>(BO145/(BO$5-BN$5))*-BO$49</f>
        <v>0</v>
      </c>
      <c r="BP144" s="3">
        <f>BO144</f>
        <v>0</v>
      </c>
      <c r="BQ144" s="3">
        <f>(BQ145/(BQ$5-BP$5))*-BQ$49</f>
        <v>0</v>
      </c>
      <c r="BR144" s="3">
        <f>(BR145/(BR$5-BQ$5))*-BR$49</f>
        <v>0</v>
      </c>
      <c r="BS144" s="3">
        <f>(BS145/(BS$5-BR$5))*-BS$49</f>
        <v>0</v>
      </c>
      <c r="BT144" s="3">
        <f>(BT145/(BT$5-BS$5))*-BT$49</f>
        <v>0</v>
      </c>
      <c r="BU144" s="3">
        <f>BT144</f>
        <v>0</v>
      </c>
      <c r="BV144" s="3">
        <f>(BV145/(BV$5-BU$5))*-BV$49</f>
        <v>0</v>
      </c>
      <c r="BW144" s="3">
        <f>(BW145/(BW$5-BV$5))*-BW$49</f>
        <v>0</v>
      </c>
      <c r="BX144" s="3">
        <f>(BX145/(BX$5-BW$5))*-BX$49</f>
        <v>0</v>
      </c>
      <c r="BY144" s="3">
        <f>(BY145/(BY$5-BX$5))*-BY$49</f>
        <v>0</v>
      </c>
      <c r="BZ144" s="3">
        <f>BY144</f>
        <v>0</v>
      </c>
      <c r="CA144" s="3">
        <f>(CA145/(CA$5-BZ$5))*-CA$49</f>
        <v>0</v>
      </c>
      <c r="CB144" s="3">
        <f>(CB145/(CB$5-CA$5))*-CB$49</f>
        <v>0</v>
      </c>
      <c r="CC144" s="3">
        <f>(CC145/(CC$5-CB$5))*-CC$49</f>
        <v>0</v>
      </c>
      <c r="CD144" s="3">
        <f>(CD145/(CD$5-CC$5))*-CD$49</f>
        <v>0</v>
      </c>
      <c r="CE144" s="3">
        <f>CD144</f>
        <v>0</v>
      </c>
      <c r="CF144" s="3">
        <f>(CF145/(CF$5-CE$5))*-CF$49</f>
        <v>0</v>
      </c>
      <c r="CG144" s="3">
        <f>(CG145/(CG$5-CF$5))*-CG$49</f>
        <v>0</v>
      </c>
      <c r="CH144" s="3">
        <f>(CH145/(CH$5-CG$5))*-CH$49</f>
        <v>0</v>
      </c>
      <c r="CI144" s="3">
        <f>(CI145/(CI$5-CH$5))*-CI$49</f>
        <v>0</v>
      </c>
      <c r="CJ144" s="3">
        <f>CI144</f>
        <v>0</v>
      </c>
      <c r="CK144" s="3">
        <f>(CK145/(CK$5-CJ$5))*-CK$49</f>
        <v>0</v>
      </c>
      <c r="CL144" s="3">
        <f>(CL145/(CL$5-CK$5))*-CL$49</f>
        <v>0</v>
      </c>
      <c r="CM144" s="3">
        <f>(CM145/(CM$5-CL$5))*-CM$49</f>
        <v>0</v>
      </c>
      <c r="CN144" s="3">
        <f>(CN145/(CN$5-CM$5))*-CN$49</f>
        <v>0</v>
      </c>
      <c r="CO144" s="3">
        <f>CN144</f>
        <v>0</v>
      </c>
      <c r="CP144" s="3">
        <f>(CP145/(CP$5-CO$5))*-CP$49</f>
        <v>0</v>
      </c>
      <c r="CQ144" s="3">
        <f>(CQ145/(CQ$5-CP$5))*-CQ$49</f>
        <v>0</v>
      </c>
      <c r="CR144" s="3">
        <f>(CR145/(CR$5-CQ$5))*-CR$49</f>
        <v>0</v>
      </c>
      <c r="CS144" s="3">
        <f>(CS145/(CS$5-CR$5))*-CS$49</f>
        <v>0</v>
      </c>
      <c r="CT144" s="3">
        <f>CS144</f>
        <v>0</v>
      </c>
      <c r="CU144" s="3">
        <f>(CU145/(CU$5-CT$5))*-CU$49</f>
        <v>0</v>
      </c>
      <c r="CV144" s="3">
        <f>(CV145/(CV$5-CU$5))*-CV$49</f>
        <v>0</v>
      </c>
      <c r="CW144" s="3">
        <f>(CW145/(CW$5-CV$5))*-CW$49</f>
        <v>0</v>
      </c>
      <c r="CX144" s="3">
        <f>(CX145/(CX$5-CW$5))*-CX$49</f>
        <v>0</v>
      </c>
      <c r="CY144" s="3">
        <f>CX144</f>
        <v>0</v>
      </c>
    </row>
    <row r="145" hidden="1" outlineLevel="1">
      <c r="C145" s="34" t="inlineStr">
        <is>
          <t>DIO</t>
        </is>
      </c>
      <c r="D145" s="3" t="n"/>
      <c r="E145" s="3">
        <f>((E144/E$49)*(E$5-D$5))*-1</f>
        <v>246.779787234043</v>
      </c>
      <c r="F145" s="3">
        <f>((F144/F$49)*(F$5-E$5))*-1</f>
        <v>246.604945717732</v>
      </c>
      <c r="G145" s="3">
        <f>((G144/G$49)*(G$5-F$5))*-1</f>
        <v>212.924526107687</v>
      </c>
      <c r="H145" s="3" t="n"/>
      <c r="I145" s="3">
        <f>((I144/I$49)*(I$5-H$5))*-1</f>
        <v>175.381667198978</v>
      </c>
      <c r="J145" s="3">
        <f>((J144/J$49)*(J$5-I$5))*-1</f>
        <v>178.202897808724</v>
      </c>
      <c r="K145" s="3">
        <f>((K144/K$49)*(K$5-J$5))*-1</f>
        <v>251.244618395303</v>
      </c>
      <c r="L145" s="3">
        <f>((L144/L$49)*(L$5-K$5))*-1</f>
        <v>174.37908496732</v>
      </c>
      <c r="M145" s="3" t="n"/>
      <c r="N145" s="3">
        <f>((N144/N$49)*(N$5-M$5))*-1</f>
        <v>169.089329665557</v>
      </c>
      <c r="O145" s="3">
        <f>((O144/O$49)*(O$5-N$5))*-1</f>
        <v>248.056903180706</v>
      </c>
      <c r="P145" s="3">
        <f>((P144/P$49)*(P$5-O$5))*-1</f>
        <v>223.203850294472</v>
      </c>
      <c r="Q145" s="3">
        <f>((Q144/Q$49)*(Q$5-P$5))*-1</f>
        <v>256.11549641496</v>
      </c>
      <c r="R145" s="3" t="n"/>
      <c r="S145" s="3">
        <f>((S144/S$49)*(S$5-R$5))*-1</f>
        <v>251.448945718326</v>
      </c>
      <c r="T145" s="3">
        <f>((T144/T$49)*(T$5-S$5))*-1</f>
        <v>241.607668474051</v>
      </c>
      <c r="U145" s="3">
        <f>((U144/U$49)*(U$5-T$5))*-1</f>
        <v>242.421805279286</v>
      </c>
      <c r="V145" s="3">
        <f>((V144/V$49)*(V$5-U$5))*-1</f>
        <v>297.034451901566</v>
      </c>
      <c r="W145" s="3" t="n"/>
      <c r="X145" s="3">
        <f>((X144/X$49)*(X$5-W$5))*-1</f>
        <v>331.797908574843</v>
      </c>
      <c r="Y145" s="3">
        <f>((Y144/Y$49)*(Y$5-X$5))*-1</f>
        <v>271.779789881117</v>
      </c>
      <c r="Z145" s="3">
        <f>((Z144/Z$49)*(Z$5-Y$5))*-1</f>
        <v>316.151464897734</v>
      </c>
      <c r="AA145" s="3">
        <f>((AA144/AA$49)*(AA$5-Z$5))*-1</f>
        <v>290.459439221233</v>
      </c>
      <c r="AB145" s="3" t="n"/>
      <c r="AC145" s="3">
        <f>((AC144/AC$49)*(AC$5-AB$5))*-1</f>
        <v>376.624719101124</v>
      </c>
      <c r="AD145" s="3">
        <f>((AD144/AD$49)*(AD$5-AC$5))*-1</f>
        <v>409.418218954248</v>
      </c>
      <c r="AE145" s="3">
        <f>((AE144/AE$49)*(AE$5-AD$5))*-1</f>
        <v>372.501678688961</v>
      </c>
      <c r="AF145" s="6">
        <f>((AF144/AF$49)*(AF$5-AE$5))*-1</f>
        <v>375.017943470653</v>
      </c>
      <c r="AG145" s="3" t="n"/>
      <c r="AH145" s="6">
        <f>((AH144/AH$49)*(AH$5-AG$5))*-1</f>
        <v>365.560525580095</v>
      </c>
      <c r="AI145" s="6">
        <f>((AI144/AI$49)*(AI$5-AH$5))*-1</f>
        <v>467.614137086903</v>
      </c>
      <c r="AJ145" s="6" t="n"/>
      <c r="AK145" s="6" t="n"/>
      <c r="AL145" s="3" t="n"/>
      <c r="AM145" s="6" t="n"/>
      <c r="AN145" s="6" t="n"/>
      <c r="AO145" s="6" t="n"/>
      <c r="AP145" s="6" t="n"/>
      <c r="AQ145" s="3" t="n"/>
      <c r="AR145" s="6" t="n"/>
      <c r="AS145" s="6" t="n"/>
      <c r="AT145" s="6" t="n"/>
      <c r="AU145" s="6" t="n"/>
      <c r="AV145" s="3" t="n"/>
      <c r="AW145" s="6" t="n"/>
      <c r="AX145" s="6" t="n"/>
      <c r="AY145" s="6" t="n"/>
      <c r="AZ145" s="6" t="n"/>
      <c r="BA145" s="3" t="n"/>
      <c r="BB145" s="6" t="n"/>
      <c r="BC145" s="6" t="n"/>
      <c r="BD145" s="6" t="n"/>
      <c r="BE145" s="6" t="n"/>
      <c r="BF145" s="3" t="n"/>
      <c r="BG145" s="6" t="n"/>
      <c r="BH145" s="6" t="n"/>
      <c r="BI145" s="6" t="n"/>
      <c r="BJ145" s="6" t="n"/>
      <c r="BK145" s="3" t="n"/>
      <c r="BL145" s="6" t="n"/>
      <c r="BM145" s="6" t="n"/>
      <c r="BN145" s="6" t="n"/>
      <c r="BO145" s="6" t="n"/>
      <c r="BP145" s="3" t="n"/>
      <c r="BQ145" s="6" t="n"/>
      <c r="BR145" s="6" t="n"/>
      <c r="BS145" s="6" t="n"/>
      <c r="BT145" s="6" t="n"/>
      <c r="BU145" s="3" t="n"/>
      <c r="BV145" s="6" t="n"/>
      <c r="BW145" s="6" t="n"/>
      <c r="BX145" s="6" t="n"/>
      <c r="BY145" s="6" t="n"/>
      <c r="BZ145" s="3" t="n"/>
      <c r="CA145" s="6" t="n"/>
      <c r="CB145" s="6" t="n"/>
      <c r="CC145" s="6" t="n"/>
      <c r="CD145" s="6" t="n"/>
      <c r="CE145" s="3" t="n"/>
      <c r="CF145" s="6" t="n"/>
      <c r="CG145" s="6" t="n"/>
      <c r="CH145" s="6" t="n"/>
      <c r="CI145" s="6" t="n"/>
      <c r="CJ145" s="3" t="n"/>
      <c r="CK145" s="6" t="n"/>
      <c r="CL145" s="6" t="n"/>
      <c r="CM145" s="6" t="n"/>
      <c r="CN145" s="6" t="n"/>
      <c r="CO145" s="3" t="n"/>
      <c r="CP145" s="6" t="n"/>
      <c r="CQ145" s="6" t="n"/>
      <c r="CR145" s="6" t="n"/>
      <c r="CS145" s="6" t="n"/>
      <c r="CT145" s="3" t="n"/>
      <c r="CU145" s="6" t="n"/>
      <c r="CV145" s="6" t="n"/>
      <c r="CW145" s="6" t="n"/>
      <c r="CX145" s="6" t="n"/>
      <c r="CY145" s="3" t="n"/>
    </row>
    <row r="146" hidden="1" outlineLevel="1">
      <c r="C146" s="34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  <c r="BZ146" s="3" t="n"/>
      <c r="CA146" s="3" t="n"/>
      <c r="CB146" s="3" t="n"/>
      <c r="CC146" s="3" t="n"/>
      <c r="CD146" s="3" t="n"/>
      <c r="CE146" s="3" t="n"/>
      <c r="CF146" s="3" t="n"/>
      <c r="CG146" s="3" t="n"/>
      <c r="CH146" s="3" t="n"/>
      <c r="CI146" s="3" t="n"/>
      <c r="CJ146" s="3" t="n"/>
      <c r="CK146" s="3" t="n"/>
      <c r="CL146" s="3" t="n"/>
      <c r="CM146" s="3" t="n"/>
      <c r="CN146" s="3" t="n"/>
      <c r="CO146" s="3" t="n"/>
      <c r="CP146" s="3" t="n"/>
      <c r="CQ146" s="3" t="n"/>
      <c r="CR146" s="3" t="n"/>
      <c r="CS146" s="3" t="n"/>
      <c r="CT146" s="3" t="n"/>
      <c r="CU146" s="3" t="n"/>
      <c r="CV146" s="3" t="n"/>
      <c r="CW146" s="3" t="n"/>
      <c r="CX146" s="3" t="n"/>
      <c r="CY146" s="3" t="n"/>
    </row>
    <row r="147" hidden="1" outlineLevel="1">
      <c r="C147" s="34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  <c r="BZ147" s="3" t="n"/>
      <c r="CA147" s="3" t="n"/>
      <c r="CB147" s="3" t="n"/>
      <c r="CC147" s="3" t="n"/>
      <c r="CD147" s="3" t="n"/>
      <c r="CE147" s="3" t="n"/>
      <c r="CF147" s="3" t="n"/>
      <c r="CG147" s="3" t="n"/>
      <c r="CH147" s="3" t="n"/>
      <c r="CI147" s="3" t="n"/>
      <c r="CJ147" s="3" t="n"/>
      <c r="CK147" s="3" t="n"/>
      <c r="CL147" s="3" t="n"/>
      <c r="CM147" s="3" t="n"/>
      <c r="CN147" s="3" t="n"/>
      <c r="CO147" s="3" t="n"/>
      <c r="CP147" s="3" t="n"/>
      <c r="CQ147" s="3" t="n"/>
      <c r="CR147" s="3" t="n"/>
      <c r="CS147" s="3" t="n"/>
      <c r="CT147" s="3" t="n"/>
      <c r="CU147" s="3" t="n"/>
      <c r="CV147" s="3" t="n"/>
      <c r="CW147" s="3" t="n"/>
      <c r="CX147" s="3" t="n"/>
      <c r="CY147" s="3" t="n"/>
    </row>
    <row r="148" collapsed="1">
      <c r="C148" s="26" t="inlineStr">
        <is>
          <t>Deferred income taxes</t>
        </is>
      </c>
      <c r="D148" s="25">
        <f>INDEX('Inputs (2)'!$D$18:$AL$18,MATCH(D$7,'Inputs (2)'!$D$2:$AL$2,0))</f>
        <v>2471.6</v>
      </c>
      <c r="E148" s="25">
        <f>INDEX('Inputs (2)'!$D$18:$AL$18,MATCH(E$7,'Inputs (2)'!$D$2:$AL$2,0))</f>
        <v>2481.8</v>
      </c>
      <c r="F148" s="25">
        <f>INDEX('Inputs (2)'!$D$18:$AL$18,MATCH(F$7,'Inputs (2)'!$D$2:$AL$2,0))</f>
        <v>2555.3</v>
      </c>
      <c r="G148" s="25">
        <f>INDEX('Inputs (2)'!$D$18:$AL$18,MATCH(G$7,'Inputs (2)'!$D$2:$AL$2,0))</f>
        <v>2830.4</v>
      </c>
      <c r="H148" s="3">
        <f>G148</f>
        <v>2830.4</v>
      </c>
      <c r="I148" s="25">
        <f>INDEX('Inputs (2)'!$D$18:$AL$18,MATCH(I$7,'Inputs (2)'!$D$2:$AL$2,0))</f>
        <v>2649.9</v>
      </c>
      <c r="J148" s="25">
        <f>INDEX('Inputs (2)'!$D$18:$AL$18,MATCH(J$7,'Inputs (2)'!$D$2:$AL$2,0))</f>
        <v>2674.9</v>
      </c>
      <c r="K148" s="25">
        <f>INDEX('Inputs (2)'!$D$18:$AL$18,MATCH(K$7,'Inputs (2)'!$D$2:$AL$2,0))</f>
        <v>2625.6</v>
      </c>
      <c r="L148" s="25">
        <f>INDEX('Inputs (2)'!$D$18:$AL$18,MATCH(L$7,'Inputs (2)'!$D$2:$AL$2,0))</f>
        <v>2489.3</v>
      </c>
      <c r="M148" s="3">
        <f>L148</f>
        <v>2489.3</v>
      </c>
      <c r="N148" s="25">
        <f>INDEX('Inputs (2)'!$D$18:$AL$18,MATCH(N$7,'Inputs (2)'!$D$2:$AL$2,0))</f>
        <v>2464.9</v>
      </c>
      <c r="O148" s="25">
        <f>INDEX('Inputs (2)'!$D$18:$AL$18,MATCH(O$7,'Inputs (2)'!$D$2:$AL$2,0))</f>
        <v>2371.9</v>
      </c>
      <c r="P148" s="25">
        <f>INDEX('Inputs (2)'!$D$18:$AL$18,MATCH(P$7,'Inputs (2)'!$D$2:$AL$2,0))</f>
        <v>2384.3</v>
      </c>
      <c r="Q148" s="25">
        <f>INDEX('Inputs (2)'!$D$18:$AL$18,MATCH(Q$7,'Inputs (2)'!$D$2:$AL$2,0))</f>
        <v>2792.9</v>
      </c>
      <c r="R148" s="3">
        <f>Q148</f>
        <v>2792.9</v>
      </c>
      <c r="S148" s="25">
        <f>INDEX('Inputs (2)'!$D$18:$AL$18,MATCH(S$7,'Inputs (2)'!$D$2:$AL$2,0))</f>
        <v>3406.7</v>
      </c>
      <c r="T148" s="25">
        <f>INDEX('Inputs (2)'!$D$18:$AL$18,MATCH(T$7,'Inputs (2)'!$D$2:$AL$2,0))</f>
        <v>3805.9</v>
      </c>
      <c r="U148" s="25">
        <f>INDEX('Inputs (2)'!$D$18:$AL$18,MATCH(U$7,'Inputs (2)'!$D$2:$AL$2,0))</f>
        <v>4574.8</v>
      </c>
      <c r="V148" s="25">
        <f>INDEX('Inputs (2)'!$D$18:$AL$18,MATCH(V$7,'Inputs (2)'!$D$2:$AL$2,0))</f>
        <v>5477.3</v>
      </c>
      <c r="W148" s="3">
        <f>V148</f>
        <v>5477.3</v>
      </c>
      <c r="X148" s="25">
        <f>INDEX('Inputs (2)'!$D$18:$AL$18,MATCH(X$7,'Inputs (2)'!$D$2:$AL$2,0))</f>
        <v>5633.9</v>
      </c>
      <c r="Y148" s="25">
        <f>INDEX('Inputs (2)'!$D$18:$AL$18,MATCH(Y$7,'Inputs (2)'!$D$2:$AL$2,0))</f>
        <v>6655.3</v>
      </c>
      <c r="Z148" s="25">
        <f>INDEX('Inputs (2)'!$D$18:$AL$18,MATCH(Z$7,'Inputs (2)'!$D$2:$AL$2,0))</f>
        <v>7392.3</v>
      </c>
      <c r="AA148" s="25">
        <f>INDEX('Inputs (2)'!$D$18:$AL$18,MATCH(AA$7,'Inputs (2)'!$D$2:$AL$2,0))</f>
        <v>8000.6</v>
      </c>
      <c r="AB148" s="3">
        <f>AA148</f>
        <v>8000.6</v>
      </c>
      <c r="AC148" s="25">
        <f>INDEX('Inputs (2)'!$D$18:$AL$18,MATCH(AC$7,'Inputs (2)'!$D$2:$AL$2,0))</f>
        <v>8573.2</v>
      </c>
      <c r="AD148" s="25">
        <f>INDEX('Inputs (2)'!$D$18:$AL$18,MATCH(AD$7,'Inputs (2)'!$D$2:$AL$2,0))</f>
        <v>9427.4</v>
      </c>
      <c r="AE148" s="25">
        <f>INDEX('Inputs (2)'!$D$18:$AL$18,MATCH(AE$7,'Inputs (2)'!$D$2:$AL$2,0))</f>
        <v>8962.7</v>
      </c>
      <c r="AF148" s="25">
        <f>INDEX('Inputs (2)'!$D$18:$AL$18,MATCH(AF$7,'Inputs (2)'!$D$2:$AL$2,0))</f>
        <v>9959</v>
      </c>
      <c r="AG148" s="3">
        <f>AF148</f>
        <v>9959</v>
      </c>
      <c r="AH148" s="3">
        <f>INDEX('Inputs (2)'!$D$18:$AL$18,MATCH(AH$7,'Inputs (2)'!$D$2:$AL$2,0))</f>
        <v>11350</v>
      </c>
      <c r="AI148" s="3">
        <f>INDEX('Inputs (2)'!$D$18:$AL$18,MATCH(AI$7,'Inputs (2)'!$D$2:$AL$2,0))</f>
        <v>10028</v>
      </c>
      <c r="AJ148" s="3">
        <f>AI148</f>
        <v>10028</v>
      </c>
      <c r="AK148" s="3">
        <f>AJ148</f>
        <v>10028</v>
      </c>
      <c r="AL148" s="3">
        <f>AK148</f>
        <v>10028</v>
      </c>
      <c r="AM148" s="3">
        <f>AL148</f>
        <v>10028</v>
      </c>
      <c r="AN148" s="3">
        <f>AM148</f>
        <v>10028</v>
      </c>
      <c r="AO148" s="3">
        <f>AN148</f>
        <v>10028</v>
      </c>
      <c r="AP148" s="3">
        <f>AO148</f>
        <v>10028</v>
      </c>
      <c r="AQ148" s="3">
        <f>AP148</f>
        <v>10028</v>
      </c>
      <c r="AR148" s="3">
        <f>AQ148</f>
        <v>10028</v>
      </c>
      <c r="AS148" s="3">
        <f>AR148</f>
        <v>10028</v>
      </c>
      <c r="AT148" s="3">
        <f>AS148</f>
        <v>10028</v>
      </c>
      <c r="AU148" s="3">
        <f>AT148</f>
        <v>10028</v>
      </c>
      <c r="AV148" s="3">
        <f>AU148</f>
        <v>10028</v>
      </c>
      <c r="AW148" s="3">
        <f>AV148</f>
        <v>10028</v>
      </c>
      <c r="AX148" s="3">
        <f>AW148</f>
        <v>10028</v>
      </c>
      <c r="AY148" s="3">
        <f>AX148</f>
        <v>10028</v>
      </c>
      <c r="AZ148" s="3">
        <f>AY148</f>
        <v>10028</v>
      </c>
      <c r="BA148" s="3">
        <f>AZ148</f>
        <v>10028</v>
      </c>
      <c r="BB148" s="3">
        <f>BA148</f>
        <v>10028</v>
      </c>
      <c r="BC148" s="3">
        <f>BB148</f>
        <v>10028</v>
      </c>
      <c r="BD148" s="3">
        <f>BC148</f>
        <v>10028</v>
      </c>
      <c r="BE148" s="3">
        <f>BD148</f>
        <v>10028</v>
      </c>
      <c r="BF148" s="3">
        <f>BE148</f>
        <v>10028</v>
      </c>
      <c r="BG148" s="3">
        <f>BF148</f>
        <v>10028</v>
      </c>
      <c r="BH148" s="3">
        <f>BG148</f>
        <v>10028</v>
      </c>
      <c r="BI148" s="3">
        <f>BH148</f>
        <v>10028</v>
      </c>
      <c r="BJ148" s="3">
        <f>BI148</f>
        <v>10028</v>
      </c>
      <c r="BK148" s="3">
        <f>BJ148</f>
        <v>10028</v>
      </c>
      <c r="BL148" s="3">
        <f>BK148</f>
        <v>10028</v>
      </c>
      <c r="BM148" s="3">
        <f>BL148</f>
        <v>10028</v>
      </c>
      <c r="BN148" s="3">
        <f>BM148</f>
        <v>10028</v>
      </c>
      <c r="BO148" s="3">
        <f>BN148</f>
        <v>10028</v>
      </c>
      <c r="BP148" s="3">
        <f>BO148</f>
        <v>10028</v>
      </c>
      <c r="BQ148" s="3">
        <f>BP148</f>
        <v>10028</v>
      </c>
      <c r="BR148" s="3">
        <f>BQ148</f>
        <v>10028</v>
      </c>
      <c r="BS148" s="3">
        <f>BR148</f>
        <v>10028</v>
      </c>
      <c r="BT148" s="3">
        <f>BS148</f>
        <v>10028</v>
      </c>
      <c r="BU148" s="3">
        <f>BT148</f>
        <v>10028</v>
      </c>
      <c r="BV148" s="3">
        <f>BU148</f>
        <v>10028</v>
      </c>
      <c r="BW148" s="3">
        <f>BV148</f>
        <v>10028</v>
      </c>
      <c r="BX148" s="3">
        <f>BW148</f>
        <v>10028</v>
      </c>
      <c r="BY148" s="3">
        <f>BX148</f>
        <v>10028</v>
      </c>
      <c r="BZ148" s="3">
        <f>BY148</f>
        <v>10028</v>
      </c>
      <c r="CA148" s="3">
        <f>BZ148</f>
        <v>10028</v>
      </c>
      <c r="CB148" s="3">
        <f>CA148</f>
        <v>10028</v>
      </c>
      <c r="CC148" s="3">
        <f>CB148</f>
        <v>10028</v>
      </c>
      <c r="CD148" s="3">
        <f>CC148</f>
        <v>10028</v>
      </c>
      <c r="CE148" s="3">
        <f>CD148</f>
        <v>10028</v>
      </c>
      <c r="CF148" s="3">
        <f>CE148</f>
        <v>10028</v>
      </c>
      <c r="CG148" s="3">
        <f>CF148</f>
        <v>10028</v>
      </c>
      <c r="CH148" s="3">
        <f>CG148</f>
        <v>10028</v>
      </c>
      <c r="CI148" s="3">
        <f>CH148</f>
        <v>10028</v>
      </c>
      <c r="CJ148" s="3">
        <f>CI148</f>
        <v>10028</v>
      </c>
      <c r="CK148" s="3">
        <f>CJ148</f>
        <v>10028</v>
      </c>
      <c r="CL148" s="3">
        <f>CK148</f>
        <v>10028</v>
      </c>
      <c r="CM148" s="3">
        <f>CL148</f>
        <v>10028</v>
      </c>
      <c r="CN148" s="3">
        <f>CM148</f>
        <v>10028</v>
      </c>
      <c r="CO148" s="3">
        <f>CN148</f>
        <v>10028</v>
      </c>
      <c r="CP148" s="3">
        <f>CO148</f>
        <v>10028</v>
      </c>
      <c r="CQ148" s="3">
        <f>CP148</f>
        <v>10028</v>
      </c>
      <c r="CR148" s="3">
        <f>CQ148</f>
        <v>10028</v>
      </c>
      <c r="CS148" s="3">
        <f>CR148</f>
        <v>10028</v>
      </c>
      <c r="CT148" s="3">
        <f>CS148</f>
        <v>10028</v>
      </c>
      <c r="CU148" s="3">
        <f>CT148</f>
        <v>10028</v>
      </c>
      <c r="CV148" s="3">
        <f>CU148</f>
        <v>10028</v>
      </c>
      <c r="CW148" s="3">
        <f>CV148</f>
        <v>10028</v>
      </c>
      <c r="CX148" s="3">
        <f>CW148</f>
        <v>10028</v>
      </c>
      <c r="CY148" s="3">
        <f>CX148</f>
        <v>10028</v>
      </c>
    </row>
    <row r="149">
      <c r="C149" s="26" t="inlineStr">
        <is>
          <t>Prepaid expenses</t>
        </is>
      </c>
      <c r="D149" s="25">
        <f>INDEX('Inputs (2)'!$D$19:$AL$19,MATCH(D$7,'Inputs (2)'!$D$2:$AL$2,0))</f>
        <v>2761.9</v>
      </c>
      <c r="E149" s="25">
        <f>INDEX('Inputs (2)'!$D$19:$AL$19,MATCH(E$7,'Inputs (2)'!$D$2:$AL$2,0))</f>
        <v>3104.5</v>
      </c>
      <c r="F149" s="25">
        <f>INDEX('Inputs (2)'!$D$19:$AL$19,MATCH(F$7,'Inputs (2)'!$D$2:$AL$2,0))</f>
        <v>3209.4</v>
      </c>
      <c r="G149" s="25">
        <f>INDEX('Inputs (2)'!$D$19:$AL$19,MATCH(G$7,'Inputs (2)'!$D$2:$AL$2,0))</f>
        <v>2871.5</v>
      </c>
      <c r="H149" s="3">
        <f>G149</f>
        <v>2871.5</v>
      </c>
      <c r="I149" s="25">
        <f>INDEX('Inputs (2)'!$D$19:$AL$19,MATCH(I$7,'Inputs (2)'!$D$2:$AL$2,0))</f>
        <v>3233.7</v>
      </c>
      <c r="J149" s="25">
        <f>INDEX('Inputs (2)'!$D$19:$AL$19,MATCH(J$7,'Inputs (2)'!$D$2:$AL$2,0))</f>
        <v>3296.6</v>
      </c>
      <c r="K149" s="25">
        <f>INDEX('Inputs (2)'!$D$19:$AL$19,MATCH(K$7,'Inputs (2)'!$D$2:$AL$2,0))</f>
        <v>3050.6</v>
      </c>
      <c r="L149" s="25">
        <f>INDEX('Inputs (2)'!$D$19:$AL$19,MATCH(L$7,'Inputs (2)'!$D$2:$AL$2,0))</f>
        <v>2530.6</v>
      </c>
      <c r="M149" s="3">
        <f>L149</f>
        <v>2530.6</v>
      </c>
      <c r="N149" s="25">
        <f>INDEX('Inputs (2)'!$D$19:$AL$19,MATCH(N$7,'Inputs (2)'!$D$2:$AL$2,0))</f>
        <v>2697.7</v>
      </c>
      <c r="O149" s="25">
        <f>INDEX('Inputs (2)'!$D$19:$AL$19,MATCH(O$7,'Inputs (2)'!$D$2:$AL$2,0))</f>
        <v>2806.7</v>
      </c>
      <c r="P149" s="25">
        <f>INDEX('Inputs (2)'!$D$19:$AL$19,MATCH(P$7,'Inputs (2)'!$D$2:$AL$2,0))</f>
        <v>2741.9</v>
      </c>
      <c r="Q149" s="25">
        <f>INDEX('Inputs (2)'!$D$19:$AL$19,MATCH(Q$7,'Inputs (2)'!$D$2:$AL$2,0))</f>
        <v>0</v>
      </c>
      <c r="R149" s="3">
        <f>Q149</f>
        <v>0</v>
      </c>
      <c r="S149" s="25">
        <f>INDEX('Inputs (2)'!$D$19:$AL$19,MATCH(S$7,'Inputs (2)'!$D$2:$AL$2,0))</f>
        <v>0</v>
      </c>
      <c r="T149" s="25">
        <f>INDEX('Inputs (2)'!$D$19:$AL$19,MATCH(T$7,'Inputs (2)'!$D$2:$AL$2,0))</f>
        <v>0</v>
      </c>
      <c r="U149" s="25">
        <f>INDEX('Inputs (2)'!$D$19:$AL$19,MATCH(U$7,'Inputs (2)'!$D$2:$AL$2,0))</f>
        <v>0</v>
      </c>
      <c r="V149" s="25">
        <f>INDEX('Inputs (2)'!$D$19:$AL$19,MATCH(V$7,'Inputs (2)'!$D$2:$AL$2,0))</f>
        <v>5540.8</v>
      </c>
      <c r="W149" s="3">
        <f>V149</f>
        <v>5540.8</v>
      </c>
      <c r="X149" s="25">
        <f>INDEX('Inputs (2)'!$D$19:$AL$19,MATCH(X$7,'Inputs (2)'!$D$2:$AL$2,0))</f>
        <v>6348.6</v>
      </c>
      <c r="Y149" s="25">
        <f>INDEX('Inputs (2)'!$D$19:$AL$19,MATCH(Y$7,'Inputs (2)'!$D$2:$AL$2,0))</f>
        <v>7137.6</v>
      </c>
      <c r="Z149" s="25">
        <f>INDEX('Inputs (2)'!$D$19:$AL$19,MATCH(Z$7,'Inputs (2)'!$D$2:$AL$2,0))</f>
        <v>8250.6</v>
      </c>
      <c r="AA149" s="25">
        <f>INDEX('Inputs (2)'!$D$19:$AL$19,MATCH(AA$7,'Inputs (2)'!$D$2:$AL$2,0))</f>
        <v>8340.5</v>
      </c>
      <c r="AB149" s="3">
        <f>AA149</f>
        <v>8340.5</v>
      </c>
      <c r="AC149" s="25">
        <f>INDEX('Inputs (2)'!$D$19:$AL$19,MATCH(AC$7,'Inputs (2)'!$D$2:$AL$2,0))</f>
        <v>14653.9</v>
      </c>
      <c r="AD149" s="25">
        <f>INDEX('Inputs (2)'!$D$19:$AL$19,MATCH(AD$7,'Inputs (2)'!$D$2:$AL$2,0))</f>
        <v>18019.8</v>
      </c>
      <c r="AE149" s="25">
        <f>INDEX('Inputs (2)'!$D$19:$AL$19,MATCH(AE$7,'Inputs (2)'!$D$2:$AL$2,0))</f>
        <v>20248.7</v>
      </c>
      <c r="AF149" s="25">
        <f>INDEX('Inputs (2)'!$D$19:$AL$19,MATCH(AF$7,'Inputs (2)'!$D$2:$AL$2,0))</f>
        <v>14315</v>
      </c>
      <c r="AG149" s="3">
        <f>AF149</f>
        <v>14315</v>
      </c>
      <c r="AH149" s="3">
        <f>INDEX('Inputs (2)'!$D$19:$AL$19,MATCH(AH$7,'Inputs (2)'!$D$2:$AL$2,0))</f>
        <v>13633</v>
      </c>
      <c r="AI149" s="3">
        <f>INDEX('Inputs (2)'!$D$19:$AL$19,MATCH(AI$7,'Inputs (2)'!$D$2:$AL$2,0))</f>
        <v>15368</v>
      </c>
      <c r="AJ149" s="3">
        <f>AI149</f>
        <v>15368</v>
      </c>
      <c r="AK149" s="3">
        <f>AJ149</f>
        <v>15368</v>
      </c>
      <c r="AL149" s="3">
        <f>AK149</f>
        <v>15368</v>
      </c>
      <c r="AM149" s="3">
        <f>AL149</f>
        <v>15368</v>
      </c>
      <c r="AN149" s="3">
        <f>AM149</f>
        <v>15368</v>
      </c>
      <c r="AO149" s="3">
        <f>AN149</f>
        <v>15368</v>
      </c>
      <c r="AP149" s="3">
        <f>AO149</f>
        <v>15368</v>
      </c>
      <c r="AQ149" s="3">
        <f>AP149</f>
        <v>15368</v>
      </c>
      <c r="AR149" s="3">
        <f>AQ149</f>
        <v>15368</v>
      </c>
      <c r="AS149" s="3">
        <f>AR149</f>
        <v>15368</v>
      </c>
      <c r="AT149" s="3">
        <f>AS149</f>
        <v>15368</v>
      </c>
      <c r="AU149" s="3">
        <f>AT149</f>
        <v>15368</v>
      </c>
      <c r="AV149" s="3">
        <f>AU149</f>
        <v>15368</v>
      </c>
      <c r="AW149" s="3">
        <f>AV149</f>
        <v>15368</v>
      </c>
      <c r="AX149" s="3">
        <f>AW149</f>
        <v>15368</v>
      </c>
      <c r="AY149" s="3">
        <f>AX149</f>
        <v>15368</v>
      </c>
      <c r="AZ149" s="3">
        <f>AY149</f>
        <v>15368</v>
      </c>
      <c r="BA149" s="3">
        <f>AZ149</f>
        <v>15368</v>
      </c>
      <c r="BB149" s="3">
        <f>BA149</f>
        <v>15368</v>
      </c>
      <c r="BC149" s="3">
        <f>BB149</f>
        <v>15368</v>
      </c>
      <c r="BD149" s="3">
        <f>BC149</f>
        <v>15368</v>
      </c>
      <c r="BE149" s="3">
        <f>BD149</f>
        <v>15368</v>
      </c>
      <c r="BF149" s="3">
        <f>BE149</f>
        <v>15368</v>
      </c>
      <c r="BG149" s="3">
        <f>BF149</f>
        <v>15368</v>
      </c>
      <c r="BH149" s="3">
        <f>BG149</f>
        <v>15368</v>
      </c>
      <c r="BI149" s="3">
        <f>BH149</f>
        <v>15368</v>
      </c>
      <c r="BJ149" s="3">
        <f>BI149</f>
        <v>15368</v>
      </c>
      <c r="BK149" s="3">
        <f>BJ149</f>
        <v>15368</v>
      </c>
      <c r="BL149" s="3">
        <f>BK149</f>
        <v>15368</v>
      </c>
      <c r="BM149" s="3">
        <f>BL149</f>
        <v>15368</v>
      </c>
      <c r="BN149" s="3">
        <f>BM149</f>
        <v>15368</v>
      </c>
      <c r="BO149" s="3">
        <f>BN149</f>
        <v>15368</v>
      </c>
      <c r="BP149" s="3">
        <f>BO149</f>
        <v>15368</v>
      </c>
      <c r="BQ149" s="3">
        <f>BP149</f>
        <v>15368</v>
      </c>
      <c r="BR149" s="3">
        <f>BQ149</f>
        <v>15368</v>
      </c>
      <c r="BS149" s="3">
        <f>BR149</f>
        <v>15368</v>
      </c>
      <c r="BT149" s="3">
        <f>BS149</f>
        <v>15368</v>
      </c>
      <c r="BU149" s="3">
        <f>BT149</f>
        <v>15368</v>
      </c>
      <c r="BV149" s="3">
        <f>BU149</f>
        <v>15368</v>
      </c>
      <c r="BW149" s="3">
        <f>BV149</f>
        <v>15368</v>
      </c>
      <c r="BX149" s="3">
        <f>BW149</f>
        <v>15368</v>
      </c>
      <c r="BY149" s="3">
        <f>BX149</f>
        <v>15368</v>
      </c>
      <c r="BZ149" s="3">
        <f>BY149</f>
        <v>15368</v>
      </c>
      <c r="CA149" s="3">
        <f>BZ149</f>
        <v>15368</v>
      </c>
      <c r="CB149" s="3">
        <f>CA149</f>
        <v>15368</v>
      </c>
      <c r="CC149" s="3">
        <f>CB149</f>
        <v>15368</v>
      </c>
      <c r="CD149" s="3">
        <f>CC149</f>
        <v>15368</v>
      </c>
      <c r="CE149" s="3">
        <f>CD149</f>
        <v>15368</v>
      </c>
      <c r="CF149" s="3">
        <f>CE149</f>
        <v>15368</v>
      </c>
      <c r="CG149" s="3">
        <f>CF149</f>
        <v>15368</v>
      </c>
      <c r="CH149" s="3">
        <f>CG149</f>
        <v>15368</v>
      </c>
      <c r="CI149" s="3">
        <f>CH149</f>
        <v>15368</v>
      </c>
      <c r="CJ149" s="3">
        <f>CI149</f>
        <v>15368</v>
      </c>
      <c r="CK149" s="3">
        <f>CJ149</f>
        <v>15368</v>
      </c>
      <c r="CL149" s="3">
        <f>CK149</f>
        <v>15368</v>
      </c>
      <c r="CM149" s="3">
        <f>CL149</f>
        <v>15368</v>
      </c>
      <c r="CN149" s="3">
        <f>CM149</f>
        <v>15368</v>
      </c>
      <c r="CO149" s="3">
        <f>CN149</f>
        <v>15368</v>
      </c>
      <c r="CP149" s="3">
        <f>CO149</f>
        <v>15368</v>
      </c>
      <c r="CQ149" s="3">
        <f>CP149</f>
        <v>15368</v>
      </c>
      <c r="CR149" s="3">
        <f>CQ149</f>
        <v>15368</v>
      </c>
      <c r="CS149" s="3">
        <f>CR149</f>
        <v>15368</v>
      </c>
      <c r="CT149" s="3">
        <f>CS149</f>
        <v>15368</v>
      </c>
      <c r="CU149" s="3">
        <f>CT149</f>
        <v>15368</v>
      </c>
      <c r="CV149" s="3">
        <f>CU149</f>
        <v>15368</v>
      </c>
      <c r="CW149" s="3">
        <f>CV149</f>
        <v>15368</v>
      </c>
      <c r="CX149" s="3">
        <f>CW149</f>
        <v>15368</v>
      </c>
      <c r="CY149" s="3">
        <f>CX149</f>
        <v>15368</v>
      </c>
    </row>
    <row r="150">
      <c r="C150" s="26" t="inlineStr">
        <is>
          <t>Other current assets</t>
        </is>
      </c>
      <c r="D150" s="25">
        <f>INDEX('Inputs (2)'!$D$20:$AL$20,MATCH(D$7,'Inputs (2)'!$D$2:$AL$2,0))</f>
        <v>1246.4</v>
      </c>
      <c r="E150" s="25">
        <f>INDEX('Inputs (2)'!$D$20:$AL$20,MATCH(E$7,'Inputs (2)'!$D$2:$AL$2,0))</f>
        <v>946.7</v>
      </c>
      <c r="F150" s="25">
        <f>INDEX('Inputs (2)'!$D$20:$AL$20,MATCH(F$7,'Inputs (2)'!$D$2:$AL$2,0))</f>
        <v>958.1</v>
      </c>
      <c r="G150" s="25">
        <f>INDEX('Inputs (2)'!$D$20:$AL$20,MATCH(G$7,'Inputs (2)'!$D$2:$AL$2,0))</f>
        <v>1053.7</v>
      </c>
      <c r="H150" s="3">
        <f>G150</f>
        <v>1053.7</v>
      </c>
      <c r="I150" s="25">
        <f>INDEX('Inputs (2)'!$D$20:$AL$20,MATCH(I$7,'Inputs (2)'!$D$2:$AL$2,0))</f>
        <v>1065.8</v>
      </c>
      <c r="J150" s="25">
        <f>INDEX('Inputs (2)'!$D$20:$AL$20,MATCH(J$7,'Inputs (2)'!$D$2:$AL$2,0))</f>
        <v>1073.4</v>
      </c>
      <c r="K150" s="25">
        <f>INDEX('Inputs (2)'!$D$20:$AL$20,MATCH(K$7,'Inputs (2)'!$D$2:$AL$2,0))</f>
        <v>1110.7</v>
      </c>
      <c r="L150" s="25">
        <f>INDEX('Inputs (2)'!$D$20:$AL$20,MATCH(L$7,'Inputs (2)'!$D$2:$AL$2,0))</f>
        <v>1454.4</v>
      </c>
      <c r="M150" s="3">
        <f>L150</f>
        <v>1454.4</v>
      </c>
      <c r="N150" s="25">
        <f>INDEX('Inputs (2)'!$D$20:$AL$20,MATCH(N$7,'Inputs (2)'!$D$2:$AL$2,0))</f>
        <v>1483.2</v>
      </c>
      <c r="O150" s="25">
        <f>INDEX('Inputs (2)'!$D$20:$AL$20,MATCH(O$7,'Inputs (2)'!$D$2:$AL$2,0))</f>
        <v>1307.9</v>
      </c>
      <c r="P150" s="25">
        <f>INDEX('Inputs (2)'!$D$20:$AL$20,MATCH(P$7,'Inputs (2)'!$D$2:$AL$2,0))</f>
        <v>1609.5</v>
      </c>
      <c r="Q150" s="25">
        <f>INDEX('Inputs (2)'!$D$20:$AL$20,MATCH(Q$7,'Inputs (2)'!$D$2:$AL$2,0))</f>
        <v>4617</v>
      </c>
      <c r="R150" s="3">
        <f>Q150</f>
        <v>4617</v>
      </c>
      <c r="S150" s="25">
        <f>INDEX('Inputs (2)'!$D$20:$AL$20,MATCH(S$7,'Inputs (2)'!$D$2:$AL$2,0))</f>
        <v>5071.1</v>
      </c>
      <c r="T150" s="25">
        <f>INDEX('Inputs (2)'!$D$20:$AL$20,MATCH(T$7,'Inputs (2)'!$D$2:$AL$2,0))</f>
        <v>6187.7</v>
      </c>
      <c r="U150" s="25">
        <f>INDEX('Inputs (2)'!$D$20:$AL$20,MATCH(U$7,'Inputs (2)'!$D$2:$AL$2,0))</f>
        <v>7444.6</v>
      </c>
      <c r="V150" s="25">
        <f>INDEX('Inputs (2)'!$D$20:$AL$20,MATCH(V$7,'Inputs (2)'!$D$2:$AL$2,0))</f>
        <v>2395.2</v>
      </c>
      <c r="W150" s="3">
        <f>V150</f>
        <v>2395.2</v>
      </c>
      <c r="X150" s="25">
        <f>INDEX('Inputs (2)'!$D$20:$AL$20,MATCH(X$7,'Inputs (2)'!$D$2:$AL$2,0))</f>
        <v>2266.5</v>
      </c>
      <c r="Y150" s="25">
        <f>INDEX('Inputs (2)'!$D$20:$AL$20,MATCH(Y$7,'Inputs (2)'!$D$2:$AL$2,0))</f>
        <v>2193.3</v>
      </c>
      <c r="Z150" s="25">
        <f>INDEX('Inputs (2)'!$D$20:$AL$20,MATCH(Z$7,'Inputs (2)'!$D$2:$AL$2,0))</f>
        <v>1891.5</v>
      </c>
      <c r="AA150" s="25">
        <f>INDEX('Inputs (2)'!$D$20:$AL$20,MATCH(AA$7,'Inputs (2)'!$D$2:$AL$2,0))</f>
        <v>2381.1</v>
      </c>
      <c r="AB150" s="3">
        <f>AA150</f>
        <v>2381.1</v>
      </c>
      <c r="AC150" s="25">
        <f>INDEX('Inputs (2)'!$D$20:$AL$20,MATCH(AC$7,'Inputs (2)'!$D$2:$AL$2,0))</f>
        <v>2039</v>
      </c>
      <c r="AD150" s="25">
        <f>INDEX('Inputs (2)'!$D$20:$AL$20,MATCH(AD$7,'Inputs (2)'!$D$2:$AL$2,0))</f>
        <v>3104</v>
      </c>
      <c r="AE150" s="25">
        <f>INDEX('Inputs (2)'!$D$20:$AL$20,MATCH(AE$7,'Inputs (2)'!$D$2:$AL$2,0))</f>
        <v>3621.3</v>
      </c>
      <c r="AF150" s="25">
        <f>INDEX('Inputs (2)'!$D$20:$AL$20,MATCH(AF$7,'Inputs (2)'!$D$2:$AL$2,0))</f>
        <v>2542</v>
      </c>
      <c r="AG150" s="3">
        <f>AF150</f>
        <v>2542</v>
      </c>
      <c r="AH150" s="3">
        <f>INDEX('Inputs (2)'!$D$20:$AL$20,MATCH(AH$7,'Inputs (2)'!$D$2:$AL$2,0))</f>
        <v>2962</v>
      </c>
      <c r="AI150" s="3">
        <f>INDEX('Inputs (2)'!$D$20:$AL$20,MATCH(AI$7,'Inputs (2)'!$D$2:$AL$2,0))</f>
        <v>3478</v>
      </c>
      <c r="AJ150" s="3">
        <f>AI150</f>
        <v>3478</v>
      </c>
      <c r="AK150" s="3">
        <f>AJ150</f>
        <v>3478</v>
      </c>
      <c r="AL150" s="3">
        <f>AK150</f>
        <v>3478</v>
      </c>
      <c r="AM150" s="3">
        <f>AL150</f>
        <v>3478</v>
      </c>
      <c r="AN150" s="3">
        <f>AM150</f>
        <v>3478</v>
      </c>
      <c r="AO150" s="3">
        <f>AN150</f>
        <v>3478</v>
      </c>
      <c r="AP150" s="3">
        <f>AO150</f>
        <v>3478</v>
      </c>
      <c r="AQ150" s="3">
        <f>AP150</f>
        <v>3478</v>
      </c>
      <c r="AR150" s="3">
        <f>AQ150</f>
        <v>3478</v>
      </c>
      <c r="AS150" s="3">
        <f>AR150</f>
        <v>3478</v>
      </c>
      <c r="AT150" s="3">
        <f>AS150</f>
        <v>3478</v>
      </c>
      <c r="AU150" s="3">
        <f>AT150</f>
        <v>3478</v>
      </c>
      <c r="AV150" s="3">
        <f>AU150</f>
        <v>3478</v>
      </c>
      <c r="AW150" s="3">
        <f>AV150</f>
        <v>3478</v>
      </c>
      <c r="AX150" s="3">
        <f>AW150</f>
        <v>3478</v>
      </c>
      <c r="AY150" s="3">
        <f>AX150</f>
        <v>3478</v>
      </c>
      <c r="AZ150" s="3">
        <f>AY150</f>
        <v>3478</v>
      </c>
      <c r="BA150" s="3">
        <f>AZ150</f>
        <v>3478</v>
      </c>
      <c r="BB150" s="3">
        <f>BA150</f>
        <v>3478</v>
      </c>
      <c r="BC150" s="3">
        <f>BB150</f>
        <v>3478</v>
      </c>
      <c r="BD150" s="3">
        <f>BC150</f>
        <v>3478</v>
      </c>
      <c r="BE150" s="3">
        <f>BD150</f>
        <v>3478</v>
      </c>
      <c r="BF150" s="3">
        <f>BE150</f>
        <v>3478</v>
      </c>
      <c r="BG150" s="3">
        <f>BF150</f>
        <v>3478</v>
      </c>
      <c r="BH150" s="3">
        <f>BG150</f>
        <v>3478</v>
      </c>
      <c r="BI150" s="3">
        <f>BH150</f>
        <v>3478</v>
      </c>
      <c r="BJ150" s="3">
        <f>BI150</f>
        <v>3478</v>
      </c>
      <c r="BK150" s="3">
        <f>BJ150</f>
        <v>3478</v>
      </c>
      <c r="BL150" s="3">
        <f>BK150</f>
        <v>3478</v>
      </c>
      <c r="BM150" s="3">
        <f>BL150</f>
        <v>3478</v>
      </c>
      <c r="BN150" s="3">
        <f>BM150</f>
        <v>3478</v>
      </c>
      <c r="BO150" s="3">
        <f>BN150</f>
        <v>3478</v>
      </c>
      <c r="BP150" s="3">
        <f>BO150</f>
        <v>3478</v>
      </c>
      <c r="BQ150" s="3">
        <f>BP150</f>
        <v>3478</v>
      </c>
      <c r="BR150" s="3">
        <f>BQ150</f>
        <v>3478</v>
      </c>
      <c r="BS150" s="3">
        <f>BR150</f>
        <v>3478</v>
      </c>
      <c r="BT150" s="3">
        <f>BS150</f>
        <v>3478</v>
      </c>
      <c r="BU150" s="3">
        <f>BT150</f>
        <v>3478</v>
      </c>
      <c r="BV150" s="3">
        <f>BU150</f>
        <v>3478</v>
      </c>
      <c r="BW150" s="3">
        <f>BV150</f>
        <v>3478</v>
      </c>
      <c r="BX150" s="3">
        <f>BW150</f>
        <v>3478</v>
      </c>
      <c r="BY150" s="3">
        <f>BX150</f>
        <v>3478</v>
      </c>
      <c r="BZ150" s="3">
        <f>BY150</f>
        <v>3478</v>
      </c>
      <c r="CA150" s="3">
        <f>BZ150</f>
        <v>3478</v>
      </c>
      <c r="CB150" s="3">
        <f>CA150</f>
        <v>3478</v>
      </c>
      <c r="CC150" s="3">
        <f>CB150</f>
        <v>3478</v>
      </c>
      <c r="CD150" s="3">
        <f>CC150</f>
        <v>3478</v>
      </c>
      <c r="CE150" s="3">
        <f>CD150</f>
        <v>3478</v>
      </c>
      <c r="CF150" s="3">
        <f>CE150</f>
        <v>3478</v>
      </c>
      <c r="CG150" s="3">
        <f>CF150</f>
        <v>3478</v>
      </c>
      <c r="CH150" s="3">
        <f>CG150</f>
        <v>3478</v>
      </c>
      <c r="CI150" s="3">
        <f>CH150</f>
        <v>3478</v>
      </c>
      <c r="CJ150" s="3">
        <f>CI150</f>
        <v>3478</v>
      </c>
      <c r="CK150" s="3">
        <f>CJ150</f>
        <v>3478</v>
      </c>
      <c r="CL150" s="3">
        <f>CK150</f>
        <v>3478</v>
      </c>
      <c r="CM150" s="3">
        <f>CL150</f>
        <v>3478</v>
      </c>
      <c r="CN150" s="3">
        <f>CM150</f>
        <v>3478</v>
      </c>
      <c r="CO150" s="3">
        <f>CN150</f>
        <v>3478</v>
      </c>
      <c r="CP150" s="3">
        <f>CO150</f>
        <v>3478</v>
      </c>
      <c r="CQ150" s="3">
        <f>CP150</f>
        <v>3478</v>
      </c>
      <c r="CR150" s="3">
        <f>CQ150</f>
        <v>3478</v>
      </c>
      <c r="CS150" s="3">
        <f>CR150</f>
        <v>3478</v>
      </c>
      <c r="CT150" s="3">
        <f>CS150</f>
        <v>3478</v>
      </c>
      <c r="CU150" s="3">
        <f>CT150</f>
        <v>3478</v>
      </c>
      <c r="CV150" s="3">
        <f>CU150</f>
        <v>3478</v>
      </c>
      <c r="CW150" s="3">
        <f>CV150</f>
        <v>3478</v>
      </c>
      <c r="CX150" s="3">
        <f>CW150</f>
        <v>3478</v>
      </c>
      <c r="CY150" s="3">
        <f>CX150</f>
        <v>3478</v>
      </c>
    </row>
    <row r="151" hidden="1" outlineLevel="1">
      <c r="C151" s="38" t="inlineStr">
        <is>
          <t>%(Var.)</t>
        </is>
      </c>
      <c r="D151" s="3" t="n"/>
      <c r="E151" s="47">
        <f>(E150-D150)/D150</f>
        <v>-0.240452503209243</v>
      </c>
      <c r="F151" s="47">
        <f>(F150-E150)/E150</f>
        <v>0.0120418295130453</v>
      </c>
      <c r="G151" s="47">
        <f>(G150-F150)/F150</f>
        <v>0.0997808161987268</v>
      </c>
      <c r="H151" s="3" t="n"/>
      <c r="I151" s="47">
        <f>(I150-H150)/H150</f>
        <v>0.0114833444054284</v>
      </c>
      <c r="J151" s="47">
        <f>(J150-I150)/I150</f>
        <v>0.00713079376993799</v>
      </c>
      <c r="K151" s="47">
        <f>(K150-J150)/J150</f>
        <v>0.03474939444755</v>
      </c>
      <c r="L151" s="47">
        <f>(L150-K150)/K150</f>
        <v>0.309444494462951</v>
      </c>
      <c r="M151" s="3" t="n"/>
      <c r="N151" s="47">
        <f>(N150-M150)/M150</f>
        <v>0.0198019801980199</v>
      </c>
      <c r="O151" s="47">
        <f>(O150-N150)/N150</f>
        <v>-0.118190399137001</v>
      </c>
      <c r="P151" s="47">
        <f>(P150-O150)/O150</f>
        <v>0.23059866962306</v>
      </c>
      <c r="Q151" s="47">
        <f>(Q150-P150)/P150</f>
        <v>1.8685927306617</v>
      </c>
      <c r="R151" s="3" t="n"/>
      <c r="S151" s="47">
        <f>(S150-R150)/R150</f>
        <v>0.0983539094650205</v>
      </c>
      <c r="T151" s="47">
        <f>(T150-S150)/S150</f>
        <v>0.220188913647927</v>
      </c>
      <c r="U151" s="47">
        <f>(U150-T150)/T150</f>
        <v>0.203128787756355</v>
      </c>
      <c r="V151" s="47">
        <f>(V150-U150)/U150</f>
        <v>-0.678263439271418</v>
      </c>
      <c r="W151" s="3" t="n"/>
      <c r="X151" s="47">
        <f>(X150-W150)/W150</f>
        <v>-0.0537324649298597</v>
      </c>
      <c r="Y151" s="47">
        <f>(Y150-X150)/X150</f>
        <v>-0.0322964923891464</v>
      </c>
      <c r="Z151" s="47">
        <f>(Z150-Y150)/Y150</f>
        <v>-0.137600875393243</v>
      </c>
      <c r="AA151" s="47">
        <f>(AA150-Z150)/Z150</f>
        <v>0.258842188739096</v>
      </c>
      <c r="AB151" s="3" t="n"/>
      <c r="AC151" s="47">
        <f>(AC150-AB150)/AB150</f>
        <v>-0.143673092268279</v>
      </c>
      <c r="AD151" s="47">
        <f>(AD150-AC150)/AC150</f>
        <v>0.522314860225601</v>
      </c>
      <c r="AE151" s="47">
        <f>(AE150-AD150)/AD150</f>
        <v>0.166655927835051</v>
      </c>
      <c r="AF151" s="218">
        <f>(AF150-AE150)/AE150</f>
        <v>-0.29804213956314</v>
      </c>
      <c r="AG151" s="3" t="n"/>
      <c r="AH151" s="3">
        <f>(AH150-AG150)/AG150</f>
        <v>0.16522423288749</v>
      </c>
      <c r="AI151" s="3">
        <f>(AI150-AH150)/AH150</f>
        <v>0.174206617150574</v>
      </c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  <c r="BZ151" s="3" t="n"/>
      <c r="CA151" s="3" t="n"/>
      <c r="CB151" s="3" t="n"/>
      <c r="CC151" s="3" t="n"/>
      <c r="CD151" s="3" t="n"/>
      <c r="CE151" s="3" t="n"/>
      <c r="CF151" s="3" t="n"/>
      <c r="CG151" s="3" t="n"/>
      <c r="CH151" s="3" t="n"/>
      <c r="CI151" s="3" t="n"/>
      <c r="CJ151" s="3" t="n"/>
      <c r="CK151" s="3" t="n"/>
      <c r="CL151" s="3" t="n"/>
      <c r="CM151" s="3" t="n"/>
      <c r="CN151" s="3" t="n"/>
      <c r="CO151" s="3" t="n"/>
      <c r="CP151" s="3" t="n"/>
      <c r="CQ151" s="3" t="n"/>
      <c r="CR151" s="3" t="n"/>
      <c r="CS151" s="3" t="n"/>
      <c r="CT151" s="3" t="n"/>
      <c r="CU151" s="3" t="n"/>
      <c r="CV151" s="3" t="n"/>
      <c r="CW151" s="3" t="n"/>
      <c r="CX151" s="3" t="n"/>
      <c r="CY151" s="3" t="n"/>
    </row>
    <row r="152" hidden="1" outlineLevel="1">
      <c r="C152" s="34" t="n"/>
      <c r="D152" s="3" t="n"/>
      <c r="E152" s="47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  <c r="BZ152" s="3" t="n"/>
      <c r="CA152" s="3" t="n"/>
      <c r="CB152" s="3" t="n"/>
      <c r="CC152" s="3" t="n"/>
      <c r="CD152" s="3" t="n"/>
      <c r="CE152" s="3" t="n"/>
      <c r="CF152" s="3" t="n"/>
      <c r="CG152" s="3" t="n"/>
      <c r="CH152" s="3" t="n"/>
      <c r="CI152" s="3" t="n"/>
      <c r="CJ152" s="3" t="n"/>
      <c r="CK152" s="3" t="n"/>
      <c r="CL152" s="3" t="n"/>
      <c r="CM152" s="3" t="n"/>
      <c r="CN152" s="3" t="n"/>
      <c r="CO152" s="3" t="n"/>
      <c r="CP152" s="3" t="n"/>
      <c r="CQ152" s="3" t="n"/>
      <c r="CR152" s="3" t="n"/>
      <c r="CS152" s="3" t="n"/>
      <c r="CT152" s="3" t="n"/>
      <c r="CU152" s="3" t="n"/>
      <c r="CV152" s="3" t="n"/>
      <c r="CW152" s="3" t="n"/>
      <c r="CX152" s="3" t="n"/>
      <c r="CY152" s="3" t="n"/>
    </row>
    <row r="153" hidden="1" outlineLevel="1">
      <c r="C153" s="52" t="inlineStr">
        <is>
          <t xml:space="preserve">Impostos e Contribuições a Recuperar </t>
        </is>
      </c>
      <c r="D153" s="6" t="n"/>
      <c r="E153" s="6" t="n"/>
      <c r="F153" s="6" t="n"/>
      <c r="G153" s="6" t="n"/>
      <c r="H153" s="3" t="n"/>
      <c r="I153" s="6" t="n"/>
      <c r="J153" s="6" t="n"/>
      <c r="K153" s="6" t="n"/>
      <c r="L153" s="6" t="n"/>
      <c r="M153" s="3" t="n"/>
      <c r="N153" s="6" t="n"/>
      <c r="O153" s="6" t="n"/>
      <c r="P153" s="6" t="n"/>
      <c r="Q153" s="6" t="n"/>
      <c r="R153" s="3" t="n"/>
      <c r="S153" s="6" t="n"/>
      <c r="T153" s="6" t="n"/>
      <c r="U153" s="6" t="n"/>
      <c r="V153" s="6" t="n"/>
      <c r="W153" s="3" t="n"/>
      <c r="X153" s="6" t="n"/>
      <c r="Y153" s="6" t="n"/>
      <c r="Z153" s="6" t="n"/>
      <c r="AA153" s="6" t="n"/>
      <c r="AB153" s="3" t="n"/>
      <c r="AC153" s="6" t="n"/>
      <c r="AD153" s="6" t="n"/>
      <c r="AE153" s="6" t="n"/>
      <c r="AF153" s="6" t="n"/>
      <c r="AG153" s="3">
        <f>AF153</f>
        <v>0</v>
      </c>
      <c r="AH153" s="216">
        <f>AG153*AH15/AG15</f>
        <v>0</v>
      </c>
      <c r="AI153" s="216">
        <f>AH153*AI15/AH15</f>
        <v>0</v>
      </c>
      <c r="AJ153" s="216">
        <f>AI153*AJ15/AI15</f>
        <v>0</v>
      </c>
      <c r="AK153" s="216">
        <f>AJ153*AK15/AJ15</f>
        <v>0</v>
      </c>
      <c r="AL153" s="3">
        <f>AK153</f>
        <v>0</v>
      </c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  <c r="BZ153" s="3" t="n"/>
      <c r="CA153" s="3" t="n"/>
      <c r="CB153" s="3" t="n"/>
      <c r="CC153" s="3" t="n"/>
      <c r="CD153" s="3" t="n"/>
      <c r="CE153" s="3" t="n"/>
      <c r="CF153" s="3" t="n"/>
      <c r="CG153" s="3" t="n"/>
      <c r="CH153" s="3" t="n"/>
      <c r="CI153" s="3" t="n"/>
      <c r="CJ153" s="3" t="n"/>
      <c r="CK153" s="3" t="n"/>
      <c r="CL153" s="3" t="n"/>
      <c r="CM153" s="3" t="n"/>
      <c r="CN153" s="3" t="n"/>
      <c r="CO153" s="3" t="n"/>
      <c r="CP153" s="3" t="n"/>
      <c r="CQ153" s="3" t="n"/>
      <c r="CR153" s="3" t="n"/>
      <c r="CS153" s="3" t="n"/>
      <c r="CT153" s="3" t="n"/>
      <c r="CU153" s="3" t="n"/>
      <c r="CV153" s="3" t="n"/>
      <c r="CW153" s="3" t="n"/>
      <c r="CX153" s="3" t="n"/>
      <c r="CY153" s="3" t="n"/>
    </row>
    <row r="154" hidden="1" outlineLevel="1">
      <c r="C154" s="52" t="inlineStr">
        <is>
          <t>Outros Créditos</t>
        </is>
      </c>
      <c r="D154" s="6" t="n"/>
      <c r="E154" s="6" t="n"/>
      <c r="F154" s="6" t="n"/>
      <c r="G154" s="6" t="n"/>
      <c r="H154" s="3" t="n"/>
      <c r="I154" s="6" t="n"/>
      <c r="J154" s="6" t="n"/>
      <c r="K154" s="6" t="n"/>
      <c r="L154" s="6" t="n"/>
      <c r="M154" s="3" t="n"/>
      <c r="N154" s="6" t="n"/>
      <c r="O154" s="6" t="n"/>
      <c r="P154" s="6" t="n"/>
      <c r="Q154" s="6" t="n"/>
      <c r="R154" s="3" t="n"/>
      <c r="S154" s="6" t="n"/>
      <c r="T154" s="6" t="n"/>
      <c r="U154" s="6" t="n"/>
      <c r="V154" s="6" t="n"/>
      <c r="W154" s="3" t="n"/>
      <c r="X154" s="6" t="n"/>
      <c r="Y154" s="6" t="n"/>
      <c r="Z154" s="6" t="n"/>
      <c r="AA154" s="6" t="n"/>
      <c r="AB154" s="3" t="n"/>
      <c r="AC154" s="6" t="n"/>
      <c r="AD154" s="6" t="n"/>
      <c r="AE154" s="6" t="n"/>
      <c r="AF154" s="6" t="n"/>
      <c r="AG154" s="3">
        <f>AF154</f>
        <v>0</v>
      </c>
      <c r="AH154" s="3">
        <f>AG154</f>
        <v>0</v>
      </c>
      <c r="AI154" s="3">
        <f>AH154</f>
        <v>0</v>
      </c>
      <c r="AJ154" s="3">
        <f>AI154</f>
        <v>0</v>
      </c>
      <c r="AK154" s="3">
        <f>AJ154</f>
        <v>0</v>
      </c>
      <c r="AL154" s="3">
        <f>AK154</f>
        <v>0</v>
      </c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  <c r="BZ154" s="3" t="n"/>
      <c r="CA154" s="3" t="n"/>
      <c r="CB154" s="3" t="n"/>
      <c r="CC154" s="3" t="n"/>
      <c r="CD154" s="3" t="n"/>
      <c r="CE154" s="3" t="n"/>
      <c r="CF154" s="3" t="n"/>
      <c r="CG154" s="3" t="n"/>
      <c r="CH154" s="3" t="n"/>
      <c r="CI154" s="3" t="n"/>
      <c r="CJ154" s="3" t="n"/>
      <c r="CK154" s="3" t="n"/>
      <c r="CL154" s="3" t="n"/>
      <c r="CM154" s="3" t="n"/>
      <c r="CN154" s="3" t="n"/>
      <c r="CO154" s="3" t="n"/>
      <c r="CP154" s="3" t="n"/>
      <c r="CQ154" s="3" t="n"/>
      <c r="CR154" s="3" t="n"/>
      <c r="CS154" s="3" t="n"/>
      <c r="CT154" s="3" t="n"/>
      <c r="CU154" s="3" t="n"/>
      <c r="CV154" s="3" t="n"/>
      <c r="CW154" s="3" t="n"/>
      <c r="CX154" s="3" t="n"/>
      <c r="CY154" s="3" t="n"/>
    </row>
    <row r="155" hidden="1" outlineLevel="1">
      <c r="C155" s="34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  <c r="BZ155" s="3" t="n"/>
      <c r="CA155" s="3" t="n"/>
      <c r="CB155" s="3" t="n"/>
      <c r="CC155" s="3" t="n"/>
      <c r="CD155" s="3" t="n"/>
      <c r="CE155" s="3" t="n"/>
      <c r="CF155" s="3" t="n"/>
      <c r="CG155" s="3" t="n"/>
      <c r="CH155" s="3" t="n"/>
      <c r="CI155" s="3" t="n"/>
      <c r="CJ155" s="3" t="n"/>
      <c r="CK155" s="3" t="n"/>
      <c r="CL155" s="3" t="n"/>
      <c r="CM155" s="3" t="n"/>
      <c r="CN155" s="3" t="n"/>
      <c r="CO155" s="3" t="n"/>
      <c r="CP155" s="3" t="n"/>
      <c r="CQ155" s="3" t="n"/>
      <c r="CR155" s="3" t="n"/>
      <c r="CS155" s="3" t="n"/>
      <c r="CT155" s="3" t="n"/>
      <c r="CU155" s="3" t="n"/>
      <c r="CV155" s="3" t="n"/>
      <c r="CW155" s="3" t="n"/>
      <c r="CX155" s="3" t="n"/>
      <c r="CY155" s="3" t="n"/>
    </row>
    <row r="156" collapsed="1">
      <c r="C156" s="26" t="inlineStr">
        <is>
          <t>Equity in affiliates</t>
        </is>
      </c>
      <c r="D156" s="25">
        <f>INDEX('Inputs (2)'!$D$21:$AL$21,MATCH(D$7,'Inputs (2)'!$D$2:$AL$2,0))</f>
        <v>0</v>
      </c>
      <c r="E156" s="25">
        <f>INDEX('Inputs (2)'!$D$21:$AL$21,MATCH(E$7,'Inputs (2)'!$D$2:$AL$2,0))</f>
        <v>0</v>
      </c>
      <c r="F156" s="25">
        <f>INDEX('Inputs (2)'!$D$21:$AL$21,MATCH(F$7,'Inputs (2)'!$D$2:$AL$2,0))</f>
        <v>0</v>
      </c>
      <c r="G156" s="25">
        <f>INDEX('Inputs (2)'!$D$21:$AL$21,MATCH(G$7,'Inputs (2)'!$D$2:$AL$2,0))</f>
        <v>0</v>
      </c>
      <c r="H156" s="3">
        <f>G156</f>
        <v>0</v>
      </c>
      <c r="I156" s="25">
        <f>INDEX('Inputs (2)'!$D$21:$AL$21,MATCH(I$7,'Inputs (2)'!$D$2:$AL$2,0))</f>
        <v>0</v>
      </c>
      <c r="J156" s="25">
        <f>INDEX('Inputs (2)'!$D$21:$AL$21,MATCH(J$7,'Inputs (2)'!$D$2:$AL$2,0))</f>
        <v>0</v>
      </c>
      <c r="K156" s="25">
        <f>INDEX('Inputs (2)'!$D$21:$AL$21,MATCH(K$7,'Inputs (2)'!$D$2:$AL$2,0))</f>
        <v>0</v>
      </c>
      <c r="L156" s="25">
        <f>INDEX('Inputs (2)'!$D$21:$AL$21,MATCH(L$7,'Inputs (2)'!$D$2:$AL$2,0))</f>
        <v>0</v>
      </c>
      <c r="M156" s="3">
        <f>L156</f>
        <v>0</v>
      </c>
      <c r="N156" s="25">
        <f>INDEX('Inputs (2)'!$D$21:$AL$21,MATCH(N$7,'Inputs (2)'!$D$2:$AL$2,0))</f>
        <v>0</v>
      </c>
      <c r="O156" s="25">
        <f>INDEX('Inputs (2)'!$D$21:$AL$21,MATCH(O$7,'Inputs (2)'!$D$2:$AL$2,0))</f>
        <v>0</v>
      </c>
      <c r="P156" s="25">
        <f>INDEX('Inputs (2)'!$D$21:$AL$21,MATCH(P$7,'Inputs (2)'!$D$2:$AL$2,0))</f>
        <v>0</v>
      </c>
      <c r="Q156" s="25">
        <f>INDEX('Inputs (2)'!$D$21:$AL$21,MATCH(Q$7,'Inputs (2)'!$D$2:$AL$2,0))</f>
        <v>0</v>
      </c>
      <c r="R156" s="3">
        <f>Q156</f>
        <v>0</v>
      </c>
      <c r="S156" s="25">
        <f>INDEX('Inputs (2)'!$D$21:$AL$21,MATCH(S$7,'Inputs (2)'!$D$2:$AL$2,0))</f>
        <v>0</v>
      </c>
      <c r="T156" s="25">
        <f>INDEX('Inputs (2)'!$D$21:$AL$21,MATCH(T$7,'Inputs (2)'!$D$2:$AL$2,0))</f>
        <v>0</v>
      </c>
      <c r="U156" s="25">
        <f>INDEX('Inputs (2)'!$D$21:$AL$21,MATCH(U$7,'Inputs (2)'!$D$2:$AL$2,0))</f>
        <v>0</v>
      </c>
      <c r="V156" s="25">
        <f>INDEX('Inputs (2)'!$D$21:$AL$21,MATCH(V$7,'Inputs (2)'!$D$2:$AL$2,0))</f>
        <v>0</v>
      </c>
      <c r="W156" s="3">
        <f>V156</f>
        <v>0</v>
      </c>
      <c r="X156" s="25">
        <f>INDEX('Inputs (2)'!$D$21:$AL$21,MATCH(X$7,'Inputs (2)'!$D$2:$AL$2,0))</f>
        <v>0</v>
      </c>
      <c r="Y156" s="25">
        <f>INDEX('Inputs (2)'!$D$21:$AL$21,MATCH(Y$7,'Inputs (2)'!$D$2:$AL$2,0))</f>
        <v>0</v>
      </c>
      <c r="Z156" s="25">
        <f>INDEX('Inputs (2)'!$D$21:$AL$21,MATCH(Z$7,'Inputs (2)'!$D$2:$AL$2,0))</f>
        <v>0</v>
      </c>
      <c r="AA156" s="25">
        <f>INDEX('Inputs (2)'!$D$21:$AL$21,MATCH(AA$7,'Inputs (2)'!$D$2:$AL$2,0))</f>
        <v>0</v>
      </c>
      <c r="AB156" s="3">
        <f>AA156</f>
        <v>0</v>
      </c>
      <c r="AC156" s="25">
        <f>INDEX('Inputs (2)'!$D$21:$AL$21,MATCH(AC$7,'Inputs (2)'!$D$2:$AL$2,0))</f>
        <v>0</v>
      </c>
      <c r="AD156" s="25">
        <f>INDEX('Inputs (2)'!$D$21:$AL$21,MATCH(AD$7,'Inputs (2)'!$D$2:$AL$2,0))</f>
        <v>0</v>
      </c>
      <c r="AE156" s="25">
        <f>INDEX('Inputs (2)'!$D$21:$AL$21,MATCH(AE$7,'Inputs (2)'!$D$2:$AL$2,0))</f>
        <v>0</v>
      </c>
      <c r="AF156" s="25">
        <f>INDEX('Inputs (2)'!$D$21:$AL$21,MATCH(AF$7,'Inputs (2)'!$D$2:$AL$2,0))</f>
        <v>0</v>
      </c>
      <c r="AG156" s="3">
        <f>AF156</f>
        <v>0</v>
      </c>
      <c r="AH156" s="3">
        <f>INDEX('Inputs (2)'!$D$21:$AL$21,MATCH(AH$7,'Inputs (2)'!$D$2:$AL$2,0))</f>
        <v>0</v>
      </c>
      <c r="AI156" s="3">
        <f>INDEX('Inputs (2)'!$D$21:$AL$21,MATCH(AI$7,'Inputs (2)'!$D$2:$AL$2,0))</f>
        <v>0</v>
      </c>
      <c r="AJ156" s="3">
        <f>AI156+AJ130+AJ159</f>
        <v>0</v>
      </c>
      <c r="AK156" s="3">
        <f>AJ156+AK130+AK159</f>
        <v>0</v>
      </c>
      <c r="AL156" s="3">
        <f>AK156</f>
        <v>0</v>
      </c>
      <c r="AM156" s="3">
        <f>AL156+AM130+AM159</f>
        <v>0</v>
      </c>
      <c r="AN156" s="3">
        <f>AM156+AN130+AN159</f>
        <v>0</v>
      </c>
      <c r="AO156" s="3">
        <f>AN156+AO130+AO159</f>
        <v>0</v>
      </c>
      <c r="AP156" s="3">
        <f>AO156+AP130+AP159</f>
        <v>0</v>
      </c>
      <c r="AQ156" s="3">
        <f>AP156</f>
        <v>0</v>
      </c>
      <c r="AR156" s="3">
        <f>AQ156+AR130+AR159</f>
        <v>0</v>
      </c>
      <c r="AS156" s="3">
        <f>AR156+AS130+AS159</f>
        <v>0</v>
      </c>
      <c r="AT156" s="3">
        <f>AS156+AT130+AT159</f>
        <v>0</v>
      </c>
      <c r="AU156" s="3">
        <f>AT156+AU130+AU159</f>
        <v>0</v>
      </c>
      <c r="AV156" s="3">
        <f>AU156</f>
        <v>0</v>
      </c>
      <c r="AW156" s="3">
        <f>AV156+AW130+AW159</f>
        <v>0</v>
      </c>
      <c r="AX156" s="3">
        <f>AW156+AX130+AX159</f>
        <v>0</v>
      </c>
      <c r="AY156" s="3">
        <f>AX156+AY130+AY159</f>
        <v>0</v>
      </c>
      <c r="AZ156" s="3">
        <f>AY156+AZ130+AZ159</f>
        <v>0</v>
      </c>
      <c r="BA156" s="3">
        <f>AZ156</f>
        <v>0</v>
      </c>
      <c r="BB156" s="3">
        <f>BA156+BB130+BB159</f>
        <v>0</v>
      </c>
      <c r="BC156" s="3">
        <f>BB156+BC130+BC159</f>
        <v>0</v>
      </c>
      <c r="BD156" s="3">
        <f>BC156+BD130+BD159</f>
        <v>0</v>
      </c>
      <c r="BE156" s="3">
        <f>BD156+BE130+BE159</f>
        <v>0</v>
      </c>
      <c r="BF156" s="3">
        <f>BE156</f>
        <v>0</v>
      </c>
      <c r="BG156" s="3">
        <f>BF156+BG130+BG159</f>
        <v>0</v>
      </c>
      <c r="BH156" s="3">
        <f>BG156+BH130+BH159</f>
        <v>0</v>
      </c>
      <c r="BI156" s="3">
        <f>BH156+BI130+BI159</f>
        <v>0</v>
      </c>
      <c r="BJ156" s="3">
        <f>BI156+BJ130+BJ159</f>
        <v>0</v>
      </c>
      <c r="BK156" s="3">
        <f>BJ156</f>
        <v>0</v>
      </c>
      <c r="BL156" s="3">
        <f>BK156+BL130+BL159</f>
        <v>0</v>
      </c>
      <c r="BM156" s="3">
        <f>BL156+BM130+BM159</f>
        <v>0</v>
      </c>
      <c r="BN156" s="3">
        <f>BM156+BN130+BN159</f>
        <v>0</v>
      </c>
      <c r="BO156" s="3">
        <f>BN156+BO130+BO159</f>
        <v>0</v>
      </c>
      <c r="BP156" s="3">
        <f>BO156</f>
        <v>0</v>
      </c>
      <c r="BQ156" s="3">
        <f>BP156+BQ130+BQ159</f>
        <v>0</v>
      </c>
      <c r="BR156" s="3">
        <f>BQ156+BR130+BR159</f>
        <v>0</v>
      </c>
      <c r="BS156" s="3">
        <f>BR156+BS130+BS159</f>
        <v>0</v>
      </c>
      <c r="BT156" s="3">
        <f>BS156+BT130+BT159</f>
        <v>0</v>
      </c>
      <c r="BU156" s="3">
        <f>BT156</f>
        <v>0</v>
      </c>
      <c r="BV156" s="3">
        <f>BU156+BV130+BV159</f>
        <v>0</v>
      </c>
      <c r="BW156" s="3">
        <f>BV156+BW130+BW159</f>
        <v>0</v>
      </c>
      <c r="BX156" s="3">
        <f>BW156+BX130+BX159</f>
        <v>0</v>
      </c>
      <c r="BY156" s="3">
        <f>BX156+BY130+BY159</f>
        <v>0</v>
      </c>
      <c r="BZ156" s="3">
        <f>BY156</f>
        <v>0</v>
      </c>
      <c r="CA156" s="3">
        <f>BZ156+CA130+CA159</f>
        <v>0</v>
      </c>
      <c r="CB156" s="3">
        <f>CA156+CB130+CB159</f>
        <v>0</v>
      </c>
      <c r="CC156" s="3">
        <f>CB156+CC130+CC159</f>
        <v>0</v>
      </c>
      <c r="CD156" s="3">
        <f>CC156+CD130+CD159</f>
        <v>0</v>
      </c>
      <c r="CE156" s="3">
        <f>CD156</f>
        <v>0</v>
      </c>
      <c r="CF156" s="3">
        <f>CE156+CF130+CF159</f>
        <v>0</v>
      </c>
      <c r="CG156" s="3">
        <f>CF156+CG130+CG159</f>
        <v>0</v>
      </c>
      <c r="CH156" s="3">
        <f>CG156+CH130+CH159</f>
        <v>0</v>
      </c>
      <c r="CI156" s="3">
        <f>CH156+CI130+CI159</f>
        <v>0</v>
      </c>
      <c r="CJ156" s="3">
        <f>CI156</f>
        <v>0</v>
      </c>
      <c r="CK156" s="3">
        <f>CJ156+CK130+CK159</f>
        <v>0</v>
      </c>
      <c r="CL156" s="3">
        <f>CK156+CL130+CL159</f>
        <v>0</v>
      </c>
      <c r="CM156" s="3">
        <f>CL156+CM130+CM159</f>
        <v>0</v>
      </c>
      <c r="CN156" s="3">
        <f>CM156+CN130+CN159</f>
        <v>0</v>
      </c>
      <c r="CO156" s="3">
        <f>CN156</f>
        <v>0</v>
      </c>
      <c r="CP156" s="3">
        <f>CO156+CP130+CP159</f>
        <v>0</v>
      </c>
      <c r="CQ156" s="3">
        <f>CP156+CQ130+CQ159</f>
        <v>0</v>
      </c>
      <c r="CR156" s="3">
        <f>CQ156+CR130+CR159</f>
        <v>0</v>
      </c>
      <c r="CS156" s="3">
        <f>CR156+CS130+CS159</f>
        <v>0</v>
      </c>
      <c r="CT156" s="3">
        <f>CS156</f>
        <v>0</v>
      </c>
      <c r="CU156" s="3">
        <f>CT156+CU130+CU159</f>
        <v>0</v>
      </c>
      <c r="CV156" s="3">
        <f>CU156+CV130+CV159</f>
        <v>0</v>
      </c>
      <c r="CW156" s="3">
        <f>CV156+CW130+CW159</f>
        <v>0</v>
      </c>
      <c r="CX156" s="3">
        <f>CW156+CX130+CX159</f>
        <v>0</v>
      </c>
      <c r="CY156" s="3">
        <f>CX156</f>
        <v>0</v>
      </c>
    </row>
    <row r="157" hidden="1" outlineLevel="1">
      <c r="C157" s="34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3" t="n"/>
      <c r="BA157" s="3" t="n"/>
      <c r="BB157" s="3" t="n"/>
      <c r="BC157" s="3" t="n"/>
      <c r="BD157" s="3" t="n"/>
      <c r="BE157" s="3" t="n"/>
      <c r="BF157" s="3" t="n"/>
      <c r="BG157" s="3" t="n"/>
      <c r="BH157" s="3" t="n"/>
      <c r="BI157" s="3" t="n"/>
      <c r="BJ157" s="3" t="n"/>
      <c r="BK157" s="3" t="n"/>
      <c r="BL157" s="3" t="n"/>
      <c r="BM157" s="3" t="n"/>
      <c r="BN157" s="3" t="n"/>
      <c r="BO157" s="3" t="n"/>
      <c r="BP157" s="3" t="n"/>
      <c r="BQ157" s="3" t="n"/>
      <c r="BR157" s="3" t="n"/>
      <c r="BS157" s="3" t="n"/>
      <c r="BT157" s="3" t="n"/>
      <c r="BU157" s="3" t="n"/>
      <c r="BV157" s="3" t="n"/>
      <c r="BW157" s="3" t="n"/>
      <c r="BX157" s="3" t="n"/>
      <c r="BY157" s="3" t="n"/>
      <c r="BZ157" s="3" t="n"/>
      <c r="CA157" s="3" t="n"/>
      <c r="CB157" s="3" t="n"/>
      <c r="CC157" s="3" t="n"/>
      <c r="CD157" s="3" t="n"/>
      <c r="CE157" s="3" t="n"/>
      <c r="CF157" s="3" t="n"/>
      <c r="CG157" s="3" t="n"/>
      <c r="CH157" s="3" t="n"/>
      <c r="CI157" s="3" t="n"/>
      <c r="CJ157" s="3" t="n"/>
      <c r="CK157" s="3" t="n"/>
      <c r="CL157" s="3" t="n"/>
      <c r="CM157" s="3" t="n"/>
      <c r="CN157" s="3" t="n"/>
      <c r="CO157" s="3" t="n"/>
      <c r="CP157" s="3" t="n"/>
      <c r="CQ157" s="3" t="n"/>
      <c r="CR157" s="3" t="n"/>
      <c r="CS157" s="3" t="n"/>
      <c r="CT157" s="3" t="n"/>
      <c r="CU157" s="3" t="n"/>
      <c r="CV157" s="3" t="n"/>
      <c r="CW157" s="3" t="n"/>
      <c r="CX157" s="3" t="n"/>
      <c r="CY157" s="3" t="n"/>
    </row>
    <row r="158" hidden="1" outlineLevel="1">
      <c r="C158" s="34" t="inlineStr">
        <is>
          <t>Equity in Income - % YoY</t>
        </is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>
        <f>IF(I130=0,0,N130/I130-1)</f>
        <v>0</v>
      </c>
      <c r="O158" s="3">
        <f>IF(J130=0,0,O130/J130-1)</f>
        <v>0</v>
      </c>
      <c r="P158" s="3">
        <f>IF(K130=0,0,P130/K130-1)</f>
        <v>0</v>
      </c>
      <c r="Q158" s="3">
        <f>IF(L130=0,0,Q130/L130-1)</f>
        <v>0</v>
      </c>
      <c r="R158" s="3" t="n"/>
      <c r="S158" s="3">
        <f>IF(N130=0,0,S130/N130-1)</f>
        <v>0</v>
      </c>
      <c r="T158" s="3">
        <f>IF(O130=0,0,T130/O130-1)</f>
        <v>0</v>
      </c>
      <c r="U158" s="3">
        <f>IF(P130=0,0,U130/P130-1)</f>
        <v>0</v>
      </c>
      <c r="V158" s="3">
        <f>IF(Q130=0,0,V130/Q130-1)</f>
        <v>0</v>
      </c>
      <c r="W158" s="3" t="n"/>
      <c r="X158" s="3">
        <f>IF(S130=0,0,X130/S130-1)</f>
        <v>0</v>
      </c>
      <c r="Y158" s="3">
        <f>IF(T130=0,0,Y130/T130-1)</f>
        <v>0</v>
      </c>
      <c r="Z158" s="3">
        <f>IF(U130=0,0,Z130/U130-1)</f>
        <v>0</v>
      </c>
      <c r="AA158" s="3">
        <f>IF(V130=0,0,AA130/V130-1)</f>
        <v>0</v>
      </c>
      <c r="AB158" s="3" t="n"/>
      <c r="AC158" s="3">
        <f>IF(X130=0,0,AC130/X130-1)</f>
        <v>0</v>
      </c>
      <c r="AD158" s="3">
        <f>IF(Y130=0,0,AD130/Y130-1)</f>
        <v>0</v>
      </c>
      <c r="AE158" s="3">
        <f>IF(Z130=0,0,AE130/Z130-1)</f>
        <v>0</v>
      </c>
      <c r="AF158" s="3">
        <f>IF(AA130=0,0,AF130/AA130-1)</f>
        <v>0</v>
      </c>
      <c r="AG158" s="3" t="n"/>
      <c r="AH158" s="6">
        <f>IF(AC130=0,0,AH130/AC130-1)</f>
        <v>0</v>
      </c>
      <c r="AI158" s="6">
        <f>IF(AD130=0,0,AI130/AD130-1)</f>
        <v>0</v>
      </c>
      <c r="AJ158" s="6" t="n"/>
      <c r="AK158" s="6" t="n"/>
      <c r="AL158" s="3" t="n"/>
      <c r="AM158" s="6" t="n"/>
      <c r="AN158" s="6" t="n"/>
      <c r="AO158" s="6" t="n"/>
      <c r="AP158" s="6" t="n"/>
      <c r="AQ158" s="3" t="n"/>
      <c r="AR158" s="6" t="n"/>
      <c r="AS158" s="6" t="n"/>
      <c r="AT158" s="6" t="n"/>
      <c r="AU158" s="6" t="n"/>
      <c r="AV158" s="3" t="n"/>
      <c r="AW158" s="6" t="n"/>
      <c r="AX158" s="6" t="n"/>
      <c r="AY158" s="6" t="n"/>
      <c r="AZ158" s="6" t="n"/>
      <c r="BA158" s="3" t="n"/>
      <c r="BB158" s="6" t="n"/>
      <c r="BC158" s="6" t="n"/>
      <c r="BD158" s="6" t="n"/>
      <c r="BE158" s="6" t="n"/>
      <c r="BF158" s="3" t="n"/>
      <c r="BG158" s="6" t="n"/>
      <c r="BH158" s="6" t="n"/>
      <c r="BI158" s="6" t="n"/>
      <c r="BJ158" s="6" t="n"/>
      <c r="BK158" s="3" t="n"/>
      <c r="BL158" s="6" t="n"/>
      <c r="BM158" s="6" t="n"/>
      <c r="BN158" s="6" t="n"/>
      <c r="BO158" s="6" t="n"/>
      <c r="BP158" s="3" t="n"/>
      <c r="BQ158" s="6" t="n"/>
      <c r="BR158" s="6" t="n"/>
      <c r="BS158" s="6" t="n"/>
      <c r="BT158" s="6" t="n"/>
      <c r="BU158" s="3" t="n"/>
      <c r="BV158" s="6" t="n"/>
      <c r="BW158" s="6" t="n"/>
      <c r="BX158" s="6" t="n"/>
      <c r="BY158" s="6" t="n"/>
      <c r="BZ158" s="3" t="n"/>
      <c r="CA158" s="6" t="n"/>
      <c r="CB158" s="6" t="n"/>
      <c r="CC158" s="6" t="n"/>
      <c r="CD158" s="6" t="n"/>
      <c r="CE158" s="3" t="n"/>
      <c r="CF158" s="6" t="n"/>
      <c r="CG158" s="6" t="n"/>
      <c r="CH158" s="6" t="n"/>
      <c r="CI158" s="6" t="n"/>
      <c r="CJ158" s="3" t="n"/>
      <c r="CK158" s="6" t="n"/>
      <c r="CL158" s="6" t="n"/>
      <c r="CM158" s="6" t="n"/>
      <c r="CN158" s="6" t="n"/>
      <c r="CO158" s="3" t="n"/>
      <c r="CP158" s="6" t="n"/>
      <c r="CQ158" s="6" t="n"/>
      <c r="CR158" s="6" t="n"/>
      <c r="CS158" s="6" t="n"/>
      <c r="CT158" s="3" t="n"/>
      <c r="CU158" s="6" t="n"/>
      <c r="CV158" s="6" t="n"/>
      <c r="CW158" s="6" t="n"/>
      <c r="CX158" s="6" t="n"/>
      <c r="CY158" s="3" t="n"/>
    </row>
    <row r="159" hidden="1" outlineLevel="1">
      <c r="C159" s="34" t="inlineStr">
        <is>
          <t>Dividends (enter as -)</t>
        </is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6" t="n"/>
      <c r="AI159" s="6" t="n"/>
      <c r="AJ159" s="6" t="n"/>
      <c r="AK159" s="6" t="n"/>
      <c r="AL159" s="3" t="n"/>
      <c r="AM159" s="6" t="n"/>
      <c r="AN159" s="6" t="n"/>
      <c r="AO159" s="6" t="n"/>
      <c r="AP159" s="6" t="n"/>
      <c r="AQ159" s="3" t="n"/>
      <c r="AR159" s="6" t="n"/>
      <c r="AS159" s="6" t="n"/>
      <c r="AT159" s="6" t="n"/>
      <c r="AU159" s="6" t="n"/>
      <c r="AV159" s="3" t="n"/>
      <c r="AW159" s="6" t="n"/>
      <c r="AX159" s="6" t="n"/>
      <c r="AY159" s="6" t="n"/>
      <c r="AZ159" s="6" t="n"/>
      <c r="BA159" s="3" t="n"/>
      <c r="BB159" s="6" t="n"/>
      <c r="BC159" s="6" t="n"/>
      <c r="BD159" s="6" t="n"/>
      <c r="BE159" s="6" t="n"/>
      <c r="BF159" s="3" t="n"/>
      <c r="BG159" s="6" t="n"/>
      <c r="BH159" s="6" t="n"/>
      <c r="BI159" s="6" t="n"/>
      <c r="BJ159" s="6" t="n"/>
      <c r="BK159" s="3" t="n"/>
      <c r="BL159" s="6" t="n"/>
      <c r="BM159" s="6" t="n"/>
      <c r="BN159" s="6" t="n"/>
      <c r="BO159" s="6" t="n"/>
      <c r="BP159" s="3" t="n"/>
      <c r="BQ159" s="6" t="n"/>
      <c r="BR159" s="6" t="n"/>
      <c r="BS159" s="6" t="n"/>
      <c r="BT159" s="6" t="n"/>
      <c r="BU159" s="3" t="n"/>
      <c r="BV159" s="6" t="n"/>
      <c r="BW159" s="6" t="n"/>
      <c r="BX159" s="6" t="n"/>
      <c r="BY159" s="6" t="n"/>
      <c r="BZ159" s="3" t="n"/>
      <c r="CA159" s="6" t="n"/>
      <c r="CB159" s="6" t="n"/>
      <c r="CC159" s="6" t="n"/>
      <c r="CD159" s="6" t="n"/>
      <c r="CE159" s="3" t="n"/>
      <c r="CF159" s="6" t="n"/>
      <c r="CG159" s="6" t="n"/>
      <c r="CH159" s="6" t="n"/>
      <c r="CI159" s="6" t="n"/>
      <c r="CJ159" s="3" t="n"/>
      <c r="CK159" s="6" t="n"/>
      <c r="CL159" s="6" t="n"/>
      <c r="CM159" s="6" t="n"/>
      <c r="CN159" s="6" t="n"/>
      <c r="CO159" s="3" t="n"/>
      <c r="CP159" s="6" t="n"/>
      <c r="CQ159" s="6" t="n"/>
      <c r="CR159" s="6" t="n"/>
      <c r="CS159" s="6" t="n"/>
      <c r="CT159" s="3" t="n"/>
      <c r="CU159" s="6" t="n"/>
      <c r="CV159" s="6" t="n"/>
      <c r="CW159" s="6" t="n"/>
      <c r="CX159" s="6" t="n"/>
      <c r="CY159" s="3" t="n"/>
    </row>
    <row r="160" hidden="1" outlineLevel="1">
      <c r="C160" s="34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  <c r="BZ160" s="3" t="n"/>
      <c r="CA160" s="3" t="n"/>
      <c r="CB160" s="3" t="n"/>
      <c r="CC160" s="3" t="n"/>
      <c r="CD160" s="3" t="n"/>
      <c r="CE160" s="3" t="n"/>
      <c r="CF160" s="3" t="n"/>
      <c r="CG160" s="3" t="n"/>
      <c r="CH160" s="3" t="n"/>
      <c r="CI160" s="3" t="n"/>
      <c r="CJ160" s="3" t="n"/>
      <c r="CK160" s="3" t="n"/>
      <c r="CL160" s="3" t="n"/>
      <c r="CM160" s="3" t="n"/>
      <c r="CN160" s="3" t="n"/>
      <c r="CO160" s="3" t="n"/>
      <c r="CP160" s="3" t="n"/>
      <c r="CQ160" s="3" t="n"/>
      <c r="CR160" s="3" t="n"/>
      <c r="CS160" s="3" t="n"/>
      <c r="CT160" s="3" t="n"/>
      <c r="CU160" s="3" t="n"/>
      <c r="CV160" s="3" t="n"/>
      <c r="CW160" s="3" t="n"/>
      <c r="CX160" s="3" t="n"/>
      <c r="CY160" s="3" t="n"/>
    </row>
    <row r="161" collapsed="1">
      <c r="C161" s="26" t="inlineStr">
        <is>
          <t>PP&amp;E</t>
        </is>
      </c>
      <c r="D161" s="25">
        <f>INDEX('Inputs (2)'!$D$22:$AL$22,MATCH(D$7,'Inputs (2)'!$D$2:$AL$2,0))</f>
        <v>7897.9</v>
      </c>
      <c r="E161" s="25">
        <f>INDEX('Inputs (2)'!$D$22:$AL$22,MATCH(E$7,'Inputs (2)'!$D$2:$AL$2,0))</f>
        <v>7981.1</v>
      </c>
      <c r="F161" s="25">
        <f>INDEX('Inputs (2)'!$D$22:$AL$22,MATCH(F$7,'Inputs (2)'!$D$2:$AL$2,0))</f>
        <v>8281.1</v>
      </c>
      <c r="G161" s="25">
        <f>INDEX('Inputs (2)'!$D$22:$AL$22,MATCH(G$7,'Inputs (2)'!$D$2:$AL$2,0))</f>
        <v>8681.9</v>
      </c>
      <c r="H161" s="3">
        <f>G161</f>
        <v>8681.9</v>
      </c>
      <c r="I161" s="25">
        <f>INDEX('Inputs (2)'!$D$22:$AL$22,MATCH(I$7,'Inputs (2)'!$D$2:$AL$2,0))</f>
        <v>8630.1</v>
      </c>
      <c r="J161" s="25">
        <f>INDEX('Inputs (2)'!$D$22:$AL$22,MATCH(J$7,'Inputs (2)'!$D$2:$AL$2,0))</f>
        <v>8855.5</v>
      </c>
      <c r="K161" s="25">
        <f>INDEX('Inputs (2)'!$D$22:$AL$22,MATCH(K$7,'Inputs (2)'!$D$2:$AL$2,0))</f>
        <v>8920.4</v>
      </c>
      <c r="L161" s="25">
        <f>INDEX('Inputs (2)'!$D$22:$AL$22,MATCH(L$7,'Inputs (2)'!$D$2:$AL$2,0))</f>
        <v>8985.1</v>
      </c>
      <c r="M161" s="3">
        <f>L161</f>
        <v>8985.1</v>
      </c>
      <c r="N161" s="25">
        <f>INDEX('Inputs (2)'!$D$22:$AL$22,MATCH(N$7,'Inputs (2)'!$D$2:$AL$2,0))</f>
        <v>9102.7</v>
      </c>
      <c r="O161" s="25">
        <f>INDEX('Inputs (2)'!$D$22:$AL$22,MATCH(O$7,'Inputs (2)'!$D$2:$AL$2,0))</f>
        <v>9128.2</v>
      </c>
      <c r="P161" s="25">
        <f>INDEX('Inputs (2)'!$D$22:$AL$22,MATCH(P$7,'Inputs (2)'!$D$2:$AL$2,0))</f>
        <v>9311.3</v>
      </c>
      <c r="Q161" s="25">
        <f>INDEX('Inputs (2)'!$D$22:$AL$22,MATCH(Q$7,'Inputs (2)'!$D$2:$AL$2,0))</f>
        <v>10144</v>
      </c>
      <c r="R161" s="3">
        <f>Q161</f>
        <v>10144</v>
      </c>
      <c r="S161" s="25">
        <f>INDEX('Inputs (2)'!$D$22:$AL$22,MATCH(S$7,'Inputs (2)'!$D$2:$AL$2,0))</f>
        <v>10546.2</v>
      </c>
      <c r="T161" s="25">
        <f>INDEX('Inputs (2)'!$D$22:$AL$22,MATCH(T$7,'Inputs (2)'!$D$2:$AL$2,0))</f>
        <v>11277.4</v>
      </c>
      <c r="U161" s="25">
        <f>INDEX('Inputs (2)'!$D$22:$AL$22,MATCH(U$7,'Inputs (2)'!$D$2:$AL$2,0))</f>
        <v>11863.2</v>
      </c>
      <c r="V161" s="25">
        <f>INDEX('Inputs (2)'!$D$22:$AL$22,MATCH(V$7,'Inputs (2)'!$D$2:$AL$2,0))</f>
        <v>12913.6</v>
      </c>
      <c r="W161" s="3">
        <f>V161</f>
        <v>12913.6</v>
      </c>
      <c r="X161" s="25">
        <f>INDEX('Inputs (2)'!$D$22:$AL$22,MATCH(X$7,'Inputs (2)'!$D$2:$AL$2,0))</f>
        <v>13624</v>
      </c>
      <c r="Y161" s="25">
        <f>INDEX('Inputs (2)'!$D$22:$AL$22,MATCH(Y$7,'Inputs (2)'!$D$2:$AL$2,0))</f>
        <v>14829.4</v>
      </c>
      <c r="Z161" s="25">
        <f>INDEX('Inputs (2)'!$D$22:$AL$22,MATCH(Z$7,'Inputs (2)'!$D$2:$AL$2,0))</f>
        <v>16171.8</v>
      </c>
      <c r="AA161" s="25">
        <f>INDEX('Inputs (2)'!$D$22:$AL$22,MATCH(AA$7,'Inputs (2)'!$D$2:$AL$2,0))</f>
        <v>17102.4</v>
      </c>
      <c r="AB161" s="3">
        <f>AA161</f>
        <v>17102.4</v>
      </c>
      <c r="AC161" s="25">
        <f>INDEX('Inputs (2)'!$D$22:$AL$22,MATCH(AC$7,'Inputs (2)'!$D$2:$AL$2,0))</f>
        <v>18474.1</v>
      </c>
      <c r="AD161" s="25">
        <f>INDEX('Inputs (2)'!$D$22:$AL$22,MATCH(AD$7,'Inputs (2)'!$D$2:$AL$2,0))</f>
        <v>20529.7</v>
      </c>
      <c r="AE161" s="25">
        <f>INDEX('Inputs (2)'!$D$22:$AL$22,MATCH(AE$7,'Inputs (2)'!$D$2:$AL$2,0))</f>
        <v>22316</v>
      </c>
      <c r="AF161" s="25">
        <f>INDEX('Inputs (2)'!$D$22:$AL$22,MATCH(AF$7,'Inputs (2)'!$D$2:$AL$2,0))</f>
        <v>24675</v>
      </c>
      <c r="AG161" s="3">
        <f>AF161</f>
        <v>24675</v>
      </c>
      <c r="AH161" s="3">
        <f>INDEX('Inputs (2)'!$D$22:$AL$22,MATCH(AH$7,'Inputs (2)'!$D$2:$AL$2,0))</f>
        <v>26540</v>
      </c>
      <c r="AI161" s="3">
        <f>INDEX('Inputs (2)'!$D$22:$AL$22,MATCH(AI$7,'Inputs (2)'!$D$2:$AL$2,0))</f>
        <v>29286</v>
      </c>
      <c r="AJ161" s="3">
        <f>AJ166</f>
        <v>29286</v>
      </c>
      <c r="AK161" s="3">
        <f>AK166</f>
        <v>29286</v>
      </c>
      <c r="AL161" s="3">
        <f>AK161</f>
        <v>29286</v>
      </c>
      <c r="AM161" s="3">
        <f>AM166</f>
        <v>29286</v>
      </c>
      <c r="AN161" s="3">
        <f>AN166</f>
        <v>29286</v>
      </c>
      <c r="AO161" s="3">
        <f>AO166</f>
        <v>29286</v>
      </c>
      <c r="AP161" s="3">
        <f>AP166</f>
        <v>29286</v>
      </c>
      <c r="AQ161" s="3">
        <f>AP161</f>
        <v>29286</v>
      </c>
      <c r="AR161" s="3">
        <f>AR166</f>
        <v>29286</v>
      </c>
      <c r="AS161" s="3">
        <f>AS166</f>
        <v>29286</v>
      </c>
      <c r="AT161" s="3">
        <f>AT166</f>
        <v>29286</v>
      </c>
      <c r="AU161" s="3">
        <f>AU166</f>
        <v>29286</v>
      </c>
      <c r="AV161" s="3">
        <f>AU161</f>
        <v>29286</v>
      </c>
      <c r="AW161" s="3">
        <f>AW166</f>
        <v>29286</v>
      </c>
      <c r="AX161" s="3">
        <f>AX166</f>
        <v>29286</v>
      </c>
      <c r="AY161" s="3">
        <f>AY166</f>
        <v>29286</v>
      </c>
      <c r="AZ161" s="3">
        <f>AZ166</f>
        <v>29286</v>
      </c>
      <c r="BA161" s="3">
        <f>AZ161</f>
        <v>29286</v>
      </c>
      <c r="BB161" s="3">
        <f>BB166</f>
        <v>29286</v>
      </c>
      <c r="BC161" s="3">
        <f>BC166</f>
        <v>29286</v>
      </c>
      <c r="BD161" s="3">
        <f>BD166</f>
        <v>29286</v>
      </c>
      <c r="BE161" s="3">
        <f>BE166</f>
        <v>29286</v>
      </c>
      <c r="BF161" s="3">
        <f>BE161</f>
        <v>29286</v>
      </c>
      <c r="BG161" s="3">
        <f>BG166</f>
        <v>29286</v>
      </c>
      <c r="BH161" s="3">
        <f>BH166</f>
        <v>29286</v>
      </c>
      <c r="BI161" s="3">
        <f>BI166</f>
        <v>29286</v>
      </c>
      <c r="BJ161" s="3">
        <f>BJ166</f>
        <v>29286</v>
      </c>
      <c r="BK161" s="3">
        <f>BJ161</f>
        <v>29286</v>
      </c>
      <c r="BL161" s="3">
        <f>BL166</f>
        <v>29286</v>
      </c>
      <c r="BM161" s="3">
        <f>BM166</f>
        <v>29286</v>
      </c>
      <c r="BN161" s="3">
        <f>BN166</f>
        <v>29286</v>
      </c>
      <c r="BO161" s="3">
        <f>BO166</f>
        <v>29286</v>
      </c>
      <c r="BP161" s="3">
        <f>BO161</f>
        <v>29286</v>
      </c>
      <c r="BQ161" s="3">
        <f>BQ166</f>
        <v>29286</v>
      </c>
      <c r="BR161" s="3">
        <f>BR166</f>
        <v>29286</v>
      </c>
      <c r="BS161" s="3">
        <f>BS166</f>
        <v>29286</v>
      </c>
      <c r="BT161" s="3">
        <f>BT166</f>
        <v>29286</v>
      </c>
      <c r="BU161" s="3">
        <f>BT161</f>
        <v>29286</v>
      </c>
      <c r="BV161" s="3">
        <f>BV166</f>
        <v>29286</v>
      </c>
      <c r="BW161" s="3">
        <f>BW166</f>
        <v>29286</v>
      </c>
      <c r="BX161" s="3">
        <f>BX166</f>
        <v>29286</v>
      </c>
      <c r="BY161" s="3">
        <f>BY166</f>
        <v>29286</v>
      </c>
      <c r="BZ161" s="3">
        <f>BY161</f>
        <v>29286</v>
      </c>
      <c r="CA161" s="3">
        <f>CA166</f>
        <v>29286</v>
      </c>
      <c r="CB161" s="3">
        <f>CB166</f>
        <v>29286</v>
      </c>
      <c r="CC161" s="3">
        <f>CC166</f>
        <v>29286</v>
      </c>
      <c r="CD161" s="3">
        <f>CD166</f>
        <v>29286</v>
      </c>
      <c r="CE161" s="3">
        <f>CD161</f>
        <v>29286</v>
      </c>
      <c r="CF161" s="3">
        <f>CF166</f>
        <v>29286</v>
      </c>
      <c r="CG161" s="3">
        <f>CG166</f>
        <v>29286</v>
      </c>
      <c r="CH161" s="3">
        <f>CH166</f>
        <v>29286</v>
      </c>
      <c r="CI161" s="3">
        <f>CI166</f>
        <v>29286</v>
      </c>
      <c r="CJ161" s="3">
        <f>CI161</f>
        <v>29286</v>
      </c>
      <c r="CK161" s="3">
        <f>CK166</f>
        <v>29286</v>
      </c>
      <c r="CL161" s="3">
        <f>CL166</f>
        <v>29286</v>
      </c>
      <c r="CM161" s="3">
        <f>CM166</f>
        <v>29286</v>
      </c>
      <c r="CN161" s="3">
        <f>CN166</f>
        <v>29286</v>
      </c>
      <c r="CO161" s="3">
        <f>CN161</f>
        <v>29286</v>
      </c>
      <c r="CP161" s="3">
        <f>CP166</f>
        <v>29286</v>
      </c>
      <c r="CQ161" s="3">
        <f>CQ166</f>
        <v>29286</v>
      </c>
      <c r="CR161" s="3">
        <f>CR166</f>
        <v>29286</v>
      </c>
      <c r="CS161" s="3">
        <f>CS166</f>
        <v>29286</v>
      </c>
      <c r="CT161" s="3">
        <f>CS161</f>
        <v>29286</v>
      </c>
      <c r="CU161" s="3">
        <f>CU166</f>
        <v>29286</v>
      </c>
      <c r="CV161" s="3">
        <f>CV166</f>
        <v>29286</v>
      </c>
      <c r="CW161" s="3">
        <f>CW166</f>
        <v>29286</v>
      </c>
      <c r="CX161" s="3">
        <f>CX166</f>
        <v>29286</v>
      </c>
      <c r="CY161" s="3">
        <f>CX161</f>
        <v>29286</v>
      </c>
    </row>
    <row r="162" hidden="1" outlineLevel="1">
      <c r="C162" s="34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  <c r="BZ162" s="3" t="n"/>
      <c r="CA162" s="3" t="n"/>
      <c r="CB162" s="3" t="n"/>
      <c r="CC162" s="3" t="n"/>
      <c r="CD162" s="3" t="n"/>
      <c r="CE162" s="3" t="n"/>
      <c r="CF162" s="3" t="n"/>
      <c r="CG162" s="3" t="n"/>
      <c r="CH162" s="3" t="n"/>
      <c r="CI162" s="3" t="n"/>
      <c r="CJ162" s="3" t="n"/>
      <c r="CK162" s="3" t="n"/>
      <c r="CL162" s="3" t="n"/>
      <c r="CM162" s="3" t="n"/>
      <c r="CN162" s="3" t="n"/>
      <c r="CO162" s="3" t="n"/>
      <c r="CP162" s="3" t="n"/>
      <c r="CQ162" s="3" t="n"/>
      <c r="CR162" s="3" t="n"/>
      <c r="CS162" s="3" t="n"/>
      <c r="CT162" s="3" t="n"/>
      <c r="CU162" s="3" t="n"/>
      <c r="CV162" s="3" t="n"/>
      <c r="CW162" s="3" t="n"/>
      <c r="CX162" s="3" t="n"/>
      <c r="CY162" s="3" t="n"/>
    </row>
    <row r="163" hidden="1" outlineLevel="1">
      <c r="C163" s="34" t="inlineStr">
        <is>
          <t>Capital expenditures</t>
        </is>
      </c>
      <c r="D163" s="3" t="n"/>
      <c r="E163" s="3">
        <f>E161-D161-E65</f>
        <v>407.6</v>
      </c>
      <c r="F163" s="3">
        <f>F161-E161-F65</f>
        <v>658.400000000001</v>
      </c>
      <c r="G163" s="3">
        <f>G161-F161-G65</f>
        <v>768.299999999999</v>
      </c>
      <c r="H163" s="3" t="n"/>
      <c r="I163" s="3">
        <f>I161-H161-I65</f>
        <v>298.500000000001</v>
      </c>
      <c r="J163" s="3">
        <f>J161-I161-J65</f>
        <v>594.7</v>
      </c>
      <c r="K163" s="3">
        <f>K161-J161-K65</f>
        <v>447.2</v>
      </c>
      <c r="L163" s="3">
        <f>L161-K161-L65</f>
        <v>510.400000000001</v>
      </c>
      <c r="M163" s="3" t="n"/>
      <c r="N163" s="3">
        <f>N161-M161-N65</f>
        <v>553.299999999999</v>
      </c>
      <c r="O163" s="3">
        <f>O161-N161-O65</f>
        <v>374.4</v>
      </c>
      <c r="P163" s="3">
        <f>P161-O161-P65</f>
        <v>546</v>
      </c>
      <c r="Q163" s="3">
        <f>Q161-P161-Q65</f>
        <v>1207.7</v>
      </c>
      <c r="R163" s="3" t="n"/>
      <c r="S163" s="3">
        <f>S161-R161-S65</f>
        <v>764.499999999999</v>
      </c>
      <c r="T163" s="3">
        <f>T161-S161-T65</f>
        <v>1097.5</v>
      </c>
      <c r="U163" s="3">
        <f>U161-T161-U65</f>
        <v>996.799999999999</v>
      </c>
      <c r="V163" s="3">
        <f>V161-U161-V65</f>
        <v>1438.1</v>
      </c>
      <c r="W163" s="3" t="n"/>
      <c r="X163" s="3">
        <f>X161-W161-X65</f>
        <v>1111</v>
      </c>
      <c r="Y163" s="3">
        <f>Y161-X161-Y65</f>
        <v>1619.8</v>
      </c>
      <c r="Z163" s="3">
        <f>Z161-Y161-Z65</f>
        <v>1809.2</v>
      </c>
      <c r="AA163" s="3">
        <f>AA161-Z161-AA65</f>
        <v>1415.4</v>
      </c>
      <c r="AB163" s="3" t="n"/>
      <c r="AC163" s="3">
        <f>AC161-AB161-AC65</f>
        <v>1834.5</v>
      </c>
      <c r="AD163" s="3">
        <f>AD161-AC161-AD65</f>
        <v>2534.1</v>
      </c>
      <c r="AE163" s="3">
        <f>AE161-AD161-AE65</f>
        <v>2256.3</v>
      </c>
      <c r="AF163" s="6">
        <f>AF161-AE161-AF65</f>
        <v>2944.7</v>
      </c>
      <c r="AG163" s="3">
        <f>SUM(AC163:AF163)</f>
        <v>9569.6</v>
      </c>
      <c r="AH163" s="6">
        <f>AH161-AG161-AH65</f>
        <v>2374</v>
      </c>
      <c r="AI163" s="6">
        <f>AI161-AH161-AI65</f>
        <v>3280</v>
      </c>
      <c r="AJ163" s="6" t="n"/>
      <c r="AK163" s="6" t="n"/>
      <c r="AL163" s="3" t="n"/>
      <c r="AM163" s="6" t="n"/>
      <c r="AN163" s="6" t="n"/>
      <c r="AO163" s="6" t="n"/>
      <c r="AP163" s="6" t="n"/>
      <c r="AQ163" s="3" t="n"/>
      <c r="AR163" s="6" t="n"/>
      <c r="AS163" s="6" t="n"/>
      <c r="AT163" s="6" t="n"/>
      <c r="AU163" s="6" t="n"/>
      <c r="AV163" s="3" t="n"/>
      <c r="AW163" s="6" t="n"/>
      <c r="AX163" s="6" t="n"/>
      <c r="AY163" s="6" t="n"/>
      <c r="AZ163" s="6" t="n"/>
      <c r="BA163" s="3" t="n"/>
      <c r="BB163" s="6" t="n"/>
      <c r="BC163" s="6" t="n"/>
      <c r="BD163" s="6" t="n"/>
      <c r="BE163" s="6" t="n"/>
      <c r="BF163" s="3" t="n"/>
      <c r="BG163" s="6" t="n"/>
      <c r="BH163" s="6" t="n"/>
      <c r="BI163" s="6" t="n"/>
      <c r="BJ163" s="6" t="n"/>
      <c r="BK163" s="3" t="n"/>
      <c r="BL163" s="6" t="n"/>
      <c r="BM163" s="6" t="n"/>
      <c r="BN163" s="6" t="n"/>
      <c r="BO163" s="6" t="n"/>
      <c r="BP163" s="3" t="n"/>
      <c r="BQ163" s="6" t="n"/>
      <c r="BR163" s="6" t="n"/>
      <c r="BS163" s="6" t="n"/>
      <c r="BT163" s="6" t="n"/>
      <c r="BU163" s="3" t="n"/>
      <c r="BV163" s="6" t="n"/>
      <c r="BW163" s="6" t="n"/>
      <c r="BX163" s="6" t="n"/>
      <c r="BY163" s="6" t="n"/>
      <c r="BZ163" s="3" t="n"/>
      <c r="CA163" s="6" t="n"/>
      <c r="CB163" s="6" t="n"/>
      <c r="CC163" s="6" t="n"/>
      <c r="CD163" s="6" t="n"/>
      <c r="CE163" s="3" t="n"/>
      <c r="CF163" s="6" t="n"/>
      <c r="CG163" s="6" t="n"/>
      <c r="CH163" s="6" t="n"/>
      <c r="CI163" s="6" t="n"/>
      <c r="CJ163" s="3" t="n"/>
      <c r="CK163" s="6" t="n"/>
      <c r="CL163" s="6" t="n"/>
      <c r="CM163" s="6" t="n"/>
      <c r="CN163" s="6" t="n"/>
      <c r="CO163" s="3" t="n"/>
      <c r="CP163" s="6" t="n"/>
      <c r="CQ163" s="6" t="n"/>
      <c r="CR163" s="6" t="n"/>
      <c r="CS163" s="6" t="n"/>
      <c r="CT163" s="3" t="n"/>
      <c r="CU163" s="6" t="n"/>
      <c r="CV163" s="6" t="n"/>
      <c r="CW163" s="6" t="n"/>
      <c r="CX163" s="6" t="n"/>
      <c r="CY163" s="3" t="n"/>
    </row>
    <row r="164" hidden="1" outlineLevel="1">
      <c r="C164" s="34" t="inlineStr">
        <is>
          <t>Recurring asset sales (enter as -)</t>
        </is>
      </c>
      <c r="D164" s="3" t="n"/>
      <c r="E164" s="3" t="n"/>
      <c r="F164" s="3" t="n"/>
      <c r="G164" s="3" t="n"/>
      <c r="H164" s="3">
        <f>SUM(D164:G164)</f>
        <v>0</v>
      </c>
      <c r="I164" s="3" t="n"/>
      <c r="J164" s="3" t="n"/>
      <c r="K164" s="3" t="n"/>
      <c r="L164" s="3" t="n"/>
      <c r="M164" s="3">
        <f>SUM(I164:L164)</f>
        <v>0</v>
      </c>
      <c r="N164" s="3" t="n"/>
      <c r="O164" s="3" t="n"/>
      <c r="P164" s="3" t="n"/>
      <c r="Q164" s="3" t="n"/>
      <c r="R164" s="3">
        <f>SUM(N164:Q164)</f>
        <v>0</v>
      </c>
      <c r="S164" s="3" t="n"/>
      <c r="T164" s="3" t="n"/>
      <c r="U164" s="3" t="n"/>
      <c r="V164" s="3" t="n"/>
      <c r="W164" s="3">
        <f>SUM(S164:V164)</f>
        <v>0</v>
      </c>
      <c r="X164" s="3" t="n"/>
      <c r="Y164" s="3" t="n"/>
      <c r="Z164" s="3" t="n"/>
      <c r="AA164" s="3" t="n"/>
      <c r="AB164" s="3">
        <f>SUM(X164:AA164)</f>
        <v>0</v>
      </c>
      <c r="AC164" s="3" t="n"/>
      <c r="AD164" s="3" t="n"/>
      <c r="AE164" s="3" t="n"/>
      <c r="AF164" s="6" t="n"/>
      <c r="AG164" s="3" t="n"/>
      <c r="AH164" s="6" t="n"/>
      <c r="AI164" s="6" t="n"/>
      <c r="AJ164" s="6" t="n"/>
      <c r="AK164" s="6" t="n"/>
      <c r="AL164" s="3" t="n"/>
      <c r="AM164" s="6" t="n"/>
      <c r="AN164" s="6" t="n"/>
      <c r="AO164" s="6" t="n"/>
      <c r="AP164" s="6" t="n"/>
      <c r="AQ164" s="3" t="n"/>
      <c r="AR164" s="6" t="n"/>
      <c r="AS164" s="6" t="n"/>
      <c r="AT164" s="6" t="n"/>
      <c r="AU164" s="6" t="n"/>
      <c r="AV164" s="3" t="n"/>
      <c r="AW164" s="6" t="n"/>
      <c r="AX164" s="6" t="n"/>
      <c r="AY164" s="6" t="n"/>
      <c r="AZ164" s="6" t="n"/>
      <c r="BA164" s="3" t="n"/>
      <c r="BB164" s="6" t="n"/>
      <c r="BC164" s="6" t="n"/>
      <c r="BD164" s="6" t="n"/>
      <c r="BE164" s="6" t="n"/>
      <c r="BF164" s="3" t="n"/>
      <c r="BG164" s="6" t="n"/>
      <c r="BH164" s="6" t="n"/>
      <c r="BI164" s="6" t="n"/>
      <c r="BJ164" s="6" t="n"/>
      <c r="BK164" s="3" t="n"/>
      <c r="BL164" s="6" t="n"/>
      <c r="BM164" s="6" t="n"/>
      <c r="BN164" s="6" t="n"/>
      <c r="BO164" s="6" t="n"/>
      <c r="BP164" s="3" t="n"/>
      <c r="BQ164" s="6" t="n"/>
      <c r="BR164" s="6" t="n"/>
      <c r="BS164" s="6" t="n"/>
      <c r="BT164" s="6" t="n"/>
      <c r="BU164" s="3" t="n"/>
      <c r="BV164" s="6" t="n"/>
      <c r="BW164" s="6" t="n"/>
      <c r="BX164" s="6" t="n"/>
      <c r="BY164" s="6" t="n"/>
      <c r="BZ164" s="3" t="n"/>
      <c r="CA164" s="6" t="n"/>
      <c r="CB164" s="6" t="n"/>
      <c r="CC164" s="6" t="n"/>
      <c r="CD164" s="6" t="n"/>
      <c r="CE164" s="3" t="n"/>
      <c r="CF164" s="6" t="n"/>
      <c r="CG164" s="6" t="n"/>
      <c r="CH164" s="6" t="n"/>
      <c r="CI164" s="6" t="n"/>
      <c r="CJ164" s="3" t="n"/>
      <c r="CK164" s="6" t="n"/>
      <c r="CL164" s="6" t="n"/>
      <c r="CM164" s="6" t="n"/>
      <c r="CN164" s="6" t="n"/>
      <c r="CO164" s="3" t="n"/>
      <c r="CP164" s="6" t="n"/>
      <c r="CQ164" s="6" t="n"/>
      <c r="CR164" s="6" t="n"/>
      <c r="CS164" s="6" t="n"/>
      <c r="CT164" s="3" t="n"/>
      <c r="CU164" s="6" t="n"/>
      <c r="CV164" s="6" t="n"/>
      <c r="CW164" s="6" t="n"/>
      <c r="CX164" s="6" t="n"/>
      <c r="CY164" s="3" t="n"/>
    </row>
    <row r="165" hidden="1" outlineLevel="1">
      <c r="C165" s="34" t="inlineStr">
        <is>
          <t>Depreciation</t>
        </is>
      </c>
      <c r="D165" s="3">
        <f>D65</f>
        <v>-273.6</v>
      </c>
      <c r="E165" s="3">
        <f>E65</f>
        <v>-324.4</v>
      </c>
      <c r="F165" s="3">
        <f>F65</f>
        <v>-358.4</v>
      </c>
      <c r="G165" s="3">
        <f>G65</f>
        <v>-367.5</v>
      </c>
      <c r="H165" s="3" t="n"/>
      <c r="I165" s="3">
        <f>I65</f>
        <v>-350.3</v>
      </c>
      <c r="J165" s="3">
        <f>J65</f>
        <v>-369.3</v>
      </c>
      <c r="K165" s="3">
        <f>K65</f>
        <v>-382.3</v>
      </c>
      <c r="L165" s="3">
        <f>L65</f>
        <v>-445.7</v>
      </c>
      <c r="M165" s="3" t="n"/>
      <c r="N165" s="3">
        <f>N65</f>
        <v>-435.7</v>
      </c>
      <c r="O165" s="3">
        <f>O65</f>
        <v>-348.9</v>
      </c>
      <c r="P165" s="3">
        <f>P65</f>
        <v>-362.9</v>
      </c>
      <c r="Q165" s="3">
        <f>Q65</f>
        <v>-375</v>
      </c>
      <c r="R165" s="3" t="n"/>
      <c r="S165" s="3">
        <f>S65</f>
        <v>-362.3</v>
      </c>
      <c r="T165" s="3">
        <f>T65</f>
        <v>-366.3</v>
      </c>
      <c r="U165" s="3">
        <f>U65</f>
        <v>-411</v>
      </c>
      <c r="V165" s="3">
        <f>V65</f>
        <v>-387.7</v>
      </c>
      <c r="W165" s="3" t="n"/>
      <c r="X165" s="3">
        <f>X65</f>
        <v>-400.6</v>
      </c>
      <c r="Y165" s="3">
        <f>Y65</f>
        <v>-414.4</v>
      </c>
      <c r="Z165" s="3">
        <f>Z65</f>
        <v>-466.8</v>
      </c>
      <c r="AA165" s="3">
        <f>AA65</f>
        <v>-484.8</v>
      </c>
      <c r="AB165" s="3" t="n"/>
      <c r="AC165" s="3">
        <f>AC65</f>
        <v>-462.8</v>
      </c>
      <c r="AD165" s="3">
        <f>AD65</f>
        <v>-478.5</v>
      </c>
      <c r="AE165" s="3">
        <f>AE65</f>
        <v>-470</v>
      </c>
      <c r="AF165" s="3">
        <f>AF65</f>
        <v>-585.7</v>
      </c>
      <c r="AG165" s="3" t="n"/>
      <c r="AH165" s="3">
        <f>AH65</f>
        <v>-509</v>
      </c>
      <c r="AI165" s="3">
        <f>AI65</f>
        <v>-534</v>
      </c>
      <c r="AJ165" s="3">
        <f>AJ65</f>
        <v>0</v>
      </c>
      <c r="AK165" s="3">
        <f>AK65</f>
        <v>0</v>
      </c>
      <c r="AL165" s="3" t="n"/>
      <c r="AM165" s="3">
        <f>AM65</f>
        <v>0</v>
      </c>
      <c r="AN165" s="3">
        <f>AN65</f>
        <v>0</v>
      </c>
      <c r="AO165" s="3">
        <f>AO65</f>
        <v>0</v>
      </c>
      <c r="AP165" s="3">
        <f>AP65</f>
        <v>0</v>
      </c>
      <c r="AQ165" s="3" t="n"/>
      <c r="AR165" s="3">
        <f>AR65</f>
        <v>0</v>
      </c>
      <c r="AS165" s="3">
        <f>AS65</f>
        <v>0</v>
      </c>
      <c r="AT165" s="3">
        <f>AT65</f>
        <v>0</v>
      </c>
      <c r="AU165" s="3">
        <f>AU65</f>
        <v>0</v>
      </c>
      <c r="AV165" s="3" t="n"/>
      <c r="AW165" s="3">
        <f>AW65</f>
        <v>0</v>
      </c>
      <c r="AX165" s="3">
        <f>AX65</f>
        <v>0</v>
      </c>
      <c r="AY165" s="3">
        <f>AY65</f>
        <v>0</v>
      </c>
      <c r="AZ165" s="3">
        <f>AZ65</f>
        <v>0</v>
      </c>
      <c r="BA165" s="3" t="n"/>
      <c r="BB165" s="3">
        <f>BB65</f>
        <v>0</v>
      </c>
      <c r="BC165" s="3">
        <f>BC65</f>
        <v>0</v>
      </c>
      <c r="BD165" s="3">
        <f>BD65</f>
        <v>0</v>
      </c>
      <c r="BE165" s="3">
        <f>BE65</f>
        <v>0</v>
      </c>
      <c r="BF165" s="3" t="n"/>
      <c r="BG165" s="3">
        <f>BG65</f>
        <v>0</v>
      </c>
      <c r="BH165" s="3">
        <f>BH65</f>
        <v>0</v>
      </c>
      <c r="BI165" s="3">
        <f>BI65</f>
        <v>0</v>
      </c>
      <c r="BJ165" s="3">
        <f>BJ65</f>
        <v>0</v>
      </c>
      <c r="BK165" s="3" t="n"/>
      <c r="BL165" s="3">
        <f>BL65</f>
        <v>0</v>
      </c>
      <c r="BM165" s="3">
        <f>BM65</f>
        <v>0</v>
      </c>
      <c r="BN165" s="3">
        <f>BN65</f>
        <v>0</v>
      </c>
      <c r="BO165" s="3">
        <f>BO65</f>
        <v>0</v>
      </c>
      <c r="BP165" s="3" t="n"/>
      <c r="BQ165" s="3">
        <f>BQ65</f>
        <v>0</v>
      </c>
      <c r="BR165" s="3">
        <f>BR65</f>
        <v>0</v>
      </c>
      <c r="BS165" s="3">
        <f>BS65</f>
        <v>0</v>
      </c>
      <c r="BT165" s="3">
        <f>BT65</f>
        <v>0</v>
      </c>
      <c r="BU165" s="3" t="n"/>
      <c r="BV165" s="3">
        <f>BV65</f>
        <v>0</v>
      </c>
      <c r="BW165" s="3">
        <f>BW65</f>
        <v>0</v>
      </c>
      <c r="BX165" s="3">
        <f>BX65</f>
        <v>0</v>
      </c>
      <c r="BY165" s="3">
        <f>BY65</f>
        <v>0</v>
      </c>
      <c r="BZ165" s="3" t="n"/>
      <c r="CA165" s="3">
        <f>CA65</f>
        <v>0</v>
      </c>
      <c r="CB165" s="3">
        <f>CB65</f>
        <v>0</v>
      </c>
      <c r="CC165" s="3">
        <f>CC65</f>
        <v>0</v>
      </c>
      <c r="CD165" s="3">
        <f>CD65</f>
        <v>0</v>
      </c>
      <c r="CE165" s="3" t="n"/>
      <c r="CF165" s="3">
        <f>CF65</f>
        <v>0</v>
      </c>
      <c r="CG165" s="3">
        <f>CG65</f>
        <v>0</v>
      </c>
      <c r="CH165" s="3">
        <f>CH65</f>
        <v>0</v>
      </c>
      <c r="CI165" s="3">
        <f>CI65</f>
        <v>0</v>
      </c>
      <c r="CJ165" s="3" t="n"/>
      <c r="CK165" s="3">
        <f>CK65</f>
        <v>0</v>
      </c>
      <c r="CL165" s="3">
        <f>CL65</f>
        <v>0</v>
      </c>
      <c r="CM165" s="3">
        <f>CM65</f>
        <v>0</v>
      </c>
      <c r="CN165" s="3">
        <f>CN65</f>
        <v>0</v>
      </c>
      <c r="CO165" s="3" t="n"/>
      <c r="CP165" s="3">
        <f>CP65</f>
        <v>0</v>
      </c>
      <c r="CQ165" s="3">
        <f>CQ65</f>
        <v>0</v>
      </c>
      <c r="CR165" s="3">
        <f>CR65</f>
        <v>0</v>
      </c>
      <c r="CS165" s="3">
        <f>CS65</f>
        <v>0</v>
      </c>
      <c r="CT165" s="3" t="n"/>
      <c r="CU165" s="3">
        <f>CU65</f>
        <v>0</v>
      </c>
      <c r="CV165" s="3">
        <f>CV65</f>
        <v>0</v>
      </c>
      <c r="CW165" s="3">
        <f>CW65</f>
        <v>0</v>
      </c>
      <c r="CX165" s="3">
        <f>CX65</f>
        <v>0</v>
      </c>
      <c r="CY165" s="3" t="n"/>
    </row>
    <row r="166" hidden="1" outlineLevel="1">
      <c r="C166" s="34" t="inlineStr">
        <is>
          <t>PP&amp;E</t>
        </is>
      </c>
      <c r="D166" s="3">
        <f>D161</f>
        <v>7897.9</v>
      </c>
      <c r="E166" s="3">
        <f>E161</f>
        <v>7981.1</v>
      </c>
      <c r="F166" s="3">
        <f>F161</f>
        <v>8281.1</v>
      </c>
      <c r="G166" s="3">
        <f>G161</f>
        <v>8681.9</v>
      </c>
      <c r="H166" s="3" t="n"/>
      <c r="I166" s="3">
        <f>I161</f>
        <v>8630.1</v>
      </c>
      <c r="J166" s="3">
        <f>J161</f>
        <v>8855.5</v>
      </c>
      <c r="K166" s="3">
        <f>K161</f>
        <v>8920.4</v>
      </c>
      <c r="L166" s="3">
        <f>L161</f>
        <v>8985.1</v>
      </c>
      <c r="M166" s="3" t="n"/>
      <c r="N166" s="3">
        <f>N161</f>
        <v>9102.7</v>
      </c>
      <c r="O166" s="3">
        <f>O161</f>
        <v>9128.2</v>
      </c>
      <c r="P166" s="3">
        <f>P161</f>
        <v>9311.3</v>
      </c>
      <c r="Q166" s="3">
        <f>Q161</f>
        <v>10144</v>
      </c>
      <c r="R166" s="3" t="n"/>
      <c r="S166" s="3">
        <f>S161</f>
        <v>10546.2</v>
      </c>
      <c r="T166" s="3">
        <f>T161</f>
        <v>11277.4</v>
      </c>
      <c r="U166" s="3">
        <f>U161</f>
        <v>11863.2</v>
      </c>
      <c r="V166" s="3">
        <f>V161</f>
        <v>12913.6</v>
      </c>
      <c r="W166" s="3" t="n"/>
      <c r="X166" s="3">
        <f>X161</f>
        <v>13624</v>
      </c>
      <c r="Y166" s="3">
        <f>Y161</f>
        <v>14829.4</v>
      </c>
      <c r="Z166" s="3">
        <f>Z161</f>
        <v>16171.8</v>
      </c>
      <c r="AA166" s="3">
        <f>Y166+SUM(AA163:AA165)</f>
        <v>15760</v>
      </c>
      <c r="AB166" s="3" t="n"/>
      <c r="AC166" s="3">
        <f>AC161</f>
        <v>18474.1</v>
      </c>
      <c r="AD166" s="3">
        <f>AD161</f>
        <v>20529.7</v>
      </c>
      <c r="AE166" s="3">
        <f>AE161</f>
        <v>22316</v>
      </c>
      <c r="AF166" s="3">
        <f>AE166+SUM(AF163:AF165)</f>
        <v>24675</v>
      </c>
      <c r="AG166" s="3" t="n"/>
      <c r="AH166" s="3">
        <f>AH161</f>
        <v>26540</v>
      </c>
      <c r="AI166" s="3">
        <f>AI161</f>
        <v>29286</v>
      </c>
      <c r="AJ166" s="3">
        <f>AI166+SUM(AJ163:AJ165)</f>
        <v>29286</v>
      </c>
      <c r="AK166" s="3">
        <f>AJ166+SUM(AK163:AK165)</f>
        <v>29286</v>
      </c>
      <c r="AL166" s="3" t="n"/>
      <c r="AM166" s="3">
        <f>AK166+SUM(AM163:AM165)</f>
        <v>29286</v>
      </c>
      <c r="AN166" s="3">
        <f>AM166+SUM(AN163:AN165)</f>
        <v>29286</v>
      </c>
      <c r="AO166" s="3">
        <f>AN166+SUM(AO163:AO165)</f>
        <v>29286</v>
      </c>
      <c r="AP166" s="3">
        <f>AO166+SUM(AP163:AP165)</f>
        <v>29286</v>
      </c>
      <c r="AQ166" s="3" t="n"/>
      <c r="AR166" s="3">
        <f>AP166+SUM(AR163:AR165)</f>
        <v>29286</v>
      </c>
      <c r="AS166" s="3">
        <f>AR166+SUM(AS163:AS165)</f>
        <v>29286</v>
      </c>
      <c r="AT166" s="3">
        <f>AS166+SUM(AT163:AT165)</f>
        <v>29286</v>
      </c>
      <c r="AU166" s="3">
        <f>AT166+SUM(AU163:AU165)</f>
        <v>29286</v>
      </c>
      <c r="AV166" s="3" t="n"/>
      <c r="AW166" s="3">
        <f>AU166+SUM(AW163:AW165)</f>
        <v>29286</v>
      </c>
      <c r="AX166" s="3">
        <f>AW166+SUM(AX163:AX165)</f>
        <v>29286</v>
      </c>
      <c r="AY166" s="3">
        <f>AX166+SUM(AY163:AY165)</f>
        <v>29286</v>
      </c>
      <c r="AZ166" s="3">
        <f>AY166+SUM(AZ163:AZ165)</f>
        <v>29286</v>
      </c>
      <c r="BA166" s="3" t="n"/>
      <c r="BB166" s="3">
        <f>AZ166+SUM(BB163:BB165)</f>
        <v>29286</v>
      </c>
      <c r="BC166" s="3">
        <f>BB166+SUM(BC163:BC165)</f>
        <v>29286</v>
      </c>
      <c r="BD166" s="3">
        <f>BC166+SUM(BD163:BD165)</f>
        <v>29286</v>
      </c>
      <c r="BE166" s="3">
        <f>BD166+SUM(BE163:BE165)</f>
        <v>29286</v>
      </c>
      <c r="BF166" s="3" t="n"/>
      <c r="BG166" s="3">
        <f>BE166+SUM(BG163:BG165)</f>
        <v>29286</v>
      </c>
      <c r="BH166" s="3">
        <f>BG166+SUM(BH163:BH165)</f>
        <v>29286</v>
      </c>
      <c r="BI166" s="3">
        <f>BH166+SUM(BI163:BI165)</f>
        <v>29286</v>
      </c>
      <c r="BJ166" s="3">
        <f>BI166+SUM(BJ163:BJ165)</f>
        <v>29286</v>
      </c>
      <c r="BK166" s="3" t="n"/>
      <c r="BL166" s="3">
        <f>BJ166+SUM(BL163:BL165)</f>
        <v>29286</v>
      </c>
      <c r="BM166" s="3">
        <f>BL166+SUM(BM163:BM165)</f>
        <v>29286</v>
      </c>
      <c r="BN166" s="3">
        <f>BM166+SUM(BN163:BN165)</f>
        <v>29286</v>
      </c>
      <c r="BO166" s="3">
        <f>BN166+SUM(BO163:BO165)</f>
        <v>29286</v>
      </c>
      <c r="BP166" s="3" t="n"/>
      <c r="BQ166" s="3">
        <f>BO166+SUM(BQ163:BQ165)</f>
        <v>29286</v>
      </c>
      <c r="BR166" s="3">
        <f>BQ166+SUM(BR163:BR165)</f>
        <v>29286</v>
      </c>
      <c r="BS166" s="3">
        <f>BR166+SUM(BS163:BS165)</f>
        <v>29286</v>
      </c>
      <c r="BT166" s="3">
        <f>BS166+SUM(BT163:BT165)</f>
        <v>29286</v>
      </c>
      <c r="BU166" s="3" t="n"/>
      <c r="BV166" s="3">
        <f>BT166+SUM(BV163:BV165)</f>
        <v>29286</v>
      </c>
      <c r="BW166" s="3">
        <f>BV166+SUM(BW163:BW165)</f>
        <v>29286</v>
      </c>
      <c r="BX166" s="3">
        <f>BW166+SUM(BX163:BX165)</f>
        <v>29286</v>
      </c>
      <c r="BY166" s="3">
        <f>BX166+SUM(BY163:BY165)</f>
        <v>29286</v>
      </c>
      <c r="BZ166" s="3" t="n"/>
      <c r="CA166" s="3">
        <f>BY166+SUM(CA163:CA165)</f>
        <v>29286</v>
      </c>
      <c r="CB166" s="3">
        <f>CA166+SUM(CB163:CB165)</f>
        <v>29286</v>
      </c>
      <c r="CC166" s="3">
        <f>CB166+SUM(CC163:CC165)</f>
        <v>29286</v>
      </c>
      <c r="CD166" s="3">
        <f>CC166+SUM(CD163:CD165)</f>
        <v>29286</v>
      </c>
      <c r="CE166" s="3" t="n"/>
      <c r="CF166" s="3">
        <f>CD166+SUM(CF163:CF165)</f>
        <v>29286</v>
      </c>
      <c r="CG166" s="3">
        <f>CF166+SUM(CG163:CG165)</f>
        <v>29286</v>
      </c>
      <c r="CH166" s="3">
        <f>CG166+SUM(CH163:CH165)</f>
        <v>29286</v>
      </c>
      <c r="CI166" s="3">
        <f>CH166+SUM(CI163:CI165)</f>
        <v>29286</v>
      </c>
      <c r="CJ166" s="3" t="n"/>
      <c r="CK166" s="3">
        <f>CI166+SUM(CK163:CK165)</f>
        <v>29286</v>
      </c>
      <c r="CL166" s="3">
        <f>CK166+SUM(CL163:CL165)</f>
        <v>29286</v>
      </c>
      <c r="CM166" s="3">
        <f>CL166+SUM(CM163:CM165)</f>
        <v>29286</v>
      </c>
      <c r="CN166" s="3">
        <f>CM166+SUM(CN163:CN165)</f>
        <v>29286</v>
      </c>
      <c r="CO166" s="3" t="n"/>
      <c r="CP166" s="3">
        <f>CN166+SUM(CP163:CP165)</f>
        <v>29286</v>
      </c>
      <c r="CQ166" s="3">
        <f>CP166+SUM(CQ163:CQ165)</f>
        <v>29286</v>
      </c>
      <c r="CR166" s="3">
        <f>CQ166+SUM(CR163:CR165)</f>
        <v>29286</v>
      </c>
      <c r="CS166" s="3">
        <f>CR166+SUM(CS163:CS165)</f>
        <v>29286</v>
      </c>
      <c r="CT166" s="3" t="n"/>
      <c r="CU166" s="3">
        <f>CS166+SUM(CU163:CU165)</f>
        <v>29286</v>
      </c>
      <c r="CV166" s="3">
        <f>CU166+SUM(CV163:CV165)</f>
        <v>29286</v>
      </c>
      <c r="CW166" s="3">
        <f>CV166+SUM(CW163:CW165)</f>
        <v>29286</v>
      </c>
      <c r="CX166" s="3">
        <f>CW166+SUM(CX163:CX165)</f>
        <v>29286</v>
      </c>
      <c r="CY166" s="3" t="n"/>
      <c r="CZ166">
        <f>CX166+SUM(CZ163:CZ165)</f>
        <v>29286</v>
      </c>
      <c r="DA166">
        <f>CZ166+SUM(DA163:DA165)</f>
        <v>29286</v>
      </c>
      <c r="DB166">
        <f>DA166+SUM(DB163:DB165)</f>
        <v>29286</v>
      </c>
      <c r="DC166">
        <f>DB166+SUM(DC163:DC165)</f>
        <v>29286</v>
      </c>
    </row>
    <row r="167" hidden="1" outlineLevel="1">
      <c r="C167" s="34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  <c r="BZ167" s="3" t="n"/>
      <c r="CA167" s="3" t="n"/>
      <c r="CB167" s="3" t="n"/>
      <c r="CC167" s="3" t="n"/>
      <c r="CD167" s="3" t="n"/>
      <c r="CE167" s="3" t="n"/>
      <c r="CF167" s="3" t="n"/>
      <c r="CG167" s="3" t="n"/>
      <c r="CH167" s="3" t="n"/>
      <c r="CI167" s="3" t="n"/>
      <c r="CJ167" s="3" t="n"/>
      <c r="CK167" s="3" t="n"/>
      <c r="CL167" s="3" t="n"/>
      <c r="CM167" s="3" t="n"/>
      <c r="CN167" s="3" t="n"/>
      <c r="CO167" s="3" t="n"/>
      <c r="CP167" s="3" t="n"/>
      <c r="CQ167" s="3" t="n"/>
      <c r="CR167" s="3" t="n"/>
      <c r="CS167" s="3" t="n"/>
      <c r="CT167" s="3" t="n"/>
      <c r="CU167" s="3" t="n"/>
      <c r="CV167" s="3" t="n"/>
      <c r="CW167" s="3" t="n"/>
      <c r="CX167" s="3" t="n"/>
      <c r="CY167" s="3" t="n"/>
    </row>
    <row r="168" hidden="1" outlineLevel="1">
      <c r="C168" s="34" t="inlineStr">
        <is>
          <t>Capital expenditures (% Net Revenues)</t>
        </is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40">
        <f>AF163/AF15</f>
        <v>0.152638399336513</v>
      </c>
      <c r="AG168" s="40">
        <f>AG163/AG15</f>
        <v>0.146818492845943</v>
      </c>
      <c r="AH168" s="40">
        <f>AH163/AH15</f>
        <v>0.119905045709379</v>
      </c>
      <c r="AI168" s="40">
        <f>AI163/AI15</f>
        <v>0.142770087925481</v>
      </c>
      <c r="AJ168" s="40">
        <f>AJ163/AJ15</f>
        <v>0</v>
      </c>
      <c r="AK168" s="40">
        <f>AK163/AK15</f>
        <v>0</v>
      </c>
      <c r="AL168" s="40">
        <f>AL163/AL15</f>
        <v>0</v>
      </c>
      <c r="AM168" s="40">
        <f>AM163/AM15</f>
        <v>0</v>
      </c>
      <c r="AN168" s="40">
        <f>AN163/AN15</f>
        <v>0</v>
      </c>
      <c r="AO168" s="40">
        <f>AO163/AO15</f>
        <v>0</v>
      </c>
      <c r="AP168" s="40">
        <f>AP163/AP15</f>
        <v>0</v>
      </c>
      <c r="AQ168" s="40">
        <f>AQ163/AQ15</f>
        <v>0</v>
      </c>
      <c r="AR168" s="40">
        <f>AR163/AR15</f>
        <v>0</v>
      </c>
      <c r="AS168" s="40">
        <f>AS163/AS15</f>
        <v>0</v>
      </c>
      <c r="AT168" s="40">
        <f>AT163/AT15</f>
        <v>0</v>
      </c>
      <c r="AU168" s="40">
        <f>AU163/AU15</f>
        <v>0</v>
      </c>
      <c r="AV168" s="40">
        <f>AV163/AV15</f>
        <v>0</v>
      </c>
      <c r="AW168" s="40">
        <f>AW163/AW15</f>
        <v>0</v>
      </c>
      <c r="AX168" s="40">
        <f>AX163/AX15</f>
        <v>0</v>
      </c>
      <c r="AY168" s="40">
        <f>AY163/AY15</f>
        <v>0</v>
      </c>
      <c r="AZ168" s="40">
        <f>AZ163/AZ15</f>
        <v>0</v>
      </c>
      <c r="BA168" s="40">
        <f>BA163/BA15</f>
        <v>0</v>
      </c>
      <c r="BB168" s="40">
        <f>BB163/BB15</f>
        <v>0</v>
      </c>
      <c r="BC168" s="40">
        <f>BC163/BC15</f>
        <v>0</v>
      </c>
      <c r="BD168" s="40">
        <f>BD163/BD15</f>
        <v>0</v>
      </c>
      <c r="BE168" s="40">
        <f>BE163/BE15</f>
        <v>0</v>
      </c>
      <c r="BF168" s="40">
        <f>BF163/BF15</f>
        <v>0</v>
      </c>
      <c r="BG168" s="40">
        <f>BG163/BG15</f>
        <v>0</v>
      </c>
      <c r="BH168" s="40">
        <f>BH163/BH15</f>
        <v>0</v>
      </c>
      <c r="BI168" s="40">
        <f>BI163/BI15</f>
        <v>0</v>
      </c>
      <c r="BJ168" s="40">
        <f>BJ163/BJ15</f>
        <v>0</v>
      </c>
      <c r="BK168" s="40">
        <f>BK163/BK15</f>
        <v>0</v>
      </c>
      <c r="BL168" s="40">
        <f>BL163/BL15</f>
        <v>0</v>
      </c>
      <c r="BM168" s="40">
        <f>BM163/BM15</f>
        <v>0</v>
      </c>
      <c r="BN168" s="40">
        <f>BN163/BN15</f>
        <v>0</v>
      </c>
      <c r="BO168" s="40">
        <f>BO163/BO15</f>
        <v>0</v>
      </c>
      <c r="BP168" s="40">
        <f>BP163/BP15</f>
        <v>0</v>
      </c>
      <c r="BQ168" s="40">
        <f>BQ163/BQ15</f>
        <v>0</v>
      </c>
      <c r="BR168" s="40">
        <f>BR163/BR15</f>
        <v>0</v>
      </c>
      <c r="BS168" s="40">
        <f>BS163/BS15</f>
        <v>0</v>
      </c>
      <c r="BT168" s="40">
        <f>BT163/BT15</f>
        <v>0</v>
      </c>
      <c r="BU168" s="40">
        <f>BU163/BU15</f>
        <v>0</v>
      </c>
      <c r="BV168" s="40">
        <f>BV163/BV15</f>
        <v>0</v>
      </c>
      <c r="BW168" s="40">
        <f>BW163/BW15</f>
        <v>0</v>
      </c>
      <c r="BX168" s="40">
        <f>BX163/BX15</f>
        <v>0</v>
      </c>
      <c r="BY168" s="40">
        <f>BY163/BY15</f>
        <v>0</v>
      </c>
      <c r="BZ168" s="40">
        <f>BZ163/BZ15</f>
        <v>0</v>
      </c>
      <c r="CA168" s="40">
        <f>CA163/CA15</f>
        <v>0</v>
      </c>
      <c r="CB168" s="40">
        <f>CB163/CB15</f>
        <v>0</v>
      </c>
      <c r="CC168" s="40">
        <f>CC163/CC15</f>
        <v>0</v>
      </c>
      <c r="CD168" s="40">
        <f>CD163/CD15</f>
        <v>0</v>
      </c>
      <c r="CE168" s="40">
        <f>CE163/CE15</f>
        <v>0</v>
      </c>
      <c r="CF168" s="40">
        <f>CF163/CF15</f>
        <v>0</v>
      </c>
      <c r="CG168" s="40">
        <f>CG163/CG15</f>
        <v>0</v>
      </c>
      <c r="CH168" s="40">
        <f>CH163/CH15</f>
        <v>0</v>
      </c>
      <c r="CI168" s="40">
        <f>CI163/CI15</f>
        <v>0</v>
      </c>
      <c r="CJ168" s="40">
        <f>CJ163/CJ15</f>
        <v>0</v>
      </c>
      <c r="CK168" s="40">
        <f>CK163/CK15</f>
        <v>0</v>
      </c>
      <c r="CL168" s="40">
        <f>CL163/CL15</f>
        <v>0</v>
      </c>
      <c r="CM168" s="40">
        <f>CM163/CM15</f>
        <v>0</v>
      </c>
      <c r="CN168" s="40">
        <f>CN163/CN15</f>
        <v>0</v>
      </c>
      <c r="CO168" s="40">
        <f>CO163/CO15</f>
        <v>0</v>
      </c>
      <c r="CP168" s="40">
        <f>CP163/CP15</f>
        <v>0</v>
      </c>
      <c r="CQ168" s="40">
        <f>CQ163/CQ15</f>
        <v>0</v>
      </c>
      <c r="CR168" s="40">
        <f>CR163/CR15</f>
        <v>0</v>
      </c>
      <c r="CS168" s="40">
        <f>CS163/CS15</f>
        <v>0</v>
      </c>
      <c r="CT168" s="40">
        <f>CT163/CT15</f>
        <v>0</v>
      </c>
      <c r="CU168" s="40">
        <f>CU163/CU15</f>
        <v>0</v>
      </c>
      <c r="CV168" s="40">
        <f>CV163/CV15</f>
        <v>0</v>
      </c>
      <c r="CW168" s="40">
        <f>CW163/CW15</f>
        <v>0</v>
      </c>
      <c r="CX168" s="40">
        <f>CX163/CX15</f>
        <v>0</v>
      </c>
      <c r="CY168" s="40">
        <f>CY163/CY15</f>
        <v>0</v>
      </c>
    </row>
    <row r="169" hidden="1" outlineLevel="1">
      <c r="C169" s="34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  <c r="BZ169" s="3" t="n"/>
      <c r="CA169" s="3" t="n"/>
      <c r="CB169" s="3" t="n"/>
      <c r="CC169" s="3" t="n"/>
      <c r="CD169" s="3" t="n"/>
      <c r="CE169" s="3" t="n"/>
      <c r="CF169" s="3" t="n"/>
      <c r="CG169" s="3" t="n"/>
      <c r="CH169" s="3" t="n"/>
      <c r="CI169" s="3" t="n"/>
      <c r="CJ169" s="3" t="n"/>
      <c r="CK169" s="3" t="n"/>
      <c r="CL169" s="3" t="n"/>
      <c r="CM169" s="3" t="n"/>
      <c r="CN169" s="3" t="n"/>
      <c r="CO169" s="3" t="n"/>
      <c r="CP169" s="3" t="n"/>
      <c r="CQ169" s="3" t="n"/>
      <c r="CR169" s="3" t="n"/>
      <c r="CS169" s="3" t="n"/>
      <c r="CT169" s="3" t="n"/>
      <c r="CU169" s="3" t="n"/>
      <c r="CV169" s="3" t="n"/>
      <c r="CW169" s="3" t="n"/>
      <c r="CX169" s="3" t="n"/>
      <c r="CY169" s="3" t="n"/>
    </row>
    <row r="170" hidden="1" outlineLevel="1">
      <c r="C170" s="34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  <c r="BZ170" s="3" t="n"/>
      <c r="CA170" s="3" t="n"/>
      <c r="CB170" s="3" t="n"/>
      <c r="CC170" s="3" t="n"/>
      <c r="CD170" s="3" t="n"/>
      <c r="CE170" s="3" t="n"/>
      <c r="CF170" s="3" t="n"/>
      <c r="CG170" s="3" t="n"/>
      <c r="CH170" s="3" t="n"/>
      <c r="CI170" s="3" t="n"/>
      <c r="CJ170" s="3" t="n"/>
      <c r="CK170" s="3" t="n"/>
      <c r="CL170" s="3" t="n"/>
      <c r="CM170" s="3" t="n"/>
      <c r="CN170" s="3" t="n"/>
      <c r="CO170" s="3" t="n"/>
      <c r="CP170" s="3" t="n"/>
      <c r="CQ170" s="3" t="n"/>
      <c r="CR170" s="3" t="n"/>
      <c r="CS170" s="3" t="n"/>
      <c r="CT170" s="3" t="n"/>
      <c r="CU170" s="3" t="n"/>
      <c r="CV170" s="3" t="n"/>
      <c r="CW170" s="3" t="n"/>
      <c r="CX170" s="3" t="n"/>
      <c r="CY170" s="3" t="n"/>
    </row>
    <row r="171" collapsed="1">
      <c r="C171" s="26" t="inlineStr">
        <is>
          <t>Right-of-use-assets</t>
        </is>
      </c>
      <c r="D171" s="25">
        <f>INDEX('Inputs (2)'!$D$23:$AL$23,MATCH(D$7,'Inputs (2)'!$D$2:$AL$2,0))</f>
        <v>0</v>
      </c>
      <c r="E171" s="25">
        <f>INDEX('Inputs (2)'!$D$23:$AL$23,MATCH(E$7,'Inputs (2)'!$D$2:$AL$2,0))</f>
        <v>0</v>
      </c>
      <c r="F171" s="25">
        <f>INDEX('Inputs (2)'!$D$23:$AL$23,MATCH(F$7,'Inputs (2)'!$D$2:$AL$2,0))</f>
        <v>0</v>
      </c>
      <c r="G171" s="25">
        <f>INDEX('Inputs (2)'!$D$23:$AL$23,MATCH(G$7,'Inputs (2)'!$D$2:$AL$2,0))</f>
        <v>0</v>
      </c>
      <c r="H171" s="3">
        <f>G171</f>
        <v>0</v>
      </c>
      <c r="I171" s="25">
        <f>INDEX('Inputs (2)'!$D$23:$AL$23,MATCH(I$7,'Inputs (2)'!$D$2:$AL$2,0))</f>
        <v>0</v>
      </c>
      <c r="J171" s="25">
        <f>INDEX('Inputs (2)'!$D$23:$AL$23,MATCH(J$7,'Inputs (2)'!$D$2:$AL$2,0))</f>
        <v>0</v>
      </c>
      <c r="K171" s="25">
        <f>INDEX('Inputs (2)'!$D$23:$AL$23,MATCH(K$7,'Inputs (2)'!$D$2:$AL$2,0))</f>
        <v>0</v>
      </c>
      <c r="L171" s="25">
        <f>INDEX('Inputs (2)'!$D$23:$AL$23,MATCH(L$7,'Inputs (2)'!$D$2:$AL$2,0))</f>
        <v>0</v>
      </c>
      <c r="M171" s="3">
        <f>L171</f>
        <v>0</v>
      </c>
      <c r="N171" s="25">
        <f>INDEX('Inputs (2)'!$D$23:$AL$23,MATCH(N$7,'Inputs (2)'!$D$2:$AL$2,0))</f>
        <v>0</v>
      </c>
      <c r="O171" s="25">
        <f>INDEX('Inputs (2)'!$D$23:$AL$23,MATCH(O$7,'Inputs (2)'!$D$2:$AL$2,0))</f>
        <v>0</v>
      </c>
      <c r="P171" s="25">
        <f>INDEX('Inputs (2)'!$D$23:$AL$23,MATCH(P$7,'Inputs (2)'!$D$2:$AL$2,0))</f>
        <v>0</v>
      </c>
      <c r="Q171" s="25">
        <f>INDEX('Inputs (2)'!$D$23:$AL$23,MATCH(Q$7,'Inputs (2)'!$D$2:$AL$2,0))</f>
        <v>0</v>
      </c>
      <c r="R171" s="3">
        <f>Q171</f>
        <v>0</v>
      </c>
      <c r="S171" s="25">
        <f>INDEX('Inputs (2)'!$D$23:$AL$23,MATCH(S$7,'Inputs (2)'!$D$2:$AL$2,0))</f>
        <v>0</v>
      </c>
      <c r="T171" s="25">
        <f>INDEX('Inputs (2)'!$D$23:$AL$23,MATCH(T$7,'Inputs (2)'!$D$2:$AL$2,0))</f>
        <v>0</v>
      </c>
      <c r="U171" s="25">
        <f>INDEX('Inputs (2)'!$D$23:$AL$23,MATCH(U$7,'Inputs (2)'!$D$2:$AL$2,0))</f>
        <v>0</v>
      </c>
      <c r="V171" s="25">
        <f>INDEX('Inputs (2)'!$D$23:$AL$23,MATCH(V$7,'Inputs (2)'!$D$2:$AL$2,0))</f>
        <v>0</v>
      </c>
      <c r="W171" s="3">
        <f>V171</f>
        <v>0</v>
      </c>
      <c r="X171" s="25">
        <f>INDEX('Inputs (2)'!$D$23:$AL$23,MATCH(X$7,'Inputs (2)'!$D$2:$AL$2,0))</f>
        <v>0</v>
      </c>
      <c r="Y171" s="25">
        <f>INDEX('Inputs (2)'!$D$23:$AL$23,MATCH(Y$7,'Inputs (2)'!$D$2:$AL$2,0))</f>
        <v>0</v>
      </c>
      <c r="Z171" s="25">
        <f>INDEX('Inputs (2)'!$D$23:$AL$23,MATCH(Z$7,'Inputs (2)'!$D$2:$AL$2,0))</f>
        <v>0</v>
      </c>
      <c r="AA171" s="25">
        <f>INDEX('Inputs (2)'!$D$23:$AL$23,MATCH(AA$7,'Inputs (2)'!$D$2:$AL$2,0))</f>
        <v>0</v>
      </c>
      <c r="AB171" s="3">
        <f>AA171</f>
        <v>0</v>
      </c>
      <c r="AC171" s="25">
        <f>INDEX('Inputs (2)'!$D$23:$AL$23,MATCH(AC$7,'Inputs (2)'!$D$2:$AL$2,0))</f>
        <v>0</v>
      </c>
      <c r="AD171" s="25">
        <f>INDEX('Inputs (2)'!$D$23:$AL$23,MATCH(AD$7,'Inputs (2)'!$D$2:$AL$2,0))</f>
        <v>0</v>
      </c>
      <c r="AE171" s="25">
        <f>INDEX('Inputs (2)'!$D$23:$AL$23,MATCH(AE$7,'Inputs (2)'!$D$2:$AL$2,0))</f>
        <v>0</v>
      </c>
      <c r="AF171" s="25">
        <f>INDEX('Inputs (2)'!$D$23:$AL$23,MATCH(AF$7,'Inputs (2)'!$D$2:$AL$2,0))</f>
        <v>0</v>
      </c>
      <c r="AG171" s="3">
        <f>AF171</f>
        <v>0</v>
      </c>
      <c r="AH171" s="3">
        <f>INDEX('Inputs (2)'!$D$23:$AL$23,MATCH(AH$7,'Inputs (2)'!$D$2:$AL$2,0))</f>
        <v>0</v>
      </c>
      <c r="AI171" s="3">
        <f>INDEX('Inputs (2)'!$D$23:$AL$23,MATCH(AI$7,'Inputs (2)'!$D$2:$AL$2,0))</f>
        <v>0</v>
      </c>
      <c r="AJ171" s="3">
        <f>AI171</f>
        <v>0</v>
      </c>
      <c r="AK171" s="3">
        <f>AJ171</f>
        <v>0</v>
      </c>
      <c r="AL171" s="3">
        <f>AK171</f>
        <v>0</v>
      </c>
      <c r="AM171" s="3">
        <f>AL171</f>
        <v>0</v>
      </c>
      <c r="AN171" s="3">
        <f>AM171</f>
        <v>0</v>
      </c>
      <c r="AO171" s="3">
        <f>AN171</f>
        <v>0</v>
      </c>
      <c r="AP171" s="3">
        <f>AO171</f>
        <v>0</v>
      </c>
      <c r="AQ171" s="3">
        <f>AP171</f>
        <v>0</v>
      </c>
      <c r="AR171" s="3">
        <f>AQ171</f>
        <v>0</v>
      </c>
      <c r="AS171" s="3">
        <f>AR171</f>
        <v>0</v>
      </c>
      <c r="AT171" s="3">
        <f>AS171</f>
        <v>0</v>
      </c>
      <c r="AU171" s="3">
        <f>AT171</f>
        <v>0</v>
      </c>
      <c r="AV171" s="3">
        <f>AU171</f>
        <v>0</v>
      </c>
      <c r="AW171" s="3">
        <f>AV171</f>
        <v>0</v>
      </c>
      <c r="AX171" s="3">
        <f>AW171</f>
        <v>0</v>
      </c>
      <c r="AY171" s="3">
        <f>AX171</f>
        <v>0</v>
      </c>
      <c r="AZ171" s="3">
        <f>AY171</f>
        <v>0</v>
      </c>
      <c r="BA171" s="3">
        <f>AZ171</f>
        <v>0</v>
      </c>
      <c r="BB171" s="3">
        <f>BA171</f>
        <v>0</v>
      </c>
      <c r="BC171" s="3">
        <f>BB171</f>
        <v>0</v>
      </c>
      <c r="BD171" s="3">
        <f>BC171</f>
        <v>0</v>
      </c>
      <c r="BE171" s="3">
        <f>BD171</f>
        <v>0</v>
      </c>
      <c r="BF171" s="3">
        <f>BE171</f>
        <v>0</v>
      </c>
      <c r="BG171" s="3">
        <f>BF171</f>
        <v>0</v>
      </c>
      <c r="BH171" s="3">
        <f>BG171</f>
        <v>0</v>
      </c>
      <c r="BI171" s="3">
        <f>BH171</f>
        <v>0</v>
      </c>
      <c r="BJ171" s="3">
        <f>BI171</f>
        <v>0</v>
      </c>
      <c r="BK171" s="3">
        <f>BJ171</f>
        <v>0</v>
      </c>
      <c r="BL171" s="3">
        <f>BK171</f>
        <v>0</v>
      </c>
      <c r="BM171" s="3">
        <f>BL171</f>
        <v>0</v>
      </c>
      <c r="BN171" s="3">
        <f>BM171</f>
        <v>0</v>
      </c>
      <c r="BO171" s="3">
        <f>BN171</f>
        <v>0</v>
      </c>
      <c r="BP171" s="3">
        <f>BO171</f>
        <v>0</v>
      </c>
      <c r="BQ171" s="3">
        <f>BP171</f>
        <v>0</v>
      </c>
      <c r="BR171" s="3">
        <f>BQ171</f>
        <v>0</v>
      </c>
      <c r="BS171" s="3">
        <f>BR171</f>
        <v>0</v>
      </c>
      <c r="BT171" s="3">
        <f>BS171</f>
        <v>0</v>
      </c>
      <c r="BU171" s="3">
        <f>BT171</f>
        <v>0</v>
      </c>
      <c r="BV171" s="3">
        <f>BU171</f>
        <v>0</v>
      </c>
      <c r="BW171" s="3">
        <f>BV171</f>
        <v>0</v>
      </c>
      <c r="BX171" s="3">
        <f>BW171</f>
        <v>0</v>
      </c>
      <c r="BY171" s="3">
        <f>BX171</f>
        <v>0</v>
      </c>
      <c r="BZ171" s="3">
        <f>BY171</f>
        <v>0</v>
      </c>
      <c r="CA171" s="3">
        <f>BZ171</f>
        <v>0</v>
      </c>
      <c r="CB171" s="3">
        <f>CA171</f>
        <v>0</v>
      </c>
      <c r="CC171" s="3">
        <f>CB171</f>
        <v>0</v>
      </c>
      <c r="CD171" s="3">
        <f>CC171</f>
        <v>0</v>
      </c>
      <c r="CE171" s="3">
        <f>CD171</f>
        <v>0</v>
      </c>
      <c r="CF171" s="3">
        <f>CE171</f>
        <v>0</v>
      </c>
      <c r="CG171" s="3">
        <f>CF171</f>
        <v>0</v>
      </c>
      <c r="CH171" s="3">
        <f>CG171</f>
        <v>0</v>
      </c>
      <c r="CI171" s="3">
        <f>CH171</f>
        <v>0</v>
      </c>
      <c r="CJ171" s="3">
        <f>CI171</f>
        <v>0</v>
      </c>
      <c r="CK171" s="3">
        <f>CJ171</f>
        <v>0</v>
      </c>
      <c r="CL171" s="3">
        <f>CK171</f>
        <v>0</v>
      </c>
      <c r="CM171" s="3">
        <f>CL171</f>
        <v>0</v>
      </c>
      <c r="CN171" s="3">
        <f>CM171</f>
        <v>0</v>
      </c>
      <c r="CO171" s="3">
        <f>CN171</f>
        <v>0</v>
      </c>
      <c r="CP171" s="3">
        <f>CO171</f>
        <v>0</v>
      </c>
      <c r="CQ171" s="3">
        <f>CP171</f>
        <v>0</v>
      </c>
      <c r="CR171" s="3">
        <f>CQ171</f>
        <v>0</v>
      </c>
      <c r="CS171" s="3">
        <f>CR171</f>
        <v>0</v>
      </c>
      <c r="CT171" s="3">
        <f>CS171</f>
        <v>0</v>
      </c>
      <c r="CU171" s="3">
        <f>CT171</f>
        <v>0</v>
      </c>
      <c r="CV171" s="3">
        <f>CU171</f>
        <v>0</v>
      </c>
      <c r="CW171" s="3">
        <f>CV171</f>
        <v>0</v>
      </c>
      <c r="CX171" s="3">
        <f>CW171</f>
        <v>0</v>
      </c>
      <c r="CY171" s="3">
        <f>CX171</f>
        <v>0</v>
      </c>
    </row>
    <row r="172" hidden="1" outlineLevel="1">
      <c r="C172" s="38" t="inlineStr">
        <is>
          <t>%(Var.)</t>
        </is>
      </c>
      <c r="D172" s="3" t="n"/>
      <c r="E172" s="47">
        <f>IFERROR((E171-D171)/D171,0)</f>
        <v>0</v>
      </c>
      <c r="F172" s="47">
        <f>IFERROR((F171-E171)/E171,0)</f>
        <v>0</v>
      </c>
      <c r="G172" s="47">
        <f>IFERROR((G171-F171)/F171,0)</f>
        <v>0</v>
      </c>
      <c r="H172" s="3" t="n"/>
      <c r="I172" s="47">
        <f>IFERROR((I171-H171)/H171,0)</f>
        <v>0</v>
      </c>
      <c r="J172" s="47">
        <f>IFERROR((J171-I171)/I171,0)</f>
        <v>0</v>
      </c>
      <c r="K172" s="47">
        <f>IFERROR((K171-J171)/J171,0)</f>
        <v>0</v>
      </c>
      <c r="L172" s="47">
        <f>IFERROR((L171-K171)/K171,0)</f>
        <v>0</v>
      </c>
      <c r="M172" s="3" t="n"/>
      <c r="N172" s="47">
        <f>IFERROR((N171-M171)/M171,0)</f>
        <v>0</v>
      </c>
      <c r="O172" s="47">
        <f>IFERROR((O171-N171)/N171,0)</f>
        <v>0</v>
      </c>
      <c r="P172" s="47">
        <f>IFERROR((P171-O171)/O171,0)</f>
        <v>0</v>
      </c>
      <c r="Q172" s="47">
        <f>IFERROR((Q171-P171)/P171,0)</f>
        <v>0</v>
      </c>
      <c r="R172" s="3" t="n"/>
      <c r="S172" s="47">
        <f>IFERROR((S171-R171)/R171,0)</f>
        <v>0</v>
      </c>
      <c r="T172" s="47">
        <f>IFERROR((T171-S171)/S171,0)</f>
        <v>0</v>
      </c>
      <c r="U172" s="47">
        <f>IFERROR((U171-T171)/T171,0)</f>
        <v>0</v>
      </c>
      <c r="V172" s="47">
        <f>IFERROR((V171-U171)/U171,0)</f>
        <v>0</v>
      </c>
      <c r="W172" s="3" t="n"/>
      <c r="X172" s="47">
        <f>IFERROR((X171-W171)/W171,0)</f>
        <v>0</v>
      </c>
      <c r="Y172" s="47">
        <f>IFERROR((Y171-X171)/X171,0)</f>
        <v>0</v>
      </c>
      <c r="Z172" s="47">
        <f>IFERROR((Z171-Y171)/Y171,0)</f>
        <v>0</v>
      </c>
      <c r="AA172" s="47">
        <f>IFERROR((AA171-Z171)/Z171,0)</f>
        <v>0</v>
      </c>
      <c r="AB172" s="3" t="n"/>
      <c r="AC172" s="47">
        <f>IFERROR((AC171-AB171)/AB171,0)</f>
        <v>0</v>
      </c>
      <c r="AD172" s="47">
        <f>IFERROR((AD171-AC171)/AC171,0)</f>
        <v>0</v>
      </c>
      <c r="AE172" s="47">
        <f>IFERROR((AE171-AD171)/AD171,0)</f>
        <v>0</v>
      </c>
      <c r="AF172" s="218">
        <f>IFERROR((AF171-AE171)/AE171,0)</f>
        <v>0</v>
      </c>
      <c r="AG172" s="3" t="n"/>
      <c r="AH172" s="218">
        <f>IFERROR((AH171-AG171)/AG171,0)</f>
        <v>0</v>
      </c>
      <c r="AI172" s="218">
        <f>IFERROR((AI171-AH171)/AH171,0)</f>
        <v>0</v>
      </c>
      <c r="AJ172" s="218" t="n"/>
      <c r="AK172" s="218" t="n"/>
      <c r="AL172" s="3" t="n"/>
      <c r="AM172" s="218" t="n"/>
      <c r="AN172" s="218" t="n"/>
      <c r="AO172" s="218" t="n"/>
      <c r="AP172" s="218" t="n"/>
      <c r="AQ172" s="3" t="n"/>
      <c r="AR172" s="218" t="n"/>
      <c r="AS172" s="218" t="n"/>
      <c r="AT172" s="218" t="n"/>
      <c r="AU172" s="218" t="n"/>
      <c r="AV172" s="3" t="n"/>
      <c r="AW172" s="218" t="n"/>
      <c r="AX172" s="218" t="n"/>
      <c r="AY172" s="218" t="n"/>
      <c r="AZ172" s="218" t="n"/>
      <c r="BA172" s="3" t="n"/>
      <c r="BB172" s="218" t="n"/>
      <c r="BC172" s="218" t="n"/>
      <c r="BD172" s="218" t="n"/>
      <c r="BE172" s="218" t="n"/>
      <c r="BF172" s="3" t="n"/>
      <c r="BG172" s="218" t="n"/>
      <c r="BH172" s="218" t="n"/>
      <c r="BI172" s="218" t="n"/>
      <c r="BJ172" s="218" t="n"/>
      <c r="BK172" s="3" t="n"/>
      <c r="BL172" s="218" t="n"/>
      <c r="BM172" s="218" t="n"/>
      <c r="BN172" s="218" t="n"/>
      <c r="BO172" s="218" t="n"/>
      <c r="BP172" s="3" t="n"/>
      <c r="BQ172" s="218" t="n"/>
      <c r="BR172" s="218" t="n"/>
      <c r="BS172" s="218" t="n"/>
      <c r="BT172" s="218" t="n"/>
      <c r="BU172" s="3" t="n"/>
      <c r="BV172" s="218" t="n"/>
      <c r="BW172" s="218" t="n"/>
      <c r="BX172" s="218" t="n"/>
      <c r="BY172" s="218" t="n"/>
      <c r="BZ172" s="3" t="n"/>
      <c r="CA172" s="218" t="n"/>
      <c r="CB172" s="218" t="n"/>
      <c r="CC172" s="218" t="n"/>
      <c r="CD172" s="218" t="n"/>
      <c r="CE172" s="3" t="n"/>
      <c r="CF172" s="218" t="n"/>
      <c r="CG172" s="218" t="n"/>
      <c r="CH172" s="218" t="n"/>
      <c r="CI172" s="218" t="n"/>
      <c r="CJ172" s="3" t="n"/>
      <c r="CK172" s="218" t="n"/>
      <c r="CL172" s="218" t="n"/>
      <c r="CM172" s="218" t="n"/>
      <c r="CN172" s="218" t="n"/>
      <c r="CO172" s="3" t="n"/>
      <c r="CP172" s="218" t="n"/>
      <c r="CQ172" s="218" t="n"/>
      <c r="CR172" s="218" t="n"/>
      <c r="CS172" s="218" t="n"/>
      <c r="CT172" s="3" t="n"/>
      <c r="CU172" s="218" t="n"/>
      <c r="CV172" s="218" t="n"/>
      <c r="CW172" s="218" t="n"/>
      <c r="CX172" s="218" t="n"/>
      <c r="CY172" s="3" t="n"/>
    </row>
    <row r="173" hidden="1" outlineLevel="1">
      <c r="C173" s="34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  <c r="BZ173" s="3" t="n"/>
      <c r="CA173" s="3" t="n"/>
      <c r="CB173" s="3" t="n"/>
      <c r="CC173" s="3" t="n"/>
      <c r="CD173" s="3" t="n"/>
      <c r="CE173" s="3" t="n"/>
      <c r="CF173" s="3" t="n"/>
      <c r="CG173" s="3" t="n"/>
      <c r="CH173" s="3" t="n"/>
      <c r="CI173" s="3" t="n"/>
      <c r="CJ173" s="3" t="n"/>
      <c r="CK173" s="3" t="n"/>
      <c r="CL173" s="3" t="n"/>
      <c r="CM173" s="3" t="n"/>
      <c r="CN173" s="3" t="n"/>
      <c r="CO173" s="3" t="n"/>
      <c r="CP173" s="3" t="n"/>
      <c r="CQ173" s="3" t="n"/>
      <c r="CR173" s="3" t="n"/>
      <c r="CS173" s="3" t="n"/>
      <c r="CT173" s="3" t="n"/>
      <c r="CU173" s="3" t="n"/>
      <c r="CV173" s="3" t="n"/>
      <c r="CW173" s="3" t="n"/>
      <c r="CX173" s="3" t="n"/>
      <c r="CY173" s="3" t="n"/>
    </row>
    <row r="174" collapsed="1">
      <c r="C174" s="26" t="inlineStr">
        <is>
          <t>Goodwill</t>
        </is>
      </c>
      <c r="D174" s="25">
        <f>INDEX('Inputs (2)'!$D$24:$AL$24,MATCH(D$7,'Inputs (2)'!$D$2:$AL$2,0))</f>
        <v>3779.1</v>
      </c>
      <c r="E174" s="25">
        <f>INDEX('Inputs (2)'!$D$24:$AL$24,MATCH(E$7,'Inputs (2)'!$D$2:$AL$2,0))</f>
        <v>3723.2</v>
      </c>
      <c r="F174" s="25">
        <f>INDEX('Inputs (2)'!$D$24:$AL$24,MATCH(F$7,'Inputs (2)'!$D$2:$AL$2,0))</f>
        <v>3726.4</v>
      </c>
      <c r="G174" s="25">
        <f>INDEX('Inputs (2)'!$D$24:$AL$24,MATCH(G$7,'Inputs (2)'!$D$2:$AL$2,0))</f>
        <v>3766.5</v>
      </c>
      <c r="H174" s="3">
        <f>G174</f>
        <v>3766.5</v>
      </c>
      <c r="I174" s="25">
        <f>INDEX('Inputs (2)'!$D$24:$AL$24,MATCH(I$7,'Inputs (2)'!$D$2:$AL$2,0))</f>
        <v>3877.4</v>
      </c>
      <c r="J174" s="25">
        <f>INDEX('Inputs (2)'!$D$24:$AL$24,MATCH(J$7,'Inputs (2)'!$D$2:$AL$2,0))</f>
        <v>3884.2</v>
      </c>
      <c r="K174" s="25">
        <f>INDEX('Inputs (2)'!$D$24:$AL$24,MATCH(K$7,'Inputs (2)'!$D$2:$AL$2,0))</f>
        <v>3884.1</v>
      </c>
      <c r="L174" s="25">
        <f>INDEX('Inputs (2)'!$D$24:$AL$24,MATCH(L$7,'Inputs (2)'!$D$2:$AL$2,0))</f>
        <v>3892</v>
      </c>
      <c r="M174" s="3">
        <f>L174</f>
        <v>3892</v>
      </c>
      <c r="N174" s="25">
        <f>INDEX('Inputs (2)'!$D$24:$AL$24,MATCH(N$7,'Inputs (2)'!$D$2:$AL$2,0))</f>
        <v>3892</v>
      </c>
      <c r="O174" s="25">
        <f>INDEX('Inputs (2)'!$D$24:$AL$24,MATCH(O$7,'Inputs (2)'!$D$2:$AL$2,0))</f>
        <v>3891.8</v>
      </c>
      <c r="P174" s="25">
        <f>INDEX('Inputs (2)'!$D$24:$AL$24,MATCH(P$7,'Inputs (2)'!$D$2:$AL$2,0))</f>
        <v>3891.6</v>
      </c>
      <c r="Q174" s="25">
        <f>INDEX('Inputs (2)'!$D$24:$AL$24,MATCH(Q$7,'Inputs (2)'!$D$2:$AL$2,0))</f>
        <v>4073</v>
      </c>
      <c r="R174" s="3">
        <f>Q174</f>
        <v>4073</v>
      </c>
      <c r="S174" s="25">
        <f>INDEX('Inputs (2)'!$D$24:$AL$24,MATCH(S$7,'Inputs (2)'!$D$2:$AL$2,0))</f>
        <v>4073.1</v>
      </c>
      <c r="T174" s="25">
        <f>INDEX('Inputs (2)'!$D$24:$AL$24,MATCH(T$7,'Inputs (2)'!$D$2:$AL$2,0))</f>
        <v>4078.9</v>
      </c>
      <c r="U174" s="25">
        <f>INDEX('Inputs (2)'!$D$24:$AL$24,MATCH(U$7,'Inputs (2)'!$D$2:$AL$2,0))</f>
        <v>4085.2</v>
      </c>
      <c r="V174" s="25">
        <f>INDEX('Inputs (2)'!$D$24:$AL$24,MATCH(V$7,'Inputs (2)'!$D$2:$AL$2,0))</f>
        <v>4939.7</v>
      </c>
      <c r="W174" s="3">
        <f>V174</f>
        <v>4939.7</v>
      </c>
      <c r="X174" s="25">
        <f>INDEX('Inputs (2)'!$D$24:$AL$24,MATCH(X$7,'Inputs (2)'!$D$2:$AL$2,0))</f>
        <v>4939.6</v>
      </c>
      <c r="Y174" s="25">
        <f>INDEX('Inputs (2)'!$D$24:$AL$24,MATCH(Y$7,'Inputs (2)'!$D$2:$AL$2,0))</f>
        <v>5768.2</v>
      </c>
      <c r="Z174" s="25">
        <f>INDEX('Inputs (2)'!$D$24:$AL$24,MATCH(Z$7,'Inputs (2)'!$D$2:$AL$2,0))</f>
        <v>5768.4</v>
      </c>
      <c r="AA174" s="25">
        <f>INDEX('Inputs (2)'!$D$24:$AL$24,MATCH(AA$7,'Inputs (2)'!$D$2:$AL$2,0))</f>
        <v>5770.3</v>
      </c>
      <c r="AB174" s="3">
        <f>AA174</f>
        <v>5770.3</v>
      </c>
      <c r="AC174" s="25">
        <f>INDEX('Inputs (2)'!$D$24:$AL$24,MATCH(AC$7,'Inputs (2)'!$D$2:$AL$2,0))</f>
        <v>5770.5</v>
      </c>
      <c r="AD174" s="25">
        <f>INDEX('Inputs (2)'!$D$24:$AL$24,MATCH(AD$7,'Inputs (2)'!$D$2:$AL$2,0))</f>
        <v>5770.5</v>
      </c>
      <c r="AE174" s="25">
        <f>INDEX('Inputs (2)'!$D$24:$AL$24,MATCH(AE$7,'Inputs (2)'!$D$2:$AL$2,0))</f>
        <v>5898</v>
      </c>
      <c r="AF174" s="25">
        <f>INDEX('Inputs (2)'!$D$24:$AL$24,MATCH(AF$7,'Inputs (2)'!$D$2:$AL$2,0))</f>
        <v>5898</v>
      </c>
      <c r="AG174" s="3">
        <f>AF174</f>
        <v>5898</v>
      </c>
      <c r="AH174" s="3">
        <f>INDEX('Inputs (2)'!$D$24:$AL$24,MATCH(AH$7,'Inputs (2)'!$D$2:$AL$2,0))</f>
        <v>6130</v>
      </c>
      <c r="AI174" s="3">
        <f>INDEX('Inputs (2)'!$D$24:$AL$24,MATCH(AI$7,'Inputs (2)'!$D$2:$AL$2,0))</f>
        <v>8849</v>
      </c>
      <c r="AJ174" s="3">
        <f>AI174</f>
        <v>8849</v>
      </c>
      <c r="AK174" s="3">
        <f>AJ174</f>
        <v>8849</v>
      </c>
      <c r="AL174" s="3">
        <f>AK174</f>
        <v>8849</v>
      </c>
      <c r="AM174" s="3">
        <f>AL174</f>
        <v>8849</v>
      </c>
      <c r="AN174" s="3">
        <f>AM174</f>
        <v>8849</v>
      </c>
      <c r="AO174" s="3">
        <f>AN174</f>
        <v>8849</v>
      </c>
      <c r="AP174" s="3">
        <f>AO174</f>
        <v>8849</v>
      </c>
      <c r="AQ174" s="3">
        <f>AP174</f>
        <v>8849</v>
      </c>
      <c r="AR174" s="3">
        <f>AQ174</f>
        <v>8849</v>
      </c>
      <c r="AS174" s="3">
        <f>AR174</f>
        <v>8849</v>
      </c>
      <c r="AT174" s="3">
        <f>AS174</f>
        <v>8849</v>
      </c>
      <c r="AU174" s="3">
        <f>AT174</f>
        <v>8849</v>
      </c>
      <c r="AV174" s="3">
        <f>AU174</f>
        <v>8849</v>
      </c>
      <c r="AW174" s="3">
        <f>AV174</f>
        <v>8849</v>
      </c>
      <c r="AX174" s="3">
        <f>AW174</f>
        <v>8849</v>
      </c>
      <c r="AY174" s="3">
        <f>AX174</f>
        <v>8849</v>
      </c>
      <c r="AZ174" s="3">
        <f>AY174</f>
        <v>8849</v>
      </c>
      <c r="BA174" s="3">
        <f>AZ174</f>
        <v>8849</v>
      </c>
      <c r="BB174" s="3">
        <f>BA174</f>
        <v>8849</v>
      </c>
      <c r="BC174" s="3">
        <f>BB174</f>
        <v>8849</v>
      </c>
      <c r="BD174" s="3">
        <f>BC174</f>
        <v>8849</v>
      </c>
      <c r="BE174" s="3">
        <f>BD174</f>
        <v>8849</v>
      </c>
      <c r="BF174" s="3">
        <f>BE174</f>
        <v>8849</v>
      </c>
      <c r="BG174" s="3">
        <f>BF174</f>
        <v>8849</v>
      </c>
      <c r="BH174" s="3">
        <f>BG174</f>
        <v>8849</v>
      </c>
      <c r="BI174" s="3">
        <f>BH174</f>
        <v>8849</v>
      </c>
      <c r="BJ174" s="3">
        <f>BI174</f>
        <v>8849</v>
      </c>
      <c r="BK174" s="3">
        <f>BJ174</f>
        <v>8849</v>
      </c>
      <c r="BL174" s="3">
        <f>BK174</f>
        <v>8849</v>
      </c>
      <c r="BM174" s="3">
        <f>BL174</f>
        <v>8849</v>
      </c>
      <c r="BN174" s="3">
        <f>BM174</f>
        <v>8849</v>
      </c>
      <c r="BO174" s="3">
        <f>BN174</f>
        <v>8849</v>
      </c>
      <c r="BP174" s="3">
        <f>BO174</f>
        <v>8849</v>
      </c>
      <c r="BQ174" s="3">
        <f>BP174</f>
        <v>8849</v>
      </c>
      <c r="BR174" s="3">
        <f>BQ174</f>
        <v>8849</v>
      </c>
      <c r="BS174" s="3">
        <f>BR174</f>
        <v>8849</v>
      </c>
      <c r="BT174" s="3">
        <f>BS174</f>
        <v>8849</v>
      </c>
      <c r="BU174" s="3">
        <f>BT174</f>
        <v>8849</v>
      </c>
      <c r="BV174" s="3">
        <f>BU174</f>
        <v>8849</v>
      </c>
      <c r="BW174" s="3">
        <f>BV174</f>
        <v>8849</v>
      </c>
      <c r="BX174" s="3">
        <f>BW174</f>
        <v>8849</v>
      </c>
      <c r="BY174" s="3">
        <f>BX174</f>
        <v>8849</v>
      </c>
      <c r="BZ174" s="3">
        <f>BY174</f>
        <v>8849</v>
      </c>
      <c r="CA174" s="3">
        <f>BZ174</f>
        <v>8849</v>
      </c>
      <c r="CB174" s="3">
        <f>CA174</f>
        <v>8849</v>
      </c>
      <c r="CC174" s="3">
        <f>CB174</f>
        <v>8849</v>
      </c>
      <c r="CD174" s="3">
        <f>CC174</f>
        <v>8849</v>
      </c>
      <c r="CE174" s="3">
        <f>CD174</f>
        <v>8849</v>
      </c>
      <c r="CF174" s="3">
        <f>CE174</f>
        <v>8849</v>
      </c>
      <c r="CG174" s="3">
        <f>CF174</f>
        <v>8849</v>
      </c>
      <c r="CH174" s="3">
        <f>CG174</f>
        <v>8849</v>
      </c>
      <c r="CI174" s="3">
        <f>CH174</f>
        <v>8849</v>
      </c>
      <c r="CJ174" s="3">
        <f>CI174</f>
        <v>8849</v>
      </c>
      <c r="CK174" s="3">
        <f>CJ174</f>
        <v>8849</v>
      </c>
      <c r="CL174" s="3">
        <f>CK174</f>
        <v>8849</v>
      </c>
      <c r="CM174" s="3">
        <f>CL174</f>
        <v>8849</v>
      </c>
      <c r="CN174" s="3">
        <f>CM174</f>
        <v>8849</v>
      </c>
      <c r="CO174" s="3">
        <f>CN174</f>
        <v>8849</v>
      </c>
      <c r="CP174" s="3">
        <f>CO174</f>
        <v>8849</v>
      </c>
      <c r="CQ174" s="3">
        <f>CP174</f>
        <v>8849</v>
      </c>
      <c r="CR174" s="3">
        <f>CQ174</f>
        <v>8849</v>
      </c>
      <c r="CS174" s="3">
        <f>CR174</f>
        <v>8849</v>
      </c>
      <c r="CT174" s="3">
        <f>CS174</f>
        <v>8849</v>
      </c>
      <c r="CU174" s="3">
        <f>CT174</f>
        <v>8849</v>
      </c>
      <c r="CV174" s="3">
        <f>CU174</f>
        <v>8849</v>
      </c>
      <c r="CW174" s="3">
        <f>CV174</f>
        <v>8849</v>
      </c>
      <c r="CX174" s="3">
        <f>CW174</f>
        <v>8849</v>
      </c>
      <c r="CY174" s="3">
        <f>CX174</f>
        <v>8849</v>
      </c>
    </row>
    <row r="175">
      <c r="C175" s="26" t="inlineStr">
        <is>
          <t>Intangibles</t>
        </is>
      </c>
      <c r="D175" s="25">
        <f>INDEX('Inputs (2)'!$D$25:$AL$25,MATCH(D$7,'Inputs (2)'!$D$2:$AL$2,0))</f>
        <v>7766.7</v>
      </c>
      <c r="E175" s="25">
        <f>INDEX('Inputs (2)'!$D$25:$AL$25,MATCH(E$7,'Inputs (2)'!$D$2:$AL$2,0))</f>
        <v>7712.5</v>
      </c>
      <c r="F175" s="25">
        <f>INDEX('Inputs (2)'!$D$25:$AL$25,MATCH(F$7,'Inputs (2)'!$D$2:$AL$2,0))</f>
        <v>7588.6</v>
      </c>
      <c r="G175" s="25">
        <f>INDEX('Inputs (2)'!$D$25:$AL$25,MATCH(G$7,'Inputs (2)'!$D$2:$AL$2,0))</f>
        <v>7450</v>
      </c>
      <c r="H175" s="3">
        <f>G175</f>
        <v>7450</v>
      </c>
      <c r="I175" s="25">
        <f>INDEX('Inputs (2)'!$D$25:$AL$25,MATCH(I$7,'Inputs (2)'!$D$2:$AL$2,0))</f>
        <v>8087.8</v>
      </c>
      <c r="J175" s="25">
        <f>INDEX('Inputs (2)'!$D$25:$AL$25,MATCH(J$7,'Inputs (2)'!$D$2:$AL$2,0))</f>
        <v>7985.4</v>
      </c>
      <c r="K175" s="25">
        <f>INDEX('Inputs (2)'!$D$25:$AL$25,MATCH(K$7,'Inputs (2)'!$D$2:$AL$2,0))</f>
        <v>7887.7</v>
      </c>
      <c r="L175" s="25">
        <f>INDEX('Inputs (2)'!$D$25:$AL$25,MATCH(L$7,'Inputs (2)'!$D$2:$AL$2,0))</f>
        <v>7691.9</v>
      </c>
      <c r="M175" s="3">
        <f>L175</f>
        <v>7691.9</v>
      </c>
      <c r="N175" s="25">
        <f>INDEX('Inputs (2)'!$D$25:$AL$25,MATCH(N$7,'Inputs (2)'!$D$2:$AL$2,0))</f>
        <v>7482.4</v>
      </c>
      <c r="O175" s="25">
        <f>INDEX('Inputs (2)'!$D$25:$AL$25,MATCH(O$7,'Inputs (2)'!$D$2:$AL$2,0))</f>
        <v>7497.7</v>
      </c>
      <c r="P175" s="25">
        <f>INDEX('Inputs (2)'!$D$25:$AL$25,MATCH(P$7,'Inputs (2)'!$D$2:$AL$2,0))</f>
        <v>7124.1</v>
      </c>
      <c r="Q175" s="25">
        <f>INDEX('Inputs (2)'!$D$25:$AL$25,MATCH(Q$7,'Inputs (2)'!$D$2:$AL$2,0))</f>
        <v>7206.6</v>
      </c>
      <c r="R175" s="3">
        <f>Q175</f>
        <v>7206.6</v>
      </c>
      <c r="S175" s="25">
        <f>INDEX('Inputs (2)'!$D$25:$AL$25,MATCH(S$7,'Inputs (2)'!$D$2:$AL$2,0))</f>
        <v>7087.1</v>
      </c>
      <c r="T175" s="25">
        <f>INDEX('Inputs (2)'!$D$25:$AL$25,MATCH(T$7,'Inputs (2)'!$D$2:$AL$2,0))</f>
        <v>6903.5</v>
      </c>
      <c r="U175" s="25">
        <f>INDEX('Inputs (2)'!$D$25:$AL$25,MATCH(U$7,'Inputs (2)'!$D$2:$AL$2,0))</f>
        <v>6781.7</v>
      </c>
      <c r="V175" s="25">
        <f>INDEX('Inputs (2)'!$D$25:$AL$25,MATCH(V$7,'Inputs (2)'!$D$2:$AL$2,0))</f>
        <v>6906.6</v>
      </c>
      <c r="W175" s="3">
        <f>V175</f>
        <v>6906.6</v>
      </c>
      <c r="X175" s="25">
        <f>INDEX('Inputs (2)'!$D$25:$AL$25,MATCH(X$7,'Inputs (2)'!$D$2:$AL$2,0))</f>
        <v>6762.2</v>
      </c>
      <c r="Y175" s="25">
        <f>INDEX('Inputs (2)'!$D$25:$AL$25,MATCH(Y$7,'Inputs (2)'!$D$2:$AL$2,0))</f>
        <v>6636.1</v>
      </c>
      <c r="Z175" s="25">
        <f>INDEX('Inputs (2)'!$D$25:$AL$25,MATCH(Z$7,'Inputs (2)'!$D$2:$AL$2,0))</f>
        <v>6537.3</v>
      </c>
      <c r="AA175" s="25">
        <f>INDEX('Inputs (2)'!$D$25:$AL$25,MATCH(AA$7,'Inputs (2)'!$D$2:$AL$2,0))</f>
        <v>6166.3</v>
      </c>
      <c r="AB175" s="3">
        <f>AA175</f>
        <v>6166.3</v>
      </c>
      <c r="AC175" s="25">
        <f>INDEX('Inputs (2)'!$D$25:$AL$25,MATCH(AC$7,'Inputs (2)'!$D$2:$AL$2,0))</f>
        <v>6012.2</v>
      </c>
      <c r="AD175" s="25">
        <f>INDEX('Inputs (2)'!$D$25:$AL$25,MATCH(AD$7,'Inputs (2)'!$D$2:$AL$2,0))</f>
        <v>5908.3</v>
      </c>
      <c r="AE175" s="25">
        <f>INDEX('Inputs (2)'!$D$25:$AL$25,MATCH(AE$7,'Inputs (2)'!$D$2:$AL$2,0))</f>
        <v>6446.7</v>
      </c>
      <c r="AF175" s="25">
        <f>INDEX('Inputs (2)'!$D$25:$AL$25,MATCH(AF$7,'Inputs (2)'!$D$2:$AL$2,0))</f>
        <v>6521</v>
      </c>
      <c r="AG175" s="3">
        <f>AF175</f>
        <v>6521</v>
      </c>
      <c r="AH175" s="3">
        <f>INDEX('Inputs (2)'!$D$25:$AL$25,MATCH(AH$7,'Inputs (2)'!$D$2:$AL$2,0))</f>
        <v>7374</v>
      </c>
      <c r="AI175" s="3">
        <f>INDEX('Inputs (2)'!$D$25:$AL$25,MATCH(AI$7,'Inputs (2)'!$D$2:$AL$2,0))</f>
        <v>18110</v>
      </c>
      <c r="AJ175" s="3" t="n"/>
      <c r="AK175" s="3" t="n"/>
      <c r="AL175" s="3">
        <f>AK175</f>
        <v>0</v>
      </c>
      <c r="AN175" s="3" t="n"/>
      <c r="AO175" s="3" t="n"/>
      <c r="AP175" s="3" t="n"/>
      <c r="AQ175" s="3">
        <f>AP175</f>
        <v>0</v>
      </c>
      <c r="AS175" s="3" t="n"/>
      <c r="AT175" s="3" t="n"/>
      <c r="AU175" s="3" t="n"/>
      <c r="AV175" s="3">
        <f>AU175</f>
        <v>0</v>
      </c>
      <c r="AX175" s="3" t="n"/>
      <c r="AY175" s="3" t="n"/>
      <c r="AZ175" s="3" t="n"/>
      <c r="BA175" s="3">
        <f>AZ175</f>
        <v>0</v>
      </c>
      <c r="BC175" s="3" t="n"/>
      <c r="BD175" s="3" t="n"/>
      <c r="BE175" s="3" t="n"/>
      <c r="BF175" s="3">
        <f>BE175</f>
        <v>0</v>
      </c>
      <c r="BH175" s="3" t="n"/>
      <c r="BI175" s="3" t="n"/>
      <c r="BJ175" s="3" t="n"/>
      <c r="BK175" s="3">
        <f>BJ175</f>
        <v>0</v>
      </c>
      <c r="BM175" s="3" t="n"/>
      <c r="BN175" s="3" t="n"/>
      <c r="BO175" s="3" t="n"/>
      <c r="BP175" s="3">
        <f>BO175</f>
        <v>0</v>
      </c>
      <c r="BR175" s="3" t="n"/>
      <c r="BS175" s="3" t="n"/>
      <c r="BT175" s="3" t="n"/>
      <c r="BU175" s="3">
        <f>BT175</f>
        <v>0</v>
      </c>
      <c r="BW175" s="3" t="n"/>
      <c r="BX175" s="3" t="n"/>
      <c r="BY175" s="3" t="n"/>
      <c r="BZ175" s="3">
        <f>BY175</f>
        <v>0</v>
      </c>
      <c r="CB175" s="3" t="n"/>
      <c r="CC175" s="3" t="n"/>
      <c r="CD175" s="3" t="n"/>
      <c r="CE175" s="3">
        <f>CD175</f>
        <v>0</v>
      </c>
      <c r="CG175" s="3" t="n"/>
      <c r="CH175" s="3" t="n"/>
      <c r="CI175" s="3" t="n"/>
      <c r="CJ175" s="3">
        <f>CI175</f>
        <v>0</v>
      </c>
      <c r="CL175" s="3" t="n"/>
      <c r="CM175" s="3" t="n"/>
      <c r="CN175" s="3" t="n"/>
      <c r="CO175" s="3">
        <f>CN175</f>
        <v>0</v>
      </c>
      <c r="CQ175" s="3" t="n"/>
      <c r="CR175" s="3" t="n"/>
      <c r="CS175" s="3" t="n"/>
      <c r="CT175" s="3">
        <f>CS175</f>
        <v>0</v>
      </c>
      <c r="CV175" s="3" t="n"/>
      <c r="CW175" s="3" t="n"/>
      <c r="CX175" s="3" t="n"/>
      <c r="CY175" s="3">
        <f>CX175</f>
        <v>0</v>
      </c>
    </row>
    <row r="176" hidden="1" outlineLevel="1">
      <c r="C176" s="34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  <c r="BZ176" s="3" t="n"/>
      <c r="CA176" s="3" t="n"/>
      <c r="CB176" s="3" t="n"/>
      <c r="CC176" s="3" t="n"/>
      <c r="CD176" s="3" t="n"/>
      <c r="CE176" s="3" t="n"/>
      <c r="CF176" s="3" t="n"/>
      <c r="CG176" s="3" t="n"/>
      <c r="CH176" s="3" t="n"/>
      <c r="CI176" s="3" t="n"/>
      <c r="CJ176" s="3" t="n"/>
      <c r="CK176" s="3" t="n"/>
      <c r="CL176" s="3" t="n"/>
      <c r="CM176" s="3" t="n"/>
      <c r="CN176" s="3" t="n"/>
      <c r="CO176" s="3" t="n"/>
      <c r="CP176" s="3" t="n"/>
      <c r="CQ176" s="3" t="n"/>
      <c r="CR176" s="3" t="n"/>
      <c r="CS176" s="3" t="n"/>
      <c r="CT176" s="3" t="n"/>
      <c r="CU176" s="3" t="n"/>
      <c r="CV176" s="3" t="n"/>
      <c r="CW176" s="3" t="n"/>
      <c r="CX176" s="3" t="n"/>
      <c r="CY176" s="3" t="n"/>
    </row>
    <row r="177" hidden="1" outlineLevel="1">
      <c r="C177" s="34" t="inlineStr">
        <is>
          <t>Purchase of intangible assets</t>
        </is>
      </c>
      <c r="D177" s="3" t="n"/>
      <c r="E177" s="3">
        <f>E175-D175-E79</f>
        <v>-54.1999999999998</v>
      </c>
      <c r="F177" s="3">
        <f>F175-E175-F79</f>
        <v>-123.900000000001</v>
      </c>
      <c r="G177" s="3">
        <f>G175-F175-G79</f>
        <v>-138.599999999999</v>
      </c>
      <c r="H177" s="3" t="n"/>
      <c r="I177" s="3">
        <f>I175-H175-I79</f>
        <v>637.799999999999</v>
      </c>
      <c r="J177" s="3">
        <f>J175-I175-J79</f>
        <v>-102.4</v>
      </c>
      <c r="K177" s="3">
        <f>K175-J175-K79</f>
        <v>-97.6999999999998</v>
      </c>
      <c r="L177" s="3">
        <f>L175-K175-L79</f>
        <v>-195.8</v>
      </c>
      <c r="M177" s="3" t="n"/>
      <c r="N177" s="3">
        <f>N175-M175-N79</f>
        <v>-209.5</v>
      </c>
      <c r="O177" s="3">
        <f>O175-N175-O79</f>
        <v>15.3000000000002</v>
      </c>
      <c r="P177" s="3">
        <f>P175-O175-P79</f>
        <v>-373.6</v>
      </c>
      <c r="Q177" s="3">
        <f>Q175-P175-Q79</f>
        <v>82.5</v>
      </c>
      <c r="R177" s="3" t="n"/>
      <c r="S177" s="3">
        <f>S175-R175-S79</f>
        <v>-119.5</v>
      </c>
      <c r="T177" s="3">
        <f>T175-S175-T79</f>
        <v>-183.599999999999</v>
      </c>
      <c r="U177" s="3">
        <f>U175-T175-U79</f>
        <v>-121.8</v>
      </c>
      <c r="V177" s="3">
        <f>V175-U175-V79</f>
        <v>124.9</v>
      </c>
      <c r="W177" s="3" t="n"/>
      <c r="X177" s="3">
        <f>X175-W175-X79</f>
        <v>-144.4</v>
      </c>
      <c r="Y177" s="3">
        <f>Y175-X175-Y79</f>
        <v>-126.1</v>
      </c>
      <c r="Z177" s="3">
        <f>Z175-Y175-Z79</f>
        <v>-98.8000000000002</v>
      </c>
      <c r="AA177" s="3">
        <f>AA175-Z175-AA79</f>
        <v>-371</v>
      </c>
      <c r="AB177" s="3" t="n"/>
      <c r="AC177" s="3">
        <f>AC175-AB175-AC79</f>
        <v>-154.099999999999</v>
      </c>
      <c r="AD177" s="3">
        <f>AD175-AC175-AD79</f>
        <v>-103.9</v>
      </c>
      <c r="AE177" s="3">
        <f>AE175-AD175-AE79</f>
        <v>538.4</v>
      </c>
      <c r="AF177" s="3" t="n"/>
      <c r="AG177" s="3" t="n"/>
      <c r="AH177" s="6">
        <f>AH175-AG175-AH79</f>
        <v>853</v>
      </c>
      <c r="AI177" s="6">
        <f>AI175-AH175-AI79</f>
        <v>10736</v>
      </c>
      <c r="AJ177" s="6" t="n"/>
      <c r="AK177" s="6" t="n"/>
      <c r="AL177" s="3" t="n"/>
      <c r="AM177" s="6" t="n"/>
      <c r="AN177" s="6" t="n"/>
      <c r="AO177" s="6" t="n"/>
      <c r="AP177" s="6" t="n"/>
      <c r="AQ177" s="3" t="n"/>
      <c r="AR177" s="6" t="n"/>
      <c r="AS177" s="6" t="n"/>
      <c r="AT177" s="6" t="n"/>
      <c r="AU177" s="6" t="n"/>
      <c r="AV177" s="3" t="n"/>
      <c r="AW177" s="6" t="n"/>
      <c r="AX177" s="6" t="n"/>
      <c r="AY177" s="6" t="n"/>
      <c r="AZ177" s="6" t="n"/>
      <c r="BA177" s="3" t="n"/>
      <c r="BB177" s="6" t="n"/>
      <c r="BC177" s="6" t="n"/>
      <c r="BD177" s="6" t="n"/>
      <c r="BE177" s="6" t="n"/>
      <c r="BF177" s="3" t="n"/>
      <c r="BG177" s="6" t="n"/>
      <c r="BH177" s="6" t="n"/>
      <c r="BI177" s="6" t="n"/>
      <c r="BJ177" s="6" t="n"/>
      <c r="BK177" s="3" t="n"/>
      <c r="BL177" s="6" t="n"/>
      <c r="BM177" s="6" t="n"/>
      <c r="BN177" s="6" t="n"/>
      <c r="BO177" s="6" t="n"/>
      <c r="BP177" s="3" t="n"/>
      <c r="BQ177" s="6" t="n"/>
      <c r="BR177" s="6" t="n"/>
      <c r="BS177" s="6" t="n"/>
      <c r="BT177" s="6" t="n"/>
      <c r="BU177" s="3" t="n"/>
      <c r="BV177" s="6" t="n"/>
      <c r="BW177" s="6" t="n"/>
      <c r="BX177" s="6" t="n"/>
      <c r="BY177" s="6" t="n"/>
      <c r="BZ177" s="3" t="n"/>
      <c r="CA177" s="6" t="n"/>
      <c r="CB177" s="6" t="n"/>
      <c r="CC177" s="6" t="n"/>
      <c r="CD177" s="6" t="n"/>
      <c r="CE177" s="3" t="n"/>
      <c r="CF177" s="6" t="n"/>
      <c r="CG177" s="6" t="n"/>
      <c r="CH177" s="6" t="n"/>
      <c r="CI177" s="6" t="n"/>
      <c r="CJ177" s="3" t="n"/>
      <c r="CK177" s="6" t="n"/>
      <c r="CL177" s="6" t="n"/>
      <c r="CM177" s="6" t="n"/>
      <c r="CN177" s="6" t="n"/>
      <c r="CO177" s="3" t="n"/>
      <c r="CP177" s="6" t="n"/>
      <c r="CQ177" s="6" t="n"/>
      <c r="CR177" s="6" t="n"/>
      <c r="CS177" s="6" t="n"/>
      <c r="CT177" s="3" t="n"/>
      <c r="CU177" s="6" t="n"/>
      <c r="CV177" s="6" t="n"/>
      <c r="CW177" s="6" t="n"/>
      <c r="CX177" s="6" t="n"/>
      <c r="CY177" s="3" t="n"/>
    </row>
    <row r="178" hidden="1" outlineLevel="1">
      <c r="C178" s="34" t="inlineStr">
        <is>
          <t>Amortization (enter as -)</t>
        </is>
      </c>
      <c r="D178" s="3" t="n"/>
      <c r="E178" s="3">
        <f>E78</f>
        <v>0</v>
      </c>
      <c r="F178" s="3">
        <f>F78</f>
        <v>0</v>
      </c>
      <c r="G178" s="3">
        <f>G78</f>
        <v>0</v>
      </c>
      <c r="H178" s="3" t="n"/>
      <c r="I178" s="3">
        <f>I78</f>
        <v>0</v>
      </c>
      <c r="J178" s="3">
        <f>J78</f>
        <v>0</v>
      </c>
      <c r="K178" s="3">
        <f>K78</f>
        <v>0</v>
      </c>
      <c r="L178" s="3">
        <f>L78</f>
        <v>0</v>
      </c>
      <c r="M178" s="3" t="n"/>
      <c r="N178" s="3">
        <f>N78</f>
        <v>0</v>
      </c>
      <c r="O178" s="3">
        <f>O78</f>
        <v>0</v>
      </c>
      <c r="P178" s="3">
        <f>P78</f>
        <v>0</v>
      </c>
      <c r="Q178" s="3">
        <f>Q78</f>
        <v>0</v>
      </c>
      <c r="R178" s="3" t="n"/>
      <c r="S178" s="3">
        <f>S78</f>
        <v>0</v>
      </c>
      <c r="T178" s="3">
        <f>T78</f>
        <v>0</v>
      </c>
      <c r="U178" s="3">
        <f>U78</f>
        <v>0</v>
      </c>
      <c r="V178" s="3">
        <f>V78</f>
        <v>0</v>
      </c>
      <c r="W178" s="3" t="n"/>
      <c r="X178" s="3">
        <f>X78</f>
        <v>0</v>
      </c>
      <c r="Y178" s="3">
        <f>Y78</f>
        <v>0</v>
      </c>
      <c r="Z178" s="3">
        <f>Z78</f>
        <v>0</v>
      </c>
      <c r="AA178" s="3">
        <f>AA78</f>
        <v>0</v>
      </c>
      <c r="AB178" s="3" t="n"/>
      <c r="AC178" s="3">
        <f>AC78</f>
        <v>0</v>
      </c>
      <c r="AD178" s="3">
        <f>AD78</f>
        <v>0</v>
      </c>
      <c r="AE178" s="3">
        <f>AE78</f>
        <v>0</v>
      </c>
      <c r="AF178" s="3" t="n"/>
      <c r="AG178" s="3" t="n"/>
      <c r="AH178" s="3">
        <f>AH78</f>
        <v>0</v>
      </c>
      <c r="AI178" s="6">
        <f>AI78</f>
        <v>0</v>
      </c>
      <c r="AJ178" s="6" t="n"/>
      <c r="AK178" s="6" t="n"/>
      <c r="AL178" s="3" t="n"/>
      <c r="AM178" s="6" t="n"/>
      <c r="AN178" s="6" t="n"/>
      <c r="AO178" s="6" t="n"/>
      <c r="AP178" s="6" t="n"/>
      <c r="AQ178" s="3" t="n"/>
      <c r="AR178" s="6" t="n"/>
      <c r="AS178" s="6" t="n"/>
      <c r="AT178" s="6" t="n"/>
      <c r="AU178" s="6" t="n"/>
      <c r="AV178" s="3" t="n"/>
      <c r="AW178" s="6" t="n"/>
      <c r="AX178" s="6" t="n"/>
      <c r="AY178" s="6" t="n"/>
      <c r="AZ178" s="6" t="n"/>
      <c r="BA178" s="3" t="n"/>
      <c r="BB178" s="6" t="n"/>
      <c r="BC178" s="6" t="n"/>
      <c r="BD178" s="6" t="n"/>
      <c r="BE178" s="6" t="n"/>
      <c r="BF178" s="3" t="n"/>
      <c r="BG178" s="6" t="n"/>
      <c r="BH178" s="6" t="n"/>
      <c r="BI178" s="6" t="n"/>
      <c r="BJ178" s="6" t="n"/>
      <c r="BK178" s="3" t="n"/>
      <c r="BL178" s="6" t="n"/>
      <c r="BM178" s="6" t="n"/>
      <c r="BN178" s="6" t="n"/>
      <c r="BO178" s="6" t="n"/>
      <c r="BP178" s="3" t="n"/>
      <c r="BQ178" s="6" t="n"/>
      <c r="BR178" s="6" t="n"/>
      <c r="BS178" s="6" t="n"/>
      <c r="BT178" s="6" t="n"/>
      <c r="BU178" s="3" t="n"/>
      <c r="BV178" s="6" t="n"/>
      <c r="BW178" s="6" t="n"/>
      <c r="BX178" s="6" t="n"/>
      <c r="BY178" s="6" t="n"/>
      <c r="BZ178" s="3" t="n"/>
      <c r="CA178" s="6" t="n"/>
      <c r="CB178" s="6" t="n"/>
      <c r="CC178" s="6" t="n"/>
      <c r="CD178" s="6" t="n"/>
      <c r="CE178" s="3" t="n"/>
      <c r="CF178" s="6" t="n"/>
      <c r="CG178" s="6" t="n"/>
      <c r="CH178" s="6" t="n"/>
      <c r="CI178" s="6" t="n"/>
      <c r="CJ178" s="3" t="n"/>
      <c r="CK178" s="6" t="n"/>
      <c r="CL178" s="6" t="n"/>
      <c r="CM178" s="6" t="n"/>
      <c r="CN178" s="6" t="n"/>
      <c r="CO178" s="3" t="n"/>
      <c r="CP178" s="6" t="n"/>
      <c r="CQ178" s="6" t="n"/>
      <c r="CR178" s="6" t="n"/>
      <c r="CS178" s="6" t="n"/>
      <c r="CT178" s="3" t="n"/>
      <c r="CU178" s="6" t="n"/>
      <c r="CV178" s="6" t="n"/>
      <c r="CW178" s="6" t="n"/>
      <c r="CX178" s="6" t="n"/>
      <c r="CY178" s="3" t="n"/>
    </row>
    <row r="179" hidden="1" outlineLevel="1">
      <c r="C179" s="34" t="inlineStr">
        <is>
          <t>Intangibles</t>
        </is>
      </c>
      <c r="D179" s="3" t="n"/>
      <c r="E179" s="3">
        <f>E175</f>
        <v>7712.5</v>
      </c>
      <c r="F179" s="3">
        <f>F175</f>
        <v>7588.6</v>
      </c>
      <c r="G179" s="3">
        <f>G175</f>
        <v>7450</v>
      </c>
      <c r="H179" s="3" t="n"/>
      <c r="I179" s="3">
        <f>I175</f>
        <v>8087.8</v>
      </c>
      <c r="J179" s="3">
        <f>J175</f>
        <v>7985.4</v>
      </c>
      <c r="K179" s="3">
        <f>K175</f>
        <v>7887.7</v>
      </c>
      <c r="L179" s="3">
        <f>L175</f>
        <v>7691.9</v>
      </c>
      <c r="M179" s="3" t="n"/>
      <c r="N179" s="3">
        <f>N175</f>
        <v>7482.4</v>
      </c>
      <c r="O179" s="3">
        <f>O175</f>
        <v>7497.7</v>
      </c>
      <c r="P179" s="3">
        <f>P175</f>
        <v>7124.1</v>
      </c>
      <c r="Q179" s="3">
        <f>Q175</f>
        <v>7206.6</v>
      </c>
      <c r="R179" s="3" t="n"/>
      <c r="S179" s="3">
        <f>S175</f>
        <v>7087.1</v>
      </c>
      <c r="T179" s="3">
        <f>T175</f>
        <v>6903.5</v>
      </c>
      <c r="U179" s="3">
        <f>U175</f>
        <v>6781.7</v>
      </c>
      <c r="V179" s="3">
        <f>V175</f>
        <v>6906.6</v>
      </c>
      <c r="W179" s="3" t="n"/>
      <c r="X179" s="3">
        <f>X175</f>
        <v>6762.2</v>
      </c>
      <c r="Y179" s="3">
        <f>Y175</f>
        <v>6636.1</v>
      </c>
      <c r="Z179" s="3">
        <f>Z175</f>
        <v>6537.3</v>
      </c>
      <c r="AA179" s="3">
        <f>AA175</f>
        <v>6166.3</v>
      </c>
      <c r="AB179" s="3" t="n"/>
      <c r="AC179" s="3">
        <f>AC175</f>
        <v>6012.2</v>
      </c>
      <c r="AD179" s="3">
        <f>AD175</f>
        <v>5908.3</v>
      </c>
      <c r="AE179" s="3">
        <f>AE175</f>
        <v>6446.7</v>
      </c>
      <c r="AF179" s="3">
        <f>AF175</f>
        <v>6521</v>
      </c>
      <c r="AG179" s="3" t="n"/>
      <c r="AH179" s="3">
        <f>AH175</f>
        <v>7374</v>
      </c>
      <c r="AI179" s="3">
        <f>AI175</f>
        <v>18110</v>
      </c>
      <c r="AJ179" s="3">
        <f>AI179+SUM(AJ177:AJ178)</f>
        <v>18110</v>
      </c>
      <c r="AK179" s="3">
        <f>AJ179+SUM(AK177:AK178)</f>
        <v>18110</v>
      </c>
      <c r="AL179" s="3" t="n"/>
      <c r="AM179" s="3">
        <f>AK179+SUM(AM177:AM178)</f>
        <v>18110</v>
      </c>
      <c r="AN179" s="3">
        <f>AM179+SUM(AN177:AN178)</f>
        <v>18110</v>
      </c>
      <c r="AO179" s="3">
        <f>AN179+SUM(AO177:AO178)</f>
        <v>18110</v>
      </c>
      <c r="AP179" s="3">
        <f>AO179+SUM(AP177:AP178)</f>
        <v>18110</v>
      </c>
      <c r="AQ179" s="3" t="n"/>
      <c r="AR179" s="3">
        <f>AP179+SUM(AR177:AR178)</f>
        <v>18110</v>
      </c>
      <c r="AS179" s="3">
        <f>AR179+SUM(AS177:AS178)</f>
        <v>18110</v>
      </c>
      <c r="AT179" s="3">
        <f>AS179+SUM(AT177:AT178)</f>
        <v>18110</v>
      </c>
      <c r="AU179" s="3">
        <f>AT179+SUM(AU177:AU178)</f>
        <v>18110</v>
      </c>
      <c r="AV179" s="3" t="n"/>
      <c r="AW179" s="3">
        <f>AU179+SUM(AW177:AW178)</f>
        <v>18110</v>
      </c>
      <c r="AX179" s="3">
        <f>AW179+SUM(AX177:AX178)</f>
        <v>18110</v>
      </c>
      <c r="AY179" s="3">
        <f>AX179+SUM(AY177:AY178)</f>
        <v>18110</v>
      </c>
      <c r="AZ179" s="3">
        <f>AY179+SUM(AZ177:AZ178)</f>
        <v>18110</v>
      </c>
      <c r="BA179" s="3" t="n"/>
      <c r="BB179" s="3">
        <f>AZ179+SUM(BB177:BB178)</f>
        <v>18110</v>
      </c>
      <c r="BC179" s="3">
        <f>BB179+SUM(BC177:BC178)</f>
        <v>18110</v>
      </c>
      <c r="BD179" s="3">
        <f>BC179+SUM(BD177:BD178)</f>
        <v>18110</v>
      </c>
      <c r="BE179" s="3">
        <f>BD179+SUM(BE177:BE178)</f>
        <v>18110</v>
      </c>
      <c r="BF179" s="3" t="n"/>
      <c r="BG179" s="3">
        <f>BE179+SUM(BG177:BG178)</f>
        <v>18110</v>
      </c>
      <c r="BH179" s="3">
        <f>BG179+SUM(BH177:BH178)</f>
        <v>18110</v>
      </c>
      <c r="BI179" s="3">
        <f>BH179+SUM(BI177:BI178)</f>
        <v>18110</v>
      </c>
      <c r="BJ179" s="3">
        <f>BI179+SUM(BJ177:BJ178)</f>
        <v>18110</v>
      </c>
      <c r="BK179" s="3" t="n"/>
      <c r="BL179" s="3">
        <f>BJ179+SUM(BL177:BL178)</f>
        <v>18110</v>
      </c>
      <c r="BM179" s="3">
        <f>BL179+SUM(BM177:BM178)</f>
        <v>18110</v>
      </c>
      <c r="BN179" s="3">
        <f>BM179+SUM(BN177:BN178)</f>
        <v>18110</v>
      </c>
      <c r="BO179" s="3">
        <f>BN179+SUM(BO177:BO178)</f>
        <v>18110</v>
      </c>
      <c r="BP179" s="3" t="n"/>
      <c r="BQ179" s="3">
        <f>BO179+SUM(BQ177:BQ178)</f>
        <v>18110</v>
      </c>
      <c r="BR179" s="3">
        <f>BQ179+SUM(BR177:BR178)</f>
        <v>18110</v>
      </c>
      <c r="BS179" s="3">
        <f>BR179+SUM(BS177:BS178)</f>
        <v>18110</v>
      </c>
      <c r="BT179" s="3">
        <f>BS179+SUM(BT177:BT178)</f>
        <v>18110</v>
      </c>
      <c r="BU179" s="3" t="n"/>
      <c r="BV179" s="3">
        <f>BT179+SUM(BV177:BV178)</f>
        <v>18110</v>
      </c>
      <c r="BW179" s="3">
        <f>BV179+SUM(BW177:BW178)</f>
        <v>18110</v>
      </c>
      <c r="BX179" s="3">
        <f>BW179+SUM(BX177:BX178)</f>
        <v>18110</v>
      </c>
      <c r="BY179" s="3">
        <f>BX179+SUM(BY177:BY178)</f>
        <v>18110</v>
      </c>
      <c r="BZ179" s="3" t="n"/>
      <c r="CA179" s="3">
        <f>BY179+SUM(CA177:CA178)</f>
        <v>18110</v>
      </c>
      <c r="CB179" s="3">
        <f>CA179+SUM(CB177:CB178)</f>
        <v>18110</v>
      </c>
      <c r="CC179" s="3">
        <f>CB179+SUM(CC177:CC178)</f>
        <v>18110</v>
      </c>
      <c r="CD179" s="3">
        <f>CC179+SUM(CD177:CD178)</f>
        <v>18110</v>
      </c>
      <c r="CE179" s="3" t="n"/>
      <c r="CF179" s="3">
        <f>CD179+SUM(CF177:CF178)</f>
        <v>18110</v>
      </c>
      <c r="CG179" s="3">
        <f>CF179+SUM(CG177:CG178)</f>
        <v>18110</v>
      </c>
      <c r="CH179" s="3">
        <f>CG179+SUM(CH177:CH178)</f>
        <v>18110</v>
      </c>
      <c r="CI179" s="3">
        <f>CH179+SUM(CI177:CI178)</f>
        <v>18110</v>
      </c>
      <c r="CJ179" s="3" t="n"/>
      <c r="CK179" s="3">
        <f>CI179+SUM(CK177:CK178)</f>
        <v>18110</v>
      </c>
      <c r="CL179" s="3">
        <f>CK179+SUM(CL177:CL178)</f>
        <v>18110</v>
      </c>
      <c r="CM179" s="3">
        <f>CL179+SUM(CM177:CM178)</f>
        <v>18110</v>
      </c>
      <c r="CN179" s="3">
        <f>CM179+SUM(CN177:CN178)</f>
        <v>18110</v>
      </c>
      <c r="CO179" s="3" t="n"/>
      <c r="CP179" s="3">
        <f>CN179+SUM(CP177:CP178)</f>
        <v>18110</v>
      </c>
      <c r="CQ179" s="3">
        <f>CP179+SUM(CQ177:CQ178)</f>
        <v>18110</v>
      </c>
      <c r="CR179" s="3">
        <f>CQ179+SUM(CR177:CR178)</f>
        <v>18110</v>
      </c>
      <c r="CS179" s="3">
        <f>CR179+SUM(CS177:CS178)</f>
        <v>18110</v>
      </c>
      <c r="CT179" s="3" t="n"/>
      <c r="CU179" s="3">
        <f>CS179+SUM(CU177:CU178)</f>
        <v>18110</v>
      </c>
      <c r="CV179" s="3">
        <f>CU179+SUM(CV177:CV178)</f>
        <v>18110</v>
      </c>
      <c r="CW179" s="3">
        <f>CV179+SUM(CW177:CW178)</f>
        <v>18110</v>
      </c>
      <c r="CX179" s="3">
        <f>CW179+SUM(CX177:CX178)</f>
        <v>18110</v>
      </c>
      <c r="CY179" s="3" t="n"/>
      <c r="CZ179">
        <f>CX179+SUM(CZ177:CZ178)</f>
        <v>18110</v>
      </c>
      <c r="DA179">
        <f>CZ179+SUM(DA177:DA178)</f>
        <v>18110</v>
      </c>
      <c r="DB179">
        <f>DA179+SUM(DB177:DB178)</f>
        <v>18110</v>
      </c>
      <c r="DC179">
        <f>DB179+SUM(DC177:DC178)</f>
        <v>18110</v>
      </c>
    </row>
    <row r="180" hidden="1" outlineLevel="1">
      <c r="C180" s="34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  <c r="BZ180" s="3" t="n"/>
      <c r="CA180" s="3" t="n"/>
      <c r="CB180" s="3" t="n"/>
      <c r="CC180" s="3" t="n"/>
      <c r="CD180" s="3" t="n"/>
      <c r="CE180" s="3" t="n"/>
      <c r="CF180" s="3" t="n"/>
      <c r="CG180" s="3" t="n"/>
      <c r="CH180" s="3" t="n"/>
      <c r="CI180" s="3" t="n"/>
      <c r="CJ180" s="3" t="n"/>
      <c r="CK180" s="3" t="n"/>
      <c r="CL180" s="3" t="n"/>
      <c r="CM180" s="3" t="n"/>
      <c r="CN180" s="3" t="n"/>
      <c r="CO180" s="3" t="n"/>
      <c r="CP180" s="3" t="n"/>
      <c r="CQ180" s="3" t="n"/>
      <c r="CR180" s="3" t="n"/>
      <c r="CS180" s="3" t="n"/>
      <c r="CT180" s="3" t="n"/>
      <c r="CU180" s="3" t="n"/>
      <c r="CV180" s="3" t="n"/>
      <c r="CW180" s="3" t="n"/>
      <c r="CX180" s="3" t="n"/>
      <c r="CY180" s="3" t="n"/>
    </row>
    <row r="181" hidden="1" outlineLevel="1">
      <c r="C181" s="34" t="inlineStr">
        <is>
          <t>Definir % do D&amp;A No PPE and Intagibles</t>
        </is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  <c r="BZ181" s="3" t="n"/>
      <c r="CA181" s="3" t="n"/>
      <c r="CB181" s="3" t="n"/>
      <c r="CC181" s="3" t="n"/>
      <c r="CD181" s="3" t="n"/>
      <c r="CE181" s="3" t="n"/>
      <c r="CF181" s="3" t="n"/>
      <c r="CG181" s="3" t="n"/>
      <c r="CH181" s="3" t="n"/>
      <c r="CI181" s="3" t="n"/>
      <c r="CJ181" s="3" t="n"/>
      <c r="CK181" s="3" t="n"/>
      <c r="CL181" s="3" t="n"/>
      <c r="CM181" s="3" t="n"/>
      <c r="CN181" s="3" t="n"/>
      <c r="CO181" s="3" t="n"/>
      <c r="CP181" s="3" t="n"/>
      <c r="CQ181" s="3" t="n"/>
      <c r="CR181" s="3" t="n"/>
      <c r="CS181" s="3" t="n"/>
      <c r="CT181" s="3" t="n"/>
      <c r="CU181" s="3" t="n"/>
      <c r="CV181" s="3" t="n"/>
      <c r="CW181" s="3" t="n"/>
      <c r="CX181" s="3" t="n"/>
      <c r="CY181" s="3" t="n"/>
    </row>
    <row r="182" hidden="1" outlineLevel="1">
      <c r="C182" s="34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/>
      <c r="BQ182" s="3" t="n"/>
      <c r="BR182" s="3" t="n"/>
      <c r="BS182" s="3" t="n"/>
      <c r="BT182" s="3" t="n"/>
      <c r="BU182" s="3" t="n"/>
      <c r="BV182" s="3" t="n"/>
      <c r="BW182" s="3" t="n"/>
      <c r="BX182" s="3" t="n"/>
      <c r="BY182" s="3" t="n"/>
      <c r="BZ182" s="3" t="n"/>
      <c r="CA182" s="3" t="n"/>
      <c r="CB182" s="3" t="n"/>
      <c r="CC182" s="3" t="n"/>
      <c r="CD182" s="3" t="n"/>
      <c r="CE182" s="3" t="n"/>
      <c r="CF182" s="3" t="n"/>
      <c r="CG182" s="3" t="n"/>
      <c r="CH182" s="3" t="n"/>
      <c r="CI182" s="3" t="n"/>
      <c r="CJ182" s="3" t="n"/>
      <c r="CK182" s="3" t="n"/>
      <c r="CL182" s="3" t="n"/>
      <c r="CM182" s="3" t="n"/>
      <c r="CN182" s="3" t="n"/>
      <c r="CO182" s="3" t="n"/>
      <c r="CP182" s="3" t="n"/>
      <c r="CQ182" s="3" t="n"/>
      <c r="CR182" s="3" t="n"/>
      <c r="CS182" s="3" t="n"/>
      <c r="CT182" s="3" t="n"/>
      <c r="CU182" s="3" t="n"/>
      <c r="CV182" s="3" t="n"/>
      <c r="CW182" s="3" t="n"/>
      <c r="CX182" s="3" t="n"/>
      <c r="CY182" s="3" t="n"/>
    </row>
    <row r="183" hidden="1" outlineLevel="1">
      <c r="C183" s="34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  <c r="BZ183" s="3" t="n"/>
      <c r="CA183" s="3" t="n"/>
      <c r="CB183" s="3" t="n"/>
      <c r="CC183" s="3" t="n"/>
      <c r="CD183" s="3" t="n"/>
      <c r="CE183" s="3" t="n"/>
      <c r="CF183" s="3" t="n"/>
      <c r="CG183" s="3" t="n"/>
      <c r="CH183" s="3" t="n"/>
      <c r="CI183" s="3" t="n"/>
      <c r="CJ183" s="3" t="n"/>
      <c r="CK183" s="3" t="n"/>
      <c r="CL183" s="3" t="n"/>
      <c r="CM183" s="3" t="n"/>
      <c r="CN183" s="3" t="n"/>
      <c r="CO183" s="3" t="n"/>
      <c r="CP183" s="3" t="n"/>
      <c r="CQ183" s="3" t="n"/>
      <c r="CR183" s="3" t="n"/>
      <c r="CS183" s="3" t="n"/>
      <c r="CT183" s="3" t="n"/>
      <c r="CU183" s="3" t="n"/>
      <c r="CV183" s="3" t="n"/>
      <c r="CW183" s="3" t="n"/>
      <c r="CX183" s="3" t="n"/>
      <c r="CY183" s="3" t="n"/>
    </row>
    <row r="184" collapsed="1">
      <c r="C184" s="26" t="inlineStr">
        <is>
          <t>Other non-current assets</t>
        </is>
      </c>
      <c r="D184" s="25">
        <f>INDEX('Inputs (2)'!$D$26:$AL$26,MATCH(D$7,'Inputs (2)'!$D$2:$AL$2,0))</f>
        <v>5193.3</v>
      </c>
      <c r="E184" s="25">
        <f>INDEX('Inputs (2)'!$D$26:$AL$26,MATCH(E$7,'Inputs (2)'!$D$2:$AL$2,0))</f>
        <v>5486.5</v>
      </c>
      <c r="F184" s="25">
        <f>INDEX('Inputs (2)'!$D$26:$AL$26,MATCH(F$7,'Inputs (2)'!$D$2:$AL$2,0))</f>
        <v>5554.7</v>
      </c>
      <c r="G184" s="25">
        <f>INDEX('Inputs (2)'!$D$26:$AL$26,MATCH(G$7,'Inputs (2)'!$D$2:$AL$2,0))</f>
        <v>6442.2</v>
      </c>
      <c r="H184" s="3">
        <f>G184</f>
        <v>6442.2</v>
      </c>
      <c r="I184" s="25">
        <f>INDEX('Inputs (2)'!$D$26:$AL$26,MATCH(I$7,'Inputs (2)'!$D$2:$AL$2,0))</f>
        <v>6988.6</v>
      </c>
      <c r="J184" s="25">
        <f>INDEX('Inputs (2)'!$D$26:$AL$26,MATCH(J$7,'Inputs (2)'!$D$2:$AL$2,0))</f>
        <v>7113.5</v>
      </c>
      <c r="K184" s="25">
        <f>INDEX('Inputs (2)'!$D$26:$AL$26,MATCH(K$7,'Inputs (2)'!$D$2:$AL$2,0))</f>
        <v>7060.9</v>
      </c>
      <c r="L184" s="25">
        <f>INDEX('Inputs (2)'!$D$26:$AL$26,MATCH(L$7,'Inputs (2)'!$D$2:$AL$2,0))</f>
        <v>7295.3</v>
      </c>
      <c r="M184" s="3">
        <f>L184</f>
        <v>7295.3</v>
      </c>
      <c r="N184" s="25">
        <f>INDEX('Inputs (2)'!$D$26:$AL$26,MATCH(N$7,'Inputs (2)'!$D$2:$AL$2,0))</f>
        <v>7012.6</v>
      </c>
      <c r="O184" s="25">
        <f>INDEX('Inputs (2)'!$D$26:$AL$26,MATCH(O$7,'Inputs (2)'!$D$2:$AL$2,0))</f>
        <v>7058.8</v>
      </c>
      <c r="P184" s="25">
        <f>INDEX('Inputs (2)'!$D$26:$AL$26,MATCH(P$7,'Inputs (2)'!$D$2:$AL$2,0))</f>
        <v>7110.3</v>
      </c>
      <c r="Q184" s="25">
        <f>INDEX('Inputs (2)'!$D$26:$AL$26,MATCH(Q$7,'Inputs (2)'!$D$2:$AL$2,0))</f>
        <v>7238.8</v>
      </c>
      <c r="R184" s="3">
        <f>Q184</f>
        <v>7238.8</v>
      </c>
      <c r="S184" s="25">
        <f>INDEX('Inputs (2)'!$D$26:$AL$26,MATCH(S$7,'Inputs (2)'!$D$2:$AL$2,0))</f>
        <v>7238.5</v>
      </c>
      <c r="T184" s="25">
        <f>INDEX('Inputs (2)'!$D$26:$AL$26,MATCH(T$7,'Inputs (2)'!$D$2:$AL$2,0))</f>
        <v>7416.7</v>
      </c>
      <c r="U184" s="25">
        <f>INDEX('Inputs (2)'!$D$26:$AL$26,MATCH(U$7,'Inputs (2)'!$D$2:$AL$2,0))</f>
        <v>7603.6</v>
      </c>
      <c r="V184" s="25">
        <f>INDEX('Inputs (2)'!$D$26:$AL$26,MATCH(V$7,'Inputs (2)'!$D$2:$AL$2,0))</f>
        <v>8042.1</v>
      </c>
      <c r="W184" s="3">
        <f>V184</f>
        <v>8042.1</v>
      </c>
      <c r="X184" s="25">
        <f>INDEX('Inputs (2)'!$D$26:$AL$26,MATCH(X$7,'Inputs (2)'!$D$2:$AL$2,0))</f>
        <v>7795</v>
      </c>
      <c r="Y184" s="25">
        <f>INDEX('Inputs (2)'!$D$26:$AL$26,MATCH(Y$7,'Inputs (2)'!$D$2:$AL$2,0))</f>
        <v>7781.5</v>
      </c>
      <c r="Z184" s="25">
        <f>INDEX('Inputs (2)'!$D$26:$AL$26,MATCH(Z$7,'Inputs (2)'!$D$2:$AL$2,0))</f>
        <v>8322</v>
      </c>
      <c r="AA184" s="25">
        <f>INDEX('Inputs (2)'!$D$26:$AL$26,MATCH(AA$7,'Inputs (2)'!$D$2:$AL$2,0))</f>
        <v>8935.6</v>
      </c>
      <c r="AB184" s="3">
        <f>AA184</f>
        <v>8935.6</v>
      </c>
      <c r="AC184" s="25">
        <f>INDEX('Inputs (2)'!$D$26:$AL$26,MATCH(AC$7,'Inputs (2)'!$D$2:$AL$2,0))</f>
        <v>9297.6</v>
      </c>
      <c r="AD184" s="25">
        <f>INDEX('Inputs (2)'!$D$26:$AL$26,MATCH(AD$7,'Inputs (2)'!$D$2:$AL$2,0))</f>
        <v>9432.7</v>
      </c>
      <c r="AE184" s="25">
        <f>INDEX('Inputs (2)'!$D$26:$AL$26,MATCH(AE$7,'Inputs (2)'!$D$2:$AL$2,0))</f>
        <v>9240.7</v>
      </c>
      <c r="AF184" s="25">
        <f>INDEX('Inputs (2)'!$D$26:$AL$26,MATCH(AF$7,'Inputs (2)'!$D$2:$AL$2,0))</f>
        <v>9794</v>
      </c>
      <c r="AG184" s="3">
        <f>AF184</f>
        <v>9794</v>
      </c>
      <c r="AH184" s="3">
        <f>INDEX('Inputs (2)'!$D$26:$AL$26,MATCH(AH$7,'Inputs (2)'!$D$2:$AL$2,0))</f>
        <v>10347</v>
      </c>
      <c r="AI184" s="3">
        <f>INDEX('Inputs (2)'!$D$26:$AL$26,MATCH(AI$7,'Inputs (2)'!$D$2:$AL$2,0))</f>
        <v>11338</v>
      </c>
      <c r="AJ184" s="3">
        <f>AI184</f>
        <v>11338</v>
      </c>
      <c r="AK184" s="3">
        <f>AJ184</f>
        <v>11338</v>
      </c>
      <c r="AL184" s="3">
        <f>AK184</f>
        <v>11338</v>
      </c>
      <c r="AM184" s="3">
        <f>AL184</f>
        <v>11338</v>
      </c>
      <c r="AN184" s="3">
        <f>AM184</f>
        <v>11338</v>
      </c>
      <c r="AO184" s="3">
        <f>AN184</f>
        <v>11338</v>
      </c>
      <c r="AP184" s="3">
        <f>AO184</f>
        <v>11338</v>
      </c>
      <c r="AQ184" s="3">
        <f>AP184</f>
        <v>11338</v>
      </c>
      <c r="AR184" s="3">
        <f>AQ184</f>
        <v>11338</v>
      </c>
      <c r="AS184" s="3">
        <f>AR184</f>
        <v>11338</v>
      </c>
      <c r="AT184" s="3">
        <f>AS184</f>
        <v>11338</v>
      </c>
      <c r="AU184" s="3">
        <f>AT184</f>
        <v>11338</v>
      </c>
      <c r="AV184" s="3">
        <f>AU184</f>
        <v>11338</v>
      </c>
      <c r="AW184" s="3">
        <f>AV184</f>
        <v>11338</v>
      </c>
      <c r="AX184" s="3">
        <f>AW184</f>
        <v>11338</v>
      </c>
      <c r="AY184" s="3">
        <f>AX184</f>
        <v>11338</v>
      </c>
      <c r="AZ184" s="3">
        <f>AY184</f>
        <v>11338</v>
      </c>
      <c r="BA184" s="3">
        <f>AZ184</f>
        <v>11338</v>
      </c>
      <c r="BB184" s="3">
        <f>BA184</f>
        <v>11338</v>
      </c>
      <c r="BC184" s="3">
        <f>BB184</f>
        <v>11338</v>
      </c>
      <c r="BD184" s="3">
        <f>BC184</f>
        <v>11338</v>
      </c>
      <c r="BE184" s="3">
        <f>BD184</f>
        <v>11338</v>
      </c>
      <c r="BF184" s="3">
        <f>BE184</f>
        <v>11338</v>
      </c>
      <c r="BG184" s="3">
        <f>BF184</f>
        <v>11338</v>
      </c>
      <c r="BH184" s="3">
        <f>BG184</f>
        <v>11338</v>
      </c>
      <c r="BI184" s="3">
        <f>BH184</f>
        <v>11338</v>
      </c>
      <c r="BJ184" s="3">
        <f>BI184</f>
        <v>11338</v>
      </c>
      <c r="BK184" s="3">
        <f>BJ184</f>
        <v>11338</v>
      </c>
      <c r="BL184" s="3">
        <f>BK184</f>
        <v>11338</v>
      </c>
      <c r="BM184" s="3">
        <f>BL184</f>
        <v>11338</v>
      </c>
      <c r="BN184" s="3">
        <f>BM184</f>
        <v>11338</v>
      </c>
      <c r="BO184" s="3">
        <f>BN184</f>
        <v>11338</v>
      </c>
      <c r="BP184" s="3">
        <f>BO184</f>
        <v>11338</v>
      </c>
      <c r="BQ184" s="3">
        <f>BP184</f>
        <v>11338</v>
      </c>
      <c r="BR184" s="3">
        <f>BQ184</f>
        <v>11338</v>
      </c>
      <c r="BS184" s="3">
        <f>BR184</f>
        <v>11338</v>
      </c>
      <c r="BT184" s="3">
        <f>BS184</f>
        <v>11338</v>
      </c>
      <c r="BU184" s="3">
        <f>BT184</f>
        <v>11338</v>
      </c>
      <c r="BV184" s="3">
        <f>BU184</f>
        <v>11338</v>
      </c>
      <c r="BW184" s="3">
        <f>BV184</f>
        <v>11338</v>
      </c>
      <c r="BX184" s="3">
        <f>BW184</f>
        <v>11338</v>
      </c>
      <c r="BY184" s="3">
        <f>BX184</f>
        <v>11338</v>
      </c>
      <c r="BZ184" s="3">
        <f>BY184</f>
        <v>11338</v>
      </c>
      <c r="CA184" s="3">
        <f>BZ184</f>
        <v>11338</v>
      </c>
      <c r="CB184" s="3">
        <f>CA184</f>
        <v>11338</v>
      </c>
      <c r="CC184" s="3">
        <f>CB184</f>
        <v>11338</v>
      </c>
      <c r="CD184" s="3">
        <f>CC184</f>
        <v>11338</v>
      </c>
      <c r="CE184" s="3">
        <f>CD184</f>
        <v>11338</v>
      </c>
      <c r="CF184" s="3">
        <f>CE184</f>
        <v>11338</v>
      </c>
      <c r="CG184" s="3">
        <f>CF184</f>
        <v>11338</v>
      </c>
      <c r="CH184" s="3">
        <f>CG184</f>
        <v>11338</v>
      </c>
      <c r="CI184" s="3">
        <f>CH184</f>
        <v>11338</v>
      </c>
      <c r="CJ184" s="3">
        <f>CI184</f>
        <v>11338</v>
      </c>
      <c r="CK184" s="3">
        <f>CJ184</f>
        <v>11338</v>
      </c>
      <c r="CL184" s="3">
        <f>CK184</f>
        <v>11338</v>
      </c>
      <c r="CM184" s="3">
        <f>CL184</f>
        <v>11338</v>
      </c>
      <c r="CN184" s="3">
        <f>CM184</f>
        <v>11338</v>
      </c>
      <c r="CO184" s="3">
        <f>CN184</f>
        <v>11338</v>
      </c>
      <c r="CP184" s="3">
        <f>CO184</f>
        <v>11338</v>
      </c>
      <c r="CQ184" s="3">
        <f>CP184</f>
        <v>11338</v>
      </c>
      <c r="CR184" s="3">
        <f>CQ184</f>
        <v>11338</v>
      </c>
      <c r="CS184" s="3">
        <f>CR184</f>
        <v>11338</v>
      </c>
      <c r="CT184" s="3">
        <f>CS184</f>
        <v>11338</v>
      </c>
      <c r="CU184" s="3">
        <f>CT184</f>
        <v>11338</v>
      </c>
      <c r="CV184" s="3">
        <f>CU184</f>
        <v>11338</v>
      </c>
      <c r="CW184" s="3">
        <f>CV184</f>
        <v>11338</v>
      </c>
      <c r="CX184" s="3">
        <f>CW184</f>
        <v>11338</v>
      </c>
      <c r="CY184" s="3">
        <f>CX184</f>
        <v>11338</v>
      </c>
    </row>
    <row r="185" hidden="1" outlineLevel="1">
      <c r="C185" s="38" t="inlineStr">
        <is>
          <t>%(Var.)</t>
        </is>
      </c>
      <c r="D185" s="3" t="n"/>
      <c r="E185" s="47">
        <f>(E184-D184)/D184</f>
        <v>0.0564573585196312</v>
      </c>
      <c r="F185" s="47">
        <f>(F184-E184)/E184</f>
        <v>0.0124305112548984</v>
      </c>
      <c r="G185" s="47">
        <f>(G184-F184)/F184</f>
        <v>0.159774605289214</v>
      </c>
      <c r="H185" s="3" t="n"/>
      <c r="I185" s="47">
        <f>(I184-H184)/H184</f>
        <v>0.0848157461736675</v>
      </c>
      <c r="J185" s="47">
        <f>(J184-I184)/I184</f>
        <v>0.0178719629110266</v>
      </c>
      <c r="K185" s="47">
        <f>(K184-J184)/J184</f>
        <v>-0.00739439094679136</v>
      </c>
      <c r="L185" s="47">
        <f>(L184-K184)/K184</f>
        <v>0.0331969012448837</v>
      </c>
      <c r="M185" s="3" t="n"/>
      <c r="N185" s="47">
        <f>(N184-M184)/M184</f>
        <v>-0.0387509766562032</v>
      </c>
      <c r="O185" s="47">
        <f>(O184-N184)/N184</f>
        <v>0.0065881413455778</v>
      </c>
      <c r="P185" s="47">
        <f>(P184-O184)/O184</f>
        <v>0.00729585765285884</v>
      </c>
      <c r="Q185" s="47">
        <f>(Q184-P184)/P184</f>
        <v>0.0180723738801457</v>
      </c>
      <c r="R185" s="3" t="n"/>
      <c r="S185" s="47">
        <f>(S184-R184)/R184</f>
        <v>-4.14433331490402e-05</v>
      </c>
      <c r="T185" s="47">
        <f>(T184-S184)/S184</f>
        <v>0.024618360157491</v>
      </c>
      <c r="U185" s="47">
        <f>(U184-T184)/T184</f>
        <v>0.0251998867420821</v>
      </c>
      <c r="V185" s="47">
        <f>(V184-U184)/U184</f>
        <v>0.0576700510284602</v>
      </c>
      <c r="W185" s="3" t="n"/>
      <c r="X185" s="47">
        <f>(X184-W184)/W184</f>
        <v>-0.0307258054488256</v>
      </c>
      <c r="Y185" s="47">
        <f>(Y184-X184)/X184</f>
        <v>-0.00173187940987801</v>
      </c>
      <c r="Z185" s="47">
        <f>(Z184-Y184)/Y184</f>
        <v>0.0694596157553171</v>
      </c>
      <c r="AA185" s="47">
        <f>(AA184-Z184)/Z184</f>
        <v>0.0737322758952173</v>
      </c>
      <c r="AB185" s="3" t="n"/>
      <c r="AC185" s="47">
        <f>(AC184-AB184)/AB184</f>
        <v>0.0405121088678992</v>
      </c>
      <c r="AD185" s="47">
        <f>(AD184-AC184)/AC184</f>
        <v>0.0145306315608329</v>
      </c>
      <c r="AE185" s="47">
        <f>(AE184-AD184)/AD184</f>
        <v>-0.0203547234619992</v>
      </c>
      <c r="AF185" s="218">
        <f>(AF184-AE184)/AE184</f>
        <v>0.0598764162888094</v>
      </c>
      <c r="AG185" s="3" t="n"/>
      <c r="AH185" s="218">
        <f>(AH184-AG184)/AG184</f>
        <v>0.0564631406983868</v>
      </c>
      <c r="AI185" s="218">
        <f>(AI184-AH184)/AH184</f>
        <v>0.0957765535904127</v>
      </c>
      <c r="AJ185" s="218" t="n"/>
      <c r="AK185" s="218" t="n"/>
      <c r="AL185" s="3" t="n"/>
      <c r="AM185" s="218" t="n"/>
      <c r="AN185" s="218" t="n"/>
      <c r="AO185" s="218" t="n"/>
      <c r="AP185" s="218" t="n"/>
      <c r="AQ185" s="3" t="n"/>
      <c r="AR185" s="218" t="n"/>
      <c r="AS185" s="218" t="n"/>
      <c r="AT185" s="218" t="n"/>
      <c r="AU185" s="218" t="n"/>
      <c r="AV185" s="3" t="n"/>
      <c r="AW185" s="218" t="n"/>
      <c r="AX185" s="218" t="n"/>
      <c r="AY185" s="218" t="n"/>
      <c r="AZ185" s="218" t="n"/>
      <c r="BA185" s="3" t="n"/>
      <c r="BB185" s="218" t="n"/>
      <c r="BC185" s="218" t="n"/>
      <c r="BD185" s="218" t="n"/>
      <c r="BE185" s="218" t="n"/>
      <c r="BF185" s="3" t="n"/>
      <c r="BG185" s="218" t="n"/>
      <c r="BH185" s="218" t="n"/>
      <c r="BI185" s="218" t="n"/>
      <c r="BJ185" s="218" t="n"/>
      <c r="BK185" s="3" t="n"/>
      <c r="BL185" s="218" t="n"/>
      <c r="BM185" s="218" t="n"/>
      <c r="BN185" s="218" t="n"/>
      <c r="BO185" s="218" t="n"/>
      <c r="BP185" s="3" t="n"/>
      <c r="BQ185" s="218" t="n"/>
      <c r="BR185" s="218" t="n"/>
      <c r="BS185" s="218" t="n"/>
      <c r="BT185" s="218" t="n"/>
      <c r="BU185" s="3" t="n"/>
      <c r="BV185" s="218" t="n"/>
      <c r="BW185" s="218" t="n"/>
      <c r="BX185" s="218" t="n"/>
      <c r="BY185" s="218" t="n"/>
      <c r="BZ185" s="3" t="n"/>
      <c r="CA185" s="218" t="n"/>
      <c r="CB185" s="218" t="n"/>
      <c r="CC185" s="218" t="n"/>
      <c r="CD185" s="218" t="n"/>
      <c r="CE185" s="3" t="n"/>
      <c r="CF185" s="218" t="n"/>
      <c r="CG185" s="218" t="n"/>
      <c r="CH185" s="218" t="n"/>
      <c r="CI185" s="218" t="n"/>
      <c r="CJ185" s="3" t="n"/>
      <c r="CK185" s="218" t="n"/>
      <c r="CL185" s="218" t="n"/>
      <c r="CM185" s="218" t="n"/>
      <c r="CN185" s="218" t="n"/>
      <c r="CO185" s="3" t="n"/>
      <c r="CP185" s="218" t="n"/>
      <c r="CQ185" s="218" t="n"/>
      <c r="CR185" s="218" t="n"/>
      <c r="CS185" s="218" t="n"/>
      <c r="CT185" s="3" t="n"/>
      <c r="CU185" s="218" t="n"/>
      <c r="CV185" s="218" t="n"/>
      <c r="CW185" s="218" t="n"/>
      <c r="CX185" s="218" t="n"/>
      <c r="CY185" s="3" t="n"/>
    </row>
    <row r="186" hidden="1" outlineLevel="1">
      <c r="C186" s="34" t="n"/>
      <c r="D186" s="3" t="n"/>
      <c r="E186" s="47" t="n"/>
      <c r="F186" s="47" t="n"/>
      <c r="G186" s="47" t="n"/>
      <c r="H186" s="3" t="n"/>
      <c r="I186" s="47" t="n"/>
      <c r="J186" s="47" t="n"/>
      <c r="K186" s="47" t="n"/>
      <c r="L186" s="47" t="n"/>
      <c r="M186" s="3" t="n"/>
      <c r="N186" s="47" t="n"/>
      <c r="O186" s="47" t="n"/>
      <c r="P186" s="47" t="n"/>
      <c r="Q186" s="47" t="n"/>
      <c r="R186" s="3" t="n"/>
      <c r="S186" s="47" t="n"/>
      <c r="T186" s="47" t="n"/>
      <c r="U186" s="47" t="n"/>
      <c r="V186" s="47" t="n"/>
      <c r="W186" s="3" t="n"/>
      <c r="X186" s="47" t="n"/>
      <c r="Y186" s="47" t="n"/>
      <c r="Z186" s="47" t="n"/>
      <c r="AA186" s="47" t="n"/>
      <c r="AB186" s="3" t="n"/>
      <c r="AC186" s="47" t="n"/>
      <c r="AD186" s="47" t="n"/>
      <c r="AE186" s="47" t="n"/>
      <c r="AF186" s="218" t="n"/>
      <c r="AG186" s="3" t="n"/>
      <c r="AH186" s="218" t="n"/>
      <c r="AI186" s="218" t="n"/>
      <c r="AJ186" s="218" t="n"/>
      <c r="AK186" s="218" t="n"/>
      <c r="AL186" s="3" t="n"/>
      <c r="AM186" s="218" t="n"/>
      <c r="AN186" s="218" t="n"/>
      <c r="AO186" s="218" t="n"/>
      <c r="AP186" s="218" t="n"/>
      <c r="AQ186" s="3" t="n"/>
      <c r="AR186" s="218" t="n"/>
      <c r="AS186" s="218" t="n"/>
      <c r="AT186" s="218" t="n"/>
      <c r="AU186" s="218" t="n"/>
      <c r="AV186" s="3" t="n"/>
      <c r="AW186" s="218" t="n"/>
      <c r="AX186" s="218" t="n"/>
      <c r="AY186" s="218" t="n"/>
      <c r="AZ186" s="218" t="n"/>
      <c r="BA186" s="3" t="n"/>
      <c r="BB186" s="218" t="n"/>
      <c r="BC186" s="218" t="n"/>
      <c r="BD186" s="218" t="n"/>
      <c r="BE186" s="218" t="n"/>
      <c r="BF186" s="3" t="n"/>
      <c r="BG186" s="218" t="n"/>
      <c r="BH186" s="218" t="n"/>
      <c r="BI186" s="218" t="n"/>
      <c r="BJ186" s="218" t="n"/>
      <c r="BK186" s="3" t="n"/>
      <c r="BL186" s="218" t="n"/>
      <c r="BM186" s="218" t="n"/>
      <c r="BN186" s="218" t="n"/>
      <c r="BO186" s="218" t="n"/>
      <c r="BP186" s="3" t="n"/>
      <c r="BQ186" s="218" t="n"/>
      <c r="BR186" s="218" t="n"/>
      <c r="BS186" s="218" t="n"/>
      <c r="BT186" s="218" t="n"/>
      <c r="BU186" s="3" t="n"/>
      <c r="BV186" s="218" t="n"/>
      <c r="BW186" s="218" t="n"/>
      <c r="BX186" s="218" t="n"/>
      <c r="BY186" s="218" t="n"/>
      <c r="BZ186" s="3" t="n"/>
      <c r="CA186" s="218" t="n"/>
      <c r="CB186" s="218" t="n"/>
      <c r="CC186" s="218" t="n"/>
      <c r="CD186" s="218" t="n"/>
      <c r="CE186" s="3" t="n"/>
      <c r="CF186" s="218" t="n"/>
      <c r="CG186" s="218" t="n"/>
      <c r="CH186" s="218" t="n"/>
      <c r="CI186" s="218" t="n"/>
      <c r="CJ186" s="3" t="n"/>
      <c r="CK186" s="218" t="n"/>
      <c r="CL186" s="218" t="n"/>
      <c r="CM186" s="218" t="n"/>
      <c r="CN186" s="218" t="n"/>
      <c r="CO186" s="3" t="n"/>
      <c r="CP186" s="218" t="n"/>
      <c r="CQ186" s="218" t="n"/>
      <c r="CR186" s="218" t="n"/>
      <c r="CS186" s="218" t="n"/>
      <c r="CT186" s="3" t="n"/>
      <c r="CU186" s="218" t="n"/>
      <c r="CV186" s="218" t="n"/>
      <c r="CW186" s="218" t="n"/>
      <c r="CX186" s="218" t="n"/>
      <c r="CY186" s="3" t="n"/>
    </row>
    <row r="187" hidden="1" outlineLevel="1">
      <c r="C187" s="52" t="inlineStr">
        <is>
          <t>Outros Créditos - LP</t>
        </is>
      </c>
      <c r="D187" s="6" t="n"/>
      <c r="E187" s="6" t="n"/>
      <c r="F187" s="6" t="n"/>
      <c r="G187" s="6" t="n"/>
      <c r="H187" s="3" t="n"/>
      <c r="I187" s="6" t="n"/>
      <c r="J187" s="6" t="n"/>
      <c r="K187" s="6" t="n"/>
      <c r="L187" s="6" t="n"/>
      <c r="M187" s="3" t="n"/>
      <c r="N187" s="6" t="n"/>
      <c r="O187" s="6" t="n"/>
      <c r="P187" s="6" t="n"/>
      <c r="Q187" s="6" t="n"/>
      <c r="R187" s="3" t="n"/>
      <c r="S187" s="6" t="n"/>
      <c r="T187" s="6" t="n"/>
      <c r="U187" s="6" t="n"/>
      <c r="V187" s="6" t="n"/>
      <c r="W187" s="3" t="n"/>
      <c r="X187" s="6" t="n"/>
      <c r="Y187" s="6" t="n"/>
      <c r="Z187" s="6" t="n"/>
      <c r="AA187" s="6" t="n"/>
      <c r="AB187" s="3" t="n"/>
      <c r="AC187" s="6" t="n"/>
      <c r="AD187" s="6" t="n"/>
      <c r="AE187" s="6" t="n"/>
      <c r="AF187" s="6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  <c r="BZ187" s="3" t="n"/>
      <c r="CA187" s="3" t="n"/>
      <c r="CB187" s="3" t="n"/>
      <c r="CC187" s="3" t="n"/>
      <c r="CD187" s="3" t="n"/>
      <c r="CE187" s="3" t="n"/>
      <c r="CF187" s="3" t="n"/>
      <c r="CG187" s="3" t="n"/>
      <c r="CH187" s="3" t="n"/>
      <c r="CI187" s="3" t="n"/>
      <c r="CJ187" s="3" t="n"/>
      <c r="CK187" s="3" t="n"/>
      <c r="CL187" s="3" t="n"/>
      <c r="CM187" s="3" t="n"/>
      <c r="CN187" s="3" t="n"/>
      <c r="CO187" s="3" t="n"/>
      <c r="CP187" s="3" t="n"/>
      <c r="CQ187" s="3" t="n"/>
      <c r="CR187" s="3" t="n"/>
      <c r="CS187" s="3" t="n"/>
      <c r="CT187" s="3" t="n"/>
      <c r="CU187" s="3" t="n"/>
      <c r="CV187" s="3" t="n"/>
      <c r="CW187" s="3" t="n"/>
      <c r="CX187" s="3" t="n"/>
      <c r="CY187" s="3" t="n"/>
    </row>
    <row r="188" hidden="1" outlineLevel="1">
      <c r="C188" s="52" t="inlineStr">
        <is>
          <t xml:space="preserve">Impostos e Contribuições a Recuperar </t>
        </is>
      </c>
      <c r="D188" s="6" t="n"/>
      <c r="E188" s="6" t="n"/>
      <c r="F188" s="6" t="n"/>
      <c r="G188" s="6" t="n"/>
      <c r="H188" s="3" t="n"/>
      <c r="I188" s="6" t="n"/>
      <c r="J188" s="6" t="n"/>
      <c r="K188" s="6" t="n"/>
      <c r="L188" s="6" t="n"/>
      <c r="M188" s="3" t="n"/>
      <c r="N188" s="6" t="n"/>
      <c r="O188" s="6" t="n"/>
      <c r="P188" s="6" t="n"/>
      <c r="Q188" s="6" t="n"/>
      <c r="R188" s="3" t="n"/>
      <c r="S188" s="6" t="n"/>
      <c r="T188" s="6" t="n"/>
      <c r="U188" s="6" t="n"/>
      <c r="V188" s="6" t="n"/>
      <c r="W188" s="3" t="n"/>
      <c r="X188" s="6" t="n"/>
      <c r="Y188" s="6" t="n"/>
      <c r="Z188" s="6" t="n"/>
      <c r="AA188" s="6" t="n"/>
      <c r="AB188" s="3" t="n"/>
      <c r="AC188" s="6" t="n"/>
      <c r="AD188" s="6" t="n"/>
      <c r="AE188" s="6" t="n"/>
      <c r="AF188" s="6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  <c r="BZ188" s="3" t="n"/>
      <c r="CA188" s="3" t="n"/>
      <c r="CB188" s="3" t="n"/>
      <c r="CC188" s="3" t="n"/>
      <c r="CD188" s="3" t="n"/>
      <c r="CE188" s="3" t="n"/>
      <c r="CF188" s="3" t="n"/>
      <c r="CG188" s="3" t="n"/>
      <c r="CH188" s="3" t="n"/>
      <c r="CI188" s="3" t="n"/>
      <c r="CJ188" s="3" t="n"/>
      <c r="CK188" s="3" t="n"/>
      <c r="CL188" s="3" t="n"/>
      <c r="CM188" s="3" t="n"/>
      <c r="CN188" s="3" t="n"/>
      <c r="CO188" s="3" t="n"/>
      <c r="CP188" s="3" t="n"/>
      <c r="CQ188" s="3" t="n"/>
      <c r="CR188" s="3" t="n"/>
      <c r="CS188" s="3" t="n"/>
      <c r="CT188" s="3" t="n"/>
      <c r="CU188" s="3" t="n"/>
      <c r="CV188" s="3" t="n"/>
      <c r="CW188" s="3" t="n"/>
      <c r="CX188" s="3" t="n"/>
      <c r="CY188" s="3" t="n"/>
    </row>
    <row r="189" hidden="1" outlineLevel="1">
      <c r="C189" s="52" t="inlineStr">
        <is>
          <t xml:space="preserve">Imposto de Renda e Contribuição Social Diferidos </t>
        </is>
      </c>
      <c r="D189" s="6" t="n"/>
      <c r="E189" s="6" t="n"/>
      <c r="F189" s="6" t="n"/>
      <c r="G189" s="6" t="n"/>
      <c r="H189" s="3" t="n"/>
      <c r="I189" s="6" t="n"/>
      <c r="J189" s="6" t="n"/>
      <c r="K189" s="6" t="n"/>
      <c r="L189" s="6" t="n"/>
      <c r="M189" s="3" t="n"/>
      <c r="N189" s="6" t="n"/>
      <c r="O189" s="6" t="n"/>
      <c r="P189" s="6" t="n"/>
      <c r="Q189" s="6" t="n"/>
      <c r="R189" s="3" t="n"/>
      <c r="S189" s="6" t="n"/>
      <c r="T189" s="6" t="n"/>
      <c r="U189" s="6" t="n"/>
      <c r="V189" s="6" t="n"/>
      <c r="W189" s="3" t="n"/>
      <c r="X189" s="6" t="n"/>
      <c r="Y189" s="6" t="n"/>
      <c r="Z189" s="6" t="n"/>
      <c r="AA189" s="6" t="n"/>
      <c r="AB189" s="3" t="n"/>
      <c r="AC189" s="6" t="n"/>
      <c r="AD189" s="6" t="n"/>
      <c r="AE189" s="6" t="n"/>
      <c r="AF189" s="6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  <c r="BZ189" s="3" t="n"/>
      <c r="CA189" s="3" t="n"/>
      <c r="CB189" s="3" t="n"/>
      <c r="CC189" s="3" t="n"/>
      <c r="CD189" s="3" t="n"/>
      <c r="CE189" s="3" t="n"/>
      <c r="CF189" s="3" t="n"/>
      <c r="CG189" s="3" t="n"/>
      <c r="CH189" s="3" t="n"/>
      <c r="CI189" s="3" t="n"/>
      <c r="CJ189" s="3" t="n"/>
      <c r="CK189" s="3" t="n"/>
      <c r="CL189" s="3" t="n"/>
      <c r="CM189" s="3" t="n"/>
      <c r="CN189" s="3" t="n"/>
      <c r="CO189" s="3" t="n"/>
      <c r="CP189" s="3" t="n"/>
      <c r="CQ189" s="3" t="n"/>
      <c r="CR189" s="3" t="n"/>
      <c r="CS189" s="3" t="n"/>
      <c r="CT189" s="3" t="n"/>
      <c r="CU189" s="3" t="n"/>
      <c r="CV189" s="3" t="n"/>
      <c r="CW189" s="3" t="n"/>
      <c r="CX189" s="3" t="n"/>
      <c r="CY189" s="3" t="n"/>
    </row>
    <row r="190" hidden="1" outlineLevel="1">
      <c r="C190" s="52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  <c r="BZ190" s="3" t="n"/>
      <c r="CA190" s="3" t="n"/>
      <c r="CB190" s="3" t="n"/>
      <c r="CC190" s="3" t="n"/>
      <c r="CD190" s="3" t="n"/>
      <c r="CE190" s="3" t="n"/>
      <c r="CF190" s="3" t="n"/>
      <c r="CG190" s="3" t="n"/>
      <c r="CH190" s="3" t="n"/>
      <c r="CI190" s="3" t="n"/>
      <c r="CJ190" s="3" t="n"/>
      <c r="CK190" s="3" t="n"/>
      <c r="CL190" s="3" t="n"/>
      <c r="CM190" s="3" t="n"/>
      <c r="CN190" s="3" t="n"/>
      <c r="CO190" s="3" t="n"/>
      <c r="CP190" s="3" t="n"/>
      <c r="CQ190" s="3" t="n"/>
      <c r="CR190" s="3" t="n"/>
      <c r="CS190" s="3" t="n"/>
      <c r="CT190" s="3" t="n"/>
      <c r="CU190" s="3" t="n"/>
      <c r="CV190" s="3" t="n"/>
      <c r="CW190" s="3" t="n"/>
      <c r="CX190" s="3" t="n"/>
      <c r="CY190" s="3" t="n"/>
    </row>
    <row r="191" hidden="1" outlineLevel="1">
      <c r="C191" s="34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  <c r="BZ191" s="3" t="n"/>
      <c r="CA191" s="3" t="n"/>
      <c r="CB191" s="3" t="n"/>
      <c r="CC191" s="3" t="n"/>
      <c r="CD191" s="3" t="n"/>
      <c r="CE191" s="3" t="n"/>
      <c r="CF191" s="3" t="n"/>
      <c r="CG191" s="3" t="n"/>
      <c r="CH191" s="3" t="n"/>
      <c r="CI191" s="3" t="n"/>
      <c r="CJ191" s="3" t="n"/>
      <c r="CK191" s="3" t="n"/>
      <c r="CL191" s="3" t="n"/>
      <c r="CM191" s="3" t="n"/>
      <c r="CN191" s="3" t="n"/>
      <c r="CO191" s="3" t="n"/>
      <c r="CP191" s="3" t="n"/>
      <c r="CQ191" s="3" t="n"/>
      <c r="CR191" s="3" t="n"/>
      <c r="CS191" s="3" t="n"/>
      <c r="CT191" s="3" t="n"/>
      <c r="CU191" s="3" t="n"/>
      <c r="CV191" s="3" t="n"/>
      <c r="CW191" s="3" t="n"/>
      <c r="CX191" s="3" t="n"/>
      <c r="CY191" s="3" t="n"/>
    </row>
    <row r="192" collapsed="1" customFormat="1" s="17">
      <c r="A192" s="13" t="n"/>
      <c r="B192" s="1" t="n"/>
      <c r="C192" s="14" t="inlineStr">
        <is>
          <t>Total Assets</t>
        </is>
      </c>
      <c r="D192" s="16">
        <f>(D139+D140+D144+D148+D149+D150+D156+D161+D171+D174+D175+D184)</f>
        <v>41102.8</v>
      </c>
      <c r="E192" s="16">
        <f>(E139+E140+E144+E148+E149+E150+E156+E161+E171+E174+E175+E184)</f>
        <v>41967</v>
      </c>
      <c r="F192" s="16">
        <f>(F139+F140+F144+F148+F149+F150+F156+F161+F171+F174+F175+F184)</f>
        <v>43946</v>
      </c>
      <c r="G192" s="16">
        <f>(G139+G140+G144+G148+G149+G150+G156+G161+G171+G174+G175+G184)</f>
        <v>46633.1</v>
      </c>
      <c r="H192" s="16">
        <f>SUM(H139,H140,H144,H148,H149,H150,H156,H171,H174,H175,H184,H161)</f>
        <v>46633.1</v>
      </c>
      <c r="I192" s="16">
        <f>(I139+I140+I144+I148+I149+I150+I156+I161+I171+I174+I175+I184)</f>
        <v>46838.3</v>
      </c>
      <c r="J192" s="16">
        <f>(J139+J140+J144+J148+J149+J150+J156+J161+J171+J174+J175+J184)</f>
        <v>47809</v>
      </c>
      <c r="K192" s="16">
        <f>(K139+K140+K144+K148+K149+K150+K156+K161+K171+K174+K175+K184)</f>
        <v>48187</v>
      </c>
      <c r="L192" s="16">
        <f>(L139+L140+L144+L148+L149+L150+L156+L161+L171+L174+L175+L184)</f>
        <v>48806</v>
      </c>
      <c r="M192" s="16">
        <f>SUM(M139,M140,M144,M148,M149,M150,M156,M171,M174,M175,M184,M161)</f>
        <v>48806</v>
      </c>
      <c r="N192" s="16">
        <f>(N139+N140+N144+N148+N149+N150+N156+N161+N171+N174+N175+N184)</f>
        <v>46919.3</v>
      </c>
      <c r="O192" s="16">
        <f>(O139+O140+O144+O148+O149+O150+O156+O161+O171+O174+O175+O184)</f>
        <v>47063.6</v>
      </c>
      <c r="P192" s="16">
        <f>(P139+P140+P144+P148+P149+P150+P156+P161+P171+P174+P175+P184)</f>
        <v>47461.5</v>
      </c>
      <c r="Q192" s="16">
        <f>(Q139+Q140+Q144+Q148+Q149+Q150+Q156+Q161+Q171+Q174+Q175+Q184)</f>
        <v>49489.8</v>
      </c>
      <c r="R192" s="16">
        <f>SUM(R139,R140,R144,R148,R149,R150,R156,R171,R174,R175,R184,R161)</f>
        <v>49489.8</v>
      </c>
      <c r="S192" s="16">
        <f>(S139+S140+S144+S148+S149+S150+S156+S161+S171+S174+S175+S184)</f>
        <v>53163</v>
      </c>
      <c r="T192" s="16">
        <f>(T139+T140+T144+T148+T149+T150+T156+T161+T171+T174+T175+T184)</f>
        <v>54814</v>
      </c>
      <c r="U192" s="16">
        <f>(U139+U140+U144+U148+U149+U150+U156+U161+U171+U174+U175+U184)</f>
        <v>57915.5</v>
      </c>
      <c r="V192" s="16">
        <f>(V139+V140+V144+V148+V149+V150+V156+V161+V171+V174+V175+V184)</f>
        <v>64006.3</v>
      </c>
      <c r="W192" s="16">
        <f>SUM(W139,W140,W144,W148,W149,W150,W156,W171,W174,W175,W184,W161)</f>
        <v>64006.3</v>
      </c>
      <c r="X192" s="16">
        <f>(X139+X140+X144+X148+X149+X150+X156+X161+X171+X174+X175+X184)</f>
        <v>63943.5</v>
      </c>
      <c r="Y192" s="16">
        <f>(Y139+Y140+Y144+Y148+Y149+Y150+Y156+Y161+Y171+Y174+Y175+Y184)</f>
        <v>71874.8</v>
      </c>
      <c r="Z192" s="16">
        <f>(Z139+Z140+Z144+Z148+Z149+Z150+Z156+Z161+Z171+Z174+Z175+Z184)</f>
        <v>75606.9</v>
      </c>
      <c r="AA192" s="16">
        <f>(AA139+AA140+AA144+AA148+AA149+AA150+AA156+AA161+AA171+AA174+AA175+AA184)</f>
        <v>78714.9</v>
      </c>
      <c r="AB192" s="16">
        <f>SUM(AB139,AB140,AB144,AB148,AB149,AB150,AB156,AB171,AB174,AB175,AB184,AB161)</f>
        <v>78714.9</v>
      </c>
      <c r="AC192" s="16">
        <f>(AC139+AC140+AC144+AC148+AC149+AC150+AC156+AC161+AC171+AC174+AC175+AC184)</f>
        <v>89388.8</v>
      </c>
      <c r="AD192" s="16">
        <f>(AD139+AD140+AD144+AD148+AD149+AD150+AD156+AD161+AD171+AD174+AD175+AD184)</f>
        <v>100922.6</v>
      </c>
      <c r="AE192" s="16">
        <f>(AE139+AE140+AE144+AE148+AE149+AE150+AE156+AE161+AE171+AE174+AE175+AE184)</f>
        <v>114935.4</v>
      </c>
      <c r="AF192" s="16">
        <f>(AF139+AF140+AF144+AF148+AF149+AF150+AF156+AF161+AF171+AF174+AF175+AF184)</f>
        <v>112476</v>
      </c>
      <c r="AG192" s="16">
        <f>SUM(AG139,AG140,AG144,AG148,AG149,AG150,AG156,AG171,AG174,AG175,AG184,AG161)</f>
        <v>112476</v>
      </c>
      <c r="AH192" s="16">
        <f>(AH139+AH140+AH144+AH148+AH149+AH150+AH156+AH161+AH171+AH174+AH175+AH184)</f>
        <v>116576</v>
      </c>
      <c r="AI192" s="16">
        <f>(AI139+AI140+AI144+AI148+AI149+AI150+AI156+AI161+AI171+AI174+AI175+AI184)</f>
        <v>142283</v>
      </c>
      <c r="AJ192" s="16">
        <f>(AJ139+AJ140+AJ144+AJ148+AJ149+AJ150+AJ156+AJ161+AJ171+AJ174+AJ175+AJ184)</f>
        <v>143223</v>
      </c>
      <c r="AK192" s="16">
        <f>(AK139+AK140+AK144+AK148+AK149+AK150+AK156+AK161+AK171+AK174+AK175+AK184)</f>
        <v>152470</v>
      </c>
      <c r="AL192" s="16">
        <f>SUM(AL139,AL140,AL144,AL148,AL149,AL150,AL156,AL171,AL174,AL175,AL184,AL161)</f>
        <v>152470</v>
      </c>
      <c r="AM192" s="16" t="e">
        <f>(AM139+AM140+AM144+AM148+AM149+AM150+AM156+AM161+AM171+AM174+AM175+AM184)</f>
        <v>#DIV/0!</v>
      </c>
      <c r="AN192" s="16" t="e">
        <f>(AN139+AN140+AN144+AN148+AN149+AN150+AN156+AN161+AN171+AN174+AN175+AN184)</f>
        <v>#DIV/0!</v>
      </c>
      <c r="AO192" s="16" t="e">
        <f>(AO139+AO140+AO144+AO148+AO149+AO150+AO156+AO161+AO171+AO174+AO175+AO184)</f>
        <v>#DIV/0!</v>
      </c>
      <c r="AP192" s="16" t="e">
        <f>(AP139+AP140+AP144+AP148+AP149+AP150+AP156+AP161+AP171+AP174+AP175+AP184)</f>
        <v>#DIV/0!</v>
      </c>
      <c r="AQ192" s="16" t="e">
        <f>SUM(AQ139,AQ140,AQ144,AQ148,AQ149,AQ150,AQ156,AQ171,AQ174,AQ175,AQ184,AQ161)</f>
        <v>#DIV/0!</v>
      </c>
      <c r="AR192" s="16" t="e">
        <f>(AR139+AR140+AR144+AR148+AR149+AR150+AR156+AR161+AR171+AR174+AR175+AR184)</f>
        <v>#DIV/0!</v>
      </c>
      <c r="AS192" s="16" t="e">
        <f>(AS139+AS140+AS144+AS148+AS149+AS150+AS156+AS161+AS171+AS174+AS175+AS184)</f>
        <v>#DIV/0!</v>
      </c>
      <c r="AT192" s="16" t="e">
        <f>(AT139+AT140+AT144+AT148+AT149+AT150+AT156+AT161+AT171+AT174+AT175+AT184)</f>
        <v>#DIV/0!</v>
      </c>
      <c r="AU192" s="16" t="e">
        <f>(AU139+AU140+AU144+AU148+AU149+AU150+AU156+AU161+AU171+AU174+AU175+AU184)</f>
        <v>#DIV/0!</v>
      </c>
      <c r="AV192" s="16" t="e">
        <f>SUM(AV139,AV140,AV144,AV148,AV149,AV150,AV156,AV171,AV174,AV175,AV184,AV161)</f>
        <v>#DIV/0!</v>
      </c>
      <c r="AW192" s="16" t="e">
        <f>(AW139+AW140+AW144+AW148+AW149+AW150+AW156+AW161+AW171+AW174+AW175+AW184)</f>
        <v>#DIV/0!</v>
      </c>
      <c r="AX192" s="16" t="e">
        <f>(AX139+AX140+AX144+AX148+AX149+AX150+AX156+AX161+AX171+AX174+AX175+AX184)</f>
        <v>#DIV/0!</v>
      </c>
      <c r="AY192" s="16" t="e">
        <f>(AY139+AY140+AY144+AY148+AY149+AY150+AY156+AY161+AY171+AY174+AY175+AY184)</f>
        <v>#DIV/0!</v>
      </c>
      <c r="AZ192" s="16" t="e">
        <f>(AZ139+AZ140+AZ144+AZ148+AZ149+AZ150+AZ156+AZ161+AZ171+AZ174+AZ175+AZ184)</f>
        <v>#DIV/0!</v>
      </c>
      <c r="BA192" s="16" t="e">
        <f>SUM(BA139,BA140,BA144,BA148,BA149,BA150,BA156,BA171,BA174,BA175,BA184,BA161)</f>
        <v>#DIV/0!</v>
      </c>
      <c r="BB192" s="16" t="e">
        <f>(BB139+BB140+BB144+BB148+BB149+BB150+BB156+BB161+BB171+BB174+BB175+BB184)</f>
        <v>#DIV/0!</v>
      </c>
      <c r="BC192" s="16" t="e">
        <f>(BC139+BC140+BC144+BC148+BC149+BC150+BC156+BC161+BC171+BC174+BC175+BC184)</f>
        <v>#DIV/0!</v>
      </c>
      <c r="BD192" s="16" t="e">
        <f>(BD139+BD140+BD144+BD148+BD149+BD150+BD156+BD161+BD171+BD174+BD175+BD184)</f>
        <v>#DIV/0!</v>
      </c>
      <c r="BE192" s="16" t="e">
        <f>(BE139+BE140+BE144+BE148+BE149+BE150+BE156+BE161+BE171+BE174+BE175+BE184)</f>
        <v>#DIV/0!</v>
      </c>
      <c r="BF192" s="16" t="e">
        <f>SUM(BF139,BF140,BF144,BF148,BF149,BF150,BF156,BF171,BF174,BF175,BF184,BF161)</f>
        <v>#DIV/0!</v>
      </c>
      <c r="BG192" s="16" t="e">
        <f>(BG139+BG140+BG144+BG148+BG149+BG150+BG156+BG161+BG171+BG174+BG175+BG184)</f>
        <v>#DIV/0!</v>
      </c>
      <c r="BH192" s="16" t="e">
        <f>(BH139+BH140+BH144+BH148+BH149+BH150+BH156+BH161+BH171+BH174+BH175+BH184)</f>
        <v>#DIV/0!</v>
      </c>
      <c r="BI192" s="16" t="e">
        <f>(BI139+BI140+BI144+BI148+BI149+BI150+BI156+BI161+BI171+BI174+BI175+BI184)</f>
        <v>#DIV/0!</v>
      </c>
      <c r="BJ192" s="16" t="e">
        <f>(BJ139+BJ140+BJ144+BJ148+BJ149+BJ150+BJ156+BJ161+BJ171+BJ174+BJ175+BJ184)</f>
        <v>#DIV/0!</v>
      </c>
      <c r="BK192" s="16" t="e">
        <f>SUM(BK139,BK140,BK144,BK148,BK149,BK150,BK156,BK171,BK174,BK175,BK184,BK161)</f>
        <v>#DIV/0!</v>
      </c>
      <c r="BL192" s="16" t="e">
        <f>(BL139+BL140+BL144+BL148+BL149+BL150+BL156+BL161+BL171+BL174+BL175+BL184)</f>
        <v>#DIV/0!</v>
      </c>
      <c r="BM192" s="16" t="e">
        <f>(BM139+BM140+BM144+BM148+BM149+BM150+BM156+BM161+BM171+BM174+BM175+BM184)</f>
        <v>#DIV/0!</v>
      </c>
      <c r="BN192" s="16" t="e">
        <f>(BN139+BN140+BN144+BN148+BN149+BN150+BN156+BN161+BN171+BN174+BN175+BN184)</f>
        <v>#DIV/0!</v>
      </c>
      <c r="BO192" s="16" t="e">
        <f>(BO139+BO140+BO144+BO148+BO149+BO150+BO156+BO161+BO171+BO174+BO175+BO184)</f>
        <v>#DIV/0!</v>
      </c>
      <c r="BP192" s="16" t="e">
        <f>SUM(BP139,BP140,BP144,BP148,BP149,BP150,BP156,BP171,BP174,BP175,BP184,BP161)</f>
        <v>#DIV/0!</v>
      </c>
      <c r="BQ192" s="16" t="e">
        <f>(BQ139+BQ140+BQ144+BQ148+BQ149+BQ150+BQ156+BQ161+BQ171+BQ174+BQ175+BQ184)</f>
        <v>#DIV/0!</v>
      </c>
      <c r="BR192" s="16" t="e">
        <f>(BR139+BR140+BR144+BR148+BR149+BR150+BR156+BR161+BR171+BR174+BR175+BR184)</f>
        <v>#DIV/0!</v>
      </c>
      <c r="BS192" s="16" t="e">
        <f>(BS139+BS140+BS144+BS148+BS149+BS150+BS156+BS161+BS171+BS174+BS175+BS184)</f>
        <v>#DIV/0!</v>
      </c>
      <c r="BT192" s="16" t="e">
        <f>(BT139+BT140+BT144+BT148+BT149+BT150+BT156+BT161+BT171+BT174+BT175+BT184)</f>
        <v>#DIV/0!</v>
      </c>
      <c r="BU192" s="16" t="e">
        <f>SUM(BU139,BU140,BU144,BU148,BU149,BU150,BU156,BU171,BU174,BU175,BU184,BU161)</f>
        <v>#DIV/0!</v>
      </c>
      <c r="BV192" s="16" t="e">
        <f>(BV139+BV140+BV144+BV148+BV149+BV150+BV156+BV161+BV171+BV174+BV175+BV184)</f>
        <v>#DIV/0!</v>
      </c>
      <c r="BW192" s="16" t="e">
        <f>(BW139+BW140+BW144+BW148+BW149+BW150+BW156+BW161+BW171+BW174+BW175+BW184)</f>
        <v>#DIV/0!</v>
      </c>
      <c r="BX192" s="16" t="e">
        <f>(BX139+BX140+BX144+BX148+BX149+BX150+BX156+BX161+BX171+BX174+BX175+BX184)</f>
        <v>#DIV/0!</v>
      </c>
      <c r="BY192" s="16" t="e">
        <f>(BY139+BY140+BY144+BY148+BY149+BY150+BY156+BY161+BY171+BY174+BY175+BY184)</f>
        <v>#DIV/0!</v>
      </c>
      <c r="BZ192" s="16" t="e">
        <f>SUM(BZ139,BZ140,BZ144,BZ148,BZ149,BZ150,BZ156,BZ171,BZ174,BZ175,BZ184,BZ161)</f>
        <v>#DIV/0!</v>
      </c>
      <c r="CA192" s="16" t="e">
        <f>(CA139+CA140+CA144+CA148+CA149+CA150+CA156+CA161+CA171+CA174+CA175+CA184)</f>
        <v>#DIV/0!</v>
      </c>
      <c r="CB192" s="16" t="e">
        <f>(CB139+CB140+CB144+CB148+CB149+CB150+CB156+CB161+CB171+CB174+CB175+CB184)</f>
        <v>#DIV/0!</v>
      </c>
      <c r="CC192" s="16" t="e">
        <f>(CC139+CC140+CC144+CC148+CC149+CC150+CC156+CC161+CC171+CC174+CC175+CC184)</f>
        <v>#DIV/0!</v>
      </c>
      <c r="CD192" s="16" t="e">
        <f>(CD139+CD140+CD144+CD148+CD149+CD150+CD156+CD161+CD171+CD174+CD175+CD184)</f>
        <v>#DIV/0!</v>
      </c>
      <c r="CE192" s="16" t="e">
        <f>SUM(CE139,CE140,CE144,CE148,CE149,CE150,CE156,CE171,CE174,CE175,CE184,CE161)</f>
        <v>#DIV/0!</v>
      </c>
      <c r="CF192" s="16" t="e">
        <f>(CF139+CF140+CF144+CF148+CF149+CF150+CF156+CF161+CF171+CF174+CF175+CF184)</f>
        <v>#DIV/0!</v>
      </c>
      <c r="CG192" s="16" t="e">
        <f>(CG139+CG140+CG144+CG148+CG149+CG150+CG156+CG161+CG171+CG174+CG175+CG184)</f>
        <v>#DIV/0!</v>
      </c>
      <c r="CH192" s="16" t="e">
        <f>(CH139+CH140+CH144+CH148+CH149+CH150+CH156+CH161+CH171+CH174+CH175+CH184)</f>
        <v>#DIV/0!</v>
      </c>
      <c r="CI192" s="16" t="e">
        <f>(CI139+CI140+CI144+CI148+CI149+CI150+CI156+CI161+CI171+CI174+CI175+CI184)</f>
        <v>#DIV/0!</v>
      </c>
      <c r="CJ192" s="16" t="e">
        <f>SUM(CJ139,CJ140,CJ144,CJ148,CJ149,CJ150,CJ156,CJ171,CJ174,CJ175,CJ184,CJ161)</f>
        <v>#DIV/0!</v>
      </c>
      <c r="CK192" s="16" t="e">
        <f>(CK139+CK140+CK144+CK148+CK149+CK150+CK156+CK161+CK171+CK174+CK175+CK184)</f>
        <v>#DIV/0!</v>
      </c>
      <c r="CL192" s="16" t="e">
        <f>(CL139+CL140+CL144+CL148+CL149+CL150+CL156+CL161+CL171+CL174+CL175+CL184)</f>
        <v>#DIV/0!</v>
      </c>
      <c r="CM192" s="16" t="e">
        <f>(CM139+CM140+CM144+CM148+CM149+CM150+CM156+CM161+CM171+CM174+CM175+CM184)</f>
        <v>#DIV/0!</v>
      </c>
      <c r="CN192" s="16" t="e">
        <f>(CN139+CN140+CN144+CN148+CN149+CN150+CN156+CN161+CN171+CN174+CN175+CN184)</f>
        <v>#DIV/0!</v>
      </c>
      <c r="CO192" s="16" t="e">
        <f>SUM(CO139,CO140,CO144,CO148,CO149,CO150,CO156,CO171,CO174,CO175,CO184,CO161)</f>
        <v>#DIV/0!</v>
      </c>
      <c r="CP192" s="16" t="e">
        <f>(CP139+CP140+CP144+CP148+CP149+CP150+CP156+CP161+CP171+CP174+CP175+CP184)</f>
        <v>#DIV/0!</v>
      </c>
      <c r="CQ192" s="16" t="e">
        <f>(CQ139+CQ140+CQ144+CQ148+CQ149+CQ150+CQ156+CQ161+CQ171+CQ174+CQ175+CQ184)</f>
        <v>#DIV/0!</v>
      </c>
      <c r="CR192" s="16" t="e">
        <f>(CR139+CR140+CR144+CR148+CR149+CR150+CR156+CR161+CR171+CR174+CR175+CR184)</f>
        <v>#DIV/0!</v>
      </c>
      <c r="CS192" s="16" t="e">
        <f>(CS139+CS140+CS144+CS148+CS149+CS150+CS156+CS161+CS171+CS174+CS175+CS184)</f>
        <v>#DIV/0!</v>
      </c>
      <c r="CT192" s="16" t="e">
        <f>SUM(CT139,CT140,CT144,CT148,CT149,CT150,CT156,CT171,CT174,CT175,CT184,CT161)</f>
        <v>#DIV/0!</v>
      </c>
      <c r="CU192" s="16" t="e">
        <f>(CU139+CU140+CU144+CU148+CU149+CU150+CU156+CU161+CU171+CU174+CU175+CU184)</f>
        <v>#DIV/0!</v>
      </c>
      <c r="CV192" s="16" t="e">
        <f>(CV139+CV140+CV144+CV148+CV149+CV150+CV156+CV161+CV171+CV174+CV175+CV184)</f>
        <v>#DIV/0!</v>
      </c>
      <c r="CW192" s="16" t="e">
        <f>(CW139+CW140+CW144+CW148+CW149+CW150+CW156+CW161+CW171+CW174+CW175+CW184)</f>
        <v>#DIV/0!</v>
      </c>
      <c r="CX192" s="16" t="e">
        <f>(CX139+CX140+CX144+CX148+CX149+CX150+CX156+CX161+CX171+CX174+CX175+CX184)</f>
        <v>#DIV/0!</v>
      </c>
      <c r="CY192" s="16" t="e">
        <f>SUM(CY139,CY140,CY144,CY148,CY149,CY150,CY156,CY171,CY174,CY175,CY184,CY161)</f>
        <v>#DIV/0!</v>
      </c>
    </row>
    <row r="193">
      <c r="C193" s="26" t="inlineStr">
        <is>
          <t>Accounts payable</t>
        </is>
      </c>
      <c r="D193" s="25">
        <f>INDEX('Inputs (2)'!$D$28:$AL$28,MATCH(D$7,'Inputs (2)'!$D$2:$AL$2,0))</f>
        <v>1207.7</v>
      </c>
      <c r="E193" s="25">
        <f>INDEX('Inputs (2)'!$D$28:$AL$28,MATCH(E$7,'Inputs (2)'!$D$2:$AL$2,0))</f>
        <v>1247.2</v>
      </c>
      <c r="F193" s="25">
        <f>INDEX('Inputs (2)'!$D$28:$AL$28,MATCH(F$7,'Inputs (2)'!$D$2:$AL$2,0))</f>
        <v>1430.1</v>
      </c>
      <c r="G193" s="25">
        <f>INDEX('Inputs (2)'!$D$28:$AL$28,MATCH(G$7,'Inputs (2)'!$D$2:$AL$2,0))</f>
        <v>1606.7</v>
      </c>
      <c r="H193" s="3">
        <f>G193</f>
        <v>1606.7</v>
      </c>
      <c r="I193" s="25">
        <f>INDEX('Inputs (2)'!$D$28:$AL$28,MATCH(I$7,'Inputs (2)'!$D$2:$AL$2,0))</f>
        <v>1639.6</v>
      </c>
      <c r="J193" s="25">
        <f>INDEX('Inputs (2)'!$D$28:$AL$28,MATCH(J$7,'Inputs (2)'!$D$2:$AL$2,0))</f>
        <v>1597.8</v>
      </c>
      <c r="K193" s="25">
        <f>INDEX('Inputs (2)'!$D$28:$AL$28,MATCH(K$7,'Inputs (2)'!$D$2:$AL$2,0))</f>
        <v>1566.8</v>
      </c>
      <c r="L193" s="25">
        <f>INDEX('Inputs (2)'!$D$28:$AL$28,MATCH(L$7,'Inputs (2)'!$D$2:$AL$2,0))</f>
        <v>1670.6</v>
      </c>
      <c r="M193" s="3">
        <f>L193</f>
        <v>1670.6</v>
      </c>
      <c r="N193" s="25">
        <f>INDEX('Inputs (2)'!$D$28:$AL$28,MATCH(N$7,'Inputs (2)'!$D$2:$AL$2,0))</f>
        <v>1433.3</v>
      </c>
      <c r="O193" s="25">
        <f>INDEX('Inputs (2)'!$D$28:$AL$28,MATCH(O$7,'Inputs (2)'!$D$2:$AL$2,0))</f>
        <v>1659.3</v>
      </c>
      <c r="P193" s="25">
        <f>INDEX('Inputs (2)'!$D$28:$AL$28,MATCH(P$7,'Inputs (2)'!$D$2:$AL$2,0))</f>
        <v>1683.2</v>
      </c>
      <c r="Q193" s="25">
        <f>INDEX('Inputs (2)'!$D$28:$AL$28,MATCH(Q$7,'Inputs (2)'!$D$2:$AL$2,0))</f>
        <v>1930.6</v>
      </c>
      <c r="R193" s="3">
        <f>Q193</f>
        <v>1930.6</v>
      </c>
      <c r="S193" s="25">
        <f>INDEX('Inputs (2)'!$D$28:$AL$28,MATCH(S$7,'Inputs (2)'!$D$2:$AL$2,0))</f>
        <v>2015.9</v>
      </c>
      <c r="T193" s="25">
        <f>INDEX('Inputs (2)'!$D$28:$AL$28,MATCH(T$7,'Inputs (2)'!$D$2:$AL$2,0))</f>
        <v>2474.2</v>
      </c>
      <c r="U193" s="25">
        <f>INDEX('Inputs (2)'!$D$28:$AL$28,MATCH(U$7,'Inputs (2)'!$D$2:$AL$2,0))</f>
        <v>2435.1</v>
      </c>
      <c r="V193" s="25">
        <f>INDEX('Inputs (2)'!$D$28:$AL$28,MATCH(V$7,'Inputs (2)'!$D$2:$AL$2,0))</f>
        <v>2598.8</v>
      </c>
      <c r="W193" s="3">
        <f>V193</f>
        <v>2598.8</v>
      </c>
      <c r="X193" s="25">
        <f>INDEX('Inputs (2)'!$D$28:$AL$28,MATCH(X$7,'Inputs (2)'!$D$2:$AL$2,0))</f>
        <v>2473.7</v>
      </c>
      <c r="Y193" s="25">
        <f>INDEX('Inputs (2)'!$D$28:$AL$28,MATCH(Y$7,'Inputs (2)'!$D$2:$AL$2,0))</f>
        <v>2924.8</v>
      </c>
      <c r="Z193" s="25">
        <f>INDEX('Inputs (2)'!$D$28:$AL$28,MATCH(Z$7,'Inputs (2)'!$D$2:$AL$2,0))</f>
        <v>2886.5</v>
      </c>
      <c r="AA193" s="25">
        <f>INDEX('Inputs (2)'!$D$28:$AL$28,MATCH(AA$7,'Inputs (2)'!$D$2:$AL$2,0))</f>
        <v>3228.6</v>
      </c>
      <c r="AB193" s="3">
        <f>AA193</f>
        <v>3228.6</v>
      </c>
      <c r="AC193" s="25">
        <f>INDEX('Inputs (2)'!$D$28:$AL$28,MATCH(AC$7,'Inputs (2)'!$D$2:$AL$2,0))</f>
        <v>3442</v>
      </c>
      <c r="AD193" s="25">
        <f>INDEX('Inputs (2)'!$D$28:$AL$28,MATCH(AD$7,'Inputs (2)'!$D$2:$AL$2,0))</f>
        <v>4075.7</v>
      </c>
      <c r="AE193" s="25">
        <f>INDEX('Inputs (2)'!$D$28:$AL$28,MATCH(AE$7,'Inputs (2)'!$D$2:$AL$2,0))</f>
        <v>4262.2</v>
      </c>
      <c r="AF193" s="25">
        <f>INDEX('Inputs (2)'!$D$28:$AL$28,MATCH(AF$7,'Inputs (2)'!$D$2:$AL$2,0))</f>
        <v>5379</v>
      </c>
      <c r="AG193" s="3">
        <f>AF193</f>
        <v>5379</v>
      </c>
      <c r="AH193" s="3">
        <f>INDEX('Inputs (2)'!$D$28:$AL$28,MATCH(AH$7,'Inputs (2)'!$D$2:$AL$2,0))</f>
        <v>5029</v>
      </c>
      <c r="AI193" s="3">
        <f>INDEX('Inputs (2)'!$D$28:$AL$28,MATCH(AI$7,'Inputs (2)'!$D$2:$AL$2,0))</f>
        <v>6112</v>
      </c>
      <c r="AJ193" s="3">
        <f>(AJ194/(AJ$5-AI$5))*-AJ49</f>
        <v>0</v>
      </c>
      <c r="AK193" s="3">
        <f>(AK194/(AK$5-AJ$5))*-AK49</f>
        <v>0</v>
      </c>
      <c r="AL193" s="3">
        <f>AK193</f>
        <v>0</v>
      </c>
      <c r="AM193" s="3">
        <f>(AM194/(AM$5-AL$5))*-AM49</f>
        <v>0</v>
      </c>
      <c r="AN193" s="3">
        <f>(AN194/(AN$5-AM$5))*-AN49</f>
        <v>0</v>
      </c>
      <c r="AO193" s="3">
        <f>(AO194/(AO$5-AN$5))*-AO49</f>
        <v>0</v>
      </c>
      <c r="AP193" s="3">
        <f>(AP194/(AP$5-AO$5))*-AP49</f>
        <v>0</v>
      </c>
      <c r="AQ193" s="3">
        <f>AP193</f>
        <v>0</v>
      </c>
      <c r="AR193" s="3">
        <f>(AR194/(AR$5-AQ$5))*-AR49</f>
        <v>0</v>
      </c>
      <c r="AS193" s="3">
        <f>(AS194/(AS$5-AR$5))*-AS49</f>
        <v>0</v>
      </c>
      <c r="AT193" s="3">
        <f>(AT194/(AT$5-AS$5))*-AT49</f>
        <v>0</v>
      </c>
      <c r="AU193" s="3">
        <f>(AU194/(AU$5-AT$5))*-AU49</f>
        <v>0</v>
      </c>
      <c r="AV193" s="3">
        <f>AU193</f>
        <v>0</v>
      </c>
      <c r="AW193" s="3">
        <f>(AW194/(AW$5-AV$5))*-AW49</f>
        <v>0</v>
      </c>
      <c r="AX193" s="3">
        <f>(AX194/(AX$5-AW$5))*-AX49</f>
        <v>0</v>
      </c>
      <c r="AY193" s="3">
        <f>(AY194/(AY$5-AX$5))*-AY49</f>
        <v>0</v>
      </c>
      <c r="AZ193" s="3">
        <f>(AZ194/(AZ$5-AY$5))*-AZ49</f>
        <v>0</v>
      </c>
      <c r="BA193" s="3">
        <f>AZ193</f>
        <v>0</v>
      </c>
      <c r="BB193" s="3">
        <f>(BB194/(BB$5-BA$5))*-BB49</f>
        <v>0</v>
      </c>
      <c r="BC193" s="3">
        <f>(BC194/(BC$5-BB$5))*-BC49</f>
        <v>0</v>
      </c>
      <c r="BD193" s="3">
        <f>(BD194/(BD$5-BC$5))*-BD49</f>
        <v>0</v>
      </c>
      <c r="BE193" s="3">
        <f>(BE194/(BE$5-BD$5))*-BE49</f>
        <v>0</v>
      </c>
      <c r="BF193" s="3">
        <f>BE193</f>
        <v>0</v>
      </c>
      <c r="BG193" s="3">
        <f>(BG194/(BG$5-BF$5))*-BG49</f>
        <v>0</v>
      </c>
      <c r="BH193" s="3">
        <f>(BH194/(BH$5-BG$5))*-BH49</f>
        <v>0</v>
      </c>
      <c r="BI193" s="3">
        <f>(BI194/(BI$5-BH$5))*-BI49</f>
        <v>0</v>
      </c>
      <c r="BJ193" s="3">
        <f>(BJ194/(BJ$5-BI$5))*-BJ49</f>
        <v>0</v>
      </c>
      <c r="BK193" s="3">
        <f>BJ193</f>
        <v>0</v>
      </c>
      <c r="BL193" s="3">
        <f>(BL194/(BL$5-BK$5))*-BL49</f>
        <v>0</v>
      </c>
      <c r="BM193" s="3">
        <f>(BM194/(BM$5-BL$5))*-BM49</f>
        <v>0</v>
      </c>
      <c r="BN193" s="3">
        <f>(BN194/(BN$5-BM$5))*-BN49</f>
        <v>0</v>
      </c>
      <c r="BO193" s="3">
        <f>(BO194/(BO$5-BN$5))*-BO49</f>
        <v>0</v>
      </c>
      <c r="BP193" s="3">
        <f>BO193</f>
        <v>0</v>
      </c>
      <c r="BQ193" s="3">
        <f>(BQ194/(BQ$5-BP$5))*-BQ49</f>
        <v>0</v>
      </c>
      <c r="BR193" s="3">
        <f>(BR194/(BR$5-BQ$5))*-BR49</f>
        <v>0</v>
      </c>
      <c r="BS193" s="3">
        <f>(BS194/(BS$5-BR$5))*-BS49</f>
        <v>0</v>
      </c>
      <c r="BT193" s="3">
        <f>(BT194/(BT$5-BS$5))*-BT49</f>
        <v>0</v>
      </c>
      <c r="BU193" s="3">
        <f>BT193</f>
        <v>0</v>
      </c>
      <c r="BV193" s="3">
        <f>(BV194/(BV$5-BU$5))*-BV49</f>
        <v>0</v>
      </c>
      <c r="BW193" s="3">
        <f>(BW194/(BW$5-BV$5))*-BW49</f>
        <v>0</v>
      </c>
      <c r="BX193" s="3">
        <f>(BX194/(BX$5-BW$5))*-BX49</f>
        <v>0</v>
      </c>
      <c r="BY193" s="3">
        <f>(BY194/(BY$5-BX$5))*-BY49</f>
        <v>0</v>
      </c>
      <c r="BZ193" s="3">
        <f>BY193</f>
        <v>0</v>
      </c>
      <c r="CA193" s="3">
        <f>(CA194/(CA$5-BZ$5))*-CA49</f>
        <v>0</v>
      </c>
      <c r="CB193" s="3">
        <f>(CB194/(CB$5-CA$5))*-CB49</f>
        <v>0</v>
      </c>
      <c r="CC193" s="3">
        <f>(CC194/(CC$5-CB$5))*-CC49</f>
        <v>0</v>
      </c>
      <c r="CD193" s="3">
        <f>(CD194/(CD$5-CC$5))*-CD49</f>
        <v>0</v>
      </c>
      <c r="CE193" s="3">
        <f>CD193</f>
        <v>0</v>
      </c>
      <c r="CF193" s="3">
        <f>(CF194/(CF$5-CE$5))*-CF49</f>
        <v>0</v>
      </c>
      <c r="CG193" s="3">
        <f>(CG194/(CG$5-CF$5))*-CG49</f>
        <v>0</v>
      </c>
      <c r="CH193" s="3">
        <f>(CH194/(CH$5-CG$5))*-CH49</f>
        <v>0</v>
      </c>
      <c r="CI193" s="3">
        <f>(CI194/(CI$5-CH$5))*-CI49</f>
        <v>0</v>
      </c>
      <c r="CJ193" s="3">
        <f>CI193</f>
        <v>0</v>
      </c>
      <c r="CK193" s="3">
        <f>(CK194/(CK$5-CJ$5))*-CK49</f>
        <v>0</v>
      </c>
      <c r="CL193" s="3">
        <f>(CL194/(CL$5-CK$5))*-CL49</f>
        <v>0</v>
      </c>
      <c r="CM193" s="3">
        <f>(CM194/(CM$5-CL$5))*-CM49</f>
        <v>0</v>
      </c>
      <c r="CN193" s="3">
        <f>(CN194/(CN$5-CM$5))*-CN49</f>
        <v>0</v>
      </c>
      <c r="CO193" s="3">
        <f>CN193</f>
        <v>0</v>
      </c>
      <c r="CP193" s="3">
        <f>(CP194/(CP$5-CO$5))*-CP49</f>
        <v>0</v>
      </c>
      <c r="CQ193" s="3">
        <f>(CQ194/(CQ$5-CP$5))*-CQ49</f>
        <v>0</v>
      </c>
      <c r="CR193" s="3">
        <f>(CR194/(CR$5-CQ$5))*-CR49</f>
        <v>0</v>
      </c>
      <c r="CS193" s="3">
        <f>(CS194/(CS$5-CR$5))*-CS49</f>
        <v>0</v>
      </c>
      <c r="CT193" s="3">
        <f>CS193</f>
        <v>0</v>
      </c>
      <c r="CU193" s="3">
        <f>(CU194/(CU$5-CT$5))*-CU49</f>
        <v>0</v>
      </c>
      <c r="CV193" s="3">
        <f>(CV194/(CV$5-CU$5))*-CV49</f>
        <v>0</v>
      </c>
      <c r="CW193" s="3">
        <f>(CW194/(CW$5-CV$5))*-CW49</f>
        <v>0</v>
      </c>
      <c r="CX193" s="3">
        <f>(CX194/(CX$5-CW$5))*-CX49</f>
        <v>0</v>
      </c>
      <c r="CY193" s="3">
        <f>CX193</f>
        <v>0</v>
      </c>
    </row>
    <row r="194" hidden="1" outlineLevel="1">
      <c r="C194" s="34" t="inlineStr">
        <is>
          <t>DPO</t>
        </is>
      </c>
      <c r="D194" s="3" t="n"/>
      <c r="E194" s="3">
        <f>-(E193/E$49)*(E$5-D$5)</f>
        <v>92.8765957446809</v>
      </c>
      <c r="F194" s="3">
        <f>-(F193/F$49)*(F$5-E$5)</f>
        <v>99.1927020506635</v>
      </c>
      <c r="G194" s="3">
        <f>-(G193/G$49)*(G$5-F$5)</f>
        <v>85.9497616001861</v>
      </c>
      <c r="H194" s="3" t="n"/>
      <c r="I194" s="3">
        <f>-(I193/I$49)*(I$5-H$5)</f>
        <v>78.5499840306611</v>
      </c>
      <c r="J194" s="3">
        <f>-(J193/J$49)*(J$5-I$5)</f>
        <v>74.4418390333811</v>
      </c>
      <c r="K194" s="3">
        <f>-(K193/K$49)*(K$5-J$5)</f>
        <v>100.744758177244</v>
      </c>
      <c r="L194" s="3">
        <f>-(L193/L$49)*(L$5-K$5)</f>
        <v>74.9659545410204</v>
      </c>
      <c r="M194" s="3" t="n"/>
      <c r="N194" s="3">
        <f>-(N193/N$49)*(N$5-M$5)</f>
        <v>62.2542348342262</v>
      </c>
      <c r="O194" s="3">
        <f>-(O193/O$49)*(O$5-N$5)</f>
        <v>105.554910870325</v>
      </c>
      <c r="P194" s="3">
        <f>-(P193/P$49)*(P$5-O$5)</f>
        <v>98.0649737192071</v>
      </c>
      <c r="Q194" s="3">
        <f>-(Q193/Q$49)*(Q$5-P$5)</f>
        <v>114.731089722886</v>
      </c>
      <c r="R194" s="3" t="n"/>
      <c r="S194" s="3">
        <f>-(S193/S$49)*(S$5-R$5)</f>
        <v>111.53316530399</v>
      </c>
      <c r="T194" s="3">
        <f>-(T193/T$49)*(T$5-S$5)</f>
        <v>124.57242447715</v>
      </c>
      <c r="U194" s="3">
        <f>-(U193/U$49)*(U$5-T$5)</f>
        <v>120.439331218752</v>
      </c>
      <c r="V194" s="3">
        <f>-(V193/V$49)*(V$5-U$5)</f>
        <v>133.719015659955</v>
      </c>
      <c r="W194" s="3" t="n"/>
      <c r="X194" s="3">
        <f>-(X193/X$49)*(X$5-W$5)</f>
        <v>134.512518673439</v>
      </c>
      <c r="Y194" s="3">
        <f>-(Y193/Y$49)*(Y$5-X$5)</f>
        <v>122.641599852548</v>
      </c>
      <c r="Z194" s="3">
        <f>-(Z193/Z$49)*(Z$5-Y$5)</f>
        <v>122.331859222407</v>
      </c>
      <c r="AA194" s="3">
        <f>-(AA193/AA$49)*(AA$5-Z$5)</f>
        <v>123.567351693153</v>
      </c>
      <c r="AB194" s="3" t="n"/>
      <c r="AC194" s="3">
        <f>-(AC193/AC$49)*(AC$5-AB$5)</f>
        <v>139.226966292135</v>
      </c>
      <c r="AD194" s="3">
        <f>-(AD193/AD$49)*(AD$5-AC$5)</f>
        <v>151.506821895425</v>
      </c>
      <c r="AE194" s="3">
        <f>-(AE193/AE$49)*(AE$5-AD$5)</f>
        <v>130.346840408204</v>
      </c>
      <c r="AF194" s="6">
        <f>-(AF193/AF$49)*(AF$5-AE$5)</f>
        <v>146.771065041374</v>
      </c>
      <c r="AG194" s="3" t="n"/>
      <c r="AH194" s="6">
        <f>-(AH193/AH$49)*(AH$5-AG$5)</f>
        <v>126.533407883701</v>
      </c>
      <c r="AI194" s="6">
        <f>-(AI193/AI$49)*(AI$5-AH$5)</f>
        <v>170.193390452876</v>
      </c>
      <c r="AJ194" s="6" t="n"/>
      <c r="AK194" s="6" t="n"/>
      <c r="AL194" s="3" t="n"/>
      <c r="AM194" s="6" t="n"/>
      <c r="AN194" s="6" t="n"/>
      <c r="AO194" s="6" t="n"/>
      <c r="AP194" s="6" t="n"/>
      <c r="AQ194" s="3" t="n"/>
      <c r="AR194" s="6" t="n"/>
      <c r="AS194" s="6" t="n"/>
      <c r="AT194" s="6" t="n"/>
      <c r="AU194" s="6" t="n"/>
      <c r="AV194" s="3" t="n"/>
      <c r="AW194" s="6" t="n"/>
      <c r="AX194" s="6" t="n"/>
      <c r="AY194" s="6" t="n"/>
      <c r="AZ194" s="6" t="n"/>
      <c r="BA194" s="3" t="n"/>
      <c r="BB194" s="6" t="n"/>
      <c r="BC194" s="6" t="n"/>
      <c r="BD194" s="6" t="n"/>
      <c r="BE194" s="6" t="n"/>
      <c r="BF194" s="3" t="n"/>
      <c r="BG194" s="6" t="n"/>
      <c r="BH194" s="6" t="n"/>
      <c r="BI194" s="6" t="n"/>
      <c r="BJ194" s="6" t="n"/>
      <c r="BK194" s="3" t="n"/>
      <c r="BL194" s="6" t="n"/>
      <c r="BM194" s="6" t="n"/>
      <c r="BN194" s="6" t="n"/>
      <c r="BO194" s="6" t="n"/>
      <c r="BP194" s="3" t="n"/>
      <c r="BQ194" s="6" t="n"/>
      <c r="BR194" s="6" t="n"/>
      <c r="BS194" s="6" t="n"/>
      <c r="BT194" s="6" t="n"/>
      <c r="BU194" s="3" t="n"/>
      <c r="BV194" s="6" t="n"/>
      <c r="BW194" s="6" t="n"/>
      <c r="BX194" s="6" t="n"/>
      <c r="BY194" s="6" t="n"/>
      <c r="BZ194" s="3" t="n"/>
      <c r="CA194" s="6" t="n"/>
      <c r="CB194" s="6" t="n"/>
      <c r="CC194" s="6" t="n"/>
      <c r="CD194" s="6" t="n"/>
      <c r="CE194" s="3" t="n"/>
      <c r="CF194" s="6" t="n"/>
      <c r="CG194" s="6" t="n"/>
      <c r="CH194" s="6" t="n"/>
      <c r="CI194" s="6" t="n"/>
      <c r="CJ194" s="3" t="n"/>
      <c r="CK194" s="6" t="n"/>
      <c r="CL194" s="6" t="n"/>
      <c r="CM194" s="6" t="n"/>
      <c r="CN194" s="6" t="n"/>
      <c r="CO194" s="3" t="n"/>
      <c r="CP194" s="6" t="n"/>
      <c r="CQ194" s="6" t="n"/>
      <c r="CR194" s="6" t="n"/>
      <c r="CS194" s="6" t="n"/>
      <c r="CT194" s="3" t="n"/>
      <c r="CU194" s="6" t="n"/>
      <c r="CV194" s="6" t="n"/>
      <c r="CW194" s="6" t="n"/>
      <c r="CX194" s="6" t="n"/>
      <c r="CY194" s="3" t="n"/>
    </row>
    <row r="195" hidden="1" outlineLevel="1">
      <c r="C195" s="34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  <c r="BZ195" s="3" t="n"/>
      <c r="CA195" s="3" t="n"/>
      <c r="CB195" s="3" t="n"/>
      <c r="CC195" s="3" t="n"/>
      <c r="CD195" s="3" t="n"/>
      <c r="CE195" s="3" t="n"/>
      <c r="CF195" s="3" t="n"/>
      <c r="CG195" s="3" t="n"/>
      <c r="CH195" s="3" t="n"/>
      <c r="CI195" s="3" t="n"/>
      <c r="CJ195" s="3" t="n"/>
      <c r="CK195" s="3" t="n"/>
      <c r="CL195" s="3" t="n"/>
      <c r="CM195" s="3" t="n"/>
      <c r="CN195" s="3" t="n"/>
      <c r="CO195" s="3" t="n"/>
      <c r="CP195" s="3" t="n"/>
      <c r="CQ195" s="3" t="n"/>
      <c r="CR195" s="3" t="n"/>
      <c r="CS195" s="3" t="n"/>
      <c r="CT195" s="3" t="n"/>
      <c r="CU195" s="3" t="n"/>
      <c r="CV195" s="3" t="n"/>
      <c r="CW195" s="3" t="n"/>
      <c r="CX195" s="3" t="n"/>
      <c r="CY195" s="3" t="n"/>
    </row>
    <row r="196" hidden="1" outlineLevel="1">
      <c r="C196" s="34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  <c r="BZ196" s="3" t="n"/>
      <c r="CA196" s="3" t="n"/>
      <c r="CB196" s="3" t="n"/>
      <c r="CC196" s="3" t="n"/>
      <c r="CD196" s="3" t="n"/>
      <c r="CE196" s="3" t="n"/>
      <c r="CF196" s="3" t="n"/>
      <c r="CG196" s="3" t="n"/>
      <c r="CH196" s="3" t="n"/>
      <c r="CI196" s="3" t="n"/>
      <c r="CJ196" s="3" t="n"/>
      <c r="CK196" s="3" t="n"/>
      <c r="CL196" s="3" t="n"/>
      <c r="CM196" s="3" t="n"/>
      <c r="CN196" s="3" t="n"/>
      <c r="CO196" s="3" t="n"/>
      <c r="CP196" s="3" t="n"/>
      <c r="CQ196" s="3" t="n"/>
      <c r="CR196" s="3" t="n"/>
      <c r="CS196" s="3" t="n"/>
      <c r="CT196" s="3" t="n"/>
      <c r="CU196" s="3" t="n"/>
      <c r="CV196" s="3" t="n"/>
      <c r="CW196" s="3" t="n"/>
      <c r="CX196" s="3" t="n"/>
      <c r="CY196" s="3" t="n"/>
    </row>
    <row r="197" collapsed="1">
      <c r="C197" s="26" t="inlineStr">
        <is>
          <t>Accrued expenses</t>
        </is>
      </c>
      <c r="D197" s="25">
        <f>INDEX('Inputs (2)'!$D$29:$AL$29,MATCH(D$7,'Inputs (2)'!$D$2:$AL$2,0))</f>
        <v>565.8</v>
      </c>
      <c r="E197" s="25">
        <f>INDEX('Inputs (2)'!$D$29:$AL$29,MATCH(E$7,'Inputs (2)'!$D$2:$AL$2,0))</f>
        <v>673.6</v>
      </c>
      <c r="F197" s="25">
        <f>INDEX('Inputs (2)'!$D$29:$AL$29,MATCH(F$7,'Inputs (2)'!$D$2:$AL$2,0))</f>
        <v>795.6</v>
      </c>
      <c r="G197" s="25">
        <f>INDEX('Inputs (2)'!$D$29:$AL$29,MATCH(G$7,'Inputs (2)'!$D$2:$AL$2,0))</f>
        <v>997.2</v>
      </c>
      <c r="H197" s="3">
        <f>G197</f>
        <v>997.2</v>
      </c>
      <c r="I197" s="25">
        <f>INDEX('Inputs (2)'!$D$29:$AL$29,MATCH(I$7,'Inputs (2)'!$D$2:$AL$2,0))</f>
        <v>649.9</v>
      </c>
      <c r="J197" s="25">
        <f>INDEX('Inputs (2)'!$D$29:$AL$29,MATCH(J$7,'Inputs (2)'!$D$2:$AL$2,0))</f>
        <v>755.5</v>
      </c>
      <c r="K197" s="25">
        <f>INDEX('Inputs (2)'!$D$29:$AL$29,MATCH(K$7,'Inputs (2)'!$D$2:$AL$2,0))</f>
        <v>836.6</v>
      </c>
      <c r="L197" s="25">
        <f>INDEX('Inputs (2)'!$D$29:$AL$29,MATCH(L$7,'Inputs (2)'!$D$2:$AL$2,0))</f>
        <v>958.1</v>
      </c>
      <c r="M197" s="3">
        <f>L197</f>
        <v>958.1</v>
      </c>
      <c r="N197" s="25">
        <f>INDEX('Inputs (2)'!$D$29:$AL$29,MATCH(N$7,'Inputs (2)'!$D$2:$AL$2,0))</f>
        <v>693.1</v>
      </c>
      <c r="O197" s="25">
        <f>INDEX('Inputs (2)'!$D$29:$AL$29,MATCH(O$7,'Inputs (2)'!$D$2:$AL$2,0))</f>
        <v>835.8</v>
      </c>
      <c r="P197" s="25">
        <f>INDEX('Inputs (2)'!$D$29:$AL$29,MATCH(P$7,'Inputs (2)'!$D$2:$AL$2,0))</f>
        <v>984.1</v>
      </c>
      <c r="Q197" s="25">
        <f>INDEX('Inputs (2)'!$D$29:$AL$29,MATCH(Q$7,'Inputs (2)'!$D$2:$AL$2,0))</f>
        <v>1059.8</v>
      </c>
      <c r="R197" s="3">
        <f>Q197</f>
        <v>1059.8</v>
      </c>
      <c r="S197" s="25">
        <f>INDEX('Inputs (2)'!$D$29:$AL$29,MATCH(S$7,'Inputs (2)'!$D$2:$AL$2,0))</f>
        <v>739.7</v>
      </c>
      <c r="T197" s="25">
        <f>INDEX('Inputs (2)'!$D$29:$AL$29,MATCH(T$7,'Inputs (2)'!$D$2:$AL$2,0))</f>
        <v>867.7</v>
      </c>
      <c r="U197" s="25">
        <f>INDEX('Inputs (2)'!$D$29:$AL$29,MATCH(U$7,'Inputs (2)'!$D$2:$AL$2,0))</f>
        <v>1233.2</v>
      </c>
      <c r="V197" s="25">
        <f>INDEX('Inputs (2)'!$D$29:$AL$29,MATCH(V$7,'Inputs (2)'!$D$2:$AL$2,0))</f>
        <v>1650.4</v>
      </c>
      <c r="W197" s="3">
        <f>V197</f>
        <v>1650.4</v>
      </c>
      <c r="X197" s="25">
        <f>INDEX('Inputs (2)'!$D$29:$AL$29,MATCH(X$7,'Inputs (2)'!$D$2:$AL$2,0))</f>
        <v>844.2</v>
      </c>
      <c r="Y197" s="25">
        <f>INDEX('Inputs (2)'!$D$29:$AL$29,MATCH(Y$7,'Inputs (2)'!$D$2:$AL$2,0))</f>
        <v>1168.3</v>
      </c>
      <c r="Z197" s="25">
        <f>INDEX('Inputs (2)'!$D$29:$AL$29,MATCH(Z$7,'Inputs (2)'!$D$2:$AL$2,0))</f>
        <v>1703.3</v>
      </c>
      <c r="AA197" s="25">
        <f>INDEX('Inputs (2)'!$D$29:$AL$29,MATCH(AA$7,'Inputs (2)'!$D$2:$AL$2,0))</f>
        <v>2093.9</v>
      </c>
      <c r="AB197" s="3">
        <f>AA197</f>
        <v>2093.9</v>
      </c>
      <c r="AC197" s="25">
        <f>INDEX('Inputs (2)'!$D$29:$AL$29,MATCH(AC$7,'Inputs (2)'!$D$2:$AL$2,0))</f>
        <v>1113.9</v>
      </c>
      <c r="AD197" s="25">
        <f>INDEX('Inputs (2)'!$D$29:$AL$29,MATCH(AD$7,'Inputs (2)'!$D$2:$AL$2,0))</f>
        <v>1303</v>
      </c>
      <c r="AE197" s="25">
        <f>INDEX('Inputs (2)'!$D$29:$AL$29,MATCH(AE$7,'Inputs (2)'!$D$2:$AL$2,0))</f>
        <v>1965.7</v>
      </c>
      <c r="AF197" s="25">
        <f>INDEX('Inputs (2)'!$D$29:$AL$29,MATCH(AF$7,'Inputs (2)'!$D$2:$AL$2,0))</f>
        <v>2375</v>
      </c>
      <c r="AG197" s="3">
        <f>AF197</f>
        <v>2375</v>
      </c>
      <c r="AH197" s="3">
        <f>INDEX('Inputs (2)'!$D$29:$AL$29,MATCH(AH$7,'Inputs (2)'!$D$2:$AL$2,0))</f>
        <v>1359</v>
      </c>
      <c r="AI197" s="3">
        <f>INDEX('Inputs (2)'!$D$29:$AL$29,MATCH(AI$7,'Inputs (2)'!$D$2:$AL$2,0))</f>
        <v>1798</v>
      </c>
      <c r="AJ197" s="3">
        <f>AH197*AJ53/AH53</f>
        <v>0</v>
      </c>
      <c r="AK197" s="3">
        <f>AI197*AK53/AI53</f>
        <v>0</v>
      </c>
      <c r="AL197" s="3">
        <f>AK197</f>
        <v>0</v>
      </c>
      <c r="AM197" s="3" t="e">
        <f>AK197*AM53/AK53</f>
        <v>#DIV/0!</v>
      </c>
      <c r="AN197" s="3">
        <f>AL197*AN53/AL53</f>
        <v>0</v>
      </c>
      <c r="AO197" s="3" t="e">
        <f>AM197*AO53/AM53</f>
        <v>#DIV/0!</v>
      </c>
      <c r="AP197" s="3" t="e">
        <f>AN197*AP53/AN53</f>
        <v>#DIV/0!</v>
      </c>
      <c r="AQ197" s="3" t="e">
        <f>AP197</f>
        <v>#DIV/0!</v>
      </c>
      <c r="AR197" s="3" t="e">
        <f>AP197*AR53/AP53</f>
        <v>#DIV/0!</v>
      </c>
      <c r="AS197" s="3" t="e">
        <f>AQ197*AS53/AQ53</f>
        <v>#DIV/0!</v>
      </c>
      <c r="AT197" s="3" t="e">
        <f>AR197*AT53/AR53</f>
        <v>#DIV/0!</v>
      </c>
      <c r="AU197" s="3" t="e">
        <f>AS197*AU53/AS53</f>
        <v>#DIV/0!</v>
      </c>
      <c r="AV197" s="3" t="e">
        <f>AU197</f>
        <v>#DIV/0!</v>
      </c>
      <c r="AW197" s="3" t="e">
        <f>AU197*AW53/AU53</f>
        <v>#DIV/0!</v>
      </c>
      <c r="AX197" s="3" t="e">
        <f>AV197*AX53/AV53</f>
        <v>#DIV/0!</v>
      </c>
      <c r="AY197" s="3" t="e">
        <f>AW197*AY53/AW53</f>
        <v>#DIV/0!</v>
      </c>
      <c r="AZ197" s="3" t="e">
        <f>AX197*AZ53/AX53</f>
        <v>#DIV/0!</v>
      </c>
      <c r="BA197" s="3" t="e">
        <f>AZ197</f>
        <v>#DIV/0!</v>
      </c>
      <c r="BB197" s="3" t="e">
        <f>AZ197*BB53/AZ53</f>
        <v>#DIV/0!</v>
      </c>
      <c r="BC197" s="3" t="e">
        <f>BA197*BC53/BA53</f>
        <v>#DIV/0!</v>
      </c>
      <c r="BD197" s="3" t="e">
        <f>BB197*BD53/BB53</f>
        <v>#DIV/0!</v>
      </c>
      <c r="BE197" s="3" t="e">
        <f>BC197*BE53/BC53</f>
        <v>#DIV/0!</v>
      </c>
      <c r="BF197" s="3" t="e">
        <f>BE197</f>
        <v>#DIV/0!</v>
      </c>
      <c r="BG197" s="3" t="e">
        <f>BE197*BG53/BE53</f>
        <v>#DIV/0!</v>
      </c>
      <c r="BH197" s="3" t="e">
        <f>BF197*BH53/BF53</f>
        <v>#DIV/0!</v>
      </c>
      <c r="BI197" s="3" t="e">
        <f>BG197*BI53/BG53</f>
        <v>#DIV/0!</v>
      </c>
      <c r="BJ197" s="3" t="e">
        <f>BH197*BJ53/BH53</f>
        <v>#DIV/0!</v>
      </c>
      <c r="BK197" s="3" t="e">
        <f>BJ197</f>
        <v>#DIV/0!</v>
      </c>
      <c r="BL197" s="3" t="e">
        <f>BJ197*BL53/BJ53</f>
        <v>#DIV/0!</v>
      </c>
      <c r="BM197" s="3" t="e">
        <f>BK197*BM53/BK53</f>
        <v>#DIV/0!</v>
      </c>
      <c r="BN197" s="3" t="e">
        <f>BL197*BN53/BL53</f>
        <v>#DIV/0!</v>
      </c>
      <c r="BO197" s="3" t="e">
        <f>BM197*BO53/BM53</f>
        <v>#DIV/0!</v>
      </c>
      <c r="BP197" s="3" t="e">
        <f>BO197</f>
        <v>#DIV/0!</v>
      </c>
      <c r="BQ197" s="3" t="e">
        <f>BO197*BQ53/BO53</f>
        <v>#DIV/0!</v>
      </c>
      <c r="BR197" s="3" t="e">
        <f>BP197*BR53/BP53</f>
        <v>#DIV/0!</v>
      </c>
      <c r="BS197" s="3" t="e">
        <f>BQ197*BS53/BQ53</f>
        <v>#DIV/0!</v>
      </c>
      <c r="BT197" s="3" t="e">
        <f>BR197*BT53/BR53</f>
        <v>#DIV/0!</v>
      </c>
      <c r="BU197" s="3" t="e">
        <f>BT197</f>
        <v>#DIV/0!</v>
      </c>
      <c r="BV197" s="3" t="e">
        <f>BT197*BV53/BT53</f>
        <v>#DIV/0!</v>
      </c>
      <c r="BW197" s="3" t="e">
        <f>BU197*BW53/BU53</f>
        <v>#DIV/0!</v>
      </c>
      <c r="BX197" s="3" t="e">
        <f>BV197*BX53/BV53</f>
        <v>#DIV/0!</v>
      </c>
      <c r="BY197" s="3" t="e">
        <f>BW197*BY53/BW53</f>
        <v>#DIV/0!</v>
      </c>
      <c r="BZ197" s="3" t="e">
        <f>BY197</f>
        <v>#DIV/0!</v>
      </c>
      <c r="CA197" s="3" t="e">
        <f>BY197*CA53/BY53</f>
        <v>#DIV/0!</v>
      </c>
      <c r="CB197" s="3" t="e">
        <f>BZ197*CB53/BZ53</f>
        <v>#DIV/0!</v>
      </c>
      <c r="CC197" s="3" t="e">
        <f>CA197*CC53/CA53</f>
        <v>#DIV/0!</v>
      </c>
      <c r="CD197" s="3" t="e">
        <f>CB197*CD53/CB53</f>
        <v>#DIV/0!</v>
      </c>
      <c r="CE197" s="3" t="e">
        <f>CD197</f>
        <v>#DIV/0!</v>
      </c>
      <c r="CF197" s="3" t="e">
        <f>CD197*CF53/CD53</f>
        <v>#DIV/0!</v>
      </c>
      <c r="CG197" s="3" t="e">
        <f>CE197*CG53/CE53</f>
        <v>#DIV/0!</v>
      </c>
      <c r="CH197" s="3" t="e">
        <f>CF197*CH53/CF53</f>
        <v>#DIV/0!</v>
      </c>
      <c r="CI197" s="3" t="e">
        <f>CG197*CI53/CG53</f>
        <v>#DIV/0!</v>
      </c>
      <c r="CJ197" s="3" t="e">
        <f>CI197</f>
        <v>#DIV/0!</v>
      </c>
      <c r="CK197" s="3" t="e">
        <f>CI197*CK53/CI53</f>
        <v>#DIV/0!</v>
      </c>
      <c r="CL197" s="3" t="e">
        <f>CJ197*CL53/CJ53</f>
        <v>#DIV/0!</v>
      </c>
      <c r="CM197" s="3" t="e">
        <f>CK197*CM53/CK53</f>
        <v>#DIV/0!</v>
      </c>
      <c r="CN197" s="3" t="e">
        <f>CL197*CN53/CL53</f>
        <v>#DIV/0!</v>
      </c>
      <c r="CO197" s="3" t="e">
        <f>CN197</f>
        <v>#DIV/0!</v>
      </c>
      <c r="CP197" s="3" t="e">
        <f>CN197*CP53/CN53</f>
        <v>#DIV/0!</v>
      </c>
      <c r="CQ197" s="3" t="e">
        <f>CO197*CQ53/CO53</f>
        <v>#DIV/0!</v>
      </c>
      <c r="CR197" s="3" t="e">
        <f>CP197*CR53/CP53</f>
        <v>#DIV/0!</v>
      </c>
      <c r="CS197" s="3" t="e">
        <f>CQ197*CS53/CQ53</f>
        <v>#DIV/0!</v>
      </c>
      <c r="CT197" s="3" t="e">
        <f>CS197</f>
        <v>#DIV/0!</v>
      </c>
      <c r="CU197" s="3" t="e">
        <f>CS197*CU53/CS53</f>
        <v>#DIV/0!</v>
      </c>
      <c r="CV197" s="3" t="e">
        <f>CT197*CV53/CT53</f>
        <v>#DIV/0!</v>
      </c>
      <c r="CW197" s="3" t="e">
        <f>CU197*CW53/CU53</f>
        <v>#DIV/0!</v>
      </c>
      <c r="CX197" s="3" t="e">
        <f>CV197*CX53/CV53</f>
        <v>#DIV/0!</v>
      </c>
      <c r="CY197" s="3" t="e">
        <f>CX197</f>
        <v>#DIV/0!</v>
      </c>
    </row>
    <row r="198" hidden="1" outlineLevel="1">
      <c r="C198" s="38" t="inlineStr">
        <is>
          <t>%(Var.)</t>
        </is>
      </c>
      <c r="D198" s="3" t="n"/>
      <c r="E198" s="47">
        <f>(E197-D197)/D197</f>
        <v>0.190526687875575</v>
      </c>
      <c r="F198" s="47">
        <f>(F197-E197)/E197</f>
        <v>0.181116389548693</v>
      </c>
      <c r="G198" s="47">
        <f>(G197-F197)/F197</f>
        <v>0.253393665158371</v>
      </c>
      <c r="H198" s="3" t="n"/>
      <c r="I198" s="47">
        <f>(I197-H197)/H197</f>
        <v>-0.348275170477337</v>
      </c>
      <c r="J198" s="47">
        <f>(J197-I197)/I197</f>
        <v>0.162486536390214</v>
      </c>
      <c r="K198" s="47">
        <f>(K197-J197)/J197</f>
        <v>0.107346128391793</v>
      </c>
      <c r="L198" s="47">
        <f>(L197-K197)/K197</f>
        <v>0.145230695672962</v>
      </c>
      <c r="M198" s="3" t="n"/>
      <c r="N198" s="47">
        <f>(N197-M197)/M197</f>
        <v>-0.276589082559232</v>
      </c>
      <c r="O198" s="47">
        <f>(O197-N197)/N197</f>
        <v>0.205886596450729</v>
      </c>
      <c r="P198" s="47">
        <f>(P197-O197)/O197</f>
        <v>0.177434793012682</v>
      </c>
      <c r="Q198" s="47">
        <f>(Q197-P197)/P197</f>
        <v>0.076923076923077</v>
      </c>
      <c r="R198" s="3" t="n"/>
      <c r="S198" s="47">
        <f>(S197-R197)/R197</f>
        <v>-0.302038120400076</v>
      </c>
      <c r="T198" s="47">
        <f>(T197-S197)/S197</f>
        <v>0.173043125591456</v>
      </c>
      <c r="U198" s="47">
        <f>(U197-T197)/T197</f>
        <v>0.421228535208021</v>
      </c>
      <c r="V198" s="47">
        <f>(V197-U197)/U197</f>
        <v>0.338306843983133</v>
      </c>
      <c r="W198" s="3" t="n"/>
      <c r="X198" s="47">
        <f>(X197-W197)/W197</f>
        <v>-0.488487639360155</v>
      </c>
      <c r="Y198" s="47">
        <f>(Y197-X197)/X197</f>
        <v>0.38391376451078</v>
      </c>
      <c r="Z198" s="47">
        <f>(Z197-Y197)/Y197</f>
        <v>0.457930326114868</v>
      </c>
      <c r="AA198" s="47">
        <f>(AA197-Z197)/Z197</f>
        <v>0.229319556155698</v>
      </c>
      <c r="AB198" s="3" t="n"/>
      <c r="AC198" s="47">
        <f>(AC197-AB197)/AB197</f>
        <v>-0.468026171259373</v>
      </c>
      <c r="AD198" s="47">
        <f>(AD197-AC197)/AC197</f>
        <v>0.1697638926295</v>
      </c>
      <c r="AE198" s="47">
        <f>(AE197-AD197)/AD197</f>
        <v>0.508595548733691</v>
      </c>
      <c r="AF198" s="218">
        <f>(AF197-AE197)/AE197</f>
        <v>0.208220989978125</v>
      </c>
      <c r="AG198" s="3" t="n"/>
      <c r="AH198" s="218">
        <f>(AH197-AG197)/AG197</f>
        <v>-0.427789473684211</v>
      </c>
      <c r="AI198" s="218">
        <f>(AI197-AH197)/AH197</f>
        <v>0.323031640912436</v>
      </c>
      <c r="AJ198" s="218" t="n"/>
      <c r="AK198" s="218" t="n"/>
      <c r="AL198" s="3" t="n"/>
      <c r="AM198" s="218" t="n"/>
      <c r="AN198" s="218" t="n"/>
      <c r="AO198" s="218" t="n"/>
      <c r="AP198" s="218" t="n"/>
      <c r="AQ198" s="3" t="n"/>
      <c r="AR198" s="218" t="n"/>
      <c r="AS198" s="218" t="n"/>
      <c r="AT198" s="218" t="n"/>
      <c r="AU198" s="218" t="n"/>
      <c r="AV198" s="3" t="n"/>
      <c r="AW198" s="218" t="n"/>
      <c r="AX198" s="218" t="n"/>
      <c r="AY198" s="218" t="n"/>
      <c r="AZ198" s="218" t="n"/>
      <c r="BA198" s="3" t="n"/>
      <c r="BB198" s="218" t="n"/>
      <c r="BC198" s="218" t="n"/>
      <c r="BD198" s="218" t="n"/>
      <c r="BE198" s="218" t="n"/>
      <c r="BF198" s="3" t="n"/>
      <c r="BG198" s="218" t="n"/>
      <c r="BH198" s="218" t="n"/>
      <c r="BI198" s="218" t="n"/>
      <c r="BJ198" s="218" t="n"/>
      <c r="BK198" s="3" t="n"/>
      <c r="BL198" s="218" t="n"/>
      <c r="BM198" s="218" t="n"/>
      <c r="BN198" s="218" t="n"/>
      <c r="BO198" s="218" t="n"/>
      <c r="BP198" s="3" t="n"/>
      <c r="BQ198" s="218" t="n"/>
      <c r="BR198" s="218" t="n"/>
      <c r="BS198" s="218" t="n"/>
      <c r="BT198" s="218" t="n"/>
      <c r="BU198" s="3" t="n"/>
      <c r="BV198" s="218" t="n"/>
      <c r="BW198" s="218" t="n"/>
      <c r="BX198" s="218" t="n"/>
      <c r="BY198" s="218" t="n"/>
      <c r="BZ198" s="3" t="n"/>
      <c r="CA198" s="218" t="n"/>
      <c r="CB198" s="218" t="n"/>
      <c r="CC198" s="218" t="n"/>
      <c r="CD198" s="218" t="n"/>
      <c r="CE198" s="3" t="n"/>
      <c r="CF198" s="218" t="n"/>
      <c r="CG198" s="218" t="n"/>
      <c r="CH198" s="218" t="n"/>
      <c r="CI198" s="218" t="n"/>
      <c r="CJ198" s="3" t="n"/>
      <c r="CK198" s="218" t="n"/>
      <c r="CL198" s="218" t="n"/>
      <c r="CM198" s="218" t="n"/>
      <c r="CN198" s="218" t="n"/>
      <c r="CO198" s="3" t="n"/>
      <c r="CP198" s="218" t="n"/>
      <c r="CQ198" s="218" t="n"/>
      <c r="CR198" s="218" t="n"/>
      <c r="CS198" s="218" t="n"/>
      <c r="CT198" s="3" t="n"/>
      <c r="CU198" s="218" t="n"/>
      <c r="CV198" s="218" t="n"/>
      <c r="CW198" s="218" t="n"/>
      <c r="CX198" s="218" t="n"/>
      <c r="CY198" s="3" t="n"/>
    </row>
    <row r="199" collapsed="1">
      <c r="C199" s="26" t="inlineStr">
        <is>
          <t>Taxes payable</t>
        </is>
      </c>
      <c r="D199" s="25">
        <f>INDEX('Inputs (2)'!$D$30:$AL$30,MATCH(D$7,'Inputs (2)'!$D$2:$AL$2,0))</f>
        <v>667.4</v>
      </c>
      <c r="E199" s="25">
        <f>INDEX('Inputs (2)'!$D$30:$AL$30,MATCH(E$7,'Inputs (2)'!$D$2:$AL$2,0))</f>
        <v>1460.8</v>
      </c>
      <c r="F199" s="25">
        <f>INDEX('Inputs (2)'!$D$30:$AL$30,MATCH(F$7,'Inputs (2)'!$D$2:$AL$2,0))</f>
        <v>1173.5</v>
      </c>
      <c r="G199" s="25">
        <f>INDEX('Inputs (2)'!$D$30:$AL$30,MATCH(G$7,'Inputs (2)'!$D$2:$AL$2,0))</f>
        <v>495.1</v>
      </c>
      <c r="H199" s="3">
        <f>G199</f>
        <v>495.1</v>
      </c>
      <c r="I199" s="25">
        <f>INDEX('Inputs (2)'!$D$30:$AL$30,MATCH(I$7,'Inputs (2)'!$D$2:$AL$2,0))</f>
        <v>791.6</v>
      </c>
      <c r="J199" s="25">
        <f>INDEX('Inputs (2)'!$D$30:$AL$30,MATCH(J$7,'Inputs (2)'!$D$2:$AL$2,0))</f>
        <v>529.9</v>
      </c>
      <c r="K199" s="25">
        <f>INDEX('Inputs (2)'!$D$30:$AL$30,MATCH(K$7,'Inputs (2)'!$D$2:$AL$2,0))</f>
        <v>203.5</v>
      </c>
      <c r="L199" s="25">
        <f>INDEX('Inputs (2)'!$D$30:$AL$30,MATCH(L$7,'Inputs (2)'!$D$2:$AL$2,0))</f>
        <v>126.9</v>
      </c>
      <c r="M199" s="3">
        <f>L199</f>
        <v>126.9</v>
      </c>
      <c r="N199" s="25">
        <f>INDEX('Inputs (2)'!$D$30:$AL$30,MATCH(N$7,'Inputs (2)'!$D$2:$AL$2,0))</f>
        <v>598.3</v>
      </c>
      <c r="O199" s="25">
        <f>INDEX('Inputs (2)'!$D$30:$AL$30,MATCH(O$7,'Inputs (2)'!$D$2:$AL$2,0))</f>
        <v>126.6</v>
      </c>
      <c r="P199" s="25">
        <f>INDEX('Inputs (2)'!$D$30:$AL$30,MATCH(P$7,'Inputs (2)'!$D$2:$AL$2,0))</f>
        <v>685.6</v>
      </c>
      <c r="Q199" s="25">
        <f>INDEX('Inputs (2)'!$D$30:$AL$30,MATCH(Q$7,'Inputs (2)'!$D$2:$AL$2,0))</f>
        <v>475.1</v>
      </c>
      <c r="R199" s="3">
        <f>Q199</f>
        <v>475.1</v>
      </c>
      <c r="S199" s="25">
        <f>INDEX('Inputs (2)'!$D$30:$AL$30,MATCH(S$7,'Inputs (2)'!$D$2:$AL$2,0))</f>
        <v>1528.3</v>
      </c>
      <c r="T199" s="25">
        <f>INDEX('Inputs (2)'!$D$30:$AL$30,MATCH(T$7,'Inputs (2)'!$D$2:$AL$2,0))</f>
        <v>1233.8</v>
      </c>
      <c r="U199" s="25">
        <f>INDEX('Inputs (2)'!$D$30:$AL$30,MATCH(U$7,'Inputs (2)'!$D$2:$AL$2,0))</f>
        <v>1977.5</v>
      </c>
      <c r="V199" s="25">
        <f>INDEX('Inputs (2)'!$D$30:$AL$30,MATCH(V$7,'Inputs (2)'!$D$2:$AL$2,0))</f>
        <v>0</v>
      </c>
      <c r="W199" s="3">
        <f>V199</f>
        <v>0</v>
      </c>
      <c r="X199" s="25">
        <f>INDEX('Inputs (2)'!$D$30:$AL$30,MATCH(X$7,'Inputs (2)'!$D$2:$AL$2,0))</f>
        <v>0</v>
      </c>
      <c r="Y199" s="25">
        <f>INDEX('Inputs (2)'!$D$30:$AL$30,MATCH(Y$7,'Inputs (2)'!$D$2:$AL$2,0))</f>
        <v>0</v>
      </c>
      <c r="Z199" s="25">
        <f>INDEX('Inputs (2)'!$D$30:$AL$30,MATCH(Z$7,'Inputs (2)'!$D$2:$AL$2,0))</f>
        <v>0</v>
      </c>
      <c r="AA199" s="25">
        <f>INDEX('Inputs (2)'!$D$30:$AL$30,MATCH(AA$7,'Inputs (2)'!$D$2:$AL$2,0))</f>
        <v>0</v>
      </c>
      <c r="AB199" s="3">
        <f>AA199</f>
        <v>0</v>
      </c>
      <c r="AC199" s="25">
        <f>INDEX('Inputs (2)'!$D$30:$AL$30,MATCH(AC$7,'Inputs (2)'!$D$2:$AL$2,0))</f>
        <v>6175.7</v>
      </c>
      <c r="AD199" s="25">
        <f>INDEX('Inputs (2)'!$D$30:$AL$30,MATCH(AD$7,'Inputs (2)'!$D$2:$AL$2,0))</f>
        <v>6958</v>
      </c>
      <c r="AE199" s="25">
        <f>INDEX('Inputs (2)'!$D$30:$AL$30,MATCH(AE$7,'Inputs (2)'!$D$2:$AL$2,0))</f>
        <v>9444.4</v>
      </c>
      <c r="AF199" s="25">
        <f>INDEX('Inputs (2)'!$D$30:$AL$30,MATCH(AF$7,'Inputs (2)'!$D$2:$AL$2,0))</f>
        <v>0</v>
      </c>
      <c r="AG199" s="3">
        <f>AF199</f>
        <v>0</v>
      </c>
      <c r="AH199" s="3">
        <f>INDEX('Inputs (2)'!$D$30:$AL$30,MATCH(AH$7,'Inputs (2)'!$D$2:$AL$2,0))</f>
        <v>0</v>
      </c>
      <c r="AI199" s="3">
        <f>INDEX('Inputs (2)'!$D$30:$AL$30,MATCH(AI$7,'Inputs (2)'!$D$2:$AL$2,0))</f>
        <v>0</v>
      </c>
      <c r="AJ199" s="3">
        <f>AH199*AJ126/AH126</f>
        <v>0</v>
      </c>
      <c r="AK199" s="3">
        <f>AI199*AK126/AI126</f>
        <v>0</v>
      </c>
      <c r="AL199" s="3">
        <f>AK199</f>
        <v>0</v>
      </c>
      <c r="AM199" s="3" t="e">
        <f>AK199*AM126/AK126</f>
        <v>#DIV/0!</v>
      </c>
      <c r="AN199" s="3">
        <f>AL199*AN126/AL126</f>
        <v>0</v>
      </c>
      <c r="AO199" s="3" t="e">
        <f>AM199*AO126/AM126</f>
        <v>#DIV/0!</v>
      </c>
      <c r="AP199" s="3" t="e">
        <f>AN199*AP126/AN126</f>
        <v>#DIV/0!</v>
      </c>
      <c r="AQ199" s="3" t="e">
        <f>AP199</f>
        <v>#DIV/0!</v>
      </c>
      <c r="AR199" s="3" t="e">
        <f>AP199*AR126/AP126</f>
        <v>#DIV/0!</v>
      </c>
      <c r="AS199" s="3" t="e">
        <f>AQ199*AS126/AQ126</f>
        <v>#DIV/0!</v>
      </c>
      <c r="AT199" s="3" t="e">
        <f>AR199*AT126/AR126</f>
        <v>#DIV/0!</v>
      </c>
      <c r="AU199" s="3" t="e">
        <f>AS199*AU126/AS126</f>
        <v>#DIV/0!</v>
      </c>
      <c r="AV199" s="3" t="e">
        <f>AU199</f>
        <v>#DIV/0!</v>
      </c>
      <c r="AW199" s="3" t="e">
        <f>AU199*AW126/AU126</f>
        <v>#DIV/0!</v>
      </c>
      <c r="AX199" s="3" t="e">
        <f>AV199*AX126/AV126</f>
        <v>#DIV/0!</v>
      </c>
      <c r="AY199" s="3" t="e">
        <f>AW199*AY126/AW126</f>
        <v>#DIV/0!</v>
      </c>
      <c r="AZ199" s="3" t="e">
        <f>AX199*AZ126/AX126</f>
        <v>#DIV/0!</v>
      </c>
      <c r="BA199" s="3" t="e">
        <f>AZ199</f>
        <v>#DIV/0!</v>
      </c>
      <c r="BB199" s="3" t="e">
        <f>AZ199*BB126/AZ126</f>
        <v>#DIV/0!</v>
      </c>
      <c r="BC199" s="3" t="e">
        <f>BA199*BC126/BA126</f>
        <v>#DIV/0!</v>
      </c>
      <c r="BD199" s="3" t="e">
        <f>BB199*BD126/BB126</f>
        <v>#DIV/0!</v>
      </c>
      <c r="BE199" s="3" t="e">
        <f>BC199*BE126/BC126</f>
        <v>#DIV/0!</v>
      </c>
      <c r="BF199" s="3" t="e">
        <f>BE199</f>
        <v>#DIV/0!</v>
      </c>
      <c r="BG199" s="3" t="e">
        <f>BE199*BG126/BE126</f>
        <v>#DIV/0!</v>
      </c>
      <c r="BH199" s="3" t="e">
        <f>BF199*BH126/BF126</f>
        <v>#DIV/0!</v>
      </c>
      <c r="BI199" s="3" t="e">
        <f>BG199*BI126/BG126</f>
        <v>#DIV/0!</v>
      </c>
      <c r="BJ199" s="3" t="e">
        <f>BH199*BJ126/BH126</f>
        <v>#DIV/0!</v>
      </c>
      <c r="BK199" s="3" t="e">
        <f>BJ199</f>
        <v>#DIV/0!</v>
      </c>
      <c r="BL199" s="3" t="e">
        <f>BJ199*BL126/BJ126</f>
        <v>#DIV/0!</v>
      </c>
      <c r="BM199" s="3" t="e">
        <f>BK199*BM126/BK126</f>
        <v>#DIV/0!</v>
      </c>
      <c r="BN199" s="3" t="e">
        <f>BL199*BN126/BL126</f>
        <v>#DIV/0!</v>
      </c>
      <c r="BO199" s="3" t="e">
        <f>BM199*BO126/BM126</f>
        <v>#DIV/0!</v>
      </c>
      <c r="BP199" s="3" t="e">
        <f>BO199</f>
        <v>#DIV/0!</v>
      </c>
      <c r="BQ199" s="3" t="e">
        <f>BO199*BQ126/BO126</f>
        <v>#DIV/0!</v>
      </c>
      <c r="BR199" s="3" t="e">
        <f>BP199*BR126/BP126</f>
        <v>#DIV/0!</v>
      </c>
      <c r="BS199" s="3" t="e">
        <f>BQ199*BS126/BQ126</f>
        <v>#DIV/0!</v>
      </c>
      <c r="BT199" s="3" t="e">
        <f>BR199*BT126/BR126</f>
        <v>#DIV/0!</v>
      </c>
      <c r="BU199" s="3" t="e">
        <f>BT199</f>
        <v>#DIV/0!</v>
      </c>
      <c r="BV199" s="3" t="e">
        <f>BT199*BV126/BT126</f>
        <v>#DIV/0!</v>
      </c>
      <c r="BW199" s="3" t="e">
        <f>BU199*BW126/BU126</f>
        <v>#DIV/0!</v>
      </c>
      <c r="BX199" s="3" t="e">
        <f>BV199*BX126/BV126</f>
        <v>#DIV/0!</v>
      </c>
      <c r="BY199" s="3" t="e">
        <f>BW199*BY126/BW126</f>
        <v>#DIV/0!</v>
      </c>
      <c r="BZ199" s="3" t="e">
        <f>BY199</f>
        <v>#DIV/0!</v>
      </c>
      <c r="CA199" s="3" t="e">
        <f>BY199*CA126/BY126</f>
        <v>#DIV/0!</v>
      </c>
      <c r="CB199" s="3" t="e">
        <f>BZ199*CB126/BZ126</f>
        <v>#DIV/0!</v>
      </c>
      <c r="CC199" s="3" t="e">
        <f>CA199*CC126/CA126</f>
        <v>#DIV/0!</v>
      </c>
      <c r="CD199" s="3" t="e">
        <f>CB199*CD126/CB126</f>
        <v>#DIV/0!</v>
      </c>
      <c r="CE199" s="3" t="e">
        <f>CD199</f>
        <v>#DIV/0!</v>
      </c>
      <c r="CF199" s="3" t="e">
        <f>CD199*CF126/CD126</f>
        <v>#DIV/0!</v>
      </c>
      <c r="CG199" s="3" t="e">
        <f>CE199*CG126/CE126</f>
        <v>#DIV/0!</v>
      </c>
      <c r="CH199" s="3" t="e">
        <f>CF199*CH126/CF126</f>
        <v>#DIV/0!</v>
      </c>
      <c r="CI199" s="3" t="e">
        <f>CG199*CI126/CG126</f>
        <v>#DIV/0!</v>
      </c>
      <c r="CJ199" s="3" t="e">
        <f>CI199</f>
        <v>#DIV/0!</v>
      </c>
      <c r="CK199" s="3" t="e">
        <f>CI199*CK126/CI126</f>
        <v>#DIV/0!</v>
      </c>
      <c r="CL199" s="3" t="e">
        <f>CJ199*CL126/CJ126</f>
        <v>#DIV/0!</v>
      </c>
      <c r="CM199" s="3" t="e">
        <f>CK199*CM126/CK126</f>
        <v>#DIV/0!</v>
      </c>
      <c r="CN199" s="3" t="e">
        <f>CL199*CN126/CL126</f>
        <v>#DIV/0!</v>
      </c>
      <c r="CO199" s="3" t="e">
        <f>CN199</f>
        <v>#DIV/0!</v>
      </c>
      <c r="CP199" s="3" t="e">
        <f>CN199*CP126/CN126</f>
        <v>#DIV/0!</v>
      </c>
      <c r="CQ199" s="3" t="e">
        <f>CO199*CQ126/CO126</f>
        <v>#DIV/0!</v>
      </c>
      <c r="CR199" s="3" t="e">
        <f>CP199*CR126/CP126</f>
        <v>#DIV/0!</v>
      </c>
      <c r="CS199" s="3" t="e">
        <f>CQ199*CS126/CQ126</f>
        <v>#DIV/0!</v>
      </c>
      <c r="CT199" s="3" t="e">
        <f>CS199</f>
        <v>#DIV/0!</v>
      </c>
      <c r="CU199" s="3" t="e">
        <f>CS199*CU126/CS126</f>
        <v>#DIV/0!</v>
      </c>
      <c r="CV199" s="3" t="e">
        <f>CT199*CV126/CT126</f>
        <v>#DIV/0!</v>
      </c>
      <c r="CW199" s="3" t="e">
        <f>CU199*CW126/CU126</f>
        <v>#DIV/0!</v>
      </c>
      <c r="CX199" s="3" t="e">
        <f>CV199*CX126/CV126</f>
        <v>#DIV/0!</v>
      </c>
      <c r="CY199" s="3" t="e">
        <f>CX199</f>
        <v>#DIV/0!</v>
      </c>
    </row>
    <row r="200">
      <c r="C200" s="26" t="inlineStr">
        <is>
          <t>Other current liabilities (non-debt)</t>
        </is>
      </c>
      <c r="D200" s="25">
        <f>INDEX('Inputs (2)'!$D$31:$AL$31,MATCH(D$7,'Inputs (2)'!$D$2:$AL$2,0))</f>
        <v>6921.3</v>
      </c>
      <c r="E200" s="25">
        <f>INDEX('Inputs (2)'!$D$31:$AL$31,MATCH(E$7,'Inputs (2)'!$D$2:$AL$2,0))</f>
        <v>7343.1</v>
      </c>
      <c r="F200" s="25">
        <f>INDEX('Inputs (2)'!$D$31:$AL$31,MATCH(F$7,'Inputs (2)'!$D$2:$AL$2,0))</f>
        <v>7990.2</v>
      </c>
      <c r="G200" s="25">
        <f>INDEX('Inputs (2)'!$D$31:$AL$31,MATCH(G$7,'Inputs (2)'!$D$2:$AL$2,0))</f>
        <v>9373.9</v>
      </c>
      <c r="H200" s="3">
        <f>G200</f>
        <v>9373.9</v>
      </c>
      <c r="I200" s="25">
        <f>INDEX('Inputs (2)'!$D$31:$AL$31,MATCH(I$7,'Inputs (2)'!$D$2:$AL$2,0))</f>
        <v>8628.2</v>
      </c>
      <c r="J200" s="25">
        <f>INDEX('Inputs (2)'!$D$31:$AL$31,MATCH(J$7,'Inputs (2)'!$D$2:$AL$2,0))</f>
        <v>10431.5</v>
      </c>
      <c r="K200" s="25">
        <f>INDEX('Inputs (2)'!$D$31:$AL$31,MATCH(K$7,'Inputs (2)'!$D$2:$AL$2,0))</f>
        <v>9512.1</v>
      </c>
      <c r="L200" s="25">
        <f>INDEX('Inputs (2)'!$D$31:$AL$31,MATCH(L$7,'Inputs (2)'!$D$2:$AL$2,0))</f>
        <v>10758.8</v>
      </c>
      <c r="M200" s="3">
        <f>L200</f>
        <v>10758.8</v>
      </c>
      <c r="N200" s="25">
        <f>INDEX('Inputs (2)'!$D$31:$AL$31,MATCH(N$7,'Inputs (2)'!$D$2:$AL$2,0))</f>
        <v>9305.4</v>
      </c>
      <c r="O200" s="25">
        <f>INDEX('Inputs (2)'!$D$31:$AL$31,MATCH(O$7,'Inputs (2)'!$D$2:$AL$2,0))</f>
        <v>10877.1</v>
      </c>
      <c r="P200" s="25">
        <f>INDEX('Inputs (2)'!$D$31:$AL$31,MATCH(P$7,'Inputs (2)'!$D$2:$AL$2,0))</f>
        <v>10555.3</v>
      </c>
      <c r="Q200" s="25">
        <f>INDEX('Inputs (2)'!$D$31:$AL$31,MATCH(Q$7,'Inputs (2)'!$D$2:$AL$2,0))</f>
        <v>12171.6</v>
      </c>
      <c r="R200" s="3">
        <f>Q200</f>
        <v>12171.6</v>
      </c>
      <c r="S200" s="25">
        <f>INDEX('Inputs (2)'!$D$31:$AL$31,MATCH(S$7,'Inputs (2)'!$D$2:$AL$2,0))</f>
        <v>11723</v>
      </c>
      <c r="T200" s="25">
        <f>INDEX('Inputs (2)'!$D$31:$AL$31,MATCH(T$7,'Inputs (2)'!$D$2:$AL$2,0))</f>
        <v>13677.7</v>
      </c>
      <c r="U200" s="25">
        <f>INDEX('Inputs (2)'!$D$31:$AL$31,MATCH(U$7,'Inputs (2)'!$D$2:$AL$2,0))</f>
        <v>14107.7</v>
      </c>
      <c r="V200" s="25">
        <f>INDEX('Inputs (2)'!$D$31:$AL$31,MATCH(V$7,'Inputs (2)'!$D$2:$AL$2,0))</f>
        <v>16139.5</v>
      </c>
      <c r="W200" s="3">
        <f>V200</f>
        <v>16139.5</v>
      </c>
      <c r="X200" s="25">
        <f>INDEX('Inputs (2)'!$D$31:$AL$31,MATCH(X$7,'Inputs (2)'!$D$2:$AL$2,0))</f>
        <v>13628.7</v>
      </c>
      <c r="Y200" s="25">
        <f>INDEX('Inputs (2)'!$D$31:$AL$31,MATCH(Y$7,'Inputs (2)'!$D$2:$AL$2,0))</f>
        <v>17866.5</v>
      </c>
      <c r="Z200" s="25">
        <f>INDEX('Inputs (2)'!$D$31:$AL$31,MATCH(Z$7,'Inputs (2)'!$D$2:$AL$2,0))</f>
        <v>18010</v>
      </c>
      <c r="AA200" s="25">
        <f>INDEX('Inputs (2)'!$D$31:$AL$31,MATCH(AA$7,'Inputs (2)'!$D$2:$AL$2,0))</f>
        <v>17937</v>
      </c>
      <c r="AB200" s="3">
        <f>AA200</f>
        <v>17937</v>
      </c>
      <c r="AC200" s="25">
        <f>INDEX('Inputs (2)'!$D$31:$AL$31,MATCH(AC$7,'Inputs (2)'!$D$2:$AL$2,0))</f>
        <v>15320.1</v>
      </c>
      <c r="AD200" s="25">
        <f>INDEX('Inputs (2)'!$D$31:$AL$31,MATCH(AD$7,'Inputs (2)'!$D$2:$AL$2,0))</f>
        <v>20959.5</v>
      </c>
      <c r="AE200" s="25">
        <f>INDEX('Inputs (2)'!$D$31:$AL$31,MATCH(AE$7,'Inputs (2)'!$D$2:$AL$2,0))</f>
        <v>22835.6</v>
      </c>
      <c r="AF200" s="25">
        <f>INDEX('Inputs (2)'!$D$31:$AL$31,MATCH(AF$7,'Inputs (2)'!$D$2:$AL$2,0))</f>
        <v>25839</v>
      </c>
      <c r="AG200" s="3">
        <f>AF200</f>
        <v>25839</v>
      </c>
      <c r="AH200" s="3">
        <f>INDEX('Inputs (2)'!$D$31:$AL$31,MATCH(AH$7,'Inputs (2)'!$D$2:$AL$2,0))</f>
        <v>26246</v>
      </c>
      <c r="AI200" s="3">
        <f>INDEX('Inputs (2)'!$D$31:$AL$31,MATCH(AI$7,'Inputs (2)'!$D$2:$AL$2,0))</f>
        <v>32781</v>
      </c>
      <c r="AJ200" s="3">
        <f>AI200</f>
        <v>32781</v>
      </c>
      <c r="AK200" s="3">
        <f>AJ200</f>
        <v>32781</v>
      </c>
      <c r="AL200" s="3">
        <f>AK200</f>
        <v>32781</v>
      </c>
      <c r="AM200" s="3">
        <f>AL200</f>
        <v>32781</v>
      </c>
      <c r="AN200" s="3">
        <f>AM200</f>
        <v>32781</v>
      </c>
      <c r="AO200" s="3">
        <f>AN200</f>
        <v>32781</v>
      </c>
      <c r="AP200" s="3">
        <f>AO200</f>
        <v>32781</v>
      </c>
      <c r="AQ200" s="3">
        <f>AP200</f>
        <v>32781</v>
      </c>
      <c r="AR200" s="3">
        <f>AQ200</f>
        <v>32781</v>
      </c>
      <c r="AS200" s="3">
        <f>AR200</f>
        <v>32781</v>
      </c>
      <c r="AT200" s="3">
        <f>AS200</f>
        <v>32781</v>
      </c>
      <c r="AU200" s="3">
        <f>AT200</f>
        <v>32781</v>
      </c>
      <c r="AV200" s="3">
        <f>AU200</f>
        <v>32781</v>
      </c>
      <c r="AW200" s="3">
        <f>AV200</f>
        <v>32781</v>
      </c>
      <c r="AX200" s="3">
        <f>AW200</f>
        <v>32781</v>
      </c>
      <c r="AY200" s="3">
        <f>AX200</f>
        <v>32781</v>
      </c>
      <c r="AZ200" s="3">
        <f>AY200</f>
        <v>32781</v>
      </c>
      <c r="BA200" s="3">
        <f>AZ200</f>
        <v>32781</v>
      </c>
      <c r="BB200" s="3">
        <f>BA200</f>
        <v>32781</v>
      </c>
      <c r="BC200" s="3">
        <f>BB200</f>
        <v>32781</v>
      </c>
      <c r="BD200" s="3">
        <f>BC200</f>
        <v>32781</v>
      </c>
      <c r="BE200" s="3">
        <f>BD200</f>
        <v>32781</v>
      </c>
      <c r="BF200" s="3">
        <f>BE200</f>
        <v>32781</v>
      </c>
      <c r="BG200" s="3">
        <f>BF200</f>
        <v>32781</v>
      </c>
      <c r="BH200" s="3">
        <f>BG200</f>
        <v>32781</v>
      </c>
      <c r="BI200" s="3">
        <f>BH200</f>
        <v>32781</v>
      </c>
      <c r="BJ200" s="3">
        <f>BI200</f>
        <v>32781</v>
      </c>
      <c r="BK200" s="3">
        <f>BJ200</f>
        <v>32781</v>
      </c>
      <c r="BL200" s="3">
        <f>BK200</f>
        <v>32781</v>
      </c>
      <c r="BM200" s="3">
        <f>BL200</f>
        <v>32781</v>
      </c>
      <c r="BN200" s="3">
        <f>BM200</f>
        <v>32781</v>
      </c>
      <c r="BO200" s="3">
        <f>BN200</f>
        <v>32781</v>
      </c>
      <c r="BP200" s="3">
        <f>BO200</f>
        <v>32781</v>
      </c>
      <c r="BQ200" s="3">
        <f>BP200</f>
        <v>32781</v>
      </c>
      <c r="BR200" s="3">
        <f>BQ200</f>
        <v>32781</v>
      </c>
      <c r="BS200" s="3">
        <f>BR200</f>
        <v>32781</v>
      </c>
      <c r="BT200" s="3">
        <f>BS200</f>
        <v>32781</v>
      </c>
      <c r="BU200" s="3">
        <f>BT200</f>
        <v>32781</v>
      </c>
      <c r="BV200" s="3">
        <f>BU200</f>
        <v>32781</v>
      </c>
      <c r="BW200" s="3">
        <f>BV200</f>
        <v>32781</v>
      </c>
      <c r="BX200" s="3">
        <f>BW200</f>
        <v>32781</v>
      </c>
      <c r="BY200" s="3">
        <f>BX200</f>
        <v>32781</v>
      </c>
      <c r="BZ200" s="3">
        <f>BY200</f>
        <v>32781</v>
      </c>
      <c r="CA200" s="3">
        <f>BZ200</f>
        <v>32781</v>
      </c>
      <c r="CB200" s="3">
        <f>CA200</f>
        <v>32781</v>
      </c>
      <c r="CC200" s="3">
        <f>CB200</f>
        <v>32781</v>
      </c>
      <c r="CD200" s="3">
        <f>CC200</f>
        <v>32781</v>
      </c>
      <c r="CE200" s="3">
        <f>CD200</f>
        <v>32781</v>
      </c>
      <c r="CF200" s="3">
        <f>CE200</f>
        <v>32781</v>
      </c>
      <c r="CG200" s="3">
        <f>CF200</f>
        <v>32781</v>
      </c>
      <c r="CH200" s="3">
        <f>CG200</f>
        <v>32781</v>
      </c>
      <c r="CI200" s="3">
        <f>CH200</f>
        <v>32781</v>
      </c>
      <c r="CJ200" s="3">
        <f>CI200</f>
        <v>32781</v>
      </c>
      <c r="CK200" s="3">
        <f>CJ200</f>
        <v>32781</v>
      </c>
      <c r="CL200" s="3">
        <f>CK200</f>
        <v>32781</v>
      </c>
      <c r="CM200" s="3">
        <f>CL200</f>
        <v>32781</v>
      </c>
      <c r="CN200" s="3">
        <f>CM200</f>
        <v>32781</v>
      </c>
      <c r="CO200" s="3">
        <f>CN200</f>
        <v>32781</v>
      </c>
      <c r="CP200" s="3">
        <f>CO200</f>
        <v>32781</v>
      </c>
      <c r="CQ200" s="3">
        <f>CP200</f>
        <v>32781</v>
      </c>
      <c r="CR200" s="3">
        <f>CQ200</f>
        <v>32781</v>
      </c>
      <c r="CS200" s="3">
        <f>CR200</f>
        <v>32781</v>
      </c>
      <c r="CT200" s="3">
        <f>CS200</f>
        <v>32781</v>
      </c>
      <c r="CU200" s="3">
        <f>CT200</f>
        <v>32781</v>
      </c>
      <c r="CV200" s="3">
        <f>CU200</f>
        <v>32781</v>
      </c>
      <c r="CW200" s="3">
        <f>CV200</f>
        <v>32781</v>
      </c>
      <c r="CX200" s="3">
        <f>CW200</f>
        <v>32781</v>
      </c>
      <c r="CY200" s="3">
        <f>CX200</f>
        <v>32781</v>
      </c>
    </row>
    <row r="201" hidden="1" outlineLevel="1">
      <c r="C201" s="38" t="inlineStr">
        <is>
          <t>%(Var.)</t>
        </is>
      </c>
      <c r="D201" s="3" t="n"/>
      <c r="E201" s="47">
        <f>(E200-D200)/D200</f>
        <v>0.0609423085258551</v>
      </c>
      <c r="F201" s="47">
        <f>(F200-E200)/E200</f>
        <v>0.0881235445520284</v>
      </c>
      <c r="G201" s="47">
        <f>(G200-F200)/F200</f>
        <v>0.173174638932693</v>
      </c>
      <c r="H201" s="3" t="n"/>
      <c r="I201" s="47">
        <f>(I200-H200)/H200</f>
        <v>-0.0795506672782941</v>
      </c>
      <c r="J201" s="47">
        <f>(J200-I200)/I200</f>
        <v>0.209000718573979</v>
      </c>
      <c r="K201" s="47">
        <f>(K200-J200)/J200</f>
        <v>-0.0881368930642766</v>
      </c>
      <c r="L201" s="47">
        <f>(L200-K200)/K200</f>
        <v>0.131064643979773</v>
      </c>
      <c r="M201" s="3" t="n"/>
      <c r="N201" s="47">
        <f>(N200-M200)/M200</f>
        <v>-0.135089415176414</v>
      </c>
      <c r="O201" s="47">
        <f>(O200-N200)/N200</f>
        <v>0.168901927912825</v>
      </c>
      <c r="P201" s="47">
        <f>(P200-O200)/O200</f>
        <v>-0.0295850916144929</v>
      </c>
      <c r="Q201" s="47">
        <f>(Q200-P200)/P200</f>
        <v>0.153126865176736</v>
      </c>
      <c r="R201" s="3" t="n"/>
      <c r="S201" s="47">
        <f>(S200-R200)/R200</f>
        <v>-0.0368562884090835</v>
      </c>
      <c r="T201" s="47">
        <f>(T200-S200)/S200</f>
        <v>0.166740595410731</v>
      </c>
      <c r="U201" s="47">
        <f>(U200-T200)/T200</f>
        <v>0.031438034172412</v>
      </c>
      <c r="V201" s="47">
        <f>(V200-U200)/U200</f>
        <v>0.144020641210119</v>
      </c>
      <c r="W201" s="3" t="n"/>
      <c r="X201" s="47">
        <f>(X200-W200)/W200</f>
        <v>-0.155568635955265</v>
      </c>
      <c r="Y201" s="47">
        <f>(Y200-X200)/X200</f>
        <v>0.310946752074666</v>
      </c>
      <c r="Z201" s="47">
        <f>(Z200-Y200)/Y200</f>
        <v>0.00803179134133714</v>
      </c>
      <c r="AA201" s="47">
        <f>(AA200-Z200)/Z200</f>
        <v>-0.00405330372015547</v>
      </c>
      <c r="AB201" s="3" t="n"/>
      <c r="AC201" s="47">
        <f>(AC200-AB200)/AB200</f>
        <v>-0.145893962201037</v>
      </c>
      <c r="AD201" s="47">
        <f>(AD200-AC200)/AC200</f>
        <v>0.368104646836509</v>
      </c>
      <c r="AE201" s="47">
        <f>(AE200-AD200)/AD200</f>
        <v>0.0895107230611417</v>
      </c>
      <c r="AF201" s="218">
        <f>(AF200-AE200)/AE200</f>
        <v>0.131522710154321</v>
      </c>
      <c r="AG201" s="3" t="n"/>
      <c r="AH201" s="218">
        <f>(AH200-AG200)/AG200</f>
        <v>0.0157513835674755</v>
      </c>
      <c r="AI201" s="218">
        <f>(AI200-AH200)/AH200</f>
        <v>0.248990322334832</v>
      </c>
      <c r="AJ201" s="218" t="n"/>
      <c r="AK201" s="218" t="n"/>
      <c r="AL201" s="3" t="n"/>
      <c r="AM201" s="218" t="n"/>
      <c r="AN201" s="218" t="n"/>
      <c r="AO201" s="218" t="n"/>
      <c r="AP201" s="218" t="n"/>
      <c r="AQ201" s="3" t="n"/>
      <c r="AR201" s="218" t="n"/>
      <c r="AS201" s="218" t="n"/>
      <c r="AT201" s="218" t="n"/>
      <c r="AU201" s="218" t="n"/>
      <c r="AV201" s="3" t="n"/>
      <c r="AW201" s="218" t="n"/>
      <c r="AX201" s="218" t="n"/>
      <c r="AY201" s="218" t="n"/>
      <c r="AZ201" s="218" t="n"/>
      <c r="BA201" s="3" t="n"/>
      <c r="BB201" s="218" t="n"/>
      <c r="BC201" s="218" t="n"/>
      <c r="BD201" s="218" t="n"/>
      <c r="BE201" s="218" t="n"/>
      <c r="BF201" s="3" t="n"/>
      <c r="BG201" s="218" t="n"/>
      <c r="BH201" s="218" t="n"/>
      <c r="BI201" s="218" t="n"/>
      <c r="BJ201" s="218" t="n"/>
      <c r="BK201" s="3" t="n"/>
      <c r="BL201" s="218" t="n"/>
      <c r="BM201" s="218" t="n"/>
      <c r="BN201" s="218" t="n"/>
      <c r="BO201" s="218" t="n"/>
      <c r="BP201" s="3" t="n"/>
      <c r="BQ201" s="218" t="n"/>
      <c r="BR201" s="218" t="n"/>
      <c r="BS201" s="218" t="n"/>
      <c r="BT201" s="218" t="n"/>
      <c r="BU201" s="3" t="n"/>
      <c r="BV201" s="218" t="n"/>
      <c r="BW201" s="218" t="n"/>
      <c r="BX201" s="218" t="n"/>
      <c r="BY201" s="218" t="n"/>
      <c r="BZ201" s="3" t="n"/>
      <c r="CA201" s="218" t="n"/>
      <c r="CB201" s="218" t="n"/>
      <c r="CC201" s="218" t="n"/>
      <c r="CD201" s="218" t="n"/>
      <c r="CE201" s="3" t="n"/>
      <c r="CF201" s="218" t="n"/>
      <c r="CG201" s="218" t="n"/>
      <c r="CH201" s="218" t="n"/>
      <c r="CI201" s="218" t="n"/>
      <c r="CJ201" s="3" t="n"/>
      <c r="CK201" s="218" t="n"/>
      <c r="CL201" s="218" t="n"/>
      <c r="CM201" s="218" t="n"/>
      <c r="CN201" s="218" t="n"/>
      <c r="CO201" s="3" t="n"/>
      <c r="CP201" s="218" t="n"/>
      <c r="CQ201" s="218" t="n"/>
      <c r="CR201" s="218" t="n"/>
      <c r="CS201" s="218" t="n"/>
      <c r="CT201" s="3" t="n"/>
      <c r="CU201" s="218" t="n"/>
      <c r="CV201" s="218" t="n"/>
      <c r="CW201" s="218" t="n"/>
      <c r="CX201" s="218" t="n"/>
      <c r="CY201" s="3" t="n"/>
    </row>
    <row r="202" hidden="1" outlineLevel="1">
      <c r="C202" s="34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/>
      <c r="CF202" s="3" t="n"/>
      <c r="CG202" s="3" t="n"/>
      <c r="CH202" s="3" t="n"/>
      <c r="CI202" s="3" t="n"/>
      <c r="CJ202" s="3" t="n"/>
      <c r="CK202" s="3" t="n"/>
      <c r="CL202" s="3" t="n"/>
      <c r="CM202" s="3" t="n"/>
      <c r="CN202" s="3" t="n"/>
      <c r="CO202" s="3" t="n"/>
      <c r="CP202" s="3" t="n"/>
      <c r="CQ202" s="3" t="n"/>
      <c r="CR202" s="3" t="n"/>
      <c r="CS202" s="3" t="n"/>
      <c r="CT202" s="3" t="n"/>
      <c r="CU202" s="3" t="n"/>
      <c r="CV202" s="3" t="n"/>
      <c r="CW202" s="3" t="n"/>
      <c r="CX202" s="3" t="n"/>
      <c r="CY202" s="3" t="n"/>
    </row>
    <row r="203" hidden="1" outlineLevel="1">
      <c r="C203" s="34" t="inlineStr">
        <is>
          <t xml:space="preserve">Dividendos a Pagar </t>
        </is>
      </c>
      <c r="D203" s="6" t="n"/>
      <c r="E203" s="6" t="n"/>
      <c r="F203" s="6" t="n"/>
      <c r="G203" s="6" t="n"/>
      <c r="H203" s="3" t="n"/>
      <c r="I203" s="6" t="n"/>
      <c r="J203" s="6" t="n"/>
      <c r="K203" s="6" t="n"/>
      <c r="L203" s="6" t="n"/>
      <c r="M203" s="3" t="n"/>
      <c r="N203" s="6" t="n"/>
      <c r="O203" s="6" t="n"/>
      <c r="P203" s="6" t="n"/>
      <c r="Q203" s="6" t="n"/>
      <c r="R203" s="3" t="n"/>
      <c r="S203" s="6" t="n"/>
      <c r="T203" s="6" t="n"/>
      <c r="U203" s="6" t="n"/>
      <c r="V203" s="6" t="n"/>
      <c r="W203" s="3" t="n"/>
      <c r="X203" s="6" t="n"/>
      <c r="Y203" s="6" t="n"/>
      <c r="Z203" s="6" t="n"/>
      <c r="AA203" s="6" t="n"/>
      <c r="AB203" s="3" t="n"/>
      <c r="AC203" s="6" t="n"/>
      <c r="AD203" s="6" t="n"/>
      <c r="AE203" s="6" t="n"/>
      <c r="AF203" s="6" t="n"/>
      <c r="AG203" s="3" t="n"/>
      <c r="AH203" s="6" t="n"/>
      <c r="AI203" s="6" t="n"/>
      <c r="AJ203" s="6" t="n"/>
      <c r="AK203" s="6" t="n"/>
      <c r="AL203" s="3" t="n"/>
      <c r="AM203" s="6" t="n"/>
      <c r="AN203" s="6" t="n"/>
      <c r="AO203" s="6" t="n"/>
      <c r="AP203" s="6" t="n"/>
      <c r="AQ203" s="3" t="n"/>
      <c r="AR203" s="6" t="n"/>
      <c r="AS203" s="6" t="n"/>
      <c r="AT203" s="6" t="n"/>
      <c r="AU203" s="6" t="n"/>
      <c r="AV203" s="3" t="n"/>
      <c r="AW203" s="6" t="n"/>
      <c r="AX203" s="6" t="n"/>
      <c r="AY203" s="6" t="n"/>
      <c r="AZ203" s="6" t="n"/>
      <c r="BA203" s="3" t="n"/>
      <c r="BB203" s="6" t="n"/>
      <c r="BC203" s="6" t="n"/>
      <c r="BD203" s="6" t="n"/>
      <c r="BE203" s="6" t="n"/>
      <c r="BF203" s="3" t="n"/>
      <c r="BG203" s="6" t="n"/>
      <c r="BH203" s="6" t="n"/>
      <c r="BI203" s="6" t="n"/>
      <c r="BJ203" s="6" t="n"/>
      <c r="BK203" s="3" t="n"/>
      <c r="BL203" s="6" t="n"/>
      <c r="BM203" s="6" t="n"/>
      <c r="BN203" s="6" t="n"/>
      <c r="BO203" s="6" t="n"/>
      <c r="BP203" s="3" t="n"/>
      <c r="BQ203" s="6" t="n"/>
      <c r="BR203" s="6" t="n"/>
      <c r="BS203" s="6" t="n"/>
      <c r="BT203" s="6" t="n"/>
      <c r="BU203" s="3" t="n"/>
      <c r="BV203" s="6" t="n"/>
      <c r="BW203" s="6" t="n"/>
      <c r="BX203" s="6" t="n"/>
      <c r="BY203" s="6" t="n"/>
      <c r="BZ203" s="3" t="n"/>
      <c r="CA203" s="6" t="n"/>
      <c r="CB203" s="6" t="n"/>
      <c r="CC203" s="6" t="n"/>
      <c r="CD203" s="6" t="n"/>
      <c r="CE203" s="3" t="n"/>
      <c r="CF203" s="6" t="n"/>
      <c r="CG203" s="6" t="n"/>
      <c r="CH203" s="6" t="n"/>
      <c r="CI203" s="6" t="n"/>
      <c r="CJ203" s="3" t="n"/>
      <c r="CK203" s="6" t="n"/>
      <c r="CL203" s="6" t="n"/>
      <c r="CM203" s="6" t="n"/>
      <c r="CN203" s="6" t="n"/>
      <c r="CO203" s="3" t="n"/>
      <c r="CP203" s="6" t="n"/>
      <c r="CQ203" s="6" t="n"/>
      <c r="CR203" s="6" t="n"/>
      <c r="CS203" s="6" t="n"/>
      <c r="CT203" s="3" t="n"/>
      <c r="CU203" s="6" t="n"/>
      <c r="CV203" s="6" t="n"/>
      <c r="CW203" s="6" t="n"/>
      <c r="CX203" s="6" t="n"/>
      <c r="CY203" s="3" t="n"/>
    </row>
    <row r="204" hidden="1" outlineLevel="1">
      <c r="C204" s="34" t="inlineStr">
        <is>
          <t>Contas a pagar pela aquisição de controladas</t>
        </is>
      </c>
      <c r="D204" s="6" t="n"/>
      <c r="E204" s="6" t="n"/>
      <c r="F204" s="6" t="n"/>
      <c r="G204" s="6" t="n"/>
      <c r="H204" s="3" t="n"/>
      <c r="I204" s="6" t="n"/>
      <c r="J204" s="6" t="n"/>
      <c r="K204" s="6" t="n"/>
      <c r="L204" s="6" t="n"/>
      <c r="M204" s="3" t="n"/>
      <c r="N204" s="6" t="n"/>
      <c r="O204" s="6" t="n"/>
      <c r="P204" s="6" t="n"/>
      <c r="Q204" s="6" t="n"/>
      <c r="R204" s="3" t="n"/>
      <c r="S204" s="6" t="n"/>
      <c r="T204" s="6" t="n"/>
      <c r="U204" s="6" t="n"/>
      <c r="V204" s="6" t="n"/>
      <c r="W204" s="3" t="n"/>
      <c r="X204" s="6" t="n"/>
      <c r="Y204" s="6" t="n"/>
      <c r="Z204" s="6" t="n"/>
      <c r="AA204" s="6" t="n"/>
      <c r="AB204" s="3" t="n"/>
      <c r="AC204" s="6" t="n"/>
      <c r="AD204" s="6" t="n"/>
      <c r="AE204" s="6" t="n"/>
      <c r="AF204" s="6" t="n"/>
      <c r="AG204" s="3" t="n"/>
      <c r="AH204" s="6" t="n"/>
      <c r="AI204" s="6" t="n"/>
      <c r="AJ204" s="6" t="n"/>
      <c r="AK204" s="6" t="n"/>
      <c r="AL204" s="3" t="n"/>
      <c r="AM204" s="6" t="n"/>
      <c r="AN204" s="6" t="n"/>
      <c r="AO204" s="6" t="n"/>
      <c r="AP204" s="6" t="n"/>
      <c r="AQ204" s="3" t="n"/>
      <c r="AR204" s="6" t="n"/>
      <c r="AS204" s="6" t="n"/>
      <c r="AT204" s="6" t="n"/>
      <c r="AU204" s="6" t="n"/>
      <c r="AV204" s="3" t="n"/>
      <c r="AW204" s="6" t="n"/>
      <c r="AX204" s="6" t="n"/>
      <c r="AY204" s="6" t="n"/>
      <c r="AZ204" s="6" t="n"/>
      <c r="BA204" s="3" t="n"/>
      <c r="BB204" s="6" t="n"/>
      <c r="BC204" s="6" t="n"/>
      <c r="BD204" s="6" t="n"/>
      <c r="BE204" s="6" t="n"/>
      <c r="BF204" s="3" t="n"/>
      <c r="BG204" s="6" t="n"/>
      <c r="BH204" s="6" t="n"/>
      <c r="BI204" s="6" t="n"/>
      <c r="BJ204" s="6" t="n"/>
      <c r="BK204" s="3" t="n"/>
      <c r="BL204" s="6" t="n"/>
      <c r="BM204" s="6" t="n"/>
      <c r="BN204" s="6" t="n"/>
      <c r="BO204" s="6" t="n"/>
      <c r="BP204" s="3" t="n"/>
      <c r="BQ204" s="6" t="n"/>
      <c r="BR204" s="6" t="n"/>
      <c r="BS204" s="6" t="n"/>
      <c r="BT204" s="6" t="n"/>
      <c r="BU204" s="3" t="n"/>
      <c r="BV204" s="6" t="n"/>
      <c r="BW204" s="6" t="n"/>
      <c r="BX204" s="6" t="n"/>
      <c r="BY204" s="6" t="n"/>
      <c r="BZ204" s="3" t="n"/>
      <c r="CA204" s="6" t="n"/>
      <c r="CB204" s="6" t="n"/>
      <c r="CC204" s="6" t="n"/>
      <c r="CD204" s="6" t="n"/>
      <c r="CE204" s="3" t="n"/>
      <c r="CF204" s="6" t="n"/>
      <c r="CG204" s="6" t="n"/>
      <c r="CH204" s="6" t="n"/>
      <c r="CI204" s="6" t="n"/>
      <c r="CJ204" s="3" t="n"/>
      <c r="CK204" s="6" t="n"/>
      <c r="CL204" s="6" t="n"/>
      <c r="CM204" s="6" t="n"/>
      <c r="CN204" s="6" t="n"/>
      <c r="CO204" s="3" t="n"/>
      <c r="CP204" s="6" t="n"/>
      <c r="CQ204" s="6" t="n"/>
      <c r="CR204" s="6" t="n"/>
      <c r="CS204" s="6" t="n"/>
      <c r="CT204" s="3" t="n"/>
      <c r="CU204" s="6" t="n"/>
      <c r="CV204" s="6" t="n"/>
      <c r="CW204" s="6" t="n"/>
      <c r="CX204" s="6" t="n"/>
      <c r="CY204" s="3" t="n"/>
    </row>
    <row r="205" hidden="1" outlineLevel="1">
      <c r="C205" s="34" t="inlineStr">
        <is>
          <t>Outros</t>
        </is>
      </c>
      <c r="D205" s="6" t="n"/>
      <c r="E205" s="6" t="n"/>
      <c r="F205" s="6" t="n"/>
      <c r="G205" s="6" t="n"/>
      <c r="H205" s="3" t="n"/>
      <c r="I205" s="6" t="n"/>
      <c r="J205" s="6" t="n"/>
      <c r="K205" s="6" t="n"/>
      <c r="L205" s="6" t="n"/>
      <c r="M205" s="3" t="n"/>
      <c r="N205" s="6" t="n"/>
      <c r="O205" s="6" t="n"/>
      <c r="P205" s="6" t="n"/>
      <c r="Q205" s="6" t="n"/>
      <c r="R205" s="3" t="n"/>
      <c r="S205" s="6" t="n"/>
      <c r="T205" s="6" t="n"/>
      <c r="U205" s="6" t="n"/>
      <c r="V205" s="6" t="n"/>
      <c r="W205" s="3" t="n"/>
      <c r="X205" s="6" t="n"/>
      <c r="Y205" s="6" t="n"/>
      <c r="Z205" s="6" t="n"/>
      <c r="AA205" s="6" t="n"/>
      <c r="AB205" s="3" t="n"/>
      <c r="AC205" s="6" t="n"/>
      <c r="AD205" s="6" t="n"/>
      <c r="AE205" s="6" t="n"/>
      <c r="AF205" s="6" t="n"/>
      <c r="AG205" s="3" t="n"/>
      <c r="AH205" s="6" t="n"/>
      <c r="AI205" s="6" t="n"/>
      <c r="AJ205" s="6" t="n"/>
      <c r="AK205" s="6" t="n"/>
      <c r="AL205" s="3" t="n"/>
      <c r="AM205" s="6" t="n"/>
      <c r="AN205" s="6" t="n"/>
      <c r="AO205" s="6" t="n"/>
      <c r="AP205" s="6" t="n"/>
      <c r="AQ205" s="3" t="n"/>
      <c r="AR205" s="6" t="n"/>
      <c r="AS205" s="6" t="n"/>
      <c r="AT205" s="6" t="n"/>
      <c r="AU205" s="6" t="n"/>
      <c r="AV205" s="3" t="n"/>
      <c r="AW205" s="6" t="n"/>
      <c r="AX205" s="6" t="n"/>
      <c r="AY205" s="6" t="n"/>
      <c r="AZ205" s="6" t="n"/>
      <c r="BA205" s="3" t="n"/>
      <c r="BB205" s="6" t="n"/>
      <c r="BC205" s="6" t="n"/>
      <c r="BD205" s="6" t="n"/>
      <c r="BE205" s="6" t="n"/>
      <c r="BF205" s="3" t="n"/>
      <c r="BG205" s="6" t="n"/>
      <c r="BH205" s="6" t="n"/>
      <c r="BI205" s="6" t="n"/>
      <c r="BJ205" s="6" t="n"/>
      <c r="BK205" s="3" t="n"/>
      <c r="BL205" s="6" t="n"/>
      <c r="BM205" s="6" t="n"/>
      <c r="BN205" s="6" t="n"/>
      <c r="BO205" s="6" t="n"/>
      <c r="BP205" s="3" t="n"/>
      <c r="BQ205" s="6" t="n"/>
      <c r="BR205" s="6" t="n"/>
      <c r="BS205" s="6" t="n"/>
      <c r="BT205" s="6" t="n"/>
      <c r="BU205" s="3" t="n"/>
      <c r="BV205" s="6" t="n"/>
      <c r="BW205" s="6" t="n"/>
      <c r="BX205" s="6" t="n"/>
      <c r="BY205" s="6" t="n"/>
      <c r="BZ205" s="3" t="n"/>
      <c r="CA205" s="6" t="n"/>
      <c r="CB205" s="6" t="n"/>
      <c r="CC205" s="6" t="n"/>
      <c r="CD205" s="6" t="n"/>
      <c r="CE205" s="3" t="n"/>
      <c r="CF205" s="6" t="n"/>
      <c r="CG205" s="6" t="n"/>
      <c r="CH205" s="6" t="n"/>
      <c r="CI205" s="6" t="n"/>
      <c r="CJ205" s="3" t="n"/>
      <c r="CK205" s="6" t="n"/>
      <c r="CL205" s="6" t="n"/>
      <c r="CM205" s="6" t="n"/>
      <c r="CN205" s="6" t="n"/>
      <c r="CO205" s="3" t="n"/>
      <c r="CP205" s="6" t="n"/>
      <c r="CQ205" s="6" t="n"/>
      <c r="CR205" s="6" t="n"/>
      <c r="CS205" s="6" t="n"/>
      <c r="CT205" s="3" t="n"/>
      <c r="CU205" s="6" t="n"/>
      <c r="CV205" s="6" t="n"/>
      <c r="CW205" s="6" t="n"/>
      <c r="CX205" s="6" t="n"/>
      <c r="CY205" s="3" t="n"/>
    </row>
    <row r="206" hidden="1" outlineLevel="1">
      <c r="C206" s="34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  <c r="AY206" s="3" t="n"/>
      <c r="AZ206" s="3" t="n"/>
      <c r="BA206" s="3" t="n"/>
      <c r="BB206" s="3" t="n"/>
      <c r="BC206" s="3" t="n"/>
      <c r="BD206" s="3" t="n"/>
      <c r="BE206" s="3" t="n"/>
      <c r="BF206" s="3" t="n"/>
      <c r="BG206" s="3" t="n"/>
      <c r="BH206" s="3" t="n"/>
      <c r="BI206" s="3" t="n"/>
      <c r="BJ206" s="3" t="n"/>
      <c r="BK206" s="3" t="n"/>
      <c r="BL206" s="3" t="n"/>
      <c r="BM206" s="3" t="n"/>
      <c r="BN206" s="3" t="n"/>
      <c r="BO206" s="3" t="n"/>
      <c r="BP206" s="3" t="n"/>
      <c r="BQ206" s="3" t="n"/>
      <c r="BR206" s="3" t="n"/>
      <c r="BS206" s="3" t="n"/>
      <c r="BT206" s="3" t="n"/>
      <c r="BU206" s="3" t="n"/>
      <c r="BV206" s="3" t="n"/>
      <c r="BW206" s="3" t="n"/>
      <c r="BX206" s="3" t="n"/>
      <c r="BY206" s="3" t="n"/>
      <c r="BZ206" s="3" t="n"/>
      <c r="CA206" s="3" t="n"/>
      <c r="CB206" s="3" t="n"/>
      <c r="CC206" s="3" t="n"/>
      <c r="CD206" s="3" t="n"/>
      <c r="CE206" s="3" t="n"/>
      <c r="CF206" s="3" t="n"/>
      <c r="CG206" s="3" t="n"/>
      <c r="CH206" s="3" t="n"/>
      <c r="CI206" s="3" t="n"/>
      <c r="CJ206" s="3" t="n"/>
      <c r="CK206" s="3" t="n"/>
      <c r="CL206" s="3" t="n"/>
      <c r="CM206" s="3" t="n"/>
      <c r="CN206" s="3" t="n"/>
      <c r="CO206" s="3" t="n"/>
      <c r="CP206" s="3" t="n"/>
      <c r="CQ206" s="3" t="n"/>
      <c r="CR206" s="3" t="n"/>
      <c r="CS206" s="3" t="n"/>
      <c r="CT206" s="3" t="n"/>
      <c r="CU206" s="3" t="n"/>
      <c r="CV206" s="3" t="n"/>
      <c r="CW206" s="3" t="n"/>
      <c r="CX206" s="3" t="n"/>
      <c r="CY206" s="3" t="n"/>
    </row>
    <row r="207" collapsed="1">
      <c r="C207" s="26" t="inlineStr">
        <is>
          <t>Current portion of long-term debt</t>
        </is>
      </c>
      <c r="D207" s="25">
        <f>INDEX('Inputs (2)'!$D$32:$AL$32,MATCH(D$7,'Inputs (2)'!$D$2:$AL$2,0))</f>
        <v>3248</v>
      </c>
      <c r="E207" s="25">
        <f>INDEX('Inputs (2)'!$D$32:$AL$32,MATCH(E$7,'Inputs (2)'!$D$2:$AL$2,0))</f>
        <v>1263.8</v>
      </c>
      <c r="F207" s="25">
        <f>INDEX('Inputs (2)'!$D$32:$AL$32,MATCH(F$7,'Inputs (2)'!$D$2:$AL$2,0))</f>
        <v>587.5</v>
      </c>
      <c r="G207" s="25">
        <f>INDEX('Inputs (2)'!$D$32:$AL$32,MATCH(G$7,'Inputs (2)'!$D$2:$AL$2,0))</f>
        <v>8.7</v>
      </c>
      <c r="H207" s="3">
        <f>G207</f>
        <v>8.7</v>
      </c>
      <c r="I207" s="25">
        <f>INDEX('Inputs (2)'!$D$32:$AL$32,MATCH(I$7,'Inputs (2)'!$D$2:$AL$2,0))</f>
        <v>4.9</v>
      </c>
      <c r="J207" s="25">
        <f>INDEX('Inputs (2)'!$D$32:$AL$32,MATCH(J$7,'Inputs (2)'!$D$2:$AL$2,0))</f>
        <v>1778.5</v>
      </c>
      <c r="K207" s="25">
        <f>INDEX('Inputs (2)'!$D$32:$AL$32,MATCH(K$7,'Inputs (2)'!$D$2:$AL$2,0))</f>
        <v>1563</v>
      </c>
      <c r="L207" s="25">
        <f>INDEX('Inputs (2)'!$D$32:$AL$32,MATCH(L$7,'Inputs (2)'!$D$2:$AL$2,0))</f>
        <v>1538.3</v>
      </c>
      <c r="M207" s="3">
        <f>L207</f>
        <v>1538.3</v>
      </c>
      <c r="N207" s="25">
        <f>INDEX('Inputs (2)'!$D$32:$AL$32,MATCH(N$7,'Inputs (2)'!$D$2:$AL$2,0))</f>
        <v>1355.9</v>
      </c>
      <c r="O207" s="25">
        <f>INDEX('Inputs (2)'!$D$32:$AL$32,MATCH(O$7,'Inputs (2)'!$D$2:$AL$2,0))</f>
        <v>2121.8</v>
      </c>
      <c r="P207" s="25">
        <f>INDEX('Inputs (2)'!$D$32:$AL$32,MATCH(P$7,'Inputs (2)'!$D$2:$AL$2,0))</f>
        <v>1744.6</v>
      </c>
      <c r="Q207" s="25">
        <f>INDEX('Inputs (2)'!$D$32:$AL$32,MATCH(Q$7,'Inputs (2)'!$D$2:$AL$2,0))</f>
        <v>1501.1</v>
      </c>
      <c r="R207" s="3">
        <f>Q207</f>
        <v>1501.1</v>
      </c>
      <c r="S207" s="25">
        <f>INDEX('Inputs (2)'!$D$32:$AL$32,MATCH(S$7,'Inputs (2)'!$D$2:$AL$2,0))</f>
        <v>3.1</v>
      </c>
      <c r="T207" s="25">
        <f>INDEX('Inputs (2)'!$D$32:$AL$32,MATCH(T$7,'Inputs (2)'!$D$2:$AL$2,0))</f>
        <v>661.6</v>
      </c>
      <c r="U207" s="25">
        <f>INDEX('Inputs (2)'!$D$32:$AL$32,MATCH(U$7,'Inputs (2)'!$D$2:$AL$2,0))</f>
        <v>2244.7</v>
      </c>
      <c r="V207" s="25">
        <f>INDEX('Inputs (2)'!$D$32:$AL$32,MATCH(V$7,'Inputs (2)'!$D$2:$AL$2,0))</f>
        <v>6904.5</v>
      </c>
      <c r="W207" s="3">
        <f>V207</f>
        <v>6904.5</v>
      </c>
      <c r="X207" s="25">
        <f>INDEX('Inputs (2)'!$D$32:$AL$32,MATCH(X$7,'Inputs (2)'!$D$2:$AL$2,0))</f>
        <v>1651.5</v>
      </c>
      <c r="Y207" s="25">
        <f>INDEX('Inputs (2)'!$D$32:$AL$32,MATCH(Y$7,'Inputs (2)'!$D$2:$AL$2,0))</f>
        <v>5161.6</v>
      </c>
      <c r="Z207" s="25">
        <f>INDEX('Inputs (2)'!$D$32:$AL$32,MATCH(Z$7,'Inputs (2)'!$D$2:$AL$2,0))</f>
        <v>2074.3</v>
      </c>
      <c r="AA207" s="25">
        <f>INDEX('Inputs (2)'!$D$32:$AL$32,MATCH(AA$7,'Inputs (2)'!$D$2:$AL$2,0))</f>
        <v>5117.1</v>
      </c>
      <c r="AB207" s="3">
        <f>AA207</f>
        <v>5117.1</v>
      </c>
      <c r="AC207" s="25">
        <f>INDEX('Inputs (2)'!$D$32:$AL$32,MATCH(AC$7,'Inputs (2)'!$D$2:$AL$2,0))</f>
        <v>4016.4</v>
      </c>
      <c r="AD207" s="25">
        <f>INDEX('Inputs (2)'!$D$32:$AL$32,MATCH(AD$7,'Inputs (2)'!$D$2:$AL$2,0))</f>
        <v>5723.7</v>
      </c>
      <c r="AE207" s="25">
        <f>INDEX('Inputs (2)'!$D$32:$AL$32,MATCH(AE$7,'Inputs (2)'!$D$2:$AL$2,0))</f>
        <v>1633</v>
      </c>
      <c r="AF207" s="25">
        <f>INDEX('Inputs (2)'!$D$32:$AL$32,MATCH(AF$7,'Inputs (2)'!$D$2:$AL$2,0))</f>
        <v>1635</v>
      </c>
      <c r="AG207" s="3">
        <f>AF207</f>
        <v>1635</v>
      </c>
      <c r="AH207" s="3">
        <f>INDEX('Inputs (2)'!$D$32:$AL$32,MATCH(AH$7,'Inputs (2)'!$D$2:$AL$2,0))</f>
        <v>4000</v>
      </c>
      <c r="AI207" s="3">
        <f>INDEX('Inputs (2)'!$D$32:$AL$32,MATCH(AI$7,'Inputs (2)'!$D$2:$AL$2,0))</f>
        <v>7050</v>
      </c>
      <c r="AJ207" s="3">
        <f>AI207</f>
        <v>7050</v>
      </c>
      <c r="AK207" s="3">
        <f>AJ207</f>
        <v>7050</v>
      </c>
      <c r="AL207" s="3">
        <f>AK207</f>
        <v>7050</v>
      </c>
      <c r="AM207" s="3">
        <f>AL207</f>
        <v>7050</v>
      </c>
      <c r="AN207" s="3">
        <f>AM207</f>
        <v>7050</v>
      </c>
      <c r="AO207" s="3">
        <f>AN207</f>
        <v>7050</v>
      </c>
      <c r="AP207" s="3">
        <f>AO207</f>
        <v>7050</v>
      </c>
      <c r="AQ207" s="3">
        <f>AP207</f>
        <v>7050</v>
      </c>
      <c r="AR207" s="3">
        <f>AQ207</f>
        <v>7050</v>
      </c>
      <c r="AS207" s="3">
        <f>AR207</f>
        <v>7050</v>
      </c>
      <c r="AT207" s="3">
        <f>AS207</f>
        <v>7050</v>
      </c>
      <c r="AU207" s="3">
        <f>AT207</f>
        <v>7050</v>
      </c>
      <c r="AV207" s="3">
        <f>AU207</f>
        <v>7050</v>
      </c>
      <c r="AW207" s="3">
        <f>AV207</f>
        <v>7050</v>
      </c>
      <c r="AX207" s="3">
        <f>AW207</f>
        <v>7050</v>
      </c>
      <c r="AY207" s="3">
        <f>AX207</f>
        <v>7050</v>
      </c>
      <c r="AZ207" s="3">
        <f>AY207</f>
        <v>7050</v>
      </c>
      <c r="BA207" s="3">
        <f>AZ207</f>
        <v>7050</v>
      </c>
      <c r="BB207" s="3">
        <f>BA207</f>
        <v>7050</v>
      </c>
      <c r="BC207" s="3">
        <f>BB207</f>
        <v>7050</v>
      </c>
      <c r="BD207" s="3">
        <f>BC207</f>
        <v>7050</v>
      </c>
      <c r="BE207" s="3">
        <f>BD207</f>
        <v>7050</v>
      </c>
      <c r="BF207" s="3">
        <f>BE207</f>
        <v>7050</v>
      </c>
      <c r="BG207" s="3">
        <f>BF207</f>
        <v>7050</v>
      </c>
      <c r="BH207" s="3">
        <f>BG207</f>
        <v>7050</v>
      </c>
      <c r="BI207" s="3">
        <f>BH207</f>
        <v>7050</v>
      </c>
      <c r="BJ207" s="3">
        <f>BI207</f>
        <v>7050</v>
      </c>
      <c r="BK207" s="3">
        <f>BJ207</f>
        <v>7050</v>
      </c>
      <c r="BL207" s="3">
        <f>BK207</f>
        <v>7050</v>
      </c>
      <c r="BM207" s="3">
        <f>BL207</f>
        <v>7050</v>
      </c>
      <c r="BN207" s="3">
        <f>BM207</f>
        <v>7050</v>
      </c>
      <c r="BO207" s="3">
        <f>BN207</f>
        <v>7050</v>
      </c>
      <c r="BP207" s="3">
        <f>BO207</f>
        <v>7050</v>
      </c>
      <c r="BQ207" s="3">
        <f>BP207</f>
        <v>7050</v>
      </c>
      <c r="BR207" s="3">
        <f>BQ207</f>
        <v>7050</v>
      </c>
      <c r="BS207" s="3">
        <f>BR207</f>
        <v>7050</v>
      </c>
      <c r="BT207" s="3">
        <f>BS207</f>
        <v>7050</v>
      </c>
      <c r="BU207" s="3">
        <f>BT207</f>
        <v>7050</v>
      </c>
      <c r="BV207" s="3">
        <f>BU207</f>
        <v>7050</v>
      </c>
      <c r="BW207" s="3">
        <f>BV207</f>
        <v>7050</v>
      </c>
      <c r="BX207" s="3">
        <f>BW207</f>
        <v>7050</v>
      </c>
      <c r="BY207" s="3">
        <f>BX207</f>
        <v>7050</v>
      </c>
      <c r="BZ207" s="3">
        <f>BY207</f>
        <v>7050</v>
      </c>
      <c r="CA207" s="3">
        <f>BZ207</f>
        <v>7050</v>
      </c>
      <c r="CB207" s="3">
        <f>CA207</f>
        <v>7050</v>
      </c>
      <c r="CC207" s="3">
        <f>CB207</f>
        <v>7050</v>
      </c>
      <c r="CD207" s="3">
        <f>CC207</f>
        <v>7050</v>
      </c>
      <c r="CE207" s="3">
        <f>CD207</f>
        <v>7050</v>
      </c>
      <c r="CF207" s="3">
        <f>CE207</f>
        <v>7050</v>
      </c>
      <c r="CG207" s="3">
        <f>CF207</f>
        <v>7050</v>
      </c>
      <c r="CH207" s="3">
        <f>CG207</f>
        <v>7050</v>
      </c>
      <c r="CI207" s="3">
        <f>CH207</f>
        <v>7050</v>
      </c>
      <c r="CJ207" s="3">
        <f>CI207</f>
        <v>7050</v>
      </c>
      <c r="CK207" s="3">
        <f>CJ207</f>
        <v>7050</v>
      </c>
      <c r="CL207" s="3">
        <f>CK207</f>
        <v>7050</v>
      </c>
      <c r="CM207" s="3">
        <f>CL207</f>
        <v>7050</v>
      </c>
      <c r="CN207" s="3">
        <f>CM207</f>
        <v>7050</v>
      </c>
      <c r="CO207" s="3">
        <f>CN207</f>
        <v>7050</v>
      </c>
      <c r="CP207" s="3">
        <f>CO207</f>
        <v>7050</v>
      </c>
      <c r="CQ207" s="3">
        <f>CP207</f>
        <v>7050</v>
      </c>
      <c r="CR207" s="3">
        <f>CQ207</f>
        <v>7050</v>
      </c>
      <c r="CS207" s="3">
        <f>CR207</f>
        <v>7050</v>
      </c>
      <c r="CT207" s="3">
        <f>CS207</f>
        <v>7050</v>
      </c>
      <c r="CU207" s="3">
        <f>CT207</f>
        <v>7050</v>
      </c>
      <c r="CV207" s="3">
        <f>CU207</f>
        <v>7050</v>
      </c>
      <c r="CW207" s="3">
        <f>CV207</f>
        <v>7050</v>
      </c>
      <c r="CX207" s="3">
        <f>CW207</f>
        <v>7050</v>
      </c>
      <c r="CY207" s="3">
        <f>CX207</f>
        <v>7050</v>
      </c>
    </row>
    <row r="208">
      <c r="C208" s="26" t="inlineStr">
        <is>
          <t>Short term debt (Revolving credit facility)</t>
        </is>
      </c>
      <c r="D208" s="25">
        <f>INDEX('Inputs (2)'!$D$33:$AL$33,MATCH(D$7,'Inputs (2)'!$D$2:$AL$2,0))</f>
        <v>0</v>
      </c>
      <c r="E208" s="25">
        <f>INDEX('Inputs (2)'!$D$33:$AL$33,MATCH(E$7,'Inputs (2)'!$D$2:$AL$2,0))</f>
        <v>0</v>
      </c>
      <c r="F208" s="25">
        <f>INDEX('Inputs (2)'!$D$33:$AL$33,MATCH(F$7,'Inputs (2)'!$D$2:$AL$2,0))</f>
        <v>0</v>
      </c>
      <c r="G208" s="25">
        <f>INDEX('Inputs (2)'!$D$33:$AL$33,MATCH(G$7,'Inputs (2)'!$D$2:$AL$2,0))</f>
        <v>0</v>
      </c>
      <c r="H208" s="3">
        <f>G208</f>
        <v>0</v>
      </c>
      <c r="I208" s="25">
        <f>INDEX('Inputs (2)'!$D$33:$AL$33,MATCH(I$7,'Inputs (2)'!$D$2:$AL$2,0))</f>
        <v>0</v>
      </c>
      <c r="J208" s="25">
        <f>INDEX('Inputs (2)'!$D$33:$AL$33,MATCH(J$7,'Inputs (2)'!$D$2:$AL$2,0))</f>
        <v>0</v>
      </c>
      <c r="K208" s="25">
        <f>INDEX('Inputs (2)'!$D$33:$AL$33,MATCH(K$7,'Inputs (2)'!$D$2:$AL$2,0))</f>
        <v>0</v>
      </c>
      <c r="L208" s="25">
        <f>INDEX('Inputs (2)'!$D$33:$AL$33,MATCH(L$7,'Inputs (2)'!$D$2:$AL$2,0))</f>
        <v>0</v>
      </c>
      <c r="M208" s="3">
        <f>L208</f>
        <v>0</v>
      </c>
      <c r="N208" s="25">
        <f>INDEX('Inputs (2)'!$D$33:$AL$33,MATCH(N$7,'Inputs (2)'!$D$2:$AL$2,0))</f>
        <v>0</v>
      </c>
      <c r="O208" s="25">
        <f>INDEX('Inputs (2)'!$D$33:$AL$33,MATCH(O$7,'Inputs (2)'!$D$2:$AL$2,0))</f>
        <v>0</v>
      </c>
      <c r="P208" s="25">
        <f>INDEX('Inputs (2)'!$D$33:$AL$33,MATCH(P$7,'Inputs (2)'!$D$2:$AL$2,0))</f>
        <v>0</v>
      </c>
      <c r="Q208" s="25">
        <f>INDEX('Inputs (2)'!$D$33:$AL$33,MATCH(Q$7,'Inputs (2)'!$D$2:$AL$2,0))</f>
        <v>0</v>
      </c>
      <c r="R208" s="3">
        <f>Q208</f>
        <v>0</v>
      </c>
      <c r="S208" s="25">
        <f>INDEX('Inputs (2)'!$D$33:$AL$33,MATCH(S$7,'Inputs (2)'!$D$2:$AL$2,0))</f>
        <v>0</v>
      </c>
      <c r="T208" s="25">
        <f>INDEX('Inputs (2)'!$D$33:$AL$33,MATCH(T$7,'Inputs (2)'!$D$2:$AL$2,0))</f>
        <v>0</v>
      </c>
      <c r="U208" s="25">
        <f>INDEX('Inputs (2)'!$D$33:$AL$33,MATCH(U$7,'Inputs (2)'!$D$2:$AL$2,0))</f>
        <v>0</v>
      </c>
      <c r="V208" s="25">
        <f>INDEX('Inputs (2)'!$D$33:$AL$33,MATCH(V$7,'Inputs (2)'!$D$2:$AL$2,0))</f>
        <v>0</v>
      </c>
      <c r="W208" s="3">
        <f>V208</f>
        <v>0</v>
      </c>
      <c r="X208" s="25">
        <f>INDEX('Inputs (2)'!$D$33:$AL$33,MATCH(X$7,'Inputs (2)'!$D$2:$AL$2,0))</f>
        <v>0</v>
      </c>
      <c r="Y208" s="25">
        <f>INDEX('Inputs (2)'!$D$33:$AL$33,MATCH(Y$7,'Inputs (2)'!$D$2:$AL$2,0))</f>
        <v>0</v>
      </c>
      <c r="Z208" s="25">
        <f>INDEX('Inputs (2)'!$D$33:$AL$33,MATCH(Z$7,'Inputs (2)'!$D$2:$AL$2,0))</f>
        <v>0</v>
      </c>
      <c r="AA208" s="25">
        <f>INDEX('Inputs (2)'!$D$33:$AL$33,MATCH(AA$7,'Inputs (2)'!$D$2:$AL$2,0))</f>
        <v>0</v>
      </c>
      <c r="AB208" s="3">
        <f>AA208</f>
        <v>0</v>
      </c>
      <c r="AC208" s="25">
        <f>INDEX('Inputs (2)'!$D$33:$AL$33,MATCH(AC$7,'Inputs (2)'!$D$2:$AL$2,0))</f>
        <v>0</v>
      </c>
      <c r="AD208" s="25">
        <f>INDEX('Inputs (2)'!$D$33:$AL$33,MATCH(AD$7,'Inputs (2)'!$D$2:$AL$2,0))</f>
        <v>0</v>
      </c>
      <c r="AE208" s="25">
        <f>INDEX('Inputs (2)'!$D$33:$AL$33,MATCH(AE$7,'Inputs (2)'!$D$2:$AL$2,0))</f>
        <v>0</v>
      </c>
      <c r="AF208" s="25">
        <f>INDEX('Inputs (2)'!$D$33:$AL$33,MATCH(AF$7,'Inputs (2)'!$D$2:$AL$2,0))</f>
        <v>0</v>
      </c>
      <c r="AG208" s="3">
        <f>AF208</f>
        <v>0</v>
      </c>
      <c r="AH208" s="3">
        <f>INDEX('Inputs (2)'!$D$33:$AL$33,MATCH(AH$7,'Inputs (2)'!$D$2:$AL$2,0))</f>
        <v>0</v>
      </c>
      <c r="AI208" s="3">
        <f>INDEX('Inputs (2)'!$D$33:$AL$33,MATCH(AI$7,'Inputs (2)'!$D$2:$AL$2,0))</f>
        <v>0</v>
      </c>
      <c r="AJ208" s="3">
        <f>AI208</f>
        <v>0</v>
      </c>
      <c r="AK208" s="3">
        <f>AJ208</f>
        <v>0</v>
      </c>
      <c r="AL208" s="3">
        <f>AK208</f>
        <v>0</v>
      </c>
      <c r="AM208" s="3">
        <f>AL208</f>
        <v>0</v>
      </c>
      <c r="AN208" s="3">
        <f>AM208</f>
        <v>0</v>
      </c>
      <c r="AO208" s="3">
        <f>AN208</f>
        <v>0</v>
      </c>
      <c r="AP208" s="3">
        <f>AO208</f>
        <v>0</v>
      </c>
      <c r="AQ208" s="3">
        <f>AP208</f>
        <v>0</v>
      </c>
      <c r="AR208" s="3">
        <f>AQ208</f>
        <v>0</v>
      </c>
      <c r="AS208" s="3">
        <f>AR208</f>
        <v>0</v>
      </c>
      <c r="AT208" s="3">
        <f>AS208</f>
        <v>0</v>
      </c>
      <c r="AU208" s="3">
        <f>AT208</f>
        <v>0</v>
      </c>
      <c r="AV208" s="3">
        <f>AU208</f>
        <v>0</v>
      </c>
      <c r="AW208" s="3">
        <f>AV208</f>
        <v>0</v>
      </c>
      <c r="AX208" s="3">
        <f>AW208</f>
        <v>0</v>
      </c>
      <c r="AY208" s="3">
        <f>AX208</f>
        <v>0</v>
      </c>
      <c r="AZ208" s="3">
        <f>AY208</f>
        <v>0</v>
      </c>
      <c r="BA208" s="3">
        <f>AZ208</f>
        <v>0</v>
      </c>
      <c r="BB208" s="3">
        <f>BA208</f>
        <v>0</v>
      </c>
      <c r="BC208" s="3">
        <f>BB208</f>
        <v>0</v>
      </c>
      <c r="BD208" s="3">
        <f>BC208</f>
        <v>0</v>
      </c>
      <c r="BE208" s="3">
        <f>BD208</f>
        <v>0</v>
      </c>
      <c r="BF208" s="3">
        <f>BE208</f>
        <v>0</v>
      </c>
      <c r="BG208" s="3">
        <f>BF208</f>
        <v>0</v>
      </c>
      <c r="BH208" s="3">
        <f>BG208</f>
        <v>0</v>
      </c>
      <c r="BI208" s="3">
        <f>BH208</f>
        <v>0</v>
      </c>
      <c r="BJ208" s="3">
        <f>BI208</f>
        <v>0</v>
      </c>
      <c r="BK208" s="3">
        <f>BJ208</f>
        <v>0</v>
      </c>
      <c r="BL208" s="3">
        <f>BK208</f>
        <v>0</v>
      </c>
      <c r="BM208" s="3">
        <f>BL208</f>
        <v>0</v>
      </c>
      <c r="BN208" s="3">
        <f>BM208</f>
        <v>0</v>
      </c>
      <c r="BO208" s="3">
        <f>BN208</f>
        <v>0</v>
      </c>
      <c r="BP208" s="3">
        <f>BO208</f>
        <v>0</v>
      </c>
      <c r="BQ208" s="3">
        <f>BP208</f>
        <v>0</v>
      </c>
      <c r="BR208" s="3">
        <f>BQ208</f>
        <v>0</v>
      </c>
      <c r="BS208" s="3">
        <f>BR208</f>
        <v>0</v>
      </c>
      <c r="BT208" s="3">
        <f>BS208</f>
        <v>0</v>
      </c>
      <c r="BU208" s="3">
        <f>BT208</f>
        <v>0</v>
      </c>
      <c r="BV208" s="3">
        <f>BU208</f>
        <v>0</v>
      </c>
      <c r="BW208" s="3">
        <f>BV208</f>
        <v>0</v>
      </c>
      <c r="BX208" s="3">
        <f>BW208</f>
        <v>0</v>
      </c>
      <c r="BY208" s="3">
        <f>BX208</f>
        <v>0</v>
      </c>
      <c r="BZ208" s="3">
        <f>BY208</f>
        <v>0</v>
      </c>
      <c r="CA208" s="3">
        <f>BZ208</f>
        <v>0</v>
      </c>
      <c r="CB208" s="3">
        <f>CA208</f>
        <v>0</v>
      </c>
      <c r="CC208" s="3">
        <f>CB208</f>
        <v>0</v>
      </c>
      <c r="CD208" s="3">
        <f>CC208</f>
        <v>0</v>
      </c>
      <c r="CE208" s="3">
        <f>CD208</f>
        <v>0</v>
      </c>
      <c r="CF208" s="3">
        <f>CE208</f>
        <v>0</v>
      </c>
      <c r="CG208" s="3">
        <f>CF208</f>
        <v>0</v>
      </c>
      <c r="CH208" s="3">
        <f>CG208</f>
        <v>0</v>
      </c>
      <c r="CI208" s="3">
        <f>CH208</f>
        <v>0</v>
      </c>
      <c r="CJ208" s="3">
        <f>CI208</f>
        <v>0</v>
      </c>
      <c r="CK208" s="3">
        <f>CJ208</f>
        <v>0</v>
      </c>
      <c r="CL208" s="3">
        <f>CK208</f>
        <v>0</v>
      </c>
      <c r="CM208" s="3">
        <f>CL208</f>
        <v>0</v>
      </c>
      <c r="CN208" s="3">
        <f>CM208</f>
        <v>0</v>
      </c>
      <c r="CO208" s="3">
        <f>CN208</f>
        <v>0</v>
      </c>
      <c r="CP208" s="3">
        <f>CO208</f>
        <v>0</v>
      </c>
      <c r="CQ208" s="3">
        <f>CP208</f>
        <v>0</v>
      </c>
      <c r="CR208" s="3">
        <f>CQ208</f>
        <v>0</v>
      </c>
      <c r="CS208" s="3">
        <f>CR208</f>
        <v>0</v>
      </c>
      <c r="CT208" s="3">
        <f>CS208</f>
        <v>0</v>
      </c>
      <c r="CU208" s="3">
        <f>CT208</f>
        <v>0</v>
      </c>
      <c r="CV208" s="3">
        <f>CU208</f>
        <v>0</v>
      </c>
      <c r="CW208" s="3">
        <f>CV208</f>
        <v>0</v>
      </c>
      <c r="CX208" s="3">
        <f>CW208</f>
        <v>0</v>
      </c>
      <c r="CY208" s="3">
        <f>CX208</f>
        <v>0</v>
      </c>
    </row>
    <row r="209">
      <c r="C209" s="26" t="inlineStr">
        <is>
          <t>Short term operating leases</t>
        </is>
      </c>
      <c r="D209" s="25">
        <f>INDEX('Inputs (2)'!$D$34:$AL$34,MATCH(D$7,'Inputs (2)'!$D$2:$AL$2,0))</f>
        <v>0</v>
      </c>
      <c r="E209" s="25">
        <f>INDEX('Inputs (2)'!$D$34:$AL$34,MATCH(E$7,'Inputs (2)'!$D$2:$AL$2,0))</f>
        <v>0</v>
      </c>
      <c r="F209" s="25">
        <f>INDEX('Inputs (2)'!$D$34:$AL$34,MATCH(F$7,'Inputs (2)'!$D$2:$AL$2,0))</f>
        <v>0</v>
      </c>
      <c r="G209" s="25">
        <f>INDEX('Inputs (2)'!$D$34:$AL$34,MATCH(G$7,'Inputs (2)'!$D$2:$AL$2,0))</f>
        <v>0</v>
      </c>
      <c r="H209" s="3">
        <f>G209</f>
        <v>0</v>
      </c>
      <c r="I209" s="25">
        <f>INDEX('Inputs (2)'!$D$34:$AL$34,MATCH(I$7,'Inputs (2)'!$D$2:$AL$2,0))</f>
        <v>0</v>
      </c>
      <c r="J209" s="25">
        <f>INDEX('Inputs (2)'!$D$34:$AL$34,MATCH(J$7,'Inputs (2)'!$D$2:$AL$2,0))</f>
        <v>0</v>
      </c>
      <c r="K209" s="25">
        <f>INDEX('Inputs (2)'!$D$34:$AL$34,MATCH(K$7,'Inputs (2)'!$D$2:$AL$2,0))</f>
        <v>0</v>
      </c>
      <c r="L209" s="25">
        <f>INDEX('Inputs (2)'!$D$34:$AL$34,MATCH(L$7,'Inputs (2)'!$D$2:$AL$2,0))</f>
        <v>0</v>
      </c>
      <c r="M209" s="3">
        <f>L209</f>
        <v>0</v>
      </c>
      <c r="N209" s="25">
        <f>INDEX('Inputs (2)'!$D$34:$AL$34,MATCH(N$7,'Inputs (2)'!$D$2:$AL$2,0))</f>
        <v>0</v>
      </c>
      <c r="O209" s="25">
        <f>INDEX('Inputs (2)'!$D$34:$AL$34,MATCH(O$7,'Inputs (2)'!$D$2:$AL$2,0))</f>
        <v>0</v>
      </c>
      <c r="P209" s="25">
        <f>INDEX('Inputs (2)'!$D$34:$AL$34,MATCH(P$7,'Inputs (2)'!$D$2:$AL$2,0))</f>
        <v>0</v>
      </c>
      <c r="Q209" s="25">
        <f>INDEX('Inputs (2)'!$D$34:$AL$34,MATCH(Q$7,'Inputs (2)'!$D$2:$AL$2,0))</f>
        <v>0</v>
      </c>
      <c r="R209" s="3">
        <f>Q209</f>
        <v>0</v>
      </c>
      <c r="S209" s="25">
        <f>INDEX('Inputs (2)'!$D$34:$AL$34,MATCH(S$7,'Inputs (2)'!$D$2:$AL$2,0))</f>
        <v>0</v>
      </c>
      <c r="T209" s="25">
        <f>INDEX('Inputs (2)'!$D$34:$AL$34,MATCH(T$7,'Inputs (2)'!$D$2:$AL$2,0))</f>
        <v>0</v>
      </c>
      <c r="U209" s="25">
        <f>INDEX('Inputs (2)'!$D$34:$AL$34,MATCH(U$7,'Inputs (2)'!$D$2:$AL$2,0))</f>
        <v>0</v>
      </c>
      <c r="V209" s="25">
        <f>INDEX('Inputs (2)'!$D$34:$AL$34,MATCH(V$7,'Inputs (2)'!$D$2:$AL$2,0))</f>
        <v>0</v>
      </c>
      <c r="W209" s="3">
        <f>V209</f>
        <v>0</v>
      </c>
      <c r="X209" s="25">
        <f>INDEX('Inputs (2)'!$D$34:$AL$34,MATCH(X$7,'Inputs (2)'!$D$2:$AL$2,0))</f>
        <v>0</v>
      </c>
      <c r="Y209" s="25">
        <f>INDEX('Inputs (2)'!$D$34:$AL$34,MATCH(Y$7,'Inputs (2)'!$D$2:$AL$2,0))</f>
        <v>0</v>
      </c>
      <c r="Z209" s="25">
        <f>INDEX('Inputs (2)'!$D$34:$AL$34,MATCH(Z$7,'Inputs (2)'!$D$2:$AL$2,0))</f>
        <v>0</v>
      </c>
      <c r="AA209" s="25">
        <f>INDEX('Inputs (2)'!$D$34:$AL$34,MATCH(AA$7,'Inputs (2)'!$D$2:$AL$2,0))</f>
        <v>0</v>
      </c>
      <c r="AB209" s="3">
        <f>AA209</f>
        <v>0</v>
      </c>
      <c r="AC209" s="25">
        <f>INDEX('Inputs (2)'!$D$34:$AL$34,MATCH(AC$7,'Inputs (2)'!$D$2:$AL$2,0))</f>
        <v>0</v>
      </c>
      <c r="AD209" s="25">
        <f>INDEX('Inputs (2)'!$D$34:$AL$34,MATCH(AD$7,'Inputs (2)'!$D$2:$AL$2,0))</f>
        <v>0</v>
      </c>
      <c r="AE209" s="25">
        <f>INDEX('Inputs (2)'!$D$34:$AL$34,MATCH(AE$7,'Inputs (2)'!$D$2:$AL$2,0))</f>
        <v>0</v>
      </c>
      <c r="AF209" s="25">
        <f>INDEX('Inputs (2)'!$D$34:$AL$34,MATCH(AF$7,'Inputs (2)'!$D$2:$AL$2,0))</f>
        <v>0</v>
      </c>
      <c r="AG209" s="3">
        <f>AF209</f>
        <v>0</v>
      </c>
      <c r="AH209" s="3">
        <f>INDEX('Inputs (2)'!$D$34:$AL$34,MATCH(AH$7,'Inputs (2)'!$D$2:$AL$2,0))</f>
        <v>0</v>
      </c>
      <c r="AI209" s="3">
        <f>INDEX('Inputs (2)'!$D$34:$AL$34,MATCH(AI$7,'Inputs (2)'!$D$2:$AL$2,0))</f>
        <v>0</v>
      </c>
      <c r="AJ209" s="3">
        <f>AI209</f>
        <v>0</v>
      </c>
      <c r="AK209" s="3">
        <f>AJ209</f>
        <v>0</v>
      </c>
      <c r="AL209" s="3">
        <f>AK209</f>
        <v>0</v>
      </c>
      <c r="AM209" s="3">
        <f>AL209</f>
        <v>0</v>
      </c>
      <c r="AN209" s="3">
        <f>AM209</f>
        <v>0</v>
      </c>
      <c r="AO209" s="3">
        <f>AN209</f>
        <v>0</v>
      </c>
      <c r="AP209" s="3">
        <f>AO209</f>
        <v>0</v>
      </c>
      <c r="AQ209" s="3">
        <f>AP209</f>
        <v>0</v>
      </c>
      <c r="AR209" s="3">
        <f>AQ209</f>
        <v>0</v>
      </c>
      <c r="AS209" s="3">
        <f>AR209</f>
        <v>0</v>
      </c>
      <c r="AT209" s="3">
        <f>AS209</f>
        <v>0</v>
      </c>
      <c r="AU209" s="3">
        <f>AT209</f>
        <v>0</v>
      </c>
      <c r="AV209" s="3">
        <f>AU209</f>
        <v>0</v>
      </c>
      <c r="AW209" s="3">
        <f>AV209</f>
        <v>0</v>
      </c>
      <c r="AX209" s="3">
        <f>AW209</f>
        <v>0</v>
      </c>
      <c r="AY209" s="3">
        <f>AX209</f>
        <v>0</v>
      </c>
      <c r="AZ209" s="3">
        <f>AY209</f>
        <v>0</v>
      </c>
      <c r="BA209" s="3">
        <f>AZ209</f>
        <v>0</v>
      </c>
      <c r="BB209" s="3">
        <f>BA209</f>
        <v>0</v>
      </c>
      <c r="BC209" s="3">
        <f>BB209</f>
        <v>0</v>
      </c>
      <c r="BD209" s="3">
        <f>BC209</f>
        <v>0</v>
      </c>
      <c r="BE209" s="3">
        <f>BD209</f>
        <v>0</v>
      </c>
      <c r="BF209" s="3">
        <f>BE209</f>
        <v>0</v>
      </c>
      <c r="BG209" s="3">
        <f>BF209</f>
        <v>0</v>
      </c>
      <c r="BH209" s="3">
        <f>BG209</f>
        <v>0</v>
      </c>
      <c r="BI209" s="3">
        <f>BH209</f>
        <v>0</v>
      </c>
      <c r="BJ209" s="3">
        <f>BI209</f>
        <v>0</v>
      </c>
      <c r="BK209" s="3">
        <f>BJ209</f>
        <v>0</v>
      </c>
      <c r="BL209" s="3">
        <f>BK209</f>
        <v>0</v>
      </c>
      <c r="BM209" s="3">
        <f>BL209</f>
        <v>0</v>
      </c>
      <c r="BN209" s="3">
        <f>BM209</f>
        <v>0</v>
      </c>
      <c r="BO209" s="3">
        <f>BN209</f>
        <v>0</v>
      </c>
      <c r="BP209" s="3">
        <f>BO209</f>
        <v>0</v>
      </c>
      <c r="BQ209" s="3">
        <f>BP209</f>
        <v>0</v>
      </c>
      <c r="BR209" s="3">
        <f>BQ209</f>
        <v>0</v>
      </c>
      <c r="BS209" s="3">
        <f>BR209</f>
        <v>0</v>
      </c>
      <c r="BT209" s="3">
        <f>BS209</f>
        <v>0</v>
      </c>
      <c r="BU209" s="3">
        <f>BT209</f>
        <v>0</v>
      </c>
      <c r="BV209" s="3">
        <f>BU209</f>
        <v>0</v>
      </c>
      <c r="BW209" s="3">
        <f>BV209</f>
        <v>0</v>
      </c>
      <c r="BX209" s="3">
        <f>BW209</f>
        <v>0</v>
      </c>
      <c r="BY209" s="3">
        <f>BX209</f>
        <v>0</v>
      </c>
      <c r="BZ209" s="3">
        <f>BY209</f>
        <v>0</v>
      </c>
      <c r="CA209" s="3">
        <f>BZ209</f>
        <v>0</v>
      </c>
      <c r="CB209" s="3">
        <f>CA209</f>
        <v>0</v>
      </c>
      <c r="CC209" s="3">
        <f>CB209</f>
        <v>0</v>
      </c>
      <c r="CD209" s="3">
        <f>CC209</f>
        <v>0</v>
      </c>
      <c r="CE209" s="3">
        <f>CD209</f>
        <v>0</v>
      </c>
      <c r="CF209" s="3">
        <f>CE209</f>
        <v>0</v>
      </c>
      <c r="CG209" s="3">
        <f>CF209</f>
        <v>0</v>
      </c>
      <c r="CH209" s="3">
        <f>CG209</f>
        <v>0</v>
      </c>
      <c r="CI209" s="3">
        <f>CH209</f>
        <v>0</v>
      </c>
      <c r="CJ209" s="3">
        <f>CI209</f>
        <v>0</v>
      </c>
      <c r="CK209" s="3">
        <f>CJ209</f>
        <v>0</v>
      </c>
      <c r="CL209" s="3">
        <f>CK209</f>
        <v>0</v>
      </c>
      <c r="CM209" s="3">
        <f>CL209</f>
        <v>0</v>
      </c>
      <c r="CN209" s="3">
        <f>CM209</f>
        <v>0</v>
      </c>
      <c r="CO209" s="3">
        <f>CN209</f>
        <v>0</v>
      </c>
      <c r="CP209" s="3">
        <f>CO209</f>
        <v>0</v>
      </c>
      <c r="CQ209" s="3">
        <f>CP209</f>
        <v>0</v>
      </c>
      <c r="CR209" s="3">
        <f>CQ209</f>
        <v>0</v>
      </c>
      <c r="CS209" s="3">
        <f>CR209</f>
        <v>0</v>
      </c>
      <c r="CT209" s="3">
        <f>CS209</f>
        <v>0</v>
      </c>
      <c r="CU209" s="3">
        <f>CT209</f>
        <v>0</v>
      </c>
      <c r="CV209" s="3">
        <f>CU209</f>
        <v>0</v>
      </c>
      <c r="CW209" s="3">
        <f>CV209</f>
        <v>0</v>
      </c>
      <c r="CX209" s="3">
        <f>CW209</f>
        <v>0</v>
      </c>
      <c r="CY209" s="3">
        <f>CX209</f>
        <v>0</v>
      </c>
    </row>
    <row r="210" hidden="1" outlineLevel="1">
      <c r="C210" s="38" t="inlineStr">
        <is>
          <t>%(Var.)</t>
        </is>
      </c>
      <c r="D210" s="3" t="n"/>
      <c r="E210" s="47">
        <f>IFERROR((E209-D209)/D209,0)</f>
        <v>0</v>
      </c>
      <c r="F210" s="47">
        <f>IFERROR((F209-E209)/E209,0)</f>
        <v>0</v>
      </c>
      <c r="G210" s="47">
        <f>IFERROR((G209-F209)/F209,0)</f>
        <v>0</v>
      </c>
      <c r="H210" s="3" t="n"/>
      <c r="I210" s="47">
        <f>IFERROR((I209-H209)/H209,0)</f>
        <v>0</v>
      </c>
      <c r="J210" s="47">
        <f>IFERROR((J209-I209)/I209,0)</f>
        <v>0</v>
      </c>
      <c r="K210" s="47">
        <f>IFERROR((K209-J209)/J209,0)</f>
        <v>0</v>
      </c>
      <c r="L210" s="47">
        <f>IFERROR((L209-K209)/K209,0)</f>
        <v>0</v>
      </c>
      <c r="M210" s="3" t="n"/>
      <c r="N210" s="47">
        <f>IFERROR((N209-M209)/M209,0)</f>
        <v>0</v>
      </c>
      <c r="O210" s="47">
        <f>IFERROR((O209-N209)/N209,0)</f>
        <v>0</v>
      </c>
      <c r="P210" s="47">
        <f>IFERROR((P209-O209)/O209,0)</f>
        <v>0</v>
      </c>
      <c r="Q210" s="47">
        <f>IFERROR((Q209-P209)/P209,0)</f>
        <v>0</v>
      </c>
      <c r="R210" s="3" t="n"/>
      <c r="S210" s="47">
        <f>IFERROR((S209-R209)/R209,0)</f>
        <v>0</v>
      </c>
      <c r="T210" s="47">
        <f>IFERROR((T209-S209)/S209,0)</f>
        <v>0</v>
      </c>
      <c r="U210" s="47">
        <f>IFERROR((U209-T209)/T209,0)</f>
        <v>0</v>
      </c>
      <c r="V210" s="47">
        <f>IFERROR((V209-U209)/U209,0)</f>
        <v>0</v>
      </c>
      <c r="W210" s="3" t="n"/>
      <c r="X210" s="47">
        <f>IFERROR((X209-W209)/W209,0)</f>
        <v>0</v>
      </c>
      <c r="Y210" s="47">
        <f>IFERROR((Y209-X209)/X209,0)</f>
        <v>0</v>
      </c>
      <c r="Z210" s="47">
        <f>IFERROR((Z209-Y209)/Y209,0)</f>
        <v>0</v>
      </c>
      <c r="AA210" s="47">
        <f>IFERROR((AA209-Z209)/Z209,0)</f>
        <v>0</v>
      </c>
      <c r="AB210" s="3" t="n"/>
      <c r="AC210" s="47">
        <f>IFERROR((AC209-AB209)/AB209,0)</f>
        <v>0</v>
      </c>
      <c r="AD210" s="47">
        <f>IFERROR((AD209-AC209)/AC209,0)</f>
        <v>0</v>
      </c>
      <c r="AE210" s="47">
        <f>IFERROR((AE209-AD209)/AD209,0)</f>
        <v>0</v>
      </c>
      <c r="AF210" s="6">
        <f>IFERROR((AF209-AE209)/AE209,0)</f>
        <v>0</v>
      </c>
      <c r="AG210" s="3" t="n"/>
      <c r="AH210" s="6">
        <f>IFERROR((AH209-AG209)/AG209,0)</f>
        <v>0</v>
      </c>
      <c r="AI210" s="6">
        <f>IFERROR((AI209-AH209)/AH209,0)</f>
        <v>0</v>
      </c>
      <c r="AJ210" s="6" t="n"/>
      <c r="AK210" s="6" t="n"/>
      <c r="AL210" s="3" t="n"/>
      <c r="AM210" s="6" t="n"/>
      <c r="AN210" s="6" t="n"/>
      <c r="AO210" s="6" t="n"/>
      <c r="AP210" s="6" t="n"/>
      <c r="AQ210" s="3" t="n"/>
      <c r="AR210" s="6" t="n"/>
      <c r="AS210" s="6" t="n"/>
      <c r="AT210" s="6" t="n"/>
      <c r="AU210" s="6" t="n"/>
      <c r="AV210" s="3" t="n"/>
      <c r="AW210" s="6" t="n"/>
      <c r="AX210" s="6" t="n"/>
      <c r="AY210" s="6" t="n"/>
      <c r="AZ210" s="6" t="n"/>
      <c r="BA210" s="3" t="n"/>
      <c r="BB210" s="6" t="n"/>
      <c r="BC210" s="6" t="n"/>
      <c r="BD210" s="6" t="n"/>
      <c r="BE210" s="6" t="n"/>
      <c r="BF210" s="3" t="n"/>
      <c r="BG210" s="6" t="n"/>
      <c r="BH210" s="6" t="n"/>
      <c r="BI210" s="6" t="n"/>
      <c r="BJ210" s="6" t="n"/>
      <c r="BK210" s="3" t="n"/>
      <c r="BL210" s="6" t="n"/>
      <c r="BM210" s="6" t="n"/>
      <c r="BN210" s="6" t="n"/>
      <c r="BO210" s="6" t="n"/>
      <c r="BP210" s="3" t="n"/>
      <c r="BQ210" s="6" t="n"/>
      <c r="BR210" s="6" t="n"/>
      <c r="BS210" s="6" t="n"/>
      <c r="BT210" s="6" t="n"/>
      <c r="BU210" s="3" t="n"/>
      <c r="BV210" s="6" t="n"/>
      <c r="BW210" s="6" t="n"/>
      <c r="BX210" s="6" t="n"/>
      <c r="BY210" s="6" t="n"/>
      <c r="BZ210" s="3" t="n"/>
      <c r="CA210" s="6" t="n"/>
      <c r="CB210" s="6" t="n"/>
      <c r="CC210" s="6" t="n"/>
      <c r="CD210" s="6" t="n"/>
      <c r="CE210" s="3" t="n"/>
      <c r="CF210" s="6" t="n"/>
      <c r="CG210" s="6" t="n"/>
      <c r="CH210" s="6" t="n"/>
      <c r="CI210" s="6" t="n"/>
      <c r="CJ210" s="3" t="n"/>
      <c r="CK210" s="6" t="n"/>
      <c r="CL210" s="6" t="n"/>
      <c r="CM210" s="6" t="n"/>
      <c r="CN210" s="6" t="n"/>
      <c r="CO210" s="3" t="n"/>
      <c r="CP210" s="6" t="n"/>
      <c r="CQ210" s="6" t="n"/>
      <c r="CR210" s="6" t="n"/>
      <c r="CS210" s="6" t="n"/>
      <c r="CT210" s="3" t="n"/>
      <c r="CU210" s="6" t="n"/>
      <c r="CV210" s="6" t="n"/>
      <c r="CW210" s="6" t="n"/>
      <c r="CX210" s="6" t="n"/>
      <c r="CY210" s="3" t="n"/>
    </row>
    <row r="211" hidden="1" outlineLevel="1">
      <c r="C211" s="34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  <c r="AY211" s="3" t="n"/>
      <c r="AZ211" s="3" t="n"/>
      <c r="BA211" s="3" t="n"/>
      <c r="BB211" s="3" t="n"/>
      <c r="BC211" s="3" t="n"/>
      <c r="BD211" s="3" t="n"/>
      <c r="BE211" s="3" t="n"/>
      <c r="BF211" s="3" t="n"/>
      <c r="BG211" s="3" t="n"/>
      <c r="BH211" s="3" t="n"/>
      <c r="BI211" s="3" t="n"/>
      <c r="BJ211" s="3" t="n"/>
      <c r="BK211" s="3" t="n"/>
      <c r="BL211" s="3" t="n"/>
      <c r="BM211" s="3" t="n"/>
      <c r="BN211" s="3" t="n"/>
      <c r="BO211" s="3" t="n"/>
      <c r="BP211" s="3" t="n"/>
      <c r="BQ211" s="3" t="n"/>
      <c r="BR211" s="3" t="n"/>
      <c r="BS211" s="3" t="n"/>
      <c r="BT211" s="3" t="n"/>
      <c r="BU211" s="3" t="n"/>
      <c r="BV211" s="3" t="n"/>
      <c r="BW211" s="3" t="n"/>
      <c r="BX211" s="3" t="n"/>
      <c r="BY211" s="3" t="n"/>
      <c r="BZ211" s="3" t="n"/>
      <c r="CA211" s="3" t="n"/>
      <c r="CB211" s="3" t="n"/>
      <c r="CC211" s="3" t="n"/>
      <c r="CD211" s="3" t="n"/>
      <c r="CE211" s="3" t="n"/>
      <c r="CF211" s="3" t="n"/>
      <c r="CG211" s="3" t="n"/>
      <c r="CH211" s="3" t="n"/>
      <c r="CI211" s="3" t="n"/>
      <c r="CJ211" s="3" t="n"/>
      <c r="CK211" s="3" t="n"/>
      <c r="CL211" s="3" t="n"/>
      <c r="CM211" s="3" t="n"/>
      <c r="CN211" s="3" t="n"/>
      <c r="CO211" s="3" t="n"/>
      <c r="CP211" s="3" t="n"/>
      <c r="CQ211" s="3" t="n"/>
      <c r="CR211" s="3" t="n"/>
      <c r="CS211" s="3" t="n"/>
      <c r="CT211" s="3" t="n"/>
      <c r="CU211" s="3" t="n"/>
      <c r="CV211" s="3" t="n"/>
      <c r="CW211" s="3" t="n"/>
      <c r="CX211" s="3" t="n"/>
      <c r="CY211" s="3" t="n"/>
    </row>
    <row r="212" collapsed="1">
      <c r="C212" s="26" t="inlineStr">
        <is>
          <t>Long term debt</t>
        </is>
      </c>
      <c r="D212" s="25">
        <f>INDEX('Inputs (2)'!$D$35:$AL$35,MATCH(D$7,'Inputs (2)'!$D$2:$AL$2,0))</f>
        <v>13982.3</v>
      </c>
      <c r="E212" s="25">
        <f>INDEX('Inputs (2)'!$D$35:$AL$35,MATCH(E$7,'Inputs (2)'!$D$2:$AL$2,0))</f>
        <v>15064.4</v>
      </c>
      <c r="F212" s="25">
        <f>INDEX('Inputs (2)'!$D$35:$AL$35,MATCH(F$7,'Inputs (2)'!$D$2:$AL$2,0))</f>
        <v>16334.6</v>
      </c>
      <c r="G212" s="25">
        <f>INDEX('Inputs (2)'!$D$35:$AL$35,MATCH(G$7,'Inputs (2)'!$D$2:$AL$2,0))</f>
        <v>16586.6</v>
      </c>
      <c r="H212" s="3">
        <f>G212</f>
        <v>16586.6</v>
      </c>
      <c r="I212" s="25">
        <f>INDEX('Inputs (2)'!$D$35:$AL$35,MATCH(I$7,'Inputs (2)'!$D$2:$AL$2,0))</f>
        <v>16199.6</v>
      </c>
      <c r="J212" s="25">
        <f>INDEX('Inputs (2)'!$D$35:$AL$35,MATCH(J$7,'Inputs (2)'!$D$2:$AL$2,0))</f>
        <v>14736.6</v>
      </c>
      <c r="K212" s="25">
        <f>INDEX('Inputs (2)'!$D$35:$AL$35,MATCH(K$7,'Inputs (2)'!$D$2:$AL$2,0))</f>
        <v>15522.4</v>
      </c>
      <c r="L212" s="25">
        <f>INDEX('Inputs (2)'!$D$35:$AL$35,MATCH(L$7,'Inputs (2)'!$D$2:$AL$2,0))</f>
        <v>15346.4</v>
      </c>
      <c r="M212" s="3">
        <f>L212</f>
        <v>15346.4</v>
      </c>
      <c r="N212" s="25">
        <f>INDEX('Inputs (2)'!$D$35:$AL$35,MATCH(N$7,'Inputs (2)'!$D$2:$AL$2,0))</f>
        <v>15152.9</v>
      </c>
      <c r="O212" s="25">
        <f>INDEX('Inputs (2)'!$D$35:$AL$35,MATCH(O$7,'Inputs (2)'!$D$2:$AL$2,0))</f>
        <v>14692</v>
      </c>
      <c r="P212" s="25">
        <f>INDEX('Inputs (2)'!$D$35:$AL$35,MATCH(P$7,'Inputs (2)'!$D$2:$AL$2,0))</f>
        <v>14143.8</v>
      </c>
      <c r="Q212" s="25">
        <f>INDEX('Inputs (2)'!$D$35:$AL$35,MATCH(Q$7,'Inputs (2)'!$D$2:$AL$2,0))</f>
        <v>14737.5</v>
      </c>
      <c r="R212" s="3">
        <f>Q212</f>
        <v>14737.5</v>
      </c>
      <c r="S212" s="25">
        <f>INDEX('Inputs (2)'!$D$35:$AL$35,MATCH(S$7,'Inputs (2)'!$D$2:$AL$2,0))</f>
        <v>18880.5</v>
      </c>
      <c r="T212" s="25">
        <f>INDEX('Inputs (2)'!$D$35:$AL$35,MATCH(T$7,'Inputs (2)'!$D$2:$AL$2,0))</f>
        <v>18158.4</v>
      </c>
      <c r="U212" s="25">
        <f>INDEX('Inputs (2)'!$D$35:$AL$35,MATCH(U$7,'Inputs (2)'!$D$2:$AL$2,0))</f>
        <v>17923.6</v>
      </c>
      <c r="V212" s="25">
        <f>INDEX('Inputs (2)'!$D$35:$AL$35,MATCH(V$7,'Inputs (2)'!$D$2:$AL$2,0))</f>
        <v>18320.8</v>
      </c>
      <c r="W212" s="3">
        <f>V212</f>
        <v>18320.8</v>
      </c>
      <c r="X212" s="25">
        <f>INDEX('Inputs (2)'!$D$35:$AL$35,MATCH(X$7,'Inputs (2)'!$D$2:$AL$2,0))</f>
        <v>24559.9</v>
      </c>
      <c r="Y212" s="25">
        <f>INDEX('Inputs (2)'!$D$35:$AL$35,MATCH(Y$7,'Inputs (2)'!$D$2:$AL$2,0))</f>
        <v>23730.4</v>
      </c>
      <c r="Z212" s="25">
        <f>INDEX('Inputs (2)'!$D$35:$AL$35,MATCH(Z$7,'Inputs (2)'!$D$2:$AL$2,0))</f>
        <v>29045.4</v>
      </c>
      <c r="AA212" s="25">
        <f>INDEX('Inputs (2)'!$D$35:$AL$35,MATCH(AA$7,'Inputs (2)'!$D$2:$AL$2,0))</f>
        <v>28527.1</v>
      </c>
      <c r="AB212" s="3">
        <f>AA212</f>
        <v>28527.1</v>
      </c>
      <c r="AC212" s="25">
        <f>INDEX('Inputs (2)'!$D$35:$AL$35,MATCH(AC$7,'Inputs (2)'!$D$2:$AL$2,0))</f>
        <v>34499.5</v>
      </c>
      <c r="AD212" s="25">
        <f>INDEX('Inputs (2)'!$D$35:$AL$35,MATCH(AD$7,'Inputs (2)'!$D$2:$AL$2,0))</f>
        <v>34180.1</v>
      </c>
      <c r="AE212" s="25">
        <f>INDEX('Inputs (2)'!$D$35:$AL$35,MATCH(AE$7,'Inputs (2)'!$D$2:$AL$2,0))</f>
        <v>40873.6</v>
      </c>
      <c r="AF212" s="25">
        <f>INDEX('Inputs (2)'!$D$35:$AL$35,MATCH(AF$7,'Inputs (2)'!$D$2:$AL$2,0))</f>
        <v>40868</v>
      </c>
      <c r="AG212" s="3">
        <f>AF212</f>
        <v>40868</v>
      </c>
      <c r="AH212" s="3">
        <f>INDEX('Inputs (2)'!$D$35:$AL$35,MATCH(AH$7,'Inputs (2)'!$D$2:$AL$2,0))</f>
        <v>39370</v>
      </c>
      <c r="AI212" s="3">
        <f>INDEX('Inputs (2)'!$D$35:$AL$35,MATCH(AI$7,'Inputs (2)'!$D$2:$AL$2,0))</f>
        <v>47858</v>
      </c>
      <c r="AJ212" s="3">
        <f>AJ218</f>
        <v>47858</v>
      </c>
      <c r="AK212" s="3">
        <f>AK218</f>
        <v>47858</v>
      </c>
      <c r="AL212" s="3">
        <f>AK212</f>
        <v>47858</v>
      </c>
      <c r="AM212" s="3">
        <f>AM218</f>
        <v>47858</v>
      </c>
      <c r="AN212" s="3">
        <f>AN218</f>
        <v>47858</v>
      </c>
      <c r="AO212" s="3">
        <f>AO218</f>
        <v>47858</v>
      </c>
      <c r="AP212" s="3">
        <f>AP218</f>
        <v>47858</v>
      </c>
      <c r="AQ212" s="3">
        <f>AP212</f>
        <v>47858</v>
      </c>
      <c r="AR212" s="3">
        <f>AR218</f>
        <v>47858</v>
      </c>
      <c r="AS212" s="3">
        <f>AS218</f>
        <v>47858</v>
      </c>
      <c r="AT212" s="3">
        <f>AT218</f>
        <v>47858</v>
      </c>
      <c r="AU212" s="3">
        <f>AU218</f>
        <v>47858</v>
      </c>
      <c r="AV212" s="3">
        <f>AU212</f>
        <v>47858</v>
      </c>
      <c r="AW212" s="3">
        <f>AW218</f>
        <v>47858</v>
      </c>
      <c r="AX212" s="3">
        <f>AX218</f>
        <v>47858</v>
      </c>
      <c r="AY212" s="3">
        <f>AY218</f>
        <v>47858</v>
      </c>
      <c r="AZ212" s="3">
        <f>AZ218</f>
        <v>47858</v>
      </c>
      <c r="BA212" s="3">
        <f>AZ212</f>
        <v>47858</v>
      </c>
      <c r="BB212" s="3">
        <f>BB218</f>
        <v>47858</v>
      </c>
      <c r="BC212" s="3">
        <f>BC218</f>
        <v>47858</v>
      </c>
      <c r="BD212" s="3">
        <f>BD218</f>
        <v>47858</v>
      </c>
      <c r="BE212" s="3">
        <f>BE218</f>
        <v>47858</v>
      </c>
      <c r="BF212" s="3">
        <f>BE212</f>
        <v>47858</v>
      </c>
      <c r="BG212" s="3">
        <f>BG218</f>
        <v>47858</v>
      </c>
      <c r="BH212" s="3">
        <f>BH218</f>
        <v>47858</v>
      </c>
      <c r="BI212" s="3">
        <f>BI218</f>
        <v>47858</v>
      </c>
      <c r="BJ212" s="3">
        <f>BJ218</f>
        <v>47858</v>
      </c>
      <c r="BK212" s="3">
        <f>BJ212</f>
        <v>47858</v>
      </c>
      <c r="BL212" s="3">
        <f>BL218</f>
        <v>47858</v>
      </c>
      <c r="BM212" s="3">
        <f>BM218</f>
        <v>47858</v>
      </c>
      <c r="BN212" s="3">
        <f>BN218</f>
        <v>47858</v>
      </c>
      <c r="BO212" s="3">
        <f>BO218</f>
        <v>47858</v>
      </c>
      <c r="BP212" s="3">
        <f>BO212</f>
        <v>47858</v>
      </c>
      <c r="BQ212" s="3">
        <f>BQ218</f>
        <v>47858</v>
      </c>
      <c r="BR212" s="3">
        <f>BR218</f>
        <v>47858</v>
      </c>
      <c r="BS212" s="3">
        <f>BS218</f>
        <v>47858</v>
      </c>
      <c r="BT212" s="3">
        <f>BT218</f>
        <v>47858</v>
      </c>
      <c r="BU212" s="3">
        <f>BT212</f>
        <v>47858</v>
      </c>
      <c r="BV212" s="3">
        <f>BV218</f>
        <v>47858</v>
      </c>
      <c r="BW212" s="3">
        <f>BW218</f>
        <v>47858</v>
      </c>
      <c r="BX212" s="3">
        <f>BX218</f>
        <v>47858</v>
      </c>
      <c r="BY212" s="3">
        <f>BY218</f>
        <v>47858</v>
      </c>
      <c r="BZ212" s="3">
        <f>BY212</f>
        <v>47858</v>
      </c>
      <c r="CA212" s="3">
        <f>CA218</f>
        <v>47858</v>
      </c>
      <c r="CB212" s="3">
        <f>CB218</f>
        <v>47858</v>
      </c>
      <c r="CC212" s="3">
        <f>CC218</f>
        <v>47858</v>
      </c>
      <c r="CD212" s="3">
        <f>CD218</f>
        <v>47858</v>
      </c>
      <c r="CE212" s="3">
        <f>CD212</f>
        <v>47858</v>
      </c>
      <c r="CF212" s="3">
        <f>CF218</f>
        <v>47858</v>
      </c>
      <c r="CG212" s="3">
        <f>CG218</f>
        <v>47858</v>
      </c>
      <c r="CH212" s="3">
        <f>CH218</f>
        <v>47858</v>
      </c>
      <c r="CI212" s="3">
        <f>CI218</f>
        <v>47858</v>
      </c>
      <c r="CJ212" s="3">
        <f>CI212</f>
        <v>47858</v>
      </c>
      <c r="CK212" s="3">
        <f>CK218</f>
        <v>47858</v>
      </c>
      <c r="CL212" s="3">
        <f>CL218</f>
        <v>47858</v>
      </c>
      <c r="CM212" s="3">
        <f>CM218</f>
        <v>47858</v>
      </c>
      <c r="CN212" s="3">
        <f>CN218</f>
        <v>47858</v>
      </c>
      <c r="CO212" s="3">
        <f>CN212</f>
        <v>47858</v>
      </c>
      <c r="CP212" s="3">
        <f>CP218</f>
        <v>47858</v>
      </c>
      <c r="CQ212" s="3">
        <f>CQ218</f>
        <v>47858</v>
      </c>
      <c r="CR212" s="3">
        <f>CR218</f>
        <v>47858</v>
      </c>
      <c r="CS212" s="3">
        <f>CS218</f>
        <v>47858</v>
      </c>
      <c r="CT212" s="3">
        <f>CS212</f>
        <v>47858</v>
      </c>
      <c r="CU212" s="3">
        <f>CU218</f>
        <v>47858</v>
      </c>
      <c r="CV212" s="3">
        <f>CV218</f>
        <v>47858</v>
      </c>
      <c r="CW212" s="3">
        <f>CW218</f>
        <v>47858</v>
      </c>
      <c r="CX212" s="3">
        <f>CX218</f>
        <v>47858</v>
      </c>
      <c r="CY212" s="3">
        <f>CX212</f>
        <v>47858</v>
      </c>
    </row>
    <row r="213" hidden="1" outlineLevel="1">
      <c r="C213" s="34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n"/>
      <c r="CC213" s="3" t="n"/>
      <c r="CD213" s="3" t="n"/>
      <c r="CE213" s="3" t="n"/>
      <c r="CF213" s="3" t="n"/>
      <c r="CG213" s="3" t="n"/>
      <c r="CH213" s="3" t="n"/>
      <c r="CI213" s="3" t="n"/>
      <c r="CJ213" s="3" t="n"/>
      <c r="CK213" s="3" t="n"/>
      <c r="CL213" s="3" t="n"/>
      <c r="CM213" s="3" t="n"/>
      <c r="CN213" s="3" t="n"/>
      <c r="CO213" s="3" t="n"/>
      <c r="CP213" s="3" t="n"/>
      <c r="CQ213" s="3" t="n"/>
      <c r="CR213" s="3" t="n"/>
      <c r="CS213" s="3" t="n"/>
      <c r="CT213" s="3" t="n"/>
      <c r="CU213" s="3" t="n"/>
      <c r="CV213" s="3" t="n"/>
      <c r="CW213" s="3" t="n"/>
      <c r="CX213" s="3" t="n"/>
      <c r="CY213" s="3" t="n"/>
    </row>
    <row r="214" hidden="1" outlineLevel="1">
      <c r="C214" s="34" t="inlineStr">
        <is>
          <t>Current portion of LTD</t>
        </is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>
        <f>AF207</f>
        <v>1635</v>
      </c>
      <c r="AI214" s="35" t="n"/>
      <c r="AJ214" s="35" t="n"/>
      <c r="AK214" s="35" t="n"/>
      <c r="AL214" s="3" t="n"/>
      <c r="AM214" s="3">
        <f>AK207</f>
        <v>7050</v>
      </c>
      <c r="AN214" s="35" t="n"/>
      <c r="AO214" s="35" t="n"/>
      <c r="AP214" s="35" t="n"/>
      <c r="AQ214" s="3" t="n"/>
      <c r="AR214" s="3">
        <f>AP207</f>
        <v>7050</v>
      </c>
      <c r="AS214" s="35" t="n"/>
      <c r="AT214" s="35" t="n"/>
      <c r="AU214" s="35" t="n"/>
      <c r="AV214" s="3" t="n"/>
      <c r="AW214" s="3">
        <f>AU207</f>
        <v>7050</v>
      </c>
      <c r="AX214" s="35" t="n"/>
      <c r="AY214" s="35" t="n"/>
      <c r="AZ214" s="35" t="n"/>
      <c r="BA214" s="3" t="n"/>
      <c r="BB214" s="3">
        <f>AZ207</f>
        <v>7050</v>
      </c>
      <c r="BC214" s="35" t="n"/>
      <c r="BD214" s="35" t="n"/>
      <c r="BE214" s="35" t="n"/>
      <c r="BF214" s="3" t="n"/>
      <c r="BG214" s="3">
        <f>BE207</f>
        <v>7050</v>
      </c>
      <c r="BH214" s="35" t="n"/>
      <c r="BI214" s="35" t="n"/>
      <c r="BJ214" s="35" t="n"/>
      <c r="BK214" s="3" t="n"/>
      <c r="BL214" s="3">
        <f>BJ207</f>
        <v>7050</v>
      </c>
      <c r="BM214" s="35" t="n"/>
      <c r="BN214" s="35" t="n"/>
      <c r="BO214" s="35" t="n"/>
      <c r="BP214" s="3" t="n"/>
      <c r="BQ214" s="3">
        <f>BO207</f>
        <v>7050</v>
      </c>
      <c r="BR214" s="35" t="n"/>
      <c r="BS214" s="35" t="n"/>
      <c r="BT214" s="35" t="n"/>
      <c r="BU214" s="3" t="n"/>
      <c r="BV214" s="3">
        <f>BT207</f>
        <v>7050</v>
      </c>
      <c r="BW214" s="35" t="n"/>
      <c r="BX214" s="35" t="n"/>
      <c r="BY214" s="35" t="n"/>
      <c r="BZ214" s="3" t="n"/>
      <c r="CA214" s="3">
        <f>BY207</f>
        <v>7050</v>
      </c>
      <c r="CB214" s="35" t="n"/>
      <c r="CC214" s="35" t="n"/>
      <c r="CD214" s="35" t="n"/>
      <c r="CE214" s="3" t="n"/>
      <c r="CF214" s="3">
        <f>CD207</f>
        <v>7050</v>
      </c>
      <c r="CG214" s="35" t="n"/>
      <c r="CH214" s="35" t="n"/>
      <c r="CI214" s="35" t="n"/>
      <c r="CJ214" s="3" t="n"/>
      <c r="CK214" s="3">
        <f>CI207</f>
        <v>7050</v>
      </c>
      <c r="CL214" s="35" t="n"/>
      <c r="CM214" s="35" t="n"/>
      <c r="CN214" s="35" t="n"/>
      <c r="CO214" s="3" t="n"/>
      <c r="CP214" s="3">
        <f>CN207</f>
        <v>7050</v>
      </c>
      <c r="CQ214" s="35" t="n"/>
      <c r="CR214" s="35" t="n"/>
      <c r="CS214" s="35" t="n"/>
      <c r="CT214" s="3" t="n"/>
      <c r="CU214" s="3">
        <f>CS207</f>
        <v>7050</v>
      </c>
      <c r="CV214" s="35" t="n"/>
      <c r="CW214" s="35" t="n"/>
      <c r="CX214" s="35" t="n"/>
      <c r="CY214" s="3" t="n"/>
    </row>
    <row r="215" hidden="1" outlineLevel="1">
      <c r="C215" s="34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  <c r="AY215" s="3" t="n"/>
      <c r="AZ215" s="3" t="n"/>
      <c r="BA215" s="3" t="n"/>
      <c r="BB215" s="3" t="n"/>
      <c r="BC215" s="3" t="n"/>
      <c r="BD215" s="3" t="n"/>
      <c r="BE215" s="3" t="n"/>
      <c r="BF215" s="3" t="n"/>
      <c r="BG215" s="3" t="n"/>
      <c r="BH215" s="3" t="n"/>
      <c r="BI215" s="3" t="n"/>
      <c r="BJ215" s="3" t="n"/>
      <c r="BK215" s="3" t="n"/>
      <c r="BL215" s="3" t="n"/>
      <c r="BM215" s="3" t="n"/>
      <c r="BN215" s="3" t="n"/>
      <c r="BO215" s="3" t="n"/>
      <c r="BP215" s="3" t="n"/>
      <c r="BQ215" s="3" t="n"/>
      <c r="BR215" s="3" t="n"/>
      <c r="BS215" s="3" t="n"/>
      <c r="BT215" s="3" t="n"/>
      <c r="BU215" s="3" t="n"/>
      <c r="BV215" s="3" t="n"/>
      <c r="BW215" s="3" t="n"/>
      <c r="BX215" s="3" t="n"/>
      <c r="BY215" s="3" t="n"/>
      <c r="BZ215" s="3" t="n"/>
      <c r="CA215" s="3" t="n"/>
      <c r="CB215" s="3" t="n"/>
      <c r="CC215" s="3" t="n"/>
      <c r="CD215" s="3" t="n"/>
      <c r="CE215" s="3" t="n"/>
      <c r="CF215" s="3" t="n"/>
      <c r="CG215" s="3" t="n"/>
      <c r="CH215" s="3" t="n"/>
      <c r="CI215" s="3" t="n"/>
      <c r="CJ215" s="3" t="n"/>
      <c r="CK215" s="3" t="n"/>
      <c r="CL215" s="3" t="n"/>
      <c r="CM215" s="3" t="n"/>
      <c r="CN215" s="3" t="n"/>
      <c r="CO215" s="3" t="n"/>
      <c r="CP215" s="3" t="n"/>
      <c r="CQ215" s="3" t="n"/>
      <c r="CR215" s="3" t="n"/>
      <c r="CS215" s="3" t="n"/>
      <c r="CT215" s="3" t="n"/>
      <c r="CU215" s="3" t="n"/>
      <c r="CV215" s="3" t="n"/>
      <c r="CW215" s="3" t="n"/>
      <c r="CX215" s="3" t="n"/>
      <c r="CY215" s="3" t="n"/>
    </row>
    <row r="216" hidden="1" outlineLevel="1">
      <c r="C216" s="34" t="inlineStr">
        <is>
          <t>Reclassification of LTD to CP of LTD</t>
        </is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>
        <f>-AI214</f>
        <v>0</v>
      </c>
      <c r="AJ216" s="3">
        <f>-AJ214</f>
        <v>0</v>
      </c>
      <c r="AK216" s="3">
        <f>-AK214</f>
        <v>0</v>
      </c>
      <c r="AL216" s="3" t="n"/>
      <c r="AM216" s="3" t="n"/>
      <c r="AN216" s="3">
        <f>-AN214</f>
        <v>0</v>
      </c>
      <c r="AO216" s="3">
        <f>-AO214</f>
        <v>0</v>
      </c>
      <c r="AP216" s="3">
        <f>-AP214</f>
        <v>0</v>
      </c>
      <c r="AQ216" s="3" t="n"/>
      <c r="AR216" s="3" t="n"/>
      <c r="AS216" s="3">
        <f>-AS214</f>
        <v>0</v>
      </c>
      <c r="AT216" s="3">
        <f>-AT214</f>
        <v>0</v>
      </c>
      <c r="AU216" s="3">
        <f>-AU214</f>
        <v>0</v>
      </c>
      <c r="AV216" s="3" t="n"/>
      <c r="AW216" s="3" t="n"/>
      <c r="AX216" s="3">
        <f>-AX214</f>
        <v>0</v>
      </c>
      <c r="AY216" s="3">
        <f>-AY214</f>
        <v>0</v>
      </c>
      <c r="AZ216" s="3">
        <f>-AZ214</f>
        <v>0</v>
      </c>
      <c r="BA216" s="3" t="n"/>
      <c r="BB216" s="3" t="n"/>
      <c r="BC216" s="3">
        <f>-BC214</f>
        <v>0</v>
      </c>
      <c r="BD216" s="3">
        <f>-BD214</f>
        <v>0</v>
      </c>
      <c r="BE216" s="3">
        <f>-BE214</f>
        <v>0</v>
      </c>
      <c r="BF216" s="3" t="n"/>
      <c r="BG216" s="3" t="n"/>
      <c r="BH216" s="3">
        <f>-BH214</f>
        <v>0</v>
      </c>
      <c r="BI216" s="3">
        <f>-BI214</f>
        <v>0</v>
      </c>
      <c r="BJ216" s="3">
        <f>-BJ214</f>
        <v>0</v>
      </c>
      <c r="BK216" s="3" t="n"/>
      <c r="BL216" s="3" t="n"/>
      <c r="BM216" s="3">
        <f>-BM214</f>
        <v>0</v>
      </c>
      <c r="BN216" s="3">
        <f>-BN214</f>
        <v>0</v>
      </c>
      <c r="BO216" s="3">
        <f>-BO214</f>
        <v>0</v>
      </c>
      <c r="BP216" s="3" t="n"/>
      <c r="BQ216" s="3" t="n"/>
      <c r="BR216" s="3">
        <f>-BR214</f>
        <v>0</v>
      </c>
      <c r="BS216" s="3">
        <f>-BS214</f>
        <v>0</v>
      </c>
      <c r="BT216" s="3">
        <f>-BT214</f>
        <v>0</v>
      </c>
      <c r="BU216" s="3" t="n"/>
      <c r="BV216" s="3" t="n"/>
      <c r="BW216" s="3">
        <f>-BW214</f>
        <v>0</v>
      </c>
      <c r="BX216" s="3">
        <f>-BX214</f>
        <v>0</v>
      </c>
      <c r="BY216" s="3">
        <f>-BY214</f>
        <v>0</v>
      </c>
      <c r="BZ216" s="3" t="n"/>
      <c r="CA216" s="3" t="n"/>
      <c r="CB216" s="3">
        <f>-CB214</f>
        <v>0</v>
      </c>
      <c r="CC216" s="3">
        <f>-CC214</f>
        <v>0</v>
      </c>
      <c r="CD216" s="3">
        <f>-CD214</f>
        <v>0</v>
      </c>
      <c r="CE216" s="3" t="n"/>
      <c r="CF216" s="3" t="n"/>
      <c r="CG216" s="3">
        <f>-CG214</f>
        <v>0</v>
      </c>
      <c r="CH216" s="3">
        <f>-CH214</f>
        <v>0</v>
      </c>
      <c r="CI216" s="3">
        <f>-CI214</f>
        <v>0</v>
      </c>
      <c r="CJ216" s="3" t="n"/>
      <c r="CK216" s="3" t="n"/>
      <c r="CL216" s="3">
        <f>-CL214</f>
        <v>0</v>
      </c>
      <c r="CM216" s="3">
        <f>-CM214</f>
        <v>0</v>
      </c>
      <c r="CN216" s="3">
        <f>-CN214</f>
        <v>0</v>
      </c>
      <c r="CO216" s="3" t="n"/>
      <c r="CP216" s="3" t="n"/>
      <c r="CQ216" s="3">
        <f>-CQ214</f>
        <v>0</v>
      </c>
      <c r="CR216" s="3">
        <f>-CR214</f>
        <v>0</v>
      </c>
      <c r="CS216" s="3">
        <f>-CS214</f>
        <v>0</v>
      </c>
      <c r="CT216" s="3" t="n"/>
      <c r="CU216" s="3" t="n"/>
      <c r="CV216" s="3">
        <f>-CV214</f>
        <v>0</v>
      </c>
      <c r="CW216" s="3">
        <f>-CW214</f>
        <v>0</v>
      </c>
      <c r="CX216" s="3">
        <f>-CX214</f>
        <v>0</v>
      </c>
      <c r="CY216" s="3" t="n"/>
    </row>
    <row r="217" hidden="1" outlineLevel="1">
      <c r="C217" s="34" t="inlineStr">
        <is>
          <t>Discretionary (paydown)/borrowing of long term debt</t>
        </is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5" t="n"/>
      <c r="AI217" s="35" t="n"/>
      <c r="AJ217" s="35" t="n"/>
      <c r="AK217" s="35" t="n"/>
      <c r="AL217" s="3" t="n"/>
      <c r="AM217" s="35" t="n"/>
      <c r="AN217" s="35" t="n"/>
      <c r="AO217" s="35" t="n"/>
      <c r="AP217" s="35" t="n"/>
      <c r="AQ217" s="3" t="n"/>
      <c r="AR217" s="35" t="n"/>
      <c r="AS217" s="35" t="n"/>
      <c r="AT217" s="35" t="n"/>
      <c r="AU217" s="35" t="n"/>
      <c r="AV217" s="3" t="n"/>
      <c r="AW217" s="35" t="n"/>
      <c r="AX217" s="35" t="n"/>
      <c r="AY217" s="35" t="n"/>
      <c r="AZ217" s="35" t="n"/>
      <c r="BA217" s="3" t="n"/>
      <c r="BB217" s="35" t="n"/>
      <c r="BC217" s="35" t="n"/>
      <c r="BD217" s="35" t="n"/>
      <c r="BE217" s="35" t="n"/>
      <c r="BF217" s="3" t="n"/>
      <c r="BG217" s="35" t="n"/>
      <c r="BH217" s="35" t="n"/>
      <c r="BI217" s="35" t="n"/>
      <c r="BJ217" s="35" t="n"/>
      <c r="BK217" s="3" t="n"/>
      <c r="BL217" s="35" t="n"/>
      <c r="BM217" s="35" t="n"/>
      <c r="BN217" s="35" t="n"/>
      <c r="BO217" s="35" t="n"/>
      <c r="BP217" s="3" t="n"/>
      <c r="BQ217" s="35" t="n"/>
      <c r="BR217" s="35" t="n"/>
      <c r="BS217" s="35" t="n"/>
      <c r="BT217" s="35" t="n"/>
      <c r="BU217" s="3" t="n"/>
      <c r="BV217" s="35" t="n"/>
      <c r="BW217" s="35" t="n"/>
      <c r="BX217" s="35" t="n"/>
      <c r="BY217" s="35" t="n"/>
      <c r="BZ217" s="3" t="n"/>
      <c r="CA217" s="35" t="n"/>
      <c r="CB217" s="35" t="n"/>
      <c r="CC217" s="35" t="n"/>
      <c r="CD217" s="35" t="n"/>
      <c r="CE217" s="3" t="n"/>
      <c r="CF217" s="35" t="n"/>
      <c r="CG217" s="35" t="n"/>
      <c r="CH217" s="35" t="n"/>
      <c r="CI217" s="35" t="n"/>
      <c r="CJ217" s="3" t="n"/>
      <c r="CK217" s="35" t="n"/>
      <c r="CL217" s="35" t="n"/>
      <c r="CM217" s="35" t="n"/>
      <c r="CN217" s="35" t="n"/>
      <c r="CO217" s="3" t="n"/>
      <c r="CP217" s="35" t="n"/>
      <c r="CQ217" s="35" t="n"/>
      <c r="CR217" s="35" t="n"/>
      <c r="CS217" s="35" t="n"/>
      <c r="CT217" s="3" t="n"/>
      <c r="CU217" s="35" t="n"/>
      <c r="CV217" s="35" t="n"/>
      <c r="CW217" s="35" t="n"/>
      <c r="CX217" s="35" t="n"/>
      <c r="CY217" s="3" t="n"/>
    </row>
    <row r="218" hidden="1" outlineLevel="1">
      <c r="C218" s="34" t="inlineStr">
        <is>
          <t>Long term debt</t>
        </is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>
        <f>AF212+SUM(AH216:AH217)</f>
        <v>40868</v>
      </c>
      <c r="AI218" s="3">
        <f>AH218+SUM(AI216:AI217)</f>
        <v>40868</v>
      </c>
      <c r="AJ218" s="3">
        <f>AI212+SUM(AJ216:AJ217)</f>
        <v>47858</v>
      </c>
      <c r="AK218" s="3">
        <f>AJ218+SUM(AK216:AK217)</f>
        <v>47858</v>
      </c>
      <c r="AL218" s="3" t="n"/>
      <c r="AM218" s="3">
        <f>AK218+SUM(AM216:AM217)</f>
        <v>47858</v>
      </c>
      <c r="AN218" s="3">
        <f>AM218+SUM(AN216:AN217)</f>
        <v>47858</v>
      </c>
      <c r="AO218" s="3">
        <f>AN218+SUM(AO216:AO217)</f>
        <v>47858</v>
      </c>
      <c r="AP218" s="3">
        <f>AO218+SUM(AP216:AP217)</f>
        <v>47858</v>
      </c>
      <c r="AQ218" s="3" t="n"/>
      <c r="AR218" s="3">
        <f>AP218+SUM(AR216:AR217)</f>
        <v>47858</v>
      </c>
      <c r="AS218" s="3">
        <f>AR218+SUM(AS216:AS217)</f>
        <v>47858</v>
      </c>
      <c r="AT218" s="3">
        <f>AS218+SUM(AT216:AT217)</f>
        <v>47858</v>
      </c>
      <c r="AU218" s="3">
        <f>AT218+SUM(AU216:AU217)</f>
        <v>47858</v>
      </c>
      <c r="AV218" s="3" t="n"/>
      <c r="AW218" s="3">
        <f>AU218+SUM(AW216:AW217)</f>
        <v>47858</v>
      </c>
      <c r="AX218" s="3">
        <f>AW218+SUM(AX216:AX217)</f>
        <v>47858</v>
      </c>
      <c r="AY218" s="3">
        <f>AX218+SUM(AY216:AY217)</f>
        <v>47858</v>
      </c>
      <c r="AZ218" s="3">
        <f>AY218+SUM(AZ216:AZ217)</f>
        <v>47858</v>
      </c>
      <c r="BA218" s="3" t="n"/>
      <c r="BB218" s="3">
        <f>AZ218+SUM(BB216:BB217)</f>
        <v>47858</v>
      </c>
      <c r="BC218" s="3">
        <f>BB218+SUM(BC216:BC217)</f>
        <v>47858</v>
      </c>
      <c r="BD218" s="3">
        <f>BC218+SUM(BD216:BD217)</f>
        <v>47858</v>
      </c>
      <c r="BE218" s="3">
        <f>BD218+SUM(BE216:BE217)</f>
        <v>47858</v>
      </c>
      <c r="BF218" s="3" t="n"/>
      <c r="BG218" s="3">
        <f>BE218+SUM(BG216:BG217)</f>
        <v>47858</v>
      </c>
      <c r="BH218" s="3">
        <f>BG218+SUM(BH216:BH217)</f>
        <v>47858</v>
      </c>
      <c r="BI218" s="3">
        <f>BH218+SUM(BI216:BI217)</f>
        <v>47858</v>
      </c>
      <c r="BJ218" s="3">
        <f>BI218+SUM(BJ216:BJ217)</f>
        <v>47858</v>
      </c>
      <c r="BK218" s="3" t="n"/>
      <c r="BL218" s="3">
        <f>BJ218+SUM(BL216:BL217)</f>
        <v>47858</v>
      </c>
      <c r="BM218" s="3">
        <f>BL218+SUM(BM216:BM217)</f>
        <v>47858</v>
      </c>
      <c r="BN218" s="3">
        <f>BM218+SUM(BN216:BN217)</f>
        <v>47858</v>
      </c>
      <c r="BO218" s="3">
        <f>BN218+SUM(BO216:BO217)</f>
        <v>47858</v>
      </c>
      <c r="BP218" s="3" t="n"/>
      <c r="BQ218" s="3">
        <f>BO218+SUM(BQ216:BQ217)</f>
        <v>47858</v>
      </c>
      <c r="BR218" s="3">
        <f>BQ218+SUM(BR216:BR217)</f>
        <v>47858</v>
      </c>
      <c r="BS218" s="3">
        <f>BR218+SUM(BS216:BS217)</f>
        <v>47858</v>
      </c>
      <c r="BT218" s="3">
        <f>BS218+SUM(BT216:BT217)</f>
        <v>47858</v>
      </c>
      <c r="BU218" s="3" t="n"/>
      <c r="BV218" s="3">
        <f>BT218+SUM(BV216:BV217)</f>
        <v>47858</v>
      </c>
      <c r="BW218" s="3">
        <f>BV218+SUM(BW216:BW217)</f>
        <v>47858</v>
      </c>
      <c r="BX218" s="3">
        <f>BW218+SUM(BX216:BX217)</f>
        <v>47858</v>
      </c>
      <c r="BY218" s="3">
        <f>BX218+SUM(BY216:BY217)</f>
        <v>47858</v>
      </c>
      <c r="BZ218" s="3" t="n"/>
      <c r="CA218" s="3">
        <f>BY218+SUM(CA216:CA217)</f>
        <v>47858</v>
      </c>
      <c r="CB218" s="3">
        <f>CA218+SUM(CB216:CB217)</f>
        <v>47858</v>
      </c>
      <c r="CC218" s="3">
        <f>CB218+SUM(CC216:CC217)</f>
        <v>47858</v>
      </c>
      <c r="CD218" s="3">
        <f>CC218+SUM(CD216:CD217)</f>
        <v>47858</v>
      </c>
      <c r="CE218" s="3" t="n"/>
      <c r="CF218" s="3">
        <f>CD218+SUM(CF216:CF217)</f>
        <v>47858</v>
      </c>
      <c r="CG218" s="3">
        <f>CF218+SUM(CG216:CG217)</f>
        <v>47858</v>
      </c>
      <c r="CH218" s="3">
        <f>CG218+SUM(CH216:CH217)</f>
        <v>47858</v>
      </c>
      <c r="CI218" s="3">
        <f>CH218+SUM(CI216:CI217)</f>
        <v>47858</v>
      </c>
      <c r="CJ218" s="3" t="n"/>
      <c r="CK218" s="3">
        <f>CI218+SUM(CK216:CK217)</f>
        <v>47858</v>
      </c>
      <c r="CL218" s="3">
        <f>CK218+SUM(CL216:CL217)</f>
        <v>47858</v>
      </c>
      <c r="CM218" s="3">
        <f>CL218+SUM(CM216:CM217)</f>
        <v>47858</v>
      </c>
      <c r="CN218" s="3">
        <f>CM218+SUM(CN216:CN217)</f>
        <v>47858</v>
      </c>
      <c r="CO218" s="3" t="n"/>
      <c r="CP218" s="3">
        <f>CN218+SUM(CP216:CP217)</f>
        <v>47858</v>
      </c>
      <c r="CQ218" s="3">
        <f>CP218+SUM(CQ216:CQ217)</f>
        <v>47858</v>
      </c>
      <c r="CR218" s="3">
        <f>CQ218+SUM(CR216:CR217)</f>
        <v>47858</v>
      </c>
      <c r="CS218" s="3">
        <f>CR218+SUM(CS216:CS217)</f>
        <v>47858</v>
      </c>
      <c r="CT218" s="3" t="n"/>
      <c r="CU218" s="3">
        <f>CS218+SUM(CU216:CU217)</f>
        <v>47858</v>
      </c>
      <c r="CV218" s="3">
        <f>CU218+SUM(CV216:CV217)</f>
        <v>47858</v>
      </c>
      <c r="CW218" s="3">
        <f>CV218+SUM(CW216:CW217)</f>
        <v>47858</v>
      </c>
      <c r="CX218" s="3">
        <f>CW218+SUM(CX216:CX217)</f>
        <v>47858</v>
      </c>
      <c r="CY218" s="3" t="n"/>
      <c r="CZ218">
        <f>CX218+SUM(CZ216:CZ217)</f>
        <v>47858</v>
      </c>
      <c r="DA218">
        <f>CZ218+SUM(DA216:DA217)</f>
        <v>47858</v>
      </c>
      <c r="DB218">
        <f>DA218+SUM(DB216:DB217)</f>
        <v>47858</v>
      </c>
      <c r="DC218">
        <f>DB218+SUM(DC216:DC217)</f>
        <v>47858</v>
      </c>
    </row>
    <row r="219" hidden="1" outlineLevel="1">
      <c r="C219" s="34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  <c r="AY219" s="3" t="n"/>
      <c r="AZ219" s="3" t="n"/>
      <c r="BA219" s="3" t="n"/>
      <c r="BB219" s="3" t="n"/>
      <c r="BC219" s="3" t="n"/>
      <c r="BD219" s="3" t="n"/>
      <c r="BE219" s="3" t="n"/>
      <c r="BF219" s="3" t="n"/>
      <c r="BG219" s="3" t="n"/>
      <c r="BH219" s="3" t="n"/>
      <c r="BI219" s="3" t="n"/>
      <c r="BJ219" s="3" t="n"/>
      <c r="BK219" s="3" t="n"/>
      <c r="BL219" s="3" t="n"/>
      <c r="BM219" s="3" t="n"/>
      <c r="BN219" s="3" t="n"/>
      <c r="BO219" s="3" t="n"/>
      <c r="BP219" s="3" t="n"/>
      <c r="BQ219" s="3" t="n"/>
      <c r="BR219" s="3" t="n"/>
      <c r="BS219" s="3" t="n"/>
      <c r="BT219" s="3" t="n"/>
      <c r="BU219" s="3" t="n"/>
      <c r="BV219" s="3" t="n"/>
      <c r="BW219" s="3" t="n"/>
      <c r="BX219" s="3" t="n"/>
      <c r="BY219" s="3" t="n"/>
      <c r="BZ219" s="3" t="n"/>
      <c r="CA219" s="3" t="n"/>
      <c r="CB219" s="3" t="n"/>
      <c r="CC219" s="3" t="n"/>
      <c r="CD219" s="3" t="n"/>
      <c r="CE219" s="3" t="n"/>
      <c r="CF219" s="3" t="n"/>
      <c r="CG219" s="3" t="n"/>
      <c r="CH219" s="3" t="n"/>
      <c r="CI219" s="3" t="n"/>
      <c r="CJ219" s="3" t="n"/>
      <c r="CK219" s="3" t="n"/>
      <c r="CL219" s="3" t="n"/>
      <c r="CM219" s="3" t="n"/>
      <c r="CN219" s="3" t="n"/>
      <c r="CO219" s="3" t="n"/>
      <c r="CP219" s="3" t="n"/>
      <c r="CQ219" s="3" t="n"/>
      <c r="CR219" s="3" t="n"/>
      <c r="CS219" s="3" t="n"/>
      <c r="CT219" s="3" t="n"/>
      <c r="CU219" s="3" t="n"/>
      <c r="CV219" s="3" t="n"/>
      <c r="CW219" s="3" t="n"/>
      <c r="CX219" s="3" t="n"/>
      <c r="CY219" s="3" t="n"/>
    </row>
    <row r="220" hidden="1" outlineLevel="1">
      <c r="C220" s="34" t="inlineStr">
        <is>
          <t>Discretionary (paydown)/borrowing of convertible debt</t>
        </is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5" t="n"/>
      <c r="AI220" s="35" t="n"/>
      <c r="AJ220" s="35" t="n"/>
      <c r="AK220" s="35" t="n"/>
      <c r="AL220" s="3" t="n"/>
      <c r="AM220" s="35" t="n"/>
      <c r="AN220" s="35" t="n"/>
      <c r="AO220" s="35" t="n"/>
      <c r="AP220" s="35" t="n"/>
      <c r="AQ220" s="3" t="n"/>
      <c r="AR220" s="35" t="n"/>
      <c r="AS220" s="35" t="n"/>
      <c r="AT220" s="35" t="n"/>
      <c r="AU220" s="35" t="n"/>
      <c r="AV220" s="3" t="n"/>
      <c r="AW220" s="35" t="n"/>
      <c r="AX220" s="35" t="n"/>
      <c r="AY220" s="35" t="n"/>
      <c r="AZ220" s="35" t="n"/>
      <c r="BA220" s="3" t="n"/>
      <c r="BB220" s="35" t="n"/>
      <c r="BC220" s="35" t="n"/>
      <c r="BD220" s="35" t="n"/>
      <c r="BE220" s="35" t="n"/>
      <c r="BF220" s="3" t="n"/>
      <c r="BG220" s="35" t="n"/>
      <c r="BH220" s="35" t="n"/>
      <c r="BI220" s="35" t="n"/>
      <c r="BJ220" s="35" t="n"/>
      <c r="BK220" s="3" t="n"/>
      <c r="BL220" s="35" t="n"/>
      <c r="BM220" s="35" t="n"/>
      <c r="BN220" s="35" t="n"/>
      <c r="BO220" s="35" t="n"/>
      <c r="BP220" s="3" t="n"/>
      <c r="BQ220" s="35" t="n"/>
      <c r="BR220" s="35" t="n"/>
      <c r="BS220" s="35" t="n"/>
      <c r="BT220" s="35" t="n"/>
      <c r="BU220" s="3" t="n"/>
      <c r="BV220" s="35" t="n"/>
      <c r="BW220" s="35" t="n"/>
      <c r="BX220" s="35" t="n"/>
      <c r="BY220" s="35" t="n"/>
      <c r="BZ220" s="3" t="n"/>
      <c r="CA220" s="35" t="n"/>
      <c r="CB220" s="35" t="n"/>
      <c r="CC220" s="35" t="n"/>
      <c r="CD220" s="35" t="n"/>
      <c r="CE220" s="3" t="n"/>
      <c r="CF220" s="35" t="n"/>
      <c r="CG220" s="35" t="n"/>
      <c r="CH220" s="35" t="n"/>
      <c r="CI220" s="35" t="n"/>
      <c r="CJ220" s="3" t="n"/>
      <c r="CK220" s="35" t="n"/>
      <c r="CL220" s="35" t="n"/>
      <c r="CM220" s="35" t="n"/>
      <c r="CN220" s="35" t="n"/>
      <c r="CO220" s="3" t="n"/>
      <c r="CP220" s="35" t="n"/>
      <c r="CQ220" s="35" t="n"/>
      <c r="CR220" s="35" t="n"/>
      <c r="CS220" s="35" t="n"/>
      <c r="CT220" s="3" t="n"/>
      <c r="CU220" s="35" t="n"/>
      <c r="CV220" s="35" t="n"/>
      <c r="CW220" s="35" t="n"/>
      <c r="CX220" s="35" t="n"/>
      <c r="CY220" s="3" t="n"/>
    </row>
    <row r="221" hidden="1" outlineLevel="1">
      <c r="C221" s="34" t="inlineStr">
        <is>
          <t>Convertible debt</t>
        </is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>
        <f>AH233</f>
        <v>0</v>
      </c>
      <c r="AI221" s="3">
        <f>AH221+SUM(AI220)</f>
        <v>0</v>
      </c>
      <c r="AJ221" s="3">
        <f>AI221+SUM(AJ220)</f>
        <v>0</v>
      </c>
      <c r="AK221" s="3">
        <f>AJ221+SUM(AK220)</f>
        <v>0</v>
      </c>
      <c r="AL221" s="3" t="n"/>
      <c r="AM221" s="3">
        <f>AM233</f>
        <v>0</v>
      </c>
      <c r="AN221" s="3">
        <f>AM221+SUM(AN220)</f>
        <v>0</v>
      </c>
      <c r="AO221" s="3">
        <f>AN221+SUM(AO220)</f>
        <v>0</v>
      </c>
      <c r="AP221" s="3">
        <f>AO221+SUM(AP220)</f>
        <v>0</v>
      </c>
      <c r="AQ221" s="3" t="n"/>
      <c r="AR221" s="3">
        <f>AR233</f>
        <v>0</v>
      </c>
      <c r="AS221" s="3">
        <f>AR221+SUM(AS220)</f>
        <v>0</v>
      </c>
      <c r="AT221" s="3">
        <f>AS221+SUM(AT220)</f>
        <v>0</v>
      </c>
      <c r="AU221" s="3">
        <f>AT221+SUM(AU220)</f>
        <v>0</v>
      </c>
      <c r="AV221" s="3" t="n"/>
      <c r="AW221" s="3">
        <f>AW233</f>
        <v>0</v>
      </c>
      <c r="AX221" s="3">
        <f>AW221+SUM(AX220)</f>
        <v>0</v>
      </c>
      <c r="AY221" s="3">
        <f>AX221+SUM(AY220)</f>
        <v>0</v>
      </c>
      <c r="AZ221" s="3">
        <f>AY221+SUM(AZ220)</f>
        <v>0</v>
      </c>
      <c r="BA221" s="3" t="n"/>
      <c r="BB221" s="3">
        <f>BB233</f>
        <v>0</v>
      </c>
      <c r="BC221" s="3">
        <f>BB221+SUM(BC220)</f>
        <v>0</v>
      </c>
      <c r="BD221" s="3">
        <f>BC221+SUM(BD220)</f>
        <v>0</v>
      </c>
      <c r="BE221" s="3">
        <f>BD221+SUM(BE220)</f>
        <v>0</v>
      </c>
      <c r="BF221" s="3" t="n"/>
      <c r="BG221" s="3">
        <f>BG233</f>
        <v>0</v>
      </c>
      <c r="BH221" s="3">
        <f>BG221+SUM(BH220)</f>
        <v>0</v>
      </c>
      <c r="BI221" s="3">
        <f>BH221+SUM(BI220)</f>
        <v>0</v>
      </c>
      <c r="BJ221" s="3">
        <f>BI221+SUM(BJ220)</f>
        <v>0</v>
      </c>
      <c r="BK221" s="3" t="n"/>
      <c r="BL221" s="3">
        <f>BL233</f>
        <v>0</v>
      </c>
      <c r="BM221" s="3">
        <f>BL221+SUM(BM220)</f>
        <v>0</v>
      </c>
      <c r="BN221" s="3">
        <f>BM221+SUM(BN220)</f>
        <v>0</v>
      </c>
      <c r="BO221" s="3">
        <f>BN221+SUM(BO220)</f>
        <v>0</v>
      </c>
      <c r="BP221" s="3" t="n"/>
      <c r="BQ221" s="3">
        <f>BQ233</f>
        <v>0</v>
      </c>
      <c r="BR221" s="3">
        <f>BQ221+SUM(BR220)</f>
        <v>0</v>
      </c>
      <c r="BS221" s="3">
        <f>BR221+SUM(BS220)</f>
        <v>0</v>
      </c>
      <c r="BT221" s="3">
        <f>BS221+SUM(BT220)</f>
        <v>0</v>
      </c>
      <c r="BU221" s="3" t="n"/>
      <c r="BV221" s="3">
        <f>BV233</f>
        <v>0</v>
      </c>
      <c r="BW221" s="3">
        <f>BV221+SUM(BW220)</f>
        <v>0</v>
      </c>
      <c r="BX221" s="3">
        <f>BW221+SUM(BX220)</f>
        <v>0</v>
      </c>
      <c r="BY221" s="3">
        <f>BX221+SUM(BY220)</f>
        <v>0</v>
      </c>
      <c r="BZ221" s="3" t="n"/>
      <c r="CA221" s="3">
        <f>CA233</f>
        <v>0</v>
      </c>
      <c r="CB221" s="3">
        <f>CA221+SUM(CB220)</f>
        <v>0</v>
      </c>
      <c r="CC221" s="3">
        <f>CB221+SUM(CC220)</f>
        <v>0</v>
      </c>
      <c r="CD221" s="3">
        <f>CC221+SUM(CD220)</f>
        <v>0</v>
      </c>
      <c r="CE221" s="3" t="n"/>
      <c r="CF221" s="3">
        <f>CF233</f>
        <v>0</v>
      </c>
      <c r="CG221" s="3">
        <f>CF221+SUM(CG220)</f>
        <v>0</v>
      </c>
      <c r="CH221" s="3">
        <f>CG221+SUM(CH220)</f>
        <v>0</v>
      </c>
      <c r="CI221" s="3">
        <f>CH221+SUM(CI220)</f>
        <v>0</v>
      </c>
      <c r="CJ221" s="3" t="n"/>
      <c r="CK221" s="3">
        <f>CK233</f>
        <v>0</v>
      </c>
      <c r="CL221" s="3">
        <f>CK221+SUM(CL220)</f>
        <v>0</v>
      </c>
      <c r="CM221" s="3">
        <f>CL221+SUM(CM220)</f>
        <v>0</v>
      </c>
      <c r="CN221" s="3">
        <f>CM221+SUM(CN220)</f>
        <v>0</v>
      </c>
      <c r="CO221" s="3" t="n"/>
      <c r="CP221" s="3">
        <f>CP233</f>
        <v>0</v>
      </c>
      <c r="CQ221" s="3">
        <f>CP221+SUM(CQ220)</f>
        <v>0</v>
      </c>
      <c r="CR221" s="3">
        <f>CQ221+SUM(CR220)</f>
        <v>0</v>
      </c>
      <c r="CS221" s="3">
        <f>CR221+SUM(CS220)</f>
        <v>0</v>
      </c>
      <c r="CT221" s="3" t="n"/>
      <c r="CU221" s="3">
        <f>CU233</f>
        <v>0</v>
      </c>
      <c r="CV221" s="3">
        <f>CU221+SUM(CV220)</f>
        <v>0</v>
      </c>
      <c r="CW221" s="3">
        <f>CV221+SUM(CW220)</f>
        <v>0</v>
      </c>
      <c r="CX221" s="3">
        <f>CW221+SUM(CX220)</f>
        <v>0</v>
      </c>
      <c r="CY221" s="3" t="n"/>
    </row>
    <row r="222" hidden="1" outlineLevel="1">
      <c r="C222" s="34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I222" s="3" t="n"/>
      <c r="AJ222" s="3" t="n"/>
      <c r="AK222" s="3" t="n"/>
      <c r="AL222" s="3" t="n"/>
      <c r="AN222" s="3" t="n"/>
      <c r="AO222" s="3" t="n"/>
      <c r="AP222" s="3" t="n"/>
      <c r="AQ222" s="3" t="n"/>
      <c r="AS222" s="3" t="n"/>
      <c r="AT222" s="3" t="n"/>
      <c r="AU222" s="3" t="n"/>
      <c r="AV222" s="3" t="n"/>
      <c r="AX222" s="3" t="n"/>
      <c r="AY222" s="3" t="n"/>
      <c r="AZ222" s="3" t="n"/>
      <c r="BA222" s="3" t="n"/>
      <c r="BC222" s="3" t="n"/>
      <c r="BD222" s="3" t="n"/>
      <c r="BE222" s="3" t="n"/>
      <c r="BF222" s="3" t="n"/>
      <c r="BH222" s="3" t="n"/>
      <c r="BI222" s="3" t="n"/>
      <c r="BJ222" s="3" t="n"/>
      <c r="BK222" s="3" t="n"/>
      <c r="BM222" s="3" t="n"/>
      <c r="BN222" s="3" t="n"/>
      <c r="BO222" s="3" t="n"/>
      <c r="BP222" s="3" t="n"/>
      <c r="BR222" s="3" t="n"/>
      <c r="BS222" s="3" t="n"/>
      <c r="BT222" s="3" t="n"/>
      <c r="BU222" s="3" t="n"/>
      <c r="BW222" s="3" t="n"/>
      <c r="BX222" s="3" t="n"/>
      <c r="BY222" s="3" t="n"/>
      <c r="BZ222" s="3" t="n"/>
      <c r="CB222" s="3" t="n"/>
      <c r="CC222" s="3" t="n"/>
      <c r="CD222" s="3" t="n"/>
      <c r="CE222" s="3" t="n"/>
      <c r="CG222" s="3" t="n"/>
      <c r="CH222" s="3" t="n"/>
      <c r="CI222" s="3" t="n"/>
      <c r="CJ222" s="3" t="n"/>
      <c r="CL222" s="3" t="n"/>
      <c r="CM222" s="3" t="n"/>
      <c r="CN222" s="3" t="n"/>
      <c r="CO222" s="3" t="n"/>
      <c r="CQ222" s="3" t="n"/>
      <c r="CR222" s="3" t="n"/>
      <c r="CS222" s="3" t="n"/>
      <c r="CT222" s="3" t="n"/>
      <c r="CV222" s="3" t="n"/>
      <c r="CW222" s="3" t="n"/>
      <c r="CX222" s="3" t="n"/>
      <c r="CY222" s="3" t="n"/>
    </row>
    <row r="223" hidden="1" outlineLevel="1">
      <c r="C223" s="34" t="inlineStr">
        <is>
          <t>Calculation of short term debt</t>
        </is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  <c r="AY223" s="3" t="n"/>
      <c r="AZ223" s="3" t="n"/>
      <c r="BA223" s="3" t="n"/>
      <c r="BB223" s="3" t="n"/>
      <c r="BC223" s="3" t="n"/>
      <c r="BD223" s="3" t="n"/>
      <c r="BE223" s="3" t="n"/>
      <c r="BF223" s="3" t="n"/>
      <c r="BG223" s="3" t="n"/>
      <c r="BH223" s="3" t="n"/>
      <c r="BI223" s="3" t="n"/>
      <c r="BJ223" s="3" t="n"/>
      <c r="BK223" s="3" t="n"/>
      <c r="BL223" s="3" t="n"/>
      <c r="BM223" s="3" t="n"/>
      <c r="BN223" s="3" t="n"/>
      <c r="BO223" s="3" t="n"/>
      <c r="BP223" s="3" t="n"/>
      <c r="BQ223" s="3" t="n"/>
      <c r="BR223" s="3" t="n"/>
      <c r="BS223" s="3" t="n"/>
      <c r="BT223" s="3" t="n"/>
      <c r="BU223" s="3" t="n"/>
      <c r="BV223" s="3" t="n"/>
      <c r="BW223" s="3" t="n"/>
      <c r="BX223" s="3" t="n"/>
      <c r="BY223" s="3" t="n"/>
      <c r="BZ223" s="3" t="n"/>
      <c r="CA223" s="3" t="n"/>
      <c r="CB223" s="3" t="n"/>
      <c r="CC223" s="3" t="n"/>
      <c r="CD223" s="3" t="n"/>
      <c r="CE223" s="3" t="n"/>
      <c r="CF223" s="3" t="n"/>
      <c r="CG223" s="3" t="n"/>
      <c r="CH223" s="3" t="n"/>
      <c r="CI223" s="3" t="n"/>
      <c r="CJ223" s="3" t="n"/>
      <c r="CK223" s="3" t="n"/>
      <c r="CL223" s="3" t="n"/>
      <c r="CM223" s="3" t="n"/>
      <c r="CN223" s="3" t="n"/>
      <c r="CO223" s="3" t="n"/>
      <c r="CP223" s="3" t="n"/>
      <c r="CQ223" s="3" t="n"/>
      <c r="CR223" s="3" t="n"/>
      <c r="CS223" s="3" t="n"/>
      <c r="CT223" s="3" t="n"/>
      <c r="CU223" s="3" t="n"/>
      <c r="CV223" s="3" t="n"/>
      <c r="CW223" s="3" t="n"/>
      <c r="CX223" s="3" t="n"/>
      <c r="CY223" s="3" t="n"/>
    </row>
    <row r="224" hidden="1" outlineLevel="1">
      <c r="C224" s="34" t="inlineStr">
        <is>
          <t>Cash @ beginning of the period (end of last period)</t>
        </is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6">
        <f>AG139</f>
        <v>7268</v>
      </c>
      <c r="AI224" s="3" t="n"/>
      <c r="AJ224" s="3" t="n"/>
      <c r="AK224" s="3" t="n"/>
      <c r="AL224" s="3" t="n"/>
      <c r="AM224" s="36">
        <f>AL139</f>
        <v>74123</v>
      </c>
      <c r="AN224" s="3" t="n"/>
      <c r="AO224" s="3" t="n"/>
      <c r="AP224" s="3" t="n"/>
      <c r="AQ224" s="3" t="n"/>
      <c r="AR224" s="36" t="e">
        <f>AQ139</f>
        <v>#DIV/0!</v>
      </c>
      <c r="AS224" s="3" t="n"/>
      <c r="AT224" s="3" t="n"/>
      <c r="AU224" s="3" t="n"/>
      <c r="AV224" s="3" t="n"/>
      <c r="AW224" s="36" t="e">
        <f>AV139</f>
        <v>#DIV/0!</v>
      </c>
      <c r="AX224" s="3" t="n"/>
      <c r="AY224" s="3" t="n"/>
      <c r="AZ224" s="3" t="n"/>
      <c r="BA224" s="3" t="n"/>
      <c r="BB224" s="36" t="e">
        <f>BA139</f>
        <v>#DIV/0!</v>
      </c>
      <c r="BC224" s="3" t="n"/>
      <c r="BD224" s="3" t="n"/>
      <c r="BE224" s="3" t="n"/>
      <c r="BF224" s="3" t="n"/>
      <c r="BG224" s="36" t="e">
        <f>BF139</f>
        <v>#DIV/0!</v>
      </c>
      <c r="BH224" s="3" t="n"/>
      <c r="BI224" s="3" t="n"/>
      <c r="BJ224" s="3" t="n"/>
      <c r="BK224" s="3" t="n"/>
      <c r="BL224" s="36" t="e">
        <f>BK139</f>
        <v>#DIV/0!</v>
      </c>
      <c r="BM224" s="3" t="n"/>
      <c r="BN224" s="3" t="n"/>
      <c r="BO224" s="3" t="n"/>
      <c r="BP224" s="3" t="n"/>
      <c r="BQ224" s="36" t="e">
        <f>BP139</f>
        <v>#DIV/0!</v>
      </c>
      <c r="BR224" s="3" t="n"/>
      <c r="BS224" s="3" t="n"/>
      <c r="BT224" s="3" t="n"/>
      <c r="BU224" s="3" t="n"/>
      <c r="BV224" s="36" t="e">
        <f>BU139</f>
        <v>#DIV/0!</v>
      </c>
      <c r="BW224" s="3" t="n"/>
      <c r="BX224" s="3" t="n"/>
      <c r="BY224" s="3" t="n"/>
      <c r="BZ224" s="3" t="n"/>
      <c r="CA224" s="36" t="e">
        <f>BZ139</f>
        <v>#DIV/0!</v>
      </c>
      <c r="CB224" s="3" t="n"/>
      <c r="CC224" s="3" t="n"/>
      <c r="CD224" s="3" t="n"/>
      <c r="CE224" s="3" t="n"/>
      <c r="CF224" s="36" t="e">
        <f>CE139</f>
        <v>#DIV/0!</v>
      </c>
      <c r="CG224" s="3" t="n"/>
      <c r="CH224" s="3" t="n"/>
      <c r="CI224" s="3" t="n"/>
      <c r="CJ224" s="3" t="n"/>
      <c r="CK224" s="36" t="e">
        <f>CJ139</f>
        <v>#DIV/0!</v>
      </c>
      <c r="CL224" s="3" t="n"/>
      <c r="CM224" s="3" t="n"/>
      <c r="CN224" s="3" t="n"/>
      <c r="CO224" s="3" t="n"/>
      <c r="CP224" s="36" t="e">
        <f>CO139</f>
        <v>#DIV/0!</v>
      </c>
      <c r="CQ224" s="3" t="n"/>
      <c r="CR224" s="3" t="n"/>
      <c r="CS224" s="3" t="n"/>
      <c r="CT224" s="3" t="n"/>
      <c r="CU224" s="36" t="e">
        <f>CT139</f>
        <v>#DIV/0!</v>
      </c>
      <c r="CV224" s="3" t="n"/>
      <c r="CW224" s="3" t="n"/>
      <c r="CX224" s="3" t="n"/>
      <c r="CY224" s="3" t="n"/>
    </row>
    <row r="225" hidden="1" outlineLevel="1">
      <c r="C225" s="34" t="inlineStr">
        <is>
          <t>Plus: Free cash flows prior to debt during period</t>
        </is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inlineStr">
        <is>
          <t>% of sales</t>
        </is>
      </c>
      <c r="AH225" s="37">
        <f>SUM(AH288,AH295)+SUM(AH297:AH303)</f>
        <v>-2853</v>
      </c>
      <c r="AI225" s="37">
        <f>SUM(AI288,AI295)+SUM(AI297:AI303)</f>
        <v>-7870</v>
      </c>
      <c r="AJ225" s="37">
        <f>SUM(AJ288,AJ295)+SUM(AJ297:AJ303)</f>
        <v>55926</v>
      </c>
      <c r="AK225" s="37">
        <f>SUM(AK288,AK295)+SUM(AK297:AK303)</f>
        <v>9247</v>
      </c>
      <c r="AL225" s="3" t="n"/>
      <c r="AM225" s="37" t="e">
        <f>SUM(AM288,AM295)+SUM(AM297:AM303)</f>
        <v>#DIV/0!</v>
      </c>
      <c r="AN225" s="37" t="e">
        <f>SUM(AN288,AN295)+SUM(AN297:AN303)</f>
        <v>#DIV/0!</v>
      </c>
      <c r="AO225" s="37" t="e">
        <f>SUM(AO288,AO295)+SUM(AO297:AO303)</f>
        <v>#DIV/0!</v>
      </c>
      <c r="AP225" s="37" t="e">
        <f>SUM(AP288,AP295)+SUM(AP297:AP303)</f>
        <v>#DIV/0!</v>
      </c>
      <c r="AQ225" s="3" t="n"/>
      <c r="AR225" s="37" t="e">
        <f>SUM(AR288,AR295)+SUM(AR297:AR303)</f>
        <v>#DIV/0!</v>
      </c>
      <c r="AS225" s="37" t="e">
        <f>SUM(AS288,AS295)+SUM(AS297:AS303)</f>
        <v>#DIV/0!</v>
      </c>
      <c r="AT225" s="37" t="e">
        <f>SUM(AT288,AT295)+SUM(AT297:AT303)</f>
        <v>#DIV/0!</v>
      </c>
      <c r="AU225" s="37" t="e">
        <f>SUM(AU288,AU295)+SUM(AU297:AU303)</f>
        <v>#DIV/0!</v>
      </c>
      <c r="AV225" s="3" t="n"/>
      <c r="AW225" s="37" t="e">
        <f>SUM(AW288,AW295)+SUM(AW297:AW303)</f>
        <v>#DIV/0!</v>
      </c>
      <c r="AX225" s="37" t="e">
        <f>SUM(AX288,AX295)+SUM(AX297:AX303)</f>
        <v>#DIV/0!</v>
      </c>
      <c r="AY225" s="37" t="e">
        <f>SUM(AY288,AY295)+SUM(AY297:AY303)</f>
        <v>#DIV/0!</v>
      </c>
      <c r="AZ225" s="37" t="e">
        <f>SUM(AZ288,AZ295)+SUM(AZ297:AZ303)</f>
        <v>#DIV/0!</v>
      </c>
      <c r="BA225" s="3" t="n"/>
      <c r="BB225" s="37" t="e">
        <f>SUM(BB288,BB295)+SUM(BB297:BB303)</f>
        <v>#DIV/0!</v>
      </c>
      <c r="BC225" s="37" t="e">
        <f>SUM(BC288,BC295)+SUM(BC297:BC303)</f>
        <v>#DIV/0!</v>
      </c>
      <c r="BD225" s="37" t="e">
        <f>SUM(BD288,BD295)+SUM(BD297:BD303)</f>
        <v>#DIV/0!</v>
      </c>
      <c r="BE225" s="37" t="e">
        <f>SUM(BE288,BE295)+SUM(BE297:BE303)</f>
        <v>#DIV/0!</v>
      </c>
      <c r="BF225" s="3" t="n"/>
      <c r="BG225" s="37" t="e">
        <f>SUM(BG288,BG295)+SUM(BG297:BG303)</f>
        <v>#DIV/0!</v>
      </c>
      <c r="BH225" s="37" t="e">
        <f>SUM(BH288,BH295)+SUM(BH297:BH303)</f>
        <v>#DIV/0!</v>
      </c>
      <c r="BI225" s="37" t="e">
        <f>SUM(BI288,BI295)+SUM(BI297:BI303)</f>
        <v>#DIV/0!</v>
      </c>
      <c r="BJ225" s="37" t="e">
        <f>SUM(BJ288,BJ295)+SUM(BJ297:BJ303)</f>
        <v>#DIV/0!</v>
      </c>
      <c r="BK225" s="3" t="n"/>
      <c r="BL225" s="37" t="e">
        <f>SUM(BL288,BL295)+SUM(BL297:BL303)</f>
        <v>#DIV/0!</v>
      </c>
      <c r="BM225" s="37" t="e">
        <f>SUM(BM288,BM295)+SUM(BM297:BM303)</f>
        <v>#DIV/0!</v>
      </c>
      <c r="BN225" s="37" t="e">
        <f>SUM(BN288,BN295)+SUM(BN297:BN303)</f>
        <v>#DIV/0!</v>
      </c>
      <c r="BO225" s="37" t="e">
        <f>SUM(BO288,BO295)+SUM(BO297:BO303)</f>
        <v>#DIV/0!</v>
      </c>
      <c r="BP225" s="3" t="n"/>
      <c r="BQ225" s="37" t="e">
        <f>SUM(BQ288,BQ295)+SUM(BQ297:BQ303)</f>
        <v>#DIV/0!</v>
      </c>
      <c r="BR225" s="37" t="e">
        <f>SUM(BR288,BR295)+SUM(BR297:BR303)</f>
        <v>#DIV/0!</v>
      </c>
      <c r="BS225" s="37" t="e">
        <f>SUM(BS288,BS295)+SUM(BS297:BS303)</f>
        <v>#DIV/0!</v>
      </c>
      <c r="BT225" s="37" t="e">
        <f>SUM(BT288,BT295)+SUM(BT297:BT303)</f>
        <v>#DIV/0!</v>
      </c>
      <c r="BU225" s="3" t="n"/>
      <c r="BV225" s="37" t="e">
        <f>SUM(BV288,BV295)+SUM(BV297:BV303)</f>
        <v>#DIV/0!</v>
      </c>
      <c r="BW225" s="37" t="e">
        <f>SUM(BW288,BW295)+SUM(BW297:BW303)</f>
        <v>#DIV/0!</v>
      </c>
      <c r="BX225" s="37" t="e">
        <f>SUM(BX288,BX295)+SUM(BX297:BX303)</f>
        <v>#DIV/0!</v>
      </c>
      <c r="BY225" s="37" t="e">
        <f>SUM(BY288,BY295)+SUM(BY297:BY303)</f>
        <v>#DIV/0!</v>
      </c>
      <c r="BZ225" s="3" t="n"/>
      <c r="CA225" s="37" t="e">
        <f>SUM(CA288,CA295)+SUM(CA297:CA303)</f>
        <v>#DIV/0!</v>
      </c>
      <c r="CB225" s="37" t="e">
        <f>SUM(CB288,CB295)+SUM(CB297:CB303)</f>
        <v>#DIV/0!</v>
      </c>
      <c r="CC225" s="37" t="e">
        <f>SUM(CC288,CC295)+SUM(CC297:CC303)</f>
        <v>#DIV/0!</v>
      </c>
      <c r="CD225" s="37" t="e">
        <f>SUM(CD288,CD295)+SUM(CD297:CD303)</f>
        <v>#DIV/0!</v>
      </c>
      <c r="CE225" s="3" t="n"/>
      <c r="CF225" s="37" t="e">
        <f>SUM(CF288,CF295)+SUM(CF297:CF303)</f>
        <v>#DIV/0!</v>
      </c>
      <c r="CG225" s="37" t="e">
        <f>SUM(CG288,CG295)+SUM(CG297:CG303)</f>
        <v>#DIV/0!</v>
      </c>
      <c r="CH225" s="37" t="e">
        <f>SUM(CH288,CH295)+SUM(CH297:CH303)</f>
        <v>#DIV/0!</v>
      </c>
      <c r="CI225" s="37" t="e">
        <f>SUM(CI288,CI295)+SUM(CI297:CI303)</f>
        <v>#DIV/0!</v>
      </c>
      <c r="CJ225" s="3" t="n"/>
      <c r="CK225" s="37" t="e">
        <f>SUM(CK288,CK295)+SUM(CK297:CK303)</f>
        <v>#DIV/0!</v>
      </c>
      <c r="CL225" s="37" t="e">
        <f>SUM(CL288,CL295)+SUM(CL297:CL303)</f>
        <v>#DIV/0!</v>
      </c>
      <c r="CM225" s="37" t="e">
        <f>SUM(CM288,CM295)+SUM(CM297:CM303)</f>
        <v>#DIV/0!</v>
      </c>
      <c r="CN225" s="37" t="e">
        <f>SUM(CN288,CN295)+SUM(CN297:CN303)</f>
        <v>#DIV/0!</v>
      </c>
      <c r="CO225" s="3" t="n"/>
      <c r="CP225" s="37" t="e">
        <f>SUM(CP288,CP295)+SUM(CP297:CP303)</f>
        <v>#DIV/0!</v>
      </c>
      <c r="CQ225" s="37" t="e">
        <f>SUM(CQ288,CQ295)+SUM(CQ297:CQ303)</f>
        <v>#DIV/0!</v>
      </c>
      <c r="CR225" s="37" t="e">
        <f>SUM(CR288,CR295)+SUM(CR297:CR303)</f>
        <v>#DIV/0!</v>
      </c>
      <c r="CS225" s="37" t="e">
        <f>SUM(CS288,CS295)+SUM(CS297:CS303)</f>
        <v>#DIV/0!</v>
      </c>
      <c r="CT225" s="3" t="n"/>
      <c r="CU225" s="37" t="e">
        <f>SUM(CU288,CU295)+SUM(CU297:CU303)</f>
        <v>#DIV/0!</v>
      </c>
      <c r="CV225" s="37" t="e">
        <f>SUM(CV288,CV295)+SUM(CV297:CV303)</f>
        <v>#DIV/0!</v>
      </c>
      <c r="CW225" s="37" t="e">
        <f>SUM(CW288,CW295)+SUM(CW297:CW303)</f>
        <v>#DIV/0!</v>
      </c>
      <c r="CX225" s="37" t="e">
        <f>SUM(CX288,CX295)+SUM(CX297:CX303)</f>
        <v>#DIV/0!</v>
      </c>
      <c r="CY225" s="3" t="n"/>
    </row>
    <row r="226" hidden="1" outlineLevel="1">
      <c r="C226" s="34" t="inlineStr">
        <is>
          <t>Less: Minimum cash balance</t>
        </is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250" t="n"/>
      <c r="AH226" s="3">
        <f>($AG$226*AH15)</f>
        <v>0</v>
      </c>
      <c r="AI226" s="3">
        <f>($AG$226*AI15)</f>
        <v>0</v>
      </c>
      <c r="AJ226" s="3">
        <f>($AG$226*AJ15)</f>
        <v>0</v>
      </c>
      <c r="AK226" s="3">
        <f>($AG$226*AK15)</f>
        <v>0</v>
      </c>
      <c r="AL226" s="3" t="n"/>
      <c r="AM226" s="3">
        <f>($AG$226*AM15)</f>
        <v>0</v>
      </c>
      <c r="AN226" s="3">
        <f>($AG$226*AN15)</f>
        <v>0</v>
      </c>
      <c r="AO226" s="3">
        <f>($AG$226*AO15)</f>
        <v>0</v>
      </c>
      <c r="AP226" s="3">
        <f>($AG$226*AP15)</f>
        <v>0</v>
      </c>
      <c r="AQ226" s="3" t="n"/>
      <c r="AR226" s="3">
        <f>($AG$226*AR15)</f>
        <v>0</v>
      </c>
      <c r="AS226" s="3">
        <f>($AG$226*AS15)</f>
        <v>0</v>
      </c>
      <c r="AT226" s="3">
        <f>($AG$226*AT15)</f>
        <v>0</v>
      </c>
      <c r="AU226" s="3">
        <f>($AG$226*AU15)</f>
        <v>0</v>
      </c>
      <c r="AV226" s="3" t="n"/>
      <c r="AW226" s="3">
        <f>($AG$226*AW15)</f>
        <v>0</v>
      </c>
      <c r="AX226" s="3">
        <f>($AG$226*AX15)</f>
        <v>0</v>
      </c>
      <c r="AY226" s="3">
        <f>($AG$226*AY15)</f>
        <v>0</v>
      </c>
      <c r="AZ226" s="3">
        <f>($AG$226*AZ15)</f>
        <v>0</v>
      </c>
      <c r="BA226" s="3" t="n"/>
      <c r="BB226" s="3">
        <f>($AG$226*BB15)</f>
        <v>0</v>
      </c>
      <c r="BC226" s="3">
        <f>($AG$226*BC15)</f>
        <v>0</v>
      </c>
      <c r="BD226" s="3">
        <f>($AG$226*BD15)</f>
        <v>0</v>
      </c>
      <c r="BE226" s="3">
        <f>($AG$226*BE15)</f>
        <v>0</v>
      </c>
      <c r="BF226" s="3" t="n"/>
      <c r="BG226" s="3">
        <f>($AG$226*BG15)</f>
        <v>0</v>
      </c>
      <c r="BH226" s="3">
        <f>($AG$226*BH15)</f>
        <v>0</v>
      </c>
      <c r="BI226" s="3">
        <f>($AG$226*BI15)</f>
        <v>0</v>
      </c>
      <c r="BJ226" s="3">
        <f>($AG$226*BJ15)</f>
        <v>0</v>
      </c>
      <c r="BK226" s="3" t="n"/>
      <c r="BL226" s="3">
        <f>($AG$226*BL15)</f>
        <v>0</v>
      </c>
      <c r="BM226" s="3">
        <f>($AG$226*BM15)</f>
        <v>0</v>
      </c>
      <c r="BN226" s="3">
        <f>($AG$226*BN15)</f>
        <v>0</v>
      </c>
      <c r="BO226" s="3">
        <f>($AG$226*BO15)</f>
        <v>0</v>
      </c>
      <c r="BP226" s="3" t="n"/>
      <c r="BQ226" s="3">
        <f>($AG$226*BQ15)</f>
        <v>0</v>
      </c>
      <c r="BR226" s="3">
        <f>($AG$226*BR15)</f>
        <v>0</v>
      </c>
      <c r="BS226" s="3">
        <f>($AG$226*BS15)</f>
        <v>0</v>
      </c>
      <c r="BT226" s="3">
        <f>($AG$226*BT15)</f>
        <v>0</v>
      </c>
      <c r="BU226" s="3" t="n"/>
      <c r="BV226" s="3">
        <f>($AG$226*BV15)</f>
        <v>0</v>
      </c>
      <c r="BW226" s="3">
        <f>($AG$226*BW15)</f>
        <v>0</v>
      </c>
      <c r="BX226" s="3">
        <f>($AG$226*BX15)</f>
        <v>0</v>
      </c>
      <c r="BY226" s="3">
        <f>($AG$226*BY15)</f>
        <v>0</v>
      </c>
      <c r="BZ226" s="3" t="n"/>
      <c r="CA226" s="3">
        <f>($AG$226*CA15)</f>
        <v>0</v>
      </c>
      <c r="CB226" s="3">
        <f>($AG$226*CB15)</f>
        <v>0</v>
      </c>
      <c r="CC226" s="3">
        <f>($AG$226*CC15)</f>
        <v>0</v>
      </c>
      <c r="CD226" s="3">
        <f>($AG$226*CD15)</f>
        <v>0</v>
      </c>
      <c r="CE226" s="3" t="n"/>
      <c r="CF226" s="3">
        <f>($AG$226*CF15)</f>
        <v>0</v>
      </c>
      <c r="CG226" s="3">
        <f>($AG$226*CG15)</f>
        <v>0</v>
      </c>
      <c r="CH226" s="3">
        <f>($AG$226*CH15)</f>
        <v>0</v>
      </c>
      <c r="CI226" s="3">
        <f>($AG$226*CI15)</f>
        <v>0</v>
      </c>
      <c r="CJ226" s="3" t="n"/>
      <c r="CK226" s="3">
        <f>($AG$226*CK15)</f>
        <v>0</v>
      </c>
      <c r="CL226" s="3">
        <f>($AG$226*CL15)</f>
        <v>0</v>
      </c>
      <c r="CM226" s="3">
        <f>($AG$226*CM15)</f>
        <v>0</v>
      </c>
      <c r="CN226" s="3">
        <f>($AG$226*CN15)</f>
        <v>0</v>
      </c>
      <c r="CO226" s="3" t="n"/>
      <c r="CP226" s="3">
        <f>($AG$226*CP15)</f>
        <v>0</v>
      </c>
      <c r="CQ226" s="3">
        <f>($AG$226*CQ15)</f>
        <v>0</v>
      </c>
      <c r="CR226" s="3">
        <f>($AG$226*CR15)</f>
        <v>0</v>
      </c>
      <c r="CS226" s="3">
        <f>($AG$226*CS15)</f>
        <v>0</v>
      </c>
      <c r="CT226" s="3" t="n"/>
      <c r="CU226" s="3">
        <f>($AG$226*CU15)</f>
        <v>0</v>
      </c>
      <c r="CV226" s="3">
        <f>($AG$226*CV15)</f>
        <v>0</v>
      </c>
      <c r="CW226" s="3">
        <f>($AG$226*CW15)</f>
        <v>0</v>
      </c>
      <c r="CX226" s="3">
        <f>($AG$226*CX15)</f>
        <v>0</v>
      </c>
      <c r="CY226" s="3" t="n"/>
    </row>
    <row r="227" hidden="1" outlineLevel="1">
      <c r="C227" s="34" t="inlineStr">
        <is>
          <t>Total cash available / (debt required) for short term debt paydown</t>
        </is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1">
        <f>AH224+AH225-AH226-AF214+AH216+AH220</f>
        <v>4415</v>
      </c>
      <c r="AI227" s="1">
        <f>AI224+AI225-AI226-AG214+AI216+AI220</f>
        <v>-7870</v>
      </c>
      <c r="AJ227" s="1">
        <f>AJ224+AJ225-AJ226-AH214+AJ216+AJ220</f>
        <v>54291</v>
      </c>
      <c r="AK227" s="1">
        <f>AK224+AK225-AK226-AI214+AK216+AK220</f>
        <v>9247</v>
      </c>
      <c r="AL227" s="3" t="n"/>
      <c r="AM227" s="1" t="e">
        <f>AM224+AM225-AM226-AK214+AM216+AM220</f>
        <v>#DIV/0!</v>
      </c>
      <c r="AN227" s="1" t="e">
        <f>AN224+AN225-AN226-AL214+AN216+AN220</f>
        <v>#DIV/0!</v>
      </c>
      <c r="AO227" s="1" t="e">
        <f>AO224+AO225-AO226-AM214+AO216+AO220</f>
        <v>#DIV/0!</v>
      </c>
      <c r="AP227" s="1" t="e">
        <f>AP224+AP225-AP226-AN214+AP216+AP220</f>
        <v>#DIV/0!</v>
      </c>
      <c r="AQ227" s="3" t="n"/>
      <c r="AR227" s="1" t="e">
        <f>AR224+AR225-AR226-AP214+AR216+AR220</f>
        <v>#DIV/0!</v>
      </c>
      <c r="AS227" s="1" t="e">
        <f>AS224+AS225-AS226-AQ214+AS216+AS220</f>
        <v>#DIV/0!</v>
      </c>
      <c r="AT227" s="1" t="e">
        <f>AT224+AT225-AT226-AR214+AT216+AT220</f>
        <v>#DIV/0!</v>
      </c>
      <c r="AU227" s="1" t="e">
        <f>AU224+AU225-AU226-AS214+AU216+AU220</f>
        <v>#DIV/0!</v>
      </c>
      <c r="AV227" s="3" t="n"/>
      <c r="AW227" s="1" t="e">
        <f>AW224+AW225-AW226-AU214+AW216+AW220</f>
        <v>#DIV/0!</v>
      </c>
      <c r="AX227" s="1" t="e">
        <f>AX224+AX225-AX226-AV214+AX216+AX220</f>
        <v>#DIV/0!</v>
      </c>
      <c r="AY227" s="1" t="e">
        <f>AY224+AY225-AY226-AW214+AY216+AY220</f>
        <v>#DIV/0!</v>
      </c>
      <c r="AZ227" s="1" t="e">
        <f>AZ224+AZ225-AZ226-AX214+AZ216+AZ220</f>
        <v>#DIV/0!</v>
      </c>
      <c r="BA227" s="3" t="n"/>
      <c r="BB227" s="1" t="e">
        <f>BB224+BB225-BB226-AZ214+BB216+BB220</f>
        <v>#DIV/0!</v>
      </c>
      <c r="BC227" s="1" t="e">
        <f>BC224+BC225-BC226-BA214+BC216+BC220</f>
        <v>#DIV/0!</v>
      </c>
      <c r="BD227" s="1" t="e">
        <f>BD224+BD225-BD226-BB214+BD216+BD220</f>
        <v>#DIV/0!</v>
      </c>
      <c r="BE227" s="1" t="e">
        <f>BE224+BE225-BE226-BC214+BE216+BE220</f>
        <v>#DIV/0!</v>
      </c>
      <c r="BF227" s="3" t="n"/>
      <c r="BG227" s="1" t="e">
        <f>BG224+BG225-BG226-BE214+BG216+BG220</f>
        <v>#DIV/0!</v>
      </c>
      <c r="BH227" s="1" t="e">
        <f>BH224+BH225-BH226-BF214+BH216+BH220</f>
        <v>#DIV/0!</v>
      </c>
      <c r="BI227" s="1" t="e">
        <f>BI224+BI225-BI226-BG214+BI216+BI220</f>
        <v>#DIV/0!</v>
      </c>
      <c r="BJ227" s="1" t="e">
        <f>BJ224+BJ225-BJ226-BH214+BJ216+BJ220</f>
        <v>#DIV/0!</v>
      </c>
      <c r="BK227" s="3" t="n"/>
      <c r="BL227" s="1" t="e">
        <f>BL224+BL225-BL226-BJ214+BL216+BL220</f>
        <v>#DIV/0!</v>
      </c>
      <c r="BM227" s="1" t="e">
        <f>BM224+BM225-BM226-BK214+BM216+BM220</f>
        <v>#DIV/0!</v>
      </c>
      <c r="BN227" s="1" t="e">
        <f>BN224+BN225-BN226-BL214+BN216+BN220</f>
        <v>#DIV/0!</v>
      </c>
      <c r="BO227" s="1" t="e">
        <f>BO224+BO225-BO226-BM214+BO216+BO220</f>
        <v>#DIV/0!</v>
      </c>
      <c r="BP227" s="3" t="n"/>
      <c r="BQ227" s="1" t="e">
        <f>BQ224+BQ225-BQ226-BO214+BQ216+BQ220</f>
        <v>#DIV/0!</v>
      </c>
      <c r="BR227" s="1" t="e">
        <f>BR224+BR225-BR226-BP214+BR216+BR220</f>
        <v>#DIV/0!</v>
      </c>
      <c r="BS227" s="1" t="e">
        <f>BS224+BS225-BS226-BQ214+BS216+BS220</f>
        <v>#DIV/0!</v>
      </c>
      <c r="BT227" s="1" t="e">
        <f>BT224+BT225-BT226-BR214+BT216+BT220</f>
        <v>#DIV/0!</v>
      </c>
      <c r="BU227" s="3" t="n"/>
      <c r="BV227" s="1" t="e">
        <f>BV224+BV225-BV226-BT214+BV216+BV220</f>
        <v>#DIV/0!</v>
      </c>
      <c r="BW227" s="1" t="e">
        <f>BW224+BW225-BW226-BU214+BW216+BW220</f>
        <v>#DIV/0!</v>
      </c>
      <c r="BX227" s="1" t="e">
        <f>BX224+BX225-BX226-BV214+BX216+BX220</f>
        <v>#DIV/0!</v>
      </c>
      <c r="BY227" s="1" t="e">
        <f>BY224+BY225-BY226-BW214+BY216+BY220</f>
        <v>#DIV/0!</v>
      </c>
      <c r="BZ227" s="3" t="n"/>
      <c r="CA227" s="1" t="e">
        <f>CA224+CA225-CA226-BY214+CA216+CA220</f>
        <v>#DIV/0!</v>
      </c>
      <c r="CB227" s="1" t="e">
        <f>CB224+CB225-CB226-BZ214+CB216+CB220</f>
        <v>#DIV/0!</v>
      </c>
      <c r="CC227" s="1" t="e">
        <f>CC224+CC225-CC226-CA214+CC216+CC220</f>
        <v>#DIV/0!</v>
      </c>
      <c r="CD227" s="1" t="e">
        <f>CD224+CD225-CD226-CB214+CD216+CD220</f>
        <v>#DIV/0!</v>
      </c>
      <c r="CE227" s="3" t="n"/>
      <c r="CF227" s="1" t="e">
        <f>CF224+CF225-CF226-CD214+CF216+CF220</f>
        <v>#DIV/0!</v>
      </c>
      <c r="CG227" s="1" t="e">
        <f>CG224+CG225-CG226-CE214+CG216+CG220</f>
        <v>#DIV/0!</v>
      </c>
      <c r="CH227" s="1" t="e">
        <f>CH224+CH225-CH226-CF214+CH216+CH220</f>
        <v>#DIV/0!</v>
      </c>
      <c r="CI227" s="1" t="e">
        <f>CI224+CI225-CI226-CG214+CI216+CI220</f>
        <v>#DIV/0!</v>
      </c>
      <c r="CJ227" s="3" t="n"/>
      <c r="CK227" s="1" t="e">
        <f>CK224+CK225-CK226-CI214+CK216+CK220</f>
        <v>#DIV/0!</v>
      </c>
      <c r="CL227" s="1" t="e">
        <f>CL224+CL225-CL226-CJ214+CL216+CL220</f>
        <v>#DIV/0!</v>
      </c>
      <c r="CM227" s="1" t="e">
        <f>CM224+CM225-CM226-CK214+CM216+CM220</f>
        <v>#DIV/0!</v>
      </c>
      <c r="CN227" s="1" t="e">
        <f>CN224+CN225-CN226-CL214+CN216+CN220</f>
        <v>#DIV/0!</v>
      </c>
      <c r="CO227" s="3" t="n"/>
      <c r="CP227" s="1" t="e">
        <f>CP224+CP225-CP226-CN214+CP216+CP220</f>
        <v>#DIV/0!</v>
      </c>
      <c r="CQ227" s="1" t="e">
        <f>CQ224+CQ225-CQ226-CO214+CQ216+CQ220</f>
        <v>#DIV/0!</v>
      </c>
      <c r="CR227" s="1" t="e">
        <f>CR224+CR225-CR226-CP214+CR216+CR220</f>
        <v>#DIV/0!</v>
      </c>
      <c r="CS227" s="1" t="e">
        <f>CS224+CS225-CS226-CQ214+CS216+CS220</f>
        <v>#DIV/0!</v>
      </c>
      <c r="CT227" s="3" t="n"/>
      <c r="CU227" s="1" t="e">
        <f>CU224+CU225-CU226-CS214+CU216+CU220</f>
        <v>#DIV/0!</v>
      </c>
      <c r="CV227" s="1" t="e">
        <f>CV224+CV225-CV226-CT214+CV216+CV220</f>
        <v>#DIV/0!</v>
      </c>
      <c r="CW227" s="1" t="e">
        <f>CW224+CW225-CW226-CU214+CW216+CW220</f>
        <v>#DIV/0!</v>
      </c>
      <c r="CX227" s="1" t="e">
        <f>CX224+CX225-CX226-CV214+CX216+CX220</f>
        <v>#DIV/0!</v>
      </c>
      <c r="CY227" s="3" t="n"/>
    </row>
    <row r="228" hidden="1" outlineLevel="1">
      <c r="C228" s="34" t="inlineStr">
        <is>
          <t>Short term debt</t>
        </is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>
        <f>AH208</f>
        <v>0</v>
      </c>
      <c r="AI228" s="3">
        <f>MAX(0,AH228-AI227)</f>
        <v>7870</v>
      </c>
      <c r="AJ228" s="3">
        <f>MAX(0,AI228-AJ227)</f>
        <v>0</v>
      </c>
      <c r="AK228" s="3">
        <f>MAX(0,AJ228-AK227)</f>
        <v>0</v>
      </c>
      <c r="AL228" s="3" t="n"/>
      <c r="AM228" s="3">
        <f>AM208</f>
        <v>0</v>
      </c>
      <c r="AN228" s="3" t="e">
        <f>MAX(0,AM228-AN227)</f>
        <v>#DIV/0!</v>
      </c>
      <c r="AO228" s="3" t="e">
        <f>MAX(0,AN228-AO227)</f>
        <v>#DIV/0!</v>
      </c>
      <c r="AP228" s="3" t="e">
        <f>MAX(0,AO228-AP227)</f>
        <v>#DIV/0!</v>
      </c>
      <c r="AQ228" s="3" t="n"/>
      <c r="AR228" s="3">
        <f>AR208</f>
        <v>0</v>
      </c>
      <c r="AS228" s="3" t="e">
        <f>MAX(0,AR228-AS227)</f>
        <v>#DIV/0!</v>
      </c>
      <c r="AT228" s="3" t="e">
        <f>MAX(0,AS228-AT227)</f>
        <v>#DIV/0!</v>
      </c>
      <c r="AU228" s="3" t="e">
        <f>MAX(0,AT228-AU227)</f>
        <v>#DIV/0!</v>
      </c>
      <c r="AV228" s="3" t="n"/>
      <c r="AW228" s="3">
        <f>AW208</f>
        <v>0</v>
      </c>
      <c r="AX228" s="3" t="e">
        <f>MAX(0,AW228-AX227)</f>
        <v>#DIV/0!</v>
      </c>
      <c r="AY228" s="3" t="e">
        <f>MAX(0,AX228-AY227)</f>
        <v>#DIV/0!</v>
      </c>
      <c r="AZ228" s="3" t="e">
        <f>MAX(0,AY228-AZ227)</f>
        <v>#DIV/0!</v>
      </c>
      <c r="BA228" s="3" t="n"/>
      <c r="BB228" s="3">
        <f>BB208</f>
        <v>0</v>
      </c>
      <c r="BC228" s="3" t="e">
        <f>MAX(0,BB228-BC227)</f>
        <v>#DIV/0!</v>
      </c>
      <c r="BD228" s="3" t="e">
        <f>MAX(0,BC228-BD227)</f>
        <v>#DIV/0!</v>
      </c>
      <c r="BE228" s="3" t="e">
        <f>MAX(0,BD228-BE227)</f>
        <v>#DIV/0!</v>
      </c>
      <c r="BF228" s="3" t="n"/>
      <c r="BG228" s="3">
        <f>BG208</f>
        <v>0</v>
      </c>
      <c r="BH228" s="3" t="e">
        <f>MAX(0,BG228-BH227)</f>
        <v>#DIV/0!</v>
      </c>
      <c r="BI228" s="3" t="e">
        <f>MAX(0,BH228-BI227)</f>
        <v>#DIV/0!</v>
      </c>
      <c r="BJ228" s="3" t="e">
        <f>MAX(0,BI228-BJ227)</f>
        <v>#DIV/0!</v>
      </c>
      <c r="BK228" s="3" t="n"/>
      <c r="BL228" s="3">
        <f>BL208</f>
        <v>0</v>
      </c>
      <c r="BM228" s="3" t="e">
        <f>MAX(0,BL228-BM227)</f>
        <v>#DIV/0!</v>
      </c>
      <c r="BN228" s="3" t="e">
        <f>MAX(0,BM228-BN227)</f>
        <v>#DIV/0!</v>
      </c>
      <c r="BO228" s="3" t="e">
        <f>MAX(0,BN228-BO227)</f>
        <v>#DIV/0!</v>
      </c>
      <c r="BP228" s="3" t="n"/>
      <c r="BQ228" s="3">
        <f>BQ208</f>
        <v>0</v>
      </c>
      <c r="BR228" s="3" t="e">
        <f>MAX(0,BQ228-BR227)</f>
        <v>#DIV/0!</v>
      </c>
      <c r="BS228" s="3" t="e">
        <f>MAX(0,BR228-BS227)</f>
        <v>#DIV/0!</v>
      </c>
      <c r="BT228" s="3" t="e">
        <f>MAX(0,BS228-BT227)</f>
        <v>#DIV/0!</v>
      </c>
      <c r="BU228" s="3" t="n"/>
      <c r="BV228" s="3">
        <f>BV208</f>
        <v>0</v>
      </c>
      <c r="BW228" s="3" t="e">
        <f>MAX(0,BV228-BW227)</f>
        <v>#DIV/0!</v>
      </c>
      <c r="BX228" s="3" t="e">
        <f>MAX(0,BW228-BX227)</f>
        <v>#DIV/0!</v>
      </c>
      <c r="BY228" s="3" t="e">
        <f>MAX(0,BX228-BY227)</f>
        <v>#DIV/0!</v>
      </c>
      <c r="BZ228" s="3" t="n"/>
      <c r="CA228" s="3">
        <f>CA208</f>
        <v>0</v>
      </c>
      <c r="CB228" s="3" t="e">
        <f>MAX(0,CA228-CB227)</f>
        <v>#DIV/0!</v>
      </c>
      <c r="CC228" s="3" t="e">
        <f>MAX(0,CB228-CC227)</f>
        <v>#DIV/0!</v>
      </c>
      <c r="CD228" s="3" t="e">
        <f>MAX(0,CC228-CD227)</f>
        <v>#DIV/0!</v>
      </c>
      <c r="CE228" s="3" t="n"/>
      <c r="CF228" s="3">
        <f>CF208</f>
        <v>0</v>
      </c>
      <c r="CG228" s="3" t="e">
        <f>MAX(0,CF228-CG227)</f>
        <v>#DIV/0!</v>
      </c>
      <c r="CH228" s="3" t="e">
        <f>MAX(0,CG228-CH227)</f>
        <v>#DIV/0!</v>
      </c>
      <c r="CI228" s="3" t="e">
        <f>MAX(0,CH228-CI227)</f>
        <v>#DIV/0!</v>
      </c>
      <c r="CJ228" s="3" t="n"/>
      <c r="CK228" s="3">
        <f>CK208</f>
        <v>0</v>
      </c>
      <c r="CL228" s="3" t="e">
        <f>MAX(0,CK228-CL227)</f>
        <v>#DIV/0!</v>
      </c>
      <c r="CM228" s="3" t="e">
        <f>MAX(0,CL228-CM227)</f>
        <v>#DIV/0!</v>
      </c>
      <c r="CN228" s="3" t="e">
        <f>MAX(0,CM228-CN227)</f>
        <v>#DIV/0!</v>
      </c>
      <c r="CO228" s="3" t="n"/>
      <c r="CP228" s="3">
        <f>CP208</f>
        <v>0</v>
      </c>
      <c r="CQ228" s="3" t="e">
        <f>MAX(0,CP228-CQ227)</f>
        <v>#DIV/0!</v>
      </c>
      <c r="CR228" s="3" t="e">
        <f>MAX(0,CQ228-CR227)</f>
        <v>#DIV/0!</v>
      </c>
      <c r="CS228" s="3" t="e">
        <f>MAX(0,CR228-CS227)</f>
        <v>#DIV/0!</v>
      </c>
      <c r="CT228" s="3" t="n"/>
      <c r="CU228" s="3">
        <f>CU208</f>
        <v>0</v>
      </c>
      <c r="CV228" s="3" t="e">
        <f>MAX(0,CU228-CV227)</f>
        <v>#DIV/0!</v>
      </c>
      <c r="CW228" s="3" t="e">
        <f>MAX(0,CV228-CW227)</f>
        <v>#DIV/0!</v>
      </c>
      <c r="CX228" s="3" t="e">
        <f>MAX(0,CW228-CX227)</f>
        <v>#DIV/0!</v>
      </c>
      <c r="CY228" s="3" t="n"/>
    </row>
    <row r="229" hidden="1" outlineLevel="1">
      <c r="C229" s="34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/>
      <c r="BD229" s="3" t="n"/>
      <c r="BE229" s="3" t="n"/>
      <c r="BF229" s="3" t="n"/>
      <c r="BG229" s="3" t="n"/>
      <c r="BH229" s="3" t="n"/>
      <c r="BI229" s="3" t="n"/>
      <c r="BJ229" s="3" t="n"/>
      <c r="BK229" s="3" t="n"/>
      <c r="BL229" s="3" t="n"/>
      <c r="BM229" s="3" t="n"/>
      <c r="BN229" s="3" t="n"/>
      <c r="BO229" s="3" t="n"/>
      <c r="BP229" s="3" t="n"/>
      <c r="BQ229" s="3" t="n"/>
      <c r="BR229" s="3" t="n"/>
      <c r="BS229" s="3" t="n"/>
      <c r="BT229" s="3" t="n"/>
      <c r="BU229" s="3" t="n"/>
      <c r="BV229" s="3" t="n"/>
      <c r="BW229" s="3" t="n"/>
      <c r="BX229" s="3" t="n"/>
      <c r="BY229" s="3" t="n"/>
      <c r="BZ229" s="3" t="n"/>
      <c r="CA229" s="3" t="n"/>
      <c r="CB229" s="3" t="n"/>
      <c r="CC229" s="3" t="n"/>
      <c r="CD229" s="3" t="n"/>
      <c r="CE229" s="3" t="n"/>
      <c r="CF229" s="3" t="n"/>
      <c r="CG229" s="3" t="n"/>
      <c r="CH229" s="3" t="n"/>
      <c r="CI229" s="3" t="n"/>
      <c r="CJ229" s="3" t="n"/>
      <c r="CK229" s="3" t="n"/>
      <c r="CL229" s="3" t="n"/>
      <c r="CM229" s="3" t="n"/>
      <c r="CN229" s="3" t="n"/>
      <c r="CO229" s="3" t="n"/>
      <c r="CP229" s="3" t="n"/>
      <c r="CQ229" s="3" t="n"/>
      <c r="CR229" s="3" t="n"/>
      <c r="CS229" s="3" t="n"/>
      <c r="CT229" s="3" t="n"/>
      <c r="CU229" s="3" t="n"/>
      <c r="CV229" s="3" t="n"/>
      <c r="CW229" s="3" t="n"/>
      <c r="CX229" s="3" t="n"/>
      <c r="CY229" s="3" t="n"/>
    </row>
    <row r="230" collapsed="1">
      <c r="C230" s="26" t="inlineStr">
        <is>
          <t>Long term operating leases</t>
        </is>
      </c>
      <c r="D230" s="25">
        <f>INDEX('Inputs (2)'!$D$36:$AL$36,MATCH(D$7,'Inputs (2)'!$D$2:$AL$2,0))</f>
        <v>0</v>
      </c>
      <c r="E230" s="25">
        <f>INDEX('Inputs (2)'!$D$36:$AL$36,MATCH(E$7,'Inputs (2)'!$D$2:$AL$2,0))</f>
        <v>0</v>
      </c>
      <c r="F230" s="25">
        <f>INDEX('Inputs (2)'!$D$36:$AL$36,MATCH(F$7,'Inputs (2)'!$D$2:$AL$2,0))</f>
        <v>0</v>
      </c>
      <c r="G230" s="25">
        <f>INDEX('Inputs (2)'!$D$36:$AL$36,MATCH(G$7,'Inputs (2)'!$D$2:$AL$2,0))</f>
        <v>0</v>
      </c>
      <c r="H230" s="3">
        <f>G230</f>
        <v>0</v>
      </c>
      <c r="I230" s="25">
        <f>INDEX('Inputs (2)'!$D$36:$AL$36,MATCH(I$7,'Inputs (2)'!$D$2:$AL$2,0))</f>
        <v>0</v>
      </c>
      <c r="J230" s="25">
        <f>INDEX('Inputs (2)'!$D$36:$AL$36,MATCH(J$7,'Inputs (2)'!$D$2:$AL$2,0))</f>
        <v>0</v>
      </c>
      <c r="K230" s="25">
        <f>INDEX('Inputs (2)'!$D$36:$AL$36,MATCH(K$7,'Inputs (2)'!$D$2:$AL$2,0))</f>
        <v>0</v>
      </c>
      <c r="L230" s="25">
        <f>INDEX('Inputs (2)'!$D$36:$AL$36,MATCH(L$7,'Inputs (2)'!$D$2:$AL$2,0))</f>
        <v>0</v>
      </c>
      <c r="M230" s="3">
        <f>L230</f>
        <v>0</v>
      </c>
      <c r="N230" s="25">
        <f>INDEX('Inputs (2)'!$D$36:$AL$36,MATCH(N$7,'Inputs (2)'!$D$2:$AL$2,0))</f>
        <v>0</v>
      </c>
      <c r="O230" s="25">
        <f>INDEX('Inputs (2)'!$D$36:$AL$36,MATCH(O$7,'Inputs (2)'!$D$2:$AL$2,0))</f>
        <v>0</v>
      </c>
      <c r="P230" s="25">
        <f>INDEX('Inputs (2)'!$D$36:$AL$36,MATCH(P$7,'Inputs (2)'!$D$2:$AL$2,0))</f>
        <v>0</v>
      </c>
      <c r="Q230" s="25">
        <f>INDEX('Inputs (2)'!$D$36:$AL$36,MATCH(Q$7,'Inputs (2)'!$D$2:$AL$2,0))</f>
        <v>0</v>
      </c>
      <c r="R230" s="3">
        <f>Q230</f>
        <v>0</v>
      </c>
      <c r="S230" s="25">
        <f>INDEX('Inputs (2)'!$D$36:$AL$36,MATCH(S$7,'Inputs (2)'!$D$2:$AL$2,0))</f>
        <v>0</v>
      </c>
      <c r="T230" s="25">
        <f>INDEX('Inputs (2)'!$D$36:$AL$36,MATCH(T$7,'Inputs (2)'!$D$2:$AL$2,0))</f>
        <v>0</v>
      </c>
      <c r="U230" s="25">
        <f>INDEX('Inputs (2)'!$D$36:$AL$36,MATCH(U$7,'Inputs (2)'!$D$2:$AL$2,0))</f>
        <v>0</v>
      </c>
      <c r="V230" s="25">
        <f>INDEX('Inputs (2)'!$D$36:$AL$36,MATCH(V$7,'Inputs (2)'!$D$2:$AL$2,0))</f>
        <v>0</v>
      </c>
      <c r="W230" s="3">
        <f>V230</f>
        <v>0</v>
      </c>
      <c r="X230" s="25">
        <f>INDEX('Inputs (2)'!$D$36:$AL$36,MATCH(X$7,'Inputs (2)'!$D$2:$AL$2,0))</f>
        <v>0</v>
      </c>
      <c r="Y230" s="25">
        <f>INDEX('Inputs (2)'!$D$36:$AL$36,MATCH(Y$7,'Inputs (2)'!$D$2:$AL$2,0))</f>
        <v>0</v>
      </c>
      <c r="Z230" s="25">
        <f>INDEX('Inputs (2)'!$D$36:$AL$36,MATCH(Z$7,'Inputs (2)'!$D$2:$AL$2,0))</f>
        <v>0</v>
      </c>
      <c r="AA230" s="25">
        <f>INDEX('Inputs (2)'!$D$36:$AL$36,MATCH(AA$7,'Inputs (2)'!$D$2:$AL$2,0))</f>
        <v>0</v>
      </c>
      <c r="AB230" s="3">
        <f>AA230</f>
        <v>0</v>
      </c>
      <c r="AC230" s="25">
        <f>INDEX('Inputs (2)'!$D$36:$AL$36,MATCH(AC$7,'Inputs (2)'!$D$2:$AL$2,0))</f>
        <v>0</v>
      </c>
      <c r="AD230" s="25">
        <f>INDEX('Inputs (2)'!$D$36:$AL$36,MATCH(AD$7,'Inputs (2)'!$D$2:$AL$2,0))</f>
        <v>0</v>
      </c>
      <c r="AE230" s="25">
        <f>INDEX('Inputs (2)'!$D$36:$AL$36,MATCH(AE$7,'Inputs (2)'!$D$2:$AL$2,0))</f>
        <v>0</v>
      </c>
      <c r="AF230" s="25">
        <f>INDEX('Inputs (2)'!$D$36:$AL$36,MATCH(AF$7,'Inputs (2)'!$D$2:$AL$2,0))</f>
        <v>0</v>
      </c>
      <c r="AG230" s="3">
        <f>AF230</f>
        <v>0</v>
      </c>
      <c r="AH230" s="3">
        <f>INDEX('Inputs (2)'!$D$36:$AL$36,MATCH(AH$7,'Inputs (2)'!$D$2:$AL$2,0))</f>
        <v>0</v>
      </c>
      <c r="AI230" s="3">
        <f>INDEX('Inputs (2)'!$D$36:$AL$36,MATCH(AI$7,'Inputs (2)'!$D$2:$AL$2,0))</f>
        <v>0</v>
      </c>
      <c r="AJ230" s="3">
        <f>AI230</f>
        <v>0</v>
      </c>
      <c r="AK230" s="3">
        <f>AJ230</f>
        <v>0</v>
      </c>
      <c r="AL230" s="3">
        <f>AK230</f>
        <v>0</v>
      </c>
      <c r="AM230" s="3">
        <f>AL230</f>
        <v>0</v>
      </c>
      <c r="AN230" s="3">
        <f>AM230</f>
        <v>0</v>
      </c>
      <c r="AO230" s="3">
        <f>AN230</f>
        <v>0</v>
      </c>
      <c r="AP230" s="3">
        <f>AO230</f>
        <v>0</v>
      </c>
      <c r="AQ230" s="3">
        <f>AP230</f>
        <v>0</v>
      </c>
      <c r="AR230" s="3">
        <f>AQ230</f>
        <v>0</v>
      </c>
      <c r="AS230" s="3">
        <f>AR230</f>
        <v>0</v>
      </c>
      <c r="AT230" s="3">
        <f>AS230</f>
        <v>0</v>
      </c>
      <c r="AU230" s="3">
        <f>AT230</f>
        <v>0</v>
      </c>
      <c r="AV230" s="3">
        <f>AU230</f>
        <v>0</v>
      </c>
      <c r="AW230" s="3">
        <f>AV230</f>
        <v>0</v>
      </c>
      <c r="AX230" s="3">
        <f>AW230</f>
        <v>0</v>
      </c>
      <c r="AY230" s="3">
        <f>AX230</f>
        <v>0</v>
      </c>
      <c r="AZ230" s="3">
        <f>AY230</f>
        <v>0</v>
      </c>
      <c r="BA230" s="3">
        <f>AZ230</f>
        <v>0</v>
      </c>
      <c r="BB230" s="3">
        <f>BA230</f>
        <v>0</v>
      </c>
      <c r="BC230" s="3">
        <f>BB230</f>
        <v>0</v>
      </c>
      <c r="BD230" s="3">
        <f>BC230</f>
        <v>0</v>
      </c>
      <c r="BE230" s="3">
        <f>BD230</f>
        <v>0</v>
      </c>
      <c r="BF230" s="3">
        <f>BE230</f>
        <v>0</v>
      </c>
      <c r="BG230" s="3">
        <f>BF230</f>
        <v>0</v>
      </c>
      <c r="BH230" s="3">
        <f>BG230</f>
        <v>0</v>
      </c>
      <c r="BI230" s="3">
        <f>BH230</f>
        <v>0</v>
      </c>
      <c r="BJ230" s="3">
        <f>BI230</f>
        <v>0</v>
      </c>
      <c r="BK230" s="3">
        <f>BJ230</f>
        <v>0</v>
      </c>
      <c r="BL230" s="3">
        <f>BK230</f>
        <v>0</v>
      </c>
      <c r="BM230" s="3">
        <f>BL230</f>
        <v>0</v>
      </c>
      <c r="BN230" s="3">
        <f>BM230</f>
        <v>0</v>
      </c>
      <c r="BO230" s="3">
        <f>BN230</f>
        <v>0</v>
      </c>
      <c r="BP230" s="3">
        <f>BO230</f>
        <v>0</v>
      </c>
      <c r="BQ230" s="3">
        <f>BP230</f>
        <v>0</v>
      </c>
      <c r="BR230" s="3">
        <f>BQ230</f>
        <v>0</v>
      </c>
      <c r="BS230" s="3">
        <f>BR230</f>
        <v>0</v>
      </c>
      <c r="BT230" s="3">
        <f>BS230</f>
        <v>0</v>
      </c>
      <c r="BU230" s="3">
        <f>BT230</f>
        <v>0</v>
      </c>
      <c r="BV230" s="3">
        <f>BU230</f>
        <v>0</v>
      </c>
      <c r="BW230" s="3">
        <f>BV230</f>
        <v>0</v>
      </c>
      <c r="BX230" s="3">
        <f>BW230</f>
        <v>0</v>
      </c>
      <c r="BY230" s="3">
        <f>BX230</f>
        <v>0</v>
      </c>
      <c r="BZ230" s="3">
        <f>BY230</f>
        <v>0</v>
      </c>
      <c r="CA230" s="3">
        <f>BZ230</f>
        <v>0</v>
      </c>
      <c r="CB230" s="3">
        <f>CA230</f>
        <v>0</v>
      </c>
      <c r="CC230" s="3">
        <f>CB230</f>
        <v>0</v>
      </c>
      <c r="CD230" s="3">
        <f>CC230</f>
        <v>0</v>
      </c>
      <c r="CE230" s="3">
        <f>CD230</f>
        <v>0</v>
      </c>
      <c r="CF230" s="3">
        <f>CE230</f>
        <v>0</v>
      </c>
      <c r="CG230" s="3">
        <f>CF230</f>
        <v>0</v>
      </c>
      <c r="CH230" s="3">
        <f>CG230</f>
        <v>0</v>
      </c>
      <c r="CI230" s="3">
        <f>CH230</f>
        <v>0</v>
      </c>
      <c r="CJ230" s="3">
        <f>CI230</f>
        <v>0</v>
      </c>
      <c r="CK230" s="3">
        <f>CJ230</f>
        <v>0</v>
      </c>
      <c r="CL230" s="3">
        <f>CK230</f>
        <v>0</v>
      </c>
      <c r="CM230" s="3">
        <f>CL230</f>
        <v>0</v>
      </c>
      <c r="CN230" s="3">
        <f>CM230</f>
        <v>0</v>
      </c>
      <c r="CO230" s="3">
        <f>CN230</f>
        <v>0</v>
      </c>
      <c r="CP230" s="3">
        <f>CO230</f>
        <v>0</v>
      </c>
      <c r="CQ230" s="3">
        <f>CP230</f>
        <v>0</v>
      </c>
      <c r="CR230" s="3">
        <f>CQ230</f>
        <v>0</v>
      </c>
      <c r="CS230" s="3">
        <f>CR230</f>
        <v>0</v>
      </c>
      <c r="CT230" s="3">
        <f>CS230</f>
        <v>0</v>
      </c>
      <c r="CU230" s="3">
        <f>CT230</f>
        <v>0</v>
      </c>
      <c r="CV230" s="3">
        <f>CU230</f>
        <v>0</v>
      </c>
      <c r="CW230" s="3">
        <f>CV230</f>
        <v>0</v>
      </c>
      <c r="CX230" s="3">
        <f>CW230</f>
        <v>0</v>
      </c>
      <c r="CY230" s="3">
        <f>CX230</f>
        <v>0</v>
      </c>
    </row>
    <row r="231" hidden="1" outlineLevel="1">
      <c r="C231" s="38" t="inlineStr">
        <is>
          <t>%(Var.)</t>
        </is>
      </c>
      <c r="D231" s="3" t="n"/>
      <c r="E231" s="47">
        <f>IFERROR((E230-D230)/D230,0)</f>
        <v>0</v>
      </c>
      <c r="F231" s="47">
        <f>IFERROR((F230-E230)/E230,0)</f>
        <v>0</v>
      </c>
      <c r="G231" s="47">
        <f>IFERROR((G230-F230)/F230,0)</f>
        <v>0</v>
      </c>
      <c r="H231" s="3" t="n"/>
      <c r="I231" s="47">
        <f>IFERROR((I230-H230)/H230,0)</f>
        <v>0</v>
      </c>
      <c r="J231" s="47">
        <f>IFERROR((J230-I230)/I230,0)</f>
        <v>0</v>
      </c>
      <c r="K231" s="47">
        <f>IFERROR((K230-J230)/J230,0)</f>
        <v>0</v>
      </c>
      <c r="L231" s="47">
        <f>IFERROR((L230-K230)/K230,0)</f>
        <v>0</v>
      </c>
      <c r="M231" s="3" t="n"/>
      <c r="N231" s="47">
        <f>IFERROR((N230-M230)/M230,0)</f>
        <v>0</v>
      </c>
      <c r="O231" s="47">
        <f>IFERROR((O230-N230)/N230,0)</f>
        <v>0</v>
      </c>
      <c r="P231" s="47">
        <f>IFERROR((P230-O230)/O230,0)</f>
        <v>0</v>
      </c>
      <c r="Q231" s="47">
        <f>IFERROR((Q230-P230)/P230,0)</f>
        <v>0</v>
      </c>
      <c r="R231" s="3" t="n"/>
      <c r="S231" s="47">
        <f>IFERROR((S230-R230)/R230,0)</f>
        <v>0</v>
      </c>
      <c r="T231" s="47">
        <f>IFERROR((T230-S230)/S230,0)</f>
        <v>0</v>
      </c>
      <c r="U231" s="47">
        <f>IFERROR((U230-T230)/T230,0)</f>
        <v>0</v>
      </c>
      <c r="V231" s="47">
        <f>IFERROR((V230-U230)/U230,0)</f>
        <v>0</v>
      </c>
      <c r="W231" s="3" t="n"/>
      <c r="X231" s="47">
        <f>IFERROR((X230-W230)/W230,0)</f>
        <v>0</v>
      </c>
      <c r="Y231" s="47">
        <f>IFERROR((Y230-X230)/X230,0)</f>
        <v>0</v>
      </c>
      <c r="Z231" s="47">
        <f>IFERROR((Z230-Y230)/Y230,0)</f>
        <v>0</v>
      </c>
      <c r="AA231" s="47">
        <f>IFERROR((AA230-Z230)/Z230,0)</f>
        <v>0</v>
      </c>
      <c r="AB231" s="3" t="n"/>
      <c r="AC231" s="47">
        <f>IFERROR((AC230-AB230)/AB230,0)</f>
        <v>0</v>
      </c>
      <c r="AD231" s="47">
        <f>IFERROR((AD230-AC230)/AC230,0)</f>
        <v>0</v>
      </c>
      <c r="AE231" s="47">
        <f>IFERROR((AE230-AD230)/AD230,0)</f>
        <v>0</v>
      </c>
      <c r="AF231" s="230">
        <f>IFERROR((AF230-AE230)/AE230,0)</f>
        <v>0</v>
      </c>
      <c r="AG231" s="3" t="n"/>
      <c r="AH231" s="6">
        <f>IFERROR((AH230-AG230)/AG230,0)</f>
        <v>0</v>
      </c>
      <c r="AI231" s="6">
        <f>IFERROR((AI230-AH230)/AH230,0)</f>
        <v>0</v>
      </c>
      <c r="AJ231" s="6" t="n"/>
      <c r="AK231" s="6" t="n"/>
      <c r="AL231" s="3" t="n"/>
      <c r="AM231" s="6" t="n"/>
      <c r="AN231" s="6" t="n"/>
      <c r="AO231" s="6" t="n"/>
      <c r="AP231" s="6" t="n"/>
      <c r="AQ231" s="3" t="n"/>
      <c r="AR231" s="6" t="n"/>
      <c r="AS231" s="6" t="n"/>
      <c r="AT231" s="6" t="n"/>
      <c r="AU231" s="6" t="n"/>
      <c r="AV231" s="3" t="n"/>
      <c r="AW231" s="6" t="n"/>
      <c r="AX231" s="6" t="n"/>
      <c r="AY231" s="6" t="n"/>
      <c r="AZ231" s="6" t="n"/>
      <c r="BA231" s="3" t="n"/>
      <c r="BB231" s="6" t="n"/>
      <c r="BC231" s="6" t="n"/>
      <c r="BD231" s="6" t="n"/>
      <c r="BE231" s="6" t="n"/>
      <c r="BF231" s="3" t="n"/>
      <c r="BG231" s="6" t="n"/>
      <c r="BH231" s="6" t="n"/>
      <c r="BI231" s="6" t="n"/>
      <c r="BJ231" s="6" t="n"/>
      <c r="BK231" s="3" t="n"/>
      <c r="BL231" s="6" t="n"/>
      <c r="BM231" s="6" t="n"/>
      <c r="BN231" s="6" t="n"/>
      <c r="BO231" s="6" t="n"/>
      <c r="BP231" s="3" t="n"/>
      <c r="BQ231" s="6" t="n"/>
      <c r="BR231" s="6" t="n"/>
      <c r="BS231" s="6" t="n"/>
      <c r="BT231" s="6" t="n"/>
      <c r="BU231" s="3" t="n"/>
      <c r="BV231" s="6" t="n"/>
      <c r="BW231" s="6" t="n"/>
      <c r="BX231" s="6" t="n"/>
      <c r="BY231" s="6" t="n"/>
      <c r="BZ231" s="3" t="n"/>
      <c r="CA231" s="6" t="n"/>
      <c r="CB231" s="6" t="n"/>
      <c r="CC231" s="6" t="n"/>
      <c r="CD231" s="6" t="n"/>
      <c r="CE231" s="3" t="n"/>
      <c r="CF231" s="6" t="n"/>
      <c r="CG231" s="6" t="n"/>
      <c r="CH231" s="6" t="n"/>
      <c r="CI231" s="6" t="n"/>
      <c r="CJ231" s="3" t="n"/>
      <c r="CK231" s="6" t="n"/>
      <c r="CL231" s="6" t="n"/>
      <c r="CM231" s="6" t="n"/>
      <c r="CN231" s="6" t="n"/>
      <c r="CO231" s="3" t="n"/>
      <c r="CP231" s="6" t="n"/>
      <c r="CQ231" s="6" t="n"/>
      <c r="CR231" s="6" t="n"/>
      <c r="CS231" s="6" t="n"/>
      <c r="CT231" s="3" t="n"/>
      <c r="CU231" s="6" t="n"/>
      <c r="CV231" s="6" t="n"/>
      <c r="CW231" s="6" t="n"/>
      <c r="CX231" s="6" t="n"/>
      <c r="CY231" s="3" t="n"/>
    </row>
    <row r="232" hidden="1" outlineLevel="1">
      <c r="C232" s="34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/>
      <c r="BA232" s="3" t="n"/>
      <c r="BB232" s="3" t="n"/>
      <c r="BC232" s="3" t="n"/>
      <c r="BD232" s="3" t="n"/>
      <c r="BE232" s="3" t="n"/>
      <c r="BF232" s="3" t="n"/>
      <c r="BG232" s="3" t="n"/>
      <c r="BH232" s="3" t="n"/>
      <c r="BI232" s="3" t="n"/>
      <c r="BJ232" s="3" t="n"/>
      <c r="BK232" s="3" t="n"/>
      <c r="BL232" s="3" t="n"/>
      <c r="BM232" s="3" t="n"/>
      <c r="BN232" s="3" t="n"/>
      <c r="BO232" s="3" t="n"/>
      <c r="BP232" s="3" t="n"/>
      <c r="BQ232" s="3" t="n"/>
      <c r="BR232" s="3" t="n"/>
      <c r="BS232" s="3" t="n"/>
      <c r="BT232" s="3" t="n"/>
      <c r="BU232" s="3" t="n"/>
      <c r="BV232" s="3" t="n"/>
      <c r="BW232" s="3" t="n"/>
      <c r="BX232" s="3" t="n"/>
      <c r="BY232" s="3" t="n"/>
      <c r="BZ232" s="3" t="n"/>
      <c r="CA232" s="3" t="n"/>
      <c r="CB232" s="3" t="n"/>
      <c r="CC232" s="3" t="n"/>
      <c r="CD232" s="3" t="n"/>
      <c r="CE232" s="3" t="n"/>
      <c r="CF232" s="3" t="n"/>
      <c r="CG232" s="3" t="n"/>
      <c r="CH232" s="3" t="n"/>
      <c r="CI232" s="3" t="n"/>
      <c r="CJ232" s="3" t="n"/>
      <c r="CK232" s="3" t="n"/>
      <c r="CL232" s="3" t="n"/>
      <c r="CM232" s="3" t="n"/>
      <c r="CN232" s="3" t="n"/>
      <c r="CO232" s="3" t="n"/>
      <c r="CP232" s="3" t="n"/>
      <c r="CQ232" s="3" t="n"/>
      <c r="CR232" s="3" t="n"/>
      <c r="CS232" s="3" t="n"/>
      <c r="CT232" s="3" t="n"/>
      <c r="CU232" s="3" t="n"/>
      <c r="CV232" s="3" t="n"/>
      <c r="CW232" s="3" t="n"/>
      <c r="CX232" s="3" t="n"/>
      <c r="CY232" s="3" t="n"/>
    </row>
    <row r="233" collapsed="1">
      <c r="C233" s="26" t="inlineStr">
        <is>
          <t>Convertible debt</t>
        </is>
      </c>
      <c r="D233" s="25">
        <f>INDEX('Inputs (2)'!$D$37:$AL$37,MATCH(D$7,'Inputs (2)'!$D$2:$AL$2,0))</f>
        <v>0</v>
      </c>
      <c r="E233" s="25">
        <f>INDEX('Inputs (2)'!$D$37:$AL$37,MATCH(E$7,'Inputs (2)'!$D$2:$AL$2,0))</f>
        <v>0</v>
      </c>
      <c r="F233" s="25">
        <f>INDEX('Inputs (2)'!$D$37:$AL$37,MATCH(F$7,'Inputs (2)'!$D$2:$AL$2,0))</f>
        <v>0</v>
      </c>
      <c r="G233" s="25">
        <f>INDEX('Inputs (2)'!$D$37:$AL$37,MATCH(G$7,'Inputs (2)'!$D$2:$AL$2,0))</f>
        <v>0</v>
      </c>
      <c r="H233" s="3">
        <f>G233</f>
        <v>0</v>
      </c>
      <c r="I233" s="25">
        <f>INDEX('Inputs (2)'!$D$37:$AL$37,MATCH(I$7,'Inputs (2)'!$D$2:$AL$2,0))</f>
        <v>0</v>
      </c>
      <c r="J233" s="25">
        <f>INDEX('Inputs (2)'!$D$37:$AL$37,MATCH(J$7,'Inputs (2)'!$D$2:$AL$2,0))</f>
        <v>0</v>
      </c>
      <c r="K233" s="25">
        <f>INDEX('Inputs (2)'!$D$37:$AL$37,MATCH(K$7,'Inputs (2)'!$D$2:$AL$2,0))</f>
        <v>0</v>
      </c>
      <c r="L233" s="25">
        <f>INDEX('Inputs (2)'!$D$37:$AL$37,MATCH(L$7,'Inputs (2)'!$D$2:$AL$2,0))</f>
        <v>0</v>
      </c>
      <c r="M233" s="3">
        <f>L233</f>
        <v>0</v>
      </c>
      <c r="N233" s="25">
        <f>INDEX('Inputs (2)'!$D$37:$AL$37,MATCH(N$7,'Inputs (2)'!$D$2:$AL$2,0))</f>
        <v>0</v>
      </c>
      <c r="O233" s="25">
        <f>INDEX('Inputs (2)'!$D$37:$AL$37,MATCH(O$7,'Inputs (2)'!$D$2:$AL$2,0))</f>
        <v>0</v>
      </c>
      <c r="P233" s="25">
        <f>INDEX('Inputs (2)'!$D$37:$AL$37,MATCH(P$7,'Inputs (2)'!$D$2:$AL$2,0))</f>
        <v>0</v>
      </c>
      <c r="Q233" s="25">
        <f>INDEX('Inputs (2)'!$D$37:$AL$37,MATCH(Q$7,'Inputs (2)'!$D$2:$AL$2,0))</f>
        <v>0</v>
      </c>
      <c r="R233" s="3">
        <f>Q233</f>
        <v>0</v>
      </c>
      <c r="S233" s="25">
        <f>INDEX('Inputs (2)'!$D$37:$AL$37,MATCH(S$7,'Inputs (2)'!$D$2:$AL$2,0))</f>
        <v>0</v>
      </c>
      <c r="T233" s="25">
        <f>INDEX('Inputs (2)'!$D$37:$AL$37,MATCH(T$7,'Inputs (2)'!$D$2:$AL$2,0))</f>
        <v>0</v>
      </c>
      <c r="U233" s="25">
        <f>INDEX('Inputs (2)'!$D$37:$AL$37,MATCH(U$7,'Inputs (2)'!$D$2:$AL$2,0))</f>
        <v>0</v>
      </c>
      <c r="V233" s="25">
        <f>INDEX('Inputs (2)'!$D$37:$AL$37,MATCH(V$7,'Inputs (2)'!$D$2:$AL$2,0))</f>
        <v>0</v>
      </c>
      <c r="W233" s="3">
        <f>V233</f>
        <v>0</v>
      </c>
      <c r="X233" s="25">
        <f>INDEX('Inputs (2)'!$D$37:$AL$37,MATCH(X$7,'Inputs (2)'!$D$2:$AL$2,0))</f>
        <v>0</v>
      </c>
      <c r="Y233" s="25">
        <f>INDEX('Inputs (2)'!$D$37:$AL$37,MATCH(Y$7,'Inputs (2)'!$D$2:$AL$2,0))</f>
        <v>0</v>
      </c>
      <c r="Z233" s="25">
        <f>INDEX('Inputs (2)'!$D$37:$AL$37,MATCH(Z$7,'Inputs (2)'!$D$2:$AL$2,0))</f>
        <v>0</v>
      </c>
      <c r="AA233" s="25">
        <f>INDEX('Inputs (2)'!$D$37:$AL$37,MATCH(AA$7,'Inputs (2)'!$D$2:$AL$2,0))</f>
        <v>0</v>
      </c>
      <c r="AB233" s="3">
        <f>AA233</f>
        <v>0</v>
      </c>
      <c r="AC233" s="25">
        <f>INDEX('Inputs (2)'!$D$37:$AL$37,MATCH(AC$7,'Inputs (2)'!$D$2:$AL$2,0))</f>
        <v>0</v>
      </c>
      <c r="AD233" s="25">
        <f>INDEX('Inputs (2)'!$D$37:$AL$37,MATCH(AD$7,'Inputs (2)'!$D$2:$AL$2,0))</f>
        <v>0</v>
      </c>
      <c r="AE233" s="25">
        <f>INDEX('Inputs (2)'!$D$37:$AL$37,MATCH(AE$7,'Inputs (2)'!$D$2:$AL$2,0))</f>
        <v>0</v>
      </c>
      <c r="AF233" s="25">
        <f>INDEX('Inputs (2)'!$D$37:$AL$37,MATCH(AF$7,'Inputs (2)'!$D$2:$AL$2,0))</f>
        <v>0</v>
      </c>
      <c r="AG233" s="3">
        <f>AF233</f>
        <v>0</v>
      </c>
      <c r="AH233" s="3">
        <f>INDEX('Inputs (2)'!$D$37:$AL$37,MATCH(AH$7,'Inputs (2)'!$D$2:$AL$2,0))</f>
        <v>0</v>
      </c>
      <c r="AI233" s="3">
        <f>INDEX('Inputs (2)'!$D$37:$AL$37,MATCH(AI$7,'Inputs (2)'!$D$2:$AL$2,0))</f>
        <v>0</v>
      </c>
      <c r="AJ233" s="3">
        <f>AI233</f>
        <v>0</v>
      </c>
      <c r="AK233" s="3">
        <f>AJ233</f>
        <v>0</v>
      </c>
      <c r="AL233" s="3">
        <f>AK233</f>
        <v>0</v>
      </c>
      <c r="AM233" s="3">
        <f>AL233</f>
        <v>0</v>
      </c>
      <c r="AN233" s="3">
        <f>AM233</f>
        <v>0</v>
      </c>
      <c r="AO233" s="3">
        <f>AN233</f>
        <v>0</v>
      </c>
      <c r="AP233" s="3">
        <f>AO233</f>
        <v>0</v>
      </c>
      <c r="AQ233" s="3">
        <f>AP233</f>
        <v>0</v>
      </c>
      <c r="AR233" s="3">
        <f>AQ233</f>
        <v>0</v>
      </c>
      <c r="AS233" s="3">
        <f>AR233</f>
        <v>0</v>
      </c>
      <c r="AT233" s="3">
        <f>AS233</f>
        <v>0</v>
      </c>
      <c r="AU233" s="3">
        <f>AT233</f>
        <v>0</v>
      </c>
      <c r="AV233" s="3">
        <f>AU233</f>
        <v>0</v>
      </c>
      <c r="AW233" s="3">
        <f>AV233</f>
        <v>0</v>
      </c>
      <c r="AX233" s="3">
        <f>AW233</f>
        <v>0</v>
      </c>
      <c r="AY233" s="3">
        <f>AX233</f>
        <v>0</v>
      </c>
      <c r="AZ233" s="3">
        <f>AY233</f>
        <v>0</v>
      </c>
      <c r="BA233" s="3">
        <f>AZ233</f>
        <v>0</v>
      </c>
      <c r="BB233" s="3">
        <f>BA233</f>
        <v>0</v>
      </c>
      <c r="BC233" s="3">
        <f>BB233</f>
        <v>0</v>
      </c>
      <c r="BD233" s="3">
        <f>BC233</f>
        <v>0</v>
      </c>
      <c r="BE233" s="3">
        <f>BD233</f>
        <v>0</v>
      </c>
      <c r="BF233" s="3">
        <f>BE233</f>
        <v>0</v>
      </c>
      <c r="BG233" s="3">
        <f>BF233</f>
        <v>0</v>
      </c>
      <c r="BH233" s="3">
        <f>BG233</f>
        <v>0</v>
      </c>
      <c r="BI233" s="3">
        <f>BH233</f>
        <v>0</v>
      </c>
      <c r="BJ233" s="3">
        <f>BI233</f>
        <v>0</v>
      </c>
      <c r="BK233" s="3">
        <f>BJ233</f>
        <v>0</v>
      </c>
      <c r="BL233" s="3">
        <f>BK233</f>
        <v>0</v>
      </c>
      <c r="BM233" s="3">
        <f>BL233</f>
        <v>0</v>
      </c>
      <c r="BN233" s="3">
        <f>BM233</f>
        <v>0</v>
      </c>
      <c r="BO233" s="3">
        <f>BN233</f>
        <v>0</v>
      </c>
      <c r="BP233" s="3">
        <f>BO233</f>
        <v>0</v>
      </c>
      <c r="BQ233" s="3">
        <f>BP233</f>
        <v>0</v>
      </c>
      <c r="BR233" s="3">
        <f>BQ233</f>
        <v>0</v>
      </c>
      <c r="BS233" s="3">
        <f>BR233</f>
        <v>0</v>
      </c>
      <c r="BT233" s="3">
        <f>BS233</f>
        <v>0</v>
      </c>
      <c r="BU233" s="3">
        <f>BT233</f>
        <v>0</v>
      </c>
      <c r="BV233" s="3">
        <f>BU233</f>
        <v>0</v>
      </c>
      <c r="BW233" s="3">
        <f>BV233</f>
        <v>0</v>
      </c>
      <c r="BX233" s="3">
        <f>BW233</f>
        <v>0</v>
      </c>
      <c r="BY233" s="3">
        <f>BX233</f>
        <v>0</v>
      </c>
      <c r="BZ233" s="3">
        <f>BY233</f>
        <v>0</v>
      </c>
      <c r="CA233" s="3">
        <f>BZ233</f>
        <v>0</v>
      </c>
      <c r="CB233" s="3">
        <f>CA233</f>
        <v>0</v>
      </c>
      <c r="CC233" s="3">
        <f>CB233</f>
        <v>0</v>
      </c>
      <c r="CD233" s="3">
        <f>CC233</f>
        <v>0</v>
      </c>
      <c r="CE233" s="3">
        <f>CD233</f>
        <v>0</v>
      </c>
      <c r="CF233" s="3">
        <f>CE233</f>
        <v>0</v>
      </c>
      <c r="CG233" s="3">
        <f>CF233</f>
        <v>0</v>
      </c>
      <c r="CH233" s="3">
        <f>CG233</f>
        <v>0</v>
      </c>
      <c r="CI233" s="3">
        <f>CH233</f>
        <v>0</v>
      </c>
      <c r="CJ233" s="3">
        <f>CI233</f>
        <v>0</v>
      </c>
      <c r="CK233" s="3">
        <f>CJ233</f>
        <v>0</v>
      </c>
      <c r="CL233" s="3">
        <f>CK233</f>
        <v>0</v>
      </c>
      <c r="CM233" s="3">
        <f>CL233</f>
        <v>0</v>
      </c>
      <c r="CN233" s="3">
        <f>CM233</f>
        <v>0</v>
      </c>
      <c r="CO233" s="3">
        <f>CN233</f>
        <v>0</v>
      </c>
      <c r="CP233" s="3">
        <f>CO233</f>
        <v>0</v>
      </c>
      <c r="CQ233" s="3">
        <f>CP233</f>
        <v>0</v>
      </c>
      <c r="CR233" s="3">
        <f>CQ233</f>
        <v>0</v>
      </c>
      <c r="CS233" s="3">
        <f>CR233</f>
        <v>0</v>
      </c>
      <c r="CT233" s="3">
        <f>CS233</f>
        <v>0</v>
      </c>
      <c r="CU233" s="3">
        <f>CT233</f>
        <v>0</v>
      </c>
      <c r="CV233" s="3">
        <f>CU233</f>
        <v>0</v>
      </c>
      <c r="CW233" s="3">
        <f>CV233</f>
        <v>0</v>
      </c>
      <c r="CX233" s="3">
        <f>CW233</f>
        <v>0</v>
      </c>
      <c r="CY233" s="3">
        <f>CX233</f>
        <v>0</v>
      </c>
    </row>
    <row r="234">
      <c r="C234" s="26" t="inlineStr">
        <is>
          <t>Deferred income taxes</t>
        </is>
      </c>
      <c r="D234" s="25">
        <f>INDEX('Inputs (2)'!$D$38:$AL$38,MATCH(D$7,'Inputs (2)'!$D$2:$AL$2,0))</f>
        <v>2186.2</v>
      </c>
      <c r="E234" s="25">
        <f>INDEX('Inputs (2)'!$D$38:$AL$38,MATCH(E$7,'Inputs (2)'!$D$2:$AL$2,0))</f>
        <v>2039.2</v>
      </c>
      <c r="F234" s="25">
        <f>INDEX('Inputs (2)'!$D$38:$AL$38,MATCH(F$7,'Inputs (2)'!$D$2:$AL$2,0))</f>
        <v>2107.7</v>
      </c>
      <c r="G234" s="25">
        <f>INDEX('Inputs (2)'!$D$38:$AL$38,MATCH(G$7,'Inputs (2)'!$D$2:$AL$2,0))</f>
        <v>2099.9</v>
      </c>
      <c r="H234" s="3">
        <f>G234</f>
        <v>2099.9</v>
      </c>
      <c r="I234" s="25">
        <f>INDEX('Inputs (2)'!$D$38:$AL$38,MATCH(I$7,'Inputs (2)'!$D$2:$AL$2,0))</f>
        <v>2200.6</v>
      </c>
      <c r="J234" s="25">
        <f>INDEX('Inputs (2)'!$D$38:$AL$38,MATCH(J$7,'Inputs (2)'!$D$2:$AL$2,0))</f>
        <v>1857.3</v>
      </c>
      <c r="K234" s="25">
        <f>INDEX('Inputs (2)'!$D$38:$AL$38,MATCH(K$7,'Inputs (2)'!$D$2:$AL$2,0))</f>
        <v>1632.5</v>
      </c>
      <c r="L234" s="25">
        <f>INDEX('Inputs (2)'!$D$38:$AL$38,MATCH(L$7,'Inputs (2)'!$D$2:$AL$2,0))</f>
        <v>1733.7</v>
      </c>
      <c r="M234" s="3">
        <f>L234</f>
        <v>1733.7</v>
      </c>
      <c r="N234" s="25">
        <f>INDEX('Inputs (2)'!$D$38:$AL$38,MATCH(N$7,'Inputs (2)'!$D$2:$AL$2,0))</f>
        <v>1286.1</v>
      </c>
      <c r="O234" s="25">
        <f>INDEX('Inputs (2)'!$D$38:$AL$38,MATCH(O$7,'Inputs (2)'!$D$2:$AL$2,0))</f>
        <v>862.5</v>
      </c>
      <c r="P234" s="25">
        <f>INDEX('Inputs (2)'!$D$38:$AL$38,MATCH(P$7,'Inputs (2)'!$D$2:$AL$2,0))</f>
        <v>171.9</v>
      </c>
      <c r="Q234" s="25">
        <f>INDEX('Inputs (2)'!$D$38:$AL$38,MATCH(Q$7,'Inputs (2)'!$D$2:$AL$2,0))</f>
        <v>87.3</v>
      </c>
      <c r="R234" s="3">
        <f>Q234</f>
        <v>87.3</v>
      </c>
      <c r="S234" s="25">
        <f>INDEX('Inputs (2)'!$D$38:$AL$38,MATCH(S$7,'Inputs (2)'!$D$2:$AL$2,0))</f>
        <v>0</v>
      </c>
      <c r="T234" s="25">
        <f>INDEX('Inputs (2)'!$D$38:$AL$38,MATCH(T$7,'Inputs (2)'!$D$2:$AL$2,0))</f>
        <v>0</v>
      </c>
      <c r="U234" s="25">
        <f>INDEX('Inputs (2)'!$D$38:$AL$38,MATCH(U$7,'Inputs (2)'!$D$2:$AL$2,0))</f>
        <v>0</v>
      </c>
      <c r="V234" s="25">
        <f>INDEX('Inputs (2)'!$D$38:$AL$38,MATCH(V$7,'Inputs (2)'!$D$2:$AL$2,0))</f>
        <v>0</v>
      </c>
      <c r="W234" s="3">
        <f>V234</f>
        <v>0</v>
      </c>
      <c r="X234" s="25">
        <f>INDEX('Inputs (2)'!$D$38:$AL$38,MATCH(X$7,'Inputs (2)'!$D$2:$AL$2,0))</f>
        <v>0</v>
      </c>
      <c r="Y234" s="25">
        <f>INDEX('Inputs (2)'!$D$38:$AL$38,MATCH(Y$7,'Inputs (2)'!$D$2:$AL$2,0))</f>
        <v>0</v>
      </c>
      <c r="Z234" s="25">
        <f>INDEX('Inputs (2)'!$D$38:$AL$38,MATCH(Z$7,'Inputs (2)'!$D$2:$AL$2,0))</f>
        <v>0</v>
      </c>
      <c r="AA234" s="25">
        <f>INDEX('Inputs (2)'!$D$38:$AL$38,MATCH(AA$7,'Inputs (2)'!$D$2:$AL$2,0))</f>
        <v>0</v>
      </c>
      <c r="AB234" s="3">
        <f>AA234</f>
        <v>0</v>
      </c>
      <c r="AC234" s="25">
        <f>INDEX('Inputs (2)'!$D$38:$AL$38,MATCH(AC$7,'Inputs (2)'!$D$2:$AL$2,0))</f>
        <v>0</v>
      </c>
      <c r="AD234" s="25">
        <f>INDEX('Inputs (2)'!$D$38:$AL$38,MATCH(AD$7,'Inputs (2)'!$D$2:$AL$2,0))</f>
        <v>0</v>
      </c>
      <c r="AE234" s="25">
        <f>INDEX('Inputs (2)'!$D$38:$AL$38,MATCH(AE$7,'Inputs (2)'!$D$2:$AL$2,0))</f>
        <v>0</v>
      </c>
      <c r="AF234" s="25">
        <f>INDEX('Inputs (2)'!$D$38:$AL$38,MATCH(AF$7,'Inputs (2)'!$D$2:$AL$2,0))</f>
        <v>0</v>
      </c>
      <c r="AG234" s="3">
        <f>AF234</f>
        <v>0</v>
      </c>
      <c r="AH234" s="3">
        <f>INDEX('Inputs (2)'!$D$38:$AL$38,MATCH(AH$7,'Inputs (2)'!$D$2:$AL$2,0))</f>
        <v>0</v>
      </c>
      <c r="AI234" s="3">
        <f>INDEX('Inputs (2)'!$D$38:$AL$38,MATCH(AI$7,'Inputs (2)'!$D$2:$AL$2,0))</f>
        <v>0</v>
      </c>
      <c r="AJ234" s="3">
        <f>AI234</f>
        <v>0</v>
      </c>
      <c r="AK234" s="3">
        <f>AJ234</f>
        <v>0</v>
      </c>
      <c r="AL234" s="3">
        <f>AK234</f>
        <v>0</v>
      </c>
      <c r="AM234" s="3">
        <f>AL234</f>
        <v>0</v>
      </c>
      <c r="AN234" s="3">
        <f>AM234</f>
        <v>0</v>
      </c>
      <c r="AO234" s="3">
        <f>AN234</f>
        <v>0</v>
      </c>
      <c r="AP234" s="3">
        <f>AO234</f>
        <v>0</v>
      </c>
      <c r="AQ234" s="3">
        <f>AP234</f>
        <v>0</v>
      </c>
      <c r="AR234" s="3">
        <f>AQ234</f>
        <v>0</v>
      </c>
      <c r="AS234" s="3">
        <f>AR234</f>
        <v>0</v>
      </c>
      <c r="AT234" s="3">
        <f>AS234</f>
        <v>0</v>
      </c>
      <c r="AU234" s="3">
        <f>AT234</f>
        <v>0</v>
      </c>
      <c r="AV234" s="3">
        <f>AU234</f>
        <v>0</v>
      </c>
      <c r="AW234" s="3">
        <f>AV234</f>
        <v>0</v>
      </c>
      <c r="AX234" s="3">
        <f>AW234</f>
        <v>0</v>
      </c>
      <c r="AY234" s="3">
        <f>AX234</f>
        <v>0</v>
      </c>
      <c r="AZ234" s="3">
        <f>AY234</f>
        <v>0</v>
      </c>
      <c r="BA234" s="3">
        <f>AZ234</f>
        <v>0</v>
      </c>
      <c r="BB234" s="3">
        <f>BA234</f>
        <v>0</v>
      </c>
      <c r="BC234" s="3">
        <f>BB234</f>
        <v>0</v>
      </c>
      <c r="BD234" s="3">
        <f>BC234</f>
        <v>0</v>
      </c>
      <c r="BE234" s="3">
        <f>BD234</f>
        <v>0</v>
      </c>
      <c r="BF234" s="3">
        <f>BE234</f>
        <v>0</v>
      </c>
      <c r="BG234" s="3">
        <f>BF234</f>
        <v>0</v>
      </c>
      <c r="BH234" s="3">
        <f>BG234</f>
        <v>0</v>
      </c>
      <c r="BI234" s="3">
        <f>BH234</f>
        <v>0</v>
      </c>
      <c r="BJ234" s="3">
        <f>BI234</f>
        <v>0</v>
      </c>
      <c r="BK234" s="3">
        <f>BJ234</f>
        <v>0</v>
      </c>
      <c r="BL234" s="3">
        <f>BK234</f>
        <v>0</v>
      </c>
      <c r="BM234" s="3">
        <f>BL234</f>
        <v>0</v>
      </c>
      <c r="BN234" s="3">
        <f>BM234</f>
        <v>0</v>
      </c>
      <c r="BO234" s="3">
        <f>BN234</f>
        <v>0</v>
      </c>
      <c r="BP234" s="3">
        <f>BO234</f>
        <v>0</v>
      </c>
      <c r="BQ234" s="3">
        <f>BP234</f>
        <v>0</v>
      </c>
      <c r="BR234" s="3">
        <f>BQ234</f>
        <v>0</v>
      </c>
      <c r="BS234" s="3">
        <f>BR234</f>
        <v>0</v>
      </c>
      <c r="BT234" s="3">
        <f>BS234</f>
        <v>0</v>
      </c>
      <c r="BU234" s="3">
        <f>BT234</f>
        <v>0</v>
      </c>
      <c r="BV234" s="3">
        <f>BU234</f>
        <v>0</v>
      </c>
      <c r="BW234" s="3">
        <f>BV234</f>
        <v>0</v>
      </c>
      <c r="BX234" s="3">
        <f>BW234</f>
        <v>0</v>
      </c>
      <c r="BY234" s="3">
        <f>BX234</f>
        <v>0</v>
      </c>
      <c r="BZ234" s="3">
        <f>BY234</f>
        <v>0</v>
      </c>
      <c r="CA234" s="3">
        <f>BZ234</f>
        <v>0</v>
      </c>
      <c r="CB234" s="3">
        <f>CA234</f>
        <v>0</v>
      </c>
      <c r="CC234" s="3">
        <f>CB234</f>
        <v>0</v>
      </c>
      <c r="CD234" s="3">
        <f>CC234</f>
        <v>0</v>
      </c>
      <c r="CE234" s="3">
        <f>CD234</f>
        <v>0</v>
      </c>
      <c r="CF234" s="3">
        <f>CE234</f>
        <v>0</v>
      </c>
      <c r="CG234" s="3">
        <f>CF234</f>
        <v>0</v>
      </c>
      <c r="CH234" s="3">
        <f>CG234</f>
        <v>0</v>
      </c>
      <c r="CI234" s="3">
        <f>CH234</f>
        <v>0</v>
      </c>
      <c r="CJ234" s="3">
        <f>CI234</f>
        <v>0</v>
      </c>
      <c r="CK234" s="3">
        <f>CJ234</f>
        <v>0</v>
      </c>
      <c r="CL234" s="3">
        <f>CK234</f>
        <v>0</v>
      </c>
      <c r="CM234" s="3">
        <f>CL234</f>
        <v>0</v>
      </c>
      <c r="CN234" s="3">
        <f>CM234</f>
        <v>0</v>
      </c>
      <c r="CO234" s="3">
        <f>CN234</f>
        <v>0</v>
      </c>
      <c r="CP234" s="3">
        <f>CO234</f>
        <v>0</v>
      </c>
      <c r="CQ234" s="3">
        <f>CP234</f>
        <v>0</v>
      </c>
      <c r="CR234" s="3">
        <f>CQ234</f>
        <v>0</v>
      </c>
      <c r="CS234" s="3">
        <f>CR234</f>
        <v>0</v>
      </c>
      <c r="CT234" s="3">
        <f>CS234</f>
        <v>0</v>
      </c>
      <c r="CU234" s="3">
        <f>CT234</f>
        <v>0</v>
      </c>
      <c r="CV234" s="3">
        <f>CU234</f>
        <v>0</v>
      </c>
      <c r="CW234" s="3">
        <f>CV234</f>
        <v>0</v>
      </c>
      <c r="CX234" s="3">
        <f>CW234</f>
        <v>0</v>
      </c>
      <c r="CY234" s="3">
        <f>CX234</f>
        <v>0</v>
      </c>
    </row>
    <row r="235">
      <c r="C235" s="26" t="inlineStr">
        <is>
          <t>Other non-current liabilities</t>
        </is>
      </c>
      <c r="D235" s="25">
        <f>INDEX('Inputs (2)'!$D$39:$AL$39,MATCH(D$7,'Inputs (2)'!$D$2:$AL$2,0))</f>
        <v>9126.9</v>
      </c>
      <c r="E235" s="25">
        <f>INDEX('Inputs (2)'!$D$39:$AL$39,MATCH(E$7,'Inputs (2)'!$D$2:$AL$2,0))</f>
        <v>8602.9</v>
      </c>
      <c r="F235" s="25">
        <f>INDEX('Inputs (2)'!$D$39:$AL$39,MATCH(F$7,'Inputs (2)'!$D$2:$AL$2,0))</f>
        <v>8530.8</v>
      </c>
      <c r="G235" s="25">
        <f>INDEX('Inputs (2)'!$D$39:$AL$39,MATCH(G$7,'Inputs (2)'!$D$2:$AL$2,0))</f>
        <v>9639.8</v>
      </c>
      <c r="H235" s="3">
        <f>G235</f>
        <v>9639.8</v>
      </c>
      <c r="I235" s="25">
        <f>INDEX('Inputs (2)'!$D$39:$AL$39,MATCH(I$7,'Inputs (2)'!$D$2:$AL$2,0))</f>
        <v>9624.6</v>
      </c>
      <c r="J235" s="25">
        <f>INDEX('Inputs (2)'!$D$39:$AL$39,MATCH(J$7,'Inputs (2)'!$D$2:$AL$2,0))</f>
        <v>9458.4</v>
      </c>
      <c r="K235" s="25">
        <f>INDEX('Inputs (2)'!$D$39:$AL$39,MATCH(K$7,'Inputs (2)'!$D$2:$AL$2,0))</f>
        <v>9396</v>
      </c>
      <c r="L235" s="25">
        <f>INDEX('Inputs (2)'!$D$39:$AL$39,MATCH(L$7,'Inputs (2)'!$D$2:$AL$2,0))</f>
        <v>7518.4</v>
      </c>
      <c r="M235" s="3">
        <f>L235</f>
        <v>7518.4</v>
      </c>
      <c r="N235" s="25">
        <f>INDEX('Inputs (2)'!$D$39:$AL$39,MATCH(N$7,'Inputs (2)'!$D$2:$AL$2,0))</f>
        <v>7632.3</v>
      </c>
      <c r="O235" s="25">
        <f>INDEX('Inputs (2)'!$D$39:$AL$39,MATCH(O$7,'Inputs (2)'!$D$2:$AL$2,0))</f>
        <v>7229.3</v>
      </c>
      <c r="P235" s="25">
        <f>INDEX('Inputs (2)'!$D$39:$AL$39,MATCH(P$7,'Inputs (2)'!$D$2:$AL$2,0))</f>
        <v>7327.1</v>
      </c>
      <c r="Q235" s="25">
        <f>INDEX('Inputs (2)'!$D$39:$AL$39,MATCH(Q$7,'Inputs (2)'!$D$2:$AL$2,0))</f>
        <v>6751.4</v>
      </c>
      <c r="R235" s="3">
        <f>Q235</f>
        <v>6751.4</v>
      </c>
      <c r="S235" s="25">
        <f>INDEX('Inputs (2)'!$D$39:$AL$39,MATCH(S$7,'Inputs (2)'!$D$2:$AL$2,0))</f>
        <v>6977.6</v>
      </c>
      <c r="T235" s="25">
        <f>INDEX('Inputs (2)'!$D$39:$AL$39,MATCH(T$7,'Inputs (2)'!$D$2:$AL$2,0))</f>
        <v>6591.3</v>
      </c>
      <c r="U235" s="25">
        <f>INDEX('Inputs (2)'!$D$39:$AL$39,MATCH(U$7,'Inputs (2)'!$D$2:$AL$2,0))</f>
        <v>6686.3</v>
      </c>
      <c r="V235" s="25">
        <f>INDEX('Inputs (2)'!$D$39:$AL$39,MATCH(V$7,'Inputs (2)'!$D$2:$AL$2,0))</f>
        <v>7528.6</v>
      </c>
      <c r="W235" s="3">
        <f>V235</f>
        <v>7528.6</v>
      </c>
      <c r="X235" s="25">
        <f>INDEX('Inputs (2)'!$D$39:$AL$39,MATCH(X$7,'Inputs (2)'!$D$2:$AL$2,0))</f>
        <v>7888.1</v>
      </c>
      <c r="Y235" s="25">
        <f>INDEX('Inputs (2)'!$D$39:$AL$39,MATCH(Y$7,'Inputs (2)'!$D$2:$AL$2,0))</f>
        <v>7387.7</v>
      </c>
      <c r="Z235" s="25">
        <f>INDEX('Inputs (2)'!$D$39:$AL$39,MATCH(Z$7,'Inputs (2)'!$D$2:$AL$2,0))</f>
        <v>7566.7</v>
      </c>
      <c r="AA235" s="25">
        <f>INDEX('Inputs (2)'!$D$39:$AL$39,MATCH(AA$7,'Inputs (2)'!$D$2:$AL$2,0))</f>
        <v>7539.6</v>
      </c>
      <c r="AB235" s="3">
        <f>AA235</f>
        <v>7539.6</v>
      </c>
      <c r="AC235" s="25">
        <f>INDEX('Inputs (2)'!$D$39:$AL$39,MATCH(AC$7,'Inputs (2)'!$D$2:$AL$2,0))</f>
        <v>8974.4</v>
      </c>
      <c r="AD235" s="25">
        <f>INDEX('Inputs (2)'!$D$39:$AL$39,MATCH(AD$7,'Inputs (2)'!$D$2:$AL$2,0))</f>
        <v>9373.5</v>
      </c>
      <c r="AE235" s="25">
        <f>INDEX('Inputs (2)'!$D$39:$AL$39,MATCH(AE$7,'Inputs (2)'!$D$2:$AL$2,0))</f>
        <v>10070.1</v>
      </c>
      <c r="AF235" s="25">
        <f>INDEX('Inputs (2)'!$D$39:$AL$39,MATCH(AF$7,'Inputs (2)'!$D$2:$AL$2,0))</f>
        <v>9867</v>
      </c>
      <c r="AG235" s="3">
        <f>AF235</f>
        <v>9867</v>
      </c>
      <c r="AH235" s="3">
        <f>INDEX('Inputs (2)'!$D$39:$AL$39,MATCH(AH$7,'Inputs (2)'!$D$2:$AL$2,0))</f>
        <v>9393</v>
      </c>
      <c r="AI235" s="3">
        <f>INDEX('Inputs (2)'!$D$39:$AL$39,MATCH(AI$7,'Inputs (2)'!$D$2:$AL$2,0))</f>
        <v>12860</v>
      </c>
      <c r="AJ235" s="3">
        <f>AI235</f>
        <v>12860</v>
      </c>
      <c r="AK235" s="3">
        <f>AJ235</f>
        <v>12860</v>
      </c>
      <c r="AL235" s="3">
        <f>AK235</f>
        <v>12860</v>
      </c>
      <c r="AM235" s="3">
        <f>AL235</f>
        <v>12860</v>
      </c>
      <c r="AN235" s="3">
        <f>AM235</f>
        <v>12860</v>
      </c>
      <c r="AO235" s="3">
        <f>AN235</f>
        <v>12860</v>
      </c>
      <c r="AP235" s="3">
        <f>AO235</f>
        <v>12860</v>
      </c>
      <c r="AQ235" s="3">
        <f>AP235</f>
        <v>12860</v>
      </c>
      <c r="AR235" s="3">
        <f>AQ235</f>
        <v>12860</v>
      </c>
      <c r="AS235" s="3">
        <f>AR235</f>
        <v>12860</v>
      </c>
      <c r="AT235" s="3">
        <f>AS235</f>
        <v>12860</v>
      </c>
      <c r="AU235" s="3">
        <f>AT235</f>
        <v>12860</v>
      </c>
      <c r="AV235" s="3">
        <f>AU235</f>
        <v>12860</v>
      </c>
      <c r="AW235" s="3">
        <f>AV235</f>
        <v>12860</v>
      </c>
      <c r="AX235" s="3">
        <f>AW235</f>
        <v>12860</v>
      </c>
      <c r="AY235" s="3">
        <f>AX235</f>
        <v>12860</v>
      </c>
      <c r="AZ235" s="3">
        <f>AY235</f>
        <v>12860</v>
      </c>
      <c r="BA235" s="3">
        <f>AZ235</f>
        <v>12860</v>
      </c>
      <c r="BB235" s="3">
        <f>BA235</f>
        <v>12860</v>
      </c>
      <c r="BC235" s="3">
        <f>BB235</f>
        <v>12860</v>
      </c>
      <c r="BD235" s="3">
        <f>BC235</f>
        <v>12860</v>
      </c>
      <c r="BE235" s="3">
        <f>BD235</f>
        <v>12860</v>
      </c>
      <c r="BF235" s="3">
        <f>BE235</f>
        <v>12860</v>
      </c>
      <c r="BG235" s="3">
        <f>BF235</f>
        <v>12860</v>
      </c>
      <c r="BH235" s="3">
        <f>BG235</f>
        <v>12860</v>
      </c>
      <c r="BI235" s="3">
        <f>BH235</f>
        <v>12860</v>
      </c>
      <c r="BJ235" s="3">
        <f>BI235</f>
        <v>12860</v>
      </c>
      <c r="BK235" s="3">
        <f>BJ235</f>
        <v>12860</v>
      </c>
      <c r="BL235" s="3">
        <f>BK235</f>
        <v>12860</v>
      </c>
      <c r="BM235" s="3">
        <f>BL235</f>
        <v>12860</v>
      </c>
      <c r="BN235" s="3">
        <f>BM235</f>
        <v>12860</v>
      </c>
      <c r="BO235" s="3">
        <f>BN235</f>
        <v>12860</v>
      </c>
      <c r="BP235" s="3">
        <f>BO235</f>
        <v>12860</v>
      </c>
      <c r="BQ235" s="3">
        <f>BP235</f>
        <v>12860</v>
      </c>
      <c r="BR235" s="3">
        <f>BQ235</f>
        <v>12860</v>
      </c>
      <c r="BS235" s="3">
        <f>BR235</f>
        <v>12860</v>
      </c>
      <c r="BT235" s="3">
        <f>BS235</f>
        <v>12860</v>
      </c>
      <c r="BU235" s="3">
        <f>BT235</f>
        <v>12860</v>
      </c>
      <c r="BV235" s="3">
        <f>BU235</f>
        <v>12860</v>
      </c>
      <c r="BW235" s="3">
        <f>BV235</f>
        <v>12860</v>
      </c>
      <c r="BX235" s="3">
        <f>BW235</f>
        <v>12860</v>
      </c>
      <c r="BY235" s="3">
        <f>BX235</f>
        <v>12860</v>
      </c>
      <c r="BZ235" s="3">
        <f>BY235</f>
        <v>12860</v>
      </c>
      <c r="CA235" s="3">
        <f>BZ235</f>
        <v>12860</v>
      </c>
      <c r="CB235" s="3">
        <f>CA235</f>
        <v>12860</v>
      </c>
      <c r="CC235" s="3">
        <f>CB235</f>
        <v>12860</v>
      </c>
      <c r="CD235" s="3">
        <f>CC235</f>
        <v>12860</v>
      </c>
      <c r="CE235" s="3">
        <f>CD235</f>
        <v>12860</v>
      </c>
      <c r="CF235" s="3">
        <f>CE235</f>
        <v>12860</v>
      </c>
      <c r="CG235" s="3">
        <f>CF235</f>
        <v>12860</v>
      </c>
      <c r="CH235" s="3">
        <f>CG235</f>
        <v>12860</v>
      </c>
      <c r="CI235" s="3">
        <f>CH235</f>
        <v>12860</v>
      </c>
      <c r="CJ235" s="3">
        <f>CI235</f>
        <v>12860</v>
      </c>
      <c r="CK235" s="3">
        <f>CJ235</f>
        <v>12860</v>
      </c>
      <c r="CL235" s="3">
        <f>CK235</f>
        <v>12860</v>
      </c>
      <c r="CM235" s="3">
        <f>CL235</f>
        <v>12860</v>
      </c>
      <c r="CN235" s="3">
        <f>CM235</f>
        <v>12860</v>
      </c>
      <c r="CO235" s="3">
        <f>CN235</f>
        <v>12860</v>
      </c>
      <c r="CP235" s="3">
        <f>CO235</f>
        <v>12860</v>
      </c>
      <c r="CQ235" s="3">
        <f>CP235</f>
        <v>12860</v>
      </c>
      <c r="CR235" s="3">
        <f>CQ235</f>
        <v>12860</v>
      </c>
      <c r="CS235" s="3">
        <f>CR235</f>
        <v>12860</v>
      </c>
      <c r="CT235" s="3">
        <f>CS235</f>
        <v>12860</v>
      </c>
      <c r="CU235" s="3">
        <f>CT235</f>
        <v>12860</v>
      </c>
      <c r="CV235" s="3">
        <f>CU235</f>
        <v>12860</v>
      </c>
      <c r="CW235" s="3">
        <f>CV235</f>
        <v>12860</v>
      </c>
      <c r="CX235" s="3">
        <f>CW235</f>
        <v>12860</v>
      </c>
      <c r="CY235" s="3">
        <f>CX235</f>
        <v>12860</v>
      </c>
    </row>
    <row r="236" hidden="1" outlineLevel="1" ht="12" customHeight="1">
      <c r="C236" s="38" t="inlineStr">
        <is>
          <t>%(Var.)</t>
        </is>
      </c>
      <c r="D236" s="3" t="n"/>
      <c r="E236" s="47">
        <f>(E235-D235)/D235</f>
        <v>-0.0574127031083939</v>
      </c>
      <c r="F236" s="47">
        <f>(F235-E235)/E235</f>
        <v>-0.00838089481453933</v>
      </c>
      <c r="G236" s="47">
        <f>(G235-F235)/F235</f>
        <v>0.129999531110799</v>
      </c>
      <c r="H236" s="3" t="n"/>
      <c r="I236" s="47">
        <f>(I235-H235)/H235</f>
        <v>-0.00157679619909115</v>
      </c>
      <c r="J236" s="47">
        <f>(J235-I235)/I235</f>
        <v>-0.0172682501090955</v>
      </c>
      <c r="K236" s="47">
        <f>(K235-J235)/J235</f>
        <v>-0.00659731032732805</v>
      </c>
      <c r="L236" s="47">
        <f>(L235-K235)/K235</f>
        <v>-0.199829714772244</v>
      </c>
      <c r="M236" s="3" t="n"/>
      <c r="N236" s="47">
        <f>(N235-M235)/M235</f>
        <v>0.0151494998935943</v>
      </c>
      <c r="O236" s="47">
        <f>(O235-N235)/N235</f>
        <v>-0.0528019076818259</v>
      </c>
      <c r="P236" s="47">
        <f>(P235-O235)/O235</f>
        <v>0.013528280746407</v>
      </c>
      <c r="Q236" s="47">
        <f>(Q235-P235)/P235</f>
        <v>-0.0785713310859685</v>
      </c>
      <c r="R236" s="3" t="n"/>
      <c r="S236" s="47">
        <f>(S235-R235)/R235</f>
        <v>0.0335041620997128</v>
      </c>
      <c r="T236" s="47">
        <f>(T235-S235)/S235</f>
        <v>-0.0553628754872737</v>
      </c>
      <c r="U236" s="47">
        <f>(U235-T235)/T235</f>
        <v>0.0144129382671097</v>
      </c>
      <c r="V236" s="47">
        <f>(V235-U235)/U235</f>
        <v>0.125974006550708</v>
      </c>
      <c r="W236" s="3" t="n"/>
      <c r="X236" s="47">
        <f>(X235-W235)/W235</f>
        <v>0.0477512419307707</v>
      </c>
      <c r="Y236" s="47">
        <f>(Y235-X235)/X235</f>
        <v>-0.0634373296484578</v>
      </c>
      <c r="Z236" s="47">
        <f>(Z235-Y235)/Y235</f>
        <v>0.0242294624849412</v>
      </c>
      <c r="AA236" s="47">
        <f>(AA235-Z235)/Z235</f>
        <v>-0.00358148201990304</v>
      </c>
      <c r="AB236" s="3" t="n"/>
      <c r="AC236" s="47">
        <f>(AC235-AB235)/AB235</f>
        <v>0.190301872778397</v>
      </c>
      <c r="AD236" s="47">
        <f>(AD235-AC235)/AC235</f>
        <v>0.0444709395614192</v>
      </c>
      <c r="AE236" s="47">
        <f>(AE235-AD235)/AD235</f>
        <v>0.0743158905424867</v>
      </c>
      <c r="AF236" s="230">
        <f>(AF235-AE235)/AE235</f>
        <v>-0.0201686179879046</v>
      </c>
      <c r="AG236" s="3" t="n"/>
      <c r="AH236" s="230">
        <f>(AH235-AG235)/AG235</f>
        <v>-0.048038917604135</v>
      </c>
      <c r="AI236" s="230">
        <f>(AI235-AH235)/AH235</f>
        <v>0.369104652400724</v>
      </c>
      <c r="AJ236" s="230" t="n"/>
      <c r="AK236" s="230" t="n"/>
      <c r="AL236" s="3" t="n"/>
      <c r="AM236" s="230" t="n"/>
      <c r="AN236" s="230" t="n"/>
      <c r="AO236" s="230" t="n"/>
      <c r="AP236" s="230" t="n"/>
      <c r="AQ236" s="3" t="n"/>
      <c r="AR236" s="230" t="n"/>
      <c r="AS236" s="230" t="n"/>
      <c r="AT236" s="230" t="n"/>
      <c r="AU236" s="230" t="n"/>
      <c r="AV236" s="3" t="n"/>
      <c r="AW236" s="230" t="n"/>
      <c r="AX236" s="230" t="n"/>
      <c r="AY236" s="230" t="n"/>
      <c r="AZ236" s="230" t="n"/>
      <c r="BA236" s="3" t="n"/>
      <c r="BB236" s="230" t="n"/>
      <c r="BC236" s="230" t="n"/>
      <c r="BD236" s="230" t="n"/>
      <c r="BE236" s="230" t="n"/>
      <c r="BF236" s="3" t="n"/>
      <c r="BG236" s="230" t="n"/>
      <c r="BH236" s="230" t="n"/>
      <c r="BI236" s="230" t="n"/>
      <c r="BJ236" s="230" t="n"/>
      <c r="BK236" s="3" t="n"/>
      <c r="BL236" s="230" t="n"/>
      <c r="BM236" s="230" t="n"/>
      <c r="BN236" s="230" t="n"/>
      <c r="BO236" s="230" t="n"/>
      <c r="BP236" s="3" t="n"/>
      <c r="BQ236" s="230" t="n"/>
      <c r="BR236" s="230" t="n"/>
      <c r="BS236" s="230" t="n"/>
      <c r="BT236" s="230" t="n"/>
      <c r="BU236" s="3" t="n"/>
      <c r="BV236" s="230" t="n"/>
      <c r="BW236" s="230" t="n"/>
      <c r="BX236" s="230" t="n"/>
      <c r="BY236" s="230" t="n"/>
      <c r="BZ236" s="3" t="n"/>
      <c r="CA236" s="230" t="n"/>
      <c r="CB236" s="230" t="n"/>
      <c r="CC236" s="230" t="n"/>
      <c r="CD236" s="230" t="n"/>
      <c r="CE236" s="3" t="n"/>
      <c r="CF236" s="230" t="n"/>
      <c r="CG236" s="230" t="n"/>
      <c r="CH236" s="230" t="n"/>
      <c r="CI236" s="230" t="n"/>
      <c r="CJ236" s="3" t="n"/>
      <c r="CK236" s="230" t="n"/>
      <c r="CL236" s="230" t="n"/>
      <c r="CM236" s="230" t="n"/>
      <c r="CN236" s="230" t="n"/>
      <c r="CO236" s="3" t="n"/>
      <c r="CP236" s="230" t="n"/>
      <c r="CQ236" s="230" t="n"/>
      <c r="CR236" s="230" t="n"/>
      <c r="CS236" s="230" t="n"/>
      <c r="CT236" s="3" t="n"/>
      <c r="CU236" s="230" t="n"/>
      <c r="CV236" s="230" t="n"/>
      <c r="CW236" s="230" t="n"/>
      <c r="CX236" s="230" t="n"/>
      <c r="CY236" s="3" t="n"/>
    </row>
    <row r="237" hidden="1" outlineLevel="1" ht="12" customHeight="1">
      <c r="C237" s="38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  <c r="BO237" s="3" t="n"/>
      <c r="BP237" s="3" t="n"/>
      <c r="BQ237" s="3" t="n"/>
      <c r="BR237" s="3" t="n"/>
      <c r="BS237" s="3" t="n"/>
      <c r="BT237" s="3" t="n"/>
      <c r="BU237" s="3" t="n"/>
      <c r="BV237" s="3" t="n"/>
      <c r="BW237" s="3" t="n"/>
      <c r="BX237" s="3" t="n"/>
      <c r="BY237" s="3" t="n"/>
      <c r="BZ237" s="3" t="n"/>
      <c r="CA237" s="3" t="n"/>
      <c r="CB237" s="3" t="n"/>
      <c r="CC237" s="3" t="n"/>
      <c r="CD237" s="3" t="n"/>
      <c r="CE237" s="3" t="n"/>
      <c r="CF237" s="3" t="n"/>
      <c r="CG237" s="3" t="n"/>
      <c r="CH237" s="3" t="n"/>
      <c r="CI237" s="3" t="n"/>
      <c r="CJ237" s="3" t="n"/>
      <c r="CK237" s="3" t="n"/>
      <c r="CL237" s="3" t="n"/>
      <c r="CM237" s="3" t="n"/>
      <c r="CN237" s="3" t="n"/>
      <c r="CO237" s="3" t="n"/>
      <c r="CP237" s="3" t="n"/>
      <c r="CQ237" s="3" t="n"/>
      <c r="CR237" s="3" t="n"/>
      <c r="CS237" s="3" t="n"/>
      <c r="CT237" s="3" t="n"/>
      <c r="CU237" s="3" t="n"/>
      <c r="CV237" s="3" t="n"/>
      <c r="CW237" s="3" t="n"/>
      <c r="CX237" s="3" t="n"/>
      <c r="CY237" s="3" t="n"/>
    </row>
    <row r="238" hidden="1" outlineLevel="1">
      <c r="C238" s="34" t="inlineStr">
        <is>
          <t>Contas a pagar pela aquisição de controladas</t>
        </is>
      </c>
      <c r="D238" s="6" t="n"/>
      <c r="E238" s="6" t="n"/>
      <c r="F238" s="6" t="n"/>
      <c r="G238" s="6" t="n"/>
      <c r="H238" s="3" t="n"/>
      <c r="I238" s="6" t="n"/>
      <c r="J238" s="6" t="n"/>
      <c r="K238" s="6" t="n"/>
      <c r="L238" s="6" t="n"/>
      <c r="M238" s="3" t="n"/>
      <c r="N238" s="6" t="n"/>
      <c r="O238" s="6" t="n"/>
      <c r="P238" s="6" t="n"/>
      <c r="Q238" s="6" t="n"/>
      <c r="R238" s="3" t="n"/>
      <c r="S238" s="6" t="n"/>
      <c r="T238" s="6" t="n"/>
      <c r="U238" s="6" t="n"/>
      <c r="V238" s="6" t="n"/>
      <c r="W238" s="3" t="n"/>
      <c r="X238" s="6" t="n"/>
      <c r="Y238" s="6" t="n"/>
      <c r="Z238" s="6" t="n"/>
      <c r="AA238" s="6" t="n"/>
      <c r="AB238" s="3" t="n"/>
      <c r="AC238" s="6" t="n"/>
      <c r="AD238" s="6" t="n"/>
      <c r="AE238" s="6" t="n"/>
      <c r="AF238" s="6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/>
      <c r="AZ238" s="3" t="n"/>
      <c r="BA238" s="3" t="n"/>
      <c r="BB238" s="3" t="n"/>
      <c r="BC238" s="3" t="n"/>
      <c r="BD238" s="3" t="n"/>
      <c r="BE238" s="3" t="n"/>
      <c r="BF238" s="3" t="n"/>
      <c r="BG238" s="3" t="n"/>
      <c r="BH238" s="3" t="n"/>
      <c r="BI238" s="3" t="n"/>
      <c r="BJ238" s="3" t="n"/>
      <c r="BK238" s="3" t="n"/>
      <c r="BL238" s="3" t="n"/>
      <c r="BM238" s="3" t="n"/>
      <c r="BN238" s="3" t="n"/>
      <c r="BO238" s="3" t="n"/>
      <c r="BP238" s="3" t="n"/>
      <c r="BQ238" s="3" t="n"/>
      <c r="BR238" s="3" t="n"/>
      <c r="BS238" s="3" t="n"/>
      <c r="BT238" s="3" t="n"/>
      <c r="BU238" s="3" t="n"/>
      <c r="BV238" s="3" t="n"/>
      <c r="BW238" s="3" t="n"/>
      <c r="BX238" s="3" t="n"/>
      <c r="BY238" s="3" t="n"/>
      <c r="BZ238" s="3" t="n"/>
      <c r="CA238" s="3" t="n"/>
      <c r="CB238" s="3" t="n"/>
      <c r="CC238" s="3" t="n"/>
      <c r="CD238" s="3" t="n"/>
      <c r="CE238" s="3" t="n"/>
      <c r="CF238" s="3" t="n"/>
      <c r="CG238" s="3" t="n"/>
      <c r="CH238" s="3" t="n"/>
      <c r="CI238" s="3" t="n"/>
      <c r="CJ238" s="3" t="n"/>
      <c r="CK238" s="3" t="n"/>
      <c r="CL238" s="3" t="n"/>
      <c r="CM238" s="3" t="n"/>
      <c r="CN238" s="3" t="n"/>
      <c r="CO238" s="3" t="n"/>
      <c r="CP238" s="3" t="n"/>
      <c r="CQ238" s="3" t="n"/>
      <c r="CR238" s="3" t="n"/>
      <c r="CS238" s="3" t="n"/>
      <c r="CT238" s="3" t="n"/>
      <c r="CU238" s="3" t="n"/>
      <c r="CV238" s="3" t="n"/>
      <c r="CW238" s="3" t="n"/>
      <c r="CX238" s="3" t="n"/>
      <c r="CY238" s="3" t="n"/>
    </row>
    <row r="239" hidden="1" outlineLevel="1">
      <c r="C239" s="34" t="inlineStr">
        <is>
          <t xml:space="preserve">Outras Obrigações </t>
        </is>
      </c>
      <c r="D239" s="6" t="n"/>
      <c r="E239" s="6" t="n"/>
      <c r="F239" s="6" t="n"/>
      <c r="G239" s="6" t="n"/>
      <c r="H239" s="3" t="n"/>
      <c r="I239" s="6" t="n"/>
      <c r="J239" s="6" t="n"/>
      <c r="K239" s="6" t="n"/>
      <c r="L239" s="6" t="n"/>
      <c r="M239" s="3" t="n"/>
      <c r="N239" s="6" t="n"/>
      <c r="O239" s="6" t="n"/>
      <c r="P239" s="6" t="n"/>
      <c r="Q239" s="6" t="n"/>
      <c r="R239" s="3" t="n"/>
      <c r="S239" s="6" t="n"/>
      <c r="T239" s="6" t="n"/>
      <c r="U239" s="6" t="n"/>
      <c r="V239" s="6" t="n"/>
      <c r="W239" s="3" t="n"/>
      <c r="X239" s="6" t="n"/>
      <c r="Y239" s="6" t="n"/>
      <c r="Z239" s="6" t="n"/>
      <c r="AA239" s="6" t="n"/>
      <c r="AB239" s="3" t="n"/>
      <c r="AC239" s="6" t="n"/>
      <c r="AD239" s="6" t="n"/>
      <c r="AE239" s="6" t="n"/>
      <c r="AF239" s="6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n"/>
      <c r="CC239" s="3" t="n"/>
      <c r="CD239" s="3" t="n"/>
      <c r="CE239" s="3" t="n"/>
      <c r="CF239" s="3" t="n"/>
      <c r="CG239" s="3" t="n"/>
      <c r="CH239" s="3" t="n"/>
      <c r="CI239" s="3" t="n"/>
      <c r="CJ239" s="3" t="n"/>
      <c r="CK239" s="3" t="n"/>
      <c r="CL239" s="3" t="n"/>
      <c r="CM239" s="3" t="n"/>
      <c r="CN239" s="3" t="n"/>
      <c r="CO239" s="3" t="n"/>
      <c r="CP239" s="3" t="n"/>
      <c r="CQ239" s="3" t="n"/>
      <c r="CR239" s="3" t="n"/>
      <c r="CS239" s="3" t="n"/>
      <c r="CT239" s="3" t="n"/>
      <c r="CU239" s="3" t="n"/>
      <c r="CV239" s="3" t="n"/>
      <c r="CW239" s="3" t="n"/>
      <c r="CX239" s="3" t="n"/>
      <c r="CY239" s="3" t="n"/>
    </row>
    <row r="240" hidden="1" outlineLevel="1">
      <c r="C240" s="34" t="inlineStr">
        <is>
          <t xml:space="preserve">Provisão de Risco Cíveis, Trabalhistas e Tributários </t>
        </is>
      </c>
      <c r="D240" s="6" t="n"/>
      <c r="E240" s="6" t="n"/>
      <c r="F240" s="6" t="n"/>
      <c r="G240" s="6" t="n"/>
      <c r="H240" s="3" t="n"/>
      <c r="I240" s="6" t="n"/>
      <c r="J240" s="6" t="n"/>
      <c r="K240" s="6" t="n"/>
      <c r="L240" s="6" t="n"/>
      <c r="M240" s="3" t="n"/>
      <c r="N240" s="6" t="n"/>
      <c r="O240" s="6" t="n"/>
      <c r="P240" s="6" t="n"/>
      <c r="Q240" s="6" t="n"/>
      <c r="R240" s="3" t="n"/>
      <c r="S240" s="6" t="n"/>
      <c r="T240" s="6" t="n"/>
      <c r="U240" s="6" t="n"/>
      <c r="V240" s="6" t="n"/>
      <c r="W240" s="3" t="n"/>
      <c r="X240" s="6" t="n"/>
      <c r="Y240" s="6" t="n"/>
      <c r="Z240" s="6" t="n"/>
      <c r="AA240" s="6" t="n"/>
      <c r="AB240" s="3" t="n"/>
      <c r="AC240" s="6" t="n"/>
      <c r="AD240" s="6" t="n"/>
      <c r="AE240" s="6" t="n"/>
      <c r="AF240" s="6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  <c r="AY240" s="3" t="n"/>
      <c r="AZ240" s="3" t="n"/>
      <c r="BA240" s="3" t="n"/>
      <c r="BB240" s="3" t="n"/>
      <c r="BC240" s="3" t="n"/>
      <c r="BD240" s="3" t="n"/>
      <c r="BE240" s="3" t="n"/>
      <c r="BF240" s="3" t="n"/>
      <c r="BG240" s="3" t="n"/>
      <c r="BH240" s="3" t="n"/>
      <c r="BI240" s="3" t="n"/>
      <c r="BJ240" s="3" t="n"/>
      <c r="BK240" s="3" t="n"/>
      <c r="BL240" s="3" t="n"/>
      <c r="BM240" s="3" t="n"/>
      <c r="BN240" s="3" t="n"/>
      <c r="BO240" s="3" t="n"/>
      <c r="BP240" s="3" t="n"/>
      <c r="BQ240" s="3" t="n"/>
      <c r="BR240" s="3" t="n"/>
      <c r="BS240" s="3" t="n"/>
      <c r="BT240" s="3" t="n"/>
      <c r="BU240" s="3" t="n"/>
      <c r="BV240" s="3" t="n"/>
      <c r="BW240" s="3" t="n"/>
      <c r="BX240" s="3" t="n"/>
      <c r="BY240" s="3" t="n"/>
      <c r="BZ240" s="3" t="n"/>
      <c r="CA240" s="3" t="n"/>
      <c r="CB240" s="3" t="n"/>
      <c r="CC240" s="3" t="n"/>
      <c r="CD240" s="3" t="n"/>
      <c r="CE240" s="3" t="n"/>
      <c r="CF240" s="3" t="n"/>
      <c r="CG240" s="3" t="n"/>
      <c r="CH240" s="3" t="n"/>
      <c r="CI240" s="3" t="n"/>
      <c r="CJ240" s="3" t="n"/>
      <c r="CK240" s="3" t="n"/>
      <c r="CL240" s="3" t="n"/>
      <c r="CM240" s="3" t="n"/>
      <c r="CN240" s="3" t="n"/>
      <c r="CO240" s="3" t="n"/>
      <c r="CP240" s="3" t="n"/>
      <c r="CQ240" s="3" t="n"/>
      <c r="CR240" s="3" t="n"/>
      <c r="CS240" s="3" t="n"/>
      <c r="CT240" s="3" t="n"/>
      <c r="CU240" s="3" t="n"/>
      <c r="CV240" s="3" t="n"/>
      <c r="CW240" s="3" t="n"/>
      <c r="CX240" s="3" t="n"/>
      <c r="CY240" s="3" t="n"/>
    </row>
    <row r="241" hidden="1" outlineLevel="1">
      <c r="C241" s="34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  <c r="BJ241" s="3" t="n"/>
      <c r="BK241" s="3" t="n"/>
      <c r="BL241" s="3" t="n"/>
      <c r="BM241" s="3" t="n"/>
      <c r="BN241" s="3" t="n"/>
      <c r="BO241" s="3" t="n"/>
      <c r="BP241" s="3" t="n"/>
      <c r="BQ241" s="3" t="n"/>
      <c r="BR241" s="3" t="n"/>
      <c r="BS241" s="3" t="n"/>
      <c r="BT241" s="3" t="n"/>
      <c r="BU241" s="3" t="n"/>
      <c r="BV241" s="3" t="n"/>
      <c r="BW241" s="3" t="n"/>
      <c r="BX241" s="3" t="n"/>
      <c r="BY241" s="3" t="n"/>
      <c r="BZ241" s="3" t="n"/>
      <c r="CA241" s="3" t="n"/>
      <c r="CB241" s="3" t="n"/>
      <c r="CC241" s="3" t="n"/>
      <c r="CD241" s="3" t="n"/>
      <c r="CE241" s="3" t="n"/>
      <c r="CF241" s="3" t="n"/>
      <c r="CG241" s="3" t="n"/>
      <c r="CH241" s="3" t="n"/>
      <c r="CI241" s="3" t="n"/>
      <c r="CJ241" s="3" t="n"/>
      <c r="CK241" s="3" t="n"/>
      <c r="CL241" s="3" t="n"/>
      <c r="CM241" s="3" t="n"/>
      <c r="CN241" s="3" t="n"/>
      <c r="CO241" s="3" t="n"/>
      <c r="CP241" s="3" t="n"/>
      <c r="CQ241" s="3" t="n"/>
      <c r="CR241" s="3" t="n"/>
      <c r="CS241" s="3" t="n"/>
      <c r="CT241" s="3" t="n"/>
      <c r="CU241" s="3" t="n"/>
      <c r="CV241" s="3" t="n"/>
      <c r="CW241" s="3" t="n"/>
      <c r="CX241" s="3" t="n"/>
      <c r="CY241" s="3" t="n"/>
    </row>
    <row r="242" collapsed="1" customFormat="1" s="17">
      <c r="A242" s="13" t="n"/>
      <c r="B242" s="13" t="n"/>
      <c r="C242" s="27" t="inlineStr">
        <is>
          <t>Total Liabilities</t>
        </is>
      </c>
      <c r="D242" s="16">
        <f>SUM(D193+D197+D199+D200+D207+D208+D209+D212+D230+D233+D234+D235)</f>
        <v>37905.6</v>
      </c>
      <c r="E242" s="16">
        <f>SUM(E193+E197+E199+E200+E207+E208+E209+E212+E230+E233+E234+E235)</f>
        <v>37695</v>
      </c>
      <c r="F242" s="16">
        <f>SUM(F193+F197+F199+F200+F207+F208+F209+F212+F230+F233+F234+F235)</f>
        <v>38950</v>
      </c>
      <c r="G242" s="16">
        <f>SUM(G193+G197+G199+G200+G207+G208+G209+G212+G230+G233+G234+G235)</f>
        <v>40807.9</v>
      </c>
      <c r="H242" s="16">
        <f>SUM(H193,H197,H199,H200,H207,H208,H212,H209,H230,H233,H234,H235)</f>
        <v>40807.9</v>
      </c>
      <c r="I242" s="16">
        <f>SUM(I193+I197+I199+I200+I207+I208+I209+I212+I230+I233+I234+I235)</f>
        <v>39739</v>
      </c>
      <c r="J242" s="16">
        <f>SUM(J193+J197+J199+J200+J207+J208+J209+J212+J230+J233+J234+J235)</f>
        <v>41145.5</v>
      </c>
      <c r="K242" s="16">
        <f>SUM(K193+K197+K199+K200+K207+K208+K209+K212+K230+K233+K234+K235)</f>
        <v>40232.9</v>
      </c>
      <c r="L242" s="16">
        <f>SUM(L193+L197+L199+L200+L207+L208+L209+L212+L230+L233+L234+L235)</f>
        <v>39651.2</v>
      </c>
      <c r="M242" s="16">
        <f>SUM(M193,M197,M199,M200,M207,M208,M212,M209,M230,M233,M234,M235)</f>
        <v>39651.2</v>
      </c>
      <c r="N242" s="16">
        <f>SUM(N193+N197+N199+N200+N207+N208+N209+N212+N230+N233+N234+N235)</f>
        <v>37457.3</v>
      </c>
      <c r="O242" s="16">
        <f>SUM(O193+O197+O199+O200+O207+O208+O209+O212+O230+O233+O234+O235)</f>
        <v>38404.4</v>
      </c>
      <c r="P242" s="16">
        <f>SUM(P193+P197+P199+P200+P207+P208+P209+P212+P230+P233+P234+P235)</f>
        <v>37295.6</v>
      </c>
      <c r="Q242" s="16">
        <f>SUM(Q193+Q197+Q199+Q200+Q207+Q208+Q209+Q212+Q230+Q233+Q234+Q235)</f>
        <v>38714.4</v>
      </c>
      <c r="R242" s="16">
        <f>SUM(R193,R197,R199,R200,R207,R208,R212,R209,R230,R233,R234,R235)</f>
        <v>38714.4</v>
      </c>
      <c r="S242" s="16">
        <f>SUM(S193+S197+S199+S200+S207+S208+S209+S212+S230+S233+S234+S235)</f>
        <v>41868.1</v>
      </c>
      <c r="T242" s="16">
        <f>SUM(T193+T197+T199+T200+T207+T208+T209+T212+T230+T233+T234+T235)</f>
        <v>43664.7</v>
      </c>
      <c r="U242" s="16">
        <f>SUM(U193+U197+U199+U200+U207+U208+U209+U212+U230+U233+U234+U235)</f>
        <v>46608.1</v>
      </c>
      <c r="V242" s="16">
        <f>SUM(V193+V197+V199+V200+V207+V208+V209+V212+V230+V233+V234+V235)</f>
        <v>53142.6</v>
      </c>
      <c r="W242" s="16">
        <f>SUM(W193,W197,W199,W200,W207,W208,W212,W209,W230,W233,W234,W235)</f>
        <v>53142.6</v>
      </c>
      <c r="X242" s="16">
        <f>SUM(X193+X197+X199+X200+X207+X208+X209+X212+X230+X233+X234+X235)</f>
        <v>51046.1</v>
      </c>
      <c r="Y242" s="16">
        <f>SUM(Y193+Y197+Y199+Y200+Y207+Y208+Y209+Y212+Y230+Y233+Y234+Y235)</f>
        <v>58239.3</v>
      </c>
      <c r="Z242" s="16">
        <f>SUM(Z193+Z197+Z199+Z200+Z207+Z208+Z209+Z212+Z230+Z233+Z234+Z235)</f>
        <v>61286.2</v>
      </c>
      <c r="AA242" s="16">
        <f>SUM(AA193+AA197+AA199+AA200+AA207+AA208+AA209+AA212+AA230+AA233+AA234+AA235)</f>
        <v>64443.3</v>
      </c>
      <c r="AB242" s="16">
        <f>SUM(AB193,AB197,AB199,AB200,AB207,AB208,AB212,AB209,AB230,AB233,AB234,AB235)</f>
        <v>64443.3</v>
      </c>
      <c r="AC242" s="16">
        <f>SUM(AC193+AC197+AC199+AC200+AC207+AC208+AC209+AC212+AC230+AC233+AC234+AC235)</f>
        <v>73542</v>
      </c>
      <c r="AD242" s="16">
        <f>SUM(AD193+AD197+AD199+AD200+AD207+AD208+AD209+AD212+AD230+AD233+AD234+AD235)</f>
        <v>82573.5</v>
      </c>
      <c r="AE242" s="16">
        <f>SUM(AE193+AE197+AE199+AE200+AE207+AE208+AE209+AE212+AE230+AE233+AE234+AE235)</f>
        <v>91084.6</v>
      </c>
      <c r="AF242" s="16">
        <f>SUM(AF193+AF197+AF199+AF200+AF207+AF208+AF209+AF212+AF230+AF233+AF234+AF235)</f>
        <v>85963</v>
      </c>
      <c r="AG242" s="16">
        <f>SUM(AG193,AG197,AG199,AG200,AG207,AG208,AG212,AG209,AG230,AG233,AG234,AG235)</f>
        <v>85963</v>
      </c>
      <c r="AH242" s="16">
        <f>SUM(AH193+AH197+AH199+AH200+AH207+AH208+AH209+AH212+AH230+AH233+AH234+AH235)</f>
        <v>85397</v>
      </c>
      <c r="AI242" s="16">
        <f>SUM(AI193+AI197+AI199+AI200+AI207+AI208+AI209+AI212+AI230+AI233+AI234+AI235)</f>
        <v>108459</v>
      </c>
      <c r="AJ242" s="16">
        <f>SUM(AJ193+AJ197+AJ199+AJ200+AJ207+AJ208+AJ209+AJ212+AJ230+AJ233+AJ234+AJ235)</f>
        <v>100549</v>
      </c>
      <c r="AK242" s="16">
        <f>SUM(AK193+AK197+AK199+AK200+AK207+AK208+AK209+AK212+AK230+AK233+AK234+AK235)</f>
        <v>100549</v>
      </c>
      <c r="AL242" s="16">
        <f>SUM(AL193,AL197,AL199,AL200,AL207,AL208,AL212,AL209,AL230,AL233,AL234,AL235)</f>
        <v>100549</v>
      </c>
      <c r="AM242" s="16" t="e">
        <f>SUM(AM193+AM197+AM199+AM200+AM207+AM208+AM209+AM212+AM230+AM233+AM234+AM235)</f>
        <v>#DIV/0!</v>
      </c>
      <c r="AN242" s="16">
        <f>SUM(AN193+AN197+AN199+AN200+AN207+AN208+AN209+AN212+AN230+AN233+AN234+AN235)</f>
        <v>100549</v>
      </c>
      <c r="AO242" s="16" t="e">
        <f>SUM(AO193+AO197+AO199+AO200+AO207+AO208+AO209+AO212+AO230+AO233+AO234+AO235)</f>
        <v>#DIV/0!</v>
      </c>
      <c r="AP242" s="16" t="e">
        <f>SUM(AP193+AP197+AP199+AP200+AP207+AP208+AP209+AP212+AP230+AP233+AP234+AP235)</f>
        <v>#DIV/0!</v>
      </c>
      <c r="AQ242" s="16" t="e">
        <f>SUM(AQ193,AQ197,AQ199,AQ200,AQ207,AQ208,AQ212,AQ209,AQ230,AQ233,AQ234,AQ235)</f>
        <v>#DIV/0!</v>
      </c>
      <c r="AR242" s="16" t="e">
        <f>SUM(AR193+AR197+AR199+AR200+AR207+AR208+AR209+AR212+AR230+AR233+AR234+AR235)</f>
        <v>#DIV/0!</v>
      </c>
      <c r="AS242" s="16" t="e">
        <f>SUM(AS193+AS197+AS199+AS200+AS207+AS208+AS209+AS212+AS230+AS233+AS234+AS235)</f>
        <v>#DIV/0!</v>
      </c>
      <c r="AT242" s="16" t="e">
        <f>SUM(AT193+AT197+AT199+AT200+AT207+AT208+AT209+AT212+AT230+AT233+AT234+AT235)</f>
        <v>#DIV/0!</v>
      </c>
      <c r="AU242" s="16" t="e">
        <f>SUM(AU193+AU197+AU199+AU200+AU207+AU208+AU209+AU212+AU230+AU233+AU234+AU235)</f>
        <v>#DIV/0!</v>
      </c>
      <c r="AV242" s="16" t="e">
        <f>SUM(AV193,AV197,AV199,AV200,AV207,AV208,AV212,AV209,AV230,AV233,AV234,AV235)</f>
        <v>#DIV/0!</v>
      </c>
      <c r="AW242" s="16" t="e">
        <f>SUM(AW193+AW197+AW199+AW200+AW207+AW208+AW209+AW212+AW230+AW233+AW234+AW235)</f>
        <v>#DIV/0!</v>
      </c>
      <c r="AX242" s="16" t="e">
        <f>SUM(AX193+AX197+AX199+AX200+AX207+AX208+AX209+AX212+AX230+AX233+AX234+AX235)</f>
        <v>#DIV/0!</v>
      </c>
      <c r="AY242" s="16" t="e">
        <f>SUM(AY193+AY197+AY199+AY200+AY207+AY208+AY209+AY212+AY230+AY233+AY234+AY235)</f>
        <v>#DIV/0!</v>
      </c>
      <c r="AZ242" s="16" t="e">
        <f>SUM(AZ193+AZ197+AZ199+AZ200+AZ207+AZ208+AZ209+AZ212+AZ230+AZ233+AZ234+AZ235)</f>
        <v>#DIV/0!</v>
      </c>
      <c r="BA242" s="16" t="e">
        <f>SUM(BA193,BA197,BA199,BA200,BA207,BA208,BA212,BA209,BA230,BA233,BA234,BA235)</f>
        <v>#DIV/0!</v>
      </c>
      <c r="BB242" s="16" t="e">
        <f>SUM(BB193+BB197+BB199+BB200+BB207+BB208+BB209+BB212+BB230+BB233+BB234+BB235)</f>
        <v>#DIV/0!</v>
      </c>
      <c r="BC242" s="16" t="e">
        <f>SUM(BC193+BC197+BC199+BC200+BC207+BC208+BC209+BC212+BC230+BC233+BC234+BC235)</f>
        <v>#DIV/0!</v>
      </c>
      <c r="BD242" s="16" t="e">
        <f>SUM(BD193+BD197+BD199+BD200+BD207+BD208+BD209+BD212+BD230+BD233+BD234+BD235)</f>
        <v>#DIV/0!</v>
      </c>
      <c r="BE242" s="16" t="e">
        <f>SUM(BE193+BE197+BE199+BE200+BE207+BE208+BE209+BE212+BE230+BE233+BE234+BE235)</f>
        <v>#DIV/0!</v>
      </c>
      <c r="BF242" s="16" t="e">
        <f>SUM(BF193,BF197,BF199,BF200,BF207,BF208,BF212,BF209,BF230,BF233,BF234,BF235)</f>
        <v>#DIV/0!</v>
      </c>
      <c r="BG242" s="16" t="e">
        <f>SUM(BG193+BG197+BG199+BG200+BG207+BG208+BG209+BG212+BG230+BG233+BG234+BG235)</f>
        <v>#DIV/0!</v>
      </c>
      <c r="BH242" s="16" t="e">
        <f>SUM(BH193+BH197+BH199+BH200+BH207+BH208+BH209+BH212+BH230+BH233+BH234+BH235)</f>
        <v>#DIV/0!</v>
      </c>
      <c r="BI242" s="16" t="e">
        <f>SUM(BI193+BI197+BI199+BI200+BI207+BI208+BI209+BI212+BI230+BI233+BI234+BI235)</f>
        <v>#DIV/0!</v>
      </c>
      <c r="BJ242" s="16" t="e">
        <f>SUM(BJ193+BJ197+BJ199+BJ200+BJ207+BJ208+BJ209+BJ212+BJ230+BJ233+BJ234+BJ235)</f>
        <v>#DIV/0!</v>
      </c>
      <c r="BK242" s="16" t="e">
        <f>SUM(BK193,BK197,BK199,BK200,BK207,BK208,BK212,BK209,BK230,BK233,BK234,BK235)</f>
        <v>#DIV/0!</v>
      </c>
      <c r="BL242" s="16" t="e">
        <f>SUM(BL193+BL197+BL199+BL200+BL207+BL208+BL209+BL212+BL230+BL233+BL234+BL235)</f>
        <v>#DIV/0!</v>
      </c>
      <c r="BM242" s="16" t="e">
        <f>SUM(BM193+BM197+BM199+BM200+BM207+BM208+BM209+BM212+BM230+BM233+BM234+BM235)</f>
        <v>#DIV/0!</v>
      </c>
      <c r="BN242" s="16" t="e">
        <f>SUM(BN193+BN197+BN199+BN200+BN207+BN208+BN209+BN212+BN230+BN233+BN234+BN235)</f>
        <v>#DIV/0!</v>
      </c>
      <c r="BO242" s="16" t="e">
        <f>SUM(BO193+BO197+BO199+BO200+BO207+BO208+BO209+BO212+BO230+BO233+BO234+BO235)</f>
        <v>#DIV/0!</v>
      </c>
      <c r="BP242" s="16" t="e">
        <f>SUM(BP193,BP197,BP199,BP200,BP207,BP208,BP212,BP209,BP230,BP233,BP234,BP235)</f>
        <v>#DIV/0!</v>
      </c>
      <c r="BQ242" s="16" t="e">
        <f>SUM(BQ193+BQ197+BQ199+BQ200+BQ207+BQ208+BQ209+BQ212+BQ230+BQ233+BQ234+BQ235)</f>
        <v>#DIV/0!</v>
      </c>
      <c r="BR242" s="16" t="e">
        <f>SUM(BR193+BR197+BR199+BR200+BR207+BR208+BR209+BR212+BR230+BR233+BR234+BR235)</f>
        <v>#DIV/0!</v>
      </c>
      <c r="BS242" s="16" t="e">
        <f>SUM(BS193+BS197+BS199+BS200+BS207+BS208+BS209+BS212+BS230+BS233+BS234+BS235)</f>
        <v>#DIV/0!</v>
      </c>
      <c r="BT242" s="16" t="e">
        <f>SUM(BT193+BT197+BT199+BT200+BT207+BT208+BT209+BT212+BT230+BT233+BT234+BT235)</f>
        <v>#DIV/0!</v>
      </c>
      <c r="BU242" s="16" t="e">
        <f>SUM(BU193,BU197,BU199,BU200,BU207,BU208,BU212,BU209,BU230,BU233,BU234,BU235)</f>
        <v>#DIV/0!</v>
      </c>
      <c r="BV242" s="16" t="e">
        <f>SUM(BV193+BV197+BV199+BV200+BV207+BV208+BV209+BV212+BV230+BV233+BV234+BV235)</f>
        <v>#DIV/0!</v>
      </c>
      <c r="BW242" s="16" t="e">
        <f>SUM(BW193+BW197+BW199+BW200+BW207+BW208+BW209+BW212+BW230+BW233+BW234+BW235)</f>
        <v>#DIV/0!</v>
      </c>
      <c r="BX242" s="16" t="e">
        <f>SUM(BX193+BX197+BX199+BX200+BX207+BX208+BX209+BX212+BX230+BX233+BX234+BX235)</f>
        <v>#DIV/0!</v>
      </c>
      <c r="BY242" s="16" t="e">
        <f>SUM(BY193+BY197+BY199+BY200+BY207+BY208+BY209+BY212+BY230+BY233+BY234+BY235)</f>
        <v>#DIV/0!</v>
      </c>
      <c r="BZ242" s="16" t="e">
        <f>SUM(BZ193,BZ197,BZ199,BZ200,BZ207,BZ208,BZ212,BZ209,BZ230,BZ233,BZ234,BZ235)</f>
        <v>#DIV/0!</v>
      </c>
      <c r="CA242" s="16" t="e">
        <f>SUM(CA193+CA197+CA199+CA200+CA207+CA208+CA209+CA212+CA230+CA233+CA234+CA235)</f>
        <v>#DIV/0!</v>
      </c>
      <c r="CB242" s="16" t="e">
        <f>SUM(CB193+CB197+CB199+CB200+CB207+CB208+CB209+CB212+CB230+CB233+CB234+CB235)</f>
        <v>#DIV/0!</v>
      </c>
      <c r="CC242" s="16" t="e">
        <f>SUM(CC193+CC197+CC199+CC200+CC207+CC208+CC209+CC212+CC230+CC233+CC234+CC235)</f>
        <v>#DIV/0!</v>
      </c>
      <c r="CD242" s="16" t="e">
        <f>SUM(CD193+CD197+CD199+CD200+CD207+CD208+CD209+CD212+CD230+CD233+CD234+CD235)</f>
        <v>#DIV/0!</v>
      </c>
      <c r="CE242" s="16" t="e">
        <f>SUM(CE193,CE197,CE199,CE200,CE207,CE208,CE212,CE209,CE230,CE233,CE234,CE235)</f>
        <v>#DIV/0!</v>
      </c>
      <c r="CF242" s="16" t="e">
        <f>SUM(CF193+CF197+CF199+CF200+CF207+CF208+CF209+CF212+CF230+CF233+CF234+CF235)</f>
        <v>#DIV/0!</v>
      </c>
      <c r="CG242" s="16" t="e">
        <f>SUM(CG193+CG197+CG199+CG200+CG207+CG208+CG209+CG212+CG230+CG233+CG234+CG235)</f>
        <v>#DIV/0!</v>
      </c>
      <c r="CH242" s="16" t="e">
        <f>SUM(CH193+CH197+CH199+CH200+CH207+CH208+CH209+CH212+CH230+CH233+CH234+CH235)</f>
        <v>#DIV/0!</v>
      </c>
      <c r="CI242" s="16" t="e">
        <f>SUM(CI193+CI197+CI199+CI200+CI207+CI208+CI209+CI212+CI230+CI233+CI234+CI235)</f>
        <v>#DIV/0!</v>
      </c>
      <c r="CJ242" s="16" t="e">
        <f>SUM(CJ193,CJ197,CJ199,CJ200,CJ207,CJ208,CJ212,CJ209,CJ230,CJ233,CJ234,CJ235)</f>
        <v>#DIV/0!</v>
      </c>
      <c r="CK242" s="16" t="e">
        <f>SUM(CK193+CK197+CK199+CK200+CK207+CK208+CK209+CK212+CK230+CK233+CK234+CK235)</f>
        <v>#DIV/0!</v>
      </c>
      <c r="CL242" s="16" t="e">
        <f>SUM(CL193+CL197+CL199+CL200+CL207+CL208+CL209+CL212+CL230+CL233+CL234+CL235)</f>
        <v>#DIV/0!</v>
      </c>
      <c r="CM242" s="16" t="e">
        <f>SUM(CM193+CM197+CM199+CM200+CM207+CM208+CM209+CM212+CM230+CM233+CM234+CM235)</f>
        <v>#DIV/0!</v>
      </c>
      <c r="CN242" s="16" t="e">
        <f>SUM(CN193+CN197+CN199+CN200+CN207+CN208+CN209+CN212+CN230+CN233+CN234+CN235)</f>
        <v>#DIV/0!</v>
      </c>
      <c r="CO242" s="16" t="e">
        <f>SUM(CO193,CO197,CO199,CO200,CO207,CO208,CO212,CO209,CO230,CO233,CO234,CO235)</f>
        <v>#DIV/0!</v>
      </c>
      <c r="CP242" s="16" t="e">
        <f>SUM(CP193+CP197+CP199+CP200+CP207+CP208+CP209+CP212+CP230+CP233+CP234+CP235)</f>
        <v>#DIV/0!</v>
      </c>
      <c r="CQ242" s="16" t="e">
        <f>SUM(CQ193+CQ197+CQ199+CQ200+CQ207+CQ208+CQ209+CQ212+CQ230+CQ233+CQ234+CQ235)</f>
        <v>#DIV/0!</v>
      </c>
      <c r="CR242" s="16" t="e">
        <f>SUM(CR193+CR197+CR199+CR200+CR207+CR208+CR209+CR212+CR230+CR233+CR234+CR235)</f>
        <v>#DIV/0!</v>
      </c>
      <c r="CS242" s="16" t="e">
        <f>SUM(CS193+CS197+CS199+CS200+CS207+CS208+CS209+CS212+CS230+CS233+CS234+CS235)</f>
        <v>#DIV/0!</v>
      </c>
      <c r="CT242" s="16" t="e">
        <f>SUM(CT193,CT197,CT199,CT200,CT207,CT208,CT212,CT209,CT230,CT233,CT234,CT235)</f>
        <v>#DIV/0!</v>
      </c>
      <c r="CU242" s="16" t="e">
        <f>SUM(CU193+CU197+CU199+CU200+CU207+CU208+CU209+CU212+CU230+CU233+CU234+CU235)</f>
        <v>#DIV/0!</v>
      </c>
      <c r="CV242" s="16" t="e">
        <f>SUM(CV193+CV197+CV199+CV200+CV207+CV208+CV209+CV212+CV230+CV233+CV234+CV235)</f>
        <v>#DIV/0!</v>
      </c>
      <c r="CW242" s="16" t="e">
        <f>SUM(CW193+CW197+CW199+CW200+CW207+CW208+CW209+CW212+CW230+CW233+CW234+CW235)</f>
        <v>#DIV/0!</v>
      </c>
      <c r="CX242" s="16" t="e">
        <f>SUM(CX193+CX197+CX199+CX200+CX207+CX208+CX209+CX212+CX230+CX233+CX234+CX235)</f>
        <v>#DIV/0!</v>
      </c>
      <c r="CY242" s="16" t="e">
        <f>SUM(CY193,CY197,CY199,CY200,CY207,CY208,CY212,CY209,CY230,CY233,CY234,CY235)</f>
        <v>#DIV/0!</v>
      </c>
    </row>
    <row r="243">
      <c r="C243" s="26" t="inlineStr">
        <is>
          <t>Minority interest</t>
        </is>
      </c>
      <c r="D243" s="25">
        <f>INDEX('Inputs (2)'!$D$41:$AL$41,MATCH(D$7,'Inputs (2)'!$D$2:$AL$2,0))</f>
        <v>118.4</v>
      </c>
      <c r="E243" s="25">
        <f>INDEX('Inputs (2)'!$D$41:$AL$41,MATCH(E$7,'Inputs (2)'!$D$2:$AL$2,0))</f>
        <v>179.1</v>
      </c>
      <c r="F243" s="25">
        <f>INDEX('Inputs (2)'!$D$41:$AL$41,MATCH(F$7,'Inputs (2)'!$D$2:$AL$2,0))</f>
        <v>169.1</v>
      </c>
      <c r="G243" s="25">
        <f>INDEX('Inputs (2)'!$D$41:$AL$41,MATCH(G$7,'Inputs (2)'!$D$2:$AL$2,0))</f>
        <v>183.6</v>
      </c>
      <c r="H243" s="3">
        <f>G243</f>
        <v>183.6</v>
      </c>
      <c r="I243" s="25">
        <f>INDEX('Inputs (2)'!$D$41:$AL$41,MATCH(I$7,'Inputs (2)'!$D$2:$AL$2,0))</f>
        <v>200.6</v>
      </c>
      <c r="J243" s="25">
        <f>INDEX('Inputs (2)'!$D$41:$AL$41,MATCH(J$7,'Inputs (2)'!$D$2:$AL$2,0))</f>
        <v>219.1</v>
      </c>
      <c r="K243" s="25">
        <f>INDEX('Inputs (2)'!$D$41:$AL$41,MATCH(K$7,'Inputs (2)'!$D$2:$AL$2,0))</f>
        <v>197.1</v>
      </c>
      <c r="L243" s="25">
        <f>INDEX('Inputs (2)'!$D$41:$AL$41,MATCH(L$7,'Inputs (2)'!$D$2:$AL$2,0))</f>
        <v>175.6</v>
      </c>
      <c r="M243" s="3">
        <f>L243</f>
        <v>175.6</v>
      </c>
      <c r="N243" s="25">
        <f>INDEX('Inputs (2)'!$D$41:$AL$41,MATCH(N$7,'Inputs (2)'!$D$2:$AL$2,0))</f>
        <v>131.2</v>
      </c>
      <c r="O243" s="25">
        <f>INDEX('Inputs (2)'!$D$41:$AL$41,MATCH(O$7,'Inputs (2)'!$D$2:$AL$2,0))</f>
        <v>114.5</v>
      </c>
      <c r="P243" s="25">
        <f>INDEX('Inputs (2)'!$D$41:$AL$41,MATCH(P$7,'Inputs (2)'!$D$2:$AL$2,0))</f>
        <v>95.8</v>
      </c>
      <c r="Q243" s="25">
        <f>INDEX('Inputs (2)'!$D$41:$AL$41,MATCH(Q$7,'Inputs (2)'!$D$2:$AL$2,0))</f>
        <v>125.6</v>
      </c>
      <c r="R243" s="3">
        <f>Q243</f>
        <v>125.6</v>
      </c>
      <c r="S243" s="25">
        <f>INDEX('Inputs (2)'!$D$41:$AL$41,MATCH(S$7,'Inputs (2)'!$D$2:$AL$2,0))</f>
        <v>104.5</v>
      </c>
      <c r="T243" s="25">
        <f>INDEX('Inputs (2)'!$D$41:$AL$41,MATCH(T$7,'Inputs (2)'!$D$2:$AL$2,0))</f>
        <v>85.5</v>
      </c>
      <c r="U243" s="25">
        <f>INDEX('Inputs (2)'!$D$41:$AL$41,MATCH(U$7,'Inputs (2)'!$D$2:$AL$2,0))</f>
        <v>87</v>
      </c>
      <c r="V243" s="25">
        <f>INDEX('Inputs (2)'!$D$41:$AL$41,MATCH(V$7,'Inputs (2)'!$D$2:$AL$2,0))</f>
        <v>91.8</v>
      </c>
      <c r="W243" s="3">
        <f>V243</f>
        <v>91.8</v>
      </c>
      <c r="X243" s="25">
        <f>INDEX('Inputs (2)'!$D$41:$AL$41,MATCH(X$7,'Inputs (2)'!$D$2:$AL$2,0))</f>
        <v>85.2</v>
      </c>
      <c r="Y243" s="25">
        <f>INDEX('Inputs (2)'!$D$41:$AL$41,MATCH(Y$7,'Inputs (2)'!$D$2:$AL$2,0))</f>
        <v>73.5</v>
      </c>
      <c r="Z243" s="25">
        <f>INDEX('Inputs (2)'!$D$41:$AL$41,MATCH(Z$7,'Inputs (2)'!$D$2:$AL$2,0))</f>
        <v>80.7</v>
      </c>
      <c r="AA243" s="25">
        <f>INDEX('Inputs (2)'!$D$41:$AL$41,MATCH(AA$7,'Inputs (2)'!$D$2:$AL$2,0))</f>
        <v>79.5</v>
      </c>
      <c r="AB243" s="3">
        <f>AA243</f>
        <v>79.5</v>
      </c>
      <c r="AC243" s="25">
        <f>INDEX('Inputs (2)'!$D$41:$AL$41,MATCH(AC$7,'Inputs (2)'!$D$2:$AL$2,0))</f>
        <v>82</v>
      </c>
      <c r="AD243" s="25">
        <f>INDEX('Inputs (2)'!$D$41:$AL$41,MATCH(AD$7,'Inputs (2)'!$D$2:$AL$2,0))</f>
        <v>76.2</v>
      </c>
      <c r="AE243" s="25">
        <f>INDEX('Inputs (2)'!$D$41:$AL$41,MATCH(AE$7,'Inputs (2)'!$D$2:$AL$2,0))</f>
        <v>57.5</v>
      </c>
      <c r="AF243" s="25">
        <f>INDEX('Inputs (2)'!$D$41:$AL$41,MATCH(AF$7,'Inputs (2)'!$D$2:$AL$2,0))</f>
        <v>0</v>
      </c>
      <c r="AG243" s="3">
        <f>AF243</f>
        <v>0</v>
      </c>
      <c r="AH243" s="3">
        <f>INDEX('Inputs (2)'!$D$41:$AL$41,MATCH(AH$7,'Inputs (2)'!$D$2:$AL$2,0))</f>
        <v>0</v>
      </c>
      <c r="AI243" s="3">
        <f>INDEX('Inputs (2)'!$D$41:$AL$41,MATCH(AI$7,'Inputs (2)'!$D$2:$AL$2,0))</f>
        <v>0</v>
      </c>
      <c r="AJ243" s="3">
        <f>AI243-AJ131+AJ246</f>
        <v>0</v>
      </c>
      <c r="AK243" s="3">
        <f>AJ243-AK131+AK246</f>
        <v>0</v>
      </c>
      <c r="AL243" s="3">
        <f>AK243</f>
        <v>0</v>
      </c>
      <c r="AM243" s="3">
        <f>AL243-AM131+AM246</f>
        <v>0</v>
      </c>
      <c r="AN243" s="3">
        <f>AM243-AN131+AN246</f>
        <v>0</v>
      </c>
      <c r="AO243" s="3">
        <f>AN243-AO131+AO246</f>
        <v>0</v>
      </c>
      <c r="AP243" s="3">
        <f>AO243-AP131+AP246</f>
        <v>0</v>
      </c>
      <c r="AQ243" s="3">
        <f>AP243</f>
        <v>0</v>
      </c>
      <c r="AR243" s="3">
        <f>AQ243-AR131+AR246</f>
        <v>0</v>
      </c>
      <c r="AS243" s="3">
        <f>AR243-AS131+AS246</f>
        <v>0</v>
      </c>
      <c r="AT243" s="3">
        <f>AS243-AT131+AT246</f>
        <v>0</v>
      </c>
      <c r="AU243" s="3">
        <f>AT243-AU131+AU246</f>
        <v>0</v>
      </c>
      <c r="AV243" s="3">
        <f>AU243</f>
        <v>0</v>
      </c>
      <c r="AW243" s="3">
        <f>AV243-AW131+AW246</f>
        <v>0</v>
      </c>
      <c r="AX243" s="3">
        <f>AW243-AX131+AX246</f>
        <v>0</v>
      </c>
      <c r="AY243" s="3">
        <f>AX243-AY131+AY246</f>
        <v>0</v>
      </c>
      <c r="AZ243" s="3">
        <f>AY243-AZ131+AZ246</f>
        <v>0</v>
      </c>
      <c r="BA243" s="3">
        <f>AZ243</f>
        <v>0</v>
      </c>
      <c r="BB243" s="3">
        <f>BA243-BB131+BB246</f>
        <v>0</v>
      </c>
      <c r="BC243" s="3">
        <f>BB243-BC131+BC246</f>
        <v>0</v>
      </c>
      <c r="BD243" s="3">
        <f>BC243-BD131+BD246</f>
        <v>0</v>
      </c>
      <c r="BE243" s="3">
        <f>BD243-BE131+BE246</f>
        <v>0</v>
      </c>
      <c r="BF243" s="3">
        <f>BE243</f>
        <v>0</v>
      </c>
      <c r="BG243" s="3">
        <f>BF243-BG131+BG246</f>
        <v>0</v>
      </c>
      <c r="BH243" s="3">
        <f>BG243-BH131+BH246</f>
        <v>0</v>
      </c>
      <c r="BI243" s="3">
        <f>BH243-BI131+BI246</f>
        <v>0</v>
      </c>
      <c r="BJ243" s="3">
        <f>BI243-BJ131+BJ246</f>
        <v>0</v>
      </c>
      <c r="BK243" s="3">
        <f>BJ243</f>
        <v>0</v>
      </c>
      <c r="BL243" s="3">
        <f>BK243-BL131+BL246</f>
        <v>0</v>
      </c>
      <c r="BM243" s="3">
        <f>BL243-BM131+BM246</f>
        <v>0</v>
      </c>
      <c r="BN243" s="3">
        <f>BM243-BN131+BN246</f>
        <v>0</v>
      </c>
      <c r="BO243" s="3">
        <f>BN243-BO131+BO246</f>
        <v>0</v>
      </c>
      <c r="BP243" s="3">
        <f>BO243</f>
        <v>0</v>
      </c>
      <c r="BQ243" s="3">
        <f>BP243-BQ131+BQ246</f>
        <v>0</v>
      </c>
      <c r="BR243" s="3">
        <f>BQ243-BR131+BR246</f>
        <v>0</v>
      </c>
      <c r="BS243" s="3">
        <f>BR243-BS131+BS246</f>
        <v>0</v>
      </c>
      <c r="BT243" s="3">
        <f>BS243-BT131+BT246</f>
        <v>0</v>
      </c>
      <c r="BU243" s="3">
        <f>BT243</f>
        <v>0</v>
      </c>
      <c r="BV243" s="3">
        <f>BU243-BV131+BV246</f>
        <v>0</v>
      </c>
      <c r="BW243" s="3">
        <f>BV243-BW131+BW246</f>
        <v>0</v>
      </c>
      <c r="BX243" s="3">
        <f>BW243-BX131+BX246</f>
        <v>0</v>
      </c>
      <c r="BY243" s="3">
        <f>BX243-BY131+BY246</f>
        <v>0</v>
      </c>
      <c r="BZ243" s="3">
        <f>BY243</f>
        <v>0</v>
      </c>
      <c r="CA243" s="3">
        <f>BZ243-CA131+CA246</f>
        <v>0</v>
      </c>
      <c r="CB243" s="3">
        <f>CA243-CB131+CB246</f>
        <v>0</v>
      </c>
      <c r="CC243" s="3">
        <f>CB243-CC131+CC246</f>
        <v>0</v>
      </c>
      <c r="CD243" s="3">
        <f>CC243-CD131+CD246</f>
        <v>0</v>
      </c>
      <c r="CE243" s="3">
        <f>CD243</f>
        <v>0</v>
      </c>
      <c r="CF243" s="3">
        <f>CE243-CF131+CF246</f>
        <v>0</v>
      </c>
      <c r="CG243" s="3">
        <f>CF243-CG131+CG246</f>
        <v>0</v>
      </c>
      <c r="CH243" s="3">
        <f>CG243-CH131+CH246</f>
        <v>0</v>
      </c>
      <c r="CI243" s="3">
        <f>CH243-CI131+CI246</f>
        <v>0</v>
      </c>
      <c r="CJ243" s="3">
        <f>CI243</f>
        <v>0</v>
      </c>
      <c r="CK243" s="3">
        <f>CJ243-CK131+CK246</f>
        <v>0</v>
      </c>
      <c r="CL243" s="3">
        <f>CK243-CL131+CL246</f>
        <v>0</v>
      </c>
      <c r="CM243" s="3">
        <f>CL243-CM131+CM246</f>
        <v>0</v>
      </c>
      <c r="CN243" s="3">
        <f>CM243-CN131+CN246</f>
        <v>0</v>
      </c>
      <c r="CO243" s="3">
        <f>CN243</f>
        <v>0</v>
      </c>
      <c r="CP243" s="3">
        <f>CO243-CP131+CP246</f>
        <v>0</v>
      </c>
      <c r="CQ243" s="3">
        <f>CP243-CQ131+CQ246</f>
        <v>0</v>
      </c>
      <c r="CR243" s="3">
        <f>CQ243-CR131+CR246</f>
        <v>0</v>
      </c>
      <c r="CS243" s="3">
        <f>CR243-CS131+CS246</f>
        <v>0</v>
      </c>
      <c r="CT243" s="3">
        <f>CS243</f>
        <v>0</v>
      </c>
      <c r="CU243" s="3">
        <f>CT243-CU131+CU246</f>
        <v>0</v>
      </c>
      <c r="CV243" s="3">
        <f>CU243-CV131+CV246</f>
        <v>0</v>
      </c>
      <c r="CW243" s="3">
        <f>CV243-CW131+CW246</f>
        <v>0</v>
      </c>
      <c r="CX243" s="3">
        <f>CW243-CX131+CX246</f>
        <v>0</v>
      </c>
      <c r="CY243" s="3">
        <f>CX243</f>
        <v>0</v>
      </c>
    </row>
    <row r="244" hidden="1" outlineLevel="1" customFormat="1" s="39">
      <c r="A244" s="19" t="n"/>
      <c r="B244" s="19" t="n"/>
      <c r="C244" s="38" t="n"/>
      <c r="D244" s="22" t="n"/>
      <c r="E244" s="22" t="n"/>
      <c r="F244" s="22" t="n"/>
      <c r="G244" s="22" t="n"/>
      <c r="H244" s="22" t="n"/>
      <c r="I244" s="22" t="n"/>
      <c r="J244" s="22" t="n"/>
      <c r="K244" s="22" t="n"/>
      <c r="L244" s="22" t="n"/>
      <c r="M244" s="22" t="n"/>
      <c r="N244" s="22" t="n"/>
      <c r="O244" s="22" t="n"/>
      <c r="P244" s="22" t="n"/>
      <c r="Q244" s="22" t="n"/>
      <c r="R244" s="22" t="n"/>
      <c r="S244" s="22" t="n"/>
      <c r="T244" s="22" t="n"/>
      <c r="U244" s="22" t="n"/>
      <c r="V244" s="22" t="n"/>
      <c r="W244" s="22" t="n"/>
      <c r="X244" s="22" t="n"/>
      <c r="Y244" s="22" t="n"/>
      <c r="Z244" s="22" t="n"/>
      <c r="AA244" s="22" t="n"/>
      <c r="AB244" s="22" t="n"/>
      <c r="AC244" s="22" t="n"/>
      <c r="AD244" s="22" t="n"/>
      <c r="AE244" s="22" t="n"/>
      <c r="AF244" s="22" t="n"/>
      <c r="AG244" s="22" t="n"/>
      <c r="AH244" s="22" t="n"/>
      <c r="AI244" s="22" t="n"/>
      <c r="AJ244" s="22" t="n"/>
      <c r="AK244" s="22" t="n"/>
      <c r="AL244" s="22" t="n"/>
      <c r="AM244" s="22" t="n"/>
      <c r="AN244" s="22" t="n"/>
      <c r="AO244" s="22" t="n"/>
      <c r="AP244" s="22" t="n"/>
      <c r="AQ244" s="22" t="n"/>
      <c r="AR244" s="22" t="n"/>
      <c r="AS244" s="22" t="n"/>
      <c r="AT244" s="22" t="n"/>
      <c r="AU244" s="22" t="n"/>
      <c r="AV244" s="22" t="n"/>
      <c r="AW244" s="22" t="n"/>
      <c r="AX244" s="22" t="n"/>
      <c r="AY244" s="22" t="n"/>
      <c r="AZ244" s="22" t="n"/>
      <c r="BA244" s="22" t="n"/>
      <c r="BB244" s="22" t="n"/>
      <c r="BC244" s="22" t="n"/>
      <c r="BD244" s="22" t="n"/>
      <c r="BE244" s="22" t="n"/>
      <c r="BF244" s="22" t="n"/>
      <c r="BG244" s="22" t="n"/>
      <c r="BH244" s="22" t="n"/>
      <c r="BI244" s="22" t="n"/>
      <c r="BJ244" s="22" t="n"/>
      <c r="BK244" s="22" t="n"/>
      <c r="BL244" s="22" t="n"/>
      <c r="BM244" s="22" t="n"/>
      <c r="BN244" s="22" t="n"/>
      <c r="BO244" s="22" t="n"/>
      <c r="BP244" s="22" t="n"/>
      <c r="BQ244" s="22" t="n"/>
      <c r="BR244" s="22" t="n"/>
      <c r="BS244" s="22" t="n"/>
      <c r="BT244" s="22" t="n"/>
      <c r="BU244" s="22" t="n"/>
      <c r="BV244" s="22" t="n"/>
      <c r="BW244" s="22" t="n"/>
      <c r="BX244" s="22" t="n"/>
      <c r="BY244" s="22" t="n"/>
      <c r="BZ244" s="22" t="n"/>
      <c r="CA244" s="22" t="n"/>
      <c r="CB244" s="22" t="n"/>
      <c r="CC244" s="22" t="n"/>
      <c r="CD244" s="22" t="n"/>
      <c r="CE244" s="22" t="n"/>
      <c r="CF244" s="22" t="n"/>
      <c r="CG244" s="22" t="n"/>
      <c r="CH244" s="22" t="n"/>
      <c r="CI244" s="22" t="n"/>
      <c r="CJ244" s="22" t="n"/>
      <c r="CK244" s="22" t="n"/>
      <c r="CL244" s="22" t="n"/>
      <c r="CM244" s="22" t="n"/>
      <c r="CN244" s="22" t="n"/>
      <c r="CO244" s="22" t="n"/>
      <c r="CP244" s="22" t="n"/>
      <c r="CQ244" s="22" t="n"/>
      <c r="CR244" s="22" t="n"/>
      <c r="CS244" s="22" t="n"/>
      <c r="CT244" s="22" t="n"/>
      <c r="CU244" s="22" t="n"/>
      <c r="CV244" s="22" t="n"/>
      <c r="CW244" s="22" t="n"/>
      <c r="CX244" s="22" t="n"/>
      <c r="CY244" s="22" t="n"/>
    </row>
    <row r="245" hidden="1" outlineLevel="1" customFormat="1" s="39">
      <c r="A245" s="19" t="n"/>
      <c r="B245" s="19" t="n"/>
      <c r="C245" s="34" t="inlineStr">
        <is>
          <t>Minority Interest Expense - % YoY</t>
        </is>
      </c>
      <c r="D245" s="22" t="n"/>
      <c r="E245" s="40">
        <f>IF(D130=0,0,E130/D130-1)</f>
        <v>0</v>
      </c>
      <c r="F245" s="22" t="n"/>
      <c r="G245" s="22" t="n"/>
      <c r="H245" s="40" t="n"/>
      <c r="I245" s="22" t="n"/>
      <c r="J245" s="40">
        <f>IF(I130=0,0,J130/I130-1)</f>
        <v>0</v>
      </c>
      <c r="K245" s="22" t="n"/>
      <c r="L245" s="22" t="n"/>
      <c r="M245" s="40" t="n"/>
      <c r="N245" s="40">
        <f>IF(I130=0,0,N130/I130-1)</f>
        <v>0</v>
      </c>
      <c r="O245" s="40">
        <f>IF(J130=0,0,O130/J130-1)</f>
        <v>0</v>
      </c>
      <c r="P245" s="40">
        <f>IF(K130=0,0,P130/K130-1)</f>
        <v>0</v>
      </c>
      <c r="Q245" s="40">
        <f>IF(L130=0,0,Q130/L130-1)</f>
        <v>0</v>
      </c>
      <c r="R245" s="40" t="n"/>
      <c r="S245" s="40">
        <f>IF(N130=0,0,S130/N130-1)</f>
        <v>0</v>
      </c>
      <c r="T245" s="40">
        <f>IF(O130=0,0,T130/O130-1)</f>
        <v>0</v>
      </c>
      <c r="U245" s="40">
        <f>IF(P130=0,0,U130/P130-1)</f>
        <v>0</v>
      </c>
      <c r="V245" s="40">
        <f>IF(Q130=0,0,V130/Q130-1)</f>
        <v>0</v>
      </c>
      <c r="W245" s="40">
        <f>IF(R131=0,0,W131/R131-1)</f>
        <v>0</v>
      </c>
      <c r="X245" s="40">
        <f>IF(S130=0,0,X130/S130-1)</f>
        <v>0</v>
      </c>
      <c r="Y245" s="40">
        <f>IF(T130=0,0,Y130/T130-1)</f>
        <v>0</v>
      </c>
      <c r="Z245" s="40">
        <f>IF(U130=0,0,Z130/U130-1)</f>
        <v>0</v>
      </c>
      <c r="AA245" s="40">
        <f>IF(V130=0,0,AA130/V130-1)</f>
        <v>0</v>
      </c>
      <c r="AB245" s="40">
        <f>IF(W131=0,0,AB131/W131-1)</f>
        <v>0</v>
      </c>
      <c r="AC245" s="40">
        <f>IF(X130=0,0,AC130/X130-1)</f>
        <v>0</v>
      </c>
      <c r="AD245" s="40">
        <f>IF(Y130=0,0,AD130/Y130-1)</f>
        <v>0</v>
      </c>
      <c r="AE245" s="40">
        <f>IF(Z130=0,0,AE130/Z130-1)</f>
        <v>0</v>
      </c>
      <c r="AF245" s="40">
        <f>IF(AA130=0,0,AF130/AA130-1)</f>
        <v>0</v>
      </c>
      <c r="AG245" s="40">
        <f>IF(AB131=0,0,AG131/AB131-1)</f>
        <v>0</v>
      </c>
      <c r="AH245" s="35">
        <f>IF(AC130=0,0,AH130/AC130-1)</f>
        <v>0</v>
      </c>
      <c r="AI245" s="35">
        <f>IF(AD130=0,0,AI130/AD130-1)</f>
        <v>0</v>
      </c>
      <c r="AJ245" s="35" t="n"/>
      <c r="AK245" s="35" t="n"/>
      <c r="AL245" s="40">
        <f>IF(AG131=0,0,AL131/AG131-1)</f>
        <v>0</v>
      </c>
      <c r="AM245" s="35" t="n"/>
      <c r="AN245" s="35" t="n"/>
      <c r="AO245" s="35" t="n"/>
      <c r="AP245" s="35" t="n"/>
      <c r="AQ245" s="40">
        <f>IF(AL131=0,0,AQ131/AL131-1)</f>
        <v>0</v>
      </c>
      <c r="AR245" s="35" t="n"/>
      <c r="AS245" s="35" t="n"/>
      <c r="AT245" s="35" t="n"/>
      <c r="AU245" s="35" t="n"/>
      <c r="AV245" s="40">
        <f>IF(AQ131=0,0,AV131/AQ131-1)</f>
        <v>0</v>
      </c>
      <c r="AW245" s="35" t="n"/>
      <c r="AX245" s="35" t="n"/>
      <c r="AY245" s="35" t="n"/>
      <c r="AZ245" s="35" t="n"/>
      <c r="BA245" s="40">
        <f>IF(AV131=0,0,BA131/AV131-1)</f>
        <v>0</v>
      </c>
      <c r="BB245" s="35" t="n"/>
      <c r="BC245" s="35" t="n"/>
      <c r="BD245" s="35" t="n"/>
      <c r="BE245" s="35" t="n"/>
      <c r="BF245" s="40">
        <f>IF(BA131=0,0,BF131/BA131-1)</f>
        <v>0</v>
      </c>
      <c r="BG245" s="35" t="n"/>
      <c r="BH245" s="35" t="n"/>
      <c r="BI245" s="35" t="n"/>
      <c r="BJ245" s="35" t="n"/>
      <c r="BK245" s="40">
        <f>IF(BF131=0,0,BK131/BF131-1)</f>
        <v>0</v>
      </c>
      <c r="BL245" s="35" t="n"/>
      <c r="BM245" s="35" t="n"/>
      <c r="BN245" s="35" t="n"/>
      <c r="BO245" s="35" t="n"/>
      <c r="BP245" s="40">
        <f>IF(BK131=0,0,BP131/BK131-1)</f>
        <v>0</v>
      </c>
      <c r="BQ245" s="35" t="n"/>
      <c r="BR245" s="35" t="n"/>
      <c r="BS245" s="35" t="n"/>
      <c r="BT245" s="35" t="n"/>
      <c r="BU245" s="40">
        <f>IF(BP131=0,0,BU131/BP131-1)</f>
        <v>0</v>
      </c>
      <c r="BV245" s="35" t="n"/>
      <c r="BW245" s="35" t="n"/>
      <c r="BX245" s="35" t="n"/>
      <c r="BY245" s="35" t="n"/>
      <c r="BZ245" s="40">
        <f>IF(BU131=0,0,BZ131/BU131-1)</f>
        <v>0</v>
      </c>
      <c r="CA245" s="35" t="n"/>
      <c r="CB245" s="35" t="n"/>
      <c r="CC245" s="35" t="n"/>
      <c r="CD245" s="35" t="n"/>
      <c r="CE245" s="40">
        <f>IF(BZ131=0,0,CE131/BZ131-1)</f>
        <v>0</v>
      </c>
      <c r="CF245" s="35" t="n"/>
      <c r="CG245" s="35" t="n"/>
      <c r="CH245" s="35" t="n"/>
      <c r="CI245" s="35" t="n"/>
      <c r="CJ245" s="40">
        <f>IF(CE131=0,0,CJ131/CE131-1)</f>
        <v>0</v>
      </c>
      <c r="CK245" s="35" t="n"/>
      <c r="CL245" s="35" t="n"/>
      <c r="CM245" s="35" t="n"/>
      <c r="CN245" s="35" t="n"/>
      <c r="CO245" s="40">
        <f>IF(CJ131=0,0,CO131/CJ131-1)</f>
        <v>0</v>
      </c>
      <c r="CP245" s="35" t="n"/>
      <c r="CQ245" s="35" t="n"/>
      <c r="CR245" s="35" t="n"/>
      <c r="CS245" s="35" t="n"/>
      <c r="CT245" s="40">
        <f>IF(CO131=0,0,CT131/CO131-1)</f>
        <v>0</v>
      </c>
      <c r="CU245" s="35" t="n"/>
      <c r="CV245" s="35" t="n"/>
      <c r="CW245" s="35" t="n"/>
      <c r="CX245" s="35" t="n"/>
      <c r="CY245" s="40">
        <f>IF(CT131=0,0,CY131/CT131-1)</f>
        <v>0</v>
      </c>
    </row>
    <row r="246" hidden="1" outlineLevel="1" customFormat="1" s="39">
      <c r="A246" s="19" t="n"/>
      <c r="B246" s="19" t="n"/>
      <c r="C246" s="34" t="inlineStr">
        <is>
          <t>Dividends (enter as -)</t>
        </is>
      </c>
      <c r="D246" s="22" t="n"/>
      <c r="E246" s="22" t="n"/>
      <c r="F246" s="22" t="n"/>
      <c r="G246" s="22" t="n"/>
      <c r="H246" s="22" t="n"/>
      <c r="I246" s="22" t="n"/>
      <c r="J246" s="22" t="n"/>
      <c r="K246" s="22" t="n"/>
      <c r="L246" s="22" t="n"/>
      <c r="M246" s="22" t="n"/>
      <c r="N246" s="22" t="n"/>
      <c r="O246" s="22" t="n"/>
      <c r="P246" s="22" t="n"/>
      <c r="Q246" s="22" t="n"/>
      <c r="R246" s="22" t="n"/>
      <c r="S246" s="22" t="n"/>
      <c r="T246" s="22" t="n"/>
      <c r="U246" s="22" t="n"/>
      <c r="V246" s="22" t="n"/>
      <c r="W246" s="22" t="n"/>
      <c r="X246" s="22" t="n"/>
      <c r="Y246" s="22" t="n"/>
      <c r="Z246" s="22" t="n"/>
      <c r="AA246" s="22" t="n"/>
      <c r="AB246" s="22" t="n"/>
      <c r="AC246" s="22" t="n"/>
      <c r="AD246" s="22" t="n"/>
      <c r="AE246" s="22" t="n"/>
      <c r="AF246" s="22" t="n"/>
      <c r="AG246" s="22" t="n"/>
      <c r="AH246" s="35" t="n"/>
      <c r="AI246" s="35" t="n"/>
      <c r="AJ246" s="35" t="n"/>
      <c r="AK246" s="35" t="n"/>
      <c r="AL246" s="22" t="n"/>
      <c r="AM246" s="35" t="n"/>
      <c r="AN246" s="35" t="n"/>
      <c r="AO246" s="35" t="n"/>
      <c r="AP246" s="35" t="n"/>
      <c r="AQ246" s="22" t="n"/>
      <c r="AR246" s="35" t="n"/>
      <c r="AS246" s="35" t="n"/>
      <c r="AT246" s="35" t="n"/>
      <c r="AU246" s="35" t="n"/>
      <c r="AV246" s="22" t="n"/>
      <c r="AW246" s="35" t="n"/>
      <c r="AX246" s="35" t="n"/>
      <c r="AY246" s="35" t="n"/>
      <c r="AZ246" s="35" t="n"/>
      <c r="BA246" s="22" t="n"/>
      <c r="BB246" s="35" t="n"/>
      <c r="BC246" s="35" t="n"/>
      <c r="BD246" s="35" t="n"/>
      <c r="BE246" s="35" t="n"/>
      <c r="BF246" s="22" t="n"/>
      <c r="BG246" s="35" t="n"/>
      <c r="BH246" s="35" t="n"/>
      <c r="BI246" s="35" t="n"/>
      <c r="BJ246" s="35" t="n"/>
      <c r="BK246" s="22" t="n"/>
      <c r="BL246" s="35" t="n"/>
      <c r="BM246" s="35" t="n"/>
      <c r="BN246" s="35" t="n"/>
      <c r="BO246" s="35" t="n"/>
      <c r="BP246" s="22" t="n"/>
      <c r="BQ246" s="35" t="n"/>
      <c r="BR246" s="35" t="n"/>
      <c r="BS246" s="35" t="n"/>
      <c r="BT246" s="35" t="n"/>
      <c r="BU246" s="22" t="n"/>
      <c r="BV246" s="35" t="n"/>
      <c r="BW246" s="35" t="n"/>
      <c r="BX246" s="35" t="n"/>
      <c r="BY246" s="35" t="n"/>
      <c r="BZ246" s="22" t="n"/>
      <c r="CA246" s="35" t="n"/>
      <c r="CB246" s="35" t="n"/>
      <c r="CC246" s="35" t="n"/>
      <c r="CD246" s="35" t="n"/>
      <c r="CE246" s="22" t="n"/>
      <c r="CF246" s="35" t="n"/>
      <c r="CG246" s="35" t="n"/>
      <c r="CH246" s="35" t="n"/>
      <c r="CI246" s="35" t="n"/>
      <c r="CJ246" s="22" t="n"/>
      <c r="CK246" s="35" t="n"/>
      <c r="CL246" s="35" t="n"/>
      <c r="CM246" s="35" t="n"/>
      <c r="CN246" s="35" t="n"/>
      <c r="CO246" s="22" t="n"/>
      <c r="CP246" s="35" t="n"/>
      <c r="CQ246" s="35" t="n"/>
      <c r="CR246" s="35" t="n"/>
      <c r="CS246" s="35" t="n"/>
      <c r="CT246" s="22" t="n"/>
      <c r="CU246" s="35" t="n"/>
      <c r="CV246" s="35" t="n"/>
      <c r="CW246" s="35" t="n"/>
      <c r="CX246" s="35" t="n"/>
      <c r="CY246" s="22" t="n"/>
    </row>
    <row r="247" hidden="1" outlineLevel="1" customFormat="1" s="39">
      <c r="A247" s="19" t="n"/>
      <c r="B247" s="19" t="n"/>
      <c r="C247" s="38" t="n"/>
      <c r="D247" s="22" t="n"/>
      <c r="E247" s="22" t="n"/>
      <c r="F247" s="22" t="n"/>
      <c r="G247" s="22" t="n"/>
      <c r="H247" s="22" t="n"/>
      <c r="I247" s="22" t="n"/>
      <c r="J247" s="22" t="n"/>
      <c r="K247" s="22" t="n"/>
      <c r="L247" s="22" t="n"/>
      <c r="M247" s="22" t="n"/>
      <c r="N247" s="22" t="n"/>
      <c r="O247" s="22" t="n"/>
      <c r="P247" s="22" t="n"/>
      <c r="Q247" s="22" t="n"/>
      <c r="R247" s="22" t="n"/>
      <c r="S247" s="22" t="n"/>
      <c r="T247" s="22" t="n"/>
      <c r="U247" s="22" t="n"/>
      <c r="V247" s="22" t="n"/>
      <c r="W247" s="22" t="n"/>
      <c r="X247" s="22" t="n"/>
      <c r="Y247" s="22" t="n"/>
      <c r="Z247" s="22" t="n"/>
      <c r="AA247" s="22" t="n"/>
      <c r="AB247" s="22" t="n"/>
      <c r="AC247" s="22" t="n"/>
      <c r="AD247" s="22" t="n"/>
      <c r="AE247" s="22" t="n"/>
      <c r="AF247" s="22" t="n"/>
      <c r="AG247" s="22" t="n"/>
      <c r="AH247" s="22" t="n"/>
      <c r="AI247" s="22" t="n"/>
      <c r="AJ247" s="22" t="n"/>
      <c r="AK247" s="22" t="n"/>
      <c r="AL247" s="22" t="n"/>
      <c r="AM247" s="22" t="n"/>
      <c r="AN247" s="22" t="n"/>
      <c r="AO247" s="22" t="n"/>
      <c r="AP247" s="22" t="n"/>
      <c r="AQ247" s="22" t="n"/>
      <c r="AR247" s="22" t="n"/>
      <c r="AS247" s="22" t="n"/>
      <c r="AT247" s="22" t="n"/>
      <c r="AU247" s="22" t="n"/>
      <c r="AV247" s="22" t="n"/>
      <c r="AW247" s="22" t="n"/>
      <c r="AX247" s="22" t="n"/>
      <c r="AY247" s="22" t="n"/>
      <c r="AZ247" s="22" t="n"/>
      <c r="BA247" s="22" t="n"/>
      <c r="BB247" s="22" t="n"/>
      <c r="BC247" s="22" t="n"/>
      <c r="BD247" s="22" t="n"/>
      <c r="BE247" s="22" t="n"/>
      <c r="BF247" s="22" t="n"/>
      <c r="BG247" s="22" t="n"/>
      <c r="BH247" s="22" t="n"/>
      <c r="BI247" s="22" t="n"/>
      <c r="BJ247" s="22" t="n"/>
      <c r="BK247" s="22" t="n"/>
      <c r="BL247" s="22" t="n"/>
      <c r="BM247" s="22" t="n"/>
      <c r="BN247" s="22" t="n"/>
      <c r="BO247" s="22" t="n"/>
      <c r="BP247" s="22" t="n"/>
      <c r="BQ247" s="22" t="n"/>
      <c r="BR247" s="22" t="n"/>
      <c r="BS247" s="22" t="n"/>
      <c r="BT247" s="22" t="n"/>
      <c r="BU247" s="22" t="n"/>
      <c r="BV247" s="22" t="n"/>
      <c r="BW247" s="22" t="n"/>
      <c r="BX247" s="22" t="n"/>
      <c r="BY247" s="22" t="n"/>
      <c r="BZ247" s="22" t="n"/>
      <c r="CA247" s="22" t="n"/>
      <c r="CB247" s="22" t="n"/>
      <c r="CC247" s="22" t="n"/>
      <c r="CD247" s="22" t="n"/>
      <c r="CE247" s="22" t="n"/>
      <c r="CF247" s="22" t="n"/>
      <c r="CG247" s="22" t="n"/>
      <c r="CH247" s="22" t="n"/>
      <c r="CI247" s="22" t="n"/>
      <c r="CJ247" s="22" t="n"/>
      <c r="CK247" s="22" t="n"/>
      <c r="CL247" s="22" t="n"/>
      <c r="CM247" s="22" t="n"/>
      <c r="CN247" s="22" t="n"/>
      <c r="CO247" s="22" t="n"/>
      <c r="CP247" s="22" t="n"/>
      <c r="CQ247" s="22" t="n"/>
      <c r="CR247" s="22" t="n"/>
      <c r="CS247" s="22" t="n"/>
      <c r="CT247" s="22" t="n"/>
      <c r="CU247" s="22" t="n"/>
      <c r="CV247" s="22" t="n"/>
      <c r="CW247" s="22" t="n"/>
      <c r="CX247" s="22" t="n"/>
      <c r="CY247" s="22" t="n"/>
    </row>
    <row r="248" collapsed="1">
      <c r="C248" s="26" t="inlineStr">
        <is>
          <t>Convertible Preferred Stock</t>
        </is>
      </c>
      <c r="D248" s="25" t="n"/>
      <c r="E248" s="25" t="n"/>
      <c r="F248" s="25" t="n"/>
      <c r="G248" s="25" t="n"/>
      <c r="H248" s="3">
        <f>G248</f>
        <v>0</v>
      </c>
      <c r="I248" s="25" t="n"/>
      <c r="J248" s="25" t="n"/>
      <c r="K248" s="25" t="n"/>
      <c r="L248" s="25" t="n"/>
      <c r="M248" s="3">
        <f>L248</f>
        <v>0</v>
      </c>
      <c r="N248" s="25" t="n"/>
      <c r="O248" s="25" t="n"/>
      <c r="P248" s="25" t="n"/>
      <c r="Q248" s="25" t="n"/>
      <c r="R248" s="3">
        <f>Q248</f>
        <v>0</v>
      </c>
      <c r="S248" s="25" t="n"/>
      <c r="T248" s="25" t="n"/>
      <c r="U248" s="25" t="n"/>
      <c r="V248" s="25" t="n"/>
      <c r="W248" s="3">
        <f>V248</f>
        <v>0</v>
      </c>
      <c r="X248" s="25" t="n"/>
      <c r="Y248" s="25" t="n"/>
      <c r="Z248" s="25" t="n"/>
      <c r="AA248" s="25" t="n"/>
      <c r="AB248" s="3">
        <f>AA248</f>
        <v>0</v>
      </c>
      <c r="AC248" s="25" t="n"/>
      <c r="AD248" s="25" t="n"/>
      <c r="AE248" s="25" t="n"/>
      <c r="AF248" s="25" t="n"/>
      <c r="AG248" s="3">
        <f>AF248</f>
        <v>0</v>
      </c>
      <c r="AH248" s="3">
        <f>AG248</f>
        <v>0</v>
      </c>
      <c r="AI248" s="3">
        <f>AH248</f>
        <v>0</v>
      </c>
      <c r="AJ248" s="3">
        <f>AI248</f>
        <v>0</v>
      </c>
      <c r="AK248" s="3">
        <f>AJ248</f>
        <v>0</v>
      </c>
      <c r="AL248" s="3">
        <f>AK248</f>
        <v>0</v>
      </c>
      <c r="AM248" s="3">
        <f>AL248</f>
        <v>0</v>
      </c>
      <c r="AN248" s="3">
        <f>AM248</f>
        <v>0</v>
      </c>
      <c r="AO248" s="3">
        <f>AN248</f>
        <v>0</v>
      </c>
      <c r="AP248" s="3">
        <f>AO248</f>
        <v>0</v>
      </c>
      <c r="AQ248" s="3">
        <f>AP248</f>
        <v>0</v>
      </c>
      <c r="AR248" s="3">
        <f>AQ248</f>
        <v>0</v>
      </c>
      <c r="AS248" s="3">
        <f>AR248</f>
        <v>0</v>
      </c>
      <c r="AT248" s="3">
        <f>AS248</f>
        <v>0</v>
      </c>
      <c r="AU248" s="3">
        <f>AT248</f>
        <v>0</v>
      </c>
      <c r="AV248" s="3">
        <f>AU248</f>
        <v>0</v>
      </c>
      <c r="AW248" s="3">
        <f>AV248</f>
        <v>0</v>
      </c>
      <c r="AX248" s="3">
        <f>AW248</f>
        <v>0</v>
      </c>
      <c r="AY248" s="3">
        <f>AX248</f>
        <v>0</v>
      </c>
      <c r="AZ248" s="3">
        <f>AY248</f>
        <v>0</v>
      </c>
      <c r="BA248" s="3">
        <f>AZ248</f>
        <v>0</v>
      </c>
      <c r="BB248" s="3">
        <f>BA248</f>
        <v>0</v>
      </c>
      <c r="BC248" s="3">
        <f>BB248</f>
        <v>0</v>
      </c>
      <c r="BD248" s="3">
        <f>BC248</f>
        <v>0</v>
      </c>
      <c r="BE248" s="3">
        <f>BD248</f>
        <v>0</v>
      </c>
      <c r="BF248" s="3">
        <f>BE248</f>
        <v>0</v>
      </c>
      <c r="BG248" s="3">
        <f>BF248</f>
        <v>0</v>
      </c>
      <c r="BH248" s="3">
        <f>BG248</f>
        <v>0</v>
      </c>
      <c r="BI248" s="3">
        <f>BH248</f>
        <v>0</v>
      </c>
      <c r="BJ248" s="3">
        <f>BI248</f>
        <v>0</v>
      </c>
      <c r="BK248" s="3">
        <f>BJ248</f>
        <v>0</v>
      </c>
      <c r="BL248" s="3">
        <f>BK248</f>
        <v>0</v>
      </c>
      <c r="BM248" s="3">
        <f>BL248</f>
        <v>0</v>
      </c>
      <c r="BN248" s="3">
        <f>BM248</f>
        <v>0</v>
      </c>
      <c r="BO248" s="3">
        <f>BN248</f>
        <v>0</v>
      </c>
      <c r="BP248" s="3">
        <f>BO248</f>
        <v>0</v>
      </c>
      <c r="BQ248" s="3">
        <f>BP248</f>
        <v>0</v>
      </c>
      <c r="BR248" s="3">
        <f>BQ248</f>
        <v>0</v>
      </c>
      <c r="BS248" s="3">
        <f>BR248</f>
        <v>0</v>
      </c>
      <c r="BT248" s="3">
        <f>BS248</f>
        <v>0</v>
      </c>
      <c r="BU248" s="3">
        <f>BT248</f>
        <v>0</v>
      </c>
      <c r="BV248" s="3">
        <f>BU248</f>
        <v>0</v>
      </c>
      <c r="BW248" s="3">
        <f>BV248</f>
        <v>0</v>
      </c>
      <c r="BX248" s="3">
        <f>BW248</f>
        <v>0</v>
      </c>
      <c r="BY248" s="3">
        <f>BX248</f>
        <v>0</v>
      </c>
      <c r="BZ248" s="3">
        <f>BY248</f>
        <v>0</v>
      </c>
      <c r="CA248" s="3">
        <f>BZ248</f>
        <v>0</v>
      </c>
      <c r="CB248" s="3">
        <f>CA248</f>
        <v>0</v>
      </c>
      <c r="CC248" s="3">
        <f>CB248</f>
        <v>0</v>
      </c>
      <c r="CD248" s="3">
        <f>CC248</f>
        <v>0</v>
      </c>
      <c r="CE248" s="3">
        <f>CD248</f>
        <v>0</v>
      </c>
      <c r="CF248" s="3">
        <f>CE248</f>
        <v>0</v>
      </c>
      <c r="CG248" s="3">
        <f>CF248</f>
        <v>0</v>
      </c>
      <c r="CH248" s="3">
        <f>CG248</f>
        <v>0</v>
      </c>
      <c r="CI248" s="3">
        <f>CH248</f>
        <v>0</v>
      </c>
      <c r="CJ248" s="3">
        <f>CI248</f>
        <v>0</v>
      </c>
      <c r="CK248" s="3">
        <f>CJ248</f>
        <v>0</v>
      </c>
      <c r="CL248" s="3">
        <f>CK248</f>
        <v>0</v>
      </c>
      <c r="CM248" s="3">
        <f>CL248</f>
        <v>0</v>
      </c>
      <c r="CN248" s="3">
        <f>CM248</f>
        <v>0</v>
      </c>
      <c r="CO248" s="3">
        <f>CN248</f>
        <v>0</v>
      </c>
      <c r="CP248" s="3">
        <f>CO248</f>
        <v>0</v>
      </c>
      <c r="CQ248" s="3">
        <f>CP248</f>
        <v>0</v>
      </c>
      <c r="CR248" s="3">
        <f>CQ248</f>
        <v>0</v>
      </c>
      <c r="CS248" s="3">
        <f>CR248</f>
        <v>0</v>
      </c>
      <c r="CT248" s="3">
        <f>CS248</f>
        <v>0</v>
      </c>
      <c r="CU248" s="3">
        <f>CT248</f>
        <v>0</v>
      </c>
      <c r="CV248" s="3">
        <f>CU248</f>
        <v>0</v>
      </c>
      <c r="CW248" s="3">
        <f>CV248</f>
        <v>0</v>
      </c>
      <c r="CX248" s="3">
        <f>CW248</f>
        <v>0</v>
      </c>
      <c r="CY248" s="3">
        <f>CX248</f>
        <v>0</v>
      </c>
    </row>
    <row r="249">
      <c r="C249" s="24" t="inlineStr">
        <is>
          <t>Common Stock and APIC</t>
        </is>
      </c>
      <c r="D249" s="25">
        <f>INDEX('Inputs (2)'!$D$43:$AL$43,MATCH(D$7,'Inputs (2)'!$D$2:$AL$2,0))</f>
        <v>7154.2</v>
      </c>
      <c r="E249" s="25">
        <f>INDEX('Inputs (2)'!$D$43:$AL$43,MATCH(E$7,'Inputs (2)'!$D$2:$AL$2,0))</f>
        <v>7227.5</v>
      </c>
      <c r="F249" s="25">
        <f>INDEX('Inputs (2)'!$D$43:$AL$43,MATCH(F$7,'Inputs (2)'!$D$2:$AL$2,0))</f>
        <v>7296.9</v>
      </c>
      <c r="G249" s="25">
        <f>INDEX('Inputs (2)'!$D$43:$AL$43,MATCH(G$7,'Inputs (2)'!$D$2:$AL$2,0))</f>
        <v>7376.7</v>
      </c>
      <c r="H249" s="3">
        <f>G249</f>
        <v>7376.7</v>
      </c>
      <c r="I249" s="25">
        <f>INDEX('Inputs (2)'!$D$43:$AL$43,MATCH(I$7,'Inputs (2)'!$D$2:$AL$2,0))</f>
        <v>7178.9</v>
      </c>
      <c r="J249" s="25">
        <f>INDEX('Inputs (2)'!$D$43:$AL$43,MATCH(J$7,'Inputs (2)'!$D$2:$AL$2,0))</f>
        <v>7267.3</v>
      </c>
      <c r="K249" s="25">
        <f>INDEX('Inputs (2)'!$D$43:$AL$43,MATCH(K$7,'Inputs (2)'!$D$2:$AL$2,0))</f>
        <v>7356.2</v>
      </c>
      <c r="L249" s="25">
        <f>INDEX('Inputs (2)'!$D$43:$AL$43,MATCH(L$7,'Inputs (2)'!$D$2:$AL$2,0))</f>
        <v>7429.7</v>
      </c>
      <c r="M249" s="3">
        <f>L249</f>
        <v>7429.7</v>
      </c>
      <c r="N249" s="25">
        <f>INDEX('Inputs (2)'!$D$43:$AL$43,MATCH(N$7,'Inputs (2)'!$D$2:$AL$2,0))</f>
        <v>7250.4</v>
      </c>
      <c r="O249" s="25">
        <f>INDEX('Inputs (2)'!$D$43:$AL$43,MATCH(O$7,'Inputs (2)'!$D$2:$AL$2,0))</f>
        <v>7340.1</v>
      </c>
      <c r="P249" s="25">
        <f>INDEX('Inputs (2)'!$D$43:$AL$43,MATCH(P$7,'Inputs (2)'!$D$2:$AL$2,0))</f>
        <v>7423.1</v>
      </c>
      <c r="Q249" s="25">
        <f>INDEX('Inputs (2)'!$D$43:$AL$43,MATCH(Q$7,'Inputs (2)'!$D$2:$AL$2,0))</f>
        <v>7515.5</v>
      </c>
      <c r="R249" s="3">
        <f>Q249</f>
        <v>7515.5</v>
      </c>
      <c r="S249" s="25">
        <f>INDEX('Inputs (2)'!$D$43:$AL$43,MATCH(S$7,'Inputs (2)'!$D$2:$AL$2,0))</f>
        <v>7386.6</v>
      </c>
      <c r="T249" s="25">
        <f>INDEX('Inputs (2)'!$D$43:$AL$43,MATCH(T$7,'Inputs (2)'!$D$2:$AL$2,0))</f>
        <v>7542.2</v>
      </c>
      <c r="U249" s="25">
        <f>INDEX('Inputs (2)'!$D$43:$AL$43,MATCH(U$7,'Inputs (2)'!$D$2:$AL$2,0))</f>
        <v>7753.6</v>
      </c>
      <c r="V249" s="25">
        <f>INDEX('Inputs (2)'!$D$43:$AL$43,MATCH(V$7,'Inputs (2)'!$D$2:$AL$2,0))</f>
        <v>7844</v>
      </c>
      <c r="W249" s="3">
        <f>V249</f>
        <v>7844</v>
      </c>
      <c r="X249" s="25">
        <f>INDEX('Inputs (2)'!$D$43:$AL$43,MATCH(X$7,'Inputs (2)'!$D$2:$AL$2,0))</f>
        <v>7603.7</v>
      </c>
      <c r="Y249" s="25">
        <f>INDEX('Inputs (2)'!$D$43:$AL$43,MATCH(Y$7,'Inputs (2)'!$D$2:$AL$2,0))</f>
        <v>7808.4</v>
      </c>
      <c r="Z249" s="25">
        <f>INDEX('Inputs (2)'!$D$43:$AL$43,MATCH(Z$7,'Inputs (2)'!$D$2:$AL$2,0))</f>
        <v>7933.5</v>
      </c>
      <c r="AA249" s="25">
        <f>INDEX('Inputs (2)'!$D$43:$AL$43,MATCH(AA$7,'Inputs (2)'!$D$2:$AL$2,0))</f>
        <v>8031.7</v>
      </c>
      <c r="AB249" s="3">
        <f>AA249</f>
        <v>8031.7</v>
      </c>
      <c r="AC249" s="25">
        <f>INDEX('Inputs (2)'!$D$43:$AL$43,MATCH(AC$7,'Inputs (2)'!$D$2:$AL$2,0))</f>
        <v>7502.6</v>
      </c>
      <c r="AD249" s="25">
        <f>INDEX('Inputs (2)'!$D$43:$AL$43,MATCH(AD$7,'Inputs (2)'!$D$2:$AL$2,0))</f>
        <v>7681.3</v>
      </c>
      <c r="AE249" s="25">
        <f>INDEX('Inputs (2)'!$D$43:$AL$43,MATCH(AE$7,'Inputs (2)'!$D$2:$AL$2,0))</f>
        <v>7823.3</v>
      </c>
      <c r="AF249" s="25">
        <f>INDEX('Inputs (2)'!$D$43:$AL$43,MATCH(AF$7,'Inputs (2)'!$D$2:$AL$2,0))</f>
        <v>7936</v>
      </c>
      <c r="AG249" s="3">
        <f>AF249</f>
        <v>7936</v>
      </c>
      <c r="AH249" s="3">
        <f>INDEX('Inputs (2)'!$D$43:$AL$43,MATCH(AH$7,'Inputs (2)'!$D$2:$AL$2,0))</f>
        <v>7511</v>
      </c>
      <c r="AI249" s="3">
        <f>INDEX('Inputs (2)'!$D$43:$AL$43,MATCH(AI$7,'Inputs (2)'!$D$2:$AL$2,0))</f>
        <v>7705</v>
      </c>
      <c r="AJ249" s="3">
        <f>AI249+AJ253</f>
        <v>7705</v>
      </c>
      <c r="AK249" s="3">
        <f>AJ249+AK253</f>
        <v>7705</v>
      </c>
      <c r="AL249" s="3">
        <f>AK249</f>
        <v>7705</v>
      </c>
      <c r="AM249" s="3">
        <f>AL249+AM253</f>
        <v>7705</v>
      </c>
      <c r="AN249" s="3">
        <f>AM249+AN253</f>
        <v>7705</v>
      </c>
      <c r="AO249" s="3">
        <f>AN249+AO253</f>
        <v>7705</v>
      </c>
      <c r="AP249" s="3">
        <f>AO249+AP253</f>
        <v>7705</v>
      </c>
      <c r="AQ249" s="3">
        <f>AP249</f>
        <v>7705</v>
      </c>
      <c r="AR249" s="3">
        <f>AQ249+AR253</f>
        <v>7705</v>
      </c>
      <c r="AS249" s="3">
        <f>AR249+AS253</f>
        <v>7705</v>
      </c>
      <c r="AT249" s="3">
        <f>AS249+AT253</f>
        <v>7705</v>
      </c>
      <c r="AU249" s="3">
        <f>AT249+AU253</f>
        <v>7705</v>
      </c>
      <c r="AV249" s="3">
        <f>AU249</f>
        <v>7705</v>
      </c>
      <c r="AW249" s="3">
        <f>AV249+AW253</f>
        <v>7705</v>
      </c>
      <c r="AX249" s="3">
        <f>AW249+AX253</f>
        <v>7705</v>
      </c>
      <c r="AY249" s="3">
        <f>AX249+AY253</f>
        <v>7705</v>
      </c>
      <c r="AZ249" s="3">
        <f>AY249+AZ253</f>
        <v>7705</v>
      </c>
      <c r="BA249" s="3">
        <f>AZ249</f>
        <v>7705</v>
      </c>
      <c r="BB249" s="3">
        <f>BA249+BB253</f>
        <v>7705</v>
      </c>
      <c r="BC249" s="3">
        <f>BB249+BC253</f>
        <v>7705</v>
      </c>
      <c r="BD249" s="3">
        <f>BC249+BD253</f>
        <v>7705</v>
      </c>
      <c r="BE249" s="3">
        <f>BD249+BE253</f>
        <v>7705</v>
      </c>
      <c r="BF249" s="3">
        <f>BE249</f>
        <v>7705</v>
      </c>
      <c r="BG249" s="3">
        <f>BF249+BG253</f>
        <v>7705</v>
      </c>
      <c r="BH249" s="3">
        <f>BG249+BH253</f>
        <v>7705</v>
      </c>
      <c r="BI249" s="3">
        <f>BH249+BI253</f>
        <v>7705</v>
      </c>
      <c r="BJ249" s="3">
        <f>BI249+BJ253</f>
        <v>7705</v>
      </c>
      <c r="BK249" s="3">
        <f>BJ249</f>
        <v>7705</v>
      </c>
      <c r="BL249" s="3">
        <f>BK249+BL253</f>
        <v>7705</v>
      </c>
      <c r="BM249" s="3">
        <f>BL249+BM253</f>
        <v>7705</v>
      </c>
      <c r="BN249" s="3">
        <f>BM249+BN253</f>
        <v>7705</v>
      </c>
      <c r="BO249" s="3">
        <f>BN249+BO253</f>
        <v>7705</v>
      </c>
      <c r="BP249" s="3">
        <f>BO249</f>
        <v>7705</v>
      </c>
      <c r="BQ249" s="3">
        <f>BP249+BQ253</f>
        <v>7705</v>
      </c>
      <c r="BR249" s="3">
        <f>BQ249+BR253</f>
        <v>7705</v>
      </c>
      <c r="BS249" s="3">
        <f>BR249+BS253</f>
        <v>7705</v>
      </c>
      <c r="BT249" s="3">
        <f>BS249+BT253</f>
        <v>7705</v>
      </c>
      <c r="BU249" s="3">
        <f>BT249</f>
        <v>7705</v>
      </c>
      <c r="BV249" s="3">
        <f>BU249+BV253</f>
        <v>7705</v>
      </c>
      <c r="BW249" s="3">
        <f>BV249+BW253</f>
        <v>7705</v>
      </c>
      <c r="BX249" s="3">
        <f>BW249+BX253</f>
        <v>7705</v>
      </c>
      <c r="BY249" s="3">
        <f>BX249+BY253</f>
        <v>7705</v>
      </c>
      <c r="BZ249" s="3">
        <f>BY249</f>
        <v>7705</v>
      </c>
      <c r="CA249" s="3">
        <f>BZ249+CA253</f>
        <v>7705</v>
      </c>
      <c r="CB249" s="3">
        <f>CA249+CB253</f>
        <v>7705</v>
      </c>
      <c r="CC249" s="3">
        <f>CB249+CC253</f>
        <v>7705</v>
      </c>
      <c r="CD249" s="3">
        <f>CC249+CD253</f>
        <v>7705</v>
      </c>
      <c r="CE249" s="3">
        <f>CD249</f>
        <v>7705</v>
      </c>
      <c r="CF249" s="3">
        <f>CE249+CF253</f>
        <v>7705</v>
      </c>
      <c r="CG249" s="3">
        <f>CF249+CG253</f>
        <v>7705</v>
      </c>
      <c r="CH249" s="3">
        <f>CG249+CH253</f>
        <v>7705</v>
      </c>
      <c r="CI249" s="3">
        <f>CH249+CI253</f>
        <v>7705</v>
      </c>
      <c r="CJ249" s="3">
        <f>CI249</f>
        <v>7705</v>
      </c>
      <c r="CK249" s="3">
        <f>CJ249+CK253</f>
        <v>7705</v>
      </c>
      <c r="CL249" s="3">
        <f>CK249+CL253</f>
        <v>7705</v>
      </c>
      <c r="CM249" s="3">
        <f>CL249+CM253</f>
        <v>7705</v>
      </c>
      <c r="CN249" s="3">
        <f>CM249+CN253</f>
        <v>7705</v>
      </c>
      <c r="CO249" s="3">
        <f>CN249</f>
        <v>7705</v>
      </c>
      <c r="CP249" s="3">
        <f>CO249+CP253</f>
        <v>7705</v>
      </c>
      <c r="CQ249" s="3">
        <f>CP249+CQ253</f>
        <v>7705</v>
      </c>
      <c r="CR249" s="3">
        <f>CQ249+CR253</f>
        <v>7705</v>
      </c>
      <c r="CS249" s="3">
        <f>CR249+CS253</f>
        <v>7705</v>
      </c>
      <c r="CT249" s="3">
        <f>CS249</f>
        <v>7705</v>
      </c>
      <c r="CU249" s="3">
        <f>CT249+CU253</f>
        <v>7705</v>
      </c>
      <c r="CV249" s="3">
        <f>CU249+CV253</f>
        <v>7705</v>
      </c>
      <c r="CW249" s="3">
        <f>CV249+CW253</f>
        <v>7705</v>
      </c>
      <c r="CX249" s="3">
        <f>CW249+CX253</f>
        <v>7705</v>
      </c>
      <c r="CY249" s="3">
        <f>CX249</f>
        <v>7705</v>
      </c>
    </row>
    <row r="250" hidden="1" outlineLevel="1" customFormat="1" s="39">
      <c r="A250" s="19" t="n"/>
      <c r="B250" s="19" t="n"/>
      <c r="C250" s="41" t="n"/>
      <c r="D250" s="22" t="n"/>
      <c r="E250" s="22" t="n"/>
      <c r="F250" s="22" t="n"/>
      <c r="G250" s="22" t="n"/>
      <c r="H250" s="22" t="n"/>
      <c r="I250" s="22" t="n"/>
      <c r="J250" s="22" t="n"/>
      <c r="K250" s="22" t="n"/>
      <c r="L250" s="22" t="n"/>
      <c r="M250" s="22" t="n"/>
      <c r="N250" s="22" t="n"/>
      <c r="O250" s="22" t="n"/>
      <c r="P250" s="22" t="n"/>
      <c r="Q250" s="22" t="n"/>
      <c r="R250" s="22" t="n"/>
      <c r="S250" s="22" t="n"/>
      <c r="T250" s="22" t="n"/>
      <c r="U250" s="22" t="n"/>
      <c r="V250" s="22" t="n"/>
      <c r="W250" s="22" t="n"/>
      <c r="X250" s="22" t="n"/>
      <c r="Y250" s="22" t="n"/>
      <c r="Z250" s="22" t="n"/>
      <c r="AA250" s="22" t="n"/>
      <c r="AB250" s="22" t="n"/>
      <c r="AC250" s="22" t="n"/>
      <c r="AD250" s="22" t="n"/>
      <c r="AE250" s="22" t="n"/>
      <c r="AF250" s="22" t="n"/>
      <c r="AG250" s="22" t="n"/>
      <c r="AH250" s="22" t="n"/>
      <c r="AI250" s="22" t="n"/>
      <c r="AJ250" s="22" t="n"/>
      <c r="AK250" s="22" t="n"/>
      <c r="AL250" s="22" t="n"/>
      <c r="AM250" s="22" t="n"/>
      <c r="AN250" s="22" t="n"/>
      <c r="AO250" s="22" t="n"/>
      <c r="AP250" s="22" t="n"/>
      <c r="AQ250" s="22" t="n"/>
      <c r="AR250" s="22" t="n"/>
      <c r="AS250" s="22" t="n"/>
      <c r="AT250" s="22" t="n"/>
      <c r="AU250" s="22" t="n"/>
      <c r="AV250" s="22" t="n"/>
      <c r="AW250" s="22" t="n"/>
      <c r="AX250" s="22" t="n"/>
      <c r="AY250" s="22" t="n"/>
      <c r="AZ250" s="22" t="n"/>
      <c r="BA250" s="22" t="n"/>
      <c r="BB250" s="22" t="n"/>
      <c r="BC250" s="22" t="n"/>
      <c r="BD250" s="22" t="n"/>
      <c r="BE250" s="22" t="n"/>
      <c r="BF250" s="22" t="n"/>
      <c r="BG250" s="22" t="n"/>
      <c r="BH250" s="22" t="n"/>
      <c r="BI250" s="22" t="n"/>
      <c r="BJ250" s="22" t="n"/>
      <c r="BK250" s="22" t="n"/>
      <c r="BL250" s="22" t="n"/>
      <c r="BM250" s="22" t="n"/>
      <c r="BN250" s="22" t="n"/>
      <c r="BO250" s="22" t="n"/>
      <c r="BP250" s="22" t="n"/>
      <c r="BQ250" s="22" t="n"/>
      <c r="BR250" s="22" t="n"/>
      <c r="BS250" s="22" t="n"/>
      <c r="BT250" s="22" t="n"/>
      <c r="BU250" s="22" t="n"/>
      <c r="BV250" s="22" t="n"/>
      <c r="BW250" s="22" t="n"/>
      <c r="BX250" s="22" t="n"/>
      <c r="BY250" s="22" t="n"/>
      <c r="BZ250" s="22" t="n"/>
      <c r="CA250" s="22" t="n"/>
      <c r="CB250" s="22" t="n"/>
      <c r="CC250" s="22" t="n"/>
      <c r="CD250" s="22" t="n"/>
      <c r="CE250" s="22" t="n"/>
      <c r="CF250" s="22" t="n"/>
      <c r="CG250" s="22" t="n"/>
      <c r="CH250" s="22" t="n"/>
      <c r="CI250" s="22" t="n"/>
      <c r="CJ250" s="22" t="n"/>
      <c r="CK250" s="22" t="n"/>
      <c r="CL250" s="22" t="n"/>
      <c r="CM250" s="22" t="n"/>
      <c r="CN250" s="22" t="n"/>
      <c r="CO250" s="22" t="n"/>
      <c r="CP250" s="22" t="n"/>
      <c r="CQ250" s="22" t="n"/>
      <c r="CR250" s="22" t="n"/>
      <c r="CS250" s="22" t="n"/>
      <c r="CT250" s="22" t="n"/>
      <c r="CU250" s="22" t="n"/>
      <c r="CV250" s="22" t="n"/>
      <c r="CW250" s="22" t="n"/>
      <c r="CX250" s="22" t="n"/>
      <c r="CY250" s="22" t="n"/>
    </row>
    <row r="251" hidden="1" outlineLevel="1" customFormat="1" s="39">
      <c r="A251" s="19" t="n"/>
      <c r="B251" s="19" t="n"/>
      <c r="C251" s="41" t="inlineStr">
        <is>
          <t>Diluted Shares outstanding</t>
        </is>
      </c>
      <c r="D251" s="22" t="n"/>
      <c r="E251" s="22" t="n"/>
      <c r="F251" s="22" t="n"/>
      <c r="G251" s="22" t="n"/>
      <c r="H251" s="22" t="n"/>
      <c r="I251" s="22" t="n"/>
      <c r="J251" s="22" t="n"/>
      <c r="K251" s="22" t="n"/>
      <c r="L251" s="22" t="n"/>
      <c r="M251" s="22" t="n"/>
      <c r="N251" s="22" t="n"/>
      <c r="O251" s="22" t="n"/>
      <c r="P251" s="22" t="n"/>
      <c r="Q251" s="22" t="n"/>
      <c r="R251" s="22" t="n"/>
      <c r="S251" s="22" t="n"/>
      <c r="T251" s="22" t="n"/>
      <c r="U251" s="22" t="n"/>
      <c r="V251" s="22" t="n"/>
      <c r="W251" s="22" t="n"/>
      <c r="X251" s="22" t="n"/>
      <c r="Y251" s="22" t="n"/>
      <c r="Z251" s="22" t="n"/>
      <c r="AA251" s="22" t="n"/>
      <c r="AB251" s="22" t="n"/>
      <c r="AC251" s="22" t="n"/>
      <c r="AD251" s="22" t="n"/>
      <c r="AE251" s="22" t="n"/>
      <c r="AF251" s="22" t="n"/>
      <c r="AG251" s="22" t="n"/>
      <c r="AH251" s="22" t="n"/>
      <c r="AI251" s="22" t="n"/>
      <c r="AJ251" s="22" t="n"/>
      <c r="AK251" s="22" t="n"/>
      <c r="AL251" s="22" t="n"/>
      <c r="AM251" s="22" t="n"/>
      <c r="AN251" s="22" t="n"/>
      <c r="AO251" s="22" t="n"/>
      <c r="AP251" s="22" t="n"/>
      <c r="AQ251" s="22" t="n"/>
      <c r="AR251" s="22" t="n"/>
      <c r="AS251" s="22" t="n"/>
      <c r="AT251" s="22" t="n"/>
      <c r="AU251" s="22" t="n"/>
      <c r="AV251" s="22" t="n"/>
      <c r="AW251" s="22" t="n"/>
      <c r="AX251" s="22" t="n"/>
      <c r="AY251" s="22" t="n"/>
      <c r="AZ251" s="22" t="n"/>
      <c r="BA251" s="22" t="n"/>
      <c r="BB251" s="22" t="n"/>
      <c r="BC251" s="22" t="n"/>
      <c r="BD251" s="22" t="n"/>
      <c r="BE251" s="22" t="n"/>
      <c r="BF251" s="22" t="n"/>
      <c r="BG251" s="22" t="n"/>
      <c r="BH251" s="22" t="n"/>
      <c r="BI251" s="22" t="n"/>
      <c r="BJ251" s="22" t="n"/>
      <c r="BK251" s="22" t="n"/>
      <c r="BL251" s="22" t="n"/>
      <c r="BM251" s="22" t="n"/>
      <c r="BN251" s="22" t="n"/>
      <c r="BO251" s="22" t="n"/>
      <c r="BP251" s="22" t="n"/>
      <c r="BQ251" s="22" t="n"/>
      <c r="BR251" s="22" t="n"/>
      <c r="BS251" s="22" t="n"/>
      <c r="BT251" s="22" t="n"/>
      <c r="BU251" s="22" t="n"/>
      <c r="BV251" s="22" t="n"/>
      <c r="BW251" s="22" t="n"/>
      <c r="BX251" s="22" t="n"/>
      <c r="BY251" s="22" t="n"/>
      <c r="BZ251" s="22" t="n"/>
      <c r="CA251" s="22" t="n"/>
      <c r="CB251" s="22" t="n"/>
      <c r="CC251" s="22" t="n"/>
      <c r="CD251" s="22" t="n"/>
      <c r="CE251" s="22" t="n"/>
      <c r="CF251" s="22" t="n"/>
      <c r="CG251" s="22" t="n"/>
      <c r="CH251" s="22" t="n"/>
      <c r="CI251" s="22" t="n"/>
      <c r="CJ251" s="22" t="n"/>
      <c r="CK251" s="22" t="n"/>
      <c r="CL251" s="22" t="n"/>
      <c r="CM251" s="22" t="n"/>
      <c r="CN251" s="22" t="n"/>
      <c r="CO251" s="22" t="n"/>
      <c r="CP251" s="22" t="n"/>
      <c r="CQ251" s="22" t="n"/>
      <c r="CR251" s="22" t="n"/>
      <c r="CS251" s="22" t="n"/>
      <c r="CT251" s="22" t="n"/>
      <c r="CU251" s="22" t="n"/>
      <c r="CV251" s="22" t="n"/>
      <c r="CW251" s="22" t="n"/>
      <c r="CX251" s="22" t="n"/>
      <c r="CY251" s="22" t="n"/>
    </row>
    <row r="252" hidden="1" outlineLevel="1" customFormat="1" s="39">
      <c r="A252" s="19" t="n"/>
      <c r="B252" s="19" t="n"/>
      <c r="C252" s="41" t="inlineStr">
        <is>
          <t>Treasury share $ repurchases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2" t="n"/>
      <c r="M252" s="22" t="n"/>
      <c r="N252" s="22" t="n"/>
      <c r="O252" s="22" t="n"/>
      <c r="P252" s="22" t="n"/>
      <c r="Q252" s="22" t="n"/>
      <c r="R252" s="22" t="n"/>
      <c r="S252" s="22" t="n"/>
      <c r="T252" s="22" t="n"/>
      <c r="U252" s="22" t="n"/>
      <c r="V252" s="22" t="n"/>
      <c r="W252" s="22" t="n"/>
      <c r="X252" s="22" t="n"/>
      <c r="Y252" s="22" t="n"/>
      <c r="Z252" s="22" t="n"/>
      <c r="AA252" s="22" t="n"/>
      <c r="AB252" s="22" t="n"/>
      <c r="AC252" s="22" t="n"/>
      <c r="AD252" s="22" t="n"/>
      <c r="AE252" s="22" t="n"/>
      <c r="AF252" s="22" t="n"/>
      <c r="AG252" s="22" t="n"/>
      <c r="AH252" s="6" t="n"/>
      <c r="AI252" s="6" t="n"/>
      <c r="AJ252" s="6" t="n"/>
      <c r="AK252" s="6" t="n"/>
      <c r="AL252" s="22" t="n"/>
      <c r="AM252" s="6" t="n"/>
      <c r="AN252" s="6" t="n"/>
      <c r="AO252" s="6" t="n"/>
      <c r="AP252" s="6" t="n"/>
      <c r="AQ252" s="22" t="n"/>
      <c r="AR252" s="6" t="n"/>
      <c r="AS252" s="6" t="n"/>
      <c r="AT252" s="6" t="n"/>
      <c r="AU252" s="6" t="n"/>
      <c r="AV252" s="22" t="n"/>
      <c r="AW252" s="6" t="n"/>
      <c r="AX252" s="6" t="n"/>
      <c r="AY252" s="6" t="n"/>
      <c r="AZ252" s="6" t="n"/>
      <c r="BA252" s="22" t="n"/>
      <c r="BB252" s="6" t="n"/>
      <c r="BC252" s="6" t="n"/>
      <c r="BD252" s="6" t="n"/>
      <c r="BE252" s="6" t="n"/>
      <c r="BF252" s="22" t="n"/>
      <c r="BG252" s="6" t="n"/>
      <c r="BH252" s="6" t="n"/>
      <c r="BI252" s="6" t="n"/>
      <c r="BJ252" s="6" t="n"/>
      <c r="BK252" s="22" t="n"/>
      <c r="BL252" s="6" t="n"/>
      <c r="BM252" s="6" t="n"/>
      <c r="BN252" s="6" t="n"/>
      <c r="BO252" s="6" t="n"/>
      <c r="BP252" s="22" t="n"/>
      <c r="BQ252" s="6" t="n"/>
      <c r="BR252" s="6" t="n"/>
      <c r="BS252" s="6" t="n"/>
      <c r="BT252" s="6" t="n"/>
      <c r="BU252" s="22" t="n"/>
      <c r="BV252" s="6" t="n"/>
      <c r="BW252" s="6" t="n"/>
      <c r="BX252" s="6" t="n"/>
      <c r="BY252" s="6" t="n"/>
      <c r="BZ252" s="22" t="n"/>
      <c r="CA252" s="6" t="n"/>
      <c r="CB252" s="6" t="n"/>
      <c r="CC252" s="6" t="n"/>
      <c r="CD252" s="6" t="n"/>
      <c r="CE252" s="22" t="n"/>
      <c r="CF252" s="6" t="n"/>
      <c r="CG252" s="6" t="n"/>
      <c r="CH252" s="6" t="n"/>
      <c r="CI252" s="6" t="n"/>
      <c r="CJ252" s="22" t="n"/>
      <c r="CK252" s="6" t="n"/>
      <c r="CL252" s="6" t="n"/>
      <c r="CM252" s="6" t="n"/>
      <c r="CN252" s="6" t="n"/>
      <c r="CO252" s="22" t="n"/>
      <c r="CP252" s="6" t="n"/>
      <c r="CQ252" s="6" t="n"/>
      <c r="CR252" s="6" t="n"/>
      <c r="CS252" s="6" t="n"/>
      <c r="CT252" s="22" t="n"/>
      <c r="CU252" s="6" t="n"/>
      <c r="CV252" s="6" t="n"/>
      <c r="CW252" s="6" t="n"/>
      <c r="CX252" s="6" t="n"/>
      <c r="CY252" s="22" t="n"/>
    </row>
    <row r="253" hidden="1" outlineLevel="1" customFormat="1" s="39">
      <c r="A253" s="19" t="n"/>
      <c r="B253" s="19" t="n"/>
      <c r="C253" s="41" t="inlineStr">
        <is>
          <t>Value of shares issued</t>
        </is>
      </c>
      <c r="D253" s="22" t="n"/>
      <c r="E253" s="22" t="n"/>
      <c r="F253" s="22" t="n"/>
      <c r="G253" s="22" t="n"/>
      <c r="H253" s="22" t="n"/>
      <c r="I253" s="22" t="n"/>
      <c r="J253" s="22" t="n"/>
      <c r="K253" s="22" t="n"/>
      <c r="L253" s="22" t="n"/>
      <c r="M253" s="22" t="n"/>
      <c r="N253" s="22" t="n"/>
      <c r="O253" s="22" t="n"/>
      <c r="P253" s="22" t="n"/>
      <c r="Q253" s="22" t="n"/>
      <c r="R253" s="22" t="n"/>
      <c r="S253" s="22" t="n"/>
      <c r="T253" s="22" t="n"/>
      <c r="U253" s="22" t="n"/>
      <c r="V253" s="22" t="n"/>
      <c r="W253" s="22" t="n"/>
      <c r="X253" s="22" t="n"/>
      <c r="Y253" s="22" t="n"/>
      <c r="Z253" s="22" t="n"/>
      <c r="AA253" s="22" t="n"/>
      <c r="AB253" s="22" t="n"/>
      <c r="AC253" s="22" t="n"/>
      <c r="AD253" s="22" t="n"/>
      <c r="AE253" s="22" t="n"/>
      <c r="AF253" s="22" t="n"/>
      <c r="AG253" s="22" t="n"/>
      <c r="AH253" s="6" t="n"/>
      <c r="AI253" s="6" t="n"/>
      <c r="AJ253" s="6" t="n"/>
      <c r="AK253" s="6" t="n"/>
      <c r="AL253" s="22" t="n"/>
      <c r="AM253" s="6" t="n"/>
      <c r="AN253" s="6" t="n"/>
      <c r="AO253" s="6" t="n"/>
      <c r="AP253" s="6" t="n"/>
      <c r="AQ253" s="22" t="n"/>
      <c r="AR253" s="6" t="n"/>
      <c r="AS253" s="6" t="n"/>
      <c r="AT253" s="6" t="n"/>
      <c r="AU253" s="6" t="n"/>
      <c r="AV253" s="22" t="n"/>
      <c r="AW253" s="6" t="n"/>
      <c r="AX253" s="6" t="n"/>
      <c r="AY253" s="6" t="n"/>
      <c r="AZ253" s="6" t="n"/>
      <c r="BA253" s="22" t="n"/>
      <c r="BB253" s="6" t="n"/>
      <c r="BC253" s="6" t="n"/>
      <c r="BD253" s="6" t="n"/>
      <c r="BE253" s="6" t="n"/>
      <c r="BF253" s="22" t="n"/>
      <c r="BG253" s="6" t="n"/>
      <c r="BH253" s="6" t="n"/>
      <c r="BI253" s="6" t="n"/>
      <c r="BJ253" s="6" t="n"/>
      <c r="BK253" s="22" t="n"/>
      <c r="BL253" s="6" t="n"/>
      <c r="BM253" s="6" t="n"/>
      <c r="BN253" s="6" t="n"/>
      <c r="BO253" s="6" t="n"/>
      <c r="BP253" s="22" t="n"/>
      <c r="BQ253" s="6" t="n"/>
      <c r="BR253" s="6" t="n"/>
      <c r="BS253" s="6" t="n"/>
      <c r="BT253" s="6" t="n"/>
      <c r="BU253" s="22" t="n"/>
      <c r="BV253" s="6" t="n"/>
      <c r="BW253" s="6" t="n"/>
      <c r="BX253" s="6" t="n"/>
      <c r="BY253" s="6" t="n"/>
      <c r="BZ253" s="22" t="n"/>
      <c r="CA253" s="6" t="n"/>
      <c r="CB253" s="6" t="n"/>
      <c r="CC253" s="6" t="n"/>
      <c r="CD253" s="6" t="n"/>
      <c r="CE253" s="22" t="n"/>
      <c r="CF253" s="6" t="n"/>
      <c r="CG253" s="6" t="n"/>
      <c r="CH253" s="6" t="n"/>
      <c r="CI253" s="6" t="n"/>
      <c r="CJ253" s="22" t="n"/>
      <c r="CK253" s="6" t="n"/>
      <c r="CL253" s="6" t="n"/>
      <c r="CM253" s="6" t="n"/>
      <c r="CN253" s="6" t="n"/>
      <c r="CO253" s="22" t="n"/>
      <c r="CP253" s="6" t="n"/>
      <c r="CQ253" s="6" t="n"/>
      <c r="CR253" s="6" t="n"/>
      <c r="CS253" s="6" t="n"/>
      <c r="CT253" s="22" t="n"/>
      <c r="CU253" s="6" t="n"/>
      <c r="CV253" s="6" t="n"/>
      <c r="CW253" s="6" t="n"/>
      <c r="CX253" s="6" t="n"/>
      <c r="CY253" s="22" t="n"/>
    </row>
    <row r="254" hidden="1" outlineLevel="1" customFormat="1" s="39">
      <c r="A254" s="19" t="n"/>
      <c r="B254" s="19" t="n"/>
      <c r="C254" s="41" t="inlineStr">
        <is>
          <t>Expected average share price</t>
        </is>
      </c>
      <c r="D254" s="22" t="n"/>
      <c r="E254" s="22" t="n"/>
      <c r="F254" s="22" t="n"/>
      <c r="G254" s="22" t="n"/>
      <c r="H254" s="22" t="n"/>
      <c r="I254" s="22" t="n"/>
      <c r="J254" s="22" t="n"/>
      <c r="K254" s="22" t="n"/>
      <c r="L254" s="22" t="n"/>
      <c r="M254" s="22" t="n"/>
      <c r="N254" s="22" t="n"/>
      <c r="O254" s="22" t="n"/>
      <c r="P254" s="22" t="n"/>
      <c r="Q254" s="22" t="n"/>
      <c r="R254" s="22" t="n"/>
      <c r="S254" s="22" t="n"/>
      <c r="T254" s="22" t="n"/>
      <c r="U254" s="22" t="n"/>
      <c r="V254" s="22" t="n"/>
      <c r="W254" s="22" t="n"/>
      <c r="X254" s="22" t="n"/>
      <c r="Y254" s="22" t="n"/>
      <c r="Z254" s="22" t="n"/>
      <c r="AA254" s="22" t="n"/>
      <c r="AB254" s="22" t="n"/>
      <c r="AC254" s="22" t="n"/>
      <c r="AD254" s="22" t="n"/>
      <c r="AE254" s="22" t="n"/>
      <c r="AF254" s="22" t="n"/>
      <c r="AG254" s="251" t="n"/>
      <c r="AH254" s="42">
        <f>AG254*(1+AH255)</f>
        <v>0</v>
      </c>
      <c r="AI254" s="42">
        <f>AH254*(1+AI255)</f>
        <v>0</v>
      </c>
      <c r="AJ254" s="42">
        <f>AI254*(1+AJ255)</f>
        <v>0</v>
      </c>
      <c r="AK254" s="42">
        <f>AJ254*(1+AK255)</f>
        <v>0</v>
      </c>
      <c r="AL254" s="22" t="n"/>
      <c r="AM254" s="42">
        <f>AK254*(1+AM255)</f>
        <v>0</v>
      </c>
      <c r="AN254" s="42">
        <f>AM254*(1+AN255)</f>
        <v>0</v>
      </c>
      <c r="AO254" s="42">
        <f>AN254*(1+AO255)</f>
        <v>0</v>
      </c>
      <c r="AP254" s="42">
        <f>AO254*(1+AP255)</f>
        <v>0</v>
      </c>
      <c r="AQ254" s="22" t="n"/>
      <c r="AR254" s="42">
        <f>AP254*(1+AR255)</f>
        <v>0</v>
      </c>
      <c r="AS254" s="42">
        <f>AR254*(1+AS255)</f>
        <v>0</v>
      </c>
      <c r="AT254" s="42">
        <f>AS254*(1+AT255)</f>
        <v>0</v>
      </c>
      <c r="AU254" s="42">
        <f>AT254*(1+AU255)</f>
        <v>0</v>
      </c>
      <c r="AV254" s="22" t="n"/>
      <c r="AW254" s="42">
        <f>AU254*(1+AW255)</f>
        <v>0</v>
      </c>
      <c r="AX254" s="42">
        <f>AW254*(1+AX255)</f>
        <v>0</v>
      </c>
      <c r="AY254" s="42">
        <f>AX254*(1+AY255)</f>
        <v>0</v>
      </c>
      <c r="AZ254" s="42">
        <f>AY254*(1+AZ255)</f>
        <v>0</v>
      </c>
      <c r="BA254" s="22" t="n"/>
      <c r="BB254" s="42">
        <f>AZ254*(1+BB255)</f>
        <v>0</v>
      </c>
      <c r="BC254" s="42">
        <f>BB254*(1+BC255)</f>
        <v>0</v>
      </c>
      <c r="BD254" s="42">
        <f>BC254*(1+BD255)</f>
        <v>0</v>
      </c>
      <c r="BE254" s="42">
        <f>BD254*(1+BE255)</f>
        <v>0</v>
      </c>
      <c r="BF254" s="22" t="n"/>
      <c r="BG254" s="42">
        <f>BE254*(1+BG255)</f>
        <v>0</v>
      </c>
      <c r="BH254" s="42">
        <f>BG254*(1+BH255)</f>
        <v>0</v>
      </c>
      <c r="BI254" s="42">
        <f>BH254*(1+BI255)</f>
        <v>0</v>
      </c>
      <c r="BJ254" s="42">
        <f>BI254*(1+BJ255)</f>
        <v>0</v>
      </c>
      <c r="BK254" s="22" t="n"/>
      <c r="BL254" s="42">
        <f>BJ254*(1+BL255)</f>
        <v>0</v>
      </c>
      <c r="BM254" s="42">
        <f>BL254*(1+BM255)</f>
        <v>0</v>
      </c>
      <c r="BN254" s="42">
        <f>BM254*(1+BN255)</f>
        <v>0</v>
      </c>
      <c r="BO254" s="42">
        <f>BN254*(1+BO255)</f>
        <v>0</v>
      </c>
      <c r="BP254" s="22" t="n"/>
      <c r="BQ254" s="42">
        <f>BO254*(1+BQ255)</f>
        <v>0</v>
      </c>
      <c r="BR254" s="42">
        <f>BQ254*(1+BR255)</f>
        <v>0</v>
      </c>
      <c r="BS254" s="42">
        <f>BR254*(1+BS255)</f>
        <v>0</v>
      </c>
      <c r="BT254" s="42">
        <f>BS254*(1+BT255)</f>
        <v>0</v>
      </c>
      <c r="BU254" s="22" t="n"/>
      <c r="BV254" s="42">
        <f>BT254*(1+BV255)</f>
        <v>0</v>
      </c>
      <c r="BW254" s="42">
        <f>BV254*(1+BW255)</f>
        <v>0</v>
      </c>
      <c r="BX254" s="42">
        <f>BW254*(1+BX255)</f>
        <v>0</v>
      </c>
      <c r="BY254" s="42">
        <f>BX254*(1+BY255)</f>
        <v>0</v>
      </c>
      <c r="BZ254" s="22" t="n"/>
      <c r="CA254" s="42">
        <f>BY254*(1+CA255)</f>
        <v>0</v>
      </c>
      <c r="CB254" s="42">
        <f>CA254*(1+CB255)</f>
        <v>0</v>
      </c>
      <c r="CC254" s="42">
        <f>CB254*(1+CC255)</f>
        <v>0</v>
      </c>
      <c r="CD254" s="42">
        <f>CC254*(1+CD255)</f>
        <v>0</v>
      </c>
      <c r="CE254" s="22" t="n"/>
      <c r="CF254" s="42">
        <f>CD254*(1+CF255)</f>
        <v>0</v>
      </c>
      <c r="CG254" s="42">
        <f>CF254*(1+CG255)</f>
        <v>0</v>
      </c>
      <c r="CH254" s="42">
        <f>CG254*(1+CH255)</f>
        <v>0</v>
      </c>
      <c r="CI254" s="42">
        <f>CH254*(1+CI255)</f>
        <v>0</v>
      </c>
      <c r="CJ254" s="22" t="n"/>
      <c r="CK254" s="42">
        <f>CI254*(1+CK255)</f>
        <v>0</v>
      </c>
      <c r="CL254" s="42">
        <f>CK254*(1+CL255)</f>
        <v>0</v>
      </c>
      <c r="CM254" s="42">
        <f>CL254*(1+CM255)</f>
        <v>0</v>
      </c>
      <c r="CN254" s="42">
        <f>CM254*(1+CN255)</f>
        <v>0</v>
      </c>
      <c r="CO254" s="22" t="n"/>
      <c r="CP254" s="42">
        <f>CN254*(1+CP255)</f>
        <v>0</v>
      </c>
      <c r="CQ254" s="42">
        <f>CP254*(1+CQ255)</f>
        <v>0</v>
      </c>
      <c r="CR254" s="42">
        <f>CQ254*(1+CR255)</f>
        <v>0</v>
      </c>
      <c r="CS254" s="42">
        <f>CR254*(1+CS255)</f>
        <v>0</v>
      </c>
      <c r="CT254" s="22" t="n"/>
      <c r="CU254" s="42">
        <f>CS254*(1+CU255)</f>
        <v>0</v>
      </c>
      <c r="CV254" s="42">
        <f>CU254*(1+CV255)</f>
        <v>0</v>
      </c>
      <c r="CW254" s="42">
        <f>CV254*(1+CW255)</f>
        <v>0</v>
      </c>
      <c r="CX254" s="42">
        <f>CW254*(1+CX255)</f>
        <v>0</v>
      </c>
      <c r="CY254" s="22" t="n"/>
      <c r="CZ254">
        <f>CX254*(1+CZ255)</f>
        <v>0</v>
      </c>
      <c r="DA254">
        <f>CZ254*(1+DA255)</f>
        <v>0</v>
      </c>
      <c r="DB254">
        <f>DA254*(1+DB255)</f>
        <v>0</v>
      </c>
      <c r="DC254">
        <f>DB254*(1+DC255)</f>
        <v>0</v>
      </c>
    </row>
    <row r="255" hidden="1" outlineLevel="1" customFormat="1" s="39">
      <c r="A255" s="19" t="n"/>
      <c r="B255" s="19" t="n"/>
      <c r="C255" s="41" t="inlineStr">
        <is>
          <t>Consensus EPS growth</t>
        </is>
      </c>
      <c r="D255" s="22" t="n"/>
      <c r="E255" s="22" t="n"/>
      <c r="F255" s="22" t="n"/>
      <c r="G255" s="22" t="n"/>
      <c r="H255" s="22" t="n"/>
      <c r="I255" s="22" t="n"/>
      <c r="J255" s="22" t="n"/>
      <c r="K255" s="22" t="n"/>
      <c r="L255" s="22" t="n"/>
      <c r="M255" s="22" t="n"/>
      <c r="N255" s="22" t="n"/>
      <c r="O255" s="22" t="n"/>
      <c r="P255" s="22" t="n"/>
      <c r="Q255" s="22" t="n"/>
      <c r="R255" s="22" t="n"/>
      <c r="S255" s="22" t="n"/>
      <c r="T255" s="22" t="n"/>
      <c r="U255" s="22" t="n"/>
      <c r="V255" s="22" t="n"/>
      <c r="W255" s="22" t="n"/>
      <c r="X255" s="22" t="n"/>
      <c r="Y255" s="22" t="n"/>
      <c r="Z255" s="22" t="n"/>
      <c r="AA255" s="22" t="n"/>
      <c r="AB255" s="22" t="n"/>
      <c r="AC255" s="22" t="n"/>
      <c r="AD255" s="22" t="n"/>
      <c r="AE255" s="22" t="n"/>
      <c r="AF255" s="22" t="n"/>
      <c r="AG255" s="22" t="n"/>
      <c r="AH255" s="40">
        <f>$AL$260</f>
        <v>0</v>
      </c>
      <c r="AI255" s="40">
        <f>$AL$260</f>
        <v>0</v>
      </c>
      <c r="AJ255" s="40">
        <f>$AL$260</f>
        <v>0</v>
      </c>
      <c r="AK255" s="40">
        <f>$AL$260</f>
        <v>0</v>
      </c>
      <c r="AL255" s="22" t="n"/>
      <c r="AM255" s="40">
        <f>$AL$260</f>
        <v>0</v>
      </c>
      <c r="AN255" s="40">
        <f>$AL$260</f>
        <v>0</v>
      </c>
      <c r="AO255" s="40">
        <f>$AL$260</f>
        <v>0</v>
      </c>
      <c r="AP255" s="40">
        <f>$AL$260</f>
        <v>0</v>
      </c>
      <c r="AQ255" s="22" t="n"/>
      <c r="AR255" s="40">
        <f>$AL$260</f>
        <v>0</v>
      </c>
      <c r="AS255" s="40">
        <f>$AL$260</f>
        <v>0</v>
      </c>
      <c r="AT255" s="40">
        <f>$AL$260</f>
        <v>0</v>
      </c>
      <c r="AU255" s="40">
        <f>$AL$260</f>
        <v>0</v>
      </c>
      <c r="AV255" s="22" t="n"/>
      <c r="AW255" s="40">
        <f>$AL$260</f>
        <v>0</v>
      </c>
      <c r="AX255" s="40">
        <f>$AL$260</f>
        <v>0</v>
      </c>
      <c r="AY255" s="40">
        <f>$AL$260</f>
        <v>0</v>
      </c>
      <c r="AZ255" s="40">
        <f>$AL$260</f>
        <v>0</v>
      </c>
      <c r="BA255" s="22" t="n"/>
      <c r="BB255" s="40">
        <f>$AL$260</f>
        <v>0</v>
      </c>
      <c r="BC255" s="40">
        <f>$AL$260</f>
        <v>0</v>
      </c>
      <c r="BD255" s="40">
        <f>$AL$260</f>
        <v>0</v>
      </c>
      <c r="BE255" s="40">
        <f>$AL$260</f>
        <v>0</v>
      </c>
      <c r="BF255" s="22" t="n"/>
      <c r="BG255" s="40">
        <f>$AL$260</f>
        <v>0</v>
      </c>
      <c r="BH255" s="40">
        <f>$AL$260</f>
        <v>0</v>
      </c>
      <c r="BI255" s="40">
        <f>$AL$260</f>
        <v>0</v>
      </c>
      <c r="BJ255" s="40">
        <f>$AL$260</f>
        <v>0</v>
      </c>
      <c r="BK255" s="22" t="n"/>
      <c r="BL255" s="40">
        <f>$AL$260</f>
        <v>0</v>
      </c>
      <c r="BM255" s="40">
        <f>$AL$260</f>
        <v>0</v>
      </c>
      <c r="BN255" s="40">
        <f>$AL$260</f>
        <v>0</v>
      </c>
      <c r="BO255" s="40">
        <f>$AL$260</f>
        <v>0</v>
      </c>
      <c r="BP255" s="22" t="n"/>
      <c r="BQ255" s="40">
        <f>$AL$260</f>
        <v>0</v>
      </c>
      <c r="BR255" s="40">
        <f>$AL$260</f>
        <v>0</v>
      </c>
      <c r="BS255" s="40">
        <f>$AL$260</f>
        <v>0</v>
      </c>
      <c r="BT255" s="40">
        <f>$AL$260</f>
        <v>0</v>
      </c>
      <c r="BU255" s="22" t="n"/>
      <c r="BV255" s="40">
        <f>$AL$260</f>
        <v>0</v>
      </c>
      <c r="BW255" s="40">
        <f>$AL$260</f>
        <v>0</v>
      </c>
      <c r="BX255" s="40">
        <f>$AL$260</f>
        <v>0</v>
      </c>
      <c r="BY255" s="40">
        <f>$AL$260</f>
        <v>0</v>
      </c>
      <c r="BZ255" s="22" t="n"/>
      <c r="CA255" s="40">
        <f>$AL$260</f>
        <v>0</v>
      </c>
      <c r="CB255" s="40">
        <f>$AL$260</f>
        <v>0</v>
      </c>
      <c r="CC255" s="40">
        <f>$AL$260</f>
        <v>0</v>
      </c>
      <c r="CD255" s="40">
        <f>$AL$260</f>
        <v>0</v>
      </c>
      <c r="CE255" s="22" t="n"/>
      <c r="CF255" s="40">
        <f>$AL$260</f>
        <v>0</v>
      </c>
      <c r="CG255" s="40">
        <f>$AL$260</f>
        <v>0</v>
      </c>
      <c r="CH255" s="40">
        <f>$AL$260</f>
        <v>0</v>
      </c>
      <c r="CI255" s="40">
        <f>$AL$260</f>
        <v>0</v>
      </c>
      <c r="CJ255" s="22" t="n"/>
      <c r="CK255" s="40">
        <f>$AL$260</f>
        <v>0</v>
      </c>
      <c r="CL255" s="40">
        <f>$AL$260</f>
        <v>0</v>
      </c>
      <c r="CM255" s="40">
        <f>$AL$260</f>
        <v>0</v>
      </c>
      <c r="CN255" s="40">
        <f>$AL$260</f>
        <v>0</v>
      </c>
      <c r="CO255" s="22" t="n"/>
      <c r="CP255" s="40">
        <f>$AL$260</f>
        <v>0</v>
      </c>
      <c r="CQ255" s="40">
        <f>$AL$260</f>
        <v>0</v>
      </c>
      <c r="CR255" s="40">
        <f>$AL$260</f>
        <v>0</v>
      </c>
      <c r="CS255" s="40">
        <f>$AL$260</f>
        <v>0</v>
      </c>
      <c r="CT255" s="22" t="n"/>
      <c r="CU255" s="40">
        <f>$AL$260</f>
        <v>0</v>
      </c>
      <c r="CV255" s="40">
        <f>$AL$260</f>
        <v>0</v>
      </c>
      <c r="CW255" s="40">
        <f>$AL$260</f>
        <v>0</v>
      </c>
      <c r="CX255" s="40">
        <f>$AL$260</f>
        <v>0</v>
      </c>
      <c r="CY255" s="22" t="n"/>
    </row>
    <row r="256" hidden="1" outlineLevel="1" customFormat="1" s="39">
      <c r="A256" s="19" t="n"/>
      <c r="B256" s="19" t="n"/>
      <c r="C256" s="41" t="n"/>
      <c r="D256" s="22" t="n"/>
      <c r="E256" s="22" t="n"/>
      <c r="F256" s="22" t="n"/>
      <c r="G256" s="22" t="n"/>
      <c r="H256" s="22" t="n"/>
      <c r="I256" s="22" t="n"/>
      <c r="J256" s="22" t="n"/>
      <c r="K256" s="22" t="n"/>
      <c r="L256" s="22" t="n"/>
      <c r="M256" s="22" t="n"/>
      <c r="N256" s="22" t="n"/>
      <c r="O256" s="22" t="n"/>
      <c r="P256" s="22" t="n"/>
      <c r="Q256" s="22" t="n"/>
      <c r="R256" s="22" t="n"/>
      <c r="S256" s="22" t="n"/>
      <c r="T256" s="22" t="n"/>
      <c r="U256" s="22" t="n"/>
      <c r="V256" s="22" t="n"/>
      <c r="W256" s="22" t="n"/>
      <c r="X256" s="22" t="n"/>
      <c r="Y256" s="22" t="n"/>
      <c r="Z256" s="22" t="n"/>
      <c r="AA256" s="22" t="n"/>
      <c r="AB256" s="22" t="n"/>
      <c r="AC256" s="22" t="n"/>
      <c r="AD256" s="22" t="n"/>
      <c r="AE256" s="22" t="n"/>
      <c r="AF256" s="22" t="n"/>
      <c r="AG256" s="22" t="n"/>
      <c r="AH256" s="3" t="n"/>
      <c r="AI256" s="3" t="n"/>
      <c r="AJ256" s="3" t="n"/>
      <c r="AK256" s="3" t="n"/>
      <c r="AL256" s="22" t="n"/>
      <c r="AM256" s="3" t="n"/>
      <c r="AN256" s="3" t="n"/>
      <c r="AO256" s="3" t="n"/>
      <c r="AP256" s="3" t="n"/>
      <c r="AQ256" s="22" t="n"/>
      <c r="AR256" s="3" t="n"/>
      <c r="AS256" s="3" t="n"/>
      <c r="AT256" s="3" t="n"/>
      <c r="AU256" s="3" t="n"/>
      <c r="AV256" s="22" t="n"/>
      <c r="AW256" s="3" t="n"/>
      <c r="AX256" s="3" t="n"/>
      <c r="AY256" s="3" t="n"/>
      <c r="AZ256" s="3" t="n"/>
      <c r="BA256" s="22" t="n"/>
      <c r="BB256" s="3" t="n"/>
      <c r="BC256" s="3" t="n"/>
      <c r="BD256" s="3" t="n"/>
      <c r="BE256" s="3" t="n"/>
      <c r="BF256" s="22" t="n"/>
      <c r="BG256" s="3" t="n"/>
      <c r="BH256" s="3" t="n"/>
      <c r="BI256" s="3" t="n"/>
      <c r="BJ256" s="3" t="n"/>
      <c r="BK256" s="22" t="n"/>
      <c r="BL256" s="3" t="n"/>
      <c r="BM256" s="3" t="n"/>
      <c r="BN256" s="3" t="n"/>
      <c r="BO256" s="3" t="n"/>
      <c r="BP256" s="22" t="n"/>
      <c r="BQ256" s="3" t="n"/>
      <c r="BR256" s="3" t="n"/>
      <c r="BS256" s="3" t="n"/>
      <c r="BT256" s="3" t="n"/>
      <c r="BU256" s="22" t="n"/>
      <c r="BV256" s="3" t="n"/>
      <c r="BW256" s="3" t="n"/>
      <c r="BX256" s="3" t="n"/>
      <c r="BY256" s="3" t="n"/>
      <c r="BZ256" s="22" t="n"/>
      <c r="CA256" s="3" t="n"/>
      <c r="CB256" s="3" t="n"/>
      <c r="CC256" s="3" t="n"/>
      <c r="CD256" s="3" t="n"/>
      <c r="CE256" s="22" t="n"/>
      <c r="CF256" s="3" t="n"/>
      <c r="CG256" s="3" t="n"/>
      <c r="CH256" s="3" t="n"/>
      <c r="CI256" s="3" t="n"/>
      <c r="CJ256" s="22" t="n"/>
      <c r="CK256" s="3" t="n"/>
      <c r="CL256" s="3" t="n"/>
      <c r="CM256" s="3" t="n"/>
      <c r="CN256" s="3" t="n"/>
      <c r="CO256" s="22" t="n"/>
      <c r="CP256" s="3" t="n"/>
      <c r="CQ256" s="3" t="n"/>
      <c r="CR256" s="3" t="n"/>
      <c r="CS256" s="3" t="n"/>
      <c r="CT256" s="22" t="n"/>
      <c r="CU256" s="3" t="n"/>
      <c r="CV256" s="3" t="n"/>
      <c r="CW256" s="3" t="n"/>
      <c r="CX256" s="3" t="n"/>
      <c r="CY256" s="22" t="n"/>
    </row>
    <row r="257" hidden="1" outlineLevel="1" customFormat="1" s="39">
      <c r="A257" s="19" t="n"/>
      <c r="B257" s="19" t="n"/>
      <c r="C257" s="41" t="inlineStr">
        <is>
          <t>Shares repurchased</t>
        </is>
      </c>
      <c r="D257" s="22" t="n"/>
      <c r="E257" s="22" t="n"/>
      <c r="F257" s="22" t="n"/>
      <c r="G257" s="22" t="n"/>
      <c r="H257" s="22" t="n"/>
      <c r="I257" s="22" t="n"/>
      <c r="J257" s="22" t="n"/>
      <c r="K257" s="22" t="n"/>
      <c r="L257" s="22" t="n"/>
      <c r="M257" s="22" t="n"/>
      <c r="N257" s="22" t="n"/>
      <c r="O257" s="22" t="n"/>
      <c r="P257" s="22" t="n"/>
      <c r="Q257" s="22" t="n"/>
      <c r="R257" s="22" t="n"/>
      <c r="S257" s="22" t="n"/>
      <c r="T257" s="22" t="n"/>
      <c r="U257" s="22" t="n"/>
      <c r="V257" s="22" t="n"/>
      <c r="W257" s="22" t="n"/>
      <c r="X257" s="22" t="n"/>
      <c r="Y257" s="22" t="n"/>
      <c r="Z257" s="22" t="n"/>
      <c r="AA257" s="22" t="n"/>
      <c r="AB257" s="22" t="n"/>
      <c r="AC257" s="22" t="n"/>
      <c r="AD257" s="22" t="n"/>
      <c r="AE257" s="22" t="n"/>
      <c r="AF257" s="22" t="n"/>
      <c r="AG257" s="22" t="n"/>
      <c r="AH257" s="43" t="n"/>
      <c r="AI257" s="43" t="n"/>
      <c r="AJ257" s="43" t="e">
        <f>-AJ252/AJ254</f>
        <v>#DIV/0!</v>
      </c>
      <c r="AK257" s="43" t="e">
        <f>-AK252/AK254</f>
        <v>#DIV/0!</v>
      </c>
      <c r="AL257" s="22" t="n"/>
      <c r="AM257" s="43" t="e">
        <f>-AM252/AM254</f>
        <v>#DIV/0!</v>
      </c>
      <c r="AN257" s="43" t="e">
        <f>-AN252/AN254</f>
        <v>#DIV/0!</v>
      </c>
      <c r="AO257" s="43" t="e">
        <f>-AO252/AO254</f>
        <v>#DIV/0!</v>
      </c>
      <c r="AP257" s="43" t="e">
        <f>-AP252/AP254</f>
        <v>#DIV/0!</v>
      </c>
      <c r="AQ257" s="22" t="n"/>
      <c r="AR257" s="43" t="e">
        <f>-AR252/AR254</f>
        <v>#DIV/0!</v>
      </c>
      <c r="AS257" s="43" t="e">
        <f>-AS252/AS254</f>
        <v>#DIV/0!</v>
      </c>
      <c r="AT257" s="43" t="e">
        <f>-AT252/AT254</f>
        <v>#DIV/0!</v>
      </c>
      <c r="AU257" s="43" t="e">
        <f>-AU252/AU254</f>
        <v>#DIV/0!</v>
      </c>
      <c r="AV257" s="22" t="n"/>
      <c r="AW257" s="43" t="e">
        <f>-AW252/AW254</f>
        <v>#DIV/0!</v>
      </c>
      <c r="AX257" s="43" t="e">
        <f>-AX252/AX254</f>
        <v>#DIV/0!</v>
      </c>
      <c r="AY257" s="43" t="e">
        <f>-AY252/AY254</f>
        <v>#DIV/0!</v>
      </c>
      <c r="AZ257" s="43" t="e">
        <f>-AZ252/AZ254</f>
        <v>#DIV/0!</v>
      </c>
      <c r="BA257" s="22" t="n"/>
      <c r="BB257" s="43" t="e">
        <f>-BB252/BB254</f>
        <v>#DIV/0!</v>
      </c>
      <c r="BC257" s="43" t="e">
        <f>-BC252/BC254</f>
        <v>#DIV/0!</v>
      </c>
      <c r="BD257" s="43" t="e">
        <f>-BD252/BD254</f>
        <v>#DIV/0!</v>
      </c>
      <c r="BE257" s="43" t="e">
        <f>-BE252/BE254</f>
        <v>#DIV/0!</v>
      </c>
      <c r="BF257" s="22" t="n"/>
      <c r="BG257" s="43" t="e">
        <f>-BG252/BG254</f>
        <v>#DIV/0!</v>
      </c>
      <c r="BH257" s="43" t="e">
        <f>-BH252/BH254</f>
        <v>#DIV/0!</v>
      </c>
      <c r="BI257" s="43" t="e">
        <f>-BI252/BI254</f>
        <v>#DIV/0!</v>
      </c>
      <c r="BJ257" s="43" t="e">
        <f>-BJ252/BJ254</f>
        <v>#DIV/0!</v>
      </c>
      <c r="BK257" s="22" t="n"/>
      <c r="BL257" s="43" t="e">
        <f>-BL252/BL254</f>
        <v>#DIV/0!</v>
      </c>
      <c r="BM257" s="43" t="e">
        <f>-BM252/BM254</f>
        <v>#DIV/0!</v>
      </c>
      <c r="BN257" s="43" t="e">
        <f>-BN252/BN254</f>
        <v>#DIV/0!</v>
      </c>
      <c r="BO257" s="43" t="e">
        <f>-BO252/BO254</f>
        <v>#DIV/0!</v>
      </c>
      <c r="BP257" s="22" t="n"/>
      <c r="BQ257" s="43" t="e">
        <f>-BQ252/BQ254</f>
        <v>#DIV/0!</v>
      </c>
      <c r="BR257" s="43" t="e">
        <f>-BR252/BR254</f>
        <v>#DIV/0!</v>
      </c>
      <c r="BS257" s="43" t="e">
        <f>-BS252/BS254</f>
        <v>#DIV/0!</v>
      </c>
      <c r="BT257" s="43" t="e">
        <f>-BT252/BT254</f>
        <v>#DIV/0!</v>
      </c>
      <c r="BU257" s="22" t="n"/>
      <c r="BV257" s="43" t="e">
        <f>-BV252/BV254</f>
        <v>#DIV/0!</v>
      </c>
      <c r="BW257" s="43" t="e">
        <f>-BW252/BW254</f>
        <v>#DIV/0!</v>
      </c>
      <c r="BX257" s="43" t="e">
        <f>-BX252/BX254</f>
        <v>#DIV/0!</v>
      </c>
      <c r="BY257" s="43" t="e">
        <f>-BY252/BY254</f>
        <v>#DIV/0!</v>
      </c>
      <c r="BZ257" s="22" t="n"/>
      <c r="CA257" s="43" t="e">
        <f>-CA252/CA254</f>
        <v>#DIV/0!</v>
      </c>
      <c r="CB257" s="43" t="e">
        <f>-CB252/CB254</f>
        <v>#DIV/0!</v>
      </c>
      <c r="CC257" s="43" t="e">
        <f>-CC252/CC254</f>
        <v>#DIV/0!</v>
      </c>
      <c r="CD257" s="43" t="e">
        <f>-CD252/CD254</f>
        <v>#DIV/0!</v>
      </c>
      <c r="CE257" s="22" t="n"/>
      <c r="CF257" s="43" t="e">
        <f>-CF252/CF254</f>
        <v>#DIV/0!</v>
      </c>
      <c r="CG257" s="43" t="e">
        <f>-CG252/CG254</f>
        <v>#DIV/0!</v>
      </c>
      <c r="CH257" s="43" t="e">
        <f>-CH252/CH254</f>
        <v>#DIV/0!</v>
      </c>
      <c r="CI257" s="43" t="e">
        <f>-CI252/CI254</f>
        <v>#DIV/0!</v>
      </c>
      <c r="CJ257" s="22" t="n"/>
      <c r="CK257" s="43" t="e">
        <f>-CK252/CK254</f>
        <v>#DIV/0!</v>
      </c>
      <c r="CL257" s="43" t="e">
        <f>-CL252/CL254</f>
        <v>#DIV/0!</v>
      </c>
      <c r="CM257" s="43" t="e">
        <f>-CM252/CM254</f>
        <v>#DIV/0!</v>
      </c>
      <c r="CN257" s="43" t="e">
        <f>-CN252/CN254</f>
        <v>#DIV/0!</v>
      </c>
      <c r="CO257" s="22" t="n"/>
      <c r="CP257" s="43" t="e">
        <f>-CP252/CP254</f>
        <v>#DIV/0!</v>
      </c>
      <c r="CQ257" s="43" t="e">
        <f>-CQ252/CQ254</f>
        <v>#DIV/0!</v>
      </c>
      <c r="CR257" s="43" t="e">
        <f>-CR252/CR254</f>
        <v>#DIV/0!</v>
      </c>
      <c r="CS257" s="43" t="e">
        <f>-CS252/CS254</f>
        <v>#DIV/0!</v>
      </c>
      <c r="CT257" s="22" t="n"/>
      <c r="CU257" s="43" t="e">
        <f>-CU252/CU254</f>
        <v>#DIV/0!</v>
      </c>
      <c r="CV257" s="43" t="e">
        <f>-CV252/CV254</f>
        <v>#DIV/0!</v>
      </c>
      <c r="CW257" s="43" t="e">
        <f>-CW252/CW254</f>
        <v>#DIV/0!</v>
      </c>
      <c r="CX257" s="43" t="e">
        <f>-CX252/CX254</f>
        <v>#DIV/0!</v>
      </c>
      <c r="CY257" s="22" t="n"/>
    </row>
    <row r="258" hidden="1" outlineLevel="1" customFormat="1" s="39">
      <c r="A258" s="19" t="n"/>
      <c r="B258" s="19" t="n"/>
      <c r="C258" s="41" t="inlineStr">
        <is>
          <t>Shares issued</t>
        </is>
      </c>
      <c r="D258" s="22" t="n"/>
      <c r="E258" s="22" t="n"/>
      <c r="F258" s="22" t="n"/>
      <c r="G258" s="22" t="n"/>
      <c r="H258" s="22" t="n"/>
      <c r="I258" s="22" t="n"/>
      <c r="J258" s="22" t="n"/>
      <c r="K258" s="22" t="n"/>
      <c r="L258" s="22" t="n"/>
      <c r="M258" s="22" t="n"/>
      <c r="N258" s="22" t="n"/>
      <c r="O258" s="22" t="n"/>
      <c r="P258" s="22" t="n"/>
      <c r="Q258" s="22" t="n"/>
      <c r="R258" s="22" t="n"/>
      <c r="S258" s="22" t="n"/>
      <c r="T258" s="22" t="n"/>
      <c r="U258" s="22" t="n"/>
      <c r="V258" s="22" t="n"/>
      <c r="W258" s="22" t="n"/>
      <c r="X258" s="22" t="n"/>
      <c r="Y258" s="22" t="n"/>
      <c r="Z258" s="22" t="n"/>
      <c r="AA258" s="22" t="n"/>
      <c r="AB258" s="22" t="n"/>
      <c r="AC258" s="22" t="n"/>
      <c r="AD258" s="22" t="n"/>
      <c r="AE258" s="22" t="n"/>
      <c r="AF258" s="46" t="n"/>
      <c r="AG258" s="22" t="n"/>
      <c r="AH258" s="43" t="n"/>
      <c r="AI258" s="43" t="n"/>
      <c r="AJ258" s="43" t="e">
        <f>AJ253/AJ254</f>
        <v>#DIV/0!</v>
      </c>
      <c r="AK258" s="43" t="e">
        <f>AK253/AK254</f>
        <v>#DIV/0!</v>
      </c>
      <c r="AL258" s="22" t="n"/>
      <c r="AM258" s="43" t="e">
        <f>AM253/AM254</f>
        <v>#DIV/0!</v>
      </c>
      <c r="AN258" s="43" t="e">
        <f>AN253/AN254</f>
        <v>#DIV/0!</v>
      </c>
      <c r="AO258" s="43" t="e">
        <f>AO253/AO254</f>
        <v>#DIV/0!</v>
      </c>
      <c r="AP258" s="43" t="e">
        <f>AP253/AP254</f>
        <v>#DIV/0!</v>
      </c>
      <c r="AQ258" s="22" t="n"/>
      <c r="AR258" s="43" t="e">
        <f>AR253/AR254</f>
        <v>#DIV/0!</v>
      </c>
      <c r="AS258" s="43" t="e">
        <f>AS253/AS254</f>
        <v>#DIV/0!</v>
      </c>
      <c r="AT258" s="43" t="e">
        <f>AT253/AT254</f>
        <v>#DIV/0!</v>
      </c>
      <c r="AU258" s="43" t="e">
        <f>AU253/AU254</f>
        <v>#DIV/0!</v>
      </c>
      <c r="AV258" s="22" t="n"/>
      <c r="AW258" s="43" t="e">
        <f>AW253/AW254</f>
        <v>#DIV/0!</v>
      </c>
      <c r="AX258" s="43" t="e">
        <f>AX253/AX254</f>
        <v>#DIV/0!</v>
      </c>
      <c r="AY258" s="43" t="e">
        <f>AY253/AY254</f>
        <v>#DIV/0!</v>
      </c>
      <c r="AZ258" s="43" t="e">
        <f>AZ253/AZ254</f>
        <v>#DIV/0!</v>
      </c>
      <c r="BA258" s="22" t="n"/>
      <c r="BB258" s="43" t="e">
        <f>BB253/BB254</f>
        <v>#DIV/0!</v>
      </c>
      <c r="BC258" s="43" t="e">
        <f>BC253/BC254</f>
        <v>#DIV/0!</v>
      </c>
      <c r="BD258" s="43" t="e">
        <f>BD253/BD254</f>
        <v>#DIV/0!</v>
      </c>
      <c r="BE258" s="43" t="e">
        <f>BE253/BE254</f>
        <v>#DIV/0!</v>
      </c>
      <c r="BF258" s="22" t="n"/>
      <c r="BG258" s="43" t="e">
        <f>BG253/BG254</f>
        <v>#DIV/0!</v>
      </c>
      <c r="BH258" s="43" t="e">
        <f>BH253/BH254</f>
        <v>#DIV/0!</v>
      </c>
      <c r="BI258" s="43" t="e">
        <f>BI253/BI254</f>
        <v>#DIV/0!</v>
      </c>
      <c r="BJ258" s="43" t="e">
        <f>BJ253/BJ254</f>
        <v>#DIV/0!</v>
      </c>
      <c r="BK258" s="22" t="n"/>
      <c r="BL258" s="43" t="e">
        <f>BL253/BL254</f>
        <v>#DIV/0!</v>
      </c>
      <c r="BM258" s="43" t="e">
        <f>BM253/BM254</f>
        <v>#DIV/0!</v>
      </c>
      <c r="BN258" s="43" t="e">
        <f>BN253/BN254</f>
        <v>#DIV/0!</v>
      </c>
      <c r="BO258" s="43" t="e">
        <f>BO253/BO254</f>
        <v>#DIV/0!</v>
      </c>
      <c r="BP258" s="22" t="n"/>
      <c r="BQ258" s="43" t="e">
        <f>BQ253/BQ254</f>
        <v>#DIV/0!</v>
      </c>
      <c r="BR258" s="43" t="e">
        <f>BR253/BR254</f>
        <v>#DIV/0!</v>
      </c>
      <c r="BS258" s="43" t="e">
        <f>BS253/BS254</f>
        <v>#DIV/0!</v>
      </c>
      <c r="BT258" s="43" t="e">
        <f>BT253/BT254</f>
        <v>#DIV/0!</v>
      </c>
      <c r="BU258" s="22" t="n"/>
      <c r="BV258" s="43" t="e">
        <f>BV253/BV254</f>
        <v>#DIV/0!</v>
      </c>
      <c r="BW258" s="43" t="e">
        <f>BW253/BW254</f>
        <v>#DIV/0!</v>
      </c>
      <c r="BX258" s="43" t="e">
        <f>BX253/BX254</f>
        <v>#DIV/0!</v>
      </c>
      <c r="BY258" s="43" t="e">
        <f>BY253/BY254</f>
        <v>#DIV/0!</v>
      </c>
      <c r="BZ258" s="22" t="n"/>
      <c r="CA258" s="43" t="e">
        <f>CA253/CA254</f>
        <v>#DIV/0!</v>
      </c>
      <c r="CB258" s="43" t="e">
        <f>CB253/CB254</f>
        <v>#DIV/0!</v>
      </c>
      <c r="CC258" s="43" t="e">
        <f>CC253/CC254</f>
        <v>#DIV/0!</v>
      </c>
      <c r="CD258" s="43" t="e">
        <f>CD253/CD254</f>
        <v>#DIV/0!</v>
      </c>
      <c r="CE258" s="22" t="n"/>
      <c r="CF258" s="43" t="e">
        <f>CF253/CF254</f>
        <v>#DIV/0!</v>
      </c>
      <c r="CG258" s="43" t="e">
        <f>CG253/CG254</f>
        <v>#DIV/0!</v>
      </c>
      <c r="CH258" s="43" t="e">
        <f>CH253/CH254</f>
        <v>#DIV/0!</v>
      </c>
      <c r="CI258" s="43" t="e">
        <f>CI253/CI254</f>
        <v>#DIV/0!</v>
      </c>
      <c r="CJ258" s="22" t="n"/>
      <c r="CK258" s="43" t="e">
        <f>CK253/CK254</f>
        <v>#DIV/0!</v>
      </c>
      <c r="CL258" s="43" t="e">
        <f>CL253/CL254</f>
        <v>#DIV/0!</v>
      </c>
      <c r="CM258" s="43" t="e">
        <f>CM253/CM254</f>
        <v>#DIV/0!</v>
      </c>
      <c r="CN258" s="43" t="e">
        <f>CN253/CN254</f>
        <v>#DIV/0!</v>
      </c>
      <c r="CO258" s="22" t="n"/>
      <c r="CP258" s="43" t="e">
        <f>CP253/CP254</f>
        <v>#DIV/0!</v>
      </c>
      <c r="CQ258" s="43" t="e">
        <f>CQ253/CQ254</f>
        <v>#DIV/0!</v>
      </c>
      <c r="CR258" s="43" t="e">
        <f>CR253/CR254</f>
        <v>#DIV/0!</v>
      </c>
      <c r="CS258" s="43" t="e">
        <f>CS253/CS254</f>
        <v>#DIV/0!</v>
      </c>
      <c r="CT258" s="22" t="n"/>
      <c r="CU258" s="43" t="e">
        <f>CU253/CU254</f>
        <v>#DIV/0!</v>
      </c>
      <c r="CV258" s="43" t="e">
        <f>CV253/CV254</f>
        <v>#DIV/0!</v>
      </c>
      <c r="CW258" s="43" t="e">
        <f>CW253/CW254</f>
        <v>#DIV/0!</v>
      </c>
      <c r="CX258" s="43" t="e">
        <f>CX253/CX254</f>
        <v>#DIV/0!</v>
      </c>
      <c r="CY258" s="22" t="n"/>
    </row>
    <row r="259" hidden="1" outlineLevel="1" customFormat="1" s="39">
      <c r="A259" s="19" t="n"/>
      <c r="B259" s="19" t="n"/>
      <c r="C259" s="41" t="inlineStr">
        <is>
          <t>End of period basic shares outstanding</t>
        </is>
      </c>
      <c r="D259" s="22" t="n"/>
      <c r="E259" s="22" t="n"/>
      <c r="F259" s="22" t="n"/>
      <c r="G259" s="22" t="n"/>
      <c r="H259" s="22" t="n"/>
      <c r="I259" s="22" t="n"/>
      <c r="J259" s="22" t="n"/>
      <c r="K259" s="22" t="n"/>
      <c r="L259" s="22" t="n"/>
      <c r="M259" s="22" t="n"/>
      <c r="N259" s="22" t="n"/>
      <c r="O259" s="22" t="n"/>
      <c r="P259" s="22" t="n"/>
      <c r="Q259" s="22" t="n"/>
      <c r="R259" s="22" t="n"/>
      <c r="S259" s="22" t="n"/>
      <c r="T259" s="22" t="n"/>
      <c r="U259" s="22" t="n"/>
      <c r="V259" s="22" t="n"/>
      <c r="W259" s="22" t="n"/>
      <c r="X259" s="22" t="n"/>
      <c r="Y259" s="22" t="n"/>
      <c r="Z259" s="22" t="n"/>
      <c r="AA259" s="22" t="n"/>
      <c r="AB259" s="22" t="n"/>
      <c r="AC259" s="22" t="n"/>
      <c r="AD259" s="22" t="n"/>
      <c r="AE259" s="22" t="n"/>
      <c r="AF259" s="22" t="n"/>
      <c r="AG259" s="251" t="n"/>
      <c r="AH259" s="1">
        <f>AG259+AH258-AH257</f>
        <v>0</v>
      </c>
      <c r="AI259" s="1">
        <f>AH259+AI258-AI257</f>
        <v>0</v>
      </c>
      <c r="AJ259" s="43" t="e">
        <f>AI259+AJ258-AJ257</f>
        <v>#DIV/0!</v>
      </c>
      <c r="AK259" s="43" t="e">
        <f>AJ259+AK258-AK257</f>
        <v>#DIV/0!</v>
      </c>
      <c r="AL259" s="22" t="n"/>
      <c r="AM259" s="1" t="e">
        <f>AK259+AM258-AM257</f>
        <v>#DIV/0!</v>
      </c>
      <c r="AN259" s="1" t="e">
        <f>AM259+AN258-AN257</f>
        <v>#DIV/0!</v>
      </c>
      <c r="AO259" s="43" t="e">
        <f>AN259+AO258-AO257</f>
        <v>#DIV/0!</v>
      </c>
      <c r="AP259" s="43" t="e">
        <f>AO259+AP258-AP257</f>
        <v>#DIV/0!</v>
      </c>
      <c r="AQ259" s="22" t="n"/>
      <c r="AR259" s="1" t="e">
        <f>AP259+AR258-AR257</f>
        <v>#DIV/0!</v>
      </c>
      <c r="AS259" s="1" t="e">
        <f>AR259+AS258-AS257</f>
        <v>#DIV/0!</v>
      </c>
      <c r="AT259" s="43" t="e">
        <f>AS259+AT258-AT257</f>
        <v>#DIV/0!</v>
      </c>
      <c r="AU259" s="43" t="e">
        <f>AT259+AU258-AU257</f>
        <v>#DIV/0!</v>
      </c>
      <c r="AV259" s="22" t="n"/>
      <c r="AW259" s="1" t="e">
        <f>AU259+AW258-AW257</f>
        <v>#DIV/0!</v>
      </c>
      <c r="AX259" s="1" t="e">
        <f>AW259+AX258-AX257</f>
        <v>#DIV/0!</v>
      </c>
      <c r="AY259" s="43" t="e">
        <f>AX259+AY258-AY257</f>
        <v>#DIV/0!</v>
      </c>
      <c r="AZ259" s="43" t="e">
        <f>AY259+AZ258-AZ257</f>
        <v>#DIV/0!</v>
      </c>
      <c r="BA259" s="22" t="n"/>
      <c r="BB259" s="1" t="e">
        <f>AZ259+BB258-BB257</f>
        <v>#DIV/0!</v>
      </c>
      <c r="BC259" s="1" t="e">
        <f>BB259+BC258-BC257</f>
        <v>#DIV/0!</v>
      </c>
      <c r="BD259" s="43" t="e">
        <f>BC259+BD258-BD257</f>
        <v>#DIV/0!</v>
      </c>
      <c r="BE259" s="43" t="e">
        <f>BD259+BE258-BE257</f>
        <v>#DIV/0!</v>
      </c>
      <c r="BF259" s="22" t="n"/>
      <c r="BG259" s="1" t="e">
        <f>BE259+BG258-BG257</f>
        <v>#DIV/0!</v>
      </c>
      <c r="BH259" s="1" t="e">
        <f>BG259+BH258-BH257</f>
        <v>#DIV/0!</v>
      </c>
      <c r="BI259" s="43" t="e">
        <f>BH259+BI258-BI257</f>
        <v>#DIV/0!</v>
      </c>
      <c r="BJ259" s="43" t="e">
        <f>BI259+BJ258-BJ257</f>
        <v>#DIV/0!</v>
      </c>
      <c r="BK259" s="22" t="n"/>
      <c r="BL259" s="1" t="e">
        <f>BJ259+BL258-BL257</f>
        <v>#DIV/0!</v>
      </c>
      <c r="BM259" s="1" t="e">
        <f>BL259+BM258-BM257</f>
        <v>#DIV/0!</v>
      </c>
      <c r="BN259" s="43" t="e">
        <f>BM259+BN258-BN257</f>
        <v>#DIV/0!</v>
      </c>
      <c r="BO259" s="43" t="e">
        <f>BN259+BO258-BO257</f>
        <v>#DIV/0!</v>
      </c>
      <c r="BP259" s="22" t="n"/>
      <c r="BQ259" s="1" t="e">
        <f>BO259+BQ258-BQ257</f>
        <v>#DIV/0!</v>
      </c>
      <c r="BR259" s="1" t="e">
        <f>BQ259+BR258-BR257</f>
        <v>#DIV/0!</v>
      </c>
      <c r="BS259" s="43" t="e">
        <f>BR259+BS258-BS257</f>
        <v>#DIV/0!</v>
      </c>
      <c r="BT259" s="43" t="e">
        <f>BS259+BT258-BT257</f>
        <v>#DIV/0!</v>
      </c>
      <c r="BU259" s="22" t="n"/>
      <c r="BV259" s="1" t="e">
        <f>BT259+BV258-BV257</f>
        <v>#DIV/0!</v>
      </c>
      <c r="BW259" s="1" t="e">
        <f>BV259+BW258-BW257</f>
        <v>#DIV/0!</v>
      </c>
      <c r="BX259" s="43" t="e">
        <f>BW259+BX258-BX257</f>
        <v>#DIV/0!</v>
      </c>
      <c r="BY259" s="43" t="e">
        <f>BX259+BY258-BY257</f>
        <v>#DIV/0!</v>
      </c>
      <c r="BZ259" s="22" t="n"/>
      <c r="CA259" s="1" t="e">
        <f>BY259+CA258-CA257</f>
        <v>#DIV/0!</v>
      </c>
      <c r="CB259" s="1" t="e">
        <f>CA259+CB258-CB257</f>
        <v>#DIV/0!</v>
      </c>
      <c r="CC259" s="43" t="e">
        <f>CB259+CC258-CC257</f>
        <v>#DIV/0!</v>
      </c>
      <c r="CD259" s="43" t="e">
        <f>CC259+CD258-CD257</f>
        <v>#DIV/0!</v>
      </c>
      <c r="CE259" s="22" t="n"/>
      <c r="CF259" s="1" t="e">
        <f>CD259+CF258-CF257</f>
        <v>#DIV/0!</v>
      </c>
      <c r="CG259" s="1" t="e">
        <f>CF259+CG258-CG257</f>
        <v>#DIV/0!</v>
      </c>
      <c r="CH259" s="43" t="e">
        <f>CG259+CH258-CH257</f>
        <v>#DIV/0!</v>
      </c>
      <c r="CI259" s="43" t="e">
        <f>CH259+CI258-CI257</f>
        <v>#DIV/0!</v>
      </c>
      <c r="CJ259" s="22" t="n"/>
      <c r="CK259" s="1" t="e">
        <f>CI259+CK258-CK257</f>
        <v>#DIV/0!</v>
      </c>
      <c r="CL259" s="1" t="e">
        <f>CK259+CL258-CL257</f>
        <v>#DIV/0!</v>
      </c>
      <c r="CM259" s="43" t="e">
        <f>CL259+CM258-CM257</f>
        <v>#DIV/0!</v>
      </c>
      <c r="CN259" s="43" t="e">
        <f>CM259+CN258-CN257</f>
        <v>#DIV/0!</v>
      </c>
      <c r="CO259" s="22" t="n"/>
      <c r="CP259" s="1" t="e">
        <f>CN259+CP258-CP257</f>
        <v>#DIV/0!</v>
      </c>
      <c r="CQ259" s="1" t="e">
        <f>CP259+CQ258-CQ257</f>
        <v>#DIV/0!</v>
      </c>
      <c r="CR259" s="43" t="e">
        <f>CQ259+CR258-CR257</f>
        <v>#DIV/0!</v>
      </c>
      <c r="CS259" s="43" t="e">
        <f>CR259+CS258-CS257</f>
        <v>#DIV/0!</v>
      </c>
      <c r="CT259" s="22" t="n"/>
      <c r="CU259" s="1" t="e">
        <f>CS259+CU258-CU257</f>
        <v>#DIV/0!</v>
      </c>
      <c r="CV259" s="1" t="e">
        <f>CU259+CV258-CV257</f>
        <v>#DIV/0!</v>
      </c>
      <c r="CW259" s="43" t="e">
        <f>CV259+CW258-CW257</f>
        <v>#DIV/0!</v>
      </c>
      <c r="CX259" s="43" t="e">
        <f>CW259+CX258-CX257</f>
        <v>#DIV/0!</v>
      </c>
      <c r="CY259" s="22" t="n"/>
      <c r="CZ259" t="e">
        <f>CX259+CZ258-CZ257</f>
        <v>#DIV/0!</v>
      </c>
      <c r="DA259" t="e">
        <f>CZ259+DA258-DA257</f>
        <v>#DIV/0!</v>
      </c>
      <c r="DB259" t="e">
        <f>DA259+DB258-DB257</f>
        <v>#DIV/0!</v>
      </c>
      <c r="DC259" t="e">
        <f>DB259+DC258-DC257</f>
        <v>#DIV/0!</v>
      </c>
    </row>
    <row r="260" hidden="1" outlineLevel="1" customFormat="1" s="39">
      <c r="A260" s="19" t="n"/>
      <c r="B260" s="19" t="n"/>
      <c r="C260" s="41" t="inlineStr">
        <is>
          <t>Weighted average basic shares outstanding</t>
        </is>
      </c>
      <c r="D260" s="22" t="n"/>
      <c r="E260" s="22" t="n"/>
      <c r="F260" s="22" t="n"/>
      <c r="G260" s="22" t="n"/>
      <c r="H260" s="22" t="n"/>
      <c r="I260" s="22" t="n"/>
      <c r="J260" s="22" t="n"/>
      <c r="K260" s="22" t="n"/>
      <c r="L260" s="22" t="n"/>
      <c r="M260" s="22" t="n"/>
      <c r="N260" s="22" t="n"/>
      <c r="O260" s="22" t="n"/>
      <c r="P260" s="22" t="n"/>
      <c r="Q260" s="22" t="n"/>
      <c r="R260" s="22" t="n"/>
      <c r="S260" s="22" t="n"/>
      <c r="T260" s="22" t="n"/>
      <c r="U260" s="22" t="n"/>
      <c r="V260" s="22" t="n"/>
      <c r="W260" s="22" t="n"/>
      <c r="X260" s="22" t="n"/>
      <c r="Y260" s="22" t="n"/>
      <c r="Z260" s="22" t="n"/>
      <c r="AA260" s="22" t="n"/>
      <c r="AB260" s="22" t="n"/>
      <c r="AC260" s="22" t="n"/>
      <c r="AD260" s="22" t="n"/>
      <c r="AE260" s="22" t="n"/>
      <c r="AF260" s="22" t="n"/>
      <c r="AG260" s="22" t="n"/>
      <c r="AH260" s="43">
        <f>AVERAGE(AG259,AH259)</f>
        <v>0</v>
      </c>
      <c r="AI260" s="43">
        <f>AVERAGE(AH259,AI259)</f>
        <v>0</v>
      </c>
      <c r="AJ260" s="43" t="e">
        <f>AVERAGE(AI259,AJ259)</f>
        <v>#DIV/0!</v>
      </c>
      <c r="AK260" s="43" t="e">
        <f>AVERAGE(AJ259,AK259)</f>
        <v>#DIV/0!</v>
      </c>
      <c r="AL260" s="22" t="n"/>
      <c r="AM260" s="43" t="e">
        <f>AVERAGE(AK259,AM259)</f>
        <v>#DIV/0!</v>
      </c>
      <c r="AN260" s="43" t="e">
        <f>AVERAGE(AM259,AN259)</f>
        <v>#DIV/0!</v>
      </c>
      <c r="AO260" s="43" t="e">
        <f>AVERAGE(AN259,AO259)</f>
        <v>#DIV/0!</v>
      </c>
      <c r="AP260" s="43" t="e">
        <f>AVERAGE(AO259,AP259)</f>
        <v>#DIV/0!</v>
      </c>
      <c r="AQ260" s="22" t="n"/>
      <c r="AR260" s="43" t="e">
        <f>AVERAGE(AP259,AR259)</f>
        <v>#DIV/0!</v>
      </c>
      <c r="AS260" s="43" t="e">
        <f>AVERAGE(AR259,AS259)</f>
        <v>#DIV/0!</v>
      </c>
      <c r="AT260" s="43" t="e">
        <f>AVERAGE(AS259,AT259)</f>
        <v>#DIV/0!</v>
      </c>
      <c r="AU260" s="43" t="e">
        <f>AVERAGE(AT259,AU259)</f>
        <v>#DIV/0!</v>
      </c>
      <c r="AV260" s="22" t="n"/>
      <c r="AW260" s="43" t="e">
        <f>AVERAGE(AU259,AW259)</f>
        <v>#DIV/0!</v>
      </c>
      <c r="AX260" s="43" t="e">
        <f>AVERAGE(AW259,AX259)</f>
        <v>#DIV/0!</v>
      </c>
      <c r="AY260" s="43" t="e">
        <f>AVERAGE(AX259,AY259)</f>
        <v>#DIV/0!</v>
      </c>
      <c r="AZ260" s="43" t="e">
        <f>AVERAGE(AY259,AZ259)</f>
        <v>#DIV/0!</v>
      </c>
      <c r="BA260" s="22" t="n"/>
      <c r="BB260" s="43" t="e">
        <f>AVERAGE(AZ259,BB259)</f>
        <v>#DIV/0!</v>
      </c>
      <c r="BC260" s="43" t="e">
        <f>AVERAGE(BB259,BC259)</f>
        <v>#DIV/0!</v>
      </c>
      <c r="BD260" s="43" t="e">
        <f>AVERAGE(BC259,BD259)</f>
        <v>#DIV/0!</v>
      </c>
      <c r="BE260" s="43" t="e">
        <f>AVERAGE(BD259,BE259)</f>
        <v>#DIV/0!</v>
      </c>
      <c r="BF260" s="22" t="n"/>
      <c r="BG260" s="43" t="e">
        <f>AVERAGE(BE259,BG259)</f>
        <v>#DIV/0!</v>
      </c>
      <c r="BH260" s="43" t="e">
        <f>AVERAGE(BG259,BH259)</f>
        <v>#DIV/0!</v>
      </c>
      <c r="BI260" s="43" t="e">
        <f>AVERAGE(BH259,BI259)</f>
        <v>#DIV/0!</v>
      </c>
      <c r="BJ260" s="43" t="e">
        <f>AVERAGE(BI259,BJ259)</f>
        <v>#DIV/0!</v>
      </c>
      <c r="BK260" s="22" t="n"/>
      <c r="BL260" s="43" t="e">
        <f>AVERAGE(BJ259,BL259)</f>
        <v>#DIV/0!</v>
      </c>
      <c r="BM260" s="43" t="e">
        <f>AVERAGE(BL259,BM259)</f>
        <v>#DIV/0!</v>
      </c>
      <c r="BN260" s="43" t="e">
        <f>AVERAGE(BM259,BN259)</f>
        <v>#DIV/0!</v>
      </c>
      <c r="BO260" s="43" t="e">
        <f>AVERAGE(BN259,BO259)</f>
        <v>#DIV/0!</v>
      </c>
      <c r="BP260" s="22" t="n"/>
      <c r="BQ260" s="43" t="e">
        <f>AVERAGE(BO259,BQ259)</f>
        <v>#DIV/0!</v>
      </c>
      <c r="BR260" s="43" t="e">
        <f>AVERAGE(BQ259,BR259)</f>
        <v>#DIV/0!</v>
      </c>
      <c r="BS260" s="43" t="e">
        <f>AVERAGE(BR259,BS259)</f>
        <v>#DIV/0!</v>
      </c>
      <c r="BT260" s="43" t="e">
        <f>AVERAGE(BS259,BT259)</f>
        <v>#DIV/0!</v>
      </c>
      <c r="BU260" s="22" t="n"/>
      <c r="BV260" s="43" t="e">
        <f>AVERAGE(BT259,BV259)</f>
        <v>#DIV/0!</v>
      </c>
      <c r="BW260" s="43" t="e">
        <f>AVERAGE(BV259,BW259)</f>
        <v>#DIV/0!</v>
      </c>
      <c r="BX260" s="43" t="e">
        <f>AVERAGE(BW259,BX259)</f>
        <v>#DIV/0!</v>
      </c>
      <c r="BY260" s="43" t="e">
        <f>AVERAGE(BX259,BY259)</f>
        <v>#DIV/0!</v>
      </c>
      <c r="BZ260" s="22" t="n"/>
      <c r="CA260" s="43" t="e">
        <f>AVERAGE(BY259,CA259)</f>
        <v>#DIV/0!</v>
      </c>
      <c r="CB260" s="43" t="e">
        <f>AVERAGE(CA259,CB259)</f>
        <v>#DIV/0!</v>
      </c>
      <c r="CC260" s="43" t="e">
        <f>AVERAGE(CB259,CC259)</f>
        <v>#DIV/0!</v>
      </c>
      <c r="CD260" s="43" t="e">
        <f>AVERAGE(CC259,CD259)</f>
        <v>#DIV/0!</v>
      </c>
      <c r="CE260" s="22" t="n"/>
      <c r="CF260" s="43" t="e">
        <f>AVERAGE(CD259,CF259)</f>
        <v>#DIV/0!</v>
      </c>
      <c r="CG260" s="43" t="e">
        <f>AVERAGE(CF259,CG259)</f>
        <v>#DIV/0!</v>
      </c>
      <c r="CH260" s="43" t="e">
        <f>AVERAGE(CG259,CH259)</f>
        <v>#DIV/0!</v>
      </c>
      <c r="CI260" s="43" t="e">
        <f>AVERAGE(CH259,CI259)</f>
        <v>#DIV/0!</v>
      </c>
      <c r="CJ260" s="22" t="n"/>
      <c r="CK260" s="43" t="e">
        <f>AVERAGE(CI259,CK259)</f>
        <v>#DIV/0!</v>
      </c>
      <c r="CL260" s="43" t="e">
        <f>AVERAGE(CK259,CL259)</f>
        <v>#DIV/0!</v>
      </c>
      <c r="CM260" s="43" t="e">
        <f>AVERAGE(CL259,CM259)</f>
        <v>#DIV/0!</v>
      </c>
      <c r="CN260" s="43" t="e">
        <f>AVERAGE(CM259,CN259)</f>
        <v>#DIV/0!</v>
      </c>
      <c r="CO260" s="22" t="n"/>
      <c r="CP260" s="43" t="e">
        <f>AVERAGE(CN259,CP259)</f>
        <v>#DIV/0!</v>
      </c>
      <c r="CQ260" s="43" t="e">
        <f>AVERAGE(CP259,CQ259)</f>
        <v>#DIV/0!</v>
      </c>
      <c r="CR260" s="43" t="e">
        <f>AVERAGE(CQ259,CR259)</f>
        <v>#DIV/0!</v>
      </c>
      <c r="CS260" s="43" t="e">
        <f>AVERAGE(CR259,CS259)</f>
        <v>#DIV/0!</v>
      </c>
      <c r="CT260" s="22" t="n"/>
      <c r="CU260" s="43" t="e">
        <f>AVERAGE(CS259,CU259)</f>
        <v>#DIV/0!</v>
      </c>
      <c r="CV260" s="43" t="e">
        <f>AVERAGE(CU259,CV259)</f>
        <v>#DIV/0!</v>
      </c>
      <c r="CW260" s="43" t="e">
        <f>AVERAGE(CV259,CW259)</f>
        <v>#DIV/0!</v>
      </c>
      <c r="CX260" s="43" t="e">
        <f>AVERAGE(CW259,CX259)</f>
        <v>#DIV/0!</v>
      </c>
      <c r="CY260" s="22" t="n"/>
      <c r="CZ260" t="e">
        <f>AVERAGE(CX259,CZ259)</f>
        <v>#DIV/0!</v>
      </c>
      <c r="DA260" t="e">
        <f>AVERAGE(CZ259,DA259)</f>
        <v>#DIV/0!</v>
      </c>
      <c r="DB260" t="e">
        <f>AVERAGE(DA259,DB259)</f>
        <v>#DIV/0!</v>
      </c>
      <c r="DC260" t="e">
        <f>AVERAGE(DB259,DC259)</f>
        <v>#DIV/0!</v>
      </c>
    </row>
    <row r="261" hidden="1" outlineLevel="1" customFormat="1" s="39">
      <c r="A261" s="19" t="n"/>
      <c r="B261" s="19" t="n"/>
      <c r="C261" s="41" t="n"/>
      <c r="D261" s="22" t="n"/>
      <c r="E261" s="22" t="n"/>
      <c r="F261" s="22" t="n"/>
      <c r="G261" s="22" t="n"/>
      <c r="H261" s="3" t="n"/>
      <c r="I261" s="22" t="n"/>
      <c r="J261" s="22" t="n"/>
      <c r="K261" s="22" t="n"/>
      <c r="L261" s="22" t="n"/>
      <c r="M261" s="3" t="n"/>
      <c r="N261" s="22" t="n"/>
      <c r="O261" s="22" t="n"/>
      <c r="P261" s="22" t="n"/>
      <c r="Q261" s="22" t="n"/>
      <c r="R261" s="3" t="n"/>
      <c r="S261" s="22" t="n"/>
      <c r="T261" s="22" t="n"/>
      <c r="U261" s="22" t="n"/>
      <c r="V261" s="22" t="n"/>
      <c r="W261" s="3" t="n"/>
      <c r="X261" s="22" t="n"/>
      <c r="Y261" s="22" t="n"/>
      <c r="Z261" s="22" t="n"/>
      <c r="AA261" s="22" t="n"/>
      <c r="AB261" s="3" t="n"/>
      <c r="AC261" s="22" t="n"/>
      <c r="AD261" s="22" t="n"/>
      <c r="AE261" s="22" t="n"/>
      <c r="AF261" s="22" t="n"/>
      <c r="AG261" s="3" t="n"/>
      <c r="AH261" s="22" t="n"/>
      <c r="AI261" s="22" t="n"/>
      <c r="AJ261" s="22" t="n"/>
      <c r="AK261" s="22" t="n"/>
      <c r="AL261" s="3" t="n"/>
      <c r="AM261" s="22" t="n"/>
      <c r="AN261" s="22" t="n"/>
      <c r="AO261" s="22" t="n"/>
      <c r="AP261" s="22" t="n"/>
      <c r="AQ261" s="3" t="n"/>
      <c r="AR261" s="22" t="n"/>
      <c r="AS261" s="22" t="n"/>
      <c r="AT261" s="22" t="n"/>
      <c r="AU261" s="22" t="n"/>
      <c r="AV261" s="3" t="n"/>
      <c r="AW261" s="22" t="n"/>
      <c r="AX261" s="22" t="n"/>
      <c r="AY261" s="22" t="n"/>
      <c r="AZ261" s="22" t="n"/>
      <c r="BA261" s="3" t="n"/>
      <c r="BB261" s="22" t="n"/>
      <c r="BC261" s="22" t="n"/>
      <c r="BD261" s="22" t="n"/>
      <c r="BE261" s="22" t="n"/>
      <c r="BF261" s="3" t="n"/>
      <c r="BG261" s="22" t="n"/>
      <c r="BH261" s="22" t="n"/>
      <c r="BI261" s="22" t="n"/>
      <c r="BJ261" s="22" t="n"/>
      <c r="BK261" s="3" t="n"/>
      <c r="BL261" s="22" t="n"/>
      <c r="BM261" s="22" t="n"/>
      <c r="BN261" s="22" t="n"/>
      <c r="BO261" s="22" t="n"/>
      <c r="BP261" s="3" t="n"/>
      <c r="BQ261" s="22" t="n"/>
      <c r="BR261" s="22" t="n"/>
      <c r="BS261" s="22" t="n"/>
      <c r="BT261" s="22" t="n"/>
      <c r="BU261" s="3" t="n"/>
      <c r="BV261" s="22" t="n"/>
      <c r="BW261" s="22" t="n"/>
      <c r="BX261" s="22" t="n"/>
      <c r="BY261" s="22" t="n"/>
      <c r="BZ261" s="3" t="n"/>
      <c r="CA261" s="22" t="n"/>
      <c r="CB261" s="22" t="n"/>
      <c r="CC261" s="22" t="n"/>
      <c r="CD261" s="22" t="n"/>
      <c r="CE261" s="3" t="n"/>
      <c r="CF261" s="22" t="n"/>
      <c r="CG261" s="22" t="n"/>
      <c r="CH261" s="22" t="n"/>
      <c r="CI261" s="22" t="n"/>
      <c r="CJ261" s="3" t="n"/>
      <c r="CK261" s="22" t="n"/>
      <c r="CL261" s="22" t="n"/>
      <c r="CM261" s="22" t="n"/>
      <c r="CN261" s="22" t="n"/>
      <c r="CO261" s="3" t="n"/>
      <c r="CP261" s="22" t="n"/>
      <c r="CQ261" s="22" t="n"/>
      <c r="CR261" s="22" t="n"/>
      <c r="CS261" s="22" t="n"/>
      <c r="CT261" s="3" t="n"/>
      <c r="CU261" s="22" t="n"/>
      <c r="CV261" s="22" t="n"/>
      <c r="CW261" s="22" t="n"/>
      <c r="CX261" s="22" t="n"/>
      <c r="CY261" s="3" t="n"/>
    </row>
    <row r="262" collapsed="1">
      <c r="C262" s="26" t="inlineStr">
        <is>
          <t>Treasury stock (contra account)</t>
        </is>
      </c>
      <c r="D262" s="25">
        <f>INDEX('Inputs (2)'!$D$44:$AL$44,MATCH(D$7,'Inputs (2)'!$D$2:$AL$2,0))</f>
        <v>-3068.9</v>
      </c>
      <c r="E262" s="25">
        <f>INDEX('Inputs (2)'!$D$44:$AL$44,MATCH(E$7,'Inputs (2)'!$D$2:$AL$2,0))</f>
        <v>-3068.9</v>
      </c>
      <c r="F262" s="25">
        <f>INDEX('Inputs (2)'!$D$44:$AL$44,MATCH(F$7,'Inputs (2)'!$D$2:$AL$2,0))</f>
        <v>-3068.9</v>
      </c>
      <c r="G262" s="25">
        <f>INDEX('Inputs (2)'!$D$44:$AL$44,MATCH(G$7,'Inputs (2)'!$D$2:$AL$2,0))</f>
        <v>-3068.9</v>
      </c>
      <c r="H262" s="3">
        <f>G262</f>
        <v>-3068.9</v>
      </c>
      <c r="I262" s="25">
        <f>INDEX('Inputs (2)'!$D$44:$AL$44,MATCH(I$7,'Inputs (2)'!$D$2:$AL$2,0))</f>
        <v>-3065.9</v>
      </c>
      <c r="J262" s="25">
        <f>INDEX('Inputs (2)'!$D$44:$AL$44,MATCH(J$7,'Inputs (2)'!$D$2:$AL$2,0))</f>
        <v>-3065.9</v>
      </c>
      <c r="K262" s="25">
        <f>INDEX('Inputs (2)'!$D$44:$AL$44,MATCH(K$7,'Inputs (2)'!$D$2:$AL$2,0))</f>
        <v>-3065.9</v>
      </c>
      <c r="L262" s="25">
        <f>INDEX('Inputs (2)'!$D$44:$AL$44,MATCH(L$7,'Inputs (2)'!$D$2:$AL$2,0))</f>
        <v>-3065.9</v>
      </c>
      <c r="M262" s="3">
        <f>L262</f>
        <v>-3065.9</v>
      </c>
      <c r="N262" s="25">
        <f>INDEX('Inputs (2)'!$D$44:$AL$44,MATCH(N$7,'Inputs (2)'!$D$2:$AL$2,0))</f>
        <v>-3063.7</v>
      </c>
      <c r="O262" s="25">
        <f>INDEX('Inputs (2)'!$D$44:$AL$44,MATCH(O$7,'Inputs (2)'!$D$2:$AL$2,0))</f>
        <v>-3063.7</v>
      </c>
      <c r="P262" s="25">
        <f>INDEX('Inputs (2)'!$D$44:$AL$44,MATCH(P$7,'Inputs (2)'!$D$2:$AL$2,0))</f>
        <v>-3063.7</v>
      </c>
      <c r="Q262" s="25">
        <f>INDEX('Inputs (2)'!$D$44:$AL$44,MATCH(Q$7,'Inputs (2)'!$D$2:$AL$2,0))</f>
        <v>-3063.7</v>
      </c>
      <c r="R262" s="3">
        <f>Q262</f>
        <v>-3063.7</v>
      </c>
      <c r="S262" s="25">
        <f>INDEX('Inputs (2)'!$D$44:$AL$44,MATCH(S$7,'Inputs (2)'!$D$2:$AL$2,0))</f>
        <v>-3058.2</v>
      </c>
      <c r="T262" s="25">
        <f>INDEX('Inputs (2)'!$D$44:$AL$44,MATCH(T$7,'Inputs (2)'!$D$2:$AL$2,0))</f>
        <v>-3058.2</v>
      </c>
      <c r="U262" s="25">
        <f>INDEX('Inputs (2)'!$D$44:$AL$44,MATCH(U$7,'Inputs (2)'!$D$2:$AL$2,0))</f>
        <v>-3058.2</v>
      </c>
      <c r="V262" s="25">
        <f>INDEX('Inputs (2)'!$D$44:$AL$44,MATCH(V$7,'Inputs (2)'!$D$2:$AL$2,0))</f>
        <v>-3057.4</v>
      </c>
      <c r="W262" s="3">
        <f>V262</f>
        <v>-3057.4</v>
      </c>
      <c r="X262" s="25">
        <f>INDEX('Inputs (2)'!$D$44:$AL$44,MATCH(X$7,'Inputs (2)'!$D$2:$AL$2,0))</f>
        <v>-3045.9</v>
      </c>
      <c r="Y262" s="25">
        <f>INDEX('Inputs (2)'!$D$44:$AL$44,MATCH(Y$7,'Inputs (2)'!$D$2:$AL$2,0))</f>
        <v>-3045.9</v>
      </c>
      <c r="Z262" s="25">
        <f>INDEX('Inputs (2)'!$D$44:$AL$44,MATCH(Z$7,'Inputs (2)'!$D$2:$AL$2,0))</f>
        <v>-3045.9</v>
      </c>
      <c r="AA262" s="25">
        <f>INDEX('Inputs (2)'!$D$44:$AL$44,MATCH(AA$7,'Inputs (2)'!$D$2:$AL$2,0))</f>
        <v>-3062.7</v>
      </c>
      <c r="AB262" s="3">
        <f>AA262</f>
        <v>-3062.7</v>
      </c>
      <c r="AC262" s="25">
        <f>INDEX('Inputs (2)'!$D$44:$AL$44,MATCH(AC$7,'Inputs (2)'!$D$2:$AL$2,0))</f>
        <v>-3062.7</v>
      </c>
      <c r="AD262" s="25">
        <f>INDEX('Inputs (2)'!$D$44:$AL$44,MATCH(AD$7,'Inputs (2)'!$D$2:$AL$2,0))</f>
        <v>-3068.6</v>
      </c>
      <c r="AE262" s="25">
        <f>INDEX('Inputs (2)'!$D$44:$AL$44,MATCH(AE$7,'Inputs (2)'!$D$2:$AL$2,0))</f>
        <v>-3075.7</v>
      </c>
      <c r="AF262" s="25">
        <f>INDEX('Inputs (2)'!$D$44:$AL$44,MATCH(AF$7,'Inputs (2)'!$D$2:$AL$2,0))</f>
        <v>-3013</v>
      </c>
      <c r="AG262" s="3">
        <f>AF262</f>
        <v>-3013</v>
      </c>
      <c r="AH262" s="3">
        <f>INDEX('Inputs (2)'!$D$44:$AL$44,MATCH(AH$7,'Inputs (2)'!$D$2:$AL$2,0))</f>
        <v>-3013</v>
      </c>
      <c r="AI262" s="3">
        <f>INDEX('Inputs (2)'!$D$44:$AL$44,MATCH(AI$7,'Inputs (2)'!$D$2:$AL$2,0))</f>
        <v>-3013</v>
      </c>
      <c r="AJ262" s="3">
        <f>AI262+AJ252</f>
        <v>-3013</v>
      </c>
      <c r="AK262" s="3">
        <f>AJ262+AK252</f>
        <v>-3013</v>
      </c>
      <c r="AL262" s="3">
        <f>AK262</f>
        <v>-3013</v>
      </c>
      <c r="AM262" s="3">
        <f>AL262+AM252</f>
        <v>-3013</v>
      </c>
      <c r="AN262" s="3">
        <f>AM262+AN252</f>
        <v>-3013</v>
      </c>
      <c r="AO262" s="3">
        <f>AN262+AO252</f>
        <v>-3013</v>
      </c>
      <c r="AP262" s="3">
        <f>AO262+AP252</f>
        <v>-3013</v>
      </c>
      <c r="AQ262" s="3">
        <f>AP262</f>
        <v>-3013</v>
      </c>
      <c r="AR262" s="3">
        <f>AQ262+AR252</f>
        <v>-3013</v>
      </c>
      <c r="AS262" s="3">
        <f>AR262+AS252</f>
        <v>-3013</v>
      </c>
      <c r="AT262" s="3">
        <f>AS262+AT252</f>
        <v>-3013</v>
      </c>
      <c r="AU262" s="3">
        <f>AT262+AU252</f>
        <v>-3013</v>
      </c>
      <c r="AV262" s="3">
        <f>AU262</f>
        <v>-3013</v>
      </c>
      <c r="AW262" s="3">
        <f>AV262+AW252</f>
        <v>-3013</v>
      </c>
      <c r="AX262" s="3">
        <f>AW262+AX252</f>
        <v>-3013</v>
      </c>
      <c r="AY262" s="3">
        <f>AX262+AY252</f>
        <v>-3013</v>
      </c>
      <c r="AZ262" s="3">
        <f>AY262+AZ252</f>
        <v>-3013</v>
      </c>
      <c r="BA262" s="3">
        <f>AZ262</f>
        <v>-3013</v>
      </c>
      <c r="BB262" s="3">
        <f>BA262+BB252</f>
        <v>-3013</v>
      </c>
      <c r="BC262" s="3">
        <f>BB262+BC252</f>
        <v>-3013</v>
      </c>
      <c r="BD262" s="3">
        <f>BC262+BD252</f>
        <v>-3013</v>
      </c>
      <c r="BE262" s="3">
        <f>BD262+BE252</f>
        <v>-3013</v>
      </c>
      <c r="BF262" s="3">
        <f>BE262</f>
        <v>-3013</v>
      </c>
      <c r="BG262" s="3">
        <f>BF262+BG252</f>
        <v>-3013</v>
      </c>
      <c r="BH262" s="3">
        <f>BG262+BH252</f>
        <v>-3013</v>
      </c>
      <c r="BI262" s="3">
        <f>BH262+BI252</f>
        <v>-3013</v>
      </c>
      <c r="BJ262" s="3">
        <f>BI262+BJ252</f>
        <v>-3013</v>
      </c>
      <c r="BK262" s="3">
        <f>BJ262</f>
        <v>-3013</v>
      </c>
      <c r="BL262" s="3">
        <f>BK262+BL252</f>
        <v>-3013</v>
      </c>
      <c r="BM262" s="3">
        <f>BL262+BM252</f>
        <v>-3013</v>
      </c>
      <c r="BN262" s="3">
        <f>BM262+BN252</f>
        <v>-3013</v>
      </c>
      <c r="BO262" s="3">
        <f>BN262+BO252</f>
        <v>-3013</v>
      </c>
      <c r="BP262" s="3">
        <f>BO262</f>
        <v>-3013</v>
      </c>
      <c r="BQ262" s="3">
        <f>BP262+BQ252</f>
        <v>-3013</v>
      </c>
      <c r="BR262" s="3">
        <f>BQ262+BR252</f>
        <v>-3013</v>
      </c>
      <c r="BS262" s="3">
        <f>BR262+BS252</f>
        <v>-3013</v>
      </c>
      <c r="BT262" s="3">
        <f>BS262+BT252</f>
        <v>-3013</v>
      </c>
      <c r="BU262" s="3">
        <f>BT262</f>
        <v>-3013</v>
      </c>
      <c r="BV262" s="3">
        <f>BU262+BV252</f>
        <v>-3013</v>
      </c>
      <c r="BW262" s="3">
        <f>BV262+BW252</f>
        <v>-3013</v>
      </c>
      <c r="BX262" s="3">
        <f>BW262+BX252</f>
        <v>-3013</v>
      </c>
      <c r="BY262" s="3">
        <f>BX262+BY252</f>
        <v>-3013</v>
      </c>
      <c r="BZ262" s="3">
        <f>BY262</f>
        <v>-3013</v>
      </c>
      <c r="CA262" s="3">
        <f>BZ262+CA252</f>
        <v>-3013</v>
      </c>
      <c r="CB262" s="3">
        <f>CA262+CB252</f>
        <v>-3013</v>
      </c>
      <c r="CC262" s="3">
        <f>CB262+CC252</f>
        <v>-3013</v>
      </c>
      <c r="CD262" s="3">
        <f>CC262+CD252</f>
        <v>-3013</v>
      </c>
      <c r="CE262" s="3">
        <f>CD262</f>
        <v>-3013</v>
      </c>
      <c r="CF262" s="3">
        <f>CE262+CF252</f>
        <v>-3013</v>
      </c>
      <c r="CG262" s="3">
        <f>CF262+CG252</f>
        <v>-3013</v>
      </c>
      <c r="CH262" s="3">
        <f>CG262+CH252</f>
        <v>-3013</v>
      </c>
      <c r="CI262" s="3">
        <f>CH262+CI252</f>
        <v>-3013</v>
      </c>
      <c r="CJ262" s="3">
        <f>CI262</f>
        <v>-3013</v>
      </c>
      <c r="CK262" s="3">
        <f>CJ262+CK252</f>
        <v>-3013</v>
      </c>
      <c r="CL262" s="3">
        <f>CK262+CL252</f>
        <v>-3013</v>
      </c>
      <c r="CM262" s="3">
        <f>CL262+CM252</f>
        <v>-3013</v>
      </c>
      <c r="CN262" s="3">
        <f>CM262+CN252</f>
        <v>-3013</v>
      </c>
      <c r="CO262" s="3">
        <f>CN262</f>
        <v>-3013</v>
      </c>
      <c r="CP262" s="3">
        <f>CO262+CP252</f>
        <v>-3013</v>
      </c>
      <c r="CQ262" s="3">
        <f>CP262+CQ252</f>
        <v>-3013</v>
      </c>
      <c r="CR262" s="3">
        <f>CQ262+CR252</f>
        <v>-3013</v>
      </c>
      <c r="CS262" s="3">
        <f>CR262+CS252</f>
        <v>-3013</v>
      </c>
      <c r="CT262" s="3">
        <f>CS262</f>
        <v>-3013</v>
      </c>
      <c r="CU262" s="3">
        <f>CT262+CU252</f>
        <v>-3013</v>
      </c>
      <c r="CV262" s="3">
        <f>CU262+CV252</f>
        <v>-3013</v>
      </c>
      <c r="CW262" s="3">
        <f>CV262+CW252</f>
        <v>-3013</v>
      </c>
      <c r="CX262" s="3">
        <f>CW262+CX252</f>
        <v>-3013</v>
      </c>
      <c r="CY262" s="3">
        <f>CX262</f>
        <v>-3013</v>
      </c>
    </row>
    <row r="263">
      <c r="C263" s="26" t="inlineStr">
        <is>
          <t>Comprehensive (accumulated) loss</t>
        </is>
      </c>
      <c r="D263" s="25">
        <f>INDEX('Inputs (2)'!$D$45:$AL$45,MATCH(D$7,'Inputs (2)'!$D$2:$AL$2,0))</f>
        <v>-6885.9</v>
      </c>
      <c r="E263" s="25">
        <f>INDEX('Inputs (2)'!$D$45:$AL$45,MATCH(E$7,'Inputs (2)'!$D$2:$AL$2,0))</f>
        <v>-6682.9</v>
      </c>
      <c r="F263" s="25">
        <f>INDEX('Inputs (2)'!$D$45:$AL$45,MATCH(F$7,'Inputs (2)'!$D$2:$AL$2,0))</f>
        <v>-6555.1</v>
      </c>
      <c r="G263" s="25">
        <f>INDEX('Inputs (2)'!$D$45:$AL$45,MATCH(G$7,'Inputs (2)'!$D$2:$AL$2,0))</f>
        <v>-6496.4</v>
      </c>
      <c r="H263" s="3">
        <f>G263</f>
        <v>-6496.4</v>
      </c>
      <c r="I263" s="25">
        <f>INDEX('Inputs (2)'!$D$45:$AL$45,MATCH(I$7,'Inputs (2)'!$D$2:$AL$2,0))</f>
        <v>-6395.6</v>
      </c>
      <c r="J263" s="25">
        <f>INDEX('Inputs (2)'!$D$45:$AL$45,MATCH(J$7,'Inputs (2)'!$D$2:$AL$2,0))</f>
        <v>-6287.1</v>
      </c>
      <c r="K263" s="25">
        <f>INDEX('Inputs (2)'!$D$45:$AL$45,MATCH(K$7,'Inputs (2)'!$D$2:$AL$2,0))</f>
        <v>-6172.7</v>
      </c>
      <c r="L263" s="25">
        <f>INDEX('Inputs (2)'!$D$45:$AL$45,MATCH(L$7,'Inputs (2)'!$D$2:$AL$2,0))</f>
        <v>-4343.1</v>
      </c>
      <c r="M263" s="3">
        <f>L263</f>
        <v>-4343.1</v>
      </c>
      <c r="N263" s="25">
        <f>INDEX('Inputs (2)'!$D$45:$AL$45,MATCH(N$7,'Inputs (2)'!$D$2:$AL$2,0))</f>
        <v>-4225.3</v>
      </c>
      <c r="O263" s="25">
        <f>INDEX('Inputs (2)'!$D$45:$AL$45,MATCH(O$7,'Inputs (2)'!$D$2:$AL$2,0))</f>
        <v>-4287.7</v>
      </c>
      <c r="P263" s="25">
        <f>INDEX('Inputs (2)'!$D$45:$AL$45,MATCH(P$7,'Inputs (2)'!$D$2:$AL$2,0))</f>
        <v>-4295.8</v>
      </c>
      <c r="Q263" s="25">
        <f>INDEX('Inputs (2)'!$D$45:$AL$45,MATCH(Q$7,'Inputs (2)'!$D$2:$AL$2,0))</f>
        <v>-3844.6</v>
      </c>
      <c r="R263" s="3">
        <f>Q263</f>
        <v>-3844.6</v>
      </c>
      <c r="S263" s="25">
        <f>INDEX('Inputs (2)'!$D$45:$AL$45,MATCH(S$7,'Inputs (2)'!$D$2:$AL$2,0))</f>
        <v>-3777.3</v>
      </c>
      <c r="T263" s="25">
        <f>INDEX('Inputs (2)'!$D$45:$AL$45,MATCH(T$7,'Inputs (2)'!$D$2:$AL$2,0))</f>
        <v>-3788.7</v>
      </c>
      <c r="U263" s="25">
        <f>INDEX('Inputs (2)'!$D$45:$AL$45,MATCH(U$7,'Inputs (2)'!$D$2:$AL$2,0))</f>
        <v>-3784.9</v>
      </c>
      <c r="V263" s="25">
        <f>INDEX('Inputs (2)'!$D$45:$AL$45,MATCH(V$7,'Inputs (2)'!$D$2:$AL$2,0))</f>
        <v>-4327</v>
      </c>
      <c r="W263" s="3">
        <f>V263</f>
        <v>-4327</v>
      </c>
      <c r="X263" s="25">
        <f>INDEX('Inputs (2)'!$D$45:$AL$45,MATCH(X$7,'Inputs (2)'!$D$2:$AL$2,0))</f>
        <v>-4299.5</v>
      </c>
      <c r="Y263" s="25">
        <f>INDEX('Inputs (2)'!$D$45:$AL$45,MATCH(Y$7,'Inputs (2)'!$D$2:$AL$2,0))</f>
        <v>-4378.5</v>
      </c>
      <c r="Z263" s="25">
        <f>INDEX('Inputs (2)'!$D$45:$AL$45,MATCH(Z$7,'Inputs (2)'!$D$2:$AL$2,0))</f>
        <v>-4274.8</v>
      </c>
      <c r="AA263" s="25">
        <f>INDEX('Inputs (2)'!$D$45:$AL$45,MATCH(AA$7,'Inputs (2)'!$D$2:$AL$2,0))</f>
        <v>-4321.9</v>
      </c>
      <c r="AB263" s="3">
        <f>AA263</f>
        <v>-4321.9</v>
      </c>
      <c r="AC263" s="25">
        <f>INDEX('Inputs (2)'!$D$45:$AL$45,MATCH(AC$7,'Inputs (2)'!$D$2:$AL$2,0))</f>
        <v>-3774.6</v>
      </c>
      <c r="AD263" s="25">
        <f>INDEX('Inputs (2)'!$D$45:$AL$45,MATCH(AD$7,'Inputs (2)'!$D$2:$AL$2,0))</f>
        <v>-3716</v>
      </c>
      <c r="AE263" s="25">
        <f>INDEX('Inputs (2)'!$D$45:$AL$45,MATCH(AE$7,'Inputs (2)'!$D$2:$AL$2,0))</f>
        <v>-3206.3</v>
      </c>
      <c r="AF263" s="25">
        <f>INDEX('Inputs (2)'!$D$45:$AL$45,MATCH(AF$7,'Inputs (2)'!$D$2:$AL$2,0))</f>
        <v>-2880</v>
      </c>
      <c r="AG263" s="3">
        <f>AF263</f>
        <v>-2880</v>
      </c>
      <c r="AH263" s="3">
        <f>INDEX('Inputs (2)'!$D$45:$AL$45,MATCH(AH$7,'Inputs (2)'!$D$2:$AL$2,0))</f>
        <v>-2833</v>
      </c>
      <c r="AI263" s="3">
        <f>INDEX('Inputs (2)'!$D$45:$AL$45,MATCH(AI$7,'Inputs (2)'!$D$2:$AL$2,0))</f>
        <v>-2761</v>
      </c>
      <c r="AJ263" s="3">
        <f>AI263</f>
        <v>-2761</v>
      </c>
      <c r="AK263" s="3">
        <f>AJ263</f>
        <v>-2761</v>
      </c>
      <c r="AL263" s="3">
        <f>AK263</f>
        <v>-2761</v>
      </c>
      <c r="AM263" s="3">
        <f>AL263</f>
        <v>-2761</v>
      </c>
      <c r="AN263" s="3">
        <f>AM263</f>
        <v>-2761</v>
      </c>
      <c r="AO263" s="3">
        <f>AN263</f>
        <v>-2761</v>
      </c>
      <c r="AP263" s="3">
        <f>AO263</f>
        <v>-2761</v>
      </c>
      <c r="AQ263" s="3">
        <f>AP263</f>
        <v>-2761</v>
      </c>
      <c r="AR263" s="3">
        <f>AQ263</f>
        <v>-2761</v>
      </c>
      <c r="AS263" s="3">
        <f>AR263</f>
        <v>-2761</v>
      </c>
      <c r="AT263" s="3">
        <f>AS263</f>
        <v>-2761</v>
      </c>
      <c r="AU263" s="3">
        <f>AT263</f>
        <v>-2761</v>
      </c>
      <c r="AV263" s="3">
        <f>AU263</f>
        <v>-2761</v>
      </c>
      <c r="AW263" s="3">
        <f>AV263</f>
        <v>-2761</v>
      </c>
      <c r="AX263" s="3">
        <f>AW263</f>
        <v>-2761</v>
      </c>
      <c r="AY263" s="3">
        <f>AX263</f>
        <v>-2761</v>
      </c>
      <c r="AZ263" s="3">
        <f>AY263</f>
        <v>-2761</v>
      </c>
      <c r="BA263" s="3">
        <f>AZ263</f>
        <v>-2761</v>
      </c>
      <c r="BB263" s="3">
        <f>BA263</f>
        <v>-2761</v>
      </c>
      <c r="BC263" s="3">
        <f>BB263</f>
        <v>-2761</v>
      </c>
      <c r="BD263" s="3">
        <f>BC263</f>
        <v>-2761</v>
      </c>
      <c r="BE263" s="3">
        <f>BD263</f>
        <v>-2761</v>
      </c>
      <c r="BF263" s="3">
        <f>BE263</f>
        <v>-2761</v>
      </c>
      <c r="BG263" s="3">
        <f>BF263</f>
        <v>-2761</v>
      </c>
      <c r="BH263" s="3">
        <f>BG263</f>
        <v>-2761</v>
      </c>
      <c r="BI263" s="3">
        <f>BH263</f>
        <v>-2761</v>
      </c>
      <c r="BJ263" s="3">
        <f>BI263</f>
        <v>-2761</v>
      </c>
      <c r="BK263" s="3">
        <f>BJ263</f>
        <v>-2761</v>
      </c>
      <c r="BL263" s="3">
        <f>BK263</f>
        <v>-2761</v>
      </c>
      <c r="BM263" s="3">
        <f>BL263</f>
        <v>-2761</v>
      </c>
      <c r="BN263" s="3">
        <f>BM263</f>
        <v>-2761</v>
      </c>
      <c r="BO263" s="3">
        <f>BN263</f>
        <v>-2761</v>
      </c>
      <c r="BP263" s="3">
        <f>BO263</f>
        <v>-2761</v>
      </c>
      <c r="BQ263" s="3">
        <f>BP263</f>
        <v>-2761</v>
      </c>
      <c r="BR263" s="3">
        <f>BQ263</f>
        <v>-2761</v>
      </c>
      <c r="BS263" s="3">
        <f>BR263</f>
        <v>-2761</v>
      </c>
      <c r="BT263" s="3">
        <f>BS263</f>
        <v>-2761</v>
      </c>
      <c r="BU263" s="3">
        <f>BT263</f>
        <v>-2761</v>
      </c>
      <c r="BV263" s="3">
        <f>BU263</f>
        <v>-2761</v>
      </c>
      <c r="BW263" s="3">
        <f>BV263</f>
        <v>-2761</v>
      </c>
      <c r="BX263" s="3">
        <f>BW263</f>
        <v>-2761</v>
      </c>
      <c r="BY263" s="3">
        <f>BX263</f>
        <v>-2761</v>
      </c>
      <c r="BZ263" s="3">
        <f>BY263</f>
        <v>-2761</v>
      </c>
      <c r="CA263" s="3">
        <f>BZ263</f>
        <v>-2761</v>
      </c>
      <c r="CB263" s="3">
        <f>CA263</f>
        <v>-2761</v>
      </c>
      <c r="CC263" s="3">
        <f>CB263</f>
        <v>-2761</v>
      </c>
      <c r="CD263" s="3">
        <f>CC263</f>
        <v>-2761</v>
      </c>
      <c r="CE263" s="3">
        <f>CD263</f>
        <v>-2761</v>
      </c>
      <c r="CF263" s="3">
        <f>CE263</f>
        <v>-2761</v>
      </c>
      <c r="CG263" s="3">
        <f>CF263</f>
        <v>-2761</v>
      </c>
      <c r="CH263" s="3">
        <f>CG263</f>
        <v>-2761</v>
      </c>
      <c r="CI263" s="3">
        <f>CH263</f>
        <v>-2761</v>
      </c>
      <c r="CJ263" s="3">
        <f>CI263</f>
        <v>-2761</v>
      </c>
      <c r="CK263" s="3">
        <f>CJ263</f>
        <v>-2761</v>
      </c>
      <c r="CL263" s="3">
        <f>CK263</f>
        <v>-2761</v>
      </c>
      <c r="CM263" s="3">
        <f>CL263</f>
        <v>-2761</v>
      </c>
      <c r="CN263" s="3">
        <f>CM263</f>
        <v>-2761</v>
      </c>
      <c r="CO263" s="3">
        <f>CN263</f>
        <v>-2761</v>
      </c>
      <c r="CP263" s="3">
        <f>CO263</f>
        <v>-2761</v>
      </c>
      <c r="CQ263" s="3">
        <f>CP263</f>
        <v>-2761</v>
      </c>
      <c r="CR263" s="3">
        <f>CQ263</f>
        <v>-2761</v>
      </c>
      <c r="CS263" s="3">
        <f>CR263</f>
        <v>-2761</v>
      </c>
      <c r="CT263" s="3">
        <f>CS263</f>
        <v>-2761</v>
      </c>
      <c r="CU263" s="3">
        <f>CT263</f>
        <v>-2761</v>
      </c>
      <c r="CV263" s="3">
        <f>CU263</f>
        <v>-2761</v>
      </c>
      <c r="CW263" s="3">
        <f>CV263</f>
        <v>-2761</v>
      </c>
      <c r="CX263" s="3">
        <f>CW263</f>
        <v>-2761</v>
      </c>
      <c r="CY263" s="3">
        <f>CX263</f>
        <v>-2761</v>
      </c>
    </row>
    <row r="264">
      <c r="C264" s="26" t="inlineStr">
        <is>
          <t>Other equity account</t>
        </is>
      </c>
      <c r="D264" s="25">
        <f>INDEX('Inputs (2)'!$D$46:$AL$46,MATCH(D$7,'Inputs (2)'!$D$2:$AL$2,0))</f>
        <v>0</v>
      </c>
      <c r="E264" s="25">
        <f>INDEX('Inputs (2)'!$D$46:$AL$46,MATCH(E$7,'Inputs (2)'!$D$2:$AL$2,0))</f>
        <v>0</v>
      </c>
      <c r="F264" s="25">
        <f>INDEX('Inputs (2)'!$D$46:$AL$46,MATCH(F$7,'Inputs (2)'!$D$2:$AL$2,0))</f>
        <v>0</v>
      </c>
      <c r="G264" s="25">
        <f>INDEX('Inputs (2)'!$D$46:$AL$46,MATCH(G$7,'Inputs (2)'!$D$2:$AL$2,0))</f>
        <v>0</v>
      </c>
      <c r="H264" s="3">
        <f>G264</f>
        <v>0</v>
      </c>
      <c r="I264" s="25">
        <f>INDEX('Inputs (2)'!$D$46:$AL$46,MATCH(I$7,'Inputs (2)'!$D$2:$AL$2,0))</f>
        <v>0</v>
      </c>
      <c r="J264" s="25">
        <f>INDEX('Inputs (2)'!$D$46:$AL$46,MATCH(J$7,'Inputs (2)'!$D$2:$AL$2,0))</f>
        <v>0</v>
      </c>
      <c r="K264" s="25">
        <f>INDEX('Inputs (2)'!$D$46:$AL$46,MATCH(K$7,'Inputs (2)'!$D$2:$AL$2,0))</f>
        <v>0</v>
      </c>
      <c r="L264" s="25">
        <f>INDEX('Inputs (2)'!$D$46:$AL$46,MATCH(L$7,'Inputs (2)'!$D$2:$AL$2,0))</f>
        <v>0</v>
      </c>
      <c r="M264" s="3">
        <f>L264</f>
        <v>0</v>
      </c>
      <c r="N264" s="25">
        <f>INDEX('Inputs (2)'!$D$46:$AL$46,MATCH(N$7,'Inputs (2)'!$D$2:$AL$2,0))</f>
        <v>0</v>
      </c>
      <c r="O264" s="25">
        <f>INDEX('Inputs (2)'!$D$46:$AL$46,MATCH(O$7,'Inputs (2)'!$D$2:$AL$2,0))</f>
        <v>0</v>
      </c>
      <c r="P264" s="25">
        <f>INDEX('Inputs (2)'!$D$46:$AL$46,MATCH(P$7,'Inputs (2)'!$D$2:$AL$2,0))</f>
        <v>0</v>
      </c>
      <c r="Q264" s="25">
        <f>INDEX('Inputs (2)'!$D$46:$AL$46,MATCH(Q$7,'Inputs (2)'!$D$2:$AL$2,0))</f>
        <v>0</v>
      </c>
      <c r="R264" s="3">
        <f>Q264</f>
        <v>0</v>
      </c>
      <c r="S264" s="25">
        <f>INDEX('Inputs (2)'!$D$46:$AL$46,MATCH(S$7,'Inputs (2)'!$D$2:$AL$2,0))</f>
        <v>0</v>
      </c>
      <c r="T264" s="25">
        <f>INDEX('Inputs (2)'!$D$46:$AL$46,MATCH(T$7,'Inputs (2)'!$D$2:$AL$2,0))</f>
        <v>0</v>
      </c>
      <c r="U264" s="25">
        <f>INDEX('Inputs (2)'!$D$46:$AL$46,MATCH(U$7,'Inputs (2)'!$D$2:$AL$2,0))</f>
        <v>0</v>
      </c>
      <c r="V264" s="25">
        <f>INDEX('Inputs (2)'!$D$46:$AL$46,MATCH(V$7,'Inputs (2)'!$D$2:$AL$2,0))</f>
        <v>0</v>
      </c>
      <c r="W264" s="3">
        <f>V264</f>
        <v>0</v>
      </c>
      <c r="X264" s="25">
        <f>INDEX('Inputs (2)'!$D$46:$AL$46,MATCH(X$7,'Inputs (2)'!$D$2:$AL$2,0))</f>
        <v>0</v>
      </c>
      <c r="Y264" s="25">
        <f>INDEX('Inputs (2)'!$D$46:$AL$46,MATCH(Y$7,'Inputs (2)'!$D$2:$AL$2,0))</f>
        <v>0</v>
      </c>
      <c r="Z264" s="25">
        <f>INDEX('Inputs (2)'!$D$46:$AL$46,MATCH(Z$7,'Inputs (2)'!$D$2:$AL$2,0))</f>
        <v>0</v>
      </c>
      <c r="AA264" s="25">
        <f>INDEX('Inputs (2)'!$D$46:$AL$46,MATCH(AA$7,'Inputs (2)'!$D$2:$AL$2,0))</f>
        <v>0</v>
      </c>
      <c r="AB264" s="3">
        <f>AA264</f>
        <v>0</v>
      </c>
      <c r="AC264" s="25">
        <f>INDEX('Inputs (2)'!$D$46:$AL$46,MATCH(AC$7,'Inputs (2)'!$D$2:$AL$2,0))</f>
        <v>0</v>
      </c>
      <c r="AD264" s="25">
        <f>INDEX('Inputs (2)'!$D$46:$AL$46,MATCH(AD$7,'Inputs (2)'!$D$2:$AL$2,0))</f>
        <v>0</v>
      </c>
      <c r="AE264" s="25">
        <f>INDEX('Inputs (2)'!$D$46:$AL$46,MATCH(AE$7,'Inputs (2)'!$D$2:$AL$2,0))</f>
        <v>0</v>
      </c>
      <c r="AF264" s="25">
        <f>INDEX('Inputs (2)'!$D$46:$AL$46,MATCH(AF$7,'Inputs (2)'!$D$2:$AL$2,0))</f>
        <v>0</v>
      </c>
      <c r="AG264" s="3">
        <f>AF264</f>
        <v>0</v>
      </c>
      <c r="AH264" s="3">
        <f>INDEX('Inputs (2)'!$D$46:$AL$46,MATCH(AH$7,'Inputs (2)'!$D$2:$AL$2,0))</f>
        <v>0</v>
      </c>
      <c r="AI264" s="3">
        <f>INDEX('Inputs (2)'!$D$46:$AL$46,MATCH(AI$7,'Inputs (2)'!$D$2:$AL$2,0))</f>
        <v>0</v>
      </c>
      <c r="AJ264" s="3">
        <f>AI264</f>
        <v>0</v>
      </c>
      <c r="AK264" s="3">
        <f>AJ264</f>
        <v>0</v>
      </c>
      <c r="AL264" s="3">
        <f>AK264</f>
        <v>0</v>
      </c>
      <c r="AM264" s="3">
        <f>AL264</f>
        <v>0</v>
      </c>
      <c r="AN264" s="3">
        <f>AM264</f>
        <v>0</v>
      </c>
      <c r="AO264" s="3">
        <f>AN264</f>
        <v>0</v>
      </c>
      <c r="AP264" s="3">
        <f>AO264</f>
        <v>0</v>
      </c>
      <c r="AQ264" s="3">
        <f>AP264</f>
        <v>0</v>
      </c>
      <c r="AR264" s="3">
        <f>AQ264</f>
        <v>0</v>
      </c>
      <c r="AS264" s="3">
        <f>AR264</f>
        <v>0</v>
      </c>
      <c r="AT264" s="3">
        <f>AS264</f>
        <v>0</v>
      </c>
      <c r="AU264" s="3">
        <f>AT264</f>
        <v>0</v>
      </c>
      <c r="AV264" s="3">
        <f>AU264</f>
        <v>0</v>
      </c>
      <c r="AW264" s="3">
        <f>AV264</f>
        <v>0</v>
      </c>
      <c r="AX264" s="3">
        <f>AW264</f>
        <v>0</v>
      </c>
      <c r="AY264" s="3">
        <f>AX264</f>
        <v>0</v>
      </c>
      <c r="AZ264" s="3">
        <f>AY264</f>
        <v>0</v>
      </c>
      <c r="BA264" s="3">
        <f>AZ264</f>
        <v>0</v>
      </c>
      <c r="BB264" s="3">
        <f>BA264</f>
        <v>0</v>
      </c>
      <c r="BC264" s="3">
        <f>BB264</f>
        <v>0</v>
      </c>
      <c r="BD264" s="3">
        <f>BC264</f>
        <v>0</v>
      </c>
      <c r="BE264" s="3">
        <f>BD264</f>
        <v>0</v>
      </c>
      <c r="BF264" s="3">
        <f>BE264</f>
        <v>0</v>
      </c>
      <c r="BG264" s="3">
        <f>BF264</f>
        <v>0</v>
      </c>
      <c r="BH264" s="3">
        <f>BG264</f>
        <v>0</v>
      </c>
      <c r="BI264" s="3">
        <f>BH264</f>
        <v>0</v>
      </c>
      <c r="BJ264" s="3">
        <f>BI264</f>
        <v>0</v>
      </c>
      <c r="BK264" s="3">
        <f>BJ264</f>
        <v>0</v>
      </c>
      <c r="BL264" s="3">
        <f>BK264</f>
        <v>0</v>
      </c>
      <c r="BM264" s="3">
        <f>BL264</f>
        <v>0</v>
      </c>
      <c r="BN264" s="3">
        <f>BM264</f>
        <v>0</v>
      </c>
      <c r="BO264" s="3">
        <f>BN264</f>
        <v>0</v>
      </c>
      <c r="BP264" s="3">
        <f>BO264</f>
        <v>0</v>
      </c>
      <c r="BQ264" s="3">
        <f>BP264</f>
        <v>0</v>
      </c>
      <c r="BR264" s="3">
        <f>BQ264</f>
        <v>0</v>
      </c>
      <c r="BS264" s="3">
        <f>BR264</f>
        <v>0</v>
      </c>
      <c r="BT264" s="3">
        <f>BS264</f>
        <v>0</v>
      </c>
      <c r="BU264" s="3">
        <f>BT264</f>
        <v>0</v>
      </c>
      <c r="BV264" s="3">
        <f>BU264</f>
        <v>0</v>
      </c>
      <c r="BW264" s="3">
        <f>BV264</f>
        <v>0</v>
      </c>
      <c r="BX264" s="3">
        <f>BW264</f>
        <v>0</v>
      </c>
      <c r="BY264" s="3">
        <f>BX264</f>
        <v>0</v>
      </c>
      <c r="BZ264" s="3">
        <f>BY264</f>
        <v>0</v>
      </c>
      <c r="CA264" s="3">
        <f>BZ264</f>
        <v>0</v>
      </c>
      <c r="CB264" s="3">
        <f>CA264</f>
        <v>0</v>
      </c>
      <c r="CC264" s="3">
        <f>CB264</f>
        <v>0</v>
      </c>
      <c r="CD264" s="3">
        <f>CC264</f>
        <v>0</v>
      </c>
      <c r="CE264" s="3">
        <f>CD264</f>
        <v>0</v>
      </c>
      <c r="CF264" s="3">
        <f>CE264</f>
        <v>0</v>
      </c>
      <c r="CG264" s="3">
        <f>CF264</f>
        <v>0</v>
      </c>
      <c r="CH264" s="3">
        <f>CG264</f>
        <v>0</v>
      </c>
      <c r="CI264" s="3">
        <f>CH264</f>
        <v>0</v>
      </c>
      <c r="CJ264" s="3">
        <f>CI264</f>
        <v>0</v>
      </c>
      <c r="CK264" s="3">
        <f>CJ264</f>
        <v>0</v>
      </c>
      <c r="CL264" s="3">
        <f>CK264</f>
        <v>0</v>
      </c>
      <c r="CM264" s="3">
        <f>CL264</f>
        <v>0</v>
      </c>
      <c r="CN264" s="3">
        <f>CM264</f>
        <v>0</v>
      </c>
      <c r="CO264" s="3">
        <f>CN264</f>
        <v>0</v>
      </c>
      <c r="CP264" s="3">
        <f>CO264</f>
        <v>0</v>
      </c>
      <c r="CQ264" s="3">
        <f>CP264</f>
        <v>0</v>
      </c>
      <c r="CR264" s="3">
        <f>CQ264</f>
        <v>0</v>
      </c>
      <c r="CS264" s="3">
        <f>CR264</f>
        <v>0</v>
      </c>
      <c r="CT264" s="3">
        <f>CS264</f>
        <v>0</v>
      </c>
      <c r="CU264" s="3">
        <f>CT264</f>
        <v>0</v>
      </c>
      <c r="CV264" s="3">
        <f>CU264</f>
        <v>0</v>
      </c>
      <c r="CW264" s="3">
        <f>CV264</f>
        <v>0</v>
      </c>
      <c r="CX264" s="3">
        <f>CW264</f>
        <v>0</v>
      </c>
      <c r="CY264" s="3">
        <f>CX264</f>
        <v>0</v>
      </c>
    </row>
    <row r="265">
      <c r="C265" s="28" t="inlineStr">
        <is>
          <t>Retained earnings</t>
        </is>
      </c>
      <c r="D265" s="25">
        <f>INDEX('Inputs (2)'!$D$47:$AL$47,MATCH(D$7,'Inputs (2)'!$D$2:$AL$2,0))</f>
        <v>5879.4</v>
      </c>
      <c r="E265" s="25">
        <f>INDEX('Inputs (2)'!$D$47:$AL$47,MATCH(E$7,'Inputs (2)'!$D$2:$AL$2,0))</f>
        <v>6617.2</v>
      </c>
      <c r="F265" s="25">
        <f>INDEX('Inputs (2)'!$D$47:$AL$47,MATCH(F$7,'Inputs (2)'!$D$2:$AL$2,0))</f>
        <v>7154</v>
      </c>
      <c r="G265" s="25">
        <f>INDEX('Inputs (2)'!$D$47:$AL$47,MATCH(G$7,'Inputs (2)'!$D$2:$AL$2,0))</f>
        <v>7830.2</v>
      </c>
      <c r="H265" s="3">
        <f>G265</f>
        <v>7830.2</v>
      </c>
      <c r="I265" s="25">
        <f>INDEX('Inputs (2)'!$D$47:$AL$47,MATCH(I$7,'Inputs (2)'!$D$2:$AL$2,0))</f>
        <v>9181.3</v>
      </c>
      <c r="J265" s="25">
        <f>INDEX('Inputs (2)'!$D$47:$AL$47,MATCH(J$7,'Inputs (2)'!$D$2:$AL$2,0))</f>
        <v>8530.1</v>
      </c>
      <c r="K265" s="25">
        <f>INDEX('Inputs (2)'!$D$47:$AL$47,MATCH(K$7,'Inputs (2)'!$D$2:$AL$2,0))</f>
        <v>9639.4</v>
      </c>
      <c r="L265" s="25">
        <f>INDEX('Inputs (2)'!$D$47:$AL$47,MATCH(L$7,'Inputs (2)'!$D$2:$AL$2,0))</f>
        <v>8958.5</v>
      </c>
      <c r="M265" s="3">
        <f>L265</f>
        <v>8958.5</v>
      </c>
      <c r="N265" s="25">
        <f>INDEX('Inputs (2)'!$D$47:$AL$47,MATCH(N$7,'Inputs (2)'!$D$2:$AL$2,0))</f>
        <v>9369.4</v>
      </c>
      <c r="O265" s="25">
        <f>INDEX('Inputs (2)'!$D$47:$AL$47,MATCH(O$7,'Inputs (2)'!$D$2:$AL$2,0))</f>
        <v>8556</v>
      </c>
      <c r="P265" s="25">
        <f>INDEX('Inputs (2)'!$D$47:$AL$47,MATCH(P$7,'Inputs (2)'!$D$2:$AL$2,0))</f>
        <v>10006.5</v>
      </c>
      <c r="Q265" s="25">
        <f>INDEX('Inputs (2)'!$D$47:$AL$47,MATCH(Q$7,'Inputs (2)'!$D$2:$AL$2,0))</f>
        <v>10042.6</v>
      </c>
      <c r="R265" s="3">
        <f>Q265</f>
        <v>10042.6</v>
      </c>
      <c r="S265" s="25">
        <f>INDEX('Inputs (2)'!$D$47:$AL$47,MATCH(S$7,'Inputs (2)'!$D$2:$AL$2,0))</f>
        <v>10639.3</v>
      </c>
      <c r="T265" s="25">
        <f>INDEX('Inputs (2)'!$D$47:$AL$47,MATCH(T$7,'Inputs (2)'!$D$2:$AL$2,0))</f>
        <v>10368.5</v>
      </c>
      <c r="U265" s="25">
        <f>INDEX('Inputs (2)'!$D$47:$AL$47,MATCH(U$7,'Inputs (2)'!$D$2:$AL$2,0))</f>
        <v>10309.9</v>
      </c>
      <c r="V265" s="25">
        <f>INDEX('Inputs (2)'!$D$47:$AL$47,MATCH(V$7,'Inputs (2)'!$D$2:$AL$2,0))</f>
        <v>10312.3</v>
      </c>
      <c r="W265" s="3">
        <f>V265</f>
        <v>10312.3</v>
      </c>
      <c r="X265" s="25">
        <f>INDEX('Inputs (2)'!$D$47:$AL$47,MATCH(X$7,'Inputs (2)'!$D$2:$AL$2,0))</f>
        <v>12553.9</v>
      </c>
      <c r="Y265" s="25">
        <f>INDEX('Inputs (2)'!$D$47:$AL$47,MATCH(Y$7,'Inputs (2)'!$D$2:$AL$2,0))</f>
        <v>13178</v>
      </c>
      <c r="Z265" s="25">
        <f>INDEX('Inputs (2)'!$D$47:$AL$47,MATCH(Z$7,'Inputs (2)'!$D$2:$AL$2,0))</f>
        <v>13627.2</v>
      </c>
      <c r="AA265" s="25">
        <f>INDEX('Inputs (2)'!$D$47:$AL$47,MATCH(AA$7,'Inputs (2)'!$D$2:$AL$2,0))</f>
        <v>13545</v>
      </c>
      <c r="AB265" s="3">
        <f>AA265</f>
        <v>13545</v>
      </c>
      <c r="AC265" s="25">
        <f>INDEX('Inputs (2)'!$D$47:$AL$47,MATCH(AC$7,'Inputs (2)'!$D$2:$AL$2,0))</f>
        <v>15099.5</v>
      </c>
      <c r="AD265" s="25">
        <f>INDEX('Inputs (2)'!$D$47:$AL$47,MATCH(AD$7,'Inputs (2)'!$D$2:$AL$2,0))</f>
        <v>17376.2</v>
      </c>
      <c r="AE265" s="25">
        <f>INDEX('Inputs (2)'!$D$47:$AL$47,MATCH(AE$7,'Inputs (2)'!$D$2:$AL$2,0))</f>
        <v>22252</v>
      </c>
      <c r="AF265" s="25">
        <f>INDEX('Inputs (2)'!$D$47:$AL$47,MATCH(AF$7,'Inputs (2)'!$D$2:$AL$2,0))</f>
        <v>24470</v>
      </c>
      <c r="AG265" s="3">
        <f>AF265</f>
        <v>24470</v>
      </c>
      <c r="AH265" s="3">
        <f>INDEX('Inputs (2)'!$D$47:$AL$47,MATCH(AH$7,'Inputs (2)'!$D$2:$AL$2,0))</f>
        <v>29514</v>
      </c>
      <c r="AI265" s="3">
        <f>INDEX('Inputs (2)'!$D$47:$AL$47,MATCH(AI$7,'Inputs (2)'!$D$2:$AL$2,0))</f>
        <v>31893</v>
      </c>
      <c r="AJ265" s="3">
        <f>AI265+AJ132+AJ133</f>
        <v>40743</v>
      </c>
      <c r="AK265" s="3">
        <f>AJ265+AK132+AK133</f>
        <v>49990</v>
      </c>
      <c r="AL265" s="3">
        <f>AK265</f>
        <v>49990</v>
      </c>
      <c r="AM265" s="3">
        <f>AL265+AM132+AM133</f>
        <v>59237</v>
      </c>
      <c r="AN265" s="3">
        <f>AM265+AN132+AN133</f>
        <v>95431</v>
      </c>
      <c r="AO265" s="3">
        <f>AN265+AO132+AO133</f>
        <v>104678</v>
      </c>
      <c r="AP265" s="3">
        <f>AO265+AP132+AP133</f>
        <v>140872</v>
      </c>
      <c r="AQ265" s="3">
        <f>AP265</f>
        <v>140872</v>
      </c>
      <c r="AR265" s="3">
        <f>AQ265+AR132+AR133</f>
        <v>177066</v>
      </c>
      <c r="AS265" s="3">
        <f>AR265+AS132+AS133</f>
        <v>267948</v>
      </c>
      <c r="AT265" s="3">
        <f>AS265+AT132+AT133</f>
        <v>304142</v>
      </c>
      <c r="AU265" s="3">
        <f>AT265+AU132+AU133</f>
        <v>395024</v>
      </c>
      <c r="AV265" s="3">
        <f>AU265</f>
        <v>395024</v>
      </c>
      <c r="AW265" s="3">
        <f>AV265+AW132+AW133</f>
        <v>485906</v>
      </c>
      <c r="AX265" s="3">
        <f>AW265+AX132+AX133</f>
        <v>740058</v>
      </c>
      <c r="AY265" s="3">
        <f>AX265+AY132+AY133</f>
        <v>830940</v>
      </c>
      <c r="AZ265" s="3">
        <f>AY265+AZ132+AZ133</f>
        <v>1085092</v>
      </c>
      <c r="BA265" s="3">
        <f>AZ265</f>
        <v>1085092</v>
      </c>
      <c r="BB265" s="3">
        <f>BA265+BB132+BB133</f>
        <v>1339244</v>
      </c>
      <c r="BC265" s="3">
        <f>BB265+BC132+BC133</f>
        <v>2029312</v>
      </c>
      <c r="BD265" s="3">
        <f>BC265+BD132+BD133</f>
        <v>2283464</v>
      </c>
      <c r="BE265" s="3">
        <f>BD265+BE132+BE133</f>
        <v>2973532</v>
      </c>
      <c r="BF265" s="3">
        <f>BE265</f>
        <v>2973532</v>
      </c>
      <c r="BG265" s="3">
        <f>BF265+BG132+BG133</f>
        <v>3663600</v>
      </c>
      <c r="BH265" s="3">
        <f>BG265+BH132+BH133</f>
        <v>5552040</v>
      </c>
      <c r="BI265" s="3">
        <f>BH265+BI132+BI133</f>
        <v>6242108</v>
      </c>
      <c r="BJ265" s="3">
        <f>BI265+BJ132+BJ133</f>
        <v>8130548</v>
      </c>
      <c r="BK265" s="3">
        <f>BJ265</f>
        <v>8130548</v>
      </c>
      <c r="BL265" s="3">
        <f>BK265+BL132+BL133</f>
        <v>10018988</v>
      </c>
      <c r="BM265" s="3">
        <f>BL265+BM132+BM133</f>
        <v>15176004</v>
      </c>
      <c r="BN265" s="3">
        <f>BM265+BN132+BN133</f>
        <v>17064444</v>
      </c>
      <c r="BO265" s="3">
        <f>BN265+BO132+BO133</f>
        <v>22221460</v>
      </c>
      <c r="BP265" s="3">
        <f>BO265</f>
        <v>22221460</v>
      </c>
      <c r="BQ265" s="3">
        <f>BP265+BQ132+BQ133</f>
        <v>27378476</v>
      </c>
      <c r="BR265" s="3">
        <f>BQ265+BR132+BR133</f>
        <v>41469388</v>
      </c>
      <c r="BS265" s="3">
        <f>BR265+BS132+BS133</f>
        <v>46626404</v>
      </c>
      <c r="BT265" s="3">
        <f>BS265+BT132+BT133</f>
        <v>60717316</v>
      </c>
      <c r="BU265" s="3">
        <f>BT265</f>
        <v>60717316</v>
      </c>
      <c r="BV265" s="3">
        <f>BU265+BV132+BV133</f>
        <v>74808228</v>
      </c>
      <c r="BW265" s="3">
        <f>BV265+BW132+BW133</f>
        <v>113304084</v>
      </c>
      <c r="BX265" s="3">
        <f>BW265+BX132+BX133</f>
        <v>127394996</v>
      </c>
      <c r="BY265" s="3">
        <f>BX265+BY132+BY133</f>
        <v>165890852</v>
      </c>
      <c r="BZ265" s="3">
        <f>BY265</f>
        <v>165890852</v>
      </c>
      <c r="CA265" s="3">
        <f>BZ265+CA132+CA133</f>
        <v>204386708</v>
      </c>
      <c r="CB265" s="3">
        <f>CA265+CB132+CB133</f>
        <v>309560244</v>
      </c>
      <c r="CC265" s="3">
        <f>CB265+CC132+CC133</f>
        <v>348056100</v>
      </c>
      <c r="CD265" s="3">
        <f>CC265+CD132+CD133</f>
        <v>453229636</v>
      </c>
      <c r="CE265" s="3">
        <f>CD265</f>
        <v>453229636</v>
      </c>
      <c r="CF265" s="3">
        <f>CE265+CF132+CF133</f>
        <v>558403172</v>
      </c>
      <c r="CG265" s="3">
        <f>CF265+CG132+CG133</f>
        <v>845741956</v>
      </c>
      <c r="CH265" s="3">
        <f>CG265+CH132+CH133</f>
        <v>950915492</v>
      </c>
      <c r="CI265" s="3">
        <f>CH265+CI132+CI133</f>
        <v>1238254276</v>
      </c>
      <c r="CJ265" s="3">
        <f>CI265</f>
        <v>1238254276</v>
      </c>
      <c r="CK265" s="3">
        <f>CJ265+CK132+CK133</f>
        <v>1525593060</v>
      </c>
      <c r="CL265" s="3">
        <f>CK265+CL132+CL133</f>
        <v>2310617700</v>
      </c>
      <c r="CM265" s="3">
        <f>CL265+CM132+CM133</f>
        <v>2597956484</v>
      </c>
      <c r="CN265" s="3">
        <f>CM265+CN132+CN133</f>
        <v>3382981124</v>
      </c>
      <c r="CO265" s="3">
        <f>CN265</f>
        <v>3382981124</v>
      </c>
      <c r="CP265" s="3">
        <f>CO265+CP132+CP133</f>
        <v>4168005764</v>
      </c>
      <c r="CQ265" s="3">
        <f>CP265+CQ132+CQ133</f>
        <v>6312732612</v>
      </c>
      <c r="CR265" s="3">
        <f>CQ265+CR132+CR133</f>
        <v>7097757252</v>
      </c>
      <c r="CS265" s="3">
        <f>CR265+CS132+CS133</f>
        <v>9242484100</v>
      </c>
      <c r="CT265" s="3">
        <f>CS265</f>
        <v>9242484100</v>
      </c>
      <c r="CU265" s="3">
        <f>CT265+CU132+CU133</f>
        <v>11387210948</v>
      </c>
      <c r="CV265" s="3">
        <f>CU265+CV132+CV133</f>
        <v>17246713924</v>
      </c>
      <c r="CW265" s="3">
        <f>CV265+CW132+CW133</f>
        <v>19391440772</v>
      </c>
      <c r="CX265" s="3">
        <f>CW265+CX132+CX133</f>
        <v>25250943748</v>
      </c>
      <c r="CY265" s="3">
        <f>CX265</f>
        <v>25250943748</v>
      </c>
    </row>
    <row r="266" customFormat="1" s="17">
      <c r="A266" s="13" t="inlineStr">
        <is>
          <t xml:space="preserve"> </t>
        </is>
      </c>
      <c r="B266" s="13" t="n"/>
      <c r="C266" s="27" t="inlineStr">
        <is>
          <t>Total Shareholders' Equity</t>
        </is>
      </c>
      <c r="D266" s="16">
        <f>SUM(D243+D248+D249+D262+D263+D264+D265)</f>
        <v>3197.2</v>
      </c>
      <c r="E266" s="16">
        <f>SUM(E243+E248+E249+E262+E263+E264+E265)</f>
        <v>4272</v>
      </c>
      <c r="F266" s="16">
        <f>SUM(F243+F248+F249+F262+F263+F264+F265)</f>
        <v>4996</v>
      </c>
      <c r="G266" s="16">
        <f>SUM(G243+G248+G249+G262+G263+G264+G265)</f>
        <v>5825.2</v>
      </c>
      <c r="H266" s="16">
        <f>SUM(H243,H248,H249,H262,H263,H264,H265)</f>
        <v>5825.2</v>
      </c>
      <c r="I266" s="16">
        <f>SUM(I243+I248+I249+I262+I263+I264+I265)</f>
        <v>7099.3</v>
      </c>
      <c r="J266" s="16">
        <f>SUM(J243+J248+J249+J262+J263+J264+J265)</f>
        <v>6663.5</v>
      </c>
      <c r="K266" s="16">
        <f>SUM(K243+K248+K249+K262+K263+K264+K265)</f>
        <v>7954.1</v>
      </c>
      <c r="L266" s="16">
        <f>SUM(L243+L248+L249+L262+L263+L264+L265)</f>
        <v>9154.8</v>
      </c>
      <c r="M266" s="16">
        <f>SUM(M243,M248,M249,M262,M263,M264,M265)</f>
        <v>9154.8</v>
      </c>
      <c r="N266" s="16">
        <f>SUM(N243+N248+N249+N262+N263+N264+N265)</f>
        <v>9462</v>
      </c>
      <c r="O266" s="16">
        <f>SUM(O243+O248+O249+O262+O263+O264+O265)</f>
        <v>8659.2</v>
      </c>
      <c r="P266" s="16">
        <f>SUM(P243+P248+P249+P262+P263+P264+P265)</f>
        <v>10165.9</v>
      </c>
      <c r="Q266" s="16">
        <f>SUM(Q243+Q248+Q249+Q262+Q263+Q264+Q265)</f>
        <v>10775.4</v>
      </c>
      <c r="R266" s="16">
        <f>SUM(R243,R248,R249,R262,R263,R264,R265)</f>
        <v>10775.4</v>
      </c>
      <c r="S266" s="16">
        <f>SUM(S243+S248+S249+S262+S263+S264+S265)</f>
        <v>11294.9</v>
      </c>
      <c r="T266" s="16">
        <f>SUM(T243+T248+T249+T262+T263+T264+T265)</f>
        <v>11149.3</v>
      </c>
      <c r="U266" s="16">
        <f>SUM(U243+U248+U249+U262+U263+U264+U265)</f>
        <v>11307.4</v>
      </c>
      <c r="V266" s="16">
        <f>SUM(V243+V248+V249+V262+V263+V264+V265)</f>
        <v>10863.7</v>
      </c>
      <c r="W266" s="16">
        <f>SUM(W243,W248,W249,W262,W263,W264,W265)</f>
        <v>10863.7</v>
      </c>
      <c r="X266" s="16">
        <f>SUM(X243+X248+X249+X262+X263+X264+X265)</f>
        <v>12897.4</v>
      </c>
      <c r="Y266" s="16">
        <f>SUM(Y243+Y248+Y249+Y262+Y263+Y264+Y265)</f>
        <v>13635.5</v>
      </c>
      <c r="Z266" s="16">
        <f>SUM(Z243+Z248+Z249+Z262+Z263+Z264+Z265)</f>
        <v>14320.7</v>
      </c>
      <c r="AA266" s="16">
        <f>SUM(AA243+AA248+AA249+AA262+AA263+AA264+AA265)</f>
        <v>14271.6</v>
      </c>
      <c r="AB266" s="16">
        <f>SUM(AB243,AB248,AB249,AB262,AB263,AB264,AB265)</f>
        <v>14271.6</v>
      </c>
      <c r="AC266" s="16">
        <f>SUM(AC243+AC248+AC249+AC262+AC263+AC264+AC265)</f>
        <v>15846.8</v>
      </c>
      <c r="AD266" s="16">
        <f>SUM(AD243+AD248+AD249+AD262+AD263+AD264+AD265)</f>
        <v>18349.1</v>
      </c>
      <c r="AE266" s="16">
        <f>SUM(AE243+AE248+AE249+AE262+AE263+AE264+AE265)</f>
        <v>23850.8</v>
      </c>
      <c r="AF266" s="16">
        <f>SUM(AF243+AF248+AF249+AF262+AF263+AF264+AF265)</f>
        <v>26513</v>
      </c>
      <c r="AG266" s="16">
        <f>SUM(AG243,AG248,AG249,AG262,AG263,AG264,AG265)</f>
        <v>26513</v>
      </c>
      <c r="AH266" s="16">
        <f>SUM(AH243+AH248+AH249+AH262+AH263+AH264+AH265)</f>
        <v>31179</v>
      </c>
      <c r="AI266" s="16">
        <f>SUM(AI243+AI248+AI249+AI262+AI263+AI264+AI265)</f>
        <v>33824</v>
      </c>
      <c r="AJ266" s="16">
        <f>SUM(AJ243+AJ248+AJ249+AJ262+AJ263+AJ264+AJ265)</f>
        <v>42674</v>
      </c>
      <c r="AK266" s="16">
        <f>SUM(AK243+AK248+AK249+AK262+AK263+AK264+AK265)</f>
        <v>51921</v>
      </c>
      <c r="AL266" s="16">
        <f>SUM(AL243,AL248,AL249,AL262,AL263,AL264,AL265)</f>
        <v>51921</v>
      </c>
      <c r="AM266" s="16">
        <f>SUM(AM243+AM248+AM249+AM262+AM263+AM264+AM265)</f>
        <v>61168</v>
      </c>
      <c r="AN266" s="16">
        <f>SUM(AN243+AN248+AN249+AN262+AN263+AN264+AN265)</f>
        <v>97362</v>
      </c>
      <c r="AO266" s="16">
        <f>SUM(AO243+AO248+AO249+AO262+AO263+AO264+AO265)</f>
        <v>106609</v>
      </c>
      <c r="AP266" s="16">
        <f>SUM(AP243+AP248+AP249+AP262+AP263+AP264+AP265)</f>
        <v>142803</v>
      </c>
      <c r="AQ266" s="16">
        <f>SUM(AQ243,AQ248,AQ249,AQ262,AQ263,AQ264,AQ265)</f>
        <v>142803</v>
      </c>
      <c r="AR266" s="16">
        <f>SUM(AR243+AR248+AR249+AR262+AR263+AR264+AR265)</f>
        <v>178997</v>
      </c>
      <c r="AS266" s="16">
        <f>SUM(AS243+AS248+AS249+AS262+AS263+AS264+AS265)</f>
        <v>269879</v>
      </c>
      <c r="AT266" s="16">
        <f>SUM(AT243+AT248+AT249+AT262+AT263+AT264+AT265)</f>
        <v>306073</v>
      </c>
      <c r="AU266" s="16">
        <f>SUM(AU243+AU248+AU249+AU262+AU263+AU264+AU265)</f>
        <v>396955</v>
      </c>
      <c r="AV266" s="16">
        <f>SUM(AV243,AV248,AV249,AV262,AV263,AV264,AV265)</f>
        <v>396955</v>
      </c>
      <c r="AW266" s="16">
        <f>SUM(AW243+AW248+AW249+AW262+AW263+AW264+AW265)</f>
        <v>487837</v>
      </c>
      <c r="AX266" s="16">
        <f>SUM(AX243+AX248+AX249+AX262+AX263+AX264+AX265)</f>
        <v>741989</v>
      </c>
      <c r="AY266" s="16">
        <f>SUM(AY243+AY248+AY249+AY262+AY263+AY264+AY265)</f>
        <v>832871</v>
      </c>
      <c r="AZ266" s="16">
        <f>SUM(AZ243+AZ248+AZ249+AZ262+AZ263+AZ264+AZ265)</f>
        <v>1087023</v>
      </c>
      <c r="BA266" s="16">
        <f>SUM(BA243,BA248,BA249,BA262,BA263,BA264,BA265)</f>
        <v>1087023</v>
      </c>
      <c r="BB266" s="16">
        <f>SUM(BB243+BB248+BB249+BB262+BB263+BB264+BB265)</f>
        <v>1341175</v>
      </c>
      <c r="BC266" s="16">
        <f>SUM(BC243+BC248+BC249+BC262+BC263+BC264+BC265)</f>
        <v>2031243</v>
      </c>
      <c r="BD266" s="16">
        <f>SUM(BD243+BD248+BD249+BD262+BD263+BD264+BD265)</f>
        <v>2285395</v>
      </c>
      <c r="BE266" s="16">
        <f>SUM(BE243+BE248+BE249+BE262+BE263+BE264+BE265)</f>
        <v>2975463</v>
      </c>
      <c r="BF266" s="16">
        <f>SUM(BF243,BF248,BF249,BF262,BF263,BF264,BF265)</f>
        <v>2975463</v>
      </c>
      <c r="BG266" s="16">
        <f>SUM(BG243+BG248+BG249+BG262+BG263+BG264+BG265)</f>
        <v>3665531</v>
      </c>
      <c r="BH266" s="16">
        <f>SUM(BH243+BH248+BH249+BH262+BH263+BH264+BH265)</f>
        <v>5553971</v>
      </c>
      <c r="BI266" s="16">
        <f>SUM(BI243+BI248+BI249+BI262+BI263+BI264+BI265)</f>
        <v>6244039</v>
      </c>
      <c r="BJ266" s="16">
        <f>SUM(BJ243+BJ248+BJ249+BJ262+BJ263+BJ264+BJ265)</f>
        <v>8132479</v>
      </c>
      <c r="BK266" s="16">
        <f>SUM(BK243,BK248,BK249,BK262,BK263,BK264,BK265)</f>
        <v>8132479</v>
      </c>
      <c r="BL266" s="16">
        <f>SUM(BL243+BL248+BL249+BL262+BL263+BL264+BL265)</f>
        <v>10020919</v>
      </c>
      <c r="BM266" s="16">
        <f>SUM(BM243+BM248+BM249+BM262+BM263+BM264+BM265)</f>
        <v>15177935</v>
      </c>
      <c r="BN266" s="16">
        <f>SUM(BN243+BN248+BN249+BN262+BN263+BN264+BN265)</f>
        <v>17066375</v>
      </c>
      <c r="BO266" s="16">
        <f>SUM(BO243+BO248+BO249+BO262+BO263+BO264+BO265)</f>
        <v>22223391</v>
      </c>
      <c r="BP266" s="16">
        <f>SUM(BP243,BP248,BP249,BP262,BP263,BP264,BP265)</f>
        <v>22223391</v>
      </c>
      <c r="BQ266" s="16">
        <f>SUM(BQ243+BQ248+BQ249+BQ262+BQ263+BQ264+BQ265)</f>
        <v>27380407</v>
      </c>
      <c r="BR266" s="16">
        <f>SUM(BR243+BR248+BR249+BR262+BR263+BR264+BR265)</f>
        <v>41471319</v>
      </c>
      <c r="BS266" s="16">
        <f>SUM(BS243+BS248+BS249+BS262+BS263+BS264+BS265)</f>
        <v>46628335</v>
      </c>
      <c r="BT266" s="16">
        <f>SUM(BT243+BT248+BT249+BT262+BT263+BT264+BT265)</f>
        <v>60719247</v>
      </c>
      <c r="BU266" s="16">
        <f>SUM(BU243,BU248,BU249,BU262,BU263,BU264,BU265)</f>
        <v>60719247</v>
      </c>
      <c r="BV266" s="16">
        <f>SUM(BV243+BV248+BV249+BV262+BV263+BV264+BV265)</f>
        <v>74810159</v>
      </c>
      <c r="BW266" s="16">
        <f>SUM(BW243+BW248+BW249+BW262+BW263+BW264+BW265)</f>
        <v>113306015</v>
      </c>
      <c r="BX266" s="16">
        <f>SUM(BX243+BX248+BX249+BX262+BX263+BX264+BX265)</f>
        <v>127396927</v>
      </c>
      <c r="BY266" s="16">
        <f>SUM(BY243+BY248+BY249+BY262+BY263+BY264+BY265)</f>
        <v>165892783</v>
      </c>
      <c r="BZ266" s="16">
        <f>SUM(BZ243,BZ248,BZ249,BZ262,BZ263,BZ264,BZ265)</f>
        <v>165892783</v>
      </c>
      <c r="CA266" s="16">
        <f>SUM(CA243+CA248+CA249+CA262+CA263+CA264+CA265)</f>
        <v>204388639</v>
      </c>
      <c r="CB266" s="16">
        <f>SUM(CB243+CB248+CB249+CB262+CB263+CB264+CB265)</f>
        <v>309562175</v>
      </c>
      <c r="CC266" s="16">
        <f>SUM(CC243+CC248+CC249+CC262+CC263+CC264+CC265)</f>
        <v>348058031</v>
      </c>
      <c r="CD266" s="16">
        <f>SUM(CD243+CD248+CD249+CD262+CD263+CD264+CD265)</f>
        <v>453231567</v>
      </c>
      <c r="CE266" s="16">
        <f>SUM(CE243,CE248,CE249,CE262,CE263,CE264,CE265)</f>
        <v>453231567</v>
      </c>
      <c r="CF266" s="16">
        <f>SUM(CF243+CF248+CF249+CF262+CF263+CF264+CF265)</f>
        <v>558405103</v>
      </c>
      <c r="CG266" s="16">
        <f>SUM(CG243+CG248+CG249+CG262+CG263+CG264+CG265)</f>
        <v>845743887</v>
      </c>
      <c r="CH266" s="16">
        <f>SUM(CH243+CH248+CH249+CH262+CH263+CH264+CH265)</f>
        <v>950917423</v>
      </c>
      <c r="CI266" s="16">
        <f>SUM(CI243+CI248+CI249+CI262+CI263+CI264+CI265)</f>
        <v>1238256207</v>
      </c>
      <c r="CJ266" s="16">
        <f>SUM(CJ243,CJ248,CJ249,CJ262,CJ263,CJ264,CJ265)</f>
        <v>1238256207</v>
      </c>
      <c r="CK266" s="16">
        <f>SUM(CK243+CK248+CK249+CK262+CK263+CK264+CK265)</f>
        <v>1525594991</v>
      </c>
      <c r="CL266" s="16">
        <f>SUM(CL243+CL248+CL249+CL262+CL263+CL264+CL265)</f>
        <v>2310619631</v>
      </c>
      <c r="CM266" s="16">
        <f>SUM(CM243+CM248+CM249+CM262+CM263+CM264+CM265)</f>
        <v>2597958415</v>
      </c>
      <c r="CN266" s="16">
        <f>SUM(CN243+CN248+CN249+CN262+CN263+CN264+CN265)</f>
        <v>3382983055</v>
      </c>
      <c r="CO266" s="16">
        <f>SUM(CO243,CO248,CO249,CO262,CO263,CO264,CO265)</f>
        <v>3382983055</v>
      </c>
      <c r="CP266" s="16">
        <f>SUM(CP243+CP248+CP249+CP262+CP263+CP264+CP265)</f>
        <v>4168007695</v>
      </c>
      <c r="CQ266" s="16">
        <f>SUM(CQ243+CQ248+CQ249+CQ262+CQ263+CQ264+CQ265)</f>
        <v>6312734543</v>
      </c>
      <c r="CR266" s="16">
        <f>SUM(CR243+CR248+CR249+CR262+CR263+CR264+CR265)</f>
        <v>7097759183</v>
      </c>
      <c r="CS266" s="16">
        <f>SUM(CS243+CS248+CS249+CS262+CS263+CS264+CS265)</f>
        <v>9242486031</v>
      </c>
      <c r="CT266" s="16">
        <f>SUM(CT243,CT248,CT249,CT262,CT263,CT264,CT265)</f>
        <v>9242486031</v>
      </c>
      <c r="CU266" s="16">
        <f>SUM(CU243+CU248+CU249+CU262+CU263+CU264+CU265)</f>
        <v>11387212879</v>
      </c>
      <c r="CV266" s="16">
        <f>SUM(CV243+CV248+CV249+CV262+CV263+CV264+CV265)</f>
        <v>17246715855</v>
      </c>
      <c r="CW266" s="16">
        <f>SUM(CW243+CW248+CW249+CW262+CW263+CW264+CW265)</f>
        <v>19391442703</v>
      </c>
      <c r="CX266" s="16">
        <f>SUM(CX243+CX248+CX249+CX262+CX263+CX264+CX265)</f>
        <v>25250945679</v>
      </c>
      <c r="CY266" s="16">
        <f>SUM(CY243,CY248,CY249,CY262,CY263,CY264,CY265)</f>
        <v>25250945679</v>
      </c>
    </row>
    <row r="267">
      <c r="C267" s="29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  <c r="AY267" s="3" t="n"/>
      <c r="AZ267" s="3" t="n"/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/>
      <c r="BM267" s="3" t="n"/>
      <c r="BN267" s="3" t="n"/>
      <c r="BO267" s="3" t="n"/>
      <c r="BP267" s="3" t="n"/>
      <c r="BQ267" s="3" t="n"/>
      <c r="BR267" s="3" t="n"/>
      <c r="BS267" s="3" t="n"/>
      <c r="BT267" s="3" t="n"/>
      <c r="BU267" s="3" t="n"/>
      <c r="BV267" s="3" t="n"/>
      <c r="BW267" s="3" t="n"/>
      <c r="BX267" s="3" t="n"/>
      <c r="BY267" s="3" t="n"/>
      <c r="BZ267" s="3" t="n"/>
      <c r="CA267" s="3" t="n"/>
      <c r="CB267" s="3" t="n"/>
      <c r="CC267" s="3" t="n"/>
      <c r="CD267" s="3" t="n"/>
      <c r="CE267" s="3" t="n"/>
      <c r="CF267" s="3" t="n"/>
      <c r="CG267" s="3" t="n"/>
      <c r="CH267" s="3" t="n"/>
      <c r="CI267" s="3" t="n"/>
      <c r="CJ267" s="3" t="n"/>
      <c r="CK267" s="3" t="n"/>
      <c r="CL267" s="3" t="n"/>
      <c r="CM267" s="3" t="n"/>
      <c r="CN267" s="3" t="n"/>
      <c r="CO267" s="3" t="n"/>
      <c r="CP267" s="3" t="n"/>
      <c r="CQ267" s="3" t="n"/>
      <c r="CR267" s="3" t="n"/>
      <c r="CS267" s="3" t="n"/>
      <c r="CT267" s="3" t="n"/>
      <c r="CU267" s="3" t="n"/>
      <c r="CV267" s="3" t="n"/>
      <c r="CW267" s="3" t="n"/>
      <c r="CX267" s="3" t="n"/>
      <c r="CY267" s="3" t="n"/>
    </row>
    <row r="268" customFormat="1" s="17">
      <c r="A268" s="13" t="n"/>
      <c r="B268" s="1" t="n"/>
      <c r="C268" s="14" t="inlineStr">
        <is>
          <t>Total Liabilities + Shareholders' Equity</t>
        </is>
      </c>
      <c r="D268" s="16">
        <f>D266+D242</f>
        <v>41102.8</v>
      </c>
      <c r="E268" s="16">
        <f>E266+E242</f>
        <v>41967</v>
      </c>
      <c r="F268" s="16">
        <f>F266+F242</f>
        <v>43946</v>
      </c>
      <c r="G268" s="16">
        <f>G266+G242</f>
        <v>46633.1</v>
      </c>
      <c r="H268" s="16">
        <f>H266+H242</f>
        <v>46633.1</v>
      </c>
      <c r="I268" s="16">
        <f>I266+I242</f>
        <v>46838.3</v>
      </c>
      <c r="J268" s="16">
        <f>J266+J242</f>
        <v>47809</v>
      </c>
      <c r="K268" s="16">
        <f>K266+K242</f>
        <v>48187</v>
      </c>
      <c r="L268" s="16">
        <f>L266+L242</f>
        <v>48806</v>
      </c>
      <c r="M268" s="16">
        <f>M266+M242</f>
        <v>48806</v>
      </c>
      <c r="N268" s="16">
        <f>N266+N242</f>
        <v>46919.3</v>
      </c>
      <c r="O268" s="16">
        <f>O266+O242</f>
        <v>47063.6</v>
      </c>
      <c r="P268" s="16">
        <f>P266+P242</f>
        <v>47461.5</v>
      </c>
      <c r="Q268" s="16">
        <f>Q266+Q242</f>
        <v>49489.8</v>
      </c>
      <c r="R268" s="16">
        <f>R266+R242</f>
        <v>49489.8</v>
      </c>
      <c r="S268" s="16">
        <f>S266+S242</f>
        <v>53163</v>
      </c>
      <c r="T268" s="16">
        <f>T266+T242</f>
        <v>54814</v>
      </c>
      <c r="U268" s="16">
        <f>U266+U242</f>
        <v>57915.5</v>
      </c>
      <c r="V268" s="16">
        <f>V266+V242</f>
        <v>64006.3</v>
      </c>
      <c r="W268" s="16">
        <f>W266+W242</f>
        <v>64006.3</v>
      </c>
      <c r="X268" s="16">
        <f>X266+X242</f>
        <v>63943.5</v>
      </c>
      <c r="Y268" s="16">
        <f>Y266+Y242</f>
        <v>71874.8</v>
      </c>
      <c r="Z268" s="16">
        <f>Z266+Z242</f>
        <v>75606.9</v>
      </c>
      <c r="AA268" s="16">
        <f>AA266+AA242</f>
        <v>78714.9</v>
      </c>
      <c r="AB268" s="16">
        <f>AB266+AB242</f>
        <v>78714.9</v>
      </c>
      <c r="AC268" s="16">
        <f>AC266+AC242</f>
        <v>89388.8</v>
      </c>
      <c r="AD268" s="16">
        <f>AD266+AD242</f>
        <v>100922.6</v>
      </c>
      <c r="AE268" s="16">
        <f>AE266+AE242</f>
        <v>114935.4</v>
      </c>
      <c r="AF268" s="16">
        <f>AF266+AF242</f>
        <v>112476</v>
      </c>
      <c r="AG268" s="16">
        <f>AG266+AG242</f>
        <v>112476</v>
      </c>
      <c r="AH268" s="16">
        <f>AH266+AH242</f>
        <v>116576</v>
      </c>
      <c r="AI268" s="16">
        <f>AI266+AI242</f>
        <v>142283</v>
      </c>
      <c r="AJ268" s="16">
        <f>AJ266+AJ242</f>
        <v>143223</v>
      </c>
      <c r="AK268" s="16">
        <f>AK266+AK242</f>
        <v>152470</v>
      </c>
      <c r="AL268" s="16">
        <f>AL266+AL242</f>
        <v>152470</v>
      </c>
      <c r="AM268" s="16" t="e">
        <f>AM266+AM242</f>
        <v>#DIV/0!</v>
      </c>
      <c r="AN268" s="16">
        <f>AN266+AN242</f>
        <v>197911</v>
      </c>
      <c r="AO268" s="16" t="e">
        <f>AO266+AO242</f>
        <v>#DIV/0!</v>
      </c>
      <c r="AP268" s="16" t="e">
        <f>AP266+AP242</f>
        <v>#DIV/0!</v>
      </c>
      <c r="AQ268" s="16" t="e">
        <f>AQ266+AQ242</f>
        <v>#DIV/0!</v>
      </c>
      <c r="AR268" s="16" t="e">
        <f>AR266+AR242</f>
        <v>#DIV/0!</v>
      </c>
      <c r="AS268" s="16" t="e">
        <f>AS266+AS242</f>
        <v>#DIV/0!</v>
      </c>
      <c r="AT268" s="16" t="e">
        <f>AT266+AT242</f>
        <v>#DIV/0!</v>
      </c>
      <c r="AU268" s="16" t="e">
        <f>AU266+AU242</f>
        <v>#DIV/0!</v>
      </c>
      <c r="AV268" s="16" t="e">
        <f>AV266+AV242</f>
        <v>#DIV/0!</v>
      </c>
      <c r="AW268" s="16" t="e">
        <f>AW266+AW242</f>
        <v>#DIV/0!</v>
      </c>
      <c r="AX268" s="16" t="e">
        <f>AX266+AX242</f>
        <v>#DIV/0!</v>
      </c>
      <c r="AY268" s="16" t="e">
        <f>AY266+AY242</f>
        <v>#DIV/0!</v>
      </c>
      <c r="AZ268" s="16" t="e">
        <f>AZ266+AZ242</f>
        <v>#DIV/0!</v>
      </c>
      <c r="BA268" s="16" t="e">
        <f>BA266+BA242</f>
        <v>#DIV/0!</v>
      </c>
      <c r="BB268" s="16" t="e">
        <f>BB266+BB242</f>
        <v>#DIV/0!</v>
      </c>
      <c r="BC268" s="16" t="e">
        <f>BC266+BC242</f>
        <v>#DIV/0!</v>
      </c>
      <c r="BD268" s="16" t="e">
        <f>BD266+BD242</f>
        <v>#DIV/0!</v>
      </c>
      <c r="BE268" s="16" t="e">
        <f>BE266+BE242</f>
        <v>#DIV/0!</v>
      </c>
      <c r="BF268" s="16" t="e">
        <f>BF266+BF242</f>
        <v>#DIV/0!</v>
      </c>
      <c r="BG268" s="16" t="e">
        <f>BG266+BG242</f>
        <v>#DIV/0!</v>
      </c>
      <c r="BH268" s="16" t="e">
        <f>BH266+BH242</f>
        <v>#DIV/0!</v>
      </c>
      <c r="BI268" s="16" t="e">
        <f>BI266+BI242</f>
        <v>#DIV/0!</v>
      </c>
      <c r="BJ268" s="16" t="e">
        <f>BJ266+BJ242</f>
        <v>#DIV/0!</v>
      </c>
      <c r="BK268" s="16" t="e">
        <f>BK266+BK242</f>
        <v>#DIV/0!</v>
      </c>
      <c r="BL268" s="16" t="e">
        <f>BL266+BL242</f>
        <v>#DIV/0!</v>
      </c>
      <c r="BM268" s="16" t="e">
        <f>BM266+BM242</f>
        <v>#DIV/0!</v>
      </c>
      <c r="BN268" s="16" t="e">
        <f>BN266+BN242</f>
        <v>#DIV/0!</v>
      </c>
      <c r="BO268" s="16" t="e">
        <f>BO266+BO242</f>
        <v>#DIV/0!</v>
      </c>
      <c r="BP268" s="16" t="e">
        <f>BP266+BP242</f>
        <v>#DIV/0!</v>
      </c>
      <c r="BQ268" s="16" t="e">
        <f>BQ266+BQ242</f>
        <v>#DIV/0!</v>
      </c>
      <c r="BR268" s="16" t="e">
        <f>BR266+BR242</f>
        <v>#DIV/0!</v>
      </c>
      <c r="BS268" s="16" t="e">
        <f>BS266+BS242</f>
        <v>#DIV/0!</v>
      </c>
      <c r="BT268" s="16" t="e">
        <f>BT266+BT242</f>
        <v>#DIV/0!</v>
      </c>
      <c r="BU268" s="16" t="e">
        <f>BU266+BU242</f>
        <v>#DIV/0!</v>
      </c>
      <c r="BV268" s="16" t="e">
        <f>BV266+BV242</f>
        <v>#DIV/0!</v>
      </c>
      <c r="BW268" s="16" t="e">
        <f>BW266+BW242</f>
        <v>#DIV/0!</v>
      </c>
      <c r="BX268" s="16" t="e">
        <f>BX266+BX242</f>
        <v>#DIV/0!</v>
      </c>
      <c r="BY268" s="16" t="e">
        <f>BY266+BY242</f>
        <v>#DIV/0!</v>
      </c>
      <c r="BZ268" s="16" t="e">
        <f>BZ266+BZ242</f>
        <v>#DIV/0!</v>
      </c>
      <c r="CA268" s="16" t="e">
        <f>CA266+CA242</f>
        <v>#DIV/0!</v>
      </c>
      <c r="CB268" s="16" t="e">
        <f>CB266+CB242</f>
        <v>#DIV/0!</v>
      </c>
      <c r="CC268" s="16" t="e">
        <f>CC266+CC242</f>
        <v>#DIV/0!</v>
      </c>
      <c r="CD268" s="16" t="e">
        <f>CD266+CD242</f>
        <v>#DIV/0!</v>
      </c>
      <c r="CE268" s="16" t="e">
        <f>CE266+CE242</f>
        <v>#DIV/0!</v>
      </c>
      <c r="CF268" s="16" t="e">
        <f>CF266+CF242</f>
        <v>#DIV/0!</v>
      </c>
      <c r="CG268" s="16" t="e">
        <f>CG266+CG242</f>
        <v>#DIV/0!</v>
      </c>
      <c r="CH268" s="16" t="e">
        <f>CH266+CH242</f>
        <v>#DIV/0!</v>
      </c>
      <c r="CI268" s="16" t="e">
        <f>CI266+CI242</f>
        <v>#DIV/0!</v>
      </c>
      <c r="CJ268" s="16" t="e">
        <f>CJ266+CJ242</f>
        <v>#DIV/0!</v>
      </c>
      <c r="CK268" s="16" t="e">
        <f>CK266+CK242</f>
        <v>#DIV/0!</v>
      </c>
      <c r="CL268" s="16" t="e">
        <f>CL266+CL242</f>
        <v>#DIV/0!</v>
      </c>
      <c r="CM268" s="16" t="e">
        <f>CM266+CM242</f>
        <v>#DIV/0!</v>
      </c>
      <c r="CN268" s="16" t="e">
        <f>CN266+CN242</f>
        <v>#DIV/0!</v>
      </c>
      <c r="CO268" s="16" t="e">
        <f>CO266+CO242</f>
        <v>#DIV/0!</v>
      </c>
      <c r="CP268" s="16" t="e">
        <f>CP266+CP242</f>
        <v>#DIV/0!</v>
      </c>
      <c r="CQ268" s="16" t="e">
        <f>CQ266+CQ242</f>
        <v>#DIV/0!</v>
      </c>
      <c r="CR268" s="16" t="e">
        <f>CR266+CR242</f>
        <v>#DIV/0!</v>
      </c>
      <c r="CS268" s="16" t="e">
        <f>CS266+CS242</f>
        <v>#DIV/0!</v>
      </c>
      <c r="CT268" s="16" t="e">
        <f>CT266+CT242</f>
        <v>#DIV/0!</v>
      </c>
      <c r="CU268" s="16" t="e">
        <f>CU266+CU242</f>
        <v>#DIV/0!</v>
      </c>
      <c r="CV268" s="16" t="e">
        <f>CV266+CV242</f>
        <v>#DIV/0!</v>
      </c>
      <c r="CW268" s="16" t="e">
        <f>CW266+CW242</f>
        <v>#DIV/0!</v>
      </c>
      <c r="CX268" s="16" t="e">
        <f>CX266+CX242</f>
        <v>#DIV/0!</v>
      </c>
      <c r="CY268" s="16" t="e">
        <f>CY266+CY242</f>
        <v>#DIV/0!</v>
      </c>
    </row>
    <row r="269">
      <c r="C269" s="5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  <c r="AJ269" s="1" t="n"/>
      <c r="AK269" s="1" t="n"/>
      <c r="AL269" s="1" t="n"/>
      <c r="AM269" s="1" t="n"/>
      <c r="AN269" s="1" t="n"/>
      <c r="AO269" s="1" t="n"/>
      <c r="AP269" s="1" t="n"/>
      <c r="AQ269" s="1" t="n"/>
      <c r="AR269" s="1" t="n"/>
      <c r="AS269" s="1" t="n"/>
      <c r="AT269" s="1" t="n"/>
      <c r="AU269" s="1" t="n"/>
      <c r="AV269" s="1" t="n"/>
      <c r="AW269" s="1" t="n"/>
      <c r="AX269" s="1" t="n"/>
      <c r="AY269" s="1" t="n"/>
      <c r="AZ269" s="1" t="n"/>
      <c r="BA269" s="1" t="n"/>
      <c r="BB269" s="1" t="n"/>
      <c r="BC269" s="1" t="n"/>
      <c r="BD269" s="1" t="n"/>
      <c r="BE269" s="1" t="n"/>
      <c r="BF269" s="1" t="n"/>
      <c r="BG269" s="1" t="n"/>
      <c r="BH269" s="1" t="n"/>
      <c r="BI269" s="1" t="n"/>
      <c r="BJ269" s="1" t="n"/>
      <c r="BK269" s="1" t="n"/>
      <c r="BL269" s="1" t="n"/>
      <c r="BM269" s="1" t="n"/>
      <c r="BN269" s="1" t="n"/>
      <c r="BO269" s="1" t="n"/>
      <c r="BP269" s="1" t="n"/>
      <c r="BQ269" s="1" t="n"/>
      <c r="BR269" s="1" t="n"/>
      <c r="BS269" s="1" t="n"/>
      <c r="BT269" s="1" t="n"/>
      <c r="BU269" s="1" t="n"/>
      <c r="BV269" s="1" t="n"/>
      <c r="BW269" s="1" t="n"/>
      <c r="BX269" s="1" t="n"/>
      <c r="BY269" s="1" t="n"/>
      <c r="BZ269" s="1" t="n"/>
      <c r="CA269" s="1" t="n"/>
      <c r="CB269" s="1" t="n"/>
      <c r="CC269" s="1" t="n"/>
      <c r="CD269" s="1" t="n"/>
      <c r="CE269" s="1" t="n"/>
      <c r="CF269" s="1" t="n"/>
      <c r="CG269" s="1" t="n"/>
      <c r="CH269" s="1" t="n"/>
      <c r="CI269" s="1" t="n"/>
      <c r="CJ269" s="1" t="n"/>
      <c r="CK269" s="1" t="n"/>
      <c r="CL269" s="1" t="n"/>
      <c r="CM269" s="1" t="n"/>
      <c r="CN269" s="1" t="n"/>
      <c r="CO269" s="1" t="n"/>
      <c r="CP269" s="1" t="n"/>
      <c r="CQ269" s="1" t="n"/>
      <c r="CR269" s="1" t="n"/>
      <c r="CS269" s="1" t="n"/>
      <c r="CT269" s="1" t="n"/>
      <c r="CU269" s="1" t="n"/>
      <c r="CV269" s="1" t="n"/>
      <c r="CW269" s="1" t="n"/>
      <c r="CX269" s="1" t="n"/>
      <c r="CY269" s="1" t="n"/>
    </row>
    <row r="270" customFormat="1" s="17">
      <c r="A270" s="13" t="n"/>
      <c r="B270" s="13" t="n"/>
      <c r="C270" s="12" t="inlineStr">
        <is>
          <t>Cash Flow Statement</t>
        </is>
      </c>
      <c r="D270" s="232" t="str">
        <f>D137</f>
        <v>1Q20</v>
      </c>
      <c r="E270" s="232" t="str">
        <f>E137</f>
        <v>2Q20</v>
      </c>
      <c r="F270" s="232" t="str">
        <f>F137</f>
        <v>3Q20</v>
      </c>
      <c r="G270" s="232" t="str">
        <f>G137</f>
        <v>4Q20</v>
      </c>
      <c r="H270" s="232">
        <f>H137</f>
        <v>2020</v>
      </c>
      <c r="I270" s="232" t="str">
        <f>I137</f>
        <v>1Q21</v>
      </c>
      <c r="J270" s="232" t="str">
        <f>J137</f>
        <v>2Q21</v>
      </c>
      <c r="K270" s="232" t="str">
        <f>K137</f>
        <v>3Q21</v>
      </c>
      <c r="L270" s="232" t="str">
        <f>L137</f>
        <v>4Q21</v>
      </c>
      <c r="M270" s="232">
        <f>M137</f>
        <v>2021</v>
      </c>
      <c r="N270" s="232" t="str">
        <f>N137</f>
        <v>1Q22</v>
      </c>
      <c r="O270" s="232" t="str">
        <f>O137</f>
        <v>2Q22</v>
      </c>
      <c r="P270" s="232" t="str">
        <f>P137</f>
        <v>3Q22</v>
      </c>
      <c r="Q270" s="232" t="str">
        <f>Q137</f>
        <v>4Q22</v>
      </c>
      <c r="R270" s="232">
        <f>R137</f>
        <v>2022</v>
      </c>
      <c r="S270" s="232" t="str">
        <f>S137</f>
        <v>1Q23</v>
      </c>
      <c r="T270" s="232" t="str">
        <f>T137</f>
        <v>2Q23</v>
      </c>
      <c r="U270" s="232" t="str">
        <f>U137</f>
        <v>3Q23</v>
      </c>
      <c r="V270" s="232" t="str">
        <f>V137</f>
        <v>4Q23</v>
      </c>
      <c r="W270" s="232">
        <f>W137</f>
        <v>2023</v>
      </c>
      <c r="X270" s="232" t="str">
        <f>X137</f>
        <v>1Q24</v>
      </c>
      <c r="Y270" s="232" t="str">
        <f>Y137</f>
        <v>2Q24</v>
      </c>
      <c r="Z270" s="232" t="str">
        <f>Z137</f>
        <v>3Q24</v>
      </c>
      <c r="AA270" s="232" t="str">
        <f>AA137</f>
        <v>4Q24</v>
      </c>
      <c r="AB270" s="232">
        <f>AB137</f>
        <v>2024</v>
      </c>
      <c r="AC270" s="232" t="str">
        <f>AC137</f>
        <v>1Q25</v>
      </c>
      <c r="AD270" s="232" t="str">
        <f>AD137</f>
        <v>2Q25</v>
      </c>
      <c r="AE270" s="232" t="str">
        <f>AE137</f>
        <v>3Q25</v>
      </c>
      <c r="AF270" s="232" t="str">
        <f>AF137</f>
        <v>4Q25</v>
      </c>
      <c r="AG270" s="232">
        <f>AG137</f>
        <v>2025</v>
      </c>
      <c r="AH270" s="232" t="str">
        <f>AH137</f>
        <v>1Q26</v>
      </c>
      <c r="AI270" s="232" t="str">
        <f>AI137</f>
        <v>2Q26</v>
      </c>
      <c r="AJ270" s="232" t="str">
        <f>AJ137</f>
        <v>3Q26</v>
      </c>
      <c r="AK270" s="232" t="str">
        <f>AK137</f>
        <v>4Q26</v>
      </c>
      <c r="AL270" s="232">
        <f>AL137</f>
        <v>2026</v>
      </c>
      <c r="AM270" s="232" t="str">
        <f>AM137</f>
        <v>1Q27</v>
      </c>
      <c r="AN270" s="232" t="str">
        <f>AN137</f>
        <v>2Q27</v>
      </c>
      <c r="AO270" s="232" t="str">
        <f>AO137</f>
        <v>3Q27</v>
      </c>
      <c r="AP270" s="232" t="str">
        <f>AP137</f>
        <v>4Q27</v>
      </c>
      <c r="AQ270" s="232">
        <f>AQ137</f>
        <v>2027</v>
      </c>
      <c r="AR270" s="232" t="str">
        <f>AR137</f>
        <v>1Q28</v>
      </c>
      <c r="AS270" s="232" t="str">
        <f>AS137</f>
        <v>2Q28</v>
      </c>
      <c r="AT270" s="232" t="str">
        <f>AT137</f>
        <v>3Q28</v>
      </c>
      <c r="AU270" s="232" t="str">
        <f>AU137</f>
        <v>4Q28</v>
      </c>
      <c r="AV270" s="232">
        <f>AV137</f>
        <v>2028</v>
      </c>
      <c r="AW270" s="232" t="str">
        <f>AW137</f>
        <v>1Q29</v>
      </c>
      <c r="AX270" s="232" t="str">
        <f>AX137</f>
        <v>2Q29</v>
      </c>
      <c r="AY270" s="232" t="str">
        <f>AY137</f>
        <v>3Q29</v>
      </c>
      <c r="AZ270" s="232" t="str">
        <f>AZ137</f>
        <v>4Q29</v>
      </c>
      <c r="BA270" s="232">
        <f>BA137</f>
        <v>2029</v>
      </c>
      <c r="BB270" s="232" t="str">
        <f>BB137</f>
        <v>1Q30</v>
      </c>
      <c r="BC270" s="232" t="str">
        <f>BC137</f>
        <v>2Q30</v>
      </c>
      <c r="BD270" s="232" t="str">
        <f>BD137</f>
        <v>3Q30</v>
      </c>
      <c r="BE270" s="232" t="str">
        <f>BE137</f>
        <v>4Q30</v>
      </c>
      <c r="BF270" s="232">
        <f>BF137</f>
        <v>2030</v>
      </c>
      <c r="BG270" s="232" t="str">
        <f>BG137</f>
        <v>1Q31</v>
      </c>
      <c r="BH270" s="232" t="str">
        <f>BH137</f>
        <v>2Q31</v>
      </c>
      <c r="BI270" s="232" t="str">
        <f>BI137</f>
        <v>3Q31</v>
      </c>
      <c r="BJ270" s="232" t="str">
        <f>BJ137</f>
        <v>4Q31</v>
      </c>
      <c r="BK270" s="232">
        <f>BK137</f>
        <v>2031</v>
      </c>
      <c r="BL270" s="232" t="str">
        <f>BL137</f>
        <v>1Q32</v>
      </c>
      <c r="BM270" s="232" t="str">
        <f>BM137</f>
        <v>2Q32</v>
      </c>
      <c r="BN270" s="232" t="str">
        <f>BN137</f>
        <v>3Q32</v>
      </c>
      <c r="BO270" s="232" t="str">
        <f>BO137</f>
        <v>4Q32</v>
      </c>
      <c r="BP270" s="232">
        <f>BP137</f>
        <v>2032</v>
      </c>
      <c r="BQ270" s="232" t="str">
        <f>BQ137</f>
        <v>1Q33</v>
      </c>
      <c r="BR270" s="232" t="str">
        <f>BR137</f>
        <v>2Q33</v>
      </c>
      <c r="BS270" s="232" t="str">
        <f>BS137</f>
        <v>3Q33</v>
      </c>
      <c r="BT270" s="232" t="str">
        <f>BT137</f>
        <v>4Q33</v>
      </c>
      <c r="BU270" s="232">
        <f>BU137</f>
        <v>2033</v>
      </c>
      <c r="BV270" s="232" t="str">
        <f>BV137</f>
        <v>1Q34</v>
      </c>
      <c r="BW270" s="232" t="str">
        <f>BW137</f>
        <v>2Q34</v>
      </c>
      <c r="BX270" s="232" t="str">
        <f>BX137</f>
        <v>3Q34</v>
      </c>
      <c r="BY270" s="232" t="str">
        <f>BY137</f>
        <v>4Q34</v>
      </c>
      <c r="BZ270" s="232">
        <f>BZ137</f>
        <v>2034</v>
      </c>
      <c r="CA270" s="232" t="str">
        <f>CA137</f>
        <v>1Q35</v>
      </c>
      <c r="CB270" s="232" t="str">
        <f>CB137</f>
        <v>2Q35</v>
      </c>
      <c r="CC270" s="232" t="str">
        <f>CC137</f>
        <v>3Q35</v>
      </c>
      <c r="CD270" s="232" t="str">
        <f>CD137</f>
        <v>4Q35</v>
      </c>
      <c r="CE270" s="232">
        <f>CE137</f>
        <v>2035</v>
      </c>
      <c r="CF270" s="232" t="str">
        <f>CF137</f>
        <v>1Q36</v>
      </c>
      <c r="CG270" s="232" t="str">
        <f>CG137</f>
        <v>2Q36</v>
      </c>
      <c r="CH270" s="232" t="str">
        <f>CH137</f>
        <v>3Q36</v>
      </c>
      <c r="CI270" s="232" t="str">
        <f>CI137</f>
        <v>4Q36</v>
      </c>
      <c r="CJ270" s="232">
        <f>CJ137</f>
        <v>2036</v>
      </c>
      <c r="CK270" s="232" t="str">
        <f>CK137</f>
        <v>1Q37</v>
      </c>
      <c r="CL270" s="232" t="str">
        <f>CL137</f>
        <v>2Q37</v>
      </c>
      <c r="CM270" s="232" t="str">
        <f>CM137</f>
        <v>3Q37</v>
      </c>
      <c r="CN270" s="232" t="str">
        <f>CN137</f>
        <v>4Q37</v>
      </c>
      <c r="CO270" s="232">
        <f>CO137</f>
        <v>2037</v>
      </c>
      <c r="CP270" s="232" t="str">
        <f>CP137</f>
        <v>1Q38</v>
      </c>
      <c r="CQ270" s="232" t="str">
        <f>CQ137</f>
        <v>2Q38</v>
      </c>
      <c r="CR270" s="232" t="str">
        <f>CR137</f>
        <v>3Q38</v>
      </c>
      <c r="CS270" s="232" t="str">
        <f>CS137</f>
        <v>4Q38</v>
      </c>
      <c r="CT270" s="232">
        <f>CT137</f>
        <v>2038</v>
      </c>
      <c r="CU270" s="232" t="str">
        <f>CU137</f>
        <v>1Q39</v>
      </c>
      <c r="CV270" s="232" t="str">
        <f>CV137</f>
        <v>2Q39</v>
      </c>
      <c r="CW270" s="232" t="str">
        <f>CW137</f>
        <v>3Q39</v>
      </c>
      <c r="CX270" s="232" t="str">
        <f>CX137</f>
        <v>4Q39</v>
      </c>
      <c r="CY270" s="232">
        <f>CY137</f>
        <v>2039</v>
      </c>
    </row>
    <row r="271">
      <c r="C271" s="5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  <c r="AJ271" s="1" t="n"/>
      <c r="AK271" s="1" t="n"/>
      <c r="AL271" s="1" t="n"/>
      <c r="AM271" s="1" t="n"/>
      <c r="AN271" s="1" t="n"/>
      <c r="AO271" s="1" t="n"/>
      <c r="AP271" s="1" t="n"/>
      <c r="AQ271" s="1" t="n"/>
      <c r="AR271" s="1" t="n"/>
      <c r="AS271" s="1" t="n"/>
      <c r="AT271" s="1" t="n"/>
      <c r="AU271" s="1" t="n"/>
      <c r="AV271" s="1" t="n"/>
      <c r="AW271" s="1" t="n"/>
      <c r="AX271" s="1" t="n"/>
      <c r="AY271" s="1" t="n"/>
      <c r="AZ271" s="1" t="n"/>
      <c r="BA271" s="1" t="n"/>
      <c r="BB271" s="1" t="n"/>
      <c r="BC271" s="1" t="n"/>
      <c r="BD271" s="1" t="n"/>
      <c r="BE271" s="1" t="n"/>
      <c r="BF271" s="1" t="n"/>
      <c r="BG271" s="1" t="n"/>
      <c r="BH271" s="1" t="n"/>
      <c r="BI271" s="1" t="n"/>
      <c r="BJ271" s="1" t="n"/>
      <c r="BK271" s="1" t="n"/>
      <c r="BL271" s="1" t="n"/>
      <c r="BM271" s="1" t="n"/>
      <c r="BN271" s="1" t="n"/>
      <c r="BO271" s="1" t="n"/>
      <c r="BP271" s="1" t="n"/>
      <c r="BQ271" s="1" t="n"/>
      <c r="BR271" s="1" t="n"/>
      <c r="BS271" s="1" t="n"/>
      <c r="BT271" s="1" t="n"/>
      <c r="BU271" s="1" t="n"/>
      <c r="BV271" s="1" t="n"/>
      <c r="BW271" s="1" t="n"/>
      <c r="BX271" s="1" t="n"/>
      <c r="BY271" s="1" t="n"/>
      <c r="BZ271" s="1" t="n"/>
      <c r="CA271" s="1" t="n"/>
      <c r="CB271" s="1" t="n"/>
      <c r="CC271" s="1" t="n"/>
      <c r="CD271" s="1" t="n"/>
      <c r="CE271" s="1" t="n"/>
      <c r="CF271" s="1" t="n"/>
      <c r="CG271" s="1" t="n"/>
      <c r="CH271" s="1" t="n"/>
      <c r="CI271" s="1" t="n"/>
      <c r="CJ271" s="1" t="n"/>
      <c r="CK271" s="1" t="n"/>
      <c r="CL271" s="1" t="n"/>
      <c r="CM271" s="1" t="n"/>
      <c r="CN271" s="1" t="n"/>
      <c r="CO271" s="1" t="n"/>
      <c r="CP271" s="1" t="n"/>
      <c r="CQ271" s="1" t="n"/>
      <c r="CR271" s="1" t="n"/>
      <c r="CS271" s="1" t="n"/>
      <c r="CT271" s="1" t="n"/>
      <c r="CU271" s="1" t="n"/>
      <c r="CV271" s="1" t="n"/>
      <c r="CW271" s="1" t="n"/>
      <c r="CX271" s="1" t="n"/>
      <c r="CY271" s="1" t="n"/>
    </row>
    <row r="272">
      <c r="C272" s="29" t="inlineStr">
        <is>
          <t>Net Income</t>
        </is>
      </c>
      <c r="D272" s="3" t="n"/>
      <c r="E272" s="3">
        <f>E132</f>
        <v>1412</v>
      </c>
      <c r="F272" s="3">
        <f>F132</f>
        <v>1208.4</v>
      </c>
      <c r="G272" s="3">
        <f>G132</f>
        <v>2116.8</v>
      </c>
      <c r="H272" s="3">
        <f>SUM(D272:G272)</f>
        <v>4737.2</v>
      </c>
      <c r="I272" s="3">
        <f>I132</f>
        <v>1355.3</v>
      </c>
      <c r="J272" s="3">
        <f>J132</f>
        <v>1390.2</v>
      </c>
      <c r="K272" s="3">
        <f>K132</f>
        <v>1110.1</v>
      </c>
      <c r="L272" s="3">
        <f>L132</f>
        <v>1726.1</v>
      </c>
      <c r="M272" s="3">
        <f>SUM(I272:L272)</f>
        <v>5581.7</v>
      </c>
      <c r="N272" s="3">
        <f>N132</f>
        <v>1902.9</v>
      </c>
      <c r="O272" s="3">
        <f>O132</f>
        <v>952.5</v>
      </c>
      <c r="P272" s="3">
        <f>P132</f>
        <v>1451.7</v>
      </c>
      <c r="Q272" s="3">
        <f>Q132</f>
        <v>1937.7</v>
      </c>
      <c r="R272" s="3">
        <f>SUM(N272:Q272)</f>
        <v>6244.8</v>
      </c>
      <c r="S272" s="3">
        <f>S132</f>
        <v>1344.9</v>
      </c>
      <c r="T272" s="3">
        <f>T132</f>
        <v>1763.2</v>
      </c>
      <c r="U272" s="3">
        <f>U132</f>
        <v>-57.4</v>
      </c>
      <c r="V272" s="3">
        <f>V132</f>
        <v>2189.7</v>
      </c>
      <c r="W272" s="3">
        <f>SUM(S272:V272)</f>
        <v>5240.4</v>
      </c>
      <c r="X272" s="3">
        <f>X132</f>
        <v>2242.9</v>
      </c>
      <c r="Y272" s="3">
        <f>Y132</f>
        <v>2967</v>
      </c>
      <c r="Z272" s="3">
        <f>Z132</f>
        <v>970.3</v>
      </c>
      <c r="AA272" s="3">
        <f>AA132</f>
        <v>4409.8</v>
      </c>
      <c r="AB272" s="3">
        <f>SUM(X272:AA272)</f>
        <v>10590</v>
      </c>
      <c r="AC272" s="3">
        <f>AC132</f>
        <v>2759</v>
      </c>
      <c r="AD272" s="3">
        <f>AD132</f>
        <v>5661</v>
      </c>
      <c r="AE272" s="3">
        <f>AE132</f>
        <v>5582.5</v>
      </c>
      <c r="AF272" s="3">
        <f>AF132</f>
        <v>6637.7</v>
      </c>
      <c r="AG272" s="3">
        <f>SUM(AC272:AF272)</f>
        <v>20640.2</v>
      </c>
      <c r="AH272" s="3">
        <f>AH132</f>
        <v>7396</v>
      </c>
      <c r="AI272" s="3">
        <f>AI132</f>
        <v>7095</v>
      </c>
      <c r="AJ272" s="3">
        <f>AJ132</f>
        <v>8850</v>
      </c>
      <c r="AK272" s="3">
        <f>AK132</f>
        <v>9247</v>
      </c>
      <c r="AL272" s="3">
        <f>SUM(AH272:AK272)</f>
        <v>32588</v>
      </c>
      <c r="AM272" s="3">
        <f>AM132</f>
        <v>9247</v>
      </c>
      <c r="AN272" s="3">
        <f>AN132</f>
        <v>36194</v>
      </c>
      <c r="AO272" s="3">
        <f>AO132</f>
        <v>9247</v>
      </c>
      <c r="AP272" s="3">
        <f>AP132</f>
        <v>36194</v>
      </c>
      <c r="AQ272" s="3">
        <f>SUM(AM272:AP272)</f>
        <v>90882</v>
      </c>
      <c r="AR272" s="3">
        <f>AR132</f>
        <v>36194</v>
      </c>
      <c r="AS272" s="3">
        <f>AS132</f>
        <v>90882</v>
      </c>
      <c r="AT272" s="3">
        <f>AT132</f>
        <v>36194</v>
      </c>
      <c r="AU272" s="3">
        <f>AU132</f>
        <v>90882</v>
      </c>
      <c r="AV272" s="3">
        <f>SUM(AR272:AU272)</f>
        <v>254152</v>
      </c>
      <c r="AW272" s="3">
        <f>AW132</f>
        <v>90882</v>
      </c>
      <c r="AX272" s="3">
        <f>AX132</f>
        <v>254152</v>
      </c>
      <c r="AY272" s="3">
        <f>AY132</f>
        <v>90882</v>
      </c>
      <c r="AZ272" s="3">
        <f>AZ132</f>
        <v>254152</v>
      </c>
      <c r="BA272" s="3">
        <f>SUM(AW272:AZ272)</f>
        <v>690068</v>
      </c>
      <c r="BB272" s="3">
        <f>BB132</f>
        <v>254152</v>
      </c>
      <c r="BC272" s="3">
        <f>BC132</f>
        <v>690068</v>
      </c>
      <c r="BD272" s="3">
        <f>BD132</f>
        <v>254152</v>
      </c>
      <c r="BE272" s="3">
        <f>BE132</f>
        <v>690068</v>
      </c>
      <c r="BF272" s="3">
        <f>SUM(BB272:BE272)</f>
        <v>1888440</v>
      </c>
      <c r="BG272" s="3">
        <f>BG132</f>
        <v>690068</v>
      </c>
      <c r="BH272" s="3">
        <f>BH132</f>
        <v>1888440</v>
      </c>
      <c r="BI272" s="3">
        <f>BI132</f>
        <v>690068</v>
      </c>
      <c r="BJ272" s="3">
        <f>BJ132</f>
        <v>1888440</v>
      </c>
      <c r="BK272" s="3">
        <f>SUM(BG272:BJ272)</f>
        <v>5157016</v>
      </c>
      <c r="BL272" s="3">
        <f>BL132</f>
        <v>1888440</v>
      </c>
      <c r="BM272" s="3">
        <f>BM132</f>
        <v>5157016</v>
      </c>
      <c r="BN272" s="3">
        <f>BN132</f>
        <v>1888440</v>
      </c>
      <c r="BO272" s="3">
        <f>BO132</f>
        <v>5157016</v>
      </c>
      <c r="BP272" s="3">
        <f>SUM(BL272:BO272)</f>
        <v>14090912</v>
      </c>
      <c r="BQ272" s="3">
        <f>BQ132</f>
        <v>5157016</v>
      </c>
      <c r="BR272" s="3">
        <f>BR132</f>
        <v>14090912</v>
      </c>
      <c r="BS272" s="3">
        <f>BS132</f>
        <v>5157016</v>
      </c>
      <c r="BT272" s="3">
        <f>BT132</f>
        <v>14090912</v>
      </c>
      <c r="BU272" s="3">
        <f>SUM(BQ272:BT272)</f>
        <v>38495856</v>
      </c>
      <c r="BV272" s="3">
        <f>BV132</f>
        <v>14090912</v>
      </c>
      <c r="BW272" s="3">
        <f>BW132</f>
        <v>38495856</v>
      </c>
      <c r="BX272" s="3">
        <f>BX132</f>
        <v>14090912</v>
      </c>
      <c r="BY272" s="3">
        <f>BY132</f>
        <v>38495856</v>
      </c>
      <c r="BZ272" s="3">
        <f>SUM(BV272:BY272)</f>
        <v>105173536</v>
      </c>
      <c r="CA272" s="3">
        <f>CA132</f>
        <v>38495856</v>
      </c>
      <c r="CB272" s="3">
        <f>CB132</f>
        <v>105173536</v>
      </c>
      <c r="CC272" s="3">
        <f>CC132</f>
        <v>38495856</v>
      </c>
      <c r="CD272" s="3">
        <f>CD132</f>
        <v>105173536</v>
      </c>
      <c r="CE272" s="3">
        <f>SUM(CA272:CD272)</f>
        <v>287338784</v>
      </c>
      <c r="CF272" s="3">
        <f>CF132</f>
        <v>105173536</v>
      </c>
      <c r="CG272" s="3">
        <f>CG132</f>
        <v>287338784</v>
      </c>
      <c r="CH272" s="3">
        <f>CH132</f>
        <v>105173536</v>
      </c>
      <c r="CI272" s="3">
        <f>CI132</f>
        <v>287338784</v>
      </c>
      <c r="CJ272" s="3">
        <f>SUM(CF272:CI272)</f>
        <v>785024640</v>
      </c>
      <c r="CK272" s="3">
        <f>CK132</f>
        <v>287338784</v>
      </c>
      <c r="CL272" s="3">
        <f>CL132</f>
        <v>785024640</v>
      </c>
      <c r="CM272" s="3">
        <f>CM132</f>
        <v>287338784</v>
      </c>
      <c r="CN272" s="3">
        <f>CN132</f>
        <v>785024640</v>
      </c>
      <c r="CO272" s="3">
        <f>SUM(CK272:CN272)</f>
        <v>2144726848</v>
      </c>
      <c r="CP272" s="3">
        <f>CP132</f>
        <v>785024640</v>
      </c>
      <c r="CQ272" s="3">
        <f>CQ132</f>
        <v>2144726848</v>
      </c>
      <c r="CR272" s="3">
        <f>CR132</f>
        <v>785024640</v>
      </c>
      <c r="CS272" s="3">
        <f>CS132</f>
        <v>2144726848</v>
      </c>
      <c r="CT272" s="3">
        <f>SUM(CP272:CS272)</f>
        <v>5859502976</v>
      </c>
      <c r="CU272" s="3">
        <f>CU132</f>
        <v>2144726848</v>
      </c>
      <c r="CV272" s="3">
        <f>CV132</f>
        <v>5859502976</v>
      </c>
      <c r="CW272" s="3">
        <f>CW132</f>
        <v>2144726848</v>
      </c>
      <c r="CX272" s="3">
        <f>CX132</f>
        <v>5859502976</v>
      </c>
      <c r="CY272" s="3">
        <f>SUM(CU272:CX272)</f>
        <v>16008459648</v>
      </c>
    </row>
    <row r="273">
      <c r="C273" s="29" t="inlineStr">
        <is>
          <t>Depreciation &amp; amortization</t>
        </is>
      </c>
      <c r="D273" s="3" t="n"/>
      <c r="E273" s="3">
        <f>-E65</f>
        <v>324.4</v>
      </c>
      <c r="F273" s="3">
        <f>-F65</f>
        <v>358.4</v>
      </c>
      <c r="G273" s="3">
        <f>-G65</f>
        <v>367.5</v>
      </c>
      <c r="H273" s="3">
        <f>SUM(D273:G273)</f>
        <v>1050.3</v>
      </c>
      <c r="I273" s="3">
        <f>-I65</f>
        <v>350.3</v>
      </c>
      <c r="J273" s="3">
        <f>-J65</f>
        <v>369.3</v>
      </c>
      <c r="K273" s="3">
        <f>-K65</f>
        <v>382.3</v>
      </c>
      <c r="L273" s="3">
        <f>-L65</f>
        <v>445.7</v>
      </c>
      <c r="M273" s="3">
        <f>SUM(I273:L273)</f>
        <v>1547.6</v>
      </c>
      <c r="N273" s="3">
        <f>-N65</f>
        <v>435.7</v>
      </c>
      <c r="O273" s="3">
        <f>-O65</f>
        <v>348.9</v>
      </c>
      <c r="P273" s="3">
        <f>-P65</f>
        <v>362.9</v>
      </c>
      <c r="Q273" s="3">
        <f>-Q65</f>
        <v>375</v>
      </c>
      <c r="R273" s="3">
        <f>SUM(N273:Q273)</f>
        <v>1522.5</v>
      </c>
      <c r="S273" s="3">
        <f>-S65</f>
        <v>362.3</v>
      </c>
      <c r="T273" s="3">
        <f>-T65</f>
        <v>366.3</v>
      </c>
      <c r="U273" s="3">
        <f>-U65</f>
        <v>411</v>
      </c>
      <c r="V273" s="3">
        <f>-V65</f>
        <v>387.7</v>
      </c>
      <c r="W273" s="3">
        <f>SUM(S273:V273)</f>
        <v>1527.3</v>
      </c>
      <c r="X273" s="3">
        <f>-X65</f>
        <v>400.6</v>
      </c>
      <c r="Y273" s="3">
        <f>-Y65</f>
        <v>414.4</v>
      </c>
      <c r="Z273" s="3">
        <f>-Z65</f>
        <v>466.8</v>
      </c>
      <c r="AA273" s="3">
        <f>-AA65</f>
        <v>484.8</v>
      </c>
      <c r="AB273" s="3">
        <f>SUM(X273:AA273)</f>
        <v>1766.6</v>
      </c>
      <c r="AC273" s="3">
        <f>-AC65</f>
        <v>462.8</v>
      </c>
      <c r="AD273" s="3">
        <f>-AD65</f>
        <v>478.5</v>
      </c>
      <c r="AE273" s="3">
        <f>-AE65</f>
        <v>470</v>
      </c>
      <c r="AF273" s="3">
        <f>-AF65</f>
        <v>585.7</v>
      </c>
      <c r="AG273" s="3">
        <f>SUM(AC273:AF273)</f>
        <v>1997</v>
      </c>
      <c r="AH273" s="3">
        <f>-AH65</f>
        <v>509</v>
      </c>
      <c r="AI273" s="3">
        <f>-AI65</f>
        <v>534</v>
      </c>
      <c r="AJ273" s="3">
        <f>-AJ65</f>
        <v>0</v>
      </c>
      <c r="AK273" s="3">
        <f>-AK65</f>
        <v>0</v>
      </c>
      <c r="AL273" s="3">
        <f>SUM(AH273:AK273)</f>
        <v>1043</v>
      </c>
      <c r="AM273" s="3">
        <f>-AM65</f>
        <v>0</v>
      </c>
      <c r="AN273" s="3">
        <f>-AN65</f>
        <v>0</v>
      </c>
      <c r="AO273" s="3">
        <f>-AO65</f>
        <v>0</v>
      </c>
      <c r="AP273" s="3">
        <f>-AP65</f>
        <v>0</v>
      </c>
      <c r="AQ273" s="3">
        <f>SUM(AM273:AP273)</f>
        <v>0</v>
      </c>
      <c r="AR273" s="3">
        <f>-AR65</f>
        <v>0</v>
      </c>
      <c r="AS273" s="3">
        <f>-AS65</f>
        <v>0</v>
      </c>
      <c r="AT273" s="3">
        <f>-AT65</f>
        <v>0</v>
      </c>
      <c r="AU273" s="3">
        <f>-AU65</f>
        <v>0</v>
      </c>
      <c r="AV273" s="3">
        <f>SUM(AR273:AU273)</f>
        <v>0</v>
      </c>
      <c r="AW273" s="3">
        <f>-AW65</f>
        <v>0</v>
      </c>
      <c r="AX273" s="3">
        <f>-AX65</f>
        <v>0</v>
      </c>
      <c r="AY273" s="3">
        <f>-AY65</f>
        <v>0</v>
      </c>
      <c r="AZ273" s="3">
        <f>-AZ65</f>
        <v>0</v>
      </c>
      <c r="BA273" s="3">
        <f>SUM(AW273:AZ273)</f>
        <v>0</v>
      </c>
      <c r="BB273" s="3">
        <f>-BB65</f>
        <v>0</v>
      </c>
      <c r="BC273" s="3">
        <f>-BC65</f>
        <v>0</v>
      </c>
      <c r="BD273" s="3">
        <f>-BD65</f>
        <v>0</v>
      </c>
      <c r="BE273" s="3">
        <f>-BE65</f>
        <v>0</v>
      </c>
      <c r="BF273" s="3">
        <f>SUM(BB273:BE273)</f>
        <v>0</v>
      </c>
      <c r="BG273" s="3">
        <f>-BG65</f>
        <v>0</v>
      </c>
      <c r="BH273" s="3">
        <f>-BH65</f>
        <v>0</v>
      </c>
      <c r="BI273" s="3">
        <f>-BI65</f>
        <v>0</v>
      </c>
      <c r="BJ273" s="3">
        <f>-BJ65</f>
        <v>0</v>
      </c>
      <c r="BK273" s="3">
        <f>SUM(BG273:BJ273)</f>
        <v>0</v>
      </c>
      <c r="BL273" s="3">
        <f>-BL65</f>
        <v>0</v>
      </c>
      <c r="BM273" s="3">
        <f>-BM65</f>
        <v>0</v>
      </c>
      <c r="BN273" s="3">
        <f>-BN65</f>
        <v>0</v>
      </c>
      <c r="BO273" s="3">
        <f>-BO65</f>
        <v>0</v>
      </c>
      <c r="BP273" s="3">
        <f>SUM(BL273:BO273)</f>
        <v>0</v>
      </c>
      <c r="BQ273" s="3">
        <f>-BQ65</f>
        <v>0</v>
      </c>
      <c r="BR273" s="3">
        <f>-BR65</f>
        <v>0</v>
      </c>
      <c r="BS273" s="3">
        <f>-BS65</f>
        <v>0</v>
      </c>
      <c r="BT273" s="3">
        <f>-BT65</f>
        <v>0</v>
      </c>
      <c r="BU273" s="3">
        <f>SUM(BQ273:BT273)</f>
        <v>0</v>
      </c>
      <c r="BV273" s="3">
        <f>-BV65</f>
        <v>0</v>
      </c>
      <c r="BW273" s="3">
        <f>-BW65</f>
        <v>0</v>
      </c>
      <c r="BX273" s="3">
        <f>-BX65</f>
        <v>0</v>
      </c>
      <c r="BY273" s="3">
        <f>-BY65</f>
        <v>0</v>
      </c>
      <c r="BZ273" s="3">
        <f>SUM(BV273:BY273)</f>
        <v>0</v>
      </c>
      <c r="CA273" s="3">
        <f>-CA65</f>
        <v>0</v>
      </c>
      <c r="CB273" s="3">
        <f>-CB65</f>
        <v>0</v>
      </c>
      <c r="CC273" s="3">
        <f>-CC65</f>
        <v>0</v>
      </c>
      <c r="CD273" s="3">
        <f>-CD65</f>
        <v>0</v>
      </c>
      <c r="CE273" s="3">
        <f>SUM(CA273:CD273)</f>
        <v>0</v>
      </c>
      <c r="CF273" s="3">
        <f>-CF65</f>
        <v>0</v>
      </c>
      <c r="CG273" s="3">
        <f>-CG65</f>
        <v>0</v>
      </c>
      <c r="CH273" s="3">
        <f>-CH65</f>
        <v>0</v>
      </c>
      <c r="CI273" s="3">
        <f>-CI65</f>
        <v>0</v>
      </c>
      <c r="CJ273" s="3">
        <f>SUM(CF273:CI273)</f>
        <v>0</v>
      </c>
      <c r="CK273" s="3">
        <f>-CK65</f>
        <v>0</v>
      </c>
      <c r="CL273" s="3">
        <f>-CL65</f>
        <v>0</v>
      </c>
      <c r="CM273" s="3">
        <f>-CM65</f>
        <v>0</v>
      </c>
      <c r="CN273" s="3">
        <f>-CN65</f>
        <v>0</v>
      </c>
      <c r="CO273" s="3">
        <f>SUM(CK273:CN273)</f>
        <v>0</v>
      </c>
      <c r="CP273" s="3">
        <f>-CP65</f>
        <v>0</v>
      </c>
      <c r="CQ273" s="3">
        <f>-CQ65</f>
        <v>0</v>
      </c>
      <c r="CR273" s="3">
        <f>-CR65</f>
        <v>0</v>
      </c>
      <c r="CS273" s="3">
        <f>-CS65</f>
        <v>0</v>
      </c>
      <c r="CT273" s="3">
        <f>SUM(CP273:CS273)</f>
        <v>0</v>
      </c>
      <c r="CU273" s="3">
        <f>-CU65</f>
        <v>0</v>
      </c>
      <c r="CV273" s="3">
        <f>-CV65</f>
        <v>0</v>
      </c>
      <c r="CW273" s="3">
        <f>-CW65</f>
        <v>0</v>
      </c>
      <c r="CX273" s="3">
        <f>-CX65</f>
        <v>0</v>
      </c>
      <c r="CY273" s="3">
        <f>SUM(CU273:CX273)</f>
        <v>0</v>
      </c>
    </row>
    <row r="274">
      <c r="C274" s="29" t="inlineStr">
        <is>
          <t xml:space="preserve">Changes in working capital </t>
        </is>
      </c>
      <c r="D274" s="3" t="n"/>
      <c r="E274" s="3">
        <f>SUM(E275:E284)</f>
        <v>1228.1</v>
      </c>
      <c r="F274" s="3">
        <f>SUM(F275:F284)</f>
        <v>244.099999999999</v>
      </c>
      <c r="G274" s="3">
        <f>SUM(G275:G284)</f>
        <v>-370.600000000001</v>
      </c>
      <c r="H274" s="3">
        <f>SUM(D274:G274)</f>
        <v>1101.6</v>
      </c>
      <c r="I274" s="3">
        <f>SUM(I275:I284)</f>
        <v>-254.700000000001</v>
      </c>
      <c r="J274" s="3">
        <f>SUM(J275:J284)</f>
        <v>765.900000000002</v>
      </c>
      <c r="K274" s="3">
        <f>SUM(K275:K284)</f>
        <v>-1329.9</v>
      </c>
      <c r="L274" s="3">
        <f>SUM(L275:L284)</f>
        <v>1072.1</v>
      </c>
      <c r="M274" s="3">
        <f>SUM(I274:L274)</f>
        <v>253.400000000001</v>
      </c>
      <c r="N274" s="3">
        <f>SUM(N275:N284)</f>
        <v>-1760.1</v>
      </c>
      <c r="O274" s="3">
        <f>SUM(O275:O284)</f>
        <v>1156</v>
      </c>
      <c r="P274" s="3">
        <f>SUM(P275:P284)</f>
        <v>-812.900000000001</v>
      </c>
      <c r="Q274" s="3">
        <f>SUM(Q275:Q284)</f>
        <v>310.8</v>
      </c>
      <c r="R274" s="3">
        <f>SUM(N274:Q274)</f>
        <v>-1106.2</v>
      </c>
      <c r="S274" s="3">
        <f>SUM(S275:S284)</f>
        <v>-1650.7</v>
      </c>
      <c r="T274" s="3">
        <f>SUM(T275:T284)</f>
        <v>486.899999999999</v>
      </c>
      <c r="U274" s="3">
        <f>SUM(U275:U284)</f>
        <v>-1279.4</v>
      </c>
      <c r="V274" s="3">
        <f>SUM(V275:V284)</f>
        <v>-2553.5</v>
      </c>
      <c r="W274" s="3">
        <f>SUM(S274:V274)</f>
        <v>-4996.7</v>
      </c>
      <c r="X274" s="3">
        <f>SUM(X275:X284)</f>
        <v>-3401.9</v>
      </c>
      <c r="Y274" s="3">
        <f>SUM(Y275:Y284)</f>
        <v>-246.200000000001</v>
      </c>
      <c r="Z274" s="3">
        <f>SUM(Z275:Z284)</f>
        <v>-1153.2</v>
      </c>
      <c r="AA274" s="3">
        <f>SUM(AA275:AA284)</f>
        <v>-1368.4</v>
      </c>
      <c r="AB274" s="3">
        <f>SUM(X274:AA274)</f>
        <v>-6169.7</v>
      </c>
      <c r="AC274" s="3">
        <f>SUM(AC275:AC284)</f>
        <v>-6504.4</v>
      </c>
      <c r="AD274" s="3">
        <f>SUM(AD275:AD284)</f>
        <v>-1877.2</v>
      </c>
      <c r="AE274" s="3">
        <f>SUM(AE275:AE284)</f>
        <v>-173.400000000003</v>
      </c>
      <c r="AF274" s="3">
        <f>SUM(AF275:AF284)</f>
        <v>-2114.4</v>
      </c>
      <c r="AG274" s="3">
        <f>SUM(AC274:AF274)</f>
        <v>-10669.4</v>
      </c>
      <c r="AH274" s="3">
        <f>SUM(AH275:AH284)</f>
        <v>-3542</v>
      </c>
      <c r="AI274" s="3">
        <f>SUM(AI275:AI284)</f>
        <v>3210</v>
      </c>
      <c r="AJ274" s="3">
        <f>SUM(AJ275:AJ284)</f>
        <v>28966</v>
      </c>
      <c r="AK274" s="3">
        <f>SUM(AK275:AK284)</f>
        <v>0</v>
      </c>
      <c r="AL274" s="3">
        <f>SUM(AH274:AK274)</f>
        <v>28634</v>
      </c>
      <c r="AM274" s="3" t="e">
        <f>SUM(AM275:AM284)</f>
        <v>#DIV/0!</v>
      </c>
      <c r="AN274" s="3" t="e">
        <f>SUM(AN275:AN284)</f>
        <v>#DIV/0!</v>
      </c>
      <c r="AO274" s="3" t="e">
        <f>SUM(AO275:AO284)</f>
        <v>#DIV/0!</v>
      </c>
      <c r="AP274" s="3" t="e">
        <f>SUM(AP275:AP284)</f>
        <v>#DIV/0!</v>
      </c>
      <c r="AQ274" s="3" t="e">
        <f>SUM(AM274:AP274)</f>
        <v>#DIV/0!</v>
      </c>
      <c r="AR274" s="3" t="e">
        <f>SUM(AR275:AR284)</f>
        <v>#DIV/0!</v>
      </c>
      <c r="AS274" s="3" t="e">
        <f>SUM(AS275:AS284)</f>
        <v>#DIV/0!</v>
      </c>
      <c r="AT274" s="3" t="e">
        <f>SUM(AT275:AT284)</f>
        <v>#DIV/0!</v>
      </c>
      <c r="AU274" s="3" t="e">
        <f>SUM(AU275:AU284)</f>
        <v>#DIV/0!</v>
      </c>
      <c r="AV274" s="3" t="e">
        <f>SUM(AR274:AU274)</f>
        <v>#DIV/0!</v>
      </c>
      <c r="AW274" s="3" t="e">
        <f>SUM(AW275:AW284)</f>
        <v>#DIV/0!</v>
      </c>
      <c r="AX274" s="3" t="e">
        <f>SUM(AX275:AX284)</f>
        <v>#DIV/0!</v>
      </c>
      <c r="AY274" s="3" t="e">
        <f>SUM(AY275:AY284)</f>
        <v>#DIV/0!</v>
      </c>
      <c r="AZ274" s="3" t="e">
        <f>SUM(AZ275:AZ284)</f>
        <v>#DIV/0!</v>
      </c>
      <c r="BA274" s="3" t="e">
        <f>SUM(AW274:AZ274)</f>
        <v>#DIV/0!</v>
      </c>
      <c r="BB274" s="3" t="e">
        <f>SUM(BB275:BB284)</f>
        <v>#DIV/0!</v>
      </c>
      <c r="BC274" s="3" t="e">
        <f>SUM(BC275:BC284)</f>
        <v>#DIV/0!</v>
      </c>
      <c r="BD274" s="3" t="e">
        <f>SUM(BD275:BD284)</f>
        <v>#DIV/0!</v>
      </c>
      <c r="BE274" s="3" t="e">
        <f>SUM(BE275:BE284)</f>
        <v>#DIV/0!</v>
      </c>
      <c r="BF274" s="3" t="e">
        <f>SUM(BB274:BE274)</f>
        <v>#DIV/0!</v>
      </c>
      <c r="BG274" s="3" t="e">
        <f>SUM(BG275:BG284)</f>
        <v>#DIV/0!</v>
      </c>
      <c r="BH274" s="3" t="e">
        <f>SUM(BH275:BH284)</f>
        <v>#DIV/0!</v>
      </c>
      <c r="BI274" s="3" t="e">
        <f>SUM(BI275:BI284)</f>
        <v>#DIV/0!</v>
      </c>
      <c r="BJ274" s="3" t="e">
        <f>SUM(BJ275:BJ284)</f>
        <v>#DIV/0!</v>
      </c>
      <c r="BK274" s="3" t="e">
        <f>SUM(BG274:BJ274)</f>
        <v>#DIV/0!</v>
      </c>
      <c r="BL274" s="3" t="e">
        <f>SUM(BL275:BL284)</f>
        <v>#DIV/0!</v>
      </c>
      <c r="BM274" s="3" t="e">
        <f>SUM(BM275:BM284)</f>
        <v>#DIV/0!</v>
      </c>
      <c r="BN274" s="3" t="e">
        <f>SUM(BN275:BN284)</f>
        <v>#DIV/0!</v>
      </c>
      <c r="BO274" s="3" t="e">
        <f>SUM(BO275:BO284)</f>
        <v>#DIV/0!</v>
      </c>
      <c r="BP274" s="3" t="e">
        <f>SUM(BL274:BO274)</f>
        <v>#DIV/0!</v>
      </c>
      <c r="BQ274" s="3" t="e">
        <f>SUM(BQ275:BQ284)</f>
        <v>#DIV/0!</v>
      </c>
      <c r="BR274" s="3" t="e">
        <f>SUM(BR275:BR284)</f>
        <v>#DIV/0!</v>
      </c>
      <c r="BS274" s="3" t="e">
        <f>SUM(BS275:BS284)</f>
        <v>#DIV/0!</v>
      </c>
      <c r="BT274" s="3" t="e">
        <f>SUM(BT275:BT284)</f>
        <v>#DIV/0!</v>
      </c>
      <c r="BU274" s="3" t="e">
        <f>SUM(BQ274:BT274)</f>
        <v>#DIV/0!</v>
      </c>
      <c r="BV274" s="3" t="e">
        <f>SUM(BV275:BV284)</f>
        <v>#DIV/0!</v>
      </c>
      <c r="BW274" s="3" t="e">
        <f>SUM(BW275:BW284)</f>
        <v>#DIV/0!</v>
      </c>
      <c r="BX274" s="3" t="e">
        <f>SUM(BX275:BX284)</f>
        <v>#DIV/0!</v>
      </c>
      <c r="BY274" s="3" t="e">
        <f>SUM(BY275:BY284)</f>
        <v>#DIV/0!</v>
      </c>
      <c r="BZ274" s="3" t="e">
        <f>SUM(BV274:BY274)</f>
        <v>#DIV/0!</v>
      </c>
      <c r="CA274" s="3" t="e">
        <f>SUM(CA275:CA284)</f>
        <v>#DIV/0!</v>
      </c>
      <c r="CB274" s="3" t="e">
        <f>SUM(CB275:CB284)</f>
        <v>#DIV/0!</v>
      </c>
      <c r="CC274" s="3" t="e">
        <f>SUM(CC275:CC284)</f>
        <v>#DIV/0!</v>
      </c>
      <c r="CD274" s="3" t="e">
        <f>SUM(CD275:CD284)</f>
        <v>#DIV/0!</v>
      </c>
      <c r="CE274" s="3" t="e">
        <f>SUM(CA274:CD274)</f>
        <v>#DIV/0!</v>
      </c>
      <c r="CF274" s="3" t="e">
        <f>SUM(CF275:CF284)</f>
        <v>#DIV/0!</v>
      </c>
      <c r="CG274" s="3" t="e">
        <f>SUM(CG275:CG284)</f>
        <v>#DIV/0!</v>
      </c>
      <c r="CH274" s="3" t="e">
        <f>SUM(CH275:CH284)</f>
        <v>#DIV/0!</v>
      </c>
      <c r="CI274" s="3" t="e">
        <f>SUM(CI275:CI284)</f>
        <v>#DIV/0!</v>
      </c>
      <c r="CJ274" s="3" t="e">
        <f>SUM(CF274:CI274)</f>
        <v>#DIV/0!</v>
      </c>
      <c r="CK274" s="3" t="e">
        <f>SUM(CK275:CK284)</f>
        <v>#DIV/0!</v>
      </c>
      <c r="CL274" s="3" t="e">
        <f>SUM(CL275:CL284)</f>
        <v>#DIV/0!</v>
      </c>
      <c r="CM274" s="3" t="e">
        <f>SUM(CM275:CM284)</f>
        <v>#DIV/0!</v>
      </c>
      <c r="CN274" s="3" t="e">
        <f>SUM(CN275:CN284)</f>
        <v>#DIV/0!</v>
      </c>
      <c r="CO274" s="3" t="e">
        <f>SUM(CK274:CN274)</f>
        <v>#DIV/0!</v>
      </c>
      <c r="CP274" s="3" t="e">
        <f>SUM(CP275:CP284)</f>
        <v>#DIV/0!</v>
      </c>
      <c r="CQ274" s="3" t="e">
        <f>SUM(CQ275:CQ284)</f>
        <v>#DIV/0!</v>
      </c>
      <c r="CR274" s="3" t="e">
        <f>SUM(CR275:CR284)</f>
        <v>#DIV/0!</v>
      </c>
      <c r="CS274" s="3" t="e">
        <f>SUM(CS275:CS284)</f>
        <v>#DIV/0!</v>
      </c>
      <c r="CT274" s="3" t="e">
        <f>SUM(CP274:CS274)</f>
        <v>#DIV/0!</v>
      </c>
      <c r="CU274" s="3" t="e">
        <f>SUM(CU275:CU284)</f>
        <v>#DIV/0!</v>
      </c>
      <c r="CV274" s="3" t="e">
        <f>SUM(CV275:CV284)</f>
        <v>#DIV/0!</v>
      </c>
      <c r="CW274" s="3" t="e">
        <f>SUM(CW275:CW284)</f>
        <v>#DIV/0!</v>
      </c>
      <c r="CX274" s="3" t="e">
        <f>SUM(CX275:CX284)</f>
        <v>#DIV/0!</v>
      </c>
      <c r="CY274" s="3" t="e">
        <f>SUM(CU274:CX274)</f>
        <v>#DIV/0!</v>
      </c>
    </row>
    <row r="275" hidden="1" outlineLevel="1">
      <c r="C275" s="29" t="inlineStr">
        <is>
          <t>Accounts receivable</t>
        </is>
      </c>
      <c r="D275" s="3" t="n"/>
      <c r="E275" s="3">
        <f>(E140-D140)*-1</f>
        <v>277.2</v>
      </c>
      <c r="F275" s="3">
        <f>(F140-E140)*-1</f>
        <v>-57.8000000000002</v>
      </c>
      <c r="G275" s="3">
        <f>(G140-F140)*-1</f>
        <v>-988.6</v>
      </c>
      <c r="H275" s="3">
        <f>SUM(D275:G275)</f>
        <v>-769.200000000001</v>
      </c>
      <c r="I275" s="3">
        <f>(I140-H140)*-1</f>
        <v>282.5</v>
      </c>
      <c r="J275" s="3">
        <f>(J140-I140)*-1</f>
        <v>-236.599999999999</v>
      </c>
      <c r="K275" s="3">
        <f>(K140-J140)*-1</f>
        <v>-84.9000000000006</v>
      </c>
      <c r="L275" s="3">
        <f>(L140-K140)*-1</f>
        <v>-758.499999999999</v>
      </c>
      <c r="M275" s="3">
        <f>SUM(I275:L275)</f>
        <v>-797.499999999999</v>
      </c>
      <c r="N275" s="3">
        <f>(N140-M140)*-1</f>
        <v>350.299999999999</v>
      </c>
      <c r="O275" s="3">
        <f>(O140-N140)*-1</f>
        <v>-42</v>
      </c>
      <c r="P275" s="3">
        <f>(P140-O140)*-1</f>
        <v>-350.799999999999</v>
      </c>
      <c r="Q275" s="3">
        <f>(Q140-P140)*-1</f>
        <v>-180.700000000001</v>
      </c>
      <c r="R275" s="3">
        <f>SUM(N275:Q275)</f>
        <v>-223.200000000001</v>
      </c>
      <c r="S275" s="3">
        <f>(S140-R140)*-1</f>
        <v>-630.2</v>
      </c>
      <c r="T275" s="3">
        <f>(T140-S140)*-1</f>
        <v>10.1000000000004</v>
      </c>
      <c r="U275" s="3">
        <f>(U140-T140)*-1</f>
        <v>-651</v>
      </c>
      <c r="V275" s="3">
        <f>(V140-U140)*-1</f>
        <v>-923.400000000001</v>
      </c>
      <c r="W275" s="3">
        <f>SUM(S275:V275)</f>
        <v>-2194.5</v>
      </c>
      <c r="X275" s="3">
        <f>(X140-W140)*-1</f>
        <v>1204.9</v>
      </c>
      <c r="Y275" s="3">
        <f>(Y140-X140)*-1</f>
        <v>-3142.3</v>
      </c>
      <c r="Z275" s="3">
        <f>(Z140-Y140)*-1</f>
        <v>733.1</v>
      </c>
      <c r="AA275" s="3">
        <f>(AA140-Z140)*-1</f>
        <v>-710.9</v>
      </c>
      <c r="AB275" s="3">
        <f>SUM(X275:AA275)</f>
        <v>-1915.2</v>
      </c>
      <c r="AC275" s="3">
        <f>(AC140-AB140)*-1</f>
        <v>-1030.9</v>
      </c>
      <c r="AD275" s="3">
        <f>(AD140-AC140)*-1</f>
        <v>-2133.8</v>
      </c>
      <c r="AE275" s="3">
        <f>(AE140-AD140)*-1</f>
        <v>-1937</v>
      </c>
      <c r="AF275" s="3">
        <f>(AF140-AE140)*-1</f>
        <v>-1652.6</v>
      </c>
      <c r="AG275" s="3">
        <f>SUM(AC275:AF275)</f>
        <v>-6754.3</v>
      </c>
      <c r="AH275" s="3">
        <f>(AH140-AG140)*-1</f>
        <v>-669</v>
      </c>
      <c r="AI275" s="3">
        <f>(AI140-AH140)*-1</f>
        <v>-1654</v>
      </c>
      <c r="AJ275" s="3">
        <f>(AJ140-AI140)*-1</f>
        <v>20083</v>
      </c>
      <c r="AK275" s="3">
        <f>(AK140-AJ140)*-1</f>
        <v>0</v>
      </c>
      <c r="AL275" s="3">
        <f>SUM(AH275:AK275)</f>
        <v>17760</v>
      </c>
      <c r="AM275" s="3">
        <f>(AM140-AL140)*-1</f>
        <v>0</v>
      </c>
      <c r="AN275" s="3">
        <f>(AN140-AM140)*-1</f>
        <v>0</v>
      </c>
      <c r="AO275" s="3">
        <f>(AO140-AN140)*-1</f>
        <v>0</v>
      </c>
      <c r="AP275" s="3">
        <f>(AP140-AO140)*-1</f>
        <v>0</v>
      </c>
      <c r="AQ275" s="3">
        <f>SUM(AM275:AP275)</f>
        <v>0</v>
      </c>
      <c r="AR275" s="3">
        <f>(AR140-AQ140)*-1</f>
        <v>0</v>
      </c>
      <c r="AS275" s="3">
        <f>(AS140-AR140)*-1</f>
        <v>0</v>
      </c>
      <c r="AT275" s="3">
        <f>(AT140-AS140)*-1</f>
        <v>0</v>
      </c>
      <c r="AU275" s="3">
        <f>(AU140-AT140)*-1</f>
        <v>0</v>
      </c>
      <c r="AV275" s="3">
        <f>SUM(AR275:AU275)</f>
        <v>0</v>
      </c>
      <c r="AW275" s="3">
        <f>(AW140-AV140)*-1</f>
        <v>0</v>
      </c>
      <c r="AX275" s="3">
        <f>(AX140-AW140)*-1</f>
        <v>0</v>
      </c>
      <c r="AY275" s="3">
        <f>(AY140-AX140)*-1</f>
        <v>0</v>
      </c>
      <c r="AZ275" s="3">
        <f>(AZ140-AY140)*-1</f>
        <v>0</v>
      </c>
      <c r="BA275" s="3">
        <f>SUM(AW275:AZ275)</f>
        <v>0</v>
      </c>
      <c r="BB275" s="3">
        <f>(BB140-BA140)*-1</f>
        <v>0</v>
      </c>
      <c r="BC275" s="3">
        <f>(BC140-BB140)*-1</f>
        <v>0</v>
      </c>
      <c r="BD275" s="3">
        <f>(BD140-BC140)*-1</f>
        <v>0</v>
      </c>
      <c r="BE275" s="3">
        <f>(BE140-BD140)*-1</f>
        <v>0</v>
      </c>
      <c r="BF275" s="3">
        <f>SUM(BB275:BE275)</f>
        <v>0</v>
      </c>
      <c r="BG275" s="3">
        <f>(BG140-BF140)*-1</f>
        <v>0</v>
      </c>
      <c r="BH275" s="3">
        <f>(BH140-BG140)*-1</f>
        <v>0</v>
      </c>
      <c r="BI275" s="3">
        <f>(BI140-BH140)*-1</f>
        <v>0</v>
      </c>
      <c r="BJ275" s="3">
        <f>(BJ140-BI140)*-1</f>
        <v>0</v>
      </c>
      <c r="BK275" s="3">
        <f>SUM(BG275:BJ275)</f>
        <v>0</v>
      </c>
      <c r="BL275" s="3">
        <f>(BL140-BK140)*-1</f>
        <v>0</v>
      </c>
      <c r="BM275" s="3">
        <f>(BM140-BL140)*-1</f>
        <v>0</v>
      </c>
      <c r="BN275" s="3">
        <f>(BN140-BM140)*-1</f>
        <v>0</v>
      </c>
      <c r="BO275" s="3">
        <f>(BO140-BN140)*-1</f>
        <v>0</v>
      </c>
      <c r="BP275" s="3">
        <f>SUM(BL275:BO275)</f>
        <v>0</v>
      </c>
      <c r="BQ275" s="3">
        <f>(BQ140-BP140)*-1</f>
        <v>0</v>
      </c>
      <c r="BR275" s="3">
        <f>(BR140-BQ140)*-1</f>
        <v>0</v>
      </c>
      <c r="BS275" s="3">
        <f>(BS140-BR140)*-1</f>
        <v>0</v>
      </c>
      <c r="BT275" s="3">
        <f>(BT140-BS140)*-1</f>
        <v>0</v>
      </c>
      <c r="BU275" s="3">
        <f>SUM(BQ275:BT275)</f>
        <v>0</v>
      </c>
      <c r="BV275" s="3">
        <f>(BV140-BU140)*-1</f>
        <v>0</v>
      </c>
      <c r="BW275" s="3">
        <f>(BW140-BV140)*-1</f>
        <v>0</v>
      </c>
      <c r="BX275" s="3">
        <f>(BX140-BW140)*-1</f>
        <v>0</v>
      </c>
      <c r="BY275" s="3">
        <f>(BY140-BX140)*-1</f>
        <v>0</v>
      </c>
      <c r="BZ275" s="3">
        <f>SUM(BV275:BY275)</f>
        <v>0</v>
      </c>
      <c r="CA275" s="3">
        <f>(CA140-BZ140)*-1</f>
        <v>0</v>
      </c>
      <c r="CB275" s="3">
        <f>(CB140-CA140)*-1</f>
        <v>0</v>
      </c>
      <c r="CC275" s="3">
        <f>(CC140-CB140)*-1</f>
        <v>0</v>
      </c>
      <c r="CD275" s="3">
        <f>(CD140-CC140)*-1</f>
        <v>0</v>
      </c>
      <c r="CE275" s="3">
        <f>SUM(CA275:CD275)</f>
        <v>0</v>
      </c>
      <c r="CF275" s="3">
        <f>(CF140-CE140)*-1</f>
        <v>0</v>
      </c>
      <c r="CG275" s="3">
        <f>(CG140-CF140)*-1</f>
        <v>0</v>
      </c>
      <c r="CH275" s="3">
        <f>(CH140-CG140)*-1</f>
        <v>0</v>
      </c>
      <c r="CI275" s="3">
        <f>(CI140-CH140)*-1</f>
        <v>0</v>
      </c>
      <c r="CJ275" s="3">
        <f>SUM(CF275:CI275)</f>
        <v>0</v>
      </c>
      <c r="CK275" s="3">
        <f>(CK140-CJ140)*-1</f>
        <v>0</v>
      </c>
      <c r="CL275" s="3">
        <f>(CL140-CK140)*-1</f>
        <v>0</v>
      </c>
      <c r="CM275" s="3">
        <f>(CM140-CL140)*-1</f>
        <v>0</v>
      </c>
      <c r="CN275" s="3">
        <f>(CN140-CM140)*-1</f>
        <v>0</v>
      </c>
      <c r="CO275" s="3">
        <f>SUM(CK275:CN275)</f>
        <v>0</v>
      </c>
      <c r="CP275" s="3">
        <f>(CP140-CO140)*-1</f>
        <v>0</v>
      </c>
      <c r="CQ275" s="3">
        <f>(CQ140-CP140)*-1</f>
        <v>0</v>
      </c>
      <c r="CR275" s="3">
        <f>(CR140-CQ140)*-1</f>
        <v>0</v>
      </c>
      <c r="CS275" s="3">
        <f>(CS140-CR140)*-1</f>
        <v>0</v>
      </c>
      <c r="CT275" s="3">
        <f>SUM(CP275:CS275)</f>
        <v>0</v>
      </c>
      <c r="CU275" s="3">
        <f>(CU140-CT140)*-1</f>
        <v>0</v>
      </c>
      <c r="CV275" s="3">
        <f>(CV140-CU140)*-1</f>
        <v>0</v>
      </c>
      <c r="CW275" s="3">
        <f>(CW140-CV140)*-1</f>
        <v>0</v>
      </c>
      <c r="CX275" s="3">
        <f>(CX140-CW140)*-1</f>
        <v>0</v>
      </c>
      <c r="CY275" s="3">
        <f>SUM(CU275:CX275)</f>
        <v>0</v>
      </c>
    </row>
    <row r="276" hidden="1" outlineLevel="1">
      <c r="C276" s="29" t="inlineStr">
        <is>
          <t>Inventories</t>
        </is>
      </c>
      <c r="D276" s="3" t="n"/>
      <c r="E276" s="3">
        <f>(E144-D144)*-1</f>
        <v>-211.5</v>
      </c>
      <c r="F276" s="3">
        <f>(F144-E144)*-1</f>
        <v>-241.5</v>
      </c>
      <c r="G276" s="3">
        <f>(G144-F144)*-1</f>
        <v>-424.9</v>
      </c>
      <c r="H276" s="3">
        <f>SUM(D276:G276)</f>
        <v>-877.9</v>
      </c>
      <c r="I276" s="3">
        <f>(I144-H144)*-1</f>
        <v>319.5</v>
      </c>
      <c r="J276" s="3">
        <f>(J144-I144)*-1</f>
        <v>-164.1</v>
      </c>
      <c r="K276" s="3">
        <f>(K144-J144)*-1</f>
        <v>-82.5</v>
      </c>
      <c r="L276" s="3">
        <f>(L144-K144)*-1</f>
        <v>21.3999999999996</v>
      </c>
      <c r="M276" s="3">
        <f>SUM(I276:L276)</f>
        <v>94.2999999999997</v>
      </c>
      <c r="N276" s="3">
        <f>(N144-M144)*-1</f>
        <v>-7</v>
      </c>
      <c r="O276" s="3">
        <f>(O144-N144)*-1</f>
        <v>-6.39999999999964</v>
      </c>
      <c r="P276" s="3">
        <f>(P144-O144)*-1</f>
        <v>68.2999999999997</v>
      </c>
      <c r="Q276" s="3">
        <f>(Q144-P144)*-1</f>
        <v>-478.6</v>
      </c>
      <c r="R276" s="3">
        <f>SUM(N276:Q276)</f>
        <v>-423.7</v>
      </c>
      <c r="S276" s="3">
        <f>(S144-R144)*-1</f>
        <v>-235.1</v>
      </c>
      <c r="T276" s="3">
        <f>(T144-S144)*-1</f>
        <v>-253.9</v>
      </c>
      <c r="U276" s="3">
        <f>(U144-T144)*-1</f>
        <v>-102.7</v>
      </c>
      <c r="V276" s="3">
        <f>(V144-U144)*-1</f>
        <v>-871.400000000001</v>
      </c>
      <c r="W276" s="3">
        <f>SUM(S276:V276)</f>
        <v>-1463.1</v>
      </c>
      <c r="X276" s="3">
        <f>(X144-W144)*-1</f>
        <v>-328.999999999999</v>
      </c>
      <c r="Y276" s="3">
        <f>(Y144-X144)*-1</f>
        <v>-379.700000000001</v>
      </c>
      <c r="Z276" s="3">
        <f>(Z144-Y144)*-1</f>
        <v>-978.299999999999</v>
      </c>
      <c r="AA276" s="3">
        <f>(AA144-Z144)*-1</f>
        <v>-129.400000000001</v>
      </c>
      <c r="AB276" s="3">
        <f>SUM(X276:AA276)</f>
        <v>-1816.4</v>
      </c>
      <c r="AC276" s="3">
        <f>(AC144-AB144)*-1</f>
        <v>-1721.8</v>
      </c>
      <c r="AD276" s="3">
        <f>(AD144-AC144)*-1</f>
        <v>-1702.8</v>
      </c>
      <c r="AE276" s="3">
        <f>(AE144-AD144)*-1</f>
        <v>-1166.6</v>
      </c>
      <c r="AF276" s="3">
        <f>(AF144-AE144)*-1</f>
        <v>-1563.6</v>
      </c>
      <c r="AG276" s="3">
        <f>SUM(AC276:AF276)</f>
        <v>-6154.8</v>
      </c>
      <c r="AH276" s="3">
        <f>(AH144-AG144)*-1</f>
        <v>-785</v>
      </c>
      <c r="AI276" s="3">
        <f>(AI144-AH144)*-1</f>
        <v>-2264</v>
      </c>
      <c r="AJ276" s="3">
        <f>(AJ144-AI144)*-1</f>
        <v>16793</v>
      </c>
      <c r="AK276" s="3">
        <f>(AK144-AJ144)*-1</f>
        <v>0</v>
      </c>
      <c r="AL276" s="3">
        <f>SUM(AH276:AK276)</f>
        <v>13744</v>
      </c>
      <c r="AM276" s="3">
        <f>(AM144-AL144)*-1</f>
        <v>0</v>
      </c>
      <c r="AN276" s="3">
        <f>(AN144-AM144)*-1</f>
        <v>0</v>
      </c>
      <c r="AO276" s="3">
        <f>(AO144-AN144)*-1</f>
        <v>0</v>
      </c>
      <c r="AP276" s="3">
        <f>(AP144-AO144)*-1</f>
        <v>0</v>
      </c>
      <c r="AQ276" s="3">
        <f>SUM(AM276:AP276)</f>
        <v>0</v>
      </c>
      <c r="AR276" s="3">
        <f>(AR144-AQ144)*-1</f>
        <v>0</v>
      </c>
      <c r="AS276" s="3">
        <f>(AS144-AR144)*-1</f>
        <v>0</v>
      </c>
      <c r="AT276" s="3">
        <f>(AT144-AS144)*-1</f>
        <v>0</v>
      </c>
      <c r="AU276" s="3">
        <f>(AU144-AT144)*-1</f>
        <v>0</v>
      </c>
      <c r="AV276" s="3">
        <f>SUM(AR276:AU276)</f>
        <v>0</v>
      </c>
      <c r="AW276" s="3">
        <f>(AW144-AV144)*-1</f>
        <v>0</v>
      </c>
      <c r="AX276" s="3">
        <f>(AX144-AW144)*-1</f>
        <v>0</v>
      </c>
      <c r="AY276" s="3">
        <f>(AY144-AX144)*-1</f>
        <v>0</v>
      </c>
      <c r="AZ276" s="3">
        <f>(AZ144-AY144)*-1</f>
        <v>0</v>
      </c>
      <c r="BA276" s="3">
        <f>SUM(AW276:AZ276)</f>
        <v>0</v>
      </c>
      <c r="BB276" s="3">
        <f>(BB144-BA144)*-1</f>
        <v>0</v>
      </c>
      <c r="BC276" s="3">
        <f>(BC144-BB144)*-1</f>
        <v>0</v>
      </c>
      <c r="BD276" s="3">
        <f>(BD144-BC144)*-1</f>
        <v>0</v>
      </c>
      <c r="BE276" s="3">
        <f>(BE144-BD144)*-1</f>
        <v>0</v>
      </c>
      <c r="BF276" s="3">
        <f>SUM(BB276:BE276)</f>
        <v>0</v>
      </c>
      <c r="BG276" s="3">
        <f>(BG144-BF144)*-1</f>
        <v>0</v>
      </c>
      <c r="BH276" s="3">
        <f>(BH144-BG144)*-1</f>
        <v>0</v>
      </c>
      <c r="BI276" s="3">
        <f>(BI144-BH144)*-1</f>
        <v>0</v>
      </c>
      <c r="BJ276" s="3">
        <f>(BJ144-BI144)*-1</f>
        <v>0</v>
      </c>
      <c r="BK276" s="3">
        <f>SUM(BG276:BJ276)</f>
        <v>0</v>
      </c>
      <c r="BL276" s="3">
        <f>(BL144-BK144)*-1</f>
        <v>0</v>
      </c>
      <c r="BM276" s="3">
        <f>(BM144-BL144)*-1</f>
        <v>0</v>
      </c>
      <c r="BN276" s="3">
        <f>(BN144-BM144)*-1</f>
        <v>0</v>
      </c>
      <c r="BO276" s="3">
        <f>(BO144-BN144)*-1</f>
        <v>0</v>
      </c>
      <c r="BP276" s="3">
        <f>SUM(BL276:BO276)</f>
        <v>0</v>
      </c>
      <c r="BQ276" s="3">
        <f>(BQ144-BP144)*-1</f>
        <v>0</v>
      </c>
      <c r="BR276" s="3">
        <f>(BR144-BQ144)*-1</f>
        <v>0</v>
      </c>
      <c r="BS276" s="3">
        <f>(BS144-BR144)*-1</f>
        <v>0</v>
      </c>
      <c r="BT276" s="3">
        <f>(BT144-BS144)*-1</f>
        <v>0</v>
      </c>
      <c r="BU276" s="3">
        <f>SUM(BQ276:BT276)</f>
        <v>0</v>
      </c>
      <c r="BV276" s="3">
        <f>(BV144-BU144)*-1</f>
        <v>0</v>
      </c>
      <c r="BW276" s="3">
        <f>(BW144-BV144)*-1</f>
        <v>0</v>
      </c>
      <c r="BX276" s="3">
        <f>(BX144-BW144)*-1</f>
        <v>0</v>
      </c>
      <c r="BY276" s="3">
        <f>(BY144-BX144)*-1</f>
        <v>0</v>
      </c>
      <c r="BZ276" s="3">
        <f>SUM(BV276:BY276)</f>
        <v>0</v>
      </c>
      <c r="CA276" s="3">
        <f>(CA144-BZ144)*-1</f>
        <v>0</v>
      </c>
      <c r="CB276" s="3">
        <f>(CB144-CA144)*-1</f>
        <v>0</v>
      </c>
      <c r="CC276" s="3">
        <f>(CC144-CB144)*-1</f>
        <v>0</v>
      </c>
      <c r="CD276" s="3">
        <f>(CD144-CC144)*-1</f>
        <v>0</v>
      </c>
      <c r="CE276" s="3">
        <f>SUM(CA276:CD276)</f>
        <v>0</v>
      </c>
      <c r="CF276" s="3">
        <f>(CF144-CE144)*-1</f>
        <v>0</v>
      </c>
      <c r="CG276" s="3">
        <f>(CG144-CF144)*-1</f>
        <v>0</v>
      </c>
      <c r="CH276" s="3">
        <f>(CH144-CG144)*-1</f>
        <v>0</v>
      </c>
      <c r="CI276" s="3">
        <f>(CI144-CH144)*-1</f>
        <v>0</v>
      </c>
      <c r="CJ276" s="3">
        <f>SUM(CF276:CI276)</f>
        <v>0</v>
      </c>
      <c r="CK276" s="3">
        <f>(CK144-CJ144)*-1</f>
        <v>0</v>
      </c>
      <c r="CL276" s="3">
        <f>(CL144-CK144)*-1</f>
        <v>0</v>
      </c>
      <c r="CM276" s="3">
        <f>(CM144-CL144)*-1</f>
        <v>0</v>
      </c>
      <c r="CN276" s="3">
        <f>(CN144-CM144)*-1</f>
        <v>0</v>
      </c>
      <c r="CO276" s="3">
        <f>SUM(CK276:CN276)</f>
        <v>0</v>
      </c>
      <c r="CP276" s="3">
        <f>(CP144-CO144)*-1</f>
        <v>0</v>
      </c>
      <c r="CQ276" s="3">
        <f>(CQ144-CP144)*-1</f>
        <v>0</v>
      </c>
      <c r="CR276" s="3">
        <f>(CR144-CQ144)*-1</f>
        <v>0</v>
      </c>
      <c r="CS276" s="3">
        <f>(CS144-CR144)*-1</f>
        <v>0</v>
      </c>
      <c r="CT276" s="3">
        <f>SUM(CP276:CS276)</f>
        <v>0</v>
      </c>
      <c r="CU276" s="3">
        <f>(CU144-CT144)*-1</f>
        <v>0</v>
      </c>
      <c r="CV276" s="3">
        <f>(CV144-CU144)*-1</f>
        <v>0</v>
      </c>
      <c r="CW276" s="3">
        <f>(CW144-CV144)*-1</f>
        <v>0</v>
      </c>
      <c r="CX276" s="3">
        <f>(CX144-CW144)*-1</f>
        <v>0</v>
      </c>
      <c r="CY276" s="3">
        <f>SUM(CU276:CX276)</f>
        <v>0</v>
      </c>
    </row>
    <row r="277" hidden="1" outlineLevel="1">
      <c r="C277" s="29" t="inlineStr">
        <is>
          <t>Deferred income taxes</t>
        </is>
      </c>
      <c r="D277" s="3" t="n"/>
      <c r="E277" s="3">
        <f>(E148-D148)*-1</f>
        <v>-10.1999999999998</v>
      </c>
      <c r="F277" s="3">
        <f>(F148-E148)*-1</f>
        <v>-73.5</v>
      </c>
      <c r="G277" s="3">
        <f>(G148-F148)*-1</f>
        <v>-275.1</v>
      </c>
      <c r="H277" s="3">
        <f>SUM(D277:G277)</f>
        <v>-358.8</v>
      </c>
      <c r="I277" s="3">
        <f>(I148-H148)*-1</f>
        <v>180.5</v>
      </c>
      <c r="J277" s="3">
        <f>(J148-I148)*-1</f>
        <v>-25</v>
      </c>
      <c r="K277" s="3">
        <f>(K148-J148)*-1</f>
        <v>49.3000000000002</v>
      </c>
      <c r="L277" s="3">
        <f>(L148-K148)*-1</f>
        <v>136.3</v>
      </c>
      <c r="M277" s="3">
        <f>SUM(I277:L277)</f>
        <v>341.1</v>
      </c>
      <c r="N277" s="3">
        <f>(N148-M148)*-1</f>
        <v>24.3999999999996</v>
      </c>
      <c r="O277" s="3">
        <f>(O148-N148)*-1</f>
        <v>93</v>
      </c>
      <c r="P277" s="3">
        <f>(P148-O148)*-1</f>
        <v>-12.3999999999996</v>
      </c>
      <c r="Q277" s="3">
        <f>(Q148-P148)*-1</f>
        <v>-408.6</v>
      </c>
      <c r="R277" s="3">
        <f>SUM(N277:Q277)</f>
        <v>-303.6</v>
      </c>
      <c r="S277" s="3">
        <f>(S148-R148)*-1</f>
        <v>-613.8</v>
      </c>
      <c r="T277" s="3">
        <f>(T148-S148)*-1</f>
        <v>-399.2</v>
      </c>
      <c r="U277" s="3">
        <f>(U148-T148)*-1</f>
        <v>-768.900000000001</v>
      </c>
      <c r="V277" s="3">
        <f>(V148-U148)*-1</f>
        <v>-902.5</v>
      </c>
      <c r="W277" s="3">
        <f>SUM(S277:V277)</f>
        <v>-2684.4</v>
      </c>
      <c r="X277" s="3">
        <f>(X148-W148)*-1</f>
        <v>-156.599999999999</v>
      </c>
      <c r="Y277" s="3">
        <f>(Y148-X148)*-1</f>
        <v>-1021.4</v>
      </c>
      <c r="Z277" s="3">
        <f>(Z148-Y148)*-1</f>
        <v>-737</v>
      </c>
      <c r="AA277" s="3">
        <f>(AA148-Z148)*-1</f>
        <v>-608.3</v>
      </c>
      <c r="AB277" s="3">
        <f>SUM(X277:AA277)</f>
        <v>-2523.3</v>
      </c>
      <c r="AC277" s="3">
        <f>(AC148-AB148)*-1</f>
        <v>-572.6</v>
      </c>
      <c r="AD277" s="3">
        <f>(AD148-AC148)*-1</f>
        <v>-854.200000000001</v>
      </c>
      <c r="AE277" s="3">
        <f>(AE148-AD148)*-1</f>
        <v>464.700000000001</v>
      </c>
      <c r="AF277" s="3">
        <f>(AF148-AE148)*-1</f>
        <v>-996.300000000001</v>
      </c>
      <c r="AG277" s="3">
        <f>SUM(AC277:AF277)</f>
        <v>-1958.4</v>
      </c>
      <c r="AH277" s="3">
        <f>(AH148-AG148)*-1</f>
        <v>-1391</v>
      </c>
      <c r="AI277" s="3">
        <f>(AI148-AH148)*-1</f>
        <v>1322</v>
      </c>
      <c r="AJ277" s="3">
        <f>(AJ148-AI148)*-1</f>
        <v>0</v>
      </c>
      <c r="AK277" s="3">
        <f>(AK148-AJ148)*-1</f>
        <v>0</v>
      </c>
      <c r="AL277" s="3">
        <f>SUM(AH277:AK277)</f>
        <v>-69</v>
      </c>
      <c r="AM277" s="3">
        <f>(AM148-AL148)*-1</f>
        <v>0</v>
      </c>
      <c r="AN277" s="3">
        <f>(AN148-AM148)*-1</f>
        <v>0</v>
      </c>
      <c r="AO277" s="3">
        <f>(AO148-AN148)*-1</f>
        <v>0</v>
      </c>
      <c r="AP277" s="3">
        <f>(AP148-AO148)*-1</f>
        <v>0</v>
      </c>
      <c r="AQ277" s="3">
        <f>SUM(AM277:AP277)</f>
        <v>0</v>
      </c>
      <c r="AR277" s="3">
        <f>(AR148-AQ148)*-1</f>
        <v>0</v>
      </c>
      <c r="AS277" s="3">
        <f>(AS148-AR148)*-1</f>
        <v>0</v>
      </c>
      <c r="AT277" s="3">
        <f>(AT148-AS148)*-1</f>
        <v>0</v>
      </c>
      <c r="AU277" s="3">
        <f>(AU148-AT148)*-1</f>
        <v>0</v>
      </c>
      <c r="AV277" s="3">
        <f>SUM(AR277:AU277)</f>
        <v>0</v>
      </c>
      <c r="AW277" s="3">
        <f>(AW148-AV148)*-1</f>
        <v>0</v>
      </c>
      <c r="AX277" s="3">
        <f>(AX148-AW148)*-1</f>
        <v>0</v>
      </c>
      <c r="AY277" s="3">
        <f>(AY148-AX148)*-1</f>
        <v>0</v>
      </c>
      <c r="AZ277" s="3">
        <f>(AZ148-AY148)*-1</f>
        <v>0</v>
      </c>
      <c r="BA277" s="3">
        <f>SUM(AW277:AZ277)</f>
        <v>0</v>
      </c>
      <c r="BB277" s="3">
        <f>(BB148-BA148)*-1</f>
        <v>0</v>
      </c>
      <c r="BC277" s="3">
        <f>(BC148-BB148)*-1</f>
        <v>0</v>
      </c>
      <c r="BD277" s="3">
        <f>(BD148-BC148)*-1</f>
        <v>0</v>
      </c>
      <c r="BE277" s="3">
        <f>(BE148-BD148)*-1</f>
        <v>0</v>
      </c>
      <c r="BF277" s="3">
        <f>SUM(BB277:BE277)</f>
        <v>0</v>
      </c>
      <c r="BG277" s="3">
        <f>(BG148-BF148)*-1</f>
        <v>0</v>
      </c>
      <c r="BH277" s="3">
        <f>(BH148-BG148)*-1</f>
        <v>0</v>
      </c>
      <c r="BI277" s="3">
        <f>(BI148-BH148)*-1</f>
        <v>0</v>
      </c>
      <c r="BJ277" s="3">
        <f>(BJ148-BI148)*-1</f>
        <v>0</v>
      </c>
      <c r="BK277" s="3">
        <f>SUM(BG277:BJ277)</f>
        <v>0</v>
      </c>
      <c r="BL277" s="3">
        <f>(BL148-BK148)*-1</f>
        <v>0</v>
      </c>
      <c r="BM277" s="3">
        <f>(BM148-BL148)*-1</f>
        <v>0</v>
      </c>
      <c r="BN277" s="3">
        <f>(BN148-BM148)*-1</f>
        <v>0</v>
      </c>
      <c r="BO277" s="3">
        <f>(BO148-BN148)*-1</f>
        <v>0</v>
      </c>
      <c r="BP277" s="3">
        <f>SUM(BL277:BO277)</f>
        <v>0</v>
      </c>
      <c r="BQ277" s="3">
        <f>(BQ148-BP148)*-1</f>
        <v>0</v>
      </c>
      <c r="BR277" s="3">
        <f>(BR148-BQ148)*-1</f>
        <v>0</v>
      </c>
      <c r="BS277" s="3">
        <f>(BS148-BR148)*-1</f>
        <v>0</v>
      </c>
      <c r="BT277" s="3">
        <f>(BT148-BS148)*-1</f>
        <v>0</v>
      </c>
      <c r="BU277" s="3">
        <f>SUM(BQ277:BT277)</f>
        <v>0</v>
      </c>
      <c r="BV277" s="3">
        <f>(BV148-BU148)*-1</f>
        <v>0</v>
      </c>
      <c r="BW277" s="3">
        <f>(BW148-BV148)*-1</f>
        <v>0</v>
      </c>
      <c r="BX277" s="3">
        <f>(BX148-BW148)*-1</f>
        <v>0</v>
      </c>
      <c r="BY277" s="3">
        <f>(BY148-BX148)*-1</f>
        <v>0</v>
      </c>
      <c r="BZ277" s="3">
        <f>SUM(BV277:BY277)</f>
        <v>0</v>
      </c>
      <c r="CA277" s="3">
        <f>(CA148-BZ148)*-1</f>
        <v>0</v>
      </c>
      <c r="CB277" s="3">
        <f>(CB148-CA148)*-1</f>
        <v>0</v>
      </c>
      <c r="CC277" s="3">
        <f>(CC148-CB148)*-1</f>
        <v>0</v>
      </c>
      <c r="CD277" s="3">
        <f>(CD148-CC148)*-1</f>
        <v>0</v>
      </c>
      <c r="CE277" s="3">
        <f>SUM(CA277:CD277)</f>
        <v>0</v>
      </c>
      <c r="CF277" s="3">
        <f>(CF148-CE148)*-1</f>
        <v>0</v>
      </c>
      <c r="CG277" s="3">
        <f>(CG148-CF148)*-1</f>
        <v>0</v>
      </c>
      <c r="CH277" s="3">
        <f>(CH148-CG148)*-1</f>
        <v>0</v>
      </c>
      <c r="CI277" s="3">
        <f>(CI148-CH148)*-1</f>
        <v>0</v>
      </c>
      <c r="CJ277" s="3">
        <f>SUM(CF277:CI277)</f>
        <v>0</v>
      </c>
      <c r="CK277" s="3">
        <f>(CK148-CJ148)*-1</f>
        <v>0</v>
      </c>
      <c r="CL277" s="3">
        <f>(CL148-CK148)*-1</f>
        <v>0</v>
      </c>
      <c r="CM277" s="3">
        <f>(CM148-CL148)*-1</f>
        <v>0</v>
      </c>
      <c r="CN277" s="3">
        <f>(CN148-CM148)*-1</f>
        <v>0</v>
      </c>
      <c r="CO277" s="3">
        <f>SUM(CK277:CN277)</f>
        <v>0</v>
      </c>
      <c r="CP277" s="3">
        <f>(CP148-CO148)*-1</f>
        <v>0</v>
      </c>
      <c r="CQ277" s="3">
        <f>(CQ148-CP148)*-1</f>
        <v>0</v>
      </c>
      <c r="CR277" s="3">
        <f>(CR148-CQ148)*-1</f>
        <v>0</v>
      </c>
      <c r="CS277" s="3">
        <f>(CS148-CR148)*-1</f>
        <v>0</v>
      </c>
      <c r="CT277" s="3">
        <f>SUM(CP277:CS277)</f>
        <v>0</v>
      </c>
      <c r="CU277" s="3">
        <f>(CU148-CT148)*-1</f>
        <v>0</v>
      </c>
      <c r="CV277" s="3">
        <f>(CV148-CU148)*-1</f>
        <v>0</v>
      </c>
      <c r="CW277" s="3">
        <f>(CW148-CV148)*-1</f>
        <v>0</v>
      </c>
      <c r="CX277" s="3">
        <f>(CX148-CW148)*-1</f>
        <v>0</v>
      </c>
      <c r="CY277" s="3">
        <f>SUM(CU277:CX277)</f>
        <v>0</v>
      </c>
    </row>
    <row r="278" hidden="1" outlineLevel="1">
      <c r="C278" s="29" t="inlineStr">
        <is>
          <t>Prepaid expenses</t>
        </is>
      </c>
      <c r="D278" s="3" t="n"/>
      <c r="E278" s="3">
        <f>(E149-D149)*-1</f>
        <v>-342.6</v>
      </c>
      <c r="F278" s="3">
        <f>(F149-E149)*-1</f>
        <v>-104.9</v>
      </c>
      <c r="G278" s="3">
        <f>(G149-F149)*-1</f>
        <v>337.9</v>
      </c>
      <c r="H278" s="3">
        <f>SUM(D278:G278)</f>
        <v>-109.6</v>
      </c>
      <c r="I278" s="3">
        <f>(I149-H149)*-1</f>
        <v>-362.2</v>
      </c>
      <c r="J278" s="3">
        <f>(J149-I149)*-1</f>
        <v>-62.9000000000001</v>
      </c>
      <c r="K278" s="3">
        <f>(K149-J149)*-1</f>
        <v>246</v>
      </c>
      <c r="L278" s="3">
        <f>(L149-K149)*-1</f>
        <v>520</v>
      </c>
      <c r="M278" s="3">
        <f>SUM(I278:L278)</f>
        <v>340.9</v>
      </c>
      <c r="N278" s="3">
        <f>(N149-M149)*-1</f>
        <v>-167.1</v>
      </c>
      <c r="O278" s="3">
        <f>(O149-N149)*-1</f>
        <v>-109</v>
      </c>
      <c r="P278" s="3">
        <f>(P149-O149)*-1</f>
        <v>64.7999999999997</v>
      </c>
      <c r="Q278" s="3">
        <f>(Q149-P149)*-1</f>
        <v>2741.9</v>
      </c>
      <c r="R278" s="3">
        <f>SUM(N278:Q278)</f>
        <v>2530.6</v>
      </c>
      <c r="S278" s="3">
        <f>(S149-R149)*-1</f>
        <v>0</v>
      </c>
      <c r="T278" s="3">
        <f>(T149-S149)*-1</f>
        <v>0</v>
      </c>
      <c r="U278" s="3">
        <f>(U149-T149)*-1</f>
        <v>0</v>
      </c>
      <c r="V278" s="3">
        <f>(V149-U149)*-1</f>
        <v>-5540.8</v>
      </c>
      <c r="W278" s="3">
        <f>SUM(S278:V278)</f>
        <v>-5540.8</v>
      </c>
      <c r="X278" s="3">
        <f>(X149-W149)*-1</f>
        <v>-807.799999999999</v>
      </c>
      <c r="Y278" s="3">
        <f>(Y149-X149)*-1</f>
        <v>-789</v>
      </c>
      <c r="Z278" s="3">
        <f>(Z149-Y149)*-1</f>
        <v>-1113</v>
      </c>
      <c r="AA278" s="3">
        <f>(AA149-Z149)*-1</f>
        <v>-89.8999999999996</v>
      </c>
      <c r="AB278" s="3">
        <f>SUM(X278:AA278)</f>
        <v>-2799.7</v>
      </c>
      <c r="AC278" s="3">
        <f>(AC149-AB149)*-1</f>
        <v>-6313.4</v>
      </c>
      <c r="AD278" s="3">
        <f>(AD149-AC149)*-1</f>
        <v>-3365.9</v>
      </c>
      <c r="AE278" s="3">
        <f>(AE149-AD149)*-1</f>
        <v>-2228.9</v>
      </c>
      <c r="AF278" s="3">
        <f>(AF149-AE149)*-1</f>
        <v>5933.7</v>
      </c>
      <c r="AG278" s="3">
        <f>SUM(AC278:AF278)</f>
        <v>-5974.5</v>
      </c>
      <c r="AH278" s="3">
        <f>(AH149-AG149)*-1</f>
        <v>682</v>
      </c>
      <c r="AI278" s="3">
        <f>(AI149-AH149)*-1</f>
        <v>-1735</v>
      </c>
      <c r="AJ278" s="3">
        <f>(AJ149-AI149)*-1</f>
        <v>0</v>
      </c>
      <c r="AK278" s="3">
        <f>(AK149-AJ149)*-1</f>
        <v>0</v>
      </c>
      <c r="AL278" s="3">
        <f>SUM(AH278:AK278)</f>
        <v>-1053</v>
      </c>
      <c r="AM278" s="3">
        <f>(AM149-AL149)*-1</f>
        <v>0</v>
      </c>
      <c r="AN278" s="3">
        <f>(AN149-AM149)*-1</f>
        <v>0</v>
      </c>
      <c r="AO278" s="3">
        <f>(AO149-AN149)*-1</f>
        <v>0</v>
      </c>
      <c r="AP278" s="3">
        <f>(AP149-AO149)*-1</f>
        <v>0</v>
      </c>
      <c r="AQ278" s="3">
        <f>SUM(AM278:AP278)</f>
        <v>0</v>
      </c>
      <c r="AR278" s="3">
        <f>(AR149-AQ149)*-1</f>
        <v>0</v>
      </c>
      <c r="AS278" s="3">
        <f>(AS149-AR149)*-1</f>
        <v>0</v>
      </c>
      <c r="AT278" s="3">
        <f>(AT149-AS149)*-1</f>
        <v>0</v>
      </c>
      <c r="AU278" s="3">
        <f>(AU149-AT149)*-1</f>
        <v>0</v>
      </c>
      <c r="AV278" s="3">
        <f>SUM(AR278:AU278)</f>
        <v>0</v>
      </c>
      <c r="AW278" s="3">
        <f>(AW149-AV149)*-1</f>
        <v>0</v>
      </c>
      <c r="AX278" s="3">
        <f>(AX149-AW149)*-1</f>
        <v>0</v>
      </c>
      <c r="AY278" s="3">
        <f>(AY149-AX149)*-1</f>
        <v>0</v>
      </c>
      <c r="AZ278" s="3">
        <f>(AZ149-AY149)*-1</f>
        <v>0</v>
      </c>
      <c r="BA278" s="3">
        <f>SUM(AW278:AZ278)</f>
        <v>0</v>
      </c>
      <c r="BB278" s="3">
        <f>(BB149-BA149)*-1</f>
        <v>0</v>
      </c>
      <c r="BC278" s="3">
        <f>(BC149-BB149)*-1</f>
        <v>0</v>
      </c>
      <c r="BD278" s="3">
        <f>(BD149-BC149)*-1</f>
        <v>0</v>
      </c>
      <c r="BE278" s="3">
        <f>(BE149-BD149)*-1</f>
        <v>0</v>
      </c>
      <c r="BF278" s="3">
        <f>SUM(BB278:BE278)</f>
        <v>0</v>
      </c>
      <c r="BG278" s="3">
        <f>(BG149-BF149)*-1</f>
        <v>0</v>
      </c>
      <c r="BH278" s="3">
        <f>(BH149-BG149)*-1</f>
        <v>0</v>
      </c>
      <c r="BI278" s="3">
        <f>(BI149-BH149)*-1</f>
        <v>0</v>
      </c>
      <c r="BJ278" s="3">
        <f>(BJ149-BI149)*-1</f>
        <v>0</v>
      </c>
      <c r="BK278" s="3">
        <f>SUM(BG278:BJ278)</f>
        <v>0</v>
      </c>
      <c r="BL278" s="3">
        <f>(BL149-BK149)*-1</f>
        <v>0</v>
      </c>
      <c r="BM278" s="3">
        <f>(BM149-BL149)*-1</f>
        <v>0</v>
      </c>
      <c r="BN278" s="3">
        <f>(BN149-BM149)*-1</f>
        <v>0</v>
      </c>
      <c r="BO278" s="3">
        <f>(BO149-BN149)*-1</f>
        <v>0</v>
      </c>
      <c r="BP278" s="3">
        <f>SUM(BL278:BO278)</f>
        <v>0</v>
      </c>
      <c r="BQ278" s="3">
        <f>(BQ149-BP149)*-1</f>
        <v>0</v>
      </c>
      <c r="BR278" s="3">
        <f>(BR149-BQ149)*-1</f>
        <v>0</v>
      </c>
      <c r="BS278" s="3">
        <f>(BS149-BR149)*-1</f>
        <v>0</v>
      </c>
      <c r="BT278" s="3">
        <f>(BT149-BS149)*-1</f>
        <v>0</v>
      </c>
      <c r="BU278" s="3">
        <f>SUM(BQ278:BT278)</f>
        <v>0</v>
      </c>
      <c r="BV278" s="3">
        <f>(BV149-BU149)*-1</f>
        <v>0</v>
      </c>
      <c r="BW278" s="3">
        <f>(BW149-BV149)*-1</f>
        <v>0</v>
      </c>
      <c r="BX278" s="3">
        <f>(BX149-BW149)*-1</f>
        <v>0</v>
      </c>
      <c r="BY278" s="3">
        <f>(BY149-BX149)*-1</f>
        <v>0</v>
      </c>
      <c r="BZ278" s="3">
        <f>SUM(BV278:BY278)</f>
        <v>0</v>
      </c>
      <c r="CA278" s="3">
        <f>(CA149-BZ149)*-1</f>
        <v>0</v>
      </c>
      <c r="CB278" s="3">
        <f>(CB149-CA149)*-1</f>
        <v>0</v>
      </c>
      <c r="CC278" s="3">
        <f>(CC149-CB149)*-1</f>
        <v>0</v>
      </c>
      <c r="CD278" s="3">
        <f>(CD149-CC149)*-1</f>
        <v>0</v>
      </c>
      <c r="CE278" s="3">
        <f>SUM(CA278:CD278)</f>
        <v>0</v>
      </c>
      <c r="CF278" s="3">
        <f>(CF149-CE149)*-1</f>
        <v>0</v>
      </c>
      <c r="CG278" s="3">
        <f>(CG149-CF149)*-1</f>
        <v>0</v>
      </c>
      <c r="CH278" s="3">
        <f>(CH149-CG149)*-1</f>
        <v>0</v>
      </c>
      <c r="CI278" s="3">
        <f>(CI149-CH149)*-1</f>
        <v>0</v>
      </c>
      <c r="CJ278" s="3">
        <f>SUM(CF278:CI278)</f>
        <v>0</v>
      </c>
      <c r="CK278" s="3">
        <f>(CK149-CJ149)*-1</f>
        <v>0</v>
      </c>
      <c r="CL278" s="3">
        <f>(CL149-CK149)*-1</f>
        <v>0</v>
      </c>
      <c r="CM278" s="3">
        <f>(CM149-CL149)*-1</f>
        <v>0</v>
      </c>
      <c r="CN278" s="3">
        <f>(CN149-CM149)*-1</f>
        <v>0</v>
      </c>
      <c r="CO278" s="3">
        <f>SUM(CK278:CN278)</f>
        <v>0</v>
      </c>
      <c r="CP278" s="3">
        <f>(CP149-CO149)*-1</f>
        <v>0</v>
      </c>
      <c r="CQ278" s="3">
        <f>(CQ149-CP149)*-1</f>
        <v>0</v>
      </c>
      <c r="CR278" s="3">
        <f>(CR149-CQ149)*-1</f>
        <v>0</v>
      </c>
      <c r="CS278" s="3">
        <f>(CS149-CR149)*-1</f>
        <v>0</v>
      </c>
      <c r="CT278" s="3">
        <f>SUM(CP278:CS278)</f>
        <v>0</v>
      </c>
      <c r="CU278" s="3">
        <f>(CU149-CT149)*-1</f>
        <v>0</v>
      </c>
      <c r="CV278" s="3">
        <f>(CV149-CU149)*-1</f>
        <v>0</v>
      </c>
      <c r="CW278" s="3">
        <f>(CW149-CV149)*-1</f>
        <v>0</v>
      </c>
      <c r="CX278" s="3">
        <f>(CX149-CW149)*-1</f>
        <v>0</v>
      </c>
      <c r="CY278" s="3">
        <f>SUM(CU278:CX278)</f>
        <v>0</v>
      </c>
    </row>
    <row r="279" hidden="1" outlineLevel="1">
      <c r="C279" s="29" t="inlineStr">
        <is>
          <t>Other current assets</t>
        </is>
      </c>
      <c r="D279" s="3" t="n"/>
      <c r="E279" s="3">
        <f>(E150-D150)*-1</f>
        <v>299.7</v>
      </c>
      <c r="F279" s="3">
        <f>(F150-E150)*-1</f>
        <v>-11.4</v>
      </c>
      <c r="G279" s="3">
        <f>(G150-F150)*-1</f>
        <v>-95.6000000000001</v>
      </c>
      <c r="H279" s="3">
        <f>SUM(D279:G279)</f>
        <v>192.7</v>
      </c>
      <c r="I279" s="3">
        <f>(I150-H150)*-1</f>
        <v>-12.0999999999999</v>
      </c>
      <c r="J279" s="3">
        <f>(J150-I150)*-1</f>
        <v>-7.59999999999991</v>
      </c>
      <c r="K279" s="3">
        <f>(K150-J150)*-1</f>
        <v>-37.3000000000002</v>
      </c>
      <c r="L279" s="3">
        <f>(L150-K150)*-1</f>
        <v>-343.7</v>
      </c>
      <c r="M279" s="3">
        <f>SUM(I279:L279)</f>
        <v>-400.7</v>
      </c>
      <c r="N279" s="3">
        <f>(N150-M150)*-1</f>
        <v>-28.8000000000002</v>
      </c>
      <c r="O279" s="3">
        <f>(O150-N150)*-1</f>
        <v>175.3</v>
      </c>
      <c r="P279" s="3">
        <f>(P150-O150)*-1</f>
        <v>-301.6</v>
      </c>
      <c r="Q279" s="3">
        <f>(Q150-P150)*-1</f>
        <v>-3007.5</v>
      </c>
      <c r="R279" s="3">
        <f>SUM(N279:Q279)</f>
        <v>-3162.6</v>
      </c>
      <c r="S279" s="3">
        <f>(S150-R150)*-1</f>
        <v>-454.099999999999</v>
      </c>
      <c r="T279" s="3">
        <f>(T150-S150)*-1</f>
        <v>-1116.6</v>
      </c>
      <c r="U279" s="3">
        <f>(U150-T150)*-1</f>
        <v>-1256.9</v>
      </c>
      <c r="V279" s="3">
        <f>(V150-U150)*-1</f>
        <v>5049.4</v>
      </c>
      <c r="W279" s="3">
        <f>SUM(S279:V279)</f>
        <v>2221.8</v>
      </c>
      <c r="X279" s="3">
        <f>(X150-W150)*-1</f>
        <v>128.7</v>
      </c>
      <c r="Y279" s="3">
        <f>(Y150-X150)*-1</f>
        <v>73.2000000000003</v>
      </c>
      <c r="Z279" s="3">
        <f>(Z150-Y150)*-1</f>
        <v>301.8</v>
      </c>
      <c r="AA279" s="3">
        <f>(AA150-Z150)*-1</f>
        <v>-489.6</v>
      </c>
      <c r="AB279" s="3">
        <f>SUM(X279:AA279)</f>
        <v>14.0999999999999</v>
      </c>
      <c r="AC279" s="3">
        <f>(AC150-AB150)*-1</f>
        <v>342.1</v>
      </c>
      <c r="AD279" s="3">
        <f>(AD150-AC150)*-1</f>
        <v>-1065</v>
      </c>
      <c r="AE279" s="3">
        <f>(AE150-AD150)*-1</f>
        <v>-517.3</v>
      </c>
      <c r="AF279" s="3">
        <f>(AF150-AE150)*-1</f>
        <v>1079.3</v>
      </c>
      <c r="AG279" s="3">
        <f>SUM(AC279:AF279)</f>
        <v>-160.9</v>
      </c>
      <c r="AH279" s="3">
        <f>(AH150-AG150)*-1</f>
        <v>-420</v>
      </c>
      <c r="AI279" s="3">
        <f>(AI150-AH150)*-1</f>
        <v>-516</v>
      </c>
      <c r="AJ279" s="3">
        <f>(AJ150-AI150)*-1</f>
        <v>0</v>
      </c>
      <c r="AK279" s="3">
        <f>(AK150-AJ150)*-1</f>
        <v>0</v>
      </c>
      <c r="AL279" s="3">
        <f>SUM(AH279:AK279)</f>
        <v>-936</v>
      </c>
      <c r="AM279" s="3">
        <f>(AM150-AL150)*-1</f>
        <v>0</v>
      </c>
      <c r="AN279" s="3">
        <f>(AN150-AM150)*-1</f>
        <v>0</v>
      </c>
      <c r="AO279" s="3">
        <f>(AO150-AN150)*-1</f>
        <v>0</v>
      </c>
      <c r="AP279" s="3">
        <f>(AP150-AO150)*-1</f>
        <v>0</v>
      </c>
      <c r="AQ279" s="3">
        <f>SUM(AM279:AP279)</f>
        <v>0</v>
      </c>
      <c r="AR279" s="3">
        <f>(AR150-AQ150)*-1</f>
        <v>0</v>
      </c>
      <c r="AS279" s="3">
        <f>(AS150-AR150)*-1</f>
        <v>0</v>
      </c>
      <c r="AT279" s="3">
        <f>(AT150-AS150)*-1</f>
        <v>0</v>
      </c>
      <c r="AU279" s="3">
        <f>(AU150-AT150)*-1</f>
        <v>0</v>
      </c>
      <c r="AV279" s="3">
        <f>SUM(AR279:AU279)</f>
        <v>0</v>
      </c>
      <c r="AW279" s="3">
        <f>(AW150-AV150)*-1</f>
        <v>0</v>
      </c>
      <c r="AX279" s="3">
        <f>(AX150-AW150)*-1</f>
        <v>0</v>
      </c>
      <c r="AY279" s="3">
        <f>(AY150-AX150)*-1</f>
        <v>0</v>
      </c>
      <c r="AZ279" s="3">
        <f>(AZ150-AY150)*-1</f>
        <v>0</v>
      </c>
      <c r="BA279" s="3">
        <f>SUM(AW279:AZ279)</f>
        <v>0</v>
      </c>
      <c r="BB279" s="3">
        <f>(BB150-BA150)*-1</f>
        <v>0</v>
      </c>
      <c r="BC279" s="3">
        <f>(BC150-BB150)*-1</f>
        <v>0</v>
      </c>
      <c r="BD279" s="3">
        <f>(BD150-BC150)*-1</f>
        <v>0</v>
      </c>
      <c r="BE279" s="3">
        <f>(BE150-BD150)*-1</f>
        <v>0</v>
      </c>
      <c r="BF279" s="3">
        <f>SUM(BB279:BE279)</f>
        <v>0</v>
      </c>
      <c r="BG279" s="3">
        <f>(BG150-BF150)*-1</f>
        <v>0</v>
      </c>
      <c r="BH279" s="3">
        <f>(BH150-BG150)*-1</f>
        <v>0</v>
      </c>
      <c r="BI279" s="3">
        <f>(BI150-BH150)*-1</f>
        <v>0</v>
      </c>
      <c r="BJ279" s="3">
        <f>(BJ150-BI150)*-1</f>
        <v>0</v>
      </c>
      <c r="BK279" s="3">
        <f>SUM(BG279:BJ279)</f>
        <v>0</v>
      </c>
      <c r="BL279" s="3">
        <f>(BL150-BK150)*-1</f>
        <v>0</v>
      </c>
      <c r="BM279" s="3">
        <f>(BM150-BL150)*-1</f>
        <v>0</v>
      </c>
      <c r="BN279" s="3">
        <f>(BN150-BM150)*-1</f>
        <v>0</v>
      </c>
      <c r="BO279" s="3">
        <f>(BO150-BN150)*-1</f>
        <v>0</v>
      </c>
      <c r="BP279" s="3">
        <f>SUM(BL279:BO279)</f>
        <v>0</v>
      </c>
      <c r="BQ279" s="3">
        <f>(BQ150-BP150)*-1</f>
        <v>0</v>
      </c>
      <c r="BR279" s="3">
        <f>(BR150-BQ150)*-1</f>
        <v>0</v>
      </c>
      <c r="BS279" s="3">
        <f>(BS150-BR150)*-1</f>
        <v>0</v>
      </c>
      <c r="BT279" s="3">
        <f>(BT150-BS150)*-1</f>
        <v>0</v>
      </c>
      <c r="BU279" s="3">
        <f>SUM(BQ279:BT279)</f>
        <v>0</v>
      </c>
      <c r="BV279" s="3">
        <f>(BV150-BU150)*-1</f>
        <v>0</v>
      </c>
      <c r="BW279" s="3">
        <f>(BW150-BV150)*-1</f>
        <v>0</v>
      </c>
      <c r="BX279" s="3">
        <f>(BX150-BW150)*-1</f>
        <v>0</v>
      </c>
      <c r="BY279" s="3">
        <f>(BY150-BX150)*-1</f>
        <v>0</v>
      </c>
      <c r="BZ279" s="3">
        <f>SUM(BV279:BY279)</f>
        <v>0</v>
      </c>
      <c r="CA279" s="3">
        <f>(CA150-BZ150)*-1</f>
        <v>0</v>
      </c>
      <c r="CB279" s="3">
        <f>(CB150-CA150)*-1</f>
        <v>0</v>
      </c>
      <c r="CC279" s="3">
        <f>(CC150-CB150)*-1</f>
        <v>0</v>
      </c>
      <c r="CD279" s="3">
        <f>(CD150-CC150)*-1</f>
        <v>0</v>
      </c>
      <c r="CE279" s="3">
        <f>SUM(CA279:CD279)</f>
        <v>0</v>
      </c>
      <c r="CF279" s="3">
        <f>(CF150-CE150)*-1</f>
        <v>0</v>
      </c>
      <c r="CG279" s="3">
        <f>(CG150-CF150)*-1</f>
        <v>0</v>
      </c>
      <c r="CH279" s="3">
        <f>(CH150-CG150)*-1</f>
        <v>0</v>
      </c>
      <c r="CI279" s="3">
        <f>(CI150-CH150)*-1</f>
        <v>0</v>
      </c>
      <c r="CJ279" s="3">
        <f>SUM(CF279:CI279)</f>
        <v>0</v>
      </c>
      <c r="CK279" s="3">
        <f>(CK150-CJ150)*-1</f>
        <v>0</v>
      </c>
      <c r="CL279" s="3">
        <f>(CL150-CK150)*-1</f>
        <v>0</v>
      </c>
      <c r="CM279" s="3">
        <f>(CM150-CL150)*-1</f>
        <v>0</v>
      </c>
      <c r="CN279" s="3">
        <f>(CN150-CM150)*-1</f>
        <v>0</v>
      </c>
      <c r="CO279" s="3">
        <f>SUM(CK279:CN279)</f>
        <v>0</v>
      </c>
      <c r="CP279" s="3">
        <f>(CP150-CO150)*-1</f>
        <v>0</v>
      </c>
      <c r="CQ279" s="3">
        <f>(CQ150-CP150)*-1</f>
        <v>0</v>
      </c>
      <c r="CR279" s="3">
        <f>(CR150-CQ150)*-1</f>
        <v>0</v>
      </c>
      <c r="CS279" s="3">
        <f>(CS150-CR150)*-1</f>
        <v>0</v>
      </c>
      <c r="CT279" s="3">
        <f>SUM(CP279:CS279)</f>
        <v>0</v>
      </c>
      <c r="CU279" s="3">
        <f>(CU150-CT150)*-1</f>
        <v>0</v>
      </c>
      <c r="CV279" s="3">
        <f>(CV150-CU150)*-1</f>
        <v>0</v>
      </c>
      <c r="CW279" s="3">
        <f>(CW150-CV150)*-1</f>
        <v>0</v>
      </c>
      <c r="CX279" s="3">
        <f>(CX150-CW150)*-1</f>
        <v>0</v>
      </c>
      <c r="CY279" s="3">
        <f>SUM(CU279:CX279)</f>
        <v>0</v>
      </c>
    </row>
    <row r="280" hidden="1" outlineLevel="1">
      <c r="C280" s="29" t="inlineStr">
        <is>
          <t>Accounts payable</t>
        </is>
      </c>
      <c r="D280" s="3" t="n"/>
      <c r="E280" s="3">
        <f>E193-D193</f>
        <v>39.5</v>
      </c>
      <c r="F280" s="3">
        <f>F193-E193</f>
        <v>182.9</v>
      </c>
      <c r="G280" s="3">
        <f>G193-F193</f>
        <v>176.6</v>
      </c>
      <c r="H280" s="3">
        <f>SUM(D280:G280)</f>
        <v>399</v>
      </c>
      <c r="I280" s="3">
        <f>I193-H193</f>
        <v>32.9000000000001</v>
      </c>
      <c r="J280" s="3">
        <f>J193-I193</f>
        <v>-41.8</v>
      </c>
      <c r="K280" s="3">
        <f>K193-J193</f>
        <v>-31</v>
      </c>
      <c r="L280" s="3">
        <f>L193-K193</f>
        <v>103.8</v>
      </c>
      <c r="M280" s="3">
        <f>SUM(I280:L280)</f>
        <v>63.9000000000001</v>
      </c>
      <c r="N280" s="3">
        <f>N193-M193</f>
        <v>-237.3</v>
      </c>
      <c r="O280" s="3">
        <f>O193-N193</f>
        <v>226</v>
      </c>
      <c r="P280" s="3">
        <f>P193-O193</f>
        <v>23.8999999999999</v>
      </c>
      <c r="Q280" s="3">
        <f>Q193-P193</f>
        <v>247.4</v>
      </c>
      <c r="R280" s="3">
        <f>SUM(N280:Q280)</f>
        <v>260</v>
      </c>
      <c r="S280" s="3">
        <f>S193-R193</f>
        <v>85.3</v>
      </c>
      <c r="T280" s="3">
        <f>T193-S193</f>
        <v>458.3</v>
      </c>
      <c r="U280" s="3">
        <f>U193-T193</f>
        <v>-39.0999999999999</v>
      </c>
      <c r="V280" s="3">
        <f>V193-U193</f>
        <v>163.7</v>
      </c>
      <c r="W280" s="3">
        <f>SUM(S280:V280)</f>
        <v>668.2</v>
      </c>
      <c r="X280" s="3">
        <f>X193-W193</f>
        <v>-125.1</v>
      </c>
      <c r="Y280" s="3">
        <f>Y193-X193</f>
        <v>451.1</v>
      </c>
      <c r="Z280" s="3">
        <f>Z193-Y193</f>
        <v>-38.2999999999997</v>
      </c>
      <c r="AA280" s="3">
        <f>AA193-Z193</f>
        <v>342.1</v>
      </c>
      <c r="AB280" s="3">
        <f>SUM(X280:AA280)</f>
        <v>629.8</v>
      </c>
      <c r="AC280" s="3">
        <f>AC193-AB193</f>
        <v>213.4</v>
      </c>
      <c r="AD280" s="3">
        <f>AD193-AC193</f>
        <v>633.7</v>
      </c>
      <c r="AE280" s="3">
        <f>AE193-AD193</f>
        <v>186.5</v>
      </c>
      <c r="AF280" s="3">
        <f>AF193-AE193</f>
        <v>1116.8</v>
      </c>
      <c r="AG280" s="3">
        <f>SUM(AC280:AF280)</f>
        <v>2150.4</v>
      </c>
      <c r="AH280" s="3">
        <f>AH193-AG193</f>
        <v>-350</v>
      </c>
      <c r="AI280" s="3">
        <f>AI193-AH193</f>
        <v>1083</v>
      </c>
      <c r="AJ280" s="3">
        <f>AJ193-AI193</f>
        <v>-6112</v>
      </c>
      <c r="AK280" s="3">
        <f>AK193-AJ193</f>
        <v>0</v>
      </c>
      <c r="AL280" s="3">
        <f>SUM(AH280:AK280)</f>
        <v>-5379</v>
      </c>
      <c r="AM280" s="3">
        <f>AM193-AL193</f>
        <v>0</v>
      </c>
      <c r="AN280" s="3">
        <f>AN193-AM193</f>
        <v>0</v>
      </c>
      <c r="AO280" s="3">
        <f>AO193-AN193</f>
        <v>0</v>
      </c>
      <c r="AP280" s="3">
        <f>AP193-AO193</f>
        <v>0</v>
      </c>
      <c r="AQ280" s="3">
        <f>SUM(AM280:AP280)</f>
        <v>0</v>
      </c>
      <c r="AR280" s="3">
        <f>AR193-AQ193</f>
        <v>0</v>
      </c>
      <c r="AS280" s="3">
        <f>AS193-AR193</f>
        <v>0</v>
      </c>
      <c r="AT280" s="3">
        <f>AT193-AS193</f>
        <v>0</v>
      </c>
      <c r="AU280" s="3">
        <f>AU193-AT193</f>
        <v>0</v>
      </c>
      <c r="AV280" s="3">
        <f>SUM(AR280:AU280)</f>
        <v>0</v>
      </c>
      <c r="AW280" s="3">
        <f>AW193-AV193</f>
        <v>0</v>
      </c>
      <c r="AX280" s="3">
        <f>AX193-AW193</f>
        <v>0</v>
      </c>
      <c r="AY280" s="3">
        <f>AY193-AX193</f>
        <v>0</v>
      </c>
      <c r="AZ280" s="3">
        <f>AZ193-AY193</f>
        <v>0</v>
      </c>
      <c r="BA280" s="3">
        <f>SUM(AW280:AZ280)</f>
        <v>0</v>
      </c>
      <c r="BB280" s="3">
        <f>BB193-BA193</f>
        <v>0</v>
      </c>
      <c r="BC280" s="3">
        <f>BC193-BB193</f>
        <v>0</v>
      </c>
      <c r="BD280" s="3">
        <f>BD193-BC193</f>
        <v>0</v>
      </c>
      <c r="BE280" s="3">
        <f>BE193-BD193</f>
        <v>0</v>
      </c>
      <c r="BF280" s="3">
        <f>SUM(BB280:BE280)</f>
        <v>0</v>
      </c>
      <c r="BG280" s="3">
        <f>BG193-BF193</f>
        <v>0</v>
      </c>
      <c r="BH280" s="3">
        <f>BH193-BG193</f>
        <v>0</v>
      </c>
      <c r="BI280" s="3">
        <f>BI193-BH193</f>
        <v>0</v>
      </c>
      <c r="BJ280" s="3">
        <f>BJ193-BI193</f>
        <v>0</v>
      </c>
      <c r="BK280" s="3">
        <f>SUM(BG280:BJ280)</f>
        <v>0</v>
      </c>
      <c r="BL280" s="3">
        <f>BL193-BK193</f>
        <v>0</v>
      </c>
      <c r="BM280" s="3">
        <f>BM193-BL193</f>
        <v>0</v>
      </c>
      <c r="BN280" s="3">
        <f>BN193-BM193</f>
        <v>0</v>
      </c>
      <c r="BO280" s="3">
        <f>BO193-BN193</f>
        <v>0</v>
      </c>
      <c r="BP280" s="3">
        <f>SUM(BL280:BO280)</f>
        <v>0</v>
      </c>
      <c r="BQ280" s="3">
        <f>BQ193-BP193</f>
        <v>0</v>
      </c>
      <c r="BR280" s="3">
        <f>BR193-BQ193</f>
        <v>0</v>
      </c>
      <c r="BS280" s="3">
        <f>BS193-BR193</f>
        <v>0</v>
      </c>
      <c r="BT280" s="3">
        <f>BT193-BS193</f>
        <v>0</v>
      </c>
      <c r="BU280" s="3">
        <f>SUM(BQ280:BT280)</f>
        <v>0</v>
      </c>
      <c r="BV280" s="3">
        <f>BV193-BU193</f>
        <v>0</v>
      </c>
      <c r="BW280" s="3">
        <f>BW193-BV193</f>
        <v>0</v>
      </c>
      <c r="BX280" s="3">
        <f>BX193-BW193</f>
        <v>0</v>
      </c>
      <c r="BY280" s="3">
        <f>BY193-BX193</f>
        <v>0</v>
      </c>
      <c r="BZ280" s="3">
        <f>SUM(BV280:BY280)</f>
        <v>0</v>
      </c>
      <c r="CA280" s="3">
        <f>CA193-BZ193</f>
        <v>0</v>
      </c>
      <c r="CB280" s="3">
        <f>CB193-CA193</f>
        <v>0</v>
      </c>
      <c r="CC280" s="3">
        <f>CC193-CB193</f>
        <v>0</v>
      </c>
      <c r="CD280" s="3">
        <f>CD193-CC193</f>
        <v>0</v>
      </c>
      <c r="CE280" s="3">
        <f>SUM(CA280:CD280)</f>
        <v>0</v>
      </c>
      <c r="CF280" s="3">
        <f>CF193-CE193</f>
        <v>0</v>
      </c>
      <c r="CG280" s="3">
        <f>CG193-CF193</f>
        <v>0</v>
      </c>
      <c r="CH280" s="3">
        <f>CH193-CG193</f>
        <v>0</v>
      </c>
      <c r="CI280" s="3">
        <f>CI193-CH193</f>
        <v>0</v>
      </c>
      <c r="CJ280" s="3">
        <f>SUM(CF280:CI280)</f>
        <v>0</v>
      </c>
      <c r="CK280" s="3">
        <f>CK193-CJ193</f>
        <v>0</v>
      </c>
      <c r="CL280" s="3">
        <f>CL193-CK193</f>
        <v>0</v>
      </c>
      <c r="CM280" s="3">
        <f>CM193-CL193</f>
        <v>0</v>
      </c>
      <c r="CN280" s="3">
        <f>CN193-CM193</f>
        <v>0</v>
      </c>
      <c r="CO280" s="3">
        <f>SUM(CK280:CN280)</f>
        <v>0</v>
      </c>
      <c r="CP280" s="3">
        <f>CP193-CO193</f>
        <v>0</v>
      </c>
      <c r="CQ280" s="3">
        <f>CQ193-CP193</f>
        <v>0</v>
      </c>
      <c r="CR280" s="3">
        <f>CR193-CQ193</f>
        <v>0</v>
      </c>
      <c r="CS280" s="3">
        <f>CS193-CR193</f>
        <v>0</v>
      </c>
      <c r="CT280" s="3">
        <f>SUM(CP280:CS280)</f>
        <v>0</v>
      </c>
      <c r="CU280" s="3">
        <f>CU193-CT193</f>
        <v>0</v>
      </c>
      <c r="CV280" s="3">
        <f>CV193-CU193</f>
        <v>0</v>
      </c>
      <c r="CW280" s="3">
        <f>CW193-CV193</f>
        <v>0</v>
      </c>
      <c r="CX280" s="3">
        <f>CX193-CW193</f>
        <v>0</v>
      </c>
      <c r="CY280" s="3">
        <f>SUM(CU280:CX280)</f>
        <v>0</v>
      </c>
    </row>
    <row r="281" hidden="1" outlineLevel="1">
      <c r="C281" s="29" t="inlineStr">
        <is>
          <t>Accrued expenses</t>
        </is>
      </c>
      <c r="D281" s="3" t="n"/>
      <c r="E281" s="3">
        <f>E197-D197</f>
        <v>107.8</v>
      </c>
      <c r="F281" s="3">
        <f>F197-E197</f>
        <v>122</v>
      </c>
      <c r="G281" s="3">
        <f>G197-F197</f>
        <v>201.6</v>
      </c>
      <c r="H281" s="3">
        <f>SUM(D281:G281)</f>
        <v>431.4</v>
      </c>
      <c r="I281" s="3">
        <f>I197-H197</f>
        <v>-347.3</v>
      </c>
      <c r="J281" s="3">
        <f>J197-I197</f>
        <v>105.6</v>
      </c>
      <c r="K281" s="3">
        <f>K197-J197</f>
        <v>81.0999999999999</v>
      </c>
      <c r="L281" s="3">
        <f>L197-K197</f>
        <v>121.5</v>
      </c>
      <c r="M281" s="3">
        <f>SUM(I281:L281)</f>
        <v>-39.1</v>
      </c>
      <c r="N281" s="3">
        <f>N197-M197</f>
        <v>-265</v>
      </c>
      <c r="O281" s="3">
        <f>O197-N197</f>
        <v>142.7</v>
      </c>
      <c r="P281" s="3">
        <f>P197-O197</f>
        <v>148.3</v>
      </c>
      <c r="Q281" s="3">
        <f>Q197-P197</f>
        <v>75.7000000000001</v>
      </c>
      <c r="R281" s="3">
        <f>SUM(N281:Q281)</f>
        <v>101.7</v>
      </c>
      <c r="S281" s="3">
        <f>S197-R197</f>
        <v>-320.1</v>
      </c>
      <c r="T281" s="3">
        <f>T197-S197</f>
        <v>128</v>
      </c>
      <c r="U281" s="3">
        <f>U197-T197</f>
        <v>365.5</v>
      </c>
      <c r="V281" s="3">
        <f>V197-U197</f>
        <v>417.2</v>
      </c>
      <c r="W281" s="3">
        <f>SUM(S281:V281)</f>
        <v>590.6</v>
      </c>
      <c r="X281" s="3">
        <f>X197-W197</f>
        <v>-806.2</v>
      </c>
      <c r="Y281" s="3">
        <f>Y197-X197</f>
        <v>324.1</v>
      </c>
      <c r="Z281" s="3">
        <f>Z197-Y197</f>
        <v>535</v>
      </c>
      <c r="AA281" s="3">
        <f>AA197-Z197</f>
        <v>390.6</v>
      </c>
      <c r="AB281" s="3">
        <f>SUM(X281:AA281)</f>
        <v>443.5</v>
      </c>
      <c r="AC281" s="3">
        <f>AC197-AB197</f>
        <v>-980</v>
      </c>
      <c r="AD281" s="3">
        <f>AD197-AC197</f>
        <v>189.1</v>
      </c>
      <c r="AE281" s="3">
        <f>AE197-AD197</f>
        <v>662.7</v>
      </c>
      <c r="AF281" s="3">
        <f>AF197-AE197</f>
        <v>409.3</v>
      </c>
      <c r="AG281" s="3">
        <f>SUM(AC281:AF281)</f>
        <v>281.1</v>
      </c>
      <c r="AH281" s="3">
        <f>AH197-AG197</f>
        <v>-1016</v>
      </c>
      <c r="AI281" s="3">
        <f>AI197-AH197</f>
        <v>439</v>
      </c>
      <c r="AJ281" s="3">
        <f>AJ197-AI197</f>
        <v>-1798</v>
      </c>
      <c r="AK281" s="3">
        <f>AK197-AJ197</f>
        <v>0</v>
      </c>
      <c r="AL281" s="3">
        <f>SUM(AH281:AK281)</f>
        <v>-2375</v>
      </c>
      <c r="AM281" s="3" t="e">
        <f>AM197-AL197</f>
        <v>#DIV/0!</v>
      </c>
      <c r="AN281" s="3" t="e">
        <f>AN197-AM197</f>
        <v>#DIV/0!</v>
      </c>
      <c r="AO281" s="3" t="e">
        <f>AO197-AN197</f>
        <v>#DIV/0!</v>
      </c>
      <c r="AP281" s="3" t="e">
        <f>AP197-AO197</f>
        <v>#DIV/0!</v>
      </c>
      <c r="AQ281" s="3" t="e">
        <f>SUM(AM281:AP281)</f>
        <v>#DIV/0!</v>
      </c>
      <c r="AR281" s="3" t="e">
        <f>AR197-AQ197</f>
        <v>#DIV/0!</v>
      </c>
      <c r="AS281" s="3" t="e">
        <f>AS197-AR197</f>
        <v>#DIV/0!</v>
      </c>
      <c r="AT281" s="3" t="e">
        <f>AT197-AS197</f>
        <v>#DIV/0!</v>
      </c>
      <c r="AU281" s="3" t="e">
        <f>AU197-AT197</f>
        <v>#DIV/0!</v>
      </c>
      <c r="AV281" s="3" t="e">
        <f>SUM(AR281:AU281)</f>
        <v>#DIV/0!</v>
      </c>
      <c r="AW281" s="3" t="e">
        <f>AW197-AV197</f>
        <v>#DIV/0!</v>
      </c>
      <c r="AX281" s="3" t="e">
        <f>AX197-AW197</f>
        <v>#DIV/0!</v>
      </c>
      <c r="AY281" s="3" t="e">
        <f>AY197-AX197</f>
        <v>#DIV/0!</v>
      </c>
      <c r="AZ281" s="3" t="e">
        <f>AZ197-AY197</f>
        <v>#DIV/0!</v>
      </c>
      <c r="BA281" s="3" t="e">
        <f>SUM(AW281:AZ281)</f>
        <v>#DIV/0!</v>
      </c>
      <c r="BB281" s="3" t="e">
        <f>BB197-BA197</f>
        <v>#DIV/0!</v>
      </c>
      <c r="BC281" s="3" t="e">
        <f>BC197-BB197</f>
        <v>#DIV/0!</v>
      </c>
      <c r="BD281" s="3" t="e">
        <f>BD197-BC197</f>
        <v>#DIV/0!</v>
      </c>
      <c r="BE281" s="3" t="e">
        <f>BE197-BD197</f>
        <v>#DIV/0!</v>
      </c>
      <c r="BF281" s="3" t="e">
        <f>SUM(BB281:BE281)</f>
        <v>#DIV/0!</v>
      </c>
      <c r="BG281" s="3" t="e">
        <f>BG197-BF197</f>
        <v>#DIV/0!</v>
      </c>
      <c r="BH281" s="3" t="e">
        <f>BH197-BG197</f>
        <v>#DIV/0!</v>
      </c>
      <c r="BI281" s="3" t="e">
        <f>BI197-BH197</f>
        <v>#DIV/0!</v>
      </c>
      <c r="BJ281" s="3" t="e">
        <f>BJ197-BI197</f>
        <v>#DIV/0!</v>
      </c>
      <c r="BK281" s="3" t="e">
        <f>SUM(BG281:BJ281)</f>
        <v>#DIV/0!</v>
      </c>
      <c r="BL281" s="3" t="e">
        <f>BL197-BK197</f>
        <v>#DIV/0!</v>
      </c>
      <c r="BM281" s="3" t="e">
        <f>BM197-BL197</f>
        <v>#DIV/0!</v>
      </c>
      <c r="BN281" s="3" t="e">
        <f>BN197-BM197</f>
        <v>#DIV/0!</v>
      </c>
      <c r="BO281" s="3" t="e">
        <f>BO197-BN197</f>
        <v>#DIV/0!</v>
      </c>
      <c r="BP281" s="3" t="e">
        <f>SUM(BL281:BO281)</f>
        <v>#DIV/0!</v>
      </c>
      <c r="BQ281" s="3" t="e">
        <f>BQ197-BP197</f>
        <v>#DIV/0!</v>
      </c>
      <c r="BR281" s="3" t="e">
        <f>BR197-BQ197</f>
        <v>#DIV/0!</v>
      </c>
      <c r="BS281" s="3" t="e">
        <f>BS197-BR197</f>
        <v>#DIV/0!</v>
      </c>
      <c r="BT281" s="3" t="e">
        <f>BT197-BS197</f>
        <v>#DIV/0!</v>
      </c>
      <c r="BU281" s="3" t="e">
        <f>SUM(BQ281:BT281)</f>
        <v>#DIV/0!</v>
      </c>
      <c r="BV281" s="3" t="e">
        <f>BV197-BU197</f>
        <v>#DIV/0!</v>
      </c>
      <c r="BW281" s="3" t="e">
        <f>BW197-BV197</f>
        <v>#DIV/0!</v>
      </c>
      <c r="BX281" s="3" t="e">
        <f>BX197-BW197</f>
        <v>#DIV/0!</v>
      </c>
      <c r="BY281" s="3" t="e">
        <f>BY197-BX197</f>
        <v>#DIV/0!</v>
      </c>
      <c r="BZ281" s="3" t="e">
        <f>SUM(BV281:BY281)</f>
        <v>#DIV/0!</v>
      </c>
      <c r="CA281" s="3" t="e">
        <f>CA197-BZ197</f>
        <v>#DIV/0!</v>
      </c>
      <c r="CB281" s="3" t="e">
        <f>CB197-CA197</f>
        <v>#DIV/0!</v>
      </c>
      <c r="CC281" s="3" t="e">
        <f>CC197-CB197</f>
        <v>#DIV/0!</v>
      </c>
      <c r="CD281" s="3" t="e">
        <f>CD197-CC197</f>
        <v>#DIV/0!</v>
      </c>
      <c r="CE281" s="3" t="e">
        <f>SUM(CA281:CD281)</f>
        <v>#DIV/0!</v>
      </c>
      <c r="CF281" s="3" t="e">
        <f>CF197-CE197</f>
        <v>#DIV/0!</v>
      </c>
      <c r="CG281" s="3" t="e">
        <f>CG197-CF197</f>
        <v>#DIV/0!</v>
      </c>
      <c r="CH281" s="3" t="e">
        <f>CH197-CG197</f>
        <v>#DIV/0!</v>
      </c>
      <c r="CI281" s="3" t="e">
        <f>CI197-CH197</f>
        <v>#DIV/0!</v>
      </c>
      <c r="CJ281" s="3" t="e">
        <f>SUM(CF281:CI281)</f>
        <v>#DIV/0!</v>
      </c>
      <c r="CK281" s="3" t="e">
        <f>CK197-CJ197</f>
        <v>#DIV/0!</v>
      </c>
      <c r="CL281" s="3" t="e">
        <f>CL197-CK197</f>
        <v>#DIV/0!</v>
      </c>
      <c r="CM281" s="3" t="e">
        <f>CM197-CL197</f>
        <v>#DIV/0!</v>
      </c>
      <c r="CN281" s="3" t="e">
        <f>CN197-CM197</f>
        <v>#DIV/0!</v>
      </c>
      <c r="CO281" s="3" t="e">
        <f>SUM(CK281:CN281)</f>
        <v>#DIV/0!</v>
      </c>
      <c r="CP281" s="3" t="e">
        <f>CP197-CO197</f>
        <v>#DIV/0!</v>
      </c>
      <c r="CQ281" s="3" t="e">
        <f>CQ197-CP197</f>
        <v>#DIV/0!</v>
      </c>
      <c r="CR281" s="3" t="e">
        <f>CR197-CQ197</f>
        <v>#DIV/0!</v>
      </c>
      <c r="CS281" s="3" t="e">
        <f>CS197-CR197</f>
        <v>#DIV/0!</v>
      </c>
      <c r="CT281" s="3" t="e">
        <f>SUM(CP281:CS281)</f>
        <v>#DIV/0!</v>
      </c>
      <c r="CU281" s="3" t="e">
        <f>CU197-CT197</f>
        <v>#DIV/0!</v>
      </c>
      <c r="CV281" s="3" t="e">
        <f>CV197-CU197</f>
        <v>#DIV/0!</v>
      </c>
      <c r="CW281" s="3" t="e">
        <f>CW197-CV197</f>
        <v>#DIV/0!</v>
      </c>
      <c r="CX281" s="3" t="e">
        <f>CX197-CW197</f>
        <v>#DIV/0!</v>
      </c>
      <c r="CY281" s="3" t="e">
        <f>SUM(CU281:CX281)</f>
        <v>#DIV/0!</v>
      </c>
    </row>
    <row r="282" hidden="1" outlineLevel="1">
      <c r="C282" s="29" t="inlineStr">
        <is>
          <t>Taxes payable</t>
        </is>
      </c>
      <c r="D282" s="3" t="n"/>
      <c r="E282" s="3">
        <f>E199-D199</f>
        <v>793.4</v>
      </c>
      <c r="F282" s="3">
        <f>F199-E199</f>
        <v>-287.3</v>
      </c>
      <c r="G282" s="3">
        <f>G199-F199</f>
        <v>-678.4</v>
      </c>
      <c r="H282" s="3">
        <f>SUM(D282:G282)</f>
        <v>-172.3</v>
      </c>
      <c r="I282" s="3">
        <f>I199-H199</f>
        <v>296.5</v>
      </c>
      <c r="J282" s="3">
        <f>J199-I199</f>
        <v>-261.7</v>
      </c>
      <c r="K282" s="3">
        <f>K199-J199</f>
        <v>-326.4</v>
      </c>
      <c r="L282" s="3">
        <f>L199-K199</f>
        <v>-76.6</v>
      </c>
      <c r="M282" s="3">
        <f>SUM(I282:L282)</f>
        <v>-368.2</v>
      </c>
      <c r="N282" s="3">
        <f>N199-M199</f>
        <v>471.4</v>
      </c>
      <c r="O282" s="3">
        <f>O199-N199</f>
        <v>-471.7</v>
      </c>
      <c r="P282" s="3">
        <f>P199-O199</f>
        <v>559</v>
      </c>
      <c r="Q282" s="3">
        <f>Q199-P199</f>
        <v>-210.5</v>
      </c>
      <c r="R282" s="3">
        <f>SUM(N282:Q282)</f>
        <v>348.2</v>
      </c>
      <c r="S282" s="3">
        <f>S199-R199</f>
        <v>1053.2</v>
      </c>
      <c r="T282" s="3">
        <f>T199-S199</f>
        <v>-294.5</v>
      </c>
      <c r="U282" s="3">
        <f>U199-T199</f>
        <v>743.7</v>
      </c>
      <c r="V282" s="3">
        <f>V199-U199</f>
        <v>-1977.5</v>
      </c>
      <c r="W282" s="3">
        <f>SUM(S282:V282)</f>
        <v>-475.1</v>
      </c>
      <c r="X282" s="3">
        <f>X199-W199</f>
        <v>0</v>
      </c>
      <c r="Y282" s="3">
        <f>Y199-X199</f>
        <v>0</v>
      </c>
      <c r="Z282" s="3">
        <f>Z199-Y199</f>
        <v>0</v>
      </c>
      <c r="AA282" s="3">
        <f>AA199-Z199</f>
        <v>0</v>
      </c>
      <c r="AB282" s="3">
        <f>SUM(X282:AA282)</f>
        <v>0</v>
      </c>
      <c r="AC282" s="3">
        <f>AC199-AB199</f>
        <v>6175.7</v>
      </c>
      <c r="AD282" s="3">
        <f>AD199-AC199</f>
        <v>782.3</v>
      </c>
      <c r="AE282" s="3">
        <f>AE199-AD199</f>
        <v>2486.4</v>
      </c>
      <c r="AF282" s="3">
        <f>AF199-AE199</f>
        <v>-9444.4</v>
      </c>
      <c r="AG282" s="3">
        <f>SUM(AC282:AF282)</f>
        <v>0</v>
      </c>
      <c r="AH282" s="3">
        <f>AH199-AG199</f>
        <v>0</v>
      </c>
      <c r="AI282" s="3">
        <f>AI199-AH199</f>
        <v>0</v>
      </c>
      <c r="AJ282" s="3">
        <f>AJ199-AI199</f>
        <v>0</v>
      </c>
      <c r="AK282" s="3">
        <f>AK199-AJ199</f>
        <v>0</v>
      </c>
      <c r="AL282" s="3">
        <f>SUM(AH282:AK282)</f>
        <v>0</v>
      </c>
      <c r="AM282" s="3" t="e">
        <f>AM199-AL199</f>
        <v>#DIV/0!</v>
      </c>
      <c r="AN282" s="3" t="e">
        <f>AN199-AM199</f>
        <v>#DIV/0!</v>
      </c>
      <c r="AO282" s="3" t="e">
        <f>AO199-AN199</f>
        <v>#DIV/0!</v>
      </c>
      <c r="AP282" s="3" t="e">
        <f>AP199-AO199</f>
        <v>#DIV/0!</v>
      </c>
      <c r="AQ282" s="3" t="e">
        <f>SUM(AM282:AP282)</f>
        <v>#DIV/0!</v>
      </c>
      <c r="AR282" s="3" t="e">
        <f>AR199-AQ199</f>
        <v>#DIV/0!</v>
      </c>
      <c r="AS282" s="3" t="e">
        <f>AS199-AR199</f>
        <v>#DIV/0!</v>
      </c>
      <c r="AT282" s="3" t="e">
        <f>AT199-AS199</f>
        <v>#DIV/0!</v>
      </c>
      <c r="AU282" s="3" t="e">
        <f>AU199-AT199</f>
        <v>#DIV/0!</v>
      </c>
      <c r="AV282" s="3" t="e">
        <f>SUM(AR282:AU282)</f>
        <v>#DIV/0!</v>
      </c>
      <c r="AW282" s="3" t="e">
        <f>AW199-AV199</f>
        <v>#DIV/0!</v>
      </c>
      <c r="AX282" s="3" t="e">
        <f>AX199-AW199</f>
        <v>#DIV/0!</v>
      </c>
      <c r="AY282" s="3" t="e">
        <f>AY199-AX199</f>
        <v>#DIV/0!</v>
      </c>
      <c r="AZ282" s="3" t="e">
        <f>AZ199-AY199</f>
        <v>#DIV/0!</v>
      </c>
      <c r="BA282" s="3" t="e">
        <f>SUM(AW282:AZ282)</f>
        <v>#DIV/0!</v>
      </c>
      <c r="BB282" s="3" t="e">
        <f>BB199-BA199</f>
        <v>#DIV/0!</v>
      </c>
      <c r="BC282" s="3" t="e">
        <f>BC199-BB199</f>
        <v>#DIV/0!</v>
      </c>
      <c r="BD282" s="3" t="e">
        <f>BD199-BC199</f>
        <v>#DIV/0!</v>
      </c>
      <c r="BE282" s="3" t="e">
        <f>BE199-BD199</f>
        <v>#DIV/0!</v>
      </c>
      <c r="BF282" s="3" t="e">
        <f>SUM(BB282:BE282)</f>
        <v>#DIV/0!</v>
      </c>
      <c r="BG282" s="3" t="e">
        <f>BG199-BF199</f>
        <v>#DIV/0!</v>
      </c>
      <c r="BH282" s="3" t="e">
        <f>BH199-BG199</f>
        <v>#DIV/0!</v>
      </c>
      <c r="BI282" s="3" t="e">
        <f>BI199-BH199</f>
        <v>#DIV/0!</v>
      </c>
      <c r="BJ282" s="3" t="e">
        <f>BJ199-BI199</f>
        <v>#DIV/0!</v>
      </c>
      <c r="BK282" s="3" t="e">
        <f>SUM(BG282:BJ282)</f>
        <v>#DIV/0!</v>
      </c>
      <c r="BL282" s="3" t="e">
        <f>BL199-BK199</f>
        <v>#DIV/0!</v>
      </c>
      <c r="BM282" s="3" t="e">
        <f>BM199-BL199</f>
        <v>#DIV/0!</v>
      </c>
      <c r="BN282" s="3" t="e">
        <f>BN199-BM199</f>
        <v>#DIV/0!</v>
      </c>
      <c r="BO282" s="3" t="e">
        <f>BO199-BN199</f>
        <v>#DIV/0!</v>
      </c>
      <c r="BP282" s="3" t="e">
        <f>SUM(BL282:BO282)</f>
        <v>#DIV/0!</v>
      </c>
      <c r="BQ282" s="3" t="e">
        <f>BQ199-BP199</f>
        <v>#DIV/0!</v>
      </c>
      <c r="BR282" s="3" t="e">
        <f>BR199-BQ199</f>
        <v>#DIV/0!</v>
      </c>
      <c r="BS282" s="3" t="e">
        <f>BS199-BR199</f>
        <v>#DIV/0!</v>
      </c>
      <c r="BT282" s="3" t="e">
        <f>BT199-BS199</f>
        <v>#DIV/0!</v>
      </c>
      <c r="BU282" s="3" t="e">
        <f>SUM(BQ282:BT282)</f>
        <v>#DIV/0!</v>
      </c>
      <c r="BV282" s="3" t="e">
        <f>BV199-BU199</f>
        <v>#DIV/0!</v>
      </c>
      <c r="BW282" s="3" t="e">
        <f>BW199-BV199</f>
        <v>#DIV/0!</v>
      </c>
      <c r="BX282" s="3" t="e">
        <f>BX199-BW199</f>
        <v>#DIV/0!</v>
      </c>
      <c r="BY282" s="3" t="e">
        <f>BY199-BX199</f>
        <v>#DIV/0!</v>
      </c>
      <c r="BZ282" s="3" t="e">
        <f>SUM(BV282:BY282)</f>
        <v>#DIV/0!</v>
      </c>
      <c r="CA282" s="3" t="e">
        <f>CA199-BZ199</f>
        <v>#DIV/0!</v>
      </c>
      <c r="CB282" s="3" t="e">
        <f>CB199-CA199</f>
        <v>#DIV/0!</v>
      </c>
      <c r="CC282" s="3" t="e">
        <f>CC199-CB199</f>
        <v>#DIV/0!</v>
      </c>
      <c r="CD282" s="3" t="e">
        <f>CD199-CC199</f>
        <v>#DIV/0!</v>
      </c>
      <c r="CE282" s="3" t="e">
        <f>SUM(CA282:CD282)</f>
        <v>#DIV/0!</v>
      </c>
      <c r="CF282" s="3" t="e">
        <f>CF199-CE199</f>
        <v>#DIV/0!</v>
      </c>
      <c r="CG282" s="3" t="e">
        <f>CG199-CF199</f>
        <v>#DIV/0!</v>
      </c>
      <c r="CH282" s="3" t="e">
        <f>CH199-CG199</f>
        <v>#DIV/0!</v>
      </c>
      <c r="CI282" s="3" t="e">
        <f>CI199-CH199</f>
        <v>#DIV/0!</v>
      </c>
      <c r="CJ282" s="3" t="e">
        <f>SUM(CF282:CI282)</f>
        <v>#DIV/0!</v>
      </c>
      <c r="CK282" s="3" t="e">
        <f>CK199-CJ199</f>
        <v>#DIV/0!</v>
      </c>
      <c r="CL282" s="3" t="e">
        <f>CL199-CK199</f>
        <v>#DIV/0!</v>
      </c>
      <c r="CM282" s="3" t="e">
        <f>CM199-CL199</f>
        <v>#DIV/0!</v>
      </c>
      <c r="CN282" s="3" t="e">
        <f>CN199-CM199</f>
        <v>#DIV/0!</v>
      </c>
      <c r="CO282" s="3" t="e">
        <f>SUM(CK282:CN282)</f>
        <v>#DIV/0!</v>
      </c>
      <c r="CP282" s="3" t="e">
        <f>CP199-CO199</f>
        <v>#DIV/0!</v>
      </c>
      <c r="CQ282" s="3" t="e">
        <f>CQ199-CP199</f>
        <v>#DIV/0!</v>
      </c>
      <c r="CR282" s="3" t="e">
        <f>CR199-CQ199</f>
        <v>#DIV/0!</v>
      </c>
      <c r="CS282" s="3" t="e">
        <f>CS199-CR199</f>
        <v>#DIV/0!</v>
      </c>
      <c r="CT282" s="3" t="e">
        <f>SUM(CP282:CS282)</f>
        <v>#DIV/0!</v>
      </c>
      <c r="CU282" s="3" t="e">
        <f>CU199-CT199</f>
        <v>#DIV/0!</v>
      </c>
      <c r="CV282" s="3" t="e">
        <f>CV199-CU199</f>
        <v>#DIV/0!</v>
      </c>
      <c r="CW282" s="3" t="e">
        <f>CW199-CV199</f>
        <v>#DIV/0!</v>
      </c>
      <c r="CX282" s="3" t="e">
        <f>CX199-CW199</f>
        <v>#DIV/0!</v>
      </c>
      <c r="CY282" s="3" t="e">
        <f>SUM(CU282:CX282)</f>
        <v>#DIV/0!</v>
      </c>
    </row>
    <row r="283" hidden="1" outlineLevel="1">
      <c r="C283" s="29" t="inlineStr">
        <is>
          <t>Other current liabilities (non-debt)</t>
        </is>
      </c>
      <c r="D283" s="3" t="n"/>
      <c r="E283" s="3">
        <f>E200-D200</f>
        <v>421.800000000001</v>
      </c>
      <c r="F283" s="3">
        <f>F200-E200</f>
        <v>647.1</v>
      </c>
      <c r="G283" s="3">
        <f>G200-F200</f>
        <v>1383.7</v>
      </c>
      <c r="H283" s="3">
        <f>SUM(D283:G283)</f>
        <v>2452.6</v>
      </c>
      <c r="I283" s="3">
        <f>I200-H200</f>
        <v>-745.700000000001</v>
      </c>
      <c r="J283" s="3">
        <f>J200-I200</f>
        <v>1803.3</v>
      </c>
      <c r="K283" s="3">
        <f>K200-J200</f>
        <v>-919.400000000002</v>
      </c>
      <c r="L283" s="3">
        <f>L200-K200</f>
        <v>1246.7</v>
      </c>
      <c r="M283" s="3">
        <f>SUM(I283:L283)</f>
        <v>1384.9</v>
      </c>
      <c r="N283" s="3">
        <f>N200-M200</f>
        <v>-1453.4</v>
      </c>
      <c r="O283" s="3">
        <f>O200-N200</f>
        <v>1571.7</v>
      </c>
      <c r="P283" s="3">
        <f>P200-O200</f>
        <v>-321.800000000001</v>
      </c>
      <c r="Q283" s="3">
        <f>Q200-P200</f>
        <v>1616.3</v>
      </c>
      <c r="R283" s="3">
        <f>SUM(N283:Q283)</f>
        <v>1412.8</v>
      </c>
      <c r="S283" s="3">
        <f>S200-R200</f>
        <v>-448.6</v>
      </c>
      <c r="T283" s="3">
        <f>T200-S200</f>
        <v>1954.7</v>
      </c>
      <c r="U283" s="3">
        <f>U200-T200</f>
        <v>430</v>
      </c>
      <c r="V283" s="3">
        <f>V200-U200</f>
        <v>2031.8</v>
      </c>
      <c r="W283" s="3">
        <f>SUM(S283:V283)</f>
        <v>3967.9</v>
      </c>
      <c r="X283" s="3">
        <f>X200-W200</f>
        <v>-2510.8</v>
      </c>
      <c r="Y283" s="3">
        <f>Y200-X200</f>
        <v>4237.8</v>
      </c>
      <c r="Z283" s="3">
        <f>Z200-Y200</f>
        <v>143.5</v>
      </c>
      <c r="AA283" s="3">
        <f>AA200-Z200</f>
        <v>-73</v>
      </c>
      <c r="AB283" s="3">
        <f>SUM(X283:AA283)</f>
        <v>1797.5</v>
      </c>
      <c r="AC283" s="3">
        <f>AC200-AB200</f>
        <v>-2616.9</v>
      </c>
      <c r="AD283" s="3">
        <f>AD200-AC200</f>
        <v>5639.4</v>
      </c>
      <c r="AE283" s="3">
        <f>AE200-AD200</f>
        <v>1876.1</v>
      </c>
      <c r="AF283" s="3">
        <f>AF200-AE200</f>
        <v>3003.4</v>
      </c>
      <c r="AG283" s="3">
        <f>SUM(AC283:AF283)</f>
        <v>7902</v>
      </c>
      <c r="AH283" s="3">
        <f>AH200-AG200</f>
        <v>407</v>
      </c>
      <c r="AI283" s="3">
        <f>AI200-AH200</f>
        <v>6535</v>
      </c>
      <c r="AJ283" s="3">
        <f>AJ200-AI200</f>
        <v>0</v>
      </c>
      <c r="AK283" s="3">
        <f>AK200-AJ200</f>
        <v>0</v>
      </c>
      <c r="AL283" s="3">
        <f>SUM(AH283:AK283)</f>
        <v>6942</v>
      </c>
      <c r="AM283" s="3">
        <f>AM200-AL200</f>
        <v>0</v>
      </c>
      <c r="AN283" s="3">
        <f>AN200-AM200</f>
        <v>0</v>
      </c>
      <c r="AO283" s="3">
        <f>AO200-AN200</f>
        <v>0</v>
      </c>
      <c r="AP283" s="3">
        <f>AP200-AO200</f>
        <v>0</v>
      </c>
      <c r="AQ283" s="3">
        <f>SUM(AM283:AP283)</f>
        <v>0</v>
      </c>
      <c r="AR283" s="3">
        <f>AR200-AQ200</f>
        <v>0</v>
      </c>
      <c r="AS283" s="3">
        <f>AS200-AR200</f>
        <v>0</v>
      </c>
      <c r="AT283" s="3">
        <f>AT200-AS200</f>
        <v>0</v>
      </c>
      <c r="AU283" s="3">
        <f>AU200-AT200</f>
        <v>0</v>
      </c>
      <c r="AV283" s="3">
        <f>SUM(AR283:AU283)</f>
        <v>0</v>
      </c>
      <c r="AW283" s="3">
        <f>AW200-AV200</f>
        <v>0</v>
      </c>
      <c r="AX283" s="3">
        <f>AX200-AW200</f>
        <v>0</v>
      </c>
      <c r="AY283" s="3">
        <f>AY200-AX200</f>
        <v>0</v>
      </c>
      <c r="AZ283" s="3">
        <f>AZ200-AY200</f>
        <v>0</v>
      </c>
      <c r="BA283" s="3">
        <f>SUM(AW283:AZ283)</f>
        <v>0</v>
      </c>
      <c r="BB283" s="3">
        <f>BB200-BA200</f>
        <v>0</v>
      </c>
      <c r="BC283" s="3">
        <f>BC200-BB200</f>
        <v>0</v>
      </c>
      <c r="BD283" s="3">
        <f>BD200-BC200</f>
        <v>0</v>
      </c>
      <c r="BE283" s="3">
        <f>BE200-BD200</f>
        <v>0</v>
      </c>
      <c r="BF283" s="3">
        <f>SUM(BB283:BE283)</f>
        <v>0</v>
      </c>
      <c r="BG283" s="3">
        <f>BG200-BF200</f>
        <v>0</v>
      </c>
      <c r="BH283" s="3">
        <f>BH200-BG200</f>
        <v>0</v>
      </c>
      <c r="BI283" s="3">
        <f>BI200-BH200</f>
        <v>0</v>
      </c>
      <c r="BJ283" s="3">
        <f>BJ200-BI200</f>
        <v>0</v>
      </c>
      <c r="BK283" s="3">
        <f>SUM(BG283:BJ283)</f>
        <v>0</v>
      </c>
      <c r="BL283" s="3">
        <f>BL200-BK200</f>
        <v>0</v>
      </c>
      <c r="BM283" s="3">
        <f>BM200-BL200</f>
        <v>0</v>
      </c>
      <c r="BN283" s="3">
        <f>BN200-BM200</f>
        <v>0</v>
      </c>
      <c r="BO283" s="3">
        <f>BO200-BN200</f>
        <v>0</v>
      </c>
      <c r="BP283" s="3">
        <f>SUM(BL283:BO283)</f>
        <v>0</v>
      </c>
      <c r="BQ283" s="3">
        <f>BQ200-BP200</f>
        <v>0</v>
      </c>
      <c r="BR283" s="3">
        <f>BR200-BQ200</f>
        <v>0</v>
      </c>
      <c r="BS283" s="3">
        <f>BS200-BR200</f>
        <v>0</v>
      </c>
      <c r="BT283" s="3">
        <f>BT200-BS200</f>
        <v>0</v>
      </c>
      <c r="BU283" s="3">
        <f>SUM(BQ283:BT283)</f>
        <v>0</v>
      </c>
      <c r="BV283" s="3">
        <f>BV200-BU200</f>
        <v>0</v>
      </c>
      <c r="BW283" s="3">
        <f>BW200-BV200</f>
        <v>0</v>
      </c>
      <c r="BX283" s="3">
        <f>BX200-BW200</f>
        <v>0</v>
      </c>
      <c r="BY283" s="3">
        <f>BY200-BX200</f>
        <v>0</v>
      </c>
      <c r="BZ283" s="3">
        <f>SUM(BV283:BY283)</f>
        <v>0</v>
      </c>
      <c r="CA283" s="3">
        <f>CA200-BZ200</f>
        <v>0</v>
      </c>
      <c r="CB283" s="3">
        <f>CB200-CA200</f>
        <v>0</v>
      </c>
      <c r="CC283" s="3">
        <f>CC200-CB200</f>
        <v>0</v>
      </c>
      <c r="CD283" s="3">
        <f>CD200-CC200</f>
        <v>0</v>
      </c>
      <c r="CE283" s="3">
        <f>SUM(CA283:CD283)</f>
        <v>0</v>
      </c>
      <c r="CF283" s="3">
        <f>CF200-CE200</f>
        <v>0</v>
      </c>
      <c r="CG283" s="3">
        <f>CG200-CF200</f>
        <v>0</v>
      </c>
      <c r="CH283" s="3">
        <f>CH200-CG200</f>
        <v>0</v>
      </c>
      <c r="CI283" s="3">
        <f>CI200-CH200</f>
        <v>0</v>
      </c>
      <c r="CJ283" s="3">
        <f>SUM(CF283:CI283)</f>
        <v>0</v>
      </c>
      <c r="CK283" s="3">
        <f>CK200-CJ200</f>
        <v>0</v>
      </c>
      <c r="CL283" s="3">
        <f>CL200-CK200</f>
        <v>0</v>
      </c>
      <c r="CM283" s="3">
        <f>CM200-CL200</f>
        <v>0</v>
      </c>
      <c r="CN283" s="3">
        <f>CN200-CM200</f>
        <v>0</v>
      </c>
      <c r="CO283" s="3">
        <f>SUM(CK283:CN283)</f>
        <v>0</v>
      </c>
      <c r="CP283" s="3">
        <f>CP200-CO200</f>
        <v>0</v>
      </c>
      <c r="CQ283" s="3">
        <f>CQ200-CP200</f>
        <v>0</v>
      </c>
      <c r="CR283" s="3">
        <f>CR200-CQ200</f>
        <v>0</v>
      </c>
      <c r="CS283" s="3">
        <f>CS200-CR200</f>
        <v>0</v>
      </c>
      <c r="CT283" s="3">
        <f>SUM(CP283:CS283)</f>
        <v>0</v>
      </c>
      <c r="CU283" s="3">
        <f>CU200-CT200</f>
        <v>0</v>
      </c>
      <c r="CV283" s="3">
        <f>CV200-CU200</f>
        <v>0</v>
      </c>
      <c r="CW283" s="3">
        <f>CW200-CV200</f>
        <v>0</v>
      </c>
      <c r="CX283" s="3">
        <f>CX200-CW200</f>
        <v>0</v>
      </c>
      <c r="CY283" s="3">
        <f>SUM(CU283:CX283)</f>
        <v>0</v>
      </c>
    </row>
    <row r="284" hidden="1" outlineLevel="1">
      <c r="C284" s="29" t="inlineStr">
        <is>
          <t>Deferred income taxes</t>
        </is>
      </c>
      <c r="D284" s="3" t="n"/>
      <c r="E284" s="3">
        <f>E234-D234</f>
        <v>-147</v>
      </c>
      <c r="F284" s="3">
        <f>F234-E234</f>
        <v>68.5</v>
      </c>
      <c r="G284" s="3">
        <f>G234-F234</f>
        <v>-7.79999999999973</v>
      </c>
      <c r="H284" s="3">
        <f>SUM(D284:G284)</f>
        <v>-86.2999999999997</v>
      </c>
      <c r="I284" s="3">
        <f>I234-H234</f>
        <v>100.7</v>
      </c>
      <c r="J284" s="3">
        <f>J234-I234</f>
        <v>-343.3</v>
      </c>
      <c r="K284" s="3">
        <f>K234-J234</f>
        <v>-224.8</v>
      </c>
      <c r="L284" s="3">
        <f>L234-K234</f>
        <v>101.2</v>
      </c>
      <c r="M284" s="3">
        <f>SUM(I284:L284)</f>
        <v>-366.2</v>
      </c>
      <c r="N284" s="3">
        <f>N234-M234</f>
        <v>-447.6</v>
      </c>
      <c r="O284" s="3">
        <f>O234-N234</f>
        <v>-423.6</v>
      </c>
      <c r="P284" s="3">
        <f>P234-O234</f>
        <v>-690.6</v>
      </c>
      <c r="Q284" s="3">
        <f>Q234-P234</f>
        <v>-84.6</v>
      </c>
      <c r="R284" s="3">
        <f>SUM(N284:Q284)</f>
        <v>-1646.4</v>
      </c>
      <c r="S284" s="3">
        <f>S234-R234</f>
        <v>-87.3</v>
      </c>
      <c r="T284" s="3">
        <f>T234-S234</f>
        <v>0</v>
      </c>
      <c r="U284" s="3">
        <f>U234-T234</f>
        <v>0</v>
      </c>
      <c r="V284" s="3">
        <f>V234-U234</f>
        <v>0</v>
      </c>
      <c r="W284" s="3">
        <f>SUM(S284:V284)</f>
        <v>-87.3</v>
      </c>
      <c r="X284" s="3">
        <f>X234-W234</f>
        <v>0</v>
      </c>
      <c r="Y284" s="3">
        <f>Y234-X234</f>
        <v>0</v>
      </c>
      <c r="Z284" s="3">
        <f>Z234-Y234</f>
        <v>0</v>
      </c>
      <c r="AA284" s="3">
        <f>AA234-Z234</f>
        <v>0</v>
      </c>
      <c r="AB284" s="3">
        <f>SUM(X284:AA284)</f>
        <v>0</v>
      </c>
      <c r="AC284" s="3">
        <f>AC234-AB234</f>
        <v>0</v>
      </c>
      <c r="AD284" s="3">
        <f>AD234-AC234</f>
        <v>0</v>
      </c>
      <c r="AE284" s="3">
        <f>AE234-AD234</f>
        <v>0</v>
      </c>
      <c r="AF284" s="3">
        <f>AF234-AE234</f>
        <v>0</v>
      </c>
      <c r="AG284" s="3">
        <f>SUM(AC284:AF284)</f>
        <v>0</v>
      </c>
      <c r="AH284" s="3">
        <f>AH234-AG234</f>
        <v>0</v>
      </c>
      <c r="AI284" s="3">
        <f>AI234-AH234</f>
        <v>0</v>
      </c>
      <c r="AJ284" s="3">
        <f>AJ234-AI234</f>
        <v>0</v>
      </c>
      <c r="AK284" s="3">
        <f>AK234-AJ234</f>
        <v>0</v>
      </c>
      <c r="AL284" s="3">
        <f>SUM(AH284:AK284)</f>
        <v>0</v>
      </c>
      <c r="AM284" s="3">
        <f>AM234-AL234</f>
        <v>0</v>
      </c>
      <c r="AN284" s="3">
        <f>AN234-AM234</f>
        <v>0</v>
      </c>
      <c r="AO284" s="3">
        <f>AO234-AN234</f>
        <v>0</v>
      </c>
      <c r="AP284" s="3">
        <f>AP234-AO234</f>
        <v>0</v>
      </c>
      <c r="AQ284" s="3">
        <f>SUM(AM284:AP284)</f>
        <v>0</v>
      </c>
      <c r="AR284" s="3">
        <f>AR234-AQ234</f>
        <v>0</v>
      </c>
      <c r="AS284" s="3">
        <f>AS234-AR234</f>
        <v>0</v>
      </c>
      <c r="AT284" s="3">
        <f>AT234-AS234</f>
        <v>0</v>
      </c>
      <c r="AU284" s="3">
        <f>AU234-AT234</f>
        <v>0</v>
      </c>
      <c r="AV284" s="3">
        <f>SUM(AR284:AU284)</f>
        <v>0</v>
      </c>
      <c r="AW284" s="3">
        <f>AW234-AV234</f>
        <v>0</v>
      </c>
      <c r="AX284" s="3">
        <f>AX234-AW234</f>
        <v>0</v>
      </c>
      <c r="AY284" s="3">
        <f>AY234-AX234</f>
        <v>0</v>
      </c>
      <c r="AZ284" s="3">
        <f>AZ234-AY234</f>
        <v>0</v>
      </c>
      <c r="BA284" s="3">
        <f>SUM(AW284:AZ284)</f>
        <v>0</v>
      </c>
      <c r="BB284" s="3">
        <f>BB234-BA234</f>
        <v>0</v>
      </c>
      <c r="BC284" s="3">
        <f>BC234-BB234</f>
        <v>0</v>
      </c>
      <c r="BD284" s="3">
        <f>BD234-BC234</f>
        <v>0</v>
      </c>
      <c r="BE284" s="3">
        <f>BE234-BD234</f>
        <v>0</v>
      </c>
      <c r="BF284" s="3">
        <f>SUM(BB284:BE284)</f>
        <v>0</v>
      </c>
      <c r="BG284" s="3">
        <f>BG234-BF234</f>
        <v>0</v>
      </c>
      <c r="BH284" s="3">
        <f>BH234-BG234</f>
        <v>0</v>
      </c>
      <c r="BI284" s="3">
        <f>BI234-BH234</f>
        <v>0</v>
      </c>
      <c r="BJ284" s="3">
        <f>BJ234-BI234</f>
        <v>0</v>
      </c>
      <c r="BK284" s="3">
        <f>SUM(BG284:BJ284)</f>
        <v>0</v>
      </c>
      <c r="BL284" s="3">
        <f>BL234-BK234</f>
        <v>0</v>
      </c>
      <c r="BM284" s="3">
        <f>BM234-BL234</f>
        <v>0</v>
      </c>
      <c r="BN284" s="3">
        <f>BN234-BM234</f>
        <v>0</v>
      </c>
      <c r="BO284" s="3">
        <f>BO234-BN234</f>
        <v>0</v>
      </c>
      <c r="BP284" s="3">
        <f>SUM(BL284:BO284)</f>
        <v>0</v>
      </c>
      <c r="BQ284" s="3">
        <f>BQ234-BP234</f>
        <v>0</v>
      </c>
      <c r="BR284" s="3">
        <f>BR234-BQ234</f>
        <v>0</v>
      </c>
      <c r="BS284" s="3">
        <f>BS234-BR234</f>
        <v>0</v>
      </c>
      <c r="BT284" s="3">
        <f>BT234-BS234</f>
        <v>0</v>
      </c>
      <c r="BU284" s="3">
        <f>SUM(BQ284:BT284)</f>
        <v>0</v>
      </c>
      <c r="BV284" s="3">
        <f>BV234-BU234</f>
        <v>0</v>
      </c>
      <c r="BW284" s="3">
        <f>BW234-BV234</f>
        <v>0</v>
      </c>
      <c r="BX284" s="3">
        <f>BX234-BW234</f>
        <v>0</v>
      </c>
      <c r="BY284" s="3">
        <f>BY234-BX234</f>
        <v>0</v>
      </c>
      <c r="BZ284" s="3">
        <f>SUM(BV284:BY284)</f>
        <v>0</v>
      </c>
      <c r="CA284" s="3">
        <f>CA234-BZ234</f>
        <v>0</v>
      </c>
      <c r="CB284" s="3">
        <f>CB234-CA234</f>
        <v>0</v>
      </c>
      <c r="CC284" s="3">
        <f>CC234-CB234</f>
        <v>0</v>
      </c>
      <c r="CD284" s="3">
        <f>CD234-CC234</f>
        <v>0</v>
      </c>
      <c r="CE284" s="3">
        <f>SUM(CA284:CD284)</f>
        <v>0</v>
      </c>
      <c r="CF284" s="3">
        <f>CF234-CE234</f>
        <v>0</v>
      </c>
      <c r="CG284" s="3">
        <f>CG234-CF234</f>
        <v>0</v>
      </c>
      <c r="CH284" s="3">
        <f>CH234-CG234</f>
        <v>0</v>
      </c>
      <c r="CI284" s="3">
        <f>CI234-CH234</f>
        <v>0</v>
      </c>
      <c r="CJ284" s="3">
        <f>SUM(CF284:CI284)</f>
        <v>0</v>
      </c>
      <c r="CK284" s="3">
        <f>CK234-CJ234</f>
        <v>0</v>
      </c>
      <c r="CL284" s="3">
        <f>CL234-CK234</f>
        <v>0</v>
      </c>
      <c r="CM284" s="3">
        <f>CM234-CL234</f>
        <v>0</v>
      </c>
      <c r="CN284" s="3">
        <f>CN234-CM234</f>
        <v>0</v>
      </c>
      <c r="CO284" s="3">
        <f>SUM(CK284:CN284)</f>
        <v>0</v>
      </c>
      <c r="CP284" s="3">
        <f>CP234-CO234</f>
        <v>0</v>
      </c>
      <c r="CQ284" s="3">
        <f>CQ234-CP234</f>
        <v>0</v>
      </c>
      <c r="CR284" s="3">
        <f>CR234-CQ234</f>
        <v>0</v>
      </c>
      <c r="CS284" s="3">
        <f>CS234-CR234</f>
        <v>0</v>
      </c>
      <c r="CT284" s="3">
        <f>SUM(CP284:CS284)</f>
        <v>0</v>
      </c>
      <c r="CU284" s="3">
        <f>CU234-CT234</f>
        <v>0</v>
      </c>
      <c r="CV284" s="3">
        <f>CV234-CU234</f>
        <v>0</v>
      </c>
      <c r="CW284" s="3">
        <f>CW234-CV234</f>
        <v>0</v>
      </c>
      <c r="CX284" s="3">
        <f>CX234-CW234</f>
        <v>0</v>
      </c>
      <c r="CY284" s="3">
        <f>SUM(CU284:CX284)</f>
        <v>0</v>
      </c>
    </row>
    <row r="285" collapsed="1">
      <c r="C285" s="29" t="inlineStr">
        <is>
          <t>Equity income in affiliates</t>
        </is>
      </c>
      <c r="D285" s="3" t="n"/>
      <c r="E285" s="3">
        <f>(E156-D156)*-1</f>
        <v>0</v>
      </c>
      <c r="F285" s="3">
        <f>(F156-E156)*-1</f>
        <v>0</v>
      </c>
      <c r="G285" s="3">
        <f>(G156-F156)*-1</f>
        <v>0</v>
      </c>
      <c r="H285" s="3">
        <f>SUM(D285:G285)</f>
        <v>0</v>
      </c>
      <c r="I285" s="3">
        <f>(I156-H156)*-1</f>
        <v>0</v>
      </c>
      <c r="J285" s="3">
        <f>(J156-I156)*-1</f>
        <v>0</v>
      </c>
      <c r="K285" s="3">
        <f>(K156-J156)*-1</f>
        <v>0</v>
      </c>
      <c r="L285" s="3">
        <f>(L156-K156)*-1</f>
        <v>0</v>
      </c>
      <c r="M285" s="3">
        <f>SUM(I285:L285)</f>
        <v>0</v>
      </c>
      <c r="N285" s="3">
        <f>(N156-M156)*-1</f>
        <v>0</v>
      </c>
      <c r="O285" s="3">
        <f>(O156-N156)*-1</f>
        <v>0</v>
      </c>
      <c r="P285" s="3">
        <f>(P156-O156)*-1</f>
        <v>0</v>
      </c>
      <c r="Q285" s="3">
        <f>(Q156-P156)*-1</f>
        <v>0</v>
      </c>
      <c r="R285" s="3">
        <f>SUM(N285:Q285)</f>
        <v>0</v>
      </c>
      <c r="S285" s="3">
        <f>(S156-R156)*-1</f>
        <v>0</v>
      </c>
      <c r="T285" s="3">
        <f>(T156-S156)*-1</f>
        <v>0</v>
      </c>
      <c r="U285" s="3">
        <f>(U156-T156)*-1</f>
        <v>0</v>
      </c>
      <c r="V285" s="3">
        <f>(V156-U156)*-1</f>
        <v>0</v>
      </c>
      <c r="W285" s="3">
        <f>SUM(S285:V285)</f>
        <v>0</v>
      </c>
      <c r="X285" s="3">
        <f>(X156-W156)*-1</f>
        <v>0</v>
      </c>
      <c r="Y285" s="3">
        <f>(Y156-X156)*-1</f>
        <v>0</v>
      </c>
      <c r="Z285" s="3">
        <f>(Z156-Y156)*-1</f>
        <v>0</v>
      </c>
      <c r="AA285" s="3">
        <f>(AA156-Z156)*-1</f>
        <v>0</v>
      </c>
      <c r="AB285" s="3">
        <f>SUM(X285:AA285)</f>
        <v>0</v>
      </c>
      <c r="AC285" s="3">
        <f>(AC156-AB156)*-1</f>
        <v>0</v>
      </c>
      <c r="AD285" s="3">
        <f>(AD156-AC156)*-1</f>
        <v>0</v>
      </c>
      <c r="AE285" s="3">
        <f>(AE156-AD156)*-1</f>
        <v>0</v>
      </c>
      <c r="AF285" s="3">
        <f>(AF156-AE156)*-1</f>
        <v>0</v>
      </c>
      <c r="AG285" s="3">
        <f>SUM(AC285:AF285)</f>
        <v>0</v>
      </c>
      <c r="AH285" s="3">
        <f>(AH156-AG156)*-1</f>
        <v>0</v>
      </c>
      <c r="AI285" s="3">
        <f>(AI156-AH156)*-1</f>
        <v>0</v>
      </c>
      <c r="AJ285" s="3">
        <f>(AJ156-AI156)*-1</f>
        <v>0</v>
      </c>
      <c r="AK285" s="3">
        <f>(AK156-AJ156)*-1</f>
        <v>0</v>
      </c>
      <c r="AL285" s="3">
        <f>SUM(AH285:AK285)</f>
        <v>0</v>
      </c>
      <c r="AM285" s="3">
        <f>(AM156-AL156)*-1</f>
        <v>0</v>
      </c>
      <c r="AN285" s="3">
        <f>(AN156-AM156)*-1</f>
        <v>0</v>
      </c>
      <c r="AO285" s="3">
        <f>(AO156-AN156)*-1</f>
        <v>0</v>
      </c>
      <c r="AP285" s="3">
        <f>(AP156-AO156)*-1</f>
        <v>0</v>
      </c>
      <c r="AQ285" s="3">
        <f>SUM(AM285:AP285)</f>
        <v>0</v>
      </c>
      <c r="AR285" s="3">
        <f>(AR156-AQ156)*-1</f>
        <v>0</v>
      </c>
      <c r="AS285" s="3">
        <f>(AS156-AR156)*-1</f>
        <v>0</v>
      </c>
      <c r="AT285" s="3">
        <f>(AT156-AS156)*-1</f>
        <v>0</v>
      </c>
      <c r="AU285" s="3">
        <f>(AU156-AT156)*-1</f>
        <v>0</v>
      </c>
      <c r="AV285" s="3">
        <f>SUM(AR285:AU285)</f>
        <v>0</v>
      </c>
      <c r="AW285" s="3">
        <f>(AW156-AV156)*-1</f>
        <v>0</v>
      </c>
      <c r="AX285" s="3">
        <f>(AX156-AW156)*-1</f>
        <v>0</v>
      </c>
      <c r="AY285" s="3">
        <f>(AY156-AX156)*-1</f>
        <v>0</v>
      </c>
      <c r="AZ285" s="3">
        <f>(AZ156-AY156)*-1</f>
        <v>0</v>
      </c>
      <c r="BA285" s="3">
        <f>SUM(AW285:AZ285)</f>
        <v>0</v>
      </c>
      <c r="BB285" s="3">
        <f>(BB156-BA156)*-1</f>
        <v>0</v>
      </c>
      <c r="BC285" s="3">
        <f>(BC156-BB156)*-1</f>
        <v>0</v>
      </c>
      <c r="BD285" s="3">
        <f>(BD156-BC156)*-1</f>
        <v>0</v>
      </c>
      <c r="BE285" s="3">
        <f>(BE156-BD156)*-1</f>
        <v>0</v>
      </c>
      <c r="BF285" s="3">
        <f>SUM(BB285:BE285)</f>
        <v>0</v>
      </c>
      <c r="BG285" s="3">
        <f>(BG156-BF156)*-1</f>
        <v>0</v>
      </c>
      <c r="BH285" s="3">
        <f>(BH156-BG156)*-1</f>
        <v>0</v>
      </c>
      <c r="BI285" s="3">
        <f>(BI156-BH156)*-1</f>
        <v>0</v>
      </c>
      <c r="BJ285" s="3">
        <f>(BJ156-BI156)*-1</f>
        <v>0</v>
      </c>
      <c r="BK285" s="3">
        <f>SUM(BG285:BJ285)</f>
        <v>0</v>
      </c>
      <c r="BL285" s="3">
        <f>(BL156-BK156)*-1</f>
        <v>0</v>
      </c>
      <c r="BM285" s="3">
        <f>(BM156-BL156)*-1</f>
        <v>0</v>
      </c>
      <c r="BN285" s="3">
        <f>(BN156-BM156)*-1</f>
        <v>0</v>
      </c>
      <c r="BO285" s="3">
        <f>(BO156-BN156)*-1</f>
        <v>0</v>
      </c>
      <c r="BP285" s="3">
        <f>SUM(BL285:BO285)</f>
        <v>0</v>
      </c>
      <c r="BQ285" s="3">
        <f>(BQ156-BP156)*-1</f>
        <v>0</v>
      </c>
      <c r="BR285" s="3">
        <f>(BR156-BQ156)*-1</f>
        <v>0</v>
      </c>
      <c r="BS285" s="3">
        <f>(BS156-BR156)*-1</f>
        <v>0</v>
      </c>
      <c r="BT285" s="3">
        <f>(BT156-BS156)*-1</f>
        <v>0</v>
      </c>
      <c r="BU285" s="3">
        <f>SUM(BQ285:BT285)</f>
        <v>0</v>
      </c>
      <c r="BV285" s="3">
        <f>(BV156-BU156)*-1</f>
        <v>0</v>
      </c>
      <c r="BW285" s="3">
        <f>(BW156-BV156)*-1</f>
        <v>0</v>
      </c>
      <c r="BX285" s="3">
        <f>(BX156-BW156)*-1</f>
        <v>0</v>
      </c>
      <c r="BY285" s="3">
        <f>(BY156-BX156)*-1</f>
        <v>0</v>
      </c>
      <c r="BZ285" s="3">
        <f>SUM(BV285:BY285)</f>
        <v>0</v>
      </c>
      <c r="CA285" s="3">
        <f>(CA156-BZ156)*-1</f>
        <v>0</v>
      </c>
      <c r="CB285" s="3">
        <f>(CB156-CA156)*-1</f>
        <v>0</v>
      </c>
      <c r="CC285" s="3">
        <f>(CC156-CB156)*-1</f>
        <v>0</v>
      </c>
      <c r="CD285" s="3">
        <f>(CD156-CC156)*-1</f>
        <v>0</v>
      </c>
      <c r="CE285" s="3">
        <f>SUM(CA285:CD285)</f>
        <v>0</v>
      </c>
      <c r="CF285" s="3">
        <f>(CF156-CE156)*-1</f>
        <v>0</v>
      </c>
      <c r="CG285" s="3">
        <f>(CG156-CF156)*-1</f>
        <v>0</v>
      </c>
      <c r="CH285" s="3">
        <f>(CH156-CG156)*-1</f>
        <v>0</v>
      </c>
      <c r="CI285" s="3">
        <f>(CI156-CH156)*-1</f>
        <v>0</v>
      </c>
      <c r="CJ285" s="3">
        <f>SUM(CF285:CI285)</f>
        <v>0</v>
      </c>
      <c r="CK285" s="3">
        <f>(CK156-CJ156)*-1</f>
        <v>0</v>
      </c>
      <c r="CL285" s="3">
        <f>(CL156-CK156)*-1</f>
        <v>0</v>
      </c>
      <c r="CM285" s="3">
        <f>(CM156-CL156)*-1</f>
        <v>0</v>
      </c>
      <c r="CN285" s="3">
        <f>(CN156-CM156)*-1</f>
        <v>0</v>
      </c>
      <c r="CO285" s="3">
        <f>SUM(CK285:CN285)</f>
        <v>0</v>
      </c>
      <c r="CP285" s="3">
        <f>(CP156-CO156)*-1</f>
        <v>0</v>
      </c>
      <c r="CQ285" s="3">
        <f>(CQ156-CP156)*-1</f>
        <v>0</v>
      </c>
      <c r="CR285" s="3">
        <f>(CR156-CQ156)*-1</f>
        <v>0</v>
      </c>
      <c r="CS285" s="3">
        <f>(CS156-CR156)*-1</f>
        <v>0</v>
      </c>
      <c r="CT285" s="3">
        <f>SUM(CP285:CS285)</f>
        <v>0</v>
      </c>
      <c r="CU285" s="3">
        <f>(CU156-CT156)*-1</f>
        <v>0</v>
      </c>
      <c r="CV285" s="3">
        <f>(CV156-CU156)*-1</f>
        <v>0</v>
      </c>
      <c r="CW285" s="3">
        <f>(CW156-CV156)*-1</f>
        <v>0</v>
      </c>
      <c r="CX285" s="3">
        <f>(CX156-CW156)*-1</f>
        <v>0</v>
      </c>
      <c r="CY285" s="3">
        <f>SUM(CU285:CX285)</f>
        <v>0</v>
      </c>
    </row>
    <row r="286">
      <c r="C286" s="29" t="inlineStr">
        <is>
          <t>Dividends received from affiliates</t>
        </is>
      </c>
      <c r="D286" s="3" t="n"/>
      <c r="E286" s="3">
        <f>-E159</f>
        <v>0</v>
      </c>
      <c r="F286" s="3">
        <f>-F159</f>
        <v>0</v>
      </c>
      <c r="G286" s="3">
        <f>-G159</f>
        <v>0</v>
      </c>
      <c r="H286" s="3">
        <f>SUM(D286:G286)</f>
        <v>0</v>
      </c>
      <c r="I286" s="3">
        <f>-I159</f>
        <v>0</v>
      </c>
      <c r="J286" s="3">
        <f>-J159</f>
        <v>0</v>
      </c>
      <c r="K286" s="3">
        <f>-K159</f>
        <v>0</v>
      </c>
      <c r="L286" s="3">
        <f>-L159</f>
        <v>0</v>
      </c>
      <c r="M286" s="3">
        <f>SUM(I286:L286)</f>
        <v>0</v>
      </c>
      <c r="N286" s="3">
        <f>-N159</f>
        <v>0</v>
      </c>
      <c r="O286" s="3">
        <f>-O159</f>
        <v>0</v>
      </c>
      <c r="P286" s="3">
        <f>-P159</f>
        <v>0</v>
      </c>
      <c r="Q286" s="3">
        <f>-Q159</f>
        <v>0</v>
      </c>
      <c r="R286" s="3">
        <f>SUM(N286:Q286)</f>
        <v>0</v>
      </c>
      <c r="S286" s="3">
        <f>-S159</f>
        <v>0</v>
      </c>
      <c r="T286" s="3">
        <f>-T159</f>
        <v>0</v>
      </c>
      <c r="U286" s="3">
        <f>-U159</f>
        <v>0</v>
      </c>
      <c r="V286" s="3">
        <f>-V159</f>
        <v>0</v>
      </c>
      <c r="W286" s="3">
        <f>SUM(S286:V286)</f>
        <v>0</v>
      </c>
      <c r="X286" s="3">
        <f>-X159</f>
        <v>0</v>
      </c>
      <c r="Y286" s="3">
        <f>-Y159</f>
        <v>0</v>
      </c>
      <c r="Z286" s="3">
        <f>-Z159</f>
        <v>0</v>
      </c>
      <c r="AA286" s="3">
        <f>-AA159</f>
        <v>0</v>
      </c>
      <c r="AB286" s="3">
        <f>SUM(X286:AA286)</f>
        <v>0</v>
      </c>
      <c r="AC286" s="3">
        <f>-AC159</f>
        <v>0</v>
      </c>
      <c r="AD286" s="3">
        <f>-AD159</f>
        <v>0</v>
      </c>
      <c r="AE286" s="3">
        <f>-AE159</f>
        <v>0</v>
      </c>
      <c r="AF286" s="3">
        <f>-AF159</f>
        <v>0</v>
      </c>
      <c r="AG286" s="3">
        <f>SUM(AC286:AF286)</f>
        <v>0</v>
      </c>
      <c r="AH286" s="3">
        <f>-AH159</f>
        <v>0</v>
      </c>
      <c r="AI286" s="3">
        <f>-AI159</f>
        <v>0</v>
      </c>
      <c r="AJ286" s="3">
        <f>-AJ159</f>
        <v>0</v>
      </c>
      <c r="AK286" s="3">
        <f>-AK159</f>
        <v>0</v>
      </c>
      <c r="AL286" s="3">
        <f>SUM(AH286:AK286)</f>
        <v>0</v>
      </c>
      <c r="AM286" s="3">
        <f>-AM159</f>
        <v>0</v>
      </c>
      <c r="AN286" s="3">
        <f>-AN159</f>
        <v>0</v>
      </c>
      <c r="AO286" s="3">
        <f>-AO159</f>
        <v>0</v>
      </c>
      <c r="AP286" s="3">
        <f>-AP159</f>
        <v>0</v>
      </c>
      <c r="AQ286" s="3">
        <f>SUM(AM286:AP286)</f>
        <v>0</v>
      </c>
      <c r="AR286" s="3">
        <f>-AR159</f>
        <v>0</v>
      </c>
      <c r="AS286" s="3">
        <f>-AS159</f>
        <v>0</v>
      </c>
      <c r="AT286" s="3">
        <f>-AT159</f>
        <v>0</v>
      </c>
      <c r="AU286" s="3">
        <f>-AU159</f>
        <v>0</v>
      </c>
      <c r="AV286" s="3">
        <f>SUM(AR286:AU286)</f>
        <v>0</v>
      </c>
      <c r="AW286" s="3">
        <f>-AW159</f>
        <v>0</v>
      </c>
      <c r="AX286" s="3">
        <f>-AX159</f>
        <v>0</v>
      </c>
      <c r="AY286" s="3">
        <f>-AY159</f>
        <v>0</v>
      </c>
      <c r="AZ286" s="3">
        <f>-AZ159</f>
        <v>0</v>
      </c>
      <c r="BA286" s="3">
        <f>SUM(AW286:AZ286)</f>
        <v>0</v>
      </c>
      <c r="BB286" s="3">
        <f>-BB159</f>
        <v>0</v>
      </c>
      <c r="BC286" s="3">
        <f>-BC159</f>
        <v>0</v>
      </c>
      <c r="BD286" s="3">
        <f>-BD159</f>
        <v>0</v>
      </c>
      <c r="BE286" s="3">
        <f>-BE159</f>
        <v>0</v>
      </c>
      <c r="BF286" s="3">
        <f>SUM(BB286:BE286)</f>
        <v>0</v>
      </c>
      <c r="BG286" s="3">
        <f>-BG159</f>
        <v>0</v>
      </c>
      <c r="BH286" s="3">
        <f>-BH159</f>
        <v>0</v>
      </c>
      <c r="BI286" s="3">
        <f>-BI159</f>
        <v>0</v>
      </c>
      <c r="BJ286" s="3">
        <f>-BJ159</f>
        <v>0</v>
      </c>
      <c r="BK286" s="3">
        <f>SUM(BG286:BJ286)</f>
        <v>0</v>
      </c>
      <c r="BL286" s="3">
        <f>-BL159</f>
        <v>0</v>
      </c>
      <c r="BM286" s="3">
        <f>-BM159</f>
        <v>0</v>
      </c>
      <c r="BN286" s="3">
        <f>-BN159</f>
        <v>0</v>
      </c>
      <c r="BO286" s="3">
        <f>-BO159</f>
        <v>0</v>
      </c>
      <c r="BP286" s="3">
        <f>SUM(BL286:BO286)</f>
        <v>0</v>
      </c>
      <c r="BQ286" s="3">
        <f>-BQ159</f>
        <v>0</v>
      </c>
      <c r="BR286" s="3">
        <f>-BR159</f>
        <v>0</v>
      </c>
      <c r="BS286" s="3">
        <f>-BS159</f>
        <v>0</v>
      </c>
      <c r="BT286" s="3">
        <f>-BT159</f>
        <v>0</v>
      </c>
      <c r="BU286" s="3">
        <f>SUM(BQ286:BT286)</f>
        <v>0</v>
      </c>
      <c r="BV286" s="3">
        <f>-BV159</f>
        <v>0</v>
      </c>
      <c r="BW286" s="3">
        <f>-BW159</f>
        <v>0</v>
      </c>
      <c r="BX286" s="3">
        <f>-BX159</f>
        <v>0</v>
      </c>
      <c r="BY286" s="3">
        <f>-BY159</f>
        <v>0</v>
      </c>
      <c r="BZ286" s="3">
        <f>SUM(BV286:BY286)</f>
        <v>0</v>
      </c>
      <c r="CA286" s="3">
        <f>-CA159</f>
        <v>0</v>
      </c>
      <c r="CB286" s="3">
        <f>-CB159</f>
        <v>0</v>
      </c>
      <c r="CC286" s="3">
        <f>-CC159</f>
        <v>0</v>
      </c>
      <c r="CD286" s="3">
        <f>-CD159</f>
        <v>0</v>
      </c>
      <c r="CE286" s="3">
        <f>SUM(CA286:CD286)</f>
        <v>0</v>
      </c>
      <c r="CF286" s="3">
        <f>-CF159</f>
        <v>0</v>
      </c>
      <c r="CG286" s="3">
        <f>-CG159</f>
        <v>0</v>
      </c>
      <c r="CH286" s="3">
        <f>-CH159</f>
        <v>0</v>
      </c>
      <c r="CI286" s="3">
        <f>-CI159</f>
        <v>0</v>
      </c>
      <c r="CJ286" s="3">
        <f>SUM(CF286:CI286)</f>
        <v>0</v>
      </c>
      <c r="CK286" s="3">
        <f>-CK159</f>
        <v>0</v>
      </c>
      <c r="CL286" s="3">
        <f>-CL159</f>
        <v>0</v>
      </c>
      <c r="CM286" s="3">
        <f>-CM159</f>
        <v>0</v>
      </c>
      <c r="CN286" s="3">
        <f>-CN159</f>
        <v>0</v>
      </c>
      <c r="CO286" s="3">
        <f>SUM(CK286:CN286)</f>
        <v>0</v>
      </c>
      <c r="CP286" s="3">
        <f>-CP159</f>
        <v>0</v>
      </c>
      <c r="CQ286" s="3">
        <f>-CQ159</f>
        <v>0</v>
      </c>
      <c r="CR286" s="3">
        <f>-CR159</f>
        <v>0</v>
      </c>
      <c r="CS286" s="3">
        <f>-CS159</f>
        <v>0</v>
      </c>
      <c r="CT286" s="3">
        <f>SUM(CP286:CS286)</f>
        <v>0</v>
      </c>
      <c r="CU286" s="3">
        <f>-CU159</f>
        <v>0</v>
      </c>
      <c r="CV286" s="3">
        <f>-CV159</f>
        <v>0</v>
      </c>
      <c r="CW286" s="3">
        <f>-CW159</f>
        <v>0</v>
      </c>
      <c r="CX286" s="3">
        <f>-CX159</f>
        <v>0</v>
      </c>
      <c r="CY286" s="3">
        <f>SUM(CU286:CX286)</f>
        <v>0</v>
      </c>
    </row>
    <row r="287">
      <c r="C287" s="30" t="inlineStr">
        <is>
          <t>Minority interest expense</t>
        </is>
      </c>
      <c r="D287" s="3" t="n"/>
      <c r="E287" s="3">
        <f>-E131</f>
        <v>0</v>
      </c>
      <c r="F287" s="3">
        <f>-F131</f>
        <v>0</v>
      </c>
      <c r="G287" s="3">
        <f>-G131</f>
        <v>0</v>
      </c>
      <c r="H287" s="3">
        <f>SUM(D287:G287)</f>
        <v>0</v>
      </c>
      <c r="I287" s="3">
        <f>-I131</f>
        <v>0</v>
      </c>
      <c r="J287" s="3">
        <f>-J131</f>
        <v>0</v>
      </c>
      <c r="K287" s="3">
        <f>-K131</f>
        <v>0</v>
      </c>
      <c r="L287" s="3">
        <f>-L131</f>
        <v>0</v>
      </c>
      <c r="M287" s="3">
        <f>SUM(I287:L287)</f>
        <v>0</v>
      </c>
      <c r="N287" s="3">
        <f>-N131</f>
        <v>0</v>
      </c>
      <c r="O287" s="3">
        <f>-O131</f>
        <v>0</v>
      </c>
      <c r="P287" s="3">
        <f>-P131</f>
        <v>0</v>
      </c>
      <c r="Q287" s="3">
        <f>-Q131</f>
        <v>0</v>
      </c>
      <c r="R287" s="3">
        <f>SUM(N287:Q287)</f>
        <v>0</v>
      </c>
      <c r="S287" s="3">
        <f>-S131</f>
        <v>0</v>
      </c>
      <c r="T287" s="3">
        <f>-T131</f>
        <v>0</v>
      </c>
      <c r="U287" s="3">
        <f>-U131</f>
        <v>0</v>
      </c>
      <c r="V287" s="3">
        <f>-V131</f>
        <v>0</v>
      </c>
      <c r="W287" s="3">
        <f>SUM(S287:V287)</f>
        <v>0</v>
      </c>
      <c r="X287" s="3">
        <f>-X131</f>
        <v>0</v>
      </c>
      <c r="Y287" s="3">
        <f>-Y131</f>
        <v>0</v>
      </c>
      <c r="Z287" s="3">
        <f>-Z131</f>
        <v>0</v>
      </c>
      <c r="AA287" s="3">
        <f>-AA131</f>
        <v>0</v>
      </c>
      <c r="AB287" s="3">
        <f>SUM(X287:AA287)</f>
        <v>0</v>
      </c>
      <c r="AC287" s="3">
        <f>-AC131</f>
        <v>0</v>
      </c>
      <c r="AD287" s="3">
        <f>-AD131</f>
        <v>0</v>
      </c>
      <c r="AE287" s="3">
        <f>-AE131</f>
        <v>0</v>
      </c>
      <c r="AF287" s="3">
        <f>-AF131</f>
        <v>0</v>
      </c>
      <c r="AG287" s="3">
        <f>SUM(AC287:AF287)</f>
        <v>0</v>
      </c>
      <c r="AH287" s="3">
        <f>-AH131</f>
        <v>0</v>
      </c>
      <c r="AI287" s="3">
        <f>-AI131</f>
        <v>0</v>
      </c>
      <c r="AJ287" s="3">
        <f>-AJ131</f>
        <v>0</v>
      </c>
      <c r="AK287" s="3">
        <f>-AK131</f>
        <v>0</v>
      </c>
      <c r="AL287" s="3">
        <f>SUM(AH287:AK287)</f>
        <v>0</v>
      </c>
      <c r="AM287" s="3">
        <f>-AM131</f>
        <v>0</v>
      </c>
      <c r="AN287" s="3">
        <f>-AN131</f>
        <v>0</v>
      </c>
      <c r="AO287" s="3">
        <f>-AO131</f>
        <v>0</v>
      </c>
      <c r="AP287" s="3">
        <f>-AP131</f>
        <v>0</v>
      </c>
      <c r="AQ287" s="3">
        <f>SUM(AM287:AP287)</f>
        <v>0</v>
      </c>
      <c r="AR287" s="3">
        <f>-AR131</f>
        <v>0</v>
      </c>
      <c r="AS287" s="3">
        <f>-AS131</f>
        <v>0</v>
      </c>
      <c r="AT287" s="3">
        <f>-AT131</f>
        <v>0</v>
      </c>
      <c r="AU287" s="3">
        <f>-AU131</f>
        <v>0</v>
      </c>
      <c r="AV287" s="3">
        <f>SUM(AR287:AU287)</f>
        <v>0</v>
      </c>
      <c r="AW287" s="3">
        <f>-AW131</f>
        <v>0</v>
      </c>
      <c r="AX287" s="3">
        <f>-AX131</f>
        <v>0</v>
      </c>
      <c r="AY287" s="3">
        <f>-AY131</f>
        <v>0</v>
      </c>
      <c r="AZ287" s="3">
        <f>-AZ131</f>
        <v>0</v>
      </c>
      <c r="BA287" s="3">
        <f>SUM(AW287:AZ287)</f>
        <v>0</v>
      </c>
      <c r="BB287" s="3">
        <f>-BB131</f>
        <v>0</v>
      </c>
      <c r="BC287" s="3">
        <f>-BC131</f>
        <v>0</v>
      </c>
      <c r="BD287" s="3">
        <f>-BD131</f>
        <v>0</v>
      </c>
      <c r="BE287" s="3">
        <f>-BE131</f>
        <v>0</v>
      </c>
      <c r="BF287" s="3">
        <f>SUM(BB287:BE287)</f>
        <v>0</v>
      </c>
      <c r="BG287" s="3">
        <f>-BG131</f>
        <v>0</v>
      </c>
      <c r="BH287" s="3">
        <f>-BH131</f>
        <v>0</v>
      </c>
      <c r="BI287" s="3">
        <f>-BI131</f>
        <v>0</v>
      </c>
      <c r="BJ287" s="3">
        <f>-BJ131</f>
        <v>0</v>
      </c>
      <c r="BK287" s="3">
        <f>SUM(BG287:BJ287)</f>
        <v>0</v>
      </c>
      <c r="BL287" s="3">
        <f>-BL131</f>
        <v>0</v>
      </c>
      <c r="BM287" s="3">
        <f>-BM131</f>
        <v>0</v>
      </c>
      <c r="BN287" s="3">
        <f>-BN131</f>
        <v>0</v>
      </c>
      <c r="BO287" s="3">
        <f>-BO131</f>
        <v>0</v>
      </c>
      <c r="BP287" s="3">
        <f>SUM(BL287:BO287)</f>
        <v>0</v>
      </c>
      <c r="BQ287" s="3">
        <f>-BQ131</f>
        <v>0</v>
      </c>
      <c r="BR287" s="3">
        <f>-BR131</f>
        <v>0</v>
      </c>
      <c r="BS287" s="3">
        <f>-BS131</f>
        <v>0</v>
      </c>
      <c r="BT287" s="3">
        <f>-BT131</f>
        <v>0</v>
      </c>
      <c r="BU287" s="3">
        <f>SUM(BQ287:BT287)</f>
        <v>0</v>
      </c>
      <c r="BV287" s="3">
        <f>-BV131</f>
        <v>0</v>
      </c>
      <c r="BW287" s="3">
        <f>-BW131</f>
        <v>0</v>
      </c>
      <c r="BX287" s="3">
        <f>-BX131</f>
        <v>0</v>
      </c>
      <c r="BY287" s="3">
        <f>-BY131</f>
        <v>0</v>
      </c>
      <c r="BZ287" s="3">
        <f>SUM(BV287:BY287)</f>
        <v>0</v>
      </c>
      <c r="CA287" s="3">
        <f>-CA131</f>
        <v>0</v>
      </c>
      <c r="CB287" s="3">
        <f>-CB131</f>
        <v>0</v>
      </c>
      <c r="CC287" s="3">
        <f>-CC131</f>
        <v>0</v>
      </c>
      <c r="CD287" s="3">
        <f>-CD131</f>
        <v>0</v>
      </c>
      <c r="CE287" s="3">
        <f>SUM(CA287:CD287)</f>
        <v>0</v>
      </c>
      <c r="CF287" s="3">
        <f>-CF131</f>
        <v>0</v>
      </c>
      <c r="CG287" s="3">
        <f>-CG131</f>
        <v>0</v>
      </c>
      <c r="CH287" s="3">
        <f>-CH131</f>
        <v>0</v>
      </c>
      <c r="CI287" s="3">
        <f>-CI131</f>
        <v>0</v>
      </c>
      <c r="CJ287" s="3">
        <f>SUM(CF287:CI287)</f>
        <v>0</v>
      </c>
      <c r="CK287" s="3">
        <f>-CK131</f>
        <v>0</v>
      </c>
      <c r="CL287" s="3">
        <f>-CL131</f>
        <v>0</v>
      </c>
      <c r="CM287" s="3">
        <f>-CM131</f>
        <v>0</v>
      </c>
      <c r="CN287" s="3">
        <f>-CN131</f>
        <v>0</v>
      </c>
      <c r="CO287" s="3">
        <f>SUM(CK287:CN287)</f>
        <v>0</v>
      </c>
      <c r="CP287" s="3">
        <f>-CP131</f>
        <v>0</v>
      </c>
      <c r="CQ287" s="3">
        <f>-CQ131</f>
        <v>0</v>
      </c>
      <c r="CR287" s="3">
        <f>-CR131</f>
        <v>0</v>
      </c>
      <c r="CS287" s="3">
        <f>-CS131</f>
        <v>0</v>
      </c>
      <c r="CT287" s="3">
        <f>SUM(CP287:CS287)</f>
        <v>0</v>
      </c>
      <c r="CU287" s="3">
        <f>-CU131</f>
        <v>0</v>
      </c>
      <c r="CV287" s="3">
        <f>-CV131</f>
        <v>0</v>
      </c>
      <c r="CW287" s="3">
        <f>-CW131</f>
        <v>0</v>
      </c>
      <c r="CX287" s="3">
        <f>-CX131</f>
        <v>0</v>
      </c>
      <c r="CY287" s="3">
        <f>SUM(CU287:CX287)</f>
        <v>0</v>
      </c>
    </row>
    <row r="288">
      <c r="C288" s="26" t="inlineStr">
        <is>
          <t>Cash from operations</t>
        </is>
      </c>
      <c r="D288" s="3" t="n"/>
      <c r="E288" s="3">
        <f>SUM(E272,E273,E274,E285,E286,E287)</f>
        <v>2964.5</v>
      </c>
      <c r="F288" s="3">
        <f>SUM(F272,F273,F274,F285,F286,F287)</f>
        <v>1810.9</v>
      </c>
      <c r="G288" s="3">
        <f>SUM(G272,G273,G274,G285,G286,G287)</f>
        <v>2113.7</v>
      </c>
      <c r="H288" s="3">
        <f>SUM(H272,H273,H274,H285,H286,H287)</f>
        <v>6889.1</v>
      </c>
      <c r="I288" s="3">
        <f>SUM(I272,I273,I274,I285,I286,I287)</f>
        <v>1450.9</v>
      </c>
      <c r="J288" s="3">
        <f>SUM(J272,J273,J274,J285,J286,J287)</f>
        <v>2525.4</v>
      </c>
      <c r="K288" s="3">
        <f>SUM(K272,K273,K274,K285,K286,K287)</f>
        <v>162.499999999998</v>
      </c>
      <c r="L288" s="3">
        <f>SUM(L272,L273,L274,L285,L286,L287)</f>
        <v>3243.9</v>
      </c>
      <c r="M288" s="3">
        <f>SUM(M272,M273,M274,M285,M286,M287)</f>
        <v>7382.7</v>
      </c>
      <c r="N288" s="3">
        <f>SUM(N272,N273,N274,N285,N286,N287)</f>
        <v>578.499999999999</v>
      </c>
      <c r="O288" s="3">
        <f>SUM(O272,O273,O274,O285,O286,O287)</f>
        <v>2457.4</v>
      </c>
      <c r="P288" s="3">
        <f>SUM(P272,P273,P274,P285,P286,P287)</f>
        <v>1001.7</v>
      </c>
      <c r="Q288" s="3">
        <f>SUM(Q272,Q273,Q274,Q285,Q286,Q287)</f>
        <v>2623.5</v>
      </c>
      <c r="R288" s="3">
        <f>SUM(R272,R273,R274,R285,R286,R287)</f>
        <v>6661.1</v>
      </c>
      <c r="S288" s="3">
        <f>SUM(S272,S273,S274,S285,S286,S287)</f>
        <v>56.5000000000003</v>
      </c>
      <c r="T288" s="3">
        <f>SUM(T272,T273,T274,T285,T286,T287)</f>
        <v>2616.4</v>
      </c>
      <c r="U288" s="3">
        <f>SUM(U272,U273,U274,U285,U286,U287)</f>
        <v>-925.8</v>
      </c>
      <c r="V288" s="3">
        <f>SUM(V272,V273,V274,V285,V286,V287)</f>
        <v>23.8999999999989</v>
      </c>
      <c r="W288" s="3">
        <f>SUM(W272,W273,W274,W285,W286,W287)</f>
        <v>1771</v>
      </c>
      <c r="X288" s="3">
        <f>SUM(X272,X273,X274,X285,X286,X287)</f>
        <v>-758.399999999997</v>
      </c>
      <c r="Y288" s="3">
        <f>SUM(Y272,Y273,Y274,Y285,Y286,Y287)</f>
        <v>3135.2</v>
      </c>
      <c r="Z288" s="3">
        <f>SUM(Z272,Z273,Z274,Z285,Z286,Z287)</f>
        <v>283.9</v>
      </c>
      <c r="AA288" s="3">
        <f>SUM(AA272,AA273,AA274,AA285,AA286,AA287)</f>
        <v>3526.2</v>
      </c>
      <c r="AB288" s="3">
        <f>SUM(AB272,AB273,AB274,AB285,AB286,AB287)</f>
        <v>6186.9</v>
      </c>
      <c r="AC288" s="3">
        <f>SUM(AC272,AC273,AC274,AC285,AC286,AC287)</f>
        <v>-3282.6</v>
      </c>
      <c r="AD288" s="3">
        <f>SUM(AD272,AD273,AD274,AD285,AD286,AD287)</f>
        <v>4262.3</v>
      </c>
      <c r="AE288" s="3">
        <f>SUM(AE272,AE273,AE274,AE285,AE286,AE287)</f>
        <v>5879.1</v>
      </c>
      <c r="AF288" s="3">
        <f>SUM(AF272,AF273,AF274,AF285,AF286,AF287)</f>
        <v>5109</v>
      </c>
      <c r="AG288" s="3">
        <f>SUM(AG272,AG273,AG274,AG285,AG286,AG287)</f>
        <v>11967.8</v>
      </c>
      <c r="AH288" s="3">
        <f>SUM(AH272,AH273,AH274,AH285,AH286,AH287)</f>
        <v>4363</v>
      </c>
      <c r="AI288" s="3">
        <f>SUM(AI272,AI273,AI274,AI285,AI286,AI287)</f>
        <v>10839</v>
      </c>
      <c r="AJ288" s="3">
        <f>SUM(AJ272,AJ273,AJ274,AJ285,AJ286,AJ287)</f>
        <v>37816</v>
      </c>
      <c r="AK288" s="3">
        <f>SUM(AK272,AK273,AK274,AK285,AK286,AK287)</f>
        <v>9247</v>
      </c>
      <c r="AL288" s="3">
        <f>SUM(AL272,AL273,AL274,AL285,AL286,AL287)</f>
        <v>62265</v>
      </c>
      <c r="AM288" s="3" t="e">
        <f>SUM(AM272,AM273,AM274,AM285,AM286,AM287)</f>
        <v>#DIV/0!</v>
      </c>
      <c r="AN288" s="3" t="e">
        <f>SUM(AN272,AN273,AN274,AN285,AN286,AN287)</f>
        <v>#DIV/0!</v>
      </c>
      <c r="AO288" s="3" t="e">
        <f>SUM(AO272,AO273,AO274,AO285,AO286,AO287)</f>
        <v>#DIV/0!</v>
      </c>
      <c r="AP288" s="3" t="e">
        <f>SUM(AP272,AP273,AP274,AP285,AP286,AP287)</f>
        <v>#DIV/0!</v>
      </c>
      <c r="AQ288" s="3" t="e">
        <f>SUM(AQ272,AQ273,AQ274,AQ285,AQ286,AQ287)</f>
        <v>#DIV/0!</v>
      </c>
      <c r="AR288" s="3" t="e">
        <f>SUM(AR272,AR273,AR274,AR285,AR286,AR287)</f>
        <v>#DIV/0!</v>
      </c>
      <c r="AS288" s="3" t="e">
        <f>SUM(AS272,AS273,AS274,AS285,AS286,AS287)</f>
        <v>#DIV/0!</v>
      </c>
      <c r="AT288" s="3" t="e">
        <f>SUM(AT272,AT273,AT274,AT285,AT286,AT287)</f>
        <v>#DIV/0!</v>
      </c>
      <c r="AU288" s="3" t="e">
        <f>SUM(AU272,AU273,AU274,AU285,AU286,AU287)</f>
        <v>#DIV/0!</v>
      </c>
      <c r="AV288" s="3" t="e">
        <f>SUM(AV272,AV273,AV274,AV285,AV286,AV287)</f>
        <v>#DIV/0!</v>
      </c>
      <c r="AW288" s="3" t="e">
        <f>SUM(AW272,AW273,AW274,AW285,AW286,AW287)</f>
        <v>#DIV/0!</v>
      </c>
      <c r="AX288" s="3" t="e">
        <f>SUM(AX272,AX273,AX274,AX285,AX286,AX287)</f>
        <v>#DIV/0!</v>
      </c>
      <c r="AY288" s="3" t="e">
        <f>SUM(AY272,AY273,AY274,AY285,AY286,AY287)</f>
        <v>#DIV/0!</v>
      </c>
      <c r="AZ288" s="3" t="e">
        <f>SUM(AZ272,AZ273,AZ274,AZ285,AZ286,AZ287)</f>
        <v>#DIV/0!</v>
      </c>
      <c r="BA288" s="3" t="e">
        <f>SUM(BA272,BA273,BA274,BA285,BA286,BA287)</f>
        <v>#DIV/0!</v>
      </c>
      <c r="BB288" s="3" t="e">
        <f>SUM(BB272,BB273,BB274,BB285,BB286,BB287)</f>
        <v>#DIV/0!</v>
      </c>
      <c r="BC288" s="3" t="e">
        <f>SUM(BC272,BC273,BC274,BC285,BC286,BC287)</f>
        <v>#DIV/0!</v>
      </c>
      <c r="BD288" s="3" t="e">
        <f>SUM(BD272,BD273,BD274,BD285,BD286,BD287)</f>
        <v>#DIV/0!</v>
      </c>
      <c r="BE288" s="3" t="e">
        <f>SUM(BE272,BE273,BE274,BE285,BE286,BE287)</f>
        <v>#DIV/0!</v>
      </c>
      <c r="BF288" s="3" t="e">
        <f>SUM(BF272,BF273,BF274,BF285,BF286,BF287)</f>
        <v>#DIV/0!</v>
      </c>
      <c r="BG288" s="3" t="e">
        <f>SUM(BG272,BG273,BG274,BG285,BG286,BG287)</f>
        <v>#DIV/0!</v>
      </c>
      <c r="BH288" s="3" t="e">
        <f>SUM(BH272,BH273,BH274,BH285,BH286,BH287)</f>
        <v>#DIV/0!</v>
      </c>
      <c r="BI288" s="3" t="e">
        <f>SUM(BI272,BI273,BI274,BI285,BI286,BI287)</f>
        <v>#DIV/0!</v>
      </c>
      <c r="BJ288" s="3" t="e">
        <f>SUM(BJ272,BJ273,BJ274,BJ285,BJ286,BJ287)</f>
        <v>#DIV/0!</v>
      </c>
      <c r="BK288" s="3" t="e">
        <f>SUM(BK272,BK273,BK274,BK285,BK286,BK287)</f>
        <v>#DIV/0!</v>
      </c>
      <c r="BL288" s="3" t="e">
        <f>SUM(BL272,BL273,BL274,BL285,BL286,BL287)</f>
        <v>#DIV/0!</v>
      </c>
      <c r="BM288" s="3" t="e">
        <f>SUM(BM272,BM273,BM274,BM285,BM286,BM287)</f>
        <v>#DIV/0!</v>
      </c>
      <c r="BN288" s="3" t="e">
        <f>SUM(BN272,BN273,BN274,BN285,BN286,BN287)</f>
        <v>#DIV/0!</v>
      </c>
      <c r="BO288" s="3" t="e">
        <f>SUM(BO272,BO273,BO274,BO285,BO286,BO287)</f>
        <v>#DIV/0!</v>
      </c>
      <c r="BP288" s="3" t="e">
        <f>SUM(BP272,BP273,BP274,BP285,BP286,BP287)</f>
        <v>#DIV/0!</v>
      </c>
      <c r="BQ288" s="3" t="e">
        <f>SUM(BQ272,BQ273,BQ274,BQ285,BQ286,BQ287)</f>
        <v>#DIV/0!</v>
      </c>
      <c r="BR288" s="3" t="e">
        <f>SUM(BR272,BR273,BR274,BR285,BR286,BR287)</f>
        <v>#DIV/0!</v>
      </c>
      <c r="BS288" s="3" t="e">
        <f>SUM(BS272,BS273,BS274,BS285,BS286,BS287)</f>
        <v>#DIV/0!</v>
      </c>
      <c r="BT288" s="3" t="e">
        <f>SUM(BT272,BT273,BT274,BT285,BT286,BT287)</f>
        <v>#DIV/0!</v>
      </c>
      <c r="BU288" s="3" t="e">
        <f>SUM(BU272,BU273,BU274,BU285,BU286,BU287)</f>
        <v>#DIV/0!</v>
      </c>
      <c r="BV288" s="3" t="e">
        <f>SUM(BV272,BV273,BV274,BV285,BV286,BV287)</f>
        <v>#DIV/0!</v>
      </c>
      <c r="BW288" s="3" t="e">
        <f>SUM(BW272,BW273,BW274,BW285,BW286,BW287)</f>
        <v>#DIV/0!</v>
      </c>
      <c r="BX288" s="3" t="e">
        <f>SUM(BX272,BX273,BX274,BX285,BX286,BX287)</f>
        <v>#DIV/0!</v>
      </c>
      <c r="BY288" s="3" t="e">
        <f>SUM(BY272,BY273,BY274,BY285,BY286,BY287)</f>
        <v>#DIV/0!</v>
      </c>
      <c r="BZ288" s="3" t="e">
        <f>SUM(BZ272,BZ273,BZ274,BZ285,BZ286,BZ287)</f>
        <v>#DIV/0!</v>
      </c>
      <c r="CA288" s="3" t="e">
        <f>SUM(CA272,CA273,CA274,CA285,CA286,CA287)</f>
        <v>#DIV/0!</v>
      </c>
      <c r="CB288" s="3" t="e">
        <f>SUM(CB272,CB273,CB274,CB285,CB286,CB287)</f>
        <v>#DIV/0!</v>
      </c>
      <c r="CC288" s="3" t="e">
        <f>SUM(CC272,CC273,CC274,CC285,CC286,CC287)</f>
        <v>#DIV/0!</v>
      </c>
      <c r="CD288" s="3" t="e">
        <f>SUM(CD272,CD273,CD274,CD285,CD286,CD287)</f>
        <v>#DIV/0!</v>
      </c>
      <c r="CE288" s="3" t="e">
        <f>SUM(CE272,CE273,CE274,CE285,CE286,CE287)</f>
        <v>#DIV/0!</v>
      </c>
      <c r="CF288" s="3" t="e">
        <f>SUM(CF272,CF273,CF274,CF285,CF286,CF287)</f>
        <v>#DIV/0!</v>
      </c>
      <c r="CG288" s="3" t="e">
        <f>SUM(CG272,CG273,CG274,CG285,CG286,CG287)</f>
        <v>#DIV/0!</v>
      </c>
      <c r="CH288" s="3" t="e">
        <f>SUM(CH272,CH273,CH274,CH285,CH286,CH287)</f>
        <v>#DIV/0!</v>
      </c>
      <c r="CI288" s="3" t="e">
        <f>SUM(CI272,CI273,CI274,CI285,CI286,CI287)</f>
        <v>#DIV/0!</v>
      </c>
      <c r="CJ288" s="3" t="e">
        <f>SUM(CJ272,CJ273,CJ274,CJ285,CJ286,CJ287)</f>
        <v>#DIV/0!</v>
      </c>
      <c r="CK288" s="3" t="e">
        <f>SUM(CK272,CK273,CK274,CK285,CK286,CK287)</f>
        <v>#DIV/0!</v>
      </c>
      <c r="CL288" s="3" t="e">
        <f>SUM(CL272,CL273,CL274,CL285,CL286,CL287)</f>
        <v>#DIV/0!</v>
      </c>
      <c r="CM288" s="3" t="e">
        <f>SUM(CM272,CM273,CM274,CM285,CM286,CM287)</f>
        <v>#DIV/0!</v>
      </c>
      <c r="CN288" s="3" t="e">
        <f>SUM(CN272,CN273,CN274,CN285,CN286,CN287)</f>
        <v>#DIV/0!</v>
      </c>
      <c r="CO288" s="3" t="e">
        <f>SUM(CO272,CO273,CO274,CO285,CO286,CO287)</f>
        <v>#DIV/0!</v>
      </c>
      <c r="CP288" s="3" t="e">
        <f>SUM(CP272,CP273,CP274,CP285,CP286,CP287)</f>
        <v>#DIV/0!</v>
      </c>
      <c r="CQ288" s="3" t="e">
        <f>SUM(CQ272,CQ273,CQ274,CQ285,CQ286,CQ287)</f>
        <v>#DIV/0!</v>
      </c>
      <c r="CR288" s="3" t="e">
        <f>SUM(CR272,CR273,CR274,CR285,CR286,CR287)</f>
        <v>#DIV/0!</v>
      </c>
      <c r="CS288" s="3" t="e">
        <f>SUM(CS272,CS273,CS274,CS285,CS286,CS287)</f>
        <v>#DIV/0!</v>
      </c>
      <c r="CT288" s="3" t="e">
        <f>SUM(CT272,CT273,CT274,CT285,CT286,CT287)</f>
        <v>#DIV/0!</v>
      </c>
      <c r="CU288" s="3" t="e">
        <f>SUM(CU272,CU273,CU274,CU285,CU286,CU287)</f>
        <v>#DIV/0!</v>
      </c>
      <c r="CV288" s="3" t="e">
        <f>SUM(CV272,CV273,CV274,CV285,CV286,CV287)</f>
        <v>#DIV/0!</v>
      </c>
      <c r="CW288" s="3" t="e">
        <f>SUM(CW272,CW273,CW274,CW285,CW286,CW287)</f>
        <v>#DIV/0!</v>
      </c>
      <c r="CX288" s="3" t="e">
        <f>SUM(CX272,CX273,CX274,CX285,CX286,CX287)</f>
        <v>#DIV/0!</v>
      </c>
      <c r="CY288" s="3" t="e">
        <f>SUM(CY272,CY273,CY274,CY285,CY286,CY287)</f>
        <v>#DIV/0!</v>
      </c>
    </row>
    <row r="289">
      <c r="C289" s="26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/>
      <c r="BH289" s="3" t="n"/>
      <c r="BI289" s="3" t="n"/>
      <c r="BJ289" s="3" t="n"/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n"/>
      <c r="CC289" s="3" t="n"/>
      <c r="CD289" s="3" t="n"/>
      <c r="CE289" s="3" t="n"/>
      <c r="CF289" s="3" t="n"/>
      <c r="CG289" s="3" t="n"/>
      <c r="CH289" s="3" t="n"/>
      <c r="CI289" s="3" t="n"/>
      <c r="CJ289" s="3" t="n"/>
      <c r="CK289" s="3" t="n"/>
      <c r="CL289" s="3" t="n"/>
      <c r="CM289" s="3" t="n"/>
      <c r="CN289" s="3" t="n"/>
      <c r="CO289" s="3" t="n"/>
      <c r="CP289" s="3" t="n"/>
      <c r="CQ289" s="3" t="n"/>
      <c r="CR289" s="3" t="n"/>
      <c r="CS289" s="3" t="n"/>
      <c r="CT289" s="3" t="n"/>
      <c r="CU289" s="3" t="n"/>
      <c r="CV289" s="3" t="n"/>
      <c r="CW289" s="3" t="n"/>
      <c r="CX289" s="3" t="n"/>
      <c r="CY289" s="3" t="n"/>
    </row>
    <row r="290">
      <c r="C290" s="29" t="inlineStr">
        <is>
          <t>Purchase of fixed assets (capital expenditures)</t>
        </is>
      </c>
      <c r="D290" s="3" t="n"/>
      <c r="E290" s="3">
        <f>-E163</f>
        <v>-407.6</v>
      </c>
      <c r="F290" s="3">
        <f>-F163</f>
        <v>-658.400000000001</v>
      </c>
      <c r="G290" s="3">
        <f>-G163</f>
        <v>-768.299999999999</v>
      </c>
      <c r="H290" s="3">
        <f>SUM(D290:G290)</f>
        <v>-1834.3</v>
      </c>
      <c r="I290" s="3">
        <f>-I163</f>
        <v>-298.500000000001</v>
      </c>
      <c r="J290" s="3">
        <f>-J163</f>
        <v>-594.7</v>
      </c>
      <c r="K290" s="3">
        <f>-K163</f>
        <v>-447.2</v>
      </c>
      <c r="L290" s="3">
        <f>-L163</f>
        <v>-510.400000000001</v>
      </c>
      <c r="M290" s="3">
        <f>SUM(I290:L290)</f>
        <v>-1850.8</v>
      </c>
      <c r="N290" s="3">
        <f>-N163</f>
        <v>-553.299999999999</v>
      </c>
      <c r="O290" s="3">
        <f>-O163</f>
        <v>-374.4</v>
      </c>
      <c r="P290" s="3">
        <f>-P163</f>
        <v>-546</v>
      </c>
      <c r="Q290" s="3">
        <f>-Q163</f>
        <v>-1207.7</v>
      </c>
      <c r="R290" s="3">
        <f>SUM(N290:Q290)</f>
        <v>-2681.4</v>
      </c>
      <c r="S290" s="3">
        <f>-S163</f>
        <v>-764.499999999999</v>
      </c>
      <c r="T290" s="3">
        <f>-T163</f>
        <v>-1097.5</v>
      </c>
      <c r="U290" s="3">
        <f>-U163</f>
        <v>-996.799999999999</v>
      </c>
      <c r="V290" s="3">
        <f>-V163</f>
        <v>-1438.1</v>
      </c>
      <c r="W290" s="3">
        <f>SUM(S290:V290)</f>
        <v>-4296.9</v>
      </c>
      <c r="X290" s="3">
        <f>-X163</f>
        <v>-1111</v>
      </c>
      <c r="Y290" s="3">
        <f>-Y163</f>
        <v>-1619.8</v>
      </c>
      <c r="Z290" s="3">
        <f>-Z163</f>
        <v>-1809.2</v>
      </c>
      <c r="AA290" s="3">
        <f>-AA163</f>
        <v>-1415.4</v>
      </c>
      <c r="AB290" s="3">
        <f>SUM(X290:AA290)</f>
        <v>-5955.4</v>
      </c>
      <c r="AC290" s="3">
        <f>-AC163</f>
        <v>-1834.5</v>
      </c>
      <c r="AD290" s="3">
        <f>-AD163</f>
        <v>-2534.1</v>
      </c>
      <c r="AE290" s="3">
        <f>-AE163</f>
        <v>-2256.3</v>
      </c>
      <c r="AF290" s="3">
        <f>-AF163</f>
        <v>-2944.7</v>
      </c>
      <c r="AG290" s="3">
        <f>SUM(AC290:AF290)</f>
        <v>-9569.6</v>
      </c>
      <c r="AH290" s="3">
        <f>-AH163</f>
        <v>-2374</v>
      </c>
      <c r="AI290" s="3">
        <f>-AI163</f>
        <v>-3280</v>
      </c>
      <c r="AJ290" s="3">
        <f>-AJ163</f>
        <v>0</v>
      </c>
      <c r="AK290" s="3">
        <f>-AK163</f>
        <v>0</v>
      </c>
      <c r="AL290" s="3">
        <f>SUM(AH290:AK290)</f>
        <v>-5654</v>
      </c>
      <c r="AM290" s="3">
        <f>-AM163</f>
        <v>0</v>
      </c>
      <c r="AN290" s="3">
        <f>-AN163</f>
        <v>0</v>
      </c>
      <c r="AO290" s="3">
        <f>-AO163</f>
        <v>0</v>
      </c>
      <c r="AP290" s="3">
        <f>-AP163</f>
        <v>0</v>
      </c>
      <c r="AQ290" s="3">
        <f>SUM(AM290:AP290)</f>
        <v>0</v>
      </c>
      <c r="AR290" s="3">
        <f>-AR163</f>
        <v>0</v>
      </c>
      <c r="AS290" s="3">
        <f>-AS163</f>
        <v>0</v>
      </c>
      <c r="AT290" s="3">
        <f>-AT163</f>
        <v>0</v>
      </c>
      <c r="AU290" s="3">
        <f>-AU163</f>
        <v>0</v>
      </c>
      <c r="AV290" s="3">
        <f>SUM(AR290:AU290)</f>
        <v>0</v>
      </c>
      <c r="AW290" s="3">
        <f>-AW163</f>
        <v>0</v>
      </c>
      <c r="AX290" s="3">
        <f>-AX163</f>
        <v>0</v>
      </c>
      <c r="AY290" s="3">
        <f>-AY163</f>
        <v>0</v>
      </c>
      <c r="AZ290" s="3">
        <f>-AZ163</f>
        <v>0</v>
      </c>
      <c r="BA290" s="3">
        <f>SUM(AW290:AZ290)</f>
        <v>0</v>
      </c>
      <c r="BB290" s="3">
        <f>-BB163</f>
        <v>0</v>
      </c>
      <c r="BC290" s="3">
        <f>-BC163</f>
        <v>0</v>
      </c>
      <c r="BD290" s="3">
        <f>-BD163</f>
        <v>0</v>
      </c>
      <c r="BE290" s="3">
        <f>-BE163</f>
        <v>0</v>
      </c>
      <c r="BF290" s="3">
        <f>SUM(BB290:BE290)</f>
        <v>0</v>
      </c>
      <c r="BG290" s="3">
        <f>-BG163</f>
        <v>0</v>
      </c>
      <c r="BH290" s="3">
        <f>-BH163</f>
        <v>0</v>
      </c>
      <c r="BI290" s="3">
        <f>-BI163</f>
        <v>0</v>
      </c>
      <c r="BJ290" s="3">
        <f>-BJ163</f>
        <v>0</v>
      </c>
      <c r="BK290" s="3">
        <f>SUM(BG290:BJ290)</f>
        <v>0</v>
      </c>
      <c r="BL290" s="3">
        <f>-BL163</f>
        <v>0</v>
      </c>
      <c r="BM290" s="3">
        <f>-BM163</f>
        <v>0</v>
      </c>
      <c r="BN290" s="3">
        <f>-BN163</f>
        <v>0</v>
      </c>
      <c r="BO290" s="3">
        <f>-BO163</f>
        <v>0</v>
      </c>
      <c r="BP290" s="3">
        <f>SUM(BL290:BO290)</f>
        <v>0</v>
      </c>
      <c r="BQ290" s="3">
        <f>-BQ163</f>
        <v>0</v>
      </c>
      <c r="BR290" s="3">
        <f>-BR163</f>
        <v>0</v>
      </c>
      <c r="BS290" s="3">
        <f>-BS163</f>
        <v>0</v>
      </c>
      <c r="BT290" s="3">
        <f>-BT163</f>
        <v>0</v>
      </c>
      <c r="BU290" s="3">
        <f>SUM(BQ290:BT290)</f>
        <v>0</v>
      </c>
      <c r="BV290" s="3">
        <f>-BV163</f>
        <v>0</v>
      </c>
      <c r="BW290" s="3">
        <f>-BW163</f>
        <v>0</v>
      </c>
      <c r="BX290" s="3">
        <f>-BX163</f>
        <v>0</v>
      </c>
      <c r="BY290" s="3">
        <f>-BY163</f>
        <v>0</v>
      </c>
      <c r="BZ290" s="3">
        <f>SUM(BV290:BY290)</f>
        <v>0</v>
      </c>
      <c r="CA290" s="3">
        <f>-CA163</f>
        <v>0</v>
      </c>
      <c r="CB290" s="3">
        <f>-CB163</f>
        <v>0</v>
      </c>
      <c r="CC290" s="3">
        <f>-CC163</f>
        <v>0</v>
      </c>
      <c r="CD290" s="3">
        <f>-CD163</f>
        <v>0</v>
      </c>
      <c r="CE290" s="3">
        <f>SUM(CA290:CD290)</f>
        <v>0</v>
      </c>
      <c r="CF290" s="3">
        <f>-CF163</f>
        <v>0</v>
      </c>
      <c r="CG290" s="3">
        <f>-CG163</f>
        <v>0</v>
      </c>
      <c r="CH290" s="3">
        <f>-CH163</f>
        <v>0</v>
      </c>
      <c r="CI290" s="3">
        <f>-CI163</f>
        <v>0</v>
      </c>
      <c r="CJ290" s="3">
        <f>SUM(CF290:CI290)</f>
        <v>0</v>
      </c>
      <c r="CK290" s="3">
        <f>-CK163</f>
        <v>0</v>
      </c>
      <c r="CL290" s="3">
        <f>-CL163</f>
        <v>0</v>
      </c>
      <c r="CM290" s="3">
        <f>-CM163</f>
        <v>0</v>
      </c>
      <c r="CN290" s="3">
        <f>-CN163</f>
        <v>0</v>
      </c>
      <c r="CO290" s="3">
        <f>SUM(CK290:CN290)</f>
        <v>0</v>
      </c>
      <c r="CP290" s="3">
        <f>-CP163</f>
        <v>0</v>
      </c>
      <c r="CQ290" s="3">
        <f>-CQ163</f>
        <v>0</v>
      </c>
      <c r="CR290" s="3">
        <f>-CR163</f>
        <v>0</v>
      </c>
      <c r="CS290" s="3">
        <f>-CS163</f>
        <v>0</v>
      </c>
      <c r="CT290" s="3">
        <f>SUM(CP290:CS290)</f>
        <v>0</v>
      </c>
      <c r="CU290" s="3">
        <f>-CU163</f>
        <v>0</v>
      </c>
      <c r="CV290" s="3">
        <f>-CV163</f>
        <v>0</v>
      </c>
      <c r="CW290" s="3">
        <f>-CW163</f>
        <v>0</v>
      </c>
      <c r="CX290" s="3">
        <f>-CX163</f>
        <v>0</v>
      </c>
      <c r="CY290" s="3">
        <f>SUM(CU290:CX290)</f>
        <v>0</v>
      </c>
    </row>
    <row r="291">
      <c r="C291" s="29" t="inlineStr">
        <is>
          <t>Proceeds from sale of fixed assets</t>
        </is>
      </c>
      <c r="D291" s="3" t="n"/>
      <c r="E291" s="3">
        <f>-E164</f>
        <v>0</v>
      </c>
      <c r="F291" s="3">
        <f>-F164</f>
        <v>0</v>
      </c>
      <c r="G291" s="3">
        <f>-G164</f>
        <v>0</v>
      </c>
      <c r="H291" s="3">
        <f>SUM(D291:G291)</f>
        <v>0</v>
      </c>
      <c r="I291" s="3">
        <f>-I164</f>
        <v>0</v>
      </c>
      <c r="J291" s="3">
        <f>-J164</f>
        <v>0</v>
      </c>
      <c r="K291" s="3">
        <f>-K164</f>
        <v>0</v>
      </c>
      <c r="L291" s="3">
        <f>-L164</f>
        <v>0</v>
      </c>
      <c r="M291" s="3">
        <f>SUM(I291:L291)</f>
        <v>0</v>
      </c>
      <c r="N291" s="3">
        <f>-N164</f>
        <v>0</v>
      </c>
      <c r="O291" s="3">
        <f>-O164</f>
        <v>0</v>
      </c>
      <c r="P291" s="3">
        <f>-P164</f>
        <v>0</v>
      </c>
      <c r="Q291" s="3">
        <f>-Q164</f>
        <v>0</v>
      </c>
      <c r="R291" s="3">
        <f>SUM(N291:Q291)</f>
        <v>0</v>
      </c>
      <c r="S291" s="3">
        <f>-S164</f>
        <v>0</v>
      </c>
      <c r="T291" s="3">
        <f>-T164</f>
        <v>0</v>
      </c>
      <c r="U291" s="3">
        <f>-U164</f>
        <v>0</v>
      </c>
      <c r="V291" s="3">
        <f>-V164</f>
        <v>0</v>
      </c>
      <c r="W291" s="3">
        <f>SUM(S291:V291)</f>
        <v>0</v>
      </c>
      <c r="X291" s="3">
        <f>-X164</f>
        <v>0</v>
      </c>
      <c r="Y291" s="3">
        <f>-Y164</f>
        <v>0</v>
      </c>
      <c r="Z291" s="3">
        <f>-Z164</f>
        <v>0</v>
      </c>
      <c r="AA291" s="3">
        <f>-AA164</f>
        <v>0</v>
      </c>
      <c r="AB291" s="3">
        <f>SUM(X291:AA291)</f>
        <v>0</v>
      </c>
      <c r="AC291" s="3">
        <f>-AC164</f>
        <v>0</v>
      </c>
      <c r="AD291" s="3">
        <f>-AD164</f>
        <v>0</v>
      </c>
      <c r="AE291" s="3">
        <f>-AE164</f>
        <v>0</v>
      </c>
      <c r="AF291" s="3">
        <f>-AF164</f>
        <v>0</v>
      </c>
      <c r="AG291" s="3">
        <f>SUM(AC291:AF291)</f>
        <v>0</v>
      </c>
      <c r="AH291" s="3">
        <f>-AH164</f>
        <v>0</v>
      </c>
      <c r="AI291" s="3">
        <f>-AI164</f>
        <v>0</v>
      </c>
      <c r="AJ291" s="3">
        <f>-AJ164</f>
        <v>0</v>
      </c>
      <c r="AK291" s="3">
        <f>-AK164</f>
        <v>0</v>
      </c>
      <c r="AL291" s="3">
        <f>SUM(AH291:AK291)</f>
        <v>0</v>
      </c>
      <c r="AM291" s="3">
        <f>-AM164</f>
        <v>0</v>
      </c>
      <c r="AN291" s="3">
        <f>-AN164</f>
        <v>0</v>
      </c>
      <c r="AO291" s="3">
        <f>-AO164</f>
        <v>0</v>
      </c>
      <c r="AP291" s="3">
        <f>-AP164</f>
        <v>0</v>
      </c>
      <c r="AQ291" s="3">
        <f>SUM(AM291:AP291)</f>
        <v>0</v>
      </c>
      <c r="AR291" s="3">
        <f>-AR164</f>
        <v>0</v>
      </c>
      <c r="AS291" s="3">
        <f>-AS164</f>
        <v>0</v>
      </c>
      <c r="AT291" s="3">
        <f>-AT164</f>
        <v>0</v>
      </c>
      <c r="AU291" s="3">
        <f>-AU164</f>
        <v>0</v>
      </c>
      <c r="AV291" s="3">
        <f>SUM(AR291:AU291)</f>
        <v>0</v>
      </c>
      <c r="AW291" s="3">
        <f>-AW164</f>
        <v>0</v>
      </c>
      <c r="AX291" s="3">
        <f>-AX164</f>
        <v>0</v>
      </c>
      <c r="AY291" s="3">
        <f>-AY164</f>
        <v>0</v>
      </c>
      <c r="AZ291" s="3">
        <f>-AZ164</f>
        <v>0</v>
      </c>
      <c r="BA291" s="3">
        <f>SUM(AW291:AZ291)</f>
        <v>0</v>
      </c>
      <c r="BB291" s="3">
        <f>-BB164</f>
        <v>0</v>
      </c>
      <c r="BC291" s="3">
        <f>-BC164</f>
        <v>0</v>
      </c>
      <c r="BD291" s="3">
        <f>-BD164</f>
        <v>0</v>
      </c>
      <c r="BE291" s="3">
        <f>-BE164</f>
        <v>0</v>
      </c>
      <c r="BF291" s="3">
        <f>SUM(BB291:BE291)</f>
        <v>0</v>
      </c>
      <c r="BG291" s="3">
        <f>-BG164</f>
        <v>0</v>
      </c>
      <c r="BH291" s="3">
        <f>-BH164</f>
        <v>0</v>
      </c>
      <c r="BI291" s="3">
        <f>-BI164</f>
        <v>0</v>
      </c>
      <c r="BJ291" s="3">
        <f>-BJ164</f>
        <v>0</v>
      </c>
      <c r="BK291" s="3">
        <f>SUM(BG291:BJ291)</f>
        <v>0</v>
      </c>
      <c r="BL291" s="3">
        <f>-BL164</f>
        <v>0</v>
      </c>
      <c r="BM291" s="3">
        <f>-BM164</f>
        <v>0</v>
      </c>
      <c r="BN291" s="3">
        <f>-BN164</f>
        <v>0</v>
      </c>
      <c r="BO291" s="3">
        <f>-BO164</f>
        <v>0</v>
      </c>
      <c r="BP291" s="3">
        <f>SUM(BL291:BO291)</f>
        <v>0</v>
      </c>
      <c r="BQ291" s="3">
        <f>-BQ164</f>
        <v>0</v>
      </c>
      <c r="BR291" s="3">
        <f>-BR164</f>
        <v>0</v>
      </c>
      <c r="BS291" s="3">
        <f>-BS164</f>
        <v>0</v>
      </c>
      <c r="BT291" s="3">
        <f>-BT164</f>
        <v>0</v>
      </c>
      <c r="BU291" s="3">
        <f>SUM(BQ291:BT291)</f>
        <v>0</v>
      </c>
      <c r="BV291" s="3">
        <f>-BV164</f>
        <v>0</v>
      </c>
      <c r="BW291" s="3">
        <f>-BW164</f>
        <v>0</v>
      </c>
      <c r="BX291" s="3">
        <f>-BX164</f>
        <v>0</v>
      </c>
      <c r="BY291" s="3">
        <f>-BY164</f>
        <v>0</v>
      </c>
      <c r="BZ291" s="3">
        <f>SUM(BV291:BY291)</f>
        <v>0</v>
      </c>
      <c r="CA291" s="3">
        <f>-CA164</f>
        <v>0</v>
      </c>
      <c r="CB291" s="3">
        <f>-CB164</f>
        <v>0</v>
      </c>
      <c r="CC291" s="3">
        <f>-CC164</f>
        <v>0</v>
      </c>
      <c r="CD291" s="3">
        <f>-CD164</f>
        <v>0</v>
      </c>
      <c r="CE291" s="3">
        <f>SUM(CA291:CD291)</f>
        <v>0</v>
      </c>
      <c r="CF291" s="3">
        <f>-CF164</f>
        <v>0</v>
      </c>
      <c r="CG291" s="3">
        <f>-CG164</f>
        <v>0</v>
      </c>
      <c r="CH291" s="3">
        <f>-CH164</f>
        <v>0</v>
      </c>
      <c r="CI291" s="3">
        <f>-CI164</f>
        <v>0</v>
      </c>
      <c r="CJ291" s="3">
        <f>SUM(CF291:CI291)</f>
        <v>0</v>
      </c>
      <c r="CK291" s="3">
        <f>-CK164</f>
        <v>0</v>
      </c>
      <c r="CL291" s="3">
        <f>-CL164</f>
        <v>0</v>
      </c>
      <c r="CM291" s="3">
        <f>-CM164</f>
        <v>0</v>
      </c>
      <c r="CN291" s="3">
        <f>-CN164</f>
        <v>0</v>
      </c>
      <c r="CO291" s="3">
        <f>SUM(CK291:CN291)</f>
        <v>0</v>
      </c>
      <c r="CP291" s="3">
        <f>-CP164</f>
        <v>0</v>
      </c>
      <c r="CQ291" s="3">
        <f>-CQ164</f>
        <v>0</v>
      </c>
      <c r="CR291" s="3">
        <f>-CR164</f>
        <v>0</v>
      </c>
      <c r="CS291" s="3">
        <f>-CS164</f>
        <v>0</v>
      </c>
      <c r="CT291" s="3">
        <f>SUM(CP291:CS291)</f>
        <v>0</v>
      </c>
      <c r="CU291" s="3">
        <f>-CU164</f>
        <v>0</v>
      </c>
      <c r="CV291" s="3">
        <f>-CV164</f>
        <v>0</v>
      </c>
      <c r="CW291" s="3">
        <f>-CW164</f>
        <v>0</v>
      </c>
      <c r="CX291" s="3">
        <f>-CX164</f>
        <v>0</v>
      </c>
      <c r="CY291" s="3">
        <f>SUM(CU291:CX291)</f>
        <v>0</v>
      </c>
    </row>
    <row r="292">
      <c r="C292" s="29" t="inlineStr">
        <is>
          <t>Var.Right-of-use-assets</t>
        </is>
      </c>
      <c r="D292" s="3" t="n"/>
      <c r="E292" s="3">
        <f>(E171-D171)*-1</f>
        <v>0</v>
      </c>
      <c r="F292" s="3">
        <f>(F171-E171)*-1</f>
        <v>0</v>
      </c>
      <c r="G292" s="3">
        <f>(G171-F171)*-1</f>
        <v>0</v>
      </c>
      <c r="H292" s="3">
        <f>SUM(D292:G292)</f>
        <v>0</v>
      </c>
      <c r="I292" s="3">
        <f>(I171-H171)*-1</f>
        <v>0</v>
      </c>
      <c r="J292" s="3">
        <f>(J171-I171)*-1</f>
        <v>0</v>
      </c>
      <c r="K292" s="3">
        <f>(K171-J171)*-1</f>
        <v>0</v>
      </c>
      <c r="L292" s="3">
        <f>(L171-K171)*-1</f>
        <v>0</v>
      </c>
      <c r="M292" s="3">
        <f>SUM(I292:L292)</f>
        <v>0</v>
      </c>
      <c r="N292" s="3">
        <f>(N171-M171)*-1</f>
        <v>0</v>
      </c>
      <c r="O292" s="3">
        <f>(O171-N171)*-1</f>
        <v>0</v>
      </c>
      <c r="P292" s="3">
        <f>(P171-O171)*-1</f>
        <v>0</v>
      </c>
      <c r="Q292" s="3">
        <f>(Q171-P171)*-1</f>
        <v>0</v>
      </c>
      <c r="R292" s="3">
        <f>SUM(N292:Q292)</f>
        <v>0</v>
      </c>
      <c r="S292" s="3">
        <f>(S171-R171)*-1</f>
        <v>0</v>
      </c>
      <c r="T292" s="3">
        <f>(T171-S171)*-1</f>
        <v>0</v>
      </c>
      <c r="U292" s="3">
        <f>(U171-T171)*-1</f>
        <v>0</v>
      </c>
      <c r="V292" s="3">
        <f>(V171-U171)*-1</f>
        <v>0</v>
      </c>
      <c r="W292" s="3">
        <f>SUM(S292:V292)</f>
        <v>0</v>
      </c>
      <c r="X292" s="3">
        <f>(X171-W171)*-1</f>
        <v>0</v>
      </c>
      <c r="Y292" s="3">
        <f>(Y171-X171)*-1</f>
        <v>0</v>
      </c>
      <c r="Z292" s="3">
        <f>(Z171-Y171)*-1</f>
        <v>0</v>
      </c>
      <c r="AA292" s="3">
        <f>(AA171-Z171)*-1</f>
        <v>0</v>
      </c>
      <c r="AB292" s="3">
        <f>SUM(X292:AA292)</f>
        <v>0</v>
      </c>
      <c r="AC292" s="3">
        <f>(AC171-AB171)*-1</f>
        <v>0</v>
      </c>
      <c r="AD292" s="3">
        <f>(AD171-AC171)*-1</f>
        <v>0</v>
      </c>
      <c r="AE292" s="3">
        <f>(AE171-AD171)*-1</f>
        <v>0</v>
      </c>
      <c r="AF292" s="3">
        <f>(AF171-AE171)*-1</f>
        <v>0</v>
      </c>
      <c r="AG292" s="3">
        <f>SUM(AC292:AF292)</f>
        <v>0</v>
      </c>
      <c r="AH292" s="3">
        <f>(AH171-AG171)*-1</f>
        <v>0</v>
      </c>
      <c r="AI292" s="3">
        <f>(AI171-AH171)*-1</f>
        <v>0</v>
      </c>
      <c r="AJ292" s="3">
        <f>(AJ171-AI171)*-1</f>
        <v>0</v>
      </c>
      <c r="AK292" s="3">
        <f>(AK171-AJ171)*-1</f>
        <v>0</v>
      </c>
      <c r="AL292" s="3">
        <f>SUM(AH292:AK292)</f>
        <v>0</v>
      </c>
      <c r="AM292" s="3">
        <f>(AM171-AL171)*-1</f>
        <v>0</v>
      </c>
      <c r="AN292" s="3">
        <f>(AN171-AM171)*-1</f>
        <v>0</v>
      </c>
      <c r="AO292" s="3">
        <f>(AO171-AN171)*-1</f>
        <v>0</v>
      </c>
      <c r="AP292" s="3">
        <f>(AP171-AO171)*-1</f>
        <v>0</v>
      </c>
      <c r="AQ292" s="3">
        <f>SUM(AM292:AP292)</f>
        <v>0</v>
      </c>
      <c r="AR292" s="3">
        <f>(AR171-AQ171)*-1</f>
        <v>0</v>
      </c>
      <c r="AS292" s="3">
        <f>(AS171-AR171)*-1</f>
        <v>0</v>
      </c>
      <c r="AT292" s="3">
        <f>(AT171-AS171)*-1</f>
        <v>0</v>
      </c>
      <c r="AU292" s="3">
        <f>(AU171-AT171)*-1</f>
        <v>0</v>
      </c>
      <c r="AV292" s="3">
        <f>SUM(AR292:AU292)</f>
        <v>0</v>
      </c>
      <c r="AW292" s="3">
        <f>(AW171-AV171)*-1</f>
        <v>0</v>
      </c>
      <c r="AX292" s="3">
        <f>(AX171-AW171)*-1</f>
        <v>0</v>
      </c>
      <c r="AY292" s="3">
        <f>(AY171-AX171)*-1</f>
        <v>0</v>
      </c>
      <c r="AZ292" s="3">
        <f>(AZ171-AY171)*-1</f>
        <v>0</v>
      </c>
      <c r="BA292" s="3">
        <f>SUM(AW292:AZ292)</f>
        <v>0</v>
      </c>
      <c r="BB292" s="3">
        <f>(BB171-BA171)*-1</f>
        <v>0</v>
      </c>
      <c r="BC292" s="3">
        <f>(BC171-BB171)*-1</f>
        <v>0</v>
      </c>
      <c r="BD292" s="3">
        <f>(BD171-BC171)*-1</f>
        <v>0</v>
      </c>
      <c r="BE292" s="3">
        <f>(BE171-BD171)*-1</f>
        <v>0</v>
      </c>
      <c r="BF292" s="3">
        <f>SUM(BB292:BE292)</f>
        <v>0</v>
      </c>
      <c r="BG292" s="3">
        <f>(BG171-BF171)*-1</f>
        <v>0</v>
      </c>
      <c r="BH292" s="3">
        <f>(BH171-BG171)*-1</f>
        <v>0</v>
      </c>
      <c r="BI292" s="3">
        <f>(BI171-BH171)*-1</f>
        <v>0</v>
      </c>
      <c r="BJ292" s="3">
        <f>(BJ171-BI171)*-1</f>
        <v>0</v>
      </c>
      <c r="BK292" s="3">
        <f>SUM(BG292:BJ292)</f>
        <v>0</v>
      </c>
      <c r="BL292" s="3">
        <f>(BL171-BK171)*-1</f>
        <v>0</v>
      </c>
      <c r="BM292" s="3">
        <f>(BM171-BL171)*-1</f>
        <v>0</v>
      </c>
      <c r="BN292" s="3">
        <f>(BN171-BM171)*-1</f>
        <v>0</v>
      </c>
      <c r="BO292" s="3">
        <f>(BO171-BN171)*-1</f>
        <v>0</v>
      </c>
      <c r="BP292" s="3">
        <f>SUM(BL292:BO292)</f>
        <v>0</v>
      </c>
      <c r="BQ292" s="3">
        <f>(BQ171-BP171)*-1</f>
        <v>0</v>
      </c>
      <c r="BR292" s="3">
        <f>(BR171-BQ171)*-1</f>
        <v>0</v>
      </c>
      <c r="BS292" s="3">
        <f>(BS171-BR171)*-1</f>
        <v>0</v>
      </c>
      <c r="BT292" s="3">
        <f>(BT171-BS171)*-1</f>
        <v>0</v>
      </c>
      <c r="BU292" s="3">
        <f>SUM(BQ292:BT292)</f>
        <v>0</v>
      </c>
      <c r="BV292" s="3">
        <f>(BV171-BU171)*-1</f>
        <v>0</v>
      </c>
      <c r="BW292" s="3">
        <f>(BW171-BV171)*-1</f>
        <v>0</v>
      </c>
      <c r="BX292" s="3">
        <f>(BX171-BW171)*-1</f>
        <v>0</v>
      </c>
      <c r="BY292" s="3">
        <f>(BY171-BX171)*-1</f>
        <v>0</v>
      </c>
      <c r="BZ292" s="3">
        <f>SUM(BV292:BY292)</f>
        <v>0</v>
      </c>
      <c r="CA292" s="3">
        <f>(CA171-BZ171)*-1</f>
        <v>0</v>
      </c>
      <c r="CB292" s="3">
        <f>(CB171-CA171)*-1</f>
        <v>0</v>
      </c>
      <c r="CC292" s="3">
        <f>(CC171-CB171)*-1</f>
        <v>0</v>
      </c>
      <c r="CD292" s="3">
        <f>(CD171-CC171)*-1</f>
        <v>0</v>
      </c>
      <c r="CE292" s="3">
        <f>SUM(CA292:CD292)</f>
        <v>0</v>
      </c>
      <c r="CF292" s="3">
        <f>(CF171-CE171)*-1</f>
        <v>0</v>
      </c>
      <c r="CG292" s="3">
        <f>(CG171-CF171)*-1</f>
        <v>0</v>
      </c>
      <c r="CH292" s="3">
        <f>(CH171-CG171)*-1</f>
        <v>0</v>
      </c>
      <c r="CI292" s="3">
        <f>(CI171-CH171)*-1</f>
        <v>0</v>
      </c>
      <c r="CJ292" s="3">
        <f>SUM(CF292:CI292)</f>
        <v>0</v>
      </c>
      <c r="CK292" s="3">
        <f>(CK171-CJ171)*-1</f>
        <v>0</v>
      </c>
      <c r="CL292" s="3">
        <f>(CL171-CK171)*-1</f>
        <v>0</v>
      </c>
      <c r="CM292" s="3">
        <f>(CM171-CL171)*-1</f>
        <v>0</v>
      </c>
      <c r="CN292" s="3">
        <f>(CN171-CM171)*-1</f>
        <v>0</v>
      </c>
      <c r="CO292" s="3">
        <f>SUM(CK292:CN292)</f>
        <v>0</v>
      </c>
      <c r="CP292" s="3">
        <f>(CP171-CO171)*-1</f>
        <v>0</v>
      </c>
      <c r="CQ292" s="3">
        <f>(CQ171-CP171)*-1</f>
        <v>0</v>
      </c>
      <c r="CR292" s="3">
        <f>(CR171-CQ171)*-1</f>
        <v>0</v>
      </c>
      <c r="CS292" s="3">
        <f>(CS171-CR171)*-1</f>
        <v>0</v>
      </c>
      <c r="CT292" s="3">
        <f>SUM(CP292:CS292)</f>
        <v>0</v>
      </c>
      <c r="CU292" s="3">
        <f>(CU171-CT171)*-1</f>
        <v>0</v>
      </c>
      <c r="CV292" s="3">
        <f>(CV171-CU171)*-1</f>
        <v>0</v>
      </c>
      <c r="CW292" s="3">
        <f>(CW171-CV171)*-1</f>
        <v>0</v>
      </c>
      <c r="CX292" s="3">
        <f>(CX171-CW171)*-1</f>
        <v>0</v>
      </c>
      <c r="CY292" s="3">
        <f>SUM(CU292:CX292)</f>
        <v>0</v>
      </c>
      <c r="CZ292" s="3" t="n"/>
      <c r="DA292" s="3" t="n"/>
      <c r="DB292" s="3" t="n"/>
      <c r="DC292" s="3" t="n"/>
    </row>
    <row r="293">
      <c r="C293" s="29" t="inlineStr">
        <is>
          <t>Purchases of intangible assets</t>
        </is>
      </c>
      <c r="D293" s="3" t="n"/>
      <c r="E293" s="3">
        <f>((E175-D175)*-1)+((E174-D174)*-1)</f>
        <v>110.1</v>
      </c>
      <c r="F293" s="3">
        <f>((F175-E175)*-1)+((F174-E174)*-1)</f>
        <v>120.700000000001</v>
      </c>
      <c r="G293" s="3">
        <f>((G175-F175)*-1)+((G174-F174)*-1)</f>
        <v>98.4999999999991</v>
      </c>
      <c r="H293" s="3">
        <f>SUM(D293:G293)</f>
        <v>329.3</v>
      </c>
      <c r="I293" s="3">
        <f>((I175-H175)*-1)+((I174-H174)*-1)</f>
        <v>-748.699999999999</v>
      </c>
      <c r="J293" s="3">
        <f>((J175-I175)*-1)+((J174-I174)*-1)</f>
        <v>95.5999999999995</v>
      </c>
      <c r="K293" s="3">
        <f>((K175-J175)*-1)+((K174-J174)*-1)</f>
        <v>97.7999999999997</v>
      </c>
      <c r="L293" s="3">
        <f>((L175-K175)*-1)+((L174-K174)*-1)</f>
        <v>187.9</v>
      </c>
      <c r="M293" s="3">
        <f>SUM(I293:L293)</f>
        <v>-367.4</v>
      </c>
      <c r="N293" s="3">
        <f>((N175-M175)*-1)+((N174-M174)*-1)</f>
        <v>209.5</v>
      </c>
      <c r="O293" s="3">
        <f>((O175-N175)*-1)+((O174-N174)*-1)</f>
        <v>-15.0999999999999</v>
      </c>
      <c r="P293" s="3">
        <f>((P175-O175)*-1)+((P174-O174)*-1)</f>
        <v>373.8</v>
      </c>
      <c r="Q293" s="3">
        <f>((Q175-P175)*-1)+((Q174-P174)*-1)</f>
        <v>-263.9</v>
      </c>
      <c r="R293" s="3">
        <f>SUM(N293:Q293)</f>
        <v>304.3</v>
      </c>
      <c r="S293" s="3">
        <f>((S175-R175)*-1)+((S174-R174)*-1)</f>
        <v>119.4</v>
      </c>
      <c r="T293" s="3">
        <f>((T175-S175)*-1)+((T174-S174)*-1)</f>
        <v>177.8</v>
      </c>
      <c r="U293" s="3">
        <f>((U175-T175)*-1)+((U174-T174)*-1)</f>
        <v>115.5</v>
      </c>
      <c r="V293" s="3">
        <f>((V175-U175)*-1)+((V174-U174)*-1)</f>
        <v>-979.4</v>
      </c>
      <c r="W293" s="3">
        <f>SUM(S293:V293)</f>
        <v>-566.7</v>
      </c>
      <c r="X293" s="3">
        <f>((X175-W175)*-1)+((X174-W174)*-1)</f>
        <v>144.5</v>
      </c>
      <c r="Y293" s="3">
        <f>((Y175-X175)*-1)+((Y174-X174)*-1)</f>
        <v>-702.5</v>
      </c>
      <c r="Z293" s="3">
        <f>((Z175-Y175)*-1)+((Z174-Y174)*-1)</f>
        <v>98.6000000000004</v>
      </c>
      <c r="AA293" s="3">
        <f>((AA175-Z175)*-1)+((AA174-Z174)*-1)</f>
        <v>369.099999999999</v>
      </c>
      <c r="AB293" s="3">
        <f>SUM(X293:AA293)</f>
        <v>-90.3000000000002</v>
      </c>
      <c r="AC293" s="3">
        <f>((AC175-AB175)*-1)+((AC174-AB174)*-1)</f>
        <v>153.9</v>
      </c>
      <c r="AD293" s="3">
        <f>((AD175-AC175)*-1)+((AD174-AC174)*-1)</f>
        <v>103.9</v>
      </c>
      <c r="AE293" s="3">
        <f>((AE175-AD175)*-1)+((AE174-AD174)*-1)</f>
        <v>-665.9</v>
      </c>
      <c r="AF293" s="3">
        <f>((AF175-AE175)*-1)+((AF174-AE174)*-1)</f>
        <v>-74.3000000000002</v>
      </c>
      <c r="AG293" s="3">
        <f>SUM(AC293:AF293)</f>
        <v>-482.400000000001</v>
      </c>
      <c r="AH293" s="3">
        <f>((AH175-AG175)*-1)+((AH174-AG174)*-1)</f>
        <v>-1085</v>
      </c>
      <c r="AI293" s="3">
        <f>((AI175-AH175)*-1)+((AI174-AH174)*-1)</f>
        <v>-13455</v>
      </c>
      <c r="AJ293" s="3">
        <f>((AJ175-AI175)*-1)+((AJ174-AI174)*-1)</f>
        <v>18110</v>
      </c>
      <c r="AK293" s="3">
        <f>((AK175-AJ175)*-1)+((AK174-AJ174)*-1)</f>
        <v>0</v>
      </c>
      <c r="AL293" s="3">
        <f>SUM(AH293:AK293)</f>
        <v>3570</v>
      </c>
      <c r="AM293" s="3">
        <f>((AM175-AL175)*-1)+((AM174-AL174)*-1)</f>
        <v>0</v>
      </c>
      <c r="AN293" s="3">
        <f>((AN175-AM175)*-1)+((AN174-AM174)*-1)</f>
        <v>0</v>
      </c>
      <c r="AO293" s="3">
        <f>((AO175-AN175)*-1)+((AO174-AN174)*-1)</f>
        <v>0</v>
      </c>
      <c r="AP293" s="3">
        <f>((AP175-AO175)*-1)+((AP174-AO174)*-1)</f>
        <v>0</v>
      </c>
      <c r="AQ293" s="3">
        <f>SUM(AM293:AP293)</f>
        <v>0</v>
      </c>
      <c r="AR293" s="3">
        <f>((AR175-AQ175)*-1)+((AR174-AQ174)*-1)</f>
        <v>0</v>
      </c>
      <c r="AS293" s="3">
        <f>((AS175-AR175)*-1)+((AS174-AR174)*-1)</f>
        <v>0</v>
      </c>
      <c r="AT293" s="3">
        <f>((AT175-AS175)*-1)+((AT174-AS174)*-1)</f>
        <v>0</v>
      </c>
      <c r="AU293" s="3">
        <f>((AU175-AT175)*-1)+((AU174-AT174)*-1)</f>
        <v>0</v>
      </c>
      <c r="AV293" s="3">
        <f>SUM(AR293:AU293)</f>
        <v>0</v>
      </c>
      <c r="AW293" s="3">
        <f>((AW175-AV175)*-1)+((AW174-AV174)*-1)</f>
        <v>0</v>
      </c>
      <c r="AX293" s="3">
        <f>((AX175-AW175)*-1)+((AX174-AW174)*-1)</f>
        <v>0</v>
      </c>
      <c r="AY293" s="3">
        <f>((AY175-AX175)*-1)+((AY174-AX174)*-1)</f>
        <v>0</v>
      </c>
      <c r="AZ293" s="3">
        <f>((AZ175-AY175)*-1)+((AZ174-AY174)*-1)</f>
        <v>0</v>
      </c>
      <c r="BA293" s="3">
        <f>SUM(AW293:AZ293)</f>
        <v>0</v>
      </c>
      <c r="BB293" s="3">
        <f>((BB175-BA175)*-1)+((BB174-BA174)*-1)</f>
        <v>0</v>
      </c>
      <c r="BC293" s="3">
        <f>((BC175-BB175)*-1)+((BC174-BB174)*-1)</f>
        <v>0</v>
      </c>
      <c r="BD293" s="3">
        <f>((BD175-BC175)*-1)+((BD174-BC174)*-1)</f>
        <v>0</v>
      </c>
      <c r="BE293" s="3">
        <f>((BE175-BD175)*-1)+((BE174-BD174)*-1)</f>
        <v>0</v>
      </c>
      <c r="BF293" s="3">
        <f>SUM(BB293:BE293)</f>
        <v>0</v>
      </c>
      <c r="BG293" s="3">
        <f>((BG175-BF175)*-1)+((BG174-BF174)*-1)</f>
        <v>0</v>
      </c>
      <c r="BH293" s="3">
        <f>((BH175-BG175)*-1)+((BH174-BG174)*-1)</f>
        <v>0</v>
      </c>
      <c r="BI293" s="3">
        <f>((BI175-BH175)*-1)+((BI174-BH174)*-1)</f>
        <v>0</v>
      </c>
      <c r="BJ293" s="3">
        <f>((BJ175-BI175)*-1)+((BJ174-BI174)*-1)</f>
        <v>0</v>
      </c>
      <c r="BK293" s="3">
        <f>SUM(BG293:BJ293)</f>
        <v>0</v>
      </c>
      <c r="BL293" s="3">
        <f>((BL175-BK175)*-1)+((BL174-BK174)*-1)</f>
        <v>0</v>
      </c>
      <c r="BM293" s="3">
        <f>((BM175-BL175)*-1)+((BM174-BL174)*-1)</f>
        <v>0</v>
      </c>
      <c r="BN293" s="3">
        <f>((BN175-BM175)*-1)+((BN174-BM174)*-1)</f>
        <v>0</v>
      </c>
      <c r="BO293" s="3">
        <f>((BO175-BN175)*-1)+((BO174-BN174)*-1)</f>
        <v>0</v>
      </c>
      <c r="BP293" s="3">
        <f>SUM(BL293:BO293)</f>
        <v>0</v>
      </c>
      <c r="BQ293" s="3">
        <f>((BQ175-BP175)*-1)+((BQ174-BP174)*-1)</f>
        <v>0</v>
      </c>
      <c r="BR293" s="3">
        <f>((BR175-BQ175)*-1)+((BR174-BQ174)*-1)</f>
        <v>0</v>
      </c>
      <c r="BS293" s="3">
        <f>((BS175-BR175)*-1)+((BS174-BR174)*-1)</f>
        <v>0</v>
      </c>
      <c r="BT293" s="3">
        <f>((BT175-BS175)*-1)+((BT174-BS174)*-1)</f>
        <v>0</v>
      </c>
      <c r="BU293" s="3">
        <f>SUM(BQ293:BT293)</f>
        <v>0</v>
      </c>
      <c r="BV293" s="3">
        <f>((BV175-BU175)*-1)+((BV174-BU174)*-1)</f>
        <v>0</v>
      </c>
      <c r="BW293" s="3">
        <f>((BW175-BV175)*-1)+((BW174-BV174)*-1)</f>
        <v>0</v>
      </c>
      <c r="BX293" s="3">
        <f>((BX175-BW175)*-1)+((BX174-BW174)*-1)</f>
        <v>0</v>
      </c>
      <c r="BY293" s="3">
        <f>((BY175-BX175)*-1)+((BY174-BX174)*-1)</f>
        <v>0</v>
      </c>
      <c r="BZ293" s="3">
        <f>SUM(BV293:BY293)</f>
        <v>0</v>
      </c>
      <c r="CA293" s="3">
        <f>((CA175-BZ175)*-1)+((CA174-BZ174)*-1)</f>
        <v>0</v>
      </c>
      <c r="CB293" s="3">
        <f>((CB175-CA175)*-1)+((CB174-CA174)*-1)</f>
        <v>0</v>
      </c>
      <c r="CC293" s="3">
        <f>((CC175-CB175)*-1)+((CC174-CB174)*-1)</f>
        <v>0</v>
      </c>
      <c r="CD293" s="3">
        <f>((CD175-CC175)*-1)+((CD174-CC174)*-1)</f>
        <v>0</v>
      </c>
      <c r="CE293" s="3">
        <f>SUM(CA293:CD293)</f>
        <v>0</v>
      </c>
      <c r="CF293" s="3">
        <f>((CF175-CE175)*-1)+((CF174-CE174)*-1)</f>
        <v>0</v>
      </c>
      <c r="CG293" s="3">
        <f>((CG175-CF175)*-1)+((CG174-CF174)*-1)</f>
        <v>0</v>
      </c>
      <c r="CH293" s="3">
        <f>((CH175-CG175)*-1)+((CH174-CG174)*-1)</f>
        <v>0</v>
      </c>
      <c r="CI293" s="3">
        <f>((CI175-CH175)*-1)+((CI174-CH174)*-1)</f>
        <v>0</v>
      </c>
      <c r="CJ293" s="3">
        <f>SUM(CF293:CI293)</f>
        <v>0</v>
      </c>
      <c r="CK293" s="3">
        <f>((CK175-CJ175)*-1)+((CK174-CJ174)*-1)</f>
        <v>0</v>
      </c>
      <c r="CL293" s="3">
        <f>((CL175-CK175)*-1)+((CL174-CK174)*-1)</f>
        <v>0</v>
      </c>
      <c r="CM293" s="3">
        <f>((CM175-CL175)*-1)+((CM174-CL174)*-1)</f>
        <v>0</v>
      </c>
      <c r="CN293" s="3">
        <f>((CN175-CM175)*-1)+((CN174-CM174)*-1)</f>
        <v>0</v>
      </c>
      <c r="CO293" s="3">
        <f>SUM(CK293:CN293)</f>
        <v>0</v>
      </c>
      <c r="CP293" s="3">
        <f>((CP175-CO175)*-1)+((CP174-CO174)*-1)</f>
        <v>0</v>
      </c>
      <c r="CQ293" s="3">
        <f>((CQ175-CP175)*-1)+((CQ174-CP174)*-1)</f>
        <v>0</v>
      </c>
      <c r="CR293" s="3">
        <f>((CR175-CQ175)*-1)+((CR174-CQ174)*-1)</f>
        <v>0</v>
      </c>
      <c r="CS293" s="3">
        <f>((CS175-CR175)*-1)+((CS174-CR174)*-1)</f>
        <v>0</v>
      </c>
      <c r="CT293" s="3">
        <f>SUM(CP293:CS293)</f>
        <v>0</v>
      </c>
      <c r="CU293" s="3">
        <f>((CU175-CT175)*-1)+((CU174-CT174)*-1)</f>
        <v>0</v>
      </c>
      <c r="CV293" s="3">
        <f>((CV175-CU175)*-1)+((CV174-CU174)*-1)</f>
        <v>0</v>
      </c>
      <c r="CW293" s="3">
        <f>((CW175-CV175)*-1)+((CW174-CV174)*-1)</f>
        <v>0</v>
      </c>
      <c r="CX293" s="3">
        <f>((CX175-CW175)*-1)+((CX174-CW174)*-1)</f>
        <v>0</v>
      </c>
      <c r="CY293" s="3">
        <f>SUM(CU293:CX293)</f>
        <v>0</v>
      </c>
      <c r="CZ293" s="3" t="n"/>
      <c r="DA293" s="3" t="n"/>
      <c r="DB293" s="3" t="n"/>
      <c r="DC293" s="3" t="n"/>
    </row>
    <row r="294">
      <c r="C294" s="30" t="inlineStr">
        <is>
          <t>Purchases/Proceeds from other long-term assets</t>
        </is>
      </c>
      <c r="D294" s="3" t="n"/>
      <c r="E294" s="3">
        <f>((E184-D184)*-1)+(E235-D235)</f>
        <v>-817.200000000001</v>
      </c>
      <c r="F294" s="3">
        <f>((F184-E184)*-1)+(F235-E235)</f>
        <v>-140.3</v>
      </c>
      <c r="G294" s="3">
        <f>((G184-F184)*-1)+(G235-F235)</f>
        <v>221.500000000001</v>
      </c>
      <c r="H294" s="3">
        <f>SUM(D294:G294)</f>
        <v>-736</v>
      </c>
      <c r="I294" s="3">
        <f>((I184-H184)*-1)+(I235-H235)</f>
        <v>-561.6</v>
      </c>
      <c r="J294" s="3">
        <f>((J184-I184)*-1)+(J235-I235)</f>
        <v>-291.100000000001</v>
      </c>
      <c r="K294" s="3">
        <f>((K184-J184)*-1)+(K235-J235)</f>
        <v>-9.79999999999927</v>
      </c>
      <c r="L294" s="3">
        <f>((L184-K184)*-1)+(L235-K235)</f>
        <v>-2112</v>
      </c>
      <c r="M294" s="3">
        <f>SUM(I294:L294)</f>
        <v>-2974.5</v>
      </c>
      <c r="N294" s="3">
        <f>((N184-M184)*-1)+(N235-M235)</f>
        <v>396.599999999999</v>
      </c>
      <c r="O294" s="3">
        <f>((O184-N184)*-1)+(O235-N235)</f>
        <v>-449.199999999999</v>
      </c>
      <c r="P294" s="3">
        <f>((P184-O184)*-1)+(P235-O235)</f>
        <v>46.3000000000002</v>
      </c>
      <c r="Q294" s="3">
        <f>((Q184-P184)*-1)+(Q235-P235)</f>
        <v>-704.2</v>
      </c>
      <c r="R294" s="3">
        <f>SUM(N294:Q294)</f>
        <v>-710.5</v>
      </c>
      <c r="S294" s="3">
        <f>((S184-R184)*-1)+(S235-R235)</f>
        <v>226.5</v>
      </c>
      <c r="T294" s="3">
        <f>((T184-S184)*-1)+(T235-S235)</f>
        <v>-564.5</v>
      </c>
      <c r="U294" s="3">
        <f>((U184-T184)*-1)+(U235-T235)</f>
        <v>-91.9000000000006</v>
      </c>
      <c r="V294" s="3">
        <f>((V184-U184)*-1)+(V235-U235)</f>
        <v>403.8</v>
      </c>
      <c r="W294" s="3">
        <f>SUM(S294:V294)</f>
        <v>-26.1000000000004</v>
      </c>
      <c r="X294" s="3">
        <f>((X184-W184)*-1)+(X235-W235)</f>
        <v>606.6</v>
      </c>
      <c r="Y294" s="3">
        <f>((Y184-X184)*-1)+(Y235-X235)</f>
        <v>-486.900000000001</v>
      </c>
      <c r="Z294" s="3">
        <f>((Z184-Y184)*-1)+(Z235-Y235)</f>
        <v>-361.5</v>
      </c>
      <c r="AA294" s="3">
        <f>((AA184-Z184)*-1)+(AA235-Z235)</f>
        <v>-640.699999999999</v>
      </c>
      <c r="AB294" s="3">
        <f>SUM(X294:AA294)</f>
        <v>-882.499999999999</v>
      </c>
      <c r="AC294" s="3">
        <f>((AC184-AB184)*-1)+(AC235-AB235)</f>
        <v>1072.8</v>
      </c>
      <c r="AD294" s="3">
        <f>((AD184-AC184)*-1)+(AD235-AC235)</f>
        <v>264</v>
      </c>
      <c r="AE294" s="3">
        <f>((AE184-AD184)*-1)+(AE235-AD235)</f>
        <v>888.599999999999</v>
      </c>
      <c r="AF294" s="3">
        <f>((AF184-AE184)*-1)+(AF235-AE235)</f>
        <v>-756.4</v>
      </c>
      <c r="AG294" s="3">
        <f>SUM(AC294:AF294)</f>
        <v>1469</v>
      </c>
      <c r="AH294" s="3">
        <f>((AH184-AG184)*-1)+(AH235-AG235)</f>
        <v>-1027</v>
      </c>
      <c r="AI294" s="3">
        <f>((AI184-AH184)*-1)+(AI235-AH235)</f>
        <v>2476</v>
      </c>
      <c r="AJ294" s="3">
        <f>((AJ184-AI184)*-1)+(AJ235-AI235)</f>
        <v>0</v>
      </c>
      <c r="AK294" s="3">
        <f>((AK184-AJ184)*-1)+(AK235-AJ235)</f>
        <v>0</v>
      </c>
      <c r="AL294" s="3">
        <f>SUM(AH294:AK294)</f>
        <v>1449</v>
      </c>
      <c r="AM294" s="3">
        <f>((AM184-AL184)*-1)+(AM235-AL235)</f>
        <v>0</v>
      </c>
      <c r="AN294" s="3">
        <f>((AN184-AM184)*-1)+(AN235-AM235)</f>
        <v>0</v>
      </c>
      <c r="AO294" s="3">
        <f>((AO184-AN184)*-1)+(AO235-AN235)</f>
        <v>0</v>
      </c>
      <c r="AP294" s="3">
        <f>((AP184-AO184)*-1)+(AP235-AO235)</f>
        <v>0</v>
      </c>
      <c r="AQ294" s="3">
        <f>SUM(AM294:AP294)</f>
        <v>0</v>
      </c>
      <c r="AR294" s="3">
        <f>((AR184-AQ184)*-1)+(AR235-AQ235)</f>
        <v>0</v>
      </c>
      <c r="AS294" s="3">
        <f>((AS184-AR184)*-1)+(AS235-AR235)</f>
        <v>0</v>
      </c>
      <c r="AT294" s="3">
        <f>((AT184-AS184)*-1)+(AT235-AS235)</f>
        <v>0</v>
      </c>
      <c r="AU294" s="3">
        <f>((AU184-AT184)*-1)+(AU235-AT235)</f>
        <v>0</v>
      </c>
      <c r="AV294" s="3">
        <f>SUM(AR294:AU294)</f>
        <v>0</v>
      </c>
      <c r="AW294" s="3">
        <f>((AW184-AV184)*-1)+(AW235-AV235)</f>
        <v>0</v>
      </c>
      <c r="AX294" s="3">
        <f>((AX184-AW184)*-1)+(AX235-AW235)</f>
        <v>0</v>
      </c>
      <c r="AY294" s="3">
        <f>((AY184-AX184)*-1)+(AY235-AX235)</f>
        <v>0</v>
      </c>
      <c r="AZ294" s="3">
        <f>((AZ184-AY184)*-1)+(AZ235-AY235)</f>
        <v>0</v>
      </c>
      <c r="BA294" s="3">
        <f>SUM(AW294:AZ294)</f>
        <v>0</v>
      </c>
      <c r="BB294" s="3">
        <f>((BB184-BA184)*-1)+(BB235-BA235)</f>
        <v>0</v>
      </c>
      <c r="BC294" s="3">
        <f>((BC184-BB184)*-1)+(BC235-BB235)</f>
        <v>0</v>
      </c>
      <c r="BD294" s="3">
        <f>((BD184-BC184)*-1)+(BD235-BC235)</f>
        <v>0</v>
      </c>
      <c r="BE294" s="3">
        <f>((BE184-BD184)*-1)+(BE235-BD235)</f>
        <v>0</v>
      </c>
      <c r="BF294" s="3">
        <f>SUM(BB294:BE294)</f>
        <v>0</v>
      </c>
      <c r="BG294" s="3">
        <f>((BG184-BF184)*-1)+(BG235-BF235)</f>
        <v>0</v>
      </c>
      <c r="BH294" s="3">
        <f>((BH184-BG184)*-1)+(BH235-BG235)</f>
        <v>0</v>
      </c>
      <c r="BI294" s="3">
        <f>((BI184-BH184)*-1)+(BI235-BH235)</f>
        <v>0</v>
      </c>
      <c r="BJ294" s="3">
        <f>((BJ184-BI184)*-1)+(BJ235-BI235)</f>
        <v>0</v>
      </c>
      <c r="BK294" s="3">
        <f>SUM(BG294:BJ294)</f>
        <v>0</v>
      </c>
      <c r="BL294" s="3">
        <f>((BL184-BK184)*-1)+(BL235-BK235)</f>
        <v>0</v>
      </c>
      <c r="BM294" s="3">
        <f>((BM184-BL184)*-1)+(BM235-BL235)</f>
        <v>0</v>
      </c>
      <c r="BN294" s="3">
        <f>((BN184-BM184)*-1)+(BN235-BM235)</f>
        <v>0</v>
      </c>
      <c r="BO294" s="3">
        <f>((BO184-BN184)*-1)+(BO235-BN235)</f>
        <v>0</v>
      </c>
      <c r="BP294" s="3">
        <f>SUM(BL294:BO294)</f>
        <v>0</v>
      </c>
      <c r="BQ294" s="3">
        <f>((BQ184-BP184)*-1)+(BQ235-BP235)</f>
        <v>0</v>
      </c>
      <c r="BR294" s="3">
        <f>((BR184-BQ184)*-1)+(BR235-BQ235)</f>
        <v>0</v>
      </c>
      <c r="BS294" s="3">
        <f>((BS184-BR184)*-1)+(BS235-BR235)</f>
        <v>0</v>
      </c>
      <c r="BT294" s="3">
        <f>((BT184-BS184)*-1)+(BT235-BS235)</f>
        <v>0</v>
      </c>
      <c r="BU294" s="3">
        <f>SUM(BQ294:BT294)</f>
        <v>0</v>
      </c>
      <c r="BV294" s="3">
        <f>((BV184-BU184)*-1)+(BV235-BU235)</f>
        <v>0</v>
      </c>
      <c r="BW294" s="3">
        <f>((BW184-BV184)*-1)+(BW235-BV235)</f>
        <v>0</v>
      </c>
      <c r="BX294" s="3">
        <f>((BX184-BW184)*-1)+(BX235-BW235)</f>
        <v>0</v>
      </c>
      <c r="BY294" s="3">
        <f>((BY184-BX184)*-1)+(BY235-BX235)</f>
        <v>0</v>
      </c>
      <c r="BZ294" s="3">
        <f>SUM(BV294:BY294)</f>
        <v>0</v>
      </c>
      <c r="CA294" s="3">
        <f>((CA184-BZ184)*-1)+(CA235-BZ235)</f>
        <v>0</v>
      </c>
      <c r="CB294" s="3">
        <f>((CB184-CA184)*-1)+(CB235-CA235)</f>
        <v>0</v>
      </c>
      <c r="CC294" s="3">
        <f>((CC184-CB184)*-1)+(CC235-CB235)</f>
        <v>0</v>
      </c>
      <c r="CD294" s="3">
        <f>((CD184-CC184)*-1)+(CD235-CC235)</f>
        <v>0</v>
      </c>
      <c r="CE294" s="3">
        <f>SUM(CA294:CD294)</f>
        <v>0</v>
      </c>
      <c r="CF294" s="3">
        <f>((CF184-CE184)*-1)+(CF235-CE235)</f>
        <v>0</v>
      </c>
      <c r="CG294" s="3">
        <f>((CG184-CF184)*-1)+(CG235-CF235)</f>
        <v>0</v>
      </c>
      <c r="CH294" s="3">
        <f>((CH184-CG184)*-1)+(CH235-CG235)</f>
        <v>0</v>
      </c>
      <c r="CI294" s="3">
        <f>((CI184-CH184)*-1)+(CI235-CH235)</f>
        <v>0</v>
      </c>
      <c r="CJ294" s="3">
        <f>SUM(CF294:CI294)</f>
        <v>0</v>
      </c>
      <c r="CK294" s="3">
        <f>((CK184-CJ184)*-1)+(CK235-CJ235)</f>
        <v>0</v>
      </c>
      <c r="CL294" s="3">
        <f>((CL184-CK184)*-1)+(CL235-CK235)</f>
        <v>0</v>
      </c>
      <c r="CM294" s="3">
        <f>((CM184-CL184)*-1)+(CM235-CL235)</f>
        <v>0</v>
      </c>
      <c r="CN294" s="3">
        <f>((CN184-CM184)*-1)+(CN235-CM235)</f>
        <v>0</v>
      </c>
      <c r="CO294" s="3">
        <f>SUM(CK294:CN294)</f>
        <v>0</v>
      </c>
      <c r="CP294" s="3">
        <f>((CP184-CO184)*-1)+(CP235-CO235)</f>
        <v>0</v>
      </c>
      <c r="CQ294" s="3">
        <f>((CQ184-CP184)*-1)+(CQ235-CP235)</f>
        <v>0</v>
      </c>
      <c r="CR294" s="3">
        <f>((CR184-CQ184)*-1)+(CR235-CQ235)</f>
        <v>0</v>
      </c>
      <c r="CS294" s="3">
        <f>((CS184-CR184)*-1)+(CS235-CR235)</f>
        <v>0</v>
      </c>
      <c r="CT294" s="3">
        <f>SUM(CP294:CS294)</f>
        <v>0</v>
      </c>
      <c r="CU294" s="3">
        <f>((CU184-CT184)*-1)+(CU235-CT235)</f>
        <v>0</v>
      </c>
      <c r="CV294" s="3">
        <f>((CV184-CU184)*-1)+(CV235-CU235)</f>
        <v>0</v>
      </c>
      <c r="CW294" s="3">
        <f>((CW184-CV184)*-1)+(CW235-CV235)</f>
        <v>0</v>
      </c>
      <c r="CX294" s="3">
        <f>((CX184-CW184)*-1)+(CX235-CW235)</f>
        <v>0</v>
      </c>
      <c r="CY294" s="3">
        <f>SUM(CU294:CX294)</f>
        <v>0</v>
      </c>
    </row>
    <row r="295">
      <c r="C295" s="26" t="inlineStr">
        <is>
          <t>Cash from investing</t>
        </is>
      </c>
      <c r="D295" s="3" t="n"/>
      <c r="E295" s="3">
        <f>SUM(E290,E291,E293,E294,E292)</f>
        <v>-1114.7</v>
      </c>
      <c r="F295" s="3">
        <f>SUM(F290,F291,F293,F294,F292)</f>
        <v>-678</v>
      </c>
      <c r="G295" s="3">
        <f>SUM(G290,G291,G293,G294,G292)</f>
        <v>-448.299999999999</v>
      </c>
      <c r="H295" s="3">
        <f>SUM(H290,H291,H293,H294)</f>
        <v>-2241</v>
      </c>
      <c r="I295" s="3">
        <f>SUM(I290,I291,I293,I294,I292)</f>
        <v>-1608.8</v>
      </c>
      <c r="J295" s="3">
        <f>SUM(J290,J291,J293,J294,J292)</f>
        <v>-790.200000000001</v>
      </c>
      <c r="K295" s="3">
        <f>SUM(K290,K291,K293,K294,K292)</f>
        <v>-359.199999999999</v>
      </c>
      <c r="L295" s="3">
        <f>SUM(L290,L291,L293,L294,L292)</f>
        <v>-2434.5</v>
      </c>
      <c r="M295" s="3">
        <f>SUM(M290,M291,M293,M294)</f>
        <v>-5192.7</v>
      </c>
      <c r="N295" s="3">
        <f>SUM(N290,N291,N293,N294,N292)</f>
        <v>52.8</v>
      </c>
      <c r="O295" s="3">
        <f>SUM(O290,O291,O293,O294,O292)</f>
        <v>-838.699999999999</v>
      </c>
      <c r="P295" s="3">
        <f>SUM(P290,P291,P293,P294,P292)</f>
        <v>-125.9</v>
      </c>
      <c r="Q295" s="3">
        <f>SUM(Q290,Q291,Q293,Q294,Q292)</f>
        <v>-2175.8</v>
      </c>
      <c r="R295" s="3">
        <f>SUM(R290,R291,R293,R294)</f>
        <v>-3087.6</v>
      </c>
      <c r="S295" s="3">
        <f>SUM(S290,S291,S293,S294,S292)</f>
        <v>-418.599999999999</v>
      </c>
      <c r="T295" s="3">
        <f>SUM(T290,T291,T293,T294,T292)</f>
        <v>-1484.2</v>
      </c>
      <c r="U295" s="3">
        <f>SUM(U290,U291,U293,U294,U292)</f>
        <v>-973.2</v>
      </c>
      <c r="V295" s="3">
        <f>SUM(V290,V291,V293,V294,V292)</f>
        <v>-2013.7</v>
      </c>
      <c r="W295" s="3">
        <f>SUM(W290,W291,W293,W294)</f>
        <v>-4889.7</v>
      </c>
      <c r="X295" s="3">
        <f>SUM(X290,X291,X293,X294,X292)</f>
        <v>-359.900000000001</v>
      </c>
      <c r="Y295" s="3">
        <f>SUM(Y290,Y291,Y293,Y294,Y292)</f>
        <v>-2809.2</v>
      </c>
      <c r="Z295" s="3">
        <f>SUM(Z290,Z291,Z293,Z294,Z292)</f>
        <v>-2072.1</v>
      </c>
      <c r="AA295" s="3">
        <f>SUM(AA290,AA291,AA293,AA294,AA292)</f>
        <v>-1687</v>
      </c>
      <c r="AB295" s="3">
        <f>SUM(AB290,AB291,AB293,AB294)</f>
        <v>-6928.2</v>
      </c>
      <c r="AC295" s="3">
        <f>SUM(AC290,AC291,AC293,AC294,AC292)</f>
        <v>-607.800000000001</v>
      </c>
      <c r="AD295" s="3">
        <f>SUM(AD290,AD291,AD293,AD294,AD292)</f>
        <v>-2166.2</v>
      </c>
      <c r="AE295" s="3">
        <f>SUM(AE290,AE291,AE293,AE294,AE292)</f>
        <v>-2033.6</v>
      </c>
      <c r="AF295" s="3">
        <f>SUM(AF290,AF291,AF293,AF294,AF292)</f>
        <v>-3775.4</v>
      </c>
      <c r="AG295" s="3">
        <f>SUM(AG290,AG291,AG293,AG294)</f>
        <v>-8583</v>
      </c>
      <c r="AH295" s="3">
        <f>SUM(AH290,AH291,AH293,AH294,AH292)</f>
        <v>-4486</v>
      </c>
      <c r="AI295" s="3">
        <f>SUM(AI290,AI291,AI293,AI294,AI292)</f>
        <v>-14259</v>
      </c>
      <c r="AJ295" s="3">
        <f>SUM(AJ290,AJ291,AJ293,AJ294,AJ292)</f>
        <v>18110</v>
      </c>
      <c r="AK295" s="3">
        <f>SUM(AK290,AK291,AK293,AK294,AK292)</f>
        <v>0</v>
      </c>
      <c r="AL295" s="3">
        <f>SUM(AL290,AL291,AL293,AL294)</f>
        <v>-635</v>
      </c>
      <c r="AM295" s="3">
        <f>SUM(AM290,AM291,AM293,AM294,AM292)</f>
        <v>0</v>
      </c>
      <c r="AN295" s="3">
        <f>SUM(AN290,AN291,AN293,AN294,AN292)</f>
        <v>0</v>
      </c>
      <c r="AO295" s="3">
        <f>SUM(AO290,AO291,AO293,AO294,AO292)</f>
        <v>0</v>
      </c>
      <c r="AP295" s="3">
        <f>SUM(AP290,AP291,AP293,AP294,AP292)</f>
        <v>0</v>
      </c>
      <c r="AQ295" s="3">
        <f>SUM(AQ290,AQ291,AQ293,AQ294)</f>
        <v>0</v>
      </c>
      <c r="AR295" s="3">
        <f>SUM(AR290,AR291,AR293,AR294,AR292)</f>
        <v>0</v>
      </c>
      <c r="AS295" s="3">
        <f>SUM(AS290,AS291,AS293,AS294,AS292)</f>
        <v>0</v>
      </c>
      <c r="AT295" s="3">
        <f>SUM(AT290,AT291,AT293,AT294,AT292)</f>
        <v>0</v>
      </c>
      <c r="AU295" s="3">
        <f>SUM(AU290,AU291,AU293,AU294,AU292)</f>
        <v>0</v>
      </c>
      <c r="AV295" s="3">
        <f>SUM(AV290,AV291,AV293,AV294)</f>
        <v>0</v>
      </c>
      <c r="AW295" s="3">
        <f>SUM(AW290,AW291,AW293,AW294,AW292)</f>
        <v>0</v>
      </c>
      <c r="AX295" s="3">
        <f>SUM(AX290,AX291,AX293,AX294,AX292)</f>
        <v>0</v>
      </c>
      <c r="AY295" s="3">
        <f>SUM(AY290,AY291,AY293,AY294,AY292)</f>
        <v>0</v>
      </c>
      <c r="AZ295" s="3">
        <f>SUM(AZ290,AZ291,AZ293,AZ294,AZ292)</f>
        <v>0</v>
      </c>
      <c r="BA295" s="3">
        <f>SUM(BA290,BA291,BA293,BA294)</f>
        <v>0</v>
      </c>
      <c r="BB295" s="3">
        <f>SUM(BB290,BB291,BB293,BB294,BB292)</f>
        <v>0</v>
      </c>
      <c r="BC295" s="3">
        <f>SUM(BC290,BC291,BC293,BC294,BC292)</f>
        <v>0</v>
      </c>
      <c r="BD295" s="3">
        <f>SUM(BD290,BD291,BD293,BD294,BD292)</f>
        <v>0</v>
      </c>
      <c r="BE295" s="3">
        <f>SUM(BE290,BE291,BE293,BE294,BE292)</f>
        <v>0</v>
      </c>
      <c r="BF295" s="3">
        <f>SUM(BF290,BF291,BF293,BF294)</f>
        <v>0</v>
      </c>
      <c r="BG295" s="3">
        <f>SUM(BG290,BG291,BG293,BG294,BG292)</f>
        <v>0</v>
      </c>
      <c r="BH295" s="3">
        <f>SUM(BH290,BH291,BH293,BH294,BH292)</f>
        <v>0</v>
      </c>
      <c r="BI295" s="3">
        <f>SUM(BI290,BI291,BI293,BI294,BI292)</f>
        <v>0</v>
      </c>
      <c r="BJ295" s="3">
        <f>SUM(BJ290,BJ291,BJ293,BJ294,BJ292)</f>
        <v>0</v>
      </c>
      <c r="BK295" s="3">
        <f>SUM(BK290,BK291,BK293,BK294)</f>
        <v>0</v>
      </c>
      <c r="BL295" s="3">
        <f>SUM(BL290,BL291,BL293,BL294,BL292)</f>
        <v>0</v>
      </c>
      <c r="BM295" s="3">
        <f>SUM(BM290,BM291,BM293,BM294,BM292)</f>
        <v>0</v>
      </c>
      <c r="BN295" s="3">
        <f>SUM(BN290,BN291,BN293,BN294,BN292)</f>
        <v>0</v>
      </c>
      <c r="BO295" s="3">
        <f>SUM(BO290,BO291,BO293,BO294,BO292)</f>
        <v>0</v>
      </c>
      <c r="BP295" s="3">
        <f>SUM(BP290,BP291,BP293,BP294)</f>
        <v>0</v>
      </c>
      <c r="BQ295" s="3">
        <f>SUM(BQ290,BQ291,BQ293,BQ294,BQ292)</f>
        <v>0</v>
      </c>
      <c r="BR295" s="3">
        <f>SUM(BR290,BR291,BR293,BR294,BR292)</f>
        <v>0</v>
      </c>
      <c r="BS295" s="3">
        <f>SUM(BS290,BS291,BS293,BS294,BS292)</f>
        <v>0</v>
      </c>
      <c r="BT295" s="3">
        <f>SUM(BT290,BT291,BT293,BT294,BT292)</f>
        <v>0</v>
      </c>
      <c r="BU295" s="3">
        <f>SUM(BU290,BU291,BU293,BU294)</f>
        <v>0</v>
      </c>
      <c r="BV295" s="3">
        <f>SUM(BV290,BV291,BV293,BV294,BV292)</f>
        <v>0</v>
      </c>
      <c r="BW295" s="3">
        <f>SUM(BW290,BW291,BW293,BW294,BW292)</f>
        <v>0</v>
      </c>
      <c r="BX295" s="3">
        <f>SUM(BX290,BX291,BX293,BX294,BX292)</f>
        <v>0</v>
      </c>
      <c r="BY295" s="3">
        <f>SUM(BY290,BY291,BY293,BY294,BY292)</f>
        <v>0</v>
      </c>
      <c r="BZ295" s="3">
        <f>SUM(BZ290,BZ291,BZ293,BZ294)</f>
        <v>0</v>
      </c>
      <c r="CA295" s="3">
        <f>SUM(CA290,CA291,CA293,CA294,CA292)</f>
        <v>0</v>
      </c>
      <c r="CB295" s="3">
        <f>SUM(CB290,CB291,CB293,CB294,CB292)</f>
        <v>0</v>
      </c>
      <c r="CC295" s="3">
        <f>SUM(CC290,CC291,CC293,CC294,CC292)</f>
        <v>0</v>
      </c>
      <c r="CD295" s="3">
        <f>SUM(CD290,CD291,CD293,CD294,CD292)</f>
        <v>0</v>
      </c>
      <c r="CE295" s="3">
        <f>SUM(CE290,CE291,CE293,CE294)</f>
        <v>0</v>
      </c>
      <c r="CF295" s="3">
        <f>SUM(CF290,CF291,CF293,CF294,CF292)</f>
        <v>0</v>
      </c>
      <c r="CG295" s="3">
        <f>SUM(CG290,CG291,CG293,CG294,CG292)</f>
        <v>0</v>
      </c>
      <c r="CH295" s="3">
        <f>SUM(CH290,CH291,CH293,CH294,CH292)</f>
        <v>0</v>
      </c>
      <c r="CI295" s="3">
        <f>SUM(CI290,CI291,CI293,CI294,CI292)</f>
        <v>0</v>
      </c>
      <c r="CJ295" s="3">
        <f>SUM(CJ290,CJ291,CJ293,CJ294)</f>
        <v>0</v>
      </c>
      <c r="CK295" s="3">
        <f>SUM(CK290,CK291,CK293,CK294,CK292)</f>
        <v>0</v>
      </c>
      <c r="CL295" s="3">
        <f>SUM(CL290,CL291,CL293,CL294,CL292)</f>
        <v>0</v>
      </c>
      <c r="CM295" s="3">
        <f>SUM(CM290,CM291,CM293,CM294,CM292)</f>
        <v>0</v>
      </c>
      <c r="CN295" s="3">
        <f>SUM(CN290,CN291,CN293,CN294,CN292)</f>
        <v>0</v>
      </c>
      <c r="CO295" s="3">
        <f>SUM(CO290,CO291,CO293,CO294)</f>
        <v>0</v>
      </c>
      <c r="CP295" s="3">
        <f>SUM(CP290,CP291,CP293,CP294,CP292)</f>
        <v>0</v>
      </c>
      <c r="CQ295" s="3">
        <f>SUM(CQ290,CQ291,CQ293,CQ294,CQ292)</f>
        <v>0</v>
      </c>
      <c r="CR295" s="3">
        <f>SUM(CR290,CR291,CR293,CR294,CR292)</f>
        <v>0</v>
      </c>
      <c r="CS295" s="3">
        <f>SUM(CS290,CS291,CS293,CS294,CS292)</f>
        <v>0</v>
      </c>
      <c r="CT295" s="3">
        <f>SUM(CT290,CT291,CT293,CT294)</f>
        <v>0</v>
      </c>
      <c r="CU295" s="3">
        <f>SUM(CU290,CU291,CU293,CU294,CU292)</f>
        <v>0</v>
      </c>
      <c r="CV295" s="3">
        <f>SUM(CV290,CV291,CV293,CV294,CV292)</f>
        <v>0</v>
      </c>
      <c r="CW295" s="3">
        <f>SUM(CW290,CW291,CW293,CW294,CW292)</f>
        <v>0</v>
      </c>
      <c r="CX295" s="3">
        <f>SUM(CX290,CX291,CX293,CX294,CX292)</f>
        <v>0</v>
      </c>
      <c r="CY295" s="3">
        <f>SUM(CY290,CY291,CY293,CY294)</f>
        <v>0</v>
      </c>
    </row>
    <row r="296">
      <c r="C296" s="26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  <c r="AY296" s="3" t="n"/>
      <c r="AZ296" s="3" t="n"/>
      <c r="BA296" s="3" t="n"/>
      <c r="BB296" s="3" t="n"/>
      <c r="BC296" s="3" t="n"/>
      <c r="BD296" s="3" t="n"/>
      <c r="BE296" s="3" t="n"/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  <c r="CF296" s="3" t="n"/>
      <c r="CG296" s="3" t="n"/>
      <c r="CH296" s="3" t="n"/>
      <c r="CI296" s="3" t="n"/>
      <c r="CJ296" s="3" t="n"/>
      <c r="CK296" s="3" t="n"/>
      <c r="CL296" s="3" t="n"/>
      <c r="CM296" s="3" t="n"/>
      <c r="CN296" s="3" t="n"/>
      <c r="CO296" s="3" t="n"/>
      <c r="CP296" s="3" t="n"/>
      <c r="CQ296" s="3" t="n"/>
      <c r="CR296" s="3" t="n"/>
      <c r="CS296" s="3" t="n"/>
      <c r="CT296" s="3" t="n"/>
      <c r="CU296" s="3" t="n"/>
      <c r="CV296" s="3" t="n"/>
      <c r="CW296" s="3" t="n"/>
      <c r="CX296" s="3" t="n"/>
      <c r="CY296" s="3" t="n"/>
    </row>
    <row r="297">
      <c r="C297" s="26" t="inlineStr">
        <is>
          <t>Convertible preferred stock</t>
        </is>
      </c>
      <c r="D297" s="3" t="n"/>
      <c r="E297" s="3">
        <f>E248-D248</f>
        <v>0</v>
      </c>
      <c r="F297" s="3">
        <f>F248-E248</f>
        <v>0</v>
      </c>
      <c r="G297" s="3">
        <f>G248-F248</f>
        <v>0</v>
      </c>
      <c r="H297" s="3">
        <f>SUM(D297:G297)</f>
        <v>0</v>
      </c>
      <c r="I297" s="3">
        <f>I248-H248</f>
        <v>0</v>
      </c>
      <c r="J297" s="3">
        <f>J248-I248</f>
        <v>0</v>
      </c>
      <c r="K297" s="3">
        <f>K248-J248</f>
        <v>0</v>
      </c>
      <c r="L297" s="3">
        <f>L248-K248</f>
        <v>0</v>
      </c>
      <c r="M297" s="3">
        <f>SUM(I297:L297)</f>
        <v>0</v>
      </c>
      <c r="N297" s="3">
        <f>N248-M248</f>
        <v>0</v>
      </c>
      <c r="O297" s="3">
        <f>O248-N248</f>
        <v>0</v>
      </c>
      <c r="P297" s="3">
        <f>P248-O248</f>
        <v>0</v>
      </c>
      <c r="Q297" s="3">
        <f>Q248-P248</f>
        <v>0</v>
      </c>
      <c r="R297" s="3">
        <f>SUM(N297:Q297)</f>
        <v>0</v>
      </c>
      <c r="S297" s="3">
        <f>S248-R248</f>
        <v>0</v>
      </c>
      <c r="T297" s="3">
        <f>T248-S248</f>
        <v>0</v>
      </c>
      <c r="U297" s="3">
        <f>U248-T248</f>
        <v>0</v>
      </c>
      <c r="V297" s="3">
        <f>V248-U248</f>
        <v>0</v>
      </c>
      <c r="W297" s="3">
        <f>SUM(S297:V297)</f>
        <v>0</v>
      </c>
      <c r="X297" s="3">
        <f>X248-W248</f>
        <v>0</v>
      </c>
      <c r="Y297" s="3">
        <f>Y248-X248</f>
        <v>0</v>
      </c>
      <c r="Z297" s="3">
        <f>Z248-Y248</f>
        <v>0</v>
      </c>
      <c r="AA297" s="3">
        <f>AA248-Z248</f>
        <v>0</v>
      </c>
      <c r="AB297" s="3">
        <f>SUM(X297:AA297)</f>
        <v>0</v>
      </c>
      <c r="AC297" s="3">
        <f>AC248-AB248</f>
        <v>0</v>
      </c>
      <c r="AD297" s="3">
        <f>AD248-AC248</f>
        <v>0</v>
      </c>
      <c r="AE297" s="3">
        <f>AE248-AD248</f>
        <v>0</v>
      </c>
      <c r="AF297" s="3">
        <f>AF248-AE248</f>
        <v>0</v>
      </c>
      <c r="AG297" s="3">
        <f>SUM(AC297:AF297)</f>
        <v>0</v>
      </c>
      <c r="AH297" s="3">
        <f>AH248-AG248</f>
        <v>0</v>
      </c>
      <c r="AI297" s="3">
        <f>AI248-AH248</f>
        <v>0</v>
      </c>
      <c r="AJ297" s="3">
        <f>AJ248-AI248</f>
        <v>0</v>
      </c>
      <c r="AK297" s="3">
        <f>AK248-AJ248</f>
        <v>0</v>
      </c>
      <c r="AL297" s="3">
        <f>SUM(AH297:AK297)</f>
        <v>0</v>
      </c>
      <c r="AM297" s="3">
        <f>AM248-AL248</f>
        <v>0</v>
      </c>
      <c r="AN297" s="3">
        <f>AN248-AM248</f>
        <v>0</v>
      </c>
      <c r="AO297" s="3">
        <f>AO248-AN248</f>
        <v>0</v>
      </c>
      <c r="AP297" s="3">
        <f>AP248-AO248</f>
        <v>0</v>
      </c>
      <c r="AQ297" s="3">
        <f>SUM(AM297:AP297)</f>
        <v>0</v>
      </c>
      <c r="AR297" s="3">
        <f>AR248-AQ248</f>
        <v>0</v>
      </c>
      <c r="AS297" s="3">
        <f>AS248-AR248</f>
        <v>0</v>
      </c>
      <c r="AT297" s="3">
        <f>AT248-AS248</f>
        <v>0</v>
      </c>
      <c r="AU297" s="3">
        <f>AU248-AT248</f>
        <v>0</v>
      </c>
      <c r="AV297" s="3">
        <f>SUM(AR297:AU297)</f>
        <v>0</v>
      </c>
      <c r="AW297" s="3">
        <f>AW248-AV248</f>
        <v>0</v>
      </c>
      <c r="AX297" s="3">
        <f>AX248-AW248</f>
        <v>0</v>
      </c>
      <c r="AY297" s="3">
        <f>AY248-AX248</f>
        <v>0</v>
      </c>
      <c r="AZ297" s="3">
        <f>AZ248-AY248</f>
        <v>0</v>
      </c>
      <c r="BA297" s="3">
        <f>SUM(AW297:AZ297)</f>
        <v>0</v>
      </c>
      <c r="BB297" s="3">
        <f>BB248-BA248</f>
        <v>0</v>
      </c>
      <c r="BC297" s="3">
        <f>BC248-BB248</f>
        <v>0</v>
      </c>
      <c r="BD297" s="3">
        <f>BD248-BC248</f>
        <v>0</v>
      </c>
      <c r="BE297" s="3">
        <f>BE248-BD248</f>
        <v>0</v>
      </c>
      <c r="BF297" s="3">
        <f>SUM(BB297:BE297)</f>
        <v>0</v>
      </c>
      <c r="BG297" s="3">
        <f>BG248-BF248</f>
        <v>0</v>
      </c>
      <c r="BH297" s="3">
        <f>BH248-BG248</f>
        <v>0</v>
      </c>
      <c r="BI297" s="3">
        <f>BI248-BH248</f>
        <v>0</v>
      </c>
      <c r="BJ297" s="3">
        <f>BJ248-BI248</f>
        <v>0</v>
      </c>
      <c r="BK297" s="3">
        <f>SUM(BG297:BJ297)</f>
        <v>0</v>
      </c>
      <c r="BL297" s="3">
        <f>BL248-BK248</f>
        <v>0</v>
      </c>
      <c r="BM297" s="3">
        <f>BM248-BL248</f>
        <v>0</v>
      </c>
      <c r="BN297" s="3">
        <f>BN248-BM248</f>
        <v>0</v>
      </c>
      <c r="BO297" s="3">
        <f>BO248-BN248</f>
        <v>0</v>
      </c>
      <c r="BP297" s="3">
        <f>SUM(BL297:BO297)</f>
        <v>0</v>
      </c>
      <c r="BQ297" s="3">
        <f>BQ248-BP248</f>
        <v>0</v>
      </c>
      <c r="BR297" s="3">
        <f>BR248-BQ248</f>
        <v>0</v>
      </c>
      <c r="BS297" s="3">
        <f>BS248-BR248</f>
        <v>0</v>
      </c>
      <c r="BT297" s="3">
        <f>BT248-BS248</f>
        <v>0</v>
      </c>
      <c r="BU297" s="3">
        <f>SUM(BQ297:BT297)</f>
        <v>0</v>
      </c>
      <c r="BV297" s="3">
        <f>BV248-BU248</f>
        <v>0</v>
      </c>
      <c r="BW297" s="3">
        <f>BW248-BV248</f>
        <v>0</v>
      </c>
      <c r="BX297" s="3">
        <f>BX248-BW248</f>
        <v>0</v>
      </c>
      <c r="BY297" s="3">
        <f>BY248-BX248</f>
        <v>0</v>
      </c>
      <c r="BZ297" s="3">
        <f>SUM(BV297:BY297)</f>
        <v>0</v>
      </c>
      <c r="CA297" s="3">
        <f>CA248-BZ248</f>
        <v>0</v>
      </c>
      <c r="CB297" s="3">
        <f>CB248-CA248</f>
        <v>0</v>
      </c>
      <c r="CC297" s="3">
        <f>CC248-CB248</f>
        <v>0</v>
      </c>
      <c r="CD297" s="3">
        <f>CD248-CC248</f>
        <v>0</v>
      </c>
      <c r="CE297" s="3">
        <f>SUM(CA297:CD297)</f>
        <v>0</v>
      </c>
      <c r="CF297" s="3">
        <f>CF248-CE248</f>
        <v>0</v>
      </c>
      <c r="CG297" s="3">
        <f>CG248-CF248</f>
        <v>0</v>
      </c>
      <c r="CH297" s="3">
        <f>CH248-CG248</f>
        <v>0</v>
      </c>
      <c r="CI297" s="3">
        <f>CI248-CH248</f>
        <v>0</v>
      </c>
      <c r="CJ297" s="3">
        <f>SUM(CF297:CI297)</f>
        <v>0</v>
      </c>
      <c r="CK297" s="3">
        <f>CK248-CJ248</f>
        <v>0</v>
      </c>
      <c r="CL297" s="3">
        <f>CL248-CK248</f>
        <v>0</v>
      </c>
      <c r="CM297" s="3">
        <f>CM248-CL248</f>
        <v>0</v>
      </c>
      <c r="CN297" s="3">
        <f>CN248-CM248</f>
        <v>0</v>
      </c>
      <c r="CO297" s="3">
        <f>SUM(CK297:CN297)</f>
        <v>0</v>
      </c>
      <c r="CP297" s="3">
        <f>CP248-CO248</f>
        <v>0</v>
      </c>
      <c r="CQ297" s="3">
        <f>CQ248-CP248</f>
        <v>0</v>
      </c>
      <c r="CR297" s="3">
        <f>CR248-CQ248</f>
        <v>0</v>
      </c>
      <c r="CS297" s="3">
        <f>CS248-CR248</f>
        <v>0</v>
      </c>
      <c r="CT297" s="3">
        <f>SUM(CP297:CS297)</f>
        <v>0</v>
      </c>
      <c r="CU297" s="3">
        <f>CU248-CT248</f>
        <v>0</v>
      </c>
      <c r="CV297" s="3">
        <f>CV248-CU248</f>
        <v>0</v>
      </c>
      <c r="CW297" s="3">
        <f>CW248-CV248</f>
        <v>0</v>
      </c>
      <c r="CX297" s="3">
        <f>CX248-CW248</f>
        <v>0</v>
      </c>
      <c r="CY297" s="3">
        <f>SUM(CU297:CX297)</f>
        <v>0</v>
      </c>
    </row>
    <row r="298">
      <c r="C298" s="26" t="inlineStr">
        <is>
          <t>Common stock and APIC</t>
        </is>
      </c>
      <c r="D298" s="3" t="n"/>
      <c r="E298" s="3">
        <f>E249-D249</f>
        <v>73.3000000000002</v>
      </c>
      <c r="F298" s="3">
        <f>F249-E249</f>
        <v>69.3999999999996</v>
      </c>
      <c r="G298" s="3">
        <f>G249-F249</f>
        <v>79.8000000000002</v>
      </c>
      <c r="H298" s="3">
        <f>SUM(D298:G298)</f>
        <v>222.5</v>
      </c>
      <c r="I298" s="3">
        <f>I249-H249</f>
        <v>-197.8</v>
      </c>
      <c r="J298" s="3">
        <f>J249-I249</f>
        <v>88.4000000000006</v>
      </c>
      <c r="K298" s="3">
        <f>K249-J249</f>
        <v>88.8999999999996</v>
      </c>
      <c r="L298" s="3">
        <f>L249-K249</f>
        <v>73.5</v>
      </c>
      <c r="M298" s="3">
        <f>SUM(I298:L298)</f>
        <v>53</v>
      </c>
      <c r="N298" s="3">
        <f>N249-M249</f>
        <v>-179.3</v>
      </c>
      <c r="O298" s="3">
        <f>O249-N249</f>
        <v>89.7000000000007</v>
      </c>
      <c r="P298" s="3">
        <f>P249-O249</f>
        <v>83</v>
      </c>
      <c r="Q298" s="3">
        <f>Q249-P249</f>
        <v>92.3999999999996</v>
      </c>
      <c r="R298" s="3">
        <f>SUM(N298:Q298)</f>
        <v>85.8000000000002</v>
      </c>
      <c r="S298" s="3">
        <f>S249-R249</f>
        <v>-128.900000000001</v>
      </c>
      <c r="T298" s="3">
        <f>T249-S249</f>
        <v>155.6</v>
      </c>
      <c r="U298" s="3">
        <f>U249-T249</f>
        <v>211.400000000001</v>
      </c>
      <c r="V298" s="3">
        <f>V249-U249</f>
        <v>90.3999999999996</v>
      </c>
      <c r="W298" s="3">
        <f>SUM(S298:V298)</f>
        <v>328.5</v>
      </c>
      <c r="X298" s="3">
        <f>X249-W249</f>
        <v>-240.3</v>
      </c>
      <c r="Y298" s="3">
        <f>Y249-X249</f>
        <v>204.7</v>
      </c>
      <c r="Z298" s="3">
        <f>Z249-Y249</f>
        <v>125.099999999999</v>
      </c>
      <c r="AA298" s="3">
        <f>AA249-Z249</f>
        <v>98.1999999999998</v>
      </c>
      <c r="AB298" s="3">
        <f>SUM(X298:AA298)</f>
        <v>187.699999999999</v>
      </c>
      <c r="AC298" s="3">
        <f>AC249-AB249</f>
        <v>-529.099999999999</v>
      </c>
      <c r="AD298" s="3">
        <f>AD249-AC249</f>
        <v>178.699999999999</v>
      </c>
      <c r="AE298" s="3">
        <f>AE249-AD249</f>
        <v>142</v>
      </c>
      <c r="AF298" s="3">
        <f>AF249-AE249</f>
        <v>112.700000000001</v>
      </c>
      <c r="AG298" s="3">
        <f>SUM(AC298:AF298)</f>
        <v>-95.6999999999989</v>
      </c>
      <c r="AH298" s="3">
        <f>AH249-AG249</f>
        <v>-425</v>
      </c>
      <c r="AI298" s="3">
        <f>AI249-AH249</f>
        <v>194</v>
      </c>
      <c r="AJ298" s="3">
        <f>AJ249-AI249</f>
        <v>0</v>
      </c>
      <c r="AK298" s="3">
        <f>AK249-AJ249</f>
        <v>0</v>
      </c>
      <c r="AL298" s="3">
        <f>SUM(AH298:AK298)</f>
        <v>-231</v>
      </c>
      <c r="AM298" s="3">
        <f>AM249-AL249</f>
        <v>0</v>
      </c>
      <c r="AN298" s="3">
        <f>AN249-AM249</f>
        <v>0</v>
      </c>
      <c r="AO298" s="3">
        <f>AO249-AN249</f>
        <v>0</v>
      </c>
      <c r="AP298" s="3">
        <f>AP249-AO249</f>
        <v>0</v>
      </c>
      <c r="AQ298" s="3">
        <f>SUM(AM298:AP298)</f>
        <v>0</v>
      </c>
      <c r="AR298" s="3">
        <f>AR249-AQ249</f>
        <v>0</v>
      </c>
      <c r="AS298" s="3">
        <f>AS249-AR249</f>
        <v>0</v>
      </c>
      <c r="AT298" s="3">
        <f>AT249-AS249</f>
        <v>0</v>
      </c>
      <c r="AU298" s="3">
        <f>AU249-AT249</f>
        <v>0</v>
      </c>
      <c r="AV298" s="3">
        <f>SUM(AR298:AU298)</f>
        <v>0</v>
      </c>
      <c r="AW298" s="3">
        <f>AW249-AV249</f>
        <v>0</v>
      </c>
      <c r="AX298" s="3">
        <f>AX249-AW249</f>
        <v>0</v>
      </c>
      <c r="AY298" s="3">
        <f>AY249-AX249</f>
        <v>0</v>
      </c>
      <c r="AZ298" s="3">
        <f>AZ249-AY249</f>
        <v>0</v>
      </c>
      <c r="BA298" s="3">
        <f>SUM(AW298:AZ298)</f>
        <v>0</v>
      </c>
      <c r="BB298" s="3">
        <f>BB249-BA249</f>
        <v>0</v>
      </c>
      <c r="BC298" s="3">
        <f>BC249-BB249</f>
        <v>0</v>
      </c>
      <c r="BD298" s="3">
        <f>BD249-BC249</f>
        <v>0</v>
      </c>
      <c r="BE298" s="3">
        <f>BE249-BD249</f>
        <v>0</v>
      </c>
      <c r="BF298" s="3">
        <f>SUM(BB298:BE298)</f>
        <v>0</v>
      </c>
      <c r="BG298" s="3">
        <f>BG249-BF249</f>
        <v>0</v>
      </c>
      <c r="BH298" s="3">
        <f>BH249-BG249</f>
        <v>0</v>
      </c>
      <c r="BI298" s="3">
        <f>BI249-BH249</f>
        <v>0</v>
      </c>
      <c r="BJ298" s="3">
        <f>BJ249-BI249</f>
        <v>0</v>
      </c>
      <c r="BK298" s="3">
        <f>SUM(BG298:BJ298)</f>
        <v>0</v>
      </c>
      <c r="BL298" s="3">
        <f>BL249-BK249</f>
        <v>0</v>
      </c>
      <c r="BM298" s="3">
        <f>BM249-BL249</f>
        <v>0</v>
      </c>
      <c r="BN298" s="3">
        <f>BN249-BM249</f>
        <v>0</v>
      </c>
      <c r="BO298" s="3">
        <f>BO249-BN249</f>
        <v>0</v>
      </c>
      <c r="BP298" s="3">
        <f>SUM(BL298:BO298)</f>
        <v>0</v>
      </c>
      <c r="BQ298" s="3">
        <f>BQ249-BP249</f>
        <v>0</v>
      </c>
      <c r="BR298" s="3">
        <f>BR249-BQ249</f>
        <v>0</v>
      </c>
      <c r="BS298" s="3">
        <f>BS249-BR249</f>
        <v>0</v>
      </c>
      <c r="BT298" s="3">
        <f>BT249-BS249</f>
        <v>0</v>
      </c>
      <c r="BU298" s="3">
        <f>SUM(BQ298:BT298)</f>
        <v>0</v>
      </c>
      <c r="BV298" s="3">
        <f>BV249-BU249</f>
        <v>0</v>
      </c>
      <c r="BW298" s="3">
        <f>BW249-BV249</f>
        <v>0</v>
      </c>
      <c r="BX298" s="3">
        <f>BX249-BW249</f>
        <v>0</v>
      </c>
      <c r="BY298" s="3">
        <f>BY249-BX249</f>
        <v>0</v>
      </c>
      <c r="BZ298" s="3">
        <f>SUM(BV298:BY298)</f>
        <v>0</v>
      </c>
      <c r="CA298" s="3">
        <f>CA249-BZ249</f>
        <v>0</v>
      </c>
      <c r="CB298" s="3">
        <f>CB249-CA249</f>
        <v>0</v>
      </c>
      <c r="CC298" s="3">
        <f>CC249-CB249</f>
        <v>0</v>
      </c>
      <c r="CD298" s="3">
        <f>CD249-CC249</f>
        <v>0</v>
      </c>
      <c r="CE298" s="3">
        <f>SUM(CA298:CD298)</f>
        <v>0</v>
      </c>
      <c r="CF298" s="3">
        <f>CF249-CE249</f>
        <v>0</v>
      </c>
      <c r="CG298" s="3">
        <f>CG249-CF249</f>
        <v>0</v>
      </c>
      <c r="CH298" s="3">
        <f>CH249-CG249</f>
        <v>0</v>
      </c>
      <c r="CI298" s="3">
        <f>CI249-CH249</f>
        <v>0</v>
      </c>
      <c r="CJ298" s="3">
        <f>SUM(CF298:CI298)</f>
        <v>0</v>
      </c>
      <c r="CK298" s="3">
        <f>CK249-CJ249</f>
        <v>0</v>
      </c>
      <c r="CL298" s="3">
        <f>CL249-CK249</f>
        <v>0</v>
      </c>
      <c r="CM298" s="3">
        <f>CM249-CL249</f>
        <v>0</v>
      </c>
      <c r="CN298" s="3">
        <f>CN249-CM249</f>
        <v>0</v>
      </c>
      <c r="CO298" s="3">
        <f>SUM(CK298:CN298)</f>
        <v>0</v>
      </c>
      <c r="CP298" s="3">
        <f>CP249-CO249</f>
        <v>0</v>
      </c>
      <c r="CQ298" s="3">
        <f>CQ249-CP249</f>
        <v>0</v>
      </c>
      <c r="CR298" s="3">
        <f>CR249-CQ249</f>
        <v>0</v>
      </c>
      <c r="CS298" s="3">
        <f>CS249-CR249</f>
        <v>0</v>
      </c>
      <c r="CT298" s="3">
        <f>SUM(CP298:CS298)</f>
        <v>0</v>
      </c>
      <c r="CU298" s="3">
        <f>CU249-CT249</f>
        <v>0</v>
      </c>
      <c r="CV298" s="3">
        <f>CV249-CU249</f>
        <v>0</v>
      </c>
      <c r="CW298" s="3">
        <f>CW249-CV249</f>
        <v>0</v>
      </c>
      <c r="CX298" s="3">
        <f>CX249-CW249</f>
        <v>0</v>
      </c>
      <c r="CY298" s="3">
        <f>SUM(CU298:CX298)</f>
        <v>0</v>
      </c>
    </row>
    <row r="299">
      <c r="C299" s="26" t="inlineStr">
        <is>
          <t>Treasury stock repurchases</t>
        </is>
      </c>
      <c r="D299" s="3" t="n"/>
      <c r="E299" s="3">
        <f>E262-D262</f>
        <v>0</v>
      </c>
      <c r="F299" s="3">
        <f>F262-E262</f>
        <v>0</v>
      </c>
      <c r="G299" s="3">
        <f>G262-F262</f>
        <v>0</v>
      </c>
      <c r="H299" s="3">
        <f>SUM(D299:G299)</f>
        <v>0</v>
      </c>
      <c r="I299" s="3">
        <f>I262-H262</f>
        <v>3</v>
      </c>
      <c r="J299" s="3">
        <f>J262-I262</f>
        <v>0</v>
      </c>
      <c r="K299" s="3">
        <f>K262-J262</f>
        <v>0</v>
      </c>
      <c r="L299" s="3">
        <f>L262-K262</f>
        <v>0</v>
      </c>
      <c r="M299" s="3">
        <f>SUM(I299:L299)</f>
        <v>3</v>
      </c>
      <c r="N299" s="3">
        <f>N262-M262</f>
        <v>2.19999999999982</v>
      </c>
      <c r="O299" s="3">
        <f>O262-N262</f>
        <v>0</v>
      </c>
      <c r="P299" s="3">
        <f>P262-O262</f>
        <v>0</v>
      </c>
      <c r="Q299" s="3">
        <f>Q262-P262</f>
        <v>0</v>
      </c>
      <c r="R299" s="3">
        <f>SUM(N299:Q299)</f>
        <v>2.19999999999982</v>
      </c>
      <c r="S299" s="3">
        <f>S262-R262</f>
        <v>5.5</v>
      </c>
      <c r="T299" s="3">
        <f>T262-S262</f>
        <v>0</v>
      </c>
      <c r="U299" s="3">
        <f>U262-T262</f>
        <v>0</v>
      </c>
      <c r="V299" s="3">
        <f>V262-U262</f>
        <v>0.800000000000182</v>
      </c>
      <c r="W299" s="3">
        <f>SUM(S299:V299)</f>
        <v>6.30000000000018</v>
      </c>
      <c r="X299" s="3">
        <f>X262-W262</f>
        <v>11.5</v>
      </c>
      <c r="Y299" s="3">
        <f>Y262-X262</f>
        <v>0</v>
      </c>
      <c r="Z299" s="3">
        <f>Z262-Y262</f>
        <v>0</v>
      </c>
      <c r="AA299" s="3">
        <f>AA262-Z262</f>
        <v>-16.8000000000002</v>
      </c>
      <c r="AB299" s="3">
        <f>SUM(X299:AA299)</f>
        <v>-5.30000000000018</v>
      </c>
      <c r="AC299" s="3">
        <f>AC262-AB262</f>
        <v>0</v>
      </c>
      <c r="AD299" s="3">
        <f>AD262-AC262</f>
        <v>-5.90000000000009</v>
      </c>
      <c r="AE299" s="3">
        <f>AE262-AD262</f>
        <v>-7.09999999999991</v>
      </c>
      <c r="AF299" s="3">
        <f>AF262-AE262</f>
        <v>62.6999999999998</v>
      </c>
      <c r="AG299" s="3">
        <f>SUM(AC299:AF299)</f>
        <v>49.6999999999998</v>
      </c>
      <c r="AH299" s="3">
        <f>AH262-AG262</f>
        <v>0</v>
      </c>
      <c r="AI299" s="3">
        <f>AI262-AH262</f>
        <v>0</v>
      </c>
      <c r="AJ299" s="3">
        <f>AJ262-AI262</f>
        <v>0</v>
      </c>
      <c r="AK299" s="3">
        <f>AK262-AJ262</f>
        <v>0</v>
      </c>
      <c r="AL299" s="3">
        <f>SUM(AH299:AK299)</f>
        <v>0</v>
      </c>
      <c r="AM299" s="3">
        <f>AM262-AL262</f>
        <v>0</v>
      </c>
      <c r="AN299" s="3">
        <f>AN262-AM262</f>
        <v>0</v>
      </c>
      <c r="AO299" s="3">
        <f>AO262-AN262</f>
        <v>0</v>
      </c>
      <c r="AP299" s="3">
        <f>AP262-AO262</f>
        <v>0</v>
      </c>
      <c r="AQ299" s="3">
        <f>SUM(AM299:AP299)</f>
        <v>0</v>
      </c>
      <c r="AR299" s="3">
        <f>AR262-AQ262</f>
        <v>0</v>
      </c>
      <c r="AS299" s="3">
        <f>AS262-AR262</f>
        <v>0</v>
      </c>
      <c r="AT299" s="3">
        <f>AT262-AS262</f>
        <v>0</v>
      </c>
      <c r="AU299" s="3">
        <f>AU262-AT262</f>
        <v>0</v>
      </c>
      <c r="AV299" s="3">
        <f>SUM(AR299:AU299)</f>
        <v>0</v>
      </c>
      <c r="AW299" s="3">
        <f>AW262-AV262</f>
        <v>0</v>
      </c>
      <c r="AX299" s="3">
        <f>AX262-AW262</f>
        <v>0</v>
      </c>
      <c r="AY299" s="3">
        <f>AY262-AX262</f>
        <v>0</v>
      </c>
      <c r="AZ299" s="3">
        <f>AZ262-AY262</f>
        <v>0</v>
      </c>
      <c r="BA299" s="3">
        <f>SUM(AW299:AZ299)</f>
        <v>0</v>
      </c>
      <c r="BB299" s="3">
        <f>BB262-BA262</f>
        <v>0</v>
      </c>
      <c r="BC299" s="3">
        <f>BC262-BB262</f>
        <v>0</v>
      </c>
      <c r="BD299" s="3">
        <f>BD262-BC262</f>
        <v>0</v>
      </c>
      <c r="BE299" s="3">
        <f>BE262-BD262</f>
        <v>0</v>
      </c>
      <c r="BF299" s="3">
        <f>SUM(BB299:BE299)</f>
        <v>0</v>
      </c>
      <c r="BG299" s="3">
        <f>BG262-BF262</f>
        <v>0</v>
      </c>
      <c r="BH299" s="3">
        <f>BH262-BG262</f>
        <v>0</v>
      </c>
      <c r="BI299" s="3">
        <f>BI262-BH262</f>
        <v>0</v>
      </c>
      <c r="BJ299" s="3">
        <f>BJ262-BI262</f>
        <v>0</v>
      </c>
      <c r="BK299" s="3">
        <f>SUM(BG299:BJ299)</f>
        <v>0</v>
      </c>
      <c r="BL299" s="3">
        <f>BL262-BK262</f>
        <v>0</v>
      </c>
      <c r="BM299" s="3">
        <f>BM262-BL262</f>
        <v>0</v>
      </c>
      <c r="BN299" s="3">
        <f>BN262-BM262</f>
        <v>0</v>
      </c>
      <c r="BO299" s="3">
        <f>BO262-BN262</f>
        <v>0</v>
      </c>
      <c r="BP299" s="3">
        <f>SUM(BL299:BO299)</f>
        <v>0</v>
      </c>
      <c r="BQ299" s="3">
        <f>BQ262-BP262</f>
        <v>0</v>
      </c>
      <c r="BR299" s="3">
        <f>BR262-BQ262</f>
        <v>0</v>
      </c>
      <c r="BS299" s="3">
        <f>BS262-BR262</f>
        <v>0</v>
      </c>
      <c r="BT299" s="3">
        <f>BT262-BS262</f>
        <v>0</v>
      </c>
      <c r="BU299" s="3">
        <f>SUM(BQ299:BT299)</f>
        <v>0</v>
      </c>
      <c r="BV299" s="3">
        <f>BV262-BU262</f>
        <v>0</v>
      </c>
      <c r="BW299" s="3">
        <f>BW262-BV262</f>
        <v>0</v>
      </c>
      <c r="BX299" s="3">
        <f>BX262-BW262</f>
        <v>0</v>
      </c>
      <c r="BY299" s="3">
        <f>BY262-BX262</f>
        <v>0</v>
      </c>
      <c r="BZ299" s="3">
        <f>SUM(BV299:BY299)</f>
        <v>0</v>
      </c>
      <c r="CA299" s="3">
        <f>CA262-BZ262</f>
        <v>0</v>
      </c>
      <c r="CB299" s="3">
        <f>CB262-CA262</f>
        <v>0</v>
      </c>
      <c r="CC299" s="3">
        <f>CC262-CB262</f>
        <v>0</v>
      </c>
      <c r="CD299" s="3">
        <f>CD262-CC262</f>
        <v>0</v>
      </c>
      <c r="CE299" s="3">
        <f>SUM(CA299:CD299)</f>
        <v>0</v>
      </c>
      <c r="CF299" s="3">
        <f>CF262-CE262</f>
        <v>0</v>
      </c>
      <c r="CG299" s="3">
        <f>CG262-CF262</f>
        <v>0</v>
      </c>
      <c r="CH299" s="3">
        <f>CH262-CG262</f>
        <v>0</v>
      </c>
      <c r="CI299" s="3">
        <f>CI262-CH262</f>
        <v>0</v>
      </c>
      <c r="CJ299" s="3">
        <f>SUM(CF299:CI299)</f>
        <v>0</v>
      </c>
      <c r="CK299" s="3">
        <f>CK262-CJ262</f>
        <v>0</v>
      </c>
      <c r="CL299" s="3">
        <f>CL262-CK262</f>
        <v>0</v>
      </c>
      <c r="CM299" s="3">
        <f>CM262-CL262</f>
        <v>0</v>
      </c>
      <c r="CN299" s="3">
        <f>CN262-CM262</f>
        <v>0</v>
      </c>
      <c r="CO299" s="3">
        <f>SUM(CK299:CN299)</f>
        <v>0</v>
      </c>
      <c r="CP299" s="3">
        <f>CP262-CO262</f>
        <v>0</v>
      </c>
      <c r="CQ299" s="3">
        <f>CQ262-CP262</f>
        <v>0</v>
      </c>
      <c r="CR299" s="3">
        <f>CR262-CQ262</f>
        <v>0</v>
      </c>
      <c r="CS299" s="3">
        <f>CS262-CR262</f>
        <v>0</v>
      </c>
      <c r="CT299" s="3">
        <f>SUM(CP299:CS299)</f>
        <v>0</v>
      </c>
      <c r="CU299" s="3">
        <f>CU262-CT262</f>
        <v>0</v>
      </c>
      <c r="CV299" s="3">
        <f>CV262-CU262</f>
        <v>0</v>
      </c>
      <c r="CW299" s="3">
        <f>CW262-CV262</f>
        <v>0</v>
      </c>
      <c r="CX299" s="3">
        <f>CX262-CW262</f>
        <v>0</v>
      </c>
      <c r="CY299" s="3">
        <f>SUM(CU299:CX299)</f>
        <v>0</v>
      </c>
    </row>
    <row r="300">
      <c r="C300" s="26" t="inlineStr">
        <is>
          <t>Comprehensive accumulated loss</t>
        </is>
      </c>
      <c r="D300" s="3" t="n"/>
      <c r="E300" s="3">
        <f>E263-D263</f>
        <v>203</v>
      </c>
      <c r="F300" s="3">
        <f>F263-E263</f>
        <v>127.8</v>
      </c>
      <c r="G300" s="3">
        <f>G263-F263</f>
        <v>58.6999999999998</v>
      </c>
      <c r="H300" s="3">
        <f>SUM(D300:G300)</f>
        <v>389.5</v>
      </c>
      <c r="I300" s="3">
        <f>I263-H263</f>
        <v>100.8</v>
      </c>
      <c r="J300" s="3">
        <f>J263-I263</f>
        <v>108.5</v>
      </c>
      <c r="K300" s="3">
        <f>K263-J263</f>
        <v>114.4</v>
      </c>
      <c r="L300" s="3">
        <f>L263-K263</f>
        <v>1829.6</v>
      </c>
      <c r="M300" s="3">
        <f>SUM(I300:L300)</f>
        <v>2153.3</v>
      </c>
      <c r="N300" s="3">
        <f>N263-M263</f>
        <v>117.799999999999</v>
      </c>
      <c r="O300" s="3">
        <f>O263-N263</f>
        <v>-62.3999999999996</v>
      </c>
      <c r="P300" s="3">
        <f>P263-O263</f>
        <v>-8.10000000000036</v>
      </c>
      <c r="Q300" s="3">
        <f>Q263-P263</f>
        <v>451.2</v>
      </c>
      <c r="R300" s="3">
        <f>SUM(N300:Q300)</f>
        <v>498.5</v>
      </c>
      <c r="S300" s="3">
        <f>S263-R263</f>
        <v>67.3000000000002</v>
      </c>
      <c r="T300" s="3">
        <f>T263-S263</f>
        <v>-11.4000000000001</v>
      </c>
      <c r="U300" s="3">
        <f>U263-T263</f>
        <v>3.80000000000018</v>
      </c>
      <c r="V300" s="3">
        <f>V263-U263</f>
        <v>-542.1</v>
      </c>
      <c r="W300" s="3">
        <f>SUM(S300:V300)</f>
        <v>-482.4</v>
      </c>
      <c r="X300" s="3">
        <f>X263-W263</f>
        <v>27.5</v>
      </c>
      <c r="Y300" s="3">
        <f>Y263-X263</f>
        <v>-79</v>
      </c>
      <c r="Z300" s="3">
        <f>Z263-Y263</f>
        <v>103.7</v>
      </c>
      <c r="AA300" s="3">
        <f>AA263-Z263</f>
        <v>-47.0999999999995</v>
      </c>
      <c r="AB300" s="3">
        <f>SUM(X300:AA300)</f>
        <v>5.10000000000036</v>
      </c>
      <c r="AC300" s="3">
        <f>AC263-AB263</f>
        <v>547.3</v>
      </c>
      <c r="AD300" s="3">
        <f>AD263-AC263</f>
        <v>58.5999999999999</v>
      </c>
      <c r="AE300" s="3">
        <f>AE263-AD263</f>
        <v>509.7</v>
      </c>
      <c r="AF300" s="3">
        <f>AF263-AE263</f>
        <v>326.3</v>
      </c>
      <c r="AG300" s="3">
        <f>SUM(AC300:AF300)</f>
        <v>1441.9</v>
      </c>
      <c r="AH300" s="3">
        <f>AH263-AG263</f>
        <v>47</v>
      </c>
      <c r="AI300" s="3">
        <f>AI263-AH263</f>
        <v>72</v>
      </c>
      <c r="AJ300" s="3">
        <f>AJ263-AI263</f>
        <v>0</v>
      </c>
      <c r="AK300" s="3">
        <f>AK263-AJ263</f>
        <v>0</v>
      </c>
      <c r="AL300" s="3">
        <f>SUM(AH300:AK300)</f>
        <v>119</v>
      </c>
      <c r="AM300" s="3">
        <f>AM263-AL263</f>
        <v>0</v>
      </c>
      <c r="AN300" s="3">
        <f>AN263-AM263</f>
        <v>0</v>
      </c>
      <c r="AO300" s="3">
        <f>AO263-AN263</f>
        <v>0</v>
      </c>
      <c r="AP300" s="3">
        <f>AP263-AO263</f>
        <v>0</v>
      </c>
      <c r="AQ300" s="3">
        <f>SUM(AM300:AP300)</f>
        <v>0</v>
      </c>
      <c r="AR300" s="3">
        <f>AR263-AQ263</f>
        <v>0</v>
      </c>
      <c r="AS300" s="3">
        <f>AS263-AR263</f>
        <v>0</v>
      </c>
      <c r="AT300" s="3">
        <f>AT263-AS263</f>
        <v>0</v>
      </c>
      <c r="AU300" s="3">
        <f>AU263-AT263</f>
        <v>0</v>
      </c>
      <c r="AV300" s="3">
        <f>SUM(AR300:AU300)</f>
        <v>0</v>
      </c>
      <c r="AW300" s="3">
        <f>AW263-AV263</f>
        <v>0</v>
      </c>
      <c r="AX300" s="3">
        <f>AX263-AW263</f>
        <v>0</v>
      </c>
      <c r="AY300" s="3">
        <f>AY263-AX263</f>
        <v>0</v>
      </c>
      <c r="AZ300" s="3">
        <f>AZ263-AY263</f>
        <v>0</v>
      </c>
      <c r="BA300" s="3">
        <f>SUM(AW300:AZ300)</f>
        <v>0</v>
      </c>
      <c r="BB300" s="3">
        <f>BB263-BA263</f>
        <v>0</v>
      </c>
      <c r="BC300" s="3">
        <f>BC263-BB263</f>
        <v>0</v>
      </c>
      <c r="BD300" s="3">
        <f>BD263-BC263</f>
        <v>0</v>
      </c>
      <c r="BE300" s="3">
        <f>BE263-BD263</f>
        <v>0</v>
      </c>
      <c r="BF300" s="3">
        <f>SUM(BB300:BE300)</f>
        <v>0</v>
      </c>
      <c r="BG300" s="3">
        <f>BG263-BF263</f>
        <v>0</v>
      </c>
      <c r="BH300" s="3">
        <f>BH263-BG263</f>
        <v>0</v>
      </c>
      <c r="BI300" s="3">
        <f>BI263-BH263</f>
        <v>0</v>
      </c>
      <c r="BJ300" s="3">
        <f>BJ263-BI263</f>
        <v>0</v>
      </c>
      <c r="BK300" s="3">
        <f>SUM(BG300:BJ300)</f>
        <v>0</v>
      </c>
      <c r="BL300" s="3">
        <f>BL263-BK263</f>
        <v>0</v>
      </c>
      <c r="BM300" s="3">
        <f>BM263-BL263</f>
        <v>0</v>
      </c>
      <c r="BN300" s="3">
        <f>BN263-BM263</f>
        <v>0</v>
      </c>
      <c r="BO300" s="3">
        <f>BO263-BN263</f>
        <v>0</v>
      </c>
      <c r="BP300" s="3">
        <f>SUM(BL300:BO300)</f>
        <v>0</v>
      </c>
      <c r="BQ300" s="3">
        <f>BQ263-BP263</f>
        <v>0</v>
      </c>
      <c r="BR300" s="3">
        <f>BR263-BQ263</f>
        <v>0</v>
      </c>
      <c r="BS300" s="3">
        <f>BS263-BR263</f>
        <v>0</v>
      </c>
      <c r="BT300" s="3">
        <f>BT263-BS263</f>
        <v>0</v>
      </c>
      <c r="BU300" s="3">
        <f>SUM(BQ300:BT300)</f>
        <v>0</v>
      </c>
      <c r="BV300" s="3">
        <f>BV263-BU263</f>
        <v>0</v>
      </c>
      <c r="BW300" s="3">
        <f>BW263-BV263</f>
        <v>0</v>
      </c>
      <c r="BX300" s="3">
        <f>BX263-BW263</f>
        <v>0</v>
      </c>
      <c r="BY300" s="3">
        <f>BY263-BX263</f>
        <v>0</v>
      </c>
      <c r="BZ300" s="3">
        <f>SUM(BV300:BY300)</f>
        <v>0</v>
      </c>
      <c r="CA300" s="3">
        <f>CA263-BZ263</f>
        <v>0</v>
      </c>
      <c r="CB300" s="3">
        <f>CB263-CA263</f>
        <v>0</v>
      </c>
      <c r="CC300" s="3">
        <f>CC263-CB263</f>
        <v>0</v>
      </c>
      <c r="CD300" s="3">
        <f>CD263-CC263</f>
        <v>0</v>
      </c>
      <c r="CE300" s="3">
        <f>SUM(CA300:CD300)</f>
        <v>0</v>
      </c>
      <c r="CF300" s="3">
        <f>CF263-CE263</f>
        <v>0</v>
      </c>
      <c r="CG300" s="3">
        <f>CG263-CF263</f>
        <v>0</v>
      </c>
      <c r="CH300" s="3">
        <f>CH263-CG263</f>
        <v>0</v>
      </c>
      <c r="CI300" s="3">
        <f>CI263-CH263</f>
        <v>0</v>
      </c>
      <c r="CJ300" s="3">
        <f>SUM(CF300:CI300)</f>
        <v>0</v>
      </c>
      <c r="CK300" s="3">
        <f>CK263-CJ263</f>
        <v>0</v>
      </c>
      <c r="CL300" s="3">
        <f>CL263-CK263</f>
        <v>0</v>
      </c>
      <c r="CM300" s="3">
        <f>CM263-CL263</f>
        <v>0</v>
      </c>
      <c r="CN300" s="3">
        <f>CN263-CM263</f>
        <v>0</v>
      </c>
      <c r="CO300" s="3">
        <f>SUM(CK300:CN300)</f>
        <v>0</v>
      </c>
      <c r="CP300" s="3">
        <f>CP263-CO263</f>
        <v>0</v>
      </c>
      <c r="CQ300" s="3">
        <f>CQ263-CP263</f>
        <v>0</v>
      </c>
      <c r="CR300" s="3">
        <f>CR263-CQ263</f>
        <v>0</v>
      </c>
      <c r="CS300" s="3">
        <f>CS263-CR263</f>
        <v>0</v>
      </c>
      <c r="CT300" s="3">
        <f>SUM(CP300:CS300)</f>
        <v>0</v>
      </c>
      <c r="CU300" s="3">
        <f>CU263-CT263</f>
        <v>0</v>
      </c>
      <c r="CV300" s="3">
        <f>CV263-CU263</f>
        <v>0</v>
      </c>
      <c r="CW300" s="3">
        <f>CW263-CV263</f>
        <v>0</v>
      </c>
      <c r="CX300" s="3">
        <f>CX263-CW263</f>
        <v>0</v>
      </c>
      <c r="CY300" s="3">
        <f>SUM(CU300:CX300)</f>
        <v>0</v>
      </c>
    </row>
    <row r="301">
      <c r="C301" s="26" t="inlineStr">
        <is>
          <t>Other equity account</t>
        </is>
      </c>
      <c r="D301" s="3" t="n"/>
      <c r="E301" s="3">
        <f>E264-D264</f>
        <v>0</v>
      </c>
      <c r="F301" s="3">
        <f>F264-E264</f>
        <v>0</v>
      </c>
      <c r="G301" s="3">
        <f>G264-F264</f>
        <v>0</v>
      </c>
      <c r="H301" s="3">
        <f>SUM(D301:G301)</f>
        <v>0</v>
      </c>
      <c r="I301" s="3">
        <f>I264-H264</f>
        <v>0</v>
      </c>
      <c r="J301" s="3">
        <f>J264-I264</f>
        <v>0</v>
      </c>
      <c r="K301" s="3">
        <f>K264-J264</f>
        <v>0</v>
      </c>
      <c r="L301" s="3">
        <f>L264-K264</f>
        <v>0</v>
      </c>
      <c r="M301" s="3">
        <f>SUM(I301:L301)</f>
        <v>0</v>
      </c>
      <c r="N301" s="3">
        <f>N264-M264</f>
        <v>0</v>
      </c>
      <c r="O301" s="3">
        <f>O264-N264</f>
        <v>0</v>
      </c>
      <c r="P301" s="3">
        <f>P264-O264</f>
        <v>0</v>
      </c>
      <c r="Q301" s="3">
        <f>Q264-P264</f>
        <v>0</v>
      </c>
      <c r="R301" s="3">
        <f>SUM(N301:Q301)</f>
        <v>0</v>
      </c>
      <c r="S301" s="3">
        <f>S264-R264</f>
        <v>0</v>
      </c>
      <c r="T301" s="3">
        <f>T264-S264</f>
        <v>0</v>
      </c>
      <c r="U301" s="3">
        <f>U264-T264</f>
        <v>0</v>
      </c>
      <c r="V301" s="3">
        <f>V264-U264</f>
        <v>0</v>
      </c>
      <c r="W301" s="3">
        <f>SUM(S301:V301)</f>
        <v>0</v>
      </c>
      <c r="X301" s="3">
        <f>X264-W264</f>
        <v>0</v>
      </c>
      <c r="Y301" s="3">
        <f>Y264-X264</f>
        <v>0</v>
      </c>
      <c r="Z301" s="3">
        <f>Z264-Y264</f>
        <v>0</v>
      </c>
      <c r="AA301" s="3">
        <f>AA264-Z264</f>
        <v>0</v>
      </c>
      <c r="AB301" s="3">
        <f>SUM(X301:AA301)</f>
        <v>0</v>
      </c>
      <c r="AC301" s="3">
        <f>AC264-AB264</f>
        <v>0</v>
      </c>
      <c r="AD301" s="3">
        <f>AD264-AC264</f>
        <v>0</v>
      </c>
      <c r="AE301" s="3">
        <f>AE264-AD264</f>
        <v>0</v>
      </c>
      <c r="AF301" s="3">
        <f>AF264-AE264</f>
        <v>0</v>
      </c>
      <c r="AG301" s="3">
        <f>SUM(AC301:AF301)</f>
        <v>0</v>
      </c>
      <c r="AH301" s="3">
        <f>AH264-AG264</f>
        <v>0</v>
      </c>
      <c r="AI301" s="3">
        <f>AI264-AH264</f>
        <v>0</v>
      </c>
      <c r="AJ301" s="3">
        <f>AJ264-AI264</f>
        <v>0</v>
      </c>
      <c r="AK301" s="3">
        <f>AK264-AJ264</f>
        <v>0</v>
      </c>
      <c r="AL301" s="3">
        <f>SUM(AH301:AK301)</f>
        <v>0</v>
      </c>
      <c r="AM301" s="3">
        <f>AM264-AL264</f>
        <v>0</v>
      </c>
      <c r="AN301" s="3">
        <f>AN264-AM264</f>
        <v>0</v>
      </c>
      <c r="AO301" s="3">
        <f>AO264-AN264</f>
        <v>0</v>
      </c>
      <c r="AP301" s="3">
        <f>AP264-AO264</f>
        <v>0</v>
      </c>
      <c r="AQ301" s="3">
        <f>SUM(AM301:AP301)</f>
        <v>0</v>
      </c>
      <c r="AR301" s="3">
        <f>AR264-AQ264</f>
        <v>0</v>
      </c>
      <c r="AS301" s="3">
        <f>AS264-AR264</f>
        <v>0</v>
      </c>
      <c r="AT301" s="3">
        <f>AT264-AS264</f>
        <v>0</v>
      </c>
      <c r="AU301" s="3">
        <f>AU264-AT264</f>
        <v>0</v>
      </c>
      <c r="AV301" s="3">
        <f>SUM(AR301:AU301)</f>
        <v>0</v>
      </c>
      <c r="AW301" s="3">
        <f>AW264-AV264</f>
        <v>0</v>
      </c>
      <c r="AX301" s="3">
        <f>AX264-AW264</f>
        <v>0</v>
      </c>
      <c r="AY301" s="3">
        <f>AY264-AX264</f>
        <v>0</v>
      </c>
      <c r="AZ301" s="3">
        <f>AZ264-AY264</f>
        <v>0</v>
      </c>
      <c r="BA301" s="3">
        <f>SUM(AW301:AZ301)</f>
        <v>0</v>
      </c>
      <c r="BB301" s="3">
        <f>BB264-BA264</f>
        <v>0</v>
      </c>
      <c r="BC301" s="3">
        <f>BC264-BB264</f>
        <v>0</v>
      </c>
      <c r="BD301" s="3">
        <f>BD264-BC264</f>
        <v>0</v>
      </c>
      <c r="BE301" s="3">
        <f>BE264-BD264</f>
        <v>0</v>
      </c>
      <c r="BF301" s="3">
        <f>SUM(BB301:BE301)</f>
        <v>0</v>
      </c>
      <c r="BG301" s="3">
        <f>BG264-BF264</f>
        <v>0</v>
      </c>
      <c r="BH301" s="3">
        <f>BH264-BG264</f>
        <v>0</v>
      </c>
      <c r="BI301" s="3">
        <f>BI264-BH264</f>
        <v>0</v>
      </c>
      <c r="BJ301" s="3">
        <f>BJ264-BI264</f>
        <v>0</v>
      </c>
      <c r="BK301" s="3">
        <f>SUM(BG301:BJ301)</f>
        <v>0</v>
      </c>
      <c r="BL301" s="3">
        <f>BL264-BK264</f>
        <v>0</v>
      </c>
      <c r="BM301" s="3">
        <f>BM264-BL264</f>
        <v>0</v>
      </c>
      <c r="BN301" s="3">
        <f>BN264-BM264</f>
        <v>0</v>
      </c>
      <c r="BO301" s="3">
        <f>BO264-BN264</f>
        <v>0</v>
      </c>
      <c r="BP301" s="3">
        <f>SUM(BL301:BO301)</f>
        <v>0</v>
      </c>
      <c r="BQ301" s="3">
        <f>BQ264-BP264</f>
        <v>0</v>
      </c>
      <c r="BR301" s="3">
        <f>BR264-BQ264</f>
        <v>0</v>
      </c>
      <c r="BS301" s="3">
        <f>BS264-BR264</f>
        <v>0</v>
      </c>
      <c r="BT301" s="3">
        <f>BT264-BS264</f>
        <v>0</v>
      </c>
      <c r="BU301" s="3">
        <f>SUM(BQ301:BT301)</f>
        <v>0</v>
      </c>
      <c r="BV301" s="3">
        <f>BV264-BU264</f>
        <v>0</v>
      </c>
      <c r="BW301" s="3">
        <f>BW264-BV264</f>
        <v>0</v>
      </c>
      <c r="BX301" s="3">
        <f>BX264-BW264</f>
        <v>0</v>
      </c>
      <c r="BY301" s="3">
        <f>BY264-BX264</f>
        <v>0</v>
      </c>
      <c r="BZ301" s="3">
        <f>SUM(BV301:BY301)</f>
        <v>0</v>
      </c>
      <c r="CA301" s="3">
        <f>CA264-BZ264</f>
        <v>0</v>
      </c>
      <c r="CB301" s="3">
        <f>CB264-CA264</f>
        <v>0</v>
      </c>
      <c r="CC301" s="3">
        <f>CC264-CB264</f>
        <v>0</v>
      </c>
      <c r="CD301" s="3">
        <f>CD264-CC264</f>
        <v>0</v>
      </c>
      <c r="CE301" s="3">
        <f>SUM(CA301:CD301)</f>
        <v>0</v>
      </c>
      <c r="CF301" s="3">
        <f>CF264-CE264</f>
        <v>0</v>
      </c>
      <c r="CG301" s="3">
        <f>CG264-CF264</f>
        <v>0</v>
      </c>
      <c r="CH301" s="3">
        <f>CH264-CG264</f>
        <v>0</v>
      </c>
      <c r="CI301" s="3">
        <f>CI264-CH264</f>
        <v>0</v>
      </c>
      <c r="CJ301" s="3">
        <f>SUM(CF301:CI301)</f>
        <v>0</v>
      </c>
      <c r="CK301" s="3">
        <f>CK264-CJ264</f>
        <v>0</v>
      </c>
      <c r="CL301" s="3">
        <f>CL264-CK264</f>
        <v>0</v>
      </c>
      <c r="CM301" s="3">
        <f>CM264-CL264</f>
        <v>0</v>
      </c>
      <c r="CN301" s="3">
        <f>CN264-CM264</f>
        <v>0</v>
      </c>
      <c r="CO301" s="3">
        <f>SUM(CK301:CN301)</f>
        <v>0</v>
      </c>
      <c r="CP301" s="3">
        <f>CP264-CO264</f>
        <v>0</v>
      </c>
      <c r="CQ301" s="3">
        <f>CQ264-CP264</f>
        <v>0</v>
      </c>
      <c r="CR301" s="3">
        <f>CR264-CQ264</f>
        <v>0</v>
      </c>
      <c r="CS301" s="3">
        <f>CS264-CR264</f>
        <v>0</v>
      </c>
      <c r="CT301" s="3">
        <f>SUM(CP301:CS301)</f>
        <v>0</v>
      </c>
      <c r="CU301" s="3">
        <f>CU264-CT264</f>
        <v>0</v>
      </c>
      <c r="CV301" s="3">
        <f>CV264-CU264</f>
        <v>0</v>
      </c>
      <c r="CW301" s="3">
        <f>CW264-CV264</f>
        <v>0</v>
      </c>
      <c r="CX301" s="3">
        <f>CX264-CW264</f>
        <v>0</v>
      </c>
      <c r="CY301" s="3">
        <f>SUM(CU301:CX301)</f>
        <v>0</v>
      </c>
    </row>
    <row r="302">
      <c r="C302" s="29" t="inlineStr">
        <is>
          <t>Common and preferred dividends</t>
        </is>
      </c>
      <c r="D302" s="3" t="n"/>
      <c r="E302" s="3">
        <f>(E265-D265)-E272</f>
        <v>-674.2</v>
      </c>
      <c r="F302" s="3">
        <f>(F265-E265)-F272</f>
        <v>-671.6</v>
      </c>
      <c r="G302" s="3">
        <f>(G265-F265)-G272</f>
        <v>-1440.6</v>
      </c>
      <c r="H302" s="3">
        <f>SUM(D302:G302)</f>
        <v>-2786.4</v>
      </c>
      <c r="I302" s="3">
        <f>(I265-H265)-I272</f>
        <v>-4.2000000000005</v>
      </c>
      <c r="J302" s="3">
        <f>(J265-I265)-J272</f>
        <v>-2041.4</v>
      </c>
      <c r="K302" s="3">
        <f>(K265-J265)-K272</f>
        <v>-0.800000000000637</v>
      </c>
      <c r="L302" s="3">
        <f>(L265-K265)-L272</f>
        <v>-2407</v>
      </c>
      <c r="M302" s="3">
        <f>SUM(I302:L302)</f>
        <v>-4453.4</v>
      </c>
      <c r="N302" s="3">
        <f>(N265-M265)-N272</f>
        <v>-1492</v>
      </c>
      <c r="O302" s="3">
        <f>(O265-N265)-O272</f>
        <v>-1765.9</v>
      </c>
      <c r="P302" s="3">
        <f>(P265-O265)-P272</f>
        <v>-1.20000000000005</v>
      </c>
      <c r="Q302" s="3">
        <f>(Q265-P265)-Q272</f>
        <v>-1901.6</v>
      </c>
      <c r="R302" s="3">
        <f>SUM(N302:Q302)</f>
        <v>-5160.7</v>
      </c>
      <c r="S302" s="3">
        <f>(S265-R265)-S272</f>
        <v>-748.200000000001</v>
      </c>
      <c r="T302" s="3">
        <f>(T265-S265)-T272</f>
        <v>-2034</v>
      </c>
      <c r="U302" s="3">
        <f>(U265-T265)-U272</f>
        <v>-1.20000000000033</v>
      </c>
      <c r="V302" s="3">
        <f>(V265-U265)-V272</f>
        <v>-2187.3</v>
      </c>
      <c r="W302" s="3">
        <f>SUM(S302:V302)</f>
        <v>-4970.7</v>
      </c>
      <c r="X302" s="3">
        <f>(X265-W265)-X272</f>
        <v>-1.29999999999973</v>
      </c>
      <c r="Y302" s="3">
        <f>(Y265-X265)-Y272</f>
        <v>-2342.9</v>
      </c>
      <c r="Z302" s="3">
        <f>(Z265-Y265)-Z272</f>
        <v>-521.100000000001</v>
      </c>
      <c r="AA302" s="3">
        <f>(AA265-Z265)-AA272</f>
        <v>-4492</v>
      </c>
      <c r="AB302" s="3">
        <f>SUM(X302:AA302)</f>
        <v>-7357.3</v>
      </c>
      <c r="AC302" s="3">
        <f>(AC265-AB265)-AC272</f>
        <v>-1204.5</v>
      </c>
      <c r="AD302" s="3">
        <f>(AD265-AC265)-AD272</f>
        <v>-3384.3</v>
      </c>
      <c r="AE302" s="3">
        <f>(AE265-AD265)-AE272</f>
        <v>-706.700000000001</v>
      </c>
      <c r="AF302" s="3">
        <f>(AF265-AE265)-AF272</f>
        <v>-4419.7</v>
      </c>
      <c r="AG302" s="3">
        <f>SUM(AC302:AF302)</f>
        <v>-9715.2</v>
      </c>
      <c r="AH302" s="3">
        <f>(AH265-AG265)-AH272</f>
        <v>-2352</v>
      </c>
      <c r="AI302" s="3">
        <f>(AI265-AH265)-AI272</f>
        <v>-4716</v>
      </c>
      <c r="AJ302" s="3">
        <f>(AJ265-AI265)-AJ272</f>
        <v>0</v>
      </c>
      <c r="AK302" s="3">
        <f>(AK265-AJ265)-AK272</f>
        <v>0</v>
      </c>
      <c r="AL302" s="3">
        <f>SUM(AH302:AK302)</f>
        <v>-7068</v>
      </c>
      <c r="AM302" s="3">
        <f>(AM265-AL265)-AM272</f>
        <v>0</v>
      </c>
      <c r="AN302" s="3">
        <f>(AN265-AM265)-AN272</f>
        <v>0</v>
      </c>
      <c r="AO302" s="3">
        <f>(AO265-AN265)-AO272</f>
        <v>0</v>
      </c>
      <c r="AP302" s="3">
        <f>(AP265-AO265)-AP272</f>
        <v>0</v>
      </c>
      <c r="AQ302" s="3">
        <f>SUM(AM302:AP302)</f>
        <v>0</v>
      </c>
      <c r="AR302" s="3">
        <f>(AR265-AQ265)-AR272</f>
        <v>0</v>
      </c>
      <c r="AS302" s="3">
        <f>(AS265-AR265)-AS272</f>
        <v>0</v>
      </c>
      <c r="AT302" s="3">
        <f>(AT265-AS265)-AT272</f>
        <v>0</v>
      </c>
      <c r="AU302" s="3">
        <f>(AU265-AT265)-AU272</f>
        <v>0</v>
      </c>
      <c r="AV302" s="3">
        <f>SUM(AR302:AU302)</f>
        <v>0</v>
      </c>
      <c r="AW302" s="3">
        <f>(AW265-AV265)-AW272</f>
        <v>0</v>
      </c>
      <c r="AX302" s="3">
        <f>(AX265-AW265)-AX272</f>
        <v>0</v>
      </c>
      <c r="AY302" s="3">
        <f>(AY265-AX265)-AY272</f>
        <v>0</v>
      </c>
      <c r="AZ302" s="3">
        <f>(AZ265-AY265)-AZ272</f>
        <v>0</v>
      </c>
      <c r="BA302" s="3">
        <f>SUM(AW302:AZ302)</f>
        <v>0</v>
      </c>
      <c r="BB302" s="3">
        <f>(BB265-BA265)-BB272</f>
        <v>0</v>
      </c>
      <c r="BC302" s="3">
        <f>(BC265-BB265)-BC272</f>
        <v>0</v>
      </c>
      <c r="BD302" s="3">
        <f>(BD265-BC265)-BD272</f>
        <v>0</v>
      </c>
      <c r="BE302" s="3">
        <f>(BE265-BD265)-BE272</f>
        <v>0</v>
      </c>
      <c r="BF302" s="3">
        <f>SUM(BB302:BE302)</f>
        <v>0</v>
      </c>
      <c r="BG302" s="3">
        <f>(BG265-BF265)-BG272</f>
        <v>0</v>
      </c>
      <c r="BH302" s="3">
        <f>(BH265-BG265)-BH272</f>
        <v>0</v>
      </c>
      <c r="BI302" s="3">
        <f>(BI265-BH265)-BI272</f>
        <v>0</v>
      </c>
      <c r="BJ302" s="3">
        <f>(BJ265-BI265)-BJ272</f>
        <v>0</v>
      </c>
      <c r="BK302" s="3">
        <f>SUM(BG302:BJ302)</f>
        <v>0</v>
      </c>
      <c r="BL302" s="3">
        <f>(BL265-BK265)-BL272</f>
        <v>0</v>
      </c>
      <c r="BM302" s="3">
        <f>(BM265-BL265)-BM272</f>
        <v>0</v>
      </c>
      <c r="BN302" s="3">
        <f>(BN265-BM265)-BN272</f>
        <v>0</v>
      </c>
      <c r="BO302" s="3">
        <f>(BO265-BN265)-BO272</f>
        <v>0</v>
      </c>
      <c r="BP302" s="3">
        <f>SUM(BL302:BO302)</f>
        <v>0</v>
      </c>
      <c r="BQ302" s="3">
        <f>(BQ265-BP265)-BQ272</f>
        <v>0</v>
      </c>
      <c r="BR302" s="3">
        <f>(BR265-BQ265)-BR272</f>
        <v>0</v>
      </c>
      <c r="BS302" s="3">
        <f>(BS265-BR265)-BS272</f>
        <v>0</v>
      </c>
      <c r="BT302" s="3">
        <f>(BT265-BS265)-BT272</f>
        <v>0</v>
      </c>
      <c r="BU302" s="3">
        <f>SUM(BQ302:BT302)</f>
        <v>0</v>
      </c>
      <c r="BV302" s="3">
        <f>(BV265-BU265)-BV272</f>
        <v>0</v>
      </c>
      <c r="BW302" s="3">
        <f>(BW265-BV265)-BW272</f>
        <v>0</v>
      </c>
      <c r="BX302" s="3">
        <f>(BX265-BW265)-BX272</f>
        <v>0</v>
      </c>
      <c r="BY302" s="3">
        <f>(BY265-BX265)-BY272</f>
        <v>0</v>
      </c>
      <c r="BZ302" s="3">
        <f>SUM(BV302:BY302)</f>
        <v>0</v>
      </c>
      <c r="CA302" s="3">
        <f>(CA265-BZ265)-CA272</f>
        <v>0</v>
      </c>
      <c r="CB302" s="3">
        <f>(CB265-CA265)-CB272</f>
        <v>0</v>
      </c>
      <c r="CC302" s="3">
        <f>(CC265-CB265)-CC272</f>
        <v>0</v>
      </c>
      <c r="CD302" s="3">
        <f>(CD265-CC265)-CD272</f>
        <v>0</v>
      </c>
      <c r="CE302" s="3">
        <f>SUM(CA302:CD302)</f>
        <v>0</v>
      </c>
      <c r="CF302" s="3">
        <f>(CF265-CE265)-CF272</f>
        <v>0</v>
      </c>
      <c r="CG302" s="3">
        <f>(CG265-CF265)-CG272</f>
        <v>0</v>
      </c>
      <c r="CH302" s="3">
        <f>(CH265-CG265)-CH272</f>
        <v>0</v>
      </c>
      <c r="CI302" s="3">
        <f>(CI265-CH265)-CI272</f>
        <v>0</v>
      </c>
      <c r="CJ302" s="3">
        <f>SUM(CF302:CI302)</f>
        <v>0</v>
      </c>
      <c r="CK302" s="3">
        <f>(CK265-CJ265)-CK272</f>
        <v>0</v>
      </c>
      <c r="CL302" s="3">
        <f>(CL265-CK265)-CL272</f>
        <v>0</v>
      </c>
      <c r="CM302" s="3">
        <f>(CM265-CL265)-CM272</f>
        <v>0</v>
      </c>
      <c r="CN302" s="3">
        <f>(CN265-CM265)-CN272</f>
        <v>0</v>
      </c>
      <c r="CO302" s="3">
        <f>SUM(CK302:CN302)</f>
        <v>0</v>
      </c>
      <c r="CP302" s="3">
        <f>(CP265-CO265)-CP272</f>
        <v>0</v>
      </c>
      <c r="CQ302" s="3">
        <f>(CQ265-CP265)-CQ272</f>
        <v>0</v>
      </c>
      <c r="CR302" s="3">
        <f>(CR265-CQ265)-CR272</f>
        <v>0</v>
      </c>
      <c r="CS302" s="3">
        <f>(CS265-CR265)-CS272</f>
        <v>0</v>
      </c>
      <c r="CT302" s="3">
        <f>SUM(CP302:CS302)</f>
        <v>0</v>
      </c>
      <c r="CU302" s="3">
        <f>(CU265-CT265)-CU272</f>
        <v>0</v>
      </c>
      <c r="CV302" s="3">
        <f>(CV265-CU265)-CV272</f>
        <v>0</v>
      </c>
      <c r="CW302" s="3">
        <f>(CW265-CV265)-CW272</f>
        <v>0</v>
      </c>
      <c r="CX302" s="3">
        <f>(CX265-CW265)-CX272</f>
        <v>0</v>
      </c>
      <c r="CY302" s="3">
        <f>SUM(CU302:CX302)</f>
        <v>0</v>
      </c>
    </row>
    <row r="303">
      <c r="C303" s="26" t="inlineStr">
        <is>
          <t>Dividends to minority interests</t>
        </is>
      </c>
      <c r="D303" s="3" t="n"/>
      <c r="E303" s="3">
        <f>(E243-D243)+E131</f>
        <v>60.7</v>
      </c>
      <c r="F303" s="3">
        <f>(F243-E243)+F131</f>
        <v>-10</v>
      </c>
      <c r="G303" s="3">
        <f>(G243-F243)+G131</f>
        <v>14.5</v>
      </c>
      <c r="H303" s="3">
        <f>SUM(D303:G303)</f>
        <v>65.2</v>
      </c>
      <c r="I303" s="3">
        <f>(I243-H243)+I131</f>
        <v>17</v>
      </c>
      <c r="J303" s="3">
        <f>(J243-I243)+J131</f>
        <v>18.5</v>
      </c>
      <c r="K303" s="3">
        <f>(K243-J243)+K131</f>
        <v>-22</v>
      </c>
      <c r="L303" s="3">
        <f>(L243-K243)+L131</f>
        <v>-21.5</v>
      </c>
      <c r="M303" s="3">
        <f>SUM(I303:L303)</f>
        <v>-8</v>
      </c>
      <c r="N303" s="3">
        <f>(N243-M243)+N131</f>
        <v>-44.4</v>
      </c>
      <c r="O303" s="3">
        <f>(O243-N243)+O131</f>
        <v>-16.7</v>
      </c>
      <c r="P303" s="3">
        <f>(P243-O243)+P131</f>
        <v>-18.7</v>
      </c>
      <c r="Q303" s="3">
        <f>(Q243-P243)+Q131</f>
        <v>29.8</v>
      </c>
      <c r="R303" s="3">
        <f>SUM(N303:Q303)</f>
        <v>-50</v>
      </c>
      <c r="S303" s="3">
        <f>(S243-R243)+S131</f>
        <v>-21.1</v>
      </c>
      <c r="T303" s="3">
        <f>(T243-S243)+T131</f>
        <v>-19</v>
      </c>
      <c r="U303" s="3">
        <f>(U243-T243)+U131</f>
        <v>1.5</v>
      </c>
      <c r="V303" s="3">
        <f>(V243-U243)+V131</f>
        <v>4.8</v>
      </c>
      <c r="W303" s="3">
        <f>SUM(S303:V303)</f>
        <v>-33.8</v>
      </c>
      <c r="X303" s="3">
        <f>(X243-W243)+X131</f>
        <v>-6.59999999999999</v>
      </c>
      <c r="Y303" s="3">
        <f>(Y243-X243)+Y131</f>
        <v>-11.7</v>
      </c>
      <c r="Z303" s="3">
        <f>(Z243-Y243)+Z131</f>
        <v>7.2</v>
      </c>
      <c r="AA303" s="3">
        <f>(AA243-Z243)+AA131</f>
        <v>-1.2</v>
      </c>
      <c r="AB303" s="3">
        <f>SUM(X303:AA303)</f>
        <v>-12.3</v>
      </c>
      <c r="AC303" s="3">
        <f>(AC243-AB243)+AC131</f>
        <v>2.5</v>
      </c>
      <c r="AD303" s="3">
        <f>(AD243-AC243)+AD131</f>
        <v>-5.8</v>
      </c>
      <c r="AE303" s="3">
        <f>(AE243-AD243)+AE131</f>
        <v>-18.7</v>
      </c>
      <c r="AF303" s="3">
        <f>(AF243-AE243)+AF131</f>
        <v>-57.5</v>
      </c>
      <c r="AG303" s="3">
        <f>SUM(AC303:AF303)</f>
        <v>-79.5</v>
      </c>
      <c r="AH303" s="3">
        <f>(AH243-AG243)+AH131</f>
        <v>0</v>
      </c>
      <c r="AI303" s="3">
        <f>(AI243-AH243)+AI131</f>
        <v>0</v>
      </c>
      <c r="AJ303" s="3">
        <f>(AJ243-AI243)+AJ131</f>
        <v>0</v>
      </c>
      <c r="AK303" s="3">
        <f>(AK243-AJ243)+AK131</f>
        <v>0</v>
      </c>
      <c r="AL303" s="3">
        <f>SUM(AH303:AK303)</f>
        <v>0</v>
      </c>
      <c r="AM303" s="3">
        <f>(AM243-AL243)+AM131</f>
        <v>0</v>
      </c>
      <c r="AN303" s="3">
        <f>(AN243-AM243)+AN131</f>
        <v>0</v>
      </c>
      <c r="AO303" s="3">
        <f>(AO243-AN243)+AO131</f>
        <v>0</v>
      </c>
      <c r="AP303" s="3">
        <f>(AP243-AO243)+AP131</f>
        <v>0</v>
      </c>
      <c r="AQ303" s="3">
        <f>SUM(AM303:AP303)</f>
        <v>0</v>
      </c>
      <c r="AR303" s="3">
        <f>(AR243-AQ243)+AR131</f>
        <v>0</v>
      </c>
      <c r="AS303" s="3">
        <f>(AS243-AR243)+AS131</f>
        <v>0</v>
      </c>
      <c r="AT303" s="3">
        <f>(AT243-AS243)+AT131</f>
        <v>0</v>
      </c>
      <c r="AU303" s="3">
        <f>(AU243-AT243)+AU131</f>
        <v>0</v>
      </c>
      <c r="AV303" s="3">
        <f>SUM(AR303:AU303)</f>
        <v>0</v>
      </c>
      <c r="AW303" s="3">
        <f>(AW243-AV243)+AW131</f>
        <v>0</v>
      </c>
      <c r="AX303" s="3">
        <f>(AX243-AW243)+AX131</f>
        <v>0</v>
      </c>
      <c r="AY303" s="3">
        <f>(AY243-AX243)+AY131</f>
        <v>0</v>
      </c>
      <c r="AZ303" s="3">
        <f>(AZ243-AY243)+AZ131</f>
        <v>0</v>
      </c>
      <c r="BA303" s="3">
        <f>SUM(AW303:AZ303)</f>
        <v>0</v>
      </c>
      <c r="BB303" s="3">
        <f>(BB243-BA243)+BB131</f>
        <v>0</v>
      </c>
      <c r="BC303" s="3">
        <f>(BC243-BB243)+BC131</f>
        <v>0</v>
      </c>
      <c r="BD303" s="3">
        <f>(BD243-BC243)+BD131</f>
        <v>0</v>
      </c>
      <c r="BE303" s="3">
        <f>(BE243-BD243)+BE131</f>
        <v>0</v>
      </c>
      <c r="BF303" s="3">
        <f>SUM(BB303:BE303)</f>
        <v>0</v>
      </c>
      <c r="BG303" s="3">
        <f>(BG243-BF243)+BG131</f>
        <v>0</v>
      </c>
      <c r="BH303" s="3">
        <f>(BH243-BG243)+BH131</f>
        <v>0</v>
      </c>
      <c r="BI303" s="3">
        <f>(BI243-BH243)+BI131</f>
        <v>0</v>
      </c>
      <c r="BJ303" s="3">
        <f>(BJ243-BI243)+BJ131</f>
        <v>0</v>
      </c>
      <c r="BK303" s="3">
        <f>SUM(BG303:BJ303)</f>
        <v>0</v>
      </c>
      <c r="BL303" s="3">
        <f>(BL243-BK243)+BL131</f>
        <v>0</v>
      </c>
      <c r="BM303" s="3">
        <f>(BM243-BL243)+BM131</f>
        <v>0</v>
      </c>
      <c r="BN303" s="3">
        <f>(BN243-BM243)+BN131</f>
        <v>0</v>
      </c>
      <c r="BO303" s="3">
        <f>(BO243-BN243)+BO131</f>
        <v>0</v>
      </c>
      <c r="BP303" s="3">
        <f>SUM(BL303:BO303)</f>
        <v>0</v>
      </c>
      <c r="BQ303" s="3">
        <f>(BQ243-BP243)+BQ131</f>
        <v>0</v>
      </c>
      <c r="BR303" s="3">
        <f>(BR243-BQ243)+BR131</f>
        <v>0</v>
      </c>
      <c r="BS303" s="3">
        <f>(BS243-BR243)+BS131</f>
        <v>0</v>
      </c>
      <c r="BT303" s="3">
        <f>(BT243-BS243)+BT131</f>
        <v>0</v>
      </c>
      <c r="BU303" s="3">
        <f>SUM(BQ303:BT303)</f>
        <v>0</v>
      </c>
      <c r="BV303" s="3">
        <f>(BV243-BU243)+BV131</f>
        <v>0</v>
      </c>
      <c r="BW303" s="3">
        <f>(BW243-BV243)+BW131</f>
        <v>0</v>
      </c>
      <c r="BX303" s="3">
        <f>(BX243-BW243)+BX131</f>
        <v>0</v>
      </c>
      <c r="BY303" s="3">
        <f>(BY243-BX243)+BY131</f>
        <v>0</v>
      </c>
      <c r="BZ303" s="3">
        <f>SUM(BV303:BY303)</f>
        <v>0</v>
      </c>
      <c r="CA303" s="3">
        <f>(CA243-BZ243)+CA131</f>
        <v>0</v>
      </c>
      <c r="CB303" s="3">
        <f>(CB243-CA243)+CB131</f>
        <v>0</v>
      </c>
      <c r="CC303" s="3">
        <f>(CC243-CB243)+CC131</f>
        <v>0</v>
      </c>
      <c r="CD303" s="3">
        <f>(CD243-CC243)+CD131</f>
        <v>0</v>
      </c>
      <c r="CE303" s="3">
        <f>SUM(CA303:CD303)</f>
        <v>0</v>
      </c>
      <c r="CF303" s="3">
        <f>(CF243-CE243)+CF131</f>
        <v>0</v>
      </c>
      <c r="CG303" s="3">
        <f>(CG243-CF243)+CG131</f>
        <v>0</v>
      </c>
      <c r="CH303" s="3">
        <f>(CH243-CG243)+CH131</f>
        <v>0</v>
      </c>
      <c r="CI303" s="3">
        <f>(CI243-CH243)+CI131</f>
        <v>0</v>
      </c>
      <c r="CJ303" s="3">
        <f>SUM(CF303:CI303)</f>
        <v>0</v>
      </c>
      <c r="CK303" s="3">
        <f>(CK243-CJ243)+CK131</f>
        <v>0</v>
      </c>
      <c r="CL303" s="3">
        <f>(CL243-CK243)+CL131</f>
        <v>0</v>
      </c>
      <c r="CM303" s="3">
        <f>(CM243-CL243)+CM131</f>
        <v>0</v>
      </c>
      <c r="CN303" s="3">
        <f>(CN243-CM243)+CN131</f>
        <v>0</v>
      </c>
      <c r="CO303" s="3">
        <f>SUM(CK303:CN303)</f>
        <v>0</v>
      </c>
      <c r="CP303" s="3">
        <f>(CP243-CO243)+CP131</f>
        <v>0</v>
      </c>
      <c r="CQ303" s="3">
        <f>(CQ243-CP243)+CQ131</f>
        <v>0</v>
      </c>
      <c r="CR303" s="3">
        <f>(CR243-CQ243)+CR131</f>
        <v>0</v>
      </c>
      <c r="CS303" s="3">
        <f>(CS243-CR243)+CS131</f>
        <v>0</v>
      </c>
      <c r="CT303" s="3">
        <f>SUM(CP303:CS303)</f>
        <v>0</v>
      </c>
      <c r="CU303" s="3">
        <f>(CU243-CT243)+CU131</f>
        <v>0</v>
      </c>
      <c r="CV303" s="3">
        <f>(CV243-CU243)+CV131</f>
        <v>0</v>
      </c>
      <c r="CW303" s="3">
        <f>(CW243-CV243)+CW131</f>
        <v>0</v>
      </c>
      <c r="CX303" s="3">
        <f>(CX243-CW243)+CX131</f>
        <v>0</v>
      </c>
      <c r="CY303" s="3">
        <f>SUM(CU303:CX303)</f>
        <v>0</v>
      </c>
    </row>
    <row r="304">
      <c r="C304" s="28" t="inlineStr">
        <is>
          <t>Increases / (decreases) in debt</t>
        </is>
      </c>
      <c r="D304" s="3" t="n"/>
      <c r="E304" s="3">
        <f>SUM(E207:E209,E212,E233,E230)-SUM(D207:D209,D212,D233,D230)</f>
        <v>-902.1</v>
      </c>
      <c r="F304" s="3">
        <f>SUM(F207:F209,F212,F233,F230)-SUM(E207:E209,E212,E233,E230)</f>
        <v>593.9</v>
      </c>
      <c r="G304" s="3">
        <f>SUM(G207:G209,G212,G233,G230)-SUM(F207:F209,F212,F233,F230)</f>
        <v>-326.799999999999</v>
      </c>
      <c r="H304" s="3">
        <f>SUM(D304:G304)</f>
        <v>-635</v>
      </c>
      <c r="I304" s="3">
        <f>SUM(I207:I209,I212,I233,I230)-SUM(H207:H209,H212,H233,H230)</f>
        <v>-390.800000000001</v>
      </c>
      <c r="J304" s="3">
        <f>SUM(J207:J209,J212,J233,J230)-SUM(I207:I209,I212,I233,I230)</f>
        <v>310.6</v>
      </c>
      <c r="K304" s="3">
        <f>SUM(K207:K209,K212,K233,K230)-SUM(J207:J209,J212,J233,J230)</f>
        <v>570.300000000003</v>
      </c>
      <c r="L304" s="3">
        <f>SUM(L207:L209,L212,L233,L230)-SUM(K207:K209,K212,K233,K230)</f>
        <v>-200.700000000001</v>
      </c>
      <c r="M304" s="3">
        <f>SUM(I304:L304)</f>
        <v>289.400000000001</v>
      </c>
      <c r="N304" s="3">
        <f>SUM(N207:N209,N212,N233,N230)-SUM(M207:M209,M212,M233,M230)</f>
        <v>-375.900000000001</v>
      </c>
      <c r="O304" s="3">
        <f>SUM(O207:O209,O212,O233,O230)-SUM(N207:N209,N212,N233,N230)</f>
        <v>305</v>
      </c>
      <c r="P304" s="3">
        <f>SUM(P207:P209,P212,P233,P230)-SUM(O207:O209,O212,O233,O230)</f>
        <v>-925.4</v>
      </c>
      <c r="Q304" s="3">
        <f>SUM(Q207:Q209,Q212,Q233,Q230)-SUM(P207:P209,P212,P233,P230)</f>
        <v>350.200000000001</v>
      </c>
      <c r="R304" s="3">
        <f>SUM(N304:Q304)</f>
        <v>-646.1</v>
      </c>
      <c r="S304" s="3">
        <f>SUM(S207:S209,S212,S233,S230)-SUM(R207:R209,R212,R233,R230)</f>
        <v>2645</v>
      </c>
      <c r="T304" s="3">
        <f>SUM(T207:T209,T212,T233,T230)-SUM(S207:S209,S212,S233,S230)</f>
        <v>-63.6000000000022</v>
      </c>
      <c r="U304" s="3">
        <f>SUM(U207:U209,U212,U233,U230)-SUM(T207:T209,T212,T233,T230)</f>
        <v>1348.3</v>
      </c>
      <c r="V304" s="3">
        <f>SUM(V207:V209,V212,V233,V230)-SUM(U207:U209,U212,U233,U230)</f>
        <v>5057</v>
      </c>
      <c r="W304" s="3">
        <f>SUM(S304:V304)</f>
        <v>8986.7</v>
      </c>
      <c r="X304" s="3">
        <f>SUM(X207:X209,X212,X233,X230)-SUM(W207:W209,W212,W233,W230)</f>
        <v>986.099999999999</v>
      </c>
      <c r="Y304" s="3">
        <f>SUM(Y207:Y209,Y212,Y233,Y230)-SUM(X207:X209,X212,X233,X230)</f>
        <v>2680.6</v>
      </c>
      <c r="Z304" s="3">
        <f>SUM(Z207:Z209,Z212,Z233,Z230)-SUM(Y207:Y209,Y212,Y233,Y230)</f>
        <v>2227.7</v>
      </c>
      <c r="AA304" s="3">
        <f>SUM(AA207:AA209,AA212,AA233,AA230)-SUM(Z207:Z209,Z212,Z233,Z230)</f>
        <v>2524.5</v>
      </c>
      <c r="AB304" s="3">
        <f>SUM(X304:AA304)</f>
        <v>8418.9</v>
      </c>
      <c r="AC304" s="3">
        <f>SUM(AC207:AC209,AC212,AC233,AC230)-SUM(AB207:AB209,AB212,AB233,AB230)</f>
        <v>4871.7</v>
      </c>
      <c r="AD304" s="3">
        <f>SUM(AD207:AD209,AD212,AD233,AD230)-SUM(AC207:AC209,AC212,AC233,AC230)</f>
        <v>1387.89999999999</v>
      </c>
      <c r="AE304" s="3">
        <f>SUM(AE207:AE209,AE212,AE233,AE230)-SUM(AD207:AD209,AD212,AD233,AD230)</f>
        <v>2602.8</v>
      </c>
      <c r="AF304" s="3">
        <f>SUM(AF207:AF209,AF212,AF233,AF230)-SUM(AE207:AE209,AE212,AE233,AE230)</f>
        <v>-3.59999999999855</v>
      </c>
      <c r="AG304" s="3">
        <f>SUM(AC304:AF304)</f>
        <v>8858.8</v>
      </c>
      <c r="AH304" s="3">
        <f>SUM(AH207:AH209,AH212,AH233,AH230)-SUM(AG207:AG209,AG212,AG233,AG230)</f>
        <v>867</v>
      </c>
      <c r="AI304" s="3">
        <f>SUM(AI207:AI209,AI212,AI233,AI230)-SUM(AH207:AH209,AH212,AH233,AH230)</f>
        <v>11538</v>
      </c>
      <c r="AJ304" s="3">
        <f>SUM(AJ207:AJ209,AJ212,AJ233,AJ230)-SUM(AI207:AI209,AI212,AI233,AI230)</f>
        <v>0</v>
      </c>
      <c r="AK304" s="3">
        <f>SUM(AK207:AK209,AK212,AK233,AK230)-SUM(AJ207:AJ209,AJ212,AJ233,AJ230)</f>
        <v>0</v>
      </c>
      <c r="AL304" s="3">
        <f>SUM(AH304:AK304)</f>
        <v>12405</v>
      </c>
      <c r="AM304" s="3">
        <f>SUM(AM207:AM209,AM212,AM233,AM230)-SUM(AL207:AL209,AL212,AL233,AL230)</f>
        <v>0</v>
      </c>
      <c r="AN304" s="3">
        <f>SUM(AN207:AN209,AN212,AN233,AN230)-SUM(AM207:AM209,AM212,AM233,AM230)</f>
        <v>0</v>
      </c>
      <c r="AO304" s="3">
        <f>SUM(AO207:AO209,AO212,AO233,AO230)-SUM(AN207:AN209,AN212,AN233,AN230)</f>
        <v>0</v>
      </c>
      <c r="AP304" s="3">
        <f>SUM(AP207:AP209,AP212,AP233,AP230)-SUM(AO207:AO209,AO212,AO233,AO230)</f>
        <v>0</v>
      </c>
      <c r="AQ304" s="3">
        <f>SUM(AM304:AP304)</f>
        <v>0</v>
      </c>
      <c r="AR304" s="3">
        <f>SUM(AR207:AR209,AR212,AR233,AR230)-SUM(AQ207:AQ209,AQ212,AQ233,AQ230)</f>
        <v>0</v>
      </c>
      <c r="AS304" s="3">
        <f>SUM(AS207:AS209,AS212,AS233,AS230)-SUM(AR207:AR209,AR212,AR233,AR230)</f>
        <v>0</v>
      </c>
      <c r="AT304" s="3">
        <f>SUM(AT207:AT209,AT212,AT233,AT230)-SUM(AS207:AS209,AS212,AS233,AS230)</f>
        <v>0</v>
      </c>
      <c r="AU304" s="3">
        <f>SUM(AU207:AU209,AU212,AU233,AU230)-SUM(AT207:AT209,AT212,AT233,AT230)</f>
        <v>0</v>
      </c>
      <c r="AV304" s="3">
        <f>SUM(AR304:AU304)</f>
        <v>0</v>
      </c>
      <c r="AW304" s="3">
        <f>SUM(AW207:AW209,AW212,AW233,AW230)-SUM(AV207:AV209,AV212,AV233,AV230)</f>
        <v>0</v>
      </c>
      <c r="AX304" s="3">
        <f>SUM(AX207:AX209,AX212,AX233,AX230)-SUM(AW207:AW209,AW212,AW233,AW230)</f>
        <v>0</v>
      </c>
      <c r="AY304" s="3">
        <f>SUM(AY207:AY209,AY212,AY233,AY230)-SUM(AX207:AX209,AX212,AX233,AX230)</f>
        <v>0</v>
      </c>
      <c r="AZ304" s="3">
        <f>SUM(AZ207:AZ209,AZ212,AZ233,AZ230)-SUM(AY207:AY209,AY212,AY233,AY230)</f>
        <v>0</v>
      </c>
      <c r="BA304" s="3">
        <f>SUM(AW304:AZ304)</f>
        <v>0</v>
      </c>
      <c r="BB304" s="3">
        <f>SUM(BB207:BB209,BB212,BB233,BB230)-SUM(BA207:BA209,BA212,BA233,BA230)</f>
        <v>0</v>
      </c>
      <c r="BC304" s="3">
        <f>SUM(BC207:BC209,BC212,BC233,BC230)-SUM(BB207:BB209,BB212,BB233,BB230)</f>
        <v>0</v>
      </c>
      <c r="BD304" s="3">
        <f>SUM(BD207:BD209,BD212,BD233,BD230)-SUM(BC207:BC209,BC212,BC233,BC230)</f>
        <v>0</v>
      </c>
      <c r="BE304" s="3">
        <f>SUM(BE207:BE209,BE212,BE233,BE230)-SUM(BD207:BD209,BD212,BD233,BD230)</f>
        <v>0</v>
      </c>
      <c r="BF304" s="3">
        <f>SUM(BB304:BE304)</f>
        <v>0</v>
      </c>
      <c r="BG304" s="3">
        <f>SUM(BG207:BG209,BG212,BG233,BG230)-SUM(BF207:BF209,BF212,BF233,BF230)</f>
        <v>0</v>
      </c>
      <c r="BH304" s="3">
        <f>SUM(BH207:BH209,BH212,BH233,BH230)-SUM(BG207:BG209,BG212,BG233,BG230)</f>
        <v>0</v>
      </c>
      <c r="BI304" s="3">
        <f>SUM(BI207:BI209,BI212,BI233,BI230)-SUM(BH207:BH209,BH212,BH233,BH230)</f>
        <v>0</v>
      </c>
      <c r="BJ304" s="3">
        <f>SUM(BJ207:BJ209,BJ212,BJ233,BJ230)-SUM(BI207:BI209,BI212,BI233,BI230)</f>
        <v>0</v>
      </c>
      <c r="BK304" s="3">
        <f>SUM(BG304:BJ304)</f>
        <v>0</v>
      </c>
      <c r="BL304" s="3">
        <f>SUM(BL207:BL209,BL212,BL233,BL230)-SUM(BK207:BK209,BK212,BK233,BK230)</f>
        <v>0</v>
      </c>
      <c r="BM304" s="3">
        <f>SUM(BM207:BM209,BM212,BM233,BM230)-SUM(BL207:BL209,BL212,BL233,BL230)</f>
        <v>0</v>
      </c>
      <c r="BN304" s="3">
        <f>SUM(BN207:BN209,BN212,BN233,BN230)-SUM(BM207:BM209,BM212,BM233,BM230)</f>
        <v>0</v>
      </c>
      <c r="BO304" s="3">
        <f>SUM(BO207:BO209,BO212,BO233,BO230)-SUM(BN207:BN209,BN212,BN233,BN230)</f>
        <v>0</v>
      </c>
      <c r="BP304" s="3">
        <f>SUM(BL304:BO304)</f>
        <v>0</v>
      </c>
      <c r="BQ304" s="3">
        <f>SUM(BQ207:BQ209,BQ212,BQ233,BQ230)-SUM(BP207:BP209,BP212,BP233,BP230)</f>
        <v>0</v>
      </c>
      <c r="BR304" s="3">
        <f>SUM(BR207:BR209,BR212,BR233,BR230)-SUM(BQ207:BQ209,BQ212,BQ233,BQ230)</f>
        <v>0</v>
      </c>
      <c r="BS304" s="3">
        <f>SUM(BS207:BS209,BS212,BS233,BS230)-SUM(BR207:BR209,BR212,BR233,BR230)</f>
        <v>0</v>
      </c>
      <c r="BT304" s="3">
        <f>SUM(BT207:BT209,BT212,BT233,BT230)-SUM(BS207:BS209,BS212,BS233,BS230)</f>
        <v>0</v>
      </c>
      <c r="BU304" s="3">
        <f>SUM(BQ304:BT304)</f>
        <v>0</v>
      </c>
      <c r="BV304" s="3">
        <f>SUM(BV207:BV209,BV212,BV233,BV230)-SUM(BU207:BU209,BU212,BU233,BU230)</f>
        <v>0</v>
      </c>
      <c r="BW304" s="3">
        <f>SUM(BW207:BW209,BW212,BW233,BW230)-SUM(BV207:BV209,BV212,BV233,BV230)</f>
        <v>0</v>
      </c>
      <c r="BX304" s="3">
        <f>SUM(BX207:BX209,BX212,BX233,BX230)-SUM(BW207:BW209,BW212,BW233,BW230)</f>
        <v>0</v>
      </c>
      <c r="BY304" s="3">
        <f>SUM(BY207:BY209,BY212,BY233,BY230)-SUM(BX207:BX209,BX212,BX233,BX230)</f>
        <v>0</v>
      </c>
      <c r="BZ304" s="3">
        <f>SUM(BV304:BY304)</f>
        <v>0</v>
      </c>
      <c r="CA304" s="3">
        <f>SUM(CA207:CA209,CA212,CA233,CA230)-SUM(BZ207:BZ209,BZ212,BZ233,BZ230)</f>
        <v>0</v>
      </c>
      <c r="CB304" s="3">
        <f>SUM(CB207:CB209,CB212,CB233,CB230)-SUM(CA207:CA209,CA212,CA233,CA230)</f>
        <v>0</v>
      </c>
      <c r="CC304" s="3">
        <f>SUM(CC207:CC209,CC212,CC233,CC230)-SUM(CB207:CB209,CB212,CB233,CB230)</f>
        <v>0</v>
      </c>
      <c r="CD304" s="3">
        <f>SUM(CD207:CD209,CD212,CD233,CD230)-SUM(CC207:CC209,CC212,CC233,CC230)</f>
        <v>0</v>
      </c>
      <c r="CE304" s="3">
        <f>SUM(CA304:CD304)</f>
        <v>0</v>
      </c>
      <c r="CF304" s="3">
        <f>SUM(CF207:CF209,CF212,CF233,CF230)-SUM(CE207:CE209,CE212,CE233,CE230)</f>
        <v>0</v>
      </c>
      <c r="CG304" s="3">
        <f>SUM(CG207:CG209,CG212,CG233,CG230)-SUM(CF207:CF209,CF212,CF233,CF230)</f>
        <v>0</v>
      </c>
      <c r="CH304" s="3">
        <f>SUM(CH207:CH209,CH212,CH233,CH230)-SUM(CG207:CG209,CG212,CG233,CG230)</f>
        <v>0</v>
      </c>
      <c r="CI304" s="3">
        <f>SUM(CI207:CI209,CI212,CI233,CI230)-SUM(CH207:CH209,CH212,CH233,CH230)</f>
        <v>0</v>
      </c>
      <c r="CJ304" s="3">
        <f>SUM(CF304:CI304)</f>
        <v>0</v>
      </c>
      <c r="CK304" s="3">
        <f>SUM(CK207:CK209,CK212,CK233,CK230)-SUM(CJ207:CJ209,CJ212,CJ233,CJ230)</f>
        <v>0</v>
      </c>
      <c r="CL304" s="3">
        <f>SUM(CL207:CL209,CL212,CL233,CL230)-SUM(CK207:CK209,CK212,CK233,CK230)</f>
        <v>0</v>
      </c>
      <c r="CM304" s="3">
        <f>SUM(CM207:CM209,CM212,CM233,CM230)-SUM(CL207:CL209,CL212,CL233,CL230)</f>
        <v>0</v>
      </c>
      <c r="CN304" s="3">
        <f>SUM(CN207:CN209,CN212,CN233,CN230)-SUM(CM207:CM209,CM212,CM233,CM230)</f>
        <v>0</v>
      </c>
      <c r="CO304" s="3">
        <f>SUM(CK304:CN304)</f>
        <v>0</v>
      </c>
      <c r="CP304" s="3">
        <f>SUM(CP207:CP209,CP212,CP233,CP230)-SUM(CO207:CO209,CO212,CO233,CO230)</f>
        <v>0</v>
      </c>
      <c r="CQ304" s="3">
        <f>SUM(CQ207:CQ209,CQ212,CQ233,CQ230)-SUM(CP207:CP209,CP212,CP233,CP230)</f>
        <v>0</v>
      </c>
      <c r="CR304" s="3">
        <f>SUM(CR207:CR209,CR212,CR233,CR230)-SUM(CQ207:CQ209,CQ212,CQ233,CQ230)</f>
        <v>0</v>
      </c>
      <c r="CS304" s="3">
        <f>SUM(CS207:CS209,CS212,CS233,CS230)-SUM(CR207:CR209,CR212,CR233,CR230)</f>
        <v>0</v>
      </c>
      <c r="CT304" s="3">
        <f>SUM(CP304:CS304)</f>
        <v>0</v>
      </c>
      <c r="CU304" s="3">
        <f>SUM(CU207:CU209,CU212,CU233,CU230)-SUM(CT207:CT209,CT212,CT233,CT230)</f>
        <v>0</v>
      </c>
      <c r="CV304" s="3">
        <f>SUM(CV207:CV209,CV212,CV233,CV230)-SUM(CU207:CU209,CU212,CU233,CU230)</f>
        <v>0</v>
      </c>
      <c r="CW304" s="3">
        <f>SUM(CW207:CW209,CW212,CW233,CW230)-SUM(CV207:CV209,CV212,CV233,CV230)</f>
        <v>0</v>
      </c>
      <c r="CX304" s="3">
        <f>SUM(CX207:CX209,CX212,CX233,CX230)-SUM(CW207:CW209,CW212,CW233,CW230)</f>
        <v>0</v>
      </c>
      <c r="CY304" s="3">
        <f>SUM(CU304:CX304)</f>
        <v>0</v>
      </c>
      <c r="CZ304" s="3" t="n"/>
      <c r="DA304" s="3" t="n"/>
      <c r="DB304" s="3" t="n"/>
      <c r="DC304" s="3" t="n"/>
    </row>
    <row r="305">
      <c r="C305" s="26" t="inlineStr">
        <is>
          <t>Cash from financing</t>
        </is>
      </c>
      <c r="D305" s="3" t="n"/>
      <c r="E305" s="3">
        <f>SUM(E297,E298,E299,E300,E301,E302,E303,E304)</f>
        <v>-1239.3</v>
      </c>
      <c r="F305" s="3">
        <f>SUM(F297,F298,F299,F300,F301,F302,F303,F304)</f>
        <v>109.5</v>
      </c>
      <c r="G305" s="3">
        <f>SUM(G297,G298,G299,G300,G301,G302,G303,G304)</f>
        <v>-1614.4</v>
      </c>
      <c r="H305" s="3">
        <f>SUM(H297,H298,H299,H300,H301,H302,H303,H304)</f>
        <v>-2744.2</v>
      </c>
      <c r="I305" s="3">
        <f>SUM(I297,I298,I299,I300,I301,I302,I303,I304)</f>
        <v>-472.000000000002</v>
      </c>
      <c r="J305" s="3">
        <f>SUM(J297,J298,J299,J300,J301,J302,J303,J304)</f>
        <v>-1515.4</v>
      </c>
      <c r="K305" s="3">
        <f>SUM(K297,K298,K299,K300,K301,K302,K303,K304)</f>
        <v>750.800000000002</v>
      </c>
      <c r="L305" s="3">
        <f>SUM(L297,L298,L299,L300,L301,L302,L303,L304)</f>
        <v>-726.1</v>
      </c>
      <c r="M305" s="3">
        <f>SUM(M297,M298,M299,M300,M301,M302,M303,M304)</f>
        <v>-1962.7</v>
      </c>
      <c r="N305" s="3">
        <f>SUM(N297,N298,N299,N300,N301,N302,N303,N304)</f>
        <v>-1971.6</v>
      </c>
      <c r="O305" s="3">
        <f>SUM(O297,O298,O299,O300,O301,O302,O303,O304)</f>
        <v>-1450.3</v>
      </c>
      <c r="P305" s="3">
        <f>SUM(P297,P298,P299,P300,P301,P302,P303,P304)</f>
        <v>-870.4</v>
      </c>
      <c r="Q305" s="3">
        <f>SUM(Q297,Q298,Q299,Q300,Q301,Q302,Q303,Q304)</f>
        <v>-977.999999999999</v>
      </c>
      <c r="R305" s="3">
        <f>SUM(R297,R298,R299,R300,R301,R302,R303,R304)</f>
        <v>-5270.3</v>
      </c>
      <c r="S305" s="3">
        <f>SUM(S297,S298,S299,S300,S301,S302,S303,S304)</f>
        <v>1819.6</v>
      </c>
      <c r="T305" s="3">
        <f>SUM(T297,T298,T299,T300,T301,T302,T303,T304)</f>
        <v>-1972.4</v>
      </c>
      <c r="U305" s="3">
        <f>SUM(U297,U298,U299,U300,U301,U302,U303,U304)</f>
        <v>1563.8</v>
      </c>
      <c r="V305" s="3">
        <f>SUM(V297,V298,V299,V300,V301,V302,V303,V304)</f>
        <v>2423.6</v>
      </c>
      <c r="W305" s="3">
        <f>SUM(W297,W298,W299,W300,W301,W302,W303,W304)</f>
        <v>3834.6</v>
      </c>
      <c r="X305" s="3">
        <f>SUM(X297,X298,X299,X300,X301,X302,X303,X304)</f>
        <v>776.899999999999</v>
      </c>
      <c r="Y305" s="3">
        <f>SUM(Y297,Y298,Y299,Y300,Y301,Y302,Y303,Y304)</f>
        <v>451.699999999999</v>
      </c>
      <c r="Z305" s="3">
        <f>SUM(Z297,Z298,Z299,Z300,Z301,Z302,Z303,Z304)</f>
        <v>1942.6</v>
      </c>
      <c r="AA305" s="3">
        <f>SUM(AA297,AA298,AA299,AA300,AA301,AA302,AA303,AA304)</f>
        <v>-1934.4</v>
      </c>
      <c r="AB305" s="3">
        <f>SUM(AB297,AB298,AB299,AB300,AB301,AB302,AB303,AB304)</f>
        <v>1236.8</v>
      </c>
      <c r="AC305" s="3">
        <f>SUM(AC297,AC298,AC299,AC300,AC301,AC302,AC303,AC304)</f>
        <v>3687.90000000001</v>
      </c>
      <c r="AD305" s="3">
        <f>SUM(AD297,AD298,AD299,AD300,AD301,AD302,AD303,AD304)</f>
        <v>-1770.80000000001</v>
      </c>
      <c r="AE305" s="3">
        <f>SUM(AE297,AE298,AE299,AE300,AE301,AE302,AE303,AE304)</f>
        <v>2522</v>
      </c>
      <c r="AF305" s="3">
        <f>SUM(AF297,AF298,AF299,AF300,AF301,AF302,AF303,AF304)</f>
        <v>-3979.1</v>
      </c>
      <c r="AG305" s="3">
        <f>SUM(AG297,AG298,AG299,AG300,AG301,AG302,AG303,AG304)</f>
        <v>460.000000000005</v>
      </c>
      <c r="AH305" s="3">
        <f>SUM(AH297,AH298,AH299,AH300,AH301,AH302,AH303,AH304)</f>
        <v>-1863</v>
      </c>
      <c r="AI305" s="3">
        <f>SUM(AI297,AI298,AI299,AI300,AI301,AI302,AI303,AI304)</f>
        <v>7088</v>
      </c>
      <c r="AJ305" s="3">
        <f>SUM(AJ297,AJ298,AJ299,AJ300,AJ301,AJ302,AJ303,AJ304)</f>
        <v>0</v>
      </c>
      <c r="AK305" s="3">
        <f>SUM(AK297,AK298,AK299,AK300,AK301,AK302,AK303,AK304)</f>
        <v>0</v>
      </c>
      <c r="AL305" s="3">
        <f>SUM(AL297,AL298,AL299,AL300,AL301,AL302,AL303,AL304)</f>
        <v>5225</v>
      </c>
      <c r="AM305" s="3">
        <f>SUM(AM297,AM298,AM299,AM300,AM301,AM302,AM303,AM304)</f>
        <v>0</v>
      </c>
      <c r="AN305" s="3">
        <f>SUM(AN297,AN298,AN299,AN300,AN301,AN302,AN303,AN304)</f>
        <v>0</v>
      </c>
      <c r="AO305" s="3">
        <f>SUM(AO297,AO298,AO299,AO300,AO301,AO302,AO303,AO304)</f>
        <v>0</v>
      </c>
      <c r="AP305" s="3">
        <f>SUM(AP297,AP298,AP299,AP300,AP301,AP302,AP303,AP304)</f>
        <v>0</v>
      </c>
      <c r="AQ305" s="3">
        <f>SUM(AQ297,AQ298,AQ299,AQ300,AQ301,AQ302,AQ303,AQ304)</f>
        <v>0</v>
      </c>
      <c r="AR305" s="3">
        <f>SUM(AR297,AR298,AR299,AR300,AR301,AR302,AR303,AR304)</f>
        <v>0</v>
      </c>
      <c r="AS305" s="3">
        <f>SUM(AS297,AS298,AS299,AS300,AS301,AS302,AS303,AS304)</f>
        <v>0</v>
      </c>
      <c r="AT305" s="3">
        <f>SUM(AT297,AT298,AT299,AT300,AT301,AT302,AT303,AT304)</f>
        <v>0</v>
      </c>
      <c r="AU305" s="3">
        <f>SUM(AU297,AU298,AU299,AU300,AU301,AU302,AU303,AU304)</f>
        <v>0</v>
      </c>
      <c r="AV305" s="3">
        <f>SUM(AV297,AV298,AV299,AV300,AV301,AV302,AV303,AV304)</f>
        <v>0</v>
      </c>
      <c r="AW305" s="3">
        <f>SUM(AW297,AW298,AW299,AW300,AW301,AW302,AW303,AW304)</f>
        <v>0</v>
      </c>
      <c r="AX305" s="3">
        <f>SUM(AX297,AX298,AX299,AX300,AX301,AX302,AX303,AX304)</f>
        <v>0</v>
      </c>
      <c r="AY305" s="3">
        <f>SUM(AY297,AY298,AY299,AY300,AY301,AY302,AY303,AY304)</f>
        <v>0</v>
      </c>
      <c r="AZ305" s="3">
        <f>SUM(AZ297,AZ298,AZ299,AZ300,AZ301,AZ302,AZ303,AZ304)</f>
        <v>0</v>
      </c>
      <c r="BA305" s="3">
        <f>SUM(BA297,BA298,BA299,BA300,BA301,BA302,BA303,BA304)</f>
        <v>0</v>
      </c>
      <c r="BB305" s="3">
        <f>SUM(BB297,BB298,BB299,BB300,BB301,BB302,BB303,BB304)</f>
        <v>0</v>
      </c>
      <c r="BC305" s="3">
        <f>SUM(BC297,BC298,BC299,BC300,BC301,BC302,BC303,BC304)</f>
        <v>0</v>
      </c>
      <c r="BD305" s="3">
        <f>SUM(BD297,BD298,BD299,BD300,BD301,BD302,BD303,BD304)</f>
        <v>0</v>
      </c>
      <c r="BE305" s="3">
        <f>SUM(BE297,BE298,BE299,BE300,BE301,BE302,BE303,BE304)</f>
        <v>0</v>
      </c>
      <c r="BF305" s="3">
        <f>SUM(BF297,BF298,BF299,BF300,BF301,BF302,BF303,BF304)</f>
        <v>0</v>
      </c>
      <c r="BG305" s="3">
        <f>SUM(BG297,BG298,BG299,BG300,BG301,BG302,BG303,BG304)</f>
        <v>0</v>
      </c>
      <c r="BH305" s="3">
        <f>SUM(BH297,BH298,BH299,BH300,BH301,BH302,BH303,BH304)</f>
        <v>0</v>
      </c>
      <c r="BI305" s="3">
        <f>SUM(BI297,BI298,BI299,BI300,BI301,BI302,BI303,BI304)</f>
        <v>0</v>
      </c>
      <c r="BJ305" s="3">
        <f>SUM(BJ297,BJ298,BJ299,BJ300,BJ301,BJ302,BJ303,BJ304)</f>
        <v>0</v>
      </c>
      <c r="BK305" s="3">
        <f>SUM(BK297,BK298,BK299,BK300,BK301,BK302,BK303,BK304)</f>
        <v>0</v>
      </c>
      <c r="BL305" s="3">
        <f>SUM(BL297,BL298,BL299,BL300,BL301,BL302,BL303,BL304)</f>
        <v>0</v>
      </c>
      <c r="BM305" s="3">
        <f>SUM(BM297,BM298,BM299,BM300,BM301,BM302,BM303,BM304)</f>
        <v>0</v>
      </c>
      <c r="BN305" s="3">
        <f>SUM(BN297,BN298,BN299,BN300,BN301,BN302,BN303,BN304)</f>
        <v>0</v>
      </c>
      <c r="BO305" s="3">
        <f>SUM(BO297,BO298,BO299,BO300,BO301,BO302,BO303,BO304)</f>
        <v>0</v>
      </c>
      <c r="BP305" s="3">
        <f>SUM(BP297,BP298,BP299,BP300,BP301,BP302,BP303,BP304)</f>
        <v>0</v>
      </c>
      <c r="BQ305" s="3">
        <f>SUM(BQ297,BQ298,BQ299,BQ300,BQ301,BQ302,BQ303,BQ304)</f>
        <v>0</v>
      </c>
      <c r="BR305" s="3">
        <f>SUM(BR297,BR298,BR299,BR300,BR301,BR302,BR303,BR304)</f>
        <v>0</v>
      </c>
      <c r="BS305" s="3">
        <f>SUM(BS297,BS298,BS299,BS300,BS301,BS302,BS303,BS304)</f>
        <v>0</v>
      </c>
      <c r="BT305" s="3">
        <f>SUM(BT297,BT298,BT299,BT300,BT301,BT302,BT303,BT304)</f>
        <v>0</v>
      </c>
      <c r="BU305" s="3">
        <f>SUM(BU297,BU298,BU299,BU300,BU301,BU302,BU303,BU304)</f>
        <v>0</v>
      </c>
      <c r="BV305" s="3">
        <f>SUM(BV297,BV298,BV299,BV300,BV301,BV302,BV303,BV304)</f>
        <v>0</v>
      </c>
      <c r="BW305" s="3">
        <f>SUM(BW297,BW298,BW299,BW300,BW301,BW302,BW303,BW304)</f>
        <v>0</v>
      </c>
      <c r="BX305" s="3">
        <f>SUM(BX297,BX298,BX299,BX300,BX301,BX302,BX303,BX304)</f>
        <v>0</v>
      </c>
      <c r="BY305" s="3">
        <f>SUM(BY297,BY298,BY299,BY300,BY301,BY302,BY303,BY304)</f>
        <v>0</v>
      </c>
      <c r="BZ305" s="3">
        <f>SUM(BZ297,BZ298,BZ299,BZ300,BZ301,BZ302,BZ303,BZ304)</f>
        <v>0</v>
      </c>
      <c r="CA305" s="3">
        <f>SUM(CA297,CA298,CA299,CA300,CA301,CA302,CA303,CA304)</f>
        <v>0</v>
      </c>
      <c r="CB305" s="3">
        <f>SUM(CB297,CB298,CB299,CB300,CB301,CB302,CB303,CB304)</f>
        <v>0</v>
      </c>
      <c r="CC305" s="3">
        <f>SUM(CC297,CC298,CC299,CC300,CC301,CC302,CC303,CC304)</f>
        <v>0</v>
      </c>
      <c r="CD305" s="3">
        <f>SUM(CD297,CD298,CD299,CD300,CD301,CD302,CD303,CD304)</f>
        <v>0</v>
      </c>
      <c r="CE305" s="3">
        <f>SUM(CE297,CE298,CE299,CE300,CE301,CE302,CE303,CE304)</f>
        <v>0</v>
      </c>
      <c r="CF305" s="3">
        <f>SUM(CF297,CF298,CF299,CF300,CF301,CF302,CF303,CF304)</f>
        <v>0</v>
      </c>
      <c r="CG305" s="3">
        <f>SUM(CG297,CG298,CG299,CG300,CG301,CG302,CG303,CG304)</f>
        <v>0</v>
      </c>
      <c r="CH305" s="3">
        <f>SUM(CH297,CH298,CH299,CH300,CH301,CH302,CH303,CH304)</f>
        <v>0</v>
      </c>
      <c r="CI305" s="3">
        <f>SUM(CI297,CI298,CI299,CI300,CI301,CI302,CI303,CI304)</f>
        <v>0</v>
      </c>
      <c r="CJ305" s="3">
        <f>SUM(CJ297,CJ298,CJ299,CJ300,CJ301,CJ302,CJ303,CJ304)</f>
        <v>0</v>
      </c>
      <c r="CK305" s="3">
        <f>SUM(CK297,CK298,CK299,CK300,CK301,CK302,CK303,CK304)</f>
        <v>0</v>
      </c>
      <c r="CL305" s="3">
        <f>SUM(CL297,CL298,CL299,CL300,CL301,CL302,CL303,CL304)</f>
        <v>0</v>
      </c>
      <c r="CM305" s="3">
        <f>SUM(CM297,CM298,CM299,CM300,CM301,CM302,CM303,CM304)</f>
        <v>0</v>
      </c>
      <c r="CN305" s="3">
        <f>SUM(CN297,CN298,CN299,CN300,CN301,CN302,CN303,CN304)</f>
        <v>0</v>
      </c>
      <c r="CO305" s="3">
        <f>SUM(CO297,CO298,CO299,CO300,CO301,CO302,CO303,CO304)</f>
        <v>0</v>
      </c>
      <c r="CP305" s="3">
        <f>SUM(CP297,CP298,CP299,CP300,CP301,CP302,CP303,CP304)</f>
        <v>0</v>
      </c>
      <c r="CQ305" s="3">
        <f>SUM(CQ297,CQ298,CQ299,CQ300,CQ301,CQ302,CQ303,CQ304)</f>
        <v>0</v>
      </c>
      <c r="CR305" s="3">
        <f>SUM(CR297,CR298,CR299,CR300,CR301,CR302,CR303,CR304)</f>
        <v>0</v>
      </c>
      <c r="CS305" s="3">
        <f>SUM(CS297,CS298,CS299,CS300,CS301,CS302,CS303,CS304)</f>
        <v>0</v>
      </c>
      <c r="CT305" s="3">
        <f>SUM(CT297,CT298,CT299,CT300,CT301,CT302,CT303,CT304)</f>
        <v>0</v>
      </c>
      <c r="CU305" s="3">
        <f>SUM(CU297,CU298,CU299,CU300,CU301,CU302,CU303,CU304)</f>
        <v>0</v>
      </c>
      <c r="CV305" s="3">
        <f>SUM(CV297,CV298,CV299,CV300,CV301,CV302,CV303,CV304)</f>
        <v>0</v>
      </c>
      <c r="CW305" s="3">
        <f>SUM(CW297,CW298,CW299,CW300,CW301,CW302,CW303,CW304)</f>
        <v>0</v>
      </c>
      <c r="CX305" s="3">
        <f>SUM(CX297,CX298,CX299,CX300,CX301,CX302,CX303,CX304)</f>
        <v>0</v>
      </c>
      <c r="CY305" s="3">
        <f>SUM(CY297,CY298,CY299,CY300,CY301,CY302,CY303,CY304)</f>
        <v>0</v>
      </c>
    </row>
    <row r="306">
      <c r="C306" s="26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  <c r="AY306" s="3" t="n"/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n"/>
      <c r="CF306" s="3" t="n"/>
      <c r="CG306" s="3" t="n"/>
      <c r="CH306" s="3" t="n"/>
      <c r="CI306" s="3" t="n"/>
      <c r="CJ306" s="3" t="n"/>
      <c r="CK306" s="3" t="n"/>
      <c r="CL306" s="3" t="n"/>
      <c r="CM306" s="3" t="n"/>
      <c r="CN306" s="3" t="n"/>
      <c r="CO306" s="3" t="n"/>
      <c r="CP306" s="3" t="n"/>
      <c r="CQ306" s="3" t="n"/>
      <c r="CR306" s="3" t="n"/>
      <c r="CS306" s="3" t="n"/>
      <c r="CT306" s="3" t="n"/>
      <c r="CU306" s="3" t="n"/>
      <c r="CV306" s="3" t="n"/>
      <c r="CW306" s="3" t="n"/>
      <c r="CX306" s="3" t="n"/>
      <c r="CY306" s="3" t="n"/>
    </row>
    <row r="307">
      <c r="C307" s="26" t="inlineStr">
        <is>
          <t>Others</t>
        </is>
      </c>
      <c r="D307" s="3" t="n"/>
      <c r="E307" s="3" t="n"/>
      <c r="F307" s="3" t="n"/>
      <c r="G307" s="3" t="n"/>
      <c r="H307" s="3">
        <f>SUM(D307:G307)</f>
        <v>0</v>
      </c>
      <c r="I307" s="3" t="n"/>
      <c r="J307" s="3" t="n"/>
      <c r="K307" s="3" t="n"/>
      <c r="L307" s="3" t="n"/>
      <c r="M307" s="3">
        <f>SUM(I307:L307)</f>
        <v>0</v>
      </c>
      <c r="N307" s="3" t="n"/>
      <c r="O307" s="3" t="n"/>
      <c r="P307" s="3" t="n"/>
      <c r="Q307" s="3" t="n"/>
      <c r="R307" s="3">
        <f>SUM(N307:Q307)</f>
        <v>0</v>
      </c>
      <c r="S307" s="3" t="n"/>
      <c r="T307" s="3" t="n"/>
      <c r="U307" s="3" t="n"/>
      <c r="V307" s="3" t="n"/>
      <c r="W307" s="3">
        <f>SUM(S307:V307)</f>
        <v>0</v>
      </c>
      <c r="X307" s="3" t="n"/>
      <c r="Y307" s="3" t="n"/>
      <c r="Z307" s="3" t="n"/>
      <c r="AA307" s="3" t="n"/>
      <c r="AB307" s="3">
        <f>SUM(X307:AA307)</f>
        <v>0</v>
      </c>
      <c r="AC307" s="3" t="n"/>
      <c r="AD307" s="3" t="n"/>
      <c r="AE307" s="3" t="n"/>
      <c r="AF307" s="3" t="n"/>
      <c r="AG307" s="3">
        <f>SUM(AC307:AF307)</f>
        <v>0</v>
      </c>
      <c r="AH307" s="3" t="n"/>
      <c r="AI307" s="3" t="n"/>
      <c r="AJ307" s="3" t="n"/>
      <c r="AK307" s="3" t="n"/>
      <c r="AL307" s="3">
        <f>SUM(AH307:AK307)</f>
        <v>0</v>
      </c>
      <c r="AM307" s="3" t="n"/>
      <c r="AN307" s="3" t="n"/>
      <c r="AO307" s="3" t="n"/>
      <c r="AP307" s="3" t="n"/>
      <c r="AQ307" s="3">
        <f>SUM(AM307:AP307)</f>
        <v>0</v>
      </c>
      <c r="AR307" s="3" t="n"/>
      <c r="AS307" s="3" t="n"/>
      <c r="AT307" s="3" t="n"/>
      <c r="AU307" s="3" t="n"/>
      <c r="AV307" s="3">
        <f>SUM(AR307:AU307)</f>
        <v>0</v>
      </c>
      <c r="AW307" s="3" t="n"/>
      <c r="AX307" s="3" t="n"/>
      <c r="AY307" s="3" t="n"/>
      <c r="AZ307" s="3" t="n"/>
      <c r="BA307" s="3">
        <f>SUM(AW307:AZ307)</f>
        <v>0</v>
      </c>
      <c r="BB307" s="3" t="n"/>
      <c r="BC307" s="3" t="n"/>
      <c r="BD307" s="3" t="n"/>
      <c r="BE307" s="3" t="n"/>
      <c r="BF307" s="3">
        <f>SUM(BB307:BE307)</f>
        <v>0</v>
      </c>
      <c r="BG307" s="3" t="n"/>
      <c r="BH307" s="3" t="n"/>
      <c r="BI307" s="3" t="n"/>
      <c r="BJ307" s="3" t="n"/>
      <c r="BK307" s="3">
        <f>SUM(BG307:BJ307)</f>
        <v>0</v>
      </c>
      <c r="BL307" s="3" t="n"/>
      <c r="BM307" s="3" t="n"/>
      <c r="BN307" s="3" t="n"/>
      <c r="BO307" s="3" t="n"/>
      <c r="BP307" s="3">
        <f>SUM(BL307:BO307)</f>
        <v>0</v>
      </c>
      <c r="BQ307" s="3" t="n"/>
      <c r="BR307" s="3" t="n"/>
      <c r="BS307" s="3" t="n"/>
      <c r="BT307" s="3" t="n"/>
      <c r="BU307" s="3">
        <f>SUM(BQ307:BT307)</f>
        <v>0</v>
      </c>
      <c r="BV307" s="3" t="n"/>
      <c r="BW307" s="3" t="n"/>
      <c r="BX307" s="3" t="n"/>
      <c r="BY307" s="3" t="n"/>
      <c r="BZ307" s="3">
        <f>SUM(BV307:BY307)</f>
        <v>0</v>
      </c>
      <c r="CA307" s="3" t="n"/>
      <c r="CB307" s="3" t="n"/>
      <c r="CC307" s="3" t="n"/>
      <c r="CD307" s="3" t="n"/>
      <c r="CE307" s="3">
        <f>SUM(CA307:CD307)</f>
        <v>0</v>
      </c>
      <c r="CF307" s="3" t="n"/>
      <c r="CG307" s="3" t="n"/>
      <c r="CH307" s="3" t="n"/>
      <c r="CI307" s="3" t="n"/>
      <c r="CJ307" s="3">
        <f>SUM(CF307:CI307)</f>
        <v>0</v>
      </c>
      <c r="CK307" s="3" t="n"/>
      <c r="CL307" s="3" t="n"/>
      <c r="CM307" s="3" t="n"/>
      <c r="CN307" s="3" t="n"/>
      <c r="CO307" s="3">
        <f>SUM(CK307:CN307)</f>
        <v>0</v>
      </c>
      <c r="CP307" s="3" t="n"/>
      <c r="CQ307" s="3" t="n"/>
      <c r="CR307" s="3" t="n"/>
      <c r="CS307" s="3" t="n"/>
      <c r="CT307" s="3">
        <f>SUM(CP307:CS307)</f>
        <v>0</v>
      </c>
      <c r="CU307" s="3" t="n"/>
      <c r="CV307" s="3" t="n"/>
      <c r="CW307" s="3" t="n"/>
      <c r="CX307" s="3" t="n"/>
      <c r="CY307" s="3">
        <f>SUM(CU307:CX307)</f>
        <v>0</v>
      </c>
    </row>
    <row r="308">
      <c r="C308" s="26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  <c r="CD308" s="3" t="n"/>
      <c r="CE308" s="3" t="n"/>
      <c r="CF308" s="3" t="n"/>
      <c r="CG308" s="3" t="n"/>
      <c r="CH308" s="3" t="n"/>
      <c r="CI308" s="3" t="n"/>
      <c r="CJ308" s="3" t="n"/>
      <c r="CK308" s="3" t="n"/>
      <c r="CL308" s="3" t="n"/>
      <c r="CM308" s="3" t="n"/>
      <c r="CN308" s="3" t="n"/>
      <c r="CO308" s="3" t="n"/>
      <c r="CP308" s="3" t="n"/>
      <c r="CQ308" s="3" t="n"/>
      <c r="CR308" s="3" t="n"/>
      <c r="CS308" s="3" t="n"/>
      <c r="CT308" s="3" t="n"/>
      <c r="CU308" s="3" t="n"/>
      <c r="CV308" s="3" t="n"/>
      <c r="CW308" s="3" t="n"/>
      <c r="CX308" s="3" t="n"/>
      <c r="CY308" s="3" t="n"/>
    </row>
    <row r="309">
      <c r="C309" s="26" t="inlineStr">
        <is>
          <t>Total increase/decrease of cash</t>
        </is>
      </c>
      <c r="D309" s="3" t="n"/>
      <c r="E309" s="3">
        <f>SUM(E288,E295,E305,E307)</f>
        <v>610.500000000001</v>
      </c>
      <c r="F309" s="3">
        <f>SUM(F288,F295,F305,F307)</f>
        <v>1242.4</v>
      </c>
      <c r="G309" s="3">
        <f>SUM(G288,G295,G305,G307)</f>
        <v>51</v>
      </c>
      <c r="H309" s="3">
        <f>SUM(D309:G309)</f>
        <v>1903.9</v>
      </c>
      <c r="I309" s="3">
        <f>SUM(I288,I295,I305,I307)</f>
        <v>-629.900000000001</v>
      </c>
      <c r="J309" s="3">
        <f>SUM(J288,J295,J305,J307)</f>
        <v>219.800000000003</v>
      </c>
      <c r="K309" s="3">
        <f>SUM(K288,K295,K305,K307)</f>
        <v>554.1</v>
      </c>
      <c r="L309" s="3">
        <f>SUM(L288,L295,L305,L307)</f>
        <v>83.3000000000006</v>
      </c>
      <c r="M309" s="3">
        <f>SUM(I309:L309)</f>
        <v>227.300000000002</v>
      </c>
      <c r="N309" s="3">
        <f>SUM(N288,N295,N305,N307)</f>
        <v>-1340.3</v>
      </c>
      <c r="O309" s="3">
        <f>SUM(O288,O295,O305,O307)</f>
        <v>168.400000000004</v>
      </c>
      <c r="P309" s="3">
        <f>SUM(P288,P295,P305,P307)</f>
        <v>5.39999999999907</v>
      </c>
      <c r="Q309" s="3">
        <f>SUM(Q288,Q295,Q305,Q307)</f>
        <v>-530.299999999999</v>
      </c>
      <c r="R309" s="3">
        <f>SUM(N309:Q309)</f>
        <v>-1696.8</v>
      </c>
      <c r="S309" s="3">
        <f>SUM(S288,S295,S305,S307)</f>
        <v>1457.5</v>
      </c>
      <c r="T309" s="3">
        <f>SUM(T288,T295,T305,T307)</f>
        <v>-840.200000000003</v>
      </c>
      <c r="U309" s="3">
        <f>SUM(U288,U295,U305,U307)</f>
        <v>-335.199999999996</v>
      </c>
      <c r="V309" s="3">
        <f>SUM(V288,V295,V305,V307)</f>
        <v>433.799999999999</v>
      </c>
      <c r="W309" s="3">
        <f>SUM(S309:V309)</f>
        <v>715.899999999999</v>
      </c>
      <c r="X309" s="3">
        <f>SUM(X288,X295,X305,X307)</f>
        <v>-341.399999999999</v>
      </c>
      <c r="Y309" s="3">
        <f>SUM(Y288,Y295,Y305,Y307)</f>
        <v>777.699999999998</v>
      </c>
      <c r="Z309" s="3">
        <f>SUM(Z288,Z295,Z305,Z307)</f>
        <v>154.4</v>
      </c>
      <c r="AA309" s="3">
        <f>SUM(AA288,AA295,AA305,AA307)</f>
        <v>-95.1999999999971</v>
      </c>
      <c r="AB309" s="3">
        <f>SUM(X309:AA309)</f>
        <v>495.500000000002</v>
      </c>
      <c r="AC309" s="3">
        <f>SUM(AC288,AC295,AC305,AC307)</f>
        <v>-202.499999999998</v>
      </c>
      <c r="AD309" s="3">
        <f>SUM(AD288,AD295,AD305,AD307)</f>
        <v>325.299999999994</v>
      </c>
      <c r="AE309" s="3">
        <f>SUM(AE288,AE295,AE305,AE307)</f>
        <v>6367.5</v>
      </c>
      <c r="AF309" s="3">
        <f>SUM(AF288,AF295,AF305,AF307)</f>
        <v>-2645.5</v>
      </c>
      <c r="AG309" s="3">
        <f>SUM(AC309:AF309)</f>
        <v>3844.8</v>
      </c>
      <c r="AH309" s="3">
        <f>SUM(AH288,AH295,AH305,AH307)</f>
        <v>-1986</v>
      </c>
      <c r="AI309" s="3">
        <f>SUM(AI288,AI295,AI305,AI307)</f>
        <v>3668</v>
      </c>
      <c r="AJ309" s="3">
        <f>SUM(AJ288,AJ295,AJ305,AJ307)</f>
        <v>55926</v>
      </c>
      <c r="AK309" s="3">
        <f>SUM(AK288,AK295,AK305,AK307)</f>
        <v>9247</v>
      </c>
      <c r="AL309" s="3">
        <f>SUM(AH309:AK309)</f>
        <v>66855</v>
      </c>
      <c r="AM309" s="3" t="e">
        <f>SUM(AM288,AM295,AM305,AM307)</f>
        <v>#DIV/0!</v>
      </c>
      <c r="AN309" s="3" t="e">
        <f>SUM(AN288,AN295,AN305,AN307)</f>
        <v>#DIV/0!</v>
      </c>
      <c r="AO309" s="3" t="e">
        <f>SUM(AO288,AO295,AO305,AO307)</f>
        <v>#DIV/0!</v>
      </c>
      <c r="AP309" s="3" t="e">
        <f>SUM(AP288,AP295,AP305,AP307)</f>
        <v>#DIV/0!</v>
      </c>
      <c r="AQ309" s="3" t="e">
        <f>SUM(AM309:AP309)</f>
        <v>#DIV/0!</v>
      </c>
      <c r="AR309" s="3" t="e">
        <f>SUM(AR288,AR295,AR305,AR307)</f>
        <v>#DIV/0!</v>
      </c>
      <c r="AS309" s="3" t="e">
        <f>SUM(AS288,AS295,AS305,AS307)</f>
        <v>#DIV/0!</v>
      </c>
      <c r="AT309" s="3" t="e">
        <f>SUM(AT288,AT295,AT305,AT307)</f>
        <v>#DIV/0!</v>
      </c>
      <c r="AU309" s="3" t="e">
        <f>SUM(AU288,AU295,AU305,AU307)</f>
        <v>#DIV/0!</v>
      </c>
      <c r="AV309" s="3" t="e">
        <f>SUM(AR309:AU309)</f>
        <v>#DIV/0!</v>
      </c>
      <c r="AW309" s="3" t="e">
        <f>SUM(AW288,AW295,AW305,AW307)</f>
        <v>#DIV/0!</v>
      </c>
      <c r="AX309" s="3" t="e">
        <f>SUM(AX288,AX295,AX305,AX307)</f>
        <v>#DIV/0!</v>
      </c>
      <c r="AY309" s="3" t="e">
        <f>SUM(AY288,AY295,AY305,AY307)</f>
        <v>#DIV/0!</v>
      </c>
      <c r="AZ309" s="3" t="e">
        <f>SUM(AZ288,AZ295,AZ305,AZ307)</f>
        <v>#DIV/0!</v>
      </c>
      <c r="BA309" s="3" t="e">
        <f>SUM(AW309:AZ309)</f>
        <v>#DIV/0!</v>
      </c>
      <c r="BB309" s="3" t="e">
        <f>SUM(BB288,BB295,BB305,BB307)</f>
        <v>#DIV/0!</v>
      </c>
      <c r="BC309" s="3" t="e">
        <f>SUM(BC288,BC295,BC305,BC307)</f>
        <v>#DIV/0!</v>
      </c>
      <c r="BD309" s="3" t="e">
        <f>SUM(BD288,BD295,BD305,BD307)</f>
        <v>#DIV/0!</v>
      </c>
      <c r="BE309" s="3" t="e">
        <f>SUM(BE288,BE295,BE305,BE307)</f>
        <v>#DIV/0!</v>
      </c>
      <c r="BF309" s="3" t="e">
        <f>SUM(BB309:BE309)</f>
        <v>#DIV/0!</v>
      </c>
      <c r="BG309" s="3" t="e">
        <f>SUM(BG288,BG295,BG305,BG307)</f>
        <v>#DIV/0!</v>
      </c>
      <c r="BH309" s="3" t="e">
        <f>SUM(BH288,BH295,BH305,BH307)</f>
        <v>#DIV/0!</v>
      </c>
      <c r="BI309" s="3" t="e">
        <f>SUM(BI288,BI295,BI305,BI307)</f>
        <v>#DIV/0!</v>
      </c>
      <c r="BJ309" s="3" t="e">
        <f>SUM(BJ288,BJ295,BJ305,BJ307)</f>
        <v>#DIV/0!</v>
      </c>
      <c r="BK309" s="3" t="e">
        <f>SUM(BG309:BJ309)</f>
        <v>#DIV/0!</v>
      </c>
      <c r="BL309" s="3" t="e">
        <f>SUM(BL288,BL295,BL305,BL307)</f>
        <v>#DIV/0!</v>
      </c>
      <c r="BM309" s="3" t="e">
        <f>SUM(BM288,BM295,BM305,BM307)</f>
        <v>#DIV/0!</v>
      </c>
      <c r="BN309" s="3" t="e">
        <f>SUM(BN288,BN295,BN305,BN307)</f>
        <v>#DIV/0!</v>
      </c>
      <c r="BO309" s="3" t="e">
        <f>SUM(BO288,BO295,BO305,BO307)</f>
        <v>#DIV/0!</v>
      </c>
      <c r="BP309" s="3" t="e">
        <f>SUM(BL309:BO309)</f>
        <v>#DIV/0!</v>
      </c>
      <c r="BQ309" s="3" t="e">
        <f>SUM(BQ288,BQ295,BQ305,BQ307)</f>
        <v>#DIV/0!</v>
      </c>
      <c r="BR309" s="3" t="e">
        <f>SUM(BR288,BR295,BR305,BR307)</f>
        <v>#DIV/0!</v>
      </c>
      <c r="BS309" s="3" t="e">
        <f>SUM(BS288,BS295,BS305,BS307)</f>
        <v>#DIV/0!</v>
      </c>
      <c r="BT309" s="3" t="e">
        <f>SUM(BT288,BT295,BT305,BT307)</f>
        <v>#DIV/0!</v>
      </c>
      <c r="BU309" s="3" t="e">
        <f>SUM(BQ309:BT309)</f>
        <v>#DIV/0!</v>
      </c>
      <c r="BV309" s="3" t="e">
        <f>SUM(BV288,BV295,BV305,BV307)</f>
        <v>#DIV/0!</v>
      </c>
      <c r="BW309" s="3" t="e">
        <f>SUM(BW288,BW295,BW305,BW307)</f>
        <v>#DIV/0!</v>
      </c>
      <c r="BX309" s="3" t="e">
        <f>SUM(BX288,BX295,BX305,BX307)</f>
        <v>#DIV/0!</v>
      </c>
      <c r="BY309" s="3" t="e">
        <f>SUM(BY288,BY295,BY305,BY307)</f>
        <v>#DIV/0!</v>
      </c>
      <c r="BZ309" s="3" t="e">
        <f>SUM(BV309:BY309)</f>
        <v>#DIV/0!</v>
      </c>
      <c r="CA309" s="3" t="e">
        <f>SUM(CA288,CA295,CA305,CA307)</f>
        <v>#DIV/0!</v>
      </c>
      <c r="CB309" s="3" t="e">
        <f>SUM(CB288,CB295,CB305,CB307)</f>
        <v>#DIV/0!</v>
      </c>
      <c r="CC309" s="3" t="e">
        <f>SUM(CC288,CC295,CC305,CC307)</f>
        <v>#DIV/0!</v>
      </c>
      <c r="CD309" s="3" t="e">
        <f>SUM(CD288,CD295,CD305,CD307)</f>
        <v>#DIV/0!</v>
      </c>
      <c r="CE309" s="3" t="e">
        <f>SUM(CA309:CD309)</f>
        <v>#DIV/0!</v>
      </c>
      <c r="CF309" s="3" t="e">
        <f>SUM(CF288,CF295,CF305,CF307)</f>
        <v>#DIV/0!</v>
      </c>
      <c r="CG309" s="3" t="e">
        <f>SUM(CG288,CG295,CG305,CG307)</f>
        <v>#DIV/0!</v>
      </c>
      <c r="CH309" s="3" t="e">
        <f>SUM(CH288,CH295,CH305,CH307)</f>
        <v>#DIV/0!</v>
      </c>
      <c r="CI309" s="3" t="e">
        <f>SUM(CI288,CI295,CI305,CI307)</f>
        <v>#DIV/0!</v>
      </c>
      <c r="CJ309" s="3" t="e">
        <f>SUM(CF309:CI309)</f>
        <v>#DIV/0!</v>
      </c>
      <c r="CK309" s="3" t="e">
        <f>SUM(CK288,CK295,CK305,CK307)</f>
        <v>#DIV/0!</v>
      </c>
      <c r="CL309" s="3" t="e">
        <f>SUM(CL288,CL295,CL305,CL307)</f>
        <v>#DIV/0!</v>
      </c>
      <c r="CM309" s="3" t="e">
        <f>SUM(CM288,CM295,CM305,CM307)</f>
        <v>#DIV/0!</v>
      </c>
      <c r="CN309" s="3" t="e">
        <f>SUM(CN288,CN295,CN305,CN307)</f>
        <v>#DIV/0!</v>
      </c>
      <c r="CO309" s="3" t="e">
        <f>SUM(CK309:CN309)</f>
        <v>#DIV/0!</v>
      </c>
      <c r="CP309" s="3" t="e">
        <f>SUM(CP288,CP295,CP305,CP307)</f>
        <v>#DIV/0!</v>
      </c>
      <c r="CQ309" s="3" t="e">
        <f>SUM(CQ288,CQ295,CQ305,CQ307)</f>
        <v>#DIV/0!</v>
      </c>
      <c r="CR309" s="3" t="e">
        <f>SUM(CR288,CR295,CR305,CR307)</f>
        <v>#DIV/0!</v>
      </c>
      <c r="CS309" s="3" t="e">
        <f>SUM(CS288,CS295,CS305,CS307)</f>
        <v>#DIV/0!</v>
      </c>
      <c r="CT309" s="3" t="e">
        <f>SUM(CP309:CS309)</f>
        <v>#DIV/0!</v>
      </c>
      <c r="CU309" s="3" t="e">
        <f>SUM(CU288,CU295,CU305,CU307)</f>
        <v>#DIV/0!</v>
      </c>
      <c r="CV309" s="3" t="e">
        <f>SUM(CV288,CV295,CV305,CV307)</f>
        <v>#DIV/0!</v>
      </c>
      <c r="CW309" s="3" t="e">
        <f>SUM(CW288,CW295,CW305,CW307)</f>
        <v>#DIV/0!</v>
      </c>
      <c r="CX309" s="3" t="e">
        <f>SUM(CX288,CX295,CX305,CX307)</f>
        <v>#DIV/0!</v>
      </c>
      <c r="CY309" s="3" t="e">
        <f>SUM(CU309:CX309)</f>
        <v>#DIV/0!</v>
      </c>
    </row>
    <row r="310">
      <c r="C310" s="4" t="inlineStr">
        <is>
          <t>Check</t>
        </is>
      </c>
      <c r="E310" s="51">
        <f>(E309)-(E139-D139)</f>
        <v>0</v>
      </c>
      <c r="F310" s="51">
        <f>(F309)-(F139-E139)</f>
        <v>0</v>
      </c>
      <c r="G310" s="51">
        <f>(G309)-(G139-F139)</f>
        <v>0</v>
      </c>
      <c r="I310" s="51">
        <f>(I309)-(I139-H139)</f>
        <v>0</v>
      </c>
      <c r="J310" s="51">
        <f>(J309)-(J139-I139)</f>
        <v>2.95585778076202e-12</v>
      </c>
      <c r="K310" s="51">
        <f>(K309)-(K139-J139)</f>
        <v>0</v>
      </c>
      <c r="L310" s="51">
        <f>(L309)-(L139-K139)</f>
        <v>4.54747350886464e-13</v>
      </c>
      <c r="N310" s="51">
        <f>(N309)-(N139-M139)</f>
        <v>0</v>
      </c>
      <c r="O310" s="51">
        <f>(O309)-(O139-N139)</f>
        <v>3.5242919693701e-12</v>
      </c>
      <c r="P310" s="51">
        <f>(P309)-(P139-O139)</f>
        <v>-5.6843418860808e-13</v>
      </c>
      <c r="Q310" s="51">
        <f>(Q309)-(Q139-P139)</f>
        <v>0</v>
      </c>
      <c r="S310" s="51">
        <f>(S309)-(S139-R139)</f>
        <v>0</v>
      </c>
      <c r="T310" s="51">
        <f>(T309)-(T139-S139)</f>
        <v>0</v>
      </c>
      <c r="U310" s="51">
        <f>(U309)-(U139-T139)</f>
        <v>4.09272615797818e-12</v>
      </c>
      <c r="V310" s="51">
        <f>(V309)-(V139-U139)</f>
        <v>0</v>
      </c>
      <c r="X310" s="51">
        <f>(X309)-(X139-W139)</f>
        <v>1.25055521493778e-12</v>
      </c>
      <c r="Y310" s="51">
        <f>(Y309)-(Y139-X139)</f>
        <v>0</v>
      </c>
      <c r="Z310" s="51">
        <f>(Z309)-(Z139-Y139)</f>
        <v>0</v>
      </c>
      <c r="AA310" s="51">
        <f>(AA309)-(AA139-Z139)</f>
        <v>3.18323145620525e-12</v>
      </c>
      <c r="AC310" s="51">
        <f>(AC309)-(AC139-AB139)</f>
        <v>2.50111042987555e-12</v>
      </c>
      <c r="AD310" s="51">
        <f>(AD309)-(AD139-AC139)</f>
        <v>-5.6843418860808e-12</v>
      </c>
      <c r="AE310" s="51">
        <f>(AE309)-(AE139-AD139)</f>
        <v>0</v>
      </c>
      <c r="AF310" s="51">
        <f>(AF309)-(AF139-AE139)</f>
        <v>0</v>
      </c>
      <c r="AH310" s="51">
        <f>(AH309)-(AH139-AG139)</f>
        <v>0</v>
      </c>
      <c r="AI310" s="51">
        <f>(AI309)-(AI139-AH139)</f>
        <v>0</v>
      </c>
      <c r="AJ310" s="51">
        <f>(AJ309)-(AJ139-AI139)</f>
        <v>0</v>
      </c>
      <c r="AK310" s="51">
        <f>(AK309)-(AK139-AJ139)</f>
        <v>0</v>
      </c>
      <c r="AM310" s="51" t="e">
        <f>(AM309)-(AM139-AL139)</f>
        <v>#DIV/0!</v>
      </c>
      <c r="AN310" s="51" t="e">
        <f>(AN309)-(AN139-AM139)</f>
        <v>#DIV/0!</v>
      </c>
      <c r="AO310" s="51" t="e">
        <f>(AO309)-(AO139-AN139)</f>
        <v>#DIV/0!</v>
      </c>
      <c r="AP310" s="51" t="e">
        <f>(AP309)-(AP139-AO139)</f>
        <v>#DIV/0!</v>
      </c>
      <c r="AR310" s="51" t="e">
        <f>(AR309)-(AR139-AQ139)</f>
        <v>#DIV/0!</v>
      </c>
      <c r="AS310" s="51" t="e">
        <f>(AS309)-(AS139-AR139)</f>
        <v>#DIV/0!</v>
      </c>
      <c r="AT310" s="51" t="e">
        <f>(AT309)-(AT139-AS139)</f>
        <v>#DIV/0!</v>
      </c>
      <c r="AU310" s="51" t="e">
        <f>(AU309)-(AU139-AT139)</f>
        <v>#DIV/0!</v>
      </c>
      <c r="AW310" s="51" t="e">
        <f>(AW309)-(AW139-AV139)</f>
        <v>#DIV/0!</v>
      </c>
      <c r="AX310" s="51" t="e">
        <f>(AX309)-(AX139-AW139)</f>
        <v>#DIV/0!</v>
      </c>
      <c r="AY310" s="51" t="e">
        <f>(AY309)-(AY139-AX139)</f>
        <v>#DIV/0!</v>
      </c>
      <c r="AZ310" s="51" t="e">
        <f>(AZ309)-(AZ139-AY139)</f>
        <v>#DIV/0!</v>
      </c>
      <c r="BB310" s="51" t="e">
        <f>(BB309)-(BB139-BA139)</f>
        <v>#DIV/0!</v>
      </c>
      <c r="BC310" s="51" t="e">
        <f>(BC309)-(BC139-BB139)</f>
        <v>#DIV/0!</v>
      </c>
      <c r="BD310" s="51" t="e">
        <f>(BD309)-(BD139-BC139)</f>
        <v>#DIV/0!</v>
      </c>
      <c r="BE310" s="51" t="e">
        <f>(BE309)-(BE139-BD139)</f>
        <v>#DIV/0!</v>
      </c>
      <c r="BG310" s="51" t="e">
        <f>(BG309)-(BG139-BF139)</f>
        <v>#DIV/0!</v>
      </c>
      <c r="BH310" s="51" t="e">
        <f>(BH309)-(BH139-BG139)</f>
        <v>#DIV/0!</v>
      </c>
      <c r="BI310" s="51" t="e">
        <f>(BI309)-(BI139-BH139)</f>
        <v>#DIV/0!</v>
      </c>
      <c r="BJ310" s="51" t="e">
        <f>(BJ309)-(BJ139-BI139)</f>
        <v>#DIV/0!</v>
      </c>
      <c r="BL310" s="51" t="e">
        <f>(BL309)-(BL139-BK139)</f>
        <v>#DIV/0!</v>
      </c>
      <c r="BM310" s="51" t="e">
        <f>(BM309)-(BM139-BL139)</f>
        <v>#DIV/0!</v>
      </c>
      <c r="BN310" s="51" t="e">
        <f>(BN309)-(BN139-BM139)</f>
        <v>#DIV/0!</v>
      </c>
      <c r="BO310" s="51" t="e">
        <f>(BO309)-(BO139-BN139)</f>
        <v>#DIV/0!</v>
      </c>
      <c r="BQ310" s="51" t="e">
        <f>(BQ309)-(BQ139-BP139)</f>
        <v>#DIV/0!</v>
      </c>
      <c r="BR310" s="51" t="e">
        <f>(BR309)-(BR139-BQ139)</f>
        <v>#DIV/0!</v>
      </c>
      <c r="BS310" s="51" t="e">
        <f>(BS309)-(BS139-BR139)</f>
        <v>#DIV/0!</v>
      </c>
      <c r="BT310" s="51" t="e">
        <f>(BT309)-(BT139-BS139)</f>
        <v>#DIV/0!</v>
      </c>
      <c r="BV310" s="51" t="e">
        <f>(BV309)-(BV139-BU139)</f>
        <v>#DIV/0!</v>
      </c>
      <c r="BW310" s="51" t="e">
        <f>(BW309)-(BW139-BV139)</f>
        <v>#DIV/0!</v>
      </c>
      <c r="BX310" s="51" t="e">
        <f>(BX309)-(BX139-BW139)</f>
        <v>#DIV/0!</v>
      </c>
      <c r="BY310" s="51" t="e">
        <f>(BY309)-(BY139-BX139)</f>
        <v>#DIV/0!</v>
      </c>
      <c r="CA310" s="51" t="e">
        <f>(CA309)-(CA139-BZ139)</f>
        <v>#DIV/0!</v>
      </c>
      <c r="CB310" s="51" t="e">
        <f>(CB309)-(CB139-CA139)</f>
        <v>#DIV/0!</v>
      </c>
      <c r="CC310" s="51" t="e">
        <f>(CC309)-(CC139-CB139)</f>
        <v>#DIV/0!</v>
      </c>
      <c r="CD310" s="51" t="e">
        <f>(CD309)-(CD139-CC139)</f>
        <v>#DIV/0!</v>
      </c>
      <c r="CF310" s="51" t="e">
        <f>(CF309)-(CF139-CE139)</f>
        <v>#DIV/0!</v>
      </c>
      <c r="CG310" s="51" t="e">
        <f>(CG309)-(CG139-CF139)</f>
        <v>#DIV/0!</v>
      </c>
      <c r="CH310" s="51" t="e">
        <f>(CH309)-(CH139-CG139)</f>
        <v>#DIV/0!</v>
      </c>
      <c r="CI310" s="51" t="e">
        <f>(CI309)-(CI139-CH139)</f>
        <v>#DIV/0!</v>
      </c>
      <c r="CK310" s="51" t="e">
        <f>(CK309)-(CK139-CJ139)</f>
        <v>#DIV/0!</v>
      </c>
      <c r="CL310" s="51" t="e">
        <f>(CL309)-(CL139-CK139)</f>
        <v>#DIV/0!</v>
      </c>
      <c r="CM310" s="51" t="e">
        <f>(CM309)-(CM139-CL139)</f>
        <v>#DIV/0!</v>
      </c>
      <c r="CN310" s="51" t="e">
        <f>(CN309)-(CN139-CM139)</f>
        <v>#DIV/0!</v>
      </c>
      <c r="CP310" s="51" t="e">
        <f>(CP309)-(CP139-CO139)</f>
        <v>#DIV/0!</v>
      </c>
      <c r="CQ310" s="51" t="e">
        <f>(CQ309)-(CQ139-CP139)</f>
        <v>#DIV/0!</v>
      </c>
      <c r="CR310" s="51" t="e">
        <f>(CR309)-(CR139-CQ139)</f>
        <v>#DIV/0!</v>
      </c>
      <c r="CS310" s="51" t="e">
        <f>(CS309)-(CS139-CR139)</f>
        <v>#DIV/0!</v>
      </c>
      <c r="CU310" s="51" t="e">
        <f>(CU309)-(CU139-CT139)</f>
        <v>#DIV/0!</v>
      </c>
      <c r="CV310" s="51" t="e">
        <f>(CV309)-(CV139-CU139)</f>
        <v>#DIV/0!</v>
      </c>
      <c r="CW310" s="51" t="e">
        <f>(CW309)-(CW139-CV139)</f>
        <v>#DIV/0!</v>
      </c>
      <c r="CX310" s="51" t="e">
        <f>(CX309)-(CX139-CW139)</f>
        <v>#DIV/0!</v>
      </c>
    </row>
    <row r="312">
      <c r="C312" s="53" t="inlineStr">
        <is>
          <t>Ratio Analysis</t>
        </is>
      </c>
      <c r="D312" s="5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  <c r="Z312" s="53" t="n"/>
      <c r="AA312" s="53" t="n"/>
      <c r="AB312" s="53" t="n"/>
      <c r="AC312" s="53" t="n"/>
      <c r="AD312" s="53" t="n"/>
      <c r="AE312" s="53" t="n"/>
      <c r="AF312" s="53" t="n"/>
      <c r="AG312" s="53" t="n"/>
      <c r="AH312" s="53" t="n"/>
      <c r="AI312" s="53" t="n"/>
      <c r="AJ312" s="53" t="n"/>
      <c r="AK312" s="53" t="n"/>
      <c r="AL312" s="53" t="n"/>
      <c r="AM312" s="53" t="n"/>
      <c r="AN312" s="53" t="n"/>
      <c r="AO312" s="53" t="n"/>
      <c r="AP312" s="53" t="n"/>
      <c r="AQ312" s="53" t="n"/>
      <c r="AR312" s="53" t="n"/>
      <c r="AS312" s="53" t="n"/>
      <c r="AT312" s="53" t="n"/>
      <c r="AU312" s="53" t="n"/>
      <c r="AV312" s="53" t="n"/>
      <c r="AW312" s="53" t="n"/>
      <c r="AX312" s="53" t="n"/>
      <c r="AY312" s="53" t="n"/>
      <c r="AZ312" s="53" t="n"/>
      <c r="BA312" s="53" t="n"/>
      <c r="BB312" s="53" t="n"/>
      <c r="BC312" s="53" t="n"/>
      <c r="BD312" s="53" t="n"/>
      <c r="BE312" s="53" t="n"/>
      <c r="BF312" s="53" t="n"/>
      <c r="BG312" s="53" t="n"/>
      <c r="BH312" s="53" t="n"/>
      <c r="BI312" s="53" t="n"/>
      <c r="BJ312" s="53" t="n"/>
      <c r="BK312" s="53" t="n"/>
      <c r="BL312" s="53" t="n"/>
      <c r="BM312" s="53" t="n"/>
      <c r="BN312" s="53" t="n"/>
      <c r="BO312" s="53" t="n"/>
      <c r="BP312" s="53" t="n"/>
      <c r="BQ312" s="53" t="n"/>
      <c r="BR312" s="53" t="n"/>
      <c r="BS312" s="53" t="n"/>
      <c r="BT312" s="53" t="n"/>
      <c r="BU312" s="53" t="n"/>
      <c r="BV312" s="53" t="n"/>
      <c r="BW312" s="53" t="n"/>
      <c r="BX312" s="53" t="n"/>
      <c r="BY312" s="53" t="n"/>
      <c r="BZ312" s="53" t="n"/>
      <c r="CA312" s="53" t="n"/>
      <c r="CB312" s="53" t="n"/>
      <c r="CC312" s="53" t="n"/>
      <c r="CD312" s="53" t="n"/>
      <c r="CE312" s="53" t="n"/>
      <c r="CF312" s="53" t="n"/>
      <c r="CG312" s="53" t="n"/>
      <c r="CH312" s="53" t="n"/>
      <c r="CI312" s="53" t="n"/>
      <c r="CJ312" s="53" t="n"/>
      <c r="CK312" s="53" t="n"/>
      <c r="CL312" s="53" t="n"/>
      <c r="CM312" s="53" t="n"/>
      <c r="CN312" s="53" t="n"/>
      <c r="CO312" s="53" t="n"/>
      <c r="CP312" s="53" t="n"/>
      <c r="CQ312" s="53" t="n"/>
      <c r="CR312" s="53" t="n"/>
      <c r="CS312" s="53" t="n"/>
      <c r="CT312" s="53" t="n"/>
      <c r="CU312" s="53" t="n"/>
      <c r="CV312" s="53" t="n"/>
      <c r="CW312" s="53" t="n"/>
      <c r="CX312" s="53" t="n"/>
      <c r="CY312" s="53" t="n"/>
    </row>
    <row r="314" customFormat="1" s="234">
      <c r="C314" s="234" t="inlineStr">
        <is>
          <t>YEAR</t>
        </is>
      </c>
      <c r="D314" s="234" t="str">
        <f>D270</f>
        <v>1Q20</v>
      </c>
      <c r="E314" s="235" t="str">
        <f>E270</f>
        <v>2Q20</v>
      </c>
      <c r="F314" s="235" t="str">
        <f>F270</f>
        <v>3Q20</v>
      </c>
      <c r="G314" s="235" t="str">
        <f>G270</f>
        <v>4Q20</v>
      </c>
      <c r="H314" s="235">
        <f>H270</f>
        <v>2020</v>
      </c>
      <c r="I314" s="235" t="str">
        <f>I270</f>
        <v>1Q21</v>
      </c>
      <c r="J314" s="235" t="str">
        <f>J270</f>
        <v>2Q21</v>
      </c>
      <c r="K314" s="235" t="str">
        <f>K270</f>
        <v>3Q21</v>
      </c>
      <c r="L314" s="235" t="str">
        <f>L270</f>
        <v>4Q21</v>
      </c>
      <c r="M314" s="235">
        <f>M270</f>
        <v>2021</v>
      </c>
      <c r="N314" s="235" t="str">
        <f>N270</f>
        <v>1Q22</v>
      </c>
      <c r="O314" s="235" t="str">
        <f>O270</f>
        <v>2Q22</v>
      </c>
      <c r="P314" s="235" t="str">
        <f>P270</f>
        <v>3Q22</v>
      </c>
      <c r="Q314" s="235" t="str">
        <f>Q270</f>
        <v>4Q22</v>
      </c>
      <c r="R314" s="235">
        <f>R270</f>
        <v>2022</v>
      </c>
      <c r="S314" s="235" t="str">
        <f>S270</f>
        <v>1Q23</v>
      </c>
      <c r="T314" s="235" t="str">
        <f>T270</f>
        <v>2Q23</v>
      </c>
      <c r="U314" s="235" t="str">
        <f>U270</f>
        <v>3Q23</v>
      </c>
      <c r="V314" s="235" t="str">
        <f>V270</f>
        <v>4Q23</v>
      </c>
      <c r="W314" s="235">
        <f>W270</f>
        <v>2023</v>
      </c>
      <c r="X314" s="235" t="str">
        <f>X270</f>
        <v>1Q24</v>
      </c>
      <c r="Y314" s="235" t="str">
        <f>Y270</f>
        <v>2Q24</v>
      </c>
      <c r="Z314" s="235" t="str">
        <f>Z270</f>
        <v>3Q24</v>
      </c>
      <c r="AA314" s="235" t="str">
        <f>AA270</f>
        <v>4Q24</v>
      </c>
      <c r="AB314" s="235">
        <f>AB270</f>
        <v>2024</v>
      </c>
      <c r="AC314" s="235" t="str">
        <f>AC270</f>
        <v>1Q25</v>
      </c>
      <c r="AD314" s="235" t="str">
        <f>AD270</f>
        <v>2Q25</v>
      </c>
      <c r="AE314" s="235" t="str">
        <f>AE270</f>
        <v>3Q25</v>
      </c>
      <c r="AF314" s="235" t="str">
        <f>AF270</f>
        <v>4Q25</v>
      </c>
      <c r="AG314" s="235">
        <f>AG270</f>
        <v>2025</v>
      </c>
      <c r="AH314" s="235" t="str">
        <f>AH270</f>
        <v>1Q26</v>
      </c>
      <c r="AI314" s="235" t="str">
        <f>AI270</f>
        <v>2Q26</v>
      </c>
      <c r="AJ314" s="235" t="str">
        <f>AJ270</f>
        <v>3Q26</v>
      </c>
      <c r="AK314" s="235" t="str">
        <f>AK270</f>
        <v>4Q26</v>
      </c>
      <c r="AL314" s="235">
        <f>AL270</f>
        <v>2026</v>
      </c>
      <c r="AM314" s="235" t="str">
        <f>AM270</f>
        <v>1Q27</v>
      </c>
      <c r="AN314" s="235" t="str">
        <f>AN270</f>
        <v>2Q27</v>
      </c>
      <c r="AO314" s="235" t="str">
        <f>AO270</f>
        <v>3Q27</v>
      </c>
      <c r="AP314" s="235" t="str">
        <f>AP270</f>
        <v>4Q27</v>
      </c>
      <c r="AQ314" s="235">
        <f>AQ270</f>
        <v>2027</v>
      </c>
      <c r="AR314" s="235" t="str">
        <f>AR270</f>
        <v>1Q28</v>
      </c>
      <c r="AS314" s="235" t="str">
        <f>AS270</f>
        <v>2Q28</v>
      </c>
      <c r="AT314" s="235" t="str">
        <f>AT270</f>
        <v>3Q28</v>
      </c>
      <c r="AU314" s="235" t="str">
        <f>AU270</f>
        <v>4Q28</v>
      </c>
      <c r="AV314" s="235">
        <f>AV270</f>
        <v>2028</v>
      </c>
      <c r="AW314" s="235" t="str">
        <f>AW270</f>
        <v>1Q29</v>
      </c>
      <c r="AX314" s="235" t="str">
        <f>AX270</f>
        <v>2Q29</v>
      </c>
      <c r="AY314" s="235" t="str">
        <f>AY270</f>
        <v>3Q29</v>
      </c>
      <c r="AZ314" s="235" t="str">
        <f>AZ270</f>
        <v>4Q29</v>
      </c>
      <c r="BA314" s="235">
        <f>BA270</f>
        <v>2029</v>
      </c>
      <c r="BB314" s="235" t="str">
        <f>BB270</f>
        <v>1Q30</v>
      </c>
      <c r="BC314" s="235" t="str">
        <f>BC270</f>
        <v>2Q30</v>
      </c>
      <c r="BD314" s="235" t="str">
        <f>BD270</f>
        <v>3Q30</v>
      </c>
      <c r="BE314" s="235" t="str">
        <f>BE270</f>
        <v>4Q30</v>
      </c>
      <c r="BF314" s="235">
        <f>BF270</f>
        <v>2030</v>
      </c>
      <c r="BG314" s="235" t="str">
        <f>BG270</f>
        <v>1Q31</v>
      </c>
      <c r="BH314" s="235" t="str">
        <f>BH270</f>
        <v>2Q31</v>
      </c>
      <c r="BI314" s="235" t="str">
        <f>BI270</f>
        <v>3Q31</v>
      </c>
      <c r="BJ314" s="235" t="str">
        <f>BJ270</f>
        <v>4Q31</v>
      </c>
      <c r="BK314" s="235">
        <f>BK270</f>
        <v>2031</v>
      </c>
      <c r="BL314" s="235" t="str">
        <f>BL270</f>
        <v>1Q32</v>
      </c>
      <c r="BM314" s="235" t="str">
        <f>BM270</f>
        <v>2Q32</v>
      </c>
      <c r="BN314" s="235" t="str">
        <f>BN270</f>
        <v>3Q32</v>
      </c>
      <c r="BO314" s="235" t="str">
        <f>BO270</f>
        <v>4Q32</v>
      </c>
      <c r="BP314" s="235">
        <f>BP270</f>
        <v>2032</v>
      </c>
      <c r="BQ314" s="235" t="str">
        <f>BQ270</f>
        <v>1Q33</v>
      </c>
      <c r="BR314" s="235" t="str">
        <f>BR270</f>
        <v>2Q33</v>
      </c>
      <c r="BS314" s="235" t="str">
        <f>BS270</f>
        <v>3Q33</v>
      </c>
      <c r="BT314" s="235" t="str">
        <f>BT270</f>
        <v>4Q33</v>
      </c>
      <c r="BU314" s="235">
        <f>BU270</f>
        <v>2033</v>
      </c>
      <c r="BV314" s="235" t="str">
        <f>BV270</f>
        <v>1Q34</v>
      </c>
      <c r="BW314" s="235" t="str">
        <f>BW270</f>
        <v>2Q34</v>
      </c>
      <c r="BX314" s="235" t="str">
        <f>BX270</f>
        <v>3Q34</v>
      </c>
      <c r="BY314" s="235" t="str">
        <f>BY270</f>
        <v>4Q34</v>
      </c>
      <c r="BZ314" s="235">
        <f>BZ270</f>
        <v>2034</v>
      </c>
      <c r="CA314" s="235" t="str">
        <f>CA270</f>
        <v>1Q35</v>
      </c>
      <c r="CB314" s="235" t="str">
        <f>CB270</f>
        <v>2Q35</v>
      </c>
      <c r="CC314" s="235" t="str">
        <f>CC270</f>
        <v>3Q35</v>
      </c>
      <c r="CD314" s="235" t="str">
        <f>CD270</f>
        <v>4Q35</v>
      </c>
      <c r="CE314" s="235">
        <f>CE270</f>
        <v>2035</v>
      </c>
      <c r="CF314" s="235" t="str">
        <f>CF270</f>
        <v>1Q36</v>
      </c>
      <c r="CG314" s="235" t="str">
        <f>CG270</f>
        <v>2Q36</v>
      </c>
      <c r="CH314" s="235" t="str">
        <f>CH270</f>
        <v>3Q36</v>
      </c>
      <c r="CI314" s="235" t="str">
        <f>CI270</f>
        <v>4Q36</v>
      </c>
      <c r="CJ314" s="235">
        <f>CJ270</f>
        <v>2036</v>
      </c>
      <c r="CK314" s="235" t="str">
        <f>CK270</f>
        <v>1Q37</v>
      </c>
      <c r="CL314" s="235" t="str">
        <f>CL270</f>
        <v>2Q37</v>
      </c>
      <c r="CM314" s="235" t="str">
        <f>CM270</f>
        <v>3Q37</v>
      </c>
      <c r="CN314" s="235" t="str">
        <f>CN270</f>
        <v>4Q37</v>
      </c>
      <c r="CO314" s="235">
        <f>CO270</f>
        <v>2037</v>
      </c>
      <c r="CP314" s="235" t="str">
        <f>CP270</f>
        <v>1Q38</v>
      </c>
      <c r="CQ314" s="235" t="str">
        <f>CQ270</f>
        <v>2Q38</v>
      </c>
      <c r="CR314" s="235" t="str">
        <f>CR270</f>
        <v>3Q38</v>
      </c>
      <c r="CS314" s="235" t="str">
        <f>CS270</f>
        <v>4Q38</v>
      </c>
      <c r="CT314" s="235">
        <f>CT270</f>
        <v>2038</v>
      </c>
      <c r="CU314" s="235" t="str">
        <f>CU270</f>
        <v>1Q39</v>
      </c>
      <c r="CV314" s="235" t="str">
        <f>CV270</f>
        <v>2Q39</v>
      </c>
      <c r="CW314" s="235" t="str">
        <f>CW270</f>
        <v>3Q39</v>
      </c>
      <c r="CX314" s="235" t="str">
        <f>CX270</f>
        <v>4Q39</v>
      </c>
      <c r="CY314" s="235">
        <f>CY270</f>
        <v>2039</v>
      </c>
    </row>
    <row r="315" customFormat="1" s="233">
      <c r="A315" s="224" t="n"/>
      <c r="B315" s="224" t="n"/>
      <c r="C315" s="234" t="inlineStr">
        <is>
          <t>GROWTH &amp; MARGINS</t>
        </is>
      </c>
    </row>
    <row r="316" customFormat="1" s="233">
      <c r="A316" s="224" t="n"/>
      <c r="B316" s="224" t="n"/>
      <c r="C316" s="233" t="inlineStr">
        <is>
          <t>NET REVENUE GROWTH</t>
        </is>
      </c>
      <c r="E316" s="236">
        <f>E15/D15-1</f>
        <v>-0.0615038055906346</v>
      </c>
      <c r="F316" s="236">
        <f>F15/E15-1</f>
        <v>0.0438593301087391</v>
      </c>
      <c r="G316" s="236">
        <f>G15/F15-1</f>
        <v>0.296031773682194</v>
      </c>
      <c r="H316" s="236" t="n"/>
      <c r="I316" s="220">
        <f>I15/H15-1</f>
        <v>-0.722670926413418</v>
      </c>
      <c r="J316" s="220">
        <f>J15/I15-1</f>
        <v>-0.00962442694251797</v>
      </c>
      <c r="K316" s="220">
        <f>K15/J15-1</f>
        <v>0.00485156006587428</v>
      </c>
      <c r="L316" s="220">
        <f>L15/K15-1</f>
        <v>0.181180604772029</v>
      </c>
      <c r="M316" s="236" t="n"/>
      <c r="N316" s="220">
        <f>N15/M15-1</f>
        <v>-0.724207582349285</v>
      </c>
      <c r="O316" s="220">
        <f>O15/N15-1</f>
        <v>-0.169270166453265</v>
      </c>
      <c r="P316" s="220">
        <f>P15/O15-1</f>
        <v>0.0699136868064119</v>
      </c>
      <c r="Q316" s="220">
        <f>Q15/P15-1</f>
        <v>0.0518900541661864</v>
      </c>
      <c r="R316" s="236" t="n"/>
      <c r="S316" s="220">
        <f>S15/R15-1</f>
        <v>-0.756143707036095</v>
      </c>
      <c r="T316" s="220">
        <f>T15/S15-1</f>
        <v>0.194267241379311</v>
      </c>
      <c r="U316" s="220">
        <f>U15/T15-1</f>
        <v>0.142743710975566</v>
      </c>
      <c r="V316" s="220">
        <f>V15/U15-1</f>
        <v>-0.0152864632682712</v>
      </c>
      <c r="W316" s="236" t="n"/>
      <c r="X316" s="220">
        <f>X15/W15-1</f>
        <v>-0.743055494503884</v>
      </c>
      <c r="Y316" s="220">
        <f>Y15/X15-1</f>
        <v>0.289096715328467</v>
      </c>
      <c r="Z316" s="220">
        <f>Z15/Y15-1</f>
        <v>0.012058958842057</v>
      </c>
      <c r="AA316" s="220">
        <f>AA15/Z15-1</f>
        <v>0.183030133489523</v>
      </c>
      <c r="AB316" s="236" t="n"/>
      <c r="AC316" s="220">
        <f>AC15/AB15-1</f>
        <v>-0.717401487921461</v>
      </c>
      <c r="AD316" s="220">
        <f>AD15/AC15-1</f>
        <v>0.222248409144473</v>
      </c>
      <c r="AE316" s="220">
        <f>AE15/AD15-1</f>
        <v>0.131302223936238</v>
      </c>
      <c r="AF316" s="220">
        <f>AF15/AE15-1</f>
        <v>0.0960865415208401</v>
      </c>
      <c r="AG316" s="236" t="n"/>
      <c r="AH316" s="220">
        <f>AH15/AG15-1</f>
        <v>-0.69624024621125</v>
      </c>
      <c r="AI316" s="220">
        <f>AI15/AH15-1</f>
        <v>0.160361634425981</v>
      </c>
      <c r="AJ316" s="220">
        <f>AJ15/AI15-1</f>
        <v>-0.233881779402803</v>
      </c>
      <c r="AK316" s="220">
        <f>AK15/AJ15-1</f>
        <v>0.0960865415208401</v>
      </c>
      <c r="AL316" s="236" t="n"/>
      <c r="AM316" s="220">
        <f>AM15/AL15-1</f>
        <v>-0.751474283820661</v>
      </c>
      <c r="AN316" s="220">
        <f>AN15/AM15-1</f>
        <v>0.160361634425981</v>
      </c>
      <c r="AO316" s="220">
        <f>AO15/AN15-1</f>
        <v>-0.233881779402803</v>
      </c>
      <c r="AP316" s="220">
        <f>AP15/AO15-1</f>
        <v>0.0960865415208401</v>
      </c>
      <c r="AQ316" s="236" t="n"/>
      <c r="AR316" s="220">
        <f>AR15/AQ15-1</f>
        <v>-0.751474283820661</v>
      </c>
      <c r="AS316" s="220">
        <f>AS15/AR15-1</f>
        <v>0.160361634425981</v>
      </c>
      <c r="AT316" s="220">
        <f>AT15/AS15-1</f>
        <v>-0.233881779402803</v>
      </c>
      <c r="AU316" s="220">
        <f>AU15/AT15-1</f>
        <v>0.0960865415208401</v>
      </c>
      <c r="AV316" s="236" t="n"/>
      <c r="AW316" s="220">
        <f>AW15/AV15-1</f>
        <v>-0.751474283820661</v>
      </c>
      <c r="AX316" s="220">
        <f>AX15/AW15-1</f>
        <v>0.160361634425981</v>
      </c>
      <c r="AY316" s="220">
        <f>AY15/AX15-1</f>
        <v>-0.233881779402803</v>
      </c>
      <c r="AZ316" s="220">
        <f>AZ15/AY15-1</f>
        <v>0.0960865415208401</v>
      </c>
      <c r="BA316" s="236" t="n"/>
      <c r="BB316" s="220">
        <f>BB15/BA15-1</f>
        <v>-0.751474283820661</v>
      </c>
      <c r="BC316" s="220">
        <f>BC15/BB15-1</f>
        <v>0.160361634425981</v>
      </c>
      <c r="BD316" s="220">
        <f>BD15/BC15-1</f>
        <v>-0.233881779402803</v>
      </c>
      <c r="BE316" s="220">
        <f>BE15/BD15-1</f>
        <v>0.0960865415208401</v>
      </c>
      <c r="BF316" s="236" t="n"/>
      <c r="BG316" s="220">
        <f>BG15/BF15-1</f>
        <v>-0.751474283820661</v>
      </c>
      <c r="BH316" s="220">
        <f>BH15/BG15-1</f>
        <v>0.160361634425981</v>
      </c>
      <c r="BI316" s="220">
        <f>BI15/BH15-1</f>
        <v>-0.233881779402803</v>
      </c>
      <c r="BJ316" s="220">
        <f>BJ15/BI15-1</f>
        <v>0.0960865415208401</v>
      </c>
      <c r="BK316" s="236" t="n"/>
      <c r="BL316" s="220">
        <f>BL15/BK15-1</f>
        <v>-0.751474283820661</v>
      </c>
      <c r="BM316" s="220">
        <f>BM15/BL15-1</f>
        <v>0.160361634425981</v>
      </c>
      <c r="BN316" s="220">
        <f>BN15/BM15-1</f>
        <v>-0.233881779402803</v>
      </c>
      <c r="BO316" s="220">
        <f>BO15/BN15-1</f>
        <v>0.0960865415208401</v>
      </c>
      <c r="BP316" s="236" t="n"/>
      <c r="BQ316" s="220">
        <f>BQ15/BP15-1</f>
        <v>-0.751474283820661</v>
      </c>
      <c r="BR316" s="220">
        <f>BR15/BQ15-1</f>
        <v>0.160361634425981</v>
      </c>
      <c r="BS316" s="220">
        <f>BS15/BR15-1</f>
        <v>-0.233881779402803</v>
      </c>
      <c r="BT316" s="220">
        <f>BT15/BS15-1</f>
        <v>0.0960865415208401</v>
      </c>
      <c r="BU316" s="236" t="n"/>
      <c r="BV316" s="220">
        <f>BV15/BU15-1</f>
        <v>-0.751474283820661</v>
      </c>
      <c r="BW316" s="220">
        <f>BW15/BV15-1</f>
        <v>0.160361634425981</v>
      </c>
      <c r="BX316" s="220">
        <f>BX15/BW15-1</f>
        <v>-0.233881779402803</v>
      </c>
      <c r="BY316" s="220">
        <f>BY15/BX15-1</f>
        <v>0.0960865415208401</v>
      </c>
      <c r="BZ316" s="236" t="n"/>
      <c r="CA316" s="220">
        <f>CA15/BZ15-1</f>
        <v>-0.751474283820661</v>
      </c>
      <c r="CB316" s="220">
        <f>CB15/CA15-1</f>
        <v>0.160361634425981</v>
      </c>
      <c r="CC316" s="220">
        <f>CC15/CB15-1</f>
        <v>-0.233881779402803</v>
      </c>
      <c r="CD316" s="220">
        <f>CD15/CC15-1</f>
        <v>0.0960865415208401</v>
      </c>
      <c r="CE316" s="236" t="n"/>
      <c r="CF316" s="220">
        <f>CF15/CE15-1</f>
        <v>-0.751474283820661</v>
      </c>
      <c r="CG316" s="220">
        <f>CG15/CF15-1</f>
        <v>0.160361634425981</v>
      </c>
      <c r="CH316" s="220">
        <f>CH15/CG15-1</f>
        <v>-0.233881779402803</v>
      </c>
      <c r="CI316" s="220">
        <f>CI15/CH15-1</f>
        <v>0.0960865415208401</v>
      </c>
      <c r="CJ316" s="236" t="n"/>
      <c r="CK316" s="220">
        <f>CK15/CJ15-1</f>
        <v>-0.751474283820661</v>
      </c>
      <c r="CL316" s="220">
        <f>CL15/CK15-1</f>
        <v>0.160361634425981</v>
      </c>
      <c r="CM316" s="220">
        <f>CM15/CL15-1</f>
        <v>-0.233881779402803</v>
      </c>
      <c r="CN316" s="220">
        <f>CN15/CM15-1</f>
        <v>0.0960865415208401</v>
      </c>
      <c r="CO316" s="236" t="n"/>
      <c r="CP316" s="220">
        <f>CP15/CO15-1</f>
        <v>-0.751474283820661</v>
      </c>
      <c r="CQ316" s="220">
        <f>CQ15/CP15-1</f>
        <v>0.160361634425981</v>
      </c>
      <c r="CR316" s="220">
        <f>CR15/CQ15-1</f>
        <v>-0.233881779402803</v>
      </c>
      <c r="CS316" s="220">
        <f>CS15/CR15-1</f>
        <v>0.0960865415208401</v>
      </c>
      <c r="CT316" s="236" t="n"/>
      <c r="CU316" s="220">
        <f>CU15/CT15-1</f>
        <v>-0.751474283820661</v>
      </c>
      <c r="CV316" s="220">
        <f>CV15/CU15-1</f>
        <v>0.160361634425981</v>
      </c>
      <c r="CW316" s="220">
        <f>CW15/CV15-1</f>
        <v>-0.233881779402803</v>
      </c>
      <c r="CX316" s="220">
        <f>CX15/CW15-1</f>
        <v>0.0960865415208401</v>
      </c>
      <c r="CY316" s="236" t="n"/>
    </row>
    <row r="317" customFormat="1" s="233">
      <c r="A317" s="224" t="n"/>
      <c r="B317" s="224" t="n"/>
      <c r="C317" s="233" t="inlineStr">
        <is>
          <t>GROSS MARGIN</t>
        </is>
      </c>
      <c r="D317" s="220">
        <f>SUM(D15,D49)/D15</f>
        <v>0.792637973992287</v>
      </c>
      <c r="E317" s="220">
        <f>SUM(E15,E49)/E15</f>
        <v>0.777793941157217</v>
      </c>
      <c r="F317" s="220">
        <f>SUM(F15,F49)/F15</f>
        <v>0.76894401282096</v>
      </c>
      <c r="G317" s="220">
        <f>SUM(G15,G49)/G15</f>
        <v>0.768844086021505</v>
      </c>
      <c r="I317" s="221">
        <f>SUM(I15,I49)/I15</f>
        <v>0.723962619019631</v>
      </c>
      <c r="J317" s="221">
        <f>SUM(J15,J49)/J15</f>
        <v>0.710212014658536</v>
      </c>
      <c r="K317" s="221">
        <f>SUM(K15,K49)/K15</f>
        <v>0.788743208126624</v>
      </c>
      <c r="L317" s="221">
        <f>SUM(L15,L49)/L15</f>
        <v>0.743721796522457</v>
      </c>
      <c r="N317" s="221">
        <f>SUM(N15,N49)/N15</f>
        <v>0.734686299615877</v>
      </c>
      <c r="O317" s="221">
        <f>SUM(O15,O49)/O15</f>
        <v>0.779516029593095</v>
      </c>
      <c r="P317" s="221">
        <f>SUM(P15,P49)/P15</f>
        <v>0.772516422726749</v>
      </c>
      <c r="Q317" s="221">
        <f>SUM(Q15,Q49)/Q15</f>
        <v>0.787983784820181</v>
      </c>
      <c r="S317" s="221">
        <f>SUM(S15,S49)/S15</f>
        <v>0.766278735632184</v>
      </c>
      <c r="T317" s="221">
        <f>SUM(T15,T49)/T15</f>
        <v>0.782557957676159</v>
      </c>
      <c r="U317" s="221">
        <f>SUM(U15,U49)/U15</f>
        <v>0.804171141010254</v>
      </c>
      <c r="V317" s="221">
        <f>SUM(V15,V49)/V15</f>
        <v>0.808839566360896</v>
      </c>
      <c r="X317" s="221">
        <f>SUM(X15,X49)/X15</f>
        <v>0.80913549270073</v>
      </c>
      <c r="Y317" s="221">
        <f>SUM(Y15,Y49)/Y15</f>
        <v>0.807994479244081</v>
      </c>
      <c r="Z317" s="221">
        <f>SUM(Z15,Z49)/Z15</f>
        <v>0.810229825773007</v>
      </c>
      <c r="AA317" s="221">
        <f>SUM(AA15,AA49)/AA15</f>
        <v>0.822372310238827</v>
      </c>
      <c r="AC317" s="221">
        <f>SUM(AC15,AC49)/AC15</f>
        <v>0.825202293974389</v>
      </c>
      <c r="AD317" s="221">
        <f>SUM(AD15,AD49)/AD15</f>
        <v>0.84265329733899</v>
      </c>
      <c r="AE317" s="221">
        <f>SUM(AE15,AE49)/AE15</f>
        <v>0.829081632653061</v>
      </c>
      <c r="AF317" s="221">
        <f>SUM(AF15,AF49)/AF15</f>
        <v>0.82522807381298</v>
      </c>
      <c r="AH317" s="221">
        <f>SUM(AH15,AH49)/AH15</f>
        <v>0.819334309813627</v>
      </c>
      <c r="AI317" s="221">
        <f>SUM(AI15,AI49)/AI15</f>
        <v>0.85775224166449</v>
      </c>
      <c r="AJ317" s="221">
        <f>SUM(AJ15,AJ49)/AJ15</f>
        <v>0</v>
      </c>
      <c r="AK317" s="221">
        <f>SUM(AK15,AK49)/AK15</f>
        <v>0</v>
      </c>
      <c r="AM317" s="221">
        <f>SUM(AM15,AM49)/AM15</f>
        <v>0</v>
      </c>
      <c r="AN317" s="221">
        <f>SUM(AN15,AN49)/AN15</f>
        <v>0</v>
      </c>
      <c r="AO317" s="221">
        <f>SUM(AO15,AO49)/AO15</f>
        <v>0</v>
      </c>
      <c r="AP317" s="221">
        <f>SUM(AP15,AP49)/AP15</f>
        <v>0</v>
      </c>
      <c r="AR317" s="221">
        <f>SUM(AR15,AR49)/AR15</f>
        <v>0</v>
      </c>
      <c r="AS317" s="221">
        <f>SUM(AS15,AS49)/AS15</f>
        <v>0</v>
      </c>
      <c r="AT317" s="221">
        <f>SUM(AT15,AT49)/AT15</f>
        <v>0</v>
      </c>
      <c r="AU317" s="221">
        <f>SUM(AU15,AU49)/AU15</f>
        <v>0</v>
      </c>
      <c r="AW317" s="221">
        <f>SUM(AW15,AW49)/AW15</f>
        <v>0</v>
      </c>
      <c r="AX317" s="221">
        <f>SUM(AX15,AX49)/AX15</f>
        <v>0</v>
      </c>
      <c r="AY317" s="221">
        <f>SUM(AY15,AY49)/AY15</f>
        <v>0</v>
      </c>
      <c r="AZ317" s="221">
        <f>SUM(AZ15,AZ49)/AZ15</f>
        <v>0</v>
      </c>
      <c r="BB317" s="221">
        <f>SUM(BB15,BB49)/BB15</f>
        <v>0</v>
      </c>
      <c r="BC317" s="221">
        <f>SUM(BC15,BC49)/BC15</f>
        <v>0</v>
      </c>
      <c r="BD317" s="221">
        <f>SUM(BD15,BD49)/BD15</f>
        <v>0</v>
      </c>
      <c r="BE317" s="221">
        <f>SUM(BE15,BE49)/BE15</f>
        <v>0</v>
      </c>
      <c r="BG317" s="221">
        <f>SUM(BG15,BG49)/BG15</f>
        <v>0</v>
      </c>
      <c r="BH317" s="221">
        <f>SUM(BH15,BH49)/BH15</f>
        <v>0</v>
      </c>
      <c r="BI317" s="221">
        <f>SUM(BI15,BI49)/BI15</f>
        <v>0</v>
      </c>
      <c r="BJ317" s="221">
        <f>SUM(BJ15,BJ49)/BJ15</f>
        <v>0</v>
      </c>
      <c r="BL317" s="221">
        <f>SUM(BL15,BL49)/BL15</f>
        <v>0</v>
      </c>
      <c r="BM317" s="221">
        <f>SUM(BM15,BM49)/BM15</f>
        <v>0</v>
      </c>
      <c r="BN317" s="221">
        <f>SUM(BN15,BN49)/BN15</f>
        <v>0</v>
      </c>
      <c r="BO317" s="221">
        <f>SUM(BO15,BO49)/BO15</f>
        <v>0</v>
      </c>
      <c r="BQ317" s="221">
        <f>SUM(BQ15,BQ49)/BQ15</f>
        <v>0</v>
      </c>
      <c r="BR317" s="221">
        <f>SUM(BR15,BR49)/BR15</f>
        <v>0</v>
      </c>
      <c r="BS317" s="221">
        <f>SUM(BS15,BS49)/BS15</f>
        <v>0</v>
      </c>
      <c r="BT317" s="221">
        <f>SUM(BT15,BT49)/BT15</f>
        <v>0</v>
      </c>
      <c r="BV317" s="221">
        <f>SUM(BV15,BV49)/BV15</f>
        <v>0</v>
      </c>
      <c r="BW317" s="221">
        <f>SUM(BW15,BW49)/BW15</f>
        <v>0</v>
      </c>
      <c r="BX317" s="221">
        <f>SUM(BX15,BX49)/BX15</f>
        <v>0</v>
      </c>
      <c r="BY317" s="221">
        <f>SUM(BY15,BY49)/BY15</f>
        <v>0</v>
      </c>
      <c r="CA317" s="221">
        <f>SUM(CA15,CA49)/CA15</f>
        <v>0</v>
      </c>
      <c r="CB317" s="221">
        <f>SUM(CB15,CB49)/CB15</f>
        <v>0</v>
      </c>
      <c r="CC317" s="221">
        <f>SUM(CC15,CC49)/CC15</f>
        <v>0</v>
      </c>
      <c r="CD317" s="221">
        <f>SUM(CD15,CD49)/CD15</f>
        <v>0</v>
      </c>
      <c r="CF317" s="221">
        <f>SUM(CF15,CF49)/CF15</f>
        <v>0</v>
      </c>
      <c r="CG317" s="221">
        <f>SUM(CG15,CG49)/CG15</f>
        <v>0</v>
      </c>
      <c r="CH317" s="221">
        <f>SUM(CH15,CH49)/CH15</f>
        <v>0</v>
      </c>
      <c r="CI317" s="221">
        <f>SUM(CI15,CI49)/CI15</f>
        <v>0</v>
      </c>
      <c r="CK317" s="221">
        <f>SUM(CK15,CK49)/CK15</f>
        <v>0</v>
      </c>
      <c r="CL317" s="221">
        <f>SUM(CL15,CL49)/CL15</f>
        <v>0</v>
      </c>
      <c r="CM317" s="221">
        <f>SUM(CM15,CM49)/CM15</f>
        <v>0</v>
      </c>
      <c r="CN317" s="221">
        <f>SUM(CN15,CN49)/CN15</f>
        <v>0</v>
      </c>
      <c r="CP317" s="221">
        <f>SUM(CP15,CP49)/CP15</f>
        <v>0</v>
      </c>
      <c r="CQ317" s="221">
        <f>SUM(CQ15,CQ49)/CQ15</f>
        <v>0</v>
      </c>
      <c r="CR317" s="221">
        <f>SUM(CR15,CR49)/CR15</f>
        <v>0</v>
      </c>
      <c r="CS317" s="221">
        <f>SUM(CS15,CS49)/CS15</f>
        <v>0</v>
      </c>
      <c r="CU317" s="221">
        <f>SUM(CU15,CU49)/CU15</f>
        <v>0</v>
      </c>
      <c r="CV317" s="221">
        <f>SUM(CV15,CV49)/CV15</f>
        <v>0</v>
      </c>
      <c r="CW317" s="221">
        <f>SUM(CW15,CW49)/CW15</f>
        <v>0</v>
      </c>
      <c r="CX317" s="221">
        <f>SUM(CX15,CX49)/CX15</f>
        <v>0</v>
      </c>
    </row>
    <row r="318" customFormat="1" s="233">
      <c r="A318" s="224" t="n"/>
      <c r="B318" s="224" t="n"/>
      <c r="C318" s="233" t="inlineStr">
        <is>
          <t>EBIT MARGIN</t>
        </is>
      </c>
      <c r="D318" s="236">
        <f>(D68/D15)</f>
        <v>0</v>
      </c>
      <c r="E318" s="236">
        <f>(E68/E15)</f>
        <v>0</v>
      </c>
      <c r="F318" s="236">
        <f>(F68/F15)</f>
        <v>0</v>
      </c>
      <c r="G318" s="236">
        <f>(G68/G15)</f>
        <v>0</v>
      </c>
      <c r="I318" s="222">
        <f>(I68/I15)</f>
        <v>0</v>
      </c>
      <c r="J318" s="222">
        <f>(J68/J15)</f>
        <v>0</v>
      </c>
      <c r="K318" s="222">
        <f>(K68/K15)</f>
        <v>0</v>
      </c>
      <c r="L318" s="222">
        <f>(L68/L15)</f>
        <v>0</v>
      </c>
      <c r="N318" s="222">
        <f>(N68/N15)</f>
        <v>0</v>
      </c>
      <c r="O318" s="222">
        <f>(O68/O15)</f>
        <v>0</v>
      </c>
      <c r="P318" s="222">
        <f>(P68/P15)</f>
        <v>0</v>
      </c>
      <c r="Q318" s="222">
        <f>(Q68/Q15)</f>
        <v>0</v>
      </c>
      <c r="S318" s="222">
        <f>(S68/S15)</f>
        <v>0</v>
      </c>
      <c r="T318" s="222">
        <f>(T68/T15)</f>
        <v>0</v>
      </c>
      <c r="U318" s="222">
        <f>(U68/U15)</f>
        <v>0</v>
      </c>
      <c r="V318" s="222">
        <f>(V68/V15)</f>
        <v>0</v>
      </c>
      <c r="X318" s="222">
        <f>(X68/X15)</f>
        <v>0</v>
      </c>
      <c r="Y318" s="222">
        <f>(Y68/Y15)</f>
        <v>0</v>
      </c>
      <c r="Z318" s="222">
        <f>(Z68/Z15)</f>
        <v>0</v>
      </c>
      <c r="AA318" s="222">
        <f>(AA68/AA15)</f>
        <v>0</v>
      </c>
      <c r="AC318" s="222">
        <f>(AC68/AC15)</f>
        <v>0</v>
      </c>
      <c r="AD318" s="222">
        <f>(AD68/AD15)</f>
        <v>0</v>
      </c>
      <c r="AE318" s="222">
        <f>(AE68/AE15)</f>
        <v>0</v>
      </c>
      <c r="AF318" s="222">
        <f>(AF68/AF15)</f>
        <v>0</v>
      </c>
      <c r="AH318" s="222">
        <f>(AH68/AH15)</f>
        <v>0</v>
      </c>
      <c r="AI318" s="222">
        <f>(AI68/AI15)</f>
        <v>0</v>
      </c>
      <c r="AJ318" s="222">
        <f>(AJ68/AJ15)</f>
        <v>0</v>
      </c>
      <c r="AK318" s="222">
        <f>(AK68/AK15)</f>
        <v>0</v>
      </c>
      <c r="AM318" s="222">
        <f>(AM68/AM15)</f>
        <v>0</v>
      </c>
      <c r="AN318" s="222">
        <f>(AN68/AN15)</f>
        <v>0</v>
      </c>
      <c r="AO318" s="222">
        <f>(AO68/AO15)</f>
        <v>0</v>
      </c>
      <c r="AP318" s="222">
        <f>(AP68/AP15)</f>
        <v>0</v>
      </c>
      <c r="AR318" s="222">
        <f>(AR68/AR15)</f>
        <v>0</v>
      </c>
      <c r="AS318" s="222">
        <f>(AS68/AS15)</f>
        <v>0</v>
      </c>
      <c r="AT318" s="222">
        <f>(AT68/AT15)</f>
        <v>0</v>
      </c>
      <c r="AU318" s="222">
        <f>(AU68/AU15)</f>
        <v>0</v>
      </c>
      <c r="AW318" s="222">
        <f>(AW68/AW15)</f>
        <v>0</v>
      </c>
      <c r="AX318" s="222">
        <f>(AX68/AX15)</f>
        <v>0</v>
      </c>
      <c r="AY318" s="222">
        <f>(AY68/AY15)</f>
        <v>0</v>
      </c>
      <c r="AZ318" s="222">
        <f>(AZ68/AZ15)</f>
        <v>0</v>
      </c>
      <c r="BB318" s="222">
        <f>(BB68/BB15)</f>
        <v>0</v>
      </c>
      <c r="BC318" s="222">
        <f>(BC68/BC15)</f>
        <v>0</v>
      </c>
      <c r="BD318" s="222">
        <f>(BD68/BD15)</f>
        <v>0</v>
      </c>
      <c r="BE318" s="222">
        <f>(BE68/BE15)</f>
        <v>0</v>
      </c>
      <c r="BG318" s="222">
        <f>(BG68/BG15)</f>
        <v>0</v>
      </c>
      <c r="BH318" s="222">
        <f>(BH68/BH15)</f>
        <v>0</v>
      </c>
      <c r="BI318" s="222">
        <f>(BI68/BI15)</f>
        <v>0</v>
      </c>
      <c r="BJ318" s="222">
        <f>(BJ68/BJ15)</f>
        <v>0</v>
      </c>
      <c r="BL318" s="222">
        <f>(BL68/BL15)</f>
        <v>0</v>
      </c>
      <c r="BM318" s="222">
        <f>(BM68/BM15)</f>
        <v>0</v>
      </c>
      <c r="BN318" s="222">
        <f>(BN68/BN15)</f>
        <v>0</v>
      </c>
      <c r="BO318" s="222">
        <f>(BO68/BO15)</f>
        <v>0</v>
      </c>
      <c r="BQ318" s="222">
        <f>(BQ68/BQ15)</f>
        <v>0</v>
      </c>
      <c r="BR318" s="222">
        <f>(BR68/BR15)</f>
        <v>0</v>
      </c>
      <c r="BS318" s="222">
        <f>(BS68/BS15)</f>
        <v>0</v>
      </c>
      <c r="BT318" s="222">
        <f>(BT68/BT15)</f>
        <v>0</v>
      </c>
      <c r="BV318" s="222">
        <f>(BV68/BV15)</f>
        <v>0</v>
      </c>
      <c r="BW318" s="222">
        <f>(BW68/BW15)</f>
        <v>0</v>
      </c>
      <c r="BX318" s="222">
        <f>(BX68/BX15)</f>
        <v>0</v>
      </c>
      <c r="BY318" s="222">
        <f>(BY68/BY15)</f>
        <v>0</v>
      </c>
      <c r="CA318" s="222">
        <f>(CA68/CA15)</f>
        <v>0</v>
      </c>
      <c r="CB318" s="222">
        <f>(CB68/CB15)</f>
        <v>0</v>
      </c>
      <c r="CC318" s="222">
        <f>(CC68/CC15)</f>
        <v>0</v>
      </c>
      <c r="CD318" s="222">
        <f>(CD68/CD15)</f>
        <v>0</v>
      </c>
      <c r="CF318" s="222">
        <f>(CF68/CF15)</f>
        <v>0</v>
      </c>
      <c r="CG318" s="222">
        <f>(CG68/CG15)</f>
        <v>0</v>
      </c>
      <c r="CH318" s="222">
        <f>(CH68/CH15)</f>
        <v>0</v>
      </c>
      <c r="CI318" s="222">
        <f>(CI68/CI15)</f>
        <v>0</v>
      </c>
      <c r="CK318" s="222">
        <f>(CK68/CK15)</f>
        <v>0</v>
      </c>
      <c r="CL318" s="222">
        <f>(CL68/CL15)</f>
        <v>0</v>
      </c>
      <c r="CM318" s="222">
        <f>(CM68/CM15)</f>
        <v>0</v>
      </c>
      <c r="CN318" s="222">
        <f>(CN68/CN15)</f>
        <v>0</v>
      </c>
      <c r="CP318" s="222">
        <f>(CP68/CP15)</f>
        <v>0</v>
      </c>
      <c r="CQ318" s="222">
        <f>(CQ68/CQ15)</f>
        <v>0</v>
      </c>
      <c r="CR318" s="222">
        <f>(CR68/CR15)</f>
        <v>0</v>
      </c>
      <c r="CS318" s="222">
        <f>(CS68/CS15)</f>
        <v>0</v>
      </c>
      <c r="CU318" s="222">
        <f>(CU68/CU15)</f>
        <v>0</v>
      </c>
      <c r="CV318" s="222">
        <f>(CV68/CV15)</f>
        <v>0</v>
      </c>
      <c r="CW318" s="222">
        <f>(CW68/CW15)</f>
        <v>0</v>
      </c>
      <c r="CX318" s="222">
        <f>(CX68/CX15)</f>
        <v>0</v>
      </c>
    </row>
    <row r="319" customFormat="1" s="233">
      <c r="A319" s="224" t="n"/>
      <c r="B319" s="224" t="n"/>
      <c r="C319" s="233" t="inlineStr">
        <is>
          <t>EBITDA MARTGIN</t>
        </is>
      </c>
      <c r="D319" s="236">
        <f>D64/D15</f>
        <v>0.0466910133451655</v>
      </c>
      <c r="E319" s="236">
        <f>E64/E15</f>
        <v>0.0589882532639925</v>
      </c>
      <c r="F319" s="236">
        <f>F64/F15</f>
        <v>0.0624324983451207</v>
      </c>
      <c r="G319" s="236">
        <f>G64/G15</f>
        <v>0.0493951612903226</v>
      </c>
      <c r="I319" s="222">
        <f>I64/I15</f>
        <v>0.0514723169154813</v>
      </c>
      <c r="J319" s="222">
        <f>J64/J15</f>
        <v>0.0547914719366182</v>
      </c>
      <c r="K319" s="222">
        <f>K64/K15</f>
        <v>0.0564463737302149</v>
      </c>
      <c r="L319" s="222">
        <f>L64/L15</f>
        <v>0.0557131964149552</v>
      </c>
      <c r="N319" s="222">
        <f>N64/N15</f>
        <v>0.0557874519846351</v>
      </c>
      <c r="O319" s="222">
        <f>O64/O15</f>
        <v>0.0537762022194821</v>
      </c>
      <c r="P319" s="222">
        <f>P64/P15</f>
        <v>0.0522790134839229</v>
      </c>
      <c r="Q319" s="222">
        <f>Q64/Q15</f>
        <v>0.0513571995946205</v>
      </c>
      <c r="S319" s="222">
        <f>S64/S15</f>
        <v>0.0520545977011495</v>
      </c>
      <c r="T319" s="222">
        <f>T64/T15</f>
        <v>0.0440682859927095</v>
      </c>
      <c r="U319" s="222">
        <f>U64/U15</f>
        <v>0.0432695344577096</v>
      </c>
      <c r="V319" s="222">
        <f>V64/V15</f>
        <v>0.0414501678534009</v>
      </c>
      <c r="X319" s="222">
        <f>X64/X15</f>
        <v>0.0456888686131387</v>
      </c>
      <c r="Y319" s="222">
        <f>Y64/Y15</f>
        <v>0.0366634816151749</v>
      </c>
      <c r="Z319" s="222">
        <f>Z64/Z15</f>
        <v>0.0408074061770594</v>
      </c>
      <c r="AA319" s="222">
        <f>AA64/AA15</f>
        <v>0.0358240718846062</v>
      </c>
      <c r="AC319" s="222">
        <f>AC64/AC15</f>
        <v>0.036357922853327</v>
      </c>
      <c r="AD319" s="222">
        <f>AD64/AD15</f>
        <v>0.0307558812186656</v>
      </c>
      <c r="AE319" s="222">
        <f>AE64/AE15</f>
        <v>0.0267033316667424</v>
      </c>
      <c r="AF319" s="222">
        <f>AF64/AF15</f>
        <v>0.0303597346050177</v>
      </c>
      <c r="AH319" s="222">
        <f>AH64/AH15</f>
        <v>0.025708369109551</v>
      </c>
      <c r="AI319" s="222">
        <f>AI64/AI15</f>
        <v>0.0232436667537216</v>
      </c>
      <c r="AJ319" s="222">
        <f>AJ64/AJ15</f>
        <v>0</v>
      </c>
      <c r="AK319" s="222">
        <f>AK64/AK15</f>
        <v>0</v>
      </c>
      <c r="AM319" s="222">
        <f>AM64/AM15</f>
        <v>0</v>
      </c>
      <c r="AN319" s="222">
        <f>AN64/AN15</f>
        <v>0</v>
      </c>
      <c r="AO319" s="222">
        <f>AO64/AO15</f>
        <v>0</v>
      </c>
      <c r="AP319" s="222">
        <f>AP64/AP15</f>
        <v>0</v>
      </c>
      <c r="AR319" s="222">
        <f>AR64/AR15</f>
        <v>0</v>
      </c>
      <c r="AS319" s="222">
        <f>AS64/AS15</f>
        <v>0</v>
      </c>
      <c r="AT319" s="222">
        <f>AT64/AT15</f>
        <v>0</v>
      </c>
      <c r="AU319" s="222">
        <f>AU64/AU15</f>
        <v>0</v>
      </c>
      <c r="AW319" s="222">
        <f>AW64/AW15</f>
        <v>0</v>
      </c>
      <c r="AX319" s="222">
        <f>AX64/AX15</f>
        <v>0</v>
      </c>
      <c r="AY319" s="222">
        <f>AY64/AY15</f>
        <v>0</v>
      </c>
      <c r="AZ319" s="222">
        <f>AZ64/AZ15</f>
        <v>0</v>
      </c>
      <c r="BB319" s="222">
        <f>BB64/BB15</f>
        <v>0</v>
      </c>
      <c r="BC319" s="222">
        <f>BC64/BC15</f>
        <v>0</v>
      </c>
      <c r="BD319" s="222">
        <f>BD64/BD15</f>
        <v>0</v>
      </c>
      <c r="BE319" s="222">
        <f>BE64/BE15</f>
        <v>0</v>
      </c>
      <c r="BG319" s="222">
        <f>BG64/BG15</f>
        <v>0</v>
      </c>
      <c r="BH319" s="222">
        <f>BH64/BH15</f>
        <v>0</v>
      </c>
      <c r="BI319" s="222">
        <f>BI64/BI15</f>
        <v>0</v>
      </c>
      <c r="BJ319" s="222">
        <f>BJ64/BJ15</f>
        <v>0</v>
      </c>
      <c r="BL319" s="222">
        <f>BL64/BL15</f>
        <v>0</v>
      </c>
      <c r="BM319" s="222">
        <f>BM64/BM15</f>
        <v>0</v>
      </c>
      <c r="BN319" s="222">
        <f>BN64/BN15</f>
        <v>0</v>
      </c>
      <c r="BO319" s="222">
        <f>BO64/BO15</f>
        <v>0</v>
      </c>
      <c r="BQ319" s="222">
        <f>BQ64/BQ15</f>
        <v>0</v>
      </c>
      <c r="BR319" s="222">
        <f>BR64/BR15</f>
        <v>0</v>
      </c>
      <c r="BS319" s="222">
        <f>BS64/BS15</f>
        <v>0</v>
      </c>
      <c r="BT319" s="222">
        <f>BT64/BT15</f>
        <v>0</v>
      </c>
      <c r="BV319" s="222">
        <f>BV64/BV15</f>
        <v>0</v>
      </c>
      <c r="BW319" s="222">
        <f>BW64/BW15</f>
        <v>0</v>
      </c>
      <c r="BX319" s="222">
        <f>BX64/BX15</f>
        <v>0</v>
      </c>
      <c r="BY319" s="222">
        <f>BY64/BY15</f>
        <v>0</v>
      </c>
      <c r="CA319" s="222">
        <f>CA64/CA15</f>
        <v>0</v>
      </c>
      <c r="CB319" s="222">
        <f>CB64/CB15</f>
        <v>0</v>
      </c>
      <c r="CC319" s="222">
        <f>CC64/CC15</f>
        <v>0</v>
      </c>
      <c r="CD319" s="222">
        <f>CD64/CD15</f>
        <v>0</v>
      </c>
      <c r="CF319" s="222">
        <f>CF64/CF15</f>
        <v>0</v>
      </c>
      <c r="CG319" s="222">
        <f>CG64/CG15</f>
        <v>0</v>
      </c>
      <c r="CH319" s="222">
        <f>CH64/CH15</f>
        <v>0</v>
      </c>
      <c r="CI319" s="222">
        <f>CI64/CI15</f>
        <v>0</v>
      </c>
      <c r="CK319" s="222">
        <f>CK64/CK15</f>
        <v>0</v>
      </c>
      <c r="CL319" s="222">
        <f>CL64/CL15</f>
        <v>0</v>
      </c>
      <c r="CM319" s="222">
        <f>CM64/CM15</f>
        <v>0</v>
      </c>
      <c r="CN319" s="222">
        <f>CN64/CN15</f>
        <v>0</v>
      </c>
      <c r="CP319" s="222">
        <f>CP64/CP15</f>
        <v>0</v>
      </c>
      <c r="CQ319" s="222">
        <f>CQ64/CQ15</f>
        <v>0</v>
      </c>
      <c r="CR319" s="222">
        <f>CR64/CR15</f>
        <v>0</v>
      </c>
      <c r="CS319" s="222">
        <f>CS64/CS15</f>
        <v>0</v>
      </c>
      <c r="CU319" s="222">
        <f>CU64/CU15</f>
        <v>0</v>
      </c>
      <c r="CV319" s="222">
        <f>CV64/CV15</f>
        <v>0</v>
      </c>
      <c r="CW319" s="222">
        <f>CW64/CW15</f>
        <v>0</v>
      </c>
      <c r="CX319" s="222">
        <f>CX64/CX15</f>
        <v>0</v>
      </c>
    </row>
    <row r="320" customFormat="1" s="233">
      <c r="A320" s="224" t="n"/>
      <c r="B320" s="224" t="n"/>
      <c r="C320" s="233" t="inlineStr">
        <is>
          <t>ETR</t>
        </is>
      </c>
      <c r="D320" s="236">
        <f>-D126/D125</f>
        <v>0.132984106196797</v>
      </c>
      <c r="E320" s="236">
        <f>-E126/E125</f>
        <v>0.140962462736509</v>
      </c>
      <c r="F320" s="236">
        <f>-F126/F125</f>
        <v>0.15919844141386</v>
      </c>
      <c r="G320" s="236">
        <f>-G126/G125</f>
        <v>0.142683568911749</v>
      </c>
      <c r="I320" s="222">
        <f>-I126/I125</f>
        <v>0.0820238417772961</v>
      </c>
      <c r="J320" s="222">
        <f>-J126/J125</f>
        <v>0.127799736495389</v>
      </c>
      <c r="K320" s="222">
        <f>-K126/K125</f>
        <v>0.108568216494018</v>
      </c>
      <c r="L320" s="222">
        <f>-L126/L125</f>
        <v>0.0618511875645416</v>
      </c>
      <c r="N320" s="222">
        <f>-N126/N125</f>
        <v>0.0733833268406701</v>
      </c>
      <c r="O320" s="222">
        <f>-O126/O125</f>
        <v>0.126867723897699</v>
      </c>
      <c r="P320" s="222">
        <f>-P126/P125</f>
        <v>0.0726924305333759</v>
      </c>
      <c r="Q320" s="222">
        <f>-Q126/Q125</f>
        <v>0.0757012020606754</v>
      </c>
      <c r="S320" s="222">
        <f>-S126/S125</f>
        <v>0.120808001568935</v>
      </c>
      <c r="T320" s="222">
        <f>-T126/T125</f>
        <v>0.155919383407535</v>
      </c>
      <c r="U320" s="222">
        <f>-U126/U125</f>
        <v>1.13436329588015</v>
      </c>
      <c r="V320" s="222">
        <f>-V126/V125</f>
        <v>0.127192283163265</v>
      </c>
      <c r="X320" s="222">
        <f>-X126/X125</f>
        <v>0.115610583178897</v>
      </c>
      <c r="Y320" s="222">
        <f>-Y126/Y125</f>
        <v>0.156431252132378</v>
      </c>
      <c r="Z320" s="222">
        <f>-Z126/Z125</f>
        <v>0.38913371946613</v>
      </c>
      <c r="AA320" s="222">
        <f>-AA126/AA125</f>
        <v>0.124813940103598</v>
      </c>
      <c r="AC320" s="222">
        <f>-AC126/AC125</f>
        <v>0.201678240740741</v>
      </c>
      <c r="AD320" s="222">
        <f>-AD126/AD125</f>
        <v>0.164674634794157</v>
      </c>
      <c r="AE320" s="222">
        <f>-AE126/AE125</f>
        <v>0.228126209833527</v>
      </c>
      <c r="AF320" s="222">
        <f>-AF126/AF125</f>
        <v>0.197007089109869</v>
      </c>
      <c r="AH320" s="222">
        <f>-AH126/AH125</f>
        <v>0.164293785310734</v>
      </c>
      <c r="AI320" s="222">
        <f>-AI126/AI125</f>
        <v>0.232724126743809</v>
      </c>
      <c r="AJ320" s="222">
        <f>-AJ126/AJ125</f>
        <v>0</v>
      </c>
      <c r="AK320" s="222">
        <f>-AK126/AK125</f>
        <v>0</v>
      </c>
      <c r="AM320" s="222">
        <f>-AM126/AM125</f>
        <v>0</v>
      </c>
      <c r="AN320" s="222">
        <f>-AN126/AN125</f>
        <v>0</v>
      </c>
      <c r="AO320" s="222">
        <f>-AO126/AO125</f>
        <v>0</v>
      </c>
      <c r="AP320" s="222">
        <f>-AP126/AP125</f>
        <v>0</v>
      </c>
      <c r="AR320" s="222">
        <f>-AR126/AR125</f>
        <v>0</v>
      </c>
      <c r="AS320" s="222">
        <f>-AS126/AS125</f>
        <v>0</v>
      </c>
      <c r="AT320" s="222">
        <f>-AT126/AT125</f>
        <v>0</v>
      </c>
      <c r="AU320" s="222">
        <f>-AU126/AU125</f>
        <v>0</v>
      </c>
      <c r="AW320" s="222">
        <f>-AW126/AW125</f>
        <v>0</v>
      </c>
      <c r="AX320" s="222">
        <f>-AX126/AX125</f>
        <v>0</v>
      </c>
      <c r="AY320" s="222">
        <f>-AY126/AY125</f>
        <v>0</v>
      </c>
      <c r="AZ320" s="222">
        <f>-AZ126/AZ125</f>
        <v>0</v>
      </c>
      <c r="BB320" s="222">
        <f>-BB126/BB125</f>
        <v>0</v>
      </c>
      <c r="BC320" s="222">
        <f>-BC126/BC125</f>
        <v>0</v>
      </c>
      <c r="BD320" s="222">
        <f>-BD126/BD125</f>
        <v>0</v>
      </c>
      <c r="BE320" s="222">
        <f>-BE126/BE125</f>
        <v>0</v>
      </c>
      <c r="BG320" s="222">
        <f>-BG126/BG125</f>
        <v>0</v>
      </c>
      <c r="BH320" s="222">
        <f>-BH126/BH125</f>
        <v>0</v>
      </c>
      <c r="BI320" s="222">
        <f>-BI126/BI125</f>
        <v>0</v>
      </c>
      <c r="BJ320" s="222">
        <f>-BJ126/BJ125</f>
        <v>0</v>
      </c>
      <c r="BL320" s="222">
        <f>-BL126/BL125</f>
        <v>0</v>
      </c>
      <c r="BM320" s="222">
        <f>-BM126/BM125</f>
        <v>0</v>
      </c>
      <c r="BN320" s="222">
        <f>-BN126/BN125</f>
        <v>0</v>
      </c>
      <c r="BO320" s="222">
        <f>-BO126/BO125</f>
        <v>0</v>
      </c>
      <c r="BQ320" s="222">
        <f>-BQ126/BQ125</f>
        <v>0</v>
      </c>
      <c r="BR320" s="222">
        <f>-BR126/BR125</f>
        <v>0</v>
      </c>
      <c r="BS320" s="222">
        <f>-BS126/BS125</f>
        <v>0</v>
      </c>
      <c r="BT320" s="222">
        <f>-BT126/BT125</f>
        <v>0</v>
      </c>
      <c r="BV320" s="222">
        <f>-BV126/BV125</f>
        <v>0</v>
      </c>
      <c r="BW320" s="222">
        <f>-BW126/BW125</f>
        <v>0</v>
      </c>
      <c r="BX320" s="222">
        <f>-BX126/BX125</f>
        <v>0</v>
      </c>
      <c r="BY320" s="222">
        <f>-BY126/BY125</f>
        <v>0</v>
      </c>
      <c r="CA320" s="222">
        <f>-CA126/CA125</f>
        <v>0</v>
      </c>
      <c r="CB320" s="222">
        <f>-CB126/CB125</f>
        <v>0</v>
      </c>
      <c r="CC320" s="222">
        <f>-CC126/CC125</f>
        <v>0</v>
      </c>
      <c r="CD320" s="222">
        <f>-CD126/CD125</f>
        <v>0</v>
      </c>
      <c r="CF320" s="222">
        <f>-CF126/CF125</f>
        <v>0</v>
      </c>
      <c r="CG320" s="222">
        <f>-CG126/CG125</f>
        <v>0</v>
      </c>
      <c r="CH320" s="222">
        <f>-CH126/CH125</f>
        <v>0</v>
      </c>
      <c r="CI320" s="222">
        <f>-CI126/CI125</f>
        <v>0</v>
      </c>
      <c r="CK320" s="222">
        <f>-CK126/CK125</f>
        <v>0</v>
      </c>
      <c r="CL320" s="222">
        <f>-CL126/CL125</f>
        <v>0</v>
      </c>
      <c r="CM320" s="222">
        <f>-CM126/CM125</f>
        <v>0</v>
      </c>
      <c r="CN320" s="222">
        <f>-CN126/CN125</f>
        <v>0</v>
      </c>
      <c r="CP320" s="222">
        <f>-CP126/CP125</f>
        <v>0</v>
      </c>
      <c r="CQ320" s="222">
        <f>-CQ126/CQ125</f>
        <v>0</v>
      </c>
      <c r="CR320" s="222">
        <f>-CR126/CR125</f>
        <v>0</v>
      </c>
      <c r="CS320" s="222">
        <f>-CS126/CS125</f>
        <v>0</v>
      </c>
      <c r="CU320" s="222">
        <f>-CU126/CU125</f>
        <v>0</v>
      </c>
      <c r="CV320" s="222">
        <f>-CV126/CV125</f>
        <v>0</v>
      </c>
      <c r="CW320" s="222">
        <f>-CW126/CW125</f>
        <v>0</v>
      </c>
      <c r="CX320" s="222">
        <f>-CX126/CX125</f>
        <v>0</v>
      </c>
    </row>
    <row r="321" customFormat="1" s="233">
      <c r="A321" s="224" t="n"/>
      <c r="B321" s="224" t="n"/>
    </row>
    <row r="322" customFormat="1" s="233">
      <c r="A322" s="224" t="n"/>
      <c r="B322" s="224" t="n"/>
      <c r="C322" s="234" t="inlineStr">
        <is>
          <t>CAPITAL STRUCTURE</t>
        </is>
      </c>
    </row>
    <row r="323" customFormat="1" s="233">
      <c r="A323" s="224" t="n"/>
      <c r="B323" s="224" t="n"/>
      <c r="C323" s="233" t="inlineStr">
        <is>
          <t>MARKET DEBT / EQUITY</t>
        </is>
      </c>
    </row>
    <row r="324" customFormat="1" s="233">
      <c r="A324" s="224" t="n"/>
      <c r="B324" s="224" t="n"/>
      <c r="C324" s="233" t="inlineStr">
        <is>
          <t>NET DEBT / (NET DEBT + MARKET CAP)</t>
        </is>
      </c>
    </row>
    <row r="325" customFormat="1" s="233">
      <c r="A325" s="224" t="n"/>
      <c r="B325" s="224" t="n"/>
    </row>
    <row r="326" customFormat="1" s="233">
      <c r="A326" s="224" t="n"/>
      <c r="B326" s="224" t="n"/>
      <c r="C326" s="234" t="inlineStr">
        <is>
          <t>FINANCIAL RISK RATIOS</t>
        </is>
      </c>
    </row>
    <row r="327" customFormat="1" s="233">
      <c r="A327" s="224" t="n"/>
      <c r="B327" s="224" t="n"/>
      <c r="C327" s="233" t="inlineStr">
        <is>
          <t>EBITDA / TOTAL INTEREST</t>
        </is>
      </c>
      <c r="D327" s="219">
        <f>IFERROR(D64/-D69,"")</f>
        <v>2.95783783783785</v>
      </c>
      <c r="E327" s="219">
        <f>IFERROR(E64/-E69,"")</f>
        <v>3.67383918459796</v>
      </c>
      <c r="F327" s="219">
        <f>IFERROR(F64/-F69,"")</f>
        <v>4</v>
      </c>
      <c r="G327" s="219">
        <f>IFERROR(G64/-G69,"")</f>
        <v>4.11995515695068</v>
      </c>
      <c r="I327" s="219">
        <f>IFERROR(I64/-I69,"")</f>
        <v>3.98974943052392</v>
      </c>
      <c r="J327" s="219">
        <f>IFERROR(J64/-J69,"")</f>
        <v>4.24971231300346</v>
      </c>
      <c r="K327" s="219">
        <f>IFERROR(K64/-K69,"")</f>
        <v>4.57296650717703</v>
      </c>
      <c r="L327" s="219">
        <f>IFERROR(L64/-L69,"")</f>
        <v>5.47542997542997</v>
      </c>
      <c r="N327" s="219">
        <f>IFERROR(N64/-N69,"")</f>
        <v>5.1319199057715</v>
      </c>
      <c r="O327" s="219">
        <f>IFERROR(O64/-O69,"")</f>
        <v>4.29679802955665</v>
      </c>
      <c r="P327" s="219">
        <f>IFERROR(P64/-P69,"")</f>
        <v>4.45276073619631</v>
      </c>
      <c r="Q327" s="219">
        <f>IFERROR(Q64/-Q69,"")</f>
        <v>4.46428571428571</v>
      </c>
      <c r="S327" s="219">
        <f>IFERROR(S64/-S69,"")</f>
        <v>3.52431906614786</v>
      </c>
      <c r="T327" s="219">
        <f>IFERROR(T64/-T69,"")</f>
        <v>3.04488778054864</v>
      </c>
      <c r="U327" s="219">
        <f>IFERROR(U64/-U69,"")</f>
        <v>3.29855537720707</v>
      </c>
      <c r="V327" s="219">
        <f>IFERROR(V64/-V69,"")</f>
        <v>2.80535455861071</v>
      </c>
      <c r="X327" s="219">
        <f>IFERROR(X64/-X69,"")</f>
        <v>2.23051224944321</v>
      </c>
      <c r="Y327" s="219">
        <f>IFERROR(Y64/-Y69,"")</f>
        <v>2.25708061002178</v>
      </c>
      <c r="Z327" s="219">
        <f>IFERROR(Z64/-Z69,"")</f>
        <v>2.42241826673586</v>
      </c>
      <c r="AA327" s="219">
        <f>IFERROR(AA64/-AA69,"")</f>
        <v>2.15754339118825</v>
      </c>
      <c r="AC327" s="219">
        <f>IFERROR(AC64/-AC69,"")</f>
        <v>1.89905621665982</v>
      </c>
      <c r="AD327" s="219">
        <f>IFERROR(AD64/-AD69,"")</f>
        <v>1.92168674698795</v>
      </c>
      <c r="AE327" s="219">
        <f>IFERROR(AE64/-AE69,"")</f>
        <v>2.61692650334075</v>
      </c>
      <c r="AF327" s="219">
        <f>IFERROR(AF64/-AF69,"")</f>
        <v>2.63117699910154</v>
      </c>
      <c r="AH327" s="219" t="str">
        <f>IFERROR(AH64/-AH69,"")</f>
        <v/>
      </c>
      <c r="AI327" s="219" t="str">
        <f>IFERROR(AI64/-AI69,"")</f>
        <v/>
      </c>
      <c r="AJ327" s="219" t="str">
        <f>IFERROR(AJ64/-AJ69,"")</f>
        <v/>
      </c>
      <c r="AK327" s="219" t="str">
        <f>IFERROR(AK64/-AK69,"")</f>
        <v/>
      </c>
      <c r="AM327" s="219" t="str">
        <f>IFERROR(AM64/-AM69,"")</f>
        <v/>
      </c>
      <c r="AN327" s="219" t="str">
        <f>IFERROR(AN64/-AN69,"")</f>
        <v/>
      </c>
      <c r="AO327" s="219" t="str">
        <f>IFERROR(AO64/-AO69,"")</f>
        <v/>
      </c>
      <c r="AP327" s="219" t="str">
        <f>IFERROR(AP64/-AP69,"")</f>
        <v/>
      </c>
      <c r="AR327" s="219" t="str">
        <f>IFERROR(AR64/-AR69,"")</f>
        <v/>
      </c>
      <c r="AS327" s="219" t="str">
        <f>IFERROR(AS64/-AS69,"")</f>
        <v/>
      </c>
      <c r="AT327" s="219" t="str">
        <f>IFERROR(AT64/-AT69,"")</f>
        <v/>
      </c>
      <c r="AU327" s="219" t="str">
        <f>IFERROR(AU64/-AU69,"")</f>
        <v/>
      </c>
      <c r="AW327" s="219" t="str">
        <f>IFERROR(AW64/-AW69,"")</f>
        <v/>
      </c>
      <c r="AX327" s="219" t="str">
        <f>IFERROR(AX64/-AX69,"")</f>
        <v/>
      </c>
      <c r="AY327" s="219" t="str">
        <f>IFERROR(AY64/-AY69,"")</f>
        <v/>
      </c>
      <c r="AZ327" s="219" t="str">
        <f>IFERROR(AZ64/-AZ69,"")</f>
        <v/>
      </c>
      <c r="BB327" s="219" t="str">
        <f>IFERROR(BB64/-BB69,"")</f>
        <v/>
      </c>
      <c r="BC327" s="219" t="str">
        <f>IFERROR(BC64/-BC69,"")</f>
        <v/>
      </c>
      <c r="BD327" s="219" t="str">
        <f>IFERROR(BD64/-BD69,"")</f>
        <v/>
      </c>
      <c r="BE327" s="219" t="str">
        <f>IFERROR(BE64/-BE69,"")</f>
        <v/>
      </c>
      <c r="BG327" s="219" t="str">
        <f>IFERROR(BG64/-BG69,"")</f>
        <v/>
      </c>
      <c r="BH327" s="219" t="str">
        <f>IFERROR(BH64/-BH69,"")</f>
        <v/>
      </c>
      <c r="BI327" s="219" t="str">
        <f>IFERROR(BI64/-BI69,"")</f>
        <v/>
      </c>
      <c r="BJ327" s="219" t="str">
        <f>IFERROR(BJ64/-BJ69,"")</f>
        <v/>
      </c>
      <c r="BL327" s="219" t="str">
        <f>IFERROR(BL64/-BL69,"")</f>
        <v/>
      </c>
      <c r="BM327" s="219" t="str">
        <f>IFERROR(BM64/-BM69,"")</f>
        <v/>
      </c>
      <c r="BN327" s="219" t="str">
        <f>IFERROR(BN64/-BN69,"")</f>
        <v/>
      </c>
      <c r="BO327" s="219" t="str">
        <f>IFERROR(BO64/-BO69,"")</f>
        <v/>
      </c>
      <c r="BQ327" s="219" t="str">
        <f>IFERROR(BQ64/-BQ69,"")</f>
        <v/>
      </c>
      <c r="BR327" s="219" t="str">
        <f>IFERROR(BR64/-BR69,"")</f>
        <v/>
      </c>
      <c r="BS327" s="219" t="str">
        <f>IFERROR(BS64/-BS69,"")</f>
        <v/>
      </c>
      <c r="BT327" s="219" t="str">
        <f>IFERROR(BT64/-BT69,"")</f>
        <v/>
      </c>
      <c r="BV327" s="219" t="str">
        <f>IFERROR(BV64/-BV69,"")</f>
        <v/>
      </c>
      <c r="BW327" s="219" t="str">
        <f>IFERROR(BW64/-BW69,"")</f>
        <v/>
      </c>
      <c r="BX327" s="219" t="str">
        <f>IFERROR(BX64/-BX69,"")</f>
        <v/>
      </c>
      <c r="BY327" s="219" t="str">
        <f>IFERROR(BY64/-BY69,"")</f>
        <v/>
      </c>
      <c r="CA327" s="219" t="str">
        <f>IFERROR(CA64/-CA69,"")</f>
        <v/>
      </c>
      <c r="CB327" s="219" t="str">
        <f>IFERROR(CB64/-CB69,"")</f>
        <v/>
      </c>
      <c r="CC327" s="219" t="str">
        <f>IFERROR(CC64/-CC69,"")</f>
        <v/>
      </c>
      <c r="CD327" s="219" t="str">
        <f>IFERROR(CD64/-CD69,"")</f>
        <v/>
      </c>
      <c r="CF327" s="219" t="str">
        <f>IFERROR(CF64/-CF69,"")</f>
        <v/>
      </c>
      <c r="CG327" s="219" t="str">
        <f>IFERROR(CG64/-CG69,"")</f>
        <v/>
      </c>
      <c r="CH327" s="219" t="str">
        <f>IFERROR(CH64/-CH69,"")</f>
        <v/>
      </c>
      <c r="CI327" s="219" t="str">
        <f>IFERROR(CI64/-CI69,"")</f>
        <v/>
      </c>
      <c r="CK327" s="219" t="str">
        <f>IFERROR(CK64/-CK69,"")</f>
        <v/>
      </c>
      <c r="CL327" s="219" t="str">
        <f>IFERROR(CL64/-CL69,"")</f>
        <v/>
      </c>
      <c r="CM327" s="219" t="str">
        <f>IFERROR(CM64/-CM69,"")</f>
        <v/>
      </c>
      <c r="CN327" s="219" t="str">
        <f>IFERROR(CN64/-CN69,"")</f>
        <v/>
      </c>
      <c r="CP327" s="219" t="str">
        <f>IFERROR(CP64/-CP69,"")</f>
        <v/>
      </c>
      <c r="CQ327" s="219" t="str">
        <f>IFERROR(CQ64/-CQ69,"")</f>
        <v/>
      </c>
      <c r="CR327" s="219" t="str">
        <f>IFERROR(CR64/-CR69,"")</f>
        <v/>
      </c>
      <c r="CS327" s="219" t="str">
        <f>IFERROR(CS64/-CS69,"")</f>
        <v/>
      </c>
      <c r="CU327" s="219" t="str">
        <f>IFERROR(CU64/-CU69,"")</f>
        <v/>
      </c>
      <c r="CV327" s="219" t="str">
        <f>IFERROR(CV64/-CV69,"")</f>
        <v/>
      </c>
      <c r="CW327" s="219" t="str">
        <f>IFERROR(CW64/-CW69,"")</f>
        <v/>
      </c>
      <c r="CX327" s="219" t="str">
        <f>IFERROR(CX64/-CX69,"")</f>
        <v/>
      </c>
    </row>
    <row r="328" customFormat="1" s="233">
      <c r="A328" s="224" t="n"/>
      <c r="B328" s="224" t="n"/>
      <c r="C328" s="233" t="inlineStr">
        <is>
          <t>(EBITDA - CAPEX) / TOTAL INTEREST</t>
        </is>
      </c>
      <c r="D328" s="219">
        <f>IFERROR((D64-D163)/-D69,"")</f>
        <v>2.95783783783785</v>
      </c>
      <c r="E328" s="219">
        <f>IFERROR((E64-E163)/-E69,"")</f>
        <v>-0.942242355605886</v>
      </c>
      <c r="F328" s="219">
        <f>IFERROR((F64-F163)/-F69,"")</f>
        <v>-3.3482142857143</v>
      </c>
      <c r="G328" s="219">
        <f>IFERROR((G64-G163)/-G69,"")</f>
        <v>-4.49327354260089</v>
      </c>
      <c r="I328" s="219">
        <f>IFERROR((I64-I163)/-I69,"")</f>
        <v>0.589977220956708</v>
      </c>
      <c r="J328" s="219">
        <f>IFERROR((J64-J163)/-J69,"")</f>
        <v>-2.59378596087456</v>
      </c>
      <c r="K328" s="219">
        <f>IFERROR((K64-K163)/-K69,"")</f>
        <v>-0.776315789473685</v>
      </c>
      <c r="L328" s="219">
        <f>IFERROR((L64-L163)/-L69,"")</f>
        <v>-0.794840294840306</v>
      </c>
      <c r="N328" s="219">
        <f>IFERROR((N64-N163)/-N69,"")</f>
        <v>-1.38515901060069</v>
      </c>
      <c r="O328" s="219">
        <f>IFERROR((O64-O163)/-O69,"")</f>
        <v>-0.314039408866999</v>
      </c>
      <c r="P328" s="219">
        <f>IFERROR((P64-P163)/-P69,"")</f>
        <v>-2.24662576687118</v>
      </c>
      <c r="Q328" s="219">
        <f>IFERROR((Q64-Q163)/-Q69,"")</f>
        <v>-9.91309523809525</v>
      </c>
      <c r="S328" s="219">
        <f>IFERROR((S64-S163)/-S69,"")</f>
        <v>-3.91245136186769</v>
      </c>
      <c r="T328" s="219">
        <f>IFERROR((T64-T163)/-T69,"")</f>
        <v>-6.07813798836243</v>
      </c>
      <c r="U328" s="219">
        <f>IFERROR((U64-U163)/-U69,"")</f>
        <v>-4.70144462279293</v>
      </c>
      <c r="V328" s="219">
        <f>IFERROR((V64-V163)/-V69,"")</f>
        <v>-7.60057887120116</v>
      </c>
      <c r="X328" s="219">
        <f>IFERROR((X64-X163)/-X69,"")</f>
        <v>-3.95545657015591</v>
      </c>
      <c r="Y328" s="219">
        <f>IFERROR((Y64-Y163)/-Y69,"")</f>
        <v>-6.56535947712419</v>
      </c>
      <c r="Z328" s="219">
        <f>IFERROR((Z64-Z163)/-Z69,"")</f>
        <v>-6.96626881162428</v>
      </c>
      <c r="AA328" s="219">
        <f>IFERROR((AA64-AA163)/-AA69,"")</f>
        <v>-4.1415220293725</v>
      </c>
      <c r="AC328" s="219">
        <f>IFERROR((AC64-AC163)/-AC69,"")</f>
        <v>-5.62864177267132</v>
      </c>
      <c r="AD328" s="219">
        <f>IFERROR((AD64-AD163)/-AD69,"")</f>
        <v>-8.255421686747</v>
      </c>
      <c r="AE328" s="219">
        <f>IFERROR((AE64-AE163)/-AE69,"")</f>
        <v>-9.94599109131403</v>
      </c>
      <c r="AF328" s="219">
        <f>IFERROR((AF64-AF163)/-AF69,"")</f>
        <v>-10.5974842767296</v>
      </c>
      <c r="AH328" s="219" t="str">
        <f>IFERROR((AH64-AH163)/-AH69,"")</f>
        <v/>
      </c>
      <c r="AI328" s="219" t="str">
        <f>IFERROR((AI64-AI163)/-AI69,"")</f>
        <v/>
      </c>
      <c r="AJ328" s="219" t="str">
        <f>IFERROR((AJ64-AJ163)/-AJ69,"")</f>
        <v/>
      </c>
      <c r="AK328" s="219" t="str">
        <f>IFERROR((AK64-AK163)/-AK69,"")</f>
        <v/>
      </c>
      <c r="AM328" s="219" t="str">
        <f>IFERROR((AM64-AM163)/-AM69,"")</f>
        <v/>
      </c>
      <c r="AN328" s="219" t="str">
        <f>IFERROR((AN64-AN163)/-AN69,"")</f>
        <v/>
      </c>
      <c r="AO328" s="219" t="str">
        <f>IFERROR((AO64-AO163)/-AO69,"")</f>
        <v/>
      </c>
      <c r="AP328" s="219" t="str">
        <f>IFERROR((AP64-AP163)/-AP69,"")</f>
        <v/>
      </c>
      <c r="AR328" s="219" t="str">
        <f>IFERROR((AR64-AR163)/-AR69,"")</f>
        <v/>
      </c>
      <c r="AS328" s="219" t="str">
        <f>IFERROR((AS64-AS163)/-AS69,"")</f>
        <v/>
      </c>
      <c r="AT328" s="219" t="str">
        <f>IFERROR((AT64-AT163)/-AT69,"")</f>
        <v/>
      </c>
      <c r="AU328" s="219" t="str">
        <f>IFERROR((AU64-AU163)/-AU69,"")</f>
        <v/>
      </c>
      <c r="AW328" s="219" t="str">
        <f>IFERROR((AW64-AW163)/-AW69,"")</f>
        <v/>
      </c>
      <c r="AX328" s="219" t="str">
        <f>IFERROR((AX64-AX163)/-AX69,"")</f>
        <v/>
      </c>
      <c r="AY328" s="219" t="str">
        <f>IFERROR((AY64-AY163)/-AY69,"")</f>
        <v/>
      </c>
      <c r="AZ328" s="219" t="str">
        <f>IFERROR((AZ64-AZ163)/-AZ69,"")</f>
        <v/>
      </c>
      <c r="BB328" s="219" t="str">
        <f>IFERROR((BB64-BB163)/-BB69,"")</f>
        <v/>
      </c>
      <c r="BC328" s="219" t="str">
        <f>IFERROR((BC64-BC163)/-BC69,"")</f>
        <v/>
      </c>
      <c r="BD328" s="219" t="str">
        <f>IFERROR((BD64-BD163)/-BD69,"")</f>
        <v/>
      </c>
      <c r="BE328" s="219" t="str">
        <f>IFERROR((BE64-BE163)/-BE69,"")</f>
        <v/>
      </c>
      <c r="BG328" s="219" t="str">
        <f>IFERROR((BG64-BG163)/-BG69,"")</f>
        <v/>
      </c>
      <c r="BH328" s="219" t="str">
        <f>IFERROR((BH64-BH163)/-BH69,"")</f>
        <v/>
      </c>
      <c r="BI328" s="219" t="str">
        <f>IFERROR((BI64-BI163)/-BI69,"")</f>
        <v/>
      </c>
      <c r="BJ328" s="219" t="str">
        <f>IFERROR((BJ64-BJ163)/-BJ69,"")</f>
        <v/>
      </c>
      <c r="BL328" s="219" t="str">
        <f>IFERROR((BL64-BL163)/-BL69,"")</f>
        <v/>
      </c>
      <c r="BM328" s="219" t="str">
        <f>IFERROR((BM64-BM163)/-BM69,"")</f>
        <v/>
      </c>
      <c r="BN328" s="219" t="str">
        <f>IFERROR((BN64-BN163)/-BN69,"")</f>
        <v/>
      </c>
      <c r="BO328" s="219" t="str">
        <f>IFERROR((BO64-BO163)/-BO69,"")</f>
        <v/>
      </c>
      <c r="BQ328" s="219" t="str">
        <f>IFERROR((BQ64-BQ163)/-BQ69,"")</f>
        <v/>
      </c>
      <c r="BR328" s="219" t="str">
        <f>IFERROR((BR64-BR163)/-BR69,"")</f>
        <v/>
      </c>
      <c r="BS328" s="219" t="str">
        <f>IFERROR((BS64-BS163)/-BS69,"")</f>
        <v/>
      </c>
      <c r="BT328" s="219" t="str">
        <f>IFERROR((BT64-BT163)/-BT69,"")</f>
        <v/>
      </c>
      <c r="BV328" s="219" t="str">
        <f>IFERROR((BV64-BV163)/-BV69,"")</f>
        <v/>
      </c>
      <c r="BW328" s="219" t="str">
        <f>IFERROR((BW64-BW163)/-BW69,"")</f>
        <v/>
      </c>
      <c r="BX328" s="219" t="str">
        <f>IFERROR((BX64-BX163)/-BX69,"")</f>
        <v/>
      </c>
      <c r="BY328" s="219" t="str">
        <f>IFERROR((BY64-BY163)/-BY69,"")</f>
        <v/>
      </c>
      <c r="CA328" s="219" t="str">
        <f>IFERROR((CA64-CA163)/-CA69,"")</f>
        <v/>
      </c>
      <c r="CB328" s="219" t="str">
        <f>IFERROR((CB64-CB163)/-CB69,"")</f>
        <v/>
      </c>
      <c r="CC328" s="219" t="str">
        <f>IFERROR((CC64-CC163)/-CC69,"")</f>
        <v/>
      </c>
      <c r="CD328" s="219" t="str">
        <f>IFERROR((CD64-CD163)/-CD69,"")</f>
        <v/>
      </c>
      <c r="CF328" s="219" t="str">
        <f>IFERROR((CF64-CF163)/-CF69,"")</f>
        <v/>
      </c>
      <c r="CG328" s="219" t="str">
        <f>IFERROR((CG64-CG163)/-CG69,"")</f>
        <v/>
      </c>
      <c r="CH328" s="219" t="str">
        <f>IFERROR((CH64-CH163)/-CH69,"")</f>
        <v/>
      </c>
      <c r="CI328" s="219" t="str">
        <f>IFERROR((CI64-CI163)/-CI69,"")</f>
        <v/>
      </c>
      <c r="CK328" s="219" t="str">
        <f>IFERROR((CK64-CK163)/-CK69,"")</f>
        <v/>
      </c>
      <c r="CL328" s="219" t="str">
        <f>IFERROR((CL64-CL163)/-CL69,"")</f>
        <v/>
      </c>
      <c r="CM328" s="219" t="str">
        <f>IFERROR((CM64-CM163)/-CM69,"")</f>
        <v/>
      </c>
      <c r="CN328" s="219" t="str">
        <f>IFERROR((CN64-CN163)/-CN69,"")</f>
        <v/>
      </c>
      <c r="CP328" s="219" t="str">
        <f>IFERROR((CP64-CP163)/-CP69,"")</f>
        <v/>
      </c>
      <c r="CQ328" s="219" t="str">
        <f>IFERROR((CQ64-CQ163)/-CQ69,"")</f>
        <v/>
      </c>
      <c r="CR328" s="219" t="str">
        <f>IFERROR((CR64-CR163)/-CR69,"")</f>
        <v/>
      </c>
      <c r="CS328" s="219" t="str">
        <f>IFERROR((CS64-CS163)/-CS69,"")</f>
        <v/>
      </c>
      <c r="CU328" s="219" t="str">
        <f>IFERROR((CU64-CU163)/-CU69,"")</f>
        <v/>
      </c>
      <c r="CV328" s="219" t="str">
        <f>IFERROR((CV64-CV163)/-CV69,"")</f>
        <v/>
      </c>
      <c r="CW328" s="219" t="str">
        <f>IFERROR((CW64-CW163)/-CW69,"")</f>
        <v/>
      </c>
      <c r="CX328" s="219" t="str">
        <f>IFERROR((CX64-CX163)/-CX69,"")</f>
        <v/>
      </c>
    </row>
    <row r="329" customFormat="1" s="233">
      <c r="A329" s="224" t="n"/>
      <c r="B329" s="224" t="n"/>
      <c r="C329" s="233" t="inlineStr">
        <is>
          <t>TOTAL DEBT / EBITDA LTM</t>
        </is>
      </c>
      <c r="D329" s="219" t="str">
        <f>""</f>
        <v/>
      </c>
      <c r="E329" s="219" t="str">
        <f>""</f>
        <v/>
      </c>
      <c r="F329" s="219" t="str">
        <f>""</f>
        <v/>
      </c>
      <c r="G329" s="219">
        <f>IFERROR(SUM(G207,G208,G209,G212,G230,G233)/(G64+F64+E64+D64),"")</f>
        <v>12.5351612659566</v>
      </c>
      <c r="I329" s="219">
        <f>IFERROR(SUM(I207,I208,I209,I212,I230,I233)/(I64+G64+F64+E64),"")</f>
        <v>11.5696844209624</v>
      </c>
      <c r="J329" s="219">
        <f>IFERROR(SUM(J207,J208,J209,J212,J230,J233)/(J64+I64+G64+F64),"")</f>
        <v>11.425181598063</v>
      </c>
      <c r="K329" s="219">
        <f>IFERROR(SUM(K207,K208,K209,K212,K230,K233)/(K64+J64+I64+G64),"")</f>
        <v>11.6274669933306</v>
      </c>
      <c r="L329" s="219">
        <f>IFERROR(SUM(L207,L208,L209,L212,L230,L233)/(L64+K64+J64+I64),"")</f>
        <v>10.9102481261308</v>
      </c>
      <c r="N329" s="219">
        <f>IFERROR(SUM(N207,N208,N209,N212,N230,N233)/(N64+L64+K64+J64),"")</f>
        <v>10.1094917330067</v>
      </c>
      <c r="O329" s="219">
        <f>IFERROR(SUM(O207,O208,O209,O212,O230,O233)/(O64+N64+L64+K64),"")</f>
        <v>10.4265161850428</v>
      </c>
      <c r="P329" s="219">
        <f>IFERROR(SUM(P207,P208,P209,P212,P230,P233)/(P64+O64+N64+L64),"")</f>
        <v>9.97263369319609</v>
      </c>
      <c r="Q329" s="219">
        <f>IFERROR(SUM(Q207,Q208,Q209,Q212,Q230,Q233)/(Q64+P64+O64+N64),"")</f>
        <v>10.6657471264368</v>
      </c>
      <c r="S329" s="219">
        <f>IFERROR(SUM(S207,S208,S209,S212,S230,S233)/(S64+Q64+P64+O64),"")</f>
        <v>13.0312607825547</v>
      </c>
      <c r="T329" s="219">
        <f>IFERROR(SUM(T207,T208,T209,T212,T230,T233)/(T64+S64+Q64+P64),"")</f>
        <v>12.8332765086942</v>
      </c>
      <c r="U329" s="219">
        <f>IFERROR(SUM(U207,U208,U209,U212,U230,U233)/(U64+T64+S64+Q64),"")</f>
        <v>13.3159249966988</v>
      </c>
      <c r="V329" s="219">
        <f>IFERROR(SUM(V207,V208,V209,V212,V230,V233)/(V64+U64+T64+S64),"")</f>
        <v>16.5162705427879</v>
      </c>
      <c r="X329" s="219">
        <f>IFERROR(SUM(X207,X208,X209,X212,X230,X233)/(X64+V64+U64+T64),"")</f>
        <v>16.7420797138477</v>
      </c>
      <c r="Y329" s="219">
        <f>IFERROR(SUM(Y207,Y208,Y209,Y212,Y230,Y233)/(Y64+X64+V64+U64),"")</f>
        <v>17.9041953275082</v>
      </c>
      <c r="Z329" s="219">
        <f>IFERROR(SUM(Z207,Z208,Z209,Z212,Z230,Z233)/(Z64+Y64+X64+V64),"")</f>
        <v>18.6401317759808</v>
      </c>
      <c r="AA329" s="219">
        <f>IFERROR(SUM(AA207,AA208,AA209,AA212,AA230,AA233)/(AA64+Z64+Y64+X64),"")</f>
        <v>19.0446054568097</v>
      </c>
      <c r="AC329" s="219">
        <f>IFERROR(SUM(AC207,AC208,AC209,AC212,AC230,AC233)/(AC64+AA64+Z64+Y64),"")</f>
        <v>21.0607502187227</v>
      </c>
      <c r="AD329" s="219">
        <f>IFERROR(SUM(AD207,AD208,AD209,AD212,AD230,AD233)/(AD64+AC64+AA64+Z64),"")</f>
        <v>21.0807755296107</v>
      </c>
      <c r="AE329" s="219">
        <f>IFERROR(SUM(AE207,AE208,AE209,AE212,AE230,AE233)/(AE64+AD64+AC64+AA64),"")</f>
        <v>22.4179104477612</v>
      </c>
      <c r="AF329" s="219">
        <f>IFERROR(SUM(AF207,AF208,AF209,AF212,AF230,AF233)/(AF64+AE64+AD64+AC64),"")</f>
        <v>21.2834251377066</v>
      </c>
      <c r="AH329" s="219">
        <f>IFERROR(SUM(AH207,AH208,AH209,AH212,AH230,AH233)/(AH64+AF64+AE64+AD64),"")</f>
        <v>21.2265074393109</v>
      </c>
      <c r="AI329" s="219">
        <f>IFERROR(SUM(AI207,AI208,AI209,AI212,AI230,AI233)/(AI64+AH64+AF64+AE64),"")</f>
        <v>26.1628627245438</v>
      </c>
      <c r="AJ329" s="219">
        <f>IFERROR(SUM(AJ207,AJ208,AJ209,AJ212,AJ230,AJ233)/(AJ64+AI64+AH64+AF64),"")</f>
        <v>33.71277706146</v>
      </c>
      <c r="AK329" s="219">
        <f>IFERROR(SUM(AK207,AK208,AK209,AK212,AK230,AK233)/(AK64+AJ64+AI64+AH64),"")</f>
        <v>52.6442953020134</v>
      </c>
      <c r="AM329" s="219">
        <f>IFERROR(SUM(AM207,AM208,AM209,AM212,AM230,AM233)/(AM64+AK64+AJ64+AI64),"")</f>
        <v>102.823970037453</v>
      </c>
      <c r="AN329" s="219" t="str">
        <f>IFERROR(SUM(AN207,AN208,AN209,AN212,AN230,AN233)/(AN64+AM64+AK64+AJ64),"")</f>
        <v/>
      </c>
      <c r="AO329" s="219" t="str">
        <f>IFERROR(SUM(AO207,AO208,AO209,AO212,AO230,AO233)/(AO64+AN64+AM64+AK64),"")</f>
        <v/>
      </c>
      <c r="AP329" s="219" t="str">
        <f>IFERROR(SUM(AP207,AP208,AP209,AP212,AP230,AP233)/(AP64+AO64+AN64+AM64),"")</f>
        <v/>
      </c>
      <c r="AR329" s="219" t="str">
        <f>IFERROR(SUM(AR207,AR208,AR209,AR212,AR230,AR233)/(AR64+AP64+AO64+AN64),"")</f>
        <v/>
      </c>
      <c r="AS329" s="219" t="str">
        <f>IFERROR(SUM(AS207,AS208,AS209,AS212,AS230,AS233)/(AS64+AR64+AP64+AO64),"")</f>
        <v/>
      </c>
      <c r="AT329" s="219" t="str">
        <f>IFERROR(SUM(AT207,AT208,AT209,AT212,AT230,AT233)/(AT64+AS64+AR64+AP64),"")</f>
        <v/>
      </c>
      <c r="AU329" s="219" t="str">
        <f>IFERROR(SUM(AU207,AU208,AU209,AU212,AU230,AU233)/(AU64+AT64+AS64+AR64),"")</f>
        <v/>
      </c>
      <c r="AW329" s="219" t="str">
        <f>IFERROR(SUM(AW207,AW208,AW209,AW212,AW230,AW233)/(AW64+AU64+AT64+AS64),"")</f>
        <v/>
      </c>
      <c r="AX329" s="219" t="str">
        <f>IFERROR(SUM(AX207,AX208,AX209,AX212,AX230,AX233)/(AX64+AW64+AU64+AT64),"")</f>
        <v/>
      </c>
      <c r="AY329" s="219" t="str">
        <f>IFERROR(SUM(AY207,AY208,AY209,AY212,AY230,AY233)/(AY64+AX64+AW64+AU64),"")</f>
        <v/>
      </c>
      <c r="AZ329" s="219" t="str">
        <f>IFERROR(SUM(AZ207,AZ208,AZ209,AZ212,AZ230,AZ233)/(AZ64+AY64+AX64+AW64),"")</f>
        <v/>
      </c>
      <c r="BB329" s="219" t="str">
        <f>IFERROR(SUM(BB207,BB208,BB209,BB212,BB230,BB233)/(BB64+AZ64+AY64+AX64),"")</f>
        <v/>
      </c>
      <c r="BC329" s="219" t="str">
        <f>IFERROR(SUM(BC207,BC208,BC209,BC212,BC230,BC233)/(BC64+BB64+AZ64+AY64),"")</f>
        <v/>
      </c>
      <c r="BD329" s="219" t="str">
        <f>IFERROR(SUM(BD207,BD208,BD209,BD212,BD230,BD233)/(BD64+BC64+BB64+AZ64),"")</f>
        <v/>
      </c>
      <c r="BE329" s="219" t="str">
        <f>IFERROR(SUM(BE207,BE208,BE209,BE212,BE230,BE233)/(BE64+BD64+BC64+BB64),"")</f>
        <v/>
      </c>
      <c r="BG329" s="219" t="str">
        <f>IFERROR(SUM(BG207,BG208,BG209,BG212,BG230,BG233)/(BG64+BE64+BD64+BC64),"")</f>
        <v/>
      </c>
      <c r="BH329" s="219" t="str">
        <f>IFERROR(SUM(BH207,BH208,BH209,BH212,BH230,BH233)/(BH64+BG64+BE64+BD64),"")</f>
        <v/>
      </c>
      <c r="BI329" s="219" t="str">
        <f>IFERROR(SUM(BI207,BI208,BI209,BI212,BI230,BI233)/(BI64+BH64+BG64+BE64),"")</f>
        <v/>
      </c>
      <c r="BJ329" s="219" t="str">
        <f>IFERROR(SUM(BJ207,BJ208,BJ209,BJ212,BJ230,BJ233)/(BJ64+BI64+BH64+BG64),"")</f>
        <v/>
      </c>
      <c r="BL329" s="219" t="str">
        <f>IFERROR(SUM(BL207,BL208,BL209,BL212,BL230,BL233)/(BL64+BJ64+BI64+BH64),"")</f>
        <v/>
      </c>
      <c r="BM329" s="219" t="str">
        <f>IFERROR(SUM(BM207,BM208,BM209,BM212,BM230,BM233)/(BM64+BL64+BJ64+BI64),"")</f>
        <v/>
      </c>
      <c r="BN329" s="219" t="str">
        <f>IFERROR(SUM(BN207,BN208,BN209,BN212,BN230,BN233)/(BN64+BM64+BL64+BJ64),"")</f>
        <v/>
      </c>
      <c r="BO329" s="219" t="str">
        <f>IFERROR(SUM(BO207,BO208,BO209,BO212,BO230,BO233)/(BO64+BN64+BM64+BL64),"")</f>
        <v/>
      </c>
      <c r="BQ329" s="219" t="str">
        <f>IFERROR(SUM(BQ207,BQ208,BQ209,BQ212,BQ230,BQ233)/(BQ64+BO64+BN64+BM64),"")</f>
        <v/>
      </c>
      <c r="BR329" s="219" t="str">
        <f>IFERROR(SUM(BR207,BR208,BR209,BR212,BR230,BR233)/(BR64+BQ64+BO64+BN64),"")</f>
        <v/>
      </c>
      <c r="BS329" s="219" t="str">
        <f>IFERROR(SUM(BS207,BS208,BS209,BS212,BS230,BS233)/(BS64+BR64+BQ64+BO64),"")</f>
        <v/>
      </c>
      <c r="BT329" s="219" t="str">
        <f>IFERROR(SUM(BT207,BT208,BT209,BT212,BT230,BT233)/(BT64+BS64+BR64+BQ64),"")</f>
        <v/>
      </c>
      <c r="BV329" s="219" t="str">
        <f>IFERROR(SUM(BV207,BV208,BV209,BV212,BV230,BV233)/(BV64+BT64+BS64+BR64),"")</f>
        <v/>
      </c>
      <c r="BW329" s="219" t="str">
        <f>IFERROR(SUM(BW207,BW208,BW209,BW212,BW230,BW233)/(BW64+BV64+BT64+BS64),"")</f>
        <v/>
      </c>
      <c r="BX329" s="219" t="str">
        <f>IFERROR(SUM(BX207,BX208,BX209,BX212,BX230,BX233)/(BX64+BW64+BV64+BT64),"")</f>
        <v/>
      </c>
      <c r="BY329" s="219" t="str">
        <f>IFERROR(SUM(BY207,BY208,BY209,BY212,BY230,BY233)/(BY64+BX64+BW64+BV64),"")</f>
        <v/>
      </c>
      <c r="CA329" s="219" t="str">
        <f>IFERROR(SUM(CA207,CA208,CA209,CA212,CA230,CA233)/(CA64+BY64+BX64+BW64),"")</f>
        <v/>
      </c>
      <c r="CB329" s="219" t="str">
        <f>IFERROR(SUM(CB207,CB208,CB209,CB212,CB230,CB233)/(CB64+CA64+BY64+BX64),"")</f>
        <v/>
      </c>
      <c r="CC329" s="219" t="str">
        <f>IFERROR(SUM(CC207,CC208,CC209,CC212,CC230,CC233)/(CC64+CB64+CA64+BY64),"")</f>
        <v/>
      </c>
      <c r="CD329" s="219" t="str">
        <f>IFERROR(SUM(CD207,CD208,CD209,CD212,CD230,CD233)/(CD64+CC64+CB64+CA64),"")</f>
        <v/>
      </c>
      <c r="CF329" s="219" t="str">
        <f>IFERROR(SUM(CF207,CF208,CF209,CF212,CF230,CF233)/(CF64+CD64+CC64+CB64),"")</f>
        <v/>
      </c>
      <c r="CG329" s="219" t="str">
        <f>IFERROR(SUM(CG207,CG208,CG209,CG212,CG230,CG233)/(CG64+CF64+CD64+CC64),"")</f>
        <v/>
      </c>
      <c r="CH329" s="219" t="str">
        <f>IFERROR(SUM(CH207,CH208,CH209,CH212,CH230,CH233)/(CH64+CG64+CF64+CD64),"")</f>
        <v/>
      </c>
      <c r="CI329" s="219" t="str">
        <f>IFERROR(SUM(CI207,CI208,CI209,CI212,CI230,CI233)/(CI64+CH64+CG64+CF64),"")</f>
        <v/>
      </c>
      <c r="CK329" s="219" t="str">
        <f>IFERROR(SUM(CK207,CK208,CK209,CK212,CK230,CK233)/(CK64+CI64+CH64+CG64),"")</f>
        <v/>
      </c>
      <c r="CL329" s="219" t="str">
        <f>IFERROR(SUM(CL207,CL208,CL209,CL212,CL230,CL233)/(CL64+CK64+CI64+CH64),"")</f>
        <v/>
      </c>
      <c r="CM329" s="219" t="str">
        <f>IFERROR(SUM(CM207,CM208,CM209,CM212,CM230,CM233)/(CM64+CL64+CK64+CI64),"")</f>
        <v/>
      </c>
      <c r="CN329" s="219" t="str">
        <f>IFERROR(SUM(CN207,CN208,CN209,CN212,CN230,CN233)/(CN64+CM64+CL64+CK64),"")</f>
        <v/>
      </c>
      <c r="CP329" s="219" t="str">
        <f>IFERROR(SUM(CP207,CP208,CP209,CP212,CP230,CP233)/(CP64+CN64+CM64+CL64),"")</f>
        <v/>
      </c>
      <c r="CQ329" s="219" t="str">
        <f>IFERROR(SUM(CQ207,CQ208,CQ209,CQ212,CQ230,CQ233)/(CQ64+CP64+CN64+CM64),"")</f>
        <v/>
      </c>
      <c r="CR329" s="219" t="str">
        <f>IFERROR(SUM(CR207,CR208,CR209,CR212,CR230,CR233)/(CR64+CQ64+CP64+CN64),"")</f>
        <v/>
      </c>
      <c r="CS329" s="219" t="str">
        <f>IFERROR(SUM(CS207,CS208,CS209,CS212,CS230,CS233)/(CS64+CR64+CQ64+CP64),"")</f>
        <v/>
      </c>
      <c r="CU329" s="219" t="str">
        <f>IFERROR(SUM(CU207,CU208,CU209,CU212,CU230,CU233)/(CU64+CS64+CR64+CQ64),"")</f>
        <v/>
      </c>
      <c r="CV329" s="219" t="str">
        <f>IFERROR(SUM(CV207,CV208,CV209,CV212,CV230,CV233)/(CV64+CU64+CS64+CR64),"")</f>
        <v/>
      </c>
      <c r="CW329" s="219" t="str">
        <f>IFERROR(SUM(CW207,CW208,CW209,CW212,CW230,CW233)/(CW64+CV64+CU64+CS64),"")</f>
        <v/>
      </c>
      <c r="CX329" s="219" t="str">
        <f>IFERROR(SUM(CX207,CX208,CX209,CX212,CX230,CX233)/(CX64+CW64+CV64+CU64),"")</f>
        <v/>
      </c>
    </row>
    <row r="330" customFormat="1" s="233">
      <c r="A330" s="224" t="n"/>
      <c r="B330" s="224" t="n"/>
      <c r="C330" s="233" t="inlineStr">
        <is>
          <t>TOTAL DEBT / TOTAL CAPITALIZATION</t>
        </is>
      </c>
      <c r="D330" s="221">
        <f>SUM(D207+D208+D209+D212+D230+D233)/(SUM(D207+D208+D209+D212+D230+D233)+D266)</f>
        <v>0.843485497491127</v>
      </c>
      <c r="E330" s="221">
        <f>SUM(E207+E208+E209+E212+E230+E233)/(SUM(E207+E208+E209+E212+E230+E233)+E266)</f>
        <v>0.792623372588616</v>
      </c>
      <c r="F330" s="221">
        <f>SUM(F207+F208+F209+F212+F230+F233)/(SUM(F207+F208+F209+F212+F230+F233)+F266)</f>
        <v>0.772060534444135</v>
      </c>
      <c r="G330" s="221">
        <f>SUM(G207+G208+G209+G212+G230+G233)/(SUM(G207+G208+G209+G212+G230+G233)+G266)</f>
        <v>0.740184206418233</v>
      </c>
      <c r="I330" s="221">
        <f>SUM(I207+I208+I209+I212+I230+I233)/(SUM(I207+I208+I209+I212+I230+I233)+I266)</f>
        <v>0.695358696864889</v>
      </c>
      <c r="J330" s="221">
        <f>SUM(J207+J208+J209+J212+J230+J233)/(SUM(J207+J208+J209+J212+J230+J233)+J266)</f>
        <v>0.712514992277359</v>
      </c>
      <c r="K330" s="221">
        <f>SUM(K207+K208+K209+K212+K230+K233)/(SUM(K207+K208+K209+K212+K230+K233)+K266)</f>
        <v>0.682337906108349</v>
      </c>
      <c r="L330" s="221">
        <f>SUM(L207+L208+L209+L212+L230+L233)/(SUM(L207+L208+L209+L212+L230+L233)+L266)</f>
        <v>0.648426429078899</v>
      </c>
      <c r="N330" s="221">
        <f>SUM(N207+N208+N209+N212+N230+N233)/(SUM(N207+N208+N209+N212+N230+N233)+N266)</f>
        <v>0.635667749934542</v>
      </c>
      <c r="O330" s="221">
        <f>SUM(O207+O208+O209+O212+O230+O233)/(SUM(O207+O208+O209+O212+O230+O233)+O266)</f>
        <v>0.660063596749499</v>
      </c>
      <c r="P330" s="221">
        <f>SUM(P207+P208+P209+P212+P230+P233)/(SUM(P207+P208+P209+P212+P230+P233)+P266)</f>
        <v>0.609818724740254</v>
      </c>
      <c r="Q330" s="221">
        <f>SUM(Q207+Q208+Q209+Q212+Q230+Q233)/(SUM(Q207+Q208+Q209+Q212+Q230+Q233)+Q266)</f>
        <v>0.601117938846524</v>
      </c>
      <c r="S330" s="221">
        <f>SUM(S207+S208+S209+S212+S230+S233)/(SUM(S207+S208+S209+S212+S230+S233)+S266)</f>
        <v>0.625730238414765</v>
      </c>
      <c r="T330" s="221">
        <f>SUM(T207+T208+T209+T212+T230+T233)/(SUM(T207+T208+T209+T212+T230+T233)+T266)</f>
        <v>0.627975962067849</v>
      </c>
      <c r="U330" s="221">
        <f>SUM(U207+U208+U209+U212+U230+U233)/(SUM(U207+U208+U209+U212+U230+U233)+U266)</f>
        <v>0.640757790930781</v>
      </c>
      <c r="V330" s="221">
        <f>SUM(V207+V208+V209+V212+V230+V233)/(SUM(V207+V208+V209+V212+V230+V233)+V266)</f>
        <v>0.698974756851118</v>
      </c>
      <c r="X330" s="221">
        <f>SUM(X207+X208+X209+X212+X230+X233)/(SUM(X207+X208+X209+X212+X230+X233)+X266)</f>
        <v>0.670217444667185</v>
      </c>
      <c r="Y330" s="221">
        <f>SUM(Y207+Y208+Y209+Y212+Y230+Y233)/(SUM(Y207+Y208+Y209+Y212+Y230+Y233)+Y266)</f>
        <v>0.67937217094821</v>
      </c>
      <c r="Z330" s="221">
        <f>SUM(Z207+Z208+Z209+Z212+Z230+Z233)/(SUM(Z207+Z208+Z209+Z212+Z230+Z233)+Z266)</f>
        <v>0.684846524238343</v>
      </c>
      <c r="AA330" s="221">
        <f>SUM(AA207+AA208+AA209+AA212+AA230+AA233)/(SUM(AA207+AA208+AA209+AA212+AA230+AA233)+AA266)</f>
        <v>0.702152525889164</v>
      </c>
      <c r="AC330" s="221">
        <f>SUM(AC207+AC208+AC209+AC212+AC230+AC233)/(SUM(AC207+AC208+AC209+AC212+AC230+AC233)+AC266)</f>
        <v>0.708498658087255</v>
      </c>
      <c r="AD330" s="221">
        <f>SUM(AD207+AD208+AD209+AD212+AD230+AD233)/(SUM(AD207+AD208+AD209+AD212+AD230+AD233)+AD266)</f>
        <v>0.685009673338151</v>
      </c>
      <c r="AE330" s="221">
        <f>SUM(AE207+AE208+AE209+AE212+AE230+AE233)/(SUM(AE207+AE208+AE209+AE212+AE230+AE233)+AE266)</f>
        <v>0.640570607046087</v>
      </c>
      <c r="AF330" s="221">
        <f>SUM(AF207+AF208+AF209+AF212+AF230+AF233)/(SUM(AF207+AF208+AF209+AF212+AF230+AF233)+AF266)</f>
        <v>0.615842703141301</v>
      </c>
      <c r="AH330" s="221">
        <f>SUM(AH207+AH208+AH209+AH212+AH230+AH233)/(SUM(AH207+AH208+AH209+AH212+AH230+AH233)+AH266)</f>
        <v>0.581765013615206</v>
      </c>
      <c r="AI330" s="221">
        <f>SUM(AI207+AI208+AI209+AI212+AI230+AI233)/(SUM(AI207+AI208+AI209+AI212+AI230+AI233)+AI266)</f>
        <v>0.618807194698643</v>
      </c>
      <c r="AJ330" s="221">
        <f>SUM(AJ207+AJ208+AJ209+AJ212+AJ230+AJ233)/(SUM(AJ207+AJ208+AJ209+AJ212+AJ230+AJ233)+AJ266)</f>
        <v>0.562685741222767</v>
      </c>
      <c r="AK330" s="221">
        <f>SUM(AK207+AK208+AK209+AK212+AK230+AK233)/(SUM(AK207+AK208+AK209+AK212+AK230+AK233)+AK266)</f>
        <v>0.51398028625186</v>
      </c>
      <c r="AM330" s="221">
        <f>SUM(AM207+AM208+AM209+AM212+AM230+AM233)/(SUM(AM207+AM208+AM209+AM212+AM230+AM233)+AM266)</f>
        <v>0.473034908163617</v>
      </c>
      <c r="AN330" s="221">
        <f>SUM(AN207+AN208+AN209+AN212+AN230+AN233)/(SUM(AN207+AN208+AN209+AN212+AN230+AN233)+AN266)</f>
        <v>0.360596309187627</v>
      </c>
      <c r="AO330" s="221">
        <f>SUM(AO207+AO208+AO209+AO212+AO230+AO233)/(SUM(AO207+AO208+AO209+AO212+AO230+AO233)+AO266)</f>
        <v>0.339951831695735</v>
      </c>
      <c r="AP330" s="221">
        <f>SUM(AP207+AP208+AP209+AP212+AP230+AP233)/(SUM(AP207+AP208+AP209+AP212+AP230+AP233)+AP266)</f>
        <v>0.277718488096262</v>
      </c>
      <c r="AR330" s="221">
        <f>SUM(AR207+AR208+AR209+AR212+AR230+AR233)/(SUM(AR207+AR208+AR209+AR212+AR230+AR233)+AR266)</f>
        <v>0.234744875056113</v>
      </c>
      <c r="AS330" s="221">
        <f>SUM(AS207+AS208+AS209+AS212+AS230+AS233)/(SUM(AS207+AS208+AS209+AS212+AS230+AS233)+AS266)</f>
        <v>0.169058490641559</v>
      </c>
      <c r="AT330" s="221">
        <f>SUM(AT207+AT208+AT209+AT212+AT230+AT233)/(SUM(AT207+AT208+AT209+AT212+AT230+AT233)+AT266)</f>
        <v>0.152107728661619</v>
      </c>
      <c r="AU330" s="221">
        <f>SUM(AU207+AU208+AU209+AU212+AU230+AU233)/(SUM(AU207+AU208+AU209+AU212+AU230+AU233)+AU266)</f>
        <v>0.121514706891248</v>
      </c>
      <c r="AW330" s="221">
        <f>SUM(AW207+AW208+AW209+AW212+AW230+AW233)/(SUM(AW207+AW208+AW209+AW212+AW230+AW233)+AW266)</f>
        <v>0.101167214806217</v>
      </c>
      <c r="AX330" s="221">
        <f>SUM(AX207+AX208+AX209+AX212+AX230+AX233)/(SUM(AX207+AX208+AX209+AX212+AX230+AX233)+AX266)</f>
        <v>0.0689022546201077</v>
      </c>
      <c r="AY330" s="221">
        <f>SUM(AY207+AY208+AY209+AY212+AY230+AY233)/(SUM(AY207+AY208+AY209+AY212+AY230+AY233)+AY266)</f>
        <v>0.0618487258653336</v>
      </c>
      <c r="AZ330" s="221">
        <f>SUM(AZ207+AZ208+AZ209+AZ212+AZ230+AZ233)/(SUM(AZ207+AZ208+AZ209+AZ212+AZ230+AZ233)+AZ266)</f>
        <v>0.0480834656384668</v>
      </c>
      <c r="BB330" s="221">
        <f>SUM(BB207+BB208+BB209+BB212+BB230+BB233)/(SUM(BB207+BB208+BB209+BB212+BB230+BB233)+BB266)</f>
        <v>0.0393300398328753</v>
      </c>
      <c r="BC330" s="221">
        <f>SUM(BC207+BC208+BC209+BC212+BC230+BC233)/(SUM(BC207+BC208+BC209+BC212+BC230+BC233)+BC266)</f>
        <v>0.0263202423985608</v>
      </c>
      <c r="BD330" s="221">
        <f>SUM(BD207+BD208+BD209+BD212+BD230+BD233)/(SUM(BD207+BD208+BD209+BD212+BD230+BD233)+BD266)</f>
        <v>0.0234619192472086</v>
      </c>
      <c r="BE330" s="221">
        <f>SUM(BE207+BE208+BE209+BE212+BE230+BE233)/(SUM(BE207+BE208+BE209+BE212+BE230+BE233)+BE266)</f>
        <v>0.0181192335855907</v>
      </c>
      <c r="BG330" s="221">
        <f>SUM(BG207+BG208+BG209+BG212+BG230+BG233)/(SUM(BG207+BG208+BG209+BG212+BG230+BG233)+BG266)</f>
        <v>0.0147584733952095</v>
      </c>
      <c r="BH330" s="221">
        <f>SUM(BH207+BH208+BH209+BH212+BH230+BH233)/(SUM(BH207+BH208+BH209+BH212+BH230+BH233)+BH266)</f>
        <v>0.00978947843232133</v>
      </c>
      <c r="BI330" s="221">
        <f>SUM(BI207+BI208+BI209+BI212+BI230+BI233)/(SUM(BI207+BI208+BI209+BI212+BI230+BI233)+BI266)</f>
        <v>0.00871701254193757</v>
      </c>
      <c r="BJ330" s="221">
        <f>SUM(BJ207+BJ208+BJ209+BJ212+BJ230+BJ233)/(SUM(BJ207+BJ208+BJ209+BJ212+BJ230+BJ233)+BJ266)</f>
        <v>0.00670641316942756</v>
      </c>
      <c r="BL330" s="221">
        <f>SUM(BL207+BL208+BL209+BL212+BL230+BL233)/(SUM(BL207+BL208+BL209+BL212+BL230+BL233)+BL266)</f>
        <v>0.0054494782413394</v>
      </c>
      <c r="BM330" s="221">
        <f>SUM(BM207+BM208+BM209+BM212+BM230+BM233)/(SUM(BM207+BM208+BM209+BM212+BM230+BM233)+BM266)</f>
        <v>0.00360457991984819</v>
      </c>
      <c r="BN330" s="221">
        <f>SUM(BN207+BN208+BN209+BN212+BN230+BN233)/(SUM(BN207+BN208+BN209+BN212+BN230+BN233)+BN266)</f>
        <v>0.00320700265278017</v>
      </c>
      <c r="BO330" s="221">
        <f>SUM(BO207+BO208+BO209+BO212+BO230+BO233)/(SUM(BO207+BO208+BO209+BO212+BO230+BO233)+BO266)</f>
        <v>0.00246464059037901</v>
      </c>
      <c r="BQ330" s="221">
        <f>SUM(BQ207+BQ208+BQ209+BQ212+BQ230+BQ233)/(SUM(BQ207+BQ208+BQ209+BQ212+BQ230+BQ233)+BQ266)</f>
        <v>0.00200136211302841</v>
      </c>
      <c r="BR330" s="221">
        <f>SUM(BR207+BR208+BR209+BR212+BR230+BR233)/(SUM(BR207+BR208+BR209+BR212+BR230+BR233)+BR266)</f>
        <v>0.00132224870802734</v>
      </c>
      <c r="BS330" s="221">
        <f>SUM(BS207+BS208+BS209+BS212+BS230+BS233)/(SUM(BS207+BS208+BS209+BS212+BS230+BS233)+BS266)</f>
        <v>0.00117618221167711</v>
      </c>
      <c r="BT330" s="221">
        <f>SUM(BT207+BT208+BT209+BT212+BT230+BT233)/(SUM(BT207+BT208+BT209+BT212+BT230+BT233)+BT266)</f>
        <v>0.000903476156928879</v>
      </c>
      <c r="BV330" s="221">
        <f>SUM(BV207+BV208+BV209+BV212+BV230+BV233)/(SUM(BV207+BV208+BV209+BV212+BV230+BV233)+BV266)</f>
        <v>0.000733426178594083</v>
      </c>
      <c r="BW330" s="221">
        <f>SUM(BW207+BW208+BW209+BW212+BW230+BW233)/(SUM(BW207+BW208+BW209+BW212+BW230+BW233)+BW266)</f>
        <v>0.000484364440116635</v>
      </c>
      <c r="BX330" s="221">
        <f>SUM(BX207+BX208+BX209+BX212+BX230+BX233)/(SUM(BX207+BX208+BX209+BX212+BX230+BX233)+BX266)</f>
        <v>0.000430813726612881</v>
      </c>
      <c r="BY330" s="221">
        <f>SUM(BY207+BY208+BY209+BY212+BY230+BY233)/(SUM(BY207+BY208+BY209+BY212+BY230+BY233)+BY266)</f>
        <v>0.000330875347943226</v>
      </c>
      <c r="CA330" s="221">
        <f>SUM(CA207+CA208+CA209+CA212+CA230+CA233)/(SUM(CA207+CA208+CA209+CA212+CA230+CA233)+CA266)</f>
        <v>0.000268572918077967</v>
      </c>
      <c r="CB330" s="221">
        <f>SUM(CB207+CB208+CB209+CB212+CB230+CB233)/(SUM(CB207+CB208+CB209+CB212+CB230+CB233)+CB266)</f>
        <v>0.000177341635894167</v>
      </c>
      <c r="CC330" s="221">
        <f>SUM(CC207+CC208+CC209+CC212+CC230+CC233)/(SUM(CC207+CC208+CC209+CC212+CC230+CC233)+CC266)</f>
        <v>0.000157730419781955</v>
      </c>
      <c r="CD330" s="221">
        <f>SUM(CD207+CD208+CD209+CD212+CD230+CD233)/(SUM(CD207+CD208+CD209+CD212+CD230+CD233)+CD266)</f>
        <v>0.000121133109034414</v>
      </c>
      <c r="CF330" s="221">
        <f>SUM(CF207+CF208+CF209+CF212+CF230+CF233)/(SUM(CF207+CF208+CF209+CF212+CF230+CF233)+CF266)</f>
        <v>9.83203791112628e-05</v>
      </c>
      <c r="CG330" s="221">
        <f>SUM(CG207+CG208+CG209+CG212+CG230+CG233)/(SUM(CG207+CG208+CG209+CG212+CG230+CG233)+CG266)</f>
        <v>6.49185129189029e-05</v>
      </c>
      <c r="CH330" s="221">
        <f>SUM(CH207+CH208+CH209+CH212+CH230+CH233)/(SUM(CH207+CH208+CH209+CH212+CH230+CH233)+CH266)</f>
        <v>5.77387987116946e-05</v>
      </c>
      <c r="CI330" s="221">
        <f>SUM(CI207+CI208+CI209+CI212+CI230+CI233)/(SUM(CI207+CI208+CI209+CI212+CI230+CI233)+CI266)</f>
        <v>4.43410378336142e-05</v>
      </c>
      <c r="CK330" s="221">
        <f>SUM(CK207+CK208+CK209+CK212+CK230+CK233)/(SUM(CK207+CK208+CK209+CK212+CK230+CK233)+CK266)</f>
        <v>3.59899083243082e-05</v>
      </c>
      <c r="CL330" s="221">
        <f>SUM(CL207+CL208+CL209+CL212+CL230+CL233)/(SUM(CL207+CL208+CL209+CL212+CL230+CL233)+CL266)</f>
        <v>2.37627580488954e-05</v>
      </c>
      <c r="CM330" s="221">
        <f>SUM(CM207+CM208+CM209+CM212+CM230+CM233)/(SUM(CM207+CM208+CM209+CM212+CM230+CM233)+CM266)</f>
        <v>2.11346106326338e-05</v>
      </c>
      <c r="CN330" s="221">
        <f>SUM(CN207+CN208+CN209+CN212+CN230+CN233)/(SUM(CN207+CN208+CN209+CN212+CN230+CN233)+CN266)</f>
        <v>1.62303824552146e-05</v>
      </c>
      <c r="CP330" s="221">
        <f>SUM(CP207+CP208+CP209+CP212+CP230+CP233)/(SUM(CP207+CP208+CP209+CP212+CP230+CP233)+CP266)</f>
        <v>1.31735065496568e-05</v>
      </c>
      <c r="CQ330" s="221">
        <f>SUM(CQ207+CQ208+CQ209+CQ212+CQ230+CQ233)/(SUM(CQ207+CQ208+CQ209+CQ212+CQ230+CQ233)+CQ266)</f>
        <v>8.6978981995514e-06</v>
      </c>
      <c r="CR330" s="221">
        <f>SUM(CR207+CR208+CR209+CR212+CR230+CR233)/(SUM(CR207+CR208+CR209+CR212+CR230+CR233)+CR266)</f>
        <v>7.73590281402596e-06</v>
      </c>
      <c r="CS330" s="221">
        <f>SUM(CS207+CS208+CS209+CS212+CS230+CS233)/(SUM(CS207+CS208+CS209+CS212+CS230+CS233)+CS266)</f>
        <v>5.94079056423858e-06</v>
      </c>
      <c r="CU330" s="221">
        <f>SUM(CU207+CU208+CU209+CU212+CU230+CU233)/(SUM(CU207+CU208+CU209+CU212+CU230+CU233)+CU266)</f>
        <v>4.82187659296854e-06</v>
      </c>
      <c r="CV330" s="221">
        <f>SUM(CV207+CV208+CV209+CV212+CV230+CV233)/(SUM(CV207+CV208+CV209+CV212+CV230+CV233)+CV266)</f>
        <v>3.18366845333132e-06</v>
      </c>
      <c r="CW330" s="221">
        <f>SUM(CW207+CW208+CW209+CW212+CW230+CW233)/(SUM(CW207+CW208+CW209+CW212+CW230+CW233)+CW266)</f>
        <v>2.8315502547288e-06</v>
      </c>
      <c r="CX330" s="221">
        <f>SUM(CX207+CX208+CX209+CX212+CX230+CX233)/(SUM(CX207+CX208+CX209+CX212+CX230+CX233)+CX266)</f>
        <v>2.17448808853414e-06</v>
      </c>
    </row>
    <row r="331" customFormat="1" s="233">
      <c r="A331" s="224" t="n"/>
      <c r="B331" s="224" t="n"/>
      <c r="C331" s="233" t="inlineStr">
        <is>
          <t>NET DEBT / EBITDA LTM (com arrendamentos)</t>
        </is>
      </c>
      <c r="D331" s="219" t="str">
        <f>""</f>
        <v/>
      </c>
      <c r="E331" s="219" t="str">
        <f>""</f>
        <v/>
      </c>
      <c r="F331" s="219" t="str">
        <f>""</f>
        <v/>
      </c>
      <c r="G331" s="219">
        <f>IFERROR((SUM(G207,G208,G209,G212,G230,G233)-G139)/(G64+F64+E64+D64),"")</f>
        <v>9.75451318075383</v>
      </c>
      <c r="I331" s="219">
        <f>IFERROR((SUM(I207,I208,I209,I212,I230,I233)-I139)/(I64+G64+F64+E64),"")</f>
        <v>9.39104669427388</v>
      </c>
      <c r="J331" s="219">
        <f>IFERROR((SUM(J207,J208,J209,J212,J230,J233)-J139)/(J64+I64+G64+F64),"")</f>
        <v>9.16215842269111</v>
      </c>
      <c r="K331" s="219">
        <f>IFERROR((SUM(K207,K208,K209,K212,K230,K233)-K139)/(K64+J64+I64+G64),"")</f>
        <v>9.02415952089289</v>
      </c>
      <c r="L331" s="219">
        <f>IFERROR((SUM(L207,L208,L209,L212,L230,L233)-L139)/(L64+K64+J64+I64),"")</f>
        <v>8.38466011889378</v>
      </c>
      <c r="N331" s="219">
        <f>IFERROR((SUM(N207,N208,N209,N212,N230,N233)-N139)/(N64+L64+K64+J64),"")</f>
        <v>8.53674219228414</v>
      </c>
      <c r="O331" s="219">
        <f>IFERROR((SUM(O207,O208,O209,O212,O230,O233)-O139)/(O64+N64+L64+K64),"")</f>
        <v>8.72944313530944</v>
      </c>
      <c r="P331" s="219">
        <f>IFERROR((SUM(P207,P208,P209,P212,P230,P233)-P139)/(P64+O64+N64+L64),"")</f>
        <v>8.2515064022094</v>
      </c>
      <c r="Q331" s="219">
        <f>IFERROR((SUM(Q207,Q208,Q209,Q212,Q230,Q233)-Q139)/(Q64+P64+O64+N64),"")</f>
        <v>9.21300492610838</v>
      </c>
      <c r="S331" s="219">
        <f>IFERROR((SUM(S207,S208,S209,S212,S230,S233)-S139)/(S64+Q64+P64+O64),"")</f>
        <v>10.4991373956249</v>
      </c>
      <c r="T331" s="219">
        <f>IFERROR((SUM(T207,T208,T209,T212,T230,T233)-T139)/(T64+S64+Q64+P64),"")</f>
        <v>10.9041254688033</v>
      </c>
      <c r="U331" s="219">
        <f>IFERROR((SUM(U207,U208,U209,U212,U230,U233)-U139)/(U64+T64+S64+Q64),"")</f>
        <v>11.6693516439984</v>
      </c>
      <c r="V331" s="219">
        <f>IFERROR((SUM(V207,V208,V209,V212,V230,V233)-V139)/(V64+U64+T64+S64),"")</f>
        <v>14.5993583447915</v>
      </c>
      <c r="X331" s="219">
        <f>IFERROR((SUM(X207,X208,X209,X212,X230,X233)-X139)/(X64+V64+U64+T64),"")</f>
        <v>15.0901251916198</v>
      </c>
      <c r="Y331" s="219">
        <f>IFERROR((SUM(Y207,Y208,Y209,Y212,Y230,Y233)-Y139)/(Y64+X64+V64+U64),"")</f>
        <v>15.8195451446985</v>
      </c>
      <c r="Z331" s="219">
        <f>IFERROR((SUM(Z207,Z208,Z209,Z212,Z230,Z233)-Z139)/(Z64+Y64+X64+V64),"")</f>
        <v>16.5326744534292</v>
      </c>
      <c r="AA331" s="219">
        <f>IFERROR((SUM(AA207,AA208,AA209,AA212,AA230,AA233)-AA139)/(AA64+Z64+Y64+X64),"")</f>
        <v>17.1068719574324</v>
      </c>
      <c r="AC331" s="219">
        <f>IFERROR((SUM(AC207,AC208,AC209,AC212,AC230,AC233)-AC139)/(AC64+AA64+Z64+Y64),"")</f>
        <v>19.2996500437446</v>
      </c>
      <c r="AD331" s="219">
        <f>IFERROR((SUM(AD207,AD208,AD209,AD212,AD230,AD233)-AD139)/(AD64+AC64+AA64+Z64),"")</f>
        <v>19.2074594537482</v>
      </c>
      <c r="AE331" s="219">
        <f>IFERROR((SUM(AE207,AE208,AE209,AE212,AE230,AE233)-AE139)/(AE64+AD64+AC64+AA64),"")</f>
        <v>17.1895469648226</v>
      </c>
      <c r="AF331" s="219">
        <f>IFERROR((SUM(AF207,AF208,AF209,AF212,AF230,AF233)-AF139)/(AF64+AE64+AD64+AC64),"")</f>
        <v>17.6439659489234</v>
      </c>
      <c r="AH331" s="219">
        <f>IFERROR((SUM(AH207,AH208,AH209,AH212,AH230,AH233)-AH139)/(AH64+AF64+AE64+AD64),"")</f>
        <v>18.6413469068128</v>
      </c>
      <c r="AI331" s="219">
        <f>IFERROR((SUM(AI207,AI208,AI209,AI212,AI230,AI233)-AI139)/(AI64+AH64+AF64+AE64),"")</f>
        <v>21.8983180063849</v>
      </c>
      <c r="AJ331" s="219">
        <f>IFERROR((SUM(AJ207,AJ208,AJ209,AJ212,AJ230,AJ233)-AJ139)/(AJ64+AI64+AH64+AF64),"")</f>
        <v>-6.12021857923497</v>
      </c>
      <c r="AK331" s="219">
        <f>IFERROR((SUM(AK207,AK208,AK209,AK212,AK230,AK233)-AK139)/(AK64+AJ64+AI64+AH64),"")</f>
        <v>-18.4228187919463</v>
      </c>
      <c r="AM331" s="219" t="str">
        <f>IFERROR((SUM(AM207,AM208,AM209,AM212,AM230,AM233)-AM139)/(AM64+AK64+AJ64+AI64),"")</f>
        <v/>
      </c>
      <c r="AN331" s="219" t="str">
        <f>IFERROR((SUM(AN207,AN208,AN209,AN212,AN230,AN233)-AN139)/(AN64+AM64+AK64+AJ64),"")</f>
        <v/>
      </c>
      <c r="AO331" s="219" t="str">
        <f>IFERROR((SUM(AO207,AO208,AO209,AO212,AO230,AO233)-AO139)/(AO64+AN64+AM64+AK64),"")</f>
        <v/>
      </c>
      <c r="AP331" s="219" t="str">
        <f>IFERROR((SUM(AP207,AP208,AP209,AP212,AP230,AP233)-AP139)/(AP64+AO64+AN64+AM64),"")</f>
        <v/>
      </c>
      <c r="AR331" s="219" t="str">
        <f>IFERROR((SUM(AR207,AR208,AR209,AR212,AR230,AR233)-AR139)/(AR64+AP64+AO64+AN64),"")</f>
        <v/>
      </c>
      <c r="AS331" s="219" t="str">
        <f>IFERROR((SUM(AS207,AS208,AS209,AS212,AS230,AS233)-AS139)/(AS64+AR64+AP64+AO64),"")</f>
        <v/>
      </c>
      <c r="AT331" s="219" t="str">
        <f>IFERROR((SUM(AT207,AT208,AT209,AT212,AT230,AT233)-AT139)/(AT64+AS64+AR64+AP64),"")</f>
        <v/>
      </c>
      <c r="AU331" s="219" t="str">
        <f>IFERROR((SUM(AU207,AU208,AU209,AU212,AU230,AU233)-AU139)/(AU64+AT64+AS64+AR64),"")</f>
        <v/>
      </c>
      <c r="AW331" s="219" t="str">
        <f>IFERROR((SUM(AW207,AW208,AW209,AW212,AW230,AW233)-AW139)/(AW64+AU64+AT64+AS64),"")</f>
        <v/>
      </c>
      <c r="AX331" s="219" t="str">
        <f>IFERROR((SUM(AX207,AX208,AX209,AX212,AX230,AX233)-AX139)/(AX64+AW64+AU64+AT64),"")</f>
        <v/>
      </c>
      <c r="AY331" s="219" t="str">
        <f>IFERROR((SUM(AY207,AY208,AY209,AY212,AY230,AY233)-AY139)/(AY64+AX64+AW64+AU64),"")</f>
        <v/>
      </c>
      <c r="AZ331" s="219" t="str">
        <f>IFERROR((SUM(AZ207,AZ208,AZ209,AZ212,AZ230,AZ233)-AZ139)/(AZ64+AY64+AX64+AW64),"")</f>
        <v/>
      </c>
      <c r="BB331" s="219" t="str">
        <f>IFERROR((SUM(BB207,BB208,BB209,BB212,BB230,BB233)-BB139)/(BB64+AZ64+AY64+AX64),"")</f>
        <v/>
      </c>
      <c r="BC331" s="219" t="str">
        <f>IFERROR((SUM(BC207,BC208,BC209,BC212,BC230,BC233)-BC139)/(BC64+BB64+AZ64+AY64),"")</f>
        <v/>
      </c>
      <c r="BD331" s="219" t="str">
        <f>IFERROR((SUM(BD207,BD208,BD209,BD212,BD230,BD233)-BD139)/(BD64+BC64+BB64+AZ64),"")</f>
        <v/>
      </c>
      <c r="BE331" s="219" t="str">
        <f>IFERROR((SUM(BE207,BE208,BE209,BE212,BE230,BE233)-BE139)/(BE64+BD64+BC64+BB64),"")</f>
        <v/>
      </c>
      <c r="BG331" s="219" t="str">
        <f>IFERROR((SUM(BG207,BG208,BG209,BG212,BG230,BG233)-BG139)/(BG64+BE64+BD64+BC64),"")</f>
        <v/>
      </c>
      <c r="BH331" s="219" t="str">
        <f>IFERROR((SUM(BH207,BH208,BH209,BH212,BH230,BH233)-BH139)/(BH64+BG64+BE64+BD64),"")</f>
        <v/>
      </c>
      <c r="BI331" s="219" t="str">
        <f>IFERROR((SUM(BI207,BI208,BI209,BI212,BI230,BI233)-BI139)/(BI64+BH64+BG64+BE64),"")</f>
        <v/>
      </c>
      <c r="BJ331" s="219" t="str">
        <f>IFERROR((SUM(BJ207,BJ208,BJ209,BJ212,BJ230,BJ233)-BJ139)/(BJ64+BI64+BH64+BG64),"")</f>
        <v/>
      </c>
      <c r="BL331" s="219" t="str">
        <f>IFERROR((SUM(BL207,BL208,BL209,BL212,BL230,BL233)-BL139)/(BL64+BJ64+BI64+BH64),"")</f>
        <v/>
      </c>
      <c r="BM331" s="219" t="str">
        <f>IFERROR((SUM(BM207,BM208,BM209,BM212,BM230,BM233)-BM139)/(BM64+BL64+BJ64+BI64),"")</f>
        <v/>
      </c>
      <c r="BN331" s="219" t="str">
        <f>IFERROR((SUM(BN207,BN208,BN209,BN212,BN230,BN233)-BN139)/(BN64+BM64+BL64+BJ64),"")</f>
        <v/>
      </c>
      <c r="BO331" s="219" t="str">
        <f>IFERROR((SUM(BO207,BO208,BO209,BO212,BO230,BO233)-BO139)/(BO64+BN64+BM64+BL64),"")</f>
        <v/>
      </c>
      <c r="BQ331" s="219" t="str">
        <f>IFERROR((SUM(BQ207,BQ208,BQ209,BQ212,BQ230,BQ233)-BQ139)/(BQ64+BO64+BN64+BM64),"")</f>
        <v/>
      </c>
      <c r="BR331" s="219" t="str">
        <f>IFERROR((SUM(BR207,BR208,BR209,BR212,BR230,BR233)-BR139)/(BR64+BQ64+BO64+BN64),"")</f>
        <v/>
      </c>
      <c r="BS331" s="219" t="str">
        <f>IFERROR((SUM(BS207,BS208,BS209,BS212,BS230,BS233)-BS139)/(BS64+BR64+BQ64+BO64),"")</f>
        <v/>
      </c>
      <c r="BT331" s="219" t="str">
        <f>IFERROR((SUM(BT207,BT208,BT209,BT212,BT230,BT233)-BT139)/(BT64+BS64+BR64+BQ64),"")</f>
        <v/>
      </c>
      <c r="BV331" s="219" t="str">
        <f>IFERROR((SUM(BV207,BV208,BV209,BV212,BV230,BV233)-BV139)/(BV64+BT64+BS64+BR64),"")</f>
        <v/>
      </c>
      <c r="BW331" s="219" t="str">
        <f>IFERROR((SUM(BW207,BW208,BW209,BW212,BW230,BW233)-BW139)/(BW64+BV64+BT64+BS64),"")</f>
        <v/>
      </c>
      <c r="BX331" s="219" t="str">
        <f>IFERROR((SUM(BX207,BX208,BX209,BX212,BX230,BX233)-BX139)/(BX64+BW64+BV64+BT64),"")</f>
        <v/>
      </c>
      <c r="BY331" s="219" t="str">
        <f>IFERROR((SUM(BY207,BY208,BY209,BY212,BY230,BY233)-BY139)/(BY64+BX64+BW64+BV64),"")</f>
        <v/>
      </c>
      <c r="CA331" s="219" t="str">
        <f>IFERROR((SUM(CA207,CA208,CA209,CA212,CA230,CA233)-CA139)/(CA64+BY64+BX64+BW64),"")</f>
        <v/>
      </c>
      <c r="CB331" s="219" t="str">
        <f>IFERROR((SUM(CB207,CB208,CB209,CB212,CB230,CB233)-CB139)/(CB64+CA64+BY64+BX64),"")</f>
        <v/>
      </c>
      <c r="CC331" s="219" t="str">
        <f>IFERROR((SUM(CC207,CC208,CC209,CC212,CC230,CC233)-CC139)/(CC64+CB64+CA64+BY64),"")</f>
        <v/>
      </c>
      <c r="CD331" s="219" t="str">
        <f>IFERROR((SUM(CD207,CD208,CD209,CD212,CD230,CD233)-CD139)/(CD64+CC64+CB64+CA64),"")</f>
        <v/>
      </c>
      <c r="CF331" s="219" t="str">
        <f>IFERROR((SUM(CF207,CF208,CF209,CF212,CF230,CF233)-CF139)/(CF64+CD64+CC64+CB64),"")</f>
        <v/>
      </c>
      <c r="CG331" s="219" t="str">
        <f>IFERROR((SUM(CG207,CG208,CG209,CG212,CG230,CG233)-CG139)/(CG64+CF64+CD64+CC64),"")</f>
        <v/>
      </c>
      <c r="CH331" s="219" t="str">
        <f>IFERROR((SUM(CH207,CH208,CH209,CH212,CH230,CH233)-CH139)/(CH64+CG64+CF64+CD64),"")</f>
        <v/>
      </c>
      <c r="CI331" s="219" t="str">
        <f>IFERROR((SUM(CI207,CI208,CI209,CI212,CI230,CI233)-CI139)/(CI64+CH64+CG64+CF64),"")</f>
        <v/>
      </c>
      <c r="CK331" s="219" t="str">
        <f>IFERROR((SUM(CK207,CK208,CK209,CK212,CK230,CK233)-CK139)/(CK64+CI64+CH64+CG64),"")</f>
        <v/>
      </c>
      <c r="CL331" s="219" t="str">
        <f>IFERROR((SUM(CL207,CL208,CL209,CL212,CL230,CL233)-CL139)/(CL64+CK64+CI64+CH64),"")</f>
        <v/>
      </c>
      <c r="CM331" s="219" t="str">
        <f>IFERROR((SUM(CM207,CM208,CM209,CM212,CM230,CM233)-CM139)/(CM64+CL64+CK64+CI64),"")</f>
        <v/>
      </c>
      <c r="CN331" s="219" t="str">
        <f>IFERROR((SUM(CN207,CN208,CN209,CN212,CN230,CN233)-CN139)/(CN64+CM64+CL64+CK64),"")</f>
        <v/>
      </c>
      <c r="CP331" s="219" t="str">
        <f>IFERROR((SUM(CP207,CP208,CP209,CP212,CP230,CP233)-CP139)/(CP64+CN64+CM64+CL64),"")</f>
        <v/>
      </c>
      <c r="CQ331" s="219" t="str">
        <f>IFERROR((SUM(CQ207,CQ208,CQ209,CQ212,CQ230,CQ233)-CQ139)/(CQ64+CP64+CN64+CM64),"")</f>
        <v/>
      </c>
      <c r="CR331" s="219" t="str">
        <f>IFERROR((SUM(CR207,CR208,CR209,CR212,CR230,CR233)-CR139)/(CR64+CQ64+CP64+CN64),"")</f>
        <v/>
      </c>
      <c r="CS331" s="219" t="str">
        <f>IFERROR((SUM(CS207,CS208,CS209,CS212,CS230,CS233)-CS139)/(CS64+CR64+CQ64+CP64),"")</f>
        <v/>
      </c>
      <c r="CU331" s="219" t="str">
        <f>IFERROR((SUM(CU207,CU208,CU209,CU212,CU230,CU233)-CU139)/(CU64+CS64+CR64+CQ64),"")</f>
        <v/>
      </c>
      <c r="CV331" s="219" t="str">
        <f>IFERROR((SUM(CV207,CV208,CV209,CV212,CV230,CV233)-CV139)/(CV64+CU64+CS64+CR64),"")</f>
        <v/>
      </c>
      <c r="CW331" s="219" t="str">
        <f>IFERROR((SUM(CW207,CW208,CW209,CW212,CW230,CW233)-CW139)/(CW64+CV64+CU64+CS64),"")</f>
        <v/>
      </c>
      <c r="CX331" s="219" t="str">
        <f>IFERROR((SUM(CX207,CX208,CX209,CX212,CX230,CX233)-CX139)/(CX64+CW64+CV64+CU64),"")</f>
        <v/>
      </c>
    </row>
    <row r="332" customFormat="1" s="233">
      <c r="A332" s="224" t="n"/>
      <c r="B332" s="224" t="n"/>
      <c r="C332" s="237" t="inlineStr">
        <is>
          <t>NET DEBT (EX IFRS 16) / EBITDA LTM</t>
        </is>
      </c>
      <c r="D332" s="219" t="str">
        <f>""</f>
        <v/>
      </c>
      <c r="E332" s="219" t="str">
        <f>""</f>
        <v/>
      </c>
      <c r="F332" s="219" t="str">
        <f>""</f>
        <v/>
      </c>
      <c r="G332" s="219">
        <f>IFERROR((SUM(G207,G208,G212,G233)-G139)/(G64+F64+E64+D64),"")</f>
        <v>9.75451318075383</v>
      </c>
      <c r="I332" s="219">
        <f>IFERROR((SUM(I207,I208,I212,I233)-I139)/(I64+G64+F64+E64),"")</f>
        <v>9.39104669427388</v>
      </c>
      <c r="J332" s="219">
        <f>IFERROR((SUM(J207,J208,J212,J233)-J139)/(J64+I64+G64+F64),"")</f>
        <v>9.16215842269111</v>
      </c>
      <c r="K332" s="219">
        <f>IFERROR((SUM(K207,K208,K212,K233)-K139)/(K64+J64+I64+G64),"")</f>
        <v>9.02415952089289</v>
      </c>
      <c r="L332" s="219">
        <f>IFERROR((SUM(L207,L208,L212,L233)-L139)/(L64+K64+J64+I64),"")</f>
        <v>8.38466011889378</v>
      </c>
      <c r="N332" s="219">
        <f>IFERROR((SUM(N207,N208,N212,N233)-N139)/(N64+L64+K64+J64),"")</f>
        <v>8.53674219228414</v>
      </c>
      <c r="O332" s="219">
        <f>IFERROR((SUM(O207,O208,O212,O233)-O139)/(O64+N64+L64+K64),"")</f>
        <v>8.72944313530944</v>
      </c>
      <c r="P332" s="219">
        <f>IFERROR((SUM(P207,P208,P212,P233)-P139)/(P64+O64+N64+L64),"")</f>
        <v>8.2515064022094</v>
      </c>
      <c r="Q332" s="219">
        <f>IFERROR((SUM(Q207,Q208,Q212,Q233)-Q139)/(Q64+P64+O64+N64),"")</f>
        <v>9.21300492610838</v>
      </c>
      <c r="S332" s="219">
        <f>IFERROR((SUM(S207,S208,S212,S233)-S139)/(S64+Q64+P64+O64),"")</f>
        <v>10.4991373956249</v>
      </c>
      <c r="T332" s="219">
        <f>IFERROR((SUM(T207,T208,T212,T233)-T139)/(T64+S64+Q64+P64),"")</f>
        <v>10.9041254688033</v>
      </c>
      <c r="U332" s="219">
        <f>IFERROR((SUM(U207,U208,U212,U233)-U139)/(U64+T64+S64+Q64),"")</f>
        <v>11.6693516439984</v>
      </c>
      <c r="V332" s="219">
        <f>IFERROR((SUM(V207,V208,V212,V233)-V139)/(V64+U64+T64+S64),"")</f>
        <v>14.5993583447915</v>
      </c>
      <c r="X332" s="219">
        <f>IFERROR((SUM(X207,X208,X212,X233)-X139)/(X64+V64+U64+T64),"")</f>
        <v>15.0901251916198</v>
      </c>
      <c r="Y332" s="219">
        <f>IFERROR((SUM(Y207,Y208,Y212,Y233)-Y139)/(Y64+X64+V64+U64),"")</f>
        <v>15.8195451446985</v>
      </c>
      <c r="Z332" s="219">
        <f>IFERROR((SUM(Z207,Z208,Z212,Z233)-Z139)/(Z64+Y64+X64+V64),"")</f>
        <v>16.5326744534292</v>
      </c>
      <c r="AA332" s="219">
        <f>IFERROR((SUM(AA207,AA208,AA212,AA233)-AA139)/(AA64+Z64+Y64+X64),"")</f>
        <v>17.1068719574324</v>
      </c>
      <c r="AC332" s="219">
        <f>IFERROR((SUM(AC207,AC208,AC212,AC233)-AC139)/(AC64+AA64+Z64+Y64),"")</f>
        <v>19.2996500437446</v>
      </c>
      <c r="AD332" s="219">
        <f>IFERROR((SUM(AD207,AD208,AD212,AD233)-AD139)/(AD64+AC64+AA64+Z64),"")</f>
        <v>19.2074594537482</v>
      </c>
      <c r="AE332" s="219">
        <f>IFERROR((SUM(AE207,AE208,AE212,AE233)-AE139)/(AE64+AD64+AC64+AA64),"")</f>
        <v>17.1895469648226</v>
      </c>
      <c r="AF332" s="219">
        <f>IFERROR((SUM(AF207,AF208,AF212,AF233)-AF139)/(AF64+AE64+AD64+AC64),"")</f>
        <v>17.6439659489234</v>
      </c>
      <c r="AH332" s="219">
        <f>IFERROR((SUM(AH207,AH208,AH212,AH233)-AH139)/(AH64+AF64+AE64+AD64),"")</f>
        <v>18.6413469068128</v>
      </c>
      <c r="AI332" s="219">
        <f>IFERROR((SUM(AI207,AI208,AI212,AI233)-AI139)/(AI64+AH64+AF64+AE64),"")</f>
        <v>21.8983180063849</v>
      </c>
      <c r="AJ332" s="219">
        <f>IFERROR((SUM(AJ207,AJ208,AJ212,AJ233)-AJ139)/(AJ64+AI64+AH64+AF64),"")</f>
        <v>-6.12021857923497</v>
      </c>
      <c r="AK332" s="219">
        <f>IFERROR((SUM(AK207,AK208,AK212,AK233)-AK139)/(AK64+AJ64+AI64+AH64),"")</f>
        <v>-18.4228187919463</v>
      </c>
      <c r="AM332" s="219" t="str">
        <f>IFERROR((SUM(AM207,AM208,AM212,AM233)-AM139)/(AM64+AK64+AJ64+AI64),"")</f>
        <v/>
      </c>
      <c r="AN332" s="219" t="str">
        <f>IFERROR((SUM(AN207,AN208,AN212,AN233)-AN139)/(AN64+AM64+AK64+AJ64),"")</f>
        <v/>
      </c>
      <c r="AO332" s="219" t="str">
        <f>IFERROR((SUM(AO207,AO208,AO212,AO233)-AO139)/(AO64+AN64+AM64+AK64),"")</f>
        <v/>
      </c>
      <c r="AP332" s="219" t="str">
        <f>IFERROR((SUM(AP207,AP208,AP212,AP233)-AP139)/(AP64+AO64+AN64+AM64),"")</f>
        <v/>
      </c>
      <c r="AR332" s="219" t="str">
        <f>IFERROR((SUM(AR207,AR208,AR212,AR233)-AR139)/(AR64+AP64+AO64+AN64),"")</f>
        <v/>
      </c>
      <c r="AS332" s="219" t="str">
        <f>IFERROR((SUM(AS207,AS208,AS212,AS233)-AS139)/(AS64+AR64+AP64+AO64),"")</f>
        <v/>
      </c>
      <c r="AT332" s="219" t="str">
        <f>IFERROR((SUM(AT207,AT208,AT212,AT233)-AT139)/(AT64+AS64+AR64+AP64),"")</f>
        <v/>
      </c>
      <c r="AU332" s="219" t="str">
        <f>IFERROR((SUM(AU207,AU208,AU212,AU233)-AU139)/(AU64+AT64+AS64+AR64),"")</f>
        <v/>
      </c>
      <c r="AW332" s="219" t="str">
        <f>IFERROR((SUM(AW207,AW208,AW212,AW233)-AW139)/(AW64+AU64+AT64+AS64),"")</f>
        <v/>
      </c>
      <c r="AX332" s="219" t="str">
        <f>IFERROR((SUM(AX207,AX208,AX212,AX233)-AX139)/(AX64+AW64+AU64+AT64),"")</f>
        <v/>
      </c>
      <c r="AY332" s="219" t="str">
        <f>IFERROR((SUM(AY207,AY208,AY212,AY233)-AY139)/(AY64+AX64+AW64+AU64),"")</f>
        <v/>
      </c>
      <c r="AZ332" s="219" t="str">
        <f>IFERROR((SUM(AZ207,AZ208,AZ212,AZ233)-AZ139)/(AZ64+AY64+AX64+AW64),"")</f>
        <v/>
      </c>
      <c r="BB332" s="219" t="str">
        <f>IFERROR((SUM(BB207,BB208,BB212,BB233)-BB139)/(BB64+AZ64+AY64+AX64),"")</f>
        <v/>
      </c>
      <c r="BC332" s="219" t="str">
        <f>IFERROR((SUM(BC207,BC208,BC212,BC233)-BC139)/(BC64+BB64+AZ64+AY64),"")</f>
        <v/>
      </c>
      <c r="BD332" s="219" t="str">
        <f>IFERROR((SUM(BD207,BD208,BD212,BD233)-BD139)/(BD64+BC64+BB64+AZ64),"")</f>
        <v/>
      </c>
      <c r="BE332" s="219" t="str">
        <f>IFERROR((SUM(BE207,BE208,BE212,BE233)-BE139)/(BE64+BD64+BC64+BB64),"")</f>
        <v/>
      </c>
      <c r="BG332" s="219" t="str">
        <f>IFERROR((SUM(BG207,BG208,BG212,BG233)-BG139)/(BG64+BE64+BD64+BC64),"")</f>
        <v/>
      </c>
      <c r="BH332" s="219" t="str">
        <f>IFERROR((SUM(BH207,BH208,BH212,BH233)-BH139)/(BH64+BG64+BE64+BD64),"")</f>
        <v/>
      </c>
      <c r="BI332" s="219" t="str">
        <f>IFERROR((SUM(BI207,BI208,BI212,BI233)-BI139)/(BI64+BH64+BG64+BE64),"")</f>
        <v/>
      </c>
      <c r="BJ332" s="219" t="str">
        <f>IFERROR((SUM(BJ207,BJ208,BJ212,BJ233)-BJ139)/(BJ64+BI64+BH64+BG64),"")</f>
        <v/>
      </c>
      <c r="BL332" s="219" t="str">
        <f>IFERROR((SUM(BL207,BL208,BL212,BL233)-BL139)/(BL64+BJ64+BI64+BH64),"")</f>
        <v/>
      </c>
      <c r="BM332" s="219" t="str">
        <f>IFERROR((SUM(BM207,BM208,BM212,BM233)-BM139)/(BM64+BL64+BJ64+BI64),"")</f>
        <v/>
      </c>
      <c r="BN332" s="219" t="str">
        <f>IFERROR((SUM(BN207,BN208,BN212,BN233)-BN139)/(BN64+BM64+BL64+BJ64),"")</f>
        <v/>
      </c>
      <c r="BO332" s="219" t="str">
        <f>IFERROR((SUM(BO207,BO208,BO212,BO233)-BO139)/(BO64+BN64+BM64+BL64),"")</f>
        <v/>
      </c>
      <c r="BQ332" s="219" t="str">
        <f>IFERROR((SUM(BQ207,BQ208,BQ212,BQ233)-BQ139)/(BQ64+BO64+BN64+BM64),"")</f>
        <v/>
      </c>
      <c r="BR332" s="219" t="str">
        <f>IFERROR((SUM(BR207,BR208,BR212,BR233)-BR139)/(BR64+BQ64+BO64+BN64),"")</f>
        <v/>
      </c>
      <c r="BS332" s="219" t="str">
        <f>IFERROR((SUM(BS207,BS208,BS212,BS233)-BS139)/(BS64+BR64+BQ64+BO64),"")</f>
        <v/>
      </c>
      <c r="BT332" s="219" t="str">
        <f>IFERROR((SUM(BT207,BT208,BT212,BT233)-BT139)/(BT64+BS64+BR64+BQ64),"")</f>
        <v/>
      </c>
      <c r="BV332" s="219" t="str">
        <f>IFERROR((SUM(BV207,BV208,BV212,BV233)-BV139)/(BV64+BT64+BS64+BR64),"")</f>
        <v/>
      </c>
      <c r="BW332" s="219" t="str">
        <f>IFERROR((SUM(BW207,BW208,BW212,BW233)-BW139)/(BW64+BV64+BT64+BS64),"")</f>
        <v/>
      </c>
      <c r="BX332" s="219" t="str">
        <f>IFERROR((SUM(BX207,BX208,BX212,BX233)-BX139)/(BX64+BW64+BV64+BT64),"")</f>
        <v/>
      </c>
      <c r="BY332" s="219" t="str">
        <f>IFERROR((SUM(BY207,BY208,BY212,BY233)-BY139)/(BY64+BX64+BW64+BV64),"")</f>
        <v/>
      </c>
      <c r="CA332" s="219" t="str">
        <f>IFERROR((SUM(CA207,CA208,CA212,CA233)-CA139)/(CA64+BY64+BX64+BW64),"")</f>
        <v/>
      </c>
      <c r="CB332" s="219" t="str">
        <f>IFERROR((SUM(CB207,CB208,CB212,CB233)-CB139)/(CB64+CA64+BY64+BX64),"")</f>
        <v/>
      </c>
      <c r="CC332" s="219" t="str">
        <f>IFERROR((SUM(CC207,CC208,CC212,CC233)-CC139)/(CC64+CB64+CA64+BY64),"")</f>
        <v/>
      </c>
      <c r="CD332" s="219" t="str">
        <f>IFERROR((SUM(CD207,CD208,CD212,CD233)-CD139)/(CD64+CC64+CB64+CA64),"")</f>
        <v/>
      </c>
      <c r="CF332" s="219" t="str">
        <f>IFERROR((SUM(CF207,CF208,CF212,CF233)-CF139)/(CF64+CD64+CC64+CB64),"")</f>
        <v/>
      </c>
      <c r="CG332" s="219" t="str">
        <f>IFERROR((SUM(CG207,CG208,CG212,CG233)-CG139)/(CG64+CF64+CD64+CC64),"")</f>
        <v/>
      </c>
      <c r="CH332" s="219" t="str">
        <f>IFERROR((SUM(CH207,CH208,CH212,CH233)-CH139)/(CH64+CG64+CF64+CD64),"")</f>
        <v/>
      </c>
      <c r="CI332" s="219" t="str">
        <f>IFERROR((SUM(CI207,CI208,CI212,CI233)-CI139)/(CI64+CH64+CG64+CF64),"")</f>
        <v/>
      </c>
      <c r="CK332" s="219" t="str">
        <f>IFERROR((SUM(CK207,CK208,CK212,CK233)-CK139)/(CK64+CI64+CH64+CG64),"")</f>
        <v/>
      </c>
      <c r="CL332" s="219" t="str">
        <f>IFERROR((SUM(CL207,CL208,CL212,CL233)-CL139)/(CL64+CK64+CI64+CH64),"")</f>
        <v/>
      </c>
      <c r="CM332" s="219" t="str">
        <f>IFERROR((SUM(CM207,CM208,CM212,CM233)-CM139)/(CM64+CL64+CK64+CI64),"")</f>
        <v/>
      </c>
      <c r="CN332" s="219" t="str">
        <f>IFERROR((SUM(CN207,CN208,CN212,CN233)-CN139)/(CN64+CM64+CL64+CK64),"")</f>
        <v/>
      </c>
      <c r="CP332" s="219" t="str">
        <f>IFERROR((SUM(CP207,CP208,CP212,CP233)-CP139)/(CP64+CN64+CM64+CL64),"")</f>
        <v/>
      </c>
      <c r="CQ332" s="219" t="str">
        <f>IFERROR((SUM(CQ207,CQ208,CQ212,CQ233)-CQ139)/(CQ64+CP64+CN64+CM64),"")</f>
        <v/>
      </c>
      <c r="CR332" s="219" t="str">
        <f>IFERROR((SUM(CR207,CR208,CR212,CR233)-CR139)/(CR64+CQ64+CP64+CN64),"")</f>
        <v/>
      </c>
      <c r="CS332" s="219" t="str">
        <f>IFERROR((SUM(CS207,CS208,CS212,CS233)-CS139)/(CS64+CR64+CQ64+CP64),"")</f>
        <v/>
      </c>
      <c r="CU332" s="219" t="str">
        <f>IFERROR((SUM(CU207,CU208,CU212,CU233)-CU139)/(CU64+CS64+CR64+CQ64),"")</f>
        <v/>
      </c>
      <c r="CV332" s="219" t="str">
        <f>IFERROR((SUM(CV207,CV208,CV212,CV233)-CV139)/(CV64+CU64+CS64+CR64),"")</f>
        <v/>
      </c>
      <c r="CW332" s="219" t="str">
        <f>IFERROR((SUM(CW207,CW208,CW212,CW233)-CW139)/(CW64+CV64+CU64+CS64),"")</f>
        <v/>
      </c>
      <c r="CX332" s="219" t="str">
        <f>IFERROR((SUM(CX207,CX208,CX212,CX233)-CX139)/(CX64+CW64+CV64+CU64),"")</f>
        <v/>
      </c>
    </row>
    <row r="333" customFormat="1" s="233">
      <c r="A333" s="224" t="n"/>
      <c r="B333" s="224" t="n"/>
      <c r="C333" s="233" t="inlineStr">
        <is>
          <t>INTEREST COVERAGE</t>
        </is>
      </c>
      <c r="D333" s="219">
        <f>IFERROR(D68/-D69,"")</f>
        <v>0</v>
      </c>
      <c r="E333" s="219">
        <f>IFERROR(E68/-E69,"")</f>
        <v>0</v>
      </c>
      <c r="F333" s="219">
        <f>IFERROR(F68/-F69,"")</f>
        <v>0</v>
      </c>
      <c r="G333" s="219">
        <f>IFERROR(G68/-G69,"")</f>
        <v>0</v>
      </c>
      <c r="I333" s="219">
        <f>IFERROR(I68/-I69,"")</f>
        <v>0</v>
      </c>
      <c r="J333" s="219">
        <f>IFERROR(J68/-J69,"")</f>
        <v>0</v>
      </c>
      <c r="K333" s="219">
        <f>IFERROR(K68/-K69,"")</f>
        <v>0</v>
      </c>
      <c r="L333" s="219">
        <f>IFERROR(L68/-L69,"")</f>
        <v>0</v>
      </c>
      <c r="N333" s="219">
        <f>IFERROR(N68/-N69,"")</f>
        <v>0</v>
      </c>
      <c r="O333" s="219">
        <f>IFERROR(O68/-O69,"")</f>
        <v>0</v>
      </c>
      <c r="P333" s="219">
        <f>IFERROR(P68/-P69,"")</f>
        <v>0</v>
      </c>
      <c r="Q333" s="219">
        <f>IFERROR(Q68/-Q69,"")</f>
        <v>0</v>
      </c>
      <c r="S333" s="219">
        <f>IFERROR(S68/-S69,"")</f>
        <v>0</v>
      </c>
      <c r="T333" s="219">
        <f>IFERROR(T68/-T69,"")</f>
        <v>0</v>
      </c>
      <c r="U333" s="219">
        <f>IFERROR(U68/-U69,"")</f>
        <v>0</v>
      </c>
      <c r="V333" s="219">
        <f>IFERROR(V68/-V69,"")</f>
        <v>0</v>
      </c>
      <c r="X333" s="219">
        <f>IFERROR(X68/-X69,"")</f>
        <v>0</v>
      </c>
      <c r="Y333" s="219">
        <f>IFERROR(Y68/-Y69,"")</f>
        <v>0</v>
      </c>
      <c r="Z333" s="219">
        <f>IFERROR(Z68/-Z69,"")</f>
        <v>0</v>
      </c>
      <c r="AA333" s="219">
        <f>IFERROR(AA68/-AA69,"")</f>
        <v>0</v>
      </c>
      <c r="AC333" s="219">
        <f>IFERROR(AC68/-AC69,"")</f>
        <v>0</v>
      </c>
      <c r="AD333" s="219">
        <f>IFERROR(AD68/-AD69,"")</f>
        <v>0</v>
      </c>
      <c r="AE333" s="219">
        <f>IFERROR(AE68/-AE69,"")</f>
        <v>0</v>
      </c>
      <c r="AF333" s="219">
        <f>IFERROR(AF68/-AF69,"")</f>
        <v>0</v>
      </c>
      <c r="AH333" s="219" t="str">
        <f>IFERROR(AH68/-AH69,"")</f>
        <v/>
      </c>
      <c r="AI333" s="219" t="str">
        <f>IFERROR(AI68/-AI69,"")</f>
        <v/>
      </c>
      <c r="AJ333" s="219" t="str">
        <f>IFERROR(AJ68/-AJ69,"")</f>
        <v/>
      </c>
      <c r="AK333" s="219" t="str">
        <f>IFERROR(AK68/-AK69,"")</f>
        <v/>
      </c>
      <c r="AM333" s="219" t="str">
        <f>IFERROR(AM68/-AM69,"")</f>
        <v/>
      </c>
      <c r="AN333" s="219" t="str">
        <f>IFERROR(AN68/-AN69,"")</f>
        <v/>
      </c>
      <c r="AO333" s="219" t="str">
        <f>IFERROR(AO68/-AO69,"")</f>
        <v/>
      </c>
      <c r="AP333" s="219" t="str">
        <f>IFERROR(AP68/-AP69,"")</f>
        <v/>
      </c>
      <c r="AR333" s="219" t="str">
        <f>IFERROR(AR68/-AR69,"")</f>
        <v/>
      </c>
      <c r="AS333" s="219" t="str">
        <f>IFERROR(AS68/-AS69,"")</f>
        <v/>
      </c>
      <c r="AT333" s="219" t="str">
        <f>IFERROR(AT68/-AT69,"")</f>
        <v/>
      </c>
      <c r="AU333" s="219" t="str">
        <f>IFERROR(AU68/-AU69,"")</f>
        <v/>
      </c>
      <c r="AW333" s="219" t="str">
        <f>IFERROR(AW68/-AW69,"")</f>
        <v/>
      </c>
      <c r="AX333" s="219" t="str">
        <f>IFERROR(AX68/-AX69,"")</f>
        <v/>
      </c>
      <c r="AY333" s="219" t="str">
        <f>IFERROR(AY68/-AY69,"")</f>
        <v/>
      </c>
      <c r="AZ333" s="219" t="str">
        <f>IFERROR(AZ68/-AZ69,"")</f>
        <v/>
      </c>
      <c r="BB333" s="219" t="str">
        <f>IFERROR(BB68/-BB69,"")</f>
        <v/>
      </c>
      <c r="BC333" s="219" t="str">
        <f>IFERROR(BC68/-BC69,"")</f>
        <v/>
      </c>
      <c r="BD333" s="219" t="str">
        <f>IFERROR(BD68/-BD69,"")</f>
        <v/>
      </c>
      <c r="BE333" s="219" t="str">
        <f>IFERROR(BE68/-BE69,"")</f>
        <v/>
      </c>
      <c r="BG333" s="219" t="str">
        <f>IFERROR(BG68/-BG69,"")</f>
        <v/>
      </c>
      <c r="BH333" s="219" t="str">
        <f>IFERROR(BH68/-BH69,"")</f>
        <v/>
      </c>
      <c r="BI333" s="219" t="str">
        <f>IFERROR(BI68/-BI69,"")</f>
        <v/>
      </c>
      <c r="BJ333" s="219" t="str">
        <f>IFERROR(BJ68/-BJ69,"")</f>
        <v/>
      </c>
      <c r="BL333" s="219" t="str">
        <f>IFERROR(BL68/-BL69,"")</f>
        <v/>
      </c>
      <c r="BM333" s="219" t="str">
        <f>IFERROR(BM68/-BM69,"")</f>
        <v/>
      </c>
      <c r="BN333" s="219" t="str">
        <f>IFERROR(BN68/-BN69,"")</f>
        <v/>
      </c>
      <c r="BO333" s="219" t="str">
        <f>IFERROR(BO68/-BO69,"")</f>
        <v/>
      </c>
      <c r="BQ333" s="219" t="str">
        <f>IFERROR(BQ68/-BQ69,"")</f>
        <v/>
      </c>
      <c r="BR333" s="219" t="str">
        <f>IFERROR(BR68/-BR69,"")</f>
        <v/>
      </c>
      <c r="BS333" s="219" t="str">
        <f>IFERROR(BS68/-BS69,"")</f>
        <v/>
      </c>
      <c r="BT333" s="219" t="str">
        <f>IFERROR(BT68/-BT69,"")</f>
        <v/>
      </c>
      <c r="BV333" s="219" t="str">
        <f>IFERROR(BV68/-BV69,"")</f>
        <v/>
      </c>
      <c r="BW333" s="219" t="str">
        <f>IFERROR(BW68/-BW69,"")</f>
        <v/>
      </c>
      <c r="BX333" s="219" t="str">
        <f>IFERROR(BX68/-BX69,"")</f>
        <v/>
      </c>
      <c r="BY333" s="219" t="str">
        <f>IFERROR(BY68/-BY69,"")</f>
        <v/>
      </c>
      <c r="CA333" s="219" t="str">
        <f>IFERROR(CA68/-CA69,"")</f>
        <v/>
      </c>
      <c r="CB333" s="219" t="str">
        <f>IFERROR(CB68/-CB69,"")</f>
        <v/>
      </c>
      <c r="CC333" s="219" t="str">
        <f>IFERROR(CC68/-CC69,"")</f>
        <v/>
      </c>
      <c r="CD333" s="219" t="str">
        <f>IFERROR(CD68/-CD69,"")</f>
        <v/>
      </c>
      <c r="CF333" s="219" t="str">
        <f>IFERROR(CF68/-CF69,"")</f>
        <v/>
      </c>
      <c r="CG333" s="219" t="str">
        <f>IFERROR(CG68/-CG69,"")</f>
        <v/>
      </c>
      <c r="CH333" s="219" t="str">
        <f>IFERROR(CH68/-CH69,"")</f>
        <v/>
      </c>
      <c r="CI333" s="219" t="str">
        <f>IFERROR(CI68/-CI69,"")</f>
        <v/>
      </c>
      <c r="CK333" s="219" t="str">
        <f>IFERROR(CK68/-CK69,"")</f>
        <v/>
      </c>
      <c r="CL333" s="219" t="str">
        <f>IFERROR(CL68/-CL69,"")</f>
        <v/>
      </c>
      <c r="CM333" s="219" t="str">
        <f>IFERROR(CM68/-CM69,"")</f>
        <v/>
      </c>
      <c r="CN333" s="219" t="str">
        <f>IFERROR(CN68/-CN69,"")</f>
        <v/>
      </c>
      <c r="CP333" s="219" t="str">
        <f>IFERROR(CP68/-CP69,"")</f>
        <v/>
      </c>
      <c r="CQ333" s="219" t="str">
        <f>IFERROR(CQ68/-CQ69,"")</f>
        <v/>
      </c>
      <c r="CR333" s="219" t="str">
        <f>IFERROR(CR68/-CR69,"")</f>
        <v/>
      </c>
      <c r="CS333" s="219" t="str">
        <f>IFERROR(CS68/-CS69,"")</f>
        <v/>
      </c>
      <c r="CU333" s="219" t="str">
        <f>IFERROR(CU68/-CU69,"")</f>
        <v/>
      </c>
      <c r="CV333" s="219" t="str">
        <f>IFERROR(CV68/-CV69,"")</f>
        <v/>
      </c>
      <c r="CW333" s="219" t="str">
        <f>IFERROR(CW68/-CW69,"")</f>
        <v/>
      </c>
      <c r="CX333" s="219" t="str">
        <f>IFERROR(CX68/-CX69,"")</f>
        <v/>
      </c>
    </row>
    <row r="334" customFormat="1" s="233">
      <c r="A334" s="224" t="n"/>
      <c r="B334" s="224" t="n"/>
    </row>
    <row r="335" customFormat="1" s="233">
      <c r="A335" s="224" t="n"/>
      <c r="B335" s="224" t="n"/>
      <c r="C335" s="234" t="inlineStr">
        <is>
          <t>INTERNAL LIQUIDITY</t>
        </is>
      </c>
    </row>
    <row r="336" customFormat="1" s="233">
      <c r="A336" s="224" t="n"/>
      <c r="B336" s="224" t="n"/>
      <c r="C336" s="233" t="inlineStr">
        <is>
          <t>CURRENT RATIO</t>
        </is>
      </c>
      <c r="D336" s="219">
        <f>SUM(D139,D140,D144,D148,D149,D150)/SUM(D193,D197,D199,D200)</f>
        <v>1.75875328448442</v>
      </c>
      <c r="E336" s="219">
        <f>SUM(E139,E140,E144,E148,E149,E150)/SUM(E193,E197,E199,E200)</f>
        <v>1.59106548434921</v>
      </c>
      <c r="F336" s="219">
        <f>SUM(F139,F140,F144,F148,F149,F150)/SUM(F193,F197,F199,F200)</f>
        <v>1.65023618452245</v>
      </c>
      <c r="G336" s="219">
        <f>SUM(G139,G140,G144,G148,G149,G150)/SUM(G193,G197,G199,G200)</f>
        <v>1.62692717812217</v>
      </c>
      <c r="I336" s="219">
        <f>SUM(I139,I140,I144,I148,I149,I150)/SUM(I193,I197,I199,I200)</f>
        <v>1.64436815181095</v>
      </c>
      <c r="J336" s="219">
        <f>SUM(J139,J140,J144,J148,J149,J150)/SUM(J193,J197,J199,J200)</f>
        <v>1.49987607681735</v>
      </c>
      <c r="K336" s="219">
        <f>SUM(K139,K140,K144,K148,K149,K150)/SUM(K193,K197,K199,K200)</f>
        <v>1.68610446406469</v>
      </c>
      <c r="L336" s="219">
        <f>SUM(L139,L140,L144,L148,L149,L150)/SUM(L193,L197,L199,L200)</f>
        <v>1.54958414727994</v>
      </c>
      <c r="N336" s="219">
        <f>SUM(N139,N140,N144,N148,N149,N150)/SUM(N193,N197,N199,N200)</f>
        <v>1.61508216889303</v>
      </c>
      <c r="O336" s="219">
        <f>SUM(O139,O140,O144,O148,O149,O150)/SUM(O193,O197,O199,O200)</f>
        <v>1.4436172104187</v>
      </c>
      <c r="P336" s="219">
        <f>SUM(P139,P140,P144,P148,P149,P150)/SUM(P193,P197,P199,P200)</f>
        <v>1.43974058469105</v>
      </c>
      <c r="Q336" s="219">
        <f>SUM(Q139,Q140,Q144,Q148,Q149,Q150)/SUM(Q193,Q197,Q199,Q200)</f>
        <v>1.3319221594797</v>
      </c>
      <c r="S336" s="219">
        <f>SUM(S139,S140,S144,S148,S149,S150)/SUM(S193,S197,S199,S200)</f>
        <v>1.51297877790203</v>
      </c>
      <c r="T336" s="219">
        <f>SUM(T139,T140,T144,T148,T149,T150)/SUM(T193,T197,T199,T200)</f>
        <v>1.37714069707561</v>
      </c>
      <c r="U336" s="219">
        <f>SUM(U139,U140,U144,U148,U149,U150)/SUM(U193,U197,U199,U200)</f>
        <v>1.39629938998152</v>
      </c>
      <c r="V336" s="219">
        <f>SUM(V139,V140,V144,V148,V149,V150)/SUM(V193,V197,V199,V200)</f>
        <v>1.5304703095342</v>
      </c>
      <c r="X336" s="219">
        <f>SUM(X139,X140,X144,X148,X149,X150)/SUM(X193,X197,X199,X200)</f>
        <v>1.81881321326992</v>
      </c>
      <c r="Y336" s="219">
        <f>SUM(Y139,Y140,Y144,Y148,Y149,Y150)/SUM(Y193,Y197,Y199,Y200)</f>
        <v>1.67851873440318</v>
      </c>
      <c r="Z336" s="219">
        <f>SUM(Z139,Z140,Z144,Z148,Z149,Z150)/SUM(Z193,Z197,Z199,Z200)</f>
        <v>1.71715678899813</v>
      </c>
      <c r="AA336" s="219">
        <f>SUM(AA139,AA140,AA144,AA148,AA149,AA150)/SUM(AA193,AA197,AA199,AA200)</f>
        <v>1.75155527848836</v>
      </c>
      <c r="AC336" s="219">
        <f>SUM(AC139,AC140,AC144,AC148,AC149,AC150)/SUM(AC193,AC197,AC199,AC200)</f>
        <v>1.91290395636369</v>
      </c>
      <c r="AD336" s="219">
        <f>SUM(AD139,AD140,AD144,AD148,AD149,AD150)/SUM(AD193,AD197,AD199,AD200)</f>
        <v>1.78042539388879</v>
      </c>
      <c r="AE336" s="219">
        <f>SUM(AE139,AE140,AE144,AE148,AE149,AE150)/SUM(AE193,AE197,AE199,AE200)</f>
        <v>1.84466044629803</v>
      </c>
      <c r="AF336" s="219">
        <f>SUM(AF139,AF140,AF144,AF148,AF149,AF150)/SUM(AF193,AF197,AF199,AF200)</f>
        <v>1.9524305658917</v>
      </c>
      <c r="AH336" s="219">
        <f>SUM(AH139,AH140,AH144,AH148,AH149,AH150)/SUM(AH193,AH197,AH199,AH200)</f>
        <v>2.02809952809953</v>
      </c>
      <c r="AI336" s="219">
        <f>SUM(AI139,AI140,AI144,AI148,AI149,AI150)/SUM(AI193,AI197,AI199,AI200)</f>
        <v>1.83578678331818</v>
      </c>
      <c r="AJ336" s="219">
        <f>SUM(AJ139,AJ140,AJ144,AJ148,AJ149,AJ150)/SUM(AJ193,AJ197,AJ199,AJ200)</f>
        <v>2.85988834995882</v>
      </c>
      <c r="AK336" s="219">
        <f>SUM(AK139,AK140,AK144,AK148,AK149,AK150)/SUM(AK193,AK197,AK199,AK200)</f>
        <v>3.14197248406089</v>
      </c>
      <c r="AM336" s="219" t="e">
        <f>SUM(AM139,AM140,AM144,AM148,AM149,AM150)/SUM(AM193,AM197,AM199,AM200)</f>
        <v>#DIV/0!</v>
      </c>
      <c r="AN336" s="219" t="e">
        <f>SUM(AN139,AN140,AN144,AN148,AN149,AN150)/SUM(AN193,AN197,AN199,AN200)</f>
        <v>#DIV/0!</v>
      </c>
      <c r="AO336" s="219" t="e">
        <f>SUM(AO139,AO140,AO144,AO148,AO149,AO150)/SUM(AO193,AO197,AO199,AO200)</f>
        <v>#DIV/0!</v>
      </c>
      <c r="AP336" s="219" t="e">
        <f>SUM(AP139,AP140,AP144,AP148,AP149,AP150)/SUM(AP193,AP197,AP199,AP200)</f>
        <v>#DIV/0!</v>
      </c>
      <c r="AR336" s="219" t="e">
        <f>SUM(AR139,AR140,AR144,AR148,AR149,AR150)/SUM(AR193,AR197,AR199,AR200)</f>
        <v>#DIV/0!</v>
      </c>
      <c r="AS336" s="219" t="e">
        <f>SUM(AS139,AS140,AS144,AS148,AS149,AS150)/SUM(AS193,AS197,AS199,AS200)</f>
        <v>#DIV/0!</v>
      </c>
      <c r="AT336" s="219" t="e">
        <f>SUM(AT139,AT140,AT144,AT148,AT149,AT150)/SUM(AT193,AT197,AT199,AT200)</f>
        <v>#DIV/0!</v>
      </c>
      <c r="AU336" s="219" t="e">
        <f>SUM(AU139,AU140,AU144,AU148,AU149,AU150)/SUM(AU193,AU197,AU199,AU200)</f>
        <v>#DIV/0!</v>
      </c>
      <c r="AW336" s="219" t="e">
        <f>SUM(AW139,AW140,AW144,AW148,AW149,AW150)/SUM(AW193,AW197,AW199,AW200)</f>
        <v>#DIV/0!</v>
      </c>
      <c r="AX336" s="219" t="e">
        <f>SUM(AX139,AX140,AX144,AX148,AX149,AX150)/SUM(AX193,AX197,AX199,AX200)</f>
        <v>#DIV/0!</v>
      </c>
      <c r="AY336" s="219" t="e">
        <f>SUM(AY139,AY140,AY144,AY148,AY149,AY150)/SUM(AY193,AY197,AY199,AY200)</f>
        <v>#DIV/0!</v>
      </c>
      <c r="AZ336" s="219" t="e">
        <f>SUM(AZ139,AZ140,AZ144,AZ148,AZ149,AZ150)/SUM(AZ193,AZ197,AZ199,AZ200)</f>
        <v>#DIV/0!</v>
      </c>
      <c r="BB336" s="219" t="e">
        <f>SUM(BB139,BB140,BB144,BB148,BB149,BB150)/SUM(BB193,BB197,BB199,BB200)</f>
        <v>#DIV/0!</v>
      </c>
      <c r="BC336" s="219" t="e">
        <f>SUM(BC139,BC140,BC144,BC148,BC149,BC150)/SUM(BC193,BC197,BC199,BC200)</f>
        <v>#DIV/0!</v>
      </c>
      <c r="BD336" s="219" t="e">
        <f>SUM(BD139,BD140,BD144,BD148,BD149,BD150)/SUM(BD193,BD197,BD199,BD200)</f>
        <v>#DIV/0!</v>
      </c>
      <c r="BE336" s="219" t="e">
        <f>SUM(BE139,BE140,BE144,BE148,BE149,BE150)/SUM(BE193,BE197,BE199,BE200)</f>
        <v>#DIV/0!</v>
      </c>
      <c r="BG336" s="219" t="e">
        <f>SUM(BG139,BG140,BG144,BG148,BG149,BG150)/SUM(BG193,BG197,BG199,BG200)</f>
        <v>#DIV/0!</v>
      </c>
      <c r="BH336" s="219" t="e">
        <f>SUM(BH139,BH140,BH144,BH148,BH149,BH150)/SUM(BH193,BH197,BH199,BH200)</f>
        <v>#DIV/0!</v>
      </c>
      <c r="BI336" s="219" t="e">
        <f>SUM(BI139,BI140,BI144,BI148,BI149,BI150)/SUM(BI193,BI197,BI199,BI200)</f>
        <v>#DIV/0!</v>
      </c>
      <c r="BJ336" s="219" t="e">
        <f>SUM(BJ139,BJ140,BJ144,BJ148,BJ149,BJ150)/SUM(BJ193,BJ197,BJ199,BJ200)</f>
        <v>#DIV/0!</v>
      </c>
      <c r="BL336" s="219" t="e">
        <f>SUM(BL139,BL140,BL144,BL148,BL149,BL150)/SUM(BL193,BL197,BL199,BL200)</f>
        <v>#DIV/0!</v>
      </c>
      <c r="BM336" s="219" t="e">
        <f>SUM(BM139,BM140,BM144,BM148,BM149,BM150)/SUM(BM193,BM197,BM199,BM200)</f>
        <v>#DIV/0!</v>
      </c>
      <c r="BN336" s="219" t="e">
        <f>SUM(BN139,BN140,BN144,BN148,BN149,BN150)/SUM(BN193,BN197,BN199,BN200)</f>
        <v>#DIV/0!</v>
      </c>
      <c r="BO336" s="219" t="e">
        <f>SUM(BO139,BO140,BO144,BO148,BO149,BO150)/SUM(BO193,BO197,BO199,BO200)</f>
        <v>#DIV/0!</v>
      </c>
      <c r="BQ336" s="219" t="e">
        <f>SUM(BQ139,BQ140,BQ144,BQ148,BQ149,BQ150)/SUM(BQ193,BQ197,BQ199,BQ200)</f>
        <v>#DIV/0!</v>
      </c>
      <c r="BR336" s="219" t="e">
        <f>SUM(BR139,BR140,BR144,BR148,BR149,BR150)/SUM(BR193,BR197,BR199,BR200)</f>
        <v>#DIV/0!</v>
      </c>
      <c r="BS336" s="219" t="e">
        <f>SUM(BS139,BS140,BS144,BS148,BS149,BS150)/SUM(BS193,BS197,BS199,BS200)</f>
        <v>#DIV/0!</v>
      </c>
      <c r="BT336" s="219" t="e">
        <f>SUM(BT139,BT140,BT144,BT148,BT149,BT150)/SUM(BT193,BT197,BT199,BT200)</f>
        <v>#DIV/0!</v>
      </c>
      <c r="BV336" s="219" t="e">
        <f>SUM(BV139,BV140,BV144,BV148,BV149,BV150)/SUM(BV193,BV197,BV199,BV200)</f>
        <v>#DIV/0!</v>
      </c>
      <c r="BW336" s="219" t="e">
        <f>SUM(BW139,BW140,BW144,BW148,BW149,BW150)/SUM(BW193,BW197,BW199,BW200)</f>
        <v>#DIV/0!</v>
      </c>
      <c r="BX336" s="219" t="e">
        <f>SUM(BX139,BX140,BX144,BX148,BX149,BX150)/SUM(BX193,BX197,BX199,BX200)</f>
        <v>#DIV/0!</v>
      </c>
      <c r="BY336" s="219" t="e">
        <f>SUM(BY139,BY140,BY144,BY148,BY149,BY150)/SUM(BY193,BY197,BY199,BY200)</f>
        <v>#DIV/0!</v>
      </c>
      <c r="CA336" s="219" t="e">
        <f>SUM(CA139,CA140,CA144,CA148,CA149,CA150)/SUM(CA193,CA197,CA199,CA200)</f>
        <v>#DIV/0!</v>
      </c>
      <c r="CB336" s="219" t="e">
        <f>SUM(CB139,CB140,CB144,CB148,CB149,CB150)/SUM(CB193,CB197,CB199,CB200)</f>
        <v>#DIV/0!</v>
      </c>
      <c r="CC336" s="219" t="e">
        <f>SUM(CC139,CC140,CC144,CC148,CC149,CC150)/SUM(CC193,CC197,CC199,CC200)</f>
        <v>#DIV/0!</v>
      </c>
      <c r="CD336" s="219" t="e">
        <f>SUM(CD139,CD140,CD144,CD148,CD149,CD150)/SUM(CD193,CD197,CD199,CD200)</f>
        <v>#DIV/0!</v>
      </c>
      <c r="CF336" s="219" t="e">
        <f>SUM(CF139,CF140,CF144,CF148,CF149,CF150)/SUM(CF193,CF197,CF199,CF200)</f>
        <v>#DIV/0!</v>
      </c>
      <c r="CG336" s="219" t="e">
        <f>SUM(CG139,CG140,CG144,CG148,CG149,CG150)/SUM(CG193,CG197,CG199,CG200)</f>
        <v>#DIV/0!</v>
      </c>
      <c r="CH336" s="219" t="e">
        <f>SUM(CH139,CH140,CH144,CH148,CH149,CH150)/SUM(CH193,CH197,CH199,CH200)</f>
        <v>#DIV/0!</v>
      </c>
      <c r="CI336" s="219" t="e">
        <f>SUM(CI139,CI140,CI144,CI148,CI149,CI150)/SUM(CI193,CI197,CI199,CI200)</f>
        <v>#DIV/0!</v>
      </c>
      <c r="CK336" s="219" t="e">
        <f>SUM(CK139,CK140,CK144,CK148,CK149,CK150)/SUM(CK193,CK197,CK199,CK200)</f>
        <v>#DIV/0!</v>
      </c>
      <c r="CL336" s="219" t="e">
        <f>SUM(CL139,CL140,CL144,CL148,CL149,CL150)/SUM(CL193,CL197,CL199,CL200)</f>
        <v>#DIV/0!</v>
      </c>
      <c r="CM336" s="219" t="e">
        <f>SUM(CM139,CM140,CM144,CM148,CM149,CM150)/SUM(CM193,CM197,CM199,CM200)</f>
        <v>#DIV/0!</v>
      </c>
      <c r="CN336" s="219" t="e">
        <f>SUM(CN139,CN140,CN144,CN148,CN149,CN150)/SUM(CN193,CN197,CN199,CN200)</f>
        <v>#DIV/0!</v>
      </c>
      <c r="CP336" s="219" t="e">
        <f>SUM(CP139,CP140,CP144,CP148,CP149,CP150)/SUM(CP193,CP197,CP199,CP200)</f>
        <v>#DIV/0!</v>
      </c>
      <c r="CQ336" s="219" t="e">
        <f>SUM(CQ139,CQ140,CQ144,CQ148,CQ149,CQ150)/SUM(CQ193,CQ197,CQ199,CQ200)</f>
        <v>#DIV/0!</v>
      </c>
      <c r="CR336" s="219" t="e">
        <f>SUM(CR139,CR140,CR144,CR148,CR149,CR150)/SUM(CR193,CR197,CR199,CR200)</f>
        <v>#DIV/0!</v>
      </c>
      <c r="CS336" s="219" t="e">
        <f>SUM(CS139,CS140,CS144,CS148,CS149,CS150)/SUM(CS193,CS197,CS199,CS200)</f>
        <v>#DIV/0!</v>
      </c>
      <c r="CU336" s="219" t="e">
        <f>SUM(CU139,CU140,CU144,CU148,CU149,CU150)/SUM(CU193,CU197,CU199,CU200)</f>
        <v>#DIV/0!</v>
      </c>
      <c r="CV336" s="219" t="e">
        <f>SUM(CV139,CV140,CV144,CV148,CV149,CV150)/SUM(CV193,CV197,CV199,CV200)</f>
        <v>#DIV/0!</v>
      </c>
      <c r="CW336" s="219" t="e">
        <f>SUM(CW139,CW140,CW144,CW148,CW149,CW150)/SUM(CW193,CW197,CW199,CW200)</f>
        <v>#DIV/0!</v>
      </c>
      <c r="CX336" s="219" t="e">
        <f>SUM(CX139,CX140,CX144,CX148,CX149,CX150)/SUM(CX193,CX197,CX199,CX200)</f>
        <v>#DIV/0!</v>
      </c>
    </row>
    <row r="337" customFormat="1" s="233">
      <c r="A337" s="224" t="n"/>
      <c r="B337" s="224" t="n"/>
      <c r="C337" s="233" t="inlineStr">
        <is>
          <t>CASH RATIO</t>
        </is>
      </c>
      <c r="D337" s="219">
        <f>SUM(D139)/SUM(D193,D197,D199,D200)</f>
        <v>0.189848539873107</v>
      </c>
      <c r="E337" s="219">
        <f>SUM(E139)/SUM(E193,E197,E199,E200)</f>
        <v>0.222654246738837</v>
      </c>
      <c r="F337" s="219">
        <f>SUM(F139)/SUM(F193,F197,F199,F200)</f>
        <v>0.318743744183188</v>
      </c>
      <c r="G337" s="219">
        <f>SUM(G139)/SUM(G193,G197,G199,G200)</f>
        <v>0.29514387191431</v>
      </c>
      <c r="I337" s="219">
        <f>SUM(I139)/SUM(I193,I197,I199,I200)</f>
        <v>0.260596278172051</v>
      </c>
      <c r="J337" s="219">
        <f>SUM(J139)/SUM(J193,J197,J199,J200)</f>
        <v>0.245683342471103</v>
      </c>
      <c r="K337" s="219">
        <f>SUM(K139)/SUM(K193,K197,K199,K200)</f>
        <v>0.315644855186072</v>
      </c>
      <c r="L337" s="219">
        <f>SUM(L139)/SUM(L193,L197,L199,L200)</f>
        <v>0.289217427336767</v>
      </c>
      <c r="N337" s="219">
        <f>SUM(N139)/SUM(N193,N197,N199,N200)</f>
        <v>0.213489497177912</v>
      </c>
      <c r="O337" s="219">
        <f>SUM(O139)/SUM(O193,O197,O199,O200)</f>
        <v>0.202736539544256</v>
      </c>
      <c r="P337" s="219">
        <f>SUM(P139)/SUM(P193,P197,P199,P200)</f>
        <v>0.197157072805971</v>
      </c>
      <c r="Q337" s="219">
        <f>SUM(Q139)/SUM(Q193,Q197,Q199,Q200)</f>
        <v>0.141445664477429</v>
      </c>
      <c r="S337" s="219">
        <f>SUM(S139)/SUM(S193,S197,S199,S200)</f>
        <v>0.22923239353029</v>
      </c>
      <c r="T337" s="219">
        <f>SUM(T139)/SUM(T193,T197,T199,T200)</f>
        <v>0.154990303176395</v>
      </c>
      <c r="U337" s="219">
        <f>SUM(U139)/SUM(U193,U197,U199,U200)</f>
        <v>0.126251044118764</v>
      </c>
      <c r="V337" s="219">
        <f>SUM(V139)/SUM(V193,V197,V199,V200)</f>
        <v>0.14359424583225</v>
      </c>
      <c r="X337" s="219">
        <f>SUM(X139)/SUM(X193,X197,X199,X200)</f>
        <v>0.152614683771376</v>
      </c>
      <c r="Y337" s="219">
        <f>SUM(Y139)/SUM(Y193,Y197,Y199,Y200)</f>
        <v>0.153190404196798</v>
      </c>
      <c r="Z337" s="219">
        <f>SUM(Z139)/SUM(Z193,Z197,Z199,Z200)</f>
        <v>0.155682793653041</v>
      </c>
      <c r="AA337" s="219">
        <f>SUM(AA139)/SUM(AA193,AA197,AA199,AA200)</f>
        <v>0.147174272877749</v>
      </c>
      <c r="AC337" s="219">
        <f>SUM(AC139)/SUM(AC193,AC197,AC199,AC200)</f>
        <v>0.123627248893546</v>
      </c>
      <c r="AD337" s="219">
        <f>SUM(AD139)/SUM(AD193,AD197,AD199,AD200)</f>
        <v>0.106498639484386</v>
      </c>
      <c r="AE337" s="219">
        <f>SUM(AE139)/SUM(AE193,AE197,AE199,AE200)</f>
        <v>0.257440681003119</v>
      </c>
      <c r="AF337" s="219">
        <f>SUM(AF139)/SUM(AF193,AF197,AF199,AF200)</f>
        <v>0.216354597684041</v>
      </c>
      <c r="AH337" s="219">
        <f>SUM(AH139)/SUM(AH193,AH197,AH199,AH200)</f>
        <v>0.161855733284305</v>
      </c>
      <c r="AI337" s="219">
        <f>SUM(AI139)/SUM(AI193,AI197,AI199,AI200)</f>
        <v>0.219950357572928</v>
      </c>
      <c r="AJ337" s="219">
        <f>SUM(AJ139)/SUM(AJ193,AJ197,AJ199,AJ200)</f>
        <v>1.97907324364723</v>
      </c>
      <c r="AK337" s="219">
        <f>SUM(AK139)/SUM(AK193,AK197,AK199,AK200)</f>
        <v>2.26115737774931</v>
      </c>
      <c r="AM337" s="219" t="e">
        <f>SUM(AM139)/SUM(AM193,AM197,AM199,AM200)</f>
        <v>#DIV/0!</v>
      </c>
      <c r="AN337" s="219" t="e">
        <f>SUM(AN139)/SUM(AN193,AN197,AN199,AN200)</f>
        <v>#DIV/0!</v>
      </c>
      <c r="AO337" s="219" t="e">
        <f>SUM(AO139)/SUM(AO193,AO197,AO199,AO200)</f>
        <v>#DIV/0!</v>
      </c>
      <c r="AP337" s="219" t="e">
        <f>SUM(AP139)/SUM(AP193,AP197,AP199,AP200)</f>
        <v>#DIV/0!</v>
      </c>
      <c r="AR337" s="219" t="e">
        <f>SUM(AR139)/SUM(AR193,AR197,AR199,AR200)</f>
        <v>#DIV/0!</v>
      </c>
      <c r="AS337" s="219" t="e">
        <f>SUM(AS139)/SUM(AS193,AS197,AS199,AS200)</f>
        <v>#DIV/0!</v>
      </c>
      <c r="AT337" s="219" t="e">
        <f>SUM(AT139)/SUM(AT193,AT197,AT199,AT200)</f>
        <v>#DIV/0!</v>
      </c>
      <c r="AU337" s="219" t="e">
        <f>SUM(AU139)/SUM(AU193,AU197,AU199,AU200)</f>
        <v>#DIV/0!</v>
      </c>
      <c r="AW337" s="219" t="e">
        <f>SUM(AW139)/SUM(AW193,AW197,AW199,AW200)</f>
        <v>#DIV/0!</v>
      </c>
      <c r="AX337" s="219" t="e">
        <f>SUM(AX139)/SUM(AX193,AX197,AX199,AX200)</f>
        <v>#DIV/0!</v>
      </c>
      <c r="AY337" s="219" t="e">
        <f>SUM(AY139)/SUM(AY193,AY197,AY199,AY200)</f>
        <v>#DIV/0!</v>
      </c>
      <c r="AZ337" s="219" t="e">
        <f>SUM(AZ139)/SUM(AZ193,AZ197,AZ199,AZ200)</f>
        <v>#DIV/0!</v>
      </c>
      <c r="BB337" s="219" t="e">
        <f>SUM(BB139)/SUM(BB193,BB197,BB199,BB200)</f>
        <v>#DIV/0!</v>
      </c>
      <c r="BC337" s="219" t="e">
        <f>SUM(BC139)/SUM(BC193,BC197,BC199,BC200)</f>
        <v>#DIV/0!</v>
      </c>
      <c r="BD337" s="219" t="e">
        <f>SUM(BD139)/SUM(BD193,BD197,BD199,BD200)</f>
        <v>#DIV/0!</v>
      </c>
      <c r="BE337" s="219" t="e">
        <f>SUM(BE139)/SUM(BE193,BE197,BE199,BE200)</f>
        <v>#DIV/0!</v>
      </c>
      <c r="BG337" s="219" t="e">
        <f>SUM(BG139)/SUM(BG193,BG197,BG199,BG200)</f>
        <v>#DIV/0!</v>
      </c>
      <c r="BH337" s="219" t="e">
        <f>SUM(BH139)/SUM(BH193,BH197,BH199,BH200)</f>
        <v>#DIV/0!</v>
      </c>
      <c r="BI337" s="219" t="e">
        <f>SUM(BI139)/SUM(BI193,BI197,BI199,BI200)</f>
        <v>#DIV/0!</v>
      </c>
      <c r="BJ337" s="219" t="e">
        <f>SUM(BJ139)/SUM(BJ193,BJ197,BJ199,BJ200)</f>
        <v>#DIV/0!</v>
      </c>
      <c r="BL337" s="219" t="e">
        <f>SUM(BL139)/SUM(BL193,BL197,BL199,BL200)</f>
        <v>#DIV/0!</v>
      </c>
      <c r="BM337" s="219" t="e">
        <f>SUM(BM139)/SUM(BM193,BM197,BM199,BM200)</f>
        <v>#DIV/0!</v>
      </c>
      <c r="BN337" s="219" t="e">
        <f>SUM(BN139)/SUM(BN193,BN197,BN199,BN200)</f>
        <v>#DIV/0!</v>
      </c>
      <c r="BO337" s="219" t="e">
        <f>SUM(BO139)/SUM(BO193,BO197,BO199,BO200)</f>
        <v>#DIV/0!</v>
      </c>
      <c r="BQ337" s="219" t="e">
        <f>SUM(BQ139)/SUM(BQ193,BQ197,BQ199,BQ200)</f>
        <v>#DIV/0!</v>
      </c>
      <c r="BR337" s="219" t="e">
        <f>SUM(BR139)/SUM(BR193,BR197,BR199,BR200)</f>
        <v>#DIV/0!</v>
      </c>
      <c r="BS337" s="219" t="e">
        <f>SUM(BS139)/SUM(BS193,BS197,BS199,BS200)</f>
        <v>#DIV/0!</v>
      </c>
      <c r="BT337" s="219" t="e">
        <f>SUM(BT139)/SUM(BT193,BT197,BT199,BT200)</f>
        <v>#DIV/0!</v>
      </c>
      <c r="BV337" s="219" t="e">
        <f>SUM(BV139)/SUM(BV193,BV197,BV199,BV200)</f>
        <v>#DIV/0!</v>
      </c>
      <c r="BW337" s="219" t="e">
        <f>SUM(BW139)/SUM(BW193,BW197,BW199,BW200)</f>
        <v>#DIV/0!</v>
      </c>
      <c r="BX337" s="219" t="e">
        <f>SUM(BX139)/SUM(BX193,BX197,BX199,BX200)</f>
        <v>#DIV/0!</v>
      </c>
      <c r="BY337" s="219" t="e">
        <f>SUM(BY139)/SUM(BY193,BY197,BY199,BY200)</f>
        <v>#DIV/0!</v>
      </c>
      <c r="CA337" s="219" t="e">
        <f>SUM(CA139)/SUM(CA193,CA197,CA199,CA200)</f>
        <v>#DIV/0!</v>
      </c>
      <c r="CB337" s="219" t="e">
        <f>SUM(CB139)/SUM(CB193,CB197,CB199,CB200)</f>
        <v>#DIV/0!</v>
      </c>
      <c r="CC337" s="219" t="e">
        <f>SUM(CC139)/SUM(CC193,CC197,CC199,CC200)</f>
        <v>#DIV/0!</v>
      </c>
      <c r="CD337" s="219" t="e">
        <f>SUM(CD139)/SUM(CD193,CD197,CD199,CD200)</f>
        <v>#DIV/0!</v>
      </c>
      <c r="CF337" s="219" t="e">
        <f>SUM(CF139)/SUM(CF193,CF197,CF199,CF200)</f>
        <v>#DIV/0!</v>
      </c>
      <c r="CG337" s="219" t="e">
        <f>SUM(CG139)/SUM(CG193,CG197,CG199,CG200)</f>
        <v>#DIV/0!</v>
      </c>
      <c r="CH337" s="219" t="e">
        <f>SUM(CH139)/SUM(CH193,CH197,CH199,CH200)</f>
        <v>#DIV/0!</v>
      </c>
      <c r="CI337" s="219" t="e">
        <f>SUM(CI139)/SUM(CI193,CI197,CI199,CI200)</f>
        <v>#DIV/0!</v>
      </c>
      <c r="CK337" s="219" t="e">
        <f>SUM(CK139)/SUM(CK193,CK197,CK199,CK200)</f>
        <v>#DIV/0!</v>
      </c>
      <c r="CL337" s="219" t="e">
        <f>SUM(CL139)/SUM(CL193,CL197,CL199,CL200)</f>
        <v>#DIV/0!</v>
      </c>
      <c r="CM337" s="219" t="e">
        <f>SUM(CM139)/SUM(CM193,CM197,CM199,CM200)</f>
        <v>#DIV/0!</v>
      </c>
      <c r="CN337" s="219" t="e">
        <f>SUM(CN139)/SUM(CN193,CN197,CN199,CN200)</f>
        <v>#DIV/0!</v>
      </c>
      <c r="CP337" s="219" t="e">
        <f>SUM(CP139)/SUM(CP193,CP197,CP199,CP200)</f>
        <v>#DIV/0!</v>
      </c>
      <c r="CQ337" s="219" t="e">
        <f>SUM(CQ139)/SUM(CQ193,CQ197,CQ199,CQ200)</f>
        <v>#DIV/0!</v>
      </c>
      <c r="CR337" s="219" t="e">
        <f>SUM(CR139)/SUM(CR193,CR197,CR199,CR200)</f>
        <v>#DIV/0!</v>
      </c>
      <c r="CS337" s="219" t="e">
        <f>SUM(CS139)/SUM(CS193,CS197,CS199,CS200)</f>
        <v>#DIV/0!</v>
      </c>
      <c r="CU337" s="219" t="e">
        <f>SUM(CU139)/SUM(CU193,CU197,CU199,CU200)</f>
        <v>#DIV/0!</v>
      </c>
      <c r="CV337" s="219" t="e">
        <f>SUM(CV139)/SUM(CV193,CV197,CV199,CV200)</f>
        <v>#DIV/0!</v>
      </c>
      <c r="CW337" s="219" t="e">
        <f>SUM(CW139)/SUM(CW193,CW197,CW199,CW200)</f>
        <v>#DIV/0!</v>
      </c>
      <c r="CX337" s="219" t="e">
        <f>SUM(CX139)/SUM(CX193,CX197,CX199,CX200)</f>
        <v>#DIV/0!</v>
      </c>
    </row>
    <row r="338" customFormat="1" s="233">
      <c r="A338" s="224" t="n"/>
      <c r="B338" s="224" t="n"/>
    </row>
    <row r="339" customFormat="1" s="233">
      <c r="A339" s="224" t="n"/>
      <c r="B339" s="224" t="n"/>
      <c r="C339" s="234" t="inlineStr">
        <is>
          <t>OPERATING EFFICIENCY</t>
        </is>
      </c>
    </row>
    <row r="340" customFormat="1" s="238">
      <c r="A340" s="222" t="n"/>
      <c r="B340" s="222" t="n"/>
      <c r="C340" s="238" t="inlineStr">
        <is>
          <t>RETURN ON CAPITAL (ROIC)</t>
        </is>
      </c>
      <c r="D340" s="238">
        <f>D342/D345</f>
        <v>0</v>
      </c>
      <c r="E340" s="238">
        <f>E342/E345</f>
        <v>0</v>
      </c>
      <c r="F340" s="238">
        <f>F342/F345</f>
        <v>0</v>
      </c>
      <c r="G340" s="238">
        <f>G342/G345</f>
        <v>0</v>
      </c>
      <c r="H340" s="238">
        <f>H342/H345</f>
        <v>0</v>
      </c>
      <c r="I340" s="222">
        <f>I342/I345</f>
        <v>0</v>
      </c>
      <c r="J340" s="222">
        <f>J342/J345</f>
        <v>0</v>
      </c>
      <c r="K340" s="222">
        <f>K342/K345</f>
        <v>0</v>
      </c>
      <c r="L340" s="222">
        <f>L342/L345</f>
        <v>0</v>
      </c>
      <c r="M340" s="222">
        <f>M342/M345</f>
        <v>0</v>
      </c>
      <c r="N340" s="222">
        <f>N342/N345</f>
        <v>0</v>
      </c>
      <c r="O340" s="222">
        <f>O342/O345</f>
        <v>0</v>
      </c>
      <c r="P340" s="222">
        <f>P342/P345</f>
        <v>0</v>
      </c>
      <c r="Q340" s="222">
        <f>Q342/Q345</f>
        <v>0</v>
      </c>
      <c r="R340" s="222">
        <f>R342/R345</f>
        <v>0</v>
      </c>
      <c r="S340" s="222">
        <f>S342/S345</f>
        <v>0</v>
      </c>
      <c r="T340" s="222">
        <f>T342/T345</f>
        <v>0</v>
      </c>
      <c r="U340" s="222">
        <f>U342/U345</f>
        <v>0</v>
      </c>
      <c r="V340" s="222">
        <f>V342/V345</f>
        <v>0</v>
      </c>
      <c r="W340" s="222">
        <f>W342/W345</f>
        <v>0</v>
      </c>
      <c r="X340" s="222">
        <f>X342/X345</f>
        <v>0</v>
      </c>
      <c r="Y340" s="222">
        <f>Y342/Y345</f>
        <v>0</v>
      </c>
      <c r="Z340" s="222">
        <f>Z342/Z345</f>
        <v>0</v>
      </c>
      <c r="AA340" s="222">
        <f>AA342/AA345</f>
        <v>0</v>
      </c>
      <c r="AB340" s="222">
        <f>AB342/AB345</f>
        <v>0</v>
      </c>
      <c r="AC340" s="222">
        <f>AC342/AC345</f>
        <v>0</v>
      </c>
      <c r="AD340" s="222">
        <f>AD342/AD345</f>
        <v>0</v>
      </c>
      <c r="AE340" s="222">
        <f>AE342/AE345</f>
        <v>0</v>
      </c>
      <c r="AF340" s="222">
        <f>AF342/AF345</f>
        <v>0</v>
      </c>
      <c r="AG340" s="222">
        <f>AG342/AG345</f>
        <v>0</v>
      </c>
      <c r="AH340" s="222">
        <f>AH342/AH345</f>
        <v>0</v>
      </c>
      <c r="AI340" s="222">
        <f>AI342/AI345</f>
        <v>0</v>
      </c>
      <c r="AJ340" s="222">
        <f>AJ342/AJ345</f>
        <v>0</v>
      </c>
      <c r="AK340" s="222">
        <f>AK342/AK345</f>
        <v>0</v>
      </c>
      <c r="AL340" s="222">
        <f>AL342/AL345</f>
        <v>0</v>
      </c>
      <c r="AM340" s="222" t="e">
        <f>AM342/AM345</f>
        <v>#DIV/0!</v>
      </c>
      <c r="AN340" s="222">
        <f>AN342/AN345</f>
        <v>0</v>
      </c>
      <c r="AO340" s="222" t="e">
        <f>AO342/AO345</f>
        <v>#DIV/0!</v>
      </c>
      <c r="AP340" s="222" t="e">
        <f>AP342/AP345</f>
        <v>#DIV/0!</v>
      </c>
      <c r="AQ340" s="222" t="e">
        <f>AQ342/AQ345</f>
        <v>#DIV/0!</v>
      </c>
      <c r="AR340" s="222" t="e">
        <f>AR342/AR345</f>
        <v>#DIV/0!</v>
      </c>
      <c r="AS340" s="222" t="e">
        <f>AS342/AS345</f>
        <v>#DIV/0!</v>
      </c>
      <c r="AT340" s="222" t="e">
        <f>AT342/AT345</f>
        <v>#DIV/0!</v>
      </c>
      <c r="AU340" s="222" t="e">
        <f>AU342/AU345</f>
        <v>#DIV/0!</v>
      </c>
      <c r="AV340" s="222" t="e">
        <f>AV342/AV345</f>
        <v>#DIV/0!</v>
      </c>
      <c r="AW340" s="222" t="e">
        <f>AW342/AW345</f>
        <v>#DIV/0!</v>
      </c>
      <c r="AX340" s="222" t="e">
        <f>AX342/AX345</f>
        <v>#DIV/0!</v>
      </c>
      <c r="AY340" s="222" t="e">
        <f>AY342/AY345</f>
        <v>#DIV/0!</v>
      </c>
      <c r="AZ340" s="222" t="e">
        <f>AZ342/AZ345</f>
        <v>#DIV/0!</v>
      </c>
      <c r="BA340" s="222" t="e">
        <f>BA342/BA345</f>
        <v>#DIV/0!</v>
      </c>
      <c r="BB340" s="222" t="e">
        <f>BB342/BB345</f>
        <v>#DIV/0!</v>
      </c>
      <c r="BC340" s="222" t="e">
        <f>BC342/BC345</f>
        <v>#DIV/0!</v>
      </c>
      <c r="BD340" s="222" t="e">
        <f>BD342/BD345</f>
        <v>#DIV/0!</v>
      </c>
      <c r="BE340" s="222" t="e">
        <f>BE342/BE345</f>
        <v>#DIV/0!</v>
      </c>
      <c r="BF340" s="222" t="e">
        <f>BF342/BF345</f>
        <v>#DIV/0!</v>
      </c>
      <c r="BG340" s="222" t="e">
        <f>BG342/BG345</f>
        <v>#DIV/0!</v>
      </c>
      <c r="BH340" s="222" t="e">
        <f>BH342/BH345</f>
        <v>#DIV/0!</v>
      </c>
      <c r="BI340" s="222" t="e">
        <f>BI342/BI345</f>
        <v>#DIV/0!</v>
      </c>
      <c r="BJ340" s="222" t="e">
        <f>BJ342/BJ345</f>
        <v>#DIV/0!</v>
      </c>
      <c r="BK340" s="222" t="e">
        <f>BK342/BK345</f>
        <v>#DIV/0!</v>
      </c>
      <c r="BL340" s="222" t="e">
        <f>BL342/BL345</f>
        <v>#DIV/0!</v>
      </c>
      <c r="BM340" s="222" t="e">
        <f>BM342/BM345</f>
        <v>#DIV/0!</v>
      </c>
      <c r="BN340" s="222" t="e">
        <f>BN342/BN345</f>
        <v>#DIV/0!</v>
      </c>
      <c r="BO340" s="222" t="e">
        <f>BO342/BO345</f>
        <v>#DIV/0!</v>
      </c>
      <c r="BP340" s="222" t="e">
        <f>BP342/BP345</f>
        <v>#DIV/0!</v>
      </c>
      <c r="BQ340" s="222" t="e">
        <f>BQ342/BQ345</f>
        <v>#DIV/0!</v>
      </c>
      <c r="BR340" s="222" t="e">
        <f>BR342/BR345</f>
        <v>#DIV/0!</v>
      </c>
      <c r="BS340" s="222" t="e">
        <f>BS342/BS345</f>
        <v>#DIV/0!</v>
      </c>
      <c r="BT340" s="222" t="e">
        <f>BT342/BT345</f>
        <v>#DIV/0!</v>
      </c>
      <c r="BU340" s="222" t="e">
        <f>BU342/BU345</f>
        <v>#DIV/0!</v>
      </c>
      <c r="BV340" s="222" t="e">
        <f>BV342/BV345</f>
        <v>#DIV/0!</v>
      </c>
      <c r="BW340" s="222" t="e">
        <f>BW342/BW345</f>
        <v>#DIV/0!</v>
      </c>
      <c r="BX340" s="222" t="e">
        <f>BX342/BX345</f>
        <v>#DIV/0!</v>
      </c>
      <c r="BY340" s="222" t="e">
        <f>BY342/BY345</f>
        <v>#DIV/0!</v>
      </c>
      <c r="BZ340" s="222" t="e">
        <f>BZ342/BZ345</f>
        <v>#DIV/0!</v>
      </c>
      <c r="CA340" s="222" t="e">
        <f>CA342/CA345</f>
        <v>#DIV/0!</v>
      </c>
      <c r="CB340" s="222" t="e">
        <f>CB342/CB345</f>
        <v>#DIV/0!</v>
      </c>
      <c r="CC340" s="222" t="e">
        <f>CC342/CC345</f>
        <v>#DIV/0!</v>
      </c>
      <c r="CD340" s="222" t="e">
        <f>CD342/CD345</f>
        <v>#DIV/0!</v>
      </c>
      <c r="CE340" s="222" t="e">
        <f>CE342/CE345</f>
        <v>#DIV/0!</v>
      </c>
      <c r="CF340" s="222" t="e">
        <f>CF342/CF345</f>
        <v>#DIV/0!</v>
      </c>
      <c r="CG340" s="222" t="e">
        <f>CG342/CG345</f>
        <v>#DIV/0!</v>
      </c>
      <c r="CH340" s="222" t="e">
        <f>CH342/CH345</f>
        <v>#DIV/0!</v>
      </c>
      <c r="CI340" s="222" t="e">
        <f>CI342/CI345</f>
        <v>#DIV/0!</v>
      </c>
      <c r="CJ340" s="222" t="e">
        <f>CJ342/CJ345</f>
        <v>#DIV/0!</v>
      </c>
      <c r="CK340" s="222" t="e">
        <f>CK342/CK345</f>
        <v>#DIV/0!</v>
      </c>
      <c r="CL340" s="222" t="e">
        <f>CL342/CL345</f>
        <v>#DIV/0!</v>
      </c>
      <c r="CM340" s="222" t="e">
        <f>CM342/CM345</f>
        <v>#DIV/0!</v>
      </c>
      <c r="CN340" s="222" t="e">
        <f>CN342/CN345</f>
        <v>#DIV/0!</v>
      </c>
      <c r="CO340" s="222" t="e">
        <f>CO342/CO345</f>
        <v>#DIV/0!</v>
      </c>
      <c r="CP340" s="222" t="e">
        <f>CP342/CP345</f>
        <v>#DIV/0!</v>
      </c>
      <c r="CQ340" s="222" t="e">
        <f>CQ342/CQ345</f>
        <v>#DIV/0!</v>
      </c>
      <c r="CR340" s="222" t="e">
        <f>CR342/CR345</f>
        <v>#DIV/0!</v>
      </c>
      <c r="CS340" s="222" t="e">
        <f>CS342/CS345</f>
        <v>#DIV/0!</v>
      </c>
      <c r="CT340" s="222" t="e">
        <f>CT342/CT345</f>
        <v>#DIV/0!</v>
      </c>
      <c r="CU340" s="222" t="e">
        <f>CU342/CU345</f>
        <v>#DIV/0!</v>
      </c>
      <c r="CV340" s="222" t="e">
        <f>CV342/CV345</f>
        <v>#DIV/0!</v>
      </c>
      <c r="CW340" s="222" t="e">
        <f>CW342/CW345</f>
        <v>#DIV/0!</v>
      </c>
      <c r="CX340" s="222" t="e">
        <f>CX342/CX345</f>
        <v>#DIV/0!</v>
      </c>
      <c r="CY340" s="222" t="e">
        <f>CY342/CY345</f>
        <v>#DIV/0!</v>
      </c>
    </row>
    <row r="341" customFormat="1" s="238">
      <c r="A341" s="222" t="n"/>
      <c r="B341" s="222" t="n"/>
      <c r="C341" s="238" t="inlineStr">
        <is>
          <t>RETURN ON CAPITAL (ROIC) - EX GOODWILL</t>
        </is>
      </c>
      <c r="D341" s="238">
        <f>D342/D346</f>
        <v>0</v>
      </c>
      <c r="E341" s="238">
        <f>E342/E346</f>
        <v>0</v>
      </c>
      <c r="F341" s="238">
        <f>F342/F346</f>
        <v>0</v>
      </c>
      <c r="G341" s="238">
        <f>G342/G346</f>
        <v>0</v>
      </c>
      <c r="H341" s="238">
        <f>H342/H346</f>
        <v>0</v>
      </c>
      <c r="I341" s="222">
        <f>I342/I346</f>
        <v>0</v>
      </c>
      <c r="J341" s="222">
        <f>J342/J346</f>
        <v>0</v>
      </c>
      <c r="K341" s="222">
        <f>K342/K346</f>
        <v>0</v>
      </c>
      <c r="L341" s="222">
        <f>L342/L346</f>
        <v>0</v>
      </c>
      <c r="M341" s="222">
        <f>M342/M346</f>
        <v>0</v>
      </c>
      <c r="N341" s="222">
        <f>N342/N346</f>
        <v>0</v>
      </c>
      <c r="O341" s="222">
        <f>O342/O346</f>
        <v>0</v>
      </c>
      <c r="P341" s="222">
        <f>P342/P346</f>
        <v>0</v>
      </c>
      <c r="Q341" s="222">
        <f>Q342/Q346</f>
        <v>0</v>
      </c>
      <c r="R341" s="222">
        <f>R342/R346</f>
        <v>0</v>
      </c>
      <c r="S341" s="222">
        <f>S342/S346</f>
        <v>0</v>
      </c>
      <c r="T341" s="222">
        <f>T342/T346</f>
        <v>0</v>
      </c>
      <c r="U341" s="222">
        <f>U342/U346</f>
        <v>0</v>
      </c>
      <c r="V341" s="222">
        <f>V342/V346</f>
        <v>0</v>
      </c>
      <c r="W341" s="222">
        <f>W342/W346</f>
        <v>0</v>
      </c>
      <c r="X341" s="222">
        <f>X342/X346</f>
        <v>0</v>
      </c>
      <c r="Y341" s="222">
        <f>Y342/Y346</f>
        <v>0</v>
      </c>
      <c r="Z341" s="222">
        <f>Z342/Z346</f>
        <v>0</v>
      </c>
      <c r="AA341" s="222">
        <f>AA342/AA346</f>
        <v>0</v>
      </c>
      <c r="AB341" s="222">
        <f>AB342/AB346</f>
        <v>0</v>
      </c>
      <c r="AC341" s="222">
        <f>AC342/AC346</f>
        <v>0</v>
      </c>
      <c r="AD341" s="222">
        <f>AD342/AD346</f>
        <v>0</v>
      </c>
      <c r="AE341" s="222">
        <f>AE342/AE346</f>
        <v>0</v>
      </c>
      <c r="AF341" s="222">
        <f>AF342/AF346</f>
        <v>0</v>
      </c>
      <c r="AG341" s="222">
        <f>AG342/AG346</f>
        <v>0</v>
      </c>
      <c r="AH341" s="222">
        <f>AH342/AH346</f>
        <v>0</v>
      </c>
      <c r="AI341" s="222">
        <f>AI342/AI346</f>
        <v>0</v>
      </c>
      <c r="AJ341" s="222">
        <f>AJ342/AJ346</f>
        <v>0</v>
      </c>
      <c r="AK341" s="222">
        <f>AK342/AK346</f>
        <v>0</v>
      </c>
      <c r="AL341" s="222">
        <f>AL342/AL346</f>
        <v>0</v>
      </c>
      <c r="AM341" s="222" t="e">
        <f>AM342/AM346</f>
        <v>#DIV/0!</v>
      </c>
      <c r="AN341" s="222">
        <f>AN342/AN346</f>
        <v>0</v>
      </c>
      <c r="AO341" s="222" t="e">
        <f>AO342/AO346</f>
        <v>#DIV/0!</v>
      </c>
      <c r="AP341" s="222" t="e">
        <f>AP342/AP346</f>
        <v>#DIV/0!</v>
      </c>
      <c r="AQ341" s="222" t="e">
        <f>AQ342/AQ346</f>
        <v>#DIV/0!</v>
      </c>
      <c r="AR341" s="222" t="e">
        <f>AR342/AR346</f>
        <v>#DIV/0!</v>
      </c>
      <c r="AS341" s="222" t="e">
        <f>AS342/AS346</f>
        <v>#DIV/0!</v>
      </c>
      <c r="AT341" s="222" t="e">
        <f>AT342/AT346</f>
        <v>#DIV/0!</v>
      </c>
      <c r="AU341" s="222" t="e">
        <f>AU342/AU346</f>
        <v>#DIV/0!</v>
      </c>
      <c r="AV341" s="222" t="e">
        <f>AV342/AV346</f>
        <v>#DIV/0!</v>
      </c>
      <c r="AW341" s="222" t="e">
        <f>AW342/AW346</f>
        <v>#DIV/0!</v>
      </c>
      <c r="AX341" s="222" t="e">
        <f>AX342/AX346</f>
        <v>#DIV/0!</v>
      </c>
      <c r="AY341" s="222" t="e">
        <f>AY342/AY346</f>
        <v>#DIV/0!</v>
      </c>
      <c r="AZ341" s="222" t="e">
        <f>AZ342/AZ346</f>
        <v>#DIV/0!</v>
      </c>
      <c r="BA341" s="222" t="e">
        <f>BA342/BA346</f>
        <v>#DIV/0!</v>
      </c>
      <c r="BB341" s="222" t="e">
        <f>BB342/BB346</f>
        <v>#DIV/0!</v>
      </c>
      <c r="BC341" s="222" t="e">
        <f>BC342/BC346</f>
        <v>#DIV/0!</v>
      </c>
      <c r="BD341" s="222" t="e">
        <f>BD342/BD346</f>
        <v>#DIV/0!</v>
      </c>
      <c r="BE341" s="222" t="e">
        <f>BE342/BE346</f>
        <v>#DIV/0!</v>
      </c>
      <c r="BF341" s="222" t="e">
        <f>BF342/BF346</f>
        <v>#DIV/0!</v>
      </c>
      <c r="BG341" s="222" t="e">
        <f>BG342/BG346</f>
        <v>#DIV/0!</v>
      </c>
      <c r="BH341" s="222" t="e">
        <f>BH342/BH346</f>
        <v>#DIV/0!</v>
      </c>
      <c r="BI341" s="222" t="e">
        <f>BI342/BI346</f>
        <v>#DIV/0!</v>
      </c>
      <c r="BJ341" s="222" t="e">
        <f>BJ342/BJ346</f>
        <v>#DIV/0!</v>
      </c>
      <c r="BK341" s="222" t="e">
        <f>BK342/BK346</f>
        <v>#DIV/0!</v>
      </c>
      <c r="BL341" s="222" t="e">
        <f>BL342/BL346</f>
        <v>#DIV/0!</v>
      </c>
      <c r="BM341" s="222" t="e">
        <f>BM342/BM346</f>
        <v>#DIV/0!</v>
      </c>
      <c r="BN341" s="222" t="e">
        <f>BN342/BN346</f>
        <v>#DIV/0!</v>
      </c>
      <c r="BO341" s="222" t="e">
        <f>BO342/BO346</f>
        <v>#DIV/0!</v>
      </c>
      <c r="BP341" s="222" t="e">
        <f>BP342/BP346</f>
        <v>#DIV/0!</v>
      </c>
      <c r="BQ341" s="222" t="e">
        <f>BQ342/BQ346</f>
        <v>#DIV/0!</v>
      </c>
      <c r="BR341" s="222" t="e">
        <f>BR342/BR346</f>
        <v>#DIV/0!</v>
      </c>
      <c r="BS341" s="222" t="e">
        <f>BS342/BS346</f>
        <v>#DIV/0!</v>
      </c>
      <c r="BT341" s="222" t="e">
        <f>BT342/BT346</f>
        <v>#DIV/0!</v>
      </c>
      <c r="BU341" s="222" t="e">
        <f>BU342/BU346</f>
        <v>#DIV/0!</v>
      </c>
      <c r="BV341" s="222" t="e">
        <f>BV342/BV346</f>
        <v>#DIV/0!</v>
      </c>
      <c r="BW341" s="222" t="e">
        <f>BW342/BW346</f>
        <v>#DIV/0!</v>
      </c>
      <c r="BX341" s="222" t="e">
        <f>BX342/BX346</f>
        <v>#DIV/0!</v>
      </c>
      <c r="BY341" s="222" t="e">
        <f>BY342/BY346</f>
        <v>#DIV/0!</v>
      </c>
      <c r="BZ341" s="222" t="e">
        <f>BZ342/BZ346</f>
        <v>#DIV/0!</v>
      </c>
      <c r="CA341" s="222" t="e">
        <f>CA342/CA346</f>
        <v>#DIV/0!</v>
      </c>
      <c r="CB341" s="222" t="e">
        <f>CB342/CB346</f>
        <v>#DIV/0!</v>
      </c>
      <c r="CC341" s="222" t="e">
        <f>CC342/CC346</f>
        <v>#DIV/0!</v>
      </c>
      <c r="CD341" s="222" t="e">
        <f>CD342/CD346</f>
        <v>#DIV/0!</v>
      </c>
      <c r="CE341" s="222" t="e">
        <f>CE342/CE346</f>
        <v>#DIV/0!</v>
      </c>
      <c r="CF341" s="222" t="e">
        <f>CF342/CF346</f>
        <v>#DIV/0!</v>
      </c>
      <c r="CG341" s="222" t="e">
        <f>CG342/CG346</f>
        <v>#DIV/0!</v>
      </c>
      <c r="CH341" s="222" t="e">
        <f>CH342/CH346</f>
        <v>#DIV/0!</v>
      </c>
      <c r="CI341" s="222" t="e">
        <f>CI342/CI346</f>
        <v>#DIV/0!</v>
      </c>
      <c r="CJ341" s="222" t="e">
        <f>CJ342/CJ346</f>
        <v>#DIV/0!</v>
      </c>
      <c r="CK341" s="222" t="e">
        <f>CK342/CK346</f>
        <v>#DIV/0!</v>
      </c>
      <c r="CL341" s="222" t="e">
        <f>CL342/CL346</f>
        <v>#DIV/0!</v>
      </c>
      <c r="CM341" s="222" t="e">
        <f>CM342/CM346</f>
        <v>#DIV/0!</v>
      </c>
      <c r="CN341" s="222" t="e">
        <f>CN342/CN346</f>
        <v>#DIV/0!</v>
      </c>
      <c r="CO341" s="222" t="e">
        <f>CO342/CO346</f>
        <v>#DIV/0!</v>
      </c>
      <c r="CP341" s="222" t="e">
        <f>CP342/CP346</f>
        <v>#DIV/0!</v>
      </c>
      <c r="CQ341" s="222" t="e">
        <f>CQ342/CQ346</f>
        <v>#DIV/0!</v>
      </c>
      <c r="CR341" s="222" t="e">
        <f>CR342/CR346</f>
        <v>#DIV/0!</v>
      </c>
      <c r="CS341" s="222" t="e">
        <f>CS342/CS346</f>
        <v>#DIV/0!</v>
      </c>
      <c r="CT341" s="222" t="e">
        <f>CT342/CT346</f>
        <v>#DIV/0!</v>
      </c>
      <c r="CU341" s="222" t="e">
        <f>CU342/CU346</f>
        <v>#DIV/0!</v>
      </c>
      <c r="CV341" s="222" t="e">
        <f>CV342/CV346</f>
        <v>#DIV/0!</v>
      </c>
      <c r="CW341" s="222" t="e">
        <f>CW342/CW346</f>
        <v>#DIV/0!</v>
      </c>
      <c r="CX341" s="222" t="e">
        <f>CX342/CX346</f>
        <v>#DIV/0!</v>
      </c>
      <c r="CY341" s="222" t="e">
        <f>CY342/CY346</f>
        <v>#DIV/0!</v>
      </c>
    </row>
    <row r="342" customFormat="1" s="233">
      <c r="A342" s="224" t="n"/>
      <c r="B342" s="224" t="n"/>
      <c r="C342" s="233" t="inlineStr">
        <is>
          <t>NOPLAT</t>
        </is>
      </c>
      <c r="D342" s="233">
        <f>D343*(1-D344)</f>
        <v>0</v>
      </c>
      <c r="E342" s="233">
        <f>E343*(1-E344)</f>
        <v>0</v>
      </c>
      <c r="F342" s="233">
        <f>F343*(1-F344)</f>
        <v>0</v>
      </c>
      <c r="G342" s="233">
        <f>G343*(1-G344)</f>
        <v>0</v>
      </c>
      <c r="H342" s="233">
        <f>H343*(1-H344)</f>
        <v>0</v>
      </c>
      <c r="I342" s="223">
        <f>I343*(1-I344)</f>
        <v>0</v>
      </c>
      <c r="J342" s="224">
        <f>J343*(1-J344)</f>
        <v>0</v>
      </c>
      <c r="K342" s="224">
        <f>K343*(1-K344)</f>
        <v>0</v>
      </c>
      <c r="L342" s="224">
        <f>L343*(1-L344)</f>
        <v>0</v>
      </c>
      <c r="M342" s="224">
        <f>M343*(1-M344)</f>
        <v>0</v>
      </c>
      <c r="N342" s="223">
        <f>N343*(1-N344)</f>
        <v>0</v>
      </c>
      <c r="O342" s="224">
        <f>O343*(1-O344)</f>
        <v>0</v>
      </c>
      <c r="P342" s="224">
        <f>P343*(1-P344)</f>
        <v>0</v>
      </c>
      <c r="Q342" s="224">
        <f>Q343*(1-Q344)</f>
        <v>0</v>
      </c>
      <c r="R342" s="224">
        <f>R343*(1-R344)</f>
        <v>0</v>
      </c>
      <c r="S342" s="223">
        <f>S343*(1-S344)</f>
        <v>0</v>
      </c>
      <c r="T342" s="224">
        <f>T343*(1-T344)</f>
        <v>0</v>
      </c>
      <c r="U342" s="224">
        <f>U343*(1-U344)</f>
        <v>0</v>
      </c>
      <c r="V342" s="224">
        <f>V343*(1-V344)</f>
        <v>0</v>
      </c>
      <c r="W342" s="224">
        <f>W343*(1-W344)</f>
        <v>0</v>
      </c>
      <c r="X342" s="223">
        <f>X343*(1-X344)</f>
        <v>0</v>
      </c>
      <c r="Y342" s="224">
        <f>Y343*(1-Y344)</f>
        <v>0</v>
      </c>
      <c r="Z342" s="224">
        <f>Z343*(1-Z344)</f>
        <v>0</v>
      </c>
      <c r="AA342" s="224">
        <f>AA343*(1-AA344)</f>
        <v>0</v>
      </c>
      <c r="AB342" s="224">
        <f>AB343*(1-AB344)</f>
        <v>0</v>
      </c>
      <c r="AC342" s="223">
        <f>AC343*(1-AC344)</f>
        <v>0</v>
      </c>
      <c r="AD342" s="224">
        <f>AD343*(1-AD344)</f>
        <v>0</v>
      </c>
      <c r="AE342" s="224">
        <f>AE343*(1-AE344)</f>
        <v>0</v>
      </c>
      <c r="AF342" s="224">
        <f>AF343*(1-AF344)</f>
        <v>0</v>
      </c>
      <c r="AG342" s="224">
        <f>AG343*(1-AG344)</f>
        <v>0</v>
      </c>
      <c r="AH342" s="223">
        <f>AH343*(1-AH344)</f>
        <v>0</v>
      </c>
      <c r="AI342" s="224">
        <f>AI343*(1-AI344)</f>
        <v>0</v>
      </c>
      <c r="AJ342" s="224">
        <f>AJ343*(1-AJ344)</f>
        <v>0</v>
      </c>
      <c r="AK342" s="224">
        <f>AK343*(1-AK344)</f>
        <v>0</v>
      </c>
      <c r="AL342" s="224">
        <f>AL343*(1-AL344)</f>
        <v>0</v>
      </c>
      <c r="AM342" s="223">
        <f>AM343*(1-AM344)</f>
        <v>0</v>
      </c>
      <c r="AN342" s="224">
        <f>AN343*(1-AN344)</f>
        <v>0</v>
      </c>
      <c r="AO342" s="224">
        <f>AO343*(1-AO344)</f>
        <v>0</v>
      </c>
      <c r="AP342" s="224">
        <f>AP343*(1-AP344)</f>
        <v>0</v>
      </c>
      <c r="AQ342" s="224">
        <f>AQ343*(1-AQ344)</f>
        <v>0</v>
      </c>
      <c r="AR342" s="223">
        <f>AR343*(1-AR344)</f>
        <v>0</v>
      </c>
      <c r="AS342" s="224">
        <f>AS343*(1-AS344)</f>
        <v>0</v>
      </c>
      <c r="AT342" s="224">
        <f>AT343*(1-AT344)</f>
        <v>0</v>
      </c>
      <c r="AU342" s="224">
        <f>AU343*(1-AU344)</f>
        <v>0</v>
      </c>
      <c r="AV342" s="224">
        <f>AV343*(1-AV344)</f>
        <v>0</v>
      </c>
      <c r="AW342" s="223">
        <f>AW343*(1-AW344)</f>
        <v>0</v>
      </c>
      <c r="AX342" s="224">
        <f>AX343*(1-AX344)</f>
        <v>0</v>
      </c>
      <c r="AY342" s="224">
        <f>AY343*(1-AY344)</f>
        <v>0</v>
      </c>
      <c r="AZ342" s="224">
        <f>AZ343*(1-AZ344)</f>
        <v>0</v>
      </c>
      <c r="BA342" s="224">
        <f>BA343*(1-BA344)</f>
        <v>0</v>
      </c>
      <c r="BB342" s="223">
        <f>BB343*(1-BB344)</f>
        <v>0</v>
      </c>
      <c r="BC342" s="224">
        <f>BC343*(1-BC344)</f>
        <v>0</v>
      </c>
      <c r="BD342" s="224">
        <f>BD343*(1-BD344)</f>
        <v>0</v>
      </c>
      <c r="BE342" s="224">
        <f>BE343*(1-BE344)</f>
        <v>0</v>
      </c>
      <c r="BF342" s="224">
        <f>BF343*(1-BF344)</f>
        <v>0</v>
      </c>
      <c r="BG342" s="223">
        <f>BG343*(1-BG344)</f>
        <v>0</v>
      </c>
      <c r="BH342" s="224">
        <f>BH343*(1-BH344)</f>
        <v>0</v>
      </c>
      <c r="BI342" s="224">
        <f>BI343*(1-BI344)</f>
        <v>0</v>
      </c>
      <c r="BJ342" s="224">
        <f>BJ343*(1-BJ344)</f>
        <v>0</v>
      </c>
      <c r="BK342" s="224">
        <f>BK343*(1-BK344)</f>
        <v>0</v>
      </c>
      <c r="BL342" s="223">
        <f>BL343*(1-BL344)</f>
        <v>0</v>
      </c>
      <c r="BM342" s="224">
        <f>BM343*(1-BM344)</f>
        <v>0</v>
      </c>
      <c r="BN342" s="224">
        <f>BN343*(1-BN344)</f>
        <v>0</v>
      </c>
      <c r="BO342" s="224">
        <f>BO343*(1-BO344)</f>
        <v>0</v>
      </c>
      <c r="BP342" s="224">
        <f>BP343*(1-BP344)</f>
        <v>0</v>
      </c>
      <c r="BQ342" s="223">
        <f>BQ343*(1-BQ344)</f>
        <v>0</v>
      </c>
      <c r="BR342" s="224">
        <f>BR343*(1-BR344)</f>
        <v>0</v>
      </c>
      <c r="BS342" s="224">
        <f>BS343*(1-BS344)</f>
        <v>0</v>
      </c>
      <c r="BT342" s="224">
        <f>BT343*(1-BT344)</f>
        <v>0</v>
      </c>
      <c r="BU342" s="224">
        <f>BU343*(1-BU344)</f>
        <v>0</v>
      </c>
      <c r="BV342" s="223">
        <f>BV343*(1-BV344)</f>
        <v>0</v>
      </c>
      <c r="BW342" s="224">
        <f>BW343*(1-BW344)</f>
        <v>0</v>
      </c>
      <c r="BX342" s="224">
        <f>BX343*(1-BX344)</f>
        <v>0</v>
      </c>
      <c r="BY342" s="224">
        <f>BY343*(1-BY344)</f>
        <v>0</v>
      </c>
      <c r="BZ342" s="224">
        <f>BZ343*(1-BZ344)</f>
        <v>0</v>
      </c>
      <c r="CA342" s="223">
        <f>CA343*(1-CA344)</f>
        <v>0</v>
      </c>
      <c r="CB342" s="224">
        <f>CB343*(1-CB344)</f>
        <v>0</v>
      </c>
      <c r="CC342" s="224">
        <f>CC343*(1-CC344)</f>
        <v>0</v>
      </c>
      <c r="CD342" s="224">
        <f>CD343*(1-CD344)</f>
        <v>0</v>
      </c>
      <c r="CE342" s="224">
        <f>CE343*(1-CE344)</f>
        <v>0</v>
      </c>
      <c r="CF342" s="223">
        <f>CF343*(1-CF344)</f>
        <v>0</v>
      </c>
      <c r="CG342" s="224">
        <f>CG343*(1-CG344)</f>
        <v>0</v>
      </c>
      <c r="CH342" s="224">
        <f>CH343*(1-CH344)</f>
        <v>0</v>
      </c>
      <c r="CI342" s="224">
        <f>CI343*(1-CI344)</f>
        <v>0</v>
      </c>
      <c r="CJ342" s="224">
        <f>CJ343*(1-CJ344)</f>
        <v>0</v>
      </c>
      <c r="CK342" s="223">
        <f>CK343*(1-CK344)</f>
        <v>0</v>
      </c>
      <c r="CL342" s="224">
        <f>CL343*(1-CL344)</f>
        <v>0</v>
      </c>
      <c r="CM342" s="224">
        <f>CM343*(1-CM344)</f>
        <v>0</v>
      </c>
      <c r="CN342" s="224">
        <f>CN343*(1-CN344)</f>
        <v>0</v>
      </c>
      <c r="CO342" s="224">
        <f>CO343*(1-CO344)</f>
        <v>0</v>
      </c>
      <c r="CP342" s="223">
        <f>CP343*(1-CP344)</f>
        <v>0</v>
      </c>
      <c r="CQ342" s="224">
        <f>CQ343*(1-CQ344)</f>
        <v>0</v>
      </c>
      <c r="CR342" s="224">
        <f>CR343*(1-CR344)</f>
        <v>0</v>
      </c>
      <c r="CS342" s="224">
        <f>CS343*(1-CS344)</f>
        <v>0</v>
      </c>
      <c r="CT342" s="224">
        <f>CT343*(1-CT344)</f>
        <v>0</v>
      </c>
      <c r="CU342" s="223">
        <f>CU343*(1-CU344)</f>
        <v>0</v>
      </c>
      <c r="CV342" s="224">
        <f>CV343*(1-CV344)</f>
        <v>0</v>
      </c>
      <c r="CW342" s="224">
        <f>CW343*(1-CW344)</f>
        <v>0</v>
      </c>
      <c r="CX342" s="224">
        <f>CX343*(1-CX344)</f>
        <v>0</v>
      </c>
      <c r="CY342" s="224">
        <f>CY343*(1-CY344)</f>
        <v>0</v>
      </c>
    </row>
    <row r="343" customFormat="1" s="233">
      <c r="A343" s="224" t="n"/>
      <c r="B343" s="224" t="n"/>
      <c r="C343" s="233" t="inlineStr">
        <is>
          <t>EBIT</t>
        </is>
      </c>
      <c r="D343" s="239">
        <f>D68</f>
        <v>0</v>
      </c>
      <c r="E343" s="239">
        <f>E68</f>
        <v>0</v>
      </c>
      <c r="F343" s="239">
        <f>F68</f>
        <v>0</v>
      </c>
      <c r="G343" s="239">
        <f>G68</f>
        <v>0</v>
      </c>
      <c r="H343" s="239">
        <f>H68</f>
        <v>0</v>
      </c>
      <c r="I343" s="36">
        <f>I68</f>
        <v>0</v>
      </c>
      <c r="J343" s="36">
        <f>J68</f>
        <v>0</v>
      </c>
      <c r="K343" s="36">
        <f>K68</f>
        <v>0</v>
      </c>
      <c r="L343" s="36">
        <f>L68</f>
        <v>0</v>
      </c>
      <c r="M343" s="36">
        <f>M68</f>
        <v>0</v>
      </c>
      <c r="N343" s="36">
        <f>N68</f>
        <v>0</v>
      </c>
      <c r="O343" s="36">
        <f>O68</f>
        <v>0</v>
      </c>
      <c r="P343" s="36">
        <f>P68</f>
        <v>0</v>
      </c>
      <c r="Q343" s="36">
        <f>Q68</f>
        <v>0</v>
      </c>
      <c r="R343" s="36">
        <f>R68</f>
        <v>0</v>
      </c>
      <c r="S343" s="36">
        <f>S68</f>
        <v>0</v>
      </c>
      <c r="T343" s="36">
        <f>T68</f>
        <v>0</v>
      </c>
      <c r="U343" s="36">
        <f>U68</f>
        <v>0</v>
      </c>
      <c r="V343" s="36">
        <f>V68</f>
        <v>0</v>
      </c>
      <c r="W343" s="36">
        <f>W68</f>
        <v>0</v>
      </c>
      <c r="X343" s="36">
        <f>X68</f>
        <v>0</v>
      </c>
      <c r="Y343" s="36">
        <f>Y68</f>
        <v>0</v>
      </c>
      <c r="Z343" s="36">
        <f>Z68</f>
        <v>0</v>
      </c>
      <c r="AA343" s="36">
        <f>AA68</f>
        <v>0</v>
      </c>
      <c r="AB343" s="36">
        <f>AB68</f>
        <v>0</v>
      </c>
      <c r="AC343" s="36">
        <f>AC68</f>
        <v>0</v>
      </c>
      <c r="AD343" s="36">
        <f>AD68</f>
        <v>0</v>
      </c>
      <c r="AE343" s="36">
        <f>AE68</f>
        <v>0</v>
      </c>
      <c r="AF343" s="36">
        <f>AF68</f>
        <v>0</v>
      </c>
      <c r="AG343" s="36">
        <f>AG68</f>
        <v>0</v>
      </c>
      <c r="AH343" s="36">
        <f>AH68</f>
        <v>0</v>
      </c>
      <c r="AI343" s="36">
        <f>AI68</f>
        <v>0</v>
      </c>
      <c r="AJ343" s="36">
        <f>AJ68</f>
        <v>0</v>
      </c>
      <c r="AK343" s="36">
        <f>AK68</f>
        <v>0</v>
      </c>
      <c r="AL343" s="36">
        <f>AL68</f>
        <v>0</v>
      </c>
      <c r="AM343" s="36">
        <f>AM68</f>
        <v>0</v>
      </c>
      <c r="AN343" s="36">
        <f>AN68</f>
        <v>0</v>
      </c>
      <c r="AO343" s="36">
        <f>AO68</f>
        <v>0</v>
      </c>
      <c r="AP343" s="36">
        <f>AP68</f>
        <v>0</v>
      </c>
      <c r="AQ343" s="36">
        <f>AQ68</f>
        <v>0</v>
      </c>
      <c r="AR343" s="36">
        <f>AR68</f>
        <v>0</v>
      </c>
      <c r="AS343" s="36">
        <f>AS68</f>
        <v>0</v>
      </c>
      <c r="AT343" s="36">
        <f>AT68</f>
        <v>0</v>
      </c>
      <c r="AU343" s="36">
        <f>AU68</f>
        <v>0</v>
      </c>
      <c r="AV343" s="36">
        <f>AV68</f>
        <v>0</v>
      </c>
      <c r="AW343" s="36">
        <f>AW68</f>
        <v>0</v>
      </c>
      <c r="AX343" s="36">
        <f>AX68</f>
        <v>0</v>
      </c>
      <c r="AY343" s="36">
        <f>AY68</f>
        <v>0</v>
      </c>
      <c r="AZ343" s="36">
        <f>AZ68</f>
        <v>0</v>
      </c>
      <c r="BA343" s="36">
        <f>BA68</f>
        <v>0</v>
      </c>
      <c r="BB343" s="36">
        <f>BB68</f>
        <v>0</v>
      </c>
      <c r="BC343" s="36">
        <f>BC68</f>
        <v>0</v>
      </c>
      <c r="BD343" s="36">
        <f>BD68</f>
        <v>0</v>
      </c>
      <c r="BE343" s="36">
        <f>BE68</f>
        <v>0</v>
      </c>
      <c r="BF343" s="36">
        <f>BF68</f>
        <v>0</v>
      </c>
      <c r="BG343" s="36">
        <f>BG68</f>
        <v>0</v>
      </c>
      <c r="BH343" s="36">
        <f>BH68</f>
        <v>0</v>
      </c>
      <c r="BI343" s="36">
        <f>BI68</f>
        <v>0</v>
      </c>
      <c r="BJ343" s="36">
        <f>BJ68</f>
        <v>0</v>
      </c>
      <c r="BK343" s="36">
        <f>BK68</f>
        <v>0</v>
      </c>
      <c r="BL343" s="36">
        <f>BL68</f>
        <v>0</v>
      </c>
      <c r="BM343" s="36">
        <f>BM68</f>
        <v>0</v>
      </c>
      <c r="BN343" s="36">
        <f>BN68</f>
        <v>0</v>
      </c>
      <c r="BO343" s="36">
        <f>BO68</f>
        <v>0</v>
      </c>
      <c r="BP343" s="36">
        <f>BP68</f>
        <v>0</v>
      </c>
      <c r="BQ343" s="36">
        <f>BQ68</f>
        <v>0</v>
      </c>
      <c r="BR343" s="36">
        <f>BR68</f>
        <v>0</v>
      </c>
      <c r="BS343" s="36">
        <f>BS68</f>
        <v>0</v>
      </c>
      <c r="BT343" s="36">
        <f>BT68</f>
        <v>0</v>
      </c>
      <c r="BU343" s="36">
        <f>BU68</f>
        <v>0</v>
      </c>
      <c r="BV343" s="36">
        <f>BV68</f>
        <v>0</v>
      </c>
      <c r="BW343" s="36">
        <f>BW68</f>
        <v>0</v>
      </c>
      <c r="BX343" s="36">
        <f>BX68</f>
        <v>0</v>
      </c>
      <c r="BY343" s="36">
        <f>BY68</f>
        <v>0</v>
      </c>
      <c r="BZ343" s="36">
        <f>BZ68</f>
        <v>0</v>
      </c>
      <c r="CA343" s="36">
        <f>CA68</f>
        <v>0</v>
      </c>
      <c r="CB343" s="36">
        <f>CB68</f>
        <v>0</v>
      </c>
      <c r="CC343" s="36">
        <f>CC68</f>
        <v>0</v>
      </c>
      <c r="CD343" s="36">
        <f>CD68</f>
        <v>0</v>
      </c>
      <c r="CE343" s="36">
        <f>CE68</f>
        <v>0</v>
      </c>
      <c r="CF343" s="36">
        <f>CF68</f>
        <v>0</v>
      </c>
      <c r="CG343" s="36">
        <f>CG68</f>
        <v>0</v>
      </c>
      <c r="CH343" s="36">
        <f>CH68</f>
        <v>0</v>
      </c>
      <c r="CI343" s="36">
        <f>CI68</f>
        <v>0</v>
      </c>
      <c r="CJ343" s="36">
        <f>CJ68</f>
        <v>0</v>
      </c>
      <c r="CK343" s="36">
        <f>CK68</f>
        <v>0</v>
      </c>
      <c r="CL343" s="36">
        <f>CL68</f>
        <v>0</v>
      </c>
      <c r="CM343" s="36">
        <f>CM68</f>
        <v>0</v>
      </c>
      <c r="CN343" s="36">
        <f>CN68</f>
        <v>0</v>
      </c>
      <c r="CO343" s="36">
        <f>CO68</f>
        <v>0</v>
      </c>
      <c r="CP343" s="36">
        <f>CP68</f>
        <v>0</v>
      </c>
      <c r="CQ343" s="36">
        <f>CQ68</f>
        <v>0</v>
      </c>
      <c r="CR343" s="36">
        <f>CR68</f>
        <v>0</v>
      </c>
      <c r="CS343" s="36">
        <f>CS68</f>
        <v>0</v>
      </c>
      <c r="CT343" s="36">
        <f>CT68</f>
        <v>0</v>
      </c>
      <c r="CU343" s="36">
        <f>CU68</f>
        <v>0</v>
      </c>
      <c r="CV343" s="36">
        <f>CV68</f>
        <v>0</v>
      </c>
      <c r="CW343" s="36">
        <f>CW68</f>
        <v>0</v>
      </c>
      <c r="CX343" s="36">
        <f>CX68</f>
        <v>0</v>
      </c>
      <c r="CY343" s="36">
        <f>CY68</f>
        <v>0</v>
      </c>
    </row>
    <row r="344" customFormat="1" s="233">
      <c r="A344" s="224" t="n"/>
      <c r="B344" s="224" t="n"/>
      <c r="C344" s="233" t="inlineStr">
        <is>
          <t>ETR</t>
        </is>
      </c>
      <c r="D344" s="240">
        <f>D127</f>
        <v>0.132984106196797</v>
      </c>
      <c r="E344" s="240">
        <f>E127</f>
        <v>0.140962462736509</v>
      </c>
      <c r="F344" s="240">
        <f>F127</f>
        <v>0.15919844141386</v>
      </c>
      <c r="G344" s="240">
        <f>G127</f>
        <v>0.142683568911749</v>
      </c>
      <c r="H344" s="240">
        <f>H127</f>
        <v>0.143321484391209</v>
      </c>
      <c r="I344" s="225">
        <f>I127</f>
        <v>0.0820238417772961</v>
      </c>
      <c r="J344" s="225">
        <f>J127</f>
        <v>0.127799736495389</v>
      </c>
      <c r="K344" s="225">
        <f>K127</f>
        <v>0.108568216494018</v>
      </c>
      <c r="L344" s="225">
        <f>L127</f>
        <v>0.0618511875645416</v>
      </c>
      <c r="M344" s="225">
        <f>M127</f>
        <v>0.0932174478109008</v>
      </c>
      <c r="N344" s="225">
        <f>N127</f>
        <v>0.0733833268406701</v>
      </c>
      <c r="O344" s="225">
        <f>O127</f>
        <v>0.126867723897699</v>
      </c>
      <c r="P344" s="225">
        <f>P127</f>
        <v>0.0726924305333759</v>
      </c>
      <c r="Q344" s="225">
        <f>Q127</f>
        <v>0.0757012020606754</v>
      </c>
      <c r="R344" s="225">
        <f>R127</f>
        <v>0.0825105782792666</v>
      </c>
      <c r="S344" s="225">
        <f>S127</f>
        <v>0.120808001568935</v>
      </c>
      <c r="T344" s="225">
        <f>T127</f>
        <v>0.155919383407535</v>
      </c>
      <c r="U344" s="225">
        <f>U127</f>
        <v>1.13436329588015</v>
      </c>
      <c r="V344" s="225">
        <f>V127</f>
        <v>0.127192283163265</v>
      </c>
      <c r="W344" s="225">
        <f>W127</f>
        <v>0.20050041192445</v>
      </c>
      <c r="X344" s="225">
        <f>X127</f>
        <v>0.115610583178897</v>
      </c>
      <c r="Y344" s="225">
        <f>Y127</f>
        <v>0.156431252132378</v>
      </c>
      <c r="Z344" s="225">
        <f>Z127</f>
        <v>0.38913371946613</v>
      </c>
      <c r="AA344" s="225">
        <f>AA127</f>
        <v>0.124813940103598</v>
      </c>
      <c r="AB344" s="225">
        <f>AB127</f>
        <v>0.164852843758872</v>
      </c>
      <c r="AC344" s="225">
        <f>AC127</f>
        <v>0.201678240740741</v>
      </c>
      <c r="AD344" s="225">
        <f>AD127</f>
        <v>0.164674634794157</v>
      </c>
      <c r="AE344" s="225">
        <f>AE127</f>
        <v>0.228126209833527</v>
      </c>
      <c r="AF344" s="225">
        <f>AF127</f>
        <v>0.197007089109869</v>
      </c>
      <c r="AG344" s="225">
        <f>AG127</f>
        <v>0.19786565934493</v>
      </c>
      <c r="AH344" s="225">
        <f>AH127</f>
        <v>0.164293785310734</v>
      </c>
      <c r="AI344" s="225">
        <f>AI127</f>
        <v>0.232724126743809</v>
      </c>
      <c r="AJ344" s="225">
        <f>AJ127</f>
        <v>0</v>
      </c>
      <c r="AK344" s="225">
        <f>AK127</f>
        <v>0</v>
      </c>
      <c r="AL344" s="225">
        <f>AL127</f>
        <v>0.0996297728905344</v>
      </c>
      <c r="AM344" s="225">
        <f>AM127</f>
        <v>0</v>
      </c>
      <c r="AN344" s="225">
        <f>AN127</f>
        <v>0</v>
      </c>
      <c r="AO344" s="225">
        <f>AO127</f>
        <v>0</v>
      </c>
      <c r="AP344" s="225">
        <f>AP127</f>
        <v>0</v>
      </c>
      <c r="AQ344" s="225">
        <f>AQ127</f>
        <v>0</v>
      </c>
      <c r="AR344" s="225">
        <f>AR127</f>
        <v>0</v>
      </c>
      <c r="AS344" s="225">
        <f>AS127</f>
        <v>0</v>
      </c>
      <c r="AT344" s="225">
        <f>AT127</f>
        <v>0</v>
      </c>
      <c r="AU344" s="225">
        <f>AU127</f>
        <v>0</v>
      </c>
      <c r="AV344" s="225">
        <f>AV127</f>
        <v>0</v>
      </c>
      <c r="AW344" s="225">
        <f>AW127</f>
        <v>0</v>
      </c>
      <c r="AX344" s="225">
        <f>AX127</f>
        <v>0</v>
      </c>
      <c r="AY344" s="225">
        <f>AY127</f>
        <v>0</v>
      </c>
      <c r="AZ344" s="225">
        <f>AZ127</f>
        <v>0</v>
      </c>
      <c r="BA344" s="225">
        <f>BA127</f>
        <v>0</v>
      </c>
      <c r="BB344" s="225">
        <f>BB127</f>
        <v>0</v>
      </c>
      <c r="BC344" s="225">
        <f>BC127</f>
        <v>0</v>
      </c>
      <c r="BD344" s="225">
        <f>BD127</f>
        <v>0</v>
      </c>
      <c r="BE344" s="225">
        <f>BE127</f>
        <v>0</v>
      </c>
      <c r="BF344" s="225">
        <f>BF127</f>
        <v>0</v>
      </c>
      <c r="BG344" s="225">
        <f>BG127</f>
        <v>0</v>
      </c>
      <c r="BH344" s="225">
        <f>BH127</f>
        <v>0</v>
      </c>
      <c r="BI344" s="225">
        <f>BI127</f>
        <v>0</v>
      </c>
      <c r="BJ344" s="225">
        <f>BJ127</f>
        <v>0</v>
      </c>
      <c r="BK344" s="225">
        <f>BK127</f>
        <v>0</v>
      </c>
      <c r="BL344" s="225">
        <f>BL127</f>
        <v>0</v>
      </c>
      <c r="BM344" s="225">
        <f>BM127</f>
        <v>0</v>
      </c>
      <c r="BN344" s="225">
        <f>BN127</f>
        <v>0</v>
      </c>
      <c r="BO344" s="225">
        <f>BO127</f>
        <v>0</v>
      </c>
      <c r="BP344" s="225">
        <f>BP127</f>
        <v>0</v>
      </c>
      <c r="BQ344" s="225">
        <f>BQ127</f>
        <v>0</v>
      </c>
      <c r="BR344" s="225">
        <f>BR127</f>
        <v>0</v>
      </c>
      <c r="BS344" s="225">
        <f>BS127</f>
        <v>0</v>
      </c>
      <c r="BT344" s="225">
        <f>BT127</f>
        <v>0</v>
      </c>
      <c r="BU344" s="225">
        <f>BU127</f>
        <v>0</v>
      </c>
      <c r="BV344" s="225">
        <f>BV127</f>
        <v>0</v>
      </c>
      <c r="BW344" s="225">
        <f>BW127</f>
        <v>0</v>
      </c>
      <c r="BX344" s="225">
        <f>BX127</f>
        <v>0</v>
      </c>
      <c r="BY344" s="225">
        <f>BY127</f>
        <v>0</v>
      </c>
      <c r="BZ344" s="225">
        <f>BZ127</f>
        <v>0</v>
      </c>
      <c r="CA344" s="225">
        <f>CA127</f>
        <v>0</v>
      </c>
      <c r="CB344" s="225">
        <f>CB127</f>
        <v>0</v>
      </c>
      <c r="CC344" s="225">
        <f>CC127</f>
        <v>0</v>
      </c>
      <c r="CD344" s="225">
        <f>CD127</f>
        <v>0</v>
      </c>
      <c r="CE344" s="225">
        <f>CE127</f>
        <v>0</v>
      </c>
      <c r="CF344" s="225">
        <f>CF127</f>
        <v>0</v>
      </c>
      <c r="CG344" s="225">
        <f>CG127</f>
        <v>0</v>
      </c>
      <c r="CH344" s="225">
        <f>CH127</f>
        <v>0</v>
      </c>
      <c r="CI344" s="225">
        <f>CI127</f>
        <v>0</v>
      </c>
      <c r="CJ344" s="225">
        <f>CJ127</f>
        <v>0</v>
      </c>
      <c r="CK344" s="225">
        <f>CK127</f>
        <v>0</v>
      </c>
      <c r="CL344" s="225">
        <f>CL127</f>
        <v>0</v>
      </c>
      <c r="CM344" s="225">
        <f>CM127</f>
        <v>0</v>
      </c>
      <c r="CN344" s="225">
        <f>CN127</f>
        <v>0</v>
      </c>
      <c r="CO344" s="225">
        <f>CO127</f>
        <v>0</v>
      </c>
      <c r="CP344" s="225">
        <f>CP127</f>
        <v>0</v>
      </c>
      <c r="CQ344" s="225">
        <f>CQ127</f>
        <v>0</v>
      </c>
      <c r="CR344" s="225">
        <f>CR127</f>
        <v>0</v>
      </c>
      <c r="CS344" s="225">
        <f>CS127</f>
        <v>0</v>
      </c>
      <c r="CT344" s="225">
        <f>CT127</f>
        <v>0</v>
      </c>
      <c r="CU344" s="225">
        <f>CU127</f>
        <v>0</v>
      </c>
      <c r="CV344" s="225">
        <f>CV127</f>
        <v>0</v>
      </c>
      <c r="CW344" s="225">
        <f>CW127</f>
        <v>0</v>
      </c>
      <c r="CX344" s="225">
        <f>CX127</f>
        <v>0</v>
      </c>
      <c r="CY344" s="225">
        <f>CY127</f>
        <v>0</v>
      </c>
    </row>
    <row r="345" customFormat="1" s="233">
      <c r="A345" s="224" t="n"/>
      <c r="B345" s="224" t="n"/>
      <c r="C345" s="233" t="inlineStr">
        <is>
          <t>INVESTED CAPITAL</t>
        </is>
      </c>
      <c r="D345" s="239">
        <f>D348-D349+D350</f>
        <v>20836.3</v>
      </c>
      <c r="E345" s="239">
        <f>E348-E349+E350</f>
        <v>20251.5</v>
      </c>
      <c r="F345" s="239">
        <f>F348-F349+F350</f>
        <v>20395.5</v>
      </c>
      <c r="G345" s="239">
        <f>G348-G349+G350</f>
        <v>20839.1</v>
      </c>
      <c r="H345" s="239">
        <f>H348-H349+H350</f>
        <v>20839.1</v>
      </c>
      <c r="I345" s="36">
        <f>I348-I349+I350</f>
        <v>22453</v>
      </c>
      <c r="J345" s="36">
        <f>J348-J349+J350</f>
        <v>21764.7</v>
      </c>
      <c r="K345" s="36">
        <f>K348-K349+K350</f>
        <v>22846.7</v>
      </c>
      <c r="L345" s="36">
        <f>L348-L349+L350</f>
        <v>23864.6</v>
      </c>
      <c r="M345" s="36">
        <f>M348-M349+M350</f>
        <v>23864.6</v>
      </c>
      <c r="N345" s="36">
        <f>N348-N349+N350</f>
        <v>24688.6</v>
      </c>
      <c r="O345" s="36">
        <f>O348-O349+O350</f>
        <v>23598.8</v>
      </c>
      <c r="P345" s="36">
        <f>P348-P349+P350</f>
        <v>23484.1</v>
      </c>
      <c r="Q345" s="36">
        <f>Q348-Q349+Q350</f>
        <v>24889.5</v>
      </c>
      <c r="R345" s="36">
        <f>R348-R349+R350</f>
        <v>24889.5</v>
      </c>
      <c r="S345" s="36">
        <f>S348-S349+S350</f>
        <v>26509.2</v>
      </c>
      <c r="T345" s="36">
        <f>T348-T349+T350</f>
        <v>27140.2</v>
      </c>
      <c r="U345" s="36">
        <f>U348-U349+U350</f>
        <v>28981.8</v>
      </c>
      <c r="V345" s="36">
        <f>V348-V349+V350</f>
        <v>33161.3</v>
      </c>
      <c r="W345" s="36">
        <f>W348-W349+W350</f>
        <v>33161.3</v>
      </c>
      <c r="X345" s="36">
        <f>X348-X349+X350</f>
        <v>36522.5</v>
      </c>
      <c r="Y345" s="36">
        <f>Y348-Y349+Y350</f>
        <v>39163.5</v>
      </c>
      <c r="Z345" s="36">
        <f>Z348-Z349+Z350</f>
        <v>41922</v>
      </c>
      <c r="AA345" s="36">
        <f>AA348-AA349+AA350</f>
        <v>44492.6</v>
      </c>
      <c r="AB345" s="36">
        <f>AB348-AB349+AB350</f>
        <v>44492.6</v>
      </c>
      <c r="AC345" s="36">
        <f>AC348-AC349+AC350</f>
        <v>51142</v>
      </c>
      <c r="AD345" s="36">
        <f>AD348-AD349+AD350</f>
        <v>54706.9</v>
      </c>
      <c r="AE345" s="36">
        <f>AE348-AE349+AE350</f>
        <v>56443.9</v>
      </c>
      <c r="AF345" s="36">
        <f>AF348-AF349+AF350</f>
        <v>61748</v>
      </c>
      <c r="AG345" s="36">
        <f>AG348-AG349+AG350</f>
        <v>61748</v>
      </c>
      <c r="AH345" s="36">
        <f>AH348-AH349+AH350</f>
        <v>69267</v>
      </c>
      <c r="AI345" s="36">
        <f>AI348-AI349+AI350</f>
        <v>79782</v>
      </c>
      <c r="AJ345" s="36">
        <f>AJ348-AJ349+AJ350</f>
        <v>32706</v>
      </c>
      <c r="AK345" s="36">
        <f>AK348-AK349+AK350</f>
        <v>32706</v>
      </c>
      <c r="AL345" s="36">
        <f>AL348-AL349+AL350</f>
        <v>32706</v>
      </c>
      <c r="AM345" s="36" t="e">
        <f>AM348-AM349+AM350</f>
        <v>#DIV/0!</v>
      </c>
      <c r="AN345" s="36">
        <f>AN348-AN349+AN350</f>
        <v>32706</v>
      </c>
      <c r="AO345" s="36" t="e">
        <f>AO348-AO349+AO350</f>
        <v>#DIV/0!</v>
      </c>
      <c r="AP345" s="36" t="e">
        <f>AP348-AP349+AP350</f>
        <v>#DIV/0!</v>
      </c>
      <c r="AQ345" s="36" t="e">
        <f>AQ348-AQ349+AQ350</f>
        <v>#DIV/0!</v>
      </c>
      <c r="AR345" s="36" t="e">
        <f>AR348-AR349+AR350</f>
        <v>#DIV/0!</v>
      </c>
      <c r="AS345" s="36" t="e">
        <f>AS348-AS349+AS350</f>
        <v>#DIV/0!</v>
      </c>
      <c r="AT345" s="36" t="e">
        <f>AT348-AT349+AT350</f>
        <v>#DIV/0!</v>
      </c>
      <c r="AU345" s="36" t="e">
        <f>AU348-AU349+AU350</f>
        <v>#DIV/0!</v>
      </c>
      <c r="AV345" s="36" t="e">
        <f>AV348-AV349+AV350</f>
        <v>#DIV/0!</v>
      </c>
      <c r="AW345" s="36" t="e">
        <f>AW348-AW349+AW350</f>
        <v>#DIV/0!</v>
      </c>
      <c r="AX345" s="36" t="e">
        <f>AX348-AX349+AX350</f>
        <v>#DIV/0!</v>
      </c>
      <c r="AY345" s="36" t="e">
        <f>AY348-AY349+AY350</f>
        <v>#DIV/0!</v>
      </c>
      <c r="AZ345" s="36" t="e">
        <f>AZ348-AZ349+AZ350</f>
        <v>#DIV/0!</v>
      </c>
      <c r="BA345" s="36" t="e">
        <f>BA348-BA349+BA350</f>
        <v>#DIV/0!</v>
      </c>
      <c r="BB345" s="36" t="e">
        <f>BB348-BB349+BB350</f>
        <v>#DIV/0!</v>
      </c>
      <c r="BC345" s="36" t="e">
        <f>BC348-BC349+BC350</f>
        <v>#DIV/0!</v>
      </c>
      <c r="BD345" s="36" t="e">
        <f>BD348-BD349+BD350</f>
        <v>#DIV/0!</v>
      </c>
      <c r="BE345" s="36" t="e">
        <f>BE348-BE349+BE350</f>
        <v>#DIV/0!</v>
      </c>
      <c r="BF345" s="36" t="e">
        <f>BF348-BF349+BF350</f>
        <v>#DIV/0!</v>
      </c>
      <c r="BG345" s="36" t="e">
        <f>BG348-BG349+BG350</f>
        <v>#DIV/0!</v>
      </c>
      <c r="BH345" s="36" t="e">
        <f>BH348-BH349+BH350</f>
        <v>#DIV/0!</v>
      </c>
      <c r="BI345" s="36" t="e">
        <f>BI348-BI349+BI350</f>
        <v>#DIV/0!</v>
      </c>
      <c r="BJ345" s="36" t="e">
        <f>BJ348-BJ349+BJ350</f>
        <v>#DIV/0!</v>
      </c>
      <c r="BK345" s="36" t="e">
        <f>BK348-BK349+BK350</f>
        <v>#DIV/0!</v>
      </c>
      <c r="BL345" s="36" t="e">
        <f>BL348-BL349+BL350</f>
        <v>#DIV/0!</v>
      </c>
      <c r="BM345" s="36" t="e">
        <f>BM348-BM349+BM350</f>
        <v>#DIV/0!</v>
      </c>
      <c r="BN345" s="36" t="e">
        <f>BN348-BN349+BN350</f>
        <v>#DIV/0!</v>
      </c>
      <c r="BO345" s="36" t="e">
        <f>BO348-BO349+BO350</f>
        <v>#DIV/0!</v>
      </c>
      <c r="BP345" s="36" t="e">
        <f>BP348-BP349+BP350</f>
        <v>#DIV/0!</v>
      </c>
      <c r="BQ345" s="36" t="e">
        <f>BQ348-BQ349+BQ350</f>
        <v>#DIV/0!</v>
      </c>
      <c r="BR345" s="36" t="e">
        <f>BR348-BR349+BR350</f>
        <v>#DIV/0!</v>
      </c>
      <c r="BS345" s="36" t="e">
        <f>BS348-BS349+BS350</f>
        <v>#DIV/0!</v>
      </c>
      <c r="BT345" s="36" t="e">
        <f>BT348-BT349+BT350</f>
        <v>#DIV/0!</v>
      </c>
      <c r="BU345" s="36" t="e">
        <f>BU348-BU349+BU350</f>
        <v>#DIV/0!</v>
      </c>
      <c r="BV345" s="36" t="e">
        <f>BV348-BV349+BV350</f>
        <v>#DIV/0!</v>
      </c>
      <c r="BW345" s="36" t="e">
        <f>BW348-BW349+BW350</f>
        <v>#DIV/0!</v>
      </c>
      <c r="BX345" s="36" t="e">
        <f>BX348-BX349+BX350</f>
        <v>#DIV/0!</v>
      </c>
      <c r="BY345" s="36" t="e">
        <f>BY348-BY349+BY350</f>
        <v>#DIV/0!</v>
      </c>
      <c r="BZ345" s="36" t="e">
        <f>BZ348-BZ349+BZ350</f>
        <v>#DIV/0!</v>
      </c>
      <c r="CA345" s="36" t="e">
        <f>CA348-CA349+CA350</f>
        <v>#DIV/0!</v>
      </c>
      <c r="CB345" s="36" t="e">
        <f>CB348-CB349+CB350</f>
        <v>#DIV/0!</v>
      </c>
      <c r="CC345" s="36" t="e">
        <f>CC348-CC349+CC350</f>
        <v>#DIV/0!</v>
      </c>
      <c r="CD345" s="36" t="e">
        <f>CD348-CD349+CD350</f>
        <v>#DIV/0!</v>
      </c>
      <c r="CE345" s="36" t="e">
        <f>CE348-CE349+CE350</f>
        <v>#DIV/0!</v>
      </c>
      <c r="CF345" s="36" t="e">
        <f>CF348-CF349+CF350</f>
        <v>#DIV/0!</v>
      </c>
      <c r="CG345" s="36" t="e">
        <f>CG348-CG349+CG350</f>
        <v>#DIV/0!</v>
      </c>
      <c r="CH345" s="36" t="e">
        <f>CH348-CH349+CH350</f>
        <v>#DIV/0!</v>
      </c>
      <c r="CI345" s="36" t="e">
        <f>CI348-CI349+CI350</f>
        <v>#DIV/0!</v>
      </c>
      <c r="CJ345" s="36" t="e">
        <f>CJ348-CJ349+CJ350</f>
        <v>#DIV/0!</v>
      </c>
      <c r="CK345" s="36" t="e">
        <f>CK348-CK349+CK350</f>
        <v>#DIV/0!</v>
      </c>
      <c r="CL345" s="36" t="e">
        <f>CL348-CL349+CL350</f>
        <v>#DIV/0!</v>
      </c>
      <c r="CM345" s="36" t="e">
        <f>CM348-CM349+CM350</f>
        <v>#DIV/0!</v>
      </c>
      <c r="CN345" s="36" t="e">
        <f>CN348-CN349+CN350</f>
        <v>#DIV/0!</v>
      </c>
      <c r="CO345" s="36" t="e">
        <f>CO348-CO349+CO350</f>
        <v>#DIV/0!</v>
      </c>
      <c r="CP345" s="36" t="e">
        <f>CP348-CP349+CP350</f>
        <v>#DIV/0!</v>
      </c>
      <c r="CQ345" s="36" t="e">
        <f>CQ348-CQ349+CQ350</f>
        <v>#DIV/0!</v>
      </c>
      <c r="CR345" s="36" t="e">
        <f>CR348-CR349+CR350</f>
        <v>#DIV/0!</v>
      </c>
      <c r="CS345" s="36" t="e">
        <f>CS348-CS349+CS350</f>
        <v>#DIV/0!</v>
      </c>
      <c r="CT345" s="36" t="e">
        <f>CT348-CT349+CT350</f>
        <v>#DIV/0!</v>
      </c>
      <c r="CU345" s="36" t="e">
        <f>CU348-CU349+CU350</f>
        <v>#DIV/0!</v>
      </c>
      <c r="CV345" s="36" t="e">
        <f>CV348-CV349+CV350</f>
        <v>#DIV/0!</v>
      </c>
      <c r="CW345" s="36" t="e">
        <f>CW348-CW349+CW350</f>
        <v>#DIV/0!</v>
      </c>
      <c r="CX345" s="36" t="e">
        <f>CX348-CX349+CX350</f>
        <v>#DIV/0!</v>
      </c>
      <c r="CY345" s="36" t="e">
        <f>CY348-CY349+CY350</f>
        <v>#DIV/0!</v>
      </c>
    </row>
    <row r="346" customFormat="1" s="233">
      <c r="A346" s="224" t="n"/>
      <c r="B346" s="224" t="n"/>
      <c r="C346" s="233" t="inlineStr">
        <is>
          <t>INVESTED CAPITAL - EX GOODWILL</t>
        </is>
      </c>
      <c r="D346" s="241">
        <f>D345-D174</f>
        <v>17057.2</v>
      </c>
      <c r="E346" s="241">
        <f>E345-E174</f>
        <v>16528.3</v>
      </c>
      <c r="F346" s="241">
        <f>F345-F174</f>
        <v>16669.1</v>
      </c>
      <c r="G346" s="241">
        <f>G345-G174</f>
        <v>17072.6</v>
      </c>
      <c r="H346" s="241">
        <f>H345-H174</f>
        <v>17072.6</v>
      </c>
      <c r="I346" s="226">
        <f>I345-I174</f>
        <v>18575.6</v>
      </c>
      <c r="J346" s="226">
        <f>J345-J174</f>
        <v>17880.5</v>
      </c>
      <c r="K346" s="226">
        <f>K345-K174</f>
        <v>18962.6</v>
      </c>
      <c r="L346" s="226">
        <f>L345-L174</f>
        <v>19972.6</v>
      </c>
      <c r="M346" s="226">
        <f>M345-M174</f>
        <v>19972.6</v>
      </c>
      <c r="N346" s="226">
        <f>N345-N174</f>
        <v>20796.6</v>
      </c>
      <c r="O346" s="226">
        <f>O345-O174</f>
        <v>19707</v>
      </c>
      <c r="P346" s="226">
        <f>P345-P174</f>
        <v>19592.5</v>
      </c>
      <c r="Q346" s="226">
        <f>Q345-Q174</f>
        <v>20816.5</v>
      </c>
      <c r="R346" s="226">
        <f>R345-R174</f>
        <v>20816.5</v>
      </c>
      <c r="S346" s="226">
        <f>S345-S174</f>
        <v>22436.1</v>
      </c>
      <c r="T346" s="226">
        <f>T345-T174</f>
        <v>23061.3</v>
      </c>
      <c r="U346" s="226">
        <f>U345-U174</f>
        <v>24896.6</v>
      </c>
      <c r="V346" s="226">
        <f>V345-V174</f>
        <v>28221.6</v>
      </c>
      <c r="W346" s="226">
        <f>W345-W174</f>
        <v>28221.6</v>
      </c>
      <c r="X346" s="226">
        <f>X345-X174</f>
        <v>31582.9</v>
      </c>
      <c r="Y346" s="226">
        <f>Y345-Y174</f>
        <v>33395.3</v>
      </c>
      <c r="Z346" s="226">
        <f>Z345-Z174</f>
        <v>36153.6</v>
      </c>
      <c r="AA346" s="226">
        <f>AA345-AA174</f>
        <v>38722.3</v>
      </c>
      <c r="AB346" s="226">
        <f>AB345-AB174</f>
        <v>38722.3</v>
      </c>
      <c r="AC346" s="226">
        <f>AC345-AC174</f>
        <v>45371.5</v>
      </c>
      <c r="AD346" s="226">
        <f>AD345-AD174</f>
        <v>48936.4</v>
      </c>
      <c r="AE346" s="226">
        <f>AE345-AE174</f>
        <v>50545.9</v>
      </c>
      <c r="AF346" s="226">
        <f>AF345-AF174</f>
        <v>55850</v>
      </c>
      <c r="AG346" s="226">
        <f>AG345-AG174</f>
        <v>55850</v>
      </c>
      <c r="AH346" s="226">
        <f>AH345-AH174</f>
        <v>63137</v>
      </c>
      <c r="AI346" s="226">
        <f>AI345-AI174</f>
        <v>70933</v>
      </c>
      <c r="AJ346" s="226">
        <f>AJ345-AJ174</f>
        <v>23857</v>
      </c>
      <c r="AK346" s="226">
        <f>AK345-AK174</f>
        <v>23857</v>
      </c>
      <c r="AL346" s="226">
        <f>AL345-AL174</f>
        <v>23857</v>
      </c>
      <c r="AM346" s="226" t="e">
        <f>AM345-AM174</f>
        <v>#DIV/0!</v>
      </c>
      <c r="AN346" s="226">
        <f>AN345-AN174</f>
        <v>23857</v>
      </c>
      <c r="AO346" s="226" t="e">
        <f>AO345-AO174</f>
        <v>#DIV/0!</v>
      </c>
      <c r="AP346" s="226" t="e">
        <f>AP345-AP174</f>
        <v>#DIV/0!</v>
      </c>
      <c r="AQ346" s="226" t="e">
        <f>AQ345-AQ174</f>
        <v>#DIV/0!</v>
      </c>
      <c r="AR346" s="226" t="e">
        <f>AR345-AR174</f>
        <v>#DIV/0!</v>
      </c>
      <c r="AS346" s="226" t="e">
        <f>AS345-AS174</f>
        <v>#DIV/0!</v>
      </c>
      <c r="AT346" s="226" t="e">
        <f>AT345-AT174</f>
        <v>#DIV/0!</v>
      </c>
      <c r="AU346" s="226" t="e">
        <f>AU345-AU174</f>
        <v>#DIV/0!</v>
      </c>
      <c r="AV346" s="226" t="e">
        <f>AV345-AV174</f>
        <v>#DIV/0!</v>
      </c>
      <c r="AW346" s="226" t="e">
        <f>AW345-AW174</f>
        <v>#DIV/0!</v>
      </c>
      <c r="AX346" s="226" t="e">
        <f>AX345-AX174</f>
        <v>#DIV/0!</v>
      </c>
      <c r="AY346" s="226" t="e">
        <f>AY345-AY174</f>
        <v>#DIV/0!</v>
      </c>
      <c r="AZ346" s="226" t="e">
        <f>AZ345-AZ174</f>
        <v>#DIV/0!</v>
      </c>
      <c r="BA346" s="226" t="e">
        <f>BA345-BA174</f>
        <v>#DIV/0!</v>
      </c>
      <c r="BB346" s="226" t="e">
        <f>BB345-BB174</f>
        <v>#DIV/0!</v>
      </c>
      <c r="BC346" s="226" t="e">
        <f>BC345-BC174</f>
        <v>#DIV/0!</v>
      </c>
      <c r="BD346" s="226" t="e">
        <f>BD345-BD174</f>
        <v>#DIV/0!</v>
      </c>
      <c r="BE346" s="226" t="e">
        <f>BE345-BE174</f>
        <v>#DIV/0!</v>
      </c>
      <c r="BF346" s="226" t="e">
        <f>BF345-BF174</f>
        <v>#DIV/0!</v>
      </c>
      <c r="BG346" s="226" t="e">
        <f>BG345-BG174</f>
        <v>#DIV/0!</v>
      </c>
      <c r="BH346" s="226" t="e">
        <f>BH345-BH174</f>
        <v>#DIV/0!</v>
      </c>
      <c r="BI346" s="226" t="e">
        <f>BI345-BI174</f>
        <v>#DIV/0!</v>
      </c>
      <c r="BJ346" s="226" t="e">
        <f>BJ345-BJ174</f>
        <v>#DIV/0!</v>
      </c>
      <c r="BK346" s="226" t="e">
        <f>BK345-BK174</f>
        <v>#DIV/0!</v>
      </c>
      <c r="BL346" s="226" t="e">
        <f>BL345-BL174</f>
        <v>#DIV/0!</v>
      </c>
      <c r="BM346" s="226" t="e">
        <f>BM345-BM174</f>
        <v>#DIV/0!</v>
      </c>
      <c r="BN346" s="226" t="e">
        <f>BN345-BN174</f>
        <v>#DIV/0!</v>
      </c>
      <c r="BO346" s="226" t="e">
        <f>BO345-BO174</f>
        <v>#DIV/0!</v>
      </c>
      <c r="BP346" s="226" t="e">
        <f>BP345-BP174</f>
        <v>#DIV/0!</v>
      </c>
      <c r="BQ346" s="226" t="e">
        <f>BQ345-BQ174</f>
        <v>#DIV/0!</v>
      </c>
      <c r="BR346" s="226" t="e">
        <f>BR345-BR174</f>
        <v>#DIV/0!</v>
      </c>
      <c r="BS346" s="226" t="e">
        <f>BS345-BS174</f>
        <v>#DIV/0!</v>
      </c>
      <c r="BT346" s="226" t="e">
        <f>BT345-BT174</f>
        <v>#DIV/0!</v>
      </c>
      <c r="BU346" s="226" t="e">
        <f>BU345-BU174</f>
        <v>#DIV/0!</v>
      </c>
      <c r="BV346" s="226" t="e">
        <f>BV345-BV174</f>
        <v>#DIV/0!</v>
      </c>
      <c r="BW346" s="226" t="e">
        <f>BW345-BW174</f>
        <v>#DIV/0!</v>
      </c>
      <c r="BX346" s="226" t="e">
        <f>BX345-BX174</f>
        <v>#DIV/0!</v>
      </c>
      <c r="BY346" s="226" t="e">
        <f>BY345-BY174</f>
        <v>#DIV/0!</v>
      </c>
      <c r="BZ346" s="226" t="e">
        <f>BZ345-BZ174</f>
        <v>#DIV/0!</v>
      </c>
      <c r="CA346" s="226" t="e">
        <f>CA345-CA174</f>
        <v>#DIV/0!</v>
      </c>
      <c r="CB346" s="226" t="e">
        <f>CB345-CB174</f>
        <v>#DIV/0!</v>
      </c>
      <c r="CC346" s="226" t="e">
        <f>CC345-CC174</f>
        <v>#DIV/0!</v>
      </c>
      <c r="CD346" s="226" t="e">
        <f>CD345-CD174</f>
        <v>#DIV/0!</v>
      </c>
      <c r="CE346" s="226" t="e">
        <f>CE345-CE174</f>
        <v>#DIV/0!</v>
      </c>
      <c r="CF346" s="226" t="e">
        <f>CF345-CF174</f>
        <v>#DIV/0!</v>
      </c>
      <c r="CG346" s="226" t="e">
        <f>CG345-CG174</f>
        <v>#DIV/0!</v>
      </c>
      <c r="CH346" s="226" t="e">
        <f>CH345-CH174</f>
        <v>#DIV/0!</v>
      </c>
      <c r="CI346" s="226" t="e">
        <f>CI345-CI174</f>
        <v>#DIV/0!</v>
      </c>
      <c r="CJ346" s="226" t="e">
        <f>CJ345-CJ174</f>
        <v>#DIV/0!</v>
      </c>
      <c r="CK346" s="226" t="e">
        <f>CK345-CK174</f>
        <v>#DIV/0!</v>
      </c>
      <c r="CL346" s="226" t="e">
        <f>CL345-CL174</f>
        <v>#DIV/0!</v>
      </c>
      <c r="CM346" s="226" t="e">
        <f>CM345-CM174</f>
        <v>#DIV/0!</v>
      </c>
      <c r="CN346" s="226" t="e">
        <f>CN345-CN174</f>
        <v>#DIV/0!</v>
      </c>
      <c r="CO346" s="226" t="e">
        <f>CO345-CO174</f>
        <v>#DIV/0!</v>
      </c>
      <c r="CP346" s="226" t="e">
        <f>CP345-CP174</f>
        <v>#DIV/0!</v>
      </c>
      <c r="CQ346" s="226" t="e">
        <f>CQ345-CQ174</f>
        <v>#DIV/0!</v>
      </c>
      <c r="CR346" s="226" t="e">
        <f>CR345-CR174</f>
        <v>#DIV/0!</v>
      </c>
      <c r="CS346" s="226" t="e">
        <f>CS345-CS174</f>
        <v>#DIV/0!</v>
      </c>
      <c r="CT346" s="226" t="e">
        <f>CT345-CT174</f>
        <v>#DIV/0!</v>
      </c>
      <c r="CU346" s="226" t="e">
        <f>CU345-CU174</f>
        <v>#DIV/0!</v>
      </c>
      <c r="CV346" s="226" t="e">
        <f>CV345-CV174</f>
        <v>#DIV/0!</v>
      </c>
      <c r="CW346" s="226" t="e">
        <f>CW345-CW174</f>
        <v>#DIV/0!</v>
      </c>
      <c r="CX346" s="226" t="e">
        <f>CX345-CX174</f>
        <v>#DIV/0!</v>
      </c>
      <c r="CY346" s="226" t="e">
        <f>CY345-CY174</f>
        <v>#DIV/0!</v>
      </c>
    </row>
    <row r="347" customFormat="1" s="233">
      <c r="A347" s="224" t="n"/>
      <c r="B347" s="224" t="n"/>
      <c r="C347" s="233" t="inlineStr">
        <is>
          <t>OPERATING WORKING CAPITAL</t>
        </is>
      </c>
      <c r="D347" s="242">
        <f>D348-D349</f>
        <v>5326.2</v>
      </c>
      <c r="E347" s="242">
        <f>E348-E349</f>
        <v>3951.1</v>
      </c>
      <c r="F347" s="242">
        <f>F348-F349</f>
        <v>3775.5</v>
      </c>
      <c r="G347" s="242">
        <f>G348-G349</f>
        <v>4138.3</v>
      </c>
      <c r="H347" s="242">
        <f>H348-H349</f>
        <v>4138.3</v>
      </c>
      <c r="I347" s="36">
        <f>I348-I349</f>
        <v>4493.7</v>
      </c>
      <c r="J347" s="36">
        <f>J348-J349</f>
        <v>3384.5</v>
      </c>
      <c r="K347" s="36">
        <f>K348-K349</f>
        <v>4489.6</v>
      </c>
      <c r="L347" s="36">
        <f>L348-L349</f>
        <v>3518.7</v>
      </c>
      <c r="M347" s="36">
        <f>M348-M349</f>
        <v>3518.7</v>
      </c>
      <c r="N347" s="36">
        <f>N348-N349</f>
        <v>4831.2</v>
      </c>
      <c r="O347" s="36">
        <f>O348-O349</f>
        <v>3251.6</v>
      </c>
      <c r="P347" s="36">
        <f>P348-P349</f>
        <v>3373.9</v>
      </c>
      <c r="Q347" s="36">
        <f>Q348-Q349</f>
        <v>2978.5</v>
      </c>
      <c r="R347" s="36">
        <f>R348-R349</f>
        <v>2978.5</v>
      </c>
      <c r="S347" s="36">
        <f>S348-S349</f>
        <v>4541.9</v>
      </c>
      <c r="T347" s="36">
        <f>T348-T349</f>
        <v>4055</v>
      </c>
      <c r="U347" s="36">
        <f>U348-U349</f>
        <v>5334.4</v>
      </c>
      <c r="V347" s="36">
        <f>V348-V349</f>
        <v>7887.9</v>
      </c>
      <c r="W347" s="36">
        <f>W348-W349</f>
        <v>7887.9</v>
      </c>
      <c r="X347" s="36">
        <f>X348-X349</f>
        <v>11289.8</v>
      </c>
      <c r="Y347" s="36">
        <f>Y348-Y349</f>
        <v>11536</v>
      </c>
      <c r="Z347" s="36">
        <f>Z348-Z349</f>
        <v>12689.2</v>
      </c>
      <c r="AA347" s="36">
        <f>AA348-AA349</f>
        <v>14057.6</v>
      </c>
      <c r="AB347" s="36">
        <f>AB348-AB349</f>
        <v>14057.6</v>
      </c>
      <c r="AC347" s="36">
        <f>AC348-AC349</f>
        <v>20562</v>
      </c>
      <c r="AD347" s="36">
        <f>AD348-AD349</f>
        <v>22439.2</v>
      </c>
      <c r="AE347" s="36">
        <f>AE348-AE349</f>
        <v>22612.6</v>
      </c>
      <c r="AF347" s="36">
        <f>AF348-AF349</f>
        <v>24727</v>
      </c>
      <c r="AG347" s="36">
        <f>AG348-AG349</f>
        <v>24727</v>
      </c>
      <c r="AH347" s="36">
        <f>AH348-AH349</f>
        <v>28269</v>
      </c>
      <c r="AI347" s="36">
        <f>AI348-AI349</f>
        <v>25059</v>
      </c>
      <c r="AJ347" s="36">
        <f>AJ348-AJ349</f>
        <v>-3907</v>
      </c>
      <c r="AK347" s="36">
        <f>AK348-AK349</f>
        <v>-3907</v>
      </c>
      <c r="AL347" s="36">
        <f>AL348-AL349</f>
        <v>-3907</v>
      </c>
      <c r="AM347" s="36" t="e">
        <f>AM348-AM349</f>
        <v>#DIV/0!</v>
      </c>
      <c r="AN347" s="36">
        <f>AN348-AN349</f>
        <v>-3907</v>
      </c>
      <c r="AO347" s="36" t="e">
        <f>AO348-AO349</f>
        <v>#DIV/0!</v>
      </c>
      <c r="AP347" s="36" t="e">
        <f>AP348-AP349</f>
        <v>#DIV/0!</v>
      </c>
      <c r="AQ347" s="36" t="e">
        <f>AQ348-AQ349</f>
        <v>#DIV/0!</v>
      </c>
      <c r="AR347" s="36" t="e">
        <f>AR348-AR349</f>
        <v>#DIV/0!</v>
      </c>
      <c r="AS347" s="36" t="e">
        <f>AS348-AS349</f>
        <v>#DIV/0!</v>
      </c>
      <c r="AT347" s="36" t="e">
        <f>AT348-AT349</f>
        <v>#DIV/0!</v>
      </c>
      <c r="AU347" s="36" t="e">
        <f>AU348-AU349</f>
        <v>#DIV/0!</v>
      </c>
      <c r="AV347" s="36" t="e">
        <f>AV348-AV349</f>
        <v>#DIV/0!</v>
      </c>
      <c r="AW347" s="36" t="e">
        <f>AW348-AW349</f>
        <v>#DIV/0!</v>
      </c>
      <c r="AX347" s="36" t="e">
        <f>AX348-AX349</f>
        <v>#DIV/0!</v>
      </c>
      <c r="AY347" s="36" t="e">
        <f>AY348-AY349</f>
        <v>#DIV/0!</v>
      </c>
      <c r="AZ347" s="36" t="e">
        <f>AZ348-AZ349</f>
        <v>#DIV/0!</v>
      </c>
      <c r="BA347" s="36" t="e">
        <f>BA348-BA349</f>
        <v>#DIV/0!</v>
      </c>
      <c r="BB347" s="36" t="e">
        <f>BB348-BB349</f>
        <v>#DIV/0!</v>
      </c>
      <c r="BC347" s="36" t="e">
        <f>BC348-BC349</f>
        <v>#DIV/0!</v>
      </c>
      <c r="BD347" s="36" t="e">
        <f>BD348-BD349</f>
        <v>#DIV/0!</v>
      </c>
      <c r="BE347" s="36" t="e">
        <f>BE348-BE349</f>
        <v>#DIV/0!</v>
      </c>
      <c r="BF347" s="36" t="e">
        <f>BF348-BF349</f>
        <v>#DIV/0!</v>
      </c>
      <c r="BG347" s="36" t="e">
        <f>BG348-BG349</f>
        <v>#DIV/0!</v>
      </c>
      <c r="BH347" s="36" t="e">
        <f>BH348-BH349</f>
        <v>#DIV/0!</v>
      </c>
      <c r="BI347" s="36" t="e">
        <f>BI348-BI349</f>
        <v>#DIV/0!</v>
      </c>
      <c r="BJ347" s="36" t="e">
        <f>BJ348-BJ349</f>
        <v>#DIV/0!</v>
      </c>
      <c r="BK347" s="36" t="e">
        <f>BK348-BK349</f>
        <v>#DIV/0!</v>
      </c>
      <c r="BL347" s="36" t="e">
        <f>BL348-BL349</f>
        <v>#DIV/0!</v>
      </c>
      <c r="BM347" s="36" t="e">
        <f>BM348-BM349</f>
        <v>#DIV/0!</v>
      </c>
      <c r="BN347" s="36" t="e">
        <f>BN348-BN349</f>
        <v>#DIV/0!</v>
      </c>
      <c r="BO347" s="36" t="e">
        <f>BO348-BO349</f>
        <v>#DIV/0!</v>
      </c>
      <c r="BP347" s="36" t="e">
        <f>BP348-BP349</f>
        <v>#DIV/0!</v>
      </c>
      <c r="BQ347" s="36" t="e">
        <f>BQ348-BQ349</f>
        <v>#DIV/0!</v>
      </c>
      <c r="BR347" s="36" t="e">
        <f>BR348-BR349</f>
        <v>#DIV/0!</v>
      </c>
      <c r="BS347" s="36" t="e">
        <f>BS348-BS349</f>
        <v>#DIV/0!</v>
      </c>
      <c r="BT347" s="36" t="e">
        <f>BT348-BT349</f>
        <v>#DIV/0!</v>
      </c>
      <c r="BU347" s="36" t="e">
        <f>BU348-BU349</f>
        <v>#DIV/0!</v>
      </c>
      <c r="BV347" s="36" t="e">
        <f>BV348-BV349</f>
        <v>#DIV/0!</v>
      </c>
      <c r="BW347" s="36" t="e">
        <f>BW348-BW349</f>
        <v>#DIV/0!</v>
      </c>
      <c r="BX347" s="36" t="e">
        <f>BX348-BX349</f>
        <v>#DIV/0!</v>
      </c>
      <c r="BY347" s="36" t="e">
        <f>BY348-BY349</f>
        <v>#DIV/0!</v>
      </c>
      <c r="BZ347" s="36" t="e">
        <f>BZ348-BZ349</f>
        <v>#DIV/0!</v>
      </c>
      <c r="CA347" s="36" t="e">
        <f>CA348-CA349</f>
        <v>#DIV/0!</v>
      </c>
      <c r="CB347" s="36" t="e">
        <f>CB348-CB349</f>
        <v>#DIV/0!</v>
      </c>
      <c r="CC347" s="36" t="e">
        <f>CC348-CC349</f>
        <v>#DIV/0!</v>
      </c>
      <c r="CD347" s="36" t="e">
        <f>CD348-CD349</f>
        <v>#DIV/0!</v>
      </c>
      <c r="CE347" s="36" t="e">
        <f>CE348-CE349</f>
        <v>#DIV/0!</v>
      </c>
      <c r="CF347" s="36" t="e">
        <f>CF348-CF349</f>
        <v>#DIV/0!</v>
      </c>
      <c r="CG347" s="36" t="e">
        <f>CG348-CG349</f>
        <v>#DIV/0!</v>
      </c>
      <c r="CH347" s="36" t="e">
        <f>CH348-CH349</f>
        <v>#DIV/0!</v>
      </c>
      <c r="CI347" s="36" t="e">
        <f>CI348-CI349</f>
        <v>#DIV/0!</v>
      </c>
      <c r="CJ347" s="36" t="e">
        <f>CJ348-CJ349</f>
        <v>#DIV/0!</v>
      </c>
      <c r="CK347" s="36" t="e">
        <f>CK348-CK349</f>
        <v>#DIV/0!</v>
      </c>
      <c r="CL347" s="36" t="e">
        <f>CL348-CL349</f>
        <v>#DIV/0!</v>
      </c>
      <c r="CM347" s="36" t="e">
        <f>CM348-CM349</f>
        <v>#DIV/0!</v>
      </c>
      <c r="CN347" s="36" t="e">
        <f>CN348-CN349</f>
        <v>#DIV/0!</v>
      </c>
      <c r="CO347" s="36" t="e">
        <f>CO348-CO349</f>
        <v>#DIV/0!</v>
      </c>
      <c r="CP347" s="36" t="e">
        <f>CP348-CP349</f>
        <v>#DIV/0!</v>
      </c>
      <c r="CQ347" s="36" t="e">
        <f>CQ348-CQ349</f>
        <v>#DIV/0!</v>
      </c>
      <c r="CR347" s="36" t="e">
        <f>CR348-CR349</f>
        <v>#DIV/0!</v>
      </c>
      <c r="CS347" s="36" t="e">
        <f>CS348-CS349</f>
        <v>#DIV/0!</v>
      </c>
      <c r="CT347" s="36" t="e">
        <f>CT348-CT349</f>
        <v>#DIV/0!</v>
      </c>
      <c r="CU347" s="36" t="e">
        <f>CU348-CU349</f>
        <v>#DIV/0!</v>
      </c>
      <c r="CV347" s="36" t="e">
        <f>CV348-CV349</f>
        <v>#DIV/0!</v>
      </c>
      <c r="CW347" s="36" t="e">
        <f>CW348-CW349</f>
        <v>#DIV/0!</v>
      </c>
      <c r="CX347" s="36" t="e">
        <f>CX348-CX349</f>
        <v>#DIV/0!</v>
      </c>
      <c r="CY347" s="36" t="e">
        <f>CY348-CY349</f>
        <v>#DIV/0!</v>
      </c>
    </row>
    <row r="348" customFormat="1" s="233">
      <c r="A348" s="224" t="n"/>
      <c r="B348" s="224" t="n"/>
      <c r="C348" s="233" t="inlineStr">
        <is>
          <t>CURRENT ASSETS</t>
        </is>
      </c>
      <c r="D348" s="241">
        <f>D140+D144+D148+D149+D150</f>
        <v>14688.4</v>
      </c>
      <c r="E348" s="241">
        <f>E140+E144+E148+E149+E150</f>
        <v>14675.8</v>
      </c>
      <c r="F348" s="241">
        <f>F140+F144+F148+F149+F150</f>
        <v>15164.9</v>
      </c>
      <c r="G348" s="241">
        <f>G140+G144+G148+G149+G150</f>
        <v>16611.2</v>
      </c>
      <c r="H348" s="241">
        <f>H140+H144+H148+H149+H150</f>
        <v>16611.2</v>
      </c>
      <c r="I348" s="226">
        <f>I140+I144+I148+I149+I150</f>
        <v>16203</v>
      </c>
      <c r="J348" s="226">
        <f>J140+J144+J148+J149+J150</f>
        <v>16699.2</v>
      </c>
      <c r="K348" s="226">
        <f>K140+K144+K148+K149+K150</f>
        <v>16608.6</v>
      </c>
      <c r="L348" s="226">
        <f>L140+L144+L148+L149+L150</f>
        <v>17033.1</v>
      </c>
      <c r="M348" s="226">
        <f>M140+M144+M148+M149+M150</f>
        <v>17033.1</v>
      </c>
      <c r="N348" s="226">
        <f>N140+N144+N148+N149+N150</f>
        <v>16861.3</v>
      </c>
      <c r="O348" s="226">
        <f>O140+O144+O148+O149+O150</f>
        <v>16750.4</v>
      </c>
      <c r="P348" s="226">
        <f>P140+P144+P148+P149+P150</f>
        <v>17282.1</v>
      </c>
      <c r="Q348" s="226">
        <f>Q140+Q144+Q148+Q149+Q150</f>
        <v>18615.6</v>
      </c>
      <c r="R348" s="226">
        <f>R140+R144+R148+R149+R150</f>
        <v>18615.6</v>
      </c>
      <c r="S348" s="226">
        <f>S140+S144+S148+S149+S150</f>
        <v>20548.8</v>
      </c>
      <c r="T348" s="226">
        <f>T140+T144+T148+T149+T150</f>
        <v>22308.4</v>
      </c>
      <c r="U348" s="226">
        <f>U140+U144+U148+U149+U150</f>
        <v>25087.9</v>
      </c>
      <c r="V348" s="226">
        <f>V140+V144+V148+V149+V150</f>
        <v>28276.6</v>
      </c>
      <c r="W348" s="226">
        <f>W140+W144+W148+W149+W150</f>
        <v>28276.6</v>
      </c>
      <c r="X348" s="226">
        <f>X140+X144+X148+X149+X150</f>
        <v>28236.4</v>
      </c>
      <c r="Y348" s="226">
        <f>Y140+Y144+Y148+Y149+Y150</f>
        <v>33495.6</v>
      </c>
      <c r="Z348" s="226">
        <f>Z140+Z144+Z148+Z149+Z150</f>
        <v>35289</v>
      </c>
      <c r="AA348" s="226">
        <f>AA140+AA144+AA148+AA149+AA150</f>
        <v>37317.1</v>
      </c>
      <c r="AB348" s="226">
        <f>AB140+AB144+AB148+AB149+AB150</f>
        <v>37317.1</v>
      </c>
      <c r="AC348" s="226">
        <f>AC140+AC144+AC148+AC149+AC150</f>
        <v>46613.7</v>
      </c>
      <c r="AD348" s="226">
        <f>AD140+AD144+AD148+AD149+AD150</f>
        <v>55735.4</v>
      </c>
      <c r="AE348" s="226">
        <f>AE140+AE144+AE148+AE149+AE150</f>
        <v>61120.5</v>
      </c>
      <c r="AF348" s="226">
        <f>AF140+AF144+AF148+AF149+AF150</f>
        <v>58320</v>
      </c>
      <c r="AG348" s="226">
        <f>AG140+AG144+AG148+AG149+AG150</f>
        <v>58320</v>
      </c>
      <c r="AH348" s="226">
        <f>AH140+AH144+AH148+AH149+AH150</f>
        <v>60903</v>
      </c>
      <c r="AI348" s="226">
        <f>AI140+AI144+AI148+AI149+AI150</f>
        <v>65750</v>
      </c>
      <c r="AJ348" s="226">
        <f>AJ140+AJ144+AJ148+AJ149+AJ150</f>
        <v>28874</v>
      </c>
      <c r="AK348" s="226">
        <f>AK140+AK144+AK148+AK149+AK150</f>
        <v>28874</v>
      </c>
      <c r="AL348" s="226">
        <f>AL140+AL144+AL148+AL149+AL150</f>
        <v>28874</v>
      </c>
      <c r="AM348" s="226">
        <f>AM140+AM144+AM148+AM149+AM150</f>
        <v>28874</v>
      </c>
      <c r="AN348" s="226">
        <f>AN140+AN144+AN148+AN149+AN150</f>
        <v>28874</v>
      </c>
      <c r="AO348" s="226">
        <f>AO140+AO144+AO148+AO149+AO150</f>
        <v>28874</v>
      </c>
      <c r="AP348" s="226">
        <f>AP140+AP144+AP148+AP149+AP150</f>
        <v>28874</v>
      </c>
      <c r="AQ348" s="226">
        <f>AQ140+AQ144+AQ148+AQ149+AQ150</f>
        <v>28874</v>
      </c>
      <c r="AR348" s="226">
        <f>AR140+AR144+AR148+AR149+AR150</f>
        <v>28874</v>
      </c>
      <c r="AS348" s="226">
        <f>AS140+AS144+AS148+AS149+AS150</f>
        <v>28874</v>
      </c>
      <c r="AT348" s="226">
        <f>AT140+AT144+AT148+AT149+AT150</f>
        <v>28874</v>
      </c>
      <c r="AU348" s="226">
        <f>AU140+AU144+AU148+AU149+AU150</f>
        <v>28874</v>
      </c>
      <c r="AV348" s="226">
        <f>AV140+AV144+AV148+AV149+AV150</f>
        <v>28874</v>
      </c>
      <c r="AW348" s="226">
        <f>AW140+AW144+AW148+AW149+AW150</f>
        <v>28874</v>
      </c>
      <c r="AX348" s="226">
        <f>AX140+AX144+AX148+AX149+AX150</f>
        <v>28874</v>
      </c>
      <c r="AY348" s="226">
        <f>AY140+AY144+AY148+AY149+AY150</f>
        <v>28874</v>
      </c>
      <c r="AZ348" s="226">
        <f>AZ140+AZ144+AZ148+AZ149+AZ150</f>
        <v>28874</v>
      </c>
      <c r="BA348" s="226">
        <f>BA140+BA144+BA148+BA149+BA150</f>
        <v>28874</v>
      </c>
      <c r="BB348" s="226">
        <f>BB140+BB144+BB148+BB149+BB150</f>
        <v>28874</v>
      </c>
      <c r="BC348" s="226">
        <f>BC140+BC144+BC148+BC149+BC150</f>
        <v>28874</v>
      </c>
      <c r="BD348" s="226">
        <f>BD140+BD144+BD148+BD149+BD150</f>
        <v>28874</v>
      </c>
      <c r="BE348" s="226">
        <f>BE140+BE144+BE148+BE149+BE150</f>
        <v>28874</v>
      </c>
      <c r="BF348" s="226">
        <f>BF140+BF144+BF148+BF149+BF150</f>
        <v>28874</v>
      </c>
      <c r="BG348" s="226">
        <f>BG140+BG144+BG148+BG149+BG150</f>
        <v>28874</v>
      </c>
      <c r="BH348" s="226">
        <f>BH140+BH144+BH148+BH149+BH150</f>
        <v>28874</v>
      </c>
      <c r="BI348" s="226">
        <f>BI140+BI144+BI148+BI149+BI150</f>
        <v>28874</v>
      </c>
      <c r="BJ348" s="226">
        <f>BJ140+BJ144+BJ148+BJ149+BJ150</f>
        <v>28874</v>
      </c>
      <c r="BK348" s="226">
        <f>BK140+BK144+BK148+BK149+BK150</f>
        <v>28874</v>
      </c>
      <c r="BL348" s="226">
        <f>BL140+BL144+BL148+BL149+BL150</f>
        <v>28874</v>
      </c>
      <c r="BM348" s="226">
        <f>BM140+BM144+BM148+BM149+BM150</f>
        <v>28874</v>
      </c>
      <c r="BN348" s="226">
        <f>BN140+BN144+BN148+BN149+BN150</f>
        <v>28874</v>
      </c>
      <c r="BO348" s="226">
        <f>BO140+BO144+BO148+BO149+BO150</f>
        <v>28874</v>
      </c>
      <c r="BP348" s="226">
        <f>BP140+BP144+BP148+BP149+BP150</f>
        <v>28874</v>
      </c>
      <c r="BQ348" s="226">
        <f>BQ140+BQ144+BQ148+BQ149+BQ150</f>
        <v>28874</v>
      </c>
      <c r="BR348" s="226">
        <f>BR140+BR144+BR148+BR149+BR150</f>
        <v>28874</v>
      </c>
      <c r="BS348" s="226">
        <f>BS140+BS144+BS148+BS149+BS150</f>
        <v>28874</v>
      </c>
      <c r="BT348" s="226">
        <f>BT140+BT144+BT148+BT149+BT150</f>
        <v>28874</v>
      </c>
      <c r="BU348" s="226">
        <f>BU140+BU144+BU148+BU149+BU150</f>
        <v>28874</v>
      </c>
      <c r="BV348" s="226">
        <f>BV140+BV144+BV148+BV149+BV150</f>
        <v>28874</v>
      </c>
      <c r="BW348" s="226">
        <f>BW140+BW144+BW148+BW149+BW150</f>
        <v>28874</v>
      </c>
      <c r="BX348" s="226">
        <f>BX140+BX144+BX148+BX149+BX150</f>
        <v>28874</v>
      </c>
      <c r="BY348" s="226">
        <f>BY140+BY144+BY148+BY149+BY150</f>
        <v>28874</v>
      </c>
      <c r="BZ348" s="226">
        <f>BZ140+BZ144+BZ148+BZ149+BZ150</f>
        <v>28874</v>
      </c>
      <c r="CA348" s="226">
        <f>CA140+CA144+CA148+CA149+CA150</f>
        <v>28874</v>
      </c>
      <c r="CB348" s="226">
        <f>CB140+CB144+CB148+CB149+CB150</f>
        <v>28874</v>
      </c>
      <c r="CC348" s="226">
        <f>CC140+CC144+CC148+CC149+CC150</f>
        <v>28874</v>
      </c>
      <c r="CD348" s="226">
        <f>CD140+CD144+CD148+CD149+CD150</f>
        <v>28874</v>
      </c>
      <c r="CE348" s="226">
        <f>CE140+CE144+CE148+CE149+CE150</f>
        <v>28874</v>
      </c>
      <c r="CF348" s="226">
        <f>CF140+CF144+CF148+CF149+CF150</f>
        <v>28874</v>
      </c>
      <c r="CG348" s="226">
        <f>CG140+CG144+CG148+CG149+CG150</f>
        <v>28874</v>
      </c>
      <c r="CH348" s="226">
        <f>CH140+CH144+CH148+CH149+CH150</f>
        <v>28874</v>
      </c>
      <c r="CI348" s="226">
        <f>CI140+CI144+CI148+CI149+CI150</f>
        <v>28874</v>
      </c>
      <c r="CJ348" s="226">
        <f>CJ140+CJ144+CJ148+CJ149+CJ150</f>
        <v>28874</v>
      </c>
      <c r="CK348" s="226">
        <f>CK140+CK144+CK148+CK149+CK150</f>
        <v>28874</v>
      </c>
      <c r="CL348" s="226">
        <f>CL140+CL144+CL148+CL149+CL150</f>
        <v>28874</v>
      </c>
      <c r="CM348" s="226">
        <f>CM140+CM144+CM148+CM149+CM150</f>
        <v>28874</v>
      </c>
      <c r="CN348" s="226">
        <f>CN140+CN144+CN148+CN149+CN150</f>
        <v>28874</v>
      </c>
      <c r="CO348" s="226">
        <f>CO140+CO144+CO148+CO149+CO150</f>
        <v>28874</v>
      </c>
      <c r="CP348" s="226">
        <f>CP140+CP144+CP148+CP149+CP150</f>
        <v>28874</v>
      </c>
      <c r="CQ348" s="226">
        <f>CQ140+CQ144+CQ148+CQ149+CQ150</f>
        <v>28874</v>
      </c>
      <c r="CR348" s="226">
        <f>CR140+CR144+CR148+CR149+CR150</f>
        <v>28874</v>
      </c>
      <c r="CS348" s="226">
        <f>CS140+CS144+CS148+CS149+CS150</f>
        <v>28874</v>
      </c>
      <c r="CT348" s="226">
        <f>CT140+CT144+CT148+CT149+CT150</f>
        <v>28874</v>
      </c>
      <c r="CU348" s="226">
        <f>CU140+CU144+CU148+CU149+CU150</f>
        <v>28874</v>
      </c>
      <c r="CV348" s="226">
        <f>CV140+CV144+CV148+CV149+CV150</f>
        <v>28874</v>
      </c>
      <c r="CW348" s="226">
        <f>CW140+CW144+CW148+CW149+CW150</f>
        <v>28874</v>
      </c>
      <c r="CX348" s="226">
        <f>CX140+CX144+CX148+CX149+CX150</f>
        <v>28874</v>
      </c>
      <c r="CY348" s="226">
        <f>CY140+CY144+CY148+CY149+CY150</f>
        <v>28874</v>
      </c>
    </row>
    <row r="349" customFormat="1" s="233">
      <c r="A349" s="224" t="n"/>
      <c r="B349" s="224" t="n"/>
      <c r="C349" s="233" t="inlineStr">
        <is>
          <t>CURRENT LIABILITIES</t>
        </is>
      </c>
      <c r="D349" s="241">
        <f>D193+D197+D199+D200</f>
        <v>9362.2</v>
      </c>
      <c r="E349" s="241">
        <f>E193+E197+E199+E200</f>
        <v>10724.7</v>
      </c>
      <c r="F349" s="241">
        <f>F193+F197+F199+F200</f>
        <v>11389.4</v>
      </c>
      <c r="G349" s="241">
        <f>G193+G197+G199+G200</f>
        <v>12472.9</v>
      </c>
      <c r="H349" s="241">
        <f>H193+H197+H199+H200</f>
        <v>12472.9</v>
      </c>
      <c r="I349" s="226">
        <f>I193+I197+I199+I200</f>
        <v>11709.3</v>
      </c>
      <c r="J349" s="226">
        <f>J193+J197+J199+J200</f>
        <v>13314.7</v>
      </c>
      <c r="K349" s="226">
        <f>K193+K197+K199+K200</f>
        <v>12119</v>
      </c>
      <c r="L349" s="226">
        <f>L193+L197+L199+L200</f>
        <v>13514.4</v>
      </c>
      <c r="M349" s="226">
        <f>M193+M197+M199+M200</f>
        <v>13514.4</v>
      </c>
      <c r="N349" s="226">
        <f>N193+N197+N199+N200</f>
        <v>12030.1</v>
      </c>
      <c r="O349" s="226">
        <f>O193+O197+O199+O200</f>
        <v>13498.8</v>
      </c>
      <c r="P349" s="226">
        <f>P193+P197+P199+P200</f>
        <v>13908.2</v>
      </c>
      <c r="Q349" s="226">
        <f>Q193+Q197+Q199+Q200</f>
        <v>15637.1</v>
      </c>
      <c r="R349" s="226">
        <f>R193+R197+R199+R200</f>
        <v>15637.1</v>
      </c>
      <c r="S349" s="226">
        <f>S193+S197+S199+S200</f>
        <v>16006.9</v>
      </c>
      <c r="T349" s="226">
        <f>T193+T197+T199+T200</f>
        <v>18253.4</v>
      </c>
      <c r="U349" s="226">
        <f>U193+U197+U199+U200</f>
        <v>19753.5</v>
      </c>
      <c r="V349" s="226">
        <f>V193+V197+V199+V200</f>
        <v>20388.7</v>
      </c>
      <c r="W349" s="226">
        <f>W193+W197+W199+W200</f>
        <v>20388.7</v>
      </c>
      <c r="X349" s="226">
        <f>X193+X197+X199+X200</f>
        <v>16946.6</v>
      </c>
      <c r="Y349" s="226">
        <f>Y193+Y197+Y199+Y200</f>
        <v>21959.6</v>
      </c>
      <c r="Z349" s="226">
        <f>Z193+Z197+Z199+Z200</f>
        <v>22599.8</v>
      </c>
      <c r="AA349" s="226">
        <f>AA193+AA197+AA199+AA200</f>
        <v>23259.5</v>
      </c>
      <c r="AB349" s="226">
        <f>AB193+AB197+AB199+AB200</f>
        <v>23259.5</v>
      </c>
      <c r="AC349" s="226">
        <f>AC193+AC197+AC199+AC200</f>
        <v>26051.7</v>
      </c>
      <c r="AD349" s="226">
        <f>AD193+AD197+AD199+AD200</f>
        <v>33296.2</v>
      </c>
      <c r="AE349" s="226">
        <f>AE193+AE197+AE199+AE200</f>
        <v>38507.9</v>
      </c>
      <c r="AF349" s="226">
        <f>AF193+AF197+AF199+AF200</f>
        <v>33593</v>
      </c>
      <c r="AG349" s="226">
        <f>AG193+AG197+AG199+AG200</f>
        <v>33593</v>
      </c>
      <c r="AH349" s="226">
        <f>AH193+AH197+AH199+AH200</f>
        <v>32634</v>
      </c>
      <c r="AI349" s="226">
        <f>AI193+AI197+AI199+AI200</f>
        <v>40691</v>
      </c>
      <c r="AJ349" s="226">
        <f>AJ193+AJ197+AJ199+AJ200</f>
        <v>32781</v>
      </c>
      <c r="AK349" s="226">
        <f>AK193+AK197+AK199+AK200</f>
        <v>32781</v>
      </c>
      <c r="AL349" s="226">
        <f>AL193+AL197+AL199+AL200</f>
        <v>32781</v>
      </c>
      <c r="AM349" s="226" t="e">
        <f>AM193+AM197+AM199+AM200</f>
        <v>#DIV/0!</v>
      </c>
      <c r="AN349" s="226">
        <f>AN193+AN197+AN199+AN200</f>
        <v>32781</v>
      </c>
      <c r="AO349" s="226" t="e">
        <f>AO193+AO197+AO199+AO200</f>
        <v>#DIV/0!</v>
      </c>
      <c r="AP349" s="226" t="e">
        <f>AP193+AP197+AP199+AP200</f>
        <v>#DIV/0!</v>
      </c>
      <c r="AQ349" s="226" t="e">
        <f>AQ193+AQ197+AQ199+AQ200</f>
        <v>#DIV/0!</v>
      </c>
      <c r="AR349" s="226" t="e">
        <f>AR193+AR197+AR199+AR200</f>
        <v>#DIV/0!</v>
      </c>
      <c r="AS349" s="226" t="e">
        <f>AS193+AS197+AS199+AS200</f>
        <v>#DIV/0!</v>
      </c>
      <c r="AT349" s="226" t="e">
        <f>AT193+AT197+AT199+AT200</f>
        <v>#DIV/0!</v>
      </c>
      <c r="AU349" s="226" t="e">
        <f>AU193+AU197+AU199+AU200</f>
        <v>#DIV/0!</v>
      </c>
      <c r="AV349" s="226" t="e">
        <f>AV193+AV197+AV199+AV200</f>
        <v>#DIV/0!</v>
      </c>
      <c r="AW349" s="226" t="e">
        <f>AW193+AW197+AW199+AW200</f>
        <v>#DIV/0!</v>
      </c>
      <c r="AX349" s="226" t="e">
        <f>AX193+AX197+AX199+AX200</f>
        <v>#DIV/0!</v>
      </c>
      <c r="AY349" s="226" t="e">
        <f>AY193+AY197+AY199+AY200</f>
        <v>#DIV/0!</v>
      </c>
      <c r="AZ349" s="226" t="e">
        <f>AZ193+AZ197+AZ199+AZ200</f>
        <v>#DIV/0!</v>
      </c>
      <c r="BA349" s="226" t="e">
        <f>BA193+BA197+BA199+BA200</f>
        <v>#DIV/0!</v>
      </c>
      <c r="BB349" s="226" t="e">
        <f>BB193+BB197+BB199+BB200</f>
        <v>#DIV/0!</v>
      </c>
      <c r="BC349" s="226" t="e">
        <f>BC193+BC197+BC199+BC200</f>
        <v>#DIV/0!</v>
      </c>
      <c r="BD349" s="226" t="e">
        <f>BD193+BD197+BD199+BD200</f>
        <v>#DIV/0!</v>
      </c>
      <c r="BE349" s="226" t="e">
        <f>BE193+BE197+BE199+BE200</f>
        <v>#DIV/0!</v>
      </c>
      <c r="BF349" s="226" t="e">
        <f>BF193+BF197+BF199+BF200</f>
        <v>#DIV/0!</v>
      </c>
      <c r="BG349" s="226" t="e">
        <f>BG193+BG197+BG199+BG200</f>
        <v>#DIV/0!</v>
      </c>
      <c r="BH349" s="226" t="e">
        <f>BH193+BH197+BH199+BH200</f>
        <v>#DIV/0!</v>
      </c>
      <c r="BI349" s="226" t="e">
        <f>BI193+BI197+BI199+BI200</f>
        <v>#DIV/0!</v>
      </c>
      <c r="BJ349" s="226" t="e">
        <f>BJ193+BJ197+BJ199+BJ200</f>
        <v>#DIV/0!</v>
      </c>
      <c r="BK349" s="226" t="e">
        <f>BK193+BK197+BK199+BK200</f>
        <v>#DIV/0!</v>
      </c>
      <c r="BL349" s="226" t="e">
        <f>BL193+BL197+BL199+BL200</f>
        <v>#DIV/0!</v>
      </c>
      <c r="BM349" s="226" t="e">
        <f>BM193+BM197+BM199+BM200</f>
        <v>#DIV/0!</v>
      </c>
      <c r="BN349" s="226" t="e">
        <f>BN193+BN197+BN199+BN200</f>
        <v>#DIV/0!</v>
      </c>
      <c r="BO349" s="226" t="e">
        <f>BO193+BO197+BO199+BO200</f>
        <v>#DIV/0!</v>
      </c>
      <c r="BP349" s="226" t="e">
        <f>BP193+BP197+BP199+BP200</f>
        <v>#DIV/0!</v>
      </c>
      <c r="BQ349" s="226" t="e">
        <f>BQ193+BQ197+BQ199+BQ200</f>
        <v>#DIV/0!</v>
      </c>
      <c r="BR349" s="226" t="e">
        <f>BR193+BR197+BR199+BR200</f>
        <v>#DIV/0!</v>
      </c>
      <c r="BS349" s="226" t="e">
        <f>BS193+BS197+BS199+BS200</f>
        <v>#DIV/0!</v>
      </c>
      <c r="BT349" s="226" t="e">
        <f>BT193+BT197+BT199+BT200</f>
        <v>#DIV/0!</v>
      </c>
      <c r="BU349" s="226" t="e">
        <f>BU193+BU197+BU199+BU200</f>
        <v>#DIV/0!</v>
      </c>
      <c r="BV349" s="226" t="e">
        <f>BV193+BV197+BV199+BV200</f>
        <v>#DIV/0!</v>
      </c>
      <c r="BW349" s="226" t="e">
        <f>BW193+BW197+BW199+BW200</f>
        <v>#DIV/0!</v>
      </c>
      <c r="BX349" s="226" t="e">
        <f>BX193+BX197+BX199+BX200</f>
        <v>#DIV/0!</v>
      </c>
      <c r="BY349" s="226" t="e">
        <f>BY193+BY197+BY199+BY200</f>
        <v>#DIV/0!</v>
      </c>
      <c r="BZ349" s="226" t="e">
        <f>BZ193+BZ197+BZ199+BZ200</f>
        <v>#DIV/0!</v>
      </c>
      <c r="CA349" s="226" t="e">
        <f>CA193+CA197+CA199+CA200</f>
        <v>#DIV/0!</v>
      </c>
      <c r="CB349" s="226" t="e">
        <f>CB193+CB197+CB199+CB200</f>
        <v>#DIV/0!</v>
      </c>
      <c r="CC349" s="226" t="e">
        <f>CC193+CC197+CC199+CC200</f>
        <v>#DIV/0!</v>
      </c>
      <c r="CD349" s="226" t="e">
        <f>CD193+CD197+CD199+CD200</f>
        <v>#DIV/0!</v>
      </c>
      <c r="CE349" s="226" t="e">
        <f>CE193+CE197+CE199+CE200</f>
        <v>#DIV/0!</v>
      </c>
      <c r="CF349" s="226" t="e">
        <f>CF193+CF197+CF199+CF200</f>
        <v>#DIV/0!</v>
      </c>
      <c r="CG349" s="226" t="e">
        <f>CG193+CG197+CG199+CG200</f>
        <v>#DIV/0!</v>
      </c>
      <c r="CH349" s="226" t="e">
        <f>CH193+CH197+CH199+CH200</f>
        <v>#DIV/0!</v>
      </c>
      <c r="CI349" s="226" t="e">
        <f>CI193+CI197+CI199+CI200</f>
        <v>#DIV/0!</v>
      </c>
      <c r="CJ349" s="226" t="e">
        <f>CJ193+CJ197+CJ199+CJ200</f>
        <v>#DIV/0!</v>
      </c>
      <c r="CK349" s="226" t="e">
        <f>CK193+CK197+CK199+CK200</f>
        <v>#DIV/0!</v>
      </c>
      <c r="CL349" s="226" t="e">
        <f>CL193+CL197+CL199+CL200</f>
        <v>#DIV/0!</v>
      </c>
      <c r="CM349" s="226" t="e">
        <f>CM193+CM197+CM199+CM200</f>
        <v>#DIV/0!</v>
      </c>
      <c r="CN349" s="226" t="e">
        <f>CN193+CN197+CN199+CN200</f>
        <v>#DIV/0!</v>
      </c>
      <c r="CO349" s="226" t="e">
        <f>CO193+CO197+CO199+CO200</f>
        <v>#DIV/0!</v>
      </c>
      <c r="CP349" s="226" t="e">
        <f>CP193+CP197+CP199+CP200</f>
        <v>#DIV/0!</v>
      </c>
      <c r="CQ349" s="226" t="e">
        <f>CQ193+CQ197+CQ199+CQ200</f>
        <v>#DIV/0!</v>
      </c>
      <c r="CR349" s="226" t="e">
        <f>CR193+CR197+CR199+CR200</f>
        <v>#DIV/0!</v>
      </c>
      <c r="CS349" s="226" t="e">
        <f>CS193+CS197+CS199+CS200</f>
        <v>#DIV/0!</v>
      </c>
      <c r="CT349" s="226" t="e">
        <f>CT193+CT197+CT199+CT200</f>
        <v>#DIV/0!</v>
      </c>
      <c r="CU349" s="226" t="e">
        <f>CU193+CU197+CU199+CU200</f>
        <v>#DIV/0!</v>
      </c>
      <c r="CV349" s="226" t="e">
        <f>CV193+CV197+CV199+CV200</f>
        <v>#DIV/0!</v>
      </c>
      <c r="CW349" s="226" t="e">
        <f>CW193+CW197+CW199+CW200</f>
        <v>#DIV/0!</v>
      </c>
      <c r="CX349" s="226" t="e">
        <f>CX193+CX197+CX199+CX200</f>
        <v>#DIV/0!</v>
      </c>
      <c r="CY349" s="226" t="e">
        <f>CY193+CY197+CY199+CY200</f>
        <v>#DIV/0!</v>
      </c>
    </row>
    <row r="350" customFormat="1" s="233">
      <c r="A350" s="224" t="n"/>
      <c r="B350" s="224" t="n"/>
      <c r="C350" s="233" t="inlineStr">
        <is>
          <t>FIXED ASSETS</t>
        </is>
      </c>
      <c r="D350" s="241">
        <f>D161+D171+D174+D175+D184-D235</f>
        <v>15510.1</v>
      </c>
      <c r="E350" s="241">
        <f>E161+E171+E174+E175+E184-E235</f>
        <v>16300.4</v>
      </c>
      <c r="F350" s="241">
        <f>F161+F171+F174+F175+F184-F235</f>
        <v>16620</v>
      </c>
      <c r="G350" s="241">
        <f>G161+G171+G174+G175+G184-G235</f>
        <v>16700.8</v>
      </c>
      <c r="H350" s="241">
        <f>H161+H171+H174+H175+H184-H235</f>
        <v>16700.8</v>
      </c>
      <c r="I350" s="226">
        <f>I161+I171+I174+I175+I184-I235</f>
        <v>17959.3</v>
      </c>
      <c r="J350" s="226">
        <f>J161+J171+J174+J175+J184-J235</f>
        <v>18380.2</v>
      </c>
      <c r="K350" s="226">
        <f>K161+K171+K174+K175+K184-K235</f>
        <v>18357.1</v>
      </c>
      <c r="L350" s="226">
        <f>L161+L171+L174+L175+L184-L235</f>
        <v>20345.9</v>
      </c>
      <c r="M350" s="226">
        <f>M161+M171+M174+M175+M184-M235</f>
        <v>20345.9</v>
      </c>
      <c r="N350" s="226">
        <f>N161+N171+N174+N175+N184-N235</f>
        <v>19857.4</v>
      </c>
      <c r="O350" s="226">
        <f>O161+O171+O174+O175+O184-O235</f>
        <v>20347.2</v>
      </c>
      <c r="P350" s="226">
        <f>P161+P171+P174+P175+P184-P235</f>
        <v>20110.2</v>
      </c>
      <c r="Q350" s="226">
        <f>Q161+Q171+Q174+Q175+Q184-Q235</f>
        <v>21911</v>
      </c>
      <c r="R350" s="226">
        <f>R161+R171+R174+R175+R184-R235</f>
        <v>21911</v>
      </c>
      <c r="S350" s="226">
        <f>S161+S171+S174+S175+S184-S235</f>
        <v>21967.3</v>
      </c>
      <c r="T350" s="226">
        <f>T161+T171+T174+T175+T184-T235</f>
        <v>23085.2</v>
      </c>
      <c r="U350" s="226">
        <f>U161+U171+U174+U175+U184-U235</f>
        <v>23647.4</v>
      </c>
      <c r="V350" s="226">
        <f>V161+V171+V174+V175+V184-V235</f>
        <v>25273.4</v>
      </c>
      <c r="W350" s="226">
        <f>W161+W171+W174+W175+W184-W235</f>
        <v>25273.4</v>
      </c>
      <c r="X350" s="226">
        <f>X161+X171+X174+X175+X184-X235</f>
        <v>25232.7</v>
      </c>
      <c r="Y350" s="226">
        <f>Y161+Y171+Y174+Y175+Y184-Y235</f>
        <v>27627.5</v>
      </c>
      <c r="Z350" s="226">
        <f>Z161+Z171+Z174+Z175+Z184-Z235</f>
        <v>29232.8</v>
      </c>
      <c r="AA350" s="226">
        <f>AA161+AA171+AA174+AA175+AA184-AA235</f>
        <v>30435</v>
      </c>
      <c r="AB350" s="226">
        <f>AB161+AB171+AB174+AB175+AB184-AB235</f>
        <v>30435</v>
      </c>
      <c r="AC350" s="226">
        <f>AC161+AC171+AC174+AC175+AC184-AC235</f>
        <v>30580</v>
      </c>
      <c r="AD350" s="226">
        <f>AD161+AD171+AD174+AD175+AD184-AD235</f>
        <v>32267.7</v>
      </c>
      <c r="AE350" s="226">
        <f>AE161+AE171+AE174+AE175+AE184-AE235</f>
        <v>33831.3</v>
      </c>
      <c r="AF350" s="226">
        <f>AF161+AF171+AF174+AF175+AF184-AF235</f>
        <v>37021</v>
      </c>
      <c r="AG350" s="226">
        <f>AG161+AG171+AG174+AG175+AG184-AG235</f>
        <v>37021</v>
      </c>
      <c r="AH350" s="226">
        <f>AH161+AH171+AH174+AH175+AH184-AH235</f>
        <v>40998</v>
      </c>
      <c r="AI350" s="226">
        <f>AI161+AI171+AI174+AI175+AI184-AI235</f>
        <v>54723</v>
      </c>
      <c r="AJ350" s="226">
        <f>AJ161+AJ171+AJ174+AJ175+AJ184-AJ235</f>
        <v>36613</v>
      </c>
      <c r="AK350" s="226">
        <f>AK161+AK171+AK174+AK175+AK184-AK235</f>
        <v>36613</v>
      </c>
      <c r="AL350" s="226">
        <f>AL161+AL171+AL174+AL175+AL184-AL235</f>
        <v>36613</v>
      </c>
      <c r="AM350" s="226">
        <f>AM161+AM171+AM174+AM175+AM184-AM235</f>
        <v>36613</v>
      </c>
      <c r="AN350" s="226">
        <f>AN161+AN171+AN174+AN175+AN184-AN235</f>
        <v>36613</v>
      </c>
      <c r="AO350" s="226">
        <f>AO161+AO171+AO174+AO175+AO184-AO235</f>
        <v>36613</v>
      </c>
      <c r="AP350" s="226">
        <f>AP161+AP171+AP174+AP175+AP184-AP235</f>
        <v>36613</v>
      </c>
      <c r="AQ350" s="226">
        <f>AQ161+AQ171+AQ174+AQ175+AQ184-AQ235</f>
        <v>36613</v>
      </c>
      <c r="AR350" s="226">
        <f>AR161+AR171+AR174+AR175+AR184-AR235</f>
        <v>36613</v>
      </c>
      <c r="AS350" s="226">
        <f>AS161+AS171+AS174+AS175+AS184-AS235</f>
        <v>36613</v>
      </c>
      <c r="AT350" s="226">
        <f>AT161+AT171+AT174+AT175+AT184-AT235</f>
        <v>36613</v>
      </c>
      <c r="AU350" s="226">
        <f>AU161+AU171+AU174+AU175+AU184-AU235</f>
        <v>36613</v>
      </c>
      <c r="AV350" s="226">
        <f>AV161+AV171+AV174+AV175+AV184-AV235</f>
        <v>36613</v>
      </c>
      <c r="AW350" s="226">
        <f>AW161+AW171+AW174+AW175+AW184-AW235</f>
        <v>36613</v>
      </c>
      <c r="AX350" s="226">
        <f>AX161+AX171+AX174+AX175+AX184-AX235</f>
        <v>36613</v>
      </c>
      <c r="AY350" s="226">
        <f>AY161+AY171+AY174+AY175+AY184-AY235</f>
        <v>36613</v>
      </c>
      <c r="AZ350" s="226">
        <f>AZ161+AZ171+AZ174+AZ175+AZ184-AZ235</f>
        <v>36613</v>
      </c>
      <c r="BA350" s="226">
        <f>BA161+BA171+BA174+BA175+BA184-BA235</f>
        <v>36613</v>
      </c>
      <c r="BB350" s="226">
        <f>BB161+BB171+BB174+BB175+BB184-BB235</f>
        <v>36613</v>
      </c>
      <c r="BC350" s="226">
        <f>BC161+BC171+BC174+BC175+BC184-BC235</f>
        <v>36613</v>
      </c>
      <c r="BD350" s="226">
        <f>BD161+BD171+BD174+BD175+BD184-BD235</f>
        <v>36613</v>
      </c>
      <c r="BE350" s="226">
        <f>BE161+BE171+BE174+BE175+BE184-BE235</f>
        <v>36613</v>
      </c>
      <c r="BF350" s="226">
        <f>BF161+BF171+BF174+BF175+BF184-BF235</f>
        <v>36613</v>
      </c>
      <c r="BG350" s="226">
        <f>BG161+BG171+BG174+BG175+BG184-BG235</f>
        <v>36613</v>
      </c>
      <c r="BH350" s="226">
        <f>BH161+BH171+BH174+BH175+BH184-BH235</f>
        <v>36613</v>
      </c>
      <c r="BI350" s="226">
        <f>BI161+BI171+BI174+BI175+BI184-BI235</f>
        <v>36613</v>
      </c>
      <c r="BJ350" s="226">
        <f>BJ161+BJ171+BJ174+BJ175+BJ184-BJ235</f>
        <v>36613</v>
      </c>
      <c r="BK350" s="226">
        <f>BK161+BK171+BK174+BK175+BK184-BK235</f>
        <v>36613</v>
      </c>
      <c r="BL350" s="226">
        <f>BL161+BL171+BL174+BL175+BL184-BL235</f>
        <v>36613</v>
      </c>
      <c r="BM350" s="226">
        <f>BM161+BM171+BM174+BM175+BM184-BM235</f>
        <v>36613</v>
      </c>
      <c r="BN350" s="226">
        <f>BN161+BN171+BN174+BN175+BN184-BN235</f>
        <v>36613</v>
      </c>
      <c r="BO350" s="226">
        <f>BO161+BO171+BO174+BO175+BO184-BO235</f>
        <v>36613</v>
      </c>
      <c r="BP350" s="226">
        <f>BP161+BP171+BP174+BP175+BP184-BP235</f>
        <v>36613</v>
      </c>
      <c r="BQ350" s="226">
        <f>BQ161+BQ171+BQ174+BQ175+BQ184-BQ235</f>
        <v>36613</v>
      </c>
      <c r="BR350" s="226">
        <f>BR161+BR171+BR174+BR175+BR184-BR235</f>
        <v>36613</v>
      </c>
      <c r="BS350" s="226">
        <f>BS161+BS171+BS174+BS175+BS184-BS235</f>
        <v>36613</v>
      </c>
      <c r="BT350" s="226">
        <f>BT161+BT171+BT174+BT175+BT184-BT235</f>
        <v>36613</v>
      </c>
      <c r="BU350" s="226">
        <f>BU161+BU171+BU174+BU175+BU184-BU235</f>
        <v>36613</v>
      </c>
      <c r="BV350" s="226">
        <f>BV161+BV171+BV174+BV175+BV184-BV235</f>
        <v>36613</v>
      </c>
      <c r="BW350" s="226">
        <f>BW161+BW171+BW174+BW175+BW184-BW235</f>
        <v>36613</v>
      </c>
      <c r="BX350" s="226">
        <f>BX161+BX171+BX174+BX175+BX184-BX235</f>
        <v>36613</v>
      </c>
      <c r="BY350" s="226">
        <f>BY161+BY171+BY174+BY175+BY184-BY235</f>
        <v>36613</v>
      </c>
      <c r="BZ350" s="226">
        <f>BZ161+BZ171+BZ174+BZ175+BZ184-BZ235</f>
        <v>36613</v>
      </c>
      <c r="CA350" s="226">
        <f>CA161+CA171+CA174+CA175+CA184-CA235</f>
        <v>36613</v>
      </c>
      <c r="CB350" s="226">
        <f>CB161+CB171+CB174+CB175+CB184-CB235</f>
        <v>36613</v>
      </c>
      <c r="CC350" s="226">
        <f>CC161+CC171+CC174+CC175+CC184-CC235</f>
        <v>36613</v>
      </c>
      <c r="CD350" s="226">
        <f>CD161+CD171+CD174+CD175+CD184-CD235</f>
        <v>36613</v>
      </c>
      <c r="CE350" s="226">
        <f>CE161+CE171+CE174+CE175+CE184-CE235</f>
        <v>36613</v>
      </c>
      <c r="CF350" s="226">
        <f>CF161+CF171+CF174+CF175+CF184-CF235</f>
        <v>36613</v>
      </c>
      <c r="CG350" s="226">
        <f>CG161+CG171+CG174+CG175+CG184-CG235</f>
        <v>36613</v>
      </c>
      <c r="CH350" s="226">
        <f>CH161+CH171+CH174+CH175+CH184-CH235</f>
        <v>36613</v>
      </c>
      <c r="CI350" s="226">
        <f>CI161+CI171+CI174+CI175+CI184-CI235</f>
        <v>36613</v>
      </c>
      <c r="CJ350" s="226">
        <f>CJ161+CJ171+CJ174+CJ175+CJ184-CJ235</f>
        <v>36613</v>
      </c>
      <c r="CK350" s="226">
        <f>CK161+CK171+CK174+CK175+CK184-CK235</f>
        <v>36613</v>
      </c>
      <c r="CL350" s="226">
        <f>CL161+CL171+CL174+CL175+CL184-CL235</f>
        <v>36613</v>
      </c>
      <c r="CM350" s="226">
        <f>CM161+CM171+CM174+CM175+CM184-CM235</f>
        <v>36613</v>
      </c>
      <c r="CN350" s="226">
        <f>CN161+CN171+CN174+CN175+CN184-CN235</f>
        <v>36613</v>
      </c>
      <c r="CO350" s="226">
        <f>CO161+CO171+CO174+CO175+CO184-CO235</f>
        <v>36613</v>
      </c>
      <c r="CP350" s="226">
        <f>CP161+CP171+CP174+CP175+CP184-CP235</f>
        <v>36613</v>
      </c>
      <c r="CQ350" s="226">
        <f>CQ161+CQ171+CQ174+CQ175+CQ184-CQ235</f>
        <v>36613</v>
      </c>
      <c r="CR350" s="226">
        <f>CR161+CR171+CR174+CR175+CR184-CR235</f>
        <v>36613</v>
      </c>
      <c r="CS350" s="226">
        <f>CS161+CS171+CS174+CS175+CS184-CS235</f>
        <v>36613</v>
      </c>
      <c r="CT350" s="226">
        <f>CT161+CT171+CT174+CT175+CT184-CT235</f>
        <v>36613</v>
      </c>
      <c r="CU350" s="226">
        <f>CU161+CU171+CU174+CU175+CU184-CU235</f>
        <v>36613</v>
      </c>
      <c r="CV350" s="226">
        <f>CV161+CV171+CV174+CV175+CV184-CV235</f>
        <v>36613</v>
      </c>
      <c r="CW350" s="226">
        <f>CW161+CW171+CW174+CW175+CW184-CW235</f>
        <v>36613</v>
      </c>
      <c r="CX350" s="226">
        <f>CX161+CX171+CX174+CX175+CX184-CX235</f>
        <v>36613</v>
      </c>
      <c r="CY350" s="226">
        <f>CY161+CY171+CY174+CY175+CY184-CY235</f>
        <v>36613</v>
      </c>
    </row>
    <row r="351" customFormat="1" s="233">
      <c r="A351" s="224" t="n"/>
      <c r="B351" s="224" t="n"/>
    </row>
    <row r="352" customFormat="1" s="233">
      <c r="A352" s="224" t="n"/>
      <c r="B352" s="224" t="n"/>
    </row>
    <row r="353" customFormat="1" s="233">
      <c r="A353" s="224" t="n"/>
      <c r="B353" s="224" t="n"/>
    </row>
    <row r="354" customFormat="1" s="233">
      <c r="A354" s="224" t="n"/>
      <c r="B354" s="224" t="n"/>
    </row>
    <row r="355" customFormat="1" s="233">
      <c r="A355" s="224" t="n"/>
      <c r="B355" s="224" t="n"/>
    </row>
    <row r="356" customFormat="1" s="233">
      <c r="A356" s="224" t="n"/>
      <c r="B356" s="224" t="n"/>
    </row>
    <row r="357" customFormat="1" s="233">
      <c r="A357" s="224" t="n"/>
      <c r="B357" s="224" t="n"/>
    </row>
    <row r="358" customFormat="1" s="233">
      <c r="A358" s="224" t="n"/>
      <c r="B358" s="224" t="n"/>
      <c r="C358" s="234" t="inlineStr">
        <is>
          <t>DUPONT ANALYSIS</t>
        </is>
      </c>
    </row>
    <row r="359" customFormat="1" s="233">
      <c r="A359" s="224" t="n"/>
      <c r="B359" s="224" t="n"/>
      <c r="C359" s="233" t="inlineStr">
        <is>
          <t>NET PROFIT MARGIN</t>
        </is>
      </c>
      <c r="D359" s="238">
        <f>D132/D15</f>
        <v>0.248557971261818</v>
      </c>
      <c r="E359" s="238">
        <f>E132/E15</f>
        <v>0.256755282394443</v>
      </c>
      <c r="F359" s="238">
        <f>F132/F15</f>
        <v>0.210500644531931</v>
      </c>
      <c r="G359" s="238">
        <f>G132/G15</f>
        <v>0.284516129032258</v>
      </c>
      <c r="I359" s="222">
        <f>I132/I15</f>
        <v>0.199144821911367</v>
      </c>
      <c r="J359" s="222">
        <f>J132/J15</f>
        <v>0.206258067387724</v>
      </c>
      <c r="K359" s="222">
        <f>K132/K15</f>
        <v>0.16390562248996</v>
      </c>
      <c r="L359" s="222">
        <f>L132/L15</f>
        <v>0.215765197064963</v>
      </c>
      <c r="N359" s="222">
        <f>N132/N15</f>
        <v>0.243649167733675</v>
      </c>
      <c r="O359" s="222">
        <f>O132/O15</f>
        <v>0.146809494451295</v>
      </c>
      <c r="P359" s="222">
        <f>P132/P15</f>
        <v>0.209130459836349</v>
      </c>
      <c r="Q359" s="222">
        <f>Q132/Q15</f>
        <v>0.265372921745323</v>
      </c>
      <c r="S359" s="222">
        <f>S132/S15</f>
        <v>0.19323275862069</v>
      </c>
      <c r="T359" s="222">
        <f>T132/T15</f>
        <v>0.212124493208696</v>
      </c>
      <c r="U359" s="222">
        <f>U132/U15</f>
        <v>-0.00604299580990883</v>
      </c>
      <c r="V359" s="222">
        <f>V132/V15</f>
        <v>0.23410738341138</v>
      </c>
      <c r="X359" s="222">
        <f>X132/X15</f>
        <v>0.255805200729927</v>
      </c>
      <c r="Y359" s="222">
        <f>Y132/Y15</f>
        <v>0.262501327104788</v>
      </c>
      <c r="Z359" s="222">
        <f>Z132/Z15</f>
        <v>0.0848231067129407</v>
      </c>
      <c r="AA359" s="222">
        <f>AA132/AA15</f>
        <v>0.325860132419012</v>
      </c>
      <c r="AC359" s="222">
        <f>AC132/AC15</f>
        <v>0.216749155471757</v>
      </c>
      <c r="AD359" s="222">
        <f>AD132/AD15</f>
        <v>0.363864249903587</v>
      </c>
      <c r="AE359" s="222">
        <f>AE132/AE15</f>
        <v>0.31717308304168</v>
      </c>
      <c r="AF359" s="222">
        <f>AF132/AF15</f>
        <v>0.344064897366784</v>
      </c>
      <c r="AH359" s="222">
        <f>AH132/AH15</f>
        <v>0.373554219910096</v>
      </c>
      <c r="AI359" s="222">
        <f>AI132/AI15</f>
        <v>0.308827370070515</v>
      </c>
      <c r="AJ359" s="222">
        <f>AJ132/AJ15</f>
        <v>0.502818053724831</v>
      </c>
      <c r="AK359" s="222">
        <f>AK132/AK15</f>
        <v>0.479317851959361</v>
      </c>
      <c r="AM359" s="222">
        <f>AM132/AM15</f>
        <v>0.467043790090409</v>
      </c>
      <c r="AN359" s="222">
        <f>AN132/AN15</f>
        <v>1.57543309828502</v>
      </c>
      <c r="AO359" s="222">
        <f>AO132/AO15</f>
        <v>0.525373846643334</v>
      </c>
      <c r="AP359" s="222">
        <f>AP132/AP15</f>
        <v>1.87611445158615</v>
      </c>
      <c r="AR359" s="222">
        <f>AR132/AR15</f>
        <v>1.82807212485479</v>
      </c>
      <c r="AS359" s="222">
        <f>AS132/AS15</f>
        <v>3.95586314964743</v>
      </c>
      <c r="AT359" s="222">
        <f>AT132/AT15</f>
        <v>2.05638380073633</v>
      </c>
      <c r="AU359" s="222">
        <f>AU132/AU15</f>
        <v>4.71086460709102</v>
      </c>
      <c r="AW359" s="222">
        <f>AW132/AW15</f>
        <v>4.5902318298904</v>
      </c>
      <c r="AX359" s="222">
        <f>AX132/AX15</f>
        <v>11.0625924958649</v>
      </c>
      <c r="AY359" s="222">
        <f>AY132/AY15</f>
        <v>5.16351529475933</v>
      </c>
      <c r="AZ359" s="222">
        <f>AZ132/AZ15</f>
        <v>13.1739581173543</v>
      </c>
      <c r="BB359" s="222">
        <f>BB132/BB15</f>
        <v>12.8366079094904</v>
      </c>
      <c r="BC359" s="222">
        <f>BC132/BC15</f>
        <v>30.0369112910246</v>
      </c>
      <c r="BD359" s="222">
        <f>BD132/BD15</f>
        <v>14.4397981909913</v>
      </c>
      <c r="BE359" s="222">
        <f>BE132/BE15</f>
        <v>35.7696454488907</v>
      </c>
      <c r="BG359" s="222">
        <f>BG132/BG15</f>
        <v>34.8536794787616</v>
      </c>
      <c r="BH359" s="222">
        <f>BH132/BH15</f>
        <v>82.1990075737791</v>
      </c>
      <c r="BI359" s="222">
        <f>BI132/BI15</f>
        <v>39.2066269715013</v>
      </c>
      <c r="BJ359" s="222">
        <f>BJ132/BJ15</f>
        <v>97.8872071324902</v>
      </c>
      <c r="BL359" s="222">
        <f>BL132/BL15</f>
        <v>95.3805747765039</v>
      </c>
      <c r="BM359" s="222">
        <f>BM132/BM15</f>
        <v>224.471837729607</v>
      </c>
      <c r="BN359" s="222">
        <f>BN132/BN15</f>
        <v>107.292850324985</v>
      </c>
      <c r="BO359" s="222">
        <f>BO132/BO15</f>
        <v>267.313705162762</v>
      </c>
      <c r="BQ359" s="222">
        <f>BQ132/BQ15</f>
        <v>260.468508510531</v>
      </c>
      <c r="BR359" s="222">
        <f>BR132/BR15</f>
        <v>613.341690606773</v>
      </c>
      <c r="BS359" s="222">
        <f>BS132/BS15</f>
        <v>292.998954592973</v>
      </c>
      <c r="BT359" s="222">
        <f>BT132/BT15</f>
        <v>730.401824590504</v>
      </c>
      <c r="BV359" s="222">
        <f>BV132/BV15</f>
        <v>711.698166574069</v>
      </c>
      <c r="BW359" s="222">
        <f>BW132/BW15</f>
        <v>1675.62705667276</v>
      </c>
      <c r="BX359" s="222">
        <f>BX132/BX15</f>
        <v>800.583609835917</v>
      </c>
      <c r="BY359" s="222">
        <f>BY132/BY15</f>
        <v>1995.43105950653</v>
      </c>
      <c r="CA359" s="222">
        <f>CA132/CA15</f>
        <v>1944.3333501692</v>
      </c>
      <c r="CB359" s="222">
        <f>CB132/CB15</f>
        <v>4577.93749455907</v>
      </c>
      <c r="CC359" s="222">
        <f>CC132/CC15</f>
        <v>2187.16512885778</v>
      </c>
      <c r="CD359" s="222">
        <f>CD132/CD15</f>
        <v>5451.66576819407</v>
      </c>
      <c r="CF359" s="222">
        <f>CF132/CF15</f>
        <v>5312.06303348654</v>
      </c>
      <c r="CG359" s="222">
        <f>CG132/CG15</f>
        <v>12507.1291024637</v>
      </c>
      <c r="CH359" s="222">
        <f>CH132/CH15</f>
        <v>5975.49747738739</v>
      </c>
      <c r="CI359" s="222">
        <f>CI132/CI15</f>
        <v>14894.1936554012</v>
      </c>
      <c r="CK359" s="222">
        <f>CK132/CK15</f>
        <v>14512.7927673115</v>
      </c>
      <c r="CL359" s="222">
        <f>CL132/CL15</f>
        <v>34170.1331940454</v>
      </c>
      <c r="CM359" s="222">
        <f>CM132/CM15</f>
        <v>16325.3252124903</v>
      </c>
      <c r="CN359" s="222">
        <f>CN132/CN15</f>
        <v>40691.7188471906</v>
      </c>
      <c r="CP359" s="222">
        <f>CP132/CP15</f>
        <v>39649.711601596</v>
      </c>
      <c r="CQ359" s="222">
        <f>CQ132/CQ15</f>
        <v>93354.5245930182</v>
      </c>
      <c r="CR359" s="222">
        <f>CR132/CR15</f>
        <v>44601.6453797555</v>
      </c>
      <c r="CS359" s="222">
        <f>CS132/CS15</f>
        <v>111171.825005183</v>
      </c>
      <c r="CU359" s="222">
        <f>CU132/CU15</f>
        <v>108325.008737815</v>
      </c>
      <c r="CV359" s="222">
        <f>CV132/CV15</f>
        <v>255049.315574127</v>
      </c>
      <c r="CW359" s="222">
        <f>CW132/CW15</f>
        <v>121853.941184492</v>
      </c>
      <c r="CX359" s="222">
        <f>CX132/CX15</f>
        <v>303727.087704748</v>
      </c>
    </row>
    <row r="360" customFormat="1" s="233">
      <c r="A360" s="224" t="n"/>
      <c r="B360" s="224" t="n"/>
      <c r="C360" s="233" t="inlineStr">
        <is>
          <t>ASSET TURNOVER</t>
        </is>
      </c>
      <c r="D360" s="238">
        <f>D132/D192</f>
        <v>0.0354355421041876</v>
      </c>
      <c r="E360" s="238">
        <f>E132/E192</f>
        <v>0.0336454833559702</v>
      </c>
      <c r="F360" s="238">
        <f>F132/F192</f>
        <v>0.0274973831520503</v>
      </c>
      <c r="G360" s="238">
        <f>G132/G192</f>
        <v>0.0453926502848835</v>
      </c>
      <c r="I360" s="222">
        <f>I132/I192</f>
        <v>0.0289357214074806</v>
      </c>
      <c r="J360" s="222">
        <f>J132/J192</f>
        <v>0.0290782070321488</v>
      </c>
      <c r="K360" s="222">
        <f>K132/K192</f>
        <v>0.0230373337207131</v>
      </c>
      <c r="L360" s="222">
        <f>L132/L192</f>
        <v>0.035366553292628</v>
      </c>
      <c r="N360" s="222">
        <f>N132/N192</f>
        <v>0.0405568710530635</v>
      </c>
      <c r="O360" s="222">
        <f>O132/O192</f>
        <v>0.0202385707850653</v>
      </c>
      <c r="P360" s="222">
        <f>P132/P192</f>
        <v>0.0305868967478904</v>
      </c>
      <c r="Q360" s="222">
        <f>Q132/Q192</f>
        <v>0.0391535225440394</v>
      </c>
      <c r="S360" s="222">
        <f>S132/S192</f>
        <v>0.0252976694317476</v>
      </c>
      <c r="T360" s="222">
        <f>T132/T192</f>
        <v>0.032166964644069</v>
      </c>
      <c r="U360" s="222">
        <f>U132/U192</f>
        <v>-0.000991099101276861</v>
      </c>
      <c r="V360" s="222">
        <f>V132/V192</f>
        <v>0.0342106948847223</v>
      </c>
      <c r="X360" s="222">
        <f>X132/X192</f>
        <v>0.0350762782769163</v>
      </c>
      <c r="Y360" s="222">
        <f>Y132/Y192</f>
        <v>0.0412801148664066</v>
      </c>
      <c r="Z360" s="222">
        <f>Z132/Z192</f>
        <v>0.0128334847745378</v>
      </c>
      <c r="AA360" s="222">
        <f>AA132/AA192</f>
        <v>0.0560224303149721</v>
      </c>
      <c r="AC360" s="222">
        <f>AC132/AC192</f>
        <v>0.0308651643158875</v>
      </c>
      <c r="AD360" s="222">
        <f>AD132/AD192</f>
        <v>0.0560924906809773</v>
      </c>
      <c r="AE360" s="222">
        <f>AE132/AE192</f>
        <v>0.0485707623586815</v>
      </c>
      <c r="AF360" s="222">
        <f>AF132/AF192</f>
        <v>0.0590143675095131</v>
      </c>
      <c r="AH360" s="222">
        <f>AH132/AH192</f>
        <v>0.0634435904474334</v>
      </c>
      <c r="AI360" s="222">
        <f>AI132/AI192</f>
        <v>0.0498654090790889</v>
      </c>
      <c r="AJ360" s="222">
        <f>AJ132/AJ192</f>
        <v>0.061791751324857</v>
      </c>
      <c r="AK360" s="222">
        <f>AK132/AK192</f>
        <v>0.0606479963271463</v>
      </c>
      <c r="AM360" s="222" t="e">
        <f>AM132/AM192</f>
        <v>#DIV/0!</v>
      </c>
      <c r="AN360" s="222" t="e">
        <f>AN132/AN192</f>
        <v>#DIV/0!</v>
      </c>
      <c r="AO360" s="222" t="e">
        <f>AO132/AO192</f>
        <v>#DIV/0!</v>
      </c>
      <c r="AP360" s="222" t="e">
        <f>AP132/AP192</f>
        <v>#DIV/0!</v>
      </c>
      <c r="AR360" s="222" t="e">
        <f>AR132/AR192</f>
        <v>#DIV/0!</v>
      </c>
      <c r="AS360" s="222" t="e">
        <f>AS132/AS192</f>
        <v>#DIV/0!</v>
      </c>
      <c r="AT360" s="222" t="e">
        <f>AT132/AT192</f>
        <v>#DIV/0!</v>
      </c>
      <c r="AU360" s="222" t="e">
        <f>AU132/AU192</f>
        <v>#DIV/0!</v>
      </c>
      <c r="AW360" s="222" t="e">
        <f>AW132/AW192</f>
        <v>#DIV/0!</v>
      </c>
      <c r="AX360" s="222" t="e">
        <f>AX132/AX192</f>
        <v>#DIV/0!</v>
      </c>
      <c r="AY360" s="222" t="e">
        <f>AY132/AY192</f>
        <v>#DIV/0!</v>
      </c>
      <c r="AZ360" s="222" t="e">
        <f>AZ132/AZ192</f>
        <v>#DIV/0!</v>
      </c>
      <c r="BB360" s="222" t="e">
        <f>BB132/BB192</f>
        <v>#DIV/0!</v>
      </c>
      <c r="BC360" s="222" t="e">
        <f>BC132/BC192</f>
        <v>#DIV/0!</v>
      </c>
      <c r="BD360" s="222" t="e">
        <f>BD132/BD192</f>
        <v>#DIV/0!</v>
      </c>
      <c r="BE360" s="222" t="e">
        <f>BE132/BE192</f>
        <v>#DIV/0!</v>
      </c>
      <c r="BG360" s="222" t="e">
        <f>BG132/BG192</f>
        <v>#DIV/0!</v>
      </c>
      <c r="BH360" s="222" t="e">
        <f>BH132/BH192</f>
        <v>#DIV/0!</v>
      </c>
      <c r="BI360" s="222" t="e">
        <f>BI132/BI192</f>
        <v>#DIV/0!</v>
      </c>
      <c r="BJ360" s="222" t="e">
        <f>BJ132/BJ192</f>
        <v>#DIV/0!</v>
      </c>
      <c r="BL360" s="222" t="e">
        <f>BL132/BL192</f>
        <v>#DIV/0!</v>
      </c>
      <c r="BM360" s="222" t="e">
        <f>BM132/BM192</f>
        <v>#DIV/0!</v>
      </c>
      <c r="BN360" s="222" t="e">
        <f>BN132/BN192</f>
        <v>#DIV/0!</v>
      </c>
      <c r="BO360" s="222" t="e">
        <f>BO132/BO192</f>
        <v>#DIV/0!</v>
      </c>
      <c r="BQ360" s="222" t="e">
        <f>BQ132/BQ192</f>
        <v>#DIV/0!</v>
      </c>
      <c r="BR360" s="222" t="e">
        <f>BR132/BR192</f>
        <v>#DIV/0!</v>
      </c>
      <c r="BS360" s="222" t="e">
        <f>BS132/BS192</f>
        <v>#DIV/0!</v>
      </c>
      <c r="BT360" s="222" t="e">
        <f>BT132/BT192</f>
        <v>#DIV/0!</v>
      </c>
      <c r="BV360" s="222" t="e">
        <f>BV132/BV192</f>
        <v>#DIV/0!</v>
      </c>
      <c r="BW360" s="222" t="e">
        <f>BW132/BW192</f>
        <v>#DIV/0!</v>
      </c>
      <c r="BX360" s="222" t="e">
        <f>BX132/BX192</f>
        <v>#DIV/0!</v>
      </c>
      <c r="BY360" s="222" t="e">
        <f>BY132/BY192</f>
        <v>#DIV/0!</v>
      </c>
      <c r="CA360" s="222" t="e">
        <f>CA132/CA192</f>
        <v>#DIV/0!</v>
      </c>
      <c r="CB360" s="222" t="e">
        <f>CB132/CB192</f>
        <v>#DIV/0!</v>
      </c>
      <c r="CC360" s="222" t="e">
        <f>CC132/CC192</f>
        <v>#DIV/0!</v>
      </c>
      <c r="CD360" s="222" t="e">
        <f>CD132/CD192</f>
        <v>#DIV/0!</v>
      </c>
      <c r="CF360" s="222" t="e">
        <f>CF132/CF192</f>
        <v>#DIV/0!</v>
      </c>
      <c r="CG360" s="222" t="e">
        <f>CG132/CG192</f>
        <v>#DIV/0!</v>
      </c>
      <c r="CH360" s="222" t="e">
        <f>CH132/CH192</f>
        <v>#DIV/0!</v>
      </c>
      <c r="CI360" s="222" t="e">
        <f>CI132/CI192</f>
        <v>#DIV/0!</v>
      </c>
      <c r="CK360" s="222" t="e">
        <f>CK132/CK192</f>
        <v>#DIV/0!</v>
      </c>
      <c r="CL360" s="222" t="e">
        <f>CL132/CL192</f>
        <v>#DIV/0!</v>
      </c>
      <c r="CM360" s="222" t="e">
        <f>CM132/CM192</f>
        <v>#DIV/0!</v>
      </c>
      <c r="CN360" s="222" t="e">
        <f>CN132/CN192</f>
        <v>#DIV/0!</v>
      </c>
      <c r="CP360" s="222" t="e">
        <f>CP132/CP192</f>
        <v>#DIV/0!</v>
      </c>
      <c r="CQ360" s="222" t="e">
        <f>CQ132/CQ192</f>
        <v>#DIV/0!</v>
      </c>
      <c r="CR360" s="222" t="e">
        <f>CR132/CR192</f>
        <v>#DIV/0!</v>
      </c>
      <c r="CS360" s="222" t="e">
        <f>CS132/CS192</f>
        <v>#DIV/0!</v>
      </c>
      <c r="CU360" s="222" t="e">
        <f>CU132/CU192</f>
        <v>#DIV/0!</v>
      </c>
      <c r="CV360" s="222" t="e">
        <f>CV132/CV192</f>
        <v>#DIV/0!</v>
      </c>
      <c r="CW360" s="222" t="e">
        <f>CW132/CW192</f>
        <v>#DIV/0!</v>
      </c>
      <c r="CX360" s="222" t="e">
        <f>CX132/CX192</f>
        <v>#DIV/0!</v>
      </c>
    </row>
    <row r="361" customFormat="1" s="233">
      <c r="A361" s="224" t="n"/>
      <c r="B361" s="224" t="n"/>
      <c r="C361" s="233" t="inlineStr">
        <is>
          <t>EQUITY MULTIPLIER</t>
        </is>
      </c>
      <c r="D361" s="238">
        <f>D192/D266</f>
        <v>12.8558738896534</v>
      </c>
      <c r="E361" s="238">
        <f>E192/E266</f>
        <v>9.82373595505618</v>
      </c>
      <c r="F361" s="238">
        <f>F192/F266</f>
        <v>8.79623698959167</v>
      </c>
      <c r="G361" s="238">
        <f>G192/G266</f>
        <v>8.00540753965529</v>
      </c>
      <c r="I361" s="222">
        <f>I192/I266</f>
        <v>6.59759412899863</v>
      </c>
      <c r="J361" s="222">
        <f>J192/J266</f>
        <v>7.17475801005477</v>
      </c>
      <c r="K361" s="222">
        <f>K192/K266</f>
        <v>6.05813354119259</v>
      </c>
      <c r="L361" s="222">
        <f>L192/L266</f>
        <v>5.33119237995369</v>
      </c>
      <c r="N361" s="222">
        <f>N192/N266</f>
        <v>4.95870851828366</v>
      </c>
      <c r="O361" s="222">
        <f>O192/O266</f>
        <v>5.43509793052476</v>
      </c>
      <c r="P361" s="222">
        <f>P192/P266</f>
        <v>4.66869632791981</v>
      </c>
      <c r="Q361" s="222">
        <f>Q192/Q266</f>
        <v>4.59285038142436</v>
      </c>
      <c r="S361" s="222">
        <f>S192/S266</f>
        <v>4.7068145800317</v>
      </c>
      <c r="T361" s="222">
        <f>T192/T266</f>
        <v>4.91636246221736</v>
      </c>
      <c r="U361" s="222">
        <f>U192/U266</f>
        <v>5.12191131471426</v>
      </c>
      <c r="V361" s="222">
        <f>V192/V266</f>
        <v>5.89175879304473</v>
      </c>
      <c r="X361" s="222">
        <f>X192/X266</f>
        <v>4.95785972366523</v>
      </c>
      <c r="Y361" s="222">
        <f>Y192/Y266</f>
        <v>5.2711525063254</v>
      </c>
      <c r="Z361" s="222">
        <f>Z192/Z266</f>
        <v>5.2795533737876</v>
      </c>
      <c r="AA361" s="222">
        <f>AA192/AA266</f>
        <v>5.51549230639872</v>
      </c>
      <c r="AC361" s="222">
        <f>AC192/AC266</f>
        <v>5.64081076305626</v>
      </c>
      <c r="AD361" s="222">
        <f>AD192/AD266</f>
        <v>5.50013897139369</v>
      </c>
      <c r="AE361" s="222">
        <f>AE192/AE266</f>
        <v>4.81893269827427</v>
      </c>
      <c r="AF361" s="222">
        <f>AF192/AF266</f>
        <v>4.24229623203711</v>
      </c>
      <c r="AH361" s="222">
        <f>AH192/AH266</f>
        <v>3.73892684178453</v>
      </c>
      <c r="AI361" s="222">
        <f>AI192/AI266</f>
        <v>4.20656929990539</v>
      </c>
      <c r="AJ361" s="222">
        <f>AJ192/AJ266</f>
        <v>3.3562122135258</v>
      </c>
      <c r="AK361" s="222">
        <f>AK192/AK266</f>
        <v>2.93657672232815</v>
      </c>
      <c r="AM361" s="222" t="e">
        <f>AM192/AM266</f>
        <v>#DIV/0!</v>
      </c>
      <c r="AN361" s="222" t="e">
        <f>AN192/AN266</f>
        <v>#DIV/0!</v>
      </c>
      <c r="AO361" s="222" t="e">
        <f>AO192/AO266</f>
        <v>#DIV/0!</v>
      </c>
      <c r="AP361" s="222" t="e">
        <f>AP192/AP266</f>
        <v>#DIV/0!</v>
      </c>
      <c r="AR361" s="222" t="e">
        <f>AR192/AR266</f>
        <v>#DIV/0!</v>
      </c>
      <c r="AS361" s="222" t="e">
        <f>AS192/AS266</f>
        <v>#DIV/0!</v>
      </c>
      <c r="AT361" s="222" t="e">
        <f>AT192/AT266</f>
        <v>#DIV/0!</v>
      </c>
      <c r="AU361" s="222" t="e">
        <f>AU192/AU266</f>
        <v>#DIV/0!</v>
      </c>
      <c r="AW361" s="222" t="e">
        <f>AW192/AW266</f>
        <v>#DIV/0!</v>
      </c>
      <c r="AX361" s="222" t="e">
        <f>AX192/AX266</f>
        <v>#DIV/0!</v>
      </c>
      <c r="AY361" s="222" t="e">
        <f>AY192/AY266</f>
        <v>#DIV/0!</v>
      </c>
      <c r="AZ361" s="222" t="e">
        <f>AZ192/AZ266</f>
        <v>#DIV/0!</v>
      </c>
      <c r="BB361" s="222" t="e">
        <f>BB192/BB266</f>
        <v>#DIV/0!</v>
      </c>
      <c r="BC361" s="222" t="e">
        <f>BC192/BC266</f>
        <v>#DIV/0!</v>
      </c>
      <c r="BD361" s="222" t="e">
        <f>BD192/BD266</f>
        <v>#DIV/0!</v>
      </c>
      <c r="BE361" s="222" t="e">
        <f>BE192/BE266</f>
        <v>#DIV/0!</v>
      </c>
      <c r="BG361" s="222" t="e">
        <f>BG192/BG266</f>
        <v>#DIV/0!</v>
      </c>
      <c r="BH361" s="222" t="e">
        <f>BH192/BH266</f>
        <v>#DIV/0!</v>
      </c>
      <c r="BI361" s="222" t="e">
        <f>BI192/BI266</f>
        <v>#DIV/0!</v>
      </c>
      <c r="BJ361" s="222" t="e">
        <f>BJ192/BJ266</f>
        <v>#DIV/0!</v>
      </c>
      <c r="BL361" s="222" t="e">
        <f>BL192/BL266</f>
        <v>#DIV/0!</v>
      </c>
      <c r="BM361" s="222" t="e">
        <f>BM192/BM266</f>
        <v>#DIV/0!</v>
      </c>
      <c r="BN361" s="222" t="e">
        <f>BN192/BN266</f>
        <v>#DIV/0!</v>
      </c>
      <c r="BO361" s="222" t="e">
        <f>BO192/BO266</f>
        <v>#DIV/0!</v>
      </c>
      <c r="BQ361" s="222" t="e">
        <f>BQ192/BQ266</f>
        <v>#DIV/0!</v>
      </c>
      <c r="BR361" s="222" t="e">
        <f>BR192/BR266</f>
        <v>#DIV/0!</v>
      </c>
      <c r="BS361" s="222" t="e">
        <f>BS192/BS266</f>
        <v>#DIV/0!</v>
      </c>
      <c r="BT361" s="222" t="e">
        <f>BT192/BT266</f>
        <v>#DIV/0!</v>
      </c>
      <c r="BV361" s="222" t="e">
        <f>BV192/BV266</f>
        <v>#DIV/0!</v>
      </c>
      <c r="BW361" s="222" t="e">
        <f>BW192/BW266</f>
        <v>#DIV/0!</v>
      </c>
      <c r="BX361" s="222" t="e">
        <f>BX192/BX266</f>
        <v>#DIV/0!</v>
      </c>
      <c r="BY361" s="222" t="e">
        <f>BY192/BY266</f>
        <v>#DIV/0!</v>
      </c>
      <c r="CA361" s="222" t="e">
        <f>CA192/CA266</f>
        <v>#DIV/0!</v>
      </c>
      <c r="CB361" s="222" t="e">
        <f>CB192/CB266</f>
        <v>#DIV/0!</v>
      </c>
      <c r="CC361" s="222" t="e">
        <f>CC192/CC266</f>
        <v>#DIV/0!</v>
      </c>
      <c r="CD361" s="222" t="e">
        <f>CD192/CD266</f>
        <v>#DIV/0!</v>
      </c>
      <c r="CF361" s="222" t="e">
        <f>CF192/CF266</f>
        <v>#DIV/0!</v>
      </c>
      <c r="CG361" s="222" t="e">
        <f>CG192/CG266</f>
        <v>#DIV/0!</v>
      </c>
      <c r="CH361" s="222" t="e">
        <f>CH192/CH266</f>
        <v>#DIV/0!</v>
      </c>
      <c r="CI361" s="222" t="e">
        <f>CI192/CI266</f>
        <v>#DIV/0!</v>
      </c>
      <c r="CK361" s="222" t="e">
        <f>CK192/CK266</f>
        <v>#DIV/0!</v>
      </c>
      <c r="CL361" s="222" t="e">
        <f>CL192/CL266</f>
        <v>#DIV/0!</v>
      </c>
      <c r="CM361" s="222" t="e">
        <f>CM192/CM266</f>
        <v>#DIV/0!</v>
      </c>
      <c r="CN361" s="222" t="e">
        <f>CN192/CN266</f>
        <v>#DIV/0!</v>
      </c>
      <c r="CP361" s="222" t="e">
        <f>CP192/CP266</f>
        <v>#DIV/0!</v>
      </c>
      <c r="CQ361" s="222" t="e">
        <f>CQ192/CQ266</f>
        <v>#DIV/0!</v>
      </c>
      <c r="CR361" s="222" t="e">
        <f>CR192/CR266</f>
        <v>#DIV/0!</v>
      </c>
      <c r="CS361" s="222" t="e">
        <f>CS192/CS266</f>
        <v>#DIV/0!</v>
      </c>
      <c r="CU361" s="222" t="e">
        <f>CU192/CU266</f>
        <v>#DIV/0!</v>
      </c>
      <c r="CV361" s="222" t="e">
        <f>CV192/CV266</f>
        <v>#DIV/0!</v>
      </c>
      <c r="CW361" s="222" t="e">
        <f>CW192/CW266</f>
        <v>#DIV/0!</v>
      </c>
      <c r="CX361" s="222" t="e">
        <f>CX192/CX266</f>
        <v>#DIV/0!</v>
      </c>
    </row>
    <row r="362" customFormat="1" s="233">
      <c r="A362" s="224" t="n"/>
      <c r="B362" s="224" t="n"/>
      <c r="C362" s="233" t="inlineStr">
        <is>
          <t>ROE - DUPONT</t>
        </is>
      </c>
      <c r="D362" s="238">
        <f>PRODUCT(D359:D361)</f>
        <v>0.113231791925071</v>
      </c>
      <c r="E362" s="238">
        <f>PRODUCT(E359:E361)</f>
        <v>0.0848638714281258</v>
      </c>
      <c r="F362" s="238">
        <f>PRODUCT(F359:F361)</f>
        <v>0.0509145273923909</v>
      </c>
      <c r="G362" s="238">
        <f>PRODUCT(G359:G361)</f>
        <v>0.103389367220951</v>
      </c>
      <c r="I362" s="222">
        <f>PRODUCT(I359:I361)</f>
        <v>0.0380179703824991</v>
      </c>
      <c r="J362" s="222">
        <f>PRODUCT(J359:J361)</f>
        <v>0.0430314347238559</v>
      </c>
      <c r="K362" s="222">
        <f>PRODUCT(K359:K361)</f>
        <v>0.0228752004030757</v>
      </c>
      <c r="L362" s="222">
        <f>PRODUCT(L359:L361)</f>
        <v>0.0406816431439063</v>
      </c>
      <c r="N362" s="222">
        <f>PRODUCT(N359:N361)</f>
        <v>0.0490002115071242</v>
      </c>
      <c r="O362" s="222">
        <f>PRODUCT(O359:O361)</f>
        <v>0.0161488409396778</v>
      </c>
      <c r="P362" s="222">
        <f>PRODUCT(P359:P361)</f>
        <v>0.02986402468492</v>
      </c>
      <c r="Q362" s="222">
        <f>PRODUCT(Q359:Q361)</f>
        <v>0.0477210229286999</v>
      </c>
      <c r="S362" s="222">
        <f>PRODUCT(S359:S361)</f>
        <v>0.0230085026931593</v>
      </c>
      <c r="T362" s="222">
        <f>PRODUCT(T359:T361)</f>
        <v>0.0335463129008613</v>
      </c>
      <c r="U362" s="222">
        <f>PRODUCT(U359:U361)</f>
        <v>3.06761907678836e-05</v>
      </c>
      <c r="V362" s="222">
        <f>PRODUCT(V359:V361)</f>
        <v>0.047186956327577</v>
      </c>
      <c r="X362" s="222">
        <f>PRODUCT(X359:X361)</f>
        <v>0.0444853602057123</v>
      </c>
      <c r="Y362" s="222">
        <f>PRODUCT(Y359:Y361)</f>
        <v>0.0571186562663567</v>
      </c>
      <c r="Z362" s="222">
        <f>PRODUCT(Z359:Z361)</f>
        <v>0.00574719534963838</v>
      </c>
      <c r="AA362" s="222">
        <f>PRODUCT(AA359:AA361)</f>
        <v>0.10068794052113</v>
      </c>
      <c r="AC362" s="222">
        <f>PRODUCT(AC359:AC361)</f>
        <v>0.0377370144096334</v>
      </c>
      <c r="AD362" s="222">
        <f>PRODUCT(AD359:AD361)</f>
        <v>0.112258122671096</v>
      </c>
      <c r="AE362" s="222">
        <f>PRODUCT(AE359:AE361)</f>
        <v>0.0742372891508955</v>
      </c>
      <c r="AF362" s="222">
        <f>PRODUCT(AF359:AF361)</f>
        <v>0.0861388590220459</v>
      </c>
      <c r="AH362" s="222">
        <f>PRODUCT(AH359:AH361)</f>
        <v>0.0886111488647831</v>
      </c>
      <c r="AI362" s="222">
        <f>PRODUCT(AI359:AI361)</f>
        <v>0.0647803391275515</v>
      </c>
      <c r="AJ362" s="222">
        <f>PRODUCT(AJ359:AJ361)</f>
        <v>0.104277540785133</v>
      </c>
      <c r="AK362" s="222">
        <f>PRODUCT(AK359:AK361)</f>
        <v>0.0853653083929088</v>
      </c>
      <c r="AM362" s="222" t="e">
        <f>PRODUCT(AM359:AM361)</f>
        <v>#DIV/0!</v>
      </c>
      <c r="AN362" s="222" t="e">
        <f>PRODUCT(AN359:AN361)</f>
        <v>#DIV/0!</v>
      </c>
      <c r="AO362" s="222" t="e">
        <f>PRODUCT(AO359:AO361)</f>
        <v>#DIV/0!</v>
      </c>
      <c r="AP362" s="222" t="e">
        <f>PRODUCT(AP359:AP361)</f>
        <v>#DIV/0!</v>
      </c>
      <c r="AR362" s="222" t="e">
        <f>PRODUCT(AR359:AR361)</f>
        <v>#DIV/0!</v>
      </c>
      <c r="AS362" s="222" t="e">
        <f>PRODUCT(AS359:AS361)</f>
        <v>#DIV/0!</v>
      </c>
      <c r="AT362" s="222" t="e">
        <f>PRODUCT(AT359:AT361)</f>
        <v>#DIV/0!</v>
      </c>
      <c r="AU362" s="222" t="e">
        <f>PRODUCT(AU359:AU361)</f>
        <v>#DIV/0!</v>
      </c>
      <c r="AW362" s="222" t="e">
        <f>PRODUCT(AW359:AW361)</f>
        <v>#DIV/0!</v>
      </c>
      <c r="AX362" s="222" t="e">
        <f>PRODUCT(AX359:AX361)</f>
        <v>#DIV/0!</v>
      </c>
      <c r="AY362" s="222" t="e">
        <f>PRODUCT(AY359:AY361)</f>
        <v>#DIV/0!</v>
      </c>
      <c r="AZ362" s="222" t="e">
        <f>PRODUCT(AZ359:AZ361)</f>
        <v>#DIV/0!</v>
      </c>
      <c r="BB362" s="222" t="e">
        <f>PRODUCT(BB359:BB361)</f>
        <v>#DIV/0!</v>
      </c>
      <c r="BC362" s="222" t="e">
        <f>PRODUCT(BC359:BC361)</f>
        <v>#DIV/0!</v>
      </c>
      <c r="BD362" s="222" t="e">
        <f>PRODUCT(BD359:BD361)</f>
        <v>#DIV/0!</v>
      </c>
      <c r="BE362" s="222" t="e">
        <f>PRODUCT(BE359:BE361)</f>
        <v>#DIV/0!</v>
      </c>
      <c r="BG362" s="222" t="e">
        <f>PRODUCT(BG359:BG361)</f>
        <v>#DIV/0!</v>
      </c>
      <c r="BH362" s="222" t="e">
        <f>PRODUCT(BH359:BH361)</f>
        <v>#DIV/0!</v>
      </c>
      <c r="BI362" s="222" t="e">
        <f>PRODUCT(BI359:BI361)</f>
        <v>#DIV/0!</v>
      </c>
      <c r="BJ362" s="222" t="e">
        <f>PRODUCT(BJ359:BJ361)</f>
        <v>#DIV/0!</v>
      </c>
      <c r="BL362" s="222" t="e">
        <f>PRODUCT(BL359:BL361)</f>
        <v>#DIV/0!</v>
      </c>
      <c r="BM362" s="222" t="e">
        <f>PRODUCT(BM359:BM361)</f>
        <v>#DIV/0!</v>
      </c>
      <c r="BN362" s="222" t="e">
        <f>PRODUCT(BN359:BN361)</f>
        <v>#DIV/0!</v>
      </c>
      <c r="BO362" s="222" t="e">
        <f>PRODUCT(BO359:BO361)</f>
        <v>#DIV/0!</v>
      </c>
      <c r="BQ362" s="222" t="e">
        <f>PRODUCT(BQ359:BQ361)</f>
        <v>#DIV/0!</v>
      </c>
      <c r="BR362" s="222" t="e">
        <f>PRODUCT(BR359:BR361)</f>
        <v>#DIV/0!</v>
      </c>
      <c r="BS362" s="222" t="e">
        <f>PRODUCT(BS359:BS361)</f>
        <v>#DIV/0!</v>
      </c>
      <c r="BT362" s="222" t="e">
        <f>PRODUCT(BT359:BT361)</f>
        <v>#DIV/0!</v>
      </c>
      <c r="BV362" s="222" t="e">
        <f>PRODUCT(BV359:BV361)</f>
        <v>#DIV/0!</v>
      </c>
      <c r="BW362" s="222" t="e">
        <f>PRODUCT(BW359:BW361)</f>
        <v>#DIV/0!</v>
      </c>
      <c r="BX362" s="222" t="e">
        <f>PRODUCT(BX359:BX361)</f>
        <v>#DIV/0!</v>
      </c>
      <c r="BY362" s="222" t="e">
        <f>PRODUCT(BY359:BY361)</f>
        <v>#DIV/0!</v>
      </c>
      <c r="CA362" s="222" t="e">
        <f>PRODUCT(CA359:CA361)</f>
        <v>#DIV/0!</v>
      </c>
      <c r="CB362" s="222" t="e">
        <f>PRODUCT(CB359:CB361)</f>
        <v>#DIV/0!</v>
      </c>
      <c r="CC362" s="222" t="e">
        <f>PRODUCT(CC359:CC361)</f>
        <v>#DIV/0!</v>
      </c>
      <c r="CD362" s="222" t="e">
        <f>PRODUCT(CD359:CD361)</f>
        <v>#DIV/0!</v>
      </c>
      <c r="CF362" s="222" t="e">
        <f>PRODUCT(CF359:CF361)</f>
        <v>#DIV/0!</v>
      </c>
      <c r="CG362" s="222" t="e">
        <f>PRODUCT(CG359:CG361)</f>
        <v>#DIV/0!</v>
      </c>
      <c r="CH362" s="222" t="e">
        <f>PRODUCT(CH359:CH361)</f>
        <v>#DIV/0!</v>
      </c>
      <c r="CI362" s="222" t="e">
        <f>PRODUCT(CI359:CI361)</f>
        <v>#DIV/0!</v>
      </c>
      <c r="CK362" s="222" t="e">
        <f>PRODUCT(CK359:CK361)</f>
        <v>#DIV/0!</v>
      </c>
      <c r="CL362" s="222" t="e">
        <f>PRODUCT(CL359:CL361)</f>
        <v>#DIV/0!</v>
      </c>
      <c r="CM362" s="222" t="e">
        <f>PRODUCT(CM359:CM361)</f>
        <v>#DIV/0!</v>
      </c>
      <c r="CN362" s="222" t="e">
        <f>PRODUCT(CN359:CN361)</f>
        <v>#DIV/0!</v>
      </c>
      <c r="CP362" s="222" t="e">
        <f>PRODUCT(CP359:CP361)</f>
        <v>#DIV/0!</v>
      </c>
      <c r="CQ362" s="222" t="e">
        <f>PRODUCT(CQ359:CQ361)</f>
        <v>#DIV/0!</v>
      </c>
      <c r="CR362" s="222" t="e">
        <f>PRODUCT(CR359:CR361)</f>
        <v>#DIV/0!</v>
      </c>
      <c r="CS362" s="222" t="e">
        <f>PRODUCT(CS359:CS361)</f>
        <v>#DIV/0!</v>
      </c>
      <c r="CU362" s="222" t="e">
        <f>PRODUCT(CU359:CU361)</f>
        <v>#DIV/0!</v>
      </c>
      <c r="CV362" s="222" t="e">
        <f>PRODUCT(CV359:CV361)</f>
        <v>#DIV/0!</v>
      </c>
      <c r="CW362" s="222" t="e">
        <f>PRODUCT(CW359:CW361)</f>
        <v>#DIV/0!</v>
      </c>
      <c r="CX362" s="222" t="e">
        <f>PRODUCT(CX359:CX361)</f>
        <v>#DIV/0!</v>
      </c>
    </row>
    <row r="363" customFormat="1" s="233">
      <c r="A363" s="224" t="n"/>
      <c r="B363" s="224" t="n"/>
      <c r="C363" s="233" t="inlineStr">
        <is>
          <t>ROE</t>
        </is>
      </c>
      <c r="D363" s="238">
        <f>D132/D266</f>
        <v>0.45555486050294</v>
      </c>
      <c r="E363" s="238">
        <f>E132/E266</f>
        <v>0.330524344569288</v>
      </c>
      <c r="F363" s="238">
        <f>F132/F266</f>
        <v>0.241873498799039</v>
      </c>
      <c r="G363" s="238">
        <f>G132/G266</f>
        <v>0.363386664835542</v>
      </c>
      <c r="I363" s="222">
        <f>I132/I266</f>
        <v>0.190906145676334</v>
      </c>
      <c r="J363" s="222">
        <f>J132/J266</f>
        <v>0.20862909882194</v>
      </c>
      <c r="K363" s="222">
        <f>K132/K266</f>
        <v>0.139563244113099</v>
      </c>
      <c r="L363" s="222">
        <f>L132/L266</f>
        <v>0.188545899418884</v>
      </c>
      <c r="N363" s="222">
        <f>N132/N266</f>
        <v>0.201109701965758</v>
      </c>
      <c r="O363" s="222">
        <f>O132/O266</f>
        <v>0.109998614190687</v>
      </c>
      <c r="P363" s="222">
        <f>P132/P266</f>
        <v>0.142800932529338</v>
      </c>
      <c r="Q363" s="222">
        <f>Q132/Q266</f>
        <v>0.179826270950498</v>
      </c>
      <c r="S363" s="222">
        <f>S132/S266</f>
        <v>0.119071439322172</v>
      </c>
      <c r="T363" s="222">
        <f>T132/T266</f>
        <v>0.158144457499574</v>
      </c>
      <c r="U363" s="222">
        <f>U132/U266</f>
        <v>-0.00507632170083309</v>
      </c>
      <c r="V363" s="222">
        <f>V132/V266</f>
        <v>0.201561162403233</v>
      </c>
      <c r="X363" s="222">
        <f>X132/X266</f>
        <v>0.173903267325197</v>
      </c>
      <c r="Y363" s="222">
        <f>Y132/Y266</f>
        <v>0.21759378093946</v>
      </c>
      <c r="Z363" s="222">
        <f>Z132/Z266</f>
        <v>0.0677550678388626</v>
      </c>
      <c r="AA363" s="222">
        <f>AA132/AA266</f>
        <v>0.308991283387987</v>
      </c>
      <c r="AC363" s="222">
        <f>AC132/AC266</f>
        <v>0.174104551076558</v>
      </c>
      <c r="AD363" s="222">
        <f>AD132/AD266</f>
        <v>0.308516493996981</v>
      </c>
      <c r="AE363" s="222">
        <f>AE132/AE266</f>
        <v>0.234059234910359</v>
      </c>
      <c r="AF363" s="222">
        <f>AF132/AF266</f>
        <v>0.250356428921661</v>
      </c>
      <c r="AH363" s="222">
        <f>AH132/AH266</f>
        <v>0.237210943263094</v>
      </c>
      <c r="AI363" s="222">
        <f>AI132/AI266</f>
        <v>0.209762298959319</v>
      </c>
      <c r="AJ363" s="222">
        <f>AJ132/AJ266</f>
        <v>0.207386230491634</v>
      </c>
      <c r="AK363" s="222">
        <f>AK132/AK266</f>
        <v>0.178097494270141</v>
      </c>
      <c r="AM363" s="222">
        <f>AM132/AM266</f>
        <v>0.151173816374575</v>
      </c>
      <c r="AN363" s="222">
        <f>AN132/AN266</f>
        <v>0.371746677348452</v>
      </c>
      <c r="AO363" s="222">
        <f>AO132/AO266</f>
        <v>0.0867375174703824</v>
      </c>
      <c r="AP363" s="222">
        <f>AP132/AP266</f>
        <v>0.253454059088395</v>
      </c>
      <c r="AR363" s="222">
        <f>AR132/AR266</f>
        <v>0.202204506220775</v>
      </c>
      <c r="AS363" s="222">
        <f>AS132/AS266</f>
        <v>0.33675091429863</v>
      </c>
      <c r="AT363" s="222">
        <f>AT132/AT266</f>
        <v>0.118252835107964</v>
      </c>
      <c r="AU363" s="222">
        <f>AU132/AU266</f>
        <v>0.228947865627086</v>
      </c>
      <c r="AW363" s="222">
        <f>AW132/AW266</f>
        <v>0.186295832419435</v>
      </c>
      <c r="AX363" s="222">
        <f>AX132/AX266</f>
        <v>0.342527988959405</v>
      </c>
      <c r="AY363" s="222">
        <f>AY132/AY266</f>
        <v>0.109118939187461</v>
      </c>
      <c r="AZ363" s="222">
        <f>AZ132/AZ266</f>
        <v>0.233805540453146</v>
      </c>
      <c r="BB363" s="222">
        <f>BB132/BB266</f>
        <v>0.18949950603016</v>
      </c>
      <c r="BC363" s="222">
        <f>BC132/BC266</f>
        <v>0.339726955366738</v>
      </c>
      <c r="BD363" s="222">
        <f>BD132/BD266</f>
        <v>0.111207034232594</v>
      </c>
      <c r="BE363" s="222">
        <f>BE132/BE266</f>
        <v>0.23191953655616</v>
      </c>
      <c r="BG363" s="222">
        <f>BG132/BG266</f>
        <v>0.188258672481559</v>
      </c>
      <c r="BH363" s="222">
        <f>BH132/BH266</f>
        <v>0.340016179414693</v>
      </c>
      <c r="BI363" s="222">
        <f>BI132/BI266</f>
        <v>0.110516286012948</v>
      </c>
      <c r="BJ363" s="222">
        <f>BJ132/BJ266</f>
        <v>0.232209637430358</v>
      </c>
      <c r="BL363" s="222">
        <f>BL132/BL266</f>
        <v>0.188449781901241</v>
      </c>
      <c r="BM363" s="222">
        <f>BM132/BM266</f>
        <v>0.339770594616461</v>
      </c>
      <c r="BN363" s="222">
        <f>BN132/BN266</f>
        <v>0.11065267228688</v>
      </c>
      <c r="BO363" s="222">
        <f>BO132/BO266</f>
        <v>0.232053515145371</v>
      </c>
      <c r="BQ363" s="222">
        <f>BQ132/BQ266</f>
        <v>0.188346944587055</v>
      </c>
      <c r="BR363" s="222">
        <f>BR132/BR266</f>
        <v>0.339774869470633</v>
      </c>
      <c r="BS363" s="222">
        <f>BS132/BS266</f>
        <v>0.110598330392882</v>
      </c>
      <c r="BT363" s="222">
        <f>BT132/BT266</f>
        <v>0.232066646017531</v>
      </c>
      <c r="BV363" s="222">
        <f>BV132/BV266</f>
        <v>0.188355594859784</v>
      </c>
      <c r="BW363" s="222">
        <f>BW132/BW266</f>
        <v>0.339751212678338</v>
      </c>
      <c r="BX363" s="222">
        <f>BX132/BX266</f>
        <v>0.11060637278951</v>
      </c>
      <c r="BY363" s="222">
        <f>BY132/BY266</f>
        <v>0.232052626424382</v>
      </c>
      <c r="CA363" s="222">
        <f>CA132/CA266</f>
        <v>0.188346359114412</v>
      </c>
      <c r="CB363" s="222">
        <f>CB132/CB266</f>
        <v>0.339749312072769</v>
      </c>
      <c r="CC363" s="222">
        <f>CC132/CC266</f>
        <v>0.110601832370878</v>
      </c>
      <c r="CD363" s="222">
        <f>CD132/CD266</f>
        <v>0.232052539270726</v>
      </c>
      <c r="CF363" s="222">
        <f>CF132/CF266</f>
        <v>0.188346301699181</v>
      </c>
      <c r="CG363" s="222">
        <f>CG132/CG266</f>
        <v>0.339746805642593</v>
      </c>
      <c r="CH363" s="222">
        <f>CH132/CH266</f>
        <v>0.110602175810591</v>
      </c>
      <c r="CI363" s="222">
        <f>CI132/CI266</f>
        <v>0.232051155791218</v>
      </c>
      <c r="CK363" s="222">
        <f>CK132/CK266</f>
        <v>0.188345390287139</v>
      </c>
      <c r="CL363" s="222">
        <f>CL132/CL266</f>
        <v>0.339746373426358</v>
      </c>
      <c r="CM363" s="222">
        <f>CM132/CM266</f>
        <v>0.110601764193366</v>
      </c>
      <c r="CN363" s="222">
        <f>CN132/CN266</f>
        <v>0.232051011559087</v>
      </c>
      <c r="CP363" s="222">
        <f>CP132/CP266</f>
        <v>0.188345295269422</v>
      </c>
      <c r="CQ363" s="222">
        <f>CQ132/CQ266</f>
        <v>0.339746085217257</v>
      </c>
      <c r="CR363" s="222">
        <f>CR132/CR266</f>
        <v>0.110601757506824</v>
      </c>
      <c r="CS363" s="222">
        <f>CS132/CS266</f>
        <v>0.232050861727724</v>
      </c>
      <c r="CU363" s="222">
        <f>CU132/CU266</f>
        <v>0.188345196563002</v>
      </c>
      <c r="CV363" s="222">
        <f>CV132/CV266</f>
        <v>0.339746014560869</v>
      </c>
      <c r="CW363" s="222">
        <f>CW132/CW266</f>
        <v>0.11060171648127</v>
      </c>
      <c r="CX363" s="222">
        <f>CX132/CX266</f>
        <v>0.232050832887145</v>
      </c>
    </row>
    <row r="365">
      <c r="C365" s="53" t="inlineStr">
        <is>
          <t>Scenario Analysis</t>
        </is>
      </c>
      <c r="D365" s="5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  <c r="Z365" s="53" t="n"/>
      <c r="AA365" s="53" t="n"/>
      <c r="AB365" s="53" t="n"/>
      <c r="AC365" s="53" t="n"/>
      <c r="AD365" s="53" t="n"/>
      <c r="AE365" s="53" t="n"/>
      <c r="AF365" s="53" t="n"/>
      <c r="AG365" s="53" t="n"/>
      <c r="AH365" s="53" t="n"/>
      <c r="AI365" s="53" t="n"/>
      <c r="AJ365" s="53" t="n"/>
      <c r="AK365" s="53" t="n"/>
      <c r="AL365" s="53" t="n"/>
      <c r="AM365" s="53" t="n"/>
      <c r="AN365" s="53" t="n"/>
      <c r="AO365" s="53" t="n"/>
      <c r="AP365" s="53" t="n"/>
      <c r="AQ365" s="53" t="n"/>
      <c r="AR365" s="53" t="n"/>
      <c r="AS365" s="53" t="n"/>
      <c r="AT365" s="53" t="n"/>
      <c r="AU365" s="53" t="n"/>
      <c r="AV365" s="53" t="n"/>
      <c r="AW365" s="53" t="n"/>
      <c r="AX365" s="53" t="n"/>
      <c r="AY365" s="53" t="n"/>
      <c r="AZ365" s="53" t="n"/>
      <c r="BA365" s="53" t="n"/>
      <c r="BB365" s="53" t="n"/>
      <c r="BC365" s="53" t="n"/>
      <c r="BD365" s="53" t="n"/>
      <c r="BE365" s="53" t="n"/>
      <c r="BF365" s="53" t="n"/>
      <c r="BG365" s="53" t="n"/>
      <c r="BH365" s="53" t="n"/>
      <c r="BI365" s="53" t="n"/>
      <c r="BJ365" s="53" t="n"/>
      <c r="BK365" s="53" t="n"/>
      <c r="BL365" s="53" t="n"/>
      <c r="BM365" s="53" t="n"/>
      <c r="BN365" s="53" t="n"/>
      <c r="BO365" s="53" t="n"/>
      <c r="BP365" s="53" t="n"/>
      <c r="BQ365" s="53" t="n"/>
      <c r="BR365" s="53" t="n"/>
      <c r="BS365" s="53" t="n"/>
      <c r="BT365" s="53" t="n"/>
      <c r="BU365" s="53" t="n"/>
      <c r="BV365" s="53" t="n"/>
      <c r="BW365" s="53" t="n"/>
      <c r="BX365" s="53" t="n"/>
      <c r="BY365" s="53" t="n"/>
      <c r="BZ365" s="53" t="n"/>
      <c r="CA365" s="53" t="n"/>
      <c r="CB365" s="53" t="n"/>
      <c r="CC365" s="53" t="n"/>
      <c r="CD365" s="53" t="n"/>
      <c r="CE365" s="53" t="n"/>
      <c r="CF365" s="53" t="n"/>
      <c r="CG365" s="53" t="n"/>
      <c r="CH365" s="53" t="n"/>
      <c r="CI365" s="53" t="n"/>
      <c r="CJ365" s="53" t="n"/>
      <c r="CK365" s="53" t="n"/>
      <c r="CL365" s="53" t="n"/>
      <c r="CM365" s="53" t="n"/>
      <c r="CN365" s="53" t="n"/>
      <c r="CO365" s="53" t="n"/>
      <c r="CP365" s="53" t="n"/>
      <c r="CQ365" s="53" t="n"/>
      <c r="CR365" s="53" t="n"/>
      <c r="CS365" s="53" t="n"/>
      <c r="CT365" s="53" t="n"/>
      <c r="CU365" s="53" t="n"/>
      <c r="CV365" s="53" t="n"/>
      <c r="CW365" s="53" t="n"/>
      <c r="CX365" s="53" t="n"/>
      <c r="CY365" s="53" t="n"/>
    </row>
    <row r="368">
      <c r="C368" s="4" t="inlineStr">
        <is>
          <t>Bull case</t>
        </is>
      </c>
    </row>
    <row r="369">
      <c r="C369" s="4" t="inlineStr">
        <is>
          <t>Base case</t>
        </is>
      </c>
    </row>
    <row r="370">
      <c r="C370" s="4" t="inlineStr">
        <is>
          <t>Bear case</t>
        </is>
      </c>
    </row>
    <row r="373">
      <c r="C373" s="4" t="inlineStr">
        <is>
          <t>Bull case</t>
        </is>
      </c>
    </row>
    <row r="374">
      <c r="C374" s="4" t="inlineStr">
        <is>
          <t>Base case</t>
        </is>
      </c>
    </row>
    <row r="375">
      <c r="C375" s="4" t="inlineStr">
        <is>
          <t>Bear case</t>
        </is>
      </c>
    </row>
    <row r="378">
      <c r="C378" s="4" t="inlineStr">
        <is>
          <t>% Gross Margin</t>
        </is>
      </c>
    </row>
    <row r="379">
      <c r="C379" s="4" t="inlineStr">
        <is>
          <t>Bull case</t>
        </is>
      </c>
    </row>
    <row r="380">
      <c r="C380" s="4" t="inlineStr">
        <is>
          <t>Base case</t>
        </is>
      </c>
    </row>
    <row r="381">
      <c r="C381" s="4" t="inlineStr">
        <is>
          <t>Bear case</t>
        </is>
      </c>
    </row>
    <row r="384">
      <c r="C384" s="4" t="inlineStr">
        <is>
          <t>Capital expenditures</t>
        </is>
      </c>
    </row>
    <row r="385">
      <c r="C385" s="4" t="inlineStr">
        <is>
          <t>Bull case</t>
        </is>
      </c>
    </row>
    <row r="386">
      <c r="C386" s="4" t="inlineStr">
        <is>
          <t>Base case</t>
        </is>
      </c>
    </row>
    <row r="387">
      <c r="C387" s="4" t="inlineStr">
        <is>
          <t>Bear case</t>
        </is>
      </c>
    </row>
  </sheetData>
  <conditionalFormatting sqref="B1:B4 B13:B1048576">
    <cfRule type="expression" priority="59" dxfId="23">
      <formula>B1&lt;&gt;""</formula>
    </cfRule>
  </conditionalFormatting>
  <conditionalFormatting sqref="D1:CY3">
    <cfRule type="cellIs" priority="17" operator="greaterThan" dxfId="22">
      <formula>1</formula>
    </cfRule>
  </conditionalFormatting>
  <conditionalFormatting sqref="E310:G310">
    <cfRule type="cellIs" priority="15" operator="notEqual" dxfId="0">
      <formula>0</formula>
    </cfRule>
  </conditionalFormatting>
  <conditionalFormatting sqref="E5:H5">
    <cfRule type="cellIs" priority="16" operator="greaterThan" dxfId="18">
      <formula>$B$5</formula>
    </cfRule>
  </conditionalFormatting>
  <conditionalFormatting sqref="I310:L310">
    <cfRule type="cellIs" priority="45" operator="notEqual" dxfId="0">
      <formula>0</formula>
    </cfRule>
  </conditionalFormatting>
  <conditionalFormatting sqref="J5:CY5">
    <cfRule type="cellIs" priority="46" operator="greaterThan" dxfId="18">
      <formula>$B$5</formula>
    </cfRule>
  </conditionalFormatting>
  <conditionalFormatting sqref="N310:Q310">
    <cfRule type="cellIs" priority="44" operator="notEqual" dxfId="0">
      <formula>0</formula>
    </cfRule>
  </conditionalFormatting>
  <conditionalFormatting sqref="S310:V310">
    <cfRule type="cellIs" priority="43" operator="notEqual" dxfId="0">
      <formula>0</formula>
    </cfRule>
  </conditionalFormatting>
  <conditionalFormatting sqref="X310:AA310">
    <cfRule type="cellIs" priority="42" operator="notEqual" dxfId="0">
      <formula>0</formula>
    </cfRule>
  </conditionalFormatting>
  <conditionalFormatting sqref="AC310:AF310">
    <cfRule type="cellIs" priority="41" operator="notEqual" dxfId="0">
      <formula>0</formula>
    </cfRule>
  </conditionalFormatting>
  <conditionalFormatting sqref="AH310:AK310">
    <cfRule type="cellIs" priority="14" operator="notEqual" dxfId="0">
      <formula>0</formula>
    </cfRule>
  </conditionalFormatting>
  <conditionalFormatting sqref="AM310:AP310">
    <cfRule type="cellIs" priority="13" operator="notEqual" dxfId="0">
      <formula>0</formula>
    </cfRule>
  </conditionalFormatting>
  <conditionalFormatting sqref="AR310:AU310">
    <cfRule type="cellIs" priority="12" operator="notEqual" dxfId="0">
      <formula>0</formula>
    </cfRule>
  </conditionalFormatting>
  <conditionalFormatting sqref="AW310:AZ310">
    <cfRule type="cellIs" priority="11" operator="notEqual" dxfId="0">
      <formula>0</formula>
    </cfRule>
  </conditionalFormatting>
  <conditionalFormatting sqref="BB310:BE310">
    <cfRule type="cellIs" priority="10" operator="notEqual" dxfId="0">
      <formula>0</formula>
    </cfRule>
  </conditionalFormatting>
  <conditionalFormatting sqref="BG310:BJ310">
    <cfRule type="cellIs" priority="9" operator="notEqual" dxfId="0">
      <formula>0</formula>
    </cfRule>
  </conditionalFormatting>
  <conditionalFormatting sqref="BL310:BO310">
    <cfRule type="cellIs" priority="8" operator="notEqual" dxfId="0">
      <formula>0</formula>
    </cfRule>
  </conditionalFormatting>
  <conditionalFormatting sqref="BQ310:BT310">
    <cfRule type="cellIs" priority="7" operator="notEqual" dxfId="0">
      <formula>0</formula>
    </cfRule>
  </conditionalFormatting>
  <conditionalFormatting sqref="BV310:BY310">
    <cfRule type="cellIs" priority="6" operator="notEqual" dxfId="0">
      <formula>0</formula>
    </cfRule>
  </conditionalFormatting>
  <conditionalFormatting sqref="CA310:CD310">
    <cfRule type="cellIs" priority="5" operator="notEqual" dxfId="0">
      <formula>0</formula>
    </cfRule>
  </conditionalFormatting>
  <conditionalFormatting sqref="CF310:CI310">
    <cfRule type="cellIs" priority="4" operator="notEqual" dxfId="0">
      <formula>0</formula>
    </cfRule>
  </conditionalFormatting>
  <conditionalFormatting sqref="CK310:CN310">
    <cfRule type="cellIs" priority="3" operator="notEqual" dxfId="0">
      <formula>0</formula>
    </cfRule>
  </conditionalFormatting>
  <conditionalFormatting sqref="CP310:CS310">
    <cfRule type="cellIs" priority="2" operator="notEqual" dxfId="0">
      <formula>0</formula>
    </cfRule>
  </conditionalFormatting>
  <conditionalFormatting sqref="CU310:CX310">
    <cfRule type="cellIs" priority="1" operator="notEqual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AB102"/>
  <sheetViews>
    <sheetView topLeftCell="A9" workbookViewId="0">
      <selection activeCell="D9" sqref="D9"/>
    </sheetView>
  </sheetViews>
  <sheetFormatPr baseColWidth="8" defaultRowHeight="12.75" outlineLevelRow="1"/>
  <cols>
    <col width="2" customWidth="1" style="249" min="1" max="1"/>
    <col outlineLevel="1" width="4.28515625" customWidth="1" style="249" min="2" max="2"/>
    <col width="54.5703125" bestFit="1" customWidth="1" style="249" min="3" max="3"/>
    <col outlineLevel="1" width="12.85546875" customWidth="1" style="249" min="4" max="4"/>
    <col outlineLevel="1" width="11.28515625" customWidth="1" style="249" min="5" max="6"/>
    <col width="11.85546875" customWidth="1" style="249" min="7" max="7"/>
    <col width="14.140625" customWidth="1" style="249" min="8" max="8"/>
    <col width="13.7109375" customWidth="1" style="249" min="9" max="9"/>
    <col width="11.28515625" customWidth="1" style="249" min="10" max="12"/>
    <col width="11.7109375" customWidth="1" style="249" min="13" max="13"/>
    <col width="11.5703125" customWidth="1" style="249" min="14" max="14"/>
    <col width="11.7109375" bestFit="1" customWidth="1" style="249" min="15" max="15"/>
    <col width="10.85546875" customWidth="1" style="249" min="16" max="20"/>
    <col width="11.7109375" bestFit="1" customWidth="1" style="249" min="21" max="22"/>
    <col width="9.28515625" customWidth="1" style="249" min="23" max="23"/>
    <col width="11.42578125" bestFit="1" customWidth="1" style="249" min="24" max="25"/>
    <col width="10" customWidth="1" style="249" min="26" max="26"/>
    <col width="9.140625" customWidth="1" style="249" min="27" max="27"/>
    <col width="19" bestFit="1" customWidth="1" style="249" min="28" max="28"/>
    <col width="9.140625" customWidth="1" style="249" min="29" max="31"/>
    <col width="8" bestFit="1" customWidth="1" style="249" min="32" max="32"/>
    <col width="9.140625" customWidth="1" style="249" min="33" max="261"/>
    <col width="2" customWidth="1" style="249" min="262" max="263"/>
    <col width="31.28515625" customWidth="1" style="249" min="264" max="264"/>
    <col width="13" customWidth="1" style="249" min="265" max="265"/>
    <col width="11.28515625" customWidth="1" style="249" min="266" max="268"/>
    <col width="13.7109375" bestFit="1" customWidth="1" style="249" min="269" max="269"/>
    <col width="11.28515625" customWidth="1" style="249" min="270" max="273"/>
    <col width="9.140625" customWidth="1" style="249" min="274" max="275"/>
    <col width="10.85546875" bestFit="1" customWidth="1" style="249" min="276" max="276"/>
    <col width="9.140625" customWidth="1" style="249" min="277" max="517"/>
    <col width="2" customWidth="1" style="249" min="518" max="519"/>
    <col width="31.28515625" customWidth="1" style="249" min="520" max="520"/>
    <col width="13" customWidth="1" style="249" min="521" max="521"/>
    <col width="11.28515625" customWidth="1" style="249" min="522" max="524"/>
    <col width="13.7109375" bestFit="1" customWidth="1" style="249" min="525" max="525"/>
    <col width="11.28515625" customWidth="1" style="249" min="526" max="529"/>
    <col width="9.140625" customWidth="1" style="249" min="530" max="531"/>
    <col width="10.85546875" bestFit="1" customWidth="1" style="249" min="532" max="532"/>
    <col width="9.140625" customWidth="1" style="249" min="533" max="773"/>
    <col width="2" customWidth="1" style="249" min="774" max="775"/>
    <col width="31.28515625" customWidth="1" style="249" min="776" max="776"/>
    <col width="13" customWidth="1" style="249" min="777" max="777"/>
    <col width="11.28515625" customWidth="1" style="249" min="778" max="780"/>
    <col width="13.7109375" bestFit="1" customWidth="1" style="249" min="781" max="781"/>
    <col width="11.28515625" customWidth="1" style="249" min="782" max="785"/>
    <col width="9.140625" customWidth="1" style="249" min="786" max="787"/>
    <col width="10.85546875" bestFit="1" customWidth="1" style="249" min="788" max="788"/>
    <col width="9.140625" customWidth="1" style="249" min="789" max="1029"/>
    <col width="2" customWidth="1" style="249" min="1030" max="1031"/>
    <col width="31.28515625" customWidth="1" style="249" min="1032" max="1032"/>
    <col width="13" customWidth="1" style="249" min="1033" max="1033"/>
    <col width="11.28515625" customWidth="1" style="249" min="1034" max="1036"/>
    <col width="13.7109375" bestFit="1" customWidth="1" style="249" min="1037" max="1037"/>
    <col width="11.28515625" customWidth="1" style="249" min="1038" max="1041"/>
    <col width="9.140625" customWidth="1" style="249" min="1042" max="1043"/>
    <col width="10.85546875" bestFit="1" customWidth="1" style="249" min="1044" max="1044"/>
    <col width="9.140625" customWidth="1" style="249" min="1045" max="1285"/>
    <col width="2" customWidth="1" style="249" min="1286" max="1287"/>
    <col width="31.28515625" customWidth="1" style="249" min="1288" max="1288"/>
    <col width="13" customWidth="1" style="249" min="1289" max="1289"/>
    <col width="11.28515625" customWidth="1" style="249" min="1290" max="1292"/>
    <col width="13.7109375" bestFit="1" customWidth="1" style="249" min="1293" max="1293"/>
    <col width="11.28515625" customWidth="1" style="249" min="1294" max="1297"/>
    <col width="9.140625" customWidth="1" style="249" min="1298" max="1299"/>
    <col width="10.85546875" bestFit="1" customWidth="1" style="249" min="1300" max="1300"/>
    <col width="9.140625" customWidth="1" style="249" min="1301" max="1541"/>
    <col width="2" customWidth="1" style="249" min="1542" max="1543"/>
    <col width="31.28515625" customWidth="1" style="249" min="1544" max="1544"/>
    <col width="13" customWidth="1" style="249" min="1545" max="1545"/>
    <col width="11.28515625" customWidth="1" style="249" min="1546" max="1548"/>
    <col width="13.7109375" bestFit="1" customWidth="1" style="249" min="1549" max="1549"/>
    <col width="11.28515625" customWidth="1" style="249" min="1550" max="1553"/>
    <col width="9.140625" customWidth="1" style="249" min="1554" max="1555"/>
    <col width="10.85546875" bestFit="1" customWidth="1" style="249" min="1556" max="1556"/>
    <col width="9.140625" customWidth="1" style="249" min="1557" max="1797"/>
    <col width="2" customWidth="1" style="249" min="1798" max="1799"/>
    <col width="31.28515625" customWidth="1" style="249" min="1800" max="1800"/>
    <col width="13" customWidth="1" style="249" min="1801" max="1801"/>
    <col width="11.28515625" customWidth="1" style="249" min="1802" max="1804"/>
    <col width="13.7109375" bestFit="1" customWidth="1" style="249" min="1805" max="1805"/>
    <col width="11.28515625" customWidth="1" style="249" min="1806" max="1809"/>
    <col width="9.140625" customWidth="1" style="249" min="1810" max="1811"/>
    <col width="10.85546875" bestFit="1" customWidth="1" style="249" min="1812" max="1812"/>
    <col width="9.140625" customWidth="1" style="249" min="1813" max="2053"/>
    <col width="2" customWidth="1" style="249" min="2054" max="2055"/>
    <col width="31.28515625" customWidth="1" style="249" min="2056" max="2056"/>
    <col width="13" customWidth="1" style="249" min="2057" max="2057"/>
    <col width="11.28515625" customWidth="1" style="249" min="2058" max="2060"/>
    <col width="13.7109375" bestFit="1" customWidth="1" style="249" min="2061" max="2061"/>
    <col width="11.28515625" customWidth="1" style="249" min="2062" max="2065"/>
    <col width="9.140625" customWidth="1" style="249" min="2066" max="2067"/>
    <col width="10.85546875" bestFit="1" customWidth="1" style="249" min="2068" max="2068"/>
    <col width="9.140625" customWidth="1" style="249" min="2069" max="2309"/>
    <col width="2" customWidth="1" style="249" min="2310" max="2311"/>
    <col width="31.28515625" customWidth="1" style="249" min="2312" max="2312"/>
    <col width="13" customWidth="1" style="249" min="2313" max="2313"/>
    <col width="11.28515625" customWidth="1" style="249" min="2314" max="2316"/>
    <col width="13.7109375" bestFit="1" customWidth="1" style="249" min="2317" max="2317"/>
    <col width="11.28515625" customWidth="1" style="249" min="2318" max="2321"/>
    <col width="9.140625" customWidth="1" style="249" min="2322" max="2323"/>
    <col width="10.85546875" bestFit="1" customWidth="1" style="249" min="2324" max="2324"/>
    <col width="9.140625" customWidth="1" style="249" min="2325" max="2565"/>
    <col width="2" customWidth="1" style="249" min="2566" max="2567"/>
    <col width="31.28515625" customWidth="1" style="249" min="2568" max="2568"/>
    <col width="13" customWidth="1" style="249" min="2569" max="2569"/>
    <col width="11.28515625" customWidth="1" style="249" min="2570" max="2572"/>
    <col width="13.7109375" bestFit="1" customWidth="1" style="249" min="2573" max="2573"/>
    <col width="11.28515625" customWidth="1" style="249" min="2574" max="2577"/>
    <col width="9.140625" customWidth="1" style="249" min="2578" max="2579"/>
    <col width="10.85546875" bestFit="1" customWidth="1" style="249" min="2580" max="2580"/>
    <col width="9.140625" customWidth="1" style="249" min="2581" max="2821"/>
    <col width="2" customWidth="1" style="249" min="2822" max="2823"/>
    <col width="31.28515625" customWidth="1" style="249" min="2824" max="2824"/>
    <col width="13" customWidth="1" style="249" min="2825" max="2825"/>
    <col width="11.28515625" customWidth="1" style="249" min="2826" max="2828"/>
    <col width="13.7109375" bestFit="1" customWidth="1" style="249" min="2829" max="2829"/>
    <col width="11.28515625" customWidth="1" style="249" min="2830" max="2833"/>
    <col width="9.140625" customWidth="1" style="249" min="2834" max="2835"/>
    <col width="10.85546875" bestFit="1" customWidth="1" style="249" min="2836" max="2836"/>
    <col width="9.140625" customWidth="1" style="249" min="2837" max="3077"/>
    <col width="2" customWidth="1" style="249" min="3078" max="3079"/>
    <col width="31.28515625" customWidth="1" style="249" min="3080" max="3080"/>
    <col width="13" customWidth="1" style="249" min="3081" max="3081"/>
    <col width="11.28515625" customWidth="1" style="249" min="3082" max="3084"/>
    <col width="13.7109375" bestFit="1" customWidth="1" style="249" min="3085" max="3085"/>
    <col width="11.28515625" customWidth="1" style="249" min="3086" max="3089"/>
    <col width="9.140625" customWidth="1" style="249" min="3090" max="3091"/>
    <col width="10.85546875" bestFit="1" customWidth="1" style="249" min="3092" max="3092"/>
    <col width="9.140625" customWidth="1" style="249" min="3093" max="3333"/>
    <col width="2" customWidth="1" style="249" min="3334" max="3335"/>
    <col width="31.28515625" customWidth="1" style="249" min="3336" max="3336"/>
    <col width="13" customWidth="1" style="249" min="3337" max="3337"/>
    <col width="11.28515625" customWidth="1" style="249" min="3338" max="3340"/>
    <col width="13.7109375" bestFit="1" customWidth="1" style="249" min="3341" max="3341"/>
    <col width="11.28515625" customWidth="1" style="249" min="3342" max="3345"/>
    <col width="9.140625" customWidth="1" style="249" min="3346" max="3347"/>
    <col width="10.85546875" bestFit="1" customWidth="1" style="249" min="3348" max="3348"/>
    <col width="9.140625" customWidth="1" style="249" min="3349" max="3589"/>
    <col width="2" customWidth="1" style="249" min="3590" max="3591"/>
    <col width="31.28515625" customWidth="1" style="249" min="3592" max="3592"/>
    <col width="13" customWidth="1" style="249" min="3593" max="3593"/>
    <col width="11.28515625" customWidth="1" style="249" min="3594" max="3596"/>
    <col width="13.7109375" bestFit="1" customWidth="1" style="249" min="3597" max="3597"/>
    <col width="11.28515625" customWidth="1" style="249" min="3598" max="3601"/>
    <col width="9.140625" customWidth="1" style="249" min="3602" max="3603"/>
    <col width="10.85546875" bestFit="1" customWidth="1" style="249" min="3604" max="3604"/>
    <col width="9.140625" customWidth="1" style="249" min="3605" max="3845"/>
    <col width="2" customWidth="1" style="249" min="3846" max="3847"/>
    <col width="31.28515625" customWidth="1" style="249" min="3848" max="3848"/>
    <col width="13" customWidth="1" style="249" min="3849" max="3849"/>
    <col width="11.28515625" customWidth="1" style="249" min="3850" max="3852"/>
    <col width="13.7109375" bestFit="1" customWidth="1" style="249" min="3853" max="3853"/>
    <col width="11.28515625" customWidth="1" style="249" min="3854" max="3857"/>
    <col width="9.140625" customWidth="1" style="249" min="3858" max="3859"/>
    <col width="10.85546875" bestFit="1" customWidth="1" style="249" min="3860" max="3860"/>
    <col width="9.140625" customWidth="1" style="249" min="3861" max="4101"/>
    <col width="2" customWidth="1" style="249" min="4102" max="4103"/>
    <col width="31.28515625" customWidth="1" style="249" min="4104" max="4104"/>
    <col width="13" customWidth="1" style="249" min="4105" max="4105"/>
    <col width="11.28515625" customWidth="1" style="249" min="4106" max="4108"/>
    <col width="13.7109375" bestFit="1" customWidth="1" style="249" min="4109" max="4109"/>
    <col width="11.28515625" customWidth="1" style="249" min="4110" max="4113"/>
    <col width="9.140625" customWidth="1" style="249" min="4114" max="4115"/>
    <col width="10.85546875" bestFit="1" customWidth="1" style="249" min="4116" max="4116"/>
    <col width="9.140625" customWidth="1" style="249" min="4117" max="4357"/>
    <col width="2" customWidth="1" style="249" min="4358" max="4359"/>
    <col width="31.28515625" customWidth="1" style="249" min="4360" max="4360"/>
    <col width="13" customWidth="1" style="249" min="4361" max="4361"/>
    <col width="11.28515625" customWidth="1" style="249" min="4362" max="4364"/>
    <col width="13.7109375" bestFit="1" customWidth="1" style="249" min="4365" max="4365"/>
    <col width="11.28515625" customWidth="1" style="249" min="4366" max="4369"/>
    <col width="9.140625" customWidth="1" style="249" min="4370" max="4371"/>
    <col width="10.85546875" bestFit="1" customWidth="1" style="249" min="4372" max="4372"/>
    <col width="9.140625" customWidth="1" style="249" min="4373" max="4613"/>
    <col width="2" customWidth="1" style="249" min="4614" max="4615"/>
    <col width="31.28515625" customWidth="1" style="249" min="4616" max="4616"/>
    <col width="13" customWidth="1" style="249" min="4617" max="4617"/>
    <col width="11.28515625" customWidth="1" style="249" min="4618" max="4620"/>
    <col width="13.7109375" bestFit="1" customWidth="1" style="249" min="4621" max="4621"/>
    <col width="11.28515625" customWidth="1" style="249" min="4622" max="4625"/>
    <col width="9.140625" customWidth="1" style="249" min="4626" max="4627"/>
    <col width="10.85546875" bestFit="1" customWidth="1" style="249" min="4628" max="4628"/>
    <col width="9.140625" customWidth="1" style="249" min="4629" max="4869"/>
    <col width="2" customWidth="1" style="249" min="4870" max="4871"/>
    <col width="31.28515625" customWidth="1" style="249" min="4872" max="4872"/>
    <col width="13" customWidth="1" style="249" min="4873" max="4873"/>
    <col width="11.28515625" customWidth="1" style="249" min="4874" max="4876"/>
    <col width="13.7109375" bestFit="1" customWidth="1" style="249" min="4877" max="4877"/>
    <col width="11.28515625" customWidth="1" style="249" min="4878" max="4881"/>
    <col width="9.140625" customWidth="1" style="249" min="4882" max="4883"/>
    <col width="10.85546875" bestFit="1" customWidth="1" style="249" min="4884" max="4884"/>
    <col width="9.140625" customWidth="1" style="249" min="4885" max="5125"/>
    <col width="2" customWidth="1" style="249" min="5126" max="5127"/>
    <col width="31.28515625" customWidth="1" style="249" min="5128" max="5128"/>
    <col width="13" customWidth="1" style="249" min="5129" max="5129"/>
    <col width="11.28515625" customWidth="1" style="249" min="5130" max="5132"/>
    <col width="13.7109375" bestFit="1" customWidth="1" style="249" min="5133" max="5133"/>
    <col width="11.28515625" customWidth="1" style="249" min="5134" max="5137"/>
    <col width="9.140625" customWidth="1" style="249" min="5138" max="5139"/>
    <col width="10.85546875" bestFit="1" customWidth="1" style="249" min="5140" max="5140"/>
    <col width="9.140625" customWidth="1" style="249" min="5141" max="5381"/>
    <col width="2" customWidth="1" style="249" min="5382" max="5383"/>
    <col width="31.28515625" customWidth="1" style="249" min="5384" max="5384"/>
    <col width="13" customWidth="1" style="249" min="5385" max="5385"/>
    <col width="11.28515625" customWidth="1" style="249" min="5386" max="5388"/>
    <col width="13.7109375" bestFit="1" customWidth="1" style="249" min="5389" max="5389"/>
    <col width="11.28515625" customWidth="1" style="249" min="5390" max="5393"/>
    <col width="9.140625" customWidth="1" style="249" min="5394" max="5395"/>
    <col width="10.85546875" bestFit="1" customWidth="1" style="249" min="5396" max="5396"/>
    <col width="9.140625" customWidth="1" style="249" min="5397" max="5637"/>
    <col width="2" customWidth="1" style="249" min="5638" max="5639"/>
    <col width="31.28515625" customWidth="1" style="249" min="5640" max="5640"/>
    <col width="13" customWidth="1" style="249" min="5641" max="5641"/>
    <col width="11.28515625" customWidth="1" style="249" min="5642" max="5644"/>
    <col width="13.7109375" bestFit="1" customWidth="1" style="249" min="5645" max="5645"/>
    <col width="11.28515625" customWidth="1" style="249" min="5646" max="5649"/>
    <col width="9.140625" customWidth="1" style="249" min="5650" max="5651"/>
    <col width="10.85546875" bestFit="1" customWidth="1" style="249" min="5652" max="5652"/>
    <col width="9.140625" customWidth="1" style="249" min="5653" max="5893"/>
    <col width="2" customWidth="1" style="249" min="5894" max="5895"/>
    <col width="31.28515625" customWidth="1" style="249" min="5896" max="5896"/>
    <col width="13" customWidth="1" style="249" min="5897" max="5897"/>
    <col width="11.28515625" customWidth="1" style="249" min="5898" max="5900"/>
    <col width="13.7109375" bestFit="1" customWidth="1" style="249" min="5901" max="5901"/>
    <col width="11.28515625" customWidth="1" style="249" min="5902" max="5905"/>
    <col width="9.140625" customWidth="1" style="249" min="5906" max="5907"/>
    <col width="10.85546875" bestFit="1" customWidth="1" style="249" min="5908" max="5908"/>
    <col width="9.140625" customWidth="1" style="249" min="5909" max="6149"/>
    <col width="2" customWidth="1" style="249" min="6150" max="6151"/>
    <col width="31.28515625" customWidth="1" style="249" min="6152" max="6152"/>
    <col width="13" customWidth="1" style="249" min="6153" max="6153"/>
    <col width="11.28515625" customWidth="1" style="249" min="6154" max="6156"/>
    <col width="13.7109375" bestFit="1" customWidth="1" style="249" min="6157" max="6157"/>
    <col width="11.28515625" customWidth="1" style="249" min="6158" max="6161"/>
    <col width="9.140625" customWidth="1" style="249" min="6162" max="6163"/>
    <col width="10.85546875" bestFit="1" customWidth="1" style="249" min="6164" max="6164"/>
    <col width="9.140625" customWidth="1" style="249" min="6165" max="6405"/>
    <col width="2" customWidth="1" style="249" min="6406" max="6407"/>
    <col width="31.28515625" customWidth="1" style="249" min="6408" max="6408"/>
    <col width="13" customWidth="1" style="249" min="6409" max="6409"/>
    <col width="11.28515625" customWidth="1" style="249" min="6410" max="6412"/>
    <col width="13.7109375" bestFit="1" customWidth="1" style="249" min="6413" max="6413"/>
    <col width="11.28515625" customWidth="1" style="249" min="6414" max="6417"/>
    <col width="9.140625" customWidth="1" style="249" min="6418" max="6419"/>
    <col width="10.85546875" bestFit="1" customWidth="1" style="249" min="6420" max="6420"/>
    <col width="9.140625" customWidth="1" style="249" min="6421" max="6661"/>
    <col width="2" customWidth="1" style="249" min="6662" max="6663"/>
    <col width="31.28515625" customWidth="1" style="249" min="6664" max="6664"/>
    <col width="13" customWidth="1" style="249" min="6665" max="6665"/>
    <col width="11.28515625" customWidth="1" style="249" min="6666" max="6668"/>
    <col width="13.7109375" bestFit="1" customWidth="1" style="249" min="6669" max="6669"/>
    <col width="11.28515625" customWidth="1" style="249" min="6670" max="6673"/>
    <col width="9.140625" customWidth="1" style="249" min="6674" max="6675"/>
    <col width="10.85546875" bestFit="1" customWidth="1" style="249" min="6676" max="6676"/>
    <col width="9.140625" customWidth="1" style="249" min="6677" max="6917"/>
    <col width="2" customWidth="1" style="249" min="6918" max="6919"/>
    <col width="31.28515625" customWidth="1" style="249" min="6920" max="6920"/>
    <col width="13" customWidth="1" style="249" min="6921" max="6921"/>
    <col width="11.28515625" customWidth="1" style="249" min="6922" max="6924"/>
    <col width="13.7109375" bestFit="1" customWidth="1" style="249" min="6925" max="6925"/>
    <col width="11.28515625" customWidth="1" style="249" min="6926" max="6929"/>
    <col width="9.140625" customWidth="1" style="249" min="6930" max="6931"/>
    <col width="10.85546875" bestFit="1" customWidth="1" style="249" min="6932" max="6932"/>
    <col width="9.140625" customWidth="1" style="249" min="6933" max="7173"/>
    <col width="2" customWidth="1" style="249" min="7174" max="7175"/>
    <col width="31.28515625" customWidth="1" style="249" min="7176" max="7176"/>
    <col width="13" customWidth="1" style="249" min="7177" max="7177"/>
    <col width="11.28515625" customWidth="1" style="249" min="7178" max="7180"/>
    <col width="13.7109375" bestFit="1" customWidth="1" style="249" min="7181" max="7181"/>
    <col width="11.28515625" customWidth="1" style="249" min="7182" max="7185"/>
    <col width="9.140625" customWidth="1" style="249" min="7186" max="7187"/>
    <col width="10.85546875" bestFit="1" customWidth="1" style="249" min="7188" max="7188"/>
    <col width="9.140625" customWidth="1" style="249" min="7189" max="7429"/>
    <col width="2" customWidth="1" style="249" min="7430" max="7431"/>
    <col width="31.28515625" customWidth="1" style="249" min="7432" max="7432"/>
    <col width="13" customWidth="1" style="249" min="7433" max="7433"/>
    <col width="11.28515625" customWidth="1" style="249" min="7434" max="7436"/>
    <col width="13.7109375" bestFit="1" customWidth="1" style="249" min="7437" max="7437"/>
    <col width="11.28515625" customWidth="1" style="249" min="7438" max="7441"/>
    <col width="9.140625" customWidth="1" style="249" min="7442" max="7443"/>
    <col width="10.85546875" bestFit="1" customWidth="1" style="249" min="7444" max="7444"/>
    <col width="9.140625" customWidth="1" style="249" min="7445" max="7685"/>
    <col width="2" customWidth="1" style="249" min="7686" max="7687"/>
    <col width="31.28515625" customWidth="1" style="249" min="7688" max="7688"/>
    <col width="13" customWidth="1" style="249" min="7689" max="7689"/>
    <col width="11.28515625" customWidth="1" style="249" min="7690" max="7692"/>
    <col width="13.7109375" bestFit="1" customWidth="1" style="249" min="7693" max="7693"/>
    <col width="11.28515625" customWidth="1" style="249" min="7694" max="7697"/>
    <col width="9.140625" customWidth="1" style="249" min="7698" max="7699"/>
    <col width="10.85546875" bestFit="1" customWidth="1" style="249" min="7700" max="7700"/>
    <col width="9.140625" customWidth="1" style="249" min="7701" max="7941"/>
    <col width="2" customWidth="1" style="249" min="7942" max="7943"/>
    <col width="31.28515625" customWidth="1" style="249" min="7944" max="7944"/>
    <col width="13" customWidth="1" style="249" min="7945" max="7945"/>
    <col width="11.28515625" customWidth="1" style="249" min="7946" max="7948"/>
    <col width="13.7109375" bestFit="1" customWidth="1" style="249" min="7949" max="7949"/>
    <col width="11.28515625" customWidth="1" style="249" min="7950" max="7953"/>
    <col width="9.140625" customWidth="1" style="249" min="7954" max="7955"/>
    <col width="10.85546875" bestFit="1" customWidth="1" style="249" min="7956" max="7956"/>
    <col width="9.140625" customWidth="1" style="249" min="7957" max="8197"/>
    <col width="2" customWidth="1" style="249" min="8198" max="8199"/>
    <col width="31.28515625" customWidth="1" style="249" min="8200" max="8200"/>
    <col width="13" customWidth="1" style="249" min="8201" max="8201"/>
    <col width="11.28515625" customWidth="1" style="249" min="8202" max="8204"/>
    <col width="13.7109375" bestFit="1" customWidth="1" style="249" min="8205" max="8205"/>
    <col width="11.28515625" customWidth="1" style="249" min="8206" max="8209"/>
    <col width="9.140625" customWidth="1" style="249" min="8210" max="8211"/>
    <col width="10.85546875" bestFit="1" customWidth="1" style="249" min="8212" max="8212"/>
    <col width="9.140625" customWidth="1" style="249" min="8213" max="8453"/>
    <col width="2" customWidth="1" style="249" min="8454" max="8455"/>
    <col width="31.28515625" customWidth="1" style="249" min="8456" max="8456"/>
    <col width="13" customWidth="1" style="249" min="8457" max="8457"/>
    <col width="11.28515625" customWidth="1" style="249" min="8458" max="8460"/>
    <col width="13.7109375" bestFit="1" customWidth="1" style="249" min="8461" max="8461"/>
    <col width="11.28515625" customWidth="1" style="249" min="8462" max="8465"/>
    <col width="9.140625" customWidth="1" style="249" min="8466" max="8467"/>
    <col width="10.85546875" bestFit="1" customWidth="1" style="249" min="8468" max="8468"/>
    <col width="9.140625" customWidth="1" style="249" min="8469" max="8709"/>
    <col width="2" customWidth="1" style="249" min="8710" max="8711"/>
    <col width="31.28515625" customWidth="1" style="249" min="8712" max="8712"/>
    <col width="13" customWidth="1" style="249" min="8713" max="8713"/>
    <col width="11.28515625" customWidth="1" style="249" min="8714" max="8716"/>
    <col width="13.7109375" bestFit="1" customWidth="1" style="249" min="8717" max="8717"/>
    <col width="11.28515625" customWidth="1" style="249" min="8718" max="8721"/>
    <col width="9.140625" customWidth="1" style="249" min="8722" max="8723"/>
    <col width="10.85546875" bestFit="1" customWidth="1" style="249" min="8724" max="8724"/>
    <col width="9.140625" customWidth="1" style="249" min="8725" max="8965"/>
    <col width="2" customWidth="1" style="249" min="8966" max="8967"/>
    <col width="31.28515625" customWidth="1" style="249" min="8968" max="8968"/>
    <col width="13" customWidth="1" style="249" min="8969" max="8969"/>
    <col width="11.28515625" customWidth="1" style="249" min="8970" max="8972"/>
    <col width="13.7109375" bestFit="1" customWidth="1" style="249" min="8973" max="8973"/>
    <col width="11.28515625" customWidth="1" style="249" min="8974" max="8977"/>
    <col width="9.140625" customWidth="1" style="249" min="8978" max="8979"/>
    <col width="10.85546875" bestFit="1" customWidth="1" style="249" min="8980" max="8980"/>
    <col width="9.140625" customWidth="1" style="249" min="8981" max="9221"/>
    <col width="2" customWidth="1" style="249" min="9222" max="9223"/>
    <col width="31.28515625" customWidth="1" style="249" min="9224" max="9224"/>
    <col width="13" customWidth="1" style="249" min="9225" max="9225"/>
    <col width="11.28515625" customWidth="1" style="249" min="9226" max="9228"/>
    <col width="13.7109375" bestFit="1" customWidth="1" style="249" min="9229" max="9229"/>
    <col width="11.28515625" customWidth="1" style="249" min="9230" max="9233"/>
    <col width="9.140625" customWidth="1" style="249" min="9234" max="9235"/>
    <col width="10.85546875" bestFit="1" customWidth="1" style="249" min="9236" max="9236"/>
    <col width="9.140625" customWidth="1" style="249" min="9237" max="9477"/>
    <col width="2" customWidth="1" style="249" min="9478" max="9479"/>
    <col width="31.28515625" customWidth="1" style="249" min="9480" max="9480"/>
    <col width="13" customWidth="1" style="249" min="9481" max="9481"/>
    <col width="11.28515625" customWidth="1" style="249" min="9482" max="9484"/>
    <col width="13.7109375" bestFit="1" customWidth="1" style="249" min="9485" max="9485"/>
    <col width="11.28515625" customWidth="1" style="249" min="9486" max="9489"/>
    <col width="9.140625" customWidth="1" style="249" min="9490" max="9491"/>
    <col width="10.85546875" bestFit="1" customWidth="1" style="249" min="9492" max="9492"/>
    <col width="9.140625" customWidth="1" style="249" min="9493" max="9733"/>
    <col width="2" customWidth="1" style="249" min="9734" max="9735"/>
    <col width="31.28515625" customWidth="1" style="249" min="9736" max="9736"/>
    <col width="13" customWidth="1" style="249" min="9737" max="9737"/>
    <col width="11.28515625" customWidth="1" style="249" min="9738" max="9740"/>
    <col width="13.7109375" bestFit="1" customWidth="1" style="249" min="9741" max="9741"/>
    <col width="11.28515625" customWidth="1" style="249" min="9742" max="9745"/>
    <col width="9.140625" customWidth="1" style="249" min="9746" max="9747"/>
    <col width="10.85546875" bestFit="1" customWidth="1" style="249" min="9748" max="9748"/>
    <col width="9.140625" customWidth="1" style="249" min="9749" max="9989"/>
    <col width="2" customWidth="1" style="249" min="9990" max="9991"/>
    <col width="31.28515625" customWidth="1" style="249" min="9992" max="9992"/>
    <col width="13" customWidth="1" style="249" min="9993" max="9993"/>
    <col width="11.28515625" customWidth="1" style="249" min="9994" max="9996"/>
    <col width="13.7109375" bestFit="1" customWidth="1" style="249" min="9997" max="9997"/>
    <col width="11.28515625" customWidth="1" style="249" min="9998" max="10001"/>
    <col width="9.140625" customWidth="1" style="249" min="10002" max="10003"/>
    <col width="10.85546875" bestFit="1" customWidth="1" style="249" min="10004" max="10004"/>
    <col width="9.140625" customWidth="1" style="249" min="10005" max="10245"/>
    <col width="2" customWidth="1" style="249" min="10246" max="10247"/>
    <col width="31.28515625" customWidth="1" style="249" min="10248" max="10248"/>
    <col width="13" customWidth="1" style="249" min="10249" max="10249"/>
    <col width="11.28515625" customWidth="1" style="249" min="10250" max="10252"/>
    <col width="13.7109375" bestFit="1" customWidth="1" style="249" min="10253" max="10253"/>
    <col width="11.28515625" customWidth="1" style="249" min="10254" max="10257"/>
    <col width="9.140625" customWidth="1" style="249" min="10258" max="10259"/>
    <col width="10.85546875" bestFit="1" customWidth="1" style="249" min="10260" max="10260"/>
    <col width="9.140625" customWidth="1" style="249" min="10261" max="10501"/>
    <col width="2" customWidth="1" style="249" min="10502" max="10503"/>
    <col width="31.28515625" customWidth="1" style="249" min="10504" max="10504"/>
    <col width="13" customWidth="1" style="249" min="10505" max="10505"/>
    <col width="11.28515625" customWidth="1" style="249" min="10506" max="10508"/>
    <col width="13.7109375" bestFit="1" customWidth="1" style="249" min="10509" max="10509"/>
    <col width="11.28515625" customWidth="1" style="249" min="10510" max="10513"/>
    <col width="9.140625" customWidth="1" style="249" min="10514" max="10515"/>
    <col width="10.85546875" bestFit="1" customWidth="1" style="249" min="10516" max="10516"/>
    <col width="9.140625" customWidth="1" style="249" min="10517" max="10757"/>
    <col width="2" customWidth="1" style="249" min="10758" max="10759"/>
    <col width="31.28515625" customWidth="1" style="249" min="10760" max="10760"/>
    <col width="13" customWidth="1" style="249" min="10761" max="10761"/>
    <col width="11.28515625" customWidth="1" style="249" min="10762" max="10764"/>
    <col width="13.7109375" bestFit="1" customWidth="1" style="249" min="10765" max="10765"/>
    <col width="11.28515625" customWidth="1" style="249" min="10766" max="10769"/>
    <col width="9.140625" customWidth="1" style="249" min="10770" max="10771"/>
    <col width="10.85546875" bestFit="1" customWidth="1" style="249" min="10772" max="10772"/>
    <col width="9.140625" customWidth="1" style="249" min="10773" max="11013"/>
    <col width="2" customWidth="1" style="249" min="11014" max="11015"/>
    <col width="31.28515625" customWidth="1" style="249" min="11016" max="11016"/>
    <col width="13" customWidth="1" style="249" min="11017" max="11017"/>
    <col width="11.28515625" customWidth="1" style="249" min="11018" max="11020"/>
    <col width="13.7109375" bestFit="1" customWidth="1" style="249" min="11021" max="11021"/>
    <col width="11.28515625" customWidth="1" style="249" min="11022" max="11025"/>
    <col width="9.140625" customWidth="1" style="249" min="11026" max="11027"/>
    <col width="10.85546875" bestFit="1" customWidth="1" style="249" min="11028" max="11028"/>
    <col width="9.140625" customWidth="1" style="249" min="11029" max="11269"/>
    <col width="2" customWidth="1" style="249" min="11270" max="11271"/>
    <col width="31.28515625" customWidth="1" style="249" min="11272" max="11272"/>
    <col width="13" customWidth="1" style="249" min="11273" max="11273"/>
    <col width="11.28515625" customWidth="1" style="249" min="11274" max="11276"/>
    <col width="13.7109375" bestFit="1" customWidth="1" style="249" min="11277" max="11277"/>
    <col width="11.28515625" customWidth="1" style="249" min="11278" max="11281"/>
    <col width="9.140625" customWidth="1" style="249" min="11282" max="11283"/>
    <col width="10.85546875" bestFit="1" customWidth="1" style="249" min="11284" max="11284"/>
    <col width="9.140625" customWidth="1" style="249" min="11285" max="11525"/>
    <col width="2" customWidth="1" style="249" min="11526" max="11527"/>
    <col width="31.28515625" customWidth="1" style="249" min="11528" max="11528"/>
    <col width="13" customWidth="1" style="249" min="11529" max="11529"/>
    <col width="11.28515625" customWidth="1" style="249" min="11530" max="11532"/>
    <col width="13.7109375" bestFit="1" customWidth="1" style="249" min="11533" max="11533"/>
    <col width="11.28515625" customWidth="1" style="249" min="11534" max="11537"/>
    <col width="9.140625" customWidth="1" style="249" min="11538" max="11539"/>
    <col width="10.85546875" bestFit="1" customWidth="1" style="249" min="11540" max="11540"/>
    <col width="9.140625" customWidth="1" style="249" min="11541" max="11781"/>
    <col width="2" customWidth="1" style="249" min="11782" max="11783"/>
    <col width="31.28515625" customWidth="1" style="249" min="11784" max="11784"/>
    <col width="13" customWidth="1" style="249" min="11785" max="11785"/>
    <col width="11.28515625" customWidth="1" style="249" min="11786" max="11788"/>
    <col width="13.7109375" bestFit="1" customWidth="1" style="249" min="11789" max="11789"/>
    <col width="11.28515625" customWidth="1" style="249" min="11790" max="11793"/>
    <col width="9.140625" customWidth="1" style="249" min="11794" max="11795"/>
    <col width="10.85546875" bestFit="1" customWidth="1" style="249" min="11796" max="11796"/>
    <col width="9.140625" customWidth="1" style="249" min="11797" max="12037"/>
    <col width="2" customWidth="1" style="249" min="12038" max="12039"/>
    <col width="31.28515625" customWidth="1" style="249" min="12040" max="12040"/>
    <col width="13" customWidth="1" style="249" min="12041" max="12041"/>
    <col width="11.28515625" customWidth="1" style="249" min="12042" max="12044"/>
    <col width="13.7109375" bestFit="1" customWidth="1" style="249" min="12045" max="12045"/>
    <col width="11.28515625" customWidth="1" style="249" min="12046" max="12049"/>
    <col width="9.140625" customWidth="1" style="249" min="12050" max="12051"/>
    <col width="10.85546875" bestFit="1" customWidth="1" style="249" min="12052" max="12052"/>
    <col width="9.140625" customWidth="1" style="249" min="12053" max="12293"/>
    <col width="2" customWidth="1" style="249" min="12294" max="12295"/>
    <col width="31.28515625" customWidth="1" style="249" min="12296" max="12296"/>
    <col width="13" customWidth="1" style="249" min="12297" max="12297"/>
    <col width="11.28515625" customWidth="1" style="249" min="12298" max="12300"/>
    <col width="13.7109375" bestFit="1" customWidth="1" style="249" min="12301" max="12301"/>
    <col width="11.28515625" customWidth="1" style="249" min="12302" max="12305"/>
    <col width="9.140625" customWidth="1" style="249" min="12306" max="12307"/>
    <col width="10.85546875" bestFit="1" customWidth="1" style="249" min="12308" max="12308"/>
    <col width="9.140625" customWidth="1" style="249" min="12309" max="12549"/>
    <col width="2" customWidth="1" style="249" min="12550" max="12551"/>
    <col width="31.28515625" customWidth="1" style="249" min="12552" max="12552"/>
    <col width="13" customWidth="1" style="249" min="12553" max="12553"/>
    <col width="11.28515625" customWidth="1" style="249" min="12554" max="12556"/>
    <col width="13.7109375" bestFit="1" customWidth="1" style="249" min="12557" max="12557"/>
    <col width="11.28515625" customWidth="1" style="249" min="12558" max="12561"/>
    <col width="9.140625" customWidth="1" style="249" min="12562" max="12563"/>
    <col width="10.85546875" bestFit="1" customWidth="1" style="249" min="12564" max="12564"/>
    <col width="9.140625" customWidth="1" style="249" min="12565" max="12805"/>
    <col width="2" customWidth="1" style="249" min="12806" max="12807"/>
    <col width="31.28515625" customWidth="1" style="249" min="12808" max="12808"/>
    <col width="13" customWidth="1" style="249" min="12809" max="12809"/>
    <col width="11.28515625" customWidth="1" style="249" min="12810" max="12812"/>
    <col width="13.7109375" bestFit="1" customWidth="1" style="249" min="12813" max="12813"/>
    <col width="11.28515625" customWidth="1" style="249" min="12814" max="12817"/>
    <col width="9.140625" customWidth="1" style="249" min="12818" max="12819"/>
    <col width="10.85546875" bestFit="1" customWidth="1" style="249" min="12820" max="12820"/>
    <col width="9.140625" customWidth="1" style="249" min="12821" max="13061"/>
    <col width="2" customWidth="1" style="249" min="13062" max="13063"/>
    <col width="31.28515625" customWidth="1" style="249" min="13064" max="13064"/>
    <col width="13" customWidth="1" style="249" min="13065" max="13065"/>
    <col width="11.28515625" customWidth="1" style="249" min="13066" max="13068"/>
    <col width="13.7109375" bestFit="1" customWidth="1" style="249" min="13069" max="13069"/>
    <col width="11.28515625" customWidth="1" style="249" min="13070" max="13073"/>
    <col width="9.140625" customWidth="1" style="249" min="13074" max="13075"/>
    <col width="10.85546875" bestFit="1" customWidth="1" style="249" min="13076" max="13076"/>
    <col width="9.140625" customWidth="1" style="249" min="13077" max="13317"/>
    <col width="2" customWidth="1" style="249" min="13318" max="13319"/>
    <col width="31.28515625" customWidth="1" style="249" min="13320" max="13320"/>
    <col width="13" customWidth="1" style="249" min="13321" max="13321"/>
    <col width="11.28515625" customWidth="1" style="249" min="13322" max="13324"/>
    <col width="13.7109375" bestFit="1" customWidth="1" style="249" min="13325" max="13325"/>
    <col width="11.28515625" customWidth="1" style="249" min="13326" max="13329"/>
    <col width="9.140625" customWidth="1" style="249" min="13330" max="13331"/>
    <col width="10.85546875" bestFit="1" customWidth="1" style="249" min="13332" max="13332"/>
    <col width="9.140625" customWidth="1" style="249" min="13333" max="13573"/>
    <col width="2" customWidth="1" style="249" min="13574" max="13575"/>
    <col width="31.28515625" customWidth="1" style="249" min="13576" max="13576"/>
    <col width="13" customWidth="1" style="249" min="13577" max="13577"/>
    <col width="11.28515625" customWidth="1" style="249" min="13578" max="13580"/>
    <col width="13.7109375" bestFit="1" customWidth="1" style="249" min="13581" max="13581"/>
    <col width="11.28515625" customWidth="1" style="249" min="13582" max="13585"/>
    <col width="9.140625" customWidth="1" style="249" min="13586" max="13587"/>
    <col width="10.85546875" bestFit="1" customWidth="1" style="249" min="13588" max="13588"/>
    <col width="9.140625" customWidth="1" style="249" min="13589" max="13829"/>
    <col width="2" customWidth="1" style="249" min="13830" max="13831"/>
    <col width="31.28515625" customWidth="1" style="249" min="13832" max="13832"/>
    <col width="13" customWidth="1" style="249" min="13833" max="13833"/>
    <col width="11.28515625" customWidth="1" style="249" min="13834" max="13836"/>
    <col width="13.7109375" bestFit="1" customWidth="1" style="249" min="13837" max="13837"/>
    <col width="11.28515625" customWidth="1" style="249" min="13838" max="13841"/>
    <col width="9.140625" customWidth="1" style="249" min="13842" max="13843"/>
    <col width="10.85546875" bestFit="1" customWidth="1" style="249" min="13844" max="13844"/>
    <col width="9.140625" customWidth="1" style="249" min="13845" max="14085"/>
    <col width="2" customWidth="1" style="249" min="14086" max="14087"/>
    <col width="31.28515625" customWidth="1" style="249" min="14088" max="14088"/>
    <col width="13" customWidth="1" style="249" min="14089" max="14089"/>
    <col width="11.28515625" customWidth="1" style="249" min="14090" max="14092"/>
    <col width="13.7109375" bestFit="1" customWidth="1" style="249" min="14093" max="14093"/>
    <col width="11.28515625" customWidth="1" style="249" min="14094" max="14097"/>
    <col width="9.140625" customWidth="1" style="249" min="14098" max="14099"/>
    <col width="10.85546875" bestFit="1" customWidth="1" style="249" min="14100" max="14100"/>
    <col width="9.140625" customWidth="1" style="249" min="14101" max="14341"/>
    <col width="2" customWidth="1" style="249" min="14342" max="14343"/>
    <col width="31.28515625" customWidth="1" style="249" min="14344" max="14344"/>
    <col width="13" customWidth="1" style="249" min="14345" max="14345"/>
    <col width="11.28515625" customWidth="1" style="249" min="14346" max="14348"/>
    <col width="13.7109375" bestFit="1" customWidth="1" style="249" min="14349" max="14349"/>
    <col width="11.28515625" customWidth="1" style="249" min="14350" max="14353"/>
    <col width="9.140625" customWidth="1" style="249" min="14354" max="14355"/>
    <col width="10.85546875" bestFit="1" customWidth="1" style="249" min="14356" max="14356"/>
    <col width="9.140625" customWidth="1" style="249" min="14357" max="14597"/>
    <col width="2" customWidth="1" style="249" min="14598" max="14599"/>
    <col width="31.28515625" customWidth="1" style="249" min="14600" max="14600"/>
    <col width="13" customWidth="1" style="249" min="14601" max="14601"/>
    <col width="11.28515625" customWidth="1" style="249" min="14602" max="14604"/>
    <col width="13.7109375" bestFit="1" customWidth="1" style="249" min="14605" max="14605"/>
    <col width="11.28515625" customWidth="1" style="249" min="14606" max="14609"/>
    <col width="9.140625" customWidth="1" style="249" min="14610" max="14611"/>
    <col width="10.85546875" bestFit="1" customWidth="1" style="249" min="14612" max="14612"/>
    <col width="9.140625" customWidth="1" style="249" min="14613" max="14853"/>
    <col width="2" customWidth="1" style="249" min="14854" max="14855"/>
    <col width="31.28515625" customWidth="1" style="249" min="14856" max="14856"/>
    <col width="13" customWidth="1" style="249" min="14857" max="14857"/>
    <col width="11.28515625" customWidth="1" style="249" min="14858" max="14860"/>
    <col width="13.7109375" bestFit="1" customWidth="1" style="249" min="14861" max="14861"/>
    <col width="11.28515625" customWidth="1" style="249" min="14862" max="14865"/>
    <col width="9.140625" customWidth="1" style="249" min="14866" max="14867"/>
    <col width="10.85546875" bestFit="1" customWidth="1" style="249" min="14868" max="14868"/>
    <col width="9.140625" customWidth="1" style="249" min="14869" max="15109"/>
    <col width="2" customWidth="1" style="249" min="15110" max="15111"/>
    <col width="31.28515625" customWidth="1" style="249" min="15112" max="15112"/>
    <col width="13" customWidth="1" style="249" min="15113" max="15113"/>
    <col width="11.28515625" customWidth="1" style="249" min="15114" max="15116"/>
    <col width="13.7109375" bestFit="1" customWidth="1" style="249" min="15117" max="15117"/>
    <col width="11.28515625" customWidth="1" style="249" min="15118" max="15121"/>
    <col width="9.140625" customWidth="1" style="249" min="15122" max="15123"/>
    <col width="10.85546875" bestFit="1" customWidth="1" style="249" min="15124" max="15124"/>
    <col width="9.140625" customWidth="1" style="249" min="15125" max="15365"/>
    <col width="2" customWidth="1" style="249" min="15366" max="15367"/>
    <col width="31.28515625" customWidth="1" style="249" min="15368" max="15368"/>
    <col width="13" customWidth="1" style="249" min="15369" max="15369"/>
    <col width="11.28515625" customWidth="1" style="249" min="15370" max="15372"/>
    <col width="13.7109375" bestFit="1" customWidth="1" style="249" min="15373" max="15373"/>
    <col width="11.28515625" customWidth="1" style="249" min="15374" max="15377"/>
    <col width="9.140625" customWidth="1" style="249" min="15378" max="15379"/>
    <col width="10.85546875" bestFit="1" customWidth="1" style="249" min="15380" max="15380"/>
    <col width="9.140625" customWidth="1" style="249" min="15381" max="15621"/>
    <col width="2" customWidth="1" style="249" min="15622" max="15623"/>
    <col width="31.28515625" customWidth="1" style="249" min="15624" max="15624"/>
    <col width="13" customWidth="1" style="249" min="15625" max="15625"/>
    <col width="11.28515625" customWidth="1" style="249" min="15626" max="15628"/>
    <col width="13.7109375" bestFit="1" customWidth="1" style="249" min="15629" max="15629"/>
    <col width="11.28515625" customWidth="1" style="249" min="15630" max="15633"/>
    <col width="9.140625" customWidth="1" style="249" min="15634" max="15635"/>
    <col width="10.85546875" bestFit="1" customWidth="1" style="249" min="15636" max="15636"/>
    <col width="9.140625" customWidth="1" style="249" min="15637" max="15877"/>
    <col width="2" customWidth="1" style="249" min="15878" max="15879"/>
    <col width="31.28515625" customWidth="1" style="249" min="15880" max="15880"/>
    <col width="13" customWidth="1" style="249" min="15881" max="15881"/>
    <col width="11.28515625" customWidth="1" style="249" min="15882" max="15884"/>
    <col width="13.7109375" bestFit="1" customWidth="1" style="249" min="15885" max="15885"/>
    <col width="11.28515625" customWidth="1" style="249" min="15886" max="15889"/>
    <col width="9.140625" customWidth="1" style="249" min="15890" max="15891"/>
    <col width="10.85546875" bestFit="1" customWidth="1" style="249" min="15892" max="15892"/>
    <col width="9.140625" customWidth="1" style="249" min="15893" max="16133"/>
    <col width="2" customWidth="1" style="249" min="16134" max="16135"/>
    <col width="31.28515625" customWidth="1" style="249" min="16136" max="16136"/>
    <col width="13" customWidth="1" style="249" min="16137" max="16137"/>
    <col width="11.28515625" customWidth="1" style="249" min="16138" max="16140"/>
    <col width="13.7109375" bestFit="1" customWidth="1" style="249" min="16141" max="16141"/>
    <col width="11.28515625" customWidth="1" style="249" min="16142" max="16145"/>
    <col width="9.140625" customWidth="1" style="249" min="16146" max="16147"/>
    <col width="10.85546875" bestFit="1" customWidth="1" style="249" min="16148" max="16148"/>
    <col width="9.140625" customWidth="1" style="249" min="16149" max="16384"/>
  </cols>
  <sheetData>
    <row r="1" outlineLevel="1" ht="6.75" customFormat="1" customHeight="1" s="58"/>
    <row r="2" outlineLevel="1" ht="6.75" customFormat="1" customHeight="1" s="58"/>
    <row r="3" outlineLevel="1">
      <c r="C3" s="249" t="str">
        <f>"Discounted Cash Flow Model for "&amp;ticker</f>
        <v>Discounted Cash Flow Model for </v>
      </c>
    </row>
    <row r="4" outlineLevel="1" ht="13.5" customHeight="1" thickBot="1">
      <c r="C4" s="60" t="inlineStr">
        <is>
          <t>All figures in millions, except per share data</t>
        </is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</row>
    <row r="5" outlineLevel="1"/>
    <row r="6" outlineLevel="1"/>
    <row r="7" outlineLevel="1">
      <c r="C7" s="249" t="inlineStr">
        <is>
          <t>Ticker</t>
        </is>
      </c>
      <c r="D7" s="61" t="n"/>
      <c r="F7" s="249" t="inlineStr">
        <is>
          <t>Last close</t>
        </is>
      </c>
      <c r="G7" s="62" t="n"/>
    </row>
    <row r="8" outlineLevel="1">
      <c r="C8" s="249" t="inlineStr">
        <is>
          <t>Operating scenario:</t>
        </is>
      </c>
      <c r="D8" s="63" t="str">
        <f>IF(scenario=2,"Base Case",IF(scenario=1,"Bull Case","Bear Case"))</f>
        <v>Base Case</v>
      </c>
      <c r="E8" s="261" t="n">
        <v>2</v>
      </c>
      <c r="F8" t="inlineStr">
        <is>
          <t>1 = Bull, 2 = Base, 3 = Bear</t>
        </is>
      </c>
    </row>
    <row r="9" outlineLevel="1">
      <c r="C9" s="249" t="inlineStr">
        <is>
          <t>Last fiscal year end date:</t>
        </is>
      </c>
      <c r="D9" s="64" t="n">
        <v>46022</v>
      </c>
    </row>
    <row r="10" outlineLevel="1">
      <c r="C10" s="249" t="inlineStr">
        <is>
          <t>Valuation / deal date:</t>
        </is>
      </c>
      <c r="D10" s="64" t="n">
        <v>46292</v>
      </c>
    </row>
    <row r="11" outlineLevel="1">
      <c r="C11" s="249" t="inlineStr">
        <is>
          <t>Stub year fraction:</t>
        </is>
      </c>
      <c r="D11" s="65">
        <f>1-(D10-D9)/365</f>
        <v>0.26027397260274</v>
      </c>
      <c r="E11" s="66" t="n"/>
      <c r="I11" s="67" t="n"/>
      <c r="O11" s="68" t="n"/>
      <c r="Z11" s="69" t="n"/>
    </row>
    <row r="12" outlineLevel="1">
      <c r="C12" s="249" t="inlineStr">
        <is>
          <t>Weighted average cost of capital:</t>
        </is>
      </c>
      <c r="D12" s="65" t="e">
        <f>J93</f>
        <v>#DIV/0!</v>
      </c>
      <c r="I12" s="67" t="n"/>
    </row>
    <row r="13" outlineLevel="1">
      <c r="D13" s="65" t="n"/>
      <c r="E13" s="65" t="n"/>
    </row>
    <row r="14">
      <c r="C14" s="70" t="inlineStr">
        <is>
          <t>Historicals</t>
        </is>
      </c>
      <c r="D14" s="70" t="n"/>
      <c r="E14" s="70" t="n"/>
      <c r="F14" s="70" t="n"/>
      <c r="G14" s="248" t="inlineStr">
        <is>
          <t>Projected Annual Forecast</t>
        </is>
      </c>
    </row>
    <row r="15">
      <c r="C15" s="71" t="n"/>
      <c r="D15" s="71" t="n"/>
      <c r="E15" s="71" t="n"/>
      <c r="F15" s="71" t="n"/>
      <c r="G15" s="72" t="inlineStr">
        <is>
          <t>Granular</t>
        </is>
      </c>
      <c r="H15" s="73" t="n"/>
      <c r="I15" s="73" t="n"/>
      <c r="J15" s="73" t="n"/>
      <c r="K15" s="73" t="n"/>
      <c r="L15" s="73" t="n"/>
      <c r="M15" s="74" t="inlineStr">
        <is>
          <t>Synthetic</t>
        </is>
      </c>
      <c r="N15" s="75" t="n"/>
      <c r="O15" s="75" t="n"/>
      <c r="P15" s="75" t="n"/>
      <c r="Q15" s="75" t="n"/>
      <c r="R15" s="75" t="n"/>
      <c r="S15" s="252" t="inlineStr">
        <is>
          <t>Fora do horizonte do Model (projecao vai ate 2037)</t>
        </is>
      </c>
      <c r="T15" s="75" t="n"/>
      <c r="U15" s="75" t="n"/>
      <c r="V15" s="75" t="n"/>
      <c r="X15" s="76" t="inlineStr">
        <is>
          <t>CAGR</t>
        </is>
      </c>
      <c r="Y15" s="77" t="n"/>
      <c r="Z15" s="77" t="n"/>
    </row>
    <row r="16">
      <c r="D16" s="78">
        <f>YEAR(D17)</f>
        <v>2023</v>
      </c>
      <c r="E16" s="78">
        <f>YEAR(E17)</f>
        <v>2024</v>
      </c>
      <c r="F16" s="78">
        <f>YEAR(F17)</f>
        <v>2025</v>
      </c>
      <c r="G16" s="78">
        <f>YEAR(G17)</f>
        <v>2026</v>
      </c>
      <c r="H16" s="78">
        <f>YEAR(H17)</f>
        <v>2027</v>
      </c>
      <c r="I16" s="78">
        <f>YEAR(I17)</f>
        <v>2028</v>
      </c>
      <c r="J16" s="78">
        <f>YEAR(J17)</f>
        <v>2029</v>
      </c>
      <c r="K16" s="78">
        <f>YEAR(K17)</f>
        <v>2030</v>
      </c>
      <c r="L16" s="78">
        <f>YEAR(L17)</f>
        <v>2031</v>
      </c>
      <c r="M16" s="78">
        <f>YEAR(M17)</f>
        <v>2032</v>
      </c>
      <c r="N16" s="78">
        <f>YEAR(N17)</f>
        <v>2033</v>
      </c>
      <c r="O16" s="78">
        <f>YEAR(O17)</f>
        <v>2034</v>
      </c>
      <c r="P16" s="78">
        <f>YEAR(P17)</f>
        <v>2035</v>
      </c>
      <c r="Q16" s="78">
        <f>YEAR(Q17)</f>
        <v>2036</v>
      </c>
      <c r="R16" s="78">
        <f>YEAR(R17)</f>
        <v>2037</v>
      </c>
      <c r="S16" s="253">
        <f>YEAR(S17)</f>
        <v>2038</v>
      </c>
      <c r="T16" s="253">
        <f>YEAR(T17)</f>
        <v>2039</v>
      </c>
      <c r="U16" s="253">
        <f>YEAR(U17)</f>
        <v>2040</v>
      </c>
      <c r="V16" s="253">
        <f>YEAR(V17)</f>
        <v>2041</v>
      </c>
      <c r="W16" s="78" t="n"/>
      <c r="X16" s="77" t="str">
        <f>F16&amp;"-"&amp;L16</f>
        <v>2025-2031</v>
      </c>
      <c r="Y16" s="77" t="str">
        <f>L16&amp;"-"&amp;R16</f>
        <v>2031-2037</v>
      </c>
      <c r="Z16" s="77" t="n"/>
    </row>
    <row r="17" outlineLevel="1">
      <c r="C17" s="79" t="n"/>
      <c r="D17" s="80">
        <f>DATE(YEAR(E17)-1,MONTH(E17),DAY(E17))</f>
        <v>45291.0</v>
      </c>
      <c r="E17" s="80">
        <f>DATE(YEAR(F17)-1,MONTH(F17),DAY(F17))</f>
        <v>45657.0</v>
      </c>
      <c r="F17" s="80">
        <f>DATE(YEAR(G17)-1,MONTH(G17),DAY(G17))</f>
        <v>46022.0</v>
      </c>
      <c r="G17" s="80">
        <f>DATE(YEAR(D9)+1,MONTH(D9),DAY(D9))</f>
        <v>46387.0</v>
      </c>
      <c r="H17" s="80">
        <f>DATE(YEAR(G17)+1,MONTH(G17),DAY(G17))</f>
        <v>46752.0</v>
      </c>
      <c r="I17" s="80">
        <f>DATE(YEAR(H17)+1,MONTH(H17),DAY(H17))</f>
        <v>47118.0</v>
      </c>
      <c r="J17" s="80">
        <f>DATE(YEAR(I17)+1,MONTH(I17),DAY(I17))</f>
        <v>47483.0</v>
      </c>
      <c r="K17" s="80">
        <f>DATE(YEAR(J17)+1,MONTH(J17),DAY(J17))</f>
        <v>47848.0</v>
      </c>
      <c r="L17" s="80">
        <f>DATE(YEAR(K17)+1,MONTH(K17),DAY(K17))</f>
        <v>48213.0</v>
      </c>
      <c r="M17" s="80">
        <f>DATE(YEAR(L17)+1,MONTH(L17),DAY(L17))</f>
        <v>48579.0</v>
      </c>
      <c r="N17" s="80">
        <f>DATE(YEAR(M17)+1,MONTH(M17),DAY(M17))</f>
        <v>48944.0</v>
      </c>
      <c r="O17" s="80">
        <f>DATE(YEAR(N17)+1,MONTH(N17),DAY(N17))</f>
        <v>49309.0</v>
      </c>
      <c r="P17" s="80">
        <f>DATE(YEAR(O17)+1,MONTH(O17),DAY(O17))</f>
        <v>49674.0</v>
      </c>
      <c r="Q17" s="80">
        <f>DATE(YEAR(P17)+1,MONTH(P17),DAY(P17))</f>
        <v>50040.0</v>
      </c>
      <c r="R17" s="80">
        <f>DATE(YEAR(Q17)+1,MONTH(Q17),DAY(Q17))</f>
        <v>50405.0</v>
      </c>
      <c r="S17" s="80">
        <f>DATE(YEAR(R17)+1,MONTH(R17),DAY(R17))</f>
        <v>50770.0</v>
      </c>
      <c r="T17" s="80">
        <f>DATE(YEAR(S17)+1,MONTH(S17),DAY(S17))</f>
        <v>51135.0</v>
      </c>
      <c r="U17" s="80">
        <f>DATE(YEAR(T17)+1,MONTH(T17),DAY(T17))</f>
        <v>51501.0</v>
      </c>
      <c r="V17" s="80">
        <f>DATE(YEAR(U17)+1,MONTH(U17),DAY(U17))</f>
        <v>51866.0</v>
      </c>
      <c r="W17" s="81" t="n"/>
      <c r="X17" s="77" t="n"/>
      <c r="Y17" s="77" t="n"/>
      <c r="Z17" s="77" t="n"/>
    </row>
    <row r="18">
      <c r="C18" s="82" t="inlineStr">
        <is>
          <t>Net Revenues</t>
        </is>
      </c>
      <c r="D18" s="83">
        <f>Model!W15</f>
        <v>34124.1</v>
      </c>
      <c r="E18" s="83">
        <f>Model!AB15</f>
        <v>45042.7</v>
      </c>
      <c r="F18" s="83">
        <f>Model!AG15</f>
        <v>65179.8</v>
      </c>
      <c r="G18" s="83">
        <f>Model!AL15</f>
        <v>79665.8</v>
      </c>
      <c r="H18" s="83">
        <f>Model!AQ15</f>
        <v>79665.8</v>
      </c>
      <c r="I18" s="83">
        <f>Model!AV15</f>
        <v>79665.8</v>
      </c>
      <c r="J18" s="83">
        <f>Model!BA15</f>
        <v>79665.8</v>
      </c>
      <c r="K18" s="83">
        <f>Model!BF15</f>
        <v>79665.8</v>
      </c>
      <c r="L18" s="83">
        <f>Model!BK15</f>
        <v>79665.8</v>
      </c>
      <c r="M18" s="83">
        <f>Model!BP15</f>
        <v>79665.8</v>
      </c>
      <c r="N18" s="83">
        <f>Model!BU15</f>
        <v>79665.8</v>
      </c>
      <c r="O18" s="83">
        <f>Model!BZ15</f>
        <v>79665.8</v>
      </c>
      <c r="P18" s="83">
        <f>Model!CE15</f>
        <v>79665.8</v>
      </c>
      <c r="Q18" s="83">
        <f>Model!CJ15</f>
        <v>79665.8</v>
      </c>
      <c r="R18" s="83">
        <f>Model!CO15</f>
        <v>79665.8</v>
      </c>
      <c r="S18" s="83" t="n"/>
      <c r="T18" s="83" t="n"/>
      <c r="U18" s="83" t="n"/>
      <c r="V18" s="84" t="n"/>
      <c r="X18" s="85">
        <f>((L18/F18)^(1/6))-1</f>
        <v>0.0340141526352713</v>
      </c>
      <c r="Y18" s="85">
        <f>((R18/L18)^(1/6))-1</f>
        <v>0</v>
      </c>
      <c r="Z18" s="77" t="n"/>
    </row>
    <row r="19">
      <c r="C19" s="86" t="n"/>
      <c r="D19" s="79" t="n"/>
      <c r="E19" s="87">
        <f>E18/D18-1</f>
        <v>0.319967413059978</v>
      </c>
      <c r="F19" s="87">
        <f>F18/E18-1</f>
        <v>0.447066894302518</v>
      </c>
      <c r="G19" s="87">
        <f>G18/F18-1</f>
        <v>0.222246769704725</v>
      </c>
      <c r="H19" s="87">
        <f>H18/G18-1</f>
        <v>0</v>
      </c>
      <c r="I19" s="87">
        <f>I18/H18-1</f>
        <v>0</v>
      </c>
      <c r="J19" s="87">
        <f>J18/I18-1</f>
        <v>0</v>
      </c>
      <c r="K19" s="87">
        <f>K18/J18-1</f>
        <v>0</v>
      </c>
      <c r="L19" s="87">
        <f>L18/K18-1</f>
        <v>0</v>
      </c>
      <c r="M19" s="87">
        <f>M18/L18-1</f>
        <v>0</v>
      </c>
      <c r="N19" s="87">
        <f>N18/M18-1</f>
        <v>0</v>
      </c>
      <c r="O19" s="87">
        <f>O18/N18-1</f>
        <v>0</v>
      </c>
      <c r="P19" s="87">
        <f>P18/O18-1</f>
        <v>0</v>
      </c>
      <c r="Q19" s="87">
        <f>Q18/P18-1</f>
        <v>0</v>
      </c>
      <c r="R19" s="87">
        <f>R18/Q18-1</f>
        <v>0</v>
      </c>
      <c r="S19" s="87" t="n"/>
      <c r="T19" s="87" t="n"/>
      <c r="U19" s="87" t="n"/>
      <c r="V19" s="88" t="n"/>
      <c r="X19" s="77" t="n"/>
      <c r="Y19" s="77" t="n"/>
      <c r="Z19" s="77" t="n"/>
    </row>
    <row r="20" outlineLevel="1">
      <c r="C20" s="89" t="inlineStr">
        <is>
          <t>EBITDA</t>
        </is>
      </c>
      <c r="D20" s="83">
        <f>Model!W64</f>
        <v>1527.3</v>
      </c>
      <c r="E20" s="83">
        <f>Model!AB64</f>
        <v>1766.6</v>
      </c>
      <c r="F20" s="83">
        <f>Model!AG64</f>
        <v>1997</v>
      </c>
      <c r="G20" s="83">
        <f>Model!AL64</f>
        <v>1043</v>
      </c>
      <c r="H20" s="83">
        <f>Model!AQ64</f>
        <v>0</v>
      </c>
      <c r="I20" s="83">
        <f>Model!BA64</f>
        <v>0</v>
      </c>
      <c r="J20" s="83">
        <f>Model!BA64</f>
        <v>0</v>
      </c>
      <c r="K20" s="83">
        <f>Model!BF64</f>
        <v>0</v>
      </c>
      <c r="L20" s="83">
        <f>Model!BK64</f>
        <v>0</v>
      </c>
      <c r="M20" s="90" t="n"/>
      <c r="N20" s="90" t="n"/>
      <c r="O20" s="90" t="n"/>
      <c r="P20" s="90" t="n"/>
      <c r="Q20" s="90" t="n"/>
      <c r="R20" s="90" t="n"/>
      <c r="S20" s="90" t="n"/>
      <c r="T20" s="90" t="n"/>
      <c r="U20" s="90" t="n"/>
      <c r="V20" s="91" t="n"/>
      <c r="X20" s="77" t="n"/>
      <c r="Y20" s="77" t="n"/>
      <c r="Z20" s="77" t="n"/>
    </row>
    <row r="21" outlineLevel="1">
      <c r="C21" s="86" t="n"/>
      <c r="D21" s="92">
        <f>D20/D18</f>
        <v>0.044757224366357</v>
      </c>
      <c r="E21" s="92">
        <f>E20/E18</f>
        <v>0.0392205618224484</v>
      </c>
      <c r="F21" s="92">
        <f>F20/F18</f>
        <v>0.0306383265981178</v>
      </c>
      <c r="G21" s="92">
        <f>G20/G18</f>
        <v>0.0130921926347316</v>
      </c>
      <c r="H21" s="92">
        <f>H20/H18</f>
        <v>0</v>
      </c>
      <c r="I21" s="92">
        <f>I20/I18</f>
        <v>0</v>
      </c>
      <c r="J21" s="92">
        <f>J20/J18</f>
        <v>0</v>
      </c>
      <c r="K21" s="92">
        <f>K20/K18</f>
        <v>0</v>
      </c>
      <c r="L21" s="92">
        <f>L20/L18</f>
        <v>0</v>
      </c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93" t="n"/>
      <c r="X21" s="85" t="n"/>
      <c r="Y21" s="85" t="n"/>
      <c r="Z21" s="77" t="n"/>
    </row>
    <row r="22" outlineLevel="1">
      <c r="C22" s="82" t="inlineStr">
        <is>
          <t>EBIT</t>
        </is>
      </c>
      <c r="D22" s="83">
        <f>Model!W68</f>
        <v>0</v>
      </c>
      <c r="E22" s="83">
        <f>Model!AB68</f>
        <v>0</v>
      </c>
      <c r="F22" s="83">
        <f>Model!AG68</f>
        <v>0</v>
      </c>
      <c r="G22" s="83">
        <f>Model!AL68</f>
        <v>0</v>
      </c>
      <c r="H22" s="83">
        <f>Model!AQ68</f>
        <v>0</v>
      </c>
      <c r="I22" s="83">
        <f>Model!AV68</f>
        <v>0</v>
      </c>
      <c r="J22" s="83">
        <f>Model!BA68</f>
        <v>0</v>
      </c>
      <c r="K22" s="83">
        <f>Model!BF68</f>
        <v>0</v>
      </c>
      <c r="L22" s="83">
        <f>Model!BK68</f>
        <v>0</v>
      </c>
      <c r="M22" s="83">
        <f>Model!BP68</f>
        <v>0</v>
      </c>
      <c r="N22" s="83">
        <f>Model!BU68</f>
        <v>0</v>
      </c>
      <c r="O22" s="83">
        <f>Model!BZ68</f>
        <v>0</v>
      </c>
      <c r="P22" s="83">
        <f>Model!CE68</f>
        <v>0</v>
      </c>
      <c r="Q22" s="83">
        <f>Model!CJ68</f>
        <v>0</v>
      </c>
      <c r="R22" s="83">
        <f>Model!CO68</f>
        <v>0</v>
      </c>
      <c r="S22" s="83" t="n"/>
      <c r="T22" s="83" t="n"/>
      <c r="U22" s="83" t="n"/>
      <c r="V22" s="84" t="n"/>
      <c r="X22" s="85" t="e">
        <f>((L22/F22)^(1/6))-1</f>
        <v>#DIV/0!</v>
      </c>
      <c r="Y22" s="85" t="e">
        <f>((R22/L22)^(1/6))-1</f>
        <v>#DIV/0!</v>
      </c>
      <c r="Z22" s="77" t="n"/>
    </row>
    <row r="23" outlineLevel="1">
      <c r="C23" s="86" t="n"/>
      <c r="D23" s="92">
        <f>D22/D18</f>
        <v>0</v>
      </c>
      <c r="E23" s="92">
        <f>E22/E18</f>
        <v>0</v>
      </c>
      <c r="F23" s="92">
        <f>F22/F18</f>
        <v>0</v>
      </c>
      <c r="G23" s="92">
        <f>G22/G18</f>
        <v>0</v>
      </c>
      <c r="H23" s="92">
        <f>H22/H18</f>
        <v>0</v>
      </c>
      <c r="I23" s="92">
        <f>I22/I18</f>
        <v>0</v>
      </c>
      <c r="J23" s="92">
        <f>J22/J18</f>
        <v>0</v>
      </c>
      <c r="K23" s="92">
        <f>K22/K18</f>
        <v>0</v>
      </c>
      <c r="L23" s="92">
        <f>L22/L18</f>
        <v>0</v>
      </c>
      <c r="M23" s="92">
        <f>M22/M18</f>
        <v>0</v>
      </c>
      <c r="N23" s="92">
        <f>N22/N18</f>
        <v>0</v>
      </c>
      <c r="O23" s="92">
        <f>O22/O18</f>
        <v>0</v>
      </c>
      <c r="P23" s="92">
        <f>P22/P18</f>
        <v>0</v>
      </c>
      <c r="Q23" s="92">
        <f>Q22/Q18</f>
        <v>0</v>
      </c>
      <c r="R23" s="92">
        <f>R22/R18</f>
        <v>0</v>
      </c>
      <c r="S23" s="92" t="n"/>
      <c r="T23" s="92" t="n"/>
      <c r="U23" s="92" t="n"/>
      <c r="V23" s="94" t="n"/>
      <c r="X23" s="77" t="n"/>
      <c r="Y23" s="77" t="n"/>
      <c r="Z23" s="77" t="n"/>
    </row>
    <row r="24">
      <c r="C24" s="82" t="inlineStr">
        <is>
          <t>Tax rate</t>
        </is>
      </c>
      <c r="D24" s="95">
        <f>Model!W127</f>
        <v>0.20050041192445</v>
      </c>
      <c r="E24" s="95">
        <f>Model!AB127</f>
        <v>0.164852843758872</v>
      </c>
      <c r="F24" s="95">
        <f>Model!AG127</f>
        <v>0.19786565934493</v>
      </c>
      <c r="G24" s="95">
        <f>Model!AL127</f>
        <v>0.0996297728905344</v>
      </c>
      <c r="H24" s="95">
        <f>Model!AQ127</f>
        <v>0</v>
      </c>
      <c r="I24" s="95">
        <f>Model!AV127</f>
        <v>0</v>
      </c>
      <c r="J24" s="95">
        <f>Model!BA127</f>
        <v>0</v>
      </c>
      <c r="K24" s="95">
        <f>Model!BF127</f>
        <v>0</v>
      </c>
      <c r="L24" s="95">
        <f>Model!BK127</f>
        <v>0</v>
      </c>
      <c r="M24" s="95">
        <f>Model!BP127</f>
        <v>0</v>
      </c>
      <c r="N24" s="95">
        <f>Model!BU127</f>
        <v>0</v>
      </c>
      <c r="O24" s="95">
        <f>Model!BZ127</f>
        <v>0</v>
      </c>
      <c r="P24" s="95">
        <f>Model!CE127</f>
        <v>0</v>
      </c>
      <c r="Q24" s="95">
        <f>Model!CJ127</f>
        <v>0</v>
      </c>
      <c r="R24" s="95">
        <f>Model!CO127</f>
        <v>0</v>
      </c>
      <c r="S24" s="95" t="n"/>
      <c r="T24" s="95" t="n"/>
      <c r="U24" s="95" t="n"/>
      <c r="V24" s="96" t="n"/>
      <c r="X24" s="77" t="n"/>
      <c r="Y24" s="77" t="n"/>
      <c r="Z24" s="77" t="n"/>
    </row>
    <row r="25">
      <c r="C25" s="86" t="inlineStr">
        <is>
          <t>NOPLAT</t>
        </is>
      </c>
      <c r="D25" s="97">
        <f>D22*(1-D24)</f>
        <v>0</v>
      </c>
      <c r="E25" s="97">
        <f>E22*(1-E24)</f>
        <v>0</v>
      </c>
      <c r="F25" s="97">
        <f>F22*(1-F24)</f>
        <v>0</v>
      </c>
      <c r="G25" s="97">
        <f>G22*(1-G24)</f>
        <v>0</v>
      </c>
      <c r="H25" s="97">
        <f>H22*(1-H24)</f>
        <v>0</v>
      </c>
      <c r="I25" s="97">
        <f>I22*(1-I24)</f>
        <v>0</v>
      </c>
      <c r="J25" s="97">
        <f>J22*(1-J24)</f>
        <v>0</v>
      </c>
      <c r="K25" s="97">
        <f>K22*(1-K24)</f>
        <v>0</v>
      </c>
      <c r="L25" s="97">
        <f>L22*(1-L24)</f>
        <v>0</v>
      </c>
      <c r="M25" s="97">
        <f>M22*(1-M24)</f>
        <v>0</v>
      </c>
      <c r="N25" s="97">
        <f>N22*(1-N24)</f>
        <v>0</v>
      </c>
      <c r="O25" s="97">
        <f>O22*(1-O24)</f>
        <v>0</v>
      </c>
      <c r="P25" s="97">
        <f>P22*(1-P24)</f>
        <v>0</v>
      </c>
      <c r="Q25" s="97">
        <f>Q22*(1-Q24)</f>
        <v>0</v>
      </c>
      <c r="R25" s="97">
        <f>R22*(1-R24)</f>
        <v>0</v>
      </c>
      <c r="S25" s="97" t="n"/>
      <c r="T25" s="97" t="n"/>
      <c r="U25" s="97" t="n"/>
      <c r="V25" s="98" t="n"/>
      <c r="X25" s="85" t="n"/>
      <c r="Y25" s="85" t="n"/>
      <c r="Z25" s="77" t="n"/>
    </row>
    <row r="26">
      <c r="C26" s="99" t="inlineStr">
        <is>
          <t>Depreciation &amp; Amortization</t>
        </is>
      </c>
      <c r="D26" s="100">
        <f>Model!W65</f>
        <v>-1527.3</v>
      </c>
      <c r="E26" s="100">
        <f>Model!AB65</f>
        <v>-1766.6</v>
      </c>
      <c r="F26" s="100">
        <f>Model!AG65</f>
        <v>-1997</v>
      </c>
      <c r="G26" s="100">
        <f>Model!AL65</f>
        <v>-1043</v>
      </c>
      <c r="H26" s="100">
        <f>Model!AQ65</f>
        <v>0</v>
      </c>
      <c r="I26" s="100">
        <f>Model!AV65</f>
        <v>0</v>
      </c>
      <c r="J26" s="100">
        <f>Model!BA65</f>
        <v>0</v>
      </c>
      <c r="K26" s="100">
        <f>Model!BF65</f>
        <v>0</v>
      </c>
      <c r="L26" s="101">
        <f>Model!BK65</f>
        <v>0</v>
      </c>
      <c r="X26" s="77" t="n"/>
      <c r="Y26" s="77" t="n"/>
      <c r="Z26" s="77" t="n"/>
    </row>
    <row r="27">
      <c r="C27" s="102" t="inlineStr">
        <is>
          <t>Cash from working capital</t>
        </is>
      </c>
      <c r="D27" s="103">
        <f>SUM(D28:D39)</f>
        <v>-5022.8</v>
      </c>
      <c r="E27" s="103">
        <f>SUM(E28:E39)</f>
        <v>-7052.2</v>
      </c>
      <c r="F27" s="103">
        <f>SUM(F28:F39)</f>
        <v>-9200.4</v>
      </c>
      <c r="G27" s="103">
        <f>SUM(G28:G39)</f>
        <v>30083</v>
      </c>
      <c r="H27" s="103" t="e">
        <f>SUM(H28:H39)</f>
        <v>#DIV/0!</v>
      </c>
      <c r="I27" s="103" t="e">
        <f>SUM(I28:I39)</f>
        <v>#DIV/0!</v>
      </c>
      <c r="J27" s="103" t="e">
        <f>SUM(J28:J39)</f>
        <v>#DIV/0!</v>
      </c>
      <c r="K27" s="103" t="e">
        <f>SUM(K28:K39)</f>
        <v>#DIV/0!</v>
      </c>
      <c r="L27" s="104" t="e">
        <f>SUM(L28:L39)</f>
        <v>#DIV/0!</v>
      </c>
      <c r="X27" s="77" t="n"/>
      <c r="Y27" s="77" t="n"/>
      <c r="Z27" s="77" t="n"/>
    </row>
    <row r="28" outlineLevel="1">
      <c r="C28" s="105" t="inlineStr">
        <is>
          <t>Accounts receivable</t>
        </is>
      </c>
      <c r="D28" s="106">
        <f>Model!W275</f>
        <v>-2194.5</v>
      </c>
      <c r="E28" s="106">
        <f>Model!AB275</f>
        <v>-1915.2</v>
      </c>
      <c r="F28" s="106">
        <f>Model!AG275</f>
        <v>-6754.3</v>
      </c>
      <c r="G28" s="106">
        <f>Model!AL275</f>
        <v>17760</v>
      </c>
      <c r="H28" s="106">
        <f>Model!AQ275</f>
        <v>0</v>
      </c>
      <c r="I28" s="106">
        <f>Model!AV275</f>
        <v>0</v>
      </c>
      <c r="J28" s="106">
        <f>Model!BA275</f>
        <v>0</v>
      </c>
      <c r="K28" s="106">
        <f>Model!BF275</f>
        <v>0</v>
      </c>
      <c r="L28" s="107">
        <f>Model!BK275</f>
        <v>0</v>
      </c>
      <c r="X28" s="77" t="n"/>
      <c r="Y28" s="77" t="n"/>
      <c r="Z28" s="77" t="n"/>
    </row>
    <row r="29" outlineLevel="1">
      <c r="C29" s="105" t="inlineStr">
        <is>
          <t>Inventories</t>
        </is>
      </c>
      <c r="D29" s="106">
        <f>Model!W276</f>
        <v>-1463.1</v>
      </c>
      <c r="E29" s="106">
        <f>Model!AB276</f>
        <v>-1816.4</v>
      </c>
      <c r="F29" s="106">
        <f>Model!AG276</f>
        <v>-6154.8</v>
      </c>
      <c r="G29" s="106">
        <f>Model!AL276</f>
        <v>13744</v>
      </c>
      <c r="H29" s="106">
        <f>Model!AQ276</f>
        <v>0</v>
      </c>
      <c r="I29" s="106">
        <f>Model!AV276</f>
        <v>0</v>
      </c>
      <c r="J29" s="106">
        <f>Model!BA276</f>
        <v>0</v>
      </c>
      <c r="K29" s="106">
        <f>Model!BF276</f>
        <v>0</v>
      </c>
      <c r="L29" s="107">
        <f>Model!BK276</f>
        <v>0</v>
      </c>
      <c r="X29" s="77" t="n"/>
      <c r="Y29" s="77" t="n"/>
      <c r="Z29" s="77" t="n"/>
    </row>
    <row r="30" outlineLevel="1">
      <c r="C30" s="105" t="inlineStr">
        <is>
          <t>Deferred income taxes (assets)</t>
        </is>
      </c>
      <c r="D30" s="106">
        <f>Model!W277</f>
        <v>-2684.4</v>
      </c>
      <c r="E30" s="106">
        <f>Model!AB277</f>
        <v>-2523.3</v>
      </c>
      <c r="F30" s="106">
        <f>Model!AG277</f>
        <v>-1958.4</v>
      </c>
      <c r="G30" s="106">
        <f>Model!AL277</f>
        <v>-69</v>
      </c>
      <c r="H30" s="106">
        <f>Model!AQ277</f>
        <v>0</v>
      </c>
      <c r="I30" s="106">
        <f>Model!AV277</f>
        <v>0</v>
      </c>
      <c r="J30" s="106">
        <f>Model!BA277</f>
        <v>0</v>
      </c>
      <c r="K30" s="106">
        <f>Model!BF277</f>
        <v>0</v>
      </c>
      <c r="L30" s="107">
        <f>Model!BK277</f>
        <v>0</v>
      </c>
      <c r="X30" s="77" t="n"/>
      <c r="Y30" s="77" t="n"/>
      <c r="Z30" s="77" t="n"/>
    </row>
    <row r="31" outlineLevel="1">
      <c r="C31" s="105" t="inlineStr">
        <is>
          <t>Prepaid expenses</t>
        </is>
      </c>
      <c r="D31" s="106">
        <f>Model!W278</f>
        <v>-5540.8</v>
      </c>
      <c r="E31" s="106">
        <f>Model!AB278</f>
        <v>-2799.7</v>
      </c>
      <c r="F31" s="106">
        <f>Model!AG278</f>
        <v>-5974.5</v>
      </c>
      <c r="G31" s="106">
        <f>Model!AL278</f>
        <v>-1053</v>
      </c>
      <c r="H31" s="106">
        <f>Model!AQ278</f>
        <v>0</v>
      </c>
      <c r="I31" s="106">
        <f>Model!AV278</f>
        <v>0</v>
      </c>
      <c r="J31" s="106">
        <f>Model!BA278</f>
        <v>0</v>
      </c>
      <c r="K31" s="106">
        <f>Model!BF278</f>
        <v>0</v>
      </c>
      <c r="L31" s="107">
        <f>Model!BK278</f>
        <v>0</v>
      </c>
      <c r="X31" s="77" t="n"/>
      <c r="Y31" s="77" t="n"/>
      <c r="Z31" s="77" t="n"/>
    </row>
    <row r="32" outlineLevel="1">
      <c r="C32" s="105" t="inlineStr">
        <is>
          <t>Other current assets</t>
        </is>
      </c>
      <c r="D32" s="106">
        <f>Model!W279</f>
        <v>2221.8</v>
      </c>
      <c r="E32" s="106">
        <f>Model!AB279</f>
        <v>14.0999999999999</v>
      </c>
      <c r="F32" s="106">
        <f>Model!AG279</f>
        <v>-160.9</v>
      </c>
      <c r="G32" s="106">
        <f>Model!AL279</f>
        <v>-936</v>
      </c>
      <c r="H32" s="106">
        <f>Model!AQ279</f>
        <v>0</v>
      </c>
      <c r="I32" s="106">
        <f>Model!AV279</f>
        <v>0</v>
      </c>
      <c r="J32" s="106">
        <f>Model!BA279</f>
        <v>0</v>
      </c>
      <c r="K32" s="106">
        <f>Model!BF279</f>
        <v>0</v>
      </c>
      <c r="L32" s="107">
        <f>Model!BK279</f>
        <v>0</v>
      </c>
      <c r="X32" s="77" t="n"/>
      <c r="Y32" s="77" t="n"/>
      <c r="Z32" s="77" t="n"/>
    </row>
    <row r="33" outlineLevel="1">
      <c r="C33" s="105" t="inlineStr">
        <is>
          <t>Accounts payable</t>
        </is>
      </c>
      <c r="D33" s="106">
        <f>Model!W280</f>
        <v>668.2</v>
      </c>
      <c r="E33" s="106">
        <f>Model!AB280</f>
        <v>629.8</v>
      </c>
      <c r="F33" s="106">
        <f>Model!AG280</f>
        <v>2150.4</v>
      </c>
      <c r="G33" s="106">
        <f>Model!AL280</f>
        <v>-5379</v>
      </c>
      <c r="H33" s="106">
        <f>Model!AQ280</f>
        <v>0</v>
      </c>
      <c r="I33" s="106">
        <f>Model!AV280</f>
        <v>0</v>
      </c>
      <c r="J33" s="106">
        <f>Model!BA280</f>
        <v>0</v>
      </c>
      <c r="K33" s="106">
        <f>Model!BF280</f>
        <v>0</v>
      </c>
      <c r="L33" s="107">
        <f>Model!BK280</f>
        <v>0</v>
      </c>
      <c r="X33" s="77" t="n"/>
      <c r="Y33" s="77" t="n"/>
      <c r="Z33" s="77" t="n"/>
    </row>
    <row r="34" outlineLevel="1">
      <c r="C34" s="105" t="inlineStr">
        <is>
          <t>Accrued expenses</t>
        </is>
      </c>
      <c r="D34" s="106">
        <f>Model!W281</f>
        <v>590.6</v>
      </c>
      <c r="E34" s="106">
        <f>Model!AB281</f>
        <v>443.5</v>
      </c>
      <c r="F34" s="106">
        <f>Model!AG281</f>
        <v>281.1</v>
      </c>
      <c r="G34" s="106">
        <f>Model!AL281</f>
        <v>-2375</v>
      </c>
      <c r="H34" s="106" t="e">
        <f>Model!AQ281</f>
        <v>#DIV/0!</v>
      </c>
      <c r="I34" s="106" t="e">
        <f>Model!AV281</f>
        <v>#DIV/0!</v>
      </c>
      <c r="J34" s="106" t="e">
        <f>Model!BA281</f>
        <v>#DIV/0!</v>
      </c>
      <c r="K34" s="106" t="e">
        <f>Model!BF281</f>
        <v>#DIV/0!</v>
      </c>
      <c r="L34" s="107" t="e">
        <f>Model!BK281</f>
        <v>#DIV/0!</v>
      </c>
      <c r="X34" s="77" t="n"/>
      <c r="Y34" s="77" t="n"/>
      <c r="Z34" s="77" t="n"/>
    </row>
    <row r="35" outlineLevel="1">
      <c r="C35" s="105" t="inlineStr">
        <is>
          <t>Taxes payable</t>
        </is>
      </c>
      <c r="D35" s="106">
        <f>Model!W282</f>
        <v>-475.1</v>
      </c>
      <c r="E35" s="106">
        <f>Model!AB282</f>
        <v>0</v>
      </c>
      <c r="F35" s="106">
        <f>Model!AG282</f>
        <v>0</v>
      </c>
      <c r="G35" s="106">
        <f>Model!AL282</f>
        <v>0</v>
      </c>
      <c r="H35" s="106" t="e">
        <f>Model!AQ282</f>
        <v>#DIV/0!</v>
      </c>
      <c r="I35" s="106" t="e">
        <f>Model!AV282</f>
        <v>#DIV/0!</v>
      </c>
      <c r="J35" s="106" t="e">
        <f>Model!BA282</f>
        <v>#DIV/0!</v>
      </c>
      <c r="K35" s="106" t="e">
        <f>Model!BF282</f>
        <v>#DIV/0!</v>
      </c>
      <c r="L35" s="107" t="e">
        <f>Model!BK282</f>
        <v>#DIV/0!</v>
      </c>
      <c r="X35" s="77" t="n"/>
      <c r="Y35" s="77" t="n"/>
      <c r="Z35" s="77" t="n"/>
    </row>
    <row r="36" outlineLevel="1">
      <c r="C36" s="105" t="inlineStr">
        <is>
          <t>Other current liabilities</t>
        </is>
      </c>
      <c r="D36" s="106">
        <f>Model!W283</f>
        <v>3967.9</v>
      </c>
      <c r="E36" s="106">
        <f>Model!AB283</f>
        <v>1797.5</v>
      </c>
      <c r="F36" s="106">
        <f>Model!AG283</f>
        <v>7902</v>
      </c>
      <c r="G36" s="106">
        <f>Model!AL283</f>
        <v>6942</v>
      </c>
      <c r="H36" s="106">
        <f>Model!AQ283</f>
        <v>0</v>
      </c>
      <c r="I36" s="106">
        <f>Model!AV283</f>
        <v>0</v>
      </c>
      <c r="J36" s="106">
        <f>Model!BA283</f>
        <v>0</v>
      </c>
      <c r="K36" s="106">
        <f>Model!BF283</f>
        <v>0</v>
      </c>
      <c r="L36" s="107">
        <f>Model!BK283</f>
        <v>0</v>
      </c>
      <c r="X36" s="77" t="n"/>
      <c r="Y36" s="77" t="n"/>
      <c r="Z36" s="77" t="n"/>
    </row>
    <row r="37" outlineLevel="1">
      <c r="C37" s="105" t="inlineStr">
        <is>
          <t>Deferred tax (liabilities)</t>
        </is>
      </c>
      <c r="D37" s="106">
        <f>Model!W284</f>
        <v>-87.3</v>
      </c>
      <c r="E37" s="106">
        <f>Model!AB284</f>
        <v>0</v>
      </c>
      <c r="F37" s="106">
        <f>Model!AG284</f>
        <v>0</v>
      </c>
      <c r="G37" s="106">
        <f>Model!AL284</f>
        <v>0</v>
      </c>
      <c r="H37" s="106">
        <f>Model!AQ284</f>
        <v>0</v>
      </c>
      <c r="I37" s="106">
        <f>Model!AV284</f>
        <v>0</v>
      </c>
      <c r="J37" s="106">
        <f>Model!BA284</f>
        <v>0</v>
      </c>
      <c r="K37" s="106">
        <f>Model!BF284</f>
        <v>0</v>
      </c>
      <c r="L37" s="107">
        <f>Model!BK284</f>
        <v>0</v>
      </c>
      <c r="X37" s="77" t="n"/>
      <c r="Y37" s="77" t="n"/>
      <c r="Z37" s="77" t="n"/>
    </row>
    <row r="38" outlineLevel="1" ht="15" customHeight="1">
      <c r="C38" s="105" t="inlineStr">
        <is>
          <t>Other non-current assets</t>
        </is>
      </c>
      <c r="D38" s="106">
        <f>(Model!W184-Model!R184)*-1</f>
        <v>-803.3</v>
      </c>
      <c r="E38" s="106">
        <f>(Model!AB184-Model!W184)*-1</f>
        <v>-893.499999999999</v>
      </c>
      <c r="F38" s="106">
        <f>(Model!AG184-Model!AB184)*-1</f>
        <v>-858.400000000002</v>
      </c>
      <c r="G38" s="106">
        <f>(Model!AL184-Model!AG184)*-1</f>
        <v>-1544</v>
      </c>
      <c r="H38" s="106">
        <f>(Model!AQ184-Model!AL184)*-1</f>
        <v>0</v>
      </c>
      <c r="I38" s="106">
        <f>(Model!AV184-Model!AQ184)*-1</f>
        <v>0</v>
      </c>
      <c r="J38" s="106">
        <f>(Model!BA184-Model!AV184)*-1</f>
        <v>0</v>
      </c>
      <c r="K38" s="106">
        <f>(Model!BF184-Model!BA184)*-1</f>
        <v>0</v>
      </c>
      <c r="L38" s="107">
        <f>(Model!BK184-Model!BF184)*-1</f>
        <v>0</v>
      </c>
      <c r="M38">
        <f>(Model!BP184-Model!BK184)*-1</f>
        <v>0</v>
      </c>
      <c r="N38">
        <f>(Model!BU184-Model!BP184)*-1</f>
        <v>0</v>
      </c>
      <c r="O38">
        <f>(Model!BZ184-Model!BU184)*-1</f>
        <v>0</v>
      </c>
      <c r="P38">
        <f>(Model!CE184-Model!BZ184)*-1</f>
        <v>0</v>
      </c>
      <c r="Q38">
        <f>(Model!CJ184-Model!CE184)*-1</f>
        <v>0</v>
      </c>
      <c r="R38">
        <f>(Model!CO184-Model!CJ184)*-1</f>
        <v>0</v>
      </c>
      <c r="X38" s="77" t="n"/>
      <c r="Y38" s="77" t="n"/>
      <c r="Z38" s="77" t="n"/>
    </row>
    <row r="39" outlineLevel="1" ht="15" customHeight="1">
      <c r="C39" s="105" t="inlineStr">
        <is>
          <t>Other non-current liabilities</t>
        </is>
      </c>
      <c r="D39" s="106">
        <f>Model!W235-Model!R235</f>
        <v>777.2</v>
      </c>
      <c r="E39" s="106">
        <f>Model!AB235-Model!W235</f>
        <v>11</v>
      </c>
      <c r="F39" s="106">
        <f>Model!AG235-Model!AB235</f>
        <v>2327.4</v>
      </c>
      <c r="G39" s="106">
        <f>Model!AL235-Model!AG235</f>
        <v>2993</v>
      </c>
      <c r="H39" s="106">
        <f>Model!AQ235-Model!AL235</f>
        <v>0</v>
      </c>
      <c r="I39" s="106">
        <f>Model!AV235-Model!AQ235</f>
        <v>0</v>
      </c>
      <c r="J39" s="106">
        <f>Model!BA235-Model!AV235</f>
        <v>0</v>
      </c>
      <c r="K39" s="106">
        <f>Model!BF235-Model!BA235</f>
        <v>0</v>
      </c>
      <c r="L39" s="107">
        <f>Model!BK235-Model!BF235</f>
        <v>0</v>
      </c>
      <c r="M39">
        <f>Model!BP235-Model!BK235</f>
        <v>0</v>
      </c>
      <c r="N39">
        <f>Model!BU235-Model!BP235</f>
        <v>0</v>
      </c>
      <c r="O39">
        <f>Model!BZ235-Model!BU235</f>
        <v>0</v>
      </c>
      <c r="P39">
        <f>Model!CE235-Model!BZ235</f>
        <v>0</v>
      </c>
      <c r="Q39">
        <f>Model!CJ235-Model!CE235</f>
        <v>0</v>
      </c>
      <c r="R39">
        <f>Model!CO235-Model!CJ235</f>
        <v>0</v>
      </c>
      <c r="X39" s="77" t="n"/>
      <c r="Y39" s="77" t="n"/>
      <c r="Z39" s="77" t="n"/>
    </row>
    <row r="40">
      <c r="C40" s="105" t="inlineStr">
        <is>
          <t>Capital expenditures</t>
        </is>
      </c>
      <c r="D40" s="106" t="n"/>
      <c r="E40" s="106" t="n"/>
      <c r="F40" s="106" t="n"/>
      <c r="G40" s="106" t="n"/>
      <c r="H40" s="106" t="n"/>
      <c r="I40" s="106" t="n"/>
      <c r="J40" s="106" t="n"/>
      <c r="K40" s="106" t="n"/>
      <c r="L40" s="107" t="n"/>
      <c r="X40" s="77" t="n"/>
      <c r="Y40" s="77" t="n"/>
      <c r="Z40" s="77" t="n"/>
    </row>
    <row r="41">
      <c r="C41" s="105" t="inlineStr">
        <is>
          <t>Capital expenditures [IFRS16 - implied lease payments]</t>
        </is>
      </c>
      <c r="F41" s="106" t="n"/>
      <c r="G41" s="106" t="n"/>
      <c r="H41" s="106" t="n"/>
      <c r="I41" s="106" t="n"/>
      <c r="J41" s="106" t="n"/>
      <c r="K41" s="106" t="n"/>
      <c r="L41" s="107" t="n"/>
      <c r="X41" s="77" t="n"/>
      <c r="Y41" s="77" t="n"/>
      <c r="Z41" s="77" t="n"/>
    </row>
    <row r="42">
      <c r="C42" s="108" t="inlineStr">
        <is>
          <t>Purchase of intangible assets</t>
        </is>
      </c>
      <c r="D42" s="109" t="n">
        <v>0</v>
      </c>
      <c r="E42" s="109" t="n">
        <v>0</v>
      </c>
      <c r="F42" s="109" t="n">
        <v>0</v>
      </c>
      <c r="G42" s="109" t="n">
        <v>0</v>
      </c>
      <c r="H42" s="109" t="n">
        <v>0</v>
      </c>
      <c r="I42" s="109" t="n">
        <v>0</v>
      </c>
      <c r="J42" s="109" t="n">
        <v>0</v>
      </c>
      <c r="K42" s="109" t="n">
        <v>0</v>
      </c>
      <c r="L42" s="110" t="n">
        <v>0</v>
      </c>
      <c r="M42" s="111" t="n"/>
      <c r="X42" s="77" t="n"/>
      <c r="Y42" s="77" t="n"/>
      <c r="Z42" s="77" t="n"/>
      <c r="AB42" s="68" t="n"/>
    </row>
    <row r="43">
      <c r="X43" s="77" t="n"/>
      <c r="Y43" s="77" t="n"/>
      <c r="Z43" s="77" t="n"/>
    </row>
    <row r="44">
      <c r="C44" s="82" t="inlineStr">
        <is>
          <t>Net Investments</t>
        </is>
      </c>
      <c r="D44" s="103">
        <f>SUM(D27+D40+D41+D42+D26)</f>
        <v>-6550.1</v>
      </c>
      <c r="E44" s="103">
        <f>SUM(E27+E40+E41+E42+E26)</f>
        <v>-8818.8</v>
      </c>
      <c r="F44" s="103">
        <f>SUM(F27+F40+F41+F42+F26)</f>
        <v>-11197.4</v>
      </c>
      <c r="G44" s="103">
        <f>SUM(G27+G40+G41+G42+G26)</f>
        <v>29040</v>
      </c>
      <c r="H44" s="103" t="e">
        <f>SUM(H27+H40+H41+H42+H26)</f>
        <v>#DIV/0!</v>
      </c>
      <c r="I44" s="103" t="e">
        <f>SUM(I27+I40+I41+I42+I26)</f>
        <v>#DIV/0!</v>
      </c>
      <c r="J44" s="103" t="e">
        <f>SUM(J27+J40+J41+J42+J26)</f>
        <v>#DIV/0!</v>
      </c>
      <c r="K44" s="103" t="e">
        <f>SUM(K27+K40+K41+K42+K26)</f>
        <v>#DIV/0!</v>
      </c>
      <c r="L44" s="103" t="e">
        <f>SUM(L27+L40+L41+L42+L26)</f>
        <v>#DIV/0!</v>
      </c>
      <c r="M44" s="112" t="e">
        <f>+L46-M46</f>
        <v>#DIV/0!</v>
      </c>
      <c r="N44" s="103" t="e">
        <f>+M46-N46</f>
        <v>#DIV/0!</v>
      </c>
      <c r="O44" s="103" t="e">
        <f>+N46-O46</f>
        <v>#DIV/0!</v>
      </c>
      <c r="P44" s="103" t="e">
        <f>+O46-P46</f>
        <v>#DIV/0!</v>
      </c>
      <c r="Q44" s="103" t="e">
        <f>+P46-Q46</f>
        <v>#DIV/0!</v>
      </c>
      <c r="R44" s="103" t="e">
        <f>+Q46-R46</f>
        <v>#DIV/0!</v>
      </c>
      <c r="S44" s="103" t="n"/>
      <c r="T44" s="103" t="n"/>
      <c r="U44" s="103" t="n"/>
      <c r="V44" s="104" t="n"/>
      <c r="X44" s="77" t="n"/>
      <c r="Y44" s="111" t="n"/>
      <c r="Z44" s="77" t="n"/>
    </row>
    <row r="45">
      <c r="C45" s="113" t="n"/>
      <c r="D45" s="111" t="n"/>
      <c r="E45" s="111" t="n"/>
      <c r="F45" s="111" t="n"/>
      <c r="G45" s="111" t="n"/>
      <c r="H45" s="111" t="n"/>
      <c r="I45" s="111" t="n"/>
      <c r="J45" s="111" t="n"/>
      <c r="K45" s="111" t="n"/>
      <c r="L45" s="111" t="n"/>
      <c r="V45" s="114" t="n"/>
      <c r="X45" s="77" t="n"/>
      <c r="Y45" s="77" t="n"/>
      <c r="Z45" s="77" t="n"/>
    </row>
    <row r="46">
      <c r="C46" s="113" t="inlineStr">
        <is>
          <t>Invested Capital</t>
        </is>
      </c>
      <c r="D46" s="106">
        <f>Model!W345</f>
        <v>33161.3</v>
      </c>
      <c r="E46" s="106">
        <f>Model!AB345</f>
        <v>44492.6</v>
      </c>
      <c r="F46" s="106">
        <f>Model!AG345</f>
        <v>61748</v>
      </c>
      <c r="G46" s="106">
        <f>Model!AL345</f>
        <v>32706</v>
      </c>
      <c r="H46" s="106" t="e">
        <f>Model!AQ345</f>
        <v>#DIV/0!</v>
      </c>
      <c r="I46" s="106" t="e">
        <f>Model!AV345</f>
        <v>#DIV/0!</v>
      </c>
      <c r="J46" s="106" t="e">
        <f>Model!BA345</f>
        <v>#DIV/0!</v>
      </c>
      <c r="K46" s="106" t="e">
        <f>Model!BF345</f>
        <v>#DIV/0!</v>
      </c>
      <c r="L46" s="106" t="e">
        <f>Model!BK345</f>
        <v>#DIV/0!</v>
      </c>
      <c r="M46" s="115" t="e">
        <f>Model!BP345</f>
        <v>#DIV/0!</v>
      </c>
      <c r="N46" s="115" t="e">
        <f>Model!BU345</f>
        <v>#DIV/0!</v>
      </c>
      <c r="O46" s="115" t="e">
        <f>Model!BZ345</f>
        <v>#DIV/0!</v>
      </c>
      <c r="P46" s="115" t="e">
        <f>Model!CE345</f>
        <v>#DIV/0!</v>
      </c>
      <c r="Q46" s="115" t="e">
        <f>Model!CJ345</f>
        <v>#DIV/0!</v>
      </c>
      <c r="R46" s="115" t="e">
        <f>Model!CO345</f>
        <v>#DIV/0!</v>
      </c>
      <c r="S46" s="115" t="n"/>
      <c r="T46" s="115" t="n"/>
      <c r="U46" s="115" t="n"/>
      <c r="V46" s="116" t="n"/>
      <c r="X46" s="111" t="n"/>
      <c r="Y46" s="111" t="n"/>
      <c r="Z46" s="77" t="n"/>
    </row>
    <row r="47" ht="15" customHeight="1">
      <c r="C47" s="113" t="inlineStr">
        <is>
          <t>Invested Capital (ex Goodwill)</t>
        </is>
      </c>
      <c r="D47" s="106">
        <f>Model!W346</f>
        <v>28221.6</v>
      </c>
      <c r="E47" s="106">
        <f>Model!AB346</f>
        <v>38722.3</v>
      </c>
      <c r="F47" s="106">
        <f>Model!AG346</f>
        <v>55850</v>
      </c>
      <c r="G47" s="106">
        <f>Model!AL346</f>
        <v>23857</v>
      </c>
      <c r="H47" s="106" t="e">
        <f>Model!AQ346</f>
        <v>#DIV/0!</v>
      </c>
      <c r="I47" s="106" t="e">
        <f>Model!AV346</f>
        <v>#DIV/0!</v>
      </c>
      <c r="J47" s="106" t="e">
        <f>Model!BA346</f>
        <v>#DIV/0!</v>
      </c>
      <c r="K47" s="106" t="e">
        <f>Model!BF346</f>
        <v>#DIV/0!</v>
      </c>
      <c r="L47" s="106" t="e">
        <f>Model!BK346</f>
        <v>#DIV/0!</v>
      </c>
      <c r="M47" t="e">
        <f>Model!BP346</f>
        <v>#DIV/0!</v>
      </c>
      <c r="N47" t="e">
        <f>Model!BU346</f>
        <v>#DIV/0!</v>
      </c>
      <c r="O47" t="e">
        <f>Model!BZ346</f>
        <v>#DIV/0!</v>
      </c>
      <c r="P47" t="e">
        <f>Model!CE346</f>
        <v>#DIV/0!</v>
      </c>
      <c r="Q47" t="e">
        <f>Model!CJ346</f>
        <v>#DIV/0!</v>
      </c>
      <c r="R47" t="e">
        <f>Model!CO346</f>
        <v>#DIV/0!</v>
      </c>
      <c r="V47" s="114" t="n"/>
      <c r="X47" s="77" t="n"/>
      <c r="Y47" s="77" t="n"/>
      <c r="Z47" s="77" t="n"/>
    </row>
    <row r="48">
      <c r="C48" s="86" t="inlineStr">
        <is>
          <t>Invested Capital / Net Revenues</t>
        </is>
      </c>
      <c r="D48" s="92">
        <f>D46/D18</f>
        <v>0.971785336463086</v>
      </c>
      <c r="E48" s="92">
        <f>E46/E18</f>
        <v>0.987787144198727</v>
      </c>
      <c r="F48" s="92">
        <f>F46/F18</f>
        <v>0.947348718467992</v>
      </c>
      <c r="G48" s="92">
        <f>G46/G18</f>
        <v>0.410540030979417</v>
      </c>
      <c r="H48" s="92" t="e">
        <f>H46/H18</f>
        <v>#DIV/0!</v>
      </c>
      <c r="I48" s="92" t="e">
        <f>I46/I18</f>
        <v>#DIV/0!</v>
      </c>
      <c r="J48" s="92" t="e">
        <f>J46/J18</f>
        <v>#DIV/0!</v>
      </c>
      <c r="K48" s="92" t="e">
        <f>K46/K18</f>
        <v>#DIV/0!</v>
      </c>
      <c r="L48" s="92" t="e">
        <f>L46/L18</f>
        <v>#DIV/0!</v>
      </c>
      <c r="M48" s="117" t="n"/>
      <c r="N48" s="117" t="n"/>
      <c r="O48" s="117" t="n"/>
      <c r="P48" s="117" t="n"/>
      <c r="Q48" s="117" t="n"/>
      <c r="R48" s="117" t="n"/>
      <c r="S48" s="117" t="n"/>
      <c r="T48" s="117" t="n"/>
      <c r="U48" s="117" t="n"/>
      <c r="V48" s="118" t="n"/>
      <c r="X48" s="76" t="inlineStr">
        <is>
          <t>ROIC</t>
        </is>
      </c>
      <c r="Y48" s="77" t="n"/>
      <c r="Z48" s="77" t="n"/>
    </row>
    <row r="49">
      <c r="X49" s="77">
        <f>F16</f>
        <v>2025</v>
      </c>
      <c r="Y49" s="77">
        <f>L16</f>
        <v>2031</v>
      </c>
      <c r="Z49" s="77">
        <f>R16</f>
        <v>2037</v>
      </c>
    </row>
    <row r="50">
      <c r="C50" s="119" t="inlineStr">
        <is>
          <t>ROIC</t>
        </is>
      </c>
      <c r="D50" s="120" t="n"/>
      <c r="E50" s="120" t="n"/>
      <c r="F50" s="120" t="n"/>
      <c r="G50" s="120">
        <f>G25/AVERAGE(F46,G46)</f>
        <v>0</v>
      </c>
      <c r="H50" s="120" t="e">
        <f>H25/AVERAGE(G46,H46)</f>
        <v>#DIV/0!</v>
      </c>
      <c r="I50" s="120" t="e">
        <f>I25/AVERAGE(H46,I46)</f>
        <v>#DIV/0!</v>
      </c>
      <c r="J50" s="120" t="e">
        <f>J25/AVERAGE(I46,J46)</f>
        <v>#DIV/0!</v>
      </c>
      <c r="K50" s="120" t="e">
        <f>K25/AVERAGE(J46,K46)</f>
        <v>#DIV/0!</v>
      </c>
      <c r="L50" s="120" t="e">
        <f>L25/AVERAGE(K46,L46)</f>
        <v>#DIV/0!</v>
      </c>
      <c r="M50" s="121" t="e">
        <f>M25/AVERAGE(L46,M46)</f>
        <v>#DIV/0!</v>
      </c>
      <c r="N50" s="121" t="e">
        <f>N25/AVERAGE(M46,N46)</f>
        <v>#DIV/0!</v>
      </c>
      <c r="O50" s="121" t="e">
        <f>O25/AVERAGE(N46,O46)</f>
        <v>#DIV/0!</v>
      </c>
      <c r="P50" s="121" t="e">
        <f>P25/AVERAGE(O46,P46)</f>
        <v>#DIV/0!</v>
      </c>
      <c r="Q50" s="121" t="e">
        <f>Q25/AVERAGE(P46,Q46)</f>
        <v>#DIV/0!</v>
      </c>
      <c r="R50" s="121" t="e">
        <f>R25/AVERAGE(Q46,R46)</f>
        <v>#DIV/0!</v>
      </c>
      <c r="S50" s="121" t="n"/>
      <c r="T50" s="121" t="n"/>
      <c r="U50" s="121" t="n"/>
      <c r="V50" s="122" t="n"/>
      <c r="X50" s="85">
        <f>F50</f>
        <v>0</v>
      </c>
      <c r="Y50" s="85" t="e">
        <f>L50</f>
        <v>#DIV/0!</v>
      </c>
      <c r="Z50" s="123" t="e">
        <f>R50</f>
        <v>#DIV/0!</v>
      </c>
    </row>
    <row r="51">
      <c r="C51" s="68" t="inlineStr">
        <is>
          <t>Capital Turnover</t>
        </is>
      </c>
      <c r="D51" s="124">
        <f>D18/D46</f>
        <v>1.02903384366717</v>
      </c>
      <c r="E51" s="124">
        <f>E18/E46</f>
        <v>1.01236385376445</v>
      </c>
      <c r="F51" s="124">
        <f>F18/F46</f>
        <v>1.05557750858327</v>
      </c>
      <c r="G51" s="124">
        <f>G18/G46</f>
        <v>2.43581605821562</v>
      </c>
      <c r="H51" s="124" t="e">
        <f>H18/H46</f>
        <v>#DIV/0!</v>
      </c>
      <c r="I51" s="124" t="e">
        <f>I18/I46</f>
        <v>#DIV/0!</v>
      </c>
      <c r="J51" s="124" t="e">
        <f>J18/J46</f>
        <v>#DIV/0!</v>
      </c>
      <c r="K51" s="124" t="e">
        <f>K18/K46</f>
        <v>#DIV/0!</v>
      </c>
      <c r="L51" s="124" t="e">
        <f>L18/L46</f>
        <v>#DIV/0!</v>
      </c>
      <c r="M51" s="124" t="e">
        <f>M18/M46</f>
        <v>#DIV/0!</v>
      </c>
      <c r="N51" s="124" t="e">
        <f>N18/N46</f>
        <v>#DIV/0!</v>
      </c>
      <c r="O51" s="124" t="e">
        <f>O18/O46</f>
        <v>#DIV/0!</v>
      </c>
      <c r="P51" s="124" t="e">
        <f>P18/P46</f>
        <v>#DIV/0!</v>
      </c>
      <c r="Q51" s="124" t="e">
        <f>Q18/Q46</f>
        <v>#DIV/0!</v>
      </c>
      <c r="R51" s="124" t="e">
        <f>R18/R46</f>
        <v>#DIV/0!</v>
      </c>
      <c r="S51" s="124" t="n"/>
      <c r="T51" s="124" t="n"/>
      <c r="U51" s="124" t="n"/>
      <c r="V51" s="124" t="n"/>
    </row>
    <row r="53" customFormat="1" s="68">
      <c r="A53" s="249" t="n"/>
      <c r="B53" s="249" t="n"/>
      <c r="C53" s="68" t="inlineStr">
        <is>
          <t>Unlevered free cash flows = FCFF</t>
        </is>
      </c>
      <c r="D53" s="125">
        <f>D25+D44</f>
        <v>-6550.1</v>
      </c>
      <c r="E53" s="125">
        <f>E25+E44</f>
        <v>-8818.8</v>
      </c>
      <c r="F53" s="125">
        <f>F25+F44</f>
        <v>-11197.4</v>
      </c>
      <c r="G53" s="126">
        <f>(G25+G44)*stub_year_fraction</f>
        <v>7558.35616438356</v>
      </c>
      <c r="H53" s="125" t="e">
        <f>H25+H44</f>
        <v>#DIV/0!</v>
      </c>
      <c r="I53" s="125" t="e">
        <f>I25+I44</f>
        <v>#DIV/0!</v>
      </c>
      <c r="J53" s="125" t="e">
        <f>J25+J44</f>
        <v>#DIV/0!</v>
      </c>
      <c r="K53" s="125" t="e">
        <f>K25+K44</f>
        <v>#DIV/0!</v>
      </c>
      <c r="L53" s="125" t="e">
        <f>L25+L44</f>
        <v>#DIV/0!</v>
      </c>
      <c r="M53" s="125" t="e">
        <f>M25+M44</f>
        <v>#DIV/0!</v>
      </c>
      <c r="N53" s="125" t="e">
        <f>N25+N44</f>
        <v>#DIV/0!</v>
      </c>
      <c r="O53" s="125" t="e">
        <f>O25+O44</f>
        <v>#DIV/0!</v>
      </c>
      <c r="P53" s="125" t="e">
        <f>P25+P44</f>
        <v>#DIV/0!</v>
      </c>
      <c r="Q53" s="125" t="e">
        <f>Q25+Q44</f>
        <v>#DIV/0!</v>
      </c>
      <c r="R53" s="125" t="e">
        <f>R25+R44</f>
        <v>#DIV/0!</v>
      </c>
      <c r="S53" s="125" t="n"/>
      <c r="T53" s="125" t="n"/>
      <c r="U53" s="125" t="n"/>
      <c r="V53" s="125" t="n"/>
    </row>
    <row r="54">
      <c r="C54" s="127" t="inlineStr">
        <is>
          <t>Discount factor</t>
        </is>
      </c>
      <c r="G54" s="128" t="e">
        <f>1/(1+wacc)^stub_year_fraction</f>
        <v>#DIV/0!</v>
      </c>
      <c r="H54" s="128" t="e">
        <f>1/(1+wacc)^(1+stub_year_fraction)</f>
        <v>#DIV/0!</v>
      </c>
      <c r="I54" s="128" t="e">
        <f>1/(1+wacc)^(2+stub_year_fraction)</f>
        <v>#DIV/0!</v>
      </c>
      <c r="J54" s="128" t="e">
        <f>1/(1+wacc)^(3+stub_year_fraction)</f>
        <v>#DIV/0!</v>
      </c>
      <c r="K54" s="128" t="e">
        <f>1/(1+wacc)^(4+stub_year_fraction)</f>
        <v>#DIV/0!</v>
      </c>
      <c r="L54" s="128" t="e">
        <f>1/(1+wacc)^(5+stub_year_fraction)</f>
        <v>#DIV/0!</v>
      </c>
      <c r="M54" s="128" t="e">
        <f>1/(1+wacc)^(6+stub_year_fraction)</f>
        <v>#DIV/0!</v>
      </c>
      <c r="N54" s="128" t="e">
        <f>1/(1+wacc)^(7+stub_year_fraction)</f>
        <v>#DIV/0!</v>
      </c>
      <c r="O54" s="128" t="e">
        <f>1/(1+wacc)^(8+stub_year_fraction)</f>
        <v>#DIV/0!</v>
      </c>
      <c r="P54" s="128" t="e">
        <f>1/(1+wacc)^(9+stub_year_fraction)</f>
        <v>#DIV/0!</v>
      </c>
      <c r="Q54" s="128" t="e">
        <f>1/(1+wacc)^(10+stub_year_fraction)</f>
        <v>#DIV/0!</v>
      </c>
      <c r="R54" s="128" t="e">
        <f>1/(1+wacc)^(11+stub_year_fraction)</f>
        <v>#DIV/0!</v>
      </c>
      <c r="S54" s="128" t="n"/>
      <c r="T54" s="128" t="n"/>
      <c r="U54" s="128" t="n"/>
      <c r="V54" s="128" t="n"/>
    </row>
    <row r="55">
      <c r="C55" s="127" t="inlineStr">
        <is>
          <t>Midyear adjustment factor</t>
        </is>
      </c>
      <c r="G55" s="129" t="e">
        <f>(1+wacc)^(stub_year_fraction/2)</f>
        <v>#DIV/0!</v>
      </c>
      <c r="H55" s="128" t="e">
        <f>(1+wacc)^0.5</f>
        <v>#DIV/0!</v>
      </c>
      <c r="I55" s="128" t="e">
        <f>(1+wacc)^0.5</f>
        <v>#DIV/0!</v>
      </c>
      <c r="J55" s="128" t="e">
        <f>(1+wacc)^0.5</f>
        <v>#DIV/0!</v>
      </c>
      <c r="K55" s="128" t="e">
        <f>(1+wacc)^0.5</f>
        <v>#DIV/0!</v>
      </c>
      <c r="L55" s="128" t="e">
        <f>(1+wacc)^0.5</f>
        <v>#DIV/0!</v>
      </c>
      <c r="M55" s="128" t="e">
        <f>(1+wacc)^0.5</f>
        <v>#DIV/0!</v>
      </c>
      <c r="N55" s="128" t="e">
        <f>(1+wacc)^0.5</f>
        <v>#DIV/0!</v>
      </c>
      <c r="O55" s="128" t="e">
        <f>(1+wacc)^0.5</f>
        <v>#DIV/0!</v>
      </c>
      <c r="P55" s="128" t="e">
        <f>(1+wacc)^0.5</f>
        <v>#DIV/0!</v>
      </c>
      <c r="Q55" s="128" t="e">
        <f>(1+wacc)^0.5</f>
        <v>#DIV/0!</v>
      </c>
      <c r="R55" s="128" t="e">
        <f>(1+wacc)^0.5</f>
        <v>#DIV/0!</v>
      </c>
      <c r="S55" s="128" t="n"/>
      <c r="T55" s="128" t="n"/>
      <c r="U55" s="128" t="n"/>
      <c r="V55" s="128" t="n"/>
    </row>
    <row r="56">
      <c r="C56" s="127" t="inlineStr">
        <is>
          <t>Present value of free cash flows</t>
        </is>
      </c>
      <c r="G56" s="111" t="e">
        <f>G54*G53*G55</f>
        <v>#DIV/0!</v>
      </c>
      <c r="H56" s="111" t="e">
        <f>H54*H53*H55</f>
        <v>#DIV/0!</v>
      </c>
      <c r="I56" s="111" t="e">
        <f>I54*I53*I55</f>
        <v>#DIV/0!</v>
      </c>
      <c r="J56" s="111" t="e">
        <f>J54*J53*J55</f>
        <v>#DIV/0!</v>
      </c>
      <c r="K56" s="111" t="e">
        <f>K54*K53*K55</f>
        <v>#DIV/0!</v>
      </c>
      <c r="L56" s="111" t="e">
        <f>L54*L53*L55</f>
        <v>#DIV/0!</v>
      </c>
      <c r="M56" s="111" t="e">
        <f>M54*M53*M55</f>
        <v>#DIV/0!</v>
      </c>
      <c r="N56" s="111" t="e">
        <f>N54*N53*N55</f>
        <v>#DIV/0!</v>
      </c>
      <c r="O56" s="111" t="e">
        <f>O54*O53*O55</f>
        <v>#DIV/0!</v>
      </c>
      <c r="P56" s="111" t="e">
        <f>P54*P53*P55</f>
        <v>#DIV/0!</v>
      </c>
      <c r="Q56" s="111" t="e">
        <f>Q54*Q53*Q55</f>
        <v>#DIV/0!</v>
      </c>
      <c r="R56" s="111" t="e">
        <f>R54*R53*R55</f>
        <v>#DIV/0!</v>
      </c>
      <c r="S56" s="111" t="n"/>
      <c r="T56" s="111" t="n"/>
      <c r="U56" s="111" t="n"/>
      <c r="V56" s="111" t="n"/>
    </row>
    <row r="57">
      <c r="C57" s="68" t="inlineStr">
        <is>
          <t>Sum of present values of FCFs</t>
        </is>
      </c>
      <c r="G57" s="125" t="e">
        <f>SUM(G56:R56)</f>
        <v>#DIV/0!</v>
      </c>
      <c r="H57" s="111" t="n"/>
      <c r="N57" s="130" t="n"/>
    </row>
    <row r="59">
      <c r="C59" s="68" t="n"/>
      <c r="D59" s="61" t="n">
        <v>50405</v>
      </c>
      <c r="E59" s="131" t="n"/>
      <c r="F59" s="132" t="n"/>
      <c r="G59" s="132" t="n"/>
      <c r="H59" s="61" t="n">
        <v>46022</v>
      </c>
      <c r="I59" s="132" t="n"/>
      <c r="J59" s="132" t="n"/>
      <c r="K59" s="132" t="n"/>
      <c r="L59" s="132" t="n"/>
    </row>
    <row r="60" ht="13.5" customHeight="1" thickBot="1">
      <c r="C60" s="133" t="inlineStr">
        <is>
          <t>Terminal value</t>
        </is>
      </c>
      <c r="D60" s="134" t="n"/>
      <c r="E60" s="135" t="inlineStr">
        <is>
          <t>Equity value calculations</t>
        </is>
      </c>
      <c r="F60" s="136" t="n"/>
      <c r="G60" s="136" t="n"/>
      <c r="H60" s="136" t="n"/>
      <c r="I60" s="137" t="inlineStr">
        <is>
          <t xml:space="preserve"> Shares Outstanding Worksheet</t>
        </is>
      </c>
      <c r="J60" s="138" t="n"/>
      <c r="K60" s="139" t="n"/>
      <c r="L60" s="140" t="n"/>
    </row>
    <row r="61">
      <c r="C61" s="113" t="n"/>
      <c r="D61" s="114" t="n"/>
      <c r="I61" s="113" t="n"/>
      <c r="L61" s="114" t="n"/>
    </row>
    <row r="62">
      <c r="C62" s="141" t="inlineStr">
        <is>
          <t>Key value driver method</t>
        </is>
      </c>
      <c r="D62" s="142" t="n"/>
      <c r="E62" s="143" t="inlineStr">
        <is>
          <t>Enterprise value</t>
        </is>
      </c>
      <c r="H62" s="125" t="e">
        <f>D80</f>
        <v>#DIV/0!</v>
      </c>
      <c r="I62" s="144" t="inlineStr">
        <is>
          <t>Basic Shares Outanding :</t>
        </is>
      </c>
      <c r="J62" s="63" t="n"/>
      <c r="L62" s="145" t="n"/>
    </row>
    <row r="63" ht="13.5" customHeight="1" thickBot="1">
      <c r="C63" s="141" t="inlineStr">
        <is>
          <t>g</t>
        </is>
      </c>
      <c r="D63" s="146" t="n"/>
      <c r="E63" s="147" t="inlineStr">
        <is>
          <t>Calculation of net debt:</t>
        </is>
      </c>
      <c r="H63" s="111" t="n"/>
      <c r="I63" s="144" t="inlineStr">
        <is>
          <t>Current Share Price:</t>
        </is>
      </c>
      <c r="L63" s="148" t="n"/>
    </row>
    <row r="64" ht="13.5" customHeight="1" thickBot="1">
      <c r="C64" s="141" t="inlineStr">
        <is>
          <t>RONIC</t>
        </is>
      </c>
      <c r="D64" s="149" t="e">
        <f>R50</f>
        <v>#DIV/0!</v>
      </c>
      <c r="E64" s="127" t="inlineStr">
        <is>
          <t>Current portion of long-term debt</t>
        </is>
      </c>
      <c r="H64" s="107" t="n"/>
      <c r="I64" s="150" t="inlineStr">
        <is>
          <t>Options / Warrants Data</t>
        </is>
      </c>
      <c r="J64" s="79" t="n"/>
      <c r="K64" s="79" t="n"/>
      <c r="L64" s="151" t="n"/>
    </row>
    <row r="65">
      <c r="C65" s="141" t="inlineStr">
        <is>
          <t>NOPLAT (t+1)</t>
        </is>
      </c>
      <c r="D65" s="152">
        <f>SUMIFS(INDEX($C$17:$AQ$42,,MATCH(D$59,$C$17:$AQ$17,0)),$C$17:$C$42,"NOPLAT")*(1+D63)</f>
        <v>0</v>
      </c>
      <c r="E65" s="127" t="inlineStr">
        <is>
          <t>Short term debt</t>
        </is>
      </c>
      <c r="H65" s="107" t="n"/>
      <c r="I65" s="150" t="n"/>
      <c r="J65" s="153" t="inlineStr">
        <is>
          <t># of options</t>
        </is>
      </c>
      <c r="K65" s="153" t="inlineStr">
        <is>
          <t xml:space="preserve">$ strike </t>
        </is>
      </c>
      <c r="L65" s="151" t="inlineStr">
        <is>
          <t># In-the-$</t>
        </is>
      </c>
    </row>
    <row r="66">
      <c r="C66" s="141" t="inlineStr">
        <is>
          <t>Terminal value</t>
        </is>
      </c>
      <c r="D66" s="152" t="e">
        <f>(noplat_t1*(1-(g/ronic)))/(wacc-g)</f>
        <v>#DIV/0!</v>
      </c>
      <c r="E66" s="127" t="inlineStr">
        <is>
          <t>Long term debt</t>
        </is>
      </c>
      <c r="H66" s="107" t="n"/>
      <c r="I66" s="127" t="inlineStr">
        <is>
          <t>Batch 1</t>
        </is>
      </c>
      <c r="J66" s="154" t="n"/>
      <c r="K66" s="155" t="n"/>
      <c r="L66" s="156">
        <f>IF($K66&lt;$L$62,J66,0)</f>
        <v>0</v>
      </c>
    </row>
    <row r="67">
      <c r="C67" s="141" t="inlineStr">
        <is>
          <t>Midyear adjusted terminal value</t>
        </is>
      </c>
      <c r="D67" s="152" t="e">
        <f>D66*R55</f>
        <v>#DIV/0!</v>
      </c>
      <c r="E67" s="127" t="inlineStr">
        <is>
          <t>Convertible debt</t>
        </is>
      </c>
      <c r="H67" s="107" t="n"/>
      <c r="I67" s="127" t="inlineStr">
        <is>
          <t>Batch 2</t>
        </is>
      </c>
      <c r="J67" s="157" t="n"/>
      <c r="K67" s="158" t="n"/>
      <c r="L67" s="156">
        <f>IF($K67&lt;$L$61,J67,0)</f>
        <v>0</v>
      </c>
    </row>
    <row r="68">
      <c r="C68" s="141" t="inlineStr">
        <is>
          <t>Present value of terminal value</t>
        </is>
      </c>
      <c r="D68" s="152" t="e">
        <f>D67*R54</f>
        <v>#DIV/0!</v>
      </c>
      <c r="E68" s="127" t="inlineStr">
        <is>
          <t>Minority interest</t>
        </is>
      </c>
      <c r="H68" s="107" t="n"/>
      <c r="I68" s="127" t="inlineStr">
        <is>
          <t>Batch 3</t>
        </is>
      </c>
      <c r="J68" s="157" t="n"/>
      <c r="K68" s="158" t="n"/>
      <c r="L68" s="156">
        <f>IF($K68&lt;$L$61,J68,0)</f>
        <v>0</v>
      </c>
    </row>
    <row r="69">
      <c r="C69" s="144" t="inlineStr">
        <is>
          <t>Enterprise value</t>
        </is>
      </c>
      <c r="D69" s="159" t="e">
        <f>D68+G57</f>
        <v>#DIV/0!</v>
      </c>
      <c r="E69" s="127" t="inlineStr">
        <is>
          <t>Convertible preferred stock</t>
        </is>
      </c>
      <c r="H69" s="107" t="n"/>
      <c r="I69" s="127" t="inlineStr">
        <is>
          <t>Batch 4</t>
        </is>
      </c>
      <c r="J69" s="157" t="n"/>
      <c r="K69" s="158" t="n"/>
      <c r="L69" s="156">
        <f>IF($K69&lt;$L$61,J69,0)</f>
        <v>0</v>
      </c>
    </row>
    <row r="70">
      <c r="C70" s="113" t="n"/>
      <c r="D70" s="114" t="n"/>
      <c r="E70" s="127" t="inlineStr">
        <is>
          <t>Short term operating leases</t>
        </is>
      </c>
      <c r="H70" s="107" t="n"/>
      <c r="I70" s="127" t="inlineStr">
        <is>
          <t>Batch 5</t>
        </is>
      </c>
      <c r="J70" s="157" t="n"/>
      <c r="K70" s="158" t="n"/>
      <c r="L70" s="156">
        <f>IF($K70&lt;$L$61,J70,0)</f>
        <v>0</v>
      </c>
    </row>
    <row r="71">
      <c r="C71" s="141" t="inlineStr">
        <is>
          <t>Exit multiple method</t>
        </is>
      </c>
      <c r="D71" s="142" t="n"/>
      <c r="E71" s="127" t="inlineStr">
        <is>
          <t>Long term operating leases</t>
        </is>
      </c>
      <c r="H71" s="107" t="n"/>
      <c r="I71" s="150" t="inlineStr">
        <is>
          <t>Batch 6</t>
        </is>
      </c>
      <c r="J71" s="160" t="n"/>
      <c r="K71" s="161" t="n"/>
      <c r="L71" s="162">
        <f>IF($K71&lt;$L$61,J71,0)</f>
        <v>0</v>
      </c>
    </row>
    <row r="72">
      <c r="C72" s="144" t="inlineStr">
        <is>
          <t>Exit EV / EBITDA multiple</t>
        </is>
      </c>
      <c r="D72" s="163" t="n"/>
      <c r="E72" s="147" t="inlineStr">
        <is>
          <t>Less: Excess cash</t>
        </is>
      </c>
      <c r="H72" s="107" t="n"/>
      <c r="J72" s="132" t="n"/>
      <c r="K72" s="164" t="inlineStr">
        <is>
          <t>Total in-the-$ options:</t>
        </is>
      </c>
      <c r="L72" s="156">
        <f>SUM(L66:L71)</f>
        <v>0</v>
      </c>
    </row>
    <row r="73">
      <c r="C73" s="144" t="inlineStr">
        <is>
          <t>LTM EBITDA at end of projection</t>
        </is>
      </c>
      <c r="D73" s="159">
        <f>L20</f>
        <v>0</v>
      </c>
      <c r="E73" s="147" t="inlineStr">
        <is>
          <t>Less: Equity investments</t>
        </is>
      </c>
      <c r="H73" s="107" t="n"/>
      <c r="J73" s="132" t="n"/>
      <c r="K73" s="164" t="inlineStr">
        <is>
          <t>Total $ proceeds:</t>
        </is>
      </c>
      <c r="L73" s="165">
        <f>SUMPRODUCT(K66:K71,L66:L71)</f>
        <v>0</v>
      </c>
    </row>
    <row r="74">
      <c r="C74" s="144" t="inlineStr">
        <is>
          <t>Terminal value</t>
        </is>
      </c>
      <c r="D74" s="159">
        <f>D73*D72</f>
        <v>0</v>
      </c>
      <c r="E74" s="127" t="inlineStr">
        <is>
          <t>Net debt</t>
        </is>
      </c>
      <c r="H74" s="159">
        <f>SUM(H64:H73)</f>
        <v>0</v>
      </c>
      <c r="J74" s="132" t="n"/>
      <c r="K74" s="164" t="inlineStr">
        <is>
          <t>Total shares repurchased:</t>
        </is>
      </c>
      <c r="L74" s="156" t="e">
        <f>L73/L63</f>
        <v>#DIV/0!</v>
      </c>
    </row>
    <row r="75">
      <c r="C75" s="144" t="inlineStr">
        <is>
          <t>Present value of terminal value</t>
        </is>
      </c>
      <c r="D75" s="159" t="e">
        <f>D74*L54</f>
        <v>#DIV/0!</v>
      </c>
      <c r="E75" s="143" t="inlineStr">
        <is>
          <t>Equity value</t>
        </is>
      </c>
      <c r="H75" s="152" t="e">
        <f>D80-H74</f>
        <v>#DIV/0!</v>
      </c>
      <c r="J75" s="132" t="n"/>
      <c r="K75" s="166" t="inlineStr">
        <is>
          <t>Basic shares outstanding</t>
        </is>
      </c>
      <c r="L75" s="142">
        <f>L62</f>
        <v>0</v>
      </c>
    </row>
    <row r="76" ht="13.5" customHeight="1" thickBot="1">
      <c r="C76" s="144" t="inlineStr">
        <is>
          <t>Enterprise value</t>
        </is>
      </c>
      <c r="D76" s="159" t="e">
        <f>G57+D75</f>
        <v>#DIV/0!</v>
      </c>
      <c r="E76" s="127" t="inlineStr">
        <is>
          <t>Shares outstanding</t>
        </is>
      </c>
      <c r="H76" s="159" t="e">
        <f>L79</f>
        <v>#DIV/0!</v>
      </c>
      <c r="J76" s="167" t="n"/>
      <c r="K76" s="166" t="inlineStr">
        <is>
          <t>New shares from options:</t>
        </is>
      </c>
      <c r="L76" s="142" t="e">
        <f>L72-L74</f>
        <v>#DIV/0!</v>
      </c>
    </row>
    <row r="77" ht="13.5" customHeight="1" thickBot="1">
      <c r="C77" s="113" t="n"/>
      <c r="D77" s="168" t="n"/>
      <c r="E77" s="143" t="inlineStr">
        <is>
          <t>Equity value / share</t>
        </is>
      </c>
      <c r="H77" s="169" t="e">
        <f>H75/H76</f>
        <v>#DIV/0!</v>
      </c>
      <c r="K77" s="166" t="inlineStr">
        <is>
          <t>New shares from convert. pref. stock:</t>
        </is>
      </c>
      <c r="L77" s="170" t="n"/>
    </row>
    <row r="78">
      <c r="C78" s="141" t="inlineStr">
        <is>
          <t>Select a terminal value method</t>
        </is>
      </c>
      <c r="D78" s="171" t="n"/>
      <c r="F78" s="130" t="n"/>
      <c r="H78" s="172" t="n"/>
      <c r="K78" s="166" t="inlineStr">
        <is>
          <t>New shares from convertible debt:</t>
        </is>
      </c>
      <c r="L78" s="173" t="n"/>
    </row>
    <row r="79">
      <c r="C79" s="144" t="inlineStr">
        <is>
          <t>Perpetual growth = 1 / Exit multiple = 2</t>
        </is>
      </c>
      <c r="D79" s="174" t="n"/>
      <c r="H79" s="172" t="n"/>
      <c r="K79" s="175" t="inlineStr">
        <is>
          <t>Total Shares Outstanding:</t>
        </is>
      </c>
      <c r="L79" s="176" t="e">
        <f>L62+SUM(L76:L78)</f>
        <v>#DIV/0!</v>
      </c>
    </row>
    <row r="80">
      <c r="C80" s="144" t="inlineStr">
        <is>
          <t>Enterprise value</t>
        </is>
      </c>
      <c r="D80" s="142" t="e">
        <f>IF(D79=1,D69,D76)</f>
        <v>#DIV/0!</v>
      </c>
      <c r="H80" s="114" t="n"/>
      <c r="K80" s="175" t="n"/>
      <c r="L80" s="176" t="n"/>
    </row>
    <row r="81">
      <c r="C81" s="177" t="inlineStr">
        <is>
          <t>Terminal value as percent of total value</t>
        </is>
      </c>
      <c r="D81" s="178" t="e">
        <f>IF(D79=1,D68/D69,D75/D76)</f>
        <v>#DIV/0!</v>
      </c>
      <c r="E81" s="79" t="n"/>
      <c r="F81" s="79" t="n"/>
      <c r="G81" s="79" t="n"/>
      <c r="H81" s="93" t="n"/>
      <c r="I81" s="79" t="n"/>
      <c r="J81" s="79" t="n"/>
      <c r="K81" s="79" t="n"/>
      <c r="L81" s="93" t="n"/>
    </row>
    <row r="83" ht="13.5" customHeight="1" thickBot="1">
      <c r="C83" s="179" t="inlineStr">
        <is>
          <t>Analysis of WACC</t>
        </is>
      </c>
      <c r="D83" s="180" t="n"/>
      <c r="E83" s="181" t="n"/>
      <c r="F83" s="181" t="n"/>
      <c r="G83" s="179" t="n"/>
      <c r="H83" s="180" t="n"/>
      <c r="I83" s="181" t="n"/>
      <c r="J83" s="181" t="n"/>
      <c r="K83" s="181" t="n"/>
      <c r="L83" s="181" t="n"/>
    </row>
    <row r="85">
      <c r="C85" s="182" t="inlineStr">
        <is>
          <t>Cost of debt</t>
        </is>
      </c>
      <c r="D85" s="79" t="n"/>
      <c r="F85" s="182" t="inlineStr">
        <is>
          <t>Capital structure</t>
        </is>
      </c>
      <c r="G85" s="182" t="n"/>
      <c r="H85" s="182" t="n"/>
      <c r="I85" s="182" t="n"/>
      <c r="J85" s="182" t="n"/>
    </row>
    <row r="86">
      <c r="C86" s="127" t="inlineStr">
        <is>
          <t>Cost of debt</t>
        </is>
      </c>
      <c r="D86" s="183" t="n"/>
      <c r="G86" s="184" t="inlineStr">
        <is>
          <t>Current capital structure</t>
        </is>
      </c>
      <c r="H86" s="184" t="n"/>
      <c r="I86" s="185" t="inlineStr">
        <is>
          <t>Target capital structure</t>
        </is>
      </c>
      <c r="J86" s="186" t="n"/>
    </row>
    <row r="87">
      <c r="C87" s="127" t="inlineStr">
        <is>
          <t>Marginal tax rate</t>
        </is>
      </c>
      <c r="D87" s="183" t="n"/>
      <c r="F87" s="79" t="n"/>
      <c r="G87" s="153" t="inlineStr">
        <is>
          <t>Market value</t>
        </is>
      </c>
      <c r="H87" s="153" t="inlineStr">
        <is>
          <t>% Weight</t>
        </is>
      </c>
      <c r="I87" s="153" t="inlineStr">
        <is>
          <t>override</t>
        </is>
      </c>
      <c r="J87" s="187" t="inlineStr">
        <is>
          <t>% Weight</t>
        </is>
      </c>
      <c r="K87" s="188" t="n"/>
      <c r="L87" s="189" t="n"/>
    </row>
    <row r="88">
      <c r="C88" s="249" t="inlineStr">
        <is>
          <t>Cost of debt after tax shield</t>
        </is>
      </c>
      <c r="D88" s="190">
        <f>costdebtfirm*(1-D87)</f>
        <v>0</v>
      </c>
      <c r="F88" s="249" t="inlineStr">
        <is>
          <t>Net debt</t>
        </is>
      </c>
      <c r="G88" s="191">
        <f>H74</f>
        <v>0</v>
      </c>
      <c r="H88" s="63" t="e">
        <f>debt/totalcap</f>
        <v>#DIV/0!</v>
      </c>
      <c r="I88" s="183" t="n"/>
      <c r="J88" s="63" t="e">
        <f>IF(I88,I88,H88)</f>
        <v>#DIV/0!</v>
      </c>
      <c r="L88" s="192" t="n"/>
    </row>
    <row r="89">
      <c r="F89" s="249" t="inlineStr">
        <is>
          <t>Equity</t>
        </is>
      </c>
      <c r="G89" s="193" t="e">
        <f>L63*L79</f>
        <v>#DIV/0!</v>
      </c>
      <c r="H89" s="63" t="e">
        <f>1-H88</f>
        <v>#DIV/0!</v>
      </c>
      <c r="J89" s="63" t="e">
        <f>1-debt_weight</f>
        <v>#DIV/0!</v>
      </c>
    </row>
    <row r="90">
      <c r="C90" s="182" t="inlineStr">
        <is>
          <t>Cost of equity</t>
        </is>
      </c>
      <c r="D90" s="79" t="n"/>
      <c r="F90" s="249" t="inlineStr">
        <is>
          <t>Total</t>
        </is>
      </c>
      <c r="G90" s="188" t="e">
        <f>SUM(G88:G89)</f>
        <v>#DIV/0!</v>
      </c>
    </row>
    <row r="91">
      <c r="C91" s="127" t="inlineStr">
        <is>
          <t>Risk-Free Rate (rf)</t>
        </is>
      </c>
      <c r="D91" s="183" t="n"/>
      <c r="E91" s="194" t="n"/>
    </row>
    <row r="92">
      <c r="C92" s="127" t="inlineStr">
        <is>
          <t>Market Risk Premium (rm-rf)</t>
        </is>
      </c>
      <c r="D92" s="183" t="n"/>
      <c r="F92" s="182" t="inlineStr">
        <is>
          <t>Weighted average cost of capital</t>
        </is>
      </c>
      <c r="G92" s="79" t="n"/>
      <c r="H92" s="79" t="n"/>
      <c r="I92" s="79" t="n"/>
      <c r="J92" s="79" t="n"/>
    </row>
    <row r="93">
      <c r="C93" s="127" t="inlineStr">
        <is>
          <t>Raw (observed) beta</t>
        </is>
      </c>
      <c r="D93" s="195" t="n"/>
      <c r="F93" s="249" t="inlineStr">
        <is>
          <t>Weighted average cost of capital:</t>
        </is>
      </c>
      <c r="J93" s="63" t="e">
        <f>debt_weight*D88+J89*costequity</f>
        <v>#DIV/0!</v>
      </c>
    </row>
    <row r="94">
      <c r="C94" s="127" t="inlineStr">
        <is>
          <t>Cost of equity using relevered industry beta</t>
        </is>
      </c>
      <c r="D94" s="190" t="e">
        <f>risk_free_rate+relevered_beta*risk_premium</f>
        <v>#DIV/0!</v>
      </c>
      <c r="E94" s="196" t="n"/>
    </row>
    <row r="95">
      <c r="C95" s="127" t="n"/>
      <c r="D95" s="190" t="n"/>
      <c r="E95" s="68" t="n"/>
      <c r="G95" s="188" t="n"/>
    </row>
    <row r="96">
      <c r="C96" s="182" t="inlineStr">
        <is>
          <t>Industry beta calculation</t>
        </is>
      </c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</row>
    <row r="97" ht="25.5" customHeight="1">
      <c r="C97" s="197" t="inlineStr">
        <is>
          <t xml:space="preserve">Comps </t>
        </is>
      </c>
      <c r="D97" s="198" t="inlineStr">
        <is>
          <t>Raw beta</t>
        </is>
      </c>
      <c r="E97" s="198" t="inlineStr">
        <is>
          <t>Share price</t>
        </is>
      </c>
      <c r="F97" s="198" t="inlineStr">
        <is>
          <t>Shares</t>
        </is>
      </c>
      <c r="G97" s="198" t="inlineStr">
        <is>
          <t>Market cap.</t>
        </is>
      </c>
      <c r="H97" s="198" t="inlineStr">
        <is>
          <t>Debt</t>
        </is>
      </c>
      <c r="I97" s="198" t="inlineStr">
        <is>
          <t>D / E</t>
        </is>
      </c>
      <c r="J97" s="198" t="inlineStr">
        <is>
          <t>Tax rate</t>
        </is>
      </c>
      <c r="K97" s="198" t="inlineStr">
        <is>
          <t>Unl. Beta</t>
        </is>
      </c>
      <c r="L97" s="198" t="inlineStr">
        <is>
          <t>Weigh. Beta</t>
        </is>
      </c>
      <c r="M97" s="198" t="inlineStr">
        <is>
          <t>Relev. Beta</t>
        </is>
      </c>
    </row>
    <row r="98">
      <c r="C98" s="249">
        <f>ticker</f>
        <v>0.0</v>
      </c>
      <c r="D98" s="199">
        <f>beta_observed</f>
        <v>0</v>
      </c>
      <c r="E98" s="200">
        <f>L63</f>
        <v>0</v>
      </c>
      <c r="F98" s="111" t="e">
        <f>L79</f>
        <v>#DIV/0!</v>
      </c>
      <c r="G98" s="111" t="e">
        <f>E98*F98</f>
        <v>#DIV/0!</v>
      </c>
      <c r="H98" s="111">
        <f>debt</f>
        <v>0</v>
      </c>
      <c r="I98" s="201" t="e">
        <f>debt/market_equity</f>
        <v>#DIV/0!</v>
      </c>
      <c r="J98" s="201">
        <f>F24</f>
        <v>0.19786565934493</v>
      </c>
      <c r="K98" s="199" t="e">
        <f>D98/(1+(I98)*(1-J98))</f>
        <v>#DIV/0!</v>
      </c>
      <c r="L98" s="202" t="e">
        <f>K98*G98/$G$102</f>
        <v>#DIV/0!</v>
      </c>
    </row>
    <row r="99">
      <c r="C99" s="203" t="inlineStr">
        <is>
          <t>TICKER 2</t>
        </is>
      </c>
      <c r="D99" s="195" t="n"/>
      <c r="E99" s="204" t="n"/>
      <c r="F99" s="205" t="n"/>
      <c r="G99" s="111">
        <f>E99*F99</f>
        <v>0</v>
      </c>
      <c r="H99" s="205" t="n"/>
      <c r="I99" s="201" t="e">
        <f>H99/(F99*E99)</f>
        <v>#DIV/0!</v>
      </c>
      <c r="J99" s="206" t="n"/>
      <c r="K99" s="199" t="e">
        <f>D99/(1+(I99)*(1-J99))</f>
        <v>#DIV/0!</v>
      </c>
      <c r="L99" s="202" t="e">
        <f>K99*G99/$G$102</f>
        <v>#DIV/0!</v>
      </c>
    </row>
    <row r="100">
      <c r="C100" s="203" t="inlineStr">
        <is>
          <t>TICKER 3</t>
        </is>
      </c>
      <c r="D100" s="195" t="n"/>
      <c r="E100" s="204" t="n"/>
      <c r="F100" s="205" t="n"/>
      <c r="G100" s="111">
        <f>E100*F100</f>
        <v>0</v>
      </c>
      <c r="H100" s="205" t="n"/>
      <c r="I100" s="201" t="e">
        <f>H100/(F100*E100)</f>
        <v>#DIV/0!</v>
      </c>
      <c r="J100" s="206" t="n"/>
      <c r="K100" s="199" t="e">
        <f>D100/(1+(I100)*(1-J100))</f>
        <v>#DIV/0!</v>
      </c>
      <c r="L100" s="202" t="e">
        <f>K100*G100/$G$102</f>
        <v>#DIV/0!</v>
      </c>
    </row>
    <row r="101">
      <c r="C101" s="207" t="inlineStr">
        <is>
          <t>TICKER 4</t>
        </is>
      </c>
      <c r="D101" s="208" t="n"/>
      <c r="E101" s="209" t="n"/>
      <c r="F101" s="210" t="n"/>
      <c r="G101" s="97">
        <f>E101*F101</f>
        <v>0</v>
      </c>
      <c r="H101" s="210" t="n"/>
      <c r="I101" s="211" t="e">
        <f>H101/(F101*E101)</f>
        <v>#DIV/0!</v>
      </c>
      <c r="J101" s="212" t="n"/>
      <c r="K101" s="213" t="e">
        <f>D101/(1+(I101)*(1-J101))</f>
        <v>#DIV/0!</v>
      </c>
      <c r="L101" s="202" t="e">
        <f>K101*G101/$G$102</f>
        <v>#DIV/0!</v>
      </c>
      <c r="M101" s="214" t="n"/>
    </row>
    <row r="102">
      <c r="D102" s="199" t="n"/>
      <c r="E102" s="175" t="n"/>
      <c r="F102" s="131" t="n"/>
      <c r="G102" s="111" t="e">
        <f>SUM(G98:G101)</f>
        <v>#DIV/0!</v>
      </c>
      <c r="I102" s="199" t="n"/>
      <c r="J102" s="214" t="inlineStr">
        <is>
          <t>Average:</t>
        </is>
      </c>
      <c r="K102" s="215" t="e">
        <f>AVERAGE(K98:K101)</f>
        <v>#DIV/0!</v>
      </c>
      <c r="L102" s="215" t="e">
        <f>SUM(L98:L101)</f>
        <v>#DIV/0!</v>
      </c>
      <c r="M102" s="215" t="e">
        <f>L102*(1+(debt/market_equity)*(1-D87))</f>
        <v>#DIV/0!</v>
      </c>
    </row>
  </sheetData>
  <mergeCells count="1">
    <mergeCell ref="G14:V14"/>
  </mergeCells>
  <pageMargins left="0.511811024" right="0.511811024" top="0.787401575" bottom="0.787401575" header="0.31496062" footer="0.314960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2026-10-14T11:19:56Z</dcterms:modified>
  <cp:lastModifiedBy>Lucas Nascimento</cp:lastModifiedBy>
</cp:coreProperties>
</file>