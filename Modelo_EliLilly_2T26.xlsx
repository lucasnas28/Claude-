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9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6805600</v>
      </c>
      <c r="E5" s="265" t="n">
        <v>6740100</v>
      </c>
      <c r="F5" s="265" t="n">
        <v>6772800</v>
      </c>
      <c r="G5" s="265" t="n">
        <v>7999900</v>
      </c>
      <c r="I5" s="265" t="n">
        <v>7810000</v>
      </c>
      <c r="J5" s="265" t="n">
        <v>6488000</v>
      </c>
      <c r="K5" s="265" t="n">
        <v>6941600</v>
      </c>
      <c r="L5" s="265" t="n">
        <v>7301800</v>
      </c>
      <c r="N5" s="265" t="n">
        <v>6960000</v>
      </c>
      <c r="O5" s="265" t="n">
        <v>8312100</v>
      </c>
      <c r="P5" s="265" t="n">
        <v>9498600</v>
      </c>
      <c r="Q5" s="265" t="n">
        <v>9353400</v>
      </c>
      <c r="S5" s="265" t="n">
        <v>8768000</v>
      </c>
      <c r="T5" s="265" t="n">
        <v>11302800</v>
      </c>
      <c r="U5" s="265" t="n">
        <v>11439100</v>
      </c>
      <c r="V5" s="265" t="n">
        <v>13532800</v>
      </c>
      <c r="X5" s="265" t="n">
        <v>12729000</v>
      </c>
      <c r="Y5" s="265" t="n">
        <v>15558000</v>
      </c>
      <c r="Z5" s="265" t="n">
        <v>17600800</v>
      </c>
      <c r="AA5" s="265" t="n">
        <v>19292000</v>
      </c>
      <c r="AC5" s="265" t="n">
        <v>19799000</v>
      </c>
      <c r="AD5" s="265" t="n">
        <v>22974000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1878600</v>
      </c>
      <c r="E6" s="265" t="n">
        <v>1953200</v>
      </c>
      <c r="F6" s="265" t="n">
        <v>1430800</v>
      </c>
      <c r="G6" s="265" t="n">
        <v>2050200</v>
      </c>
      <c r="I6" s="265" t="n">
        <v>2072100</v>
      </c>
      <c r="J6" s="265" t="n">
        <v>1430500</v>
      </c>
      <c r="K6" s="265" t="n">
        <v>1579100</v>
      </c>
      <c r="L6" s="265" t="n">
        <v>1548100</v>
      </c>
      <c r="N6" s="265" t="n">
        <v>1626700</v>
      </c>
      <c r="O6" s="265" t="n">
        <v>1807400</v>
      </c>
      <c r="P6" s="265" t="n">
        <v>1860100</v>
      </c>
      <c r="Q6" s="265" t="n">
        <v>1788000</v>
      </c>
      <c r="S6" s="265" t="n">
        <v>1673500</v>
      </c>
      <c r="T6" s="265" t="n">
        <v>2170200</v>
      </c>
      <c r="U6" s="265" t="n">
        <v>2170800</v>
      </c>
      <c r="V6" s="265" t="n">
        <v>2403800</v>
      </c>
      <c r="X6" s="265" t="n">
        <v>2225000</v>
      </c>
      <c r="Y6" s="265" t="n">
        <v>2448000</v>
      </c>
      <c r="Z6" s="265" t="n">
        <v>3008300</v>
      </c>
      <c r="AA6" s="265" t="n">
        <v>3371700</v>
      </c>
      <c r="AC6" s="265" t="n">
        <v>3577000</v>
      </c>
      <c r="AD6" s="265" t="n">
        <v>3268000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-1878600</v>
      </c>
      <c r="E7" s="265">
        <f>IF(E6="","",-1*E6)</f>
        <v>-1953200</v>
      </c>
      <c r="F7" s="265">
        <f>IF(F6="","",-1*F6)</f>
        <v>-1430800</v>
      </c>
      <c r="G7" s="265">
        <f>IF(G6="","",-1*G6)</f>
        <v>-2050200</v>
      </c>
      <c r="I7" s="265">
        <f>IF(I6="","",-1*I6)</f>
        <v>-2072100</v>
      </c>
      <c r="J7" s="265">
        <f>IF(J6="","",-1*J6)</f>
        <v>-1430500</v>
      </c>
      <c r="K7" s="265">
        <f>IF(K6="","",-1*K6)</f>
        <v>-1579100</v>
      </c>
      <c r="L7" s="265">
        <f>IF(L6="","",-1*L6)</f>
        <v>-1548100</v>
      </c>
      <c r="N7" s="265">
        <f>IF(N6="","",-1*N6)</f>
        <v>-1626700</v>
      </c>
      <c r="O7" s="265">
        <f>IF(O6="","",-1*O6)</f>
        <v>-1807400</v>
      </c>
      <c r="P7" s="265">
        <f>IF(P6="","",-1*P6)</f>
        <v>-1860100</v>
      </c>
      <c r="Q7" s="265">
        <f>IF(Q6="","",-1*Q6)</f>
        <v>-1788000</v>
      </c>
      <c r="S7" s="265">
        <f>IF(S6="","",-1*S6)</f>
        <v>-1673500</v>
      </c>
      <c r="T7" s="265">
        <f>IF(T6="","",-1*T6)</f>
        <v>-2170200</v>
      </c>
      <c r="U7" s="265">
        <f>IF(U6="","",-1*U6)</f>
        <v>-2170800</v>
      </c>
      <c r="V7" s="265">
        <f>IF(V6="","",-1*V6)</f>
        <v>-2403800</v>
      </c>
      <c r="X7" s="265">
        <f>IF(X6="","",-1*X6)</f>
        <v>-2225000</v>
      </c>
      <c r="Y7" s="265">
        <f>IF(Y6="","",-1*Y6)</f>
        <v>-2448000</v>
      </c>
      <c r="Z7" s="265">
        <f>IF(Z6="","",-1*Z6)</f>
        <v>-3008300</v>
      </c>
      <c r="AA7" s="265">
        <f>IF(AA6="","",-1*AA6)</f>
        <v>-3371700</v>
      </c>
      <c r="AC7" s="265">
        <f>IF(AC6="","",-1*AC6)</f>
        <v>-3577000</v>
      </c>
      <c r="AD7" s="265">
        <f>IF(AD6="","",-1*AD6)</f>
        <v>-3268000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/>
      <c r="E8" s="265" t="n"/>
      <c r="F8" s="265" t="n"/>
      <c r="G8" s="265" t="n"/>
      <c r="I8" s="265" t="n"/>
      <c r="J8" s="265" t="n"/>
      <c r="K8" s="265" t="n"/>
      <c r="L8" s="265" t="n"/>
      <c r="N8" s="265" t="n"/>
      <c r="O8" s="265" t="n"/>
      <c r="P8" s="265" t="n"/>
      <c r="Q8" s="265" t="n"/>
      <c r="S8" s="265" t="n"/>
      <c r="T8" s="265" t="n"/>
      <c r="U8" s="265" t="n"/>
      <c r="V8" s="265" t="n"/>
      <c r="X8" s="265" t="n"/>
      <c r="Y8" s="265" t="n"/>
      <c r="Z8" s="265" t="n"/>
      <c r="AA8" s="265" t="n"/>
      <c r="AC8" s="265" t="n"/>
      <c r="AD8" s="265" t="n"/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4927000</v>
      </c>
      <c r="E9" s="265">
        <f>N(E5)-N(E6)-N(E8)</f>
        <v>4786900</v>
      </c>
      <c r="F9" s="265">
        <f>N(F5)-N(F6)-N(F8)</f>
        <v>5342000</v>
      </c>
      <c r="G9" s="265">
        <f>N(G5)-N(G6)-N(G8)</f>
        <v>5949700</v>
      </c>
      <c r="I9" s="265">
        <f>N(I5)-N(I6)-N(I8)</f>
        <v>5737900</v>
      </c>
      <c r="J9" s="265">
        <f>N(J5)-N(J6)-N(J8)</f>
        <v>5057500</v>
      </c>
      <c r="K9" s="265">
        <f>N(K5)-N(K6)-N(K8)</f>
        <v>5362500</v>
      </c>
      <c r="L9" s="265">
        <f>N(L5)-N(L6)-N(L8)</f>
        <v>5753700</v>
      </c>
      <c r="N9" s="265">
        <f>N(N5)-N(N6)-N(N8)</f>
        <v>5333300</v>
      </c>
      <c r="O9" s="265">
        <f>N(O5)-N(O6)-N(O8)</f>
        <v>6504700</v>
      </c>
      <c r="P9" s="265">
        <f>N(P5)-N(P6)-N(P8)</f>
        <v>7638500</v>
      </c>
      <c r="Q9" s="265">
        <f>N(Q5)-N(Q6)-N(Q8)</f>
        <v>7565400</v>
      </c>
      <c r="S9" s="265">
        <f>N(S5)-N(S6)-N(S8)</f>
        <v>7094500</v>
      </c>
      <c r="T9" s="265">
        <f>N(T5)-N(T6)-N(T8)</f>
        <v>9132600</v>
      </c>
      <c r="U9" s="265">
        <f>N(U5)-N(U6)-N(U8)</f>
        <v>9268300</v>
      </c>
      <c r="V9" s="265">
        <f>N(V5)-N(V6)-N(V8)</f>
        <v>11129000</v>
      </c>
      <c r="X9" s="265">
        <f>N(X5)-N(X6)-N(X8)</f>
        <v>10504000</v>
      </c>
      <c r="Y9" s="265">
        <f>N(Y5)-N(Y6)-N(Y8)</f>
        <v>13110000</v>
      </c>
      <c r="Z9" s="265">
        <f>N(Z5)-N(Z6)-N(Z8)</f>
        <v>14592500</v>
      </c>
      <c r="AA9" s="265">
        <f>N(AA5)-N(AA6)-N(AA8)</f>
        <v>15920300</v>
      </c>
      <c r="AC9" s="265">
        <f>N(AC5)-N(AC6)-N(AC8)</f>
        <v>16222000</v>
      </c>
      <c r="AD9" s="265">
        <f>N(AD5)-N(AD6)-N(AD8)</f>
        <v>19706000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-4927000</v>
      </c>
      <c r="E10" s="265">
        <f>IF(E9="","",-1*E9)</f>
        <v>-4786900</v>
      </c>
      <c r="F10" s="265">
        <f>IF(F9="","",-1*F9)</f>
        <v>-5342000</v>
      </c>
      <c r="G10" s="265">
        <f>IF(G9="","",-1*G9)</f>
        <v>-5949700</v>
      </c>
      <c r="I10" s="265">
        <f>IF(I9="","",-1*I9)</f>
        <v>-5737900</v>
      </c>
      <c r="J10" s="265">
        <f>IF(J9="","",-1*J9)</f>
        <v>-5057500</v>
      </c>
      <c r="K10" s="265">
        <f>IF(K9="","",-1*K9)</f>
        <v>-5362500</v>
      </c>
      <c r="L10" s="265">
        <f>IF(L9="","",-1*L9)</f>
        <v>-5753700</v>
      </c>
      <c r="N10" s="265">
        <f>IF(N9="","",-1*N9)</f>
        <v>-5333300</v>
      </c>
      <c r="O10" s="265">
        <f>IF(O9="","",-1*O9)</f>
        <v>-6504700</v>
      </c>
      <c r="P10" s="265">
        <f>IF(P9="","",-1*P9)</f>
        <v>-7638500</v>
      </c>
      <c r="Q10" s="265">
        <f>IF(Q9="","",-1*Q9)</f>
        <v>-7565400</v>
      </c>
      <c r="S10" s="265">
        <f>IF(S9="","",-1*S9)</f>
        <v>-7094500</v>
      </c>
      <c r="T10" s="265">
        <f>IF(T9="","",-1*T9)</f>
        <v>-9132600</v>
      </c>
      <c r="U10" s="265">
        <f>IF(U9="","",-1*U9)</f>
        <v>-9268300</v>
      </c>
      <c r="V10" s="265">
        <f>IF(V9="","",-1*V9)</f>
        <v>-11129000</v>
      </c>
      <c r="X10" s="265">
        <f>IF(X9="","",-1*X9)</f>
        <v>-10504000</v>
      </c>
      <c r="Y10" s="265">
        <f>IF(Y9="","",-1*Y9)</f>
        <v>-13110000</v>
      </c>
      <c r="Z10" s="265">
        <f>IF(Z9="","",-1*Z9)</f>
        <v>-14592500</v>
      </c>
      <c r="AA10" s="265">
        <f>IF(AA9="","",-1*AA9)</f>
        <v>-15920300</v>
      </c>
      <c r="AC10" s="265">
        <f>IF(AC9="","",-1*AC9)</f>
        <v>-16222000</v>
      </c>
      <c r="AD10" s="265">
        <f>IF(AD9="","",-1*AD9)</f>
        <v>-19706000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1476400</v>
      </c>
      <c r="E11" s="265" t="n">
        <v>1593900</v>
      </c>
      <c r="F11" s="265" t="n">
        <v>1245300</v>
      </c>
      <c r="G11" s="265" t="n">
        <v>1839900</v>
      </c>
      <c r="I11" s="265" t="n">
        <v>2053600</v>
      </c>
      <c r="J11" s="265" t="n">
        <v>1090900</v>
      </c>
      <c r="K11" s="265" t="n">
        <v>1565500</v>
      </c>
      <c r="L11" s="265" t="n">
        <v>2096400</v>
      </c>
      <c r="N11" s="265" t="n">
        <v>1529700</v>
      </c>
      <c r="O11" s="265" t="n">
        <v>2088900</v>
      </c>
      <c r="P11" s="265" t="n">
        <v>427200</v>
      </c>
      <c r="Q11" s="265" t="n">
        <v>2508800</v>
      </c>
      <c r="S11" s="265" t="n">
        <v>2536100</v>
      </c>
      <c r="T11" s="265" t="n">
        <v>3517200</v>
      </c>
      <c r="U11" s="265" t="n">
        <v>1588400</v>
      </c>
      <c r="V11" s="265" t="n">
        <v>5038700</v>
      </c>
      <c r="X11" s="265" t="n">
        <v>3456000</v>
      </c>
      <c r="Y11" s="265" t="n">
        <v>6777000</v>
      </c>
      <c r="Z11" s="265" t="n">
        <v>7232400</v>
      </c>
      <c r="AA11" s="265" t="n">
        <v>8266200</v>
      </c>
      <c r="AC11" s="265" t="n">
        <v>8850000</v>
      </c>
      <c r="AD11" s="265" t="n">
        <v>9247000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1476400</v>
      </c>
      <c r="E12" s="265">
        <f>N(E11)-N(E8)</f>
        <v>1593900</v>
      </c>
      <c r="F12" s="265">
        <f>N(F11)-N(F8)</f>
        <v>1245300</v>
      </c>
      <c r="G12" s="265">
        <f>N(G11)-N(G8)</f>
        <v>1839900</v>
      </c>
      <c r="I12" s="265">
        <f>N(I11)-N(I8)</f>
        <v>2053600</v>
      </c>
      <c r="J12" s="265">
        <f>N(J11)-N(J8)</f>
        <v>1090900</v>
      </c>
      <c r="K12" s="265">
        <f>N(K11)-N(K8)</f>
        <v>1565500</v>
      </c>
      <c r="L12" s="265">
        <f>N(L11)-N(L8)</f>
        <v>2096400</v>
      </c>
      <c r="N12" s="265">
        <f>N(N11)-N(N8)</f>
        <v>1529700</v>
      </c>
      <c r="O12" s="265">
        <f>N(O11)-N(O8)</f>
        <v>2088900</v>
      </c>
      <c r="P12" s="265">
        <f>N(P11)-N(P8)</f>
        <v>427200</v>
      </c>
      <c r="Q12" s="265">
        <f>N(Q11)-N(Q8)</f>
        <v>2508800</v>
      </c>
      <c r="S12" s="265">
        <f>N(S11)-N(S8)</f>
        <v>2536100</v>
      </c>
      <c r="T12" s="265">
        <f>N(T11)-N(T8)</f>
        <v>3517200</v>
      </c>
      <c r="U12" s="265">
        <f>N(U11)-N(U8)</f>
        <v>1588400</v>
      </c>
      <c r="V12" s="265">
        <f>N(V11)-N(V8)</f>
        <v>5038700</v>
      </c>
      <c r="X12" s="265">
        <f>N(X11)-N(X8)</f>
        <v>3456000</v>
      </c>
      <c r="Y12" s="265">
        <f>N(Y11)-N(Y8)</f>
        <v>6777000</v>
      </c>
      <c r="Z12" s="265">
        <f>N(Z11)-N(Z8)</f>
        <v>7232400</v>
      </c>
      <c r="AA12" s="265">
        <f>N(AA11)-N(AA8)</f>
        <v>8266200</v>
      </c>
      <c r="AC12" s="265">
        <f>N(AC11)-N(AC8)</f>
        <v>8850000</v>
      </c>
      <c r="AD12" s="265">
        <f>N(AD11)-N(AD8)</f>
        <v>9247000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87800</v>
      </c>
      <c r="E13" s="265" t="n">
        <v>86900</v>
      </c>
      <c r="F13" s="265" t="n">
        <v>83600</v>
      </c>
      <c r="G13" s="265" t="n">
        <v>81400</v>
      </c>
      <c r="I13" s="265" t="n">
        <v>84900</v>
      </c>
      <c r="J13" s="265" t="n">
        <v>81200</v>
      </c>
      <c r="K13" s="265" t="n">
        <v>81500</v>
      </c>
      <c r="L13" s="265" t="n">
        <v>84000</v>
      </c>
      <c r="N13" s="265" t="n">
        <v>102800</v>
      </c>
      <c r="O13" s="265" t="n">
        <v>120300</v>
      </c>
      <c r="P13" s="265" t="n">
        <v>124600</v>
      </c>
      <c r="Q13" s="265" t="n">
        <v>138200</v>
      </c>
      <c r="S13" s="265" t="n">
        <v>179600</v>
      </c>
      <c r="T13" s="265" t="n">
        <v>183600</v>
      </c>
      <c r="U13" s="265" t="n">
        <v>192700</v>
      </c>
      <c r="V13" s="265" t="n">
        <v>224700</v>
      </c>
      <c r="X13" s="265" t="n">
        <v>243700</v>
      </c>
      <c r="Y13" s="265" t="n">
        <v>249000</v>
      </c>
      <c r="Z13" s="265" t="n">
        <v>179600</v>
      </c>
      <c r="AA13" s="265" t="n">
        <v>222600</v>
      </c>
      <c r="AC13" s="265" t="n">
        <v>0</v>
      </c>
      <c r="AD13" s="265" t="n">
        <v>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-87800</v>
      </c>
      <c r="E14" s="265">
        <f>IF(E13="","",-1*E13)</f>
        <v>-86900</v>
      </c>
      <c r="F14" s="265">
        <f>IF(F13="","",-1*F13)</f>
        <v>-83600</v>
      </c>
      <c r="G14" s="265">
        <f>IF(G13="","",-1*G13)</f>
        <v>-81400</v>
      </c>
      <c r="I14" s="265">
        <f>IF(I13="","",-1*I13)</f>
        <v>-84900</v>
      </c>
      <c r="J14" s="265">
        <f>IF(J13="","",-1*J13)</f>
        <v>-81200</v>
      </c>
      <c r="K14" s="265">
        <f>IF(K13="","",-1*K13)</f>
        <v>-81500</v>
      </c>
      <c r="L14" s="265">
        <f>IF(L13="","",-1*L13)</f>
        <v>-84000</v>
      </c>
      <c r="N14" s="265">
        <f>IF(N13="","",-1*N13)</f>
        <v>-102800</v>
      </c>
      <c r="O14" s="265">
        <f>IF(O13="","",-1*O13)</f>
        <v>-120300</v>
      </c>
      <c r="P14" s="265">
        <f>IF(P13="","",-1*P13)</f>
        <v>-124600</v>
      </c>
      <c r="Q14" s="265">
        <f>IF(Q13="","",-1*Q13)</f>
        <v>-138200</v>
      </c>
      <c r="S14" s="265">
        <f>IF(S13="","",-1*S13)</f>
        <v>-179600</v>
      </c>
      <c r="T14" s="265">
        <f>IF(T13="","",-1*T13)</f>
        <v>-183600</v>
      </c>
      <c r="U14" s="265">
        <f>IF(U13="","",-1*U13)</f>
        <v>-192700</v>
      </c>
      <c r="V14" s="265">
        <f>IF(V13="","",-1*V13)</f>
        <v>-224700</v>
      </c>
      <c r="X14" s="265">
        <f>IF(X13="","",-1*X13)</f>
        <v>-243700</v>
      </c>
      <c r="Y14" s="265">
        <f>IF(Y13="","",-1*Y13)</f>
        <v>-249000</v>
      </c>
      <c r="Z14" s="265">
        <f>IF(Z13="","",-1*Z13)</f>
        <v>-179600</v>
      </c>
      <c r="AA14" s="265">
        <f>IF(AA13="","",-1*AA13)</f>
        <v>-222600</v>
      </c>
      <c r="AC14" s="265">
        <f>IF(AC13="","",-1*AC13)</f>
        <v>0</v>
      </c>
      <c r="AD14" s="265">
        <f>IF(AD13="","",-1*AD13)</f>
        <v>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87800</v>
      </c>
      <c r="E15" s="265">
        <f>IF(E13="","",E13)</f>
        <v>86900</v>
      </c>
      <c r="F15" s="265">
        <f>IF(F13="","",F13)</f>
        <v>83600</v>
      </c>
      <c r="G15" s="265">
        <f>IF(G13="","",G13)</f>
        <v>81400</v>
      </c>
      <c r="I15" s="265">
        <f>IF(I13="","",I13)</f>
        <v>84900</v>
      </c>
      <c r="J15" s="265">
        <f>IF(J13="","",J13)</f>
        <v>81200</v>
      </c>
      <c r="K15" s="265">
        <f>IF(K13="","",K13)</f>
        <v>81500</v>
      </c>
      <c r="L15" s="265">
        <f>IF(L13="","",L13)</f>
        <v>84000</v>
      </c>
      <c r="N15" s="265">
        <f>IF(N13="","",N13)</f>
        <v>102800</v>
      </c>
      <c r="O15" s="265">
        <f>IF(O13="","",O13)</f>
        <v>120300</v>
      </c>
      <c r="P15" s="265">
        <f>IF(P13="","",P13)</f>
        <v>124600</v>
      </c>
      <c r="Q15" s="265">
        <f>IF(Q13="","",Q13)</f>
        <v>138200</v>
      </c>
      <c r="S15" s="265">
        <f>IF(S13="","",S13)</f>
        <v>179600</v>
      </c>
      <c r="T15" s="265">
        <f>IF(T13="","",T13)</f>
        <v>183600</v>
      </c>
      <c r="U15" s="265">
        <f>IF(U13="","",U13)</f>
        <v>192700</v>
      </c>
      <c r="V15" s="265">
        <f>IF(V13="","",V13)</f>
        <v>224700</v>
      </c>
      <c r="X15" s="265">
        <f>IF(X13="","",X13)</f>
        <v>243700</v>
      </c>
      <c r="Y15" s="265">
        <f>IF(Y13="","",Y13)</f>
        <v>249000</v>
      </c>
      <c r="Z15" s="265">
        <f>IF(Z13="","",Z13)</f>
        <v>179600</v>
      </c>
      <c r="AA15" s="265">
        <f>IF(AA13="","",AA13)</f>
        <v>222600</v>
      </c>
      <c r="AC15" s="265">
        <f>IF(AC13="","",AC13)</f>
        <v>0</v>
      </c>
      <c r="AD15" s="265">
        <f>IF(AD13="","",AD13)</f>
        <v>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121100</v>
      </c>
      <c r="E16" s="265" t="n">
        <v>203700</v>
      </c>
      <c r="F16" s="265" t="n">
        <v>135200</v>
      </c>
      <c r="G16" s="265" t="n">
        <v>113800</v>
      </c>
      <c r="I16" s="265" t="n">
        <v>150700</v>
      </c>
      <c r="J16" s="265" t="n">
        <v>138400</v>
      </c>
      <c r="K16" s="265" t="n">
        <v>113800</v>
      </c>
      <c r="L16" s="265" t="n">
        <v>158700</v>
      </c>
      <c r="N16" s="265" t="n">
        <v>184800</v>
      </c>
      <c r="O16" s="265" t="n">
        <v>325700</v>
      </c>
      <c r="P16" s="265" t="n">
        <v>484600</v>
      </c>
      <c r="Q16" s="265" t="n">
        <v>319100</v>
      </c>
      <c r="S16" s="265" t="n">
        <v>293200</v>
      </c>
      <c r="T16" s="265" t="n">
        <v>550200</v>
      </c>
      <c r="U16" s="265" t="n">
        <v>618100</v>
      </c>
      <c r="V16" s="265" t="n">
        <v>628900</v>
      </c>
      <c r="X16" s="265" t="n">
        <v>697000</v>
      </c>
      <c r="Y16" s="265" t="n">
        <v>1116000</v>
      </c>
      <c r="Z16" s="265" t="n">
        <v>1649900</v>
      </c>
      <c r="AA16" s="265" t="n">
        <v>1628500</v>
      </c>
      <c r="AC16" s="265" t="n">
        <v>1454000</v>
      </c>
      <c r="AD16" s="265" t="n">
        <v>2152000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-121100</v>
      </c>
      <c r="E17" s="265">
        <f>IF(E16="","",-1*E16)</f>
        <v>-203700</v>
      </c>
      <c r="F17" s="265">
        <f>IF(F16="","",-1*F16)</f>
        <v>-135200</v>
      </c>
      <c r="G17" s="265">
        <f>IF(G16="","",-1*G16)</f>
        <v>-113800</v>
      </c>
      <c r="I17" s="265">
        <f>IF(I16="","",-1*I16)</f>
        <v>-150700</v>
      </c>
      <c r="J17" s="265">
        <f>IF(J16="","",-1*J16)</f>
        <v>-138400</v>
      </c>
      <c r="K17" s="265">
        <f>IF(K16="","",-1*K16)</f>
        <v>-113800</v>
      </c>
      <c r="L17" s="265">
        <f>IF(L16="","",-1*L16)</f>
        <v>-158700</v>
      </c>
      <c r="N17" s="265">
        <f>IF(N16="","",-1*N16)</f>
        <v>-184800</v>
      </c>
      <c r="O17" s="265">
        <f>IF(O16="","",-1*O16)</f>
        <v>-325700</v>
      </c>
      <c r="P17" s="265">
        <f>IF(P16="","",-1*P16)</f>
        <v>-484600</v>
      </c>
      <c r="Q17" s="265">
        <f>IF(Q16="","",-1*Q16)</f>
        <v>-319100</v>
      </c>
      <c r="S17" s="265">
        <f>IF(S16="","",-1*S16)</f>
        <v>-293200</v>
      </c>
      <c r="T17" s="265">
        <f>IF(T16="","",-1*T16)</f>
        <v>-550200</v>
      </c>
      <c r="U17" s="265">
        <f>IF(U16="","",-1*U16)</f>
        <v>-618100</v>
      </c>
      <c r="V17" s="265">
        <f>IF(V16="","",-1*V16)</f>
        <v>-628900</v>
      </c>
      <c r="X17" s="265">
        <f>IF(X16="","",-1*X16)</f>
        <v>-697000</v>
      </c>
      <c r="Y17" s="265">
        <f>IF(Y16="","",-1*Y16)</f>
        <v>-1116000</v>
      </c>
      <c r="Z17" s="265">
        <f>IF(Z16="","",-1*Z16)</f>
        <v>-1649900</v>
      </c>
      <c r="AA17" s="265">
        <f>IF(AA16="","",-1*AA16)</f>
        <v>-1628500</v>
      </c>
      <c r="AC17" s="265">
        <f>IF(AC16="","",-1*AC16)</f>
        <v>-1454000</v>
      </c>
      <c r="AD17" s="265">
        <f>IF(AD16="","",-1*AD16)</f>
        <v>-2152000</v>
      </c>
    </row>
    <row r="18">
      <c r="A18" t="inlineStr">
        <is>
          <t>Lucro líquido atribuído à companhia [us-gaap:NetIncomeLoss] · memoria · unid. moeda</t>
        </is>
      </c>
      <c r="C18" t="inlineStr">
        <is>
          <t>[linha bruta, sem código; lançada nas linhas abaixo]</t>
        </is>
      </c>
      <c r="D18" s="265" t="n">
        <v>1355300</v>
      </c>
      <c r="E18" s="265" t="n">
        <v>1390200</v>
      </c>
      <c r="F18" s="265" t="n">
        <v>1110100</v>
      </c>
      <c r="G18" s="265" t="n">
        <v>1726100</v>
      </c>
      <c r="I18" s="265" t="n">
        <v>1902900</v>
      </c>
      <c r="J18" s="265" t="n">
        <v>952500</v>
      </c>
      <c r="K18" s="265" t="n">
        <v>1451700</v>
      </c>
      <c r="L18" s="265" t="n">
        <v>1937700</v>
      </c>
      <c r="N18" s="265" t="n">
        <v>1344900</v>
      </c>
      <c r="O18" s="265" t="n">
        <v>1763200</v>
      </c>
      <c r="P18" s="265" t="n">
        <v>-57400</v>
      </c>
      <c r="Q18" s="265" t="n">
        <v>2189700</v>
      </c>
      <c r="S18" s="265" t="n">
        <v>2242900</v>
      </c>
      <c r="T18" s="265" t="n">
        <v>2967000</v>
      </c>
      <c r="U18" s="265" t="n">
        <v>970300</v>
      </c>
      <c r="V18" s="265" t="n">
        <v>4409800</v>
      </c>
      <c r="X18" s="265" t="n">
        <v>2759000</v>
      </c>
      <c r="Y18" s="265" t="n">
        <v>5661000</v>
      </c>
      <c r="Z18" s="265" t="n">
        <v>5582500</v>
      </c>
      <c r="AA18" s="265" t="n">
        <v>6637700</v>
      </c>
      <c r="AC18" s="265" t="n">
        <v>7396000</v>
      </c>
      <c r="AD18" s="265" t="n">
        <v>7095000</v>
      </c>
    </row>
    <row r="19">
      <c r="A19" t="inlineStr">
        <is>
          <t>Resultado após IR não classificado acima (equivalência patrimonial, operações descontinuadas): lucro - (LAIR - IR - minoritários); zero quando não há · derivada · unid. moeda</t>
        </is>
      </c>
      <c r="B19" t="n">
        <v>8</v>
      </c>
      <c r="C19" t="inlineStr">
        <is>
          <t>Equity in Income of Affiliates, after tax (enter as +)</t>
        </is>
      </c>
      <c r="D19" s="265">
        <f>N(D18)-(N(D11)-N(D16)-0)</f>
        <v>0</v>
      </c>
      <c r="E19" s="265">
        <f>N(E18)-(N(E11)-N(E16)-0)</f>
        <v>0</v>
      </c>
      <c r="F19" s="265">
        <f>N(F18)-(N(F11)-N(F16)-0)</f>
        <v>0</v>
      </c>
      <c r="G19" s="265">
        <f>N(G18)-(N(G11)-N(G16)-0)</f>
        <v>0</v>
      </c>
      <c r="I19" s="265">
        <f>N(I18)-(N(I11)-N(I16)-0)</f>
        <v>0</v>
      </c>
      <c r="J19" s="265">
        <f>N(J18)-(N(J11)-N(J16)-0)</f>
        <v>0</v>
      </c>
      <c r="K19" s="265">
        <f>N(K18)-(N(K11)-N(K16)-0)</f>
        <v>0</v>
      </c>
      <c r="L19" s="265">
        <f>N(L18)-(N(L11)-N(L16)-0)</f>
        <v>0</v>
      </c>
      <c r="N19" s="265">
        <f>N(N18)-(N(N11)-N(N16)-0)</f>
        <v>0</v>
      </c>
      <c r="O19" s="265">
        <f>N(O18)-(N(O11)-N(O16)-0)</f>
        <v>0</v>
      </c>
      <c r="P19" s="265">
        <f>N(P18)-(N(P11)-N(P16)-0)</f>
        <v>0</v>
      </c>
      <c r="Q19" s="265">
        <f>N(Q18)-(N(Q11)-N(Q16)-0)</f>
        <v>0</v>
      </c>
      <c r="S19" s="265">
        <f>N(S18)-(N(S11)-N(S16)-0)</f>
        <v>0</v>
      </c>
      <c r="T19" s="265">
        <f>N(T18)-(N(T11)-N(T16)-0)</f>
        <v>0</v>
      </c>
      <c r="U19" s="265">
        <f>N(U18)-(N(U11)-N(U16)-0)</f>
        <v>0</v>
      </c>
      <c r="V19" s="265">
        <f>N(V18)-(N(V11)-N(V16)-0)</f>
        <v>0</v>
      </c>
      <c r="X19" s="265">
        <f>N(X18)-(N(X11)-N(X16)-0)</f>
        <v>0</v>
      </c>
      <c r="Y19" s="265">
        <f>N(Y18)-(N(Y11)-N(Y16)-0)</f>
        <v>0</v>
      </c>
      <c r="Z19" s="265">
        <f>N(Z18)-(N(Z11)-N(Z16)-0)</f>
        <v>0</v>
      </c>
      <c r="AA19" s="265">
        <f>N(AA18)-(N(AA11)-N(AA16)-0)</f>
        <v>0</v>
      </c>
      <c r="AC19" s="265">
        <f>N(AC18)-(N(AC11)-N(AC16)-0)</f>
        <v>0</v>
      </c>
      <c r="AD19" s="265">
        <f>N(AD18)-(N(AD11)-N(AD16)-0)</f>
        <v>0</v>
      </c>
    </row>
    <row r="20">
      <c r="A20" t="inlineStr">
        <is>
          <t>Lucro líquido (check IS, código 44) · derivada · unid. moeda</t>
        </is>
      </c>
      <c r="B20" t="n">
        <v>44</v>
      </c>
      <c r="C20" t="inlineStr">
        <is>
          <t>Lucro líquido (check IS, código 44)</t>
        </is>
      </c>
      <c r="D20" s="265">
        <f>N(D18)</f>
        <v>1355300</v>
      </c>
      <c r="E20" s="265">
        <f>N(E18)</f>
        <v>1390200</v>
      </c>
      <c r="F20" s="265">
        <f>N(F18)</f>
        <v>1110100</v>
      </c>
      <c r="G20" s="265">
        <f>N(G18)</f>
        <v>1726100</v>
      </c>
      <c r="I20" s="265">
        <f>N(I18)</f>
        <v>1902900</v>
      </c>
      <c r="J20" s="265">
        <f>N(J18)</f>
        <v>952500</v>
      </c>
      <c r="K20" s="265">
        <f>N(K18)</f>
        <v>1451700</v>
      </c>
      <c r="L20" s="265">
        <f>N(L18)</f>
        <v>1937700</v>
      </c>
      <c r="N20" s="265">
        <f>N(N18)</f>
        <v>1344900</v>
      </c>
      <c r="O20" s="265">
        <f>N(O18)</f>
        <v>1763200</v>
      </c>
      <c r="P20" s="265">
        <f>N(P18)</f>
        <v>-57400</v>
      </c>
      <c r="Q20" s="265">
        <f>N(Q18)</f>
        <v>2189700</v>
      </c>
      <c r="S20" s="265">
        <f>N(S18)</f>
        <v>2242900</v>
      </c>
      <c r="T20" s="265">
        <f>N(T18)</f>
        <v>2967000</v>
      </c>
      <c r="U20" s="265">
        <f>N(U18)</f>
        <v>970300</v>
      </c>
      <c r="V20" s="265">
        <f>N(V18)</f>
        <v>4409800</v>
      </c>
      <c r="X20" s="265">
        <f>N(X18)</f>
        <v>2759000</v>
      </c>
      <c r="Y20" s="265">
        <f>N(Y18)</f>
        <v>5661000</v>
      </c>
      <c r="Z20" s="265">
        <f>N(Z18)</f>
        <v>5582500</v>
      </c>
      <c r="AA20" s="265">
        <f>N(AA18)</f>
        <v>6637700</v>
      </c>
      <c r="AC20" s="265">
        <f>N(AC18)</f>
        <v>7396000</v>
      </c>
      <c r="AD20" s="265">
        <f>N(AD18)</f>
        <v>7095000</v>
      </c>
    </row>
    <row r="21">
      <c r="A21" t="inlineStr">
        <is>
          <t>DFC - trimestre isolado (desacumulado na extração)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/>
      <c r="I21" s="265" t="n"/>
      <c r="J21" s="265" t="n"/>
      <c r="K21" s="265" t="n"/>
      <c r="L21" s="265" t="n"/>
      <c r="N21" s="265" t="n"/>
      <c r="O21" s="265" t="n"/>
      <c r="P21" s="265" t="n"/>
      <c r="Q21" s="265" t="n"/>
      <c r="S21" s="265" t="n"/>
      <c r="T21" s="265" t="n"/>
      <c r="U21" s="265" t="n"/>
      <c r="V21" s="265" t="n"/>
      <c r="X21" s="265" t="n"/>
      <c r="Y21" s="265" t="n"/>
      <c r="Z21" s="265" t="n"/>
      <c r="AA21" s="265" t="n"/>
      <c r="AC21" s="265" t="n"/>
      <c r="AD21" s="265" t="n"/>
    </row>
    <row r="22">
      <c r="A22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2" t="inlineStr">
        <is>
          <t>[linha bruta, sem código; lançada nas linhas abaixo]</t>
        </is>
      </c>
      <c r="D22" s="265" t="n">
        <v>350300</v>
      </c>
      <c r="E22" s="265" t="n">
        <v>369300</v>
      </c>
      <c r="F22" s="265" t="n">
        <v>382300</v>
      </c>
      <c r="G22" s="265" t="n">
        <v>445700</v>
      </c>
      <c r="I22" s="265" t="n">
        <v>435700</v>
      </c>
      <c r="J22" s="265" t="n">
        <v>348900</v>
      </c>
      <c r="K22" s="265" t="n">
        <v>362900</v>
      </c>
      <c r="L22" s="265" t="n">
        <v>375000</v>
      </c>
      <c r="N22" s="265" t="n">
        <v>362300</v>
      </c>
      <c r="O22" s="265" t="n">
        <v>366300</v>
      </c>
      <c r="P22" s="265" t="n">
        <v>411000</v>
      </c>
      <c r="Q22" s="265" t="n">
        <v>387700</v>
      </c>
      <c r="S22" s="265" t="n">
        <v>400600</v>
      </c>
      <c r="T22" s="265" t="n">
        <v>414400</v>
      </c>
      <c r="U22" s="265" t="n">
        <v>466800</v>
      </c>
      <c r="V22" s="265" t="n">
        <v>484800</v>
      </c>
      <c r="X22" s="265" t="n">
        <v>462800</v>
      </c>
      <c r="Y22" s="265" t="n">
        <v>478500</v>
      </c>
      <c r="Z22" s="265" t="n">
        <v>470000</v>
      </c>
      <c r="AA22" s="265" t="n">
        <v>585700</v>
      </c>
      <c r="AC22" s="265" t="n">
        <v>509000</v>
      </c>
      <c r="AD22" s="265" t="n">
        <v>534000</v>
      </c>
    </row>
    <row r="23">
      <c r="A23" t="inlineStr">
        <is>
          <t>(lançamento) código 4, sinal -1 sobre a linha bruta 22: D&amp;A (fluxo de caixa). COD1=4 lança (positivo -&gt; -1); COD2=3 devolve às despesas operaciona</t>
        </is>
      </c>
      <c r="B23" t="n">
        <v>4</v>
      </c>
      <c r="C23" t="inlineStr">
        <is>
          <t>D&amp;A</t>
        </is>
      </c>
      <c r="D23" s="265">
        <f>IF(D22="","",-1*D22)</f>
        <v>-350300</v>
      </c>
      <c r="E23" s="265">
        <f>IF(E22="","",-1*E22)</f>
        <v>-369300</v>
      </c>
      <c r="F23" s="265">
        <f>IF(F22="","",-1*F22)</f>
        <v>-382300</v>
      </c>
      <c r="G23" s="265">
        <f>IF(G22="","",-1*G22)</f>
        <v>-445700</v>
      </c>
      <c r="I23" s="265">
        <f>IF(I22="","",-1*I22)</f>
        <v>-435700</v>
      </c>
      <c r="J23" s="265">
        <f>IF(J22="","",-1*J22)</f>
        <v>-348900</v>
      </c>
      <c r="K23" s="265">
        <f>IF(K22="","",-1*K22)</f>
        <v>-362900</v>
      </c>
      <c r="L23" s="265">
        <f>IF(L22="","",-1*L22)</f>
        <v>-375000</v>
      </c>
      <c r="N23" s="265">
        <f>IF(N22="","",-1*N22)</f>
        <v>-362300</v>
      </c>
      <c r="O23" s="265">
        <f>IF(O22="","",-1*O22)</f>
        <v>-366300</v>
      </c>
      <c r="P23" s="265">
        <f>IF(P22="","",-1*P22)</f>
        <v>-411000</v>
      </c>
      <c r="Q23" s="265">
        <f>IF(Q22="","",-1*Q22)</f>
        <v>-387700</v>
      </c>
      <c r="S23" s="265">
        <f>IF(S22="","",-1*S22)</f>
        <v>-400600</v>
      </c>
      <c r="T23" s="265">
        <f>IF(T22="","",-1*T22)</f>
        <v>-414400</v>
      </c>
      <c r="U23" s="265">
        <f>IF(U22="","",-1*U22)</f>
        <v>-466800</v>
      </c>
      <c r="V23" s="265">
        <f>IF(V22="","",-1*V22)</f>
        <v>-484800</v>
      </c>
      <c r="X23" s="265">
        <f>IF(X22="","",-1*X22)</f>
        <v>-462800</v>
      </c>
      <c r="Y23" s="265">
        <f>IF(Y22="","",-1*Y22)</f>
        <v>-478500</v>
      </c>
      <c r="Z23" s="265">
        <f>IF(Z22="","",-1*Z22)</f>
        <v>-470000</v>
      </c>
      <c r="AA23" s="265">
        <f>IF(AA22="","",-1*AA22)</f>
        <v>-585700</v>
      </c>
      <c r="AC23" s="265">
        <f>IF(AC22="","",-1*AC22)</f>
        <v>-509000</v>
      </c>
      <c r="AD23" s="265">
        <f>IF(AD22="","",-1*AD22)</f>
        <v>-534000</v>
      </c>
    </row>
    <row r="24">
      <c r="A24" t="inlineStr">
        <is>
          <t>(lançamento) código 3, sinal +1 sobre a linha bruta 22: D&amp;A (fluxo de caixa). COD1=4 lança (positivo -&gt; -1); COD2=3 devolve às despesas operaciona</t>
        </is>
      </c>
      <c r="B24" t="n">
        <v>3</v>
      </c>
      <c r="C24" t="inlineStr">
        <is>
          <t>SG&amp;A and Other (cash)</t>
        </is>
      </c>
      <c r="D24" s="265">
        <f>IF(D22="","",D22)</f>
        <v>350300</v>
      </c>
      <c r="E24" s="265">
        <f>IF(E22="","",E22)</f>
        <v>369300</v>
      </c>
      <c r="F24" s="265">
        <f>IF(F22="","",F22)</f>
        <v>382300</v>
      </c>
      <c r="G24" s="265">
        <f>IF(G22="","",G22)</f>
        <v>445700</v>
      </c>
      <c r="I24" s="265">
        <f>IF(I22="","",I22)</f>
        <v>435700</v>
      </c>
      <c r="J24" s="265">
        <f>IF(J22="","",J22)</f>
        <v>348900</v>
      </c>
      <c r="K24" s="265">
        <f>IF(K22="","",K22)</f>
        <v>362900</v>
      </c>
      <c r="L24" s="265">
        <f>IF(L22="","",L22)</f>
        <v>375000</v>
      </c>
      <c r="N24" s="265">
        <f>IF(N22="","",N22)</f>
        <v>362300</v>
      </c>
      <c r="O24" s="265">
        <f>IF(O22="","",O22)</f>
        <v>366300</v>
      </c>
      <c r="P24" s="265">
        <f>IF(P22="","",P22)</f>
        <v>411000</v>
      </c>
      <c r="Q24" s="265">
        <f>IF(Q22="","",Q22)</f>
        <v>387700</v>
      </c>
      <c r="S24" s="265">
        <f>IF(S22="","",S22)</f>
        <v>400600</v>
      </c>
      <c r="T24" s="265">
        <f>IF(T22="","",T22)</f>
        <v>414400</v>
      </c>
      <c r="U24" s="265">
        <f>IF(U22="","",U22)</f>
        <v>466800</v>
      </c>
      <c r="V24" s="265">
        <f>IF(V22="","",V22)</f>
        <v>484800</v>
      </c>
      <c r="X24" s="265">
        <f>IF(X22="","",X22)</f>
        <v>462800</v>
      </c>
      <c r="Y24" s="265">
        <f>IF(Y22="","",Y22)</f>
        <v>478500</v>
      </c>
      <c r="Z24" s="265">
        <f>IF(Z22="","",Z22)</f>
        <v>470000</v>
      </c>
      <c r="AA24" s="265">
        <f>IF(AA22="","",AA22)</f>
        <v>585700</v>
      </c>
      <c r="AC24" s="265">
        <f>IF(AC22="","",AC22)</f>
        <v>509000</v>
      </c>
      <c r="AD24" s="265">
        <f>IF(AD22="","",AD22)</f>
        <v>534000</v>
      </c>
    </row>
    <row r="25">
      <c r="A25" t="inlineStr">
        <is>
          <t>Dividendos pagos [us-gaap:PaymentsOfDividends] · fonte · unid. moeda</t>
        </is>
      </c>
      <c r="C25" t="inlineStr">
        <is>
          <t>[linha bruta, sem código; lançada nas linhas abaixo]</t>
        </is>
      </c>
      <c r="D25" s="265" t="n">
        <v>774800</v>
      </c>
      <c r="E25" s="265" t="n">
        <v>768300</v>
      </c>
      <c r="F25" s="265" t="n">
        <v>770400</v>
      </c>
      <c r="G25" s="265" t="n">
        <v>773300</v>
      </c>
      <c r="I25" s="265" t="n">
        <v>885500</v>
      </c>
      <c r="J25" s="265" t="n">
        <v>883700</v>
      </c>
      <c r="K25" s="265" t="n">
        <v>882200</v>
      </c>
      <c r="L25" s="265" t="n">
        <v>884400</v>
      </c>
      <c r="N25" s="265" t="n">
        <v>1017200</v>
      </c>
      <c r="O25" s="265" t="n">
        <v>1017800</v>
      </c>
      <c r="P25" s="265" t="n">
        <v>1016200</v>
      </c>
      <c r="Q25" s="265" t="n">
        <v>1018100</v>
      </c>
      <c r="S25" s="265" t="n">
        <v>1169200</v>
      </c>
      <c r="T25" s="265" t="n">
        <v>1172400</v>
      </c>
      <c r="U25" s="265" t="n">
        <v>1170500</v>
      </c>
      <c r="V25" s="265" t="n">
        <v>1168300</v>
      </c>
      <c r="X25" s="265" t="n">
        <v>1346300</v>
      </c>
      <c r="Y25" s="265" t="n">
        <v>1347000</v>
      </c>
      <c r="Z25" s="265" t="n">
        <v>1345200</v>
      </c>
      <c r="AA25" s="265" t="n">
        <v>1345500</v>
      </c>
      <c r="AC25" s="265" t="n">
        <v>1548000</v>
      </c>
      <c r="AD25" s="265" t="n">
        <v>1546000</v>
      </c>
    </row>
    <row r="26">
      <c r="A26" t="inlineStr">
        <is>
          <t>(lançamento) código 10, sinal -1 sobre a linha bruta 25: Dividendos pagos [us-gaap:PaymentsOfDividends]</t>
        </is>
      </c>
      <c r="B26" t="n">
        <v>10</v>
      </c>
      <c r="C26" t="inlineStr">
        <is>
          <t>Common Dividends</t>
        </is>
      </c>
      <c r="D26" s="265">
        <f>IF(D25="","",-1*D25)</f>
        <v>-774800</v>
      </c>
      <c r="E26" s="265">
        <f>IF(E25="","",-1*E25)</f>
        <v>-768300</v>
      </c>
      <c r="F26" s="265">
        <f>IF(F25="","",-1*F25)</f>
        <v>-770400</v>
      </c>
      <c r="G26" s="265">
        <f>IF(G25="","",-1*G25)</f>
        <v>-773300</v>
      </c>
      <c r="I26" s="265">
        <f>IF(I25="","",-1*I25)</f>
        <v>-885500</v>
      </c>
      <c r="J26" s="265">
        <f>IF(J25="","",-1*J25)</f>
        <v>-883700</v>
      </c>
      <c r="K26" s="265">
        <f>IF(K25="","",-1*K25)</f>
        <v>-882200</v>
      </c>
      <c r="L26" s="265">
        <f>IF(L25="","",-1*L25)</f>
        <v>-884400</v>
      </c>
      <c r="N26" s="265">
        <f>IF(N25="","",-1*N25)</f>
        <v>-1017200</v>
      </c>
      <c r="O26" s="265">
        <f>IF(O25="","",-1*O25)</f>
        <v>-1017800</v>
      </c>
      <c r="P26" s="265">
        <f>IF(P25="","",-1*P25)</f>
        <v>-1016200</v>
      </c>
      <c r="Q26" s="265">
        <f>IF(Q25="","",-1*Q25)</f>
        <v>-1018100</v>
      </c>
      <c r="S26" s="265">
        <f>IF(S25="","",-1*S25)</f>
        <v>-1169200</v>
      </c>
      <c r="T26" s="265">
        <f>IF(T25="","",-1*T25)</f>
        <v>-1172400</v>
      </c>
      <c r="U26" s="265">
        <f>IF(U25="","",-1*U25)</f>
        <v>-1170500</v>
      </c>
      <c r="V26" s="265">
        <f>IF(V25="","",-1*V25)</f>
        <v>-1168300</v>
      </c>
      <c r="X26" s="265">
        <f>IF(X25="","",-1*X25)</f>
        <v>-1346300</v>
      </c>
      <c r="Y26" s="265">
        <f>IF(Y25="","",-1*Y25)</f>
        <v>-1347000</v>
      </c>
      <c r="Z26" s="265">
        <f>IF(Z25="","",-1*Z25)</f>
        <v>-1345200</v>
      </c>
      <c r="AA26" s="265">
        <f>IF(AA25="","",-1*AA25)</f>
        <v>-1345500</v>
      </c>
      <c r="AC26" s="265">
        <f>IF(AC25="","",-1*AC25)</f>
        <v>-1548000</v>
      </c>
      <c r="AD26" s="265">
        <f>IF(AD25="","",-1*AD25)</f>
        <v>-1546000</v>
      </c>
    </row>
    <row r="27">
      <c r="A27" t="inlineStr">
        <is>
          <t>BALANÇO DE FACE (USD, saldo no fim do trimestre; cada trimestre lido da instância do próprio 10-Q/10-K)</t>
        </is>
      </c>
      <c r="C27" t="inlineStr">
        <is>
          <t>[linha bruta, sem código; lançada nas linhas abaixo]</t>
        </is>
      </c>
      <c r="D27" s="265" t="n"/>
      <c r="E27" s="265" t="n"/>
      <c r="F27" s="265" t="n"/>
      <c r="G27" s="265" t="n"/>
      <c r="I27" s="265" t="n"/>
      <c r="J27" s="265" t="n"/>
      <c r="K27" s="265" t="n"/>
      <c r="L27" s="265" t="n"/>
      <c r="N27" s="265" t="n"/>
      <c r="O27" s="265" t="n"/>
      <c r="P27" s="265" t="n"/>
      <c r="Q27" s="265" t="n"/>
      <c r="S27" s="265" t="n"/>
      <c r="T27" s="265" t="n"/>
      <c r="U27" s="265" t="n"/>
      <c r="V27" s="265" t="n"/>
      <c r="X27" s="265" t="n"/>
      <c r="Y27" s="265" t="n"/>
      <c r="Z27" s="265" t="n"/>
      <c r="AA27" s="265" t="n"/>
      <c r="AC27" s="265" t="n"/>
      <c r="AD27" s="265" t="n"/>
    </row>
    <row r="28">
      <c r="A28" t="inlineStr">
        <is>
          <t>CashAndCashEquivalentsAtCarryingValue · fonte · unid. moeda</t>
        </is>
      </c>
      <c r="B28" t="n">
        <v>11</v>
      </c>
      <c r="C28" t="inlineStr">
        <is>
          <t>Cash and equivalents (inc. investment securities)</t>
        </is>
      </c>
      <c r="D28" s="265" t="n">
        <v>3002400</v>
      </c>
      <c r="E28" s="265" t="n">
        <v>3220000</v>
      </c>
      <c r="F28" s="265" t="n">
        <v>3788200</v>
      </c>
      <c r="G28" s="265" t="n">
        <v>3818500</v>
      </c>
      <c r="I28" s="265" t="n">
        <v>2459200</v>
      </c>
      <c r="J28" s="265" t="n">
        <v>2622900</v>
      </c>
      <c r="K28" s="265" t="n">
        <v>2617400</v>
      </c>
      <c r="L28" s="265" t="n">
        <v>2067000</v>
      </c>
      <c r="N28" s="265" t="n">
        <v>3545900</v>
      </c>
      <c r="O28" s="265" t="n">
        <v>2694500</v>
      </c>
      <c r="P28" s="265" t="n">
        <v>2380800</v>
      </c>
      <c r="Q28" s="265" t="n">
        <v>2818600</v>
      </c>
      <c r="S28" s="265" t="n">
        <v>2460200</v>
      </c>
      <c r="T28" s="265" t="n">
        <v>3223600</v>
      </c>
      <c r="U28" s="265" t="n">
        <v>3369000</v>
      </c>
      <c r="V28" s="265" t="n">
        <v>3268400</v>
      </c>
      <c r="X28" s="265" t="n">
        <v>3093300</v>
      </c>
      <c r="Y28" s="265" t="n">
        <v>3375900</v>
      </c>
      <c r="Z28" s="265" t="n">
        <v>9791900</v>
      </c>
      <c r="AA28" s="265" t="n">
        <v>7268000</v>
      </c>
      <c r="AC28" s="265" t="n">
        <v>5282000</v>
      </c>
      <c r="AD28" s="265" t="n">
        <v>8950000</v>
      </c>
    </row>
    <row r="29">
      <c r="A29" t="inlineStr">
        <is>
          <t>ShortTermInvestments · fonte · unid. moeda</t>
        </is>
      </c>
      <c r="B29" t="n">
        <v>11</v>
      </c>
      <c r="C29" t="inlineStr">
        <is>
          <t>Cash and equivalents (inc. investment securities)</t>
        </is>
      </c>
      <c r="D29" s="265" t="n">
        <v>49000</v>
      </c>
      <c r="E29" s="265" t="n">
        <v>51200</v>
      </c>
      <c r="F29" s="265" t="n">
        <v>37100</v>
      </c>
      <c r="G29" s="265" t="n">
        <v>90100</v>
      </c>
      <c r="I29" s="265" t="n">
        <v>109100</v>
      </c>
      <c r="J29" s="265" t="n">
        <v>113800</v>
      </c>
      <c r="K29" s="265" t="n">
        <v>124700</v>
      </c>
      <c r="L29" s="265" t="n">
        <v>144800</v>
      </c>
      <c r="N29" s="265" t="n">
        <v>123400</v>
      </c>
      <c r="O29" s="265" t="n">
        <v>134600</v>
      </c>
      <c r="P29" s="265" t="n">
        <v>113100</v>
      </c>
      <c r="Q29" s="265" t="n">
        <v>109100</v>
      </c>
      <c r="S29" s="265" t="n">
        <v>126100</v>
      </c>
      <c r="T29" s="265" t="n">
        <v>140400</v>
      </c>
      <c r="U29" s="265" t="n">
        <v>149400</v>
      </c>
      <c r="V29" s="265" t="n">
        <v>154800</v>
      </c>
      <c r="X29" s="265" t="n">
        <v>127400</v>
      </c>
      <c r="Y29" s="265" t="n">
        <v>170100</v>
      </c>
      <c r="Z29" s="265" t="n">
        <v>121600</v>
      </c>
      <c r="AA29" s="265" t="n">
        <v>0</v>
      </c>
      <c r="AC29" s="265" t="n">
        <v>0</v>
      </c>
      <c r="AD29" s="265" t="n">
        <v>0</v>
      </c>
    </row>
    <row r="30">
      <c r="A30" t="inlineStr">
        <is>
          <t>AccountsReceivableNetCurrent · fonte · unid. moeda</t>
        </is>
      </c>
      <c r="B30" t="n">
        <v>12</v>
      </c>
      <c r="C30" t="inlineStr">
        <is>
          <t>Accounts receivable</t>
        </is>
      </c>
      <c r="D30" s="265" t="n">
        <v>5592800</v>
      </c>
      <c r="E30" s="265" t="n">
        <v>5829400</v>
      </c>
      <c r="F30" s="265" t="n">
        <v>5914300</v>
      </c>
      <c r="G30" s="265" t="n">
        <v>6672800</v>
      </c>
      <c r="I30" s="265" t="n">
        <v>6322500</v>
      </c>
      <c r="J30" s="265" t="n">
        <v>6364500</v>
      </c>
      <c r="K30" s="265" t="n">
        <v>6715300</v>
      </c>
      <c r="L30" s="265" t="n">
        <v>6896000</v>
      </c>
      <c r="N30" s="265" t="n">
        <v>7526200</v>
      </c>
      <c r="O30" s="265" t="n">
        <v>7516100</v>
      </c>
      <c r="P30" s="265" t="n">
        <v>8167100</v>
      </c>
      <c r="Q30" s="265" t="n">
        <v>9090500</v>
      </c>
      <c r="S30" s="265" t="n">
        <v>7885600</v>
      </c>
      <c r="T30" s="265" t="n">
        <v>11027900</v>
      </c>
      <c r="U30" s="265" t="n">
        <v>10294800</v>
      </c>
      <c r="V30" s="265" t="n">
        <v>11005700</v>
      </c>
      <c r="X30" s="265" t="n">
        <v>12036600</v>
      </c>
      <c r="Y30" s="265" t="n">
        <v>14170400</v>
      </c>
      <c r="Z30" s="265" t="n">
        <v>16107400</v>
      </c>
      <c r="AA30" s="265" t="n">
        <v>17760000</v>
      </c>
      <c r="AC30" s="265" t="n">
        <v>18429000</v>
      </c>
      <c r="AD30" s="265" t="n">
        <v>20083000</v>
      </c>
    </row>
    <row r="31">
      <c r="A31" t="inlineStr">
        <is>
          <t>InventoryNet · fonte · unid. moeda</t>
        </is>
      </c>
      <c r="B31" t="n">
        <v>13</v>
      </c>
      <c r="C31" t="inlineStr">
        <is>
          <t>Inventories</t>
        </is>
      </c>
      <c r="D31" s="265" t="n">
        <v>3660800</v>
      </c>
      <c r="E31" s="265" t="n">
        <v>3824900</v>
      </c>
      <c r="F31" s="265" t="n">
        <v>3907400</v>
      </c>
      <c r="G31" s="265" t="n">
        <v>3886000</v>
      </c>
      <c r="I31" s="265" t="n">
        <v>3893000</v>
      </c>
      <c r="J31" s="265" t="n">
        <v>3899400</v>
      </c>
      <c r="K31" s="265" t="n">
        <v>3831100</v>
      </c>
      <c r="L31" s="265" t="n">
        <v>4309700</v>
      </c>
      <c r="N31" s="265" t="n">
        <v>4544800</v>
      </c>
      <c r="O31" s="265" t="n">
        <v>4798700</v>
      </c>
      <c r="P31" s="265" t="n">
        <v>4901400</v>
      </c>
      <c r="Q31" s="265" t="n">
        <v>5772800</v>
      </c>
      <c r="S31" s="265" t="n">
        <v>6101800</v>
      </c>
      <c r="T31" s="265" t="n">
        <v>6481500</v>
      </c>
      <c r="U31" s="265" t="n">
        <v>7459800</v>
      </c>
      <c r="V31" s="265" t="n">
        <v>7589200</v>
      </c>
      <c r="X31" s="265" t="n">
        <v>9311000</v>
      </c>
      <c r="Y31" s="265" t="n">
        <v>11013800</v>
      </c>
      <c r="Z31" s="265" t="n">
        <v>12180400</v>
      </c>
      <c r="AA31" s="265" t="n">
        <v>13744000</v>
      </c>
      <c r="AC31" s="265" t="n">
        <v>14529000</v>
      </c>
      <c r="AD31" s="265" t="n">
        <v>16793000</v>
      </c>
    </row>
    <row r="32">
      <c r="A32" t="inlineStr">
        <is>
          <t>DeferredIncomeTaxAssetsNet · fonte · unid. moeda</t>
        </is>
      </c>
      <c r="B32" t="n">
        <v>14</v>
      </c>
      <c r="C32" t="inlineStr">
        <is>
          <t>Deferred income taxes</t>
        </is>
      </c>
      <c r="D32" s="265" t="n">
        <v>2649900</v>
      </c>
      <c r="E32" s="265" t="n">
        <v>2674900</v>
      </c>
      <c r="F32" s="265" t="n">
        <v>2625600</v>
      </c>
      <c r="G32" s="265" t="n">
        <v>2489300</v>
      </c>
      <c r="I32" s="265" t="n">
        <v>2464900</v>
      </c>
      <c r="J32" s="265" t="n">
        <v>2371900</v>
      </c>
      <c r="K32" s="265" t="n">
        <v>2384300</v>
      </c>
      <c r="L32" s="265" t="n">
        <v>2792900</v>
      </c>
      <c r="N32" s="265" t="n">
        <v>3406700</v>
      </c>
      <c r="O32" s="265" t="n">
        <v>3805900</v>
      </c>
      <c r="P32" s="265" t="n">
        <v>4574800</v>
      </c>
      <c r="Q32" s="265" t="n">
        <v>5477300</v>
      </c>
      <c r="S32" s="265" t="n">
        <v>5633900</v>
      </c>
      <c r="T32" s="265" t="n">
        <v>6655300</v>
      </c>
      <c r="U32" s="265" t="n">
        <v>7392300</v>
      </c>
      <c r="V32" s="265" t="n">
        <v>8000600</v>
      </c>
      <c r="X32" s="265" t="n">
        <v>8573200</v>
      </c>
      <c r="Y32" s="265" t="n">
        <v>9427400</v>
      </c>
      <c r="Z32" s="265" t="n">
        <v>8962700</v>
      </c>
      <c r="AA32" s="265" t="n">
        <v>9959000</v>
      </c>
      <c r="AC32" s="265" t="n">
        <v>11350000</v>
      </c>
      <c r="AD32" s="265" t="n">
        <v>10028000</v>
      </c>
    </row>
    <row r="33">
      <c r="A33" t="inlineStr">
        <is>
          <t>PrepaidExpenseCurrent · fonte · unid. moeda</t>
        </is>
      </c>
      <c r="B33" t="n">
        <v>15</v>
      </c>
      <c r="C33" t="inlineStr">
        <is>
          <t>Prepaid expenses</t>
        </is>
      </c>
      <c r="D33" s="265" t="n">
        <v>3233700</v>
      </c>
      <c r="E33" s="265" t="n">
        <v>3296600</v>
      </c>
      <c r="F33" s="265" t="n">
        <v>3050600</v>
      </c>
      <c r="G33" s="265" t="n">
        <v>2530600</v>
      </c>
      <c r="I33" s="265" t="n">
        <v>2697700</v>
      </c>
      <c r="J33" s="265" t="n">
        <v>2806700</v>
      </c>
      <c r="K33" s="265" t="n">
        <v>2741900</v>
      </c>
      <c r="L33" s="265" t="n">
        <v>0</v>
      </c>
      <c r="N33" s="265" t="n">
        <v>0</v>
      </c>
      <c r="O33" s="265" t="n">
        <v>0</v>
      </c>
      <c r="P33" s="265" t="n">
        <v>0</v>
      </c>
      <c r="Q33" s="265" t="n">
        <v>5540800</v>
      </c>
      <c r="S33" s="265" t="n">
        <v>6348600</v>
      </c>
      <c r="T33" s="265" t="n">
        <v>7137600</v>
      </c>
      <c r="U33" s="265" t="n">
        <v>8250600</v>
      </c>
      <c r="V33" s="265" t="n">
        <v>8340500</v>
      </c>
      <c r="X33" s="265" t="n">
        <v>14653900</v>
      </c>
      <c r="Y33" s="265" t="n">
        <v>18019800</v>
      </c>
      <c r="Z33" s="265" t="n">
        <v>20248700</v>
      </c>
      <c r="AA33" s="265" t="n">
        <v>14315000</v>
      </c>
      <c r="AC33" s="265" t="n">
        <v>13633000</v>
      </c>
      <c r="AD33" s="265" t="n">
        <v>15368000</v>
      </c>
    </row>
    <row r="34">
      <c r="A34" t="inlineStr">
        <is>
          <t>OtherReceivablesNetCurrent · fonte · unid. moeda</t>
        </is>
      </c>
      <c r="B34" t="n">
        <v>16</v>
      </c>
      <c r="C34" t="inlineStr">
        <is>
          <t>Other current assets</t>
        </is>
      </c>
      <c r="D34" s="265" t="n">
        <v>1065800</v>
      </c>
      <c r="E34" s="265" t="n">
        <v>1073400</v>
      </c>
      <c r="F34" s="265" t="n">
        <v>1110700</v>
      </c>
      <c r="G34" s="265" t="n">
        <v>0</v>
      </c>
      <c r="I34" s="265" t="n">
        <v>1483200</v>
      </c>
      <c r="J34" s="265" t="n">
        <v>1307900</v>
      </c>
      <c r="K34" s="265" t="n">
        <v>1609500</v>
      </c>
      <c r="L34" s="265" t="n">
        <v>0</v>
      </c>
      <c r="N34" s="265" t="n">
        <v>1495900</v>
      </c>
      <c r="O34" s="265" t="n">
        <v>1655300</v>
      </c>
      <c r="P34" s="265" t="n">
        <v>2196700</v>
      </c>
      <c r="Q34" s="265" t="n">
        <v>2245700</v>
      </c>
      <c r="S34" s="265" t="n">
        <v>2127900</v>
      </c>
      <c r="T34" s="265" t="n">
        <v>2051100</v>
      </c>
      <c r="U34" s="265" t="n">
        <v>1756900</v>
      </c>
      <c r="V34" s="265" t="n">
        <v>2269700</v>
      </c>
      <c r="X34" s="265" t="n">
        <v>1966600</v>
      </c>
      <c r="Y34" s="265" t="n">
        <v>3035200</v>
      </c>
      <c r="Z34" s="265" t="n">
        <v>3349800</v>
      </c>
      <c r="AA34" s="265" t="n">
        <v>2395000</v>
      </c>
      <c r="AC34" s="265" t="n">
        <v>2748000</v>
      </c>
      <c r="AD34" s="265" t="n">
        <v>3392000</v>
      </c>
    </row>
    <row r="35">
      <c r="A35" t="inlineStr">
        <is>
          <t>OtherReceivables · fonte · unid. moeda</t>
        </is>
      </c>
      <c r="B35" t="n">
        <v>16</v>
      </c>
      <c r="C35" t="inlineStr">
        <is>
          <t>Other current assets</t>
        </is>
      </c>
      <c r="D35" s="265" t="n">
        <v>0</v>
      </c>
      <c r="E35" s="265" t="n">
        <v>0</v>
      </c>
      <c r="F35" s="265" t="n">
        <v>0</v>
      </c>
      <c r="G35" s="265" t="n">
        <v>1454400</v>
      </c>
      <c r="I35" s="265" t="n">
        <v>0</v>
      </c>
      <c r="J35" s="265" t="n">
        <v>0</v>
      </c>
      <c r="K35" s="265" t="n">
        <v>0</v>
      </c>
      <c r="L35" s="265" t="n">
        <v>1662900</v>
      </c>
      <c r="N35" s="265" t="n">
        <v>0</v>
      </c>
      <c r="O35" s="265" t="n">
        <v>0</v>
      </c>
      <c r="P35" s="265" t="n">
        <v>0</v>
      </c>
      <c r="Q35" s="265" t="n">
        <v>0</v>
      </c>
      <c r="S35" s="265" t="n">
        <v>0</v>
      </c>
      <c r="T35" s="265" t="n">
        <v>0</v>
      </c>
      <c r="U35" s="265" t="n">
        <v>0</v>
      </c>
      <c r="V35" s="265" t="n">
        <v>0</v>
      </c>
      <c r="X35" s="265" t="n">
        <v>0</v>
      </c>
      <c r="Y35" s="265" t="n">
        <v>0</v>
      </c>
      <c r="Z35" s="265" t="n">
        <v>0</v>
      </c>
      <c r="AA35" s="265" t="n">
        <v>0</v>
      </c>
      <c r="AC35" s="265" t="n">
        <v>0</v>
      </c>
      <c r="AD35" s="265" t="n">
        <v>0</v>
      </c>
    </row>
    <row r="36">
      <c r="A36" t="inlineStr">
        <is>
          <t>PrepaidExpenseAndOtherAssetsCurrent · fonte · unid. moeda</t>
        </is>
      </c>
      <c r="B36" t="n">
        <v>16</v>
      </c>
      <c r="C36" t="inlineStr">
        <is>
          <t>Other current assets</t>
        </is>
      </c>
      <c r="D36" s="265" t="n">
        <v>0</v>
      </c>
      <c r="E36" s="265" t="n">
        <v>0</v>
      </c>
      <c r="F36" s="265" t="n">
        <v>0</v>
      </c>
      <c r="G36" s="265" t="n">
        <v>0</v>
      </c>
      <c r="I36" s="265" t="n">
        <v>0</v>
      </c>
      <c r="J36" s="265" t="n">
        <v>0</v>
      </c>
      <c r="K36" s="265" t="n">
        <v>0</v>
      </c>
      <c r="L36" s="265" t="n">
        <v>2954100</v>
      </c>
      <c r="N36" s="265" t="n">
        <v>3575200</v>
      </c>
      <c r="O36" s="265" t="n">
        <v>4532400</v>
      </c>
      <c r="P36" s="265" t="n">
        <v>5247900</v>
      </c>
      <c r="Q36" s="265" t="n">
        <v>0</v>
      </c>
      <c r="S36" s="265" t="n">
        <v>0</v>
      </c>
      <c r="T36" s="265" t="n">
        <v>0</v>
      </c>
      <c r="U36" s="265" t="n">
        <v>0</v>
      </c>
      <c r="V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C36" s="265" t="n">
        <v>0</v>
      </c>
      <c r="AD36" s="265" t="n">
        <v>0</v>
      </c>
    </row>
    <row r="37">
      <c r="A37" t="inlineStr">
        <is>
          <t>OtherAssetsCurrent · fonte · unid. moeda</t>
        </is>
      </c>
      <c r="B37" t="n">
        <v>16</v>
      </c>
      <c r="C37" t="inlineStr">
        <is>
          <t>Other current assets</t>
        </is>
      </c>
      <c r="D37" s="265" t="n">
        <v>0</v>
      </c>
      <c r="E37" s="265" t="n">
        <v>0</v>
      </c>
      <c r="F37" s="265" t="n">
        <v>0</v>
      </c>
      <c r="G37" s="265" t="n">
        <v>0</v>
      </c>
      <c r="I37" s="265" t="n">
        <v>0</v>
      </c>
      <c r="J37" s="265" t="n">
        <v>0</v>
      </c>
      <c r="K37" s="265" t="n">
        <v>0</v>
      </c>
      <c r="L37" s="265" t="n">
        <v>0</v>
      </c>
      <c r="N37" s="265" t="n">
        <v>0</v>
      </c>
      <c r="O37" s="265" t="n">
        <v>0</v>
      </c>
      <c r="P37" s="265" t="n">
        <v>0</v>
      </c>
      <c r="Q37" s="265" t="n">
        <v>149500</v>
      </c>
      <c r="S37" s="265" t="n">
        <v>138600</v>
      </c>
      <c r="T37" s="265" t="n">
        <v>142200</v>
      </c>
      <c r="U37" s="265" t="n">
        <v>134600</v>
      </c>
      <c r="V37" s="265" t="n">
        <v>111400</v>
      </c>
      <c r="X37" s="265" t="n">
        <v>72400</v>
      </c>
      <c r="Y37" s="265" t="n">
        <v>68800</v>
      </c>
      <c r="Z37" s="265" t="n">
        <v>271500</v>
      </c>
      <c r="AA37" s="265" t="n">
        <v>147000</v>
      </c>
      <c r="AC37" s="265" t="n">
        <v>214000</v>
      </c>
      <c r="AD37" s="265" t="n">
        <v>86000</v>
      </c>
    </row>
    <row r="38">
      <c r="A38" t="inlineStr">
        <is>
          <t>PropertyPlantAndEquipmentNet · fonte · unid. moeda</t>
        </is>
      </c>
      <c r="B38" t="n">
        <v>18</v>
      </c>
      <c r="C38" t="inlineStr">
        <is>
          <t>PP&amp;E</t>
        </is>
      </c>
      <c r="D38" s="265" t="n">
        <v>8630100</v>
      </c>
      <c r="E38" s="265" t="n">
        <v>8855500</v>
      </c>
      <c r="F38" s="265" t="n">
        <v>8920400</v>
      </c>
      <c r="G38" s="265" t="n">
        <v>8985100</v>
      </c>
      <c r="I38" s="265" t="n">
        <v>9102700</v>
      </c>
      <c r="J38" s="265" t="n">
        <v>9128200</v>
      </c>
      <c r="K38" s="265" t="n">
        <v>9311300</v>
      </c>
      <c r="L38" s="265" t="n">
        <v>10144000</v>
      </c>
      <c r="N38" s="265" t="n">
        <v>10546200</v>
      </c>
      <c r="O38" s="265" t="n">
        <v>11277400</v>
      </c>
      <c r="P38" s="265" t="n">
        <v>11863200</v>
      </c>
      <c r="Q38" s="265" t="n">
        <v>12913600</v>
      </c>
      <c r="S38" s="265" t="n">
        <v>13624000</v>
      </c>
      <c r="T38" s="265" t="n">
        <v>14829400</v>
      </c>
      <c r="U38" s="265" t="n">
        <v>16171800</v>
      </c>
      <c r="V38" s="265" t="n">
        <v>17102400</v>
      </c>
      <c r="X38" s="265" t="n">
        <v>18474100</v>
      </c>
      <c r="Y38" s="265" t="n">
        <v>20529700</v>
      </c>
      <c r="Z38" s="265" t="n">
        <v>22316000</v>
      </c>
      <c r="AA38" s="265" t="n">
        <v>24675000</v>
      </c>
      <c r="AC38" s="265" t="n">
        <v>26540000</v>
      </c>
      <c r="AD38" s="265" t="n">
        <v>29286000</v>
      </c>
    </row>
    <row r="39">
      <c r="A39" t="inlineStr">
        <is>
          <t>Goodwill · fonte · unid. moeda</t>
        </is>
      </c>
      <c r="B39" t="n">
        <v>20</v>
      </c>
      <c r="C39" t="inlineStr">
        <is>
          <t>Goodwill</t>
        </is>
      </c>
      <c r="D39" s="265" t="n">
        <v>3877400</v>
      </c>
      <c r="E39" s="265" t="n">
        <v>3884200</v>
      </c>
      <c r="F39" s="265" t="n">
        <v>3884100</v>
      </c>
      <c r="G39" s="265" t="n">
        <v>3892000</v>
      </c>
      <c r="I39" s="265" t="n">
        <v>3892000</v>
      </c>
      <c r="J39" s="265" t="n">
        <v>3891800</v>
      </c>
      <c r="K39" s="265" t="n">
        <v>3891600</v>
      </c>
      <c r="L39" s="265" t="n">
        <v>4073000</v>
      </c>
      <c r="N39" s="265" t="n">
        <v>4073100</v>
      </c>
      <c r="O39" s="265" t="n">
        <v>4078900</v>
      </c>
      <c r="P39" s="265" t="n">
        <v>4085200</v>
      </c>
      <c r="Q39" s="265" t="n">
        <v>4939700</v>
      </c>
      <c r="S39" s="265" t="n">
        <v>4939600</v>
      </c>
      <c r="T39" s="265" t="n">
        <v>5768200</v>
      </c>
      <c r="U39" s="265" t="n">
        <v>5768400</v>
      </c>
      <c r="V39" s="265" t="n">
        <v>5770300</v>
      </c>
      <c r="X39" s="265" t="n">
        <v>5770500</v>
      </c>
      <c r="Y39" s="265" t="n">
        <v>5770500</v>
      </c>
      <c r="Z39" s="265" t="n">
        <v>5898000</v>
      </c>
      <c r="AA39" s="265" t="n">
        <v>5898000</v>
      </c>
      <c r="AC39" s="265" t="n">
        <v>6130000</v>
      </c>
      <c r="AD39" s="265" t="n">
        <v>8849000</v>
      </c>
    </row>
    <row r="40">
      <c r="A40" t="inlineStr">
        <is>
          <t>IntangibleAssetsNetExcludingGoodwill · fonte · unid. moeda</t>
        </is>
      </c>
      <c r="B40" t="n">
        <v>21</v>
      </c>
      <c r="C40" t="inlineStr">
        <is>
          <t>Intangibles</t>
        </is>
      </c>
      <c r="D40" s="265" t="n">
        <v>8087800</v>
      </c>
      <c r="E40" s="265" t="n">
        <v>7985400</v>
      </c>
      <c r="F40" s="265" t="n">
        <v>7887700</v>
      </c>
      <c r="G40" s="265" t="n">
        <v>7691900</v>
      </c>
      <c r="I40" s="265" t="n">
        <v>7482400</v>
      </c>
      <c r="J40" s="265" t="n">
        <v>7497700</v>
      </c>
      <c r="K40" s="265" t="n">
        <v>7124100</v>
      </c>
      <c r="L40" s="265" t="n">
        <v>7206600</v>
      </c>
      <c r="N40" s="265" t="n">
        <v>7087100</v>
      </c>
      <c r="O40" s="265" t="n">
        <v>6903500</v>
      </c>
      <c r="P40" s="265" t="n">
        <v>6781700</v>
      </c>
      <c r="Q40" s="265" t="n">
        <v>6906600</v>
      </c>
      <c r="S40" s="265" t="n">
        <v>6762200</v>
      </c>
      <c r="T40" s="265" t="n">
        <v>6636100</v>
      </c>
      <c r="U40" s="265" t="n">
        <v>6537300</v>
      </c>
      <c r="V40" s="265" t="n">
        <v>6166300</v>
      </c>
      <c r="X40" s="265" t="n">
        <v>6012200</v>
      </c>
      <c r="Y40" s="265" t="n">
        <v>5908300</v>
      </c>
      <c r="Z40" s="265" t="n">
        <v>6446700</v>
      </c>
      <c r="AA40" s="265" t="n">
        <v>6521000</v>
      </c>
      <c r="AC40" s="265" t="n">
        <v>7374000</v>
      </c>
      <c r="AD40" s="265" t="n">
        <v>18110000</v>
      </c>
    </row>
    <row r="41">
      <c r="A41" t="inlineStr">
        <is>
          <t>LongTermInvestments · fonte · unid. moeda</t>
        </is>
      </c>
      <c r="B41" t="n">
        <v>22</v>
      </c>
      <c r="C41" t="inlineStr">
        <is>
          <t>Other non-current assets</t>
        </is>
      </c>
      <c r="D41" s="265" t="n">
        <v>3232400</v>
      </c>
      <c r="E41" s="265" t="n">
        <v>3474900</v>
      </c>
      <c r="F41" s="265" t="n">
        <v>3350500</v>
      </c>
      <c r="G41" s="265" t="n">
        <v>3212600</v>
      </c>
      <c r="I41" s="265" t="n">
        <v>2727300</v>
      </c>
      <c r="J41" s="265" t="n">
        <v>2587200</v>
      </c>
      <c r="K41" s="265" t="n">
        <v>2574600</v>
      </c>
      <c r="L41" s="265" t="n">
        <v>2901800</v>
      </c>
      <c r="N41" s="265" t="n">
        <v>2750400</v>
      </c>
      <c r="O41" s="265" t="n">
        <v>2745100</v>
      </c>
      <c r="P41" s="265" t="n">
        <v>2691700</v>
      </c>
      <c r="Q41" s="265" t="n">
        <v>3052200</v>
      </c>
      <c r="S41" s="265" t="n">
        <v>3086900</v>
      </c>
      <c r="T41" s="265" t="n">
        <v>2877600</v>
      </c>
      <c r="U41" s="265" t="n">
        <v>3200200</v>
      </c>
      <c r="V41" s="265" t="n">
        <v>3215900</v>
      </c>
      <c r="X41" s="265" t="n">
        <v>3222700</v>
      </c>
      <c r="Y41" s="265" t="n">
        <v>3207400</v>
      </c>
      <c r="Z41" s="265" t="n">
        <v>2808300</v>
      </c>
      <c r="AA41" s="265" t="n">
        <v>2802000</v>
      </c>
      <c r="AC41" s="265" t="n">
        <v>3116000</v>
      </c>
      <c r="AD41" s="265" t="n">
        <v>3856000</v>
      </c>
    </row>
    <row r="42">
      <c r="A42" t="inlineStr">
        <is>
          <t>OtherAssetsNoncurrent · fonte · unid. moeda</t>
        </is>
      </c>
      <c r="B42" t="n">
        <v>22</v>
      </c>
      <c r="C42" t="inlineStr">
        <is>
          <t>Other non-current assets</t>
        </is>
      </c>
      <c r="D42" s="265" t="n">
        <v>3756200</v>
      </c>
      <c r="E42" s="265" t="n">
        <v>3638600</v>
      </c>
      <c r="F42" s="265" t="n">
        <v>3710400</v>
      </c>
      <c r="G42" s="265" t="n">
        <v>0</v>
      </c>
      <c r="I42" s="265" t="n">
        <v>4285300</v>
      </c>
      <c r="J42" s="265" t="n">
        <v>4471600</v>
      </c>
      <c r="K42" s="265" t="n">
        <v>4535700</v>
      </c>
      <c r="L42" s="265" t="n">
        <v>0</v>
      </c>
      <c r="N42" s="265" t="n">
        <v>4488100</v>
      </c>
      <c r="O42" s="265" t="n">
        <v>4671600</v>
      </c>
      <c r="P42" s="265" t="n">
        <v>4911900</v>
      </c>
      <c r="Q42" s="265" t="n">
        <v>4989900</v>
      </c>
      <c r="S42" s="265" t="n">
        <v>4708100</v>
      </c>
      <c r="T42" s="265" t="n">
        <v>4903900</v>
      </c>
      <c r="U42" s="265" t="n">
        <v>5121800</v>
      </c>
      <c r="V42" s="265" t="n">
        <v>5719700</v>
      </c>
      <c r="X42" s="265" t="n">
        <v>6074900</v>
      </c>
      <c r="Y42" s="265" t="n">
        <v>6225300</v>
      </c>
      <c r="Z42" s="265" t="n">
        <v>6432400</v>
      </c>
      <c r="AA42" s="265" t="n">
        <v>6992000</v>
      </c>
      <c r="AC42" s="265" t="n">
        <v>7231000</v>
      </c>
      <c r="AD42" s="265" t="n">
        <v>7482000</v>
      </c>
    </row>
    <row r="43">
      <c r="A43" t="inlineStr">
        <is>
          <t>OtherAssetsMiscellaneousNoncurrent · fonte · unid. moeda</t>
        </is>
      </c>
      <c r="B43" t="n">
        <v>22</v>
      </c>
      <c r="C43" t="inlineStr">
        <is>
          <t>Other non-current assets</t>
        </is>
      </c>
      <c r="D43" s="265" t="n">
        <v>0</v>
      </c>
      <c r="E43" s="265" t="n">
        <v>0</v>
      </c>
      <c r="F43" s="265" t="n">
        <v>0</v>
      </c>
      <c r="G43" s="265" t="n">
        <v>4082700</v>
      </c>
      <c r="I43" s="265" t="n">
        <v>0</v>
      </c>
      <c r="J43" s="265" t="n">
        <v>0</v>
      </c>
      <c r="K43" s="265" t="n">
        <v>0</v>
      </c>
      <c r="L43" s="265" t="n">
        <v>4337000</v>
      </c>
      <c r="N43" s="265" t="n">
        <v>0</v>
      </c>
      <c r="O43" s="265" t="n">
        <v>0</v>
      </c>
      <c r="P43" s="265" t="n">
        <v>0</v>
      </c>
      <c r="Q43" s="265" t="n">
        <v>0</v>
      </c>
      <c r="S43" s="265" t="n">
        <v>0</v>
      </c>
      <c r="T43" s="265" t="n">
        <v>0</v>
      </c>
      <c r="U43" s="265" t="n">
        <v>0</v>
      </c>
      <c r="V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C43" s="265" t="n">
        <v>0</v>
      </c>
      <c r="AD43" s="265" t="n">
        <v>0</v>
      </c>
    </row>
    <row r="44">
      <c r="A44" t="inlineStr">
        <is>
          <t>AccountsPayableCurrent · fonte · unid. moeda</t>
        </is>
      </c>
      <c r="B44" t="n">
        <v>23</v>
      </c>
      <c r="C44" t="inlineStr">
        <is>
          <t>Accounts payable</t>
        </is>
      </c>
      <c r="D44" s="265" t="n">
        <v>1639600</v>
      </c>
      <c r="E44" s="265" t="n">
        <v>1597800</v>
      </c>
      <c r="F44" s="265" t="n">
        <v>1566800</v>
      </c>
      <c r="G44" s="265" t="n">
        <v>1670600</v>
      </c>
      <c r="I44" s="265" t="n">
        <v>1433300</v>
      </c>
      <c r="J44" s="265" t="n">
        <v>1659300</v>
      </c>
      <c r="K44" s="265" t="n">
        <v>1683200</v>
      </c>
      <c r="L44" s="265" t="n">
        <v>1930600</v>
      </c>
      <c r="N44" s="265" t="n">
        <v>2015900</v>
      </c>
      <c r="O44" s="265" t="n">
        <v>2474200</v>
      </c>
      <c r="P44" s="265" t="n">
        <v>2435100</v>
      </c>
      <c r="Q44" s="265" t="n">
        <v>2598800</v>
      </c>
      <c r="S44" s="265" t="n">
        <v>2473700</v>
      </c>
      <c r="T44" s="265" t="n">
        <v>2924800</v>
      </c>
      <c r="U44" s="265" t="n">
        <v>2886500</v>
      </c>
      <c r="V44" s="265" t="n">
        <v>3228600</v>
      </c>
      <c r="X44" s="265" t="n">
        <v>3442000</v>
      </c>
      <c r="Y44" s="265" t="n">
        <v>4075700</v>
      </c>
      <c r="Z44" s="265" t="n">
        <v>4262200</v>
      </c>
      <c r="AA44" s="265" t="n">
        <v>5379000</v>
      </c>
      <c r="AC44" s="265" t="n">
        <v>5029000</v>
      </c>
      <c r="AD44" s="265" t="n">
        <v>6112000</v>
      </c>
    </row>
    <row r="45">
      <c r="A45" t="inlineStr">
        <is>
          <t>EmployeeRelatedLiabilitiesCurrent · fonte · unid. moeda</t>
        </is>
      </c>
      <c r="B45" t="n">
        <v>24</v>
      </c>
      <c r="C45" t="inlineStr">
        <is>
          <t>Accrued expenses</t>
        </is>
      </c>
      <c r="D45" s="265" t="n">
        <v>649900</v>
      </c>
      <c r="E45" s="265" t="n">
        <v>755500</v>
      </c>
      <c r="F45" s="265" t="n">
        <v>836600</v>
      </c>
      <c r="G45" s="265" t="n">
        <v>958100</v>
      </c>
      <c r="I45" s="265" t="n">
        <v>693100</v>
      </c>
      <c r="J45" s="265" t="n">
        <v>835800</v>
      </c>
      <c r="K45" s="265" t="n">
        <v>984100</v>
      </c>
      <c r="L45" s="265" t="n">
        <v>1059800</v>
      </c>
      <c r="N45" s="265" t="n">
        <v>739700</v>
      </c>
      <c r="O45" s="265" t="n">
        <v>867700</v>
      </c>
      <c r="P45" s="265" t="n">
        <v>1233200</v>
      </c>
      <c r="Q45" s="265" t="n">
        <v>1650400</v>
      </c>
      <c r="S45" s="265" t="n">
        <v>844200</v>
      </c>
      <c r="T45" s="265" t="n">
        <v>1168300</v>
      </c>
      <c r="U45" s="265" t="n">
        <v>1703300</v>
      </c>
      <c r="V45" s="265" t="n">
        <v>2093900</v>
      </c>
      <c r="X45" s="265" t="n">
        <v>1113900</v>
      </c>
      <c r="Y45" s="265" t="n">
        <v>1303000</v>
      </c>
      <c r="Z45" s="265" t="n">
        <v>1965700</v>
      </c>
      <c r="AA45" s="265" t="n">
        <v>2375000</v>
      </c>
      <c r="AC45" s="265" t="n">
        <v>1359000</v>
      </c>
      <c r="AD45" s="265" t="n">
        <v>1798000</v>
      </c>
    </row>
    <row r="46">
      <c r="A46" t="inlineStr">
        <is>
          <t>TaxesPayableCurrent · fonte · unid. moeda</t>
        </is>
      </c>
      <c r="B46" t="n">
        <v>25</v>
      </c>
      <c r="C46" t="inlineStr">
        <is>
          <t>Taxes payable</t>
        </is>
      </c>
      <c r="D46" s="265" t="n">
        <v>791600</v>
      </c>
      <c r="E46" s="265" t="n">
        <v>529900</v>
      </c>
      <c r="F46" s="265" t="n">
        <v>203500</v>
      </c>
      <c r="G46" s="265" t="n">
        <v>126900</v>
      </c>
      <c r="I46" s="265" t="n">
        <v>598300</v>
      </c>
      <c r="J46" s="265" t="n">
        <v>126600</v>
      </c>
      <c r="K46" s="265" t="n">
        <v>685600</v>
      </c>
      <c r="L46" s="265" t="n">
        <v>475100</v>
      </c>
      <c r="N46" s="265" t="n">
        <v>1528300</v>
      </c>
      <c r="O46" s="265" t="n">
        <v>1233800</v>
      </c>
      <c r="P46" s="265" t="n">
        <v>1977500</v>
      </c>
      <c r="Q46" s="265" t="n">
        <v>0</v>
      </c>
      <c r="S46" s="265" t="n">
        <v>0</v>
      </c>
      <c r="T46" s="265" t="n">
        <v>0</v>
      </c>
      <c r="U46" s="265" t="n">
        <v>0</v>
      </c>
      <c r="V46" s="265" t="n">
        <v>0</v>
      </c>
      <c r="X46" s="265" t="n">
        <v>6175700</v>
      </c>
      <c r="Y46" s="265" t="n">
        <v>6958000</v>
      </c>
      <c r="Z46" s="265" t="n">
        <v>9444400</v>
      </c>
      <c r="AA46" s="265" t="n">
        <v>0</v>
      </c>
      <c r="AC46" s="265" t="n">
        <v>0</v>
      </c>
      <c r="AD46" s="265" t="n">
        <v>0</v>
      </c>
    </row>
    <row r="47">
      <c r="A47" t="inlineStr">
        <is>
          <t>SalesRebatesAndDiscounts · fonte · unid. moeda</t>
        </is>
      </c>
      <c r="B47" t="n">
        <v>26</v>
      </c>
      <c r="C47" t="inlineStr">
        <is>
          <t>Other current liabilities (non-debt)</t>
        </is>
      </c>
      <c r="D47" s="265" t="n">
        <v>5821400</v>
      </c>
      <c r="E47" s="265" t="n">
        <v>7035800</v>
      </c>
      <c r="F47" s="265" t="n">
        <v>7185600</v>
      </c>
      <c r="G47" s="265" t="n">
        <v>6845800</v>
      </c>
      <c r="I47" s="265" t="n">
        <v>6768700</v>
      </c>
      <c r="J47" s="265" t="n">
        <v>7991400</v>
      </c>
      <c r="K47" s="265" t="n">
        <v>8568400</v>
      </c>
      <c r="L47" s="265" t="n">
        <v>8784100</v>
      </c>
      <c r="N47" s="265" t="n">
        <v>9529500</v>
      </c>
      <c r="O47" s="265" t="n">
        <v>10389900</v>
      </c>
      <c r="P47" s="265" t="n">
        <v>11522300</v>
      </c>
      <c r="Q47" s="265" t="n">
        <v>11689000</v>
      </c>
      <c r="S47" s="265" t="n">
        <v>9429600</v>
      </c>
      <c r="T47" s="265" t="n">
        <v>12446800</v>
      </c>
      <c r="U47" s="265" t="n">
        <v>12429700</v>
      </c>
      <c r="V47" s="265" t="n">
        <v>11539300</v>
      </c>
      <c r="X47" s="265" t="n">
        <v>11550300</v>
      </c>
      <c r="Y47" s="265" t="n">
        <v>14537400</v>
      </c>
      <c r="Z47" s="265" t="n">
        <v>17620200</v>
      </c>
      <c r="AA47" s="265" t="n">
        <v>17382000</v>
      </c>
      <c r="AC47" s="265" t="n">
        <v>17547000</v>
      </c>
      <c r="AD47" s="265" t="n">
        <v>21122000</v>
      </c>
    </row>
    <row r="48">
      <c r="A48" t="inlineStr">
        <is>
          <t>DividendsPayableCurrent · fonte · unid. moeda</t>
        </is>
      </c>
      <c r="B48" t="n">
        <v>26</v>
      </c>
      <c r="C48" t="inlineStr">
        <is>
          <t>Other current liabilities (non-debt)</t>
        </is>
      </c>
      <c r="D48" s="265" t="n">
        <v>0</v>
      </c>
      <c r="E48" s="265" t="n">
        <v>770800</v>
      </c>
      <c r="F48" s="265" t="n">
        <v>0</v>
      </c>
      <c r="G48" s="265" t="n">
        <v>885500</v>
      </c>
      <c r="I48" s="265" t="n">
        <v>0</v>
      </c>
      <c r="J48" s="265" t="n">
        <v>882200</v>
      </c>
      <c r="K48" s="265" t="n">
        <v>0</v>
      </c>
      <c r="L48" s="265" t="n">
        <v>1017200</v>
      </c>
      <c r="N48" s="265" t="n">
        <v>0</v>
      </c>
      <c r="O48" s="265" t="n">
        <v>1016200</v>
      </c>
      <c r="P48" s="265" t="n">
        <v>0</v>
      </c>
      <c r="Q48" s="265" t="n">
        <v>1169200</v>
      </c>
      <c r="S48" s="265" t="n">
        <v>0</v>
      </c>
      <c r="T48" s="265" t="n">
        <v>1170500</v>
      </c>
      <c r="U48" s="265" t="n">
        <v>0</v>
      </c>
      <c r="V48" s="265" t="n">
        <v>1346300</v>
      </c>
      <c r="X48" s="265" t="n">
        <v>0</v>
      </c>
      <c r="Y48" s="265" t="n">
        <v>1345200</v>
      </c>
      <c r="Z48" s="265" t="n">
        <v>0</v>
      </c>
      <c r="AA48" s="265" t="n">
        <v>0</v>
      </c>
      <c r="AC48" s="265" t="n">
        <v>0</v>
      </c>
      <c r="AD48" s="265" t="n">
        <v>0</v>
      </c>
    </row>
    <row r="49">
      <c r="A49" t="inlineStr">
        <is>
          <t>OtherLiabilitiesCurrent · fonte · unid. moeda</t>
        </is>
      </c>
      <c r="B49" t="n">
        <v>26</v>
      </c>
      <c r="C49" t="inlineStr">
        <is>
          <t>Other current liabilities (non-debt)</t>
        </is>
      </c>
      <c r="D49" s="265" t="n">
        <v>2806800</v>
      </c>
      <c r="E49" s="265" t="n">
        <v>2624900</v>
      </c>
      <c r="F49" s="265" t="n">
        <v>2326500</v>
      </c>
      <c r="G49" s="265" t="n">
        <v>3027500</v>
      </c>
      <c r="I49" s="265" t="n">
        <v>2536700</v>
      </c>
      <c r="J49" s="265" t="n">
        <v>2003500</v>
      </c>
      <c r="K49" s="265" t="n">
        <v>1986900</v>
      </c>
      <c r="L49" s="265" t="n">
        <v>2370300</v>
      </c>
      <c r="N49" s="265" t="n">
        <v>2193500</v>
      </c>
      <c r="O49" s="265" t="n">
        <v>2271600</v>
      </c>
      <c r="P49" s="265" t="n">
        <v>2585400</v>
      </c>
      <c r="Q49" s="265" t="n">
        <v>3281300</v>
      </c>
      <c r="S49" s="265" t="n">
        <v>4199100</v>
      </c>
      <c r="T49" s="265" t="n">
        <v>4249200</v>
      </c>
      <c r="U49" s="265" t="n">
        <v>5580300</v>
      </c>
      <c r="V49" s="265" t="n">
        <v>5051400</v>
      </c>
      <c r="X49" s="265" t="n">
        <v>3769800</v>
      </c>
      <c r="Y49" s="265" t="n">
        <v>5076900</v>
      </c>
      <c r="Z49" s="265" t="n">
        <v>5215400</v>
      </c>
      <c r="AA49" s="265" t="n">
        <v>8457000</v>
      </c>
      <c r="AC49" s="265" t="n">
        <v>8699000</v>
      </c>
      <c r="AD49" s="265" t="n">
        <v>11659000</v>
      </c>
    </row>
    <row r="50">
      <c r="A50" t="inlineStr">
        <is>
          <t>DebtCurrent · fonte · unid. moeda</t>
        </is>
      </c>
      <c r="B50" t="n">
        <v>27</v>
      </c>
      <c r="C50" t="inlineStr">
        <is>
          <t>Current portion of long-term debt</t>
        </is>
      </c>
      <c r="D50" s="265" t="n">
        <v>4900</v>
      </c>
      <c r="E50" s="265" t="n">
        <v>1778500</v>
      </c>
      <c r="F50" s="265" t="n">
        <v>1563000</v>
      </c>
      <c r="G50" s="265" t="n">
        <v>1538300</v>
      </c>
      <c r="I50" s="265" t="n">
        <v>1355900</v>
      </c>
      <c r="J50" s="265" t="n">
        <v>2121800</v>
      </c>
      <c r="K50" s="265" t="n">
        <v>1744600</v>
      </c>
      <c r="L50" s="265" t="n">
        <v>1501100</v>
      </c>
      <c r="N50" s="265" t="n">
        <v>3100</v>
      </c>
      <c r="O50" s="265" t="n">
        <v>661600</v>
      </c>
      <c r="P50" s="265" t="n">
        <v>2244700</v>
      </c>
      <c r="Q50" s="265" t="n">
        <v>6904500</v>
      </c>
      <c r="S50" s="265" t="n">
        <v>1651500</v>
      </c>
      <c r="T50" s="265" t="n">
        <v>5161600</v>
      </c>
      <c r="U50" s="265" t="n">
        <v>2074300</v>
      </c>
      <c r="V50" s="265" t="n">
        <v>5117100</v>
      </c>
      <c r="X50" s="265" t="n">
        <v>4016400</v>
      </c>
      <c r="Y50" s="265" t="n">
        <v>5723700</v>
      </c>
      <c r="Z50" s="265" t="n">
        <v>1633000</v>
      </c>
      <c r="AA50" s="265" t="n">
        <v>1635000</v>
      </c>
      <c r="AC50" s="265" t="n">
        <v>4000000</v>
      </c>
      <c r="AD50" s="265" t="n">
        <v>7050000</v>
      </c>
    </row>
    <row r="51">
      <c r="A51" t="inlineStr">
        <is>
          <t>LongTermDebtNoncurrent · fonte · unid. moeda</t>
        </is>
      </c>
      <c r="B51" t="n">
        <v>30</v>
      </c>
      <c r="C51" t="inlineStr">
        <is>
          <t>Long term debt</t>
        </is>
      </c>
      <c r="D51" s="265" t="n">
        <v>16199600</v>
      </c>
      <c r="E51" s="265" t="n">
        <v>14736600</v>
      </c>
      <c r="F51" s="265" t="n">
        <v>15522400</v>
      </c>
      <c r="G51" s="265" t="n">
        <v>15346400</v>
      </c>
      <c r="I51" s="265" t="n">
        <v>15152900</v>
      </c>
      <c r="J51" s="265" t="n">
        <v>14692000</v>
      </c>
      <c r="K51" s="265" t="n">
        <v>14143800</v>
      </c>
      <c r="L51" s="265" t="n">
        <v>14737500</v>
      </c>
      <c r="N51" s="265" t="n">
        <v>18880500</v>
      </c>
      <c r="O51" s="265" t="n">
        <v>18158400</v>
      </c>
      <c r="P51" s="265" t="n">
        <v>17923600</v>
      </c>
      <c r="Q51" s="265" t="n">
        <v>18320800</v>
      </c>
      <c r="S51" s="265" t="n">
        <v>24559900</v>
      </c>
      <c r="T51" s="265" t="n">
        <v>23730400</v>
      </c>
      <c r="U51" s="265" t="n">
        <v>29045400</v>
      </c>
      <c r="V51" s="265" t="n">
        <v>28527100</v>
      </c>
      <c r="X51" s="265" t="n">
        <v>34499500</v>
      </c>
      <c r="Y51" s="265" t="n">
        <v>34180100</v>
      </c>
      <c r="Z51" s="265" t="n">
        <v>40873600</v>
      </c>
      <c r="AA51" s="265" t="n">
        <v>40868000</v>
      </c>
      <c r="AC51" s="265" t="n">
        <v>39370000</v>
      </c>
      <c r="AD51" s="265" t="n">
        <v>47858000</v>
      </c>
    </row>
    <row r="52">
      <c r="A52" t="inlineStr">
        <is>
          <t>DeferredIncomeTaxLiabilitiesNet · fonte · unid. moeda</t>
        </is>
      </c>
      <c r="B52" t="n">
        <v>33</v>
      </c>
      <c r="C52" t="inlineStr">
        <is>
          <t>Deferred income taxes</t>
        </is>
      </c>
      <c r="D52" s="265" t="n">
        <v>2200600</v>
      </c>
      <c r="E52" s="265" t="n">
        <v>1857300</v>
      </c>
      <c r="F52" s="265" t="n">
        <v>1632500</v>
      </c>
      <c r="G52" s="265" t="n">
        <v>1733700</v>
      </c>
      <c r="I52" s="265" t="n">
        <v>1286100</v>
      </c>
      <c r="J52" s="265" t="n">
        <v>862500</v>
      </c>
      <c r="K52" s="265" t="n">
        <v>171900</v>
      </c>
      <c r="L52" s="265" t="n">
        <v>87300</v>
      </c>
      <c r="N52" s="265" t="n">
        <v>0</v>
      </c>
      <c r="O52" s="265" t="n">
        <v>0</v>
      </c>
      <c r="P52" s="265" t="n">
        <v>0</v>
      </c>
      <c r="Q52" s="265" t="n">
        <v>0</v>
      </c>
      <c r="S52" s="265" t="n">
        <v>0</v>
      </c>
      <c r="T52" s="265" t="n">
        <v>0</v>
      </c>
      <c r="U52" s="265" t="n">
        <v>0</v>
      </c>
      <c r="V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C52" s="265" t="n">
        <v>0</v>
      </c>
      <c r="AD52" s="265" t="n">
        <v>0</v>
      </c>
    </row>
    <row r="53">
      <c r="A53" t="inlineStr">
        <is>
          <t>PensionAndOtherPostretirementDefinedBenefitPlansLiabilitiesNoncurrent · fonte · unid. moeda</t>
        </is>
      </c>
      <c r="B53" t="n">
        <v>34</v>
      </c>
      <c r="C53" t="inlineStr">
        <is>
          <t>Other non-current liabilities</t>
        </is>
      </c>
      <c r="D53" s="265" t="n">
        <v>3969800</v>
      </c>
      <c r="E53" s="265" t="n">
        <v>3918500</v>
      </c>
      <c r="F53" s="265" t="n">
        <v>3878800</v>
      </c>
      <c r="G53" s="265" t="n">
        <v>1954100</v>
      </c>
      <c r="I53" s="265" t="n">
        <v>1940300</v>
      </c>
      <c r="J53" s="265" t="n">
        <v>1888600</v>
      </c>
      <c r="K53" s="265" t="n">
        <v>1832500</v>
      </c>
      <c r="L53" s="265" t="n">
        <v>1305100</v>
      </c>
      <c r="N53" s="265" t="n">
        <v>1313000</v>
      </c>
      <c r="O53" s="265" t="n">
        <v>1308800</v>
      </c>
      <c r="P53" s="265" t="n">
        <v>1311900</v>
      </c>
      <c r="Q53" s="265" t="n">
        <v>1438800</v>
      </c>
      <c r="S53" s="265" t="n">
        <v>1427900</v>
      </c>
      <c r="T53" s="265" t="n">
        <v>1420400</v>
      </c>
      <c r="U53" s="265" t="n">
        <v>1448500</v>
      </c>
      <c r="V53" s="265" t="n">
        <v>1300500</v>
      </c>
      <c r="X53" s="265" t="n">
        <v>1315500</v>
      </c>
      <c r="Y53" s="265" t="n">
        <v>1344500</v>
      </c>
      <c r="Z53" s="265" t="n">
        <v>0</v>
      </c>
      <c r="AA53" s="265" t="n">
        <v>0</v>
      </c>
      <c r="AC53" s="265" t="n">
        <v>0</v>
      </c>
      <c r="AD53" s="265" t="n">
        <v>0</v>
      </c>
    </row>
    <row r="54">
      <c r="A54" t="inlineStr">
        <is>
          <t>AccruedIncomeTaxesNoncurrent · fonte · unid. moeda</t>
        </is>
      </c>
      <c r="B54" t="n">
        <v>34</v>
      </c>
      <c r="C54" t="inlineStr">
        <is>
          <t>Other non-current liabilities</t>
        </is>
      </c>
      <c r="D54" s="265" t="n">
        <v>3917500</v>
      </c>
      <c r="E54" s="265" t="n">
        <v>3738000</v>
      </c>
      <c r="F54" s="265" t="n">
        <v>3768500</v>
      </c>
      <c r="G54" s="265" t="n">
        <v>3920000</v>
      </c>
      <c r="I54" s="265" t="n">
        <v>3978100</v>
      </c>
      <c r="J54" s="265" t="n">
        <v>3557600</v>
      </c>
      <c r="K54" s="265" t="n">
        <v>3641700</v>
      </c>
      <c r="L54" s="265" t="n">
        <v>3709600</v>
      </c>
      <c r="N54" s="265" t="n">
        <v>3842100</v>
      </c>
      <c r="O54" s="265" t="n">
        <v>3330700</v>
      </c>
      <c r="P54" s="265" t="n">
        <v>3468300</v>
      </c>
      <c r="Q54" s="265" t="n">
        <v>3849200</v>
      </c>
      <c r="S54" s="265" t="n">
        <v>4189400</v>
      </c>
      <c r="T54" s="265" t="n">
        <v>3496600</v>
      </c>
      <c r="U54" s="265" t="n">
        <v>3878800</v>
      </c>
      <c r="V54" s="265" t="n">
        <v>4060900</v>
      </c>
      <c r="X54" s="265" t="n">
        <v>5370500</v>
      </c>
      <c r="Y54" s="265" t="n">
        <v>5684300</v>
      </c>
      <c r="Z54" s="265" t="n">
        <v>6293600</v>
      </c>
      <c r="AA54" s="265" t="n">
        <v>5875000</v>
      </c>
      <c r="AC54" s="265" t="n">
        <v>5289000</v>
      </c>
      <c r="AD54" s="265" t="n">
        <v>5461000</v>
      </c>
    </row>
    <row r="55">
      <c r="A55" t="inlineStr">
        <is>
          <t>OtherLiabilitiesNoncurrent · fonte · unid. moeda</t>
        </is>
      </c>
      <c r="B55" t="n">
        <v>34</v>
      </c>
      <c r="C55" t="inlineStr">
        <is>
          <t>Other non-current liabilities</t>
        </is>
      </c>
      <c r="D55" s="265" t="n">
        <v>1737300</v>
      </c>
      <c r="E55" s="265" t="n">
        <v>1801900</v>
      </c>
      <c r="F55" s="265" t="n">
        <v>1748700</v>
      </c>
      <c r="G55" s="265" t="n">
        <v>1644300</v>
      </c>
      <c r="I55" s="265" t="n">
        <v>1713900</v>
      </c>
      <c r="J55" s="265" t="n">
        <v>1783100</v>
      </c>
      <c r="K55" s="265" t="n">
        <v>1852900</v>
      </c>
      <c r="L55" s="265" t="n">
        <v>1736700</v>
      </c>
      <c r="N55" s="265" t="n">
        <v>1822500</v>
      </c>
      <c r="O55" s="265" t="n">
        <v>1951800</v>
      </c>
      <c r="P55" s="265" t="n">
        <v>1906100</v>
      </c>
      <c r="Q55" s="265" t="n">
        <v>2240600</v>
      </c>
      <c r="S55" s="265" t="n">
        <v>2270800</v>
      </c>
      <c r="T55" s="265" t="n">
        <v>2470700</v>
      </c>
      <c r="U55" s="265" t="n">
        <v>2239400</v>
      </c>
      <c r="V55" s="265" t="n">
        <v>2178200</v>
      </c>
      <c r="X55" s="265" t="n">
        <v>2288400</v>
      </c>
      <c r="Y55" s="265" t="n">
        <v>2344700</v>
      </c>
      <c r="Z55" s="265" t="n">
        <v>3776500</v>
      </c>
      <c r="AA55" s="265" t="n">
        <v>3970000</v>
      </c>
      <c r="AC55" s="265" t="n">
        <v>4085000</v>
      </c>
      <c r="AD55" s="265" t="n">
        <v>7344000</v>
      </c>
    </row>
    <row r="56">
      <c r="A56" t="inlineStr">
        <is>
          <t>OtherAdditionalCapital · fonte · unid. moeda</t>
        </is>
      </c>
      <c r="B56" t="n">
        <v>34</v>
      </c>
      <c r="C56" t="inlineStr">
        <is>
          <t>Other non-current liabilities</t>
        </is>
      </c>
      <c r="D56" s="265" t="n">
        <v>0</v>
      </c>
      <c r="E56" s="265" t="n">
        <v>0</v>
      </c>
      <c r="F56" s="265" t="n">
        <v>0</v>
      </c>
      <c r="G56" s="265" t="n">
        <v>0</v>
      </c>
      <c r="I56" s="265" t="n">
        <v>0</v>
      </c>
      <c r="J56" s="265" t="n">
        <v>0</v>
      </c>
      <c r="K56" s="265" t="n">
        <v>0</v>
      </c>
      <c r="L56" s="265" t="n">
        <v>0</v>
      </c>
      <c r="N56" s="265" t="n">
        <v>0</v>
      </c>
      <c r="O56" s="265" t="n">
        <v>0</v>
      </c>
      <c r="P56" s="265" t="n">
        <v>0</v>
      </c>
      <c r="Q56" s="265" t="n">
        <v>0</v>
      </c>
      <c r="S56" s="265" t="n">
        <v>0</v>
      </c>
      <c r="T56" s="265" t="n">
        <v>0</v>
      </c>
      <c r="U56" s="265" t="n">
        <v>0</v>
      </c>
      <c r="V56" s="265" t="n">
        <v>0</v>
      </c>
      <c r="X56" s="265" t="n">
        <v>0</v>
      </c>
      <c r="Y56" s="265" t="n">
        <v>0</v>
      </c>
      <c r="Z56" s="265" t="n">
        <v>0</v>
      </c>
      <c r="AA56" s="265" t="n">
        <v>22000</v>
      </c>
      <c r="AC56" s="265" t="n">
        <v>19000</v>
      </c>
      <c r="AD56" s="265" t="n">
        <v>55000</v>
      </c>
    </row>
    <row r="57">
      <c r="A57" t="inlineStr">
        <is>
          <t>MinorityInterest · fonte · unid. moeda</t>
        </is>
      </c>
      <c r="B57" t="n">
        <v>35</v>
      </c>
      <c r="C57" t="inlineStr">
        <is>
          <t>Minority interest</t>
        </is>
      </c>
      <c r="D57" s="265" t="n">
        <v>200600</v>
      </c>
      <c r="E57" s="265" t="n">
        <v>219100</v>
      </c>
      <c r="F57" s="265" t="n">
        <v>197100</v>
      </c>
      <c r="G57" s="265" t="n">
        <v>175600</v>
      </c>
      <c r="I57" s="265" t="n">
        <v>131200</v>
      </c>
      <c r="J57" s="265" t="n">
        <v>114500</v>
      </c>
      <c r="K57" s="265" t="n">
        <v>95800</v>
      </c>
      <c r="L57" s="265" t="n">
        <v>125600</v>
      </c>
      <c r="N57" s="265" t="n">
        <v>104500</v>
      </c>
      <c r="O57" s="265" t="n">
        <v>85500</v>
      </c>
      <c r="P57" s="265" t="n">
        <v>87000</v>
      </c>
      <c r="Q57" s="265" t="n">
        <v>91800</v>
      </c>
      <c r="S57" s="265" t="n">
        <v>85200</v>
      </c>
      <c r="T57" s="265" t="n">
        <v>73500</v>
      </c>
      <c r="U57" s="265" t="n">
        <v>80700</v>
      </c>
      <c r="V57" s="265" t="n">
        <v>79500</v>
      </c>
      <c r="X57" s="265" t="n">
        <v>82000</v>
      </c>
      <c r="Y57" s="265" t="n">
        <v>76200</v>
      </c>
      <c r="Z57" s="265" t="n">
        <v>57500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CommonStockValue · fonte · unid. moeda</t>
        </is>
      </c>
      <c r="B58" t="n">
        <v>37</v>
      </c>
      <c r="C58" t="inlineStr">
        <is>
          <t>Common Stock and APIC</t>
        </is>
      </c>
      <c r="D58" s="265" t="n">
        <v>599700</v>
      </c>
      <c r="E58" s="265" t="n">
        <v>598100</v>
      </c>
      <c r="F58" s="265" t="n">
        <v>598200</v>
      </c>
      <c r="G58" s="265" t="n">
        <v>596300</v>
      </c>
      <c r="I58" s="265" t="n">
        <v>594100</v>
      </c>
      <c r="J58" s="265" t="n">
        <v>594100</v>
      </c>
      <c r="K58" s="265" t="n">
        <v>594100</v>
      </c>
      <c r="L58" s="265" t="n">
        <v>594100</v>
      </c>
      <c r="N58" s="265" t="n">
        <v>593500</v>
      </c>
      <c r="O58" s="265" t="n">
        <v>593600</v>
      </c>
      <c r="P58" s="265" t="n">
        <v>593600</v>
      </c>
      <c r="Q58" s="265" t="n">
        <v>593600</v>
      </c>
      <c r="S58" s="265" t="n">
        <v>594200</v>
      </c>
      <c r="T58" s="265" t="n">
        <v>594200</v>
      </c>
      <c r="U58" s="265" t="n">
        <v>593900</v>
      </c>
      <c r="V58" s="265" t="n">
        <v>592400</v>
      </c>
      <c r="X58" s="265" t="n">
        <v>592600</v>
      </c>
      <c r="Y58" s="265" t="n">
        <v>592000</v>
      </c>
      <c r="Z58" s="265" t="n">
        <v>591400</v>
      </c>
      <c r="AA58" s="265" t="n">
        <v>590000</v>
      </c>
      <c r="AC58" s="265" t="n">
        <v>590000</v>
      </c>
      <c r="AD58" s="265" t="n">
        <v>588000</v>
      </c>
    </row>
    <row r="59">
      <c r="A59" t="inlineStr">
        <is>
          <t>AdditionalPaidInCapitalCommonStock · fonte · unid. moeda</t>
        </is>
      </c>
      <c r="B59" t="n">
        <v>37</v>
      </c>
      <c r="C59" t="inlineStr">
        <is>
          <t>Common Stock and APIC</t>
        </is>
      </c>
      <c r="D59" s="265" t="n">
        <v>6579200</v>
      </c>
      <c r="E59" s="265" t="n">
        <v>6669200</v>
      </c>
      <c r="F59" s="265" t="n">
        <v>6758000</v>
      </c>
      <c r="G59" s="265" t="n">
        <v>6833400</v>
      </c>
      <c r="I59" s="265" t="n">
        <v>6656300</v>
      </c>
      <c r="J59" s="265" t="n">
        <v>6746000</v>
      </c>
      <c r="K59" s="265" t="n">
        <v>6829000</v>
      </c>
      <c r="L59" s="265" t="n">
        <v>6921400</v>
      </c>
      <c r="N59" s="265" t="n">
        <v>6793100</v>
      </c>
      <c r="O59" s="265" t="n">
        <v>6948600</v>
      </c>
      <c r="P59" s="265" t="n">
        <v>7160000</v>
      </c>
      <c r="Q59" s="265" t="n">
        <v>7250400</v>
      </c>
      <c r="S59" s="265" t="n">
        <v>7009500</v>
      </c>
      <c r="T59" s="265" t="n">
        <v>7214200</v>
      </c>
      <c r="U59" s="265" t="n">
        <v>7339600</v>
      </c>
      <c r="V59" s="265" t="n">
        <v>7439300</v>
      </c>
      <c r="X59" s="265" t="n">
        <v>6910000</v>
      </c>
      <c r="Y59" s="265" t="n">
        <v>7089300</v>
      </c>
      <c r="Z59" s="265" t="n">
        <v>7231900</v>
      </c>
      <c r="AA59" s="265" t="n">
        <v>7346000</v>
      </c>
      <c r="AC59" s="265" t="n">
        <v>6921000</v>
      </c>
      <c r="AD59" s="265" t="n">
        <v>7117000</v>
      </c>
    </row>
    <row r="60">
      <c r="A60" t="inlineStr">
        <is>
          <t>CommonStockSharesHeldInEmployeeTrust (divulgado positivo, lançado negativo) · fonte · unid. moeda</t>
        </is>
      </c>
      <c r="B60" t="n">
        <v>38</v>
      </c>
      <c r="C60" t="inlineStr">
        <is>
          <t>Treasury stock (contra account)</t>
        </is>
      </c>
      <c r="D60" s="265" t="n">
        <v>-3013200</v>
      </c>
      <c r="E60" s="265" t="n">
        <v>-3013200</v>
      </c>
      <c r="F60" s="265" t="n">
        <v>-3013200</v>
      </c>
      <c r="G60" s="265" t="n">
        <v>-3013200</v>
      </c>
      <c r="I60" s="265" t="n">
        <v>-3013200</v>
      </c>
      <c r="J60" s="265" t="n">
        <v>-3013200</v>
      </c>
      <c r="K60" s="265" t="n">
        <v>-3013200</v>
      </c>
      <c r="L60" s="265" t="n">
        <v>-3013200</v>
      </c>
      <c r="N60" s="265" t="n">
        <v>-3013200</v>
      </c>
      <c r="O60" s="265" t="n">
        <v>-3013200</v>
      </c>
      <c r="P60" s="265" t="n">
        <v>-3013200</v>
      </c>
      <c r="Q60" s="265" t="n">
        <v>-3013200</v>
      </c>
      <c r="S60" s="265" t="n">
        <v>-3013200</v>
      </c>
      <c r="T60" s="265" t="n">
        <v>-3013200</v>
      </c>
      <c r="U60" s="265" t="n">
        <v>-3013200</v>
      </c>
      <c r="V60" s="265" t="n">
        <v>-3013200</v>
      </c>
      <c r="X60" s="265" t="n">
        <v>-3013200</v>
      </c>
      <c r="Y60" s="265" t="n">
        <v>-3013200</v>
      </c>
      <c r="Z60" s="265" t="n">
        <v>-3013200</v>
      </c>
      <c r="AA60" s="265" t="n">
        <v>-3013000</v>
      </c>
      <c r="AC60" s="265" t="n">
        <v>-3013000</v>
      </c>
      <c r="AD60" s="265" t="n">
        <v>-3013000</v>
      </c>
    </row>
    <row r="61">
      <c r="A61" t="inlineStr">
        <is>
          <t>TreasuryStockValue (divulgado positivo, lançado negativo) · fonte · unid. moeda</t>
        </is>
      </c>
      <c r="B61" t="n">
        <v>38</v>
      </c>
      <c r="C61" t="inlineStr">
        <is>
          <t>Treasury stock (contra account)</t>
        </is>
      </c>
      <c r="D61" s="265" t="n">
        <v>-52700</v>
      </c>
      <c r="E61" s="265" t="n">
        <v>-52700</v>
      </c>
      <c r="F61" s="265" t="n">
        <v>-52700</v>
      </c>
      <c r="G61" s="265" t="n">
        <v>-52700</v>
      </c>
      <c r="I61" s="265" t="n">
        <v>-50500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TreasuryStockCommonValue (divulgado positivo, lançado negativo) · fonte · unid. moeda</t>
        </is>
      </c>
      <c r="B62" t="n">
        <v>38</v>
      </c>
      <c r="C62" t="inlineStr">
        <is>
          <t>Treasury stock (contra account)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-50500</v>
      </c>
      <c r="K62" s="265" t="n">
        <v>-50500</v>
      </c>
      <c r="L62" s="265" t="n">
        <v>-50500</v>
      </c>
      <c r="N62" s="265" t="n">
        <v>-45000</v>
      </c>
      <c r="O62" s="265" t="n">
        <v>-45000</v>
      </c>
      <c r="P62" s="265" t="n">
        <v>-45000</v>
      </c>
      <c r="Q62" s="265" t="n">
        <v>-44200</v>
      </c>
      <c r="S62" s="265" t="n">
        <v>-32700</v>
      </c>
      <c r="T62" s="265" t="n">
        <v>-32700</v>
      </c>
      <c r="U62" s="265" t="n">
        <v>-32700</v>
      </c>
      <c r="V62" s="265" t="n">
        <v>-49500</v>
      </c>
      <c r="X62" s="265" t="n">
        <v>-49500</v>
      </c>
      <c r="Y62" s="265" t="n">
        <v>-55400</v>
      </c>
      <c r="Z62" s="265" t="n">
        <v>-62500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AccumulatedOtherComprehensiveIncomeLossNetOfTax · fonte · unid. moeda</t>
        </is>
      </c>
      <c r="B63" t="n">
        <v>39</v>
      </c>
      <c r="C63" t="inlineStr">
        <is>
          <t>Comprehensive (accumulated) loss</t>
        </is>
      </c>
      <c r="D63" s="265" t="n">
        <v>-6395600</v>
      </c>
      <c r="E63" s="265" t="n">
        <v>-6287100</v>
      </c>
      <c r="F63" s="265" t="n">
        <v>-6172700</v>
      </c>
      <c r="G63" s="265" t="n">
        <v>-4343100</v>
      </c>
      <c r="I63" s="265" t="n">
        <v>-4225300</v>
      </c>
      <c r="J63" s="265" t="n">
        <v>-4287700</v>
      </c>
      <c r="K63" s="265" t="n">
        <v>-4295800</v>
      </c>
      <c r="L63" s="265" t="n">
        <v>-3844600</v>
      </c>
      <c r="N63" s="265" t="n">
        <v>-3777300</v>
      </c>
      <c r="O63" s="265" t="n">
        <v>-3788700</v>
      </c>
      <c r="P63" s="265" t="n">
        <v>-3784900</v>
      </c>
      <c r="Q63" s="265" t="n">
        <v>-4327000</v>
      </c>
      <c r="S63" s="265" t="n">
        <v>-4299500</v>
      </c>
      <c r="T63" s="265" t="n">
        <v>-4378500</v>
      </c>
      <c r="U63" s="265" t="n">
        <v>-4274800</v>
      </c>
      <c r="V63" s="265" t="n">
        <v>-4321900</v>
      </c>
      <c r="X63" s="265" t="n">
        <v>-3774600</v>
      </c>
      <c r="Y63" s="265" t="n">
        <v>-3716000</v>
      </c>
      <c r="Z63" s="265" t="n">
        <v>-3206300</v>
      </c>
      <c r="AA63" s="265" t="n">
        <v>-2880000</v>
      </c>
      <c r="AC63" s="265" t="n">
        <v>-2833000</v>
      </c>
      <c r="AD63" s="265" t="n">
        <v>-2761000</v>
      </c>
    </row>
    <row r="64">
      <c r="A64" t="inlineStr">
        <is>
          <t>RetainedEarningsAccumulatedDeficit · fonte · unid. moeda</t>
        </is>
      </c>
      <c r="B64" t="n">
        <v>41</v>
      </c>
      <c r="C64" t="inlineStr">
        <is>
          <t>Retained earnings</t>
        </is>
      </c>
      <c r="D64" s="265" t="n">
        <v>9181300</v>
      </c>
      <c r="E64" s="265" t="n">
        <v>8530100</v>
      </c>
      <c r="F64" s="265" t="n">
        <v>9639400</v>
      </c>
      <c r="G64" s="265" t="n">
        <v>8958500</v>
      </c>
      <c r="I64" s="265" t="n">
        <v>9369400</v>
      </c>
      <c r="J64" s="265" t="n">
        <v>8556000</v>
      </c>
      <c r="K64" s="265" t="n">
        <v>10006500</v>
      </c>
      <c r="L64" s="265" t="n">
        <v>10042600</v>
      </c>
      <c r="N64" s="265" t="n">
        <v>10639300</v>
      </c>
      <c r="O64" s="265" t="n">
        <v>10368500</v>
      </c>
      <c r="P64" s="265" t="n">
        <v>10309900</v>
      </c>
      <c r="Q64" s="265" t="n">
        <v>10312300</v>
      </c>
      <c r="S64" s="265" t="n">
        <v>12553900</v>
      </c>
      <c r="T64" s="265" t="n">
        <v>13178000</v>
      </c>
      <c r="U64" s="265" t="n">
        <v>13627200</v>
      </c>
      <c r="V64" s="265" t="n">
        <v>13545000</v>
      </c>
      <c r="X64" s="265" t="n">
        <v>15099500</v>
      </c>
      <c r="Y64" s="265" t="n">
        <v>17376200</v>
      </c>
      <c r="Z64" s="265" t="n">
        <v>22252000</v>
      </c>
      <c r="AA64" s="265" t="n">
        <v>24470000</v>
      </c>
      <c r="AC64" s="265" t="n">
        <v>29514000</v>
      </c>
      <c r="AD64" s="265" t="n">
        <v>31893000</v>
      </c>
    </row>
    <row r="65">
      <c r="A65" t="inlineStr">
        <is>
          <t>[vazio] Minoritários (DRE): não aparece como linha própria nas demonstrações (zero) · derivada · unid. moeda</t>
        </is>
      </c>
      <c r="B65" t="n">
        <v>9</v>
      </c>
      <c r="C65" t="inlineStr">
        <is>
          <t>Minority Interest Expense, after tax (enter as - )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0</v>
      </c>
      <c r="S65" s="265" t="n">
        <v>0</v>
      </c>
      <c r="T65" s="265" t="n">
        <v>0</v>
      </c>
      <c r="U65" s="265" t="n">
        <v>0</v>
      </c>
      <c r="V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C65" s="265" t="n">
        <v>0</v>
      </c>
      <c r="AD65" s="265" t="n">
        <v>0</v>
      </c>
    </row>
    <row r="66">
      <c r="A66" t="inlineStr">
        <is>
          <t>[vazio] Investimentos em coligadas: não aparece como linha própria nas demonstrações (zero) · derivada · unid. moeda</t>
        </is>
      </c>
      <c r="B66" t="n">
        <v>17</v>
      </c>
      <c r="C66" t="inlineStr">
        <is>
          <t>Equity in affiliates</t>
        </is>
      </c>
      <c r="D66" s="265" t="n">
        <v>0</v>
      </c>
      <c r="E66" s="265" t="n">
        <v>0</v>
      </c>
      <c r="F66" s="265" t="n">
        <v>0</v>
      </c>
      <c r="G66" s="265" t="n">
        <v>0</v>
      </c>
      <c r="I66" s="265" t="n">
        <v>0</v>
      </c>
      <c r="J66" s="265" t="n">
        <v>0</v>
      </c>
      <c r="K66" s="265" t="n">
        <v>0</v>
      </c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[vazio] Direito de uso: não aparece como linha própria nas demonstrações (zero) · derivada · unid. moeda</t>
        </is>
      </c>
      <c r="B67" t="n">
        <v>19</v>
      </c>
      <c r="C67" t="inlineStr">
        <is>
          <t>Right-of-use-assets</t>
        </is>
      </c>
      <c r="D67" s="265" t="n">
        <v>0</v>
      </c>
      <c r="E67" s="265" t="n">
        <v>0</v>
      </c>
      <c r="F67" s="265" t="n">
        <v>0</v>
      </c>
      <c r="G67" s="265" t="n">
        <v>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[vazio] Revolving: não aparece como linha própria nas demonstrações (zero) · derivada · unid. moeda</t>
        </is>
      </c>
      <c r="B68" t="n">
        <v>28</v>
      </c>
      <c r="C68" t="inlineStr">
        <is>
          <t>Short term debt (Revolving credit facility)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[vazio] Arrendamento CP: não aparece como linha própria nas demonstrações (zero) · derivada · unid. moeda</t>
        </is>
      </c>
      <c r="B69" t="n">
        <v>29</v>
      </c>
      <c r="C69" t="inlineStr">
        <is>
          <t>Short term operating leases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[vazio] Arrendamento LP: não aparece como linha própria nas demonstrações (zero) · derivada · unid. moeda</t>
        </is>
      </c>
      <c r="B70" t="n">
        <v>31</v>
      </c>
      <c r="C70" t="inlineStr">
        <is>
          <t>Long term operating leases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0</v>
      </c>
      <c r="O70" s="265" t="n">
        <v>0</v>
      </c>
      <c r="P70" s="265" t="n">
        <v>0</v>
      </c>
      <c r="Q70" s="265" t="n">
        <v>0</v>
      </c>
      <c r="S70" s="265" t="n">
        <v>0</v>
      </c>
      <c r="T70" s="265" t="n">
        <v>0</v>
      </c>
      <c r="U70" s="265" t="n">
        <v>0</v>
      </c>
      <c r="V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C70" s="265" t="n">
        <v>0</v>
      </c>
      <c r="AD70" s="265" t="n">
        <v>0</v>
      </c>
    </row>
    <row r="71">
      <c r="A71" t="inlineStr">
        <is>
          <t>[vazio] Dívida conversível: não aparece como linha própria nas demonstrações (zero) · derivada · unid. moeda</t>
        </is>
      </c>
      <c r="B71" t="n">
        <v>32</v>
      </c>
      <c r="C71" t="inlineStr">
        <is>
          <t>Convertible debt</t>
        </is>
      </c>
      <c r="D71" s="265" t="n">
        <v>0</v>
      </c>
      <c r="E71" s="265" t="n">
        <v>0</v>
      </c>
      <c r="F71" s="265" t="n">
        <v>0</v>
      </c>
      <c r="G71" s="265" t="n">
        <v>0</v>
      </c>
      <c r="I71" s="265" t="n">
        <v>0</v>
      </c>
      <c r="J71" s="265" t="n">
        <v>0</v>
      </c>
      <c r="K71" s="265" t="n">
        <v>0</v>
      </c>
      <c r="L71" s="265" t="n">
        <v>0</v>
      </c>
      <c r="N71" s="265" t="n">
        <v>0</v>
      </c>
      <c r="O71" s="265" t="n">
        <v>0</v>
      </c>
      <c r="P71" s="265" t="n">
        <v>0</v>
      </c>
      <c r="Q71" s="265" t="n">
        <v>0</v>
      </c>
      <c r="S71" s="265" t="n">
        <v>0</v>
      </c>
      <c r="T71" s="265" t="n">
        <v>0</v>
      </c>
      <c r="U71" s="265" t="n">
        <v>0</v>
      </c>
      <c r="V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C71" s="265" t="n">
        <v>0</v>
      </c>
      <c r="AD71" s="265" t="n">
        <v>0</v>
      </c>
    </row>
    <row r="72">
      <c r="A72" t="inlineStr">
        <is>
          <t>[vazio] Outras contas do PL: não aparece como linha própria nas demonstrações (zero) · derivada · unid. moeda</t>
        </is>
      </c>
      <c r="B72" t="n">
        <v>40</v>
      </c>
      <c r="C72" t="inlineStr">
        <is>
          <t>Other equity account</t>
        </is>
      </c>
      <c r="D72" s="265" t="n">
        <v>0</v>
      </c>
      <c r="E72" s="265" t="n">
        <v>0</v>
      </c>
      <c r="F72" s="265" t="n">
        <v>0</v>
      </c>
      <c r="G72" s="265" t="n">
        <v>0</v>
      </c>
      <c r="I72" s="265" t="n">
        <v>0</v>
      </c>
      <c r="J72" s="265" t="n">
        <v>0</v>
      </c>
      <c r="K72" s="265" t="n">
        <v>0</v>
      </c>
      <c r="L72" s="265" t="n">
        <v>0</v>
      </c>
      <c r="N72" s="265" t="n">
        <v>0</v>
      </c>
      <c r="O72" s="265" t="n">
        <v>0</v>
      </c>
      <c r="P72" s="265" t="n">
        <v>0</v>
      </c>
      <c r="Q72" s="265" t="n">
        <v>0</v>
      </c>
      <c r="S72" s="265" t="n">
        <v>0</v>
      </c>
      <c r="T72" s="265" t="n">
        <v>0</v>
      </c>
      <c r="U72" s="265" t="n">
        <v>0</v>
      </c>
      <c r="V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C72" s="265" t="n">
        <v>0</v>
      </c>
      <c r="AD72" s="265" t="n">
        <v>0</v>
      </c>
    </row>
    <row r="73">
      <c r="A73" t="inlineStr">
        <is>
          <t>BALANÇO - totais divulgados (memória)</t>
        </is>
      </c>
      <c r="C73" t="inlineStr">
        <is>
          <t>[linha bruta, sem código; lançada nas linhas abaixo]</t>
        </is>
      </c>
      <c r="D73" s="265" t="n"/>
      <c r="E73" s="265" t="n"/>
      <c r="F73" s="265" t="n"/>
      <c r="G73" s="265" t="n"/>
      <c r="I73" s="265" t="n"/>
      <c r="J73" s="265" t="n"/>
      <c r="K73" s="265" t="n"/>
      <c r="L73" s="265" t="n"/>
      <c r="N73" s="265" t="n"/>
      <c r="O73" s="265" t="n"/>
      <c r="P73" s="265" t="n"/>
      <c r="Q73" s="265" t="n"/>
      <c r="S73" s="265" t="n"/>
      <c r="T73" s="265" t="n"/>
      <c r="U73" s="265" t="n"/>
      <c r="V73" s="265" t="n"/>
      <c r="X73" s="265" t="n"/>
      <c r="Y73" s="265" t="n"/>
      <c r="Z73" s="265" t="n"/>
      <c r="AA73" s="265" t="n"/>
      <c r="AC73" s="265" t="n"/>
      <c r="AD73" s="265" t="n"/>
    </row>
    <row r="74">
      <c r="A74" t="inlineStr">
        <is>
          <t>Total do ativo [us-gaap:Assets] · memoria · unid. moeda</t>
        </is>
      </c>
      <c r="C74" t="inlineStr">
        <is>
          <t>[linha bruta, sem código; lançada nas linhas abaixo]</t>
        </is>
      </c>
      <c r="D74" s="265" t="n">
        <v>46838300</v>
      </c>
      <c r="E74" s="265" t="n">
        <v>47809000</v>
      </c>
      <c r="F74" s="265" t="n">
        <v>48187000</v>
      </c>
      <c r="G74" s="265" t="n">
        <v>48806000</v>
      </c>
      <c r="I74" s="265" t="n">
        <v>46919300</v>
      </c>
      <c r="J74" s="265" t="n">
        <v>47063600</v>
      </c>
      <c r="K74" s="265" t="n">
        <v>47461500</v>
      </c>
      <c r="L74" s="265" t="n">
        <v>49489800</v>
      </c>
      <c r="N74" s="265" t="n">
        <v>53163000</v>
      </c>
      <c r="O74" s="265" t="n">
        <v>54814000</v>
      </c>
      <c r="P74" s="265" t="n">
        <v>57915500</v>
      </c>
      <c r="Q74" s="265" t="n">
        <v>64006300</v>
      </c>
      <c r="S74" s="265" t="n">
        <v>63943500</v>
      </c>
      <c r="T74" s="265" t="n">
        <v>71874800</v>
      </c>
      <c r="U74" s="265" t="n">
        <v>75606900</v>
      </c>
      <c r="V74" s="265" t="n">
        <v>78714900</v>
      </c>
      <c r="X74" s="265" t="n">
        <v>89388800</v>
      </c>
      <c r="Y74" s="265" t="n">
        <v>100922600</v>
      </c>
      <c r="Z74" s="265" t="n">
        <v>114935400</v>
      </c>
      <c r="AA74" s="265" t="n">
        <v>112476000</v>
      </c>
      <c r="AC74" s="265" t="n">
        <v>116576000</v>
      </c>
      <c r="AD74" s="265" t="n">
        <v>142283000</v>
      </c>
    </row>
    <row r="75">
      <c r="A75" t="inlineStr">
        <is>
          <t>Total do passivo + PL [us-gaap:LiabilitiesAndStockholdersEquity] · memoria · unid. moeda</t>
        </is>
      </c>
      <c r="C75" t="inlineStr">
        <is>
          <t>[linha bruta, sem código; lançada nas linhas abaixo]</t>
        </is>
      </c>
      <c r="D75" s="265" t="n">
        <v>46838300</v>
      </c>
      <c r="E75" s="265" t="n">
        <v>47809000</v>
      </c>
      <c r="F75" s="265" t="n">
        <v>48187000</v>
      </c>
      <c r="G75" s="265" t="n">
        <v>48806000</v>
      </c>
      <c r="I75" s="265" t="n">
        <v>46919300</v>
      </c>
      <c r="J75" s="265" t="n">
        <v>47063600</v>
      </c>
      <c r="K75" s="265" t="n">
        <v>47461500</v>
      </c>
      <c r="L75" s="265" t="n">
        <v>49489800</v>
      </c>
      <c r="N75" s="265" t="n">
        <v>53163000</v>
      </c>
      <c r="O75" s="265" t="n">
        <v>54814000</v>
      </c>
      <c r="P75" s="265" t="n">
        <v>57915500</v>
      </c>
      <c r="Q75" s="265" t="n">
        <v>64006300</v>
      </c>
      <c r="S75" s="265" t="n">
        <v>63943500</v>
      </c>
      <c r="T75" s="265" t="n">
        <v>71874800</v>
      </c>
      <c r="U75" s="265" t="n">
        <v>75606900</v>
      </c>
      <c r="V75" s="265" t="n">
        <v>78714900</v>
      </c>
      <c r="X75" s="265" t="n">
        <v>89388800</v>
      </c>
      <c r="Y75" s="265" t="n">
        <v>100922600</v>
      </c>
      <c r="Z75" s="265" t="n">
        <v>114935400</v>
      </c>
      <c r="AA75" s="265" t="n">
        <v>112476000</v>
      </c>
      <c r="AC75" s="265" t="n">
        <v>116576000</v>
      </c>
      <c r="AD75" s="265" t="n">
        <v>142283000</v>
      </c>
    </row>
    <row r="76">
      <c r="A76" t="inlineStr">
        <is>
          <t>CHECKS (devem ser 0)</t>
        </is>
      </c>
      <c r="C76" t="inlineStr">
        <is>
          <t>[linha bruta, sem código; lançada nas linhas abaixo]</t>
        </is>
      </c>
      <c r="D76" s="265" t="n"/>
      <c r="E76" s="265" t="n"/>
      <c r="F76" s="265" t="n"/>
      <c r="G76" s="265" t="n"/>
      <c r="I76" s="265" t="n"/>
      <c r="J76" s="265" t="n"/>
      <c r="K76" s="265" t="n"/>
      <c r="L76" s="265" t="n"/>
      <c r="N76" s="265" t="n"/>
      <c r="O76" s="265" t="n"/>
      <c r="P76" s="265" t="n"/>
      <c r="Q76" s="265" t="n"/>
      <c r="S76" s="265" t="n"/>
      <c r="T76" s="265" t="n"/>
      <c r="U76" s="265" t="n"/>
      <c r="V76" s="265" t="n"/>
      <c r="X76" s="265" t="n"/>
      <c r="Y76" s="265" t="n"/>
      <c r="Z76" s="265" t="n"/>
      <c r="AA76" s="265" t="n"/>
      <c r="AC76" s="265" t="n"/>
      <c r="AD76" s="265" t="n"/>
    </row>
    <row r="77">
      <c r="A77" t="inlineStr">
        <is>
          <t>CHECK: contas de ativo - ativo total (USD, arredondado a 100 mil) · derivada · unid. moeda</t>
        </is>
      </c>
      <c r="C77" t="inlineStr">
        <is>
          <t>[linha bruta, sem código; lançada nas linhas abaixo]</t>
        </is>
      </c>
      <c r="D77" s="265">
        <f>ROUND(N(D28)+N(D29)+N(D30)+N(D31)+N(D32)+N(D33)+N(D34)+N(D35)+N(D36)+N(D37)+N(D38)+N(D39)+N(D40)+N(D41)+N(D42)+N(D43)-N(D74),-2)</f>
        <v>0</v>
      </c>
      <c r="E77" s="265">
        <f>ROUND(N(E28)+N(E29)+N(E30)+N(E31)+N(E32)+N(E33)+N(E34)+N(E35)+N(E36)+N(E37)+N(E38)+N(E39)+N(E40)+N(E41)+N(E42)+N(E43)-N(E74),-2)</f>
        <v>0</v>
      </c>
      <c r="F77" s="265">
        <f>ROUND(N(F28)+N(F29)+N(F30)+N(F31)+N(F32)+N(F33)+N(F34)+N(F35)+N(F36)+N(F37)+N(F38)+N(F39)+N(F40)+N(F41)+N(F42)+N(F43)-N(F74),-2)</f>
        <v>0</v>
      </c>
      <c r="G77" s="265">
        <f>ROUND(N(G28)+N(G29)+N(G30)+N(G31)+N(G32)+N(G33)+N(G34)+N(G35)+N(G36)+N(G37)+N(G38)+N(G39)+N(G40)+N(G41)+N(G42)+N(G43)-N(G74),-2)</f>
        <v>0</v>
      </c>
      <c r="I77" s="265">
        <f>ROUND(N(I28)+N(I29)+N(I30)+N(I31)+N(I32)+N(I33)+N(I34)+N(I35)+N(I36)+N(I37)+N(I38)+N(I39)+N(I40)+N(I41)+N(I42)+N(I43)-N(I74),-2)</f>
        <v>0</v>
      </c>
      <c r="J77" s="265">
        <f>ROUND(N(J28)+N(J29)+N(J30)+N(J31)+N(J32)+N(J33)+N(J34)+N(J35)+N(J36)+N(J37)+N(J38)+N(J39)+N(J40)+N(J41)+N(J42)+N(J43)-N(J74),-2)</f>
        <v>0</v>
      </c>
      <c r="K77" s="265">
        <f>ROUND(N(K28)+N(K29)+N(K30)+N(K31)+N(K32)+N(K33)+N(K34)+N(K35)+N(K36)+N(K37)+N(K38)+N(K39)+N(K40)+N(K41)+N(K42)+N(K43)-N(K74),-2)</f>
        <v>0</v>
      </c>
      <c r="L77" s="265">
        <f>ROUND(N(L28)+N(L29)+N(L30)+N(L31)+N(L32)+N(L33)+N(L34)+N(L35)+N(L36)+N(L37)+N(L38)+N(L39)+N(L40)+N(L41)+N(L42)+N(L43)-N(L74),-2)</f>
        <v>0</v>
      </c>
      <c r="N77" s="265">
        <f>ROUND(N(N28)+N(N29)+N(N30)+N(N31)+N(N32)+N(N33)+N(N34)+N(N35)+N(N36)+N(N37)+N(N38)+N(N39)+N(N40)+N(N41)+N(N42)+N(N43)-N(N74),-2)</f>
        <v>0</v>
      </c>
      <c r="O77" s="265">
        <f>ROUND(N(O28)+N(O29)+N(O30)+N(O31)+N(O32)+N(O33)+N(O34)+N(O35)+N(O36)+N(O37)+N(O38)+N(O39)+N(O40)+N(O41)+N(O42)+N(O43)-N(O74),-2)</f>
        <v>0</v>
      </c>
      <c r="P77" s="265">
        <f>ROUND(N(P28)+N(P29)+N(P30)+N(P31)+N(P32)+N(P33)+N(P34)+N(P35)+N(P36)+N(P37)+N(P38)+N(P39)+N(P40)+N(P41)+N(P42)+N(P43)-N(P74),-2)</f>
        <v>0</v>
      </c>
      <c r="Q77" s="265">
        <f>ROUND(N(Q28)+N(Q29)+N(Q30)+N(Q31)+N(Q32)+N(Q33)+N(Q34)+N(Q35)+N(Q36)+N(Q37)+N(Q38)+N(Q39)+N(Q40)+N(Q41)+N(Q42)+N(Q43)-N(Q74),-2)</f>
        <v>0</v>
      </c>
      <c r="S77" s="265">
        <f>ROUND(N(S28)+N(S29)+N(S30)+N(S31)+N(S32)+N(S33)+N(S34)+N(S35)+N(S36)+N(S37)+N(S38)+N(S39)+N(S40)+N(S41)+N(S42)+N(S43)-N(S74),-2)</f>
        <v>0</v>
      </c>
      <c r="T77" s="265">
        <f>ROUND(N(T28)+N(T29)+N(T30)+N(T31)+N(T32)+N(T33)+N(T34)+N(T35)+N(T36)+N(T37)+N(T38)+N(T39)+N(T40)+N(T41)+N(T42)+N(T43)-N(T74),-2)</f>
        <v>0</v>
      </c>
      <c r="U77" s="265">
        <f>ROUND(N(U28)+N(U29)+N(U30)+N(U31)+N(U32)+N(U33)+N(U34)+N(U35)+N(U36)+N(U37)+N(U38)+N(U39)+N(U40)+N(U41)+N(U42)+N(U43)-N(U74),-2)</f>
        <v>0</v>
      </c>
      <c r="V77" s="265">
        <f>ROUND(N(V28)+N(V29)+N(V30)+N(V31)+N(V32)+N(V33)+N(V34)+N(V35)+N(V36)+N(V37)+N(V38)+N(V39)+N(V40)+N(V41)+N(V42)+N(V43)-N(V74),-2)</f>
        <v>0</v>
      </c>
      <c r="X77" s="265">
        <f>ROUND(N(X28)+N(X29)+N(X30)+N(X31)+N(X32)+N(X33)+N(X34)+N(X35)+N(X36)+N(X37)+N(X38)+N(X39)+N(X40)+N(X41)+N(X42)+N(X43)-N(X74),-2)</f>
        <v>0</v>
      </c>
      <c r="Y77" s="265">
        <f>ROUND(N(Y28)+N(Y29)+N(Y30)+N(Y31)+N(Y32)+N(Y33)+N(Y34)+N(Y35)+N(Y36)+N(Y37)+N(Y38)+N(Y39)+N(Y40)+N(Y41)+N(Y42)+N(Y43)-N(Y74),-2)</f>
        <v>0</v>
      </c>
      <c r="Z77" s="265">
        <f>ROUND(N(Z28)+N(Z29)+N(Z30)+N(Z31)+N(Z32)+N(Z33)+N(Z34)+N(Z35)+N(Z36)+N(Z37)+N(Z38)+N(Z39)+N(Z40)+N(Z41)+N(Z42)+N(Z43)-N(Z74),-2)</f>
        <v>0</v>
      </c>
      <c r="AA77" s="265">
        <f>ROUND(N(AA28)+N(AA29)+N(AA30)+N(AA31)+N(AA32)+N(AA33)+N(AA34)+N(AA35)+N(AA36)+N(AA37)+N(AA38)+N(AA39)+N(AA40)+N(AA41)+N(AA42)+N(AA43)-N(AA74),-2)</f>
        <v>0</v>
      </c>
      <c r="AC77" s="265">
        <f>ROUND(N(AC28)+N(AC29)+N(AC30)+N(AC31)+N(AC32)+N(AC33)+N(AC34)+N(AC35)+N(AC36)+N(AC37)+N(AC38)+N(AC39)+N(AC40)+N(AC41)+N(AC42)+N(AC43)-N(AC74),-2)</f>
        <v>0</v>
      </c>
      <c r="AD77" s="265">
        <f>ROUND(N(AD28)+N(AD29)+N(AD30)+N(AD31)+N(AD32)+N(AD33)+N(AD34)+N(AD35)+N(AD36)+N(AD37)+N(AD38)+N(AD39)+N(AD40)+N(AD41)+N(AD42)+N(AD43)-N(AD74),-2)</f>
        <v>0</v>
      </c>
    </row>
    <row r="78">
      <c r="A78" t="inlineStr">
        <is>
          <t>CHECK: passivo + PL (contas) - passivo + PL total · derivada · unid. moeda</t>
        </is>
      </c>
      <c r="C78" t="inlineStr">
        <is>
          <t>[linha bruta, sem código; lançada nas linhas abaixo]</t>
        </is>
      </c>
      <c r="D78" s="265">
        <f>ROUND(N(D44)+N(D45)+N(D46)+N(D47)+N(D48)+N(D49)+N(D50)+N(D51)+N(D52)+N(D53)+N(D54)+N(D55)+N(D56)+N(D57)+N(D58)+N(D59)+N(D60)+N(D61)+N(D62)+N(D63)+N(D64)-N(D75),-2)</f>
        <v>0</v>
      </c>
      <c r="E78" s="265">
        <f>ROUND(N(E44)+N(E45)+N(E46)+N(E47)+N(E48)+N(E49)+N(E50)+N(E51)+N(E52)+N(E53)+N(E54)+N(E55)+N(E56)+N(E57)+N(E58)+N(E59)+N(E60)+N(E61)+N(E62)+N(E63)+N(E64)-N(E75),-2)</f>
        <v>0</v>
      </c>
      <c r="F78" s="265">
        <f>ROUND(N(F44)+N(F45)+N(F46)+N(F47)+N(F48)+N(F49)+N(F50)+N(F51)+N(F52)+N(F53)+N(F54)+N(F55)+N(F56)+N(F57)+N(F58)+N(F59)+N(F60)+N(F61)+N(F62)+N(F63)+N(F64)-N(F75),-2)</f>
        <v>0</v>
      </c>
      <c r="G78" s="265">
        <f>ROUND(N(G44)+N(G45)+N(G46)+N(G47)+N(G48)+N(G49)+N(G50)+N(G51)+N(G52)+N(G53)+N(G54)+N(G55)+N(G56)+N(G57)+N(G58)+N(G59)+N(G60)+N(G61)+N(G62)+N(G63)+N(G64)-N(G75),-2)</f>
        <v>0</v>
      </c>
      <c r="I78" s="265">
        <f>ROUND(N(I44)+N(I45)+N(I46)+N(I47)+N(I48)+N(I49)+N(I50)+N(I51)+N(I52)+N(I53)+N(I54)+N(I55)+N(I56)+N(I57)+N(I58)+N(I59)+N(I60)+N(I61)+N(I62)+N(I63)+N(I64)-N(I75),-2)</f>
        <v>0</v>
      </c>
      <c r="J78" s="265">
        <f>ROUND(N(J44)+N(J45)+N(J46)+N(J47)+N(J48)+N(J49)+N(J50)+N(J51)+N(J52)+N(J53)+N(J54)+N(J55)+N(J56)+N(J57)+N(J58)+N(J59)+N(J60)+N(J61)+N(J62)+N(J63)+N(J64)-N(J75),-2)</f>
        <v>0</v>
      </c>
      <c r="K78" s="265">
        <f>ROUND(N(K44)+N(K45)+N(K46)+N(K47)+N(K48)+N(K49)+N(K50)+N(K51)+N(K52)+N(K53)+N(K54)+N(K55)+N(K56)+N(K57)+N(K58)+N(K59)+N(K60)+N(K61)+N(K62)+N(K63)+N(K64)-N(K75),-2)</f>
        <v>0</v>
      </c>
      <c r="L78" s="265">
        <f>ROUND(N(L44)+N(L45)+N(L46)+N(L47)+N(L48)+N(L49)+N(L50)+N(L51)+N(L52)+N(L53)+N(L54)+N(L55)+N(L56)+N(L57)+N(L58)+N(L59)+N(L60)+N(L61)+N(L62)+N(L63)+N(L64)-N(L75),-2)</f>
        <v>0</v>
      </c>
      <c r="N78" s="265">
        <f>ROUND(N(N44)+N(N45)+N(N46)+N(N47)+N(N48)+N(N49)+N(N50)+N(N51)+N(N52)+N(N53)+N(N54)+N(N55)+N(N56)+N(N57)+N(N58)+N(N59)+N(N60)+N(N61)+N(N62)+N(N63)+N(N64)-N(N75),-2)</f>
        <v>0</v>
      </c>
      <c r="O78" s="265">
        <f>ROUND(N(O44)+N(O45)+N(O46)+N(O47)+N(O48)+N(O49)+N(O50)+N(O51)+N(O52)+N(O53)+N(O54)+N(O55)+N(O56)+N(O57)+N(O58)+N(O59)+N(O60)+N(O61)+N(O62)+N(O63)+N(O64)-N(O75),-2)</f>
        <v>0</v>
      </c>
      <c r="P78" s="265">
        <f>ROUND(N(P44)+N(P45)+N(P46)+N(P47)+N(P48)+N(P49)+N(P50)+N(P51)+N(P52)+N(P53)+N(P54)+N(P55)+N(P56)+N(P57)+N(P58)+N(P59)+N(P60)+N(P61)+N(P62)+N(P63)+N(P64)-N(P75),-2)</f>
        <v>0</v>
      </c>
      <c r="Q78" s="265">
        <f>ROUND(N(Q44)+N(Q45)+N(Q46)+N(Q47)+N(Q48)+N(Q49)+N(Q50)+N(Q51)+N(Q52)+N(Q53)+N(Q54)+N(Q55)+N(Q56)+N(Q57)+N(Q58)+N(Q59)+N(Q60)+N(Q61)+N(Q62)+N(Q63)+N(Q64)-N(Q75),-2)</f>
        <v>0</v>
      </c>
      <c r="S78" s="265">
        <f>ROUND(N(S44)+N(S45)+N(S46)+N(S47)+N(S48)+N(S49)+N(S50)+N(S51)+N(S52)+N(S53)+N(S54)+N(S55)+N(S56)+N(S57)+N(S58)+N(S59)+N(S60)+N(S61)+N(S62)+N(S63)+N(S64)-N(S75),-2)</f>
        <v>0</v>
      </c>
      <c r="T78" s="265">
        <f>ROUND(N(T44)+N(T45)+N(T46)+N(T47)+N(T48)+N(T49)+N(T50)+N(T51)+N(T52)+N(T53)+N(T54)+N(T55)+N(T56)+N(T57)+N(T58)+N(T59)+N(T60)+N(T61)+N(T62)+N(T63)+N(T64)-N(T75),-2)</f>
        <v>0</v>
      </c>
      <c r="U78" s="265">
        <f>ROUND(N(U44)+N(U45)+N(U46)+N(U47)+N(U48)+N(U49)+N(U50)+N(U51)+N(U52)+N(U53)+N(U54)+N(U55)+N(U56)+N(U57)+N(U58)+N(U59)+N(U60)+N(U61)+N(U62)+N(U63)+N(U64)-N(U75),-2)</f>
        <v>0</v>
      </c>
      <c r="V78" s="265">
        <f>ROUND(N(V44)+N(V45)+N(V46)+N(V47)+N(V48)+N(V49)+N(V50)+N(V51)+N(V52)+N(V53)+N(V54)+N(V55)+N(V56)+N(V57)+N(V58)+N(V59)+N(V60)+N(V61)+N(V62)+N(V63)+N(V64)-N(V75),-2)</f>
        <v>0</v>
      </c>
      <c r="X78" s="265">
        <f>ROUND(N(X44)+N(X45)+N(X46)+N(X47)+N(X48)+N(X49)+N(X50)+N(X51)+N(X52)+N(X53)+N(X54)+N(X55)+N(X56)+N(X57)+N(X58)+N(X59)+N(X60)+N(X61)+N(X62)+N(X63)+N(X64)-N(X75),-2)</f>
        <v>0</v>
      </c>
      <c r="Y78" s="265">
        <f>ROUND(N(Y44)+N(Y45)+N(Y46)+N(Y47)+N(Y48)+N(Y49)+N(Y50)+N(Y51)+N(Y52)+N(Y53)+N(Y54)+N(Y55)+N(Y56)+N(Y57)+N(Y58)+N(Y59)+N(Y60)+N(Y61)+N(Y62)+N(Y63)+N(Y64)-N(Y75),-2)</f>
        <v>0</v>
      </c>
      <c r="Z78" s="265">
        <f>ROUND(N(Z44)+N(Z45)+N(Z46)+N(Z47)+N(Z48)+N(Z49)+N(Z50)+N(Z51)+N(Z52)+N(Z53)+N(Z54)+N(Z55)+N(Z56)+N(Z57)+N(Z58)+N(Z59)+N(Z60)+N(Z61)+N(Z62)+N(Z63)+N(Z64)-N(Z75),-2)</f>
        <v>0</v>
      </c>
      <c r="AA78" s="265">
        <f>ROUND(N(AA44)+N(AA45)+N(AA46)+N(AA47)+N(AA48)+N(AA49)+N(AA50)+N(AA51)+N(AA52)+N(AA53)+N(AA54)+N(AA55)+N(AA56)+N(AA57)+N(AA58)+N(AA59)+N(AA60)+N(AA61)+N(AA62)+N(AA63)+N(AA64)-N(AA75),-2)</f>
        <v>0</v>
      </c>
      <c r="AC78" s="265">
        <f>ROUND(N(AC44)+N(AC45)+N(AC46)+N(AC47)+N(AC48)+N(AC49)+N(AC50)+N(AC51)+N(AC52)+N(AC53)+N(AC54)+N(AC55)+N(AC56)+N(AC57)+N(AC58)+N(AC59)+N(AC60)+N(AC61)+N(AC62)+N(AC63)+N(AC64)-N(AC75),-2)</f>
        <v>0</v>
      </c>
      <c r="AD78" s="265">
        <f>ROUND(N(AD44)+N(AD45)+N(AD46)+N(AD47)+N(AD48)+N(AD49)+N(AD50)+N(AD51)+N(AD52)+N(AD53)+N(AD54)+N(AD55)+N(AD56)+N(AD57)+N(AD58)+N(AD59)+N(AD60)+N(AD61)+N(AD62)+N(AD63)+N(AD64)-N(AD75),-2)</f>
        <v>0</v>
      </c>
    </row>
    <row r="79">
      <c r="A79" t="inlineStr">
        <is>
          <t>CHECK: receita - custo - despesas + não operacional - IR - minoritários + outros após IR - lucro (deve ser 0) · derivada</t>
        </is>
      </c>
      <c r="C79" t="inlineStr">
        <is>
          <t>[linha bruta, sem código; lançada nas linhas abaixo]</t>
        </is>
      </c>
      <c r="D79" s="265">
        <f>ROUND(N(D5)-N(D6)-N(D9)+N(D12)-N(D16)+N(D19)-N(D20),-2)</f>
        <v>0</v>
      </c>
      <c r="E79" s="265">
        <f>ROUND(N(E5)-N(E6)-N(E9)+N(E12)-N(E16)+N(E19)-N(E20),-2)</f>
        <v>0</v>
      </c>
      <c r="F79" s="265">
        <f>ROUND(N(F5)-N(F6)-N(F9)+N(F12)-N(F16)+N(F19)-N(F20),-2)</f>
        <v>0</v>
      </c>
      <c r="G79" s="265">
        <f>ROUND(N(G5)-N(G6)-N(G9)+N(G12)-N(G16)+N(G19)-N(G20),-2)</f>
        <v>0</v>
      </c>
      <c r="I79" s="265">
        <f>ROUND(N(I5)-N(I6)-N(I9)+N(I12)-N(I16)+N(I19)-N(I20),-2)</f>
        <v>0</v>
      </c>
      <c r="J79" s="265">
        <f>ROUND(N(J5)-N(J6)-N(J9)+N(J12)-N(J16)+N(J19)-N(J20),-2)</f>
        <v>0</v>
      </c>
      <c r="K79" s="265">
        <f>ROUND(N(K5)-N(K6)-N(K9)+N(K12)-N(K16)+N(K19)-N(K20),-2)</f>
        <v>0</v>
      </c>
      <c r="L79" s="265">
        <f>ROUND(N(L5)-N(L6)-N(L9)+N(L12)-N(L16)+N(L19)-N(L20),-2)</f>
        <v>0</v>
      </c>
      <c r="N79" s="265">
        <f>ROUND(N(N5)-N(N6)-N(N9)+N(N12)-N(N16)+N(N19)-N(N20),-2)</f>
        <v>0</v>
      </c>
      <c r="O79" s="265">
        <f>ROUND(N(O5)-N(O6)-N(O9)+N(O12)-N(O16)+N(O19)-N(O20),-2)</f>
        <v>0</v>
      </c>
      <c r="P79" s="265">
        <f>ROUND(N(P5)-N(P6)-N(P9)+N(P12)-N(P16)+N(P19)-N(P20),-2)</f>
        <v>0</v>
      </c>
      <c r="Q79" s="265">
        <f>ROUND(N(Q5)-N(Q6)-N(Q9)+N(Q12)-N(Q16)+N(Q19)-N(Q20),-2)</f>
        <v>0</v>
      </c>
      <c r="S79" s="265">
        <f>ROUND(N(S5)-N(S6)-N(S9)+N(S12)-N(S16)+N(S19)-N(S20),-2)</f>
        <v>0</v>
      </c>
      <c r="T79" s="265">
        <f>ROUND(N(T5)-N(T6)-N(T9)+N(T12)-N(T16)+N(T19)-N(T20),-2)</f>
        <v>0</v>
      </c>
      <c r="U79" s="265">
        <f>ROUND(N(U5)-N(U6)-N(U9)+N(U12)-N(U16)+N(U19)-N(U20),-2)</f>
        <v>0</v>
      </c>
      <c r="V79" s="265">
        <f>ROUND(N(V5)-N(V6)-N(V9)+N(V12)-N(V16)+N(V19)-N(V20),-2)</f>
        <v>0</v>
      </c>
      <c r="X79" s="265">
        <f>ROUND(N(X5)-N(X6)-N(X9)+N(X12)-N(X16)+N(X19)-N(X20),-2)</f>
        <v>0</v>
      </c>
      <c r="Y79" s="265">
        <f>ROUND(N(Y5)-N(Y6)-N(Y9)+N(Y12)-N(Y16)+N(Y19)-N(Y20),-2)</f>
        <v>0</v>
      </c>
      <c r="Z79" s="265">
        <f>ROUND(N(Z5)-N(Z6)-N(Z9)+N(Z12)-N(Z16)+N(Z19)-N(Z20),-2)</f>
        <v>0</v>
      </c>
      <c r="AA79" s="265">
        <f>ROUND(N(AA5)-N(AA6)-N(AA9)+N(AA12)-N(AA16)+N(AA19)-N(AA20),-2)</f>
        <v>0</v>
      </c>
      <c r="AC79" s="265">
        <f>ROUND(N(AC5)-N(AC6)-N(AC9)+N(AC12)-N(AC16)+N(AC19)-N(AC20),-2)</f>
        <v>0</v>
      </c>
      <c r="AD79" s="265">
        <f>ROUND(N(AD5)-N(AD6)-N(AD9)+N(AD12)-N(AD16)+N(AD19)-N(AD20),-2)</f>
        <v>0</v>
      </c>
    </row>
    <row r="80">
      <c r="D80" s="265" t="n"/>
      <c r="E80" s="265" t="n"/>
      <c r="F80" s="265" t="n"/>
      <c r="G80" s="265" t="n"/>
      <c r="I80" s="265" t="n"/>
      <c r="J80" s="265" t="n"/>
      <c r="K80" s="265" t="n"/>
      <c r="L80" s="265" t="n"/>
      <c r="N80" s="265" t="n"/>
      <c r="O80" s="265" t="n"/>
      <c r="P80" s="265" t="n"/>
      <c r="Q80" s="265" t="n"/>
      <c r="S80" s="265" t="n"/>
      <c r="T80" s="265" t="n"/>
      <c r="U80" s="265" t="n"/>
      <c r="V80" s="265" t="n"/>
      <c r="X80" s="265" t="n"/>
      <c r="Y80" s="265" t="n"/>
      <c r="Z80" s="265" t="n"/>
      <c r="AA80" s="265" t="n"/>
      <c r="AC80" s="265" t="n"/>
      <c r="AD80" s="265" t="n"/>
    </row>
    <row r="81">
      <c r="A81" t="inlineStr">
        <is>
          <t>DRIVERS DE RECEITA (codigos 45+): principais produtos (Mounjaro, Zepbound, Trulicity, Verzenio, Jardiance, Taltz), áreas terapêuticas e EUA x exterior - SEC XBRL (USD, fator 0,000001).</t>
        </is>
      </c>
      <c r="C81" t="inlineStr">
        <is>
          <t>[linha bruta, sem código; lançada nas linhas abaixo]</t>
        </is>
      </c>
      <c r="D81" s="265" t="n"/>
      <c r="E81" s="265" t="n"/>
      <c r="F81" s="265" t="n"/>
      <c r="G81" s="265" t="n"/>
      <c r="I81" s="265" t="n"/>
      <c r="J81" s="265" t="n"/>
      <c r="K81" s="265" t="n"/>
      <c r="L81" s="265" t="n"/>
      <c r="N81" s="265" t="n"/>
      <c r="O81" s="265" t="n"/>
      <c r="P81" s="265" t="n"/>
      <c r="Q81" s="265" t="n"/>
      <c r="S81" s="265" t="n"/>
      <c r="T81" s="265" t="n"/>
      <c r="U81" s="265" t="n"/>
      <c r="V81" s="265" t="n"/>
      <c r="X81" s="265" t="n"/>
      <c r="Y81" s="265" t="n"/>
      <c r="Z81" s="265" t="n"/>
      <c r="AA81" s="265" t="n"/>
      <c r="AC81" s="265" t="n"/>
      <c r="AD81" s="265" t="n"/>
    </row>
    <row r="82">
      <c r="A82" t="inlineStr">
        <is>
          <t>Receita Mounjaro (USD) · fonte · unid. moeda</t>
        </is>
      </c>
      <c r="B82" t="n">
        <v>45</v>
      </c>
      <c r="C82" t="inlineStr">
        <is>
          <t>Receita Mounjaro (USD)</t>
        </is>
      </c>
      <c r="D82" s="265" t="n"/>
      <c r="E82" s="265" t="n"/>
      <c r="F82" s="265" t="n">
        <v>0</v>
      </c>
      <c r="G82" s="265" t="n">
        <v>0</v>
      </c>
      <c r="I82" s="265" t="n">
        <v>0</v>
      </c>
      <c r="J82" s="265" t="n">
        <v>16000</v>
      </c>
      <c r="K82" s="265" t="n">
        <v>187300</v>
      </c>
      <c r="L82" s="265" t="n">
        <v>279300</v>
      </c>
      <c r="N82" s="265" t="n">
        <v>568500</v>
      </c>
      <c r="O82" s="265" t="n">
        <v>979700</v>
      </c>
      <c r="P82" s="265" t="n">
        <v>1409300</v>
      </c>
      <c r="Q82" s="265" t="n">
        <v>2205600</v>
      </c>
      <c r="S82" s="265" t="n">
        <v>1806500</v>
      </c>
      <c r="T82" s="265" t="n">
        <v>3090800</v>
      </c>
      <c r="U82" s="265" t="n">
        <v>3112700</v>
      </c>
      <c r="V82" s="265" t="n">
        <v>3530100</v>
      </c>
      <c r="X82" s="265" t="n">
        <v>3842000</v>
      </c>
      <c r="Y82" s="265" t="n">
        <v>5199000</v>
      </c>
      <c r="Z82" s="265" t="n">
        <v>6515100</v>
      </c>
      <c r="AA82" s="265" t="n">
        <v>7410200</v>
      </c>
      <c r="AC82" s="265" t="n">
        <v>8662000</v>
      </c>
      <c r="AD82" s="265" t="n">
        <v>9943000</v>
      </c>
    </row>
    <row r="83">
      <c r="A83" t="inlineStr">
        <is>
          <t>Receita Zepbound (USD) · fonte · unid. moeda</t>
        </is>
      </c>
      <c r="B83" t="n">
        <v>46</v>
      </c>
      <c r="C83" t="inlineStr">
        <is>
          <t>Receita Zepbound (USD)</t>
        </is>
      </c>
      <c r="D83" s="265" t="n"/>
      <c r="E83" s="265" t="n"/>
      <c r="F83" s="265" t="n"/>
      <c r="G83" s="265" t="n"/>
      <c r="I83" s="265" t="n"/>
      <c r="J83" s="265" t="n"/>
      <c r="K83" s="265" t="n"/>
      <c r="L83" s="265" t="n"/>
      <c r="N83" s="265" t="n">
        <v>0</v>
      </c>
      <c r="O83" s="265" t="n">
        <v>0</v>
      </c>
      <c r="P83" s="265" t="n">
        <v>0</v>
      </c>
      <c r="Q83" s="265" t="n">
        <v>175800</v>
      </c>
      <c r="S83" s="265" t="n">
        <v>517400</v>
      </c>
      <c r="T83" s="265" t="n">
        <v>1243200</v>
      </c>
      <c r="U83" s="265" t="n">
        <v>1257800</v>
      </c>
      <c r="V83" s="265" t="n">
        <v>1907300</v>
      </c>
      <c r="X83" s="265" t="n">
        <v>2312000</v>
      </c>
      <c r="Y83" s="265" t="n">
        <v>3381000</v>
      </c>
      <c r="Z83" s="265" t="n">
        <v>3588100</v>
      </c>
      <c r="AA83" s="265" t="n">
        <v>4260700</v>
      </c>
      <c r="AC83" s="265" t="n">
        <v>4160000</v>
      </c>
      <c r="AD83" s="265" t="n">
        <v>4928000</v>
      </c>
    </row>
    <row r="84">
      <c r="A84" t="inlineStr">
        <is>
          <t>Receita Trulicity (USD) · fonte · unid. moeda</t>
        </is>
      </c>
      <c r="B84" t="n">
        <v>47</v>
      </c>
      <c r="C84" t="inlineStr">
        <is>
          <t>Receita Trulicity (USD)</t>
        </is>
      </c>
      <c r="D84" s="265" t="n">
        <v>1452400</v>
      </c>
      <c r="E84" s="265" t="n">
        <v>1535600</v>
      </c>
      <c r="F84" s="265" t="n">
        <v>1600100</v>
      </c>
      <c r="G84" s="265" t="n">
        <v>1883800</v>
      </c>
      <c r="I84" s="265" t="n">
        <v>1741300</v>
      </c>
      <c r="J84" s="265" t="n">
        <v>1911900</v>
      </c>
      <c r="K84" s="265" t="n">
        <v>1850400</v>
      </c>
      <c r="L84" s="265" t="n">
        <v>1936200</v>
      </c>
      <c r="N84" s="265" t="n">
        <v>1977100</v>
      </c>
      <c r="O84" s="265" t="n">
        <v>1812500</v>
      </c>
      <c r="P84" s="265" t="n">
        <v>1673600</v>
      </c>
      <c r="Q84" s="265" t="n">
        <v>1669200</v>
      </c>
      <c r="S84" s="265" t="n">
        <v>1456300</v>
      </c>
      <c r="T84" s="265" t="n">
        <v>1245600</v>
      </c>
      <c r="U84" s="265" t="n">
        <v>1301400</v>
      </c>
      <c r="V84" s="265" t="n">
        <v>1250200</v>
      </c>
      <c r="X84" s="265" t="n">
        <v>1095000</v>
      </c>
      <c r="Y84" s="265" t="n">
        <v>1092000</v>
      </c>
      <c r="Z84" s="265" t="n">
        <v>1051800</v>
      </c>
      <c r="AA84" s="265" t="n">
        <v>1036800</v>
      </c>
      <c r="AC84" s="265" t="n">
        <v>919000</v>
      </c>
      <c r="AD84" s="265" t="n">
        <v>1219000</v>
      </c>
    </row>
    <row r="85">
      <c r="A85" t="inlineStr">
        <is>
          <t>Receita Verzenio (USD) · fonte · unid. moeda</t>
        </is>
      </c>
      <c r="B85" t="n">
        <v>48</v>
      </c>
      <c r="C85" t="inlineStr">
        <is>
          <t>Receita Verzenio (USD)</t>
        </is>
      </c>
      <c r="D85" s="265" t="n">
        <v>269000</v>
      </c>
      <c r="E85" s="265" t="n">
        <v>341300</v>
      </c>
      <c r="F85" s="265" t="n">
        <v>335500</v>
      </c>
      <c r="G85" s="265" t="n">
        <v>404100</v>
      </c>
      <c r="I85" s="265" t="n">
        <v>469400</v>
      </c>
      <c r="J85" s="265" t="n">
        <v>588500</v>
      </c>
      <c r="K85" s="265" t="n">
        <v>617700</v>
      </c>
      <c r="L85" s="265" t="n">
        <v>807900</v>
      </c>
      <c r="N85" s="265" t="n">
        <v>750900</v>
      </c>
      <c r="O85" s="265" t="n">
        <v>926800</v>
      </c>
      <c r="P85" s="265" t="n">
        <v>1040200</v>
      </c>
      <c r="Q85" s="265" t="n">
        <v>1145400</v>
      </c>
      <c r="S85" s="265" t="n">
        <v>1050300</v>
      </c>
      <c r="T85" s="265" t="n">
        <v>1331900</v>
      </c>
      <c r="U85" s="265" t="n">
        <v>1369300</v>
      </c>
      <c r="V85" s="265" t="n">
        <v>1555100</v>
      </c>
      <c r="X85" s="265" t="n">
        <v>1159000</v>
      </c>
      <c r="Y85" s="265" t="n">
        <v>1489000</v>
      </c>
      <c r="Z85" s="265" t="n">
        <v>1470200</v>
      </c>
      <c r="AA85" s="265" t="n">
        <v>1604600</v>
      </c>
      <c r="AC85" s="265" t="n">
        <v>1302000</v>
      </c>
      <c r="AD85" s="265" t="n">
        <v>1474000</v>
      </c>
    </row>
    <row r="86">
      <c r="A86" t="inlineStr">
        <is>
          <t>Receita Jardiance (USD) · fonte · unid. moeda</t>
        </is>
      </c>
      <c r="B86" t="n">
        <v>49</v>
      </c>
      <c r="C86" t="inlineStr">
        <is>
          <t>Receita Jardiance (USD)</t>
        </is>
      </c>
      <c r="D86" s="265" t="n">
        <v>312000</v>
      </c>
      <c r="E86" s="265" t="n">
        <v>356500</v>
      </c>
      <c r="F86" s="265" t="n">
        <v>390400</v>
      </c>
      <c r="G86" s="265" t="n">
        <v>431900</v>
      </c>
      <c r="I86" s="265" t="n">
        <v>419400</v>
      </c>
      <c r="J86" s="265" t="n">
        <v>461000</v>
      </c>
      <c r="K86" s="265" t="n">
        <v>573300</v>
      </c>
      <c r="L86" s="265" t="n">
        <v>612300</v>
      </c>
      <c r="N86" s="265" t="n">
        <v>577500</v>
      </c>
      <c r="O86" s="265" t="n">
        <v>668300</v>
      </c>
      <c r="P86" s="265" t="n">
        <v>700800</v>
      </c>
      <c r="Q86" s="265" t="n">
        <v>798100</v>
      </c>
      <c r="S86" s="265" t="n">
        <v>686500</v>
      </c>
      <c r="T86" s="265" t="n">
        <v>769600</v>
      </c>
      <c r="U86" s="265" t="n">
        <v>686400</v>
      </c>
      <c r="V86" s="265" t="n">
        <v>1198400</v>
      </c>
      <c r="X86" s="265" t="n">
        <v>1014000</v>
      </c>
      <c r="Y86" s="265" t="n">
        <v>690000</v>
      </c>
      <c r="Z86" s="265" t="n">
        <v>959000</v>
      </c>
      <c r="AA86" s="265" t="n">
        <v>768600</v>
      </c>
      <c r="AC86" s="265" t="n">
        <v>1114000</v>
      </c>
      <c r="AD86" s="265" t="n">
        <v>1232000</v>
      </c>
    </row>
    <row r="87">
      <c r="A87" t="inlineStr">
        <is>
          <t>Receita Taltz (USD) · fonte · unid. moeda</t>
        </is>
      </c>
      <c r="B87" t="n">
        <v>50</v>
      </c>
      <c r="C87" t="inlineStr">
        <is>
          <t>Receita Taltz (USD)</t>
        </is>
      </c>
      <c r="D87" s="265" t="n">
        <v>403200</v>
      </c>
      <c r="E87" s="265" t="n">
        <v>569100</v>
      </c>
      <c r="F87" s="265" t="n">
        <v>593100</v>
      </c>
      <c r="G87" s="265" t="n">
        <v>647400</v>
      </c>
      <c r="I87" s="265" t="n">
        <v>488100</v>
      </c>
      <c r="J87" s="265" t="n">
        <v>606200</v>
      </c>
      <c r="K87" s="265" t="n">
        <v>679900</v>
      </c>
      <c r="L87" s="265" t="n">
        <v>707800</v>
      </c>
      <c r="N87" s="265" t="n">
        <v>527000</v>
      </c>
      <c r="O87" s="265" t="n">
        <v>703900</v>
      </c>
      <c r="P87" s="265" t="n">
        <v>744200</v>
      </c>
      <c r="Q87" s="265" t="n">
        <v>784600</v>
      </c>
      <c r="S87" s="265" t="n">
        <v>604100</v>
      </c>
      <c r="T87" s="265" t="n">
        <v>824700</v>
      </c>
      <c r="U87" s="265" t="n">
        <v>879600</v>
      </c>
      <c r="V87" s="265" t="n">
        <v>952000</v>
      </c>
      <c r="X87" s="265" t="n">
        <v>762000</v>
      </c>
      <c r="Y87" s="265" t="n">
        <v>848000</v>
      </c>
      <c r="Z87" s="265" t="n">
        <v>901500</v>
      </c>
      <c r="AA87" s="265" t="n">
        <v>1052100</v>
      </c>
      <c r="AC87" s="265" t="n">
        <v>733000</v>
      </c>
      <c r="AD87" s="265" t="n">
        <v>856000</v>
      </c>
    </row>
    <row r="88">
      <c r="A88" t="inlineStr">
        <is>
          <t>Receita Humalog (USD) · fonte · unid. moeda</t>
        </is>
      </c>
      <c r="B88" t="n">
        <v>51</v>
      </c>
      <c r="C88" t="inlineStr">
        <is>
          <t>Receita Humalog (USD)</t>
        </is>
      </c>
      <c r="D88" s="265" t="n">
        <v>617000</v>
      </c>
      <c r="E88" s="265" t="n">
        <v>607600</v>
      </c>
      <c r="F88" s="265" t="n">
        <v>626700</v>
      </c>
      <c r="G88" s="265" t="n">
        <v>601700</v>
      </c>
      <c r="I88" s="265" t="n">
        <v>618200</v>
      </c>
      <c r="J88" s="265" t="n">
        <v>447100</v>
      </c>
      <c r="K88" s="265" t="n">
        <v>447000</v>
      </c>
      <c r="L88" s="265" t="n">
        <v>548400</v>
      </c>
      <c r="N88" s="265" t="n">
        <v>460900</v>
      </c>
      <c r="O88" s="265" t="n">
        <v>440400</v>
      </c>
      <c r="P88" s="265" t="n">
        <v>395400</v>
      </c>
      <c r="Q88" s="265" t="n">
        <v>366600</v>
      </c>
      <c r="S88" s="265" t="n">
        <v>538700</v>
      </c>
      <c r="T88" s="265" t="n">
        <v>631600</v>
      </c>
      <c r="U88" s="265" t="n">
        <v>534600</v>
      </c>
      <c r="V88" s="265" t="n">
        <v>619900</v>
      </c>
      <c r="X88" s="265" t="n"/>
      <c r="Y88" s="265" t="n"/>
      <c r="Z88" s="265" t="n"/>
      <c r="AA88" s="265" t="n"/>
      <c r="AC88" s="265" t="n"/>
      <c r="AD88" s="265" t="n"/>
    </row>
    <row r="89">
      <c r="A89" t="inlineStr">
        <is>
          <t>Cardiometabolic Health / Diabetes - receita (USD) · fonte · unid. moeda</t>
        </is>
      </c>
      <c r="B89" t="n">
        <v>52</v>
      </c>
      <c r="C89" t="inlineStr">
        <is>
          <t>Cardiometabolic Health / Diabetes - receita (USD)</t>
        </is>
      </c>
      <c r="D89" s="265" t="n">
        <v>3111100</v>
      </c>
      <c r="E89" s="265" t="n">
        <v>3175500</v>
      </c>
      <c r="F89" s="265" t="n">
        <v>3274100</v>
      </c>
      <c r="G89" s="265" t="n">
        <v>3627500</v>
      </c>
      <c r="I89" s="265" t="n">
        <v>3388200</v>
      </c>
      <c r="J89" s="265" t="n">
        <v>3438200</v>
      </c>
      <c r="K89" s="265" t="n">
        <v>3662600</v>
      </c>
      <c r="L89" s="265" t="n">
        <v>3975900</v>
      </c>
      <c r="N89" s="265" t="n">
        <v>4190400</v>
      </c>
      <c r="O89" s="265" t="n">
        <v>5010900</v>
      </c>
      <c r="P89" s="265" t="n">
        <v>4720400</v>
      </c>
      <c r="Q89" s="265" t="n">
        <v>5746000</v>
      </c>
      <c r="S89" s="265" t="n">
        <v>5493000</v>
      </c>
      <c r="T89" s="265" t="n">
        <v>7514600</v>
      </c>
      <c r="U89" s="265" t="n">
        <v>7407000</v>
      </c>
      <c r="V89" s="265" t="n">
        <v>9106300</v>
      </c>
      <c r="X89" s="265" t="n">
        <v>9208000</v>
      </c>
      <c r="Y89" s="265" t="n">
        <v>11343000</v>
      </c>
      <c r="Z89" s="265" t="n">
        <v>13177900</v>
      </c>
      <c r="AA89" s="265" t="n">
        <v>14492200</v>
      </c>
      <c r="AC89" s="265" t="n">
        <v>15760000</v>
      </c>
      <c r="AD89" s="265" t="n">
        <v>18353000</v>
      </c>
    </row>
    <row r="90">
      <c r="A90" t="inlineStr">
        <is>
          <t>Oncologia - receita (USD) · fonte · unid. moeda</t>
        </is>
      </c>
      <c r="B90" t="n">
        <v>53</v>
      </c>
      <c r="C90" t="inlineStr">
        <is>
          <t>Oncologia - receita (USD)</t>
        </is>
      </c>
      <c r="D90" s="265" t="n">
        <v>1372200</v>
      </c>
      <c r="E90" s="265" t="n">
        <v>1554000</v>
      </c>
      <c r="F90" s="265" t="n">
        <v>1406100</v>
      </c>
      <c r="G90" s="265" t="n">
        <v>1408900</v>
      </c>
      <c r="I90" s="265" t="n">
        <v>1353000</v>
      </c>
      <c r="J90" s="265" t="n">
        <v>1368700</v>
      </c>
      <c r="K90" s="265" t="n">
        <v>1293300</v>
      </c>
      <c r="L90" s="265" t="n">
        <v>1651200</v>
      </c>
      <c r="N90" s="265" t="n">
        <v>1356000</v>
      </c>
      <c r="O90" s="265" t="n">
        <v>1671000</v>
      </c>
      <c r="P90" s="265" t="n">
        <v>1747100</v>
      </c>
      <c r="Q90" s="265" t="n">
        <v>1884200</v>
      </c>
      <c r="S90" s="265" t="n">
        <v>1810000</v>
      </c>
      <c r="T90" s="265" t="n">
        <v>2158700</v>
      </c>
      <c r="U90" s="265" t="n">
        <v>2231800</v>
      </c>
      <c r="V90" s="265" t="n">
        <v>2551900</v>
      </c>
      <c r="X90" s="265" t="n">
        <v>1948000</v>
      </c>
      <c r="Y90" s="265" t="n">
        <v>2414000</v>
      </c>
      <c r="Z90" s="265" t="n">
        <v>2407600</v>
      </c>
      <c r="AA90" s="265" t="n">
        <v>2607300</v>
      </c>
      <c r="AC90" s="265" t="n">
        <v>2268000</v>
      </c>
      <c r="AD90" s="265" t="n">
        <v>2570000</v>
      </c>
    </row>
    <row r="91">
      <c r="A91" t="inlineStr">
        <is>
          <t>Imunologia - receita (USD) · fonte · unid. moeda</t>
        </is>
      </c>
      <c r="B91" t="n">
        <v>54</v>
      </c>
      <c r="C91" t="inlineStr">
        <is>
          <t>Imunologia - receita (USD)</t>
        </is>
      </c>
      <c r="D91" s="265" t="n">
        <v>613900</v>
      </c>
      <c r="E91" s="265" t="n">
        <v>785400</v>
      </c>
      <c r="F91" s="265" t="n">
        <v>1004900</v>
      </c>
      <c r="G91" s="265" t="n">
        <v>956600</v>
      </c>
      <c r="I91" s="265" t="n">
        <v>748100</v>
      </c>
      <c r="J91" s="265" t="n">
        <v>796500</v>
      </c>
      <c r="K91" s="265" t="n">
        <v>866400</v>
      </c>
      <c r="L91" s="265" t="n">
        <v>933500</v>
      </c>
      <c r="N91" s="265" t="n">
        <v>777800</v>
      </c>
      <c r="O91" s="265" t="n">
        <v>928500</v>
      </c>
      <c r="P91" s="265" t="n">
        <v>986900</v>
      </c>
      <c r="Q91" s="265" t="n">
        <v>1104300</v>
      </c>
      <c r="S91" s="265" t="n">
        <v>834000</v>
      </c>
      <c r="T91" s="265" t="n">
        <v>1082400</v>
      </c>
      <c r="U91" s="265" t="n">
        <v>1185700</v>
      </c>
      <c r="V91" s="265" t="n">
        <v>1290900</v>
      </c>
      <c r="X91" s="265" t="n">
        <v>1088000</v>
      </c>
      <c r="Y91" s="265" t="n">
        <v>1256000</v>
      </c>
      <c r="Z91" s="265" t="n">
        <v>1362400</v>
      </c>
      <c r="AA91" s="265" t="n">
        <v>1541000</v>
      </c>
      <c r="AC91" s="265" t="n">
        <v>1203000</v>
      </c>
      <c r="AD91" s="265" t="n">
        <v>1417000</v>
      </c>
    </row>
    <row r="92">
      <c r="A92" t="inlineStr">
        <is>
          <t>Neurociência - receita (USD) · fonte · unid. moeda</t>
        </is>
      </c>
      <c r="B92" t="n">
        <v>55</v>
      </c>
      <c r="C92" t="inlineStr">
        <is>
          <t>Neurociência - receita (USD)</t>
        </is>
      </c>
      <c r="D92" s="265" t="n">
        <v>465400</v>
      </c>
      <c r="E92" s="265" t="n">
        <v>512200</v>
      </c>
      <c r="F92" s="265" t="n">
        <v>450200</v>
      </c>
      <c r="G92" s="265" t="n">
        <v>470700</v>
      </c>
      <c r="I92" s="265" t="n">
        <v>397700</v>
      </c>
      <c r="J92" s="265" t="n">
        <v>389900</v>
      </c>
      <c r="K92" s="265" t="n">
        <v>373200</v>
      </c>
      <c r="L92" s="265" t="n">
        <v>385300</v>
      </c>
      <c r="N92" s="265" t="n">
        <v>360500</v>
      </c>
      <c r="O92" s="265" t="n">
        <v>387200</v>
      </c>
      <c r="P92" s="265" t="n">
        <v>1768100</v>
      </c>
      <c r="Q92" s="265" t="n">
        <v>362700</v>
      </c>
      <c r="S92" s="265" t="n">
        <v>389100</v>
      </c>
      <c r="T92" s="265" t="n">
        <v>339500</v>
      </c>
      <c r="U92" s="265" t="n">
        <v>351800</v>
      </c>
      <c r="V92" s="265" t="n">
        <v>393000</v>
      </c>
      <c r="X92" s="265" t="n">
        <v>272000</v>
      </c>
      <c r="Y92" s="265" t="n">
        <v>344000</v>
      </c>
      <c r="Z92" s="265" t="n">
        <v>315700</v>
      </c>
      <c r="AA92" s="265" t="n">
        <v>459200</v>
      </c>
      <c r="AC92" s="265" t="n">
        <v>382000</v>
      </c>
      <c r="AD92" s="265" t="n">
        <v>429000</v>
      </c>
    </row>
    <row r="93">
      <c r="A93" t="inlineStr">
        <is>
          <t>Receita EUA (USD) · fonte · unid. moeda</t>
        </is>
      </c>
      <c r="B93" t="n">
        <v>56</v>
      </c>
      <c r="C93" t="inlineStr">
        <is>
          <t>Receita EUA (USD)</t>
        </is>
      </c>
      <c r="D93" s="265" t="n">
        <v>3941300</v>
      </c>
      <c r="E93" s="265" t="n">
        <v>3704200</v>
      </c>
      <c r="F93" s="265" t="n">
        <v>3989600</v>
      </c>
      <c r="G93" s="265" t="n">
        <v>5175900</v>
      </c>
      <c r="I93" s="265" t="n">
        <v>5174600</v>
      </c>
      <c r="J93" s="265" t="n">
        <v>3934800</v>
      </c>
      <c r="K93" s="265" t="n">
        <v>4422100</v>
      </c>
      <c r="L93" s="265" t="n">
        <v>4658500</v>
      </c>
      <c r="N93" s="265" t="n">
        <v>4436200</v>
      </c>
      <c r="O93" s="265" t="n">
        <v>5531400</v>
      </c>
      <c r="P93" s="265" t="n">
        <v>5368100</v>
      </c>
      <c r="Q93" s="265" t="n">
        <v>6455400</v>
      </c>
      <c r="S93" s="265" t="n">
        <v>5694400</v>
      </c>
      <c r="T93" s="265" t="n">
        <v>7835200</v>
      </c>
      <c r="U93" s="265" t="n">
        <v>7813600</v>
      </c>
      <c r="V93" s="265" t="n">
        <v>9032000</v>
      </c>
      <c r="X93" s="265" t="n">
        <v>8489000</v>
      </c>
      <c r="Y93" s="265" t="n">
        <v>10814000</v>
      </c>
      <c r="Z93" s="265" t="n">
        <v>11300000</v>
      </c>
      <c r="AA93" s="265" t="n">
        <v>12877400</v>
      </c>
      <c r="AC93" s="265" t="n">
        <v>12119000</v>
      </c>
      <c r="AD93" s="265" t="n">
        <v>14413000</v>
      </c>
    </row>
    <row r="94">
      <c r="A94" t="inlineStr">
        <is>
          <t>Receita fora dos EUA (USD) · fonte · unid. moeda</t>
        </is>
      </c>
      <c r="B94" t="n">
        <v>57</v>
      </c>
      <c r="C94" t="inlineStr">
        <is>
          <t>Receita fora dos EUA (USD)</t>
        </is>
      </c>
      <c r="D94" s="265" t="n">
        <v>2864300</v>
      </c>
      <c r="E94" s="265" t="n">
        <v>3035900</v>
      </c>
      <c r="F94" s="265" t="n">
        <v>2783300</v>
      </c>
      <c r="G94" s="265" t="n">
        <v>2824000</v>
      </c>
      <c r="I94" s="265" t="n">
        <v>2635400</v>
      </c>
      <c r="J94" s="265" t="n">
        <v>2553300</v>
      </c>
      <c r="K94" s="265" t="n">
        <v>2519400</v>
      </c>
      <c r="L94" s="265" t="n">
        <v>2643200</v>
      </c>
      <c r="N94" s="265" t="n">
        <v>2523900</v>
      </c>
      <c r="O94" s="265" t="n">
        <v>2780700</v>
      </c>
      <c r="P94" s="265" t="n">
        <v>4130500</v>
      </c>
      <c r="Q94" s="265" t="n">
        <v>2898100</v>
      </c>
      <c r="S94" s="265" t="n">
        <v>3073700</v>
      </c>
      <c r="T94" s="265" t="n">
        <v>3467500</v>
      </c>
      <c r="U94" s="265" t="n">
        <v>3625500</v>
      </c>
      <c r="V94" s="265" t="n">
        <v>4500800</v>
      </c>
      <c r="X94" s="265" t="n">
        <v>4239000</v>
      </c>
      <c r="Y94" s="265" t="n">
        <v>4743000</v>
      </c>
      <c r="Z94" s="265" t="n">
        <v>6300800</v>
      </c>
      <c r="AA94" s="265" t="n">
        <v>6414600</v>
      </c>
      <c r="AC94" s="265" t="n">
        <v>7680000</v>
      </c>
      <c r="AD94" s="265" t="n">
        <v>8561000</v>
      </c>
    </row>
    <row r="95">
      <c r="A95" t="inlineStr">
        <is>
          <t>Receita de produtos (USD) · fonte · unid. moeda</t>
        </is>
      </c>
      <c r="B95" t="n">
        <v>58</v>
      </c>
      <c r="C95" t="inlineStr">
        <is>
          <t>Receita de produtos (USD)</t>
        </is>
      </c>
      <c r="D95" s="265" t="n">
        <v>6320000</v>
      </c>
      <c r="E95" s="265" t="n">
        <v>6070500</v>
      </c>
      <c r="F95" s="265" t="n">
        <v>6189000</v>
      </c>
      <c r="G95" s="265" t="n">
        <v>7378400</v>
      </c>
      <c r="I95" s="265" t="n">
        <v>7132900</v>
      </c>
      <c r="J95" s="265" t="n">
        <v>5870900</v>
      </c>
      <c r="K95" s="265" t="n">
        <v>6119200</v>
      </c>
      <c r="L95" s="265" t="n">
        <v>6339800</v>
      </c>
      <c r="N95" s="265" t="n">
        <v>6238200</v>
      </c>
      <c r="O95" s="265" t="n">
        <v>6979800</v>
      </c>
      <c r="P95" s="265" t="n">
        <v>7306200</v>
      </c>
      <c r="Q95" s="265" t="n">
        <v>8289700</v>
      </c>
      <c r="S95" s="265" t="n">
        <v>7796500</v>
      </c>
      <c r="T95" s="265" t="n">
        <v>10354900</v>
      </c>
      <c r="U95" s="265" t="n">
        <v>10571600</v>
      </c>
      <c r="V95" s="265" t="n">
        <v>12024900</v>
      </c>
      <c r="X95" s="265" t="n">
        <v>11601000</v>
      </c>
      <c r="Y95" s="265" t="n">
        <v>14726000</v>
      </c>
      <c r="Z95" s="265" t="n">
        <v>16330500</v>
      </c>
      <c r="AA95" s="265" t="n">
        <v>18300300</v>
      </c>
      <c r="AC95" s="265" t="n">
        <v>18453000</v>
      </c>
      <c r="AD95" s="265" t="n">
        <v>21403000</v>
      </c>
    </row>
    <row r="96">
      <c r="A96" t="inlineStr">
        <is>
          <t>Receita de colaboração e outras (USD) · fonte · unid. moeda</t>
        </is>
      </c>
      <c r="B96" t="n">
        <v>59</v>
      </c>
      <c r="C96" t="inlineStr">
        <is>
          <t>Receita de colaboração e outras (USD)</t>
        </is>
      </c>
      <c r="D96" s="265" t="n">
        <v>485600</v>
      </c>
      <c r="E96" s="265" t="n">
        <v>669600</v>
      </c>
      <c r="F96" s="265" t="n">
        <v>583800</v>
      </c>
      <c r="G96" s="265" t="n">
        <v>621500</v>
      </c>
      <c r="I96" s="265" t="n">
        <v>677100</v>
      </c>
      <c r="J96" s="265" t="n">
        <v>617100</v>
      </c>
      <c r="K96" s="265" t="n">
        <v>822400</v>
      </c>
      <c r="L96" s="265" t="n">
        <v>962000</v>
      </c>
      <c r="N96" s="265" t="n">
        <v>721800</v>
      </c>
      <c r="O96" s="265" t="n">
        <v>1332300</v>
      </c>
      <c r="P96" s="265" t="n">
        <v>2192400</v>
      </c>
      <c r="Q96" s="265" t="n">
        <v>1063700</v>
      </c>
      <c r="S96" s="265" t="n">
        <v>971500</v>
      </c>
      <c r="T96" s="265" t="n">
        <v>947900</v>
      </c>
      <c r="U96" s="265" t="n">
        <v>867500</v>
      </c>
      <c r="V96" s="265" t="n">
        <v>1507900</v>
      </c>
      <c r="X96" s="265" t="n">
        <v>1127000</v>
      </c>
      <c r="Y96" s="265" t="n">
        <v>832000</v>
      </c>
      <c r="Z96" s="265" t="n">
        <v>1270300</v>
      </c>
      <c r="AA96" s="265" t="n">
        <v>991700</v>
      </c>
      <c r="AC96" s="265" t="n">
        <v>1346000</v>
      </c>
      <c r="AD96" s="265" t="n">
        <v>1571000</v>
      </c>
    </row>
    <row r="97">
      <c r="A97" t="inlineStr">
        <is>
          <t>Notas: valores dimensionais das instâncias XBRL. "Diabetes" (até 2023) virou "Cardiometabolic Health" (com obesidade); os membros foram costurados. Jardiance inclui pagamentos de marco da parceria com a Boehringer quando divulgados no mesmo membro.</t>
        </is>
      </c>
      <c r="C97" t="inlineStr">
        <is>
          <t>[linha bruta, sem código; lançada nas linhas abaixo]</t>
        </is>
      </c>
      <c r="D97" s="265" t="n"/>
      <c r="E97" s="265" t="n"/>
      <c r="F97" s="265" t="n"/>
      <c r="G97" s="265" t="n"/>
      <c r="I97" s="265" t="n"/>
      <c r="J97" s="265" t="n"/>
      <c r="K97" s="265" t="n"/>
      <c r="L97" s="265" t="n"/>
      <c r="N97" s="265" t="n"/>
      <c r="O97" s="265" t="n"/>
      <c r="P97" s="265" t="n"/>
      <c r="Q97" s="265" t="n"/>
      <c r="S97" s="265" t="n"/>
      <c r="T97" s="265" t="n"/>
      <c r="U97" s="265" t="n"/>
      <c r="V97" s="265" t="n"/>
      <c r="X97" s="265" t="n"/>
      <c r="Y97" s="265" t="n"/>
      <c r="Z97" s="265" t="n"/>
      <c r="AA97" s="265" t="n"/>
      <c r="AC97" s="265" t="n"/>
      <c r="AD97" s="265" t="n"/>
    </row>
    <row r="99">
      <c r="A99" t="inlineStr">
        <is>
          <t>Linhas de origem: 4 a 97. A Inputs (2) varre as linhas 4 a 150; as linhas 98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7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Eli Lilly and Company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6805.6</v>
      </c>
      <c r="E4" s="11">
        <f>IF(E$3=0,"",SUMIFS(INDEX(Inputs!$D$4:$AG$150,0,MATCH(E$2,Inputs!$D$2:$AG$2,0)),Inputs!$B$4:$B$150,$B4)/1000)</f>
        <v>6740.1</v>
      </c>
      <c r="F4" s="11">
        <f>IF(F$3=0,"",SUMIFS(INDEX(Inputs!$D$4:$AG$150,0,MATCH(F$2,Inputs!$D$2:$AG$2,0)),Inputs!$B$4:$B$150,$B4)/1000)</f>
        <v>6772.8</v>
      </c>
      <c r="G4" s="11">
        <f>IF(G$3=0,"",SUMIFS(INDEX(Inputs!$D$4:$AG$150,0,MATCH(G$2,Inputs!$D$2:$AG$2,0)),Inputs!$B$4:$B$150,$B4)/1000)</f>
        <v>7999.9</v>
      </c>
      <c r="H4" s="12">
        <f>IF(COUNT(D4:G4)=4,SUM(D4:G4),"")</f>
        <v>28318.4</v>
      </c>
      <c r="I4" s="11">
        <f>IF(I$3=0,"",SUMIFS(INDEX(Inputs!$D$4:$AG$150,0,MATCH(I$2,Inputs!$D$2:$AG$2,0)),Inputs!$B$4:$B$150,$B4)/1000)</f>
        <v>7810</v>
      </c>
      <c r="J4" s="11">
        <f>IF(J$3=0,"",SUMIFS(INDEX(Inputs!$D$4:$AG$150,0,MATCH(J$2,Inputs!$D$2:$AG$2,0)),Inputs!$B$4:$B$150,$B4)/1000)</f>
        <v>6488</v>
      </c>
      <c r="K4" s="11">
        <f>IF(K$3=0,"",SUMIFS(INDEX(Inputs!$D$4:$AG$150,0,MATCH(K$2,Inputs!$D$2:$AG$2,0)),Inputs!$B$4:$B$150,$B4)/1000)</f>
        <v>6941.6</v>
      </c>
      <c r="L4" s="11">
        <f>IF(L$3=0,"",SUMIFS(INDEX(Inputs!$D$4:$AG$150,0,MATCH(L$2,Inputs!$D$2:$AG$2,0)),Inputs!$B$4:$B$150,$B4)/1000)</f>
        <v>7301.8</v>
      </c>
      <c r="M4" s="12">
        <f>IF(COUNT(I4:L4)=4,SUM(I4:L4),"")</f>
        <v>28541.4</v>
      </c>
      <c r="N4" s="11">
        <f>IF(N$3=0,"",SUMIFS(INDEX(Inputs!$D$4:$AG$150,0,MATCH(N$2,Inputs!$D$2:$AG$2,0)),Inputs!$B$4:$B$150,$B4)/1000)</f>
        <v>6960</v>
      </c>
      <c r="O4" s="11">
        <f>IF(O$3=0,"",SUMIFS(INDEX(Inputs!$D$4:$AG$150,0,MATCH(O$2,Inputs!$D$2:$AG$2,0)),Inputs!$B$4:$B$150,$B4)/1000)</f>
        <v>8312.1</v>
      </c>
      <c r="P4" s="11">
        <f>IF(P$3=0,"",SUMIFS(INDEX(Inputs!$D$4:$AG$150,0,MATCH(P$2,Inputs!$D$2:$AG$2,0)),Inputs!$B$4:$B$150,$B4)/1000)</f>
        <v>9498.6</v>
      </c>
      <c r="Q4" s="11">
        <f>IF(Q$3=0,"",SUMIFS(INDEX(Inputs!$D$4:$AG$150,0,MATCH(Q$2,Inputs!$D$2:$AG$2,0)),Inputs!$B$4:$B$150,$B4)/1000)</f>
        <v>9353.4</v>
      </c>
      <c r="R4" s="12">
        <f>IF(COUNT(N4:Q4)=4,SUM(N4:Q4),"")</f>
        <v>34124.1</v>
      </c>
      <c r="S4" s="11">
        <f>IF(S$3=0,"",SUMIFS(INDEX(Inputs!$D$4:$AG$150,0,MATCH(S$2,Inputs!$D$2:$AG$2,0)),Inputs!$B$4:$B$150,$B4)/1000)</f>
        <v>8768</v>
      </c>
      <c r="T4" s="11">
        <f>IF(T$3=0,"",SUMIFS(INDEX(Inputs!$D$4:$AG$150,0,MATCH(T$2,Inputs!$D$2:$AG$2,0)),Inputs!$B$4:$B$150,$B4)/1000)</f>
        <v>11302.8</v>
      </c>
      <c r="U4" s="11">
        <f>IF(U$3=0,"",SUMIFS(INDEX(Inputs!$D$4:$AG$150,0,MATCH(U$2,Inputs!$D$2:$AG$2,0)),Inputs!$B$4:$B$150,$B4)/1000)</f>
        <v>11439.1</v>
      </c>
      <c r="V4" s="11">
        <f>IF(V$3=0,"",SUMIFS(INDEX(Inputs!$D$4:$AG$150,0,MATCH(V$2,Inputs!$D$2:$AG$2,0)),Inputs!$B$4:$B$150,$B4)/1000)</f>
        <v>13532.8</v>
      </c>
      <c r="W4" s="12">
        <f>IF(COUNT(S4:V4)=4,SUM(S4:V4),"")</f>
        <v>45042.7</v>
      </c>
      <c r="X4" s="11">
        <f>IF(X$3=0,"",SUMIFS(INDEX(Inputs!$D$4:$AG$150,0,MATCH(X$2,Inputs!$D$2:$AG$2,0)),Inputs!$B$4:$B$150,$B4)/1000)</f>
        <v>12729</v>
      </c>
      <c r="Y4" s="11">
        <f>IF(Y$3=0,"",SUMIFS(INDEX(Inputs!$D$4:$AG$150,0,MATCH(Y$2,Inputs!$D$2:$AG$2,0)),Inputs!$B$4:$B$150,$B4)/1000)</f>
        <v>15558</v>
      </c>
      <c r="Z4" s="11">
        <f>IF(Z$3=0,"",SUMIFS(INDEX(Inputs!$D$4:$AG$150,0,MATCH(Z$2,Inputs!$D$2:$AG$2,0)),Inputs!$B$4:$B$150,$B4)/1000)</f>
        <v>17600.8</v>
      </c>
      <c r="AA4" s="11">
        <f>IF(AA$3=0,"",SUMIFS(INDEX(Inputs!$D$4:$AG$150,0,MATCH(AA$2,Inputs!$D$2:$AG$2,0)),Inputs!$B$4:$B$150,$B4)/1000)</f>
        <v>19292</v>
      </c>
      <c r="AB4" s="12">
        <f>IF(COUNT(X4:AA4)=4,SUM(X4:AA4),"")</f>
        <v>65179.8</v>
      </c>
      <c r="AC4" s="11">
        <f>IF(AC$3=0,"",SUMIFS(INDEX(Inputs!$D$4:$AG$150,0,MATCH(AC$2,Inputs!$D$2:$AG$2,0)),Inputs!$B$4:$B$150,$B4)/1000)</f>
        <v>19799</v>
      </c>
      <c r="AD4" s="11">
        <f>IF(AD$3=0,"",SUMIFS(INDEX(Inputs!$D$4:$AG$150,0,MATCH(AD$2,Inputs!$D$2:$AG$2,0)),Inputs!$B$4:$B$150,$B4)/1000)</f>
        <v>22974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-1878.6</v>
      </c>
      <c r="E5" s="11">
        <f>IF(E$3=0,"",SUMIFS(INDEX(Inputs!$D$4:$AG$150,0,MATCH(E$2,Inputs!$D$2:$AG$2,0)),Inputs!$B$4:$B$150,$B5)/1000)</f>
        <v>-1953.2</v>
      </c>
      <c r="F5" s="11">
        <f>IF(F$3=0,"",SUMIFS(INDEX(Inputs!$D$4:$AG$150,0,MATCH(F$2,Inputs!$D$2:$AG$2,0)),Inputs!$B$4:$B$150,$B5)/1000)</f>
        <v>-1430.8</v>
      </c>
      <c r="G5" s="11">
        <f>IF(G$3=0,"",SUMIFS(INDEX(Inputs!$D$4:$AG$150,0,MATCH(G$2,Inputs!$D$2:$AG$2,0)),Inputs!$B$4:$B$150,$B5)/1000)</f>
        <v>-2050.2</v>
      </c>
      <c r="H5" s="12">
        <f>IF(COUNT(D5:G5)=4,SUM(D5:G5),"")</f>
        <v>-7312.8</v>
      </c>
      <c r="I5" s="11">
        <f>IF(I$3=0,"",SUMIFS(INDEX(Inputs!$D$4:$AG$150,0,MATCH(I$2,Inputs!$D$2:$AG$2,0)),Inputs!$B$4:$B$150,$B5)/1000)</f>
        <v>-2072.1</v>
      </c>
      <c r="J5" s="11">
        <f>IF(J$3=0,"",SUMIFS(INDEX(Inputs!$D$4:$AG$150,0,MATCH(J$2,Inputs!$D$2:$AG$2,0)),Inputs!$B$4:$B$150,$B5)/1000)</f>
        <v>-1430.5</v>
      </c>
      <c r="K5" s="11">
        <f>IF(K$3=0,"",SUMIFS(INDEX(Inputs!$D$4:$AG$150,0,MATCH(K$2,Inputs!$D$2:$AG$2,0)),Inputs!$B$4:$B$150,$B5)/1000)</f>
        <v>-1579.1</v>
      </c>
      <c r="L5" s="11">
        <f>IF(L$3=0,"",SUMIFS(INDEX(Inputs!$D$4:$AG$150,0,MATCH(L$2,Inputs!$D$2:$AG$2,0)),Inputs!$B$4:$B$150,$B5)/1000)</f>
        <v>-1548.1</v>
      </c>
      <c r="M5" s="12">
        <f>IF(COUNT(I5:L5)=4,SUM(I5:L5),"")</f>
        <v>-6629.8</v>
      </c>
      <c r="N5" s="11">
        <f>IF(N$3=0,"",SUMIFS(INDEX(Inputs!$D$4:$AG$150,0,MATCH(N$2,Inputs!$D$2:$AG$2,0)),Inputs!$B$4:$B$150,$B5)/1000)</f>
        <v>-1626.7</v>
      </c>
      <c r="O5" s="11">
        <f>IF(O$3=0,"",SUMIFS(INDEX(Inputs!$D$4:$AG$150,0,MATCH(O$2,Inputs!$D$2:$AG$2,0)),Inputs!$B$4:$B$150,$B5)/1000)</f>
        <v>-1807.4</v>
      </c>
      <c r="P5" s="11">
        <f>IF(P$3=0,"",SUMIFS(INDEX(Inputs!$D$4:$AG$150,0,MATCH(P$2,Inputs!$D$2:$AG$2,0)),Inputs!$B$4:$B$150,$B5)/1000)</f>
        <v>-1860.1</v>
      </c>
      <c r="Q5" s="11">
        <f>IF(Q$3=0,"",SUMIFS(INDEX(Inputs!$D$4:$AG$150,0,MATCH(Q$2,Inputs!$D$2:$AG$2,0)),Inputs!$B$4:$B$150,$B5)/1000)</f>
        <v>-1788</v>
      </c>
      <c r="R5" s="12">
        <f>IF(COUNT(N5:Q5)=4,SUM(N5:Q5),"")</f>
        <v>-7082.2</v>
      </c>
      <c r="S5" s="11">
        <f>IF(S$3=0,"",SUMIFS(INDEX(Inputs!$D$4:$AG$150,0,MATCH(S$2,Inputs!$D$2:$AG$2,0)),Inputs!$B$4:$B$150,$B5)/1000)</f>
        <v>-1673.5</v>
      </c>
      <c r="T5" s="11">
        <f>IF(T$3=0,"",SUMIFS(INDEX(Inputs!$D$4:$AG$150,0,MATCH(T$2,Inputs!$D$2:$AG$2,0)),Inputs!$B$4:$B$150,$B5)/1000)</f>
        <v>-2170.2</v>
      </c>
      <c r="U5" s="11">
        <f>IF(U$3=0,"",SUMIFS(INDEX(Inputs!$D$4:$AG$150,0,MATCH(U$2,Inputs!$D$2:$AG$2,0)),Inputs!$B$4:$B$150,$B5)/1000)</f>
        <v>-2170.8</v>
      </c>
      <c r="V5" s="11">
        <f>IF(V$3=0,"",SUMIFS(INDEX(Inputs!$D$4:$AG$150,0,MATCH(V$2,Inputs!$D$2:$AG$2,0)),Inputs!$B$4:$B$150,$B5)/1000)</f>
        <v>-2403.8</v>
      </c>
      <c r="W5" s="12">
        <f>IF(COUNT(S5:V5)=4,SUM(S5:V5),"")</f>
        <v>-8418.3</v>
      </c>
      <c r="X5" s="11">
        <f>IF(X$3=0,"",SUMIFS(INDEX(Inputs!$D$4:$AG$150,0,MATCH(X$2,Inputs!$D$2:$AG$2,0)),Inputs!$B$4:$B$150,$B5)/1000)</f>
        <v>-2225</v>
      </c>
      <c r="Y5" s="11">
        <f>IF(Y$3=0,"",SUMIFS(INDEX(Inputs!$D$4:$AG$150,0,MATCH(Y$2,Inputs!$D$2:$AG$2,0)),Inputs!$B$4:$B$150,$B5)/1000)</f>
        <v>-2448</v>
      </c>
      <c r="Z5" s="11">
        <f>IF(Z$3=0,"",SUMIFS(INDEX(Inputs!$D$4:$AG$150,0,MATCH(Z$2,Inputs!$D$2:$AG$2,0)),Inputs!$B$4:$B$150,$B5)/1000)</f>
        <v>-3008.3</v>
      </c>
      <c r="AA5" s="11">
        <f>IF(AA$3=0,"",SUMIFS(INDEX(Inputs!$D$4:$AG$150,0,MATCH(AA$2,Inputs!$D$2:$AG$2,0)),Inputs!$B$4:$B$150,$B5)/1000)</f>
        <v>-3371.7</v>
      </c>
      <c r="AB5" s="12">
        <f>IF(COUNT(X5:AA5)=4,SUM(X5:AA5),"")</f>
        <v>-11053</v>
      </c>
      <c r="AC5" s="11">
        <f>IF(AC$3=0,"",SUMIFS(INDEX(Inputs!$D$4:$AG$150,0,MATCH(AC$2,Inputs!$D$2:$AG$2,0)),Inputs!$B$4:$B$150,$B5)/1000)</f>
        <v>-3577</v>
      </c>
      <c r="AD5" s="11">
        <f>IF(AD$3=0,"",SUMIFS(INDEX(Inputs!$D$4:$AG$150,0,MATCH(AD$2,Inputs!$D$2:$AG$2,0)),Inputs!$B$4:$B$150,$B5)/1000)</f>
        <v>-3268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-4576.7</v>
      </c>
      <c r="E6" s="11">
        <f>IF(E$3=0,"",SUMIFS(INDEX(Inputs!$D$4:$AG$150,0,MATCH(E$2,Inputs!$D$2:$AG$2,0)),Inputs!$B$4:$B$150,$B6)/1000)</f>
        <v>-4417.6</v>
      </c>
      <c r="F6" s="11">
        <f>IF(F$3=0,"",SUMIFS(INDEX(Inputs!$D$4:$AG$150,0,MATCH(F$2,Inputs!$D$2:$AG$2,0)),Inputs!$B$4:$B$150,$B6)/1000)</f>
        <v>-4959.7</v>
      </c>
      <c r="G6" s="11">
        <f>IF(G$3=0,"",SUMIFS(INDEX(Inputs!$D$4:$AG$150,0,MATCH(G$2,Inputs!$D$2:$AG$2,0)),Inputs!$B$4:$B$150,$B6)/1000)</f>
        <v>-5504</v>
      </c>
      <c r="H6" s="12">
        <f>IF(COUNT(D6:G6)=4,SUM(D6:G6),"")</f>
        <v>-19458</v>
      </c>
      <c r="I6" s="11">
        <f>IF(I$3=0,"",SUMIFS(INDEX(Inputs!$D$4:$AG$150,0,MATCH(I$2,Inputs!$D$2:$AG$2,0)),Inputs!$B$4:$B$150,$B6)/1000)</f>
        <v>-5302.2</v>
      </c>
      <c r="J6" s="11">
        <f>IF(J$3=0,"",SUMIFS(INDEX(Inputs!$D$4:$AG$150,0,MATCH(J$2,Inputs!$D$2:$AG$2,0)),Inputs!$B$4:$B$150,$B6)/1000)</f>
        <v>-4708.6</v>
      </c>
      <c r="K6" s="11">
        <f>IF(K$3=0,"",SUMIFS(INDEX(Inputs!$D$4:$AG$150,0,MATCH(K$2,Inputs!$D$2:$AG$2,0)),Inputs!$B$4:$B$150,$B6)/1000)</f>
        <v>-4999.6</v>
      </c>
      <c r="L6" s="11">
        <f>IF(L$3=0,"",SUMIFS(INDEX(Inputs!$D$4:$AG$150,0,MATCH(L$2,Inputs!$D$2:$AG$2,0)),Inputs!$B$4:$B$150,$B6)/1000)</f>
        <v>-5378.7</v>
      </c>
      <c r="M6" s="12">
        <f>IF(COUNT(I6:L6)=4,SUM(I6:L6),"")</f>
        <v>-20389.1</v>
      </c>
      <c r="N6" s="11">
        <f>IF(N$3=0,"",SUMIFS(INDEX(Inputs!$D$4:$AG$150,0,MATCH(N$2,Inputs!$D$2:$AG$2,0)),Inputs!$B$4:$B$150,$B6)/1000)</f>
        <v>-4971</v>
      </c>
      <c r="O6" s="11">
        <f>IF(O$3=0,"",SUMIFS(INDEX(Inputs!$D$4:$AG$150,0,MATCH(O$2,Inputs!$D$2:$AG$2,0)),Inputs!$B$4:$B$150,$B6)/1000)</f>
        <v>-6138.4</v>
      </c>
      <c r="P6" s="11">
        <f>IF(P$3=0,"",SUMIFS(INDEX(Inputs!$D$4:$AG$150,0,MATCH(P$2,Inputs!$D$2:$AG$2,0)),Inputs!$B$4:$B$150,$B6)/1000)</f>
        <v>-7227.5</v>
      </c>
      <c r="Q6" s="11">
        <f>IF(Q$3=0,"",SUMIFS(INDEX(Inputs!$D$4:$AG$150,0,MATCH(Q$2,Inputs!$D$2:$AG$2,0)),Inputs!$B$4:$B$150,$B6)/1000)</f>
        <v>-7177.7</v>
      </c>
      <c r="R6" s="12">
        <f>IF(COUNT(N6:Q6)=4,SUM(N6:Q6),"")</f>
        <v>-25514.6</v>
      </c>
      <c r="S6" s="11">
        <f>IF(S$3=0,"",SUMIFS(INDEX(Inputs!$D$4:$AG$150,0,MATCH(S$2,Inputs!$D$2:$AG$2,0)),Inputs!$B$4:$B$150,$B6)/1000)</f>
        <v>-6693.9</v>
      </c>
      <c r="T6" s="11">
        <f>IF(T$3=0,"",SUMIFS(INDEX(Inputs!$D$4:$AG$150,0,MATCH(T$2,Inputs!$D$2:$AG$2,0)),Inputs!$B$4:$B$150,$B6)/1000)</f>
        <v>-8718.2</v>
      </c>
      <c r="U6" s="11">
        <f>IF(U$3=0,"",SUMIFS(INDEX(Inputs!$D$4:$AG$150,0,MATCH(U$2,Inputs!$D$2:$AG$2,0)),Inputs!$B$4:$B$150,$B6)/1000)</f>
        <v>-8801.5</v>
      </c>
      <c r="V6" s="11">
        <f>IF(V$3=0,"",SUMIFS(INDEX(Inputs!$D$4:$AG$150,0,MATCH(V$2,Inputs!$D$2:$AG$2,0)),Inputs!$B$4:$B$150,$B6)/1000)</f>
        <v>-10644.2</v>
      </c>
      <c r="W6" s="12">
        <f>IF(COUNT(S6:V6)=4,SUM(S6:V6),"")</f>
        <v>-34857.8</v>
      </c>
      <c r="X6" s="11">
        <f>IF(X$3=0,"",SUMIFS(INDEX(Inputs!$D$4:$AG$150,0,MATCH(X$2,Inputs!$D$2:$AG$2,0)),Inputs!$B$4:$B$150,$B6)/1000)</f>
        <v>-10041.2</v>
      </c>
      <c r="Y6" s="11">
        <f>IF(Y$3=0,"",SUMIFS(INDEX(Inputs!$D$4:$AG$150,0,MATCH(Y$2,Inputs!$D$2:$AG$2,0)),Inputs!$B$4:$B$150,$B6)/1000)</f>
        <v>-12631.5</v>
      </c>
      <c r="Z6" s="11">
        <f>IF(Z$3=0,"",SUMIFS(INDEX(Inputs!$D$4:$AG$150,0,MATCH(Z$2,Inputs!$D$2:$AG$2,0)),Inputs!$B$4:$B$150,$B6)/1000)</f>
        <v>-14122.5</v>
      </c>
      <c r="AA6" s="11">
        <f>IF(AA$3=0,"",SUMIFS(INDEX(Inputs!$D$4:$AG$150,0,MATCH(AA$2,Inputs!$D$2:$AG$2,0)),Inputs!$B$4:$B$150,$B6)/1000)</f>
        <v>-15334.6</v>
      </c>
      <c r="AB6" s="12">
        <f>IF(COUNT(X6:AA6)=4,SUM(X6:AA6),"")</f>
        <v>-52129.8</v>
      </c>
      <c r="AC6" s="11">
        <f>IF(AC$3=0,"",SUMIFS(INDEX(Inputs!$D$4:$AG$150,0,MATCH(AC$2,Inputs!$D$2:$AG$2,0)),Inputs!$B$4:$B$150,$B6)/1000)</f>
        <v>-15713</v>
      </c>
      <c r="AD6" s="11">
        <f>IF(AD$3=0,"",SUMIFS(INDEX(Inputs!$D$4:$AG$150,0,MATCH(AD$2,Inputs!$D$2:$AG$2,0)),Inputs!$B$4:$B$150,$B6)/1000)</f>
        <v>-19172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-350.3</v>
      </c>
      <c r="E7" s="11">
        <f>IF(E$3=0,"",SUMIFS(INDEX(Inputs!$D$4:$AG$150,0,MATCH(E$2,Inputs!$D$2:$AG$2,0)),Inputs!$B$4:$B$150,$B7)/1000)</f>
        <v>-369.3</v>
      </c>
      <c r="F7" s="11">
        <f>IF(F$3=0,"",SUMIFS(INDEX(Inputs!$D$4:$AG$150,0,MATCH(F$2,Inputs!$D$2:$AG$2,0)),Inputs!$B$4:$B$150,$B7)/1000)</f>
        <v>-382.3</v>
      </c>
      <c r="G7" s="11">
        <f>IF(G$3=0,"",SUMIFS(INDEX(Inputs!$D$4:$AG$150,0,MATCH(G$2,Inputs!$D$2:$AG$2,0)),Inputs!$B$4:$B$150,$B7)/1000)</f>
        <v>-445.7</v>
      </c>
      <c r="H7" s="12">
        <f>IF(COUNT(D7:G7)=4,SUM(D7:G7),"")</f>
        <v>-1547.6</v>
      </c>
      <c r="I7" s="11">
        <f>IF(I$3=0,"",SUMIFS(INDEX(Inputs!$D$4:$AG$150,0,MATCH(I$2,Inputs!$D$2:$AG$2,0)),Inputs!$B$4:$B$150,$B7)/1000)</f>
        <v>-435.7</v>
      </c>
      <c r="J7" s="11">
        <f>IF(J$3=0,"",SUMIFS(INDEX(Inputs!$D$4:$AG$150,0,MATCH(J$2,Inputs!$D$2:$AG$2,0)),Inputs!$B$4:$B$150,$B7)/1000)</f>
        <v>-348.9</v>
      </c>
      <c r="K7" s="11">
        <f>IF(K$3=0,"",SUMIFS(INDEX(Inputs!$D$4:$AG$150,0,MATCH(K$2,Inputs!$D$2:$AG$2,0)),Inputs!$B$4:$B$150,$B7)/1000)</f>
        <v>-362.9</v>
      </c>
      <c r="L7" s="11">
        <f>IF(L$3=0,"",SUMIFS(INDEX(Inputs!$D$4:$AG$150,0,MATCH(L$2,Inputs!$D$2:$AG$2,0)),Inputs!$B$4:$B$150,$B7)/1000)</f>
        <v>-375</v>
      </c>
      <c r="M7" s="12">
        <f>IF(COUNT(I7:L7)=4,SUM(I7:L7),"")</f>
        <v>-1522.5</v>
      </c>
      <c r="N7" s="11">
        <f>IF(N$3=0,"",SUMIFS(INDEX(Inputs!$D$4:$AG$150,0,MATCH(N$2,Inputs!$D$2:$AG$2,0)),Inputs!$B$4:$B$150,$B7)/1000)</f>
        <v>-362.3</v>
      </c>
      <c r="O7" s="11">
        <f>IF(O$3=0,"",SUMIFS(INDEX(Inputs!$D$4:$AG$150,0,MATCH(O$2,Inputs!$D$2:$AG$2,0)),Inputs!$B$4:$B$150,$B7)/1000)</f>
        <v>-366.3</v>
      </c>
      <c r="P7" s="11">
        <f>IF(P$3=0,"",SUMIFS(INDEX(Inputs!$D$4:$AG$150,0,MATCH(P$2,Inputs!$D$2:$AG$2,0)),Inputs!$B$4:$B$150,$B7)/1000)</f>
        <v>-411</v>
      </c>
      <c r="Q7" s="11">
        <f>IF(Q$3=0,"",SUMIFS(INDEX(Inputs!$D$4:$AG$150,0,MATCH(Q$2,Inputs!$D$2:$AG$2,0)),Inputs!$B$4:$B$150,$B7)/1000)</f>
        <v>-387.7</v>
      </c>
      <c r="R7" s="12">
        <f>IF(COUNT(N7:Q7)=4,SUM(N7:Q7),"")</f>
        <v>-1527.3</v>
      </c>
      <c r="S7" s="11">
        <f>IF(S$3=0,"",SUMIFS(INDEX(Inputs!$D$4:$AG$150,0,MATCH(S$2,Inputs!$D$2:$AG$2,0)),Inputs!$B$4:$B$150,$B7)/1000)</f>
        <v>-400.6</v>
      </c>
      <c r="T7" s="11">
        <f>IF(T$3=0,"",SUMIFS(INDEX(Inputs!$D$4:$AG$150,0,MATCH(T$2,Inputs!$D$2:$AG$2,0)),Inputs!$B$4:$B$150,$B7)/1000)</f>
        <v>-414.4</v>
      </c>
      <c r="U7" s="11">
        <f>IF(U$3=0,"",SUMIFS(INDEX(Inputs!$D$4:$AG$150,0,MATCH(U$2,Inputs!$D$2:$AG$2,0)),Inputs!$B$4:$B$150,$B7)/1000)</f>
        <v>-466.8</v>
      </c>
      <c r="V7" s="11">
        <f>IF(V$3=0,"",SUMIFS(INDEX(Inputs!$D$4:$AG$150,0,MATCH(V$2,Inputs!$D$2:$AG$2,0)),Inputs!$B$4:$B$150,$B7)/1000)</f>
        <v>-484.8</v>
      </c>
      <c r="W7" s="12">
        <f>IF(COUNT(S7:V7)=4,SUM(S7:V7),"")</f>
        <v>-1766.6</v>
      </c>
      <c r="X7" s="11">
        <f>IF(X$3=0,"",SUMIFS(INDEX(Inputs!$D$4:$AG$150,0,MATCH(X$2,Inputs!$D$2:$AG$2,0)),Inputs!$B$4:$B$150,$B7)/1000)</f>
        <v>-462.8</v>
      </c>
      <c r="Y7" s="11">
        <f>IF(Y$3=0,"",SUMIFS(INDEX(Inputs!$D$4:$AG$150,0,MATCH(Y$2,Inputs!$D$2:$AG$2,0)),Inputs!$B$4:$B$150,$B7)/1000)</f>
        <v>-478.5</v>
      </c>
      <c r="Z7" s="11">
        <f>IF(Z$3=0,"",SUMIFS(INDEX(Inputs!$D$4:$AG$150,0,MATCH(Z$2,Inputs!$D$2:$AG$2,0)),Inputs!$B$4:$B$150,$B7)/1000)</f>
        <v>-470</v>
      </c>
      <c r="AA7" s="11">
        <f>IF(AA$3=0,"",SUMIFS(INDEX(Inputs!$D$4:$AG$150,0,MATCH(AA$2,Inputs!$D$2:$AG$2,0)),Inputs!$B$4:$B$150,$B7)/1000)</f>
        <v>-585.7</v>
      </c>
      <c r="AB7" s="12">
        <f>IF(COUNT(X7:AA7)=4,SUM(X7:AA7),"")</f>
        <v>-1997</v>
      </c>
      <c r="AC7" s="11">
        <f>IF(AC$3=0,"",SUMIFS(INDEX(Inputs!$D$4:$AG$150,0,MATCH(AC$2,Inputs!$D$2:$AG$2,0)),Inputs!$B$4:$B$150,$B7)/1000)</f>
        <v>-509</v>
      </c>
      <c r="AD7" s="11">
        <f>IF(AD$3=0,"",SUMIFS(INDEX(Inputs!$D$4:$AG$150,0,MATCH(AD$2,Inputs!$D$2:$AG$2,0)),Inputs!$B$4:$B$150,$B7)/1000)</f>
        <v>-534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-87.8</v>
      </c>
      <c r="E8" s="11">
        <f>IF(E$3=0,"",SUMIFS(INDEX(Inputs!$D$4:$AG$150,0,MATCH(E$2,Inputs!$D$2:$AG$2,0)),Inputs!$B$4:$B$150,$B8)/1000)</f>
        <v>-86.9</v>
      </c>
      <c r="F8" s="11">
        <f>IF(F$3=0,"",SUMIFS(INDEX(Inputs!$D$4:$AG$150,0,MATCH(F$2,Inputs!$D$2:$AG$2,0)),Inputs!$B$4:$B$150,$B8)/1000)</f>
        <v>-83.6</v>
      </c>
      <c r="G8" s="11">
        <f>IF(G$3=0,"",SUMIFS(INDEX(Inputs!$D$4:$AG$150,0,MATCH(G$2,Inputs!$D$2:$AG$2,0)),Inputs!$B$4:$B$150,$B8)/1000)</f>
        <v>-81.4</v>
      </c>
      <c r="H8" s="12">
        <f>IF(COUNT(D8:G8)=4,SUM(D8:G8),"")</f>
        <v>-339.7</v>
      </c>
      <c r="I8" s="11">
        <f>IF(I$3=0,"",SUMIFS(INDEX(Inputs!$D$4:$AG$150,0,MATCH(I$2,Inputs!$D$2:$AG$2,0)),Inputs!$B$4:$B$150,$B8)/1000)</f>
        <v>-84.9</v>
      </c>
      <c r="J8" s="11">
        <f>IF(J$3=0,"",SUMIFS(INDEX(Inputs!$D$4:$AG$150,0,MATCH(J$2,Inputs!$D$2:$AG$2,0)),Inputs!$B$4:$B$150,$B8)/1000)</f>
        <v>-81.2</v>
      </c>
      <c r="K8" s="11">
        <f>IF(K$3=0,"",SUMIFS(INDEX(Inputs!$D$4:$AG$150,0,MATCH(K$2,Inputs!$D$2:$AG$2,0)),Inputs!$B$4:$B$150,$B8)/1000)</f>
        <v>-81.5</v>
      </c>
      <c r="L8" s="11">
        <f>IF(L$3=0,"",SUMIFS(INDEX(Inputs!$D$4:$AG$150,0,MATCH(L$2,Inputs!$D$2:$AG$2,0)),Inputs!$B$4:$B$150,$B8)/1000)</f>
        <v>-84</v>
      </c>
      <c r="M8" s="12">
        <f>IF(COUNT(I8:L8)=4,SUM(I8:L8),"")</f>
        <v>-331.6</v>
      </c>
      <c r="N8" s="11">
        <f>IF(N$3=0,"",SUMIFS(INDEX(Inputs!$D$4:$AG$150,0,MATCH(N$2,Inputs!$D$2:$AG$2,0)),Inputs!$B$4:$B$150,$B8)/1000)</f>
        <v>-102.8</v>
      </c>
      <c r="O8" s="11">
        <f>IF(O$3=0,"",SUMIFS(INDEX(Inputs!$D$4:$AG$150,0,MATCH(O$2,Inputs!$D$2:$AG$2,0)),Inputs!$B$4:$B$150,$B8)/1000)</f>
        <v>-120.3</v>
      </c>
      <c r="P8" s="11">
        <f>IF(P$3=0,"",SUMIFS(INDEX(Inputs!$D$4:$AG$150,0,MATCH(P$2,Inputs!$D$2:$AG$2,0)),Inputs!$B$4:$B$150,$B8)/1000)</f>
        <v>-124.6</v>
      </c>
      <c r="Q8" s="11">
        <f>IF(Q$3=0,"",SUMIFS(INDEX(Inputs!$D$4:$AG$150,0,MATCH(Q$2,Inputs!$D$2:$AG$2,0)),Inputs!$B$4:$B$150,$B8)/1000)</f>
        <v>-138.2</v>
      </c>
      <c r="R8" s="12">
        <f>IF(COUNT(N8:Q8)=4,SUM(N8:Q8),"")</f>
        <v>-485.9</v>
      </c>
      <c r="S8" s="11">
        <f>IF(S$3=0,"",SUMIFS(INDEX(Inputs!$D$4:$AG$150,0,MATCH(S$2,Inputs!$D$2:$AG$2,0)),Inputs!$B$4:$B$150,$B8)/1000)</f>
        <v>-179.6</v>
      </c>
      <c r="T8" s="11">
        <f>IF(T$3=0,"",SUMIFS(INDEX(Inputs!$D$4:$AG$150,0,MATCH(T$2,Inputs!$D$2:$AG$2,0)),Inputs!$B$4:$B$150,$B8)/1000)</f>
        <v>-183.6</v>
      </c>
      <c r="U8" s="11">
        <f>IF(U$3=0,"",SUMIFS(INDEX(Inputs!$D$4:$AG$150,0,MATCH(U$2,Inputs!$D$2:$AG$2,0)),Inputs!$B$4:$B$150,$B8)/1000)</f>
        <v>-192.7</v>
      </c>
      <c r="V8" s="11">
        <f>IF(V$3=0,"",SUMIFS(INDEX(Inputs!$D$4:$AG$150,0,MATCH(V$2,Inputs!$D$2:$AG$2,0)),Inputs!$B$4:$B$150,$B8)/1000)</f>
        <v>-224.7</v>
      </c>
      <c r="W8" s="12">
        <f>IF(COUNT(S8:V8)=4,SUM(S8:V8),"")</f>
        <v>-780.6</v>
      </c>
      <c r="X8" s="11">
        <f>IF(X$3=0,"",SUMIFS(INDEX(Inputs!$D$4:$AG$150,0,MATCH(X$2,Inputs!$D$2:$AG$2,0)),Inputs!$B$4:$B$150,$B8)/1000)</f>
        <v>-243.7</v>
      </c>
      <c r="Y8" s="11">
        <f>IF(Y$3=0,"",SUMIFS(INDEX(Inputs!$D$4:$AG$150,0,MATCH(Y$2,Inputs!$D$2:$AG$2,0)),Inputs!$B$4:$B$150,$B8)/1000)</f>
        <v>-249</v>
      </c>
      <c r="Z8" s="11">
        <f>IF(Z$3=0,"",SUMIFS(INDEX(Inputs!$D$4:$AG$150,0,MATCH(Z$2,Inputs!$D$2:$AG$2,0)),Inputs!$B$4:$B$150,$B8)/1000)</f>
        <v>-179.6</v>
      </c>
      <c r="AA8" s="11">
        <f>IF(AA$3=0,"",SUMIFS(INDEX(Inputs!$D$4:$AG$150,0,MATCH(AA$2,Inputs!$D$2:$AG$2,0)),Inputs!$B$4:$B$150,$B8)/1000)</f>
        <v>-222.6</v>
      </c>
      <c r="AB8" s="12">
        <f>IF(COUNT(X8:AA8)=4,SUM(X8:AA8),"")</f>
        <v>-894.9</v>
      </c>
      <c r="AC8" s="11">
        <f>IF(AC$3=0,"",SUMIFS(INDEX(Inputs!$D$4:$AG$150,0,MATCH(AC$2,Inputs!$D$2:$AG$2,0)),Inputs!$B$4:$B$150,$B8)/1000)</f>
        <v>0</v>
      </c>
      <c r="AD8" s="11">
        <f>IF(AD$3=0,"",SUMIFS(INDEX(Inputs!$D$4:$AG$150,0,MATCH(AD$2,Inputs!$D$2:$AG$2,0)),Inputs!$B$4:$B$150,$B8)/1000)</f>
        <v>0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1564.2</v>
      </c>
      <c r="E9" s="11">
        <f>IF(E$3=0,"",SUMIFS(INDEX(Inputs!$D$4:$AG$150,0,MATCH(E$2,Inputs!$D$2:$AG$2,0)),Inputs!$B$4:$B$150,$B9)/1000)</f>
        <v>1680.8</v>
      </c>
      <c r="F9" s="11">
        <f>IF(F$3=0,"",SUMIFS(INDEX(Inputs!$D$4:$AG$150,0,MATCH(F$2,Inputs!$D$2:$AG$2,0)),Inputs!$B$4:$B$150,$B9)/1000)</f>
        <v>1328.9</v>
      </c>
      <c r="G9" s="11">
        <f>IF(G$3=0,"",SUMIFS(INDEX(Inputs!$D$4:$AG$150,0,MATCH(G$2,Inputs!$D$2:$AG$2,0)),Inputs!$B$4:$B$150,$B9)/1000)</f>
        <v>1921.3</v>
      </c>
      <c r="H9" s="12">
        <f>IF(COUNT(D9:G9)=4,SUM(D9:G9),"")</f>
        <v>6495.2</v>
      </c>
      <c r="I9" s="11">
        <f>IF(I$3=0,"",SUMIFS(INDEX(Inputs!$D$4:$AG$150,0,MATCH(I$2,Inputs!$D$2:$AG$2,0)),Inputs!$B$4:$B$150,$B9)/1000)</f>
        <v>2138.5</v>
      </c>
      <c r="J9" s="11">
        <f>IF(J$3=0,"",SUMIFS(INDEX(Inputs!$D$4:$AG$150,0,MATCH(J$2,Inputs!$D$2:$AG$2,0)),Inputs!$B$4:$B$150,$B9)/1000)</f>
        <v>1172.1</v>
      </c>
      <c r="K9" s="11">
        <f>IF(K$3=0,"",SUMIFS(INDEX(Inputs!$D$4:$AG$150,0,MATCH(K$2,Inputs!$D$2:$AG$2,0)),Inputs!$B$4:$B$150,$B9)/1000)</f>
        <v>1647</v>
      </c>
      <c r="L9" s="11">
        <f>IF(L$3=0,"",SUMIFS(INDEX(Inputs!$D$4:$AG$150,0,MATCH(L$2,Inputs!$D$2:$AG$2,0)),Inputs!$B$4:$B$150,$B9)/1000)</f>
        <v>2180.4</v>
      </c>
      <c r="M9" s="12">
        <f>IF(COUNT(I9:L9)=4,SUM(I9:L9),"")</f>
        <v>7138</v>
      </c>
      <c r="N9" s="11">
        <f>IF(N$3=0,"",SUMIFS(INDEX(Inputs!$D$4:$AG$150,0,MATCH(N$2,Inputs!$D$2:$AG$2,0)),Inputs!$B$4:$B$150,$B9)/1000)</f>
        <v>1632.5</v>
      </c>
      <c r="O9" s="11">
        <f>IF(O$3=0,"",SUMIFS(INDEX(Inputs!$D$4:$AG$150,0,MATCH(O$2,Inputs!$D$2:$AG$2,0)),Inputs!$B$4:$B$150,$B9)/1000)</f>
        <v>2209.2</v>
      </c>
      <c r="P9" s="11">
        <f>IF(P$3=0,"",SUMIFS(INDEX(Inputs!$D$4:$AG$150,0,MATCH(P$2,Inputs!$D$2:$AG$2,0)),Inputs!$B$4:$B$150,$B9)/1000)</f>
        <v>551.8</v>
      </c>
      <c r="Q9" s="11">
        <f>IF(Q$3=0,"",SUMIFS(INDEX(Inputs!$D$4:$AG$150,0,MATCH(Q$2,Inputs!$D$2:$AG$2,0)),Inputs!$B$4:$B$150,$B9)/1000)</f>
        <v>2647</v>
      </c>
      <c r="R9" s="12">
        <f>IF(COUNT(N9:Q9)=4,SUM(N9:Q9),"")</f>
        <v>7040.5</v>
      </c>
      <c r="S9" s="11">
        <f>IF(S$3=0,"",SUMIFS(INDEX(Inputs!$D$4:$AG$150,0,MATCH(S$2,Inputs!$D$2:$AG$2,0)),Inputs!$B$4:$B$150,$B9)/1000)</f>
        <v>2715.7</v>
      </c>
      <c r="T9" s="11">
        <f>IF(T$3=0,"",SUMIFS(INDEX(Inputs!$D$4:$AG$150,0,MATCH(T$2,Inputs!$D$2:$AG$2,0)),Inputs!$B$4:$B$150,$B9)/1000)</f>
        <v>3700.8</v>
      </c>
      <c r="U9" s="11">
        <f>IF(U$3=0,"",SUMIFS(INDEX(Inputs!$D$4:$AG$150,0,MATCH(U$2,Inputs!$D$2:$AG$2,0)),Inputs!$B$4:$B$150,$B9)/1000)</f>
        <v>1781.1</v>
      </c>
      <c r="V9" s="11">
        <f>IF(V$3=0,"",SUMIFS(INDEX(Inputs!$D$4:$AG$150,0,MATCH(V$2,Inputs!$D$2:$AG$2,0)),Inputs!$B$4:$B$150,$B9)/1000)</f>
        <v>5263.4</v>
      </c>
      <c r="W9" s="12">
        <f>IF(COUNT(S9:V9)=4,SUM(S9:V9),"")</f>
        <v>13461</v>
      </c>
      <c r="X9" s="11">
        <f>IF(X$3=0,"",SUMIFS(INDEX(Inputs!$D$4:$AG$150,0,MATCH(X$2,Inputs!$D$2:$AG$2,0)),Inputs!$B$4:$B$150,$B9)/1000)</f>
        <v>3699.7</v>
      </c>
      <c r="Y9" s="11">
        <f>IF(Y$3=0,"",SUMIFS(INDEX(Inputs!$D$4:$AG$150,0,MATCH(Y$2,Inputs!$D$2:$AG$2,0)),Inputs!$B$4:$B$150,$B9)/1000)</f>
        <v>7026</v>
      </c>
      <c r="Z9" s="11">
        <f>IF(Z$3=0,"",SUMIFS(INDEX(Inputs!$D$4:$AG$150,0,MATCH(Z$2,Inputs!$D$2:$AG$2,0)),Inputs!$B$4:$B$150,$B9)/1000)</f>
        <v>7412</v>
      </c>
      <c r="AA9" s="11">
        <f>IF(AA$3=0,"",SUMIFS(INDEX(Inputs!$D$4:$AG$150,0,MATCH(AA$2,Inputs!$D$2:$AG$2,0)),Inputs!$B$4:$B$150,$B9)/1000)</f>
        <v>8488.8</v>
      </c>
      <c r="AB9" s="12">
        <f>IF(COUNT(X9:AA9)=4,SUM(X9:AA9),"")</f>
        <v>26626.5</v>
      </c>
      <c r="AC9" s="11">
        <f>IF(AC$3=0,"",SUMIFS(INDEX(Inputs!$D$4:$AG$150,0,MATCH(AC$2,Inputs!$D$2:$AG$2,0)),Inputs!$B$4:$B$150,$B9)/1000)</f>
        <v>8850</v>
      </c>
      <c r="AD9" s="11">
        <f>IF(AD$3=0,"",SUMIFS(INDEX(Inputs!$D$4:$AG$150,0,MATCH(AD$2,Inputs!$D$2:$AG$2,0)),Inputs!$B$4:$B$150,$B9)/1000)</f>
        <v>9247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-121.1</v>
      </c>
      <c r="E10" s="11">
        <f>IF(E$3=0,"",SUMIFS(INDEX(Inputs!$D$4:$AG$150,0,MATCH(E$2,Inputs!$D$2:$AG$2,0)),Inputs!$B$4:$B$150,$B10)/1000)</f>
        <v>-203.7</v>
      </c>
      <c r="F10" s="11">
        <f>IF(F$3=0,"",SUMIFS(INDEX(Inputs!$D$4:$AG$150,0,MATCH(F$2,Inputs!$D$2:$AG$2,0)),Inputs!$B$4:$B$150,$B10)/1000)</f>
        <v>-135.2</v>
      </c>
      <c r="G10" s="11">
        <f>IF(G$3=0,"",SUMIFS(INDEX(Inputs!$D$4:$AG$150,0,MATCH(G$2,Inputs!$D$2:$AG$2,0)),Inputs!$B$4:$B$150,$B10)/1000)</f>
        <v>-113.8</v>
      </c>
      <c r="H10" s="12">
        <f>IF(COUNT(D10:G10)=4,SUM(D10:G10),"")</f>
        <v>-573.8</v>
      </c>
      <c r="I10" s="11">
        <f>IF(I$3=0,"",SUMIFS(INDEX(Inputs!$D$4:$AG$150,0,MATCH(I$2,Inputs!$D$2:$AG$2,0)),Inputs!$B$4:$B$150,$B10)/1000)</f>
        <v>-150.7</v>
      </c>
      <c r="J10" s="11">
        <f>IF(J$3=0,"",SUMIFS(INDEX(Inputs!$D$4:$AG$150,0,MATCH(J$2,Inputs!$D$2:$AG$2,0)),Inputs!$B$4:$B$150,$B10)/1000)</f>
        <v>-138.4</v>
      </c>
      <c r="K10" s="11">
        <f>IF(K$3=0,"",SUMIFS(INDEX(Inputs!$D$4:$AG$150,0,MATCH(K$2,Inputs!$D$2:$AG$2,0)),Inputs!$B$4:$B$150,$B10)/1000)</f>
        <v>-113.8</v>
      </c>
      <c r="L10" s="11">
        <f>IF(L$3=0,"",SUMIFS(INDEX(Inputs!$D$4:$AG$150,0,MATCH(L$2,Inputs!$D$2:$AG$2,0)),Inputs!$B$4:$B$150,$B10)/1000)</f>
        <v>-158.7</v>
      </c>
      <c r="M10" s="12">
        <f>IF(COUNT(I10:L10)=4,SUM(I10:L10),"")</f>
        <v>-561.6</v>
      </c>
      <c r="N10" s="11">
        <f>IF(N$3=0,"",SUMIFS(INDEX(Inputs!$D$4:$AG$150,0,MATCH(N$2,Inputs!$D$2:$AG$2,0)),Inputs!$B$4:$B$150,$B10)/1000)</f>
        <v>-184.8</v>
      </c>
      <c r="O10" s="11">
        <f>IF(O$3=0,"",SUMIFS(INDEX(Inputs!$D$4:$AG$150,0,MATCH(O$2,Inputs!$D$2:$AG$2,0)),Inputs!$B$4:$B$150,$B10)/1000)</f>
        <v>-325.7</v>
      </c>
      <c r="P10" s="11">
        <f>IF(P$3=0,"",SUMIFS(INDEX(Inputs!$D$4:$AG$150,0,MATCH(P$2,Inputs!$D$2:$AG$2,0)),Inputs!$B$4:$B$150,$B10)/1000)</f>
        <v>-484.6</v>
      </c>
      <c r="Q10" s="11">
        <f>IF(Q$3=0,"",SUMIFS(INDEX(Inputs!$D$4:$AG$150,0,MATCH(Q$2,Inputs!$D$2:$AG$2,0)),Inputs!$B$4:$B$150,$B10)/1000)</f>
        <v>-319.1</v>
      </c>
      <c r="R10" s="12">
        <f>IF(COUNT(N10:Q10)=4,SUM(N10:Q10),"")</f>
        <v>-1314.2</v>
      </c>
      <c r="S10" s="11">
        <f>IF(S$3=0,"",SUMIFS(INDEX(Inputs!$D$4:$AG$150,0,MATCH(S$2,Inputs!$D$2:$AG$2,0)),Inputs!$B$4:$B$150,$B10)/1000)</f>
        <v>-293.2</v>
      </c>
      <c r="T10" s="11">
        <f>IF(T$3=0,"",SUMIFS(INDEX(Inputs!$D$4:$AG$150,0,MATCH(T$2,Inputs!$D$2:$AG$2,0)),Inputs!$B$4:$B$150,$B10)/1000)</f>
        <v>-550.2</v>
      </c>
      <c r="U10" s="11">
        <f>IF(U$3=0,"",SUMIFS(INDEX(Inputs!$D$4:$AG$150,0,MATCH(U$2,Inputs!$D$2:$AG$2,0)),Inputs!$B$4:$B$150,$B10)/1000)</f>
        <v>-618.1</v>
      </c>
      <c r="V10" s="11">
        <f>IF(V$3=0,"",SUMIFS(INDEX(Inputs!$D$4:$AG$150,0,MATCH(V$2,Inputs!$D$2:$AG$2,0)),Inputs!$B$4:$B$150,$B10)/1000)</f>
        <v>-628.9</v>
      </c>
      <c r="W10" s="12">
        <f>IF(COUNT(S10:V10)=4,SUM(S10:V10),"")</f>
        <v>-2090.4</v>
      </c>
      <c r="X10" s="11">
        <f>IF(X$3=0,"",SUMIFS(INDEX(Inputs!$D$4:$AG$150,0,MATCH(X$2,Inputs!$D$2:$AG$2,0)),Inputs!$B$4:$B$150,$B10)/1000)</f>
        <v>-697</v>
      </c>
      <c r="Y10" s="11">
        <f>IF(Y$3=0,"",SUMIFS(INDEX(Inputs!$D$4:$AG$150,0,MATCH(Y$2,Inputs!$D$2:$AG$2,0)),Inputs!$B$4:$B$150,$B10)/1000)</f>
        <v>-1116</v>
      </c>
      <c r="Z10" s="11">
        <f>IF(Z$3=0,"",SUMIFS(INDEX(Inputs!$D$4:$AG$150,0,MATCH(Z$2,Inputs!$D$2:$AG$2,0)),Inputs!$B$4:$B$150,$B10)/1000)</f>
        <v>-1649.9</v>
      </c>
      <c r="AA10" s="11">
        <f>IF(AA$3=0,"",SUMIFS(INDEX(Inputs!$D$4:$AG$150,0,MATCH(AA$2,Inputs!$D$2:$AG$2,0)),Inputs!$B$4:$B$150,$B10)/1000)</f>
        <v>-1628.5</v>
      </c>
      <c r="AB10" s="12">
        <f>IF(COUNT(X10:AA10)=4,SUM(X10:AA10),"")</f>
        <v>-5091.4</v>
      </c>
      <c r="AC10" s="11">
        <f>IF(AC$3=0,"",SUMIFS(INDEX(Inputs!$D$4:$AG$150,0,MATCH(AC$2,Inputs!$D$2:$AG$2,0)),Inputs!$B$4:$B$150,$B10)/1000)</f>
        <v>-1454</v>
      </c>
      <c r="AD10" s="11">
        <f>IF(AD$3=0,"",SUMIFS(INDEX(Inputs!$D$4:$AG$150,0,MATCH(AD$2,Inputs!$D$2:$AG$2,0)),Inputs!$B$4:$B$150,$B10)/1000)</f>
        <v>-2152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0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0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-774.8</v>
      </c>
      <c r="E13" s="11">
        <f>IF(E$3=0,"",SUMIFS(INDEX(Inputs!$D$4:$AG$150,0,MATCH(E$2,Inputs!$D$2:$AG$2,0)),Inputs!$B$4:$B$150,$B13)/1000)</f>
        <v>-768.3</v>
      </c>
      <c r="F13" s="11">
        <f>IF(F$3=0,"",SUMIFS(INDEX(Inputs!$D$4:$AG$150,0,MATCH(F$2,Inputs!$D$2:$AG$2,0)),Inputs!$B$4:$B$150,$B13)/1000)</f>
        <v>-770.4</v>
      </c>
      <c r="G13" s="11">
        <f>IF(G$3=0,"",SUMIFS(INDEX(Inputs!$D$4:$AG$150,0,MATCH(G$2,Inputs!$D$2:$AG$2,0)),Inputs!$B$4:$B$150,$B13)/1000)</f>
        <v>-773.3</v>
      </c>
      <c r="H13" s="12">
        <f>IF(COUNT(D13:G13)=4,SUM(D13:G13),"")</f>
        <v>-3086.8</v>
      </c>
      <c r="I13" s="11">
        <f>IF(I$3=0,"",SUMIFS(INDEX(Inputs!$D$4:$AG$150,0,MATCH(I$2,Inputs!$D$2:$AG$2,0)),Inputs!$B$4:$B$150,$B13)/1000)</f>
        <v>-885.5</v>
      </c>
      <c r="J13" s="11">
        <f>IF(J$3=0,"",SUMIFS(INDEX(Inputs!$D$4:$AG$150,0,MATCH(J$2,Inputs!$D$2:$AG$2,0)),Inputs!$B$4:$B$150,$B13)/1000)</f>
        <v>-883.7</v>
      </c>
      <c r="K13" s="11">
        <f>IF(K$3=0,"",SUMIFS(INDEX(Inputs!$D$4:$AG$150,0,MATCH(K$2,Inputs!$D$2:$AG$2,0)),Inputs!$B$4:$B$150,$B13)/1000)</f>
        <v>-882.2</v>
      </c>
      <c r="L13" s="11">
        <f>IF(L$3=0,"",SUMIFS(INDEX(Inputs!$D$4:$AG$150,0,MATCH(L$2,Inputs!$D$2:$AG$2,0)),Inputs!$B$4:$B$150,$B13)/1000)</f>
        <v>-884.4</v>
      </c>
      <c r="M13" s="12">
        <f>IF(COUNT(I13:L13)=4,SUM(I13:L13),"")</f>
        <v>-3535.8</v>
      </c>
      <c r="N13" s="11">
        <f>IF(N$3=0,"",SUMIFS(INDEX(Inputs!$D$4:$AG$150,0,MATCH(N$2,Inputs!$D$2:$AG$2,0)),Inputs!$B$4:$B$150,$B13)/1000)</f>
        <v>-1017.2</v>
      </c>
      <c r="O13" s="11">
        <f>IF(O$3=0,"",SUMIFS(INDEX(Inputs!$D$4:$AG$150,0,MATCH(O$2,Inputs!$D$2:$AG$2,0)),Inputs!$B$4:$B$150,$B13)/1000)</f>
        <v>-1017.8</v>
      </c>
      <c r="P13" s="11">
        <f>IF(P$3=0,"",SUMIFS(INDEX(Inputs!$D$4:$AG$150,0,MATCH(P$2,Inputs!$D$2:$AG$2,0)),Inputs!$B$4:$B$150,$B13)/1000)</f>
        <v>-1016.2</v>
      </c>
      <c r="Q13" s="11">
        <f>IF(Q$3=0,"",SUMIFS(INDEX(Inputs!$D$4:$AG$150,0,MATCH(Q$2,Inputs!$D$2:$AG$2,0)),Inputs!$B$4:$B$150,$B13)/1000)</f>
        <v>-1018.1</v>
      </c>
      <c r="R13" s="12">
        <f>IF(COUNT(N13:Q13)=4,SUM(N13:Q13),"")</f>
        <v>-4069.3</v>
      </c>
      <c r="S13" s="11">
        <f>IF(S$3=0,"",SUMIFS(INDEX(Inputs!$D$4:$AG$150,0,MATCH(S$2,Inputs!$D$2:$AG$2,0)),Inputs!$B$4:$B$150,$B13)/1000)</f>
        <v>-1169.2</v>
      </c>
      <c r="T13" s="11">
        <f>IF(T$3=0,"",SUMIFS(INDEX(Inputs!$D$4:$AG$150,0,MATCH(T$2,Inputs!$D$2:$AG$2,0)),Inputs!$B$4:$B$150,$B13)/1000)</f>
        <v>-1172.4</v>
      </c>
      <c r="U13" s="11">
        <f>IF(U$3=0,"",SUMIFS(INDEX(Inputs!$D$4:$AG$150,0,MATCH(U$2,Inputs!$D$2:$AG$2,0)),Inputs!$B$4:$B$150,$B13)/1000)</f>
        <v>-1170.5</v>
      </c>
      <c r="V13" s="11">
        <f>IF(V$3=0,"",SUMIFS(INDEX(Inputs!$D$4:$AG$150,0,MATCH(V$2,Inputs!$D$2:$AG$2,0)),Inputs!$B$4:$B$150,$B13)/1000)</f>
        <v>-1168.3</v>
      </c>
      <c r="W13" s="12">
        <f>IF(COUNT(S13:V13)=4,SUM(S13:V13),"")</f>
        <v>-4680.4</v>
      </c>
      <c r="X13" s="11">
        <f>IF(X$3=0,"",SUMIFS(INDEX(Inputs!$D$4:$AG$150,0,MATCH(X$2,Inputs!$D$2:$AG$2,0)),Inputs!$B$4:$B$150,$B13)/1000)</f>
        <v>-1346.3</v>
      </c>
      <c r="Y13" s="11">
        <f>IF(Y$3=0,"",SUMIFS(INDEX(Inputs!$D$4:$AG$150,0,MATCH(Y$2,Inputs!$D$2:$AG$2,0)),Inputs!$B$4:$B$150,$B13)/1000)</f>
        <v>-1347</v>
      </c>
      <c r="Z13" s="11">
        <f>IF(Z$3=0,"",SUMIFS(INDEX(Inputs!$D$4:$AG$150,0,MATCH(Z$2,Inputs!$D$2:$AG$2,0)),Inputs!$B$4:$B$150,$B13)/1000)</f>
        <v>-1345.2</v>
      </c>
      <c r="AA13" s="11">
        <f>IF(AA$3=0,"",SUMIFS(INDEX(Inputs!$D$4:$AG$150,0,MATCH(AA$2,Inputs!$D$2:$AG$2,0)),Inputs!$B$4:$B$150,$B13)/1000)</f>
        <v>-1345.5</v>
      </c>
      <c r="AB13" s="12">
        <f>IF(COUNT(X13:AA13)=4,SUM(X13:AA13),"")</f>
        <v>-5384</v>
      </c>
      <c r="AC13" s="11">
        <f>IF(AC$3=0,"",SUMIFS(INDEX(Inputs!$D$4:$AG$150,0,MATCH(AC$2,Inputs!$D$2:$AG$2,0)),Inputs!$B$4:$B$150,$B13)/1000)</f>
        <v>-1548</v>
      </c>
      <c r="AD13" s="11">
        <f>IF(AD$3=0,"",SUMIFS(INDEX(Inputs!$D$4:$AG$150,0,MATCH(AD$2,Inputs!$D$2:$AG$2,0)),Inputs!$B$4:$B$150,$B13)/1000)</f>
        <v>-1546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3051.4</v>
      </c>
      <c r="E15" s="11">
        <f>IF(E$3=0,"",SUMIFS(INDEX(Inputs!$D$4:$AG$150,0,MATCH(E$2,Inputs!$D$2:$AG$2,0)),Inputs!$B$4:$B$150,$B15)/1000)</f>
        <v>3271.2</v>
      </c>
      <c r="F15" s="11">
        <f>IF(F$3=0,"",SUMIFS(INDEX(Inputs!$D$4:$AG$150,0,MATCH(F$2,Inputs!$D$2:$AG$2,0)),Inputs!$B$4:$B$150,$B15)/1000)</f>
        <v>3825.3</v>
      </c>
      <c r="G15" s="11">
        <f>IF(G$3=0,"",SUMIFS(INDEX(Inputs!$D$4:$AG$150,0,MATCH(G$2,Inputs!$D$2:$AG$2,0)),Inputs!$B$4:$B$150,$B15)/1000)</f>
        <v>3908.6</v>
      </c>
      <c r="H15" s="12">
        <f>IF(G15="","",G15)</f>
        <v>3908.6</v>
      </c>
      <c r="I15" s="11">
        <f>IF(I$3=0,"",SUMIFS(INDEX(Inputs!$D$4:$AG$150,0,MATCH(I$2,Inputs!$D$2:$AG$2,0)),Inputs!$B$4:$B$150,$B15)/1000)</f>
        <v>2568.3</v>
      </c>
      <c r="J15" s="11">
        <f>IF(J$3=0,"",SUMIFS(INDEX(Inputs!$D$4:$AG$150,0,MATCH(J$2,Inputs!$D$2:$AG$2,0)),Inputs!$B$4:$B$150,$B15)/1000)</f>
        <v>2736.7</v>
      </c>
      <c r="K15" s="11">
        <f>IF(K$3=0,"",SUMIFS(INDEX(Inputs!$D$4:$AG$150,0,MATCH(K$2,Inputs!$D$2:$AG$2,0)),Inputs!$B$4:$B$150,$B15)/1000)</f>
        <v>2742.1</v>
      </c>
      <c r="L15" s="11">
        <f>IF(L$3=0,"",SUMIFS(INDEX(Inputs!$D$4:$AG$150,0,MATCH(L$2,Inputs!$D$2:$AG$2,0)),Inputs!$B$4:$B$150,$B15)/1000)</f>
        <v>2211.8</v>
      </c>
      <c r="M15" s="12">
        <f>IF(L15="","",L15)</f>
        <v>2211.8</v>
      </c>
      <c r="N15" s="11">
        <f>IF(N$3=0,"",SUMIFS(INDEX(Inputs!$D$4:$AG$150,0,MATCH(N$2,Inputs!$D$2:$AG$2,0)),Inputs!$B$4:$B$150,$B15)/1000)</f>
        <v>3669.3</v>
      </c>
      <c r="O15" s="11">
        <f>IF(O$3=0,"",SUMIFS(INDEX(Inputs!$D$4:$AG$150,0,MATCH(O$2,Inputs!$D$2:$AG$2,0)),Inputs!$B$4:$B$150,$B15)/1000)</f>
        <v>2829.1</v>
      </c>
      <c r="P15" s="11">
        <f>IF(P$3=0,"",SUMIFS(INDEX(Inputs!$D$4:$AG$150,0,MATCH(P$2,Inputs!$D$2:$AG$2,0)),Inputs!$B$4:$B$150,$B15)/1000)</f>
        <v>2493.9</v>
      </c>
      <c r="Q15" s="11">
        <f>IF(Q$3=0,"",SUMIFS(INDEX(Inputs!$D$4:$AG$150,0,MATCH(Q$2,Inputs!$D$2:$AG$2,0)),Inputs!$B$4:$B$150,$B15)/1000)</f>
        <v>2927.7</v>
      </c>
      <c r="R15" s="12">
        <f>IF(Q15="","",Q15)</f>
        <v>2927.7</v>
      </c>
      <c r="S15" s="11">
        <f>IF(S$3=0,"",SUMIFS(INDEX(Inputs!$D$4:$AG$150,0,MATCH(S$2,Inputs!$D$2:$AG$2,0)),Inputs!$B$4:$B$150,$B15)/1000)</f>
        <v>2586.3</v>
      </c>
      <c r="T15" s="11">
        <f>IF(T$3=0,"",SUMIFS(INDEX(Inputs!$D$4:$AG$150,0,MATCH(T$2,Inputs!$D$2:$AG$2,0)),Inputs!$B$4:$B$150,$B15)/1000)</f>
        <v>3364</v>
      </c>
      <c r="U15" s="11">
        <f>IF(U$3=0,"",SUMIFS(INDEX(Inputs!$D$4:$AG$150,0,MATCH(U$2,Inputs!$D$2:$AG$2,0)),Inputs!$B$4:$B$150,$B15)/1000)</f>
        <v>3518.4</v>
      </c>
      <c r="V15" s="11">
        <f>IF(V$3=0,"",SUMIFS(INDEX(Inputs!$D$4:$AG$150,0,MATCH(V$2,Inputs!$D$2:$AG$2,0)),Inputs!$B$4:$B$150,$B15)/1000)</f>
        <v>3423.2</v>
      </c>
      <c r="W15" s="12">
        <f>IF(V15="","",V15)</f>
        <v>3423.2</v>
      </c>
      <c r="X15" s="11">
        <f>IF(X$3=0,"",SUMIFS(INDEX(Inputs!$D$4:$AG$150,0,MATCH(X$2,Inputs!$D$2:$AG$2,0)),Inputs!$B$4:$B$150,$B15)/1000)</f>
        <v>3220.7</v>
      </c>
      <c r="Y15" s="11">
        <f>IF(Y$3=0,"",SUMIFS(INDEX(Inputs!$D$4:$AG$150,0,MATCH(Y$2,Inputs!$D$2:$AG$2,0)),Inputs!$B$4:$B$150,$B15)/1000)</f>
        <v>3546</v>
      </c>
      <c r="Z15" s="11">
        <f>IF(Z$3=0,"",SUMIFS(INDEX(Inputs!$D$4:$AG$150,0,MATCH(Z$2,Inputs!$D$2:$AG$2,0)),Inputs!$B$4:$B$150,$B15)/1000)</f>
        <v>9913.5</v>
      </c>
      <c r="AA15" s="11">
        <f>IF(AA$3=0,"",SUMIFS(INDEX(Inputs!$D$4:$AG$150,0,MATCH(AA$2,Inputs!$D$2:$AG$2,0)),Inputs!$B$4:$B$150,$B15)/1000)</f>
        <v>7268</v>
      </c>
      <c r="AB15" s="12">
        <f>IF(AA15="","",AA15)</f>
        <v>7268</v>
      </c>
      <c r="AC15" s="11">
        <f>IF(AC$3=0,"",SUMIFS(INDEX(Inputs!$D$4:$AG$150,0,MATCH(AC$2,Inputs!$D$2:$AG$2,0)),Inputs!$B$4:$B$150,$B15)/1000)</f>
        <v>5282</v>
      </c>
      <c r="AD15" s="11">
        <f>IF(AD$3=0,"",SUMIFS(INDEX(Inputs!$D$4:$AG$150,0,MATCH(AD$2,Inputs!$D$2:$AG$2,0)),Inputs!$B$4:$B$150,$B15)/1000)</f>
        <v>8950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5592.8</v>
      </c>
      <c r="E16" s="11">
        <f>IF(E$3=0,"",SUMIFS(INDEX(Inputs!$D$4:$AG$150,0,MATCH(E$2,Inputs!$D$2:$AG$2,0)),Inputs!$B$4:$B$150,$B16)/1000)</f>
        <v>5829.4</v>
      </c>
      <c r="F16" s="11">
        <f>IF(F$3=0,"",SUMIFS(INDEX(Inputs!$D$4:$AG$150,0,MATCH(F$2,Inputs!$D$2:$AG$2,0)),Inputs!$B$4:$B$150,$B16)/1000)</f>
        <v>5914.3</v>
      </c>
      <c r="G16" s="11">
        <f>IF(G$3=0,"",SUMIFS(INDEX(Inputs!$D$4:$AG$150,0,MATCH(G$2,Inputs!$D$2:$AG$2,0)),Inputs!$B$4:$B$150,$B16)/1000)</f>
        <v>6672.8</v>
      </c>
      <c r="H16" s="12">
        <f>IF(G16="","",G16)</f>
        <v>6672.8</v>
      </c>
      <c r="I16" s="11">
        <f>IF(I$3=0,"",SUMIFS(INDEX(Inputs!$D$4:$AG$150,0,MATCH(I$2,Inputs!$D$2:$AG$2,0)),Inputs!$B$4:$B$150,$B16)/1000)</f>
        <v>6322.5</v>
      </c>
      <c r="J16" s="11">
        <f>IF(J$3=0,"",SUMIFS(INDEX(Inputs!$D$4:$AG$150,0,MATCH(J$2,Inputs!$D$2:$AG$2,0)),Inputs!$B$4:$B$150,$B16)/1000)</f>
        <v>6364.5</v>
      </c>
      <c r="K16" s="11">
        <f>IF(K$3=0,"",SUMIFS(INDEX(Inputs!$D$4:$AG$150,0,MATCH(K$2,Inputs!$D$2:$AG$2,0)),Inputs!$B$4:$B$150,$B16)/1000)</f>
        <v>6715.3</v>
      </c>
      <c r="L16" s="11">
        <f>IF(L$3=0,"",SUMIFS(INDEX(Inputs!$D$4:$AG$150,0,MATCH(L$2,Inputs!$D$2:$AG$2,0)),Inputs!$B$4:$B$150,$B16)/1000)</f>
        <v>6896</v>
      </c>
      <c r="M16" s="12">
        <f>IF(L16="","",L16)</f>
        <v>6896</v>
      </c>
      <c r="N16" s="11">
        <f>IF(N$3=0,"",SUMIFS(INDEX(Inputs!$D$4:$AG$150,0,MATCH(N$2,Inputs!$D$2:$AG$2,0)),Inputs!$B$4:$B$150,$B16)/1000)</f>
        <v>7526.2</v>
      </c>
      <c r="O16" s="11">
        <f>IF(O$3=0,"",SUMIFS(INDEX(Inputs!$D$4:$AG$150,0,MATCH(O$2,Inputs!$D$2:$AG$2,0)),Inputs!$B$4:$B$150,$B16)/1000)</f>
        <v>7516.1</v>
      </c>
      <c r="P16" s="11">
        <f>IF(P$3=0,"",SUMIFS(INDEX(Inputs!$D$4:$AG$150,0,MATCH(P$2,Inputs!$D$2:$AG$2,0)),Inputs!$B$4:$B$150,$B16)/1000)</f>
        <v>8167.1</v>
      </c>
      <c r="Q16" s="11">
        <f>IF(Q$3=0,"",SUMIFS(INDEX(Inputs!$D$4:$AG$150,0,MATCH(Q$2,Inputs!$D$2:$AG$2,0)),Inputs!$B$4:$B$150,$B16)/1000)</f>
        <v>9090.5</v>
      </c>
      <c r="R16" s="12">
        <f>IF(Q16="","",Q16)</f>
        <v>9090.5</v>
      </c>
      <c r="S16" s="11">
        <f>IF(S$3=0,"",SUMIFS(INDEX(Inputs!$D$4:$AG$150,0,MATCH(S$2,Inputs!$D$2:$AG$2,0)),Inputs!$B$4:$B$150,$B16)/1000)</f>
        <v>7885.6</v>
      </c>
      <c r="T16" s="11">
        <f>IF(T$3=0,"",SUMIFS(INDEX(Inputs!$D$4:$AG$150,0,MATCH(T$2,Inputs!$D$2:$AG$2,0)),Inputs!$B$4:$B$150,$B16)/1000)</f>
        <v>11027.9</v>
      </c>
      <c r="U16" s="11">
        <f>IF(U$3=0,"",SUMIFS(INDEX(Inputs!$D$4:$AG$150,0,MATCH(U$2,Inputs!$D$2:$AG$2,0)),Inputs!$B$4:$B$150,$B16)/1000)</f>
        <v>10294.8</v>
      </c>
      <c r="V16" s="11">
        <f>IF(V$3=0,"",SUMIFS(INDEX(Inputs!$D$4:$AG$150,0,MATCH(V$2,Inputs!$D$2:$AG$2,0)),Inputs!$B$4:$B$150,$B16)/1000)</f>
        <v>11005.7</v>
      </c>
      <c r="W16" s="12">
        <f>IF(V16="","",V16)</f>
        <v>11005.7</v>
      </c>
      <c r="X16" s="11">
        <f>IF(X$3=0,"",SUMIFS(INDEX(Inputs!$D$4:$AG$150,0,MATCH(X$2,Inputs!$D$2:$AG$2,0)),Inputs!$B$4:$B$150,$B16)/1000)</f>
        <v>12036.6</v>
      </c>
      <c r="Y16" s="11">
        <f>IF(Y$3=0,"",SUMIFS(INDEX(Inputs!$D$4:$AG$150,0,MATCH(Y$2,Inputs!$D$2:$AG$2,0)),Inputs!$B$4:$B$150,$B16)/1000)</f>
        <v>14170.4</v>
      </c>
      <c r="Z16" s="11">
        <f>IF(Z$3=0,"",SUMIFS(INDEX(Inputs!$D$4:$AG$150,0,MATCH(Z$2,Inputs!$D$2:$AG$2,0)),Inputs!$B$4:$B$150,$B16)/1000)</f>
        <v>16107.4</v>
      </c>
      <c r="AA16" s="11">
        <f>IF(AA$3=0,"",SUMIFS(INDEX(Inputs!$D$4:$AG$150,0,MATCH(AA$2,Inputs!$D$2:$AG$2,0)),Inputs!$B$4:$B$150,$B16)/1000)</f>
        <v>17760</v>
      </c>
      <c r="AB16" s="12">
        <f>IF(AA16="","",AA16)</f>
        <v>17760</v>
      </c>
      <c r="AC16" s="11">
        <f>IF(AC$3=0,"",SUMIFS(INDEX(Inputs!$D$4:$AG$150,0,MATCH(AC$2,Inputs!$D$2:$AG$2,0)),Inputs!$B$4:$B$150,$B16)/1000)</f>
        <v>18429</v>
      </c>
      <c r="AD16" s="11">
        <f>IF(AD$3=0,"",SUMIFS(INDEX(Inputs!$D$4:$AG$150,0,MATCH(AD$2,Inputs!$D$2:$AG$2,0)),Inputs!$B$4:$B$150,$B16)/1000)</f>
        <v>20083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3660.8</v>
      </c>
      <c r="E17" s="11">
        <f>IF(E$3=0,"",SUMIFS(INDEX(Inputs!$D$4:$AG$150,0,MATCH(E$2,Inputs!$D$2:$AG$2,0)),Inputs!$B$4:$B$150,$B17)/1000)</f>
        <v>3824.9</v>
      </c>
      <c r="F17" s="11">
        <f>IF(F$3=0,"",SUMIFS(INDEX(Inputs!$D$4:$AG$150,0,MATCH(F$2,Inputs!$D$2:$AG$2,0)),Inputs!$B$4:$B$150,$B17)/1000)</f>
        <v>3907.4</v>
      </c>
      <c r="G17" s="11">
        <f>IF(G$3=0,"",SUMIFS(INDEX(Inputs!$D$4:$AG$150,0,MATCH(G$2,Inputs!$D$2:$AG$2,0)),Inputs!$B$4:$B$150,$B17)/1000)</f>
        <v>3886</v>
      </c>
      <c r="H17" s="12">
        <f>IF(G17="","",G17)</f>
        <v>3886</v>
      </c>
      <c r="I17" s="11">
        <f>IF(I$3=0,"",SUMIFS(INDEX(Inputs!$D$4:$AG$150,0,MATCH(I$2,Inputs!$D$2:$AG$2,0)),Inputs!$B$4:$B$150,$B17)/1000)</f>
        <v>3893</v>
      </c>
      <c r="J17" s="11">
        <f>IF(J$3=0,"",SUMIFS(INDEX(Inputs!$D$4:$AG$150,0,MATCH(J$2,Inputs!$D$2:$AG$2,0)),Inputs!$B$4:$B$150,$B17)/1000)</f>
        <v>3899.4</v>
      </c>
      <c r="K17" s="11">
        <f>IF(K$3=0,"",SUMIFS(INDEX(Inputs!$D$4:$AG$150,0,MATCH(K$2,Inputs!$D$2:$AG$2,0)),Inputs!$B$4:$B$150,$B17)/1000)</f>
        <v>3831.1</v>
      </c>
      <c r="L17" s="11">
        <f>IF(L$3=0,"",SUMIFS(INDEX(Inputs!$D$4:$AG$150,0,MATCH(L$2,Inputs!$D$2:$AG$2,0)),Inputs!$B$4:$B$150,$B17)/1000)</f>
        <v>4309.7</v>
      </c>
      <c r="M17" s="12">
        <f>IF(L17="","",L17)</f>
        <v>4309.7</v>
      </c>
      <c r="N17" s="11">
        <f>IF(N$3=0,"",SUMIFS(INDEX(Inputs!$D$4:$AG$150,0,MATCH(N$2,Inputs!$D$2:$AG$2,0)),Inputs!$B$4:$B$150,$B17)/1000)</f>
        <v>4544.8</v>
      </c>
      <c r="O17" s="11">
        <f>IF(O$3=0,"",SUMIFS(INDEX(Inputs!$D$4:$AG$150,0,MATCH(O$2,Inputs!$D$2:$AG$2,0)),Inputs!$B$4:$B$150,$B17)/1000)</f>
        <v>4798.7</v>
      </c>
      <c r="P17" s="11">
        <f>IF(P$3=0,"",SUMIFS(INDEX(Inputs!$D$4:$AG$150,0,MATCH(P$2,Inputs!$D$2:$AG$2,0)),Inputs!$B$4:$B$150,$B17)/1000)</f>
        <v>4901.4</v>
      </c>
      <c r="Q17" s="11">
        <f>IF(Q$3=0,"",SUMIFS(INDEX(Inputs!$D$4:$AG$150,0,MATCH(Q$2,Inputs!$D$2:$AG$2,0)),Inputs!$B$4:$B$150,$B17)/1000)</f>
        <v>5772.8</v>
      </c>
      <c r="R17" s="12">
        <f>IF(Q17="","",Q17)</f>
        <v>5772.8</v>
      </c>
      <c r="S17" s="11">
        <f>IF(S$3=0,"",SUMIFS(INDEX(Inputs!$D$4:$AG$150,0,MATCH(S$2,Inputs!$D$2:$AG$2,0)),Inputs!$B$4:$B$150,$B17)/1000)</f>
        <v>6101.8</v>
      </c>
      <c r="T17" s="11">
        <f>IF(T$3=0,"",SUMIFS(INDEX(Inputs!$D$4:$AG$150,0,MATCH(T$2,Inputs!$D$2:$AG$2,0)),Inputs!$B$4:$B$150,$B17)/1000)</f>
        <v>6481.5</v>
      </c>
      <c r="U17" s="11">
        <f>IF(U$3=0,"",SUMIFS(INDEX(Inputs!$D$4:$AG$150,0,MATCH(U$2,Inputs!$D$2:$AG$2,0)),Inputs!$B$4:$B$150,$B17)/1000)</f>
        <v>7459.8</v>
      </c>
      <c r="V17" s="11">
        <f>IF(V$3=0,"",SUMIFS(INDEX(Inputs!$D$4:$AG$150,0,MATCH(V$2,Inputs!$D$2:$AG$2,0)),Inputs!$B$4:$B$150,$B17)/1000)</f>
        <v>7589.2</v>
      </c>
      <c r="W17" s="12">
        <f>IF(V17="","",V17)</f>
        <v>7589.2</v>
      </c>
      <c r="X17" s="11">
        <f>IF(X$3=0,"",SUMIFS(INDEX(Inputs!$D$4:$AG$150,0,MATCH(X$2,Inputs!$D$2:$AG$2,0)),Inputs!$B$4:$B$150,$B17)/1000)</f>
        <v>9311</v>
      </c>
      <c r="Y17" s="11">
        <f>IF(Y$3=0,"",SUMIFS(INDEX(Inputs!$D$4:$AG$150,0,MATCH(Y$2,Inputs!$D$2:$AG$2,0)),Inputs!$B$4:$B$150,$B17)/1000)</f>
        <v>11013.8</v>
      </c>
      <c r="Z17" s="11">
        <f>IF(Z$3=0,"",SUMIFS(INDEX(Inputs!$D$4:$AG$150,0,MATCH(Z$2,Inputs!$D$2:$AG$2,0)),Inputs!$B$4:$B$150,$B17)/1000)</f>
        <v>12180.4</v>
      </c>
      <c r="AA17" s="11">
        <f>IF(AA$3=0,"",SUMIFS(INDEX(Inputs!$D$4:$AG$150,0,MATCH(AA$2,Inputs!$D$2:$AG$2,0)),Inputs!$B$4:$B$150,$B17)/1000)</f>
        <v>13744</v>
      </c>
      <c r="AB17" s="12">
        <f>IF(AA17="","",AA17)</f>
        <v>13744</v>
      </c>
      <c r="AC17" s="11">
        <f>IF(AC$3=0,"",SUMIFS(INDEX(Inputs!$D$4:$AG$150,0,MATCH(AC$2,Inputs!$D$2:$AG$2,0)),Inputs!$B$4:$B$150,$B17)/1000)</f>
        <v>14529</v>
      </c>
      <c r="AD17" s="11">
        <f>IF(AD$3=0,"",SUMIFS(INDEX(Inputs!$D$4:$AG$150,0,MATCH(AD$2,Inputs!$D$2:$AG$2,0)),Inputs!$B$4:$B$150,$B17)/1000)</f>
        <v>16793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2649.9</v>
      </c>
      <c r="E18" s="11">
        <f>IF(E$3=0,"",SUMIFS(INDEX(Inputs!$D$4:$AG$150,0,MATCH(E$2,Inputs!$D$2:$AG$2,0)),Inputs!$B$4:$B$150,$B18)/1000)</f>
        <v>2674.9</v>
      </c>
      <c r="F18" s="11">
        <f>IF(F$3=0,"",SUMIFS(INDEX(Inputs!$D$4:$AG$150,0,MATCH(F$2,Inputs!$D$2:$AG$2,0)),Inputs!$B$4:$B$150,$B18)/1000)</f>
        <v>2625.6</v>
      </c>
      <c r="G18" s="11">
        <f>IF(G$3=0,"",SUMIFS(INDEX(Inputs!$D$4:$AG$150,0,MATCH(G$2,Inputs!$D$2:$AG$2,0)),Inputs!$B$4:$B$150,$B18)/1000)</f>
        <v>2489.3</v>
      </c>
      <c r="H18" s="12">
        <f>IF(G18="","",G18)</f>
        <v>2489.3</v>
      </c>
      <c r="I18" s="11">
        <f>IF(I$3=0,"",SUMIFS(INDEX(Inputs!$D$4:$AG$150,0,MATCH(I$2,Inputs!$D$2:$AG$2,0)),Inputs!$B$4:$B$150,$B18)/1000)</f>
        <v>2464.9</v>
      </c>
      <c r="J18" s="11">
        <f>IF(J$3=0,"",SUMIFS(INDEX(Inputs!$D$4:$AG$150,0,MATCH(J$2,Inputs!$D$2:$AG$2,0)),Inputs!$B$4:$B$150,$B18)/1000)</f>
        <v>2371.9</v>
      </c>
      <c r="K18" s="11">
        <f>IF(K$3=0,"",SUMIFS(INDEX(Inputs!$D$4:$AG$150,0,MATCH(K$2,Inputs!$D$2:$AG$2,0)),Inputs!$B$4:$B$150,$B18)/1000)</f>
        <v>2384.3</v>
      </c>
      <c r="L18" s="11">
        <f>IF(L$3=0,"",SUMIFS(INDEX(Inputs!$D$4:$AG$150,0,MATCH(L$2,Inputs!$D$2:$AG$2,0)),Inputs!$B$4:$B$150,$B18)/1000)</f>
        <v>2792.9</v>
      </c>
      <c r="M18" s="12">
        <f>IF(L18="","",L18)</f>
        <v>2792.9</v>
      </c>
      <c r="N18" s="11">
        <f>IF(N$3=0,"",SUMIFS(INDEX(Inputs!$D$4:$AG$150,0,MATCH(N$2,Inputs!$D$2:$AG$2,0)),Inputs!$B$4:$B$150,$B18)/1000)</f>
        <v>3406.7</v>
      </c>
      <c r="O18" s="11">
        <f>IF(O$3=0,"",SUMIFS(INDEX(Inputs!$D$4:$AG$150,0,MATCH(O$2,Inputs!$D$2:$AG$2,0)),Inputs!$B$4:$B$150,$B18)/1000)</f>
        <v>3805.9</v>
      </c>
      <c r="P18" s="11">
        <f>IF(P$3=0,"",SUMIFS(INDEX(Inputs!$D$4:$AG$150,0,MATCH(P$2,Inputs!$D$2:$AG$2,0)),Inputs!$B$4:$B$150,$B18)/1000)</f>
        <v>4574.8</v>
      </c>
      <c r="Q18" s="11">
        <f>IF(Q$3=0,"",SUMIFS(INDEX(Inputs!$D$4:$AG$150,0,MATCH(Q$2,Inputs!$D$2:$AG$2,0)),Inputs!$B$4:$B$150,$B18)/1000)</f>
        <v>5477.3</v>
      </c>
      <c r="R18" s="12">
        <f>IF(Q18="","",Q18)</f>
        <v>5477.3</v>
      </c>
      <c r="S18" s="11">
        <f>IF(S$3=0,"",SUMIFS(INDEX(Inputs!$D$4:$AG$150,0,MATCH(S$2,Inputs!$D$2:$AG$2,0)),Inputs!$B$4:$B$150,$B18)/1000)</f>
        <v>5633.9</v>
      </c>
      <c r="T18" s="11">
        <f>IF(T$3=0,"",SUMIFS(INDEX(Inputs!$D$4:$AG$150,0,MATCH(T$2,Inputs!$D$2:$AG$2,0)),Inputs!$B$4:$B$150,$B18)/1000)</f>
        <v>6655.3</v>
      </c>
      <c r="U18" s="11">
        <f>IF(U$3=0,"",SUMIFS(INDEX(Inputs!$D$4:$AG$150,0,MATCH(U$2,Inputs!$D$2:$AG$2,0)),Inputs!$B$4:$B$150,$B18)/1000)</f>
        <v>7392.3</v>
      </c>
      <c r="V18" s="11">
        <f>IF(V$3=0,"",SUMIFS(INDEX(Inputs!$D$4:$AG$150,0,MATCH(V$2,Inputs!$D$2:$AG$2,0)),Inputs!$B$4:$B$150,$B18)/1000)</f>
        <v>8000.6</v>
      </c>
      <c r="W18" s="12">
        <f>IF(V18="","",V18)</f>
        <v>8000.6</v>
      </c>
      <c r="X18" s="11">
        <f>IF(X$3=0,"",SUMIFS(INDEX(Inputs!$D$4:$AG$150,0,MATCH(X$2,Inputs!$D$2:$AG$2,0)),Inputs!$B$4:$B$150,$B18)/1000)</f>
        <v>8573.2</v>
      </c>
      <c r="Y18" s="11">
        <f>IF(Y$3=0,"",SUMIFS(INDEX(Inputs!$D$4:$AG$150,0,MATCH(Y$2,Inputs!$D$2:$AG$2,0)),Inputs!$B$4:$B$150,$B18)/1000)</f>
        <v>9427.4</v>
      </c>
      <c r="Z18" s="11">
        <f>IF(Z$3=0,"",SUMIFS(INDEX(Inputs!$D$4:$AG$150,0,MATCH(Z$2,Inputs!$D$2:$AG$2,0)),Inputs!$B$4:$B$150,$B18)/1000)</f>
        <v>8962.7</v>
      </c>
      <c r="AA18" s="11">
        <f>IF(AA$3=0,"",SUMIFS(INDEX(Inputs!$D$4:$AG$150,0,MATCH(AA$2,Inputs!$D$2:$AG$2,0)),Inputs!$B$4:$B$150,$B18)/1000)</f>
        <v>9959</v>
      </c>
      <c r="AB18" s="12">
        <f>IF(AA18="","",AA18)</f>
        <v>9959</v>
      </c>
      <c r="AC18" s="11">
        <f>IF(AC$3=0,"",SUMIFS(INDEX(Inputs!$D$4:$AG$150,0,MATCH(AC$2,Inputs!$D$2:$AG$2,0)),Inputs!$B$4:$B$150,$B18)/1000)</f>
        <v>11350</v>
      </c>
      <c r="AD18" s="11">
        <f>IF(AD$3=0,"",SUMIFS(INDEX(Inputs!$D$4:$AG$150,0,MATCH(AD$2,Inputs!$D$2:$AG$2,0)),Inputs!$B$4:$B$150,$B18)/1000)</f>
        <v>10028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3233.7</v>
      </c>
      <c r="E19" s="11">
        <f>IF(E$3=0,"",SUMIFS(INDEX(Inputs!$D$4:$AG$150,0,MATCH(E$2,Inputs!$D$2:$AG$2,0)),Inputs!$B$4:$B$150,$B19)/1000)</f>
        <v>3296.6</v>
      </c>
      <c r="F19" s="11">
        <f>IF(F$3=0,"",SUMIFS(INDEX(Inputs!$D$4:$AG$150,0,MATCH(F$2,Inputs!$D$2:$AG$2,0)),Inputs!$B$4:$B$150,$B19)/1000)</f>
        <v>3050.6</v>
      </c>
      <c r="G19" s="11">
        <f>IF(G$3=0,"",SUMIFS(INDEX(Inputs!$D$4:$AG$150,0,MATCH(G$2,Inputs!$D$2:$AG$2,0)),Inputs!$B$4:$B$150,$B19)/1000)</f>
        <v>2530.6</v>
      </c>
      <c r="H19" s="12">
        <f>IF(G19="","",G19)</f>
        <v>2530.6</v>
      </c>
      <c r="I19" s="11">
        <f>IF(I$3=0,"",SUMIFS(INDEX(Inputs!$D$4:$AG$150,0,MATCH(I$2,Inputs!$D$2:$AG$2,0)),Inputs!$B$4:$B$150,$B19)/1000)</f>
        <v>2697.7</v>
      </c>
      <c r="J19" s="11">
        <f>IF(J$3=0,"",SUMIFS(INDEX(Inputs!$D$4:$AG$150,0,MATCH(J$2,Inputs!$D$2:$AG$2,0)),Inputs!$B$4:$B$150,$B19)/1000)</f>
        <v>2806.7</v>
      </c>
      <c r="K19" s="11">
        <f>IF(K$3=0,"",SUMIFS(INDEX(Inputs!$D$4:$AG$150,0,MATCH(K$2,Inputs!$D$2:$AG$2,0)),Inputs!$B$4:$B$150,$B19)/1000)</f>
        <v>2741.9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5540.8</v>
      </c>
      <c r="R19" s="12">
        <f>IF(Q19="","",Q19)</f>
        <v>5540.8</v>
      </c>
      <c r="S19" s="11">
        <f>IF(S$3=0,"",SUMIFS(INDEX(Inputs!$D$4:$AG$150,0,MATCH(S$2,Inputs!$D$2:$AG$2,0)),Inputs!$B$4:$B$150,$B19)/1000)</f>
        <v>6348.6</v>
      </c>
      <c r="T19" s="11">
        <f>IF(T$3=0,"",SUMIFS(INDEX(Inputs!$D$4:$AG$150,0,MATCH(T$2,Inputs!$D$2:$AG$2,0)),Inputs!$B$4:$B$150,$B19)/1000)</f>
        <v>7137.6</v>
      </c>
      <c r="U19" s="11">
        <f>IF(U$3=0,"",SUMIFS(INDEX(Inputs!$D$4:$AG$150,0,MATCH(U$2,Inputs!$D$2:$AG$2,0)),Inputs!$B$4:$B$150,$B19)/1000)</f>
        <v>8250.6</v>
      </c>
      <c r="V19" s="11">
        <f>IF(V$3=0,"",SUMIFS(INDEX(Inputs!$D$4:$AG$150,0,MATCH(V$2,Inputs!$D$2:$AG$2,0)),Inputs!$B$4:$B$150,$B19)/1000)</f>
        <v>8340.5</v>
      </c>
      <c r="W19" s="12">
        <f>IF(V19="","",V19)</f>
        <v>8340.5</v>
      </c>
      <c r="X19" s="11">
        <f>IF(X$3=0,"",SUMIFS(INDEX(Inputs!$D$4:$AG$150,0,MATCH(X$2,Inputs!$D$2:$AG$2,0)),Inputs!$B$4:$B$150,$B19)/1000)</f>
        <v>14653.9</v>
      </c>
      <c r="Y19" s="11">
        <f>IF(Y$3=0,"",SUMIFS(INDEX(Inputs!$D$4:$AG$150,0,MATCH(Y$2,Inputs!$D$2:$AG$2,0)),Inputs!$B$4:$B$150,$B19)/1000)</f>
        <v>18019.8</v>
      </c>
      <c r="Z19" s="11">
        <f>IF(Z$3=0,"",SUMIFS(INDEX(Inputs!$D$4:$AG$150,0,MATCH(Z$2,Inputs!$D$2:$AG$2,0)),Inputs!$B$4:$B$150,$B19)/1000)</f>
        <v>20248.7</v>
      </c>
      <c r="AA19" s="11">
        <f>IF(AA$3=0,"",SUMIFS(INDEX(Inputs!$D$4:$AG$150,0,MATCH(AA$2,Inputs!$D$2:$AG$2,0)),Inputs!$B$4:$B$150,$B19)/1000)</f>
        <v>14315</v>
      </c>
      <c r="AB19" s="12">
        <f>IF(AA19="","",AA19)</f>
        <v>14315</v>
      </c>
      <c r="AC19" s="11">
        <f>IF(AC$3=0,"",SUMIFS(INDEX(Inputs!$D$4:$AG$150,0,MATCH(AC$2,Inputs!$D$2:$AG$2,0)),Inputs!$B$4:$B$150,$B19)/1000)</f>
        <v>13633</v>
      </c>
      <c r="AD19" s="11">
        <f>IF(AD$3=0,"",SUMIFS(INDEX(Inputs!$D$4:$AG$150,0,MATCH(AD$2,Inputs!$D$2:$AG$2,0)),Inputs!$B$4:$B$150,$B19)/1000)</f>
        <v>15368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1065.8</v>
      </c>
      <c r="E20" s="11">
        <f>IF(E$3=0,"",SUMIFS(INDEX(Inputs!$D$4:$AG$150,0,MATCH(E$2,Inputs!$D$2:$AG$2,0)),Inputs!$B$4:$B$150,$B20)/1000)</f>
        <v>1073.4</v>
      </c>
      <c r="F20" s="11">
        <f>IF(F$3=0,"",SUMIFS(INDEX(Inputs!$D$4:$AG$150,0,MATCH(F$2,Inputs!$D$2:$AG$2,0)),Inputs!$B$4:$B$150,$B20)/1000)</f>
        <v>1110.7</v>
      </c>
      <c r="G20" s="11">
        <f>IF(G$3=0,"",SUMIFS(INDEX(Inputs!$D$4:$AG$150,0,MATCH(G$2,Inputs!$D$2:$AG$2,0)),Inputs!$B$4:$B$150,$B20)/1000)</f>
        <v>1454.4</v>
      </c>
      <c r="H20" s="12">
        <f>IF(G20="","",G20)</f>
        <v>1454.4</v>
      </c>
      <c r="I20" s="11">
        <f>IF(I$3=0,"",SUMIFS(INDEX(Inputs!$D$4:$AG$150,0,MATCH(I$2,Inputs!$D$2:$AG$2,0)),Inputs!$B$4:$B$150,$B20)/1000)</f>
        <v>1483.2</v>
      </c>
      <c r="J20" s="11">
        <f>IF(J$3=0,"",SUMIFS(INDEX(Inputs!$D$4:$AG$150,0,MATCH(J$2,Inputs!$D$2:$AG$2,0)),Inputs!$B$4:$B$150,$B20)/1000)</f>
        <v>1307.9</v>
      </c>
      <c r="K20" s="11">
        <f>IF(K$3=0,"",SUMIFS(INDEX(Inputs!$D$4:$AG$150,0,MATCH(K$2,Inputs!$D$2:$AG$2,0)),Inputs!$B$4:$B$150,$B20)/1000)</f>
        <v>1609.5</v>
      </c>
      <c r="L20" s="11">
        <f>IF(L$3=0,"",SUMIFS(INDEX(Inputs!$D$4:$AG$150,0,MATCH(L$2,Inputs!$D$2:$AG$2,0)),Inputs!$B$4:$B$150,$B20)/1000)</f>
        <v>4617</v>
      </c>
      <c r="M20" s="12">
        <f>IF(L20="","",L20)</f>
        <v>4617</v>
      </c>
      <c r="N20" s="11">
        <f>IF(N$3=0,"",SUMIFS(INDEX(Inputs!$D$4:$AG$150,0,MATCH(N$2,Inputs!$D$2:$AG$2,0)),Inputs!$B$4:$B$150,$B20)/1000)</f>
        <v>5071.1</v>
      </c>
      <c r="O20" s="11">
        <f>IF(O$3=0,"",SUMIFS(INDEX(Inputs!$D$4:$AG$150,0,MATCH(O$2,Inputs!$D$2:$AG$2,0)),Inputs!$B$4:$B$150,$B20)/1000)</f>
        <v>6187.7</v>
      </c>
      <c r="P20" s="11">
        <f>IF(P$3=0,"",SUMIFS(INDEX(Inputs!$D$4:$AG$150,0,MATCH(P$2,Inputs!$D$2:$AG$2,0)),Inputs!$B$4:$B$150,$B20)/1000)</f>
        <v>7444.6</v>
      </c>
      <c r="Q20" s="11">
        <f>IF(Q$3=0,"",SUMIFS(INDEX(Inputs!$D$4:$AG$150,0,MATCH(Q$2,Inputs!$D$2:$AG$2,0)),Inputs!$B$4:$B$150,$B20)/1000)</f>
        <v>2395.2</v>
      </c>
      <c r="R20" s="12">
        <f>IF(Q20="","",Q20)</f>
        <v>2395.2</v>
      </c>
      <c r="S20" s="11">
        <f>IF(S$3=0,"",SUMIFS(INDEX(Inputs!$D$4:$AG$150,0,MATCH(S$2,Inputs!$D$2:$AG$2,0)),Inputs!$B$4:$B$150,$B20)/1000)</f>
        <v>2266.5</v>
      </c>
      <c r="T20" s="11">
        <f>IF(T$3=0,"",SUMIFS(INDEX(Inputs!$D$4:$AG$150,0,MATCH(T$2,Inputs!$D$2:$AG$2,0)),Inputs!$B$4:$B$150,$B20)/1000)</f>
        <v>2193.3</v>
      </c>
      <c r="U20" s="11">
        <f>IF(U$3=0,"",SUMIFS(INDEX(Inputs!$D$4:$AG$150,0,MATCH(U$2,Inputs!$D$2:$AG$2,0)),Inputs!$B$4:$B$150,$B20)/1000)</f>
        <v>1891.5</v>
      </c>
      <c r="V20" s="11">
        <f>IF(V$3=0,"",SUMIFS(INDEX(Inputs!$D$4:$AG$150,0,MATCH(V$2,Inputs!$D$2:$AG$2,0)),Inputs!$B$4:$B$150,$B20)/1000)</f>
        <v>2381.1</v>
      </c>
      <c r="W20" s="12">
        <f>IF(V20="","",V20)</f>
        <v>2381.1</v>
      </c>
      <c r="X20" s="11">
        <f>IF(X$3=0,"",SUMIFS(INDEX(Inputs!$D$4:$AG$150,0,MATCH(X$2,Inputs!$D$2:$AG$2,0)),Inputs!$B$4:$B$150,$B20)/1000)</f>
        <v>2039</v>
      </c>
      <c r="Y20" s="11">
        <f>IF(Y$3=0,"",SUMIFS(INDEX(Inputs!$D$4:$AG$150,0,MATCH(Y$2,Inputs!$D$2:$AG$2,0)),Inputs!$B$4:$B$150,$B20)/1000)</f>
        <v>3104</v>
      </c>
      <c r="Z20" s="11">
        <f>IF(Z$3=0,"",SUMIFS(INDEX(Inputs!$D$4:$AG$150,0,MATCH(Z$2,Inputs!$D$2:$AG$2,0)),Inputs!$B$4:$B$150,$B20)/1000)</f>
        <v>3621.3</v>
      </c>
      <c r="AA20" s="11">
        <f>IF(AA$3=0,"",SUMIFS(INDEX(Inputs!$D$4:$AG$150,0,MATCH(AA$2,Inputs!$D$2:$AG$2,0)),Inputs!$B$4:$B$150,$B20)/1000)</f>
        <v>2542</v>
      </c>
      <c r="AB20" s="12">
        <f>IF(AA20="","",AA20)</f>
        <v>2542</v>
      </c>
      <c r="AC20" s="11">
        <f>IF(AC$3=0,"",SUMIFS(INDEX(Inputs!$D$4:$AG$150,0,MATCH(AC$2,Inputs!$D$2:$AG$2,0)),Inputs!$B$4:$B$150,$B20)/1000)</f>
        <v>2962</v>
      </c>
      <c r="AD20" s="11">
        <f>IF(AD$3=0,"",SUMIFS(INDEX(Inputs!$D$4:$AG$150,0,MATCH(AD$2,Inputs!$D$2:$AG$2,0)),Inputs!$B$4:$B$150,$B20)/1000)</f>
        <v>3478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8630.1</v>
      </c>
      <c r="E22" s="11">
        <f>IF(E$3=0,"",SUMIFS(INDEX(Inputs!$D$4:$AG$150,0,MATCH(E$2,Inputs!$D$2:$AG$2,0)),Inputs!$B$4:$B$150,$B22)/1000)</f>
        <v>8855.5</v>
      </c>
      <c r="F22" s="11">
        <f>IF(F$3=0,"",SUMIFS(INDEX(Inputs!$D$4:$AG$150,0,MATCH(F$2,Inputs!$D$2:$AG$2,0)),Inputs!$B$4:$B$150,$B22)/1000)</f>
        <v>8920.4</v>
      </c>
      <c r="G22" s="11">
        <f>IF(G$3=0,"",SUMIFS(INDEX(Inputs!$D$4:$AG$150,0,MATCH(G$2,Inputs!$D$2:$AG$2,0)),Inputs!$B$4:$B$150,$B22)/1000)</f>
        <v>8985.1</v>
      </c>
      <c r="H22" s="12">
        <f>IF(G22="","",G22)</f>
        <v>8985.1</v>
      </c>
      <c r="I22" s="11">
        <f>IF(I$3=0,"",SUMIFS(INDEX(Inputs!$D$4:$AG$150,0,MATCH(I$2,Inputs!$D$2:$AG$2,0)),Inputs!$B$4:$B$150,$B22)/1000)</f>
        <v>9102.7</v>
      </c>
      <c r="J22" s="11">
        <f>IF(J$3=0,"",SUMIFS(INDEX(Inputs!$D$4:$AG$150,0,MATCH(J$2,Inputs!$D$2:$AG$2,0)),Inputs!$B$4:$B$150,$B22)/1000)</f>
        <v>9128.2</v>
      </c>
      <c r="K22" s="11">
        <f>IF(K$3=0,"",SUMIFS(INDEX(Inputs!$D$4:$AG$150,0,MATCH(K$2,Inputs!$D$2:$AG$2,0)),Inputs!$B$4:$B$150,$B22)/1000)</f>
        <v>9311.3</v>
      </c>
      <c r="L22" s="11">
        <f>IF(L$3=0,"",SUMIFS(INDEX(Inputs!$D$4:$AG$150,0,MATCH(L$2,Inputs!$D$2:$AG$2,0)),Inputs!$B$4:$B$150,$B22)/1000)</f>
        <v>10144</v>
      </c>
      <c r="M22" s="12">
        <f>IF(L22="","",L22)</f>
        <v>10144</v>
      </c>
      <c r="N22" s="11">
        <f>IF(N$3=0,"",SUMIFS(INDEX(Inputs!$D$4:$AG$150,0,MATCH(N$2,Inputs!$D$2:$AG$2,0)),Inputs!$B$4:$B$150,$B22)/1000)</f>
        <v>10546.2</v>
      </c>
      <c r="O22" s="11">
        <f>IF(O$3=0,"",SUMIFS(INDEX(Inputs!$D$4:$AG$150,0,MATCH(O$2,Inputs!$D$2:$AG$2,0)),Inputs!$B$4:$B$150,$B22)/1000)</f>
        <v>11277.4</v>
      </c>
      <c r="P22" s="11">
        <f>IF(P$3=0,"",SUMIFS(INDEX(Inputs!$D$4:$AG$150,0,MATCH(P$2,Inputs!$D$2:$AG$2,0)),Inputs!$B$4:$B$150,$B22)/1000)</f>
        <v>11863.2</v>
      </c>
      <c r="Q22" s="11">
        <f>IF(Q$3=0,"",SUMIFS(INDEX(Inputs!$D$4:$AG$150,0,MATCH(Q$2,Inputs!$D$2:$AG$2,0)),Inputs!$B$4:$B$150,$B22)/1000)</f>
        <v>12913.6</v>
      </c>
      <c r="R22" s="12">
        <f>IF(Q22="","",Q22)</f>
        <v>12913.6</v>
      </c>
      <c r="S22" s="11">
        <f>IF(S$3=0,"",SUMIFS(INDEX(Inputs!$D$4:$AG$150,0,MATCH(S$2,Inputs!$D$2:$AG$2,0)),Inputs!$B$4:$B$150,$B22)/1000)</f>
        <v>13624</v>
      </c>
      <c r="T22" s="11">
        <f>IF(T$3=0,"",SUMIFS(INDEX(Inputs!$D$4:$AG$150,0,MATCH(T$2,Inputs!$D$2:$AG$2,0)),Inputs!$B$4:$B$150,$B22)/1000)</f>
        <v>14829.4</v>
      </c>
      <c r="U22" s="11">
        <f>IF(U$3=0,"",SUMIFS(INDEX(Inputs!$D$4:$AG$150,0,MATCH(U$2,Inputs!$D$2:$AG$2,0)),Inputs!$B$4:$B$150,$B22)/1000)</f>
        <v>16171.8</v>
      </c>
      <c r="V22" s="11">
        <f>IF(V$3=0,"",SUMIFS(INDEX(Inputs!$D$4:$AG$150,0,MATCH(V$2,Inputs!$D$2:$AG$2,0)),Inputs!$B$4:$B$150,$B22)/1000)</f>
        <v>17102.4</v>
      </c>
      <c r="W22" s="12">
        <f>IF(V22="","",V22)</f>
        <v>17102.4</v>
      </c>
      <c r="X22" s="11">
        <f>IF(X$3=0,"",SUMIFS(INDEX(Inputs!$D$4:$AG$150,0,MATCH(X$2,Inputs!$D$2:$AG$2,0)),Inputs!$B$4:$B$150,$B22)/1000)</f>
        <v>18474.1</v>
      </c>
      <c r="Y22" s="11">
        <f>IF(Y$3=0,"",SUMIFS(INDEX(Inputs!$D$4:$AG$150,0,MATCH(Y$2,Inputs!$D$2:$AG$2,0)),Inputs!$B$4:$B$150,$B22)/1000)</f>
        <v>20529.7</v>
      </c>
      <c r="Z22" s="11">
        <f>IF(Z$3=0,"",SUMIFS(INDEX(Inputs!$D$4:$AG$150,0,MATCH(Z$2,Inputs!$D$2:$AG$2,0)),Inputs!$B$4:$B$150,$B22)/1000)</f>
        <v>22316</v>
      </c>
      <c r="AA22" s="11">
        <f>IF(AA$3=0,"",SUMIFS(INDEX(Inputs!$D$4:$AG$150,0,MATCH(AA$2,Inputs!$D$2:$AG$2,0)),Inputs!$B$4:$B$150,$B22)/1000)</f>
        <v>24675</v>
      </c>
      <c r="AB22" s="12">
        <f>IF(AA22="","",AA22)</f>
        <v>24675</v>
      </c>
      <c r="AC22" s="11">
        <f>IF(AC$3=0,"",SUMIFS(INDEX(Inputs!$D$4:$AG$150,0,MATCH(AC$2,Inputs!$D$2:$AG$2,0)),Inputs!$B$4:$B$150,$B22)/1000)</f>
        <v>26540</v>
      </c>
      <c r="AD22" s="11">
        <f>IF(AD$3=0,"",SUMIFS(INDEX(Inputs!$D$4:$AG$150,0,MATCH(AD$2,Inputs!$D$2:$AG$2,0)),Inputs!$B$4:$B$150,$B22)/1000)</f>
        <v>29286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0</v>
      </c>
      <c r="E23" s="11">
        <f>IF(E$3=0,"",SUMIFS(INDEX(Inputs!$D$4:$AG$150,0,MATCH(E$2,Inputs!$D$2:$AG$2,0)),Inputs!$B$4:$B$150,$B23)/1000)</f>
        <v>0</v>
      </c>
      <c r="F23" s="11">
        <f>IF(F$3=0,"",SUMIFS(INDEX(Inputs!$D$4:$AG$150,0,MATCH(F$2,Inputs!$D$2:$AG$2,0)),Inputs!$B$4:$B$150,$B23)/1000)</f>
        <v>0</v>
      </c>
      <c r="G23" s="11">
        <f>IF(G$3=0,"",SUMIFS(INDEX(Inputs!$D$4:$AG$150,0,MATCH(G$2,Inputs!$D$2:$AG$2,0)),Inputs!$B$4:$B$150,$B23)/1000)</f>
        <v>0</v>
      </c>
      <c r="H23" s="12">
        <f>IF(G23="","",G23)</f>
        <v>0</v>
      </c>
      <c r="I23" s="11">
        <f>IF(I$3=0,"",SUMIFS(INDEX(Inputs!$D$4:$AG$150,0,MATCH(I$2,Inputs!$D$2:$AG$2,0)),Inputs!$B$4:$B$150,$B23)/1000)</f>
        <v>0</v>
      </c>
      <c r="J23" s="11">
        <f>IF(J$3=0,"",SUMIFS(INDEX(Inputs!$D$4:$AG$150,0,MATCH(J$2,Inputs!$D$2:$AG$2,0)),Inputs!$B$4:$B$150,$B23)/1000)</f>
        <v>0</v>
      </c>
      <c r="K23" s="11">
        <f>IF(K$3=0,"",SUMIFS(INDEX(Inputs!$D$4:$AG$150,0,MATCH(K$2,Inputs!$D$2:$AG$2,0)),Inputs!$B$4:$B$150,$B23)/1000)</f>
        <v>0</v>
      </c>
      <c r="L23" s="11">
        <f>IF(L$3=0,"",SUMIFS(INDEX(Inputs!$D$4:$AG$150,0,MATCH(L$2,Inputs!$D$2:$AG$2,0)),Inputs!$B$4:$B$150,$B23)/1000)</f>
        <v>0</v>
      </c>
      <c r="M23" s="12">
        <f>IF(L23="","",L23)</f>
        <v>0</v>
      </c>
      <c r="N23" s="11">
        <f>IF(N$3=0,"",SUMIFS(INDEX(Inputs!$D$4:$AG$150,0,MATCH(N$2,Inputs!$D$2:$AG$2,0)),Inputs!$B$4:$B$150,$B23)/1000)</f>
        <v>0</v>
      </c>
      <c r="O23" s="11">
        <f>IF(O$3=0,"",SUMIFS(INDEX(Inputs!$D$4:$AG$150,0,MATCH(O$2,Inputs!$D$2:$AG$2,0)),Inputs!$B$4:$B$150,$B23)/1000)</f>
        <v>0</v>
      </c>
      <c r="P23" s="11">
        <f>IF(P$3=0,"",SUMIFS(INDEX(Inputs!$D$4:$AG$150,0,MATCH(P$2,Inputs!$D$2:$AG$2,0)),Inputs!$B$4:$B$150,$B23)/1000)</f>
        <v>0</v>
      </c>
      <c r="Q23" s="11">
        <f>IF(Q$3=0,"",SUMIFS(INDEX(Inputs!$D$4:$AG$150,0,MATCH(Q$2,Inputs!$D$2:$AG$2,0)),Inputs!$B$4:$B$150,$B23)/1000)</f>
        <v>0</v>
      </c>
      <c r="R23" s="12">
        <f>IF(Q23="","",Q23)</f>
        <v>0</v>
      </c>
      <c r="S23" s="11">
        <f>IF(S$3=0,"",SUMIFS(INDEX(Inputs!$D$4:$AG$150,0,MATCH(S$2,Inputs!$D$2:$AG$2,0)),Inputs!$B$4:$B$150,$B23)/1000)</f>
        <v>0</v>
      </c>
      <c r="T23" s="11">
        <f>IF(T$3=0,"",SUMIFS(INDEX(Inputs!$D$4:$AG$150,0,MATCH(T$2,Inputs!$D$2:$AG$2,0)),Inputs!$B$4:$B$150,$B23)/1000)</f>
        <v>0</v>
      </c>
      <c r="U23" s="11">
        <f>IF(U$3=0,"",SUMIFS(INDEX(Inputs!$D$4:$AG$150,0,MATCH(U$2,Inputs!$D$2:$AG$2,0)),Inputs!$B$4:$B$150,$B23)/1000)</f>
        <v>0</v>
      </c>
      <c r="V23" s="11">
        <f>IF(V$3=0,"",SUMIFS(INDEX(Inputs!$D$4:$AG$150,0,MATCH(V$2,Inputs!$D$2:$AG$2,0)),Inputs!$B$4:$B$150,$B23)/1000)</f>
        <v>0</v>
      </c>
      <c r="W23" s="12">
        <f>IF(V23="","",V23)</f>
        <v>0</v>
      </c>
      <c r="X23" s="11">
        <f>IF(X$3=0,"",SUMIFS(INDEX(Inputs!$D$4:$AG$150,0,MATCH(X$2,Inputs!$D$2:$AG$2,0)),Inputs!$B$4:$B$150,$B23)/1000)</f>
        <v>0</v>
      </c>
      <c r="Y23" s="11">
        <f>IF(Y$3=0,"",SUMIFS(INDEX(Inputs!$D$4:$AG$150,0,MATCH(Y$2,Inputs!$D$2:$AG$2,0)),Inputs!$B$4:$B$150,$B23)/1000)</f>
        <v>0</v>
      </c>
      <c r="Z23" s="11">
        <f>IF(Z$3=0,"",SUMIFS(INDEX(Inputs!$D$4:$AG$150,0,MATCH(Z$2,Inputs!$D$2:$AG$2,0)),Inputs!$B$4:$B$150,$B23)/1000)</f>
        <v>0</v>
      </c>
      <c r="AA23" s="11">
        <f>IF(AA$3=0,"",SUMIFS(INDEX(Inputs!$D$4:$AG$150,0,MATCH(AA$2,Inputs!$D$2:$AG$2,0)),Inputs!$B$4:$B$150,$B23)/1000)</f>
        <v>0</v>
      </c>
      <c r="AB23" s="12">
        <f>IF(AA23="","",AA23)</f>
        <v>0</v>
      </c>
      <c r="AC23" s="11">
        <f>IF(AC$3=0,"",SUMIFS(INDEX(Inputs!$D$4:$AG$150,0,MATCH(AC$2,Inputs!$D$2:$AG$2,0)),Inputs!$B$4:$B$150,$B23)/1000)</f>
        <v>0</v>
      </c>
      <c r="AD23" s="11">
        <f>IF(AD$3=0,"",SUMIFS(INDEX(Inputs!$D$4:$AG$150,0,MATCH(AD$2,Inputs!$D$2:$AG$2,0)),Inputs!$B$4:$B$150,$B23)/1000)</f>
        <v>0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3877.4</v>
      </c>
      <c r="E24" s="11">
        <f>IF(E$3=0,"",SUMIFS(INDEX(Inputs!$D$4:$AG$150,0,MATCH(E$2,Inputs!$D$2:$AG$2,0)),Inputs!$B$4:$B$150,$B24)/1000)</f>
        <v>3884.2</v>
      </c>
      <c r="F24" s="11">
        <f>IF(F$3=0,"",SUMIFS(INDEX(Inputs!$D$4:$AG$150,0,MATCH(F$2,Inputs!$D$2:$AG$2,0)),Inputs!$B$4:$B$150,$B24)/1000)</f>
        <v>3884.1</v>
      </c>
      <c r="G24" s="11">
        <f>IF(G$3=0,"",SUMIFS(INDEX(Inputs!$D$4:$AG$150,0,MATCH(G$2,Inputs!$D$2:$AG$2,0)),Inputs!$B$4:$B$150,$B24)/1000)</f>
        <v>3892</v>
      </c>
      <c r="H24" s="12">
        <f>IF(G24="","",G24)</f>
        <v>3892</v>
      </c>
      <c r="I24" s="11">
        <f>IF(I$3=0,"",SUMIFS(INDEX(Inputs!$D$4:$AG$150,0,MATCH(I$2,Inputs!$D$2:$AG$2,0)),Inputs!$B$4:$B$150,$B24)/1000)</f>
        <v>3892</v>
      </c>
      <c r="J24" s="11">
        <f>IF(J$3=0,"",SUMIFS(INDEX(Inputs!$D$4:$AG$150,0,MATCH(J$2,Inputs!$D$2:$AG$2,0)),Inputs!$B$4:$B$150,$B24)/1000)</f>
        <v>3891.8</v>
      </c>
      <c r="K24" s="11">
        <f>IF(K$3=0,"",SUMIFS(INDEX(Inputs!$D$4:$AG$150,0,MATCH(K$2,Inputs!$D$2:$AG$2,0)),Inputs!$B$4:$B$150,$B24)/1000)</f>
        <v>3891.6</v>
      </c>
      <c r="L24" s="11">
        <f>IF(L$3=0,"",SUMIFS(INDEX(Inputs!$D$4:$AG$150,0,MATCH(L$2,Inputs!$D$2:$AG$2,0)),Inputs!$B$4:$B$150,$B24)/1000)</f>
        <v>4073</v>
      </c>
      <c r="M24" s="12">
        <f>IF(L24="","",L24)</f>
        <v>4073</v>
      </c>
      <c r="N24" s="11">
        <f>IF(N$3=0,"",SUMIFS(INDEX(Inputs!$D$4:$AG$150,0,MATCH(N$2,Inputs!$D$2:$AG$2,0)),Inputs!$B$4:$B$150,$B24)/1000)</f>
        <v>4073.1</v>
      </c>
      <c r="O24" s="11">
        <f>IF(O$3=0,"",SUMIFS(INDEX(Inputs!$D$4:$AG$150,0,MATCH(O$2,Inputs!$D$2:$AG$2,0)),Inputs!$B$4:$B$150,$B24)/1000)</f>
        <v>4078.9</v>
      </c>
      <c r="P24" s="11">
        <f>IF(P$3=0,"",SUMIFS(INDEX(Inputs!$D$4:$AG$150,0,MATCH(P$2,Inputs!$D$2:$AG$2,0)),Inputs!$B$4:$B$150,$B24)/1000)</f>
        <v>4085.2</v>
      </c>
      <c r="Q24" s="11">
        <f>IF(Q$3=0,"",SUMIFS(INDEX(Inputs!$D$4:$AG$150,0,MATCH(Q$2,Inputs!$D$2:$AG$2,0)),Inputs!$B$4:$B$150,$B24)/1000)</f>
        <v>4939.7</v>
      </c>
      <c r="R24" s="12">
        <f>IF(Q24="","",Q24)</f>
        <v>4939.7</v>
      </c>
      <c r="S24" s="11">
        <f>IF(S$3=0,"",SUMIFS(INDEX(Inputs!$D$4:$AG$150,0,MATCH(S$2,Inputs!$D$2:$AG$2,0)),Inputs!$B$4:$B$150,$B24)/1000)</f>
        <v>4939.6</v>
      </c>
      <c r="T24" s="11">
        <f>IF(T$3=0,"",SUMIFS(INDEX(Inputs!$D$4:$AG$150,0,MATCH(T$2,Inputs!$D$2:$AG$2,0)),Inputs!$B$4:$B$150,$B24)/1000)</f>
        <v>5768.2</v>
      </c>
      <c r="U24" s="11">
        <f>IF(U$3=0,"",SUMIFS(INDEX(Inputs!$D$4:$AG$150,0,MATCH(U$2,Inputs!$D$2:$AG$2,0)),Inputs!$B$4:$B$150,$B24)/1000)</f>
        <v>5768.4</v>
      </c>
      <c r="V24" s="11">
        <f>IF(V$3=0,"",SUMIFS(INDEX(Inputs!$D$4:$AG$150,0,MATCH(V$2,Inputs!$D$2:$AG$2,0)),Inputs!$B$4:$B$150,$B24)/1000)</f>
        <v>5770.3</v>
      </c>
      <c r="W24" s="12">
        <f>IF(V24="","",V24)</f>
        <v>5770.3</v>
      </c>
      <c r="X24" s="11">
        <f>IF(X$3=0,"",SUMIFS(INDEX(Inputs!$D$4:$AG$150,0,MATCH(X$2,Inputs!$D$2:$AG$2,0)),Inputs!$B$4:$B$150,$B24)/1000)</f>
        <v>5770.5</v>
      </c>
      <c r="Y24" s="11">
        <f>IF(Y$3=0,"",SUMIFS(INDEX(Inputs!$D$4:$AG$150,0,MATCH(Y$2,Inputs!$D$2:$AG$2,0)),Inputs!$B$4:$B$150,$B24)/1000)</f>
        <v>5770.5</v>
      </c>
      <c r="Z24" s="11">
        <f>IF(Z$3=0,"",SUMIFS(INDEX(Inputs!$D$4:$AG$150,0,MATCH(Z$2,Inputs!$D$2:$AG$2,0)),Inputs!$B$4:$B$150,$B24)/1000)</f>
        <v>5898</v>
      </c>
      <c r="AA24" s="11">
        <f>IF(AA$3=0,"",SUMIFS(INDEX(Inputs!$D$4:$AG$150,0,MATCH(AA$2,Inputs!$D$2:$AG$2,0)),Inputs!$B$4:$B$150,$B24)/1000)</f>
        <v>5898</v>
      </c>
      <c r="AB24" s="12">
        <f>IF(AA24="","",AA24)</f>
        <v>5898</v>
      </c>
      <c r="AC24" s="11">
        <f>IF(AC$3=0,"",SUMIFS(INDEX(Inputs!$D$4:$AG$150,0,MATCH(AC$2,Inputs!$D$2:$AG$2,0)),Inputs!$B$4:$B$150,$B24)/1000)</f>
        <v>6130</v>
      </c>
      <c r="AD24" s="11">
        <f>IF(AD$3=0,"",SUMIFS(INDEX(Inputs!$D$4:$AG$150,0,MATCH(AD$2,Inputs!$D$2:$AG$2,0)),Inputs!$B$4:$B$150,$B24)/1000)</f>
        <v>8849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8087.8</v>
      </c>
      <c r="E25" s="11">
        <f>IF(E$3=0,"",SUMIFS(INDEX(Inputs!$D$4:$AG$150,0,MATCH(E$2,Inputs!$D$2:$AG$2,0)),Inputs!$B$4:$B$150,$B25)/1000)</f>
        <v>7985.4</v>
      </c>
      <c r="F25" s="11">
        <f>IF(F$3=0,"",SUMIFS(INDEX(Inputs!$D$4:$AG$150,0,MATCH(F$2,Inputs!$D$2:$AG$2,0)),Inputs!$B$4:$B$150,$B25)/1000)</f>
        <v>7887.7</v>
      </c>
      <c r="G25" s="11">
        <f>IF(G$3=0,"",SUMIFS(INDEX(Inputs!$D$4:$AG$150,0,MATCH(G$2,Inputs!$D$2:$AG$2,0)),Inputs!$B$4:$B$150,$B25)/1000)</f>
        <v>7691.9</v>
      </c>
      <c r="H25" s="12">
        <f>IF(G25="","",G25)</f>
        <v>7691.9</v>
      </c>
      <c r="I25" s="11">
        <f>IF(I$3=0,"",SUMIFS(INDEX(Inputs!$D$4:$AG$150,0,MATCH(I$2,Inputs!$D$2:$AG$2,0)),Inputs!$B$4:$B$150,$B25)/1000)</f>
        <v>7482.4</v>
      </c>
      <c r="J25" s="11">
        <f>IF(J$3=0,"",SUMIFS(INDEX(Inputs!$D$4:$AG$150,0,MATCH(J$2,Inputs!$D$2:$AG$2,0)),Inputs!$B$4:$B$150,$B25)/1000)</f>
        <v>7497.7</v>
      </c>
      <c r="K25" s="11">
        <f>IF(K$3=0,"",SUMIFS(INDEX(Inputs!$D$4:$AG$150,0,MATCH(K$2,Inputs!$D$2:$AG$2,0)),Inputs!$B$4:$B$150,$B25)/1000)</f>
        <v>7124.1</v>
      </c>
      <c r="L25" s="11">
        <f>IF(L$3=0,"",SUMIFS(INDEX(Inputs!$D$4:$AG$150,0,MATCH(L$2,Inputs!$D$2:$AG$2,0)),Inputs!$B$4:$B$150,$B25)/1000)</f>
        <v>7206.6</v>
      </c>
      <c r="M25" s="12">
        <f>IF(L25="","",L25)</f>
        <v>7206.6</v>
      </c>
      <c r="N25" s="11">
        <f>IF(N$3=0,"",SUMIFS(INDEX(Inputs!$D$4:$AG$150,0,MATCH(N$2,Inputs!$D$2:$AG$2,0)),Inputs!$B$4:$B$150,$B25)/1000)</f>
        <v>7087.1</v>
      </c>
      <c r="O25" s="11">
        <f>IF(O$3=0,"",SUMIFS(INDEX(Inputs!$D$4:$AG$150,0,MATCH(O$2,Inputs!$D$2:$AG$2,0)),Inputs!$B$4:$B$150,$B25)/1000)</f>
        <v>6903.5</v>
      </c>
      <c r="P25" s="11">
        <f>IF(P$3=0,"",SUMIFS(INDEX(Inputs!$D$4:$AG$150,0,MATCH(P$2,Inputs!$D$2:$AG$2,0)),Inputs!$B$4:$B$150,$B25)/1000)</f>
        <v>6781.7</v>
      </c>
      <c r="Q25" s="11">
        <f>IF(Q$3=0,"",SUMIFS(INDEX(Inputs!$D$4:$AG$150,0,MATCH(Q$2,Inputs!$D$2:$AG$2,0)),Inputs!$B$4:$B$150,$B25)/1000)</f>
        <v>6906.6</v>
      </c>
      <c r="R25" s="12">
        <f>IF(Q25="","",Q25)</f>
        <v>6906.6</v>
      </c>
      <c r="S25" s="11">
        <f>IF(S$3=0,"",SUMIFS(INDEX(Inputs!$D$4:$AG$150,0,MATCH(S$2,Inputs!$D$2:$AG$2,0)),Inputs!$B$4:$B$150,$B25)/1000)</f>
        <v>6762.2</v>
      </c>
      <c r="T25" s="11">
        <f>IF(T$3=0,"",SUMIFS(INDEX(Inputs!$D$4:$AG$150,0,MATCH(T$2,Inputs!$D$2:$AG$2,0)),Inputs!$B$4:$B$150,$B25)/1000)</f>
        <v>6636.1</v>
      </c>
      <c r="U25" s="11">
        <f>IF(U$3=0,"",SUMIFS(INDEX(Inputs!$D$4:$AG$150,0,MATCH(U$2,Inputs!$D$2:$AG$2,0)),Inputs!$B$4:$B$150,$B25)/1000)</f>
        <v>6537.3</v>
      </c>
      <c r="V25" s="11">
        <f>IF(V$3=0,"",SUMIFS(INDEX(Inputs!$D$4:$AG$150,0,MATCH(V$2,Inputs!$D$2:$AG$2,0)),Inputs!$B$4:$B$150,$B25)/1000)</f>
        <v>6166.3</v>
      </c>
      <c r="W25" s="12">
        <f>IF(V25="","",V25)</f>
        <v>6166.3</v>
      </c>
      <c r="X25" s="11">
        <f>IF(X$3=0,"",SUMIFS(INDEX(Inputs!$D$4:$AG$150,0,MATCH(X$2,Inputs!$D$2:$AG$2,0)),Inputs!$B$4:$B$150,$B25)/1000)</f>
        <v>6012.2</v>
      </c>
      <c r="Y25" s="11">
        <f>IF(Y$3=0,"",SUMIFS(INDEX(Inputs!$D$4:$AG$150,0,MATCH(Y$2,Inputs!$D$2:$AG$2,0)),Inputs!$B$4:$B$150,$B25)/1000)</f>
        <v>5908.3</v>
      </c>
      <c r="Z25" s="11">
        <f>IF(Z$3=0,"",SUMIFS(INDEX(Inputs!$D$4:$AG$150,0,MATCH(Z$2,Inputs!$D$2:$AG$2,0)),Inputs!$B$4:$B$150,$B25)/1000)</f>
        <v>6446.7</v>
      </c>
      <c r="AA25" s="11">
        <f>IF(AA$3=0,"",SUMIFS(INDEX(Inputs!$D$4:$AG$150,0,MATCH(AA$2,Inputs!$D$2:$AG$2,0)),Inputs!$B$4:$B$150,$B25)/1000)</f>
        <v>6521</v>
      </c>
      <c r="AB25" s="12">
        <f>IF(AA25="","",AA25)</f>
        <v>6521</v>
      </c>
      <c r="AC25" s="11">
        <f>IF(AC$3=0,"",SUMIFS(INDEX(Inputs!$D$4:$AG$150,0,MATCH(AC$2,Inputs!$D$2:$AG$2,0)),Inputs!$B$4:$B$150,$B25)/1000)</f>
        <v>7374</v>
      </c>
      <c r="AD25" s="11">
        <f>IF(AD$3=0,"",SUMIFS(INDEX(Inputs!$D$4:$AG$150,0,MATCH(AD$2,Inputs!$D$2:$AG$2,0)),Inputs!$B$4:$B$150,$B25)/1000)</f>
        <v>18110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6988.6</v>
      </c>
      <c r="E26" s="11">
        <f>IF(E$3=0,"",SUMIFS(INDEX(Inputs!$D$4:$AG$150,0,MATCH(E$2,Inputs!$D$2:$AG$2,0)),Inputs!$B$4:$B$150,$B26)/1000)</f>
        <v>7113.5</v>
      </c>
      <c r="F26" s="11">
        <f>IF(F$3=0,"",SUMIFS(INDEX(Inputs!$D$4:$AG$150,0,MATCH(F$2,Inputs!$D$2:$AG$2,0)),Inputs!$B$4:$B$150,$B26)/1000)</f>
        <v>7060.9</v>
      </c>
      <c r="G26" s="11">
        <f>IF(G$3=0,"",SUMIFS(INDEX(Inputs!$D$4:$AG$150,0,MATCH(G$2,Inputs!$D$2:$AG$2,0)),Inputs!$B$4:$B$150,$B26)/1000)</f>
        <v>7295.3</v>
      </c>
      <c r="H26" s="12">
        <f>IF(G26="","",G26)</f>
        <v>7295.3</v>
      </c>
      <c r="I26" s="11">
        <f>IF(I$3=0,"",SUMIFS(INDEX(Inputs!$D$4:$AG$150,0,MATCH(I$2,Inputs!$D$2:$AG$2,0)),Inputs!$B$4:$B$150,$B26)/1000)</f>
        <v>7012.6</v>
      </c>
      <c r="J26" s="11">
        <f>IF(J$3=0,"",SUMIFS(INDEX(Inputs!$D$4:$AG$150,0,MATCH(J$2,Inputs!$D$2:$AG$2,0)),Inputs!$B$4:$B$150,$B26)/1000)</f>
        <v>7058.8</v>
      </c>
      <c r="K26" s="11">
        <f>IF(K$3=0,"",SUMIFS(INDEX(Inputs!$D$4:$AG$150,0,MATCH(K$2,Inputs!$D$2:$AG$2,0)),Inputs!$B$4:$B$150,$B26)/1000)</f>
        <v>7110.3</v>
      </c>
      <c r="L26" s="11">
        <f>IF(L$3=0,"",SUMIFS(INDEX(Inputs!$D$4:$AG$150,0,MATCH(L$2,Inputs!$D$2:$AG$2,0)),Inputs!$B$4:$B$150,$B26)/1000)</f>
        <v>7238.8</v>
      </c>
      <c r="M26" s="12">
        <f>IF(L26="","",L26)</f>
        <v>7238.8</v>
      </c>
      <c r="N26" s="11">
        <f>IF(N$3=0,"",SUMIFS(INDEX(Inputs!$D$4:$AG$150,0,MATCH(N$2,Inputs!$D$2:$AG$2,0)),Inputs!$B$4:$B$150,$B26)/1000)</f>
        <v>7238.5</v>
      </c>
      <c r="O26" s="11">
        <f>IF(O$3=0,"",SUMIFS(INDEX(Inputs!$D$4:$AG$150,0,MATCH(O$2,Inputs!$D$2:$AG$2,0)),Inputs!$B$4:$B$150,$B26)/1000)</f>
        <v>7416.7</v>
      </c>
      <c r="P26" s="11">
        <f>IF(P$3=0,"",SUMIFS(INDEX(Inputs!$D$4:$AG$150,0,MATCH(P$2,Inputs!$D$2:$AG$2,0)),Inputs!$B$4:$B$150,$B26)/1000)</f>
        <v>7603.6</v>
      </c>
      <c r="Q26" s="11">
        <f>IF(Q$3=0,"",SUMIFS(INDEX(Inputs!$D$4:$AG$150,0,MATCH(Q$2,Inputs!$D$2:$AG$2,0)),Inputs!$B$4:$B$150,$B26)/1000)</f>
        <v>8042.1</v>
      </c>
      <c r="R26" s="12">
        <f>IF(Q26="","",Q26)</f>
        <v>8042.1</v>
      </c>
      <c r="S26" s="11">
        <f>IF(S$3=0,"",SUMIFS(INDEX(Inputs!$D$4:$AG$150,0,MATCH(S$2,Inputs!$D$2:$AG$2,0)),Inputs!$B$4:$B$150,$B26)/1000)</f>
        <v>7795</v>
      </c>
      <c r="T26" s="11">
        <f>IF(T$3=0,"",SUMIFS(INDEX(Inputs!$D$4:$AG$150,0,MATCH(T$2,Inputs!$D$2:$AG$2,0)),Inputs!$B$4:$B$150,$B26)/1000)</f>
        <v>7781.5</v>
      </c>
      <c r="U26" s="11">
        <f>IF(U$3=0,"",SUMIFS(INDEX(Inputs!$D$4:$AG$150,0,MATCH(U$2,Inputs!$D$2:$AG$2,0)),Inputs!$B$4:$B$150,$B26)/1000)</f>
        <v>8322</v>
      </c>
      <c r="V26" s="11">
        <f>IF(V$3=0,"",SUMIFS(INDEX(Inputs!$D$4:$AG$150,0,MATCH(V$2,Inputs!$D$2:$AG$2,0)),Inputs!$B$4:$B$150,$B26)/1000)</f>
        <v>8935.6</v>
      </c>
      <c r="W26" s="12">
        <f>IF(V26="","",V26)</f>
        <v>8935.6</v>
      </c>
      <c r="X26" s="11">
        <f>IF(X$3=0,"",SUMIFS(INDEX(Inputs!$D$4:$AG$150,0,MATCH(X$2,Inputs!$D$2:$AG$2,0)),Inputs!$B$4:$B$150,$B26)/1000)</f>
        <v>9297.6</v>
      </c>
      <c r="Y26" s="11">
        <f>IF(Y$3=0,"",SUMIFS(INDEX(Inputs!$D$4:$AG$150,0,MATCH(Y$2,Inputs!$D$2:$AG$2,0)),Inputs!$B$4:$B$150,$B26)/1000)</f>
        <v>9432.7</v>
      </c>
      <c r="Z26" s="11">
        <f>IF(Z$3=0,"",SUMIFS(INDEX(Inputs!$D$4:$AG$150,0,MATCH(Z$2,Inputs!$D$2:$AG$2,0)),Inputs!$B$4:$B$150,$B26)/1000)</f>
        <v>9240.7</v>
      </c>
      <c r="AA26" s="11">
        <f>IF(AA$3=0,"",SUMIFS(INDEX(Inputs!$D$4:$AG$150,0,MATCH(AA$2,Inputs!$D$2:$AG$2,0)),Inputs!$B$4:$B$150,$B26)/1000)</f>
        <v>9794</v>
      </c>
      <c r="AB26" s="12">
        <f>IF(AA26="","",AA26)</f>
        <v>9794</v>
      </c>
      <c r="AC26" s="11">
        <f>IF(AC$3=0,"",SUMIFS(INDEX(Inputs!$D$4:$AG$150,0,MATCH(AC$2,Inputs!$D$2:$AG$2,0)),Inputs!$B$4:$B$150,$B26)/1000)</f>
        <v>10347</v>
      </c>
      <c r="AD26" s="11">
        <f>IF(AD$3=0,"",SUMIFS(INDEX(Inputs!$D$4:$AG$150,0,MATCH(AD$2,Inputs!$D$2:$AG$2,0)),Inputs!$B$4:$B$150,$B26)/1000)</f>
        <v>11338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1639.6</v>
      </c>
      <c r="E28" s="11">
        <f>IF(E$3=0,"",SUMIFS(INDEX(Inputs!$D$4:$AG$150,0,MATCH(E$2,Inputs!$D$2:$AG$2,0)),Inputs!$B$4:$B$150,$B28)/1000)</f>
        <v>1597.8</v>
      </c>
      <c r="F28" s="11">
        <f>IF(F$3=0,"",SUMIFS(INDEX(Inputs!$D$4:$AG$150,0,MATCH(F$2,Inputs!$D$2:$AG$2,0)),Inputs!$B$4:$B$150,$B28)/1000)</f>
        <v>1566.8</v>
      </c>
      <c r="G28" s="11">
        <f>IF(G$3=0,"",SUMIFS(INDEX(Inputs!$D$4:$AG$150,0,MATCH(G$2,Inputs!$D$2:$AG$2,0)),Inputs!$B$4:$B$150,$B28)/1000)</f>
        <v>1670.6</v>
      </c>
      <c r="H28" s="12">
        <f>IF(G28="","",G28)</f>
        <v>1670.6</v>
      </c>
      <c r="I28" s="11">
        <f>IF(I$3=0,"",SUMIFS(INDEX(Inputs!$D$4:$AG$150,0,MATCH(I$2,Inputs!$D$2:$AG$2,0)),Inputs!$B$4:$B$150,$B28)/1000)</f>
        <v>1433.3</v>
      </c>
      <c r="J28" s="11">
        <f>IF(J$3=0,"",SUMIFS(INDEX(Inputs!$D$4:$AG$150,0,MATCH(J$2,Inputs!$D$2:$AG$2,0)),Inputs!$B$4:$B$150,$B28)/1000)</f>
        <v>1659.3</v>
      </c>
      <c r="K28" s="11">
        <f>IF(K$3=0,"",SUMIFS(INDEX(Inputs!$D$4:$AG$150,0,MATCH(K$2,Inputs!$D$2:$AG$2,0)),Inputs!$B$4:$B$150,$B28)/1000)</f>
        <v>1683.2</v>
      </c>
      <c r="L28" s="11">
        <f>IF(L$3=0,"",SUMIFS(INDEX(Inputs!$D$4:$AG$150,0,MATCH(L$2,Inputs!$D$2:$AG$2,0)),Inputs!$B$4:$B$150,$B28)/1000)</f>
        <v>1930.6</v>
      </c>
      <c r="M28" s="12">
        <f>IF(L28="","",L28)</f>
        <v>1930.6</v>
      </c>
      <c r="N28" s="11">
        <f>IF(N$3=0,"",SUMIFS(INDEX(Inputs!$D$4:$AG$150,0,MATCH(N$2,Inputs!$D$2:$AG$2,0)),Inputs!$B$4:$B$150,$B28)/1000)</f>
        <v>2015.9</v>
      </c>
      <c r="O28" s="11">
        <f>IF(O$3=0,"",SUMIFS(INDEX(Inputs!$D$4:$AG$150,0,MATCH(O$2,Inputs!$D$2:$AG$2,0)),Inputs!$B$4:$B$150,$B28)/1000)</f>
        <v>2474.2</v>
      </c>
      <c r="P28" s="11">
        <f>IF(P$3=0,"",SUMIFS(INDEX(Inputs!$D$4:$AG$150,0,MATCH(P$2,Inputs!$D$2:$AG$2,0)),Inputs!$B$4:$B$150,$B28)/1000)</f>
        <v>2435.1</v>
      </c>
      <c r="Q28" s="11">
        <f>IF(Q$3=0,"",SUMIFS(INDEX(Inputs!$D$4:$AG$150,0,MATCH(Q$2,Inputs!$D$2:$AG$2,0)),Inputs!$B$4:$B$150,$B28)/1000)</f>
        <v>2598.8</v>
      </c>
      <c r="R28" s="12">
        <f>IF(Q28="","",Q28)</f>
        <v>2598.8</v>
      </c>
      <c r="S28" s="11">
        <f>IF(S$3=0,"",SUMIFS(INDEX(Inputs!$D$4:$AG$150,0,MATCH(S$2,Inputs!$D$2:$AG$2,0)),Inputs!$B$4:$B$150,$B28)/1000)</f>
        <v>2473.7</v>
      </c>
      <c r="T28" s="11">
        <f>IF(T$3=0,"",SUMIFS(INDEX(Inputs!$D$4:$AG$150,0,MATCH(T$2,Inputs!$D$2:$AG$2,0)),Inputs!$B$4:$B$150,$B28)/1000)</f>
        <v>2924.8</v>
      </c>
      <c r="U28" s="11">
        <f>IF(U$3=0,"",SUMIFS(INDEX(Inputs!$D$4:$AG$150,0,MATCH(U$2,Inputs!$D$2:$AG$2,0)),Inputs!$B$4:$B$150,$B28)/1000)</f>
        <v>2886.5</v>
      </c>
      <c r="V28" s="11">
        <f>IF(V$3=0,"",SUMIFS(INDEX(Inputs!$D$4:$AG$150,0,MATCH(V$2,Inputs!$D$2:$AG$2,0)),Inputs!$B$4:$B$150,$B28)/1000)</f>
        <v>3228.6</v>
      </c>
      <c r="W28" s="12">
        <f>IF(V28="","",V28)</f>
        <v>3228.6</v>
      </c>
      <c r="X28" s="11">
        <f>IF(X$3=0,"",SUMIFS(INDEX(Inputs!$D$4:$AG$150,0,MATCH(X$2,Inputs!$D$2:$AG$2,0)),Inputs!$B$4:$B$150,$B28)/1000)</f>
        <v>3442</v>
      </c>
      <c r="Y28" s="11">
        <f>IF(Y$3=0,"",SUMIFS(INDEX(Inputs!$D$4:$AG$150,0,MATCH(Y$2,Inputs!$D$2:$AG$2,0)),Inputs!$B$4:$B$150,$B28)/1000)</f>
        <v>4075.7</v>
      </c>
      <c r="Z28" s="11">
        <f>IF(Z$3=0,"",SUMIFS(INDEX(Inputs!$D$4:$AG$150,0,MATCH(Z$2,Inputs!$D$2:$AG$2,0)),Inputs!$B$4:$B$150,$B28)/1000)</f>
        <v>4262.2</v>
      </c>
      <c r="AA28" s="11">
        <f>IF(AA$3=0,"",SUMIFS(INDEX(Inputs!$D$4:$AG$150,0,MATCH(AA$2,Inputs!$D$2:$AG$2,0)),Inputs!$B$4:$B$150,$B28)/1000)</f>
        <v>5379</v>
      </c>
      <c r="AB28" s="12">
        <f>IF(AA28="","",AA28)</f>
        <v>5379</v>
      </c>
      <c r="AC28" s="11">
        <f>IF(AC$3=0,"",SUMIFS(INDEX(Inputs!$D$4:$AG$150,0,MATCH(AC$2,Inputs!$D$2:$AG$2,0)),Inputs!$B$4:$B$150,$B28)/1000)</f>
        <v>5029</v>
      </c>
      <c r="AD28" s="11">
        <f>IF(AD$3=0,"",SUMIFS(INDEX(Inputs!$D$4:$AG$150,0,MATCH(AD$2,Inputs!$D$2:$AG$2,0)),Inputs!$B$4:$B$150,$B28)/1000)</f>
        <v>6112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649.9</v>
      </c>
      <c r="E29" s="11">
        <f>IF(E$3=0,"",SUMIFS(INDEX(Inputs!$D$4:$AG$150,0,MATCH(E$2,Inputs!$D$2:$AG$2,0)),Inputs!$B$4:$B$150,$B29)/1000)</f>
        <v>755.5</v>
      </c>
      <c r="F29" s="11">
        <f>IF(F$3=0,"",SUMIFS(INDEX(Inputs!$D$4:$AG$150,0,MATCH(F$2,Inputs!$D$2:$AG$2,0)),Inputs!$B$4:$B$150,$B29)/1000)</f>
        <v>836.6</v>
      </c>
      <c r="G29" s="11">
        <f>IF(G$3=0,"",SUMIFS(INDEX(Inputs!$D$4:$AG$150,0,MATCH(G$2,Inputs!$D$2:$AG$2,0)),Inputs!$B$4:$B$150,$B29)/1000)</f>
        <v>958.1</v>
      </c>
      <c r="H29" s="12">
        <f>IF(G29="","",G29)</f>
        <v>958.1</v>
      </c>
      <c r="I29" s="11">
        <f>IF(I$3=0,"",SUMIFS(INDEX(Inputs!$D$4:$AG$150,0,MATCH(I$2,Inputs!$D$2:$AG$2,0)),Inputs!$B$4:$B$150,$B29)/1000)</f>
        <v>693.1</v>
      </c>
      <c r="J29" s="11">
        <f>IF(J$3=0,"",SUMIFS(INDEX(Inputs!$D$4:$AG$150,0,MATCH(J$2,Inputs!$D$2:$AG$2,0)),Inputs!$B$4:$B$150,$B29)/1000)</f>
        <v>835.8</v>
      </c>
      <c r="K29" s="11">
        <f>IF(K$3=0,"",SUMIFS(INDEX(Inputs!$D$4:$AG$150,0,MATCH(K$2,Inputs!$D$2:$AG$2,0)),Inputs!$B$4:$B$150,$B29)/1000)</f>
        <v>984.1</v>
      </c>
      <c r="L29" s="11">
        <f>IF(L$3=0,"",SUMIFS(INDEX(Inputs!$D$4:$AG$150,0,MATCH(L$2,Inputs!$D$2:$AG$2,0)),Inputs!$B$4:$B$150,$B29)/1000)</f>
        <v>1059.8</v>
      </c>
      <c r="M29" s="12">
        <f>IF(L29="","",L29)</f>
        <v>1059.8</v>
      </c>
      <c r="N29" s="11">
        <f>IF(N$3=0,"",SUMIFS(INDEX(Inputs!$D$4:$AG$150,0,MATCH(N$2,Inputs!$D$2:$AG$2,0)),Inputs!$B$4:$B$150,$B29)/1000)</f>
        <v>739.7</v>
      </c>
      <c r="O29" s="11">
        <f>IF(O$3=0,"",SUMIFS(INDEX(Inputs!$D$4:$AG$150,0,MATCH(O$2,Inputs!$D$2:$AG$2,0)),Inputs!$B$4:$B$150,$B29)/1000)</f>
        <v>867.7</v>
      </c>
      <c r="P29" s="11">
        <f>IF(P$3=0,"",SUMIFS(INDEX(Inputs!$D$4:$AG$150,0,MATCH(P$2,Inputs!$D$2:$AG$2,0)),Inputs!$B$4:$B$150,$B29)/1000)</f>
        <v>1233.2</v>
      </c>
      <c r="Q29" s="11">
        <f>IF(Q$3=0,"",SUMIFS(INDEX(Inputs!$D$4:$AG$150,0,MATCH(Q$2,Inputs!$D$2:$AG$2,0)),Inputs!$B$4:$B$150,$B29)/1000)</f>
        <v>1650.4</v>
      </c>
      <c r="R29" s="12">
        <f>IF(Q29="","",Q29)</f>
        <v>1650.4</v>
      </c>
      <c r="S29" s="11">
        <f>IF(S$3=0,"",SUMIFS(INDEX(Inputs!$D$4:$AG$150,0,MATCH(S$2,Inputs!$D$2:$AG$2,0)),Inputs!$B$4:$B$150,$B29)/1000)</f>
        <v>844.2</v>
      </c>
      <c r="T29" s="11">
        <f>IF(T$3=0,"",SUMIFS(INDEX(Inputs!$D$4:$AG$150,0,MATCH(T$2,Inputs!$D$2:$AG$2,0)),Inputs!$B$4:$B$150,$B29)/1000)</f>
        <v>1168.3</v>
      </c>
      <c r="U29" s="11">
        <f>IF(U$3=0,"",SUMIFS(INDEX(Inputs!$D$4:$AG$150,0,MATCH(U$2,Inputs!$D$2:$AG$2,0)),Inputs!$B$4:$B$150,$B29)/1000)</f>
        <v>1703.3</v>
      </c>
      <c r="V29" s="11">
        <f>IF(V$3=0,"",SUMIFS(INDEX(Inputs!$D$4:$AG$150,0,MATCH(V$2,Inputs!$D$2:$AG$2,0)),Inputs!$B$4:$B$150,$B29)/1000)</f>
        <v>2093.9</v>
      </c>
      <c r="W29" s="12">
        <f>IF(V29="","",V29)</f>
        <v>2093.9</v>
      </c>
      <c r="X29" s="11">
        <f>IF(X$3=0,"",SUMIFS(INDEX(Inputs!$D$4:$AG$150,0,MATCH(X$2,Inputs!$D$2:$AG$2,0)),Inputs!$B$4:$B$150,$B29)/1000)</f>
        <v>1113.9</v>
      </c>
      <c r="Y29" s="11">
        <f>IF(Y$3=0,"",SUMIFS(INDEX(Inputs!$D$4:$AG$150,0,MATCH(Y$2,Inputs!$D$2:$AG$2,0)),Inputs!$B$4:$B$150,$B29)/1000)</f>
        <v>1303</v>
      </c>
      <c r="Z29" s="11">
        <f>IF(Z$3=0,"",SUMIFS(INDEX(Inputs!$D$4:$AG$150,0,MATCH(Z$2,Inputs!$D$2:$AG$2,0)),Inputs!$B$4:$B$150,$B29)/1000)</f>
        <v>1965.7</v>
      </c>
      <c r="AA29" s="11">
        <f>IF(AA$3=0,"",SUMIFS(INDEX(Inputs!$D$4:$AG$150,0,MATCH(AA$2,Inputs!$D$2:$AG$2,0)),Inputs!$B$4:$B$150,$B29)/1000)</f>
        <v>2375</v>
      </c>
      <c r="AB29" s="12">
        <f>IF(AA29="","",AA29)</f>
        <v>2375</v>
      </c>
      <c r="AC29" s="11">
        <f>IF(AC$3=0,"",SUMIFS(INDEX(Inputs!$D$4:$AG$150,0,MATCH(AC$2,Inputs!$D$2:$AG$2,0)),Inputs!$B$4:$B$150,$B29)/1000)</f>
        <v>1359</v>
      </c>
      <c r="AD29" s="11">
        <f>IF(AD$3=0,"",SUMIFS(INDEX(Inputs!$D$4:$AG$150,0,MATCH(AD$2,Inputs!$D$2:$AG$2,0)),Inputs!$B$4:$B$150,$B29)/1000)</f>
        <v>1798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791.6</v>
      </c>
      <c r="E30" s="11">
        <f>IF(E$3=0,"",SUMIFS(INDEX(Inputs!$D$4:$AG$150,0,MATCH(E$2,Inputs!$D$2:$AG$2,0)),Inputs!$B$4:$B$150,$B30)/1000)</f>
        <v>529.9</v>
      </c>
      <c r="F30" s="11">
        <f>IF(F$3=0,"",SUMIFS(INDEX(Inputs!$D$4:$AG$150,0,MATCH(F$2,Inputs!$D$2:$AG$2,0)),Inputs!$B$4:$B$150,$B30)/1000)</f>
        <v>203.5</v>
      </c>
      <c r="G30" s="11">
        <f>IF(G$3=0,"",SUMIFS(INDEX(Inputs!$D$4:$AG$150,0,MATCH(G$2,Inputs!$D$2:$AG$2,0)),Inputs!$B$4:$B$150,$B30)/1000)</f>
        <v>126.9</v>
      </c>
      <c r="H30" s="12">
        <f>IF(G30="","",G30)</f>
        <v>126.9</v>
      </c>
      <c r="I30" s="11">
        <f>IF(I$3=0,"",SUMIFS(INDEX(Inputs!$D$4:$AG$150,0,MATCH(I$2,Inputs!$D$2:$AG$2,0)),Inputs!$B$4:$B$150,$B30)/1000)</f>
        <v>598.3</v>
      </c>
      <c r="J30" s="11">
        <f>IF(J$3=0,"",SUMIFS(INDEX(Inputs!$D$4:$AG$150,0,MATCH(J$2,Inputs!$D$2:$AG$2,0)),Inputs!$B$4:$B$150,$B30)/1000)</f>
        <v>126.6</v>
      </c>
      <c r="K30" s="11">
        <f>IF(K$3=0,"",SUMIFS(INDEX(Inputs!$D$4:$AG$150,0,MATCH(K$2,Inputs!$D$2:$AG$2,0)),Inputs!$B$4:$B$150,$B30)/1000)</f>
        <v>685.6</v>
      </c>
      <c r="L30" s="11">
        <f>IF(L$3=0,"",SUMIFS(INDEX(Inputs!$D$4:$AG$150,0,MATCH(L$2,Inputs!$D$2:$AG$2,0)),Inputs!$B$4:$B$150,$B30)/1000)</f>
        <v>475.1</v>
      </c>
      <c r="M30" s="12">
        <f>IF(L30="","",L30)</f>
        <v>475.1</v>
      </c>
      <c r="N30" s="11">
        <f>IF(N$3=0,"",SUMIFS(INDEX(Inputs!$D$4:$AG$150,0,MATCH(N$2,Inputs!$D$2:$AG$2,0)),Inputs!$B$4:$B$150,$B30)/1000)</f>
        <v>1528.3</v>
      </c>
      <c r="O30" s="11">
        <f>IF(O$3=0,"",SUMIFS(INDEX(Inputs!$D$4:$AG$150,0,MATCH(O$2,Inputs!$D$2:$AG$2,0)),Inputs!$B$4:$B$150,$B30)/1000)</f>
        <v>1233.8</v>
      </c>
      <c r="P30" s="11">
        <f>IF(P$3=0,"",SUMIFS(INDEX(Inputs!$D$4:$AG$150,0,MATCH(P$2,Inputs!$D$2:$AG$2,0)),Inputs!$B$4:$B$150,$B30)/1000)</f>
        <v>1977.5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6175.7</v>
      </c>
      <c r="Y30" s="11">
        <f>IF(Y$3=0,"",SUMIFS(INDEX(Inputs!$D$4:$AG$150,0,MATCH(Y$2,Inputs!$D$2:$AG$2,0)),Inputs!$B$4:$B$150,$B30)/1000)</f>
        <v>6958</v>
      </c>
      <c r="Z30" s="11">
        <f>IF(Z$3=0,"",SUMIFS(INDEX(Inputs!$D$4:$AG$150,0,MATCH(Z$2,Inputs!$D$2:$AG$2,0)),Inputs!$B$4:$B$150,$B30)/1000)</f>
        <v>9444.4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8628.2</v>
      </c>
      <c r="E31" s="11">
        <f>IF(E$3=0,"",SUMIFS(INDEX(Inputs!$D$4:$AG$150,0,MATCH(E$2,Inputs!$D$2:$AG$2,0)),Inputs!$B$4:$B$150,$B31)/1000)</f>
        <v>10431.5</v>
      </c>
      <c r="F31" s="11">
        <f>IF(F$3=0,"",SUMIFS(INDEX(Inputs!$D$4:$AG$150,0,MATCH(F$2,Inputs!$D$2:$AG$2,0)),Inputs!$B$4:$B$150,$B31)/1000)</f>
        <v>9512.1</v>
      </c>
      <c r="G31" s="11">
        <f>IF(G$3=0,"",SUMIFS(INDEX(Inputs!$D$4:$AG$150,0,MATCH(G$2,Inputs!$D$2:$AG$2,0)),Inputs!$B$4:$B$150,$B31)/1000)</f>
        <v>10758.8</v>
      </c>
      <c r="H31" s="12">
        <f>IF(G31="","",G31)</f>
        <v>10758.8</v>
      </c>
      <c r="I31" s="11">
        <f>IF(I$3=0,"",SUMIFS(INDEX(Inputs!$D$4:$AG$150,0,MATCH(I$2,Inputs!$D$2:$AG$2,0)),Inputs!$B$4:$B$150,$B31)/1000)</f>
        <v>9305.4</v>
      </c>
      <c r="J31" s="11">
        <f>IF(J$3=0,"",SUMIFS(INDEX(Inputs!$D$4:$AG$150,0,MATCH(J$2,Inputs!$D$2:$AG$2,0)),Inputs!$B$4:$B$150,$B31)/1000)</f>
        <v>10877.1</v>
      </c>
      <c r="K31" s="11">
        <f>IF(K$3=0,"",SUMIFS(INDEX(Inputs!$D$4:$AG$150,0,MATCH(K$2,Inputs!$D$2:$AG$2,0)),Inputs!$B$4:$B$150,$B31)/1000)</f>
        <v>10555.3</v>
      </c>
      <c r="L31" s="11">
        <f>IF(L$3=0,"",SUMIFS(INDEX(Inputs!$D$4:$AG$150,0,MATCH(L$2,Inputs!$D$2:$AG$2,0)),Inputs!$B$4:$B$150,$B31)/1000)</f>
        <v>12171.6</v>
      </c>
      <c r="M31" s="12">
        <f>IF(L31="","",L31)</f>
        <v>12171.6</v>
      </c>
      <c r="N31" s="11">
        <f>IF(N$3=0,"",SUMIFS(INDEX(Inputs!$D$4:$AG$150,0,MATCH(N$2,Inputs!$D$2:$AG$2,0)),Inputs!$B$4:$B$150,$B31)/1000)</f>
        <v>11723</v>
      </c>
      <c r="O31" s="11">
        <f>IF(O$3=0,"",SUMIFS(INDEX(Inputs!$D$4:$AG$150,0,MATCH(O$2,Inputs!$D$2:$AG$2,0)),Inputs!$B$4:$B$150,$B31)/1000)</f>
        <v>13677.7</v>
      </c>
      <c r="P31" s="11">
        <f>IF(P$3=0,"",SUMIFS(INDEX(Inputs!$D$4:$AG$150,0,MATCH(P$2,Inputs!$D$2:$AG$2,0)),Inputs!$B$4:$B$150,$B31)/1000)</f>
        <v>14107.7</v>
      </c>
      <c r="Q31" s="11">
        <f>IF(Q$3=0,"",SUMIFS(INDEX(Inputs!$D$4:$AG$150,0,MATCH(Q$2,Inputs!$D$2:$AG$2,0)),Inputs!$B$4:$B$150,$B31)/1000)</f>
        <v>16139.5</v>
      </c>
      <c r="R31" s="12">
        <f>IF(Q31="","",Q31)</f>
        <v>16139.5</v>
      </c>
      <c r="S31" s="11">
        <f>IF(S$3=0,"",SUMIFS(INDEX(Inputs!$D$4:$AG$150,0,MATCH(S$2,Inputs!$D$2:$AG$2,0)),Inputs!$B$4:$B$150,$B31)/1000)</f>
        <v>13628.7</v>
      </c>
      <c r="T31" s="11">
        <f>IF(T$3=0,"",SUMIFS(INDEX(Inputs!$D$4:$AG$150,0,MATCH(T$2,Inputs!$D$2:$AG$2,0)),Inputs!$B$4:$B$150,$B31)/1000)</f>
        <v>17866.5</v>
      </c>
      <c r="U31" s="11">
        <f>IF(U$3=0,"",SUMIFS(INDEX(Inputs!$D$4:$AG$150,0,MATCH(U$2,Inputs!$D$2:$AG$2,0)),Inputs!$B$4:$B$150,$B31)/1000)</f>
        <v>18010</v>
      </c>
      <c r="V31" s="11">
        <f>IF(V$3=0,"",SUMIFS(INDEX(Inputs!$D$4:$AG$150,0,MATCH(V$2,Inputs!$D$2:$AG$2,0)),Inputs!$B$4:$B$150,$B31)/1000)</f>
        <v>17937</v>
      </c>
      <c r="W31" s="12">
        <f>IF(V31="","",V31)</f>
        <v>17937</v>
      </c>
      <c r="X31" s="11">
        <f>IF(X$3=0,"",SUMIFS(INDEX(Inputs!$D$4:$AG$150,0,MATCH(X$2,Inputs!$D$2:$AG$2,0)),Inputs!$B$4:$B$150,$B31)/1000)</f>
        <v>15320.1</v>
      </c>
      <c r="Y31" s="11">
        <f>IF(Y$3=0,"",SUMIFS(INDEX(Inputs!$D$4:$AG$150,0,MATCH(Y$2,Inputs!$D$2:$AG$2,0)),Inputs!$B$4:$B$150,$B31)/1000)</f>
        <v>20959.5</v>
      </c>
      <c r="Z31" s="11">
        <f>IF(Z$3=0,"",SUMIFS(INDEX(Inputs!$D$4:$AG$150,0,MATCH(Z$2,Inputs!$D$2:$AG$2,0)),Inputs!$B$4:$B$150,$B31)/1000)</f>
        <v>22835.6</v>
      </c>
      <c r="AA31" s="11">
        <f>IF(AA$3=0,"",SUMIFS(INDEX(Inputs!$D$4:$AG$150,0,MATCH(AA$2,Inputs!$D$2:$AG$2,0)),Inputs!$B$4:$B$150,$B31)/1000)</f>
        <v>25839</v>
      </c>
      <c r="AB31" s="12">
        <f>IF(AA31="","",AA31)</f>
        <v>25839</v>
      </c>
      <c r="AC31" s="11">
        <f>IF(AC$3=0,"",SUMIFS(INDEX(Inputs!$D$4:$AG$150,0,MATCH(AC$2,Inputs!$D$2:$AG$2,0)),Inputs!$B$4:$B$150,$B31)/1000)</f>
        <v>26246</v>
      </c>
      <c r="AD31" s="11">
        <f>IF(AD$3=0,"",SUMIFS(INDEX(Inputs!$D$4:$AG$150,0,MATCH(AD$2,Inputs!$D$2:$AG$2,0)),Inputs!$B$4:$B$150,$B31)/1000)</f>
        <v>32781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4.9</v>
      </c>
      <c r="E32" s="11">
        <f>IF(E$3=0,"",SUMIFS(INDEX(Inputs!$D$4:$AG$150,0,MATCH(E$2,Inputs!$D$2:$AG$2,0)),Inputs!$B$4:$B$150,$B32)/1000)</f>
        <v>1778.5</v>
      </c>
      <c r="F32" s="11">
        <f>IF(F$3=0,"",SUMIFS(INDEX(Inputs!$D$4:$AG$150,0,MATCH(F$2,Inputs!$D$2:$AG$2,0)),Inputs!$B$4:$B$150,$B32)/1000)</f>
        <v>1563</v>
      </c>
      <c r="G32" s="11">
        <f>IF(G$3=0,"",SUMIFS(INDEX(Inputs!$D$4:$AG$150,0,MATCH(G$2,Inputs!$D$2:$AG$2,0)),Inputs!$B$4:$B$150,$B32)/1000)</f>
        <v>1538.3</v>
      </c>
      <c r="H32" s="12">
        <f>IF(G32="","",G32)</f>
        <v>1538.3</v>
      </c>
      <c r="I32" s="11">
        <f>IF(I$3=0,"",SUMIFS(INDEX(Inputs!$D$4:$AG$150,0,MATCH(I$2,Inputs!$D$2:$AG$2,0)),Inputs!$B$4:$B$150,$B32)/1000)</f>
        <v>1355.9</v>
      </c>
      <c r="J32" s="11">
        <f>IF(J$3=0,"",SUMIFS(INDEX(Inputs!$D$4:$AG$150,0,MATCH(J$2,Inputs!$D$2:$AG$2,0)),Inputs!$B$4:$B$150,$B32)/1000)</f>
        <v>2121.8</v>
      </c>
      <c r="K32" s="11">
        <f>IF(K$3=0,"",SUMIFS(INDEX(Inputs!$D$4:$AG$150,0,MATCH(K$2,Inputs!$D$2:$AG$2,0)),Inputs!$B$4:$B$150,$B32)/1000)</f>
        <v>1744.6</v>
      </c>
      <c r="L32" s="11">
        <f>IF(L$3=0,"",SUMIFS(INDEX(Inputs!$D$4:$AG$150,0,MATCH(L$2,Inputs!$D$2:$AG$2,0)),Inputs!$B$4:$B$150,$B32)/1000)</f>
        <v>1501.1</v>
      </c>
      <c r="M32" s="12">
        <f>IF(L32="","",L32)</f>
        <v>1501.1</v>
      </c>
      <c r="N32" s="11">
        <f>IF(N$3=0,"",SUMIFS(INDEX(Inputs!$D$4:$AG$150,0,MATCH(N$2,Inputs!$D$2:$AG$2,0)),Inputs!$B$4:$B$150,$B32)/1000)</f>
        <v>3.1</v>
      </c>
      <c r="O32" s="11">
        <f>IF(O$3=0,"",SUMIFS(INDEX(Inputs!$D$4:$AG$150,0,MATCH(O$2,Inputs!$D$2:$AG$2,0)),Inputs!$B$4:$B$150,$B32)/1000)</f>
        <v>661.6</v>
      </c>
      <c r="P32" s="11">
        <f>IF(P$3=0,"",SUMIFS(INDEX(Inputs!$D$4:$AG$150,0,MATCH(P$2,Inputs!$D$2:$AG$2,0)),Inputs!$B$4:$B$150,$B32)/1000)</f>
        <v>2244.7</v>
      </c>
      <c r="Q32" s="11">
        <f>IF(Q$3=0,"",SUMIFS(INDEX(Inputs!$D$4:$AG$150,0,MATCH(Q$2,Inputs!$D$2:$AG$2,0)),Inputs!$B$4:$B$150,$B32)/1000)</f>
        <v>6904.5</v>
      </c>
      <c r="R32" s="12">
        <f>IF(Q32="","",Q32)</f>
        <v>6904.5</v>
      </c>
      <c r="S32" s="11">
        <f>IF(S$3=0,"",SUMIFS(INDEX(Inputs!$D$4:$AG$150,0,MATCH(S$2,Inputs!$D$2:$AG$2,0)),Inputs!$B$4:$B$150,$B32)/1000)</f>
        <v>1651.5</v>
      </c>
      <c r="T32" s="11">
        <f>IF(T$3=0,"",SUMIFS(INDEX(Inputs!$D$4:$AG$150,0,MATCH(T$2,Inputs!$D$2:$AG$2,0)),Inputs!$B$4:$B$150,$B32)/1000)</f>
        <v>5161.6</v>
      </c>
      <c r="U32" s="11">
        <f>IF(U$3=0,"",SUMIFS(INDEX(Inputs!$D$4:$AG$150,0,MATCH(U$2,Inputs!$D$2:$AG$2,0)),Inputs!$B$4:$B$150,$B32)/1000)</f>
        <v>2074.3</v>
      </c>
      <c r="V32" s="11">
        <f>IF(V$3=0,"",SUMIFS(INDEX(Inputs!$D$4:$AG$150,0,MATCH(V$2,Inputs!$D$2:$AG$2,0)),Inputs!$B$4:$B$150,$B32)/1000)</f>
        <v>5117.1</v>
      </c>
      <c r="W32" s="12">
        <f>IF(V32="","",V32)</f>
        <v>5117.1</v>
      </c>
      <c r="X32" s="11">
        <f>IF(X$3=0,"",SUMIFS(INDEX(Inputs!$D$4:$AG$150,0,MATCH(X$2,Inputs!$D$2:$AG$2,0)),Inputs!$B$4:$B$150,$B32)/1000)</f>
        <v>4016.4</v>
      </c>
      <c r="Y32" s="11">
        <f>IF(Y$3=0,"",SUMIFS(INDEX(Inputs!$D$4:$AG$150,0,MATCH(Y$2,Inputs!$D$2:$AG$2,0)),Inputs!$B$4:$B$150,$B32)/1000)</f>
        <v>5723.7</v>
      </c>
      <c r="Z32" s="11">
        <f>IF(Z$3=0,"",SUMIFS(INDEX(Inputs!$D$4:$AG$150,0,MATCH(Z$2,Inputs!$D$2:$AG$2,0)),Inputs!$B$4:$B$150,$B32)/1000)</f>
        <v>1633</v>
      </c>
      <c r="AA32" s="11">
        <f>IF(AA$3=0,"",SUMIFS(INDEX(Inputs!$D$4:$AG$150,0,MATCH(AA$2,Inputs!$D$2:$AG$2,0)),Inputs!$B$4:$B$150,$B32)/1000)</f>
        <v>1635</v>
      </c>
      <c r="AB32" s="12">
        <f>IF(AA32="","",AA32)</f>
        <v>1635</v>
      </c>
      <c r="AC32" s="11">
        <f>IF(AC$3=0,"",SUMIFS(INDEX(Inputs!$D$4:$AG$150,0,MATCH(AC$2,Inputs!$D$2:$AG$2,0)),Inputs!$B$4:$B$150,$B32)/1000)</f>
        <v>4000</v>
      </c>
      <c r="AD32" s="11">
        <f>IF(AD$3=0,"",SUMIFS(INDEX(Inputs!$D$4:$AG$150,0,MATCH(AD$2,Inputs!$D$2:$AG$2,0)),Inputs!$B$4:$B$150,$B32)/1000)</f>
        <v>7050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16199.6</v>
      </c>
      <c r="E35" s="11">
        <f>IF(E$3=0,"",SUMIFS(INDEX(Inputs!$D$4:$AG$150,0,MATCH(E$2,Inputs!$D$2:$AG$2,0)),Inputs!$B$4:$B$150,$B35)/1000)</f>
        <v>14736.6</v>
      </c>
      <c r="F35" s="11">
        <f>IF(F$3=0,"",SUMIFS(INDEX(Inputs!$D$4:$AG$150,0,MATCH(F$2,Inputs!$D$2:$AG$2,0)),Inputs!$B$4:$B$150,$B35)/1000)</f>
        <v>15522.4</v>
      </c>
      <c r="G35" s="11">
        <f>IF(G$3=0,"",SUMIFS(INDEX(Inputs!$D$4:$AG$150,0,MATCH(G$2,Inputs!$D$2:$AG$2,0)),Inputs!$B$4:$B$150,$B35)/1000)</f>
        <v>15346.4</v>
      </c>
      <c r="H35" s="12">
        <f>IF(G35="","",G35)</f>
        <v>15346.4</v>
      </c>
      <c r="I35" s="11">
        <f>IF(I$3=0,"",SUMIFS(INDEX(Inputs!$D$4:$AG$150,0,MATCH(I$2,Inputs!$D$2:$AG$2,0)),Inputs!$B$4:$B$150,$B35)/1000)</f>
        <v>15152.9</v>
      </c>
      <c r="J35" s="11">
        <f>IF(J$3=0,"",SUMIFS(INDEX(Inputs!$D$4:$AG$150,0,MATCH(J$2,Inputs!$D$2:$AG$2,0)),Inputs!$B$4:$B$150,$B35)/1000)</f>
        <v>14692</v>
      </c>
      <c r="K35" s="11">
        <f>IF(K$3=0,"",SUMIFS(INDEX(Inputs!$D$4:$AG$150,0,MATCH(K$2,Inputs!$D$2:$AG$2,0)),Inputs!$B$4:$B$150,$B35)/1000)</f>
        <v>14143.8</v>
      </c>
      <c r="L35" s="11">
        <f>IF(L$3=0,"",SUMIFS(INDEX(Inputs!$D$4:$AG$150,0,MATCH(L$2,Inputs!$D$2:$AG$2,0)),Inputs!$B$4:$B$150,$B35)/1000)</f>
        <v>14737.5</v>
      </c>
      <c r="M35" s="12">
        <f>IF(L35="","",L35)</f>
        <v>14737.5</v>
      </c>
      <c r="N35" s="11">
        <f>IF(N$3=0,"",SUMIFS(INDEX(Inputs!$D$4:$AG$150,0,MATCH(N$2,Inputs!$D$2:$AG$2,0)),Inputs!$B$4:$B$150,$B35)/1000)</f>
        <v>18880.5</v>
      </c>
      <c r="O35" s="11">
        <f>IF(O$3=0,"",SUMIFS(INDEX(Inputs!$D$4:$AG$150,0,MATCH(O$2,Inputs!$D$2:$AG$2,0)),Inputs!$B$4:$B$150,$B35)/1000)</f>
        <v>18158.4</v>
      </c>
      <c r="P35" s="11">
        <f>IF(P$3=0,"",SUMIFS(INDEX(Inputs!$D$4:$AG$150,0,MATCH(P$2,Inputs!$D$2:$AG$2,0)),Inputs!$B$4:$B$150,$B35)/1000)</f>
        <v>17923.6</v>
      </c>
      <c r="Q35" s="11">
        <f>IF(Q$3=0,"",SUMIFS(INDEX(Inputs!$D$4:$AG$150,0,MATCH(Q$2,Inputs!$D$2:$AG$2,0)),Inputs!$B$4:$B$150,$B35)/1000)</f>
        <v>18320.8</v>
      </c>
      <c r="R35" s="12">
        <f>IF(Q35="","",Q35)</f>
        <v>18320.8</v>
      </c>
      <c r="S35" s="11">
        <f>IF(S$3=0,"",SUMIFS(INDEX(Inputs!$D$4:$AG$150,0,MATCH(S$2,Inputs!$D$2:$AG$2,0)),Inputs!$B$4:$B$150,$B35)/1000)</f>
        <v>24559.9</v>
      </c>
      <c r="T35" s="11">
        <f>IF(T$3=0,"",SUMIFS(INDEX(Inputs!$D$4:$AG$150,0,MATCH(T$2,Inputs!$D$2:$AG$2,0)),Inputs!$B$4:$B$150,$B35)/1000)</f>
        <v>23730.4</v>
      </c>
      <c r="U35" s="11">
        <f>IF(U$3=0,"",SUMIFS(INDEX(Inputs!$D$4:$AG$150,0,MATCH(U$2,Inputs!$D$2:$AG$2,0)),Inputs!$B$4:$B$150,$B35)/1000)</f>
        <v>29045.4</v>
      </c>
      <c r="V35" s="11">
        <f>IF(V$3=0,"",SUMIFS(INDEX(Inputs!$D$4:$AG$150,0,MATCH(V$2,Inputs!$D$2:$AG$2,0)),Inputs!$B$4:$B$150,$B35)/1000)</f>
        <v>28527.1</v>
      </c>
      <c r="W35" s="12">
        <f>IF(V35="","",V35)</f>
        <v>28527.1</v>
      </c>
      <c r="X35" s="11">
        <f>IF(X$3=0,"",SUMIFS(INDEX(Inputs!$D$4:$AG$150,0,MATCH(X$2,Inputs!$D$2:$AG$2,0)),Inputs!$B$4:$B$150,$B35)/1000)</f>
        <v>34499.5</v>
      </c>
      <c r="Y35" s="11">
        <f>IF(Y$3=0,"",SUMIFS(INDEX(Inputs!$D$4:$AG$150,0,MATCH(Y$2,Inputs!$D$2:$AG$2,0)),Inputs!$B$4:$B$150,$B35)/1000)</f>
        <v>34180.1</v>
      </c>
      <c r="Z35" s="11">
        <f>IF(Z$3=0,"",SUMIFS(INDEX(Inputs!$D$4:$AG$150,0,MATCH(Z$2,Inputs!$D$2:$AG$2,0)),Inputs!$B$4:$B$150,$B35)/1000)</f>
        <v>40873.6</v>
      </c>
      <c r="AA35" s="11">
        <f>IF(AA$3=0,"",SUMIFS(INDEX(Inputs!$D$4:$AG$150,0,MATCH(AA$2,Inputs!$D$2:$AG$2,0)),Inputs!$B$4:$B$150,$B35)/1000)</f>
        <v>40868</v>
      </c>
      <c r="AB35" s="12">
        <f>IF(AA35="","",AA35)</f>
        <v>40868</v>
      </c>
      <c r="AC35" s="11">
        <f>IF(AC$3=0,"",SUMIFS(INDEX(Inputs!$D$4:$AG$150,0,MATCH(AC$2,Inputs!$D$2:$AG$2,0)),Inputs!$B$4:$B$150,$B35)/1000)</f>
        <v>39370</v>
      </c>
      <c r="AD35" s="11">
        <f>IF(AD$3=0,"",SUMIFS(INDEX(Inputs!$D$4:$AG$150,0,MATCH(AD$2,Inputs!$D$2:$AG$2,0)),Inputs!$B$4:$B$150,$B35)/1000)</f>
        <v>47858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0</v>
      </c>
      <c r="E36" s="11">
        <f>IF(E$3=0,"",SUMIFS(INDEX(Inputs!$D$4:$AG$150,0,MATCH(E$2,Inputs!$D$2:$AG$2,0)),Inputs!$B$4:$B$150,$B36)/1000)</f>
        <v>0</v>
      </c>
      <c r="F36" s="11">
        <f>IF(F$3=0,"",SUMIFS(INDEX(Inputs!$D$4:$AG$150,0,MATCH(F$2,Inputs!$D$2:$AG$2,0)),Inputs!$B$4:$B$150,$B36)/1000)</f>
        <v>0</v>
      </c>
      <c r="G36" s="11">
        <f>IF(G$3=0,"",SUMIFS(INDEX(Inputs!$D$4:$AG$150,0,MATCH(G$2,Inputs!$D$2:$AG$2,0)),Inputs!$B$4:$B$150,$B36)/1000)</f>
        <v>0</v>
      </c>
      <c r="H36" s="12">
        <f>IF(G36="","",G36)</f>
        <v>0</v>
      </c>
      <c r="I36" s="11">
        <f>IF(I$3=0,"",SUMIFS(INDEX(Inputs!$D$4:$AG$150,0,MATCH(I$2,Inputs!$D$2:$AG$2,0)),Inputs!$B$4:$B$150,$B36)/1000)</f>
        <v>0</v>
      </c>
      <c r="J36" s="11">
        <f>IF(J$3=0,"",SUMIFS(INDEX(Inputs!$D$4:$AG$150,0,MATCH(J$2,Inputs!$D$2:$AG$2,0)),Inputs!$B$4:$B$150,$B36)/1000)</f>
        <v>0</v>
      </c>
      <c r="K36" s="11">
        <f>IF(K$3=0,"",SUMIFS(INDEX(Inputs!$D$4:$AG$150,0,MATCH(K$2,Inputs!$D$2:$AG$2,0)),Inputs!$B$4:$B$150,$B36)/1000)</f>
        <v>0</v>
      </c>
      <c r="L36" s="11">
        <f>IF(L$3=0,"",SUMIFS(INDEX(Inputs!$D$4:$AG$150,0,MATCH(L$2,Inputs!$D$2:$AG$2,0)),Inputs!$B$4:$B$150,$B36)/1000)</f>
        <v>0</v>
      </c>
      <c r="M36" s="12">
        <f>IF(L36="","",L36)</f>
        <v>0</v>
      </c>
      <c r="N36" s="11">
        <f>IF(N$3=0,"",SUMIFS(INDEX(Inputs!$D$4:$AG$150,0,MATCH(N$2,Inputs!$D$2:$AG$2,0)),Inputs!$B$4:$B$150,$B36)/1000)</f>
        <v>0</v>
      </c>
      <c r="O36" s="11">
        <f>IF(O$3=0,"",SUMIFS(INDEX(Inputs!$D$4:$AG$150,0,MATCH(O$2,Inputs!$D$2:$AG$2,0)),Inputs!$B$4:$B$150,$B36)/1000)</f>
        <v>0</v>
      </c>
      <c r="P36" s="11">
        <f>IF(P$3=0,"",SUMIFS(INDEX(Inputs!$D$4:$AG$150,0,MATCH(P$2,Inputs!$D$2:$AG$2,0)),Inputs!$B$4:$B$150,$B36)/1000)</f>
        <v>0</v>
      </c>
      <c r="Q36" s="11">
        <f>IF(Q$3=0,"",SUMIFS(INDEX(Inputs!$D$4:$AG$150,0,MATCH(Q$2,Inputs!$D$2:$AG$2,0)),Inputs!$B$4:$B$150,$B36)/1000)</f>
        <v>0</v>
      </c>
      <c r="R36" s="12">
        <f>IF(Q36="","",Q36)</f>
        <v>0</v>
      </c>
      <c r="S36" s="11">
        <f>IF(S$3=0,"",SUMIFS(INDEX(Inputs!$D$4:$AG$150,0,MATCH(S$2,Inputs!$D$2:$AG$2,0)),Inputs!$B$4:$B$150,$B36)/1000)</f>
        <v>0</v>
      </c>
      <c r="T36" s="11">
        <f>IF(T$3=0,"",SUMIFS(INDEX(Inputs!$D$4:$AG$150,0,MATCH(T$2,Inputs!$D$2:$AG$2,0)),Inputs!$B$4:$B$150,$B36)/1000)</f>
        <v>0</v>
      </c>
      <c r="U36" s="11">
        <f>IF(U$3=0,"",SUMIFS(INDEX(Inputs!$D$4:$AG$150,0,MATCH(U$2,Inputs!$D$2:$AG$2,0)),Inputs!$B$4:$B$150,$B36)/1000)</f>
        <v>0</v>
      </c>
      <c r="V36" s="11">
        <f>IF(V$3=0,"",SUMIFS(INDEX(Inputs!$D$4:$AG$150,0,MATCH(V$2,Inputs!$D$2:$AG$2,0)),Inputs!$B$4:$B$150,$B36)/1000)</f>
        <v>0</v>
      </c>
      <c r="W36" s="12">
        <f>IF(V36="","",V36)</f>
        <v>0</v>
      </c>
      <c r="X36" s="11">
        <f>IF(X$3=0,"",SUMIFS(INDEX(Inputs!$D$4:$AG$150,0,MATCH(X$2,Inputs!$D$2:$AG$2,0)),Inputs!$B$4:$B$150,$B36)/1000)</f>
        <v>0</v>
      </c>
      <c r="Y36" s="11">
        <f>IF(Y$3=0,"",SUMIFS(INDEX(Inputs!$D$4:$AG$150,0,MATCH(Y$2,Inputs!$D$2:$AG$2,0)),Inputs!$B$4:$B$150,$B36)/1000)</f>
        <v>0</v>
      </c>
      <c r="Z36" s="11">
        <f>IF(Z$3=0,"",SUMIFS(INDEX(Inputs!$D$4:$AG$150,0,MATCH(Z$2,Inputs!$D$2:$AG$2,0)),Inputs!$B$4:$B$150,$B36)/1000)</f>
        <v>0</v>
      </c>
      <c r="AA36" s="11">
        <f>IF(AA$3=0,"",SUMIFS(INDEX(Inputs!$D$4:$AG$150,0,MATCH(AA$2,Inputs!$D$2:$AG$2,0)),Inputs!$B$4:$B$150,$B36)/1000)</f>
        <v>0</v>
      </c>
      <c r="AB36" s="12">
        <f>IF(AA36="","",AA36)</f>
        <v>0</v>
      </c>
      <c r="AC36" s="11">
        <f>IF(AC$3=0,"",SUMIFS(INDEX(Inputs!$D$4:$AG$150,0,MATCH(AC$2,Inputs!$D$2:$AG$2,0)),Inputs!$B$4:$B$150,$B36)/1000)</f>
        <v>0</v>
      </c>
      <c r="AD36" s="11">
        <f>IF(AD$3=0,"",SUMIFS(INDEX(Inputs!$D$4:$AG$150,0,MATCH(AD$2,Inputs!$D$2:$AG$2,0)),Inputs!$B$4:$B$150,$B36)/1000)</f>
        <v>0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2200.6</v>
      </c>
      <c r="E38" s="11">
        <f>IF(E$3=0,"",SUMIFS(INDEX(Inputs!$D$4:$AG$150,0,MATCH(E$2,Inputs!$D$2:$AG$2,0)),Inputs!$B$4:$B$150,$B38)/1000)</f>
        <v>1857.3</v>
      </c>
      <c r="F38" s="11">
        <f>IF(F$3=0,"",SUMIFS(INDEX(Inputs!$D$4:$AG$150,0,MATCH(F$2,Inputs!$D$2:$AG$2,0)),Inputs!$B$4:$B$150,$B38)/1000)</f>
        <v>1632.5</v>
      </c>
      <c r="G38" s="11">
        <f>IF(G$3=0,"",SUMIFS(INDEX(Inputs!$D$4:$AG$150,0,MATCH(G$2,Inputs!$D$2:$AG$2,0)),Inputs!$B$4:$B$150,$B38)/1000)</f>
        <v>1733.7</v>
      </c>
      <c r="H38" s="12">
        <f>IF(G38="","",G38)</f>
        <v>1733.7</v>
      </c>
      <c r="I38" s="11">
        <f>IF(I$3=0,"",SUMIFS(INDEX(Inputs!$D$4:$AG$150,0,MATCH(I$2,Inputs!$D$2:$AG$2,0)),Inputs!$B$4:$B$150,$B38)/1000)</f>
        <v>1286.1</v>
      </c>
      <c r="J38" s="11">
        <f>IF(J$3=0,"",SUMIFS(INDEX(Inputs!$D$4:$AG$150,0,MATCH(J$2,Inputs!$D$2:$AG$2,0)),Inputs!$B$4:$B$150,$B38)/1000)</f>
        <v>862.5</v>
      </c>
      <c r="K38" s="11">
        <f>IF(K$3=0,"",SUMIFS(INDEX(Inputs!$D$4:$AG$150,0,MATCH(K$2,Inputs!$D$2:$AG$2,0)),Inputs!$B$4:$B$150,$B38)/1000)</f>
        <v>171.9</v>
      </c>
      <c r="L38" s="11">
        <f>IF(L$3=0,"",SUMIFS(INDEX(Inputs!$D$4:$AG$150,0,MATCH(L$2,Inputs!$D$2:$AG$2,0)),Inputs!$B$4:$B$150,$B38)/1000)</f>
        <v>87.3</v>
      </c>
      <c r="M38" s="12">
        <f>IF(L38="","",L38)</f>
        <v>87.3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9624.6</v>
      </c>
      <c r="E39" s="11">
        <f>IF(E$3=0,"",SUMIFS(INDEX(Inputs!$D$4:$AG$150,0,MATCH(E$2,Inputs!$D$2:$AG$2,0)),Inputs!$B$4:$B$150,$B39)/1000)</f>
        <v>9458.4</v>
      </c>
      <c r="F39" s="11">
        <f>IF(F$3=0,"",SUMIFS(INDEX(Inputs!$D$4:$AG$150,0,MATCH(F$2,Inputs!$D$2:$AG$2,0)),Inputs!$B$4:$B$150,$B39)/1000)</f>
        <v>9396</v>
      </c>
      <c r="G39" s="11">
        <f>IF(G$3=0,"",SUMIFS(INDEX(Inputs!$D$4:$AG$150,0,MATCH(G$2,Inputs!$D$2:$AG$2,0)),Inputs!$B$4:$B$150,$B39)/1000)</f>
        <v>7518.4</v>
      </c>
      <c r="H39" s="12">
        <f>IF(G39="","",G39)</f>
        <v>7518.4</v>
      </c>
      <c r="I39" s="11">
        <f>IF(I$3=0,"",SUMIFS(INDEX(Inputs!$D$4:$AG$150,0,MATCH(I$2,Inputs!$D$2:$AG$2,0)),Inputs!$B$4:$B$150,$B39)/1000)</f>
        <v>7632.3</v>
      </c>
      <c r="J39" s="11">
        <f>IF(J$3=0,"",SUMIFS(INDEX(Inputs!$D$4:$AG$150,0,MATCH(J$2,Inputs!$D$2:$AG$2,0)),Inputs!$B$4:$B$150,$B39)/1000)</f>
        <v>7229.3</v>
      </c>
      <c r="K39" s="11">
        <f>IF(K$3=0,"",SUMIFS(INDEX(Inputs!$D$4:$AG$150,0,MATCH(K$2,Inputs!$D$2:$AG$2,0)),Inputs!$B$4:$B$150,$B39)/1000)</f>
        <v>7327.1</v>
      </c>
      <c r="L39" s="11">
        <f>IF(L$3=0,"",SUMIFS(INDEX(Inputs!$D$4:$AG$150,0,MATCH(L$2,Inputs!$D$2:$AG$2,0)),Inputs!$B$4:$B$150,$B39)/1000)</f>
        <v>6751.4</v>
      </c>
      <c r="M39" s="12">
        <f>IF(L39="","",L39)</f>
        <v>6751.4</v>
      </c>
      <c r="N39" s="11">
        <f>IF(N$3=0,"",SUMIFS(INDEX(Inputs!$D$4:$AG$150,0,MATCH(N$2,Inputs!$D$2:$AG$2,0)),Inputs!$B$4:$B$150,$B39)/1000)</f>
        <v>6977.6</v>
      </c>
      <c r="O39" s="11">
        <f>IF(O$3=0,"",SUMIFS(INDEX(Inputs!$D$4:$AG$150,0,MATCH(O$2,Inputs!$D$2:$AG$2,0)),Inputs!$B$4:$B$150,$B39)/1000)</f>
        <v>6591.3</v>
      </c>
      <c r="P39" s="11">
        <f>IF(P$3=0,"",SUMIFS(INDEX(Inputs!$D$4:$AG$150,0,MATCH(P$2,Inputs!$D$2:$AG$2,0)),Inputs!$B$4:$B$150,$B39)/1000)</f>
        <v>6686.3</v>
      </c>
      <c r="Q39" s="11">
        <f>IF(Q$3=0,"",SUMIFS(INDEX(Inputs!$D$4:$AG$150,0,MATCH(Q$2,Inputs!$D$2:$AG$2,0)),Inputs!$B$4:$B$150,$B39)/1000)</f>
        <v>7528.6</v>
      </c>
      <c r="R39" s="12">
        <f>IF(Q39="","",Q39)</f>
        <v>7528.6</v>
      </c>
      <c r="S39" s="11">
        <f>IF(S$3=0,"",SUMIFS(INDEX(Inputs!$D$4:$AG$150,0,MATCH(S$2,Inputs!$D$2:$AG$2,0)),Inputs!$B$4:$B$150,$B39)/1000)</f>
        <v>7888.1</v>
      </c>
      <c r="T39" s="11">
        <f>IF(T$3=0,"",SUMIFS(INDEX(Inputs!$D$4:$AG$150,0,MATCH(T$2,Inputs!$D$2:$AG$2,0)),Inputs!$B$4:$B$150,$B39)/1000)</f>
        <v>7387.7</v>
      </c>
      <c r="U39" s="11">
        <f>IF(U$3=0,"",SUMIFS(INDEX(Inputs!$D$4:$AG$150,0,MATCH(U$2,Inputs!$D$2:$AG$2,0)),Inputs!$B$4:$B$150,$B39)/1000)</f>
        <v>7566.7</v>
      </c>
      <c r="V39" s="11">
        <f>IF(V$3=0,"",SUMIFS(INDEX(Inputs!$D$4:$AG$150,0,MATCH(V$2,Inputs!$D$2:$AG$2,0)),Inputs!$B$4:$B$150,$B39)/1000)</f>
        <v>7539.6</v>
      </c>
      <c r="W39" s="12">
        <f>IF(V39="","",V39)</f>
        <v>7539.6</v>
      </c>
      <c r="X39" s="11">
        <f>IF(X$3=0,"",SUMIFS(INDEX(Inputs!$D$4:$AG$150,0,MATCH(X$2,Inputs!$D$2:$AG$2,0)),Inputs!$B$4:$B$150,$B39)/1000)</f>
        <v>8974.4</v>
      </c>
      <c r="Y39" s="11">
        <f>IF(Y$3=0,"",SUMIFS(INDEX(Inputs!$D$4:$AG$150,0,MATCH(Y$2,Inputs!$D$2:$AG$2,0)),Inputs!$B$4:$B$150,$B39)/1000)</f>
        <v>9373.5</v>
      </c>
      <c r="Z39" s="11">
        <f>IF(Z$3=0,"",SUMIFS(INDEX(Inputs!$D$4:$AG$150,0,MATCH(Z$2,Inputs!$D$2:$AG$2,0)),Inputs!$B$4:$B$150,$B39)/1000)</f>
        <v>10070.1</v>
      </c>
      <c r="AA39" s="11">
        <f>IF(AA$3=0,"",SUMIFS(INDEX(Inputs!$D$4:$AG$150,0,MATCH(AA$2,Inputs!$D$2:$AG$2,0)),Inputs!$B$4:$B$150,$B39)/1000)</f>
        <v>9867</v>
      </c>
      <c r="AB39" s="12">
        <f>IF(AA39="","",AA39)</f>
        <v>9867</v>
      </c>
      <c r="AC39" s="11">
        <f>IF(AC$3=0,"",SUMIFS(INDEX(Inputs!$D$4:$AG$150,0,MATCH(AC$2,Inputs!$D$2:$AG$2,0)),Inputs!$B$4:$B$150,$B39)/1000)</f>
        <v>9393</v>
      </c>
      <c r="AD39" s="11">
        <f>IF(AD$3=0,"",SUMIFS(INDEX(Inputs!$D$4:$AG$150,0,MATCH(AD$2,Inputs!$D$2:$AG$2,0)),Inputs!$B$4:$B$150,$B39)/1000)</f>
        <v>12860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200.6</v>
      </c>
      <c r="E41" s="11">
        <f>IF(E$3=0,"",SUMIFS(INDEX(Inputs!$D$4:$AG$150,0,MATCH(E$2,Inputs!$D$2:$AG$2,0)),Inputs!$B$4:$B$150,$B41)/1000)</f>
        <v>219.1</v>
      </c>
      <c r="F41" s="11">
        <f>IF(F$3=0,"",SUMIFS(INDEX(Inputs!$D$4:$AG$150,0,MATCH(F$2,Inputs!$D$2:$AG$2,0)),Inputs!$B$4:$B$150,$B41)/1000)</f>
        <v>197.1</v>
      </c>
      <c r="G41" s="11">
        <f>IF(G$3=0,"",SUMIFS(INDEX(Inputs!$D$4:$AG$150,0,MATCH(G$2,Inputs!$D$2:$AG$2,0)),Inputs!$B$4:$B$150,$B41)/1000)</f>
        <v>175.6</v>
      </c>
      <c r="H41" s="12">
        <f>IF(G41="","",G41)</f>
        <v>175.6</v>
      </c>
      <c r="I41" s="11">
        <f>IF(I$3=0,"",SUMIFS(INDEX(Inputs!$D$4:$AG$150,0,MATCH(I$2,Inputs!$D$2:$AG$2,0)),Inputs!$B$4:$B$150,$B41)/1000)</f>
        <v>131.2</v>
      </c>
      <c r="J41" s="11">
        <f>IF(J$3=0,"",SUMIFS(INDEX(Inputs!$D$4:$AG$150,0,MATCH(J$2,Inputs!$D$2:$AG$2,0)),Inputs!$B$4:$B$150,$B41)/1000)</f>
        <v>114.5</v>
      </c>
      <c r="K41" s="11">
        <f>IF(K$3=0,"",SUMIFS(INDEX(Inputs!$D$4:$AG$150,0,MATCH(K$2,Inputs!$D$2:$AG$2,0)),Inputs!$B$4:$B$150,$B41)/1000)</f>
        <v>95.8</v>
      </c>
      <c r="L41" s="11">
        <f>IF(L$3=0,"",SUMIFS(INDEX(Inputs!$D$4:$AG$150,0,MATCH(L$2,Inputs!$D$2:$AG$2,0)),Inputs!$B$4:$B$150,$B41)/1000)</f>
        <v>125.6</v>
      </c>
      <c r="M41" s="12">
        <f>IF(L41="","",L41)</f>
        <v>125.6</v>
      </c>
      <c r="N41" s="11">
        <f>IF(N$3=0,"",SUMIFS(INDEX(Inputs!$D$4:$AG$150,0,MATCH(N$2,Inputs!$D$2:$AG$2,0)),Inputs!$B$4:$B$150,$B41)/1000)</f>
        <v>104.5</v>
      </c>
      <c r="O41" s="11">
        <f>IF(O$3=0,"",SUMIFS(INDEX(Inputs!$D$4:$AG$150,0,MATCH(O$2,Inputs!$D$2:$AG$2,0)),Inputs!$B$4:$B$150,$B41)/1000)</f>
        <v>85.5</v>
      </c>
      <c r="P41" s="11">
        <f>IF(P$3=0,"",SUMIFS(INDEX(Inputs!$D$4:$AG$150,0,MATCH(P$2,Inputs!$D$2:$AG$2,0)),Inputs!$B$4:$B$150,$B41)/1000)</f>
        <v>87</v>
      </c>
      <c r="Q41" s="11">
        <f>IF(Q$3=0,"",SUMIFS(INDEX(Inputs!$D$4:$AG$150,0,MATCH(Q$2,Inputs!$D$2:$AG$2,0)),Inputs!$B$4:$B$150,$B41)/1000)</f>
        <v>91.8</v>
      </c>
      <c r="R41" s="12">
        <f>IF(Q41="","",Q41)</f>
        <v>91.8</v>
      </c>
      <c r="S41" s="11">
        <f>IF(S$3=0,"",SUMIFS(INDEX(Inputs!$D$4:$AG$150,0,MATCH(S$2,Inputs!$D$2:$AG$2,0)),Inputs!$B$4:$B$150,$B41)/1000)</f>
        <v>85.2</v>
      </c>
      <c r="T41" s="11">
        <f>IF(T$3=0,"",SUMIFS(INDEX(Inputs!$D$4:$AG$150,0,MATCH(T$2,Inputs!$D$2:$AG$2,0)),Inputs!$B$4:$B$150,$B41)/1000)</f>
        <v>73.5</v>
      </c>
      <c r="U41" s="11">
        <f>IF(U$3=0,"",SUMIFS(INDEX(Inputs!$D$4:$AG$150,0,MATCH(U$2,Inputs!$D$2:$AG$2,0)),Inputs!$B$4:$B$150,$B41)/1000)</f>
        <v>80.7</v>
      </c>
      <c r="V41" s="11">
        <f>IF(V$3=0,"",SUMIFS(INDEX(Inputs!$D$4:$AG$150,0,MATCH(V$2,Inputs!$D$2:$AG$2,0)),Inputs!$B$4:$B$150,$B41)/1000)</f>
        <v>79.5</v>
      </c>
      <c r="W41" s="12">
        <f>IF(V41="","",V41)</f>
        <v>79.5</v>
      </c>
      <c r="X41" s="11">
        <f>IF(X$3=0,"",SUMIFS(INDEX(Inputs!$D$4:$AG$150,0,MATCH(X$2,Inputs!$D$2:$AG$2,0)),Inputs!$B$4:$B$150,$B41)/1000)</f>
        <v>82</v>
      </c>
      <c r="Y41" s="11">
        <f>IF(Y$3=0,"",SUMIFS(INDEX(Inputs!$D$4:$AG$150,0,MATCH(Y$2,Inputs!$D$2:$AG$2,0)),Inputs!$B$4:$B$150,$B41)/1000)</f>
        <v>76.2</v>
      </c>
      <c r="Z41" s="11">
        <f>IF(Z$3=0,"",SUMIFS(INDEX(Inputs!$D$4:$AG$150,0,MATCH(Z$2,Inputs!$D$2:$AG$2,0)),Inputs!$B$4:$B$150,$B41)/1000)</f>
        <v>57.5</v>
      </c>
      <c r="AA41" s="11">
        <f>IF(AA$3=0,"",SUMIFS(INDEX(Inputs!$D$4:$AG$150,0,MATCH(AA$2,Inputs!$D$2:$AG$2,0)),Inputs!$B$4:$B$150,$B41)/1000)</f>
        <v>0</v>
      </c>
      <c r="AB41" s="12">
        <f>IF(AA41="","",AA41)</f>
        <v>0</v>
      </c>
      <c r="AC41" s="11">
        <f>IF(AC$3=0,"",SUMIFS(INDEX(Inputs!$D$4:$AG$150,0,MATCH(AC$2,Inputs!$D$2:$AG$2,0)),Inputs!$B$4:$B$150,$B41)/1000)</f>
        <v>0</v>
      </c>
      <c r="AD41" s="11">
        <f>IF(AD$3=0,"",SUMIFS(INDEX(Inputs!$D$4:$AG$150,0,MATCH(AD$2,Inputs!$D$2:$AG$2,0)),Inputs!$B$4:$B$150,$B41)/1000)</f>
        <v>0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7178.9</v>
      </c>
      <c r="E43" s="11">
        <f>IF(E$3=0,"",SUMIFS(INDEX(Inputs!$D$4:$AG$150,0,MATCH(E$2,Inputs!$D$2:$AG$2,0)),Inputs!$B$4:$B$150,$B43)/1000)</f>
        <v>7267.3</v>
      </c>
      <c r="F43" s="11">
        <f>IF(F$3=0,"",SUMIFS(INDEX(Inputs!$D$4:$AG$150,0,MATCH(F$2,Inputs!$D$2:$AG$2,0)),Inputs!$B$4:$B$150,$B43)/1000)</f>
        <v>7356.2</v>
      </c>
      <c r="G43" s="11">
        <f>IF(G$3=0,"",SUMIFS(INDEX(Inputs!$D$4:$AG$150,0,MATCH(G$2,Inputs!$D$2:$AG$2,0)),Inputs!$B$4:$B$150,$B43)/1000)</f>
        <v>7429.7</v>
      </c>
      <c r="H43" s="12">
        <f>IF(G43="","",G43)</f>
        <v>7429.7</v>
      </c>
      <c r="I43" s="11">
        <f>IF(I$3=0,"",SUMIFS(INDEX(Inputs!$D$4:$AG$150,0,MATCH(I$2,Inputs!$D$2:$AG$2,0)),Inputs!$B$4:$B$150,$B43)/1000)</f>
        <v>7250.4</v>
      </c>
      <c r="J43" s="11">
        <f>IF(J$3=0,"",SUMIFS(INDEX(Inputs!$D$4:$AG$150,0,MATCH(J$2,Inputs!$D$2:$AG$2,0)),Inputs!$B$4:$B$150,$B43)/1000)</f>
        <v>7340.1</v>
      </c>
      <c r="K43" s="11">
        <f>IF(K$3=0,"",SUMIFS(INDEX(Inputs!$D$4:$AG$150,0,MATCH(K$2,Inputs!$D$2:$AG$2,0)),Inputs!$B$4:$B$150,$B43)/1000)</f>
        <v>7423.1</v>
      </c>
      <c r="L43" s="11">
        <f>IF(L$3=0,"",SUMIFS(INDEX(Inputs!$D$4:$AG$150,0,MATCH(L$2,Inputs!$D$2:$AG$2,0)),Inputs!$B$4:$B$150,$B43)/1000)</f>
        <v>7515.5</v>
      </c>
      <c r="M43" s="12">
        <f>IF(L43="","",L43)</f>
        <v>7515.5</v>
      </c>
      <c r="N43" s="11">
        <f>IF(N$3=0,"",SUMIFS(INDEX(Inputs!$D$4:$AG$150,0,MATCH(N$2,Inputs!$D$2:$AG$2,0)),Inputs!$B$4:$B$150,$B43)/1000)</f>
        <v>7386.6</v>
      </c>
      <c r="O43" s="11">
        <f>IF(O$3=0,"",SUMIFS(INDEX(Inputs!$D$4:$AG$150,0,MATCH(O$2,Inputs!$D$2:$AG$2,0)),Inputs!$B$4:$B$150,$B43)/1000)</f>
        <v>7542.2</v>
      </c>
      <c r="P43" s="11">
        <f>IF(P$3=0,"",SUMIFS(INDEX(Inputs!$D$4:$AG$150,0,MATCH(P$2,Inputs!$D$2:$AG$2,0)),Inputs!$B$4:$B$150,$B43)/1000)</f>
        <v>7753.6</v>
      </c>
      <c r="Q43" s="11">
        <f>IF(Q$3=0,"",SUMIFS(INDEX(Inputs!$D$4:$AG$150,0,MATCH(Q$2,Inputs!$D$2:$AG$2,0)),Inputs!$B$4:$B$150,$B43)/1000)</f>
        <v>7844</v>
      </c>
      <c r="R43" s="12">
        <f>IF(Q43="","",Q43)</f>
        <v>7844</v>
      </c>
      <c r="S43" s="11">
        <f>IF(S$3=0,"",SUMIFS(INDEX(Inputs!$D$4:$AG$150,0,MATCH(S$2,Inputs!$D$2:$AG$2,0)),Inputs!$B$4:$B$150,$B43)/1000)</f>
        <v>7603.7</v>
      </c>
      <c r="T43" s="11">
        <f>IF(T$3=0,"",SUMIFS(INDEX(Inputs!$D$4:$AG$150,0,MATCH(T$2,Inputs!$D$2:$AG$2,0)),Inputs!$B$4:$B$150,$B43)/1000)</f>
        <v>7808.4</v>
      </c>
      <c r="U43" s="11">
        <f>IF(U$3=0,"",SUMIFS(INDEX(Inputs!$D$4:$AG$150,0,MATCH(U$2,Inputs!$D$2:$AG$2,0)),Inputs!$B$4:$B$150,$B43)/1000)</f>
        <v>7933.5</v>
      </c>
      <c r="V43" s="11">
        <f>IF(V$3=0,"",SUMIFS(INDEX(Inputs!$D$4:$AG$150,0,MATCH(V$2,Inputs!$D$2:$AG$2,0)),Inputs!$B$4:$B$150,$B43)/1000)</f>
        <v>8031.7</v>
      </c>
      <c r="W43" s="12">
        <f>IF(V43="","",V43)</f>
        <v>8031.7</v>
      </c>
      <c r="X43" s="11">
        <f>IF(X$3=0,"",SUMIFS(INDEX(Inputs!$D$4:$AG$150,0,MATCH(X$2,Inputs!$D$2:$AG$2,0)),Inputs!$B$4:$B$150,$B43)/1000)</f>
        <v>7502.6</v>
      </c>
      <c r="Y43" s="11">
        <f>IF(Y$3=0,"",SUMIFS(INDEX(Inputs!$D$4:$AG$150,0,MATCH(Y$2,Inputs!$D$2:$AG$2,0)),Inputs!$B$4:$B$150,$B43)/1000)</f>
        <v>7681.3</v>
      </c>
      <c r="Z43" s="11">
        <f>IF(Z$3=0,"",SUMIFS(INDEX(Inputs!$D$4:$AG$150,0,MATCH(Z$2,Inputs!$D$2:$AG$2,0)),Inputs!$B$4:$B$150,$B43)/1000)</f>
        <v>7823.3</v>
      </c>
      <c r="AA43" s="11">
        <f>IF(AA$3=0,"",SUMIFS(INDEX(Inputs!$D$4:$AG$150,0,MATCH(AA$2,Inputs!$D$2:$AG$2,0)),Inputs!$B$4:$B$150,$B43)/1000)</f>
        <v>7936</v>
      </c>
      <c r="AB43" s="12">
        <f>IF(AA43="","",AA43)</f>
        <v>7936</v>
      </c>
      <c r="AC43" s="11">
        <f>IF(AC$3=0,"",SUMIFS(INDEX(Inputs!$D$4:$AG$150,0,MATCH(AC$2,Inputs!$D$2:$AG$2,0)),Inputs!$B$4:$B$150,$B43)/1000)</f>
        <v>7511</v>
      </c>
      <c r="AD43" s="11">
        <f>IF(AD$3=0,"",SUMIFS(INDEX(Inputs!$D$4:$AG$150,0,MATCH(AD$2,Inputs!$D$2:$AG$2,0)),Inputs!$B$4:$B$150,$B43)/1000)</f>
        <v>7705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-3065.9</v>
      </c>
      <c r="E44" s="11">
        <f>IF(E$3=0,"",SUMIFS(INDEX(Inputs!$D$4:$AG$150,0,MATCH(E$2,Inputs!$D$2:$AG$2,0)),Inputs!$B$4:$B$150,$B44)/1000)</f>
        <v>-3065.9</v>
      </c>
      <c r="F44" s="11">
        <f>IF(F$3=0,"",SUMIFS(INDEX(Inputs!$D$4:$AG$150,0,MATCH(F$2,Inputs!$D$2:$AG$2,0)),Inputs!$B$4:$B$150,$B44)/1000)</f>
        <v>-3065.9</v>
      </c>
      <c r="G44" s="11">
        <f>IF(G$3=0,"",SUMIFS(INDEX(Inputs!$D$4:$AG$150,0,MATCH(G$2,Inputs!$D$2:$AG$2,0)),Inputs!$B$4:$B$150,$B44)/1000)</f>
        <v>-3065.9</v>
      </c>
      <c r="H44" s="12">
        <f>IF(G44="","",G44)</f>
        <v>-3065.9</v>
      </c>
      <c r="I44" s="11">
        <f>IF(I$3=0,"",SUMIFS(INDEX(Inputs!$D$4:$AG$150,0,MATCH(I$2,Inputs!$D$2:$AG$2,0)),Inputs!$B$4:$B$150,$B44)/1000)</f>
        <v>-3063.7</v>
      </c>
      <c r="J44" s="11">
        <f>IF(J$3=0,"",SUMIFS(INDEX(Inputs!$D$4:$AG$150,0,MATCH(J$2,Inputs!$D$2:$AG$2,0)),Inputs!$B$4:$B$150,$B44)/1000)</f>
        <v>-3063.7</v>
      </c>
      <c r="K44" s="11">
        <f>IF(K$3=0,"",SUMIFS(INDEX(Inputs!$D$4:$AG$150,0,MATCH(K$2,Inputs!$D$2:$AG$2,0)),Inputs!$B$4:$B$150,$B44)/1000)</f>
        <v>-3063.7</v>
      </c>
      <c r="L44" s="11">
        <f>IF(L$3=0,"",SUMIFS(INDEX(Inputs!$D$4:$AG$150,0,MATCH(L$2,Inputs!$D$2:$AG$2,0)),Inputs!$B$4:$B$150,$B44)/1000)</f>
        <v>-3063.7</v>
      </c>
      <c r="M44" s="12">
        <f>IF(L44="","",L44)</f>
        <v>-3063.7</v>
      </c>
      <c r="N44" s="11">
        <f>IF(N$3=0,"",SUMIFS(INDEX(Inputs!$D$4:$AG$150,0,MATCH(N$2,Inputs!$D$2:$AG$2,0)),Inputs!$B$4:$B$150,$B44)/1000)</f>
        <v>-3058.2</v>
      </c>
      <c r="O44" s="11">
        <f>IF(O$3=0,"",SUMIFS(INDEX(Inputs!$D$4:$AG$150,0,MATCH(O$2,Inputs!$D$2:$AG$2,0)),Inputs!$B$4:$B$150,$B44)/1000)</f>
        <v>-3058.2</v>
      </c>
      <c r="P44" s="11">
        <f>IF(P$3=0,"",SUMIFS(INDEX(Inputs!$D$4:$AG$150,0,MATCH(P$2,Inputs!$D$2:$AG$2,0)),Inputs!$B$4:$B$150,$B44)/1000)</f>
        <v>-3058.2</v>
      </c>
      <c r="Q44" s="11">
        <f>IF(Q$3=0,"",SUMIFS(INDEX(Inputs!$D$4:$AG$150,0,MATCH(Q$2,Inputs!$D$2:$AG$2,0)),Inputs!$B$4:$B$150,$B44)/1000)</f>
        <v>-3057.4</v>
      </c>
      <c r="R44" s="12">
        <f>IF(Q44="","",Q44)</f>
        <v>-3057.4</v>
      </c>
      <c r="S44" s="11">
        <f>IF(S$3=0,"",SUMIFS(INDEX(Inputs!$D$4:$AG$150,0,MATCH(S$2,Inputs!$D$2:$AG$2,0)),Inputs!$B$4:$B$150,$B44)/1000)</f>
        <v>-3045.9</v>
      </c>
      <c r="T44" s="11">
        <f>IF(T$3=0,"",SUMIFS(INDEX(Inputs!$D$4:$AG$150,0,MATCH(T$2,Inputs!$D$2:$AG$2,0)),Inputs!$B$4:$B$150,$B44)/1000)</f>
        <v>-3045.9</v>
      </c>
      <c r="U44" s="11">
        <f>IF(U$3=0,"",SUMIFS(INDEX(Inputs!$D$4:$AG$150,0,MATCH(U$2,Inputs!$D$2:$AG$2,0)),Inputs!$B$4:$B$150,$B44)/1000)</f>
        <v>-3045.9</v>
      </c>
      <c r="V44" s="11">
        <f>IF(V$3=0,"",SUMIFS(INDEX(Inputs!$D$4:$AG$150,0,MATCH(V$2,Inputs!$D$2:$AG$2,0)),Inputs!$B$4:$B$150,$B44)/1000)</f>
        <v>-3062.7</v>
      </c>
      <c r="W44" s="12">
        <f>IF(V44="","",V44)</f>
        <v>-3062.7</v>
      </c>
      <c r="X44" s="11">
        <f>IF(X$3=0,"",SUMIFS(INDEX(Inputs!$D$4:$AG$150,0,MATCH(X$2,Inputs!$D$2:$AG$2,0)),Inputs!$B$4:$B$150,$B44)/1000)</f>
        <v>-3062.7</v>
      </c>
      <c r="Y44" s="11">
        <f>IF(Y$3=0,"",SUMIFS(INDEX(Inputs!$D$4:$AG$150,0,MATCH(Y$2,Inputs!$D$2:$AG$2,0)),Inputs!$B$4:$B$150,$B44)/1000)</f>
        <v>-3068.6</v>
      </c>
      <c r="Z44" s="11">
        <f>IF(Z$3=0,"",SUMIFS(INDEX(Inputs!$D$4:$AG$150,0,MATCH(Z$2,Inputs!$D$2:$AG$2,0)),Inputs!$B$4:$B$150,$B44)/1000)</f>
        <v>-3075.7</v>
      </c>
      <c r="AA44" s="11">
        <f>IF(AA$3=0,"",SUMIFS(INDEX(Inputs!$D$4:$AG$150,0,MATCH(AA$2,Inputs!$D$2:$AG$2,0)),Inputs!$B$4:$B$150,$B44)/1000)</f>
        <v>-3013</v>
      </c>
      <c r="AB44" s="12">
        <f>IF(AA44="","",AA44)</f>
        <v>-3013</v>
      </c>
      <c r="AC44" s="11">
        <f>IF(AC$3=0,"",SUMIFS(INDEX(Inputs!$D$4:$AG$150,0,MATCH(AC$2,Inputs!$D$2:$AG$2,0)),Inputs!$B$4:$B$150,$B44)/1000)</f>
        <v>-3013</v>
      </c>
      <c r="AD44" s="11">
        <f>IF(AD$3=0,"",SUMIFS(INDEX(Inputs!$D$4:$AG$150,0,MATCH(AD$2,Inputs!$D$2:$AG$2,0)),Inputs!$B$4:$B$150,$B44)/1000)</f>
        <v>-3013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-6395.6</v>
      </c>
      <c r="E45" s="11">
        <f>IF(E$3=0,"",SUMIFS(INDEX(Inputs!$D$4:$AG$150,0,MATCH(E$2,Inputs!$D$2:$AG$2,0)),Inputs!$B$4:$B$150,$B45)/1000)</f>
        <v>-6287.1</v>
      </c>
      <c r="F45" s="11">
        <f>IF(F$3=0,"",SUMIFS(INDEX(Inputs!$D$4:$AG$150,0,MATCH(F$2,Inputs!$D$2:$AG$2,0)),Inputs!$B$4:$B$150,$B45)/1000)</f>
        <v>-6172.7</v>
      </c>
      <c r="G45" s="11">
        <f>IF(G$3=0,"",SUMIFS(INDEX(Inputs!$D$4:$AG$150,0,MATCH(G$2,Inputs!$D$2:$AG$2,0)),Inputs!$B$4:$B$150,$B45)/1000)</f>
        <v>-4343.1</v>
      </c>
      <c r="H45" s="12">
        <f>IF(G45="","",G45)</f>
        <v>-4343.1</v>
      </c>
      <c r="I45" s="11">
        <f>IF(I$3=0,"",SUMIFS(INDEX(Inputs!$D$4:$AG$150,0,MATCH(I$2,Inputs!$D$2:$AG$2,0)),Inputs!$B$4:$B$150,$B45)/1000)</f>
        <v>-4225.3</v>
      </c>
      <c r="J45" s="11">
        <f>IF(J$3=0,"",SUMIFS(INDEX(Inputs!$D$4:$AG$150,0,MATCH(J$2,Inputs!$D$2:$AG$2,0)),Inputs!$B$4:$B$150,$B45)/1000)</f>
        <v>-4287.7</v>
      </c>
      <c r="K45" s="11">
        <f>IF(K$3=0,"",SUMIFS(INDEX(Inputs!$D$4:$AG$150,0,MATCH(K$2,Inputs!$D$2:$AG$2,0)),Inputs!$B$4:$B$150,$B45)/1000)</f>
        <v>-4295.8</v>
      </c>
      <c r="L45" s="11">
        <f>IF(L$3=0,"",SUMIFS(INDEX(Inputs!$D$4:$AG$150,0,MATCH(L$2,Inputs!$D$2:$AG$2,0)),Inputs!$B$4:$B$150,$B45)/1000)</f>
        <v>-3844.6</v>
      </c>
      <c r="M45" s="12">
        <f>IF(L45="","",L45)</f>
        <v>-3844.6</v>
      </c>
      <c r="N45" s="11">
        <f>IF(N$3=0,"",SUMIFS(INDEX(Inputs!$D$4:$AG$150,0,MATCH(N$2,Inputs!$D$2:$AG$2,0)),Inputs!$B$4:$B$150,$B45)/1000)</f>
        <v>-3777.3</v>
      </c>
      <c r="O45" s="11">
        <f>IF(O$3=0,"",SUMIFS(INDEX(Inputs!$D$4:$AG$150,0,MATCH(O$2,Inputs!$D$2:$AG$2,0)),Inputs!$B$4:$B$150,$B45)/1000)</f>
        <v>-3788.7</v>
      </c>
      <c r="P45" s="11">
        <f>IF(P$3=0,"",SUMIFS(INDEX(Inputs!$D$4:$AG$150,0,MATCH(P$2,Inputs!$D$2:$AG$2,0)),Inputs!$B$4:$B$150,$B45)/1000)</f>
        <v>-3784.9</v>
      </c>
      <c r="Q45" s="11">
        <f>IF(Q$3=0,"",SUMIFS(INDEX(Inputs!$D$4:$AG$150,0,MATCH(Q$2,Inputs!$D$2:$AG$2,0)),Inputs!$B$4:$B$150,$B45)/1000)</f>
        <v>-4327</v>
      </c>
      <c r="R45" s="12">
        <f>IF(Q45="","",Q45)</f>
        <v>-4327</v>
      </c>
      <c r="S45" s="11">
        <f>IF(S$3=0,"",SUMIFS(INDEX(Inputs!$D$4:$AG$150,0,MATCH(S$2,Inputs!$D$2:$AG$2,0)),Inputs!$B$4:$B$150,$B45)/1000)</f>
        <v>-4299.5</v>
      </c>
      <c r="T45" s="11">
        <f>IF(T$3=0,"",SUMIFS(INDEX(Inputs!$D$4:$AG$150,0,MATCH(T$2,Inputs!$D$2:$AG$2,0)),Inputs!$B$4:$B$150,$B45)/1000)</f>
        <v>-4378.5</v>
      </c>
      <c r="U45" s="11">
        <f>IF(U$3=0,"",SUMIFS(INDEX(Inputs!$D$4:$AG$150,0,MATCH(U$2,Inputs!$D$2:$AG$2,0)),Inputs!$B$4:$B$150,$B45)/1000)</f>
        <v>-4274.8</v>
      </c>
      <c r="V45" s="11">
        <f>IF(V$3=0,"",SUMIFS(INDEX(Inputs!$D$4:$AG$150,0,MATCH(V$2,Inputs!$D$2:$AG$2,0)),Inputs!$B$4:$B$150,$B45)/1000)</f>
        <v>-4321.9</v>
      </c>
      <c r="W45" s="12">
        <f>IF(V45="","",V45)</f>
        <v>-4321.9</v>
      </c>
      <c r="X45" s="11">
        <f>IF(X$3=0,"",SUMIFS(INDEX(Inputs!$D$4:$AG$150,0,MATCH(X$2,Inputs!$D$2:$AG$2,0)),Inputs!$B$4:$B$150,$B45)/1000)</f>
        <v>-3774.6</v>
      </c>
      <c r="Y45" s="11">
        <f>IF(Y$3=0,"",SUMIFS(INDEX(Inputs!$D$4:$AG$150,0,MATCH(Y$2,Inputs!$D$2:$AG$2,0)),Inputs!$B$4:$B$150,$B45)/1000)</f>
        <v>-3716</v>
      </c>
      <c r="Z45" s="11">
        <f>IF(Z$3=0,"",SUMIFS(INDEX(Inputs!$D$4:$AG$150,0,MATCH(Z$2,Inputs!$D$2:$AG$2,0)),Inputs!$B$4:$B$150,$B45)/1000)</f>
        <v>-3206.3</v>
      </c>
      <c r="AA45" s="11">
        <f>IF(AA$3=0,"",SUMIFS(INDEX(Inputs!$D$4:$AG$150,0,MATCH(AA$2,Inputs!$D$2:$AG$2,0)),Inputs!$B$4:$B$150,$B45)/1000)</f>
        <v>-2880</v>
      </c>
      <c r="AB45" s="12">
        <f>IF(AA45="","",AA45)</f>
        <v>-2880</v>
      </c>
      <c r="AC45" s="11">
        <f>IF(AC$3=0,"",SUMIFS(INDEX(Inputs!$D$4:$AG$150,0,MATCH(AC$2,Inputs!$D$2:$AG$2,0)),Inputs!$B$4:$B$150,$B45)/1000)</f>
        <v>-2833</v>
      </c>
      <c r="AD45" s="11">
        <f>IF(AD$3=0,"",SUMIFS(INDEX(Inputs!$D$4:$AG$150,0,MATCH(AD$2,Inputs!$D$2:$AG$2,0)),Inputs!$B$4:$B$150,$B45)/1000)</f>
        <v>-2761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9181.3</v>
      </c>
      <c r="E47" s="11">
        <f>IF(E$3=0,"",SUMIFS(INDEX(Inputs!$D$4:$AG$150,0,MATCH(E$2,Inputs!$D$2:$AG$2,0)),Inputs!$B$4:$B$150,$B47)/1000)</f>
        <v>8530.1</v>
      </c>
      <c r="F47" s="11">
        <f>IF(F$3=0,"",SUMIFS(INDEX(Inputs!$D$4:$AG$150,0,MATCH(F$2,Inputs!$D$2:$AG$2,0)),Inputs!$B$4:$B$150,$B47)/1000)</f>
        <v>9639.4</v>
      </c>
      <c r="G47" s="11">
        <f>IF(G$3=0,"",SUMIFS(INDEX(Inputs!$D$4:$AG$150,0,MATCH(G$2,Inputs!$D$2:$AG$2,0)),Inputs!$B$4:$B$150,$B47)/1000)</f>
        <v>8958.5</v>
      </c>
      <c r="H47" s="12">
        <f>IF(G47="","",G47)</f>
        <v>8958.5</v>
      </c>
      <c r="I47" s="11">
        <f>IF(I$3=0,"",SUMIFS(INDEX(Inputs!$D$4:$AG$150,0,MATCH(I$2,Inputs!$D$2:$AG$2,0)),Inputs!$B$4:$B$150,$B47)/1000)</f>
        <v>9369.4</v>
      </c>
      <c r="J47" s="11">
        <f>IF(J$3=0,"",SUMIFS(INDEX(Inputs!$D$4:$AG$150,0,MATCH(J$2,Inputs!$D$2:$AG$2,0)),Inputs!$B$4:$B$150,$B47)/1000)</f>
        <v>8556</v>
      </c>
      <c r="K47" s="11">
        <f>IF(K$3=0,"",SUMIFS(INDEX(Inputs!$D$4:$AG$150,0,MATCH(K$2,Inputs!$D$2:$AG$2,0)),Inputs!$B$4:$B$150,$B47)/1000)</f>
        <v>10006.5</v>
      </c>
      <c r="L47" s="11">
        <f>IF(L$3=0,"",SUMIFS(INDEX(Inputs!$D$4:$AG$150,0,MATCH(L$2,Inputs!$D$2:$AG$2,0)),Inputs!$B$4:$B$150,$B47)/1000)</f>
        <v>10042.6</v>
      </c>
      <c r="M47" s="12">
        <f>IF(L47="","",L47)</f>
        <v>10042.6</v>
      </c>
      <c r="N47" s="11">
        <f>IF(N$3=0,"",SUMIFS(INDEX(Inputs!$D$4:$AG$150,0,MATCH(N$2,Inputs!$D$2:$AG$2,0)),Inputs!$B$4:$B$150,$B47)/1000)</f>
        <v>10639.3</v>
      </c>
      <c r="O47" s="11">
        <f>IF(O$3=0,"",SUMIFS(INDEX(Inputs!$D$4:$AG$150,0,MATCH(O$2,Inputs!$D$2:$AG$2,0)),Inputs!$B$4:$B$150,$B47)/1000)</f>
        <v>10368.5</v>
      </c>
      <c r="P47" s="11">
        <f>IF(P$3=0,"",SUMIFS(INDEX(Inputs!$D$4:$AG$150,0,MATCH(P$2,Inputs!$D$2:$AG$2,0)),Inputs!$B$4:$B$150,$B47)/1000)</f>
        <v>10309.9</v>
      </c>
      <c r="Q47" s="11">
        <f>IF(Q$3=0,"",SUMIFS(INDEX(Inputs!$D$4:$AG$150,0,MATCH(Q$2,Inputs!$D$2:$AG$2,0)),Inputs!$B$4:$B$150,$B47)/1000)</f>
        <v>10312.3</v>
      </c>
      <c r="R47" s="12">
        <f>IF(Q47="","",Q47)</f>
        <v>10312.3</v>
      </c>
      <c r="S47" s="11">
        <f>IF(S$3=0,"",SUMIFS(INDEX(Inputs!$D$4:$AG$150,0,MATCH(S$2,Inputs!$D$2:$AG$2,0)),Inputs!$B$4:$B$150,$B47)/1000)</f>
        <v>12553.9</v>
      </c>
      <c r="T47" s="11">
        <f>IF(T$3=0,"",SUMIFS(INDEX(Inputs!$D$4:$AG$150,0,MATCH(T$2,Inputs!$D$2:$AG$2,0)),Inputs!$B$4:$B$150,$B47)/1000)</f>
        <v>13178</v>
      </c>
      <c r="U47" s="11">
        <f>IF(U$3=0,"",SUMIFS(INDEX(Inputs!$D$4:$AG$150,0,MATCH(U$2,Inputs!$D$2:$AG$2,0)),Inputs!$B$4:$B$150,$B47)/1000)</f>
        <v>13627.2</v>
      </c>
      <c r="V47" s="11">
        <f>IF(V$3=0,"",SUMIFS(INDEX(Inputs!$D$4:$AG$150,0,MATCH(V$2,Inputs!$D$2:$AG$2,0)),Inputs!$B$4:$B$150,$B47)/1000)</f>
        <v>13545</v>
      </c>
      <c r="W47" s="12">
        <f>IF(V47="","",V47)</f>
        <v>13545</v>
      </c>
      <c r="X47" s="11">
        <f>IF(X$3=0,"",SUMIFS(INDEX(Inputs!$D$4:$AG$150,0,MATCH(X$2,Inputs!$D$2:$AG$2,0)),Inputs!$B$4:$B$150,$B47)/1000)</f>
        <v>15099.5</v>
      </c>
      <c r="Y47" s="11">
        <f>IF(Y$3=0,"",SUMIFS(INDEX(Inputs!$D$4:$AG$150,0,MATCH(Y$2,Inputs!$D$2:$AG$2,0)),Inputs!$B$4:$B$150,$B47)/1000)</f>
        <v>17376.2</v>
      </c>
      <c r="Z47" s="11">
        <f>IF(Z$3=0,"",SUMIFS(INDEX(Inputs!$D$4:$AG$150,0,MATCH(Z$2,Inputs!$D$2:$AG$2,0)),Inputs!$B$4:$B$150,$B47)/1000)</f>
        <v>22252</v>
      </c>
      <c r="AA47" s="11">
        <f>IF(AA$3=0,"",SUMIFS(INDEX(Inputs!$D$4:$AG$150,0,MATCH(AA$2,Inputs!$D$2:$AG$2,0)),Inputs!$B$4:$B$150,$B47)/1000)</f>
        <v>24470</v>
      </c>
      <c r="AB47" s="12">
        <f>IF(AA47="","",AA47)</f>
        <v>24470</v>
      </c>
      <c r="AC47" s="11">
        <f>IF(AC$3=0,"",SUMIFS(INDEX(Inputs!$D$4:$AG$150,0,MATCH(AC$2,Inputs!$D$2:$AG$2,0)),Inputs!$B$4:$B$150,$B47)/1000)</f>
        <v>29514</v>
      </c>
      <c r="AD47" s="11">
        <f>IF(AD$3=0,"",SUMIFS(INDEX(Inputs!$D$4:$AG$150,0,MATCH(AD$2,Inputs!$D$2:$AG$2,0)),Inputs!$B$4:$B$150,$B47)/1000)</f>
        <v>31893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1355.3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1390.2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1110.1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1726.1</v>
      </c>
      <c r="H50" s="12">
        <f>IF(COUNT(D50:G50)=4,SUM(D50:G50),"")</f>
        <v>5581.7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1902.9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952.5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1451.7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1937.7</v>
      </c>
      <c r="M50" s="12">
        <f>IF(COUNT(I50:L50)=4,SUM(I50:L50),"")</f>
        <v>6244.8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1344.9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1763.2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-57.4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2189.7</v>
      </c>
      <c r="R50" s="12">
        <f>IF(COUNT(N50:Q50)=4,SUM(N50:Q50),"")</f>
        <v>5240.4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2242.9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2967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970.3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4409.8</v>
      </c>
      <c r="W50" s="12">
        <f>IF(COUNT(S50:V50)=4,SUM(S50:V50),"")</f>
        <v>10590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2759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5661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5582.5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6637.7</v>
      </c>
      <c r="AB50" s="12">
        <f>IF(COUNT(X50:AA50)=4,SUM(X50:AA50),"")</f>
        <v>20640.2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7396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7095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Mounjaro (USD)</t>
        </is>
      </c>
      <c r="D53" s="11" t="str">
        <f>IF(SUMPRODUCT((Inputs!$B$4:$B$150=$B53)*ISNUMBER(INDEX(Inputs!$D$4:$AG$150,0,MATCH(D$2,Inputs!$D$2:$AG$2,0))))=0,"",SUMIFS(INDEX(Inputs!$D$4:$AG$150,0,MATCH(D$2,Inputs!$D$2:$AG$2,0)),Inputs!$B$4:$B$150,$B53)/1000)</f>
        <v/>
      </c>
      <c r="E53" s="11" t="str">
        <f>IF(SUMPRODUCT((Inputs!$B$4:$B$150=$B53)*ISNUMBER(INDEX(Inputs!$D$4:$AG$150,0,MATCH(E$2,Inputs!$D$2:$AG$2,0))))=0,"",SUMIFS(INDEX(Inputs!$D$4:$AG$150,0,MATCH(E$2,Inputs!$D$2:$AG$2,0)),Inputs!$B$4:$B$150,$B53)/1000)</f>
        <v/>
      </c>
      <c r="F53" s="11">
        <f>IF(SUMPRODUCT((Inputs!$B$4:$B$150=$B53)*ISNUMBER(INDEX(Inputs!$D$4:$AG$150,0,MATCH(F$2,Inputs!$D$2:$AG$2,0))))=0,"",SUMIFS(INDEX(Inputs!$D$4:$AG$150,0,MATCH(F$2,Inputs!$D$2:$AG$2,0)),Inputs!$B$4:$B$150,$B53)/1000)</f>
        <v>0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0</v>
      </c>
      <c r="H53" s="12" t="str">
        <f>IF(COUNT(D53:G53)=4,SUM(D53:G53),"")</f>
        <v/>
      </c>
      <c r="I53" s="11">
        <f>IF(SUMPRODUCT((Inputs!$B$4:$B$150=$B53)*ISNUMBER(INDEX(Inputs!$D$4:$AG$150,0,MATCH(I$2,Inputs!$D$2:$AG$2,0))))=0,"",SUMIFS(INDEX(Inputs!$D$4:$AG$150,0,MATCH(I$2,Inputs!$D$2:$AG$2,0)),Inputs!$B$4:$B$150,$B53)/1000)</f>
        <v>0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16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187.3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279.3</v>
      </c>
      <c r="M53" s="12">
        <f>IF(COUNT(I53:L53)=4,SUM(I53:L53),"")</f>
        <v>482.6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568.5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979.7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1409.3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2205.6</v>
      </c>
      <c r="R53" s="12">
        <f>IF(COUNT(N53:Q53)=4,SUM(N53:Q53),"")</f>
        <v>5163.1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1806.5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3090.8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3112.7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3530.1</v>
      </c>
      <c r="W53" s="12">
        <f>IF(COUNT(S53:V53)=4,SUM(S53:V53),"")</f>
        <v>11540.1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3842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5199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6515.1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7410.2</v>
      </c>
      <c r="AB53" s="12">
        <f>IF(COUNT(X53:AA53)=4,SUM(X53:AA53),"")</f>
        <v>22966.3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8662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9943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Receita Zepbound (USD)</t>
        </is>
      </c>
      <c r="D54" s="11" t="str">
        <f>IF(SUMPRODUCT((Inputs!$B$4:$B$150=$B54)*ISNUMBER(INDEX(Inputs!$D$4:$AG$150,0,MATCH(D$2,Inputs!$D$2:$AG$2,0))))=0,"",SUMIFS(INDEX(Inputs!$D$4:$AG$150,0,MATCH(D$2,Inputs!$D$2:$AG$2,0)),Inputs!$B$4:$B$150,$B54)/1000)</f>
        <v/>
      </c>
      <c r="E54" s="11" t="str">
        <f>IF(SUMPRODUCT((Inputs!$B$4:$B$150=$B54)*ISNUMBER(INDEX(Inputs!$D$4:$AG$150,0,MATCH(E$2,Inputs!$D$2:$AG$2,0))))=0,"",SUMIFS(INDEX(Inputs!$D$4:$AG$150,0,MATCH(E$2,Inputs!$D$2:$AG$2,0)),Inputs!$B$4:$B$150,$B54)/1000)</f>
        <v/>
      </c>
      <c r="F54" s="11" t="str">
        <f>IF(SUMPRODUCT((Inputs!$B$4:$B$150=$B54)*ISNUMBER(INDEX(Inputs!$D$4:$AG$150,0,MATCH(F$2,Inputs!$D$2:$AG$2,0))))=0,"",SUMIFS(INDEX(Inputs!$D$4:$AG$150,0,MATCH(F$2,Inputs!$D$2:$AG$2,0)),Inputs!$B$4:$B$150,$B54)/1000)</f>
        <v/>
      </c>
      <c r="G54" s="11" t="str">
        <f>IF(SUMPRODUCT((Inputs!$B$4:$B$150=$B54)*ISNUMBER(INDEX(Inputs!$D$4:$AG$150,0,MATCH(G$2,Inputs!$D$2:$AG$2,0))))=0,"",SUMIFS(INDEX(Inputs!$D$4:$AG$150,0,MATCH(G$2,Inputs!$D$2:$AG$2,0)),Inputs!$B$4:$B$150,$B54)/1000)</f>
        <v/>
      </c>
      <c r="H54" s="12" t="str">
        <f>IF(COUNT(D54:G54)=4,SUM(D54:G54),"")</f>
        <v/>
      </c>
      <c r="I54" s="11" t="str">
        <f>IF(SUMPRODUCT((Inputs!$B$4:$B$150=$B54)*ISNUMBER(INDEX(Inputs!$D$4:$AG$150,0,MATCH(I$2,Inputs!$D$2:$AG$2,0))))=0,"",SUMIFS(INDEX(Inputs!$D$4:$AG$150,0,MATCH(I$2,Inputs!$D$2:$AG$2,0)),Inputs!$B$4:$B$150,$B54)/1000)</f>
        <v/>
      </c>
      <c r="J54" s="11" t="str">
        <f>IF(SUMPRODUCT((Inputs!$B$4:$B$150=$B54)*ISNUMBER(INDEX(Inputs!$D$4:$AG$150,0,MATCH(J$2,Inputs!$D$2:$AG$2,0))))=0,"",SUMIFS(INDEX(Inputs!$D$4:$AG$150,0,MATCH(J$2,Inputs!$D$2:$AG$2,0)),Inputs!$B$4:$B$150,$B54)/1000)</f>
        <v/>
      </c>
      <c r="K54" s="11" t="str">
        <f>IF(SUMPRODUCT((Inputs!$B$4:$B$150=$B54)*ISNUMBER(INDEX(Inputs!$D$4:$AG$150,0,MATCH(K$2,Inputs!$D$2:$AG$2,0))))=0,"",SUMIFS(INDEX(Inputs!$D$4:$AG$150,0,MATCH(K$2,Inputs!$D$2:$AG$2,0)),Inputs!$B$4:$B$150,$B54)/1000)</f>
        <v/>
      </c>
      <c r="L54" s="11" t="str">
        <f>IF(SUMPRODUCT((Inputs!$B$4:$B$150=$B54)*ISNUMBER(INDEX(Inputs!$D$4:$AG$150,0,MATCH(L$2,Inputs!$D$2:$AG$2,0))))=0,"",SUMIFS(INDEX(Inputs!$D$4:$AG$150,0,MATCH(L$2,Inputs!$D$2:$AG$2,0)),Inputs!$B$4:$B$150,$B54)/1000)</f>
        <v/>
      </c>
      <c r="M54" s="12" t="str">
        <f>IF(COUNT(I54:L54)=4,SUM(I54:L54),"")</f>
        <v/>
      </c>
      <c r="N54" s="11">
        <f>IF(SUMPRODUCT((Inputs!$B$4:$B$150=$B54)*ISNUMBER(INDEX(Inputs!$D$4:$AG$150,0,MATCH(N$2,Inputs!$D$2:$AG$2,0))))=0,"",SUMIFS(INDEX(Inputs!$D$4:$AG$150,0,MATCH(N$2,Inputs!$D$2:$AG$2,0)),Inputs!$B$4:$B$150,$B54)/1000)</f>
        <v>0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0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0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175.8</v>
      </c>
      <c r="R54" s="12">
        <f>IF(COUNT(N54:Q54)=4,SUM(N54:Q54),"")</f>
        <v>175.8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517.4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1243.2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1257.8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1907.3</v>
      </c>
      <c r="W54" s="12">
        <f>IF(COUNT(S54:V54)=4,SUM(S54:V54),"")</f>
        <v>4925.7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2312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3381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3588.1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4260.7</v>
      </c>
      <c r="AB54" s="12">
        <f>IF(COUNT(X54:AA54)=4,SUM(X54:AA54),"")</f>
        <v>13541.8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4160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4928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Trulicity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1452.4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1535.6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1600.1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1883.8</v>
      </c>
      <c r="H55" s="12">
        <f>IF(COUNT(D55:G55)=4,SUM(D55:G55),"")</f>
        <v>6471.9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1741.3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1911.9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1850.4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1936.2</v>
      </c>
      <c r="M55" s="12">
        <f>IF(COUNT(I55:L55)=4,SUM(I55:L55),"")</f>
        <v>7439.8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1977.1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1812.5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1673.6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1669.2</v>
      </c>
      <c r="R55" s="12">
        <f>IF(COUNT(N55:Q55)=4,SUM(N55:Q55),"")</f>
        <v>7132.4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1456.3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1245.6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1301.4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1250.2</v>
      </c>
      <c r="W55" s="12">
        <f>IF(COUNT(S55:V55)=4,SUM(S55:V55),"")</f>
        <v>5253.5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1095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1092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1051.8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1036.8</v>
      </c>
      <c r="AB55" s="12">
        <f>IF(COUNT(X55:AA55)=4,SUM(X55:AA55),"")</f>
        <v>4275.6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919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1219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Receita Verzenio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269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341.3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335.5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404.1</v>
      </c>
      <c r="H56" s="12">
        <f>IF(COUNT(D56:G56)=4,SUM(D56:G56),"")</f>
        <v>1349.9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469.4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588.5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617.7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807.9</v>
      </c>
      <c r="M56" s="12">
        <f>IF(COUNT(I56:L56)=4,SUM(I56:L56),"")</f>
        <v>2483.5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750.9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926.8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1040.2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1145.4</v>
      </c>
      <c r="R56" s="12">
        <f>IF(COUNT(N56:Q56)=4,SUM(N56:Q56),"")</f>
        <v>3863.3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1050.3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1331.9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1369.3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1555.1</v>
      </c>
      <c r="W56" s="12">
        <f>IF(COUNT(S56:V56)=4,SUM(S56:V56),"")</f>
        <v>5306.6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1159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1489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1470.2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1604.6</v>
      </c>
      <c r="AB56" s="12">
        <f>IF(COUNT(X56:AA56)=4,SUM(X56:AA56),"")</f>
        <v>5722.8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1302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1474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Receita Jardiance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312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356.5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390.4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431.9</v>
      </c>
      <c r="H57" s="12">
        <f>IF(COUNT(D57:G57)=4,SUM(D57:G57),"")</f>
        <v>1490.8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419.4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461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573.3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612.3</v>
      </c>
      <c r="M57" s="12">
        <f>IF(COUNT(I57:L57)=4,SUM(I57:L57),"")</f>
        <v>2066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577.5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668.3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700.8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798.1</v>
      </c>
      <c r="R57" s="12">
        <f>IF(COUNT(N57:Q57)=4,SUM(N57:Q57),"")</f>
        <v>2744.7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686.5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769.6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686.4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1198.4</v>
      </c>
      <c r="W57" s="12">
        <f>IF(COUNT(S57:V57)=4,SUM(S57:V57),"")</f>
        <v>3340.9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1014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690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959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768.6</v>
      </c>
      <c r="AB57" s="12">
        <f>IF(COUNT(X57:AA57)=4,SUM(X57:AA57),"")</f>
        <v>3431.6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1114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1232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Receita Taltz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403.2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569.1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593.1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647.4</v>
      </c>
      <c r="H58" s="12">
        <f>IF(COUNT(D58:G58)=4,SUM(D58:G58),"")</f>
        <v>2212.8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488.1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606.2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679.9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707.8</v>
      </c>
      <c r="M58" s="12">
        <f>IF(COUNT(I58:L58)=4,SUM(I58:L58),"")</f>
        <v>2482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527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703.9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744.2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784.6</v>
      </c>
      <c r="R58" s="12">
        <f>IF(COUNT(N58:Q58)=4,SUM(N58:Q58),"")</f>
        <v>2759.7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604.1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824.7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879.6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952</v>
      </c>
      <c r="W58" s="12">
        <f>IF(COUNT(S58:V58)=4,SUM(S58:V58),"")</f>
        <v>3260.4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762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848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901.5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1052.1</v>
      </c>
      <c r="AB58" s="12">
        <f>IF(COUNT(X58:AA58)=4,SUM(X58:AA58),"")</f>
        <v>3563.6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733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856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Receita Humalog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617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607.6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626.7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601.7</v>
      </c>
      <c r="H59" s="12">
        <f>IF(COUNT(D59:G59)=4,SUM(D59:G59),"")</f>
        <v>2453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618.2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447.1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447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548.4</v>
      </c>
      <c r="M59" s="12">
        <f>IF(COUNT(I59:L59)=4,SUM(I59:L59),"")</f>
        <v>2060.7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460.9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440.4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395.4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366.6</v>
      </c>
      <c r="R59" s="12">
        <f>IF(COUNT(N59:Q59)=4,SUM(N59:Q59),"")</f>
        <v>1663.3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538.7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631.6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534.6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619.9</v>
      </c>
      <c r="W59" s="12">
        <f>IF(COUNT(S59:V59)=4,SUM(S59:V59),"")</f>
        <v>2324.8</v>
      </c>
      <c r="X59" s="11" t="str">
        <f>IF(SUMPRODUCT((Inputs!$B$4:$B$150=$B59)*ISNUMBER(INDEX(Inputs!$D$4:$AG$150,0,MATCH(X$2,Inputs!$D$2:$AG$2,0))))=0,"",SUMIFS(INDEX(Inputs!$D$4:$AG$150,0,MATCH(X$2,Inputs!$D$2:$AG$2,0)),Inputs!$B$4:$B$150,$B59)/1000)</f>
        <v/>
      </c>
      <c r="Y59" s="11" t="str">
        <f>IF(SUMPRODUCT((Inputs!$B$4:$B$150=$B59)*ISNUMBER(INDEX(Inputs!$D$4:$AG$150,0,MATCH(Y$2,Inputs!$D$2:$AG$2,0))))=0,"",SUMIFS(INDEX(Inputs!$D$4:$AG$150,0,MATCH(Y$2,Inputs!$D$2:$AG$2,0)),Inputs!$B$4:$B$150,$B59)/1000)</f>
        <v/>
      </c>
      <c r="Z59" s="11" t="str">
        <f>IF(SUMPRODUCT((Inputs!$B$4:$B$150=$B59)*ISNUMBER(INDEX(Inputs!$D$4:$AG$150,0,MATCH(Z$2,Inputs!$D$2:$AG$2,0))))=0,"",SUMIFS(INDEX(Inputs!$D$4:$AG$150,0,MATCH(Z$2,Inputs!$D$2:$AG$2,0)),Inputs!$B$4:$B$150,$B59)/1000)</f>
        <v/>
      </c>
      <c r="AA59" s="11" t="str">
        <f>IF(SUMPRODUCT((Inputs!$B$4:$B$150=$B59)*ISNUMBER(INDEX(Inputs!$D$4:$AG$150,0,MATCH(AA$2,Inputs!$D$2:$AG$2,0))))=0,"",SUMIFS(INDEX(Inputs!$D$4:$AG$150,0,MATCH(AA$2,Inputs!$D$2:$AG$2,0)),Inputs!$B$4:$B$150,$B59)/1000)</f>
        <v/>
      </c>
      <c r="AB59" s="12" t="str">
        <f>IF(COUNT(X59:AA59)=4,SUM(X59:AA59),"")</f>
        <v/>
      </c>
      <c r="AC59" s="11" t="str">
        <f>IF(SUMPRODUCT((Inputs!$B$4:$B$150=$B59)*ISNUMBER(INDEX(Inputs!$D$4:$AG$150,0,MATCH(AC$2,Inputs!$D$2:$AG$2,0))))=0,"",SUMIFS(INDEX(Inputs!$D$4:$AG$150,0,MATCH(AC$2,Inputs!$D$2:$AG$2,0)),Inputs!$B$4:$B$150,$B59)/1000)</f>
        <v/>
      </c>
      <c r="AD59" s="11" t="str">
        <f>IF(SUMPRODUCT((Inputs!$B$4:$B$150=$B59)*ISNUMBER(INDEX(Inputs!$D$4:$AG$150,0,MATCH(AD$2,Inputs!$D$2:$AG$2,0))))=0,"",SUMIFS(INDEX(Inputs!$D$4:$AG$150,0,MATCH(AD$2,Inputs!$D$2:$AG$2,0)),Inputs!$B$4:$B$150,$B59)/1000)</f>
        <v/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Cardiometabolic Health / Diabetes - receita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3111.1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3175.5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3274.1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3627.5</v>
      </c>
      <c r="H60" s="12">
        <f>IF(COUNT(D60:G60)=4,SUM(D60:G60),"")</f>
        <v>13188.2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3388.2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3438.2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3662.6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3975.9</v>
      </c>
      <c r="M60" s="12">
        <f>IF(COUNT(I60:L60)=4,SUM(I60:L60),"")</f>
        <v>14464.9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4190.4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5010.9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4720.4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5746</v>
      </c>
      <c r="R60" s="12">
        <f>IF(COUNT(N60:Q60)=4,SUM(N60:Q60),"")</f>
        <v>19667.7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5493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7514.6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7407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9106.3</v>
      </c>
      <c r="W60" s="12">
        <f>IF(COUNT(S60:V60)=4,SUM(S60:V60),"")</f>
        <v>29520.9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9208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11343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13177.9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14492.2</v>
      </c>
      <c r="AB60" s="12">
        <f>IF(COUNT(X60:AA60)=4,SUM(X60:AA60),"")</f>
        <v>48221.1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15760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18353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Oncologia - receita (USD)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1372.2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1554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1406.1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1408.9</v>
      </c>
      <c r="H61" s="12">
        <f>IF(COUNT(D61:G61)=4,SUM(D61:G61),"")</f>
        <v>5741.2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1353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1368.7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1293.3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1651.2</v>
      </c>
      <c r="M61" s="12">
        <f>IF(COUNT(I61:L61)=4,SUM(I61:L61),"")</f>
        <v>5666.2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1356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1671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1747.1</v>
      </c>
      <c r="Q61" s="11">
        <f>IF(SUMPRODUCT((Inputs!$B$4:$B$150=$B61)*ISNUMBER(INDEX(Inputs!$D$4:$AG$150,0,MATCH(Q$2,Inputs!$D$2:$AG$2,0))))=0,"",SUMIFS(INDEX(Inputs!$D$4:$AG$150,0,MATCH(Q$2,Inputs!$D$2:$AG$2,0)),Inputs!$B$4:$B$150,$B61)/1000)</f>
        <v>1884.2</v>
      </c>
      <c r="R61" s="12">
        <f>IF(COUNT(N61:Q61)=4,SUM(N61:Q61),"")</f>
        <v>6658.3</v>
      </c>
      <c r="S61" s="11">
        <f>IF(SUMPRODUCT((Inputs!$B$4:$B$150=$B61)*ISNUMBER(INDEX(Inputs!$D$4:$AG$150,0,MATCH(S$2,Inputs!$D$2:$AG$2,0))))=0,"",SUMIFS(INDEX(Inputs!$D$4:$AG$150,0,MATCH(S$2,Inputs!$D$2:$AG$2,0)),Inputs!$B$4:$B$150,$B61)/1000)</f>
        <v>1810</v>
      </c>
      <c r="T61" s="11">
        <f>IF(SUMPRODUCT((Inputs!$B$4:$B$150=$B61)*ISNUMBER(INDEX(Inputs!$D$4:$AG$150,0,MATCH(T$2,Inputs!$D$2:$AG$2,0))))=0,"",SUMIFS(INDEX(Inputs!$D$4:$AG$150,0,MATCH(T$2,Inputs!$D$2:$AG$2,0)),Inputs!$B$4:$B$150,$B61)/1000)</f>
        <v>2158.7</v>
      </c>
      <c r="U61" s="11">
        <f>IF(SUMPRODUCT((Inputs!$B$4:$B$150=$B61)*ISNUMBER(INDEX(Inputs!$D$4:$AG$150,0,MATCH(U$2,Inputs!$D$2:$AG$2,0))))=0,"",SUMIFS(INDEX(Inputs!$D$4:$AG$150,0,MATCH(U$2,Inputs!$D$2:$AG$2,0)),Inputs!$B$4:$B$150,$B61)/1000)</f>
        <v>2231.8</v>
      </c>
      <c r="V61" s="11">
        <f>IF(SUMPRODUCT((Inputs!$B$4:$B$150=$B61)*ISNUMBER(INDEX(Inputs!$D$4:$AG$150,0,MATCH(V$2,Inputs!$D$2:$AG$2,0))))=0,"",SUMIFS(INDEX(Inputs!$D$4:$AG$150,0,MATCH(V$2,Inputs!$D$2:$AG$2,0)),Inputs!$B$4:$B$150,$B61)/1000)</f>
        <v>2551.9</v>
      </c>
      <c r="W61" s="12">
        <f>IF(COUNT(S61:V61)=4,SUM(S61:V61),"")</f>
        <v>8752.4</v>
      </c>
      <c r="X61" s="11">
        <f>IF(SUMPRODUCT((Inputs!$B$4:$B$150=$B61)*ISNUMBER(INDEX(Inputs!$D$4:$AG$150,0,MATCH(X$2,Inputs!$D$2:$AG$2,0))))=0,"",SUMIFS(INDEX(Inputs!$D$4:$AG$150,0,MATCH(X$2,Inputs!$D$2:$AG$2,0)),Inputs!$B$4:$B$150,$B61)/1000)</f>
        <v>1948</v>
      </c>
      <c r="Y61" s="11">
        <f>IF(SUMPRODUCT((Inputs!$B$4:$B$150=$B61)*ISNUMBER(INDEX(Inputs!$D$4:$AG$150,0,MATCH(Y$2,Inputs!$D$2:$AG$2,0))))=0,"",SUMIFS(INDEX(Inputs!$D$4:$AG$150,0,MATCH(Y$2,Inputs!$D$2:$AG$2,0)),Inputs!$B$4:$B$150,$B61)/1000)</f>
        <v>2414</v>
      </c>
      <c r="Z61" s="11">
        <f>IF(SUMPRODUCT((Inputs!$B$4:$B$150=$B61)*ISNUMBER(INDEX(Inputs!$D$4:$AG$150,0,MATCH(Z$2,Inputs!$D$2:$AG$2,0))))=0,"",SUMIFS(INDEX(Inputs!$D$4:$AG$150,0,MATCH(Z$2,Inputs!$D$2:$AG$2,0)),Inputs!$B$4:$B$150,$B61)/1000)</f>
        <v>2407.6</v>
      </c>
      <c r="AA61" s="11">
        <f>IF(SUMPRODUCT((Inputs!$B$4:$B$150=$B61)*ISNUMBER(INDEX(Inputs!$D$4:$AG$150,0,MATCH(AA$2,Inputs!$D$2:$AG$2,0))))=0,"",SUMIFS(INDEX(Inputs!$D$4:$AG$150,0,MATCH(AA$2,Inputs!$D$2:$AG$2,0)),Inputs!$B$4:$B$150,$B61)/1000)</f>
        <v>2607.3</v>
      </c>
      <c r="AB61" s="12">
        <f>IF(COUNT(X61:AA61)=4,SUM(X61:AA61),"")</f>
        <v>9376.9</v>
      </c>
      <c r="AC61" s="11">
        <f>IF(SUMPRODUCT((Inputs!$B$4:$B$150=$B61)*ISNUMBER(INDEX(Inputs!$D$4:$AG$150,0,MATCH(AC$2,Inputs!$D$2:$AG$2,0))))=0,"",SUMIFS(INDEX(Inputs!$D$4:$AG$150,0,MATCH(AC$2,Inputs!$D$2:$AG$2,0)),Inputs!$B$4:$B$150,$B61)/1000)</f>
        <v>2268</v>
      </c>
      <c r="AD61" s="11">
        <f>IF(SUMPRODUCT((Inputs!$B$4:$B$150=$B61)*ISNUMBER(INDEX(Inputs!$D$4:$AG$150,0,MATCH(AD$2,Inputs!$D$2:$AG$2,0))))=0,"",SUMIFS(INDEX(Inputs!$D$4:$AG$150,0,MATCH(AD$2,Inputs!$D$2:$AG$2,0)),Inputs!$B$4:$B$150,$B61)/1000)</f>
        <v>2570</v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Imunologia - receita (USD)</t>
        </is>
      </c>
      <c r="D62" s="11">
        <f>IF(SUMPRODUCT((Inputs!$B$4:$B$150=$B62)*ISNUMBER(INDEX(Inputs!$D$4:$AG$150,0,MATCH(D$2,Inputs!$D$2:$AG$2,0))))=0,"",SUMIFS(INDEX(Inputs!$D$4:$AG$150,0,MATCH(D$2,Inputs!$D$2:$AG$2,0)),Inputs!$B$4:$B$150,$B62)/1000)</f>
        <v>613.9</v>
      </c>
      <c r="E62" s="11">
        <f>IF(SUMPRODUCT((Inputs!$B$4:$B$150=$B62)*ISNUMBER(INDEX(Inputs!$D$4:$AG$150,0,MATCH(E$2,Inputs!$D$2:$AG$2,0))))=0,"",SUMIFS(INDEX(Inputs!$D$4:$AG$150,0,MATCH(E$2,Inputs!$D$2:$AG$2,0)),Inputs!$B$4:$B$150,$B62)/1000)</f>
        <v>785.4</v>
      </c>
      <c r="F62" s="11">
        <f>IF(SUMPRODUCT((Inputs!$B$4:$B$150=$B62)*ISNUMBER(INDEX(Inputs!$D$4:$AG$150,0,MATCH(F$2,Inputs!$D$2:$AG$2,0))))=0,"",SUMIFS(INDEX(Inputs!$D$4:$AG$150,0,MATCH(F$2,Inputs!$D$2:$AG$2,0)),Inputs!$B$4:$B$150,$B62)/1000)</f>
        <v>1004.9</v>
      </c>
      <c r="G62" s="11">
        <f>IF(SUMPRODUCT((Inputs!$B$4:$B$150=$B62)*ISNUMBER(INDEX(Inputs!$D$4:$AG$150,0,MATCH(G$2,Inputs!$D$2:$AG$2,0))))=0,"",SUMIFS(INDEX(Inputs!$D$4:$AG$150,0,MATCH(G$2,Inputs!$D$2:$AG$2,0)),Inputs!$B$4:$B$150,$B62)/1000)</f>
        <v>956.6</v>
      </c>
      <c r="H62" s="12">
        <f>IF(COUNT(D62:G62)=4,SUM(D62:G62),"")</f>
        <v>3360.8</v>
      </c>
      <c r="I62" s="11">
        <f>IF(SUMPRODUCT((Inputs!$B$4:$B$150=$B62)*ISNUMBER(INDEX(Inputs!$D$4:$AG$150,0,MATCH(I$2,Inputs!$D$2:$AG$2,0))))=0,"",SUMIFS(INDEX(Inputs!$D$4:$AG$150,0,MATCH(I$2,Inputs!$D$2:$AG$2,0)),Inputs!$B$4:$B$150,$B62)/1000)</f>
        <v>748.1</v>
      </c>
      <c r="J62" s="11">
        <f>IF(SUMPRODUCT((Inputs!$B$4:$B$150=$B62)*ISNUMBER(INDEX(Inputs!$D$4:$AG$150,0,MATCH(J$2,Inputs!$D$2:$AG$2,0))))=0,"",SUMIFS(INDEX(Inputs!$D$4:$AG$150,0,MATCH(J$2,Inputs!$D$2:$AG$2,0)),Inputs!$B$4:$B$150,$B62)/1000)</f>
        <v>796.5</v>
      </c>
      <c r="K62" s="11">
        <f>IF(SUMPRODUCT((Inputs!$B$4:$B$150=$B62)*ISNUMBER(INDEX(Inputs!$D$4:$AG$150,0,MATCH(K$2,Inputs!$D$2:$AG$2,0))))=0,"",SUMIFS(INDEX(Inputs!$D$4:$AG$150,0,MATCH(K$2,Inputs!$D$2:$AG$2,0)),Inputs!$B$4:$B$150,$B62)/1000)</f>
        <v>866.4</v>
      </c>
      <c r="L62" s="11">
        <f>IF(SUMPRODUCT((Inputs!$B$4:$B$150=$B62)*ISNUMBER(INDEX(Inputs!$D$4:$AG$150,0,MATCH(L$2,Inputs!$D$2:$AG$2,0))))=0,"",SUMIFS(INDEX(Inputs!$D$4:$AG$150,0,MATCH(L$2,Inputs!$D$2:$AG$2,0)),Inputs!$B$4:$B$150,$B62)/1000)</f>
        <v>933.5</v>
      </c>
      <c r="M62" s="12">
        <f>IF(COUNT(I62:L62)=4,SUM(I62:L62),"")</f>
        <v>3344.5</v>
      </c>
      <c r="N62" s="11">
        <f>IF(SUMPRODUCT((Inputs!$B$4:$B$150=$B62)*ISNUMBER(INDEX(Inputs!$D$4:$AG$150,0,MATCH(N$2,Inputs!$D$2:$AG$2,0))))=0,"",SUMIFS(INDEX(Inputs!$D$4:$AG$150,0,MATCH(N$2,Inputs!$D$2:$AG$2,0)),Inputs!$B$4:$B$150,$B62)/1000)</f>
        <v>777.8</v>
      </c>
      <c r="O62" s="11">
        <f>IF(SUMPRODUCT((Inputs!$B$4:$B$150=$B62)*ISNUMBER(INDEX(Inputs!$D$4:$AG$150,0,MATCH(O$2,Inputs!$D$2:$AG$2,0))))=0,"",SUMIFS(INDEX(Inputs!$D$4:$AG$150,0,MATCH(O$2,Inputs!$D$2:$AG$2,0)),Inputs!$B$4:$B$150,$B62)/1000)</f>
        <v>928.5</v>
      </c>
      <c r="P62" s="11">
        <f>IF(SUMPRODUCT((Inputs!$B$4:$B$150=$B62)*ISNUMBER(INDEX(Inputs!$D$4:$AG$150,0,MATCH(P$2,Inputs!$D$2:$AG$2,0))))=0,"",SUMIFS(INDEX(Inputs!$D$4:$AG$150,0,MATCH(P$2,Inputs!$D$2:$AG$2,0)),Inputs!$B$4:$B$150,$B62)/1000)</f>
        <v>986.9</v>
      </c>
      <c r="Q62" s="11">
        <f>IF(SUMPRODUCT((Inputs!$B$4:$B$150=$B62)*ISNUMBER(INDEX(Inputs!$D$4:$AG$150,0,MATCH(Q$2,Inputs!$D$2:$AG$2,0))))=0,"",SUMIFS(INDEX(Inputs!$D$4:$AG$150,0,MATCH(Q$2,Inputs!$D$2:$AG$2,0)),Inputs!$B$4:$B$150,$B62)/1000)</f>
        <v>1104.3</v>
      </c>
      <c r="R62" s="12">
        <f>IF(COUNT(N62:Q62)=4,SUM(N62:Q62),"")</f>
        <v>3797.5</v>
      </c>
      <c r="S62" s="11">
        <f>IF(SUMPRODUCT((Inputs!$B$4:$B$150=$B62)*ISNUMBER(INDEX(Inputs!$D$4:$AG$150,0,MATCH(S$2,Inputs!$D$2:$AG$2,0))))=0,"",SUMIFS(INDEX(Inputs!$D$4:$AG$150,0,MATCH(S$2,Inputs!$D$2:$AG$2,0)),Inputs!$B$4:$B$150,$B62)/1000)</f>
        <v>834</v>
      </c>
      <c r="T62" s="11">
        <f>IF(SUMPRODUCT((Inputs!$B$4:$B$150=$B62)*ISNUMBER(INDEX(Inputs!$D$4:$AG$150,0,MATCH(T$2,Inputs!$D$2:$AG$2,0))))=0,"",SUMIFS(INDEX(Inputs!$D$4:$AG$150,0,MATCH(T$2,Inputs!$D$2:$AG$2,0)),Inputs!$B$4:$B$150,$B62)/1000)</f>
        <v>1082.4</v>
      </c>
      <c r="U62" s="11">
        <f>IF(SUMPRODUCT((Inputs!$B$4:$B$150=$B62)*ISNUMBER(INDEX(Inputs!$D$4:$AG$150,0,MATCH(U$2,Inputs!$D$2:$AG$2,0))))=0,"",SUMIFS(INDEX(Inputs!$D$4:$AG$150,0,MATCH(U$2,Inputs!$D$2:$AG$2,0)),Inputs!$B$4:$B$150,$B62)/1000)</f>
        <v>1185.7</v>
      </c>
      <c r="V62" s="11">
        <f>IF(SUMPRODUCT((Inputs!$B$4:$B$150=$B62)*ISNUMBER(INDEX(Inputs!$D$4:$AG$150,0,MATCH(V$2,Inputs!$D$2:$AG$2,0))))=0,"",SUMIFS(INDEX(Inputs!$D$4:$AG$150,0,MATCH(V$2,Inputs!$D$2:$AG$2,0)),Inputs!$B$4:$B$150,$B62)/1000)</f>
        <v>1290.9</v>
      </c>
      <c r="W62" s="12">
        <f>IF(COUNT(S62:V62)=4,SUM(S62:V62),"")</f>
        <v>4393</v>
      </c>
      <c r="X62" s="11">
        <f>IF(SUMPRODUCT((Inputs!$B$4:$B$150=$B62)*ISNUMBER(INDEX(Inputs!$D$4:$AG$150,0,MATCH(X$2,Inputs!$D$2:$AG$2,0))))=0,"",SUMIFS(INDEX(Inputs!$D$4:$AG$150,0,MATCH(X$2,Inputs!$D$2:$AG$2,0)),Inputs!$B$4:$B$150,$B62)/1000)</f>
        <v>1088</v>
      </c>
      <c r="Y62" s="11">
        <f>IF(SUMPRODUCT((Inputs!$B$4:$B$150=$B62)*ISNUMBER(INDEX(Inputs!$D$4:$AG$150,0,MATCH(Y$2,Inputs!$D$2:$AG$2,0))))=0,"",SUMIFS(INDEX(Inputs!$D$4:$AG$150,0,MATCH(Y$2,Inputs!$D$2:$AG$2,0)),Inputs!$B$4:$B$150,$B62)/1000)</f>
        <v>1256</v>
      </c>
      <c r="Z62" s="11">
        <f>IF(SUMPRODUCT((Inputs!$B$4:$B$150=$B62)*ISNUMBER(INDEX(Inputs!$D$4:$AG$150,0,MATCH(Z$2,Inputs!$D$2:$AG$2,0))))=0,"",SUMIFS(INDEX(Inputs!$D$4:$AG$150,0,MATCH(Z$2,Inputs!$D$2:$AG$2,0)),Inputs!$B$4:$B$150,$B62)/1000)</f>
        <v>1362.4</v>
      </c>
      <c r="AA62" s="11">
        <f>IF(SUMPRODUCT((Inputs!$B$4:$B$150=$B62)*ISNUMBER(INDEX(Inputs!$D$4:$AG$150,0,MATCH(AA$2,Inputs!$D$2:$AG$2,0))))=0,"",SUMIFS(INDEX(Inputs!$D$4:$AG$150,0,MATCH(AA$2,Inputs!$D$2:$AG$2,0)),Inputs!$B$4:$B$150,$B62)/1000)</f>
        <v>1541</v>
      </c>
      <c r="AB62" s="12">
        <f>IF(COUNT(X62:AA62)=4,SUM(X62:AA62),"")</f>
        <v>5247.4</v>
      </c>
      <c r="AC62" s="11">
        <f>IF(SUMPRODUCT((Inputs!$B$4:$B$150=$B62)*ISNUMBER(INDEX(Inputs!$D$4:$AG$150,0,MATCH(AC$2,Inputs!$D$2:$AG$2,0))))=0,"",SUMIFS(INDEX(Inputs!$D$4:$AG$150,0,MATCH(AC$2,Inputs!$D$2:$AG$2,0)),Inputs!$B$4:$B$150,$B62)/1000)</f>
        <v>1203</v>
      </c>
      <c r="AD62" s="11">
        <f>IF(SUMPRODUCT((Inputs!$B$4:$B$150=$B62)*ISNUMBER(INDEX(Inputs!$D$4:$AG$150,0,MATCH(AD$2,Inputs!$D$2:$AG$2,0))))=0,"",SUMIFS(INDEX(Inputs!$D$4:$AG$150,0,MATCH(AD$2,Inputs!$D$2:$AG$2,0)),Inputs!$B$4:$B$150,$B62)/1000)</f>
        <v>1417</v>
      </c>
      <c r="AE62" s="11" t="str">
        <f>IF(SUMPRODUCT((Inputs!$B$4:$B$150=$B62)*ISNUMBER(INDEX(Inputs!$D$4:$AG$150,0,MATCH(AE$2,Inputs!$D$2:$AG$2,0))))=0,"",SUMIFS(INDEX(Inputs!$D$4:$AG$150,0,MATCH(AE$2,Inputs!$D$2:$AG$2,0)),Inputs!$B$4:$B$150,$B62)/1000)</f>
        <v/>
      </c>
      <c r="AF62" s="11" t="str">
        <f>IF(SUMPRODUCT((Inputs!$B$4:$B$150=$B62)*ISNUMBER(INDEX(Inputs!$D$4:$AG$150,0,MATCH(AF$2,Inputs!$D$2:$AG$2,0))))=0,"",SUMIFS(INDEX(Inputs!$D$4:$AG$150,0,MATCH(AF$2,Inputs!$D$2:$AG$2,0)),Inputs!$B$4:$B$150,$B62)/1000)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Neurociência - receita (USD)</t>
        </is>
      </c>
      <c r="D63" s="11">
        <f>IF(SUMPRODUCT((Inputs!$B$4:$B$150=$B63)*ISNUMBER(INDEX(Inputs!$D$4:$AG$150,0,MATCH(D$2,Inputs!$D$2:$AG$2,0))))=0,"",SUMIFS(INDEX(Inputs!$D$4:$AG$150,0,MATCH(D$2,Inputs!$D$2:$AG$2,0)),Inputs!$B$4:$B$150,$B63)/1000)</f>
        <v>465.4</v>
      </c>
      <c r="E63" s="11">
        <f>IF(SUMPRODUCT((Inputs!$B$4:$B$150=$B63)*ISNUMBER(INDEX(Inputs!$D$4:$AG$150,0,MATCH(E$2,Inputs!$D$2:$AG$2,0))))=0,"",SUMIFS(INDEX(Inputs!$D$4:$AG$150,0,MATCH(E$2,Inputs!$D$2:$AG$2,0)),Inputs!$B$4:$B$150,$B63)/1000)</f>
        <v>512.2</v>
      </c>
      <c r="F63" s="11">
        <f>IF(SUMPRODUCT((Inputs!$B$4:$B$150=$B63)*ISNUMBER(INDEX(Inputs!$D$4:$AG$150,0,MATCH(F$2,Inputs!$D$2:$AG$2,0))))=0,"",SUMIFS(INDEX(Inputs!$D$4:$AG$150,0,MATCH(F$2,Inputs!$D$2:$AG$2,0)),Inputs!$B$4:$B$150,$B63)/1000)</f>
        <v>450.2</v>
      </c>
      <c r="G63" s="11">
        <f>IF(SUMPRODUCT((Inputs!$B$4:$B$150=$B63)*ISNUMBER(INDEX(Inputs!$D$4:$AG$150,0,MATCH(G$2,Inputs!$D$2:$AG$2,0))))=0,"",SUMIFS(INDEX(Inputs!$D$4:$AG$150,0,MATCH(G$2,Inputs!$D$2:$AG$2,0)),Inputs!$B$4:$B$150,$B63)/1000)</f>
        <v>470.7</v>
      </c>
      <c r="H63" s="12">
        <f>IF(COUNT(D63:G63)=4,SUM(D63:G63),"")</f>
        <v>1898.5</v>
      </c>
      <c r="I63" s="11">
        <f>IF(SUMPRODUCT((Inputs!$B$4:$B$150=$B63)*ISNUMBER(INDEX(Inputs!$D$4:$AG$150,0,MATCH(I$2,Inputs!$D$2:$AG$2,0))))=0,"",SUMIFS(INDEX(Inputs!$D$4:$AG$150,0,MATCH(I$2,Inputs!$D$2:$AG$2,0)),Inputs!$B$4:$B$150,$B63)/1000)</f>
        <v>397.7</v>
      </c>
      <c r="J63" s="11">
        <f>IF(SUMPRODUCT((Inputs!$B$4:$B$150=$B63)*ISNUMBER(INDEX(Inputs!$D$4:$AG$150,0,MATCH(J$2,Inputs!$D$2:$AG$2,0))))=0,"",SUMIFS(INDEX(Inputs!$D$4:$AG$150,0,MATCH(J$2,Inputs!$D$2:$AG$2,0)),Inputs!$B$4:$B$150,$B63)/1000)</f>
        <v>389.9</v>
      </c>
      <c r="K63" s="11">
        <f>IF(SUMPRODUCT((Inputs!$B$4:$B$150=$B63)*ISNUMBER(INDEX(Inputs!$D$4:$AG$150,0,MATCH(K$2,Inputs!$D$2:$AG$2,0))))=0,"",SUMIFS(INDEX(Inputs!$D$4:$AG$150,0,MATCH(K$2,Inputs!$D$2:$AG$2,0)),Inputs!$B$4:$B$150,$B63)/1000)</f>
        <v>373.2</v>
      </c>
      <c r="L63" s="11">
        <f>IF(SUMPRODUCT((Inputs!$B$4:$B$150=$B63)*ISNUMBER(INDEX(Inputs!$D$4:$AG$150,0,MATCH(L$2,Inputs!$D$2:$AG$2,0))))=0,"",SUMIFS(INDEX(Inputs!$D$4:$AG$150,0,MATCH(L$2,Inputs!$D$2:$AG$2,0)),Inputs!$B$4:$B$150,$B63)/1000)</f>
        <v>385.3</v>
      </c>
      <c r="M63" s="12">
        <f>IF(COUNT(I63:L63)=4,SUM(I63:L63),"")</f>
        <v>1546.1</v>
      </c>
      <c r="N63" s="11">
        <f>IF(SUMPRODUCT((Inputs!$B$4:$B$150=$B63)*ISNUMBER(INDEX(Inputs!$D$4:$AG$150,0,MATCH(N$2,Inputs!$D$2:$AG$2,0))))=0,"",SUMIFS(INDEX(Inputs!$D$4:$AG$150,0,MATCH(N$2,Inputs!$D$2:$AG$2,0)),Inputs!$B$4:$B$150,$B63)/1000)</f>
        <v>360.5</v>
      </c>
      <c r="O63" s="11">
        <f>IF(SUMPRODUCT((Inputs!$B$4:$B$150=$B63)*ISNUMBER(INDEX(Inputs!$D$4:$AG$150,0,MATCH(O$2,Inputs!$D$2:$AG$2,0))))=0,"",SUMIFS(INDEX(Inputs!$D$4:$AG$150,0,MATCH(O$2,Inputs!$D$2:$AG$2,0)),Inputs!$B$4:$B$150,$B63)/1000)</f>
        <v>387.2</v>
      </c>
      <c r="P63" s="11">
        <f>IF(SUMPRODUCT((Inputs!$B$4:$B$150=$B63)*ISNUMBER(INDEX(Inputs!$D$4:$AG$150,0,MATCH(P$2,Inputs!$D$2:$AG$2,0))))=0,"",SUMIFS(INDEX(Inputs!$D$4:$AG$150,0,MATCH(P$2,Inputs!$D$2:$AG$2,0)),Inputs!$B$4:$B$150,$B63)/1000)</f>
        <v>1768.1</v>
      </c>
      <c r="Q63" s="11">
        <f>IF(SUMPRODUCT((Inputs!$B$4:$B$150=$B63)*ISNUMBER(INDEX(Inputs!$D$4:$AG$150,0,MATCH(Q$2,Inputs!$D$2:$AG$2,0))))=0,"",SUMIFS(INDEX(Inputs!$D$4:$AG$150,0,MATCH(Q$2,Inputs!$D$2:$AG$2,0)),Inputs!$B$4:$B$150,$B63)/1000)</f>
        <v>362.7</v>
      </c>
      <c r="R63" s="12">
        <f>IF(COUNT(N63:Q63)=4,SUM(N63:Q63),"")</f>
        <v>2878.5</v>
      </c>
      <c r="S63" s="11">
        <f>IF(SUMPRODUCT((Inputs!$B$4:$B$150=$B63)*ISNUMBER(INDEX(Inputs!$D$4:$AG$150,0,MATCH(S$2,Inputs!$D$2:$AG$2,0))))=0,"",SUMIFS(INDEX(Inputs!$D$4:$AG$150,0,MATCH(S$2,Inputs!$D$2:$AG$2,0)),Inputs!$B$4:$B$150,$B63)/1000)</f>
        <v>389.1</v>
      </c>
      <c r="T63" s="11">
        <f>IF(SUMPRODUCT((Inputs!$B$4:$B$150=$B63)*ISNUMBER(INDEX(Inputs!$D$4:$AG$150,0,MATCH(T$2,Inputs!$D$2:$AG$2,0))))=0,"",SUMIFS(INDEX(Inputs!$D$4:$AG$150,0,MATCH(T$2,Inputs!$D$2:$AG$2,0)),Inputs!$B$4:$B$150,$B63)/1000)</f>
        <v>339.5</v>
      </c>
      <c r="U63" s="11">
        <f>IF(SUMPRODUCT((Inputs!$B$4:$B$150=$B63)*ISNUMBER(INDEX(Inputs!$D$4:$AG$150,0,MATCH(U$2,Inputs!$D$2:$AG$2,0))))=0,"",SUMIFS(INDEX(Inputs!$D$4:$AG$150,0,MATCH(U$2,Inputs!$D$2:$AG$2,0)),Inputs!$B$4:$B$150,$B63)/1000)</f>
        <v>351.8</v>
      </c>
      <c r="V63" s="11">
        <f>IF(SUMPRODUCT((Inputs!$B$4:$B$150=$B63)*ISNUMBER(INDEX(Inputs!$D$4:$AG$150,0,MATCH(V$2,Inputs!$D$2:$AG$2,0))))=0,"",SUMIFS(INDEX(Inputs!$D$4:$AG$150,0,MATCH(V$2,Inputs!$D$2:$AG$2,0)),Inputs!$B$4:$B$150,$B63)/1000)</f>
        <v>393</v>
      </c>
      <c r="W63" s="12">
        <f>IF(COUNT(S63:V63)=4,SUM(S63:V63),"")</f>
        <v>1473.4</v>
      </c>
      <c r="X63" s="11">
        <f>IF(SUMPRODUCT((Inputs!$B$4:$B$150=$B63)*ISNUMBER(INDEX(Inputs!$D$4:$AG$150,0,MATCH(X$2,Inputs!$D$2:$AG$2,0))))=0,"",SUMIFS(INDEX(Inputs!$D$4:$AG$150,0,MATCH(X$2,Inputs!$D$2:$AG$2,0)),Inputs!$B$4:$B$150,$B63)/1000)</f>
        <v>272</v>
      </c>
      <c r="Y63" s="11">
        <f>IF(SUMPRODUCT((Inputs!$B$4:$B$150=$B63)*ISNUMBER(INDEX(Inputs!$D$4:$AG$150,0,MATCH(Y$2,Inputs!$D$2:$AG$2,0))))=0,"",SUMIFS(INDEX(Inputs!$D$4:$AG$150,0,MATCH(Y$2,Inputs!$D$2:$AG$2,0)),Inputs!$B$4:$B$150,$B63)/1000)</f>
        <v>344</v>
      </c>
      <c r="Z63" s="11">
        <f>IF(SUMPRODUCT((Inputs!$B$4:$B$150=$B63)*ISNUMBER(INDEX(Inputs!$D$4:$AG$150,0,MATCH(Z$2,Inputs!$D$2:$AG$2,0))))=0,"",SUMIFS(INDEX(Inputs!$D$4:$AG$150,0,MATCH(Z$2,Inputs!$D$2:$AG$2,0)),Inputs!$B$4:$B$150,$B63)/1000)</f>
        <v>315.7</v>
      </c>
      <c r="AA63" s="11">
        <f>IF(SUMPRODUCT((Inputs!$B$4:$B$150=$B63)*ISNUMBER(INDEX(Inputs!$D$4:$AG$150,0,MATCH(AA$2,Inputs!$D$2:$AG$2,0))))=0,"",SUMIFS(INDEX(Inputs!$D$4:$AG$150,0,MATCH(AA$2,Inputs!$D$2:$AG$2,0)),Inputs!$B$4:$B$150,$B63)/1000)</f>
        <v>459.2</v>
      </c>
      <c r="AB63" s="12">
        <f>IF(COUNT(X63:AA63)=4,SUM(X63:AA63),"")</f>
        <v>1390.9</v>
      </c>
      <c r="AC63" s="11">
        <f>IF(SUMPRODUCT((Inputs!$B$4:$B$150=$B63)*ISNUMBER(INDEX(Inputs!$D$4:$AG$150,0,MATCH(AC$2,Inputs!$D$2:$AG$2,0))))=0,"",SUMIFS(INDEX(Inputs!$D$4:$AG$150,0,MATCH(AC$2,Inputs!$D$2:$AG$2,0)),Inputs!$B$4:$B$150,$B63)/1000)</f>
        <v>382</v>
      </c>
      <c r="AD63" s="11">
        <f>IF(SUMPRODUCT((Inputs!$B$4:$B$150=$B63)*ISNUMBER(INDEX(Inputs!$D$4:$AG$150,0,MATCH(AD$2,Inputs!$D$2:$AG$2,0))))=0,"",SUMIFS(INDEX(Inputs!$D$4:$AG$150,0,MATCH(AD$2,Inputs!$D$2:$AG$2,0)),Inputs!$B$4:$B$150,$B63)/1000)</f>
        <v>429</v>
      </c>
      <c r="AE63" s="11" t="str">
        <f>IF(SUMPRODUCT((Inputs!$B$4:$B$150=$B63)*ISNUMBER(INDEX(Inputs!$D$4:$AG$150,0,MATCH(AE$2,Inputs!$D$2:$AG$2,0))))=0,"",SUMIFS(INDEX(Inputs!$D$4:$AG$150,0,MATCH(AE$2,Inputs!$D$2:$AG$2,0)),Inputs!$B$4:$B$150,$B63)/1000)</f>
        <v/>
      </c>
      <c r="AF63" s="11" t="str">
        <f>IF(SUMPRODUCT((Inputs!$B$4:$B$150=$B63)*ISNUMBER(INDEX(Inputs!$D$4:$AG$150,0,MATCH(AF$2,Inputs!$D$2:$AG$2,0))))=0,"",SUMIFS(INDEX(Inputs!$D$4:$AG$150,0,MATCH(AF$2,Inputs!$D$2:$AG$2,0)),Inputs!$B$4:$B$150,$B63)/1000)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Receita EUA (USD)</t>
        </is>
      </c>
      <c r="D64" s="11">
        <f>IF(SUMPRODUCT((Inputs!$B$4:$B$150=$B64)*ISNUMBER(INDEX(Inputs!$D$4:$AG$150,0,MATCH(D$2,Inputs!$D$2:$AG$2,0))))=0,"",SUMIFS(INDEX(Inputs!$D$4:$AG$150,0,MATCH(D$2,Inputs!$D$2:$AG$2,0)),Inputs!$B$4:$B$150,$B64)/1000)</f>
        <v>3941.3</v>
      </c>
      <c r="E64" s="11">
        <f>IF(SUMPRODUCT((Inputs!$B$4:$B$150=$B64)*ISNUMBER(INDEX(Inputs!$D$4:$AG$150,0,MATCH(E$2,Inputs!$D$2:$AG$2,0))))=0,"",SUMIFS(INDEX(Inputs!$D$4:$AG$150,0,MATCH(E$2,Inputs!$D$2:$AG$2,0)),Inputs!$B$4:$B$150,$B64)/1000)</f>
        <v>3704.2</v>
      </c>
      <c r="F64" s="11">
        <f>IF(SUMPRODUCT((Inputs!$B$4:$B$150=$B64)*ISNUMBER(INDEX(Inputs!$D$4:$AG$150,0,MATCH(F$2,Inputs!$D$2:$AG$2,0))))=0,"",SUMIFS(INDEX(Inputs!$D$4:$AG$150,0,MATCH(F$2,Inputs!$D$2:$AG$2,0)),Inputs!$B$4:$B$150,$B64)/1000)</f>
        <v>3989.6</v>
      </c>
      <c r="G64" s="11">
        <f>IF(SUMPRODUCT((Inputs!$B$4:$B$150=$B64)*ISNUMBER(INDEX(Inputs!$D$4:$AG$150,0,MATCH(G$2,Inputs!$D$2:$AG$2,0))))=0,"",SUMIFS(INDEX(Inputs!$D$4:$AG$150,0,MATCH(G$2,Inputs!$D$2:$AG$2,0)),Inputs!$B$4:$B$150,$B64)/1000)</f>
        <v>5175.9</v>
      </c>
      <c r="H64" s="12">
        <f>IF(COUNT(D64:G64)=4,SUM(D64:G64),"")</f>
        <v>16811</v>
      </c>
      <c r="I64" s="11">
        <f>IF(SUMPRODUCT((Inputs!$B$4:$B$150=$B64)*ISNUMBER(INDEX(Inputs!$D$4:$AG$150,0,MATCH(I$2,Inputs!$D$2:$AG$2,0))))=0,"",SUMIFS(INDEX(Inputs!$D$4:$AG$150,0,MATCH(I$2,Inputs!$D$2:$AG$2,0)),Inputs!$B$4:$B$150,$B64)/1000)</f>
        <v>5174.6</v>
      </c>
      <c r="J64" s="11">
        <f>IF(SUMPRODUCT((Inputs!$B$4:$B$150=$B64)*ISNUMBER(INDEX(Inputs!$D$4:$AG$150,0,MATCH(J$2,Inputs!$D$2:$AG$2,0))))=0,"",SUMIFS(INDEX(Inputs!$D$4:$AG$150,0,MATCH(J$2,Inputs!$D$2:$AG$2,0)),Inputs!$B$4:$B$150,$B64)/1000)</f>
        <v>3934.8</v>
      </c>
      <c r="K64" s="11">
        <f>IF(SUMPRODUCT((Inputs!$B$4:$B$150=$B64)*ISNUMBER(INDEX(Inputs!$D$4:$AG$150,0,MATCH(K$2,Inputs!$D$2:$AG$2,0))))=0,"",SUMIFS(INDEX(Inputs!$D$4:$AG$150,0,MATCH(K$2,Inputs!$D$2:$AG$2,0)),Inputs!$B$4:$B$150,$B64)/1000)</f>
        <v>4422.1</v>
      </c>
      <c r="L64" s="11">
        <f>IF(SUMPRODUCT((Inputs!$B$4:$B$150=$B64)*ISNUMBER(INDEX(Inputs!$D$4:$AG$150,0,MATCH(L$2,Inputs!$D$2:$AG$2,0))))=0,"",SUMIFS(INDEX(Inputs!$D$4:$AG$150,0,MATCH(L$2,Inputs!$D$2:$AG$2,0)),Inputs!$B$4:$B$150,$B64)/1000)</f>
        <v>4658.5</v>
      </c>
      <c r="M64" s="12">
        <f>IF(COUNT(I64:L64)=4,SUM(I64:L64),"")</f>
        <v>18190</v>
      </c>
      <c r="N64" s="11">
        <f>IF(SUMPRODUCT((Inputs!$B$4:$B$150=$B64)*ISNUMBER(INDEX(Inputs!$D$4:$AG$150,0,MATCH(N$2,Inputs!$D$2:$AG$2,0))))=0,"",SUMIFS(INDEX(Inputs!$D$4:$AG$150,0,MATCH(N$2,Inputs!$D$2:$AG$2,0)),Inputs!$B$4:$B$150,$B64)/1000)</f>
        <v>4436.2</v>
      </c>
      <c r="O64" s="11">
        <f>IF(SUMPRODUCT((Inputs!$B$4:$B$150=$B64)*ISNUMBER(INDEX(Inputs!$D$4:$AG$150,0,MATCH(O$2,Inputs!$D$2:$AG$2,0))))=0,"",SUMIFS(INDEX(Inputs!$D$4:$AG$150,0,MATCH(O$2,Inputs!$D$2:$AG$2,0)),Inputs!$B$4:$B$150,$B64)/1000)</f>
        <v>5531.4</v>
      </c>
      <c r="P64" s="11">
        <f>IF(SUMPRODUCT((Inputs!$B$4:$B$150=$B64)*ISNUMBER(INDEX(Inputs!$D$4:$AG$150,0,MATCH(P$2,Inputs!$D$2:$AG$2,0))))=0,"",SUMIFS(INDEX(Inputs!$D$4:$AG$150,0,MATCH(P$2,Inputs!$D$2:$AG$2,0)),Inputs!$B$4:$B$150,$B64)/1000)</f>
        <v>5368.1</v>
      </c>
      <c r="Q64" s="11">
        <f>IF(SUMPRODUCT((Inputs!$B$4:$B$150=$B64)*ISNUMBER(INDEX(Inputs!$D$4:$AG$150,0,MATCH(Q$2,Inputs!$D$2:$AG$2,0))))=0,"",SUMIFS(INDEX(Inputs!$D$4:$AG$150,0,MATCH(Q$2,Inputs!$D$2:$AG$2,0)),Inputs!$B$4:$B$150,$B64)/1000)</f>
        <v>6455.4</v>
      </c>
      <c r="R64" s="12">
        <f>IF(COUNT(N64:Q64)=4,SUM(N64:Q64),"")</f>
        <v>21791.1</v>
      </c>
      <c r="S64" s="11">
        <f>IF(SUMPRODUCT((Inputs!$B$4:$B$150=$B64)*ISNUMBER(INDEX(Inputs!$D$4:$AG$150,0,MATCH(S$2,Inputs!$D$2:$AG$2,0))))=0,"",SUMIFS(INDEX(Inputs!$D$4:$AG$150,0,MATCH(S$2,Inputs!$D$2:$AG$2,0)),Inputs!$B$4:$B$150,$B64)/1000)</f>
        <v>5694.4</v>
      </c>
      <c r="T64" s="11">
        <f>IF(SUMPRODUCT((Inputs!$B$4:$B$150=$B64)*ISNUMBER(INDEX(Inputs!$D$4:$AG$150,0,MATCH(T$2,Inputs!$D$2:$AG$2,0))))=0,"",SUMIFS(INDEX(Inputs!$D$4:$AG$150,0,MATCH(T$2,Inputs!$D$2:$AG$2,0)),Inputs!$B$4:$B$150,$B64)/1000)</f>
        <v>7835.2</v>
      </c>
      <c r="U64" s="11">
        <f>IF(SUMPRODUCT((Inputs!$B$4:$B$150=$B64)*ISNUMBER(INDEX(Inputs!$D$4:$AG$150,0,MATCH(U$2,Inputs!$D$2:$AG$2,0))))=0,"",SUMIFS(INDEX(Inputs!$D$4:$AG$150,0,MATCH(U$2,Inputs!$D$2:$AG$2,0)),Inputs!$B$4:$B$150,$B64)/1000)</f>
        <v>7813.6</v>
      </c>
      <c r="V64" s="11">
        <f>IF(SUMPRODUCT((Inputs!$B$4:$B$150=$B64)*ISNUMBER(INDEX(Inputs!$D$4:$AG$150,0,MATCH(V$2,Inputs!$D$2:$AG$2,0))))=0,"",SUMIFS(INDEX(Inputs!$D$4:$AG$150,0,MATCH(V$2,Inputs!$D$2:$AG$2,0)),Inputs!$B$4:$B$150,$B64)/1000)</f>
        <v>9032</v>
      </c>
      <c r="W64" s="12">
        <f>IF(COUNT(S64:V64)=4,SUM(S64:V64),"")</f>
        <v>30375.2</v>
      </c>
      <c r="X64" s="11">
        <f>IF(SUMPRODUCT((Inputs!$B$4:$B$150=$B64)*ISNUMBER(INDEX(Inputs!$D$4:$AG$150,0,MATCH(X$2,Inputs!$D$2:$AG$2,0))))=0,"",SUMIFS(INDEX(Inputs!$D$4:$AG$150,0,MATCH(X$2,Inputs!$D$2:$AG$2,0)),Inputs!$B$4:$B$150,$B64)/1000)</f>
        <v>8489</v>
      </c>
      <c r="Y64" s="11">
        <f>IF(SUMPRODUCT((Inputs!$B$4:$B$150=$B64)*ISNUMBER(INDEX(Inputs!$D$4:$AG$150,0,MATCH(Y$2,Inputs!$D$2:$AG$2,0))))=0,"",SUMIFS(INDEX(Inputs!$D$4:$AG$150,0,MATCH(Y$2,Inputs!$D$2:$AG$2,0)),Inputs!$B$4:$B$150,$B64)/1000)</f>
        <v>10814</v>
      </c>
      <c r="Z64" s="11">
        <f>IF(SUMPRODUCT((Inputs!$B$4:$B$150=$B64)*ISNUMBER(INDEX(Inputs!$D$4:$AG$150,0,MATCH(Z$2,Inputs!$D$2:$AG$2,0))))=0,"",SUMIFS(INDEX(Inputs!$D$4:$AG$150,0,MATCH(Z$2,Inputs!$D$2:$AG$2,0)),Inputs!$B$4:$B$150,$B64)/1000)</f>
        <v>11300</v>
      </c>
      <c r="AA64" s="11">
        <f>IF(SUMPRODUCT((Inputs!$B$4:$B$150=$B64)*ISNUMBER(INDEX(Inputs!$D$4:$AG$150,0,MATCH(AA$2,Inputs!$D$2:$AG$2,0))))=0,"",SUMIFS(INDEX(Inputs!$D$4:$AG$150,0,MATCH(AA$2,Inputs!$D$2:$AG$2,0)),Inputs!$B$4:$B$150,$B64)/1000)</f>
        <v>12877.4</v>
      </c>
      <c r="AB64" s="12">
        <f>IF(COUNT(X64:AA64)=4,SUM(X64:AA64),"")</f>
        <v>43480.4</v>
      </c>
      <c r="AC64" s="11">
        <f>IF(SUMPRODUCT((Inputs!$B$4:$B$150=$B64)*ISNUMBER(INDEX(Inputs!$D$4:$AG$150,0,MATCH(AC$2,Inputs!$D$2:$AG$2,0))))=0,"",SUMIFS(INDEX(Inputs!$D$4:$AG$150,0,MATCH(AC$2,Inputs!$D$2:$AG$2,0)),Inputs!$B$4:$B$150,$B64)/1000)</f>
        <v>12119</v>
      </c>
      <c r="AD64" s="11">
        <f>IF(SUMPRODUCT((Inputs!$B$4:$B$150=$B64)*ISNUMBER(INDEX(Inputs!$D$4:$AG$150,0,MATCH(AD$2,Inputs!$D$2:$AG$2,0))))=0,"",SUMIFS(INDEX(Inputs!$D$4:$AG$150,0,MATCH(AD$2,Inputs!$D$2:$AG$2,0)),Inputs!$B$4:$B$150,$B64)/1000)</f>
        <v>14413</v>
      </c>
      <c r="AE64" s="11" t="str">
        <f>IF(SUMPRODUCT((Inputs!$B$4:$B$150=$B64)*ISNUMBER(INDEX(Inputs!$D$4:$AG$150,0,MATCH(AE$2,Inputs!$D$2:$AG$2,0))))=0,"",SUMIFS(INDEX(Inputs!$D$4:$AG$150,0,MATCH(AE$2,Inputs!$D$2:$AG$2,0)),Inputs!$B$4:$B$150,$B64)/1000)</f>
        <v/>
      </c>
      <c r="AF64" s="11" t="str">
        <f>IF(SUMPRODUCT((Inputs!$B$4:$B$150=$B64)*ISNUMBER(INDEX(Inputs!$D$4:$AG$150,0,MATCH(AF$2,Inputs!$D$2:$AG$2,0))))=0,"",SUMIFS(INDEX(Inputs!$D$4:$AG$150,0,MATCH(AF$2,Inputs!$D$2:$AG$2,0)),Inputs!$B$4:$B$150,$B64)/1000)</f>
        <v/>
      </c>
      <c r="AG64" s="12" t="str">
        <f>IF(COUNT(AC64:AF64)=4,SUM(AC64:AF64),"")</f>
        <v/>
      </c>
    </row>
    <row r="65">
      <c r="B65" s="9" t="n">
        <v>57</v>
      </c>
      <c r="C65" s="10" t="inlineStr">
        <is>
          <t>Receita fora dos EUA (USD)</t>
        </is>
      </c>
      <c r="D65" s="11">
        <f>IF(SUMPRODUCT((Inputs!$B$4:$B$150=$B65)*ISNUMBER(INDEX(Inputs!$D$4:$AG$150,0,MATCH(D$2,Inputs!$D$2:$AG$2,0))))=0,"",SUMIFS(INDEX(Inputs!$D$4:$AG$150,0,MATCH(D$2,Inputs!$D$2:$AG$2,0)),Inputs!$B$4:$B$150,$B65)/1000)</f>
        <v>2864.3</v>
      </c>
      <c r="E65" s="11">
        <f>IF(SUMPRODUCT((Inputs!$B$4:$B$150=$B65)*ISNUMBER(INDEX(Inputs!$D$4:$AG$150,0,MATCH(E$2,Inputs!$D$2:$AG$2,0))))=0,"",SUMIFS(INDEX(Inputs!$D$4:$AG$150,0,MATCH(E$2,Inputs!$D$2:$AG$2,0)),Inputs!$B$4:$B$150,$B65)/1000)</f>
        <v>3035.9</v>
      </c>
      <c r="F65" s="11">
        <f>IF(SUMPRODUCT((Inputs!$B$4:$B$150=$B65)*ISNUMBER(INDEX(Inputs!$D$4:$AG$150,0,MATCH(F$2,Inputs!$D$2:$AG$2,0))))=0,"",SUMIFS(INDEX(Inputs!$D$4:$AG$150,0,MATCH(F$2,Inputs!$D$2:$AG$2,0)),Inputs!$B$4:$B$150,$B65)/1000)</f>
        <v>2783.3</v>
      </c>
      <c r="G65" s="11">
        <f>IF(SUMPRODUCT((Inputs!$B$4:$B$150=$B65)*ISNUMBER(INDEX(Inputs!$D$4:$AG$150,0,MATCH(G$2,Inputs!$D$2:$AG$2,0))))=0,"",SUMIFS(INDEX(Inputs!$D$4:$AG$150,0,MATCH(G$2,Inputs!$D$2:$AG$2,0)),Inputs!$B$4:$B$150,$B65)/1000)</f>
        <v>2824</v>
      </c>
      <c r="H65" s="12">
        <f>IF(COUNT(D65:G65)=4,SUM(D65:G65),"")</f>
        <v>11507.5</v>
      </c>
      <c r="I65" s="11">
        <f>IF(SUMPRODUCT((Inputs!$B$4:$B$150=$B65)*ISNUMBER(INDEX(Inputs!$D$4:$AG$150,0,MATCH(I$2,Inputs!$D$2:$AG$2,0))))=0,"",SUMIFS(INDEX(Inputs!$D$4:$AG$150,0,MATCH(I$2,Inputs!$D$2:$AG$2,0)),Inputs!$B$4:$B$150,$B65)/1000)</f>
        <v>2635.4</v>
      </c>
      <c r="J65" s="11">
        <f>IF(SUMPRODUCT((Inputs!$B$4:$B$150=$B65)*ISNUMBER(INDEX(Inputs!$D$4:$AG$150,0,MATCH(J$2,Inputs!$D$2:$AG$2,0))))=0,"",SUMIFS(INDEX(Inputs!$D$4:$AG$150,0,MATCH(J$2,Inputs!$D$2:$AG$2,0)),Inputs!$B$4:$B$150,$B65)/1000)</f>
        <v>2553.3</v>
      </c>
      <c r="K65" s="11">
        <f>IF(SUMPRODUCT((Inputs!$B$4:$B$150=$B65)*ISNUMBER(INDEX(Inputs!$D$4:$AG$150,0,MATCH(K$2,Inputs!$D$2:$AG$2,0))))=0,"",SUMIFS(INDEX(Inputs!$D$4:$AG$150,0,MATCH(K$2,Inputs!$D$2:$AG$2,0)),Inputs!$B$4:$B$150,$B65)/1000)</f>
        <v>2519.4</v>
      </c>
      <c r="L65" s="11">
        <f>IF(SUMPRODUCT((Inputs!$B$4:$B$150=$B65)*ISNUMBER(INDEX(Inputs!$D$4:$AG$150,0,MATCH(L$2,Inputs!$D$2:$AG$2,0))))=0,"",SUMIFS(INDEX(Inputs!$D$4:$AG$150,0,MATCH(L$2,Inputs!$D$2:$AG$2,0)),Inputs!$B$4:$B$150,$B65)/1000)</f>
        <v>2643.2</v>
      </c>
      <c r="M65" s="12">
        <f>IF(COUNT(I65:L65)=4,SUM(I65:L65),"")</f>
        <v>10351.3</v>
      </c>
      <c r="N65" s="11">
        <f>IF(SUMPRODUCT((Inputs!$B$4:$B$150=$B65)*ISNUMBER(INDEX(Inputs!$D$4:$AG$150,0,MATCH(N$2,Inputs!$D$2:$AG$2,0))))=0,"",SUMIFS(INDEX(Inputs!$D$4:$AG$150,0,MATCH(N$2,Inputs!$D$2:$AG$2,0)),Inputs!$B$4:$B$150,$B65)/1000)</f>
        <v>2523.9</v>
      </c>
      <c r="O65" s="11">
        <f>IF(SUMPRODUCT((Inputs!$B$4:$B$150=$B65)*ISNUMBER(INDEX(Inputs!$D$4:$AG$150,0,MATCH(O$2,Inputs!$D$2:$AG$2,0))))=0,"",SUMIFS(INDEX(Inputs!$D$4:$AG$150,0,MATCH(O$2,Inputs!$D$2:$AG$2,0)),Inputs!$B$4:$B$150,$B65)/1000)</f>
        <v>2780.7</v>
      </c>
      <c r="P65" s="11">
        <f>IF(SUMPRODUCT((Inputs!$B$4:$B$150=$B65)*ISNUMBER(INDEX(Inputs!$D$4:$AG$150,0,MATCH(P$2,Inputs!$D$2:$AG$2,0))))=0,"",SUMIFS(INDEX(Inputs!$D$4:$AG$150,0,MATCH(P$2,Inputs!$D$2:$AG$2,0)),Inputs!$B$4:$B$150,$B65)/1000)</f>
        <v>4130.5</v>
      </c>
      <c r="Q65" s="11">
        <f>IF(SUMPRODUCT((Inputs!$B$4:$B$150=$B65)*ISNUMBER(INDEX(Inputs!$D$4:$AG$150,0,MATCH(Q$2,Inputs!$D$2:$AG$2,0))))=0,"",SUMIFS(INDEX(Inputs!$D$4:$AG$150,0,MATCH(Q$2,Inputs!$D$2:$AG$2,0)),Inputs!$B$4:$B$150,$B65)/1000)</f>
        <v>2898.1</v>
      </c>
      <c r="R65" s="12">
        <f>IF(COUNT(N65:Q65)=4,SUM(N65:Q65),"")</f>
        <v>12333.2</v>
      </c>
      <c r="S65" s="11">
        <f>IF(SUMPRODUCT((Inputs!$B$4:$B$150=$B65)*ISNUMBER(INDEX(Inputs!$D$4:$AG$150,0,MATCH(S$2,Inputs!$D$2:$AG$2,0))))=0,"",SUMIFS(INDEX(Inputs!$D$4:$AG$150,0,MATCH(S$2,Inputs!$D$2:$AG$2,0)),Inputs!$B$4:$B$150,$B65)/1000)</f>
        <v>3073.7</v>
      </c>
      <c r="T65" s="11">
        <f>IF(SUMPRODUCT((Inputs!$B$4:$B$150=$B65)*ISNUMBER(INDEX(Inputs!$D$4:$AG$150,0,MATCH(T$2,Inputs!$D$2:$AG$2,0))))=0,"",SUMIFS(INDEX(Inputs!$D$4:$AG$150,0,MATCH(T$2,Inputs!$D$2:$AG$2,0)),Inputs!$B$4:$B$150,$B65)/1000)</f>
        <v>3467.5</v>
      </c>
      <c r="U65" s="11">
        <f>IF(SUMPRODUCT((Inputs!$B$4:$B$150=$B65)*ISNUMBER(INDEX(Inputs!$D$4:$AG$150,0,MATCH(U$2,Inputs!$D$2:$AG$2,0))))=0,"",SUMIFS(INDEX(Inputs!$D$4:$AG$150,0,MATCH(U$2,Inputs!$D$2:$AG$2,0)),Inputs!$B$4:$B$150,$B65)/1000)</f>
        <v>3625.5</v>
      </c>
      <c r="V65" s="11">
        <f>IF(SUMPRODUCT((Inputs!$B$4:$B$150=$B65)*ISNUMBER(INDEX(Inputs!$D$4:$AG$150,0,MATCH(V$2,Inputs!$D$2:$AG$2,0))))=0,"",SUMIFS(INDEX(Inputs!$D$4:$AG$150,0,MATCH(V$2,Inputs!$D$2:$AG$2,0)),Inputs!$B$4:$B$150,$B65)/1000)</f>
        <v>4500.8</v>
      </c>
      <c r="W65" s="12">
        <f>IF(COUNT(S65:V65)=4,SUM(S65:V65),"")</f>
        <v>14667.5</v>
      </c>
      <c r="X65" s="11">
        <f>IF(SUMPRODUCT((Inputs!$B$4:$B$150=$B65)*ISNUMBER(INDEX(Inputs!$D$4:$AG$150,0,MATCH(X$2,Inputs!$D$2:$AG$2,0))))=0,"",SUMIFS(INDEX(Inputs!$D$4:$AG$150,0,MATCH(X$2,Inputs!$D$2:$AG$2,0)),Inputs!$B$4:$B$150,$B65)/1000)</f>
        <v>4239</v>
      </c>
      <c r="Y65" s="11">
        <f>IF(SUMPRODUCT((Inputs!$B$4:$B$150=$B65)*ISNUMBER(INDEX(Inputs!$D$4:$AG$150,0,MATCH(Y$2,Inputs!$D$2:$AG$2,0))))=0,"",SUMIFS(INDEX(Inputs!$D$4:$AG$150,0,MATCH(Y$2,Inputs!$D$2:$AG$2,0)),Inputs!$B$4:$B$150,$B65)/1000)</f>
        <v>4743</v>
      </c>
      <c r="Z65" s="11">
        <f>IF(SUMPRODUCT((Inputs!$B$4:$B$150=$B65)*ISNUMBER(INDEX(Inputs!$D$4:$AG$150,0,MATCH(Z$2,Inputs!$D$2:$AG$2,0))))=0,"",SUMIFS(INDEX(Inputs!$D$4:$AG$150,0,MATCH(Z$2,Inputs!$D$2:$AG$2,0)),Inputs!$B$4:$B$150,$B65)/1000)</f>
        <v>6300.8</v>
      </c>
      <c r="AA65" s="11">
        <f>IF(SUMPRODUCT((Inputs!$B$4:$B$150=$B65)*ISNUMBER(INDEX(Inputs!$D$4:$AG$150,0,MATCH(AA$2,Inputs!$D$2:$AG$2,0))))=0,"",SUMIFS(INDEX(Inputs!$D$4:$AG$150,0,MATCH(AA$2,Inputs!$D$2:$AG$2,0)),Inputs!$B$4:$B$150,$B65)/1000)</f>
        <v>6414.6</v>
      </c>
      <c r="AB65" s="12">
        <f>IF(COUNT(X65:AA65)=4,SUM(X65:AA65),"")</f>
        <v>21697.4</v>
      </c>
      <c r="AC65" s="11">
        <f>IF(SUMPRODUCT((Inputs!$B$4:$B$150=$B65)*ISNUMBER(INDEX(Inputs!$D$4:$AG$150,0,MATCH(AC$2,Inputs!$D$2:$AG$2,0))))=0,"",SUMIFS(INDEX(Inputs!$D$4:$AG$150,0,MATCH(AC$2,Inputs!$D$2:$AG$2,0)),Inputs!$B$4:$B$150,$B65)/1000)</f>
        <v>7680</v>
      </c>
      <c r="AD65" s="11">
        <f>IF(SUMPRODUCT((Inputs!$B$4:$B$150=$B65)*ISNUMBER(INDEX(Inputs!$D$4:$AG$150,0,MATCH(AD$2,Inputs!$D$2:$AG$2,0))))=0,"",SUMIFS(INDEX(Inputs!$D$4:$AG$150,0,MATCH(AD$2,Inputs!$D$2:$AG$2,0)),Inputs!$B$4:$B$150,$B65)/1000)</f>
        <v>8561</v>
      </c>
      <c r="AE65" s="11" t="str">
        <f>IF(SUMPRODUCT((Inputs!$B$4:$B$150=$B65)*ISNUMBER(INDEX(Inputs!$D$4:$AG$150,0,MATCH(AE$2,Inputs!$D$2:$AG$2,0))))=0,"",SUMIFS(INDEX(Inputs!$D$4:$AG$150,0,MATCH(AE$2,Inputs!$D$2:$AG$2,0)),Inputs!$B$4:$B$150,$B65)/1000)</f>
        <v/>
      </c>
      <c r="AF65" s="11" t="str">
        <f>IF(SUMPRODUCT((Inputs!$B$4:$B$150=$B65)*ISNUMBER(INDEX(Inputs!$D$4:$AG$150,0,MATCH(AF$2,Inputs!$D$2:$AG$2,0))))=0,"",SUMIFS(INDEX(Inputs!$D$4:$AG$150,0,MATCH(AF$2,Inputs!$D$2:$AG$2,0)),Inputs!$B$4:$B$150,$B65)/1000)</f>
        <v/>
      </c>
      <c r="AG65" s="12" t="str">
        <f>IF(COUNT(AC65:AF65)=4,SUM(AC65:AF65),"")</f>
        <v/>
      </c>
    </row>
    <row r="66">
      <c r="B66" s="9" t="n">
        <v>58</v>
      </c>
      <c r="C66" s="10" t="inlineStr">
        <is>
          <t>Receita de produtos (USD)</t>
        </is>
      </c>
      <c r="D66" s="11">
        <f>IF(SUMPRODUCT((Inputs!$B$4:$B$150=$B66)*ISNUMBER(INDEX(Inputs!$D$4:$AG$150,0,MATCH(D$2,Inputs!$D$2:$AG$2,0))))=0,"",SUMIFS(INDEX(Inputs!$D$4:$AG$150,0,MATCH(D$2,Inputs!$D$2:$AG$2,0)),Inputs!$B$4:$B$150,$B66)/1000)</f>
        <v>6320</v>
      </c>
      <c r="E66" s="11">
        <f>IF(SUMPRODUCT((Inputs!$B$4:$B$150=$B66)*ISNUMBER(INDEX(Inputs!$D$4:$AG$150,0,MATCH(E$2,Inputs!$D$2:$AG$2,0))))=0,"",SUMIFS(INDEX(Inputs!$D$4:$AG$150,0,MATCH(E$2,Inputs!$D$2:$AG$2,0)),Inputs!$B$4:$B$150,$B66)/1000)</f>
        <v>6070.5</v>
      </c>
      <c r="F66" s="11">
        <f>IF(SUMPRODUCT((Inputs!$B$4:$B$150=$B66)*ISNUMBER(INDEX(Inputs!$D$4:$AG$150,0,MATCH(F$2,Inputs!$D$2:$AG$2,0))))=0,"",SUMIFS(INDEX(Inputs!$D$4:$AG$150,0,MATCH(F$2,Inputs!$D$2:$AG$2,0)),Inputs!$B$4:$B$150,$B66)/1000)</f>
        <v>6189</v>
      </c>
      <c r="G66" s="11">
        <f>IF(SUMPRODUCT((Inputs!$B$4:$B$150=$B66)*ISNUMBER(INDEX(Inputs!$D$4:$AG$150,0,MATCH(G$2,Inputs!$D$2:$AG$2,0))))=0,"",SUMIFS(INDEX(Inputs!$D$4:$AG$150,0,MATCH(G$2,Inputs!$D$2:$AG$2,0)),Inputs!$B$4:$B$150,$B66)/1000)</f>
        <v>7378.4</v>
      </c>
      <c r="H66" s="12">
        <f>IF(COUNT(D66:G66)=4,SUM(D66:G66),"")</f>
        <v>25957.9</v>
      </c>
      <c r="I66" s="11">
        <f>IF(SUMPRODUCT((Inputs!$B$4:$B$150=$B66)*ISNUMBER(INDEX(Inputs!$D$4:$AG$150,0,MATCH(I$2,Inputs!$D$2:$AG$2,0))))=0,"",SUMIFS(INDEX(Inputs!$D$4:$AG$150,0,MATCH(I$2,Inputs!$D$2:$AG$2,0)),Inputs!$B$4:$B$150,$B66)/1000)</f>
        <v>7132.9</v>
      </c>
      <c r="J66" s="11">
        <f>IF(SUMPRODUCT((Inputs!$B$4:$B$150=$B66)*ISNUMBER(INDEX(Inputs!$D$4:$AG$150,0,MATCH(J$2,Inputs!$D$2:$AG$2,0))))=0,"",SUMIFS(INDEX(Inputs!$D$4:$AG$150,0,MATCH(J$2,Inputs!$D$2:$AG$2,0)),Inputs!$B$4:$B$150,$B66)/1000)</f>
        <v>5870.9</v>
      </c>
      <c r="K66" s="11">
        <f>IF(SUMPRODUCT((Inputs!$B$4:$B$150=$B66)*ISNUMBER(INDEX(Inputs!$D$4:$AG$150,0,MATCH(K$2,Inputs!$D$2:$AG$2,0))))=0,"",SUMIFS(INDEX(Inputs!$D$4:$AG$150,0,MATCH(K$2,Inputs!$D$2:$AG$2,0)),Inputs!$B$4:$B$150,$B66)/1000)</f>
        <v>6119.2</v>
      </c>
      <c r="L66" s="11">
        <f>IF(SUMPRODUCT((Inputs!$B$4:$B$150=$B66)*ISNUMBER(INDEX(Inputs!$D$4:$AG$150,0,MATCH(L$2,Inputs!$D$2:$AG$2,0))))=0,"",SUMIFS(INDEX(Inputs!$D$4:$AG$150,0,MATCH(L$2,Inputs!$D$2:$AG$2,0)),Inputs!$B$4:$B$150,$B66)/1000)</f>
        <v>6339.8</v>
      </c>
      <c r="M66" s="12">
        <f>IF(COUNT(I66:L66)=4,SUM(I66:L66),"")</f>
        <v>25462.8</v>
      </c>
      <c r="N66" s="11">
        <f>IF(SUMPRODUCT((Inputs!$B$4:$B$150=$B66)*ISNUMBER(INDEX(Inputs!$D$4:$AG$150,0,MATCH(N$2,Inputs!$D$2:$AG$2,0))))=0,"",SUMIFS(INDEX(Inputs!$D$4:$AG$150,0,MATCH(N$2,Inputs!$D$2:$AG$2,0)),Inputs!$B$4:$B$150,$B66)/1000)</f>
        <v>6238.2</v>
      </c>
      <c r="O66" s="11">
        <f>IF(SUMPRODUCT((Inputs!$B$4:$B$150=$B66)*ISNUMBER(INDEX(Inputs!$D$4:$AG$150,0,MATCH(O$2,Inputs!$D$2:$AG$2,0))))=0,"",SUMIFS(INDEX(Inputs!$D$4:$AG$150,0,MATCH(O$2,Inputs!$D$2:$AG$2,0)),Inputs!$B$4:$B$150,$B66)/1000)</f>
        <v>6979.8</v>
      </c>
      <c r="P66" s="11">
        <f>IF(SUMPRODUCT((Inputs!$B$4:$B$150=$B66)*ISNUMBER(INDEX(Inputs!$D$4:$AG$150,0,MATCH(P$2,Inputs!$D$2:$AG$2,0))))=0,"",SUMIFS(INDEX(Inputs!$D$4:$AG$150,0,MATCH(P$2,Inputs!$D$2:$AG$2,0)),Inputs!$B$4:$B$150,$B66)/1000)</f>
        <v>7306.2</v>
      </c>
      <c r="Q66" s="11">
        <f>IF(SUMPRODUCT((Inputs!$B$4:$B$150=$B66)*ISNUMBER(INDEX(Inputs!$D$4:$AG$150,0,MATCH(Q$2,Inputs!$D$2:$AG$2,0))))=0,"",SUMIFS(INDEX(Inputs!$D$4:$AG$150,0,MATCH(Q$2,Inputs!$D$2:$AG$2,0)),Inputs!$B$4:$B$150,$B66)/1000)</f>
        <v>8289.7</v>
      </c>
      <c r="R66" s="12">
        <f>IF(COUNT(N66:Q66)=4,SUM(N66:Q66),"")</f>
        <v>28813.9</v>
      </c>
      <c r="S66" s="11">
        <f>IF(SUMPRODUCT((Inputs!$B$4:$B$150=$B66)*ISNUMBER(INDEX(Inputs!$D$4:$AG$150,0,MATCH(S$2,Inputs!$D$2:$AG$2,0))))=0,"",SUMIFS(INDEX(Inputs!$D$4:$AG$150,0,MATCH(S$2,Inputs!$D$2:$AG$2,0)),Inputs!$B$4:$B$150,$B66)/1000)</f>
        <v>7796.5</v>
      </c>
      <c r="T66" s="11">
        <f>IF(SUMPRODUCT((Inputs!$B$4:$B$150=$B66)*ISNUMBER(INDEX(Inputs!$D$4:$AG$150,0,MATCH(T$2,Inputs!$D$2:$AG$2,0))))=0,"",SUMIFS(INDEX(Inputs!$D$4:$AG$150,0,MATCH(T$2,Inputs!$D$2:$AG$2,0)),Inputs!$B$4:$B$150,$B66)/1000)</f>
        <v>10354.9</v>
      </c>
      <c r="U66" s="11">
        <f>IF(SUMPRODUCT((Inputs!$B$4:$B$150=$B66)*ISNUMBER(INDEX(Inputs!$D$4:$AG$150,0,MATCH(U$2,Inputs!$D$2:$AG$2,0))))=0,"",SUMIFS(INDEX(Inputs!$D$4:$AG$150,0,MATCH(U$2,Inputs!$D$2:$AG$2,0)),Inputs!$B$4:$B$150,$B66)/1000)</f>
        <v>10571.6</v>
      </c>
      <c r="V66" s="11">
        <f>IF(SUMPRODUCT((Inputs!$B$4:$B$150=$B66)*ISNUMBER(INDEX(Inputs!$D$4:$AG$150,0,MATCH(V$2,Inputs!$D$2:$AG$2,0))))=0,"",SUMIFS(INDEX(Inputs!$D$4:$AG$150,0,MATCH(V$2,Inputs!$D$2:$AG$2,0)),Inputs!$B$4:$B$150,$B66)/1000)</f>
        <v>12024.9</v>
      </c>
      <c r="W66" s="12">
        <f>IF(COUNT(S66:V66)=4,SUM(S66:V66),"")</f>
        <v>40747.9</v>
      </c>
      <c r="X66" s="11">
        <f>IF(SUMPRODUCT((Inputs!$B$4:$B$150=$B66)*ISNUMBER(INDEX(Inputs!$D$4:$AG$150,0,MATCH(X$2,Inputs!$D$2:$AG$2,0))))=0,"",SUMIFS(INDEX(Inputs!$D$4:$AG$150,0,MATCH(X$2,Inputs!$D$2:$AG$2,0)),Inputs!$B$4:$B$150,$B66)/1000)</f>
        <v>11601</v>
      </c>
      <c r="Y66" s="11">
        <f>IF(SUMPRODUCT((Inputs!$B$4:$B$150=$B66)*ISNUMBER(INDEX(Inputs!$D$4:$AG$150,0,MATCH(Y$2,Inputs!$D$2:$AG$2,0))))=0,"",SUMIFS(INDEX(Inputs!$D$4:$AG$150,0,MATCH(Y$2,Inputs!$D$2:$AG$2,0)),Inputs!$B$4:$B$150,$B66)/1000)</f>
        <v>14726</v>
      </c>
      <c r="Z66" s="11">
        <f>IF(SUMPRODUCT((Inputs!$B$4:$B$150=$B66)*ISNUMBER(INDEX(Inputs!$D$4:$AG$150,0,MATCH(Z$2,Inputs!$D$2:$AG$2,0))))=0,"",SUMIFS(INDEX(Inputs!$D$4:$AG$150,0,MATCH(Z$2,Inputs!$D$2:$AG$2,0)),Inputs!$B$4:$B$150,$B66)/1000)</f>
        <v>16330.5</v>
      </c>
      <c r="AA66" s="11">
        <f>IF(SUMPRODUCT((Inputs!$B$4:$B$150=$B66)*ISNUMBER(INDEX(Inputs!$D$4:$AG$150,0,MATCH(AA$2,Inputs!$D$2:$AG$2,0))))=0,"",SUMIFS(INDEX(Inputs!$D$4:$AG$150,0,MATCH(AA$2,Inputs!$D$2:$AG$2,0)),Inputs!$B$4:$B$150,$B66)/1000)</f>
        <v>18300.3</v>
      </c>
      <c r="AB66" s="12">
        <f>IF(COUNT(X66:AA66)=4,SUM(X66:AA66),"")</f>
        <v>60957.8</v>
      </c>
      <c r="AC66" s="11">
        <f>IF(SUMPRODUCT((Inputs!$B$4:$B$150=$B66)*ISNUMBER(INDEX(Inputs!$D$4:$AG$150,0,MATCH(AC$2,Inputs!$D$2:$AG$2,0))))=0,"",SUMIFS(INDEX(Inputs!$D$4:$AG$150,0,MATCH(AC$2,Inputs!$D$2:$AG$2,0)),Inputs!$B$4:$B$150,$B66)/1000)</f>
        <v>18453</v>
      </c>
      <c r="AD66" s="11">
        <f>IF(SUMPRODUCT((Inputs!$B$4:$B$150=$B66)*ISNUMBER(INDEX(Inputs!$D$4:$AG$150,0,MATCH(AD$2,Inputs!$D$2:$AG$2,0))))=0,"",SUMIFS(INDEX(Inputs!$D$4:$AG$150,0,MATCH(AD$2,Inputs!$D$2:$AG$2,0)),Inputs!$B$4:$B$150,$B66)/1000)</f>
        <v>21403</v>
      </c>
      <c r="AE66" s="11" t="str">
        <f>IF(SUMPRODUCT((Inputs!$B$4:$B$150=$B66)*ISNUMBER(INDEX(Inputs!$D$4:$AG$150,0,MATCH(AE$2,Inputs!$D$2:$AG$2,0))))=0,"",SUMIFS(INDEX(Inputs!$D$4:$AG$150,0,MATCH(AE$2,Inputs!$D$2:$AG$2,0)),Inputs!$B$4:$B$150,$B66)/1000)</f>
        <v/>
      </c>
      <c r="AF66" s="11" t="str">
        <f>IF(SUMPRODUCT((Inputs!$B$4:$B$150=$B66)*ISNUMBER(INDEX(Inputs!$D$4:$AG$150,0,MATCH(AF$2,Inputs!$D$2:$AG$2,0))))=0,"",SUMIFS(INDEX(Inputs!$D$4:$AG$150,0,MATCH(AF$2,Inputs!$D$2:$AG$2,0)),Inputs!$B$4:$B$150,$B66)/1000)</f>
        <v/>
      </c>
      <c r="AG66" s="12" t="str">
        <f>IF(COUNT(AC66:AF66)=4,SUM(AC66:AF66),"")</f>
        <v/>
      </c>
    </row>
    <row r="67">
      <c r="B67" s="9" t="n">
        <v>59</v>
      </c>
      <c r="C67" s="10" t="inlineStr">
        <is>
          <t>Receita de colaboração e outras (USD)</t>
        </is>
      </c>
      <c r="D67" s="11">
        <f>IF(SUMPRODUCT((Inputs!$B$4:$B$150=$B67)*ISNUMBER(INDEX(Inputs!$D$4:$AG$150,0,MATCH(D$2,Inputs!$D$2:$AG$2,0))))=0,"",SUMIFS(INDEX(Inputs!$D$4:$AG$150,0,MATCH(D$2,Inputs!$D$2:$AG$2,0)),Inputs!$B$4:$B$150,$B67)/1000)</f>
        <v>485.6</v>
      </c>
      <c r="E67" s="11">
        <f>IF(SUMPRODUCT((Inputs!$B$4:$B$150=$B67)*ISNUMBER(INDEX(Inputs!$D$4:$AG$150,0,MATCH(E$2,Inputs!$D$2:$AG$2,0))))=0,"",SUMIFS(INDEX(Inputs!$D$4:$AG$150,0,MATCH(E$2,Inputs!$D$2:$AG$2,0)),Inputs!$B$4:$B$150,$B67)/1000)</f>
        <v>669.6</v>
      </c>
      <c r="F67" s="11">
        <f>IF(SUMPRODUCT((Inputs!$B$4:$B$150=$B67)*ISNUMBER(INDEX(Inputs!$D$4:$AG$150,0,MATCH(F$2,Inputs!$D$2:$AG$2,0))))=0,"",SUMIFS(INDEX(Inputs!$D$4:$AG$150,0,MATCH(F$2,Inputs!$D$2:$AG$2,0)),Inputs!$B$4:$B$150,$B67)/1000)</f>
        <v>583.8</v>
      </c>
      <c r="G67" s="11">
        <f>IF(SUMPRODUCT((Inputs!$B$4:$B$150=$B67)*ISNUMBER(INDEX(Inputs!$D$4:$AG$150,0,MATCH(G$2,Inputs!$D$2:$AG$2,0))))=0,"",SUMIFS(INDEX(Inputs!$D$4:$AG$150,0,MATCH(G$2,Inputs!$D$2:$AG$2,0)),Inputs!$B$4:$B$150,$B67)/1000)</f>
        <v>621.5</v>
      </c>
      <c r="H67" s="12">
        <f>IF(COUNT(D67:G67)=4,SUM(D67:G67),"")</f>
        <v>2360.5</v>
      </c>
      <c r="I67" s="11">
        <f>IF(SUMPRODUCT((Inputs!$B$4:$B$150=$B67)*ISNUMBER(INDEX(Inputs!$D$4:$AG$150,0,MATCH(I$2,Inputs!$D$2:$AG$2,0))))=0,"",SUMIFS(INDEX(Inputs!$D$4:$AG$150,0,MATCH(I$2,Inputs!$D$2:$AG$2,0)),Inputs!$B$4:$B$150,$B67)/1000)</f>
        <v>677.1</v>
      </c>
      <c r="J67" s="11">
        <f>IF(SUMPRODUCT((Inputs!$B$4:$B$150=$B67)*ISNUMBER(INDEX(Inputs!$D$4:$AG$150,0,MATCH(J$2,Inputs!$D$2:$AG$2,0))))=0,"",SUMIFS(INDEX(Inputs!$D$4:$AG$150,0,MATCH(J$2,Inputs!$D$2:$AG$2,0)),Inputs!$B$4:$B$150,$B67)/1000)</f>
        <v>617.1</v>
      </c>
      <c r="K67" s="11">
        <f>IF(SUMPRODUCT((Inputs!$B$4:$B$150=$B67)*ISNUMBER(INDEX(Inputs!$D$4:$AG$150,0,MATCH(K$2,Inputs!$D$2:$AG$2,0))))=0,"",SUMIFS(INDEX(Inputs!$D$4:$AG$150,0,MATCH(K$2,Inputs!$D$2:$AG$2,0)),Inputs!$B$4:$B$150,$B67)/1000)</f>
        <v>822.4</v>
      </c>
      <c r="L67" s="11">
        <f>IF(SUMPRODUCT((Inputs!$B$4:$B$150=$B67)*ISNUMBER(INDEX(Inputs!$D$4:$AG$150,0,MATCH(L$2,Inputs!$D$2:$AG$2,0))))=0,"",SUMIFS(INDEX(Inputs!$D$4:$AG$150,0,MATCH(L$2,Inputs!$D$2:$AG$2,0)),Inputs!$B$4:$B$150,$B67)/1000)</f>
        <v>962</v>
      </c>
      <c r="M67" s="12">
        <f>IF(COUNT(I67:L67)=4,SUM(I67:L67),"")</f>
        <v>3078.6</v>
      </c>
      <c r="N67" s="11">
        <f>IF(SUMPRODUCT((Inputs!$B$4:$B$150=$B67)*ISNUMBER(INDEX(Inputs!$D$4:$AG$150,0,MATCH(N$2,Inputs!$D$2:$AG$2,0))))=0,"",SUMIFS(INDEX(Inputs!$D$4:$AG$150,0,MATCH(N$2,Inputs!$D$2:$AG$2,0)),Inputs!$B$4:$B$150,$B67)/1000)</f>
        <v>721.8</v>
      </c>
      <c r="O67" s="11">
        <f>IF(SUMPRODUCT((Inputs!$B$4:$B$150=$B67)*ISNUMBER(INDEX(Inputs!$D$4:$AG$150,0,MATCH(O$2,Inputs!$D$2:$AG$2,0))))=0,"",SUMIFS(INDEX(Inputs!$D$4:$AG$150,0,MATCH(O$2,Inputs!$D$2:$AG$2,0)),Inputs!$B$4:$B$150,$B67)/1000)</f>
        <v>1332.3</v>
      </c>
      <c r="P67" s="11">
        <f>IF(SUMPRODUCT((Inputs!$B$4:$B$150=$B67)*ISNUMBER(INDEX(Inputs!$D$4:$AG$150,0,MATCH(P$2,Inputs!$D$2:$AG$2,0))))=0,"",SUMIFS(INDEX(Inputs!$D$4:$AG$150,0,MATCH(P$2,Inputs!$D$2:$AG$2,0)),Inputs!$B$4:$B$150,$B67)/1000)</f>
        <v>2192.4</v>
      </c>
      <c r="Q67" s="11">
        <f>IF(SUMPRODUCT((Inputs!$B$4:$B$150=$B67)*ISNUMBER(INDEX(Inputs!$D$4:$AG$150,0,MATCH(Q$2,Inputs!$D$2:$AG$2,0))))=0,"",SUMIFS(INDEX(Inputs!$D$4:$AG$150,0,MATCH(Q$2,Inputs!$D$2:$AG$2,0)),Inputs!$B$4:$B$150,$B67)/1000)</f>
        <v>1063.7</v>
      </c>
      <c r="R67" s="12">
        <f>IF(COUNT(N67:Q67)=4,SUM(N67:Q67),"")</f>
        <v>5310.2</v>
      </c>
      <c r="S67" s="11">
        <f>IF(SUMPRODUCT((Inputs!$B$4:$B$150=$B67)*ISNUMBER(INDEX(Inputs!$D$4:$AG$150,0,MATCH(S$2,Inputs!$D$2:$AG$2,0))))=0,"",SUMIFS(INDEX(Inputs!$D$4:$AG$150,0,MATCH(S$2,Inputs!$D$2:$AG$2,0)),Inputs!$B$4:$B$150,$B67)/1000)</f>
        <v>971.5</v>
      </c>
      <c r="T67" s="11">
        <f>IF(SUMPRODUCT((Inputs!$B$4:$B$150=$B67)*ISNUMBER(INDEX(Inputs!$D$4:$AG$150,0,MATCH(T$2,Inputs!$D$2:$AG$2,0))))=0,"",SUMIFS(INDEX(Inputs!$D$4:$AG$150,0,MATCH(T$2,Inputs!$D$2:$AG$2,0)),Inputs!$B$4:$B$150,$B67)/1000)</f>
        <v>947.9</v>
      </c>
      <c r="U67" s="11">
        <f>IF(SUMPRODUCT((Inputs!$B$4:$B$150=$B67)*ISNUMBER(INDEX(Inputs!$D$4:$AG$150,0,MATCH(U$2,Inputs!$D$2:$AG$2,0))))=0,"",SUMIFS(INDEX(Inputs!$D$4:$AG$150,0,MATCH(U$2,Inputs!$D$2:$AG$2,0)),Inputs!$B$4:$B$150,$B67)/1000)</f>
        <v>867.5</v>
      </c>
      <c r="V67" s="11">
        <f>IF(SUMPRODUCT((Inputs!$B$4:$B$150=$B67)*ISNUMBER(INDEX(Inputs!$D$4:$AG$150,0,MATCH(V$2,Inputs!$D$2:$AG$2,0))))=0,"",SUMIFS(INDEX(Inputs!$D$4:$AG$150,0,MATCH(V$2,Inputs!$D$2:$AG$2,0)),Inputs!$B$4:$B$150,$B67)/1000)</f>
        <v>1507.9</v>
      </c>
      <c r="W67" s="12">
        <f>IF(COUNT(S67:V67)=4,SUM(S67:V67),"")</f>
        <v>4294.8</v>
      </c>
      <c r="X67" s="11">
        <f>IF(SUMPRODUCT((Inputs!$B$4:$B$150=$B67)*ISNUMBER(INDEX(Inputs!$D$4:$AG$150,0,MATCH(X$2,Inputs!$D$2:$AG$2,0))))=0,"",SUMIFS(INDEX(Inputs!$D$4:$AG$150,0,MATCH(X$2,Inputs!$D$2:$AG$2,0)),Inputs!$B$4:$B$150,$B67)/1000)</f>
        <v>1127</v>
      </c>
      <c r="Y67" s="11">
        <f>IF(SUMPRODUCT((Inputs!$B$4:$B$150=$B67)*ISNUMBER(INDEX(Inputs!$D$4:$AG$150,0,MATCH(Y$2,Inputs!$D$2:$AG$2,0))))=0,"",SUMIFS(INDEX(Inputs!$D$4:$AG$150,0,MATCH(Y$2,Inputs!$D$2:$AG$2,0)),Inputs!$B$4:$B$150,$B67)/1000)</f>
        <v>832</v>
      </c>
      <c r="Z67" s="11">
        <f>IF(SUMPRODUCT((Inputs!$B$4:$B$150=$B67)*ISNUMBER(INDEX(Inputs!$D$4:$AG$150,0,MATCH(Z$2,Inputs!$D$2:$AG$2,0))))=0,"",SUMIFS(INDEX(Inputs!$D$4:$AG$150,0,MATCH(Z$2,Inputs!$D$2:$AG$2,0)),Inputs!$B$4:$B$150,$B67)/1000)</f>
        <v>1270.3</v>
      </c>
      <c r="AA67" s="11">
        <f>IF(SUMPRODUCT((Inputs!$B$4:$B$150=$B67)*ISNUMBER(INDEX(Inputs!$D$4:$AG$150,0,MATCH(AA$2,Inputs!$D$2:$AG$2,0))))=0,"",SUMIFS(INDEX(Inputs!$D$4:$AG$150,0,MATCH(AA$2,Inputs!$D$2:$AG$2,0)),Inputs!$B$4:$B$150,$B67)/1000)</f>
        <v>991.7</v>
      </c>
      <c r="AB67" s="12">
        <f>IF(COUNT(X67:AA67)=4,SUM(X67:AA67),"")</f>
        <v>4221</v>
      </c>
      <c r="AC67" s="11">
        <f>IF(SUMPRODUCT((Inputs!$B$4:$B$150=$B67)*ISNUMBER(INDEX(Inputs!$D$4:$AG$150,0,MATCH(AC$2,Inputs!$D$2:$AG$2,0))))=0,"",SUMIFS(INDEX(Inputs!$D$4:$AG$150,0,MATCH(AC$2,Inputs!$D$2:$AG$2,0)),Inputs!$B$4:$B$150,$B67)/1000)</f>
        <v>1346</v>
      </c>
      <c r="AD67" s="11">
        <f>IF(SUMPRODUCT((Inputs!$B$4:$B$150=$B67)*ISNUMBER(INDEX(Inputs!$D$4:$AG$150,0,MATCH(AD$2,Inputs!$D$2:$AG$2,0))))=0,"",SUMIFS(INDEX(Inputs!$D$4:$AG$150,0,MATCH(AD$2,Inputs!$D$2:$AG$2,0)),Inputs!$B$4:$B$150,$B67)/1000)</f>
        <v>1571</v>
      </c>
      <c r="AE67" s="11" t="str">
        <f>IF(SUMPRODUCT((Inputs!$B$4:$B$150=$B67)*ISNUMBER(INDEX(Inputs!$D$4:$AG$150,0,MATCH(AE$2,Inputs!$D$2:$AG$2,0))))=0,"",SUMIFS(INDEX(Inputs!$D$4:$AG$150,0,MATCH(AE$2,Inputs!$D$2:$AG$2,0)),Inputs!$B$4:$B$150,$B67)/1000)</f>
        <v/>
      </c>
      <c r="AF67" s="11" t="str">
        <f>IF(SUMPRODUCT((Inputs!$B$4:$B$150=$B67)*ISNUMBER(INDEX(Inputs!$D$4:$AG$150,0,MATCH(AF$2,Inputs!$D$2:$AG$2,0))))=0,"",SUMIFS(INDEX(Inputs!$D$4:$AG$150,0,MATCH(AF$2,Inputs!$D$2:$AG$2,0)),Inputs!$B$4:$B$150,$B67)/1000)</f>
        <v/>
      </c>
      <c r="AG67" s="12" t="str">
        <f>IF(COUNT(AC67:AF67)=4,SUM(AC67:AF67),"")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7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8600.11720081626</v>
      </c>
      <c r="AK1" s="12">
        <f>IF(AK2="","",SUM(AK2,AK3))</f>
        <v>9426.47271931658</v>
      </c>
      <c r="AL1" s="12">
        <f>IF(AL2="","",SUM(AL2,AL3))</f>
        <v>32517.5899201328</v>
      </c>
      <c r="AM1" s="12">
        <f>IF(AM2="","",SUM(AM2,AM3))</f>
        <v>9674.20347137409</v>
      </c>
      <c r="AN1" s="12">
        <f>IF(AN2="","",SUM(AN2,AN3))</f>
        <v>11225.5745518131</v>
      </c>
      <c r="AO1" s="12">
        <f>IF(AO2="","",SUM(AO2,AO3))</f>
        <v>12648.6911515079</v>
      </c>
      <c r="AP1" s="12">
        <f>IF(AP2="","",SUM(AP2,AP3))</f>
        <v>13864.0601390215</v>
      </c>
      <c r="AQ1" s="12">
        <f>IF(AQ2="","",SUM(AQ2,AQ3))</f>
        <v>47412.5293137166</v>
      </c>
      <c r="AR1" s="12">
        <f>IF(AR2="","",SUM(AR2,AR3))</f>
        <v>14180.0411064502</v>
      </c>
      <c r="AS1" s="12">
        <f>IF(AS2="","",SUM(AS2,AS3))</f>
        <v>16453.9756745082</v>
      </c>
      <c r="AT1" s="12">
        <f>IF(AT2="","",SUM(AT2,AT3))</f>
        <v>18539.9202117153</v>
      </c>
      <c r="AU1" s="12">
        <f>IF(AU2="","",SUM(AU2,AU3))</f>
        <v>20321.3570249313</v>
      </c>
      <c r="AV1" s="12">
        <f>IF(AV2="","",SUM(AV2,AV3))</f>
        <v>69495.294017605</v>
      </c>
      <c r="AW1" s="12">
        <f>IF(AW2="","",SUM(AW2,AW3))</f>
        <v>20713.6084494277</v>
      </c>
      <c r="AX1" s="12">
        <f>IF(AX2="","",SUM(AX2,AX3))</f>
        <v>24035.2765552377</v>
      </c>
      <c r="AY1" s="12">
        <f>IF(AY2="","",SUM(AY2,AY3))</f>
        <v>27082.3367200546</v>
      </c>
      <c r="AZ1" s="12">
        <f>IF(AZ2="","",SUM(AZ2,AZ3))</f>
        <v>29684.5847917875</v>
      </c>
      <c r="BA1" s="12">
        <f>IF(BA2="","",SUM(BA2,BA3))</f>
        <v>101515.806516507</v>
      </c>
      <c r="BB1" s="12">
        <f>IF(BB2="","",SUM(BB2,BB3))</f>
        <v>30154.0011548572</v>
      </c>
      <c r="BC1" s="12">
        <f>IF(BC2="","",SUM(BC2,BC3))</f>
        <v>34989.546064533</v>
      </c>
      <c r="BD1" s="12">
        <f>IF(BD2="","",SUM(BD2,BD3))</f>
        <v>39425.3282679639</v>
      </c>
      <c r="BE1" s="12">
        <f>IF(BE2="","",SUM(BE2,BE3))</f>
        <v>43213.5717095564</v>
      </c>
      <c r="BF1" s="12">
        <f>IF(BF2="","",SUM(BF2,BF3))</f>
        <v>147782.44719691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IF(COUNT(I192,I268)&lt;2,"",ABS(I192-I268))</f>
        <v>0</v>
      </c>
      <c r="J2" s="12">
        <f>IF(COUNT(J192,J268)&lt;2,"",ABS(J192-J268))</f>
        <v>0</v>
      </c>
      <c r="K2" s="12">
        <f>IF(COUNT(K192,K268)&lt;2,"",ABS(K192-K268))</f>
        <v>0</v>
      </c>
      <c r="L2" s="12">
        <f>IF(COUNT(L192,L268)&lt;2,"",ABS(L192-L268))</f>
        <v>0</v>
      </c>
      <c r="M2" s="12">
        <f>IF(COUNT(M192,M268)&lt;2,"",ABS(M192-M268))</f>
        <v>0</v>
      </c>
      <c r="N2" s="12">
        <f>IF(COUNT(N192,N268)&lt;2,"",ABS(N192-N268))</f>
        <v>0</v>
      </c>
      <c r="O2" s="12">
        <f>IF(COUNT(O192,O268)&lt;2,"",ABS(O192-O268))</f>
        <v>0</v>
      </c>
      <c r="P2" s="12">
        <f>IF(COUNT(P192,P268)&lt;2,"",ABS(P192-P268))</f>
        <v>0</v>
      </c>
      <c r="Q2" s="12">
        <f>IF(COUNT(Q192,Q268)&lt;2,"",ABS(Q192-Q268))</f>
        <v>0</v>
      </c>
      <c r="R2" s="12">
        <f>IF(COUNT(R192,R268)&lt;2,"",ABS(R192-R268))</f>
        <v>0</v>
      </c>
      <c r="S2" s="12">
        <f>IF(COUNT(S192,S268)&lt;2,"",ABS(S192-S268))</f>
        <v>0</v>
      </c>
      <c r="T2" s="12">
        <f>IF(COUNT(T192,T268)&lt;2,"",ABS(T192-T268))</f>
        <v>0</v>
      </c>
      <c r="U2" s="12">
        <f>IF(COUNT(U192,U268)&lt;2,"",ABS(U192-U268))</f>
        <v>0</v>
      </c>
      <c r="V2" s="12">
        <f>IF(COUNT(V192,V268)&lt;2,"",ABS(V192-V268))</f>
        <v>0</v>
      </c>
      <c r="W2" s="12">
        <f>IF(COUNT(W192,W268)&lt;2,"",ABS(W192-W268))</f>
        <v>0</v>
      </c>
      <c r="X2" s="12">
        <f>IF(COUNT(X192,X268)&lt;2,"",ABS(X192-X268))</f>
        <v>0</v>
      </c>
      <c r="Y2" s="12">
        <f>IF(COUNT(Y192,Y268)&lt;2,"",ABS(Y192-Y268))</f>
        <v>0</v>
      </c>
      <c r="Z2" s="12">
        <f>IF(COUNT(Z192,Z268)&lt;2,"",ABS(Z192-Z268))</f>
        <v>0</v>
      </c>
      <c r="AA2" s="12">
        <f>IF(COUNT(AA192,AA268)&lt;2,"",ABS(AA192-AA268))</f>
        <v>0</v>
      </c>
      <c r="AB2" s="12">
        <f>IF(COUNT(AB192,AB268)&lt;2,"",ABS(AB192-AB268))</f>
        <v>0</v>
      </c>
      <c r="AC2" s="12">
        <f>IF(COUNT(AC192,AC268)&lt;2,"",ABS(AC192-AC268))</f>
        <v>0</v>
      </c>
      <c r="AD2" s="12">
        <f>IF(COUNT(AD192,AD268)&lt;2,"",ABS(AD192-AD268))</f>
        <v>0</v>
      </c>
      <c r="AE2" s="12">
        <f>IF(COUNT(AE192,AE268)&lt;2,"",ABS(AE192-AE268))</f>
        <v>0</v>
      </c>
      <c r="AF2" s="12">
        <f>IF(COUNT(AF192,AF268)&lt;2,"",ABS(AF192-AF268))</f>
        <v>0</v>
      </c>
      <c r="AG2" s="12">
        <f>IF(COUNT(AG192,AG268)&lt;2,"",ABS(AG192-AG268))</f>
        <v>0</v>
      </c>
      <c r="AH2" s="12">
        <f>IF(COUNT(AH192,AH268)&lt;2,"",ABS(AH192-AH268))</f>
        <v>0</v>
      </c>
      <c r="AI2" s="12">
        <f>IF(COUNT(AI192,AI268)&lt;2,"",ABS(AI192-AI268))</f>
        <v>0</v>
      </c>
      <c r="AJ2" s="12">
        <f>IF(COUNT(AJ192,AJ268)&lt;2,"",ABS(AJ192-AJ268))</f>
        <v>0</v>
      </c>
      <c r="AK2" s="12">
        <f>IF(COUNT(AK192,AK268)&lt;2,"",ABS(AK192-AK268))</f>
        <v>0</v>
      </c>
      <c r="AL2" s="12">
        <f>IF(COUNT(AL192,AL268)&lt;2,"",ABS(AL192-AL268))</f>
        <v>0</v>
      </c>
      <c r="AM2" s="12">
        <f>IF(COUNT(AM192,AM268)&lt;2,"",ABS(AM192-AM268))</f>
        <v>0</v>
      </c>
      <c r="AN2" s="12">
        <f>IF(COUNT(AN192,AN268)&lt;2,"",ABS(AN192-AN268))</f>
        <v>0</v>
      </c>
      <c r="AO2" s="12">
        <f>IF(COUNT(AO192,AO268)&lt;2,"",ABS(AO192-AO268))</f>
        <v>0</v>
      </c>
      <c r="AP2" s="12">
        <f>IF(COUNT(AP192,AP268)&lt;2,"",ABS(AP192-AP268))</f>
        <v>0</v>
      </c>
      <c r="AQ2" s="12">
        <f>IF(COUNT(AQ192,AQ268)&lt;2,"",ABS(AQ192-AQ268))</f>
        <v>0</v>
      </c>
      <c r="AR2" s="12">
        <f>IF(COUNT(AR192,AR268)&lt;2,"",ABS(AR192-AR268))</f>
        <v>0</v>
      </c>
      <c r="AS2" s="12">
        <f>IF(COUNT(AS192,AS268)&lt;2,"",ABS(AS192-AS268))</f>
        <v>0</v>
      </c>
      <c r="AT2" s="12">
        <f>IF(COUNT(AT192,AT268)&lt;2,"",ABS(AT192-AT268))</f>
        <v>0</v>
      </c>
      <c r="AU2" s="12">
        <f>IF(COUNT(AU192,AU268)&lt;2,"",ABS(AU192-AU268))</f>
        <v>0</v>
      </c>
      <c r="AV2" s="12">
        <f>IF(COUNT(AV192,AV268)&lt;2,"",ABS(AV192-AV268))</f>
        <v>0</v>
      </c>
      <c r="AW2" s="12">
        <f>IF(COUNT(AW192,AW268)&lt;2,"",ABS(AW192-AW268))</f>
        <v>0</v>
      </c>
      <c r="AX2" s="12">
        <f>IF(COUNT(AX192,AX268)&lt;2,"",ABS(AX192-AX268))</f>
        <v>0</v>
      </c>
      <c r="AY2" s="12">
        <f>IF(COUNT(AY192,AY268)&lt;2,"",ABS(AY192-AY268))</f>
        <v>0</v>
      </c>
      <c r="AZ2" s="12">
        <f>IF(COUNT(AZ192,AZ268)&lt;2,"",ABS(AZ192-AZ268))</f>
        <v>0</v>
      </c>
      <c r="BA2" s="12">
        <f>IF(COUNT(BA192,BA268)&lt;2,"",ABS(BA192-BA268))</f>
        <v>0</v>
      </c>
      <c r="BB2" s="12">
        <f>IF(COUNT(BB192,BB268)&lt;2,"",ABS(BB192-BB268))</f>
        <v>0</v>
      </c>
      <c r="BC2" s="12">
        <f>IF(COUNT(BC192,BC268)&lt;2,"",ABS(BC192-BC268))</f>
        <v>0</v>
      </c>
      <c r="BD2" s="12">
        <f>IF(COUNT(BD192,BD268)&lt;2,"",ABS(BD192-BD268))</f>
        <v>0</v>
      </c>
      <c r="BE2" s="12">
        <f>IF(COUNT(BE192,BE268)&lt;2,"",ABS(BE192-BE268))</f>
        <v>0</v>
      </c>
      <c r="BF2" s="12">
        <f>IF(COUNT(BF192,BF268)&lt;2,"",ABS(BF192-BF268))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IF(COUNT(I132,I4)&lt;2,"",ABS(I132-I4))</f>
        <v>0</v>
      </c>
      <c r="J3" s="12">
        <f>IF(COUNT(J132,J4)&lt;2,"",ABS(J132-J4))</f>
        <v>0</v>
      </c>
      <c r="K3" s="12">
        <f>IF(COUNT(K132,K4)&lt;2,"",ABS(K132-K4))</f>
        <v>0</v>
      </c>
      <c r="L3" s="12">
        <f>IF(COUNT(L132,L4)&lt;2,"",ABS(L132-L4))</f>
        <v>0</v>
      </c>
      <c r="M3" s="12">
        <f>IF(COUNT(M132,M4)&lt;2,"",ABS(M132-M4))</f>
        <v>0</v>
      </c>
      <c r="N3" s="12">
        <f>IF(COUNT(N132,N4)&lt;2,"",ABS(N132-N4))</f>
        <v>0</v>
      </c>
      <c r="O3" s="12">
        <f>IF(COUNT(O132,O4)&lt;2,"",ABS(O132-O4))</f>
        <v>0</v>
      </c>
      <c r="P3" s="12">
        <f>IF(COUNT(P132,P4)&lt;2,"",ABS(P132-P4))</f>
        <v>0</v>
      </c>
      <c r="Q3" s="12">
        <f>IF(COUNT(Q132,Q4)&lt;2,"",ABS(Q132-Q4))</f>
        <v>0</v>
      </c>
      <c r="R3" s="12">
        <f>IF(COUNT(R132,R4)&lt;2,"",ABS(R132-R4))</f>
        <v>0</v>
      </c>
      <c r="S3" s="12">
        <f>IF(COUNT(S132,S4)&lt;2,"",ABS(S132-S4))</f>
        <v>0</v>
      </c>
      <c r="T3" s="12">
        <f>IF(COUNT(T132,T4)&lt;2,"",ABS(T132-T4))</f>
        <v>0</v>
      </c>
      <c r="U3" s="12">
        <f>IF(COUNT(U132,U4)&lt;2,"",ABS(U132-U4))</f>
        <v>0</v>
      </c>
      <c r="V3" s="12">
        <f>IF(COUNT(V132,V4)&lt;2,"",ABS(V132-V4))</f>
        <v>0</v>
      </c>
      <c r="W3" s="12">
        <f>IF(COUNT(W132,W4)&lt;2,"",ABS(W132-W4))</f>
        <v>0</v>
      </c>
      <c r="X3" s="12">
        <f>IF(COUNT(X132,X4)&lt;2,"",ABS(X132-X4))</f>
        <v>0</v>
      </c>
      <c r="Y3" s="12">
        <f>IF(COUNT(Y132,Y4)&lt;2,"",ABS(Y132-Y4))</f>
        <v>0</v>
      </c>
      <c r="Z3" s="12">
        <f>IF(COUNT(Z132,Z4)&lt;2,"",ABS(Z132-Z4))</f>
        <v>0</v>
      </c>
      <c r="AA3" s="12">
        <f>IF(COUNT(AA132,AA4)&lt;2,"",ABS(AA132-AA4))</f>
        <v>0</v>
      </c>
      <c r="AB3" s="12">
        <f>IF(COUNT(AB132,AB4)&lt;2,"",ABS(AB132-AB4))</f>
        <v>0</v>
      </c>
      <c r="AC3" s="12">
        <f>IF(COUNT(AC132,AC4)&lt;2,"",ABS(AC132-AC4))</f>
        <v>0</v>
      </c>
      <c r="AD3" s="12">
        <f>IF(COUNT(AD132,AD4)&lt;2,"",ABS(AD132-AD4))</f>
        <v>0</v>
      </c>
      <c r="AE3" s="12">
        <f>IF(COUNT(AE132,AE4)&lt;2,"",ABS(AE132-AE4))</f>
        <v>0</v>
      </c>
      <c r="AF3" s="12">
        <f>IF(COUNT(AF132,AF4)&lt;2,"",ABS(AF132-AF4))</f>
        <v>0</v>
      </c>
      <c r="AG3" s="12">
        <f>IF(COUNT(AG132,AG4)&lt;2,"",ABS(AG132-AG4))</f>
        <v>0</v>
      </c>
      <c r="AH3" s="12">
        <f>IF(COUNT(AH132,AH4)&lt;2,"",ABS(AH132-AH4))</f>
        <v>0</v>
      </c>
      <c r="AI3" s="12">
        <f>IF(COUNT(AI132,AI4)&lt;2,"",ABS(AI132-AI4))</f>
        <v>0</v>
      </c>
      <c r="AJ3" s="12">
        <f>ABS(AJ132-AJ4)</f>
        <v>8600.11720081626</v>
      </c>
      <c r="AK3" s="12">
        <f>ABS(AK132-AK4)</f>
        <v>9426.47271931658</v>
      </c>
      <c r="AL3" s="12">
        <f>ABS(AL132-AL4)</f>
        <v>32517.5899201328</v>
      </c>
      <c r="AM3" s="12">
        <f>ABS(AM132-AM4)</f>
        <v>9674.20347137409</v>
      </c>
      <c r="AN3" s="12">
        <f>ABS(AN132-AN4)</f>
        <v>11225.5745518131</v>
      </c>
      <c r="AO3" s="12">
        <f>ABS(AO132-AO4)</f>
        <v>12648.6911515079</v>
      </c>
      <c r="AP3" s="12">
        <f>ABS(AP132-AP4)</f>
        <v>13864.0601390215</v>
      </c>
      <c r="AQ3" s="12">
        <f>ABS(AQ132-AQ4)</f>
        <v>47412.5293137166</v>
      </c>
      <c r="AR3" s="12">
        <f>ABS(AR132-AR4)</f>
        <v>14180.0411064502</v>
      </c>
      <c r="AS3" s="12">
        <f>ABS(AS132-AS4)</f>
        <v>16453.9756745082</v>
      </c>
      <c r="AT3" s="12">
        <f>ABS(AT132-AT4)</f>
        <v>18539.9202117153</v>
      </c>
      <c r="AU3" s="12">
        <f>ABS(AU132-AU4)</f>
        <v>20321.3570249313</v>
      </c>
      <c r="AV3" s="12">
        <f>ABS(AV132-AV4)</f>
        <v>69495.294017605</v>
      </c>
      <c r="AW3" s="12">
        <f>ABS(AW132-AW4)</f>
        <v>20713.6084494277</v>
      </c>
      <c r="AX3" s="12">
        <f>ABS(AX132-AX4)</f>
        <v>24035.2765552377</v>
      </c>
      <c r="AY3" s="12">
        <f>ABS(AY132-AY4)</f>
        <v>27082.3367200546</v>
      </c>
      <c r="AZ3" s="12">
        <f>ABS(AZ132-AZ4)</f>
        <v>29684.5847917875</v>
      </c>
      <c r="BA3" s="12">
        <f>ABS(BA132-BA4)</f>
        <v>101515.806516507</v>
      </c>
      <c r="BB3" s="12">
        <f>ABS(BB132-BB4)</f>
        <v>30154.0011548572</v>
      </c>
      <c r="BC3" s="12">
        <f>ABS(BC132-BC4)</f>
        <v>34989.546064533</v>
      </c>
      <c r="BD3" s="12">
        <f>ABS(BD132-BD4)</f>
        <v>39425.3282679639</v>
      </c>
      <c r="BE3" s="12">
        <f>ABS(BE132-BE4)</f>
        <v>43213.5717095564</v>
      </c>
      <c r="BF3" s="12">
        <f>ABS(BF132-BF4)</f>
        <v>147782.44719691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1355.3</v>
      </c>
      <c r="J4">
        <f>IF(ISNUMBER('Inputs (2)'!E50),'Inputs (2)'!E50,"")</f>
        <v>1390.2</v>
      </c>
      <c r="K4">
        <f>IF(ISNUMBER('Inputs (2)'!F50),'Inputs (2)'!F50,"")</f>
        <v>1110.1</v>
      </c>
      <c r="L4">
        <f>IF(ISNUMBER('Inputs (2)'!G50),'Inputs (2)'!G50,"")</f>
        <v>1726.1</v>
      </c>
      <c r="M4" s="11">
        <f>IF(COUNT(I4:L4)=4,SUM(I4:L4),"")</f>
        <v>5581.7</v>
      </c>
      <c r="N4">
        <f>IF(ISNUMBER('Inputs (2)'!I50),'Inputs (2)'!I50,"")</f>
        <v>1902.9</v>
      </c>
      <c r="O4">
        <f>IF(ISNUMBER('Inputs (2)'!J50),'Inputs (2)'!J50,"")</f>
        <v>952.5</v>
      </c>
      <c r="P4">
        <f>IF(ISNUMBER('Inputs (2)'!K50),'Inputs (2)'!K50,"")</f>
        <v>1451.7</v>
      </c>
      <c r="Q4">
        <f>IF(ISNUMBER('Inputs (2)'!L50),'Inputs (2)'!L50,"")</f>
        <v>1937.7</v>
      </c>
      <c r="R4" s="11">
        <f>IF(COUNT(N4:Q4)=4,SUM(N4:Q4),"")</f>
        <v>6244.8</v>
      </c>
      <c r="S4">
        <f>IF(ISNUMBER('Inputs (2)'!N50),'Inputs (2)'!N50,"")</f>
        <v>1344.9</v>
      </c>
      <c r="T4">
        <f>IF(ISNUMBER('Inputs (2)'!O50),'Inputs (2)'!O50,"")</f>
        <v>1763.2</v>
      </c>
      <c r="U4">
        <f>IF(ISNUMBER('Inputs (2)'!P50),'Inputs (2)'!P50,"")</f>
        <v>-57.4</v>
      </c>
      <c r="V4">
        <f>IF(ISNUMBER('Inputs (2)'!Q50),'Inputs (2)'!Q50,"")</f>
        <v>2189.7</v>
      </c>
      <c r="W4" s="11">
        <f>IF(COUNT(S4:V4)=4,SUM(S4:V4),"")</f>
        <v>5240.4</v>
      </c>
      <c r="X4">
        <f>IF(ISNUMBER('Inputs (2)'!S50),'Inputs (2)'!S50,"")</f>
        <v>2242.9</v>
      </c>
      <c r="Y4">
        <f>IF(ISNUMBER('Inputs (2)'!T50),'Inputs (2)'!T50,"")</f>
        <v>2967</v>
      </c>
      <c r="Z4">
        <f>IF(ISNUMBER('Inputs (2)'!U50),'Inputs (2)'!U50,"")</f>
        <v>970.3</v>
      </c>
      <c r="AA4">
        <f>IF(ISNUMBER('Inputs (2)'!V50),'Inputs (2)'!V50,"")</f>
        <v>4409.8</v>
      </c>
      <c r="AB4" s="11">
        <f>IF(COUNT(X4:AA4)=4,SUM(X4:AA4),"")</f>
        <v>10590</v>
      </c>
      <c r="AC4">
        <f>IF(ISNUMBER('Inputs (2)'!X50),'Inputs (2)'!X50,"")</f>
        <v>2759</v>
      </c>
      <c r="AD4">
        <f>IF(ISNUMBER('Inputs (2)'!Y50),'Inputs (2)'!Y50,"")</f>
        <v>5661</v>
      </c>
      <c r="AE4">
        <f>IF(ISNUMBER('Inputs (2)'!Z50),'Inputs (2)'!Z50,"")</f>
        <v>5582.5</v>
      </c>
      <c r="AF4">
        <f>IF(ISNUMBER('Inputs (2)'!AA50),'Inputs (2)'!AA50,"")</f>
        <v>6637.7</v>
      </c>
      <c r="AG4" s="11">
        <f>IF(COUNT(AC4:AF4)=4,SUM(AC4:AF4),"")</f>
        <v>20640.2</v>
      </c>
      <c r="AH4" s="11">
        <f>IF(ISNUMBER('Inputs (2)'!AC50),'Inputs (2)'!AC50,"")</f>
        <v>7396</v>
      </c>
      <c r="AI4" s="11">
        <f>IF(ISNUMBER('Inputs (2)'!AD50),'Inputs (2)'!AD50,"")</f>
        <v>7095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6805.6</v>
      </c>
      <c r="J15" s="34">
        <f>'Inputs (2)'!E4</f>
        <v>6740.1</v>
      </c>
      <c r="K15" s="34">
        <f>'Inputs (2)'!F4</f>
        <v>6772.8</v>
      </c>
      <c r="L15" s="34">
        <f>'Inputs (2)'!G4</f>
        <v>7999.9</v>
      </c>
      <c r="M15" s="35">
        <f>'Inputs (2)'!H4</f>
        <v>28318.4</v>
      </c>
      <c r="N15" s="34">
        <f>'Inputs (2)'!I4</f>
        <v>7810</v>
      </c>
      <c r="O15" s="34">
        <f>'Inputs (2)'!J4</f>
        <v>6488</v>
      </c>
      <c r="P15" s="34">
        <f>'Inputs (2)'!K4</f>
        <v>6941.6</v>
      </c>
      <c r="Q15" s="34">
        <f>'Inputs (2)'!L4</f>
        <v>7301.8</v>
      </c>
      <c r="R15" s="35">
        <f>'Inputs (2)'!M4</f>
        <v>28541.4</v>
      </c>
      <c r="S15" s="34">
        <f>'Inputs (2)'!N4</f>
        <v>6960</v>
      </c>
      <c r="T15" s="34">
        <f>'Inputs (2)'!O4</f>
        <v>8312.1</v>
      </c>
      <c r="U15" s="34">
        <f>'Inputs (2)'!P4</f>
        <v>9498.6</v>
      </c>
      <c r="V15" s="34">
        <f>'Inputs (2)'!Q4</f>
        <v>9353.4</v>
      </c>
      <c r="W15" s="35">
        <f>'Inputs (2)'!R4</f>
        <v>34124.1</v>
      </c>
      <c r="X15" s="34">
        <f>'Inputs (2)'!S4</f>
        <v>8768</v>
      </c>
      <c r="Y15" s="34">
        <f>'Inputs (2)'!T4</f>
        <v>11302.8</v>
      </c>
      <c r="Z15" s="34">
        <f>'Inputs (2)'!U4</f>
        <v>11439.1</v>
      </c>
      <c r="AA15" s="34">
        <f>'Inputs (2)'!V4</f>
        <v>13532.8</v>
      </c>
      <c r="AB15" s="35">
        <f>'Inputs (2)'!W4</f>
        <v>45042.7</v>
      </c>
      <c r="AC15" s="34">
        <f>'Inputs (2)'!X4</f>
        <v>12729</v>
      </c>
      <c r="AD15" s="34">
        <f>'Inputs (2)'!Y4</f>
        <v>15558</v>
      </c>
      <c r="AE15" s="34">
        <f>'Inputs (2)'!Z4</f>
        <v>17600.8</v>
      </c>
      <c r="AF15" s="34">
        <f>'Inputs (2)'!AA4</f>
        <v>19292</v>
      </c>
      <c r="AG15" s="35">
        <f>'Inputs (2)'!AB4</f>
        <v>65179.8</v>
      </c>
      <c r="AH15" s="35">
        <f>'Inputs (2)'!AC4</f>
        <v>19799</v>
      </c>
      <c r="AI15" s="35">
        <f>'Inputs (2)'!AD4</f>
        <v>22974</v>
      </c>
      <c r="AJ15" s="35">
        <f>AE15*(1+AJ16)</f>
        <v>25886.5173602901</v>
      </c>
      <c r="AK15" s="35">
        <f>AF15*(1+AK16)</f>
        <v>28373.8632854595</v>
      </c>
      <c r="AL15" s="35">
        <f>SUM(AH15:AK15)</f>
        <v>97033.3806457496</v>
      </c>
      <c r="AM15" s="35">
        <f>AH15*(1+AM16)</f>
        <v>29119.5375901313</v>
      </c>
      <c r="AN15" s="35">
        <f>AI15*(1+AN16)</f>
        <v>33789.1942318136</v>
      </c>
      <c r="AO15" s="35">
        <f>AJ15*(1+AO16)</f>
        <v>38072.802431969</v>
      </c>
      <c r="AP15" s="35">
        <f>AK15*(1+AP16)</f>
        <v>41731.0863436631</v>
      </c>
      <c r="AQ15" s="35">
        <f>SUM(AM15:AP15)</f>
        <v>142712.620597577</v>
      </c>
      <c r="AR15" s="35">
        <f>AM15*(1+AR16)</f>
        <v>42682.1951027494</v>
      </c>
      <c r="AS15" s="35">
        <f>AN15*(1+AS16)</f>
        <v>49526.7816703149</v>
      </c>
      <c r="AT15" s="35">
        <f>AO15*(1+AT16)</f>
        <v>55805.5146473363</v>
      </c>
      <c r="AU15" s="35">
        <f>AP15*(1+AU16)</f>
        <v>61167.6735475894</v>
      </c>
      <c r="AV15" s="35">
        <f>SUM(AR15:AU15)</f>
        <v>209182.16496799</v>
      </c>
      <c r="AW15" s="35">
        <f>AR15*(1+AW16)</f>
        <v>62348.3578420848</v>
      </c>
      <c r="AX15" s="35">
        <f>AS15*(1+AX16)</f>
        <v>72346.6424094174</v>
      </c>
      <c r="AY15" s="35">
        <f>AT15*(1+AY16)</f>
        <v>81518.3518190164</v>
      </c>
      <c r="AZ15" s="35">
        <f>AU15*(1+AZ16)</f>
        <v>89351.1683157847</v>
      </c>
      <c r="BA15" s="35">
        <f>SUM(AW15:AZ15)</f>
        <v>305564.520386303</v>
      </c>
      <c r="BB15" s="35">
        <f>AW15*(1+BB16)</f>
        <v>90764.1205521397</v>
      </c>
      <c r="BC15" s="35">
        <f>AX15*(1+BC16)</f>
        <v>105319.203271118</v>
      </c>
      <c r="BD15" s="35">
        <f>AY15*(1+BD16)</f>
        <v>118670.992593789</v>
      </c>
      <c r="BE15" s="35">
        <f>AZ15*(1+BE16)</f>
        <v>130073.677850971</v>
      </c>
      <c r="BF15" s="35">
        <f>SUM(BB15:BE15)</f>
        <v>444827.994268018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0.147584342306336</v>
      </c>
      <c r="O16" s="40">
        <f>IFERROR(O15/J15-1,"")</f>
        <v>-0.0374030058901204</v>
      </c>
      <c r="P16" s="40">
        <f>IFERROR(P15/K15-1,"")</f>
        <v>0.0249232223009686</v>
      </c>
      <c r="Q16" s="40">
        <f>IFERROR(Q15/L15-1,"")</f>
        <v>-0.0872635907948849</v>
      </c>
      <c r="R16" s="40">
        <f>IFERROR(R15/M15-1,"")</f>
        <v>0.00787473868580135</v>
      </c>
      <c r="S16" s="40">
        <f>IFERROR(S15/N15-1,"")</f>
        <v>-0.108834827144686</v>
      </c>
      <c r="T16" s="40">
        <f>IFERROR(T15/O15-1,"")</f>
        <v>0.281149815043157</v>
      </c>
      <c r="U16" s="40">
        <f>IFERROR(U15/P15-1,"")</f>
        <v>0.368358879797165</v>
      </c>
      <c r="V16" s="40">
        <f>IFERROR(V15/Q15-1,"")</f>
        <v>0.280971815168863</v>
      </c>
      <c r="W16" s="40">
        <f>IFERROR(W15/R15-1,"")</f>
        <v>0.195600075679539</v>
      </c>
      <c r="X16" s="40">
        <f>IFERROR(X15/S15-1,"")</f>
        <v>0.259770114942529</v>
      </c>
      <c r="Y16" s="40">
        <f>IFERROR(Y15/T15-1,"")</f>
        <v>0.359800772367993</v>
      </c>
      <c r="Z16" s="40">
        <f>IFERROR(Z15/U15-1,"")</f>
        <v>0.204293264270524</v>
      </c>
      <c r="AA16" s="40">
        <f>IFERROR(AA15/V15-1,"")</f>
        <v>0.446832167981696</v>
      </c>
      <c r="AB16" s="40">
        <f>IFERROR(AB15/W15-1,"")</f>
        <v>0.319967413059978</v>
      </c>
      <c r="AC16" s="40">
        <f>IFERROR(AC15/X15-1,"")</f>
        <v>0.451756386861314</v>
      </c>
      <c r="AD16" s="40">
        <f>IFERROR(AD15/Y15-1,"")</f>
        <v>0.376473086314896</v>
      </c>
      <c r="AE16" s="40">
        <f>IFERROR(AE15/Z15-1,"")</f>
        <v>0.538652516369295</v>
      </c>
      <c r="AF16" s="41">
        <f>IFERROR(AF15/AA15-1,"")</f>
        <v>0.425573421612675</v>
      </c>
      <c r="AG16" s="40">
        <f>IFERROR(AG15/AB15-1,"")</f>
        <v>0.447066894302518</v>
      </c>
      <c r="AH16" s="41">
        <f>IFERROR(AH15/AC15-1,"")</f>
        <v>0.5554246209443</v>
      </c>
      <c r="AI16" s="41">
        <f>IFERROR(AI15/AD15-1,"")</f>
        <v>0.476667952178943</v>
      </c>
      <c r="AJ16" s="41">
        <f>Control!$B$18</f>
        <v>0.470757997380237</v>
      </c>
      <c r="AK16" s="41">
        <f>Control!$B$18</f>
        <v>0.470757997380237</v>
      </c>
      <c r="AL16" s="42">
        <f>IFERROR(AL15/AG15-1,"")</f>
        <v>0.48870325845967</v>
      </c>
      <c r="AM16" s="41">
        <f>Control!$C$18</f>
        <v>0.470757997380237</v>
      </c>
      <c r="AN16" s="41">
        <f>Control!$C$18</f>
        <v>0.470757997380237</v>
      </c>
      <c r="AO16" s="41">
        <f>Control!$C$18</f>
        <v>0.470757997380237</v>
      </c>
      <c r="AP16" s="41">
        <f>Control!$C$18</f>
        <v>0.470757997380237</v>
      </c>
      <c r="AQ16" s="42">
        <f>IFERROR(AQ15/AL15-1,"")</f>
        <v>0.470757997380237</v>
      </c>
      <c r="AR16" s="41">
        <f>Control!$D$18</f>
        <v>0.465757997380237</v>
      </c>
      <c r="AS16" s="41">
        <f>Control!$D$18</f>
        <v>0.465757997380237</v>
      </c>
      <c r="AT16" s="41">
        <f>Control!$D$18</f>
        <v>0.465757997380237</v>
      </c>
      <c r="AU16" s="41">
        <f>Control!$D$18</f>
        <v>0.465757997380237</v>
      </c>
      <c r="AV16" s="42">
        <f>IFERROR(AV15/AQ15-1,"")</f>
        <v>0.465757997380237</v>
      </c>
      <c r="AW16" s="41">
        <f>Control!$E$18</f>
        <v>0.460757997380237</v>
      </c>
      <c r="AX16" s="41">
        <f>Control!$E$18</f>
        <v>0.460757997380237</v>
      </c>
      <c r="AY16" s="41">
        <f>Control!$E$18</f>
        <v>0.460757997380237</v>
      </c>
      <c r="AZ16" s="41">
        <f>Control!$E$18</f>
        <v>0.460757997380237</v>
      </c>
      <c r="BA16" s="42">
        <f>IFERROR(BA15/AV15-1,"")</f>
        <v>0.460757997380237</v>
      </c>
      <c r="BB16" s="41">
        <f>Control!$F$18</f>
        <v>0.455757997380237</v>
      </c>
      <c r="BC16" s="41">
        <f>Control!$F$18</f>
        <v>0.455757997380237</v>
      </c>
      <c r="BD16" s="41">
        <f>Control!$F$18</f>
        <v>0.455757997380237</v>
      </c>
      <c r="BE16" s="41">
        <f>Control!$F$18</f>
        <v>0.455757997380237</v>
      </c>
      <c r="BF16" s="42">
        <f>IFERROR(BF15/BA15-1,"")</f>
        <v>0.455757997380237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IF(ISNUMBER(I22),I22,"")</f>
        <v>0</v>
      </c>
      <c r="J17" s="40">
        <f>IF(ISNUMBER(J22),J22,"")</f>
        <v>0</v>
      </c>
      <c r="K17" s="40">
        <f>IF(ISNUMBER(K22),K22,"")</f>
        <v>-0.1</v>
      </c>
      <c r="L17" s="40">
        <f>IF(ISNUMBER(L22),L22,"")</f>
        <v>0</v>
      </c>
      <c r="M17" s="39">
        <f>IF(ISNUMBER(M22),M22,"")</f>
        <v>-0.1</v>
      </c>
      <c r="N17" s="40">
        <f>IF(ISNUMBER(N22),N22,"")</f>
        <v>0</v>
      </c>
      <c r="O17" s="40">
        <f>IF(ISNUMBER(O22),O22,"")</f>
        <v>-0.1</v>
      </c>
      <c r="P17" s="40">
        <f>IF(ISNUMBER(P22),P22,"")</f>
        <v>0.1</v>
      </c>
      <c r="Q17" s="40">
        <f>IF(ISNUMBER(Q22),Q22,"")</f>
        <v>0.1</v>
      </c>
      <c r="R17" s="40">
        <f>IF(ISNUMBER(R22),R22,"")</f>
        <v>0.1</v>
      </c>
      <c r="S17" s="40">
        <f>IF(ISNUMBER(S22),S22,"")</f>
        <v>-0.1</v>
      </c>
      <c r="T17" s="40">
        <f>IF(ISNUMBER(T22),T22,"")</f>
        <v>0</v>
      </c>
      <c r="U17" s="40">
        <f>IF(ISNUMBER(U22),U22,"")</f>
        <v>0</v>
      </c>
      <c r="V17" s="40">
        <f>IF(ISNUMBER(V22),V22,"")</f>
        <v>-0.1</v>
      </c>
      <c r="W17" s="40">
        <f>IF(ISNUMBER(W22),W22,"")</f>
        <v>-0.2</v>
      </c>
      <c r="X17" s="40">
        <f>IF(ISNUMBER(X22),X22,"")</f>
        <v>-0.1</v>
      </c>
      <c r="Y17" s="40">
        <f>IF(ISNUMBER(Y22),Y22,"")</f>
        <v>0.1</v>
      </c>
      <c r="Z17" s="40">
        <f>IF(ISNUMBER(Z22),Z22,"")</f>
        <v>0</v>
      </c>
      <c r="AA17" s="40">
        <f>IF(ISNUMBER(AA22),AA22,"")</f>
        <v>0</v>
      </c>
      <c r="AB17" s="40">
        <f>IF(ISNUMBER(AB22),AB22,"")</f>
        <v>0</v>
      </c>
      <c r="AC17" s="40">
        <f>IF(ISNUMBER(AC22),AC22,"")</f>
        <v>1</v>
      </c>
      <c r="AD17" s="40">
        <f>IF(ISNUMBER(AD22),AD22,"")</f>
        <v>1</v>
      </c>
      <c r="AE17" s="40">
        <f>IF(ISNUMBER(AE22),AE22,"")</f>
        <v>0</v>
      </c>
      <c r="AF17" s="40">
        <f>IF(ISNUMBER(AF22),AF22,"")</f>
        <v>0</v>
      </c>
      <c r="AG17" s="40">
        <f>IF(ISNUMBER(AG22),AG22,"")</f>
        <v>2</v>
      </c>
      <c r="AH17" s="41">
        <f>IF(ISNUMBER(AH22),AH22,"")</f>
        <v>0</v>
      </c>
      <c r="AI17" s="41">
        <f>IF(ISNUMBER(AI22),AI22,"")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por região e tipo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EUA</t>
        </is>
      </c>
      <c r="D19" s="269" t="str">
        <f>IFERROR(INDEX('Inputs (2)'!$D$64:$AL$64,MATCH(D$7&amp;"",'Inputs (2)'!$D$2:$AL$2,0)),"")</f>
        <v/>
      </c>
      <c r="E19" s="269" t="str">
        <f>IFERROR(INDEX('Inputs (2)'!$D$64:$AL$64,MATCH(E$7&amp;"",'Inputs (2)'!$D$2:$AL$2,0)),"")</f>
        <v/>
      </c>
      <c r="F19" s="269" t="str">
        <f>IFERROR(INDEX('Inputs (2)'!$D$64:$AL$64,MATCH(F$7&amp;"",'Inputs (2)'!$D$2:$AL$2,0)),"")</f>
        <v/>
      </c>
      <c r="G19" s="269" t="str">
        <f>IFERROR(INDEX('Inputs (2)'!$D$64:$AL$64,MATCH(G$7&amp;"",'Inputs (2)'!$D$2:$AL$2,0)),"")</f>
        <v/>
      </c>
      <c r="H19" s="270" t="str">
        <f>IF(COUNT(D19:G19)=4,SUM(D19:G19),"")</f>
        <v/>
      </c>
      <c r="I19" s="269">
        <f>IFERROR(INDEX('Inputs (2)'!$D$64:$AL$64,MATCH(I$7&amp;"",'Inputs (2)'!$D$2:$AL$2,0)),"")</f>
        <v>3941.3</v>
      </c>
      <c r="J19" s="269">
        <f>IFERROR(INDEX('Inputs (2)'!$D$64:$AL$64,MATCH(J$7&amp;"",'Inputs (2)'!$D$2:$AL$2,0)),"")</f>
        <v>3704.2</v>
      </c>
      <c r="K19" s="269">
        <f>IFERROR(INDEX('Inputs (2)'!$D$64:$AL$64,MATCH(K$7&amp;"",'Inputs (2)'!$D$2:$AL$2,0)),"")</f>
        <v>3989.6</v>
      </c>
      <c r="L19" s="269">
        <f>IFERROR(INDEX('Inputs (2)'!$D$64:$AL$64,MATCH(L$7&amp;"",'Inputs (2)'!$D$2:$AL$2,0)),"")</f>
        <v>5175.9</v>
      </c>
      <c r="M19" s="270">
        <f>IF(COUNT(I19:L19)=4,SUM(I19:L19),"")</f>
        <v>16811</v>
      </c>
      <c r="N19" s="269">
        <f>IFERROR(INDEX('Inputs (2)'!$D$64:$AL$64,MATCH(N$7&amp;"",'Inputs (2)'!$D$2:$AL$2,0)),"")</f>
        <v>5174.6</v>
      </c>
      <c r="O19" s="269">
        <f>IFERROR(INDEX('Inputs (2)'!$D$64:$AL$64,MATCH(O$7&amp;"",'Inputs (2)'!$D$2:$AL$2,0)),"")</f>
        <v>3934.8</v>
      </c>
      <c r="P19" s="269">
        <f>IFERROR(INDEX('Inputs (2)'!$D$64:$AL$64,MATCH(P$7&amp;"",'Inputs (2)'!$D$2:$AL$2,0)),"")</f>
        <v>4422.1</v>
      </c>
      <c r="Q19" s="269">
        <f>IFERROR(INDEX('Inputs (2)'!$D$64:$AL$64,MATCH(Q$7&amp;"",'Inputs (2)'!$D$2:$AL$2,0)),"")</f>
        <v>4658.5</v>
      </c>
      <c r="R19" s="270">
        <f>IF(COUNT(N19:Q19)=4,SUM(N19:Q19),"")</f>
        <v>18190</v>
      </c>
      <c r="S19" s="269">
        <f>IFERROR(INDEX('Inputs (2)'!$D$64:$AL$64,MATCH(S$7&amp;"",'Inputs (2)'!$D$2:$AL$2,0)),"")</f>
        <v>4436.2</v>
      </c>
      <c r="T19" s="269">
        <f>IFERROR(INDEX('Inputs (2)'!$D$64:$AL$64,MATCH(T$7&amp;"",'Inputs (2)'!$D$2:$AL$2,0)),"")</f>
        <v>5531.4</v>
      </c>
      <c r="U19" s="269">
        <f>IFERROR(INDEX('Inputs (2)'!$D$64:$AL$64,MATCH(U$7&amp;"",'Inputs (2)'!$D$2:$AL$2,0)),"")</f>
        <v>5368.1</v>
      </c>
      <c r="V19" s="269">
        <f>IFERROR(INDEX('Inputs (2)'!$D$64:$AL$64,MATCH(V$7&amp;"",'Inputs (2)'!$D$2:$AL$2,0)),"")</f>
        <v>6455.4</v>
      </c>
      <c r="W19" s="270">
        <f>IF(COUNT(S19:V19)=4,SUM(S19:V19),"")</f>
        <v>21791.1</v>
      </c>
      <c r="X19" s="269">
        <f>IFERROR(INDEX('Inputs (2)'!$D$64:$AL$64,MATCH(X$7&amp;"",'Inputs (2)'!$D$2:$AL$2,0)),"")</f>
        <v>5694.4</v>
      </c>
      <c r="Y19" s="269">
        <f>IFERROR(INDEX('Inputs (2)'!$D$64:$AL$64,MATCH(Y$7&amp;"",'Inputs (2)'!$D$2:$AL$2,0)),"")</f>
        <v>7835.2</v>
      </c>
      <c r="Z19" s="269">
        <f>IFERROR(INDEX('Inputs (2)'!$D$64:$AL$64,MATCH(Z$7&amp;"",'Inputs (2)'!$D$2:$AL$2,0)),"")</f>
        <v>7813.6</v>
      </c>
      <c r="AA19" s="269">
        <f>IFERROR(INDEX('Inputs (2)'!$D$64:$AL$64,MATCH(AA$7&amp;"",'Inputs (2)'!$D$2:$AL$2,0)),"")</f>
        <v>9032</v>
      </c>
      <c r="AB19" s="270">
        <f>IF(COUNT(X19:AA19)=4,SUM(X19:AA19),"")</f>
        <v>30375.2</v>
      </c>
      <c r="AC19" s="269">
        <f>IFERROR(INDEX('Inputs (2)'!$D$64:$AL$64,MATCH(AC$7&amp;"",'Inputs (2)'!$D$2:$AL$2,0)),"")</f>
        <v>8489</v>
      </c>
      <c r="AD19" s="269">
        <f>IFERROR(INDEX('Inputs (2)'!$D$64:$AL$64,MATCH(AD$7&amp;"",'Inputs (2)'!$D$2:$AL$2,0)),"")</f>
        <v>10814</v>
      </c>
      <c r="AE19" s="269">
        <f>IFERROR(INDEX('Inputs (2)'!$D$64:$AL$64,MATCH(AE$7&amp;"",'Inputs (2)'!$D$2:$AL$2,0)),"")</f>
        <v>11300</v>
      </c>
      <c r="AF19" s="269">
        <f>IFERROR(INDEX('Inputs (2)'!$D$64:$AL$64,MATCH(AF$7&amp;"",'Inputs (2)'!$D$2:$AL$2,0)),"")</f>
        <v>12877.4</v>
      </c>
      <c r="AG19" s="270">
        <f>IF(COUNT(AC19:AF19)=4,SUM(AC19:AF19),"")</f>
        <v>43480.4</v>
      </c>
      <c r="AH19" s="270">
        <f>IFERROR(INDEX('Inputs (2)'!$D$64:$AL$64,MATCH(AH$7&amp;"",'Inputs (2)'!$D$2:$AL$2,0)),"")</f>
        <v>12119</v>
      </c>
      <c r="AI19" s="270">
        <f>IFERROR(INDEX('Inputs (2)'!$D$64:$AL$64,MATCH(AI$7&amp;"",'Inputs (2)'!$D$2:$AL$2,0)),"")</f>
        <v>14413</v>
      </c>
    </row>
    <row r="20">
      <c r="C20" s="268" t="inlineStr">
        <is>
          <t xml:space="preserve">   Fora dos EUA</t>
        </is>
      </c>
      <c r="D20" s="269" t="str">
        <f>IFERROR(INDEX('Inputs (2)'!$D$65:$AL$65,MATCH(D$7&amp;"",'Inputs (2)'!$D$2:$AL$2,0)),"")</f>
        <v/>
      </c>
      <c r="E20" s="269" t="str">
        <f>IFERROR(INDEX('Inputs (2)'!$D$65:$AL$65,MATCH(E$7&amp;"",'Inputs (2)'!$D$2:$AL$2,0)),"")</f>
        <v/>
      </c>
      <c r="F20" s="269" t="str">
        <f>IFERROR(INDEX('Inputs (2)'!$D$65:$AL$65,MATCH(F$7&amp;"",'Inputs (2)'!$D$2:$AL$2,0)),"")</f>
        <v/>
      </c>
      <c r="G20" s="269" t="str">
        <f>IFERROR(INDEX('Inputs (2)'!$D$65:$AL$65,MATCH(G$7&amp;"",'Inputs (2)'!$D$2:$AL$2,0)),"")</f>
        <v/>
      </c>
      <c r="H20" s="270" t="str">
        <f>IF(COUNT(D20:G20)=4,SUM(D20:G20),"")</f>
        <v/>
      </c>
      <c r="I20" s="269">
        <f>IFERROR(INDEX('Inputs (2)'!$D$65:$AL$65,MATCH(I$7&amp;"",'Inputs (2)'!$D$2:$AL$2,0)),"")</f>
        <v>2864.3</v>
      </c>
      <c r="J20" s="269">
        <f>IFERROR(INDEX('Inputs (2)'!$D$65:$AL$65,MATCH(J$7&amp;"",'Inputs (2)'!$D$2:$AL$2,0)),"")</f>
        <v>3035.9</v>
      </c>
      <c r="K20" s="269">
        <f>IFERROR(INDEX('Inputs (2)'!$D$65:$AL$65,MATCH(K$7&amp;"",'Inputs (2)'!$D$2:$AL$2,0)),"")</f>
        <v>2783.3</v>
      </c>
      <c r="L20" s="269">
        <f>IFERROR(INDEX('Inputs (2)'!$D$65:$AL$65,MATCH(L$7&amp;"",'Inputs (2)'!$D$2:$AL$2,0)),"")</f>
        <v>2824</v>
      </c>
      <c r="M20" s="270">
        <f>IF(COUNT(I20:L20)=4,SUM(I20:L20),"")</f>
        <v>11507.5</v>
      </c>
      <c r="N20" s="269">
        <f>IFERROR(INDEX('Inputs (2)'!$D$65:$AL$65,MATCH(N$7&amp;"",'Inputs (2)'!$D$2:$AL$2,0)),"")</f>
        <v>2635.4</v>
      </c>
      <c r="O20" s="269">
        <f>IFERROR(INDEX('Inputs (2)'!$D$65:$AL$65,MATCH(O$7&amp;"",'Inputs (2)'!$D$2:$AL$2,0)),"")</f>
        <v>2553.3</v>
      </c>
      <c r="P20" s="269">
        <f>IFERROR(INDEX('Inputs (2)'!$D$65:$AL$65,MATCH(P$7&amp;"",'Inputs (2)'!$D$2:$AL$2,0)),"")</f>
        <v>2519.4</v>
      </c>
      <c r="Q20" s="269">
        <f>IFERROR(INDEX('Inputs (2)'!$D$65:$AL$65,MATCH(Q$7&amp;"",'Inputs (2)'!$D$2:$AL$2,0)),"")</f>
        <v>2643.2</v>
      </c>
      <c r="R20" s="270">
        <f>IF(COUNT(N20:Q20)=4,SUM(N20:Q20),"")</f>
        <v>10351.3</v>
      </c>
      <c r="S20" s="269">
        <f>IFERROR(INDEX('Inputs (2)'!$D$65:$AL$65,MATCH(S$7&amp;"",'Inputs (2)'!$D$2:$AL$2,0)),"")</f>
        <v>2523.9</v>
      </c>
      <c r="T20" s="269">
        <f>IFERROR(INDEX('Inputs (2)'!$D$65:$AL$65,MATCH(T$7&amp;"",'Inputs (2)'!$D$2:$AL$2,0)),"")</f>
        <v>2780.7</v>
      </c>
      <c r="U20" s="269">
        <f>IFERROR(INDEX('Inputs (2)'!$D$65:$AL$65,MATCH(U$7&amp;"",'Inputs (2)'!$D$2:$AL$2,0)),"")</f>
        <v>4130.5</v>
      </c>
      <c r="V20" s="269">
        <f>IFERROR(INDEX('Inputs (2)'!$D$65:$AL$65,MATCH(V$7&amp;"",'Inputs (2)'!$D$2:$AL$2,0)),"")</f>
        <v>2898.1</v>
      </c>
      <c r="W20" s="270">
        <f>IF(COUNT(S20:V20)=4,SUM(S20:V20),"")</f>
        <v>12333.2</v>
      </c>
      <c r="X20" s="269">
        <f>IFERROR(INDEX('Inputs (2)'!$D$65:$AL$65,MATCH(X$7&amp;"",'Inputs (2)'!$D$2:$AL$2,0)),"")</f>
        <v>3073.7</v>
      </c>
      <c r="Y20" s="269">
        <f>IFERROR(INDEX('Inputs (2)'!$D$65:$AL$65,MATCH(Y$7&amp;"",'Inputs (2)'!$D$2:$AL$2,0)),"")</f>
        <v>3467.5</v>
      </c>
      <c r="Z20" s="269">
        <f>IFERROR(INDEX('Inputs (2)'!$D$65:$AL$65,MATCH(Z$7&amp;"",'Inputs (2)'!$D$2:$AL$2,0)),"")</f>
        <v>3625.5</v>
      </c>
      <c r="AA20" s="269">
        <f>IFERROR(INDEX('Inputs (2)'!$D$65:$AL$65,MATCH(AA$7&amp;"",'Inputs (2)'!$D$2:$AL$2,0)),"")</f>
        <v>4500.8</v>
      </c>
      <c r="AB20" s="270">
        <f>IF(COUNT(X20:AA20)=4,SUM(X20:AA20),"")</f>
        <v>14667.5</v>
      </c>
      <c r="AC20" s="269">
        <f>IFERROR(INDEX('Inputs (2)'!$D$65:$AL$65,MATCH(AC$7&amp;"",'Inputs (2)'!$D$2:$AL$2,0)),"")</f>
        <v>4239</v>
      </c>
      <c r="AD20" s="269">
        <f>IFERROR(INDEX('Inputs (2)'!$D$65:$AL$65,MATCH(AD$7&amp;"",'Inputs (2)'!$D$2:$AL$2,0)),"")</f>
        <v>4743</v>
      </c>
      <c r="AE20" s="269">
        <f>IFERROR(INDEX('Inputs (2)'!$D$65:$AL$65,MATCH(AE$7&amp;"",'Inputs (2)'!$D$2:$AL$2,0)),"")</f>
        <v>6300.8</v>
      </c>
      <c r="AF20" s="269">
        <f>IFERROR(INDEX('Inputs (2)'!$D$65:$AL$65,MATCH(AF$7&amp;"",'Inputs (2)'!$D$2:$AL$2,0)),"")</f>
        <v>6414.6</v>
      </c>
      <c r="AG20" s="270">
        <f>IF(COUNT(AC20:AF20)=4,SUM(AC20:AF20),"")</f>
        <v>21697.4</v>
      </c>
      <c r="AH20" s="270">
        <f>IFERROR(INDEX('Inputs (2)'!$D$65:$AL$65,MATCH(AH$7&amp;"",'Inputs (2)'!$D$2:$AL$2,0)),"")</f>
        <v>7680</v>
      </c>
      <c r="AI20" s="270">
        <f>IFERROR(INDEX('Inputs (2)'!$D$65:$AL$65,MATCH(AI$7&amp;"",'Inputs (2)'!$D$2:$AL$2,0)),"")</f>
        <v>8561</v>
      </c>
    </row>
    <row r="21">
      <c r="C21" s="271" t="inlineStr">
        <is>
          <t>Receita (EUA + exterior)</t>
        </is>
      </c>
      <c r="D21" s="269" t="str">
        <f>IF(COUNT(D19,D20)=0,"",N(D19)+N(D20))</f>
        <v/>
      </c>
      <c r="E21" s="269" t="str">
        <f>IF(COUNT(E19,E20)=0,"",N(E19)+N(E20))</f>
        <v/>
      </c>
      <c r="F21" s="269" t="str">
        <f>IF(COUNT(F19,F20)=0,"",N(F19)+N(F20))</f>
        <v/>
      </c>
      <c r="G21" s="269" t="str">
        <f>IF(COUNT(G19,G20)=0,"",N(G19)+N(G20))</f>
        <v/>
      </c>
      <c r="H21" s="270" t="str">
        <f>IF(COUNT(H19,H20)=0,"",N(H19)+N(H20))</f>
        <v/>
      </c>
      <c r="I21" s="269">
        <f>IF(COUNT(I19,I20)=0,"",N(I19)+N(I20))</f>
        <v>6805.6</v>
      </c>
      <c r="J21" s="269">
        <f>IF(COUNT(J19,J20)=0,"",N(J19)+N(J20))</f>
        <v>6740.1</v>
      </c>
      <c r="K21" s="269">
        <f>IF(COUNT(K19,K20)=0,"",N(K19)+N(K20))</f>
        <v>6772.9</v>
      </c>
      <c r="L21" s="269">
        <f>IF(COUNT(L19,L20)=0,"",N(L19)+N(L20))</f>
        <v>7999.9</v>
      </c>
      <c r="M21" s="270">
        <f>IF(COUNT(M19,M20)=0,"",N(M19)+N(M20))</f>
        <v>28318.5</v>
      </c>
      <c r="N21" s="269">
        <f>IF(COUNT(N19,N20)=0,"",N(N19)+N(N20))</f>
        <v>7810</v>
      </c>
      <c r="O21" s="269">
        <f>IF(COUNT(O19,O20)=0,"",N(O19)+N(O20))</f>
        <v>6488.1</v>
      </c>
      <c r="P21" s="269">
        <f>IF(COUNT(P19,P20)=0,"",N(P19)+N(P20))</f>
        <v>6941.5</v>
      </c>
      <c r="Q21" s="269">
        <f>IF(COUNT(Q19,Q20)=0,"",N(Q19)+N(Q20))</f>
        <v>7301.7</v>
      </c>
      <c r="R21" s="270">
        <f>IF(COUNT(R19,R20)=0,"",N(R19)+N(R20))</f>
        <v>28541.3</v>
      </c>
      <c r="S21" s="269">
        <f>IF(COUNT(S19,S20)=0,"",N(S19)+N(S20))</f>
        <v>6960.1</v>
      </c>
      <c r="T21" s="269">
        <f>IF(COUNT(T19,T20)=0,"",N(T19)+N(T20))</f>
        <v>8312.1</v>
      </c>
      <c r="U21" s="269">
        <f>IF(COUNT(U19,U20)=0,"",N(U19)+N(U20))</f>
        <v>9498.6</v>
      </c>
      <c r="V21" s="269">
        <f>IF(COUNT(V19,V20)=0,"",N(V19)+N(V20))</f>
        <v>9353.5</v>
      </c>
      <c r="W21" s="270">
        <f>IF(COUNT(W19,W20)=0,"",N(W19)+N(W20))</f>
        <v>34124.3</v>
      </c>
      <c r="X21" s="269">
        <f>IF(COUNT(X19,X20)=0,"",N(X19)+N(X20))</f>
        <v>8768.1</v>
      </c>
      <c r="Y21" s="269">
        <f>IF(COUNT(Y19,Y20)=0,"",N(Y19)+N(Y20))</f>
        <v>11302.7</v>
      </c>
      <c r="Z21" s="269">
        <f>IF(COUNT(Z19,Z20)=0,"",N(Z19)+N(Z20))</f>
        <v>11439.1</v>
      </c>
      <c r="AA21" s="269">
        <f>IF(COUNT(AA19,AA20)=0,"",N(AA19)+N(AA20))</f>
        <v>13532.8</v>
      </c>
      <c r="AB21" s="270">
        <f>IF(COUNT(AB19,AB20)=0,"",N(AB19)+N(AB20))</f>
        <v>45042.7</v>
      </c>
      <c r="AC21" s="269">
        <f>IF(COUNT(AC19,AC20)=0,"",N(AC19)+N(AC20))</f>
        <v>12728</v>
      </c>
      <c r="AD21" s="269">
        <f>IF(COUNT(AD19,AD20)=0,"",N(AD19)+N(AD20))</f>
        <v>15557</v>
      </c>
      <c r="AE21" s="269">
        <f>IF(COUNT(AE19,AE20)=0,"",N(AE19)+N(AE20))</f>
        <v>17600.8</v>
      </c>
      <c r="AF21" s="269">
        <f>IF(COUNT(AF19,AF20)=0,"",N(AF19)+N(AF20))</f>
        <v>19292</v>
      </c>
      <c r="AG21" s="270">
        <f>IF(COUNT(AG19,AG20)=0,"",N(AG19)+N(AG20))</f>
        <v>65177.8</v>
      </c>
      <c r="AH21" s="270">
        <f>IF(COUNT(AH19,AH20)=0,"",N(AH19)+N(AH20))</f>
        <v>19799</v>
      </c>
      <c r="AI21" s="270">
        <f>IF(COUNT(AI19,AI20)=0,"",N(AI19)+N(AI20))</f>
        <v>22974</v>
      </c>
    </row>
    <row r="22">
      <c r="C22" s="268" t="inlineStr">
        <is>
          <t>Check vs Net Revenues (linha 15)</t>
        </is>
      </c>
      <c r="D22" s="269" t="str">
        <f>IF(COUNT(D21)=0,"",ROUND(D15-D21,1))</f>
        <v/>
      </c>
      <c r="E22" s="269" t="str">
        <f>IF(COUNT(E21)=0,"",ROUND(E15-E21,1))</f>
        <v/>
      </c>
      <c r="F22" s="269" t="str">
        <f>IF(COUNT(F21)=0,"",ROUND(F15-F21,1))</f>
        <v/>
      </c>
      <c r="G22" s="269" t="str">
        <f>IF(COUNT(G21)=0,"",ROUND(G15-G21,1))</f>
        <v/>
      </c>
      <c r="H22" s="270" t="str">
        <f>IF(COUNT(H21)=0,"",ROUND(H15-H21,1))</f>
        <v/>
      </c>
      <c r="I22" s="269">
        <f>IF(COUNT(I21)=0,"",ROUND(I15-I21,1))</f>
        <v>0</v>
      </c>
      <c r="J22" s="269">
        <f>IF(COUNT(J21)=0,"",ROUND(J15-J21,1))</f>
        <v>0</v>
      </c>
      <c r="K22" s="269">
        <f>IF(COUNT(K21)=0,"",ROUND(K15-K21,1))</f>
        <v>-0.1</v>
      </c>
      <c r="L22" s="269">
        <f>IF(COUNT(L21)=0,"",ROUND(L15-L21,1))</f>
        <v>0</v>
      </c>
      <c r="M22" s="270">
        <f>IF(COUNT(M21)=0,"",ROUND(M15-M21,1))</f>
        <v>-0.1</v>
      </c>
      <c r="N22" s="269">
        <f>IF(COUNT(N21)=0,"",ROUND(N15-N21,1))</f>
        <v>0</v>
      </c>
      <c r="O22" s="269">
        <f>IF(COUNT(O21)=0,"",ROUND(O15-O21,1))</f>
        <v>-0.1</v>
      </c>
      <c r="P22" s="269">
        <f>IF(COUNT(P21)=0,"",ROUND(P15-P21,1))</f>
        <v>0.1</v>
      </c>
      <c r="Q22" s="269">
        <f>IF(COUNT(Q21)=0,"",ROUND(Q15-Q21,1))</f>
        <v>0.1</v>
      </c>
      <c r="R22" s="270">
        <f>IF(COUNT(R21)=0,"",ROUND(R15-R21,1))</f>
        <v>0.1</v>
      </c>
      <c r="S22" s="269">
        <f>IF(COUNT(S21)=0,"",ROUND(S15-S21,1))</f>
        <v>-0.1</v>
      </c>
      <c r="T22" s="269">
        <f>IF(COUNT(T21)=0,"",ROUND(T15-T21,1))</f>
        <v>0</v>
      </c>
      <c r="U22" s="269">
        <f>IF(COUNT(U21)=0,"",ROUND(U15-U21,1))</f>
        <v>0</v>
      </c>
      <c r="V22" s="269">
        <f>IF(COUNT(V21)=0,"",ROUND(V15-V21,1))</f>
        <v>-0.1</v>
      </c>
      <c r="W22" s="270">
        <f>IF(COUNT(W21)=0,"",ROUND(W15-W21,1))</f>
        <v>-0.2</v>
      </c>
      <c r="X22" s="269">
        <f>IF(COUNT(X21)=0,"",ROUND(X15-X21,1))</f>
        <v>-0.1</v>
      </c>
      <c r="Y22" s="269">
        <f>IF(COUNT(Y21)=0,"",ROUND(Y15-Y21,1))</f>
        <v>0.1</v>
      </c>
      <c r="Z22" s="269">
        <f>IF(COUNT(Z21)=0,"",ROUND(Z15-Z21,1))</f>
        <v>0</v>
      </c>
      <c r="AA22" s="269">
        <f>IF(COUNT(AA21)=0,"",ROUND(AA15-AA21,1))</f>
        <v>0</v>
      </c>
      <c r="AB22" s="270">
        <f>IF(COUNT(AB21)=0,"",ROUND(AB15-AB21,1))</f>
        <v>0</v>
      </c>
      <c r="AC22" s="269">
        <f>IF(COUNT(AC21)=0,"",ROUND(AC15-AC21,1))</f>
        <v>1</v>
      </c>
      <c r="AD22" s="269">
        <f>IF(COUNT(AD21)=0,"",ROUND(AD15-AD21,1))</f>
        <v>1</v>
      </c>
      <c r="AE22" s="269">
        <f>IF(COUNT(AE21)=0,"",ROUND(AE15-AE21,1))</f>
        <v>0</v>
      </c>
      <c r="AF22" s="269">
        <f>IF(COUNT(AF21)=0,"",ROUND(AF15-AF21,1))</f>
        <v>0</v>
      </c>
      <c r="AG22" s="270">
        <f>IF(COUNT(AG21)=0,"",ROUND(AG15-AG21,1))</f>
        <v>2</v>
      </c>
      <c r="AH22" s="270">
        <f>IF(COUNT(AH21)=0,"",ROUND(AH15-AH21,1))</f>
        <v>0</v>
      </c>
      <c r="AI22" s="270">
        <f>IF(COUNT(AI21)=0,"",ROUND(AI15-AI21,1))</f>
        <v>0</v>
      </c>
    </row>
    <row r="23">
      <c r="C23" s="268" t="inlineStr">
        <is>
          <t xml:space="preserve">   Receita de produtos</t>
        </is>
      </c>
      <c r="D23" s="269" t="str">
        <f>IFERROR(INDEX('Inputs (2)'!$D$66:$AL$66,MATCH(D$7&amp;"",'Inputs (2)'!$D$2:$AL$2,0)),"")</f>
        <v/>
      </c>
      <c r="E23" s="269" t="str">
        <f>IFERROR(INDEX('Inputs (2)'!$D$66:$AL$66,MATCH(E$7&amp;"",'Inputs (2)'!$D$2:$AL$2,0)),"")</f>
        <v/>
      </c>
      <c r="F23" s="269" t="str">
        <f>IFERROR(INDEX('Inputs (2)'!$D$66:$AL$66,MATCH(F$7&amp;"",'Inputs (2)'!$D$2:$AL$2,0)),"")</f>
        <v/>
      </c>
      <c r="G23" s="269" t="str">
        <f>IFERROR(INDEX('Inputs (2)'!$D$66:$AL$66,MATCH(G$7&amp;"",'Inputs (2)'!$D$2:$AL$2,0)),"")</f>
        <v/>
      </c>
      <c r="H23" s="270" t="str">
        <f>IF(COUNT(D23:G23)=4,SUM(D23:G23),"")</f>
        <v/>
      </c>
      <c r="I23" s="269">
        <f>IFERROR(INDEX('Inputs (2)'!$D$66:$AL$66,MATCH(I$7&amp;"",'Inputs (2)'!$D$2:$AL$2,0)),"")</f>
        <v>6320</v>
      </c>
      <c r="J23" s="269">
        <f>IFERROR(INDEX('Inputs (2)'!$D$66:$AL$66,MATCH(J$7&amp;"",'Inputs (2)'!$D$2:$AL$2,0)),"")</f>
        <v>6070.5</v>
      </c>
      <c r="K23" s="269">
        <f>IFERROR(INDEX('Inputs (2)'!$D$66:$AL$66,MATCH(K$7&amp;"",'Inputs (2)'!$D$2:$AL$2,0)),"")</f>
        <v>6189</v>
      </c>
      <c r="L23" s="269">
        <f>IFERROR(INDEX('Inputs (2)'!$D$66:$AL$66,MATCH(L$7&amp;"",'Inputs (2)'!$D$2:$AL$2,0)),"")</f>
        <v>7378.4</v>
      </c>
      <c r="M23" s="270">
        <f>IF(COUNT(I23:L23)=4,SUM(I23:L23),"")</f>
        <v>25957.9</v>
      </c>
      <c r="N23" s="269">
        <f>IFERROR(INDEX('Inputs (2)'!$D$66:$AL$66,MATCH(N$7&amp;"",'Inputs (2)'!$D$2:$AL$2,0)),"")</f>
        <v>7132.9</v>
      </c>
      <c r="O23" s="269">
        <f>IFERROR(INDEX('Inputs (2)'!$D$66:$AL$66,MATCH(O$7&amp;"",'Inputs (2)'!$D$2:$AL$2,0)),"")</f>
        <v>5870.9</v>
      </c>
      <c r="P23" s="269">
        <f>IFERROR(INDEX('Inputs (2)'!$D$66:$AL$66,MATCH(P$7&amp;"",'Inputs (2)'!$D$2:$AL$2,0)),"")</f>
        <v>6119.2</v>
      </c>
      <c r="Q23" s="269">
        <f>IFERROR(INDEX('Inputs (2)'!$D$66:$AL$66,MATCH(Q$7&amp;"",'Inputs (2)'!$D$2:$AL$2,0)),"")</f>
        <v>6339.8</v>
      </c>
      <c r="R23" s="270">
        <f>IF(COUNT(N23:Q23)=4,SUM(N23:Q23),"")</f>
        <v>25462.8</v>
      </c>
      <c r="S23" s="269">
        <f>IFERROR(INDEX('Inputs (2)'!$D$66:$AL$66,MATCH(S$7&amp;"",'Inputs (2)'!$D$2:$AL$2,0)),"")</f>
        <v>6238.2</v>
      </c>
      <c r="T23" s="269">
        <f>IFERROR(INDEX('Inputs (2)'!$D$66:$AL$66,MATCH(T$7&amp;"",'Inputs (2)'!$D$2:$AL$2,0)),"")</f>
        <v>6979.8</v>
      </c>
      <c r="U23" s="269">
        <f>IFERROR(INDEX('Inputs (2)'!$D$66:$AL$66,MATCH(U$7&amp;"",'Inputs (2)'!$D$2:$AL$2,0)),"")</f>
        <v>7306.2</v>
      </c>
      <c r="V23" s="269">
        <f>IFERROR(INDEX('Inputs (2)'!$D$66:$AL$66,MATCH(V$7&amp;"",'Inputs (2)'!$D$2:$AL$2,0)),"")</f>
        <v>8289.7</v>
      </c>
      <c r="W23" s="270">
        <f>IF(COUNT(S23:V23)=4,SUM(S23:V23),"")</f>
        <v>28813.9</v>
      </c>
      <c r="X23" s="269">
        <f>IFERROR(INDEX('Inputs (2)'!$D$66:$AL$66,MATCH(X$7&amp;"",'Inputs (2)'!$D$2:$AL$2,0)),"")</f>
        <v>7796.5</v>
      </c>
      <c r="Y23" s="269">
        <f>IFERROR(INDEX('Inputs (2)'!$D$66:$AL$66,MATCH(Y$7&amp;"",'Inputs (2)'!$D$2:$AL$2,0)),"")</f>
        <v>10354.9</v>
      </c>
      <c r="Z23" s="269">
        <f>IFERROR(INDEX('Inputs (2)'!$D$66:$AL$66,MATCH(Z$7&amp;"",'Inputs (2)'!$D$2:$AL$2,0)),"")</f>
        <v>10571.6</v>
      </c>
      <c r="AA23" s="269">
        <f>IFERROR(INDEX('Inputs (2)'!$D$66:$AL$66,MATCH(AA$7&amp;"",'Inputs (2)'!$D$2:$AL$2,0)),"")</f>
        <v>12024.9</v>
      </c>
      <c r="AB23" s="270">
        <f>IF(COUNT(X23:AA23)=4,SUM(X23:AA23),"")</f>
        <v>40747.9</v>
      </c>
      <c r="AC23" s="269">
        <f>IFERROR(INDEX('Inputs (2)'!$D$66:$AL$66,MATCH(AC$7&amp;"",'Inputs (2)'!$D$2:$AL$2,0)),"")</f>
        <v>11601</v>
      </c>
      <c r="AD23" s="269">
        <f>IFERROR(INDEX('Inputs (2)'!$D$66:$AL$66,MATCH(AD$7&amp;"",'Inputs (2)'!$D$2:$AL$2,0)),"")</f>
        <v>14726</v>
      </c>
      <c r="AE23" s="269">
        <f>IFERROR(INDEX('Inputs (2)'!$D$66:$AL$66,MATCH(AE$7&amp;"",'Inputs (2)'!$D$2:$AL$2,0)),"")</f>
        <v>16330.5</v>
      </c>
      <c r="AF23" s="269">
        <f>IFERROR(INDEX('Inputs (2)'!$D$66:$AL$66,MATCH(AF$7&amp;"",'Inputs (2)'!$D$2:$AL$2,0)),"")</f>
        <v>18300.3</v>
      </c>
      <c r="AG23" s="270">
        <f>IF(COUNT(AC23:AF23)=4,SUM(AC23:AF23),"")</f>
        <v>60957.8</v>
      </c>
      <c r="AH23" s="270">
        <f>IFERROR(INDEX('Inputs (2)'!$D$66:$AL$66,MATCH(AH$7&amp;"",'Inputs (2)'!$D$2:$AL$2,0)),"")</f>
        <v>18453</v>
      </c>
      <c r="AI23" s="270">
        <f>IFERROR(INDEX('Inputs (2)'!$D$66:$AL$66,MATCH(AI$7&amp;"",'Inputs (2)'!$D$2:$AL$2,0)),"")</f>
        <v>21403</v>
      </c>
    </row>
    <row r="24">
      <c r="C24" s="268" t="inlineStr">
        <is>
          <t xml:space="preserve">   Colaboração e outras</t>
        </is>
      </c>
      <c r="D24" s="269" t="str">
        <f>IFERROR(INDEX('Inputs (2)'!$D$67:$AL$67,MATCH(D$7&amp;"",'Inputs (2)'!$D$2:$AL$2,0)),"")</f>
        <v/>
      </c>
      <c r="E24" s="269" t="str">
        <f>IFERROR(INDEX('Inputs (2)'!$D$67:$AL$67,MATCH(E$7&amp;"",'Inputs (2)'!$D$2:$AL$2,0)),"")</f>
        <v/>
      </c>
      <c r="F24" s="269" t="str">
        <f>IFERROR(INDEX('Inputs (2)'!$D$67:$AL$67,MATCH(F$7&amp;"",'Inputs (2)'!$D$2:$AL$2,0)),"")</f>
        <v/>
      </c>
      <c r="G24" s="269" t="str">
        <f>IFERROR(INDEX('Inputs (2)'!$D$67:$AL$67,MATCH(G$7&amp;"",'Inputs (2)'!$D$2:$AL$2,0)),"")</f>
        <v/>
      </c>
      <c r="H24" s="270" t="str">
        <f>IF(COUNT(D24:G24)=4,SUM(D24:G24),"")</f>
        <v/>
      </c>
      <c r="I24" s="269">
        <f>IFERROR(INDEX('Inputs (2)'!$D$67:$AL$67,MATCH(I$7&amp;"",'Inputs (2)'!$D$2:$AL$2,0)),"")</f>
        <v>485.6</v>
      </c>
      <c r="J24" s="269">
        <f>IFERROR(INDEX('Inputs (2)'!$D$67:$AL$67,MATCH(J$7&amp;"",'Inputs (2)'!$D$2:$AL$2,0)),"")</f>
        <v>669.6</v>
      </c>
      <c r="K24" s="269">
        <f>IFERROR(INDEX('Inputs (2)'!$D$67:$AL$67,MATCH(K$7&amp;"",'Inputs (2)'!$D$2:$AL$2,0)),"")</f>
        <v>583.8</v>
      </c>
      <c r="L24" s="269">
        <f>IFERROR(INDEX('Inputs (2)'!$D$67:$AL$67,MATCH(L$7&amp;"",'Inputs (2)'!$D$2:$AL$2,0)),"")</f>
        <v>621.5</v>
      </c>
      <c r="M24" s="270">
        <f>IF(COUNT(I24:L24)=4,SUM(I24:L24),"")</f>
        <v>2360.5</v>
      </c>
      <c r="N24" s="269">
        <f>IFERROR(INDEX('Inputs (2)'!$D$67:$AL$67,MATCH(N$7&amp;"",'Inputs (2)'!$D$2:$AL$2,0)),"")</f>
        <v>677.1</v>
      </c>
      <c r="O24" s="269">
        <f>IFERROR(INDEX('Inputs (2)'!$D$67:$AL$67,MATCH(O$7&amp;"",'Inputs (2)'!$D$2:$AL$2,0)),"")</f>
        <v>617.1</v>
      </c>
      <c r="P24" s="269">
        <f>IFERROR(INDEX('Inputs (2)'!$D$67:$AL$67,MATCH(P$7&amp;"",'Inputs (2)'!$D$2:$AL$2,0)),"")</f>
        <v>822.4</v>
      </c>
      <c r="Q24" s="269">
        <f>IFERROR(INDEX('Inputs (2)'!$D$67:$AL$67,MATCH(Q$7&amp;"",'Inputs (2)'!$D$2:$AL$2,0)),"")</f>
        <v>962</v>
      </c>
      <c r="R24" s="270">
        <f>IF(COUNT(N24:Q24)=4,SUM(N24:Q24),"")</f>
        <v>3078.6</v>
      </c>
      <c r="S24" s="269">
        <f>IFERROR(INDEX('Inputs (2)'!$D$67:$AL$67,MATCH(S$7&amp;"",'Inputs (2)'!$D$2:$AL$2,0)),"")</f>
        <v>721.8</v>
      </c>
      <c r="T24" s="269">
        <f>IFERROR(INDEX('Inputs (2)'!$D$67:$AL$67,MATCH(T$7&amp;"",'Inputs (2)'!$D$2:$AL$2,0)),"")</f>
        <v>1332.3</v>
      </c>
      <c r="U24" s="269">
        <f>IFERROR(INDEX('Inputs (2)'!$D$67:$AL$67,MATCH(U$7&amp;"",'Inputs (2)'!$D$2:$AL$2,0)),"")</f>
        <v>2192.4</v>
      </c>
      <c r="V24" s="269">
        <f>IFERROR(INDEX('Inputs (2)'!$D$67:$AL$67,MATCH(V$7&amp;"",'Inputs (2)'!$D$2:$AL$2,0)),"")</f>
        <v>1063.7</v>
      </c>
      <c r="W24" s="270">
        <f>IF(COUNT(S24:V24)=4,SUM(S24:V24),"")</f>
        <v>5310.2</v>
      </c>
      <c r="X24" s="269">
        <f>IFERROR(INDEX('Inputs (2)'!$D$67:$AL$67,MATCH(X$7&amp;"",'Inputs (2)'!$D$2:$AL$2,0)),"")</f>
        <v>971.5</v>
      </c>
      <c r="Y24" s="269">
        <f>IFERROR(INDEX('Inputs (2)'!$D$67:$AL$67,MATCH(Y$7&amp;"",'Inputs (2)'!$D$2:$AL$2,0)),"")</f>
        <v>947.9</v>
      </c>
      <c r="Z24" s="269">
        <f>IFERROR(INDEX('Inputs (2)'!$D$67:$AL$67,MATCH(Z$7&amp;"",'Inputs (2)'!$D$2:$AL$2,0)),"")</f>
        <v>867.5</v>
      </c>
      <c r="AA24" s="269">
        <f>IFERROR(INDEX('Inputs (2)'!$D$67:$AL$67,MATCH(AA$7&amp;"",'Inputs (2)'!$D$2:$AL$2,0)),"")</f>
        <v>1507.9</v>
      </c>
      <c r="AB24" s="270">
        <f>IF(COUNT(X24:AA24)=4,SUM(X24:AA24),"")</f>
        <v>4294.8</v>
      </c>
      <c r="AC24" s="269">
        <f>IFERROR(INDEX('Inputs (2)'!$D$67:$AL$67,MATCH(AC$7&amp;"",'Inputs (2)'!$D$2:$AL$2,0)),"")</f>
        <v>1127</v>
      </c>
      <c r="AD24" s="269">
        <f>IFERROR(INDEX('Inputs (2)'!$D$67:$AL$67,MATCH(AD$7&amp;"",'Inputs (2)'!$D$2:$AL$2,0)),"")</f>
        <v>832</v>
      </c>
      <c r="AE24" s="269">
        <f>IFERROR(INDEX('Inputs (2)'!$D$67:$AL$67,MATCH(AE$7&amp;"",'Inputs (2)'!$D$2:$AL$2,0)),"")</f>
        <v>1270.3</v>
      </c>
      <c r="AF24" s="269">
        <f>IFERROR(INDEX('Inputs (2)'!$D$67:$AL$67,MATCH(AF$7&amp;"",'Inputs (2)'!$D$2:$AL$2,0)),"")</f>
        <v>991.7</v>
      </c>
      <c r="AG24" s="270">
        <f>IF(COUNT(AC24:AF24)=4,SUM(AC24:AF24),"")</f>
        <v>4221</v>
      </c>
      <c r="AH24" s="270">
        <f>IFERROR(INDEX('Inputs (2)'!$D$67:$AL$67,MATCH(AH$7&amp;"",'Inputs (2)'!$D$2:$AL$2,0)),"")</f>
        <v>1346</v>
      </c>
      <c r="AI24" s="270">
        <f>IFERROR(INDEX('Inputs (2)'!$D$67:$AL$67,MATCH(AI$7&amp;"",'Inputs (2)'!$D$2:$AL$2,0)),"")</f>
        <v>1571</v>
      </c>
    </row>
    <row r="25"/>
    <row r="26">
      <c r="C26" s="267" t="inlineStr">
        <is>
          <t>Principais produtos (USD milhões)</t>
        </is>
      </c>
      <c r="D26" s="267">
        <f>D7</f>
        <v>0</v>
      </c>
      <c r="E26" s="267">
        <f>E7</f>
        <v>0</v>
      </c>
      <c r="F26" s="267">
        <f>F7</f>
        <v>0</v>
      </c>
      <c r="G26" s="267">
        <f>G7</f>
        <v>0</v>
      </c>
      <c r="H26" s="267">
        <f>H7</f>
        <v>2020</v>
      </c>
      <c r="I26" s="267" t="str">
        <f>I7</f>
        <v>1Q21</v>
      </c>
      <c r="J26" s="267" t="str">
        <f>J7</f>
        <v>2Q21</v>
      </c>
      <c r="K26" s="267" t="str">
        <f>K7</f>
        <v>3Q21</v>
      </c>
      <c r="L26" s="267" t="str">
        <f>L7</f>
        <v>4Q21</v>
      </c>
      <c r="M26" s="267">
        <f>M7</f>
        <v>2021</v>
      </c>
      <c r="N26" s="267" t="str">
        <f>N7</f>
        <v>1Q22</v>
      </c>
      <c r="O26" s="267" t="str">
        <f>O7</f>
        <v>2Q22</v>
      </c>
      <c r="P26" s="267" t="str">
        <f>P7</f>
        <v>3Q22</v>
      </c>
      <c r="Q26" s="267" t="str">
        <f>Q7</f>
        <v>4Q22</v>
      </c>
      <c r="R26" s="267">
        <f>R7</f>
        <v>2022</v>
      </c>
      <c r="S26" s="267" t="str">
        <f>S7</f>
        <v>1Q23</v>
      </c>
      <c r="T26" s="267" t="str">
        <f>T7</f>
        <v>2Q23</v>
      </c>
      <c r="U26" s="267" t="str">
        <f>U7</f>
        <v>3Q23</v>
      </c>
      <c r="V26" s="267" t="str">
        <f>V7</f>
        <v>4Q23</v>
      </c>
      <c r="W26" s="267">
        <f>W7</f>
        <v>2023</v>
      </c>
      <c r="X26" s="267" t="str">
        <f>X7</f>
        <v>1Q24</v>
      </c>
      <c r="Y26" s="267" t="str">
        <f>Y7</f>
        <v>2Q24</v>
      </c>
      <c r="Z26" s="267" t="str">
        <f>Z7</f>
        <v>3Q24</v>
      </c>
      <c r="AA26" s="267" t="str">
        <f>AA7</f>
        <v>4Q24</v>
      </c>
      <c r="AB26" s="267">
        <f>AB7</f>
        <v>2024</v>
      </c>
      <c r="AC26" s="267" t="str">
        <f>AC7</f>
        <v>1Q25</v>
      </c>
      <c r="AD26" s="267" t="str">
        <f>AD7</f>
        <v>2Q25</v>
      </c>
      <c r="AE26" s="267" t="str">
        <f>AE7</f>
        <v>3Q25</v>
      </c>
      <c r="AF26" s="267" t="str">
        <f>AF7</f>
        <v>4Q25</v>
      </c>
      <c r="AG26" s="267">
        <f>AG7</f>
        <v>2025</v>
      </c>
      <c r="AH26" s="267" t="str">
        <f>AH7</f>
        <v>1Q26</v>
      </c>
      <c r="AI26" s="267" t="str">
        <f>AI7</f>
        <v>2Q26</v>
      </c>
    </row>
    <row r="27">
      <c r="C27" s="268" t="inlineStr">
        <is>
          <t xml:space="preserve">   Mounjaro (tirzepatida, diabetes)</t>
        </is>
      </c>
      <c r="D27" s="269" t="str">
        <f>IFERROR(INDEX('Inputs (2)'!$D$53:$AL$53,MATCH(D$7&amp;"",'Inputs (2)'!$D$2:$AL$2,0)),"")</f>
        <v/>
      </c>
      <c r="E27" s="269" t="str">
        <f>IFERROR(INDEX('Inputs (2)'!$D$53:$AL$53,MATCH(E$7&amp;"",'Inputs (2)'!$D$2:$AL$2,0)),"")</f>
        <v/>
      </c>
      <c r="F27" s="269" t="str">
        <f>IFERROR(INDEX('Inputs (2)'!$D$53:$AL$53,MATCH(F$7&amp;"",'Inputs (2)'!$D$2:$AL$2,0)),"")</f>
        <v/>
      </c>
      <c r="G27" s="269" t="str">
        <f>IFERROR(INDEX('Inputs (2)'!$D$53:$AL$53,MATCH(G$7&amp;"",'Inputs (2)'!$D$2:$AL$2,0)),"")</f>
        <v/>
      </c>
      <c r="H27" s="270" t="str">
        <f>IF(COUNT(D27:G27)=4,SUM(D27:G27),"")</f>
        <v/>
      </c>
      <c r="I27" s="269" t="str">
        <f>IFERROR(INDEX('Inputs (2)'!$D$53:$AL$53,MATCH(I$7&amp;"",'Inputs (2)'!$D$2:$AL$2,0)),"")</f>
        <v/>
      </c>
      <c r="J27" s="269" t="str">
        <f>IFERROR(INDEX('Inputs (2)'!$D$53:$AL$53,MATCH(J$7&amp;"",'Inputs (2)'!$D$2:$AL$2,0)),"")</f>
        <v/>
      </c>
      <c r="K27" s="269">
        <f>IFERROR(INDEX('Inputs (2)'!$D$53:$AL$53,MATCH(K$7&amp;"",'Inputs (2)'!$D$2:$AL$2,0)),"")</f>
        <v>0</v>
      </c>
      <c r="L27" s="269">
        <f>IFERROR(INDEX('Inputs (2)'!$D$53:$AL$53,MATCH(L$7&amp;"",'Inputs (2)'!$D$2:$AL$2,0)),"")</f>
        <v>0</v>
      </c>
      <c r="M27" s="270" t="str">
        <f>IF(COUNT(I27:L27)=4,SUM(I27:L27),"")</f>
        <v/>
      </c>
      <c r="N27" s="269">
        <f>IFERROR(INDEX('Inputs (2)'!$D$53:$AL$53,MATCH(N$7&amp;"",'Inputs (2)'!$D$2:$AL$2,0)),"")</f>
        <v>0</v>
      </c>
      <c r="O27" s="269">
        <f>IFERROR(INDEX('Inputs (2)'!$D$53:$AL$53,MATCH(O$7&amp;"",'Inputs (2)'!$D$2:$AL$2,0)),"")</f>
        <v>16</v>
      </c>
      <c r="P27" s="269">
        <f>IFERROR(INDEX('Inputs (2)'!$D$53:$AL$53,MATCH(P$7&amp;"",'Inputs (2)'!$D$2:$AL$2,0)),"")</f>
        <v>187.3</v>
      </c>
      <c r="Q27" s="269">
        <f>IFERROR(INDEX('Inputs (2)'!$D$53:$AL$53,MATCH(Q$7&amp;"",'Inputs (2)'!$D$2:$AL$2,0)),"")</f>
        <v>279.3</v>
      </c>
      <c r="R27" s="270">
        <f>IF(COUNT(N27:Q27)=4,SUM(N27:Q27),"")</f>
        <v>482.6</v>
      </c>
      <c r="S27" s="269">
        <f>IFERROR(INDEX('Inputs (2)'!$D$53:$AL$53,MATCH(S$7&amp;"",'Inputs (2)'!$D$2:$AL$2,0)),"")</f>
        <v>568.5</v>
      </c>
      <c r="T27" s="269">
        <f>IFERROR(INDEX('Inputs (2)'!$D$53:$AL$53,MATCH(T$7&amp;"",'Inputs (2)'!$D$2:$AL$2,0)),"")</f>
        <v>979.7</v>
      </c>
      <c r="U27" s="269">
        <f>IFERROR(INDEX('Inputs (2)'!$D$53:$AL$53,MATCH(U$7&amp;"",'Inputs (2)'!$D$2:$AL$2,0)),"")</f>
        <v>1409.3</v>
      </c>
      <c r="V27" s="269">
        <f>IFERROR(INDEX('Inputs (2)'!$D$53:$AL$53,MATCH(V$7&amp;"",'Inputs (2)'!$D$2:$AL$2,0)),"")</f>
        <v>2205.6</v>
      </c>
      <c r="W27" s="270">
        <f>IF(COUNT(S27:V27)=4,SUM(S27:V27),"")</f>
        <v>5163.1</v>
      </c>
      <c r="X27" s="269">
        <f>IFERROR(INDEX('Inputs (2)'!$D$53:$AL$53,MATCH(X$7&amp;"",'Inputs (2)'!$D$2:$AL$2,0)),"")</f>
        <v>1806.5</v>
      </c>
      <c r="Y27" s="269">
        <f>IFERROR(INDEX('Inputs (2)'!$D$53:$AL$53,MATCH(Y$7&amp;"",'Inputs (2)'!$D$2:$AL$2,0)),"")</f>
        <v>3090.8</v>
      </c>
      <c r="Z27" s="269">
        <f>IFERROR(INDEX('Inputs (2)'!$D$53:$AL$53,MATCH(Z$7&amp;"",'Inputs (2)'!$D$2:$AL$2,0)),"")</f>
        <v>3112.7</v>
      </c>
      <c r="AA27" s="269">
        <f>IFERROR(INDEX('Inputs (2)'!$D$53:$AL$53,MATCH(AA$7&amp;"",'Inputs (2)'!$D$2:$AL$2,0)),"")</f>
        <v>3530.1</v>
      </c>
      <c r="AB27" s="270">
        <f>IF(COUNT(X27:AA27)=4,SUM(X27:AA27),"")</f>
        <v>11540.1</v>
      </c>
      <c r="AC27" s="269">
        <f>IFERROR(INDEX('Inputs (2)'!$D$53:$AL$53,MATCH(AC$7&amp;"",'Inputs (2)'!$D$2:$AL$2,0)),"")</f>
        <v>3842</v>
      </c>
      <c r="AD27" s="269">
        <f>IFERROR(INDEX('Inputs (2)'!$D$53:$AL$53,MATCH(AD$7&amp;"",'Inputs (2)'!$D$2:$AL$2,0)),"")</f>
        <v>5199</v>
      </c>
      <c r="AE27" s="269">
        <f>IFERROR(INDEX('Inputs (2)'!$D$53:$AL$53,MATCH(AE$7&amp;"",'Inputs (2)'!$D$2:$AL$2,0)),"")</f>
        <v>6515.1</v>
      </c>
      <c r="AF27" s="269">
        <f>IFERROR(INDEX('Inputs (2)'!$D$53:$AL$53,MATCH(AF$7&amp;"",'Inputs (2)'!$D$2:$AL$2,0)),"")</f>
        <v>7410.2</v>
      </c>
      <c r="AG27" s="270">
        <f>IF(COUNT(AC27:AF27)=4,SUM(AC27:AF27),"")</f>
        <v>22966.3</v>
      </c>
      <c r="AH27" s="270">
        <f>IFERROR(INDEX('Inputs (2)'!$D$53:$AL$53,MATCH(AH$7&amp;"",'Inputs (2)'!$D$2:$AL$2,0)),"")</f>
        <v>8662</v>
      </c>
      <c r="AI27" s="270">
        <f>IFERROR(INDEX('Inputs (2)'!$D$53:$AL$53,MATCH(AI$7&amp;"",'Inputs (2)'!$D$2:$AL$2,0)),"")</f>
        <v>9943</v>
      </c>
    </row>
    <row r="28">
      <c r="C28" s="268" t="inlineStr">
        <is>
          <t xml:space="preserve">   Zepbound (tirzepatida, obesidade)</t>
        </is>
      </c>
      <c r="D28" s="269" t="str">
        <f>IFERROR(INDEX('Inputs (2)'!$D$54:$AL$54,MATCH(D$7&amp;"",'Inputs (2)'!$D$2:$AL$2,0)),"")</f>
        <v/>
      </c>
      <c r="E28" s="269" t="str">
        <f>IFERROR(INDEX('Inputs (2)'!$D$54:$AL$54,MATCH(E$7&amp;"",'Inputs (2)'!$D$2:$AL$2,0)),"")</f>
        <v/>
      </c>
      <c r="F28" s="269" t="str">
        <f>IFERROR(INDEX('Inputs (2)'!$D$54:$AL$54,MATCH(F$7&amp;"",'Inputs (2)'!$D$2:$AL$2,0)),"")</f>
        <v/>
      </c>
      <c r="G28" s="269" t="str">
        <f>IFERROR(INDEX('Inputs (2)'!$D$54:$AL$54,MATCH(G$7&amp;"",'Inputs (2)'!$D$2:$AL$2,0)),"")</f>
        <v/>
      </c>
      <c r="H28" s="270" t="str">
        <f>IF(COUNT(D28:G28)=4,SUM(D28:G28),"")</f>
        <v/>
      </c>
      <c r="I28" s="269" t="str">
        <f>IFERROR(INDEX('Inputs (2)'!$D$54:$AL$54,MATCH(I$7&amp;"",'Inputs (2)'!$D$2:$AL$2,0)),"")</f>
        <v/>
      </c>
      <c r="J28" s="269" t="str">
        <f>IFERROR(INDEX('Inputs (2)'!$D$54:$AL$54,MATCH(J$7&amp;"",'Inputs (2)'!$D$2:$AL$2,0)),"")</f>
        <v/>
      </c>
      <c r="K28" s="269" t="str">
        <f>IFERROR(INDEX('Inputs (2)'!$D$54:$AL$54,MATCH(K$7&amp;"",'Inputs (2)'!$D$2:$AL$2,0)),"")</f>
        <v/>
      </c>
      <c r="L28" s="269" t="str">
        <f>IFERROR(INDEX('Inputs (2)'!$D$54:$AL$54,MATCH(L$7&amp;"",'Inputs (2)'!$D$2:$AL$2,0)),"")</f>
        <v/>
      </c>
      <c r="M28" s="270" t="str">
        <f>IF(COUNT(I28:L28)=4,SUM(I28:L28),"")</f>
        <v/>
      </c>
      <c r="N28" s="269" t="str">
        <f>IFERROR(INDEX('Inputs (2)'!$D$54:$AL$54,MATCH(N$7&amp;"",'Inputs (2)'!$D$2:$AL$2,0)),"")</f>
        <v/>
      </c>
      <c r="O28" s="269" t="str">
        <f>IFERROR(INDEX('Inputs (2)'!$D$54:$AL$54,MATCH(O$7&amp;"",'Inputs (2)'!$D$2:$AL$2,0)),"")</f>
        <v/>
      </c>
      <c r="P28" s="269" t="str">
        <f>IFERROR(INDEX('Inputs (2)'!$D$54:$AL$54,MATCH(P$7&amp;"",'Inputs (2)'!$D$2:$AL$2,0)),"")</f>
        <v/>
      </c>
      <c r="Q28" s="269" t="str">
        <f>IFERROR(INDEX('Inputs (2)'!$D$54:$AL$54,MATCH(Q$7&amp;"",'Inputs (2)'!$D$2:$AL$2,0)),"")</f>
        <v/>
      </c>
      <c r="R28" s="270" t="str">
        <f>IF(COUNT(N28:Q28)=4,SUM(N28:Q28),"")</f>
        <v/>
      </c>
      <c r="S28" s="269">
        <f>IFERROR(INDEX('Inputs (2)'!$D$54:$AL$54,MATCH(S$7&amp;"",'Inputs (2)'!$D$2:$AL$2,0)),"")</f>
        <v>0</v>
      </c>
      <c r="T28" s="269">
        <f>IFERROR(INDEX('Inputs (2)'!$D$54:$AL$54,MATCH(T$7&amp;"",'Inputs (2)'!$D$2:$AL$2,0)),"")</f>
        <v>0</v>
      </c>
      <c r="U28" s="269">
        <f>IFERROR(INDEX('Inputs (2)'!$D$54:$AL$54,MATCH(U$7&amp;"",'Inputs (2)'!$D$2:$AL$2,0)),"")</f>
        <v>0</v>
      </c>
      <c r="V28" s="269">
        <f>IFERROR(INDEX('Inputs (2)'!$D$54:$AL$54,MATCH(V$7&amp;"",'Inputs (2)'!$D$2:$AL$2,0)),"")</f>
        <v>175.8</v>
      </c>
      <c r="W28" s="270">
        <f>IF(COUNT(S28:V28)=4,SUM(S28:V28),"")</f>
        <v>175.8</v>
      </c>
      <c r="X28" s="269">
        <f>IFERROR(INDEX('Inputs (2)'!$D$54:$AL$54,MATCH(X$7&amp;"",'Inputs (2)'!$D$2:$AL$2,0)),"")</f>
        <v>517.4</v>
      </c>
      <c r="Y28" s="269">
        <f>IFERROR(INDEX('Inputs (2)'!$D$54:$AL$54,MATCH(Y$7&amp;"",'Inputs (2)'!$D$2:$AL$2,0)),"")</f>
        <v>1243.2</v>
      </c>
      <c r="Z28" s="269">
        <f>IFERROR(INDEX('Inputs (2)'!$D$54:$AL$54,MATCH(Z$7&amp;"",'Inputs (2)'!$D$2:$AL$2,0)),"")</f>
        <v>1257.8</v>
      </c>
      <c r="AA28" s="269">
        <f>IFERROR(INDEX('Inputs (2)'!$D$54:$AL$54,MATCH(AA$7&amp;"",'Inputs (2)'!$D$2:$AL$2,0)),"")</f>
        <v>1907.3</v>
      </c>
      <c r="AB28" s="270">
        <f>IF(COUNT(X28:AA28)=4,SUM(X28:AA28),"")</f>
        <v>4925.7</v>
      </c>
      <c r="AC28" s="269">
        <f>IFERROR(INDEX('Inputs (2)'!$D$54:$AL$54,MATCH(AC$7&amp;"",'Inputs (2)'!$D$2:$AL$2,0)),"")</f>
        <v>2312</v>
      </c>
      <c r="AD28" s="269">
        <f>IFERROR(INDEX('Inputs (2)'!$D$54:$AL$54,MATCH(AD$7&amp;"",'Inputs (2)'!$D$2:$AL$2,0)),"")</f>
        <v>3381</v>
      </c>
      <c r="AE28" s="269">
        <f>IFERROR(INDEX('Inputs (2)'!$D$54:$AL$54,MATCH(AE$7&amp;"",'Inputs (2)'!$D$2:$AL$2,0)),"")</f>
        <v>3588.1</v>
      </c>
      <c r="AF28" s="269">
        <f>IFERROR(INDEX('Inputs (2)'!$D$54:$AL$54,MATCH(AF$7&amp;"",'Inputs (2)'!$D$2:$AL$2,0)),"")</f>
        <v>4260.7</v>
      </c>
      <c r="AG28" s="270">
        <f>IF(COUNT(AC28:AF28)=4,SUM(AC28:AF28),"")</f>
        <v>13541.8</v>
      </c>
      <c r="AH28" s="270">
        <f>IFERROR(INDEX('Inputs (2)'!$D$54:$AL$54,MATCH(AH$7&amp;"",'Inputs (2)'!$D$2:$AL$2,0)),"")</f>
        <v>4160</v>
      </c>
      <c r="AI28" s="270">
        <f>IFERROR(INDEX('Inputs (2)'!$D$54:$AL$54,MATCH(AI$7&amp;"",'Inputs (2)'!$D$2:$AL$2,0)),"")</f>
        <v>4928</v>
      </c>
    </row>
    <row r="29">
      <c r="C29" s="271" t="inlineStr">
        <is>
          <t>Tirzepatida (Mounjaro + Zepbound)</t>
        </is>
      </c>
      <c r="D29" s="269" t="str">
        <f>IF(COUNT(D27,D28)=0,"",N(D27)+N(D28))</f>
        <v/>
      </c>
      <c r="E29" s="269" t="str">
        <f>IF(COUNT(E27,E28)=0,"",N(E27)+N(E28))</f>
        <v/>
      </c>
      <c r="F29" s="269" t="str">
        <f>IF(COUNT(F27,F28)=0,"",N(F27)+N(F28))</f>
        <v/>
      </c>
      <c r="G29" s="269" t="str">
        <f>IF(COUNT(G27,G28)=0,"",N(G27)+N(G28))</f>
        <v/>
      </c>
      <c r="H29" s="270" t="str">
        <f>IF(COUNT(H27,H28)=0,"",N(H27)+N(H28))</f>
        <v/>
      </c>
      <c r="I29" s="269" t="str">
        <f>IF(COUNT(I27,I28)=0,"",N(I27)+N(I28))</f>
        <v/>
      </c>
      <c r="J29" s="269" t="str">
        <f>IF(COUNT(J27,J28)=0,"",N(J27)+N(J28))</f>
        <v/>
      </c>
      <c r="K29" s="269">
        <f>IF(COUNT(K27,K28)=0,"",N(K27)+N(K28))</f>
        <v>0</v>
      </c>
      <c r="L29" s="269">
        <f>IF(COUNT(L27,L28)=0,"",N(L27)+N(L28))</f>
        <v>0</v>
      </c>
      <c r="M29" s="270" t="str">
        <f>IF(COUNT(M27,M28)=0,"",N(M27)+N(M28))</f>
        <v/>
      </c>
      <c r="N29" s="269">
        <f>IF(COUNT(N27,N28)=0,"",N(N27)+N(N28))</f>
        <v>0</v>
      </c>
      <c r="O29" s="269">
        <f>IF(COUNT(O27,O28)=0,"",N(O27)+N(O28))</f>
        <v>16</v>
      </c>
      <c r="P29" s="269">
        <f>IF(COUNT(P27,P28)=0,"",N(P27)+N(P28))</f>
        <v>187.3</v>
      </c>
      <c r="Q29" s="269">
        <f>IF(COUNT(Q27,Q28)=0,"",N(Q27)+N(Q28))</f>
        <v>279.3</v>
      </c>
      <c r="R29" s="270">
        <f>IF(COUNT(R27,R28)=0,"",N(R27)+N(R28))</f>
        <v>482.6</v>
      </c>
      <c r="S29" s="269">
        <f>IF(COUNT(S27,S28)=0,"",N(S27)+N(S28))</f>
        <v>568.5</v>
      </c>
      <c r="T29" s="269">
        <f>IF(COUNT(T27,T28)=0,"",N(T27)+N(T28))</f>
        <v>979.7</v>
      </c>
      <c r="U29" s="269">
        <f>IF(COUNT(U27,U28)=0,"",N(U27)+N(U28))</f>
        <v>1409.3</v>
      </c>
      <c r="V29" s="269">
        <f>IF(COUNT(V27,V28)=0,"",N(V27)+N(V28))</f>
        <v>2381.4</v>
      </c>
      <c r="W29" s="270">
        <f>IF(COUNT(W27,W28)=0,"",N(W27)+N(W28))</f>
        <v>5338.9</v>
      </c>
      <c r="X29" s="269">
        <f>IF(COUNT(X27,X28)=0,"",N(X27)+N(X28))</f>
        <v>2323.9</v>
      </c>
      <c r="Y29" s="269">
        <f>IF(COUNT(Y27,Y28)=0,"",N(Y27)+N(Y28))</f>
        <v>4334</v>
      </c>
      <c r="Z29" s="269">
        <f>IF(COUNT(Z27,Z28)=0,"",N(Z27)+N(Z28))</f>
        <v>4370.5</v>
      </c>
      <c r="AA29" s="269">
        <f>IF(COUNT(AA27,AA28)=0,"",N(AA27)+N(AA28))</f>
        <v>5437.4</v>
      </c>
      <c r="AB29" s="270">
        <f>IF(COUNT(AB27,AB28)=0,"",N(AB27)+N(AB28))</f>
        <v>16465.8</v>
      </c>
      <c r="AC29" s="269">
        <f>IF(COUNT(AC27,AC28)=0,"",N(AC27)+N(AC28))</f>
        <v>6154</v>
      </c>
      <c r="AD29" s="269">
        <f>IF(COUNT(AD27,AD28)=0,"",N(AD27)+N(AD28))</f>
        <v>8580</v>
      </c>
      <c r="AE29" s="269">
        <f>IF(COUNT(AE27,AE28)=0,"",N(AE27)+N(AE28))</f>
        <v>10103.2</v>
      </c>
      <c r="AF29" s="269">
        <f>IF(COUNT(AF27,AF28)=0,"",N(AF27)+N(AF28))</f>
        <v>11670.9</v>
      </c>
      <c r="AG29" s="270">
        <f>IF(COUNT(AG27,AG28)=0,"",N(AG27)+N(AG28))</f>
        <v>36508.1</v>
      </c>
      <c r="AH29" s="270">
        <f>IF(COUNT(AH27,AH28)=0,"",N(AH27)+N(AH28))</f>
        <v>12822</v>
      </c>
      <c r="AI29" s="270">
        <f>IF(COUNT(AI27,AI28)=0,"",N(AI27)+N(AI28))</f>
        <v>14871</v>
      </c>
    </row>
    <row r="30">
      <c r="C30" s="268" t="inlineStr">
        <is>
          <t xml:space="preserve">   % tirzepatida na receita</t>
        </is>
      </c>
      <c r="D30" s="272" t="str">
        <f>IFERROR(D29/D21,"")</f>
        <v/>
      </c>
      <c r="E30" s="272" t="str">
        <f>IFERROR(E29/E21,"")</f>
        <v/>
      </c>
      <c r="F30" s="272" t="str">
        <f>IFERROR(F29/F21,"")</f>
        <v/>
      </c>
      <c r="G30" s="272" t="str">
        <f>IFERROR(G29/G21,"")</f>
        <v/>
      </c>
      <c r="H30" s="273" t="str">
        <f>IFERROR(H29/H21,"")</f>
        <v/>
      </c>
      <c r="I30" s="272" t="str">
        <f>IFERROR(I29/I21,"")</f>
        <v/>
      </c>
      <c r="J30" s="272" t="str">
        <f>IFERROR(J29/J21,"")</f>
        <v/>
      </c>
      <c r="K30" s="272">
        <f>IFERROR(K29/K21,"")</f>
        <v>0</v>
      </c>
      <c r="L30" s="272">
        <f>IFERROR(L29/L21,"")</f>
        <v>0</v>
      </c>
      <c r="M30" s="273" t="str">
        <f>IFERROR(M29/M21,"")</f>
        <v/>
      </c>
      <c r="N30" s="272">
        <f>IFERROR(N29/N21,"")</f>
        <v>0</v>
      </c>
      <c r="O30" s="272">
        <f>IFERROR(O29/O21,"")</f>
        <v>0.00246605323592423</v>
      </c>
      <c r="P30" s="272">
        <f>IFERROR(P29/P21,"")</f>
        <v>0.0269826406396312</v>
      </c>
      <c r="Q30" s="272">
        <f>IFERROR(Q29/Q21,"")</f>
        <v>0.0382513661202186</v>
      </c>
      <c r="R30" s="273">
        <f>IFERROR(R29/R21,"")</f>
        <v>0.0169088303616163</v>
      </c>
      <c r="S30" s="272">
        <f>IFERROR(S29/S21,"")</f>
        <v>0.0816798609215385</v>
      </c>
      <c r="T30" s="272">
        <f>IFERROR(T29/T21,"")</f>
        <v>0.117864318282985</v>
      </c>
      <c r="U30" s="272">
        <f>IFERROR(U29/U21,"")</f>
        <v>0.148369233360706</v>
      </c>
      <c r="V30" s="272">
        <f>IFERROR(V29/V21,"")</f>
        <v>0.254599882396964</v>
      </c>
      <c r="W30" s="273">
        <f>IFERROR(W29/W21,"")</f>
        <v>0.156454491374182</v>
      </c>
      <c r="X30" s="272">
        <f>IFERROR(X29/X21,"")</f>
        <v>0.265040316602229</v>
      </c>
      <c r="Y30" s="272">
        <f>IFERROR(Y29/Y21,"")</f>
        <v>0.383448202641847</v>
      </c>
      <c r="Z30" s="272">
        <f>IFERROR(Z29/Z21,"")</f>
        <v>0.382066770987228</v>
      </c>
      <c r="AA30" s="272">
        <f>IFERROR(AA29/AA21,"")</f>
        <v>0.401794159375739</v>
      </c>
      <c r="AB30" s="273">
        <f>IFERROR(AB29/AB21,"")</f>
        <v>0.365559791042722</v>
      </c>
      <c r="AC30" s="272">
        <f>IFERROR(AC29/AC21,"")</f>
        <v>0.483500942803268</v>
      </c>
      <c r="AD30" s="272">
        <f>IFERROR(AD29/AD21,"")</f>
        <v>0.551520215979945</v>
      </c>
      <c r="AE30" s="272">
        <f>IFERROR(AE29/AE21,"")</f>
        <v>0.574019362756238</v>
      </c>
      <c r="AF30" s="272">
        <f>IFERROR(AF29/AF21,"")</f>
        <v>0.604960605432304</v>
      </c>
      <c r="AG30" s="273">
        <f>IFERROR(AG29/AG21,"")</f>
        <v>0.560130903467131</v>
      </c>
      <c r="AH30" s="273">
        <f>IFERROR(AH29/AH21,"")</f>
        <v>0.647608465073994</v>
      </c>
      <c r="AI30" s="273">
        <f>IFERROR(AI29/AI21,"")</f>
        <v>0.647296944371899</v>
      </c>
    </row>
    <row r="31">
      <c r="C31" s="268" t="inlineStr">
        <is>
          <t xml:space="preserve">   Trulicity</t>
        </is>
      </c>
      <c r="D31" s="269" t="str">
        <f>IFERROR(INDEX('Inputs (2)'!$D$55:$AL$55,MATCH(D$7&amp;"",'Inputs (2)'!$D$2:$AL$2,0)),"")</f>
        <v/>
      </c>
      <c r="E31" s="269" t="str">
        <f>IFERROR(INDEX('Inputs (2)'!$D$55:$AL$55,MATCH(E$7&amp;"",'Inputs (2)'!$D$2:$AL$2,0)),"")</f>
        <v/>
      </c>
      <c r="F31" s="269" t="str">
        <f>IFERROR(INDEX('Inputs (2)'!$D$55:$AL$55,MATCH(F$7&amp;"",'Inputs (2)'!$D$2:$AL$2,0)),"")</f>
        <v/>
      </c>
      <c r="G31" s="269" t="str">
        <f>IFERROR(INDEX('Inputs (2)'!$D$55:$AL$55,MATCH(G$7&amp;"",'Inputs (2)'!$D$2:$AL$2,0)),"")</f>
        <v/>
      </c>
      <c r="H31" s="270" t="str">
        <f>IF(COUNT(D31:G31)=4,SUM(D31:G31),"")</f>
        <v/>
      </c>
      <c r="I31" s="269">
        <f>IFERROR(INDEX('Inputs (2)'!$D$55:$AL$55,MATCH(I$7&amp;"",'Inputs (2)'!$D$2:$AL$2,0)),"")</f>
        <v>1452.4</v>
      </c>
      <c r="J31" s="269">
        <f>IFERROR(INDEX('Inputs (2)'!$D$55:$AL$55,MATCH(J$7&amp;"",'Inputs (2)'!$D$2:$AL$2,0)),"")</f>
        <v>1535.6</v>
      </c>
      <c r="K31" s="269">
        <f>IFERROR(INDEX('Inputs (2)'!$D$55:$AL$55,MATCH(K$7&amp;"",'Inputs (2)'!$D$2:$AL$2,0)),"")</f>
        <v>1600.1</v>
      </c>
      <c r="L31" s="269">
        <f>IFERROR(INDEX('Inputs (2)'!$D$55:$AL$55,MATCH(L$7&amp;"",'Inputs (2)'!$D$2:$AL$2,0)),"")</f>
        <v>1883.8</v>
      </c>
      <c r="M31" s="270">
        <f>IF(COUNT(I31:L31)=4,SUM(I31:L31),"")</f>
        <v>6471.9</v>
      </c>
      <c r="N31" s="269">
        <f>IFERROR(INDEX('Inputs (2)'!$D$55:$AL$55,MATCH(N$7&amp;"",'Inputs (2)'!$D$2:$AL$2,0)),"")</f>
        <v>1741.3</v>
      </c>
      <c r="O31" s="269">
        <f>IFERROR(INDEX('Inputs (2)'!$D$55:$AL$55,MATCH(O$7&amp;"",'Inputs (2)'!$D$2:$AL$2,0)),"")</f>
        <v>1911.9</v>
      </c>
      <c r="P31" s="269">
        <f>IFERROR(INDEX('Inputs (2)'!$D$55:$AL$55,MATCH(P$7&amp;"",'Inputs (2)'!$D$2:$AL$2,0)),"")</f>
        <v>1850.4</v>
      </c>
      <c r="Q31" s="269">
        <f>IFERROR(INDEX('Inputs (2)'!$D$55:$AL$55,MATCH(Q$7&amp;"",'Inputs (2)'!$D$2:$AL$2,0)),"")</f>
        <v>1936.2</v>
      </c>
      <c r="R31" s="270">
        <f>IF(COUNT(N31:Q31)=4,SUM(N31:Q31),"")</f>
        <v>7439.8</v>
      </c>
      <c r="S31" s="269">
        <f>IFERROR(INDEX('Inputs (2)'!$D$55:$AL$55,MATCH(S$7&amp;"",'Inputs (2)'!$D$2:$AL$2,0)),"")</f>
        <v>1977.1</v>
      </c>
      <c r="T31" s="269">
        <f>IFERROR(INDEX('Inputs (2)'!$D$55:$AL$55,MATCH(T$7&amp;"",'Inputs (2)'!$D$2:$AL$2,0)),"")</f>
        <v>1812.5</v>
      </c>
      <c r="U31" s="269">
        <f>IFERROR(INDEX('Inputs (2)'!$D$55:$AL$55,MATCH(U$7&amp;"",'Inputs (2)'!$D$2:$AL$2,0)),"")</f>
        <v>1673.6</v>
      </c>
      <c r="V31" s="269">
        <f>IFERROR(INDEX('Inputs (2)'!$D$55:$AL$55,MATCH(V$7&amp;"",'Inputs (2)'!$D$2:$AL$2,0)),"")</f>
        <v>1669.2</v>
      </c>
      <c r="W31" s="270">
        <f>IF(COUNT(S31:V31)=4,SUM(S31:V31),"")</f>
        <v>7132.4</v>
      </c>
      <c r="X31" s="269">
        <f>IFERROR(INDEX('Inputs (2)'!$D$55:$AL$55,MATCH(X$7&amp;"",'Inputs (2)'!$D$2:$AL$2,0)),"")</f>
        <v>1456.3</v>
      </c>
      <c r="Y31" s="269">
        <f>IFERROR(INDEX('Inputs (2)'!$D$55:$AL$55,MATCH(Y$7&amp;"",'Inputs (2)'!$D$2:$AL$2,0)),"")</f>
        <v>1245.6</v>
      </c>
      <c r="Z31" s="269">
        <f>IFERROR(INDEX('Inputs (2)'!$D$55:$AL$55,MATCH(Z$7&amp;"",'Inputs (2)'!$D$2:$AL$2,0)),"")</f>
        <v>1301.4</v>
      </c>
      <c r="AA31" s="269">
        <f>IFERROR(INDEX('Inputs (2)'!$D$55:$AL$55,MATCH(AA$7&amp;"",'Inputs (2)'!$D$2:$AL$2,0)),"")</f>
        <v>1250.2</v>
      </c>
      <c r="AB31" s="270">
        <f>IF(COUNT(X31:AA31)=4,SUM(X31:AA31),"")</f>
        <v>5253.5</v>
      </c>
      <c r="AC31" s="269">
        <f>IFERROR(INDEX('Inputs (2)'!$D$55:$AL$55,MATCH(AC$7&amp;"",'Inputs (2)'!$D$2:$AL$2,0)),"")</f>
        <v>1095</v>
      </c>
      <c r="AD31" s="269">
        <f>IFERROR(INDEX('Inputs (2)'!$D$55:$AL$55,MATCH(AD$7&amp;"",'Inputs (2)'!$D$2:$AL$2,0)),"")</f>
        <v>1092</v>
      </c>
      <c r="AE31" s="269">
        <f>IFERROR(INDEX('Inputs (2)'!$D$55:$AL$55,MATCH(AE$7&amp;"",'Inputs (2)'!$D$2:$AL$2,0)),"")</f>
        <v>1051.8</v>
      </c>
      <c r="AF31" s="269">
        <f>IFERROR(INDEX('Inputs (2)'!$D$55:$AL$55,MATCH(AF$7&amp;"",'Inputs (2)'!$D$2:$AL$2,0)),"")</f>
        <v>1036.8</v>
      </c>
      <c r="AG31" s="270">
        <f>IF(COUNT(AC31:AF31)=4,SUM(AC31:AF31),"")</f>
        <v>4275.6</v>
      </c>
      <c r="AH31" s="270">
        <f>IFERROR(INDEX('Inputs (2)'!$D$55:$AL$55,MATCH(AH$7&amp;"",'Inputs (2)'!$D$2:$AL$2,0)),"")</f>
        <v>919</v>
      </c>
      <c r="AI31" s="270">
        <f>IFERROR(INDEX('Inputs (2)'!$D$55:$AL$55,MATCH(AI$7&amp;"",'Inputs (2)'!$D$2:$AL$2,0)),"")</f>
        <v>1219</v>
      </c>
    </row>
    <row r="32">
      <c r="C32" s="268" t="inlineStr">
        <is>
          <t xml:space="preserve">   Verzenio</t>
        </is>
      </c>
      <c r="D32" s="269" t="str">
        <f>IFERROR(INDEX('Inputs (2)'!$D$56:$AL$56,MATCH(D$7&amp;"",'Inputs (2)'!$D$2:$AL$2,0)),"")</f>
        <v/>
      </c>
      <c r="E32" s="269" t="str">
        <f>IFERROR(INDEX('Inputs (2)'!$D$56:$AL$56,MATCH(E$7&amp;"",'Inputs (2)'!$D$2:$AL$2,0)),"")</f>
        <v/>
      </c>
      <c r="F32" s="269" t="str">
        <f>IFERROR(INDEX('Inputs (2)'!$D$56:$AL$56,MATCH(F$7&amp;"",'Inputs (2)'!$D$2:$AL$2,0)),"")</f>
        <v/>
      </c>
      <c r="G32" s="269" t="str">
        <f>IFERROR(INDEX('Inputs (2)'!$D$56:$AL$56,MATCH(G$7&amp;"",'Inputs (2)'!$D$2:$AL$2,0)),"")</f>
        <v/>
      </c>
      <c r="H32" s="270" t="str">
        <f>IF(COUNT(D32:G32)=4,SUM(D32:G32),"")</f>
        <v/>
      </c>
      <c r="I32" s="269">
        <f>IFERROR(INDEX('Inputs (2)'!$D$56:$AL$56,MATCH(I$7&amp;"",'Inputs (2)'!$D$2:$AL$2,0)),"")</f>
        <v>269</v>
      </c>
      <c r="J32" s="269">
        <f>IFERROR(INDEX('Inputs (2)'!$D$56:$AL$56,MATCH(J$7&amp;"",'Inputs (2)'!$D$2:$AL$2,0)),"")</f>
        <v>341.3</v>
      </c>
      <c r="K32" s="269">
        <f>IFERROR(INDEX('Inputs (2)'!$D$56:$AL$56,MATCH(K$7&amp;"",'Inputs (2)'!$D$2:$AL$2,0)),"")</f>
        <v>335.5</v>
      </c>
      <c r="L32" s="269">
        <f>IFERROR(INDEX('Inputs (2)'!$D$56:$AL$56,MATCH(L$7&amp;"",'Inputs (2)'!$D$2:$AL$2,0)),"")</f>
        <v>404.1</v>
      </c>
      <c r="M32" s="270">
        <f>IF(COUNT(I32:L32)=4,SUM(I32:L32),"")</f>
        <v>1349.9</v>
      </c>
      <c r="N32" s="269">
        <f>IFERROR(INDEX('Inputs (2)'!$D$56:$AL$56,MATCH(N$7&amp;"",'Inputs (2)'!$D$2:$AL$2,0)),"")</f>
        <v>469.4</v>
      </c>
      <c r="O32" s="269">
        <f>IFERROR(INDEX('Inputs (2)'!$D$56:$AL$56,MATCH(O$7&amp;"",'Inputs (2)'!$D$2:$AL$2,0)),"")</f>
        <v>588.5</v>
      </c>
      <c r="P32" s="269">
        <f>IFERROR(INDEX('Inputs (2)'!$D$56:$AL$56,MATCH(P$7&amp;"",'Inputs (2)'!$D$2:$AL$2,0)),"")</f>
        <v>617.7</v>
      </c>
      <c r="Q32" s="269">
        <f>IFERROR(INDEX('Inputs (2)'!$D$56:$AL$56,MATCH(Q$7&amp;"",'Inputs (2)'!$D$2:$AL$2,0)),"")</f>
        <v>807.9</v>
      </c>
      <c r="R32" s="270">
        <f>IF(COUNT(N32:Q32)=4,SUM(N32:Q32),"")</f>
        <v>2483.5</v>
      </c>
      <c r="S32" s="269">
        <f>IFERROR(INDEX('Inputs (2)'!$D$56:$AL$56,MATCH(S$7&amp;"",'Inputs (2)'!$D$2:$AL$2,0)),"")</f>
        <v>750.9</v>
      </c>
      <c r="T32" s="269">
        <f>IFERROR(INDEX('Inputs (2)'!$D$56:$AL$56,MATCH(T$7&amp;"",'Inputs (2)'!$D$2:$AL$2,0)),"")</f>
        <v>926.8</v>
      </c>
      <c r="U32" s="269">
        <f>IFERROR(INDEX('Inputs (2)'!$D$56:$AL$56,MATCH(U$7&amp;"",'Inputs (2)'!$D$2:$AL$2,0)),"")</f>
        <v>1040.2</v>
      </c>
      <c r="V32" s="269">
        <f>IFERROR(INDEX('Inputs (2)'!$D$56:$AL$56,MATCH(V$7&amp;"",'Inputs (2)'!$D$2:$AL$2,0)),"")</f>
        <v>1145.4</v>
      </c>
      <c r="W32" s="270">
        <f>IF(COUNT(S32:V32)=4,SUM(S32:V32),"")</f>
        <v>3863.3</v>
      </c>
      <c r="X32" s="269">
        <f>IFERROR(INDEX('Inputs (2)'!$D$56:$AL$56,MATCH(X$7&amp;"",'Inputs (2)'!$D$2:$AL$2,0)),"")</f>
        <v>1050.3</v>
      </c>
      <c r="Y32" s="269">
        <f>IFERROR(INDEX('Inputs (2)'!$D$56:$AL$56,MATCH(Y$7&amp;"",'Inputs (2)'!$D$2:$AL$2,0)),"")</f>
        <v>1331.9</v>
      </c>
      <c r="Z32" s="269">
        <f>IFERROR(INDEX('Inputs (2)'!$D$56:$AL$56,MATCH(Z$7&amp;"",'Inputs (2)'!$D$2:$AL$2,0)),"")</f>
        <v>1369.3</v>
      </c>
      <c r="AA32" s="269">
        <f>IFERROR(INDEX('Inputs (2)'!$D$56:$AL$56,MATCH(AA$7&amp;"",'Inputs (2)'!$D$2:$AL$2,0)),"")</f>
        <v>1555.1</v>
      </c>
      <c r="AB32" s="270">
        <f>IF(COUNT(X32:AA32)=4,SUM(X32:AA32),"")</f>
        <v>5306.6</v>
      </c>
      <c r="AC32" s="269">
        <f>IFERROR(INDEX('Inputs (2)'!$D$56:$AL$56,MATCH(AC$7&amp;"",'Inputs (2)'!$D$2:$AL$2,0)),"")</f>
        <v>1159</v>
      </c>
      <c r="AD32" s="269">
        <f>IFERROR(INDEX('Inputs (2)'!$D$56:$AL$56,MATCH(AD$7&amp;"",'Inputs (2)'!$D$2:$AL$2,0)),"")</f>
        <v>1489</v>
      </c>
      <c r="AE32" s="269">
        <f>IFERROR(INDEX('Inputs (2)'!$D$56:$AL$56,MATCH(AE$7&amp;"",'Inputs (2)'!$D$2:$AL$2,0)),"")</f>
        <v>1470.2</v>
      </c>
      <c r="AF32" s="269">
        <f>IFERROR(INDEX('Inputs (2)'!$D$56:$AL$56,MATCH(AF$7&amp;"",'Inputs (2)'!$D$2:$AL$2,0)),"")</f>
        <v>1604.6</v>
      </c>
      <c r="AG32" s="270">
        <f>IF(COUNT(AC32:AF32)=4,SUM(AC32:AF32),"")</f>
        <v>5722.8</v>
      </c>
      <c r="AH32" s="270">
        <f>IFERROR(INDEX('Inputs (2)'!$D$56:$AL$56,MATCH(AH$7&amp;"",'Inputs (2)'!$D$2:$AL$2,0)),"")</f>
        <v>1302</v>
      </c>
      <c r="AI32" s="270">
        <f>IFERROR(INDEX('Inputs (2)'!$D$56:$AL$56,MATCH(AI$7&amp;"",'Inputs (2)'!$D$2:$AL$2,0)),"")</f>
        <v>1474</v>
      </c>
    </row>
    <row r="33">
      <c r="C33" s="268" t="inlineStr">
        <is>
          <t xml:space="preserve">   Jardiance</t>
        </is>
      </c>
      <c r="D33" s="269" t="str">
        <f>IFERROR(INDEX('Inputs (2)'!$D$57:$AL$57,MATCH(D$7&amp;"",'Inputs (2)'!$D$2:$AL$2,0)),"")</f>
        <v/>
      </c>
      <c r="E33" s="269" t="str">
        <f>IFERROR(INDEX('Inputs (2)'!$D$57:$AL$57,MATCH(E$7&amp;"",'Inputs (2)'!$D$2:$AL$2,0)),"")</f>
        <v/>
      </c>
      <c r="F33" s="269" t="str">
        <f>IFERROR(INDEX('Inputs (2)'!$D$57:$AL$57,MATCH(F$7&amp;"",'Inputs (2)'!$D$2:$AL$2,0)),"")</f>
        <v/>
      </c>
      <c r="G33" s="269" t="str">
        <f>IFERROR(INDEX('Inputs (2)'!$D$57:$AL$57,MATCH(G$7&amp;"",'Inputs (2)'!$D$2:$AL$2,0)),"")</f>
        <v/>
      </c>
      <c r="H33" s="270" t="str">
        <f>IF(COUNT(D33:G33)=4,SUM(D33:G33),"")</f>
        <v/>
      </c>
      <c r="I33" s="269">
        <f>IFERROR(INDEX('Inputs (2)'!$D$57:$AL$57,MATCH(I$7&amp;"",'Inputs (2)'!$D$2:$AL$2,0)),"")</f>
        <v>312</v>
      </c>
      <c r="J33" s="269">
        <f>IFERROR(INDEX('Inputs (2)'!$D$57:$AL$57,MATCH(J$7&amp;"",'Inputs (2)'!$D$2:$AL$2,0)),"")</f>
        <v>356.5</v>
      </c>
      <c r="K33" s="269">
        <f>IFERROR(INDEX('Inputs (2)'!$D$57:$AL$57,MATCH(K$7&amp;"",'Inputs (2)'!$D$2:$AL$2,0)),"")</f>
        <v>390.4</v>
      </c>
      <c r="L33" s="269">
        <f>IFERROR(INDEX('Inputs (2)'!$D$57:$AL$57,MATCH(L$7&amp;"",'Inputs (2)'!$D$2:$AL$2,0)),"")</f>
        <v>431.9</v>
      </c>
      <c r="M33" s="270">
        <f>IF(COUNT(I33:L33)=4,SUM(I33:L33),"")</f>
        <v>1490.8</v>
      </c>
      <c r="N33" s="269">
        <f>IFERROR(INDEX('Inputs (2)'!$D$57:$AL$57,MATCH(N$7&amp;"",'Inputs (2)'!$D$2:$AL$2,0)),"")</f>
        <v>419.4</v>
      </c>
      <c r="O33" s="269">
        <f>IFERROR(INDEX('Inputs (2)'!$D$57:$AL$57,MATCH(O$7&amp;"",'Inputs (2)'!$D$2:$AL$2,0)),"")</f>
        <v>461</v>
      </c>
      <c r="P33" s="269">
        <f>IFERROR(INDEX('Inputs (2)'!$D$57:$AL$57,MATCH(P$7&amp;"",'Inputs (2)'!$D$2:$AL$2,0)),"")</f>
        <v>573.3</v>
      </c>
      <c r="Q33" s="269">
        <f>IFERROR(INDEX('Inputs (2)'!$D$57:$AL$57,MATCH(Q$7&amp;"",'Inputs (2)'!$D$2:$AL$2,0)),"")</f>
        <v>612.3</v>
      </c>
      <c r="R33" s="270">
        <f>IF(COUNT(N33:Q33)=4,SUM(N33:Q33),"")</f>
        <v>2066</v>
      </c>
      <c r="S33" s="269">
        <f>IFERROR(INDEX('Inputs (2)'!$D$57:$AL$57,MATCH(S$7&amp;"",'Inputs (2)'!$D$2:$AL$2,0)),"")</f>
        <v>577.5</v>
      </c>
      <c r="T33" s="269">
        <f>IFERROR(INDEX('Inputs (2)'!$D$57:$AL$57,MATCH(T$7&amp;"",'Inputs (2)'!$D$2:$AL$2,0)),"")</f>
        <v>668.3</v>
      </c>
      <c r="U33" s="269">
        <f>IFERROR(INDEX('Inputs (2)'!$D$57:$AL$57,MATCH(U$7&amp;"",'Inputs (2)'!$D$2:$AL$2,0)),"")</f>
        <v>700.8</v>
      </c>
      <c r="V33" s="269">
        <f>IFERROR(INDEX('Inputs (2)'!$D$57:$AL$57,MATCH(V$7&amp;"",'Inputs (2)'!$D$2:$AL$2,0)),"")</f>
        <v>798.1</v>
      </c>
      <c r="W33" s="270">
        <f>IF(COUNT(S33:V33)=4,SUM(S33:V33),"")</f>
        <v>2744.7</v>
      </c>
      <c r="X33" s="269">
        <f>IFERROR(INDEX('Inputs (2)'!$D$57:$AL$57,MATCH(X$7&amp;"",'Inputs (2)'!$D$2:$AL$2,0)),"")</f>
        <v>686.5</v>
      </c>
      <c r="Y33" s="269">
        <f>IFERROR(INDEX('Inputs (2)'!$D$57:$AL$57,MATCH(Y$7&amp;"",'Inputs (2)'!$D$2:$AL$2,0)),"")</f>
        <v>769.6</v>
      </c>
      <c r="Z33" s="269">
        <f>IFERROR(INDEX('Inputs (2)'!$D$57:$AL$57,MATCH(Z$7&amp;"",'Inputs (2)'!$D$2:$AL$2,0)),"")</f>
        <v>686.4</v>
      </c>
      <c r="AA33" s="269">
        <f>IFERROR(INDEX('Inputs (2)'!$D$57:$AL$57,MATCH(AA$7&amp;"",'Inputs (2)'!$D$2:$AL$2,0)),"")</f>
        <v>1198.4</v>
      </c>
      <c r="AB33" s="270">
        <f>IF(COUNT(X33:AA33)=4,SUM(X33:AA33),"")</f>
        <v>3340.9</v>
      </c>
      <c r="AC33" s="269">
        <f>IFERROR(INDEX('Inputs (2)'!$D$57:$AL$57,MATCH(AC$7&amp;"",'Inputs (2)'!$D$2:$AL$2,0)),"")</f>
        <v>1014</v>
      </c>
      <c r="AD33" s="269">
        <f>IFERROR(INDEX('Inputs (2)'!$D$57:$AL$57,MATCH(AD$7&amp;"",'Inputs (2)'!$D$2:$AL$2,0)),"")</f>
        <v>690</v>
      </c>
      <c r="AE33" s="269">
        <f>IFERROR(INDEX('Inputs (2)'!$D$57:$AL$57,MATCH(AE$7&amp;"",'Inputs (2)'!$D$2:$AL$2,0)),"")</f>
        <v>959</v>
      </c>
      <c r="AF33" s="269">
        <f>IFERROR(INDEX('Inputs (2)'!$D$57:$AL$57,MATCH(AF$7&amp;"",'Inputs (2)'!$D$2:$AL$2,0)),"")</f>
        <v>768.6</v>
      </c>
      <c r="AG33" s="270">
        <f>IF(COUNT(AC33:AF33)=4,SUM(AC33:AF33),"")</f>
        <v>3431.6</v>
      </c>
      <c r="AH33" s="270">
        <f>IFERROR(INDEX('Inputs (2)'!$D$57:$AL$57,MATCH(AH$7&amp;"",'Inputs (2)'!$D$2:$AL$2,0)),"")</f>
        <v>1114</v>
      </c>
      <c r="AI33" s="270">
        <f>IFERROR(INDEX('Inputs (2)'!$D$57:$AL$57,MATCH(AI$7&amp;"",'Inputs (2)'!$D$2:$AL$2,0)),"")</f>
        <v>1232</v>
      </c>
    </row>
    <row r="34">
      <c r="C34" s="268" t="inlineStr">
        <is>
          <t xml:space="preserve">   Taltz</t>
        </is>
      </c>
      <c r="D34" s="269" t="str">
        <f>IFERROR(INDEX('Inputs (2)'!$D$58:$AL$58,MATCH(D$7&amp;"",'Inputs (2)'!$D$2:$AL$2,0)),"")</f>
        <v/>
      </c>
      <c r="E34" s="269" t="str">
        <f>IFERROR(INDEX('Inputs (2)'!$D$58:$AL$58,MATCH(E$7&amp;"",'Inputs (2)'!$D$2:$AL$2,0)),"")</f>
        <v/>
      </c>
      <c r="F34" s="269" t="str">
        <f>IFERROR(INDEX('Inputs (2)'!$D$58:$AL$58,MATCH(F$7&amp;"",'Inputs (2)'!$D$2:$AL$2,0)),"")</f>
        <v/>
      </c>
      <c r="G34" s="269" t="str">
        <f>IFERROR(INDEX('Inputs (2)'!$D$58:$AL$58,MATCH(G$7&amp;"",'Inputs (2)'!$D$2:$AL$2,0)),"")</f>
        <v/>
      </c>
      <c r="H34" s="270" t="str">
        <f>IF(COUNT(D34:G34)=4,SUM(D34:G34),"")</f>
        <v/>
      </c>
      <c r="I34" s="269">
        <f>IFERROR(INDEX('Inputs (2)'!$D$58:$AL$58,MATCH(I$7&amp;"",'Inputs (2)'!$D$2:$AL$2,0)),"")</f>
        <v>403.2</v>
      </c>
      <c r="J34" s="269">
        <f>IFERROR(INDEX('Inputs (2)'!$D$58:$AL$58,MATCH(J$7&amp;"",'Inputs (2)'!$D$2:$AL$2,0)),"")</f>
        <v>569.1</v>
      </c>
      <c r="K34" s="269">
        <f>IFERROR(INDEX('Inputs (2)'!$D$58:$AL$58,MATCH(K$7&amp;"",'Inputs (2)'!$D$2:$AL$2,0)),"")</f>
        <v>593.1</v>
      </c>
      <c r="L34" s="269">
        <f>IFERROR(INDEX('Inputs (2)'!$D$58:$AL$58,MATCH(L$7&amp;"",'Inputs (2)'!$D$2:$AL$2,0)),"")</f>
        <v>647.4</v>
      </c>
      <c r="M34" s="270">
        <f>IF(COUNT(I34:L34)=4,SUM(I34:L34),"")</f>
        <v>2212.8</v>
      </c>
      <c r="N34" s="269">
        <f>IFERROR(INDEX('Inputs (2)'!$D$58:$AL$58,MATCH(N$7&amp;"",'Inputs (2)'!$D$2:$AL$2,0)),"")</f>
        <v>488.1</v>
      </c>
      <c r="O34" s="269">
        <f>IFERROR(INDEX('Inputs (2)'!$D$58:$AL$58,MATCH(O$7&amp;"",'Inputs (2)'!$D$2:$AL$2,0)),"")</f>
        <v>606.2</v>
      </c>
      <c r="P34" s="269">
        <f>IFERROR(INDEX('Inputs (2)'!$D$58:$AL$58,MATCH(P$7&amp;"",'Inputs (2)'!$D$2:$AL$2,0)),"")</f>
        <v>679.9</v>
      </c>
      <c r="Q34" s="269">
        <f>IFERROR(INDEX('Inputs (2)'!$D$58:$AL$58,MATCH(Q$7&amp;"",'Inputs (2)'!$D$2:$AL$2,0)),"")</f>
        <v>707.8</v>
      </c>
      <c r="R34" s="270">
        <f>IF(COUNT(N34:Q34)=4,SUM(N34:Q34),"")</f>
        <v>2482</v>
      </c>
      <c r="S34" s="269">
        <f>IFERROR(INDEX('Inputs (2)'!$D$58:$AL$58,MATCH(S$7&amp;"",'Inputs (2)'!$D$2:$AL$2,0)),"")</f>
        <v>527</v>
      </c>
      <c r="T34" s="269">
        <f>IFERROR(INDEX('Inputs (2)'!$D$58:$AL$58,MATCH(T$7&amp;"",'Inputs (2)'!$D$2:$AL$2,0)),"")</f>
        <v>703.9</v>
      </c>
      <c r="U34" s="269">
        <f>IFERROR(INDEX('Inputs (2)'!$D$58:$AL$58,MATCH(U$7&amp;"",'Inputs (2)'!$D$2:$AL$2,0)),"")</f>
        <v>744.2</v>
      </c>
      <c r="V34" s="269">
        <f>IFERROR(INDEX('Inputs (2)'!$D$58:$AL$58,MATCH(V$7&amp;"",'Inputs (2)'!$D$2:$AL$2,0)),"")</f>
        <v>784.6</v>
      </c>
      <c r="W34" s="270">
        <f>IF(COUNT(S34:V34)=4,SUM(S34:V34),"")</f>
        <v>2759.7</v>
      </c>
      <c r="X34" s="269">
        <f>IFERROR(INDEX('Inputs (2)'!$D$58:$AL$58,MATCH(X$7&amp;"",'Inputs (2)'!$D$2:$AL$2,0)),"")</f>
        <v>604.1</v>
      </c>
      <c r="Y34" s="269">
        <f>IFERROR(INDEX('Inputs (2)'!$D$58:$AL$58,MATCH(Y$7&amp;"",'Inputs (2)'!$D$2:$AL$2,0)),"")</f>
        <v>824.7</v>
      </c>
      <c r="Z34" s="269">
        <f>IFERROR(INDEX('Inputs (2)'!$D$58:$AL$58,MATCH(Z$7&amp;"",'Inputs (2)'!$D$2:$AL$2,0)),"")</f>
        <v>879.6</v>
      </c>
      <c r="AA34" s="269">
        <f>IFERROR(INDEX('Inputs (2)'!$D$58:$AL$58,MATCH(AA$7&amp;"",'Inputs (2)'!$D$2:$AL$2,0)),"")</f>
        <v>952</v>
      </c>
      <c r="AB34" s="270">
        <f>IF(COUNT(X34:AA34)=4,SUM(X34:AA34),"")</f>
        <v>3260.4</v>
      </c>
      <c r="AC34" s="269">
        <f>IFERROR(INDEX('Inputs (2)'!$D$58:$AL$58,MATCH(AC$7&amp;"",'Inputs (2)'!$D$2:$AL$2,0)),"")</f>
        <v>762</v>
      </c>
      <c r="AD34" s="269">
        <f>IFERROR(INDEX('Inputs (2)'!$D$58:$AL$58,MATCH(AD$7&amp;"",'Inputs (2)'!$D$2:$AL$2,0)),"")</f>
        <v>848</v>
      </c>
      <c r="AE34" s="269">
        <f>IFERROR(INDEX('Inputs (2)'!$D$58:$AL$58,MATCH(AE$7&amp;"",'Inputs (2)'!$D$2:$AL$2,0)),"")</f>
        <v>901.5</v>
      </c>
      <c r="AF34" s="269">
        <f>IFERROR(INDEX('Inputs (2)'!$D$58:$AL$58,MATCH(AF$7&amp;"",'Inputs (2)'!$D$2:$AL$2,0)),"")</f>
        <v>1052.1</v>
      </c>
      <c r="AG34" s="270">
        <f>IF(COUNT(AC34:AF34)=4,SUM(AC34:AF34),"")</f>
        <v>3563.6</v>
      </c>
      <c r="AH34" s="270">
        <f>IFERROR(INDEX('Inputs (2)'!$D$58:$AL$58,MATCH(AH$7&amp;"",'Inputs (2)'!$D$2:$AL$2,0)),"")</f>
        <v>733</v>
      </c>
      <c r="AI34" s="270">
        <f>IFERROR(INDEX('Inputs (2)'!$D$58:$AL$58,MATCH(AI$7&amp;"",'Inputs (2)'!$D$2:$AL$2,0)),"")</f>
        <v>856</v>
      </c>
    </row>
    <row r="35">
      <c r="C35" s="268" t="inlineStr">
        <is>
          <t xml:space="preserve">   Humalog (até 2024)</t>
        </is>
      </c>
      <c r="D35" s="269" t="str">
        <f>IFERROR(INDEX('Inputs (2)'!$D$59:$AL$59,MATCH(D$7&amp;"",'Inputs (2)'!$D$2:$AL$2,0)),"")</f>
        <v/>
      </c>
      <c r="E35" s="269" t="str">
        <f>IFERROR(INDEX('Inputs (2)'!$D$59:$AL$59,MATCH(E$7&amp;"",'Inputs (2)'!$D$2:$AL$2,0)),"")</f>
        <v/>
      </c>
      <c r="F35" s="269" t="str">
        <f>IFERROR(INDEX('Inputs (2)'!$D$59:$AL$59,MATCH(F$7&amp;"",'Inputs (2)'!$D$2:$AL$2,0)),"")</f>
        <v/>
      </c>
      <c r="G35" s="269" t="str">
        <f>IFERROR(INDEX('Inputs (2)'!$D$59:$AL$59,MATCH(G$7&amp;"",'Inputs (2)'!$D$2:$AL$2,0)),"")</f>
        <v/>
      </c>
      <c r="H35" s="270" t="str">
        <f>IF(COUNT(D35:G35)=4,SUM(D35:G35),"")</f>
        <v/>
      </c>
      <c r="I35" s="269">
        <f>IFERROR(INDEX('Inputs (2)'!$D$59:$AL$59,MATCH(I$7&amp;"",'Inputs (2)'!$D$2:$AL$2,0)),"")</f>
        <v>617</v>
      </c>
      <c r="J35" s="269">
        <f>IFERROR(INDEX('Inputs (2)'!$D$59:$AL$59,MATCH(J$7&amp;"",'Inputs (2)'!$D$2:$AL$2,0)),"")</f>
        <v>607.6</v>
      </c>
      <c r="K35" s="269">
        <f>IFERROR(INDEX('Inputs (2)'!$D$59:$AL$59,MATCH(K$7&amp;"",'Inputs (2)'!$D$2:$AL$2,0)),"")</f>
        <v>626.7</v>
      </c>
      <c r="L35" s="269">
        <f>IFERROR(INDEX('Inputs (2)'!$D$59:$AL$59,MATCH(L$7&amp;"",'Inputs (2)'!$D$2:$AL$2,0)),"")</f>
        <v>601.7</v>
      </c>
      <c r="M35" s="270">
        <f>IF(COUNT(I35:L35)=4,SUM(I35:L35),"")</f>
        <v>2453</v>
      </c>
      <c r="N35" s="269">
        <f>IFERROR(INDEX('Inputs (2)'!$D$59:$AL$59,MATCH(N$7&amp;"",'Inputs (2)'!$D$2:$AL$2,0)),"")</f>
        <v>618.2</v>
      </c>
      <c r="O35" s="269">
        <f>IFERROR(INDEX('Inputs (2)'!$D$59:$AL$59,MATCH(O$7&amp;"",'Inputs (2)'!$D$2:$AL$2,0)),"")</f>
        <v>447.1</v>
      </c>
      <c r="P35" s="269">
        <f>IFERROR(INDEX('Inputs (2)'!$D$59:$AL$59,MATCH(P$7&amp;"",'Inputs (2)'!$D$2:$AL$2,0)),"")</f>
        <v>447</v>
      </c>
      <c r="Q35" s="269">
        <f>IFERROR(INDEX('Inputs (2)'!$D$59:$AL$59,MATCH(Q$7&amp;"",'Inputs (2)'!$D$2:$AL$2,0)),"")</f>
        <v>548.4</v>
      </c>
      <c r="R35" s="270">
        <f>IF(COUNT(N35:Q35)=4,SUM(N35:Q35),"")</f>
        <v>2060.7</v>
      </c>
      <c r="S35" s="269">
        <f>IFERROR(INDEX('Inputs (2)'!$D$59:$AL$59,MATCH(S$7&amp;"",'Inputs (2)'!$D$2:$AL$2,0)),"")</f>
        <v>460.9</v>
      </c>
      <c r="T35" s="269">
        <f>IFERROR(INDEX('Inputs (2)'!$D$59:$AL$59,MATCH(T$7&amp;"",'Inputs (2)'!$D$2:$AL$2,0)),"")</f>
        <v>440.4</v>
      </c>
      <c r="U35" s="269">
        <f>IFERROR(INDEX('Inputs (2)'!$D$59:$AL$59,MATCH(U$7&amp;"",'Inputs (2)'!$D$2:$AL$2,0)),"")</f>
        <v>395.4</v>
      </c>
      <c r="V35" s="269">
        <f>IFERROR(INDEX('Inputs (2)'!$D$59:$AL$59,MATCH(V$7&amp;"",'Inputs (2)'!$D$2:$AL$2,0)),"")</f>
        <v>366.6</v>
      </c>
      <c r="W35" s="270">
        <f>IF(COUNT(S35:V35)=4,SUM(S35:V35),"")</f>
        <v>1663.3</v>
      </c>
      <c r="X35" s="269">
        <f>IFERROR(INDEX('Inputs (2)'!$D$59:$AL$59,MATCH(X$7&amp;"",'Inputs (2)'!$D$2:$AL$2,0)),"")</f>
        <v>538.7</v>
      </c>
      <c r="Y35" s="269">
        <f>IFERROR(INDEX('Inputs (2)'!$D$59:$AL$59,MATCH(Y$7&amp;"",'Inputs (2)'!$D$2:$AL$2,0)),"")</f>
        <v>631.6</v>
      </c>
      <c r="Z35" s="269">
        <f>IFERROR(INDEX('Inputs (2)'!$D$59:$AL$59,MATCH(Z$7&amp;"",'Inputs (2)'!$D$2:$AL$2,0)),"")</f>
        <v>534.6</v>
      </c>
      <c r="AA35" s="269">
        <f>IFERROR(INDEX('Inputs (2)'!$D$59:$AL$59,MATCH(AA$7&amp;"",'Inputs (2)'!$D$2:$AL$2,0)),"")</f>
        <v>619.9</v>
      </c>
      <c r="AB35" s="270">
        <f>IF(COUNT(X35:AA35)=4,SUM(X35:AA35),"")</f>
        <v>2324.8</v>
      </c>
      <c r="AC35" s="269" t="str">
        <f>IFERROR(INDEX('Inputs (2)'!$D$59:$AL$59,MATCH(AC$7&amp;"",'Inputs (2)'!$D$2:$AL$2,0)),"")</f>
        <v/>
      </c>
      <c r="AD35" s="269" t="str">
        <f>IFERROR(INDEX('Inputs (2)'!$D$59:$AL$59,MATCH(AD$7&amp;"",'Inputs (2)'!$D$2:$AL$2,0)),"")</f>
        <v/>
      </c>
      <c r="AE35" s="269" t="str">
        <f>IFERROR(INDEX('Inputs (2)'!$D$59:$AL$59,MATCH(AE$7&amp;"",'Inputs (2)'!$D$2:$AL$2,0)),"")</f>
        <v/>
      </c>
      <c r="AF35" s="269" t="str">
        <f>IFERROR(INDEX('Inputs (2)'!$D$59:$AL$59,MATCH(AF$7&amp;"",'Inputs (2)'!$D$2:$AL$2,0)),"")</f>
        <v/>
      </c>
      <c r="AG35" s="270" t="str">
        <f>IF(COUNT(AC35:AF35)=4,SUM(AC35:AF35),"")</f>
        <v/>
      </c>
      <c r="AH35" s="270" t="str">
        <f>IFERROR(INDEX('Inputs (2)'!$D$59:$AL$59,MATCH(AH$7&amp;"",'Inputs (2)'!$D$2:$AL$2,0)),"")</f>
        <v/>
      </c>
      <c r="AI35" s="270" t="str">
        <f>IFERROR(INDEX('Inputs (2)'!$D$59:$AL$59,MATCH(AI$7&amp;"",'Inputs (2)'!$D$2:$AL$2,0)),"")</f>
        <v/>
      </c>
    </row>
    <row r="36"/>
    <row r="37">
      <c r="C37" s="267" t="inlineStr">
        <is>
          <t>Áreas terapêuticas (USD milhões)</t>
        </is>
      </c>
      <c r="D37" s="267">
        <f>D7</f>
        <v>0</v>
      </c>
      <c r="E37" s="267">
        <f>E7</f>
        <v>0</v>
      </c>
      <c r="F37" s="267">
        <f>F7</f>
        <v>0</v>
      </c>
      <c r="G37" s="267">
        <f>G7</f>
        <v>0</v>
      </c>
      <c r="H37" s="267">
        <f>H7</f>
        <v>2020</v>
      </c>
      <c r="I37" s="267" t="str">
        <f>I7</f>
        <v>1Q21</v>
      </c>
      <c r="J37" s="267" t="str">
        <f>J7</f>
        <v>2Q21</v>
      </c>
      <c r="K37" s="267" t="str">
        <f>K7</f>
        <v>3Q21</v>
      </c>
      <c r="L37" s="267" t="str">
        <f>L7</f>
        <v>4Q21</v>
      </c>
      <c r="M37" s="267">
        <f>M7</f>
        <v>2021</v>
      </c>
      <c r="N37" s="267" t="str">
        <f>N7</f>
        <v>1Q22</v>
      </c>
      <c r="O37" s="267" t="str">
        <f>O7</f>
        <v>2Q22</v>
      </c>
      <c r="P37" s="267" t="str">
        <f>P7</f>
        <v>3Q22</v>
      </c>
      <c r="Q37" s="267" t="str">
        <f>Q7</f>
        <v>4Q22</v>
      </c>
      <c r="R37" s="267">
        <f>R7</f>
        <v>2022</v>
      </c>
      <c r="S37" s="267" t="str">
        <f>S7</f>
        <v>1Q23</v>
      </c>
      <c r="T37" s="267" t="str">
        <f>T7</f>
        <v>2Q23</v>
      </c>
      <c r="U37" s="267" t="str">
        <f>U7</f>
        <v>3Q23</v>
      </c>
      <c r="V37" s="267" t="str">
        <f>V7</f>
        <v>4Q23</v>
      </c>
      <c r="W37" s="267">
        <f>W7</f>
        <v>2023</v>
      </c>
      <c r="X37" s="267" t="str">
        <f>X7</f>
        <v>1Q24</v>
      </c>
      <c r="Y37" s="267" t="str">
        <f>Y7</f>
        <v>2Q24</v>
      </c>
      <c r="Z37" s="267" t="str">
        <f>Z7</f>
        <v>3Q24</v>
      </c>
      <c r="AA37" s="267" t="str">
        <f>AA7</f>
        <v>4Q24</v>
      </c>
      <c r="AB37" s="267">
        <f>AB7</f>
        <v>2024</v>
      </c>
      <c r="AC37" s="267" t="str">
        <f>AC7</f>
        <v>1Q25</v>
      </c>
      <c r="AD37" s="267" t="str">
        <f>AD7</f>
        <v>2Q25</v>
      </c>
      <c r="AE37" s="267" t="str">
        <f>AE7</f>
        <v>3Q25</v>
      </c>
      <c r="AF37" s="267" t="str">
        <f>AF7</f>
        <v>4Q25</v>
      </c>
      <c r="AG37" s="267">
        <f>AG7</f>
        <v>2025</v>
      </c>
      <c r="AH37" s="267" t="str">
        <f>AH7</f>
        <v>1Q26</v>
      </c>
      <c r="AI37" s="267" t="str">
        <f>AI7</f>
        <v>2Q26</v>
      </c>
    </row>
    <row r="38">
      <c r="C38" s="268" t="inlineStr">
        <is>
          <t xml:space="preserve">   Cardiometabolic Health (até 2022: Diabetes)</t>
        </is>
      </c>
      <c r="D38" s="269" t="str">
        <f>IFERROR(INDEX('Inputs (2)'!$D$60:$AL$60,MATCH(D$7&amp;"",'Inputs (2)'!$D$2:$AL$2,0)),"")</f>
        <v/>
      </c>
      <c r="E38" s="269" t="str">
        <f>IFERROR(INDEX('Inputs (2)'!$D$60:$AL$60,MATCH(E$7&amp;"",'Inputs (2)'!$D$2:$AL$2,0)),"")</f>
        <v/>
      </c>
      <c r="F38" s="269" t="str">
        <f>IFERROR(INDEX('Inputs (2)'!$D$60:$AL$60,MATCH(F$7&amp;"",'Inputs (2)'!$D$2:$AL$2,0)),"")</f>
        <v/>
      </c>
      <c r="G38" s="269" t="str">
        <f>IFERROR(INDEX('Inputs (2)'!$D$60:$AL$60,MATCH(G$7&amp;"",'Inputs (2)'!$D$2:$AL$2,0)),"")</f>
        <v/>
      </c>
      <c r="H38" s="270" t="str">
        <f>IF(COUNT(D38:G38)=4,SUM(D38:G38),"")</f>
        <v/>
      </c>
      <c r="I38" s="269">
        <f>IFERROR(INDEX('Inputs (2)'!$D$60:$AL$60,MATCH(I$7&amp;"",'Inputs (2)'!$D$2:$AL$2,0)),"")</f>
        <v>3111.1</v>
      </c>
      <c r="J38" s="269">
        <f>IFERROR(INDEX('Inputs (2)'!$D$60:$AL$60,MATCH(J$7&amp;"",'Inputs (2)'!$D$2:$AL$2,0)),"")</f>
        <v>3175.5</v>
      </c>
      <c r="K38" s="269">
        <f>IFERROR(INDEX('Inputs (2)'!$D$60:$AL$60,MATCH(K$7&amp;"",'Inputs (2)'!$D$2:$AL$2,0)),"")</f>
        <v>3274.1</v>
      </c>
      <c r="L38" s="269">
        <f>IFERROR(INDEX('Inputs (2)'!$D$60:$AL$60,MATCH(L$7&amp;"",'Inputs (2)'!$D$2:$AL$2,0)),"")</f>
        <v>3627.5</v>
      </c>
      <c r="M38" s="270">
        <f>IF(COUNT(I38:L38)=4,SUM(I38:L38),"")</f>
        <v>13188.2</v>
      </c>
      <c r="N38" s="269">
        <f>IFERROR(INDEX('Inputs (2)'!$D$60:$AL$60,MATCH(N$7&amp;"",'Inputs (2)'!$D$2:$AL$2,0)),"")</f>
        <v>3388.2</v>
      </c>
      <c r="O38" s="269">
        <f>IFERROR(INDEX('Inputs (2)'!$D$60:$AL$60,MATCH(O$7&amp;"",'Inputs (2)'!$D$2:$AL$2,0)),"")</f>
        <v>3438.2</v>
      </c>
      <c r="P38" s="269">
        <f>IFERROR(INDEX('Inputs (2)'!$D$60:$AL$60,MATCH(P$7&amp;"",'Inputs (2)'!$D$2:$AL$2,0)),"")</f>
        <v>3662.6</v>
      </c>
      <c r="Q38" s="269">
        <f>IFERROR(INDEX('Inputs (2)'!$D$60:$AL$60,MATCH(Q$7&amp;"",'Inputs (2)'!$D$2:$AL$2,0)),"")</f>
        <v>3975.9</v>
      </c>
      <c r="R38" s="270">
        <f>IF(COUNT(N38:Q38)=4,SUM(N38:Q38),"")</f>
        <v>14464.9</v>
      </c>
      <c r="S38" s="269">
        <f>IFERROR(INDEX('Inputs (2)'!$D$60:$AL$60,MATCH(S$7&amp;"",'Inputs (2)'!$D$2:$AL$2,0)),"")</f>
        <v>4190.4</v>
      </c>
      <c r="T38" s="269">
        <f>IFERROR(INDEX('Inputs (2)'!$D$60:$AL$60,MATCH(T$7&amp;"",'Inputs (2)'!$D$2:$AL$2,0)),"")</f>
        <v>5010.9</v>
      </c>
      <c r="U38" s="269">
        <f>IFERROR(INDEX('Inputs (2)'!$D$60:$AL$60,MATCH(U$7&amp;"",'Inputs (2)'!$D$2:$AL$2,0)),"")</f>
        <v>4720.4</v>
      </c>
      <c r="V38" s="269">
        <f>IFERROR(INDEX('Inputs (2)'!$D$60:$AL$60,MATCH(V$7&amp;"",'Inputs (2)'!$D$2:$AL$2,0)),"")</f>
        <v>5746</v>
      </c>
      <c r="W38" s="270">
        <f>IF(COUNT(S38:V38)=4,SUM(S38:V38),"")</f>
        <v>19667.7</v>
      </c>
      <c r="X38" s="269">
        <f>IFERROR(INDEX('Inputs (2)'!$D$60:$AL$60,MATCH(X$7&amp;"",'Inputs (2)'!$D$2:$AL$2,0)),"")</f>
        <v>5493</v>
      </c>
      <c r="Y38" s="269">
        <f>IFERROR(INDEX('Inputs (2)'!$D$60:$AL$60,MATCH(Y$7&amp;"",'Inputs (2)'!$D$2:$AL$2,0)),"")</f>
        <v>7514.6</v>
      </c>
      <c r="Z38" s="269">
        <f>IFERROR(INDEX('Inputs (2)'!$D$60:$AL$60,MATCH(Z$7&amp;"",'Inputs (2)'!$D$2:$AL$2,0)),"")</f>
        <v>7407</v>
      </c>
      <c r="AA38" s="269">
        <f>IFERROR(INDEX('Inputs (2)'!$D$60:$AL$60,MATCH(AA$7&amp;"",'Inputs (2)'!$D$2:$AL$2,0)),"")</f>
        <v>9106.3</v>
      </c>
      <c r="AB38" s="270">
        <f>IF(COUNT(X38:AA38)=4,SUM(X38:AA38),"")</f>
        <v>29520.9</v>
      </c>
      <c r="AC38" s="269">
        <f>IFERROR(INDEX('Inputs (2)'!$D$60:$AL$60,MATCH(AC$7&amp;"",'Inputs (2)'!$D$2:$AL$2,0)),"")</f>
        <v>9208</v>
      </c>
      <c r="AD38" s="269">
        <f>IFERROR(INDEX('Inputs (2)'!$D$60:$AL$60,MATCH(AD$7&amp;"",'Inputs (2)'!$D$2:$AL$2,0)),"")</f>
        <v>11343</v>
      </c>
      <c r="AE38" s="269">
        <f>IFERROR(INDEX('Inputs (2)'!$D$60:$AL$60,MATCH(AE$7&amp;"",'Inputs (2)'!$D$2:$AL$2,0)),"")</f>
        <v>13177.9</v>
      </c>
      <c r="AF38" s="269">
        <f>IFERROR(INDEX('Inputs (2)'!$D$60:$AL$60,MATCH(AF$7&amp;"",'Inputs (2)'!$D$2:$AL$2,0)),"")</f>
        <v>14492.2</v>
      </c>
      <c r="AG38" s="270">
        <f>IF(COUNT(AC38:AF38)=4,SUM(AC38:AF38),"")</f>
        <v>48221.1</v>
      </c>
      <c r="AH38" s="270">
        <f>IFERROR(INDEX('Inputs (2)'!$D$60:$AL$60,MATCH(AH$7&amp;"",'Inputs (2)'!$D$2:$AL$2,0)),"")</f>
        <v>15760</v>
      </c>
      <c r="AI38" s="270">
        <f>IFERROR(INDEX('Inputs (2)'!$D$60:$AL$60,MATCH(AI$7&amp;"",'Inputs (2)'!$D$2:$AL$2,0)),"")</f>
        <v>18353</v>
      </c>
    </row>
    <row r="39">
      <c r="C39" s="268" t="inlineStr">
        <is>
          <t xml:space="preserve">   Oncologia</t>
        </is>
      </c>
      <c r="D39" s="269" t="str">
        <f>IFERROR(INDEX('Inputs (2)'!$D$61:$AL$61,MATCH(D$7&amp;"",'Inputs (2)'!$D$2:$AL$2,0)),"")</f>
        <v/>
      </c>
      <c r="E39" s="269" t="str">
        <f>IFERROR(INDEX('Inputs (2)'!$D$61:$AL$61,MATCH(E$7&amp;"",'Inputs (2)'!$D$2:$AL$2,0)),"")</f>
        <v/>
      </c>
      <c r="F39" s="269" t="str">
        <f>IFERROR(INDEX('Inputs (2)'!$D$61:$AL$61,MATCH(F$7&amp;"",'Inputs (2)'!$D$2:$AL$2,0)),"")</f>
        <v/>
      </c>
      <c r="G39" s="269" t="str">
        <f>IFERROR(INDEX('Inputs (2)'!$D$61:$AL$61,MATCH(G$7&amp;"",'Inputs (2)'!$D$2:$AL$2,0)),"")</f>
        <v/>
      </c>
      <c r="H39" s="270" t="str">
        <f>IF(COUNT(D39:G39)=4,SUM(D39:G39),"")</f>
        <v/>
      </c>
      <c r="I39" s="269">
        <f>IFERROR(INDEX('Inputs (2)'!$D$61:$AL$61,MATCH(I$7&amp;"",'Inputs (2)'!$D$2:$AL$2,0)),"")</f>
        <v>1372.2</v>
      </c>
      <c r="J39" s="269">
        <f>IFERROR(INDEX('Inputs (2)'!$D$61:$AL$61,MATCH(J$7&amp;"",'Inputs (2)'!$D$2:$AL$2,0)),"")</f>
        <v>1554</v>
      </c>
      <c r="K39" s="269">
        <f>IFERROR(INDEX('Inputs (2)'!$D$61:$AL$61,MATCH(K$7&amp;"",'Inputs (2)'!$D$2:$AL$2,0)),"")</f>
        <v>1406.1</v>
      </c>
      <c r="L39" s="269">
        <f>IFERROR(INDEX('Inputs (2)'!$D$61:$AL$61,MATCH(L$7&amp;"",'Inputs (2)'!$D$2:$AL$2,0)),"")</f>
        <v>1408.9</v>
      </c>
      <c r="M39" s="270">
        <f>IF(COUNT(I39:L39)=4,SUM(I39:L39),"")</f>
        <v>5741.2</v>
      </c>
      <c r="N39" s="269">
        <f>IFERROR(INDEX('Inputs (2)'!$D$61:$AL$61,MATCH(N$7&amp;"",'Inputs (2)'!$D$2:$AL$2,0)),"")</f>
        <v>1353</v>
      </c>
      <c r="O39" s="269">
        <f>IFERROR(INDEX('Inputs (2)'!$D$61:$AL$61,MATCH(O$7&amp;"",'Inputs (2)'!$D$2:$AL$2,0)),"")</f>
        <v>1368.7</v>
      </c>
      <c r="P39" s="269">
        <f>IFERROR(INDEX('Inputs (2)'!$D$61:$AL$61,MATCH(P$7&amp;"",'Inputs (2)'!$D$2:$AL$2,0)),"")</f>
        <v>1293.3</v>
      </c>
      <c r="Q39" s="269">
        <f>IFERROR(INDEX('Inputs (2)'!$D$61:$AL$61,MATCH(Q$7&amp;"",'Inputs (2)'!$D$2:$AL$2,0)),"")</f>
        <v>1651.2</v>
      </c>
      <c r="R39" s="270">
        <f>IF(COUNT(N39:Q39)=4,SUM(N39:Q39),"")</f>
        <v>5666.2</v>
      </c>
      <c r="S39" s="269">
        <f>IFERROR(INDEX('Inputs (2)'!$D$61:$AL$61,MATCH(S$7&amp;"",'Inputs (2)'!$D$2:$AL$2,0)),"")</f>
        <v>1356</v>
      </c>
      <c r="T39" s="269">
        <f>IFERROR(INDEX('Inputs (2)'!$D$61:$AL$61,MATCH(T$7&amp;"",'Inputs (2)'!$D$2:$AL$2,0)),"")</f>
        <v>1671</v>
      </c>
      <c r="U39" s="269">
        <f>IFERROR(INDEX('Inputs (2)'!$D$61:$AL$61,MATCH(U$7&amp;"",'Inputs (2)'!$D$2:$AL$2,0)),"")</f>
        <v>1747.1</v>
      </c>
      <c r="V39" s="269">
        <f>IFERROR(INDEX('Inputs (2)'!$D$61:$AL$61,MATCH(V$7&amp;"",'Inputs (2)'!$D$2:$AL$2,0)),"")</f>
        <v>1884.2</v>
      </c>
      <c r="W39" s="270">
        <f>IF(COUNT(S39:V39)=4,SUM(S39:V39),"")</f>
        <v>6658.3</v>
      </c>
      <c r="X39" s="269">
        <f>IFERROR(INDEX('Inputs (2)'!$D$61:$AL$61,MATCH(X$7&amp;"",'Inputs (2)'!$D$2:$AL$2,0)),"")</f>
        <v>1810</v>
      </c>
      <c r="Y39" s="269">
        <f>IFERROR(INDEX('Inputs (2)'!$D$61:$AL$61,MATCH(Y$7&amp;"",'Inputs (2)'!$D$2:$AL$2,0)),"")</f>
        <v>2158.7</v>
      </c>
      <c r="Z39" s="269">
        <f>IFERROR(INDEX('Inputs (2)'!$D$61:$AL$61,MATCH(Z$7&amp;"",'Inputs (2)'!$D$2:$AL$2,0)),"")</f>
        <v>2231.8</v>
      </c>
      <c r="AA39" s="269">
        <f>IFERROR(INDEX('Inputs (2)'!$D$61:$AL$61,MATCH(AA$7&amp;"",'Inputs (2)'!$D$2:$AL$2,0)),"")</f>
        <v>2551.9</v>
      </c>
      <c r="AB39" s="270">
        <f>IF(COUNT(X39:AA39)=4,SUM(X39:AA39),"")</f>
        <v>8752.4</v>
      </c>
      <c r="AC39" s="269">
        <f>IFERROR(INDEX('Inputs (2)'!$D$61:$AL$61,MATCH(AC$7&amp;"",'Inputs (2)'!$D$2:$AL$2,0)),"")</f>
        <v>1948</v>
      </c>
      <c r="AD39" s="269">
        <f>IFERROR(INDEX('Inputs (2)'!$D$61:$AL$61,MATCH(AD$7&amp;"",'Inputs (2)'!$D$2:$AL$2,0)),"")</f>
        <v>2414</v>
      </c>
      <c r="AE39" s="269">
        <f>IFERROR(INDEX('Inputs (2)'!$D$61:$AL$61,MATCH(AE$7&amp;"",'Inputs (2)'!$D$2:$AL$2,0)),"")</f>
        <v>2407.6</v>
      </c>
      <c r="AF39" s="269">
        <f>IFERROR(INDEX('Inputs (2)'!$D$61:$AL$61,MATCH(AF$7&amp;"",'Inputs (2)'!$D$2:$AL$2,0)),"")</f>
        <v>2607.3</v>
      </c>
      <c r="AG39" s="270">
        <f>IF(COUNT(AC39:AF39)=4,SUM(AC39:AF39),"")</f>
        <v>9376.9</v>
      </c>
      <c r="AH39" s="270">
        <f>IFERROR(INDEX('Inputs (2)'!$D$61:$AL$61,MATCH(AH$7&amp;"",'Inputs (2)'!$D$2:$AL$2,0)),"")</f>
        <v>2268</v>
      </c>
      <c r="AI39" s="270">
        <f>IFERROR(INDEX('Inputs (2)'!$D$61:$AL$61,MATCH(AI$7&amp;"",'Inputs (2)'!$D$2:$AL$2,0)),"")</f>
        <v>2570</v>
      </c>
    </row>
    <row r="40">
      <c r="C40" s="268" t="inlineStr">
        <is>
          <t xml:space="preserve">   Imunologia</t>
        </is>
      </c>
      <c r="D40" s="269" t="str">
        <f>IFERROR(INDEX('Inputs (2)'!$D$62:$AL$62,MATCH(D$7&amp;"",'Inputs (2)'!$D$2:$AL$2,0)),"")</f>
        <v/>
      </c>
      <c r="E40" s="269" t="str">
        <f>IFERROR(INDEX('Inputs (2)'!$D$62:$AL$62,MATCH(E$7&amp;"",'Inputs (2)'!$D$2:$AL$2,0)),"")</f>
        <v/>
      </c>
      <c r="F40" s="269" t="str">
        <f>IFERROR(INDEX('Inputs (2)'!$D$62:$AL$62,MATCH(F$7&amp;"",'Inputs (2)'!$D$2:$AL$2,0)),"")</f>
        <v/>
      </c>
      <c r="G40" s="269" t="str">
        <f>IFERROR(INDEX('Inputs (2)'!$D$62:$AL$62,MATCH(G$7&amp;"",'Inputs (2)'!$D$2:$AL$2,0)),"")</f>
        <v/>
      </c>
      <c r="H40" s="270" t="str">
        <f>IF(COUNT(D40:G40)=4,SUM(D40:G40),"")</f>
        <v/>
      </c>
      <c r="I40" s="269">
        <f>IFERROR(INDEX('Inputs (2)'!$D$62:$AL$62,MATCH(I$7&amp;"",'Inputs (2)'!$D$2:$AL$2,0)),"")</f>
        <v>613.9</v>
      </c>
      <c r="J40" s="269">
        <f>IFERROR(INDEX('Inputs (2)'!$D$62:$AL$62,MATCH(J$7&amp;"",'Inputs (2)'!$D$2:$AL$2,0)),"")</f>
        <v>785.4</v>
      </c>
      <c r="K40" s="269">
        <f>IFERROR(INDEX('Inputs (2)'!$D$62:$AL$62,MATCH(K$7&amp;"",'Inputs (2)'!$D$2:$AL$2,0)),"")</f>
        <v>1004.9</v>
      </c>
      <c r="L40" s="269">
        <f>IFERROR(INDEX('Inputs (2)'!$D$62:$AL$62,MATCH(L$7&amp;"",'Inputs (2)'!$D$2:$AL$2,0)),"")</f>
        <v>956.6</v>
      </c>
      <c r="M40" s="270">
        <f>IF(COUNT(I40:L40)=4,SUM(I40:L40),"")</f>
        <v>3360.8</v>
      </c>
      <c r="N40" s="269">
        <f>IFERROR(INDEX('Inputs (2)'!$D$62:$AL$62,MATCH(N$7&amp;"",'Inputs (2)'!$D$2:$AL$2,0)),"")</f>
        <v>748.1</v>
      </c>
      <c r="O40" s="269">
        <f>IFERROR(INDEX('Inputs (2)'!$D$62:$AL$62,MATCH(O$7&amp;"",'Inputs (2)'!$D$2:$AL$2,0)),"")</f>
        <v>796.5</v>
      </c>
      <c r="P40" s="269">
        <f>IFERROR(INDEX('Inputs (2)'!$D$62:$AL$62,MATCH(P$7&amp;"",'Inputs (2)'!$D$2:$AL$2,0)),"")</f>
        <v>866.4</v>
      </c>
      <c r="Q40" s="269">
        <f>IFERROR(INDEX('Inputs (2)'!$D$62:$AL$62,MATCH(Q$7&amp;"",'Inputs (2)'!$D$2:$AL$2,0)),"")</f>
        <v>933.5</v>
      </c>
      <c r="R40" s="270">
        <f>IF(COUNT(N40:Q40)=4,SUM(N40:Q40),"")</f>
        <v>3344.5</v>
      </c>
      <c r="S40" s="269">
        <f>IFERROR(INDEX('Inputs (2)'!$D$62:$AL$62,MATCH(S$7&amp;"",'Inputs (2)'!$D$2:$AL$2,0)),"")</f>
        <v>777.8</v>
      </c>
      <c r="T40" s="269">
        <f>IFERROR(INDEX('Inputs (2)'!$D$62:$AL$62,MATCH(T$7&amp;"",'Inputs (2)'!$D$2:$AL$2,0)),"")</f>
        <v>928.5</v>
      </c>
      <c r="U40" s="269">
        <f>IFERROR(INDEX('Inputs (2)'!$D$62:$AL$62,MATCH(U$7&amp;"",'Inputs (2)'!$D$2:$AL$2,0)),"")</f>
        <v>986.9</v>
      </c>
      <c r="V40" s="269">
        <f>IFERROR(INDEX('Inputs (2)'!$D$62:$AL$62,MATCH(V$7&amp;"",'Inputs (2)'!$D$2:$AL$2,0)),"")</f>
        <v>1104.3</v>
      </c>
      <c r="W40" s="270">
        <f>IF(COUNT(S40:V40)=4,SUM(S40:V40),"")</f>
        <v>3797.5</v>
      </c>
      <c r="X40" s="269">
        <f>IFERROR(INDEX('Inputs (2)'!$D$62:$AL$62,MATCH(X$7&amp;"",'Inputs (2)'!$D$2:$AL$2,0)),"")</f>
        <v>834</v>
      </c>
      <c r="Y40" s="269">
        <f>IFERROR(INDEX('Inputs (2)'!$D$62:$AL$62,MATCH(Y$7&amp;"",'Inputs (2)'!$D$2:$AL$2,0)),"")</f>
        <v>1082.4</v>
      </c>
      <c r="Z40" s="269">
        <f>IFERROR(INDEX('Inputs (2)'!$D$62:$AL$62,MATCH(Z$7&amp;"",'Inputs (2)'!$D$2:$AL$2,0)),"")</f>
        <v>1185.7</v>
      </c>
      <c r="AA40" s="269">
        <f>IFERROR(INDEX('Inputs (2)'!$D$62:$AL$62,MATCH(AA$7&amp;"",'Inputs (2)'!$D$2:$AL$2,0)),"")</f>
        <v>1290.9</v>
      </c>
      <c r="AB40" s="270">
        <f>IF(COUNT(X40:AA40)=4,SUM(X40:AA40),"")</f>
        <v>4393</v>
      </c>
      <c r="AC40" s="269">
        <f>IFERROR(INDEX('Inputs (2)'!$D$62:$AL$62,MATCH(AC$7&amp;"",'Inputs (2)'!$D$2:$AL$2,0)),"")</f>
        <v>1088</v>
      </c>
      <c r="AD40" s="269">
        <f>IFERROR(INDEX('Inputs (2)'!$D$62:$AL$62,MATCH(AD$7&amp;"",'Inputs (2)'!$D$2:$AL$2,0)),"")</f>
        <v>1256</v>
      </c>
      <c r="AE40" s="269">
        <f>IFERROR(INDEX('Inputs (2)'!$D$62:$AL$62,MATCH(AE$7&amp;"",'Inputs (2)'!$D$2:$AL$2,0)),"")</f>
        <v>1362.4</v>
      </c>
      <c r="AF40" s="269">
        <f>IFERROR(INDEX('Inputs (2)'!$D$62:$AL$62,MATCH(AF$7&amp;"",'Inputs (2)'!$D$2:$AL$2,0)),"")</f>
        <v>1541</v>
      </c>
      <c r="AG40" s="270">
        <f>IF(COUNT(AC40:AF40)=4,SUM(AC40:AF40),"")</f>
        <v>5247.4</v>
      </c>
      <c r="AH40" s="270">
        <f>IFERROR(INDEX('Inputs (2)'!$D$62:$AL$62,MATCH(AH$7&amp;"",'Inputs (2)'!$D$2:$AL$2,0)),"")</f>
        <v>1203</v>
      </c>
      <c r="AI40" s="270">
        <f>IFERROR(INDEX('Inputs (2)'!$D$62:$AL$62,MATCH(AI$7&amp;"",'Inputs (2)'!$D$2:$AL$2,0)),"")</f>
        <v>1417</v>
      </c>
    </row>
    <row r="41">
      <c r="C41" s="268" t="inlineStr">
        <is>
          <t xml:space="preserve">   Neurociência</t>
        </is>
      </c>
      <c r="D41" s="269" t="str">
        <f>IFERROR(INDEX('Inputs (2)'!$D$63:$AL$63,MATCH(D$7&amp;"",'Inputs (2)'!$D$2:$AL$2,0)),"")</f>
        <v/>
      </c>
      <c r="E41" s="269" t="str">
        <f>IFERROR(INDEX('Inputs (2)'!$D$63:$AL$63,MATCH(E$7&amp;"",'Inputs (2)'!$D$2:$AL$2,0)),"")</f>
        <v/>
      </c>
      <c r="F41" s="269" t="str">
        <f>IFERROR(INDEX('Inputs (2)'!$D$63:$AL$63,MATCH(F$7&amp;"",'Inputs (2)'!$D$2:$AL$2,0)),"")</f>
        <v/>
      </c>
      <c r="G41" s="269" t="str">
        <f>IFERROR(INDEX('Inputs (2)'!$D$63:$AL$63,MATCH(G$7&amp;"",'Inputs (2)'!$D$2:$AL$2,0)),"")</f>
        <v/>
      </c>
      <c r="H41" s="270" t="str">
        <f>IF(COUNT(D41:G41)=4,SUM(D41:G41),"")</f>
        <v/>
      </c>
      <c r="I41" s="269">
        <f>IFERROR(INDEX('Inputs (2)'!$D$63:$AL$63,MATCH(I$7&amp;"",'Inputs (2)'!$D$2:$AL$2,0)),"")</f>
        <v>465.4</v>
      </c>
      <c r="J41" s="269">
        <f>IFERROR(INDEX('Inputs (2)'!$D$63:$AL$63,MATCH(J$7&amp;"",'Inputs (2)'!$D$2:$AL$2,0)),"")</f>
        <v>512.2</v>
      </c>
      <c r="K41" s="269">
        <f>IFERROR(INDEX('Inputs (2)'!$D$63:$AL$63,MATCH(K$7&amp;"",'Inputs (2)'!$D$2:$AL$2,0)),"")</f>
        <v>450.2</v>
      </c>
      <c r="L41" s="269">
        <f>IFERROR(INDEX('Inputs (2)'!$D$63:$AL$63,MATCH(L$7&amp;"",'Inputs (2)'!$D$2:$AL$2,0)),"")</f>
        <v>470.7</v>
      </c>
      <c r="M41" s="270">
        <f>IF(COUNT(I41:L41)=4,SUM(I41:L41),"")</f>
        <v>1898.5</v>
      </c>
      <c r="N41" s="269">
        <f>IFERROR(INDEX('Inputs (2)'!$D$63:$AL$63,MATCH(N$7&amp;"",'Inputs (2)'!$D$2:$AL$2,0)),"")</f>
        <v>397.7</v>
      </c>
      <c r="O41" s="269">
        <f>IFERROR(INDEX('Inputs (2)'!$D$63:$AL$63,MATCH(O$7&amp;"",'Inputs (2)'!$D$2:$AL$2,0)),"")</f>
        <v>389.9</v>
      </c>
      <c r="P41" s="269">
        <f>IFERROR(INDEX('Inputs (2)'!$D$63:$AL$63,MATCH(P$7&amp;"",'Inputs (2)'!$D$2:$AL$2,0)),"")</f>
        <v>373.2</v>
      </c>
      <c r="Q41" s="269">
        <f>IFERROR(INDEX('Inputs (2)'!$D$63:$AL$63,MATCH(Q$7&amp;"",'Inputs (2)'!$D$2:$AL$2,0)),"")</f>
        <v>385.3</v>
      </c>
      <c r="R41" s="270">
        <f>IF(COUNT(N41:Q41)=4,SUM(N41:Q41),"")</f>
        <v>1546.1</v>
      </c>
      <c r="S41" s="269">
        <f>IFERROR(INDEX('Inputs (2)'!$D$63:$AL$63,MATCH(S$7&amp;"",'Inputs (2)'!$D$2:$AL$2,0)),"")</f>
        <v>360.5</v>
      </c>
      <c r="T41" s="269">
        <f>IFERROR(INDEX('Inputs (2)'!$D$63:$AL$63,MATCH(T$7&amp;"",'Inputs (2)'!$D$2:$AL$2,0)),"")</f>
        <v>387.2</v>
      </c>
      <c r="U41" s="269">
        <f>IFERROR(INDEX('Inputs (2)'!$D$63:$AL$63,MATCH(U$7&amp;"",'Inputs (2)'!$D$2:$AL$2,0)),"")</f>
        <v>1768.1</v>
      </c>
      <c r="V41" s="269">
        <f>IFERROR(INDEX('Inputs (2)'!$D$63:$AL$63,MATCH(V$7&amp;"",'Inputs (2)'!$D$2:$AL$2,0)),"")</f>
        <v>362.7</v>
      </c>
      <c r="W41" s="270">
        <f>IF(COUNT(S41:V41)=4,SUM(S41:V41),"")</f>
        <v>2878.5</v>
      </c>
      <c r="X41" s="269">
        <f>IFERROR(INDEX('Inputs (2)'!$D$63:$AL$63,MATCH(X$7&amp;"",'Inputs (2)'!$D$2:$AL$2,0)),"")</f>
        <v>389.1</v>
      </c>
      <c r="Y41" s="269">
        <f>IFERROR(INDEX('Inputs (2)'!$D$63:$AL$63,MATCH(Y$7&amp;"",'Inputs (2)'!$D$2:$AL$2,0)),"")</f>
        <v>339.5</v>
      </c>
      <c r="Z41" s="269">
        <f>IFERROR(INDEX('Inputs (2)'!$D$63:$AL$63,MATCH(Z$7&amp;"",'Inputs (2)'!$D$2:$AL$2,0)),"")</f>
        <v>351.8</v>
      </c>
      <c r="AA41" s="269">
        <f>IFERROR(INDEX('Inputs (2)'!$D$63:$AL$63,MATCH(AA$7&amp;"",'Inputs (2)'!$D$2:$AL$2,0)),"")</f>
        <v>393</v>
      </c>
      <c r="AB41" s="270">
        <f>IF(COUNT(X41:AA41)=4,SUM(X41:AA41),"")</f>
        <v>1473.4</v>
      </c>
      <c r="AC41" s="269">
        <f>IFERROR(INDEX('Inputs (2)'!$D$63:$AL$63,MATCH(AC$7&amp;"",'Inputs (2)'!$D$2:$AL$2,0)),"")</f>
        <v>272</v>
      </c>
      <c r="AD41" s="269">
        <f>IFERROR(INDEX('Inputs (2)'!$D$63:$AL$63,MATCH(AD$7&amp;"",'Inputs (2)'!$D$2:$AL$2,0)),"")</f>
        <v>344</v>
      </c>
      <c r="AE41" s="269">
        <f>IFERROR(INDEX('Inputs (2)'!$D$63:$AL$63,MATCH(AE$7&amp;"",'Inputs (2)'!$D$2:$AL$2,0)),"")</f>
        <v>315.7</v>
      </c>
      <c r="AF41" s="269">
        <f>IFERROR(INDEX('Inputs (2)'!$D$63:$AL$63,MATCH(AF$7&amp;"",'Inputs (2)'!$D$2:$AL$2,0)),"")</f>
        <v>459.2</v>
      </c>
      <c r="AG41" s="270">
        <f>IF(COUNT(AC41:AF41)=4,SUM(AC41:AF41),"")</f>
        <v>1390.9</v>
      </c>
      <c r="AH41" s="270">
        <f>IFERROR(INDEX('Inputs (2)'!$D$63:$AL$63,MATCH(AH$7&amp;"",'Inputs (2)'!$D$2:$AL$2,0)),"")</f>
        <v>382</v>
      </c>
      <c r="AI41" s="270">
        <f>IFERROR(INDEX('Inputs (2)'!$D$63:$AL$63,MATCH(AI$7&amp;"",'Inputs (2)'!$D$2:$AL$2,0)),"")</f>
        <v>429</v>
      </c>
    </row>
    <row r="42">
      <c r="C42" s="268" t="inlineStr">
        <is>
          <t xml:space="preserve">   % YoY Cardiometabolic</t>
        </is>
      </c>
      <c r="D42" s="272" t="str">
        <f>""</f>
        <v/>
      </c>
      <c r="E42" s="272" t="str">
        <f>""</f>
        <v/>
      </c>
      <c r="F42" s="272" t="str">
        <f>""</f>
        <v/>
      </c>
      <c r="G42" s="272" t="str">
        <f>""</f>
        <v/>
      </c>
      <c r="H42" s="273" t="str">
        <f>""</f>
        <v/>
      </c>
      <c r="I42" s="272" t="str">
        <f>IFERROR(I38/D38-1,"")</f>
        <v/>
      </c>
      <c r="J42" s="272" t="str">
        <f>IFERROR(J38/E38-1,"")</f>
        <v/>
      </c>
      <c r="K42" s="272" t="str">
        <f>IFERROR(K38/F38-1,"")</f>
        <v/>
      </c>
      <c r="L42" s="272" t="str">
        <f>IFERROR(L38/G38-1,"")</f>
        <v/>
      </c>
      <c r="M42" s="273" t="str">
        <f>IFERROR(M38/H38-1,"")</f>
        <v/>
      </c>
      <c r="N42" s="272">
        <f>IFERROR(N38/I38-1,"")</f>
        <v>0.089068175243483</v>
      </c>
      <c r="O42" s="272">
        <f>IFERROR(O38/J38-1,"")</f>
        <v>0.082727129585892</v>
      </c>
      <c r="P42" s="272">
        <f>IFERROR(P38/K38-1,"")</f>
        <v>0.11865856265844</v>
      </c>
      <c r="Q42" s="272">
        <f>IFERROR(Q38/L38-1,"")</f>
        <v>0.0960441075120606</v>
      </c>
      <c r="R42" s="273">
        <f>IFERROR(R38/M38-1,"")</f>
        <v>0.0968062358775268</v>
      </c>
      <c r="S42" s="272">
        <f>IFERROR(S38/N38-1,"")</f>
        <v>0.236762882946697</v>
      </c>
      <c r="T42" s="272">
        <f>IFERROR(T38/O38-1,"")</f>
        <v>0.457419580012797</v>
      </c>
      <c r="U42" s="272">
        <f>IFERROR(U38/P38-1,"")</f>
        <v>0.288811226997215</v>
      </c>
      <c r="V42" s="272">
        <f>IFERROR(V38/Q38-1,"")</f>
        <v>0.445207374430946</v>
      </c>
      <c r="W42" s="273">
        <f>IFERROR(W38/R38-1,"")</f>
        <v>0.359684477597495</v>
      </c>
      <c r="X42" s="272">
        <f>IFERROR(X38/S38-1,"")</f>
        <v>0.310853379152348</v>
      </c>
      <c r="Y42" s="272">
        <f>IFERROR(Y38/T38-1,"")</f>
        <v>0.499650761340278</v>
      </c>
      <c r="Z42" s="272">
        <f>IFERROR(Z38/U38-1,"")</f>
        <v>0.569146682484535</v>
      </c>
      <c r="AA42" s="272">
        <f>IFERROR(AA38/V38-1,"")</f>
        <v>0.584806822137139</v>
      </c>
      <c r="AB42" s="273">
        <f>IFERROR(AB38/W38-1,"")</f>
        <v>0.500983846611449</v>
      </c>
      <c r="AC42" s="272">
        <f>IFERROR(AC38/X38-1,"")</f>
        <v>0.676315310395048</v>
      </c>
      <c r="AD42" s="272">
        <f>IFERROR(AD38/Y38-1,"")</f>
        <v>0.509461581454768</v>
      </c>
      <c r="AE42" s="272">
        <f>IFERROR(AE38/Z38-1,"")</f>
        <v>0.779114351289321</v>
      </c>
      <c r="AF42" s="272">
        <f>IFERROR(AF38/AA38-1,"")</f>
        <v>0.591447679079319</v>
      </c>
      <c r="AG42" s="273">
        <f>IFERROR(AG38/AB38-1,"")</f>
        <v>0.633456297064114</v>
      </c>
      <c r="AH42" s="273">
        <f>IFERROR(AH38/AC38-1,"")</f>
        <v>0.711555169417897</v>
      </c>
      <c r="AI42" s="273">
        <f>IFERROR(AI38/AD38-1,"")</f>
        <v>0.618002292162567</v>
      </c>
    </row>
    <row r="43"/>
    <row r="44"/>
    <row r="45"/>
    <row r="46"/>
    <row r="47" hidden="1" outlineLevel="1" customFormat="1" s="43">
      <c r="A47" s="36" t="n"/>
      <c r="B47" s="37" t="n"/>
      <c r="C47" s="45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  <c r="BC47" s="39" t="n"/>
      <c r="BD47" s="39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39" t="n"/>
      <c r="BQ47" s="39" t="n"/>
      <c r="BR47" s="39" t="n"/>
      <c r="BS47" s="39" t="n"/>
      <c r="BT47" s="39" t="n"/>
      <c r="BU47" s="39" t="n"/>
      <c r="BV47" s="39" t="n"/>
      <c r="BW47" s="39" t="n"/>
      <c r="BX47" s="39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39" t="n"/>
      <c r="CH47" s="39" t="n"/>
      <c r="CI47" s="39" t="n"/>
      <c r="CJ47" s="39" t="n"/>
      <c r="CK47" s="39" t="n"/>
      <c r="CL47" s="39" t="n"/>
      <c r="CM47" s="39" t="n"/>
      <c r="CN47" s="39" t="n"/>
      <c r="CO47" s="39" t="n"/>
      <c r="CP47" s="39" t="n"/>
      <c r="CQ47" s="39" t="n"/>
      <c r="CR47" s="39" t="n"/>
      <c r="CS47" s="39" t="n"/>
      <c r="CT47" s="39" t="n"/>
      <c r="CU47" s="39" t="n"/>
      <c r="CV47" s="39" t="n"/>
      <c r="CW47" s="39" t="n"/>
      <c r="CX47" s="39" t="n"/>
      <c r="CY47" s="39" t="n"/>
    </row>
    <row r="48" hidden="1" outlineLevel="1" customFormat="1" s="43">
      <c r="A48" s="36" t="n"/>
      <c r="B48" s="37" t="n"/>
      <c r="C48" s="45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  <c r="BC48" s="39" t="n"/>
      <c r="BD48" s="39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39" t="n"/>
      <c r="BQ48" s="39" t="n"/>
      <c r="BR48" s="39" t="n"/>
      <c r="BS48" s="39" t="n"/>
      <c r="BT48" s="39" t="n"/>
      <c r="BU48" s="39" t="n"/>
      <c r="BV48" s="39" t="n"/>
      <c r="BW48" s="39" t="n"/>
      <c r="BX48" s="39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39" t="n"/>
      <c r="CH48" s="39" t="n"/>
      <c r="CI48" s="39" t="n"/>
      <c r="CJ48" s="39" t="n"/>
      <c r="CK48" s="39" t="n"/>
      <c r="CL48" s="39" t="n"/>
      <c r="CM48" s="39" t="n"/>
      <c r="CN48" s="39" t="n"/>
      <c r="CO48" s="39" t="n"/>
      <c r="CP48" s="39" t="n"/>
      <c r="CQ48" s="39" t="n"/>
      <c r="CR48" s="39" t="n"/>
      <c r="CS48" s="39" t="n"/>
      <c r="CT48" s="39" t="n"/>
      <c r="CU48" s="39" t="n"/>
      <c r="CV48" s="39" t="n"/>
      <c r="CW48" s="39" t="n"/>
      <c r="CX48" s="39" t="n"/>
      <c r="CY48" s="39" t="n"/>
    </row>
    <row r="49" collapsed="1">
      <c r="C49" s="13" t="inlineStr">
        <is>
          <t>COGS (cash)</t>
        </is>
      </c>
      <c r="D49" s="46" t="n"/>
      <c r="E49" s="46" t="n"/>
      <c r="F49" s="46" t="n"/>
      <c r="G49" s="46" t="n"/>
      <c r="H49" s="12" t="n"/>
      <c r="I49" s="46">
        <f>'Inputs (2)'!D5</f>
        <v>-1878.6</v>
      </c>
      <c r="J49" s="46">
        <f>'Inputs (2)'!E5</f>
        <v>-1953.2</v>
      </c>
      <c r="K49" s="46">
        <f>'Inputs (2)'!F5</f>
        <v>-1430.8</v>
      </c>
      <c r="L49" s="46">
        <f>'Inputs (2)'!G5</f>
        <v>-2050.2</v>
      </c>
      <c r="M49" s="12">
        <f>'Inputs (2)'!H5</f>
        <v>-7312.8</v>
      </c>
      <c r="N49" s="46">
        <f>'Inputs (2)'!I5</f>
        <v>-2072.1</v>
      </c>
      <c r="O49" s="46">
        <f>'Inputs (2)'!J5</f>
        <v>-1430.5</v>
      </c>
      <c r="P49" s="46">
        <f>'Inputs (2)'!K5</f>
        <v>-1579.1</v>
      </c>
      <c r="Q49" s="46">
        <f>'Inputs (2)'!L5</f>
        <v>-1548.1</v>
      </c>
      <c r="R49" s="12">
        <f>'Inputs (2)'!M5</f>
        <v>-6629.8</v>
      </c>
      <c r="S49" s="46">
        <f>'Inputs (2)'!N5</f>
        <v>-1626.7</v>
      </c>
      <c r="T49" s="46">
        <f>'Inputs (2)'!O5</f>
        <v>-1807.4</v>
      </c>
      <c r="U49" s="46">
        <f>'Inputs (2)'!P5</f>
        <v>-1860.1</v>
      </c>
      <c r="V49" s="46">
        <f>'Inputs (2)'!Q5</f>
        <v>-1788</v>
      </c>
      <c r="W49" s="12">
        <f>'Inputs (2)'!R5</f>
        <v>-7082.2</v>
      </c>
      <c r="X49" s="46">
        <f>'Inputs (2)'!S5</f>
        <v>-1673.5</v>
      </c>
      <c r="Y49" s="46">
        <f>'Inputs (2)'!T5</f>
        <v>-2170.2</v>
      </c>
      <c r="Z49" s="46">
        <f>'Inputs (2)'!U5</f>
        <v>-2170.8</v>
      </c>
      <c r="AA49" s="46">
        <f>'Inputs (2)'!V5</f>
        <v>-2403.8</v>
      </c>
      <c r="AB49" s="12">
        <f>'Inputs (2)'!W5</f>
        <v>-8418.3</v>
      </c>
      <c r="AC49" s="46">
        <f>'Inputs (2)'!X5</f>
        <v>-2225</v>
      </c>
      <c r="AD49" s="46">
        <f>'Inputs (2)'!Y5</f>
        <v>-2448</v>
      </c>
      <c r="AE49" s="46">
        <f>'Inputs (2)'!Z5</f>
        <v>-3008.3</v>
      </c>
      <c r="AF49" s="46">
        <f>'Inputs (2)'!AA5</f>
        <v>-3371.7</v>
      </c>
      <c r="AG49" s="12">
        <f>'Inputs (2)'!AB5</f>
        <v>-11053</v>
      </c>
      <c r="AH49" s="12">
        <f>'Inputs (2)'!AC5</f>
        <v>-3577</v>
      </c>
      <c r="AI49" s="12">
        <f>'Inputs (2)'!AD5</f>
        <v>-3268</v>
      </c>
      <c r="AJ49" s="12">
        <f>-(1-AJ50)*AJ15</f>
        <v>-4317.6473962455</v>
      </c>
      <c r="AK49" s="12">
        <f>-(1-AK50)*AK15</f>
        <v>-4732.51520205719</v>
      </c>
      <c r="AL49" s="12">
        <f>SUM(AH49:AK49)</f>
        <v>-15895.1625983027</v>
      </c>
      <c r="AM49" s="12">
        <f>-(1-AM50)*AM15</f>
        <v>-4856.88723229993</v>
      </c>
      <c r="AN49" s="12">
        <f>-(1-AN50)*AN15</f>
        <v>-5635.74560709422</v>
      </c>
      <c r="AO49" s="12">
        <f>-(1-AO50)*AO15</f>
        <v>-6350.21443789602</v>
      </c>
      <c r="AP49" s="12">
        <f>-(1-AP50)*AP15</f>
        <v>-6960.38458114915</v>
      </c>
      <c r="AQ49" s="12">
        <f>SUM(AM49:AP49)</f>
        <v>-23803.2318584393</v>
      </c>
      <c r="AR49" s="12">
        <f>-(1-AR50)*AR15</f>
        <v>-7119.02130311758</v>
      </c>
      <c r="AS49" s="12">
        <f>-(1-AS50)*AS15</f>
        <v>-8260.6391947989</v>
      </c>
      <c r="AT49" s="12">
        <f>-(1-AT50)*AT15</f>
        <v>-9307.87759742554</v>
      </c>
      <c r="AU49" s="12">
        <f>-(1-AU50)*AU15</f>
        <v>-10202.2393646615</v>
      </c>
      <c r="AV49" s="12">
        <f>SUM(AR49:AU49)</f>
        <v>-34889.7774600035</v>
      </c>
      <c r="AW49" s="12">
        <f>-(1-AW50)*AW15</f>
        <v>-10399.1673020493</v>
      </c>
      <c r="AX49" s="12">
        <f>-(1-AX50)*AX15</f>
        <v>-12066.7947672751</v>
      </c>
      <c r="AY49" s="12">
        <f>-(1-AY50)*AY15</f>
        <v>-13596.5566390757</v>
      </c>
      <c r="AZ49" s="12">
        <f>-(1-AZ50)*AZ15</f>
        <v>-14903.0027431167</v>
      </c>
      <c r="BA49" s="12">
        <f>SUM(AW49:AZ49)</f>
        <v>-50965.5214515168</v>
      </c>
      <c r="BB49" s="12">
        <f>-(1-BB50)*BB15</f>
        <v>-15138.6709660533</v>
      </c>
      <c r="BC49" s="12">
        <f>-(1-BC50)*BC15</f>
        <v>-17566.3329852068</v>
      </c>
      <c r="BD49" s="12">
        <f>-(1-BD50)*BD15</f>
        <v>-19793.2960641678</v>
      </c>
      <c r="BE49" s="12">
        <f>-(1-BE50)*BE15</f>
        <v>-21695.1654282717</v>
      </c>
      <c r="BF49" s="12">
        <f>SUM(BB49:BE49)</f>
        <v>-74193.4654436996</v>
      </c>
      <c r="BG49" s="12" t="n"/>
      <c r="BH49" s="12" t="n"/>
      <c r="BI49" s="12" t="n"/>
      <c r="BJ49" s="12" t="n"/>
      <c r="BK49" s="12" t="n"/>
      <c r="BL49" s="12" t="n"/>
      <c r="BM49" s="12" t="n"/>
      <c r="BN49" s="12" t="n"/>
      <c r="BO49" s="12" t="n"/>
      <c r="BP49" s="12" t="n"/>
      <c r="BQ49" s="12" t="n"/>
      <c r="BR49" s="12" t="n"/>
      <c r="BS49" s="12" t="n"/>
      <c r="BT49" s="12" t="n"/>
      <c r="BU49" s="12" t="n"/>
      <c r="BV49" s="12" t="n"/>
      <c r="BW49" s="12" t="n"/>
      <c r="BX49" s="12" t="n"/>
      <c r="BY49" s="12" t="n"/>
      <c r="BZ49" s="12" t="n"/>
      <c r="CA49" s="12" t="n"/>
      <c r="CB49" s="12" t="n"/>
      <c r="CC49" s="12" t="n"/>
      <c r="CD49" s="12" t="n"/>
      <c r="CE49" s="12" t="n"/>
      <c r="CF49" s="12" t="n"/>
      <c r="CG49" s="12" t="n"/>
      <c r="CH49" s="12" t="n"/>
      <c r="CI49" s="12" t="n"/>
      <c r="CJ49" s="12" t="n"/>
      <c r="CK49" s="12" t="n"/>
      <c r="CL49" s="12" t="n"/>
      <c r="CM49" s="12" t="n"/>
      <c r="CN49" s="12" t="n"/>
      <c r="CO49" s="12" t="n"/>
      <c r="CP49" s="12" t="n"/>
      <c r="CQ49" s="12" t="n"/>
      <c r="CR49" s="12" t="n"/>
      <c r="CS49" s="12" t="n"/>
      <c r="CT49" s="12" t="n"/>
      <c r="CU49" s="12" t="n"/>
      <c r="CV49" s="12" t="n"/>
      <c r="CW49" s="12" t="n"/>
      <c r="CX49" s="12" t="n"/>
      <c r="CY49" s="12" t="n"/>
    </row>
    <row r="50" hidden="1" outlineLevel="1" customFormat="1" s="3">
      <c r="C50" s="47" t="inlineStr">
        <is>
          <t>% Gross Margin</t>
        </is>
      </c>
      <c r="D50" s="48" t="n"/>
      <c r="E50" s="48" t="n"/>
      <c r="F50" s="48" t="n"/>
      <c r="G50" s="48" t="n"/>
      <c r="H50" s="48" t="n"/>
      <c r="I50" s="48">
        <f>IFERROR((I15+I49)/I$15,"")</f>
        <v>0.723962619019631</v>
      </c>
      <c r="J50" s="48">
        <f>IFERROR((J15+J49)/J$15,"")</f>
        <v>0.710212014658536</v>
      </c>
      <c r="K50" s="48">
        <f>IFERROR((K15+K49)/K$15,"")</f>
        <v>0.788743208126624</v>
      </c>
      <c r="L50" s="48">
        <f>IFERROR((L15+L49)/L$15,"")</f>
        <v>0.743721796522457</v>
      </c>
      <c r="M50" s="48">
        <f>IFERROR((M15+M49)/M$15,"")</f>
        <v>0.741765071472965</v>
      </c>
      <c r="N50" s="48">
        <f>IFERROR((N15+N49)/N$15,"")</f>
        <v>0.734686299615877</v>
      </c>
      <c r="O50" s="48">
        <f>IFERROR((O15+O49)/O$15,"")</f>
        <v>0.779516029593095</v>
      </c>
      <c r="P50" s="48">
        <f>IFERROR((P15+P49)/P$15,"")</f>
        <v>0.772516422726749</v>
      </c>
      <c r="Q50" s="48">
        <f>IFERROR((Q15+Q49)/Q$15,"")</f>
        <v>0.787983784820181</v>
      </c>
      <c r="R50" s="48">
        <f>IFERROR((R15+R49)/R$15,"")</f>
        <v>0.7677128662224</v>
      </c>
      <c r="S50" s="48">
        <f>IFERROR((S15+S49)/S$15,"")</f>
        <v>0.766278735632184</v>
      </c>
      <c r="T50" s="48">
        <f>IFERROR((T15+T49)/T$15,"")</f>
        <v>0.782557957676159</v>
      </c>
      <c r="U50" s="48">
        <f>IFERROR((U15+U49)/U$15,"")</f>
        <v>0.804171141010254</v>
      </c>
      <c r="V50" s="48">
        <f>IFERROR((V15+V49)/V$15,"")</f>
        <v>0.808839566360896</v>
      </c>
      <c r="W50" s="48">
        <f>IFERROR((W15+W49)/W$15,"")</f>
        <v>0.792457530015444</v>
      </c>
      <c r="X50" s="48">
        <f>IFERROR((X15+X49)/X$15,"")</f>
        <v>0.80913549270073</v>
      </c>
      <c r="Y50" s="48">
        <f>IFERROR((Y15+Y49)/Y$15,"")</f>
        <v>0.807994479244081</v>
      </c>
      <c r="Z50" s="48">
        <f>IFERROR((Z15+Z49)/Z$15,"")</f>
        <v>0.810229825773007</v>
      </c>
      <c r="AA50" s="48">
        <f>IFERROR((AA15+AA49)/AA$15,"")</f>
        <v>0.822372310238827</v>
      </c>
      <c r="AB50" s="48">
        <f>IFERROR((AB15+AB49)/AB$15,"")</f>
        <v>0.813104010194771</v>
      </c>
      <c r="AC50" s="48">
        <f>IFERROR((AC15+AC49)/AC$15,"")</f>
        <v>0.825202293974389</v>
      </c>
      <c r="AD50" s="48">
        <f>IFERROR((AD15+AD49)/AD$15,"")</f>
        <v>0.84265329733899</v>
      </c>
      <c r="AE50" s="48">
        <f>IFERROR((AE15+AE49)/AE$15,"")</f>
        <v>0.829081632653061</v>
      </c>
      <c r="AF50" s="41">
        <f>IFERROR((AF15+AF49)/AF$15,"")</f>
        <v>0.82522807381298</v>
      </c>
      <c r="AG50" s="48">
        <f>IFERROR((AG15+AG49)/AG$15,"")</f>
        <v>0.830422922439161</v>
      </c>
      <c r="AH50" s="49">
        <f>IFERROR((AH15+AH49)/AH$15,"")</f>
        <v>0.819334309813627</v>
      </c>
      <c r="AI50" s="49">
        <f>IFERROR((AI15+AI49)/AI$15,"")</f>
        <v>0.85775224166449</v>
      </c>
      <c r="AJ50" s="49">
        <f>Control!$B$19</f>
        <v>0.833208641542923</v>
      </c>
      <c r="AK50" s="49">
        <f>Control!$B$19</f>
        <v>0.833208641542923</v>
      </c>
      <c r="AL50" s="48">
        <f>IFERROR((AL15+AL49)/AL$15,"")</f>
        <v>0.836188716784661</v>
      </c>
      <c r="AM50" s="49">
        <f>Control!$C$19</f>
        <v>0.833208641542923</v>
      </c>
      <c r="AN50" s="49">
        <f>Control!$C$19</f>
        <v>0.833208641542923</v>
      </c>
      <c r="AO50" s="49">
        <f>Control!$C$19</f>
        <v>0.833208641542923</v>
      </c>
      <c r="AP50" s="49">
        <f>Control!$C$19</f>
        <v>0.833208641542923</v>
      </c>
      <c r="AQ50" s="48">
        <f>IFERROR((AQ15+AQ49)/AQ$15,"")</f>
        <v>0.833208641542923</v>
      </c>
      <c r="AR50" s="49">
        <f>Control!$D$19</f>
        <v>0.833208641542923</v>
      </c>
      <c r="AS50" s="49">
        <f>Control!$D$19</f>
        <v>0.833208641542923</v>
      </c>
      <c r="AT50" s="49">
        <f>Control!$D$19</f>
        <v>0.833208641542923</v>
      </c>
      <c r="AU50" s="49">
        <f>Control!$D$19</f>
        <v>0.833208641542923</v>
      </c>
      <c r="AV50" s="48">
        <f>IFERROR((AV15+AV49)/AV$15,"")</f>
        <v>0.833208641542923</v>
      </c>
      <c r="AW50" s="49">
        <f>Control!$E$19</f>
        <v>0.833208641542923</v>
      </c>
      <c r="AX50" s="49">
        <f>Control!$E$19</f>
        <v>0.833208641542923</v>
      </c>
      <c r="AY50" s="49">
        <f>Control!$E$19</f>
        <v>0.833208641542923</v>
      </c>
      <c r="AZ50" s="49">
        <f>Control!$E$19</f>
        <v>0.833208641542923</v>
      </c>
      <c r="BA50" s="48">
        <f>IFERROR((BA15+BA49)/BA$15,"")</f>
        <v>0.833208641542923</v>
      </c>
      <c r="BB50" s="49">
        <f>Control!$F$19</f>
        <v>0.833208641542923</v>
      </c>
      <c r="BC50" s="49">
        <f>Control!$F$19</f>
        <v>0.833208641542923</v>
      </c>
      <c r="BD50" s="49">
        <f>Control!$F$19</f>
        <v>0.833208641542923</v>
      </c>
      <c r="BE50" s="49">
        <f>Control!$F$19</f>
        <v>0.833208641542923</v>
      </c>
      <c r="BF50" s="48">
        <f>IFERROR((BF15+BF49)/BF$15,"")</f>
        <v>0.833208641542923</v>
      </c>
      <c r="BG50" s="49" t="n"/>
      <c r="BH50" s="49" t="n"/>
      <c r="BI50" s="49" t="n"/>
      <c r="BJ50" s="49" t="n"/>
      <c r="BK50" s="48" t="n"/>
      <c r="BL50" s="49" t="n"/>
      <c r="BM50" s="49" t="n"/>
      <c r="BN50" s="49" t="n"/>
      <c r="BO50" s="49" t="n"/>
      <c r="BP50" s="48" t="n"/>
      <c r="BQ50" s="49" t="n"/>
      <c r="BR50" s="49" t="n"/>
      <c r="BS50" s="49" t="n"/>
      <c r="BT50" s="49" t="n"/>
      <c r="BU50" s="48" t="n"/>
      <c r="BV50" s="49" t="n"/>
      <c r="BW50" s="49" t="n"/>
      <c r="BX50" s="49" t="n"/>
      <c r="BY50" s="49" t="n"/>
      <c r="BZ50" s="48" t="n"/>
      <c r="CA50" s="49" t="n"/>
      <c r="CB50" s="49" t="n"/>
      <c r="CC50" s="49" t="n"/>
      <c r="CD50" s="49" t="n"/>
      <c r="CE50" s="48" t="n"/>
      <c r="CF50" s="49" t="n"/>
      <c r="CG50" s="49" t="n"/>
      <c r="CH50" s="49" t="n"/>
      <c r="CI50" s="49" t="n"/>
      <c r="CJ50" s="48" t="n"/>
      <c r="CK50" s="49" t="n"/>
      <c r="CL50" s="49" t="n"/>
      <c r="CM50" s="49" t="n"/>
      <c r="CN50" s="49" t="n"/>
      <c r="CO50" s="48" t="n"/>
      <c r="CP50" s="49" t="n"/>
      <c r="CQ50" s="49" t="n"/>
      <c r="CR50" s="49" t="n"/>
      <c r="CS50" s="49" t="n"/>
      <c r="CT50" s="48" t="n"/>
      <c r="CU50" s="49" t="n"/>
      <c r="CV50" s="49" t="n"/>
      <c r="CW50" s="49" t="n"/>
      <c r="CX50" s="49" t="n"/>
      <c r="CY50" s="48" t="n"/>
    </row>
    <row r="51" hidden="1" outlineLevel="1"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</row>
    <row r="52" hidden="1" outlineLevel="1"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collapsed="1">
      <c r="C53" s="13" t="inlineStr">
        <is>
          <t>SG&amp;A and Other (cash)</t>
        </is>
      </c>
      <c r="D53" s="46" t="n"/>
      <c r="E53" s="46" t="n"/>
      <c r="F53" s="46" t="n"/>
      <c r="G53" s="46" t="n"/>
      <c r="H53" s="12" t="n"/>
      <c r="I53" s="46">
        <f>'Inputs (2)'!D6</f>
        <v>-4576.7</v>
      </c>
      <c r="J53" s="46">
        <f>'Inputs (2)'!E6</f>
        <v>-4417.6</v>
      </c>
      <c r="K53" s="46">
        <f>'Inputs (2)'!F6</f>
        <v>-4959.7</v>
      </c>
      <c r="L53" s="46">
        <f>'Inputs (2)'!G6</f>
        <v>-5504</v>
      </c>
      <c r="M53" s="12">
        <f>'Inputs (2)'!H6</f>
        <v>-19458</v>
      </c>
      <c r="N53" s="46">
        <f>'Inputs (2)'!I6</f>
        <v>-5302.2</v>
      </c>
      <c r="O53" s="46">
        <f>'Inputs (2)'!J6</f>
        <v>-4708.6</v>
      </c>
      <c r="P53" s="46">
        <f>'Inputs (2)'!K6</f>
        <v>-4999.6</v>
      </c>
      <c r="Q53" s="46">
        <f>'Inputs (2)'!L6</f>
        <v>-5378.7</v>
      </c>
      <c r="R53" s="12">
        <f>'Inputs (2)'!M6</f>
        <v>-20389.1</v>
      </c>
      <c r="S53" s="46">
        <f>'Inputs (2)'!N6</f>
        <v>-4971</v>
      </c>
      <c r="T53" s="46">
        <f>'Inputs (2)'!O6</f>
        <v>-6138.4</v>
      </c>
      <c r="U53" s="46">
        <f>'Inputs (2)'!P6</f>
        <v>-7227.5</v>
      </c>
      <c r="V53" s="46">
        <f>'Inputs (2)'!Q6</f>
        <v>-7177.7</v>
      </c>
      <c r="W53" s="12">
        <f>'Inputs (2)'!R6</f>
        <v>-25514.6</v>
      </c>
      <c r="X53" s="46">
        <f>'Inputs (2)'!S6</f>
        <v>-6693.9</v>
      </c>
      <c r="Y53" s="46">
        <f>'Inputs (2)'!T6</f>
        <v>-8718.2</v>
      </c>
      <c r="Z53" s="46">
        <f>'Inputs (2)'!U6</f>
        <v>-8801.5</v>
      </c>
      <c r="AA53" s="46">
        <f>'Inputs (2)'!V6</f>
        <v>-10644.2</v>
      </c>
      <c r="AB53" s="12">
        <f>'Inputs (2)'!W6</f>
        <v>-34857.8</v>
      </c>
      <c r="AC53" s="46">
        <f>'Inputs (2)'!X6</f>
        <v>-10041.2</v>
      </c>
      <c r="AD53" s="46">
        <f>'Inputs (2)'!Y6</f>
        <v>-12631.5</v>
      </c>
      <c r="AE53" s="46">
        <f>'Inputs (2)'!Z6</f>
        <v>-14122.5</v>
      </c>
      <c r="AF53" s="46">
        <f>'Inputs (2)'!AA6</f>
        <v>-15334.6</v>
      </c>
      <c r="AG53" s="12">
        <f>'Inputs (2)'!AB6</f>
        <v>-52129.8</v>
      </c>
      <c r="AH53" s="12">
        <f>'Inputs (2)'!AC6</f>
        <v>-15713</v>
      </c>
      <c r="AI53" s="12">
        <f>'Inputs (2)'!AD6</f>
        <v>-19172</v>
      </c>
      <c r="AJ53" s="12">
        <f>-AJ15*AJ54</f>
        <v>-20821.9192246952</v>
      </c>
      <c r="AK53" s="12">
        <f>-AK15*AK54</f>
        <v>-22822.6254308225</v>
      </c>
      <c r="AL53" s="12">
        <f>SUM(AH53:AK53)</f>
        <v>-78529.5446555177</v>
      </c>
      <c r="AM53" s="12">
        <f>-AM15*AM54</f>
        <v>-23422.4114091258</v>
      </c>
      <c r="AN53" s="12">
        <f>-AN15*AN54</f>
        <v>-27178.4675848909</v>
      </c>
      <c r="AO53" s="12">
        <f>-AO15*AO54</f>
        <v>-30624.0042205258</v>
      </c>
      <c r="AP53" s="12">
        <f>-AP15*AP54</f>
        <v>-33566.5588735957</v>
      </c>
      <c r="AQ53" s="12">
        <f>SUM(AM53:AP53)</f>
        <v>-114791.442088138</v>
      </c>
      <c r="AR53" s="12">
        <f>-AR15*AR54</f>
        <v>-34331.5868408562</v>
      </c>
      <c r="AS53" s="12">
        <f>-AS15*AS54</f>
        <v>-39837.0562190934</v>
      </c>
      <c r="AT53" s="12">
        <f>-AT15*AT54</f>
        <v>-44887.3790980418</v>
      </c>
      <c r="AU53" s="12">
        <f>-AU15*AU54</f>
        <v>-49200.4521135075</v>
      </c>
      <c r="AV53" s="12">
        <f>SUM(AR53:AU53)</f>
        <v>-168256.474271499</v>
      </c>
      <c r="AW53" s="12">
        <f>-AW15*AW54</f>
        <v>-50150.1400405348</v>
      </c>
      <c r="AX53" s="12">
        <f>-AX15*AX54</f>
        <v>-58192.2984641268</v>
      </c>
      <c r="AY53" s="12">
        <f>-AY15*AY54</f>
        <v>-65569.5979989031</v>
      </c>
      <c r="AZ53" s="12">
        <f>-AZ15*AZ54</f>
        <v>-71869.9538995294</v>
      </c>
      <c r="BA53" s="12">
        <f>SUM(AW53:AZ53)</f>
        <v>-245781.990403094</v>
      </c>
      <c r="BB53" s="12">
        <f>-BB15*BB54</f>
        <v>-73006.4674337473</v>
      </c>
      <c r="BC53" s="12">
        <f>-BC15*BC54</f>
        <v>-84713.9038750902</v>
      </c>
      <c r="BD53" s="12">
        <f>-BD15*BD54</f>
        <v>-95453.4666719103</v>
      </c>
      <c r="BE53" s="12">
        <f>-BE15*BE54</f>
        <v>-104625.260160589</v>
      </c>
      <c r="BF53" s="12">
        <f>SUM(BB53:BE53)</f>
        <v>-357799.098141337</v>
      </c>
      <c r="BG53" s="12" t="n"/>
      <c r="BH53" s="12" t="n"/>
      <c r="BI53" s="12" t="n"/>
      <c r="BJ53" s="12" t="n"/>
      <c r="BK53" s="12" t="n"/>
      <c r="BL53" s="12" t="n"/>
      <c r="BM53" s="12" t="n"/>
      <c r="BN53" s="12" t="n"/>
      <c r="BO53" s="12" t="n"/>
      <c r="BP53" s="12" t="n"/>
      <c r="BQ53" s="12" t="n"/>
      <c r="BR53" s="12" t="n"/>
      <c r="BS53" s="12" t="n"/>
      <c r="BT53" s="12" t="n"/>
      <c r="BU53" s="12" t="n"/>
      <c r="BV53" s="12" t="n"/>
      <c r="BW53" s="12" t="n"/>
      <c r="BX53" s="12" t="n"/>
      <c r="BY53" s="12" t="n"/>
      <c r="BZ53" s="12" t="n"/>
      <c r="CA53" s="12" t="n"/>
      <c r="CB53" s="12" t="n"/>
      <c r="CC53" s="12" t="n"/>
      <c r="CD53" s="12" t="n"/>
      <c r="CE53" s="12" t="n"/>
      <c r="CF53" s="12" t="n"/>
      <c r="CG53" s="12" t="n"/>
      <c r="CH53" s="12" t="n"/>
      <c r="CI53" s="12" t="n"/>
      <c r="CJ53" s="12" t="n"/>
      <c r="CK53" s="12" t="n"/>
      <c r="CL53" s="12" t="n"/>
      <c r="CM53" s="12" t="n"/>
      <c r="CN53" s="12" t="n"/>
      <c r="CO53" s="12" t="n"/>
      <c r="CP53" s="12" t="n"/>
      <c r="CQ53" s="12" t="n"/>
      <c r="CR53" s="12" t="n"/>
      <c r="CS53" s="12" t="n"/>
      <c r="CT53" s="12" t="n"/>
      <c r="CU53" s="12" t="n"/>
      <c r="CV53" s="12" t="n"/>
      <c r="CW53" s="12" t="n"/>
      <c r="CX53" s="12" t="n"/>
      <c r="CY53" s="12" t="n"/>
    </row>
    <row r="54" hidden="1" outlineLevel="1">
      <c r="C54" s="38" t="inlineStr">
        <is>
          <t>% SG&amp;A and Other Margin</t>
        </is>
      </c>
      <c r="D54" s="51" t="n"/>
      <c r="E54" s="51" t="n"/>
      <c r="F54" s="51" t="n"/>
      <c r="G54" s="51" t="n"/>
      <c r="H54" s="51" t="n"/>
      <c r="I54" s="51">
        <f>IFERROR(-(I53/I$15),"")</f>
        <v>0.67249030210415</v>
      </c>
      <c r="J54" s="51">
        <f>IFERROR(-(J53/J$15),"")</f>
        <v>0.655420542721918</v>
      </c>
      <c r="K54" s="51">
        <f>IFERROR(-(K53/K$15),"")</f>
        <v>0.732296834396409</v>
      </c>
      <c r="L54" s="51">
        <f>IFERROR(-(L53/L$15),"")</f>
        <v>0.688008600107501</v>
      </c>
      <c r="M54" s="51">
        <f>IFERROR(-(M53/M$15),"")</f>
        <v>0.687115091248093</v>
      </c>
      <c r="N54" s="51">
        <f>IFERROR(-(N53/N$15),"")</f>
        <v>0.678898847631242</v>
      </c>
      <c r="O54" s="51">
        <f>IFERROR(-(O53/O$15),"")</f>
        <v>0.725739827373613</v>
      </c>
      <c r="P54" s="51">
        <f>IFERROR(-(P53/P$15),"")</f>
        <v>0.720237409242826</v>
      </c>
      <c r="Q54" s="51">
        <f>IFERROR(-(Q53/Q$15),"")</f>
        <v>0.736626585225561</v>
      </c>
      <c r="R54" s="51">
        <f>IFERROR(-(R53/R$15),"")</f>
        <v>0.714369302136546</v>
      </c>
      <c r="S54" s="51">
        <f>IFERROR(-(S53/S$15),"")</f>
        <v>0.714224137931035</v>
      </c>
      <c r="T54" s="51">
        <f>IFERROR(-(T53/T$15),"")</f>
        <v>0.738489671683449</v>
      </c>
      <c r="U54" s="51">
        <f>IFERROR(-(U53/U$15),"")</f>
        <v>0.760901606552545</v>
      </c>
      <c r="V54" s="51">
        <f>IFERROR(-(V53/V$15),"")</f>
        <v>0.767389398507495</v>
      </c>
      <c r="W54" s="51">
        <f>IFERROR(-(W53/W$15),"")</f>
        <v>0.747700305649087</v>
      </c>
      <c r="X54" s="51">
        <f>IFERROR(-(X53/X$15),"")</f>
        <v>0.763446624087591</v>
      </c>
      <c r="Y54" s="51">
        <f>IFERROR(-(Y53/Y$15),"")</f>
        <v>0.771330997628906</v>
      </c>
      <c r="Z54" s="51">
        <f>IFERROR(-(Z53/Z$15),"")</f>
        <v>0.769422419595947</v>
      </c>
      <c r="AA54" s="51">
        <f>IFERROR(-(AA53/AA$15),"")</f>
        <v>0.786548238354221</v>
      </c>
      <c r="AB54" s="51">
        <f>IFERROR(-(AB53/AB$15),"")</f>
        <v>0.773883448372322</v>
      </c>
      <c r="AC54" s="51">
        <f>IFERROR(-(AC53/AC$15),"")</f>
        <v>0.788844371121062</v>
      </c>
      <c r="AD54" s="51">
        <f>IFERROR(-(AD53/AD$15),"")</f>
        <v>0.811897416120324</v>
      </c>
      <c r="AE54" s="51">
        <f>IFERROR(-(AE53/AE$15),"")</f>
        <v>0.802378300986319</v>
      </c>
      <c r="AF54" s="41">
        <f>IFERROR(-(AF53/AF$15),"")</f>
        <v>0.794868339207962</v>
      </c>
      <c r="AG54" s="51">
        <f>IFERROR(-(AG53/AG$15),"")</f>
        <v>0.799784595841043</v>
      </c>
      <c r="AH54" s="52">
        <f>IFERROR(-(AH53/AH$15),"")</f>
        <v>0.793625940704076</v>
      </c>
      <c r="AI54" s="52">
        <f>IFERROR(-(AI53/AI$15),"")</f>
        <v>0.834508574910769</v>
      </c>
      <c r="AJ54" s="52">
        <f>Control!$B$20</f>
        <v>0.804353823841752</v>
      </c>
      <c r="AK54" s="52">
        <f>Control!$B$20</f>
        <v>0.804353823841752</v>
      </c>
      <c r="AL54" s="51">
        <f>IFERROR(-(AL53/AL$15),"")</f>
        <v>0.809304428361762</v>
      </c>
      <c r="AM54" s="52">
        <f>Control!$C$20</f>
        <v>0.804353823841752</v>
      </c>
      <c r="AN54" s="52">
        <f>Control!$C$20</f>
        <v>0.804353823841752</v>
      </c>
      <c r="AO54" s="52">
        <f>Control!$C$20</f>
        <v>0.804353823841752</v>
      </c>
      <c r="AP54" s="52">
        <f>Control!$C$20</f>
        <v>0.804353823841752</v>
      </c>
      <c r="AQ54" s="51">
        <f>IFERROR(-(AQ53/AQ$15),"")</f>
        <v>0.804353823841752</v>
      </c>
      <c r="AR54" s="52">
        <f>Control!$D$20</f>
        <v>0.804353823841752</v>
      </c>
      <c r="AS54" s="52">
        <f>Control!$D$20</f>
        <v>0.804353823841752</v>
      </c>
      <c r="AT54" s="52">
        <f>Control!$D$20</f>
        <v>0.804353823841752</v>
      </c>
      <c r="AU54" s="52">
        <f>Control!$D$20</f>
        <v>0.804353823841752</v>
      </c>
      <c r="AV54" s="51">
        <f>IFERROR(-(AV53/AV$15),"")</f>
        <v>0.804353823841752</v>
      </c>
      <c r="AW54" s="52">
        <f>Control!$E$20</f>
        <v>0.804353823841752</v>
      </c>
      <c r="AX54" s="52">
        <f>Control!$E$20</f>
        <v>0.804353823841752</v>
      </c>
      <c r="AY54" s="52">
        <f>Control!$E$20</f>
        <v>0.804353823841752</v>
      </c>
      <c r="AZ54" s="52">
        <f>Control!$E$20</f>
        <v>0.804353823841752</v>
      </c>
      <c r="BA54" s="51">
        <f>IFERROR(-(BA53/BA$15),"")</f>
        <v>0.804353823841752</v>
      </c>
      <c r="BB54" s="52">
        <f>Control!$F$20</f>
        <v>0.804353823841752</v>
      </c>
      <c r="BC54" s="52">
        <f>Control!$F$20</f>
        <v>0.804353823841752</v>
      </c>
      <c r="BD54" s="52">
        <f>Control!$F$20</f>
        <v>0.804353823841752</v>
      </c>
      <c r="BE54" s="52">
        <f>Control!$F$20</f>
        <v>0.804353823841752</v>
      </c>
      <c r="BF54" s="51">
        <f>IFERROR(-(BF53/BF$15),"")</f>
        <v>0.804353823841752</v>
      </c>
      <c r="BG54" s="52" t="n"/>
      <c r="BH54" s="52" t="n"/>
      <c r="BI54" s="52" t="n"/>
      <c r="BJ54" s="52" t="n"/>
      <c r="BK54" s="51" t="n"/>
      <c r="BL54" s="52" t="n"/>
      <c r="BM54" s="52" t="n"/>
      <c r="BN54" s="52" t="n"/>
      <c r="BO54" s="52" t="n"/>
      <c r="BP54" s="51" t="n"/>
      <c r="BQ54" s="52" t="n"/>
      <c r="BR54" s="52" t="n"/>
      <c r="BS54" s="52" t="n"/>
      <c r="BT54" s="52" t="n"/>
      <c r="BU54" s="51" t="n"/>
      <c r="BV54" s="52" t="n"/>
      <c r="BW54" s="52" t="n"/>
      <c r="BX54" s="52" t="n"/>
      <c r="BY54" s="52" t="n"/>
      <c r="BZ54" s="51" t="n"/>
      <c r="CA54" s="52" t="n"/>
      <c r="CB54" s="52" t="n"/>
      <c r="CC54" s="52" t="n"/>
      <c r="CD54" s="52" t="n"/>
      <c r="CE54" s="51" t="n"/>
      <c r="CF54" s="52" t="n"/>
      <c r="CG54" s="52" t="n"/>
      <c r="CH54" s="52" t="n"/>
      <c r="CI54" s="52" t="n"/>
      <c r="CJ54" s="51" t="n"/>
      <c r="CK54" s="52" t="n"/>
      <c r="CL54" s="52" t="n"/>
      <c r="CM54" s="52" t="n"/>
      <c r="CN54" s="52" t="n"/>
      <c r="CO54" s="51" t="n"/>
      <c r="CP54" s="52" t="n"/>
      <c r="CQ54" s="52" t="n"/>
      <c r="CR54" s="52" t="n"/>
      <c r="CS54" s="52" t="n"/>
      <c r="CT54" s="51" t="n"/>
      <c r="CU54" s="52" t="n"/>
      <c r="CV54" s="52" t="n"/>
      <c r="CW54" s="52" t="n"/>
      <c r="CX54" s="52" t="n"/>
      <c r="CY54" s="51" t="n"/>
    </row>
    <row r="55" hidden="1" outlineLevel="1"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inlineStr">
        <is>
          <t>Com Vendas</t>
        </is>
      </c>
      <c r="D56" s="11" t="n"/>
      <c r="E56" s="11" t="n"/>
      <c r="F56" s="11" t="n"/>
      <c r="G56" s="11" t="n"/>
      <c r="H56" s="50" t="n"/>
      <c r="I56" s="11" t="n"/>
      <c r="J56" s="11" t="n"/>
      <c r="K56" s="11" t="n"/>
      <c r="L56" s="11" t="n"/>
      <c r="M56" s="50" t="n"/>
      <c r="N56" s="11" t="n"/>
      <c r="O56" s="11" t="n"/>
      <c r="P56" s="11" t="n"/>
      <c r="Q56" s="11" t="n"/>
      <c r="R56" s="50" t="n"/>
      <c r="S56" s="11" t="n"/>
      <c r="T56" s="11" t="n"/>
      <c r="U56" s="11" t="n"/>
      <c r="V56" s="11" t="n"/>
      <c r="W56" s="50" t="n"/>
      <c r="X56" s="11" t="n"/>
      <c r="Y56" s="11" t="n"/>
      <c r="Z56" s="11" t="n"/>
      <c r="AA56" s="11" t="n"/>
      <c r="AB56" s="50" t="n"/>
      <c r="AC56" s="11" t="n"/>
      <c r="AD56" s="11" t="n"/>
      <c r="AE56" s="11" t="n"/>
      <c r="AF56" s="11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Gerais &amp; Administrativas</t>
        </is>
      </c>
      <c r="D57" s="11" t="n"/>
      <c r="E57" s="11" t="n"/>
      <c r="F57" s="11" t="n"/>
      <c r="G57" s="11" t="n"/>
      <c r="H57" s="50" t="n"/>
      <c r="I57" s="11" t="n"/>
      <c r="J57" s="11" t="n"/>
      <c r="K57" s="11" t="n"/>
      <c r="L57" s="11" t="n"/>
      <c r="M57" s="50" t="n"/>
      <c r="N57" s="11" t="n"/>
      <c r="O57" s="11" t="n"/>
      <c r="P57" s="11" t="n"/>
      <c r="Q57" s="11" t="n"/>
      <c r="R57" s="50" t="n"/>
      <c r="S57" s="11" t="n"/>
      <c r="T57" s="11" t="n"/>
      <c r="U57" s="11" t="n"/>
      <c r="V57" s="11" t="n"/>
      <c r="W57" s="50" t="n"/>
      <c r="X57" s="11" t="n"/>
      <c r="Y57" s="11" t="n"/>
      <c r="Z57" s="11" t="n"/>
      <c r="AA57" s="11" t="n"/>
      <c r="AB57" s="50" t="n"/>
      <c r="AC57" s="11" t="n"/>
      <c r="AD57" s="11" t="n"/>
      <c r="AE57" s="11" t="n"/>
      <c r="AF57" s="11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inlineStr">
        <is>
          <t>Outras Receitas (Despesas) Operacionais, Líquidas</t>
        </is>
      </c>
      <c r="D58" s="11" t="n"/>
      <c r="E58" s="11" t="n"/>
      <c r="F58" s="11" t="n"/>
      <c r="G58" s="11" t="n"/>
      <c r="H58" s="50" t="n"/>
      <c r="I58" s="11" t="n"/>
      <c r="J58" s="11" t="n"/>
      <c r="K58" s="11" t="n"/>
      <c r="L58" s="11" t="n"/>
      <c r="M58" s="50" t="n"/>
      <c r="N58" s="11" t="n"/>
      <c r="O58" s="11" t="n"/>
      <c r="P58" s="11" t="n"/>
      <c r="Q58" s="11" t="n"/>
      <c r="R58" s="50" t="n"/>
      <c r="S58" s="11" t="n"/>
      <c r="T58" s="11" t="n"/>
      <c r="U58" s="11" t="n"/>
      <c r="V58" s="11" t="n"/>
      <c r="W58" s="50" t="n"/>
      <c r="X58" s="11" t="n"/>
      <c r="Y58" s="11" t="n"/>
      <c r="Z58" s="11" t="n"/>
      <c r="AA58" s="11" t="n"/>
      <c r="AB58" s="50" t="n"/>
      <c r="AC58" s="11" t="n"/>
      <c r="AD58" s="11" t="n"/>
      <c r="AE58" s="11" t="n"/>
      <c r="AF58" s="11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inlineStr">
        <is>
          <t>Com Vendas (%)</t>
        </is>
      </c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hidden="1" outlineLevel="1">
      <c r="C61" s="50" t="inlineStr">
        <is>
          <t>Gerais &amp; Administrativas (%)</t>
        </is>
      </c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  <c r="BF61" s="50" t="n"/>
      <c r="BG61" s="50" t="n"/>
      <c r="BH61" s="50" t="n"/>
      <c r="BI61" s="50" t="n"/>
      <c r="BJ61" s="50" t="n"/>
      <c r="BK61" s="50" t="n"/>
      <c r="BL61" s="50" t="n"/>
      <c r="BM61" s="50" t="n"/>
      <c r="BN61" s="50" t="n"/>
      <c r="BO61" s="50" t="n"/>
      <c r="BP61" s="50" t="n"/>
      <c r="BQ61" s="50" t="n"/>
      <c r="BR61" s="50" t="n"/>
      <c r="BS61" s="50" t="n"/>
      <c r="BT61" s="50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</row>
    <row r="62" hidden="1" outlineLevel="1">
      <c r="C62" s="50" t="inlineStr">
        <is>
          <t>Outras Receitas (Despesas) Operacionais, Líquidas (%)</t>
        </is>
      </c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collapsed="1" customFormat="1" s="32">
      <c r="A64" s="30" t="n"/>
      <c r="B64" s="3" t="n"/>
      <c r="C64" s="33" t="inlineStr">
        <is>
          <t>EBITDA</t>
        </is>
      </c>
      <c r="D64" s="35" t="n"/>
      <c r="E64" s="35" t="n"/>
      <c r="F64" s="35" t="n"/>
      <c r="G64" s="35" t="n"/>
      <c r="H64" s="35" t="n"/>
      <c r="I64" s="35">
        <f>SUM(I15,I49,I53)</f>
        <v>350.300000000001</v>
      </c>
      <c r="J64" s="35">
        <f>SUM(J15,J49,J53)</f>
        <v>369.3</v>
      </c>
      <c r="K64" s="35">
        <f>SUM(K15,K49,K53)</f>
        <v>382.3</v>
      </c>
      <c r="L64" s="35">
        <f>SUM(L15,L49,L53)</f>
        <v>445.7</v>
      </c>
      <c r="M64" s="35">
        <f>SUM(I64:L64)</f>
        <v>1547.6</v>
      </c>
      <c r="N64" s="35">
        <f>SUM(N15,N49,N53)</f>
        <v>435.7</v>
      </c>
      <c r="O64" s="35">
        <f>SUM(O15,O49,O53)</f>
        <v>348.9</v>
      </c>
      <c r="P64" s="35">
        <f>SUM(P15,P49,P53)</f>
        <v>362.9</v>
      </c>
      <c r="Q64" s="35">
        <f>SUM(Q15,Q49,Q53)</f>
        <v>375</v>
      </c>
      <c r="R64" s="35">
        <f>SUM(N64:Q64)</f>
        <v>1522.5</v>
      </c>
      <c r="S64" s="35">
        <f>SUM(S15,S49,S53)</f>
        <v>362.3</v>
      </c>
      <c r="T64" s="35">
        <f>SUM(T15,T49,T53)</f>
        <v>366.300000000001</v>
      </c>
      <c r="U64" s="35">
        <f>SUM(U15,U49,U53)</f>
        <v>411</v>
      </c>
      <c r="V64" s="35">
        <f>SUM(V15,V49,V53)</f>
        <v>387.7</v>
      </c>
      <c r="W64" s="35">
        <f>SUM(S64:V64)</f>
        <v>1527.3</v>
      </c>
      <c r="X64" s="35">
        <f>SUM(X15,X49,X53)</f>
        <v>400.6</v>
      </c>
      <c r="Y64" s="35">
        <f>SUM(Y15,Y49,Y53)</f>
        <v>414.399999999999</v>
      </c>
      <c r="Z64" s="35">
        <f>SUM(Z15,Z49,Z53)</f>
        <v>466.8</v>
      </c>
      <c r="AA64" s="35">
        <f>SUM(AA15,AA49,AA53)</f>
        <v>484.799999999998</v>
      </c>
      <c r="AB64" s="35">
        <f>SUM(X64:AA64)</f>
        <v>1766.6</v>
      </c>
      <c r="AC64" s="35">
        <f>SUM(AC15,AC49,AC53)</f>
        <v>462.799999999999</v>
      </c>
      <c r="AD64" s="35">
        <f>SUM(AD15,AD49,AD53)</f>
        <v>478.5</v>
      </c>
      <c r="AE64" s="35">
        <f>SUM(AE15,AE49,AE53)</f>
        <v>469.999999999999</v>
      </c>
      <c r="AF64" s="35">
        <f>SUM(AF15,AF49,AF53)</f>
        <v>585.7</v>
      </c>
      <c r="AG64" s="35">
        <f>SUM(AC64:AF64)</f>
        <v>1997</v>
      </c>
      <c r="AH64" s="35">
        <f>SUM(AH15,AH49,AH53)</f>
        <v>509</v>
      </c>
      <c r="AI64" s="35">
        <f>SUM(AI15,AI49,AI53)</f>
        <v>534</v>
      </c>
      <c r="AJ64" s="35">
        <f>SUM(AJ15,AJ49,AJ53)</f>
        <v>746.950739349362</v>
      </c>
      <c r="AK64" s="35">
        <f>SUM(AK15,AK49,AK53)</f>
        <v>818.722652579879</v>
      </c>
      <c r="AL64" s="35">
        <f>SUM(AH64:AK64)</f>
        <v>2608.67339192924</v>
      </c>
      <c r="AM64" s="35">
        <f>SUM(AM15,AM49,AM53)</f>
        <v>840.238948705631</v>
      </c>
      <c r="AN64" s="35">
        <f>SUM(AN15,AN49,AN53)</f>
        <v>974.981039828433</v>
      </c>
      <c r="AO64" s="35">
        <f>SUM(AO15,AO49,AO53)</f>
        <v>1098.58377354716</v>
      </c>
      <c r="AP64" s="35">
        <f>SUM(AP15,AP49,AP53)</f>
        <v>1204.14288891822</v>
      </c>
      <c r="AQ64" s="35">
        <f>SUM(AM64:AP64)</f>
        <v>4117.94665099944</v>
      </c>
      <c r="AR64" s="35">
        <f>SUM(AR15,AR49,AR53)</f>
        <v>1231.58695877564</v>
      </c>
      <c r="AS64" s="35">
        <f>SUM(AS15,AS49,AS53)</f>
        <v>1429.08625642262</v>
      </c>
      <c r="AT64" s="35">
        <f>SUM(AT15,AT49,AT53)</f>
        <v>1610.25795186891</v>
      </c>
      <c r="AU64" s="35">
        <f>SUM(AU15,AU49,AU53)</f>
        <v>1764.98206942042</v>
      </c>
      <c r="AV64" s="35">
        <f>SUM(AR64:AU64)</f>
        <v>6035.9132364876</v>
      </c>
      <c r="AW64" s="35">
        <f>SUM(AW15,AW49,AW53)</f>
        <v>1799.05049950072</v>
      </c>
      <c r="AX64" s="35">
        <f>SUM(AX15,AX49,AX53)</f>
        <v>2087.54917801553</v>
      </c>
      <c r="AY64" s="35">
        <f>SUM(AY15,AY49,AY53)</f>
        <v>2352.19718103762</v>
      </c>
      <c r="AZ64" s="35">
        <f>SUM(AZ15,AZ49,AZ53)</f>
        <v>2578.21167313861</v>
      </c>
      <c r="BA64" s="35">
        <f>SUM(AW64:AZ64)</f>
        <v>8817.00853169248</v>
      </c>
      <c r="BB64" s="35">
        <f>SUM(BB15,BB49,BB53)</f>
        <v>2618.98215233908</v>
      </c>
      <c r="BC64" s="35">
        <f>SUM(BC15,BC49,BC53)</f>
        <v>3038.96641082065</v>
      </c>
      <c r="BD64" s="35">
        <f>SUM(BD15,BD49,BD53)</f>
        <v>3424.22985771078</v>
      </c>
      <c r="BE64" s="35">
        <f>SUM(BE15,BE49,BE53)</f>
        <v>3753.2522621106</v>
      </c>
      <c r="BF64" s="35">
        <f>SUM(BB64:BE64)</f>
        <v>12835.4306829811</v>
      </c>
      <c r="BG64" s="35" t="n"/>
      <c r="BH64" s="35" t="n"/>
      <c r="BI64" s="35" t="n"/>
      <c r="BJ64" s="35" t="n"/>
      <c r="BK64" s="35" t="n"/>
      <c r="BL64" s="35" t="n"/>
      <c r="BM64" s="35" t="n"/>
      <c r="BN64" s="35" t="n"/>
      <c r="BO64" s="35" t="n"/>
      <c r="BP64" s="35" t="n"/>
      <c r="BQ64" s="35" t="n"/>
      <c r="BR64" s="35" t="n"/>
      <c r="BS64" s="35" t="n"/>
      <c r="BT64" s="35" t="n"/>
      <c r="BU64" s="35" t="n"/>
      <c r="BV64" s="35" t="n"/>
      <c r="BW64" s="35" t="n"/>
      <c r="BX64" s="35" t="n"/>
      <c r="BY64" s="35" t="n"/>
      <c r="BZ64" s="35" t="n"/>
      <c r="CA64" s="35" t="n"/>
      <c r="CB64" s="35" t="n"/>
      <c r="CC64" s="35" t="n"/>
      <c r="CD64" s="35" t="n"/>
      <c r="CE64" s="35" t="n"/>
      <c r="CF64" s="35" t="n"/>
      <c r="CG64" s="35" t="n"/>
      <c r="CH64" s="35" t="n"/>
      <c r="CI64" s="35" t="n"/>
      <c r="CJ64" s="35" t="n"/>
      <c r="CK64" s="35" t="n"/>
      <c r="CL64" s="35" t="n"/>
      <c r="CM64" s="35" t="n"/>
      <c r="CN64" s="35" t="n"/>
      <c r="CO64" s="35" t="n"/>
      <c r="CP64" s="35" t="n"/>
      <c r="CQ64" s="35" t="n"/>
      <c r="CR64" s="35" t="n"/>
      <c r="CS64" s="35" t="n"/>
      <c r="CT64" s="35" t="n"/>
      <c r="CU64" s="35" t="n"/>
      <c r="CV64" s="35" t="n"/>
      <c r="CW64" s="35" t="n"/>
      <c r="CX64" s="35" t="n"/>
      <c r="CY64" s="35" t="n"/>
    </row>
    <row r="65" ht="13.5" customHeight="1">
      <c r="C65" s="13" t="inlineStr">
        <is>
          <t>D&amp;A</t>
        </is>
      </c>
      <c r="D65" s="46" t="n"/>
      <c r="E65" s="46" t="n"/>
      <c r="F65" s="46" t="n"/>
      <c r="G65" s="46" t="n"/>
      <c r="H65" s="12" t="n"/>
      <c r="I65" s="46">
        <f>'Inputs (2)'!D7</f>
        <v>-350.3</v>
      </c>
      <c r="J65" s="46">
        <f>'Inputs (2)'!E7</f>
        <v>-369.3</v>
      </c>
      <c r="K65" s="46">
        <f>'Inputs (2)'!F7</f>
        <v>-382.3</v>
      </c>
      <c r="L65" s="46">
        <f>'Inputs (2)'!G7</f>
        <v>-445.7</v>
      </c>
      <c r="M65" s="12">
        <f>'Inputs (2)'!H7</f>
        <v>-1547.6</v>
      </c>
      <c r="N65" s="46">
        <f>'Inputs (2)'!I7</f>
        <v>-435.7</v>
      </c>
      <c r="O65" s="46">
        <f>'Inputs (2)'!J7</f>
        <v>-348.9</v>
      </c>
      <c r="P65" s="46">
        <f>'Inputs (2)'!K7</f>
        <v>-362.9</v>
      </c>
      <c r="Q65" s="46">
        <f>'Inputs (2)'!L7</f>
        <v>-375</v>
      </c>
      <c r="R65" s="12">
        <f>'Inputs (2)'!M7</f>
        <v>-1522.5</v>
      </c>
      <c r="S65" s="46">
        <f>'Inputs (2)'!N7</f>
        <v>-362.3</v>
      </c>
      <c r="T65" s="46">
        <f>'Inputs (2)'!O7</f>
        <v>-366.3</v>
      </c>
      <c r="U65" s="46">
        <f>'Inputs (2)'!P7</f>
        <v>-411</v>
      </c>
      <c r="V65" s="46">
        <f>'Inputs (2)'!Q7</f>
        <v>-387.7</v>
      </c>
      <c r="W65" s="12">
        <f>'Inputs (2)'!R7</f>
        <v>-1527.3</v>
      </c>
      <c r="X65" s="46">
        <f>'Inputs (2)'!S7</f>
        <v>-400.6</v>
      </c>
      <c r="Y65" s="46">
        <f>'Inputs (2)'!T7</f>
        <v>-414.4</v>
      </c>
      <c r="Z65" s="46">
        <f>'Inputs (2)'!U7</f>
        <v>-466.8</v>
      </c>
      <c r="AA65" s="46">
        <f>'Inputs (2)'!V7</f>
        <v>-484.8</v>
      </c>
      <c r="AB65" s="12">
        <f>'Inputs (2)'!W7</f>
        <v>-1766.6</v>
      </c>
      <c r="AC65" s="46">
        <f>'Inputs (2)'!X7</f>
        <v>-462.8</v>
      </c>
      <c r="AD65" s="46">
        <f>'Inputs (2)'!Y7</f>
        <v>-478.5</v>
      </c>
      <c r="AE65" s="46">
        <f>'Inputs (2)'!Z7</f>
        <v>-470</v>
      </c>
      <c r="AF65" s="46">
        <f>'Inputs (2)'!AA7</f>
        <v>-585.7</v>
      </c>
      <c r="AG65" s="12">
        <f>'Inputs (2)'!AB7</f>
        <v>-1997</v>
      </c>
      <c r="AH65" s="12">
        <f>'Inputs (2)'!AC7</f>
        <v>-509</v>
      </c>
      <c r="AI65" s="12">
        <f>'Inputs (2)'!AD7</f>
        <v>-534</v>
      </c>
      <c r="AJ65" s="12">
        <f>-AJ66*AJ15</f>
        <v>-746.950739349365</v>
      </c>
      <c r="AK65" s="12">
        <f>-AK66*AK15</f>
        <v>-818.72265257988</v>
      </c>
      <c r="AL65" s="12">
        <f>SUM(AH65:AK65)</f>
        <v>-2608.67339192925</v>
      </c>
      <c r="AM65" s="12">
        <f>-AM66*AM15</f>
        <v>-840.238948705632</v>
      </c>
      <c r="AN65" s="12">
        <f>-AN66*AN15</f>
        <v>-974.981039828435</v>
      </c>
      <c r="AO65" s="12">
        <f>-AO66*AO15</f>
        <v>-1098.58377354716</v>
      </c>
      <c r="AP65" s="12">
        <f>-AP66*AP15</f>
        <v>-1204.14288891822</v>
      </c>
      <c r="AQ65" s="12">
        <f>SUM(AM65:AP65)</f>
        <v>-4117.94665099945</v>
      </c>
      <c r="AR65" s="12">
        <f>-AR66*AR15</f>
        <v>-1231.58695877564</v>
      </c>
      <c r="AS65" s="12">
        <f>-AS66*AS15</f>
        <v>-1429.08625642263</v>
      </c>
      <c r="AT65" s="12">
        <f>-AT66*AT15</f>
        <v>-1610.25795186891</v>
      </c>
      <c r="AU65" s="12">
        <f>-AU66*AU15</f>
        <v>-1764.98206942042</v>
      </c>
      <c r="AV65" s="12">
        <f>SUM(AR65:AU65)</f>
        <v>-6035.9132364876</v>
      </c>
      <c r="AW65" s="12">
        <f>-AW66*AW15</f>
        <v>-1799.05049950072</v>
      </c>
      <c r="AX65" s="12">
        <f>-AX66*AX15</f>
        <v>-2087.54917801554</v>
      </c>
      <c r="AY65" s="12">
        <f>-AY66*AY15</f>
        <v>-2352.19718103763</v>
      </c>
      <c r="AZ65" s="12">
        <f>-AZ66*AZ15</f>
        <v>-2578.2116731386</v>
      </c>
      <c r="BA65" s="12">
        <f>SUM(AW65:AZ65)</f>
        <v>-8817.0085316925</v>
      </c>
      <c r="BB65" s="12">
        <f>-BB66*BB15</f>
        <v>-2618.98215233909</v>
      </c>
      <c r="BC65" s="12">
        <f>-BC66*BC15</f>
        <v>-3038.96641082066</v>
      </c>
      <c r="BD65" s="12">
        <f>-BD66*BD15</f>
        <v>-3424.22985771078</v>
      </c>
      <c r="BE65" s="12">
        <f>-BE66*BE15</f>
        <v>-3753.25226211061</v>
      </c>
      <c r="BF65" s="12">
        <f>SUM(BB65:BE65)</f>
        <v>-12835.4306829811</v>
      </c>
      <c r="BG65" s="12" t="n"/>
      <c r="BH65" s="12" t="n"/>
      <c r="BI65" s="12" t="n"/>
      <c r="BJ65" s="12" t="n"/>
      <c r="BK65" s="12" t="n"/>
      <c r="BL65" s="12" t="n"/>
      <c r="BM65" s="12" t="n"/>
      <c r="BN65" s="12" t="n"/>
      <c r="BO65" s="12" t="n"/>
      <c r="BP65" s="12" t="n"/>
      <c r="BQ65" s="12" t="n"/>
      <c r="BR65" s="12" t="n"/>
      <c r="BS65" s="12" t="n"/>
      <c r="BT65" s="12" t="n"/>
      <c r="BU65" s="12" t="n"/>
      <c r="BV65" s="12" t="n"/>
      <c r="BW65" s="12" t="n"/>
      <c r="BX65" s="12" t="n"/>
      <c r="BY65" s="12" t="n"/>
      <c r="BZ65" s="12" t="n"/>
      <c r="CA65" s="12" t="n"/>
      <c r="CB65" s="12" t="n"/>
      <c r="CC65" s="12" t="n"/>
      <c r="CD65" s="12" t="n"/>
      <c r="CE65" s="12" t="n"/>
      <c r="CF65" s="12" t="n"/>
      <c r="CG65" s="12" t="n"/>
      <c r="CH65" s="12" t="n"/>
      <c r="CI65" s="12" t="n"/>
      <c r="CJ65" s="12" t="n"/>
      <c r="CK65" s="12" t="n"/>
      <c r="CL65" s="12" t="n"/>
      <c r="CM65" s="12" t="n"/>
      <c r="CN65" s="12" t="n"/>
      <c r="CO65" s="12" t="n"/>
      <c r="CP65" s="12" t="n"/>
      <c r="CQ65" s="12" t="n"/>
      <c r="CR65" s="12" t="n"/>
      <c r="CS65" s="12" t="n"/>
      <c r="CT65" s="12" t="n"/>
      <c r="CU65" s="12" t="n"/>
      <c r="CV65" s="12" t="n"/>
      <c r="CW65" s="12" t="n"/>
      <c r="CX65" s="12" t="n"/>
      <c r="CY65" s="12" t="n"/>
    </row>
    <row r="66" hidden="1" outlineLevel="1" customFormat="1" s="56">
      <c r="A66" s="53" t="n"/>
      <c r="B66" s="53" t="n"/>
      <c r="C66" s="54" t="inlineStr">
        <is>
          <t>% of Revenue</t>
        </is>
      </c>
      <c r="D66" s="53" t="n"/>
      <c r="E66" s="53" t="n"/>
      <c r="F66" s="53" t="n"/>
      <c r="G66" s="53" t="n"/>
      <c r="H66" s="53" t="n"/>
      <c r="I66" s="53">
        <f>IFERROR(-I65/I15,"")</f>
        <v>0.0514723169154814</v>
      </c>
      <c r="J66" s="53">
        <f>IFERROR(-J65/J15,"")</f>
        <v>0.0547914719366182</v>
      </c>
      <c r="K66" s="53">
        <f>IFERROR(-K65/K15,"")</f>
        <v>0.056446373730215</v>
      </c>
      <c r="L66" s="53">
        <f>IFERROR(-L65/L15,"")</f>
        <v>0.0557131964149552</v>
      </c>
      <c r="M66" s="53" t="n"/>
      <c r="N66" s="53">
        <f>IFERROR(-N65/N15,"")</f>
        <v>0.0557874519846351</v>
      </c>
      <c r="O66" s="53">
        <f>IFERROR(-O65/O15,"")</f>
        <v>0.0537762022194821</v>
      </c>
      <c r="P66" s="53">
        <f>IFERROR(-P65/P15,"")</f>
        <v>0.052279013483923</v>
      </c>
      <c r="Q66" s="53">
        <f>IFERROR(-Q65/Q15,"")</f>
        <v>0.0513571995946205</v>
      </c>
      <c r="R66" s="53" t="n"/>
      <c r="S66" s="53">
        <f>IFERROR(-S65/S15,"")</f>
        <v>0.0520545977011494</v>
      </c>
      <c r="T66" s="53">
        <f>IFERROR(-T65/T15,"")</f>
        <v>0.0440682859927094</v>
      </c>
      <c r="U66" s="53">
        <f>IFERROR(-U65/U15,"")</f>
        <v>0.0432695344577096</v>
      </c>
      <c r="V66" s="53">
        <f>IFERROR(-V65/V15,"")</f>
        <v>0.0414501678534009</v>
      </c>
      <c r="W66" s="53" t="n"/>
      <c r="X66" s="53">
        <f>IFERROR(-X65/X15,"")</f>
        <v>0.0456888686131387</v>
      </c>
      <c r="Y66" s="53">
        <f>IFERROR(-Y65/Y15,"")</f>
        <v>0.036663481615175</v>
      </c>
      <c r="Z66" s="53">
        <f>IFERROR(-Z65/Z15,"")</f>
        <v>0.0408074061770594</v>
      </c>
      <c r="AA66" s="53">
        <f>IFERROR(-AA65/AA15,"")</f>
        <v>0.0358240718846063</v>
      </c>
      <c r="AB66" s="53" t="n"/>
      <c r="AC66" s="53">
        <f>IFERROR(-AC65/AC15,"")</f>
        <v>0.0363579228533271</v>
      </c>
      <c r="AD66" s="53">
        <f>IFERROR(-AD65/AD15,"")</f>
        <v>0.0307558812186656</v>
      </c>
      <c r="AE66" s="53">
        <f>IFERROR(-AE65/AE15,"")</f>
        <v>0.0267033316667424</v>
      </c>
      <c r="AF66" s="55">
        <f>IFERROR(-AF65/AF15,"")</f>
        <v>0.0303597346050176</v>
      </c>
      <c r="AG66" s="53" t="n"/>
      <c r="AH66" s="55">
        <f>IFERROR(-AH65/AH15,"")</f>
        <v>0.025708369109551</v>
      </c>
      <c r="AI66" s="55">
        <f>IFERROR(-AI65/AI15,"")</f>
        <v>0.0232436667537216</v>
      </c>
      <c r="AJ66" s="55">
        <f>Control!$B$21</f>
        <v>0.0288548177011709</v>
      </c>
      <c r="AK66" s="55">
        <f>Control!$B$21</f>
        <v>0.0288548177011709</v>
      </c>
      <c r="AL66" s="53" t="n"/>
      <c r="AM66" s="55">
        <f>Control!$C$21</f>
        <v>0.0288548177011709</v>
      </c>
      <c r="AN66" s="55">
        <f>Control!$C$21</f>
        <v>0.0288548177011709</v>
      </c>
      <c r="AO66" s="55">
        <f>Control!$C$21</f>
        <v>0.0288548177011709</v>
      </c>
      <c r="AP66" s="55">
        <f>Control!$C$21</f>
        <v>0.0288548177011709</v>
      </c>
      <c r="AQ66" s="53" t="n"/>
      <c r="AR66" s="55">
        <f>Control!$D$21</f>
        <v>0.0288548177011709</v>
      </c>
      <c r="AS66" s="55">
        <f>Control!$D$21</f>
        <v>0.0288548177011709</v>
      </c>
      <c r="AT66" s="55">
        <f>Control!$D$21</f>
        <v>0.0288548177011709</v>
      </c>
      <c r="AU66" s="55">
        <f>Control!$D$21</f>
        <v>0.0288548177011709</v>
      </c>
      <c r="AV66" s="53" t="n"/>
      <c r="AW66" s="55">
        <f>Control!$E$21</f>
        <v>0.0288548177011709</v>
      </c>
      <c r="AX66" s="55">
        <f>Control!$E$21</f>
        <v>0.0288548177011709</v>
      </c>
      <c r="AY66" s="55">
        <f>Control!$E$21</f>
        <v>0.0288548177011709</v>
      </c>
      <c r="AZ66" s="55">
        <f>Control!$E$21</f>
        <v>0.0288548177011709</v>
      </c>
      <c r="BA66" s="53" t="n"/>
      <c r="BB66" s="55">
        <f>Control!$F$21</f>
        <v>0.0288548177011709</v>
      </c>
      <c r="BC66" s="55">
        <f>Control!$F$21</f>
        <v>0.0288548177011709</v>
      </c>
      <c r="BD66" s="55">
        <f>Control!$F$21</f>
        <v>0.0288548177011709</v>
      </c>
      <c r="BE66" s="55">
        <f>Control!$F$21</f>
        <v>0.0288548177011709</v>
      </c>
      <c r="BF66" s="53" t="n"/>
      <c r="BG66" s="55" t="n"/>
      <c r="BH66" s="55" t="n"/>
      <c r="BI66" s="55" t="n"/>
      <c r="BJ66" s="55" t="n"/>
      <c r="BK66" s="53" t="n"/>
      <c r="BL66" s="55" t="n"/>
      <c r="BM66" s="55" t="n"/>
      <c r="BN66" s="55" t="n"/>
      <c r="BO66" s="55" t="n"/>
      <c r="BP66" s="53" t="n"/>
      <c r="BQ66" s="55" t="n"/>
      <c r="BR66" s="55" t="n"/>
      <c r="BS66" s="55" t="n"/>
      <c r="BT66" s="55" t="n"/>
      <c r="BU66" s="53" t="n"/>
      <c r="BV66" s="55" t="n"/>
      <c r="BW66" s="55" t="n"/>
      <c r="BX66" s="55" t="n"/>
      <c r="BY66" s="55" t="n"/>
      <c r="BZ66" s="53" t="n"/>
      <c r="CA66" s="55" t="n"/>
      <c r="CB66" s="55" t="n"/>
      <c r="CC66" s="55" t="n"/>
      <c r="CD66" s="55" t="n"/>
      <c r="CE66" s="53" t="n"/>
      <c r="CF66" s="55" t="n"/>
      <c r="CG66" s="55" t="n"/>
      <c r="CH66" s="55" t="n"/>
      <c r="CI66" s="55" t="n"/>
      <c r="CJ66" s="53" t="n"/>
      <c r="CK66" s="55" t="n"/>
      <c r="CL66" s="55" t="n"/>
      <c r="CM66" s="55" t="n"/>
      <c r="CN66" s="55" t="n"/>
      <c r="CO66" s="53" t="n"/>
      <c r="CP66" s="55" t="n"/>
      <c r="CQ66" s="55" t="n"/>
      <c r="CR66" s="55" t="n"/>
      <c r="CS66" s="55" t="n"/>
      <c r="CT66" s="53" t="n"/>
      <c r="CU66" s="55" t="n"/>
      <c r="CV66" s="55" t="n"/>
      <c r="CW66" s="55" t="n"/>
      <c r="CX66" s="55" t="n"/>
      <c r="CY66" s="53" t="n"/>
    </row>
    <row r="67" hidden="1" outlineLevel="1">
      <c r="C67" s="50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  <c r="BJ67" s="12" t="n"/>
      <c r="BK67" s="12" t="n"/>
      <c r="BL67" s="12" t="n"/>
      <c r="BM67" s="12" t="n"/>
      <c r="BN67" s="12" t="n"/>
      <c r="BO67" s="12" t="n"/>
      <c r="BP67" s="12" t="n"/>
      <c r="BQ67" s="12" t="n"/>
      <c r="BR67" s="12" t="n"/>
      <c r="BS67" s="12" t="n"/>
      <c r="BT67" s="12" t="n"/>
      <c r="BU67" s="12" t="n"/>
      <c r="BV67" s="12" t="n"/>
      <c r="BW67" s="12" t="n"/>
      <c r="BX67" s="12" t="n"/>
      <c r="BY67" s="12" t="n"/>
      <c r="BZ67" s="12" t="n"/>
      <c r="CA67" s="12" t="n"/>
      <c r="CB67" s="12" t="n"/>
      <c r="CC67" s="12" t="n"/>
      <c r="CD67" s="12" t="n"/>
      <c r="CE67" s="12" t="n"/>
      <c r="CF67" s="12" t="n"/>
      <c r="CG67" s="12" t="n"/>
      <c r="CH67" s="12" t="n"/>
      <c r="CI67" s="12" t="n"/>
      <c r="CJ67" s="12" t="n"/>
      <c r="CK67" s="12" t="n"/>
      <c r="CL67" s="12" t="n"/>
      <c r="CM67" s="12" t="n"/>
      <c r="CN67" s="12" t="n"/>
      <c r="CO67" s="12" t="n"/>
      <c r="CP67" s="12" t="n"/>
      <c r="CQ67" s="12" t="n"/>
      <c r="CR67" s="12" t="n"/>
      <c r="CS67" s="12" t="n"/>
      <c r="CT67" s="12" t="n"/>
      <c r="CU67" s="12" t="n"/>
      <c r="CV67" s="12" t="n"/>
      <c r="CW67" s="12" t="n"/>
      <c r="CX67" s="12" t="n"/>
      <c r="CY67" s="12" t="n"/>
    </row>
    <row r="68" collapsed="1" customFormat="1" s="32">
      <c r="A68" s="30" t="n"/>
      <c r="B68" s="3" t="n"/>
      <c r="C68" s="33" t="inlineStr">
        <is>
          <t>Operating Profit - EBIT</t>
        </is>
      </c>
      <c r="D68" s="35" t="n"/>
      <c r="E68" s="35" t="n"/>
      <c r="F68" s="35" t="n"/>
      <c r="G68" s="35" t="n"/>
      <c r="H68" s="35" t="n"/>
      <c r="I68" s="35">
        <f>SUM(I64,I65)</f>
        <v>0</v>
      </c>
      <c r="J68" s="35">
        <f>SUM(J64,J65)</f>
        <v>0</v>
      </c>
      <c r="K68" s="35">
        <f>SUM(K64,K65)</f>
        <v>0</v>
      </c>
      <c r="L68" s="35">
        <f>SUM(L64,L65)</f>
        <v>0</v>
      </c>
      <c r="M68" s="35">
        <f>SUM(I68:L68)</f>
        <v>0</v>
      </c>
      <c r="N68" s="35">
        <f>SUM(N64,N65)</f>
        <v>0</v>
      </c>
      <c r="O68" s="35">
        <f>SUM(O64,O65)</f>
        <v>0</v>
      </c>
      <c r="P68" s="35">
        <f>SUM(P64,P65)</f>
        <v>0</v>
      </c>
      <c r="Q68" s="35">
        <f>SUM(Q64,Q65)</f>
        <v>0</v>
      </c>
      <c r="R68" s="35">
        <f>SUM(N68:Q68)</f>
        <v>0</v>
      </c>
      <c r="S68" s="35">
        <f>SUM(S64,S65)</f>
        <v>0</v>
      </c>
      <c r="T68" s="35">
        <f>SUM(T64,T65)</f>
        <v>0</v>
      </c>
      <c r="U68" s="35">
        <f>SUM(U64,U65)</f>
        <v>0</v>
      </c>
      <c r="V68" s="35">
        <f>SUM(V64,V65)</f>
        <v>0</v>
      </c>
      <c r="W68" s="35">
        <f>SUM(S68:V68)</f>
        <v>0</v>
      </c>
      <c r="X68" s="35">
        <f>SUM(X64,X65)</f>
        <v>0</v>
      </c>
      <c r="Y68" s="35">
        <f>SUM(Y64,Y65)</f>
        <v>0</v>
      </c>
      <c r="Z68" s="35">
        <f>SUM(Z64,Z65)</f>
        <v>0</v>
      </c>
      <c r="AA68" s="35">
        <f>SUM(AA64,AA65)</f>
        <v>0</v>
      </c>
      <c r="AB68" s="35">
        <f>SUM(X68:AA68)</f>
        <v>0</v>
      </c>
      <c r="AC68" s="35">
        <f>SUM(AC64,AC65)</f>
        <v>0</v>
      </c>
      <c r="AD68" s="35">
        <f>SUM(AD64,AD65)</f>
        <v>0</v>
      </c>
      <c r="AE68" s="35">
        <f>SUM(AE64,AE65)</f>
        <v>0</v>
      </c>
      <c r="AF68" s="35">
        <f>SUM(AF64,AF65)</f>
        <v>0</v>
      </c>
      <c r="AG68" s="35">
        <f>SUM(AC68:AF68)</f>
        <v>0</v>
      </c>
      <c r="AH68" s="35">
        <f>SUM(AH64,AH65)</f>
        <v>0</v>
      </c>
      <c r="AI68" s="35">
        <f>SUM(AI64,AI65)</f>
        <v>0</v>
      </c>
      <c r="AJ68" s="35">
        <f>SUM(AJ64,AJ65)</f>
        <v>-3.18323145620525e-12</v>
      </c>
      <c r="AK68" s="35">
        <f>SUM(AK64,AK65)</f>
        <v>0</v>
      </c>
      <c r="AL68" s="35">
        <f>SUM(AL64,AL65)</f>
        <v>0</v>
      </c>
      <c r="AM68" s="35">
        <f>SUM(AM64,AM65)</f>
        <v>0</v>
      </c>
      <c r="AN68" s="35">
        <f>SUM(AN64,AN65)</f>
        <v>0</v>
      </c>
      <c r="AO68" s="35">
        <f>SUM(AO64,AO65)</f>
        <v>0</v>
      </c>
      <c r="AP68" s="35">
        <f>SUM(AP64,AP65)</f>
        <v>0</v>
      </c>
      <c r="AQ68" s="35">
        <f>SUM(AQ64,AQ65)</f>
        <v>0</v>
      </c>
      <c r="AR68" s="35">
        <f>SUM(AR64,AR65)</f>
        <v>0</v>
      </c>
      <c r="AS68" s="35">
        <f>SUM(AS64,AS65)</f>
        <v>0</v>
      </c>
      <c r="AT68" s="35">
        <f>SUM(AT64,AT65)</f>
        <v>0</v>
      </c>
      <c r="AU68" s="35">
        <f>SUM(AU64,AU65)</f>
        <v>0</v>
      </c>
      <c r="AV68" s="35">
        <f>SUM(AV64,AV65)</f>
        <v>0</v>
      </c>
      <c r="AW68" s="35">
        <f>SUM(AW64,AW65)</f>
        <v>0</v>
      </c>
      <c r="AX68" s="35">
        <f>SUM(AX64,AX65)</f>
        <v>-8.64019966684282e-12</v>
      </c>
      <c r="AY68" s="35">
        <f>SUM(AY64,AY65)</f>
        <v>-1.13686837721616e-11</v>
      </c>
      <c r="AZ68" s="35">
        <f>SUM(AZ64,AZ65)</f>
        <v>0</v>
      </c>
      <c r="BA68" s="35">
        <f>SUM(BA64,BA65)</f>
        <v>0</v>
      </c>
      <c r="BB68" s="35">
        <f>SUM(BB64,BB65)</f>
        <v>0</v>
      </c>
      <c r="BC68" s="35">
        <f>SUM(BC64,BC65)</f>
        <v>-1.13686837721616e-11</v>
      </c>
      <c r="BD68" s="35">
        <f>SUM(BD64,BD65)</f>
        <v>0</v>
      </c>
      <c r="BE68" s="35">
        <f>SUM(BE64,BE65)</f>
        <v>0</v>
      </c>
      <c r="BF68" s="35">
        <f>SUM(BF64,BF65)</f>
        <v>0</v>
      </c>
      <c r="BG68" s="35" t="n"/>
      <c r="BH68" s="35" t="n"/>
      <c r="BI68" s="35" t="n"/>
      <c r="BJ68" s="35" t="n"/>
      <c r="BK68" s="35" t="n"/>
      <c r="BL68" s="35" t="n"/>
      <c r="BM68" s="35" t="n"/>
      <c r="BN68" s="35" t="n"/>
      <c r="BO68" s="35" t="n"/>
      <c r="BP68" s="35" t="n"/>
      <c r="BQ68" s="35" t="n"/>
      <c r="BR68" s="35" t="n"/>
      <c r="BS68" s="35" t="n"/>
      <c r="BT68" s="35" t="n"/>
      <c r="BU68" s="35" t="n"/>
      <c r="BV68" s="35" t="n"/>
      <c r="BW68" s="35" t="n"/>
      <c r="BX68" s="35" t="n"/>
      <c r="BY68" s="35" t="n"/>
      <c r="BZ68" s="35" t="n"/>
      <c r="CA68" s="35" t="n"/>
      <c r="CB68" s="35" t="n"/>
      <c r="CC68" s="35" t="n"/>
      <c r="CD68" s="35" t="n"/>
      <c r="CE68" s="35" t="n"/>
      <c r="CF68" s="35" t="n"/>
      <c r="CG68" s="35" t="n"/>
      <c r="CH68" s="35" t="n"/>
      <c r="CI68" s="35" t="n"/>
      <c r="CJ68" s="35" t="n"/>
      <c r="CK68" s="35" t="n"/>
      <c r="CL68" s="35" t="n"/>
      <c r="CM68" s="35" t="n"/>
      <c r="CN68" s="35" t="n"/>
      <c r="CO68" s="35" t="n"/>
      <c r="CP68" s="35" t="n"/>
      <c r="CQ68" s="35" t="n"/>
      <c r="CR68" s="35" t="n"/>
      <c r="CS68" s="35" t="n"/>
      <c r="CT68" s="35" t="n"/>
      <c r="CU68" s="35" t="n"/>
      <c r="CV68" s="35" t="n"/>
      <c r="CW68" s="35" t="n"/>
      <c r="CX68" s="35" t="n"/>
      <c r="CY68" s="35" t="n"/>
    </row>
    <row r="69">
      <c r="C69" s="14" t="inlineStr">
        <is>
          <t>Interest Expense</t>
        </is>
      </c>
      <c r="D69" s="46" t="n"/>
      <c r="E69" s="46" t="n"/>
      <c r="F69" s="46" t="n"/>
      <c r="G69" s="46" t="n"/>
      <c r="H69" s="12" t="n"/>
      <c r="I69" s="46">
        <f>'Inputs (2)'!D8</f>
        <v>-87.8</v>
      </c>
      <c r="J69" s="46">
        <f>'Inputs (2)'!E8</f>
        <v>-86.9</v>
      </c>
      <c r="K69" s="46">
        <f>'Inputs (2)'!F8</f>
        <v>-83.6</v>
      </c>
      <c r="L69" s="46">
        <f>'Inputs (2)'!G8</f>
        <v>-81.4</v>
      </c>
      <c r="M69" s="12">
        <f>'Inputs (2)'!H8</f>
        <v>-339.7</v>
      </c>
      <c r="N69" s="46">
        <f>'Inputs (2)'!I8</f>
        <v>-84.9</v>
      </c>
      <c r="O69" s="46">
        <f>'Inputs (2)'!J8</f>
        <v>-81.2</v>
      </c>
      <c r="P69" s="46">
        <f>'Inputs (2)'!K8</f>
        <v>-81.5</v>
      </c>
      <c r="Q69" s="46">
        <f>'Inputs (2)'!L8</f>
        <v>-84</v>
      </c>
      <c r="R69" s="12">
        <f>'Inputs (2)'!M8</f>
        <v>-331.6</v>
      </c>
      <c r="S69" s="46">
        <f>'Inputs (2)'!N8</f>
        <v>-102.8</v>
      </c>
      <c r="T69" s="46">
        <f>'Inputs (2)'!O8</f>
        <v>-120.3</v>
      </c>
      <c r="U69" s="46">
        <f>'Inputs (2)'!P8</f>
        <v>-124.6</v>
      </c>
      <c r="V69" s="46">
        <f>'Inputs (2)'!Q8</f>
        <v>-138.2</v>
      </c>
      <c r="W69" s="12">
        <f>'Inputs (2)'!R8</f>
        <v>-485.9</v>
      </c>
      <c r="X69" s="46">
        <f>'Inputs (2)'!S8</f>
        <v>-179.6</v>
      </c>
      <c r="Y69" s="46">
        <f>'Inputs (2)'!T8</f>
        <v>-183.6</v>
      </c>
      <c r="Z69" s="46">
        <f>'Inputs (2)'!U8</f>
        <v>-192.7</v>
      </c>
      <c r="AA69" s="46">
        <f>'Inputs (2)'!V8</f>
        <v>-224.7</v>
      </c>
      <c r="AB69" s="12">
        <f>'Inputs (2)'!W8</f>
        <v>-780.6</v>
      </c>
      <c r="AC69" s="46">
        <f>'Inputs (2)'!X8</f>
        <v>-243.7</v>
      </c>
      <c r="AD69" s="46">
        <f>'Inputs (2)'!Y8</f>
        <v>-249</v>
      </c>
      <c r="AE69" s="46">
        <f>'Inputs (2)'!Z8</f>
        <v>-179.6</v>
      </c>
      <c r="AF69" s="46">
        <f>'Inputs (2)'!AA8</f>
        <v>-222.6</v>
      </c>
      <c r="AG69" s="12">
        <f>'Inputs (2)'!AB8</f>
        <v>-894.9</v>
      </c>
      <c r="AH69" s="12">
        <f>'Inputs (2)'!AC8</f>
        <v>0</v>
      </c>
      <c r="AI69" s="12">
        <f>'Inputs (2)'!AD8</f>
        <v>0</v>
      </c>
      <c r="AJ69" s="12" t="str">
        <f>IF(Control!$E$9="","",-AI87*Control!$E$9/4)</f>
        <v/>
      </c>
      <c r="AK69" s="12" t="str">
        <f>IF(Control!$E$9="","",-AJ87*Control!$E$9/4)</f>
        <v/>
      </c>
      <c r="AL69" s="12">
        <f>SUM(AH69:AK69)</f>
        <v>0</v>
      </c>
      <c r="AM69" s="12" t="str">
        <f>IF(Control!$E$9="","",-AL87*Control!$E$9/4)</f>
        <v/>
      </c>
      <c r="AN69" s="12" t="str">
        <f>IF(Control!$E$9="","",-AM87*Control!$E$9/4)</f>
        <v/>
      </c>
      <c r="AO69" s="12" t="str">
        <f>IF(Control!$E$9="","",-AN87*Control!$E$9/4)</f>
        <v/>
      </c>
      <c r="AP69" s="12" t="str">
        <f>IF(Control!$E$9="","",-AO87*Control!$E$9/4)</f>
        <v/>
      </c>
      <c r="AQ69" s="12">
        <f>SUM(AM69:AP69)</f>
        <v>0</v>
      </c>
      <c r="AR69" s="12" t="str">
        <f>IF(Control!$E$9="","",-AQ87*Control!$E$9/4)</f>
        <v/>
      </c>
      <c r="AS69" s="12" t="str">
        <f>IF(Control!$E$9="","",-AR87*Control!$E$9/4)</f>
        <v/>
      </c>
      <c r="AT69" s="12" t="str">
        <f>IF(Control!$E$9="","",-AS87*Control!$E$9/4)</f>
        <v/>
      </c>
      <c r="AU69" s="12" t="str">
        <f>IF(Control!$E$9="","",-AT87*Control!$E$9/4)</f>
        <v/>
      </c>
      <c r="AV69" s="12">
        <f>SUM(AR69:AU69)</f>
        <v>0</v>
      </c>
      <c r="AW69" s="12" t="str">
        <f>IF(Control!$E$9="","",-AV87*Control!$E$9/4)</f>
        <v/>
      </c>
      <c r="AX69" s="12" t="str">
        <f>IF(Control!$E$9="","",-AW87*Control!$E$9/4)</f>
        <v/>
      </c>
      <c r="AY69" s="12" t="str">
        <f>IF(Control!$E$9="","",-AX87*Control!$E$9/4)</f>
        <v/>
      </c>
      <c r="AZ69" s="12" t="str">
        <f>IF(Control!$E$9="","",-AY87*Control!$E$9/4)</f>
        <v/>
      </c>
      <c r="BA69" s="12">
        <f>SUM(AW69:AZ69)</f>
        <v>0</v>
      </c>
      <c r="BB69" s="12" t="str">
        <f>IF(Control!$E$9="","",-BA87*Control!$E$9/4)</f>
        <v/>
      </c>
      <c r="BC69" s="12" t="str">
        <f>IF(Control!$E$9="","",-BB87*Control!$E$9/4)</f>
        <v/>
      </c>
      <c r="BD69" s="12" t="str">
        <f>IF(Control!$E$9="","",-BC87*Control!$E$9/4)</f>
        <v/>
      </c>
      <c r="BE69" s="12" t="str">
        <f>IF(Control!$E$9="","",-BD87*Control!$E$9/4)</f>
        <v/>
      </c>
      <c r="BF69" s="12">
        <f>SUM(BB69:BE69)</f>
        <v>0</v>
      </c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0" t="inlineStr">
        <is>
          <t>% of Debt</t>
        </is>
      </c>
      <c r="D70" s="53" t="n"/>
      <c r="E70" s="53" t="n"/>
      <c r="F70" s="53" t="n"/>
      <c r="G70" s="53" t="n"/>
      <c r="H70" s="12" t="n"/>
      <c r="I70" s="53">
        <f>IFERROR(-I69/SUM(I207+I212),"")</f>
        <v>0.005418248017526</v>
      </c>
      <c r="J70" s="53">
        <f>IFERROR(-J69/SUM(J207+J212),"")</f>
        <v>0.00526185127549939</v>
      </c>
      <c r="K70" s="53">
        <f>IFERROR(-K69/SUM(K207+K212),"")</f>
        <v>0.00489306659487047</v>
      </c>
      <c r="L70" s="53">
        <f>IFERROR(-L69/SUM(L207+L212),"")</f>
        <v>0.00482093256024685</v>
      </c>
      <c r="M70" s="12" t="n"/>
      <c r="N70" s="53">
        <f>IFERROR(-N69/SUM(N207+N212),"")</f>
        <v>0.0051427117658461</v>
      </c>
      <c r="O70" s="53">
        <f>IFERROR(-O69/SUM(O207+O212),"")</f>
        <v>0.0048293663538284</v>
      </c>
      <c r="P70" s="53">
        <f>IFERROR(-P69/SUM(P207+P212),"")</f>
        <v>0.00512952846101558</v>
      </c>
      <c r="Q70" s="53">
        <f>IFERROR(-Q69/SUM(Q207+Q212),"")</f>
        <v>0.00517285972928701</v>
      </c>
      <c r="R70" s="12" t="n"/>
      <c r="S70" s="53">
        <f>IFERROR(-S69/SUM(S207+S212),"")</f>
        <v>0.00544387722679998</v>
      </c>
      <c r="T70" s="53">
        <f>IFERROR(-T69/SUM(T207+T212),"")</f>
        <v>0.00639213602550478</v>
      </c>
      <c r="U70" s="53">
        <f>IFERROR(-U69/SUM(U207+U212),"")</f>
        <v>0.00617801202877783</v>
      </c>
      <c r="V70" s="53">
        <f>IFERROR(-V69/SUM(V207+V212),"")</f>
        <v>0.00547862661692824</v>
      </c>
      <c r="W70" s="12" t="n"/>
      <c r="X70" s="53">
        <f>IFERROR(-X69/SUM(X207+X212),"")</f>
        <v>0.0068519804359935</v>
      </c>
      <c r="Y70" s="53">
        <f>IFERROR(-Y69/SUM(Y207+Y212),"")</f>
        <v>0.0063547002630486</v>
      </c>
      <c r="Z70" s="53">
        <f>IFERROR(-Z69/SUM(Z207+Z212),"")</f>
        <v>0.00619221907666205</v>
      </c>
      <c r="AA70" s="53">
        <f>IFERROR(-AA69/SUM(AA207+AA212),"")</f>
        <v>0.00667871431034175</v>
      </c>
      <c r="AB70" s="12" t="n"/>
      <c r="AC70" s="53">
        <f>IFERROR(-AC69/SUM(AC207+AC212),"")</f>
        <v>0.00632725705487863</v>
      </c>
      <c r="AD70" s="53">
        <f>IFERROR(-AD69/SUM(AD207+AD212),"")</f>
        <v>0.00624000721735775</v>
      </c>
      <c r="AE70" s="53">
        <f>IFERROR(-AE69/SUM(AE207+AE212),"")</f>
        <v>0.00422522620016656</v>
      </c>
      <c r="AF70" s="55">
        <f>IFERROR(-AF69/SUM(AF207+AF212),"")</f>
        <v>0.00523727736865633</v>
      </c>
      <c r="AG70" s="12" t="n"/>
      <c r="AH70" s="11">
        <f>IFERROR(-AH69/SUM(AH207+AH212),"")</f>
        <v>0</v>
      </c>
      <c r="AI70" s="11">
        <f>IFERROR(-AI69/SUM(AI207+AI212),"")</f>
        <v>0</v>
      </c>
      <c r="AJ70" s="11" t="str">
        <f>IFERROR(Control!$E$9,0)</f>
        <v/>
      </c>
      <c r="AK70" s="11" t="str">
        <f>IFERROR(Control!$E$9,0)</f>
        <v/>
      </c>
      <c r="AL70" s="12" t="n"/>
      <c r="AM70" s="11" t="str">
        <f>IFERROR(Control!$E$9,0)</f>
        <v/>
      </c>
      <c r="AN70" s="11" t="str">
        <f>IFERROR(Control!$E$9,0)</f>
        <v/>
      </c>
      <c r="AO70" s="11" t="str">
        <f>IFERROR(Control!$E$9,0)</f>
        <v/>
      </c>
      <c r="AP70" s="11" t="str">
        <f>IFERROR(Control!$E$9,0)</f>
        <v/>
      </c>
      <c r="AQ70" s="12" t="n"/>
      <c r="AR70" s="11" t="str">
        <f>IFERROR(Control!$E$9,0)</f>
        <v/>
      </c>
      <c r="AS70" s="11" t="str">
        <f>IFERROR(Control!$E$9,0)</f>
        <v/>
      </c>
      <c r="AT70" s="11" t="str">
        <f>IFERROR(Control!$E$9,0)</f>
        <v/>
      </c>
      <c r="AU70" s="11" t="str">
        <f>IFERROR(Control!$E$9,0)</f>
        <v/>
      </c>
      <c r="AV70" s="12" t="n"/>
      <c r="AW70" s="11" t="str">
        <f>IFERROR(Control!$E$9,0)</f>
        <v/>
      </c>
      <c r="AX70" s="11" t="str">
        <f>IFERROR(Control!$E$9,0)</f>
        <v/>
      </c>
      <c r="AY70" s="11" t="str">
        <f>IFERROR(Control!$E$9,0)</f>
        <v/>
      </c>
      <c r="AZ70" s="11" t="str">
        <f>IFERROR(Control!$E$9,0)</f>
        <v/>
      </c>
      <c r="BA70" s="12" t="n"/>
      <c r="BB70" s="11" t="str">
        <f>IFERROR(Control!$E$9,0)</f>
        <v/>
      </c>
      <c r="BC70" s="11" t="str">
        <f>IFERROR(Control!$E$9,0)</f>
        <v/>
      </c>
      <c r="BD70" s="11" t="str">
        <f>IFERROR(Control!$E$9,0)</f>
        <v/>
      </c>
      <c r="BE70" s="11" t="str">
        <f>IFERROR(Control!$E$9,0)</f>
        <v/>
      </c>
      <c r="BF70" s="12" t="n"/>
      <c r="BG70" s="11" t="n"/>
      <c r="BH70" s="11" t="n"/>
      <c r="BI70" s="11" t="n"/>
      <c r="BJ70" s="11" t="n"/>
      <c r="BK70" s="12" t="n"/>
      <c r="BL70" s="11" t="n"/>
      <c r="BM70" s="11" t="n"/>
      <c r="BN70" s="11" t="n"/>
      <c r="BO70" s="11" t="n"/>
      <c r="BP70" s="12" t="n"/>
      <c r="BQ70" s="11" t="n"/>
      <c r="BR70" s="11" t="n"/>
      <c r="BS70" s="11" t="n"/>
      <c r="BT70" s="11" t="n"/>
      <c r="BU70" s="12" t="n"/>
      <c r="BV70" s="11" t="n"/>
      <c r="BW70" s="11" t="n"/>
      <c r="BX70" s="11" t="n"/>
      <c r="BY70" s="11" t="n"/>
      <c r="BZ70" s="12" t="n"/>
      <c r="CA70" s="11" t="n"/>
      <c r="CB70" s="11" t="n"/>
      <c r="CC70" s="11" t="n"/>
      <c r="CD70" s="11" t="n"/>
      <c r="CE70" s="12" t="n"/>
      <c r="CF70" s="11" t="n"/>
      <c r="CG70" s="11" t="n"/>
      <c r="CH70" s="11" t="n"/>
      <c r="CI70" s="11" t="n"/>
      <c r="CJ70" s="12" t="n"/>
      <c r="CK70" s="11" t="n"/>
      <c r="CL70" s="11" t="n"/>
      <c r="CM70" s="11" t="n"/>
      <c r="CN70" s="11" t="n"/>
      <c r="CO70" s="12" t="n"/>
      <c r="CP70" s="11" t="n"/>
      <c r="CQ70" s="11" t="n"/>
      <c r="CR70" s="11" t="n"/>
      <c r="CS70" s="11" t="n"/>
      <c r="CT70" s="12" t="n"/>
      <c r="CU70" s="11" t="n"/>
      <c r="CV70" s="11" t="n"/>
      <c r="CW70" s="11" t="n"/>
      <c r="CX70" s="11" t="n"/>
      <c r="CY70" s="12" t="n"/>
    </row>
    <row r="71" hidden="1" outlineLevel="1">
      <c r="C71" s="50" t="inlineStr">
        <is>
          <t>%CDI</t>
        </is>
      </c>
      <c r="D71" s="11" t="n"/>
      <c r="E71" s="11" t="n"/>
      <c r="F71" s="11" t="n"/>
      <c r="G71" s="11" t="n"/>
      <c r="H71" s="12" t="n"/>
      <c r="I71" s="11" t="n"/>
      <c r="J71" s="11" t="n"/>
      <c r="K71" s="11" t="n"/>
      <c r="L71" s="11" t="n"/>
      <c r="M71" s="12" t="n"/>
      <c r="N71" s="11" t="n"/>
      <c r="O71" s="11" t="n"/>
      <c r="P71" s="11" t="n"/>
      <c r="Q71" s="11" t="n"/>
      <c r="R71" s="12" t="n"/>
      <c r="S71" s="11" t="n"/>
      <c r="T71" s="11" t="n"/>
      <c r="U71" s="11" t="n"/>
      <c r="V71" s="11" t="n"/>
      <c r="W71" s="12" t="n"/>
      <c r="X71" s="11" t="n"/>
      <c r="Y71" s="11" t="n"/>
      <c r="Z71" s="11" t="n"/>
      <c r="AA71" s="11" t="n"/>
      <c r="AB71" s="12" t="n"/>
      <c r="AC71" s="11" t="n"/>
      <c r="AD71" s="11" t="n"/>
      <c r="AE71" s="11" t="n"/>
      <c r="AF71" s="11" t="n"/>
      <c r="AG71" s="12" t="n"/>
      <c r="AH71" s="11" t="n"/>
      <c r="AI71" s="11" t="n"/>
      <c r="AJ71" s="11" t="n"/>
      <c r="AK71" s="11" t="n"/>
      <c r="AL71" s="12" t="n"/>
      <c r="AM71" s="11" t="n"/>
      <c r="AN71" s="11" t="n"/>
      <c r="AO71" s="11" t="n"/>
      <c r="AP71" s="11" t="n"/>
      <c r="AQ71" s="12" t="n"/>
      <c r="AR71" s="11" t="n"/>
      <c r="AS71" s="11" t="n"/>
      <c r="AT71" s="11" t="n"/>
      <c r="AU71" s="11" t="n"/>
      <c r="AV71" s="12" t="n"/>
      <c r="AW71" s="11" t="n"/>
      <c r="AX71" s="11" t="n"/>
      <c r="AY71" s="11" t="n"/>
      <c r="AZ71" s="11" t="n"/>
      <c r="BA71" s="12" t="n"/>
      <c r="BB71" s="11" t="n"/>
      <c r="BC71" s="11" t="n"/>
      <c r="BD71" s="11" t="n"/>
      <c r="BE71" s="11" t="n"/>
      <c r="BF71" s="12" t="n"/>
      <c r="BG71" s="11" t="n"/>
      <c r="BH71" s="11" t="n"/>
      <c r="BI71" s="11" t="n"/>
      <c r="BJ71" s="11" t="n"/>
      <c r="BK71" s="12" t="n"/>
      <c r="BL71" s="11" t="n"/>
      <c r="BM71" s="11" t="n"/>
      <c r="BN71" s="11" t="n"/>
      <c r="BO71" s="11" t="n"/>
      <c r="BP71" s="12" t="n"/>
      <c r="BQ71" s="11" t="n"/>
      <c r="BR71" s="11" t="n"/>
      <c r="BS71" s="11" t="n"/>
      <c r="BT71" s="11" t="n"/>
      <c r="BU71" s="12" t="n"/>
      <c r="BV71" s="11" t="n"/>
      <c r="BW71" s="11" t="n"/>
      <c r="BX71" s="11" t="n"/>
      <c r="BY71" s="11" t="n"/>
      <c r="BZ71" s="12" t="n"/>
      <c r="CA71" s="11" t="n"/>
      <c r="CB71" s="11" t="n"/>
      <c r="CC71" s="11" t="n"/>
      <c r="CD71" s="11" t="n"/>
      <c r="CE71" s="12" t="n"/>
      <c r="CF71" s="11" t="n"/>
      <c r="CG71" s="11" t="n"/>
      <c r="CH71" s="11" t="n"/>
      <c r="CI71" s="11" t="n"/>
      <c r="CJ71" s="12" t="n"/>
      <c r="CK71" s="11" t="n"/>
      <c r="CL71" s="11" t="n"/>
      <c r="CM71" s="11" t="n"/>
      <c r="CN71" s="11" t="n"/>
      <c r="CO71" s="12" t="n"/>
      <c r="CP71" s="11" t="n"/>
      <c r="CQ71" s="11" t="n"/>
      <c r="CR71" s="11" t="n"/>
      <c r="CS71" s="11" t="n"/>
      <c r="CT71" s="12" t="n"/>
      <c r="CU71" s="11" t="n"/>
      <c r="CV71" s="11" t="n"/>
      <c r="CW71" s="11" t="n"/>
      <c r="CX71" s="11" t="n"/>
      <c r="CY71" s="12" t="n"/>
    </row>
    <row r="72" hidden="1" outlineLevel="1">
      <c r="C72" s="57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inlineStr">
        <is>
          <t>RECEITA FINANCEIRA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DESPESA FINANCEIRA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OUTROS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Cash and equivalents (inc. investment securities)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Interest on cash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Average interest rate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% CDI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Current portion of long-term debt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Short term debt (Revolving credit facility)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Long term debt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Convertible debt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Total debt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Interest expense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Average interest rate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Stake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PRE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CDI+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Spread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PRE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CDI+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RECEITAS FINANCEIRAS - Rendimentos de aplicações financeiras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Variação cambial ativa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Atualização de contas a pagar por aquisição de empresas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RECEITAS FINANCEIRAS - Resultado positivo com instrumentos derivativos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RECEITAS FINANCEIRAS - Descontos obtidos de fornecedores por antecipação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RECEITAS FINANCEIRAS - Atualização monetária sobre Exclusão ICMS da base de PIS/COFINS (nota explicativa nº 7)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RECEITAS FINANCEIRAS - Outras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DESPESAS FINANCEIRAS - Encargos sobre empréstimos, financiamentos e debêntures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Variação cambial passiva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Resultado negativo com instrumentos derivativos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Juros sobre arrendamento - IFRS16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Despesas bancárias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DESPESAS FINANCEIRAS - Despesas com obtenção de empréstimos e financiamentos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DESPESAS FINANCEIRAS - Atualização de contas a pagar por aquisição de empresas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DESPESAS FINANCEIRAS - Outras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CHECK [EX IFRS-16]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collapsed="1">
      <c r="C118" s="14" t="inlineStr">
        <is>
          <t>Nonoperating Income / (Loss)</t>
        </is>
      </c>
      <c r="D118" s="46" t="n"/>
      <c r="E118" s="46" t="n"/>
      <c r="F118" s="46" t="n"/>
      <c r="G118" s="46" t="n"/>
      <c r="H118" s="12" t="n"/>
      <c r="I118" s="46">
        <f>'Inputs (2)'!D9</f>
        <v>1564.2</v>
      </c>
      <c r="J118" s="46">
        <f>'Inputs (2)'!E9</f>
        <v>1680.8</v>
      </c>
      <c r="K118" s="46">
        <f>'Inputs (2)'!F9</f>
        <v>1328.9</v>
      </c>
      <c r="L118" s="46">
        <f>'Inputs (2)'!G9</f>
        <v>1921.3</v>
      </c>
      <c r="M118" s="12">
        <f>'Inputs (2)'!H9</f>
        <v>6495.2</v>
      </c>
      <c r="N118" s="46">
        <f>'Inputs (2)'!I9</f>
        <v>2138.5</v>
      </c>
      <c r="O118" s="46">
        <f>'Inputs (2)'!J9</f>
        <v>1172.1</v>
      </c>
      <c r="P118" s="46">
        <f>'Inputs (2)'!K9</f>
        <v>1647</v>
      </c>
      <c r="Q118" s="46">
        <f>'Inputs (2)'!L9</f>
        <v>2180.4</v>
      </c>
      <c r="R118" s="12">
        <f>'Inputs (2)'!M9</f>
        <v>7138</v>
      </c>
      <c r="S118" s="46">
        <f>'Inputs (2)'!N9</f>
        <v>1632.5</v>
      </c>
      <c r="T118" s="46">
        <f>'Inputs (2)'!O9</f>
        <v>2209.2</v>
      </c>
      <c r="U118" s="46">
        <f>'Inputs (2)'!P9</f>
        <v>551.8</v>
      </c>
      <c r="V118" s="46">
        <f>'Inputs (2)'!Q9</f>
        <v>2647</v>
      </c>
      <c r="W118" s="12">
        <f>'Inputs (2)'!R9</f>
        <v>7040.5</v>
      </c>
      <c r="X118" s="46">
        <f>'Inputs (2)'!S9</f>
        <v>2715.7</v>
      </c>
      <c r="Y118" s="46">
        <f>'Inputs (2)'!T9</f>
        <v>3700.8</v>
      </c>
      <c r="Z118" s="46">
        <f>'Inputs (2)'!U9</f>
        <v>1781.1</v>
      </c>
      <c r="AA118" s="46">
        <f>'Inputs (2)'!V9</f>
        <v>5263.4</v>
      </c>
      <c r="AB118" s="12">
        <f>'Inputs (2)'!W9</f>
        <v>13461</v>
      </c>
      <c r="AC118" s="46">
        <f>'Inputs (2)'!X9</f>
        <v>3699.7</v>
      </c>
      <c r="AD118" s="46">
        <f>'Inputs (2)'!Y9</f>
        <v>7026</v>
      </c>
      <c r="AE118" s="46">
        <f>'Inputs (2)'!Z9</f>
        <v>7412</v>
      </c>
      <c r="AF118" s="46">
        <f>'Inputs (2)'!AA9</f>
        <v>8488.8</v>
      </c>
      <c r="AG118" s="12">
        <f>'Inputs (2)'!AB9</f>
        <v>26626.5</v>
      </c>
      <c r="AH118" s="12">
        <f>'Inputs (2)'!AC9</f>
        <v>8850</v>
      </c>
      <c r="AI118" s="12">
        <f>'Inputs (2)'!AD9</f>
        <v>9247</v>
      </c>
      <c r="AJ118" s="12">
        <f>AJ15*Control!$B$23</f>
        <v>10724.4616088043</v>
      </c>
      <c r="AK118" s="12">
        <f>AK15*Control!$B$23</f>
        <v>11754.9380344674</v>
      </c>
      <c r="AL118" s="12">
        <f>SUM(AH118:AK118)</f>
        <v>40576.3996432717</v>
      </c>
      <c r="AM118" s="12">
        <f>AM15*Control!$C$23</f>
        <v>12063.8616081495</v>
      </c>
      <c r="AN118" s="12">
        <f>AN15*Control!$C$23</f>
        <v>13998.4421731212</v>
      </c>
      <c r="AO118" s="12">
        <f>AO15*Control!$C$23</f>
        <v>15773.0876787463</v>
      </c>
      <c r="AP118" s="12">
        <f>AP15*Control!$C$23</f>
        <v>17288.669122902</v>
      </c>
      <c r="AQ118" s="12">
        <f>SUM(AM118:AP118)</f>
        <v>59124.0605829189</v>
      </c>
      <c r="AR118" s="12">
        <f>AR15*Control!$D$23</f>
        <v>17682.7016314335</v>
      </c>
      <c r="AS118" s="12">
        <f>AS15*Control!$D$23</f>
        <v>20518.3285661171</v>
      </c>
      <c r="AT118" s="12">
        <f>AT15*Control!$D$23</f>
        <v>23119.5294085021</v>
      </c>
      <c r="AU118" s="12">
        <f>AU15*Control!$D$23</f>
        <v>25341.0050309544</v>
      </c>
      <c r="AV118" s="12">
        <f>SUM(AR118:AU118)</f>
        <v>86661.5646370071</v>
      </c>
      <c r="AW118" s="12">
        <f>AW15*Control!$E$23</f>
        <v>25830.147823405</v>
      </c>
      <c r="AX118" s="12">
        <f>AX15*Control!$E$23</f>
        <v>29972.312545831</v>
      </c>
      <c r="AY118" s="12">
        <f>AY15*Control!$E$23</f>
        <v>33772.037479137</v>
      </c>
      <c r="AZ118" s="12">
        <f>AZ15*Control!$E$23</f>
        <v>37017.0757606194</v>
      </c>
      <c r="BA118" s="12">
        <f>SUM(AW118:AZ118)</f>
        <v>126591.573608992</v>
      </c>
      <c r="BB118" s="12">
        <f>BB15*Control!$F$23</f>
        <v>37602.4442674356</v>
      </c>
      <c r="BC118" s="12">
        <f>BC15*Control!$F$23</f>
        <v>43632.4336885734</v>
      </c>
      <c r="BD118" s="12">
        <f>BD15*Control!$F$23</f>
        <v>49163.9136480788</v>
      </c>
      <c r="BE118" s="12">
        <f>BE15*Control!$F$23</f>
        <v>53887.9040781519</v>
      </c>
      <c r="BF118" s="12">
        <f>SUM(BB118:BE118)</f>
        <v>184286.69568224</v>
      </c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0" t="inlineStr">
        <is>
          <t>Resultado Não Recorrente</t>
        </is>
      </c>
      <c r="D120" s="11" t="n"/>
      <c r="E120" s="11" t="n"/>
      <c r="F120" s="11" t="n"/>
      <c r="G120" s="11" t="n"/>
      <c r="H120" s="12" t="n"/>
      <c r="I120" s="11" t="n"/>
      <c r="J120" s="11" t="n"/>
      <c r="K120" s="11" t="n"/>
      <c r="L120" s="11" t="n"/>
      <c r="M120" s="12" t="n"/>
      <c r="N120" s="11" t="n"/>
      <c r="O120" s="11" t="n"/>
      <c r="P120" s="11" t="n"/>
      <c r="Q120" s="11" t="n"/>
      <c r="R120" s="12" t="n"/>
      <c r="S120" s="11" t="n"/>
      <c r="T120" s="11" t="n"/>
      <c r="U120" s="11" t="n"/>
      <c r="V120" s="11" t="n"/>
      <c r="W120" s="12" t="n"/>
      <c r="X120" s="11" t="n"/>
      <c r="Y120" s="11" t="n"/>
      <c r="Z120" s="11" t="n"/>
      <c r="AA120" s="11" t="n"/>
      <c r="AB120" s="12" t="n"/>
      <c r="AC120" s="11" t="n"/>
      <c r="AD120" s="11" t="n"/>
      <c r="AE120" s="11" t="n"/>
      <c r="AF120" s="11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0" t="inlineStr">
        <is>
          <t>Plano de Opção de Compra de Ações</t>
        </is>
      </c>
      <c r="D121" s="11" t="n"/>
      <c r="E121" s="11" t="n"/>
      <c r="F121" s="11" t="n"/>
      <c r="G121" s="11" t="n"/>
      <c r="H121" s="12" t="n"/>
      <c r="I121" s="11" t="n"/>
      <c r="J121" s="11" t="n"/>
      <c r="K121" s="11" t="n"/>
      <c r="L121" s="11" t="n"/>
      <c r="M121" s="12" t="n"/>
      <c r="N121" s="11" t="n"/>
      <c r="O121" s="11" t="n"/>
      <c r="P121" s="11" t="n"/>
      <c r="Q121" s="11" t="n"/>
      <c r="R121" s="12" t="n"/>
      <c r="S121" s="11" t="n"/>
      <c r="T121" s="11" t="n"/>
      <c r="U121" s="11" t="n"/>
      <c r="V121" s="11" t="n"/>
      <c r="W121" s="12" t="n"/>
      <c r="X121" s="11" t="n"/>
      <c r="Y121" s="11" t="n"/>
      <c r="Z121" s="11" t="n"/>
      <c r="AA121" s="11" t="n"/>
      <c r="AB121" s="12" t="n"/>
      <c r="AC121" s="11" t="n"/>
      <c r="AD121" s="11" t="n"/>
      <c r="AE121" s="11" t="n"/>
      <c r="AF121" s="11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0" t="inlineStr">
        <is>
          <t>Baixa Imobilizado</t>
        </is>
      </c>
      <c r="D122" s="11" t="n"/>
      <c r="E122" s="11" t="n"/>
      <c r="F122" s="11" t="n"/>
      <c r="G122" s="11" t="n"/>
      <c r="H122" s="12" t="n"/>
      <c r="I122" s="11" t="n"/>
      <c r="J122" s="11" t="n"/>
      <c r="K122" s="11" t="n"/>
      <c r="L122" s="11" t="n"/>
      <c r="M122" s="12" t="n"/>
      <c r="N122" s="11" t="n"/>
      <c r="O122" s="11" t="n"/>
      <c r="P122" s="11" t="n"/>
      <c r="Q122" s="11" t="n"/>
      <c r="R122" s="12" t="n"/>
      <c r="S122" s="11" t="n"/>
      <c r="T122" s="11" t="n"/>
      <c r="U122" s="11" t="n"/>
      <c r="V122" s="11" t="n"/>
      <c r="W122" s="12" t="n"/>
      <c r="X122" s="11" t="n"/>
      <c r="Y122" s="11" t="n"/>
      <c r="Z122" s="11" t="n"/>
      <c r="AA122" s="11" t="n"/>
      <c r="AB122" s="12" t="n"/>
      <c r="AC122" s="11" t="n"/>
      <c r="AD122" s="11" t="n"/>
      <c r="AE122" s="11" t="n"/>
      <c r="AF122" s="11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collapsed="1" customFormat="1" s="32">
      <c r="A125" s="30" t="n"/>
      <c r="B125" s="3" t="n"/>
      <c r="C125" s="33" t="inlineStr">
        <is>
          <t>Pretax Income - EBT</t>
        </is>
      </c>
      <c r="D125" s="35" t="n"/>
      <c r="E125" s="35" t="n"/>
      <c r="F125" s="35" t="n"/>
      <c r="G125" s="35" t="n"/>
      <c r="H125" s="35" t="n"/>
      <c r="I125" s="35">
        <f>SUM(I68,I69,I118)</f>
        <v>1476.4</v>
      </c>
      <c r="J125" s="35">
        <f>SUM(J68,J69,J118)</f>
        <v>1593.9</v>
      </c>
      <c r="K125" s="35">
        <f>SUM(K68,K69,K118)</f>
        <v>1245.3</v>
      </c>
      <c r="L125" s="35">
        <f>SUM(L68,L69,L118)</f>
        <v>1839.9</v>
      </c>
      <c r="M125" s="35">
        <f>SUM(I125:L125)</f>
        <v>6155.5</v>
      </c>
      <c r="N125" s="35">
        <f>SUM(N68,N69,N118)</f>
        <v>2053.6</v>
      </c>
      <c r="O125" s="35">
        <f>SUM(O68,O69,O118)</f>
        <v>1090.9</v>
      </c>
      <c r="P125" s="35">
        <f>SUM(P68,P69,P118)</f>
        <v>1565.5</v>
      </c>
      <c r="Q125" s="35">
        <f>SUM(Q68,Q69,Q118)</f>
        <v>2096.4</v>
      </c>
      <c r="R125" s="35">
        <f>SUM(N125:Q125)</f>
        <v>6806.4</v>
      </c>
      <c r="S125" s="35">
        <f>SUM(S68,S69,S118)</f>
        <v>1529.7</v>
      </c>
      <c r="T125" s="35">
        <f>SUM(T68,T69,T118)</f>
        <v>2088.9</v>
      </c>
      <c r="U125" s="35">
        <f>SUM(U68,U69,U118)</f>
        <v>427.2</v>
      </c>
      <c r="V125" s="35">
        <f>SUM(V68,V69,V118)</f>
        <v>2508.8</v>
      </c>
      <c r="W125" s="35">
        <f>SUM(S125:V125)</f>
        <v>6554.6</v>
      </c>
      <c r="X125" s="35">
        <f>SUM(X68,X69,X118)</f>
        <v>2536.1</v>
      </c>
      <c r="Y125" s="35">
        <f>SUM(Y68,Y69,Y118)</f>
        <v>3517.2</v>
      </c>
      <c r="Z125" s="35">
        <f>SUM(Z68,Z69,Z118)</f>
        <v>1588.4</v>
      </c>
      <c r="AA125" s="35">
        <f>SUM(AA68,AA69,AA118)</f>
        <v>5038.7</v>
      </c>
      <c r="AB125" s="35">
        <f>SUM(X125:AA125)</f>
        <v>12680.4</v>
      </c>
      <c r="AC125" s="35">
        <f>SUM(AC68,AC69,AC118)</f>
        <v>3456</v>
      </c>
      <c r="AD125" s="35">
        <f>SUM(AD68,AD69,AD118)</f>
        <v>6777</v>
      </c>
      <c r="AE125" s="35">
        <f>SUM(AE68,AE69,AE118)</f>
        <v>7232.4</v>
      </c>
      <c r="AF125" s="35">
        <f>SUM(AF68,AF69,AF118)</f>
        <v>8266.2</v>
      </c>
      <c r="AG125" s="35">
        <f>SUM(AC125:AF125)</f>
        <v>25731.6</v>
      </c>
      <c r="AH125" s="35">
        <f>SUM(AH68,AH69,AH118)</f>
        <v>8850</v>
      </c>
      <c r="AI125" s="35">
        <f>SUM(AI68,AI69,AI118)</f>
        <v>9247</v>
      </c>
      <c r="AJ125" s="35">
        <f>SUM(AJ68,AJ69,AJ118:AJ123)</f>
        <v>10724.4616088043</v>
      </c>
      <c r="AK125" s="35">
        <f>SUM(AK68,AK69,AK118:AK123)</f>
        <v>11754.9380344674</v>
      </c>
      <c r="AL125" s="35">
        <f>SUM(AH125:AK125)</f>
        <v>40576.3996432717</v>
      </c>
      <c r="AM125" s="35">
        <f>SUM(AM68,AM69,AM118:AM123)</f>
        <v>12063.8616081495</v>
      </c>
      <c r="AN125" s="35">
        <f>SUM(AN68,AN69,AN118:AN123)</f>
        <v>13998.4421731212</v>
      </c>
      <c r="AO125" s="35">
        <f>SUM(AO68,AO69,AO118:AO123)</f>
        <v>15773.0876787463</v>
      </c>
      <c r="AP125" s="35">
        <f>SUM(AP68,AP69,AP118:AP123)</f>
        <v>17288.669122902</v>
      </c>
      <c r="AQ125" s="35">
        <f>SUM(AM125:AP125)</f>
        <v>59124.0605829189</v>
      </c>
      <c r="AR125" s="35">
        <f>SUM(AR68,AR69,AR118:AR123)</f>
        <v>17682.7016314335</v>
      </c>
      <c r="AS125" s="35">
        <f>SUM(AS68,AS69,AS118:AS123)</f>
        <v>20518.3285661171</v>
      </c>
      <c r="AT125" s="35">
        <f>SUM(AT68,AT69,AT118:AT123)</f>
        <v>23119.5294085021</v>
      </c>
      <c r="AU125" s="35">
        <f>SUM(AU68,AU69,AU118:AU123)</f>
        <v>25341.0050309544</v>
      </c>
      <c r="AV125" s="35">
        <f>SUM(AR125:AU125)</f>
        <v>86661.5646370071</v>
      </c>
      <c r="AW125" s="35">
        <f>SUM(AW68,AW69,AW118:AW123)</f>
        <v>25830.147823405</v>
      </c>
      <c r="AX125" s="35">
        <f>SUM(AX68,AX69,AX118:AX123)</f>
        <v>29972.3125458309</v>
      </c>
      <c r="AY125" s="35">
        <f>SUM(AY68,AY69,AY118:AY123)</f>
        <v>33772.037479137</v>
      </c>
      <c r="AZ125" s="35">
        <f>SUM(AZ68,AZ69,AZ118:AZ123)</f>
        <v>37017.0757606194</v>
      </c>
      <c r="BA125" s="35">
        <f>SUM(AW125:AZ125)</f>
        <v>126591.573608992</v>
      </c>
      <c r="BB125" s="35">
        <f>SUM(BB68,BB69,BB118:BB123)</f>
        <v>37602.4442674356</v>
      </c>
      <c r="BC125" s="35">
        <f>SUM(BC68,BC69,BC118:BC123)</f>
        <v>43632.4336885734</v>
      </c>
      <c r="BD125" s="35">
        <f>SUM(BD68,BD69,BD118:BD123)</f>
        <v>49163.9136480788</v>
      </c>
      <c r="BE125" s="35">
        <f>SUM(BE68,BE69,BE118:BE123)</f>
        <v>53887.9040781519</v>
      </c>
      <c r="BF125" s="35">
        <f>SUM(BB125:BE125)</f>
        <v>184286.69568224</v>
      </c>
      <c r="BG125" s="35" t="n"/>
      <c r="BH125" s="35" t="n"/>
      <c r="BI125" s="35" t="n"/>
      <c r="BJ125" s="35" t="n"/>
      <c r="BK125" s="35" t="n"/>
      <c r="BL125" s="35" t="n"/>
      <c r="BM125" s="35" t="n"/>
      <c r="BN125" s="35" t="n"/>
      <c r="BO125" s="35" t="n"/>
      <c r="BP125" s="35" t="n"/>
      <c r="BQ125" s="35" t="n"/>
      <c r="BR125" s="35" t="n"/>
      <c r="BS125" s="35" t="n"/>
      <c r="BT125" s="35" t="n"/>
      <c r="BU125" s="35" t="n"/>
      <c r="BV125" s="35" t="n"/>
      <c r="BW125" s="35" t="n"/>
      <c r="BX125" s="35" t="n"/>
      <c r="BY125" s="35" t="n"/>
      <c r="BZ125" s="35" t="n"/>
      <c r="CA125" s="35" t="n"/>
      <c r="CB125" s="35" t="n"/>
      <c r="CC125" s="35" t="n"/>
      <c r="CD125" s="35" t="n"/>
      <c r="CE125" s="35" t="n"/>
      <c r="CF125" s="35" t="n"/>
      <c r="CG125" s="35" t="n"/>
      <c r="CH125" s="35" t="n"/>
      <c r="CI125" s="35" t="n"/>
      <c r="CJ125" s="35" t="n"/>
      <c r="CK125" s="35" t="n"/>
      <c r="CL125" s="35" t="n"/>
      <c r="CM125" s="35" t="n"/>
      <c r="CN125" s="35" t="n"/>
      <c r="CO125" s="35" t="n"/>
      <c r="CP125" s="35" t="n"/>
      <c r="CQ125" s="35" t="n"/>
      <c r="CR125" s="35" t="n"/>
      <c r="CS125" s="35" t="n"/>
      <c r="CT125" s="35" t="n"/>
      <c r="CU125" s="35" t="n"/>
      <c r="CV125" s="35" t="n"/>
      <c r="CW125" s="35" t="n"/>
      <c r="CX125" s="35" t="n"/>
      <c r="CY125" s="35" t="n"/>
    </row>
    <row r="126">
      <c r="C126" s="14" t="inlineStr">
        <is>
          <t>Taxes</t>
        </is>
      </c>
      <c r="D126" s="46" t="n"/>
      <c r="E126" s="46" t="n"/>
      <c r="F126" s="46" t="n"/>
      <c r="G126" s="46" t="n"/>
      <c r="H126" s="12" t="n"/>
      <c r="I126" s="46">
        <f>'Inputs (2)'!D10</f>
        <v>-121.1</v>
      </c>
      <c r="J126" s="46">
        <f>'Inputs (2)'!E10</f>
        <v>-203.7</v>
      </c>
      <c r="K126" s="46">
        <f>'Inputs (2)'!F10</f>
        <v>-135.2</v>
      </c>
      <c r="L126" s="46">
        <f>'Inputs (2)'!G10</f>
        <v>-113.8</v>
      </c>
      <c r="M126" s="12">
        <f>'Inputs (2)'!H10</f>
        <v>-573.8</v>
      </c>
      <c r="N126" s="46">
        <f>'Inputs (2)'!I10</f>
        <v>-150.7</v>
      </c>
      <c r="O126" s="46">
        <f>'Inputs (2)'!J10</f>
        <v>-138.4</v>
      </c>
      <c r="P126" s="46">
        <f>'Inputs (2)'!K10</f>
        <v>-113.8</v>
      </c>
      <c r="Q126" s="46">
        <f>'Inputs (2)'!L10</f>
        <v>-158.7</v>
      </c>
      <c r="R126" s="12">
        <f>'Inputs (2)'!M10</f>
        <v>-561.6</v>
      </c>
      <c r="S126" s="46">
        <f>'Inputs (2)'!N10</f>
        <v>-184.8</v>
      </c>
      <c r="T126" s="46">
        <f>'Inputs (2)'!O10</f>
        <v>-325.7</v>
      </c>
      <c r="U126" s="46">
        <f>'Inputs (2)'!P10</f>
        <v>-484.6</v>
      </c>
      <c r="V126" s="46">
        <f>'Inputs (2)'!Q10</f>
        <v>-319.1</v>
      </c>
      <c r="W126" s="12">
        <f>'Inputs (2)'!R10</f>
        <v>-1314.2</v>
      </c>
      <c r="X126" s="46">
        <f>'Inputs (2)'!S10</f>
        <v>-293.2</v>
      </c>
      <c r="Y126" s="46">
        <f>'Inputs (2)'!T10</f>
        <v>-550.2</v>
      </c>
      <c r="Z126" s="46">
        <f>'Inputs (2)'!U10</f>
        <v>-618.1</v>
      </c>
      <c r="AA126" s="46">
        <f>'Inputs (2)'!V10</f>
        <v>-628.9</v>
      </c>
      <c r="AB126" s="12">
        <f>'Inputs (2)'!W10</f>
        <v>-2090.4</v>
      </c>
      <c r="AC126" s="46">
        <f>'Inputs (2)'!X10</f>
        <v>-697</v>
      </c>
      <c r="AD126" s="46">
        <f>'Inputs (2)'!Y10</f>
        <v>-1116</v>
      </c>
      <c r="AE126" s="46">
        <f>'Inputs (2)'!Z10</f>
        <v>-1649.9</v>
      </c>
      <c r="AF126" s="46">
        <f>'Inputs (2)'!AA10</f>
        <v>-1628.5</v>
      </c>
      <c r="AG126" s="12">
        <f>'Inputs (2)'!AB10</f>
        <v>-5091.4</v>
      </c>
      <c r="AH126" s="12">
        <f>'Inputs (2)'!AC10</f>
        <v>-1454</v>
      </c>
      <c r="AI126" s="12">
        <f>'Inputs (2)'!AD10</f>
        <v>-2152</v>
      </c>
      <c r="AJ126" s="12">
        <f>-AJ125*AJ127</f>
        <v>-2124.34440798808</v>
      </c>
      <c r="AK126" s="12">
        <f>-AK125*AK127</f>
        <v>-2328.46531515079</v>
      </c>
      <c r="AL126" s="12">
        <f>SUM(AH126:AK126)</f>
        <v>-8058.80972313887</v>
      </c>
      <c r="AM126" s="12">
        <f>-AM125*AM127</f>
        <v>-2389.65813677537</v>
      </c>
      <c r="AN126" s="12">
        <f>-AN125*AN127</f>
        <v>-2772.86762130802</v>
      </c>
      <c r="AO126" s="12">
        <f>-AO125*AO127</f>
        <v>-3124.39652723845</v>
      </c>
      <c r="AP126" s="12">
        <f>-AP125*AP127</f>
        <v>-3424.60898388052</v>
      </c>
      <c r="AQ126" s="12">
        <f>SUM(AM126:AP126)</f>
        <v>-11711.5312692024</v>
      </c>
      <c r="AR126" s="12">
        <f>-AR125*AR127</f>
        <v>-3502.66052498326</v>
      </c>
      <c r="AS126" s="12">
        <f>-AS125*AS127</f>
        <v>-4064.35289160894</v>
      </c>
      <c r="AT126" s="12">
        <f>-AT125*AT127</f>
        <v>-4579.6091967868</v>
      </c>
      <c r="AU126" s="12">
        <f>-AU125*AU127</f>
        <v>-5019.64800602308</v>
      </c>
      <c r="AV126" s="12">
        <f>SUM(AR126:AU126)</f>
        <v>-17166.2706194021</v>
      </c>
      <c r="AW126" s="12">
        <f>-AW125*AW127</f>
        <v>-5116.53937397735</v>
      </c>
      <c r="AX126" s="12">
        <f>-AX125*AX127</f>
        <v>-5937.03599059325</v>
      </c>
      <c r="AY126" s="12">
        <f>-AY125*AY127</f>
        <v>-6689.7007590824</v>
      </c>
      <c r="AZ126" s="12">
        <f>-AZ125*AZ127</f>
        <v>-7332.49096883197</v>
      </c>
      <c r="BA126" s="12">
        <f>SUM(AW126:AZ126)</f>
        <v>-25075.767092485</v>
      </c>
      <c r="BB126" s="12">
        <f>-BB125*BB127</f>
        <v>-7448.44311257841</v>
      </c>
      <c r="BC126" s="12">
        <f>-BC125*BC127</f>
        <v>-8642.88762404042</v>
      </c>
      <c r="BD126" s="12">
        <f>-BD125*BD127</f>
        <v>-9738.58538011485</v>
      </c>
      <c r="BE126" s="12">
        <f>-BE125*BE127</f>
        <v>-10674.3323685955</v>
      </c>
      <c r="BF126" s="12">
        <f>SUM(BB126:BE126)</f>
        <v>-36504.2484853292</v>
      </c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7" t="inlineStr">
        <is>
          <t>% ETR</t>
        </is>
      </c>
      <c r="D127" s="53" t="n"/>
      <c r="E127" s="53" t="n"/>
      <c r="F127" s="53" t="n"/>
      <c r="G127" s="53" t="n"/>
      <c r="H127" s="53" t="n"/>
      <c r="I127" s="53">
        <f>IFERROR(-I126/I125,"")</f>
        <v>0.0820238417772961</v>
      </c>
      <c r="J127" s="53">
        <f>IFERROR(-J126/J125,"")</f>
        <v>0.127799736495389</v>
      </c>
      <c r="K127" s="53">
        <f>IFERROR(-K126/K125,"")</f>
        <v>0.108568216494017</v>
      </c>
      <c r="L127" s="53">
        <f>IFERROR(-L126/L125,"")</f>
        <v>0.0618511875645416</v>
      </c>
      <c r="M127" s="53">
        <f>IFERROR(-M126/M125,"")</f>
        <v>0.0932174478109008</v>
      </c>
      <c r="N127" s="53">
        <f>IFERROR(-N126/N125,"")</f>
        <v>0.0733833268406701</v>
      </c>
      <c r="O127" s="53">
        <f>IFERROR(-O126/O125,"")</f>
        <v>0.126867723897699</v>
      </c>
      <c r="P127" s="53">
        <f>IFERROR(-P126/P125,"")</f>
        <v>0.0726924305333759</v>
      </c>
      <c r="Q127" s="53">
        <f>IFERROR(-Q126/Q125,"")</f>
        <v>0.0757012020606754</v>
      </c>
      <c r="R127" s="53">
        <f>IFERROR(-R126/R125,"")</f>
        <v>0.0825105782792666</v>
      </c>
      <c r="S127" s="53">
        <f>IFERROR(-S126/S125,"")</f>
        <v>0.120808001568935</v>
      </c>
      <c r="T127" s="53">
        <f>IFERROR(-T126/T125,"")</f>
        <v>0.155919383407535</v>
      </c>
      <c r="U127" s="53">
        <f>IFERROR(-U126/U125,"")</f>
        <v>1.13436329588015</v>
      </c>
      <c r="V127" s="53">
        <f>IFERROR(-V126/V125,"")</f>
        <v>0.127192283163265</v>
      </c>
      <c r="W127" s="53">
        <f>IFERROR(-W126/W125,"")</f>
        <v>0.20050041192445</v>
      </c>
      <c r="X127" s="53">
        <f>IFERROR(-X126/X125,"")</f>
        <v>0.115610583178897</v>
      </c>
      <c r="Y127" s="53">
        <f>IFERROR(-Y126/Y125,"")</f>
        <v>0.156431252132378</v>
      </c>
      <c r="Z127" s="53">
        <f>IFERROR(-Z126/Z125,"")</f>
        <v>0.38913371946613</v>
      </c>
      <c r="AA127" s="53">
        <f>IFERROR(-AA126/AA125,"")</f>
        <v>0.124813940103598</v>
      </c>
      <c r="AB127" s="53">
        <f>IFERROR(-AB126/AB125,"")</f>
        <v>0.164852843758872</v>
      </c>
      <c r="AC127" s="53">
        <f>IFERROR(-AC126/AC125,"")</f>
        <v>0.201678240740741</v>
      </c>
      <c r="AD127" s="53">
        <f>IFERROR(-AD126/AD125,"")</f>
        <v>0.164674634794157</v>
      </c>
      <c r="AE127" s="53">
        <f>IFERROR(-AE126/AE125,"")</f>
        <v>0.228126209833527</v>
      </c>
      <c r="AF127" s="41">
        <f>IFERROR(-AF126/AF125,"")</f>
        <v>0.197007089109869</v>
      </c>
      <c r="AG127" s="53">
        <f>IFERROR(-AG126/AG125,"")</f>
        <v>0.19786565934493</v>
      </c>
      <c r="AH127" s="41">
        <f>IFERROR(-AH126/AH125,"")</f>
        <v>0.164293785310734</v>
      </c>
      <c r="AI127" s="41">
        <f>IFERROR(-AI126/AI125,"")</f>
        <v>0.232724126743809</v>
      </c>
      <c r="AJ127" s="41">
        <f>Control!$B$22</f>
        <v>0.198084014422139</v>
      </c>
      <c r="AK127" s="41">
        <f>Control!$B$22</f>
        <v>0.198084014422139</v>
      </c>
      <c r="AL127" s="53">
        <f>IFERROR(-AL126/AL125,"")</f>
        <v>0.198608299257403</v>
      </c>
      <c r="AM127" s="41">
        <f>Control!$C$22</f>
        <v>0.198084014422139</v>
      </c>
      <c r="AN127" s="41">
        <f>Control!$C$22</f>
        <v>0.198084014422139</v>
      </c>
      <c r="AO127" s="41">
        <f>Control!$C$22</f>
        <v>0.198084014422139</v>
      </c>
      <c r="AP127" s="41">
        <f>Control!$C$22</f>
        <v>0.198084014422139</v>
      </c>
      <c r="AQ127" s="53">
        <f>IFERROR(-AQ126/AQ125,"")</f>
        <v>0.198084014422139</v>
      </c>
      <c r="AR127" s="41">
        <f>Control!$D$22</f>
        <v>0.198084014422139</v>
      </c>
      <c r="AS127" s="41">
        <f>Control!$D$22</f>
        <v>0.198084014422139</v>
      </c>
      <c r="AT127" s="41">
        <f>Control!$D$22</f>
        <v>0.198084014422139</v>
      </c>
      <c r="AU127" s="41">
        <f>Control!$D$22</f>
        <v>0.198084014422139</v>
      </c>
      <c r="AV127" s="53">
        <f>IFERROR(-AV126/AV125,"")</f>
        <v>0.198084014422139</v>
      </c>
      <c r="AW127" s="41">
        <f>Control!$E$22</f>
        <v>0.198084014422139</v>
      </c>
      <c r="AX127" s="41">
        <f>Control!$E$22</f>
        <v>0.198084014422139</v>
      </c>
      <c r="AY127" s="41">
        <f>Control!$E$22</f>
        <v>0.198084014422139</v>
      </c>
      <c r="AZ127" s="41">
        <f>Control!$E$22</f>
        <v>0.198084014422139</v>
      </c>
      <c r="BA127" s="53">
        <f>IFERROR(-BA126/BA125,"")</f>
        <v>0.198084014422139</v>
      </c>
      <c r="BB127" s="41">
        <f>Control!$F$22</f>
        <v>0.198084014422139</v>
      </c>
      <c r="BC127" s="41">
        <f>Control!$F$22</f>
        <v>0.198084014422139</v>
      </c>
      <c r="BD127" s="41">
        <f>Control!$F$22</f>
        <v>0.198084014422139</v>
      </c>
      <c r="BE127" s="41">
        <f>Control!$F$22</f>
        <v>0.198084014422139</v>
      </c>
      <c r="BF127" s="53">
        <f>IFERROR(-BF126/BF125,"")</f>
        <v>0.198084014422139</v>
      </c>
      <c r="BG127" s="41" t="n"/>
      <c r="BH127" s="41" t="n"/>
      <c r="BI127" s="41" t="n"/>
      <c r="BJ127" s="41" t="n"/>
      <c r="BK127" s="53" t="n"/>
      <c r="BL127" s="41" t="n"/>
      <c r="BM127" s="41" t="n"/>
      <c r="BN127" s="41" t="n"/>
      <c r="BO127" s="41" t="n"/>
      <c r="BP127" s="53" t="n"/>
      <c r="BQ127" s="41" t="n"/>
      <c r="BR127" s="41" t="n"/>
      <c r="BS127" s="41" t="n"/>
      <c r="BT127" s="41" t="n"/>
      <c r="BU127" s="53" t="n"/>
      <c r="BV127" s="41" t="n"/>
      <c r="BW127" s="41" t="n"/>
      <c r="BX127" s="41" t="n"/>
      <c r="BY127" s="41" t="n"/>
      <c r="BZ127" s="53" t="n"/>
      <c r="CA127" s="41" t="n"/>
      <c r="CB127" s="41" t="n"/>
      <c r="CC127" s="41" t="n"/>
      <c r="CD127" s="41" t="n"/>
      <c r="CE127" s="53" t="n"/>
      <c r="CF127" s="41" t="n"/>
      <c r="CG127" s="41" t="n"/>
      <c r="CH127" s="41" t="n"/>
      <c r="CI127" s="41" t="n"/>
      <c r="CJ127" s="53" t="n"/>
      <c r="CK127" s="41" t="n"/>
      <c r="CL127" s="41" t="n"/>
      <c r="CM127" s="41" t="n"/>
      <c r="CN127" s="41" t="n"/>
      <c r="CO127" s="53" t="n"/>
      <c r="CP127" s="41" t="n"/>
      <c r="CQ127" s="41" t="n"/>
      <c r="CR127" s="41" t="n"/>
      <c r="CS127" s="41" t="n"/>
      <c r="CT127" s="53" t="n"/>
      <c r="CU127" s="41" t="n"/>
      <c r="CV127" s="41" t="n"/>
      <c r="CW127" s="41" t="n"/>
      <c r="CX127" s="41" t="n"/>
      <c r="CY127" s="53" t="n"/>
    </row>
    <row r="128" hidden="1" outlineLevel="1">
      <c r="C128" s="57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7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collapsed="1">
      <c r="C130" s="14" t="inlineStr">
        <is>
          <t>Equity in Income of Affiliates, after tax (enter as +)</t>
        </is>
      </c>
      <c r="D130" s="46" t="n"/>
      <c r="E130" s="46" t="n"/>
      <c r="F130" s="46" t="n"/>
      <c r="G130" s="46" t="n"/>
      <c r="H130" s="12" t="n"/>
      <c r="I130" s="46">
        <f>'Inputs (2)'!D11</f>
        <v>0</v>
      </c>
      <c r="J130" s="46">
        <f>'Inputs (2)'!E11</f>
        <v>0</v>
      </c>
      <c r="K130" s="46">
        <f>'Inputs (2)'!F11</f>
        <v>0</v>
      </c>
      <c r="L130" s="46">
        <f>'Inputs (2)'!G11</f>
        <v>0</v>
      </c>
      <c r="M130" s="12">
        <f>'Inputs (2)'!H11</f>
        <v>0</v>
      </c>
      <c r="N130" s="46">
        <f>'Inputs (2)'!I11</f>
        <v>0</v>
      </c>
      <c r="O130" s="46">
        <f>'Inputs (2)'!J11</f>
        <v>0</v>
      </c>
      <c r="P130" s="46">
        <f>'Inputs (2)'!K11</f>
        <v>0</v>
      </c>
      <c r="Q130" s="46">
        <f>'Inputs (2)'!L11</f>
        <v>0</v>
      </c>
      <c r="R130" s="12">
        <f>'Inputs (2)'!M11</f>
        <v>0</v>
      </c>
      <c r="S130" s="46">
        <f>'Inputs (2)'!N11</f>
        <v>0</v>
      </c>
      <c r="T130" s="46">
        <f>'Inputs (2)'!O11</f>
        <v>0</v>
      </c>
      <c r="U130" s="46">
        <f>'Inputs (2)'!P11</f>
        <v>0</v>
      </c>
      <c r="V130" s="46">
        <f>'Inputs (2)'!Q11</f>
        <v>0</v>
      </c>
      <c r="W130" s="12">
        <f>'Inputs (2)'!R11</f>
        <v>0</v>
      </c>
      <c r="X130" s="46">
        <f>'Inputs (2)'!S11</f>
        <v>0</v>
      </c>
      <c r="Y130" s="46">
        <f>'Inputs (2)'!T11</f>
        <v>0</v>
      </c>
      <c r="Z130" s="46">
        <f>'Inputs (2)'!U11</f>
        <v>0</v>
      </c>
      <c r="AA130" s="46">
        <f>'Inputs (2)'!V11</f>
        <v>0</v>
      </c>
      <c r="AB130" s="12">
        <f>'Inputs (2)'!W11</f>
        <v>0</v>
      </c>
      <c r="AC130" s="46">
        <f>'Inputs (2)'!X11</f>
        <v>0</v>
      </c>
      <c r="AD130" s="46">
        <f>'Inputs (2)'!Y11</f>
        <v>0</v>
      </c>
      <c r="AE130" s="46">
        <f>'Inputs (2)'!Z11</f>
        <v>0</v>
      </c>
      <c r="AF130" s="46">
        <f>'Inputs (2)'!AA11</f>
        <v>0</v>
      </c>
      <c r="AG130" s="12">
        <f>'Inputs (2)'!AB11</f>
        <v>0</v>
      </c>
      <c r="AH130" s="12">
        <f>'Inputs (2)'!AC11</f>
        <v>0</v>
      </c>
      <c r="AI130" s="12">
        <f>'Inputs (2)'!AD11</f>
        <v>0</v>
      </c>
      <c r="AJ130" s="12">
        <f>0</f>
        <v>0</v>
      </c>
      <c r="AK130" s="12">
        <f>0</f>
        <v>0</v>
      </c>
      <c r="AL130" s="12">
        <f>SUM(AH130:AK130)</f>
        <v>0</v>
      </c>
      <c r="AM130" s="12">
        <f>0</f>
        <v>0</v>
      </c>
      <c r="AN130" s="12">
        <f>0</f>
        <v>0</v>
      </c>
      <c r="AO130" s="12">
        <f>0</f>
        <v>0</v>
      </c>
      <c r="AP130" s="12">
        <f>0</f>
        <v>0</v>
      </c>
      <c r="AQ130" s="12">
        <f>SUM(AM130:AP130)</f>
        <v>0</v>
      </c>
      <c r="AR130" s="12">
        <f>0</f>
        <v>0</v>
      </c>
      <c r="AS130" s="12">
        <f>0</f>
        <v>0</v>
      </c>
      <c r="AT130" s="12">
        <f>0</f>
        <v>0</v>
      </c>
      <c r="AU130" s="12">
        <f>0</f>
        <v>0</v>
      </c>
      <c r="AV130" s="12">
        <f>SUM(AR130:AU130)</f>
        <v>0</v>
      </c>
      <c r="AW130" s="12">
        <f>0</f>
        <v>0</v>
      </c>
      <c r="AX130" s="12">
        <f>0</f>
        <v>0</v>
      </c>
      <c r="AY130" s="12">
        <f>0</f>
        <v>0</v>
      </c>
      <c r="AZ130" s="12">
        <f>0</f>
        <v>0</v>
      </c>
      <c r="BA130" s="12">
        <f>SUM(AW130:AZ130)</f>
        <v>0</v>
      </c>
      <c r="BB130" s="12">
        <f>0</f>
        <v>0</v>
      </c>
      <c r="BC130" s="12">
        <f>0</f>
        <v>0</v>
      </c>
      <c r="BD130" s="12">
        <f>0</f>
        <v>0</v>
      </c>
      <c r="BE130" s="12">
        <f>0</f>
        <v>0</v>
      </c>
      <c r="BF130" s="12">
        <f>SUM(BB130:BE130)</f>
        <v>0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>
      <c r="C131" s="14" t="inlineStr">
        <is>
          <t>Minority Interest Expense, after tax (enter as - )</t>
        </is>
      </c>
      <c r="D131" s="46" t="n"/>
      <c r="E131" s="46" t="n"/>
      <c r="F131" s="46" t="n"/>
      <c r="G131" s="46" t="n"/>
      <c r="H131" s="12" t="n"/>
      <c r="I131" s="46">
        <f>'Inputs (2)'!D12</f>
        <v>0</v>
      </c>
      <c r="J131" s="46">
        <f>'Inputs (2)'!E12</f>
        <v>0</v>
      </c>
      <c r="K131" s="46">
        <f>'Inputs (2)'!F12</f>
        <v>0</v>
      </c>
      <c r="L131" s="46">
        <f>'Inputs (2)'!G12</f>
        <v>0</v>
      </c>
      <c r="M131" s="12">
        <f>'Inputs (2)'!H12</f>
        <v>0</v>
      </c>
      <c r="N131" s="46">
        <f>'Inputs (2)'!I12</f>
        <v>0</v>
      </c>
      <c r="O131" s="46">
        <f>'Inputs (2)'!J12</f>
        <v>0</v>
      </c>
      <c r="P131" s="46">
        <f>'Inputs (2)'!K12</f>
        <v>0</v>
      </c>
      <c r="Q131" s="46">
        <f>'Inputs (2)'!L12</f>
        <v>0</v>
      </c>
      <c r="R131" s="12">
        <f>'Inputs (2)'!M12</f>
        <v>0</v>
      </c>
      <c r="S131" s="46">
        <f>'Inputs (2)'!N12</f>
        <v>0</v>
      </c>
      <c r="T131" s="46">
        <f>'Inputs (2)'!O12</f>
        <v>0</v>
      </c>
      <c r="U131" s="46">
        <f>'Inputs (2)'!P12</f>
        <v>0</v>
      </c>
      <c r="V131" s="46">
        <f>'Inputs (2)'!Q12</f>
        <v>0</v>
      </c>
      <c r="W131" s="12">
        <f>'Inputs (2)'!R12</f>
        <v>0</v>
      </c>
      <c r="X131" s="46">
        <f>'Inputs (2)'!S12</f>
        <v>0</v>
      </c>
      <c r="Y131" s="46">
        <f>'Inputs (2)'!T12</f>
        <v>0</v>
      </c>
      <c r="Z131" s="46">
        <f>'Inputs (2)'!U12</f>
        <v>0</v>
      </c>
      <c r="AA131" s="46">
        <f>'Inputs (2)'!V12</f>
        <v>0</v>
      </c>
      <c r="AB131" s="12">
        <f>'Inputs (2)'!W12</f>
        <v>0</v>
      </c>
      <c r="AC131" s="46">
        <f>'Inputs (2)'!X12</f>
        <v>0</v>
      </c>
      <c r="AD131" s="46">
        <f>'Inputs (2)'!Y12</f>
        <v>0</v>
      </c>
      <c r="AE131" s="46">
        <f>'Inputs (2)'!Z12</f>
        <v>0</v>
      </c>
      <c r="AF131" s="46">
        <f>'Inputs (2)'!AA12</f>
        <v>0</v>
      </c>
      <c r="AG131" s="12">
        <f>'Inputs (2)'!AB12</f>
        <v>0</v>
      </c>
      <c r="AH131" s="12">
        <f>'Inputs (2)'!AC12</f>
        <v>0</v>
      </c>
      <c r="AI131" s="12">
        <f>'Inputs (2)'!AD12</f>
        <v>0</v>
      </c>
      <c r="AJ131" s="12">
        <f>0</f>
        <v>0</v>
      </c>
      <c r="AK131" s="12">
        <f>0</f>
        <v>0</v>
      </c>
      <c r="AL131" s="12">
        <f>SUM(AH131:AK131)</f>
        <v>0</v>
      </c>
      <c r="AM131" s="12">
        <f>0</f>
        <v>0</v>
      </c>
      <c r="AN131" s="12">
        <f>0</f>
        <v>0</v>
      </c>
      <c r="AO131" s="12">
        <f>0</f>
        <v>0</v>
      </c>
      <c r="AP131" s="12">
        <f>0</f>
        <v>0</v>
      </c>
      <c r="AQ131" s="12">
        <f>SUM(AM131:AP131)</f>
        <v>0</v>
      </c>
      <c r="AR131" s="12">
        <f>0</f>
        <v>0</v>
      </c>
      <c r="AS131" s="12">
        <f>0</f>
        <v>0</v>
      </c>
      <c r="AT131" s="12">
        <f>0</f>
        <v>0</v>
      </c>
      <c r="AU131" s="12">
        <f>0</f>
        <v>0</v>
      </c>
      <c r="AV131" s="12">
        <f>SUM(AR131:AU131)</f>
        <v>0</v>
      </c>
      <c r="AW131" s="12">
        <f>0</f>
        <v>0</v>
      </c>
      <c r="AX131" s="12">
        <f>0</f>
        <v>0</v>
      </c>
      <c r="AY131" s="12">
        <f>0</f>
        <v>0</v>
      </c>
      <c r="AZ131" s="12">
        <f>0</f>
        <v>0</v>
      </c>
      <c r="BA131" s="12">
        <f>SUM(AW131:AZ131)</f>
        <v>0</v>
      </c>
      <c r="BB131" s="12">
        <f>0</f>
        <v>0</v>
      </c>
      <c r="BC131" s="12">
        <f>0</f>
        <v>0</v>
      </c>
      <c r="BD131" s="12">
        <f>0</f>
        <v>0</v>
      </c>
      <c r="BE131" s="12">
        <f>0</f>
        <v>0</v>
      </c>
      <c r="BF131" s="12">
        <f>SUM(BB131:BE131)</f>
        <v>0</v>
      </c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customFormat="1" s="32">
      <c r="A132" s="30" t="n"/>
      <c r="B132" s="3" t="n"/>
      <c r="C132" s="33" t="inlineStr">
        <is>
          <t>Net Income</t>
        </is>
      </c>
      <c r="D132" s="35" t="n"/>
      <c r="E132" s="35" t="n"/>
      <c r="F132" s="35" t="n"/>
      <c r="G132" s="35" t="n"/>
      <c r="H132" s="35" t="n"/>
      <c r="I132" s="35">
        <f>SUM(I125,I126,I130,I131)</f>
        <v>1355.3</v>
      </c>
      <c r="J132" s="35">
        <f>SUM(J125,J126,J130,J131)</f>
        <v>1390.2</v>
      </c>
      <c r="K132" s="35">
        <f>SUM(K125,K126,K130,K131)</f>
        <v>1110.1</v>
      </c>
      <c r="L132" s="35">
        <f>SUM(L125,L126,L130,L131)</f>
        <v>1726.1</v>
      </c>
      <c r="M132" s="35">
        <f>SUM(I132:L132)</f>
        <v>5581.7</v>
      </c>
      <c r="N132" s="35">
        <f>SUM(N125,N126,N130,N131)</f>
        <v>1902.9</v>
      </c>
      <c r="O132" s="35">
        <f>SUM(O125,O126,O130,O131)</f>
        <v>952.5</v>
      </c>
      <c r="P132" s="35">
        <f>SUM(P125,P126,P130,P131)</f>
        <v>1451.7</v>
      </c>
      <c r="Q132" s="35">
        <f>SUM(Q125,Q126,Q130,Q131)</f>
        <v>1937.7</v>
      </c>
      <c r="R132" s="35">
        <f>SUM(N132:Q132)</f>
        <v>6244.8</v>
      </c>
      <c r="S132" s="35">
        <f>SUM(S125,S126,S130,S131)</f>
        <v>1344.9</v>
      </c>
      <c r="T132" s="35">
        <f>SUM(T125,T126,T130,T131)</f>
        <v>1763.2</v>
      </c>
      <c r="U132" s="35">
        <f>SUM(U125,U126,U130,U131)</f>
        <v>-57.4000000000001</v>
      </c>
      <c r="V132" s="35">
        <f>SUM(V125,V126,V130,V131)</f>
        <v>2189.7</v>
      </c>
      <c r="W132" s="35">
        <f>SUM(S132:V132)</f>
        <v>5240.4</v>
      </c>
      <c r="X132" s="35">
        <f>SUM(X125,X126,X130,X131)</f>
        <v>2242.9</v>
      </c>
      <c r="Y132" s="35">
        <f>SUM(Y125,Y126,Y130,Y131)</f>
        <v>2967</v>
      </c>
      <c r="Z132" s="35">
        <f>SUM(Z125,Z126,Z130,Z131)</f>
        <v>970.3</v>
      </c>
      <c r="AA132" s="35">
        <f>SUM(AA125,AA126,AA130,AA131)</f>
        <v>4409.8</v>
      </c>
      <c r="AB132" s="35">
        <f>SUM(X132:AA132)</f>
        <v>10590</v>
      </c>
      <c r="AC132" s="35">
        <f>SUM(AC125,AC126,AC130,AC131)</f>
        <v>2759</v>
      </c>
      <c r="AD132" s="35">
        <f>SUM(AD125,AD126,AD130,AD131)</f>
        <v>5661</v>
      </c>
      <c r="AE132" s="35">
        <f>SUM(AE125,AE126,AE130,AE131)</f>
        <v>5582.5</v>
      </c>
      <c r="AF132" s="35">
        <f>SUM(AF125,AF126,AF130,AF131)</f>
        <v>6637.7</v>
      </c>
      <c r="AG132" s="35">
        <f>SUM(AC132:AF132)</f>
        <v>20640.2</v>
      </c>
      <c r="AH132" s="35">
        <f>SUM(AH125,AH126,AH130,AH131)</f>
        <v>7396</v>
      </c>
      <c r="AI132" s="35">
        <f>SUM(AI125,AI126,AI130,AI131)</f>
        <v>7095</v>
      </c>
      <c r="AJ132" s="35">
        <f>SUM(AJ125,AJ126,AJ130,AJ131)</f>
        <v>8600.11720081626</v>
      </c>
      <c r="AK132" s="35">
        <f>SUM(AK125,AK126,AK130,AK131)</f>
        <v>9426.47271931658</v>
      </c>
      <c r="AL132" s="35">
        <f>SUM(AH132:AK132)</f>
        <v>32517.5899201328</v>
      </c>
      <c r="AM132" s="35">
        <f>SUM(AM125,AM126,AM130,AM131)</f>
        <v>9674.20347137409</v>
      </c>
      <c r="AN132" s="35">
        <f>SUM(AN125,AN126,AN130,AN131)</f>
        <v>11225.5745518131</v>
      </c>
      <c r="AO132" s="35">
        <f>SUM(AO125,AO126,AO130,AO131)</f>
        <v>12648.6911515079</v>
      </c>
      <c r="AP132" s="35">
        <f>SUM(AP125,AP126,AP130,AP131)</f>
        <v>13864.0601390215</v>
      </c>
      <c r="AQ132" s="35">
        <f>SUM(AM132:AP132)</f>
        <v>47412.5293137166</v>
      </c>
      <c r="AR132" s="35">
        <f>SUM(AR125,AR126,AR130,AR131)</f>
        <v>14180.0411064502</v>
      </c>
      <c r="AS132" s="35">
        <f>SUM(AS125,AS126,AS130,AS131)</f>
        <v>16453.9756745082</v>
      </c>
      <c r="AT132" s="35">
        <f>SUM(AT125,AT126,AT130,AT131)</f>
        <v>18539.9202117153</v>
      </c>
      <c r="AU132" s="35">
        <f>SUM(AU125,AU126,AU130,AU131)</f>
        <v>20321.3570249313</v>
      </c>
      <c r="AV132" s="35">
        <f>SUM(AR132:AU132)</f>
        <v>69495.294017605</v>
      </c>
      <c r="AW132" s="35">
        <f>SUM(AW125,AW126,AW130,AW131)</f>
        <v>20713.6084494277</v>
      </c>
      <c r="AX132" s="35">
        <f>SUM(AX125,AX126,AX130,AX131)</f>
        <v>24035.2765552377</v>
      </c>
      <c r="AY132" s="35">
        <f>SUM(AY125,AY126,AY130,AY131)</f>
        <v>27082.3367200546</v>
      </c>
      <c r="AZ132" s="35">
        <f>SUM(AZ125,AZ126,AZ130,AZ131)</f>
        <v>29684.5847917875</v>
      </c>
      <c r="BA132" s="35">
        <f>SUM(AW132:AZ132)</f>
        <v>101515.806516507</v>
      </c>
      <c r="BB132" s="35">
        <f>SUM(BB125,BB126,BB130,BB131)</f>
        <v>30154.0011548572</v>
      </c>
      <c r="BC132" s="35">
        <f>SUM(BC125,BC126,BC130,BC131)</f>
        <v>34989.546064533</v>
      </c>
      <c r="BD132" s="35">
        <f>SUM(BD125,BD126,BD130,BD131)</f>
        <v>39425.3282679639</v>
      </c>
      <c r="BE132" s="35">
        <f>SUM(BE125,BE126,BE130,BE131)</f>
        <v>43213.5717095564</v>
      </c>
      <c r="BF132" s="35">
        <f>SUM(BB132:BE132)</f>
        <v>147782.44719691</v>
      </c>
      <c r="BG132" s="35" t="n"/>
      <c r="BH132" s="35" t="n"/>
      <c r="BI132" s="35" t="n"/>
      <c r="BJ132" s="35" t="n"/>
      <c r="BK132" s="35" t="n"/>
      <c r="BL132" s="35" t="n"/>
      <c r="BM132" s="35" t="n"/>
      <c r="BN132" s="35" t="n"/>
      <c r="BO132" s="35" t="n"/>
      <c r="BP132" s="35" t="n"/>
      <c r="BQ132" s="35" t="n"/>
      <c r="BR132" s="35" t="n"/>
      <c r="BS132" s="35" t="n"/>
      <c r="BT132" s="35" t="n"/>
      <c r="BU132" s="35" t="n"/>
      <c r="BV132" s="35" t="n"/>
      <c r="BW132" s="35" t="n"/>
      <c r="BX132" s="35" t="n"/>
      <c r="BY132" s="35" t="n"/>
      <c r="BZ132" s="35" t="n"/>
      <c r="CA132" s="35" t="n"/>
      <c r="CB132" s="35" t="n"/>
      <c r="CC132" s="35" t="n"/>
      <c r="CD132" s="35" t="n"/>
      <c r="CE132" s="35" t="n"/>
      <c r="CF132" s="35" t="n"/>
      <c r="CG132" s="35" t="n"/>
      <c r="CH132" s="35" t="n"/>
      <c r="CI132" s="35" t="n"/>
      <c r="CJ132" s="35" t="n"/>
      <c r="CK132" s="35" t="n"/>
      <c r="CL132" s="35" t="n"/>
      <c r="CM132" s="35" t="n"/>
      <c r="CN132" s="35" t="n"/>
      <c r="CO132" s="35" t="n"/>
      <c r="CP132" s="35" t="n"/>
      <c r="CQ132" s="35" t="n"/>
      <c r="CR132" s="35" t="n"/>
      <c r="CS132" s="35" t="n"/>
      <c r="CT132" s="35" t="n"/>
      <c r="CU132" s="35" t="n"/>
      <c r="CV132" s="35" t="n"/>
      <c r="CW132" s="35" t="n"/>
      <c r="CX132" s="35" t="n"/>
      <c r="CY132" s="35" t="n"/>
    </row>
    <row r="133">
      <c r="C133" s="13" t="inlineStr">
        <is>
          <t>Common Dividends</t>
        </is>
      </c>
      <c r="D133" s="46" t="n"/>
      <c r="E133" s="46" t="n"/>
      <c r="F133" s="46" t="n"/>
      <c r="G133" s="46" t="n"/>
      <c r="H133" s="12" t="n"/>
      <c r="I133" s="46">
        <f>'Inputs (2)'!D13</f>
        <v>-774.8</v>
      </c>
      <c r="J133" s="46">
        <f>'Inputs (2)'!E13</f>
        <v>-768.3</v>
      </c>
      <c r="K133" s="46">
        <f>'Inputs (2)'!F13</f>
        <v>-770.4</v>
      </c>
      <c r="L133" s="46">
        <f>'Inputs (2)'!G13</f>
        <v>-773.3</v>
      </c>
      <c r="M133" s="12">
        <f>'Inputs (2)'!H13</f>
        <v>-3086.8</v>
      </c>
      <c r="N133" s="46">
        <f>'Inputs (2)'!I13</f>
        <v>-885.5</v>
      </c>
      <c r="O133" s="46">
        <f>'Inputs (2)'!J13</f>
        <v>-883.7</v>
      </c>
      <c r="P133" s="46">
        <f>'Inputs (2)'!K13</f>
        <v>-882.2</v>
      </c>
      <c r="Q133" s="46">
        <f>'Inputs (2)'!L13</f>
        <v>-884.4</v>
      </c>
      <c r="R133" s="12">
        <f>'Inputs (2)'!M13</f>
        <v>-3535.8</v>
      </c>
      <c r="S133" s="46">
        <f>'Inputs (2)'!N13</f>
        <v>-1017.2</v>
      </c>
      <c r="T133" s="46">
        <f>'Inputs (2)'!O13</f>
        <v>-1017.8</v>
      </c>
      <c r="U133" s="46">
        <f>'Inputs (2)'!P13</f>
        <v>-1016.2</v>
      </c>
      <c r="V133" s="46">
        <f>'Inputs (2)'!Q13</f>
        <v>-1018.1</v>
      </c>
      <c r="W133" s="12">
        <f>'Inputs (2)'!R13</f>
        <v>-4069.3</v>
      </c>
      <c r="X133" s="46">
        <f>'Inputs (2)'!S13</f>
        <v>-1169.2</v>
      </c>
      <c r="Y133" s="46">
        <f>'Inputs (2)'!T13</f>
        <v>-1172.4</v>
      </c>
      <c r="Z133" s="46">
        <f>'Inputs (2)'!U13</f>
        <v>-1170.5</v>
      </c>
      <c r="AA133" s="46">
        <f>'Inputs (2)'!V13</f>
        <v>-1168.3</v>
      </c>
      <c r="AB133" s="12">
        <f>'Inputs (2)'!W13</f>
        <v>-4680.4</v>
      </c>
      <c r="AC133" s="46">
        <f>'Inputs (2)'!X13</f>
        <v>-1346.3</v>
      </c>
      <c r="AD133" s="46">
        <f>'Inputs (2)'!Y13</f>
        <v>-1347</v>
      </c>
      <c r="AE133" s="46">
        <f>'Inputs (2)'!Z13</f>
        <v>-1345.2</v>
      </c>
      <c r="AF133" s="46">
        <f>'Inputs (2)'!AA13</f>
        <v>-1345.5</v>
      </c>
      <c r="AG133" s="12">
        <f>'Inputs (2)'!AB13</f>
        <v>-5384</v>
      </c>
      <c r="AH133" s="12">
        <f>'Inputs (2)'!AC13</f>
        <v>-1548</v>
      </c>
      <c r="AI133" s="12">
        <f>'Inputs (2)'!AD13</f>
        <v>-1546</v>
      </c>
      <c r="AJ133" s="12">
        <f>-MAX(0,AJ132)*Control!$E$15</f>
        <v>0</v>
      </c>
      <c r="AK133" s="12">
        <f>-MAX(0,AK132)*Control!$E$15</f>
        <v>0</v>
      </c>
      <c r="AL133" s="12">
        <f>SUM(AH133:AK133)</f>
        <v>-3094</v>
      </c>
      <c r="AM133" s="12">
        <f>-MAX(0,AM132)*Control!$E$15</f>
        <v>0</v>
      </c>
      <c r="AN133" s="12">
        <f>-MAX(0,AN132)*Control!$E$15</f>
        <v>0</v>
      </c>
      <c r="AO133" s="12">
        <f>-MAX(0,AO132)*Control!$E$15</f>
        <v>0</v>
      </c>
      <c r="AP133" s="12">
        <f>-MAX(0,AP132)*Control!$E$15</f>
        <v>0</v>
      </c>
      <c r="AQ133" s="12">
        <f>SUM(AM133:AP133)</f>
        <v>0</v>
      </c>
      <c r="AR133" s="12">
        <f>-MAX(0,AR132)*Control!$E$15</f>
        <v>0</v>
      </c>
      <c r="AS133" s="12">
        <f>-MAX(0,AS132)*Control!$E$15</f>
        <v>0</v>
      </c>
      <c r="AT133" s="12">
        <f>-MAX(0,AT132)*Control!$E$15</f>
        <v>0</v>
      </c>
      <c r="AU133" s="12">
        <f>-MAX(0,AU132)*Control!$E$15</f>
        <v>0</v>
      </c>
      <c r="AV133" s="12">
        <f>SUM(AR133:AU133)</f>
        <v>0</v>
      </c>
      <c r="AW133" s="12">
        <f>-MAX(0,AW132)*Control!$E$15</f>
        <v>0</v>
      </c>
      <c r="AX133" s="12">
        <f>-MAX(0,AX132)*Control!$E$15</f>
        <v>0</v>
      </c>
      <c r="AY133" s="12">
        <f>-MAX(0,AY132)*Control!$E$15</f>
        <v>0</v>
      </c>
      <c r="AZ133" s="12">
        <f>-MAX(0,AZ132)*Control!$E$15</f>
        <v>0</v>
      </c>
      <c r="BA133" s="12">
        <f>SUM(AW133:AZ133)</f>
        <v>0</v>
      </c>
      <c r="BB133" s="12">
        <f>-MAX(0,BB132)*Control!$E$15</f>
        <v>0</v>
      </c>
      <c r="BC133" s="12">
        <f>-MAX(0,BC132)*Control!$E$15</f>
        <v>0</v>
      </c>
      <c r="BD133" s="12">
        <f>-MAX(0,BD132)*Control!$E$15</f>
        <v>0</v>
      </c>
      <c r="BE133" s="12">
        <f>-MAX(0,BE132)*Control!$E$15</f>
        <v>0</v>
      </c>
      <c r="BF133" s="12">
        <f>SUM(BB133:BE133)</f>
        <v>0</v>
      </c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0" t="inlineStr">
        <is>
          <t>% DVD Payout</t>
        </is>
      </c>
      <c r="D134" s="58" t="n"/>
      <c r="E134" s="58" t="n"/>
      <c r="F134" s="58" t="n"/>
      <c r="G134" s="58" t="n"/>
      <c r="H134" s="58" t="n"/>
      <c r="I134" s="58">
        <f>IF(I132=0,"",-I133/I132)</f>
        <v>0.571681546521065</v>
      </c>
      <c r="J134" s="58">
        <f>IF(J132=0,"",-J133/J132)</f>
        <v>0.552654294346137</v>
      </c>
      <c r="K134" s="58">
        <f>IF(K132=0,"",-K133/K132)</f>
        <v>0.693991532294388</v>
      </c>
      <c r="L134" s="58">
        <f>IF(L132=0,"",-L133/L132)</f>
        <v>0.448004171253114</v>
      </c>
      <c r="M134" s="58">
        <f>IF(M132=0,"",-M133/M132)</f>
        <v>0.553021480910834</v>
      </c>
      <c r="N134" s="58">
        <f>IF(N132=0,"",-N133/N132)</f>
        <v>0.465342372168795</v>
      </c>
      <c r="O134" s="58">
        <f>IF(O132=0,"",-O133/O132)</f>
        <v>0.927769028871391</v>
      </c>
      <c r="P134" s="58">
        <f>IF(P132=0,"",-P133/P132)</f>
        <v>0.607701315698836</v>
      </c>
      <c r="Q134" s="58">
        <f>IF(Q132=0,"",-Q133/Q132)</f>
        <v>0.456417402074625</v>
      </c>
      <c r="R134" s="58">
        <f>IF(R132=0,"",-R133/R132)</f>
        <v>0.56619907763259</v>
      </c>
      <c r="S134" s="58">
        <f>IF(S132=0,"",-S133/S132)</f>
        <v>0.756338761246189</v>
      </c>
      <c r="T134" s="58">
        <f>IF(T132=0,"",-T133/T132)</f>
        <v>0.577245916515427</v>
      </c>
      <c r="U134" s="58">
        <f>IF(U132=0,"",-U133/U132)</f>
        <v>-17.7038327526132</v>
      </c>
      <c r="V134" s="58">
        <f>IF(V132=0,"",-V133/V132)</f>
        <v>0.464949536466183</v>
      </c>
      <c r="W134" s="58">
        <f>IF(W132=0,"",-W133/W132)</f>
        <v>0.776524692771544</v>
      </c>
      <c r="X134" s="58">
        <f>IF(X132=0,"",-X133/X132)</f>
        <v>0.521289402113335</v>
      </c>
      <c r="Y134" s="58">
        <f>IF(Y132=0,"",-Y133/Y132)</f>
        <v>0.395146612740142</v>
      </c>
      <c r="Z134" s="58">
        <f>IF(Z132=0,"",-Z133/Z132)</f>
        <v>1.20632793981243</v>
      </c>
      <c r="AA134" s="58">
        <f>IF(AA132=0,"",-AA133/AA132)</f>
        <v>0.264932650006803</v>
      </c>
      <c r="AB134" s="58">
        <f>IF(AB132=0,"",-AB133/AB132)</f>
        <v>0.441964117091596</v>
      </c>
      <c r="AC134" s="58">
        <f>IF(AC132=0,"",-AC133/AC132)</f>
        <v>0.487966654584995</v>
      </c>
      <c r="AD134" s="58">
        <f>IF(AD132=0,"",-AD133/AD132)</f>
        <v>0.23794382617912</v>
      </c>
      <c r="AE134" s="58">
        <f>IF(AE132=0,"",-AE133/AE132)</f>
        <v>0.240967308553515</v>
      </c>
      <c r="AF134" s="41">
        <f>IF(AF132=0,"",-AF133/AF132)</f>
        <v>0.202705756512045</v>
      </c>
      <c r="AG134" s="12">
        <f>IF(AG132=0,"",-AG133/AG132)</f>
        <v>0.260850185560218</v>
      </c>
      <c r="AH134" s="41">
        <f>IF(AH132=0,"",-AH133/AH132)</f>
        <v>0.209302325581395</v>
      </c>
      <c r="AI134" s="41">
        <f>IF(AI132=0,"",-AI133/AI132)</f>
        <v>0.217899929527837</v>
      </c>
      <c r="AJ134" s="41">
        <f>IF(AJ132=0,"",-AJ133/AJ132)</f>
        <v>0</v>
      </c>
      <c r="AK134" s="41">
        <f>IF(AK132=0,"",-AK133/AK132)</f>
        <v>0</v>
      </c>
      <c r="AL134" s="12">
        <f>IF(AL132=0,"",-AL133/AL132)</f>
        <v>0.0951485029363874</v>
      </c>
      <c r="AM134" s="41">
        <f>IF(AM132=0,"",-AM133/AM132)</f>
        <v>0</v>
      </c>
      <c r="AN134" s="41">
        <f>IF(AN132=0,"",-AN133/AN132)</f>
        <v>0</v>
      </c>
      <c r="AO134" s="41">
        <f>IF(AO132=0,"",-AO133/AO132)</f>
        <v>0</v>
      </c>
      <c r="AP134" s="41">
        <f>IF(AP132=0,"",-AP133/AP132)</f>
        <v>0</v>
      </c>
      <c r="AQ134" s="12">
        <f>IF(AQ132=0,"",-AQ133/AQ132)</f>
        <v>0</v>
      </c>
      <c r="AR134" s="41">
        <f>IF(AR132=0,"",-AR133/AR132)</f>
        <v>0</v>
      </c>
      <c r="AS134" s="41">
        <f>IF(AS132=0,"",-AS133/AS132)</f>
        <v>0</v>
      </c>
      <c r="AT134" s="41">
        <f>IF(AT132=0,"",-AT133/AT132)</f>
        <v>0</v>
      </c>
      <c r="AU134" s="41">
        <f>IF(AU132=0,"",-AU133/AU132)</f>
        <v>0</v>
      </c>
      <c r="AV134" s="12">
        <f>IF(AV132=0,"",-AV133/AV132)</f>
        <v>0</v>
      </c>
      <c r="AW134" s="41">
        <f>IF(AW132=0,"",-AW133/AW132)</f>
        <v>0</v>
      </c>
      <c r="AX134" s="41">
        <f>IF(AX132=0,"",-AX133/AX132)</f>
        <v>0</v>
      </c>
      <c r="AY134" s="41">
        <f>IF(AY132=0,"",-AY133/AY132)</f>
        <v>0</v>
      </c>
      <c r="AZ134" s="41">
        <f>IF(AZ132=0,"",-AZ133/AZ132)</f>
        <v>0</v>
      </c>
      <c r="BA134" s="12">
        <f>IF(BA132=0,"",-BA133/BA132)</f>
        <v>0</v>
      </c>
      <c r="BB134" s="41">
        <f>IF(BB132=0,"",-BB133/BB132)</f>
        <v>0</v>
      </c>
      <c r="BC134" s="41">
        <f>IF(BC132=0,"",-BC133/BC132)</f>
        <v>0</v>
      </c>
      <c r="BD134" s="41">
        <f>IF(BD132=0,"",-BD133/BD132)</f>
        <v>0</v>
      </c>
      <c r="BE134" s="41">
        <f>IF(BE132=0,"",-BE133/BE132)</f>
        <v>0</v>
      </c>
      <c r="BF134" s="12">
        <f>IF(BF132=0,"",-BF133/BF132)</f>
        <v>0</v>
      </c>
      <c r="BG134" s="41" t="n"/>
      <c r="BH134" s="41" t="n"/>
      <c r="BI134" s="41" t="n"/>
      <c r="BJ134" s="41" t="n"/>
      <c r="BK134" s="12" t="n"/>
      <c r="BL134" s="41" t="n"/>
      <c r="BM134" s="41" t="n"/>
      <c r="BN134" s="41" t="n"/>
      <c r="BO134" s="41" t="n"/>
      <c r="BP134" s="12" t="n"/>
      <c r="BQ134" s="41" t="n"/>
      <c r="BR134" s="41" t="n"/>
      <c r="BS134" s="41" t="n"/>
      <c r="BT134" s="41" t="n"/>
      <c r="BU134" s="12" t="n"/>
      <c r="BV134" s="41" t="n"/>
      <c r="BW134" s="41" t="n"/>
      <c r="BX134" s="41" t="n"/>
      <c r="BY134" s="41" t="n"/>
      <c r="BZ134" s="12" t="n"/>
      <c r="CA134" s="41" t="n"/>
      <c r="CB134" s="41" t="n"/>
      <c r="CC134" s="41" t="n"/>
      <c r="CD134" s="41" t="n"/>
      <c r="CE134" s="12" t="n"/>
      <c r="CF134" s="41" t="n"/>
      <c r="CG134" s="41" t="n"/>
      <c r="CH134" s="41" t="n"/>
      <c r="CI134" s="41" t="n"/>
      <c r="CJ134" s="12" t="n"/>
      <c r="CK134" s="41" t="n"/>
      <c r="CL134" s="41" t="n"/>
      <c r="CM134" s="41" t="n"/>
      <c r="CN134" s="41" t="n"/>
      <c r="CO134" s="12" t="n"/>
      <c r="CP134" s="41" t="n"/>
      <c r="CQ134" s="41" t="n"/>
      <c r="CR134" s="41" t="n"/>
      <c r="CS134" s="41" t="n"/>
      <c r="CT134" s="12" t="n"/>
      <c r="CU134" s="41" t="n"/>
      <c r="CV134" s="41" t="n"/>
      <c r="CW134" s="41" t="n"/>
      <c r="CX134" s="41" t="n"/>
      <c r="CY134" s="12" t="n"/>
    </row>
    <row r="135" hidden="1" outlineLevel="1">
      <c r="C135" s="18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18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collapsed="1" ht="11.25" customHeight="1">
      <c r="C137" s="31" t="inlineStr">
        <is>
          <t>Balance Sheet</t>
        </is>
      </c>
      <c r="D137" s="31" t="n"/>
      <c r="E137" s="31" t="n"/>
      <c r="F137" s="31" t="n"/>
      <c r="G137" s="31" t="n"/>
      <c r="H137" s="31" t="n"/>
      <c r="I137" s="31" t="str">
        <f>I13</f>
        <v>1Q21</v>
      </c>
      <c r="J137" s="31" t="str">
        <f>J13</f>
        <v>2Q21</v>
      </c>
      <c r="K137" s="31" t="str">
        <f>K13</f>
        <v>3Q21</v>
      </c>
      <c r="L137" s="31" t="str">
        <f>L13</f>
        <v>4Q21</v>
      </c>
      <c r="M137" s="31">
        <f>M13</f>
        <v>2021</v>
      </c>
      <c r="N137" s="31" t="str">
        <f>N13</f>
        <v>1Q22</v>
      </c>
      <c r="O137" s="31" t="str">
        <f>O13</f>
        <v>2Q22</v>
      </c>
      <c r="P137" s="31" t="str">
        <f>P13</f>
        <v>3Q22</v>
      </c>
      <c r="Q137" s="31" t="str">
        <f>Q13</f>
        <v>4Q22</v>
      </c>
      <c r="R137" s="31">
        <f>R13</f>
        <v>2022</v>
      </c>
      <c r="S137" s="31" t="str">
        <f>S13</f>
        <v>1Q23</v>
      </c>
      <c r="T137" s="31" t="str">
        <f>T13</f>
        <v>2Q23</v>
      </c>
      <c r="U137" s="31" t="str">
        <f>U13</f>
        <v>3Q23</v>
      </c>
      <c r="V137" s="31" t="str">
        <f>V13</f>
        <v>4Q23</v>
      </c>
      <c r="W137" s="31">
        <f>W13</f>
        <v>2023</v>
      </c>
      <c r="X137" s="31" t="str">
        <f>X13</f>
        <v>1Q24</v>
      </c>
      <c r="Y137" s="31" t="str">
        <f>Y13</f>
        <v>2Q24</v>
      </c>
      <c r="Z137" s="31" t="str">
        <f>Z13</f>
        <v>3Q24</v>
      </c>
      <c r="AA137" s="31" t="str">
        <f>AA13</f>
        <v>4Q24</v>
      </c>
      <c r="AB137" s="31">
        <f>AB13</f>
        <v>2024</v>
      </c>
      <c r="AC137" s="31" t="str">
        <f>AC13</f>
        <v>1Q25</v>
      </c>
      <c r="AD137" s="31" t="str">
        <f>AD13</f>
        <v>2Q25</v>
      </c>
      <c r="AE137" s="31" t="str">
        <f>AE13</f>
        <v>3Q25</v>
      </c>
      <c r="AF137" s="31" t="str">
        <f>AF13</f>
        <v>4Q25</v>
      </c>
      <c r="AG137" s="31">
        <f>AG13</f>
        <v>2025</v>
      </c>
      <c r="AH137" s="31" t="str">
        <f>AH13</f>
        <v>1Q26</v>
      </c>
      <c r="AI137" s="31" t="str">
        <f>AI13</f>
        <v>2Q26</v>
      </c>
      <c r="AJ137" s="31" t="str">
        <f>AJ13</f>
        <v>3Q26</v>
      </c>
      <c r="AK137" s="31" t="str">
        <f>AK13</f>
        <v>4Q26</v>
      </c>
      <c r="AL137" s="31">
        <f>AL13</f>
        <v>2026</v>
      </c>
      <c r="AM137" s="31" t="str">
        <f>AM13</f>
        <v>1Q27</v>
      </c>
      <c r="AN137" s="31" t="str">
        <f>AN13</f>
        <v>2Q27</v>
      </c>
      <c r="AO137" s="31" t="str">
        <f>AO13</f>
        <v>3Q27</v>
      </c>
      <c r="AP137" s="31" t="str">
        <f>AP13</f>
        <v>4Q27</v>
      </c>
      <c r="AQ137" s="31">
        <f>AQ13</f>
        <v>2027</v>
      </c>
      <c r="AR137" s="31" t="str">
        <f>AR13</f>
        <v>1Q28</v>
      </c>
      <c r="AS137" s="31" t="str">
        <f>AS13</f>
        <v>2Q28</v>
      </c>
      <c r="AT137" s="31" t="str">
        <f>AT13</f>
        <v>3Q28</v>
      </c>
      <c r="AU137" s="31" t="str">
        <f>AU13</f>
        <v>4Q28</v>
      </c>
      <c r="AV137" s="31">
        <f>AV13</f>
        <v>2028</v>
      </c>
      <c r="AW137" s="31" t="str">
        <f>AW13</f>
        <v>1Q29</v>
      </c>
      <c r="AX137" s="31" t="str">
        <f>AX13</f>
        <v>2Q29</v>
      </c>
      <c r="AY137" s="31" t="str">
        <f>AY13</f>
        <v>3Q29</v>
      </c>
      <c r="AZ137" s="31" t="str">
        <f>AZ13</f>
        <v>4Q29</v>
      </c>
      <c r="BA137" s="31">
        <f>BA13</f>
        <v>2029</v>
      </c>
      <c r="BB137" s="31" t="str">
        <f>BB13</f>
        <v>1Q30</v>
      </c>
      <c r="BC137" s="31" t="str">
        <f>BC13</f>
        <v>2Q30</v>
      </c>
      <c r="BD137" s="31" t="str">
        <f>BD13</f>
        <v>3Q30</v>
      </c>
      <c r="BE137" s="31" t="str">
        <f>BE13</f>
        <v>4Q30</v>
      </c>
      <c r="BF137" s="31">
        <f>BF13</f>
        <v>2030</v>
      </c>
      <c r="BG137" s="31" t="n"/>
      <c r="BH137" s="31" t="n"/>
      <c r="BI137" s="31" t="n"/>
      <c r="BJ137" s="31" t="n"/>
      <c r="BK137" s="31" t="n"/>
      <c r="BL137" s="31" t="n"/>
      <c r="BM137" s="31" t="n"/>
      <c r="BN137" s="31" t="n"/>
      <c r="BO137" s="31" t="n"/>
      <c r="BP137" s="31" t="n"/>
      <c r="BQ137" s="31" t="n"/>
      <c r="BR137" s="31" t="n"/>
      <c r="BS137" s="31" t="n"/>
      <c r="BT137" s="31" t="n"/>
      <c r="BU137" s="31" t="n"/>
      <c r="BV137" s="31" t="n"/>
      <c r="BW137" s="31" t="n"/>
      <c r="BX137" s="31" t="n"/>
      <c r="BY137" s="31" t="n"/>
      <c r="BZ137" s="31" t="n"/>
      <c r="CA137" s="31" t="n"/>
      <c r="CB137" s="31" t="n"/>
      <c r="CC137" s="31" t="n"/>
      <c r="CD137" s="31" t="n"/>
      <c r="CE137" s="31" t="n"/>
      <c r="CF137" s="31" t="n"/>
      <c r="CG137" s="31" t="n"/>
      <c r="CH137" s="31" t="n"/>
      <c r="CI137" s="31" t="n"/>
      <c r="CJ137" s="31" t="n"/>
      <c r="CK137" s="31" t="n"/>
      <c r="CL137" s="31" t="n"/>
      <c r="CM137" s="31" t="n"/>
      <c r="CN137" s="31" t="n"/>
      <c r="CO137" s="31" t="n"/>
      <c r="CP137" s="31" t="n"/>
      <c r="CQ137" s="31" t="n"/>
      <c r="CR137" s="31" t="n"/>
      <c r="CS137" s="31" t="n"/>
      <c r="CT137" s="31" t="n"/>
      <c r="CU137" s="31" t="n"/>
      <c r="CV137" s="31" t="n"/>
      <c r="CW137" s="31" t="n"/>
      <c r="CX137" s="31" t="n"/>
      <c r="CY137" s="31" t="n"/>
    </row>
    <row r="138">
      <c r="C138" s="18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>
      <c r="C139" s="13" t="inlineStr">
        <is>
          <t>Cash and equivalents (inc. investment securities)</t>
        </is>
      </c>
      <c r="D139" s="46" t="n"/>
      <c r="E139" s="46" t="n"/>
      <c r="F139" s="46" t="n"/>
      <c r="G139" s="46" t="n"/>
      <c r="H139" s="12" t="n"/>
      <c r="I139" s="46">
        <f>'Inputs (2)'!D15</f>
        <v>3051.4</v>
      </c>
      <c r="J139" s="46">
        <f>'Inputs (2)'!E15</f>
        <v>3271.2</v>
      </c>
      <c r="K139" s="46">
        <f>'Inputs (2)'!F15</f>
        <v>3825.3</v>
      </c>
      <c r="L139" s="46">
        <f>'Inputs (2)'!G15</f>
        <v>3908.6</v>
      </c>
      <c r="M139" s="12">
        <f>'Inputs (2)'!H15</f>
        <v>3908.6</v>
      </c>
      <c r="N139" s="46">
        <f>'Inputs (2)'!I15</f>
        <v>2568.3</v>
      </c>
      <c r="O139" s="46">
        <f>'Inputs (2)'!J15</f>
        <v>2736.7</v>
      </c>
      <c r="P139" s="46">
        <f>'Inputs (2)'!K15</f>
        <v>2742.1</v>
      </c>
      <c r="Q139" s="46">
        <f>'Inputs (2)'!L15</f>
        <v>2211.8</v>
      </c>
      <c r="R139" s="12">
        <f>'Inputs (2)'!M15</f>
        <v>2211.8</v>
      </c>
      <c r="S139" s="46">
        <f>'Inputs (2)'!N15</f>
        <v>3669.3</v>
      </c>
      <c r="T139" s="46">
        <f>'Inputs (2)'!O15</f>
        <v>2829.1</v>
      </c>
      <c r="U139" s="46">
        <f>'Inputs (2)'!P15</f>
        <v>2493.9</v>
      </c>
      <c r="V139" s="46">
        <f>'Inputs (2)'!Q15</f>
        <v>2927.7</v>
      </c>
      <c r="W139" s="12">
        <f>'Inputs (2)'!R15</f>
        <v>2927.7</v>
      </c>
      <c r="X139" s="46">
        <f>'Inputs (2)'!S15</f>
        <v>2586.3</v>
      </c>
      <c r="Y139" s="46">
        <f>'Inputs (2)'!T15</f>
        <v>3364</v>
      </c>
      <c r="Z139" s="46">
        <f>'Inputs (2)'!U15</f>
        <v>3518.4</v>
      </c>
      <c r="AA139" s="46">
        <f>'Inputs (2)'!V15</f>
        <v>3423.2</v>
      </c>
      <c r="AB139" s="12">
        <f>'Inputs (2)'!W15</f>
        <v>3423.2</v>
      </c>
      <c r="AC139" s="46">
        <f>'Inputs (2)'!X15</f>
        <v>3220.7</v>
      </c>
      <c r="AD139" s="46">
        <f>'Inputs (2)'!Y15</f>
        <v>3546</v>
      </c>
      <c r="AE139" s="46">
        <f>'Inputs (2)'!Z15</f>
        <v>9913.5</v>
      </c>
      <c r="AF139" s="46">
        <f>'Inputs (2)'!AA15</f>
        <v>7268</v>
      </c>
      <c r="AG139" s="12">
        <f>'Inputs (2)'!AB15</f>
        <v>7268</v>
      </c>
      <c r="AH139" s="12">
        <f>'Inputs (2)'!AC15</f>
        <v>5282</v>
      </c>
      <c r="AI139" s="12">
        <f>'Inputs (2)'!AD15</f>
        <v>8950</v>
      </c>
      <c r="AJ139" s="12">
        <f>AJ268-SUM(AJ140,AJ144,AJ148,AJ149,AJ150,AJ156,AJ161,AJ171,AJ174,AJ175,AJ184)</f>
        <v>11050.133791494</v>
      </c>
      <c r="AK139" s="12">
        <f>AK268-SUM(AK140,AK144,AK148,AK149,AK150,AK156,AK161,AK171,AK174,AK175,AK184)</f>
        <v>15156.0035998372</v>
      </c>
      <c r="AL139" s="12">
        <f>AK139</f>
        <v>15156.0035998372</v>
      </c>
      <c r="AM139" s="12">
        <f>AM268-SUM(AM140,AM144,AM148,AM149,AM150,AM156,AM161,AM171,AM174,AM175,AM184)</f>
        <v>21500.6685824851</v>
      </c>
      <c r="AN139" s="12">
        <f>AN268-SUM(AN140,AN144,AN148,AN149,AN150,AN156,AN161,AN171,AN174,AN175,AN184)</f>
        <v>25653.2319285349</v>
      </c>
      <c r="AO139" s="12">
        <f>AO268-SUM(AO140,AO144,AO148,AO149,AO150,AO156,AO161,AO171,AO174,AO175,AO184)</f>
        <v>32671.0667249585</v>
      </c>
      <c r="AP139" s="12">
        <f>AP268-SUM(AP140,AP144,AP148,AP149,AP150,AP156,AP161,AP171,AP174,AP175,AP184)</f>
        <v>42703.8528688494</v>
      </c>
      <c r="AQ139" s="12">
        <f>AP139</f>
        <v>42703.8528688494</v>
      </c>
      <c r="AR139" s="12">
        <f>AR268-SUM(AR140,AR144,AR148,AR149,AR150,AR156,AR161,AR171,AR174,AR175,AR184)</f>
        <v>58641.065166307</v>
      </c>
      <c r="AS139" s="12">
        <f>AS268-SUM(AS140,AS144,AS148,AS149,AS150,AS156,AS161,AS171,AS174,AS175,AS184)</f>
        <v>72552.5244461654</v>
      </c>
      <c r="AT139" s="12">
        <f>AT268-SUM(AT140,AT144,AT148,AT149,AT150,AT156,AT161,AT171,AT174,AT175,AT184)</f>
        <v>95244.3070487403</v>
      </c>
      <c r="AU139" s="12">
        <f>AU268-SUM(AU140,AU144,AU148,AU149,AU150,AU156,AU161,AU171,AU174,AU175,AU184)</f>
        <v>128104.136922254</v>
      </c>
      <c r="AV139" s="12">
        <f>AU139</f>
        <v>128104.136922254</v>
      </c>
      <c r="AW139" s="12">
        <f>AW268-SUM(AW140,AW144,AW148,AW149,AW150,AW156,AW161,AW171,AW174,AW175,AW184)</f>
        <v>177038.502004602</v>
      </c>
      <c r="AX139" s="12">
        <f>AX268-SUM(AX140,AX144,AX148,AX149,AX150,AX156,AX161,AX171,AX174,AX175,AX184)</f>
        <v>236701.518533025</v>
      </c>
      <c r="AY139" s="12">
        <f>AY268-SUM(AY140,AY144,AY148,AY149,AY150,AY156,AY161,AY171,AY174,AY175,AY184)</f>
        <v>325835.315751861</v>
      </c>
      <c r="AZ139" s="12">
        <f>AZ268-SUM(AZ140,AZ144,AZ148,AZ149,AZ150,AZ156,AZ161,AZ171,AZ174,AZ175,AZ184)</f>
        <v>455485.434746836</v>
      </c>
      <c r="BA139" s="12">
        <f>AZ139</f>
        <v>455485.434746836</v>
      </c>
      <c r="BB139" s="12">
        <f>BB268-SUM(BB140,BB144,BB148,BB149,BB150,BB156,BB161,BB171,BB174,BB175,BB184)</f>
        <v>645108.404735064</v>
      </c>
      <c r="BC139" s="12">
        <f>BC268-SUM(BC140,BC144,BC148,BC149,BC150,BC156,BC161,BC171,BC174,BC175,BC184)</f>
        <v>903417.984419184</v>
      </c>
      <c r="BD139" s="12">
        <f>BD268-SUM(BD140,BD144,BD148,BD149,BD150,BD156,BD161,BD171,BD174,BD175,BD184)</f>
        <v>1282360.19890489</v>
      </c>
      <c r="BE139" s="12">
        <f>BE268-SUM(BE140,BE144,BE148,BE149,BE150,BE156,BE161,BE171,BE174,BE175,BE184)</f>
        <v>1833251.27991429</v>
      </c>
      <c r="BF139" s="12">
        <f>BE139</f>
        <v>1833251.27991429</v>
      </c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>
      <c r="C140" s="14" t="inlineStr">
        <is>
          <t>Accounts receivable</t>
        </is>
      </c>
      <c r="D140" s="46" t="n"/>
      <c r="E140" s="46" t="n"/>
      <c r="F140" s="46" t="n"/>
      <c r="G140" s="46" t="n"/>
      <c r="H140" s="12" t="n"/>
      <c r="I140" s="46">
        <f>'Inputs (2)'!D16</f>
        <v>5592.8</v>
      </c>
      <c r="J140" s="46">
        <f>'Inputs (2)'!E16</f>
        <v>5829.4</v>
      </c>
      <c r="K140" s="46">
        <f>'Inputs (2)'!F16</f>
        <v>5914.3</v>
      </c>
      <c r="L140" s="46">
        <f>'Inputs (2)'!G16</f>
        <v>6672.8</v>
      </c>
      <c r="M140" s="12">
        <f>'Inputs (2)'!H16</f>
        <v>6672.8</v>
      </c>
      <c r="N140" s="46">
        <f>'Inputs (2)'!I16</f>
        <v>6322.5</v>
      </c>
      <c r="O140" s="46">
        <f>'Inputs (2)'!J16</f>
        <v>6364.5</v>
      </c>
      <c r="P140" s="46">
        <f>'Inputs (2)'!K16</f>
        <v>6715.3</v>
      </c>
      <c r="Q140" s="46">
        <f>'Inputs (2)'!L16</f>
        <v>6896</v>
      </c>
      <c r="R140" s="12">
        <f>'Inputs (2)'!M16</f>
        <v>6896</v>
      </c>
      <c r="S140" s="46">
        <f>'Inputs (2)'!N16</f>
        <v>7526.2</v>
      </c>
      <c r="T140" s="46">
        <f>'Inputs (2)'!O16</f>
        <v>7516.1</v>
      </c>
      <c r="U140" s="46">
        <f>'Inputs (2)'!P16</f>
        <v>8167.1</v>
      </c>
      <c r="V140" s="46">
        <f>'Inputs (2)'!Q16</f>
        <v>9090.5</v>
      </c>
      <c r="W140" s="12">
        <f>'Inputs (2)'!R16</f>
        <v>9090.5</v>
      </c>
      <c r="X140" s="46">
        <f>'Inputs (2)'!S16</f>
        <v>7885.6</v>
      </c>
      <c r="Y140" s="46">
        <f>'Inputs (2)'!T16</f>
        <v>11027.9</v>
      </c>
      <c r="Z140" s="46">
        <f>'Inputs (2)'!U16</f>
        <v>10294.8</v>
      </c>
      <c r="AA140" s="46">
        <f>'Inputs (2)'!V16</f>
        <v>11005.7</v>
      </c>
      <c r="AB140" s="12">
        <f>'Inputs (2)'!W16</f>
        <v>11005.7</v>
      </c>
      <c r="AC140" s="46">
        <f>'Inputs (2)'!X16</f>
        <v>12036.6</v>
      </c>
      <c r="AD140" s="46">
        <f>'Inputs (2)'!Y16</f>
        <v>14170.4</v>
      </c>
      <c r="AE140" s="46">
        <f>'Inputs (2)'!Z16</f>
        <v>16107.4</v>
      </c>
      <c r="AF140" s="46">
        <f>'Inputs (2)'!AA16</f>
        <v>17760</v>
      </c>
      <c r="AG140" s="12">
        <f>'Inputs (2)'!AB16</f>
        <v>17760</v>
      </c>
      <c r="AH140" s="12">
        <f>'Inputs (2)'!AC16</f>
        <v>18429</v>
      </c>
      <c r="AI140" s="12">
        <f>'Inputs (2)'!AD16</f>
        <v>20083</v>
      </c>
      <c r="AJ140" s="12">
        <f>(AJ141/(AJ$5-AI$5))*AJ$15</f>
        <v>23457.1945898149</v>
      </c>
      <c r="AK140" s="12">
        <f>(AK141/(AK$5-AJ$5))*AK$15</f>
        <v>25711.1152917316</v>
      </c>
      <c r="AL140" s="12">
        <f>AK140</f>
        <v>25711.1152917316</v>
      </c>
      <c r="AM140" s="12">
        <f>(AM141/(AM$5-AL$5))*AM$15</f>
        <v>26973.1853115922</v>
      </c>
      <c r="AN140" s="12">
        <f>(AN141/(AN$5-AM$5))*AN$15</f>
        <v>30954.708191704</v>
      </c>
      <c r="AO140" s="12">
        <f>(AO141/(AO$5-AN$5))*AO$15</f>
        <v>34499.8565390747</v>
      </c>
      <c r="AP140" s="12">
        <f>(AP141/(AP$5-AO$5))*AP$15</f>
        <v>37814.8284368795</v>
      </c>
      <c r="AQ140" s="12">
        <f>AP140</f>
        <v>37814.8284368795</v>
      </c>
      <c r="AR140" s="12">
        <f>(AR141/(AR$5-AQ$5))*AR$15</f>
        <v>39101.6987656669</v>
      </c>
      <c r="AS140" s="12">
        <f>(AS141/(AS$5-AR$5))*AS$15</f>
        <v>45372.1110885616</v>
      </c>
      <c r="AT140" s="12">
        <f>(AT141/(AT$5-AS$5))*AT$15</f>
        <v>50568.4406306195</v>
      </c>
      <c r="AU140" s="12">
        <f>(AU141/(AU$5-AT$5))*AU$15</f>
        <v>55427.3872009177</v>
      </c>
      <c r="AV140" s="12">
        <f>AU140</f>
        <v>55427.3872009177</v>
      </c>
      <c r="AW140" s="12">
        <f>(AW141/(AW$5-AV$5))*AW$15</f>
        <v>57752.764951802</v>
      </c>
      <c r="AX140" s="12">
        <f>(AX141/(AX$5-AW$5))*AX$15</f>
        <v>66277.674130641</v>
      </c>
      <c r="AY140" s="12">
        <f>(AY141/(AY$5-AX$5))*AY$15</f>
        <v>73868.2540662252</v>
      </c>
      <c r="AZ140" s="12">
        <f>(AZ141/(AZ$5-AY$5))*AZ$15</f>
        <v>80965.9991276315</v>
      </c>
      <c r="BA140" s="12">
        <f>AZ140</f>
        <v>80965.9991276315</v>
      </c>
      <c r="BB140" s="12">
        <f>(BB141/(BB$5-BA$5))*BB$15</f>
        <v>84074.0494494069</v>
      </c>
      <c r="BC140" s="12">
        <f>(BC141/(BC$5-BB$5))*BC$15</f>
        <v>96484.2541634418</v>
      </c>
      <c r="BD140" s="12">
        <f>(BD141/(BD$5-BC$5))*BD$15</f>
        <v>107534.301609423</v>
      </c>
      <c r="BE140" s="12">
        <f>(BE141/(BE$5-BD$5))*BE$15</f>
        <v>117866.900745931</v>
      </c>
      <c r="BF140" s="12">
        <f>BE140</f>
        <v>117866.900745931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57" t="inlineStr">
        <is>
          <t>DSO</t>
        </is>
      </c>
      <c r="D141" s="12" t="n"/>
      <c r="E141" s="12" t="n"/>
      <c r="F141" s="12" t="n"/>
      <c r="G141" s="12" t="n"/>
      <c r="H141" s="12" t="n"/>
      <c r="I141" s="12">
        <f>IFERROR((I140/I$15)*(I$5-H$5),"")</f>
        <v>73.9614435171036</v>
      </c>
      <c r="J141" s="12">
        <f>IFERROR((J140/J$15)*(J$5-I$5),"")</f>
        <v>78.7043812406344</v>
      </c>
      <c r="K141" s="12">
        <f>IFERROR((K140/K$15)*(K$5-J$5),"")</f>
        <v>80.3383534136546</v>
      </c>
      <c r="L141" s="12">
        <f>IFERROR((L140/L$15)*(L$5-K$5),"")</f>
        <v>76.7381592269904</v>
      </c>
      <c r="M141" s="12" t="n"/>
      <c r="N141" s="12">
        <f>IFERROR((N140/N$15)*(N$5-M$5),"")</f>
        <v>72.8585147247119</v>
      </c>
      <c r="O141" s="12">
        <f>IFERROR((O140/O$15)*(O$5-N$5),"")</f>
        <v>89.2678020961776</v>
      </c>
      <c r="P141" s="12">
        <f>IFERROR((P140/P$15)*(P$5-O$5),"")</f>
        <v>89.0007491068342</v>
      </c>
      <c r="Q141" s="12">
        <f>IFERROR((Q140/Q$15)*(Q$5-P$5),"")</f>
        <v>86.8870689419047</v>
      </c>
      <c r="R141" s="12" t="n"/>
      <c r="S141" s="12">
        <f>IFERROR((S140/S$15)*(S$5-R$5),"")</f>
        <v>97.3215517241379</v>
      </c>
      <c r="T141" s="12">
        <f>IFERROR((T140/T$15)*(T$5-S$5),"")</f>
        <v>82.285475391297</v>
      </c>
      <c r="U141" s="12">
        <f>IFERROR((U140/U$15)*(U$5-T$5),"")</f>
        <v>79.1035731581496</v>
      </c>
      <c r="V141" s="12">
        <f>IFERROR((V140/V$15)*(V$5-U$5),"")</f>
        <v>89.4141167917549</v>
      </c>
      <c r="W141" s="12" t="n"/>
      <c r="X141" s="12">
        <f>IFERROR((X140/X$15)*(X$5-W$5),"")</f>
        <v>81.8418795620438</v>
      </c>
      <c r="Y141" s="12">
        <f>IFERROR((Y140/Y$15)*(Y$5-X$5),"")</f>
        <v>88.7867519552677</v>
      </c>
      <c r="Z141" s="12">
        <f>IFERROR((Z140/Z$15)*(Z$5-Y$5),"")</f>
        <v>82.7968633896023</v>
      </c>
      <c r="AA141" s="12">
        <f>IFERROR((AA140/AA$15)*(AA$5-Z$5),"")</f>
        <v>74.8200224639395</v>
      </c>
      <c r="AB141" s="12" t="n"/>
      <c r="AC141" s="12">
        <f>IFERROR((AC140/AC$15)*(AC$5-AB$5),"")</f>
        <v>85.1044072590149</v>
      </c>
      <c r="AD141" s="12">
        <f>IFERROR((AD140/AD$15)*(AD$5-AC$5),"")</f>
        <v>82.8838154004371</v>
      </c>
      <c r="AE141" s="12">
        <f>IFERROR((AE140/AE$15)*(AE$5-AD$5),"")</f>
        <v>84.1939457297396</v>
      </c>
      <c r="AF141" s="11">
        <f>IFERROR((AF140/AF$15)*(AF$5-AE$5),"")</f>
        <v>84.6941737507775</v>
      </c>
      <c r="AG141" s="12" t="n"/>
      <c r="AH141" s="11">
        <f>IFERROR((AH140/AH$15)*(AH$5-AG$5),"")</f>
        <v>83.7724127481186</v>
      </c>
      <c r="AI141" s="11">
        <f>IFERROR((AI140/AI$15)*(AI$5-AH$5),"")</f>
        <v>79.5487507617307</v>
      </c>
      <c r="AJ141" s="11">
        <f>Control!$B$25</f>
        <v>83.3662509416364</v>
      </c>
      <c r="AK141" s="11">
        <f>Control!$B$25</f>
        <v>83.3662509416364</v>
      </c>
      <c r="AL141" s="12" t="n"/>
      <c r="AM141" s="11">
        <f>Control!$C$25</f>
        <v>83.3662509416364</v>
      </c>
      <c r="AN141" s="11">
        <f>Control!$C$25</f>
        <v>83.3662509416364</v>
      </c>
      <c r="AO141" s="11">
        <f>Control!$C$25</f>
        <v>83.3662509416364</v>
      </c>
      <c r="AP141" s="11">
        <f>Control!$C$25</f>
        <v>83.3662509416364</v>
      </c>
      <c r="AQ141" s="12" t="n"/>
      <c r="AR141" s="11">
        <f>Control!$D$25</f>
        <v>83.3662509416364</v>
      </c>
      <c r="AS141" s="11">
        <f>Control!$D$25</f>
        <v>83.3662509416364</v>
      </c>
      <c r="AT141" s="11">
        <f>Control!$D$25</f>
        <v>83.3662509416364</v>
      </c>
      <c r="AU141" s="11">
        <f>Control!$D$25</f>
        <v>83.3662509416364</v>
      </c>
      <c r="AV141" s="12" t="n"/>
      <c r="AW141" s="11">
        <f>Control!$E$25</f>
        <v>83.3662509416364</v>
      </c>
      <c r="AX141" s="11">
        <f>Control!$E$25</f>
        <v>83.3662509416364</v>
      </c>
      <c r="AY141" s="11">
        <f>Control!$E$25</f>
        <v>83.3662509416364</v>
      </c>
      <c r="AZ141" s="11">
        <f>Control!$E$25</f>
        <v>83.3662509416364</v>
      </c>
      <c r="BA141" s="12" t="n"/>
      <c r="BB141" s="11">
        <f>Control!$F$25</f>
        <v>83.3662509416364</v>
      </c>
      <c r="BC141" s="11">
        <f>Control!$F$25</f>
        <v>83.3662509416364</v>
      </c>
      <c r="BD141" s="11">
        <f>Control!$F$25</f>
        <v>83.3662509416364</v>
      </c>
      <c r="BE141" s="11">
        <f>Control!$F$25</f>
        <v>83.3662509416364</v>
      </c>
      <c r="BF141" s="12" t="n"/>
      <c r="BG141" s="11" t="n"/>
      <c r="BH141" s="11" t="n"/>
      <c r="BI141" s="11" t="n"/>
      <c r="BJ141" s="11" t="n"/>
      <c r="BK141" s="12" t="n"/>
      <c r="BL141" s="11" t="n"/>
      <c r="BM141" s="11" t="n"/>
      <c r="BN141" s="11" t="n"/>
      <c r="BO141" s="11" t="n"/>
      <c r="BP141" s="12" t="n"/>
      <c r="BQ141" s="11" t="n"/>
      <c r="BR141" s="11" t="n"/>
      <c r="BS141" s="11" t="n"/>
      <c r="BT141" s="11" t="n"/>
      <c r="BU141" s="12" t="n"/>
      <c r="BV141" s="11" t="n"/>
      <c r="BW141" s="11" t="n"/>
      <c r="BX141" s="11" t="n"/>
      <c r="BY141" s="11" t="n"/>
      <c r="BZ141" s="12" t="n"/>
      <c r="CA141" s="11" t="n"/>
      <c r="CB141" s="11" t="n"/>
      <c r="CC141" s="11" t="n"/>
      <c r="CD141" s="11" t="n"/>
      <c r="CE141" s="12" t="n"/>
      <c r="CF141" s="11" t="n"/>
      <c r="CG141" s="11" t="n"/>
      <c r="CH141" s="11" t="n"/>
      <c r="CI141" s="11" t="n"/>
      <c r="CJ141" s="12" t="n"/>
      <c r="CK141" s="11" t="n"/>
      <c r="CL141" s="11" t="n"/>
      <c r="CM141" s="11" t="n"/>
      <c r="CN141" s="11" t="n"/>
      <c r="CO141" s="12" t="n"/>
      <c r="CP141" s="11" t="n"/>
      <c r="CQ141" s="11" t="n"/>
      <c r="CR141" s="11" t="n"/>
      <c r="CS141" s="11" t="n"/>
      <c r="CT141" s="12" t="n"/>
      <c r="CU141" s="11" t="n"/>
      <c r="CV141" s="11" t="n"/>
      <c r="CW141" s="11" t="n"/>
      <c r="CX141" s="11" t="n"/>
      <c r="CY141" s="12" t="n"/>
    </row>
    <row r="142" hidden="1" outlineLevel="1">
      <c r="C142" s="57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collapsed="1">
      <c r="C144" s="14" t="inlineStr">
        <is>
          <t>Inventories</t>
        </is>
      </c>
      <c r="D144" s="46" t="n"/>
      <c r="E144" s="46" t="n"/>
      <c r="F144" s="46" t="n"/>
      <c r="G144" s="46" t="n"/>
      <c r="H144" s="12" t="n"/>
      <c r="I144" s="46">
        <f>'Inputs (2)'!D17</f>
        <v>3660.8</v>
      </c>
      <c r="J144" s="46">
        <f>'Inputs (2)'!E17</f>
        <v>3824.9</v>
      </c>
      <c r="K144" s="46">
        <f>'Inputs (2)'!F17</f>
        <v>3907.4</v>
      </c>
      <c r="L144" s="46">
        <f>'Inputs (2)'!G17</f>
        <v>3886</v>
      </c>
      <c r="M144" s="12">
        <f>'Inputs (2)'!H17</f>
        <v>3886</v>
      </c>
      <c r="N144" s="46">
        <f>'Inputs (2)'!I17</f>
        <v>3893</v>
      </c>
      <c r="O144" s="46">
        <f>'Inputs (2)'!J17</f>
        <v>3899.4</v>
      </c>
      <c r="P144" s="46">
        <f>'Inputs (2)'!K17</f>
        <v>3831.1</v>
      </c>
      <c r="Q144" s="46">
        <f>'Inputs (2)'!L17</f>
        <v>4309.7</v>
      </c>
      <c r="R144" s="12">
        <f>'Inputs (2)'!M17</f>
        <v>4309.7</v>
      </c>
      <c r="S144" s="46">
        <f>'Inputs (2)'!N17</f>
        <v>4544.8</v>
      </c>
      <c r="T144" s="46">
        <f>'Inputs (2)'!O17</f>
        <v>4798.7</v>
      </c>
      <c r="U144" s="46">
        <f>'Inputs (2)'!P17</f>
        <v>4901.4</v>
      </c>
      <c r="V144" s="46">
        <f>'Inputs (2)'!Q17</f>
        <v>5772.8</v>
      </c>
      <c r="W144" s="12">
        <f>'Inputs (2)'!R17</f>
        <v>5772.8</v>
      </c>
      <c r="X144" s="46">
        <f>'Inputs (2)'!S17</f>
        <v>6101.8</v>
      </c>
      <c r="Y144" s="46">
        <f>'Inputs (2)'!T17</f>
        <v>6481.5</v>
      </c>
      <c r="Z144" s="46">
        <f>'Inputs (2)'!U17</f>
        <v>7459.8</v>
      </c>
      <c r="AA144" s="46">
        <f>'Inputs (2)'!V17</f>
        <v>7589.2</v>
      </c>
      <c r="AB144" s="12">
        <f>'Inputs (2)'!W17</f>
        <v>7589.2</v>
      </c>
      <c r="AC144" s="46">
        <f>'Inputs (2)'!X17</f>
        <v>9311</v>
      </c>
      <c r="AD144" s="46">
        <f>'Inputs (2)'!Y17</f>
        <v>11013.8</v>
      </c>
      <c r="AE144" s="46">
        <f>'Inputs (2)'!Z17</f>
        <v>12180.4</v>
      </c>
      <c r="AF144" s="46">
        <f>'Inputs (2)'!AA17</f>
        <v>13744</v>
      </c>
      <c r="AG144" s="12">
        <f>'Inputs (2)'!AB17</f>
        <v>13744</v>
      </c>
      <c r="AH144" s="12">
        <f>'Inputs (2)'!AC17</f>
        <v>14529</v>
      </c>
      <c r="AI144" s="12">
        <f>'Inputs (2)'!AD17</f>
        <v>16793</v>
      </c>
      <c r="AJ144" s="12">
        <f>(AJ145/(AJ$5-AI$5))*-AJ$49</f>
        <v>18512.2043622712</v>
      </c>
      <c r="AK144" s="12">
        <f>(AK145/(AK$5-AJ$5))*-AK$49</f>
        <v>20290.9780553688</v>
      </c>
      <c r="AL144" s="12">
        <f>AK144</f>
        <v>20290.9780553688</v>
      </c>
      <c r="AM144" s="12">
        <f>(AM145/(AM$5-AL$5))*-AM$49</f>
        <v>21286.9922222676</v>
      </c>
      <c r="AN144" s="12">
        <f>(AN145/(AN$5-AM$5))*-AN$49</f>
        <v>24429.1738223508</v>
      </c>
      <c r="AO144" s="12">
        <f>(AO145/(AO$5-AN$5))*-AO$49</f>
        <v>27226.9726149476</v>
      </c>
      <c r="AP144" s="12">
        <f>(AP145/(AP$5-AO$5))*-AP$49</f>
        <v>29843.1182496006</v>
      </c>
      <c r="AQ144" s="12">
        <f>AP144</f>
        <v>29843.1182496006</v>
      </c>
      <c r="AR144" s="12">
        <f>(AR145/(AR$5-AQ$5))*-AR$49</f>
        <v>30858.7045944656</v>
      </c>
      <c r="AS144" s="12">
        <f>(AS145/(AS$5-AR$5))*-AS$49</f>
        <v>35807.2568995026</v>
      </c>
      <c r="AT144" s="12">
        <f>(AT145/(AT$5-AS$5))*-AT$49</f>
        <v>39908.1528548122</v>
      </c>
      <c r="AU144" s="12">
        <f>(AU145/(AU$5-AT$5))*-AU$49</f>
        <v>43742.7892411162</v>
      </c>
      <c r="AV144" s="12">
        <f>AU144</f>
        <v>43742.7892411162</v>
      </c>
      <c r="AW144" s="12">
        <f>(AW145/(AW$5-AV$5))*-AW$49</f>
        <v>45577.9561865505</v>
      </c>
      <c r="AX144" s="12">
        <f>(AX145/(AX$5-AW$5))*-AX$49</f>
        <v>52305.7368801971</v>
      </c>
      <c r="AY144" s="12">
        <f>(AY145/(AY$5-AX$5))*-AY$49</f>
        <v>58296.1534433399</v>
      </c>
      <c r="AZ144" s="12">
        <f>(AZ145/(AZ$5-AY$5))*-AZ$49</f>
        <v>63897.6292116786</v>
      </c>
      <c r="BA144" s="12">
        <f>AZ144</f>
        <v>63897.6292116786</v>
      </c>
      <c r="BB144" s="12">
        <f>(BB145/(BB$5-BA$5))*-BB$49</f>
        <v>66350.4742228169</v>
      </c>
      <c r="BC144" s="12">
        <f>(BC145/(BC$5-BB$5))*-BC$49</f>
        <v>76144.4947722133</v>
      </c>
      <c r="BD144" s="12">
        <f>(BD145/(BD$5-BC$5))*-BD$49</f>
        <v>84865.0915916475</v>
      </c>
      <c r="BE144" s="12">
        <f>(BE145/(BE$5-BD$5))*-BE$49</f>
        <v>93019.4847385382</v>
      </c>
      <c r="BF144" s="12">
        <f>BE144</f>
        <v>93019.4847385382</v>
      </c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hidden="1" outlineLevel="1">
      <c r="C145" s="57" t="inlineStr">
        <is>
          <t>DIO</t>
        </is>
      </c>
      <c r="D145" s="12" t="n"/>
      <c r="E145" s="12" t="n"/>
      <c r="F145" s="12" t="n"/>
      <c r="G145" s="12" t="n"/>
      <c r="H145" s="12" t="n"/>
      <c r="I145" s="12">
        <f>IFERROR(((I144/I$49)*(I$5-H$5))*-1,"")</f>
        <v>175.381667198978</v>
      </c>
      <c r="J145" s="12">
        <f>IFERROR(((J144/J$49)*(J$5-I$5))*-1,"")</f>
        <v>178.202897808724</v>
      </c>
      <c r="K145" s="12">
        <f>IFERROR(((K144/K$49)*(K$5-J$5))*-1,"")</f>
        <v>251.244618395303</v>
      </c>
      <c r="L145" s="12">
        <f>IFERROR(((L144/L$49)*(L$5-K$5))*-1,"")</f>
        <v>174.37908496732</v>
      </c>
      <c r="M145" s="12" t="n"/>
      <c r="N145" s="12">
        <f>IFERROR(((N144/N$49)*(N$5-M$5))*-1,"")</f>
        <v>169.089329665557</v>
      </c>
      <c r="O145" s="12">
        <f>IFERROR(((O144/O$49)*(O$5-N$5))*-1,"")</f>
        <v>248.056903180706</v>
      </c>
      <c r="P145" s="12">
        <f>IFERROR(((P144/P$49)*(P$5-O$5))*-1,"")</f>
        <v>223.203850294472</v>
      </c>
      <c r="Q145" s="12">
        <f>IFERROR(((Q144/Q$49)*(Q$5-P$5))*-1,"")</f>
        <v>256.11549641496</v>
      </c>
      <c r="R145" s="12" t="n"/>
      <c r="S145" s="12">
        <f>IFERROR(((S144/S$49)*(S$5-R$5))*-1,"")</f>
        <v>251.448945718325</v>
      </c>
      <c r="T145" s="12">
        <f>IFERROR(((T144/T$49)*(T$5-S$5))*-1,"")</f>
        <v>241.607668474051</v>
      </c>
      <c r="U145" s="12">
        <f>IFERROR(((U144/U$49)*(U$5-T$5))*-1,"")</f>
        <v>242.421805279286</v>
      </c>
      <c r="V145" s="12">
        <f>IFERROR(((V144/V$49)*(V$5-U$5))*-1,"")</f>
        <v>297.034451901566</v>
      </c>
      <c r="W145" s="12" t="n"/>
      <c r="X145" s="12">
        <f>IFERROR(((X144/X$49)*(X$5-W$5))*-1,"")</f>
        <v>331.797908574843</v>
      </c>
      <c r="Y145" s="12">
        <f>IFERROR(((Y144/Y$49)*(Y$5-X$5))*-1,"")</f>
        <v>271.779789881117</v>
      </c>
      <c r="Z145" s="12">
        <f>IFERROR(((Z144/Z$49)*(Z$5-Y$5))*-1,"")</f>
        <v>316.151464897734</v>
      </c>
      <c r="AA145" s="12">
        <f>IFERROR(((AA144/AA$49)*(AA$5-Z$5))*-1,"")</f>
        <v>290.459439221233</v>
      </c>
      <c r="AB145" s="12" t="n"/>
      <c r="AC145" s="12">
        <f>IFERROR(((AC144/AC$49)*(AC$5-AB$5))*-1,"")</f>
        <v>376.624719101124</v>
      </c>
      <c r="AD145" s="12">
        <f>IFERROR(((AD144/AD$49)*(AD$5-AC$5))*-1,"")</f>
        <v>409.418218954248</v>
      </c>
      <c r="AE145" s="12">
        <f>IFERROR(((AE144/AE$49)*(AE$5-AD$5))*-1,"")</f>
        <v>372.501678688961</v>
      </c>
      <c r="AF145" s="11">
        <f>IFERROR(((AF144/AF$49)*(AF$5-AE$5))*-1,"")</f>
        <v>375.017943470653</v>
      </c>
      <c r="AG145" s="12" t="n"/>
      <c r="AH145" s="11">
        <f>IFERROR(((AH144/AH$49)*(AH$5-AG$5))*-1,"")</f>
        <v>365.560525580095</v>
      </c>
      <c r="AI145" s="11">
        <f>IFERROR(((AI144/AI$49)*(AI$5-AH$5))*-1,"")</f>
        <v>467.614137086903</v>
      </c>
      <c r="AJ145" s="11">
        <f>Control!$B$26</f>
        <v>394.456203813664</v>
      </c>
      <c r="AK145" s="11">
        <f>Control!$B$26</f>
        <v>394.456203813664</v>
      </c>
      <c r="AL145" s="12" t="n"/>
      <c r="AM145" s="11">
        <f>Control!$C$26</f>
        <v>394.456203813664</v>
      </c>
      <c r="AN145" s="11">
        <f>Control!$C$26</f>
        <v>394.456203813664</v>
      </c>
      <c r="AO145" s="11">
        <f>Control!$C$26</f>
        <v>394.456203813664</v>
      </c>
      <c r="AP145" s="11">
        <f>Control!$C$26</f>
        <v>394.456203813664</v>
      </c>
      <c r="AQ145" s="12" t="n"/>
      <c r="AR145" s="11">
        <f>Control!$D$26</f>
        <v>394.456203813664</v>
      </c>
      <c r="AS145" s="11">
        <f>Control!$D$26</f>
        <v>394.456203813664</v>
      </c>
      <c r="AT145" s="11">
        <f>Control!$D$26</f>
        <v>394.456203813664</v>
      </c>
      <c r="AU145" s="11">
        <f>Control!$D$26</f>
        <v>394.456203813664</v>
      </c>
      <c r="AV145" s="12" t="n"/>
      <c r="AW145" s="11">
        <f>Control!$E$26</f>
        <v>394.456203813664</v>
      </c>
      <c r="AX145" s="11">
        <f>Control!$E$26</f>
        <v>394.456203813664</v>
      </c>
      <c r="AY145" s="11">
        <f>Control!$E$26</f>
        <v>394.456203813664</v>
      </c>
      <c r="AZ145" s="11">
        <f>Control!$E$26</f>
        <v>394.456203813664</v>
      </c>
      <c r="BA145" s="12" t="n"/>
      <c r="BB145" s="11">
        <f>Control!$F$26</f>
        <v>394.456203813664</v>
      </c>
      <c r="BC145" s="11">
        <f>Control!$F$26</f>
        <v>394.456203813664</v>
      </c>
      <c r="BD145" s="11">
        <f>Control!$F$26</f>
        <v>394.456203813664</v>
      </c>
      <c r="BE145" s="11">
        <f>Control!$F$26</f>
        <v>394.456203813664</v>
      </c>
      <c r="BF145" s="12" t="n"/>
      <c r="BG145" s="11" t="n"/>
      <c r="BH145" s="11" t="n"/>
      <c r="BI145" s="11" t="n"/>
      <c r="BJ145" s="11" t="n"/>
      <c r="BK145" s="12" t="n"/>
      <c r="BL145" s="11" t="n"/>
      <c r="BM145" s="11" t="n"/>
      <c r="BN145" s="11" t="n"/>
      <c r="BO145" s="11" t="n"/>
      <c r="BP145" s="12" t="n"/>
      <c r="BQ145" s="11" t="n"/>
      <c r="BR145" s="11" t="n"/>
      <c r="BS145" s="11" t="n"/>
      <c r="BT145" s="11" t="n"/>
      <c r="BU145" s="12" t="n"/>
      <c r="BV145" s="11" t="n"/>
      <c r="BW145" s="11" t="n"/>
      <c r="BX145" s="11" t="n"/>
      <c r="BY145" s="11" t="n"/>
      <c r="BZ145" s="12" t="n"/>
      <c r="CA145" s="11" t="n"/>
      <c r="CB145" s="11" t="n"/>
      <c r="CC145" s="11" t="n"/>
      <c r="CD145" s="11" t="n"/>
      <c r="CE145" s="12" t="n"/>
      <c r="CF145" s="11" t="n"/>
      <c r="CG145" s="11" t="n"/>
      <c r="CH145" s="11" t="n"/>
      <c r="CI145" s="11" t="n"/>
      <c r="CJ145" s="12" t="n"/>
      <c r="CK145" s="11" t="n"/>
      <c r="CL145" s="11" t="n"/>
      <c r="CM145" s="11" t="n"/>
      <c r="CN145" s="11" t="n"/>
      <c r="CO145" s="12" t="n"/>
      <c r="CP145" s="11" t="n"/>
      <c r="CQ145" s="11" t="n"/>
      <c r="CR145" s="11" t="n"/>
      <c r="CS145" s="11" t="n"/>
      <c r="CT145" s="12" t="n"/>
      <c r="CU145" s="11" t="n"/>
      <c r="CV145" s="11" t="n"/>
      <c r="CW145" s="11" t="n"/>
      <c r="CX145" s="11" t="n"/>
      <c r="CY145" s="12" t="n"/>
    </row>
    <row r="146" hidden="1" outlineLevel="1">
      <c r="C146" s="57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hidden="1" outlineLevel="1">
      <c r="C147" s="57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collapsed="1">
      <c r="C148" s="14" t="inlineStr">
        <is>
          <t>Deferred income taxes</t>
        </is>
      </c>
      <c r="D148" s="46" t="n"/>
      <c r="E148" s="46" t="n"/>
      <c r="F148" s="46" t="n"/>
      <c r="G148" s="46" t="n"/>
      <c r="H148" s="12" t="n"/>
      <c r="I148" s="46">
        <f>'Inputs (2)'!D18</f>
        <v>2649.9</v>
      </c>
      <c r="J148" s="46">
        <f>'Inputs (2)'!E18</f>
        <v>2674.9</v>
      </c>
      <c r="K148" s="46">
        <f>'Inputs (2)'!F18</f>
        <v>2625.6</v>
      </c>
      <c r="L148" s="46">
        <f>'Inputs (2)'!G18</f>
        <v>2489.3</v>
      </c>
      <c r="M148" s="12">
        <f>'Inputs (2)'!H18</f>
        <v>2489.3</v>
      </c>
      <c r="N148" s="46">
        <f>'Inputs (2)'!I18</f>
        <v>2464.9</v>
      </c>
      <c r="O148" s="46">
        <f>'Inputs (2)'!J18</f>
        <v>2371.9</v>
      </c>
      <c r="P148" s="46">
        <f>'Inputs (2)'!K18</f>
        <v>2384.3</v>
      </c>
      <c r="Q148" s="46">
        <f>'Inputs (2)'!L18</f>
        <v>2792.9</v>
      </c>
      <c r="R148" s="12">
        <f>'Inputs (2)'!M18</f>
        <v>2792.9</v>
      </c>
      <c r="S148" s="46">
        <f>'Inputs (2)'!N18</f>
        <v>3406.7</v>
      </c>
      <c r="T148" s="46">
        <f>'Inputs (2)'!O18</f>
        <v>3805.9</v>
      </c>
      <c r="U148" s="46">
        <f>'Inputs (2)'!P18</f>
        <v>4574.8</v>
      </c>
      <c r="V148" s="46">
        <f>'Inputs (2)'!Q18</f>
        <v>5477.3</v>
      </c>
      <c r="W148" s="12">
        <f>'Inputs (2)'!R18</f>
        <v>5477.3</v>
      </c>
      <c r="X148" s="46">
        <f>'Inputs (2)'!S18</f>
        <v>5633.9</v>
      </c>
      <c r="Y148" s="46">
        <f>'Inputs (2)'!T18</f>
        <v>6655.3</v>
      </c>
      <c r="Z148" s="46">
        <f>'Inputs (2)'!U18</f>
        <v>7392.3</v>
      </c>
      <c r="AA148" s="46">
        <f>'Inputs (2)'!V18</f>
        <v>8000.6</v>
      </c>
      <c r="AB148" s="12">
        <f>'Inputs (2)'!W18</f>
        <v>8000.6</v>
      </c>
      <c r="AC148" s="46">
        <f>'Inputs (2)'!X18</f>
        <v>8573.2</v>
      </c>
      <c r="AD148" s="46">
        <f>'Inputs (2)'!Y18</f>
        <v>9427.4</v>
      </c>
      <c r="AE148" s="46">
        <f>'Inputs (2)'!Z18</f>
        <v>8962.7</v>
      </c>
      <c r="AF148" s="46">
        <f>'Inputs (2)'!AA18</f>
        <v>9959</v>
      </c>
      <c r="AG148" s="12">
        <f>'Inputs (2)'!AB18</f>
        <v>9959</v>
      </c>
      <c r="AH148" s="12">
        <f>'Inputs (2)'!AC18</f>
        <v>11350</v>
      </c>
      <c r="AI148" s="12">
        <f>'Inputs (2)'!AD18</f>
        <v>10028</v>
      </c>
      <c r="AJ148" s="12">
        <f>AI148</f>
        <v>10028</v>
      </c>
      <c r="AK148" s="12">
        <f>AJ148</f>
        <v>10028</v>
      </c>
      <c r="AL148" s="12">
        <f>AK148</f>
        <v>10028</v>
      </c>
      <c r="AM148" s="12">
        <f>AL148</f>
        <v>10028</v>
      </c>
      <c r="AN148" s="12">
        <f>AM148</f>
        <v>10028</v>
      </c>
      <c r="AO148" s="12">
        <f>AN148</f>
        <v>10028</v>
      </c>
      <c r="AP148" s="12">
        <f>AO148</f>
        <v>10028</v>
      </c>
      <c r="AQ148" s="12">
        <f>AP148</f>
        <v>10028</v>
      </c>
      <c r="AR148" s="12">
        <f>AQ148</f>
        <v>10028</v>
      </c>
      <c r="AS148" s="12">
        <f>AR148</f>
        <v>10028</v>
      </c>
      <c r="AT148" s="12">
        <f>AS148</f>
        <v>10028</v>
      </c>
      <c r="AU148" s="12">
        <f>AT148</f>
        <v>10028</v>
      </c>
      <c r="AV148" s="12">
        <f>AU148</f>
        <v>10028</v>
      </c>
      <c r="AW148" s="12">
        <f>AV148</f>
        <v>10028</v>
      </c>
      <c r="AX148" s="12">
        <f>AW148</f>
        <v>10028</v>
      </c>
      <c r="AY148" s="12">
        <f>AX148</f>
        <v>10028</v>
      </c>
      <c r="AZ148" s="12">
        <f>AY148</f>
        <v>10028</v>
      </c>
      <c r="BA148" s="12">
        <f>AZ148</f>
        <v>10028</v>
      </c>
      <c r="BB148" s="12">
        <f>BA148</f>
        <v>10028</v>
      </c>
      <c r="BC148" s="12">
        <f>BB148</f>
        <v>10028</v>
      </c>
      <c r="BD148" s="12">
        <f>BC148</f>
        <v>10028</v>
      </c>
      <c r="BE148" s="12">
        <f>BD148</f>
        <v>10028</v>
      </c>
      <c r="BF148" s="12">
        <f>BE148</f>
        <v>10028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>
      <c r="C149" s="14" t="inlineStr">
        <is>
          <t>Prepaid expenses</t>
        </is>
      </c>
      <c r="D149" s="46" t="n"/>
      <c r="E149" s="46" t="n"/>
      <c r="F149" s="46" t="n"/>
      <c r="G149" s="46" t="n"/>
      <c r="H149" s="12" t="n"/>
      <c r="I149" s="46">
        <f>'Inputs (2)'!D19</f>
        <v>3233.7</v>
      </c>
      <c r="J149" s="46">
        <f>'Inputs (2)'!E19</f>
        <v>3296.6</v>
      </c>
      <c r="K149" s="46">
        <f>'Inputs (2)'!F19</f>
        <v>3050.6</v>
      </c>
      <c r="L149" s="46">
        <f>'Inputs (2)'!G19</f>
        <v>2530.6</v>
      </c>
      <c r="M149" s="12">
        <f>'Inputs (2)'!H19</f>
        <v>2530.6</v>
      </c>
      <c r="N149" s="46">
        <f>'Inputs (2)'!I19</f>
        <v>2697.7</v>
      </c>
      <c r="O149" s="46">
        <f>'Inputs (2)'!J19</f>
        <v>2806.7</v>
      </c>
      <c r="P149" s="46">
        <f>'Inputs (2)'!K19</f>
        <v>2741.9</v>
      </c>
      <c r="Q149" s="46">
        <f>'Inputs (2)'!L19</f>
        <v>0</v>
      </c>
      <c r="R149" s="12">
        <f>'Inputs (2)'!M19</f>
        <v>0</v>
      </c>
      <c r="S149" s="46">
        <f>'Inputs (2)'!N19</f>
        <v>0</v>
      </c>
      <c r="T149" s="46">
        <f>'Inputs (2)'!O19</f>
        <v>0</v>
      </c>
      <c r="U149" s="46">
        <f>'Inputs (2)'!P19</f>
        <v>0</v>
      </c>
      <c r="V149" s="46">
        <f>'Inputs (2)'!Q19</f>
        <v>5540.8</v>
      </c>
      <c r="W149" s="12">
        <f>'Inputs (2)'!R19</f>
        <v>5540.8</v>
      </c>
      <c r="X149" s="46">
        <f>'Inputs (2)'!S19</f>
        <v>6348.6</v>
      </c>
      <c r="Y149" s="46">
        <f>'Inputs (2)'!T19</f>
        <v>7137.6</v>
      </c>
      <c r="Z149" s="46">
        <f>'Inputs (2)'!U19</f>
        <v>8250.6</v>
      </c>
      <c r="AA149" s="46">
        <f>'Inputs (2)'!V19</f>
        <v>8340.5</v>
      </c>
      <c r="AB149" s="12">
        <f>'Inputs (2)'!W19</f>
        <v>8340.5</v>
      </c>
      <c r="AC149" s="46">
        <f>'Inputs (2)'!X19</f>
        <v>14653.9</v>
      </c>
      <c r="AD149" s="46">
        <f>'Inputs (2)'!Y19</f>
        <v>18019.8</v>
      </c>
      <c r="AE149" s="46">
        <f>'Inputs (2)'!Z19</f>
        <v>20248.7</v>
      </c>
      <c r="AF149" s="46">
        <f>'Inputs (2)'!AA19</f>
        <v>14315</v>
      </c>
      <c r="AG149" s="12">
        <f>'Inputs (2)'!AB19</f>
        <v>14315</v>
      </c>
      <c r="AH149" s="12">
        <f>'Inputs (2)'!AC19</f>
        <v>13633</v>
      </c>
      <c r="AI149" s="12">
        <f>'Inputs (2)'!AD19</f>
        <v>15368</v>
      </c>
      <c r="AJ149" s="12">
        <f>AI149</f>
        <v>15368</v>
      </c>
      <c r="AK149" s="12">
        <f>AJ149</f>
        <v>15368</v>
      </c>
      <c r="AL149" s="12">
        <f>AK149</f>
        <v>15368</v>
      </c>
      <c r="AM149" s="12">
        <f>AL149</f>
        <v>15368</v>
      </c>
      <c r="AN149" s="12">
        <f>AM149</f>
        <v>15368</v>
      </c>
      <c r="AO149" s="12">
        <f>AN149</f>
        <v>15368</v>
      </c>
      <c r="AP149" s="12">
        <f>AO149</f>
        <v>15368</v>
      </c>
      <c r="AQ149" s="12">
        <f>AP149</f>
        <v>15368</v>
      </c>
      <c r="AR149" s="12">
        <f>AQ149</f>
        <v>15368</v>
      </c>
      <c r="AS149" s="12">
        <f>AR149</f>
        <v>15368</v>
      </c>
      <c r="AT149" s="12">
        <f>AS149</f>
        <v>15368</v>
      </c>
      <c r="AU149" s="12">
        <f>AT149</f>
        <v>15368</v>
      </c>
      <c r="AV149" s="12">
        <f>AU149</f>
        <v>15368</v>
      </c>
      <c r="AW149" s="12">
        <f>AV149</f>
        <v>15368</v>
      </c>
      <c r="AX149" s="12">
        <f>AW149</f>
        <v>15368</v>
      </c>
      <c r="AY149" s="12">
        <f>AX149</f>
        <v>15368</v>
      </c>
      <c r="AZ149" s="12">
        <f>AY149</f>
        <v>15368</v>
      </c>
      <c r="BA149" s="12">
        <f>AZ149</f>
        <v>15368</v>
      </c>
      <c r="BB149" s="12">
        <f>BA149</f>
        <v>15368</v>
      </c>
      <c r="BC149" s="12">
        <f>BB149</f>
        <v>15368</v>
      </c>
      <c r="BD149" s="12">
        <f>BC149</f>
        <v>15368</v>
      </c>
      <c r="BE149" s="12">
        <f>BD149</f>
        <v>15368</v>
      </c>
      <c r="BF149" s="12">
        <f>BE149</f>
        <v>15368</v>
      </c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>
      <c r="C150" s="14" t="inlineStr">
        <is>
          <t>Other current assets</t>
        </is>
      </c>
      <c r="D150" s="46" t="n"/>
      <c r="E150" s="46" t="n"/>
      <c r="F150" s="46" t="n"/>
      <c r="G150" s="46" t="n"/>
      <c r="H150" s="12" t="n"/>
      <c r="I150" s="46">
        <f>'Inputs (2)'!D20</f>
        <v>1065.8</v>
      </c>
      <c r="J150" s="46">
        <f>'Inputs (2)'!E20</f>
        <v>1073.4</v>
      </c>
      <c r="K150" s="46">
        <f>'Inputs (2)'!F20</f>
        <v>1110.7</v>
      </c>
      <c r="L150" s="46">
        <f>'Inputs (2)'!G20</f>
        <v>1454.4</v>
      </c>
      <c r="M150" s="12">
        <f>'Inputs (2)'!H20</f>
        <v>1454.4</v>
      </c>
      <c r="N150" s="46">
        <f>'Inputs (2)'!I20</f>
        <v>1483.2</v>
      </c>
      <c r="O150" s="46">
        <f>'Inputs (2)'!J20</f>
        <v>1307.9</v>
      </c>
      <c r="P150" s="46">
        <f>'Inputs (2)'!K20</f>
        <v>1609.5</v>
      </c>
      <c r="Q150" s="46">
        <f>'Inputs (2)'!L20</f>
        <v>4617</v>
      </c>
      <c r="R150" s="12">
        <f>'Inputs (2)'!M20</f>
        <v>4617</v>
      </c>
      <c r="S150" s="46">
        <f>'Inputs (2)'!N20</f>
        <v>5071.1</v>
      </c>
      <c r="T150" s="46">
        <f>'Inputs (2)'!O20</f>
        <v>6187.7</v>
      </c>
      <c r="U150" s="46">
        <f>'Inputs (2)'!P20</f>
        <v>7444.6</v>
      </c>
      <c r="V150" s="46">
        <f>'Inputs (2)'!Q20</f>
        <v>2395.2</v>
      </c>
      <c r="W150" s="12">
        <f>'Inputs (2)'!R20</f>
        <v>2395.2</v>
      </c>
      <c r="X150" s="46">
        <f>'Inputs (2)'!S20</f>
        <v>2266.5</v>
      </c>
      <c r="Y150" s="46">
        <f>'Inputs (2)'!T20</f>
        <v>2193.3</v>
      </c>
      <c r="Z150" s="46">
        <f>'Inputs (2)'!U20</f>
        <v>1891.5</v>
      </c>
      <c r="AA150" s="46">
        <f>'Inputs (2)'!V20</f>
        <v>2381.1</v>
      </c>
      <c r="AB150" s="12">
        <f>'Inputs (2)'!W20</f>
        <v>2381.1</v>
      </c>
      <c r="AC150" s="46">
        <f>'Inputs (2)'!X20</f>
        <v>2039</v>
      </c>
      <c r="AD150" s="46">
        <f>'Inputs (2)'!Y20</f>
        <v>3104</v>
      </c>
      <c r="AE150" s="46">
        <f>'Inputs (2)'!Z20</f>
        <v>3621.3</v>
      </c>
      <c r="AF150" s="46">
        <f>'Inputs (2)'!AA20</f>
        <v>2542</v>
      </c>
      <c r="AG150" s="12">
        <f>'Inputs (2)'!AB20</f>
        <v>2542</v>
      </c>
      <c r="AH150" s="12">
        <f>'Inputs (2)'!AC20</f>
        <v>2962</v>
      </c>
      <c r="AI150" s="12">
        <f>'Inputs (2)'!AD20</f>
        <v>3478</v>
      </c>
      <c r="AJ150" s="12">
        <f>AI150</f>
        <v>3478</v>
      </c>
      <c r="AK150" s="12">
        <f>AJ150</f>
        <v>3478</v>
      </c>
      <c r="AL150" s="12">
        <f>AK150</f>
        <v>3478</v>
      </c>
      <c r="AM150" s="12">
        <f>AL150</f>
        <v>3478</v>
      </c>
      <c r="AN150" s="12">
        <f>AM150</f>
        <v>3478</v>
      </c>
      <c r="AO150" s="12">
        <f>AN150</f>
        <v>3478</v>
      </c>
      <c r="AP150" s="12">
        <f>AO150</f>
        <v>3478</v>
      </c>
      <c r="AQ150" s="12">
        <f>AP150</f>
        <v>3478</v>
      </c>
      <c r="AR150" s="12">
        <f>AQ150</f>
        <v>3478</v>
      </c>
      <c r="AS150" s="12">
        <f>AR150</f>
        <v>3478</v>
      </c>
      <c r="AT150" s="12">
        <f>AS150</f>
        <v>3478</v>
      </c>
      <c r="AU150" s="12">
        <f>AT150</f>
        <v>3478</v>
      </c>
      <c r="AV150" s="12">
        <f>AU150</f>
        <v>3478</v>
      </c>
      <c r="AW150" s="12">
        <f>AV150</f>
        <v>3478</v>
      </c>
      <c r="AX150" s="12">
        <f>AW150</f>
        <v>3478</v>
      </c>
      <c r="AY150" s="12">
        <f>AX150</f>
        <v>3478</v>
      </c>
      <c r="AZ150" s="12">
        <f>AY150</f>
        <v>3478</v>
      </c>
      <c r="BA150" s="12">
        <f>AZ150</f>
        <v>3478</v>
      </c>
      <c r="BB150" s="12">
        <f>BA150</f>
        <v>3478</v>
      </c>
      <c r="BC150" s="12">
        <f>BB150</f>
        <v>3478</v>
      </c>
      <c r="BD150" s="12">
        <f>BC150</f>
        <v>3478</v>
      </c>
      <c r="BE150" s="12">
        <f>BD150</f>
        <v>3478</v>
      </c>
      <c r="BF150" s="12">
        <f>BE150</f>
        <v>3478</v>
      </c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59" t="inlineStr">
        <is>
          <t>%(Var.)</t>
        </is>
      </c>
      <c r="D151" s="12" t="n"/>
      <c r="E151" s="40" t="n"/>
      <c r="F151" s="40" t="n"/>
      <c r="G151" s="40" t="n"/>
      <c r="H151" s="12" t="n"/>
      <c r="I151" s="40" t="str">
        <f>""</f>
        <v/>
      </c>
      <c r="J151" s="40">
        <f>IFERROR(IF(I150=0,"",J150/I150-1),"")</f>
        <v>0.0071307937699383</v>
      </c>
      <c r="K151" s="40">
        <f>IFERROR(IF(J150=0,"",K150/J150-1),"")</f>
        <v>0.0347493944475499</v>
      </c>
      <c r="L151" s="40">
        <f>IFERROR(IF(K150=0,"",L150/K150-1),"")</f>
        <v>0.309444494462951</v>
      </c>
      <c r="M151" s="12">
        <f>IFERROR(IF(L150=0,"",M150/L150-1),"")</f>
        <v>0</v>
      </c>
      <c r="N151" s="40">
        <f>IFERROR(IF(M150=0,"",N150/M150-1),"")</f>
        <v>0.0198019801980198</v>
      </c>
      <c r="O151" s="40">
        <f>IFERROR(IF(N150=0,"",O150/N150-1),"")</f>
        <v>-0.118190399137001</v>
      </c>
      <c r="P151" s="40">
        <f>IFERROR(IF(O150=0,"",P150/O150-1),"")</f>
        <v>0.23059866962306</v>
      </c>
      <c r="Q151" s="40">
        <f>IFERROR(IF(P150=0,"",Q150/P150-1),"")</f>
        <v>1.8685927306617</v>
      </c>
      <c r="R151" s="12">
        <f>IFERROR(IF(Q150=0,"",R150/Q150-1),"")</f>
        <v>0</v>
      </c>
      <c r="S151" s="40">
        <f>IFERROR(IF(R150=0,"",S150/R150-1),"")</f>
        <v>0.0983539094650208</v>
      </c>
      <c r="T151" s="40">
        <f>IFERROR(IF(S150=0,"",T150/S150-1),"")</f>
        <v>0.220188913647926</v>
      </c>
      <c r="U151" s="40">
        <f>IFERROR(IF(T150=0,"",U150/T150-1),"")</f>
        <v>0.203128787756355</v>
      </c>
      <c r="V151" s="40">
        <f>IFERROR(IF(U150=0,"",V150/U150-1),"")</f>
        <v>-0.678263439271418</v>
      </c>
      <c r="W151" s="12">
        <f>IFERROR(IF(V150=0,"",W150/V150-1),"")</f>
        <v>0</v>
      </c>
      <c r="X151" s="40">
        <f>IFERROR(IF(W150=0,"",X150/W150-1),"")</f>
        <v>-0.0537324649298596</v>
      </c>
      <c r="Y151" s="40">
        <f>IFERROR(IF(X150=0,"",Y150/X150-1),"")</f>
        <v>-0.0322964923891462</v>
      </c>
      <c r="Z151" s="40">
        <f>IFERROR(IF(Y150=0,"",Z150/Y150-1),"")</f>
        <v>-0.137600875393243</v>
      </c>
      <c r="AA151" s="40">
        <f>IFERROR(IF(Z150=0,"",AA150/Z150-1),"")</f>
        <v>0.258842188739096</v>
      </c>
      <c r="AB151" s="12">
        <f>IFERROR(IF(AA150=0,"",AB150/AA150-1),"")</f>
        <v>0</v>
      </c>
      <c r="AC151" s="40">
        <f>IFERROR(IF(AB150=0,"",AC150/AB150-1),"")</f>
        <v>-0.143673092268279</v>
      </c>
      <c r="AD151" s="40">
        <f>IFERROR(IF(AC150=0,"",AD150/AC150-1),"")</f>
        <v>0.522314860225601</v>
      </c>
      <c r="AE151" s="40">
        <f>IFERROR(IF(AD150=0,"",AE150/AD150-1),"")</f>
        <v>0.166655927835052</v>
      </c>
      <c r="AF151" s="55">
        <f>IFERROR(IF(AE150=0,"",AF150/AE150-1),"")</f>
        <v>-0.29804213956314</v>
      </c>
      <c r="AG151" s="12">
        <f>IFERROR(IF(AF150=0,"",AG150/AF150-1),"")</f>
        <v>0</v>
      </c>
      <c r="AH151" s="12">
        <f>IFERROR(IF(AG150=0,"",AH150/AG150-1),"")</f>
        <v>0.16522423288749</v>
      </c>
      <c r="AI151" s="12">
        <f>IFERROR(IF(AH150=0,"",AI150/AH150-1),"")</f>
        <v>0.174206617150574</v>
      </c>
      <c r="AJ151" s="12">
        <f>IFERROR(IF(AI150=0,"",AJ150/AI150-1),"")</f>
        <v>0</v>
      </c>
      <c r="AK151" s="12">
        <f>IFERROR(IF(AJ150=0,"",AK150/AJ150-1),"")</f>
        <v>0</v>
      </c>
      <c r="AL151" s="12">
        <f>IFERROR(IF(AK150=0,"",AL150/AK150-1),"")</f>
        <v>0</v>
      </c>
      <c r="AM151" s="12">
        <f>IFERROR(IF(AL150=0,"",AM150/AL150-1),"")</f>
        <v>0</v>
      </c>
      <c r="AN151" s="12">
        <f>IFERROR(IF(AM150=0,"",AN150/AM150-1),"")</f>
        <v>0</v>
      </c>
      <c r="AO151" s="12">
        <f>IFERROR(IF(AN150=0,"",AO150/AN150-1),"")</f>
        <v>0</v>
      </c>
      <c r="AP151" s="12">
        <f>IFERROR(IF(AO150=0,"",AP150/AO150-1),"")</f>
        <v>0</v>
      </c>
      <c r="AQ151" s="12">
        <f>IFERROR(IF(AP150=0,"",AQ150/AP150-1),"")</f>
        <v>0</v>
      </c>
      <c r="AR151" s="12">
        <f>IFERROR(IF(AQ150=0,"",AR150/AQ150-1),"")</f>
        <v>0</v>
      </c>
      <c r="AS151" s="12">
        <f>IFERROR(IF(AR150=0,"",AS150/AR150-1),"")</f>
        <v>0</v>
      </c>
      <c r="AT151" s="12">
        <f>IFERROR(IF(AS150=0,"",AT150/AS150-1),"")</f>
        <v>0</v>
      </c>
      <c r="AU151" s="12">
        <f>IFERROR(IF(AT150=0,"",AU150/AT150-1),"")</f>
        <v>0</v>
      </c>
      <c r="AV151" s="12">
        <f>IFERROR(IF(AU150=0,"",AV150/AU150-1),"")</f>
        <v>0</v>
      </c>
      <c r="AW151" s="12">
        <f>IFERROR(IF(AV150=0,"",AW150/AV150-1),"")</f>
        <v>0</v>
      </c>
      <c r="AX151" s="12">
        <f>IFERROR(IF(AW150=0,"",AX150/AW150-1),"")</f>
        <v>0</v>
      </c>
      <c r="AY151" s="12">
        <f>IFERROR(IF(AX150=0,"",AY150/AX150-1),"")</f>
        <v>0</v>
      </c>
      <c r="AZ151" s="12">
        <f>IFERROR(IF(AY150=0,"",AZ150/AY150-1),"")</f>
        <v>0</v>
      </c>
      <c r="BA151" s="12">
        <f>IFERROR(IF(AZ150=0,"",BA150/AZ150-1),"")</f>
        <v>0</v>
      </c>
      <c r="BB151" s="12">
        <f>IFERROR(IF(BA150=0,"",BB150/BA150-1),"")</f>
        <v>0</v>
      </c>
      <c r="BC151" s="12">
        <f>IFERROR(IF(BB150=0,"",BC150/BB150-1),"")</f>
        <v>0</v>
      </c>
      <c r="BD151" s="12">
        <f>IFERROR(IF(BC150=0,"",BD150/BC150-1),"")</f>
        <v>0</v>
      </c>
      <c r="BE151" s="12">
        <f>IFERROR(IF(BD150=0,"",BE150/BD150-1),"")</f>
        <v>0</v>
      </c>
      <c r="BF151" s="12">
        <f>IFERROR(IF(BE150=0,"",BF150/BE150-1),"")</f>
        <v>0</v>
      </c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n"/>
      <c r="D152" s="12" t="n"/>
      <c r="E152" s="40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60" t="inlineStr">
        <is>
          <t xml:space="preserve">Impostos e Contribuições a Recuperar </t>
        </is>
      </c>
      <c r="D153" s="11" t="n"/>
      <c r="E153" s="11" t="n"/>
      <c r="F153" s="11" t="n"/>
      <c r="G153" s="11" t="n"/>
      <c r="H153" s="12" t="n"/>
      <c r="I153" s="11" t="n"/>
      <c r="J153" s="11" t="n"/>
      <c r="K153" s="11" t="n"/>
      <c r="L153" s="11" t="n"/>
      <c r="M153" s="12" t="n"/>
      <c r="N153" s="11" t="n"/>
      <c r="O153" s="11" t="n"/>
      <c r="P153" s="11" t="n"/>
      <c r="Q153" s="11" t="n"/>
      <c r="R153" s="12" t="n"/>
      <c r="S153" s="11" t="n"/>
      <c r="T153" s="11" t="n"/>
      <c r="U153" s="11" t="n"/>
      <c r="V153" s="11" t="n"/>
      <c r="W153" s="12" t="n"/>
      <c r="X153" s="11" t="n"/>
      <c r="Y153" s="11" t="n"/>
      <c r="Z153" s="11" t="n"/>
      <c r="AA153" s="11" t="n"/>
      <c r="AB153" s="12" t="n"/>
      <c r="AC153" s="11" t="n"/>
      <c r="AD153" s="11" t="n"/>
      <c r="AE153" s="11" t="n"/>
      <c r="AF153" s="11" t="n"/>
      <c r="AG153" s="12">
        <f>AF153</f>
        <v>0</v>
      </c>
      <c r="AH153" s="61">
        <f>IFERROR(AG153*AH15/AG15,"")</f>
        <v>0</v>
      </c>
      <c r="AI153" s="61">
        <f>IFERROR(AH153*AI15/AH15,"")</f>
        <v>0</v>
      </c>
      <c r="AJ153" s="61">
        <f>IFERROR(AI153*AJ15/AI15,"")</f>
        <v>0</v>
      </c>
      <c r="AK153" s="61">
        <f>IFERROR(AJ153*AK15/AJ15,"")</f>
        <v>0</v>
      </c>
      <c r="AL153" s="12">
        <f>IFERROR(AK153,"")</f>
        <v>0</v>
      </c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60" t="inlineStr">
        <is>
          <t>Outros Créditos</t>
        </is>
      </c>
      <c r="D154" s="11" t="n"/>
      <c r="E154" s="11" t="n"/>
      <c r="F154" s="11" t="n"/>
      <c r="G154" s="11" t="n"/>
      <c r="H154" s="12" t="n"/>
      <c r="I154" s="11" t="n"/>
      <c r="J154" s="11" t="n"/>
      <c r="K154" s="11" t="n"/>
      <c r="L154" s="11" t="n"/>
      <c r="M154" s="12" t="n"/>
      <c r="N154" s="11" t="n"/>
      <c r="O154" s="11" t="n"/>
      <c r="P154" s="11" t="n"/>
      <c r="Q154" s="11" t="n"/>
      <c r="R154" s="12" t="n"/>
      <c r="S154" s="11" t="n"/>
      <c r="T154" s="11" t="n"/>
      <c r="U154" s="11" t="n"/>
      <c r="V154" s="11" t="n"/>
      <c r="W154" s="12" t="n"/>
      <c r="X154" s="11" t="n"/>
      <c r="Y154" s="11" t="n"/>
      <c r="Z154" s="11" t="n"/>
      <c r="AA154" s="11" t="n"/>
      <c r="AB154" s="12" t="n"/>
      <c r="AC154" s="11" t="n"/>
      <c r="AD154" s="11" t="n"/>
      <c r="AE154" s="11" t="n"/>
      <c r="AF154" s="11" t="n"/>
      <c r="AG154" s="12">
        <f>AF154</f>
        <v>0</v>
      </c>
      <c r="AH154" s="12">
        <f>AG154</f>
        <v>0</v>
      </c>
      <c r="AI154" s="12">
        <f>AH154</f>
        <v>0</v>
      </c>
      <c r="AJ154" s="12">
        <f>AI154</f>
        <v>0</v>
      </c>
      <c r="AK154" s="12">
        <f>AJ154</f>
        <v>0</v>
      </c>
      <c r="AL154" s="12">
        <f>AK154</f>
        <v>0</v>
      </c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57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  <c r="BE155" s="12" t="n"/>
      <c r="BF155" s="12" t="n"/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collapsed="1">
      <c r="C156" s="14" t="inlineStr">
        <is>
          <t>Equity in affiliates</t>
        </is>
      </c>
      <c r="D156" s="46" t="n"/>
      <c r="E156" s="46" t="n"/>
      <c r="F156" s="46" t="n"/>
      <c r="G156" s="46" t="n"/>
      <c r="H156" s="12" t="n"/>
      <c r="I156" s="46">
        <f>'Inputs (2)'!D21</f>
        <v>0</v>
      </c>
      <c r="J156" s="46">
        <f>'Inputs (2)'!E21</f>
        <v>0</v>
      </c>
      <c r="K156" s="46">
        <f>'Inputs (2)'!F21</f>
        <v>0</v>
      </c>
      <c r="L156" s="46">
        <f>'Inputs (2)'!G21</f>
        <v>0</v>
      </c>
      <c r="M156" s="12">
        <f>'Inputs (2)'!H21</f>
        <v>0</v>
      </c>
      <c r="N156" s="46">
        <f>'Inputs (2)'!I21</f>
        <v>0</v>
      </c>
      <c r="O156" s="46">
        <f>'Inputs (2)'!J21</f>
        <v>0</v>
      </c>
      <c r="P156" s="46">
        <f>'Inputs (2)'!K21</f>
        <v>0</v>
      </c>
      <c r="Q156" s="46">
        <f>'Inputs (2)'!L21</f>
        <v>0</v>
      </c>
      <c r="R156" s="12">
        <f>'Inputs (2)'!M21</f>
        <v>0</v>
      </c>
      <c r="S156" s="46">
        <f>'Inputs (2)'!N21</f>
        <v>0</v>
      </c>
      <c r="T156" s="46">
        <f>'Inputs (2)'!O21</f>
        <v>0</v>
      </c>
      <c r="U156" s="46">
        <f>'Inputs (2)'!P21</f>
        <v>0</v>
      </c>
      <c r="V156" s="46">
        <f>'Inputs (2)'!Q21</f>
        <v>0</v>
      </c>
      <c r="W156" s="12">
        <f>'Inputs (2)'!R21</f>
        <v>0</v>
      </c>
      <c r="X156" s="46">
        <f>'Inputs (2)'!S21</f>
        <v>0</v>
      </c>
      <c r="Y156" s="46">
        <f>'Inputs (2)'!T21</f>
        <v>0</v>
      </c>
      <c r="Z156" s="46">
        <f>'Inputs (2)'!U21</f>
        <v>0</v>
      </c>
      <c r="AA156" s="46">
        <f>'Inputs (2)'!V21</f>
        <v>0</v>
      </c>
      <c r="AB156" s="12">
        <f>'Inputs (2)'!W21</f>
        <v>0</v>
      </c>
      <c r="AC156" s="46">
        <f>'Inputs (2)'!X21</f>
        <v>0</v>
      </c>
      <c r="AD156" s="46">
        <f>'Inputs (2)'!Y21</f>
        <v>0</v>
      </c>
      <c r="AE156" s="46">
        <f>'Inputs (2)'!Z21</f>
        <v>0</v>
      </c>
      <c r="AF156" s="46">
        <f>'Inputs (2)'!AA21</f>
        <v>0</v>
      </c>
      <c r="AG156" s="12">
        <f>'Inputs (2)'!AB21</f>
        <v>0</v>
      </c>
      <c r="AH156" s="12">
        <f>'Inputs (2)'!AC21</f>
        <v>0</v>
      </c>
      <c r="AI156" s="12">
        <f>'Inputs (2)'!AD21</f>
        <v>0</v>
      </c>
      <c r="AJ156" s="12">
        <f>AI156+AJ130</f>
        <v>0</v>
      </c>
      <c r="AK156" s="12">
        <f>AJ156+AK130</f>
        <v>0</v>
      </c>
      <c r="AL156" s="12">
        <f>AK156</f>
        <v>0</v>
      </c>
      <c r="AM156" s="12">
        <f>AL156+AM130</f>
        <v>0</v>
      </c>
      <c r="AN156" s="12">
        <f>AM156+AN130</f>
        <v>0</v>
      </c>
      <c r="AO156" s="12">
        <f>AN156+AO130</f>
        <v>0</v>
      </c>
      <c r="AP156" s="12">
        <f>AO156+AP130</f>
        <v>0</v>
      </c>
      <c r="AQ156" s="12">
        <f>AP156</f>
        <v>0</v>
      </c>
      <c r="AR156" s="12">
        <f>AQ156+AR130</f>
        <v>0</v>
      </c>
      <c r="AS156" s="12">
        <f>AR156+AS130</f>
        <v>0</v>
      </c>
      <c r="AT156" s="12">
        <f>AS156+AT130</f>
        <v>0</v>
      </c>
      <c r="AU156" s="12">
        <f>AT156+AU130</f>
        <v>0</v>
      </c>
      <c r="AV156" s="12">
        <f>AU156</f>
        <v>0</v>
      </c>
      <c r="AW156" s="12">
        <f>AV156+AW130</f>
        <v>0</v>
      </c>
      <c r="AX156" s="12">
        <f>AW156+AX130</f>
        <v>0</v>
      </c>
      <c r="AY156" s="12">
        <f>AX156+AY130</f>
        <v>0</v>
      </c>
      <c r="AZ156" s="12">
        <f>AY156+AZ130</f>
        <v>0</v>
      </c>
      <c r="BA156" s="12">
        <f>AZ156</f>
        <v>0</v>
      </c>
      <c r="BB156" s="12">
        <f>BA156+BB130</f>
        <v>0</v>
      </c>
      <c r="BC156" s="12">
        <f>BB156+BC130</f>
        <v>0</v>
      </c>
      <c r="BD156" s="12">
        <f>BC156+BD130</f>
        <v>0</v>
      </c>
      <c r="BE156" s="12">
        <f>BD156+BE130</f>
        <v>0</v>
      </c>
      <c r="BF156" s="12">
        <f>BE156</f>
        <v>0</v>
      </c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hidden="1" outlineLevel="1">
      <c r="C157" s="57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inlineStr">
        <is>
          <t>Equity in Income - % YoY</t>
        </is>
      </c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>
        <f>IF(I130=0,0,N130/I130-1)</f>
        <v>0</v>
      </c>
      <c r="O158" s="12">
        <f>IF(J130=0,0,O130/J130-1)</f>
        <v>0</v>
      </c>
      <c r="P158" s="12">
        <f>IF(K130=0,0,P130/K130-1)</f>
        <v>0</v>
      </c>
      <c r="Q158" s="12">
        <f>IF(L130=0,0,Q130/L130-1)</f>
        <v>0</v>
      </c>
      <c r="R158" s="12" t="n"/>
      <c r="S158" s="12">
        <f>IF(N130=0,0,S130/N130-1)</f>
        <v>0</v>
      </c>
      <c r="T158" s="12">
        <f>IF(O130=0,0,T130/O130-1)</f>
        <v>0</v>
      </c>
      <c r="U158" s="12">
        <f>IF(P130=0,0,U130/P130-1)</f>
        <v>0</v>
      </c>
      <c r="V158" s="12">
        <f>IF(Q130=0,0,V130/Q130-1)</f>
        <v>0</v>
      </c>
      <c r="W158" s="12" t="n"/>
      <c r="X158" s="12">
        <f>IF(S130=0,0,X130/S130-1)</f>
        <v>0</v>
      </c>
      <c r="Y158" s="12">
        <f>IF(T130=0,0,Y130/T130-1)</f>
        <v>0</v>
      </c>
      <c r="Z158" s="12">
        <f>IF(U130=0,0,Z130/U130-1)</f>
        <v>0</v>
      </c>
      <c r="AA158" s="12">
        <f>IF(V130=0,0,AA130/V130-1)</f>
        <v>0</v>
      </c>
      <c r="AB158" s="12" t="n"/>
      <c r="AC158" s="12">
        <f>IF(X130=0,0,AC130/X130-1)</f>
        <v>0</v>
      </c>
      <c r="AD158" s="12">
        <f>IF(Y130=0,0,AD130/Y130-1)</f>
        <v>0</v>
      </c>
      <c r="AE158" s="12">
        <f>IF(Z130=0,0,AE130/Z130-1)</f>
        <v>0</v>
      </c>
      <c r="AF158" s="12">
        <f>IF(AA130=0,0,AF130/AA130-1)</f>
        <v>0</v>
      </c>
      <c r="AG158" s="12" t="n"/>
      <c r="AH158" s="11">
        <f>IF(AC130=0,0,AH130/AC130-1)</f>
        <v>0</v>
      </c>
      <c r="AI158" s="11">
        <f>IF(AD130=0,0,AI130/AD130-1)</f>
        <v>0</v>
      </c>
      <c r="AJ158" s="11" t="n"/>
      <c r="AK158" s="11" t="n"/>
      <c r="AL158" s="12" t="n"/>
      <c r="AM158" s="11" t="n"/>
      <c r="AN158" s="11" t="n"/>
      <c r="AO158" s="11" t="n"/>
      <c r="AP158" s="11" t="n"/>
      <c r="AQ158" s="12" t="n"/>
      <c r="AR158" s="11" t="n"/>
      <c r="AS158" s="11" t="n"/>
      <c r="AT158" s="11" t="n"/>
      <c r="AU158" s="11" t="n"/>
      <c r="AV158" s="12" t="n"/>
      <c r="AW158" s="11" t="n"/>
      <c r="AX158" s="11" t="n"/>
      <c r="AY158" s="11" t="n"/>
      <c r="AZ158" s="11" t="n"/>
      <c r="BA158" s="12" t="n"/>
      <c r="BB158" s="11" t="n"/>
      <c r="BC158" s="11" t="n"/>
      <c r="BD158" s="11" t="n"/>
      <c r="BE158" s="11" t="n"/>
      <c r="BF158" s="12" t="n"/>
      <c r="BG158" s="11" t="n"/>
      <c r="BH158" s="11" t="n"/>
      <c r="BI158" s="11" t="n"/>
      <c r="BJ158" s="11" t="n"/>
      <c r="BK158" s="12" t="n"/>
      <c r="BL158" s="11" t="n"/>
      <c r="BM158" s="11" t="n"/>
      <c r="BN158" s="11" t="n"/>
      <c r="BO158" s="11" t="n"/>
      <c r="BP158" s="12" t="n"/>
      <c r="BQ158" s="11" t="n"/>
      <c r="BR158" s="11" t="n"/>
      <c r="BS158" s="11" t="n"/>
      <c r="BT158" s="11" t="n"/>
      <c r="BU158" s="12" t="n"/>
      <c r="BV158" s="11" t="n"/>
      <c r="BW158" s="11" t="n"/>
      <c r="BX158" s="11" t="n"/>
      <c r="BY158" s="11" t="n"/>
      <c r="BZ158" s="12" t="n"/>
      <c r="CA158" s="11" t="n"/>
      <c r="CB158" s="11" t="n"/>
      <c r="CC158" s="11" t="n"/>
      <c r="CD158" s="11" t="n"/>
      <c r="CE158" s="12" t="n"/>
      <c r="CF158" s="11" t="n"/>
      <c r="CG158" s="11" t="n"/>
      <c r="CH158" s="11" t="n"/>
      <c r="CI158" s="11" t="n"/>
      <c r="CJ158" s="12" t="n"/>
      <c r="CK158" s="11" t="n"/>
      <c r="CL158" s="11" t="n"/>
      <c r="CM158" s="11" t="n"/>
      <c r="CN158" s="11" t="n"/>
      <c r="CO158" s="12" t="n"/>
      <c r="CP158" s="11" t="n"/>
      <c r="CQ158" s="11" t="n"/>
      <c r="CR158" s="11" t="n"/>
      <c r="CS158" s="11" t="n"/>
      <c r="CT158" s="12" t="n"/>
      <c r="CU158" s="11" t="n"/>
      <c r="CV158" s="11" t="n"/>
      <c r="CW158" s="11" t="n"/>
      <c r="CX158" s="11" t="n"/>
      <c r="CY158" s="12" t="n"/>
    </row>
    <row r="159" hidden="1" outlineLevel="1">
      <c r="C159" s="57" t="inlineStr">
        <is>
          <t>Dividends (enter as -)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1" t="n"/>
      <c r="AI159" s="11" t="n"/>
      <c r="AJ159" s="11" t="n"/>
      <c r="AK159" s="11" t="n"/>
      <c r="AL159" s="12" t="n"/>
      <c r="AM159" s="11" t="n"/>
      <c r="AN159" s="11" t="n"/>
      <c r="AO159" s="11" t="n"/>
      <c r="AP159" s="11" t="n"/>
      <c r="AQ159" s="12" t="n"/>
      <c r="AR159" s="11" t="n"/>
      <c r="AS159" s="11" t="n"/>
      <c r="AT159" s="11" t="n"/>
      <c r="AU159" s="11" t="n"/>
      <c r="AV159" s="12" t="n"/>
      <c r="AW159" s="11" t="n"/>
      <c r="AX159" s="11" t="n"/>
      <c r="AY159" s="11" t="n"/>
      <c r="AZ159" s="11" t="n"/>
      <c r="BA159" s="12" t="n"/>
      <c r="BB159" s="11" t="n"/>
      <c r="BC159" s="11" t="n"/>
      <c r="BD159" s="11" t="n"/>
      <c r="BE159" s="11" t="n"/>
      <c r="BF159" s="12" t="n"/>
      <c r="BG159" s="11" t="n"/>
      <c r="BH159" s="11" t="n"/>
      <c r="BI159" s="11" t="n"/>
      <c r="BJ159" s="11" t="n"/>
      <c r="BK159" s="12" t="n"/>
      <c r="BL159" s="11" t="n"/>
      <c r="BM159" s="11" t="n"/>
      <c r="BN159" s="11" t="n"/>
      <c r="BO159" s="11" t="n"/>
      <c r="BP159" s="12" t="n"/>
      <c r="BQ159" s="11" t="n"/>
      <c r="BR159" s="11" t="n"/>
      <c r="BS159" s="11" t="n"/>
      <c r="BT159" s="11" t="n"/>
      <c r="BU159" s="12" t="n"/>
      <c r="BV159" s="11" t="n"/>
      <c r="BW159" s="11" t="n"/>
      <c r="BX159" s="11" t="n"/>
      <c r="BY159" s="11" t="n"/>
      <c r="BZ159" s="12" t="n"/>
      <c r="CA159" s="11" t="n"/>
      <c r="CB159" s="11" t="n"/>
      <c r="CC159" s="11" t="n"/>
      <c r="CD159" s="11" t="n"/>
      <c r="CE159" s="12" t="n"/>
      <c r="CF159" s="11" t="n"/>
      <c r="CG159" s="11" t="n"/>
      <c r="CH159" s="11" t="n"/>
      <c r="CI159" s="11" t="n"/>
      <c r="CJ159" s="12" t="n"/>
      <c r="CK159" s="11" t="n"/>
      <c r="CL159" s="11" t="n"/>
      <c r="CM159" s="11" t="n"/>
      <c r="CN159" s="11" t="n"/>
      <c r="CO159" s="12" t="n"/>
      <c r="CP159" s="11" t="n"/>
      <c r="CQ159" s="11" t="n"/>
      <c r="CR159" s="11" t="n"/>
      <c r="CS159" s="11" t="n"/>
      <c r="CT159" s="12" t="n"/>
      <c r="CU159" s="11" t="n"/>
      <c r="CV159" s="11" t="n"/>
      <c r="CW159" s="11" t="n"/>
      <c r="CX159" s="11" t="n"/>
      <c r="CY159" s="12" t="n"/>
    </row>
    <row r="160" hidden="1" outlineLevel="1">
      <c r="C160" s="57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collapsed="1">
      <c r="C161" s="14" t="inlineStr">
        <is>
          <t>PP&amp;E</t>
        </is>
      </c>
      <c r="D161" s="46" t="n"/>
      <c r="E161" s="46" t="n"/>
      <c r="F161" s="46" t="n"/>
      <c r="G161" s="46" t="n"/>
      <c r="H161" s="12" t="n"/>
      <c r="I161" s="46">
        <f>'Inputs (2)'!D22</f>
        <v>8630.1</v>
      </c>
      <c r="J161" s="46">
        <f>'Inputs (2)'!E22</f>
        <v>8855.5</v>
      </c>
      <c r="K161" s="46">
        <f>'Inputs (2)'!F22</f>
        <v>8920.4</v>
      </c>
      <c r="L161" s="46">
        <f>'Inputs (2)'!G22</f>
        <v>8985.1</v>
      </c>
      <c r="M161" s="12">
        <f>'Inputs (2)'!H22</f>
        <v>8985.1</v>
      </c>
      <c r="N161" s="46">
        <f>'Inputs (2)'!I22</f>
        <v>9102.7</v>
      </c>
      <c r="O161" s="46">
        <f>'Inputs (2)'!J22</f>
        <v>9128.2</v>
      </c>
      <c r="P161" s="46">
        <f>'Inputs (2)'!K22</f>
        <v>9311.3</v>
      </c>
      <c r="Q161" s="46">
        <f>'Inputs (2)'!L22</f>
        <v>10144</v>
      </c>
      <c r="R161" s="12">
        <f>'Inputs (2)'!M22</f>
        <v>10144</v>
      </c>
      <c r="S161" s="46">
        <f>'Inputs (2)'!N22</f>
        <v>10546.2</v>
      </c>
      <c r="T161" s="46">
        <f>'Inputs (2)'!O22</f>
        <v>11277.4</v>
      </c>
      <c r="U161" s="46">
        <f>'Inputs (2)'!P22</f>
        <v>11863.2</v>
      </c>
      <c r="V161" s="46">
        <f>'Inputs (2)'!Q22</f>
        <v>12913.6</v>
      </c>
      <c r="W161" s="12">
        <f>'Inputs (2)'!R22</f>
        <v>12913.6</v>
      </c>
      <c r="X161" s="46">
        <f>'Inputs (2)'!S22</f>
        <v>13624</v>
      </c>
      <c r="Y161" s="46">
        <f>'Inputs (2)'!T22</f>
        <v>14829.4</v>
      </c>
      <c r="Z161" s="46">
        <f>'Inputs (2)'!U22</f>
        <v>16171.8</v>
      </c>
      <c r="AA161" s="46">
        <f>'Inputs (2)'!V22</f>
        <v>17102.4</v>
      </c>
      <c r="AB161" s="12">
        <f>'Inputs (2)'!W22</f>
        <v>17102.4</v>
      </c>
      <c r="AC161" s="46">
        <f>'Inputs (2)'!X22</f>
        <v>18474.1</v>
      </c>
      <c r="AD161" s="46">
        <f>'Inputs (2)'!Y22</f>
        <v>20529.7</v>
      </c>
      <c r="AE161" s="46">
        <f>'Inputs (2)'!Z22</f>
        <v>22316</v>
      </c>
      <c r="AF161" s="46">
        <f>'Inputs (2)'!AA22</f>
        <v>24675</v>
      </c>
      <c r="AG161" s="12">
        <f>'Inputs (2)'!AB22</f>
        <v>24675</v>
      </c>
      <c r="AH161" s="12">
        <f>'Inputs (2)'!AC22</f>
        <v>26540</v>
      </c>
      <c r="AI161" s="12">
        <f>'Inputs (2)'!AD22</f>
        <v>29286</v>
      </c>
      <c r="AJ161" s="12">
        <f>AJ166</f>
        <v>32189.5889936276</v>
      </c>
      <c r="AK161" s="12">
        <f>AK166</f>
        <v>35372.1738116508</v>
      </c>
      <c r="AL161" s="12">
        <f>AK161</f>
        <v>35372.1738116508</v>
      </c>
      <c r="AM161" s="12">
        <f>AM166</f>
        <v>38638.3979880991</v>
      </c>
      <c r="AN161" s="12">
        <f>AN166</f>
        <v>42428.3992118844</v>
      </c>
      <c r="AO161" s="12">
        <f>AO166</f>
        <v>46698.8759453674</v>
      </c>
      <c r="AP161" s="12">
        <f>AP166</f>
        <v>51379.6880188159</v>
      </c>
      <c r="AQ161" s="12">
        <f>AP161</f>
        <v>51379.6880188159</v>
      </c>
      <c r="AR161" s="12">
        <f>AR166</f>
        <v>56167.1822266818</v>
      </c>
      <c r="AS161" s="12">
        <f>AS166</f>
        <v>61722.4068305259</v>
      </c>
      <c r="AT161" s="12">
        <f>AT166</f>
        <v>67981.8922552548</v>
      </c>
      <c r="AU161" s="12">
        <f>AU166</f>
        <v>74842.829986146</v>
      </c>
      <c r="AV161" s="12">
        <f>AU161</f>
        <v>74842.829986146</v>
      </c>
      <c r="AW161" s="12">
        <f>AW166</f>
        <v>81836.2004376976</v>
      </c>
      <c r="AX161" s="12">
        <f>AX166</f>
        <v>89951.0392050064</v>
      </c>
      <c r="AY161" s="12">
        <f>AY166</f>
        <v>99094.6325986642</v>
      </c>
      <c r="AZ161" s="12">
        <f>AZ166</f>
        <v>109116.802258591</v>
      </c>
      <c r="BA161" s="12">
        <f>AZ161</f>
        <v>109116.802258591</v>
      </c>
      <c r="BB161" s="12">
        <f>BB166</f>
        <v>119297.45722208</v>
      </c>
      <c r="BC161" s="12">
        <f>BC166</f>
        <v>131110.698655041</v>
      </c>
      <c r="BD161" s="12">
        <f>BD166</f>
        <v>144421.557862652</v>
      </c>
      <c r="BE161" s="12">
        <f>BE166</f>
        <v>159011.411496192</v>
      </c>
      <c r="BF161" s="12">
        <f>BE161</f>
        <v>159011.411496192</v>
      </c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inlineStr">
        <is>
          <t>Capital expenditures</t>
        </is>
      </c>
      <c r="D163" s="12" t="n"/>
      <c r="E163" s="12" t="n"/>
      <c r="F163" s="12" t="n"/>
      <c r="G163" s="12" t="n"/>
      <c r="H163" s="12" t="n"/>
      <c r="I163" s="12" t="n"/>
      <c r="J163" s="12">
        <f>J161-I161-J65</f>
        <v>594.7</v>
      </c>
      <c r="K163" s="12">
        <f>K161-J161-K65</f>
        <v>447.2</v>
      </c>
      <c r="L163" s="12">
        <f>L161-K161-L65</f>
        <v>510.400000000001</v>
      </c>
      <c r="M163" s="12" t="n"/>
      <c r="N163" s="12">
        <f>N161-M161-N65</f>
        <v>553.3</v>
      </c>
      <c r="O163" s="12">
        <f>O161-N161-O65</f>
        <v>374.4</v>
      </c>
      <c r="P163" s="12">
        <f>P161-O161-P65</f>
        <v>545.999999999999</v>
      </c>
      <c r="Q163" s="12">
        <f>Q161-P161-Q65</f>
        <v>1207.7</v>
      </c>
      <c r="R163" s="12" t="n"/>
      <c r="S163" s="12">
        <f>S161-R161-S65</f>
        <v>764.500000000001</v>
      </c>
      <c r="T163" s="12">
        <f>T161-S161-T65</f>
        <v>1097.5</v>
      </c>
      <c r="U163" s="12">
        <f>U161-T161-U65</f>
        <v>996.800000000001</v>
      </c>
      <c r="V163" s="12">
        <f>V161-U161-V65</f>
        <v>1438.1</v>
      </c>
      <c r="W163" s="12" t="n"/>
      <c r="X163" s="12">
        <f>X161-W161-X65</f>
        <v>1111</v>
      </c>
      <c r="Y163" s="12">
        <f>Y161-X161-Y65</f>
        <v>1619.8</v>
      </c>
      <c r="Z163" s="12">
        <f>Z161-Y161-Z65</f>
        <v>1809.2</v>
      </c>
      <c r="AA163" s="12">
        <f>AA161-Z161-AA65</f>
        <v>1415.4</v>
      </c>
      <c r="AB163" s="12" t="n"/>
      <c r="AC163" s="12">
        <f>AC161-AB161-AC65</f>
        <v>1834.5</v>
      </c>
      <c r="AD163" s="12">
        <f>AD161-AC161-AD65</f>
        <v>2534.1</v>
      </c>
      <c r="AE163" s="12">
        <f>AE161-AD161-AE65</f>
        <v>2256.3</v>
      </c>
      <c r="AF163" s="11">
        <f>AF161-AE161-AF65</f>
        <v>2944.7</v>
      </c>
      <c r="AG163" s="12">
        <f>SUM(AC163:AF163)</f>
        <v>9569.6</v>
      </c>
      <c r="AH163" s="11">
        <f>AH161-AG161-AH65</f>
        <v>2374</v>
      </c>
      <c r="AI163" s="11">
        <f>AI161-AH161-AI65</f>
        <v>3280</v>
      </c>
      <c r="AJ163" s="11">
        <f>AJ15*Control!$B$24</f>
        <v>3650.53973297693</v>
      </c>
      <c r="AK163" s="11">
        <f>AK15*Control!$B$24</f>
        <v>4001.30747060309</v>
      </c>
      <c r="AL163" s="12" t="n"/>
      <c r="AM163" s="11">
        <f>AM15*Control!$C$24</f>
        <v>4106.46312515398</v>
      </c>
      <c r="AN163" s="11">
        <f>AN15*Control!$C$24</f>
        <v>4764.9822636137</v>
      </c>
      <c r="AO163" s="11">
        <f>AO15*Control!$C$24</f>
        <v>5369.06050703013</v>
      </c>
      <c r="AP163" s="11">
        <f>AP15*Control!$C$24</f>
        <v>5884.95496236679</v>
      </c>
      <c r="AQ163" s="12" t="n"/>
      <c r="AR163" s="11">
        <f>AR15*Control!$D$24</f>
        <v>6019.08116664149</v>
      </c>
      <c r="AS163" s="11">
        <f>AS15*Control!$D$24</f>
        <v>6984.31086026676</v>
      </c>
      <c r="AT163" s="11">
        <f>AT15*Control!$D$24</f>
        <v>7869.74337659781</v>
      </c>
      <c r="AU163" s="11">
        <f>AU15*Control!$D$24</f>
        <v>8625.91980031163</v>
      </c>
      <c r="AV163" s="12" t="n"/>
      <c r="AW163" s="11">
        <f>AW15*Control!$E$24</f>
        <v>8792.42095105233</v>
      </c>
      <c r="AX163" s="11">
        <f>AX15*Control!$E$24</f>
        <v>10202.3879453243</v>
      </c>
      <c r="AY163" s="11">
        <f>AY15*Control!$E$24</f>
        <v>11495.7905746954</v>
      </c>
      <c r="AZ163" s="11">
        <f>AZ15*Control!$E$24</f>
        <v>12600.3813330658</v>
      </c>
      <c r="BA163" s="12" t="n"/>
      <c r="BB163" s="11">
        <f>BB15*Control!$F$24</f>
        <v>12799.637115828</v>
      </c>
      <c r="BC163" s="11">
        <f>BC15*Control!$F$24</f>
        <v>14852.2078437816</v>
      </c>
      <c r="BD163" s="11">
        <f>BD15*Control!$F$24</f>
        <v>16735.0890653212</v>
      </c>
      <c r="BE163" s="11">
        <f>BE15*Control!$F$24</f>
        <v>18343.1058956511</v>
      </c>
      <c r="BF163" s="12" t="n"/>
      <c r="BG163" s="11" t="n"/>
      <c r="BH163" s="11" t="n"/>
      <c r="BI163" s="11" t="n"/>
      <c r="BJ163" s="11" t="n"/>
      <c r="BK163" s="12" t="n"/>
      <c r="BL163" s="11" t="n"/>
      <c r="BM163" s="11" t="n"/>
      <c r="BN163" s="11" t="n"/>
      <c r="BO163" s="11" t="n"/>
      <c r="BP163" s="12" t="n"/>
      <c r="BQ163" s="11" t="n"/>
      <c r="BR163" s="11" t="n"/>
      <c r="BS163" s="11" t="n"/>
      <c r="BT163" s="11" t="n"/>
      <c r="BU163" s="12" t="n"/>
      <c r="BV163" s="11" t="n"/>
      <c r="BW163" s="11" t="n"/>
      <c r="BX163" s="11" t="n"/>
      <c r="BY163" s="11" t="n"/>
      <c r="BZ163" s="12" t="n"/>
      <c r="CA163" s="11" t="n"/>
      <c r="CB163" s="11" t="n"/>
      <c r="CC163" s="11" t="n"/>
      <c r="CD163" s="11" t="n"/>
      <c r="CE163" s="12" t="n"/>
      <c r="CF163" s="11" t="n"/>
      <c r="CG163" s="11" t="n"/>
      <c r="CH163" s="11" t="n"/>
      <c r="CI163" s="11" t="n"/>
      <c r="CJ163" s="12" t="n"/>
      <c r="CK163" s="11" t="n"/>
      <c r="CL163" s="11" t="n"/>
      <c r="CM163" s="11" t="n"/>
      <c r="CN163" s="11" t="n"/>
      <c r="CO163" s="12" t="n"/>
      <c r="CP163" s="11" t="n"/>
      <c r="CQ163" s="11" t="n"/>
      <c r="CR163" s="11" t="n"/>
      <c r="CS163" s="11" t="n"/>
      <c r="CT163" s="12" t="n"/>
      <c r="CU163" s="11" t="n"/>
      <c r="CV163" s="11" t="n"/>
      <c r="CW163" s="11" t="n"/>
      <c r="CX163" s="11" t="n"/>
      <c r="CY163" s="12" t="n"/>
    </row>
    <row r="164" hidden="1" outlineLevel="1">
      <c r="C164" s="57" t="inlineStr">
        <is>
          <t>Recurring asset sales (enter as -)</t>
        </is>
      </c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>
        <f>SUM(I164:L164)</f>
        <v>0</v>
      </c>
      <c r="N164" s="12" t="n"/>
      <c r="O164" s="12" t="n"/>
      <c r="P164" s="12" t="n"/>
      <c r="Q164" s="12" t="n"/>
      <c r="R164" s="12">
        <f>SUM(N164:Q164)</f>
        <v>0</v>
      </c>
      <c r="S164" s="12" t="n"/>
      <c r="T164" s="12" t="n"/>
      <c r="U164" s="12" t="n"/>
      <c r="V164" s="12" t="n"/>
      <c r="W164" s="12">
        <f>SUM(S164:V164)</f>
        <v>0</v>
      </c>
      <c r="X164" s="12" t="n"/>
      <c r="Y164" s="12" t="n"/>
      <c r="Z164" s="12" t="n"/>
      <c r="AA164" s="12" t="n"/>
      <c r="AB164" s="12">
        <f>SUM(X164:AA164)</f>
        <v>0</v>
      </c>
      <c r="AC164" s="12" t="n"/>
      <c r="AD164" s="12" t="n"/>
      <c r="AE164" s="12" t="n"/>
      <c r="AF164" s="11" t="n"/>
      <c r="AG164" s="12">
        <f>SUM(AC164:AF164)</f>
        <v>0</v>
      </c>
      <c r="AH164" s="11" t="n"/>
      <c r="AI164" s="11" t="n"/>
      <c r="AJ164" s="11">
        <f>0</f>
        <v>0</v>
      </c>
      <c r="AK164" s="11">
        <f>0</f>
        <v>0</v>
      </c>
      <c r="AL164" s="12" t="n"/>
      <c r="AM164" s="11">
        <f>0</f>
        <v>0</v>
      </c>
      <c r="AN164" s="11">
        <f>0</f>
        <v>0</v>
      </c>
      <c r="AO164" s="11">
        <f>0</f>
        <v>0</v>
      </c>
      <c r="AP164" s="11">
        <f>0</f>
        <v>0</v>
      </c>
      <c r="AQ164" s="12" t="n"/>
      <c r="AR164" s="11">
        <f>0</f>
        <v>0</v>
      </c>
      <c r="AS164" s="11">
        <f>0</f>
        <v>0</v>
      </c>
      <c r="AT164" s="11">
        <f>0</f>
        <v>0</v>
      </c>
      <c r="AU164" s="11">
        <f>0</f>
        <v>0</v>
      </c>
      <c r="AV164" s="12" t="n"/>
      <c r="AW164" s="11">
        <f>0</f>
        <v>0</v>
      </c>
      <c r="AX164" s="11">
        <f>0</f>
        <v>0</v>
      </c>
      <c r="AY164" s="11">
        <f>0</f>
        <v>0</v>
      </c>
      <c r="AZ164" s="11">
        <f>0</f>
        <v>0</v>
      </c>
      <c r="BA164" s="12" t="n"/>
      <c r="BB164" s="11">
        <f>0</f>
        <v>0</v>
      </c>
      <c r="BC164" s="11">
        <f>0</f>
        <v>0</v>
      </c>
      <c r="BD164" s="11">
        <f>0</f>
        <v>0</v>
      </c>
      <c r="BE164" s="11">
        <f>0</f>
        <v>0</v>
      </c>
      <c r="BF164" s="12" t="n"/>
      <c r="BG164" s="11" t="n"/>
      <c r="BH164" s="11" t="n"/>
      <c r="BI164" s="11" t="n"/>
      <c r="BJ164" s="11" t="n"/>
      <c r="BK164" s="12" t="n"/>
      <c r="BL164" s="11" t="n"/>
      <c r="BM164" s="11" t="n"/>
      <c r="BN164" s="11" t="n"/>
      <c r="BO164" s="11" t="n"/>
      <c r="BP164" s="12" t="n"/>
      <c r="BQ164" s="11" t="n"/>
      <c r="BR164" s="11" t="n"/>
      <c r="BS164" s="11" t="n"/>
      <c r="BT164" s="11" t="n"/>
      <c r="BU164" s="12" t="n"/>
      <c r="BV164" s="11" t="n"/>
      <c r="BW164" s="11" t="n"/>
      <c r="BX164" s="11" t="n"/>
      <c r="BY164" s="11" t="n"/>
      <c r="BZ164" s="12" t="n"/>
      <c r="CA164" s="11" t="n"/>
      <c r="CB164" s="11" t="n"/>
      <c r="CC164" s="11" t="n"/>
      <c r="CD164" s="11" t="n"/>
      <c r="CE164" s="12" t="n"/>
      <c r="CF164" s="11" t="n"/>
      <c r="CG164" s="11" t="n"/>
      <c r="CH164" s="11" t="n"/>
      <c r="CI164" s="11" t="n"/>
      <c r="CJ164" s="12" t="n"/>
      <c r="CK164" s="11" t="n"/>
      <c r="CL164" s="11" t="n"/>
      <c r="CM164" s="11" t="n"/>
      <c r="CN164" s="11" t="n"/>
      <c r="CO164" s="12" t="n"/>
      <c r="CP164" s="11" t="n"/>
      <c r="CQ164" s="11" t="n"/>
      <c r="CR164" s="11" t="n"/>
      <c r="CS164" s="11" t="n"/>
      <c r="CT164" s="12" t="n"/>
      <c r="CU164" s="11" t="n"/>
      <c r="CV164" s="11" t="n"/>
      <c r="CW164" s="11" t="n"/>
      <c r="CX164" s="11" t="n"/>
      <c r="CY164" s="12" t="n"/>
    </row>
    <row r="165" hidden="1" outlineLevel="1">
      <c r="C165" s="57" t="inlineStr">
        <is>
          <t>Depreciation</t>
        </is>
      </c>
      <c r="D165" s="12" t="n"/>
      <c r="E165" s="12" t="n"/>
      <c r="F165" s="12" t="n"/>
      <c r="G165" s="12" t="n"/>
      <c r="H165" s="12" t="n"/>
      <c r="I165" s="12">
        <f>I65</f>
        <v>-350.3</v>
      </c>
      <c r="J165" s="12">
        <f>J65</f>
        <v>-369.3</v>
      </c>
      <c r="K165" s="12">
        <f>K65</f>
        <v>-382.3</v>
      </c>
      <c r="L165" s="12">
        <f>L65</f>
        <v>-445.7</v>
      </c>
      <c r="M165" s="12" t="n"/>
      <c r="N165" s="12">
        <f>N65</f>
        <v>-435.7</v>
      </c>
      <c r="O165" s="12">
        <f>O65</f>
        <v>-348.9</v>
      </c>
      <c r="P165" s="12">
        <f>P65</f>
        <v>-362.9</v>
      </c>
      <c r="Q165" s="12">
        <f>Q65</f>
        <v>-375</v>
      </c>
      <c r="R165" s="12" t="n"/>
      <c r="S165" s="12">
        <f>S65</f>
        <v>-362.3</v>
      </c>
      <c r="T165" s="12">
        <f>T65</f>
        <v>-366.3</v>
      </c>
      <c r="U165" s="12">
        <f>U65</f>
        <v>-411</v>
      </c>
      <c r="V165" s="12">
        <f>V65</f>
        <v>-387.7</v>
      </c>
      <c r="W165" s="12" t="n"/>
      <c r="X165" s="12">
        <f>X65</f>
        <v>-400.6</v>
      </c>
      <c r="Y165" s="12">
        <f>Y65</f>
        <v>-414.4</v>
      </c>
      <c r="Z165" s="12">
        <f>Z65</f>
        <v>-466.8</v>
      </c>
      <c r="AA165" s="12">
        <f>AA65</f>
        <v>-484.8</v>
      </c>
      <c r="AB165" s="12" t="n"/>
      <c r="AC165" s="12">
        <f>AC65</f>
        <v>-462.8</v>
      </c>
      <c r="AD165" s="12">
        <f>AD65</f>
        <v>-478.5</v>
      </c>
      <c r="AE165" s="12">
        <f>AE65</f>
        <v>-470</v>
      </c>
      <c r="AF165" s="12">
        <f>AF65</f>
        <v>-585.7</v>
      </c>
      <c r="AG165" s="12" t="n"/>
      <c r="AH165" s="12">
        <f>AH65</f>
        <v>-509</v>
      </c>
      <c r="AI165" s="12">
        <f>AI65</f>
        <v>-534</v>
      </c>
      <c r="AJ165" s="12">
        <f>AJ65</f>
        <v>-746.950739349365</v>
      </c>
      <c r="AK165" s="12">
        <f>AK65</f>
        <v>-818.72265257988</v>
      </c>
      <c r="AL165" s="12" t="n"/>
      <c r="AM165" s="12">
        <f>AM65</f>
        <v>-840.238948705632</v>
      </c>
      <c r="AN165" s="12">
        <f>AN65</f>
        <v>-974.981039828435</v>
      </c>
      <c r="AO165" s="12">
        <f>AO65</f>
        <v>-1098.58377354716</v>
      </c>
      <c r="AP165" s="12">
        <f>AP65</f>
        <v>-1204.14288891822</v>
      </c>
      <c r="AQ165" s="12" t="n"/>
      <c r="AR165" s="12">
        <f>AR65</f>
        <v>-1231.58695877564</v>
      </c>
      <c r="AS165" s="12">
        <f>AS65</f>
        <v>-1429.08625642263</v>
      </c>
      <c r="AT165" s="12">
        <f>AT65</f>
        <v>-1610.25795186891</v>
      </c>
      <c r="AU165" s="12">
        <f>AU65</f>
        <v>-1764.98206942042</v>
      </c>
      <c r="AV165" s="12" t="n"/>
      <c r="AW165" s="12">
        <f>AW65</f>
        <v>-1799.05049950072</v>
      </c>
      <c r="AX165" s="12">
        <f>AX65</f>
        <v>-2087.54917801554</v>
      </c>
      <c r="AY165" s="12">
        <f>AY65</f>
        <v>-2352.19718103763</v>
      </c>
      <c r="AZ165" s="12">
        <f>AZ65</f>
        <v>-2578.2116731386</v>
      </c>
      <c r="BA165" s="12" t="n"/>
      <c r="BB165" s="12">
        <f>BB65</f>
        <v>-2618.98215233909</v>
      </c>
      <c r="BC165" s="12">
        <f>BC65</f>
        <v>-3038.96641082066</v>
      </c>
      <c r="BD165" s="12">
        <f>BD65</f>
        <v>-3424.22985771078</v>
      </c>
      <c r="BE165" s="12">
        <f>BE65</f>
        <v>-3753.25226211061</v>
      </c>
      <c r="BF165" s="12" t="n"/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hidden="1" outlineLevel="1">
      <c r="C166" s="57" t="inlineStr">
        <is>
          <t>PP&amp;E</t>
        </is>
      </c>
      <c r="D166" s="12" t="n"/>
      <c r="E166" s="12" t="n"/>
      <c r="F166" s="12" t="n"/>
      <c r="G166" s="12" t="n"/>
      <c r="H166" s="12" t="n"/>
      <c r="I166" s="12">
        <f>I161</f>
        <v>8630.1</v>
      </c>
      <c r="J166" s="12">
        <f>J161</f>
        <v>8855.5</v>
      </c>
      <c r="K166" s="12">
        <f>K161</f>
        <v>8920.4</v>
      </c>
      <c r="L166" s="12">
        <f>L161</f>
        <v>8985.1</v>
      </c>
      <c r="M166" s="12" t="n"/>
      <c r="N166" s="12">
        <f>N161</f>
        <v>9102.7</v>
      </c>
      <c r="O166" s="12">
        <f>O161</f>
        <v>9128.2</v>
      </c>
      <c r="P166" s="12">
        <f>P161</f>
        <v>9311.3</v>
      </c>
      <c r="Q166" s="12">
        <f>Q161</f>
        <v>10144</v>
      </c>
      <c r="R166" s="12" t="n"/>
      <c r="S166" s="12">
        <f>S161</f>
        <v>10546.2</v>
      </c>
      <c r="T166" s="12">
        <f>T161</f>
        <v>11277.4</v>
      </c>
      <c r="U166" s="12">
        <f>U161</f>
        <v>11863.2</v>
      </c>
      <c r="V166" s="12">
        <f>V161</f>
        <v>12913.6</v>
      </c>
      <c r="W166" s="12" t="n"/>
      <c r="X166" s="12">
        <f>X161</f>
        <v>13624</v>
      </c>
      <c r="Y166" s="12">
        <f>Y161</f>
        <v>14829.4</v>
      </c>
      <c r="Z166" s="12">
        <f>Z161</f>
        <v>16171.8</v>
      </c>
      <c r="AA166" s="12">
        <f>Y166+SUM(AA163:AA165)</f>
        <v>15760</v>
      </c>
      <c r="AB166" s="12" t="n"/>
      <c r="AC166" s="12">
        <f>AC161</f>
        <v>18474.1</v>
      </c>
      <c r="AD166" s="12">
        <f>AD161</f>
        <v>20529.7</v>
      </c>
      <c r="AE166" s="12">
        <f>AE161</f>
        <v>22316</v>
      </c>
      <c r="AF166" s="12">
        <f>AF161</f>
        <v>24675</v>
      </c>
      <c r="AG166" s="12" t="n"/>
      <c r="AH166" s="12">
        <f>AH161</f>
        <v>26540</v>
      </c>
      <c r="AI166" s="12">
        <f>AI161</f>
        <v>29286</v>
      </c>
      <c r="AJ166" s="12">
        <f>AI166+SUM(AJ163:AJ165)</f>
        <v>32189.5889936276</v>
      </c>
      <c r="AK166" s="12">
        <f>AJ166+SUM(AK163:AK165)</f>
        <v>35372.1738116508</v>
      </c>
      <c r="AL166" s="12" t="n"/>
      <c r="AM166" s="12">
        <f>AK166+SUM(AM163:AM165)</f>
        <v>38638.3979880991</v>
      </c>
      <c r="AN166" s="12">
        <f>AM166+SUM(AN163:AN165)</f>
        <v>42428.3992118844</v>
      </c>
      <c r="AO166" s="12">
        <f>AN166+SUM(AO163:AO165)</f>
        <v>46698.8759453674</v>
      </c>
      <c r="AP166" s="12">
        <f>AO166+SUM(AP163:AP165)</f>
        <v>51379.6880188159</v>
      </c>
      <c r="AQ166" s="12" t="n"/>
      <c r="AR166" s="12">
        <f>AP166+SUM(AR163:AR165)</f>
        <v>56167.1822266818</v>
      </c>
      <c r="AS166" s="12">
        <f>AR166+SUM(AS163:AS165)</f>
        <v>61722.4068305259</v>
      </c>
      <c r="AT166" s="12">
        <f>AS166+SUM(AT163:AT165)</f>
        <v>67981.8922552548</v>
      </c>
      <c r="AU166" s="12">
        <f>AT166+SUM(AU163:AU165)</f>
        <v>74842.829986146</v>
      </c>
      <c r="AV166" s="12" t="n"/>
      <c r="AW166" s="12">
        <f>AU166+SUM(AW163:AW165)</f>
        <v>81836.2004376976</v>
      </c>
      <c r="AX166" s="12">
        <f>AW166+SUM(AX163:AX165)</f>
        <v>89951.0392050064</v>
      </c>
      <c r="AY166" s="12">
        <f>AX166+SUM(AY163:AY165)</f>
        <v>99094.6325986642</v>
      </c>
      <c r="AZ166" s="12">
        <f>AY166+SUM(AZ163:AZ165)</f>
        <v>109116.802258591</v>
      </c>
      <c r="BA166" s="12" t="n"/>
      <c r="BB166" s="12">
        <f>AZ166+SUM(BB163:BB165)</f>
        <v>119297.45722208</v>
      </c>
      <c r="BC166" s="12">
        <f>BB166+SUM(BC163:BC165)</f>
        <v>131110.698655041</v>
      </c>
      <c r="BD166" s="12">
        <f>BC166+SUM(BD163:BD165)</f>
        <v>144421.557862652</v>
      </c>
      <c r="BE166" s="12">
        <f>BD166+SUM(BE163:BE165)</f>
        <v>159011.411496192</v>
      </c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>
        <f>IF(AJ15=0,"",AJ163/AJ15)</f>
        <v>0.141020890611452</v>
      </c>
      <c r="AK167" s="12">
        <f>IF(AK15=0,"",AK163/AK15)</f>
        <v>0.141020890611452</v>
      </c>
      <c r="AL167" s="12" t="n"/>
      <c r="AM167" s="12">
        <f>IF(AM15=0,"",AM163/AM15)</f>
        <v>0.141020890611452</v>
      </c>
      <c r="AN167" s="12">
        <f>IF(AN15=0,"",AN163/AN15)</f>
        <v>0.141020890611452</v>
      </c>
      <c r="AO167" s="12">
        <f>IF(AO15=0,"",AO163/AO15)</f>
        <v>0.141020890611452</v>
      </c>
      <c r="AP167" s="12">
        <f>IF(AP15=0,"",AP163/AP15)</f>
        <v>0.141020890611452</v>
      </c>
      <c r="AQ167" s="12" t="n"/>
      <c r="AR167" s="12">
        <f>IF(AR15=0,"",AR163/AR15)</f>
        <v>0.141020890611452</v>
      </c>
      <c r="AS167" s="12">
        <f>IF(AS15=0,"",AS163/AS15)</f>
        <v>0.141020890611452</v>
      </c>
      <c r="AT167" s="12">
        <f>IF(AT15=0,"",AT163/AT15)</f>
        <v>0.141020890611452</v>
      </c>
      <c r="AU167" s="12">
        <f>IF(AU15=0,"",AU163/AU15)</f>
        <v>0.141020890611452</v>
      </c>
      <c r="AV167" s="12" t="n"/>
      <c r="AW167" s="12">
        <f>IF(AW15=0,"",AW163/AW15)</f>
        <v>0.141020890611452</v>
      </c>
      <c r="AX167" s="12">
        <f>IF(AX15=0,"",AX163/AX15)</f>
        <v>0.141020890611452</v>
      </c>
      <c r="AY167" s="12">
        <f>IF(AY15=0,"",AY163/AY15)</f>
        <v>0.141020890611452</v>
      </c>
      <c r="AZ167" s="12">
        <f>IF(AZ15=0,"",AZ163/AZ15)</f>
        <v>0.141020890611452</v>
      </c>
      <c r="BA167" s="12" t="n"/>
      <c r="BB167" s="12">
        <f>IF(BB15=0,"",BB163/BB15)</f>
        <v>0.141020890611452</v>
      </c>
      <c r="BC167" s="12">
        <f>IF(BC15=0,"",BC163/BC15)</f>
        <v>0.141020890611452</v>
      </c>
      <c r="BD167" s="12">
        <f>IF(BD15=0,"",BD163/BD15)</f>
        <v>0.141020890611452</v>
      </c>
      <c r="BE167" s="12">
        <f>IF(BE15=0,"",BE163/BE15)</f>
        <v>0.141020890611452</v>
      </c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57" t="inlineStr">
        <is>
          <t>Capital expenditures (% Net Revenues)</t>
        </is>
      </c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58">
        <f>IFERROR(AF163/AF15,"")</f>
        <v>0.152638399336513</v>
      </c>
      <c r="AG168" s="58">
        <f>IFERROR(AG163/AG15,"")</f>
        <v>0.146818492845943</v>
      </c>
      <c r="AH168" s="58">
        <f>IFERROR(AH163/AH15,"")</f>
        <v>0.119905045709379</v>
      </c>
      <c r="AI168" s="58">
        <f>IFERROR(AI163/AI15,"")</f>
        <v>0.142770087925481</v>
      </c>
      <c r="AJ168" s="58">
        <f>IFERROR(AJ163/AJ15,"")</f>
        <v>0.141020890611452</v>
      </c>
      <c r="AK168" s="58">
        <f>IFERROR(AK163/AK15,"")</f>
        <v>0.141020890611452</v>
      </c>
      <c r="AL168" s="58">
        <f>IFERROR(AL163/AL15,"")</f>
        <v>0</v>
      </c>
      <c r="AM168" s="58">
        <f>IFERROR(AM163/AM15,"")</f>
        <v>0.141020890611452</v>
      </c>
      <c r="AN168" s="58">
        <f>IFERROR(AN163/AN15,"")</f>
        <v>0.141020890611452</v>
      </c>
      <c r="AO168" s="58">
        <f>IFERROR(AO163/AO15,"")</f>
        <v>0.141020890611452</v>
      </c>
      <c r="AP168" s="58">
        <f>IFERROR(AP163/AP15,"")</f>
        <v>0.141020890611452</v>
      </c>
      <c r="AQ168" s="58">
        <f>IFERROR(AQ163/AQ15,"")</f>
        <v>0</v>
      </c>
      <c r="AR168" s="58">
        <f>IFERROR(AR163/AR15,"")</f>
        <v>0.141020890611452</v>
      </c>
      <c r="AS168" s="58">
        <f>IFERROR(AS163/AS15,"")</f>
        <v>0.141020890611452</v>
      </c>
      <c r="AT168" s="58">
        <f>IFERROR(AT163/AT15,"")</f>
        <v>0.141020890611452</v>
      </c>
      <c r="AU168" s="58">
        <f>IFERROR(AU163/AU15,"")</f>
        <v>0.141020890611452</v>
      </c>
      <c r="AV168" s="58">
        <f>IFERROR(AV163/AV15,"")</f>
        <v>0</v>
      </c>
      <c r="AW168" s="58">
        <f>IFERROR(AW163/AW15,"")</f>
        <v>0.141020890611452</v>
      </c>
      <c r="AX168" s="58">
        <f>IFERROR(AX163/AX15,"")</f>
        <v>0.141020890611452</v>
      </c>
      <c r="AY168" s="58">
        <f>IFERROR(AY163/AY15,"")</f>
        <v>0.141020890611452</v>
      </c>
      <c r="AZ168" s="58">
        <f>IFERROR(AZ163/AZ15,"")</f>
        <v>0.141020890611452</v>
      </c>
      <c r="BA168" s="58">
        <f>IFERROR(BA163/BA15,"")</f>
        <v>0</v>
      </c>
      <c r="BB168" s="58">
        <f>IFERROR(BB163/BB15,"")</f>
        <v>0.141020890611452</v>
      </c>
      <c r="BC168" s="58">
        <f>IFERROR(BC163/BC15,"")</f>
        <v>0.141020890611452</v>
      </c>
      <c r="BD168" s="58">
        <f>IFERROR(BD163/BD15,"")</f>
        <v>0.141020890611452</v>
      </c>
      <c r="BE168" s="58">
        <f>IFERROR(BE163/BE15,"")</f>
        <v>0.141020890611452</v>
      </c>
      <c r="BF168" s="58">
        <f>IFERROR(BF163/BF15,"")</f>
        <v>0</v>
      </c>
      <c r="BG168" s="58" t="n"/>
      <c r="BH168" s="58" t="n"/>
      <c r="BI168" s="58" t="n"/>
      <c r="BJ168" s="58" t="n"/>
      <c r="BK168" s="58" t="n"/>
      <c r="BL168" s="58" t="n"/>
      <c r="BM168" s="58" t="n"/>
      <c r="BN168" s="58" t="n"/>
      <c r="BO168" s="58" t="n"/>
      <c r="BP168" s="58" t="n"/>
      <c r="BQ168" s="58" t="n"/>
      <c r="BR168" s="58" t="n"/>
      <c r="BS168" s="58" t="n"/>
      <c r="BT168" s="58" t="n"/>
      <c r="BU168" s="58" t="n"/>
      <c r="BV168" s="58" t="n"/>
      <c r="BW168" s="58" t="n"/>
      <c r="BX168" s="58" t="n"/>
      <c r="BY168" s="58" t="n"/>
      <c r="BZ168" s="58" t="n"/>
      <c r="CA168" s="58" t="n"/>
      <c r="CB168" s="58" t="n"/>
      <c r="CC168" s="58" t="n"/>
      <c r="CD168" s="58" t="n"/>
      <c r="CE168" s="58" t="n"/>
      <c r="CF168" s="58" t="n"/>
      <c r="CG168" s="58" t="n"/>
      <c r="CH168" s="58" t="n"/>
      <c r="CI168" s="58" t="n"/>
      <c r="CJ168" s="58" t="n"/>
      <c r="CK168" s="58" t="n"/>
      <c r="CL168" s="58" t="n"/>
      <c r="CM168" s="58" t="n"/>
      <c r="CN168" s="58" t="n"/>
      <c r="CO168" s="58" t="n"/>
      <c r="CP168" s="58" t="n"/>
      <c r="CQ168" s="58" t="n"/>
      <c r="CR168" s="58" t="n"/>
      <c r="CS168" s="58" t="n"/>
      <c r="CT168" s="58" t="n"/>
      <c r="CU168" s="58" t="n"/>
      <c r="CV168" s="58" t="n"/>
      <c r="CW168" s="58" t="n"/>
      <c r="CX168" s="58" t="n"/>
      <c r="CY168" s="58" t="n"/>
    </row>
    <row r="169" hidden="1" outlineLevel="1">
      <c r="C169" s="57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collapsed="1">
      <c r="C171" s="14" t="inlineStr">
        <is>
          <t>Right-of-use-assets</t>
        </is>
      </c>
      <c r="D171" s="46" t="n"/>
      <c r="E171" s="46" t="n"/>
      <c r="F171" s="46" t="n"/>
      <c r="G171" s="46" t="n"/>
      <c r="H171" s="12" t="n"/>
      <c r="I171" s="46">
        <f>'Inputs (2)'!D23</f>
        <v>0</v>
      </c>
      <c r="J171" s="46">
        <f>'Inputs (2)'!E23</f>
        <v>0</v>
      </c>
      <c r="K171" s="46">
        <f>'Inputs (2)'!F23</f>
        <v>0</v>
      </c>
      <c r="L171" s="46">
        <f>'Inputs (2)'!G23</f>
        <v>0</v>
      </c>
      <c r="M171" s="12">
        <f>'Inputs (2)'!H23</f>
        <v>0</v>
      </c>
      <c r="N171" s="46">
        <f>'Inputs (2)'!I23</f>
        <v>0</v>
      </c>
      <c r="O171" s="46">
        <f>'Inputs (2)'!J23</f>
        <v>0</v>
      </c>
      <c r="P171" s="46">
        <f>'Inputs (2)'!K23</f>
        <v>0</v>
      </c>
      <c r="Q171" s="46">
        <f>'Inputs (2)'!L23</f>
        <v>0</v>
      </c>
      <c r="R171" s="12">
        <f>'Inputs (2)'!M23</f>
        <v>0</v>
      </c>
      <c r="S171" s="46">
        <f>'Inputs (2)'!N23</f>
        <v>0</v>
      </c>
      <c r="T171" s="46">
        <f>'Inputs (2)'!O23</f>
        <v>0</v>
      </c>
      <c r="U171" s="46">
        <f>'Inputs (2)'!P23</f>
        <v>0</v>
      </c>
      <c r="V171" s="46">
        <f>'Inputs (2)'!Q23</f>
        <v>0</v>
      </c>
      <c r="W171" s="12">
        <f>'Inputs (2)'!R23</f>
        <v>0</v>
      </c>
      <c r="X171" s="46">
        <f>'Inputs (2)'!S23</f>
        <v>0</v>
      </c>
      <c r="Y171" s="46">
        <f>'Inputs (2)'!T23</f>
        <v>0</v>
      </c>
      <c r="Z171" s="46">
        <f>'Inputs (2)'!U23</f>
        <v>0</v>
      </c>
      <c r="AA171" s="46">
        <f>'Inputs (2)'!V23</f>
        <v>0</v>
      </c>
      <c r="AB171" s="12">
        <f>'Inputs (2)'!W23</f>
        <v>0</v>
      </c>
      <c r="AC171" s="46">
        <f>'Inputs (2)'!X23</f>
        <v>0</v>
      </c>
      <c r="AD171" s="46">
        <f>'Inputs (2)'!Y23</f>
        <v>0</v>
      </c>
      <c r="AE171" s="46">
        <f>'Inputs (2)'!Z23</f>
        <v>0</v>
      </c>
      <c r="AF171" s="46">
        <f>'Inputs (2)'!AA23</f>
        <v>0</v>
      </c>
      <c r="AG171" s="12">
        <f>'Inputs (2)'!AB23</f>
        <v>0</v>
      </c>
      <c r="AH171" s="12">
        <f>'Inputs (2)'!AC23</f>
        <v>0</v>
      </c>
      <c r="AI171" s="12">
        <f>'Inputs (2)'!AD23</f>
        <v>0</v>
      </c>
      <c r="AJ171" s="12">
        <f>AI171</f>
        <v>0</v>
      </c>
      <c r="AK171" s="12">
        <f>AJ171</f>
        <v>0</v>
      </c>
      <c r="AL171" s="12">
        <f>AK171</f>
        <v>0</v>
      </c>
      <c r="AM171" s="12">
        <f>AL171</f>
        <v>0</v>
      </c>
      <c r="AN171" s="12">
        <f>AM171</f>
        <v>0</v>
      </c>
      <c r="AO171" s="12">
        <f>AN171</f>
        <v>0</v>
      </c>
      <c r="AP171" s="12">
        <f>AO171</f>
        <v>0</v>
      </c>
      <c r="AQ171" s="12">
        <f>AP171</f>
        <v>0</v>
      </c>
      <c r="AR171" s="12">
        <f>AQ171</f>
        <v>0</v>
      </c>
      <c r="AS171" s="12">
        <f>AR171</f>
        <v>0</v>
      </c>
      <c r="AT171" s="12">
        <f>AS171</f>
        <v>0</v>
      </c>
      <c r="AU171" s="12">
        <f>AT171</f>
        <v>0</v>
      </c>
      <c r="AV171" s="12">
        <f>AU171</f>
        <v>0</v>
      </c>
      <c r="AW171" s="12">
        <f>AV171</f>
        <v>0</v>
      </c>
      <c r="AX171" s="12">
        <f>AW171</f>
        <v>0</v>
      </c>
      <c r="AY171" s="12">
        <f>AX171</f>
        <v>0</v>
      </c>
      <c r="AZ171" s="12">
        <f>AY171</f>
        <v>0</v>
      </c>
      <c r="BA171" s="12">
        <f>AZ171</f>
        <v>0</v>
      </c>
      <c r="BB171" s="12">
        <f>BA171</f>
        <v>0</v>
      </c>
      <c r="BC171" s="12">
        <f>BB171</f>
        <v>0</v>
      </c>
      <c r="BD171" s="12">
        <f>BC171</f>
        <v>0</v>
      </c>
      <c r="BE171" s="12">
        <f>BD171</f>
        <v>0</v>
      </c>
      <c r="BF171" s="12">
        <f>BE171</f>
        <v>0</v>
      </c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59" t="inlineStr">
        <is>
          <t>%(Var.)</t>
        </is>
      </c>
      <c r="D172" s="12" t="n"/>
      <c r="E172" s="40" t="n"/>
      <c r="F172" s="40" t="n"/>
      <c r="G172" s="40" t="n"/>
      <c r="H172" s="12" t="n"/>
      <c r="I172" s="40" t="str">
        <f>""</f>
        <v/>
      </c>
      <c r="J172" s="40" t="str">
        <f>IFERROR(IF(I171=0,"",J171/I171-1),"")</f>
        <v/>
      </c>
      <c r="K172" s="40" t="str">
        <f>IFERROR(IF(J171=0,"",K171/J171-1),"")</f>
        <v/>
      </c>
      <c r="L172" s="40" t="str">
        <f>IFERROR(IF(K171=0,"",L171/K171-1),"")</f>
        <v/>
      </c>
      <c r="M172" s="12" t="str">
        <f>IFERROR(IF(L171=0,"",M171/L171-1),"")</f>
        <v/>
      </c>
      <c r="N172" s="40" t="str">
        <f>IFERROR(IF(M171=0,"",N171/M171-1),"")</f>
        <v/>
      </c>
      <c r="O172" s="40" t="str">
        <f>IFERROR(IF(N171=0,"",O171/N171-1),"")</f>
        <v/>
      </c>
      <c r="P172" s="40" t="str">
        <f>IFERROR(IF(O171=0,"",P171/O171-1),"")</f>
        <v/>
      </c>
      <c r="Q172" s="40" t="str">
        <f>IFERROR(IF(P171=0,"",Q171/P171-1),"")</f>
        <v/>
      </c>
      <c r="R172" s="12" t="str">
        <f>IFERROR(IF(Q171=0,"",R171/Q171-1),"")</f>
        <v/>
      </c>
      <c r="S172" s="40" t="str">
        <f>IFERROR(IF(R171=0,"",S171/R171-1),"")</f>
        <v/>
      </c>
      <c r="T172" s="40" t="str">
        <f>IFERROR(IF(S171=0,"",T171/S171-1),"")</f>
        <v/>
      </c>
      <c r="U172" s="40" t="str">
        <f>IFERROR(IF(T171=0,"",U171/T171-1),"")</f>
        <v/>
      </c>
      <c r="V172" s="40" t="str">
        <f>IFERROR(IF(U171=0,"",V171/U171-1),"")</f>
        <v/>
      </c>
      <c r="W172" s="12" t="str">
        <f>IFERROR(IF(V171=0,"",W171/V171-1),"")</f>
        <v/>
      </c>
      <c r="X172" s="40" t="str">
        <f>IFERROR(IF(W171=0,"",X171/W171-1),"")</f>
        <v/>
      </c>
      <c r="Y172" s="40" t="str">
        <f>IFERROR(IF(X171=0,"",Y171/X171-1),"")</f>
        <v/>
      </c>
      <c r="Z172" s="40" t="str">
        <f>IFERROR(IF(Y171=0,"",Z171/Y171-1),"")</f>
        <v/>
      </c>
      <c r="AA172" s="40" t="str">
        <f>IFERROR(IF(Z171=0,"",AA171/Z171-1),"")</f>
        <v/>
      </c>
      <c r="AB172" s="12" t="str">
        <f>IFERROR(IF(AA171=0,"",AB171/AA171-1),"")</f>
        <v/>
      </c>
      <c r="AC172" s="40" t="str">
        <f>IFERROR(IF(AB171=0,"",AC171/AB171-1),"")</f>
        <v/>
      </c>
      <c r="AD172" s="40" t="str">
        <f>IFERROR(IF(AC171=0,"",AD171/AC171-1),"")</f>
        <v/>
      </c>
      <c r="AE172" s="40" t="str">
        <f>IFERROR(IF(AD171=0,"",AE171/AD171-1),"")</f>
        <v/>
      </c>
      <c r="AF172" s="55" t="str">
        <f>IFERROR(IF(AE171=0,"",AF171/AE171-1),"")</f>
        <v/>
      </c>
      <c r="AG172" s="12" t="str">
        <f>IFERROR(IF(AF171=0,"",AG171/AF171-1),"")</f>
        <v/>
      </c>
      <c r="AH172" s="55" t="str">
        <f>IFERROR(IF(AG171=0,"",AH171/AG171-1),"")</f>
        <v/>
      </c>
      <c r="AI172" s="55" t="str">
        <f>IFERROR(IF(AH171=0,"",AI171/AH171-1),"")</f>
        <v/>
      </c>
      <c r="AJ172" s="55" t="str">
        <f>IFERROR(IF(AI171=0,"",AJ171/AI171-1),"")</f>
        <v/>
      </c>
      <c r="AK172" s="55" t="str">
        <f>IFERROR(IF(AJ171=0,"",AK171/AJ171-1),"")</f>
        <v/>
      </c>
      <c r="AL172" s="12" t="str">
        <f>IFERROR(IF(AK171=0,"",AL171/AK171-1),"")</f>
        <v/>
      </c>
      <c r="AM172" s="55" t="str">
        <f>IFERROR(IF(AL171=0,"",AM171/AL171-1),"")</f>
        <v/>
      </c>
      <c r="AN172" s="55" t="str">
        <f>IFERROR(IF(AM171=0,"",AN171/AM171-1),"")</f>
        <v/>
      </c>
      <c r="AO172" s="55" t="str">
        <f>IFERROR(IF(AN171=0,"",AO171/AN171-1),"")</f>
        <v/>
      </c>
      <c r="AP172" s="55" t="str">
        <f>IFERROR(IF(AO171=0,"",AP171/AO171-1),"")</f>
        <v/>
      </c>
      <c r="AQ172" s="12" t="str">
        <f>IFERROR(IF(AP171=0,"",AQ171/AP171-1),"")</f>
        <v/>
      </c>
      <c r="AR172" s="55" t="str">
        <f>IFERROR(IF(AQ171=0,"",AR171/AQ171-1),"")</f>
        <v/>
      </c>
      <c r="AS172" s="55" t="str">
        <f>IFERROR(IF(AR171=0,"",AS171/AR171-1),"")</f>
        <v/>
      </c>
      <c r="AT172" s="55" t="str">
        <f>IFERROR(IF(AS171=0,"",AT171/AS171-1),"")</f>
        <v/>
      </c>
      <c r="AU172" s="55" t="str">
        <f>IFERROR(IF(AT171=0,"",AU171/AT171-1),"")</f>
        <v/>
      </c>
      <c r="AV172" s="12" t="str">
        <f>IFERROR(IF(AU171=0,"",AV171/AU171-1),"")</f>
        <v/>
      </c>
      <c r="AW172" s="55" t="str">
        <f>IFERROR(IF(AV171=0,"",AW171/AV171-1),"")</f>
        <v/>
      </c>
      <c r="AX172" s="55" t="str">
        <f>IFERROR(IF(AW171=0,"",AX171/AW171-1),"")</f>
        <v/>
      </c>
      <c r="AY172" s="55" t="str">
        <f>IFERROR(IF(AX171=0,"",AY171/AX171-1),"")</f>
        <v/>
      </c>
      <c r="AZ172" s="55" t="str">
        <f>IFERROR(IF(AY171=0,"",AZ171/AY171-1),"")</f>
        <v/>
      </c>
      <c r="BA172" s="12" t="str">
        <f>IFERROR(IF(AZ171=0,"",BA171/AZ171-1),"")</f>
        <v/>
      </c>
      <c r="BB172" s="55" t="str">
        <f>IFERROR(IF(BA171=0,"",BB171/BA171-1),"")</f>
        <v/>
      </c>
      <c r="BC172" s="55" t="str">
        <f>IFERROR(IF(BB171=0,"",BC171/BB171-1),"")</f>
        <v/>
      </c>
      <c r="BD172" s="55" t="str">
        <f>IFERROR(IF(BC171=0,"",BD171/BC171-1),"")</f>
        <v/>
      </c>
      <c r="BE172" s="55" t="str">
        <f>IFERROR(IF(BD171=0,"",BE171/BD171-1),"")</f>
        <v/>
      </c>
      <c r="BF172" s="12" t="str">
        <f>IFERROR(IF(BE171=0,"",BF171/BE171-1),"")</f>
        <v/>
      </c>
      <c r="BG172" s="55" t="n"/>
      <c r="BH172" s="55" t="n"/>
      <c r="BI172" s="55" t="n"/>
      <c r="BJ172" s="55" t="n"/>
      <c r="BK172" s="12" t="n"/>
      <c r="BL172" s="55" t="n"/>
      <c r="BM172" s="55" t="n"/>
      <c r="BN172" s="55" t="n"/>
      <c r="BO172" s="55" t="n"/>
      <c r="BP172" s="12" t="n"/>
      <c r="BQ172" s="55" t="n"/>
      <c r="BR172" s="55" t="n"/>
      <c r="BS172" s="55" t="n"/>
      <c r="BT172" s="55" t="n"/>
      <c r="BU172" s="12" t="n"/>
      <c r="BV172" s="55" t="n"/>
      <c r="BW172" s="55" t="n"/>
      <c r="BX172" s="55" t="n"/>
      <c r="BY172" s="55" t="n"/>
      <c r="BZ172" s="12" t="n"/>
      <c r="CA172" s="55" t="n"/>
      <c r="CB172" s="55" t="n"/>
      <c r="CC172" s="55" t="n"/>
      <c r="CD172" s="55" t="n"/>
      <c r="CE172" s="12" t="n"/>
      <c r="CF172" s="55" t="n"/>
      <c r="CG172" s="55" t="n"/>
      <c r="CH172" s="55" t="n"/>
      <c r="CI172" s="55" t="n"/>
      <c r="CJ172" s="12" t="n"/>
      <c r="CK172" s="55" t="n"/>
      <c r="CL172" s="55" t="n"/>
      <c r="CM172" s="55" t="n"/>
      <c r="CN172" s="55" t="n"/>
      <c r="CO172" s="12" t="n"/>
      <c r="CP172" s="55" t="n"/>
      <c r="CQ172" s="55" t="n"/>
      <c r="CR172" s="55" t="n"/>
      <c r="CS172" s="55" t="n"/>
      <c r="CT172" s="12" t="n"/>
      <c r="CU172" s="55" t="n"/>
      <c r="CV172" s="55" t="n"/>
      <c r="CW172" s="55" t="n"/>
      <c r="CX172" s="55" t="n"/>
      <c r="CY172" s="12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collapsed="1">
      <c r="C174" s="14" t="inlineStr">
        <is>
          <t>Goodwill</t>
        </is>
      </c>
      <c r="D174" s="46" t="n"/>
      <c r="E174" s="46" t="n"/>
      <c r="F174" s="46" t="n"/>
      <c r="G174" s="46" t="n"/>
      <c r="H174" s="12" t="n"/>
      <c r="I174" s="46">
        <f>'Inputs (2)'!D24</f>
        <v>3877.4</v>
      </c>
      <c r="J174" s="46">
        <f>'Inputs (2)'!E24</f>
        <v>3884.2</v>
      </c>
      <c r="K174" s="46">
        <f>'Inputs (2)'!F24</f>
        <v>3884.1</v>
      </c>
      <c r="L174" s="46">
        <f>'Inputs (2)'!G24</f>
        <v>3892</v>
      </c>
      <c r="M174" s="12">
        <f>'Inputs (2)'!H24</f>
        <v>3892</v>
      </c>
      <c r="N174" s="46">
        <f>'Inputs (2)'!I24</f>
        <v>3892</v>
      </c>
      <c r="O174" s="46">
        <f>'Inputs (2)'!J24</f>
        <v>3891.8</v>
      </c>
      <c r="P174" s="46">
        <f>'Inputs (2)'!K24</f>
        <v>3891.6</v>
      </c>
      <c r="Q174" s="46">
        <f>'Inputs (2)'!L24</f>
        <v>4073</v>
      </c>
      <c r="R174" s="12">
        <f>'Inputs (2)'!M24</f>
        <v>4073</v>
      </c>
      <c r="S174" s="46">
        <f>'Inputs (2)'!N24</f>
        <v>4073.1</v>
      </c>
      <c r="T174" s="46">
        <f>'Inputs (2)'!O24</f>
        <v>4078.9</v>
      </c>
      <c r="U174" s="46">
        <f>'Inputs (2)'!P24</f>
        <v>4085.2</v>
      </c>
      <c r="V174" s="46">
        <f>'Inputs (2)'!Q24</f>
        <v>4939.7</v>
      </c>
      <c r="W174" s="12">
        <f>'Inputs (2)'!R24</f>
        <v>4939.7</v>
      </c>
      <c r="X174" s="46">
        <f>'Inputs (2)'!S24</f>
        <v>4939.6</v>
      </c>
      <c r="Y174" s="46">
        <f>'Inputs (2)'!T24</f>
        <v>5768.2</v>
      </c>
      <c r="Z174" s="46">
        <f>'Inputs (2)'!U24</f>
        <v>5768.4</v>
      </c>
      <c r="AA174" s="46">
        <f>'Inputs (2)'!V24</f>
        <v>5770.3</v>
      </c>
      <c r="AB174" s="12">
        <f>'Inputs (2)'!W24</f>
        <v>5770.3</v>
      </c>
      <c r="AC174" s="46">
        <f>'Inputs (2)'!X24</f>
        <v>5770.5</v>
      </c>
      <c r="AD174" s="46">
        <f>'Inputs (2)'!Y24</f>
        <v>5770.5</v>
      </c>
      <c r="AE174" s="46">
        <f>'Inputs (2)'!Z24</f>
        <v>5898</v>
      </c>
      <c r="AF174" s="46">
        <f>'Inputs (2)'!AA24</f>
        <v>5898</v>
      </c>
      <c r="AG174" s="12">
        <f>'Inputs (2)'!AB24</f>
        <v>5898</v>
      </c>
      <c r="AH174" s="12">
        <f>'Inputs (2)'!AC24</f>
        <v>6130</v>
      </c>
      <c r="AI174" s="12">
        <f>'Inputs (2)'!AD24</f>
        <v>8849</v>
      </c>
      <c r="AJ174" s="12">
        <f>AI174</f>
        <v>8849</v>
      </c>
      <c r="AK174" s="12">
        <f>AJ174</f>
        <v>8849</v>
      </c>
      <c r="AL174" s="12">
        <f>AK174</f>
        <v>8849</v>
      </c>
      <c r="AM174" s="12">
        <f>AL174</f>
        <v>8849</v>
      </c>
      <c r="AN174" s="12">
        <f>AM174</f>
        <v>8849</v>
      </c>
      <c r="AO174" s="12">
        <f>AN174</f>
        <v>8849</v>
      </c>
      <c r="AP174" s="12">
        <f>AO174</f>
        <v>8849</v>
      </c>
      <c r="AQ174" s="12">
        <f>AP174</f>
        <v>8849</v>
      </c>
      <c r="AR174" s="12">
        <f>AQ174</f>
        <v>8849</v>
      </c>
      <c r="AS174" s="12">
        <f>AR174</f>
        <v>8849</v>
      </c>
      <c r="AT174" s="12">
        <f>AS174</f>
        <v>8849</v>
      </c>
      <c r="AU174" s="12">
        <f>AT174</f>
        <v>8849</v>
      </c>
      <c r="AV174" s="12">
        <f>AU174</f>
        <v>8849</v>
      </c>
      <c r="AW174" s="12">
        <f>AV174</f>
        <v>8849</v>
      </c>
      <c r="AX174" s="12">
        <f>AW174</f>
        <v>8849</v>
      </c>
      <c r="AY174" s="12">
        <f>AX174</f>
        <v>8849</v>
      </c>
      <c r="AZ174" s="12">
        <f>AY174</f>
        <v>8849</v>
      </c>
      <c r="BA174" s="12">
        <f>AZ174</f>
        <v>8849</v>
      </c>
      <c r="BB174" s="12">
        <f>BA174</f>
        <v>8849</v>
      </c>
      <c r="BC174" s="12">
        <f>BB174</f>
        <v>8849</v>
      </c>
      <c r="BD174" s="12">
        <f>BC174</f>
        <v>8849</v>
      </c>
      <c r="BE174" s="12">
        <f>BD174</f>
        <v>8849</v>
      </c>
      <c r="BF174" s="12">
        <f>BE174</f>
        <v>8849</v>
      </c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>
      <c r="C175" s="14" t="inlineStr">
        <is>
          <t>Intangibles</t>
        </is>
      </c>
      <c r="D175" s="46" t="n"/>
      <c r="E175" s="46" t="n"/>
      <c r="F175" s="46" t="n"/>
      <c r="G175" s="46" t="n"/>
      <c r="H175" s="12" t="n"/>
      <c r="I175" s="46">
        <f>'Inputs (2)'!D25</f>
        <v>8087.8</v>
      </c>
      <c r="J175" s="46">
        <f>'Inputs (2)'!E25</f>
        <v>7985.4</v>
      </c>
      <c r="K175" s="46">
        <f>'Inputs (2)'!F25</f>
        <v>7887.7</v>
      </c>
      <c r="L175" s="46">
        <f>'Inputs (2)'!G25</f>
        <v>7691.9</v>
      </c>
      <c r="M175" s="12">
        <f>'Inputs (2)'!H25</f>
        <v>7691.9</v>
      </c>
      <c r="N175" s="46">
        <f>'Inputs (2)'!I25</f>
        <v>7482.4</v>
      </c>
      <c r="O175" s="46">
        <f>'Inputs (2)'!J25</f>
        <v>7497.7</v>
      </c>
      <c r="P175" s="46">
        <f>'Inputs (2)'!K25</f>
        <v>7124.1</v>
      </c>
      <c r="Q175" s="46">
        <f>'Inputs (2)'!L25</f>
        <v>7206.6</v>
      </c>
      <c r="R175" s="12">
        <f>'Inputs (2)'!M25</f>
        <v>7206.6</v>
      </c>
      <c r="S175" s="46">
        <f>'Inputs (2)'!N25</f>
        <v>7087.1</v>
      </c>
      <c r="T175" s="46">
        <f>'Inputs (2)'!O25</f>
        <v>6903.5</v>
      </c>
      <c r="U175" s="46">
        <f>'Inputs (2)'!P25</f>
        <v>6781.7</v>
      </c>
      <c r="V175" s="46">
        <f>'Inputs (2)'!Q25</f>
        <v>6906.6</v>
      </c>
      <c r="W175" s="12">
        <f>'Inputs (2)'!R25</f>
        <v>6906.6</v>
      </c>
      <c r="X175" s="46">
        <f>'Inputs (2)'!S25</f>
        <v>6762.2</v>
      </c>
      <c r="Y175" s="46">
        <f>'Inputs (2)'!T25</f>
        <v>6636.1</v>
      </c>
      <c r="Z175" s="46">
        <f>'Inputs (2)'!U25</f>
        <v>6537.3</v>
      </c>
      <c r="AA175" s="46">
        <f>'Inputs (2)'!V25</f>
        <v>6166.3</v>
      </c>
      <c r="AB175" s="12">
        <f>'Inputs (2)'!W25</f>
        <v>6166.3</v>
      </c>
      <c r="AC175" s="46">
        <f>'Inputs (2)'!X25</f>
        <v>6012.2</v>
      </c>
      <c r="AD175" s="46">
        <f>'Inputs (2)'!Y25</f>
        <v>5908.3</v>
      </c>
      <c r="AE175" s="46">
        <f>'Inputs (2)'!Z25</f>
        <v>6446.7</v>
      </c>
      <c r="AF175" s="46">
        <f>'Inputs (2)'!AA25</f>
        <v>6521</v>
      </c>
      <c r="AG175" s="12">
        <f>'Inputs (2)'!AB25</f>
        <v>6521</v>
      </c>
      <c r="AH175" s="12">
        <f>'Inputs (2)'!AC25</f>
        <v>7374</v>
      </c>
      <c r="AI175" s="12">
        <f>'Inputs (2)'!AD25</f>
        <v>18110</v>
      </c>
      <c r="AJ175" s="12">
        <f>AI175</f>
        <v>18110</v>
      </c>
      <c r="AK175" s="12">
        <f>AJ175</f>
        <v>18110</v>
      </c>
      <c r="AL175" s="12">
        <f>AK175</f>
        <v>18110</v>
      </c>
      <c r="AM175" s="16">
        <f>AL175</f>
        <v>18110</v>
      </c>
      <c r="AN175" s="12">
        <f>AM175</f>
        <v>18110</v>
      </c>
      <c r="AO175" s="12">
        <f>AN175</f>
        <v>18110</v>
      </c>
      <c r="AP175" s="12">
        <f>AO175</f>
        <v>18110</v>
      </c>
      <c r="AQ175" s="12">
        <f>AP175</f>
        <v>18110</v>
      </c>
      <c r="AR175" s="16">
        <f>AQ175</f>
        <v>18110</v>
      </c>
      <c r="AS175" s="12">
        <f>AR175</f>
        <v>18110</v>
      </c>
      <c r="AT175" s="12">
        <f>AS175</f>
        <v>18110</v>
      </c>
      <c r="AU175" s="12">
        <f>AT175</f>
        <v>18110</v>
      </c>
      <c r="AV175" s="12">
        <f>AU175</f>
        <v>18110</v>
      </c>
      <c r="AW175" s="16">
        <f>AV175</f>
        <v>18110</v>
      </c>
      <c r="AX175" s="12">
        <f>AW175</f>
        <v>18110</v>
      </c>
      <c r="AY175" s="12">
        <f>AX175</f>
        <v>18110</v>
      </c>
      <c r="AZ175" s="12">
        <f>AY175</f>
        <v>18110</v>
      </c>
      <c r="BA175" s="12">
        <f>AZ175</f>
        <v>18110</v>
      </c>
      <c r="BB175" s="16">
        <f>BA175</f>
        <v>18110</v>
      </c>
      <c r="BC175" s="12">
        <f>BB175</f>
        <v>18110</v>
      </c>
      <c r="BD175" s="12">
        <f>BC175</f>
        <v>18110</v>
      </c>
      <c r="BE175" s="12">
        <f>BD175</f>
        <v>18110</v>
      </c>
      <c r="BF175" s="12">
        <f>BE175</f>
        <v>18110</v>
      </c>
      <c r="BH175" s="12" t="n"/>
      <c r="BI175" s="12" t="n"/>
      <c r="BJ175" s="12" t="n"/>
      <c r="BK175" s="12" t="n"/>
      <c r="BM175" s="12" t="n"/>
      <c r="BN175" s="12" t="n"/>
      <c r="BO175" s="12" t="n"/>
      <c r="BP175" s="12" t="n"/>
      <c r="BR175" s="12" t="n"/>
      <c r="BS175" s="12" t="n"/>
      <c r="BT175" s="12" t="n"/>
      <c r="BU175" s="12" t="n"/>
      <c r="BW175" s="12" t="n"/>
      <c r="BX175" s="12" t="n"/>
      <c r="BY175" s="12" t="n"/>
      <c r="BZ175" s="12" t="n"/>
      <c r="CB175" s="12" t="n"/>
      <c r="CC175" s="12" t="n"/>
      <c r="CD175" s="12" t="n"/>
      <c r="CE175" s="12" t="n"/>
      <c r="CG175" s="12" t="n"/>
      <c r="CH175" s="12" t="n"/>
      <c r="CI175" s="12" t="n"/>
      <c r="CJ175" s="12" t="n"/>
      <c r="CL175" s="12" t="n"/>
      <c r="CM175" s="12" t="n"/>
      <c r="CN175" s="12" t="n"/>
      <c r="CO175" s="12" t="n"/>
      <c r="CQ175" s="12" t="n"/>
      <c r="CR175" s="12" t="n"/>
      <c r="CS175" s="12" t="n"/>
      <c r="CT175" s="12" t="n"/>
      <c r="CV175" s="12" t="n"/>
      <c r="CW175" s="12" t="n"/>
      <c r="CX175" s="12" t="n"/>
      <c r="CY175" s="12" t="n"/>
    </row>
    <row r="176" hidden="1" outlineLevel="1">
      <c r="C176" s="57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inlineStr">
        <is>
          <t>Purchase of intangible assets</t>
        </is>
      </c>
      <c r="D177" s="12" t="n"/>
      <c r="E177" s="12" t="n"/>
      <c r="F177" s="12" t="n"/>
      <c r="G177" s="12" t="n"/>
      <c r="H177" s="12" t="n"/>
      <c r="I177" s="12" t="str">
        <f>IF(COUNT(H175)=0,"",I175-H175-I79)</f>
        <v/>
      </c>
      <c r="J177" s="12">
        <f>J175-I175-J79</f>
        <v>-102.400000000001</v>
      </c>
      <c r="K177" s="12">
        <f>K175-J175-K79</f>
        <v>-97.6999999999998</v>
      </c>
      <c r="L177" s="12">
        <f>L175-K175-L79</f>
        <v>-195.8</v>
      </c>
      <c r="M177" s="12" t="n"/>
      <c r="N177" s="12">
        <f>N175-M175-N79</f>
        <v>-209.5</v>
      </c>
      <c r="O177" s="12">
        <f>O175-N175-O79</f>
        <v>15.3000000000002</v>
      </c>
      <c r="P177" s="12">
        <f>P175-O175-P79</f>
        <v>-373.599999999999</v>
      </c>
      <c r="Q177" s="12">
        <f>Q175-P175-Q79</f>
        <v>82.5</v>
      </c>
      <c r="R177" s="12" t="n"/>
      <c r="S177" s="12">
        <f>S175-R175-S79</f>
        <v>-119.5</v>
      </c>
      <c r="T177" s="12">
        <f>T175-S175-T79</f>
        <v>-183.6</v>
      </c>
      <c r="U177" s="12">
        <f>U175-T175-U79</f>
        <v>-121.8</v>
      </c>
      <c r="V177" s="12">
        <f>V175-U175-V79</f>
        <v>124.900000000001</v>
      </c>
      <c r="W177" s="12" t="n"/>
      <c r="X177" s="12">
        <f>X175-W175-X79</f>
        <v>-144.400000000001</v>
      </c>
      <c r="Y177" s="12">
        <f>Y175-X175-Y79</f>
        <v>-126.099999999999</v>
      </c>
      <c r="Z177" s="12">
        <f>Z175-Y175-Z79</f>
        <v>-98.8000000000002</v>
      </c>
      <c r="AA177" s="12">
        <f>AA175-Z175-AA79</f>
        <v>-371</v>
      </c>
      <c r="AB177" s="12" t="n"/>
      <c r="AC177" s="12">
        <f>AC175-AB175-AC79</f>
        <v>-154.1</v>
      </c>
      <c r="AD177" s="12">
        <f>AD175-AC175-AD79</f>
        <v>-103.9</v>
      </c>
      <c r="AE177" s="12">
        <f>AE175-AD175-AE79</f>
        <v>538.4</v>
      </c>
      <c r="AF177" s="12">
        <f>AF175-AE175-AF79</f>
        <v>74.3000000000002</v>
      </c>
      <c r="AG177" s="12" t="n"/>
      <c r="AH177" s="11">
        <f>AH175-AG175-AH79</f>
        <v>853</v>
      </c>
      <c r="AI177" s="11">
        <f>AI175-AH175-AI79</f>
        <v>10736</v>
      </c>
      <c r="AJ177" s="11" t="n"/>
      <c r="AK177" s="11" t="n"/>
      <c r="AL177" s="12" t="n"/>
      <c r="AM177" s="11" t="n"/>
      <c r="AN177" s="11" t="n"/>
      <c r="AO177" s="11" t="n"/>
      <c r="AP177" s="11" t="n"/>
      <c r="AQ177" s="12" t="n"/>
      <c r="AR177" s="11" t="n"/>
      <c r="AS177" s="11" t="n"/>
      <c r="AT177" s="11" t="n"/>
      <c r="AU177" s="11" t="n"/>
      <c r="AV177" s="12" t="n"/>
      <c r="AW177" s="11" t="n"/>
      <c r="AX177" s="11" t="n"/>
      <c r="AY177" s="11" t="n"/>
      <c r="AZ177" s="11" t="n"/>
      <c r="BA177" s="12" t="n"/>
      <c r="BB177" s="11" t="n"/>
      <c r="BC177" s="11" t="n"/>
      <c r="BD177" s="11" t="n"/>
      <c r="BE177" s="11" t="n"/>
      <c r="BF177" s="12" t="n"/>
      <c r="BG177" s="11" t="n"/>
      <c r="BH177" s="11" t="n"/>
      <c r="BI177" s="11" t="n"/>
      <c r="BJ177" s="11" t="n"/>
      <c r="BK177" s="12" t="n"/>
      <c r="BL177" s="11" t="n"/>
      <c r="BM177" s="11" t="n"/>
      <c r="BN177" s="11" t="n"/>
      <c r="BO177" s="11" t="n"/>
      <c r="BP177" s="12" t="n"/>
      <c r="BQ177" s="11" t="n"/>
      <c r="BR177" s="11" t="n"/>
      <c r="BS177" s="11" t="n"/>
      <c r="BT177" s="11" t="n"/>
      <c r="BU177" s="12" t="n"/>
      <c r="BV177" s="11" t="n"/>
      <c r="BW177" s="11" t="n"/>
      <c r="BX177" s="11" t="n"/>
      <c r="BY177" s="11" t="n"/>
      <c r="BZ177" s="12" t="n"/>
      <c r="CA177" s="11" t="n"/>
      <c r="CB177" s="11" t="n"/>
      <c r="CC177" s="11" t="n"/>
      <c r="CD177" s="11" t="n"/>
      <c r="CE177" s="12" t="n"/>
      <c r="CF177" s="11" t="n"/>
      <c r="CG177" s="11" t="n"/>
      <c r="CH177" s="11" t="n"/>
      <c r="CI177" s="11" t="n"/>
      <c r="CJ177" s="12" t="n"/>
      <c r="CK177" s="11" t="n"/>
      <c r="CL177" s="11" t="n"/>
      <c r="CM177" s="11" t="n"/>
      <c r="CN177" s="11" t="n"/>
      <c r="CO177" s="12" t="n"/>
      <c r="CP177" s="11" t="n"/>
      <c r="CQ177" s="11" t="n"/>
      <c r="CR177" s="11" t="n"/>
      <c r="CS177" s="11" t="n"/>
      <c r="CT177" s="12" t="n"/>
      <c r="CU177" s="11" t="n"/>
      <c r="CV177" s="11" t="n"/>
      <c r="CW177" s="11" t="n"/>
      <c r="CX177" s="11" t="n"/>
      <c r="CY177" s="12" t="n"/>
    </row>
    <row r="178" hidden="1" outlineLevel="1">
      <c r="C178" s="57" t="inlineStr">
        <is>
          <t>Amortization (enter as -)</t>
        </is>
      </c>
      <c r="D178" s="12" t="n"/>
      <c r="E178" s="12" t="n"/>
      <c r="F178" s="12" t="n"/>
      <c r="G178" s="12" t="n"/>
      <c r="H178" s="12" t="n"/>
      <c r="I178" s="12">
        <f>I78</f>
        <v>0</v>
      </c>
      <c r="J178" s="12">
        <f>J78</f>
        <v>0</v>
      </c>
      <c r="K178" s="12">
        <f>K78</f>
        <v>0</v>
      </c>
      <c r="L178" s="12">
        <f>L78</f>
        <v>0</v>
      </c>
      <c r="M178" s="12" t="n"/>
      <c r="N178" s="12">
        <f>N78</f>
        <v>0</v>
      </c>
      <c r="O178" s="12">
        <f>O78</f>
        <v>0</v>
      </c>
      <c r="P178" s="12">
        <f>P78</f>
        <v>0</v>
      </c>
      <c r="Q178" s="12">
        <f>Q78</f>
        <v>0</v>
      </c>
      <c r="R178" s="12" t="n"/>
      <c r="S178" s="12">
        <f>S78</f>
        <v>0</v>
      </c>
      <c r="T178" s="12">
        <f>T78</f>
        <v>0</v>
      </c>
      <c r="U178" s="12">
        <f>U78</f>
        <v>0</v>
      </c>
      <c r="V178" s="12">
        <f>V78</f>
        <v>0</v>
      </c>
      <c r="W178" s="12" t="n"/>
      <c r="X178" s="12">
        <f>X78</f>
        <v>0</v>
      </c>
      <c r="Y178" s="12">
        <f>Y78</f>
        <v>0</v>
      </c>
      <c r="Z178" s="12">
        <f>Z78</f>
        <v>0</v>
      </c>
      <c r="AA178" s="12">
        <f>AA78</f>
        <v>0</v>
      </c>
      <c r="AB178" s="12" t="n"/>
      <c r="AC178" s="12">
        <f>AC78</f>
        <v>0</v>
      </c>
      <c r="AD178" s="12">
        <f>AD78</f>
        <v>0</v>
      </c>
      <c r="AE178" s="12">
        <f>AE78</f>
        <v>0</v>
      </c>
      <c r="AF178" s="12">
        <f>AF78</f>
        <v>0</v>
      </c>
      <c r="AG178" s="12" t="n"/>
      <c r="AH178" s="12">
        <f>AH78</f>
        <v>0</v>
      </c>
      <c r="AI178" s="11">
        <f>AI78</f>
        <v>0</v>
      </c>
      <c r="AJ178" s="11" t="n"/>
      <c r="AK178" s="11" t="n"/>
      <c r="AL178" s="12" t="n"/>
      <c r="AM178" s="11" t="n"/>
      <c r="AN178" s="11" t="n"/>
      <c r="AO178" s="11" t="n"/>
      <c r="AP178" s="11" t="n"/>
      <c r="AQ178" s="12" t="n"/>
      <c r="AR178" s="11" t="n"/>
      <c r="AS178" s="11" t="n"/>
      <c r="AT178" s="11" t="n"/>
      <c r="AU178" s="11" t="n"/>
      <c r="AV178" s="12" t="n"/>
      <c r="AW178" s="11" t="n"/>
      <c r="AX178" s="11" t="n"/>
      <c r="AY178" s="11" t="n"/>
      <c r="AZ178" s="11" t="n"/>
      <c r="BA178" s="12" t="n"/>
      <c r="BB178" s="11" t="n"/>
      <c r="BC178" s="11" t="n"/>
      <c r="BD178" s="11" t="n"/>
      <c r="BE178" s="11" t="n"/>
      <c r="BF178" s="12" t="n"/>
      <c r="BG178" s="11" t="n"/>
      <c r="BH178" s="11" t="n"/>
      <c r="BI178" s="11" t="n"/>
      <c r="BJ178" s="11" t="n"/>
      <c r="BK178" s="12" t="n"/>
      <c r="BL178" s="11" t="n"/>
      <c r="BM178" s="11" t="n"/>
      <c r="BN178" s="11" t="n"/>
      <c r="BO178" s="11" t="n"/>
      <c r="BP178" s="12" t="n"/>
      <c r="BQ178" s="11" t="n"/>
      <c r="BR178" s="11" t="n"/>
      <c r="BS178" s="11" t="n"/>
      <c r="BT178" s="11" t="n"/>
      <c r="BU178" s="12" t="n"/>
      <c r="BV178" s="11" t="n"/>
      <c r="BW178" s="11" t="n"/>
      <c r="BX178" s="11" t="n"/>
      <c r="BY178" s="11" t="n"/>
      <c r="BZ178" s="12" t="n"/>
      <c r="CA178" s="11" t="n"/>
      <c r="CB178" s="11" t="n"/>
      <c r="CC178" s="11" t="n"/>
      <c r="CD178" s="11" t="n"/>
      <c r="CE178" s="12" t="n"/>
      <c r="CF178" s="11" t="n"/>
      <c r="CG178" s="11" t="n"/>
      <c r="CH178" s="11" t="n"/>
      <c r="CI178" s="11" t="n"/>
      <c r="CJ178" s="12" t="n"/>
      <c r="CK178" s="11" t="n"/>
      <c r="CL178" s="11" t="n"/>
      <c r="CM178" s="11" t="n"/>
      <c r="CN178" s="11" t="n"/>
      <c r="CO178" s="12" t="n"/>
      <c r="CP178" s="11" t="n"/>
      <c r="CQ178" s="11" t="n"/>
      <c r="CR178" s="11" t="n"/>
      <c r="CS178" s="11" t="n"/>
      <c r="CT178" s="12" t="n"/>
      <c r="CU178" s="11" t="n"/>
      <c r="CV178" s="11" t="n"/>
      <c r="CW178" s="11" t="n"/>
      <c r="CX178" s="11" t="n"/>
      <c r="CY178" s="12" t="n"/>
    </row>
    <row r="179" hidden="1" outlineLevel="1">
      <c r="C179" s="57" t="inlineStr">
        <is>
          <t>Intangibles</t>
        </is>
      </c>
      <c r="D179" s="12" t="n"/>
      <c r="E179" s="12" t="n"/>
      <c r="F179" s="12" t="n"/>
      <c r="G179" s="12" t="n"/>
      <c r="H179" s="12" t="n"/>
      <c r="I179" s="12">
        <f>I175</f>
        <v>8087.8</v>
      </c>
      <c r="J179" s="12">
        <f>J175</f>
        <v>7985.4</v>
      </c>
      <c r="K179" s="12">
        <f>K175</f>
        <v>7887.7</v>
      </c>
      <c r="L179" s="12">
        <f>L175</f>
        <v>7691.9</v>
      </c>
      <c r="M179" s="12">
        <f>M175</f>
        <v>7691.9</v>
      </c>
      <c r="N179" s="12">
        <f>N175</f>
        <v>7482.4</v>
      </c>
      <c r="O179" s="12">
        <f>O175</f>
        <v>7497.7</v>
      </c>
      <c r="P179" s="12">
        <f>P175</f>
        <v>7124.1</v>
      </c>
      <c r="Q179" s="12">
        <f>Q175</f>
        <v>7206.6</v>
      </c>
      <c r="R179" s="12">
        <f>R175</f>
        <v>7206.6</v>
      </c>
      <c r="S179" s="12">
        <f>S175</f>
        <v>7087.1</v>
      </c>
      <c r="T179" s="12">
        <f>T175</f>
        <v>6903.5</v>
      </c>
      <c r="U179" s="12">
        <f>U175</f>
        <v>6781.7</v>
      </c>
      <c r="V179" s="12">
        <f>V175</f>
        <v>6906.6</v>
      </c>
      <c r="W179" s="12">
        <f>W175</f>
        <v>6906.6</v>
      </c>
      <c r="X179" s="12">
        <f>X175</f>
        <v>6762.2</v>
      </c>
      <c r="Y179" s="12">
        <f>Y175</f>
        <v>6636.1</v>
      </c>
      <c r="Z179" s="12">
        <f>Z175</f>
        <v>6537.3</v>
      </c>
      <c r="AA179" s="12">
        <f>AA175</f>
        <v>6166.3</v>
      </c>
      <c r="AB179" s="12">
        <f>AB175</f>
        <v>6166.3</v>
      </c>
      <c r="AC179" s="12">
        <f>AC175</f>
        <v>6012.2</v>
      </c>
      <c r="AD179" s="12">
        <f>AD175</f>
        <v>5908.3</v>
      </c>
      <c r="AE179" s="12">
        <f>AE175</f>
        <v>6446.7</v>
      </c>
      <c r="AF179" s="12">
        <f>AF175</f>
        <v>6521</v>
      </c>
      <c r="AG179" s="12">
        <f>AG175</f>
        <v>6521</v>
      </c>
      <c r="AH179" s="12">
        <f>AH175</f>
        <v>7374</v>
      </c>
      <c r="AI179" s="12">
        <f>AI175</f>
        <v>18110</v>
      </c>
      <c r="AJ179" s="12">
        <f>AJ175</f>
        <v>18110</v>
      </c>
      <c r="AK179" s="12">
        <f>AK175</f>
        <v>18110</v>
      </c>
      <c r="AL179" s="12" t="n"/>
      <c r="AM179" s="12">
        <f>AM175</f>
        <v>18110</v>
      </c>
      <c r="AN179" s="12">
        <f>AN175</f>
        <v>18110</v>
      </c>
      <c r="AO179" s="12">
        <f>AO175</f>
        <v>18110</v>
      </c>
      <c r="AP179" s="12">
        <f>AP175</f>
        <v>18110</v>
      </c>
      <c r="AQ179" s="12" t="n"/>
      <c r="AR179" s="12">
        <f>AR175</f>
        <v>18110</v>
      </c>
      <c r="AS179" s="12">
        <f>AS175</f>
        <v>18110</v>
      </c>
      <c r="AT179" s="12">
        <f>AT175</f>
        <v>18110</v>
      </c>
      <c r="AU179" s="12">
        <f>AU175</f>
        <v>18110</v>
      </c>
      <c r="AV179" s="12" t="n"/>
      <c r="AW179" s="12">
        <f>AW175</f>
        <v>18110</v>
      </c>
      <c r="AX179" s="12">
        <f>AX175</f>
        <v>18110</v>
      </c>
      <c r="AY179" s="12">
        <f>AY175</f>
        <v>18110</v>
      </c>
      <c r="AZ179" s="12">
        <f>AZ175</f>
        <v>18110</v>
      </c>
      <c r="BA179" s="12" t="n"/>
      <c r="BB179" s="12">
        <f>BB175</f>
        <v>18110</v>
      </c>
      <c r="BC179" s="12">
        <f>BC175</f>
        <v>18110</v>
      </c>
      <c r="BD179" s="12">
        <f>BD175</f>
        <v>18110</v>
      </c>
      <c r="BE179" s="12">
        <f>BE175</f>
        <v>18110</v>
      </c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inlineStr">
        <is>
          <t>Definir % do D&amp;A No PPE and Intagibles</t>
        </is>
      </c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hidden="1" outlineLevel="1">
      <c r="C183" s="57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collapsed="1">
      <c r="C184" s="14" t="inlineStr">
        <is>
          <t>Other non-current assets</t>
        </is>
      </c>
      <c r="D184" s="46" t="n"/>
      <c r="E184" s="46" t="n"/>
      <c r="F184" s="46" t="n"/>
      <c r="G184" s="46" t="n"/>
      <c r="H184" s="12" t="n"/>
      <c r="I184" s="46">
        <f>'Inputs (2)'!D26</f>
        <v>6988.6</v>
      </c>
      <c r="J184" s="46">
        <f>'Inputs (2)'!E26</f>
        <v>7113.5</v>
      </c>
      <c r="K184" s="46">
        <f>'Inputs (2)'!F26</f>
        <v>7060.9</v>
      </c>
      <c r="L184" s="46">
        <f>'Inputs (2)'!G26</f>
        <v>7295.3</v>
      </c>
      <c r="M184" s="12">
        <f>'Inputs (2)'!H26</f>
        <v>7295.3</v>
      </c>
      <c r="N184" s="46">
        <f>'Inputs (2)'!I26</f>
        <v>7012.6</v>
      </c>
      <c r="O184" s="46">
        <f>'Inputs (2)'!J26</f>
        <v>7058.8</v>
      </c>
      <c r="P184" s="46">
        <f>'Inputs (2)'!K26</f>
        <v>7110.3</v>
      </c>
      <c r="Q184" s="46">
        <f>'Inputs (2)'!L26</f>
        <v>7238.8</v>
      </c>
      <c r="R184" s="12">
        <f>'Inputs (2)'!M26</f>
        <v>7238.8</v>
      </c>
      <c r="S184" s="46">
        <f>'Inputs (2)'!N26</f>
        <v>7238.5</v>
      </c>
      <c r="T184" s="46">
        <f>'Inputs (2)'!O26</f>
        <v>7416.7</v>
      </c>
      <c r="U184" s="46">
        <f>'Inputs (2)'!P26</f>
        <v>7603.6</v>
      </c>
      <c r="V184" s="46">
        <f>'Inputs (2)'!Q26</f>
        <v>8042.1</v>
      </c>
      <c r="W184" s="12">
        <f>'Inputs (2)'!R26</f>
        <v>8042.1</v>
      </c>
      <c r="X184" s="46">
        <f>'Inputs (2)'!S26</f>
        <v>7795</v>
      </c>
      <c r="Y184" s="46">
        <f>'Inputs (2)'!T26</f>
        <v>7781.5</v>
      </c>
      <c r="Z184" s="46">
        <f>'Inputs (2)'!U26</f>
        <v>8322</v>
      </c>
      <c r="AA184" s="46">
        <f>'Inputs (2)'!V26</f>
        <v>8935.6</v>
      </c>
      <c r="AB184" s="12">
        <f>'Inputs (2)'!W26</f>
        <v>8935.6</v>
      </c>
      <c r="AC184" s="46">
        <f>'Inputs (2)'!X26</f>
        <v>9297.6</v>
      </c>
      <c r="AD184" s="46">
        <f>'Inputs (2)'!Y26</f>
        <v>9432.7</v>
      </c>
      <c r="AE184" s="46">
        <f>'Inputs (2)'!Z26</f>
        <v>9240.7</v>
      </c>
      <c r="AF184" s="46">
        <f>'Inputs (2)'!AA26</f>
        <v>9794</v>
      </c>
      <c r="AG184" s="12">
        <f>'Inputs (2)'!AB26</f>
        <v>9794</v>
      </c>
      <c r="AH184" s="12">
        <f>'Inputs (2)'!AC26</f>
        <v>10347</v>
      </c>
      <c r="AI184" s="12">
        <f>'Inputs (2)'!AD26</f>
        <v>11338</v>
      </c>
      <c r="AJ184" s="12">
        <f>AI184</f>
        <v>11338</v>
      </c>
      <c r="AK184" s="12">
        <f>AJ184</f>
        <v>11338</v>
      </c>
      <c r="AL184" s="12">
        <f>AK184</f>
        <v>11338</v>
      </c>
      <c r="AM184" s="12">
        <f>AL184</f>
        <v>11338</v>
      </c>
      <c r="AN184" s="12">
        <f>AM184</f>
        <v>11338</v>
      </c>
      <c r="AO184" s="12">
        <f>AN184</f>
        <v>11338</v>
      </c>
      <c r="AP184" s="12">
        <f>AO184</f>
        <v>11338</v>
      </c>
      <c r="AQ184" s="12">
        <f>AP184</f>
        <v>11338</v>
      </c>
      <c r="AR184" s="12">
        <f>AQ184</f>
        <v>11338</v>
      </c>
      <c r="AS184" s="12">
        <f>AR184</f>
        <v>11338</v>
      </c>
      <c r="AT184" s="12">
        <f>AS184</f>
        <v>11338</v>
      </c>
      <c r="AU184" s="12">
        <f>AT184</f>
        <v>11338</v>
      </c>
      <c r="AV184" s="12">
        <f>AU184</f>
        <v>11338</v>
      </c>
      <c r="AW184" s="12">
        <f>AV184</f>
        <v>11338</v>
      </c>
      <c r="AX184" s="12">
        <f>AW184</f>
        <v>11338</v>
      </c>
      <c r="AY184" s="12">
        <f>AX184</f>
        <v>11338</v>
      </c>
      <c r="AZ184" s="12">
        <f>AY184</f>
        <v>11338</v>
      </c>
      <c r="BA184" s="12">
        <f>AZ184</f>
        <v>11338</v>
      </c>
      <c r="BB184" s="12">
        <f>BA184</f>
        <v>11338</v>
      </c>
      <c r="BC184" s="12">
        <f>BB184</f>
        <v>11338</v>
      </c>
      <c r="BD184" s="12">
        <f>BC184</f>
        <v>11338</v>
      </c>
      <c r="BE184" s="12">
        <f>BD184</f>
        <v>11338</v>
      </c>
      <c r="BF184" s="12">
        <f>BE184</f>
        <v>11338</v>
      </c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59" t="inlineStr">
        <is>
          <t>%(Var.)</t>
        </is>
      </c>
      <c r="D185" s="12" t="n"/>
      <c r="E185" s="40" t="n"/>
      <c r="F185" s="40" t="n"/>
      <c r="G185" s="40" t="n"/>
      <c r="H185" s="12" t="n"/>
      <c r="I185" s="40" t="str">
        <f>""</f>
        <v/>
      </c>
      <c r="J185" s="40">
        <f>IF(I184=0,"",J184/I184-1)</f>
        <v>0.0178719629110264</v>
      </c>
      <c r="K185" s="40">
        <f>IF(J184=0,"",K184/J184-1)</f>
        <v>-0.0073943909467914</v>
      </c>
      <c r="L185" s="40">
        <f>IF(K184=0,"",L184/K184-1)</f>
        <v>0.0331969012448838</v>
      </c>
      <c r="M185" s="12">
        <f>IF(L184=0,"",M184/L184-1)</f>
        <v>0</v>
      </c>
      <c r="N185" s="40">
        <f>IF(M184=0,"",N184/M184-1)</f>
        <v>-0.0387509766562033</v>
      </c>
      <c r="O185" s="40">
        <f>IF(N184=0,"",O184/N184-1)</f>
        <v>0.00658814134557795</v>
      </c>
      <c r="P185" s="40">
        <f>IF(O184=0,"",P184/O184-1)</f>
        <v>0.00729585765285878</v>
      </c>
      <c r="Q185" s="40">
        <f>IF(P184=0,"",Q184/P184-1)</f>
        <v>0.0180723738801456</v>
      </c>
      <c r="R185" s="12">
        <f>IF(Q184=0,"",R184/Q184-1)</f>
        <v>0</v>
      </c>
      <c r="S185" s="40">
        <f>IF(R184=0,"",S184/R184-1)</f>
        <v>-4.14433331491493e-05</v>
      </c>
      <c r="T185" s="40">
        <f>IF(S184=0,"",T184/S184-1)</f>
        <v>0.0246183601574912</v>
      </c>
      <c r="U185" s="40">
        <f>IF(T184=0,"",U184/T184-1)</f>
        <v>0.0251998867420822</v>
      </c>
      <c r="V185" s="40">
        <f>IF(U184=0,"",V184/U184-1)</f>
        <v>0.0576700510284602</v>
      </c>
      <c r="W185" s="12">
        <f>IF(V184=0,"",W184/V184-1)</f>
        <v>0</v>
      </c>
      <c r="X185" s="40">
        <f>IF(W184=0,"",X184/W184-1)</f>
        <v>-0.0307258054488256</v>
      </c>
      <c r="Y185" s="40">
        <f>IF(X184=0,"",Y184/X184-1)</f>
        <v>-0.00173187940987818</v>
      </c>
      <c r="Z185" s="40">
        <f>IF(Y184=0,"",Z184/Y184-1)</f>
        <v>0.0694596157553171</v>
      </c>
      <c r="AA185" s="40">
        <f>IF(Z184=0,"",AA184/Z184-1)</f>
        <v>0.0737322758952175</v>
      </c>
      <c r="AB185" s="12">
        <f>IF(AA184=0,"",AB184/AA184-1)</f>
        <v>0</v>
      </c>
      <c r="AC185" s="40">
        <f>IF(AB184=0,"",AC184/AB184-1)</f>
        <v>0.0405121088678992</v>
      </c>
      <c r="AD185" s="40">
        <f>IF(AC184=0,"",AD184/AC184-1)</f>
        <v>0.0145306315608329</v>
      </c>
      <c r="AE185" s="40">
        <f>IF(AD184=0,"",AE184/AD184-1)</f>
        <v>-0.0203547234619992</v>
      </c>
      <c r="AF185" s="55">
        <f>IF(AE184=0,"",AF184/AE184-1)</f>
        <v>0.0598764162888092</v>
      </c>
      <c r="AG185" s="12">
        <f>IF(AF184=0,"",AG184/AF184-1)</f>
        <v>0</v>
      </c>
      <c r="AH185" s="55">
        <f>IF(AG184=0,"",AH184/AG184-1)</f>
        <v>0.0564631406983869</v>
      </c>
      <c r="AI185" s="55">
        <f>IF(AH184=0,"",AI184/AH184-1)</f>
        <v>0.0957765535904127</v>
      </c>
      <c r="AJ185" s="55">
        <f>IF(AI184=0,"",AJ184/AI184-1)</f>
        <v>0</v>
      </c>
      <c r="AK185" s="55">
        <f>IF(AJ184=0,"",AK184/AJ184-1)</f>
        <v>0</v>
      </c>
      <c r="AL185" s="12">
        <f>IF(AK184=0,"",AL184/AK184-1)</f>
        <v>0</v>
      </c>
      <c r="AM185" s="55">
        <f>IF(AL184=0,"",AM184/AL184-1)</f>
        <v>0</v>
      </c>
      <c r="AN185" s="55">
        <f>IF(AM184=0,"",AN184/AM184-1)</f>
        <v>0</v>
      </c>
      <c r="AO185" s="55">
        <f>IF(AN184=0,"",AO184/AN184-1)</f>
        <v>0</v>
      </c>
      <c r="AP185" s="55">
        <f>IF(AO184=0,"",AP184/AO184-1)</f>
        <v>0</v>
      </c>
      <c r="AQ185" s="12">
        <f>IF(AP184=0,"",AQ184/AP184-1)</f>
        <v>0</v>
      </c>
      <c r="AR185" s="55">
        <f>IF(AQ184=0,"",AR184/AQ184-1)</f>
        <v>0</v>
      </c>
      <c r="AS185" s="55">
        <f>IF(AR184=0,"",AS184/AR184-1)</f>
        <v>0</v>
      </c>
      <c r="AT185" s="55">
        <f>IF(AS184=0,"",AT184/AS184-1)</f>
        <v>0</v>
      </c>
      <c r="AU185" s="55">
        <f>IF(AT184=0,"",AU184/AT184-1)</f>
        <v>0</v>
      </c>
      <c r="AV185" s="12">
        <f>IF(AU184=0,"",AV184/AU184-1)</f>
        <v>0</v>
      </c>
      <c r="AW185" s="55">
        <f>IF(AV184=0,"",AW184/AV184-1)</f>
        <v>0</v>
      </c>
      <c r="AX185" s="55">
        <f>IF(AW184=0,"",AX184/AW184-1)</f>
        <v>0</v>
      </c>
      <c r="AY185" s="55">
        <f>IF(AX184=0,"",AY184/AX184-1)</f>
        <v>0</v>
      </c>
      <c r="AZ185" s="55">
        <f>IF(AY184=0,"",AZ184/AY184-1)</f>
        <v>0</v>
      </c>
      <c r="BA185" s="12">
        <f>IF(AZ184=0,"",BA184/AZ184-1)</f>
        <v>0</v>
      </c>
      <c r="BB185" s="55">
        <f>IF(BA184=0,"",BB184/BA184-1)</f>
        <v>0</v>
      </c>
      <c r="BC185" s="55">
        <f>IF(BB184=0,"",BC184/BB184-1)</f>
        <v>0</v>
      </c>
      <c r="BD185" s="55">
        <f>IF(BC184=0,"",BD184/BC184-1)</f>
        <v>0</v>
      </c>
      <c r="BE185" s="55">
        <f>IF(BD184=0,"",BE184/BD184-1)</f>
        <v>0</v>
      </c>
      <c r="BF185" s="12">
        <f>IF(BE184=0,"",BF184/BE184-1)</f>
        <v>0</v>
      </c>
      <c r="BG185" s="55" t="n"/>
      <c r="BH185" s="55" t="n"/>
      <c r="BI185" s="55" t="n"/>
      <c r="BJ185" s="55" t="n"/>
      <c r="BK185" s="12" t="n"/>
      <c r="BL185" s="55" t="n"/>
      <c r="BM185" s="55" t="n"/>
      <c r="BN185" s="55" t="n"/>
      <c r="BO185" s="55" t="n"/>
      <c r="BP185" s="12" t="n"/>
      <c r="BQ185" s="55" t="n"/>
      <c r="BR185" s="55" t="n"/>
      <c r="BS185" s="55" t="n"/>
      <c r="BT185" s="55" t="n"/>
      <c r="BU185" s="12" t="n"/>
      <c r="BV185" s="55" t="n"/>
      <c r="BW185" s="55" t="n"/>
      <c r="BX185" s="55" t="n"/>
      <c r="BY185" s="55" t="n"/>
      <c r="BZ185" s="12" t="n"/>
      <c r="CA185" s="55" t="n"/>
      <c r="CB185" s="55" t="n"/>
      <c r="CC185" s="55" t="n"/>
      <c r="CD185" s="55" t="n"/>
      <c r="CE185" s="12" t="n"/>
      <c r="CF185" s="55" t="n"/>
      <c r="CG185" s="55" t="n"/>
      <c r="CH185" s="55" t="n"/>
      <c r="CI185" s="55" t="n"/>
      <c r="CJ185" s="12" t="n"/>
      <c r="CK185" s="55" t="n"/>
      <c r="CL185" s="55" t="n"/>
      <c r="CM185" s="55" t="n"/>
      <c r="CN185" s="55" t="n"/>
      <c r="CO185" s="12" t="n"/>
      <c r="CP185" s="55" t="n"/>
      <c r="CQ185" s="55" t="n"/>
      <c r="CR185" s="55" t="n"/>
      <c r="CS185" s="55" t="n"/>
      <c r="CT185" s="12" t="n"/>
      <c r="CU185" s="55" t="n"/>
      <c r="CV185" s="55" t="n"/>
      <c r="CW185" s="55" t="n"/>
      <c r="CX185" s="55" t="n"/>
      <c r="CY185" s="12" t="n"/>
    </row>
    <row r="186" hidden="1" outlineLevel="1">
      <c r="C186" s="57" t="n"/>
      <c r="D186" s="12" t="n"/>
      <c r="E186" s="40" t="n"/>
      <c r="F186" s="40" t="n"/>
      <c r="G186" s="40" t="n"/>
      <c r="H186" s="12" t="n"/>
      <c r="I186" s="40" t="n"/>
      <c r="J186" s="40" t="n"/>
      <c r="K186" s="40" t="n"/>
      <c r="L186" s="40" t="n"/>
      <c r="M186" s="12" t="n"/>
      <c r="N186" s="40" t="n"/>
      <c r="O186" s="40" t="n"/>
      <c r="P186" s="40" t="n"/>
      <c r="Q186" s="40" t="n"/>
      <c r="R186" s="12" t="n"/>
      <c r="S186" s="40" t="n"/>
      <c r="T186" s="40" t="n"/>
      <c r="U186" s="40" t="n"/>
      <c r="V186" s="40" t="n"/>
      <c r="W186" s="12" t="n"/>
      <c r="X186" s="40" t="n"/>
      <c r="Y186" s="40" t="n"/>
      <c r="Z186" s="40" t="n"/>
      <c r="AA186" s="40" t="n"/>
      <c r="AB186" s="12" t="n"/>
      <c r="AC186" s="40" t="n"/>
      <c r="AD186" s="40" t="n"/>
      <c r="AE186" s="40" t="n"/>
      <c r="AF186" s="55" t="n"/>
      <c r="AG186" s="12" t="n"/>
      <c r="AH186" s="55" t="n"/>
      <c r="AI186" s="55" t="n"/>
      <c r="AJ186" s="55" t="n"/>
      <c r="AK186" s="55" t="n"/>
      <c r="AL186" s="12" t="n"/>
      <c r="AM186" s="55" t="n"/>
      <c r="AN186" s="55" t="n"/>
      <c r="AO186" s="55" t="n"/>
      <c r="AP186" s="55" t="n"/>
      <c r="AQ186" s="12" t="n"/>
      <c r="AR186" s="55" t="n"/>
      <c r="AS186" s="55" t="n"/>
      <c r="AT186" s="55" t="n"/>
      <c r="AU186" s="55" t="n"/>
      <c r="AV186" s="12" t="n"/>
      <c r="AW186" s="55" t="n"/>
      <c r="AX186" s="55" t="n"/>
      <c r="AY186" s="55" t="n"/>
      <c r="AZ186" s="55" t="n"/>
      <c r="BA186" s="12" t="n"/>
      <c r="BB186" s="55" t="n"/>
      <c r="BC186" s="55" t="n"/>
      <c r="BD186" s="55" t="n"/>
      <c r="BE186" s="55" t="n"/>
      <c r="BF186" s="12" t="n"/>
      <c r="BG186" s="55" t="n"/>
      <c r="BH186" s="55" t="n"/>
      <c r="BI186" s="55" t="n"/>
      <c r="BJ186" s="55" t="n"/>
      <c r="BK186" s="12" t="n"/>
      <c r="BL186" s="55" t="n"/>
      <c r="BM186" s="55" t="n"/>
      <c r="BN186" s="55" t="n"/>
      <c r="BO186" s="55" t="n"/>
      <c r="BP186" s="12" t="n"/>
      <c r="BQ186" s="55" t="n"/>
      <c r="BR186" s="55" t="n"/>
      <c r="BS186" s="55" t="n"/>
      <c r="BT186" s="55" t="n"/>
      <c r="BU186" s="12" t="n"/>
      <c r="BV186" s="55" t="n"/>
      <c r="BW186" s="55" t="n"/>
      <c r="BX186" s="55" t="n"/>
      <c r="BY186" s="55" t="n"/>
      <c r="BZ186" s="12" t="n"/>
      <c r="CA186" s="55" t="n"/>
      <c r="CB186" s="55" t="n"/>
      <c r="CC186" s="55" t="n"/>
      <c r="CD186" s="55" t="n"/>
      <c r="CE186" s="12" t="n"/>
      <c r="CF186" s="55" t="n"/>
      <c r="CG186" s="55" t="n"/>
      <c r="CH186" s="55" t="n"/>
      <c r="CI186" s="55" t="n"/>
      <c r="CJ186" s="12" t="n"/>
      <c r="CK186" s="55" t="n"/>
      <c r="CL186" s="55" t="n"/>
      <c r="CM186" s="55" t="n"/>
      <c r="CN186" s="55" t="n"/>
      <c r="CO186" s="12" t="n"/>
      <c r="CP186" s="55" t="n"/>
      <c r="CQ186" s="55" t="n"/>
      <c r="CR186" s="55" t="n"/>
      <c r="CS186" s="55" t="n"/>
      <c r="CT186" s="12" t="n"/>
      <c r="CU186" s="55" t="n"/>
      <c r="CV186" s="55" t="n"/>
      <c r="CW186" s="55" t="n"/>
      <c r="CX186" s="55" t="n"/>
      <c r="CY186" s="12" t="n"/>
    </row>
    <row r="187" hidden="1" outlineLevel="1">
      <c r="C187" s="60" t="inlineStr">
        <is>
          <t>Outros Créditos - LP</t>
        </is>
      </c>
      <c r="D187" s="11" t="n"/>
      <c r="E187" s="11" t="n"/>
      <c r="F187" s="11" t="n"/>
      <c r="G187" s="11" t="n"/>
      <c r="H187" s="12" t="n"/>
      <c r="I187" s="11" t="n"/>
      <c r="J187" s="11" t="n"/>
      <c r="K187" s="11" t="n"/>
      <c r="L187" s="11" t="n"/>
      <c r="M187" s="12" t="n"/>
      <c r="N187" s="11" t="n"/>
      <c r="O187" s="11" t="n"/>
      <c r="P187" s="11" t="n"/>
      <c r="Q187" s="11" t="n"/>
      <c r="R187" s="12" t="n"/>
      <c r="S187" s="11" t="n"/>
      <c r="T187" s="11" t="n"/>
      <c r="U187" s="11" t="n"/>
      <c r="V187" s="11" t="n"/>
      <c r="W187" s="12" t="n"/>
      <c r="X187" s="11" t="n"/>
      <c r="Y187" s="11" t="n"/>
      <c r="Z187" s="11" t="n"/>
      <c r="AA187" s="11" t="n"/>
      <c r="AB187" s="12" t="n"/>
      <c r="AC187" s="11" t="n"/>
      <c r="AD187" s="11" t="n"/>
      <c r="AE187" s="11" t="n"/>
      <c r="AF187" s="11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60" t="inlineStr">
        <is>
          <t xml:space="preserve">Impostos e Contribuições a Recuperar </t>
        </is>
      </c>
      <c r="D188" s="11" t="n"/>
      <c r="E188" s="11" t="n"/>
      <c r="F188" s="11" t="n"/>
      <c r="G188" s="11" t="n"/>
      <c r="H188" s="12" t="n"/>
      <c r="I188" s="11" t="n"/>
      <c r="J188" s="11" t="n"/>
      <c r="K188" s="11" t="n"/>
      <c r="L188" s="11" t="n"/>
      <c r="M188" s="12" t="n"/>
      <c r="N188" s="11" t="n"/>
      <c r="O188" s="11" t="n"/>
      <c r="P188" s="11" t="n"/>
      <c r="Q188" s="11" t="n"/>
      <c r="R188" s="12" t="n"/>
      <c r="S188" s="11" t="n"/>
      <c r="T188" s="11" t="n"/>
      <c r="U188" s="11" t="n"/>
      <c r="V188" s="11" t="n"/>
      <c r="W188" s="12" t="n"/>
      <c r="X188" s="11" t="n"/>
      <c r="Y188" s="11" t="n"/>
      <c r="Z188" s="11" t="n"/>
      <c r="AA188" s="11" t="n"/>
      <c r="AB188" s="12" t="n"/>
      <c r="AC188" s="11" t="n"/>
      <c r="AD188" s="11" t="n"/>
      <c r="AE188" s="11" t="n"/>
      <c r="AF188" s="11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60" t="inlineStr">
        <is>
          <t xml:space="preserve">Imposto de Renda e Contribuição Social Diferidos </t>
        </is>
      </c>
      <c r="D189" s="11" t="n"/>
      <c r="E189" s="11" t="n"/>
      <c r="F189" s="11" t="n"/>
      <c r="G189" s="11" t="n"/>
      <c r="H189" s="12" t="n"/>
      <c r="I189" s="11" t="n"/>
      <c r="J189" s="11" t="n"/>
      <c r="K189" s="11" t="n"/>
      <c r="L189" s="11" t="n"/>
      <c r="M189" s="12" t="n"/>
      <c r="N189" s="11" t="n"/>
      <c r="O189" s="11" t="n"/>
      <c r="P189" s="11" t="n"/>
      <c r="Q189" s="11" t="n"/>
      <c r="R189" s="12" t="n"/>
      <c r="S189" s="11" t="n"/>
      <c r="T189" s="11" t="n"/>
      <c r="U189" s="11" t="n"/>
      <c r="V189" s="11" t="n"/>
      <c r="W189" s="12" t="n"/>
      <c r="X189" s="11" t="n"/>
      <c r="Y189" s="11" t="n"/>
      <c r="Z189" s="11" t="n"/>
      <c r="AA189" s="11" t="n"/>
      <c r="AB189" s="12" t="n"/>
      <c r="AC189" s="11" t="n"/>
      <c r="AD189" s="11" t="n"/>
      <c r="AE189" s="11" t="n"/>
      <c r="AF189" s="11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60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7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collapsed="1" customFormat="1" s="32">
      <c r="A192" s="30" t="n"/>
      <c r="B192" s="3" t="n"/>
      <c r="C192" s="33" t="inlineStr">
        <is>
          <t>Total Assets</t>
        </is>
      </c>
      <c r="D192" s="35" t="n"/>
      <c r="E192" s="35" t="n"/>
      <c r="F192" s="35" t="n"/>
      <c r="G192" s="35" t="n"/>
      <c r="H192" s="35" t="n"/>
      <c r="I192" s="35">
        <f>SUM(I139,I140,I144,I148,I149,I150,I156,I161,I171,I174,I175,I184)</f>
        <v>46838.3</v>
      </c>
      <c r="J192" s="35">
        <f>SUM(J139,J140,J144,J148,J149,J150,J156,J161,J171,J174,J175,J184)</f>
        <v>47809</v>
      </c>
      <c r="K192" s="35">
        <f>SUM(K139,K140,K144,K148,K149,K150,K156,K161,K171,K174,K175,K184)</f>
        <v>48187</v>
      </c>
      <c r="L192" s="35">
        <f>SUM(L139,L140,L144,L148,L149,L150,L156,L161,L171,L174,L175,L184)</f>
        <v>48806</v>
      </c>
      <c r="M192" s="35">
        <f>SUM(M139,M140,M144,M148,M149,M150,M156,M161,M171,M174,M175,M184)</f>
        <v>48806</v>
      </c>
      <c r="N192" s="35">
        <f>SUM(N139,N140,N144,N148,N149,N150,N156,N161,N171,N174,N175,N184)</f>
        <v>46919.3</v>
      </c>
      <c r="O192" s="35">
        <f>SUM(O139,O140,O144,O148,O149,O150,O156,O161,O171,O174,O175,O184)</f>
        <v>47063.6</v>
      </c>
      <c r="P192" s="35">
        <f>SUM(P139,P140,P144,P148,P149,P150,P156,P161,P171,P174,P175,P184)</f>
        <v>47461.5</v>
      </c>
      <c r="Q192" s="35">
        <f>SUM(Q139,Q140,Q144,Q148,Q149,Q150,Q156,Q161,Q171,Q174,Q175,Q184)</f>
        <v>49489.8</v>
      </c>
      <c r="R192" s="35">
        <f>SUM(R139,R140,R144,R148,R149,R150,R156,R161,R171,R174,R175,R184)</f>
        <v>49489.8</v>
      </c>
      <c r="S192" s="35">
        <f>SUM(S139,S140,S144,S148,S149,S150,S156,S161,S171,S174,S175,S184)</f>
        <v>53163</v>
      </c>
      <c r="T192" s="35">
        <f>SUM(T139,T140,T144,T148,T149,T150,T156,T161,T171,T174,T175,T184)</f>
        <v>54814</v>
      </c>
      <c r="U192" s="35">
        <f>SUM(U139,U140,U144,U148,U149,U150,U156,U161,U171,U174,U175,U184)</f>
        <v>57915.5</v>
      </c>
      <c r="V192" s="35">
        <f>SUM(V139,V140,V144,V148,V149,V150,V156,V161,V171,V174,V175,V184)</f>
        <v>64006.3</v>
      </c>
      <c r="W192" s="35">
        <f>SUM(W139,W140,W144,W148,W149,W150,W156,W161,W171,W174,W175,W184)</f>
        <v>64006.3</v>
      </c>
      <c r="X192" s="35">
        <f>SUM(X139,X140,X144,X148,X149,X150,X156,X161,X171,X174,X175,X184)</f>
        <v>63943.5</v>
      </c>
      <c r="Y192" s="35">
        <f>SUM(Y139,Y140,Y144,Y148,Y149,Y150,Y156,Y161,Y171,Y174,Y175,Y184)</f>
        <v>71874.8</v>
      </c>
      <c r="Z192" s="35">
        <f>SUM(Z139,Z140,Z144,Z148,Z149,Z150,Z156,Z161,Z171,Z174,Z175,Z184)</f>
        <v>75606.9</v>
      </c>
      <c r="AA192" s="35">
        <f>SUM(AA139,AA140,AA144,AA148,AA149,AA150,AA156,AA161,AA171,AA174,AA175,AA184)</f>
        <v>78714.9</v>
      </c>
      <c r="AB192" s="35">
        <f>SUM(AB139,AB140,AB144,AB148,AB149,AB150,AB156,AB161,AB171,AB174,AB175,AB184)</f>
        <v>78714.9</v>
      </c>
      <c r="AC192" s="35">
        <f>SUM(AC139,AC140,AC144,AC148,AC149,AC150,AC156,AC161,AC171,AC174,AC175,AC184)</f>
        <v>89388.8</v>
      </c>
      <c r="AD192" s="35">
        <f>SUM(AD139,AD140,AD144,AD148,AD149,AD150,AD156,AD161,AD171,AD174,AD175,AD184)</f>
        <v>100922.6</v>
      </c>
      <c r="AE192" s="35">
        <f>SUM(AE139,AE140,AE144,AE148,AE149,AE150,AE156,AE161,AE171,AE174,AE175,AE184)</f>
        <v>114935.4</v>
      </c>
      <c r="AF192" s="35">
        <f>SUM(AF139,AF140,AF144,AF148,AF149,AF150,AF156,AF161,AF171,AF174,AF175,AF184)</f>
        <v>112476</v>
      </c>
      <c r="AG192" s="35">
        <f>SUM(AG139,AG140,AG144,AG148,AG149,AG150,AG156,AG161,AG171,AG174,AG175,AG184)</f>
        <v>112476</v>
      </c>
      <c r="AH192" s="35">
        <f>SUM(AH139,AH140,AH144,AH148,AH149,AH150,AH156,AH161,AH171,AH174,AH175,AH184)</f>
        <v>116576</v>
      </c>
      <c r="AI192" s="35">
        <f>SUM(AI139,AI140,AI144,AI148,AI149,AI150,AI156,AI161,AI171,AI174,AI175,AI184)</f>
        <v>142283</v>
      </c>
      <c r="AJ192" s="35">
        <f>SUM(AJ139,AJ140,AJ144,AJ148,AJ149,AJ150,AJ156,AJ161,AJ171,AJ174,AJ175,AJ184)</f>
        <v>152380.121737208</v>
      </c>
      <c r="AK192" s="35">
        <f>SUM(AK139,AK140,AK144,AK148,AK149,AK150,AK156,AK161,AK171,AK174,AK175,AK184)</f>
        <v>163701.270758588</v>
      </c>
      <c r="AL192" s="35">
        <f>SUM(AL139,AL140,AL144,AL148,AL149,AL150,AL156,AL161,AL171,AL174,AL175,AL184)</f>
        <v>163701.270758588</v>
      </c>
      <c r="AM192" s="35">
        <f>SUM(AM139,AM140,AM144,AM148,AM149,AM150,AM156,AM161,AM171,AM174,AM175,AM184)</f>
        <v>175570.244104444</v>
      </c>
      <c r="AN192" s="35">
        <f>SUM(AN139,AN140,AN144,AN148,AN149,AN150,AN156,AN161,AN171,AN174,AN175,AN184)</f>
        <v>190636.513154474</v>
      </c>
      <c r="AO192" s="35">
        <f>SUM(AO139,AO140,AO144,AO148,AO149,AO150,AO156,AO161,AO171,AO174,AO175,AO184)</f>
        <v>208267.771824348</v>
      </c>
      <c r="AP192" s="35">
        <f>SUM(AP139,AP140,AP144,AP148,AP149,AP150,AP156,AP161,AP171,AP174,AP175,AP184)</f>
        <v>228912.487574145</v>
      </c>
      <c r="AQ192" s="35">
        <f>SUM(AQ139,AQ140,AQ144,AQ148,AQ149,AQ150,AQ156,AQ161,AQ171,AQ174,AQ175,AQ184)</f>
        <v>228912.487574145</v>
      </c>
      <c r="AR192" s="35">
        <f>SUM(AR139,AR140,AR144,AR148,AR149,AR150,AR156,AR161,AR171,AR174,AR175,AR184)</f>
        <v>251939.650753121</v>
      </c>
      <c r="AS192" s="35">
        <f>SUM(AS139,AS140,AS144,AS148,AS149,AS150,AS156,AS161,AS171,AS174,AS175,AS184)</f>
        <v>282625.299264756</v>
      </c>
      <c r="AT192" s="35">
        <f>SUM(AT139,AT140,AT144,AT148,AT149,AT150,AT156,AT161,AT171,AT174,AT175,AT184)</f>
        <v>320873.792789427</v>
      </c>
      <c r="AU192" s="35">
        <f>SUM(AU139,AU140,AU144,AU148,AU149,AU150,AU156,AU161,AU171,AU174,AU175,AU184)</f>
        <v>369288.143350434</v>
      </c>
      <c r="AV192" s="35">
        <f>SUM(AV139,AV140,AV144,AV148,AV149,AV150,AV156,AV161,AV171,AV174,AV175,AV184)</f>
        <v>369288.143350434</v>
      </c>
      <c r="AW192" s="35">
        <f>SUM(AW139,AW140,AW144,AW148,AW149,AW150,AW156,AW161,AW171,AW174,AW175,AW184)</f>
        <v>429376.423580652</v>
      </c>
      <c r="AX192" s="35">
        <f>SUM(AX139,AX140,AX144,AX148,AX149,AX150,AX156,AX161,AX171,AX174,AX175,AX184)</f>
        <v>512406.968748869</v>
      </c>
      <c r="AY192" s="35">
        <f>SUM(AY139,AY140,AY144,AY148,AY149,AY150,AY156,AY161,AY171,AY174,AY175,AY184)</f>
        <v>624265.355860091</v>
      </c>
      <c r="AZ192" s="35">
        <f>SUM(AZ139,AZ140,AZ144,AZ148,AZ149,AZ150,AZ156,AZ161,AZ171,AZ174,AZ175,AZ184)</f>
        <v>776636.865344738</v>
      </c>
      <c r="BA192" s="35">
        <f>SUM(BA139,BA140,BA144,BA148,BA149,BA150,BA156,BA161,BA171,BA174,BA175,BA184)</f>
        <v>776636.865344738</v>
      </c>
      <c r="BB192" s="35">
        <f>SUM(BB139,BB140,BB144,BB148,BB149,BB150,BB156,BB161,BB171,BB174,BB175,BB184)</f>
        <v>982001.385629368</v>
      </c>
      <c r="BC192" s="35">
        <f>SUM(BC139,BC140,BC144,BC148,BC149,BC150,BC156,BC161,BC171,BC174,BC175,BC184)</f>
        <v>1274328.43200988</v>
      </c>
      <c r="BD192" s="35">
        <f>SUM(BD139,BD140,BD144,BD148,BD149,BD150,BD156,BD161,BD171,BD174,BD175,BD184)</f>
        <v>1686352.14996861</v>
      </c>
      <c r="BE192" s="35">
        <f>SUM(BE139,BE140,BE144,BE148,BE149,BE150,BE156,BE161,BE171,BE174,BE175,BE184)</f>
        <v>2270320.07689495</v>
      </c>
      <c r="BF192" s="35">
        <f>SUM(BF139,BF140,BF144,BF148,BF149,BF150,BF156,BF161,BF171,BF174,BF175,BF184)</f>
        <v>2270320.07689495</v>
      </c>
      <c r="BG192" s="35" t="n"/>
      <c r="BH192" s="35" t="n"/>
      <c r="BI192" s="35" t="n"/>
      <c r="BJ192" s="35" t="n"/>
      <c r="BK192" s="35" t="n"/>
      <c r="BL192" s="35" t="n"/>
      <c r="BM192" s="35" t="n"/>
      <c r="BN192" s="35" t="n"/>
      <c r="BO192" s="35" t="n"/>
      <c r="BP192" s="35" t="n"/>
      <c r="BQ192" s="35" t="n"/>
      <c r="BR192" s="35" t="n"/>
      <c r="BS192" s="35" t="n"/>
      <c r="BT192" s="35" t="n"/>
      <c r="BU192" s="35" t="n"/>
      <c r="BV192" s="35" t="n"/>
      <c r="BW192" s="35" t="n"/>
      <c r="BX192" s="35" t="n"/>
      <c r="BY192" s="35" t="n"/>
      <c r="BZ192" s="35" t="n"/>
      <c r="CA192" s="35" t="n"/>
      <c r="CB192" s="35" t="n"/>
      <c r="CC192" s="35" t="n"/>
      <c r="CD192" s="35" t="n"/>
      <c r="CE192" s="35" t="n"/>
      <c r="CF192" s="35" t="n"/>
      <c r="CG192" s="35" t="n"/>
      <c r="CH192" s="35" t="n"/>
      <c r="CI192" s="35" t="n"/>
      <c r="CJ192" s="35" t="n"/>
      <c r="CK192" s="35" t="n"/>
      <c r="CL192" s="35" t="n"/>
      <c r="CM192" s="35" t="n"/>
      <c r="CN192" s="35" t="n"/>
      <c r="CO192" s="35" t="n"/>
      <c r="CP192" s="35" t="n"/>
      <c r="CQ192" s="35" t="n"/>
      <c r="CR192" s="35" t="n"/>
      <c r="CS192" s="35" t="n"/>
      <c r="CT192" s="35" t="n"/>
      <c r="CU192" s="35" t="n"/>
      <c r="CV192" s="35" t="n"/>
      <c r="CW192" s="35" t="n"/>
      <c r="CX192" s="35" t="n"/>
      <c r="CY192" s="35" t="n"/>
    </row>
    <row r="193">
      <c r="C193" s="14" t="inlineStr">
        <is>
          <t>Accounts payable</t>
        </is>
      </c>
      <c r="D193" s="46" t="n"/>
      <c r="E193" s="46" t="n"/>
      <c r="F193" s="46" t="n"/>
      <c r="G193" s="46" t="n"/>
      <c r="H193" s="12" t="n"/>
      <c r="I193" s="46">
        <f>'Inputs (2)'!D28</f>
        <v>1639.6</v>
      </c>
      <c r="J193" s="46">
        <f>'Inputs (2)'!E28</f>
        <v>1597.8</v>
      </c>
      <c r="K193" s="46">
        <f>'Inputs (2)'!F28</f>
        <v>1566.8</v>
      </c>
      <c r="L193" s="46">
        <f>'Inputs (2)'!G28</f>
        <v>1670.6</v>
      </c>
      <c r="M193" s="12">
        <f>'Inputs (2)'!H28</f>
        <v>1670.6</v>
      </c>
      <c r="N193" s="46">
        <f>'Inputs (2)'!I28</f>
        <v>1433.3</v>
      </c>
      <c r="O193" s="46">
        <f>'Inputs (2)'!J28</f>
        <v>1659.3</v>
      </c>
      <c r="P193" s="46">
        <f>'Inputs (2)'!K28</f>
        <v>1683.2</v>
      </c>
      <c r="Q193" s="46">
        <f>'Inputs (2)'!L28</f>
        <v>1930.6</v>
      </c>
      <c r="R193" s="12">
        <f>'Inputs (2)'!M28</f>
        <v>1930.6</v>
      </c>
      <c r="S193" s="46">
        <f>'Inputs (2)'!N28</f>
        <v>2015.9</v>
      </c>
      <c r="T193" s="46">
        <f>'Inputs (2)'!O28</f>
        <v>2474.2</v>
      </c>
      <c r="U193" s="46">
        <f>'Inputs (2)'!P28</f>
        <v>2435.1</v>
      </c>
      <c r="V193" s="46">
        <f>'Inputs (2)'!Q28</f>
        <v>2598.8</v>
      </c>
      <c r="W193" s="12">
        <f>'Inputs (2)'!R28</f>
        <v>2598.8</v>
      </c>
      <c r="X193" s="46">
        <f>'Inputs (2)'!S28</f>
        <v>2473.7</v>
      </c>
      <c r="Y193" s="46">
        <f>'Inputs (2)'!T28</f>
        <v>2924.8</v>
      </c>
      <c r="Z193" s="46">
        <f>'Inputs (2)'!U28</f>
        <v>2886.5</v>
      </c>
      <c r="AA193" s="46">
        <f>'Inputs (2)'!V28</f>
        <v>3228.6</v>
      </c>
      <c r="AB193" s="12">
        <f>'Inputs (2)'!W28</f>
        <v>3228.6</v>
      </c>
      <c r="AC193" s="46">
        <f>'Inputs (2)'!X28</f>
        <v>3442</v>
      </c>
      <c r="AD193" s="46">
        <f>'Inputs (2)'!Y28</f>
        <v>4075.7</v>
      </c>
      <c r="AE193" s="46">
        <f>'Inputs (2)'!Z28</f>
        <v>4262.2</v>
      </c>
      <c r="AF193" s="46">
        <f>'Inputs (2)'!AA28</f>
        <v>5379</v>
      </c>
      <c r="AG193" s="12">
        <f>'Inputs (2)'!AB28</f>
        <v>5379</v>
      </c>
      <c r="AH193" s="12">
        <f>'Inputs (2)'!AC28</f>
        <v>5029</v>
      </c>
      <c r="AI193" s="12">
        <f>'Inputs (2)'!AD28</f>
        <v>6112</v>
      </c>
      <c r="AJ193" s="12">
        <f>(AJ194/(AJ$5-AI$5))*-AJ$49</f>
        <v>6762.58165710175</v>
      </c>
      <c r="AK193" s="12">
        <f>(AK194/(AK$5-AJ$5))*-AK$49</f>
        <v>7412.37474028493</v>
      </c>
      <c r="AL193" s="12">
        <f>AK193</f>
        <v>7412.37474028493</v>
      </c>
      <c r="AM193" s="12">
        <f>(AM194/(AM$5-AL$5))*-AM$49</f>
        <v>7776.22266479308</v>
      </c>
      <c r="AN193" s="12">
        <f>(AN194/(AN$5-AM$5))*-AN$49</f>
        <v>8924.07406250735</v>
      </c>
      <c r="AO193" s="12">
        <f>(AO194/(AO$5-AN$5))*-AO$49</f>
        <v>9946.1210551193</v>
      </c>
      <c r="AP193" s="12">
        <f>(AP194/(AP$5-AO$5))*-AP$49</f>
        <v>10901.8094288533</v>
      </c>
      <c r="AQ193" s="12">
        <f>AP193</f>
        <v>10901.8094288533</v>
      </c>
      <c r="AR193" s="12">
        <f>(AR194/(AR$5-AQ$5))*-AR$49</f>
        <v>11272.807147579</v>
      </c>
      <c r="AS193" s="12">
        <f>(AS194/(AS$5-AR$5))*-AS$49</f>
        <v>13080.5329263337</v>
      </c>
      <c r="AT193" s="12">
        <f>(AT194/(AT$5-AS$5))*-AT$49</f>
        <v>14578.6064794531</v>
      </c>
      <c r="AU193" s="12">
        <f>(AU194/(AU$5-AT$5))*-AU$49</f>
        <v>15979.414356257</v>
      </c>
      <c r="AV193" s="12">
        <f>AU193</f>
        <v>15979.414356257</v>
      </c>
      <c r="AW193" s="12">
        <f>(AW194/(AW$5-AV$5))*-AW$49</f>
        <v>16649.8081181262</v>
      </c>
      <c r="AX193" s="12">
        <f>(AX194/(AX$5-AW$5))*-AX$49</f>
        <v>19107.4930821375</v>
      </c>
      <c r="AY193" s="12">
        <f>(AY194/(AY$5-AX$5))*-AY$49</f>
        <v>21295.8160055204</v>
      </c>
      <c r="AZ193" s="12">
        <f>(AZ194/(AZ$5-AY$5))*-AZ$49</f>
        <v>23342.057314355</v>
      </c>
      <c r="BA193" s="12">
        <f>AZ193</f>
        <v>23342.057314355</v>
      </c>
      <c r="BB193" s="12">
        <f>(BB194/(BB$5-BA$5))*-BB$49</f>
        <v>24238.0913228086</v>
      </c>
      <c r="BC193" s="12">
        <f>(BC194/(BC$5-BB$5))*-BC$49</f>
        <v>27815.8858642092</v>
      </c>
      <c r="BD193" s="12">
        <f>(BD194/(BD$5-BC$5))*-BD$49</f>
        <v>31001.5544607744</v>
      </c>
      <c r="BE193" s="12">
        <f>(BE194/(BE$5-BD$5))*-BE$49</f>
        <v>33980.3866106802</v>
      </c>
      <c r="BF193" s="12">
        <f>BE193</f>
        <v>33980.3866106802</v>
      </c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hidden="1" outlineLevel="1">
      <c r="C194" s="57" t="inlineStr">
        <is>
          <t>DPO</t>
        </is>
      </c>
      <c r="D194" s="12" t="n"/>
      <c r="E194" s="12" t="n"/>
      <c r="F194" s="12" t="n"/>
      <c r="G194" s="12" t="n"/>
      <c r="H194" s="12" t="n"/>
      <c r="I194" s="12">
        <f>IFERROR(-(I193/I$49)*(I$5-H$5),"")</f>
        <v>78.5499840306611</v>
      </c>
      <c r="J194" s="12">
        <f>IFERROR(-(J193/J$49)*(J$5-I$5),"")</f>
        <v>74.4418390333811</v>
      </c>
      <c r="K194" s="12">
        <f>IFERROR(-(K193/K$49)*(K$5-J$5),"")</f>
        <v>100.744758177244</v>
      </c>
      <c r="L194" s="12">
        <f>IFERROR(-(L193/L$49)*(L$5-K$5),"")</f>
        <v>74.9659545410204</v>
      </c>
      <c r="M194" s="12" t="n"/>
      <c r="N194" s="12">
        <f>IFERROR(-(N193/N$49)*(N$5-M$5),"")</f>
        <v>62.2542348342262</v>
      </c>
      <c r="O194" s="12">
        <f>IFERROR(-(O193/O$49)*(O$5-N$5),"")</f>
        <v>105.554910870325</v>
      </c>
      <c r="P194" s="12">
        <f>IFERROR(-(P193/P$49)*(P$5-O$5),"")</f>
        <v>98.0649737192072</v>
      </c>
      <c r="Q194" s="12">
        <f>IFERROR(-(Q193/Q$49)*(Q$5-P$5),"")</f>
        <v>114.731089722886</v>
      </c>
      <c r="R194" s="12" t="n"/>
      <c r="S194" s="12">
        <f>IFERROR(-(S193/S$49)*(S$5-R$5),"")</f>
        <v>111.53316530399</v>
      </c>
      <c r="T194" s="12">
        <f>IFERROR(-(T193/T$49)*(T$5-S$5),"")</f>
        <v>124.57242447715</v>
      </c>
      <c r="U194" s="12">
        <f>IFERROR(-(U193/U$49)*(U$5-T$5),"")</f>
        <v>120.439331218752</v>
      </c>
      <c r="V194" s="12">
        <f>IFERROR(-(V193/V$49)*(V$5-U$5),"")</f>
        <v>133.719015659955</v>
      </c>
      <c r="W194" s="12" t="n"/>
      <c r="X194" s="12">
        <f>IFERROR(-(X193/X$49)*(X$5-W$5),"")</f>
        <v>134.512518673439</v>
      </c>
      <c r="Y194" s="12">
        <f>IFERROR(-(Y193/Y$49)*(Y$5-X$5),"")</f>
        <v>122.641599852548</v>
      </c>
      <c r="Z194" s="12">
        <f>IFERROR(-(Z193/Z$49)*(Z$5-Y$5),"")</f>
        <v>122.331859222406</v>
      </c>
      <c r="AA194" s="12">
        <f>IFERROR(-(AA193/AA$49)*(AA$5-Z$5),"")</f>
        <v>123.567351693153</v>
      </c>
      <c r="AB194" s="12" t="n"/>
      <c r="AC194" s="12">
        <f>IFERROR(-(AC193/AC$49)*(AC$5-AB$5),"")</f>
        <v>139.226966292135</v>
      </c>
      <c r="AD194" s="12">
        <f>IFERROR(-(AD193/AD$49)*(AD$5-AC$5),"")</f>
        <v>151.506821895425</v>
      </c>
      <c r="AE194" s="12">
        <f>IFERROR(-(AE193/AE$49)*(AE$5-AD$5),"")</f>
        <v>130.346840408204</v>
      </c>
      <c r="AF194" s="11">
        <f>IFERROR(-(AF193/AF$49)*(AF$5-AE$5),"")</f>
        <v>146.771065041374</v>
      </c>
      <c r="AG194" s="12" t="n"/>
      <c r="AH194" s="11">
        <f>IFERROR(-(AH193/AH$49)*(AH$5-AG$5),"")</f>
        <v>126.533407883701</v>
      </c>
      <c r="AI194" s="11">
        <f>IFERROR(-(AI193/AI$49)*(AI$5-AH$5),"")</f>
        <v>170.193390452876</v>
      </c>
      <c r="AJ194" s="11">
        <f>Control!$B$27</f>
        <v>144.096415328953</v>
      </c>
      <c r="AK194" s="11">
        <f>Control!$B$27</f>
        <v>144.096415328953</v>
      </c>
      <c r="AL194" s="12" t="n"/>
      <c r="AM194" s="11">
        <f>Control!$C$27</f>
        <v>144.096415328953</v>
      </c>
      <c r="AN194" s="11">
        <f>Control!$C$27</f>
        <v>144.096415328953</v>
      </c>
      <c r="AO194" s="11">
        <f>Control!$C$27</f>
        <v>144.096415328953</v>
      </c>
      <c r="AP194" s="11">
        <f>Control!$C$27</f>
        <v>144.096415328953</v>
      </c>
      <c r="AQ194" s="12" t="n"/>
      <c r="AR194" s="11">
        <f>Control!$D$27</f>
        <v>144.096415328953</v>
      </c>
      <c r="AS194" s="11">
        <f>Control!$D$27</f>
        <v>144.096415328953</v>
      </c>
      <c r="AT194" s="11">
        <f>Control!$D$27</f>
        <v>144.096415328953</v>
      </c>
      <c r="AU194" s="11">
        <f>Control!$D$27</f>
        <v>144.096415328953</v>
      </c>
      <c r="AV194" s="12" t="n"/>
      <c r="AW194" s="11">
        <f>Control!$E$27</f>
        <v>144.096415328953</v>
      </c>
      <c r="AX194" s="11">
        <f>Control!$E$27</f>
        <v>144.096415328953</v>
      </c>
      <c r="AY194" s="11">
        <f>Control!$E$27</f>
        <v>144.096415328953</v>
      </c>
      <c r="AZ194" s="11">
        <f>Control!$E$27</f>
        <v>144.096415328953</v>
      </c>
      <c r="BA194" s="12" t="n"/>
      <c r="BB194" s="11">
        <f>Control!$F$27</f>
        <v>144.096415328953</v>
      </c>
      <c r="BC194" s="11">
        <f>Control!$F$27</f>
        <v>144.096415328953</v>
      </c>
      <c r="BD194" s="11">
        <f>Control!$F$27</f>
        <v>144.096415328953</v>
      </c>
      <c r="BE194" s="11">
        <f>Control!$F$27</f>
        <v>144.096415328953</v>
      </c>
      <c r="BF194" s="12" t="n"/>
      <c r="BG194" s="11" t="n"/>
      <c r="BH194" s="11" t="n"/>
      <c r="BI194" s="11" t="n"/>
      <c r="BJ194" s="11" t="n"/>
      <c r="BK194" s="12" t="n"/>
      <c r="BL194" s="11" t="n"/>
      <c r="BM194" s="11" t="n"/>
      <c r="BN194" s="11" t="n"/>
      <c r="BO194" s="11" t="n"/>
      <c r="BP194" s="12" t="n"/>
      <c r="BQ194" s="11" t="n"/>
      <c r="BR194" s="11" t="n"/>
      <c r="BS194" s="11" t="n"/>
      <c r="BT194" s="11" t="n"/>
      <c r="BU194" s="12" t="n"/>
      <c r="BV194" s="11" t="n"/>
      <c r="BW194" s="11" t="n"/>
      <c r="BX194" s="11" t="n"/>
      <c r="BY194" s="11" t="n"/>
      <c r="BZ194" s="12" t="n"/>
      <c r="CA194" s="11" t="n"/>
      <c r="CB194" s="11" t="n"/>
      <c r="CC194" s="11" t="n"/>
      <c r="CD194" s="11" t="n"/>
      <c r="CE194" s="12" t="n"/>
      <c r="CF194" s="11" t="n"/>
      <c r="CG194" s="11" t="n"/>
      <c r="CH194" s="11" t="n"/>
      <c r="CI194" s="11" t="n"/>
      <c r="CJ194" s="12" t="n"/>
      <c r="CK194" s="11" t="n"/>
      <c r="CL194" s="11" t="n"/>
      <c r="CM194" s="11" t="n"/>
      <c r="CN194" s="11" t="n"/>
      <c r="CO194" s="12" t="n"/>
      <c r="CP194" s="11" t="n"/>
      <c r="CQ194" s="11" t="n"/>
      <c r="CR194" s="11" t="n"/>
      <c r="CS194" s="11" t="n"/>
      <c r="CT194" s="12" t="n"/>
      <c r="CU194" s="11" t="n"/>
      <c r="CV194" s="11" t="n"/>
      <c r="CW194" s="11" t="n"/>
      <c r="CX194" s="11" t="n"/>
      <c r="CY194" s="12" t="n"/>
    </row>
    <row r="195" hidden="1" outlineLevel="1">
      <c r="C195" s="57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hidden="1" outlineLevel="1">
      <c r="C196" s="57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collapsed="1">
      <c r="C197" s="14" t="inlineStr">
        <is>
          <t>Accrued expenses</t>
        </is>
      </c>
      <c r="D197" s="46" t="n"/>
      <c r="E197" s="46" t="n"/>
      <c r="F197" s="46" t="n"/>
      <c r="G197" s="46" t="n"/>
      <c r="H197" s="12" t="n"/>
      <c r="I197" s="46">
        <f>'Inputs (2)'!D29</f>
        <v>649.9</v>
      </c>
      <c r="J197" s="46">
        <f>'Inputs (2)'!E29</f>
        <v>755.5</v>
      </c>
      <c r="K197" s="46">
        <f>'Inputs (2)'!F29</f>
        <v>836.6</v>
      </c>
      <c r="L197" s="46">
        <f>'Inputs (2)'!G29</f>
        <v>958.1</v>
      </c>
      <c r="M197" s="12">
        <f>'Inputs (2)'!H29</f>
        <v>958.1</v>
      </c>
      <c r="N197" s="46">
        <f>'Inputs (2)'!I29</f>
        <v>693.1</v>
      </c>
      <c r="O197" s="46">
        <f>'Inputs (2)'!J29</f>
        <v>835.8</v>
      </c>
      <c r="P197" s="46">
        <f>'Inputs (2)'!K29</f>
        <v>984.1</v>
      </c>
      <c r="Q197" s="46">
        <f>'Inputs (2)'!L29</f>
        <v>1059.8</v>
      </c>
      <c r="R197" s="12">
        <f>'Inputs (2)'!M29</f>
        <v>1059.8</v>
      </c>
      <c r="S197" s="46">
        <f>'Inputs (2)'!N29</f>
        <v>739.7</v>
      </c>
      <c r="T197" s="46">
        <f>'Inputs (2)'!O29</f>
        <v>867.7</v>
      </c>
      <c r="U197" s="46">
        <f>'Inputs (2)'!P29</f>
        <v>1233.2</v>
      </c>
      <c r="V197" s="46">
        <f>'Inputs (2)'!Q29</f>
        <v>1650.4</v>
      </c>
      <c r="W197" s="12">
        <f>'Inputs (2)'!R29</f>
        <v>1650.4</v>
      </c>
      <c r="X197" s="46">
        <f>'Inputs (2)'!S29</f>
        <v>844.2</v>
      </c>
      <c r="Y197" s="46">
        <f>'Inputs (2)'!T29</f>
        <v>1168.3</v>
      </c>
      <c r="Z197" s="46">
        <f>'Inputs (2)'!U29</f>
        <v>1703.3</v>
      </c>
      <c r="AA197" s="46">
        <f>'Inputs (2)'!V29</f>
        <v>2093.9</v>
      </c>
      <c r="AB197" s="12">
        <f>'Inputs (2)'!W29</f>
        <v>2093.9</v>
      </c>
      <c r="AC197" s="46">
        <f>'Inputs (2)'!X29</f>
        <v>1113.9</v>
      </c>
      <c r="AD197" s="46">
        <f>'Inputs (2)'!Y29</f>
        <v>1303</v>
      </c>
      <c r="AE197" s="46">
        <f>'Inputs (2)'!Z29</f>
        <v>1965.7</v>
      </c>
      <c r="AF197" s="46">
        <f>'Inputs (2)'!AA29</f>
        <v>2375</v>
      </c>
      <c r="AG197" s="12">
        <f>'Inputs (2)'!AB29</f>
        <v>2375</v>
      </c>
      <c r="AH197" s="12">
        <f>'Inputs (2)'!AC29</f>
        <v>1359</v>
      </c>
      <c r="AI197" s="12">
        <f>'Inputs (2)'!AD29</f>
        <v>1798</v>
      </c>
      <c r="AJ197" s="12">
        <f>AI197*(1+AJ16)</f>
        <v>2644.42287928967</v>
      </c>
      <c r="AK197" s="12">
        <f>AJ197*(1+AK16)</f>
        <v>3889.30609817055</v>
      </c>
      <c r="AL197" s="12">
        <f>AK197</f>
        <v>3889.30609817055</v>
      </c>
      <c r="AM197" s="12">
        <f>AL197*(1+AM16)</f>
        <v>5720.22804814406</v>
      </c>
      <c r="AN197" s="12">
        <f>AM197*(1+AN16)</f>
        <v>8413.07114864662</v>
      </c>
      <c r="AO197" s="12">
        <f>AN197*(1+AO16)</f>
        <v>12373.591674401</v>
      </c>
      <c r="AP197" s="12">
        <f>AO197*(1+AP16)</f>
        <v>18198.5589114427</v>
      </c>
      <c r="AQ197" s="12">
        <f>AP197</f>
        <v>18198.5589114427</v>
      </c>
      <c r="AR197" s="12">
        <f>AQ197*(1+AR16)</f>
        <v>26674.6832652425</v>
      </c>
      <c r="AS197" s="12">
        <f>AR197*(1+AS16)</f>
        <v>39098.630323614</v>
      </c>
      <c r="AT197" s="12">
        <f>AS197*(1+AT16)</f>
        <v>57309.1300834507</v>
      </c>
      <c r="AU197" s="12">
        <f>AT197*(1+AU16)</f>
        <v>84001.3157427222</v>
      </c>
      <c r="AV197" s="12">
        <f>AU197</f>
        <v>84001.3157427222</v>
      </c>
      <c r="AW197" s="12">
        <f>AV197*(1+AW16)</f>
        <v>122705.593761644</v>
      </c>
      <c r="AX197" s="12">
        <f>AW197*(1+AX16)</f>
        <v>179243.177410612</v>
      </c>
      <c r="AY197" s="12">
        <f>AX197*(1+AY16)</f>
        <v>261830.904878396</v>
      </c>
      <c r="AZ197" s="12">
        <f>AY197*(1+AZ16)</f>
        <v>382471.588262421</v>
      </c>
      <c r="BA197" s="12">
        <f>AZ197</f>
        <v>382471.588262421</v>
      </c>
      <c r="BB197" s="12">
        <f>BA197*(1+BB16)</f>
        <v>556786.07338374</v>
      </c>
      <c r="BC197" s="12">
        <f>BB197*(1+BC16)</f>
        <v>810545.779158319</v>
      </c>
      <c r="BD197" s="12">
        <f>BC197*(1+BD16)</f>
        <v>1179958.50025252</v>
      </c>
      <c r="BE197" s="12">
        <f>BD197*(1+BE16)</f>
        <v>1717734.02331939</v>
      </c>
      <c r="BF197" s="12">
        <f>BE197</f>
        <v>1717734.02331939</v>
      </c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9" t="inlineStr">
        <is>
          <t>%(Var.)</t>
        </is>
      </c>
      <c r="D198" s="12" t="n"/>
      <c r="E198" s="40" t="n"/>
      <c r="F198" s="40" t="n"/>
      <c r="G198" s="40" t="n"/>
      <c r="H198" s="12" t="n"/>
      <c r="I198" s="40" t="str">
        <f>""</f>
        <v/>
      </c>
      <c r="J198" s="40">
        <f>IFERROR(IF(I197=0,"",J197/I197-1),"")</f>
        <v>0.162486536390214</v>
      </c>
      <c r="K198" s="40">
        <f>IFERROR(IF(J197=0,"",K197/J197-1),"")</f>
        <v>0.107346128391794</v>
      </c>
      <c r="L198" s="40">
        <f>IFERROR(IF(K197=0,"",L197/K197-1),"")</f>
        <v>0.145230695672962</v>
      </c>
      <c r="M198" s="12">
        <f>IF(L197=0,"",M197/L197-1)</f>
        <v>0</v>
      </c>
      <c r="N198" s="40">
        <f>IFERROR(IF(M197=0,"",N197/M197-1),"")</f>
        <v>-0.276589082559232</v>
      </c>
      <c r="O198" s="40">
        <f>IFERROR(IF(N197=0,"",O197/N197-1),"")</f>
        <v>0.205886596450729</v>
      </c>
      <c r="P198" s="40">
        <f>IFERROR(IF(O197=0,"",P197/O197-1),"")</f>
        <v>0.177434793012683</v>
      </c>
      <c r="Q198" s="40">
        <f>IFERROR(IF(P197=0,"",Q197/P197-1),"")</f>
        <v>0.0769230769230769</v>
      </c>
      <c r="R198" s="12">
        <f>IF(Q197=0,"",R197/Q197-1)</f>
        <v>0</v>
      </c>
      <c r="S198" s="40">
        <f>IFERROR(IF(R197=0,"",S197/R197-1),"")</f>
        <v>-0.302038120400075</v>
      </c>
      <c r="T198" s="40">
        <f>IFERROR(IF(S197=0,"",T197/S197-1),"")</f>
        <v>0.173043125591456</v>
      </c>
      <c r="U198" s="40">
        <f>IFERROR(IF(T197=0,"",U197/T197-1),"")</f>
        <v>0.421228535208021</v>
      </c>
      <c r="V198" s="40">
        <f>IFERROR(IF(U197=0,"",V197/U197-1),"")</f>
        <v>0.338306843983133</v>
      </c>
      <c r="W198" s="12">
        <f>IF(V197=0,"",W197/V197-1)</f>
        <v>0</v>
      </c>
      <c r="X198" s="40">
        <f>IFERROR(IF(W197=0,"",X197/W197-1),"")</f>
        <v>-0.488487639360155</v>
      </c>
      <c r="Y198" s="40">
        <f>IFERROR(IF(X197=0,"",Y197/X197-1),"")</f>
        <v>0.383913764510779</v>
      </c>
      <c r="Z198" s="40">
        <f>IFERROR(IF(Y197=0,"",Z197/Y197-1),"")</f>
        <v>0.457930326114868</v>
      </c>
      <c r="AA198" s="40">
        <f>IFERROR(IF(Z197=0,"",AA197/Z197-1),"")</f>
        <v>0.229319556155698</v>
      </c>
      <c r="AB198" s="12">
        <f>IF(AA197=0,"",AB197/AA197-1)</f>
        <v>0</v>
      </c>
      <c r="AC198" s="40">
        <f>IFERROR(IF(AB197=0,"",AC197/AB197-1),"")</f>
        <v>-0.468026171259372</v>
      </c>
      <c r="AD198" s="40">
        <f>IFERROR(IF(AC197=0,"",AD197/AC197-1),"")</f>
        <v>0.1697638926295</v>
      </c>
      <c r="AE198" s="40">
        <f>IFERROR(IF(AD197=0,"",AE197/AD197-1),"")</f>
        <v>0.508595548733692</v>
      </c>
      <c r="AF198" s="55">
        <f>IFERROR(IF(AE197=0,"",AF197/AE197-1),"")</f>
        <v>0.208220989978125</v>
      </c>
      <c r="AG198" s="12">
        <f>IF(AF197=0,"",AG197/AF197-1)</f>
        <v>0</v>
      </c>
      <c r="AH198" s="55">
        <f>IFERROR(IF(AG197=0,"",AH197/AG197-1),"")</f>
        <v>-0.427789473684211</v>
      </c>
      <c r="AI198" s="55">
        <f>IFERROR(IF(AH197=0,"",AI197/AH197-1),"")</f>
        <v>0.323031640912436</v>
      </c>
      <c r="AJ198" s="55">
        <f>IFERROR(IF(AI197=0,"",AJ197/AI197-1),"")</f>
        <v>0.470757997380237</v>
      </c>
      <c r="AK198" s="55">
        <f>IF(AJ197=0,"",AK197/AJ197-1)</f>
        <v>0.470757997380237</v>
      </c>
      <c r="AL198" s="12">
        <f>IF(AK197=0,"",AL197/AK197-1)</f>
        <v>0</v>
      </c>
      <c r="AM198" s="55">
        <f>IF(AL197=0,"",AM197/AL197-1)</f>
        <v>0.470757997380237</v>
      </c>
      <c r="AN198" s="55">
        <f>IF(AM197=0,"",AN197/AM197-1)</f>
        <v>0.470757997380237</v>
      </c>
      <c r="AO198" s="55">
        <f>IF(AN197=0,"",AO197/AN197-1)</f>
        <v>0.470757997380237</v>
      </c>
      <c r="AP198" s="55">
        <f>IF(AO197=0,"",AP197/AO197-1)</f>
        <v>0.470757997380237</v>
      </c>
      <c r="AQ198" s="12">
        <f>IF(AP197=0,"",AQ197/AP197-1)</f>
        <v>0</v>
      </c>
      <c r="AR198" s="55">
        <f>IF(AQ197=0,"",AR197/AQ197-1)</f>
        <v>0.465757997380237</v>
      </c>
      <c r="AS198" s="55">
        <f>IF(AR197=0,"",AS197/AR197-1)</f>
        <v>0.465757997380237</v>
      </c>
      <c r="AT198" s="55">
        <f>IF(AS197=0,"",AT197/AS197-1)</f>
        <v>0.465757997380237</v>
      </c>
      <c r="AU198" s="55">
        <f>IF(AT197=0,"",AU197/AT197-1)</f>
        <v>0.465757997380237</v>
      </c>
      <c r="AV198" s="12">
        <f>IF(AU197=0,"",AV197/AU197-1)</f>
        <v>0</v>
      </c>
      <c r="AW198" s="55">
        <f>IF(AV197=0,"",AW197/AV197-1)</f>
        <v>0.460757997380237</v>
      </c>
      <c r="AX198" s="55">
        <f>IF(AW197=0,"",AX197/AW197-1)</f>
        <v>0.460757997380237</v>
      </c>
      <c r="AY198" s="55">
        <f>IF(AX197=0,"",AY197/AX197-1)</f>
        <v>0.460757997380237</v>
      </c>
      <c r="AZ198" s="55">
        <f>IF(AY197=0,"",AZ197/AY197-1)</f>
        <v>0.460757997380237</v>
      </c>
      <c r="BA198" s="12">
        <f>IF(AZ197=0,"",BA197/AZ197-1)</f>
        <v>0</v>
      </c>
      <c r="BB198" s="55">
        <f>IF(BA197=0,"",BB197/BA197-1)</f>
        <v>0.455757997380237</v>
      </c>
      <c r="BC198" s="55">
        <f>IF(BB197=0,"",BC197/BB197-1)</f>
        <v>0.455757997380237</v>
      </c>
      <c r="BD198" s="55">
        <f>IF(BC197=0,"",BD197/BC197-1)</f>
        <v>0.455757997380237</v>
      </c>
      <c r="BE198" s="55">
        <f>IF(BD197=0,"",BE197/BD197-1)</f>
        <v>0.455757997380237</v>
      </c>
      <c r="BF198" s="12">
        <f>IF(BE197=0,"",BF197/BE197-1)</f>
        <v>0</v>
      </c>
      <c r="BG198" s="55" t="n"/>
      <c r="BH198" s="55" t="n"/>
      <c r="BI198" s="55" t="n"/>
      <c r="BJ198" s="55" t="n"/>
      <c r="BK198" s="12" t="n"/>
      <c r="BL198" s="55" t="n"/>
      <c r="BM198" s="55" t="n"/>
      <c r="BN198" s="55" t="n"/>
      <c r="BO198" s="55" t="n"/>
      <c r="BP198" s="12" t="n"/>
      <c r="BQ198" s="55" t="n"/>
      <c r="BR198" s="55" t="n"/>
      <c r="BS198" s="55" t="n"/>
      <c r="BT198" s="55" t="n"/>
      <c r="BU198" s="12" t="n"/>
      <c r="BV198" s="55" t="n"/>
      <c r="BW198" s="55" t="n"/>
      <c r="BX198" s="55" t="n"/>
      <c r="BY198" s="55" t="n"/>
      <c r="BZ198" s="12" t="n"/>
      <c r="CA198" s="55" t="n"/>
      <c r="CB198" s="55" t="n"/>
      <c r="CC198" s="55" t="n"/>
      <c r="CD198" s="55" t="n"/>
      <c r="CE198" s="12" t="n"/>
      <c r="CF198" s="55" t="n"/>
      <c r="CG198" s="55" t="n"/>
      <c r="CH198" s="55" t="n"/>
      <c r="CI198" s="55" t="n"/>
      <c r="CJ198" s="12" t="n"/>
      <c r="CK198" s="55" t="n"/>
      <c r="CL198" s="55" t="n"/>
      <c r="CM198" s="55" t="n"/>
      <c r="CN198" s="55" t="n"/>
      <c r="CO198" s="12" t="n"/>
      <c r="CP198" s="55" t="n"/>
      <c r="CQ198" s="55" t="n"/>
      <c r="CR198" s="55" t="n"/>
      <c r="CS198" s="55" t="n"/>
      <c r="CT198" s="12" t="n"/>
      <c r="CU198" s="55" t="n"/>
      <c r="CV198" s="55" t="n"/>
      <c r="CW198" s="55" t="n"/>
      <c r="CX198" s="55" t="n"/>
      <c r="CY198" s="12" t="n"/>
    </row>
    <row r="199" collapsed="1">
      <c r="C199" s="14" t="inlineStr">
        <is>
          <t>Taxes payable</t>
        </is>
      </c>
      <c r="D199" s="46" t="n"/>
      <c r="E199" s="46" t="n"/>
      <c r="F199" s="46" t="n"/>
      <c r="G199" s="46" t="n"/>
      <c r="H199" s="12" t="n"/>
      <c r="I199" s="46">
        <f>'Inputs (2)'!D30</f>
        <v>791.6</v>
      </c>
      <c r="J199" s="46">
        <f>'Inputs (2)'!E30</f>
        <v>529.9</v>
      </c>
      <c r="K199" s="46">
        <f>'Inputs (2)'!F30</f>
        <v>203.5</v>
      </c>
      <c r="L199" s="46">
        <f>'Inputs (2)'!G30</f>
        <v>126.9</v>
      </c>
      <c r="M199" s="12">
        <f>'Inputs (2)'!H30</f>
        <v>126.9</v>
      </c>
      <c r="N199" s="46">
        <f>'Inputs (2)'!I30</f>
        <v>598.3</v>
      </c>
      <c r="O199" s="46">
        <f>'Inputs (2)'!J30</f>
        <v>126.6</v>
      </c>
      <c r="P199" s="46">
        <f>'Inputs (2)'!K30</f>
        <v>685.6</v>
      </c>
      <c r="Q199" s="46">
        <f>'Inputs (2)'!L30</f>
        <v>475.1</v>
      </c>
      <c r="R199" s="12">
        <f>'Inputs (2)'!M30</f>
        <v>475.1</v>
      </c>
      <c r="S199" s="46">
        <f>'Inputs (2)'!N30</f>
        <v>1528.3</v>
      </c>
      <c r="T199" s="46">
        <f>'Inputs (2)'!O30</f>
        <v>1233.8</v>
      </c>
      <c r="U199" s="46">
        <f>'Inputs (2)'!P30</f>
        <v>1977.5</v>
      </c>
      <c r="V199" s="46">
        <f>'Inputs (2)'!Q30</f>
        <v>0</v>
      </c>
      <c r="W199" s="12">
        <f>'Inputs (2)'!R30</f>
        <v>0</v>
      </c>
      <c r="X199" s="46">
        <f>'Inputs (2)'!S30</f>
        <v>0</v>
      </c>
      <c r="Y199" s="46">
        <f>'Inputs (2)'!T30</f>
        <v>0</v>
      </c>
      <c r="Z199" s="46">
        <f>'Inputs (2)'!U30</f>
        <v>0</v>
      </c>
      <c r="AA199" s="46">
        <f>'Inputs (2)'!V30</f>
        <v>0</v>
      </c>
      <c r="AB199" s="12">
        <f>'Inputs (2)'!W30</f>
        <v>0</v>
      </c>
      <c r="AC199" s="46">
        <f>'Inputs (2)'!X30</f>
        <v>6175.7</v>
      </c>
      <c r="AD199" s="46">
        <f>'Inputs (2)'!Y30</f>
        <v>6958</v>
      </c>
      <c r="AE199" s="46">
        <f>'Inputs (2)'!Z30</f>
        <v>9444.4</v>
      </c>
      <c r="AF199" s="46">
        <f>'Inputs (2)'!AA30</f>
        <v>0</v>
      </c>
      <c r="AG199" s="12">
        <f>'Inputs (2)'!AB30</f>
        <v>0</v>
      </c>
      <c r="AH199" s="12">
        <f>'Inputs (2)'!AC30</f>
        <v>0</v>
      </c>
      <c r="AI199" s="12">
        <f>'Inputs (2)'!AD30</f>
        <v>0</v>
      </c>
      <c r="AJ199" s="12">
        <f>AI199*(1+AJ16)</f>
        <v>0</v>
      </c>
      <c r="AK199" s="12">
        <f>AJ199*(1+AK16)</f>
        <v>0</v>
      </c>
      <c r="AL199" s="12">
        <f>AK199</f>
        <v>0</v>
      </c>
      <c r="AM199" s="12">
        <f>AL199*(1+AM16)</f>
        <v>0</v>
      </c>
      <c r="AN199" s="12">
        <f>AM199*(1+AN16)</f>
        <v>0</v>
      </c>
      <c r="AO199" s="12">
        <f>AN199*(1+AO16)</f>
        <v>0</v>
      </c>
      <c r="AP199" s="12">
        <f>AO199*(1+AP16)</f>
        <v>0</v>
      </c>
      <c r="AQ199" s="12">
        <f>AP199</f>
        <v>0</v>
      </c>
      <c r="AR199" s="12">
        <f>AQ199*(1+AR16)</f>
        <v>0</v>
      </c>
      <c r="AS199" s="12">
        <f>AR199*(1+AS16)</f>
        <v>0</v>
      </c>
      <c r="AT199" s="12">
        <f>AS199*(1+AT16)</f>
        <v>0</v>
      </c>
      <c r="AU199" s="12">
        <f>AT199*(1+AU16)</f>
        <v>0</v>
      </c>
      <c r="AV199" s="12">
        <f>AU199</f>
        <v>0</v>
      </c>
      <c r="AW199" s="12">
        <f>AV199*(1+AW16)</f>
        <v>0</v>
      </c>
      <c r="AX199" s="12">
        <f>AW199*(1+AX16)</f>
        <v>0</v>
      </c>
      <c r="AY199" s="12">
        <f>AX199*(1+AY16)</f>
        <v>0</v>
      </c>
      <c r="AZ199" s="12">
        <f>AY199*(1+AZ16)</f>
        <v>0</v>
      </c>
      <c r="BA199" s="12">
        <f>AZ199</f>
        <v>0</v>
      </c>
      <c r="BB199" s="12">
        <f>BA199*(1+BB16)</f>
        <v>0</v>
      </c>
      <c r="BC199" s="12">
        <f>BB199*(1+BC16)</f>
        <v>0</v>
      </c>
      <c r="BD199" s="12">
        <f>BC199*(1+BD16)</f>
        <v>0</v>
      </c>
      <c r="BE199" s="12">
        <f>BD199*(1+BE16)</f>
        <v>0</v>
      </c>
      <c r="BF199" s="12">
        <f>BE199</f>
        <v>0</v>
      </c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>
      <c r="C200" s="14" t="inlineStr">
        <is>
          <t>Other current liabilities (non-debt)</t>
        </is>
      </c>
      <c r="D200" s="46" t="n"/>
      <c r="E200" s="46" t="n"/>
      <c r="F200" s="46" t="n"/>
      <c r="G200" s="46" t="n"/>
      <c r="H200" s="12" t="n"/>
      <c r="I200" s="46">
        <f>'Inputs (2)'!D31</f>
        <v>8628.2</v>
      </c>
      <c r="J200" s="46">
        <f>'Inputs (2)'!E31</f>
        <v>10431.5</v>
      </c>
      <c r="K200" s="46">
        <f>'Inputs (2)'!F31</f>
        <v>9512.1</v>
      </c>
      <c r="L200" s="46">
        <f>'Inputs (2)'!G31</f>
        <v>10758.8</v>
      </c>
      <c r="M200" s="12">
        <f>'Inputs (2)'!H31</f>
        <v>10758.8</v>
      </c>
      <c r="N200" s="46">
        <f>'Inputs (2)'!I31</f>
        <v>9305.4</v>
      </c>
      <c r="O200" s="46">
        <f>'Inputs (2)'!J31</f>
        <v>10877.1</v>
      </c>
      <c r="P200" s="46">
        <f>'Inputs (2)'!K31</f>
        <v>10555.3</v>
      </c>
      <c r="Q200" s="46">
        <f>'Inputs (2)'!L31</f>
        <v>12171.6</v>
      </c>
      <c r="R200" s="12">
        <f>'Inputs (2)'!M31</f>
        <v>12171.6</v>
      </c>
      <c r="S200" s="46">
        <f>'Inputs (2)'!N31</f>
        <v>11723</v>
      </c>
      <c r="T200" s="46">
        <f>'Inputs (2)'!O31</f>
        <v>13677.7</v>
      </c>
      <c r="U200" s="46">
        <f>'Inputs (2)'!P31</f>
        <v>14107.7</v>
      </c>
      <c r="V200" s="46">
        <f>'Inputs (2)'!Q31</f>
        <v>16139.5</v>
      </c>
      <c r="W200" s="12">
        <f>'Inputs (2)'!R31</f>
        <v>16139.5</v>
      </c>
      <c r="X200" s="46">
        <f>'Inputs (2)'!S31</f>
        <v>13628.7</v>
      </c>
      <c r="Y200" s="46">
        <f>'Inputs (2)'!T31</f>
        <v>17866.5</v>
      </c>
      <c r="Z200" s="46">
        <f>'Inputs (2)'!U31</f>
        <v>18010</v>
      </c>
      <c r="AA200" s="46">
        <f>'Inputs (2)'!V31</f>
        <v>17937</v>
      </c>
      <c r="AB200" s="12">
        <f>'Inputs (2)'!W31</f>
        <v>17937</v>
      </c>
      <c r="AC200" s="46">
        <f>'Inputs (2)'!X31</f>
        <v>15320.1</v>
      </c>
      <c r="AD200" s="46">
        <f>'Inputs (2)'!Y31</f>
        <v>20959.5</v>
      </c>
      <c r="AE200" s="46">
        <f>'Inputs (2)'!Z31</f>
        <v>22835.6</v>
      </c>
      <c r="AF200" s="46">
        <f>'Inputs (2)'!AA31</f>
        <v>25839</v>
      </c>
      <c r="AG200" s="12">
        <f>'Inputs (2)'!AB31</f>
        <v>25839</v>
      </c>
      <c r="AH200" s="12">
        <f>'Inputs (2)'!AC31</f>
        <v>26246</v>
      </c>
      <c r="AI200" s="12">
        <f>'Inputs (2)'!AD31</f>
        <v>32781</v>
      </c>
      <c r="AJ200" s="12">
        <f>AI200</f>
        <v>32781</v>
      </c>
      <c r="AK200" s="12">
        <f>AJ200</f>
        <v>32781</v>
      </c>
      <c r="AL200" s="12">
        <f>AK200</f>
        <v>32781</v>
      </c>
      <c r="AM200" s="12">
        <f>AL200</f>
        <v>32781</v>
      </c>
      <c r="AN200" s="12">
        <f>AM200</f>
        <v>32781</v>
      </c>
      <c r="AO200" s="12">
        <f>AN200</f>
        <v>32781</v>
      </c>
      <c r="AP200" s="12">
        <f>AO200</f>
        <v>32781</v>
      </c>
      <c r="AQ200" s="12">
        <f>AP200</f>
        <v>32781</v>
      </c>
      <c r="AR200" s="12">
        <f>AQ200</f>
        <v>32781</v>
      </c>
      <c r="AS200" s="12">
        <f>AR200</f>
        <v>32781</v>
      </c>
      <c r="AT200" s="12">
        <f>AS200</f>
        <v>32781</v>
      </c>
      <c r="AU200" s="12">
        <f>AT200</f>
        <v>32781</v>
      </c>
      <c r="AV200" s="12">
        <f>AU200</f>
        <v>32781</v>
      </c>
      <c r="AW200" s="12">
        <f>AV200</f>
        <v>32781</v>
      </c>
      <c r="AX200" s="12">
        <f>AW200</f>
        <v>32781</v>
      </c>
      <c r="AY200" s="12">
        <f>AX200</f>
        <v>32781</v>
      </c>
      <c r="AZ200" s="12">
        <f>AY200</f>
        <v>32781</v>
      </c>
      <c r="BA200" s="12">
        <f>AZ200</f>
        <v>32781</v>
      </c>
      <c r="BB200" s="12">
        <f>BA200</f>
        <v>32781</v>
      </c>
      <c r="BC200" s="12">
        <f>BB200</f>
        <v>32781</v>
      </c>
      <c r="BD200" s="12">
        <f>BC200</f>
        <v>32781</v>
      </c>
      <c r="BE200" s="12">
        <f>BD200</f>
        <v>32781</v>
      </c>
      <c r="BF200" s="12">
        <f>BE200</f>
        <v>32781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9" t="inlineStr">
        <is>
          <t>%(Var.)</t>
        </is>
      </c>
      <c r="D201" s="12" t="n"/>
      <c r="E201" s="40" t="n"/>
      <c r="F201" s="40" t="n"/>
      <c r="G201" s="40" t="n"/>
      <c r="H201" s="12" t="n"/>
      <c r="I201" s="40" t="str">
        <f>""</f>
        <v/>
      </c>
      <c r="J201" s="40">
        <f>IFERROR(IF(I200=0,"",J200/I200-1),"")</f>
        <v>0.209000718573978</v>
      </c>
      <c r="K201" s="40">
        <f>IFERROR(IF(J200=0,"",K200/J200-1),"")</f>
        <v>-0.0881368930642764</v>
      </c>
      <c r="L201" s="40">
        <f>IFERROR(IF(K200=0,"",L200/K200-1),"")</f>
        <v>0.131064643979773</v>
      </c>
      <c r="M201" s="12">
        <f>IF(L200=0,"",M200/L200-1)</f>
        <v>0</v>
      </c>
      <c r="N201" s="40">
        <f>IFERROR(IF(M200=0,"",N200/M200-1),"")</f>
        <v>-0.135089415176414</v>
      </c>
      <c r="O201" s="40">
        <f>IFERROR(IF(N200=0,"",O200/N200-1),"")</f>
        <v>0.168901927912825</v>
      </c>
      <c r="P201" s="40">
        <f>IFERROR(IF(O200=0,"",P200/O200-1),"")</f>
        <v>-0.029585091614493</v>
      </c>
      <c r="Q201" s="40">
        <f>IFERROR(IF(P200=0,"",Q200/P200-1),"")</f>
        <v>0.153126865176736</v>
      </c>
      <c r="R201" s="12">
        <f>IF(Q200=0,"",R200/Q200-1)</f>
        <v>0</v>
      </c>
      <c r="S201" s="40">
        <f>IFERROR(IF(R200=0,"",S200/R200-1),"")</f>
        <v>-0.0368562884090835</v>
      </c>
      <c r="T201" s="40">
        <f>IFERROR(IF(S200=0,"",T200/S200-1),"")</f>
        <v>0.166740595410731</v>
      </c>
      <c r="U201" s="40">
        <f>IFERROR(IF(T200=0,"",U200/T200-1),"")</f>
        <v>0.0314380341724121</v>
      </c>
      <c r="V201" s="40">
        <f>IFERROR(IF(U200=0,"",V200/U200-1),"")</f>
        <v>0.144020641210119</v>
      </c>
      <c r="W201" s="12">
        <f>IF(V200=0,"",W200/V200-1)</f>
        <v>0</v>
      </c>
      <c r="X201" s="40">
        <f>IFERROR(IF(W200=0,"",X200/W200-1),"")</f>
        <v>-0.155568635955265</v>
      </c>
      <c r="Y201" s="40">
        <f>IFERROR(IF(X200=0,"",Y200/X200-1),"")</f>
        <v>0.310946752074666</v>
      </c>
      <c r="Z201" s="40">
        <f>IFERROR(IF(Y200=0,"",Z200/Y200-1),"")</f>
        <v>0.00803179134133725</v>
      </c>
      <c r="AA201" s="40">
        <f>IFERROR(IF(Z200=0,"",AA200/Z200-1),"")</f>
        <v>-0.00405330372015544</v>
      </c>
      <c r="AB201" s="12">
        <f>IF(AA200=0,"",AB200/AA200-1)</f>
        <v>0</v>
      </c>
      <c r="AC201" s="40">
        <f>IFERROR(IF(AB200=0,"",AC200/AB200-1),"")</f>
        <v>-0.145893962201037</v>
      </c>
      <c r="AD201" s="40">
        <f>IFERROR(IF(AC200=0,"",AD200/AC200-1),"")</f>
        <v>0.368104646836509</v>
      </c>
      <c r="AE201" s="40">
        <f>IFERROR(IF(AD200=0,"",AE200/AD200-1),"")</f>
        <v>0.0895107230611416</v>
      </c>
      <c r="AF201" s="55">
        <f>IFERROR(IF(AE200=0,"",AF200/AE200-1),"")</f>
        <v>0.131522710154321</v>
      </c>
      <c r="AG201" s="12">
        <f>IF(AF200=0,"",AG200/AF200-1)</f>
        <v>0</v>
      </c>
      <c r="AH201" s="55">
        <f>IFERROR(IF(AG200=0,"",AH200/AG200-1),"")</f>
        <v>0.0157513835674756</v>
      </c>
      <c r="AI201" s="55">
        <f>IFERROR(IF(AH200=0,"",AI200/AH200-1),"")</f>
        <v>0.248990322334832</v>
      </c>
      <c r="AJ201" s="55">
        <f>IFERROR(IF(AI200=0,"",AJ200/AI200-1),"")</f>
        <v>0</v>
      </c>
      <c r="AK201" s="55">
        <f>IFERROR(IF(AJ200=0,"",AK200/AJ200-1),"")</f>
        <v>0</v>
      </c>
      <c r="AL201" s="12">
        <f>IFERROR(IF(AK200=0,"",AL200/AK200-1),"")</f>
        <v>0</v>
      </c>
      <c r="AM201" s="55">
        <f>IFERROR(IF(AL200=0,"",AM200/AL200-1),"")</f>
        <v>0</v>
      </c>
      <c r="AN201" s="55">
        <f>IFERROR(IF(AM200=0,"",AN200/AM200-1),"")</f>
        <v>0</v>
      </c>
      <c r="AO201" s="55">
        <f>IFERROR(IF(AN200=0,"",AO200/AN200-1),"")</f>
        <v>0</v>
      </c>
      <c r="AP201" s="55">
        <f>IFERROR(IF(AO200=0,"",AP200/AO200-1),"")</f>
        <v>0</v>
      </c>
      <c r="AQ201" s="12">
        <f>IFERROR(IF(AP200=0,"",AQ200/AP200-1),"")</f>
        <v>0</v>
      </c>
      <c r="AR201" s="55">
        <f>IFERROR(IF(AQ200=0,"",AR200/AQ200-1),"")</f>
        <v>0</v>
      </c>
      <c r="AS201" s="55">
        <f>IFERROR(IF(AR200=0,"",AS200/AR200-1),"")</f>
        <v>0</v>
      </c>
      <c r="AT201" s="55">
        <f>IFERROR(IF(AS200=0,"",AT200/AS200-1),"")</f>
        <v>0</v>
      </c>
      <c r="AU201" s="55">
        <f>IFERROR(IF(AT200=0,"",AU200/AT200-1),"")</f>
        <v>0</v>
      </c>
      <c r="AV201" s="12">
        <f>IFERROR(IF(AU200=0,"",AV200/AU200-1),"")</f>
        <v>0</v>
      </c>
      <c r="AW201" s="55">
        <f>IFERROR(IF(AV200=0,"",AW200/AV200-1),"")</f>
        <v>0</v>
      </c>
      <c r="AX201" s="55">
        <f>IFERROR(IF(AW200=0,"",AX200/AW200-1),"")</f>
        <v>0</v>
      </c>
      <c r="AY201" s="55">
        <f>IFERROR(IF(AX200=0,"",AY200/AX200-1),"")</f>
        <v>0</v>
      </c>
      <c r="AZ201" s="55">
        <f>IFERROR(IF(AY200=0,"",AZ200/AY200-1),"")</f>
        <v>0</v>
      </c>
      <c r="BA201" s="12">
        <f>IFERROR(IF(AZ200=0,"",BA200/AZ200-1),"")</f>
        <v>0</v>
      </c>
      <c r="BB201" s="55">
        <f>IFERROR(IF(BA200=0,"",BB200/BA200-1),"")</f>
        <v>0</v>
      </c>
      <c r="BC201" s="55">
        <f>IFERROR(IF(BB200=0,"",BC200/BB200-1),"")</f>
        <v>0</v>
      </c>
      <c r="BD201" s="55">
        <f>IFERROR(IF(BC200=0,"",BD200/BC200-1),"")</f>
        <v>0</v>
      </c>
      <c r="BE201" s="55">
        <f>IFERROR(IF(BD200=0,"",BE200/BD200-1),"")</f>
        <v>0</v>
      </c>
      <c r="BF201" s="12">
        <f>IFERROR(IF(BE200=0,"",BF200/BE200-1),"")</f>
        <v>0</v>
      </c>
      <c r="BG201" s="55" t="n"/>
      <c r="BH201" s="55" t="n"/>
      <c r="BI201" s="55" t="n"/>
      <c r="BJ201" s="55" t="n"/>
      <c r="BK201" s="12" t="n"/>
      <c r="BL201" s="55" t="n"/>
      <c r="BM201" s="55" t="n"/>
      <c r="BN201" s="55" t="n"/>
      <c r="BO201" s="55" t="n"/>
      <c r="BP201" s="12" t="n"/>
      <c r="BQ201" s="55" t="n"/>
      <c r="BR201" s="55" t="n"/>
      <c r="BS201" s="55" t="n"/>
      <c r="BT201" s="55" t="n"/>
      <c r="BU201" s="12" t="n"/>
      <c r="BV201" s="55" t="n"/>
      <c r="BW201" s="55" t="n"/>
      <c r="BX201" s="55" t="n"/>
      <c r="BY201" s="55" t="n"/>
      <c r="BZ201" s="12" t="n"/>
      <c r="CA201" s="55" t="n"/>
      <c r="CB201" s="55" t="n"/>
      <c r="CC201" s="55" t="n"/>
      <c r="CD201" s="55" t="n"/>
      <c r="CE201" s="12" t="n"/>
      <c r="CF201" s="55" t="n"/>
      <c r="CG201" s="55" t="n"/>
      <c r="CH201" s="55" t="n"/>
      <c r="CI201" s="55" t="n"/>
      <c r="CJ201" s="12" t="n"/>
      <c r="CK201" s="55" t="n"/>
      <c r="CL201" s="55" t="n"/>
      <c r="CM201" s="55" t="n"/>
      <c r="CN201" s="55" t="n"/>
      <c r="CO201" s="12" t="n"/>
      <c r="CP201" s="55" t="n"/>
      <c r="CQ201" s="55" t="n"/>
      <c r="CR201" s="55" t="n"/>
      <c r="CS201" s="55" t="n"/>
      <c r="CT201" s="12" t="n"/>
      <c r="CU201" s="55" t="n"/>
      <c r="CV201" s="55" t="n"/>
      <c r="CW201" s="55" t="n"/>
      <c r="CX201" s="55" t="n"/>
      <c r="CY201" s="12" t="n"/>
    </row>
    <row r="202" hidden="1" outlineLevel="1">
      <c r="C202" s="57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hidden="1" outlineLevel="1">
      <c r="C203" s="57" t="inlineStr">
        <is>
          <t xml:space="preserve">Dividendos a Pagar </t>
        </is>
      </c>
      <c r="D203" s="11" t="n"/>
      <c r="E203" s="11" t="n"/>
      <c r="F203" s="11" t="n"/>
      <c r="G203" s="11" t="n"/>
      <c r="H203" s="12" t="n"/>
      <c r="I203" s="11" t="n"/>
      <c r="J203" s="11" t="n"/>
      <c r="K203" s="11" t="n"/>
      <c r="L203" s="11" t="n"/>
      <c r="M203" s="12" t="n"/>
      <c r="N203" s="11" t="n"/>
      <c r="O203" s="11" t="n"/>
      <c r="P203" s="11" t="n"/>
      <c r="Q203" s="11" t="n"/>
      <c r="R203" s="12" t="n"/>
      <c r="S203" s="11" t="n"/>
      <c r="T203" s="11" t="n"/>
      <c r="U203" s="11" t="n"/>
      <c r="V203" s="11" t="n"/>
      <c r="W203" s="12" t="n"/>
      <c r="X203" s="11" t="n"/>
      <c r="Y203" s="11" t="n"/>
      <c r="Z203" s="11" t="n"/>
      <c r="AA203" s="11" t="n"/>
      <c r="AB203" s="12" t="n"/>
      <c r="AC203" s="11" t="n"/>
      <c r="AD203" s="11" t="n"/>
      <c r="AE203" s="11" t="n"/>
      <c r="AF203" s="11" t="n"/>
      <c r="AG203" s="12" t="n"/>
      <c r="AH203" s="11" t="n"/>
      <c r="AI203" s="11" t="n"/>
      <c r="AJ203" s="11" t="n"/>
      <c r="AK203" s="11" t="n"/>
      <c r="AL203" s="12" t="n"/>
      <c r="AM203" s="11" t="n"/>
      <c r="AN203" s="11" t="n"/>
      <c r="AO203" s="11" t="n"/>
      <c r="AP203" s="11" t="n"/>
      <c r="AQ203" s="12" t="n"/>
      <c r="AR203" s="11" t="n"/>
      <c r="AS203" s="11" t="n"/>
      <c r="AT203" s="11" t="n"/>
      <c r="AU203" s="11" t="n"/>
      <c r="AV203" s="12" t="n"/>
      <c r="AW203" s="11" t="n"/>
      <c r="AX203" s="11" t="n"/>
      <c r="AY203" s="11" t="n"/>
      <c r="AZ203" s="11" t="n"/>
      <c r="BA203" s="12" t="n"/>
      <c r="BB203" s="11" t="n"/>
      <c r="BC203" s="11" t="n"/>
      <c r="BD203" s="11" t="n"/>
      <c r="BE203" s="11" t="n"/>
      <c r="BF203" s="12" t="n"/>
      <c r="BG203" s="11" t="n"/>
      <c r="BH203" s="11" t="n"/>
      <c r="BI203" s="11" t="n"/>
      <c r="BJ203" s="11" t="n"/>
      <c r="BK203" s="12" t="n"/>
      <c r="BL203" s="11" t="n"/>
      <c r="BM203" s="11" t="n"/>
      <c r="BN203" s="11" t="n"/>
      <c r="BO203" s="11" t="n"/>
      <c r="BP203" s="12" t="n"/>
      <c r="BQ203" s="11" t="n"/>
      <c r="BR203" s="11" t="n"/>
      <c r="BS203" s="11" t="n"/>
      <c r="BT203" s="11" t="n"/>
      <c r="BU203" s="12" t="n"/>
      <c r="BV203" s="11" t="n"/>
      <c r="BW203" s="11" t="n"/>
      <c r="BX203" s="11" t="n"/>
      <c r="BY203" s="11" t="n"/>
      <c r="BZ203" s="12" t="n"/>
      <c r="CA203" s="11" t="n"/>
      <c r="CB203" s="11" t="n"/>
      <c r="CC203" s="11" t="n"/>
      <c r="CD203" s="11" t="n"/>
      <c r="CE203" s="12" t="n"/>
      <c r="CF203" s="11" t="n"/>
      <c r="CG203" s="11" t="n"/>
      <c r="CH203" s="11" t="n"/>
      <c r="CI203" s="11" t="n"/>
      <c r="CJ203" s="12" t="n"/>
      <c r="CK203" s="11" t="n"/>
      <c r="CL203" s="11" t="n"/>
      <c r="CM203" s="11" t="n"/>
      <c r="CN203" s="11" t="n"/>
      <c r="CO203" s="12" t="n"/>
      <c r="CP203" s="11" t="n"/>
      <c r="CQ203" s="11" t="n"/>
      <c r="CR203" s="11" t="n"/>
      <c r="CS203" s="11" t="n"/>
      <c r="CT203" s="12" t="n"/>
      <c r="CU203" s="11" t="n"/>
      <c r="CV203" s="11" t="n"/>
      <c r="CW203" s="11" t="n"/>
      <c r="CX203" s="11" t="n"/>
      <c r="CY203" s="12" t="n"/>
    </row>
    <row r="204" hidden="1" outlineLevel="1">
      <c r="C204" s="57" t="inlineStr">
        <is>
          <t>Contas a pagar pela aquisição de controladas</t>
        </is>
      </c>
      <c r="D204" s="11" t="n"/>
      <c r="E204" s="11" t="n"/>
      <c r="F204" s="11" t="n"/>
      <c r="G204" s="11" t="n"/>
      <c r="H204" s="12" t="n"/>
      <c r="I204" s="11" t="n"/>
      <c r="J204" s="11" t="n"/>
      <c r="K204" s="11" t="n"/>
      <c r="L204" s="11" t="n"/>
      <c r="M204" s="12" t="n"/>
      <c r="N204" s="11" t="n"/>
      <c r="O204" s="11" t="n"/>
      <c r="P204" s="11" t="n"/>
      <c r="Q204" s="11" t="n"/>
      <c r="R204" s="12" t="n"/>
      <c r="S204" s="11" t="n"/>
      <c r="T204" s="11" t="n"/>
      <c r="U204" s="11" t="n"/>
      <c r="V204" s="11" t="n"/>
      <c r="W204" s="12" t="n"/>
      <c r="X204" s="11" t="n"/>
      <c r="Y204" s="11" t="n"/>
      <c r="Z204" s="11" t="n"/>
      <c r="AA204" s="11" t="n"/>
      <c r="AB204" s="12" t="n"/>
      <c r="AC204" s="11" t="n"/>
      <c r="AD204" s="11" t="n"/>
      <c r="AE204" s="11" t="n"/>
      <c r="AF204" s="11" t="n"/>
      <c r="AG204" s="12" t="n"/>
      <c r="AH204" s="11" t="n"/>
      <c r="AI204" s="11" t="n"/>
      <c r="AJ204" s="11" t="n"/>
      <c r="AK204" s="11" t="n"/>
      <c r="AL204" s="12" t="n"/>
      <c r="AM204" s="11" t="n"/>
      <c r="AN204" s="11" t="n"/>
      <c r="AO204" s="11" t="n"/>
      <c r="AP204" s="11" t="n"/>
      <c r="AQ204" s="12" t="n"/>
      <c r="AR204" s="11" t="n"/>
      <c r="AS204" s="11" t="n"/>
      <c r="AT204" s="11" t="n"/>
      <c r="AU204" s="11" t="n"/>
      <c r="AV204" s="12" t="n"/>
      <c r="AW204" s="11" t="n"/>
      <c r="AX204" s="11" t="n"/>
      <c r="AY204" s="11" t="n"/>
      <c r="AZ204" s="11" t="n"/>
      <c r="BA204" s="12" t="n"/>
      <c r="BB204" s="11" t="n"/>
      <c r="BC204" s="11" t="n"/>
      <c r="BD204" s="11" t="n"/>
      <c r="BE204" s="11" t="n"/>
      <c r="BF204" s="12" t="n"/>
      <c r="BG204" s="11" t="n"/>
      <c r="BH204" s="11" t="n"/>
      <c r="BI204" s="11" t="n"/>
      <c r="BJ204" s="11" t="n"/>
      <c r="BK204" s="12" t="n"/>
      <c r="BL204" s="11" t="n"/>
      <c r="BM204" s="11" t="n"/>
      <c r="BN204" s="11" t="n"/>
      <c r="BO204" s="11" t="n"/>
      <c r="BP204" s="12" t="n"/>
      <c r="BQ204" s="11" t="n"/>
      <c r="BR204" s="11" t="n"/>
      <c r="BS204" s="11" t="n"/>
      <c r="BT204" s="11" t="n"/>
      <c r="BU204" s="12" t="n"/>
      <c r="BV204" s="11" t="n"/>
      <c r="BW204" s="11" t="n"/>
      <c r="BX204" s="11" t="n"/>
      <c r="BY204" s="11" t="n"/>
      <c r="BZ204" s="12" t="n"/>
      <c r="CA204" s="11" t="n"/>
      <c r="CB204" s="11" t="n"/>
      <c r="CC204" s="11" t="n"/>
      <c r="CD204" s="11" t="n"/>
      <c r="CE204" s="12" t="n"/>
      <c r="CF204" s="11" t="n"/>
      <c r="CG204" s="11" t="n"/>
      <c r="CH204" s="11" t="n"/>
      <c r="CI204" s="11" t="n"/>
      <c r="CJ204" s="12" t="n"/>
      <c r="CK204" s="11" t="n"/>
      <c r="CL204" s="11" t="n"/>
      <c r="CM204" s="11" t="n"/>
      <c r="CN204" s="11" t="n"/>
      <c r="CO204" s="12" t="n"/>
      <c r="CP204" s="11" t="n"/>
      <c r="CQ204" s="11" t="n"/>
      <c r="CR204" s="11" t="n"/>
      <c r="CS204" s="11" t="n"/>
      <c r="CT204" s="12" t="n"/>
      <c r="CU204" s="11" t="n"/>
      <c r="CV204" s="11" t="n"/>
      <c r="CW204" s="11" t="n"/>
      <c r="CX204" s="11" t="n"/>
      <c r="CY204" s="12" t="n"/>
    </row>
    <row r="205" hidden="1" outlineLevel="1">
      <c r="C205" s="57" t="inlineStr">
        <is>
          <t>Outros</t>
        </is>
      </c>
      <c r="D205" s="11" t="n"/>
      <c r="E205" s="11" t="n"/>
      <c r="F205" s="11" t="n"/>
      <c r="G205" s="11" t="n"/>
      <c r="H205" s="12" t="n"/>
      <c r="I205" s="11" t="n"/>
      <c r="J205" s="11" t="n"/>
      <c r="K205" s="11" t="n"/>
      <c r="L205" s="11" t="n"/>
      <c r="M205" s="12" t="n"/>
      <c r="N205" s="11" t="n"/>
      <c r="O205" s="11" t="n"/>
      <c r="P205" s="11" t="n"/>
      <c r="Q205" s="11" t="n"/>
      <c r="R205" s="12" t="n"/>
      <c r="S205" s="11" t="n"/>
      <c r="T205" s="11" t="n"/>
      <c r="U205" s="11" t="n"/>
      <c r="V205" s="11" t="n"/>
      <c r="W205" s="12" t="n"/>
      <c r="X205" s="11" t="n"/>
      <c r="Y205" s="11" t="n"/>
      <c r="Z205" s="11" t="n"/>
      <c r="AA205" s="11" t="n"/>
      <c r="AB205" s="12" t="n"/>
      <c r="AC205" s="11" t="n"/>
      <c r="AD205" s="11" t="n"/>
      <c r="AE205" s="11" t="n"/>
      <c r="AF205" s="11" t="n"/>
      <c r="AG205" s="12" t="n"/>
      <c r="AH205" s="11" t="n"/>
      <c r="AI205" s="11" t="n"/>
      <c r="AJ205" s="11" t="n"/>
      <c r="AK205" s="11" t="n"/>
      <c r="AL205" s="12" t="n"/>
      <c r="AM205" s="11" t="n"/>
      <c r="AN205" s="11" t="n"/>
      <c r="AO205" s="11" t="n"/>
      <c r="AP205" s="11" t="n"/>
      <c r="AQ205" s="12" t="n"/>
      <c r="AR205" s="11" t="n"/>
      <c r="AS205" s="11" t="n"/>
      <c r="AT205" s="11" t="n"/>
      <c r="AU205" s="11" t="n"/>
      <c r="AV205" s="12" t="n"/>
      <c r="AW205" s="11" t="n"/>
      <c r="AX205" s="11" t="n"/>
      <c r="AY205" s="11" t="n"/>
      <c r="AZ205" s="11" t="n"/>
      <c r="BA205" s="12" t="n"/>
      <c r="BB205" s="11" t="n"/>
      <c r="BC205" s="11" t="n"/>
      <c r="BD205" s="11" t="n"/>
      <c r="BE205" s="11" t="n"/>
      <c r="BF205" s="12" t="n"/>
      <c r="BG205" s="11" t="n"/>
      <c r="BH205" s="11" t="n"/>
      <c r="BI205" s="11" t="n"/>
      <c r="BJ205" s="11" t="n"/>
      <c r="BK205" s="12" t="n"/>
      <c r="BL205" s="11" t="n"/>
      <c r="BM205" s="11" t="n"/>
      <c r="BN205" s="11" t="n"/>
      <c r="BO205" s="11" t="n"/>
      <c r="BP205" s="12" t="n"/>
      <c r="BQ205" s="11" t="n"/>
      <c r="BR205" s="11" t="n"/>
      <c r="BS205" s="11" t="n"/>
      <c r="BT205" s="11" t="n"/>
      <c r="BU205" s="12" t="n"/>
      <c r="BV205" s="11" t="n"/>
      <c r="BW205" s="11" t="n"/>
      <c r="BX205" s="11" t="n"/>
      <c r="BY205" s="11" t="n"/>
      <c r="BZ205" s="12" t="n"/>
      <c r="CA205" s="11" t="n"/>
      <c r="CB205" s="11" t="n"/>
      <c r="CC205" s="11" t="n"/>
      <c r="CD205" s="11" t="n"/>
      <c r="CE205" s="12" t="n"/>
      <c r="CF205" s="11" t="n"/>
      <c r="CG205" s="11" t="n"/>
      <c r="CH205" s="11" t="n"/>
      <c r="CI205" s="11" t="n"/>
      <c r="CJ205" s="12" t="n"/>
      <c r="CK205" s="11" t="n"/>
      <c r="CL205" s="11" t="n"/>
      <c r="CM205" s="11" t="n"/>
      <c r="CN205" s="11" t="n"/>
      <c r="CO205" s="12" t="n"/>
      <c r="CP205" s="11" t="n"/>
      <c r="CQ205" s="11" t="n"/>
      <c r="CR205" s="11" t="n"/>
      <c r="CS205" s="11" t="n"/>
      <c r="CT205" s="12" t="n"/>
      <c r="CU205" s="11" t="n"/>
      <c r="CV205" s="11" t="n"/>
      <c r="CW205" s="11" t="n"/>
      <c r="CX205" s="11" t="n"/>
      <c r="CY205" s="12" t="n"/>
    </row>
    <row r="206" hidden="1" outlineLevel="1">
      <c r="C206" s="57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collapsed="1">
      <c r="C207" s="14" t="inlineStr">
        <is>
          <t>Current portion of long-term debt</t>
        </is>
      </c>
      <c r="D207" s="46" t="n"/>
      <c r="E207" s="46" t="n"/>
      <c r="F207" s="46" t="n"/>
      <c r="G207" s="46" t="n"/>
      <c r="H207" s="12" t="n"/>
      <c r="I207" s="46">
        <f>'Inputs (2)'!D32</f>
        <v>4.9</v>
      </c>
      <c r="J207" s="46">
        <f>'Inputs (2)'!E32</f>
        <v>1778.5</v>
      </c>
      <c r="K207" s="46">
        <f>'Inputs (2)'!F32</f>
        <v>1563</v>
      </c>
      <c r="L207" s="46">
        <f>'Inputs (2)'!G32</f>
        <v>1538.3</v>
      </c>
      <c r="M207" s="12">
        <f>'Inputs (2)'!H32</f>
        <v>1538.3</v>
      </c>
      <c r="N207" s="46">
        <f>'Inputs (2)'!I32</f>
        <v>1355.9</v>
      </c>
      <c r="O207" s="46">
        <f>'Inputs (2)'!J32</f>
        <v>2121.8</v>
      </c>
      <c r="P207" s="46">
        <f>'Inputs (2)'!K32</f>
        <v>1744.6</v>
      </c>
      <c r="Q207" s="46">
        <f>'Inputs (2)'!L32</f>
        <v>1501.1</v>
      </c>
      <c r="R207" s="12">
        <f>'Inputs (2)'!M32</f>
        <v>1501.1</v>
      </c>
      <c r="S207" s="46">
        <f>'Inputs (2)'!N32</f>
        <v>3.1</v>
      </c>
      <c r="T207" s="46">
        <f>'Inputs (2)'!O32</f>
        <v>661.6</v>
      </c>
      <c r="U207" s="46">
        <f>'Inputs (2)'!P32</f>
        <v>2244.7</v>
      </c>
      <c r="V207" s="46">
        <f>'Inputs (2)'!Q32</f>
        <v>6904.5</v>
      </c>
      <c r="W207" s="12">
        <f>'Inputs (2)'!R32</f>
        <v>6904.5</v>
      </c>
      <c r="X207" s="46">
        <f>'Inputs (2)'!S32</f>
        <v>1651.5</v>
      </c>
      <c r="Y207" s="46">
        <f>'Inputs (2)'!T32</f>
        <v>5161.6</v>
      </c>
      <c r="Z207" s="46">
        <f>'Inputs (2)'!U32</f>
        <v>2074.3</v>
      </c>
      <c r="AA207" s="46">
        <f>'Inputs (2)'!V32</f>
        <v>5117.1</v>
      </c>
      <c r="AB207" s="12">
        <f>'Inputs (2)'!W32</f>
        <v>5117.1</v>
      </c>
      <c r="AC207" s="46">
        <f>'Inputs (2)'!X32</f>
        <v>4016.4</v>
      </c>
      <c r="AD207" s="46">
        <f>'Inputs (2)'!Y32</f>
        <v>5723.7</v>
      </c>
      <c r="AE207" s="46">
        <f>'Inputs (2)'!Z32</f>
        <v>1633</v>
      </c>
      <c r="AF207" s="46">
        <f>'Inputs (2)'!AA32</f>
        <v>1635</v>
      </c>
      <c r="AG207" s="12">
        <f>'Inputs (2)'!AB32</f>
        <v>1635</v>
      </c>
      <c r="AH207" s="12">
        <f>'Inputs (2)'!AC32</f>
        <v>4000</v>
      </c>
      <c r="AI207" s="12">
        <f>'Inputs (2)'!AD32</f>
        <v>7050</v>
      </c>
      <c r="AJ207" s="12">
        <f>AI207</f>
        <v>7050</v>
      </c>
      <c r="AK207" s="12">
        <f>AJ207</f>
        <v>7050</v>
      </c>
      <c r="AL207" s="12">
        <f>AK207</f>
        <v>7050</v>
      </c>
      <c r="AM207" s="12">
        <f>AL207</f>
        <v>7050</v>
      </c>
      <c r="AN207" s="12">
        <f>AM207</f>
        <v>7050</v>
      </c>
      <c r="AO207" s="12">
        <f>AN207</f>
        <v>7050</v>
      </c>
      <c r="AP207" s="12">
        <f>AO207</f>
        <v>7050</v>
      </c>
      <c r="AQ207" s="12">
        <f>AP207</f>
        <v>7050</v>
      </c>
      <c r="AR207" s="12">
        <f>AQ207</f>
        <v>7050</v>
      </c>
      <c r="AS207" s="12">
        <f>AR207</f>
        <v>7050</v>
      </c>
      <c r="AT207" s="12">
        <f>AS207</f>
        <v>7050</v>
      </c>
      <c r="AU207" s="12">
        <f>AT207</f>
        <v>7050</v>
      </c>
      <c r="AV207" s="12">
        <f>AU207</f>
        <v>7050</v>
      </c>
      <c r="AW207" s="12">
        <f>AV207</f>
        <v>7050</v>
      </c>
      <c r="AX207" s="12">
        <f>AW207</f>
        <v>7050</v>
      </c>
      <c r="AY207" s="12">
        <f>AX207</f>
        <v>7050</v>
      </c>
      <c r="AZ207" s="12">
        <f>AY207</f>
        <v>7050</v>
      </c>
      <c r="BA207" s="12">
        <f>AZ207</f>
        <v>7050</v>
      </c>
      <c r="BB207" s="12">
        <f>BA207</f>
        <v>7050</v>
      </c>
      <c r="BC207" s="12">
        <f>BB207</f>
        <v>7050</v>
      </c>
      <c r="BD207" s="12">
        <f>BC207</f>
        <v>7050</v>
      </c>
      <c r="BE207" s="12">
        <f>BD207</f>
        <v>7050</v>
      </c>
      <c r="BF207" s="12">
        <f>BE207</f>
        <v>7050</v>
      </c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>
      <c r="C208" s="14" t="inlineStr">
        <is>
          <t>Short term debt (Revolving credit facility)</t>
        </is>
      </c>
      <c r="D208" s="46" t="n"/>
      <c r="E208" s="46" t="n"/>
      <c r="F208" s="46" t="n"/>
      <c r="G208" s="46" t="n"/>
      <c r="H208" s="12" t="n"/>
      <c r="I208" s="46">
        <f>'Inputs (2)'!D33</f>
        <v>0</v>
      </c>
      <c r="J208" s="46">
        <f>'Inputs (2)'!E33</f>
        <v>0</v>
      </c>
      <c r="K208" s="46">
        <f>'Inputs (2)'!F33</f>
        <v>0</v>
      </c>
      <c r="L208" s="46">
        <f>'Inputs (2)'!G33</f>
        <v>0</v>
      </c>
      <c r="M208" s="12">
        <f>'Inputs (2)'!H33</f>
        <v>0</v>
      </c>
      <c r="N208" s="46">
        <f>'Inputs (2)'!I33</f>
        <v>0</v>
      </c>
      <c r="O208" s="46">
        <f>'Inputs (2)'!J33</f>
        <v>0</v>
      </c>
      <c r="P208" s="46">
        <f>'Inputs (2)'!K33</f>
        <v>0</v>
      </c>
      <c r="Q208" s="46">
        <f>'Inputs (2)'!L33</f>
        <v>0</v>
      </c>
      <c r="R208" s="12">
        <f>'Inputs (2)'!M33</f>
        <v>0</v>
      </c>
      <c r="S208" s="46">
        <f>'Inputs (2)'!N33</f>
        <v>0</v>
      </c>
      <c r="T208" s="46">
        <f>'Inputs (2)'!O33</f>
        <v>0</v>
      </c>
      <c r="U208" s="46">
        <f>'Inputs (2)'!P33</f>
        <v>0</v>
      </c>
      <c r="V208" s="46">
        <f>'Inputs (2)'!Q33</f>
        <v>0</v>
      </c>
      <c r="W208" s="12">
        <f>'Inputs (2)'!R33</f>
        <v>0</v>
      </c>
      <c r="X208" s="46">
        <f>'Inputs (2)'!S33</f>
        <v>0</v>
      </c>
      <c r="Y208" s="46">
        <f>'Inputs (2)'!T33</f>
        <v>0</v>
      </c>
      <c r="Z208" s="46">
        <f>'Inputs (2)'!U33</f>
        <v>0</v>
      </c>
      <c r="AA208" s="46">
        <f>'Inputs (2)'!V33</f>
        <v>0</v>
      </c>
      <c r="AB208" s="12">
        <f>'Inputs (2)'!W33</f>
        <v>0</v>
      </c>
      <c r="AC208" s="46">
        <f>'Inputs (2)'!X33</f>
        <v>0</v>
      </c>
      <c r="AD208" s="46">
        <f>'Inputs (2)'!Y33</f>
        <v>0</v>
      </c>
      <c r="AE208" s="46">
        <f>'Inputs (2)'!Z33</f>
        <v>0</v>
      </c>
      <c r="AF208" s="46">
        <f>'Inputs (2)'!AA33</f>
        <v>0</v>
      </c>
      <c r="AG208" s="12">
        <f>'Inputs (2)'!AB33</f>
        <v>0</v>
      </c>
      <c r="AH208" s="12">
        <f>'Inputs (2)'!AC33</f>
        <v>0</v>
      </c>
      <c r="AI208" s="12">
        <f>'Inputs (2)'!AD33</f>
        <v>0</v>
      </c>
      <c r="AJ208" s="12">
        <f>AI208</f>
        <v>0</v>
      </c>
      <c r="AK208" s="12">
        <f>AJ208</f>
        <v>0</v>
      </c>
      <c r="AL208" s="12">
        <f>AK208</f>
        <v>0</v>
      </c>
      <c r="AM208" s="12">
        <f>AL208</f>
        <v>0</v>
      </c>
      <c r="AN208" s="12">
        <f>AM208</f>
        <v>0</v>
      </c>
      <c r="AO208" s="12">
        <f>AN208</f>
        <v>0</v>
      </c>
      <c r="AP208" s="12">
        <f>AO208</f>
        <v>0</v>
      </c>
      <c r="AQ208" s="12">
        <f>AP208</f>
        <v>0</v>
      </c>
      <c r="AR208" s="12">
        <f>AQ208</f>
        <v>0</v>
      </c>
      <c r="AS208" s="12">
        <f>AR208</f>
        <v>0</v>
      </c>
      <c r="AT208" s="12">
        <f>AS208</f>
        <v>0</v>
      </c>
      <c r="AU208" s="12">
        <f>AT208</f>
        <v>0</v>
      </c>
      <c r="AV208" s="12">
        <f>AU208</f>
        <v>0</v>
      </c>
      <c r="AW208" s="12">
        <f>AV208</f>
        <v>0</v>
      </c>
      <c r="AX208" s="12">
        <f>AW208</f>
        <v>0</v>
      </c>
      <c r="AY208" s="12">
        <f>AX208</f>
        <v>0</v>
      </c>
      <c r="AZ208" s="12">
        <f>AY208</f>
        <v>0</v>
      </c>
      <c r="BA208" s="12">
        <f>AZ208</f>
        <v>0</v>
      </c>
      <c r="BB208" s="12">
        <f>BA208</f>
        <v>0</v>
      </c>
      <c r="BC208" s="12">
        <f>BB208</f>
        <v>0</v>
      </c>
      <c r="BD208" s="12">
        <f>BC208</f>
        <v>0</v>
      </c>
      <c r="BE208" s="12">
        <f>BD208</f>
        <v>0</v>
      </c>
      <c r="BF208" s="12">
        <f>BE208</f>
        <v>0</v>
      </c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>
      <c r="C209" s="14" t="inlineStr">
        <is>
          <t>Short term operating leases</t>
        </is>
      </c>
      <c r="D209" s="46" t="n"/>
      <c r="E209" s="46" t="n"/>
      <c r="F209" s="46" t="n"/>
      <c r="G209" s="46" t="n"/>
      <c r="H209" s="12" t="n"/>
      <c r="I209" s="46">
        <f>'Inputs (2)'!D34</f>
        <v>0</v>
      </c>
      <c r="J209" s="46">
        <f>'Inputs (2)'!E34</f>
        <v>0</v>
      </c>
      <c r="K209" s="46">
        <f>'Inputs (2)'!F34</f>
        <v>0</v>
      </c>
      <c r="L209" s="46">
        <f>'Inputs (2)'!G34</f>
        <v>0</v>
      </c>
      <c r="M209" s="12">
        <f>'Inputs (2)'!H34</f>
        <v>0</v>
      </c>
      <c r="N209" s="46">
        <f>'Inputs (2)'!I34</f>
        <v>0</v>
      </c>
      <c r="O209" s="46">
        <f>'Inputs (2)'!J34</f>
        <v>0</v>
      </c>
      <c r="P209" s="46">
        <f>'Inputs (2)'!K34</f>
        <v>0</v>
      </c>
      <c r="Q209" s="46">
        <f>'Inputs (2)'!L34</f>
        <v>0</v>
      </c>
      <c r="R209" s="12">
        <f>'Inputs (2)'!M34</f>
        <v>0</v>
      </c>
      <c r="S209" s="46">
        <f>'Inputs (2)'!N34</f>
        <v>0</v>
      </c>
      <c r="T209" s="46">
        <f>'Inputs (2)'!O34</f>
        <v>0</v>
      </c>
      <c r="U209" s="46">
        <f>'Inputs (2)'!P34</f>
        <v>0</v>
      </c>
      <c r="V209" s="46">
        <f>'Inputs (2)'!Q34</f>
        <v>0</v>
      </c>
      <c r="W209" s="12">
        <f>'Inputs (2)'!R34</f>
        <v>0</v>
      </c>
      <c r="X209" s="46">
        <f>'Inputs (2)'!S34</f>
        <v>0</v>
      </c>
      <c r="Y209" s="46">
        <f>'Inputs (2)'!T34</f>
        <v>0</v>
      </c>
      <c r="Z209" s="46">
        <f>'Inputs (2)'!U34</f>
        <v>0</v>
      </c>
      <c r="AA209" s="46">
        <f>'Inputs (2)'!V34</f>
        <v>0</v>
      </c>
      <c r="AB209" s="12">
        <f>'Inputs (2)'!W34</f>
        <v>0</v>
      </c>
      <c r="AC209" s="46">
        <f>'Inputs (2)'!X34</f>
        <v>0</v>
      </c>
      <c r="AD209" s="46">
        <f>'Inputs (2)'!Y34</f>
        <v>0</v>
      </c>
      <c r="AE209" s="46">
        <f>'Inputs (2)'!Z34</f>
        <v>0</v>
      </c>
      <c r="AF209" s="46">
        <f>'Inputs (2)'!AA34</f>
        <v>0</v>
      </c>
      <c r="AG209" s="12">
        <f>'Inputs (2)'!AB34</f>
        <v>0</v>
      </c>
      <c r="AH209" s="12">
        <f>'Inputs (2)'!AC34</f>
        <v>0</v>
      </c>
      <c r="AI209" s="12">
        <f>'Inputs (2)'!AD34</f>
        <v>0</v>
      </c>
      <c r="AJ209" s="12">
        <f>AI209</f>
        <v>0</v>
      </c>
      <c r="AK209" s="12">
        <f>AJ209</f>
        <v>0</v>
      </c>
      <c r="AL209" s="12">
        <f>AK209</f>
        <v>0</v>
      </c>
      <c r="AM209" s="12">
        <f>AL209</f>
        <v>0</v>
      </c>
      <c r="AN209" s="12">
        <f>AM209</f>
        <v>0</v>
      </c>
      <c r="AO209" s="12">
        <f>AN209</f>
        <v>0</v>
      </c>
      <c r="AP209" s="12">
        <f>AO209</f>
        <v>0</v>
      </c>
      <c r="AQ209" s="12">
        <f>AP209</f>
        <v>0</v>
      </c>
      <c r="AR209" s="12">
        <f>AQ209</f>
        <v>0</v>
      </c>
      <c r="AS209" s="12">
        <f>AR209</f>
        <v>0</v>
      </c>
      <c r="AT209" s="12">
        <f>AS209</f>
        <v>0</v>
      </c>
      <c r="AU209" s="12">
        <f>AT209</f>
        <v>0</v>
      </c>
      <c r="AV209" s="12">
        <f>AU209</f>
        <v>0</v>
      </c>
      <c r="AW209" s="12">
        <f>AV209</f>
        <v>0</v>
      </c>
      <c r="AX209" s="12">
        <f>AW209</f>
        <v>0</v>
      </c>
      <c r="AY209" s="12">
        <f>AX209</f>
        <v>0</v>
      </c>
      <c r="AZ209" s="12">
        <f>AY209</f>
        <v>0</v>
      </c>
      <c r="BA209" s="12">
        <f>AZ209</f>
        <v>0</v>
      </c>
      <c r="BB209" s="12">
        <f>BA209</f>
        <v>0</v>
      </c>
      <c r="BC209" s="12">
        <f>BB209</f>
        <v>0</v>
      </c>
      <c r="BD209" s="12">
        <f>BC209</f>
        <v>0</v>
      </c>
      <c r="BE209" s="12">
        <f>BD209</f>
        <v>0</v>
      </c>
      <c r="BF209" s="12">
        <f>BE209</f>
        <v>0</v>
      </c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9" t="inlineStr">
        <is>
          <t>%(Var.)</t>
        </is>
      </c>
      <c r="D210" s="12" t="n"/>
      <c r="E210" s="40" t="n"/>
      <c r="F210" s="40" t="n"/>
      <c r="G210" s="40" t="n"/>
      <c r="H210" s="12" t="n"/>
      <c r="I210" s="40" t="str">
        <f>""</f>
        <v/>
      </c>
      <c r="J210" s="40" t="str">
        <f>IFERROR(IF(I209=0,"",J209/I209-1),"")</f>
        <v/>
      </c>
      <c r="K210" s="40" t="str">
        <f>IFERROR(IF(J209=0,"",K209/J209-1),"")</f>
        <v/>
      </c>
      <c r="L210" s="40" t="str">
        <f>IFERROR(IF(K209=0,"",L209/K209-1),"")</f>
        <v/>
      </c>
      <c r="M210" s="12" t="str">
        <f>IF(L209=0,"",M209/L209-1)</f>
        <v/>
      </c>
      <c r="N210" s="40" t="str">
        <f>IFERROR(IF(M209=0,"",N209/M209-1),"")</f>
        <v/>
      </c>
      <c r="O210" s="40" t="str">
        <f>IFERROR(IF(N209=0,"",O209/N209-1),"")</f>
        <v/>
      </c>
      <c r="P210" s="40" t="str">
        <f>IFERROR(IF(O209=0,"",P209/O209-1),"")</f>
        <v/>
      </c>
      <c r="Q210" s="40" t="str">
        <f>IFERROR(IF(P209=0,"",Q209/P209-1),"")</f>
        <v/>
      </c>
      <c r="R210" s="12" t="str">
        <f>IF(Q209=0,"",R209/Q209-1)</f>
        <v/>
      </c>
      <c r="S210" s="40" t="str">
        <f>IFERROR(IF(R209=0,"",S209/R209-1),"")</f>
        <v/>
      </c>
      <c r="T210" s="40" t="str">
        <f>IFERROR(IF(S209=0,"",T209/S209-1),"")</f>
        <v/>
      </c>
      <c r="U210" s="40" t="str">
        <f>IFERROR(IF(T209=0,"",U209/T209-1),"")</f>
        <v/>
      </c>
      <c r="V210" s="40" t="str">
        <f>IFERROR(IF(U209=0,"",V209/U209-1),"")</f>
        <v/>
      </c>
      <c r="W210" s="12" t="str">
        <f>IF(V209=0,"",W209/V209-1)</f>
        <v/>
      </c>
      <c r="X210" s="40" t="str">
        <f>IFERROR(IF(W209=0,"",X209/W209-1),"")</f>
        <v/>
      </c>
      <c r="Y210" s="40" t="str">
        <f>IFERROR(IF(X209=0,"",Y209/X209-1),"")</f>
        <v/>
      </c>
      <c r="Z210" s="40" t="str">
        <f>IFERROR(IF(Y209=0,"",Z209/Y209-1),"")</f>
        <v/>
      </c>
      <c r="AA210" s="40" t="str">
        <f>IFERROR(IF(Z209=0,"",AA209/Z209-1),"")</f>
        <v/>
      </c>
      <c r="AB210" s="12" t="str">
        <f>IF(AA209=0,"",AB209/AA209-1)</f>
        <v/>
      </c>
      <c r="AC210" s="40" t="str">
        <f>IFERROR(IF(AB209=0,"",AC209/AB209-1),"")</f>
        <v/>
      </c>
      <c r="AD210" s="40" t="str">
        <f>IFERROR(IF(AC209=0,"",AD209/AC209-1),"")</f>
        <v/>
      </c>
      <c r="AE210" s="40" t="str">
        <f>IFERROR(IF(AD209=0,"",AE209/AD209-1),"")</f>
        <v/>
      </c>
      <c r="AF210" s="11" t="str">
        <f>IFERROR(IF(AE209=0,"",AF209/AE209-1),"")</f>
        <v/>
      </c>
      <c r="AG210" s="12" t="str">
        <f>IF(AF209=0,"",AG209/AF209-1)</f>
        <v/>
      </c>
      <c r="AH210" s="11" t="str">
        <f>IFERROR(IF(AG209=0,"",AH209/AG209-1),"")</f>
        <v/>
      </c>
      <c r="AI210" s="11" t="str">
        <f>IFERROR(IF(AH209=0,"",AI209/AH209-1),"")</f>
        <v/>
      </c>
      <c r="AJ210" s="11" t="str">
        <f>IFERROR(IF(AI209=0,"",AJ209/AI209-1),"")</f>
        <v/>
      </c>
      <c r="AK210" s="11" t="str">
        <f>IFERROR(IF(AJ209=0,"",AK209/AJ209-1),"")</f>
        <v/>
      </c>
      <c r="AL210" s="12" t="str">
        <f>IFERROR(IF(AK209=0,"",AL209/AK209-1),"")</f>
        <v/>
      </c>
      <c r="AM210" s="11" t="str">
        <f>IFERROR(IF(AL209=0,"",AM209/AL209-1),"")</f>
        <v/>
      </c>
      <c r="AN210" s="11" t="str">
        <f>IFERROR(IF(AM209=0,"",AN209/AM209-1),"")</f>
        <v/>
      </c>
      <c r="AO210" s="11" t="str">
        <f>IFERROR(IF(AN209=0,"",AO209/AN209-1),"")</f>
        <v/>
      </c>
      <c r="AP210" s="11" t="str">
        <f>IFERROR(IF(AO209=0,"",AP209/AO209-1),"")</f>
        <v/>
      </c>
      <c r="AQ210" s="12" t="str">
        <f>IFERROR(IF(AP209=0,"",AQ209/AP209-1),"")</f>
        <v/>
      </c>
      <c r="AR210" s="11" t="str">
        <f>IFERROR(IF(AQ209=0,"",AR209/AQ209-1),"")</f>
        <v/>
      </c>
      <c r="AS210" s="11" t="str">
        <f>IFERROR(IF(AR209=0,"",AS209/AR209-1),"")</f>
        <v/>
      </c>
      <c r="AT210" s="11" t="str">
        <f>IFERROR(IF(AS209=0,"",AT209/AS209-1),"")</f>
        <v/>
      </c>
      <c r="AU210" s="11" t="str">
        <f>IFERROR(IF(AT209=0,"",AU209/AT209-1),"")</f>
        <v/>
      </c>
      <c r="AV210" s="12" t="str">
        <f>IFERROR(IF(AU209=0,"",AV209/AU209-1),"")</f>
        <v/>
      </c>
      <c r="AW210" s="11" t="str">
        <f>IFERROR(IF(AV209=0,"",AW209/AV209-1),"")</f>
        <v/>
      </c>
      <c r="AX210" s="11" t="str">
        <f>IFERROR(IF(AW209=0,"",AX209/AW209-1),"")</f>
        <v/>
      </c>
      <c r="AY210" s="11" t="str">
        <f>IFERROR(IF(AX209=0,"",AY209/AX209-1),"")</f>
        <v/>
      </c>
      <c r="AZ210" s="11" t="str">
        <f>IFERROR(IF(AY209=0,"",AZ209/AY209-1),"")</f>
        <v/>
      </c>
      <c r="BA210" s="12" t="str">
        <f>IFERROR(IF(AZ209=0,"",BA209/AZ209-1),"")</f>
        <v/>
      </c>
      <c r="BB210" s="11" t="str">
        <f>IFERROR(IF(BA209=0,"",BB209/BA209-1),"")</f>
        <v/>
      </c>
      <c r="BC210" s="11" t="str">
        <f>IFERROR(IF(BB209=0,"",BC209/BB209-1),"")</f>
        <v/>
      </c>
      <c r="BD210" s="11" t="str">
        <f>IFERROR(IF(BC209=0,"",BD209/BC209-1),"")</f>
        <v/>
      </c>
      <c r="BE210" s="11" t="str">
        <f>IFERROR(IF(BD209=0,"",BE209/BD209-1),"")</f>
        <v/>
      </c>
      <c r="BF210" s="12" t="str">
        <f>IFERROR(IF(BE209=0,"",BF209/BE209-1),"")</f>
        <v/>
      </c>
      <c r="BG210" s="11" t="n"/>
      <c r="BH210" s="11" t="n"/>
      <c r="BI210" s="11" t="n"/>
      <c r="BJ210" s="11" t="n"/>
      <c r="BK210" s="12" t="n"/>
      <c r="BL210" s="11" t="n"/>
      <c r="BM210" s="11" t="n"/>
      <c r="BN210" s="11" t="n"/>
      <c r="BO210" s="11" t="n"/>
      <c r="BP210" s="12" t="n"/>
      <c r="BQ210" s="11" t="n"/>
      <c r="BR210" s="11" t="n"/>
      <c r="BS210" s="11" t="n"/>
      <c r="BT210" s="11" t="n"/>
      <c r="BU210" s="12" t="n"/>
      <c r="BV210" s="11" t="n"/>
      <c r="BW210" s="11" t="n"/>
      <c r="BX210" s="11" t="n"/>
      <c r="BY210" s="11" t="n"/>
      <c r="BZ210" s="12" t="n"/>
      <c r="CA210" s="11" t="n"/>
      <c r="CB210" s="11" t="n"/>
      <c r="CC210" s="11" t="n"/>
      <c r="CD210" s="11" t="n"/>
      <c r="CE210" s="12" t="n"/>
      <c r="CF210" s="11" t="n"/>
      <c r="CG210" s="11" t="n"/>
      <c r="CH210" s="11" t="n"/>
      <c r="CI210" s="11" t="n"/>
      <c r="CJ210" s="12" t="n"/>
      <c r="CK210" s="11" t="n"/>
      <c r="CL210" s="11" t="n"/>
      <c r="CM210" s="11" t="n"/>
      <c r="CN210" s="11" t="n"/>
      <c r="CO210" s="12" t="n"/>
      <c r="CP210" s="11" t="n"/>
      <c r="CQ210" s="11" t="n"/>
      <c r="CR210" s="11" t="n"/>
      <c r="CS210" s="11" t="n"/>
      <c r="CT210" s="12" t="n"/>
      <c r="CU210" s="11" t="n"/>
      <c r="CV210" s="11" t="n"/>
      <c r="CW210" s="11" t="n"/>
      <c r="CX210" s="11" t="n"/>
      <c r="CY210" s="12" t="n"/>
    </row>
    <row r="211" hidden="1" outlineLevel="1">
      <c r="C211" s="57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collapsed="1">
      <c r="C212" s="14" t="inlineStr">
        <is>
          <t>Long term debt</t>
        </is>
      </c>
      <c r="D212" s="46" t="n"/>
      <c r="E212" s="46" t="n"/>
      <c r="F212" s="46" t="n"/>
      <c r="G212" s="46" t="n"/>
      <c r="H212" s="12" t="n"/>
      <c r="I212" s="46">
        <f>'Inputs (2)'!D35</f>
        <v>16199.6</v>
      </c>
      <c r="J212" s="46">
        <f>'Inputs (2)'!E35</f>
        <v>14736.6</v>
      </c>
      <c r="K212" s="46">
        <f>'Inputs (2)'!F35</f>
        <v>15522.4</v>
      </c>
      <c r="L212" s="46">
        <f>'Inputs (2)'!G35</f>
        <v>15346.4</v>
      </c>
      <c r="M212" s="12">
        <f>'Inputs (2)'!H35</f>
        <v>15346.4</v>
      </c>
      <c r="N212" s="46">
        <f>'Inputs (2)'!I35</f>
        <v>15152.9</v>
      </c>
      <c r="O212" s="46">
        <f>'Inputs (2)'!J35</f>
        <v>14692</v>
      </c>
      <c r="P212" s="46">
        <f>'Inputs (2)'!K35</f>
        <v>14143.8</v>
      </c>
      <c r="Q212" s="46">
        <f>'Inputs (2)'!L35</f>
        <v>14737.5</v>
      </c>
      <c r="R212" s="12">
        <f>'Inputs (2)'!M35</f>
        <v>14737.5</v>
      </c>
      <c r="S212" s="46">
        <f>'Inputs (2)'!N35</f>
        <v>18880.5</v>
      </c>
      <c r="T212" s="46">
        <f>'Inputs (2)'!O35</f>
        <v>18158.4</v>
      </c>
      <c r="U212" s="46">
        <f>'Inputs (2)'!P35</f>
        <v>17923.6</v>
      </c>
      <c r="V212" s="46">
        <f>'Inputs (2)'!Q35</f>
        <v>18320.8</v>
      </c>
      <c r="W212" s="12">
        <f>'Inputs (2)'!R35</f>
        <v>18320.8</v>
      </c>
      <c r="X212" s="46">
        <f>'Inputs (2)'!S35</f>
        <v>24559.9</v>
      </c>
      <c r="Y212" s="46">
        <f>'Inputs (2)'!T35</f>
        <v>23730.4</v>
      </c>
      <c r="Z212" s="46">
        <f>'Inputs (2)'!U35</f>
        <v>29045.4</v>
      </c>
      <c r="AA212" s="46">
        <f>'Inputs (2)'!V35</f>
        <v>28527.1</v>
      </c>
      <c r="AB212" s="12">
        <f>'Inputs (2)'!W35</f>
        <v>28527.1</v>
      </c>
      <c r="AC212" s="46">
        <f>'Inputs (2)'!X35</f>
        <v>34499.5</v>
      </c>
      <c r="AD212" s="46">
        <f>'Inputs (2)'!Y35</f>
        <v>34180.1</v>
      </c>
      <c r="AE212" s="46">
        <f>'Inputs (2)'!Z35</f>
        <v>40873.6</v>
      </c>
      <c r="AF212" s="46">
        <f>'Inputs (2)'!AA35</f>
        <v>40868</v>
      </c>
      <c r="AG212" s="12">
        <f>'Inputs (2)'!AB35</f>
        <v>40868</v>
      </c>
      <c r="AH212" s="12">
        <f>'Inputs (2)'!AC35</f>
        <v>39370</v>
      </c>
      <c r="AI212" s="12">
        <f>'Inputs (2)'!AD35</f>
        <v>47858</v>
      </c>
      <c r="AJ212" s="12">
        <f>AJ218</f>
        <v>47858</v>
      </c>
      <c r="AK212" s="12">
        <f>AK218</f>
        <v>47858</v>
      </c>
      <c r="AL212" s="12">
        <f>AK212</f>
        <v>47858</v>
      </c>
      <c r="AM212" s="12">
        <f>AM218</f>
        <v>47858</v>
      </c>
      <c r="AN212" s="12">
        <f>AN218</f>
        <v>47858</v>
      </c>
      <c r="AO212" s="12">
        <f>AO218</f>
        <v>47858</v>
      </c>
      <c r="AP212" s="12">
        <f>AP218</f>
        <v>47858</v>
      </c>
      <c r="AQ212" s="12">
        <f>AP212</f>
        <v>47858</v>
      </c>
      <c r="AR212" s="12">
        <f>AR218</f>
        <v>47858</v>
      </c>
      <c r="AS212" s="12">
        <f>AS218</f>
        <v>47858</v>
      </c>
      <c r="AT212" s="12">
        <f>AT218</f>
        <v>47858</v>
      </c>
      <c r="AU212" s="12">
        <f>AU218</f>
        <v>47858</v>
      </c>
      <c r="AV212" s="12">
        <f>AU212</f>
        <v>47858</v>
      </c>
      <c r="AW212" s="12">
        <f>AW218</f>
        <v>47858</v>
      </c>
      <c r="AX212" s="12">
        <f>AX218</f>
        <v>47858</v>
      </c>
      <c r="AY212" s="12">
        <f>AY218</f>
        <v>47858</v>
      </c>
      <c r="AZ212" s="12">
        <f>AZ218</f>
        <v>47858</v>
      </c>
      <c r="BA212" s="12">
        <f>AZ212</f>
        <v>47858</v>
      </c>
      <c r="BB212" s="12">
        <f>BB218</f>
        <v>47858</v>
      </c>
      <c r="BC212" s="12">
        <f>BC218</f>
        <v>47858</v>
      </c>
      <c r="BD212" s="12">
        <f>BD218</f>
        <v>47858</v>
      </c>
      <c r="BE212" s="12">
        <f>BE218</f>
        <v>47858</v>
      </c>
      <c r="BF212" s="12">
        <f>BE212</f>
        <v>47858</v>
      </c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inlineStr">
        <is>
          <t>Current portion of LTD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>
        <f>AF207</f>
        <v>1635</v>
      </c>
      <c r="AI214" s="62" t="n"/>
      <c r="AJ214" s="62" t="n"/>
      <c r="AK214" s="62" t="n"/>
      <c r="AL214" s="12" t="n"/>
      <c r="AM214" s="12">
        <f>AK207</f>
        <v>7050</v>
      </c>
      <c r="AN214" s="62" t="n"/>
      <c r="AO214" s="62" t="n"/>
      <c r="AP214" s="62" t="n"/>
      <c r="AQ214" s="12" t="n"/>
      <c r="AR214" s="12">
        <f>AP207</f>
        <v>7050</v>
      </c>
      <c r="AS214" s="62" t="n"/>
      <c r="AT214" s="62" t="n"/>
      <c r="AU214" s="62" t="n"/>
      <c r="AV214" s="12" t="n"/>
      <c r="AW214" s="12">
        <f>AU207</f>
        <v>7050</v>
      </c>
      <c r="AX214" s="62" t="n"/>
      <c r="AY214" s="62" t="n"/>
      <c r="AZ214" s="62" t="n"/>
      <c r="BA214" s="12" t="n"/>
      <c r="BB214" s="12">
        <f>AZ207</f>
        <v>7050</v>
      </c>
      <c r="BC214" s="62" t="n"/>
      <c r="BD214" s="62" t="n"/>
      <c r="BE214" s="62" t="n"/>
      <c r="BF214" s="12" t="n"/>
      <c r="BG214" s="12" t="n"/>
      <c r="BH214" s="62" t="n"/>
      <c r="BI214" s="62" t="n"/>
      <c r="BJ214" s="62" t="n"/>
      <c r="BK214" s="12" t="n"/>
      <c r="BL214" s="12" t="n"/>
      <c r="BM214" s="62" t="n"/>
      <c r="BN214" s="62" t="n"/>
      <c r="BO214" s="62" t="n"/>
      <c r="BP214" s="12" t="n"/>
      <c r="BQ214" s="12" t="n"/>
      <c r="BR214" s="62" t="n"/>
      <c r="BS214" s="62" t="n"/>
      <c r="BT214" s="62" t="n"/>
      <c r="BU214" s="12" t="n"/>
      <c r="BV214" s="12" t="n"/>
      <c r="BW214" s="62" t="n"/>
      <c r="BX214" s="62" t="n"/>
      <c r="BY214" s="62" t="n"/>
      <c r="BZ214" s="12" t="n"/>
      <c r="CA214" s="12" t="n"/>
      <c r="CB214" s="62" t="n"/>
      <c r="CC214" s="62" t="n"/>
      <c r="CD214" s="62" t="n"/>
      <c r="CE214" s="12" t="n"/>
      <c r="CF214" s="12" t="n"/>
      <c r="CG214" s="62" t="n"/>
      <c r="CH214" s="62" t="n"/>
      <c r="CI214" s="62" t="n"/>
      <c r="CJ214" s="12" t="n"/>
      <c r="CK214" s="12" t="n"/>
      <c r="CL214" s="62" t="n"/>
      <c r="CM214" s="62" t="n"/>
      <c r="CN214" s="62" t="n"/>
      <c r="CO214" s="12" t="n"/>
      <c r="CP214" s="12" t="n"/>
      <c r="CQ214" s="62" t="n"/>
      <c r="CR214" s="62" t="n"/>
      <c r="CS214" s="62" t="n"/>
      <c r="CT214" s="12" t="n"/>
      <c r="CU214" s="12" t="n"/>
      <c r="CV214" s="62" t="n"/>
      <c r="CW214" s="62" t="n"/>
      <c r="CX214" s="62" t="n"/>
      <c r="CY214" s="12" t="n"/>
    </row>
    <row r="215" hidden="1" outlineLevel="1">
      <c r="C215" s="57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inlineStr">
        <is>
          <t>Reclassification of LTD to CP of LTD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>
        <f>-AI214</f>
        <v>0</v>
      </c>
      <c r="AJ216" s="12">
        <f>-AJ214</f>
        <v>0</v>
      </c>
      <c r="AK216" s="12">
        <f>-AK214</f>
        <v>0</v>
      </c>
      <c r="AL216" s="12" t="n"/>
      <c r="AM216" s="12" t="n"/>
      <c r="AN216" s="12">
        <f>-AN214</f>
        <v>0</v>
      </c>
      <c r="AO216" s="12">
        <f>-AO214</f>
        <v>0</v>
      </c>
      <c r="AP216" s="12">
        <f>-AP214</f>
        <v>0</v>
      </c>
      <c r="AQ216" s="12" t="n"/>
      <c r="AR216" s="12" t="n"/>
      <c r="AS216" s="12">
        <f>-AS214</f>
        <v>0</v>
      </c>
      <c r="AT216" s="12">
        <f>-AT214</f>
        <v>0</v>
      </c>
      <c r="AU216" s="12">
        <f>-AU214</f>
        <v>0</v>
      </c>
      <c r="AV216" s="12" t="n"/>
      <c r="AW216" s="12" t="n"/>
      <c r="AX216" s="12">
        <f>-AX214</f>
        <v>0</v>
      </c>
      <c r="AY216" s="12">
        <f>-AY214</f>
        <v>0</v>
      </c>
      <c r="AZ216" s="12">
        <f>-AZ214</f>
        <v>0</v>
      </c>
      <c r="BA216" s="12" t="n"/>
      <c r="BB216" s="12" t="n"/>
      <c r="BC216" s="12">
        <f>-BC214</f>
        <v>0</v>
      </c>
      <c r="BD216" s="12">
        <f>-BD214</f>
        <v>0</v>
      </c>
      <c r="BE216" s="12">
        <f>-BE214</f>
        <v>0</v>
      </c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inlineStr">
        <is>
          <t>Discretionary (paydown)/borrowing of long term debt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62" t="n"/>
      <c r="AI217" s="62" t="n"/>
      <c r="AJ217" s="62" t="n"/>
      <c r="AK217" s="62" t="n"/>
      <c r="AL217" s="12" t="n"/>
      <c r="AM217" s="62" t="n"/>
      <c r="AN217" s="62" t="n"/>
      <c r="AO217" s="62" t="n"/>
      <c r="AP217" s="62" t="n"/>
      <c r="AQ217" s="12" t="n"/>
      <c r="AR217" s="62" t="n"/>
      <c r="AS217" s="62" t="n"/>
      <c r="AT217" s="62" t="n"/>
      <c r="AU217" s="62" t="n"/>
      <c r="AV217" s="12" t="n"/>
      <c r="AW217" s="62" t="n"/>
      <c r="AX217" s="62" t="n"/>
      <c r="AY217" s="62" t="n"/>
      <c r="AZ217" s="62" t="n"/>
      <c r="BA217" s="12" t="n"/>
      <c r="BB217" s="62" t="n"/>
      <c r="BC217" s="62" t="n"/>
      <c r="BD217" s="62" t="n"/>
      <c r="BE217" s="62" t="n"/>
      <c r="BF217" s="12" t="n"/>
      <c r="BG217" s="62" t="n"/>
      <c r="BH217" s="62" t="n"/>
      <c r="BI217" s="62" t="n"/>
      <c r="BJ217" s="62" t="n"/>
      <c r="BK217" s="12" t="n"/>
      <c r="BL217" s="62" t="n"/>
      <c r="BM217" s="62" t="n"/>
      <c r="BN217" s="62" t="n"/>
      <c r="BO217" s="62" t="n"/>
      <c r="BP217" s="12" t="n"/>
      <c r="BQ217" s="62" t="n"/>
      <c r="BR217" s="62" t="n"/>
      <c r="BS217" s="62" t="n"/>
      <c r="BT217" s="62" t="n"/>
      <c r="BU217" s="12" t="n"/>
      <c r="BV217" s="62" t="n"/>
      <c r="BW217" s="62" t="n"/>
      <c r="BX217" s="62" t="n"/>
      <c r="BY217" s="62" t="n"/>
      <c r="BZ217" s="12" t="n"/>
      <c r="CA217" s="62" t="n"/>
      <c r="CB217" s="62" t="n"/>
      <c r="CC217" s="62" t="n"/>
      <c r="CD217" s="62" t="n"/>
      <c r="CE217" s="12" t="n"/>
      <c r="CF217" s="62" t="n"/>
      <c r="CG217" s="62" t="n"/>
      <c r="CH217" s="62" t="n"/>
      <c r="CI217" s="62" t="n"/>
      <c r="CJ217" s="12" t="n"/>
      <c r="CK217" s="62" t="n"/>
      <c r="CL217" s="62" t="n"/>
      <c r="CM217" s="62" t="n"/>
      <c r="CN217" s="62" t="n"/>
      <c r="CO217" s="12" t="n"/>
      <c r="CP217" s="62" t="n"/>
      <c r="CQ217" s="62" t="n"/>
      <c r="CR217" s="62" t="n"/>
      <c r="CS217" s="62" t="n"/>
      <c r="CT217" s="12" t="n"/>
      <c r="CU217" s="62" t="n"/>
      <c r="CV217" s="62" t="n"/>
      <c r="CW217" s="62" t="n"/>
      <c r="CX217" s="62" t="n"/>
      <c r="CY217" s="12" t="n"/>
    </row>
    <row r="218" hidden="1" outlineLevel="1">
      <c r="C218" s="57" t="inlineStr">
        <is>
          <t>Long term debt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>
        <f>AH212</f>
        <v>39370</v>
      </c>
      <c r="AI218" s="12">
        <f>AI212</f>
        <v>47858</v>
      </c>
      <c r="AJ218" s="12">
        <f>AI218+SUM(AJ216:AJ217)</f>
        <v>47858</v>
      </c>
      <c r="AK218" s="12">
        <f>AJ218+SUM(AK216:AK217)</f>
        <v>47858</v>
      </c>
      <c r="AL218" s="12" t="n"/>
      <c r="AM218" s="12">
        <f>AK218+SUM(AM216:AM217)</f>
        <v>47858</v>
      </c>
      <c r="AN218" s="12">
        <f>AM218+SUM(AN216:AN217)</f>
        <v>47858</v>
      </c>
      <c r="AO218" s="12">
        <f>AN218+SUM(AO216:AO217)</f>
        <v>47858</v>
      </c>
      <c r="AP218" s="12">
        <f>AO218+SUM(AP216:AP217)</f>
        <v>47858</v>
      </c>
      <c r="AQ218" s="12" t="n"/>
      <c r="AR218" s="12">
        <f>AP218+SUM(AR216:AR217)</f>
        <v>47858</v>
      </c>
      <c r="AS218" s="12">
        <f>AR218+SUM(AS216:AS217)</f>
        <v>47858</v>
      </c>
      <c r="AT218" s="12">
        <f>AS218+SUM(AT216:AT217)</f>
        <v>47858</v>
      </c>
      <c r="AU218" s="12">
        <f>AT218+SUM(AU216:AU217)</f>
        <v>47858</v>
      </c>
      <c r="AV218" s="12" t="n"/>
      <c r="AW218" s="12">
        <f>AU218+SUM(AW216:AW217)</f>
        <v>47858</v>
      </c>
      <c r="AX218" s="12">
        <f>AW218+SUM(AX216:AX217)</f>
        <v>47858</v>
      </c>
      <c r="AY218" s="12">
        <f>AX218+SUM(AY216:AY217)</f>
        <v>47858</v>
      </c>
      <c r="AZ218" s="12">
        <f>AY218+SUM(AZ216:AZ217)</f>
        <v>47858</v>
      </c>
      <c r="BA218" s="12" t="n"/>
      <c r="BB218" s="12">
        <f>AZ218+SUM(BB216:BB217)</f>
        <v>47858</v>
      </c>
      <c r="BC218" s="12">
        <f>BB218+SUM(BC216:BC217)</f>
        <v>47858</v>
      </c>
      <c r="BD218" s="12">
        <f>BC218+SUM(BD216:BD217)</f>
        <v>47858</v>
      </c>
      <c r="BE218" s="12">
        <f>BD218+SUM(BE216:BE217)</f>
        <v>47858</v>
      </c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inlineStr">
        <is>
          <t>Discretionary (paydown)/borrowing of convertible debt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62" t="n"/>
      <c r="AI220" s="62" t="n"/>
      <c r="AJ220" s="62" t="n"/>
      <c r="AK220" s="62" t="n"/>
      <c r="AL220" s="12" t="n"/>
      <c r="AM220" s="62" t="n"/>
      <c r="AN220" s="62" t="n"/>
      <c r="AO220" s="62" t="n"/>
      <c r="AP220" s="62" t="n"/>
      <c r="AQ220" s="12" t="n"/>
      <c r="AR220" s="62" t="n"/>
      <c r="AS220" s="62" t="n"/>
      <c r="AT220" s="62" t="n"/>
      <c r="AU220" s="62" t="n"/>
      <c r="AV220" s="12" t="n"/>
      <c r="AW220" s="62" t="n"/>
      <c r="AX220" s="62" t="n"/>
      <c r="AY220" s="62" t="n"/>
      <c r="AZ220" s="62" t="n"/>
      <c r="BA220" s="12" t="n"/>
      <c r="BB220" s="62" t="n"/>
      <c r="BC220" s="62" t="n"/>
      <c r="BD220" s="62" t="n"/>
      <c r="BE220" s="62" t="n"/>
      <c r="BF220" s="12" t="n"/>
      <c r="BG220" s="62" t="n"/>
      <c r="BH220" s="62" t="n"/>
      <c r="BI220" s="62" t="n"/>
      <c r="BJ220" s="62" t="n"/>
      <c r="BK220" s="12" t="n"/>
      <c r="BL220" s="62" t="n"/>
      <c r="BM220" s="62" t="n"/>
      <c r="BN220" s="62" t="n"/>
      <c r="BO220" s="62" t="n"/>
      <c r="BP220" s="12" t="n"/>
      <c r="BQ220" s="62" t="n"/>
      <c r="BR220" s="62" t="n"/>
      <c r="BS220" s="62" t="n"/>
      <c r="BT220" s="62" t="n"/>
      <c r="BU220" s="12" t="n"/>
      <c r="BV220" s="62" t="n"/>
      <c r="BW220" s="62" t="n"/>
      <c r="BX220" s="62" t="n"/>
      <c r="BY220" s="62" t="n"/>
      <c r="BZ220" s="12" t="n"/>
      <c r="CA220" s="62" t="n"/>
      <c r="CB220" s="62" t="n"/>
      <c r="CC220" s="62" t="n"/>
      <c r="CD220" s="62" t="n"/>
      <c r="CE220" s="12" t="n"/>
      <c r="CF220" s="62" t="n"/>
      <c r="CG220" s="62" t="n"/>
      <c r="CH220" s="62" t="n"/>
      <c r="CI220" s="62" t="n"/>
      <c r="CJ220" s="12" t="n"/>
      <c r="CK220" s="62" t="n"/>
      <c r="CL220" s="62" t="n"/>
      <c r="CM220" s="62" t="n"/>
      <c r="CN220" s="62" t="n"/>
      <c r="CO220" s="12" t="n"/>
      <c r="CP220" s="62" t="n"/>
      <c r="CQ220" s="62" t="n"/>
      <c r="CR220" s="62" t="n"/>
      <c r="CS220" s="62" t="n"/>
      <c r="CT220" s="12" t="n"/>
      <c r="CU220" s="62" t="n"/>
      <c r="CV220" s="62" t="n"/>
      <c r="CW220" s="62" t="n"/>
      <c r="CX220" s="62" t="n"/>
      <c r="CY220" s="12" t="n"/>
    </row>
    <row r="221" hidden="1" outlineLevel="1">
      <c r="C221" s="57" t="inlineStr">
        <is>
          <t>Convertible debt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>
        <f>AH233</f>
        <v>0</v>
      </c>
      <c r="AI221" s="12">
        <f>AH221+SUM(AI220)</f>
        <v>0</v>
      </c>
      <c r="AJ221" s="12">
        <f>AI221+SUM(AJ220)</f>
        <v>0</v>
      </c>
      <c r="AK221" s="12">
        <f>AJ221+SUM(AK220)</f>
        <v>0</v>
      </c>
      <c r="AL221" s="12" t="n"/>
      <c r="AM221" s="12">
        <f>AM233</f>
        <v>0</v>
      </c>
      <c r="AN221" s="12">
        <f>AM221+SUM(AN220)</f>
        <v>0</v>
      </c>
      <c r="AO221" s="12">
        <f>AN221+SUM(AO220)</f>
        <v>0</v>
      </c>
      <c r="AP221" s="12">
        <f>AO221+SUM(AP220)</f>
        <v>0</v>
      </c>
      <c r="AQ221" s="12" t="n"/>
      <c r="AR221" s="12">
        <f>AR233</f>
        <v>0</v>
      </c>
      <c r="AS221" s="12">
        <f>AR221+SUM(AS220)</f>
        <v>0</v>
      </c>
      <c r="AT221" s="12">
        <f>AS221+SUM(AT220)</f>
        <v>0</v>
      </c>
      <c r="AU221" s="12">
        <f>AT221+SUM(AU220)</f>
        <v>0</v>
      </c>
      <c r="AV221" s="12" t="n"/>
      <c r="AW221" s="12">
        <f>AW233</f>
        <v>0</v>
      </c>
      <c r="AX221" s="12">
        <f>AW221+SUM(AX220)</f>
        <v>0</v>
      </c>
      <c r="AY221" s="12">
        <f>AX221+SUM(AY220)</f>
        <v>0</v>
      </c>
      <c r="AZ221" s="12">
        <f>AY221+SUM(AZ220)</f>
        <v>0</v>
      </c>
      <c r="BA221" s="12" t="n"/>
      <c r="BB221" s="12">
        <f>BB233</f>
        <v>0</v>
      </c>
      <c r="BC221" s="12">
        <f>BB221+SUM(BC220)</f>
        <v>0</v>
      </c>
      <c r="BD221" s="12">
        <f>BC221+SUM(BD220)</f>
        <v>0</v>
      </c>
      <c r="BE221" s="12">
        <f>BD221+SUM(BE220)</f>
        <v>0</v>
      </c>
      <c r="BF221" s="12" t="n"/>
      <c r="BG221" s="12" t="n"/>
      <c r="BH221" s="12" t="n"/>
      <c r="BI221" s="12" t="n"/>
      <c r="BJ221" s="12" t="n"/>
      <c r="BK221" s="12" t="n"/>
      <c r="BL221" s="12" t="n"/>
      <c r="BM221" s="12" t="n"/>
      <c r="BN221" s="12" t="n"/>
      <c r="BO221" s="12" t="n"/>
      <c r="BP221" s="12" t="n"/>
      <c r="BQ221" s="12" t="n"/>
      <c r="BR221" s="12" t="n"/>
      <c r="BS221" s="12" t="n"/>
      <c r="BT221" s="12" t="n"/>
      <c r="BU221" s="12" t="n"/>
      <c r="BV221" s="12" t="n"/>
      <c r="BW221" s="12" t="n"/>
      <c r="BX221" s="12" t="n"/>
      <c r="BY221" s="12" t="n"/>
      <c r="BZ221" s="12" t="n"/>
      <c r="CA221" s="12" t="n"/>
      <c r="CB221" s="12" t="n"/>
      <c r="CC221" s="12" t="n"/>
      <c r="CD221" s="12" t="n"/>
      <c r="CE221" s="12" t="n"/>
      <c r="CF221" s="12" t="n"/>
      <c r="CG221" s="12" t="n"/>
      <c r="CH221" s="12" t="n"/>
      <c r="CI221" s="12" t="n"/>
      <c r="CJ221" s="12" t="n"/>
      <c r="CK221" s="12" t="n"/>
      <c r="CL221" s="12" t="n"/>
      <c r="CM221" s="12" t="n"/>
      <c r="CN221" s="12" t="n"/>
      <c r="CO221" s="12" t="n"/>
      <c r="CP221" s="12" t="n"/>
      <c r="CQ221" s="12" t="n"/>
      <c r="CR221" s="12" t="n"/>
      <c r="CS221" s="12" t="n"/>
      <c r="CT221" s="12" t="n"/>
      <c r="CU221" s="12" t="n"/>
      <c r="CV221" s="12" t="n"/>
      <c r="CW221" s="12" t="n"/>
      <c r="CX221" s="12" t="n"/>
      <c r="CY221" s="12" t="n"/>
    </row>
    <row r="222" hidden="1" outlineLevel="1">
      <c r="C222" s="57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I222" s="12" t="n"/>
      <c r="AJ222" s="12" t="n"/>
      <c r="AK222" s="12" t="n"/>
      <c r="AL222" s="12" t="n"/>
      <c r="AN222" s="12" t="n"/>
      <c r="AO222" s="12" t="n"/>
      <c r="AP222" s="12" t="n"/>
      <c r="AQ222" s="12" t="n"/>
      <c r="AS222" s="12" t="n"/>
      <c r="AT222" s="12" t="n"/>
      <c r="AU222" s="12" t="n"/>
      <c r="AV222" s="12" t="n"/>
      <c r="AX222" s="12" t="n"/>
      <c r="AY222" s="12" t="n"/>
      <c r="AZ222" s="12" t="n"/>
      <c r="BA222" s="12" t="n"/>
      <c r="BC222" s="12" t="n"/>
      <c r="BD222" s="12" t="n"/>
      <c r="BE222" s="12" t="n"/>
      <c r="BF222" s="12" t="n"/>
      <c r="BH222" s="12" t="n"/>
      <c r="BI222" s="12" t="n"/>
      <c r="BJ222" s="12" t="n"/>
      <c r="BK222" s="12" t="n"/>
      <c r="BM222" s="12" t="n"/>
      <c r="BN222" s="12" t="n"/>
      <c r="BO222" s="12" t="n"/>
      <c r="BP222" s="12" t="n"/>
      <c r="BR222" s="12" t="n"/>
      <c r="BS222" s="12" t="n"/>
      <c r="BT222" s="12" t="n"/>
      <c r="BU222" s="12" t="n"/>
      <c r="BW222" s="12" t="n"/>
      <c r="BX222" s="12" t="n"/>
      <c r="BY222" s="12" t="n"/>
      <c r="BZ222" s="12" t="n"/>
      <c r="CB222" s="12" t="n"/>
      <c r="CC222" s="12" t="n"/>
      <c r="CD222" s="12" t="n"/>
      <c r="CE222" s="12" t="n"/>
      <c r="CG222" s="12" t="n"/>
      <c r="CH222" s="12" t="n"/>
      <c r="CI222" s="12" t="n"/>
      <c r="CJ222" s="12" t="n"/>
      <c r="CL222" s="12" t="n"/>
      <c r="CM222" s="12" t="n"/>
      <c r="CN222" s="12" t="n"/>
      <c r="CO222" s="12" t="n"/>
      <c r="CQ222" s="12" t="n"/>
      <c r="CR222" s="12" t="n"/>
      <c r="CS222" s="12" t="n"/>
      <c r="CT222" s="12" t="n"/>
      <c r="CV222" s="12" t="n"/>
      <c r="CW222" s="12" t="n"/>
      <c r="CX222" s="12" t="n"/>
      <c r="CY222" s="12" t="n"/>
    </row>
    <row r="223" hidden="1" outlineLevel="1">
      <c r="C223" s="57" t="inlineStr">
        <is>
          <t>Calculation of short term debt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  <c r="AL223" s="12" t="n"/>
      <c r="AM223" s="12" t="n"/>
      <c r="AN223" s="12" t="n"/>
      <c r="AO223" s="12" t="n"/>
      <c r="AP223" s="12" t="n"/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Cash @ beginning of the period (end of last period)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63">
        <f>AG139</f>
        <v>7268</v>
      </c>
      <c r="AI224" s="12" t="n"/>
      <c r="AJ224" s="12" t="n"/>
      <c r="AK224" s="12" t="n"/>
      <c r="AL224" s="12" t="n"/>
      <c r="AM224" s="63">
        <f>AL139</f>
        <v>15156.0035998372</v>
      </c>
      <c r="AN224" s="12" t="n"/>
      <c r="AO224" s="12" t="n"/>
      <c r="AP224" s="12" t="n"/>
      <c r="AQ224" s="12" t="n"/>
      <c r="AR224" s="63">
        <f>AQ139</f>
        <v>42703.8528688494</v>
      </c>
      <c r="AS224" s="12" t="n"/>
      <c r="AT224" s="12" t="n"/>
      <c r="AU224" s="12" t="n"/>
      <c r="AV224" s="12" t="n"/>
      <c r="AW224" s="63">
        <f>AV139</f>
        <v>128104.136922254</v>
      </c>
      <c r="AX224" s="12" t="n"/>
      <c r="AY224" s="12" t="n"/>
      <c r="AZ224" s="12" t="n"/>
      <c r="BA224" s="12" t="n"/>
      <c r="BB224" s="63">
        <f>BA139</f>
        <v>455485.434746836</v>
      </c>
      <c r="BC224" s="12" t="n"/>
      <c r="BD224" s="12" t="n"/>
      <c r="BE224" s="12" t="n"/>
      <c r="BF224" s="12" t="n"/>
      <c r="BG224" s="63" t="n"/>
      <c r="BH224" s="12" t="n"/>
      <c r="BI224" s="12" t="n"/>
      <c r="BJ224" s="12" t="n"/>
      <c r="BK224" s="12" t="n"/>
      <c r="BL224" s="63" t="n"/>
      <c r="BM224" s="12" t="n"/>
      <c r="BN224" s="12" t="n"/>
      <c r="BO224" s="12" t="n"/>
      <c r="BP224" s="12" t="n"/>
      <c r="BQ224" s="63" t="n"/>
      <c r="BR224" s="12" t="n"/>
      <c r="BS224" s="12" t="n"/>
      <c r="BT224" s="12" t="n"/>
      <c r="BU224" s="12" t="n"/>
      <c r="BV224" s="63" t="n"/>
      <c r="BW224" s="12" t="n"/>
      <c r="BX224" s="12" t="n"/>
      <c r="BY224" s="12" t="n"/>
      <c r="BZ224" s="12" t="n"/>
      <c r="CA224" s="63" t="n"/>
      <c r="CB224" s="12" t="n"/>
      <c r="CC224" s="12" t="n"/>
      <c r="CD224" s="12" t="n"/>
      <c r="CE224" s="12" t="n"/>
      <c r="CF224" s="63" t="n"/>
      <c r="CG224" s="12" t="n"/>
      <c r="CH224" s="12" t="n"/>
      <c r="CI224" s="12" t="n"/>
      <c r="CJ224" s="12" t="n"/>
      <c r="CK224" s="63" t="n"/>
      <c r="CL224" s="12" t="n"/>
      <c r="CM224" s="12" t="n"/>
      <c r="CN224" s="12" t="n"/>
      <c r="CO224" s="12" t="n"/>
      <c r="CP224" s="63" t="n"/>
      <c r="CQ224" s="12" t="n"/>
      <c r="CR224" s="12" t="n"/>
      <c r="CS224" s="12" t="n"/>
      <c r="CT224" s="12" t="n"/>
      <c r="CU224" s="63" t="n"/>
      <c r="CV224" s="12" t="n"/>
      <c r="CW224" s="12" t="n"/>
      <c r="CX224" s="12" t="n"/>
      <c r="CY224" s="12" t="n"/>
    </row>
    <row r="225" hidden="1" outlineLevel="1">
      <c r="C225" s="57" t="inlineStr">
        <is>
          <t>Plus: Free cash flows prior to debt during period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inlineStr">
        <is>
          <t>% of sales</t>
        </is>
      </c>
      <c r="AH225" s="64">
        <f>(AH287+AH294)+SUM(AH297:AH303)</f>
        <v>-3757</v>
      </c>
      <c r="AI225" s="64">
        <f>(AI287+AI294)+SUM(AI297:AI303)</f>
        <v>-1974</v>
      </c>
      <c r="AJ225" s="64">
        <f>(AJ287+AJ294)+SUM(AJ297:AJ303)</f>
        <v>0</v>
      </c>
      <c r="AK225" s="64">
        <f>(AK287+AK294)+SUM(AK297:AK303)</f>
        <v>0</v>
      </c>
      <c r="AL225" s="12" t="n"/>
      <c r="AM225" s="64">
        <f>(AM287+AM294)+SUM(AM297:AM303)</f>
        <v>0</v>
      </c>
      <c r="AN225" s="64">
        <f>(AN287+AN294)+SUM(AN297:AN303)</f>
        <v>0</v>
      </c>
      <c r="AO225" s="64">
        <f>(AO287+AO294)+SUM(AO297:AO303)</f>
        <v>0</v>
      </c>
      <c r="AP225" s="64">
        <f>(AP287+AP294)+SUM(AP297:AP303)</f>
        <v>0</v>
      </c>
      <c r="AQ225" s="12" t="n"/>
      <c r="AR225" s="64">
        <f>(AR287+AR294)+SUM(AR297:AR303)</f>
        <v>0</v>
      </c>
      <c r="AS225" s="64">
        <f>(AS287+AS294)+SUM(AS297:AS303)</f>
        <v>0</v>
      </c>
      <c r="AT225" s="64">
        <f>(AT287+AT294)+SUM(AT297:AT303)</f>
        <v>0</v>
      </c>
      <c r="AU225" s="64">
        <f>(AU287+AU294)+SUM(AU297:AU303)</f>
        <v>0</v>
      </c>
      <c r="AV225" s="12" t="n"/>
      <c r="AW225" s="64">
        <f>(AW287+AW294)+SUM(AW297:AW303)</f>
        <v>0</v>
      </c>
      <c r="AX225" s="64">
        <f>(AX287+AX294)+SUM(AX297:AX303)</f>
        <v>0</v>
      </c>
      <c r="AY225" s="64">
        <f>(AY287+AY294)+SUM(AY297:AY303)</f>
        <v>0</v>
      </c>
      <c r="AZ225" s="64">
        <f>(AZ287+AZ294)+SUM(AZ297:AZ303)</f>
        <v>0</v>
      </c>
      <c r="BA225" s="12" t="n"/>
      <c r="BB225" s="64">
        <f>(BB287+BB294)+SUM(BB297:BB303)</f>
        <v>0</v>
      </c>
      <c r="BC225" s="64">
        <f>(BC287+BC294)+SUM(BC297:BC303)</f>
        <v>0</v>
      </c>
      <c r="BD225" s="64">
        <f>(BD287+BD294)+SUM(BD297:BD303)</f>
        <v>0</v>
      </c>
      <c r="BE225" s="64">
        <f>(BE287+BE294)+SUM(BE297:BE303)</f>
        <v>0</v>
      </c>
      <c r="BF225" s="12" t="n"/>
      <c r="BG225" s="64" t="n"/>
      <c r="BH225" s="64" t="n"/>
      <c r="BI225" s="64" t="n"/>
      <c r="BJ225" s="64" t="n"/>
      <c r="BK225" s="12" t="n"/>
      <c r="BL225" s="64" t="n"/>
      <c r="BM225" s="64" t="n"/>
      <c r="BN225" s="64" t="n"/>
      <c r="BO225" s="64" t="n"/>
      <c r="BP225" s="12" t="n"/>
      <c r="BQ225" s="64" t="n"/>
      <c r="BR225" s="64" t="n"/>
      <c r="BS225" s="64" t="n"/>
      <c r="BT225" s="64" t="n"/>
      <c r="BU225" s="12" t="n"/>
      <c r="BV225" s="64" t="n"/>
      <c r="BW225" s="64" t="n"/>
      <c r="BX225" s="64" t="n"/>
      <c r="BY225" s="64" t="n"/>
      <c r="BZ225" s="12" t="n"/>
      <c r="CA225" s="64" t="n"/>
      <c r="CB225" s="64" t="n"/>
      <c r="CC225" s="64" t="n"/>
      <c r="CD225" s="64" t="n"/>
      <c r="CE225" s="12" t="n"/>
      <c r="CF225" s="64" t="n"/>
      <c r="CG225" s="64" t="n"/>
      <c r="CH225" s="64" t="n"/>
      <c r="CI225" s="64" t="n"/>
      <c r="CJ225" s="12" t="n"/>
      <c r="CK225" s="64" t="n"/>
      <c r="CL225" s="64" t="n"/>
      <c r="CM225" s="64" t="n"/>
      <c r="CN225" s="64" t="n"/>
      <c r="CO225" s="12" t="n"/>
      <c r="CP225" s="64" t="n"/>
      <c r="CQ225" s="64" t="n"/>
      <c r="CR225" s="64" t="n"/>
      <c r="CS225" s="64" t="n"/>
      <c r="CT225" s="12" t="n"/>
      <c r="CU225" s="64" t="n"/>
      <c r="CV225" s="64" t="n"/>
      <c r="CW225" s="64" t="n"/>
      <c r="CX225" s="64" t="n"/>
      <c r="CY225" s="12" t="n"/>
    </row>
    <row r="226" hidden="1" outlineLevel="1">
      <c r="C226" s="57" t="inlineStr">
        <is>
          <t>Less: Minimum cash balance</t>
        </is>
      </c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52" t="n"/>
      <c r="AH226" s="12">
        <f>($AG$226*AH15)</f>
        <v>0</v>
      </c>
      <c r="AI226" s="12">
        <f>($AG$226*AI15)</f>
        <v>0</v>
      </c>
      <c r="AJ226" s="12">
        <f>($AG$226*AJ15)</f>
        <v>0</v>
      </c>
      <c r="AK226" s="12">
        <f>($AG$226*AK15)</f>
        <v>0</v>
      </c>
      <c r="AL226" s="12" t="n"/>
      <c r="AM226" s="12">
        <f>($AG$226*AM15)</f>
        <v>0</v>
      </c>
      <c r="AN226" s="12">
        <f>($AG$226*AN15)</f>
        <v>0</v>
      </c>
      <c r="AO226" s="12">
        <f>($AG$226*AO15)</f>
        <v>0</v>
      </c>
      <c r="AP226" s="12">
        <f>($AG$226*AP15)</f>
        <v>0</v>
      </c>
      <c r="AQ226" s="12" t="n"/>
      <c r="AR226" s="12">
        <f>($AG$226*AR15)</f>
        <v>0</v>
      </c>
      <c r="AS226" s="12">
        <f>($AG$226*AS15)</f>
        <v>0</v>
      </c>
      <c r="AT226" s="12">
        <f>($AG$226*AT15)</f>
        <v>0</v>
      </c>
      <c r="AU226" s="12">
        <f>($AG$226*AU15)</f>
        <v>0</v>
      </c>
      <c r="AV226" s="12" t="n"/>
      <c r="AW226" s="12">
        <f>($AG$226*AW15)</f>
        <v>0</v>
      </c>
      <c r="AX226" s="12">
        <f>($AG$226*AX15)</f>
        <v>0</v>
      </c>
      <c r="AY226" s="12">
        <f>($AG$226*AY15)</f>
        <v>0</v>
      </c>
      <c r="AZ226" s="12">
        <f>($AG$226*AZ15)</f>
        <v>0</v>
      </c>
      <c r="BA226" s="12" t="n"/>
      <c r="BB226" s="12">
        <f>($AG$226*BB15)</f>
        <v>0</v>
      </c>
      <c r="BC226" s="12">
        <f>($AG$226*BC15)</f>
        <v>0</v>
      </c>
      <c r="BD226" s="12">
        <f>($AG$226*BD15)</f>
        <v>0</v>
      </c>
      <c r="BE226" s="12">
        <f>($AG$226*BE15)</f>
        <v>0</v>
      </c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7" t="inlineStr">
        <is>
          <t>Total cash available / (debt required) for short term debt paydown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3">
        <f>AH224+AH225-AH226-AF214+AH216+AH220</f>
        <v>3511</v>
      </c>
      <c r="AI227" s="3">
        <f>AI224+AI225-AI226-AG214+AI216+AI220</f>
        <v>-1974</v>
      </c>
      <c r="AJ227" s="3">
        <f>AJ224+AJ225-AJ226-AH214+AJ216+AJ220</f>
        <v>-1635</v>
      </c>
      <c r="AK227" s="3">
        <f>AK224+AK225-AK226-AI214+AK216+AK220</f>
        <v>0</v>
      </c>
      <c r="AL227" s="12" t="n"/>
      <c r="AM227" s="3">
        <f>AM224+AM225-AM226-AK214+AM216+AM220</f>
        <v>15156.0035998372</v>
      </c>
      <c r="AN227" s="3">
        <f>AN224+AN225-AN226-AL214+AN216+AN220</f>
        <v>0</v>
      </c>
      <c r="AO227" s="3">
        <f>AO224+AO225-AO226-AM214+AO216+AO220</f>
        <v>-7050</v>
      </c>
      <c r="AP227" s="3">
        <f>AP224+AP225-AP226-AN214+AP216+AP220</f>
        <v>0</v>
      </c>
      <c r="AQ227" s="12" t="n"/>
      <c r="AR227" s="3">
        <f>AR224+AR225-AR226-AP214+AR216+AR220</f>
        <v>42703.8528688494</v>
      </c>
      <c r="AS227" s="3">
        <f>AS224+AS225-AS226-AQ214+AS216+AS220</f>
        <v>0</v>
      </c>
      <c r="AT227" s="3">
        <f>AT224+AT225-AT226-AR214+AT216+AT220</f>
        <v>-7050</v>
      </c>
      <c r="AU227" s="3">
        <f>AU224+AU225-AU226-AS214+AU216+AU220</f>
        <v>0</v>
      </c>
      <c r="AV227" s="12" t="n"/>
      <c r="AW227" s="3">
        <f>AW224+AW225-AW226-AU214+AW216+AW220</f>
        <v>128104.136922254</v>
      </c>
      <c r="AX227" s="3">
        <f>AX224+AX225-AX226-AV214+AX216+AX220</f>
        <v>0</v>
      </c>
      <c r="AY227" s="3">
        <f>AY224+AY225-AY226-AW214+AY216+AY220</f>
        <v>-7050</v>
      </c>
      <c r="AZ227" s="3">
        <f>AZ224+AZ225-AZ226-AX214+AZ216+AZ220</f>
        <v>0</v>
      </c>
      <c r="BA227" s="12" t="n"/>
      <c r="BB227" s="3">
        <f>BB224+BB225-BB226-AZ214+BB216+BB220</f>
        <v>455485.434746836</v>
      </c>
      <c r="BC227" s="3">
        <f>BC224+BC225-BC226-BA214+BC216+BC220</f>
        <v>0</v>
      </c>
      <c r="BD227" s="3">
        <f>BD224+BD225-BD226-BB214+BD216+BD220</f>
        <v>-7050</v>
      </c>
      <c r="BE227" s="3">
        <f>BE224+BE225-BE226-BC214+BE216+BE220</f>
        <v>0</v>
      </c>
      <c r="BF227" s="12" t="n"/>
      <c r="BG227" s="3" t="n"/>
      <c r="BH227" s="3" t="n"/>
      <c r="BI227" s="3" t="n"/>
      <c r="BJ227" s="3" t="n"/>
      <c r="BK227" s="12" t="n"/>
      <c r="BL227" s="3" t="n"/>
      <c r="BM227" s="3" t="n"/>
      <c r="BN227" s="3" t="n"/>
      <c r="BO227" s="3" t="n"/>
      <c r="BP227" s="12" t="n"/>
      <c r="BQ227" s="3" t="n"/>
      <c r="BR227" s="3" t="n"/>
      <c r="BS227" s="3" t="n"/>
      <c r="BT227" s="3" t="n"/>
      <c r="BU227" s="12" t="n"/>
      <c r="BV227" s="3" t="n"/>
      <c r="BW227" s="3" t="n"/>
      <c r="BX227" s="3" t="n"/>
      <c r="BY227" s="3" t="n"/>
      <c r="BZ227" s="12" t="n"/>
      <c r="CA227" s="3" t="n"/>
      <c r="CB227" s="3" t="n"/>
      <c r="CC227" s="3" t="n"/>
      <c r="CD227" s="3" t="n"/>
      <c r="CE227" s="12" t="n"/>
      <c r="CF227" s="3" t="n"/>
      <c r="CG227" s="3" t="n"/>
      <c r="CH227" s="3" t="n"/>
      <c r="CI227" s="3" t="n"/>
      <c r="CJ227" s="12" t="n"/>
      <c r="CK227" s="3" t="n"/>
      <c r="CL227" s="3" t="n"/>
      <c r="CM227" s="3" t="n"/>
      <c r="CN227" s="3" t="n"/>
      <c r="CO227" s="12" t="n"/>
      <c r="CP227" s="3" t="n"/>
      <c r="CQ227" s="3" t="n"/>
      <c r="CR227" s="3" t="n"/>
      <c r="CS227" s="3" t="n"/>
      <c r="CT227" s="12" t="n"/>
      <c r="CU227" s="3" t="n"/>
      <c r="CV227" s="3" t="n"/>
      <c r="CW227" s="3" t="n"/>
      <c r="CX227" s="3" t="n"/>
      <c r="CY227" s="12" t="n"/>
    </row>
    <row r="228" hidden="1" outlineLevel="1">
      <c r="C228" s="57" t="inlineStr">
        <is>
          <t>Short term debt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>
        <f>AH208</f>
        <v>0</v>
      </c>
      <c r="AI228" s="12">
        <f>MAX(0,AH228-AI227)</f>
        <v>1974</v>
      </c>
      <c r="AJ228" s="12">
        <f>MAX(0,AI228-AJ227)</f>
        <v>3609</v>
      </c>
      <c r="AK228" s="12">
        <f>MAX(0,AJ228-AK227)</f>
        <v>3609</v>
      </c>
      <c r="AL228" s="12" t="n"/>
      <c r="AM228" s="12">
        <f>AM208</f>
        <v>0</v>
      </c>
      <c r="AN228" s="12">
        <f>MAX(0,AM228-AN227)</f>
        <v>0</v>
      </c>
      <c r="AO228" s="12">
        <f>MAX(0,AN228-AO227)</f>
        <v>7050</v>
      </c>
      <c r="AP228" s="12">
        <f>MAX(0,AO228-AP227)</f>
        <v>7050</v>
      </c>
      <c r="AQ228" s="12" t="n"/>
      <c r="AR228" s="12">
        <f>AR208</f>
        <v>0</v>
      </c>
      <c r="AS228" s="12">
        <f>MAX(0,AR228-AS227)</f>
        <v>0</v>
      </c>
      <c r="AT228" s="12">
        <f>MAX(0,AS228-AT227)</f>
        <v>7050</v>
      </c>
      <c r="AU228" s="12">
        <f>MAX(0,AT228-AU227)</f>
        <v>7050</v>
      </c>
      <c r="AV228" s="12" t="n"/>
      <c r="AW228" s="12">
        <f>AW208</f>
        <v>0</v>
      </c>
      <c r="AX228" s="12">
        <f>MAX(0,AW228-AX227)</f>
        <v>0</v>
      </c>
      <c r="AY228" s="12">
        <f>MAX(0,AX228-AY227)</f>
        <v>7050</v>
      </c>
      <c r="AZ228" s="12">
        <f>MAX(0,AY228-AZ227)</f>
        <v>7050</v>
      </c>
      <c r="BA228" s="12" t="n"/>
      <c r="BB228" s="12">
        <f>BB208</f>
        <v>0</v>
      </c>
      <c r="BC228" s="12">
        <f>MAX(0,BB228-BC227)</f>
        <v>0</v>
      </c>
      <c r="BD228" s="12">
        <f>MAX(0,BC228-BD227)</f>
        <v>7050</v>
      </c>
      <c r="BE228" s="12">
        <f>MAX(0,BD228-BE227)</f>
        <v>7050</v>
      </c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collapsed="1">
      <c r="C230" s="14" t="inlineStr">
        <is>
          <t>Long term operating leases</t>
        </is>
      </c>
      <c r="D230" s="46" t="n"/>
      <c r="E230" s="46" t="n"/>
      <c r="F230" s="46" t="n"/>
      <c r="G230" s="46" t="n"/>
      <c r="H230" s="12" t="n"/>
      <c r="I230" s="46">
        <f>'Inputs (2)'!D36</f>
        <v>0</v>
      </c>
      <c r="J230" s="46">
        <f>'Inputs (2)'!E36</f>
        <v>0</v>
      </c>
      <c r="K230" s="46">
        <f>'Inputs (2)'!F36</f>
        <v>0</v>
      </c>
      <c r="L230" s="46">
        <f>'Inputs (2)'!G36</f>
        <v>0</v>
      </c>
      <c r="M230" s="12">
        <f>'Inputs (2)'!H36</f>
        <v>0</v>
      </c>
      <c r="N230" s="46">
        <f>'Inputs (2)'!I36</f>
        <v>0</v>
      </c>
      <c r="O230" s="46">
        <f>'Inputs (2)'!J36</f>
        <v>0</v>
      </c>
      <c r="P230" s="46">
        <f>'Inputs (2)'!K36</f>
        <v>0</v>
      </c>
      <c r="Q230" s="46">
        <f>'Inputs (2)'!L36</f>
        <v>0</v>
      </c>
      <c r="R230" s="12">
        <f>'Inputs (2)'!M36</f>
        <v>0</v>
      </c>
      <c r="S230" s="46">
        <f>'Inputs (2)'!N36</f>
        <v>0</v>
      </c>
      <c r="T230" s="46">
        <f>'Inputs (2)'!O36</f>
        <v>0</v>
      </c>
      <c r="U230" s="46">
        <f>'Inputs (2)'!P36</f>
        <v>0</v>
      </c>
      <c r="V230" s="46">
        <f>'Inputs (2)'!Q36</f>
        <v>0</v>
      </c>
      <c r="W230" s="12">
        <f>'Inputs (2)'!R36</f>
        <v>0</v>
      </c>
      <c r="X230" s="46">
        <f>'Inputs (2)'!S36</f>
        <v>0</v>
      </c>
      <c r="Y230" s="46">
        <f>'Inputs (2)'!T36</f>
        <v>0</v>
      </c>
      <c r="Z230" s="46">
        <f>'Inputs (2)'!U36</f>
        <v>0</v>
      </c>
      <c r="AA230" s="46">
        <f>'Inputs (2)'!V36</f>
        <v>0</v>
      </c>
      <c r="AB230" s="12">
        <f>'Inputs (2)'!W36</f>
        <v>0</v>
      </c>
      <c r="AC230" s="46">
        <f>'Inputs (2)'!X36</f>
        <v>0</v>
      </c>
      <c r="AD230" s="46">
        <f>'Inputs (2)'!Y36</f>
        <v>0</v>
      </c>
      <c r="AE230" s="46">
        <f>'Inputs (2)'!Z36</f>
        <v>0</v>
      </c>
      <c r="AF230" s="46">
        <f>'Inputs (2)'!AA36</f>
        <v>0</v>
      </c>
      <c r="AG230" s="12">
        <f>'Inputs (2)'!AB36</f>
        <v>0</v>
      </c>
      <c r="AH230" s="12">
        <f>'Inputs (2)'!AC36</f>
        <v>0</v>
      </c>
      <c r="AI230" s="12">
        <f>'Inputs (2)'!AD36</f>
        <v>0</v>
      </c>
      <c r="AJ230" s="12">
        <f>AI230</f>
        <v>0</v>
      </c>
      <c r="AK230" s="12">
        <f>AJ230</f>
        <v>0</v>
      </c>
      <c r="AL230" s="12">
        <f>AK230</f>
        <v>0</v>
      </c>
      <c r="AM230" s="12">
        <f>AL230</f>
        <v>0</v>
      </c>
      <c r="AN230" s="12">
        <f>AM230</f>
        <v>0</v>
      </c>
      <c r="AO230" s="12">
        <f>AN230</f>
        <v>0</v>
      </c>
      <c r="AP230" s="12">
        <f>AO230</f>
        <v>0</v>
      </c>
      <c r="AQ230" s="12">
        <f>AP230</f>
        <v>0</v>
      </c>
      <c r="AR230" s="12">
        <f>AQ230</f>
        <v>0</v>
      </c>
      <c r="AS230" s="12">
        <f>AR230</f>
        <v>0</v>
      </c>
      <c r="AT230" s="12">
        <f>AS230</f>
        <v>0</v>
      </c>
      <c r="AU230" s="12">
        <f>AT230</f>
        <v>0</v>
      </c>
      <c r="AV230" s="12">
        <f>AU230</f>
        <v>0</v>
      </c>
      <c r="AW230" s="12">
        <f>AV230</f>
        <v>0</v>
      </c>
      <c r="AX230" s="12">
        <f>AW230</f>
        <v>0</v>
      </c>
      <c r="AY230" s="12">
        <f>AX230</f>
        <v>0</v>
      </c>
      <c r="AZ230" s="12">
        <f>AY230</f>
        <v>0</v>
      </c>
      <c r="BA230" s="12">
        <f>AZ230</f>
        <v>0</v>
      </c>
      <c r="BB230" s="12">
        <f>BA230</f>
        <v>0</v>
      </c>
      <c r="BC230" s="12">
        <f>BB230</f>
        <v>0</v>
      </c>
      <c r="BD230" s="12">
        <f>BC230</f>
        <v>0</v>
      </c>
      <c r="BE230" s="12">
        <f>BD230</f>
        <v>0</v>
      </c>
      <c r="BF230" s="12">
        <f>BE230</f>
        <v>0</v>
      </c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9" t="inlineStr">
        <is>
          <t>%(Var.)</t>
        </is>
      </c>
      <c r="D231" s="12" t="n"/>
      <c r="E231" s="40" t="n"/>
      <c r="F231" s="40" t="n"/>
      <c r="G231" s="40" t="n"/>
      <c r="H231" s="12" t="n"/>
      <c r="I231" s="40" t="str">
        <f>""</f>
        <v/>
      </c>
      <c r="J231" s="40" t="str">
        <f>IFERROR(IF(I230=0,"",J230/I230-1),"")</f>
        <v/>
      </c>
      <c r="K231" s="40" t="str">
        <f>IFERROR(IF(J230=0,"",K230/J230-1),"")</f>
        <v/>
      </c>
      <c r="L231" s="40" t="str">
        <f>IFERROR(IF(K230=0,"",L230/K230-1),"")</f>
        <v/>
      </c>
      <c r="M231" s="12" t="str">
        <f>IF(L230=0,"",M230/L230-1)</f>
        <v/>
      </c>
      <c r="N231" s="40" t="str">
        <f>IFERROR(IF(M230=0,"",N230/M230-1),"")</f>
        <v/>
      </c>
      <c r="O231" s="40" t="str">
        <f>IFERROR(IF(N230=0,"",O230/N230-1),"")</f>
        <v/>
      </c>
      <c r="P231" s="40" t="str">
        <f>IFERROR(IF(O230=0,"",P230/O230-1),"")</f>
        <v/>
      </c>
      <c r="Q231" s="40" t="str">
        <f>IFERROR(IF(P230=0,"",Q230/P230-1),"")</f>
        <v/>
      </c>
      <c r="R231" s="12" t="str">
        <f>IF(Q230=0,"",R230/Q230-1)</f>
        <v/>
      </c>
      <c r="S231" s="40" t="str">
        <f>IFERROR(IF(R230=0,"",S230/R230-1),"")</f>
        <v/>
      </c>
      <c r="T231" s="40" t="str">
        <f>IFERROR(IF(S230=0,"",T230/S230-1),"")</f>
        <v/>
      </c>
      <c r="U231" s="40" t="str">
        <f>IFERROR(IF(T230=0,"",U230/T230-1),"")</f>
        <v/>
      </c>
      <c r="V231" s="40" t="str">
        <f>IFERROR(IF(U230=0,"",V230/U230-1),"")</f>
        <v/>
      </c>
      <c r="W231" s="12" t="str">
        <f>IF(V230=0,"",W230/V230-1)</f>
        <v/>
      </c>
      <c r="X231" s="40" t="str">
        <f>IFERROR(IF(W230=0,"",X230/W230-1),"")</f>
        <v/>
      </c>
      <c r="Y231" s="40" t="str">
        <f>IFERROR(IF(X230=0,"",Y230/X230-1),"")</f>
        <v/>
      </c>
      <c r="Z231" s="40" t="str">
        <f>IFERROR(IF(Y230=0,"",Z230/Y230-1),"")</f>
        <v/>
      </c>
      <c r="AA231" s="40" t="str">
        <f>IFERROR(IF(Z230=0,"",AA230/Z230-1),"")</f>
        <v/>
      </c>
      <c r="AB231" s="12" t="str">
        <f>IF(AA230=0,"",AB230/AA230-1)</f>
        <v/>
      </c>
      <c r="AC231" s="40" t="str">
        <f>IFERROR(IF(AB230=0,"",AC230/AB230-1),"")</f>
        <v/>
      </c>
      <c r="AD231" s="40" t="str">
        <f>IFERROR(IF(AC230=0,"",AD230/AC230-1),"")</f>
        <v/>
      </c>
      <c r="AE231" s="40" t="str">
        <f>IFERROR(IF(AD230=0,"",AE230/AD230-1),"")</f>
        <v/>
      </c>
      <c r="AF231" s="41" t="str">
        <f>IFERROR(IF(AE230=0,"",AF230/AE230-1),"")</f>
        <v/>
      </c>
      <c r="AG231" s="12" t="str">
        <f>IF(AF230=0,"",AG230/AF230-1)</f>
        <v/>
      </c>
      <c r="AH231" s="11" t="str">
        <f>IFERROR(IF(AG230=0,"",AH230/AG230-1),"")</f>
        <v/>
      </c>
      <c r="AI231" s="11" t="str">
        <f>IFERROR(IF(AH230=0,"",AI230/AH230-1),"")</f>
        <v/>
      </c>
      <c r="AJ231" s="11" t="str">
        <f>IFERROR(IF(AI230=0,"",AJ230/AI230-1),"")</f>
        <v/>
      </c>
      <c r="AK231" s="11" t="str">
        <f>IFERROR(IF(AJ230=0,"",AK230/AJ230-1),"")</f>
        <v/>
      </c>
      <c r="AL231" s="12" t="str">
        <f>IFERROR(IF(AK230=0,"",AL230/AK230-1),"")</f>
        <v/>
      </c>
      <c r="AM231" s="11" t="str">
        <f>IFERROR(IF(AL230=0,"",AM230/AL230-1),"")</f>
        <v/>
      </c>
      <c r="AN231" s="11" t="str">
        <f>IFERROR(IF(AM230=0,"",AN230/AM230-1),"")</f>
        <v/>
      </c>
      <c r="AO231" s="11" t="str">
        <f>IFERROR(IF(AN230=0,"",AO230/AN230-1),"")</f>
        <v/>
      </c>
      <c r="AP231" s="11" t="str">
        <f>IFERROR(IF(AO230=0,"",AP230/AO230-1),"")</f>
        <v/>
      </c>
      <c r="AQ231" s="12" t="str">
        <f>IFERROR(IF(AP230=0,"",AQ230/AP230-1),"")</f>
        <v/>
      </c>
      <c r="AR231" s="11" t="str">
        <f>IFERROR(IF(AQ230=0,"",AR230/AQ230-1),"")</f>
        <v/>
      </c>
      <c r="AS231" s="11" t="str">
        <f>IFERROR(IF(AR230=0,"",AS230/AR230-1),"")</f>
        <v/>
      </c>
      <c r="AT231" s="11" t="str">
        <f>IFERROR(IF(AS230=0,"",AT230/AS230-1),"")</f>
        <v/>
      </c>
      <c r="AU231" s="11" t="str">
        <f>IFERROR(IF(AT230=0,"",AU230/AT230-1),"")</f>
        <v/>
      </c>
      <c r="AV231" s="12" t="str">
        <f>IFERROR(IF(AU230=0,"",AV230/AU230-1),"")</f>
        <v/>
      </c>
      <c r="AW231" s="11" t="str">
        <f>IFERROR(IF(AV230=0,"",AW230/AV230-1),"")</f>
        <v/>
      </c>
      <c r="AX231" s="11" t="str">
        <f>IFERROR(IF(AW230=0,"",AX230/AW230-1),"")</f>
        <v/>
      </c>
      <c r="AY231" s="11" t="str">
        <f>IFERROR(IF(AX230=0,"",AY230/AX230-1),"")</f>
        <v/>
      </c>
      <c r="AZ231" s="11" t="str">
        <f>IFERROR(IF(AY230=0,"",AZ230/AY230-1),"")</f>
        <v/>
      </c>
      <c r="BA231" s="12" t="str">
        <f>IFERROR(IF(AZ230=0,"",BA230/AZ230-1),"")</f>
        <v/>
      </c>
      <c r="BB231" s="11" t="str">
        <f>IFERROR(IF(BA230=0,"",BB230/BA230-1),"")</f>
        <v/>
      </c>
      <c r="BC231" s="11" t="str">
        <f>IFERROR(IF(BB230=0,"",BC230/BB230-1),"")</f>
        <v/>
      </c>
      <c r="BD231" s="11" t="str">
        <f>IFERROR(IF(BC230=0,"",BD230/BC230-1),"")</f>
        <v/>
      </c>
      <c r="BE231" s="11" t="str">
        <f>IFERROR(IF(BD230=0,"",BE230/BD230-1),"")</f>
        <v/>
      </c>
      <c r="BF231" s="12" t="str">
        <f>IFERROR(IF(BE230=0,"",BF230/BE230-1),"")</f>
        <v/>
      </c>
      <c r="BG231" s="11" t="n"/>
      <c r="BH231" s="11" t="n"/>
      <c r="BI231" s="11" t="n"/>
      <c r="BJ231" s="11" t="n"/>
      <c r="BK231" s="12" t="n"/>
      <c r="BL231" s="11" t="n"/>
      <c r="BM231" s="11" t="n"/>
      <c r="BN231" s="11" t="n"/>
      <c r="BO231" s="11" t="n"/>
      <c r="BP231" s="12" t="n"/>
      <c r="BQ231" s="11" t="n"/>
      <c r="BR231" s="11" t="n"/>
      <c r="BS231" s="11" t="n"/>
      <c r="BT231" s="11" t="n"/>
      <c r="BU231" s="12" t="n"/>
      <c r="BV231" s="11" t="n"/>
      <c r="BW231" s="11" t="n"/>
      <c r="BX231" s="11" t="n"/>
      <c r="BY231" s="11" t="n"/>
      <c r="BZ231" s="12" t="n"/>
      <c r="CA231" s="11" t="n"/>
      <c r="CB231" s="11" t="n"/>
      <c r="CC231" s="11" t="n"/>
      <c r="CD231" s="11" t="n"/>
      <c r="CE231" s="12" t="n"/>
      <c r="CF231" s="11" t="n"/>
      <c r="CG231" s="11" t="n"/>
      <c r="CH231" s="11" t="n"/>
      <c r="CI231" s="11" t="n"/>
      <c r="CJ231" s="12" t="n"/>
      <c r="CK231" s="11" t="n"/>
      <c r="CL231" s="11" t="n"/>
      <c r="CM231" s="11" t="n"/>
      <c r="CN231" s="11" t="n"/>
      <c r="CO231" s="12" t="n"/>
      <c r="CP231" s="11" t="n"/>
      <c r="CQ231" s="11" t="n"/>
      <c r="CR231" s="11" t="n"/>
      <c r="CS231" s="11" t="n"/>
      <c r="CT231" s="12" t="n"/>
      <c r="CU231" s="11" t="n"/>
      <c r="CV231" s="11" t="n"/>
      <c r="CW231" s="11" t="n"/>
      <c r="CX231" s="11" t="n"/>
      <c r="CY231" s="12" t="n"/>
    </row>
    <row r="232" hidden="1" outlineLevel="1">
      <c r="C232" s="57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  <c r="AL232" s="12" t="n"/>
      <c r="AM232" s="12" t="n"/>
      <c r="AN232" s="12" t="n"/>
      <c r="AO232" s="12" t="n"/>
      <c r="AP232" s="12" t="n"/>
      <c r="AQ232" s="12" t="n"/>
      <c r="AR232" s="12" t="n"/>
      <c r="AS232" s="12" t="n"/>
      <c r="AT232" s="12" t="n"/>
      <c r="AU232" s="12" t="n"/>
      <c r="AV232" s="12" t="n"/>
      <c r="AW232" s="12" t="n"/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collapsed="1">
      <c r="C233" s="14" t="inlineStr">
        <is>
          <t>Convertible debt</t>
        </is>
      </c>
      <c r="D233" s="46" t="n"/>
      <c r="E233" s="46" t="n"/>
      <c r="F233" s="46" t="n"/>
      <c r="G233" s="46" t="n"/>
      <c r="H233" s="12" t="n"/>
      <c r="I233" s="46">
        <f>'Inputs (2)'!D37</f>
        <v>0</v>
      </c>
      <c r="J233" s="46">
        <f>'Inputs (2)'!E37</f>
        <v>0</v>
      </c>
      <c r="K233" s="46">
        <f>'Inputs (2)'!F37</f>
        <v>0</v>
      </c>
      <c r="L233" s="46">
        <f>'Inputs (2)'!G37</f>
        <v>0</v>
      </c>
      <c r="M233" s="12">
        <f>'Inputs (2)'!H37</f>
        <v>0</v>
      </c>
      <c r="N233" s="46">
        <f>'Inputs (2)'!I37</f>
        <v>0</v>
      </c>
      <c r="O233" s="46">
        <f>'Inputs (2)'!J37</f>
        <v>0</v>
      </c>
      <c r="P233" s="46">
        <f>'Inputs (2)'!K37</f>
        <v>0</v>
      </c>
      <c r="Q233" s="46">
        <f>'Inputs (2)'!L37</f>
        <v>0</v>
      </c>
      <c r="R233" s="12">
        <f>'Inputs (2)'!M37</f>
        <v>0</v>
      </c>
      <c r="S233" s="46">
        <f>'Inputs (2)'!N37</f>
        <v>0</v>
      </c>
      <c r="T233" s="46">
        <f>'Inputs (2)'!O37</f>
        <v>0</v>
      </c>
      <c r="U233" s="46">
        <f>'Inputs (2)'!P37</f>
        <v>0</v>
      </c>
      <c r="V233" s="46">
        <f>'Inputs (2)'!Q37</f>
        <v>0</v>
      </c>
      <c r="W233" s="12">
        <f>'Inputs (2)'!R37</f>
        <v>0</v>
      </c>
      <c r="X233" s="46">
        <f>'Inputs (2)'!S37</f>
        <v>0</v>
      </c>
      <c r="Y233" s="46">
        <f>'Inputs (2)'!T37</f>
        <v>0</v>
      </c>
      <c r="Z233" s="46">
        <f>'Inputs (2)'!U37</f>
        <v>0</v>
      </c>
      <c r="AA233" s="46">
        <f>'Inputs (2)'!V37</f>
        <v>0</v>
      </c>
      <c r="AB233" s="12">
        <f>'Inputs (2)'!W37</f>
        <v>0</v>
      </c>
      <c r="AC233" s="46">
        <f>'Inputs (2)'!X37</f>
        <v>0</v>
      </c>
      <c r="AD233" s="46">
        <f>'Inputs (2)'!Y37</f>
        <v>0</v>
      </c>
      <c r="AE233" s="46">
        <f>'Inputs (2)'!Z37</f>
        <v>0</v>
      </c>
      <c r="AF233" s="46">
        <f>'Inputs (2)'!AA37</f>
        <v>0</v>
      </c>
      <c r="AG233" s="12">
        <f>'Inputs (2)'!AB37</f>
        <v>0</v>
      </c>
      <c r="AH233" s="12">
        <f>'Inputs (2)'!AC37</f>
        <v>0</v>
      </c>
      <c r="AI233" s="12">
        <f>'Inputs (2)'!AD37</f>
        <v>0</v>
      </c>
      <c r="AJ233" s="12">
        <f>AI233</f>
        <v>0</v>
      </c>
      <c r="AK233" s="12">
        <f>AJ233</f>
        <v>0</v>
      </c>
      <c r="AL233" s="12">
        <f>AK233</f>
        <v>0</v>
      </c>
      <c r="AM233" s="12">
        <f>AL233</f>
        <v>0</v>
      </c>
      <c r="AN233" s="12">
        <f>AM233</f>
        <v>0</v>
      </c>
      <c r="AO233" s="12">
        <f>AN233</f>
        <v>0</v>
      </c>
      <c r="AP233" s="12">
        <f>AO233</f>
        <v>0</v>
      </c>
      <c r="AQ233" s="12">
        <f>AP233</f>
        <v>0</v>
      </c>
      <c r="AR233" s="12">
        <f>AQ233</f>
        <v>0</v>
      </c>
      <c r="AS233" s="12">
        <f>AR233</f>
        <v>0</v>
      </c>
      <c r="AT233" s="12">
        <f>AS233</f>
        <v>0</v>
      </c>
      <c r="AU233" s="12">
        <f>AT233</f>
        <v>0</v>
      </c>
      <c r="AV233" s="12">
        <f>AU233</f>
        <v>0</v>
      </c>
      <c r="AW233" s="12">
        <f>AV233</f>
        <v>0</v>
      </c>
      <c r="AX233" s="12">
        <f>AW233</f>
        <v>0</v>
      </c>
      <c r="AY233" s="12">
        <f>AX233</f>
        <v>0</v>
      </c>
      <c r="AZ233" s="12">
        <f>AY233</f>
        <v>0</v>
      </c>
      <c r="BA233" s="12">
        <f>AZ233</f>
        <v>0</v>
      </c>
      <c r="BB233" s="12">
        <f>BA233</f>
        <v>0</v>
      </c>
      <c r="BC233" s="12">
        <f>BB233</f>
        <v>0</v>
      </c>
      <c r="BD233" s="12">
        <f>BC233</f>
        <v>0</v>
      </c>
      <c r="BE233" s="12">
        <f>BD233</f>
        <v>0</v>
      </c>
      <c r="BF233" s="12">
        <f>BE233</f>
        <v>0</v>
      </c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>
      <c r="C234" s="14" t="inlineStr">
        <is>
          <t>Deferred income taxes</t>
        </is>
      </c>
      <c r="D234" s="46" t="n"/>
      <c r="E234" s="46" t="n"/>
      <c r="F234" s="46" t="n"/>
      <c r="G234" s="46" t="n"/>
      <c r="H234" s="12" t="n"/>
      <c r="I234" s="46">
        <f>'Inputs (2)'!D38</f>
        <v>2200.6</v>
      </c>
      <c r="J234" s="46">
        <f>'Inputs (2)'!E38</f>
        <v>1857.3</v>
      </c>
      <c r="K234" s="46">
        <f>'Inputs (2)'!F38</f>
        <v>1632.5</v>
      </c>
      <c r="L234" s="46">
        <f>'Inputs (2)'!G38</f>
        <v>1733.7</v>
      </c>
      <c r="M234" s="12">
        <f>'Inputs (2)'!H38</f>
        <v>1733.7</v>
      </c>
      <c r="N234" s="46">
        <f>'Inputs (2)'!I38</f>
        <v>1286.1</v>
      </c>
      <c r="O234" s="46">
        <f>'Inputs (2)'!J38</f>
        <v>862.5</v>
      </c>
      <c r="P234" s="46">
        <f>'Inputs (2)'!K38</f>
        <v>171.9</v>
      </c>
      <c r="Q234" s="46">
        <f>'Inputs (2)'!L38</f>
        <v>87.3</v>
      </c>
      <c r="R234" s="12">
        <f>'Inputs (2)'!M38</f>
        <v>87.3</v>
      </c>
      <c r="S234" s="46">
        <f>'Inputs (2)'!N38</f>
        <v>0</v>
      </c>
      <c r="T234" s="46">
        <f>'Inputs (2)'!O38</f>
        <v>0</v>
      </c>
      <c r="U234" s="46">
        <f>'Inputs (2)'!P38</f>
        <v>0</v>
      </c>
      <c r="V234" s="46">
        <f>'Inputs (2)'!Q38</f>
        <v>0</v>
      </c>
      <c r="W234" s="12">
        <f>'Inputs (2)'!R38</f>
        <v>0</v>
      </c>
      <c r="X234" s="46">
        <f>'Inputs (2)'!S38</f>
        <v>0</v>
      </c>
      <c r="Y234" s="46">
        <f>'Inputs (2)'!T38</f>
        <v>0</v>
      </c>
      <c r="Z234" s="46">
        <f>'Inputs (2)'!U38</f>
        <v>0</v>
      </c>
      <c r="AA234" s="46">
        <f>'Inputs (2)'!V38</f>
        <v>0</v>
      </c>
      <c r="AB234" s="12">
        <f>'Inputs (2)'!W38</f>
        <v>0</v>
      </c>
      <c r="AC234" s="46">
        <f>'Inputs (2)'!X38</f>
        <v>0</v>
      </c>
      <c r="AD234" s="46">
        <f>'Inputs (2)'!Y38</f>
        <v>0</v>
      </c>
      <c r="AE234" s="46">
        <f>'Inputs (2)'!Z38</f>
        <v>0</v>
      </c>
      <c r="AF234" s="46">
        <f>'Inputs (2)'!AA38</f>
        <v>0</v>
      </c>
      <c r="AG234" s="12">
        <f>'Inputs (2)'!AB38</f>
        <v>0</v>
      </c>
      <c r="AH234" s="12">
        <f>'Inputs (2)'!AC38</f>
        <v>0</v>
      </c>
      <c r="AI234" s="12">
        <f>'Inputs (2)'!AD38</f>
        <v>0</v>
      </c>
      <c r="AJ234" s="12">
        <f>AI234</f>
        <v>0</v>
      </c>
      <c r="AK234" s="12">
        <f>AJ234</f>
        <v>0</v>
      </c>
      <c r="AL234" s="12">
        <f>AK234</f>
        <v>0</v>
      </c>
      <c r="AM234" s="12">
        <f>AL234</f>
        <v>0</v>
      </c>
      <c r="AN234" s="12">
        <f>AM234</f>
        <v>0</v>
      </c>
      <c r="AO234" s="12">
        <f>AN234</f>
        <v>0</v>
      </c>
      <c r="AP234" s="12">
        <f>AO234</f>
        <v>0</v>
      </c>
      <c r="AQ234" s="12">
        <f>AP234</f>
        <v>0</v>
      </c>
      <c r="AR234" s="12">
        <f>AQ234</f>
        <v>0</v>
      </c>
      <c r="AS234" s="12">
        <f>AR234</f>
        <v>0</v>
      </c>
      <c r="AT234" s="12">
        <f>AS234</f>
        <v>0</v>
      </c>
      <c r="AU234" s="12">
        <f>AT234</f>
        <v>0</v>
      </c>
      <c r="AV234" s="12">
        <f>AU234</f>
        <v>0</v>
      </c>
      <c r="AW234" s="12">
        <f>AV234</f>
        <v>0</v>
      </c>
      <c r="AX234" s="12">
        <f>AW234</f>
        <v>0</v>
      </c>
      <c r="AY234" s="12">
        <f>AX234</f>
        <v>0</v>
      </c>
      <c r="AZ234" s="12">
        <f>AY234</f>
        <v>0</v>
      </c>
      <c r="BA234" s="12">
        <f>AZ234</f>
        <v>0</v>
      </c>
      <c r="BB234" s="12">
        <f>BA234</f>
        <v>0</v>
      </c>
      <c r="BC234" s="12">
        <f>BB234</f>
        <v>0</v>
      </c>
      <c r="BD234" s="12">
        <f>BC234</f>
        <v>0</v>
      </c>
      <c r="BE234" s="12">
        <f>BD234</f>
        <v>0</v>
      </c>
      <c r="BF234" s="12">
        <f>BE234</f>
        <v>0</v>
      </c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>
      <c r="C235" s="14" t="inlineStr">
        <is>
          <t>Other non-current liabilities</t>
        </is>
      </c>
      <c r="D235" s="46" t="n"/>
      <c r="E235" s="46" t="n"/>
      <c r="F235" s="46" t="n"/>
      <c r="G235" s="46" t="n"/>
      <c r="H235" s="12" t="n"/>
      <c r="I235" s="46">
        <f>'Inputs (2)'!D39</f>
        <v>9624.6</v>
      </c>
      <c r="J235" s="46">
        <f>'Inputs (2)'!E39</f>
        <v>9458.4</v>
      </c>
      <c r="K235" s="46">
        <f>'Inputs (2)'!F39</f>
        <v>9396</v>
      </c>
      <c r="L235" s="46">
        <f>'Inputs (2)'!G39</f>
        <v>7518.4</v>
      </c>
      <c r="M235" s="12">
        <f>'Inputs (2)'!H39</f>
        <v>7518.4</v>
      </c>
      <c r="N235" s="46">
        <f>'Inputs (2)'!I39</f>
        <v>7632.3</v>
      </c>
      <c r="O235" s="46">
        <f>'Inputs (2)'!J39</f>
        <v>7229.3</v>
      </c>
      <c r="P235" s="46">
        <f>'Inputs (2)'!K39</f>
        <v>7327.1</v>
      </c>
      <c r="Q235" s="46">
        <f>'Inputs (2)'!L39</f>
        <v>6751.4</v>
      </c>
      <c r="R235" s="12">
        <f>'Inputs (2)'!M39</f>
        <v>6751.4</v>
      </c>
      <c r="S235" s="46">
        <f>'Inputs (2)'!N39</f>
        <v>6977.6</v>
      </c>
      <c r="T235" s="46">
        <f>'Inputs (2)'!O39</f>
        <v>6591.3</v>
      </c>
      <c r="U235" s="46">
        <f>'Inputs (2)'!P39</f>
        <v>6686.3</v>
      </c>
      <c r="V235" s="46">
        <f>'Inputs (2)'!Q39</f>
        <v>7528.6</v>
      </c>
      <c r="W235" s="12">
        <f>'Inputs (2)'!R39</f>
        <v>7528.6</v>
      </c>
      <c r="X235" s="46">
        <f>'Inputs (2)'!S39</f>
        <v>7888.1</v>
      </c>
      <c r="Y235" s="46">
        <f>'Inputs (2)'!T39</f>
        <v>7387.7</v>
      </c>
      <c r="Z235" s="46">
        <f>'Inputs (2)'!U39</f>
        <v>7566.7</v>
      </c>
      <c r="AA235" s="46">
        <f>'Inputs (2)'!V39</f>
        <v>7539.6</v>
      </c>
      <c r="AB235" s="12">
        <f>'Inputs (2)'!W39</f>
        <v>7539.6</v>
      </c>
      <c r="AC235" s="46">
        <f>'Inputs (2)'!X39</f>
        <v>8974.4</v>
      </c>
      <c r="AD235" s="46">
        <f>'Inputs (2)'!Y39</f>
        <v>9373.5</v>
      </c>
      <c r="AE235" s="46">
        <f>'Inputs (2)'!Z39</f>
        <v>10070.1</v>
      </c>
      <c r="AF235" s="46">
        <f>'Inputs (2)'!AA39</f>
        <v>9867</v>
      </c>
      <c r="AG235" s="12">
        <f>'Inputs (2)'!AB39</f>
        <v>9867</v>
      </c>
      <c r="AH235" s="12">
        <f>'Inputs (2)'!AC39</f>
        <v>9393</v>
      </c>
      <c r="AI235" s="12">
        <f>'Inputs (2)'!AD39</f>
        <v>12860</v>
      </c>
      <c r="AJ235" s="12">
        <f>AI235</f>
        <v>12860</v>
      </c>
      <c r="AK235" s="12">
        <f>AJ235</f>
        <v>12860</v>
      </c>
      <c r="AL235" s="12">
        <f>AK235</f>
        <v>12860</v>
      </c>
      <c r="AM235" s="12">
        <f>AL235</f>
        <v>12860</v>
      </c>
      <c r="AN235" s="12">
        <f>AM235</f>
        <v>12860</v>
      </c>
      <c r="AO235" s="12">
        <f>AN235</f>
        <v>12860</v>
      </c>
      <c r="AP235" s="12">
        <f>AO235</f>
        <v>12860</v>
      </c>
      <c r="AQ235" s="12">
        <f>AP235</f>
        <v>12860</v>
      </c>
      <c r="AR235" s="12">
        <f>AQ235</f>
        <v>12860</v>
      </c>
      <c r="AS235" s="12">
        <f>AR235</f>
        <v>12860</v>
      </c>
      <c r="AT235" s="12">
        <f>AS235</f>
        <v>12860</v>
      </c>
      <c r="AU235" s="12">
        <f>AT235</f>
        <v>12860</v>
      </c>
      <c r="AV235" s="12">
        <f>AU235</f>
        <v>12860</v>
      </c>
      <c r="AW235" s="12">
        <f>AV235</f>
        <v>12860</v>
      </c>
      <c r="AX235" s="12">
        <f>AW235</f>
        <v>12860</v>
      </c>
      <c r="AY235" s="12">
        <f>AX235</f>
        <v>12860</v>
      </c>
      <c r="AZ235" s="12">
        <f>AY235</f>
        <v>12860</v>
      </c>
      <c r="BA235" s="12">
        <f>AZ235</f>
        <v>12860</v>
      </c>
      <c r="BB235" s="12">
        <f>BA235</f>
        <v>12860</v>
      </c>
      <c r="BC235" s="12">
        <f>BB235</f>
        <v>12860</v>
      </c>
      <c r="BD235" s="12">
        <f>BC235</f>
        <v>12860</v>
      </c>
      <c r="BE235" s="12">
        <f>BD235</f>
        <v>12860</v>
      </c>
      <c r="BF235" s="12">
        <f>BE235</f>
        <v>12860</v>
      </c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 ht="12" customHeight="1">
      <c r="C236" s="59" t="inlineStr">
        <is>
          <t>%(Var.)</t>
        </is>
      </c>
      <c r="D236" s="12" t="n"/>
      <c r="E236" s="40" t="n"/>
      <c r="F236" s="40" t="n"/>
      <c r="G236" s="40" t="n"/>
      <c r="H236" s="12" t="n"/>
      <c r="I236" s="40" t="str">
        <f>""</f>
        <v/>
      </c>
      <c r="J236" s="40">
        <f>IF(I235=0,"",J235/I235-1)</f>
        <v>-0.0172682501090955</v>
      </c>
      <c r="K236" s="40">
        <f>IF(J235=0,"",K235/J235-1)</f>
        <v>-0.00659731032732802</v>
      </c>
      <c r="L236" s="40">
        <f>IF(K235=0,"",L235/K235-1)</f>
        <v>-0.199829714772244</v>
      </c>
      <c r="M236" s="12">
        <f>IF(L235=0,"",M235/L235-1)</f>
        <v>0</v>
      </c>
      <c r="N236" s="40">
        <f>IF(M235=0,"",N235/M235-1)</f>
        <v>0.0151494998935944</v>
      </c>
      <c r="O236" s="40">
        <f>IF(N235=0,"",O235/N235-1)</f>
        <v>-0.0528019076818259</v>
      </c>
      <c r="P236" s="40">
        <f>IF(O235=0,"",P235/O235-1)</f>
        <v>0.013528280746407</v>
      </c>
      <c r="Q236" s="40">
        <f>IF(P235=0,"",Q235/P235-1)</f>
        <v>-0.0785713310859686</v>
      </c>
      <c r="R236" s="12">
        <f>IF(Q235=0,"",R235/Q235-1)</f>
        <v>0</v>
      </c>
      <c r="S236" s="40">
        <f>IF(R235=0,"",S235/R235-1)</f>
        <v>0.0335041620997127</v>
      </c>
      <c r="T236" s="40">
        <f>IF(S235=0,"",T235/S235-1)</f>
        <v>-0.0553628754872736</v>
      </c>
      <c r="U236" s="40">
        <f>IF(T235=0,"",U235/T235-1)</f>
        <v>0.0144129382671097</v>
      </c>
      <c r="V236" s="40">
        <f>IF(U235=0,"",V235/U235-1)</f>
        <v>0.125974006550708</v>
      </c>
      <c r="W236" s="12">
        <f>IF(V235=0,"",W235/V235-1)</f>
        <v>0</v>
      </c>
      <c r="X236" s="40">
        <f>IF(W235=0,"",X235/W235-1)</f>
        <v>0.0477512419307706</v>
      </c>
      <c r="Y236" s="40">
        <f>IF(X235=0,"",Y235/X235-1)</f>
        <v>-0.0634373296484578</v>
      </c>
      <c r="Z236" s="40">
        <f>IF(Y235=0,"",Z235/Y235-1)</f>
        <v>0.0242294624849413</v>
      </c>
      <c r="AA236" s="40">
        <f>IF(Z235=0,"",AA235/Z235-1)</f>
        <v>-0.00358148201990294</v>
      </c>
      <c r="AB236" s="12">
        <f>IF(AA235=0,"",AB235/AA235-1)</f>
        <v>0</v>
      </c>
      <c r="AC236" s="40">
        <f>IF(AB235=0,"",AC235/AB235-1)</f>
        <v>0.190301872778397</v>
      </c>
      <c r="AD236" s="40">
        <f>IF(AC235=0,"",AD235/AC235-1)</f>
        <v>0.0444709395614191</v>
      </c>
      <c r="AE236" s="40">
        <f>IF(AD235=0,"",AE235/AD235-1)</f>
        <v>0.0743158905424868</v>
      </c>
      <c r="AF236" s="41">
        <f>IF(AE235=0,"",AF235/AE235-1)</f>
        <v>-0.0201686179879048</v>
      </c>
      <c r="AG236" s="12">
        <f>IF(AF235=0,"",AG235/AF235-1)</f>
        <v>0</v>
      </c>
      <c r="AH236" s="41">
        <f>IF(AG235=0,"",AH235/AG235-1)</f>
        <v>-0.048038917604135</v>
      </c>
      <c r="AI236" s="41">
        <f>IF(AH235=0,"",AI235/AH235-1)</f>
        <v>0.369104652400724</v>
      </c>
      <c r="AJ236" s="41">
        <f>IF(AI235=0,"",AJ235/AI235-1)</f>
        <v>0</v>
      </c>
      <c r="AK236" s="41">
        <f>IF(AJ235=0,"",AK235/AJ235-1)</f>
        <v>0</v>
      </c>
      <c r="AL236" s="12">
        <f>IF(AK235=0,"",AL235/AK235-1)</f>
        <v>0</v>
      </c>
      <c r="AM236" s="41">
        <f>IF(AL235=0,"",AM235/AL235-1)</f>
        <v>0</v>
      </c>
      <c r="AN236" s="41">
        <f>IF(AM235=0,"",AN235/AM235-1)</f>
        <v>0</v>
      </c>
      <c r="AO236" s="41">
        <f>IF(AN235=0,"",AO235/AN235-1)</f>
        <v>0</v>
      </c>
      <c r="AP236" s="41">
        <f>IF(AO235=0,"",AP235/AO235-1)</f>
        <v>0</v>
      </c>
      <c r="AQ236" s="12">
        <f>IF(AP235=0,"",AQ235/AP235-1)</f>
        <v>0</v>
      </c>
      <c r="AR236" s="41">
        <f>IF(AQ235=0,"",AR235/AQ235-1)</f>
        <v>0</v>
      </c>
      <c r="AS236" s="41">
        <f>IF(AR235=0,"",AS235/AR235-1)</f>
        <v>0</v>
      </c>
      <c r="AT236" s="41">
        <f>IF(AS235=0,"",AT235/AS235-1)</f>
        <v>0</v>
      </c>
      <c r="AU236" s="41">
        <f>IF(AT235=0,"",AU235/AT235-1)</f>
        <v>0</v>
      </c>
      <c r="AV236" s="12">
        <f>IF(AU235=0,"",AV235/AU235-1)</f>
        <v>0</v>
      </c>
      <c r="AW236" s="41">
        <f>IF(AV235=0,"",AW235/AV235-1)</f>
        <v>0</v>
      </c>
      <c r="AX236" s="41">
        <f>IF(AW235=0,"",AX235/AW235-1)</f>
        <v>0</v>
      </c>
      <c r="AY236" s="41">
        <f>IF(AX235=0,"",AY235/AX235-1)</f>
        <v>0</v>
      </c>
      <c r="AZ236" s="41">
        <f>IF(AY235=0,"",AZ235/AY235-1)</f>
        <v>0</v>
      </c>
      <c r="BA236" s="12">
        <f>IF(AZ235=0,"",BA235/AZ235-1)</f>
        <v>0</v>
      </c>
      <c r="BB236" s="41">
        <f>IF(BA235=0,"",BB235/BA235-1)</f>
        <v>0</v>
      </c>
      <c r="BC236" s="41">
        <f>IF(BB235=0,"",BC235/BB235-1)</f>
        <v>0</v>
      </c>
      <c r="BD236" s="41">
        <f>IF(BC235=0,"",BD235/BC235-1)</f>
        <v>0</v>
      </c>
      <c r="BE236" s="41">
        <f>IF(BD235=0,"",BE235/BD235-1)</f>
        <v>0</v>
      </c>
      <c r="BF236" s="12">
        <f>IF(BE235=0,"",BF235/BE235-1)</f>
        <v>0</v>
      </c>
      <c r="BG236" s="41" t="n"/>
      <c r="BH236" s="41" t="n"/>
      <c r="BI236" s="41" t="n"/>
      <c r="BJ236" s="41" t="n"/>
      <c r="BK236" s="12" t="n"/>
      <c r="BL236" s="41" t="n"/>
      <c r="BM236" s="41" t="n"/>
      <c r="BN236" s="41" t="n"/>
      <c r="BO236" s="41" t="n"/>
      <c r="BP236" s="12" t="n"/>
      <c r="BQ236" s="41" t="n"/>
      <c r="BR236" s="41" t="n"/>
      <c r="BS236" s="41" t="n"/>
      <c r="BT236" s="41" t="n"/>
      <c r="BU236" s="12" t="n"/>
      <c r="BV236" s="41" t="n"/>
      <c r="BW236" s="41" t="n"/>
      <c r="BX236" s="41" t="n"/>
      <c r="BY236" s="41" t="n"/>
      <c r="BZ236" s="12" t="n"/>
      <c r="CA236" s="41" t="n"/>
      <c r="CB236" s="41" t="n"/>
      <c r="CC236" s="41" t="n"/>
      <c r="CD236" s="41" t="n"/>
      <c r="CE236" s="12" t="n"/>
      <c r="CF236" s="41" t="n"/>
      <c r="CG236" s="41" t="n"/>
      <c r="CH236" s="41" t="n"/>
      <c r="CI236" s="41" t="n"/>
      <c r="CJ236" s="12" t="n"/>
      <c r="CK236" s="41" t="n"/>
      <c r="CL236" s="41" t="n"/>
      <c r="CM236" s="41" t="n"/>
      <c r="CN236" s="41" t="n"/>
      <c r="CO236" s="12" t="n"/>
      <c r="CP236" s="41" t="n"/>
      <c r="CQ236" s="41" t="n"/>
      <c r="CR236" s="41" t="n"/>
      <c r="CS236" s="41" t="n"/>
      <c r="CT236" s="12" t="n"/>
      <c r="CU236" s="41" t="n"/>
      <c r="CV236" s="41" t="n"/>
      <c r="CW236" s="41" t="n"/>
      <c r="CX236" s="41" t="n"/>
      <c r="CY236" s="12" t="n"/>
    </row>
    <row r="237" hidden="1" outlineLevel="1" ht="12" customHeight="1">
      <c r="C237" s="59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7" t="inlineStr">
        <is>
          <t>Contas a pagar pela aquisição de controladas</t>
        </is>
      </c>
      <c r="D238" s="11" t="n"/>
      <c r="E238" s="11" t="n"/>
      <c r="F238" s="11" t="n"/>
      <c r="G238" s="11" t="n"/>
      <c r="H238" s="12" t="n"/>
      <c r="I238" s="11" t="n"/>
      <c r="J238" s="11" t="n"/>
      <c r="K238" s="11" t="n"/>
      <c r="L238" s="11" t="n"/>
      <c r="M238" s="12" t="n"/>
      <c r="N238" s="11" t="n"/>
      <c r="O238" s="11" t="n"/>
      <c r="P238" s="11" t="n"/>
      <c r="Q238" s="11" t="n"/>
      <c r="R238" s="12" t="n"/>
      <c r="S238" s="11" t="n"/>
      <c r="T238" s="11" t="n"/>
      <c r="U238" s="11" t="n"/>
      <c r="V238" s="11" t="n"/>
      <c r="W238" s="12" t="n"/>
      <c r="X238" s="11" t="n"/>
      <c r="Y238" s="11" t="n"/>
      <c r="Z238" s="11" t="n"/>
      <c r="AA238" s="11" t="n"/>
      <c r="AB238" s="12" t="n"/>
      <c r="AC238" s="11" t="n"/>
      <c r="AD238" s="11" t="n"/>
      <c r="AE238" s="11" t="n"/>
      <c r="AF238" s="11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hidden="1" outlineLevel="1">
      <c r="C239" s="57" t="inlineStr">
        <is>
          <t xml:space="preserve">Outras Obrigações </t>
        </is>
      </c>
      <c r="D239" s="11" t="n"/>
      <c r="E239" s="11" t="n"/>
      <c r="F239" s="11" t="n"/>
      <c r="G239" s="11" t="n"/>
      <c r="H239" s="12" t="n"/>
      <c r="I239" s="11" t="n"/>
      <c r="J239" s="11" t="n"/>
      <c r="K239" s="11" t="n"/>
      <c r="L239" s="11" t="n"/>
      <c r="M239" s="12" t="n"/>
      <c r="N239" s="11" t="n"/>
      <c r="O239" s="11" t="n"/>
      <c r="P239" s="11" t="n"/>
      <c r="Q239" s="11" t="n"/>
      <c r="R239" s="12" t="n"/>
      <c r="S239" s="11" t="n"/>
      <c r="T239" s="11" t="n"/>
      <c r="U239" s="11" t="n"/>
      <c r="V239" s="11" t="n"/>
      <c r="W239" s="12" t="n"/>
      <c r="X239" s="11" t="n"/>
      <c r="Y239" s="11" t="n"/>
      <c r="Z239" s="11" t="n"/>
      <c r="AA239" s="11" t="n"/>
      <c r="AB239" s="12" t="n"/>
      <c r="AC239" s="11" t="n"/>
      <c r="AD239" s="11" t="n"/>
      <c r="AE239" s="11" t="n"/>
      <c r="AF239" s="11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>
      <c r="C240" s="57" t="inlineStr">
        <is>
          <t xml:space="preserve">Provisão de Risco Cíveis, Trabalhistas e Tributários </t>
        </is>
      </c>
      <c r="D240" s="11" t="n"/>
      <c r="E240" s="11" t="n"/>
      <c r="F240" s="11" t="n"/>
      <c r="G240" s="11" t="n"/>
      <c r="H240" s="12" t="n"/>
      <c r="I240" s="11" t="n"/>
      <c r="J240" s="11" t="n"/>
      <c r="K240" s="11" t="n"/>
      <c r="L240" s="11" t="n"/>
      <c r="M240" s="12" t="n"/>
      <c r="N240" s="11" t="n"/>
      <c r="O240" s="11" t="n"/>
      <c r="P240" s="11" t="n"/>
      <c r="Q240" s="11" t="n"/>
      <c r="R240" s="12" t="n"/>
      <c r="S240" s="11" t="n"/>
      <c r="T240" s="11" t="n"/>
      <c r="U240" s="11" t="n"/>
      <c r="V240" s="11" t="n"/>
      <c r="W240" s="12" t="n"/>
      <c r="X240" s="11" t="n"/>
      <c r="Y240" s="11" t="n"/>
      <c r="Z240" s="11" t="n"/>
      <c r="AA240" s="11" t="n"/>
      <c r="AB240" s="12" t="n"/>
      <c r="AC240" s="11" t="n"/>
      <c r="AD240" s="11" t="n"/>
      <c r="AE240" s="11" t="n"/>
      <c r="AF240" s="11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hidden="1" outlineLevel="1">
      <c r="C241" s="57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  <c r="AL241" s="12" t="n"/>
      <c r="AM241" s="12" t="n"/>
      <c r="AN241" s="12" t="n"/>
      <c r="AO241" s="12" t="n"/>
      <c r="AP241" s="12" t="n"/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 collapsed="1" customFormat="1" s="32">
      <c r="A242" s="30" t="n"/>
      <c r="B242" s="30" t="n"/>
      <c r="C242" s="65" t="inlineStr">
        <is>
          <t>Total Liabilities</t>
        </is>
      </c>
      <c r="D242" s="35" t="n"/>
      <c r="E242" s="35" t="n"/>
      <c r="F242" s="35" t="n"/>
      <c r="G242" s="35" t="n"/>
      <c r="H242" s="35" t="n"/>
      <c r="I242" s="35">
        <f>SUM(I193+I197+I199+I200+I207+I208+I209+I212+I230+I233+I234+I235)</f>
        <v>39739</v>
      </c>
      <c r="J242" s="35">
        <f>SUM(J193+J197+J199+J200+J207+J208+J209+J212+J230+J233+J234+J235)</f>
        <v>41145.5</v>
      </c>
      <c r="K242" s="35">
        <f>SUM(K193+K197+K199+K200+K207+K208+K209+K212+K230+K233+K234+K235)</f>
        <v>40232.9</v>
      </c>
      <c r="L242" s="35">
        <f>SUM(L193+L197+L199+L200+L207+L208+L209+L212+L230+L233+L234+L235)</f>
        <v>39651.2</v>
      </c>
      <c r="M242" s="35">
        <f>SUM(M193,M197,M199,M200,M207,M208,M212,M209,M230,M233,M234,M235)</f>
        <v>39651.2</v>
      </c>
      <c r="N242" s="35">
        <f>SUM(N193+N197+N199+N200+N207+N208+N209+N212+N230+N233+N234+N235)</f>
        <v>37457.3</v>
      </c>
      <c r="O242" s="35">
        <f>SUM(O193+O197+O199+O200+O207+O208+O209+O212+O230+O233+O234+O235)</f>
        <v>38404.4</v>
      </c>
      <c r="P242" s="35">
        <f>SUM(P193+P197+P199+P200+P207+P208+P209+P212+P230+P233+P234+P235)</f>
        <v>37295.6</v>
      </c>
      <c r="Q242" s="35">
        <f>SUM(Q193+Q197+Q199+Q200+Q207+Q208+Q209+Q212+Q230+Q233+Q234+Q235)</f>
        <v>38714.4</v>
      </c>
      <c r="R242" s="35">
        <f>SUM(R193,R197,R199,R200,R207,R208,R212,R209,R230,R233,R234,R235)</f>
        <v>38714.4</v>
      </c>
      <c r="S242" s="35">
        <f>SUM(S193+S197+S199+S200+S207+S208+S209+S212+S230+S233+S234+S235)</f>
        <v>41868.1</v>
      </c>
      <c r="T242" s="35">
        <f>SUM(T193+T197+T199+T200+T207+T208+T209+T212+T230+T233+T234+T235)</f>
        <v>43664.7</v>
      </c>
      <c r="U242" s="35">
        <f>SUM(U193+U197+U199+U200+U207+U208+U209+U212+U230+U233+U234+U235)</f>
        <v>46608.1</v>
      </c>
      <c r="V242" s="35">
        <f>SUM(V193+V197+V199+V200+V207+V208+V209+V212+V230+V233+V234+V235)</f>
        <v>53142.6</v>
      </c>
      <c r="W242" s="35">
        <f>SUM(W193,W197,W199,W200,W207,W208,W212,W209,W230,W233,W234,W235)</f>
        <v>53142.6</v>
      </c>
      <c r="X242" s="35">
        <f>SUM(X193+X197+X199+X200+X207+X208+X209+X212+X230+X233+X234+X235)</f>
        <v>51046.1</v>
      </c>
      <c r="Y242" s="35">
        <f>SUM(Y193+Y197+Y199+Y200+Y207+Y208+Y209+Y212+Y230+Y233+Y234+Y235)</f>
        <v>58239.3</v>
      </c>
      <c r="Z242" s="35">
        <f>SUM(Z193+Z197+Z199+Z200+Z207+Z208+Z209+Z212+Z230+Z233+Z234+Z235)</f>
        <v>61286.2</v>
      </c>
      <c r="AA242" s="35">
        <f>SUM(AA193+AA197+AA199+AA200+AA207+AA208+AA209+AA212+AA230+AA233+AA234+AA235)</f>
        <v>64443.3</v>
      </c>
      <c r="AB242" s="35">
        <f>SUM(AB193,AB197,AB199,AB200,AB207,AB208,AB212,AB209,AB230,AB233,AB234,AB235)</f>
        <v>64443.3</v>
      </c>
      <c r="AC242" s="35">
        <f>SUM(AC193+AC197+AC199+AC200+AC207+AC208+AC209+AC212+AC230+AC233+AC234+AC235)</f>
        <v>73542</v>
      </c>
      <c r="AD242" s="35">
        <f>SUM(AD193+AD197+AD199+AD200+AD207+AD208+AD209+AD212+AD230+AD233+AD234+AD235)</f>
        <v>82573.5</v>
      </c>
      <c r="AE242" s="35">
        <f>SUM(AE193+AE197+AE199+AE200+AE207+AE208+AE209+AE212+AE230+AE233+AE234+AE235)</f>
        <v>91084.6</v>
      </c>
      <c r="AF242" s="35">
        <f>SUM(AF193+AF197+AF199+AF200+AF207+AF208+AF209+AF212+AF230+AF233+AF234+AF235)</f>
        <v>85963</v>
      </c>
      <c r="AG242" s="35">
        <f>SUM(AG193,AG197,AG199,AG200,AG207,AG208,AG212,AG209,AG230,AG233,AG234,AG235)</f>
        <v>85963</v>
      </c>
      <c r="AH242" s="35">
        <f>SUM(AH193+AH197+AH199+AH200+AH207+AH208+AH209+AH212+AH230+AH233+AH234+AH235)</f>
        <v>85397</v>
      </c>
      <c r="AI242" s="35">
        <f>SUM(AI193+AI197+AI199+AI200+AI207+AI208+AI209+AI212+AI230+AI233+AI234+AI235)</f>
        <v>108459</v>
      </c>
      <c r="AJ242" s="35">
        <f>SUM(AJ193+AJ197+AJ199+AJ200+AJ207+AJ208+AJ209+AJ212+AJ230+AJ233+AJ234+AJ235)</f>
        <v>109956.004536391</v>
      </c>
      <c r="AK242" s="35">
        <f>SUM(AK193+AK197+AK199+AK200+AK207+AK208+AK209+AK212+AK230+AK233+AK234+AK235)</f>
        <v>111850.680838455</v>
      </c>
      <c r="AL242" s="35">
        <f>SUM(AL193,AL197,AL199,AL200,AL207,AL208,AL212,AL209,AL230,AL233,AL234,AL235)</f>
        <v>111850.680838455</v>
      </c>
      <c r="AM242" s="35">
        <f>SUM(AM193+AM197+AM199+AM200+AM207+AM208+AM209+AM212+AM230+AM233+AM234+AM235)</f>
        <v>114045.450712937</v>
      </c>
      <c r="AN242" s="35">
        <f>SUM(AN193+AN197+AN199+AN200+AN207+AN208+AN209+AN212+AN230+AN233+AN234+AN235)</f>
        <v>117886.145211154</v>
      </c>
      <c r="AO242" s="35">
        <f>SUM(AO193+AO197+AO199+AO200+AO207+AO208+AO209+AO212+AO230+AO233+AO234+AO235)</f>
        <v>122868.71272952</v>
      </c>
      <c r="AP242" s="35">
        <f>SUM(AP193+AP197+AP199+AP200+AP207+AP208+AP209+AP212+AP230+AP233+AP234+AP235)</f>
        <v>129649.368340296</v>
      </c>
      <c r="AQ242" s="35">
        <f>SUM(AQ193,AQ197,AQ199,AQ200,AQ207,AQ208,AQ212,AQ209,AQ230,AQ233,AQ234,AQ235)</f>
        <v>129649.368340296</v>
      </c>
      <c r="AR242" s="35">
        <f>SUM(AR193+AR197+AR199+AR200+AR207+AR208+AR209+AR212+AR230+AR233+AR234+AR235)</f>
        <v>138496.490412822</v>
      </c>
      <c r="AS242" s="35">
        <f>SUM(AS193+AS197+AS199+AS200+AS207+AS208+AS209+AS212+AS230+AS233+AS234+AS235)</f>
        <v>152728.163249948</v>
      </c>
      <c r="AT242" s="35">
        <f>SUM(AT193+AT197+AT199+AT200+AT207+AT208+AT209+AT212+AT230+AT233+AT234+AT235)</f>
        <v>172436.736562904</v>
      </c>
      <c r="AU242" s="35">
        <f>SUM(AU193+AU197+AU199+AU200+AU207+AU208+AU209+AU212+AU230+AU233+AU234+AU235)</f>
        <v>200529.730098979</v>
      </c>
      <c r="AV242" s="35">
        <f>SUM(AV193,AV197,AV199,AV200,AV207,AV208,AV212,AV209,AV230,AV233,AV234,AV235)</f>
        <v>200529.730098979</v>
      </c>
      <c r="AW242" s="35">
        <f>SUM(AW193+AW197+AW199+AW200+AW207+AW208+AW209+AW212+AW230+AW233+AW234+AW235)</f>
        <v>239904.40187977</v>
      </c>
      <c r="AX242" s="35">
        <f>SUM(AX193+AX197+AX199+AX200+AX207+AX208+AX209+AX212+AX230+AX233+AX234+AX235)</f>
        <v>298899.670492749</v>
      </c>
      <c r="AY242" s="35">
        <f>SUM(AY193+AY197+AY199+AY200+AY207+AY208+AY209+AY212+AY230+AY233+AY234+AY235)</f>
        <v>383675.720883916</v>
      </c>
      <c r="AZ242" s="35">
        <f>SUM(AZ193+AZ197+AZ199+AZ200+AZ207+AZ208+AZ209+AZ212+AZ230+AZ233+AZ234+AZ235)</f>
        <v>506362.645576776</v>
      </c>
      <c r="BA242" s="35">
        <f>SUM(BA193,BA197,BA199,BA200,BA207,BA208,BA212,BA209,BA230,BA233,BA234,BA235)</f>
        <v>506362.645576776</v>
      </c>
      <c r="BB242" s="35">
        <f>SUM(BB193+BB197+BB199+BB200+BB207+BB208+BB209+BB212+BB230+BB233+BB234+BB235)</f>
        <v>681573.164706549</v>
      </c>
      <c r="BC242" s="35">
        <f>SUM(BC193+BC197+BC199+BC200+BC207+BC208+BC209+BC212+BC230+BC233+BC234+BC235)</f>
        <v>938910.665022528</v>
      </c>
      <c r="BD242" s="35">
        <f>SUM(BD193+BD197+BD199+BD200+BD207+BD208+BD209+BD212+BD230+BD233+BD234+BD235)</f>
        <v>1311509.05471329</v>
      </c>
      <c r="BE242" s="35">
        <f>SUM(BE193+BE197+BE199+BE200+BE207+BE208+BE209+BE212+BE230+BE233+BE234+BE235)</f>
        <v>1852263.40993007</v>
      </c>
      <c r="BF242" s="35">
        <f>SUM(BF193,BF197,BF199,BF200,BF207,BF208,BF212,BF209,BF230,BF233,BF234,BF235)</f>
        <v>1852263.40993007</v>
      </c>
      <c r="BG242" s="35" t="n"/>
      <c r="BH242" s="35" t="n"/>
      <c r="BI242" s="35" t="n"/>
      <c r="BJ242" s="35" t="n"/>
      <c r="BK242" s="35" t="n"/>
      <c r="BL242" s="35" t="n"/>
      <c r="BM242" s="35" t="n"/>
      <c r="BN242" s="35" t="n"/>
      <c r="BO242" s="35" t="n"/>
      <c r="BP242" s="35" t="n"/>
      <c r="BQ242" s="35" t="n"/>
      <c r="BR242" s="35" t="n"/>
      <c r="BS242" s="35" t="n"/>
      <c r="BT242" s="35" t="n"/>
      <c r="BU242" s="35" t="n"/>
      <c r="BV242" s="35" t="n"/>
      <c r="BW242" s="35" t="n"/>
      <c r="BX242" s="35" t="n"/>
      <c r="BY242" s="35" t="n"/>
      <c r="BZ242" s="35" t="n"/>
      <c r="CA242" s="35" t="n"/>
      <c r="CB242" s="35" t="n"/>
      <c r="CC242" s="35" t="n"/>
      <c r="CD242" s="35" t="n"/>
      <c r="CE242" s="35" t="n"/>
      <c r="CF242" s="35" t="n"/>
      <c r="CG242" s="35" t="n"/>
      <c r="CH242" s="35" t="n"/>
      <c r="CI242" s="35" t="n"/>
      <c r="CJ242" s="35" t="n"/>
      <c r="CK242" s="35" t="n"/>
      <c r="CL242" s="35" t="n"/>
      <c r="CM242" s="35" t="n"/>
      <c r="CN242" s="35" t="n"/>
      <c r="CO242" s="35" t="n"/>
      <c r="CP242" s="35" t="n"/>
      <c r="CQ242" s="35" t="n"/>
      <c r="CR242" s="35" t="n"/>
      <c r="CS242" s="35" t="n"/>
      <c r="CT242" s="35" t="n"/>
      <c r="CU242" s="35" t="n"/>
      <c r="CV242" s="35" t="n"/>
      <c r="CW242" s="35" t="n"/>
      <c r="CX242" s="35" t="n"/>
      <c r="CY242" s="35" t="n"/>
    </row>
    <row r="243">
      <c r="C243" s="14" t="inlineStr">
        <is>
          <t>Minority interest</t>
        </is>
      </c>
      <c r="D243" s="46" t="n"/>
      <c r="E243" s="46" t="n"/>
      <c r="F243" s="46" t="n"/>
      <c r="G243" s="46" t="n"/>
      <c r="H243" s="12" t="n"/>
      <c r="I243" s="46">
        <f>'Inputs (2)'!D41</f>
        <v>200.6</v>
      </c>
      <c r="J243" s="46">
        <f>'Inputs (2)'!E41</f>
        <v>219.1</v>
      </c>
      <c r="K243" s="46">
        <f>'Inputs (2)'!F41</f>
        <v>197.1</v>
      </c>
      <c r="L243" s="46">
        <f>'Inputs (2)'!G41</f>
        <v>175.6</v>
      </c>
      <c r="M243" s="12">
        <f>'Inputs (2)'!H41</f>
        <v>175.6</v>
      </c>
      <c r="N243" s="46">
        <f>'Inputs (2)'!I41</f>
        <v>131.2</v>
      </c>
      <c r="O243" s="46">
        <f>'Inputs (2)'!J41</f>
        <v>114.5</v>
      </c>
      <c r="P243" s="46">
        <f>'Inputs (2)'!K41</f>
        <v>95.8</v>
      </c>
      <c r="Q243" s="46">
        <f>'Inputs (2)'!L41</f>
        <v>125.6</v>
      </c>
      <c r="R243" s="12">
        <f>'Inputs (2)'!M41</f>
        <v>125.6</v>
      </c>
      <c r="S243" s="46">
        <f>'Inputs (2)'!N41</f>
        <v>104.5</v>
      </c>
      <c r="T243" s="46">
        <f>'Inputs (2)'!O41</f>
        <v>85.5</v>
      </c>
      <c r="U243" s="46">
        <f>'Inputs (2)'!P41</f>
        <v>87</v>
      </c>
      <c r="V243" s="46">
        <f>'Inputs (2)'!Q41</f>
        <v>91.8</v>
      </c>
      <c r="W243" s="12">
        <f>'Inputs (2)'!R41</f>
        <v>91.8</v>
      </c>
      <c r="X243" s="46">
        <f>'Inputs (2)'!S41</f>
        <v>85.2</v>
      </c>
      <c r="Y243" s="46">
        <f>'Inputs (2)'!T41</f>
        <v>73.5</v>
      </c>
      <c r="Z243" s="46">
        <f>'Inputs (2)'!U41</f>
        <v>80.7</v>
      </c>
      <c r="AA243" s="46">
        <f>'Inputs (2)'!V41</f>
        <v>79.5</v>
      </c>
      <c r="AB243" s="12">
        <f>'Inputs (2)'!W41</f>
        <v>79.5</v>
      </c>
      <c r="AC243" s="46">
        <f>'Inputs (2)'!X41</f>
        <v>82</v>
      </c>
      <c r="AD243" s="46">
        <f>'Inputs (2)'!Y41</f>
        <v>76.2</v>
      </c>
      <c r="AE243" s="46">
        <f>'Inputs (2)'!Z41</f>
        <v>57.5</v>
      </c>
      <c r="AF243" s="46">
        <f>'Inputs (2)'!AA41</f>
        <v>0</v>
      </c>
      <c r="AG243" s="12">
        <f>'Inputs (2)'!AB41</f>
        <v>0</v>
      </c>
      <c r="AH243" s="12">
        <f>'Inputs (2)'!AC41</f>
        <v>0</v>
      </c>
      <c r="AI243" s="12">
        <f>'Inputs (2)'!AD41</f>
        <v>0</v>
      </c>
      <c r="AJ243" s="12">
        <f>AI243</f>
        <v>0</v>
      </c>
      <c r="AK243" s="12">
        <f>AJ243</f>
        <v>0</v>
      </c>
      <c r="AL243" s="12">
        <f>AK243</f>
        <v>0</v>
      </c>
      <c r="AM243" s="12">
        <f>AL243</f>
        <v>0</v>
      </c>
      <c r="AN243" s="12">
        <f>AM243</f>
        <v>0</v>
      </c>
      <c r="AO243" s="12">
        <f>AN243</f>
        <v>0</v>
      </c>
      <c r="AP243" s="12">
        <f>AO243</f>
        <v>0</v>
      </c>
      <c r="AQ243" s="12">
        <f>AP243</f>
        <v>0</v>
      </c>
      <c r="AR243" s="12">
        <f>AQ243</f>
        <v>0</v>
      </c>
      <c r="AS243" s="12">
        <f>AR243</f>
        <v>0</v>
      </c>
      <c r="AT243" s="12">
        <f>AS243</f>
        <v>0</v>
      </c>
      <c r="AU243" s="12">
        <f>AT243</f>
        <v>0</v>
      </c>
      <c r="AV243" s="12">
        <f>AU243</f>
        <v>0</v>
      </c>
      <c r="AW243" s="12">
        <f>AV243</f>
        <v>0</v>
      </c>
      <c r="AX243" s="12">
        <f>AW243</f>
        <v>0</v>
      </c>
      <c r="AY243" s="12">
        <f>AX243</f>
        <v>0</v>
      </c>
      <c r="AZ243" s="12">
        <f>AY243</f>
        <v>0</v>
      </c>
      <c r="BA243" s="12">
        <f>AZ243</f>
        <v>0</v>
      </c>
      <c r="BB243" s="12">
        <f>BA243</f>
        <v>0</v>
      </c>
      <c r="BC243" s="12">
        <f>BB243</f>
        <v>0</v>
      </c>
      <c r="BD243" s="12">
        <f>BC243</f>
        <v>0</v>
      </c>
      <c r="BE243" s="12">
        <f>BD243</f>
        <v>0</v>
      </c>
      <c r="BF243" s="12">
        <f>BE243</f>
        <v>0</v>
      </c>
      <c r="BG243" s="12" t="n"/>
      <c r="BH243" s="12" t="n"/>
      <c r="BI243" s="12" t="n"/>
      <c r="BJ243" s="12" t="n"/>
      <c r="BK243" s="12" t="n"/>
      <c r="BL243" s="12" t="n"/>
      <c r="BM243" s="12" t="n"/>
      <c r="BN243" s="12" t="n"/>
      <c r="BO243" s="12" t="n"/>
      <c r="BP243" s="12" t="n"/>
      <c r="BQ243" s="12" t="n"/>
      <c r="BR243" s="12" t="n"/>
      <c r="BS243" s="12" t="n"/>
      <c r="BT243" s="12" t="n"/>
      <c r="BU243" s="12" t="n"/>
      <c r="BV243" s="12" t="n"/>
      <c r="BW243" s="12" t="n"/>
      <c r="BX243" s="12" t="n"/>
      <c r="BY243" s="12" t="n"/>
      <c r="BZ243" s="12" t="n"/>
      <c r="CA243" s="12" t="n"/>
      <c r="CB243" s="12" t="n"/>
      <c r="CC243" s="12" t="n"/>
      <c r="CD243" s="12" t="n"/>
      <c r="CE243" s="12" t="n"/>
      <c r="CF243" s="12" t="n"/>
      <c r="CG243" s="12" t="n"/>
      <c r="CH243" s="12" t="n"/>
      <c r="CI243" s="12" t="n"/>
      <c r="CJ243" s="12" t="n"/>
      <c r="CK243" s="12" t="n"/>
      <c r="CL243" s="12" t="n"/>
      <c r="CM243" s="12" t="n"/>
      <c r="CN243" s="12" t="n"/>
      <c r="CO243" s="12" t="n"/>
      <c r="CP243" s="12" t="n"/>
      <c r="CQ243" s="12" t="n"/>
      <c r="CR243" s="12" t="n"/>
      <c r="CS243" s="12" t="n"/>
      <c r="CT243" s="12" t="n"/>
      <c r="CU243" s="12" t="n"/>
      <c r="CV243" s="12" t="n"/>
      <c r="CW243" s="12" t="n"/>
      <c r="CX243" s="12" t="n"/>
      <c r="CY243" s="12" t="n"/>
    </row>
    <row r="244" hidden="1" outlineLevel="1" customFormat="1" s="66">
      <c r="A244" s="37" t="n"/>
      <c r="B244" s="37" t="n"/>
      <c r="C244" s="59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  <c r="AO244" s="42" t="n"/>
      <c r="AP244" s="42" t="n"/>
      <c r="AQ244" s="42" t="n"/>
      <c r="AR244" s="42" t="n"/>
      <c r="AS244" s="42" t="n"/>
      <c r="AT244" s="42" t="n"/>
      <c r="AU244" s="42" t="n"/>
      <c r="AV244" s="42" t="n"/>
      <c r="AW244" s="42" t="n"/>
      <c r="AX244" s="42" t="n"/>
      <c r="AY244" s="42" t="n"/>
      <c r="AZ244" s="42" t="n"/>
      <c r="BA244" s="42" t="n"/>
      <c r="BB244" s="42" t="n"/>
      <c r="BC244" s="42" t="n"/>
      <c r="BD244" s="42" t="n"/>
      <c r="BE244" s="42" t="n"/>
      <c r="BF244" s="42" t="n"/>
      <c r="BG244" s="42" t="n"/>
      <c r="BH244" s="42" t="n"/>
      <c r="BI244" s="42" t="n"/>
      <c r="BJ244" s="42" t="n"/>
      <c r="BK244" s="42" t="n"/>
      <c r="BL244" s="42" t="n"/>
      <c r="BM244" s="42" t="n"/>
      <c r="BN244" s="42" t="n"/>
      <c r="BO244" s="42" t="n"/>
      <c r="BP244" s="42" t="n"/>
      <c r="BQ244" s="42" t="n"/>
      <c r="BR244" s="42" t="n"/>
      <c r="BS244" s="42" t="n"/>
      <c r="BT244" s="42" t="n"/>
      <c r="BU244" s="42" t="n"/>
      <c r="BV244" s="42" t="n"/>
      <c r="BW244" s="42" t="n"/>
      <c r="BX244" s="42" t="n"/>
      <c r="BY244" s="42" t="n"/>
      <c r="BZ244" s="42" t="n"/>
      <c r="CA244" s="42" t="n"/>
      <c r="CB244" s="42" t="n"/>
      <c r="CC244" s="42" t="n"/>
      <c r="CD244" s="42" t="n"/>
      <c r="CE244" s="42" t="n"/>
      <c r="CF244" s="42" t="n"/>
      <c r="CG244" s="42" t="n"/>
      <c r="CH244" s="42" t="n"/>
      <c r="CI244" s="42" t="n"/>
      <c r="CJ244" s="42" t="n"/>
      <c r="CK244" s="42" t="n"/>
      <c r="CL244" s="42" t="n"/>
      <c r="CM244" s="42" t="n"/>
      <c r="CN244" s="42" t="n"/>
      <c r="CO244" s="42" t="n"/>
      <c r="CP244" s="42" t="n"/>
      <c r="CQ244" s="42" t="n"/>
      <c r="CR244" s="42" t="n"/>
      <c r="CS244" s="42" t="n"/>
      <c r="CT244" s="42" t="n"/>
      <c r="CU244" s="42" t="n"/>
      <c r="CV244" s="42" t="n"/>
      <c r="CW244" s="42" t="n"/>
      <c r="CX244" s="42" t="n"/>
      <c r="CY244" s="42" t="n"/>
    </row>
    <row r="245" hidden="1" outlineLevel="1" customFormat="1" s="66">
      <c r="A245" s="37" t="n"/>
      <c r="B245" s="37" t="n"/>
      <c r="C245" s="57" t="inlineStr">
        <is>
          <t>Minority Interest Expense - % YoY</t>
        </is>
      </c>
      <c r="D245" s="42" t="n"/>
      <c r="E245" s="58" t="n"/>
      <c r="F245" s="42" t="n"/>
      <c r="G245" s="42" t="n"/>
      <c r="H245" s="58" t="n"/>
      <c r="I245" s="42" t="n"/>
      <c r="J245" s="58">
        <f>IF(I130=0,0,J130/I130-1)</f>
        <v>0</v>
      </c>
      <c r="K245" s="42" t="n"/>
      <c r="L245" s="42" t="n"/>
      <c r="M245" s="58" t="n"/>
      <c r="N245" s="58">
        <f>IF(I130=0,0,N130/I130-1)</f>
        <v>0</v>
      </c>
      <c r="O245" s="58">
        <f>IF(J130=0,0,O130/J130-1)</f>
        <v>0</v>
      </c>
      <c r="P245" s="58">
        <f>IF(K130=0,0,P130/K130-1)</f>
        <v>0</v>
      </c>
      <c r="Q245" s="58">
        <f>IF(L130=0,0,Q130/L130-1)</f>
        <v>0</v>
      </c>
      <c r="R245" s="58" t="n"/>
      <c r="S245" s="58">
        <f>IF(N130=0,0,S130/N130-1)</f>
        <v>0</v>
      </c>
      <c r="T245" s="58">
        <f>IF(O130=0,0,T130/O130-1)</f>
        <v>0</v>
      </c>
      <c r="U245" s="58">
        <f>IF(P130=0,0,U130/P130-1)</f>
        <v>0</v>
      </c>
      <c r="V245" s="58">
        <f>IF(Q130=0,0,V130/Q130-1)</f>
        <v>0</v>
      </c>
      <c r="W245" s="58">
        <f>IF(R131=0,0,W131/R131-1)</f>
        <v>0</v>
      </c>
      <c r="X245" s="58">
        <f>IF(S130=0,0,X130/S130-1)</f>
        <v>0</v>
      </c>
      <c r="Y245" s="58">
        <f>IF(T130=0,0,Y130/T130-1)</f>
        <v>0</v>
      </c>
      <c r="Z245" s="58">
        <f>IF(U130=0,0,Z130/U130-1)</f>
        <v>0</v>
      </c>
      <c r="AA245" s="58">
        <f>IF(V130=0,0,AA130/V130-1)</f>
        <v>0</v>
      </c>
      <c r="AB245" s="58">
        <f>IF(W131=0,0,AB131/W131-1)</f>
        <v>0</v>
      </c>
      <c r="AC245" s="58">
        <f>IF(X130=0,0,AC130/X130-1)</f>
        <v>0</v>
      </c>
      <c r="AD245" s="58">
        <f>IF(Y130=0,0,AD130/Y130-1)</f>
        <v>0</v>
      </c>
      <c r="AE245" s="58">
        <f>IF(Z130=0,0,AE130/Z130-1)</f>
        <v>0</v>
      </c>
      <c r="AF245" s="58">
        <f>IF(AA130=0,0,AF130/AA130-1)</f>
        <v>0</v>
      </c>
      <c r="AG245" s="58">
        <f>IF(AB131=0,0,AG131/AB131-1)</f>
        <v>0</v>
      </c>
      <c r="AH245" s="62">
        <f>IF(AC130=0,0,AH130/AC130-1)</f>
        <v>0</v>
      </c>
      <c r="AI245" s="62">
        <f>IF(AD130=0,0,AI130/AD130-1)</f>
        <v>0</v>
      </c>
      <c r="AJ245" s="62" t="n"/>
      <c r="AK245" s="62" t="n"/>
      <c r="AL245" s="58">
        <f>IF(AG131=0,0,AL131/AG131-1)</f>
        <v>0</v>
      </c>
      <c r="AM245" s="62" t="n"/>
      <c r="AN245" s="62" t="n"/>
      <c r="AO245" s="62" t="n"/>
      <c r="AP245" s="62" t="n"/>
      <c r="AQ245" s="58">
        <f>IF(AL131=0,0,AQ131/AL131-1)</f>
        <v>0</v>
      </c>
      <c r="AR245" s="62" t="n"/>
      <c r="AS245" s="62" t="n"/>
      <c r="AT245" s="62" t="n"/>
      <c r="AU245" s="62" t="n"/>
      <c r="AV245" s="58">
        <f>IF(AQ131=0,0,AV131/AQ131-1)</f>
        <v>0</v>
      </c>
      <c r="AW245" s="62" t="n"/>
      <c r="AX245" s="62" t="n"/>
      <c r="AY245" s="62" t="n"/>
      <c r="AZ245" s="62" t="n"/>
      <c r="BA245" s="58">
        <f>IF(AV131=0,0,BA131/AV131-1)</f>
        <v>0</v>
      </c>
      <c r="BB245" s="62" t="n"/>
      <c r="BC245" s="62" t="n"/>
      <c r="BD245" s="62" t="n"/>
      <c r="BE245" s="62" t="n"/>
      <c r="BF245" s="58">
        <f>IF(BA131=0,0,BF131/BA131-1)</f>
        <v>0</v>
      </c>
      <c r="BG245" s="62" t="n"/>
      <c r="BH245" s="62" t="n"/>
      <c r="BI245" s="62" t="n"/>
      <c r="BJ245" s="62" t="n"/>
      <c r="BK245" s="58" t="n"/>
      <c r="BL245" s="62" t="n"/>
      <c r="BM245" s="62" t="n"/>
      <c r="BN245" s="62" t="n"/>
      <c r="BO245" s="62" t="n"/>
      <c r="BP245" s="58" t="n"/>
      <c r="BQ245" s="62" t="n"/>
      <c r="BR245" s="62" t="n"/>
      <c r="BS245" s="62" t="n"/>
      <c r="BT245" s="62" t="n"/>
      <c r="BU245" s="58" t="n"/>
      <c r="BV245" s="62" t="n"/>
      <c r="BW245" s="62" t="n"/>
      <c r="BX245" s="62" t="n"/>
      <c r="BY245" s="62" t="n"/>
      <c r="BZ245" s="58" t="n"/>
      <c r="CA245" s="62" t="n"/>
      <c r="CB245" s="62" t="n"/>
      <c r="CC245" s="62" t="n"/>
      <c r="CD245" s="62" t="n"/>
      <c r="CE245" s="58" t="n"/>
      <c r="CF245" s="62" t="n"/>
      <c r="CG245" s="62" t="n"/>
      <c r="CH245" s="62" t="n"/>
      <c r="CI245" s="62" t="n"/>
      <c r="CJ245" s="58" t="n"/>
      <c r="CK245" s="62" t="n"/>
      <c r="CL245" s="62" t="n"/>
      <c r="CM245" s="62" t="n"/>
      <c r="CN245" s="62" t="n"/>
      <c r="CO245" s="58" t="n"/>
      <c r="CP245" s="62" t="n"/>
      <c r="CQ245" s="62" t="n"/>
      <c r="CR245" s="62" t="n"/>
      <c r="CS245" s="62" t="n"/>
      <c r="CT245" s="58" t="n"/>
      <c r="CU245" s="62" t="n"/>
      <c r="CV245" s="62" t="n"/>
      <c r="CW245" s="62" t="n"/>
      <c r="CX245" s="62" t="n"/>
      <c r="CY245" s="58" t="n"/>
    </row>
    <row r="246" hidden="1" outlineLevel="1" customFormat="1" s="66">
      <c r="A246" s="37" t="n"/>
      <c r="B246" s="37" t="n"/>
      <c r="C246" s="57" t="inlineStr">
        <is>
          <t>Dividends (enter as -)</t>
        </is>
      </c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62" t="n"/>
      <c r="AI246" s="62" t="n"/>
      <c r="AJ246" s="62" t="n"/>
      <c r="AK246" s="62" t="n"/>
      <c r="AL246" s="42" t="n"/>
      <c r="AM246" s="62" t="n"/>
      <c r="AN246" s="62" t="n"/>
      <c r="AO246" s="62" t="n"/>
      <c r="AP246" s="62" t="n"/>
      <c r="AQ246" s="42" t="n"/>
      <c r="AR246" s="62" t="n"/>
      <c r="AS246" s="62" t="n"/>
      <c r="AT246" s="62" t="n"/>
      <c r="AU246" s="62" t="n"/>
      <c r="AV246" s="42" t="n"/>
      <c r="AW246" s="62" t="n"/>
      <c r="AX246" s="62" t="n"/>
      <c r="AY246" s="62" t="n"/>
      <c r="AZ246" s="62" t="n"/>
      <c r="BA246" s="42" t="n"/>
      <c r="BB246" s="62" t="n"/>
      <c r="BC246" s="62" t="n"/>
      <c r="BD246" s="62" t="n"/>
      <c r="BE246" s="62" t="n"/>
      <c r="BF246" s="42" t="n"/>
      <c r="BG246" s="62" t="n"/>
      <c r="BH246" s="62" t="n"/>
      <c r="BI246" s="62" t="n"/>
      <c r="BJ246" s="62" t="n"/>
      <c r="BK246" s="42" t="n"/>
      <c r="BL246" s="62" t="n"/>
      <c r="BM246" s="62" t="n"/>
      <c r="BN246" s="62" t="n"/>
      <c r="BO246" s="62" t="n"/>
      <c r="BP246" s="42" t="n"/>
      <c r="BQ246" s="62" t="n"/>
      <c r="BR246" s="62" t="n"/>
      <c r="BS246" s="62" t="n"/>
      <c r="BT246" s="62" t="n"/>
      <c r="BU246" s="42" t="n"/>
      <c r="BV246" s="62" t="n"/>
      <c r="BW246" s="62" t="n"/>
      <c r="BX246" s="62" t="n"/>
      <c r="BY246" s="62" t="n"/>
      <c r="BZ246" s="42" t="n"/>
      <c r="CA246" s="62" t="n"/>
      <c r="CB246" s="62" t="n"/>
      <c r="CC246" s="62" t="n"/>
      <c r="CD246" s="62" t="n"/>
      <c r="CE246" s="42" t="n"/>
      <c r="CF246" s="62" t="n"/>
      <c r="CG246" s="62" t="n"/>
      <c r="CH246" s="62" t="n"/>
      <c r="CI246" s="62" t="n"/>
      <c r="CJ246" s="42" t="n"/>
      <c r="CK246" s="62" t="n"/>
      <c r="CL246" s="62" t="n"/>
      <c r="CM246" s="62" t="n"/>
      <c r="CN246" s="62" t="n"/>
      <c r="CO246" s="42" t="n"/>
      <c r="CP246" s="62" t="n"/>
      <c r="CQ246" s="62" t="n"/>
      <c r="CR246" s="62" t="n"/>
      <c r="CS246" s="62" t="n"/>
      <c r="CT246" s="42" t="n"/>
      <c r="CU246" s="62" t="n"/>
      <c r="CV246" s="62" t="n"/>
      <c r="CW246" s="62" t="n"/>
      <c r="CX246" s="62" t="n"/>
      <c r="CY246" s="42" t="n"/>
    </row>
    <row r="247" hidden="1" outlineLevel="1" customFormat="1" s="66">
      <c r="A247" s="37" t="n"/>
      <c r="B247" s="37" t="n"/>
      <c r="C247" s="59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  <c r="BL247" s="42" t="n"/>
      <c r="BM247" s="42" t="n"/>
      <c r="BN247" s="42" t="n"/>
      <c r="BO247" s="42" t="n"/>
      <c r="BP247" s="42" t="n"/>
      <c r="BQ247" s="42" t="n"/>
      <c r="BR247" s="42" t="n"/>
      <c r="BS247" s="42" t="n"/>
      <c r="BT247" s="42" t="n"/>
      <c r="BU247" s="42" t="n"/>
      <c r="BV247" s="42" t="n"/>
      <c r="BW247" s="42" t="n"/>
      <c r="BX247" s="42" t="n"/>
      <c r="BY247" s="42" t="n"/>
      <c r="BZ247" s="42" t="n"/>
      <c r="CA247" s="42" t="n"/>
      <c r="CB247" s="42" t="n"/>
      <c r="CC247" s="42" t="n"/>
      <c r="CD247" s="42" t="n"/>
      <c r="CE247" s="42" t="n"/>
      <c r="CF247" s="42" t="n"/>
      <c r="CG247" s="42" t="n"/>
      <c r="CH247" s="42" t="n"/>
      <c r="CI247" s="42" t="n"/>
      <c r="CJ247" s="42" t="n"/>
      <c r="CK247" s="42" t="n"/>
      <c r="CL247" s="42" t="n"/>
      <c r="CM247" s="42" t="n"/>
      <c r="CN247" s="42" t="n"/>
      <c r="CO247" s="42" t="n"/>
      <c r="CP247" s="42" t="n"/>
      <c r="CQ247" s="42" t="n"/>
      <c r="CR247" s="42" t="n"/>
      <c r="CS247" s="42" t="n"/>
      <c r="CT247" s="42" t="n"/>
      <c r="CU247" s="42" t="n"/>
      <c r="CV247" s="42" t="n"/>
      <c r="CW247" s="42" t="n"/>
      <c r="CX247" s="42" t="n"/>
      <c r="CY247" s="42" t="n"/>
    </row>
    <row r="248" collapsed="1">
      <c r="C248" s="14" t="inlineStr">
        <is>
          <t>Convertible Preferred Stock</t>
        </is>
      </c>
      <c r="D248" s="46" t="n"/>
      <c r="E248" s="46" t="n"/>
      <c r="F248" s="46" t="n"/>
      <c r="G248" s="46" t="n"/>
      <c r="H248" s="12" t="n"/>
      <c r="I248" s="46">
        <f>'Inputs (2)'!D42</f>
        <v>0</v>
      </c>
      <c r="J248" s="46">
        <f>'Inputs (2)'!E42</f>
        <v>0</v>
      </c>
      <c r="K248" s="46">
        <f>'Inputs (2)'!F42</f>
        <v>0</v>
      </c>
      <c r="L248" s="46">
        <f>'Inputs (2)'!G42</f>
        <v>0</v>
      </c>
      <c r="M248" s="12">
        <f>'Inputs (2)'!H42</f>
        <v>0</v>
      </c>
      <c r="N248" s="46">
        <f>'Inputs (2)'!I42</f>
        <v>0</v>
      </c>
      <c r="O248" s="46">
        <f>'Inputs (2)'!J42</f>
        <v>0</v>
      </c>
      <c r="P248" s="46">
        <f>'Inputs (2)'!K42</f>
        <v>0</v>
      </c>
      <c r="Q248" s="46">
        <f>'Inputs (2)'!L42</f>
        <v>0</v>
      </c>
      <c r="R248" s="12">
        <f>'Inputs (2)'!M42</f>
        <v>0</v>
      </c>
      <c r="S248" s="46">
        <f>'Inputs (2)'!N42</f>
        <v>0</v>
      </c>
      <c r="T248" s="46">
        <f>'Inputs (2)'!O42</f>
        <v>0</v>
      </c>
      <c r="U248" s="46">
        <f>'Inputs (2)'!P42</f>
        <v>0</v>
      </c>
      <c r="V248" s="46">
        <f>'Inputs (2)'!Q42</f>
        <v>0</v>
      </c>
      <c r="W248" s="12">
        <f>'Inputs (2)'!R42</f>
        <v>0</v>
      </c>
      <c r="X248" s="46">
        <f>'Inputs (2)'!S42</f>
        <v>0</v>
      </c>
      <c r="Y248" s="46">
        <f>'Inputs (2)'!T42</f>
        <v>0</v>
      </c>
      <c r="Z248" s="46">
        <f>'Inputs (2)'!U42</f>
        <v>0</v>
      </c>
      <c r="AA248" s="46">
        <f>'Inputs (2)'!V42</f>
        <v>0</v>
      </c>
      <c r="AB248" s="12">
        <f>'Inputs (2)'!W42</f>
        <v>0</v>
      </c>
      <c r="AC248" s="46">
        <f>'Inputs (2)'!X42</f>
        <v>0</v>
      </c>
      <c r="AD248" s="46">
        <f>'Inputs (2)'!Y42</f>
        <v>0</v>
      </c>
      <c r="AE248" s="46">
        <f>'Inputs (2)'!Z42</f>
        <v>0</v>
      </c>
      <c r="AF248" s="46">
        <f>'Inputs (2)'!AA42</f>
        <v>0</v>
      </c>
      <c r="AG248" s="12">
        <f>'Inputs (2)'!AB42</f>
        <v>0</v>
      </c>
      <c r="AH248" s="12">
        <f>'Inputs (2)'!AC42</f>
        <v>0</v>
      </c>
      <c r="AI248" s="12">
        <f>'Inputs (2)'!AD42</f>
        <v>0</v>
      </c>
      <c r="AJ248" s="12">
        <f>AI248</f>
        <v>0</v>
      </c>
      <c r="AK248" s="12">
        <f>AJ248</f>
        <v>0</v>
      </c>
      <c r="AL248" s="12">
        <f>AK248</f>
        <v>0</v>
      </c>
      <c r="AM248" s="12">
        <f>AL248</f>
        <v>0</v>
      </c>
      <c r="AN248" s="12">
        <f>AM248</f>
        <v>0</v>
      </c>
      <c r="AO248" s="12">
        <f>AN248</f>
        <v>0</v>
      </c>
      <c r="AP248" s="12">
        <f>AO248</f>
        <v>0</v>
      </c>
      <c r="AQ248" s="12">
        <f>AP248</f>
        <v>0</v>
      </c>
      <c r="AR248" s="12">
        <f>AQ248</f>
        <v>0</v>
      </c>
      <c r="AS248" s="12">
        <f>AR248</f>
        <v>0</v>
      </c>
      <c r="AT248" s="12">
        <f>AS248</f>
        <v>0</v>
      </c>
      <c r="AU248" s="12">
        <f>AT248</f>
        <v>0</v>
      </c>
      <c r="AV248" s="12">
        <f>AU248</f>
        <v>0</v>
      </c>
      <c r="AW248" s="12">
        <f>AV248</f>
        <v>0</v>
      </c>
      <c r="AX248" s="12">
        <f>AW248</f>
        <v>0</v>
      </c>
      <c r="AY248" s="12">
        <f>AX248</f>
        <v>0</v>
      </c>
      <c r="AZ248" s="12">
        <f>AY248</f>
        <v>0</v>
      </c>
      <c r="BA248" s="12">
        <f>AZ248</f>
        <v>0</v>
      </c>
      <c r="BB248" s="12">
        <f>BA248</f>
        <v>0</v>
      </c>
      <c r="BC248" s="12">
        <f>BB248</f>
        <v>0</v>
      </c>
      <c r="BD248" s="12">
        <f>BC248</f>
        <v>0</v>
      </c>
      <c r="BE248" s="12">
        <f>BD248</f>
        <v>0</v>
      </c>
      <c r="BF248" s="12">
        <f>BE248</f>
        <v>0</v>
      </c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>
      <c r="C249" s="13" t="inlineStr">
        <is>
          <t>Common Stock and APIC</t>
        </is>
      </c>
      <c r="D249" s="46" t="n"/>
      <c r="E249" s="46" t="n"/>
      <c r="F249" s="46" t="n"/>
      <c r="G249" s="46" t="n"/>
      <c r="H249" s="12" t="n"/>
      <c r="I249" s="46">
        <f>'Inputs (2)'!D43</f>
        <v>7178.9</v>
      </c>
      <c r="J249" s="46">
        <f>'Inputs (2)'!E43</f>
        <v>7267.3</v>
      </c>
      <c r="K249" s="46">
        <f>'Inputs (2)'!F43</f>
        <v>7356.2</v>
      </c>
      <c r="L249" s="46">
        <f>'Inputs (2)'!G43</f>
        <v>7429.7</v>
      </c>
      <c r="M249" s="12">
        <f>'Inputs (2)'!H43</f>
        <v>7429.7</v>
      </c>
      <c r="N249" s="46">
        <f>'Inputs (2)'!I43</f>
        <v>7250.4</v>
      </c>
      <c r="O249" s="46">
        <f>'Inputs (2)'!J43</f>
        <v>7340.1</v>
      </c>
      <c r="P249" s="46">
        <f>'Inputs (2)'!K43</f>
        <v>7423.1</v>
      </c>
      <c r="Q249" s="46">
        <f>'Inputs (2)'!L43</f>
        <v>7515.5</v>
      </c>
      <c r="R249" s="12">
        <f>'Inputs (2)'!M43</f>
        <v>7515.5</v>
      </c>
      <c r="S249" s="46">
        <f>'Inputs (2)'!N43</f>
        <v>7386.6</v>
      </c>
      <c r="T249" s="46">
        <f>'Inputs (2)'!O43</f>
        <v>7542.2</v>
      </c>
      <c r="U249" s="46">
        <f>'Inputs (2)'!P43</f>
        <v>7753.6</v>
      </c>
      <c r="V249" s="46">
        <f>'Inputs (2)'!Q43</f>
        <v>7844</v>
      </c>
      <c r="W249" s="12">
        <f>'Inputs (2)'!R43</f>
        <v>7844</v>
      </c>
      <c r="X249" s="46">
        <f>'Inputs (2)'!S43</f>
        <v>7603.7</v>
      </c>
      <c r="Y249" s="46">
        <f>'Inputs (2)'!T43</f>
        <v>7808.4</v>
      </c>
      <c r="Z249" s="46">
        <f>'Inputs (2)'!U43</f>
        <v>7933.5</v>
      </c>
      <c r="AA249" s="46">
        <f>'Inputs (2)'!V43</f>
        <v>8031.7</v>
      </c>
      <c r="AB249" s="12">
        <f>'Inputs (2)'!W43</f>
        <v>8031.7</v>
      </c>
      <c r="AC249" s="46">
        <f>'Inputs (2)'!X43</f>
        <v>7502.6</v>
      </c>
      <c r="AD249" s="46">
        <f>'Inputs (2)'!Y43</f>
        <v>7681.3</v>
      </c>
      <c r="AE249" s="46">
        <f>'Inputs (2)'!Z43</f>
        <v>7823.3</v>
      </c>
      <c r="AF249" s="46">
        <f>'Inputs (2)'!AA43</f>
        <v>7936</v>
      </c>
      <c r="AG249" s="12">
        <f>'Inputs (2)'!AB43</f>
        <v>7936</v>
      </c>
      <c r="AH249" s="12">
        <f>'Inputs (2)'!AC43</f>
        <v>7511</v>
      </c>
      <c r="AI249" s="12">
        <f>'Inputs (2)'!AD43</f>
        <v>7705</v>
      </c>
      <c r="AJ249" s="12">
        <f>AI249+AJ253</f>
        <v>7705</v>
      </c>
      <c r="AK249" s="12">
        <f>AJ249+AK253</f>
        <v>7705</v>
      </c>
      <c r="AL249" s="12">
        <f>AK249</f>
        <v>7705</v>
      </c>
      <c r="AM249" s="12">
        <f>AL249+AM253</f>
        <v>7705</v>
      </c>
      <c r="AN249" s="12">
        <f>AM249+AN253</f>
        <v>7705</v>
      </c>
      <c r="AO249" s="12">
        <f>AN249+AO253</f>
        <v>7705</v>
      </c>
      <c r="AP249" s="12">
        <f>AO249+AP253</f>
        <v>7705</v>
      </c>
      <c r="AQ249" s="12">
        <f>AP249</f>
        <v>7705</v>
      </c>
      <c r="AR249" s="12">
        <f>AQ249+AR253</f>
        <v>7705</v>
      </c>
      <c r="AS249" s="12">
        <f>AR249+AS253</f>
        <v>7705</v>
      </c>
      <c r="AT249" s="12">
        <f>AS249+AT253</f>
        <v>7705</v>
      </c>
      <c r="AU249" s="12">
        <f>AT249+AU253</f>
        <v>7705</v>
      </c>
      <c r="AV249" s="12">
        <f>AU249</f>
        <v>7705</v>
      </c>
      <c r="AW249" s="12">
        <f>AV249+AW253</f>
        <v>7705</v>
      </c>
      <c r="AX249" s="12">
        <f>AW249+AX253</f>
        <v>7705</v>
      </c>
      <c r="AY249" s="12">
        <f>AX249+AY253</f>
        <v>7705</v>
      </c>
      <c r="AZ249" s="12">
        <f>AY249+AZ253</f>
        <v>7705</v>
      </c>
      <c r="BA249" s="12">
        <f>AZ249</f>
        <v>7705</v>
      </c>
      <c r="BB249" s="12">
        <f>BA249+BB253</f>
        <v>7705</v>
      </c>
      <c r="BC249" s="12">
        <f>BB249+BC253</f>
        <v>7705</v>
      </c>
      <c r="BD249" s="12">
        <f>BC249+BD253</f>
        <v>7705</v>
      </c>
      <c r="BE249" s="12">
        <f>BD249+BE253</f>
        <v>7705</v>
      </c>
      <c r="BF249" s="12">
        <f>BE249</f>
        <v>7705</v>
      </c>
      <c r="BG249" s="12" t="n"/>
      <c r="BH249" s="12" t="n"/>
      <c r="BI249" s="12" t="n"/>
      <c r="BJ249" s="12" t="n"/>
      <c r="BK249" s="12" t="n"/>
      <c r="BL249" s="12" t="n"/>
      <c r="BM249" s="12" t="n"/>
      <c r="BN249" s="12" t="n"/>
      <c r="BO249" s="12" t="n"/>
      <c r="BP249" s="12" t="n"/>
      <c r="BQ249" s="12" t="n"/>
      <c r="BR249" s="12" t="n"/>
      <c r="BS249" s="12" t="n"/>
      <c r="BT249" s="12" t="n"/>
      <c r="BU249" s="12" t="n"/>
      <c r="BV249" s="12" t="n"/>
      <c r="BW249" s="12" t="n"/>
      <c r="BX249" s="12" t="n"/>
      <c r="BY249" s="12" t="n"/>
      <c r="BZ249" s="12" t="n"/>
      <c r="CA249" s="12" t="n"/>
      <c r="CB249" s="12" t="n"/>
      <c r="CC249" s="12" t="n"/>
      <c r="CD249" s="12" t="n"/>
      <c r="CE249" s="12" t="n"/>
      <c r="CF249" s="12" t="n"/>
      <c r="CG249" s="12" t="n"/>
      <c r="CH249" s="12" t="n"/>
      <c r="CI249" s="12" t="n"/>
      <c r="CJ249" s="12" t="n"/>
      <c r="CK249" s="12" t="n"/>
      <c r="CL249" s="12" t="n"/>
      <c r="CM249" s="12" t="n"/>
      <c r="CN249" s="12" t="n"/>
      <c r="CO249" s="12" t="n"/>
      <c r="CP249" s="12" t="n"/>
      <c r="CQ249" s="12" t="n"/>
      <c r="CR249" s="12" t="n"/>
      <c r="CS249" s="12" t="n"/>
      <c r="CT249" s="12" t="n"/>
      <c r="CU249" s="12" t="n"/>
      <c r="CV249" s="12" t="n"/>
      <c r="CW249" s="12" t="n"/>
      <c r="CX249" s="12" t="n"/>
      <c r="CY249" s="12" t="n"/>
    </row>
    <row r="250" hidden="1" outlineLevel="1" customFormat="1" s="66">
      <c r="A250" s="37" t="n"/>
      <c r="B250" s="37" t="n"/>
      <c r="C250" s="67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  <c r="AO250" s="42" t="n"/>
      <c r="AP250" s="42" t="n"/>
      <c r="AQ250" s="42" t="n"/>
      <c r="AR250" s="42" t="n"/>
      <c r="AS250" s="42" t="n"/>
      <c r="AT250" s="42" t="n"/>
      <c r="AU250" s="42" t="n"/>
      <c r="AV250" s="42" t="n"/>
      <c r="AW250" s="42" t="n"/>
      <c r="AX250" s="42" t="n"/>
      <c r="AY250" s="42" t="n"/>
      <c r="AZ250" s="42" t="n"/>
      <c r="BA250" s="42" t="n"/>
      <c r="BB250" s="42" t="n"/>
      <c r="BC250" s="42" t="n"/>
      <c r="BD250" s="42" t="n"/>
      <c r="BE250" s="42" t="n"/>
      <c r="BF250" s="42" t="n"/>
      <c r="BG250" s="42" t="n"/>
      <c r="BH250" s="42" t="n"/>
      <c r="BI250" s="42" t="n"/>
      <c r="BJ250" s="42" t="n"/>
      <c r="BK250" s="42" t="n"/>
      <c r="BL250" s="42" t="n"/>
      <c r="BM250" s="42" t="n"/>
      <c r="BN250" s="42" t="n"/>
      <c r="BO250" s="42" t="n"/>
      <c r="BP250" s="42" t="n"/>
      <c r="BQ250" s="42" t="n"/>
      <c r="BR250" s="42" t="n"/>
      <c r="BS250" s="42" t="n"/>
      <c r="BT250" s="42" t="n"/>
      <c r="BU250" s="42" t="n"/>
      <c r="BV250" s="42" t="n"/>
      <c r="BW250" s="42" t="n"/>
      <c r="BX250" s="42" t="n"/>
      <c r="BY250" s="42" t="n"/>
      <c r="BZ250" s="42" t="n"/>
      <c r="CA250" s="42" t="n"/>
      <c r="CB250" s="42" t="n"/>
      <c r="CC250" s="42" t="n"/>
      <c r="CD250" s="42" t="n"/>
      <c r="CE250" s="42" t="n"/>
      <c r="CF250" s="42" t="n"/>
      <c r="CG250" s="42" t="n"/>
      <c r="CH250" s="42" t="n"/>
      <c r="CI250" s="42" t="n"/>
      <c r="CJ250" s="42" t="n"/>
      <c r="CK250" s="42" t="n"/>
      <c r="CL250" s="42" t="n"/>
      <c r="CM250" s="42" t="n"/>
      <c r="CN250" s="42" t="n"/>
      <c r="CO250" s="42" t="n"/>
      <c r="CP250" s="42" t="n"/>
      <c r="CQ250" s="42" t="n"/>
      <c r="CR250" s="42" t="n"/>
      <c r="CS250" s="42" t="n"/>
      <c r="CT250" s="42" t="n"/>
      <c r="CU250" s="42" t="n"/>
      <c r="CV250" s="42" t="n"/>
      <c r="CW250" s="42" t="n"/>
      <c r="CX250" s="42" t="n"/>
      <c r="CY250" s="42" t="n"/>
    </row>
    <row r="251" hidden="1" outlineLevel="1" customFormat="1" s="66">
      <c r="A251" s="37" t="n"/>
      <c r="B251" s="37" t="n"/>
      <c r="C251" s="67" t="inlineStr">
        <is>
          <t>Diluted Shares outstanding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  <c r="BL251" s="42" t="n"/>
      <c r="BM251" s="42" t="n"/>
      <c r="BN251" s="42" t="n"/>
      <c r="BO251" s="42" t="n"/>
      <c r="BP251" s="42" t="n"/>
      <c r="BQ251" s="42" t="n"/>
      <c r="BR251" s="42" t="n"/>
      <c r="BS251" s="42" t="n"/>
      <c r="BT251" s="42" t="n"/>
      <c r="BU251" s="42" t="n"/>
      <c r="BV251" s="42" t="n"/>
      <c r="BW251" s="42" t="n"/>
      <c r="BX251" s="42" t="n"/>
      <c r="BY251" s="42" t="n"/>
      <c r="BZ251" s="42" t="n"/>
      <c r="CA251" s="42" t="n"/>
      <c r="CB251" s="42" t="n"/>
      <c r="CC251" s="42" t="n"/>
      <c r="CD251" s="42" t="n"/>
      <c r="CE251" s="42" t="n"/>
      <c r="CF251" s="42" t="n"/>
      <c r="CG251" s="42" t="n"/>
      <c r="CH251" s="42" t="n"/>
      <c r="CI251" s="42" t="n"/>
      <c r="CJ251" s="42" t="n"/>
      <c r="CK251" s="42" t="n"/>
      <c r="CL251" s="42" t="n"/>
      <c r="CM251" s="42" t="n"/>
      <c r="CN251" s="42" t="n"/>
      <c r="CO251" s="42" t="n"/>
      <c r="CP251" s="42" t="n"/>
      <c r="CQ251" s="42" t="n"/>
      <c r="CR251" s="42" t="n"/>
      <c r="CS251" s="42" t="n"/>
      <c r="CT251" s="42" t="n"/>
      <c r="CU251" s="42" t="n"/>
      <c r="CV251" s="42" t="n"/>
      <c r="CW251" s="42" t="n"/>
      <c r="CX251" s="42" t="n"/>
      <c r="CY251" s="42" t="n"/>
    </row>
    <row r="252" hidden="1" outlineLevel="1" customFormat="1" s="66">
      <c r="A252" s="37" t="n"/>
      <c r="B252" s="37" t="n"/>
      <c r="C252" s="67" t="inlineStr">
        <is>
          <t>Treasury share $ repurchases</t>
        </is>
      </c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11" t="n"/>
      <c r="AI252" s="11" t="n"/>
      <c r="AJ252" s="11" t="n"/>
      <c r="AK252" s="11" t="n"/>
      <c r="AL252" s="42" t="n"/>
      <c r="AM252" s="11" t="n"/>
      <c r="AN252" s="11" t="n"/>
      <c r="AO252" s="11" t="n"/>
      <c r="AP252" s="11" t="n"/>
      <c r="AQ252" s="42" t="n"/>
      <c r="AR252" s="11" t="n"/>
      <c r="AS252" s="11" t="n"/>
      <c r="AT252" s="11" t="n"/>
      <c r="AU252" s="11" t="n"/>
      <c r="AV252" s="42" t="n"/>
      <c r="AW252" s="11" t="n"/>
      <c r="AX252" s="11" t="n"/>
      <c r="AY252" s="11" t="n"/>
      <c r="AZ252" s="11" t="n"/>
      <c r="BA252" s="42" t="n"/>
      <c r="BB252" s="11" t="n"/>
      <c r="BC252" s="11" t="n"/>
      <c r="BD252" s="11" t="n"/>
      <c r="BE252" s="11" t="n"/>
      <c r="BF252" s="42" t="n"/>
      <c r="BG252" s="11" t="n"/>
      <c r="BH252" s="11" t="n"/>
      <c r="BI252" s="11" t="n"/>
      <c r="BJ252" s="11" t="n"/>
      <c r="BK252" s="42" t="n"/>
      <c r="BL252" s="11" t="n"/>
      <c r="BM252" s="11" t="n"/>
      <c r="BN252" s="11" t="n"/>
      <c r="BO252" s="11" t="n"/>
      <c r="BP252" s="42" t="n"/>
      <c r="BQ252" s="11" t="n"/>
      <c r="BR252" s="11" t="n"/>
      <c r="BS252" s="11" t="n"/>
      <c r="BT252" s="11" t="n"/>
      <c r="BU252" s="42" t="n"/>
      <c r="BV252" s="11" t="n"/>
      <c r="BW252" s="11" t="n"/>
      <c r="BX252" s="11" t="n"/>
      <c r="BY252" s="11" t="n"/>
      <c r="BZ252" s="42" t="n"/>
      <c r="CA252" s="11" t="n"/>
      <c r="CB252" s="11" t="n"/>
      <c r="CC252" s="11" t="n"/>
      <c r="CD252" s="11" t="n"/>
      <c r="CE252" s="42" t="n"/>
      <c r="CF252" s="11" t="n"/>
      <c r="CG252" s="11" t="n"/>
      <c r="CH252" s="11" t="n"/>
      <c r="CI252" s="11" t="n"/>
      <c r="CJ252" s="42" t="n"/>
      <c r="CK252" s="11" t="n"/>
      <c r="CL252" s="11" t="n"/>
      <c r="CM252" s="11" t="n"/>
      <c r="CN252" s="11" t="n"/>
      <c r="CO252" s="42" t="n"/>
      <c r="CP252" s="11" t="n"/>
      <c r="CQ252" s="11" t="n"/>
      <c r="CR252" s="11" t="n"/>
      <c r="CS252" s="11" t="n"/>
      <c r="CT252" s="42" t="n"/>
      <c r="CU252" s="11" t="n"/>
      <c r="CV252" s="11" t="n"/>
      <c r="CW252" s="11" t="n"/>
      <c r="CX252" s="11" t="n"/>
      <c r="CY252" s="42" t="n"/>
    </row>
    <row r="253" hidden="1" outlineLevel="1" customFormat="1" s="66">
      <c r="A253" s="37" t="n"/>
      <c r="B253" s="37" t="n"/>
      <c r="C253" s="67" t="inlineStr">
        <is>
          <t>Value of shares issued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11" t="n"/>
      <c r="AI253" s="11" t="n"/>
      <c r="AJ253" s="11" t="n"/>
      <c r="AK253" s="11" t="n"/>
      <c r="AL253" s="42" t="n"/>
      <c r="AM253" s="11" t="n"/>
      <c r="AN253" s="11" t="n"/>
      <c r="AO253" s="11" t="n"/>
      <c r="AP253" s="11" t="n"/>
      <c r="AQ253" s="42" t="n"/>
      <c r="AR253" s="11" t="n"/>
      <c r="AS253" s="11" t="n"/>
      <c r="AT253" s="11" t="n"/>
      <c r="AU253" s="11" t="n"/>
      <c r="AV253" s="42" t="n"/>
      <c r="AW253" s="11" t="n"/>
      <c r="AX253" s="11" t="n"/>
      <c r="AY253" s="11" t="n"/>
      <c r="AZ253" s="11" t="n"/>
      <c r="BA253" s="42" t="n"/>
      <c r="BB253" s="11" t="n"/>
      <c r="BC253" s="11" t="n"/>
      <c r="BD253" s="11" t="n"/>
      <c r="BE253" s="11" t="n"/>
      <c r="BF253" s="42" t="n"/>
      <c r="BG253" s="11" t="n"/>
      <c r="BH253" s="11" t="n"/>
      <c r="BI253" s="11" t="n"/>
      <c r="BJ253" s="11" t="n"/>
      <c r="BK253" s="42" t="n"/>
      <c r="BL253" s="11" t="n"/>
      <c r="BM253" s="11" t="n"/>
      <c r="BN253" s="11" t="n"/>
      <c r="BO253" s="11" t="n"/>
      <c r="BP253" s="42" t="n"/>
      <c r="BQ253" s="11" t="n"/>
      <c r="BR253" s="11" t="n"/>
      <c r="BS253" s="11" t="n"/>
      <c r="BT253" s="11" t="n"/>
      <c r="BU253" s="42" t="n"/>
      <c r="BV253" s="11" t="n"/>
      <c r="BW253" s="11" t="n"/>
      <c r="BX253" s="11" t="n"/>
      <c r="BY253" s="11" t="n"/>
      <c r="BZ253" s="42" t="n"/>
      <c r="CA253" s="11" t="n"/>
      <c r="CB253" s="11" t="n"/>
      <c r="CC253" s="11" t="n"/>
      <c r="CD253" s="11" t="n"/>
      <c r="CE253" s="42" t="n"/>
      <c r="CF253" s="11" t="n"/>
      <c r="CG253" s="11" t="n"/>
      <c r="CH253" s="11" t="n"/>
      <c r="CI253" s="11" t="n"/>
      <c r="CJ253" s="42" t="n"/>
      <c r="CK253" s="11" t="n"/>
      <c r="CL253" s="11" t="n"/>
      <c r="CM253" s="11" t="n"/>
      <c r="CN253" s="11" t="n"/>
      <c r="CO253" s="42" t="n"/>
      <c r="CP253" s="11" t="n"/>
      <c r="CQ253" s="11" t="n"/>
      <c r="CR253" s="11" t="n"/>
      <c r="CS253" s="11" t="n"/>
      <c r="CT253" s="42" t="n"/>
      <c r="CU253" s="11" t="n"/>
      <c r="CV253" s="11" t="n"/>
      <c r="CW253" s="11" t="n"/>
      <c r="CX253" s="11" t="n"/>
      <c r="CY253" s="42" t="n"/>
    </row>
    <row r="254" hidden="1" outlineLevel="1" customFormat="1" s="66">
      <c r="A254" s="37" t="n"/>
      <c r="B254" s="37" t="n"/>
      <c r="C254" s="67" t="inlineStr">
        <is>
          <t>Expected average share price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68">
        <f>AF254*(1+AH255)</f>
        <v>0</v>
      </c>
      <c r="AI254" s="68">
        <f>AH254*(1+AI255)</f>
        <v>0</v>
      </c>
      <c r="AJ254" s="68">
        <f>AH254*(1+AJ255)</f>
        <v>0</v>
      </c>
      <c r="AK254" s="68">
        <f>AJ254*(1+AK255)</f>
        <v>0</v>
      </c>
      <c r="AL254" s="42" t="n"/>
      <c r="AM254" s="68">
        <f>AK254*(1+AM255)</f>
        <v>0</v>
      </c>
      <c r="AN254" s="68">
        <f>AM254*(1+AN255)</f>
        <v>0</v>
      </c>
      <c r="AO254" s="68">
        <f>AM254*(1+AO255)</f>
        <v>0</v>
      </c>
      <c r="AP254" s="68">
        <f>AO254*(1+AP255)</f>
        <v>0</v>
      </c>
      <c r="AQ254" s="42" t="n"/>
      <c r="AR254" s="68">
        <f>AP254*(1+AR255)</f>
        <v>0</v>
      </c>
      <c r="AS254" s="68">
        <f>AR254*(1+AS255)</f>
        <v>0</v>
      </c>
      <c r="AT254" s="68">
        <f>AR254*(1+AT255)</f>
        <v>0</v>
      </c>
      <c r="AU254" s="68">
        <f>AT254*(1+AU255)</f>
        <v>0</v>
      </c>
      <c r="AV254" s="42" t="n"/>
      <c r="AW254" s="68">
        <f>AU254*(1+AW255)</f>
        <v>0</v>
      </c>
      <c r="AX254" s="68">
        <f>AW254*(1+AX255)</f>
        <v>0</v>
      </c>
      <c r="AY254" s="68">
        <f>AW254*(1+AY255)</f>
        <v>0</v>
      </c>
      <c r="AZ254" s="68">
        <f>AY254*(1+AZ255)</f>
        <v>0</v>
      </c>
      <c r="BA254" s="42" t="n"/>
      <c r="BB254" s="68">
        <f>AZ254*(1+BB255)</f>
        <v>0</v>
      </c>
      <c r="BC254" s="68">
        <f>BB254*(1+BC255)</f>
        <v>0</v>
      </c>
      <c r="BD254" s="68">
        <f>BB254*(1+BD255)</f>
        <v>0</v>
      </c>
      <c r="BE254" s="68">
        <f>BD254*(1+BE255)</f>
        <v>0</v>
      </c>
      <c r="BF254" s="42" t="n"/>
      <c r="BG254" s="68" t="n"/>
      <c r="BH254" s="68" t="n"/>
      <c r="BI254" s="68" t="n"/>
      <c r="BJ254" s="68" t="n"/>
      <c r="BK254" s="42" t="n"/>
      <c r="BL254" s="68" t="n"/>
      <c r="BM254" s="68" t="n"/>
      <c r="BN254" s="68" t="n"/>
      <c r="BO254" s="68" t="n"/>
      <c r="BP254" s="42" t="n"/>
      <c r="BQ254" s="68" t="n"/>
      <c r="BR254" s="68" t="n"/>
      <c r="BS254" s="68" t="n"/>
      <c r="BT254" s="68" t="n"/>
      <c r="BU254" s="42" t="n"/>
      <c r="BV254" s="68" t="n"/>
      <c r="BW254" s="68" t="n"/>
      <c r="BX254" s="68" t="n"/>
      <c r="BY254" s="68" t="n"/>
      <c r="BZ254" s="42" t="n"/>
      <c r="CA254" s="68" t="n"/>
      <c r="CB254" s="68" t="n"/>
      <c r="CC254" s="68" t="n"/>
      <c r="CD254" s="68" t="n"/>
      <c r="CE254" s="42" t="n"/>
      <c r="CF254" s="68" t="n"/>
      <c r="CG254" s="68" t="n"/>
      <c r="CH254" s="68" t="n"/>
      <c r="CI254" s="68" t="n"/>
      <c r="CJ254" s="42" t="n"/>
      <c r="CK254" s="68" t="n"/>
      <c r="CL254" s="68" t="n"/>
      <c r="CM254" s="68" t="n"/>
      <c r="CN254" s="68" t="n"/>
      <c r="CO254" s="42" t="n"/>
      <c r="CP254" s="68" t="n"/>
      <c r="CQ254" s="68" t="n"/>
      <c r="CR254" s="68" t="n"/>
      <c r="CS254" s="68" t="n"/>
      <c r="CT254" s="42" t="n"/>
      <c r="CU254" s="68" t="n"/>
      <c r="CV254" s="68" t="n"/>
      <c r="CW254" s="68" t="n"/>
      <c r="CX254" s="68" t="n"/>
      <c r="CY254" s="42" t="n"/>
    </row>
    <row r="255" hidden="1" outlineLevel="1" customFormat="1" s="66">
      <c r="A255" s="37" t="n"/>
      <c r="B255" s="37" t="n"/>
      <c r="C255" s="67" t="inlineStr">
        <is>
          <t>Consensus EPS growth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58">
        <f>$AL$260</f>
        <v>0</v>
      </c>
      <c r="AI255" s="58">
        <f>$AL$260</f>
        <v>0</v>
      </c>
      <c r="AJ255" s="58">
        <f>$AL$260</f>
        <v>0</v>
      </c>
      <c r="AK255" s="58">
        <f>$AL$260</f>
        <v>0</v>
      </c>
      <c r="AL255" s="42" t="n"/>
      <c r="AM255" s="58">
        <f>$AL$260</f>
        <v>0</v>
      </c>
      <c r="AN255" s="58">
        <f>$AL$260</f>
        <v>0</v>
      </c>
      <c r="AO255" s="58">
        <f>$AL$260</f>
        <v>0</v>
      </c>
      <c r="AP255" s="58">
        <f>$AL$260</f>
        <v>0</v>
      </c>
      <c r="AQ255" s="42" t="n"/>
      <c r="AR255" s="58">
        <f>$AL$260</f>
        <v>0</v>
      </c>
      <c r="AS255" s="58">
        <f>$AL$260</f>
        <v>0</v>
      </c>
      <c r="AT255" s="58">
        <f>$AL$260</f>
        <v>0</v>
      </c>
      <c r="AU255" s="58">
        <f>$AL$260</f>
        <v>0</v>
      </c>
      <c r="AV255" s="42" t="n"/>
      <c r="AW255" s="58">
        <f>$AL$260</f>
        <v>0</v>
      </c>
      <c r="AX255" s="58">
        <f>$AL$260</f>
        <v>0</v>
      </c>
      <c r="AY255" s="58">
        <f>$AL$260</f>
        <v>0</v>
      </c>
      <c r="AZ255" s="58">
        <f>$AL$260</f>
        <v>0</v>
      </c>
      <c r="BA255" s="42" t="n"/>
      <c r="BB255" s="58">
        <f>$AL$260</f>
        <v>0</v>
      </c>
      <c r="BC255" s="58">
        <f>$AL$260</f>
        <v>0</v>
      </c>
      <c r="BD255" s="58">
        <f>$AL$260</f>
        <v>0</v>
      </c>
      <c r="BE255" s="58">
        <f>$AL$260</f>
        <v>0</v>
      </c>
      <c r="BF255" s="42" t="n"/>
      <c r="BG255" s="58" t="n"/>
      <c r="BH255" s="58" t="n"/>
      <c r="BI255" s="58" t="n"/>
      <c r="BJ255" s="58" t="n"/>
      <c r="BK255" s="42" t="n"/>
      <c r="BL255" s="58" t="n"/>
      <c r="BM255" s="58" t="n"/>
      <c r="BN255" s="58" t="n"/>
      <c r="BO255" s="58" t="n"/>
      <c r="BP255" s="42" t="n"/>
      <c r="BQ255" s="58" t="n"/>
      <c r="BR255" s="58" t="n"/>
      <c r="BS255" s="58" t="n"/>
      <c r="BT255" s="58" t="n"/>
      <c r="BU255" s="42" t="n"/>
      <c r="BV255" s="58" t="n"/>
      <c r="BW255" s="58" t="n"/>
      <c r="BX255" s="58" t="n"/>
      <c r="BY255" s="58" t="n"/>
      <c r="BZ255" s="42" t="n"/>
      <c r="CA255" s="58" t="n"/>
      <c r="CB255" s="58" t="n"/>
      <c r="CC255" s="58" t="n"/>
      <c r="CD255" s="58" t="n"/>
      <c r="CE255" s="42" t="n"/>
      <c r="CF255" s="58" t="n"/>
      <c r="CG255" s="58" t="n"/>
      <c r="CH255" s="58" t="n"/>
      <c r="CI255" s="58" t="n"/>
      <c r="CJ255" s="42" t="n"/>
      <c r="CK255" s="58" t="n"/>
      <c r="CL255" s="58" t="n"/>
      <c r="CM255" s="58" t="n"/>
      <c r="CN255" s="58" t="n"/>
      <c r="CO255" s="42" t="n"/>
      <c r="CP255" s="58" t="n"/>
      <c r="CQ255" s="58" t="n"/>
      <c r="CR255" s="58" t="n"/>
      <c r="CS255" s="58" t="n"/>
      <c r="CT255" s="42" t="n"/>
      <c r="CU255" s="58" t="n"/>
      <c r="CV255" s="58" t="n"/>
      <c r="CW255" s="58" t="n"/>
      <c r="CX255" s="58" t="n"/>
      <c r="CY255" s="42" t="n"/>
    </row>
    <row r="256" hidden="1" outlineLevel="1" customFormat="1" s="66">
      <c r="A256" s="37" t="n"/>
      <c r="B256" s="37" t="n"/>
      <c r="C256" s="67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12" t="n"/>
      <c r="AI256" s="12" t="n"/>
      <c r="AJ256" s="12" t="n"/>
      <c r="AK256" s="12" t="n"/>
      <c r="AL256" s="42" t="n"/>
      <c r="AM256" s="12" t="n"/>
      <c r="AN256" s="12" t="n"/>
      <c r="AO256" s="12" t="n"/>
      <c r="AP256" s="12" t="n"/>
      <c r="AQ256" s="42" t="n"/>
      <c r="AR256" s="12" t="n"/>
      <c r="AS256" s="12" t="n"/>
      <c r="AT256" s="12" t="n"/>
      <c r="AU256" s="12" t="n"/>
      <c r="AV256" s="42" t="n"/>
      <c r="AW256" s="12" t="n"/>
      <c r="AX256" s="12" t="n"/>
      <c r="AY256" s="12" t="n"/>
      <c r="AZ256" s="12" t="n"/>
      <c r="BA256" s="42" t="n"/>
      <c r="BB256" s="12" t="n"/>
      <c r="BC256" s="12" t="n"/>
      <c r="BD256" s="12" t="n"/>
      <c r="BE256" s="12" t="n"/>
      <c r="BF256" s="42" t="n"/>
      <c r="BG256" s="12" t="n"/>
      <c r="BH256" s="12" t="n"/>
      <c r="BI256" s="12" t="n"/>
      <c r="BJ256" s="12" t="n"/>
      <c r="BK256" s="42" t="n"/>
      <c r="BL256" s="12" t="n"/>
      <c r="BM256" s="12" t="n"/>
      <c r="BN256" s="12" t="n"/>
      <c r="BO256" s="12" t="n"/>
      <c r="BP256" s="42" t="n"/>
      <c r="BQ256" s="12" t="n"/>
      <c r="BR256" s="12" t="n"/>
      <c r="BS256" s="12" t="n"/>
      <c r="BT256" s="12" t="n"/>
      <c r="BU256" s="42" t="n"/>
      <c r="BV256" s="12" t="n"/>
      <c r="BW256" s="12" t="n"/>
      <c r="BX256" s="12" t="n"/>
      <c r="BY256" s="12" t="n"/>
      <c r="BZ256" s="42" t="n"/>
      <c r="CA256" s="12" t="n"/>
      <c r="CB256" s="12" t="n"/>
      <c r="CC256" s="12" t="n"/>
      <c r="CD256" s="12" t="n"/>
      <c r="CE256" s="42" t="n"/>
      <c r="CF256" s="12" t="n"/>
      <c r="CG256" s="12" t="n"/>
      <c r="CH256" s="12" t="n"/>
      <c r="CI256" s="12" t="n"/>
      <c r="CJ256" s="42" t="n"/>
      <c r="CK256" s="12" t="n"/>
      <c r="CL256" s="12" t="n"/>
      <c r="CM256" s="12" t="n"/>
      <c r="CN256" s="12" t="n"/>
      <c r="CO256" s="42" t="n"/>
      <c r="CP256" s="12" t="n"/>
      <c r="CQ256" s="12" t="n"/>
      <c r="CR256" s="12" t="n"/>
      <c r="CS256" s="12" t="n"/>
      <c r="CT256" s="42" t="n"/>
      <c r="CU256" s="12" t="n"/>
      <c r="CV256" s="12" t="n"/>
      <c r="CW256" s="12" t="n"/>
      <c r="CX256" s="12" t="n"/>
      <c r="CY256" s="42" t="n"/>
    </row>
    <row r="257" hidden="1" outlineLevel="1" customFormat="1" s="66">
      <c r="A257" s="37" t="n"/>
      <c r="B257" s="37" t="n"/>
      <c r="C257" s="67" t="inlineStr">
        <is>
          <t>Shares repurchased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69" t="str">
        <f>IFERROR(-AH252/AH254,"")</f>
        <v/>
      </c>
      <c r="AI257" s="69" t="str">
        <f>IFERROR(-AI252/AI254,"")</f>
        <v/>
      </c>
      <c r="AJ257" s="69" t="str">
        <f>IFERROR(-AJ252/AJ254,"")</f>
        <v/>
      </c>
      <c r="AK257" s="69" t="str">
        <f>IFERROR(-AK252/AK254,"")</f>
        <v/>
      </c>
      <c r="AL257" s="42" t="n"/>
      <c r="AM257" s="69" t="str">
        <f>IFERROR(-AM252/AM254,"")</f>
        <v/>
      </c>
      <c r="AN257" s="69" t="str">
        <f>IFERROR(-AN252/AN254,"")</f>
        <v/>
      </c>
      <c r="AO257" s="69" t="str">
        <f>IFERROR(-AO252/AO254,"")</f>
        <v/>
      </c>
      <c r="AP257" s="69" t="str">
        <f>IFERROR(-AP252/AP254,"")</f>
        <v/>
      </c>
      <c r="AQ257" s="42" t="n"/>
      <c r="AR257" s="69" t="str">
        <f>IFERROR(-AR252/AR254,"")</f>
        <v/>
      </c>
      <c r="AS257" s="69" t="str">
        <f>IFERROR(-AS252/AS254,"")</f>
        <v/>
      </c>
      <c r="AT257" s="69" t="str">
        <f>IFERROR(-AT252/AT254,"")</f>
        <v/>
      </c>
      <c r="AU257" s="69" t="str">
        <f>IFERROR(-AU252/AU254,"")</f>
        <v/>
      </c>
      <c r="AV257" s="42" t="n"/>
      <c r="AW257" s="69" t="str">
        <f>IFERROR(-AW252/AW254,"")</f>
        <v/>
      </c>
      <c r="AX257" s="69" t="str">
        <f>IFERROR(-AX252/AX254,"")</f>
        <v/>
      </c>
      <c r="AY257" s="69" t="str">
        <f>IFERROR(-AY252/AY254,"")</f>
        <v/>
      </c>
      <c r="AZ257" s="69" t="str">
        <f>IFERROR(-AZ252/AZ254,"")</f>
        <v/>
      </c>
      <c r="BA257" s="42" t="n"/>
      <c r="BB257" s="69" t="str">
        <f>IFERROR(-BB252/BB254,"")</f>
        <v/>
      </c>
      <c r="BC257" s="69" t="str">
        <f>IFERROR(-BC252/BC254,"")</f>
        <v/>
      </c>
      <c r="BD257" s="69" t="str">
        <f>IFERROR(-BD252/BD254,"")</f>
        <v/>
      </c>
      <c r="BE257" s="69" t="str">
        <f>IFERROR(-BE252/BE254,"")</f>
        <v/>
      </c>
      <c r="BF257" s="42" t="n"/>
      <c r="BG257" s="69" t="n"/>
      <c r="BH257" s="69" t="n"/>
      <c r="BI257" s="69" t="n"/>
      <c r="BJ257" s="69" t="n"/>
      <c r="BK257" s="42" t="n"/>
      <c r="BL257" s="69" t="n"/>
      <c r="BM257" s="69" t="n"/>
      <c r="BN257" s="69" t="n"/>
      <c r="BO257" s="69" t="n"/>
      <c r="BP257" s="42" t="n"/>
      <c r="BQ257" s="69" t="n"/>
      <c r="BR257" s="69" t="n"/>
      <c r="BS257" s="69" t="n"/>
      <c r="BT257" s="69" t="n"/>
      <c r="BU257" s="42" t="n"/>
      <c r="BV257" s="69" t="n"/>
      <c r="BW257" s="69" t="n"/>
      <c r="BX257" s="69" t="n"/>
      <c r="BY257" s="69" t="n"/>
      <c r="BZ257" s="42" t="n"/>
      <c r="CA257" s="69" t="n"/>
      <c r="CB257" s="69" t="n"/>
      <c r="CC257" s="69" t="n"/>
      <c r="CD257" s="69" t="n"/>
      <c r="CE257" s="42" t="n"/>
      <c r="CF257" s="69" t="n"/>
      <c r="CG257" s="69" t="n"/>
      <c r="CH257" s="69" t="n"/>
      <c r="CI257" s="69" t="n"/>
      <c r="CJ257" s="42" t="n"/>
      <c r="CK257" s="69" t="n"/>
      <c r="CL257" s="69" t="n"/>
      <c r="CM257" s="69" t="n"/>
      <c r="CN257" s="69" t="n"/>
      <c r="CO257" s="42" t="n"/>
      <c r="CP257" s="69" t="n"/>
      <c r="CQ257" s="69" t="n"/>
      <c r="CR257" s="69" t="n"/>
      <c r="CS257" s="69" t="n"/>
      <c r="CT257" s="42" t="n"/>
      <c r="CU257" s="69" t="n"/>
      <c r="CV257" s="69" t="n"/>
      <c r="CW257" s="69" t="n"/>
      <c r="CX257" s="69" t="n"/>
      <c r="CY257" s="42" t="n"/>
    </row>
    <row r="258" hidden="1" outlineLevel="1" customFormat="1" s="66">
      <c r="A258" s="37" t="n"/>
      <c r="B258" s="37" t="n"/>
      <c r="C258" s="67" t="inlineStr">
        <is>
          <t>Shares issued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9" t="n"/>
      <c r="AG258" s="42" t="n"/>
      <c r="AH258" s="69" t="str">
        <f>IFERROR(AH253/AH254,"")</f>
        <v/>
      </c>
      <c r="AI258" s="69" t="str">
        <f>IFERROR(AI253/AI254,"")</f>
        <v/>
      </c>
      <c r="AJ258" s="69" t="str">
        <f>IFERROR(AJ253/AJ254,"")</f>
        <v/>
      </c>
      <c r="AK258" s="69" t="str">
        <f>IFERROR(AK253/AK254,"")</f>
        <v/>
      </c>
      <c r="AL258" s="42" t="n"/>
      <c r="AM258" s="69" t="str">
        <f>IFERROR(AM253/AM254,"")</f>
        <v/>
      </c>
      <c r="AN258" s="69" t="str">
        <f>IFERROR(AN253/AN254,"")</f>
        <v/>
      </c>
      <c r="AO258" s="69" t="str">
        <f>IFERROR(AO253/AO254,"")</f>
        <v/>
      </c>
      <c r="AP258" s="69" t="str">
        <f>IFERROR(AP253/AP254,"")</f>
        <v/>
      </c>
      <c r="AQ258" s="42" t="n"/>
      <c r="AR258" s="69" t="str">
        <f>IFERROR(AR253/AR254,"")</f>
        <v/>
      </c>
      <c r="AS258" s="69" t="str">
        <f>IFERROR(AS253/AS254,"")</f>
        <v/>
      </c>
      <c r="AT258" s="69" t="str">
        <f>IFERROR(AT253/AT254,"")</f>
        <v/>
      </c>
      <c r="AU258" s="69" t="str">
        <f>IFERROR(AU253/AU254,"")</f>
        <v/>
      </c>
      <c r="AV258" s="42" t="n"/>
      <c r="AW258" s="69" t="str">
        <f>IFERROR(AW253/AW254,"")</f>
        <v/>
      </c>
      <c r="AX258" s="69" t="str">
        <f>IFERROR(AX253/AX254,"")</f>
        <v/>
      </c>
      <c r="AY258" s="69" t="str">
        <f>IFERROR(AY253/AY254,"")</f>
        <v/>
      </c>
      <c r="AZ258" s="69" t="str">
        <f>IFERROR(AZ253/AZ254,"")</f>
        <v/>
      </c>
      <c r="BA258" s="42" t="n"/>
      <c r="BB258" s="69" t="str">
        <f>IFERROR(BB253/BB254,"")</f>
        <v/>
      </c>
      <c r="BC258" s="69" t="str">
        <f>IFERROR(BC253/BC254,"")</f>
        <v/>
      </c>
      <c r="BD258" s="69" t="str">
        <f>IFERROR(BD253/BD254,"")</f>
        <v/>
      </c>
      <c r="BE258" s="69" t="str">
        <f>IFERROR(BE253/BE254,"")</f>
        <v/>
      </c>
      <c r="BF258" s="42" t="n"/>
      <c r="BG258" s="69" t="n"/>
      <c r="BH258" s="69" t="n"/>
      <c r="BI258" s="69" t="n"/>
      <c r="BJ258" s="69" t="n"/>
      <c r="BK258" s="42" t="n"/>
      <c r="BL258" s="69" t="n"/>
      <c r="BM258" s="69" t="n"/>
      <c r="BN258" s="69" t="n"/>
      <c r="BO258" s="69" t="n"/>
      <c r="BP258" s="42" t="n"/>
      <c r="BQ258" s="69" t="n"/>
      <c r="BR258" s="69" t="n"/>
      <c r="BS258" s="69" t="n"/>
      <c r="BT258" s="69" t="n"/>
      <c r="BU258" s="42" t="n"/>
      <c r="BV258" s="69" t="n"/>
      <c r="BW258" s="69" t="n"/>
      <c r="BX258" s="69" t="n"/>
      <c r="BY258" s="69" t="n"/>
      <c r="BZ258" s="42" t="n"/>
      <c r="CA258" s="69" t="n"/>
      <c r="CB258" s="69" t="n"/>
      <c r="CC258" s="69" t="n"/>
      <c r="CD258" s="69" t="n"/>
      <c r="CE258" s="42" t="n"/>
      <c r="CF258" s="69" t="n"/>
      <c r="CG258" s="69" t="n"/>
      <c r="CH258" s="69" t="n"/>
      <c r="CI258" s="69" t="n"/>
      <c r="CJ258" s="42" t="n"/>
      <c r="CK258" s="69" t="n"/>
      <c r="CL258" s="69" t="n"/>
      <c r="CM258" s="69" t="n"/>
      <c r="CN258" s="69" t="n"/>
      <c r="CO258" s="42" t="n"/>
      <c r="CP258" s="69" t="n"/>
      <c r="CQ258" s="69" t="n"/>
      <c r="CR258" s="69" t="n"/>
      <c r="CS258" s="69" t="n"/>
      <c r="CT258" s="42" t="n"/>
      <c r="CU258" s="69" t="n"/>
      <c r="CV258" s="69" t="n"/>
      <c r="CW258" s="69" t="n"/>
      <c r="CX258" s="69" t="n"/>
      <c r="CY258" s="42" t="n"/>
    </row>
    <row r="259" hidden="1" outlineLevel="1" customFormat="1" s="66">
      <c r="A259" s="37" t="n"/>
      <c r="B259" s="37" t="n"/>
      <c r="C259" s="67" t="inlineStr">
        <is>
          <t>End of period basic shares outstanding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3" t="str">
        <f>IFERROR(AG259+AH258-AH257,"")</f>
        <v/>
      </c>
      <c r="AI259" s="3" t="str">
        <f>IFERROR(AH259+AI258-AI257,"")</f>
        <v/>
      </c>
      <c r="AJ259" s="69" t="str">
        <f>IFERROR(AH259+AJ258-AJ257,"")</f>
        <v/>
      </c>
      <c r="AK259" s="69" t="str">
        <f>IFERROR(AJ259+AK258-AK257,"")</f>
        <v/>
      </c>
      <c r="AL259" s="42" t="n"/>
      <c r="AM259" s="3" t="str">
        <f>IFERROR(AK259+AM258-AM257,"")</f>
        <v/>
      </c>
      <c r="AN259" s="3" t="str">
        <f>IFERROR(AM259+AN258-AN257,"")</f>
        <v/>
      </c>
      <c r="AO259" s="69" t="str">
        <f>IFERROR(AM259+AO258-AO257,"")</f>
        <v/>
      </c>
      <c r="AP259" s="69" t="str">
        <f>IFERROR(AO259+AP258-AP257,"")</f>
        <v/>
      </c>
      <c r="AQ259" s="42" t="n"/>
      <c r="AR259" s="3" t="str">
        <f>IFERROR(AP259+AR258-AR257,"")</f>
        <v/>
      </c>
      <c r="AS259" s="3" t="str">
        <f>IFERROR(AR259+AS258-AS257,"")</f>
        <v/>
      </c>
      <c r="AT259" s="69" t="str">
        <f>IFERROR(AR259+AT258-AT257,"")</f>
        <v/>
      </c>
      <c r="AU259" s="69" t="str">
        <f>IFERROR(AT259+AU258-AU257,"")</f>
        <v/>
      </c>
      <c r="AV259" s="42" t="n"/>
      <c r="AW259" s="3" t="str">
        <f>IFERROR(AU259+AW258-AW257,"")</f>
        <v/>
      </c>
      <c r="AX259" s="3" t="str">
        <f>IFERROR(AW259+AX258-AX257,"")</f>
        <v/>
      </c>
      <c r="AY259" s="69" t="str">
        <f>IFERROR(AW259+AY258-AY257,"")</f>
        <v/>
      </c>
      <c r="AZ259" s="69" t="str">
        <f>IFERROR(AY259+AZ258-AZ257,"")</f>
        <v/>
      </c>
      <c r="BA259" s="42" t="n"/>
      <c r="BB259" s="3" t="str">
        <f>IFERROR(AZ259+BB258-BB257,"")</f>
        <v/>
      </c>
      <c r="BC259" s="3" t="str">
        <f>IFERROR(BB259+BC258-BC257,"")</f>
        <v/>
      </c>
      <c r="BD259" s="69" t="str">
        <f>IFERROR(BB259+BD258-BD257,"")</f>
        <v/>
      </c>
      <c r="BE259" s="69" t="str">
        <f>IFERROR(BD259+BE258-BE257,"")</f>
        <v/>
      </c>
      <c r="BF259" s="42" t="n"/>
      <c r="BG259" s="3" t="n"/>
      <c r="BH259" s="3" t="n"/>
      <c r="BI259" s="69" t="n"/>
      <c r="BJ259" s="69" t="n"/>
      <c r="BK259" s="42" t="n"/>
      <c r="BL259" s="3" t="n"/>
      <c r="BM259" s="3" t="n"/>
      <c r="BN259" s="69" t="n"/>
      <c r="BO259" s="69" t="n"/>
      <c r="BP259" s="42" t="n"/>
      <c r="BQ259" s="3" t="n"/>
      <c r="BR259" s="3" t="n"/>
      <c r="BS259" s="69" t="n"/>
      <c r="BT259" s="69" t="n"/>
      <c r="BU259" s="42" t="n"/>
      <c r="BV259" s="3" t="n"/>
      <c r="BW259" s="3" t="n"/>
      <c r="BX259" s="69" t="n"/>
      <c r="BY259" s="69" t="n"/>
      <c r="BZ259" s="42" t="n"/>
      <c r="CA259" s="3" t="n"/>
      <c r="CB259" s="3" t="n"/>
      <c r="CC259" s="69" t="n"/>
      <c r="CD259" s="69" t="n"/>
      <c r="CE259" s="42" t="n"/>
      <c r="CF259" s="3" t="n"/>
      <c r="CG259" s="3" t="n"/>
      <c r="CH259" s="69" t="n"/>
      <c r="CI259" s="69" t="n"/>
      <c r="CJ259" s="42" t="n"/>
      <c r="CK259" s="3" t="n"/>
      <c r="CL259" s="3" t="n"/>
      <c r="CM259" s="69" t="n"/>
      <c r="CN259" s="69" t="n"/>
      <c r="CO259" s="42" t="n"/>
      <c r="CP259" s="3" t="n"/>
      <c r="CQ259" s="3" t="n"/>
      <c r="CR259" s="69" t="n"/>
      <c r="CS259" s="69" t="n"/>
      <c r="CT259" s="42" t="n"/>
      <c r="CU259" s="3" t="n"/>
      <c r="CV259" s="3" t="n"/>
      <c r="CW259" s="69" t="n"/>
      <c r="CX259" s="69" t="n"/>
      <c r="CY259" s="42" t="n"/>
    </row>
    <row r="260" hidden="1" outlineLevel="1" customFormat="1" s="66">
      <c r="A260" s="37" t="n"/>
      <c r="B260" s="37" t="n"/>
      <c r="C260" s="67" t="inlineStr">
        <is>
          <t>Weighted average basic shares outstanding</t>
        </is>
      </c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69" t="str">
        <f>IFERROR(AVERAGE(AG259,AH259),"")</f>
        <v/>
      </c>
      <c r="AI260" s="69" t="str">
        <f>IFERROR(AVERAGE(AH259,AI259),"")</f>
        <v/>
      </c>
      <c r="AJ260" s="69" t="str">
        <f>IFERROR(AVERAGE(AH259,AJ259),"")</f>
        <v/>
      </c>
      <c r="AK260" s="69" t="str">
        <f>IFERROR(AVERAGE(AJ259,AK259),"")</f>
        <v/>
      </c>
      <c r="AL260" s="42" t="n"/>
      <c r="AM260" s="69" t="str">
        <f>IFERROR(AVERAGE(AL259,AM259),"")</f>
        <v/>
      </c>
      <c r="AN260" s="69" t="str">
        <f>IFERROR(AVERAGE(AM259,AN259),"")</f>
        <v/>
      </c>
      <c r="AO260" s="69" t="str">
        <f>IFERROR(AVERAGE(AM259,AO259),"")</f>
        <v/>
      </c>
      <c r="AP260" s="69" t="str">
        <f>IFERROR(AVERAGE(AO259,AP259),"")</f>
        <v/>
      </c>
      <c r="AQ260" s="42" t="n"/>
      <c r="AR260" s="69" t="str">
        <f>IFERROR(AVERAGE(AQ259,AR259),"")</f>
        <v/>
      </c>
      <c r="AS260" s="69" t="str">
        <f>IFERROR(AVERAGE(AR259,AS259),"")</f>
        <v/>
      </c>
      <c r="AT260" s="69" t="str">
        <f>IFERROR(AVERAGE(AR259,AT259),"")</f>
        <v/>
      </c>
      <c r="AU260" s="69" t="str">
        <f>IFERROR(AVERAGE(AT259,AU259),"")</f>
        <v/>
      </c>
      <c r="AV260" s="42" t="n"/>
      <c r="AW260" s="69" t="str">
        <f>IFERROR(AVERAGE(AV259,AW259),"")</f>
        <v/>
      </c>
      <c r="AX260" s="69" t="str">
        <f>IFERROR(AVERAGE(AW259,AX259),"")</f>
        <v/>
      </c>
      <c r="AY260" s="69" t="str">
        <f>IFERROR(AVERAGE(AW259,AY259),"")</f>
        <v/>
      </c>
      <c r="AZ260" s="69" t="str">
        <f>IFERROR(AVERAGE(AY259,AZ259),"")</f>
        <v/>
      </c>
      <c r="BA260" s="42" t="n"/>
      <c r="BB260" s="69" t="str">
        <f>IFERROR(AVERAGE(BA259,BB259),"")</f>
        <v/>
      </c>
      <c r="BC260" s="69" t="str">
        <f>IFERROR(AVERAGE(BB259,BC259),"")</f>
        <v/>
      </c>
      <c r="BD260" s="69" t="str">
        <f>IFERROR(AVERAGE(BB259,BD259),"")</f>
        <v/>
      </c>
      <c r="BE260" s="69" t="str">
        <f>IFERROR(AVERAGE(BD259,BE259),"")</f>
        <v/>
      </c>
      <c r="BF260" s="42" t="n"/>
      <c r="BG260" s="69" t="n"/>
      <c r="BH260" s="69" t="n"/>
      <c r="BI260" s="69" t="n"/>
      <c r="BJ260" s="69" t="n"/>
      <c r="BK260" s="42" t="n"/>
      <c r="BL260" s="69" t="n"/>
      <c r="BM260" s="69" t="n"/>
      <c r="BN260" s="69" t="n"/>
      <c r="BO260" s="69" t="n"/>
      <c r="BP260" s="42" t="n"/>
      <c r="BQ260" s="69" t="n"/>
      <c r="BR260" s="69" t="n"/>
      <c r="BS260" s="69" t="n"/>
      <c r="BT260" s="69" t="n"/>
      <c r="BU260" s="42" t="n"/>
      <c r="BV260" s="69" t="n"/>
      <c r="BW260" s="69" t="n"/>
      <c r="BX260" s="69" t="n"/>
      <c r="BY260" s="69" t="n"/>
      <c r="BZ260" s="42" t="n"/>
      <c r="CA260" s="69" t="n"/>
      <c r="CB260" s="69" t="n"/>
      <c r="CC260" s="69" t="n"/>
      <c r="CD260" s="69" t="n"/>
      <c r="CE260" s="42" t="n"/>
      <c r="CF260" s="69" t="n"/>
      <c r="CG260" s="69" t="n"/>
      <c r="CH260" s="69" t="n"/>
      <c r="CI260" s="69" t="n"/>
      <c r="CJ260" s="42" t="n"/>
      <c r="CK260" s="69" t="n"/>
      <c r="CL260" s="69" t="n"/>
      <c r="CM260" s="69" t="n"/>
      <c r="CN260" s="69" t="n"/>
      <c r="CO260" s="42" t="n"/>
      <c r="CP260" s="69" t="n"/>
      <c r="CQ260" s="69" t="n"/>
      <c r="CR260" s="69" t="n"/>
      <c r="CS260" s="69" t="n"/>
      <c r="CT260" s="42" t="n"/>
      <c r="CU260" s="69" t="n"/>
      <c r="CV260" s="69" t="n"/>
      <c r="CW260" s="69" t="n"/>
      <c r="CX260" s="69" t="n"/>
      <c r="CY260" s="42" t="n"/>
    </row>
    <row r="261" hidden="1" outlineLevel="1" customFormat="1" s="66">
      <c r="A261" s="37" t="n"/>
      <c r="B261" s="37" t="n"/>
      <c r="C261" s="67" t="n"/>
      <c r="D261" s="42" t="n"/>
      <c r="E261" s="42" t="n"/>
      <c r="F261" s="42" t="n"/>
      <c r="G261" s="42" t="n"/>
      <c r="H261" s="12" t="n"/>
      <c r="I261" s="42" t="n"/>
      <c r="J261" s="42" t="n"/>
      <c r="K261" s="42" t="n"/>
      <c r="L261" s="42" t="n"/>
      <c r="M261" s="12" t="n"/>
      <c r="N261" s="42" t="n"/>
      <c r="O261" s="42" t="n"/>
      <c r="P261" s="42" t="n"/>
      <c r="Q261" s="42" t="n"/>
      <c r="R261" s="12" t="n"/>
      <c r="S261" s="42" t="n"/>
      <c r="T261" s="42" t="n"/>
      <c r="U261" s="42" t="n"/>
      <c r="V261" s="42" t="n"/>
      <c r="W261" s="12" t="n"/>
      <c r="X261" s="42" t="n"/>
      <c r="Y261" s="42" t="n"/>
      <c r="Z261" s="42" t="n"/>
      <c r="AA261" s="42" t="n"/>
      <c r="AB261" s="12" t="n"/>
      <c r="AC261" s="42" t="n"/>
      <c r="AD261" s="42" t="n"/>
      <c r="AE261" s="42" t="n"/>
      <c r="AF261" s="42" t="n"/>
      <c r="AG261" s="12" t="n"/>
      <c r="AH261" s="42" t="n"/>
      <c r="AI261" s="42" t="n"/>
      <c r="AJ261" s="42" t="n"/>
      <c r="AK261" s="42" t="n"/>
      <c r="AL261" s="12" t="n"/>
      <c r="AM261" s="42" t="n"/>
      <c r="AN261" s="42" t="n"/>
      <c r="AO261" s="42" t="n"/>
      <c r="AP261" s="42" t="n"/>
      <c r="AQ261" s="12" t="n"/>
      <c r="AR261" s="42" t="n"/>
      <c r="AS261" s="42" t="n"/>
      <c r="AT261" s="42" t="n"/>
      <c r="AU261" s="42" t="n"/>
      <c r="AV261" s="12" t="n"/>
      <c r="AW261" s="42" t="n"/>
      <c r="AX261" s="42" t="n"/>
      <c r="AY261" s="42" t="n"/>
      <c r="AZ261" s="42" t="n"/>
      <c r="BA261" s="12" t="n"/>
      <c r="BB261" s="42" t="n"/>
      <c r="BC261" s="42" t="n"/>
      <c r="BD261" s="42" t="n"/>
      <c r="BE261" s="42" t="n"/>
      <c r="BF261" s="12" t="n"/>
      <c r="BG261" s="42" t="n"/>
      <c r="BH261" s="42" t="n"/>
      <c r="BI261" s="42" t="n"/>
      <c r="BJ261" s="42" t="n"/>
      <c r="BK261" s="12" t="n"/>
      <c r="BL261" s="42" t="n"/>
      <c r="BM261" s="42" t="n"/>
      <c r="BN261" s="42" t="n"/>
      <c r="BO261" s="42" t="n"/>
      <c r="BP261" s="12" t="n"/>
      <c r="BQ261" s="42" t="n"/>
      <c r="BR261" s="42" t="n"/>
      <c r="BS261" s="42" t="n"/>
      <c r="BT261" s="42" t="n"/>
      <c r="BU261" s="12" t="n"/>
      <c r="BV261" s="42" t="n"/>
      <c r="BW261" s="42" t="n"/>
      <c r="BX261" s="42" t="n"/>
      <c r="BY261" s="42" t="n"/>
      <c r="BZ261" s="12" t="n"/>
      <c r="CA261" s="42" t="n"/>
      <c r="CB261" s="42" t="n"/>
      <c r="CC261" s="42" t="n"/>
      <c r="CD261" s="42" t="n"/>
      <c r="CE261" s="12" t="n"/>
      <c r="CF261" s="42" t="n"/>
      <c r="CG261" s="42" t="n"/>
      <c r="CH261" s="42" t="n"/>
      <c r="CI261" s="42" t="n"/>
      <c r="CJ261" s="12" t="n"/>
      <c r="CK261" s="42" t="n"/>
      <c r="CL261" s="42" t="n"/>
      <c r="CM261" s="42" t="n"/>
      <c r="CN261" s="42" t="n"/>
      <c r="CO261" s="12" t="n"/>
      <c r="CP261" s="42" t="n"/>
      <c r="CQ261" s="42" t="n"/>
      <c r="CR261" s="42" t="n"/>
      <c r="CS261" s="42" t="n"/>
      <c r="CT261" s="12" t="n"/>
      <c r="CU261" s="42" t="n"/>
      <c r="CV261" s="42" t="n"/>
      <c r="CW261" s="42" t="n"/>
      <c r="CX261" s="42" t="n"/>
      <c r="CY261" s="12" t="n"/>
    </row>
    <row r="262" collapsed="1">
      <c r="C262" s="14" t="inlineStr">
        <is>
          <t>Treasury stock (contra account)</t>
        </is>
      </c>
      <c r="D262" s="46" t="n"/>
      <c r="E262" s="46" t="n"/>
      <c r="F262" s="46" t="n"/>
      <c r="G262" s="46" t="n"/>
      <c r="H262" s="12" t="n"/>
      <c r="I262" s="46">
        <f>'Inputs (2)'!D44</f>
        <v>-3065.9</v>
      </c>
      <c r="J262" s="46">
        <f>'Inputs (2)'!E44</f>
        <v>-3065.9</v>
      </c>
      <c r="K262" s="46">
        <f>'Inputs (2)'!F44</f>
        <v>-3065.9</v>
      </c>
      <c r="L262" s="46">
        <f>'Inputs (2)'!G44</f>
        <v>-3065.9</v>
      </c>
      <c r="M262" s="12">
        <f>'Inputs (2)'!H44</f>
        <v>-3065.9</v>
      </c>
      <c r="N262" s="46">
        <f>'Inputs (2)'!I44</f>
        <v>-3063.7</v>
      </c>
      <c r="O262" s="46">
        <f>'Inputs (2)'!J44</f>
        <v>-3063.7</v>
      </c>
      <c r="P262" s="46">
        <f>'Inputs (2)'!K44</f>
        <v>-3063.7</v>
      </c>
      <c r="Q262" s="46">
        <f>'Inputs (2)'!L44</f>
        <v>-3063.7</v>
      </c>
      <c r="R262" s="12">
        <f>'Inputs (2)'!M44</f>
        <v>-3063.7</v>
      </c>
      <c r="S262" s="46">
        <f>'Inputs (2)'!N44</f>
        <v>-3058.2</v>
      </c>
      <c r="T262" s="46">
        <f>'Inputs (2)'!O44</f>
        <v>-3058.2</v>
      </c>
      <c r="U262" s="46">
        <f>'Inputs (2)'!P44</f>
        <v>-3058.2</v>
      </c>
      <c r="V262" s="46">
        <f>'Inputs (2)'!Q44</f>
        <v>-3057.4</v>
      </c>
      <c r="W262" s="12">
        <f>'Inputs (2)'!R44</f>
        <v>-3057.4</v>
      </c>
      <c r="X262" s="46">
        <f>'Inputs (2)'!S44</f>
        <v>-3045.9</v>
      </c>
      <c r="Y262" s="46">
        <f>'Inputs (2)'!T44</f>
        <v>-3045.9</v>
      </c>
      <c r="Z262" s="46">
        <f>'Inputs (2)'!U44</f>
        <v>-3045.9</v>
      </c>
      <c r="AA262" s="46">
        <f>'Inputs (2)'!V44</f>
        <v>-3062.7</v>
      </c>
      <c r="AB262" s="12">
        <f>'Inputs (2)'!W44</f>
        <v>-3062.7</v>
      </c>
      <c r="AC262" s="46">
        <f>'Inputs (2)'!X44</f>
        <v>-3062.7</v>
      </c>
      <c r="AD262" s="46">
        <f>'Inputs (2)'!Y44</f>
        <v>-3068.6</v>
      </c>
      <c r="AE262" s="46">
        <f>'Inputs (2)'!Z44</f>
        <v>-3075.7</v>
      </c>
      <c r="AF262" s="46">
        <f>'Inputs (2)'!AA44</f>
        <v>-3013</v>
      </c>
      <c r="AG262" s="12">
        <f>'Inputs (2)'!AB44</f>
        <v>-3013</v>
      </c>
      <c r="AH262" s="12">
        <f>'Inputs (2)'!AC44</f>
        <v>-3013</v>
      </c>
      <c r="AI262" s="12">
        <f>'Inputs (2)'!AD44</f>
        <v>-3013</v>
      </c>
      <c r="AJ262" s="12">
        <f>AI262</f>
        <v>-3013</v>
      </c>
      <c r="AK262" s="12">
        <f>AJ262</f>
        <v>-3013</v>
      </c>
      <c r="AL262" s="12">
        <f>AK262</f>
        <v>-3013</v>
      </c>
      <c r="AM262" s="12">
        <f>AL262</f>
        <v>-3013</v>
      </c>
      <c r="AN262" s="12">
        <f>AM262</f>
        <v>-3013</v>
      </c>
      <c r="AO262" s="12">
        <f>AN262</f>
        <v>-3013</v>
      </c>
      <c r="AP262" s="12">
        <f>AO262</f>
        <v>-3013</v>
      </c>
      <c r="AQ262" s="12">
        <f>AP262</f>
        <v>-3013</v>
      </c>
      <c r="AR262" s="12">
        <f>AQ262</f>
        <v>-3013</v>
      </c>
      <c r="AS262" s="12">
        <f>AR262</f>
        <v>-3013</v>
      </c>
      <c r="AT262" s="12">
        <f>AS262</f>
        <v>-3013</v>
      </c>
      <c r="AU262" s="12">
        <f>AT262</f>
        <v>-3013</v>
      </c>
      <c r="AV262" s="12">
        <f>AU262</f>
        <v>-3013</v>
      </c>
      <c r="AW262" s="12">
        <f>AV262</f>
        <v>-3013</v>
      </c>
      <c r="AX262" s="12">
        <f>AW262</f>
        <v>-3013</v>
      </c>
      <c r="AY262" s="12">
        <f>AX262</f>
        <v>-3013</v>
      </c>
      <c r="AZ262" s="12">
        <f>AY262</f>
        <v>-3013</v>
      </c>
      <c r="BA262" s="12">
        <f>AZ262</f>
        <v>-3013</v>
      </c>
      <c r="BB262" s="12">
        <f>BA262</f>
        <v>-3013</v>
      </c>
      <c r="BC262" s="12">
        <f>BB262</f>
        <v>-3013</v>
      </c>
      <c r="BD262" s="12">
        <f>BC262</f>
        <v>-3013</v>
      </c>
      <c r="BE262" s="12">
        <f>BD262</f>
        <v>-3013</v>
      </c>
      <c r="BF262" s="12">
        <f>BE262</f>
        <v>-3013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>
      <c r="C263" s="14" t="inlineStr">
        <is>
          <t>Comprehensive (accumulated) loss</t>
        </is>
      </c>
      <c r="D263" s="46" t="n"/>
      <c r="E263" s="46" t="n"/>
      <c r="F263" s="46" t="n"/>
      <c r="G263" s="46" t="n"/>
      <c r="H263" s="12" t="n"/>
      <c r="I263" s="46">
        <f>'Inputs (2)'!D45</f>
        <v>-6395.6</v>
      </c>
      <c r="J263" s="46">
        <f>'Inputs (2)'!E45</f>
        <v>-6287.1</v>
      </c>
      <c r="K263" s="46">
        <f>'Inputs (2)'!F45</f>
        <v>-6172.7</v>
      </c>
      <c r="L263" s="46">
        <f>'Inputs (2)'!G45</f>
        <v>-4343.1</v>
      </c>
      <c r="M263" s="12">
        <f>'Inputs (2)'!H45</f>
        <v>-4343.1</v>
      </c>
      <c r="N263" s="46">
        <f>'Inputs (2)'!I45</f>
        <v>-4225.3</v>
      </c>
      <c r="O263" s="46">
        <f>'Inputs (2)'!J45</f>
        <v>-4287.7</v>
      </c>
      <c r="P263" s="46">
        <f>'Inputs (2)'!K45</f>
        <v>-4295.8</v>
      </c>
      <c r="Q263" s="46">
        <f>'Inputs (2)'!L45</f>
        <v>-3844.6</v>
      </c>
      <c r="R263" s="12">
        <f>'Inputs (2)'!M45</f>
        <v>-3844.6</v>
      </c>
      <c r="S263" s="46">
        <f>'Inputs (2)'!N45</f>
        <v>-3777.3</v>
      </c>
      <c r="T263" s="46">
        <f>'Inputs (2)'!O45</f>
        <v>-3788.7</v>
      </c>
      <c r="U263" s="46">
        <f>'Inputs (2)'!P45</f>
        <v>-3784.9</v>
      </c>
      <c r="V263" s="46">
        <f>'Inputs (2)'!Q45</f>
        <v>-4327</v>
      </c>
      <c r="W263" s="12">
        <f>'Inputs (2)'!R45</f>
        <v>-4327</v>
      </c>
      <c r="X263" s="46">
        <f>'Inputs (2)'!S45</f>
        <v>-4299.5</v>
      </c>
      <c r="Y263" s="46">
        <f>'Inputs (2)'!T45</f>
        <v>-4378.5</v>
      </c>
      <c r="Z263" s="46">
        <f>'Inputs (2)'!U45</f>
        <v>-4274.8</v>
      </c>
      <c r="AA263" s="46">
        <f>'Inputs (2)'!V45</f>
        <v>-4321.9</v>
      </c>
      <c r="AB263" s="12">
        <f>'Inputs (2)'!W45</f>
        <v>-4321.9</v>
      </c>
      <c r="AC263" s="46">
        <f>'Inputs (2)'!X45</f>
        <v>-3774.6</v>
      </c>
      <c r="AD263" s="46">
        <f>'Inputs (2)'!Y45</f>
        <v>-3716</v>
      </c>
      <c r="AE263" s="46">
        <f>'Inputs (2)'!Z45</f>
        <v>-3206.3</v>
      </c>
      <c r="AF263" s="46">
        <f>'Inputs (2)'!AA45</f>
        <v>-2880</v>
      </c>
      <c r="AG263" s="12">
        <f>'Inputs (2)'!AB45</f>
        <v>-2880</v>
      </c>
      <c r="AH263" s="12">
        <f>'Inputs (2)'!AC45</f>
        <v>-2833</v>
      </c>
      <c r="AI263" s="12">
        <f>'Inputs (2)'!AD45</f>
        <v>-2761</v>
      </c>
      <c r="AJ263" s="12">
        <f>AI263</f>
        <v>-2761</v>
      </c>
      <c r="AK263" s="12">
        <f>AJ263</f>
        <v>-2761</v>
      </c>
      <c r="AL263" s="12">
        <f>AK263</f>
        <v>-2761</v>
      </c>
      <c r="AM263" s="12">
        <f>AL263</f>
        <v>-2761</v>
      </c>
      <c r="AN263" s="12">
        <f>AM263</f>
        <v>-2761</v>
      </c>
      <c r="AO263" s="12">
        <f>AN263</f>
        <v>-2761</v>
      </c>
      <c r="AP263" s="12">
        <f>AO263</f>
        <v>-2761</v>
      </c>
      <c r="AQ263" s="12">
        <f>AP263</f>
        <v>-2761</v>
      </c>
      <c r="AR263" s="12">
        <f>AQ263</f>
        <v>-2761</v>
      </c>
      <c r="AS263" s="12">
        <f>AR263</f>
        <v>-2761</v>
      </c>
      <c r="AT263" s="12">
        <f>AS263</f>
        <v>-2761</v>
      </c>
      <c r="AU263" s="12">
        <f>AT263</f>
        <v>-2761</v>
      </c>
      <c r="AV263" s="12">
        <f>AU263</f>
        <v>-2761</v>
      </c>
      <c r="AW263" s="12">
        <f>AV263</f>
        <v>-2761</v>
      </c>
      <c r="AX263" s="12">
        <f>AW263</f>
        <v>-2761</v>
      </c>
      <c r="AY263" s="12">
        <f>AX263</f>
        <v>-2761</v>
      </c>
      <c r="AZ263" s="12">
        <f>AY263</f>
        <v>-2761</v>
      </c>
      <c r="BA263" s="12">
        <f>AZ263</f>
        <v>-2761</v>
      </c>
      <c r="BB263" s="12">
        <f>BA263</f>
        <v>-2761</v>
      </c>
      <c r="BC263" s="12">
        <f>BB263</f>
        <v>-2761</v>
      </c>
      <c r="BD263" s="12">
        <f>BC263</f>
        <v>-2761</v>
      </c>
      <c r="BE263" s="12">
        <f>BD263</f>
        <v>-2761</v>
      </c>
      <c r="BF263" s="12">
        <f>BE263</f>
        <v>-2761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>
      <c r="C264" s="14" t="inlineStr">
        <is>
          <t>Other equity account</t>
        </is>
      </c>
      <c r="D264" s="46" t="n"/>
      <c r="E264" s="46" t="n"/>
      <c r="F264" s="46" t="n"/>
      <c r="G264" s="46" t="n"/>
      <c r="H264" s="12" t="n"/>
      <c r="I264" s="46">
        <f>'Inputs (2)'!D46</f>
        <v>0</v>
      </c>
      <c r="J264" s="46">
        <f>'Inputs (2)'!E46</f>
        <v>0</v>
      </c>
      <c r="K264" s="46">
        <f>'Inputs (2)'!F46</f>
        <v>0</v>
      </c>
      <c r="L264" s="46">
        <f>'Inputs (2)'!G46</f>
        <v>0</v>
      </c>
      <c r="M264" s="12">
        <f>'Inputs (2)'!H46</f>
        <v>0</v>
      </c>
      <c r="N264" s="46">
        <f>'Inputs (2)'!I46</f>
        <v>0</v>
      </c>
      <c r="O264" s="46">
        <f>'Inputs (2)'!J46</f>
        <v>0</v>
      </c>
      <c r="P264" s="46">
        <f>'Inputs (2)'!K46</f>
        <v>0</v>
      </c>
      <c r="Q264" s="46">
        <f>'Inputs (2)'!L46</f>
        <v>0</v>
      </c>
      <c r="R264" s="12">
        <f>'Inputs (2)'!M46</f>
        <v>0</v>
      </c>
      <c r="S264" s="46">
        <f>'Inputs (2)'!N46</f>
        <v>0</v>
      </c>
      <c r="T264" s="46">
        <f>'Inputs (2)'!O46</f>
        <v>0</v>
      </c>
      <c r="U264" s="46">
        <f>'Inputs (2)'!P46</f>
        <v>0</v>
      </c>
      <c r="V264" s="46">
        <f>'Inputs (2)'!Q46</f>
        <v>0</v>
      </c>
      <c r="W264" s="12">
        <f>'Inputs (2)'!R46</f>
        <v>0</v>
      </c>
      <c r="X264" s="46">
        <f>'Inputs (2)'!S46</f>
        <v>0</v>
      </c>
      <c r="Y264" s="46">
        <f>'Inputs (2)'!T46</f>
        <v>0</v>
      </c>
      <c r="Z264" s="46">
        <f>'Inputs (2)'!U46</f>
        <v>0</v>
      </c>
      <c r="AA264" s="46">
        <f>'Inputs (2)'!V46</f>
        <v>0</v>
      </c>
      <c r="AB264" s="12">
        <f>'Inputs (2)'!W46</f>
        <v>0</v>
      </c>
      <c r="AC264" s="46">
        <f>'Inputs (2)'!X46</f>
        <v>0</v>
      </c>
      <c r="AD264" s="46">
        <f>'Inputs (2)'!Y46</f>
        <v>0</v>
      </c>
      <c r="AE264" s="46">
        <f>'Inputs (2)'!Z46</f>
        <v>0</v>
      </c>
      <c r="AF264" s="46">
        <f>'Inputs (2)'!AA46</f>
        <v>0</v>
      </c>
      <c r="AG264" s="12">
        <f>'Inputs (2)'!AB46</f>
        <v>0</v>
      </c>
      <c r="AH264" s="12">
        <f>'Inputs (2)'!AC46</f>
        <v>0</v>
      </c>
      <c r="AI264" s="12">
        <f>'Inputs (2)'!AD46</f>
        <v>0</v>
      </c>
      <c r="AJ264" s="12">
        <f>AI264</f>
        <v>0</v>
      </c>
      <c r="AK264" s="12">
        <f>AJ264</f>
        <v>0</v>
      </c>
      <c r="AL264" s="12">
        <f>AK264</f>
        <v>0</v>
      </c>
      <c r="AM264" s="12">
        <f>AL264</f>
        <v>0</v>
      </c>
      <c r="AN264" s="12">
        <f>AM264</f>
        <v>0</v>
      </c>
      <c r="AO264" s="12">
        <f>AN264</f>
        <v>0</v>
      </c>
      <c r="AP264" s="12">
        <f>AO264</f>
        <v>0</v>
      </c>
      <c r="AQ264" s="12">
        <f>AP264</f>
        <v>0</v>
      </c>
      <c r="AR264" s="12">
        <f>AQ264</f>
        <v>0</v>
      </c>
      <c r="AS264" s="12">
        <f>AR264</f>
        <v>0</v>
      </c>
      <c r="AT264" s="12">
        <f>AS264</f>
        <v>0</v>
      </c>
      <c r="AU264" s="12">
        <f>AT264</f>
        <v>0</v>
      </c>
      <c r="AV264" s="12">
        <f>AU264</f>
        <v>0</v>
      </c>
      <c r="AW264" s="12">
        <f>AV264</f>
        <v>0</v>
      </c>
      <c r="AX264" s="12">
        <f>AW264</f>
        <v>0</v>
      </c>
      <c r="AY264" s="12">
        <f>AX264</f>
        <v>0</v>
      </c>
      <c r="AZ264" s="12">
        <f>AY264</f>
        <v>0</v>
      </c>
      <c r="BA264" s="12">
        <f>AZ264</f>
        <v>0</v>
      </c>
      <c r="BB264" s="12">
        <f>BA264</f>
        <v>0</v>
      </c>
      <c r="BC264" s="12">
        <f>BB264</f>
        <v>0</v>
      </c>
      <c r="BD264" s="12">
        <f>BC264</f>
        <v>0</v>
      </c>
      <c r="BE264" s="12">
        <f>BD264</f>
        <v>0</v>
      </c>
      <c r="BF264" s="12">
        <f>BE264</f>
        <v>0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>
      <c r="C265" s="15" t="inlineStr">
        <is>
          <t>Retained earnings</t>
        </is>
      </c>
      <c r="D265" s="46" t="n"/>
      <c r="E265" s="46" t="n"/>
      <c r="F265" s="46" t="n"/>
      <c r="G265" s="46" t="n"/>
      <c r="H265" s="12" t="n"/>
      <c r="I265" s="46">
        <f>'Inputs (2)'!D47</f>
        <v>9181.3</v>
      </c>
      <c r="J265" s="46">
        <f>'Inputs (2)'!E47</f>
        <v>8530.1</v>
      </c>
      <c r="K265" s="46">
        <f>'Inputs (2)'!F47</f>
        <v>9639.4</v>
      </c>
      <c r="L265" s="46">
        <f>'Inputs (2)'!G47</f>
        <v>8958.5</v>
      </c>
      <c r="M265" s="12">
        <f>'Inputs (2)'!H47</f>
        <v>8958.5</v>
      </c>
      <c r="N265" s="46">
        <f>'Inputs (2)'!I47</f>
        <v>9369.4</v>
      </c>
      <c r="O265" s="46">
        <f>'Inputs (2)'!J47</f>
        <v>8556</v>
      </c>
      <c r="P265" s="46">
        <f>'Inputs (2)'!K47</f>
        <v>10006.5</v>
      </c>
      <c r="Q265" s="46">
        <f>'Inputs (2)'!L47</f>
        <v>10042.6</v>
      </c>
      <c r="R265" s="12">
        <f>'Inputs (2)'!M47</f>
        <v>10042.6</v>
      </c>
      <c r="S265" s="46">
        <f>'Inputs (2)'!N47</f>
        <v>10639.3</v>
      </c>
      <c r="T265" s="46">
        <f>'Inputs (2)'!O47</f>
        <v>10368.5</v>
      </c>
      <c r="U265" s="46">
        <f>'Inputs (2)'!P47</f>
        <v>10309.9</v>
      </c>
      <c r="V265" s="46">
        <f>'Inputs (2)'!Q47</f>
        <v>10312.3</v>
      </c>
      <c r="W265" s="12">
        <f>'Inputs (2)'!R47</f>
        <v>10312.3</v>
      </c>
      <c r="X265" s="46">
        <f>'Inputs (2)'!S47</f>
        <v>12553.9</v>
      </c>
      <c r="Y265" s="46">
        <f>'Inputs (2)'!T47</f>
        <v>13178</v>
      </c>
      <c r="Z265" s="46">
        <f>'Inputs (2)'!U47</f>
        <v>13627.2</v>
      </c>
      <c r="AA265" s="46">
        <f>'Inputs (2)'!V47</f>
        <v>13545</v>
      </c>
      <c r="AB265" s="12">
        <f>'Inputs (2)'!W47</f>
        <v>13545</v>
      </c>
      <c r="AC265" s="46">
        <f>'Inputs (2)'!X47</f>
        <v>15099.5</v>
      </c>
      <c r="AD265" s="46">
        <f>'Inputs (2)'!Y47</f>
        <v>17376.2</v>
      </c>
      <c r="AE265" s="46">
        <f>'Inputs (2)'!Z47</f>
        <v>22252</v>
      </c>
      <c r="AF265" s="46">
        <f>'Inputs (2)'!AA47</f>
        <v>24470</v>
      </c>
      <c r="AG265" s="12">
        <f>'Inputs (2)'!AB47</f>
        <v>24470</v>
      </c>
      <c r="AH265" s="12">
        <f>'Inputs (2)'!AC47</f>
        <v>29514</v>
      </c>
      <c r="AI265" s="12">
        <f>'Inputs (2)'!AD47</f>
        <v>31893</v>
      </c>
      <c r="AJ265" s="12">
        <f>AI265+AJ132+AJ133</f>
        <v>40493.1172008163</v>
      </c>
      <c r="AK265" s="12">
        <f>AJ265+AK132+AK133</f>
        <v>49919.5899201328</v>
      </c>
      <c r="AL265" s="12">
        <f>AK265</f>
        <v>49919.5899201328</v>
      </c>
      <c r="AM265" s="12">
        <f>AL265+AM132+AM133</f>
        <v>59593.7933915069</v>
      </c>
      <c r="AN265" s="12">
        <f>AM265+AN132+AN133</f>
        <v>70819.3679433201</v>
      </c>
      <c r="AO265" s="12">
        <f>AN265+AO132+AO133</f>
        <v>83468.0590948279</v>
      </c>
      <c r="AP265" s="12">
        <f>AO265+AP132+AP133</f>
        <v>97332.1192338494</v>
      </c>
      <c r="AQ265" s="12">
        <f>AP265</f>
        <v>97332.1192338494</v>
      </c>
      <c r="AR265" s="12">
        <f>AQ265+AR132+AR133</f>
        <v>111512.1603403</v>
      </c>
      <c r="AS265" s="12">
        <f>AR265+AS132+AS133</f>
        <v>127966.136014808</v>
      </c>
      <c r="AT265" s="12">
        <f>AS265+AT132+AT133</f>
        <v>146506.056226523</v>
      </c>
      <c r="AU265" s="12">
        <f>AT265+AU132+AU133</f>
        <v>166827.413251454</v>
      </c>
      <c r="AV265" s="12">
        <f>AU265</f>
        <v>166827.413251454</v>
      </c>
      <c r="AW265" s="12">
        <f>AV265+AW132+AW133</f>
        <v>187541.021700882</v>
      </c>
      <c r="AX265" s="12">
        <f>AW265+AX132+AX133</f>
        <v>211576.29825612</v>
      </c>
      <c r="AY265" s="12">
        <f>AX265+AY132+AY133</f>
        <v>238658.634976174</v>
      </c>
      <c r="AZ265" s="12">
        <f>AY265+AZ132+AZ133</f>
        <v>268343.219767962</v>
      </c>
      <c r="BA265" s="12">
        <f>AZ265</f>
        <v>268343.219767962</v>
      </c>
      <c r="BB265" s="12">
        <f>BA265+BB132+BB133</f>
        <v>298497.220922819</v>
      </c>
      <c r="BC265" s="12">
        <f>BB265+BC132+BC133</f>
        <v>333486.766987352</v>
      </c>
      <c r="BD265" s="12">
        <f>BC265+BD132+BD133</f>
        <v>372912.095255316</v>
      </c>
      <c r="BE265" s="12">
        <f>BD265+BE132+BE133</f>
        <v>416125.666964872</v>
      </c>
      <c r="BF265" s="12">
        <f>BE265</f>
        <v>416125.666964872</v>
      </c>
      <c r="BG265" s="12" t="n"/>
      <c r="BH265" s="12" t="n"/>
      <c r="BI265" s="12" t="n"/>
      <c r="BJ265" s="12" t="n"/>
      <c r="BK265" s="12" t="n"/>
      <c r="BL265" s="12" t="n"/>
      <c r="BM265" s="12" t="n"/>
      <c r="BN265" s="12" t="n"/>
      <c r="BO265" s="12" t="n"/>
      <c r="BP265" s="12" t="n"/>
      <c r="BQ265" s="12" t="n"/>
      <c r="BR265" s="12" t="n"/>
      <c r="BS265" s="12" t="n"/>
      <c r="BT265" s="12" t="n"/>
      <c r="BU265" s="12" t="n"/>
      <c r="BV265" s="12" t="n"/>
      <c r="BW265" s="12" t="n"/>
      <c r="BX265" s="12" t="n"/>
      <c r="BY265" s="12" t="n"/>
      <c r="BZ265" s="12" t="n"/>
      <c r="CA265" s="12" t="n"/>
      <c r="CB265" s="12" t="n"/>
      <c r="CC265" s="12" t="n"/>
      <c r="CD265" s="12" t="n"/>
      <c r="CE265" s="12" t="n"/>
      <c r="CF265" s="12" t="n"/>
      <c r="CG265" s="12" t="n"/>
      <c r="CH265" s="12" t="n"/>
      <c r="CI265" s="12" t="n"/>
      <c r="CJ265" s="12" t="n"/>
      <c r="CK265" s="12" t="n"/>
      <c r="CL265" s="12" t="n"/>
      <c r="CM265" s="12" t="n"/>
      <c r="CN265" s="12" t="n"/>
      <c r="CO265" s="12" t="n"/>
      <c r="CP265" s="12" t="n"/>
      <c r="CQ265" s="12" t="n"/>
      <c r="CR265" s="12" t="n"/>
      <c r="CS265" s="12" t="n"/>
      <c r="CT265" s="12" t="n"/>
      <c r="CU265" s="12" t="n"/>
      <c r="CV265" s="12" t="n"/>
      <c r="CW265" s="12" t="n"/>
      <c r="CX265" s="12" t="n"/>
      <c r="CY265" s="12" t="n"/>
    </row>
    <row r="266" customFormat="1" s="32">
      <c r="A266" s="30" t="inlineStr">
        <is>
          <t xml:space="preserve"> </t>
        </is>
      </c>
      <c r="B266" s="30" t="n"/>
      <c r="C266" s="65" t="inlineStr">
        <is>
          <t>Total Shareholders' Equity</t>
        </is>
      </c>
      <c r="D266" s="35" t="n"/>
      <c r="E266" s="35" t="n"/>
      <c r="F266" s="35" t="n"/>
      <c r="G266" s="35" t="n"/>
      <c r="H266" s="35" t="n"/>
      <c r="I266" s="35">
        <f>SUM(I243+I248+I249+I262+I263+I264+I265)</f>
        <v>7099.3</v>
      </c>
      <c r="J266" s="35">
        <f>SUM(J243+J248+J249+J262+J263+J264+J265)</f>
        <v>6663.5</v>
      </c>
      <c r="K266" s="35">
        <f>SUM(K243+K248+K249+K262+K263+K264+K265)</f>
        <v>7954.1</v>
      </c>
      <c r="L266" s="35">
        <f>SUM(L243+L248+L249+L262+L263+L264+L265)</f>
        <v>9154.8</v>
      </c>
      <c r="M266" s="35">
        <f>SUM(M243,M248,M249,M262,M263,M264,M265)</f>
        <v>9154.8</v>
      </c>
      <c r="N266" s="35">
        <f>SUM(N243+N248+N249+N262+N263+N264+N265)</f>
        <v>9462</v>
      </c>
      <c r="O266" s="35">
        <f>SUM(O243+O248+O249+O262+O263+O264+O265)</f>
        <v>8659.2</v>
      </c>
      <c r="P266" s="35">
        <f>SUM(P243+P248+P249+P262+P263+P264+P265)</f>
        <v>10165.9</v>
      </c>
      <c r="Q266" s="35">
        <f>SUM(Q243+Q248+Q249+Q262+Q263+Q264+Q265)</f>
        <v>10775.4</v>
      </c>
      <c r="R266" s="35">
        <f>SUM(R243,R248,R249,R262,R263,R264,R265)</f>
        <v>10775.4</v>
      </c>
      <c r="S266" s="35">
        <f>SUM(S243+S248+S249+S262+S263+S264+S265)</f>
        <v>11294.9</v>
      </c>
      <c r="T266" s="35">
        <f>SUM(T243+T248+T249+T262+T263+T264+T265)</f>
        <v>11149.3</v>
      </c>
      <c r="U266" s="35">
        <f>SUM(U243+U248+U249+U262+U263+U264+U265)</f>
        <v>11307.4</v>
      </c>
      <c r="V266" s="35">
        <f>SUM(V243+V248+V249+V262+V263+V264+V265)</f>
        <v>10863.7</v>
      </c>
      <c r="W266" s="35">
        <f>SUM(W243,W248,W249,W262,W263,W264,W265)</f>
        <v>10863.7</v>
      </c>
      <c r="X266" s="35">
        <f>SUM(X243+X248+X249+X262+X263+X264+X265)</f>
        <v>12897.4</v>
      </c>
      <c r="Y266" s="35">
        <f>SUM(Y243+Y248+Y249+Y262+Y263+Y264+Y265)</f>
        <v>13635.5</v>
      </c>
      <c r="Z266" s="35">
        <f>SUM(Z243+Z248+Z249+Z262+Z263+Z264+Z265)</f>
        <v>14320.7</v>
      </c>
      <c r="AA266" s="35">
        <f>SUM(AA243+AA248+AA249+AA262+AA263+AA264+AA265)</f>
        <v>14271.6</v>
      </c>
      <c r="AB266" s="35">
        <f>SUM(AB243,AB248,AB249,AB262,AB263,AB264,AB265)</f>
        <v>14271.6</v>
      </c>
      <c r="AC266" s="35">
        <f>SUM(AC243+AC248+AC249+AC262+AC263+AC264+AC265)</f>
        <v>15846.8</v>
      </c>
      <c r="AD266" s="35">
        <f>SUM(AD243+AD248+AD249+AD262+AD263+AD264+AD265)</f>
        <v>18349.1</v>
      </c>
      <c r="AE266" s="35">
        <f>SUM(AE243+AE248+AE249+AE262+AE263+AE264+AE265)</f>
        <v>23850.8</v>
      </c>
      <c r="AF266" s="35">
        <f>SUM(AF243+AF248+AF249+AF262+AF263+AF264+AF265)</f>
        <v>26513</v>
      </c>
      <c r="AG266" s="35">
        <f>SUM(AG243,AG248,AG249,AG262,AG263,AG264,AG265)</f>
        <v>26513</v>
      </c>
      <c r="AH266" s="35">
        <f>SUM(AH243+AH248+AH249+AH262+AH263+AH264+AH265)</f>
        <v>31179</v>
      </c>
      <c r="AI266" s="35">
        <f>SUM(AI243+AI248+AI249+AI262+AI263+AI264+AI265)</f>
        <v>33824</v>
      </c>
      <c r="AJ266" s="35">
        <f>SUM(AJ243+AJ248+AJ249+AJ262+AJ263+AJ264+AJ265)</f>
        <v>42424.1172008163</v>
      </c>
      <c r="AK266" s="35">
        <f>SUM(AK243+AK248+AK249+AK262+AK263+AK264+AK265)</f>
        <v>51850.5899201328</v>
      </c>
      <c r="AL266" s="35">
        <f>SUM(AL243,AL248,AL249,AL262,AL263,AL264,AL265)</f>
        <v>51850.5899201328</v>
      </c>
      <c r="AM266" s="35">
        <f>SUM(AM243+AM248+AM249+AM262+AM263+AM264+AM265)</f>
        <v>61524.7933915069</v>
      </c>
      <c r="AN266" s="35">
        <f>SUM(AN243+AN248+AN249+AN262+AN263+AN264+AN265)</f>
        <v>72750.3679433201</v>
      </c>
      <c r="AO266" s="35">
        <f>SUM(AO243+AO248+AO249+AO262+AO263+AO264+AO265)</f>
        <v>85399.0590948279</v>
      </c>
      <c r="AP266" s="35">
        <f>SUM(AP243+AP248+AP249+AP262+AP263+AP264+AP265)</f>
        <v>99263.1192338494</v>
      </c>
      <c r="AQ266" s="35">
        <f>SUM(AQ243,AQ248,AQ249,AQ262,AQ263,AQ264,AQ265)</f>
        <v>99263.1192338494</v>
      </c>
      <c r="AR266" s="35">
        <f>SUM(AR243+AR248+AR249+AR262+AR263+AR264+AR265)</f>
        <v>113443.1603403</v>
      </c>
      <c r="AS266" s="35">
        <f>SUM(AS243+AS248+AS249+AS262+AS263+AS264+AS265)</f>
        <v>129897.136014808</v>
      </c>
      <c r="AT266" s="35">
        <f>SUM(AT243+AT248+AT249+AT262+AT263+AT264+AT265)</f>
        <v>148437.056226523</v>
      </c>
      <c r="AU266" s="35">
        <f>SUM(AU243+AU248+AU249+AU262+AU263+AU264+AU265)</f>
        <v>168758.413251454</v>
      </c>
      <c r="AV266" s="35">
        <f>SUM(AV243,AV248,AV249,AV262,AV263,AV264,AV265)</f>
        <v>168758.413251454</v>
      </c>
      <c r="AW266" s="35">
        <f>SUM(AW243+AW248+AW249+AW262+AW263+AW264+AW265)</f>
        <v>189472.021700882</v>
      </c>
      <c r="AX266" s="35">
        <f>SUM(AX243+AX248+AX249+AX262+AX263+AX264+AX265)</f>
        <v>213507.29825612</v>
      </c>
      <c r="AY266" s="35">
        <f>SUM(AY243+AY248+AY249+AY262+AY263+AY264+AY265)</f>
        <v>240589.634976174</v>
      </c>
      <c r="AZ266" s="35">
        <f>SUM(AZ243+AZ248+AZ249+AZ262+AZ263+AZ264+AZ265)</f>
        <v>270274.219767962</v>
      </c>
      <c r="BA266" s="35">
        <f>SUM(BA243,BA248,BA249,BA262,BA263,BA264,BA265)</f>
        <v>270274.219767962</v>
      </c>
      <c r="BB266" s="35">
        <f>SUM(BB243+BB248+BB249+BB262+BB263+BB264+BB265)</f>
        <v>300428.220922819</v>
      </c>
      <c r="BC266" s="35">
        <f>SUM(BC243+BC248+BC249+BC262+BC263+BC264+BC265)</f>
        <v>335417.766987352</v>
      </c>
      <c r="BD266" s="35">
        <f>SUM(BD243+BD248+BD249+BD262+BD263+BD264+BD265)</f>
        <v>374843.095255316</v>
      </c>
      <c r="BE266" s="35">
        <f>SUM(BE243+BE248+BE249+BE262+BE263+BE264+BE265)</f>
        <v>418056.666964872</v>
      </c>
      <c r="BF266" s="35">
        <f>SUM(BF243,BF248,BF249,BF262,BF263,BF264,BF265)</f>
        <v>418056.666964872</v>
      </c>
      <c r="BG266" s="35" t="n"/>
      <c r="BH266" s="35" t="n"/>
      <c r="BI266" s="35" t="n"/>
      <c r="BJ266" s="35" t="n"/>
      <c r="BK266" s="35" t="n"/>
      <c r="BL266" s="35" t="n"/>
      <c r="BM266" s="35" t="n"/>
      <c r="BN266" s="35" t="n"/>
      <c r="BO266" s="35" t="n"/>
      <c r="BP266" s="35" t="n"/>
      <c r="BQ266" s="35" t="n"/>
      <c r="BR266" s="35" t="n"/>
      <c r="BS266" s="35" t="n"/>
      <c r="BT266" s="35" t="n"/>
      <c r="BU266" s="35" t="n"/>
      <c r="BV266" s="35" t="n"/>
      <c r="BW266" s="35" t="n"/>
      <c r="BX266" s="35" t="n"/>
      <c r="BY266" s="35" t="n"/>
      <c r="BZ266" s="35" t="n"/>
      <c r="CA266" s="35" t="n"/>
      <c r="CB266" s="35" t="n"/>
      <c r="CC266" s="35" t="n"/>
      <c r="CD266" s="35" t="n"/>
      <c r="CE266" s="35" t="n"/>
      <c r="CF266" s="35" t="n"/>
      <c r="CG266" s="35" t="n"/>
      <c r="CH266" s="35" t="n"/>
      <c r="CI266" s="35" t="n"/>
      <c r="CJ266" s="35" t="n"/>
      <c r="CK266" s="35" t="n"/>
      <c r="CL266" s="35" t="n"/>
      <c r="CM266" s="35" t="n"/>
      <c r="CN266" s="35" t="n"/>
      <c r="CO266" s="35" t="n"/>
      <c r="CP266" s="35" t="n"/>
      <c r="CQ266" s="35" t="n"/>
      <c r="CR266" s="35" t="n"/>
      <c r="CS266" s="35" t="n"/>
      <c r="CT266" s="35" t="n"/>
      <c r="CU266" s="35" t="n"/>
      <c r="CV266" s="35" t="n"/>
      <c r="CW266" s="35" t="n"/>
      <c r="CX266" s="35" t="n"/>
      <c r="CY266" s="35" t="n"/>
    </row>
    <row r="267">
      <c r="C267" s="10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  <c r="AL267" s="12" t="n"/>
      <c r="AM267" s="12" t="n"/>
      <c r="AN267" s="12" t="n"/>
      <c r="AO267" s="12" t="n"/>
      <c r="AP267" s="12" t="n"/>
      <c r="AQ267" s="12" t="n"/>
      <c r="AR267" s="12" t="n"/>
      <c r="AS267" s="12" t="n"/>
      <c r="AT267" s="12" t="n"/>
      <c r="AU267" s="12" t="n"/>
      <c r="AV267" s="12" t="n"/>
      <c r="AW267" s="12" t="n"/>
      <c r="AX267" s="12" t="n"/>
      <c r="AY267" s="12" t="n"/>
      <c r="AZ267" s="12" t="n"/>
      <c r="BA267" s="12" t="n"/>
      <c r="BB267" s="12" t="n"/>
      <c r="BC267" s="12" t="n"/>
      <c r="BD267" s="12" t="n"/>
      <c r="BE267" s="12" t="n"/>
      <c r="BF267" s="12" t="n"/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 customFormat="1" s="32">
      <c r="A268" s="30" t="n"/>
      <c r="B268" s="3" t="n"/>
      <c r="C268" s="33" t="inlineStr">
        <is>
          <t>Total Liabilities + Shareholders' Equity</t>
        </is>
      </c>
      <c r="D268" s="35" t="n"/>
      <c r="E268" s="35" t="n"/>
      <c r="F268" s="35" t="n"/>
      <c r="G268" s="35" t="n"/>
      <c r="H268" s="35" t="n"/>
      <c r="I268" s="35">
        <f>I266+I242</f>
        <v>46838.3</v>
      </c>
      <c r="J268" s="35">
        <f>J266+J242</f>
        <v>47809</v>
      </c>
      <c r="K268" s="35">
        <f>K266+K242</f>
        <v>48187</v>
      </c>
      <c r="L268" s="35">
        <f>L266+L242</f>
        <v>48806</v>
      </c>
      <c r="M268" s="35">
        <f>M266+M242</f>
        <v>48806</v>
      </c>
      <c r="N268" s="35">
        <f>N266+N242</f>
        <v>46919.3</v>
      </c>
      <c r="O268" s="35">
        <f>O266+O242</f>
        <v>47063.6</v>
      </c>
      <c r="P268" s="35">
        <f>P266+P242</f>
        <v>47461.5</v>
      </c>
      <c r="Q268" s="35">
        <f>Q266+Q242</f>
        <v>49489.8</v>
      </c>
      <c r="R268" s="35">
        <f>R266+R242</f>
        <v>49489.8</v>
      </c>
      <c r="S268" s="35">
        <f>S266+S242</f>
        <v>53163</v>
      </c>
      <c r="T268" s="35">
        <f>T266+T242</f>
        <v>54814</v>
      </c>
      <c r="U268" s="35">
        <f>U266+U242</f>
        <v>57915.5</v>
      </c>
      <c r="V268" s="35">
        <f>V266+V242</f>
        <v>64006.3</v>
      </c>
      <c r="W268" s="35">
        <f>W266+W242</f>
        <v>64006.3</v>
      </c>
      <c r="X268" s="35">
        <f>X266+X242</f>
        <v>63943.5</v>
      </c>
      <c r="Y268" s="35">
        <f>Y266+Y242</f>
        <v>71874.8</v>
      </c>
      <c r="Z268" s="35">
        <f>Z266+Z242</f>
        <v>75606.9</v>
      </c>
      <c r="AA268" s="35">
        <f>AA266+AA242</f>
        <v>78714.9</v>
      </c>
      <c r="AB268" s="35">
        <f>AB266+AB242</f>
        <v>78714.9</v>
      </c>
      <c r="AC268" s="35">
        <f>AC266+AC242</f>
        <v>89388.8</v>
      </c>
      <c r="AD268" s="35">
        <f>AD266+AD242</f>
        <v>100922.6</v>
      </c>
      <c r="AE268" s="35">
        <f>AE266+AE242</f>
        <v>114935.4</v>
      </c>
      <c r="AF268" s="35">
        <f>AF266+AF242</f>
        <v>112476</v>
      </c>
      <c r="AG268" s="35">
        <f>AG266+AG242</f>
        <v>112476</v>
      </c>
      <c r="AH268" s="35">
        <f>AH266+AH242</f>
        <v>116576</v>
      </c>
      <c r="AI268" s="35">
        <f>AI266+AI242</f>
        <v>142283</v>
      </c>
      <c r="AJ268" s="35">
        <f>AJ266+AJ242</f>
        <v>152380.121737208</v>
      </c>
      <c r="AK268" s="35">
        <f>AK266+AK242</f>
        <v>163701.270758588</v>
      </c>
      <c r="AL268" s="35">
        <f>AL266+AL242</f>
        <v>163701.270758588</v>
      </c>
      <c r="AM268" s="35">
        <f>AM266+AM242</f>
        <v>175570.244104444</v>
      </c>
      <c r="AN268" s="35">
        <f>AN266+AN242</f>
        <v>190636.513154474</v>
      </c>
      <c r="AO268" s="35">
        <f>AO266+AO242</f>
        <v>208267.771824348</v>
      </c>
      <c r="AP268" s="35">
        <f>AP266+AP242</f>
        <v>228912.487574145</v>
      </c>
      <c r="AQ268" s="35">
        <f>AQ266+AQ242</f>
        <v>228912.487574145</v>
      </c>
      <c r="AR268" s="35">
        <f>AR266+AR242</f>
        <v>251939.650753121</v>
      </c>
      <c r="AS268" s="35">
        <f>AS266+AS242</f>
        <v>282625.299264756</v>
      </c>
      <c r="AT268" s="35">
        <f>AT266+AT242</f>
        <v>320873.792789427</v>
      </c>
      <c r="AU268" s="35">
        <f>AU266+AU242</f>
        <v>369288.143350434</v>
      </c>
      <c r="AV268" s="35">
        <f>AV266+AV242</f>
        <v>369288.143350434</v>
      </c>
      <c r="AW268" s="35">
        <f>AW266+AW242</f>
        <v>429376.423580652</v>
      </c>
      <c r="AX268" s="35">
        <f>AX266+AX242</f>
        <v>512406.968748869</v>
      </c>
      <c r="AY268" s="35">
        <f>AY266+AY242</f>
        <v>624265.355860091</v>
      </c>
      <c r="AZ268" s="35">
        <f>AZ266+AZ242</f>
        <v>776636.865344738</v>
      </c>
      <c r="BA268" s="35">
        <f>BA266+BA242</f>
        <v>776636.865344738</v>
      </c>
      <c r="BB268" s="35">
        <f>BB266+BB242</f>
        <v>982001.385629368</v>
      </c>
      <c r="BC268" s="35">
        <f>BC266+BC242</f>
        <v>1274328.43200988</v>
      </c>
      <c r="BD268" s="35">
        <f>BD266+BD242</f>
        <v>1686352.14996861</v>
      </c>
      <c r="BE268" s="35">
        <f>BE266+BE242</f>
        <v>2270320.07689495</v>
      </c>
      <c r="BF268" s="35">
        <f>BF266+BF242</f>
        <v>2270320.07689495</v>
      </c>
      <c r="BG268" s="35" t="n"/>
      <c r="BH268" s="35" t="n"/>
      <c r="BI268" s="35" t="n"/>
      <c r="BJ268" s="35" t="n"/>
      <c r="BK268" s="35" t="n"/>
      <c r="BL268" s="35" t="n"/>
      <c r="BM268" s="35" t="n"/>
      <c r="BN268" s="35" t="n"/>
      <c r="BO268" s="35" t="n"/>
      <c r="BP268" s="35" t="n"/>
      <c r="BQ268" s="35" t="n"/>
      <c r="BR268" s="35" t="n"/>
      <c r="BS268" s="35" t="n"/>
      <c r="BT268" s="35" t="n"/>
      <c r="BU268" s="35" t="n"/>
      <c r="BV268" s="35" t="n"/>
      <c r="BW268" s="35" t="n"/>
      <c r="BX268" s="35" t="n"/>
      <c r="BY268" s="35" t="n"/>
      <c r="BZ268" s="35" t="n"/>
      <c r="CA268" s="35" t="n"/>
      <c r="CB268" s="35" t="n"/>
      <c r="CC268" s="35" t="n"/>
      <c r="CD268" s="35" t="n"/>
      <c r="CE268" s="35" t="n"/>
      <c r="CF268" s="35" t="n"/>
      <c r="CG268" s="35" t="n"/>
      <c r="CH268" s="35" t="n"/>
      <c r="CI268" s="35" t="n"/>
      <c r="CJ268" s="35" t="n"/>
      <c r="CK268" s="35" t="n"/>
      <c r="CL268" s="35" t="n"/>
      <c r="CM268" s="35" t="n"/>
      <c r="CN268" s="35" t="n"/>
      <c r="CO268" s="35" t="n"/>
      <c r="CP268" s="35" t="n"/>
      <c r="CQ268" s="35" t="n"/>
      <c r="CR268" s="35" t="n"/>
      <c r="CS268" s="35" t="n"/>
      <c r="CT268" s="35" t="n"/>
      <c r="CU268" s="35" t="n"/>
      <c r="CV268" s="35" t="n"/>
      <c r="CW268" s="35" t="n"/>
      <c r="CX268" s="35" t="n"/>
      <c r="CY268" s="35" t="n"/>
    </row>
    <row r="269">
      <c r="C269" s="18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  <c r="AK269" s="3" t="n"/>
      <c r="AL269" s="3" t="n"/>
      <c r="AM269" s="3" t="n"/>
      <c r="AN269" s="3" t="n"/>
      <c r="AO269" s="3" t="n"/>
      <c r="AP269" s="3" t="n"/>
      <c r="AQ269" s="3" t="n"/>
      <c r="AR269" s="3" t="n"/>
      <c r="AS269" s="3" t="n"/>
      <c r="AT269" s="3" t="n"/>
      <c r="AU269" s="3" t="n"/>
      <c r="AV269" s="3" t="n"/>
      <c r="AW269" s="3" t="n"/>
      <c r="AX269" s="3" t="n"/>
      <c r="AY269" s="3" t="n"/>
      <c r="AZ269" s="3" t="n"/>
      <c r="BA269" s="3" t="n"/>
      <c r="BB269" s="3" t="n"/>
      <c r="BC269" s="3" t="n"/>
      <c r="BD269" s="3" t="n"/>
      <c r="BE269" s="3" t="n"/>
      <c r="BF269" s="3" t="n"/>
      <c r="BG269" s="3" t="n"/>
      <c r="BH269" s="3" t="n"/>
      <c r="BI269" s="3" t="n"/>
      <c r="BJ269" s="3" t="n"/>
      <c r="BK269" s="3" t="n"/>
      <c r="BL269" s="3" t="n"/>
      <c r="BM269" s="3" t="n"/>
      <c r="BN269" s="3" t="n"/>
      <c r="BO269" s="3" t="n"/>
      <c r="BP269" s="3" t="n"/>
      <c r="BQ269" s="3" t="n"/>
      <c r="BR269" s="3" t="n"/>
      <c r="BS269" s="3" t="n"/>
      <c r="BT269" s="3" t="n"/>
      <c r="BU269" s="3" t="n"/>
      <c r="BV269" s="3" t="n"/>
      <c r="BW269" s="3" t="n"/>
      <c r="BX269" s="3" t="n"/>
      <c r="BY269" s="3" t="n"/>
      <c r="BZ269" s="3" t="n"/>
      <c r="CA269" s="3" t="n"/>
      <c r="CB269" s="3" t="n"/>
      <c r="CC269" s="3" t="n"/>
      <c r="CD269" s="3" t="n"/>
      <c r="CE269" s="3" t="n"/>
      <c r="CF269" s="3" t="n"/>
      <c r="CG269" s="3" t="n"/>
      <c r="CH269" s="3" t="n"/>
      <c r="CI269" s="3" t="n"/>
      <c r="CJ269" s="3" t="n"/>
      <c r="CK269" s="3" t="n"/>
      <c r="CL269" s="3" t="n"/>
      <c r="CM269" s="3" t="n"/>
      <c r="CN269" s="3" t="n"/>
      <c r="CO269" s="3" t="n"/>
      <c r="CP269" s="3" t="n"/>
      <c r="CQ269" s="3" t="n"/>
      <c r="CR269" s="3" t="n"/>
      <c r="CS269" s="3" t="n"/>
      <c r="CT269" s="3" t="n"/>
      <c r="CU269" s="3" t="n"/>
      <c r="CV269" s="3" t="n"/>
      <c r="CW269" s="3" t="n"/>
      <c r="CX269" s="3" t="n"/>
      <c r="CY269" s="3" t="n"/>
    </row>
    <row r="270" customFormat="1" s="32">
      <c r="A270" s="30" t="n"/>
      <c r="B270" s="30" t="n"/>
      <c r="C270" s="31" t="inlineStr">
        <is>
          <t>Cash Flow Statement</t>
        </is>
      </c>
      <c r="D270" s="70" t="n"/>
      <c r="E270" s="70" t="n"/>
      <c r="F270" s="70" t="n"/>
      <c r="G270" s="70" t="n"/>
      <c r="H270" s="70" t="n"/>
      <c r="I270" s="70" t="str">
        <f>I137</f>
        <v>1Q21</v>
      </c>
      <c r="J270" s="70" t="str">
        <f>J137</f>
        <v>2Q21</v>
      </c>
      <c r="K270" s="70" t="str">
        <f>K137</f>
        <v>3Q21</v>
      </c>
      <c r="L270" s="70" t="str">
        <f>L137</f>
        <v>4Q21</v>
      </c>
      <c r="M270" s="70">
        <f>M137</f>
        <v>2021</v>
      </c>
      <c r="N270" s="70" t="str">
        <f>N137</f>
        <v>1Q22</v>
      </c>
      <c r="O270" s="70" t="str">
        <f>O137</f>
        <v>2Q22</v>
      </c>
      <c r="P270" s="70" t="str">
        <f>P137</f>
        <v>3Q22</v>
      </c>
      <c r="Q270" s="70" t="str">
        <f>Q137</f>
        <v>4Q22</v>
      </c>
      <c r="R270" s="70">
        <f>R137</f>
        <v>2022</v>
      </c>
      <c r="S270" s="70" t="str">
        <f>S137</f>
        <v>1Q23</v>
      </c>
      <c r="T270" s="70" t="str">
        <f>T137</f>
        <v>2Q23</v>
      </c>
      <c r="U270" s="70" t="str">
        <f>U137</f>
        <v>3Q23</v>
      </c>
      <c r="V270" s="70" t="str">
        <f>V137</f>
        <v>4Q23</v>
      </c>
      <c r="W270" s="70">
        <f>W137</f>
        <v>2023</v>
      </c>
      <c r="X270" s="70" t="str">
        <f>X137</f>
        <v>1Q24</v>
      </c>
      <c r="Y270" s="70" t="str">
        <f>Y137</f>
        <v>2Q24</v>
      </c>
      <c r="Z270" s="70" t="str">
        <f>Z137</f>
        <v>3Q24</v>
      </c>
      <c r="AA270" s="70" t="str">
        <f>AA137</f>
        <v>4Q24</v>
      </c>
      <c r="AB270" s="70">
        <f>AB137</f>
        <v>2024</v>
      </c>
      <c r="AC270" s="70" t="str">
        <f>AC137</f>
        <v>1Q25</v>
      </c>
      <c r="AD270" s="70" t="str">
        <f>AD137</f>
        <v>2Q25</v>
      </c>
      <c r="AE270" s="70" t="str">
        <f>AE137</f>
        <v>3Q25</v>
      </c>
      <c r="AF270" s="70" t="str">
        <f>AF137</f>
        <v>4Q25</v>
      </c>
      <c r="AG270" s="70">
        <f>AG137</f>
        <v>2025</v>
      </c>
      <c r="AH270" s="70" t="str">
        <f>AH137</f>
        <v>1Q26</v>
      </c>
      <c r="AI270" s="70" t="str">
        <f>AI137</f>
        <v>2Q26</v>
      </c>
      <c r="AJ270" s="70" t="str">
        <f>AJ137</f>
        <v>3Q26</v>
      </c>
      <c r="AK270" s="70" t="str">
        <f>AK137</f>
        <v>4Q26</v>
      </c>
      <c r="AL270" s="70">
        <f>AL137</f>
        <v>2026</v>
      </c>
      <c r="AM270" s="70" t="str">
        <f>AM137</f>
        <v>1Q27</v>
      </c>
      <c r="AN270" s="70" t="str">
        <f>AN137</f>
        <v>2Q27</v>
      </c>
      <c r="AO270" s="70" t="str">
        <f>AO137</f>
        <v>3Q27</v>
      </c>
      <c r="AP270" s="70" t="str">
        <f>AP137</f>
        <v>4Q27</v>
      </c>
      <c r="AQ270" s="70">
        <f>AQ137</f>
        <v>2027</v>
      </c>
      <c r="AR270" s="70" t="str">
        <f>AR137</f>
        <v>1Q28</v>
      </c>
      <c r="AS270" s="70" t="str">
        <f>AS137</f>
        <v>2Q28</v>
      </c>
      <c r="AT270" s="70" t="str">
        <f>AT137</f>
        <v>3Q28</v>
      </c>
      <c r="AU270" s="70" t="str">
        <f>AU137</f>
        <v>4Q28</v>
      </c>
      <c r="AV270" s="70">
        <f>AV137</f>
        <v>2028</v>
      </c>
      <c r="AW270" s="70" t="str">
        <f>AW137</f>
        <v>1Q29</v>
      </c>
      <c r="AX270" s="70" t="str">
        <f>AX137</f>
        <v>2Q29</v>
      </c>
      <c r="AY270" s="70" t="str">
        <f>AY137</f>
        <v>3Q29</v>
      </c>
      <c r="AZ270" s="70" t="str">
        <f>AZ137</f>
        <v>4Q29</v>
      </c>
      <c r="BA270" s="70">
        <f>BA137</f>
        <v>2029</v>
      </c>
      <c r="BB270" s="70" t="str">
        <f>BB137</f>
        <v>1Q30</v>
      </c>
      <c r="BC270" s="70" t="str">
        <f>BC137</f>
        <v>2Q30</v>
      </c>
      <c r="BD270" s="70" t="str">
        <f>BD137</f>
        <v>3Q30</v>
      </c>
      <c r="BE270" s="70" t="str">
        <f>BE137</f>
        <v>4Q30</v>
      </c>
      <c r="BF270" s="70">
        <f>BF137</f>
        <v>2030</v>
      </c>
      <c r="BG270" s="70" t="n"/>
      <c r="BH270" s="70" t="n"/>
      <c r="BI270" s="70" t="n"/>
      <c r="BJ270" s="70" t="n"/>
      <c r="BK270" s="70" t="n"/>
      <c r="BL270" s="70" t="n"/>
      <c r="BM270" s="70" t="n"/>
      <c r="BN270" s="70" t="n"/>
      <c r="BO270" s="70" t="n"/>
      <c r="BP270" s="70" t="n"/>
      <c r="BQ270" s="70" t="n"/>
      <c r="BR270" s="70" t="n"/>
      <c r="BS270" s="70" t="n"/>
      <c r="BT270" s="70" t="n"/>
      <c r="BU270" s="70" t="n"/>
      <c r="BV270" s="70" t="n"/>
      <c r="BW270" s="70" t="n"/>
      <c r="BX270" s="70" t="n"/>
      <c r="BY270" s="70" t="n"/>
      <c r="BZ270" s="70" t="n"/>
      <c r="CA270" s="70" t="n"/>
      <c r="CB270" s="70" t="n"/>
      <c r="CC270" s="70" t="n"/>
      <c r="CD270" s="70" t="n"/>
      <c r="CE270" s="70" t="n"/>
      <c r="CF270" s="70" t="n"/>
      <c r="CG270" s="70" t="n"/>
      <c r="CH270" s="70" t="n"/>
      <c r="CI270" s="70" t="n"/>
      <c r="CJ270" s="70" t="n"/>
      <c r="CK270" s="70" t="n"/>
      <c r="CL270" s="70" t="n"/>
      <c r="CM270" s="70" t="n"/>
      <c r="CN270" s="70" t="n"/>
      <c r="CO270" s="70" t="n"/>
      <c r="CP270" s="70" t="n"/>
      <c r="CQ270" s="70" t="n"/>
      <c r="CR270" s="70" t="n"/>
      <c r="CS270" s="70" t="n"/>
      <c r="CT270" s="70" t="n"/>
      <c r="CU270" s="70" t="n"/>
      <c r="CV270" s="70" t="n"/>
      <c r="CW270" s="70" t="n"/>
      <c r="CX270" s="70" t="n"/>
      <c r="CY270" s="70" t="n"/>
    </row>
    <row r="271">
      <c r="C271" s="18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  <c r="AR271" s="3" t="n"/>
      <c r="AS271" s="3" t="n"/>
      <c r="AT271" s="3" t="n"/>
      <c r="AU271" s="3" t="n"/>
      <c r="AV271" s="3" t="n"/>
      <c r="AW271" s="3" t="n"/>
      <c r="AX271" s="3" t="n"/>
      <c r="AY271" s="3" t="n"/>
      <c r="AZ271" s="3" t="n"/>
      <c r="BA271" s="3" t="n"/>
      <c r="BB271" s="3" t="n"/>
      <c r="BC271" s="3" t="n"/>
      <c r="BD271" s="3" t="n"/>
      <c r="BE271" s="3" t="n"/>
      <c r="BF271" s="3" t="n"/>
      <c r="BG271" s="3" t="n"/>
      <c r="BH271" s="3" t="n"/>
      <c r="BI271" s="3" t="n"/>
      <c r="BJ271" s="3" t="n"/>
      <c r="BK271" s="3" t="n"/>
      <c r="BL271" s="3" t="n"/>
      <c r="BM271" s="3" t="n"/>
      <c r="BN271" s="3" t="n"/>
      <c r="BO271" s="3" t="n"/>
      <c r="BP271" s="3" t="n"/>
      <c r="BQ271" s="3" t="n"/>
      <c r="BR271" s="3" t="n"/>
      <c r="BS271" s="3" t="n"/>
      <c r="BT271" s="3" t="n"/>
      <c r="BU271" s="3" t="n"/>
      <c r="BV271" s="3" t="n"/>
      <c r="BW271" s="3" t="n"/>
      <c r="BX271" s="3" t="n"/>
      <c r="BY271" s="3" t="n"/>
      <c r="BZ271" s="3" t="n"/>
      <c r="CA271" s="3" t="n"/>
      <c r="CB271" s="3" t="n"/>
      <c r="CC271" s="3" t="n"/>
      <c r="CD271" s="3" t="n"/>
      <c r="CE271" s="3" t="n"/>
      <c r="CF271" s="3" t="n"/>
      <c r="CG271" s="3" t="n"/>
      <c r="CH271" s="3" t="n"/>
      <c r="CI271" s="3" t="n"/>
      <c r="CJ271" s="3" t="n"/>
      <c r="CK271" s="3" t="n"/>
      <c r="CL271" s="3" t="n"/>
      <c r="CM271" s="3" t="n"/>
      <c r="CN271" s="3" t="n"/>
      <c r="CO271" s="3" t="n"/>
      <c r="CP271" s="3" t="n"/>
      <c r="CQ271" s="3" t="n"/>
      <c r="CR271" s="3" t="n"/>
      <c r="CS271" s="3" t="n"/>
      <c r="CT271" s="3" t="n"/>
      <c r="CU271" s="3" t="n"/>
      <c r="CV271" s="3" t="n"/>
      <c r="CW271" s="3" t="n"/>
      <c r="CX271" s="3" t="n"/>
      <c r="CY271" s="3" t="n"/>
    </row>
    <row r="272">
      <c r="C272" s="10" t="inlineStr">
        <is>
          <t>Net Income</t>
        </is>
      </c>
      <c r="D272" s="12" t="n"/>
      <c r="E272" s="12" t="n"/>
      <c r="F272" s="12" t="n"/>
      <c r="G272" s="12" t="n"/>
      <c r="H272" s="12" t="n"/>
      <c r="I272" s="12" t="n"/>
      <c r="J272" s="12">
        <f>J132</f>
        <v>1390.2</v>
      </c>
      <c r="K272" s="12">
        <f>K132</f>
        <v>1110.1</v>
      </c>
      <c r="L272" s="12">
        <f>L132</f>
        <v>1726.1</v>
      </c>
      <c r="M272" s="12" t="n"/>
      <c r="N272" s="12">
        <f>N132</f>
        <v>1902.9</v>
      </c>
      <c r="O272" s="12">
        <f>O132</f>
        <v>952.5</v>
      </c>
      <c r="P272" s="12">
        <f>P132</f>
        <v>1451.7</v>
      </c>
      <c r="Q272" s="12">
        <f>Q132</f>
        <v>1937.7</v>
      </c>
      <c r="R272" s="12">
        <f>SUM(N272:Q272)</f>
        <v>6244.8</v>
      </c>
      <c r="S272" s="12">
        <f>S132</f>
        <v>1344.9</v>
      </c>
      <c r="T272" s="12">
        <f>T132</f>
        <v>1763.2</v>
      </c>
      <c r="U272" s="12">
        <f>U132</f>
        <v>-57.4000000000001</v>
      </c>
      <c r="V272" s="12">
        <f>V132</f>
        <v>2189.7</v>
      </c>
      <c r="W272" s="12">
        <f>SUM(S272:V272)</f>
        <v>5240.4</v>
      </c>
      <c r="X272" s="12">
        <f>X132</f>
        <v>2242.9</v>
      </c>
      <c r="Y272" s="12">
        <f>Y132</f>
        <v>2967</v>
      </c>
      <c r="Z272" s="12">
        <f>Z132</f>
        <v>970.3</v>
      </c>
      <c r="AA272" s="12">
        <f>AA132</f>
        <v>4409.8</v>
      </c>
      <c r="AB272" s="12">
        <f>SUM(X272:AA272)</f>
        <v>10590</v>
      </c>
      <c r="AC272" s="12">
        <f>AC132</f>
        <v>2759</v>
      </c>
      <c r="AD272" s="12">
        <f>AD132</f>
        <v>5661</v>
      </c>
      <c r="AE272" s="12">
        <f>AE132</f>
        <v>5582.5</v>
      </c>
      <c r="AF272" s="12">
        <f>AF132</f>
        <v>6637.7</v>
      </c>
      <c r="AG272" s="12">
        <f>SUM(AC272:AF272)</f>
        <v>20640.2</v>
      </c>
      <c r="AH272" s="12">
        <f>AH132</f>
        <v>7396</v>
      </c>
      <c r="AI272" s="12">
        <f>AI132</f>
        <v>7095</v>
      </c>
      <c r="AJ272" s="12">
        <f>AJ132</f>
        <v>8600.11720081626</v>
      </c>
      <c r="AK272" s="12">
        <f>AK132</f>
        <v>9426.47271931658</v>
      </c>
      <c r="AL272" s="12">
        <f>SUM(AH272:AK272)</f>
        <v>32517.5899201328</v>
      </c>
      <c r="AM272" s="12">
        <f>AM132</f>
        <v>9674.20347137409</v>
      </c>
      <c r="AN272" s="12">
        <f>AN132</f>
        <v>11225.5745518131</v>
      </c>
      <c r="AO272" s="12">
        <f>AO132</f>
        <v>12648.6911515079</v>
      </c>
      <c r="AP272" s="12">
        <f>AP132</f>
        <v>13864.0601390215</v>
      </c>
      <c r="AQ272" s="12">
        <f>SUM(AM272:AP272)</f>
        <v>47412.5293137166</v>
      </c>
      <c r="AR272" s="12">
        <f>AR132</f>
        <v>14180.0411064502</v>
      </c>
      <c r="AS272" s="12">
        <f>AS132</f>
        <v>16453.9756745082</v>
      </c>
      <c r="AT272" s="12">
        <f>AT132</f>
        <v>18539.9202117153</v>
      </c>
      <c r="AU272" s="12">
        <f>AU132</f>
        <v>20321.3570249313</v>
      </c>
      <c r="AV272" s="12">
        <f>SUM(AR272:AU272)</f>
        <v>69495.294017605</v>
      </c>
      <c r="AW272" s="12">
        <f>AW132</f>
        <v>20713.6084494277</v>
      </c>
      <c r="AX272" s="12">
        <f>AX132</f>
        <v>24035.2765552377</v>
      </c>
      <c r="AY272" s="12">
        <f>AY132</f>
        <v>27082.3367200546</v>
      </c>
      <c r="AZ272" s="12">
        <f>AZ132</f>
        <v>29684.5847917875</v>
      </c>
      <c r="BA272" s="12">
        <f>SUM(AW272:AZ272)</f>
        <v>101515.806516507</v>
      </c>
      <c r="BB272" s="12">
        <f>BB132</f>
        <v>30154.0011548572</v>
      </c>
      <c r="BC272" s="12">
        <f>BC132</f>
        <v>34989.546064533</v>
      </c>
      <c r="BD272" s="12">
        <f>BD132</f>
        <v>39425.3282679639</v>
      </c>
      <c r="BE272" s="12">
        <f>BE132</f>
        <v>43213.5717095564</v>
      </c>
      <c r="BF272" s="12">
        <f>SUM(BB272:BE272)</f>
        <v>147782.44719691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>
      <c r="C273" s="10" t="inlineStr">
        <is>
          <t>Depreciation &amp; amortization</t>
        </is>
      </c>
      <c r="D273" s="12" t="n"/>
      <c r="E273" s="12" t="n"/>
      <c r="F273" s="12" t="n"/>
      <c r="G273" s="12" t="n"/>
      <c r="H273" s="12" t="n"/>
      <c r="I273" s="12" t="n"/>
      <c r="J273" s="12">
        <f>-J65</f>
        <v>369.3</v>
      </c>
      <c r="K273" s="12">
        <f>-K65</f>
        <v>382.3</v>
      </c>
      <c r="L273" s="12">
        <f>-L65</f>
        <v>445.7</v>
      </c>
      <c r="M273" s="12" t="n"/>
      <c r="N273" s="12">
        <f>-N65</f>
        <v>435.7</v>
      </c>
      <c r="O273" s="12">
        <f>-O65</f>
        <v>348.9</v>
      </c>
      <c r="P273" s="12">
        <f>-P65</f>
        <v>362.9</v>
      </c>
      <c r="Q273" s="12">
        <f>-Q65</f>
        <v>375</v>
      </c>
      <c r="R273" s="12">
        <f>SUM(N273:Q273)</f>
        <v>1522.5</v>
      </c>
      <c r="S273" s="12">
        <f>-S65</f>
        <v>362.3</v>
      </c>
      <c r="T273" s="12">
        <f>-T65</f>
        <v>366.3</v>
      </c>
      <c r="U273" s="12">
        <f>-U65</f>
        <v>411</v>
      </c>
      <c r="V273" s="12">
        <f>-V65</f>
        <v>387.7</v>
      </c>
      <c r="W273" s="12">
        <f>SUM(S273:V273)</f>
        <v>1527.3</v>
      </c>
      <c r="X273" s="12">
        <f>-X65</f>
        <v>400.6</v>
      </c>
      <c r="Y273" s="12">
        <f>-Y65</f>
        <v>414.4</v>
      </c>
      <c r="Z273" s="12">
        <f>-Z65</f>
        <v>466.8</v>
      </c>
      <c r="AA273" s="12">
        <f>-AA65</f>
        <v>484.8</v>
      </c>
      <c r="AB273" s="12">
        <f>SUM(X273:AA273)</f>
        <v>1766.6</v>
      </c>
      <c r="AC273" s="12">
        <f>-AC65</f>
        <v>462.8</v>
      </c>
      <c r="AD273" s="12">
        <f>-AD65</f>
        <v>478.5</v>
      </c>
      <c r="AE273" s="12">
        <f>-AE65</f>
        <v>470</v>
      </c>
      <c r="AF273" s="12">
        <f>-AF65</f>
        <v>585.7</v>
      </c>
      <c r="AG273" s="12">
        <f>SUM(AC273:AF273)</f>
        <v>1997</v>
      </c>
      <c r="AH273" s="12">
        <f>-AH65</f>
        <v>509</v>
      </c>
      <c r="AI273" s="12">
        <f>-AI65</f>
        <v>534</v>
      </c>
      <c r="AJ273" s="12">
        <f>-AJ65</f>
        <v>746.950739349365</v>
      </c>
      <c r="AK273" s="12">
        <f>-AK65</f>
        <v>818.72265257988</v>
      </c>
      <c r="AL273" s="12">
        <f>SUM(AH273:AK273)</f>
        <v>2608.67339192925</v>
      </c>
      <c r="AM273" s="12">
        <f>-AM65</f>
        <v>840.238948705632</v>
      </c>
      <c r="AN273" s="12">
        <f>-AN65</f>
        <v>974.981039828435</v>
      </c>
      <c r="AO273" s="12">
        <f>-AO65</f>
        <v>1098.58377354716</v>
      </c>
      <c r="AP273" s="12">
        <f>-AP65</f>
        <v>1204.14288891822</v>
      </c>
      <c r="AQ273" s="12">
        <f>SUM(AM273:AP273)</f>
        <v>4117.94665099945</v>
      </c>
      <c r="AR273" s="12">
        <f>-AR65</f>
        <v>1231.58695877564</v>
      </c>
      <c r="AS273" s="12">
        <f>-AS65</f>
        <v>1429.08625642263</v>
      </c>
      <c r="AT273" s="12">
        <f>-AT65</f>
        <v>1610.25795186891</v>
      </c>
      <c r="AU273" s="12">
        <f>-AU65</f>
        <v>1764.98206942042</v>
      </c>
      <c r="AV273" s="12">
        <f>SUM(AR273:AU273)</f>
        <v>6035.9132364876</v>
      </c>
      <c r="AW273" s="12">
        <f>-AW65</f>
        <v>1799.05049950072</v>
      </c>
      <c r="AX273" s="12">
        <f>-AX65</f>
        <v>2087.54917801554</v>
      </c>
      <c r="AY273" s="12">
        <f>-AY65</f>
        <v>2352.19718103763</v>
      </c>
      <c r="AZ273" s="12">
        <f>-AZ65</f>
        <v>2578.2116731386</v>
      </c>
      <c r="BA273" s="12">
        <f>SUM(AW273:AZ273)</f>
        <v>8817.0085316925</v>
      </c>
      <c r="BB273" s="12">
        <f>-BB65</f>
        <v>2618.98215233909</v>
      </c>
      <c r="BC273" s="12">
        <f>-BC65</f>
        <v>3038.96641082066</v>
      </c>
      <c r="BD273" s="12">
        <f>-BD65</f>
        <v>3424.22985771078</v>
      </c>
      <c r="BE273" s="12">
        <f>-BE65</f>
        <v>3753.25226211061</v>
      </c>
      <c r="BF273" s="12">
        <f>SUM(BB273:BE273)</f>
        <v>12835.4306829811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>
      <c r="C274" s="10" t="inlineStr">
        <is>
          <t xml:space="preserve">Changes in working capital </t>
        </is>
      </c>
      <c r="D274" s="12" t="n"/>
      <c r="E274" s="12" t="n"/>
      <c r="F274" s="12" t="n"/>
      <c r="G274" s="12" t="n"/>
      <c r="H274" s="12" t="n"/>
      <c r="I274" s="12" t="n"/>
      <c r="J274" s="12">
        <f>SUM(J275:J284)</f>
        <v>765.9</v>
      </c>
      <c r="K274" s="12">
        <f>SUM(K275:K284)</f>
        <v>-1329.9</v>
      </c>
      <c r="L274" s="12">
        <f>SUM(L275:L284)</f>
        <v>1072.1</v>
      </c>
      <c r="M274" s="12" t="n"/>
      <c r="N274" s="12">
        <f>SUM(N275:N284)</f>
        <v>-1760.1</v>
      </c>
      <c r="O274" s="12">
        <f>SUM(O275:O284)</f>
        <v>1156</v>
      </c>
      <c r="P274" s="12">
        <f>SUM(P275:P284)</f>
        <v>-812.900000000001</v>
      </c>
      <c r="Q274" s="12">
        <f>SUM(Q275:Q284)</f>
        <v>310.800000000001</v>
      </c>
      <c r="R274" s="12">
        <f>SUM(N274:Q274)</f>
        <v>-1106.2</v>
      </c>
      <c r="S274" s="12">
        <f>SUM(S275:S284)</f>
        <v>-1650.7</v>
      </c>
      <c r="T274" s="12">
        <f>SUM(T275:T284)</f>
        <v>486.900000000001</v>
      </c>
      <c r="U274" s="12">
        <f>SUM(U275:U284)</f>
        <v>-1279.4</v>
      </c>
      <c r="V274" s="12">
        <f>SUM(V275:V284)</f>
        <v>-2553.5</v>
      </c>
      <c r="W274" s="12">
        <f>SUM(S274:V274)</f>
        <v>-4996.7</v>
      </c>
      <c r="X274" s="12">
        <f>SUM(X275:X284)</f>
        <v>-3401.9</v>
      </c>
      <c r="Y274" s="12">
        <f>SUM(Y275:Y284)</f>
        <v>-246.200000000001</v>
      </c>
      <c r="Z274" s="12">
        <f>SUM(Z275:Z284)</f>
        <v>-1153.2</v>
      </c>
      <c r="AA274" s="12">
        <f>SUM(AA275:AA284)</f>
        <v>-1368.4</v>
      </c>
      <c r="AB274" s="12">
        <f>SUM(X274:AA274)</f>
        <v>-6169.7</v>
      </c>
      <c r="AC274" s="12">
        <f>SUM(AC275:AC284)</f>
        <v>-6504.4</v>
      </c>
      <c r="AD274" s="12">
        <f>SUM(AD275:AD284)</f>
        <v>-1877.2</v>
      </c>
      <c r="AE274" s="12">
        <f>SUM(AE275:AE284)</f>
        <v>-173.400000000005</v>
      </c>
      <c r="AF274" s="12">
        <f>SUM(AF275:AF284)</f>
        <v>-2114.4</v>
      </c>
      <c r="AG274" s="12">
        <f>SUM(AC274:AF274)</f>
        <v>-10669.4</v>
      </c>
      <c r="AH274" s="12">
        <f>SUM(AH275:AH284)</f>
        <v>-3542</v>
      </c>
      <c r="AI274" s="12">
        <f>SUM(AI275:AI284)</f>
        <v>3210</v>
      </c>
      <c r="AJ274" s="12">
        <f>SUM(AJ275:AJ284)</f>
        <v>-3596.39441569464</v>
      </c>
      <c r="AK274" s="12">
        <f>SUM(AK275:AK284)</f>
        <v>-2138.01809295025</v>
      </c>
      <c r="AL274" s="12">
        <f>SUM(AH274:AK274)</f>
        <v>-6066.41250864489</v>
      </c>
      <c r="AM274" s="12">
        <f>SUM(AM275:AM284)</f>
        <v>-63.3143122777819</v>
      </c>
      <c r="AN274" s="12">
        <f>SUM(AN275:AN284)</f>
        <v>-3283.0099819781</v>
      </c>
      <c r="AO274" s="12">
        <f>SUM(AO275:AO284)</f>
        <v>-1360.37962160128</v>
      </c>
      <c r="AP274" s="12">
        <f>SUM(AP275:AP284)</f>
        <v>849.538078318024</v>
      </c>
      <c r="AQ274" s="12">
        <f>SUM(AM274:AP274)</f>
        <v>-3857.16583753914</v>
      </c>
      <c r="AR274" s="12">
        <f>SUM(AR275:AR284)</f>
        <v>6544.66539887312</v>
      </c>
      <c r="AS274" s="12">
        <f>SUM(AS275:AS284)</f>
        <v>3012.7082091944</v>
      </c>
      <c r="AT274" s="12">
        <f>SUM(AT275:AT284)</f>
        <v>10411.3478155885</v>
      </c>
      <c r="AU274" s="12">
        <f>SUM(AU275:AU284)</f>
        <v>19399.4105794734</v>
      </c>
      <c r="AV274" s="12">
        <f>SUM(AR274:AU274)</f>
        <v>39368.1320031294</v>
      </c>
      <c r="AW274" s="12">
        <f>SUM(AW275:AW284)</f>
        <v>35214.1270844722</v>
      </c>
      <c r="AX274" s="12">
        <f>SUM(AX275:AX284)</f>
        <v>43742.5787404937</v>
      </c>
      <c r="AY274" s="12">
        <f>SUM(AY275:AY284)</f>
        <v>71195.0538924399</v>
      </c>
      <c r="AZ274" s="12">
        <f>SUM(AZ275:AZ284)</f>
        <v>109987.703863115</v>
      </c>
      <c r="BA274" s="12">
        <f>SUM(AW274:AZ274)</f>
        <v>260139.46358052</v>
      </c>
      <c r="BB274" s="12">
        <f>SUM(BB275:BB284)</f>
        <v>169649.623796859</v>
      </c>
      <c r="BC274" s="12">
        <f>SUM(BC275:BC284)</f>
        <v>235133.275052548</v>
      </c>
      <c r="BD274" s="12">
        <f>SUM(BD275:BD284)</f>
        <v>352827.74542535</v>
      </c>
      <c r="BE274" s="12">
        <f>SUM(BE275:BE284)</f>
        <v>522267.362933383</v>
      </c>
      <c r="BF274" s="12">
        <f>SUM(BB274:BE274)</f>
        <v>1279878.00720814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Accounts receivable</t>
        </is>
      </c>
      <c r="D275" s="12" t="n"/>
      <c r="E275" s="12" t="n"/>
      <c r="F275" s="12" t="n"/>
      <c r="G275" s="12" t="n"/>
      <c r="H275" s="12" t="n"/>
      <c r="I275" s="12" t="n"/>
      <c r="J275" s="12">
        <f>(J140-I140)*-1</f>
        <v>-236.599999999999</v>
      </c>
      <c r="K275" s="12">
        <f>(K140-J140)*-1</f>
        <v>-84.9000000000006</v>
      </c>
      <c r="L275" s="12">
        <f>(L140-K140)*-1</f>
        <v>-758.5</v>
      </c>
      <c r="M275" s="12" t="n"/>
      <c r="N275" s="12">
        <f>(N140-M140)*-1</f>
        <v>350.3</v>
      </c>
      <c r="O275" s="12">
        <f>(O140-N140)*-1</f>
        <v>-42</v>
      </c>
      <c r="P275" s="12">
        <f>(P140-O140)*-1</f>
        <v>-350.8</v>
      </c>
      <c r="Q275" s="12">
        <f>(Q140-P140)*-1</f>
        <v>-180.7</v>
      </c>
      <c r="R275" s="12">
        <f>SUM(N275:Q275)</f>
        <v>-223.2</v>
      </c>
      <c r="S275" s="12">
        <f>(S140-R140)*-1</f>
        <v>-630.2</v>
      </c>
      <c r="T275" s="12">
        <f>(T140-S140)*-1</f>
        <v>10.0999999999995</v>
      </c>
      <c r="U275" s="12">
        <f>(U140-T140)*-1</f>
        <v>-651</v>
      </c>
      <c r="V275" s="12">
        <f>(V140-U140)*-1</f>
        <v>-923.4</v>
      </c>
      <c r="W275" s="12">
        <f>SUM(S275:V275)</f>
        <v>-2194.5</v>
      </c>
      <c r="X275" s="12">
        <f>(X140-W140)*-1</f>
        <v>1204.9</v>
      </c>
      <c r="Y275" s="12">
        <f>(Y140-X140)*-1</f>
        <v>-3142.3</v>
      </c>
      <c r="Z275" s="12">
        <f>(Z140-Y140)*-1</f>
        <v>733.1</v>
      </c>
      <c r="AA275" s="12">
        <f>(AA140-Z140)*-1</f>
        <v>-710.900000000002</v>
      </c>
      <c r="AB275" s="12">
        <f>SUM(X275:AA275)</f>
        <v>-1915.2</v>
      </c>
      <c r="AC275" s="12">
        <f>(AC140-AB140)*-1</f>
        <v>-1030.9</v>
      </c>
      <c r="AD275" s="12">
        <f>(AD140-AC140)*-1</f>
        <v>-2133.8</v>
      </c>
      <c r="AE275" s="12">
        <f>(AE140-AD140)*-1</f>
        <v>-1937</v>
      </c>
      <c r="AF275" s="12">
        <f>(AF140-AE140)*-1</f>
        <v>-1652.6</v>
      </c>
      <c r="AG275" s="12">
        <f>SUM(AC275:AF275)</f>
        <v>-6754.3</v>
      </c>
      <c r="AH275" s="12">
        <f>(AH140-AG140)*-1</f>
        <v>-669</v>
      </c>
      <c r="AI275" s="12">
        <f>(AI140-AH140)*-1</f>
        <v>-1654</v>
      </c>
      <c r="AJ275" s="12">
        <f>(AJ140-AI140)*-1</f>
        <v>-3374.19458981488</v>
      </c>
      <c r="AK275" s="12">
        <f>(AK140-AJ140)*-1</f>
        <v>-2253.92070191667</v>
      </c>
      <c r="AL275" s="12">
        <f>SUM(AH275:AK275)</f>
        <v>-7951.11529173155</v>
      </c>
      <c r="AM275" s="12">
        <f>(AM140-AL140)*-1</f>
        <v>-1262.07001986068</v>
      </c>
      <c r="AN275" s="12">
        <f>(AN140-AM140)*-1</f>
        <v>-3981.52288011174</v>
      </c>
      <c r="AO275" s="12">
        <f>(AO140-AN140)*-1</f>
        <v>-3545.14834737068</v>
      </c>
      <c r="AP275" s="12">
        <f>(AP140-AO140)*-1</f>
        <v>-3314.97189780482</v>
      </c>
      <c r="AQ275" s="12">
        <f>SUM(AM275:AP275)</f>
        <v>-12103.7131451479</v>
      </c>
      <c r="AR275" s="12">
        <f>(AR140-AQ140)*-1</f>
        <v>-1286.87032878745</v>
      </c>
      <c r="AS275" s="12">
        <f>(AS140-AR140)*-1</f>
        <v>-6270.41232289471</v>
      </c>
      <c r="AT275" s="12">
        <f>(AT140-AS140)*-1</f>
        <v>-5196.3295420579</v>
      </c>
      <c r="AU275" s="12">
        <f>(AU140-AT140)*-1</f>
        <v>-4858.94657029815</v>
      </c>
      <c r="AV275" s="12">
        <f>SUM(AR275:AU275)</f>
        <v>-17612.5587640382</v>
      </c>
      <c r="AW275" s="12">
        <f>(AW140-AV140)*-1</f>
        <v>-2325.37775088433</v>
      </c>
      <c r="AX275" s="12">
        <f>(AX140-AW140)*-1</f>
        <v>-8524.90917883893</v>
      </c>
      <c r="AY275" s="12">
        <f>(AY140-AX140)*-1</f>
        <v>-7590.57993558426</v>
      </c>
      <c r="AZ275" s="12">
        <f>(AZ140-AY140)*-1</f>
        <v>-7097.7450614063</v>
      </c>
      <c r="BA275" s="12">
        <f>SUM(AW275:AZ275)</f>
        <v>-25538.6119267138</v>
      </c>
      <c r="BB275" s="12">
        <f>(BB140-BA140)*-1</f>
        <v>-3108.05032177534</v>
      </c>
      <c r="BC275" s="12">
        <f>(BC140-BB140)*-1</f>
        <v>-12410.2047140349</v>
      </c>
      <c r="BD275" s="12">
        <f>(BD140-BC140)*-1</f>
        <v>-11050.0474459808</v>
      </c>
      <c r="BE275" s="12">
        <f>(BE140-BD140)*-1</f>
        <v>-10332.5991365083</v>
      </c>
      <c r="BF275" s="12">
        <f>SUM(BB275:BE275)</f>
        <v>-36900.9016182994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Inventories</t>
        </is>
      </c>
      <c r="D276" s="12" t="n"/>
      <c r="E276" s="12" t="n"/>
      <c r="F276" s="12" t="n"/>
      <c r="G276" s="12" t="n"/>
      <c r="H276" s="12" t="n"/>
      <c r="I276" s="12" t="n"/>
      <c r="J276" s="12">
        <f>(J144-I144)*-1</f>
        <v>-164.1</v>
      </c>
      <c r="K276" s="12">
        <f>(K144-J144)*-1</f>
        <v>-82.5</v>
      </c>
      <c r="L276" s="12">
        <f>(L144-K144)*-1</f>
        <v>21.4000000000001</v>
      </c>
      <c r="M276" s="12" t="n"/>
      <c r="N276" s="12">
        <f>(N144-M144)*-1</f>
        <v>-7</v>
      </c>
      <c r="O276" s="12">
        <f>(O144-N144)*-1</f>
        <v>-6.40000000000009</v>
      </c>
      <c r="P276" s="12">
        <f>(P144-O144)*-1</f>
        <v>68.3000000000002</v>
      </c>
      <c r="Q276" s="12">
        <f>(Q144-P144)*-1</f>
        <v>-478.6</v>
      </c>
      <c r="R276" s="12">
        <f>SUM(N276:Q276)</f>
        <v>-423.7</v>
      </c>
      <c r="S276" s="12">
        <f>(S144-R144)*-1</f>
        <v>-235.1</v>
      </c>
      <c r="T276" s="12">
        <f>(T144-S144)*-1</f>
        <v>-253.9</v>
      </c>
      <c r="U276" s="12">
        <f>(U144-T144)*-1</f>
        <v>-102.7</v>
      </c>
      <c r="V276" s="12">
        <f>(V144-U144)*-1</f>
        <v>-871.400000000001</v>
      </c>
      <c r="W276" s="12">
        <f>SUM(S276:V276)</f>
        <v>-1463.1</v>
      </c>
      <c r="X276" s="12">
        <f>(X144-W144)*-1</f>
        <v>-329</v>
      </c>
      <c r="Y276" s="12">
        <f>(Y144-X144)*-1</f>
        <v>-379.7</v>
      </c>
      <c r="Z276" s="12">
        <f>(Z144-Y144)*-1</f>
        <v>-978.3</v>
      </c>
      <c r="AA276" s="12">
        <f>(AA144-Z144)*-1</f>
        <v>-129.4</v>
      </c>
      <c r="AB276" s="12">
        <f>SUM(X276:AA276)</f>
        <v>-1816.4</v>
      </c>
      <c r="AC276" s="12">
        <f>(AC144-AB144)*-1</f>
        <v>-1721.8</v>
      </c>
      <c r="AD276" s="12">
        <f>(AD144-AC144)*-1</f>
        <v>-1702.8</v>
      </c>
      <c r="AE276" s="12">
        <f>(AE144-AD144)*-1</f>
        <v>-1166.6</v>
      </c>
      <c r="AF276" s="12">
        <f>(AF144-AE144)*-1</f>
        <v>-1563.6</v>
      </c>
      <c r="AG276" s="12">
        <f>SUM(AC276:AF276)</f>
        <v>-6154.8</v>
      </c>
      <c r="AH276" s="12">
        <f>(AH144-AG144)*-1</f>
        <v>-785</v>
      </c>
      <c r="AI276" s="12">
        <f>(AI144-AH144)*-1</f>
        <v>-2264</v>
      </c>
      <c r="AJ276" s="12">
        <f>(AJ144-AI144)*-1</f>
        <v>-1719.20436227118</v>
      </c>
      <c r="AK276" s="12">
        <f>(AK144-AJ144)*-1</f>
        <v>-1778.77369309765</v>
      </c>
      <c r="AL276" s="12">
        <f>SUM(AH276:AK276)</f>
        <v>-6546.97805536883</v>
      </c>
      <c r="AM276" s="12">
        <f>(AM144-AL144)*-1</f>
        <v>-996.014166898756</v>
      </c>
      <c r="AN276" s="12">
        <f>(AN144-AM144)*-1</f>
        <v>-3142.18160008319</v>
      </c>
      <c r="AO276" s="12">
        <f>(AO144-AN144)*-1</f>
        <v>-2797.79879259687</v>
      </c>
      <c r="AP276" s="12">
        <f>(AP144-AO144)*-1</f>
        <v>-2616.14563465294</v>
      </c>
      <c r="AQ276" s="12">
        <f>SUM(AM276:AP276)</f>
        <v>-9552.14019423176</v>
      </c>
      <c r="AR276" s="12">
        <f>(AR144-AQ144)*-1</f>
        <v>-1015.58634486497</v>
      </c>
      <c r="AS276" s="12">
        <f>(AS144-AR144)*-1</f>
        <v>-4948.55230503703</v>
      </c>
      <c r="AT276" s="12">
        <f>(AT144-AS144)*-1</f>
        <v>-4100.89595530964</v>
      </c>
      <c r="AU276" s="12">
        <f>(AU144-AT144)*-1</f>
        <v>-3834.63638630394</v>
      </c>
      <c r="AV276" s="12">
        <f>SUM(AR276:AU276)</f>
        <v>-13899.6709915156</v>
      </c>
      <c r="AW276" s="12">
        <f>(AW144-AV144)*-1</f>
        <v>-1835.16694543433</v>
      </c>
      <c r="AX276" s="12">
        <f>(AX144-AW144)*-1</f>
        <v>-6727.78069364658</v>
      </c>
      <c r="AY276" s="12">
        <f>(AY144-AX144)*-1</f>
        <v>-5990.41656314281</v>
      </c>
      <c r="AZ276" s="12">
        <f>(AZ144-AY144)*-1</f>
        <v>-5601.47576833874</v>
      </c>
      <c r="BA276" s="12">
        <f>SUM(AW276:AZ276)</f>
        <v>-20154.8399705625</v>
      </c>
      <c r="BB276" s="12">
        <f>(BB144-BA144)*-1</f>
        <v>-2452.84501113829</v>
      </c>
      <c r="BC276" s="12">
        <f>(BC144-BB144)*-1</f>
        <v>-9794.02054939639</v>
      </c>
      <c r="BD276" s="12">
        <f>(BD144-BC144)*-1</f>
        <v>-8720.59681943417</v>
      </c>
      <c r="BE276" s="12">
        <f>(BE144-BD144)*-1</f>
        <v>-8154.39314689073</v>
      </c>
      <c r="BF276" s="12">
        <f>SUM(BB276:BE276)</f>
        <v>-29121.8555268596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Deferred income taxes</t>
        </is>
      </c>
      <c r="D277" s="12" t="n"/>
      <c r="E277" s="12" t="n"/>
      <c r="F277" s="12" t="n"/>
      <c r="G277" s="12" t="n"/>
      <c r="H277" s="12" t="n"/>
      <c r="I277" s="12" t="n"/>
      <c r="J277" s="12">
        <f>(J148-I148)*-1</f>
        <v>-25</v>
      </c>
      <c r="K277" s="12">
        <f>(K148-J148)*-1</f>
        <v>49.3000000000002</v>
      </c>
      <c r="L277" s="12">
        <f>(L148-K148)*-1</f>
        <v>136.3</v>
      </c>
      <c r="M277" s="12" t="n"/>
      <c r="N277" s="12">
        <f>(N148-M148)*-1</f>
        <v>24.4000000000001</v>
      </c>
      <c r="O277" s="12">
        <f>(O148-N148)*-1</f>
        <v>93</v>
      </c>
      <c r="P277" s="12">
        <f>(P148-O148)*-1</f>
        <v>-12.4000000000001</v>
      </c>
      <c r="Q277" s="12">
        <f>(Q148-P148)*-1</f>
        <v>-408.6</v>
      </c>
      <c r="R277" s="12">
        <f>SUM(N277:Q277)</f>
        <v>-303.6</v>
      </c>
      <c r="S277" s="12">
        <f>(S148-R148)*-1</f>
        <v>-613.8</v>
      </c>
      <c r="T277" s="12">
        <f>(T148-S148)*-1</f>
        <v>-399.2</v>
      </c>
      <c r="U277" s="12">
        <f>(U148-T148)*-1</f>
        <v>-768.9</v>
      </c>
      <c r="V277" s="12">
        <f>(V148-U148)*-1</f>
        <v>-902.5</v>
      </c>
      <c r="W277" s="12">
        <f>SUM(S277:V277)</f>
        <v>-2684.4</v>
      </c>
      <c r="X277" s="12">
        <f>(X148-W148)*-1</f>
        <v>-156.599999999999</v>
      </c>
      <c r="Y277" s="12">
        <f>(Y148-X148)*-1</f>
        <v>-1021.4</v>
      </c>
      <c r="Z277" s="12">
        <f>(Z148-Y148)*-1</f>
        <v>-737</v>
      </c>
      <c r="AA277" s="12">
        <f>(AA148-Z148)*-1</f>
        <v>-608.3</v>
      </c>
      <c r="AB277" s="12">
        <f>SUM(X277:AA277)</f>
        <v>-2523.3</v>
      </c>
      <c r="AC277" s="12">
        <f>(AC148-AB148)*-1</f>
        <v>-572.6</v>
      </c>
      <c r="AD277" s="12">
        <f>(AD148-AC148)*-1</f>
        <v>-854.199999999999</v>
      </c>
      <c r="AE277" s="12">
        <f>(AE148-AD148)*-1</f>
        <v>464.699999999999</v>
      </c>
      <c r="AF277" s="12">
        <f>(AF148-AE148)*-1</f>
        <v>-996.299999999999</v>
      </c>
      <c r="AG277" s="12">
        <f>SUM(AC277:AF277)</f>
        <v>-1958.4</v>
      </c>
      <c r="AH277" s="12">
        <f>(AH148-AG148)*-1</f>
        <v>-1391</v>
      </c>
      <c r="AI277" s="12">
        <f>(AI148-AH148)*-1</f>
        <v>1322</v>
      </c>
      <c r="AJ277" s="12">
        <f>(AJ148-AI148)*-1</f>
        <v>0</v>
      </c>
      <c r="AK277" s="12">
        <f>(AK148-AJ148)*-1</f>
        <v>0</v>
      </c>
      <c r="AL277" s="12">
        <f>SUM(AH277:AK277)</f>
        <v>-69</v>
      </c>
      <c r="AM277" s="12">
        <f>(AM148-AL148)*-1</f>
        <v>0</v>
      </c>
      <c r="AN277" s="12">
        <f>(AN148-AM148)*-1</f>
        <v>0</v>
      </c>
      <c r="AO277" s="12">
        <f>(AO148-AN148)*-1</f>
        <v>0</v>
      </c>
      <c r="AP277" s="12">
        <f>(AP148-AO148)*-1</f>
        <v>0</v>
      </c>
      <c r="AQ277" s="12">
        <f>SUM(AM277:AP277)</f>
        <v>0</v>
      </c>
      <c r="AR277" s="12">
        <f>(AR148-AQ148)*-1</f>
        <v>0</v>
      </c>
      <c r="AS277" s="12">
        <f>(AS148-AR148)*-1</f>
        <v>0</v>
      </c>
      <c r="AT277" s="12">
        <f>(AT148-AS148)*-1</f>
        <v>0</v>
      </c>
      <c r="AU277" s="12">
        <f>(AU148-AT148)*-1</f>
        <v>0</v>
      </c>
      <c r="AV277" s="12">
        <f>SUM(AR277:AU277)</f>
        <v>0</v>
      </c>
      <c r="AW277" s="12">
        <f>(AW148-AV148)*-1</f>
        <v>0</v>
      </c>
      <c r="AX277" s="12">
        <f>(AX148-AW148)*-1</f>
        <v>0</v>
      </c>
      <c r="AY277" s="12">
        <f>(AY148-AX148)*-1</f>
        <v>0</v>
      </c>
      <c r="AZ277" s="12">
        <f>(AZ148-AY148)*-1</f>
        <v>0</v>
      </c>
      <c r="BA277" s="12">
        <f>SUM(AW277:AZ277)</f>
        <v>0</v>
      </c>
      <c r="BB277" s="12">
        <f>(BB148-BA148)*-1</f>
        <v>0</v>
      </c>
      <c r="BC277" s="12">
        <f>(BC148-BB148)*-1</f>
        <v>0</v>
      </c>
      <c r="BD277" s="12">
        <f>(BD148-BC148)*-1</f>
        <v>0</v>
      </c>
      <c r="BE277" s="12">
        <f>(BE148-BD148)*-1</f>
        <v>0</v>
      </c>
      <c r="BF277" s="12">
        <f>SUM(BB277:BE277)</f>
        <v>0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Prepaid expenses</t>
        </is>
      </c>
      <c r="D278" s="12" t="n"/>
      <c r="E278" s="12" t="n"/>
      <c r="F278" s="12" t="n"/>
      <c r="G278" s="12" t="n"/>
      <c r="H278" s="12" t="n"/>
      <c r="I278" s="12" t="n"/>
      <c r="J278" s="12">
        <f>(J149-I149)*-1</f>
        <v>-62.9000000000001</v>
      </c>
      <c r="K278" s="12">
        <f>(K149-J149)*-1</f>
        <v>246</v>
      </c>
      <c r="L278" s="12">
        <f>(L149-K149)*-1</f>
        <v>520</v>
      </c>
      <c r="M278" s="12" t="n"/>
      <c r="N278" s="12">
        <f>(N149-M149)*-1</f>
        <v>-167.1</v>
      </c>
      <c r="O278" s="12">
        <f>(O149-N149)*-1</f>
        <v>-109</v>
      </c>
      <c r="P278" s="12">
        <f>(P149-O149)*-1</f>
        <v>64.7999999999997</v>
      </c>
      <c r="Q278" s="12">
        <f>(Q149-P149)*-1</f>
        <v>2741.9</v>
      </c>
      <c r="R278" s="12">
        <f>SUM(N278:Q278)</f>
        <v>2530.6</v>
      </c>
      <c r="S278" s="12">
        <f>(S149-R149)*-1</f>
        <v>0</v>
      </c>
      <c r="T278" s="12">
        <f>(T149-S149)*-1</f>
        <v>0</v>
      </c>
      <c r="U278" s="12">
        <f>(U149-T149)*-1</f>
        <v>0</v>
      </c>
      <c r="V278" s="12">
        <f>(V149-U149)*-1</f>
        <v>-5540.8</v>
      </c>
      <c r="W278" s="12">
        <f>SUM(S278:V278)</f>
        <v>-5540.8</v>
      </c>
      <c r="X278" s="12">
        <f>(X149-W149)*-1</f>
        <v>-807.8</v>
      </c>
      <c r="Y278" s="12">
        <f>(Y149-X149)*-1</f>
        <v>-789</v>
      </c>
      <c r="Z278" s="12">
        <f>(Z149-Y149)*-1</f>
        <v>-1113</v>
      </c>
      <c r="AA278" s="12">
        <f>(AA149-Z149)*-1</f>
        <v>-89.8999999999996</v>
      </c>
      <c r="AB278" s="12">
        <f>SUM(X278:AA278)</f>
        <v>-2799.7</v>
      </c>
      <c r="AC278" s="12">
        <f>(AC149-AB149)*-1</f>
        <v>-6313.4</v>
      </c>
      <c r="AD278" s="12">
        <f>(AD149-AC149)*-1</f>
        <v>-3365.9</v>
      </c>
      <c r="AE278" s="12">
        <f>(AE149-AD149)*-1</f>
        <v>-2228.9</v>
      </c>
      <c r="AF278" s="12">
        <f>(AF149-AE149)*-1</f>
        <v>5933.7</v>
      </c>
      <c r="AG278" s="12">
        <f>SUM(AC278:AF278)</f>
        <v>-5974.5</v>
      </c>
      <c r="AH278" s="12">
        <f>(AH149-AG149)*-1</f>
        <v>682</v>
      </c>
      <c r="AI278" s="12">
        <f>(AI149-AH149)*-1</f>
        <v>-1735</v>
      </c>
      <c r="AJ278" s="12">
        <f>(AJ149-AI149)*-1</f>
        <v>0</v>
      </c>
      <c r="AK278" s="12">
        <f>(AK149-AJ149)*-1</f>
        <v>0</v>
      </c>
      <c r="AL278" s="12">
        <f>SUM(AH278:AK278)</f>
        <v>-1053</v>
      </c>
      <c r="AM278" s="12">
        <f>(AM149-AL149)*-1</f>
        <v>0</v>
      </c>
      <c r="AN278" s="12">
        <f>(AN149-AM149)*-1</f>
        <v>0</v>
      </c>
      <c r="AO278" s="12">
        <f>(AO149-AN149)*-1</f>
        <v>0</v>
      </c>
      <c r="AP278" s="12">
        <f>(AP149-AO149)*-1</f>
        <v>0</v>
      </c>
      <c r="AQ278" s="12">
        <f>SUM(AM278:AP278)</f>
        <v>0</v>
      </c>
      <c r="AR278" s="12">
        <f>(AR149-AQ149)*-1</f>
        <v>0</v>
      </c>
      <c r="AS278" s="12">
        <f>(AS149-AR149)*-1</f>
        <v>0</v>
      </c>
      <c r="AT278" s="12">
        <f>(AT149-AS149)*-1</f>
        <v>0</v>
      </c>
      <c r="AU278" s="12">
        <f>(AU149-AT149)*-1</f>
        <v>0</v>
      </c>
      <c r="AV278" s="12">
        <f>SUM(AR278:AU278)</f>
        <v>0</v>
      </c>
      <c r="AW278" s="12">
        <f>(AW149-AV149)*-1</f>
        <v>0</v>
      </c>
      <c r="AX278" s="12">
        <f>(AX149-AW149)*-1</f>
        <v>0</v>
      </c>
      <c r="AY278" s="12">
        <f>(AY149-AX149)*-1</f>
        <v>0</v>
      </c>
      <c r="AZ278" s="12">
        <f>(AZ149-AY149)*-1</f>
        <v>0</v>
      </c>
      <c r="BA278" s="12">
        <f>SUM(AW278:AZ278)</f>
        <v>0</v>
      </c>
      <c r="BB278" s="12">
        <f>(BB149-BA149)*-1</f>
        <v>0</v>
      </c>
      <c r="BC278" s="12">
        <f>(BC149-BB149)*-1</f>
        <v>0</v>
      </c>
      <c r="BD278" s="12">
        <f>(BD149-BC149)*-1</f>
        <v>0</v>
      </c>
      <c r="BE278" s="12">
        <f>(BE149-BD149)*-1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Other current assets</t>
        </is>
      </c>
      <c r="D279" s="12" t="n"/>
      <c r="E279" s="12" t="n"/>
      <c r="F279" s="12" t="n"/>
      <c r="G279" s="12" t="n"/>
      <c r="H279" s="12" t="n"/>
      <c r="I279" s="12" t="n"/>
      <c r="J279" s="12">
        <f>(J150-I150)*-1</f>
        <v>-7.60000000000014</v>
      </c>
      <c r="K279" s="12">
        <f>(K150-J150)*-1</f>
        <v>-37.3</v>
      </c>
      <c r="L279" s="12">
        <f>(L150-K150)*-1</f>
        <v>-343.7</v>
      </c>
      <c r="M279" s="12" t="n"/>
      <c r="N279" s="12">
        <f>(N150-M150)*-1</f>
        <v>-28.8</v>
      </c>
      <c r="O279" s="12">
        <f>(O150-N150)*-1</f>
        <v>175.3</v>
      </c>
      <c r="P279" s="12">
        <f>(P150-O150)*-1</f>
        <v>-301.6</v>
      </c>
      <c r="Q279" s="12">
        <f>(Q150-P150)*-1</f>
        <v>-3007.5</v>
      </c>
      <c r="R279" s="12">
        <f>SUM(N279:Q279)</f>
        <v>-3162.6</v>
      </c>
      <c r="S279" s="12">
        <f>(S150-R150)*-1</f>
        <v>-454.1</v>
      </c>
      <c r="T279" s="12">
        <f>(T150-S150)*-1</f>
        <v>-1116.6</v>
      </c>
      <c r="U279" s="12">
        <f>(U150-T150)*-1</f>
        <v>-1256.9</v>
      </c>
      <c r="V279" s="12">
        <f>(V150-U150)*-1</f>
        <v>5049.4</v>
      </c>
      <c r="W279" s="12">
        <f>SUM(S279:V279)</f>
        <v>2221.8</v>
      </c>
      <c r="X279" s="12">
        <f>(X150-W150)*-1</f>
        <v>128.7</v>
      </c>
      <c r="Y279" s="12">
        <f>(Y150-X150)*-1</f>
        <v>73.1999999999998</v>
      </c>
      <c r="Z279" s="12">
        <f>(Z150-Y150)*-1</f>
        <v>301.8</v>
      </c>
      <c r="AA279" s="12">
        <f>(AA150-Z150)*-1</f>
        <v>-489.6</v>
      </c>
      <c r="AB279" s="12">
        <f>SUM(X279:AA279)</f>
        <v>14.0999999999999</v>
      </c>
      <c r="AC279" s="12">
        <f>(AC150-AB150)*-1</f>
        <v>342.1</v>
      </c>
      <c r="AD279" s="12">
        <f>(AD150-AC150)*-1</f>
        <v>-1065</v>
      </c>
      <c r="AE279" s="12">
        <f>(AE150-AD150)*-1</f>
        <v>-517.3</v>
      </c>
      <c r="AF279" s="12">
        <f>(AF150-AE150)*-1</f>
        <v>1079.3</v>
      </c>
      <c r="AG279" s="12">
        <f>SUM(AC279:AF279)</f>
        <v>-160.9</v>
      </c>
      <c r="AH279" s="12">
        <f>(AH150-AG150)*-1</f>
        <v>-420</v>
      </c>
      <c r="AI279" s="12">
        <f>(AI150-AH150)*-1</f>
        <v>-516</v>
      </c>
      <c r="AJ279" s="12">
        <f>(AJ150-AI150)*-1</f>
        <v>0</v>
      </c>
      <c r="AK279" s="12">
        <f>(AK150-AJ150)*-1</f>
        <v>0</v>
      </c>
      <c r="AL279" s="12">
        <f>SUM(AH279:AK279)</f>
        <v>-936</v>
      </c>
      <c r="AM279" s="12">
        <f>(AM150-AL150)*-1</f>
        <v>0</v>
      </c>
      <c r="AN279" s="12">
        <f>(AN150-AM150)*-1</f>
        <v>0</v>
      </c>
      <c r="AO279" s="12">
        <f>(AO150-AN150)*-1</f>
        <v>0</v>
      </c>
      <c r="AP279" s="12">
        <f>(AP150-AO150)*-1</f>
        <v>0</v>
      </c>
      <c r="AQ279" s="12">
        <f>SUM(AM279:AP279)</f>
        <v>0</v>
      </c>
      <c r="AR279" s="12">
        <f>(AR150-AQ150)*-1</f>
        <v>0</v>
      </c>
      <c r="AS279" s="12">
        <f>(AS150-AR150)*-1</f>
        <v>0</v>
      </c>
      <c r="AT279" s="12">
        <f>(AT150-AS150)*-1</f>
        <v>0</v>
      </c>
      <c r="AU279" s="12">
        <f>(AU150-AT150)*-1</f>
        <v>0</v>
      </c>
      <c r="AV279" s="12">
        <f>SUM(AR279:AU279)</f>
        <v>0</v>
      </c>
      <c r="AW279" s="12">
        <f>(AW150-AV150)*-1</f>
        <v>0</v>
      </c>
      <c r="AX279" s="12">
        <f>(AX150-AW150)*-1</f>
        <v>0</v>
      </c>
      <c r="AY279" s="12">
        <f>(AY150-AX150)*-1</f>
        <v>0</v>
      </c>
      <c r="AZ279" s="12">
        <f>(AZ150-AY150)*-1</f>
        <v>0</v>
      </c>
      <c r="BA279" s="12">
        <f>SUM(AW279:AZ279)</f>
        <v>0</v>
      </c>
      <c r="BB279" s="12">
        <f>(BB150-BA150)*-1</f>
        <v>0</v>
      </c>
      <c r="BC279" s="12">
        <f>(BC150-BB150)*-1</f>
        <v>0</v>
      </c>
      <c r="BD279" s="12">
        <f>(BD150-BC150)*-1</f>
        <v>0</v>
      </c>
      <c r="BE279" s="12">
        <f>(BE150-BD150)*-1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Accounts payable</t>
        </is>
      </c>
      <c r="D280" s="12" t="n"/>
      <c r="E280" s="12" t="n"/>
      <c r="F280" s="12" t="n"/>
      <c r="G280" s="12" t="n"/>
      <c r="H280" s="12" t="n"/>
      <c r="I280" s="12" t="n"/>
      <c r="J280" s="12">
        <f>J193-I193</f>
        <v>-41.8</v>
      </c>
      <c r="K280" s="12">
        <f>K193-J193</f>
        <v>-31</v>
      </c>
      <c r="L280" s="12">
        <f>L193-K193</f>
        <v>103.8</v>
      </c>
      <c r="M280" s="12" t="n"/>
      <c r="N280" s="12">
        <f>N193-M193</f>
        <v>-237.3</v>
      </c>
      <c r="O280" s="12">
        <f>O193-N193</f>
        <v>226</v>
      </c>
      <c r="P280" s="12">
        <f>P193-O193</f>
        <v>23.9000000000001</v>
      </c>
      <c r="Q280" s="12">
        <f>Q193-P193</f>
        <v>247.4</v>
      </c>
      <c r="R280" s="12">
        <f>SUM(N280:Q280)</f>
        <v>260</v>
      </c>
      <c r="S280" s="12">
        <f>S193-R193</f>
        <v>85.3000000000002</v>
      </c>
      <c r="T280" s="12">
        <f>T193-S193</f>
        <v>458.3</v>
      </c>
      <c r="U280" s="12">
        <f>U193-T193</f>
        <v>-39.0999999999999</v>
      </c>
      <c r="V280" s="12">
        <f>V193-U193</f>
        <v>163.7</v>
      </c>
      <c r="W280" s="12">
        <f>SUM(S280:V280)</f>
        <v>668.2</v>
      </c>
      <c r="X280" s="12">
        <f>X193-W193</f>
        <v>-125.1</v>
      </c>
      <c r="Y280" s="12">
        <f>Y193-X193</f>
        <v>451.1</v>
      </c>
      <c r="Z280" s="12">
        <f>Z193-Y193</f>
        <v>-38.3000000000002</v>
      </c>
      <c r="AA280" s="12">
        <f>AA193-Z193</f>
        <v>342.1</v>
      </c>
      <c r="AB280" s="12">
        <f>SUM(X280:AA280)</f>
        <v>629.8</v>
      </c>
      <c r="AC280" s="12">
        <f>AC193-AB193</f>
        <v>213.4</v>
      </c>
      <c r="AD280" s="12">
        <f>AD193-AC193</f>
        <v>633.7</v>
      </c>
      <c r="AE280" s="12">
        <f>AE193-AD193</f>
        <v>186.5</v>
      </c>
      <c r="AF280" s="12">
        <f>AF193-AE193</f>
        <v>1116.8</v>
      </c>
      <c r="AG280" s="12">
        <f>SUM(AC280:AF280)</f>
        <v>2150.4</v>
      </c>
      <c r="AH280" s="12">
        <f>AH193-AG193</f>
        <v>-350</v>
      </c>
      <c r="AI280" s="12">
        <f>AI193-AH193</f>
        <v>1083</v>
      </c>
      <c r="AJ280" s="12">
        <f>AJ193-AI193</f>
        <v>650.581657101753</v>
      </c>
      <c r="AK280" s="12">
        <f>AK193-AJ193</f>
        <v>649.79308318318</v>
      </c>
      <c r="AL280" s="12">
        <f>SUM(AH280:AK280)</f>
        <v>2033.37474028493</v>
      </c>
      <c r="AM280" s="12">
        <f>AM193-AL193</f>
        <v>363.847924508146</v>
      </c>
      <c r="AN280" s="12">
        <f>AN193-AM193</f>
        <v>1147.85139771427</v>
      </c>
      <c r="AO280" s="12">
        <f>AO193-AN193</f>
        <v>1022.04699261195</v>
      </c>
      <c r="AP280" s="12">
        <f>AP193-AO193</f>
        <v>955.688373734021</v>
      </c>
      <c r="AQ280" s="12">
        <f>SUM(AM280:AP280)</f>
        <v>3489.43468856839</v>
      </c>
      <c r="AR280" s="12">
        <f>AR193-AQ193</f>
        <v>370.997718725717</v>
      </c>
      <c r="AS280" s="12">
        <f>AS193-AR193</f>
        <v>1807.72577875466</v>
      </c>
      <c r="AT280" s="12">
        <f>AT193-AS193</f>
        <v>1498.07355311938</v>
      </c>
      <c r="AU280" s="12">
        <f>AU193-AT193</f>
        <v>1400.80787680395</v>
      </c>
      <c r="AV280" s="12">
        <f>SUM(AR280:AU280)</f>
        <v>5077.60492740371</v>
      </c>
      <c r="AW280" s="12">
        <f>AW193-AV193</f>
        <v>670.393761869162</v>
      </c>
      <c r="AX280" s="12">
        <f>AX193-AW193</f>
        <v>2457.68496401127</v>
      </c>
      <c r="AY280" s="12">
        <f>AY193-AX193</f>
        <v>2188.32292338296</v>
      </c>
      <c r="AZ280" s="12">
        <f>AZ193-AY193</f>
        <v>2046.24130883461</v>
      </c>
      <c r="BA280" s="12">
        <f>SUM(AW280:AZ280)</f>
        <v>7362.642958098</v>
      </c>
      <c r="BB280" s="12">
        <f>BB193-BA193</f>
        <v>896.034008453564</v>
      </c>
      <c r="BC280" s="12">
        <f>BC193-BB193</f>
        <v>3577.79454140057</v>
      </c>
      <c r="BD280" s="12">
        <f>BD193-BC193</f>
        <v>3185.66859656524</v>
      </c>
      <c r="BE280" s="12">
        <f>BE193-BD193</f>
        <v>2978.83214990578</v>
      </c>
      <c r="BF280" s="12">
        <f>SUM(BB280:BE280)</f>
        <v>10638.3292963252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Accrued expenses</t>
        </is>
      </c>
      <c r="D281" s="12" t="n"/>
      <c r="E281" s="12" t="n"/>
      <c r="F281" s="12" t="n"/>
      <c r="G281" s="12" t="n"/>
      <c r="H281" s="12" t="n"/>
      <c r="I281" s="12" t="n"/>
      <c r="J281" s="12">
        <f>J197-I197</f>
        <v>105.6</v>
      </c>
      <c r="K281" s="12">
        <f>K197-J197</f>
        <v>81.1</v>
      </c>
      <c r="L281" s="12">
        <f>L197-K197</f>
        <v>121.5</v>
      </c>
      <c r="M281" s="12" t="n"/>
      <c r="N281" s="12">
        <f>N197-M197</f>
        <v>-265</v>
      </c>
      <c r="O281" s="12">
        <f>O197-N197</f>
        <v>142.7</v>
      </c>
      <c r="P281" s="12">
        <f>P197-O197</f>
        <v>148.3</v>
      </c>
      <c r="Q281" s="12">
        <f>Q197-P197</f>
        <v>75.6999999999999</v>
      </c>
      <c r="R281" s="12">
        <f>SUM(N281:Q281)</f>
        <v>101.7</v>
      </c>
      <c r="S281" s="12">
        <f>S197-R197</f>
        <v>-320.1</v>
      </c>
      <c r="T281" s="12">
        <f>T197-S197</f>
        <v>128</v>
      </c>
      <c r="U281" s="12">
        <f>U197-T197</f>
        <v>365.5</v>
      </c>
      <c r="V281" s="12">
        <f>V197-U197</f>
        <v>417.2</v>
      </c>
      <c r="W281" s="12">
        <f>SUM(S281:V281)</f>
        <v>590.6</v>
      </c>
      <c r="X281" s="12">
        <f>X197-W197</f>
        <v>-806.2</v>
      </c>
      <c r="Y281" s="12">
        <f>Y197-X197</f>
        <v>324.1</v>
      </c>
      <c r="Z281" s="12">
        <f>Z197-Y197</f>
        <v>535</v>
      </c>
      <c r="AA281" s="12">
        <f>AA197-Z197</f>
        <v>390.6</v>
      </c>
      <c r="AB281" s="12">
        <f>SUM(X281:AA281)</f>
        <v>443.5</v>
      </c>
      <c r="AC281" s="12">
        <f>AC197-AB197</f>
        <v>-980</v>
      </c>
      <c r="AD281" s="12">
        <f>AD197-AC197</f>
        <v>189.1</v>
      </c>
      <c r="AE281" s="12">
        <f>AE197-AD197</f>
        <v>662.7</v>
      </c>
      <c r="AF281" s="12">
        <f>AF197-AE197</f>
        <v>409.3</v>
      </c>
      <c r="AG281" s="12">
        <f>SUM(AC281:AF281)</f>
        <v>281.1</v>
      </c>
      <c r="AH281" s="12">
        <f>AH197-AG197</f>
        <v>-1016</v>
      </c>
      <c r="AI281" s="12">
        <f>AI197-AH197</f>
        <v>439</v>
      </c>
      <c r="AJ281" s="12">
        <f>AJ197-AI197</f>
        <v>846.422879289666</v>
      </c>
      <c r="AK281" s="12">
        <f>AK197-AJ197</f>
        <v>1244.88321888088</v>
      </c>
      <c r="AL281" s="12">
        <f>SUM(AH281:AK281)</f>
        <v>1514.30609817055</v>
      </c>
      <c r="AM281" s="12">
        <f>AM197-AL197</f>
        <v>1830.92194997351</v>
      </c>
      <c r="AN281" s="12">
        <f>AN197-AM197</f>
        <v>2692.84310050256</v>
      </c>
      <c r="AO281" s="12">
        <f>AO197-AN197</f>
        <v>3960.52052575433</v>
      </c>
      <c r="AP281" s="12">
        <f>AP197-AO197</f>
        <v>5824.96723704176</v>
      </c>
      <c r="AQ281" s="12">
        <f>SUM(AM281:AP281)</f>
        <v>14309.2528132722</v>
      </c>
      <c r="AR281" s="12">
        <f>AR197-AQ197</f>
        <v>8476.12435379982</v>
      </c>
      <c r="AS281" s="12">
        <f>AS197-AR197</f>
        <v>12423.9470583715</v>
      </c>
      <c r="AT281" s="12">
        <f>AT197-AS197</f>
        <v>18210.4997598367</v>
      </c>
      <c r="AU281" s="12">
        <f>AU197-AT197</f>
        <v>26692.1856592715</v>
      </c>
      <c r="AV281" s="12">
        <f>SUM(AR281:AU281)</f>
        <v>65802.7568312795</v>
      </c>
      <c r="AW281" s="12">
        <f>AW197-AV197</f>
        <v>38704.2780189216</v>
      </c>
      <c r="AX281" s="12">
        <f>AX197-AW197</f>
        <v>56537.5836489679</v>
      </c>
      <c r="AY281" s="12">
        <f>AY197-AX197</f>
        <v>82587.727467784</v>
      </c>
      <c r="AZ281" s="12">
        <f>AZ197-AY197</f>
        <v>120640.683384025</v>
      </c>
      <c r="BA281" s="12">
        <f>SUM(AW281:AZ281)</f>
        <v>298470.272519699</v>
      </c>
      <c r="BB281" s="12">
        <f>BB197-BA197</f>
        <v>174314.485121319</v>
      </c>
      <c r="BC281" s="12">
        <f>BC197-BB197</f>
        <v>253759.705774579</v>
      </c>
      <c r="BD281" s="12">
        <f>BD197-BC197</f>
        <v>369412.721094199</v>
      </c>
      <c r="BE281" s="12">
        <f>BE197-BD197</f>
        <v>537775.523066876</v>
      </c>
      <c r="BF281" s="12">
        <f>SUM(BB281:BE281)</f>
        <v>1335262.43505697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Taxes payable</t>
        </is>
      </c>
      <c r="D282" s="12" t="n"/>
      <c r="E282" s="12" t="n"/>
      <c r="F282" s="12" t="n"/>
      <c r="G282" s="12" t="n"/>
      <c r="H282" s="12" t="n"/>
      <c r="I282" s="12" t="n"/>
      <c r="J282" s="12">
        <f>J199-I199</f>
        <v>-261.7</v>
      </c>
      <c r="K282" s="12">
        <f>K199-J199</f>
        <v>-326.4</v>
      </c>
      <c r="L282" s="12">
        <f>L199-K199</f>
        <v>-76.6</v>
      </c>
      <c r="M282" s="12" t="n"/>
      <c r="N282" s="12">
        <f>N199-M199</f>
        <v>471.4</v>
      </c>
      <c r="O282" s="12">
        <f>O199-N199</f>
        <v>-471.7</v>
      </c>
      <c r="P282" s="12">
        <f>P199-O199</f>
        <v>559</v>
      </c>
      <c r="Q282" s="12">
        <f>Q199-P199</f>
        <v>-210.5</v>
      </c>
      <c r="R282" s="12">
        <f>SUM(N282:Q282)</f>
        <v>348.2</v>
      </c>
      <c r="S282" s="12">
        <f>S199-R199</f>
        <v>1053.2</v>
      </c>
      <c r="T282" s="12">
        <f>T199-S199</f>
        <v>-294.5</v>
      </c>
      <c r="U282" s="12">
        <f>U199-T199</f>
        <v>743.7</v>
      </c>
      <c r="V282" s="12">
        <f>V199-U199</f>
        <v>-1977.5</v>
      </c>
      <c r="W282" s="12">
        <f>SUM(S282:V282)</f>
        <v>-475.1</v>
      </c>
      <c r="X282" s="12">
        <f>X199-W199</f>
        <v>0</v>
      </c>
      <c r="Y282" s="12">
        <f>Y199-X199</f>
        <v>0</v>
      </c>
      <c r="Z282" s="12">
        <f>Z199-Y199</f>
        <v>0</v>
      </c>
      <c r="AA282" s="12">
        <f>AA199-Z199</f>
        <v>0</v>
      </c>
      <c r="AB282" s="12">
        <f>SUM(X282:AA282)</f>
        <v>0</v>
      </c>
      <c r="AC282" s="12">
        <f>AC199-AB199</f>
        <v>6175.7</v>
      </c>
      <c r="AD282" s="12">
        <f>AD199-AC199</f>
        <v>782.3</v>
      </c>
      <c r="AE282" s="12">
        <f>AE199-AD199</f>
        <v>2486.4</v>
      </c>
      <c r="AF282" s="12">
        <f>AF199-AE199</f>
        <v>-9444.4</v>
      </c>
      <c r="AG282" s="12">
        <f>SUM(AC282:AF282)</f>
        <v>0</v>
      </c>
      <c r="AH282" s="12">
        <f>AH199-AG199</f>
        <v>0</v>
      </c>
      <c r="AI282" s="12">
        <f>AI199-AH199</f>
        <v>0</v>
      </c>
      <c r="AJ282" s="12">
        <f>AJ199-AI199</f>
        <v>0</v>
      </c>
      <c r="AK282" s="12">
        <f>AK199-AJ199</f>
        <v>0</v>
      </c>
      <c r="AL282" s="12">
        <f>SUM(AH282:AK282)</f>
        <v>0</v>
      </c>
      <c r="AM282" s="12">
        <f>AM199-AL199</f>
        <v>0</v>
      </c>
      <c r="AN282" s="12">
        <f>AN199-AM199</f>
        <v>0</v>
      </c>
      <c r="AO282" s="12">
        <f>AO199-AN199</f>
        <v>0</v>
      </c>
      <c r="AP282" s="12">
        <f>AP199-AO199</f>
        <v>0</v>
      </c>
      <c r="AQ282" s="12">
        <f>SUM(AM282:AP282)</f>
        <v>0</v>
      </c>
      <c r="AR282" s="12">
        <f>AR199-AQ199</f>
        <v>0</v>
      </c>
      <c r="AS282" s="12">
        <f>AS199-AR199</f>
        <v>0</v>
      </c>
      <c r="AT282" s="12">
        <f>AT199-AS199</f>
        <v>0</v>
      </c>
      <c r="AU282" s="12">
        <f>AU199-AT199</f>
        <v>0</v>
      </c>
      <c r="AV282" s="12">
        <f>SUM(AR282:AU282)</f>
        <v>0</v>
      </c>
      <c r="AW282" s="12">
        <f>AW199-AV199</f>
        <v>0</v>
      </c>
      <c r="AX282" s="12">
        <f>AX199-AW199</f>
        <v>0</v>
      </c>
      <c r="AY282" s="12">
        <f>AY199-AX199</f>
        <v>0</v>
      </c>
      <c r="AZ282" s="12">
        <f>AZ199-AY199</f>
        <v>0</v>
      </c>
      <c r="BA282" s="12">
        <f>SUM(AW282:AZ282)</f>
        <v>0</v>
      </c>
      <c r="BB282" s="12">
        <f>BB199-BA199</f>
        <v>0</v>
      </c>
      <c r="BC282" s="12">
        <f>BC199-BB199</f>
        <v>0</v>
      </c>
      <c r="BD282" s="12">
        <f>BD199-BC199</f>
        <v>0</v>
      </c>
      <c r="BE282" s="12">
        <f>BE199-BD199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Other current liabilities (non-debt)</t>
        </is>
      </c>
      <c r="D283" s="12" t="n"/>
      <c r="E283" s="12" t="n"/>
      <c r="F283" s="12" t="n"/>
      <c r="G283" s="12" t="n"/>
      <c r="H283" s="12" t="n"/>
      <c r="I283" s="12" t="n"/>
      <c r="J283" s="12">
        <f>J200-I200</f>
        <v>1803.3</v>
      </c>
      <c r="K283" s="12">
        <f>K200-J200</f>
        <v>-919.4</v>
      </c>
      <c r="L283" s="12">
        <f>L200-K200</f>
        <v>1246.7</v>
      </c>
      <c r="M283" s="12" t="n"/>
      <c r="N283" s="12">
        <f>N200-M200</f>
        <v>-1453.4</v>
      </c>
      <c r="O283" s="12">
        <f>O200-N200</f>
        <v>1571.7</v>
      </c>
      <c r="P283" s="12">
        <f>P200-O200</f>
        <v>-321.800000000001</v>
      </c>
      <c r="Q283" s="12">
        <f>Q200-P200</f>
        <v>1616.3</v>
      </c>
      <c r="R283" s="12">
        <f>SUM(N283:Q283)</f>
        <v>1412.8</v>
      </c>
      <c r="S283" s="12">
        <f>S200-R200</f>
        <v>-448.6</v>
      </c>
      <c r="T283" s="12">
        <f>T200-S200</f>
        <v>1954.7</v>
      </c>
      <c r="U283" s="12">
        <f>U200-T200</f>
        <v>430</v>
      </c>
      <c r="V283" s="12">
        <f>V200-U200</f>
        <v>2031.8</v>
      </c>
      <c r="W283" s="12">
        <f>SUM(S283:V283)</f>
        <v>3967.9</v>
      </c>
      <c r="X283" s="12">
        <f>X200-W200</f>
        <v>-2510.8</v>
      </c>
      <c r="Y283" s="12">
        <f>Y200-X200</f>
        <v>4237.8</v>
      </c>
      <c r="Z283" s="12">
        <f>Z200-Y200</f>
        <v>143.5</v>
      </c>
      <c r="AA283" s="12">
        <f>AA200-Z200</f>
        <v>-73</v>
      </c>
      <c r="AB283" s="12">
        <f>SUM(X283:AA283)</f>
        <v>1797.5</v>
      </c>
      <c r="AC283" s="12">
        <f>AC200-AB200</f>
        <v>-2616.9</v>
      </c>
      <c r="AD283" s="12">
        <f>AD200-AC200</f>
        <v>5639.4</v>
      </c>
      <c r="AE283" s="12">
        <f>AE200-AD200</f>
        <v>1876.1</v>
      </c>
      <c r="AF283" s="12">
        <f>AF200-AE200</f>
        <v>3003.4</v>
      </c>
      <c r="AG283" s="12">
        <f>SUM(AC283:AF283)</f>
        <v>7902</v>
      </c>
      <c r="AH283" s="12">
        <f>AH200-AG200</f>
        <v>407</v>
      </c>
      <c r="AI283" s="12">
        <f>AI200-AH200</f>
        <v>6535</v>
      </c>
      <c r="AJ283" s="12">
        <f>AJ200-AI200</f>
        <v>0</v>
      </c>
      <c r="AK283" s="12">
        <f>AK200-AJ200</f>
        <v>0</v>
      </c>
      <c r="AL283" s="12">
        <f>SUM(AH283:AK283)</f>
        <v>6942</v>
      </c>
      <c r="AM283" s="12">
        <f>AM200-AL200</f>
        <v>0</v>
      </c>
      <c r="AN283" s="12">
        <f>AN200-AM200</f>
        <v>0</v>
      </c>
      <c r="AO283" s="12">
        <f>AO200-AN200</f>
        <v>0</v>
      </c>
      <c r="AP283" s="12">
        <f>AP200-AO200</f>
        <v>0</v>
      </c>
      <c r="AQ283" s="12">
        <f>SUM(AM283:AP283)</f>
        <v>0</v>
      </c>
      <c r="AR283" s="12">
        <f>AR200-AQ200</f>
        <v>0</v>
      </c>
      <c r="AS283" s="12">
        <f>AS200-AR200</f>
        <v>0</v>
      </c>
      <c r="AT283" s="12">
        <f>AT200-AS200</f>
        <v>0</v>
      </c>
      <c r="AU283" s="12">
        <f>AU200-AT200</f>
        <v>0</v>
      </c>
      <c r="AV283" s="12">
        <f>SUM(AR283:AU283)</f>
        <v>0</v>
      </c>
      <c r="AW283" s="12">
        <f>AW200-AV200</f>
        <v>0</v>
      </c>
      <c r="AX283" s="12">
        <f>AX200-AW200</f>
        <v>0</v>
      </c>
      <c r="AY283" s="12">
        <f>AY200-AX200</f>
        <v>0</v>
      </c>
      <c r="AZ283" s="12">
        <f>AZ200-AY200</f>
        <v>0</v>
      </c>
      <c r="BA283" s="12">
        <f>SUM(AW283:AZ283)</f>
        <v>0</v>
      </c>
      <c r="BB283" s="12">
        <f>BB200-BA200</f>
        <v>0</v>
      </c>
      <c r="BC283" s="12">
        <f>BC200-BB200</f>
        <v>0</v>
      </c>
      <c r="BD283" s="12">
        <f>BD200-BC200</f>
        <v>0</v>
      </c>
      <c r="BE283" s="12">
        <f>BE200-BD200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10" t="inlineStr">
        <is>
          <t>Deferred income taxes</t>
        </is>
      </c>
      <c r="D284" s="12" t="n"/>
      <c r="E284" s="12" t="n"/>
      <c r="F284" s="12" t="n"/>
      <c r="G284" s="12" t="n"/>
      <c r="H284" s="12" t="n"/>
      <c r="I284" s="12" t="n"/>
      <c r="J284" s="12">
        <f>J234-I234</f>
        <v>-343.3</v>
      </c>
      <c r="K284" s="12">
        <f>K234-J234</f>
        <v>-224.8</v>
      </c>
      <c r="L284" s="12">
        <f>L234-K234</f>
        <v>101.2</v>
      </c>
      <c r="M284" s="12" t="n"/>
      <c r="N284" s="12">
        <f>N234-M234</f>
        <v>-447.6</v>
      </c>
      <c r="O284" s="12">
        <f>O234-N234</f>
        <v>-423.6</v>
      </c>
      <c r="P284" s="12">
        <f>P234-O234</f>
        <v>-690.6</v>
      </c>
      <c r="Q284" s="12">
        <f>Q234-P234</f>
        <v>-84.6</v>
      </c>
      <c r="R284" s="12">
        <f>SUM(N284:Q284)</f>
        <v>-1646.4</v>
      </c>
      <c r="S284" s="12">
        <f>S234-R234</f>
        <v>-87.3</v>
      </c>
      <c r="T284" s="12">
        <f>T234-S234</f>
        <v>0</v>
      </c>
      <c r="U284" s="12">
        <f>U234-T234</f>
        <v>0</v>
      </c>
      <c r="V284" s="12">
        <f>V234-U234</f>
        <v>0</v>
      </c>
      <c r="W284" s="12">
        <f>SUM(S284:V284)</f>
        <v>-87.3</v>
      </c>
      <c r="X284" s="12">
        <f>X234-W234</f>
        <v>0</v>
      </c>
      <c r="Y284" s="12">
        <f>Y234-X234</f>
        <v>0</v>
      </c>
      <c r="Z284" s="12">
        <f>Z234-Y234</f>
        <v>0</v>
      </c>
      <c r="AA284" s="12">
        <f>AA234-Z234</f>
        <v>0</v>
      </c>
      <c r="AB284" s="12">
        <f>SUM(X284:AA284)</f>
        <v>0</v>
      </c>
      <c r="AC284" s="12">
        <f>AC234-AB234</f>
        <v>0</v>
      </c>
      <c r="AD284" s="12">
        <f>AD234-AC234</f>
        <v>0</v>
      </c>
      <c r="AE284" s="12">
        <f>AE234-AD234</f>
        <v>0</v>
      </c>
      <c r="AF284" s="12">
        <f>AF234-AE234</f>
        <v>0</v>
      </c>
      <c r="AG284" s="12">
        <f>SUM(AC284:AF284)</f>
        <v>0</v>
      </c>
      <c r="AH284" s="12">
        <f>AH234-AG234</f>
        <v>0</v>
      </c>
      <c r="AI284" s="12">
        <f>AI234-AH234</f>
        <v>0</v>
      </c>
      <c r="AJ284" s="12">
        <f>AJ234-AI234</f>
        <v>0</v>
      </c>
      <c r="AK284" s="12">
        <f>AK234-AJ234</f>
        <v>0</v>
      </c>
      <c r="AL284" s="12">
        <f>SUM(AH284:AK284)</f>
        <v>0</v>
      </c>
      <c r="AM284" s="12">
        <f>AM234-AL234</f>
        <v>0</v>
      </c>
      <c r="AN284" s="12">
        <f>AN234-AM234</f>
        <v>0</v>
      </c>
      <c r="AO284" s="12">
        <f>AO234-AN234</f>
        <v>0</v>
      </c>
      <c r="AP284" s="12">
        <f>AP234-AO234</f>
        <v>0</v>
      </c>
      <c r="AQ284" s="12">
        <f>SUM(AM284:AP284)</f>
        <v>0</v>
      </c>
      <c r="AR284" s="12">
        <f>AR234-AQ234</f>
        <v>0</v>
      </c>
      <c r="AS284" s="12">
        <f>AS234-AR234</f>
        <v>0</v>
      </c>
      <c r="AT284" s="12">
        <f>AT234-AS234</f>
        <v>0</v>
      </c>
      <c r="AU284" s="12">
        <f>AU234-AT234</f>
        <v>0</v>
      </c>
      <c r="AV284" s="12">
        <f>SUM(AR284:AU284)</f>
        <v>0</v>
      </c>
      <c r="AW284" s="12">
        <f>AW234-AV234</f>
        <v>0</v>
      </c>
      <c r="AX284" s="12">
        <f>AX234-AW234</f>
        <v>0</v>
      </c>
      <c r="AY284" s="12">
        <f>AY234-AX234</f>
        <v>0</v>
      </c>
      <c r="AZ284" s="12">
        <f>AZ234-AY234</f>
        <v>0</v>
      </c>
      <c r="BA284" s="12">
        <f>SUM(AW284:AZ284)</f>
        <v>0</v>
      </c>
      <c r="BB284" s="12">
        <f>BB234-BA234</f>
        <v>0</v>
      </c>
      <c r="BC284" s="12">
        <f>BC234-BB234</f>
        <v>0</v>
      </c>
      <c r="BD284" s="12">
        <f>BD234-BC234</f>
        <v>0</v>
      </c>
      <c r="BE284" s="12">
        <f>BE234-BD234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collapsed="1">
      <c r="C285" s="10" t="inlineStr">
        <is>
          <t>Equity income in affiliates</t>
        </is>
      </c>
      <c r="D285" s="12" t="n"/>
      <c r="E285" s="12" t="n"/>
      <c r="F285" s="12" t="n"/>
      <c r="G285" s="12" t="n"/>
      <c r="H285" s="12" t="n"/>
      <c r="I285" s="12" t="n"/>
      <c r="J285" s="12">
        <f>(J156-I156)*-1</f>
        <v>0</v>
      </c>
      <c r="K285" s="12">
        <f>(K156-J156)*-1</f>
        <v>0</v>
      </c>
      <c r="L285" s="12">
        <f>(L156-K156)*-1</f>
        <v>0</v>
      </c>
      <c r="M285" s="12" t="n"/>
      <c r="N285" s="12">
        <f>(N156-M156)*-1</f>
        <v>0</v>
      </c>
      <c r="O285" s="12">
        <f>(O156-N156)*-1</f>
        <v>0</v>
      </c>
      <c r="P285" s="12">
        <f>(P156-O156)*-1</f>
        <v>0</v>
      </c>
      <c r="Q285" s="12">
        <f>(Q156-P156)*-1</f>
        <v>0</v>
      </c>
      <c r="R285" s="12">
        <f>SUM(N285:Q285)</f>
        <v>0</v>
      </c>
      <c r="S285" s="12">
        <f>(S156-R156)*-1</f>
        <v>0</v>
      </c>
      <c r="T285" s="12">
        <f>(T156-S156)*-1</f>
        <v>0</v>
      </c>
      <c r="U285" s="12">
        <f>(U156-T156)*-1</f>
        <v>0</v>
      </c>
      <c r="V285" s="12">
        <f>(V156-U156)*-1</f>
        <v>0</v>
      </c>
      <c r="W285" s="12">
        <f>SUM(S285:V285)</f>
        <v>0</v>
      </c>
      <c r="X285" s="12">
        <f>(X156-W156)*-1</f>
        <v>0</v>
      </c>
      <c r="Y285" s="12">
        <f>(Y156-X156)*-1</f>
        <v>0</v>
      </c>
      <c r="Z285" s="12">
        <f>(Z156-Y156)*-1</f>
        <v>0</v>
      </c>
      <c r="AA285" s="12">
        <f>(AA156-Z156)*-1</f>
        <v>0</v>
      </c>
      <c r="AB285" s="12">
        <f>SUM(X285:AA285)</f>
        <v>0</v>
      </c>
      <c r="AC285" s="12">
        <f>(AC156-AB156)*-1</f>
        <v>0</v>
      </c>
      <c r="AD285" s="12">
        <f>(AD156-AC156)*-1</f>
        <v>0</v>
      </c>
      <c r="AE285" s="12">
        <f>(AE156-AD156)*-1</f>
        <v>0</v>
      </c>
      <c r="AF285" s="12">
        <f>(AF156-AE156)*-1</f>
        <v>0</v>
      </c>
      <c r="AG285" s="12">
        <f>SUM(AC285:AF285)</f>
        <v>0</v>
      </c>
      <c r="AH285" s="12">
        <f>(AH156-AG156)*-1</f>
        <v>0</v>
      </c>
      <c r="AI285" s="12">
        <f>(AI156-AH156)*-1</f>
        <v>0</v>
      </c>
      <c r="AJ285" s="12">
        <f>(AJ156-AI156)*-1</f>
        <v>0</v>
      </c>
      <c r="AK285" s="12">
        <f>(AK156-AJ156)*-1</f>
        <v>0</v>
      </c>
      <c r="AL285" s="12">
        <f>SUM(AH285:AK285)</f>
        <v>0</v>
      </c>
      <c r="AM285" s="12">
        <f>(AM156-AL156)*-1</f>
        <v>0</v>
      </c>
      <c r="AN285" s="12">
        <f>(AN156-AM156)*-1</f>
        <v>0</v>
      </c>
      <c r="AO285" s="12">
        <f>(AO156-AN156)*-1</f>
        <v>0</v>
      </c>
      <c r="AP285" s="12">
        <f>(AP156-AO156)*-1</f>
        <v>0</v>
      </c>
      <c r="AQ285" s="12">
        <f>SUM(AM285:AP285)</f>
        <v>0</v>
      </c>
      <c r="AR285" s="12">
        <f>(AR156-AQ156)*-1</f>
        <v>0</v>
      </c>
      <c r="AS285" s="12">
        <f>(AS156-AR156)*-1</f>
        <v>0</v>
      </c>
      <c r="AT285" s="12">
        <f>(AT156-AS156)*-1</f>
        <v>0</v>
      </c>
      <c r="AU285" s="12">
        <f>(AU156-AT156)*-1</f>
        <v>0</v>
      </c>
      <c r="AV285" s="12">
        <f>SUM(AR285:AU285)</f>
        <v>0</v>
      </c>
      <c r="AW285" s="12">
        <f>(AW156-AV156)*-1</f>
        <v>0</v>
      </c>
      <c r="AX285" s="12">
        <f>(AX156-AW156)*-1</f>
        <v>0</v>
      </c>
      <c r="AY285" s="12">
        <f>(AY156-AX156)*-1</f>
        <v>0</v>
      </c>
      <c r="AZ285" s="12">
        <f>(AZ156-AY156)*-1</f>
        <v>0</v>
      </c>
      <c r="BA285" s="12">
        <f>SUM(AW285:AZ285)</f>
        <v>0</v>
      </c>
      <c r="BB285" s="12">
        <f>(BB156-BA156)*-1</f>
        <v>0</v>
      </c>
      <c r="BC285" s="12">
        <f>(BC156-BB156)*-1</f>
        <v>0</v>
      </c>
      <c r="BD285" s="12">
        <f>(BD156-BC156)*-1</f>
        <v>0</v>
      </c>
      <c r="BE285" s="12">
        <f>(BE156-BD156)*-1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0" t="inlineStr">
        <is>
          <t>Dividends received from affiliates</t>
        </is>
      </c>
      <c r="D286" s="12" t="n"/>
      <c r="E286" s="12" t="n"/>
      <c r="F286" s="12" t="n"/>
      <c r="G286" s="12" t="n"/>
      <c r="H286" s="12" t="n"/>
      <c r="I286" s="12" t="n"/>
      <c r="J286" s="12">
        <f>-J159</f>
        <v>0</v>
      </c>
      <c r="K286" s="12">
        <f>-K159</f>
        <v>0</v>
      </c>
      <c r="L286" s="12">
        <f>-L159</f>
        <v>0</v>
      </c>
      <c r="M286" s="12" t="n"/>
      <c r="N286" s="12">
        <f>-N159</f>
        <v>0</v>
      </c>
      <c r="O286" s="12">
        <f>-O159</f>
        <v>0</v>
      </c>
      <c r="P286" s="12">
        <f>-P159</f>
        <v>0</v>
      </c>
      <c r="Q286" s="12">
        <f>-Q159</f>
        <v>0</v>
      </c>
      <c r="R286" s="12">
        <f>SUM(N286:Q286)</f>
        <v>0</v>
      </c>
      <c r="S286" s="12">
        <f>-S159</f>
        <v>0</v>
      </c>
      <c r="T286" s="12">
        <f>-T159</f>
        <v>0</v>
      </c>
      <c r="U286" s="12">
        <f>-U159</f>
        <v>0</v>
      </c>
      <c r="V286" s="12">
        <f>-V159</f>
        <v>0</v>
      </c>
      <c r="W286" s="12">
        <f>SUM(S286:V286)</f>
        <v>0</v>
      </c>
      <c r="X286" s="12">
        <f>-X159</f>
        <v>0</v>
      </c>
      <c r="Y286" s="12">
        <f>-Y159</f>
        <v>0</v>
      </c>
      <c r="Z286" s="12">
        <f>-Z159</f>
        <v>0</v>
      </c>
      <c r="AA286" s="12">
        <f>-AA159</f>
        <v>0</v>
      </c>
      <c r="AB286" s="12">
        <f>SUM(X286:AA286)</f>
        <v>0</v>
      </c>
      <c r="AC286" s="12">
        <f>-AC159</f>
        <v>0</v>
      </c>
      <c r="AD286" s="12">
        <f>-AD159</f>
        <v>0</v>
      </c>
      <c r="AE286" s="12">
        <f>-AE159</f>
        <v>0</v>
      </c>
      <c r="AF286" s="12">
        <f>-AF159</f>
        <v>0</v>
      </c>
      <c r="AG286" s="12">
        <f>SUM(AC286:AF286)</f>
        <v>0</v>
      </c>
      <c r="AH286" s="12">
        <f>-AH159</f>
        <v>0</v>
      </c>
      <c r="AI286" s="12">
        <f>-AI159</f>
        <v>0</v>
      </c>
      <c r="AJ286" s="12">
        <f>-AJ159</f>
        <v>0</v>
      </c>
      <c r="AK286" s="12">
        <f>-AK159</f>
        <v>0</v>
      </c>
      <c r="AL286" s="12">
        <f>SUM(AH286:AK286)</f>
        <v>0</v>
      </c>
      <c r="AM286" s="12">
        <f>-AM159</f>
        <v>0</v>
      </c>
      <c r="AN286" s="12">
        <f>-AN159</f>
        <v>0</v>
      </c>
      <c r="AO286" s="12">
        <f>-AO159</f>
        <v>0</v>
      </c>
      <c r="AP286" s="12">
        <f>-AP159</f>
        <v>0</v>
      </c>
      <c r="AQ286" s="12">
        <f>SUM(AM286:AP286)</f>
        <v>0</v>
      </c>
      <c r="AR286" s="12">
        <f>-AR159</f>
        <v>0</v>
      </c>
      <c r="AS286" s="12">
        <f>-AS159</f>
        <v>0</v>
      </c>
      <c r="AT286" s="12">
        <f>-AT159</f>
        <v>0</v>
      </c>
      <c r="AU286" s="12">
        <f>-AU159</f>
        <v>0</v>
      </c>
      <c r="AV286" s="12">
        <f>SUM(AR286:AU286)</f>
        <v>0</v>
      </c>
      <c r="AW286" s="12">
        <f>-AW159</f>
        <v>0</v>
      </c>
      <c r="AX286" s="12">
        <f>-AX159</f>
        <v>0</v>
      </c>
      <c r="AY286" s="12">
        <f>-AY159</f>
        <v>0</v>
      </c>
      <c r="AZ286" s="12">
        <f>-AZ159</f>
        <v>0</v>
      </c>
      <c r="BA286" s="12">
        <f>SUM(AW286:AZ286)</f>
        <v>0</v>
      </c>
      <c r="BB286" s="12">
        <f>-BB159</f>
        <v>0</v>
      </c>
      <c r="BC286" s="12">
        <f>-BC159</f>
        <v>0</v>
      </c>
      <c r="BD286" s="12">
        <f>-BD159</f>
        <v>0</v>
      </c>
      <c r="BE286" s="12">
        <f>-BE159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71" t="inlineStr">
        <is>
          <t>Minority interest expense</t>
        </is>
      </c>
      <c r="D287" s="12" t="n"/>
      <c r="E287" s="12" t="n"/>
      <c r="F287" s="12" t="n"/>
      <c r="G287" s="12" t="n"/>
      <c r="H287" s="12" t="n"/>
      <c r="I287" s="12" t="n"/>
      <c r="J287" s="12">
        <f>-J131</f>
        <v>0</v>
      </c>
      <c r="K287" s="12">
        <f>-K131</f>
        <v>0</v>
      </c>
      <c r="L287" s="12">
        <f>-L131</f>
        <v>0</v>
      </c>
      <c r="M287" s="12" t="n"/>
      <c r="N287" s="12">
        <f>-N131</f>
        <v>0</v>
      </c>
      <c r="O287" s="12">
        <f>-O131</f>
        <v>0</v>
      </c>
      <c r="P287" s="12">
        <f>-P131</f>
        <v>0</v>
      </c>
      <c r="Q287" s="12">
        <f>-Q131</f>
        <v>0</v>
      </c>
      <c r="R287" s="12">
        <f>SUM(N287:Q287)</f>
        <v>0</v>
      </c>
      <c r="S287" s="12">
        <f>-S131</f>
        <v>0</v>
      </c>
      <c r="T287" s="12">
        <f>-T131</f>
        <v>0</v>
      </c>
      <c r="U287" s="12">
        <f>-U131</f>
        <v>0</v>
      </c>
      <c r="V287" s="12">
        <f>-V131</f>
        <v>0</v>
      </c>
      <c r="W287" s="12">
        <f>SUM(S287:V287)</f>
        <v>0</v>
      </c>
      <c r="X287" s="12">
        <f>-X131</f>
        <v>0</v>
      </c>
      <c r="Y287" s="12">
        <f>-Y131</f>
        <v>0</v>
      </c>
      <c r="Z287" s="12">
        <f>-Z131</f>
        <v>0</v>
      </c>
      <c r="AA287" s="12">
        <f>-AA131</f>
        <v>0</v>
      </c>
      <c r="AB287" s="12">
        <f>SUM(X287:AA287)</f>
        <v>0</v>
      </c>
      <c r="AC287" s="12">
        <f>-AC131</f>
        <v>0</v>
      </c>
      <c r="AD287" s="12">
        <f>-AD131</f>
        <v>0</v>
      </c>
      <c r="AE287" s="12">
        <f>-AE131</f>
        <v>0</v>
      </c>
      <c r="AF287" s="12">
        <f>-AF131</f>
        <v>0</v>
      </c>
      <c r="AG287" s="12">
        <f>SUM(AC287:AF287)</f>
        <v>0</v>
      </c>
      <c r="AH287" s="12">
        <f>-AH131</f>
        <v>0</v>
      </c>
      <c r="AI287" s="12">
        <f>-AI131</f>
        <v>0</v>
      </c>
      <c r="AJ287" s="12">
        <f>-AJ131</f>
        <v>0</v>
      </c>
      <c r="AK287" s="12">
        <f>-AK131</f>
        <v>0</v>
      </c>
      <c r="AL287" s="12">
        <f>SUM(AH287:AK287)</f>
        <v>0</v>
      </c>
      <c r="AM287" s="12">
        <f>-AM131</f>
        <v>0</v>
      </c>
      <c r="AN287" s="12">
        <f>-AN131</f>
        <v>0</v>
      </c>
      <c r="AO287" s="12">
        <f>-AO131</f>
        <v>0</v>
      </c>
      <c r="AP287" s="12">
        <f>-AP131</f>
        <v>0</v>
      </c>
      <c r="AQ287" s="12">
        <f>SUM(AM287:AP287)</f>
        <v>0</v>
      </c>
      <c r="AR287" s="12">
        <f>-AR131</f>
        <v>0</v>
      </c>
      <c r="AS287" s="12">
        <f>-AS131</f>
        <v>0</v>
      </c>
      <c r="AT287" s="12">
        <f>-AT131</f>
        <v>0</v>
      </c>
      <c r="AU287" s="12">
        <f>-AU131</f>
        <v>0</v>
      </c>
      <c r="AV287" s="12">
        <f>SUM(AR287:AU287)</f>
        <v>0</v>
      </c>
      <c r="AW287" s="12">
        <f>-AW131</f>
        <v>0</v>
      </c>
      <c r="AX287" s="12">
        <f>-AX131</f>
        <v>0</v>
      </c>
      <c r="AY287" s="12">
        <f>-AY131</f>
        <v>0</v>
      </c>
      <c r="AZ287" s="12">
        <f>-AZ131</f>
        <v>0</v>
      </c>
      <c r="BA287" s="12">
        <f>SUM(AW287:AZ287)</f>
        <v>0</v>
      </c>
      <c r="BB287" s="12">
        <f>-BB131</f>
        <v>0</v>
      </c>
      <c r="BC287" s="12">
        <f>-BC131</f>
        <v>0</v>
      </c>
      <c r="BD287" s="12">
        <f>-BD131</f>
        <v>0</v>
      </c>
      <c r="BE287" s="12">
        <f>-BE131</f>
        <v>0</v>
      </c>
      <c r="BF287" s="12">
        <f>SUM(BB287:BE287)</f>
        <v>0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4" t="inlineStr">
        <is>
          <t>Cash from operations</t>
        </is>
      </c>
      <c r="D288" s="12" t="n"/>
      <c r="E288" s="12" t="n"/>
      <c r="F288" s="12" t="n"/>
      <c r="G288" s="12" t="n"/>
      <c r="H288" s="12" t="n"/>
      <c r="I288" s="12" t="n"/>
      <c r="J288" s="12">
        <f>SUM(J272,J273,J274,J285,J286,J287)</f>
        <v>2525.4</v>
      </c>
      <c r="K288" s="12">
        <f>SUM(K272,K273,K274,K285,K286,K287)</f>
        <v>162.5</v>
      </c>
      <c r="L288" s="12">
        <f>SUM(L272,L273,L274,L285,L286,L287)</f>
        <v>3243.9</v>
      </c>
      <c r="M288" s="12" t="n"/>
      <c r="N288" s="12">
        <f>SUM(N272,N273,N274,N285,N286,N287)</f>
        <v>578.500000000001</v>
      </c>
      <c r="O288" s="12">
        <f>SUM(O272,O273,O274,O285,O286,O287)</f>
        <v>2457.4</v>
      </c>
      <c r="P288" s="12">
        <f>SUM(P272,P273,P274,P285,P286,P287)</f>
        <v>1001.7</v>
      </c>
      <c r="Q288" s="12">
        <f>SUM(Q272,Q273,Q274,Q285,Q286,Q287)</f>
        <v>2623.5</v>
      </c>
      <c r="R288" s="12">
        <f>SUM(R272,R273,R274,R285,R286,R287)</f>
        <v>6661.1</v>
      </c>
      <c r="S288" s="12">
        <f>SUM(S272,S273,S274,S285,S286,S287)</f>
        <v>56.4999999999996</v>
      </c>
      <c r="T288" s="12">
        <f>SUM(T272,T273,T274,T285,T286,T287)</f>
        <v>2616.4</v>
      </c>
      <c r="U288" s="12">
        <f>SUM(U272,U273,U274,U285,U286,U287)</f>
        <v>-925.8</v>
      </c>
      <c r="V288" s="12">
        <f>SUM(V272,V273,V274,V285,V286,V287)</f>
        <v>23.9000000000003</v>
      </c>
      <c r="W288" s="12">
        <f>SUM(W272,W273,W274,W285,W286,W287)</f>
        <v>1771</v>
      </c>
      <c r="X288" s="12">
        <f>SUM(X272,X273,X274,X285,X286,X287)</f>
        <v>-758.4</v>
      </c>
      <c r="Y288" s="12">
        <f>SUM(Y272,Y273,Y274,Y285,Y286,Y287)</f>
        <v>3135.2</v>
      </c>
      <c r="Z288" s="12">
        <f>SUM(Z272,Z273,Z274,Z285,Z286,Z287)</f>
        <v>283.9</v>
      </c>
      <c r="AA288" s="12">
        <f>SUM(AA272,AA273,AA274,AA285,AA286,AA287)</f>
        <v>3526.2</v>
      </c>
      <c r="AB288" s="12">
        <f>SUM(AB272,AB273,AB274,AB285,AB286,AB287)</f>
        <v>6186.9</v>
      </c>
      <c r="AC288" s="12">
        <f>SUM(AC272,AC273,AC274,AC285,AC286,AC287)</f>
        <v>-3282.6</v>
      </c>
      <c r="AD288" s="12">
        <f>SUM(AD272,AD273,AD274,AD285,AD286,AD287)</f>
        <v>4262.3</v>
      </c>
      <c r="AE288" s="12">
        <f>SUM(AE272,AE273,AE274,AE285,AE286,AE287)</f>
        <v>5879.1</v>
      </c>
      <c r="AF288" s="12">
        <f>SUM(AF272,AF273,AF274,AF285,AF286,AF287)</f>
        <v>5109</v>
      </c>
      <c r="AG288" s="12">
        <f>SUM(AG272,AG273,AG274,AG285,AG286,AG287)</f>
        <v>11967.8</v>
      </c>
      <c r="AH288" s="12">
        <f>SUM(AH272,AH273,AH274,AH285,AH286,AH287)</f>
        <v>4363</v>
      </c>
      <c r="AI288" s="12">
        <f>SUM(AI272,AI273,AI274,AI285,AI286,AI287)</f>
        <v>10839</v>
      </c>
      <c r="AJ288" s="12">
        <f>SUM(AJ272,AJ273,AJ274,AJ285,AJ286,AJ287)</f>
        <v>5750.67352447098</v>
      </c>
      <c r="AK288" s="12">
        <f>SUM(AK272,AK273,AK274,AK285,AK286,AK287)</f>
        <v>8107.17727894621</v>
      </c>
      <c r="AL288" s="12">
        <f>SUM(AL272,AL273,AL274,AL285,AL286,AL287)</f>
        <v>29059.8508034172</v>
      </c>
      <c r="AM288" s="12">
        <f>SUM(AM272,AM273,AM274,AM285,AM286,AM287)</f>
        <v>10451.1281078019</v>
      </c>
      <c r="AN288" s="12">
        <f>SUM(AN272,AN273,AN274,AN285,AN286,AN287)</f>
        <v>8917.54560966348</v>
      </c>
      <c r="AO288" s="12">
        <f>SUM(AO272,AO273,AO274,AO285,AO286,AO287)</f>
        <v>12386.8953034537</v>
      </c>
      <c r="AP288" s="12">
        <f>SUM(AP272,AP273,AP274,AP285,AP286,AP287)</f>
        <v>15917.7411062577</v>
      </c>
      <c r="AQ288" s="12">
        <f>SUM(AQ272,AQ273,AQ274,AQ285,AQ286,AQ287)</f>
        <v>47673.3101271769</v>
      </c>
      <c r="AR288" s="12">
        <f>SUM(AR272,AR273,AR274,AR285,AR286,AR287)</f>
        <v>21956.293464099</v>
      </c>
      <c r="AS288" s="12">
        <f>SUM(AS272,AS273,AS274,AS285,AS286,AS287)</f>
        <v>20895.7701401252</v>
      </c>
      <c r="AT288" s="12">
        <f>SUM(AT272,AT273,AT274,AT285,AT286,AT287)</f>
        <v>30561.5259791727</v>
      </c>
      <c r="AU288" s="12">
        <f>SUM(AU272,AU273,AU274,AU285,AU286,AU287)</f>
        <v>41485.7496738251</v>
      </c>
      <c r="AV288" s="12">
        <f>SUM(AV272,AV273,AV274,AV285,AV286,AV287)</f>
        <v>114899.339257222</v>
      </c>
      <c r="AW288" s="12">
        <f>SUM(AW272,AW273,AW274,AW285,AW286,AW287)</f>
        <v>57726.7860334005</v>
      </c>
      <c r="AX288" s="12">
        <f>SUM(AX272,AX273,AX274,AX285,AX286,AX287)</f>
        <v>69865.4044737469</v>
      </c>
      <c r="AY288" s="12">
        <f>SUM(AY272,AY273,AY274,AY285,AY286,AY287)</f>
        <v>100629.587793532</v>
      </c>
      <c r="AZ288" s="12">
        <f>SUM(AZ272,AZ273,AZ274,AZ285,AZ286,AZ287)</f>
        <v>142250.500328041</v>
      </c>
      <c r="BA288" s="12">
        <f>SUM(BA272,BA273,BA274,BA285,BA286,BA287)</f>
        <v>370472.27862872</v>
      </c>
      <c r="BB288" s="12">
        <f>SUM(BB272,BB273,BB274,BB285,BB286,BB287)</f>
        <v>202422.607104056</v>
      </c>
      <c r="BC288" s="12">
        <f>SUM(BC272,BC273,BC274,BC285,BC286,BC287)</f>
        <v>273161.787527902</v>
      </c>
      <c r="BD288" s="12">
        <f>SUM(BD272,BD273,BD274,BD285,BD286,BD287)</f>
        <v>395677.303551024</v>
      </c>
      <c r="BE288" s="12">
        <f>SUM(BE272,BE273,BE274,BE285,BE286,BE287)</f>
        <v>569234.18690505</v>
      </c>
      <c r="BF288" s="12">
        <f>SUM(BF272,BF273,BF274,BF285,BF286,BF287)</f>
        <v>1440495.88508803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4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  <c r="AL289" s="12" t="n"/>
      <c r="AM289" s="12" t="n"/>
      <c r="AN289" s="12" t="n"/>
      <c r="AO289" s="12" t="n"/>
      <c r="AP289" s="12" t="n"/>
      <c r="AQ289" s="12" t="n"/>
      <c r="AR289" s="12" t="n"/>
      <c r="AS289" s="12" t="n"/>
      <c r="AT289" s="12" t="n"/>
      <c r="AU289" s="12" t="n"/>
      <c r="AV289" s="12" t="n"/>
      <c r="AW289" s="12" t="n"/>
      <c r="AX289" s="12" t="n"/>
      <c r="AY289" s="12" t="n"/>
      <c r="AZ289" s="12" t="n"/>
      <c r="BA289" s="12" t="n"/>
      <c r="BB289" s="12" t="n"/>
      <c r="BC289" s="12" t="n"/>
      <c r="BD289" s="12" t="n"/>
      <c r="BE289" s="12" t="n"/>
      <c r="BF289" s="12" t="n"/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0" t="inlineStr">
        <is>
          <t>Purchase of fixed assets (capital expenditures)</t>
        </is>
      </c>
      <c r="D290" s="12" t="n"/>
      <c r="E290" s="12" t="n"/>
      <c r="F290" s="12" t="n"/>
      <c r="G290" s="12" t="n"/>
      <c r="H290" s="12" t="n"/>
      <c r="I290" s="12" t="n"/>
      <c r="J290" s="12">
        <f>-J163</f>
        <v>-594.7</v>
      </c>
      <c r="K290" s="12">
        <f>-K163</f>
        <v>-447.2</v>
      </c>
      <c r="L290" s="12">
        <f>-L163</f>
        <v>-510.400000000001</v>
      </c>
      <c r="M290" s="12" t="n"/>
      <c r="N290" s="12">
        <f>-N163</f>
        <v>-553.3</v>
      </c>
      <c r="O290" s="12">
        <f>-O163</f>
        <v>-374.4</v>
      </c>
      <c r="P290" s="12">
        <f>-P163</f>
        <v>-545.999999999999</v>
      </c>
      <c r="Q290" s="12">
        <f>-Q163</f>
        <v>-1207.7</v>
      </c>
      <c r="R290" s="12">
        <f>SUM(N290:Q290)</f>
        <v>-2681.4</v>
      </c>
      <c r="S290" s="12">
        <f>-S163</f>
        <v>-764.500000000001</v>
      </c>
      <c r="T290" s="12">
        <f>-T163</f>
        <v>-1097.5</v>
      </c>
      <c r="U290" s="12">
        <f>-U163</f>
        <v>-996.800000000001</v>
      </c>
      <c r="V290" s="12">
        <f>-V163</f>
        <v>-1438.1</v>
      </c>
      <c r="W290" s="12">
        <f>SUM(S290:V290)</f>
        <v>-4296.9</v>
      </c>
      <c r="X290" s="12">
        <f>-X163</f>
        <v>-1111</v>
      </c>
      <c r="Y290" s="12">
        <f>-Y163</f>
        <v>-1619.8</v>
      </c>
      <c r="Z290" s="12">
        <f>-Z163</f>
        <v>-1809.2</v>
      </c>
      <c r="AA290" s="12">
        <f>-AA163</f>
        <v>-1415.4</v>
      </c>
      <c r="AB290" s="12">
        <f>SUM(X290:AA290)</f>
        <v>-5955.4</v>
      </c>
      <c r="AC290" s="12">
        <f>-AC163</f>
        <v>-1834.5</v>
      </c>
      <c r="AD290" s="12">
        <f>-AD163</f>
        <v>-2534.1</v>
      </c>
      <c r="AE290" s="12">
        <f>-AE163</f>
        <v>-2256.3</v>
      </c>
      <c r="AF290" s="12">
        <f>-AF163</f>
        <v>-2944.7</v>
      </c>
      <c r="AG290" s="12">
        <f>SUM(AC290:AF290)</f>
        <v>-9569.6</v>
      </c>
      <c r="AH290" s="12">
        <f>-AH163</f>
        <v>-2374</v>
      </c>
      <c r="AI290" s="12">
        <f>-AI163</f>
        <v>-3280</v>
      </c>
      <c r="AJ290" s="12">
        <f>-AJ163</f>
        <v>-3650.53973297693</v>
      </c>
      <c r="AK290" s="12">
        <f>-AK163</f>
        <v>-4001.30747060309</v>
      </c>
      <c r="AL290" s="12">
        <f>SUM(AH290:AK290)</f>
        <v>-13305.84720358</v>
      </c>
      <c r="AM290" s="12">
        <f>-AM163</f>
        <v>-4106.46312515398</v>
      </c>
      <c r="AN290" s="12">
        <f>-AN163</f>
        <v>-4764.9822636137</v>
      </c>
      <c r="AO290" s="12">
        <f>-AO163</f>
        <v>-5369.06050703013</v>
      </c>
      <c r="AP290" s="12">
        <f>-AP163</f>
        <v>-5884.95496236679</v>
      </c>
      <c r="AQ290" s="12">
        <f>SUM(AM290:AP290)</f>
        <v>-20125.4608581646</v>
      </c>
      <c r="AR290" s="12">
        <f>-AR163</f>
        <v>-6019.08116664149</v>
      </c>
      <c r="AS290" s="12">
        <f>-AS163</f>
        <v>-6984.31086026676</v>
      </c>
      <c r="AT290" s="12">
        <f>-AT163</f>
        <v>-7869.74337659781</v>
      </c>
      <c r="AU290" s="12">
        <f>-AU163</f>
        <v>-8625.91980031163</v>
      </c>
      <c r="AV290" s="12">
        <f>SUM(AR290:AU290)</f>
        <v>-29499.0552038177</v>
      </c>
      <c r="AW290" s="12">
        <f>-AW163</f>
        <v>-8792.42095105233</v>
      </c>
      <c r="AX290" s="12">
        <f>-AX163</f>
        <v>-10202.3879453243</v>
      </c>
      <c r="AY290" s="12">
        <f>-AY163</f>
        <v>-11495.7905746954</v>
      </c>
      <c r="AZ290" s="12">
        <f>-AZ163</f>
        <v>-12600.3813330658</v>
      </c>
      <c r="BA290" s="12">
        <f>SUM(AW290:AZ290)</f>
        <v>-43090.9808041378</v>
      </c>
      <c r="BB290" s="12">
        <f>-BB163</f>
        <v>-12799.637115828</v>
      </c>
      <c r="BC290" s="12">
        <f>-BC163</f>
        <v>-14852.2078437816</v>
      </c>
      <c r="BD290" s="12">
        <f>-BD163</f>
        <v>-16735.0890653212</v>
      </c>
      <c r="BE290" s="12">
        <f>-BE163</f>
        <v>-18343.1058956511</v>
      </c>
      <c r="BF290" s="12">
        <f>SUM(BB290:BE290)</f>
        <v>-62730.0399205819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0" t="inlineStr">
        <is>
          <t>Proceeds from sale of fixed assets</t>
        </is>
      </c>
      <c r="D291" s="12" t="n"/>
      <c r="E291" s="12" t="n"/>
      <c r="F291" s="12" t="n"/>
      <c r="G291" s="12" t="n"/>
      <c r="H291" s="12" t="n"/>
      <c r="I291" s="12" t="n"/>
      <c r="J291" s="12">
        <f>-J164</f>
        <v>0</v>
      </c>
      <c r="K291" s="12">
        <f>-K164</f>
        <v>0</v>
      </c>
      <c r="L291" s="12">
        <f>-L164</f>
        <v>0</v>
      </c>
      <c r="M291" s="12" t="n"/>
      <c r="N291" s="12">
        <f>-N164</f>
        <v>0</v>
      </c>
      <c r="O291" s="12">
        <f>-O164</f>
        <v>0</v>
      </c>
      <c r="P291" s="12">
        <f>-P164</f>
        <v>0</v>
      </c>
      <c r="Q291" s="12">
        <f>-Q164</f>
        <v>0</v>
      </c>
      <c r="R291" s="12">
        <f>SUM(N291:Q291)</f>
        <v>0</v>
      </c>
      <c r="S291" s="12">
        <f>-S164</f>
        <v>0</v>
      </c>
      <c r="T291" s="12">
        <f>-T164</f>
        <v>0</v>
      </c>
      <c r="U291" s="12">
        <f>-U164</f>
        <v>0</v>
      </c>
      <c r="V291" s="12">
        <f>-V164</f>
        <v>0</v>
      </c>
      <c r="W291" s="12">
        <f>SUM(S291:V291)</f>
        <v>0</v>
      </c>
      <c r="X291" s="12">
        <f>-X164</f>
        <v>0</v>
      </c>
      <c r="Y291" s="12">
        <f>-Y164</f>
        <v>0</v>
      </c>
      <c r="Z291" s="12">
        <f>-Z164</f>
        <v>0</v>
      </c>
      <c r="AA291" s="12">
        <f>-AA164</f>
        <v>0</v>
      </c>
      <c r="AB291" s="12">
        <f>SUM(X291:AA291)</f>
        <v>0</v>
      </c>
      <c r="AC291" s="12">
        <f>-AC164</f>
        <v>0</v>
      </c>
      <c r="AD291" s="12">
        <f>-AD164</f>
        <v>0</v>
      </c>
      <c r="AE291" s="12">
        <f>-AE164</f>
        <v>0</v>
      </c>
      <c r="AF291" s="12">
        <f>-AF164</f>
        <v>0</v>
      </c>
      <c r="AG291" s="12">
        <f>SUM(AC291:AF291)</f>
        <v>0</v>
      </c>
      <c r="AH291" s="12">
        <f>-AH164</f>
        <v>0</v>
      </c>
      <c r="AI291" s="12">
        <f>-AI164</f>
        <v>0</v>
      </c>
      <c r="AJ291" s="12">
        <f>-AJ164</f>
        <v>0</v>
      </c>
      <c r="AK291" s="12">
        <f>-AK164</f>
        <v>0</v>
      </c>
      <c r="AL291" s="12">
        <f>SUM(AH291:AK291)</f>
        <v>0</v>
      </c>
      <c r="AM291" s="12">
        <f>-AM164</f>
        <v>0</v>
      </c>
      <c r="AN291" s="12">
        <f>-AN164</f>
        <v>0</v>
      </c>
      <c r="AO291" s="12">
        <f>-AO164</f>
        <v>0</v>
      </c>
      <c r="AP291" s="12">
        <f>-AP164</f>
        <v>0</v>
      </c>
      <c r="AQ291" s="12">
        <f>SUM(AM291:AP291)</f>
        <v>0</v>
      </c>
      <c r="AR291" s="12">
        <f>-AR164</f>
        <v>0</v>
      </c>
      <c r="AS291" s="12">
        <f>-AS164</f>
        <v>0</v>
      </c>
      <c r="AT291" s="12">
        <f>-AT164</f>
        <v>0</v>
      </c>
      <c r="AU291" s="12">
        <f>-AU164</f>
        <v>0</v>
      </c>
      <c r="AV291" s="12">
        <f>SUM(AR291:AU291)</f>
        <v>0</v>
      </c>
      <c r="AW291" s="12">
        <f>-AW164</f>
        <v>0</v>
      </c>
      <c r="AX291" s="12">
        <f>-AX164</f>
        <v>0</v>
      </c>
      <c r="AY291" s="12">
        <f>-AY164</f>
        <v>0</v>
      </c>
      <c r="AZ291" s="12">
        <f>-AZ164</f>
        <v>0</v>
      </c>
      <c r="BA291" s="12">
        <f>SUM(AW291:AZ291)</f>
        <v>0</v>
      </c>
      <c r="BB291" s="12">
        <f>-BB164</f>
        <v>0</v>
      </c>
      <c r="BC291" s="12">
        <f>-BC164</f>
        <v>0</v>
      </c>
      <c r="BD291" s="12">
        <f>-BD164</f>
        <v>0</v>
      </c>
      <c r="BE291" s="12">
        <f>-BE164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0" t="inlineStr">
        <is>
          <t>Var.Right-of-use-assets</t>
        </is>
      </c>
      <c r="D292" s="12" t="n"/>
      <c r="E292" s="12" t="n"/>
      <c r="F292" s="12" t="n"/>
      <c r="G292" s="12" t="n"/>
      <c r="H292" s="12" t="n"/>
      <c r="I292" s="12" t="n"/>
      <c r="J292" s="12">
        <f>(J171-I171)*-1</f>
        <v>0</v>
      </c>
      <c r="K292" s="12">
        <f>(K171-J171)*-1</f>
        <v>0</v>
      </c>
      <c r="L292" s="12">
        <f>(L171-K171)*-1</f>
        <v>0</v>
      </c>
      <c r="M292" s="12" t="n"/>
      <c r="N292" s="12">
        <f>(N171-M171)*-1</f>
        <v>0</v>
      </c>
      <c r="O292" s="12">
        <f>(O171-N171)*-1</f>
        <v>0</v>
      </c>
      <c r="P292" s="12">
        <f>(P171-O171)*-1</f>
        <v>0</v>
      </c>
      <c r="Q292" s="12">
        <f>(Q171-P171)*-1</f>
        <v>0</v>
      </c>
      <c r="R292" s="12">
        <f>SUM(N292:Q292)</f>
        <v>0</v>
      </c>
      <c r="S292" s="12">
        <f>(S171-R171)*-1</f>
        <v>0</v>
      </c>
      <c r="T292" s="12">
        <f>(T171-S171)*-1</f>
        <v>0</v>
      </c>
      <c r="U292" s="12">
        <f>(U171-T171)*-1</f>
        <v>0</v>
      </c>
      <c r="V292" s="12">
        <f>(V171-U171)*-1</f>
        <v>0</v>
      </c>
      <c r="W292" s="12">
        <f>SUM(S292:V292)</f>
        <v>0</v>
      </c>
      <c r="X292" s="12">
        <f>(X171-W171)*-1</f>
        <v>0</v>
      </c>
      <c r="Y292" s="12">
        <f>(Y171-X171)*-1</f>
        <v>0</v>
      </c>
      <c r="Z292" s="12">
        <f>(Z171-Y171)*-1</f>
        <v>0</v>
      </c>
      <c r="AA292" s="12">
        <f>(AA171-Z171)*-1</f>
        <v>0</v>
      </c>
      <c r="AB292" s="12">
        <f>SUM(X292:AA292)</f>
        <v>0</v>
      </c>
      <c r="AC292" s="12">
        <f>(AC171-AB171)*-1</f>
        <v>0</v>
      </c>
      <c r="AD292" s="12">
        <f>(AD171-AC171)*-1</f>
        <v>0</v>
      </c>
      <c r="AE292" s="12">
        <f>(AE171-AD171)*-1</f>
        <v>0</v>
      </c>
      <c r="AF292" s="12">
        <f>(AF171-AE171)*-1</f>
        <v>0</v>
      </c>
      <c r="AG292" s="12">
        <f>SUM(AC292:AF292)</f>
        <v>0</v>
      </c>
      <c r="AH292" s="12">
        <f>(AH171-AG171)*-1</f>
        <v>0</v>
      </c>
      <c r="AI292" s="12">
        <f>(AI171-AH171)*-1</f>
        <v>0</v>
      </c>
      <c r="AJ292" s="12">
        <f>(AJ171-AI171)*-1</f>
        <v>0</v>
      </c>
      <c r="AK292" s="12">
        <f>(AK171-AJ171)*-1</f>
        <v>0</v>
      </c>
      <c r="AL292" s="12">
        <f>SUM(AH292:AK292)</f>
        <v>0</v>
      </c>
      <c r="AM292" s="12">
        <f>(AM171-AL171)*-1</f>
        <v>0</v>
      </c>
      <c r="AN292" s="12">
        <f>(AN171-AM171)*-1</f>
        <v>0</v>
      </c>
      <c r="AO292" s="12">
        <f>(AO171-AN171)*-1</f>
        <v>0</v>
      </c>
      <c r="AP292" s="12">
        <f>(AP171-AO171)*-1</f>
        <v>0</v>
      </c>
      <c r="AQ292" s="12">
        <f>SUM(AM292:AP292)</f>
        <v>0</v>
      </c>
      <c r="AR292" s="12">
        <f>(AR171-AQ171)*-1</f>
        <v>0</v>
      </c>
      <c r="AS292" s="12">
        <f>(AS171-AR171)*-1</f>
        <v>0</v>
      </c>
      <c r="AT292" s="12">
        <f>(AT171-AS171)*-1</f>
        <v>0</v>
      </c>
      <c r="AU292" s="12">
        <f>(AU171-AT171)*-1</f>
        <v>0</v>
      </c>
      <c r="AV292" s="12">
        <f>SUM(AR292:AU292)</f>
        <v>0</v>
      </c>
      <c r="AW292" s="12">
        <f>(AW171-AV171)*-1</f>
        <v>0</v>
      </c>
      <c r="AX292" s="12">
        <f>(AX171-AW171)*-1</f>
        <v>0</v>
      </c>
      <c r="AY292" s="12">
        <f>(AY171-AX171)*-1</f>
        <v>0</v>
      </c>
      <c r="AZ292" s="12">
        <f>(AZ171-AY171)*-1</f>
        <v>0</v>
      </c>
      <c r="BA292" s="12">
        <f>SUM(AW292:AZ292)</f>
        <v>0</v>
      </c>
      <c r="BB292" s="12">
        <f>(BB171-BA171)*-1</f>
        <v>0</v>
      </c>
      <c r="BC292" s="12">
        <f>(BC171-BB171)*-1</f>
        <v>0</v>
      </c>
      <c r="BD292" s="12">
        <f>(BD171-BC171)*-1</f>
        <v>0</v>
      </c>
      <c r="BE292" s="12">
        <f>(BE171-BD171)*-1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  <c r="CZ292" s="12" t="n"/>
      <c r="DA292" s="12" t="n"/>
      <c r="DB292" s="12" t="n"/>
      <c r="DC292" s="12" t="n"/>
    </row>
    <row r="293">
      <c r="C293" s="10" t="inlineStr">
        <is>
          <t>Purchases of intangible assets</t>
        </is>
      </c>
      <c r="D293" s="12" t="n"/>
      <c r="E293" s="12" t="n"/>
      <c r="F293" s="12" t="n"/>
      <c r="G293" s="12" t="n"/>
      <c r="H293" s="12" t="n"/>
      <c r="I293" s="12" t="n"/>
      <c r="J293" s="12">
        <f>((J175-I175)*-1)+((J174-I174)*-1)</f>
        <v>95.6000000000008</v>
      </c>
      <c r="K293" s="12">
        <f>((K175-J175)*-1)+((K174-J174)*-1)</f>
        <v>97.7999999999997</v>
      </c>
      <c r="L293" s="12">
        <f>((L175-K175)*-1)+((L174-K174)*-1)</f>
        <v>187.9</v>
      </c>
      <c r="M293" s="12" t="n"/>
      <c r="N293" s="12">
        <f>((N175-M175)*-1)+((N174-M174)*-1)</f>
        <v>209.5</v>
      </c>
      <c r="O293" s="12">
        <f>((O175-N175)*-1)+((O174-N174)*-1)</f>
        <v>-15.1000000000004</v>
      </c>
      <c r="P293" s="12">
        <f>((P175-O175)*-1)+((P174-O174)*-1)</f>
        <v>373.8</v>
      </c>
      <c r="Q293" s="12">
        <f>((Q175-P175)*-1)+((Q174-P174)*-1)</f>
        <v>-263.9</v>
      </c>
      <c r="R293" s="12">
        <f>SUM(N293:Q293)</f>
        <v>304.299999999999</v>
      </c>
      <c r="S293" s="12">
        <f>((S175-R175)*-1)+((S174-R174)*-1)</f>
        <v>119.4</v>
      </c>
      <c r="T293" s="12">
        <f>((T175-S175)*-1)+((T174-S174)*-1)</f>
        <v>177.8</v>
      </c>
      <c r="U293" s="12">
        <f>((U175-T175)*-1)+((U174-T174)*-1)</f>
        <v>115.5</v>
      </c>
      <c r="V293" s="12">
        <f>((V175-U175)*-1)+((V174-U174)*-1)</f>
        <v>-979.400000000001</v>
      </c>
      <c r="W293" s="12">
        <f>SUM(S293:V293)</f>
        <v>-566.7</v>
      </c>
      <c r="X293" s="12">
        <f>((X175-W175)*-1)+((X174-W174)*-1)</f>
        <v>144.5</v>
      </c>
      <c r="Y293" s="12">
        <f>((Y175-X175)*-1)+((Y174-X174)*-1)</f>
        <v>-702.5</v>
      </c>
      <c r="Z293" s="12">
        <f>((Z175-Y175)*-1)+((Z174-Y174)*-1)</f>
        <v>98.6000000000004</v>
      </c>
      <c r="AA293" s="12">
        <f>((AA175-Z175)*-1)+((AA174-Z174)*-1)</f>
        <v>369.099999999999</v>
      </c>
      <c r="AB293" s="12">
        <f>SUM(X293:AA293)</f>
        <v>-90.3000000000002</v>
      </c>
      <c r="AC293" s="12">
        <f>((AC175-AB175)*-1)+((AC174-AB174)*-1)</f>
        <v>153.900000000001</v>
      </c>
      <c r="AD293" s="12">
        <f>((AD175-AC175)*-1)+((AD174-AC174)*-1)</f>
        <v>103.9</v>
      </c>
      <c r="AE293" s="12">
        <f>((AE175-AD175)*-1)+((AE174-AD174)*-1)</f>
        <v>-665.9</v>
      </c>
      <c r="AF293" s="12">
        <f>((AF175-AE175)*-1)+((AF174-AE174)*-1)</f>
        <v>-74.3000000000002</v>
      </c>
      <c r="AG293" s="12">
        <f>SUM(AC293:AF293)</f>
        <v>-482.4</v>
      </c>
      <c r="AH293" s="12">
        <f>((AH175-AG175)*-1)+((AH174-AG174)*-1)</f>
        <v>-1085</v>
      </c>
      <c r="AI293" s="12">
        <f>((AI175-AH175)*-1)+((AI174-AH174)*-1)</f>
        <v>-13455</v>
      </c>
      <c r="AJ293" s="12">
        <f>((AJ175-AI175)*-1)+((AJ174-AI174)*-1)</f>
        <v>0</v>
      </c>
      <c r="AK293" s="12">
        <f>((AK175-AJ175)*-1)+((AK174-AJ174)*-1)</f>
        <v>0</v>
      </c>
      <c r="AL293" s="12">
        <f>SUM(AH293:AK293)</f>
        <v>-14540</v>
      </c>
      <c r="AM293" s="12">
        <f>((AM175-AL175)*-1)+((AM174-AL174)*-1)</f>
        <v>0</v>
      </c>
      <c r="AN293" s="12">
        <f>((AN175-AM175)*-1)+((AN174-AM174)*-1)</f>
        <v>0</v>
      </c>
      <c r="AO293" s="12">
        <f>((AO175-AN175)*-1)+((AO174-AN174)*-1)</f>
        <v>0</v>
      </c>
      <c r="AP293" s="12">
        <f>((AP175-AO175)*-1)+((AP174-AO174)*-1)</f>
        <v>0</v>
      </c>
      <c r="AQ293" s="12">
        <f>SUM(AM293:AP293)</f>
        <v>0</v>
      </c>
      <c r="AR293" s="12">
        <f>((AR175-AQ175)*-1)+((AR174-AQ174)*-1)</f>
        <v>0</v>
      </c>
      <c r="AS293" s="12">
        <f>((AS175-AR175)*-1)+((AS174-AR174)*-1)</f>
        <v>0</v>
      </c>
      <c r="AT293" s="12">
        <f>((AT175-AS175)*-1)+((AT174-AS174)*-1)</f>
        <v>0</v>
      </c>
      <c r="AU293" s="12">
        <f>((AU175-AT175)*-1)+((AU174-AT174)*-1)</f>
        <v>0</v>
      </c>
      <c r="AV293" s="12">
        <f>SUM(AR293:AU293)</f>
        <v>0</v>
      </c>
      <c r="AW293" s="12">
        <f>((AW175-AV175)*-1)+((AW174-AV174)*-1)</f>
        <v>0</v>
      </c>
      <c r="AX293" s="12">
        <f>((AX175-AW175)*-1)+((AX174-AW174)*-1)</f>
        <v>0</v>
      </c>
      <c r="AY293" s="12">
        <f>((AY175-AX175)*-1)+((AY174-AX174)*-1)</f>
        <v>0</v>
      </c>
      <c r="AZ293" s="12">
        <f>((AZ175-AY175)*-1)+((AZ174-AY174)*-1)</f>
        <v>0</v>
      </c>
      <c r="BA293" s="12">
        <f>SUM(AW293:AZ293)</f>
        <v>0</v>
      </c>
      <c r="BB293" s="12">
        <f>((BB175-BA175)*-1)+((BB174-BA174)*-1)</f>
        <v>0</v>
      </c>
      <c r="BC293" s="12">
        <f>((BC175-BB175)*-1)+((BC174-BB174)*-1)</f>
        <v>0</v>
      </c>
      <c r="BD293" s="12">
        <f>((BD175-BC175)*-1)+((BD174-BC174)*-1)</f>
        <v>0</v>
      </c>
      <c r="BE293" s="12">
        <f>((BE175-BD175)*-1)+((BE174-BD174)*-1)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  <c r="CZ293" s="12" t="n"/>
      <c r="DA293" s="12" t="n"/>
      <c r="DB293" s="12" t="n"/>
      <c r="DC293" s="12" t="n"/>
    </row>
    <row r="294">
      <c r="C294" s="71" t="inlineStr">
        <is>
          <t>Purchases/Proceeds from other long-term assets</t>
        </is>
      </c>
      <c r="D294" s="12" t="n"/>
      <c r="E294" s="12" t="n"/>
      <c r="F294" s="12" t="n"/>
      <c r="G294" s="12" t="n"/>
      <c r="H294" s="12" t="n"/>
      <c r="I294" s="12" t="n"/>
      <c r="J294" s="12">
        <f>((J184-I184)*-1)+(J235-I235)</f>
        <v>-291.1</v>
      </c>
      <c r="K294" s="12">
        <f>((K184-J184)*-1)+(K235-J235)</f>
        <v>-9.79999999999927</v>
      </c>
      <c r="L294" s="12">
        <f>((L184-K184)*-1)+(L235-K235)</f>
        <v>-2112</v>
      </c>
      <c r="M294" s="12" t="n"/>
      <c r="N294" s="12">
        <f>((N184-M184)*-1)+(N235-M235)</f>
        <v>396.6</v>
      </c>
      <c r="O294" s="12">
        <f>((O184-N184)*-1)+(O235-N235)</f>
        <v>-449.2</v>
      </c>
      <c r="P294" s="12">
        <f>((P184-O184)*-1)+(P235-O235)</f>
        <v>46.3000000000002</v>
      </c>
      <c r="Q294" s="12">
        <f>((Q184-P184)*-1)+(Q235-P235)</f>
        <v>-704.200000000001</v>
      </c>
      <c r="R294" s="12">
        <f>SUM(N294:Q294)</f>
        <v>-710.5</v>
      </c>
      <c r="S294" s="12">
        <f>((S184-R184)*-1)+(S235-R235)</f>
        <v>226.500000000001</v>
      </c>
      <c r="T294" s="12">
        <f>((T184-S184)*-1)+(T235-S235)</f>
        <v>-564.5</v>
      </c>
      <c r="U294" s="12">
        <f>((U184-T184)*-1)+(U235-T235)</f>
        <v>-91.9000000000006</v>
      </c>
      <c r="V294" s="12">
        <f>((V184-U184)*-1)+(V235-U235)</f>
        <v>403.8</v>
      </c>
      <c r="W294" s="12">
        <f>SUM(S294:V294)</f>
        <v>-26.0999999999995</v>
      </c>
      <c r="X294" s="12">
        <f>((X184-W184)*-1)+(X235-W235)</f>
        <v>606.6</v>
      </c>
      <c r="Y294" s="12">
        <f>((Y184-X184)*-1)+(Y235-X235)</f>
        <v>-486.900000000001</v>
      </c>
      <c r="Z294" s="12">
        <f>((Z184-Y184)*-1)+(Z235-Y235)</f>
        <v>-361.5</v>
      </c>
      <c r="AA294" s="12">
        <f>((AA184-Z184)*-1)+(AA235-Z235)</f>
        <v>-640.7</v>
      </c>
      <c r="AB294" s="12">
        <f>SUM(X294:AA294)</f>
        <v>-882.5</v>
      </c>
      <c r="AC294" s="12">
        <f>((AC184-AB184)*-1)+(AC235-AB235)</f>
        <v>1072.8</v>
      </c>
      <c r="AD294" s="12">
        <f>((AD184-AC184)*-1)+(AD235-AC235)</f>
        <v>264</v>
      </c>
      <c r="AE294" s="12">
        <f>((AE184-AD184)*-1)+(AE235-AD235)</f>
        <v>888.6</v>
      </c>
      <c r="AF294" s="12">
        <f>((AF184-AE184)*-1)+(AF235-AE235)</f>
        <v>-756.4</v>
      </c>
      <c r="AG294" s="12">
        <f>SUM(AC294:AF294)</f>
        <v>1469</v>
      </c>
      <c r="AH294" s="12">
        <f>((AH184-AG184)*-1)+(AH235-AG235)</f>
        <v>-1027</v>
      </c>
      <c r="AI294" s="12">
        <f>((AI184-AH184)*-1)+(AI235-AH235)</f>
        <v>2476</v>
      </c>
      <c r="AJ294" s="12">
        <f>((AJ184-AI184)*-1)+(AJ235-AI235)</f>
        <v>0</v>
      </c>
      <c r="AK294" s="12">
        <f>((AK184-AJ184)*-1)+(AK235-AJ235)</f>
        <v>0</v>
      </c>
      <c r="AL294" s="12">
        <f>SUM(AH294:AK294)</f>
        <v>1449</v>
      </c>
      <c r="AM294" s="12">
        <f>((AM184-AL184)*-1)+(AM235-AL235)</f>
        <v>0</v>
      </c>
      <c r="AN294" s="12">
        <f>((AN184-AM184)*-1)+(AN235-AM235)</f>
        <v>0</v>
      </c>
      <c r="AO294" s="12">
        <f>((AO184-AN184)*-1)+(AO235-AN235)</f>
        <v>0</v>
      </c>
      <c r="AP294" s="12">
        <f>((AP184-AO184)*-1)+(AP235-AO235)</f>
        <v>0</v>
      </c>
      <c r="AQ294" s="12">
        <f>SUM(AM294:AP294)</f>
        <v>0</v>
      </c>
      <c r="AR294" s="12">
        <f>((AR184-AQ184)*-1)+(AR235-AQ235)</f>
        <v>0</v>
      </c>
      <c r="AS294" s="12">
        <f>((AS184-AR184)*-1)+(AS235-AR235)</f>
        <v>0</v>
      </c>
      <c r="AT294" s="12">
        <f>((AT184-AS184)*-1)+(AT235-AS235)</f>
        <v>0</v>
      </c>
      <c r="AU294" s="12">
        <f>((AU184-AT184)*-1)+(AU235-AT235)</f>
        <v>0</v>
      </c>
      <c r="AV294" s="12">
        <f>SUM(AR294:AU294)</f>
        <v>0</v>
      </c>
      <c r="AW294" s="12">
        <f>((AW184-AV184)*-1)+(AW235-AV235)</f>
        <v>0</v>
      </c>
      <c r="AX294" s="12">
        <f>((AX184-AW184)*-1)+(AX235-AW235)</f>
        <v>0</v>
      </c>
      <c r="AY294" s="12">
        <f>((AY184-AX184)*-1)+(AY235-AX235)</f>
        <v>0</v>
      </c>
      <c r="AZ294" s="12">
        <f>((AZ184-AY184)*-1)+(AZ235-AY235)</f>
        <v>0</v>
      </c>
      <c r="BA294" s="12">
        <f>SUM(AW294:AZ294)</f>
        <v>0</v>
      </c>
      <c r="BB294" s="12">
        <f>((BB184-BA184)*-1)+(BB235-BA235)</f>
        <v>0</v>
      </c>
      <c r="BC294" s="12">
        <f>((BC184-BB184)*-1)+(BC235-BB235)</f>
        <v>0</v>
      </c>
      <c r="BD294" s="12">
        <f>((BD184-BC184)*-1)+(BD235-BC235)</f>
        <v>0</v>
      </c>
      <c r="BE294" s="12">
        <f>((BE184-BD184)*-1)+(BE235-BD235)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Cash from investing</t>
        </is>
      </c>
      <c r="D295" s="12" t="n"/>
      <c r="E295" s="12" t="n"/>
      <c r="F295" s="12" t="n"/>
      <c r="G295" s="12" t="n"/>
      <c r="H295" s="12" t="n"/>
      <c r="I295" s="12" t="n"/>
      <c r="J295" s="12">
        <f>SUM(J290,J291,J293,J294,J292)</f>
        <v>-790.199999999999</v>
      </c>
      <c r="K295" s="12">
        <f>SUM(K290,K291,K293,K294,K292)</f>
        <v>-359.199999999999</v>
      </c>
      <c r="L295" s="12">
        <f>SUM(L290,L291,L293,L294,L292)</f>
        <v>-2434.5</v>
      </c>
      <c r="M295" s="12" t="n"/>
      <c r="N295" s="12">
        <f>SUM(N290,N291,N293,N294,N292)</f>
        <v>52.8</v>
      </c>
      <c r="O295" s="12">
        <f>SUM(O290,O291,O293,O294,O292)</f>
        <v>-838.7</v>
      </c>
      <c r="P295" s="12">
        <f>SUM(P290,P291,P293,P294,P292)</f>
        <v>-125.899999999999</v>
      </c>
      <c r="Q295" s="12">
        <f>SUM(Q290,Q291,Q293,Q294,Q292)</f>
        <v>-2175.8</v>
      </c>
      <c r="R295" s="12">
        <f>SUM(R290,R291,R293,R294)</f>
        <v>-3087.6</v>
      </c>
      <c r="S295" s="12">
        <f>SUM(S290,S291,S293,S294,S292)</f>
        <v>-418.6</v>
      </c>
      <c r="T295" s="12">
        <f>SUM(T290,T291,T293,T294,T292)</f>
        <v>-1484.2</v>
      </c>
      <c r="U295" s="12">
        <f>SUM(U290,U291,U293,U294,U292)</f>
        <v>-973.200000000001</v>
      </c>
      <c r="V295" s="12">
        <f>SUM(V290,V291,V293,V294,V292)</f>
        <v>-2013.7</v>
      </c>
      <c r="W295" s="12">
        <f>SUM(W290,W291,W293,W294)</f>
        <v>-4889.7</v>
      </c>
      <c r="X295" s="12">
        <f>SUM(X290,X291,X293,X294,X292)</f>
        <v>-359.899999999999</v>
      </c>
      <c r="Y295" s="12">
        <f>SUM(Y290,Y291,Y293,Y294,Y292)</f>
        <v>-2809.2</v>
      </c>
      <c r="Z295" s="12">
        <f>SUM(Z290,Z291,Z293,Z294,Z292)</f>
        <v>-2072.1</v>
      </c>
      <c r="AA295" s="12">
        <f>SUM(AA290,AA291,AA293,AA294,AA292)</f>
        <v>-1687</v>
      </c>
      <c r="AB295" s="12">
        <f>SUM(AB290,AB291,AB293,AB294)</f>
        <v>-6928.2</v>
      </c>
      <c r="AC295" s="12">
        <f>SUM(AC290,AC291,AC293,AC294,AC292)</f>
        <v>-607.799999999997</v>
      </c>
      <c r="AD295" s="12">
        <f>SUM(AD290,AD291,AD293,AD294,AD292)</f>
        <v>-2166.2</v>
      </c>
      <c r="AE295" s="12">
        <f>SUM(AE290,AE291,AE293,AE294,AE292)</f>
        <v>-2033.6</v>
      </c>
      <c r="AF295" s="12">
        <f>SUM(AF290,AF291,AF293,AF294,AF292)</f>
        <v>-3775.4</v>
      </c>
      <c r="AG295" s="12">
        <f>SUM(AG290,AG291,AG293,AG294)</f>
        <v>-8583</v>
      </c>
      <c r="AH295" s="12">
        <f>SUM(AH290,AH291,AH293,AH294,AH292)</f>
        <v>-4486</v>
      </c>
      <c r="AI295" s="12">
        <f>SUM(AI290,AI291,AI293,AI294,AI292)</f>
        <v>-14259</v>
      </c>
      <c r="AJ295" s="12">
        <f>SUM(AJ290,AJ291,AJ293,AJ294,AJ292)</f>
        <v>-3650.53973297693</v>
      </c>
      <c r="AK295" s="12">
        <f>SUM(AK290,AK291,AK293,AK294,AK292)</f>
        <v>-4001.30747060309</v>
      </c>
      <c r="AL295" s="12">
        <f>SUM(AL290,AL291,AL293,AL294)</f>
        <v>-26396.84720358</v>
      </c>
      <c r="AM295" s="12">
        <f>SUM(AM290,AM291,AM293,AM294,AM292)</f>
        <v>-4106.46312515398</v>
      </c>
      <c r="AN295" s="12">
        <f>SUM(AN290,AN291,AN293,AN294,AN292)</f>
        <v>-4764.9822636137</v>
      </c>
      <c r="AO295" s="12">
        <f>SUM(AO290,AO291,AO293,AO294,AO292)</f>
        <v>-5369.06050703013</v>
      </c>
      <c r="AP295" s="12">
        <f>SUM(AP290,AP291,AP293,AP294,AP292)</f>
        <v>-5884.95496236679</v>
      </c>
      <c r="AQ295" s="12">
        <f>SUM(AQ290,AQ291,AQ293,AQ294)</f>
        <v>-20125.4608581646</v>
      </c>
      <c r="AR295" s="12">
        <f>SUM(AR290,AR291,AR293,AR294,AR292)</f>
        <v>-6019.08116664149</v>
      </c>
      <c r="AS295" s="12">
        <f>SUM(AS290,AS291,AS293,AS294,AS292)</f>
        <v>-6984.31086026676</v>
      </c>
      <c r="AT295" s="12">
        <f>SUM(AT290,AT291,AT293,AT294,AT292)</f>
        <v>-7869.74337659781</v>
      </c>
      <c r="AU295" s="12">
        <f>SUM(AU290,AU291,AU293,AU294,AU292)</f>
        <v>-8625.91980031163</v>
      </c>
      <c r="AV295" s="12">
        <f>SUM(AV290,AV291,AV293,AV294)</f>
        <v>-29499.0552038177</v>
      </c>
      <c r="AW295" s="12">
        <f>SUM(AW290,AW291,AW293,AW294,AW292)</f>
        <v>-8792.42095105233</v>
      </c>
      <c r="AX295" s="12">
        <f>SUM(AX290,AX291,AX293,AX294,AX292)</f>
        <v>-10202.3879453243</v>
      </c>
      <c r="AY295" s="12">
        <f>SUM(AY290,AY291,AY293,AY294,AY292)</f>
        <v>-11495.7905746954</v>
      </c>
      <c r="AZ295" s="12">
        <f>SUM(AZ290,AZ291,AZ293,AZ294,AZ292)</f>
        <v>-12600.3813330658</v>
      </c>
      <c r="BA295" s="12">
        <f>SUM(BA290,BA291,BA293,BA294)</f>
        <v>-43090.9808041378</v>
      </c>
      <c r="BB295" s="12">
        <f>SUM(BB290,BB291,BB293,BB294,BB292)</f>
        <v>-12799.637115828</v>
      </c>
      <c r="BC295" s="12">
        <f>SUM(BC290,BC291,BC293,BC294,BC292)</f>
        <v>-14852.2078437816</v>
      </c>
      <c r="BD295" s="12">
        <f>SUM(BD290,BD291,BD293,BD294,BD292)</f>
        <v>-16735.0890653212</v>
      </c>
      <c r="BE295" s="12">
        <f>SUM(BE290,BE291,BE293,BE294,BE292)</f>
        <v>-18343.1058956511</v>
      </c>
      <c r="BF295" s="12">
        <f>SUM(BF290,BF291,BF293,BF294)</f>
        <v>-62730.0399205819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Convertible preferred stock</t>
        </is>
      </c>
      <c r="D297" s="12" t="n"/>
      <c r="E297" s="12" t="n"/>
      <c r="F297" s="12" t="n"/>
      <c r="G297" s="12" t="n"/>
      <c r="H297" s="12" t="n"/>
      <c r="I297" s="12" t="n"/>
      <c r="J297" s="12">
        <f>J248-I248</f>
        <v>0</v>
      </c>
      <c r="K297" s="12">
        <f>K248-J248</f>
        <v>0</v>
      </c>
      <c r="L297" s="12">
        <f>L248-K248</f>
        <v>0</v>
      </c>
      <c r="M297" s="12" t="n"/>
      <c r="N297" s="12">
        <f>N248-M248</f>
        <v>0</v>
      </c>
      <c r="O297" s="12">
        <f>O248-N248</f>
        <v>0</v>
      </c>
      <c r="P297" s="12">
        <f>P248-O248</f>
        <v>0</v>
      </c>
      <c r="Q297" s="12">
        <f>Q248-P248</f>
        <v>0</v>
      </c>
      <c r="R297" s="12">
        <f>SUM(N297:Q297)</f>
        <v>0</v>
      </c>
      <c r="S297" s="12">
        <f>S248-R248</f>
        <v>0</v>
      </c>
      <c r="T297" s="12">
        <f>T248-S248</f>
        <v>0</v>
      </c>
      <c r="U297" s="12">
        <f>U248-T248</f>
        <v>0</v>
      </c>
      <c r="V297" s="12">
        <f>V248-U248</f>
        <v>0</v>
      </c>
      <c r="W297" s="12">
        <f>SUM(S297:V297)</f>
        <v>0</v>
      </c>
      <c r="X297" s="12">
        <f>X248-W248</f>
        <v>0</v>
      </c>
      <c r="Y297" s="12">
        <f>Y248-X248</f>
        <v>0</v>
      </c>
      <c r="Z297" s="12">
        <f>Z248-Y248</f>
        <v>0</v>
      </c>
      <c r="AA297" s="12">
        <f>AA248-Z248</f>
        <v>0</v>
      </c>
      <c r="AB297" s="12">
        <f>SUM(X297:AA297)</f>
        <v>0</v>
      </c>
      <c r="AC297" s="12">
        <f>AC248-AB248</f>
        <v>0</v>
      </c>
      <c r="AD297" s="12">
        <f>AD248-AC248</f>
        <v>0</v>
      </c>
      <c r="AE297" s="12">
        <f>AE248-AD248</f>
        <v>0</v>
      </c>
      <c r="AF297" s="12">
        <f>AF248-AE248</f>
        <v>0</v>
      </c>
      <c r="AG297" s="12">
        <f>SUM(AC297:AF297)</f>
        <v>0</v>
      </c>
      <c r="AH297" s="12">
        <f>AH248-AG248</f>
        <v>0</v>
      </c>
      <c r="AI297" s="12">
        <f>AI248-AH248</f>
        <v>0</v>
      </c>
      <c r="AJ297" s="12">
        <f>AJ248-AI248</f>
        <v>0</v>
      </c>
      <c r="AK297" s="12">
        <f>AK248-AJ248</f>
        <v>0</v>
      </c>
      <c r="AL297" s="12">
        <f>SUM(AH297:AK297)</f>
        <v>0</v>
      </c>
      <c r="AM297" s="12">
        <f>AM248-AL248</f>
        <v>0</v>
      </c>
      <c r="AN297" s="12">
        <f>AN248-AM248</f>
        <v>0</v>
      </c>
      <c r="AO297" s="12">
        <f>AO248-AN248</f>
        <v>0</v>
      </c>
      <c r="AP297" s="12">
        <f>AP248-AO248</f>
        <v>0</v>
      </c>
      <c r="AQ297" s="12">
        <f>SUM(AM297:AP297)</f>
        <v>0</v>
      </c>
      <c r="AR297" s="12">
        <f>AR248-AQ248</f>
        <v>0</v>
      </c>
      <c r="AS297" s="12">
        <f>AS248-AR248</f>
        <v>0</v>
      </c>
      <c r="AT297" s="12">
        <f>AT248-AS248</f>
        <v>0</v>
      </c>
      <c r="AU297" s="12">
        <f>AU248-AT248</f>
        <v>0</v>
      </c>
      <c r="AV297" s="12">
        <f>SUM(AR297:AU297)</f>
        <v>0</v>
      </c>
      <c r="AW297" s="12">
        <f>AW248-AV248</f>
        <v>0</v>
      </c>
      <c r="AX297" s="12">
        <f>AX248-AW248</f>
        <v>0</v>
      </c>
      <c r="AY297" s="12">
        <f>AY248-AX248</f>
        <v>0</v>
      </c>
      <c r="AZ297" s="12">
        <f>AZ248-AY248</f>
        <v>0</v>
      </c>
      <c r="BA297" s="12">
        <f>SUM(AW297:AZ297)</f>
        <v>0</v>
      </c>
      <c r="BB297" s="12">
        <f>BB248-BA248</f>
        <v>0</v>
      </c>
      <c r="BC297" s="12">
        <f>BC248-BB248</f>
        <v>0</v>
      </c>
      <c r="BD297" s="12">
        <f>BD248-BC248</f>
        <v>0</v>
      </c>
      <c r="BE297" s="12">
        <f>BE248-BD248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inlineStr">
        <is>
          <t>Common stock and APIC</t>
        </is>
      </c>
      <c r="D298" s="12" t="n"/>
      <c r="E298" s="12" t="n"/>
      <c r="F298" s="12" t="n"/>
      <c r="G298" s="12" t="n"/>
      <c r="H298" s="12" t="n"/>
      <c r="I298" s="12" t="n"/>
      <c r="J298" s="12">
        <f>J249-I249</f>
        <v>88.4000000000006</v>
      </c>
      <c r="K298" s="12">
        <f>K249-J249</f>
        <v>88.8999999999996</v>
      </c>
      <c r="L298" s="12">
        <f>L249-K249</f>
        <v>73.5</v>
      </c>
      <c r="M298" s="12" t="n"/>
      <c r="N298" s="12">
        <f>N249-M249</f>
        <v>-179.3</v>
      </c>
      <c r="O298" s="12">
        <f>O249-N249</f>
        <v>89.7000000000007</v>
      </c>
      <c r="P298" s="12">
        <f>P249-O249</f>
        <v>83</v>
      </c>
      <c r="Q298" s="12">
        <f>Q249-P249</f>
        <v>92.3999999999996</v>
      </c>
      <c r="R298" s="12">
        <f>SUM(N298:Q298)</f>
        <v>85.8000000000002</v>
      </c>
      <c r="S298" s="12">
        <f>S249-R249</f>
        <v>-128.9</v>
      </c>
      <c r="T298" s="12">
        <f>T249-S249</f>
        <v>155.599999999999</v>
      </c>
      <c r="U298" s="12">
        <f>U249-T249</f>
        <v>211.400000000001</v>
      </c>
      <c r="V298" s="12">
        <f>V249-U249</f>
        <v>90.3999999999996</v>
      </c>
      <c r="W298" s="12">
        <f>SUM(S298:V298)</f>
        <v>328.5</v>
      </c>
      <c r="X298" s="12">
        <f>X249-W249</f>
        <v>-240.3</v>
      </c>
      <c r="Y298" s="12">
        <f>Y249-X249</f>
        <v>204.7</v>
      </c>
      <c r="Z298" s="12">
        <f>Z249-Y249</f>
        <v>125.1</v>
      </c>
      <c r="AA298" s="12">
        <f>AA249-Z249</f>
        <v>98.1999999999998</v>
      </c>
      <c r="AB298" s="12">
        <f>SUM(X298:AA298)</f>
        <v>187.7</v>
      </c>
      <c r="AC298" s="12">
        <f>AC249-AB249</f>
        <v>-529.1</v>
      </c>
      <c r="AD298" s="12">
        <f>AD249-AC249</f>
        <v>178.7</v>
      </c>
      <c r="AE298" s="12">
        <f>AE249-AD249</f>
        <v>142</v>
      </c>
      <c r="AF298" s="12">
        <f>AF249-AE249</f>
        <v>112.7</v>
      </c>
      <c r="AG298" s="12">
        <f>SUM(AC298:AF298)</f>
        <v>-95.6999999999998</v>
      </c>
      <c r="AH298" s="12">
        <f>AH249-AG249</f>
        <v>-425</v>
      </c>
      <c r="AI298" s="12">
        <f>AI249-AH249</f>
        <v>194</v>
      </c>
      <c r="AJ298" s="12">
        <f>AJ249-AI249</f>
        <v>0</v>
      </c>
      <c r="AK298" s="12">
        <f>AK249-AJ249</f>
        <v>0</v>
      </c>
      <c r="AL298" s="12">
        <f>SUM(AH298:AK298)</f>
        <v>-231</v>
      </c>
      <c r="AM298" s="12">
        <f>AM249-AL249</f>
        <v>0</v>
      </c>
      <c r="AN298" s="12">
        <f>AN249-AM249</f>
        <v>0</v>
      </c>
      <c r="AO298" s="12">
        <f>AO249-AN249</f>
        <v>0</v>
      </c>
      <c r="AP298" s="12">
        <f>AP249-AO249</f>
        <v>0</v>
      </c>
      <c r="AQ298" s="12">
        <f>SUM(AM298:AP298)</f>
        <v>0</v>
      </c>
      <c r="AR298" s="12">
        <f>AR249-AQ249</f>
        <v>0</v>
      </c>
      <c r="AS298" s="12">
        <f>AS249-AR249</f>
        <v>0</v>
      </c>
      <c r="AT298" s="12">
        <f>AT249-AS249</f>
        <v>0</v>
      </c>
      <c r="AU298" s="12">
        <f>AU249-AT249</f>
        <v>0</v>
      </c>
      <c r="AV298" s="12">
        <f>SUM(AR298:AU298)</f>
        <v>0</v>
      </c>
      <c r="AW298" s="12">
        <f>AW249-AV249</f>
        <v>0</v>
      </c>
      <c r="AX298" s="12">
        <f>AX249-AW249</f>
        <v>0</v>
      </c>
      <c r="AY298" s="12">
        <f>AY249-AX249</f>
        <v>0</v>
      </c>
      <c r="AZ298" s="12">
        <f>AZ249-AY249</f>
        <v>0</v>
      </c>
      <c r="BA298" s="12">
        <f>SUM(AW298:AZ298)</f>
        <v>0</v>
      </c>
      <c r="BB298" s="12">
        <f>BB249-BA249</f>
        <v>0</v>
      </c>
      <c r="BC298" s="12">
        <f>BC249-BB249</f>
        <v>0</v>
      </c>
      <c r="BD298" s="12">
        <f>BD249-BC249</f>
        <v>0</v>
      </c>
      <c r="BE298" s="12">
        <f>BE249-BD249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Treasury stock repurchases</t>
        </is>
      </c>
      <c r="D299" s="12" t="n"/>
      <c r="E299" s="12" t="n"/>
      <c r="F299" s="12" t="n"/>
      <c r="G299" s="12" t="n"/>
      <c r="H299" s="12" t="n"/>
      <c r="I299" s="12" t="n"/>
      <c r="J299" s="12">
        <f>J262-I262</f>
        <v>0</v>
      </c>
      <c r="K299" s="12">
        <f>K262-J262</f>
        <v>0</v>
      </c>
      <c r="L299" s="12">
        <f>L262-K262</f>
        <v>0</v>
      </c>
      <c r="M299" s="12" t="n"/>
      <c r="N299" s="12">
        <f>N262-M262</f>
        <v>2.20000000000027</v>
      </c>
      <c r="O299" s="12">
        <f>O262-N262</f>
        <v>0</v>
      </c>
      <c r="P299" s="12">
        <f>P262-O262</f>
        <v>0</v>
      </c>
      <c r="Q299" s="12">
        <f>Q262-P262</f>
        <v>0</v>
      </c>
      <c r="R299" s="12">
        <f>SUM(N299:Q299)</f>
        <v>2.20000000000027</v>
      </c>
      <c r="S299" s="12">
        <f>S262-R262</f>
        <v>5.5</v>
      </c>
      <c r="T299" s="12">
        <f>T262-S262</f>
        <v>0</v>
      </c>
      <c r="U299" s="12">
        <f>U262-T262</f>
        <v>0</v>
      </c>
      <c r="V299" s="12">
        <f>V262-U262</f>
        <v>0.799999999999727</v>
      </c>
      <c r="W299" s="12">
        <f>SUM(S299:V299)</f>
        <v>6.29999999999973</v>
      </c>
      <c r="X299" s="12">
        <f>X262-W262</f>
        <v>11.5</v>
      </c>
      <c r="Y299" s="12">
        <f>Y262-X262</f>
        <v>0</v>
      </c>
      <c r="Z299" s="12">
        <f>Z262-Y262</f>
        <v>0</v>
      </c>
      <c r="AA299" s="12">
        <f>AA262-Z262</f>
        <v>-16.7999999999997</v>
      </c>
      <c r="AB299" s="12">
        <f>SUM(X299:AA299)</f>
        <v>-5.29999999999973</v>
      </c>
      <c r="AC299" s="12">
        <f>AC262-AB262</f>
        <v>0</v>
      </c>
      <c r="AD299" s="12">
        <f>AD262-AC262</f>
        <v>-5.90000000000009</v>
      </c>
      <c r="AE299" s="12">
        <f>AE262-AD262</f>
        <v>-7.09999999999991</v>
      </c>
      <c r="AF299" s="12">
        <f>AF262-AE262</f>
        <v>62.6999999999998</v>
      </c>
      <c r="AG299" s="12">
        <f>SUM(AC299:AF299)</f>
        <v>49.6999999999998</v>
      </c>
      <c r="AH299" s="12">
        <f>AH262-AG262</f>
        <v>0</v>
      </c>
      <c r="AI299" s="12">
        <f>AI262-AH262</f>
        <v>0</v>
      </c>
      <c r="AJ299" s="12">
        <f>AJ262-AI262</f>
        <v>0</v>
      </c>
      <c r="AK299" s="12">
        <f>AK262-AJ262</f>
        <v>0</v>
      </c>
      <c r="AL299" s="12">
        <f>SUM(AH299:AK299)</f>
        <v>0</v>
      </c>
      <c r="AM299" s="12">
        <f>AM262-AL262</f>
        <v>0</v>
      </c>
      <c r="AN299" s="12">
        <f>AN262-AM262</f>
        <v>0</v>
      </c>
      <c r="AO299" s="12">
        <f>AO262-AN262</f>
        <v>0</v>
      </c>
      <c r="AP299" s="12">
        <f>AP262-AO262</f>
        <v>0</v>
      </c>
      <c r="AQ299" s="12">
        <f>SUM(AM299:AP299)</f>
        <v>0</v>
      </c>
      <c r="AR299" s="12">
        <f>AR262-AQ262</f>
        <v>0</v>
      </c>
      <c r="AS299" s="12">
        <f>AS262-AR262</f>
        <v>0</v>
      </c>
      <c r="AT299" s="12">
        <f>AT262-AS262</f>
        <v>0</v>
      </c>
      <c r="AU299" s="12">
        <f>AU262-AT262</f>
        <v>0</v>
      </c>
      <c r="AV299" s="12">
        <f>SUM(AR299:AU299)</f>
        <v>0</v>
      </c>
      <c r="AW299" s="12">
        <f>AW262-AV262</f>
        <v>0</v>
      </c>
      <c r="AX299" s="12">
        <f>AX262-AW262</f>
        <v>0</v>
      </c>
      <c r="AY299" s="12">
        <f>AY262-AX262</f>
        <v>0</v>
      </c>
      <c r="AZ299" s="12">
        <f>AZ262-AY262</f>
        <v>0</v>
      </c>
      <c r="BA299" s="12">
        <f>SUM(AW299:AZ299)</f>
        <v>0</v>
      </c>
      <c r="BB299" s="12">
        <f>BB262-BA262</f>
        <v>0</v>
      </c>
      <c r="BC299" s="12">
        <f>BC262-BB262</f>
        <v>0</v>
      </c>
      <c r="BD299" s="12">
        <f>BD262-BC262</f>
        <v>0</v>
      </c>
      <c r="BE299" s="12">
        <f>BE262-BD262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Comprehensive accumulated loss</t>
        </is>
      </c>
      <c r="D300" s="12" t="n"/>
      <c r="E300" s="12" t="n"/>
      <c r="F300" s="12" t="n"/>
      <c r="G300" s="12" t="n"/>
      <c r="H300" s="12" t="n"/>
      <c r="I300" s="12" t="n"/>
      <c r="J300" s="12">
        <f>J263-I263</f>
        <v>108.5</v>
      </c>
      <c r="K300" s="12">
        <f>K263-J263</f>
        <v>114.400000000001</v>
      </c>
      <c r="L300" s="12">
        <f>L263-K263</f>
        <v>1829.6</v>
      </c>
      <c r="M300" s="12" t="n"/>
      <c r="N300" s="12">
        <f>N263-M263</f>
        <v>117.8</v>
      </c>
      <c r="O300" s="12">
        <f>O263-N263</f>
        <v>-62.3999999999996</v>
      </c>
      <c r="P300" s="12">
        <f>P263-O263</f>
        <v>-8.10000000000036</v>
      </c>
      <c r="Q300" s="12">
        <f>Q263-P263</f>
        <v>451.2</v>
      </c>
      <c r="R300" s="12">
        <f>SUM(N300:Q300)</f>
        <v>498.5</v>
      </c>
      <c r="S300" s="12">
        <f>S263-R263</f>
        <v>67.2999999999997</v>
      </c>
      <c r="T300" s="12">
        <f>T263-S263</f>
        <v>-11.3999999999996</v>
      </c>
      <c r="U300" s="12">
        <f>U263-T263</f>
        <v>3.79999999999973</v>
      </c>
      <c r="V300" s="12">
        <f>V263-U263</f>
        <v>-542.1</v>
      </c>
      <c r="W300" s="12">
        <f>SUM(S300:V300)</f>
        <v>-482.4</v>
      </c>
      <c r="X300" s="12">
        <f>X263-W263</f>
        <v>27.5</v>
      </c>
      <c r="Y300" s="12">
        <f>Y263-X263</f>
        <v>-79</v>
      </c>
      <c r="Z300" s="12">
        <f>Z263-Y263</f>
        <v>103.7</v>
      </c>
      <c r="AA300" s="12">
        <f>AA263-Z263</f>
        <v>-47.0999999999995</v>
      </c>
      <c r="AB300" s="12">
        <f>SUM(X300:AA300)</f>
        <v>5.10000000000036</v>
      </c>
      <c r="AC300" s="12">
        <f>AC263-AB263</f>
        <v>547.3</v>
      </c>
      <c r="AD300" s="12">
        <f>AD263-AC263</f>
        <v>58.5999999999999</v>
      </c>
      <c r="AE300" s="12">
        <f>AE263-AD263</f>
        <v>509.7</v>
      </c>
      <c r="AF300" s="12">
        <f>AF263-AE263</f>
        <v>326.3</v>
      </c>
      <c r="AG300" s="12">
        <f>SUM(AC300:AF300)</f>
        <v>1441.9</v>
      </c>
      <c r="AH300" s="12">
        <f>AH263-AG263</f>
        <v>47</v>
      </c>
      <c r="AI300" s="12">
        <f>AI263-AH263</f>
        <v>72</v>
      </c>
      <c r="AJ300" s="12">
        <f>AJ263-AI263</f>
        <v>0</v>
      </c>
      <c r="AK300" s="12">
        <f>AK263-AJ263</f>
        <v>0</v>
      </c>
      <c r="AL300" s="12">
        <f>SUM(AH300:AK300)</f>
        <v>119</v>
      </c>
      <c r="AM300" s="12">
        <f>AM263-AL263</f>
        <v>0</v>
      </c>
      <c r="AN300" s="12">
        <f>AN263-AM263</f>
        <v>0</v>
      </c>
      <c r="AO300" s="12">
        <f>AO263-AN263</f>
        <v>0</v>
      </c>
      <c r="AP300" s="12">
        <f>AP263-AO263</f>
        <v>0</v>
      </c>
      <c r="AQ300" s="12">
        <f>SUM(AM300:AP300)</f>
        <v>0</v>
      </c>
      <c r="AR300" s="12">
        <f>AR263-AQ263</f>
        <v>0</v>
      </c>
      <c r="AS300" s="12">
        <f>AS263-AR263</f>
        <v>0</v>
      </c>
      <c r="AT300" s="12">
        <f>AT263-AS263</f>
        <v>0</v>
      </c>
      <c r="AU300" s="12">
        <f>AU263-AT263</f>
        <v>0</v>
      </c>
      <c r="AV300" s="12">
        <f>SUM(AR300:AU300)</f>
        <v>0</v>
      </c>
      <c r="AW300" s="12">
        <f>AW263-AV263</f>
        <v>0</v>
      </c>
      <c r="AX300" s="12">
        <f>AX263-AW263</f>
        <v>0</v>
      </c>
      <c r="AY300" s="12">
        <f>AY263-AX263</f>
        <v>0</v>
      </c>
      <c r="AZ300" s="12">
        <f>AZ263-AY263</f>
        <v>0</v>
      </c>
      <c r="BA300" s="12">
        <f>SUM(AW300:AZ300)</f>
        <v>0</v>
      </c>
      <c r="BB300" s="12">
        <f>BB263-BA263</f>
        <v>0</v>
      </c>
      <c r="BC300" s="12">
        <f>BC263-BB263</f>
        <v>0</v>
      </c>
      <c r="BD300" s="12">
        <f>BD263-BC263</f>
        <v>0</v>
      </c>
      <c r="BE300" s="12">
        <f>BE263-BD263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4" t="inlineStr">
        <is>
          <t>Other equity account</t>
        </is>
      </c>
      <c r="D301" s="12" t="n"/>
      <c r="E301" s="12" t="n"/>
      <c r="F301" s="12" t="n"/>
      <c r="G301" s="12" t="n"/>
      <c r="H301" s="12" t="n"/>
      <c r="I301" s="12" t="n"/>
      <c r="J301" s="12">
        <f>J264-I264</f>
        <v>0</v>
      </c>
      <c r="K301" s="12">
        <f>K264-J264</f>
        <v>0</v>
      </c>
      <c r="L301" s="12">
        <f>L264-K264</f>
        <v>0</v>
      </c>
      <c r="M301" s="12" t="n"/>
      <c r="N301" s="12">
        <f>N264-M264</f>
        <v>0</v>
      </c>
      <c r="O301" s="12">
        <f>O264-N264</f>
        <v>0</v>
      </c>
      <c r="P301" s="12">
        <f>P264-O264</f>
        <v>0</v>
      </c>
      <c r="Q301" s="12">
        <f>Q264-P264</f>
        <v>0</v>
      </c>
      <c r="R301" s="12">
        <f>SUM(N301:Q301)</f>
        <v>0</v>
      </c>
      <c r="S301" s="12">
        <f>S264-R264</f>
        <v>0</v>
      </c>
      <c r="T301" s="12">
        <f>T264-S264</f>
        <v>0</v>
      </c>
      <c r="U301" s="12">
        <f>U264-T264</f>
        <v>0</v>
      </c>
      <c r="V301" s="12">
        <f>V264-U264</f>
        <v>0</v>
      </c>
      <c r="W301" s="12">
        <f>SUM(S301:V301)</f>
        <v>0</v>
      </c>
      <c r="X301" s="12">
        <f>X264-W264</f>
        <v>0</v>
      </c>
      <c r="Y301" s="12">
        <f>Y264-X264</f>
        <v>0</v>
      </c>
      <c r="Z301" s="12">
        <f>Z264-Y264</f>
        <v>0</v>
      </c>
      <c r="AA301" s="12">
        <f>AA264-Z264</f>
        <v>0</v>
      </c>
      <c r="AB301" s="12">
        <f>SUM(X301:AA301)</f>
        <v>0</v>
      </c>
      <c r="AC301" s="12">
        <f>AC264-AB264</f>
        <v>0</v>
      </c>
      <c r="AD301" s="12">
        <f>AD264-AC264</f>
        <v>0</v>
      </c>
      <c r="AE301" s="12">
        <f>AE264-AD264</f>
        <v>0</v>
      </c>
      <c r="AF301" s="12">
        <f>AF264-AE264</f>
        <v>0</v>
      </c>
      <c r="AG301" s="12">
        <f>SUM(AC301:AF301)</f>
        <v>0</v>
      </c>
      <c r="AH301" s="12">
        <f>AH264-AG264</f>
        <v>0</v>
      </c>
      <c r="AI301" s="12">
        <f>AI264-AH264</f>
        <v>0</v>
      </c>
      <c r="AJ301" s="12">
        <f>AJ264-AI264</f>
        <v>0</v>
      </c>
      <c r="AK301" s="12">
        <f>AK264-AJ264</f>
        <v>0</v>
      </c>
      <c r="AL301" s="12">
        <f>SUM(AH301:AK301)</f>
        <v>0</v>
      </c>
      <c r="AM301" s="12">
        <f>AM264-AL264</f>
        <v>0</v>
      </c>
      <c r="AN301" s="12">
        <f>AN264-AM264</f>
        <v>0</v>
      </c>
      <c r="AO301" s="12">
        <f>AO264-AN264</f>
        <v>0</v>
      </c>
      <c r="AP301" s="12">
        <f>AP264-AO264</f>
        <v>0</v>
      </c>
      <c r="AQ301" s="12">
        <f>SUM(AM301:AP301)</f>
        <v>0</v>
      </c>
      <c r="AR301" s="12">
        <f>AR264-AQ264</f>
        <v>0</v>
      </c>
      <c r="AS301" s="12">
        <f>AS264-AR264</f>
        <v>0</v>
      </c>
      <c r="AT301" s="12">
        <f>AT264-AS264</f>
        <v>0</v>
      </c>
      <c r="AU301" s="12">
        <f>AU264-AT264</f>
        <v>0</v>
      </c>
      <c r="AV301" s="12">
        <f>SUM(AR301:AU301)</f>
        <v>0</v>
      </c>
      <c r="AW301" s="12">
        <f>AW264-AV264</f>
        <v>0</v>
      </c>
      <c r="AX301" s="12">
        <f>AX264-AW264</f>
        <v>0</v>
      </c>
      <c r="AY301" s="12">
        <f>AY264-AX264</f>
        <v>0</v>
      </c>
      <c r="AZ301" s="12">
        <f>AZ264-AY264</f>
        <v>0</v>
      </c>
      <c r="BA301" s="12">
        <f>SUM(AW301:AZ301)</f>
        <v>0</v>
      </c>
      <c r="BB301" s="12">
        <f>BB264-BA264</f>
        <v>0</v>
      </c>
      <c r="BC301" s="12">
        <f>BC264-BB264</f>
        <v>0</v>
      </c>
      <c r="BD301" s="12">
        <f>BD264-BC264</f>
        <v>0</v>
      </c>
      <c r="BE301" s="12">
        <f>BE264-BD264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0" t="inlineStr">
        <is>
          <t>Common and preferred dividends</t>
        </is>
      </c>
      <c r="D302" s="12" t="n"/>
      <c r="E302" s="12" t="n"/>
      <c r="F302" s="12" t="n"/>
      <c r="G302" s="12" t="n"/>
      <c r="H302" s="12" t="n"/>
      <c r="I302" s="12" t="n"/>
      <c r="J302" s="12">
        <f>(J265-I265)-J272</f>
        <v>-2041.4</v>
      </c>
      <c r="K302" s="12">
        <f>(K265-J265)-K272</f>
        <v>-0.800000000000864</v>
      </c>
      <c r="L302" s="12">
        <f>(L265-K265)-L272</f>
        <v>-2407</v>
      </c>
      <c r="M302" s="12" t="n"/>
      <c r="N302" s="12">
        <f>(N265-M265)-N272</f>
        <v>-1492</v>
      </c>
      <c r="O302" s="12">
        <f>(O265-N265)-O272</f>
        <v>-1765.9</v>
      </c>
      <c r="P302" s="12">
        <f>(P265-O265)-P272</f>
        <v>-1.20000000000005</v>
      </c>
      <c r="Q302" s="12">
        <f>(Q265-P265)-Q272</f>
        <v>-1901.6</v>
      </c>
      <c r="R302" s="12">
        <f>SUM(N302:Q302)</f>
        <v>-5160.7</v>
      </c>
      <c r="S302" s="12">
        <f>(S265-R265)-S272</f>
        <v>-748.200000000001</v>
      </c>
      <c r="T302" s="12">
        <f>(T265-S265)-T272</f>
        <v>-2034</v>
      </c>
      <c r="U302" s="12">
        <f>(U265-T265)-U272</f>
        <v>-1.20000000000027</v>
      </c>
      <c r="V302" s="12">
        <f>(V265-U265)-V272</f>
        <v>-2187.3</v>
      </c>
      <c r="W302" s="12">
        <f>SUM(S302:V302)</f>
        <v>-4970.7</v>
      </c>
      <c r="X302" s="12">
        <f>(X265-W265)-X272</f>
        <v>-1.29999999999973</v>
      </c>
      <c r="Y302" s="12">
        <f>(Y265-X265)-Y272</f>
        <v>-2342.9</v>
      </c>
      <c r="Z302" s="12">
        <f>(Z265-Y265)-Z272</f>
        <v>-521.099999999999</v>
      </c>
      <c r="AA302" s="12">
        <f>(AA265-Z265)-AA272</f>
        <v>-4492</v>
      </c>
      <c r="AB302" s="12">
        <f>SUM(X302:AA302)</f>
        <v>-7357.3</v>
      </c>
      <c r="AC302" s="12">
        <f>(AC265-AB265)-AC272</f>
        <v>-1204.5</v>
      </c>
      <c r="AD302" s="12">
        <f>(AD265-AC265)-AD272</f>
        <v>-3384.3</v>
      </c>
      <c r="AE302" s="12">
        <f>(AE265-AD265)-AE272</f>
        <v>-706.700000000001</v>
      </c>
      <c r="AF302" s="12">
        <f>(AF265-AE265)-AF272</f>
        <v>-4419.7</v>
      </c>
      <c r="AG302" s="12">
        <f>SUM(AC302:AF302)</f>
        <v>-9715.2</v>
      </c>
      <c r="AH302" s="12">
        <f>(AH265-AG265)-AH272</f>
        <v>-2352</v>
      </c>
      <c r="AI302" s="12">
        <f>(AI265-AH265)-AI272</f>
        <v>-4716</v>
      </c>
      <c r="AJ302" s="12">
        <f>(AJ265-AI265)-AJ272</f>
        <v>0</v>
      </c>
      <c r="AK302" s="12">
        <f>(AK265-AJ265)-AK272</f>
        <v>0</v>
      </c>
      <c r="AL302" s="12">
        <f>SUM(AH302:AK302)</f>
        <v>-7068</v>
      </c>
      <c r="AM302" s="12">
        <f>(AM265-AL265)-AM272</f>
        <v>0</v>
      </c>
      <c r="AN302" s="12">
        <f>(AN265-AM265)-AN272</f>
        <v>0</v>
      </c>
      <c r="AO302" s="12">
        <f>(AO265-AN265)-AO272</f>
        <v>0</v>
      </c>
      <c r="AP302" s="12">
        <f>(AP265-AO265)-AP272</f>
        <v>0</v>
      </c>
      <c r="AQ302" s="12">
        <f>SUM(AM302:AP302)</f>
        <v>0</v>
      </c>
      <c r="AR302" s="12">
        <f>(AR265-AQ265)-AR272</f>
        <v>0</v>
      </c>
      <c r="AS302" s="12">
        <f>(AS265-AR265)-AS272</f>
        <v>0</v>
      </c>
      <c r="AT302" s="12">
        <f>(AT265-AS265)-AT272</f>
        <v>0</v>
      </c>
      <c r="AU302" s="12">
        <f>(AU265-AT265)-AU272</f>
        <v>0</v>
      </c>
      <c r="AV302" s="12">
        <f>SUM(AR302:AU302)</f>
        <v>0</v>
      </c>
      <c r="AW302" s="12">
        <f>(AW265-AV265)-AW272</f>
        <v>0</v>
      </c>
      <c r="AX302" s="12">
        <f>(AX265-AW265)-AX272</f>
        <v>0</v>
      </c>
      <c r="AY302" s="12">
        <f>(AY265-AX265)-AY272</f>
        <v>0</v>
      </c>
      <c r="AZ302" s="12">
        <f>(AZ265-AY265)-AZ272</f>
        <v>0</v>
      </c>
      <c r="BA302" s="12">
        <f>SUM(AW302:AZ302)</f>
        <v>0</v>
      </c>
      <c r="BB302" s="12">
        <f>(BB265-BA265)-BB272</f>
        <v>0</v>
      </c>
      <c r="BC302" s="12">
        <f>(BC265-BB265)-BC272</f>
        <v>0</v>
      </c>
      <c r="BD302" s="12">
        <f>(BD265-BC265)-BD272</f>
        <v>0</v>
      </c>
      <c r="BE302" s="12">
        <f>(BE265-BD265)-BE272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inlineStr">
        <is>
          <t>Dividends to minority interests</t>
        </is>
      </c>
      <c r="D303" s="12" t="n"/>
      <c r="E303" s="12" t="n"/>
      <c r="F303" s="12" t="n"/>
      <c r="G303" s="12" t="n"/>
      <c r="H303" s="12" t="n"/>
      <c r="I303" s="12" t="n"/>
      <c r="J303" s="12">
        <f>(J243-I243)+J131</f>
        <v>18.5</v>
      </c>
      <c r="K303" s="12">
        <f>(K243-J243)+K131</f>
        <v>-22</v>
      </c>
      <c r="L303" s="12">
        <f>(L243-K243)+L131</f>
        <v>-21.5</v>
      </c>
      <c r="M303" s="12" t="n"/>
      <c r="N303" s="12">
        <f>(N243-M243)+N131</f>
        <v>-44.4</v>
      </c>
      <c r="O303" s="12">
        <f>(O243-N243)+O131</f>
        <v>-16.7</v>
      </c>
      <c r="P303" s="12">
        <f>(P243-O243)+P131</f>
        <v>-18.7</v>
      </c>
      <c r="Q303" s="12">
        <f>(Q243-P243)+Q131</f>
        <v>29.8</v>
      </c>
      <c r="R303" s="12">
        <f>SUM(N303:Q303)</f>
        <v>-50</v>
      </c>
      <c r="S303" s="12">
        <f>(S243-R243)+S131</f>
        <v>-21.1</v>
      </c>
      <c r="T303" s="12">
        <f>(T243-S243)+T131</f>
        <v>-19</v>
      </c>
      <c r="U303" s="12">
        <f>(U243-T243)+U131</f>
        <v>1.5</v>
      </c>
      <c r="V303" s="12">
        <f>(V243-U243)+V131</f>
        <v>4.8</v>
      </c>
      <c r="W303" s="12">
        <f>SUM(S303:V303)</f>
        <v>-33.8</v>
      </c>
      <c r="X303" s="12">
        <f>(X243-W243)+X131</f>
        <v>-6.59999999999999</v>
      </c>
      <c r="Y303" s="12">
        <f>(Y243-X243)+Y131</f>
        <v>-11.7</v>
      </c>
      <c r="Z303" s="12">
        <f>(Z243-Y243)+Z131</f>
        <v>7.2</v>
      </c>
      <c r="AA303" s="12">
        <f>(AA243-Z243)+AA131</f>
        <v>-1.2</v>
      </c>
      <c r="AB303" s="12">
        <f>SUM(X303:AA303)</f>
        <v>-12.3</v>
      </c>
      <c r="AC303" s="12">
        <f>(AC243-AB243)+AC131</f>
        <v>2.5</v>
      </c>
      <c r="AD303" s="12">
        <f>(AD243-AC243)+AD131</f>
        <v>-5.8</v>
      </c>
      <c r="AE303" s="12">
        <f>(AE243-AD243)+AE131</f>
        <v>-18.7</v>
      </c>
      <c r="AF303" s="12">
        <f>(AF243-AE243)+AF131</f>
        <v>-57.5</v>
      </c>
      <c r="AG303" s="12">
        <f>SUM(AC303:AF303)</f>
        <v>-79.5</v>
      </c>
      <c r="AH303" s="12">
        <f>(AH243-AG243)+AH131</f>
        <v>0</v>
      </c>
      <c r="AI303" s="12">
        <f>(AI243-AH243)+AI131</f>
        <v>0</v>
      </c>
      <c r="AJ303" s="12">
        <f>(AJ243-AI243)+AJ131</f>
        <v>0</v>
      </c>
      <c r="AK303" s="12">
        <f>(AK243-AJ243)+AK131</f>
        <v>0</v>
      </c>
      <c r="AL303" s="12">
        <f>SUM(AH303:AK303)</f>
        <v>0</v>
      </c>
      <c r="AM303" s="12">
        <f>(AM243-AL243)+AM131</f>
        <v>0</v>
      </c>
      <c r="AN303" s="12">
        <f>(AN243-AM243)+AN131</f>
        <v>0</v>
      </c>
      <c r="AO303" s="12">
        <f>(AO243-AN243)+AO131</f>
        <v>0</v>
      </c>
      <c r="AP303" s="12">
        <f>(AP243-AO243)+AP131</f>
        <v>0</v>
      </c>
      <c r="AQ303" s="12">
        <f>SUM(AM303:AP303)</f>
        <v>0</v>
      </c>
      <c r="AR303" s="12">
        <f>(AR243-AQ243)+AR131</f>
        <v>0</v>
      </c>
      <c r="AS303" s="12">
        <f>(AS243-AR243)+AS131</f>
        <v>0</v>
      </c>
      <c r="AT303" s="12">
        <f>(AT243-AS243)+AT131</f>
        <v>0</v>
      </c>
      <c r="AU303" s="12">
        <f>(AU243-AT243)+AU131</f>
        <v>0</v>
      </c>
      <c r="AV303" s="12">
        <f>SUM(AR303:AU303)</f>
        <v>0</v>
      </c>
      <c r="AW303" s="12">
        <f>(AW243-AV243)+AW131</f>
        <v>0</v>
      </c>
      <c r="AX303" s="12">
        <f>(AX243-AW243)+AX131</f>
        <v>0</v>
      </c>
      <c r="AY303" s="12">
        <f>(AY243-AX243)+AY131</f>
        <v>0</v>
      </c>
      <c r="AZ303" s="12">
        <f>(AZ243-AY243)+AZ131</f>
        <v>0</v>
      </c>
      <c r="BA303" s="12">
        <f>SUM(AW303:AZ303)</f>
        <v>0</v>
      </c>
      <c r="BB303" s="12">
        <f>(BB243-BA243)+BB131</f>
        <v>0</v>
      </c>
      <c r="BC303" s="12">
        <f>(BC243-BB243)+BC131</f>
        <v>0</v>
      </c>
      <c r="BD303" s="12">
        <f>(BD243-BC243)+BD131</f>
        <v>0</v>
      </c>
      <c r="BE303" s="12">
        <f>(BE243-BD243)+BE131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5" t="inlineStr">
        <is>
          <t>Increases / (decreases) in debt</t>
        </is>
      </c>
      <c r="D304" s="12" t="n"/>
      <c r="E304" s="12" t="n"/>
      <c r="F304" s="12" t="n"/>
      <c r="G304" s="12" t="n"/>
      <c r="H304" s="12" t="n"/>
      <c r="I304" s="12" t="n"/>
      <c r="J304" s="12">
        <f>SUM(J207:J209,J212,J233,J230)-SUM(I207:I209,I212,I233,I230)</f>
        <v>310.599999999999</v>
      </c>
      <c r="K304" s="12">
        <f>SUM(K207:K209,K212,K233,K230)-SUM(J207:J209,J212,J233,J230)</f>
        <v>570.300000000003</v>
      </c>
      <c r="L304" s="12">
        <f>SUM(L207:L209,L212,L233,L230)-SUM(K207:K209,K212,K233,K230)</f>
        <v>-200.700000000001</v>
      </c>
      <c r="M304" s="12" t="n"/>
      <c r="N304" s="12">
        <f>SUM(N207:N209,N212,N233,N230)-SUM(M207:M209,M212,M233,M230)</f>
        <v>-375.900000000001</v>
      </c>
      <c r="O304" s="12">
        <f>SUM(O207:O209,O212,O233,O230)-SUM(N207:N209,N212,N233,N230)</f>
        <v>305</v>
      </c>
      <c r="P304" s="12">
        <f>SUM(P207:P209,P212,P233,P230)-SUM(O207:O209,O212,O233,O230)</f>
        <v>-925.4</v>
      </c>
      <c r="Q304" s="12">
        <f>SUM(Q207:Q209,Q212,Q233,Q230)-SUM(P207:P209,P212,P233,P230)</f>
        <v>350.200000000001</v>
      </c>
      <c r="R304" s="12">
        <f>SUM(N304:Q304)</f>
        <v>-646.1</v>
      </c>
      <c r="S304" s="12">
        <f>SUM(S207:S209,S212,S233,S230)-SUM(R207:R209,R212,R233,R230)</f>
        <v>2645</v>
      </c>
      <c r="T304" s="12">
        <f>SUM(T207:T209,T212,T233,T230)-SUM(S207:S209,S212,S233,S230)</f>
        <v>-63.5999999999985</v>
      </c>
      <c r="U304" s="12">
        <f>SUM(U207:U209,U212,U233,U230)-SUM(T207:T209,T212,T233,T230)</f>
        <v>1348.3</v>
      </c>
      <c r="V304" s="12">
        <f>SUM(V207:V209,V212,V233,V230)-SUM(U207:U209,U212,U233,U230)</f>
        <v>5057</v>
      </c>
      <c r="W304" s="12">
        <f>SUM(S304:V304)</f>
        <v>8986.7</v>
      </c>
      <c r="X304" s="12">
        <f>SUM(X207:X209,X212,X233,X230)-SUM(W207:W209,W212,W233,W230)</f>
        <v>986.100000000002</v>
      </c>
      <c r="Y304" s="12">
        <f>SUM(Y207:Y209,Y212,Y233,Y230)-SUM(X207:X209,X212,X233,X230)</f>
        <v>2680.6</v>
      </c>
      <c r="Z304" s="12">
        <f>SUM(Z207:Z209,Z212,Z233,Z230)-SUM(Y207:Y209,Y212,Y233,Y230)</f>
        <v>2227.7</v>
      </c>
      <c r="AA304" s="12">
        <f>SUM(AA207:AA209,AA212,AA233,AA230)-SUM(Z207:Z209,Z212,Z233,Z230)</f>
        <v>2524.5</v>
      </c>
      <c r="AB304" s="12">
        <f>SUM(X304:AA304)</f>
        <v>8418.9</v>
      </c>
      <c r="AC304" s="12">
        <f>SUM(AC207:AC209,AC212,AC233,AC230)-SUM(AB207:AB209,AB212,AB233,AB230)</f>
        <v>4871.7</v>
      </c>
      <c r="AD304" s="12">
        <f>SUM(AD207:AD209,AD212,AD233,AD230)-SUM(AC207:AC209,AC212,AC233,AC230)</f>
        <v>1387.89999999999</v>
      </c>
      <c r="AE304" s="12">
        <f>SUM(AE207:AE209,AE212,AE233,AE230)-SUM(AD207:AD209,AD212,AD233,AD230)</f>
        <v>2602.8</v>
      </c>
      <c r="AF304" s="12">
        <f>SUM(AF207:AF209,AF212,AF233,AF230)-SUM(AE207:AE209,AE212,AE233,AE230)</f>
        <v>-3.59999999999855</v>
      </c>
      <c r="AG304" s="12">
        <f>SUM(AC304:AF304)</f>
        <v>8858.8</v>
      </c>
      <c r="AH304" s="12">
        <f>SUM(AH207:AH209,AH212,AH233,AH230)-SUM(AG207:AG209,AG212,AG233,AG230)</f>
        <v>867</v>
      </c>
      <c r="AI304" s="12">
        <f>SUM(AI207:AI209,AI212,AI233,AI230)-SUM(AH207:AH209,AH212,AH233,AH230)</f>
        <v>11538</v>
      </c>
      <c r="AJ304" s="12">
        <f>SUM(AJ207:AJ209,AJ212,AJ233,AJ230)-SUM(AI207:AI209,AI212,AI233,AI230)</f>
        <v>0</v>
      </c>
      <c r="AK304" s="12">
        <f>SUM(AK207:AK209,AK212,AK233,AK230)-SUM(AJ207:AJ209,AJ212,AJ233,AJ230)</f>
        <v>0</v>
      </c>
      <c r="AL304" s="12">
        <f>SUM(AH304:AK304)</f>
        <v>12405</v>
      </c>
      <c r="AM304" s="12">
        <f>SUM(AM207:AM209,AM212,AM233,AM230)-SUM(AL207:AL209,AL212,AL233,AL230)</f>
        <v>0</v>
      </c>
      <c r="AN304" s="12">
        <f>SUM(AN207:AN209,AN212,AN233,AN230)-SUM(AM207:AM209,AM212,AM233,AM230)</f>
        <v>0</v>
      </c>
      <c r="AO304" s="12">
        <f>SUM(AO207:AO209,AO212,AO233,AO230)-SUM(AN207:AN209,AN212,AN233,AN230)</f>
        <v>0</v>
      </c>
      <c r="AP304" s="12">
        <f>SUM(AP207:AP209,AP212,AP233,AP230)-SUM(AO207:AO209,AO212,AO233,AO230)</f>
        <v>0</v>
      </c>
      <c r="AQ304" s="12">
        <f>SUM(AM304:AP304)</f>
        <v>0</v>
      </c>
      <c r="AR304" s="12">
        <f>SUM(AR207:AR209,AR212,AR233,AR230)-SUM(AQ207:AQ209,AQ212,AQ233,AQ230)</f>
        <v>0</v>
      </c>
      <c r="AS304" s="12">
        <f>SUM(AS207:AS209,AS212,AS233,AS230)-SUM(AR207:AR209,AR212,AR233,AR230)</f>
        <v>0</v>
      </c>
      <c r="AT304" s="12">
        <f>SUM(AT207:AT209,AT212,AT233,AT230)-SUM(AS207:AS209,AS212,AS233,AS230)</f>
        <v>0</v>
      </c>
      <c r="AU304" s="12">
        <f>SUM(AU207:AU209,AU212,AU233,AU230)-SUM(AT207:AT209,AT212,AT233,AT230)</f>
        <v>0</v>
      </c>
      <c r="AV304" s="12">
        <f>SUM(AR304:AU304)</f>
        <v>0</v>
      </c>
      <c r="AW304" s="12">
        <f>SUM(AW207:AW209,AW212,AW233,AW230)-SUM(AV207:AV209,AV212,AV233,AV230)</f>
        <v>0</v>
      </c>
      <c r="AX304" s="12">
        <f>SUM(AX207:AX209,AX212,AX233,AX230)-SUM(AW207:AW209,AW212,AW233,AW230)</f>
        <v>0</v>
      </c>
      <c r="AY304" s="12">
        <f>SUM(AY207:AY209,AY212,AY233,AY230)-SUM(AX207:AX209,AX212,AX233,AX230)</f>
        <v>0</v>
      </c>
      <c r="AZ304" s="12">
        <f>SUM(AZ207:AZ209,AZ212,AZ233,AZ230)-SUM(AY207:AY209,AY212,AY233,AY230)</f>
        <v>0</v>
      </c>
      <c r="BA304" s="12">
        <f>SUM(AW304:AZ304)</f>
        <v>0</v>
      </c>
      <c r="BB304" s="12">
        <f>SUM(BB207:BB209,BB212,BB233,BB230)-SUM(BA207:BA209,BA212,BA233,BA230)</f>
        <v>0</v>
      </c>
      <c r="BC304" s="12">
        <f>SUM(BC207:BC209,BC212,BC233,BC230)-SUM(BB207:BB209,BB212,BB233,BB230)</f>
        <v>0</v>
      </c>
      <c r="BD304" s="12">
        <f>SUM(BD207:BD209,BD212,BD233,BD230)-SUM(BC207:BC209,BC212,BC233,BC230)</f>
        <v>0</v>
      </c>
      <c r="BE304" s="12">
        <f>SUM(BE207:BE209,BE212,BE233,BE230)-SUM(BD207:BD209,BD212,BD233,BD230)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  <c r="CZ304" s="12" t="n"/>
      <c r="DA304" s="12" t="n"/>
      <c r="DB304" s="12" t="n"/>
      <c r="DC304" s="12" t="n"/>
    </row>
    <row r="305">
      <c r="C305" s="14" t="inlineStr">
        <is>
          <t>Cash from financing</t>
        </is>
      </c>
      <c r="D305" s="12" t="n"/>
      <c r="E305" s="12" t="n"/>
      <c r="F305" s="12" t="n"/>
      <c r="G305" s="12" t="n"/>
      <c r="H305" s="12" t="n"/>
      <c r="I305" s="12" t="n"/>
      <c r="J305" s="12">
        <f>SUM(J297,J298,J299,J300,J301,J302,J303,J304)</f>
        <v>-1515.4</v>
      </c>
      <c r="K305" s="12">
        <f>SUM(K297,K298,K299,K300,K301,K302,K303,K304)</f>
        <v>750.800000000002</v>
      </c>
      <c r="L305" s="12">
        <f>SUM(L297,L298,L299,L300,L301,L302,L303,L304)</f>
        <v>-726.100000000001</v>
      </c>
      <c r="M305" s="12" t="n"/>
      <c r="N305" s="12">
        <f>SUM(N297,N298,N299,N300,N301,N302,N303,N304)</f>
        <v>-1971.6</v>
      </c>
      <c r="O305" s="12">
        <f>SUM(O297,O298,O299,O300,O301,O302,O303,O304)</f>
        <v>-1450.3</v>
      </c>
      <c r="P305" s="12">
        <f>SUM(P297,P298,P299,P300,P301,P302,P303,P304)</f>
        <v>-870.4</v>
      </c>
      <c r="Q305" s="12">
        <f>SUM(Q297,Q298,Q299,Q300,Q301,Q302,Q303,Q304)</f>
        <v>-977.999999999999</v>
      </c>
      <c r="R305" s="12">
        <f>SUM(R297,R298,R299,R300,R301,R302,R303,R304)</f>
        <v>-5270.3</v>
      </c>
      <c r="S305" s="12">
        <f>SUM(S297,S298,S299,S300,S301,S302,S303,S304)</f>
        <v>1819.6</v>
      </c>
      <c r="T305" s="12">
        <f>SUM(T297,T298,T299,T300,T301,T302,T303,T304)</f>
        <v>-1972.4</v>
      </c>
      <c r="U305" s="12">
        <f>SUM(U297,U298,U299,U300,U301,U302,U303,U304)</f>
        <v>1563.8</v>
      </c>
      <c r="V305" s="12">
        <f>SUM(V297,V298,V299,V300,V301,V302,V303,V304)</f>
        <v>2423.6</v>
      </c>
      <c r="W305" s="12">
        <f>SUM(W297,W298,W299,W300,W301,W302,W303,W304)</f>
        <v>3834.6</v>
      </c>
      <c r="X305" s="12">
        <f>SUM(X297,X298,X299,X300,X301,X302,X303,X304)</f>
        <v>776.900000000002</v>
      </c>
      <c r="Y305" s="12">
        <f>SUM(Y297,Y298,Y299,Y300,Y301,Y302,Y303,Y304)</f>
        <v>451.699999999999</v>
      </c>
      <c r="Z305" s="12">
        <f>SUM(Z297,Z298,Z299,Z300,Z301,Z302,Z303,Z304)</f>
        <v>1942.6</v>
      </c>
      <c r="AA305" s="12">
        <f>SUM(AA297,AA298,AA299,AA300,AA301,AA302,AA303,AA304)</f>
        <v>-1934.4</v>
      </c>
      <c r="AB305" s="12">
        <f>SUM(AB297,AB298,AB299,AB300,AB301,AB302,AB303,AB304)</f>
        <v>1236.8</v>
      </c>
      <c r="AC305" s="12">
        <f>SUM(AC297,AC298,AC299,AC300,AC301,AC302,AC303,AC304)</f>
        <v>3687.9</v>
      </c>
      <c r="AD305" s="12">
        <f>SUM(AD297,AD298,AD299,AD300,AD301,AD302,AD303,AD304)</f>
        <v>-1770.80000000001</v>
      </c>
      <c r="AE305" s="12">
        <f>SUM(AE297,AE298,AE299,AE300,AE301,AE302,AE303,AE304)</f>
        <v>2522</v>
      </c>
      <c r="AF305" s="12">
        <f>SUM(AF297,AF298,AF299,AF300,AF301,AF302,AF303,AF304)</f>
        <v>-3979.1</v>
      </c>
      <c r="AG305" s="12">
        <f>SUM(AG297,AG298,AG299,AG300,AG301,AG302,AG303,AG304)</f>
        <v>460.000000000004</v>
      </c>
      <c r="AH305" s="12">
        <f>SUM(AH297,AH298,AH299,AH300,AH301,AH302,AH303,AH304)</f>
        <v>-1863</v>
      </c>
      <c r="AI305" s="12">
        <f>SUM(AI297,AI298,AI299,AI300,AI301,AI302,AI303,AI304)</f>
        <v>7088</v>
      </c>
      <c r="AJ305" s="12">
        <f>SUM(AJ297,AJ298,AJ299,AJ300,AJ301,AJ302,AJ303,AJ304)</f>
        <v>0</v>
      </c>
      <c r="AK305" s="12">
        <f>SUM(AK297,AK298,AK299,AK300,AK301,AK302,AK303,AK304)</f>
        <v>0</v>
      </c>
      <c r="AL305" s="12">
        <f>SUM(AL297,AL298,AL299,AL300,AL301,AL302,AL303,AL304)</f>
        <v>5225</v>
      </c>
      <c r="AM305" s="12">
        <f>SUM(AM297,AM298,AM299,AM300,AM301,AM302,AM303,AM304)</f>
        <v>0</v>
      </c>
      <c r="AN305" s="12">
        <f>SUM(AN297,AN298,AN299,AN300,AN301,AN302,AN303,AN304)</f>
        <v>0</v>
      </c>
      <c r="AO305" s="12">
        <f>SUM(AO297,AO298,AO299,AO300,AO301,AO302,AO303,AO304)</f>
        <v>0</v>
      </c>
      <c r="AP305" s="12">
        <f>SUM(AP297,AP298,AP299,AP300,AP301,AP302,AP303,AP304)</f>
        <v>0</v>
      </c>
      <c r="AQ305" s="12">
        <f>SUM(AQ297,AQ298,AQ299,AQ300,AQ301,AQ302,AQ303,AQ304)</f>
        <v>0</v>
      </c>
      <c r="AR305" s="12">
        <f>SUM(AR297,AR298,AR299,AR300,AR301,AR302,AR303,AR304)</f>
        <v>0</v>
      </c>
      <c r="AS305" s="12">
        <f>SUM(AS297,AS298,AS299,AS300,AS301,AS302,AS303,AS304)</f>
        <v>0</v>
      </c>
      <c r="AT305" s="12">
        <f>SUM(AT297,AT298,AT299,AT300,AT301,AT302,AT303,AT304)</f>
        <v>0</v>
      </c>
      <c r="AU305" s="12">
        <f>SUM(AU297,AU298,AU299,AU300,AU301,AU302,AU303,AU304)</f>
        <v>0</v>
      </c>
      <c r="AV305" s="12">
        <f>SUM(AV297,AV298,AV299,AV300,AV301,AV302,AV303,AV304)</f>
        <v>0</v>
      </c>
      <c r="AW305" s="12">
        <f>SUM(AW297,AW298,AW299,AW300,AW301,AW302,AW303,AW304)</f>
        <v>0</v>
      </c>
      <c r="AX305" s="12">
        <f>SUM(AX297,AX298,AX299,AX300,AX301,AX302,AX303,AX304)</f>
        <v>0</v>
      </c>
      <c r="AY305" s="12">
        <f>SUM(AY297,AY298,AY299,AY300,AY301,AY302,AY303,AY304)</f>
        <v>0</v>
      </c>
      <c r="AZ305" s="12">
        <f>SUM(AZ297,AZ298,AZ299,AZ300,AZ301,AZ302,AZ303,AZ304)</f>
        <v>0</v>
      </c>
      <c r="BA305" s="12">
        <f>SUM(BA297,BA298,BA299,BA300,BA301,BA302,BA303,BA304)</f>
        <v>0</v>
      </c>
      <c r="BB305" s="12">
        <f>SUM(BB297,BB298,BB299,BB300,BB301,BB302,BB303,BB304)</f>
        <v>0</v>
      </c>
      <c r="BC305" s="12">
        <f>SUM(BC297,BC298,BC299,BC300,BC301,BC302,BC303,BC304)</f>
        <v>0</v>
      </c>
      <c r="BD305" s="12">
        <f>SUM(BD297,BD298,BD299,BD300,BD301,BD302,BD303,BD304)</f>
        <v>0</v>
      </c>
      <c r="BE305" s="12">
        <f>SUM(BE297,BE298,BE299,BE300,BE301,BE302,BE303,BE304)</f>
        <v>0</v>
      </c>
      <c r="BF305" s="12">
        <f>SUM(BF297,BF298,BF299,BF300,BF301,BF302,BF303,BF304)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  <c r="AL306" s="12" t="n"/>
      <c r="AM306" s="12" t="n"/>
      <c r="AN306" s="12" t="n"/>
      <c r="AO306" s="12" t="n"/>
      <c r="AP306" s="12" t="n"/>
      <c r="AQ306" s="12" t="n"/>
      <c r="AR306" s="12" t="n"/>
      <c r="AS306" s="12" t="n"/>
      <c r="AT306" s="12" t="n"/>
      <c r="AU306" s="12" t="n"/>
      <c r="AV306" s="12" t="n"/>
      <c r="AW306" s="12" t="n"/>
      <c r="AX306" s="12" t="n"/>
      <c r="AY306" s="12" t="n"/>
      <c r="AZ306" s="12" t="n"/>
      <c r="BA306" s="12" t="n"/>
      <c r="BB306" s="12" t="n"/>
      <c r="BC306" s="12" t="n"/>
      <c r="BD306" s="12" t="n"/>
      <c r="BE306" s="12" t="n"/>
      <c r="BF306" s="12" t="n"/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inlineStr">
        <is>
          <t>Others / cash reconciliation plug</t>
        </is>
      </c>
      <c r="D307" s="12" t="n"/>
      <c r="E307" s="12" t="n"/>
      <c r="F307" s="12" t="n"/>
      <c r="G307" s="12" t="n"/>
      <c r="H307" s="12" t="n"/>
      <c r="I307" s="12" t="n"/>
      <c r="J307" s="12">
        <f>J139-I139-SUM(J288,J295,J305)</f>
        <v>-1.13686837721616e-12</v>
      </c>
      <c r="K307" s="12">
        <f>K139-J139-SUM(K288,K295,K305)</f>
        <v>-2.95585778076202e-12</v>
      </c>
      <c r="L307" s="12">
        <f>L139-K139-SUM(L288,L295,L305)</f>
        <v>3.63797880709171e-12</v>
      </c>
      <c r="M307" s="12" t="n"/>
      <c r="N307" s="12">
        <f>N139-M139-SUM(N288,N295,N305)</f>
        <v>0</v>
      </c>
      <c r="O307" s="12">
        <f>O139-N139-SUM(O288,O295,O305)</f>
        <v>-2.1600499167107e-12</v>
      </c>
      <c r="P307" s="12">
        <f>P139-O139-SUM(P288,P295,P305)</f>
        <v>0</v>
      </c>
      <c r="Q307" s="12">
        <f>Q139-P139-SUM(Q288,Q295,Q305)</f>
        <v>0</v>
      </c>
      <c r="R307" s="12">
        <f>SUM(N307:Q307)</f>
        <v>-2.1600499167107e-12</v>
      </c>
      <c r="S307" s="12">
        <f>S139-R139-SUM(S288,S295,S305)</f>
        <v>0</v>
      </c>
      <c r="T307" s="12">
        <f>T139-S139-SUM(T288,T295,T305)</f>
        <v>-4.09272615797818e-12</v>
      </c>
      <c r="U307" s="12">
        <f>U139-T139-SUM(U288,U295,U305)</f>
        <v>2.50111042987555e-12</v>
      </c>
      <c r="V307" s="12">
        <f>V139-U139-SUM(V288,V295,V305)</f>
        <v>0</v>
      </c>
      <c r="W307" s="12">
        <f>SUM(S307:V307)</f>
        <v>-1.59161572810262e-12</v>
      </c>
      <c r="X307" s="12">
        <f>X139-W139-SUM(X288,X295,X305)</f>
        <v>-3.18323145620525e-12</v>
      </c>
      <c r="Y307" s="12">
        <f>Y139-X139-SUM(Y288,Y295,Y305)</f>
        <v>0</v>
      </c>
      <c r="Z307" s="12">
        <f>Z139-Y139-SUM(Z288,Z295,Z305)</f>
        <v>-2.21689333557151e-12</v>
      </c>
      <c r="AA307" s="12">
        <f>AA139-Z139-SUM(AA288,AA295,AA305)</f>
        <v>6.82121026329696e-12</v>
      </c>
      <c r="AB307" s="12">
        <f>SUM(X307:AA307)</f>
        <v>1.4210854715202e-12</v>
      </c>
      <c r="AC307" s="12">
        <f>AC139-AB139-SUM(AC288,AC295,AC305)</f>
        <v>-7.95807864051312e-12</v>
      </c>
      <c r="AD307" s="12">
        <f>AD139-AC139-SUM(AD288,AD295,AD305)</f>
        <v>5.22959453519434e-12</v>
      </c>
      <c r="AE307" s="12">
        <f>AE139-AD139-SUM(AE288,AE295,AE305)</f>
        <v>0</v>
      </c>
      <c r="AF307" s="12">
        <f>AF139-AE139-SUM(AF288,AF295,AF305)</f>
        <v>0</v>
      </c>
      <c r="AG307" s="12">
        <f>SUM(AC307:AF307)</f>
        <v>-2.72848410531878e-12</v>
      </c>
      <c r="AH307" s="12">
        <f>AH139-AG139-SUM(AH288,AH295,AH305)</f>
        <v>0</v>
      </c>
      <c r="AI307" s="12">
        <f>AI139-AH139-SUM(AI288,AI295,AI305)</f>
        <v>0</v>
      </c>
      <c r="AJ307" s="12">
        <f>AJ139-AI139-SUM(AJ288,AJ295,AJ305)</f>
        <v>-1.68256519827992e-11</v>
      </c>
      <c r="AK307" s="12">
        <f>AK139-AJ139-SUM(AK288,AK295,AK305)</f>
        <v>0</v>
      </c>
      <c r="AL307" s="12">
        <f>SUM(AH307:AK307)</f>
        <v>-1.68256519827992e-11</v>
      </c>
      <c r="AM307" s="12">
        <f>AM139-AL139-SUM(AM288,AM295,AM305)</f>
        <v>0</v>
      </c>
      <c r="AN307" s="12">
        <f>AN139-AM139-SUM(AN288,AN295,AN305)</f>
        <v>0</v>
      </c>
      <c r="AO307" s="12">
        <f>AO139-AN139-SUM(AO288,AO295,AO305)</f>
        <v>0</v>
      </c>
      <c r="AP307" s="12">
        <f>AP139-AO139-SUM(AP288,AP295,AP305)</f>
        <v>0</v>
      </c>
      <c r="AQ307" s="12">
        <f>SUM(AM307:AP307)</f>
        <v>0</v>
      </c>
      <c r="AR307" s="12">
        <f>AR139-AQ139-SUM(AR288,AR295,AR305)</f>
        <v>0</v>
      </c>
      <c r="AS307" s="12">
        <f>AS139-AR139-SUM(AS288,AS295,AS305)</f>
        <v>0</v>
      </c>
      <c r="AT307" s="12">
        <f>AT139-AS139-SUM(AT288,AT295,AT305)</f>
        <v>0</v>
      </c>
      <c r="AU307" s="12">
        <f>AU139-AT139-SUM(AU288,AU295,AU305)</f>
        <v>0</v>
      </c>
      <c r="AV307" s="12">
        <f>SUM(AR307:AU307)</f>
        <v>0</v>
      </c>
      <c r="AW307" s="12">
        <f>AW139-AV139-SUM(AW288,AW295,AW305)</f>
        <v>0</v>
      </c>
      <c r="AX307" s="12">
        <f>AX139-AW139-SUM(AX288,AX295,AX305)</f>
        <v>0</v>
      </c>
      <c r="AY307" s="12">
        <f>AY139-AX139-SUM(AY288,AY295,AY305)</f>
        <v>0</v>
      </c>
      <c r="AZ307" s="12">
        <f>AZ139-AY139-SUM(AZ288,AZ295,AZ305)</f>
        <v>0</v>
      </c>
      <c r="BA307" s="12">
        <f>SUM(AW307:AZ307)</f>
        <v>0</v>
      </c>
      <c r="BB307" s="12">
        <f>BB139-BA139-SUM(BB288,BB295,BB305)</f>
        <v>0</v>
      </c>
      <c r="BC307" s="12">
        <f>BC139-BB139-SUM(BC288,BC295,BC305)</f>
        <v>0</v>
      </c>
      <c r="BD307" s="12">
        <f>BD139-BC139-SUM(BD288,BD295,BD305)</f>
        <v>0</v>
      </c>
      <c r="BE307" s="12">
        <f>BE139-BD139-SUM(BE288,BE295,BE305)</f>
        <v>0</v>
      </c>
      <c r="BF307" s="12">
        <f>SUM(BB307:BE307)</f>
        <v>0</v>
      </c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  <c r="AL308" s="12" t="n"/>
      <c r="AM308" s="12" t="n"/>
      <c r="AN308" s="12" t="n"/>
      <c r="AO308" s="12" t="n"/>
      <c r="AP308" s="12" t="n"/>
      <c r="AQ308" s="12" t="n"/>
      <c r="AR308" s="12" t="n"/>
      <c r="AS308" s="12" t="n"/>
      <c r="AT308" s="12" t="n"/>
      <c r="AU308" s="12" t="n"/>
      <c r="AV308" s="12" t="n"/>
      <c r="AW308" s="12" t="n"/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14" t="inlineStr">
        <is>
          <t>Total increase/decrease of cash</t>
        </is>
      </c>
      <c r="D309" s="12" t="n"/>
      <c r="E309" s="12" t="n"/>
      <c r="F309" s="12" t="n"/>
      <c r="G309" s="12" t="n"/>
      <c r="H309" s="12" t="n"/>
      <c r="I309" s="12" t="n"/>
      <c r="J309" s="12">
        <f>SUM(J288,J295,J305,J307)</f>
        <v>219.8</v>
      </c>
      <c r="K309" s="12">
        <f>SUM(K288,K295,K305,K307)</f>
        <v>554.1</v>
      </c>
      <c r="L309" s="12">
        <f>SUM(L288,L295,L305,L307)</f>
        <v>83.2999999999997</v>
      </c>
      <c r="M309" s="12" t="n"/>
      <c r="N309" s="12">
        <f>SUM(N288,N295,N305,N307)</f>
        <v>-1340.3</v>
      </c>
      <c r="O309" s="12">
        <f>SUM(O288,O295,O305,O307)</f>
        <v>168.4</v>
      </c>
      <c r="P309" s="12">
        <f>SUM(P288,P295,P305,P307)</f>
        <v>5.40000000000009</v>
      </c>
      <c r="Q309" s="12">
        <f>SUM(Q288,Q295,Q305,Q307)</f>
        <v>-530.299999999999</v>
      </c>
      <c r="R309" s="12">
        <f>SUM(N309:Q309)</f>
        <v>-1696.8</v>
      </c>
      <c r="S309" s="12">
        <f>SUM(S288,S295,S305,S307)</f>
        <v>1457.5</v>
      </c>
      <c r="T309" s="12">
        <f>SUM(T288,T295,T305,T307)</f>
        <v>-840.2</v>
      </c>
      <c r="U309" s="12">
        <f>SUM(U288,U295,U305,U307)</f>
        <v>-335.2</v>
      </c>
      <c r="V309" s="12">
        <f>SUM(V288,V295,V305,V307)</f>
        <v>433.799999999999</v>
      </c>
      <c r="W309" s="12">
        <f>SUM(S309:V309)</f>
        <v>715.899999999996</v>
      </c>
      <c r="X309" s="12">
        <f>SUM(X288,X295,X305,X307)</f>
        <v>-341.4</v>
      </c>
      <c r="Y309" s="12">
        <f>SUM(Y288,Y295,Y305,Y307)</f>
        <v>777.699999999998</v>
      </c>
      <c r="Z309" s="12">
        <f>SUM(Z288,Z295,Z305,Z307)</f>
        <v>154.4</v>
      </c>
      <c r="AA309" s="12">
        <f>SUM(AA288,AA295,AA305,AA307)</f>
        <v>-95.2000000000003</v>
      </c>
      <c r="AB309" s="12">
        <f>SUM(X309:AA309)</f>
        <v>495.499999999998</v>
      </c>
      <c r="AC309" s="12">
        <f>SUM(AC288,AC295,AC305,AC307)</f>
        <v>-202.5</v>
      </c>
      <c r="AD309" s="12">
        <f>SUM(AD288,AD295,AD305,AD307)</f>
        <v>325.3</v>
      </c>
      <c r="AE309" s="12">
        <f>SUM(AE288,AE295,AE305,AE307)</f>
        <v>6367.5</v>
      </c>
      <c r="AF309" s="12">
        <f>SUM(AF288,AF295,AF305,AF307)</f>
        <v>-2645.5</v>
      </c>
      <c r="AG309" s="12">
        <f>SUM(AC309:AF309)</f>
        <v>3844.8</v>
      </c>
      <c r="AH309" s="12">
        <f>SUM(AH288,AH295,AH305,AH307)</f>
        <v>-1986</v>
      </c>
      <c r="AI309" s="12">
        <f>SUM(AI288,AI295,AI305,AI307)</f>
        <v>3668</v>
      </c>
      <c r="AJ309" s="12">
        <f>SUM(AJ288,AJ295,AJ305,AJ307)</f>
        <v>2100.13379149404</v>
      </c>
      <c r="AK309" s="12">
        <f>SUM(AK288,AK295,AK305,AK307)</f>
        <v>4105.86980834311</v>
      </c>
      <c r="AL309" s="12">
        <f>SUM(AH309:AK309)</f>
        <v>7888.00359983715</v>
      </c>
      <c r="AM309" s="12">
        <f>SUM(AM288,AM295,AM305,AM307)</f>
        <v>6344.66498264796</v>
      </c>
      <c r="AN309" s="12">
        <f>SUM(AN288,AN295,AN305,AN307)</f>
        <v>4152.56334604978</v>
      </c>
      <c r="AO309" s="12">
        <f>SUM(AO288,AO295,AO305,AO307)</f>
        <v>7017.8347964236</v>
      </c>
      <c r="AP309" s="12">
        <f>SUM(AP288,AP295,AP305,AP307)</f>
        <v>10032.786143891</v>
      </c>
      <c r="AQ309" s="12">
        <f>SUM(AM309:AP309)</f>
        <v>27547.8492690123</v>
      </c>
      <c r="AR309" s="12">
        <f>SUM(AR288,AR295,AR305,AR307)</f>
        <v>15937.2122974575</v>
      </c>
      <c r="AS309" s="12">
        <f>SUM(AS288,AS295,AS305,AS307)</f>
        <v>13911.4592798585</v>
      </c>
      <c r="AT309" s="12">
        <f>SUM(AT288,AT295,AT305,AT307)</f>
        <v>22691.7826025749</v>
      </c>
      <c r="AU309" s="12">
        <f>SUM(AU288,AU295,AU305,AU307)</f>
        <v>32859.8298735135</v>
      </c>
      <c r="AV309" s="12">
        <f>SUM(AR309:AU309)</f>
        <v>85400.2840534043</v>
      </c>
      <c r="AW309" s="12">
        <f>SUM(AW288,AW295,AW305,AW307)</f>
        <v>48934.3650823482</v>
      </c>
      <c r="AX309" s="12">
        <f>SUM(AX288,AX295,AX305,AX307)</f>
        <v>59663.0165284226</v>
      </c>
      <c r="AY309" s="12">
        <f>SUM(AY288,AY295,AY305,AY307)</f>
        <v>89133.7972188367</v>
      </c>
      <c r="AZ309" s="12">
        <f>SUM(AZ288,AZ295,AZ305,AZ307)</f>
        <v>129650.118994975</v>
      </c>
      <c r="BA309" s="12">
        <f>SUM(AW309:AZ309)</f>
        <v>327381.297824582</v>
      </c>
      <c r="BB309" s="12">
        <f>SUM(BB288,BB295,BB305,BB307)</f>
        <v>189622.969988228</v>
      </c>
      <c r="BC309" s="12">
        <f>SUM(BC288,BC295,BC305,BC307)</f>
        <v>258309.57968412</v>
      </c>
      <c r="BD309" s="12">
        <f>SUM(BD288,BD295,BD305,BD307)</f>
        <v>378942.214485703</v>
      </c>
      <c r="BE309" s="12">
        <f>SUM(BE288,BE295,BE305,BE307)</f>
        <v>550891.081009398</v>
      </c>
      <c r="BF309" s="12">
        <f>SUM(BB309:BE309)</f>
        <v>1377765.84516745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4" t="inlineStr">
        <is>
          <t>Check</t>
        </is>
      </c>
      <c r="E310" s="72" t="n"/>
      <c r="F310" s="72" t="n"/>
      <c r="G310" s="72" t="n"/>
      <c r="I310" s="72" t="str">
        <f>""</f>
        <v/>
      </c>
      <c r="J310" s="72">
        <f>J139-I139-J309</f>
        <v>0</v>
      </c>
      <c r="K310" s="72">
        <f>K139-J139-K309</f>
        <v>0</v>
      </c>
      <c r="L310" s="72">
        <f>L139-K139-L309</f>
        <v>0</v>
      </c>
      <c r="M310" s="4" t="str">
        <f>""</f>
        <v/>
      </c>
      <c r="N310" s="72">
        <f>N139-M139-N309</f>
        <v>0</v>
      </c>
      <c r="O310" s="72">
        <f>O139-N139-O309</f>
        <v>0</v>
      </c>
      <c r="P310" s="72">
        <f>P139-O139-P309</f>
        <v>0</v>
      </c>
      <c r="Q310" s="72">
        <f>Q139-P139-Q309</f>
        <v>0</v>
      </c>
      <c r="R310" s="4">
        <f>R139-M139-R309</f>
        <v>0</v>
      </c>
      <c r="S310" s="72">
        <f>S139-R139-S309</f>
        <v>0</v>
      </c>
      <c r="T310" s="72">
        <f>T139-S139-T309</f>
        <v>0</v>
      </c>
      <c r="U310" s="72">
        <f>U139-T139-U309</f>
        <v>0</v>
      </c>
      <c r="V310" s="72">
        <f>V139-U139-V309</f>
        <v>0</v>
      </c>
      <c r="W310" s="4">
        <f>W139-R139-W309</f>
        <v>3.41060513164848e-12</v>
      </c>
      <c r="X310" s="72">
        <f>X139-W139-X309</f>
        <v>0</v>
      </c>
      <c r="Y310" s="72">
        <f>Y139-X139-Y309</f>
        <v>0</v>
      </c>
      <c r="Z310" s="72">
        <f>Z139-Y139-Z309</f>
        <v>0</v>
      </c>
      <c r="AA310" s="72">
        <f>AA139-Z139-AA309</f>
        <v>0</v>
      </c>
      <c r="AB310" s="4">
        <f>AB139-W139-AB309</f>
        <v>2.04636307898909e-12</v>
      </c>
      <c r="AC310" s="72">
        <f>AC139-AB139-AC309</f>
        <v>0</v>
      </c>
      <c r="AD310" s="72">
        <f>AD139-AC139-AD309</f>
        <v>0</v>
      </c>
      <c r="AE310" s="72">
        <f>AE139-AD139-AE309</f>
        <v>0</v>
      </c>
      <c r="AF310" s="72">
        <f>AF139-AE139-AF309</f>
        <v>0</v>
      </c>
      <c r="AG310" s="4">
        <f>AG139-AB139-AG309</f>
        <v>0</v>
      </c>
      <c r="AH310" s="72">
        <f>AH139-AG139-AH309</f>
        <v>0</v>
      </c>
      <c r="AI310" s="72">
        <f>AI139-AH139-AI309</f>
        <v>0</v>
      </c>
      <c r="AJ310" s="72">
        <f>AJ139-AI139-AJ309</f>
        <v>0</v>
      </c>
      <c r="AK310" s="72">
        <f>AK139-AJ139-AK309</f>
        <v>0</v>
      </c>
      <c r="AL310" s="4">
        <f>AL139-AG139-AL309</f>
        <v>0</v>
      </c>
      <c r="AM310" s="72">
        <f>AM139-AL139-AM309</f>
        <v>0</v>
      </c>
      <c r="AN310" s="72">
        <f>AN139-AM139-AN309</f>
        <v>0</v>
      </c>
      <c r="AO310" s="72">
        <f>AO139-AN139-AO309</f>
        <v>0</v>
      </c>
      <c r="AP310" s="72">
        <f>AP139-AO139-AP309</f>
        <v>0</v>
      </c>
      <c r="AQ310" s="4">
        <f>AQ139-AL139-AQ309</f>
        <v>0</v>
      </c>
      <c r="AR310" s="72">
        <f>AR139-AQ139-AR309</f>
        <v>0</v>
      </c>
      <c r="AS310" s="72">
        <f>AS139-AR139-AS309</f>
        <v>0</v>
      </c>
      <c r="AT310" s="72">
        <f>AT139-AS139-AT309</f>
        <v>0</v>
      </c>
      <c r="AU310" s="72">
        <f>AU139-AT139-AU309</f>
        <v>0</v>
      </c>
      <c r="AV310" s="4">
        <f>AV139-AQ139-AV309</f>
        <v>0</v>
      </c>
      <c r="AW310" s="72">
        <f>AW139-AV139-AW309</f>
        <v>0</v>
      </c>
      <c r="AX310" s="72">
        <f>AX139-AW139-AX309</f>
        <v>0</v>
      </c>
      <c r="AY310" s="72">
        <f>AY139-AX139-AY309</f>
        <v>0</v>
      </c>
      <c r="AZ310" s="72">
        <f>AZ139-AY139-AZ309</f>
        <v>0</v>
      </c>
      <c r="BA310" s="4">
        <f>BA139-AV139-BA309</f>
        <v>0</v>
      </c>
      <c r="BB310" s="72">
        <f>BB139-BA139-BB309</f>
        <v>0</v>
      </c>
      <c r="BC310" s="72">
        <f>BC139-BB139-BC309</f>
        <v>0</v>
      </c>
      <c r="BD310" s="72">
        <f>BD139-BC139-BD309</f>
        <v>0</v>
      </c>
      <c r="BE310" s="72">
        <f>BE139-BD139-BE309</f>
        <v>0</v>
      </c>
      <c r="BF310" s="4">
        <f>BF139-BA139-BF309</f>
        <v>0</v>
      </c>
      <c r="BG310" s="72" t="n"/>
      <c r="BH310" s="72" t="n"/>
      <c r="BI310" s="72" t="n"/>
      <c r="BJ310" s="72" t="n"/>
      <c r="BL310" s="72" t="n"/>
      <c r="BM310" s="72" t="n"/>
      <c r="BN310" s="72" t="n"/>
      <c r="BO310" s="72" t="n"/>
      <c r="BQ310" s="72" t="n"/>
      <c r="BR310" s="72" t="n"/>
      <c r="BS310" s="72" t="n"/>
      <c r="BT310" s="72" t="n"/>
      <c r="BV310" s="72" t="n"/>
      <c r="BW310" s="72" t="n"/>
      <c r="BX310" s="72" t="n"/>
      <c r="BY310" s="72" t="n"/>
      <c r="CA310" s="72" t="n"/>
      <c r="CB310" s="72" t="n"/>
      <c r="CC310" s="72" t="n"/>
      <c r="CD310" s="72" t="n"/>
      <c r="CF310" s="72" t="n"/>
      <c r="CG310" s="72" t="n"/>
      <c r="CH310" s="72" t="n"/>
      <c r="CI310" s="72" t="n"/>
      <c r="CK310" s="72" t="n"/>
      <c r="CL310" s="72" t="n"/>
      <c r="CM310" s="72" t="n"/>
      <c r="CN310" s="72" t="n"/>
      <c r="CP310" s="72" t="n"/>
      <c r="CQ310" s="72" t="n"/>
      <c r="CR310" s="72" t="n"/>
      <c r="CS310" s="72" t="n"/>
      <c r="CU310" s="72" t="n"/>
      <c r="CV310" s="72" t="n"/>
      <c r="CW310" s="72" t="n"/>
      <c r="CX310" s="72" t="n"/>
    </row>
    <row r="311"/>
    <row r="312">
      <c r="C312" s="73" t="inlineStr">
        <is>
          <t>Ratio Analysis</t>
        </is>
      </c>
      <c r="D312" s="73" t="n"/>
      <c r="E312" s="73" t="n"/>
      <c r="F312" s="73" t="n"/>
      <c r="G312" s="73" t="n"/>
      <c r="H312" s="73" t="n"/>
      <c r="I312" s="73" t="n"/>
      <c r="J312" s="73" t="n"/>
      <c r="K312" s="73" t="n"/>
      <c r="L312" s="73" t="n"/>
      <c r="M312" s="73" t="n"/>
      <c r="N312" s="73" t="n"/>
      <c r="O312" s="73" t="n"/>
      <c r="P312" s="73" t="n"/>
      <c r="Q312" s="73" t="n"/>
      <c r="R312" s="73" t="n"/>
      <c r="S312" s="73" t="n"/>
      <c r="T312" s="73" t="n"/>
      <c r="U312" s="73" t="n"/>
      <c r="V312" s="73" t="n"/>
      <c r="W312" s="73" t="n"/>
      <c r="X312" s="73" t="n"/>
      <c r="Y312" s="73" t="n"/>
      <c r="Z312" s="73" t="n"/>
      <c r="AA312" s="73" t="n"/>
      <c r="AB312" s="73" t="n"/>
      <c r="AC312" s="73" t="n"/>
      <c r="AD312" s="73" t="n"/>
      <c r="AE312" s="73" t="n"/>
      <c r="AF312" s="73" t="n"/>
      <c r="AG312" s="73" t="n"/>
      <c r="AH312" s="73" t="n"/>
      <c r="AI312" s="73" t="n"/>
      <c r="AJ312" s="73" t="n"/>
      <c r="AK312" s="73" t="n"/>
      <c r="AL312" s="73" t="n"/>
      <c r="AM312" s="73" t="n"/>
      <c r="AN312" s="73" t="n"/>
      <c r="AO312" s="73" t="n"/>
      <c r="AP312" s="73" t="n"/>
      <c r="AQ312" s="73" t="n"/>
      <c r="AR312" s="73" t="n"/>
      <c r="AS312" s="73" t="n"/>
      <c r="AT312" s="73" t="n"/>
      <c r="AU312" s="73" t="n"/>
      <c r="AV312" s="73" t="n"/>
      <c r="AW312" s="73" t="n"/>
      <c r="AX312" s="73" t="n"/>
      <c r="AY312" s="73" t="n"/>
      <c r="AZ312" s="73" t="n"/>
      <c r="BA312" s="73" t="n"/>
      <c r="BB312" s="73" t="n"/>
      <c r="BC312" s="73" t="n"/>
      <c r="BD312" s="73" t="n"/>
      <c r="BE312" s="73" t="n"/>
      <c r="BF312" s="73" t="n"/>
      <c r="BG312" s="73" t="n"/>
      <c r="BH312" s="73" t="n"/>
      <c r="BI312" s="73" t="n"/>
      <c r="BJ312" s="73" t="n"/>
      <c r="BK312" s="73" t="n"/>
      <c r="BL312" s="73" t="n"/>
      <c r="BM312" s="73" t="n"/>
      <c r="BN312" s="73" t="n"/>
      <c r="BO312" s="73" t="n"/>
      <c r="BP312" s="73" t="n"/>
      <c r="BQ312" s="73" t="n"/>
      <c r="BR312" s="73" t="n"/>
      <c r="BS312" s="73" t="n"/>
      <c r="BT312" s="73" t="n"/>
      <c r="BU312" s="73" t="n"/>
      <c r="BV312" s="73" t="n"/>
      <c r="BW312" s="73" t="n"/>
      <c r="BX312" s="73" t="n"/>
      <c r="BY312" s="73" t="n"/>
      <c r="BZ312" s="73" t="n"/>
      <c r="CA312" s="73" t="n"/>
      <c r="CB312" s="73" t="n"/>
      <c r="CC312" s="73" t="n"/>
      <c r="CD312" s="73" t="n"/>
      <c r="CE312" s="73" t="n"/>
      <c r="CF312" s="73" t="n"/>
      <c r="CG312" s="73" t="n"/>
      <c r="CH312" s="73" t="n"/>
      <c r="CI312" s="73" t="n"/>
      <c r="CJ312" s="73" t="n"/>
      <c r="CK312" s="73" t="n"/>
      <c r="CL312" s="73" t="n"/>
      <c r="CM312" s="73" t="n"/>
      <c r="CN312" s="73" t="n"/>
      <c r="CO312" s="73" t="n"/>
      <c r="CP312" s="73" t="n"/>
      <c r="CQ312" s="73" t="n"/>
      <c r="CR312" s="73" t="n"/>
      <c r="CS312" s="73" t="n"/>
      <c r="CT312" s="73" t="n"/>
      <c r="CU312" s="73" t="n"/>
      <c r="CV312" s="73" t="n"/>
      <c r="CW312" s="73" t="n"/>
      <c r="CX312" s="73" t="n"/>
      <c r="CY312" s="73" t="n"/>
    </row>
    <row r="313"/>
    <row r="314" customFormat="1" s="74">
      <c r="C314" s="74" t="inlineStr">
        <is>
          <t>YEAR</t>
        </is>
      </c>
      <c r="D314">
        <f>IFERROR(D270,"")</f>
        <v>0</v>
      </c>
      <c r="E314" s="75">
        <f>IFERROR(E270,"")</f>
        <v>0</v>
      </c>
      <c r="F314" s="75">
        <f>IFERROR(F270,"")</f>
        <v>0</v>
      </c>
      <c r="G314" s="75">
        <f>IFERROR(G270,"")</f>
        <v>0</v>
      </c>
      <c r="H314" s="75">
        <f>IFERROR(H270,"")</f>
        <v>0</v>
      </c>
      <c r="I314" s="75" t="str">
        <f>IFERROR(I270,"")</f>
        <v>1Q21</v>
      </c>
      <c r="J314" s="75" t="str">
        <f>IFERROR(J270,"")</f>
        <v>2Q21</v>
      </c>
      <c r="K314" s="75" t="str">
        <f>IFERROR(K270,"")</f>
        <v>3Q21</v>
      </c>
      <c r="L314" s="75" t="str">
        <f>IFERROR(L270,"")</f>
        <v>4Q21</v>
      </c>
      <c r="M314" s="75">
        <f>IFERROR(M270,"")</f>
        <v>2021</v>
      </c>
      <c r="N314" s="75" t="str">
        <f>IFERROR(N270,"")</f>
        <v>1Q22</v>
      </c>
      <c r="O314" s="75" t="str">
        <f>IFERROR(O270,"")</f>
        <v>2Q22</v>
      </c>
      <c r="P314" s="75" t="str">
        <f>IFERROR(P270,"")</f>
        <v>3Q22</v>
      </c>
      <c r="Q314" s="75" t="str">
        <f>IFERROR(Q270,"")</f>
        <v>4Q22</v>
      </c>
      <c r="R314" s="75">
        <f>IFERROR(R270,"")</f>
        <v>2022</v>
      </c>
      <c r="S314" s="75" t="str">
        <f>IFERROR(S270,"")</f>
        <v>1Q23</v>
      </c>
      <c r="T314" s="75" t="str">
        <f>IFERROR(T270,"")</f>
        <v>2Q23</v>
      </c>
      <c r="U314" s="75" t="str">
        <f>IFERROR(U270,"")</f>
        <v>3Q23</v>
      </c>
      <c r="V314" s="75" t="str">
        <f>IFERROR(V270,"")</f>
        <v>4Q23</v>
      </c>
      <c r="W314" s="75">
        <f>IFERROR(W270,"")</f>
        <v>2023</v>
      </c>
      <c r="X314" s="75" t="str">
        <f>IFERROR(X270,"")</f>
        <v>1Q24</v>
      </c>
      <c r="Y314" s="75" t="str">
        <f>IFERROR(Y270,"")</f>
        <v>2Q24</v>
      </c>
      <c r="Z314" s="75" t="str">
        <f>IFERROR(Z270,"")</f>
        <v>3Q24</v>
      </c>
      <c r="AA314" s="75" t="str">
        <f>IFERROR(AA270,"")</f>
        <v>4Q24</v>
      </c>
      <c r="AB314" s="75">
        <f>IFERROR(AB270,"")</f>
        <v>2024</v>
      </c>
      <c r="AC314" s="75" t="str">
        <f>IFERROR(AC270,"")</f>
        <v>1Q25</v>
      </c>
      <c r="AD314" s="75" t="str">
        <f>IFERROR(AD270,"")</f>
        <v>2Q25</v>
      </c>
      <c r="AE314" s="75" t="str">
        <f>IFERROR(AE270,"")</f>
        <v>3Q25</v>
      </c>
      <c r="AF314" s="75" t="str">
        <f>IFERROR(AF270,"")</f>
        <v>4Q25</v>
      </c>
      <c r="AG314" s="75">
        <f>IFERROR(AG270,"")</f>
        <v>2025</v>
      </c>
      <c r="AH314" s="75" t="str">
        <f>IFERROR(AH270,"")</f>
        <v>1Q26</v>
      </c>
      <c r="AI314" s="75" t="str">
        <f>IFERROR(AI270,"")</f>
        <v>2Q26</v>
      </c>
      <c r="AJ314" s="75" t="str">
        <f>IFERROR(AJ270,"")</f>
        <v>3Q26</v>
      </c>
      <c r="AK314" s="75" t="str">
        <f>IFERROR(AK270,"")</f>
        <v>4Q26</v>
      </c>
      <c r="AL314" s="75">
        <f>IFERROR(AL270,"")</f>
        <v>2026</v>
      </c>
      <c r="AM314" s="75" t="str">
        <f>IFERROR(AM270,"")</f>
        <v>1Q27</v>
      </c>
      <c r="AN314" s="75" t="str">
        <f>IFERROR(AN270,"")</f>
        <v>2Q27</v>
      </c>
      <c r="AO314" s="75" t="str">
        <f>IFERROR(AO270,"")</f>
        <v>3Q27</v>
      </c>
      <c r="AP314" s="75" t="str">
        <f>IFERROR(AP270,"")</f>
        <v>4Q27</v>
      </c>
      <c r="AQ314" s="75">
        <f>IFERROR(AQ270,"")</f>
        <v>2027</v>
      </c>
      <c r="AR314" s="75" t="str">
        <f>IFERROR(AR270,"")</f>
        <v>1Q28</v>
      </c>
      <c r="AS314" s="75" t="str">
        <f>IFERROR(AS270,"")</f>
        <v>2Q28</v>
      </c>
      <c r="AT314" s="75" t="str">
        <f>IFERROR(AT270,"")</f>
        <v>3Q28</v>
      </c>
      <c r="AU314" s="75" t="str">
        <f>IFERROR(AU270,"")</f>
        <v>4Q28</v>
      </c>
      <c r="AV314" s="75">
        <f>IFERROR(AV270,"")</f>
        <v>2028</v>
      </c>
      <c r="AW314" s="75" t="str">
        <f>IFERROR(AW270,"")</f>
        <v>1Q29</v>
      </c>
      <c r="AX314" s="75" t="str">
        <f>IFERROR(AX270,"")</f>
        <v>2Q29</v>
      </c>
      <c r="AY314" s="75" t="str">
        <f>IFERROR(AY270,"")</f>
        <v>3Q29</v>
      </c>
      <c r="AZ314" s="75" t="str">
        <f>IFERROR(AZ270,"")</f>
        <v>4Q29</v>
      </c>
      <c r="BA314" s="75">
        <f>IFERROR(BA270,"")</f>
        <v>2029</v>
      </c>
      <c r="BB314" s="75" t="str">
        <f>IFERROR(BB270,"")</f>
        <v>1Q30</v>
      </c>
      <c r="BC314" s="75" t="str">
        <f>IFERROR(BC270,"")</f>
        <v>2Q30</v>
      </c>
      <c r="BD314" s="75" t="str">
        <f>IFERROR(BD270,"")</f>
        <v>3Q30</v>
      </c>
      <c r="BE314" s="75" t="str">
        <f>IFERROR(BE270,"")</f>
        <v>4Q30</v>
      </c>
      <c r="BF314" s="75">
        <f>IFERROR(BF270,"")</f>
        <v>2030</v>
      </c>
      <c r="BG314" s="75" t="n"/>
      <c r="BH314" s="75" t="n"/>
      <c r="BI314" s="75" t="n"/>
      <c r="BJ314" s="75" t="n"/>
      <c r="BK314" s="75" t="n"/>
      <c r="BL314" s="75" t="n"/>
      <c r="BM314" s="75" t="n"/>
      <c r="BN314" s="75" t="n"/>
      <c r="BO314" s="75" t="n"/>
      <c r="BP314" s="75" t="n"/>
      <c r="BQ314" s="75" t="n"/>
      <c r="BR314" s="75" t="n"/>
      <c r="BS314" s="75" t="n"/>
      <c r="BT314" s="75" t="n"/>
      <c r="BU314" s="75" t="n"/>
      <c r="BV314" s="75" t="n"/>
      <c r="BW314" s="75" t="n"/>
      <c r="BX314" s="75" t="n"/>
      <c r="BY314" s="75" t="n"/>
      <c r="BZ314" s="75" t="n"/>
      <c r="CA314" s="75" t="n"/>
      <c r="CB314" s="75" t="n"/>
      <c r="CC314" s="75" t="n"/>
      <c r="CD314" s="75" t="n"/>
      <c r="CE314" s="75" t="n"/>
      <c r="CF314" s="75" t="n"/>
      <c r="CG314" s="75" t="n"/>
      <c r="CH314" s="75" t="n"/>
      <c r="CI314" s="75" t="n"/>
      <c r="CJ314" s="75" t="n"/>
      <c r="CK314" s="75" t="n"/>
      <c r="CL314" s="75" t="n"/>
      <c r="CM314" s="75" t="n"/>
      <c r="CN314" s="75" t="n"/>
      <c r="CO314" s="75" t="n"/>
      <c r="CP314" s="75" t="n"/>
      <c r="CQ314" s="75" t="n"/>
      <c r="CR314" s="75" t="n"/>
      <c r="CS314" s="75" t="n"/>
      <c r="CT314" s="75" t="n"/>
      <c r="CU314" s="75" t="n"/>
      <c r="CV314" s="75" t="n"/>
      <c r="CW314" s="75" t="n"/>
      <c r="CX314" s="75" t="n"/>
      <c r="CY314" s="75" t="n"/>
    </row>
    <row r="315" customFormat="1" s="77">
      <c r="A315" s="76" t="n"/>
      <c r="B315" s="76" t="n"/>
      <c r="C315" s="74" t="inlineStr">
        <is>
          <t>GROWTH &amp; MARGINS</t>
        </is>
      </c>
    </row>
    <row r="316" customFormat="1" s="77">
      <c r="A316" s="76" t="n"/>
      <c r="B316" s="76" t="n"/>
      <c r="C316" s="77" t="inlineStr">
        <is>
          <t>NET REVENUE GROWTH (YoY)</t>
        </is>
      </c>
      <c r="E316" s="78" t="str">
        <f>IFERROR(E15/D15-1,"")</f>
        <v/>
      </c>
      <c r="F316" s="78" t="str">
        <f>IFERROR(F15/E15-1,"")</f>
        <v/>
      </c>
      <c r="G316" s="78" t="str">
        <f>IFERROR(G15/F15-1,"")</f>
        <v/>
      </c>
      <c r="H316" s="257" t="str">
        <f>""</f>
        <v/>
      </c>
      <c r="I316" s="257" t="str">
        <f>""</f>
        <v/>
      </c>
      <c r="J316" s="257" t="str">
        <f>""</f>
        <v/>
      </c>
      <c r="K316" s="257" t="str">
        <f>""</f>
        <v/>
      </c>
      <c r="L316" s="257" t="str">
        <f>""</f>
        <v/>
      </c>
      <c r="M316" s="257" t="str">
        <f>IFERROR(IF(AND(ISNUMBER(M15),ISNUMBER(H15),H15&lt;&gt;0),M15/H15-1,""),"")</f>
        <v/>
      </c>
      <c r="N316" s="257">
        <f>IFERROR(IF(AND(ISNUMBER(N15),ISNUMBER(I15),I15&lt;&gt;0),N15/I15-1,""),"")</f>
        <v>0.147584342306336</v>
      </c>
      <c r="O316" s="257">
        <f>IFERROR(IF(AND(ISNUMBER(O15),ISNUMBER(J15),J15&lt;&gt;0),O15/J15-1,""),"")</f>
        <v>-0.0374030058901204</v>
      </c>
      <c r="P316" s="257">
        <f>IFERROR(IF(AND(ISNUMBER(P15),ISNUMBER(K15),K15&lt;&gt;0),P15/K15-1,""),"")</f>
        <v>0.0249232223009686</v>
      </c>
      <c r="Q316" s="257">
        <f>IFERROR(IF(AND(ISNUMBER(Q15),ISNUMBER(L15),L15&lt;&gt;0),Q15/L15-1,""),"")</f>
        <v>-0.0872635907948849</v>
      </c>
      <c r="R316" s="257">
        <f>IFERROR(IF(AND(ISNUMBER(R15),ISNUMBER(M15),M15&lt;&gt;0),R15/M15-1,""),"")</f>
        <v>0.00787473868580135</v>
      </c>
      <c r="S316" s="257">
        <f>IFERROR(IF(AND(ISNUMBER(S15),ISNUMBER(N15),N15&lt;&gt;0),S15/N15-1,""),"")</f>
        <v>-0.108834827144686</v>
      </c>
      <c r="T316" s="257">
        <f>IFERROR(IF(AND(ISNUMBER(T15),ISNUMBER(O15),O15&lt;&gt;0),T15/O15-1,""),"")</f>
        <v>0.281149815043157</v>
      </c>
      <c r="U316" s="257">
        <f>IFERROR(IF(AND(ISNUMBER(U15),ISNUMBER(P15),P15&lt;&gt;0),U15/P15-1,""),"")</f>
        <v>0.368358879797165</v>
      </c>
      <c r="V316" s="257">
        <f>IFERROR(IF(AND(ISNUMBER(V15),ISNUMBER(Q15),Q15&lt;&gt;0),V15/Q15-1,""),"")</f>
        <v>0.280971815168863</v>
      </c>
      <c r="W316" s="257">
        <f>IFERROR(IF(AND(ISNUMBER(W15),ISNUMBER(R15),R15&lt;&gt;0),W15/R15-1,""),"")</f>
        <v>0.195600075679539</v>
      </c>
      <c r="X316" s="257">
        <f>IFERROR(IF(AND(ISNUMBER(X15),ISNUMBER(S15),S15&lt;&gt;0),X15/S15-1,""),"")</f>
        <v>0.259770114942529</v>
      </c>
      <c r="Y316" s="257">
        <f>IFERROR(IF(AND(ISNUMBER(Y15),ISNUMBER(T15),T15&lt;&gt;0),Y15/T15-1,""),"")</f>
        <v>0.359800772367993</v>
      </c>
      <c r="Z316" s="257">
        <f>IFERROR(IF(AND(ISNUMBER(Z15),ISNUMBER(U15),U15&lt;&gt;0),Z15/U15-1,""),"")</f>
        <v>0.204293264270524</v>
      </c>
      <c r="AA316" s="257">
        <f>IFERROR(IF(AND(ISNUMBER(AA15),ISNUMBER(V15),V15&lt;&gt;0),AA15/V15-1,""),"")</f>
        <v>0.446832167981696</v>
      </c>
      <c r="AB316" s="257">
        <f>IFERROR(IF(AND(ISNUMBER(AB15),ISNUMBER(W15),W15&lt;&gt;0),AB15/W15-1,""),"")</f>
        <v>0.319967413059978</v>
      </c>
      <c r="AC316" s="257">
        <f>IFERROR(IF(AND(ISNUMBER(AC15),ISNUMBER(X15),X15&lt;&gt;0),AC15/X15-1,""),"")</f>
        <v>0.451756386861314</v>
      </c>
      <c r="AD316" s="257">
        <f>IFERROR(IF(AND(ISNUMBER(AD15),ISNUMBER(Y15),Y15&lt;&gt;0),AD15/Y15-1,""),"")</f>
        <v>0.376473086314896</v>
      </c>
      <c r="AE316" s="257">
        <f>IFERROR(IF(AND(ISNUMBER(AE15),ISNUMBER(Z15),Z15&lt;&gt;0),AE15/Z15-1,""),"")</f>
        <v>0.538652516369295</v>
      </c>
      <c r="AF316" s="257">
        <f>IFERROR(IF(AND(ISNUMBER(AF15),ISNUMBER(AA15),AA15&lt;&gt;0),AF15/AA15-1,""),"")</f>
        <v>0.425573421612675</v>
      </c>
      <c r="AG316" s="257">
        <f>IFERROR(IF(AND(ISNUMBER(AG15),ISNUMBER(AB15),AB15&lt;&gt;0),AG15/AB15-1,""),"")</f>
        <v>0.447066894302518</v>
      </c>
      <c r="AH316" s="257">
        <f>IFERROR(IF(AND(ISNUMBER(AH15),ISNUMBER(AC15),AC15&lt;&gt;0),AH15/AC15-1,""),"")</f>
        <v>0.5554246209443</v>
      </c>
      <c r="AI316" s="257">
        <f>IFERROR(IF(AND(ISNUMBER(AI15),ISNUMBER(AD15),AD15&lt;&gt;0),AI15/AD15-1,""),"")</f>
        <v>0.476667952178943</v>
      </c>
      <c r="AJ316" s="257">
        <f>IFERROR(IF(AND(ISNUMBER(AJ15),ISNUMBER(AE15),AE15&lt;&gt;0),AJ15/AE15-1,""),"")</f>
        <v>0.470757997380237</v>
      </c>
      <c r="AK316" s="257">
        <f>IFERROR(IF(AND(ISNUMBER(AK15),ISNUMBER(AF15),AF15&lt;&gt;0),AK15/AF15-1,""),"")</f>
        <v>0.470757997380237</v>
      </c>
      <c r="AL316" s="257">
        <f>IFERROR(IF(AND(ISNUMBER(AL15),ISNUMBER(AG15),AG15&lt;&gt;0),AL15/AG15-1,""),"")</f>
        <v>0.48870325845967</v>
      </c>
      <c r="AM316" s="257">
        <f>IFERROR(IF(AND(ISNUMBER(AM15),ISNUMBER(AH15),AH15&lt;&gt;0),AM15/AH15-1,""),"")</f>
        <v>0.470757997380237</v>
      </c>
      <c r="AN316" s="257">
        <f>IFERROR(IF(AND(ISNUMBER(AN15),ISNUMBER(AI15),AI15&lt;&gt;0),AN15/AI15-1,""),"")</f>
        <v>0.470757997380237</v>
      </c>
      <c r="AO316" s="257">
        <f>IFERROR(IF(AND(ISNUMBER(AO15),ISNUMBER(AJ15),AJ15&lt;&gt;0),AO15/AJ15-1,""),"")</f>
        <v>0.470757997380237</v>
      </c>
      <c r="AP316" s="257">
        <f>IFERROR(IF(AND(ISNUMBER(AP15),ISNUMBER(AK15),AK15&lt;&gt;0),AP15/AK15-1,""),"")</f>
        <v>0.470757997380237</v>
      </c>
      <c r="AQ316" s="257">
        <f>IFERROR(IF(AND(ISNUMBER(AQ15),ISNUMBER(AL15),AL15&lt;&gt;0),AQ15/AL15-1,""),"")</f>
        <v>0.470757997380237</v>
      </c>
      <c r="AR316" s="257">
        <f>IFERROR(IF(AND(ISNUMBER(AR15),ISNUMBER(AM15),AM15&lt;&gt;0),AR15/AM15-1,""),"")</f>
        <v>0.465757997380237</v>
      </c>
      <c r="AS316" s="257">
        <f>IFERROR(IF(AND(ISNUMBER(AS15),ISNUMBER(AN15),AN15&lt;&gt;0),AS15/AN15-1,""),"")</f>
        <v>0.465757997380237</v>
      </c>
      <c r="AT316" s="257">
        <f>IFERROR(IF(AND(ISNUMBER(AT15),ISNUMBER(AO15),AO15&lt;&gt;0),AT15/AO15-1,""),"")</f>
        <v>0.465757997380237</v>
      </c>
      <c r="AU316" s="257">
        <f>IFERROR(IF(AND(ISNUMBER(AU15),ISNUMBER(AP15),AP15&lt;&gt;0),AU15/AP15-1,""),"")</f>
        <v>0.465757997380237</v>
      </c>
      <c r="AV316" s="257">
        <f>IFERROR(IF(AND(ISNUMBER(AV15),ISNUMBER(AQ15),AQ15&lt;&gt;0),AV15/AQ15-1,""),"")</f>
        <v>0.465757997380237</v>
      </c>
      <c r="AW316" s="257">
        <f>IFERROR(IF(AND(ISNUMBER(AW15),ISNUMBER(AR15),AR15&lt;&gt;0),AW15/AR15-1,""),"")</f>
        <v>0.460757997380237</v>
      </c>
      <c r="AX316" s="257">
        <f>IFERROR(IF(AND(ISNUMBER(AX15),ISNUMBER(AS15),AS15&lt;&gt;0),AX15/AS15-1,""),"")</f>
        <v>0.460757997380237</v>
      </c>
      <c r="AY316" s="257">
        <f>IFERROR(IF(AND(ISNUMBER(AY15),ISNUMBER(AT15),AT15&lt;&gt;0),AY15/AT15-1,""),"")</f>
        <v>0.460757997380237</v>
      </c>
      <c r="AZ316" s="257">
        <f>IFERROR(IF(AND(ISNUMBER(AZ15),ISNUMBER(AU15),AU15&lt;&gt;0),AZ15/AU15-1,""),"")</f>
        <v>0.460757997380237</v>
      </c>
      <c r="BA316" s="257">
        <f>IFERROR(IF(AND(ISNUMBER(BA15),ISNUMBER(AV15),AV15&lt;&gt;0),BA15/AV15-1,""),"")</f>
        <v>0.460757997380237</v>
      </c>
      <c r="BB316" s="257">
        <f>IFERROR(IF(AND(ISNUMBER(BB15),ISNUMBER(AW15),AW15&lt;&gt;0),BB15/AW15-1,""),"")</f>
        <v>0.455757997380237</v>
      </c>
      <c r="BC316" s="257">
        <f>IFERROR(IF(AND(ISNUMBER(BC15),ISNUMBER(AX15),AX15&lt;&gt;0),BC15/AX15-1,""),"")</f>
        <v>0.455757997380237</v>
      </c>
      <c r="BD316" s="257">
        <f>IFERROR(IF(AND(ISNUMBER(BD15),ISNUMBER(AY15),AY15&lt;&gt;0),BD15/AY15-1,""),"")</f>
        <v>0.455757997380237</v>
      </c>
      <c r="BE316" s="257">
        <f>IFERROR(IF(AND(ISNUMBER(BE15),ISNUMBER(AZ15),AZ15&lt;&gt;0),BE15/AZ15-1,""),"")</f>
        <v>0.455757997380237</v>
      </c>
      <c r="BF316" s="257">
        <f>IFERROR(IF(AND(ISNUMBER(BF15),ISNUMBER(BA15),BA15&lt;&gt;0),BF15/BA15-1,""),"")</f>
        <v>0.455757997380237</v>
      </c>
      <c r="BG316" s="79" t="n"/>
      <c r="BH316" s="79" t="n"/>
      <c r="BI316" s="79" t="n"/>
      <c r="BJ316" s="79" t="n"/>
      <c r="BK316" s="78" t="n"/>
      <c r="BL316" s="79" t="n"/>
      <c r="BM316" s="79" t="n"/>
      <c r="BN316" s="79" t="n"/>
      <c r="BO316" s="79" t="n"/>
      <c r="BP316" s="78" t="n"/>
      <c r="BQ316" s="79" t="n"/>
      <c r="BR316" s="79" t="n"/>
      <c r="BS316" s="79" t="n"/>
      <c r="BT316" s="79" t="n"/>
      <c r="BU316" s="78" t="n"/>
      <c r="BV316" s="79" t="n"/>
      <c r="BW316" s="79" t="n"/>
      <c r="BX316" s="79" t="n"/>
      <c r="BY316" s="79" t="n"/>
      <c r="BZ316" s="78" t="n"/>
      <c r="CA316" s="79" t="n"/>
      <c r="CB316" s="79" t="n"/>
      <c r="CC316" s="79" t="n"/>
      <c r="CD316" s="79" t="n"/>
      <c r="CE316" s="78" t="n"/>
      <c r="CF316" s="79" t="n"/>
      <c r="CG316" s="79" t="n"/>
      <c r="CH316" s="79" t="n"/>
      <c r="CI316" s="79" t="n"/>
      <c r="CJ316" s="78" t="n"/>
      <c r="CK316" s="79" t="n"/>
      <c r="CL316" s="79" t="n"/>
      <c r="CM316" s="79" t="n"/>
      <c r="CN316" s="79" t="n"/>
      <c r="CO316" s="78" t="n"/>
      <c r="CP316" s="79" t="n"/>
      <c r="CQ316" s="79" t="n"/>
      <c r="CR316" s="79" t="n"/>
      <c r="CS316" s="79" t="n"/>
      <c r="CT316" s="78" t="n"/>
      <c r="CU316" s="79" t="n"/>
      <c r="CV316" s="79" t="n"/>
      <c r="CW316" s="79" t="n"/>
      <c r="CX316" s="79" t="n"/>
      <c r="CY316" s="78" t="n"/>
    </row>
    <row r="317" customFormat="1" s="77">
      <c r="A317" s="76" t="n"/>
      <c r="B317" s="76" t="n"/>
      <c r="C317" s="77" t="inlineStr">
        <is>
          <t>GROSS MARGIN</t>
        </is>
      </c>
      <c r="D317" s="79" t="str">
        <f>IFERROR(SUM(D15,D49)/D15,"")</f>
        <v/>
      </c>
      <c r="E317" s="79" t="str">
        <f>IFERROR(SUM(E15,E49)/E15,"")</f>
        <v/>
      </c>
      <c r="F317" s="79" t="str">
        <f>IFERROR(SUM(F15,F49)/F15,"")</f>
        <v/>
      </c>
      <c r="G317" s="79" t="str">
        <f>IFERROR(SUM(G15,G49)/G15,"")</f>
        <v/>
      </c>
      <c r="H317" s="258" t="str">
        <f>IFERROR(IF(N(H15)&lt;&gt;0,(H15+H49)/H15,""),"")</f>
        <v/>
      </c>
      <c r="I317" s="258">
        <f>IFERROR(IF(N(I15)&lt;&gt;0,(I15+I49)/I15,""),"")</f>
        <v>0.723962619019631</v>
      </c>
      <c r="J317" s="258">
        <f>IFERROR(IF(N(J15)&lt;&gt;0,(J15+J49)/J15,""),"")</f>
        <v>0.710212014658536</v>
      </c>
      <c r="K317" s="258">
        <f>IFERROR(IF(N(K15)&lt;&gt;0,(K15+K49)/K15,""),"")</f>
        <v>0.788743208126624</v>
      </c>
      <c r="L317" s="258">
        <f>IFERROR(IF(N(L15)&lt;&gt;0,(L15+L49)/L15,""),"")</f>
        <v>0.743721796522457</v>
      </c>
      <c r="M317" s="258">
        <f>IFERROR(IF(N(M15)&lt;&gt;0,(M15+M49)/M15,""),"")</f>
        <v>0.741765071472965</v>
      </c>
      <c r="N317" s="258">
        <f>IFERROR(IF(N(N15)&lt;&gt;0,(N15+N49)/N15,""),"")</f>
        <v>0.734686299615877</v>
      </c>
      <c r="O317" s="258">
        <f>IFERROR(IF(N(O15)&lt;&gt;0,(O15+O49)/O15,""),"")</f>
        <v>0.779516029593095</v>
      </c>
      <c r="P317" s="258">
        <f>IFERROR(IF(N(P15)&lt;&gt;0,(P15+P49)/P15,""),"")</f>
        <v>0.772516422726749</v>
      </c>
      <c r="Q317" s="258">
        <f>IFERROR(IF(N(Q15)&lt;&gt;0,(Q15+Q49)/Q15,""),"")</f>
        <v>0.787983784820181</v>
      </c>
      <c r="R317" s="258">
        <f>IFERROR(IF(N(R15)&lt;&gt;0,(R15+R49)/R15,""),"")</f>
        <v>0.7677128662224</v>
      </c>
      <c r="S317" s="258">
        <f>IFERROR(IF(N(S15)&lt;&gt;0,(S15+S49)/S15,""),"")</f>
        <v>0.766278735632184</v>
      </c>
      <c r="T317" s="258">
        <f>IFERROR(IF(N(T15)&lt;&gt;0,(T15+T49)/T15,""),"")</f>
        <v>0.782557957676159</v>
      </c>
      <c r="U317" s="258">
        <f>IFERROR(IF(N(U15)&lt;&gt;0,(U15+U49)/U15,""),"")</f>
        <v>0.804171141010254</v>
      </c>
      <c r="V317" s="258">
        <f>IFERROR(IF(N(V15)&lt;&gt;0,(V15+V49)/V15,""),"")</f>
        <v>0.808839566360896</v>
      </c>
      <c r="W317" s="258">
        <f>IFERROR(IF(N(W15)&lt;&gt;0,(W15+W49)/W15,""),"")</f>
        <v>0.792457530015444</v>
      </c>
      <c r="X317" s="258">
        <f>IFERROR(IF(N(X15)&lt;&gt;0,(X15+X49)/X15,""),"")</f>
        <v>0.80913549270073</v>
      </c>
      <c r="Y317" s="258">
        <f>IFERROR(IF(N(Y15)&lt;&gt;0,(Y15+Y49)/Y15,""),"")</f>
        <v>0.807994479244081</v>
      </c>
      <c r="Z317" s="258">
        <f>IFERROR(IF(N(Z15)&lt;&gt;0,(Z15+Z49)/Z15,""),"")</f>
        <v>0.810229825773007</v>
      </c>
      <c r="AA317" s="258">
        <f>IFERROR(IF(N(AA15)&lt;&gt;0,(AA15+AA49)/AA15,""),"")</f>
        <v>0.822372310238827</v>
      </c>
      <c r="AB317" s="258">
        <f>IFERROR(IF(N(AB15)&lt;&gt;0,(AB15+AB49)/AB15,""),"")</f>
        <v>0.813104010194771</v>
      </c>
      <c r="AC317" s="258">
        <f>IFERROR(IF(N(AC15)&lt;&gt;0,(AC15+AC49)/AC15,""),"")</f>
        <v>0.825202293974389</v>
      </c>
      <c r="AD317" s="258">
        <f>IFERROR(IF(N(AD15)&lt;&gt;0,(AD15+AD49)/AD15,""),"")</f>
        <v>0.84265329733899</v>
      </c>
      <c r="AE317" s="258">
        <f>IFERROR(IF(N(AE15)&lt;&gt;0,(AE15+AE49)/AE15,""),"")</f>
        <v>0.829081632653061</v>
      </c>
      <c r="AF317" s="258">
        <f>IFERROR(IF(N(AF15)&lt;&gt;0,(AF15+AF49)/AF15,""),"")</f>
        <v>0.82522807381298</v>
      </c>
      <c r="AG317" s="258">
        <f>IFERROR(IF(N(AG15)&lt;&gt;0,(AG15+AG49)/AG15,""),"")</f>
        <v>0.830422922439161</v>
      </c>
      <c r="AH317" s="258">
        <f>IFERROR(IF(N(AH15)&lt;&gt;0,(AH15+AH49)/AH15,""),"")</f>
        <v>0.819334309813627</v>
      </c>
      <c r="AI317" s="258">
        <f>IFERROR(IF(N(AI15)&lt;&gt;0,(AI15+AI49)/AI15,""),"")</f>
        <v>0.85775224166449</v>
      </c>
      <c r="AJ317" s="258">
        <f>IFERROR(IF(N(AJ15)&lt;&gt;0,(AJ15+AJ49)/AJ15,""),"")</f>
        <v>0.833208641542923</v>
      </c>
      <c r="AK317" s="258">
        <f>IFERROR(IF(N(AK15)&lt;&gt;0,(AK15+AK49)/AK15,""),"")</f>
        <v>0.833208641542923</v>
      </c>
      <c r="AL317" s="258">
        <f>IFERROR(IF(N(AL15)&lt;&gt;0,(AL15+AL49)/AL15,""),"")</f>
        <v>0.836188716784661</v>
      </c>
      <c r="AM317" s="258">
        <f>IFERROR(IF(N(AM15)&lt;&gt;0,(AM15+AM49)/AM15,""),"")</f>
        <v>0.833208641542923</v>
      </c>
      <c r="AN317" s="258">
        <f>IFERROR(IF(N(AN15)&lt;&gt;0,(AN15+AN49)/AN15,""),"")</f>
        <v>0.833208641542923</v>
      </c>
      <c r="AO317" s="258">
        <f>IFERROR(IF(N(AO15)&lt;&gt;0,(AO15+AO49)/AO15,""),"")</f>
        <v>0.833208641542923</v>
      </c>
      <c r="AP317" s="258">
        <f>IFERROR(IF(N(AP15)&lt;&gt;0,(AP15+AP49)/AP15,""),"")</f>
        <v>0.833208641542923</v>
      </c>
      <c r="AQ317" s="258">
        <f>IFERROR(IF(N(AQ15)&lt;&gt;0,(AQ15+AQ49)/AQ15,""),"")</f>
        <v>0.833208641542923</v>
      </c>
      <c r="AR317" s="258">
        <f>IFERROR(IF(N(AR15)&lt;&gt;0,(AR15+AR49)/AR15,""),"")</f>
        <v>0.833208641542923</v>
      </c>
      <c r="AS317" s="258">
        <f>IFERROR(IF(N(AS15)&lt;&gt;0,(AS15+AS49)/AS15,""),"")</f>
        <v>0.833208641542923</v>
      </c>
      <c r="AT317" s="258">
        <f>IFERROR(IF(N(AT15)&lt;&gt;0,(AT15+AT49)/AT15,""),"")</f>
        <v>0.833208641542923</v>
      </c>
      <c r="AU317" s="258">
        <f>IFERROR(IF(N(AU15)&lt;&gt;0,(AU15+AU49)/AU15,""),"")</f>
        <v>0.833208641542923</v>
      </c>
      <c r="AV317" s="258">
        <f>IFERROR(IF(N(AV15)&lt;&gt;0,(AV15+AV49)/AV15,""),"")</f>
        <v>0.833208641542923</v>
      </c>
      <c r="AW317" s="258">
        <f>IFERROR(IF(N(AW15)&lt;&gt;0,(AW15+AW49)/AW15,""),"")</f>
        <v>0.833208641542923</v>
      </c>
      <c r="AX317" s="258">
        <f>IFERROR(IF(N(AX15)&lt;&gt;0,(AX15+AX49)/AX15,""),"")</f>
        <v>0.833208641542923</v>
      </c>
      <c r="AY317" s="258">
        <f>IFERROR(IF(N(AY15)&lt;&gt;0,(AY15+AY49)/AY15,""),"")</f>
        <v>0.833208641542923</v>
      </c>
      <c r="AZ317" s="258">
        <f>IFERROR(IF(N(AZ15)&lt;&gt;0,(AZ15+AZ49)/AZ15,""),"")</f>
        <v>0.833208641542923</v>
      </c>
      <c r="BA317" s="258">
        <f>IFERROR(IF(N(BA15)&lt;&gt;0,(BA15+BA49)/BA15,""),"")</f>
        <v>0.833208641542923</v>
      </c>
      <c r="BB317" s="258">
        <f>IFERROR(IF(N(BB15)&lt;&gt;0,(BB15+BB49)/BB15,""),"")</f>
        <v>0.833208641542923</v>
      </c>
      <c r="BC317" s="258">
        <f>IFERROR(IF(N(BC15)&lt;&gt;0,(BC15+BC49)/BC15,""),"")</f>
        <v>0.833208641542923</v>
      </c>
      <c r="BD317" s="258">
        <f>IFERROR(IF(N(BD15)&lt;&gt;0,(BD15+BD49)/BD15,""),"")</f>
        <v>0.833208641542923</v>
      </c>
      <c r="BE317" s="258">
        <f>IFERROR(IF(N(BE15)&lt;&gt;0,(BE15+BE49)/BE15,""),"")</f>
        <v>0.833208641542923</v>
      </c>
      <c r="BF317" s="258">
        <f>IFERROR(IF(N(BF15)&lt;&gt;0,(BF15+BF49)/BF15,""),"")</f>
        <v>0.833208641542923</v>
      </c>
      <c r="BG317" s="80" t="n"/>
      <c r="BH317" s="80" t="n"/>
      <c r="BI317" s="80" t="n"/>
      <c r="BJ317" s="80" t="n"/>
      <c r="BL317" s="80" t="n"/>
      <c r="BM317" s="80" t="n"/>
      <c r="BN317" s="80" t="n"/>
      <c r="BO317" s="80" t="n"/>
      <c r="BQ317" s="80" t="n"/>
      <c r="BR317" s="80" t="n"/>
      <c r="BS317" s="80" t="n"/>
      <c r="BT317" s="80" t="n"/>
      <c r="BV317" s="80" t="n"/>
      <c r="BW317" s="80" t="n"/>
      <c r="BX317" s="80" t="n"/>
      <c r="BY317" s="80" t="n"/>
      <c r="CA317" s="80" t="n"/>
      <c r="CB317" s="80" t="n"/>
      <c r="CC317" s="80" t="n"/>
      <c r="CD317" s="80" t="n"/>
      <c r="CF317" s="80" t="n"/>
      <c r="CG317" s="80" t="n"/>
      <c r="CH317" s="80" t="n"/>
      <c r="CI317" s="80" t="n"/>
      <c r="CK317" s="80" t="n"/>
      <c r="CL317" s="80" t="n"/>
      <c r="CM317" s="80" t="n"/>
      <c r="CN317" s="80" t="n"/>
      <c r="CP317" s="80" t="n"/>
      <c r="CQ317" s="80" t="n"/>
      <c r="CR317" s="80" t="n"/>
      <c r="CS317" s="80" t="n"/>
      <c r="CU317" s="80" t="n"/>
      <c r="CV317" s="80" t="n"/>
      <c r="CW317" s="80" t="n"/>
      <c r="CX317" s="80" t="n"/>
    </row>
    <row r="318" customFormat="1" s="77">
      <c r="A318" s="76" t="n"/>
      <c r="B318" s="76" t="n"/>
      <c r="C318" s="77" t="inlineStr">
        <is>
          <t>EBIT MARGIN</t>
        </is>
      </c>
      <c r="D318" s="78" t="str">
        <f>IFERROR((D68/D15),"")</f>
        <v/>
      </c>
      <c r="E318" s="78" t="str">
        <f>IFERROR((E68/E15),"")</f>
        <v/>
      </c>
      <c r="F318" s="78" t="str">
        <f>IFERROR((F68/F15),"")</f>
        <v/>
      </c>
      <c r="G318" s="78" t="str">
        <f>IFERROR((G68/G15),"")</f>
        <v/>
      </c>
      <c r="H318" s="258" t="str">
        <f>IFERROR(IF(N(H15)&lt;&gt;0,H68/H15,""),"")</f>
        <v/>
      </c>
      <c r="I318" s="257">
        <f>IFERROR(IF(N(I15)&lt;&gt;0,I68/I15,""),"")</f>
        <v>0</v>
      </c>
      <c r="J318" s="257">
        <f>IFERROR(IF(N(J15)&lt;&gt;0,J68/J15,""),"")</f>
        <v>0</v>
      </c>
      <c r="K318" s="257">
        <f>IFERROR(IF(N(K15)&lt;&gt;0,K68/K15,""),"")</f>
        <v>0</v>
      </c>
      <c r="L318" s="257">
        <f>IFERROR(IF(N(L15)&lt;&gt;0,L68/L15,""),"")</f>
        <v>0</v>
      </c>
      <c r="M318" s="258">
        <f>IFERROR(IF(N(M15)&lt;&gt;0,M68/M15,""),"")</f>
        <v>0</v>
      </c>
      <c r="N318" s="257">
        <f>IFERROR(IF(N(N15)&lt;&gt;0,N68/N15,""),"")</f>
        <v>0</v>
      </c>
      <c r="O318" s="257">
        <f>IFERROR(IF(N(O15)&lt;&gt;0,O68/O15,""),"")</f>
        <v>0</v>
      </c>
      <c r="P318" s="257">
        <f>IFERROR(IF(N(P15)&lt;&gt;0,P68/P15,""),"")</f>
        <v>0</v>
      </c>
      <c r="Q318" s="257">
        <f>IFERROR(IF(N(Q15)&lt;&gt;0,Q68/Q15,""),"")</f>
        <v>0</v>
      </c>
      <c r="R318" s="258">
        <f>IFERROR(IF(N(R15)&lt;&gt;0,R68/R15,""),"")</f>
        <v>0</v>
      </c>
      <c r="S318" s="257">
        <f>IFERROR(IF(N(S15)&lt;&gt;0,S68/S15,""),"")</f>
        <v>0</v>
      </c>
      <c r="T318" s="257">
        <f>IFERROR(IF(N(T15)&lt;&gt;0,T68/T15,""),"")</f>
        <v>0</v>
      </c>
      <c r="U318" s="257">
        <f>IFERROR(IF(N(U15)&lt;&gt;0,U68/U15,""),"")</f>
        <v>0</v>
      </c>
      <c r="V318" s="257">
        <f>IFERROR(IF(N(V15)&lt;&gt;0,V68/V15,""),"")</f>
        <v>0</v>
      </c>
      <c r="W318" s="258">
        <f>IFERROR(IF(N(W15)&lt;&gt;0,W68/W15,""),"")</f>
        <v>0</v>
      </c>
      <c r="X318" s="257">
        <f>IFERROR(IF(N(X15)&lt;&gt;0,X68/X15,""),"")</f>
        <v>0</v>
      </c>
      <c r="Y318" s="257">
        <f>IFERROR(IF(N(Y15)&lt;&gt;0,Y68/Y15,""),"")</f>
        <v>0</v>
      </c>
      <c r="Z318" s="257">
        <f>IFERROR(IF(N(Z15)&lt;&gt;0,Z68/Z15,""),"")</f>
        <v>0</v>
      </c>
      <c r="AA318" s="257">
        <f>IFERROR(IF(N(AA15)&lt;&gt;0,AA68/AA15,""),"")</f>
        <v>0</v>
      </c>
      <c r="AB318" s="258">
        <f>IFERROR(IF(N(AB15)&lt;&gt;0,AB68/AB15,""),"")</f>
        <v>0</v>
      </c>
      <c r="AC318" s="257">
        <f>IFERROR(IF(N(AC15)&lt;&gt;0,AC68/AC15,""),"")</f>
        <v>0</v>
      </c>
      <c r="AD318" s="257">
        <f>IFERROR(IF(N(AD15)&lt;&gt;0,AD68/AD15,""),"")</f>
        <v>0</v>
      </c>
      <c r="AE318" s="257">
        <f>IFERROR(IF(N(AE15)&lt;&gt;0,AE68/AE15,""),"")</f>
        <v>0</v>
      </c>
      <c r="AF318" s="257">
        <f>IFERROR(IF(N(AF15)&lt;&gt;0,AF68/AF15,""),"")</f>
        <v>0</v>
      </c>
      <c r="AG318" s="258">
        <f>IFERROR(IF(N(AG15)&lt;&gt;0,AG68/AG15,""),"")</f>
        <v>0</v>
      </c>
      <c r="AH318" s="257">
        <f>IFERROR(IF(N(AH15)&lt;&gt;0,AH68/AH15,""),"")</f>
        <v>0</v>
      </c>
      <c r="AI318" s="257">
        <f>IFERROR(IF(N(AI15)&lt;&gt;0,AI68/AI15,""),"")</f>
        <v>0</v>
      </c>
      <c r="AJ318" s="257">
        <f>IFERROR(IF(N(AJ15)&lt;&gt;0,AJ68/AJ15,""),"")</f>
        <v>-1.22968702660958e-16</v>
      </c>
      <c r="AK318" s="257">
        <f>IFERROR(IF(N(AK15)&lt;&gt;0,AK68/AK15,""),"")</f>
        <v>0</v>
      </c>
      <c r="AL318" s="258">
        <f>IFERROR(IF(N(AL15)&lt;&gt;0,AL68/AL15,""),"")</f>
        <v>0</v>
      </c>
      <c r="AM318" s="257">
        <f>IFERROR(IF(N(AM15)&lt;&gt;0,AM68/AM15,""),"")</f>
        <v>0</v>
      </c>
      <c r="AN318" s="257">
        <f>IFERROR(IF(N(AN15)&lt;&gt;0,AN68/AN15,""),"")</f>
        <v>0</v>
      </c>
      <c r="AO318" s="257">
        <f>IFERROR(IF(N(AO15)&lt;&gt;0,AO68/AO15,""),"")</f>
        <v>0</v>
      </c>
      <c r="AP318" s="257">
        <f>IFERROR(IF(N(AP15)&lt;&gt;0,AP68/AP15,""),"")</f>
        <v>0</v>
      </c>
      <c r="AQ318" s="258">
        <f>IFERROR(IF(N(AQ15)&lt;&gt;0,AQ68/AQ15,""),"")</f>
        <v>0</v>
      </c>
      <c r="AR318" s="257">
        <f>IFERROR(IF(N(AR15)&lt;&gt;0,AR68/AR15,""),"")</f>
        <v>0</v>
      </c>
      <c r="AS318" s="257">
        <f>IFERROR(IF(N(AS15)&lt;&gt;0,AS68/AS15,""),"")</f>
        <v>0</v>
      </c>
      <c r="AT318" s="257">
        <f>IFERROR(IF(N(AT15)&lt;&gt;0,AT68/AT15,""),"")</f>
        <v>0</v>
      </c>
      <c r="AU318" s="257">
        <f>IFERROR(IF(N(AU15)&lt;&gt;0,AU68/AU15,""),"")</f>
        <v>0</v>
      </c>
      <c r="AV318" s="258">
        <f>IFERROR(IF(N(AV15)&lt;&gt;0,AV68/AV15,""),"")</f>
        <v>0</v>
      </c>
      <c r="AW318" s="257">
        <f>IFERROR(IF(N(AW15)&lt;&gt;0,AW68/AW15,""),"")</f>
        <v>0</v>
      </c>
      <c r="AX318" s="257">
        <f>IFERROR(IF(N(AX15)&lt;&gt;0,AX68/AX15,""),"")</f>
        <v>-1.19427790690645e-16</v>
      </c>
      <c r="AY318" s="257">
        <f>IFERROR(IF(N(AY15)&lt;&gt;0,AY68/AY15,""),"")</f>
        <v>-1.39461649045627e-16</v>
      </c>
      <c r="AZ318" s="257">
        <f>IFERROR(IF(N(AZ15)&lt;&gt;0,AZ68/AZ15,""),"")</f>
        <v>0</v>
      </c>
      <c r="BA318" s="258">
        <f>IFERROR(IF(N(BA15)&lt;&gt;0,BA68/BA15,""),"")</f>
        <v>0</v>
      </c>
      <c r="BB318" s="257">
        <f>IFERROR(IF(N(BB15)&lt;&gt;0,BB68/BB15,""),"")</f>
        <v>0</v>
      </c>
      <c r="BC318" s="257">
        <f>IFERROR(IF(N(BC15)&lt;&gt;0,BC68/BC15,""),"")</f>
        <v>-1.07945022551071e-16</v>
      </c>
      <c r="BD318" s="257">
        <f>IFERROR(IF(N(BD15)&lt;&gt;0,BD68/BD15,""),"")</f>
        <v>0</v>
      </c>
      <c r="BE318" s="257">
        <f>IFERROR(IF(N(BE15)&lt;&gt;0,BE68/BE15,""),"")</f>
        <v>0</v>
      </c>
      <c r="BF318" s="258">
        <f>IFERROR(IF(N(BF15)&lt;&gt;0,BF68/BF15,""),"")</f>
        <v>0</v>
      </c>
      <c r="BG318" s="81" t="n"/>
      <c r="BH318" s="81" t="n"/>
      <c r="BI318" s="81" t="n"/>
      <c r="BJ318" s="81" t="n"/>
      <c r="BL318" s="81" t="n"/>
      <c r="BM318" s="81" t="n"/>
      <c r="BN318" s="81" t="n"/>
      <c r="BO318" s="81" t="n"/>
      <c r="BQ318" s="81" t="n"/>
      <c r="BR318" s="81" t="n"/>
      <c r="BS318" s="81" t="n"/>
      <c r="BT318" s="81" t="n"/>
      <c r="BV318" s="81" t="n"/>
      <c r="BW318" s="81" t="n"/>
      <c r="BX318" s="81" t="n"/>
      <c r="BY318" s="81" t="n"/>
      <c r="CA318" s="81" t="n"/>
      <c r="CB318" s="81" t="n"/>
      <c r="CC318" s="81" t="n"/>
      <c r="CD318" s="81" t="n"/>
      <c r="CF318" s="81" t="n"/>
      <c r="CG318" s="81" t="n"/>
      <c r="CH318" s="81" t="n"/>
      <c r="CI318" s="81" t="n"/>
      <c r="CK318" s="81" t="n"/>
      <c r="CL318" s="81" t="n"/>
      <c r="CM318" s="81" t="n"/>
      <c r="CN318" s="81" t="n"/>
      <c r="CP318" s="81" t="n"/>
      <c r="CQ318" s="81" t="n"/>
      <c r="CR318" s="81" t="n"/>
      <c r="CS318" s="81" t="n"/>
      <c r="CU318" s="81" t="n"/>
      <c r="CV318" s="81" t="n"/>
      <c r="CW318" s="81" t="n"/>
      <c r="CX318" s="81" t="n"/>
    </row>
    <row r="319" customFormat="1" s="77">
      <c r="A319" s="76" t="n"/>
      <c r="B319" s="76" t="n"/>
      <c r="C319" s="77" t="inlineStr">
        <is>
          <t>EBITDA MARGIN</t>
        </is>
      </c>
      <c r="D319" s="78" t="str">
        <f>IFERROR(D64/D15,"")</f>
        <v/>
      </c>
      <c r="E319" s="78" t="str">
        <f>IFERROR(E64/E15,"")</f>
        <v/>
      </c>
      <c r="F319" s="78" t="str">
        <f>IFERROR(F64/F15,"")</f>
        <v/>
      </c>
      <c r="G319" s="78" t="str">
        <f>IFERROR(G64/G15,"")</f>
        <v/>
      </c>
      <c r="H319" s="258" t="str">
        <f>IFERROR(IF(N(H15)&lt;&gt;0,H64/H15,""),"")</f>
        <v/>
      </c>
      <c r="I319" s="257">
        <f>IFERROR(IF(N(I15)&lt;&gt;0,I64/I15,""),"")</f>
        <v>0.0514723169154815</v>
      </c>
      <c r="J319" s="257">
        <f>IFERROR(IF(N(J15)&lt;&gt;0,J64/J15,""),"")</f>
        <v>0.0547914719366181</v>
      </c>
      <c r="K319" s="257">
        <f>IFERROR(IF(N(K15)&lt;&gt;0,K64/K15,""),"")</f>
        <v>0.056446373730215</v>
      </c>
      <c r="L319" s="257">
        <f>IFERROR(IF(N(L15)&lt;&gt;0,L64/L15,""),"")</f>
        <v>0.0557131964149552</v>
      </c>
      <c r="M319" s="258">
        <f>IFERROR(IF(N(M15)&lt;&gt;0,M64/M15,""),"")</f>
        <v>0.0546499802248715</v>
      </c>
      <c r="N319" s="257">
        <f>IFERROR(IF(N(N15)&lt;&gt;0,N64/N15,""),"")</f>
        <v>0.0557874519846351</v>
      </c>
      <c r="O319" s="257">
        <f>IFERROR(IF(N(O15)&lt;&gt;0,O64/O15,""),"")</f>
        <v>0.0537762022194821</v>
      </c>
      <c r="P319" s="257">
        <f>IFERROR(IF(N(P15)&lt;&gt;0,P64/P15,""),"")</f>
        <v>0.052279013483923</v>
      </c>
      <c r="Q319" s="257">
        <f>IFERROR(IF(N(Q15)&lt;&gt;0,Q64/Q15,""),"")</f>
        <v>0.0513571995946206</v>
      </c>
      <c r="R319" s="258">
        <f>IFERROR(IF(N(R15)&lt;&gt;0,R64/R15,""),"")</f>
        <v>0.0533435640858543</v>
      </c>
      <c r="S319" s="257">
        <f>IFERROR(IF(N(S15)&lt;&gt;0,S64/S15,""),"")</f>
        <v>0.0520545977011494</v>
      </c>
      <c r="T319" s="257">
        <f>IFERROR(IF(N(T15)&lt;&gt;0,T64/T15,""),"")</f>
        <v>0.0440682859927095</v>
      </c>
      <c r="U319" s="257">
        <f>IFERROR(IF(N(U15)&lt;&gt;0,U64/U15,""),"")</f>
        <v>0.0432695344577096</v>
      </c>
      <c r="V319" s="257">
        <f>IFERROR(IF(N(V15)&lt;&gt;0,V64/V15,""),"")</f>
        <v>0.0414501678534009</v>
      </c>
      <c r="W319" s="258">
        <f>IFERROR(IF(N(W15)&lt;&gt;0,W64/W15,""),"")</f>
        <v>0.0447572243663569</v>
      </c>
      <c r="X319" s="257">
        <f>IFERROR(IF(N(X15)&lt;&gt;0,X64/X15,""),"")</f>
        <v>0.0456888686131387</v>
      </c>
      <c r="Y319" s="257">
        <f>IFERROR(IF(N(Y15)&lt;&gt;0,Y64/Y15,""),"")</f>
        <v>0.0366634816151749</v>
      </c>
      <c r="Z319" s="257">
        <f>IFERROR(IF(N(Z15)&lt;&gt;0,Z64/Z15,""),"")</f>
        <v>0.0408074061770594</v>
      </c>
      <c r="AA319" s="257">
        <f>IFERROR(IF(N(AA15)&lt;&gt;0,AA64/AA15,""),"")</f>
        <v>0.0358240718846062</v>
      </c>
      <c r="AB319" s="258">
        <f>IFERROR(IF(N(AB15)&lt;&gt;0,AB64/AB15,""),"")</f>
        <v>0.0392205618224484</v>
      </c>
      <c r="AC319" s="257">
        <f>IFERROR(IF(N(AC15)&lt;&gt;0,AC64/AC15,""),"")</f>
        <v>0.036357922853327</v>
      </c>
      <c r="AD319" s="257">
        <f>IFERROR(IF(N(AD15)&lt;&gt;0,AD64/AD15,""),"")</f>
        <v>0.0307558812186656</v>
      </c>
      <c r="AE319" s="257">
        <f>IFERROR(IF(N(AE15)&lt;&gt;0,AE64/AE15,""),"")</f>
        <v>0.0267033316667424</v>
      </c>
      <c r="AF319" s="257">
        <f>IFERROR(IF(N(AF15)&lt;&gt;0,AF64/AF15,""),"")</f>
        <v>0.0303597346050176</v>
      </c>
      <c r="AG319" s="258">
        <f>IFERROR(IF(N(AG15)&lt;&gt;0,AG64/AG15,""),"")</f>
        <v>0.0306383265981178</v>
      </c>
      <c r="AH319" s="257">
        <f>IFERROR(IF(N(AH15)&lt;&gt;0,AH64/AH15,""),"")</f>
        <v>0.025708369109551</v>
      </c>
      <c r="AI319" s="257">
        <f>IFERROR(IF(N(AI15)&lt;&gt;0,AI64/AI15,""),"")</f>
        <v>0.0232436667537216</v>
      </c>
      <c r="AJ319" s="257">
        <f>IFERROR(IF(N(AJ15)&lt;&gt;0,AJ64/AJ15,""),"")</f>
        <v>0.0288548177011708</v>
      </c>
      <c r="AK319" s="257">
        <f>IFERROR(IF(N(AK15)&lt;&gt;0,AK64/AK15,""),"")</f>
        <v>0.0288548177011708</v>
      </c>
      <c r="AL319" s="258">
        <f>IFERROR(IF(N(AL15)&lt;&gt;0,AL64/AL15,""),"")</f>
        <v>0.0268842884228986</v>
      </c>
      <c r="AM319" s="257">
        <f>IFERROR(IF(N(AM15)&lt;&gt;0,AM64/AM15,""),"")</f>
        <v>0.0288548177011708</v>
      </c>
      <c r="AN319" s="257">
        <f>IFERROR(IF(N(AN15)&lt;&gt;0,AN64/AN15,""),"")</f>
        <v>0.0288548177011708</v>
      </c>
      <c r="AO319" s="257">
        <f>IFERROR(IF(N(AO15)&lt;&gt;0,AO64/AO15,""),"")</f>
        <v>0.0288548177011708</v>
      </c>
      <c r="AP319" s="257">
        <f>IFERROR(IF(N(AP15)&lt;&gt;0,AP64/AP15,""),"")</f>
        <v>0.0288548177011708</v>
      </c>
      <c r="AQ319" s="258">
        <f>IFERROR(IF(N(AQ15)&lt;&gt;0,AQ64/AQ15,""),"")</f>
        <v>0.0288548177011708</v>
      </c>
      <c r="AR319" s="257">
        <f>IFERROR(IF(N(AR15)&lt;&gt;0,AR64/AR15,""),"")</f>
        <v>0.0288548177011709</v>
      </c>
      <c r="AS319" s="257">
        <f>IFERROR(IF(N(AS15)&lt;&gt;0,AS64/AS15,""),"")</f>
        <v>0.0288548177011708</v>
      </c>
      <c r="AT319" s="257">
        <f>IFERROR(IF(N(AT15)&lt;&gt;0,AT64/AT15,""),"")</f>
        <v>0.0288548177011709</v>
      </c>
      <c r="AU319" s="257">
        <f>IFERROR(IF(N(AU15)&lt;&gt;0,AU64/AU15,""),"")</f>
        <v>0.0288548177011709</v>
      </c>
      <c r="AV319" s="258">
        <f>IFERROR(IF(N(AV15)&lt;&gt;0,AV64/AV15,""),"")</f>
        <v>0.0288548177011709</v>
      </c>
      <c r="AW319" s="257">
        <f>IFERROR(IF(N(AW15)&lt;&gt;0,AW64/AW15,""),"")</f>
        <v>0.0288548177011709</v>
      </c>
      <c r="AX319" s="257">
        <f>IFERROR(IF(N(AX15)&lt;&gt;0,AX64/AX15,""),"")</f>
        <v>0.0288548177011708</v>
      </c>
      <c r="AY319" s="257">
        <f>IFERROR(IF(N(AY15)&lt;&gt;0,AY64/AY15,""),"")</f>
        <v>0.0288548177011707</v>
      </c>
      <c r="AZ319" s="257">
        <f>IFERROR(IF(N(AZ15)&lt;&gt;0,AZ64/AZ15,""),"")</f>
        <v>0.0288548177011709</v>
      </c>
      <c r="BA319" s="258">
        <f>IFERROR(IF(N(BA15)&lt;&gt;0,BA64/BA15,""),"")</f>
        <v>0.0288548177011708</v>
      </c>
      <c r="BB319" s="257">
        <f>IFERROR(IF(N(BB15)&lt;&gt;0,BB64/BB15,""),"")</f>
        <v>0.0288548177011708</v>
      </c>
      <c r="BC319" s="257">
        <f>IFERROR(IF(N(BC15)&lt;&gt;0,BC64/BC15,""),"")</f>
        <v>0.0288548177011708</v>
      </c>
      <c r="BD319" s="257">
        <f>IFERROR(IF(N(BD15)&lt;&gt;0,BD64/BD15,""),"")</f>
        <v>0.0288548177011709</v>
      </c>
      <c r="BE319" s="257">
        <f>IFERROR(IF(N(BE15)&lt;&gt;0,BE64/BE15,""),"")</f>
        <v>0.0288548177011709</v>
      </c>
      <c r="BF319" s="258">
        <f>IFERROR(IF(N(BF15)&lt;&gt;0,BF64/BF15,""),"")</f>
        <v>0.0288548177011708</v>
      </c>
      <c r="BG319" s="81" t="n"/>
      <c r="BH319" s="81" t="n"/>
      <c r="BI319" s="81" t="n"/>
      <c r="BJ319" s="81" t="n"/>
      <c r="BL319" s="81" t="n"/>
      <c r="BM319" s="81" t="n"/>
      <c r="BN319" s="81" t="n"/>
      <c r="BO319" s="81" t="n"/>
      <c r="BQ319" s="81" t="n"/>
      <c r="BR319" s="81" t="n"/>
      <c r="BS319" s="81" t="n"/>
      <c r="BT319" s="81" t="n"/>
      <c r="BV319" s="81" t="n"/>
      <c r="BW319" s="81" t="n"/>
      <c r="BX319" s="81" t="n"/>
      <c r="BY319" s="81" t="n"/>
      <c r="CA319" s="81" t="n"/>
      <c r="CB319" s="81" t="n"/>
      <c r="CC319" s="81" t="n"/>
      <c r="CD319" s="81" t="n"/>
      <c r="CF319" s="81" t="n"/>
      <c r="CG319" s="81" t="n"/>
      <c r="CH319" s="81" t="n"/>
      <c r="CI319" s="81" t="n"/>
      <c r="CK319" s="81" t="n"/>
      <c r="CL319" s="81" t="n"/>
      <c r="CM319" s="81" t="n"/>
      <c r="CN319" s="81" t="n"/>
      <c r="CP319" s="81" t="n"/>
      <c r="CQ319" s="81" t="n"/>
      <c r="CR319" s="81" t="n"/>
      <c r="CS319" s="81" t="n"/>
      <c r="CU319" s="81" t="n"/>
      <c r="CV319" s="81" t="n"/>
      <c r="CW319" s="81" t="n"/>
      <c r="CX319" s="81" t="n"/>
    </row>
    <row r="320" customFormat="1" s="77">
      <c r="A320" s="76" t="n"/>
      <c r="B320" s="76" t="n"/>
      <c r="C320" s="77" t="inlineStr">
        <is>
          <t>ETR</t>
        </is>
      </c>
      <c r="D320" s="78" t="str">
        <f>IFERROR(-D126/D125,"")</f>
        <v/>
      </c>
      <c r="E320" s="78" t="str">
        <f>IFERROR(-E126/E125,"")</f>
        <v/>
      </c>
      <c r="F320" s="78" t="str">
        <f>IFERROR(-F126/F125,"")</f>
        <v/>
      </c>
      <c r="G320" s="78" t="str">
        <f>IFERROR(-G126/G125,"")</f>
        <v/>
      </c>
      <c r="H320" s="258" t="str">
        <f>IFERROR(IF(N(H125)&lt;&gt;0,-H126/H125,""),"")</f>
        <v/>
      </c>
      <c r="I320" s="257">
        <f>IFERROR(IF(N(I125)&lt;&gt;0,-I126/I125,""),"")</f>
        <v>0.0820238417772961</v>
      </c>
      <c r="J320" s="257">
        <f>IFERROR(IF(N(J125)&lt;&gt;0,-J126/J125,""),"")</f>
        <v>0.127799736495389</v>
      </c>
      <c r="K320" s="257">
        <f>IFERROR(IF(N(K125)&lt;&gt;0,-K126/K125,""),"")</f>
        <v>0.108568216494017</v>
      </c>
      <c r="L320" s="257">
        <f>IFERROR(IF(N(L125)&lt;&gt;0,-L126/L125,""),"")</f>
        <v>0.0618511875645416</v>
      </c>
      <c r="M320" s="258">
        <f>IFERROR(IF(N(M125)&lt;&gt;0,-M126/M125,""),"")</f>
        <v>0.0932174478109008</v>
      </c>
      <c r="N320" s="257">
        <f>IFERROR(IF(N(N125)&lt;&gt;0,-N126/N125,""),"")</f>
        <v>0.0733833268406701</v>
      </c>
      <c r="O320" s="257">
        <f>IFERROR(IF(N(O125)&lt;&gt;0,-O126/O125,""),"")</f>
        <v>0.126867723897699</v>
      </c>
      <c r="P320" s="257">
        <f>IFERROR(IF(N(P125)&lt;&gt;0,-P126/P125,""),"")</f>
        <v>0.0726924305333759</v>
      </c>
      <c r="Q320" s="257">
        <f>IFERROR(IF(N(Q125)&lt;&gt;0,-Q126/Q125,""),"")</f>
        <v>0.0757012020606754</v>
      </c>
      <c r="R320" s="258">
        <f>IFERROR(IF(N(R125)&lt;&gt;0,-R126/R125,""),"")</f>
        <v>0.0825105782792666</v>
      </c>
      <c r="S320" s="257">
        <f>IFERROR(IF(N(S125)&lt;&gt;0,-S126/S125,""),"")</f>
        <v>0.120808001568935</v>
      </c>
      <c r="T320" s="257">
        <f>IFERROR(IF(N(T125)&lt;&gt;0,-T126/T125,""),"")</f>
        <v>0.155919383407535</v>
      </c>
      <c r="U320" s="257">
        <f>IFERROR(IF(N(U125)&lt;&gt;0,-U126/U125,""),"")</f>
        <v>1.13436329588015</v>
      </c>
      <c r="V320" s="257">
        <f>IFERROR(IF(N(V125)&lt;&gt;0,-V126/V125,""),"")</f>
        <v>0.127192283163265</v>
      </c>
      <c r="W320" s="258">
        <f>IFERROR(IF(N(W125)&lt;&gt;0,-W126/W125,""),"")</f>
        <v>0.20050041192445</v>
      </c>
      <c r="X320" s="257">
        <f>IFERROR(IF(N(X125)&lt;&gt;0,-X126/X125,""),"")</f>
        <v>0.115610583178897</v>
      </c>
      <c r="Y320" s="257">
        <f>IFERROR(IF(N(Y125)&lt;&gt;0,-Y126/Y125,""),"")</f>
        <v>0.156431252132378</v>
      </c>
      <c r="Z320" s="257">
        <f>IFERROR(IF(N(Z125)&lt;&gt;0,-Z126/Z125,""),"")</f>
        <v>0.38913371946613</v>
      </c>
      <c r="AA320" s="257">
        <f>IFERROR(IF(N(AA125)&lt;&gt;0,-AA126/AA125,""),"")</f>
        <v>0.124813940103598</v>
      </c>
      <c r="AB320" s="258">
        <f>IFERROR(IF(N(AB125)&lt;&gt;0,-AB126/AB125,""),"")</f>
        <v>0.164852843758872</v>
      </c>
      <c r="AC320" s="257">
        <f>IFERROR(IF(N(AC125)&lt;&gt;0,-AC126/AC125,""),"")</f>
        <v>0.201678240740741</v>
      </c>
      <c r="AD320" s="257">
        <f>IFERROR(IF(N(AD125)&lt;&gt;0,-AD126/AD125,""),"")</f>
        <v>0.164674634794157</v>
      </c>
      <c r="AE320" s="257">
        <f>IFERROR(IF(N(AE125)&lt;&gt;0,-AE126/AE125,""),"")</f>
        <v>0.228126209833527</v>
      </c>
      <c r="AF320" s="257">
        <f>IFERROR(IF(N(AF125)&lt;&gt;0,-AF126/AF125,""),"")</f>
        <v>0.197007089109869</v>
      </c>
      <c r="AG320" s="258">
        <f>IFERROR(IF(N(AG125)&lt;&gt;0,-AG126/AG125,""),"")</f>
        <v>0.19786565934493</v>
      </c>
      <c r="AH320" s="257">
        <f>IFERROR(IF(N(AH125)&lt;&gt;0,-AH126/AH125,""),"")</f>
        <v>0.164293785310734</v>
      </c>
      <c r="AI320" s="257">
        <f>IFERROR(IF(N(AI125)&lt;&gt;0,-AI126/AI125,""),"")</f>
        <v>0.232724126743809</v>
      </c>
      <c r="AJ320" s="257">
        <f>IFERROR(IF(N(AJ125)&lt;&gt;0,-AJ126/AJ125,""),"")</f>
        <v>0.198084014422139</v>
      </c>
      <c r="AK320" s="257">
        <f>IFERROR(IF(N(AK125)&lt;&gt;0,-AK126/AK125,""),"")</f>
        <v>0.198084014422139</v>
      </c>
      <c r="AL320" s="258">
        <f>IFERROR(IF(N(AL125)&lt;&gt;0,-AL126/AL125,""),"")</f>
        <v>0.198608299257403</v>
      </c>
      <c r="AM320" s="257">
        <f>IFERROR(IF(N(AM125)&lt;&gt;0,-AM126/AM125,""),"")</f>
        <v>0.198084014422139</v>
      </c>
      <c r="AN320" s="257">
        <f>IFERROR(IF(N(AN125)&lt;&gt;0,-AN126/AN125,""),"")</f>
        <v>0.198084014422139</v>
      </c>
      <c r="AO320" s="257">
        <f>IFERROR(IF(N(AO125)&lt;&gt;0,-AO126/AO125,""),"")</f>
        <v>0.198084014422139</v>
      </c>
      <c r="AP320" s="257">
        <f>IFERROR(IF(N(AP125)&lt;&gt;0,-AP126/AP125,""),"")</f>
        <v>0.198084014422139</v>
      </c>
      <c r="AQ320" s="258">
        <f>IFERROR(IF(N(AQ125)&lt;&gt;0,-AQ126/AQ125,""),"")</f>
        <v>0.198084014422139</v>
      </c>
      <c r="AR320" s="257">
        <f>IFERROR(IF(N(AR125)&lt;&gt;0,-AR126/AR125,""),"")</f>
        <v>0.198084014422139</v>
      </c>
      <c r="AS320" s="257">
        <f>IFERROR(IF(N(AS125)&lt;&gt;0,-AS126/AS125,""),"")</f>
        <v>0.198084014422139</v>
      </c>
      <c r="AT320" s="257">
        <f>IFERROR(IF(N(AT125)&lt;&gt;0,-AT126/AT125,""),"")</f>
        <v>0.198084014422139</v>
      </c>
      <c r="AU320" s="257">
        <f>IFERROR(IF(N(AU125)&lt;&gt;0,-AU126/AU125,""),"")</f>
        <v>0.198084014422139</v>
      </c>
      <c r="AV320" s="258">
        <f>IFERROR(IF(N(AV125)&lt;&gt;0,-AV126/AV125,""),"")</f>
        <v>0.198084014422139</v>
      </c>
      <c r="AW320" s="257">
        <f>IFERROR(IF(N(AW125)&lt;&gt;0,-AW126/AW125,""),"")</f>
        <v>0.198084014422139</v>
      </c>
      <c r="AX320" s="257">
        <f>IFERROR(IF(N(AX125)&lt;&gt;0,-AX126/AX125,""),"")</f>
        <v>0.198084014422139</v>
      </c>
      <c r="AY320" s="257">
        <f>IFERROR(IF(N(AY125)&lt;&gt;0,-AY126/AY125,""),"")</f>
        <v>0.198084014422139</v>
      </c>
      <c r="AZ320" s="257">
        <f>IFERROR(IF(N(AZ125)&lt;&gt;0,-AZ126/AZ125,""),"")</f>
        <v>0.198084014422139</v>
      </c>
      <c r="BA320" s="258">
        <f>IFERROR(IF(N(BA125)&lt;&gt;0,-BA126/BA125,""),"")</f>
        <v>0.198084014422139</v>
      </c>
      <c r="BB320" s="257">
        <f>IFERROR(IF(N(BB125)&lt;&gt;0,-BB126/BB125,""),"")</f>
        <v>0.198084014422139</v>
      </c>
      <c r="BC320" s="257">
        <f>IFERROR(IF(N(BC125)&lt;&gt;0,-BC126/BC125,""),"")</f>
        <v>0.198084014422139</v>
      </c>
      <c r="BD320" s="257">
        <f>IFERROR(IF(N(BD125)&lt;&gt;0,-BD126/BD125,""),"")</f>
        <v>0.198084014422139</v>
      </c>
      <c r="BE320" s="257">
        <f>IFERROR(IF(N(BE125)&lt;&gt;0,-BE126/BE125,""),"")</f>
        <v>0.198084014422139</v>
      </c>
      <c r="BF320" s="258">
        <f>IFERROR(IF(N(BF125)&lt;&gt;0,-BF126/BF125,""),"")</f>
        <v>0.198084014422139</v>
      </c>
      <c r="BG320" s="81" t="n"/>
      <c r="BH320" s="81" t="n"/>
      <c r="BI320" s="81" t="n"/>
      <c r="BJ320" s="81" t="n"/>
      <c r="BL320" s="81" t="n"/>
      <c r="BM320" s="81" t="n"/>
      <c r="BN320" s="81" t="n"/>
      <c r="BO320" s="81" t="n"/>
      <c r="BQ320" s="81" t="n"/>
      <c r="BR320" s="81" t="n"/>
      <c r="BS320" s="81" t="n"/>
      <c r="BT320" s="81" t="n"/>
      <c r="BV320" s="81" t="n"/>
      <c r="BW320" s="81" t="n"/>
      <c r="BX320" s="81" t="n"/>
      <c r="BY320" s="81" t="n"/>
      <c r="CA320" s="81" t="n"/>
      <c r="CB320" s="81" t="n"/>
      <c r="CC320" s="81" t="n"/>
      <c r="CD320" s="81" t="n"/>
      <c r="CF320" s="81" t="n"/>
      <c r="CG320" s="81" t="n"/>
      <c r="CH320" s="81" t="n"/>
      <c r="CI320" s="81" t="n"/>
      <c r="CK320" s="81" t="n"/>
      <c r="CL320" s="81" t="n"/>
      <c r="CM320" s="81" t="n"/>
      <c r="CN320" s="81" t="n"/>
      <c r="CP320" s="81" t="n"/>
      <c r="CQ320" s="81" t="n"/>
      <c r="CR320" s="81" t="n"/>
      <c r="CS320" s="81" t="n"/>
      <c r="CU320" s="81" t="n"/>
      <c r="CV320" s="81" t="n"/>
      <c r="CW320" s="81" t="n"/>
      <c r="CX320" s="81" t="n"/>
    </row>
    <row r="321" customFormat="1" s="77">
      <c r="A321" s="76" t="n"/>
      <c r="B321" s="76" t="n"/>
    </row>
    <row r="322" customFormat="1" s="77">
      <c r="A322" s="76" t="n"/>
      <c r="B322" s="76" t="n"/>
      <c r="C322" s="74" t="inlineStr">
        <is>
          <t>CAPITAL STRUCTURE</t>
        </is>
      </c>
    </row>
    <row r="323" customFormat="1" s="77">
      <c r="A323" s="76" t="n"/>
      <c r="B323" s="76" t="n"/>
      <c r="C323" s="77" t="inlineStr">
        <is>
          <t>TOTAL DEBT / EQUITY (BOOK VALUE)</t>
        </is>
      </c>
      <c r="H323" s="262" t="str">
        <f>IFERROR(IF(N(H266)&lt;&gt;0,(N(H207)+N(H208)+N(H209)+N(H212)+N(H230)+N(H233))/H266,""),"")</f>
        <v/>
      </c>
      <c r="I323" s="262">
        <f>IFERROR(IF(N(I266)&lt;&gt;0,(N(I207)+N(I208)+N(I209)+N(I212)+N(I230)+N(I233))/I266,""),"")</f>
        <v>2.28254898370262</v>
      </c>
      <c r="J323" s="262">
        <f>IFERROR(IF(N(J266)&lt;&gt;0,(N(J207)+N(J208)+N(J209)+N(J212)+N(J230)+N(J233))/J266,""),"")</f>
        <v>2.47844226007353</v>
      </c>
      <c r="K323" s="262">
        <f>IFERROR(IF(N(K266)&lt;&gt;0,(N(K207)+N(K208)+N(K209)+N(K212)+N(K230)+N(K233))/K266,""),"")</f>
        <v>2.14799914509498</v>
      </c>
      <c r="L323" s="262">
        <f>IFERROR(IF(N(L266)&lt;&gt;0,(N(L207)+N(L208)+N(L209)+N(L212)+N(L230)+N(L233))/L266,""),"")</f>
        <v>1.84435487394591</v>
      </c>
      <c r="M323" s="262">
        <f>IFERROR(IF(N(M266)&lt;&gt;0,(N(M207)+N(M208)+N(M209)+N(M212)+N(M230)+N(M233))/M266,""),"")</f>
        <v>1.84435487394591</v>
      </c>
      <c r="N323" s="262">
        <f>IFERROR(IF(N(N266)&lt;&gt;0,(N(N207)+N(N208)+N(N209)+N(N212)+N(N230)+N(N233))/N266,""),"")</f>
        <v>1.74474741069541</v>
      </c>
      <c r="O323" s="262">
        <f>IFERROR(IF(N(O266)&lt;&gt;0,(N(O207)+N(O208)+N(O209)+N(O212)+N(O230)+N(O233))/O266,""),"")</f>
        <v>1.94172671840355</v>
      </c>
      <c r="P323" s="262">
        <f>IFERROR(IF(N(P266)&lt;&gt;0,(N(P207)+N(P208)+N(P209)+N(P212)+N(P230)+N(P233))/P266,""),"")</f>
        <v>1.56291130150798</v>
      </c>
      <c r="Q323" s="262">
        <f>IFERROR(IF(N(Q266)&lt;&gt;0,(N(Q207)+N(Q208)+N(Q209)+N(Q212)+N(Q230)+N(Q233))/Q266,""),"")</f>
        <v>1.50700670044732</v>
      </c>
      <c r="R323" s="262">
        <f>IFERROR(IF(N(R266)&lt;&gt;0,(N(R207)+N(R208)+N(R209)+N(R212)+N(R230)+N(R233))/R266,""),"")</f>
        <v>1.50700670044732</v>
      </c>
      <c r="S323" s="262">
        <f>IFERROR(IF(N(S266)&lt;&gt;0,(N(S207)+N(S208)+N(S209)+N(S212)+N(S230)+N(S233))/S266,""),"")</f>
        <v>1.67186960486591</v>
      </c>
      <c r="T323" s="262">
        <f>IFERROR(IF(N(T266)&lt;&gt;0,(N(T207)+N(T208)+N(T209)+N(T212)+N(T230)+N(T233))/T266,""),"")</f>
        <v>1.68799834967218</v>
      </c>
      <c r="U323" s="262">
        <f>IFERROR(IF(N(U266)&lt;&gt;0,(N(U207)+N(U208)+N(U209)+N(U212)+N(U230)+N(U233))/U266,""),"")</f>
        <v>1.78363726409254</v>
      </c>
      <c r="V323" s="262">
        <f>IFERROR(IF(N(V266)&lt;&gt;0,(N(V207)+N(V208)+N(V209)+N(V212)+N(V230)+N(V233))/V266,""),"")</f>
        <v>2.32198054069976</v>
      </c>
      <c r="W323" s="262">
        <f>IFERROR(IF(N(W266)&lt;&gt;0,(N(W207)+N(W208)+N(W209)+N(W212)+N(W230)+N(W233))/W266,""),"")</f>
        <v>2.32198054069976</v>
      </c>
      <c r="X323" s="262">
        <f>IFERROR(IF(N(X266)&lt;&gt;0,(N(X207)+N(X208)+N(X209)+N(X212)+N(X230)+N(X233))/X266,""),"")</f>
        <v>2.0323010839394</v>
      </c>
      <c r="Y323" s="262">
        <f>IFERROR(IF(N(Y266)&lt;&gt;0,(N(Y207)+N(Y208)+N(Y209)+N(Y212)+N(Y230)+N(Y233))/Y266,""),"")</f>
        <v>2.11888086245462</v>
      </c>
      <c r="Z323" s="262">
        <f>IFERROR(IF(N(Z266)&lt;&gt;0,(N(Z207)+N(Z208)+N(Z209)+N(Z212)+N(Z230)+N(Z233))/Z266,""),"")</f>
        <v>2.17305718295893</v>
      </c>
      <c r="AA323" s="262">
        <f>IFERROR(IF(N(AA266)&lt;&gt;0,(N(AA207)+N(AA208)+N(AA209)+N(AA212)+N(AA230)+N(AA233))/AA266,""),"")</f>
        <v>2.35742313405645</v>
      </c>
      <c r="AB323" s="262">
        <f>IFERROR(IF(N(AB266)&lt;&gt;0,(N(AB207)+N(AB208)+N(AB209)+N(AB212)+N(AB230)+N(AB233))/AB266,""),"")</f>
        <v>2.35742313405645</v>
      </c>
      <c r="AC323" s="262">
        <f>IFERROR(IF(N(AC266)&lt;&gt;0,(N(AC207)+N(AC208)+N(AC209)+N(AC212)+N(AC230)+N(AC233))/AC266,""),"")</f>
        <v>2.43051594012671</v>
      </c>
      <c r="AD323" s="262">
        <f>IFERROR(IF(N(AD266)&lt;&gt;0,(N(AD207)+N(AD208)+N(AD209)+N(AD212)+N(AD230)+N(AD233))/AD266,""),"")</f>
        <v>2.1747006665177</v>
      </c>
      <c r="AE323" s="262">
        <f>IFERROR(IF(N(AE266)&lt;&gt;0,(N(AE207)+N(AE208)+N(AE209)+N(AE212)+N(AE230)+N(AE233))/AE266,""),"")</f>
        <v>1.78218759957737</v>
      </c>
      <c r="AF323" s="262">
        <f>IFERROR(IF(N(AF266)&lt;&gt;0,(N(AF207)+N(AF208)+N(AF209)+N(AF212)+N(AF230)+N(AF233))/AF266,""),"")</f>
        <v>1.60310036585826</v>
      </c>
      <c r="AG323" s="262">
        <f>IFERROR(IF(N(AG266)&lt;&gt;0,(N(AG207)+N(AG208)+N(AG209)+N(AG212)+N(AG230)+N(AG233))/AG266,""),"")</f>
        <v>1.60310036585826</v>
      </c>
      <c r="AH323" s="262">
        <f>IFERROR(IF(N(AH266)&lt;&gt;0,(N(AH207)+N(AH208)+N(AH209)+N(AH212)+N(AH230)+N(AH233))/AH266,""),"")</f>
        <v>1.39100035280157</v>
      </c>
      <c r="AI323" s="262">
        <f>IFERROR(IF(N(AI266)&lt;&gt;0,(N(AI207)+N(AI208)+N(AI209)+N(AI212)+N(AI230)+N(AI233))/AI266,""),"")</f>
        <v>1.62334437086093</v>
      </c>
      <c r="AJ323" s="262">
        <f>IFERROR(IF(N(AJ266)&lt;&gt;0,(N(AJ207)+N(AJ208)+N(AJ209)+N(AJ212)+N(AJ230)+N(AJ233))/AJ266,""),"")</f>
        <v>1.29426382027211</v>
      </c>
      <c r="AK323" s="262">
        <f>IFERROR(IF(N(AK266)&lt;&gt;0,(N(AK207)+N(AK208)+N(AK209)+N(AK212)+N(AK230)+N(AK233))/AK266,""),"")</f>
        <v>1.05896577231959</v>
      </c>
      <c r="AL323" s="262">
        <f>IFERROR(IF(N(AL266)&lt;&gt;0,(N(AL207)+N(AL208)+N(AL209)+N(AL212)+N(AL230)+N(AL233))/AL266,""),"")</f>
        <v>1.05896577231959</v>
      </c>
      <c r="AM323" s="262">
        <f>IFERROR(IF(N(AM266)&lt;&gt;0,(N(AM207)+N(AM208)+N(AM209)+N(AM212)+N(AM230)+N(AM233))/AM266,""),"")</f>
        <v>0.892453220453718</v>
      </c>
      <c r="AN323" s="262">
        <f>IFERROR(IF(N(AN266)&lt;&gt;0,(N(AN207)+N(AN208)+N(AN209)+N(AN212)+N(AN230)+N(AN233))/AN266,""),"")</f>
        <v>0.754745323663228</v>
      </c>
      <c r="AO323" s="262">
        <f>IFERROR(IF(N(AO266)&lt;&gt;0,(N(AO207)+N(AO208)+N(AO209)+N(AO212)+N(AO230)+N(AO233))/AO266,""),"")</f>
        <v>0.642957903541181</v>
      </c>
      <c r="AP323" s="262">
        <f>IFERROR(IF(N(AP266)&lt;&gt;0,(N(AP207)+N(AP208)+N(AP209)+N(AP212)+N(AP230)+N(AP233))/AP266,""),"")</f>
        <v>0.553156100914427</v>
      </c>
      <c r="AQ323" s="262">
        <f>IFERROR(IF(N(AQ266)&lt;&gt;0,(N(AQ207)+N(AQ208)+N(AQ209)+N(AQ212)+N(AQ230)+N(AQ233))/AQ266,""),"")</f>
        <v>0.553156100914427</v>
      </c>
      <c r="AR323" s="262">
        <f>IFERROR(IF(N(AR266)&lt;&gt;0,(N(AR207)+N(AR208)+N(AR209)+N(AR212)+N(AR230)+N(AR233))/AR266,""),"")</f>
        <v>0.484013314115108</v>
      </c>
      <c r="AS323" s="262">
        <f>IFERROR(IF(N(AS266)&lt;&gt;0,(N(AS207)+N(AS208)+N(AS209)+N(AS212)+N(AS230)+N(AS233))/AS266,""),"")</f>
        <v>0.422703699900979</v>
      </c>
      <c r="AT323" s="262">
        <f>IFERROR(IF(N(AT266)&lt;&gt;0,(N(AT207)+N(AT208)+N(AT209)+N(AT212)+N(AT230)+N(AT233))/AT266,""),"")</f>
        <v>0.369907632203426</v>
      </c>
      <c r="AU323" s="262">
        <f>IFERROR(IF(N(AU266)&lt;&gt;0,(N(AU207)+N(AU208)+N(AU209)+N(AU212)+N(AU230)+N(AU233))/AU266,""),"")</f>
        <v>0.32536451926806</v>
      </c>
      <c r="AV323" s="262">
        <f>IFERROR(IF(N(AV266)&lt;&gt;0,(N(AV207)+N(AV208)+N(AV209)+N(AV212)+N(AV230)+N(AV233))/AV266,""),"")</f>
        <v>0.32536451926806</v>
      </c>
      <c r="AW323" s="262">
        <f>IFERROR(IF(N(AW266)&lt;&gt;0,(N(AW207)+N(AW208)+N(AW209)+N(AW212)+N(AW230)+N(AW233))/AW266,""),"")</f>
        <v>0.289794764984789</v>
      </c>
      <c r="AX323" s="262">
        <f>IFERROR(IF(N(AX266)&lt;&gt;0,(N(AX207)+N(AX208)+N(AX209)+N(AX212)+N(AX230)+N(AX233))/AX266,""),"")</f>
        <v>0.257171536750623</v>
      </c>
      <c r="AY323" s="262">
        <f>IFERROR(IF(N(AY266)&lt;&gt;0,(N(AY207)+N(AY208)+N(AY209)+N(AY212)+N(AY230)+N(AY233))/AY266,""),"")</f>
        <v>0.228222633138113</v>
      </c>
      <c r="AZ323" s="262">
        <f>IFERROR(IF(N(AZ266)&lt;&gt;0,(N(AZ207)+N(AZ208)+N(AZ209)+N(AZ212)+N(AZ230)+N(AZ233))/AZ266,""),"")</f>
        <v>0.203156631243409</v>
      </c>
      <c r="BA323" s="262">
        <f>IFERROR(IF(N(BA266)&lt;&gt;0,(N(BA207)+N(BA208)+N(BA209)+N(BA212)+N(BA230)+N(BA233))/BA266,""),"")</f>
        <v>0.203156631243409</v>
      </c>
      <c r="BB323" s="262">
        <f>IFERROR(IF(N(BB266)&lt;&gt;0,(N(BB207)+N(BB208)+N(BB209)+N(BB212)+N(BB230)+N(BB233))/BB266,""),"")</f>
        <v>0.182765786221215</v>
      </c>
      <c r="BC323" s="262">
        <f>IFERROR(IF(N(BC266)&lt;&gt;0,(N(BC207)+N(BC208)+N(BC209)+N(BC212)+N(BC230)+N(BC233))/BC266,""),"")</f>
        <v>0.163700332552958</v>
      </c>
      <c r="BD323" s="262">
        <f>IFERROR(IF(N(BD266)&lt;&gt;0,(N(BD207)+N(BD208)+N(BD209)+N(BD212)+N(BD230)+N(BD233))/BD266,""),"")</f>
        <v>0.146482623516383</v>
      </c>
      <c r="BE323" s="262">
        <f>IFERROR(IF(N(BE266)&lt;&gt;0,(N(BE207)+N(BE208)+N(BE209)+N(BE212)+N(BE230)+N(BE233))/BE266,""),"")</f>
        <v>0.131341046175957</v>
      </c>
      <c r="BF323" s="262">
        <f>IFERROR(IF(N(BF266)&lt;&gt;0,(N(BF207)+N(BF208)+N(BF209)+N(BF212)+N(BF230)+N(BF233))/BF266,""),"")</f>
        <v>0.131341046175957</v>
      </c>
    </row>
    <row r="324" customFormat="1" s="77">
      <c r="A324" s="76" t="n"/>
      <c r="B324" s="76" t="n"/>
      <c r="C324" s="77" t="inlineStr">
        <is>
          <t>NET DEBT / (NET DEBT + EQUITY) (BOOK VALUE)</t>
        </is>
      </c>
      <c r="H324" s="258" t="str">
        <f>IFERROR(IF(((N(H207)+N(H208)+N(H209)+N(H212)+N(H230)+N(H233))-N(H139)+N(H266))&lt;&gt;0,((N(H207)+N(H208)+N(H209)+N(H212)+N(H230)+N(H233))-N(H139))/((N(H207)+N(H208)+N(H209)+N(H212)+N(H230)+N(H233))-N(H139)+H266),""),"")</f>
        <v/>
      </c>
      <c r="I324" s="258">
        <f>IFERROR(IF(((N(I207)+N(I208)+N(I209)+N(I212)+N(I230)+N(I233))-N(I139)+N(I266))&lt;&gt;0,((N(I207)+N(I208)+N(I209)+N(I212)+N(I230)+N(I233))-N(I139))/((N(I207)+N(I208)+N(I209)+N(I212)+N(I230)+N(I233))-N(I139)+I266),""),"")</f>
        <v>0.649458829570816</v>
      </c>
      <c r="J324" s="258">
        <f>IFERROR(IF(((N(J207)+N(J208)+N(J209)+N(J212)+N(J230)+N(J233))-N(J139)+N(J266))&lt;&gt;0,((N(J207)+N(J208)+N(J209)+N(J212)+N(J230)+N(J233))-N(J139))/((N(J207)+N(J208)+N(J209)+N(J212)+N(J230)+N(J233))-N(J139)+J266),""),"")</f>
        <v>0.665275224288456</v>
      </c>
      <c r="K324" s="258">
        <f>IFERROR(IF(((N(K207)+N(K208)+N(K209)+N(K212)+N(K230)+N(K233))-N(K139)+N(K266))&lt;&gt;0,((N(K207)+N(K208)+N(K209)+N(K212)+N(K230)+N(K233))-N(K139))/((N(K207)+N(K208)+N(K209)+N(K212)+N(K230)+N(K233))-N(K139)+K266),""),"")</f>
        <v>0.625057744341055</v>
      </c>
      <c r="L324" s="258">
        <f>IFERROR(IF(((N(L207)+N(L208)+N(L209)+N(L212)+N(L230)+N(L233))-N(L139)+N(L266))&lt;&gt;0,((N(L207)+N(L208)+N(L209)+N(L212)+N(L230)+N(L233))-N(L139))/((N(L207)+N(L208)+N(L209)+N(L212)+N(L230)+N(L233))-N(L139)+L266),""),"")</f>
        <v>0.586334039736296</v>
      </c>
      <c r="M324" s="258">
        <f>IFERROR(IF(((N(M207)+N(M208)+N(M209)+N(M212)+N(M230)+N(M233))-N(M139)+N(M266))&lt;&gt;0,((N(M207)+N(M208)+N(M209)+N(M212)+N(M230)+N(M233))-N(M139))/((N(M207)+N(M208)+N(M209)+N(M212)+N(M230)+N(M233))-N(M139)+M266),""),"")</f>
        <v>0.586334039736296</v>
      </c>
      <c r="N324" s="258">
        <f>IFERROR(IF(((N(N207)+N(N208)+N(N209)+N(N212)+N(N230)+N(N233))-N(N139)+N(N266))&lt;&gt;0,((N(N207)+N(N208)+N(N209)+N(N212)+N(N230)+N(N233))-N(N139))/((N(N207)+N(N208)+N(N209)+N(N212)+N(N230)+N(N233))-N(N139)+N266),""),"")</f>
        <v>0.595684221771178</v>
      </c>
      <c r="O324" s="258">
        <f>IFERROR(IF(((N(O207)+N(O208)+N(O209)+N(O212)+N(O230)+N(O233))-N(O139)+N(O266))&lt;&gt;0,((N(O207)+N(O208)+N(O209)+N(O212)+N(O230)+N(O233))-N(O139))/((N(O207)+N(O208)+N(O209)+N(O212)+N(O230)+N(O233))-N(O139)+O266),""),"")</f>
        <v>0.619146475020122</v>
      </c>
      <c r="P324" s="258">
        <f>IFERROR(IF(((N(P207)+N(P208)+N(P209)+N(P212)+N(P230)+N(P233))-N(P139)+N(P266))&lt;&gt;0,((N(P207)+N(P208)+N(P209)+N(P212)+N(P230)+N(P233))-N(P139))/((N(P207)+N(P208)+N(P209)+N(P212)+N(P230)+N(P233))-N(P139)+P266),""),"")</f>
        <v>0.563923610813222</v>
      </c>
      <c r="Q324" s="258">
        <f>IFERROR(IF(((N(Q207)+N(Q208)+N(Q209)+N(Q212)+N(Q230)+N(Q233))-N(Q139)+N(Q266))&lt;&gt;0,((N(Q207)+N(Q208)+N(Q209)+N(Q212)+N(Q230)+N(Q233))-N(Q139))/((N(Q207)+N(Q208)+N(Q209)+N(Q212)+N(Q230)+N(Q233))-N(Q139)+Q266),""),"")</f>
        <v>0.565546604736677</v>
      </c>
      <c r="R324" s="258">
        <f>IFERROR(IF(((N(R207)+N(R208)+N(R209)+N(R212)+N(R230)+N(R233))-N(R139)+N(R266))&lt;&gt;0,((N(R207)+N(R208)+N(R209)+N(R212)+N(R230)+N(R233))-N(R139))/((N(R207)+N(R208)+N(R209)+N(R212)+N(R230)+N(R233))-N(R139)+R266),""),"")</f>
        <v>0.565546604736677</v>
      </c>
      <c r="S324" s="258">
        <f>IFERROR(IF(((N(S207)+N(S208)+N(S209)+N(S212)+N(S230)+N(S233))-N(S139)+N(S266))&lt;&gt;0,((N(S207)+N(S208)+N(S209)+N(S212)+N(S230)+N(S233))-N(S139))/((N(S207)+N(S208)+N(S209)+N(S212)+N(S230)+N(S233))-N(S139)+S266),""),"")</f>
        <v>0.573925278771144</v>
      </c>
      <c r="T324" s="258">
        <f>IFERROR(IF(((N(T207)+N(T208)+N(T209)+N(T212)+N(T230)+N(T233))-N(T139)+N(T266))&lt;&gt;0,((N(T207)+N(T208)+N(T209)+N(T212)+N(T230)+N(T233))-N(T139))/((N(T207)+N(T208)+N(T209)+N(T212)+N(T230)+N(T233))-N(T139)+T266),""),"")</f>
        <v>0.589196100249814</v>
      </c>
      <c r="U324" s="258">
        <f>IFERROR(IF(((N(U207)+N(U208)+N(U209)+N(U212)+N(U230)+N(U233))-N(U139)+N(U266))&lt;&gt;0,((N(U207)+N(U208)+N(U209)+N(U212)+N(U230)+N(U233))-N(U139))/((N(U207)+N(U208)+N(U209)+N(U212)+N(U230)+N(U233))-N(U139)+U266),""),"")</f>
        <v>0.609844799149811</v>
      </c>
      <c r="V324" s="258">
        <f>IFERROR(IF(((N(V207)+N(V208)+N(V209)+N(V212)+N(V230)+N(V233))-N(V139)+N(V266))&lt;&gt;0,((N(V207)+N(V208)+N(V209)+N(V212)+N(V230)+N(V233))-N(V139))/((N(V207)+N(V208)+N(V209)+N(V212)+N(V230)+N(V233))-N(V139)+V266),""),"")</f>
        <v>0.672398247354597</v>
      </c>
      <c r="W324" s="258">
        <f>IFERROR(IF(((N(W207)+N(W208)+N(W209)+N(W212)+N(W230)+N(W233))-N(W139)+N(W266))&lt;&gt;0,((N(W207)+N(W208)+N(W209)+N(W212)+N(W230)+N(W233))-N(W139))/((N(W207)+N(W208)+N(W209)+N(W212)+N(W230)+N(W233))-N(W139)+W266),""),"")</f>
        <v>0.672398247354597</v>
      </c>
      <c r="X324" s="258">
        <f>IFERROR(IF(((N(X207)+N(X208)+N(X209)+N(X212)+N(X230)+N(X233))-N(X139)+N(X266))&lt;&gt;0,((N(X207)+N(X208)+N(X209)+N(X212)+N(X230)+N(X233))-N(X139))/((N(X207)+N(X208)+N(X209)+N(X212)+N(X230)+N(X233))-N(X139)+X266),""),"")</f>
        <v>0.646864261756452</v>
      </c>
      <c r="Y324" s="258">
        <f>IFERROR(IF(((N(Y207)+N(Y208)+N(Y209)+N(Y212)+N(Y230)+N(Y233))-N(Y139)+N(Y266))&lt;&gt;0,((N(Y207)+N(Y208)+N(Y209)+N(Y212)+N(Y230)+N(Y233))-N(Y139))/((N(Y207)+N(Y208)+N(Y209)+N(Y212)+N(Y230)+N(Y233))-N(Y139)+Y266),""),"")</f>
        <v>0.651831424668377</v>
      </c>
      <c r="Z324" s="258">
        <f>IFERROR(IF(((N(Z207)+N(Z208)+N(Z209)+N(Z212)+N(Z230)+N(Z233))-N(Z139)+N(Z266))&lt;&gt;0,((N(Z207)+N(Z208)+N(Z209)+N(Z212)+N(Z230)+N(Z233))-N(Z139))/((N(Z207)+N(Z208)+N(Z209)+N(Z212)+N(Z230)+N(Z233))-N(Z139)+Z266),""),"")</f>
        <v>0.658396545966318</v>
      </c>
      <c r="AA324" s="258">
        <f>IFERROR(IF(((N(AA207)+N(AA208)+N(AA209)+N(AA212)+N(AA230)+N(AA233))-N(AA139)+N(AA266))&lt;&gt;0,((N(AA207)+N(AA208)+N(AA209)+N(AA212)+N(AA230)+N(AA233))-N(AA139))/((N(AA207)+N(AA208)+N(AA209)+N(AA212)+N(AA230)+N(AA233))-N(AA139)+AA266),""),"")</f>
        <v>0.679236547201108</v>
      </c>
      <c r="AB324" s="258">
        <f>IFERROR(IF(((N(AB207)+N(AB208)+N(AB209)+N(AB212)+N(AB230)+N(AB233))-N(AB139)+N(AB266))&lt;&gt;0,((N(AB207)+N(AB208)+N(AB209)+N(AB212)+N(AB230)+N(AB233))-N(AB139))/((N(AB207)+N(AB208)+N(AB209)+N(AB212)+N(AB230)+N(AB233))-N(AB139)+AB266),""),"")</f>
        <v>0.679236547201108</v>
      </c>
      <c r="AC324" s="258">
        <f>IFERROR(IF(((N(AC207)+N(AC208)+N(AC209)+N(AC212)+N(AC230)+N(AC233))-N(AC139)+N(AC266))&lt;&gt;0,((N(AC207)+N(AC208)+N(AC209)+N(AC212)+N(AC230)+N(AC233))-N(AC139))/((N(AC207)+N(AC208)+N(AC209)+N(AC212)+N(AC230)+N(AC233))-N(AC139)+AC266),""),"")</f>
        <v>0.690141175550428</v>
      </c>
      <c r="AD324" s="258">
        <f>IFERROR(IF(((N(AD207)+N(AD208)+N(AD209)+N(AD212)+N(AD230)+N(AD233))-N(AD139)+N(AD266))&lt;&gt;0,((N(AD207)+N(AD208)+N(AD209)+N(AD212)+N(AD230)+N(AD233))-N(AD139))/((N(AD207)+N(AD208)+N(AD209)+N(AD212)+N(AD230)+N(AD233))-N(AD139)+AD266),""),"")</f>
        <v>0.664592583385277</v>
      </c>
      <c r="AE324" s="258">
        <f>IFERROR(IF(((N(AE207)+N(AE208)+N(AE209)+N(AE212)+N(AE230)+N(AE233))-N(AE139)+N(AE266))&lt;&gt;0,((N(AE207)+N(AE208)+N(AE209)+N(AE212)+N(AE230)+N(AE233))-N(AE139))/((N(AE207)+N(AE208)+N(AE209)+N(AE212)+N(AE230)+N(AE233))-N(AE139)+AE266),""),"")</f>
        <v>0.577442380841863</v>
      </c>
      <c r="AF324" s="258">
        <f>IFERROR(IF(((N(AF207)+N(AF208)+N(AF209)+N(AF212)+N(AF230)+N(AF233))-N(AF139)+N(AF266))&lt;&gt;0,((N(AF207)+N(AF208)+N(AF209)+N(AF212)+N(AF230)+N(AF233))-N(AF139))/((N(AF207)+N(AF208)+N(AF209)+N(AF212)+N(AF230)+N(AF233))-N(AF139)+AF266),""),"")</f>
        <v>0.570625769255684</v>
      </c>
      <c r="AG324" s="258">
        <f>IFERROR(IF(((N(AG207)+N(AG208)+N(AG209)+N(AG212)+N(AG230)+N(AG233))-N(AG139)+N(AG266))&lt;&gt;0,((N(AG207)+N(AG208)+N(AG209)+N(AG212)+N(AG230)+N(AG233))-N(AG139))/((N(AG207)+N(AG208)+N(AG209)+N(AG212)+N(AG230)+N(AG233))-N(AG139)+AG266),""),"")</f>
        <v>0.570625769255684</v>
      </c>
      <c r="AH324" s="258">
        <f>IFERROR(IF(((N(AH207)+N(AH208)+N(AH209)+N(AH212)+N(AH230)+N(AH233))-N(AH139)+N(AH266))&lt;&gt;0,((N(AH207)+N(AH208)+N(AH209)+N(AH212)+N(AH230)+N(AH233))-N(AH139))/((N(AH207)+N(AH208)+N(AH209)+N(AH212)+N(AH230)+N(AH233))-N(AH139)+AH266),""),"")</f>
        <v>0.549872233531119</v>
      </c>
      <c r="AI324" s="258">
        <f>IFERROR(IF(((N(AI207)+N(AI208)+N(AI209)+N(AI212)+N(AI230)+N(AI233))-N(AI139)+N(AI266))&lt;&gt;0,((N(AI207)+N(AI208)+N(AI209)+N(AI212)+N(AI230)+N(AI233))-N(AI139))/((N(AI207)+N(AI208)+N(AI209)+N(AI212)+N(AI230)+N(AI233))-N(AI139)+AI266),""),"")</f>
        <v>0.576044721867088</v>
      </c>
      <c r="AJ324" s="258">
        <f>IFERROR(IF(((N(AJ207)+N(AJ208)+N(AJ209)+N(AJ212)+N(AJ230)+N(AJ233))-N(AJ139)+N(AJ266))&lt;&gt;0,((N(AJ207)+N(AJ208)+N(AJ209)+N(AJ212)+N(AJ230)+N(AJ233))-N(AJ139))/((N(AJ207)+N(AJ208)+N(AJ209)+N(AJ212)+N(AJ230)+N(AJ233))-N(AJ139)+AJ266),""),"")</f>
        <v>0.508308507471879</v>
      </c>
      <c r="AK324" s="258">
        <f>IFERROR(IF(((N(AK207)+N(AK208)+N(AK209)+N(AK212)+N(AK230)+N(AK233))-N(AK139)+N(AK266))&lt;&gt;0,((N(AK207)+N(AK208)+N(AK209)+N(AK212)+N(AK230)+N(AK233))-N(AK139))/((N(AK207)+N(AK208)+N(AK209)+N(AK212)+N(AK230)+N(AK233))-N(AK139)+AK266),""),"")</f>
        <v>0.433961506950981</v>
      </c>
      <c r="AL324" s="258">
        <f>IFERROR(IF(((N(AL207)+N(AL208)+N(AL209)+N(AL212)+N(AL230)+N(AL233))-N(AL139)+N(AL266))&lt;&gt;0,((N(AL207)+N(AL208)+N(AL209)+N(AL212)+N(AL230)+N(AL233))-N(AL139))/((N(AL207)+N(AL208)+N(AL209)+N(AL212)+N(AL230)+N(AL233))-N(AL139)+AL266),""),"")</f>
        <v>0.433961506950981</v>
      </c>
      <c r="AM324" s="258">
        <f>IFERROR(IF(((N(AM207)+N(AM208)+N(AM209)+N(AM212)+N(AM230)+N(AM233))-N(AM139)+N(AM266))&lt;&gt;0,((N(AM207)+N(AM208)+N(AM209)+N(AM212)+N(AM230)+N(AM233))-N(AM139))/((N(AM207)+N(AM208)+N(AM209)+N(AM212)+N(AM230)+N(AM233))-N(AM139)+AM266),""),"")</f>
        <v>0.351907549575252</v>
      </c>
      <c r="AN324" s="258">
        <f>IFERROR(IF(((N(AN207)+N(AN208)+N(AN209)+N(AN212)+N(AN230)+N(AN233))-N(AN139)+N(AN266))&lt;&gt;0,((N(AN207)+N(AN208)+N(AN209)+N(AN212)+N(AN230)+N(AN233))-N(AN139))/((N(AN207)+N(AN208)+N(AN209)+N(AN212)+N(AN230)+N(AN233))-N(AN139)+AN266),""),"")</f>
        <v>0.286797010566456</v>
      </c>
      <c r="AO324" s="258">
        <f>IFERROR(IF(((N(AO207)+N(AO208)+N(AO209)+N(AO212)+N(AO230)+N(AO233))-N(AO139)+N(AO266))&lt;&gt;0,((N(AO207)+N(AO208)+N(AO209)+N(AO212)+N(AO230)+N(AO233))-N(AO139))/((N(AO207)+N(AO208)+N(AO209)+N(AO212)+N(AO230)+N(AO233))-N(AO139)+AO266),""),"")</f>
        <v>0.206593842686271</v>
      </c>
      <c r="AP324" s="258">
        <f>IFERROR(IF(((N(AP207)+N(AP208)+N(AP209)+N(AP212)+N(AP230)+N(AP233))-N(AP139)+N(AP266))&lt;&gt;0,((N(AP207)+N(AP208)+N(AP209)+N(AP212)+N(AP230)+N(AP233))-N(AP139))/((N(AP207)+N(AP208)+N(AP209)+N(AP212)+N(AP230)+N(AP233))-N(AP139)+AP266),""),"")</f>
        <v>0.109486376845271</v>
      </c>
      <c r="AQ324" s="258">
        <f>IFERROR(IF(((N(AQ207)+N(AQ208)+N(AQ209)+N(AQ212)+N(AQ230)+N(AQ233))-N(AQ139)+N(AQ266))&lt;&gt;0,((N(AQ207)+N(AQ208)+N(AQ209)+N(AQ212)+N(AQ230)+N(AQ233))-N(AQ139))/((N(AQ207)+N(AQ208)+N(AQ209)+N(AQ212)+N(AQ230)+N(AQ233))-N(AQ139)+AQ266),""),"")</f>
        <v>0.109486376845271</v>
      </c>
      <c r="AR324" s="258">
        <f>IFERROR(IF(((N(AR207)+N(AR208)+N(AR209)+N(AR212)+N(AR230)+N(AR233))-N(AR139)+N(AR266))&lt;&gt;0,((N(AR207)+N(AR208)+N(AR209)+N(AR212)+N(AR230)+N(AR233))-N(AR139))/((N(AR207)+N(AR208)+N(AR209)+N(AR212)+N(AR230)+N(AR233))-N(AR139)+AR266),""),"")</f>
        <v>-0.0340266331953007</v>
      </c>
      <c r="AS324" s="258">
        <f>IFERROR(IF(((N(AS207)+N(AS208)+N(AS209)+N(AS212)+N(AS230)+N(AS233))-N(AS139)+N(AS266))&lt;&gt;0,((N(AS207)+N(AS208)+N(AS209)+N(AS212)+N(AS230)+N(AS233))-N(AS139))/((N(AS207)+N(AS208)+N(AS209)+N(AS212)+N(AS230)+N(AS233))-N(AS139)+AS266),""),"")</f>
        <v>-0.157185870329403</v>
      </c>
      <c r="AT324" s="258">
        <f>IFERROR(IF(((N(AT207)+N(AT208)+N(AT209)+N(AT212)+N(AT230)+N(AT233))-N(AT139)+N(AT266))&lt;&gt;0,((N(AT207)+N(AT208)+N(AT209)+N(AT212)+N(AT230)+N(AT233))-N(AT139))/((N(AT207)+N(AT208)+N(AT209)+N(AT212)+N(AT230)+N(AT233))-N(AT139)+AT266),""),"")</f>
        <v>-0.373136239624048</v>
      </c>
      <c r="AU324" s="258">
        <f>IFERROR(IF(((N(AU207)+N(AU208)+N(AU209)+N(AU212)+N(AU230)+N(AU233))-N(AU139)+N(AU266))&lt;&gt;0,((N(AU207)+N(AU208)+N(AU209)+N(AU212)+N(AU230)+N(AU233))-N(AU139))/((N(AU207)+N(AU208)+N(AU209)+N(AU212)+N(AU230)+N(AU233))-N(AU139)+AU266),""),"")</f>
        <v>-0.765952211834111</v>
      </c>
      <c r="AV324" s="258">
        <f>IFERROR(IF(((N(AV207)+N(AV208)+N(AV209)+N(AV212)+N(AV230)+N(AV233))-N(AV139)+N(AV266))&lt;&gt;0,((N(AV207)+N(AV208)+N(AV209)+N(AV212)+N(AV230)+N(AV233))-N(AV139))/((N(AV207)+N(AV208)+N(AV209)+N(AV212)+N(AV230)+N(AV233))-N(AV139)+AV266),""),"")</f>
        <v>-0.765952211834111</v>
      </c>
      <c r="AW324" s="258">
        <f>IFERROR(IF(((N(AW207)+N(AW208)+N(AW209)+N(AW212)+N(AW230)+N(AW233))-N(AW139)+N(AW266))&lt;&gt;0,((N(AW207)+N(AW208)+N(AW209)+N(AW212)+N(AW230)+N(AW233))-N(AW139))/((N(AW207)+N(AW208)+N(AW209)+N(AW212)+N(AW230)+N(AW233))-N(AW139)+AW266),""),"")</f>
        <v>-1.81359883999393</v>
      </c>
      <c r="AX324" s="258">
        <f>IFERROR(IF(((N(AX207)+N(AX208)+N(AX209)+N(AX212)+N(AX230)+N(AX233))-N(AX139)+N(AX266))&lt;&gt;0,((N(AX207)+N(AX208)+N(AX209)+N(AX212)+N(AX230)+N(AX233))-N(AX139))/((N(AX207)+N(AX208)+N(AX209)+N(AX212)+N(AX230)+N(AX233))-N(AX139)+AX266),""),"")</f>
        <v>-5.73231951915954</v>
      </c>
      <c r="AY324" s="258">
        <f>IFERROR(IF(((N(AY207)+N(AY208)+N(AY209)+N(AY212)+N(AY230)+N(AY233))-N(AY139)+N(AY266))&lt;&gt;0,((N(AY207)+N(AY208)+N(AY209)+N(AY212)+N(AY230)+N(AY233))-N(AY139))/((N(AY207)+N(AY208)+N(AY209)+N(AY212)+N(AY230)+N(AY233))-N(AY139)+AY266),""),"")</f>
        <v>8.93038982627134</v>
      </c>
      <c r="AZ324" s="258">
        <f>IFERROR(IF(((N(AZ207)+N(AZ208)+N(AZ209)+N(AZ212)+N(AZ230)+N(AZ233))-N(AZ139)+N(AZ266))&lt;&gt;0,((N(AZ207)+N(AZ208)+N(AZ209)+N(AZ212)+N(AZ230)+N(AZ233))-N(AZ139))/((N(AZ207)+N(AZ208)+N(AZ209)+N(AZ212)+N(AZ230)+N(AZ233))-N(AZ139)+AZ266),""),"")</f>
        <v>3.07419456083091</v>
      </c>
      <c r="BA324" s="258">
        <f>IFERROR(IF(((N(BA207)+N(BA208)+N(BA209)+N(BA212)+N(BA230)+N(BA233))-N(BA139)+N(BA266))&lt;&gt;0,((N(BA207)+N(BA208)+N(BA209)+N(BA212)+N(BA230)+N(BA233))-N(BA139))/((N(BA207)+N(BA208)+N(BA209)+N(BA212)+N(BA230)+N(BA233))-N(BA139)+BA266),""),"")</f>
        <v>3.07419456083091</v>
      </c>
      <c r="BB324" s="258">
        <f>IFERROR(IF(((N(BB207)+N(BB208)+N(BB209)+N(BB212)+N(BB230)+N(BB233))-N(BB139)+N(BB266))&lt;&gt;0,((N(BB207)+N(BB208)+N(BB209)+N(BB212)+N(BB230)+N(BB233))-N(BB139))/((N(BB207)+N(BB208)+N(BB209)+N(BB212)+N(BB230)+N(BB233))-N(BB139)+BB266),""),"")</f>
        <v>2.03677384409498</v>
      </c>
      <c r="BC324" s="258">
        <f>IFERROR(IF(((N(BC207)+N(BC208)+N(BC209)+N(BC212)+N(BC230)+N(BC233))-N(BC139)+N(BC266))&lt;&gt;0,((N(BC207)+N(BC208)+N(BC209)+N(BC212)+N(BC230)+N(BC233))-N(BC139))/((N(BC207)+N(BC208)+N(BC209)+N(BC212)+N(BC230)+N(BC233))-N(BC139)+BC266),""),"")</f>
        <v>1.65371828999124</v>
      </c>
      <c r="BD324" s="258">
        <f>IFERROR(IF(((N(BD207)+N(BD208)+N(BD209)+N(BD212)+N(BD230)+N(BD233))-N(BD139)+N(BD266))&lt;&gt;0,((N(BD207)+N(BD208)+N(BD209)+N(BD212)+N(BD230)+N(BD233))-N(BD139))/((N(BD207)+N(BD208)+N(BD209)+N(BD212)+N(BD230)+N(BD233))-N(BD139)+BD266),""),"")</f>
        <v>1.43964237966826</v>
      </c>
      <c r="BE324" s="258">
        <f>IFERROR(IF(((N(BE207)+N(BE208)+N(BE209)+N(BE212)+N(BE230)+N(BE233))-N(BE139)+N(BE266))&lt;&gt;0,((N(BE207)+N(BE208)+N(BE209)+N(BE212)+N(BE230)+N(BE233))-N(BE139))/((N(BE207)+N(BE208)+N(BE209)+N(BE212)+N(BE230)+N(BE233))-N(BE139)+BE266),""),"")</f>
        <v>1.30732983989193</v>
      </c>
      <c r="BF324" s="258">
        <f>IFERROR(IF(((N(BF207)+N(BF208)+N(BF209)+N(BF212)+N(BF230)+N(BF233))-N(BF139)+N(BF266))&lt;&gt;0,((N(BF207)+N(BF208)+N(BF209)+N(BF212)+N(BF230)+N(BF233))-N(BF139))/((N(BF207)+N(BF208)+N(BF209)+N(BF212)+N(BF230)+N(BF233))-N(BF139)+BF266),""),"")</f>
        <v>1.30732983989193</v>
      </c>
    </row>
    <row r="325" customFormat="1" s="77">
      <c r="A325" s="76" t="n"/>
      <c r="B325" s="76" t="n"/>
    </row>
    <row r="326" customFormat="1" s="77">
      <c r="A326" s="76" t="n"/>
      <c r="B326" s="76" t="n"/>
      <c r="C326" s="74" t="inlineStr">
        <is>
          <t>FINANCIAL RISK RATIOS</t>
        </is>
      </c>
    </row>
    <row r="327" customFormat="1" s="77">
      <c r="A327" s="76" t="n"/>
      <c r="B327" s="76" t="n"/>
      <c r="C327" s="77" t="inlineStr">
        <is>
          <t>EBITDA / TOTAL INTEREST (LTM)</t>
        </is>
      </c>
      <c r="D327" s="82" t="str">
        <f>IFERROR(D64/-D69,"")</f>
        <v/>
      </c>
      <c r="E327" s="82" t="str">
        <f>IFERROR(E64/-E69,"")</f>
        <v/>
      </c>
      <c r="F327" s="82" t="str">
        <f>IFERROR(F64/-F69,"")</f>
        <v/>
      </c>
      <c r="G327" s="82" t="str">
        <f>IFERROR(G64/-G69,"")</f>
        <v/>
      </c>
      <c r="H327" s="262" t="str">
        <f>IFERROR(IF(AND(COUNT(H64)=1,(H69)&lt;&gt;0),(H64)/-(H69),""),"")</f>
        <v/>
      </c>
      <c r="I327" s="262" t="str">
        <f>""</f>
        <v/>
      </c>
      <c r="J327" s="262" t="str">
        <f>""</f>
        <v/>
      </c>
      <c r="K327" s="262" t="str">
        <f>""</f>
        <v/>
      </c>
      <c r="L327" s="262">
        <f>IFERROR(IF(AND(COUNT(I64,J64,K64,L64)=4,(I69+J69+K69+L69)&lt;&gt;0),(I64+J64+K64+L64)/-(I69+J69+K69+L69),""),"")</f>
        <v>4.55578451574919</v>
      </c>
      <c r="M327" s="262">
        <f>IFERROR(IF(AND(COUNT(I64,J64,K64,L64)=4,(I69+J69+K69+L69)&lt;&gt;0),(I64+J64+K64+L64)/-(I69+J69+K69+L69),""),"")</f>
        <v>4.55578451574919</v>
      </c>
      <c r="N327" s="262">
        <f>IFERROR(IF(AND(COUNT(J64,K64,L64,N64)=4,(J69+K69+L69+N69)&lt;&gt;0),(J64+K64+L64+N64)/-(J69+K69+L69+N69),""),"")</f>
        <v>4.84857482185273</v>
      </c>
      <c r="O327" s="262">
        <f>IFERROR(IF(AND(COUNT(K64,L64,N64,O64)=4,(K69+L69+N69+O69)&lt;&gt;0),(K64+L64+N64+O64)/-(K69+L69+N69+O69),""),"")</f>
        <v>4.87043189368771</v>
      </c>
      <c r="P327" s="262">
        <f>IFERROR(IF(AND(COUNT(L64,N64,O64,P64)=4,(L69+N69+O69+P69)&lt;&gt;0),(L64+N64+O64+P64)/-(L69+N69+O69+P69),""),"")</f>
        <v>4.84255319148936</v>
      </c>
      <c r="Q327" s="262">
        <f>IFERROR(IF(AND(COUNT(N64,O64,P64,Q64)=4,(N69+O69+P69+Q69)&lt;&gt;0),(N64+O64+P64+Q64)/-(N69+O69+P69+Q69),""),"")</f>
        <v>4.59137515078408</v>
      </c>
      <c r="R327" s="262">
        <f>IFERROR(IF(AND(COUNT(N64,O64,P64,Q64)=4,(N69+O69+P69+Q69)&lt;&gt;0),(N64+O64+P64+Q64)/-(N69+O69+P69+Q69),""),"")</f>
        <v>4.59137515078408</v>
      </c>
      <c r="S327" s="262">
        <f>IFERROR(IF(AND(COUNT(O64,P64,Q64,S64)=4,(O69+P69+Q69+S69)&lt;&gt;0),(O64+P64+Q64+S64)/-(O69+P69+Q69+S69),""),"")</f>
        <v>4.14620886981402</v>
      </c>
      <c r="T327" s="262">
        <f>IFERROR(IF(AND(COUNT(P64,Q64,S64,T64)=4,(P69+Q69+S69+T69)&lt;&gt;0),(P64+Q64+S64+T64)/-(P69+Q69+S69+T69),""),"")</f>
        <v>3.77380339680906</v>
      </c>
      <c r="U327" s="262">
        <f>IFERROR(IF(AND(COUNT(Q64,S64,T64,U64)=4,(Q69+S69+T69+U69)&lt;&gt;0),(Q64+S64+T64+U64)/-(Q69+S69+T69+U69),""),"")</f>
        <v>3.50845494556405</v>
      </c>
      <c r="V327" s="262">
        <f>IFERROR(IF(AND(COUNT(S64,T64,U64,V64)=4,(S69+T69+U69+V69)&lt;&gt;0),(S64+T64+U64+V64)/-(S69+T69+U69+V69),""),"")</f>
        <v>3.14323934966043</v>
      </c>
      <c r="W327" s="262">
        <f>IFERROR(IF(AND(COUNT(S64,T64,U64,V64)=4,(S69+T69+U69+V69)&lt;&gt;0),(S64+T64+U64+V64)/-(S69+T69+U69+V69),""),"")</f>
        <v>3.14323934966043</v>
      </c>
      <c r="X327" s="262">
        <f>IFERROR(IF(AND(COUNT(T64,U64,V64,X64)=4,(T69+U69+V69+X69)&lt;&gt;0),(T64+U64+V64+X64)/-(T69+U69+V69+X69),""),"")</f>
        <v>2.78229962679936</v>
      </c>
      <c r="Y327" s="262">
        <f>IFERROR(IF(AND(COUNT(U64,V64,X64,Y64)=4,(U69+V69+X69+Y69)&lt;&gt;0),(U64+V64+X64+Y64)/-(U69+V69+X69+Y69),""),"")</f>
        <v>2.57779552715655</v>
      </c>
      <c r="Z327" s="262">
        <f>IFERROR(IF(AND(COUNT(V64,X64,Y64,Z64)=4,(V69+X69+Y69+Z69)&lt;&gt;0),(V64+X64+Y64+Z64)/-(V69+X69+Y69+Z69),""),"")</f>
        <v>2.40527301541565</v>
      </c>
      <c r="AA327" s="262">
        <f>IFERROR(IF(AND(COUNT(X64,Y64,Z64,AA64)=4,(X69+Y69+Z69+AA69)&lt;&gt;0),(X64+Y64+Z64+AA64)/-(X69+Y69+Z69+AA69),""),"")</f>
        <v>2.26313092492954</v>
      </c>
      <c r="AB327" s="262">
        <f>IFERROR(IF(AND(COUNT(X64,Y64,Z64,AA64)=4,(X69+Y69+Z69+AA69)&lt;&gt;0),(X64+Y64+Z64+AA64)/-(X69+Y69+Z69+AA69),""),"")</f>
        <v>2.26313092492954</v>
      </c>
      <c r="AC327" s="262">
        <f>IFERROR(IF(AND(COUNT(Y64,Z64,AA64,AC64)=4,(Y69+Z69+AA69+AC69)&lt;&gt;0),(Y64+Z64+AA64+AC64)/-(Y69+Z69+AA69+AC69),""),"")</f>
        <v>2.16502900438025</v>
      </c>
      <c r="AD327" s="262">
        <f>IFERROR(IF(AND(COUNT(Z64,AA64,AC64,AD64)=4,(Z69+AA69+AC69+AD69)&lt;&gt;0),(Z64+AA64+AC64+AD64)/-(Z69+AA69+AC69+AD69),""),"")</f>
        <v>2.07988133172179</v>
      </c>
      <c r="AE327" s="262">
        <f>IFERROR(IF(AND(COUNT(AA64,AC64,AD64,AE64)=4,(AA69+AC69+AD69+AE69)&lt;&gt;0),(AA64+AC64+AD64+AE64)/-(AA69+AC69+AD69+AE69),""),"")</f>
        <v>2.11382385730211</v>
      </c>
      <c r="AF327" s="262">
        <f>IFERROR(IF(AND(COUNT(AB64,AD64,AE64,AF64)=4,(AB69+AD69+AE69+AF69)&lt;&gt;0),(AB64+AD64+AE64+AF64)/-(AB69+AD69+AE69+AF69),""),"")</f>
        <v>2.30534990920519</v>
      </c>
      <c r="AG327" s="262">
        <f>IFERROR(IF(AND(COUNT(AC64,AD64,AE64,AF64)=4,(AC69+AD69+AE69+AF69)&lt;&gt;0),(AC64+AD64+AE64+AF64)/-(AC69+AD69+AE69+AF69),""),"")</f>
        <v>2.23153424963683</v>
      </c>
      <c r="AH327" s="262">
        <f>IFERROR(IF(AND(COUNT(AD64,AF64,AG64,AH64)=4,(AD69+AF69+AG69+AH69)&lt;&gt;0),(AD64+AF64+AG64+AH64)/-(AD69+AF69+AG69+AH69),""),"")</f>
        <v>2.61266008049762</v>
      </c>
      <c r="AI327" s="262">
        <f>IFERROR(IF(AND(COUNT(AE64,AG64,AH64,AI64)=4,(AE69+AG69+AH69+AI69)&lt;&gt;0),(AE64+AG64+AH64+AI64)/-(AE69+AG69+AH69+AI69),""),"")</f>
        <v>3.2666356444858</v>
      </c>
      <c r="AJ327" s="262" t="str">
        <f>IFERROR(IF(AND(COUNT(AF64,AH64,AI64,AJ64)=4,(AF69+AH69+AI69+AJ69)&lt;&gt;0),(AF64+AH64+AI64+AJ64)/-(AF69+AH69+AI69+AJ69),""),"")</f>
        <v/>
      </c>
      <c r="AK327" s="262" t="str">
        <f>IFERROR(IF(AND(COUNT(AH64,AI64,AJ64,AK64)=4,(AH69+AI69+AJ69+AK69)&lt;&gt;0),(AH64+AI64+AJ64+AK64)/-(AH69+AI69+AJ69+AK69),""),"")</f>
        <v/>
      </c>
      <c r="AL327" s="262" t="str">
        <f>IFERROR(IF(AND(COUNT(AH64,AI64,AJ64,AK64)=4,(AH69+AI69+AJ69+AK69)&lt;&gt;0),(AH64+AI64+AJ64+AK64)/-(AH69+AI69+AJ69+AK69),""),"")</f>
        <v/>
      </c>
      <c r="AM327" s="262" t="str">
        <f>IFERROR(IF(AND(COUNT(AI64,AJ64,AK64,AM64)=4,(AI69+AJ69+AK69+AM69)&lt;&gt;0),(AI64+AJ64+AK64+AM64)/-(AI69+AJ69+AK69+AM69),""),"")</f>
        <v/>
      </c>
      <c r="AN327" s="262" t="str">
        <f>IFERROR(IF(AND(COUNT(AJ64,AK64,AM64,AN64)=4,(AJ69+AK69+AM69+AN69)&lt;&gt;0),(AJ64+AK64+AM64+AN64)/-(AJ69+AK69+AM69+AN69),""),"")</f>
        <v/>
      </c>
      <c r="AO327" s="262" t="str">
        <f>IFERROR(IF(AND(COUNT(AK64,AM64,AN64,AO64)=4,(AK69+AM69+AN69+AO69)&lt;&gt;0),(AK64+AM64+AN64+AO64)/-(AK69+AM69+AN69+AO69),""),"")</f>
        <v/>
      </c>
      <c r="AP327" s="262" t="str">
        <f>IFERROR(IF(AND(COUNT(AM64,AN64,AO64,AP64)=4,(AM69+AN69+AO69+AP69)&lt;&gt;0),(AM64+AN64+AO64+AP64)/-(AM69+AN69+AO69+AP69),""),"")</f>
        <v/>
      </c>
      <c r="AQ327" s="262" t="str">
        <f>IFERROR(IF(AND(COUNT(AM64,AN64,AO64,AP64)=4,(AM69+AN69+AO69+AP69)&lt;&gt;0),(AM64+AN64+AO64+AP64)/-(AM69+AN69+AO69+AP69),""),"")</f>
        <v/>
      </c>
      <c r="AR327" s="262" t="str">
        <f>IFERROR(IF(AND(COUNT(AN64,AO64,AP64,AR64)=4,(AN69+AO69+AP69+AR69)&lt;&gt;0),(AN64+AO64+AP64+AR64)/-(AN69+AO69+AP69+AR69),""),"")</f>
        <v/>
      </c>
      <c r="AS327" s="262" t="str">
        <f>IFERROR(IF(AND(COUNT(AO64,AP64,AR64,AS64)=4,(AO69+AP69+AR69+AS69)&lt;&gt;0),(AO64+AP64+AR64+AS64)/-(AO69+AP69+AR69+AS69),""),"")</f>
        <v/>
      </c>
      <c r="AT327" s="262" t="str">
        <f>IFERROR(IF(AND(COUNT(AP64,AR64,AS64,AT64)=4,(AP69+AR69+AS69+AT69)&lt;&gt;0),(AP64+AR64+AS64+AT64)/-(AP69+AR69+AS69+AT69),""),"")</f>
        <v/>
      </c>
      <c r="AU327" s="262" t="str">
        <f>IFERROR(IF(AND(COUNT(AR64,AS64,AT64,AU64)=4,(AR69+AS69+AT69+AU69)&lt;&gt;0),(AR64+AS64+AT64+AU64)/-(AR69+AS69+AT69+AU69),""),"")</f>
        <v/>
      </c>
      <c r="AV327" s="262" t="str">
        <f>IFERROR(IF(AND(COUNT(AR64,AS64,AT64,AU64)=4,(AR69+AS69+AT69+AU69)&lt;&gt;0),(AR64+AS64+AT64+AU64)/-(AR69+AS69+AT69+AU69),""),"")</f>
        <v/>
      </c>
      <c r="AW327" s="262" t="str">
        <f>IFERROR(IF(AND(COUNT(AS64,AT64,AU64,AW64)=4,(AS69+AT69+AU69+AW69)&lt;&gt;0),(AS64+AT64+AU64+AW64)/-(AS69+AT69+AU69+AW69),""),"")</f>
        <v/>
      </c>
      <c r="AX327" s="262" t="str">
        <f>IFERROR(IF(AND(COUNT(AT64,AU64,AW64,AX64)=4,(AT69+AU69+AW69+AX69)&lt;&gt;0),(AT64+AU64+AW64+AX64)/-(AT69+AU69+AW69+AX69),""),"")</f>
        <v/>
      </c>
      <c r="AY327" s="262" t="str">
        <f>IFERROR(IF(AND(COUNT(AU64,AW64,AX64,AY64)=4,(AU69+AW69+AX69+AY69)&lt;&gt;0),(AU64+AW64+AX64+AY64)/-(AU69+AW69+AX69+AY69),""),"")</f>
        <v/>
      </c>
      <c r="AZ327" s="262" t="str">
        <f>IFERROR(IF(AND(COUNT(AW64,AX64,AY64,AZ64)=4,(AW69+AX69+AY69+AZ69)&lt;&gt;0),(AW64+AX64+AY64+AZ64)/-(AW69+AX69+AY69+AZ69),""),"")</f>
        <v/>
      </c>
      <c r="BA327" s="262" t="str">
        <f>IFERROR(IF(AND(COUNT(AW64,AX64,AY64,AZ64)=4,(AW69+AX69+AY69+AZ69)&lt;&gt;0),(AW64+AX64+AY64+AZ64)/-(AW69+AX69+AY69+AZ69),""),"")</f>
        <v/>
      </c>
      <c r="BB327" s="262" t="str">
        <f>IFERROR(IF(AND(COUNT(AX64,AY64,AZ64,BB64)=4,(AX69+AY69+AZ69+BB69)&lt;&gt;0),(AX64+AY64+AZ64+BB64)/-(AX69+AY69+AZ69+BB69),""),"")</f>
        <v/>
      </c>
      <c r="BC327" s="262" t="str">
        <f>IFERROR(IF(AND(COUNT(AY64,AZ64,BB64,BC64)=4,(AY69+AZ69+BB69+BC69)&lt;&gt;0),(AY64+AZ64+BB64+BC64)/-(AY69+AZ69+BB69+BC69),""),"")</f>
        <v/>
      </c>
      <c r="BD327" s="262" t="str">
        <f>IFERROR(IF(AND(COUNT(AZ64,BB64,BC64,BD64)=4,(AZ69+BB69+BC69+BD69)&lt;&gt;0),(AZ64+BB64+BC64+BD64)/-(AZ69+BB69+BC69+BD69),""),"")</f>
        <v/>
      </c>
      <c r="BE327" s="262" t="str">
        <f>IFERROR(IF(AND(COUNT(BB64,BC64,BD64,BE64)=4,(BB69+BC69+BD69+BE69)&lt;&gt;0),(BB64+BC64+BD64+BE64)/-(BB69+BC69+BD69+BE69),""),"")</f>
        <v/>
      </c>
      <c r="BF327" s="262" t="str">
        <f>IFERROR(IF(AND(COUNT(BB64,BC64,BD64,BE64)=4,(BB69+BC69+BD69+BE69)&lt;&gt;0),(BB64+BC64+BD64+BE64)/-(BB69+BC69+BD69+BE69),""),"")</f>
        <v/>
      </c>
      <c r="BG327" s="82" t="n"/>
      <c r="BH327" s="82" t="n"/>
      <c r="BI327" s="82" t="n"/>
      <c r="BJ327" s="82" t="n"/>
      <c r="BL327" s="82" t="n"/>
      <c r="BM327" s="82" t="n"/>
      <c r="BN327" s="82" t="n"/>
      <c r="BO327" s="82" t="n"/>
      <c r="BQ327" s="82" t="n"/>
      <c r="BR327" s="82" t="n"/>
      <c r="BS327" s="82" t="n"/>
      <c r="BT327" s="82" t="n"/>
      <c r="BV327" s="82" t="n"/>
      <c r="BW327" s="82" t="n"/>
      <c r="BX327" s="82" t="n"/>
      <c r="BY327" s="82" t="n"/>
      <c r="CA327" s="82" t="n"/>
      <c r="CB327" s="82" t="n"/>
      <c r="CC327" s="82" t="n"/>
      <c r="CD327" s="82" t="n"/>
      <c r="CF327" s="82" t="n"/>
      <c r="CG327" s="82" t="n"/>
      <c r="CH327" s="82" t="n"/>
      <c r="CI327" s="82" t="n"/>
      <c r="CK327" s="82" t="n"/>
      <c r="CL327" s="82" t="n"/>
      <c r="CM327" s="82" t="n"/>
      <c r="CN327" s="82" t="n"/>
      <c r="CP327" s="82" t="n"/>
      <c r="CQ327" s="82" t="n"/>
      <c r="CR327" s="82" t="n"/>
      <c r="CS327" s="82" t="n"/>
      <c r="CU327" s="82" t="n"/>
      <c r="CV327" s="82" t="n"/>
      <c r="CW327" s="82" t="n"/>
      <c r="CX327" s="82" t="n"/>
    </row>
    <row r="328" customFormat="1" s="77">
      <c r="A328" s="76" t="n"/>
      <c r="B328" s="76" t="n"/>
      <c r="C328" s="77" t="inlineStr">
        <is>
          <t>(EBITDA - CAPEX) / TOTAL INTEREST (LTM)</t>
        </is>
      </c>
      <c r="D328" s="82" t="str">
        <f>IFERROR((D64-D163)/-D69,"")</f>
        <v/>
      </c>
      <c r="E328" s="82" t="str">
        <f>IFERROR((E64-E163)/-E69,"")</f>
        <v/>
      </c>
      <c r="F328" s="82" t="str">
        <f>IFERROR((F64-F163)/-F69,"")</f>
        <v/>
      </c>
      <c r="G328" s="82" t="str">
        <f>IFERROR((G64-G163)/-G69,"")</f>
        <v/>
      </c>
      <c r="H328" s="262" t="str">
        <f>IFERROR(IF(AND(COUNT(H64)=1,(H69)&lt;&gt;0),((H64)-(H163))/-(H69),""),"")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IFERROR(IF(AND(COUNT(I64,J64,K64,L64)=4,(I69+J69+K69+L69)&lt;&gt;0),((I64+J64+K64+L64)-(I163+J163+K163+L163))/-(I69+J69+K69+L69),""),"")</f>
        <v>-0.013835737415364</v>
      </c>
      <c r="M328" s="262">
        <f>IFERROR(IF(AND(COUNT(I64,J64,K64,L64)=4,(I69+J69+K69+L69)&lt;&gt;0),((I64+J64+K64+L64)-(I163+J163+K163+L163))/-(I69+J69+K69+L69),""),"")</f>
        <v>-0.013835737415364</v>
      </c>
      <c r="N328" s="262">
        <f>IFERROR(IF(AND(COUNT(J64,K64,L64,N64)=4,(J69+K69+L69+N69)&lt;&gt;0),((J64+K64+L64+N64)-(J163+K163+L163+N163))/-(J69+K69+L69+N69),""),"")</f>
        <v>-1.40320665083135</v>
      </c>
      <c r="O328" s="262">
        <f>IFERROR(IF(AND(COUNT(K64,L64,N64,O64)=4,(K69+L69+N69+O69)&lt;&gt;0),((K64+L64+N64+O64)-(K163+L163+N163+O163))/-(K69+L69+N69+O69),""),"")</f>
        <v>-0.823618242222895</v>
      </c>
      <c r="P328" s="262">
        <f>IFERROR(IF(AND(COUNT(L64,N64,O64,P64)=4,(L69+N69+O69+P69)&lt;&gt;0),((L64+N64+O64+P64)-(L163+N163+O163+P163))/-(L69+N69+O69+P69),""),"")</f>
        <v>-1.18814589665654</v>
      </c>
      <c r="Q328" s="262">
        <f>IFERROR(IF(AND(COUNT(N64,O64,P64,Q64)=4,(N69+O69+P69+Q69)&lt;&gt;0),((N64+O64+P64+Q64)-(N163+O163+P163+Q163))/-(N69+O69+P69+Q69),""),"")</f>
        <v>-3.49487334137515</v>
      </c>
      <c r="R328" s="262">
        <f>IFERROR(IF(AND(COUNT(N64,O64,P64,Q64)=4,(N69+O69+P69+Q69)&lt;&gt;0),((N64+O64+P64+Q64)-(N163+O163+P163+Q163))/-(N69+O69+P69+Q69),""),"")</f>
        <v>-3.49487334137515</v>
      </c>
      <c r="S328" s="262">
        <f>IFERROR(IF(AND(COUNT(O64,P64,Q64,S64)=4,(O69+P69+Q69+S69)&lt;&gt;0),((O64+P64+Q64+S64)-(O163+P163+Q163+S163))/-(O69+P69+Q69+S69),""),"")</f>
        <v>-4.13018597997139</v>
      </c>
      <c r="T328" s="262">
        <f>IFERROR(IF(AND(COUNT(P64,Q64,S64,T64)=4,(P69+Q69+S69+T69)&lt;&gt;0),((P64+Q64+S64+T64)-(P163+Q163+S163+T163))/-(P69+Q69+S69+T69),""),"")</f>
        <v>-5.53062274832732</v>
      </c>
      <c r="U328" s="262">
        <f>IFERROR(IF(AND(COUNT(Q64,S64,T64,U64)=4,(Q69+S69+T69+U69)&lt;&gt;0),((Q64+S64+T64+U64)-(Q163+S163+T163+U163))/-(Q69+S69+T69+U69),""),"")</f>
        <v>-5.91128098216354</v>
      </c>
      <c r="V328" s="262">
        <f>IFERROR(IF(AND(COUNT(S64,T64,U64,V64)=4,(S69+T69+U69+V69)&lt;&gt;0),((S64+T64+U64+V64)-(S163+T163+U163+V163))/-(S69+T69+U69+V69),""),"")</f>
        <v>-5.69993825890101</v>
      </c>
      <c r="W328" s="262">
        <f>IFERROR(IF(AND(COUNT(S64,T64,U64,V64)=4,(S69+T69+U69+V69)&lt;&gt;0),((S64+T64+U64+V64)-(S163+T163+U163+V163))/-(S69+T69+U69+V69),""),"")</f>
        <v>-5.69993825890101</v>
      </c>
      <c r="X328" s="262">
        <f>IFERROR(IF(AND(COUNT(T64,U64,V64,X64)=4,(T69+U69+V69+X69)&lt;&gt;0),((T64+U64+V64+X64)-(T163+U163+V163+X163))/-(T69+U69+V69+X69),""),"")</f>
        <v>-5.46969966234228</v>
      </c>
      <c r="Y328" s="262">
        <f>IFERROR(IF(AND(COUNT(U64,V64,X64,Y64)=4,(U69+V69+X69+Y69)&lt;&gt;0),((U64+V64+X64+Y64)-(U163+V163+X163+Y163))/-(U69+V69+X69+Y69),""),"")</f>
        <v>-5.6741214057508</v>
      </c>
      <c r="Z328" s="262">
        <f>IFERROR(IF(AND(COUNT(V64,X64,Y64,Z64)=4,(V69+X69+Y69+Z69)&lt;&gt;0),((V64+X64+Y64+Z64)-(V163+X163+Y163+Z163))/-(V69+X69+Y69+Z69),""),"")</f>
        <v>-6.2074629015992</v>
      </c>
      <c r="AA328" s="262">
        <f>IFERROR(IF(AND(COUNT(X64,Y64,Z64,AA64)=4,(X69+Y69+Z69+AA69)&lt;&gt;0),((X64+Y64+Z64+AA64)-(X163+Y163+Z163+AA163))/-(X69+Y69+Z69+AA69),""),"")</f>
        <v>-5.36612861901102</v>
      </c>
      <c r="AB328" s="262">
        <f>IFERROR(IF(AND(COUNT(X64,Y64,Z64,AA64)=4,(X69+Y69+Z69+AA69)&lt;&gt;0),((X64+Y64+Z64+AA64)-(X163+Y163+Z163+AA163))/-(X69+Y69+Z69+AA69),""),"")</f>
        <v>-5.36612861901102</v>
      </c>
      <c r="AC328" s="262">
        <f>IFERROR(IF(AND(COUNT(Y64,Z64,AA64,AC64)=4,(Y69+Z69+AA69+AC69)&lt;&gt;0),((Y64+Z64+AA64+AC64)-(Y163+Z163+AA163+AC163))/-(Y69+Z69+AA69+AC69),""),"")</f>
        <v>-5.74180182313248</v>
      </c>
      <c r="AD328" s="262">
        <f>IFERROR(IF(AND(COUNT(Z64,AA64,AC64,AD64)=4,(Z69+AA69+AC69+AD69)&lt;&gt;0),((Z64+AA64+AC64+AD64)-(Z163+AA163+AC163+AD163))/-(Z69+AA69+AC69+AD69),""),"")</f>
        <v>-6.26337765080761</v>
      </c>
      <c r="AE328" s="262">
        <f>IFERROR(IF(AND(COUNT(AA64,AC64,AD64,AE64)=4,(AA69+AC69+AD69+AE69)&lt;&gt;0),((AA64+AC64+AD64+AE64)-(AA163+AC163+AD163+AE163))/-(AA69+AC69+AD69+AE69),""),"")</f>
        <v>-6.84972129319956</v>
      </c>
      <c r="AF328" s="262">
        <f>IFERROR(IF(AND(COUNT(AB64,AD64,AE64,AF64)=4,(AB69+AD69+AE69+AF69)&lt;&gt;0),((AB64+AD64+AE64+AF64)-(AB163+AD163+AE163+AF163))/-(AB69+AD69+AE69+AF69),""),"")</f>
        <v>-3.09701075569214</v>
      </c>
      <c r="AG328" s="262">
        <f>IFERROR(IF(AND(COUNT(AC64,AD64,AE64,AF64)=4,(AC69+AD69+AE69+AF69)&lt;&gt;0),((AC64+AD64+AE64+AF64)-(AC163+AD163+AE163+AF163))/-(AC69+AD69+AE69+AF69),""),"")</f>
        <v>-8.46195105598391</v>
      </c>
      <c r="AH328" s="262">
        <f>IFERROR(IF(AND(COUNT(AD64,AF64,AG64,AH64)=4,(AD69+AF69+AG69+AH69)&lt;&gt;0),((AD64+AF64+AG64+AH64)-(AD163+AF163+AG163+AH163))/-(AD69+AF69+AG69+AH69),""),"")</f>
        <v>-10.1369923161361</v>
      </c>
      <c r="AI328" s="262">
        <f>IFERROR(IF(AND(COUNT(AE64,AG64,AH64,AI64)=4,(AE69+AG69+AH69+AI69)&lt;&gt;0),((AE64+AG64+AH64+AI64)-(AE163+AG163+AH163+AI163))/-(AE69+AG69+AH69+AI69),""),"")</f>
        <v>-13.0013029315961</v>
      </c>
      <c r="AJ328" s="262" t="str">
        <f>IFERROR(IF(AND(COUNT(AF64,AH64,AI64,AJ64)=4,(AF69+AH69+AI69+AJ69)&lt;&gt;0),((AF64+AH64+AI64+AJ64)-(AF163+AH163+AI163+AJ163))/-(AF69+AH69+AI69+AJ69),""),"")</f>
        <v/>
      </c>
      <c r="AK328" s="262" t="str">
        <f>IFERROR(IF(AND(COUNT(AH64,AI64,AJ64,AK64)=4,(AH69+AI69+AJ69+AK69)&lt;&gt;0),((AH64+AI64+AJ64+AK64)-(AH163+AI163+AJ163+AK163))/-(AH69+AI69+AJ69+AK69),""),"")</f>
        <v/>
      </c>
      <c r="AL328" s="262" t="str">
        <f>IFERROR(IF(AND(COUNT(AH64,AI64,AJ64,AK64)=4,(AH69+AI69+AJ69+AK69)&lt;&gt;0),((AH64+AI64+AJ64+AK64)-(AH163+AI163+AJ163+AK163))/-(AH69+AI69+AJ69+AK69),""),"")</f>
        <v/>
      </c>
      <c r="AM328" s="262" t="str">
        <f>IFERROR(IF(AND(COUNT(AI64,AJ64,AK64,AM64)=4,(AI69+AJ69+AK69+AM69)&lt;&gt;0),((AI64+AJ64+AK64+AM64)-(AI163+AJ163+AK163+AM163))/-(AI69+AJ69+AK69+AM69),""),"")</f>
        <v/>
      </c>
      <c r="AN328" s="262" t="str">
        <f>IFERROR(IF(AND(COUNT(AJ64,AK64,AM64,AN64)=4,(AJ69+AK69+AM69+AN69)&lt;&gt;0),((AJ64+AK64+AM64+AN64)-(AJ163+AK163+AM163+AN163))/-(AJ69+AK69+AM69+AN69),""),"")</f>
        <v/>
      </c>
      <c r="AO328" s="262" t="str">
        <f>IFERROR(IF(AND(COUNT(AK64,AM64,AN64,AO64)=4,(AK69+AM69+AN69+AO69)&lt;&gt;0),((AK64+AM64+AN64+AO64)-(AK163+AM163+AN163+AO163))/-(AK69+AM69+AN69+AO69),""),"")</f>
        <v/>
      </c>
      <c r="AP328" s="262" t="str">
        <f>IFERROR(IF(AND(COUNT(AM64,AN64,AO64,AP64)=4,(AM69+AN69+AO69+AP69)&lt;&gt;0),((AM64+AN64+AO64+AP64)-(AM163+AN163+AO163+AP163))/-(AM69+AN69+AO69+AP69),""),"")</f>
        <v/>
      </c>
      <c r="AQ328" s="262" t="str">
        <f>IFERROR(IF(AND(COUNT(AM64,AN64,AO64,AP64)=4,(AM69+AN69+AO69+AP69)&lt;&gt;0),((AM64+AN64+AO64+AP64)-(AM163+AN163+AO163+AP163))/-(AM69+AN69+AO69+AP69),""),"")</f>
        <v/>
      </c>
      <c r="AR328" s="262" t="str">
        <f>IFERROR(IF(AND(COUNT(AN64,AO64,AP64,AR64)=4,(AN69+AO69+AP69+AR69)&lt;&gt;0),((AN64+AO64+AP64+AR64)-(AN163+AO163+AP163+AR163))/-(AN69+AO69+AP69+AR69),""),"")</f>
        <v/>
      </c>
      <c r="AS328" s="262" t="str">
        <f>IFERROR(IF(AND(COUNT(AO64,AP64,AR64,AS64)=4,(AO69+AP69+AR69+AS69)&lt;&gt;0),((AO64+AP64+AR64+AS64)-(AO163+AP163+AR163+AS163))/-(AO69+AP69+AR69+AS69),""),"")</f>
        <v/>
      </c>
      <c r="AT328" s="262" t="str">
        <f>IFERROR(IF(AND(COUNT(AP64,AR64,AS64,AT64)=4,(AP69+AR69+AS69+AT69)&lt;&gt;0),((AP64+AR64+AS64+AT64)-(AP163+AR163+AS163+AT163))/-(AP69+AR69+AS69+AT69),""),"")</f>
        <v/>
      </c>
      <c r="AU328" s="262" t="str">
        <f>IFERROR(IF(AND(COUNT(AR64,AS64,AT64,AU64)=4,(AR69+AS69+AT69+AU69)&lt;&gt;0),((AR64+AS64+AT64+AU64)-(AR163+AS163+AT163+AU163))/-(AR69+AS69+AT69+AU69),""),"")</f>
        <v/>
      </c>
      <c r="AV328" s="262" t="str">
        <f>IFERROR(IF(AND(COUNT(AR64,AS64,AT64,AU64)=4,(AR69+AS69+AT69+AU69)&lt;&gt;0),((AR64+AS64+AT64+AU64)-(AR163+AS163+AT163+AU163))/-(AR69+AS69+AT69+AU69),""),"")</f>
        <v/>
      </c>
      <c r="AW328" s="262" t="str">
        <f>IFERROR(IF(AND(COUNT(AS64,AT64,AU64,AW64)=4,(AS69+AT69+AU69+AW69)&lt;&gt;0),((AS64+AT64+AU64+AW64)-(AS163+AT163+AU163+AW163))/-(AS69+AT69+AU69+AW69),""),"")</f>
        <v/>
      </c>
      <c r="AX328" s="262" t="str">
        <f>IFERROR(IF(AND(COUNT(AT64,AU64,AW64,AX64)=4,(AT69+AU69+AW69+AX69)&lt;&gt;0),((AT64+AU64+AW64+AX64)-(AT163+AU163+AW163+AX163))/-(AT69+AU69+AW69+AX69),""),"")</f>
        <v/>
      </c>
      <c r="AY328" s="262" t="str">
        <f>IFERROR(IF(AND(COUNT(AU64,AW64,AX64,AY64)=4,(AU69+AW69+AX69+AY69)&lt;&gt;0),((AU64+AW64+AX64+AY64)-(AU163+AW163+AX163+AY163))/-(AU69+AW69+AX69+AY69),""),"")</f>
        <v/>
      </c>
      <c r="AZ328" s="262" t="str">
        <f>IFERROR(IF(AND(COUNT(AW64,AX64,AY64,AZ64)=4,(AW69+AX69+AY69+AZ69)&lt;&gt;0),((AW64+AX64+AY64+AZ64)-(AW163+AX163+AY163+AZ163))/-(AW69+AX69+AY69+AZ69),""),"")</f>
        <v/>
      </c>
      <c r="BA328" s="262" t="str">
        <f>IFERROR(IF(AND(COUNT(AW64,AX64,AY64,AZ64)=4,(AW69+AX69+AY69+AZ69)&lt;&gt;0),((AW64+AX64+AY64+AZ64)-(AW163+AX163+AY163+AZ163))/-(AW69+AX69+AY69+AZ69),""),"")</f>
        <v/>
      </c>
      <c r="BB328" s="262" t="str">
        <f>IFERROR(IF(AND(COUNT(AX64,AY64,AZ64,BB64)=4,(AX69+AY69+AZ69+BB69)&lt;&gt;0),((AX64+AY64+AZ64+BB64)-(AX163+AY163+AZ163+BB163))/-(AX69+AY69+AZ69+BB69),""),"")</f>
        <v/>
      </c>
      <c r="BC328" s="262" t="str">
        <f>IFERROR(IF(AND(COUNT(AY64,AZ64,BB64,BC64)=4,(AY69+AZ69+BB69+BC69)&lt;&gt;0),((AY64+AZ64+BB64+BC64)-(AY163+AZ163+BB163+BC163))/-(AY69+AZ69+BB69+BC69),""),"")</f>
        <v/>
      </c>
      <c r="BD328" s="262" t="str">
        <f>IFERROR(IF(AND(COUNT(AZ64,BB64,BC64,BD64)=4,(AZ69+BB69+BC69+BD69)&lt;&gt;0),((AZ64+BB64+BC64+BD64)-(AZ163+BB163+BC163+BD163))/-(AZ69+BB69+BC69+BD69),""),"")</f>
        <v/>
      </c>
      <c r="BE328" s="262" t="str">
        <f>IFERROR(IF(AND(COUNT(BB64,BC64,BD64,BE64)=4,(BB69+BC69+BD69+BE69)&lt;&gt;0),((BB64+BC64+BD64+BE64)-(BB163+BC163+BD163+BE163))/-(BB69+BC69+BD69+BE69),""),"")</f>
        <v/>
      </c>
      <c r="BF328" s="262" t="str">
        <f>IFERROR(IF(AND(COUNT(BB64,BC64,BD64,BE64)=4,(BB69+BC69+BD69+BE69)&lt;&gt;0),((BB64+BC64+BD64+BE64)-(BB163+BC163+BD163+BE163))/-(BB69+BC69+BD69+BE69),""),"")</f>
        <v/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77" t="inlineStr">
        <is>
          <t>TOTAL DEBT / EBITDA (LTM)</t>
        </is>
      </c>
      <c r="D329" s="82" t="str">
        <f>IFERROR(SUM(D207,D208,D209,D212,D230,D233)/D64,"")</f>
        <v/>
      </c>
      <c r="E329" s="82" t="str">
        <f>IFERROR(SUM(E207,E208,E209,E212,E230,E233)/E64,"")</f>
        <v/>
      </c>
      <c r="F329" s="82" t="str">
        <f>IFERROR(SUM(F207,F208,F209,F212,F230,F233)/F64,"")</f>
        <v/>
      </c>
      <c r="G329" s="82" t="str">
        <f>IFERROR(SUM(G207,G208,G209,G212,G230,G233)/G64,"")</f>
        <v/>
      </c>
      <c r="H329" s="262" t="str">
        <f>IFERROR(IF(AND(COUNT(H64)=1,(H64)&lt;&gt;0),(N(H207)+N(H208)+N(H209)+N(H212)+N(H230)+N(H233))/(H64),""),"")</f>
        <v/>
      </c>
      <c r="I329" s="262" t="str">
        <f>""</f>
        <v/>
      </c>
      <c r="J329" s="262" t="str">
        <f>""</f>
        <v/>
      </c>
      <c r="K329" s="262" t="str">
        <f>""</f>
        <v/>
      </c>
      <c r="L329" s="262">
        <f>IFERROR(IF(AND(COUNT(I64,J64,K64,L64)=4,(I64+J64+K64+L64)&lt;&gt;0),(N(L207)+N(L208)+N(L209)+N(L212)+N(L230)+N(L233))/(I64+J64+K64+L64),""),"")</f>
        <v>10.9102481261308</v>
      </c>
      <c r="M329" s="262">
        <f>IFERROR(IF(AND(COUNT(I64,J64,K64,L64)=4,(I64+J64+K64+L64)&lt;&gt;0),(N(M207)+N(M208)+N(M209)+N(M212)+N(M230)+N(M233))/(I64+J64+K64+L64),""),"")</f>
        <v>10.9102481261308</v>
      </c>
      <c r="N329" s="262">
        <f>IFERROR(IF(AND(COUNT(J64,K64,L64,N64)=4,(J64+K64+L64+N64)&lt;&gt;0),(N(N207)+N(N208)+N(N209)+N(N212)+N(N230)+N(N233))/(J64+K64+L64+N64),""),"")</f>
        <v>10.1094917330067</v>
      </c>
      <c r="O329" s="262">
        <f>IFERROR(IF(AND(COUNT(K64,L64,N64,O64)=4,(K64+L64+N64+O64)&lt;&gt;0),(N(O207)+N(O208)+N(O209)+N(O212)+N(O230)+N(O233))/(K64+L64+N64+O64),""),"")</f>
        <v>10.4265161850428</v>
      </c>
      <c r="P329" s="262">
        <f>IFERROR(IF(AND(COUNT(L64,N64,O64,P64)=4,(L64+N64+O64+P64)&lt;&gt;0),(N(P207)+N(P208)+N(P209)+N(P212)+N(P230)+N(P233))/(L64+N64+O64+P64),""),"")</f>
        <v>9.97263369319608</v>
      </c>
      <c r="Q329" s="262">
        <f>IFERROR(IF(AND(COUNT(N64,O64,P64,Q64)=4,(N64+O64+P64+Q64)&lt;&gt;0),(N(Q207)+N(Q208)+N(Q209)+N(Q212)+N(Q230)+N(Q233))/(N64+O64+P64+Q64),""),"")</f>
        <v>10.6657471264368</v>
      </c>
      <c r="R329" s="262">
        <f>IFERROR(IF(AND(COUNT(N64,O64,P64,Q64)=4,(N64+O64+P64+Q64)&lt;&gt;0),(N(R207)+N(R208)+N(R209)+N(R212)+N(R230)+N(R233))/(N64+O64+P64+Q64),""),"")</f>
        <v>10.6657471264368</v>
      </c>
      <c r="S329" s="262">
        <f>IFERROR(IF(AND(COUNT(O64,P64,Q64,S64)=4,(O64+P64+Q64+S64)&lt;&gt;0),(N(S207)+N(S208)+N(S209)+N(S212)+N(S230)+N(S233))/(O64+P64+Q64+S64),""),"")</f>
        <v>13.0312607825547</v>
      </c>
      <c r="T329" s="262">
        <f>IFERROR(IF(AND(COUNT(P64,Q64,S64,T64)=4,(P64+Q64+S64+T64)&lt;&gt;0),(N(T207)+N(T208)+N(T209)+N(T212)+N(T230)+N(T233))/(P64+Q64+S64+T64),""),"")</f>
        <v>12.8332765086942</v>
      </c>
      <c r="U329" s="262">
        <f>IFERROR(IF(AND(COUNT(Q64,S64,T64,U64)=4,(Q64+S64+T64+U64)&lt;&gt;0),(N(U207)+N(U208)+N(U209)+N(U212)+N(U230)+N(U233))/(Q64+S64+T64+U64),""),"")</f>
        <v>13.3159249966988</v>
      </c>
      <c r="V329" s="262">
        <f>IFERROR(IF(AND(COUNT(S64,T64,U64,V64)=4,(S64+T64+U64+V64)&lt;&gt;0),(N(V207)+N(V208)+N(V209)+N(V212)+N(V230)+N(V233))/(S64+T64+U64+V64),""),"")</f>
        <v>16.5162705427879</v>
      </c>
      <c r="W329" s="262">
        <f>IFERROR(IF(AND(COUNT(S64,T64,U64,V64)=4,(S64+T64+U64+V64)&lt;&gt;0),(N(W207)+N(W208)+N(W209)+N(W212)+N(W230)+N(W233))/(S64+T64+U64+V64),""),"")</f>
        <v>16.5162705427879</v>
      </c>
      <c r="X329" s="262">
        <f>IFERROR(IF(AND(COUNT(T64,U64,V64,X64)=4,(T64+U64+V64+X64)&lt;&gt;0),(N(X207)+N(X208)+N(X209)+N(X212)+N(X230)+N(X233))/(T64+U64+V64+X64),""),"")</f>
        <v>16.7420797138477</v>
      </c>
      <c r="Y329" s="262">
        <f>IFERROR(IF(AND(COUNT(U64,V64,X64,Y64)=4,(U64+V64+X64+Y64)&lt;&gt;0),(N(Y207)+N(Y208)+N(Y209)+N(Y212)+N(Y230)+N(Y233))/(U64+V64+X64+Y64),""),"")</f>
        <v>17.9041953275082</v>
      </c>
      <c r="Z329" s="262">
        <f>IFERROR(IF(AND(COUNT(V64,X64,Y64,Z64)=4,(V64+X64+Y64+Z64)&lt;&gt;0),(N(Z207)+N(Z208)+N(Z209)+N(Z212)+N(Z230)+N(Z233))/(V64+X64+Y64+Z64),""),"")</f>
        <v>18.6401317759808</v>
      </c>
      <c r="AA329" s="262">
        <f>IFERROR(IF(AND(COUNT(X64,Y64,Z64,AA64)=4,(X64+Y64+Z64+AA64)&lt;&gt;0),(N(AA207)+N(AA208)+N(AA209)+N(AA212)+N(AA230)+N(AA233))/(X64+Y64+Z64+AA64),""),"")</f>
        <v>19.0446054568097</v>
      </c>
      <c r="AB329" s="262">
        <f>IFERROR(IF(AND(COUNT(X64,Y64,Z64,AA64)=4,(X64+Y64+Z64+AA64)&lt;&gt;0),(N(AB207)+N(AB208)+N(AB209)+N(AB212)+N(AB230)+N(AB233))/(X64+Y64+Z64+AA64),""),"")</f>
        <v>19.0446054568097</v>
      </c>
      <c r="AC329" s="262">
        <f>IFERROR(IF(AND(COUNT(Y64,Z64,AA64,AC64)=4,(Y64+Z64+AA64+AC64)&lt;&gt;0),(N(AC207)+N(AC208)+N(AC209)+N(AC212)+N(AC230)+N(AC233))/(Y64+Z64+AA64+AC64),""),"")</f>
        <v>21.0607502187227</v>
      </c>
      <c r="AD329" s="262">
        <f>IFERROR(IF(AND(COUNT(Z64,AA64,AC64,AD64)=4,(Z64+AA64+AC64+AD64)&lt;&gt;0),(N(AD207)+N(AD208)+N(AD209)+N(AD212)+N(AD230)+N(AD233))/(Z64+AA64+AC64+AD64),""),"")</f>
        <v>21.0807755296107</v>
      </c>
      <c r="AE329" s="262">
        <f>IFERROR(IF(AND(COUNT(AA64,AC64,AD64,AE64)=4,(AA64+AC64+AD64+AE64)&lt;&gt;0),(N(AE207)+N(AE208)+N(AE209)+N(AE212)+N(AE230)+N(AE233))/(AA64+AC64+AD64+AE64),""),"")</f>
        <v>22.4179104477612</v>
      </c>
      <c r="AF329" s="262">
        <f>IFERROR(IF(AND(COUNT(AB64,AD64,AE64,AF64)=4,(AB64+AD64+AE64+AF64)&lt;&gt;0),(N(AF207)+N(AF208)+N(AF209)+N(AF212)+N(AF230)+N(AF233))/(AB64+AD64+AE64+AF64),""),"")</f>
        <v>12.8765753756665</v>
      </c>
      <c r="AG329" s="262">
        <f>IFERROR(IF(AND(COUNT(AC64,AD64,AE64,AF64)=4,(AC64+AD64+AE64+AF64)&lt;&gt;0),(N(AG207)+N(AG208)+N(AG209)+N(AG212)+N(AG230)+N(AG233))/(AC64+AD64+AE64+AF64),""),"")</f>
        <v>21.2834251377066</v>
      </c>
      <c r="AH329" s="262">
        <f>IFERROR(IF(AND(COUNT(AD64,AF64,AG64,AH64)=4,(AD64+AF64+AG64+AH64)&lt;&gt;0),(N(AH207)+N(AH208)+N(AH209)+N(AH212)+N(AH230)+N(AH233))/(AD64+AF64+AG64+AH64),""),"")</f>
        <v>12.1477788359196</v>
      </c>
      <c r="AI329" s="262">
        <f>IFERROR(IF(AND(COUNT(AE64,AG64,AH64,AI64)=4,(AE64+AG64+AH64+AI64)&lt;&gt;0),(N(AI207)+N(AI208)+N(AI209)+N(AI212)+N(AI230)+N(AI233))/(AE64+AG64+AH64+AI64),""),"")</f>
        <v>15.6433048433049</v>
      </c>
      <c r="AJ329" s="262">
        <f>IFERROR(IF(AND(COUNT(AF64,AH64,AI64,AJ64)=4,(AF64+AH64+AI64+AJ64)&lt;&gt;0),(N(AJ207)+N(AJ208)+N(AJ209)+N(AJ212)+N(AJ230)+N(AJ233))/(AF64+AH64+AI64+AJ64),""),"")</f>
        <v>23.1128250843127</v>
      </c>
      <c r="AK329" s="262">
        <f>IFERROR(IF(AND(COUNT(AH64,AI64,AJ64,AK64)=4,(AH64+AI64+AJ64+AK64)&lt;&gt;0),(N(AK207)+N(AK208)+N(AK209)+N(AK212)+N(AK230)+N(AK233))/(AH64+AI64+AJ64+AK64),""),"")</f>
        <v>21.0482462733263</v>
      </c>
      <c r="AL329" s="262">
        <f>IFERROR(IF(AND(COUNT(AH64,AI64,AJ64,AK64)=4,(AH64+AI64+AJ64+AK64)&lt;&gt;0),(N(AL207)+N(AL208)+N(AL209)+N(AL212)+N(AL230)+N(AL233))/(AH64+AI64+AJ64+AK64),""),"")</f>
        <v>21.0482462733263</v>
      </c>
      <c r="AM329" s="262">
        <f>IFERROR(IF(AND(COUNT(AI64,AJ64,AK64,AM64)=4,(AI64+AJ64+AK64+AM64)&lt;&gt;0),(N(AM207)+N(AM208)+N(AM209)+N(AM212)+N(AM230)+N(AM233))/(AI64+AJ64+AK64+AM64),""),"")</f>
        <v>18.6767473441547</v>
      </c>
      <c r="AN329" s="262">
        <f>IFERROR(IF(AND(COUNT(AJ64,AK64,AM64,AN64)=4,(AJ64+AK64+AM64+AN64)&lt;&gt;0),(N(AN207)+N(AN208)+N(AN209)+N(AN212)+N(AN230)+N(AN233))/(AJ64+AK64+AM64+AN64),""),"")</f>
        <v>16.2406777798109</v>
      </c>
      <c r="AO329" s="262">
        <f>IFERROR(IF(AND(COUNT(AK64,AM64,AN64,AO64)=4,(AK64+AM64+AN64+AO64)&lt;&gt;0),(N(AO207)+N(AO208)+N(AO209)+N(AO212)+N(AO230)+N(AO233))/(AK64+AM64+AN64+AO64),""),"")</f>
        <v>14.7106795505385</v>
      </c>
      <c r="AP329" s="262">
        <f>IFERROR(IF(AND(COUNT(AM64,AN64,AO64,AP64)=4,(AM64+AN64+AO64+AP64)&lt;&gt;0),(N(AP207)+N(AP208)+N(AP209)+N(AP212)+N(AP230)+N(AP233))/(AM64+AN64+AO64+AP64),""),"")</f>
        <v>13.3338298558758</v>
      </c>
      <c r="AQ329" s="262">
        <f>IFERROR(IF(AND(COUNT(AM64,AN64,AO64,AP64)=4,(AM64+AN64+AO64+AP64)&lt;&gt;0),(N(AQ207)+N(AQ208)+N(AQ209)+N(AQ212)+N(AQ230)+N(AQ233))/(AM64+AN64+AO64+AP64),""),"")</f>
        <v>13.3338298558758</v>
      </c>
      <c r="AR329" s="262">
        <f>IFERROR(IF(AND(COUNT(AN64,AO64,AP64,AR64)=4,(AN64+AO64+AP64+AR64)&lt;&gt;0),(N(AR207)+N(AR208)+N(AR209)+N(AR212)+N(AR230)+N(AR233))/(AN64+AO64+AP64+AR64),""),"")</f>
        <v>12.1766271949453</v>
      </c>
      <c r="AS329" s="262">
        <f>IFERROR(IF(AND(COUNT(AO64,AP64,AR64,AS64)=4,(AO64+AP64+AR64+AS64)&lt;&gt;0),(N(AS207)+N(AS208)+N(AS209)+N(AS212)+N(AS230)+N(AS233))/(AO64+AP64+AR64+AS64),""),"")</f>
        <v>11.0625783441503</v>
      </c>
      <c r="AT329" s="262">
        <f>IFERROR(IF(AND(COUNT(AP64,AR64,AS64,AT64)=4,(AP64+AR64+AS64+AT64)&lt;&gt;0),(N(AT207)+N(AT208)+N(AT209)+N(AT212)+N(AT230)+N(AT233))/(AP64+AR64+AS64+AT64),""),"")</f>
        <v>10.0287227969043</v>
      </c>
      <c r="AU329" s="262">
        <f>IFERROR(IF(AND(COUNT(AR64,AS64,AT64,AU64)=4,(AR64+AS64+AT64+AU64)&lt;&gt;0),(N(AU207)+N(AU208)+N(AU209)+N(AU212)+N(AU230)+N(AU233))/(AR64+AS64+AT64+AU64),""),"")</f>
        <v>9.09688357812644</v>
      </c>
      <c r="AV329" s="262">
        <f>IFERROR(IF(AND(COUNT(AR64,AS64,AT64,AU64)=4,(AR64+AS64+AT64+AU64)&lt;&gt;0),(N(AV207)+N(AV208)+N(AV209)+N(AV212)+N(AV230)+N(AV233))/(AR64+AS64+AT64+AU64),""),"")</f>
        <v>9.09688357812644</v>
      </c>
      <c r="AW329" s="262">
        <f>IFERROR(IF(AND(COUNT(AS64,AT64,AU64,AW64)=4,(AS64+AT64+AU64+AW64)&lt;&gt;0),(N(AW207)+N(AW208)+N(AW209)+N(AW212)+N(AW230)+N(AW233))/(AS64+AT64+AU64+AW64),""),"")</f>
        <v>8.31513964029431</v>
      </c>
      <c r="AX329" s="262">
        <f>IFERROR(IF(AND(COUNT(AT64,AU64,AW64,AX64)=4,(AT64+AU64+AW64+AX64)&lt;&gt;0),(N(AX207)+N(AX208)+N(AX209)+N(AX212)+N(AX230)+N(AX233))/(AT64+AU64+AW64+AX64),""),"")</f>
        <v>7.56116938370744</v>
      </c>
      <c r="AY329" s="262">
        <f>IFERROR(IF(AND(COUNT(AU64,AW64,AX64,AY64)=4,(AU64+AW64+AX64+AY64)&lt;&gt;0),(N(AY207)+N(AY208)+N(AY209)+N(AY212)+N(AY230)+N(AY233))/(AU64+AW64+AX64+AY64),""),"")</f>
        <v>6.86025944670824</v>
      </c>
      <c r="AZ329" s="262">
        <f>IFERROR(IF(AND(COUNT(AW64,AX64,AY64,AZ64)=4,(AW64+AX64+AY64+AZ64)&lt;&gt;0),(N(AZ207)+N(AZ208)+N(AZ209)+N(AZ212)+N(AZ230)+N(AZ233))/(AW64+AX64+AY64+AZ64),""),"")</f>
        <v>6.22750900179294</v>
      </c>
      <c r="BA329" s="262">
        <f>IFERROR(IF(AND(COUNT(AW64,AX64,AY64,AZ64)=4,(AW64+AX64+AY64+AZ64)&lt;&gt;0),(N(BA207)+N(BA208)+N(BA209)+N(BA212)+N(BA230)+N(BA233))/(AW64+AX64+AY64+AZ64),""),"")</f>
        <v>6.22750900179294</v>
      </c>
      <c r="BB329" s="262">
        <f>IFERROR(IF(AND(COUNT(AX64,AY64,AZ64,BB64)=4,(AX64+AY64+AZ64+BB64)&lt;&gt;0),(N(BB207)+N(BB208)+N(BB209)+N(BB212)+N(BB230)+N(BB233))/(AX64+AY64+AZ64+BB64),""),"")</f>
        <v>5.69765910637674</v>
      </c>
      <c r="BC329" s="262">
        <f>IFERROR(IF(AND(COUNT(AY64,AZ64,BB64,BC64)=4,(AY64+AZ64+BB64+BC64)&lt;&gt;0),(N(BC207)+N(BC208)+N(BC209)+N(BC212)+N(BC230)+N(BC233))/(AY64+AZ64+BB64+BC64),""),"")</f>
        <v>5.18569574446939</v>
      </c>
      <c r="BD329" s="262">
        <f>IFERROR(IF(AND(COUNT(AZ64,BB64,BC64,BD64)=4,(AZ64+BB64+BC64+BD64)&lt;&gt;0),(N(BD207)+N(BD208)+N(BD209)+N(BD212)+N(BD230)+N(BD233))/(AZ64+BB64+BC64+BD64),""),"")</f>
        <v>4.70893336820787</v>
      </c>
      <c r="BE329" s="262">
        <f>IFERROR(IF(AND(COUNT(BB64,BC64,BD64,BE64)=4,(BB64+BC64+BD64+BE64)&lt;&gt;0),(N(BE207)+N(BE208)+N(BE209)+N(BE212)+N(BE230)+N(BE233))/(BB64+BC64+BD64+BE64),""),"")</f>
        <v>4.27784632679324</v>
      </c>
      <c r="BF329" s="262">
        <f>IFERROR(IF(AND(COUNT(BB64,BC64,BD64,BE64)=4,(BB64+BC64+BD64+BE64)&lt;&gt;0),(N(BF207)+N(BF208)+N(BF209)+N(BF212)+N(BF230)+N(BF233))/(BB64+BC64+BD64+BE64),""),"")</f>
        <v>4.27784632679324</v>
      </c>
      <c r="BG329" s="82" t="n"/>
      <c r="BH329" s="82" t="n"/>
      <c r="BI329" s="82" t="n"/>
      <c r="BJ329" s="82" t="n"/>
      <c r="BL329" s="82" t="n"/>
      <c r="BM329" s="82" t="n"/>
      <c r="BN329" s="82" t="n"/>
      <c r="BO329" s="82" t="n"/>
      <c r="BQ329" s="82" t="n"/>
      <c r="BR329" s="82" t="n"/>
      <c r="BS329" s="82" t="n"/>
      <c r="BT329" s="82" t="n"/>
      <c r="BV329" s="82" t="n"/>
      <c r="BW329" s="82" t="n"/>
      <c r="BX329" s="82" t="n"/>
      <c r="BY329" s="82" t="n"/>
      <c r="CA329" s="82" t="n"/>
      <c r="CB329" s="82" t="n"/>
      <c r="CC329" s="82" t="n"/>
      <c r="CD329" s="82" t="n"/>
      <c r="CF329" s="82" t="n"/>
      <c r="CG329" s="82" t="n"/>
      <c r="CH329" s="82" t="n"/>
      <c r="CI329" s="82" t="n"/>
      <c r="CK329" s="82" t="n"/>
      <c r="CL329" s="82" t="n"/>
      <c r="CM329" s="82" t="n"/>
      <c r="CN329" s="82" t="n"/>
      <c r="CP329" s="82" t="n"/>
      <c r="CQ329" s="82" t="n"/>
      <c r="CR329" s="82" t="n"/>
      <c r="CS329" s="82" t="n"/>
      <c r="CU329" s="82" t="n"/>
      <c r="CV329" s="82" t="n"/>
      <c r="CW329" s="82" t="n"/>
      <c r="CX329" s="82" t="n"/>
    </row>
    <row r="330" customFormat="1" s="77">
      <c r="A330" s="76" t="n"/>
      <c r="B330" s="76" t="n"/>
      <c r="C330" s="77" t="inlineStr">
        <is>
          <t>TOTAL DEBT / TOTAL CAPITALIZATION</t>
        </is>
      </c>
      <c r="D330" s="80" t="str">
        <f>IFERROR(SUM(D207+D208+D209+D212+D230+D233)/(SUM(D207+D208+D209+D212+D230+D233)+D266),"")</f>
        <v/>
      </c>
      <c r="E330" s="80" t="str">
        <f>IFERROR(SUM(E207+E208+E209+E212+E230+E233)/(SUM(E207+E208+E209+E212+E230+E233)+E266),"")</f>
        <v/>
      </c>
      <c r="F330" s="80" t="str">
        <f>IFERROR(SUM(F207+F208+F209+F212+F230+F233)/(SUM(F207+F208+F209+F212+F230+F233)+F266),"")</f>
        <v/>
      </c>
      <c r="G330" s="80" t="str">
        <f>IFERROR(SUM(G207+G208+G209+G212+G230+G233)/(SUM(G207+G208+G209+G212+G230+G233)+G266),"")</f>
        <v/>
      </c>
      <c r="H330" s="258" t="str">
        <f>IFERROR(IF(((N(H207)+N(H208)+N(H209)+N(H212)+N(H230)+N(H233))+N(H266))&lt;&gt;0,(N(H207)+N(H208)+N(H209)+N(H212)+N(H230)+N(H233))/((N(H207)+N(H208)+N(H209)+N(H212)+N(H230)+N(H233))+H266),""),"")</f>
        <v/>
      </c>
      <c r="I330" s="258">
        <f>IFERROR(IF(((N(I207)+N(I208)+N(I209)+N(I212)+N(I230)+N(I233))+N(I266))&lt;&gt;0,(N(I207)+N(I208)+N(I209)+N(I212)+N(I230)+N(I233))/((N(I207)+N(I208)+N(I209)+N(I212)+N(I230)+N(I233))+I266),""),"")</f>
        <v>0.695358696864889</v>
      </c>
      <c r="J330" s="258">
        <f>IFERROR(IF(((N(J207)+N(J208)+N(J209)+N(J212)+N(J230)+N(J233))+N(J266))&lt;&gt;0,(N(J207)+N(J208)+N(J209)+N(J212)+N(J230)+N(J233))/((N(J207)+N(J208)+N(J209)+N(J212)+N(J230)+N(J233))+J266),""),"")</f>
        <v>0.712514992277359</v>
      </c>
      <c r="K330" s="258">
        <f>IFERROR(IF(((N(K207)+N(K208)+N(K209)+N(K212)+N(K230)+N(K233))+N(K266))&lt;&gt;0,(N(K207)+N(K208)+N(K209)+N(K212)+N(K230)+N(K233))/((N(K207)+N(K208)+N(K209)+N(K212)+N(K230)+N(K233))+K266),""),"")</f>
        <v>0.682337906108349</v>
      </c>
      <c r="L330" s="258">
        <f>IFERROR(IF(((N(L207)+N(L208)+N(L209)+N(L212)+N(L230)+N(L233))+N(L266))&lt;&gt;0,(N(L207)+N(L208)+N(L209)+N(L212)+N(L230)+N(L233))/((N(L207)+N(L208)+N(L209)+N(L212)+N(L230)+N(L233))+L266),""),"")</f>
        <v>0.648426429078899</v>
      </c>
      <c r="M330" s="258">
        <f>IFERROR(IF(((N(M207)+N(M208)+N(M209)+N(M212)+N(M230)+N(M233))+N(M266))&lt;&gt;0,(N(M207)+N(M208)+N(M209)+N(M212)+N(M230)+N(M233))/((N(M207)+N(M208)+N(M209)+N(M212)+N(M230)+N(M233))+M266),""),"")</f>
        <v>0.648426429078899</v>
      </c>
      <c r="N330" s="258">
        <f>IFERROR(IF(((N(N207)+N(N208)+N(N209)+N(N212)+N(N230)+N(N233))+N(N266))&lt;&gt;0,(N(N207)+N(N208)+N(N209)+N(N212)+N(N230)+N(N233))/((N(N207)+N(N208)+N(N209)+N(N212)+N(N230)+N(N233))+N266),""),"")</f>
        <v>0.635667749934542</v>
      </c>
      <c r="O330" s="258">
        <f>IFERROR(IF(((N(O207)+N(O208)+N(O209)+N(O212)+N(O230)+N(O233))+N(O266))&lt;&gt;0,(N(O207)+N(O208)+N(O209)+N(O212)+N(O230)+N(O233))/((N(O207)+N(O208)+N(O209)+N(O212)+N(O230)+N(O233))+O266),""),"")</f>
        <v>0.660063596749499</v>
      </c>
      <c r="P330" s="258">
        <f>IFERROR(IF(((N(P207)+N(P208)+N(P209)+N(P212)+N(P230)+N(P233))+N(P266))&lt;&gt;0,(N(P207)+N(P208)+N(P209)+N(P212)+N(P230)+N(P233))/((N(P207)+N(P208)+N(P209)+N(P212)+N(P230)+N(P233))+P266),""),"")</f>
        <v>0.609818724740254</v>
      </c>
      <c r="Q330" s="258">
        <f>IFERROR(IF(((N(Q207)+N(Q208)+N(Q209)+N(Q212)+N(Q230)+N(Q233))+N(Q266))&lt;&gt;0,(N(Q207)+N(Q208)+N(Q209)+N(Q212)+N(Q230)+N(Q233))/((N(Q207)+N(Q208)+N(Q209)+N(Q212)+N(Q230)+N(Q233))+Q266),""),"")</f>
        <v>0.601117938846524</v>
      </c>
      <c r="R330" s="258">
        <f>IFERROR(IF(((N(R207)+N(R208)+N(R209)+N(R212)+N(R230)+N(R233))+N(R266))&lt;&gt;0,(N(R207)+N(R208)+N(R209)+N(R212)+N(R230)+N(R233))/((N(R207)+N(R208)+N(R209)+N(R212)+N(R230)+N(R233))+R266),""),"")</f>
        <v>0.601117938846524</v>
      </c>
      <c r="S330" s="258">
        <f>IFERROR(IF(((N(S207)+N(S208)+N(S209)+N(S212)+N(S230)+N(S233))+N(S266))&lt;&gt;0,(N(S207)+N(S208)+N(S209)+N(S212)+N(S230)+N(S233))/((N(S207)+N(S208)+N(S209)+N(S212)+N(S230)+N(S233))+S266),""),"")</f>
        <v>0.625730238414765</v>
      </c>
      <c r="T330" s="258">
        <f>IFERROR(IF(((N(T207)+N(T208)+N(T209)+N(T212)+N(T230)+N(T233))+N(T266))&lt;&gt;0,(N(T207)+N(T208)+N(T209)+N(T212)+N(T230)+N(T233))/((N(T207)+N(T208)+N(T209)+N(T212)+N(T230)+N(T233))+T266),""),"")</f>
        <v>0.627975962067849</v>
      </c>
      <c r="U330" s="258">
        <f>IFERROR(IF(((N(U207)+N(U208)+N(U209)+N(U212)+N(U230)+N(U233))+N(U266))&lt;&gt;0,(N(U207)+N(U208)+N(U209)+N(U212)+N(U230)+N(U233))/((N(U207)+N(U208)+N(U209)+N(U212)+N(U230)+N(U233))+U266),""),"")</f>
        <v>0.640757790930782</v>
      </c>
      <c r="V330" s="258">
        <f>IFERROR(IF(((N(V207)+N(V208)+N(V209)+N(V212)+N(V230)+N(V233))+N(V266))&lt;&gt;0,(N(V207)+N(V208)+N(V209)+N(V212)+N(V230)+N(V233))/((N(V207)+N(V208)+N(V209)+N(V212)+N(V230)+N(V233))+V266),""),"")</f>
        <v>0.698974756851118</v>
      </c>
      <c r="W330" s="258">
        <f>IFERROR(IF(((N(W207)+N(W208)+N(W209)+N(W212)+N(W230)+N(W233))+N(W266))&lt;&gt;0,(N(W207)+N(W208)+N(W209)+N(W212)+N(W230)+N(W233))/((N(W207)+N(W208)+N(W209)+N(W212)+N(W230)+N(W233))+W266),""),"")</f>
        <v>0.698974756851118</v>
      </c>
      <c r="X330" s="258">
        <f>IFERROR(IF(((N(X207)+N(X208)+N(X209)+N(X212)+N(X230)+N(X233))+N(X266))&lt;&gt;0,(N(X207)+N(X208)+N(X209)+N(X212)+N(X230)+N(X233))/((N(X207)+N(X208)+N(X209)+N(X212)+N(X230)+N(X233))+X266),""),"")</f>
        <v>0.670217444667185</v>
      </c>
      <c r="Y330" s="258">
        <f>IFERROR(IF(((N(Y207)+N(Y208)+N(Y209)+N(Y212)+N(Y230)+N(Y233))+N(Y266))&lt;&gt;0,(N(Y207)+N(Y208)+N(Y209)+N(Y212)+N(Y230)+N(Y233))/((N(Y207)+N(Y208)+N(Y209)+N(Y212)+N(Y230)+N(Y233))+Y266),""),"")</f>
        <v>0.67937217094821</v>
      </c>
      <c r="Z330" s="258">
        <f>IFERROR(IF(((N(Z207)+N(Z208)+N(Z209)+N(Z212)+N(Z230)+N(Z233))+N(Z266))&lt;&gt;0,(N(Z207)+N(Z208)+N(Z209)+N(Z212)+N(Z230)+N(Z233))/((N(Z207)+N(Z208)+N(Z209)+N(Z212)+N(Z230)+N(Z233))+Z266),""),"")</f>
        <v>0.684846524238343</v>
      </c>
      <c r="AA330" s="258">
        <f>IFERROR(IF(((N(AA207)+N(AA208)+N(AA209)+N(AA212)+N(AA230)+N(AA233))+N(AA266))&lt;&gt;0,(N(AA207)+N(AA208)+N(AA209)+N(AA212)+N(AA230)+N(AA233))/((N(AA207)+N(AA208)+N(AA209)+N(AA212)+N(AA230)+N(AA233))+AA266),""),"")</f>
        <v>0.702152525889164</v>
      </c>
      <c r="AB330" s="258">
        <f>IFERROR(IF(((N(AB207)+N(AB208)+N(AB209)+N(AB212)+N(AB230)+N(AB233))+N(AB266))&lt;&gt;0,(N(AB207)+N(AB208)+N(AB209)+N(AB212)+N(AB230)+N(AB233))/((N(AB207)+N(AB208)+N(AB209)+N(AB212)+N(AB230)+N(AB233))+AB266),""),"")</f>
        <v>0.702152525889164</v>
      </c>
      <c r="AC330" s="258">
        <f>IFERROR(IF(((N(AC207)+N(AC208)+N(AC209)+N(AC212)+N(AC230)+N(AC233))+N(AC266))&lt;&gt;0,(N(AC207)+N(AC208)+N(AC209)+N(AC212)+N(AC230)+N(AC233))/((N(AC207)+N(AC208)+N(AC209)+N(AC212)+N(AC230)+N(AC233))+AC266),""),"")</f>
        <v>0.708498658087255</v>
      </c>
      <c r="AD330" s="258">
        <f>IFERROR(IF(((N(AD207)+N(AD208)+N(AD209)+N(AD212)+N(AD230)+N(AD233))+N(AD266))&lt;&gt;0,(N(AD207)+N(AD208)+N(AD209)+N(AD212)+N(AD230)+N(AD233))/((N(AD207)+N(AD208)+N(AD209)+N(AD212)+N(AD230)+N(AD233))+AD266),""),"")</f>
        <v>0.685009673338151</v>
      </c>
      <c r="AE330" s="258">
        <f>IFERROR(IF(((N(AE207)+N(AE208)+N(AE209)+N(AE212)+N(AE230)+N(AE233))+N(AE266))&lt;&gt;0,(N(AE207)+N(AE208)+N(AE209)+N(AE212)+N(AE230)+N(AE233))/((N(AE207)+N(AE208)+N(AE209)+N(AE212)+N(AE230)+N(AE233))+AE266),""),"")</f>
        <v>0.640570607046087</v>
      </c>
      <c r="AF330" s="258">
        <f>IFERROR(IF(((N(AF207)+N(AF208)+N(AF209)+N(AF212)+N(AF230)+N(AF233))+N(AF266))&lt;&gt;0,(N(AF207)+N(AF208)+N(AF209)+N(AF212)+N(AF230)+N(AF233))/((N(AF207)+N(AF208)+N(AF209)+N(AF212)+N(AF230)+N(AF233))+AF266),""),"")</f>
        <v>0.615842703141301</v>
      </c>
      <c r="AG330" s="258">
        <f>IFERROR(IF(((N(AG207)+N(AG208)+N(AG209)+N(AG212)+N(AG230)+N(AG233))+N(AG266))&lt;&gt;0,(N(AG207)+N(AG208)+N(AG209)+N(AG212)+N(AG230)+N(AG233))/((N(AG207)+N(AG208)+N(AG209)+N(AG212)+N(AG230)+N(AG233))+AG266),""),"")</f>
        <v>0.615842703141301</v>
      </c>
      <c r="AH330" s="258">
        <f>IFERROR(IF(((N(AH207)+N(AH208)+N(AH209)+N(AH212)+N(AH230)+N(AH233))+N(AH266))&lt;&gt;0,(N(AH207)+N(AH208)+N(AH209)+N(AH212)+N(AH230)+N(AH233))/((N(AH207)+N(AH208)+N(AH209)+N(AH212)+N(AH230)+N(AH233))+AH266),""),"")</f>
        <v>0.581765013615206</v>
      </c>
      <c r="AI330" s="258">
        <f>IFERROR(IF(((N(AI207)+N(AI208)+N(AI209)+N(AI212)+N(AI230)+N(AI233))+N(AI266))&lt;&gt;0,(N(AI207)+N(AI208)+N(AI209)+N(AI212)+N(AI230)+N(AI233))/((N(AI207)+N(AI208)+N(AI209)+N(AI212)+N(AI230)+N(AI233))+AI266),""),"")</f>
        <v>0.618807194698643</v>
      </c>
      <c r="AJ330" s="258">
        <f>IFERROR(IF(((N(AJ207)+N(AJ208)+N(AJ209)+N(AJ212)+N(AJ230)+N(AJ233))+N(AJ266))&lt;&gt;0,(N(AJ207)+N(AJ208)+N(AJ209)+N(AJ212)+N(AJ230)+N(AJ233))/((N(AJ207)+N(AJ208)+N(AJ209)+N(AJ212)+N(AJ230)+N(AJ233))+AJ266),""),"")</f>
        <v>0.564130336204579</v>
      </c>
      <c r="AK330" s="258">
        <f>IFERROR(IF(((N(AK207)+N(AK208)+N(AK209)+N(AK212)+N(AK230)+N(AK233))+N(AK266))&lt;&gt;0,(N(AK207)+N(AK208)+N(AK209)+N(AK212)+N(AK230)+N(AK233))/((N(AK207)+N(AK208)+N(AK209)+N(AK212)+N(AK230)+N(AK233))+AK266),""),"")</f>
        <v>0.514319269681973</v>
      </c>
      <c r="AL330" s="258">
        <f>IFERROR(IF(((N(AL207)+N(AL208)+N(AL209)+N(AL212)+N(AL230)+N(AL233))+N(AL266))&lt;&gt;0,(N(AL207)+N(AL208)+N(AL209)+N(AL212)+N(AL230)+N(AL233))/((N(AL207)+N(AL208)+N(AL209)+N(AL212)+N(AL230)+N(AL233))+AL266),""),"")</f>
        <v>0.514319269681973</v>
      </c>
      <c r="AM330" s="258">
        <f>IFERROR(IF(((N(AM207)+N(AM208)+N(AM209)+N(AM212)+N(AM230)+N(AM233))+N(AM266))&lt;&gt;0,(N(AM207)+N(AM208)+N(AM209)+N(AM212)+N(AM230)+N(AM233))/((N(AM207)+N(AM208)+N(AM209)+N(AM212)+N(AM230)+N(AM233))+AM266),""),"")</f>
        <v>0.471585353237821</v>
      </c>
      <c r="AN330" s="258">
        <f>IFERROR(IF(((N(AN207)+N(AN208)+N(AN209)+N(AN212)+N(AN230)+N(AN233))+N(AN266))&lt;&gt;0,(N(AN207)+N(AN208)+N(AN209)+N(AN212)+N(AN230)+N(AN233))/((N(AN207)+N(AN208)+N(AN209)+N(AN212)+N(AN230)+N(AN233))+AN266),""),"")</f>
        <v>0.430116731747495</v>
      </c>
      <c r="AO330" s="258">
        <f>IFERROR(IF(((N(AO207)+N(AO208)+N(AO209)+N(AO212)+N(AO230)+N(AO233))+N(AO266))&lt;&gt;0,(N(AO207)+N(AO208)+N(AO209)+N(AO212)+N(AO230)+N(AO233))/((N(AO207)+N(AO208)+N(AO209)+N(AO212)+N(AO230)+N(AO233))+AO266),""),"")</f>
        <v>0.391341678417548</v>
      </c>
      <c r="AP330" s="258">
        <f>IFERROR(IF(((N(AP207)+N(AP208)+N(AP209)+N(AP212)+N(AP230)+N(AP233))+N(AP266))&lt;&gt;0,(N(AP207)+N(AP208)+N(AP209)+N(AP212)+N(AP230)+N(AP233))/((N(AP207)+N(AP208)+N(AP209)+N(AP212)+N(AP230)+N(AP233))+AP266),""),"")</f>
        <v>0.356149713856034</v>
      </c>
      <c r="AQ330" s="258">
        <f>IFERROR(IF(((N(AQ207)+N(AQ208)+N(AQ209)+N(AQ212)+N(AQ230)+N(AQ233))+N(AQ266))&lt;&gt;0,(N(AQ207)+N(AQ208)+N(AQ209)+N(AQ212)+N(AQ230)+N(AQ233))/((N(AQ207)+N(AQ208)+N(AQ209)+N(AQ212)+N(AQ230)+N(AQ233))+AQ266),""),"")</f>
        <v>0.356149713856034</v>
      </c>
      <c r="AR330" s="258">
        <f>IFERROR(IF(((N(AR207)+N(AR208)+N(AR209)+N(AR212)+N(AR230)+N(AR233))+N(AR266))&lt;&gt;0,(N(AR207)+N(AR208)+N(AR209)+N(AR212)+N(AR230)+N(AR233))/((N(AR207)+N(AR208)+N(AR209)+N(AR212)+N(AR230)+N(AR233))+AR266),""),"")</f>
        <v>0.32615159817735</v>
      </c>
      <c r="AS330" s="258">
        <f>IFERROR(IF(((N(AS207)+N(AS208)+N(AS209)+N(AS212)+N(AS230)+N(AS233))+N(AS266))&lt;&gt;0,(N(AS207)+N(AS208)+N(AS209)+N(AS212)+N(AS230)+N(AS233))/((N(AS207)+N(AS208)+N(AS209)+N(AS212)+N(AS230)+N(AS233))+AS266),""),"")</f>
        <v>0.297112954672431</v>
      </c>
      <c r="AT330" s="258">
        <f>IFERROR(IF(((N(AT207)+N(AT208)+N(AT209)+N(AT212)+N(AT230)+N(AT233))+N(AT266))&lt;&gt;0,(N(AT207)+N(AT208)+N(AT209)+N(AT212)+N(AT230)+N(AT233))/((N(AT207)+N(AT208)+N(AT209)+N(AT212)+N(AT230)+N(AT233))+AT266),""),"")</f>
        <v>0.270023776426772</v>
      </c>
      <c r="AU330" s="258">
        <f>IFERROR(IF(((N(AU207)+N(AU208)+N(AU209)+N(AU212)+N(AU230)+N(AU233))+N(AU266))&lt;&gt;0,(N(AU207)+N(AU208)+N(AU209)+N(AU212)+N(AU230)+N(AU233))/((N(AU207)+N(AU208)+N(AU209)+N(AU212)+N(AU230)+N(AU233))+AU266),""),"")</f>
        <v>0.245490591107527</v>
      </c>
      <c r="AV330" s="258">
        <f>IFERROR(IF(((N(AV207)+N(AV208)+N(AV209)+N(AV212)+N(AV230)+N(AV233))+N(AV266))&lt;&gt;0,(N(AV207)+N(AV208)+N(AV209)+N(AV212)+N(AV230)+N(AV233))/((N(AV207)+N(AV208)+N(AV209)+N(AV212)+N(AV230)+N(AV233))+AV266),""),"")</f>
        <v>0.245490591107527</v>
      </c>
      <c r="AW330" s="258">
        <f>IFERROR(IF(((N(AW207)+N(AW208)+N(AW209)+N(AW212)+N(AW230)+N(AW233))+N(AW266))&lt;&gt;0,(N(AW207)+N(AW208)+N(AW209)+N(AW212)+N(AW230)+N(AW233))/((N(AW207)+N(AW208)+N(AW209)+N(AW212)+N(AW230)+N(AW233))+AW266),""),"")</f>
        <v>0.224682850986922</v>
      </c>
      <c r="AX330" s="258">
        <f>IFERROR(IF(((N(AX207)+N(AX208)+N(AX209)+N(AX212)+N(AX230)+N(AX233))+N(AX266))&lt;&gt;0,(N(AX207)+N(AX208)+N(AX209)+N(AX212)+N(AX230)+N(AX233))/((N(AX207)+N(AX208)+N(AX209)+N(AX212)+N(AX230)+N(AX233))+AX266),""),"")</f>
        <v>0.20456360109403</v>
      </c>
      <c r="AY330" s="258">
        <f>IFERROR(IF(((N(AY207)+N(AY208)+N(AY209)+N(AY212)+N(AY230)+N(AY233))+N(AY266))&lt;&gt;0,(N(AY207)+N(AY208)+N(AY209)+N(AY212)+N(AY230)+N(AY233))/((N(AY207)+N(AY208)+N(AY209)+N(AY212)+N(AY230)+N(AY233))+AY266),""),"")</f>
        <v>0.185815361955189</v>
      </c>
      <c r="AZ330" s="258">
        <f>IFERROR(IF(((N(AZ207)+N(AZ208)+N(AZ209)+N(AZ212)+N(AZ230)+N(AZ233))+N(AZ266))&lt;&gt;0,(N(AZ207)+N(AZ208)+N(AZ209)+N(AZ212)+N(AZ230)+N(AZ233))/((N(AZ207)+N(AZ208)+N(AZ209)+N(AZ212)+N(AZ230)+N(AZ233))+AZ266),""),"")</f>
        <v>0.168853020436297</v>
      </c>
      <c r="BA330" s="258">
        <f>IFERROR(IF(((N(BA207)+N(BA208)+N(BA209)+N(BA212)+N(BA230)+N(BA233))+N(BA266))&lt;&gt;0,(N(BA207)+N(BA208)+N(BA209)+N(BA212)+N(BA230)+N(BA233))/((N(BA207)+N(BA208)+N(BA209)+N(BA212)+N(BA230)+N(BA233))+BA266),""),"")</f>
        <v>0.168853020436297</v>
      </c>
      <c r="BB330" s="258">
        <f>IFERROR(IF(((N(BB207)+N(BB208)+N(BB209)+N(BB212)+N(BB230)+N(BB233))+N(BB266))&lt;&gt;0,(N(BB207)+N(BB208)+N(BB209)+N(BB212)+N(BB230)+N(BB233))/((N(BB207)+N(BB208)+N(BB209)+N(BB212)+N(BB230)+N(BB233))+BB266),""),"")</f>
        <v>0.154524072602006</v>
      </c>
      <c r="BC330" s="258">
        <f>IFERROR(IF(((N(BC207)+N(BC208)+N(BC209)+N(BC212)+N(BC230)+N(BC233))+N(BC266))&lt;&gt;0,(N(BC207)+N(BC208)+N(BC209)+N(BC212)+N(BC230)+N(BC233))/((N(BC207)+N(BC208)+N(BC209)+N(BC212)+N(BC230)+N(BC233))+BC266),""),"")</f>
        <v>0.140672240072173</v>
      </c>
      <c r="BD330" s="258">
        <f>IFERROR(IF(((N(BD207)+N(BD208)+N(BD209)+N(BD212)+N(BD230)+N(BD233))+N(BD266))&lt;&gt;0,(N(BD207)+N(BD208)+N(BD209)+N(BD212)+N(BD230)+N(BD233))/((N(BD207)+N(BD208)+N(BD209)+N(BD212)+N(BD230)+N(BD233))+BD266),""),"")</f>
        <v>0.127766980948307</v>
      </c>
      <c r="BE330" s="258">
        <f>IFERROR(IF(((N(BE207)+N(BE208)+N(BE209)+N(BE212)+N(BE230)+N(BE233))+N(BE266))&lt;&gt;0,(N(BE207)+N(BE208)+N(BE209)+N(BE212)+N(BE230)+N(BE233))/((N(BE207)+N(BE208)+N(BE209)+N(BE212)+N(BE230)+N(BE233))+BE266),""),"")</f>
        <v>0.116093238745207</v>
      </c>
      <c r="BF330" s="258">
        <f>IFERROR(IF(((N(BF207)+N(BF208)+N(BF209)+N(BF212)+N(BF230)+N(BF233))+N(BF266))&lt;&gt;0,(N(BF207)+N(BF208)+N(BF209)+N(BF212)+N(BF230)+N(BF233))/((N(BF207)+N(BF208)+N(BF209)+N(BF212)+N(BF230)+N(BF233))+BF266),""),"")</f>
        <v>0.116093238745207</v>
      </c>
      <c r="BG330" s="80" t="n"/>
      <c r="BH330" s="80" t="n"/>
      <c r="BI330" s="80" t="n"/>
      <c r="BJ330" s="80" t="n"/>
      <c r="BL330" s="80" t="n"/>
      <c r="BM330" s="80" t="n"/>
      <c r="BN330" s="80" t="n"/>
      <c r="BO330" s="80" t="n"/>
      <c r="BQ330" s="80" t="n"/>
      <c r="BR330" s="80" t="n"/>
      <c r="BS330" s="80" t="n"/>
      <c r="BT330" s="80" t="n"/>
      <c r="BV330" s="80" t="n"/>
      <c r="BW330" s="80" t="n"/>
      <c r="BX330" s="80" t="n"/>
      <c r="BY330" s="80" t="n"/>
      <c r="CA330" s="80" t="n"/>
      <c r="CB330" s="80" t="n"/>
      <c r="CC330" s="80" t="n"/>
      <c r="CD330" s="80" t="n"/>
      <c r="CF330" s="80" t="n"/>
      <c r="CG330" s="80" t="n"/>
      <c r="CH330" s="80" t="n"/>
      <c r="CI330" s="80" t="n"/>
      <c r="CK330" s="80" t="n"/>
      <c r="CL330" s="80" t="n"/>
      <c r="CM330" s="80" t="n"/>
      <c r="CN330" s="80" t="n"/>
      <c r="CP330" s="80" t="n"/>
      <c r="CQ330" s="80" t="n"/>
      <c r="CR330" s="80" t="n"/>
      <c r="CS330" s="80" t="n"/>
      <c r="CU330" s="80" t="n"/>
      <c r="CV330" s="80" t="n"/>
      <c r="CW330" s="80" t="n"/>
      <c r="CX330" s="80" t="n"/>
    </row>
    <row r="331" customFormat="1" s="77">
      <c r="A331" s="76" t="n"/>
      <c r="B331" s="76" t="n"/>
      <c r="C331" s="77" t="inlineStr">
        <is>
          <t>NET DEBT / EBITDA (LTM)</t>
        </is>
      </c>
      <c r="D331" s="82" t="str">
        <f>IFERROR(SUM((D207+D208+D209+D212+D230)-D139)/(D64*4),"")</f>
        <v/>
      </c>
      <c r="E331" s="82" t="str">
        <f>IFERROR(SUM((E207+E208+E209+E212+E230)-E139)/(E64*4),"")</f>
        <v/>
      </c>
      <c r="F331" s="82" t="str">
        <f>IFERROR(SUM((F207+F208+F209+F212+F230)-F139)/(F64*4),"")</f>
        <v/>
      </c>
      <c r="G331" s="82" t="str">
        <f>IFERROR(SUM((G207+G208+G209+G212+G230)-G139)/(G64*4),"")</f>
        <v/>
      </c>
      <c r="H331" s="262" t="str">
        <f>IFERROR(IF(AND(COUNT(H64)=1,(H64)&lt;&gt;0),((N(H207)+N(H208)+N(H209)+N(H212)+N(H230)+N(H233))-N(H139))/(H64),""),"")</f>
        <v/>
      </c>
      <c r="I331" s="262" t="str">
        <f>""</f>
        <v/>
      </c>
      <c r="J331" s="262" t="str">
        <f>""</f>
        <v/>
      </c>
      <c r="K331" s="262" t="str">
        <f>""</f>
        <v/>
      </c>
      <c r="L331" s="262">
        <f>IFERROR(IF(AND(COUNT(I64,J64,K64,L64)=4,(I64+J64+K64+L64)&lt;&gt;0),((N(L207)+N(L208)+N(L209)+N(L212)+N(L230)+N(L233))-N(L139))/(I64+J64+K64+L64),""),"")</f>
        <v>8.38466011889377</v>
      </c>
      <c r="M331" s="262">
        <f>IFERROR(IF(AND(COUNT(I64,J64,K64,L64)=4,(I64+J64+K64+L64)&lt;&gt;0),((N(M207)+N(M208)+N(M209)+N(M212)+N(M230)+N(M233))-N(M139))/(I64+J64+K64+L64),""),"")</f>
        <v>8.38466011889377</v>
      </c>
      <c r="N331" s="262">
        <f>IFERROR(IF(AND(COUNT(J64,K64,L64,N64)=4,(J64+K64+L64+N64)&lt;&gt;0),((N(N207)+N(N208)+N(N209)+N(N212)+N(N230)+N(N233))-N(N139))/(J64+K64+L64+N64),""),"")</f>
        <v>8.53674219228414</v>
      </c>
      <c r="O331" s="262">
        <f>IFERROR(IF(AND(COUNT(K64,L64,N64,O64)=4,(K64+L64+N64+O64)&lt;&gt;0),((N(O207)+N(O208)+N(O209)+N(O212)+N(O230)+N(O233))-N(O139))/(K64+L64+N64+O64),""),"")</f>
        <v>8.72944313530944</v>
      </c>
      <c r="P331" s="262">
        <f>IFERROR(IF(AND(COUNT(L64,N64,O64,P64)=4,(L64+N64+O64+P64)&lt;&gt;0),((N(P207)+N(P208)+N(P209)+N(P212)+N(P230)+N(P233))-N(P139))/(L64+N64+O64+P64),""),"")</f>
        <v>8.25150640220939</v>
      </c>
      <c r="Q331" s="262">
        <f>IFERROR(IF(AND(COUNT(N64,O64,P64,Q64)=4,(N64+O64+P64+Q64)&lt;&gt;0),((N(Q207)+N(Q208)+N(Q209)+N(Q212)+N(Q230)+N(Q233))-N(Q139))/(N64+O64+P64+Q64),""),"")</f>
        <v>9.21300492610837</v>
      </c>
      <c r="R331" s="262">
        <f>IFERROR(IF(AND(COUNT(N64,O64,P64,Q64)=4,(N64+O64+P64+Q64)&lt;&gt;0),((N(R207)+N(R208)+N(R209)+N(R212)+N(R230)+N(R233))-N(R139))/(N64+O64+P64+Q64),""),"")</f>
        <v>9.21300492610837</v>
      </c>
      <c r="S331" s="262">
        <f>IFERROR(IF(AND(COUNT(O64,P64,Q64,S64)=4,(O64+P64+Q64+S64)&lt;&gt;0),((N(S207)+N(S208)+N(S209)+N(S212)+N(S230)+N(S233))-N(S139))/(O64+P64+Q64+S64),""),"")</f>
        <v>10.4991373956249</v>
      </c>
      <c r="T331" s="262">
        <f>IFERROR(IF(AND(COUNT(P64,Q64,S64,T64)=4,(P64+Q64+S64+T64)&lt;&gt;0),((N(T207)+N(T208)+N(T209)+N(T212)+N(T230)+N(T233))-N(T139))/(P64+Q64+S64+T64),""),"")</f>
        <v>10.9041254688033</v>
      </c>
      <c r="U331" s="262">
        <f>IFERROR(IF(AND(COUNT(Q64,S64,T64,U64)=4,(Q64+S64+T64+U64)&lt;&gt;0),((N(U207)+N(U208)+N(U209)+N(U212)+N(U230)+N(U233))-N(U139))/(Q64+S64+T64+U64),""),"")</f>
        <v>11.6693516439984</v>
      </c>
      <c r="V331" s="262">
        <f>IFERROR(IF(AND(COUNT(S64,T64,U64,V64)=4,(S64+T64+U64+V64)&lt;&gt;0),((N(V207)+N(V208)+N(V209)+N(V212)+N(V230)+N(V233))-N(V139))/(S64+T64+U64+V64),""),"")</f>
        <v>14.5993583447915</v>
      </c>
      <c r="W331" s="262">
        <f>IFERROR(IF(AND(COUNT(S64,T64,U64,V64)=4,(S64+T64+U64+V64)&lt;&gt;0),((N(W207)+N(W208)+N(W209)+N(W212)+N(W230)+N(W233))-N(W139))/(S64+T64+U64+V64),""),"")</f>
        <v>14.5993583447915</v>
      </c>
      <c r="X331" s="262">
        <f>IFERROR(IF(AND(COUNT(T64,U64,V64,X64)=4,(T64+U64+V64+X64)&lt;&gt;0),((N(X207)+N(X208)+N(X209)+N(X212)+N(X230)+N(X233))-N(X139))/(T64+U64+V64+X64),""),"")</f>
        <v>15.0901251916198</v>
      </c>
      <c r="Y331" s="262">
        <f>IFERROR(IF(AND(COUNT(U64,V64,X64,Y64)=4,(U64+V64+X64+Y64)&lt;&gt;0),((N(Y207)+N(Y208)+N(Y209)+N(Y212)+N(Y230)+N(Y233))-N(Y139))/(U64+V64+X64+Y64),""),"")</f>
        <v>15.8195451446985</v>
      </c>
      <c r="Z331" s="262">
        <f>IFERROR(IF(AND(COUNT(V64,X64,Y64,Z64)=4,(V64+X64+Y64+Z64)&lt;&gt;0),((N(Z207)+N(Z208)+N(Z209)+N(Z212)+N(Z230)+N(Z233))-N(Z139))/(V64+X64+Y64+Z64),""),"")</f>
        <v>16.5326744534292</v>
      </c>
      <c r="AA331" s="262">
        <f>IFERROR(IF(AND(COUNT(X64,Y64,Z64,AA64)=4,(X64+Y64+Z64+AA64)&lt;&gt;0),((N(AA207)+N(AA208)+N(AA209)+N(AA212)+N(AA230)+N(AA233))-N(AA139))/(X64+Y64+Z64+AA64),""),"")</f>
        <v>17.1068719574324</v>
      </c>
      <c r="AB331" s="262">
        <f>IFERROR(IF(AND(COUNT(X64,Y64,Z64,AA64)=4,(X64+Y64+Z64+AA64)&lt;&gt;0),((N(AB207)+N(AB208)+N(AB209)+N(AB212)+N(AB230)+N(AB233))-N(AB139))/(X64+Y64+Z64+AA64),""),"")</f>
        <v>17.1068719574324</v>
      </c>
      <c r="AC331" s="262">
        <f>IFERROR(IF(AND(COUNT(Y64,Z64,AA64,AC64)=4,(Y64+Z64+AA64+AC64)&lt;&gt;0),((N(AC207)+N(AC208)+N(AC209)+N(AC212)+N(AC230)+N(AC233))-N(AC139))/(Y64+Z64+AA64+AC64),""),"")</f>
        <v>19.2996500437446</v>
      </c>
      <c r="AD331" s="262">
        <f>IFERROR(IF(AND(COUNT(Z64,AA64,AC64,AD64)=4,(Z64+AA64+AC64+AD64)&lt;&gt;0),((N(AD207)+N(AD208)+N(AD209)+N(AD212)+N(AD230)+N(AD233))-N(AD139))/(Z64+AA64+AC64+AD64),""),"")</f>
        <v>19.2074594537482</v>
      </c>
      <c r="AE331" s="262">
        <f>IFERROR(IF(AND(COUNT(AA64,AC64,AD64,AE64)=4,(AA64+AC64+AD64+AE64)&lt;&gt;0),((N(AE207)+N(AE208)+N(AE209)+N(AE212)+N(AE230)+N(AE233))-N(AE139))/(AA64+AC64+AD64+AE64),""),"")</f>
        <v>17.1895469648226</v>
      </c>
      <c r="AF331" s="262">
        <f>IFERROR(IF(AND(COUNT(AB64,AD64,AE64,AF64)=4,(AB64+AD64+AE64+AF64)&lt;&gt;0),((N(AF207)+N(AF208)+N(AF209)+N(AF212)+N(AF230)+N(AF233))-N(AF139))/(AB64+AD64+AE64+AF64),""),"")</f>
        <v>10.6746849248667</v>
      </c>
      <c r="AG331" s="262">
        <f>IFERROR(IF(AND(COUNT(AC64,AD64,AE64,AF64)=4,(AC64+AD64+AE64+AF64)&lt;&gt;0),((N(AG207)+N(AG208)+N(AG209)+N(AG212)+N(AG230)+N(AG233))-N(AG139))/(AC64+AD64+AE64+AF64),""),"")</f>
        <v>17.6439659489234</v>
      </c>
      <c r="AH331" s="262">
        <f>IFERROR(IF(AND(COUNT(AD64,AF64,AG64,AH64)=4,(AD64+AF64+AG64+AH64)&lt;&gt;0),((N(AH207)+N(AH208)+N(AH209)+N(AH212)+N(AH230)+N(AH233))-N(AH139))/(AD64+AF64+AG64+AH64),""),"")</f>
        <v>10.6683098986051</v>
      </c>
      <c r="AI331" s="262">
        <f>IFERROR(IF(AND(COUNT(AE64,AG64,AH64,AI64)=4,(AE64+AG64+AH64+AI64)&lt;&gt;0),((N(AI207)+N(AI208)+N(AI209)+N(AI212)+N(AI230)+N(AI233))-N(AI139))/(AE64+AG64+AH64+AI64),""),"")</f>
        <v>13.0934472934473</v>
      </c>
      <c r="AJ331" s="262">
        <f>IFERROR(IF(AND(COUNT(AF64,AH64,AI64,AJ64)=4,(AF64+AH64+AI64+AJ64)&lt;&gt;0),((N(AJ207)+N(AJ208)+N(AJ209)+N(AJ212)+N(AJ230)+N(AJ233))-N(AJ139))/(AF64+AH64+AI64+AJ64),""),"")</f>
        <v>18.4614116385297</v>
      </c>
      <c r="AK331" s="262">
        <f>IFERROR(IF(AND(COUNT(AH64,AI64,AJ64,AK64)=4,(AH64+AI64+AJ64+AK64)&lt;&gt;0),((N(AK207)+N(AK208)+N(AK209)+N(AK212)+N(AK230)+N(AK233))-N(AK139))/(AH64+AI64+AJ64+AK64),""),"")</f>
        <v>15.2383953173856</v>
      </c>
      <c r="AL331" s="262">
        <f>IFERROR(IF(AND(COUNT(AH64,AI64,AJ64,AK64)=4,(AH64+AI64+AJ64+AK64)&lt;&gt;0),((N(AL207)+N(AL208)+N(AL209)+N(AL212)+N(AL230)+N(AL233))-N(AL139))/(AH64+AI64+AJ64+AK64),""),"")</f>
        <v>15.2383953173856</v>
      </c>
      <c r="AM331" s="262">
        <f>IFERROR(IF(AND(COUNT(AI64,AJ64,AK64,AM64)=4,(AI64+AJ64+AK64+AM64)&lt;&gt;0),((N(AM207)+N(AM208)+N(AM209)+N(AM212)+N(AM230)+N(AM233))-N(AM139))/(AI64+AJ64+AK64+AM64),""),"")</f>
        <v>11.3633767088105</v>
      </c>
      <c r="AN331" s="262">
        <f>IFERROR(IF(AND(COUNT(AJ64,AK64,AM64,AN64)=4,(AJ64+AK64+AM64+AN64)&lt;&gt;0),((N(AN207)+N(AN208)+N(AN209)+N(AN212)+N(AN230)+N(AN233))-N(AN139))/(AJ64+AK64+AM64+AN64),""),"")</f>
        <v>8.65296972703001</v>
      </c>
      <c r="AO331" s="262">
        <f>IFERROR(IF(AND(COUNT(AK64,AM64,AN64,AO64)=4,(AK64+AM64+AN64+AO64)&lt;&gt;0),((N(AO207)+N(AO208)+N(AO209)+N(AO212)+N(AO230)+N(AO233))-N(AO139))/(AK64+AM64+AN64+AO64),""),"")</f>
        <v>5.95760908421073</v>
      </c>
      <c r="AP331" s="262">
        <f>IFERROR(IF(AND(COUNT(AM64,AN64,AO64,AP64)=4,(AM64+AN64+AO64+AP64)&lt;&gt;0),((N(AP207)+N(AP208)+N(AP209)+N(AP212)+N(AP230)+N(AP233))-N(AP139))/(AM64+AN64+AO64+AP64),""),"")</f>
        <v>2.96364867383325</v>
      </c>
      <c r="AQ331" s="262">
        <f>IFERROR(IF(AND(COUNT(AM64,AN64,AO64,AP64)=4,(AM64+AN64+AO64+AP64)&lt;&gt;0),((N(AQ207)+N(AQ208)+N(AQ209)+N(AQ212)+N(AQ230)+N(AQ233))-N(AQ139))/(AM64+AN64+AO64+AP64),""),"")</f>
        <v>2.96364867383325</v>
      </c>
      <c r="AR331" s="262">
        <f>IFERROR(IF(AND(COUNT(AN64,AO64,AP64,AR64)=4,(AN64+AO64+AP64+AR64)&lt;&gt;0),((N(AR207)+N(AR208)+N(AR209)+N(AR212)+N(AR230)+N(AR233))-N(AR139))/(AN64+AO64+AP64+AR64),""),"")</f>
        <v>-0.827860108263943</v>
      </c>
      <c r="AS331" s="262">
        <f>IFERROR(IF(AND(COUNT(AO64,AP64,AR64,AS64)=4,(AO64+AP64+AR64+AS64)&lt;&gt;0),((N(AS207)+N(AS208)+N(AS209)+N(AS212)+N(AS230)+N(AS233))-N(AS139))/(AO64+AP64+AR64+AS64),""),"")</f>
        <v>-3.55492704216107</v>
      </c>
      <c r="AT331" s="262">
        <f>IFERROR(IF(AND(COUNT(AP64,AR64,AS64,AT64)=4,(AP64+AR64+AS64+AT64)&lt;&gt;0),((N(AT207)+N(AT208)+N(AT209)+N(AT212)+N(AT230)+N(AT233))-N(AT139))/(AP64+AR64+AS64+AT64),""),"")</f>
        <v>-7.36726236691618</v>
      </c>
      <c r="AU331" s="262">
        <f>IFERROR(IF(AND(COUNT(AR64,AS64,AT64,AU64)=4,(AR64+AS64+AT64+AU64)&lt;&gt;0),((N(AU207)+N(AU208)+N(AU209)+N(AU212)+N(AU230)+N(AU233))-N(AU139))/(AR64+AS64+AT64+AU64),""),"")</f>
        <v>-12.1267708885835</v>
      </c>
      <c r="AV331" s="262">
        <f>IFERROR(IF(AND(COUNT(AR64,AS64,AT64,AU64)=4,(AR64+AS64+AT64+AU64)&lt;&gt;0),((N(AV207)+N(AV208)+N(AV209)+N(AV212)+N(AV230)+N(AV233))-N(AV139))/(AR64+AS64+AT64+AU64),""),"")</f>
        <v>-12.1267708885835</v>
      </c>
      <c r="AW331" s="262">
        <f>IFERROR(IF(AND(COUNT(AS64,AT64,AU64,AW64)=4,(AS64+AT64+AU64+AW64)&lt;&gt;0),((N(AW207)+N(AW208)+N(AW209)+N(AW212)+N(AW230)+N(AW233))-N(AW139))/(AS64+AT64+AU64+AW64),""),"")</f>
        <v>-18.4951587839205</v>
      </c>
      <c r="AX331" s="262">
        <f>IFERROR(IF(AND(COUNT(AT64,AU64,AW64,AX64)=4,(AT64+AU64+AW64+AX64)&lt;&gt;0),((N(AX207)+N(AX208)+N(AX209)+N(AX212)+N(AX230)+N(AX233))-N(AX139))/(AT64+AU64+AW64+AX64),""),"")</f>
        <v>-25.0340858615931</v>
      </c>
      <c r="AY331" s="262">
        <f>IFERROR(IF(AND(COUNT(AU64,AW64,AX64,AY64)=4,(AU64+AW64+AX64+AY64)&lt;&gt;0),((N(AY207)+N(AY208)+N(AY209)+N(AY212)+N(AY230)+N(AY233))-N(AY139))/(AU64+AW64+AX64+AY64),""),"")</f>
        <v>-33.8499249154588</v>
      </c>
      <c r="AZ331" s="262">
        <f>IFERROR(IF(AND(COUNT(AW64,AX64,AY64,AZ64)=4,(AW64+AX64+AY64+AZ64)&lt;&gt;0),((N(AZ207)+N(AZ208)+N(AZ209)+N(AZ212)+N(AZ230)+N(AZ233))-N(AZ139))/(AW64+AX64+AY64+AZ64),""),"")</f>
        <v>-45.4323519487332</v>
      </c>
      <c r="BA331" s="262">
        <f>IFERROR(IF(AND(COUNT(AW64,AX64,AY64,AZ64)=4,(AW64+AX64+AY64+AZ64)&lt;&gt;0),((N(BA207)+N(BA208)+N(BA209)+N(BA212)+N(BA230)+N(BA233))-N(BA139))/(AW64+AX64+AY64+AZ64),""),"")</f>
        <v>-45.4323519487332</v>
      </c>
      <c r="BB331" s="262">
        <f>IFERROR(IF(AND(COUNT(AX64,AY64,AZ64,BB64)=4,(AX64+AY64+AZ64+BB64)&lt;&gt;0),((N(BB207)+N(BB208)+N(BB209)+N(BB212)+N(BB230)+N(BB233))-N(BB139))/(AX64+AY64+AZ64+BB64),""),"")</f>
        <v>-61.2435475818819</v>
      </c>
      <c r="BC331" s="262">
        <f>IFERROR(IF(AND(COUNT(AY64,AZ64,BB64,BC64)=4,(AY64+AZ64+BB64+BC64)&lt;&gt;0),((N(BC207)+N(BC208)+N(BC209)+N(BC212)+N(BC230)+N(BC233))-N(BC139))/(AY64+AZ64+BB64+BC64),""),"")</f>
        <v>-80.1361298051715</v>
      </c>
      <c r="BD331" s="262">
        <f>IFERROR(IF(AND(COUNT(AZ64,BB64,BC64,BD64)=4,(AZ64+BB64+BC64+BD64)&lt;&gt;0),((N(BD207)+N(BD208)+N(BD209)+N(BD212)+N(BD230)+N(BD233))-N(BD139))/(AZ64+BB64+BC64+BD64),""),"")</f>
        <v>-105.266821179124</v>
      </c>
      <c r="BE331" s="262">
        <f>IFERROR(IF(AND(COUNT(BB64,BC64,BD64,BE64)=4,(BB64+BC64+BD64+BE64)&lt;&gt;0),((N(BE207)+N(BE208)+N(BE209)+N(BE212)+N(BE230)+N(BE233))-N(BE139))/(BB64+BC64+BD64+BE64),""),"")</f>
        <v>-138.549560496809</v>
      </c>
      <c r="BF331" s="262">
        <f>IFERROR(IF(AND(COUNT(BB64,BC64,BD64,BE64)=4,(BB64+BC64+BD64+BE64)&lt;&gt;0),((N(BF207)+N(BF208)+N(BF209)+N(BF212)+N(BF230)+N(BF233))-N(BF139))/(BB64+BC64+BD64+BE64),""),"")</f>
        <v>-138.549560496809</v>
      </c>
      <c r="BG331" s="82" t="n"/>
      <c r="BH331" s="82" t="n"/>
      <c r="BI331" s="82" t="n"/>
      <c r="BJ331" s="82" t="n"/>
      <c r="BL331" s="82" t="n"/>
      <c r="BM331" s="82" t="n"/>
      <c r="BN331" s="82" t="n"/>
      <c r="BO331" s="82" t="n"/>
      <c r="BQ331" s="82" t="n"/>
      <c r="BR331" s="82" t="n"/>
      <c r="BS331" s="82" t="n"/>
      <c r="BT331" s="82" t="n"/>
      <c r="BV331" s="82" t="n"/>
      <c r="BW331" s="82" t="n"/>
      <c r="BX331" s="82" t="n"/>
      <c r="BY331" s="82" t="n"/>
      <c r="CA331" s="82" t="n"/>
      <c r="CB331" s="82" t="n"/>
      <c r="CC331" s="82" t="n"/>
      <c r="CD331" s="82" t="n"/>
      <c r="CF331" s="82" t="n"/>
      <c r="CG331" s="82" t="n"/>
      <c r="CH331" s="82" t="n"/>
      <c r="CI331" s="82" t="n"/>
      <c r="CK331" s="82" t="n"/>
      <c r="CL331" s="82" t="n"/>
      <c r="CM331" s="82" t="n"/>
      <c r="CN331" s="82" t="n"/>
      <c r="CP331" s="82" t="n"/>
      <c r="CQ331" s="82" t="n"/>
      <c r="CR331" s="82" t="n"/>
      <c r="CS331" s="82" t="n"/>
      <c r="CU331" s="82" t="n"/>
      <c r="CV331" s="82" t="n"/>
      <c r="CW331" s="82" t="n"/>
      <c r="CX331" s="82" t="n"/>
    </row>
    <row r="332" customFormat="1" s="77">
      <c r="A332" s="76" t="n"/>
      <c r="B332" s="76" t="n"/>
      <c r="C332" s="83" t="inlineStr">
        <is>
          <t>NET DEBT (EX IFRS 16.) / EBITDA (LTM)</t>
        </is>
      </c>
      <c r="D332" s="82" t="str">
        <f>IFERROR(SUM((D207+D208+D212)-D139)/(D64*4),"")</f>
        <v/>
      </c>
      <c r="E332" s="82" t="str">
        <f>IFERROR(SUM((E207+E208+E212)-E139)/(E64*4),"")</f>
        <v/>
      </c>
      <c r="F332" s="82" t="str">
        <f>IFERROR(SUM((F207+F208+F212)-F139)/(F64*4),"")</f>
        <v/>
      </c>
      <c r="G332" s="82" t="str">
        <f>IFERROR(SUM((G207+G208+G212)-G139)/(G64*4),"")</f>
        <v/>
      </c>
      <c r="H332" s="262" t="str">
        <f>IFERROR(IF(AND(COUNT(H64)=1,(H64)&lt;&gt;0),((N(H207)+N(H208)+N(H212)+N(H233))-N(H139))/(H64),""),"")</f>
        <v/>
      </c>
      <c r="I332" s="262" t="str">
        <f>""</f>
        <v/>
      </c>
      <c r="J332" s="262" t="str">
        <f>""</f>
        <v/>
      </c>
      <c r="K332" s="262" t="str">
        <f>""</f>
        <v/>
      </c>
      <c r="L332" s="262">
        <f>IFERROR(IF(AND(COUNT(I64,J64,K64,L64)=4,(I64+J64+K64+L64)&lt;&gt;0),((N(L207)+N(L208)+N(L212)+N(L233))-N(L139))/(I64+J64+K64+L64),""),"")</f>
        <v>8.38466011889377</v>
      </c>
      <c r="M332" s="262">
        <f>IFERROR(IF(AND(COUNT(I64,J64,K64,L64)=4,(I64+J64+K64+L64)&lt;&gt;0),((N(M207)+N(M208)+N(M212)+N(M233))-N(M139))/(I64+J64+K64+L64),""),"")</f>
        <v>8.38466011889377</v>
      </c>
      <c r="N332" s="262">
        <f>IFERROR(IF(AND(COUNT(J64,K64,L64,N64)=4,(J64+K64+L64+N64)&lt;&gt;0),((N(N207)+N(N208)+N(N212)+N(N233))-N(N139))/(J64+K64+L64+N64),""),"")</f>
        <v>8.53674219228414</v>
      </c>
      <c r="O332" s="262">
        <f>IFERROR(IF(AND(COUNT(K64,L64,N64,O64)=4,(K64+L64+N64+O64)&lt;&gt;0),((N(O207)+N(O208)+N(O212)+N(O233))-N(O139))/(K64+L64+N64+O64),""),"")</f>
        <v>8.72944313530944</v>
      </c>
      <c r="P332" s="262">
        <f>IFERROR(IF(AND(COUNT(L64,N64,O64,P64)=4,(L64+N64+O64+P64)&lt;&gt;0),((N(P207)+N(P208)+N(P212)+N(P233))-N(P139))/(L64+N64+O64+P64),""),"")</f>
        <v>8.25150640220939</v>
      </c>
      <c r="Q332" s="262">
        <f>IFERROR(IF(AND(COUNT(N64,O64,P64,Q64)=4,(N64+O64+P64+Q64)&lt;&gt;0),((N(Q207)+N(Q208)+N(Q212)+N(Q233))-N(Q139))/(N64+O64+P64+Q64),""),"")</f>
        <v>9.21300492610837</v>
      </c>
      <c r="R332" s="262">
        <f>IFERROR(IF(AND(COUNT(N64,O64,P64,Q64)=4,(N64+O64+P64+Q64)&lt;&gt;0),((N(R207)+N(R208)+N(R212)+N(R233))-N(R139))/(N64+O64+P64+Q64),""),"")</f>
        <v>9.21300492610837</v>
      </c>
      <c r="S332" s="262">
        <f>IFERROR(IF(AND(COUNT(O64,P64,Q64,S64)=4,(O64+P64+Q64+S64)&lt;&gt;0),((N(S207)+N(S208)+N(S212)+N(S233))-N(S139))/(O64+P64+Q64+S64),""),"")</f>
        <v>10.4991373956249</v>
      </c>
      <c r="T332" s="262">
        <f>IFERROR(IF(AND(COUNT(P64,Q64,S64,T64)=4,(P64+Q64+S64+T64)&lt;&gt;0),((N(T207)+N(T208)+N(T212)+N(T233))-N(T139))/(P64+Q64+S64+T64),""),"")</f>
        <v>10.9041254688033</v>
      </c>
      <c r="U332" s="262">
        <f>IFERROR(IF(AND(COUNT(Q64,S64,T64,U64)=4,(Q64+S64+T64+U64)&lt;&gt;0),((N(U207)+N(U208)+N(U212)+N(U233))-N(U139))/(Q64+S64+T64+U64),""),"")</f>
        <v>11.6693516439984</v>
      </c>
      <c r="V332" s="262">
        <f>IFERROR(IF(AND(COUNT(S64,T64,U64,V64)=4,(S64+T64+U64+V64)&lt;&gt;0),((N(V207)+N(V208)+N(V212)+N(V233))-N(V139))/(S64+T64+U64+V64),""),"")</f>
        <v>14.5993583447915</v>
      </c>
      <c r="W332" s="262">
        <f>IFERROR(IF(AND(COUNT(S64,T64,U64,V64)=4,(S64+T64+U64+V64)&lt;&gt;0),((N(W207)+N(W208)+N(W212)+N(W233))-N(W139))/(S64+T64+U64+V64),""),"")</f>
        <v>14.5993583447915</v>
      </c>
      <c r="X332" s="262">
        <f>IFERROR(IF(AND(COUNT(T64,U64,V64,X64)=4,(T64+U64+V64+X64)&lt;&gt;0),((N(X207)+N(X208)+N(X212)+N(X233))-N(X139))/(T64+U64+V64+X64),""),"")</f>
        <v>15.0901251916198</v>
      </c>
      <c r="Y332" s="262">
        <f>IFERROR(IF(AND(COUNT(U64,V64,X64,Y64)=4,(U64+V64+X64+Y64)&lt;&gt;0),((N(Y207)+N(Y208)+N(Y212)+N(Y233))-N(Y139))/(U64+V64+X64+Y64),""),"")</f>
        <v>15.8195451446985</v>
      </c>
      <c r="Z332" s="262">
        <f>IFERROR(IF(AND(COUNT(V64,X64,Y64,Z64)=4,(V64+X64+Y64+Z64)&lt;&gt;0),((N(Z207)+N(Z208)+N(Z212)+N(Z233))-N(Z139))/(V64+X64+Y64+Z64),""),"")</f>
        <v>16.5326744534292</v>
      </c>
      <c r="AA332" s="262">
        <f>IFERROR(IF(AND(COUNT(X64,Y64,Z64,AA64)=4,(X64+Y64+Z64+AA64)&lt;&gt;0),((N(AA207)+N(AA208)+N(AA212)+N(AA233))-N(AA139))/(X64+Y64+Z64+AA64),""),"")</f>
        <v>17.1068719574324</v>
      </c>
      <c r="AB332" s="262">
        <f>IFERROR(IF(AND(COUNT(X64,Y64,Z64,AA64)=4,(X64+Y64+Z64+AA64)&lt;&gt;0),((N(AB207)+N(AB208)+N(AB212)+N(AB233))-N(AB139))/(X64+Y64+Z64+AA64),""),"")</f>
        <v>17.1068719574324</v>
      </c>
      <c r="AC332" s="262">
        <f>IFERROR(IF(AND(COUNT(Y64,Z64,AA64,AC64)=4,(Y64+Z64+AA64+AC64)&lt;&gt;0),((N(AC207)+N(AC208)+N(AC212)+N(AC233))-N(AC139))/(Y64+Z64+AA64+AC64),""),"")</f>
        <v>19.2996500437446</v>
      </c>
      <c r="AD332" s="262">
        <f>IFERROR(IF(AND(COUNT(Z64,AA64,AC64,AD64)=4,(Z64+AA64+AC64+AD64)&lt;&gt;0),((N(AD207)+N(AD208)+N(AD212)+N(AD233))-N(AD139))/(Z64+AA64+AC64+AD64),""),"")</f>
        <v>19.2074594537482</v>
      </c>
      <c r="AE332" s="262">
        <f>IFERROR(IF(AND(COUNT(AA64,AC64,AD64,AE64)=4,(AA64+AC64+AD64+AE64)&lt;&gt;0),((N(AE207)+N(AE208)+N(AE212)+N(AE233))-N(AE139))/(AA64+AC64+AD64+AE64),""),"")</f>
        <v>17.1895469648226</v>
      </c>
      <c r="AF332" s="262">
        <f>IFERROR(IF(AND(COUNT(AB64,AD64,AE64,AF64)=4,(AB64+AD64+AE64+AF64)&lt;&gt;0),((N(AF207)+N(AF208)+N(AF212)+N(AF233))-N(AF139))/(AB64+AD64+AE64+AF64),""),"")</f>
        <v>10.6746849248667</v>
      </c>
      <c r="AG332" s="262">
        <f>IFERROR(IF(AND(COUNT(AC64,AD64,AE64,AF64)=4,(AC64+AD64+AE64+AF64)&lt;&gt;0),((N(AG207)+N(AG208)+N(AG212)+N(AG233))-N(AG139))/(AC64+AD64+AE64+AF64),""),"")</f>
        <v>17.6439659489234</v>
      </c>
      <c r="AH332" s="262">
        <f>IFERROR(IF(AND(COUNT(AD64,AF64,AG64,AH64)=4,(AD64+AF64+AG64+AH64)&lt;&gt;0),((N(AH207)+N(AH208)+N(AH212)+N(AH233))-N(AH139))/(AD64+AF64+AG64+AH64),""),"")</f>
        <v>10.6683098986051</v>
      </c>
      <c r="AI332" s="262">
        <f>IFERROR(IF(AND(COUNT(AE64,AG64,AH64,AI64)=4,(AE64+AG64+AH64+AI64)&lt;&gt;0),((N(AI207)+N(AI208)+N(AI212)+N(AI233))-N(AI139))/(AE64+AG64+AH64+AI64),""),"")</f>
        <v>13.0934472934473</v>
      </c>
      <c r="AJ332" s="262">
        <f>IFERROR(IF(AND(COUNT(AF64,AH64,AI64,AJ64)=4,(AF64+AH64+AI64+AJ64)&lt;&gt;0),((N(AJ207)+N(AJ208)+N(AJ212)+N(AJ233))-N(AJ139))/(AF64+AH64+AI64+AJ64),""),"")</f>
        <v>18.4614116385297</v>
      </c>
      <c r="AK332" s="262">
        <f>IFERROR(IF(AND(COUNT(AH64,AI64,AJ64,AK64)=4,(AH64+AI64+AJ64+AK64)&lt;&gt;0),((N(AK207)+N(AK208)+N(AK212)+N(AK233))-N(AK139))/(AH64+AI64+AJ64+AK64),""),"")</f>
        <v>15.2383953173856</v>
      </c>
      <c r="AL332" s="262">
        <f>IFERROR(IF(AND(COUNT(AH64,AI64,AJ64,AK64)=4,(AH64+AI64+AJ64+AK64)&lt;&gt;0),((N(AL207)+N(AL208)+N(AL212)+N(AL233))-N(AL139))/(AH64+AI64+AJ64+AK64),""),"")</f>
        <v>15.2383953173856</v>
      </c>
      <c r="AM332" s="262">
        <f>IFERROR(IF(AND(COUNT(AI64,AJ64,AK64,AM64)=4,(AI64+AJ64+AK64+AM64)&lt;&gt;0),((N(AM207)+N(AM208)+N(AM212)+N(AM233))-N(AM139))/(AI64+AJ64+AK64+AM64),""),"")</f>
        <v>11.3633767088105</v>
      </c>
      <c r="AN332" s="262">
        <f>IFERROR(IF(AND(COUNT(AJ64,AK64,AM64,AN64)=4,(AJ64+AK64+AM64+AN64)&lt;&gt;0),((N(AN207)+N(AN208)+N(AN212)+N(AN233))-N(AN139))/(AJ64+AK64+AM64+AN64),""),"")</f>
        <v>8.65296972703001</v>
      </c>
      <c r="AO332" s="262">
        <f>IFERROR(IF(AND(COUNT(AK64,AM64,AN64,AO64)=4,(AK64+AM64+AN64+AO64)&lt;&gt;0),((N(AO207)+N(AO208)+N(AO212)+N(AO233))-N(AO139))/(AK64+AM64+AN64+AO64),""),"")</f>
        <v>5.95760908421073</v>
      </c>
      <c r="AP332" s="262">
        <f>IFERROR(IF(AND(COUNT(AM64,AN64,AO64,AP64)=4,(AM64+AN64+AO64+AP64)&lt;&gt;0),((N(AP207)+N(AP208)+N(AP212)+N(AP233))-N(AP139))/(AM64+AN64+AO64+AP64),""),"")</f>
        <v>2.96364867383325</v>
      </c>
      <c r="AQ332" s="262">
        <f>IFERROR(IF(AND(COUNT(AM64,AN64,AO64,AP64)=4,(AM64+AN64+AO64+AP64)&lt;&gt;0),((N(AQ207)+N(AQ208)+N(AQ212)+N(AQ233))-N(AQ139))/(AM64+AN64+AO64+AP64),""),"")</f>
        <v>2.96364867383325</v>
      </c>
      <c r="AR332" s="262">
        <f>IFERROR(IF(AND(COUNT(AN64,AO64,AP64,AR64)=4,(AN64+AO64+AP64+AR64)&lt;&gt;0),((N(AR207)+N(AR208)+N(AR212)+N(AR233))-N(AR139))/(AN64+AO64+AP64+AR64),""),"")</f>
        <v>-0.827860108263943</v>
      </c>
      <c r="AS332" s="262">
        <f>IFERROR(IF(AND(COUNT(AO64,AP64,AR64,AS64)=4,(AO64+AP64+AR64+AS64)&lt;&gt;0),((N(AS207)+N(AS208)+N(AS212)+N(AS233))-N(AS139))/(AO64+AP64+AR64+AS64),""),"")</f>
        <v>-3.55492704216107</v>
      </c>
      <c r="AT332" s="262">
        <f>IFERROR(IF(AND(COUNT(AP64,AR64,AS64,AT64)=4,(AP64+AR64+AS64+AT64)&lt;&gt;0),((N(AT207)+N(AT208)+N(AT212)+N(AT233))-N(AT139))/(AP64+AR64+AS64+AT64),""),"")</f>
        <v>-7.36726236691618</v>
      </c>
      <c r="AU332" s="262">
        <f>IFERROR(IF(AND(COUNT(AR64,AS64,AT64,AU64)=4,(AR64+AS64+AT64+AU64)&lt;&gt;0),((N(AU207)+N(AU208)+N(AU212)+N(AU233))-N(AU139))/(AR64+AS64+AT64+AU64),""),"")</f>
        <v>-12.1267708885835</v>
      </c>
      <c r="AV332" s="262">
        <f>IFERROR(IF(AND(COUNT(AR64,AS64,AT64,AU64)=4,(AR64+AS64+AT64+AU64)&lt;&gt;0),((N(AV207)+N(AV208)+N(AV212)+N(AV233))-N(AV139))/(AR64+AS64+AT64+AU64),""),"")</f>
        <v>-12.1267708885835</v>
      </c>
      <c r="AW332" s="262">
        <f>IFERROR(IF(AND(COUNT(AS64,AT64,AU64,AW64)=4,(AS64+AT64+AU64+AW64)&lt;&gt;0),((N(AW207)+N(AW208)+N(AW212)+N(AW233))-N(AW139))/(AS64+AT64+AU64+AW64),""),"")</f>
        <v>-18.4951587839205</v>
      </c>
      <c r="AX332" s="262">
        <f>IFERROR(IF(AND(COUNT(AT64,AU64,AW64,AX64)=4,(AT64+AU64+AW64+AX64)&lt;&gt;0),((N(AX207)+N(AX208)+N(AX212)+N(AX233))-N(AX139))/(AT64+AU64+AW64+AX64),""),"")</f>
        <v>-25.0340858615931</v>
      </c>
      <c r="AY332" s="262">
        <f>IFERROR(IF(AND(COUNT(AU64,AW64,AX64,AY64)=4,(AU64+AW64+AX64+AY64)&lt;&gt;0),((N(AY207)+N(AY208)+N(AY212)+N(AY233))-N(AY139))/(AU64+AW64+AX64+AY64),""),"")</f>
        <v>-33.8499249154588</v>
      </c>
      <c r="AZ332" s="262">
        <f>IFERROR(IF(AND(COUNT(AW64,AX64,AY64,AZ64)=4,(AW64+AX64+AY64+AZ64)&lt;&gt;0),((N(AZ207)+N(AZ208)+N(AZ212)+N(AZ233))-N(AZ139))/(AW64+AX64+AY64+AZ64),""),"")</f>
        <v>-45.4323519487332</v>
      </c>
      <c r="BA332" s="262">
        <f>IFERROR(IF(AND(COUNT(AW64,AX64,AY64,AZ64)=4,(AW64+AX64+AY64+AZ64)&lt;&gt;0),((N(BA207)+N(BA208)+N(BA212)+N(BA233))-N(BA139))/(AW64+AX64+AY64+AZ64),""),"")</f>
        <v>-45.4323519487332</v>
      </c>
      <c r="BB332" s="262">
        <f>IFERROR(IF(AND(COUNT(AX64,AY64,AZ64,BB64)=4,(AX64+AY64+AZ64+BB64)&lt;&gt;0),((N(BB207)+N(BB208)+N(BB212)+N(BB233))-N(BB139))/(AX64+AY64+AZ64+BB64),""),"")</f>
        <v>-61.2435475818819</v>
      </c>
      <c r="BC332" s="262">
        <f>IFERROR(IF(AND(COUNT(AY64,AZ64,BB64,BC64)=4,(AY64+AZ64+BB64+BC64)&lt;&gt;0),((N(BC207)+N(BC208)+N(BC212)+N(BC233))-N(BC139))/(AY64+AZ64+BB64+BC64),""),"")</f>
        <v>-80.1361298051715</v>
      </c>
      <c r="BD332" s="262">
        <f>IFERROR(IF(AND(COUNT(AZ64,BB64,BC64,BD64)=4,(AZ64+BB64+BC64+BD64)&lt;&gt;0),((N(BD207)+N(BD208)+N(BD212)+N(BD233))-N(BD139))/(AZ64+BB64+BC64+BD64),""),"")</f>
        <v>-105.266821179124</v>
      </c>
      <c r="BE332" s="262">
        <f>IFERROR(IF(AND(COUNT(BB64,BC64,BD64,BE64)=4,(BB64+BC64+BD64+BE64)&lt;&gt;0),((N(BE207)+N(BE208)+N(BE212)+N(BE233))-N(BE139))/(BB64+BC64+BD64+BE64),""),"")</f>
        <v>-138.549560496809</v>
      </c>
      <c r="BF332" s="262">
        <f>IFERROR(IF(AND(COUNT(BB64,BC64,BD64,BE64)=4,(BB64+BC64+BD64+BE64)&lt;&gt;0),((N(BF207)+N(BF208)+N(BF212)+N(BF233))-N(BF139))/(BB64+BC64+BD64+BE64),""),"")</f>
        <v>-138.549560496809</v>
      </c>
      <c r="BG332" s="82" t="n"/>
      <c r="BH332" s="82" t="n"/>
      <c r="BI332" s="82" t="n"/>
      <c r="BJ332" s="82" t="n"/>
      <c r="BL332" s="82" t="n"/>
      <c r="BM332" s="82" t="n"/>
      <c r="BN332" s="82" t="n"/>
      <c r="BO332" s="82" t="n"/>
      <c r="BQ332" s="82" t="n"/>
      <c r="BR332" s="82" t="n"/>
      <c r="BS332" s="82" t="n"/>
      <c r="BT332" s="82" t="n"/>
      <c r="BV332" s="82" t="n"/>
      <c r="BW332" s="82" t="n"/>
      <c r="BX332" s="82" t="n"/>
      <c r="BY332" s="82" t="n"/>
      <c r="CA332" s="82" t="n"/>
      <c r="CB332" s="82" t="n"/>
      <c r="CC332" s="82" t="n"/>
      <c r="CD332" s="82" t="n"/>
      <c r="CF332" s="82" t="n"/>
      <c r="CG332" s="82" t="n"/>
      <c r="CH332" s="82" t="n"/>
      <c r="CI332" s="82" t="n"/>
      <c r="CK332" s="82" t="n"/>
      <c r="CL332" s="82" t="n"/>
      <c r="CM332" s="82" t="n"/>
      <c r="CN332" s="82" t="n"/>
      <c r="CP332" s="82" t="n"/>
      <c r="CQ332" s="82" t="n"/>
      <c r="CR332" s="82" t="n"/>
      <c r="CS332" s="82" t="n"/>
      <c r="CU332" s="82" t="n"/>
      <c r="CV332" s="82" t="n"/>
      <c r="CW332" s="82" t="n"/>
      <c r="CX332" s="82" t="n"/>
    </row>
    <row r="333" customFormat="1" s="77">
      <c r="A333" s="76" t="n"/>
      <c r="B333" s="76" t="n"/>
      <c r="C333" s="77" t="inlineStr">
        <is>
          <t>INTEREST COVERAGE (EBIT / INTEREST, LTM)</t>
        </is>
      </c>
      <c r="D333" s="82" t="str">
        <f>IFERROR(D68/-D69,"")</f>
        <v/>
      </c>
      <c r="E333" s="82" t="str">
        <f>IFERROR(E68/-E69,"")</f>
        <v/>
      </c>
      <c r="F333" s="82" t="str">
        <f>IFERROR(F68/-F69,"")</f>
        <v/>
      </c>
      <c r="G333" s="82" t="str">
        <f>IFERROR(G68/-G69,"")</f>
        <v/>
      </c>
      <c r="H333" s="262" t="str">
        <f>IFERROR(IF(AND(COUNT(H68)=1,(H69)&lt;&gt;0),(H68)/-(H69),""),"")</f>
        <v/>
      </c>
      <c r="I333" s="262" t="str">
        <f>""</f>
        <v/>
      </c>
      <c r="J333" s="262" t="str">
        <f>""</f>
        <v/>
      </c>
      <c r="K333" s="262" t="str">
        <f>""</f>
        <v/>
      </c>
      <c r="L333" s="262">
        <f>IFERROR(IF(AND(COUNT(I68,J68,K68,L68)=4,(I69+J69+K69+L69)&lt;&gt;0),(I68+J68+K68+L68)/-(I69+J69+K69+L69),""),"")</f>
        <v>0</v>
      </c>
      <c r="M333" s="262">
        <f>IFERROR(IF(AND(COUNT(I68,J68,K68,L68)=4,(I69+J69+K69+L69)&lt;&gt;0),(I68+J68+K68+L68)/-(I69+J69+K69+L69),""),"")</f>
        <v>0</v>
      </c>
      <c r="N333" s="262">
        <f>IFERROR(IF(AND(COUNT(J68,K68,L68,N68)=4,(J69+K69+L69+N69)&lt;&gt;0),(J68+K68+L68+N68)/-(J69+K69+L69+N69),""),"")</f>
        <v>0</v>
      </c>
      <c r="O333" s="262">
        <f>IFERROR(IF(AND(COUNT(K68,L68,N68,O68)=4,(K69+L69+N69+O69)&lt;&gt;0),(K68+L68+N68+O68)/-(K69+L69+N69+O69),""),"")</f>
        <v>0</v>
      </c>
      <c r="P333" s="262">
        <f>IFERROR(IF(AND(COUNT(L68,N68,O68,P68)=4,(L69+N69+O69+P69)&lt;&gt;0),(L68+N68+O68+P68)/-(L69+N69+O69+P69),""),"")</f>
        <v>0</v>
      </c>
      <c r="Q333" s="262">
        <f>IFERROR(IF(AND(COUNT(N68,O68,P68,Q68)=4,(N69+O69+P69+Q69)&lt;&gt;0),(N68+O68+P68+Q68)/-(N69+O69+P69+Q69),""),"")</f>
        <v>0</v>
      </c>
      <c r="R333" s="262">
        <f>IFERROR(IF(AND(COUNT(N68,O68,P68,Q68)=4,(N69+O69+P69+Q69)&lt;&gt;0),(N68+O68+P68+Q68)/-(N69+O69+P69+Q69),""),"")</f>
        <v>0</v>
      </c>
      <c r="S333" s="262">
        <f>IFERROR(IF(AND(COUNT(O68,P68,Q68,S68)=4,(O69+P69+Q69+S69)&lt;&gt;0),(O68+P68+Q68+S68)/-(O69+P69+Q69+S69),""),"")</f>
        <v>0</v>
      </c>
      <c r="T333" s="262">
        <f>IFERROR(IF(AND(COUNT(P68,Q68,S68,T68)=4,(P69+Q69+S69+T69)&lt;&gt;0),(P68+Q68+S68+T68)/-(P69+Q69+S69+T69),""),"")</f>
        <v>0</v>
      </c>
      <c r="U333" s="262">
        <f>IFERROR(IF(AND(COUNT(Q68,S68,T68,U68)=4,(Q69+S69+T69+U69)&lt;&gt;0),(Q68+S68+T68+U68)/-(Q69+S69+T69+U69),""),"")</f>
        <v>0</v>
      </c>
      <c r="V333" s="262">
        <f>IFERROR(IF(AND(COUNT(S68,T68,U68,V68)=4,(S69+T69+U69+V69)&lt;&gt;0),(S68+T68+U68+V68)/-(S69+T69+U69+V69),""),"")</f>
        <v>0</v>
      </c>
      <c r="W333" s="262">
        <f>IFERROR(IF(AND(COUNT(S68,T68,U68,V68)=4,(S69+T69+U69+V69)&lt;&gt;0),(S68+T68+U68+V68)/-(S69+T69+U69+V69),""),"")</f>
        <v>0</v>
      </c>
      <c r="X333" s="262">
        <f>IFERROR(IF(AND(COUNT(T68,U68,V68,X68)=4,(T69+U69+V69+X69)&lt;&gt;0),(T68+U68+V68+X68)/-(T69+U69+V69+X69),""),"")</f>
        <v>0</v>
      </c>
      <c r="Y333" s="262">
        <f>IFERROR(IF(AND(COUNT(U68,V68,X68,Y68)=4,(U69+V69+X69+Y69)&lt;&gt;0),(U68+V68+X68+Y68)/-(U69+V69+X69+Y69),""),"")</f>
        <v>0</v>
      </c>
      <c r="Z333" s="262">
        <f>IFERROR(IF(AND(COUNT(V68,X68,Y68,Z68)=4,(V69+X69+Y69+Z69)&lt;&gt;0),(V68+X68+Y68+Z68)/-(V69+X69+Y69+Z69),""),"")</f>
        <v>0</v>
      </c>
      <c r="AA333" s="262">
        <f>IFERROR(IF(AND(COUNT(X68,Y68,Z68,AA68)=4,(X69+Y69+Z69+AA69)&lt;&gt;0),(X68+Y68+Z68+AA68)/-(X69+Y69+Z69+AA69),""),"")</f>
        <v>0</v>
      </c>
      <c r="AB333" s="262">
        <f>IFERROR(IF(AND(COUNT(X68,Y68,Z68,AA68)=4,(X69+Y69+Z69+AA69)&lt;&gt;0),(X68+Y68+Z68+AA68)/-(X69+Y69+Z69+AA69),""),"")</f>
        <v>0</v>
      </c>
      <c r="AC333" s="262">
        <f>IFERROR(IF(AND(COUNT(Y68,Z68,AA68,AC68)=4,(Y69+Z69+AA69+AC69)&lt;&gt;0),(Y68+Z68+AA68+AC68)/-(Y69+Z69+AA69+AC69),""),"")</f>
        <v>0</v>
      </c>
      <c r="AD333" s="262">
        <f>IFERROR(IF(AND(COUNT(Z68,AA68,AC68,AD68)=4,(Z69+AA69+AC69+AD69)&lt;&gt;0),(Z68+AA68+AC68+AD68)/-(Z69+AA69+AC69+AD69),""),"")</f>
        <v>0</v>
      </c>
      <c r="AE333" s="262">
        <f>IFERROR(IF(AND(COUNT(AA68,AC68,AD68,AE68)=4,(AA69+AC69+AD69+AE69)&lt;&gt;0),(AA68+AC68+AD68+AE68)/-(AA69+AC69+AD69+AE69),""),"")</f>
        <v>0</v>
      </c>
      <c r="AF333" s="262">
        <f>IFERROR(IF(AND(COUNT(AB68,AD68,AE68,AF68)=4,(AB69+AD69+AE69+AF69)&lt;&gt;0),(AB68+AD68+AE68+AF68)/-(AB69+AD69+AE69+AF69),""),"")</f>
        <v>0</v>
      </c>
      <c r="AG333" s="262">
        <f>IFERROR(IF(AND(COUNT(AC68,AD68,AE68,AF68)=4,(AC69+AD69+AE69+AF69)&lt;&gt;0),(AC68+AD68+AE68+AF68)/-(AC69+AD69+AE69+AF69),""),"")</f>
        <v>0</v>
      </c>
      <c r="AH333" s="262">
        <f>IFERROR(IF(AND(COUNT(AD68,AF68,AG68,AH68)=4,(AD69+AF69+AG69+AH69)&lt;&gt;0),(AD68+AF68+AG68+AH68)/-(AD69+AF69+AG69+AH69),""),"")</f>
        <v>0</v>
      </c>
      <c r="AI333" s="262">
        <f>IFERROR(IF(AND(COUNT(AE68,AG68,AH68,AI68)=4,(AE69+AG69+AH69+AI69)&lt;&gt;0),(AE68+AG68+AH68+AI68)/-(AE69+AG69+AH69+AI69),""),"")</f>
        <v>0</v>
      </c>
      <c r="AJ333" s="262" t="str">
        <f>IFERROR(IF(AND(COUNT(AF68,AH68,AI68,AJ68)=4,(AF69+AH69+AI69+AJ69)&lt;&gt;0),(AF68+AH68+AI68+AJ68)/-(AF69+AH69+AI69+AJ69),""),"")</f>
        <v/>
      </c>
      <c r="AK333" s="262" t="str">
        <f>IFERROR(IF(AND(COUNT(AH68,AI68,AJ68,AK68)=4,(AH69+AI69+AJ69+AK69)&lt;&gt;0),(AH68+AI68+AJ68+AK68)/-(AH69+AI69+AJ69+AK69),""),"")</f>
        <v/>
      </c>
      <c r="AL333" s="262" t="str">
        <f>IFERROR(IF(AND(COUNT(AH68,AI68,AJ68,AK68)=4,(AH69+AI69+AJ69+AK69)&lt;&gt;0),(AH68+AI68+AJ68+AK68)/-(AH69+AI69+AJ69+AK69),""),"")</f>
        <v/>
      </c>
      <c r="AM333" s="262" t="str">
        <f>IFERROR(IF(AND(COUNT(AI68,AJ68,AK68,AM68)=4,(AI69+AJ69+AK69+AM69)&lt;&gt;0),(AI68+AJ68+AK68+AM68)/-(AI69+AJ69+AK69+AM69),""),"")</f>
        <v/>
      </c>
      <c r="AN333" s="262" t="str">
        <f>IFERROR(IF(AND(COUNT(AJ68,AK68,AM68,AN68)=4,(AJ69+AK69+AM69+AN69)&lt;&gt;0),(AJ68+AK68+AM68+AN68)/-(AJ69+AK69+AM69+AN69),""),"")</f>
        <v/>
      </c>
      <c r="AO333" s="262" t="str">
        <f>IFERROR(IF(AND(COUNT(AK68,AM68,AN68,AO68)=4,(AK69+AM69+AN69+AO69)&lt;&gt;0),(AK68+AM68+AN68+AO68)/-(AK69+AM69+AN69+AO69),""),"")</f>
        <v/>
      </c>
      <c r="AP333" s="262" t="str">
        <f>IFERROR(IF(AND(COUNT(AM68,AN68,AO68,AP68)=4,(AM69+AN69+AO69+AP69)&lt;&gt;0),(AM68+AN68+AO68+AP68)/-(AM69+AN69+AO69+AP69),""),"")</f>
        <v/>
      </c>
      <c r="AQ333" s="262" t="str">
        <f>IFERROR(IF(AND(COUNT(AM68,AN68,AO68,AP68)=4,(AM69+AN69+AO69+AP69)&lt;&gt;0),(AM68+AN68+AO68+AP68)/-(AM69+AN69+AO69+AP69),""),"")</f>
        <v/>
      </c>
      <c r="AR333" s="262" t="str">
        <f>IFERROR(IF(AND(COUNT(AN68,AO68,AP68,AR68)=4,(AN69+AO69+AP69+AR69)&lt;&gt;0),(AN68+AO68+AP68+AR68)/-(AN69+AO69+AP69+AR69),""),"")</f>
        <v/>
      </c>
      <c r="AS333" s="262" t="str">
        <f>IFERROR(IF(AND(COUNT(AO68,AP68,AR68,AS68)=4,(AO69+AP69+AR69+AS69)&lt;&gt;0),(AO68+AP68+AR68+AS68)/-(AO69+AP69+AR69+AS69),""),"")</f>
        <v/>
      </c>
      <c r="AT333" s="262" t="str">
        <f>IFERROR(IF(AND(COUNT(AP68,AR68,AS68,AT68)=4,(AP69+AR69+AS69+AT69)&lt;&gt;0),(AP68+AR68+AS68+AT68)/-(AP69+AR69+AS69+AT69),""),"")</f>
        <v/>
      </c>
      <c r="AU333" s="262" t="str">
        <f>IFERROR(IF(AND(COUNT(AR68,AS68,AT68,AU68)=4,(AR69+AS69+AT69+AU69)&lt;&gt;0),(AR68+AS68+AT68+AU68)/-(AR69+AS69+AT69+AU69),""),"")</f>
        <v/>
      </c>
      <c r="AV333" s="262" t="str">
        <f>IFERROR(IF(AND(COUNT(AR68,AS68,AT68,AU68)=4,(AR69+AS69+AT69+AU69)&lt;&gt;0),(AR68+AS68+AT68+AU68)/-(AR69+AS69+AT69+AU69),""),"")</f>
        <v/>
      </c>
      <c r="AW333" s="262" t="str">
        <f>IFERROR(IF(AND(COUNT(AS68,AT68,AU68,AW68)=4,(AS69+AT69+AU69+AW69)&lt;&gt;0),(AS68+AT68+AU68+AW68)/-(AS69+AT69+AU69+AW69),""),"")</f>
        <v/>
      </c>
      <c r="AX333" s="262" t="str">
        <f>IFERROR(IF(AND(COUNT(AT68,AU68,AW68,AX68)=4,(AT69+AU69+AW69+AX69)&lt;&gt;0),(AT68+AU68+AW68+AX68)/-(AT69+AU69+AW69+AX69),""),"")</f>
        <v/>
      </c>
      <c r="AY333" s="262" t="str">
        <f>IFERROR(IF(AND(COUNT(AU68,AW68,AX68,AY68)=4,(AU69+AW69+AX69+AY69)&lt;&gt;0),(AU68+AW68+AX68+AY68)/-(AU69+AW69+AX69+AY69),""),"")</f>
        <v/>
      </c>
      <c r="AZ333" s="262" t="str">
        <f>IFERROR(IF(AND(COUNT(AW68,AX68,AY68,AZ68)=4,(AW69+AX69+AY69+AZ69)&lt;&gt;0),(AW68+AX68+AY68+AZ68)/-(AW69+AX69+AY69+AZ69),""),"")</f>
        <v/>
      </c>
      <c r="BA333" s="262" t="str">
        <f>IFERROR(IF(AND(COUNT(AW68,AX68,AY68,AZ68)=4,(AW69+AX69+AY69+AZ69)&lt;&gt;0),(AW68+AX68+AY68+AZ68)/-(AW69+AX69+AY69+AZ69),""),"")</f>
        <v/>
      </c>
      <c r="BB333" s="262" t="str">
        <f>IFERROR(IF(AND(COUNT(AX68,AY68,AZ68,BB68)=4,(AX69+AY69+AZ69+BB69)&lt;&gt;0),(AX68+AY68+AZ68+BB68)/-(AX69+AY69+AZ69+BB69),""),"")</f>
        <v/>
      </c>
      <c r="BC333" s="262" t="str">
        <f>IFERROR(IF(AND(COUNT(AY68,AZ68,BB68,BC68)=4,(AY69+AZ69+BB69+BC69)&lt;&gt;0),(AY68+AZ68+BB68+BC68)/-(AY69+AZ69+BB69+BC69),""),"")</f>
        <v/>
      </c>
      <c r="BD333" s="262" t="str">
        <f>IFERROR(IF(AND(COUNT(AZ68,BB68,BC68,BD68)=4,(AZ69+BB69+BC69+BD69)&lt;&gt;0),(AZ68+BB68+BC68+BD68)/-(AZ69+BB69+BC69+BD69),""),"")</f>
        <v/>
      </c>
      <c r="BE333" s="262" t="str">
        <f>IFERROR(IF(AND(COUNT(BB68,BC68,BD68,BE68)=4,(BB69+BC69+BD69+BE69)&lt;&gt;0),(BB68+BC68+BD68+BE68)/-(BB69+BC69+BD69+BE69),""),"")</f>
        <v/>
      </c>
      <c r="BF333" s="262" t="str">
        <f>IFERROR(IF(AND(COUNT(BB68,BC68,BD68,BE68)=4,(BB69+BC69+BD69+BE69)&lt;&gt;0),(BB68+BC68+BD68+BE68)/-(BB69+BC69+BD69+BE69),""),"")</f>
        <v/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</row>
    <row r="335" customFormat="1" s="77">
      <c r="A335" s="76" t="n"/>
      <c r="B335" s="76" t="n"/>
      <c r="C335" s="74" t="inlineStr">
        <is>
          <t>INTERNAL LIQUIDITY</t>
        </is>
      </c>
    </row>
    <row r="336" customFormat="1" s="77">
      <c r="A336" s="76" t="n"/>
      <c r="B336" s="76" t="n"/>
      <c r="C336" s="77" t="inlineStr">
        <is>
          <t>CURRENT RATIO</t>
        </is>
      </c>
      <c r="D336" s="82" t="str">
        <f>IFERROR(SUM(D139,D140,D144,D148,D149,D150)/SUM(D193,D197,D199,D200),"")</f>
        <v/>
      </c>
      <c r="E336" s="82" t="str">
        <f>IFERROR(SUM(E139,E140,E144,E148,E149,E150)/SUM(E193,E197,E199,E200),"")</f>
        <v/>
      </c>
      <c r="F336" s="82" t="str">
        <f>IFERROR(SUM(F139,F140,F144,F148,F149,F150)/SUM(F193,F197,F199,F200),"")</f>
        <v/>
      </c>
      <c r="G336" s="82" t="str">
        <f>IFERROR(SUM(G139,G140,G144,G148,G149,G150)/SUM(G193,G197,G199,G200),"")</f>
        <v/>
      </c>
      <c r="H336" s="262" t="str">
        <f>IFERROR(IF((N(H193)+N(H197)+N(H199)+N(H200)+N(H207)+N(H208)+N(H209))&lt;&gt;0,(N(H139)+(N(H140)+N(H144)+N(H148)+N(H149)+N(H150)))/(N(H193)+N(H197)+N(H199)+N(H200)+N(H207)+N(H208)+N(H209)),""),"")</f>
        <v/>
      </c>
      <c r="I336" s="262">
        <f>IFERROR(IF((N(I193)+N(I197)+N(I199)+N(I200)+N(I207)+N(I208)+N(I209))&lt;&gt;0,(N(I139)+(N(I140)+N(I144)+N(I148)+N(I149)+N(I150)))/(N(I193)+N(I197)+N(I199)+N(I200)+N(I207)+N(I208)+N(I209)),""),"")</f>
        <v>1.64368031961209</v>
      </c>
      <c r="J336" s="262">
        <f>IFERROR(IF((N(J193)+N(J197)+N(J199)+N(J200)+N(J207)+N(J208)+N(J209))&lt;&gt;0,(N(J139)+(N(J140)+N(J144)+N(J148)+N(J149)+N(J150)))/(N(J193)+N(J197)+N(J199)+N(J200)+N(J207)+N(J208)+N(J209)),""),"")</f>
        <v>1.32313889698672</v>
      </c>
      <c r="K336" s="262">
        <f>IFERROR(IF((N(K193)+N(K197)+N(K199)+N(K200)+N(K207)+N(K208)+N(K209))&lt;&gt;0,(N(K139)+(N(K140)+N(K144)+N(K148)+N(K149)+N(K150)))/(N(K193)+N(K197)+N(K199)+N(K200)+N(K207)+N(K208)+N(K209)),""),"")</f>
        <v>1.49348779418214</v>
      </c>
      <c r="L336" s="262">
        <f>IFERROR(IF((N(L193)+N(L197)+N(L199)+N(L200)+N(L207)+N(L208)+N(L209))&lt;&gt;0,(N(L139)+(N(L140)+N(L144)+N(L148)+N(L149)+N(L150)))/(N(L193)+N(L197)+N(L199)+N(L200)+N(L207)+N(L208)+N(L209)),""),"")</f>
        <v>1.39122549442957</v>
      </c>
      <c r="M336" s="262">
        <f>IFERROR(IF((N(M193)+N(M197)+N(M199)+N(M200)+N(M207)+N(M208)+N(M209))&lt;&gt;0,(N(M139)+(N(M140)+N(M144)+N(M148)+N(M149)+N(M150)))/(N(M193)+N(M197)+N(M199)+N(M200)+N(M207)+N(M208)+N(M209)),""),"")</f>
        <v>1.39122549442957</v>
      </c>
      <c r="N336" s="262">
        <f>IFERROR(IF((N(N193)+N(N197)+N(N199)+N(N200)+N(N207)+N(N208)+N(N209))&lt;&gt;0,(N(N139)+(N(N140)+N(N144)+N(N148)+N(N149)+N(N150)))/(N(N193)+N(N197)+N(N199)+N(N200)+N(N207)+N(N208)+N(N209)),""),"")</f>
        <v>1.45148662782011</v>
      </c>
      <c r="O336" s="262">
        <f>IFERROR(IF((N(O193)+N(O197)+N(O199)+N(O200)+N(O207)+N(O208)+N(O209))&lt;&gt;0,(N(O139)+(N(O140)+N(O144)+N(O148)+N(O149)+N(O150)))/(N(O193)+N(O197)+N(O199)+N(O200)+N(O207)+N(O208)+N(O209)),""),"")</f>
        <v>1.24752570323803</v>
      </c>
      <c r="P336" s="262">
        <f>IFERROR(IF((N(P193)+N(P197)+N(P199)+N(P200)+N(P207)+N(P208)+N(P209))&lt;&gt;0,(N(P139)+(N(P140)+N(P144)+N(P148)+N(P149)+N(P150)))/(N(P193)+N(P197)+N(P199)+N(P200)+N(P207)+N(P208)+N(P209)),""),"")</f>
        <v>1.27927271798017</v>
      </c>
      <c r="Q336" s="262">
        <f>IFERROR(IF((N(Q193)+N(Q197)+N(Q199)+N(Q200)+N(Q207)+N(Q208)+N(Q209))&lt;&gt;0,(N(Q139)+(N(Q140)+N(Q144)+N(Q148)+N(Q149)+N(Q150)))/(N(Q193)+N(Q197)+N(Q199)+N(Q200)+N(Q207)+N(Q208)+N(Q209)),""),"")</f>
        <v>1.21526181279248</v>
      </c>
      <c r="R336" s="262">
        <f>IFERROR(IF((N(R193)+N(R197)+N(R199)+N(R200)+N(R207)+N(R208)+N(R209))&lt;&gt;0,(N(R139)+(N(R140)+N(R144)+N(R148)+N(R149)+N(R150)))/(N(R193)+N(R197)+N(R199)+N(R200)+N(R207)+N(R208)+N(R209)),""),"")</f>
        <v>1.21526181279248</v>
      </c>
      <c r="S336" s="262">
        <f>IFERROR(IF((N(S193)+N(S197)+N(S199)+N(S200)+N(S207)+N(S208)+N(S209))&lt;&gt;0,(N(S139)+(N(S140)+N(S144)+N(S148)+N(S149)+N(S150)))/(N(S193)+N(S197)+N(S199)+N(S200)+N(S207)+N(S208)+N(S209)),""),"")</f>
        <v>1.51268582136165</v>
      </c>
      <c r="T336" s="262">
        <f>IFERROR(IF((N(T193)+N(T197)+N(T199)+N(T200)+N(T207)+N(T208)+N(T209))&lt;&gt;0,(N(T139)+(N(T140)+N(T144)+N(T148)+N(T149)+N(T150)))/(N(T193)+N(T197)+N(T199)+N(T200)+N(T207)+N(T208)+N(T209)),""),"")</f>
        <v>1.32897171556965</v>
      </c>
      <c r="U336" s="262">
        <f>IFERROR(IF((N(U193)+N(U197)+N(U199)+N(U200)+N(U207)+N(U208)+N(U209))&lt;&gt;0,(N(U139)+(N(U140)+N(U144)+N(U148)+N(U149)+N(U150)))/(N(U193)+N(U197)+N(U199)+N(U200)+N(U207)+N(U208)+N(U209)),""),"")</f>
        <v>1.25382076715368</v>
      </c>
      <c r="V336" s="262">
        <f>IFERROR(IF((N(V193)+N(V197)+N(V199)+N(V200)+N(V207)+N(V208)+N(V209))&lt;&gt;0,(N(V139)+(N(V140)+N(V144)+N(V148)+N(V149)+N(V150)))/(N(V193)+N(V197)+N(V199)+N(V200)+N(V207)+N(V208)+N(V209)),""),"")</f>
        <v>1.14329942989463</v>
      </c>
      <c r="W336" s="262">
        <f>IFERROR(IF((N(W193)+N(W197)+N(W199)+N(W200)+N(W207)+N(W208)+N(W209))&lt;&gt;0,(N(W139)+(N(W140)+N(W144)+N(W148)+N(W149)+N(W150)))/(N(W193)+N(W197)+N(W199)+N(W200)+N(W207)+N(W208)+N(W209)),""),"")</f>
        <v>1.14329942989463</v>
      </c>
      <c r="X336" s="262">
        <f>IFERROR(IF((N(X193)+N(X197)+N(X199)+N(X200)+N(X207)+N(X208)+N(X209))&lt;&gt;0,(N(X139)+(N(X140)+N(X144)+N(X148)+N(X149)+N(X150)))/(N(X193)+N(X197)+N(X199)+N(X200)+N(X207)+N(X208)+N(X209)),""),"")</f>
        <v>1.65730370306644</v>
      </c>
      <c r="Y336" s="262">
        <f>IFERROR(IF((N(Y193)+N(Y197)+N(Y199)+N(Y200)+N(Y207)+N(Y208)+N(Y209))&lt;&gt;0,(N(Y139)+(N(Y140)+N(Y144)+N(Y148)+N(Y149)+N(Y150)))/(N(Y193)+N(Y197)+N(Y199)+N(Y200)+N(Y207)+N(Y208)+N(Y209)),""),"")</f>
        <v>1.35906965768476</v>
      </c>
      <c r="Z336" s="262">
        <f>IFERROR(IF((N(Z193)+N(Z197)+N(Z199)+N(Z200)+N(Z207)+N(Z208)+N(Z209))&lt;&gt;0,(N(Z139)+(N(Z140)+N(Z144)+N(Z148)+N(Z149)+N(Z150)))/(N(Z193)+N(Z197)+N(Z199)+N(Z200)+N(Z207)+N(Z208)+N(Z209)),""),"")</f>
        <v>1.57279900786655</v>
      </c>
      <c r="AA336" s="262">
        <f>IFERROR(IF((N(AA193)+N(AA197)+N(AA199)+N(AA200)+N(AA207)+N(AA208)+N(AA209))&lt;&gt;0,(N(AA139)+(N(AA140)+N(AA144)+N(AA148)+N(AA149)+N(AA150)))/(N(AA193)+N(AA197)+N(AA199)+N(AA200)+N(AA207)+N(AA208)+N(AA209)),""),"")</f>
        <v>1.43570054199587</v>
      </c>
      <c r="AB336" s="262">
        <f>IFERROR(IF((N(AB193)+N(AB197)+N(AB199)+N(AB200)+N(AB207)+N(AB208)+N(AB209))&lt;&gt;0,(N(AB139)+(N(AB140)+N(AB144)+N(AB148)+N(AB149)+N(AB150)))/(N(AB193)+N(AB197)+N(AB199)+N(AB200)+N(AB207)+N(AB208)+N(AB209)),""),"")</f>
        <v>1.43570054199587</v>
      </c>
      <c r="AC336" s="262">
        <f>IFERROR(IF((N(AC193)+N(AC197)+N(AC199)+N(AC200)+N(AC207)+N(AC208)+N(AC209))&lt;&gt;0,(N(AC139)+(N(AC140)+N(AC144)+N(AC148)+N(AC149)+N(AC150)))/(N(AC193)+N(AC197)+N(AC199)+N(AC200)+N(AC207)+N(AC208)+N(AC209)),""),"")</f>
        <v>1.65738440406943</v>
      </c>
      <c r="AD336" s="262">
        <f>IFERROR(IF((N(AD193)+N(AD197)+N(AD199)+N(AD200)+N(AD207)+N(AD208)+N(AD209))&lt;&gt;0,(N(AD139)+(N(AD140)+N(AD144)+N(AD148)+N(AD149)+N(AD150)))/(N(AD193)+N(AD197)+N(AD199)+N(AD200)+N(AD207)+N(AD208)+N(AD209)),""),"")</f>
        <v>1.51926068493256</v>
      </c>
      <c r="AE336" s="262">
        <f>IFERROR(IF((N(AE193)+N(AE197)+N(AE199)+N(AE200)+N(AE207)+N(AE208)+N(AE209))&lt;&gt;0,(N(AE139)+(N(AE140)+N(AE144)+N(AE148)+N(AE149)+N(AE150)))/(N(AE193)+N(AE197)+N(AE199)+N(AE200)+N(AE207)+N(AE208)+N(AE209)),""),"")</f>
        <v>1.76961652578791</v>
      </c>
      <c r="AF336" s="262">
        <f>IFERROR(IF((N(AF193)+N(AF197)+N(AF199)+N(AF200)+N(AF207)+N(AF208)+N(AF209))&lt;&gt;0,(N(AF139)+(N(AF140)+N(AF144)+N(AF148)+N(AF149)+N(AF150)))/(N(AF193)+N(AF197)+N(AF199)+N(AF200)+N(AF207)+N(AF208)+N(AF209)),""),"")</f>
        <v>1.86181446576587</v>
      </c>
      <c r="AG336" s="262">
        <f>IFERROR(IF((N(AG193)+N(AG197)+N(AG199)+N(AG200)+N(AG207)+N(AG208)+N(AG209))&lt;&gt;0,(N(AG139)+(N(AG140)+N(AG144)+N(AG148)+N(AG149)+N(AG150)))/(N(AG193)+N(AG197)+N(AG199)+N(AG200)+N(AG207)+N(AG208)+N(AG209)),""),"")</f>
        <v>1.86181446576587</v>
      </c>
      <c r="AH336" s="262">
        <f>IFERROR(IF((N(AH193)+N(AH197)+N(AH199)+N(AH200)+N(AH207)+N(AH208)+N(AH209))&lt;&gt;0,(N(AH139)+(N(AH140)+N(AH144)+N(AH148)+N(AH149)+N(AH150)))/(N(AH193)+N(AH197)+N(AH199)+N(AH200)+N(AH207)+N(AH208)+N(AH209)),""),"")</f>
        <v>1.80665501992684</v>
      </c>
      <c r="AI336" s="262">
        <f>IFERROR(IF((N(AI193)+N(AI197)+N(AI199)+N(AI200)+N(AI207)+N(AI208)+N(AI209))&lt;&gt;0,(N(AI139)+(N(AI140)+N(AI144)+N(AI148)+N(AI149)+N(AI150)))/(N(AI193)+N(AI197)+N(AI199)+N(AI200)+N(AI207)+N(AI208)+N(AI209)),""),"")</f>
        <v>1.56469282168367</v>
      </c>
      <c r="AJ336" s="262">
        <f>IFERROR(IF((N(AJ193)+N(AJ197)+N(AJ199)+N(AJ200)+N(AJ207)+N(AJ208)+N(AJ209))&lt;&gt;0,(N(AJ139)+(N(AJ140)+N(AJ144)+N(AJ148)+N(AJ149)+N(AJ150)))/(N(AJ193)+N(AJ197)+N(AJ199)+N(AJ200)+N(AJ207)+N(AJ208)+N(AJ209)),""),"")</f>
        <v>1.66321794546026</v>
      </c>
      <c r="AK336" s="262">
        <f>IFERROR(IF((N(AK193)+N(AK197)+N(AK199)+N(AK200)+N(AK207)+N(AK208)+N(AK209))&lt;&gt;0,(N(AK139)+(N(AK140)+N(AK144)+N(AK148)+N(AK149)+N(AK150)))/(N(AK193)+N(AK197)+N(AK199)+N(AK200)+N(AK207)+N(AK208)+N(AK209)),""),"")</f>
        <v>1.76075448168614</v>
      </c>
      <c r="AL336" s="262">
        <f>IFERROR(IF((N(AL193)+N(AL197)+N(AL199)+N(AL200)+N(AL207)+N(AL208)+N(AL209))&lt;&gt;0,(N(AL139)+(N(AL140)+N(AL144)+N(AL148)+N(AL149)+N(AL150)))/(N(AL193)+N(AL197)+N(AL199)+N(AL200)+N(AL207)+N(AL208)+N(AL209)),""),"")</f>
        <v>1.76075448168614</v>
      </c>
      <c r="AM336" s="262">
        <f>IFERROR(IF((N(AM193)+N(AM197)+N(AM199)+N(AM200)+N(AM207)+N(AM208)+N(AM209))&lt;&gt;0,(N(AM139)+(N(AM140)+N(AM144)+N(AM148)+N(AM149)+N(AM150)))/(N(AM193)+N(AM197)+N(AM199)+N(AM200)+N(AM207)+N(AM208)+N(AM209)),""),"")</f>
        <v>1.84960737477024</v>
      </c>
      <c r="AN336" s="262">
        <f>IFERROR(IF((N(AN193)+N(AN197)+N(AN199)+N(AN200)+N(AN207)+N(AN208)+N(AN209))&lt;&gt;0,(N(AN139)+(N(AN140)+N(AN144)+N(AN148)+N(AN149)+N(AN150)))/(N(AN193)+N(AN197)+N(AN199)+N(AN200)+N(AN207)+N(AN208)+N(AN209)),""),"")</f>
        <v>1.92259366709601</v>
      </c>
      <c r="AO336" s="262">
        <f>IFERROR(IF((N(AO193)+N(AO197)+N(AO199)+N(AO200)+N(AO207)+N(AO208)+N(AO209))&lt;&gt;0,(N(AO139)+(N(AO140)+N(AO144)+N(AO148)+N(AO149)+N(AO150)))/(N(AO193)+N(AO197)+N(AO199)+N(AO200)+N(AO207)+N(AO208)+N(AO209)),""),"")</f>
        <v>1.98343495134899</v>
      </c>
      <c r="AP336" s="262">
        <f>IFERROR(IF((N(AP193)+N(AP197)+N(AP199)+N(AP200)+N(AP207)+N(AP208)+N(AP209))&lt;&gt;0,(N(AP139)+(N(AP140)+N(AP144)+N(AP148)+N(AP149)+N(AP150)))/(N(AP193)+N(AP197)+N(AP199)+N(AP200)+N(AP207)+N(AP208)+N(AP209)),""),"")</f>
        <v>2.01991927489324</v>
      </c>
      <c r="AQ336" s="262">
        <f>IFERROR(IF((N(AQ193)+N(AQ197)+N(AQ199)+N(AQ200)+N(AQ207)+N(AQ208)+N(AQ209))&lt;&gt;0,(N(AQ139)+(N(AQ140)+N(AQ144)+N(AQ148)+N(AQ149)+N(AQ150)))/(N(AQ193)+N(AQ197)+N(AQ199)+N(AQ200)+N(AQ207)+N(AQ208)+N(AQ209)),""),"")</f>
        <v>2.01991927489324</v>
      </c>
      <c r="AR336" s="262">
        <f>IFERROR(IF((N(AR193)+N(AR197)+N(AR199)+N(AR200)+N(AR207)+N(AR208)+N(AR209))&lt;&gt;0,(N(AR139)+(N(AR140)+N(AR144)+N(AR148)+N(AR149)+N(AR150)))/(N(AR193)+N(AR197)+N(AR199)+N(AR200)+N(AR207)+N(AR208)+N(AR209)),""),"")</f>
        <v>2.0246660444374</v>
      </c>
      <c r="AS336" s="262">
        <f>IFERROR(IF((N(AS193)+N(AS197)+N(AS199)+N(AS200)+N(AS207)+N(AS208)+N(AS209))&lt;&gt;0,(N(AS139)+(N(AS140)+N(AS144)+N(AS148)+N(AS149)+N(AS150)))/(N(AS193)+N(AS197)+N(AS199)+N(AS200)+N(AS207)+N(AS208)+N(AS209)),""),"")</f>
        <v>1.98462741488869</v>
      </c>
      <c r="AT336" s="262">
        <f>IFERROR(IF((N(AT193)+N(AT197)+N(AT199)+N(AT200)+N(AT207)+N(AT208)+N(AT209))&lt;&gt;0,(N(AT139)+(N(AT140)+N(AT144)+N(AT148)+N(AT149)+N(AT150)))/(N(AT193)+N(AT197)+N(AT199)+N(AT200)+N(AT207)+N(AT208)+N(AT209)),""),"")</f>
        <v>1.92084969035918</v>
      </c>
      <c r="AU336" s="262">
        <f>IFERROR(IF((N(AU193)+N(AU197)+N(AU199)+N(AU200)+N(AU207)+N(AU208)+N(AU209))&lt;&gt;0,(N(AU139)+(N(AU140)+N(AU144)+N(AU148)+N(AU149)+N(AU150)))/(N(AU193)+N(AU197)+N(AU199)+N(AU200)+N(AU207)+N(AU208)+N(AU209)),""),"")</f>
        <v>1.83209458307217</v>
      </c>
      <c r="AV336" s="262">
        <f>IFERROR(IF((N(AV193)+N(AV197)+N(AV199)+N(AV200)+N(AV207)+N(AV208)+N(AV209))&lt;&gt;0,(N(AV139)+(N(AV140)+N(AV144)+N(AV148)+N(AV149)+N(AV150)))/(N(AV193)+N(AV197)+N(AV199)+N(AV200)+N(AV207)+N(AV208)+N(AV209)),""),"")</f>
        <v>1.83209458307217</v>
      </c>
      <c r="AW336" s="262">
        <f>IFERROR(IF((N(AW193)+N(AW197)+N(AW199)+N(AW200)+N(AW207)+N(AW208)+N(AW209))&lt;&gt;0,(N(AW139)+(N(AW140)+N(AW144)+N(AW148)+N(AW149)+N(AW150)))/(N(AW193)+N(AW197)+N(AW199)+N(AW200)+N(AW207)+N(AW208)+N(AW209)),""),"")</f>
        <v>1.72581858834606</v>
      </c>
      <c r="AX336" s="262">
        <f>IFERROR(IF((N(AX193)+N(AX197)+N(AX199)+N(AX200)+N(AX207)+N(AX208)+N(AX209))&lt;&gt;0,(N(AX139)+(N(AX140)+N(AX144)+N(AX148)+N(AX149)+N(AX150)))/(N(AX193)+N(AX197)+N(AX199)+N(AX200)+N(AX207)+N(AX208)+N(AX209)),""),"")</f>
        <v>1.61288200199921</v>
      </c>
      <c r="AY336" s="262">
        <f>IFERROR(IF((N(AY193)+N(AY197)+N(AY199)+N(AY200)+N(AY207)+N(AY208)+N(AY209))&lt;&gt;0,(N(AY139)+(N(AY140)+N(AY144)+N(AY148)+N(AY149)+N(AY150)))/(N(AY193)+N(AY197)+N(AY199)+N(AY200)+N(AY207)+N(AY208)+N(AY209)),""),"")</f>
        <v>1.50754631884595</v>
      </c>
      <c r="AZ336" s="262">
        <f>IFERROR(IF((N(AZ193)+N(AZ197)+N(AZ199)+N(AZ200)+N(AZ207)+N(AZ208)+N(AZ209))&lt;&gt;0,(N(AZ139)+(N(AZ140)+N(AZ144)+N(AZ148)+N(AZ149)+N(AZ150)))/(N(AZ193)+N(AZ197)+N(AZ199)+N(AZ200)+N(AZ207)+N(AZ208)+N(AZ209)),""),"")</f>
        <v>1.41193901762642</v>
      </c>
      <c r="BA336" s="262">
        <f>IFERROR(IF((N(BA193)+N(BA197)+N(BA199)+N(BA200)+N(BA207)+N(BA208)+N(BA209))&lt;&gt;0,(N(BA139)+(N(BA140)+N(BA144)+N(BA148)+N(BA149)+N(BA150)))/(N(BA193)+N(BA197)+N(BA199)+N(BA200)+N(BA207)+N(BA208)+N(BA209)),""),"")</f>
        <v>1.41193901762642</v>
      </c>
      <c r="BB336" s="262">
        <f>IFERROR(IF((N(BB193)+N(BB197)+N(BB199)+N(BB200)+N(BB207)+N(BB208)+N(BB209))&lt;&gt;0,(N(BB139)+(N(BB140)+N(BB144)+N(BB148)+N(BB149)+N(BB150)))/(N(BB193)+N(BB197)+N(BB199)+N(BB200)+N(BB207)+N(BB208)+N(BB209)),""),"")</f>
        <v>1.32785708369995</v>
      </c>
      <c r="BC336" s="262">
        <f>IFERROR(IF((N(BC193)+N(BC197)+N(BC199)+N(BC200)+N(BC207)+N(BC208)+N(BC209))&lt;&gt;0,(N(BC139)+(N(BC140)+N(BC144)+N(BC148)+N(BC149)+N(BC150)))/(N(BC193)+N(BC197)+N(BC199)+N(BC200)+N(BC207)+N(BC208)+N(BC209)),""),"")</f>
        <v>1.25817577094714</v>
      </c>
      <c r="BD336" s="262">
        <f>IFERROR(IF((N(BD193)+N(BD197)+N(BD199)+N(BD200)+N(BD207)+N(BD208)+N(BD209))&lt;&gt;0,(N(BD139)+(N(BD140)+N(BD144)+N(BD148)+N(BD149)+N(BD150)))/(N(BD193)+N(BD197)+N(BD199)+N(BD200)+N(BD207)+N(BD208)+N(BD209)),""),"")</f>
        <v>1.20214610301208</v>
      </c>
      <c r="BE336" s="262">
        <f>IFERROR(IF((N(BE193)+N(BE197)+N(BE199)+N(BE200)+N(BE207)+N(BE208)+N(BE209))&lt;&gt;0,(N(BE139)+(N(BE140)+N(BE144)+N(BE148)+N(BE149)+N(BE150)))/(N(BE193)+N(BE197)+N(BE199)+N(BE200)+N(BE207)+N(BE208)+N(BE209)),""),"")</f>
        <v>1.15710807770129</v>
      </c>
      <c r="BF336" s="262">
        <f>IFERROR(IF((N(BF193)+N(BF197)+N(BF199)+N(BF200)+N(BF207)+N(BF208)+N(BF209))&lt;&gt;0,(N(BF139)+(N(BF140)+N(BF144)+N(BF148)+N(BF149)+N(BF150)))/(N(BF193)+N(BF197)+N(BF199)+N(BF200)+N(BF207)+N(BF208)+N(BF209)),""),"")</f>
        <v>1.15710807770129</v>
      </c>
      <c r="BG336" s="82" t="n"/>
      <c r="BH336" s="82" t="n"/>
      <c r="BI336" s="82" t="n"/>
      <c r="BJ336" s="82" t="n"/>
      <c r="BL336" s="82" t="n"/>
      <c r="BM336" s="82" t="n"/>
      <c r="BN336" s="82" t="n"/>
      <c r="BO336" s="82" t="n"/>
      <c r="BQ336" s="82" t="n"/>
      <c r="BR336" s="82" t="n"/>
      <c r="BS336" s="82" t="n"/>
      <c r="BT336" s="82" t="n"/>
      <c r="BV336" s="82" t="n"/>
      <c r="BW336" s="82" t="n"/>
      <c r="BX336" s="82" t="n"/>
      <c r="BY336" s="82" t="n"/>
      <c r="CA336" s="82" t="n"/>
      <c r="CB336" s="82" t="n"/>
      <c r="CC336" s="82" t="n"/>
      <c r="CD336" s="82" t="n"/>
      <c r="CF336" s="82" t="n"/>
      <c r="CG336" s="82" t="n"/>
      <c r="CH336" s="82" t="n"/>
      <c r="CI336" s="82" t="n"/>
      <c r="CK336" s="82" t="n"/>
      <c r="CL336" s="82" t="n"/>
      <c r="CM336" s="82" t="n"/>
      <c r="CN336" s="82" t="n"/>
      <c r="CP336" s="82" t="n"/>
      <c r="CQ336" s="82" t="n"/>
      <c r="CR336" s="82" t="n"/>
      <c r="CS336" s="82" t="n"/>
      <c r="CU336" s="82" t="n"/>
      <c r="CV336" s="82" t="n"/>
      <c r="CW336" s="82" t="n"/>
      <c r="CX336" s="82" t="n"/>
    </row>
    <row r="337" customFormat="1" s="77">
      <c r="A337" s="76" t="n"/>
      <c r="B337" s="76" t="n"/>
      <c r="C337" s="77" t="inlineStr">
        <is>
          <t>CASH RATIO</t>
        </is>
      </c>
      <c r="D337" s="82" t="str">
        <f>IFERROR(SUM(D139)/SUM(D193,D197,D199,D200),"")</f>
        <v/>
      </c>
      <c r="E337" s="82" t="str">
        <f>IFERROR(SUM(E139)/SUM(E193,E197,E199,E200),"")</f>
        <v/>
      </c>
      <c r="F337" s="82" t="str">
        <f>IFERROR(SUM(F139)/SUM(F193,F197,F199,F200),"")</f>
        <v/>
      </c>
      <c r="G337" s="82" t="str">
        <f>IFERROR(SUM(G139)/SUM(G193,G197,G199,G200),"")</f>
        <v/>
      </c>
      <c r="H337" s="262" t="str">
        <f>IFERROR(IF((N(H193)+N(H197)+N(H199)+N(H200)+N(H207)+N(H208)+N(H209))&lt;&gt;0,N(H139)/(N(H193)+N(H197)+N(H199)+N(H200)+N(H207)+N(H208)+N(H209)),""),"")</f>
        <v/>
      </c>
      <c r="I337" s="262">
        <f>IFERROR(IF((N(I193)+N(I197)+N(I199)+N(I200)+N(I207)+N(I208)+N(I209))&lt;&gt;0,N(I139)/(N(I193)+N(I197)+N(I199)+N(I200)+N(I207)+N(I208)+N(I209)),""),"")</f>
        <v>0.260487271858087</v>
      </c>
      <c r="J337" s="262">
        <f>IFERROR(IF((N(J193)+N(J197)+N(J199)+N(J200)+N(J207)+N(J208)+N(J209))&lt;&gt;0,N(J139)/(N(J193)+N(J197)+N(J199)+N(J200)+N(J207)+N(J208)+N(J209)),""),"")</f>
        <v>0.216733363368934</v>
      </c>
      <c r="K337" s="262">
        <f>IFERROR(IF((N(K193)+N(K197)+N(K199)+N(K200)+N(K207)+N(K208)+N(K209))&lt;&gt;0,N(K139)/(N(K193)+N(K197)+N(K199)+N(K200)+N(K207)+N(K208)+N(K209)),""),"")</f>
        <v>0.279586317789797</v>
      </c>
      <c r="L337" s="262">
        <f>IFERROR(IF((N(L193)+N(L197)+N(L199)+N(L200)+N(L207)+N(L208)+N(L209))&lt;&gt;0,N(L139)/(N(L193)+N(L197)+N(L199)+N(L200)+N(L207)+N(L208)+N(L209)),""),"")</f>
        <v>0.259661057484704</v>
      </c>
      <c r="M337" s="262">
        <f>IFERROR(IF((N(M193)+N(M197)+N(M199)+N(M200)+N(M207)+N(M208)+N(M209))&lt;&gt;0,N(M139)/(N(M193)+N(M197)+N(M199)+N(M200)+N(M207)+N(M208)+N(M209)),""),"")</f>
        <v>0.259661057484704</v>
      </c>
      <c r="N337" s="262">
        <f>IFERROR(IF((N(N193)+N(N197)+N(N199)+N(N200)+N(N207)+N(N208)+N(N209))&lt;&gt;0,N(N139)/(N(N193)+N(N197)+N(N199)+N(N200)+N(N207)+N(N208)+N(N209)),""),"")</f>
        <v>0.191864634692963</v>
      </c>
      <c r="O337" s="262">
        <f>IFERROR(IF((N(O193)+N(O197)+N(O199)+N(O200)+N(O207)+N(O208)+N(O209))&lt;&gt;0,N(O139)/(N(O193)+N(O197)+N(O199)+N(O200)+N(O207)+N(O208)+N(O209)),""),"")</f>
        <v>0.17519813579504</v>
      </c>
      <c r="P337" s="262">
        <f>IFERROR(IF((N(P193)+N(P197)+N(P199)+N(P200)+N(P207)+N(P208)+N(P209))&lt;&gt;0,N(P139)/(N(P193)+N(P197)+N(P199)+N(P200)+N(P207)+N(P208)+N(P209)),""),"")</f>
        <v>0.175182714913626</v>
      </c>
      <c r="Q337" s="262">
        <f>IFERROR(IF((N(Q193)+N(Q197)+N(Q199)+N(Q200)+N(Q207)+N(Q208)+N(Q209))&lt;&gt;0,N(Q139)/(N(Q193)+N(Q197)+N(Q199)+N(Q200)+N(Q207)+N(Q208)+N(Q209)),""),"")</f>
        <v>0.129056727077523</v>
      </c>
      <c r="R337" s="262">
        <f>IFERROR(IF((N(R193)+N(R197)+N(R199)+N(R200)+N(R207)+N(R208)+N(R209))&lt;&gt;0,N(R139)/(N(R193)+N(R197)+N(R199)+N(R200)+N(R207)+N(R208)+N(R209)),""),"")</f>
        <v>0.129056727077523</v>
      </c>
      <c r="S337" s="262">
        <f>IFERROR(IF((N(S193)+N(S197)+N(S199)+N(S200)+N(S207)+N(S208)+N(S209))&lt;&gt;0,N(S139)/(N(S193)+N(S197)+N(S199)+N(S200)+N(S207)+N(S208)+N(S209)),""),"")</f>
        <v>0.229188007495315</v>
      </c>
      <c r="T337" s="262">
        <f>IFERROR(IF((N(T193)+N(T197)+N(T199)+N(T200)+N(T207)+N(T208)+N(T209))&lt;&gt;0,N(T139)/(N(T193)+N(T197)+N(T199)+N(T200)+N(T207)+N(T208)+N(T209)),""),"")</f>
        <v>0.149569125033043</v>
      </c>
      <c r="U337" s="262">
        <f>IFERROR(IF((N(U193)+N(U197)+N(U199)+N(U200)+N(U207)+N(U208)+N(U209))&lt;&gt;0,N(U139)/(N(U193)+N(U197)+N(U199)+N(U200)+N(U207)+N(U208)+N(U209)),""),"")</f>
        <v>0.113368366502714</v>
      </c>
      <c r="V337" s="262">
        <f>IFERROR(IF((N(V193)+N(V197)+N(V199)+N(V200)+N(V207)+N(V208)+N(V209))&lt;&gt;0,N(V139)/(N(V193)+N(V197)+N(V199)+N(V200)+N(V207)+N(V208)+N(V209)),""),"")</f>
        <v>0.107268477129835</v>
      </c>
      <c r="W337" s="262">
        <f>IFERROR(IF((N(W193)+N(W197)+N(W199)+N(W200)+N(W207)+N(W208)+N(W209))&lt;&gt;0,N(W139)/(N(W193)+N(W197)+N(W199)+N(W200)+N(W207)+N(W208)+N(W209)),""),"")</f>
        <v>0.107268477129835</v>
      </c>
      <c r="X337" s="262">
        <f>IFERROR(IF((N(X193)+N(X197)+N(X199)+N(X200)+N(X207)+N(X208)+N(X209))&lt;&gt;0,N(X139)/(N(X193)+N(X197)+N(X199)+N(X200)+N(X207)+N(X208)+N(X209)),""),"")</f>
        <v>0.139062592415354</v>
      </c>
      <c r="Y337" s="262">
        <f>IFERROR(IF((N(Y193)+N(Y197)+N(Y199)+N(Y200)+N(Y207)+N(Y208)+N(Y209))&lt;&gt;0,N(Y139)/(N(Y193)+N(Y197)+N(Y199)+N(Y200)+N(Y207)+N(Y208)+N(Y209)),""),"")</f>
        <v>0.124035809624943</v>
      </c>
      <c r="Z337" s="262">
        <f>IFERROR(IF((N(Z193)+N(Z197)+N(Z199)+N(Z200)+N(Z207)+N(Z208)+N(Z209))&lt;&gt;0,N(Z139)/(N(Z193)+N(Z197)+N(Z199)+N(Z200)+N(Z207)+N(Z208)+N(Z209)),""),"")</f>
        <v>0.142594866682067</v>
      </c>
      <c r="AA337" s="262">
        <f>IFERROR(IF((N(AA193)+N(AA197)+N(AA199)+N(AA200)+N(AA207)+N(AA208)+N(AA209))&lt;&gt;0,N(AA139)/(N(AA193)+N(AA197)+N(AA199)+N(AA200)+N(AA207)+N(AA208)+N(AA209)),""),"")</f>
        <v>0.120634607387777</v>
      </c>
      <c r="AB337" s="262">
        <f>IFERROR(IF((N(AB193)+N(AB197)+N(AB199)+N(AB200)+N(AB207)+N(AB208)+N(AB209))&lt;&gt;0,N(AB139)/(N(AB193)+N(AB197)+N(AB199)+N(AB200)+N(AB207)+N(AB208)+N(AB209)),""),"")</f>
        <v>0.120634607387777</v>
      </c>
      <c r="AC337" s="262">
        <f>IFERROR(IF((N(AC193)+N(AC197)+N(AC199)+N(AC200)+N(AC207)+N(AC208)+N(AC209))&lt;&gt;0,N(AC139)/(N(AC193)+N(AC197)+N(AC199)+N(AC200)+N(AC207)+N(AC208)+N(AC209)),""),"")</f>
        <v>0.107113518978585</v>
      </c>
      <c r="AD337" s="262">
        <f>IFERROR(IF((N(AD193)+N(AD197)+N(AD199)+N(AD200)+N(AD207)+N(AD208)+N(AD209))&lt;&gt;0,N(AD139)/(N(AD193)+N(AD197)+N(AD199)+N(AD200)+N(AD207)+N(AD208)+N(AD209)),""),"")</f>
        <v>0.0908767065010418</v>
      </c>
      <c r="AE337" s="262">
        <f>IFERROR(IF((N(AE193)+N(AE197)+N(AE199)+N(AE200)+N(AE207)+N(AE208)+N(AE209))&lt;&gt;0,N(AE139)/(N(AE193)+N(AE197)+N(AE199)+N(AE200)+N(AE207)+N(AE208)+N(AE209)),""),"")</f>
        <v>0.246967556781238</v>
      </c>
      <c r="AF337" s="262">
        <f>IFERROR(IF((N(AF193)+N(AF197)+N(AF199)+N(AF200)+N(AF207)+N(AF208)+N(AF209))&lt;&gt;0,N(AF139)/(N(AF193)+N(AF197)+N(AF199)+N(AF200)+N(AF207)+N(AF208)+N(AF209)),""),"")</f>
        <v>0.206313159986374</v>
      </c>
      <c r="AG337" s="262">
        <f>IFERROR(IF((N(AG193)+N(AG197)+N(AG199)+N(AG200)+N(AG207)+N(AG208)+N(AG209))&lt;&gt;0,N(AG139)/(N(AG193)+N(AG197)+N(AG199)+N(AG200)+N(AG207)+N(AG208)+N(AG209)),""),"")</f>
        <v>0.206313159986374</v>
      </c>
      <c r="AH337" s="262">
        <f>IFERROR(IF((N(AH193)+N(AH197)+N(AH199)+N(AH200)+N(AH207)+N(AH208)+N(AH209))&lt;&gt;0,N(AH139)/(N(AH193)+N(AH197)+N(AH199)+N(AH200)+N(AH207)+N(AH208)+N(AH209)),""),"")</f>
        <v>0.144182999399465</v>
      </c>
      <c r="AI337" s="262">
        <f>IFERROR(IF((N(AI193)+N(AI197)+N(AI199)+N(AI200)+N(AI207)+N(AI208)+N(AI209))&lt;&gt;0,N(AI139)/(N(AI193)+N(AI197)+N(AI199)+N(AI200)+N(AI207)+N(AI208)+N(AI209)),""),"")</f>
        <v>0.187469889612702</v>
      </c>
      <c r="AJ337" s="262">
        <f>IFERROR(IF((N(AJ193)+N(AJ197)+N(AJ199)+N(AJ200)+N(AJ207)+N(AJ208)+N(AJ209))&lt;&gt;0,N(AJ139)/(N(AJ193)+N(AJ197)+N(AJ199)+N(AJ200)+N(AJ207)+N(AJ208)+N(AJ209)),""),"")</f>
        <v>0.224422859852636</v>
      </c>
      <c r="AK337" s="262">
        <f>IFERROR(IF((N(AK193)+N(AK197)+N(AK199)+N(AK200)+N(AK207)+N(AK208)+N(AK209))&lt;&gt;0,N(AK139)/(N(AK193)+N(AK197)+N(AK199)+N(AK200)+N(AK207)+N(AK208)+N(AK209)),""),"")</f>
        <v>0.296405417265718</v>
      </c>
      <c r="AL337" s="262">
        <f>IFERROR(IF((N(AL193)+N(AL197)+N(AL199)+N(AL200)+N(AL207)+N(AL208)+N(AL209))&lt;&gt;0,N(AL139)/(N(AL193)+N(AL197)+N(AL199)+N(AL200)+N(AL207)+N(AL208)+N(AL209)),""),"")</f>
        <v>0.296405417265718</v>
      </c>
      <c r="AM337" s="262">
        <f>IFERROR(IF((N(AM193)+N(AM197)+N(AM199)+N(AM200)+N(AM207)+N(AM208)+N(AM209))&lt;&gt;0,N(AM139)/(N(AM193)+N(AM197)+N(AM199)+N(AM200)+N(AM207)+N(AM208)+N(AM209)),""),"")</f>
        <v>0.403182006547129</v>
      </c>
      <c r="AN337" s="262">
        <f>IFERROR(IF((N(AN193)+N(AN197)+N(AN199)+N(AN200)+N(AN207)+N(AN208)+N(AN209))&lt;&gt;0,N(AN139)/(N(AN193)+N(AN197)+N(AN199)+N(AN200)+N(AN207)+N(AN208)+N(AN209)),""),"")</f>
        <v>0.448732975921873</v>
      </c>
      <c r="AO337" s="262">
        <f>IFERROR(IF((N(AO193)+N(AO197)+N(AO199)+N(AO200)+N(AO207)+N(AO208)+N(AO209))&lt;&gt;0,N(AO139)/(N(AO193)+N(AO197)+N(AO199)+N(AO200)+N(AO207)+N(AO208)+N(AO209)),""),"")</f>
        <v>0.5256748521476</v>
      </c>
      <c r="AP337" s="262">
        <f>IFERROR(IF((N(AP193)+N(AP197)+N(AP199)+N(AP200)+N(AP207)+N(AP208)+N(AP209))&lt;&gt;0,N(AP139)/(N(AP193)+N(AP197)+N(AP199)+N(AP200)+N(AP207)+N(AP208)+N(AP209)),""),"")</f>
        <v>0.619512623890356</v>
      </c>
      <c r="AQ337" s="262">
        <f>IFERROR(IF((N(AQ193)+N(AQ197)+N(AQ199)+N(AQ200)+N(AQ207)+N(AQ208)+N(AQ209))&lt;&gt;0,N(AQ139)/(N(AQ193)+N(AQ197)+N(AQ199)+N(AQ200)+N(AQ207)+N(AQ208)+N(AQ209)),""),"")</f>
        <v>0.619512623890356</v>
      </c>
      <c r="AR337" s="262">
        <f>IFERROR(IF((N(AR193)+N(AR197)+N(AR199)+N(AR200)+N(AR207)+N(AR208)+N(AR209))&lt;&gt;0,N(AR139)/(N(AR193)+N(AR197)+N(AR199)+N(AR200)+N(AR207)+N(AR208)+N(AR209)),""),"")</f>
        <v>0.753949644111891</v>
      </c>
      <c r="AS337" s="262">
        <f>IFERROR(IF((N(AS193)+N(AS197)+N(AS199)+N(AS200)+N(AS207)+N(AS208)+N(AS209))&lt;&gt;0,N(AS139)/(N(AS193)+N(AS197)+N(AS199)+N(AS200)+N(AS207)+N(AS208)+N(AS209)),""),"")</f>
        <v>0.788527287459265</v>
      </c>
      <c r="AT337" s="262">
        <f>IFERROR(IF((N(AT193)+N(AT197)+N(AT199)+N(AT200)+N(AT207)+N(AT208)+N(AT209))&lt;&gt;0,N(AT139)/(N(AT193)+N(AT197)+N(AT199)+N(AT200)+N(AT207)+N(AT208)+N(AT209)),""),"")</f>
        <v>0.852536557241788</v>
      </c>
      <c r="AU337" s="262">
        <f>IFERROR(IF((N(AU193)+N(AU197)+N(AU199)+N(AU200)+N(AU207)+N(AU208)+N(AU209))&lt;&gt;0,N(AU139)/(N(AU193)+N(AU197)+N(AU199)+N(AU200)+N(AU207)+N(AU208)+N(AU209)),""),"")</f>
        <v>0.916261724474498</v>
      </c>
      <c r="AV337" s="262">
        <f>IFERROR(IF((N(AV193)+N(AV197)+N(AV199)+N(AV200)+N(AV207)+N(AV208)+N(AV209))&lt;&gt;0,N(AV139)/(N(AV193)+N(AV197)+N(AV199)+N(AV200)+N(AV207)+N(AV208)+N(AV209)),""),"")</f>
        <v>0.916261724474498</v>
      </c>
      <c r="AW337" s="262">
        <f>IFERROR(IF((N(AW193)+N(AW197)+N(AW199)+N(AW200)+N(AW207)+N(AW208)+N(AW209))&lt;&gt;0,N(AW139)/(N(AW193)+N(AW197)+N(AW199)+N(AW200)+N(AW207)+N(AW208)+N(AW209)),""),"")</f>
        <v>0.988013041990713</v>
      </c>
      <c r="AX337" s="262">
        <f>IFERROR(IF((N(AX193)+N(AX197)+N(AX199)+N(AX200)+N(AX207)+N(AX208)+N(AX209))&lt;&gt;0,N(AX139)/(N(AX193)+N(AX197)+N(AX199)+N(AX200)+N(AX207)+N(AX208)+N(AX209)),""),"")</f>
        <v>0.993785617689798</v>
      </c>
      <c r="AY337" s="262">
        <f>IFERROR(IF((N(AY193)+N(AY197)+N(AY199)+N(AY200)+N(AY207)+N(AY208)+N(AY209))&lt;&gt;0,N(AY139)/(N(AY193)+N(AY197)+N(AY199)+N(AY200)+N(AY207)+N(AY208)+N(AY209)),""),"")</f>
        <v>1.00891012873162</v>
      </c>
      <c r="AZ337" s="262">
        <f>IFERROR(IF((N(AZ193)+N(AZ197)+N(AZ199)+N(AZ200)+N(AZ207)+N(AZ208)+N(AZ209))&lt;&gt;0,N(AZ139)/(N(AZ193)+N(AZ197)+N(AZ199)+N(AZ200)+N(AZ207)+N(AZ208)+N(AZ209)),""),"")</f>
        <v>1.02208214385101</v>
      </c>
      <c r="BA337" s="262">
        <f>IFERROR(IF((N(BA193)+N(BA197)+N(BA199)+N(BA200)+N(BA207)+N(BA208)+N(BA209))&lt;&gt;0,N(BA139)/(N(BA193)+N(BA197)+N(BA199)+N(BA200)+N(BA207)+N(BA208)+N(BA209)),""),"")</f>
        <v>1.02208214385101</v>
      </c>
      <c r="BB337" s="262">
        <f>IFERROR(IF((N(BB193)+N(BB197)+N(BB199)+N(BB200)+N(BB207)+N(BB208)+N(BB209))&lt;&gt;0,N(BB139)/(N(BB193)+N(BB197)+N(BB199)+N(BB200)+N(BB207)+N(BB208)+N(BB209)),""),"")</f>
        <v>1.0390642478427</v>
      </c>
      <c r="BC337" s="262">
        <f>IFERROR(IF((N(BC193)+N(BC197)+N(BC199)+N(BC200)+N(BC207)+N(BC208)+N(BC209))&lt;&gt;0,N(BC139)/(N(BC193)+N(BC197)+N(BC199)+N(BC200)+N(BC207)+N(BC208)+N(BC209)),""),"")</f>
        <v>1.02872412899965</v>
      </c>
      <c r="BD337" s="262">
        <f>IFERROR(IF((N(BD193)+N(BD197)+N(BD199)+N(BD200)+N(BD207)+N(BD208)+N(BD209))&lt;&gt;0,N(BD139)/(N(BD193)+N(BD197)+N(BD199)+N(BD200)+N(BD207)+N(BD208)+N(BD209)),""),"")</f>
        <v>1.02523934279241</v>
      </c>
      <c r="BE337" s="262">
        <f>IFERROR(IF((N(BE193)+N(BE197)+N(BE199)+N(BE200)+N(BE207)+N(BE208)+N(BE209))&lt;&gt;0,N(BE139)/(N(BE193)+N(BE197)+N(BE199)+N(BE200)+N(BE207)+N(BE208)+N(BE209)),""),"")</f>
        <v>1.02327927037353</v>
      </c>
      <c r="BF337" s="262">
        <f>IFERROR(IF((N(BF193)+N(BF197)+N(BF199)+N(BF200)+N(BF207)+N(BF208)+N(BF209))&lt;&gt;0,N(BF139)/(N(BF193)+N(BF197)+N(BF199)+N(BF200)+N(BF207)+N(BF208)+N(BF209)),""),"")</f>
        <v>1.02327927037353</v>
      </c>
      <c r="BG337" s="82" t="n"/>
      <c r="BH337" s="82" t="n"/>
      <c r="BI337" s="82" t="n"/>
      <c r="BJ337" s="82" t="n"/>
      <c r="BL337" s="82" t="n"/>
      <c r="BM337" s="82" t="n"/>
      <c r="BN337" s="82" t="n"/>
      <c r="BO337" s="82" t="n"/>
      <c r="BQ337" s="82" t="n"/>
      <c r="BR337" s="82" t="n"/>
      <c r="BS337" s="82" t="n"/>
      <c r="BT337" s="82" t="n"/>
      <c r="BV337" s="82" t="n"/>
      <c r="BW337" s="82" t="n"/>
      <c r="BX337" s="82" t="n"/>
      <c r="BY337" s="82" t="n"/>
      <c r="CA337" s="82" t="n"/>
      <c r="CB337" s="82" t="n"/>
      <c r="CC337" s="82" t="n"/>
      <c r="CD337" s="82" t="n"/>
      <c r="CF337" s="82" t="n"/>
      <c r="CG337" s="82" t="n"/>
      <c r="CH337" s="82" t="n"/>
      <c r="CI337" s="82" t="n"/>
      <c r="CK337" s="82" t="n"/>
      <c r="CL337" s="82" t="n"/>
      <c r="CM337" s="82" t="n"/>
      <c r="CN337" s="82" t="n"/>
      <c r="CP337" s="82" t="n"/>
      <c r="CQ337" s="82" t="n"/>
      <c r="CR337" s="82" t="n"/>
      <c r="CS337" s="82" t="n"/>
      <c r="CU337" s="82" t="n"/>
      <c r="CV337" s="82" t="n"/>
      <c r="CW337" s="82" t="n"/>
      <c r="CX337" s="82" t="n"/>
    </row>
    <row r="338" customFormat="1" s="77">
      <c r="A338" s="76" t="n"/>
      <c r="B338" s="76" t="n"/>
    </row>
    <row r="339" customFormat="1" s="77">
      <c r="A339" s="76" t="n"/>
      <c r="B339" s="76" t="n"/>
      <c r="C339" s="74" t="inlineStr">
        <is>
          <t>OPERATING EFFICIENCY</t>
        </is>
      </c>
    </row>
    <row r="340" customFormat="1" s="84">
      <c r="A340" s="81" t="n"/>
      <c r="B340" s="81" t="n"/>
      <c r="C340" s="84" t="inlineStr">
        <is>
          <t>RETURN ON CAPITAL (ROIC) - LTM</t>
        </is>
      </c>
      <c r="D340" t="str">
        <f>IFERROR(D342/D345,"")</f>
        <v/>
      </c>
      <c r="E340" t="str">
        <f>IFERROR(E342/E345,"")</f>
        <v/>
      </c>
      <c r="F340" t="str">
        <f>IFERROR(F342/F345,"")</f>
        <v/>
      </c>
      <c r="G340" t="str">
        <f>IFERROR(G342/G345,"")</f>
        <v/>
      </c>
      <c r="H340" s="257" t="str">
        <f>IFERROR(IF(AND(COUNT(H342)=1,N(H345)&lt;&gt;0),(H342)/H345,""),"")</f>
        <v/>
      </c>
      <c r="I340" s="257" t="str">
        <f>""</f>
        <v/>
      </c>
      <c r="J340" s="257" t="str">
        <f>""</f>
        <v/>
      </c>
      <c r="K340" s="257" t="str">
        <f>""</f>
        <v/>
      </c>
      <c r="L340" s="257">
        <f>IFERROR(IF(AND(COUNT(I342,J342,K342,L342)=4,N(L345)&lt;&gt;0),(I342+J342+K342+L342)/L345,""),"")</f>
        <v>0</v>
      </c>
      <c r="M340" s="257">
        <f>IFERROR(IF(AND(COUNT(I342,J342,K342,L342)=4,N(M345)&lt;&gt;0),(I342+J342+K342+L342)/M345,""),"")</f>
        <v>0</v>
      </c>
      <c r="N340" s="257">
        <f>IFERROR(IF(AND(COUNT(J342,K342,L342,N342)=4,N(N345)&lt;&gt;0),(J342+K342+L342+N342)/N345,""),"")</f>
        <v>0</v>
      </c>
      <c r="O340" s="257">
        <f>IFERROR(IF(AND(COUNT(K342,L342,N342,O342)=4,N(O345)&lt;&gt;0),(K342+L342+N342+O342)/O345,""),"")</f>
        <v>0</v>
      </c>
      <c r="P340" s="257">
        <f>IFERROR(IF(AND(COUNT(L342,N342,O342,P342)=4,N(P345)&lt;&gt;0),(L342+N342+O342+P342)/P345,""),"")</f>
        <v>0</v>
      </c>
      <c r="Q340" s="257">
        <f>IFERROR(IF(AND(COUNT(N342,O342,P342,Q342)=4,N(Q345)&lt;&gt;0),(N342+O342+P342+Q342)/Q345,""),"")</f>
        <v>0</v>
      </c>
      <c r="R340" s="257">
        <f>IFERROR(IF(AND(COUNT(N342,O342,P342,Q342)=4,N(R345)&lt;&gt;0),(N342+O342+P342+Q342)/R345,""),"")</f>
        <v>0</v>
      </c>
      <c r="S340" s="257">
        <f>IFERROR(IF(AND(COUNT(O342,P342,Q342,S342)=4,N(S345)&lt;&gt;0),(O342+P342+Q342+S342)/S345,""),"")</f>
        <v>0</v>
      </c>
      <c r="T340" s="257">
        <f>IFERROR(IF(AND(COUNT(P342,Q342,S342,T342)=4,N(T345)&lt;&gt;0),(P342+Q342+S342+T342)/T345,""),"")</f>
        <v>0</v>
      </c>
      <c r="U340" s="257">
        <f>IFERROR(IF(AND(COUNT(Q342,S342,T342,U342)=4,N(U345)&lt;&gt;0),(Q342+S342+T342+U342)/U345,""),"")</f>
        <v>0</v>
      </c>
      <c r="V340" s="257">
        <f>IFERROR(IF(AND(COUNT(S342,T342,U342,V342)=4,N(V345)&lt;&gt;0),(S342+T342+U342+V342)/V345,""),"")</f>
        <v>0</v>
      </c>
      <c r="W340" s="257">
        <f>IFERROR(IF(AND(COUNT(S342,T342,U342,V342)=4,N(W345)&lt;&gt;0),(S342+T342+U342+V342)/W345,""),"")</f>
        <v>0</v>
      </c>
      <c r="X340" s="257">
        <f>IFERROR(IF(AND(COUNT(T342,U342,V342,X342)=4,N(X345)&lt;&gt;0),(T342+U342+V342+X342)/X345,""),"")</f>
        <v>0</v>
      </c>
      <c r="Y340" s="257">
        <f>IFERROR(IF(AND(COUNT(U342,V342,X342,Y342)=4,N(Y345)&lt;&gt;0),(U342+V342+X342+Y342)/Y345,""),"")</f>
        <v>0</v>
      </c>
      <c r="Z340" s="257">
        <f>IFERROR(IF(AND(COUNT(V342,X342,Y342,Z342)=4,N(Z345)&lt;&gt;0),(V342+X342+Y342+Z342)/Z345,""),"")</f>
        <v>0</v>
      </c>
      <c r="AA340" s="257">
        <f>IFERROR(IF(AND(COUNT(X342,Y342,Z342,AA342)=4,N(AA345)&lt;&gt;0),(X342+Y342+Z342+AA342)/AA345,""),"")</f>
        <v>0</v>
      </c>
      <c r="AB340" s="257">
        <f>IFERROR(IF(AND(COUNT(X342,Y342,Z342,AA342)=4,N(AB345)&lt;&gt;0),(X342+Y342+Z342+AA342)/AB345,""),"")</f>
        <v>0</v>
      </c>
      <c r="AC340" s="257">
        <f>IFERROR(IF(AND(COUNT(Y342,Z342,AA342,AC342)=4,N(AC345)&lt;&gt;0),(Y342+Z342+AA342+AC342)/AC345,""),"")</f>
        <v>0</v>
      </c>
      <c r="AD340" s="257">
        <f>IFERROR(IF(AND(COUNT(Z342,AA342,AC342,AD342)=4,N(AD345)&lt;&gt;0),(Z342+AA342+AC342+AD342)/AD345,""),"")</f>
        <v>0</v>
      </c>
      <c r="AE340" s="257">
        <f>IFERROR(IF(AND(COUNT(AA342,AC342,AD342,AE342)=4,N(AE345)&lt;&gt;0),(AA342+AC342+AD342+AE342)/AE345,""),"")</f>
        <v>0</v>
      </c>
      <c r="AF340" s="257">
        <f>IFERROR(IF(AND(COUNT(AB342,AD342,AE342,AF342)=4,N(AF345)&lt;&gt;0),(AB342+AD342+AE342+AF342)/AF345,""),"")</f>
        <v>0</v>
      </c>
      <c r="AG340" s="257">
        <f>IFERROR(IF(AND(COUNT(AC342,AD342,AE342,AF342)=4,N(AG345)&lt;&gt;0),(AC342+AD342+AE342+AF342)/AG345,""),"")</f>
        <v>0</v>
      </c>
      <c r="AH340" s="257">
        <f>IFERROR(IF(AND(COUNT(AD342,AF342,AG342,AH342)=4,N(AH345)&lt;&gt;0),(AD342+AF342+AG342+AH342)/AH345,""),"")</f>
        <v>0</v>
      </c>
      <c r="AI340" s="257">
        <f>IFERROR(IF(AND(COUNT(AE342,AG342,AH342,AI342)=4,N(AI345)&lt;&gt;0),(AE342+AG342+AH342+AI342)/AI345,""),"")</f>
        <v>0</v>
      </c>
      <c r="AJ340" s="257">
        <f>IFERROR(IF(AND(COUNT(AF342,AH342,AI342,AJ342)=4,N(AJ345)&lt;&gt;0),(AF342+AH342+AI342+AJ342)/AJ345,""),"")</f>
        <v>-2.95853675316588e-17</v>
      </c>
      <c r="AK340" s="257">
        <f>IFERROR(IF(AND(COUNT(AH342,AI342,AJ342,AK342)=4,N(AK345)&lt;&gt;0),(AH342+AI342+AJ342+AK342)/AK345,""),"")</f>
        <v>-2.78669445161692e-17</v>
      </c>
      <c r="AL340" s="257">
        <f>IFERROR(IF(AND(COUNT(AH342,AI342,AJ342,AK342)=4,N(AL345)&lt;&gt;0),(AH342+AI342+AJ342+AK342)/AL345,""),"")</f>
        <v>-2.78669445161692e-17</v>
      </c>
      <c r="AM340" s="257">
        <f>IFERROR(IF(AND(COUNT(AI342,AJ342,AK342,AM342)=4,N(AM345)&lt;&gt;0),(AI342+AJ342+AK342+AM342)/AM345,""),"")</f>
        <v>-2.68895718457856e-17</v>
      </c>
      <c r="AN340" s="257">
        <f>IFERROR(IF(AND(COUNT(AJ342,AK342,AM342,AN342)=4,N(AN345)&lt;&gt;0),(AJ342+AK342+AM342+AN342)/AN345,""),"")</f>
        <v>-2.50250555046099e-17</v>
      </c>
      <c r="AO340" s="257">
        <f>IFERROR(IF(AND(COUNT(AK342,AM342,AN342,AO342)=4,N(AO345)&lt;&gt;0),(AK342+AM342+AN342+AO342)/AO345,""),"")</f>
        <v>0</v>
      </c>
      <c r="AP340" s="257">
        <f>IFERROR(IF(AND(COUNT(AM342,AN342,AO342,AP342)=4,N(AP345)&lt;&gt;0),(AM342+AN342+AO342+AP342)/AP345,""),"")</f>
        <v>0</v>
      </c>
      <c r="AQ340" s="257">
        <f>IFERROR(IF(AND(COUNT(AM342,AN342,AO342,AP342)=4,N(AQ345)&lt;&gt;0),(AM342+AN342+AO342+AP342)/AQ345,""),"")</f>
        <v>0</v>
      </c>
      <c r="AR340" s="257">
        <f>IFERROR(IF(AND(COUNT(AN342,AO342,AP342,AR342)=4,N(AR345)&lt;&gt;0),(AN342+AO342+AP342+AR342)/AR345,""),"")</f>
        <v>0</v>
      </c>
      <c r="AS340" s="257">
        <f>IFERROR(IF(AND(COUNT(AO342,AP342,AR342,AS342)=4,N(AS345)&lt;&gt;0),(AO342+AP342+AR342+AS342)/AS345,""),"")</f>
        <v>0</v>
      </c>
      <c r="AT340" s="257">
        <f>IFERROR(IF(AND(COUNT(AP342,AR342,AS342,AT342)=4,N(AT345)&lt;&gt;0),(AP342+AR342+AS342+AT342)/AT345,""),"")</f>
        <v>0</v>
      </c>
      <c r="AU340" s="257">
        <f>IFERROR(IF(AND(COUNT(AR342,AS342,AT342,AU342)=4,N(AU345)&lt;&gt;0),(AR342+AS342+AT342+AU342)/AU345,""),"")</f>
        <v>0</v>
      </c>
      <c r="AV340" s="257">
        <f>IFERROR(IF(AND(COUNT(AR342,AS342,AT342,AU342)=4,N(AV345)&lt;&gt;0),(AR342+AS342+AT342+AU342)/AV345,""),"")</f>
        <v>0</v>
      </c>
      <c r="AW340" s="257">
        <f>IFERROR(IF(AND(COUNT(AS342,AT342,AU342,AW342)=4,N(AW345)&lt;&gt;0),(AS342+AT342+AU342+AW342)/AW345,""),"")</f>
        <v>0</v>
      </c>
      <c r="AX340" s="257">
        <f>IFERROR(IF(AND(COUNT(AT342,AU342,AW342,AX342)=4,N(AX345)&lt;&gt;0),(AT342+AU342+AW342+AX342)/AX345,""),"")</f>
        <v>-2.18476456982515e-16</v>
      </c>
      <c r="AY340" s="257">
        <f>IFERROR(IF(AND(COUNT(AU342,AW342,AX342,AY342)=4,N(AY345)&lt;&gt;0),(AU342+AW342+AX342+AY342)/AY345,""),"")</f>
        <v>5.28894861869628e-16</v>
      </c>
      <c r="AZ340" s="257">
        <f>IFERROR(IF(AND(COUNT(AW342,AX342,AY342,AZ342)=4,N(AZ345)&lt;&gt;0),(AW342+AX342+AY342+AZ342)/AZ345,""),"")</f>
        <v>1.2313927546533e-16</v>
      </c>
      <c r="BA340" s="257">
        <f>IFERROR(IF(AND(COUNT(AW342,AX342,AY342,AZ342)=4,N(BA345)&lt;&gt;0),(AW342+AX342+AY342+AZ342)/BA345,""),"")</f>
        <v>1.2313927546533e-16</v>
      </c>
      <c r="BB340" s="257">
        <f>IFERROR(IF(AND(COUNT(AX342,AY342,AZ342,BB342)=4,N(BB345)&lt;&gt;0),(AX342+AY342+AZ342+BB342)/BB345,""),"")</f>
        <v>5.53726146940945e-17</v>
      </c>
      <c r="BC340" s="257">
        <f>IFERROR(IF(AND(COUNT(AY342,AZ342,BB342,BC342)=4,N(BC345)&lt;&gt;0),(AY342+AZ342+BB342+BC342)/BC345,""),"")</f>
        <v>3.5536416036508e-17</v>
      </c>
      <c r="BD340" s="257">
        <f>IFERROR(IF(AND(COUNT(AZ342,BB342,BC342,BD342)=4,N(BD345)&lt;&gt;0),(AZ342+BB342+BC342+BD342)/BD345,""),"")</f>
        <v>1.06927420934776e-17</v>
      </c>
      <c r="BE340" s="257">
        <f>IFERROR(IF(AND(COUNT(BB342,BC342,BD342,BE342)=4,N(BE345)&lt;&gt;0),(BB342+BC342+BD342+BE342)/BE345,""),"")</f>
        <v>6.702064965639e-18</v>
      </c>
      <c r="BF340" s="257">
        <f>IFERROR(IF(AND(COUNT(BB342,BC342,BD342,BE342)=4,N(BF345)&lt;&gt;0),(BB342+BC342+BD342+BE342)/BF345,""),"")</f>
        <v>6.702064965639e-18</v>
      </c>
      <c r="BG340" s="81" t="n"/>
      <c r="BH340" s="81" t="n"/>
      <c r="BI340" s="81" t="n"/>
      <c r="BJ340" s="81" t="n"/>
      <c r="BL340" s="81" t="n"/>
      <c r="BM340" s="81" t="n"/>
      <c r="BN340" s="81" t="n"/>
      <c r="BO340" s="81" t="n"/>
      <c r="BQ340" s="81" t="n"/>
      <c r="BR340" s="81" t="n"/>
      <c r="BS340" s="81" t="n"/>
      <c r="BT340" s="81" t="n"/>
      <c r="BV340" s="81" t="n"/>
      <c r="BW340" s="81" t="n"/>
      <c r="BX340" s="81" t="n"/>
      <c r="BY340" s="81" t="n"/>
      <c r="CA340" s="81" t="n"/>
      <c r="CB340" s="81" t="n"/>
      <c r="CC340" s="81" t="n"/>
      <c r="CD340" s="81" t="n"/>
      <c r="CF340" s="81" t="n"/>
      <c r="CG340" s="81" t="n"/>
      <c r="CH340" s="81" t="n"/>
      <c r="CI340" s="81" t="n"/>
      <c r="CK340" s="81" t="n"/>
      <c r="CL340" s="81" t="n"/>
      <c r="CM340" s="81" t="n"/>
      <c r="CN340" s="81" t="n"/>
      <c r="CP340" s="81" t="n"/>
      <c r="CQ340" s="81" t="n"/>
      <c r="CR340" s="81" t="n"/>
      <c r="CS340" s="81" t="n"/>
      <c r="CU340" s="81" t="n"/>
      <c r="CV340" s="81" t="n"/>
      <c r="CW340" s="81" t="n"/>
      <c r="CX340" s="81" t="n"/>
    </row>
    <row r="341" customFormat="1" s="84">
      <c r="A341" s="81" t="n"/>
      <c r="B341" s="81" t="n"/>
      <c r="C341" s="84" t="inlineStr">
        <is>
          <t>RETURN ON CAPITAL (ROIC) - EX GOODWILL - LTM</t>
        </is>
      </c>
      <c r="D341" t="str">
        <f>IFERROR(D342/D346,"")</f>
        <v/>
      </c>
      <c r="E341" t="str">
        <f>IFERROR(E342/E346,"")</f>
        <v/>
      </c>
      <c r="F341" t="str">
        <f>IFERROR(F342/F346,"")</f>
        <v/>
      </c>
      <c r="G341" t="str">
        <f>IFERROR(G342/G346,"")</f>
        <v/>
      </c>
      <c r="H341" s="257" t="str">
        <f>IFERROR(IF(AND(COUNT(H342)=1,N(H346)&lt;&gt;0),(H342)/H346,""),"")</f>
        <v/>
      </c>
      <c r="I341" s="257" t="str">
        <f>""</f>
        <v/>
      </c>
      <c r="J341" s="257" t="str">
        <f>""</f>
        <v/>
      </c>
      <c r="K341" s="257" t="str">
        <f>""</f>
        <v/>
      </c>
      <c r="L341" s="257">
        <f>IFERROR(IF(AND(COUNT(I342,J342,K342,L342)=4,N(L346)&lt;&gt;0),(I342+J342+K342+L342)/L346,""),"")</f>
        <v>0</v>
      </c>
      <c r="M341" s="257">
        <f>IFERROR(IF(AND(COUNT(I342,J342,K342,L342)=4,N(M346)&lt;&gt;0),(I342+J342+K342+L342)/M346,""),"")</f>
        <v>0</v>
      </c>
      <c r="N341" s="257">
        <f>IFERROR(IF(AND(COUNT(J342,K342,L342,N342)=4,N(N346)&lt;&gt;0),(J342+K342+L342+N342)/N346,""),"")</f>
        <v>0</v>
      </c>
      <c r="O341" s="257">
        <f>IFERROR(IF(AND(COUNT(K342,L342,N342,O342)=4,N(O346)&lt;&gt;0),(K342+L342+N342+O342)/O346,""),"")</f>
        <v>0</v>
      </c>
      <c r="P341" s="257">
        <f>IFERROR(IF(AND(COUNT(L342,N342,O342,P342)=4,N(P346)&lt;&gt;0),(L342+N342+O342+P342)/P346,""),"")</f>
        <v>0</v>
      </c>
      <c r="Q341" s="257">
        <f>IFERROR(IF(AND(COUNT(N342,O342,P342,Q342)=4,N(Q346)&lt;&gt;0),(N342+O342+P342+Q342)/Q346,""),"")</f>
        <v>0</v>
      </c>
      <c r="R341" s="257">
        <f>IFERROR(IF(AND(COUNT(N342,O342,P342,Q342)=4,N(R346)&lt;&gt;0),(N342+O342+P342+Q342)/R346,""),"")</f>
        <v>0</v>
      </c>
      <c r="S341" s="257">
        <f>IFERROR(IF(AND(COUNT(O342,P342,Q342,S342)=4,N(S346)&lt;&gt;0),(O342+P342+Q342+S342)/S346,""),"")</f>
        <v>0</v>
      </c>
      <c r="T341" s="257">
        <f>IFERROR(IF(AND(COUNT(P342,Q342,S342,T342)=4,N(T346)&lt;&gt;0),(P342+Q342+S342+T342)/T346,""),"")</f>
        <v>0</v>
      </c>
      <c r="U341" s="257">
        <f>IFERROR(IF(AND(COUNT(Q342,S342,T342,U342)=4,N(U346)&lt;&gt;0),(Q342+S342+T342+U342)/U346,""),"")</f>
        <v>0</v>
      </c>
      <c r="V341" s="257">
        <f>IFERROR(IF(AND(COUNT(S342,T342,U342,V342)=4,N(V346)&lt;&gt;0),(S342+T342+U342+V342)/V346,""),"")</f>
        <v>0</v>
      </c>
      <c r="W341" s="257">
        <f>IFERROR(IF(AND(COUNT(S342,T342,U342,V342)=4,N(W346)&lt;&gt;0),(S342+T342+U342+V342)/W346,""),"")</f>
        <v>0</v>
      </c>
      <c r="X341" s="257">
        <f>IFERROR(IF(AND(COUNT(T342,U342,V342,X342)=4,N(X346)&lt;&gt;0),(T342+U342+V342+X342)/X346,""),"")</f>
        <v>0</v>
      </c>
      <c r="Y341" s="257">
        <f>IFERROR(IF(AND(COUNT(U342,V342,X342,Y342)=4,N(Y346)&lt;&gt;0),(U342+V342+X342+Y342)/Y346,""),"")</f>
        <v>0</v>
      </c>
      <c r="Z341" s="257">
        <f>IFERROR(IF(AND(COUNT(V342,X342,Y342,Z342)=4,N(Z346)&lt;&gt;0),(V342+X342+Y342+Z342)/Z346,""),"")</f>
        <v>0</v>
      </c>
      <c r="AA341" s="257">
        <f>IFERROR(IF(AND(COUNT(X342,Y342,Z342,AA342)=4,N(AA346)&lt;&gt;0),(X342+Y342+Z342+AA342)/AA346,""),"")</f>
        <v>0</v>
      </c>
      <c r="AB341" s="257">
        <f>IFERROR(IF(AND(COUNT(X342,Y342,Z342,AA342)=4,N(AB346)&lt;&gt;0),(X342+Y342+Z342+AA342)/AB346,""),"")</f>
        <v>0</v>
      </c>
      <c r="AC341" s="257">
        <f>IFERROR(IF(AND(COUNT(Y342,Z342,AA342,AC342)=4,N(AC346)&lt;&gt;0),(Y342+Z342+AA342+AC342)/AC346,""),"")</f>
        <v>0</v>
      </c>
      <c r="AD341" s="257">
        <f>IFERROR(IF(AND(COUNT(Z342,AA342,AC342,AD342)=4,N(AD346)&lt;&gt;0),(Z342+AA342+AC342+AD342)/AD346,""),"")</f>
        <v>0</v>
      </c>
      <c r="AE341" s="257">
        <f>IFERROR(IF(AND(COUNT(AA342,AC342,AD342,AE342)=4,N(AE346)&lt;&gt;0),(AA342+AC342+AD342+AE342)/AE346,""),"")</f>
        <v>0</v>
      </c>
      <c r="AF341" s="257">
        <f>IFERROR(IF(AND(COUNT(AB342,AD342,AE342,AF342)=4,N(AF346)&lt;&gt;0),(AB342+AD342+AE342+AF342)/AF346,""),"")</f>
        <v>0</v>
      </c>
      <c r="AG341" s="257">
        <f>IFERROR(IF(AND(COUNT(AC342,AD342,AE342,AF342)=4,N(AG346)&lt;&gt;0),(AC342+AD342+AE342+AF342)/AG346,""),"")</f>
        <v>0</v>
      </c>
      <c r="AH341" s="257">
        <f>IFERROR(IF(AND(COUNT(AD342,AF342,AG342,AH342)=4,N(AH346)&lt;&gt;0),(AD342+AF342+AG342+AH342)/AH346,""),"")</f>
        <v>0</v>
      </c>
      <c r="AI341" s="257">
        <f>IFERROR(IF(AND(COUNT(AE342,AG342,AH342,AI342)=4,N(AI346)&lt;&gt;0),(AE342+AG342+AH342+AI342)/AI346,""),"")</f>
        <v>0</v>
      </c>
      <c r="AJ341" s="257">
        <f>IFERROR(IF(AND(COUNT(AF342,AH342,AI342,AJ342)=4,N(AJ346)&lt;&gt;0),(AF342+AH342+AI342+AJ342)/AJ346,""),"")</f>
        <v>-3.29663675365757e-17</v>
      </c>
      <c r="AK341" s="257">
        <f>IFERROR(IF(AND(COUNT(AH342,AI342,AJ342,AK342)=4,N(AK346)&lt;&gt;0),(AH342+AI342+AJ342+AK342)/AK346,""),"")</f>
        <v>-3.08468104408815e-17</v>
      </c>
      <c r="AL341" s="257">
        <f>IFERROR(IF(AND(COUNT(AH342,AI342,AJ342,AK342)=4,N(AL346)&lt;&gt;0),(AH342+AI342+AJ342+AK342)/AL346,""),"")</f>
        <v>-3.08468104408815e-17</v>
      </c>
      <c r="AM341" s="257">
        <f>IFERROR(IF(AND(COUNT(AI342,AJ342,AK342,AM342)=4,N(AM346)&lt;&gt;0),(AI342+AJ342+AK342+AM342)/AM346,""),"")</f>
        <v>-2.96537119927802e-17</v>
      </c>
      <c r="AN341" s="257">
        <f>IFERROR(IF(AND(COUNT(AJ342,AK342,AM342,AN342)=4,N(AN346)&lt;&gt;0),(AJ342+AK342+AM342+AN342)/AN346,""),"")</f>
        <v>-2.74022120251975e-17</v>
      </c>
      <c r="AO341" s="257">
        <f>IFERROR(IF(AND(COUNT(AK342,AM342,AN342,AO342)=4,N(AO346)&lt;&gt;0),(AK342+AM342+AN342+AO342)/AO346,""),"")</f>
        <v>0</v>
      </c>
      <c r="AP341" s="257">
        <f>IFERROR(IF(AND(COUNT(AM342,AN342,AO342,AP342)=4,N(AP346)&lt;&gt;0),(AM342+AN342+AO342+AP342)/AP346,""),"")</f>
        <v>0</v>
      </c>
      <c r="AQ341" s="257">
        <f>IFERROR(IF(AND(COUNT(AM342,AN342,AO342,AP342)=4,N(AQ346)&lt;&gt;0),(AM342+AN342+AO342+AP342)/AQ346,""),"")</f>
        <v>0</v>
      </c>
      <c r="AR341" s="257">
        <f>IFERROR(IF(AND(COUNT(AN342,AO342,AP342,AR342)=4,N(AR346)&lt;&gt;0),(AN342+AO342+AP342+AR342)/AR346,""),"")</f>
        <v>0</v>
      </c>
      <c r="AS341" s="257">
        <f>IFERROR(IF(AND(COUNT(AO342,AP342,AR342,AS342)=4,N(AS346)&lt;&gt;0),(AO342+AP342+AR342+AS342)/AS346,""),"")</f>
        <v>0</v>
      </c>
      <c r="AT341" s="257">
        <f>IFERROR(IF(AND(COUNT(AP342,AR342,AS342,AT342)=4,N(AT346)&lt;&gt;0),(AP342+AR342+AS342+AT342)/AT346,""),"")</f>
        <v>0</v>
      </c>
      <c r="AU341" s="257">
        <f>IFERROR(IF(AND(COUNT(AR342,AS342,AT342,AU342)=4,N(AU346)&lt;&gt;0),(AR342+AS342+AT342+AU342)/AU346,""),"")</f>
        <v>0</v>
      </c>
      <c r="AV341" s="257">
        <f>IFERROR(IF(AND(COUNT(AR342,AS342,AT342,AU342)=4,N(AV346)&lt;&gt;0),(AR342+AS342+AT342+AU342)/AV346,""),"")</f>
        <v>0</v>
      </c>
      <c r="AW341" s="257">
        <f>IFERROR(IF(AND(COUNT(AS342,AT342,AU342,AW342)=4,N(AW346)&lt;&gt;0),(AS342+AT342+AU342+AW342)/AW346,""),"")</f>
        <v>0</v>
      </c>
      <c r="AX341" s="257">
        <f>IFERROR(IF(AND(COUNT(AT342,AU342,AW342,AX342)=4,N(AX346)&lt;&gt;0),(AT342+AU342+AW342+AX342)/AX346,""),"")</f>
        <v>-3.03030001396743e-16</v>
      </c>
      <c r="AY341" s="257">
        <f>IFERROR(IF(AND(COUNT(AU342,AW342,AX342,AY342)=4,N(AY346)&lt;&gt;0),(AU342+AW342+AX342+AY342)/AY346,""),"")</f>
        <v>4.09461663138794e-16</v>
      </c>
      <c r="AZ341" s="257">
        <f>IFERROR(IF(AND(COUNT(AW342,AX342,AY342,AZ342)=4,N(AZ346)&lt;&gt;0),(AW342+AX342+AY342+AZ342)/AZ346,""),"")</f>
        <v>1.15308574036983e-16</v>
      </c>
      <c r="BA341" s="257">
        <f>IFERROR(IF(AND(COUNT(AW342,AX342,AY342,AZ342)=4,N(BA346)&lt;&gt;0),(AW342+AX342+AY342+AZ342)/BA346,""),"")</f>
        <v>1.15308574036983e-16</v>
      </c>
      <c r="BB341" s="257">
        <f>IFERROR(IF(AND(COUNT(AX342,AY342,AZ342,BB342)=4,N(BB346)&lt;&gt;0),(AX342+AY342+AZ342+BB342)/BB346,""),"")</f>
        <v>5.37317657055107e-17</v>
      </c>
      <c r="BC341" s="257">
        <f>IFERROR(IF(AND(COUNT(AY342,AZ342,BB342,BC342)=4,N(BC346)&lt;&gt;0),(AY342+AZ342+BB342+BC342)/BC346,""),"")</f>
        <v>3.49339310535164e-17</v>
      </c>
      <c r="BD341" s="257">
        <f>IFERROR(IF(AND(COUNT(AZ342,BB342,BC342,BD342)=4,N(BD346)&lt;&gt;0),(AZ342+BB342+BC342+BD342)/BD346,""),"")</f>
        <v>1.05829049761711e-17</v>
      </c>
      <c r="BE341" s="257">
        <f>IFERROR(IF(AND(COUNT(BB342,BC342,BD342,BE342)=4,N(BE346)&lt;&gt;0),(BB342+BC342+BD342+BE342)/BE346,""),"")</f>
        <v>6.65874816610504e-18</v>
      </c>
      <c r="BF341" s="257">
        <f>IFERROR(IF(AND(COUNT(BB342,BC342,BD342,BE342)=4,N(BF346)&lt;&gt;0),(BB342+BC342+BD342+BE342)/BF346,""),"")</f>
        <v>6.65874816610504e-18</v>
      </c>
      <c r="BG341" s="81" t="n"/>
      <c r="BH341" s="81" t="n"/>
      <c r="BI341" s="81" t="n"/>
      <c r="BJ341" s="81" t="n"/>
      <c r="BL341" s="81" t="n"/>
      <c r="BM341" s="81" t="n"/>
      <c r="BN341" s="81" t="n"/>
      <c r="BO341" s="81" t="n"/>
      <c r="BQ341" s="81" t="n"/>
      <c r="BR341" s="81" t="n"/>
      <c r="BS341" s="81" t="n"/>
      <c r="BT341" s="81" t="n"/>
      <c r="BV341" s="81" t="n"/>
      <c r="BW341" s="81" t="n"/>
      <c r="BX341" s="81" t="n"/>
      <c r="BY341" s="81" t="n"/>
      <c r="CA341" s="81" t="n"/>
      <c r="CB341" s="81" t="n"/>
      <c r="CC341" s="81" t="n"/>
      <c r="CD341" s="81" t="n"/>
      <c r="CF341" s="81" t="n"/>
      <c r="CG341" s="81" t="n"/>
      <c r="CH341" s="81" t="n"/>
      <c r="CI341" s="81" t="n"/>
      <c r="CK341" s="81" t="n"/>
      <c r="CL341" s="81" t="n"/>
      <c r="CM341" s="81" t="n"/>
      <c r="CN341" s="81" t="n"/>
      <c r="CP341" s="81" t="n"/>
      <c r="CQ341" s="81" t="n"/>
      <c r="CR341" s="81" t="n"/>
      <c r="CS341" s="81" t="n"/>
      <c r="CU341" s="81" t="n"/>
      <c r="CV341" s="81" t="n"/>
      <c r="CW341" s="81" t="n"/>
      <c r="CX341" s="81" t="n"/>
    </row>
    <row r="342" customFormat="1" s="77">
      <c r="A342" s="76" t="n"/>
      <c r="B342" s="76" t="n"/>
      <c r="C342" s="77" t="inlineStr">
        <is>
          <t>NOPLAT</t>
        </is>
      </c>
      <c r="D342">
        <f>IFERROR(D343*(1-D344),"")</f>
        <v>0</v>
      </c>
      <c r="E342">
        <f>IFERROR(E343*(1-E344),"")</f>
        <v>0</v>
      </c>
      <c r="F342">
        <f>IFERROR(F343*(1-F344),"")</f>
        <v>0</v>
      </c>
      <c r="G342">
        <f>IFERROR(G343*(1-G344),"")</f>
        <v>0</v>
      </c>
      <c r="H342" s="263">
        <f>IFERROR(H343*(1-N(H344)),0)</f>
        <v>0</v>
      </c>
      <c r="I342" s="263">
        <f>IFERROR(I343*(1-N(I344)),0)</f>
        <v>0</v>
      </c>
      <c r="J342" s="263">
        <f>IFERROR(J343*(1-N(J344)),0)</f>
        <v>0</v>
      </c>
      <c r="K342" s="263">
        <f>IFERROR(K343*(1-N(K344)),0)</f>
        <v>0</v>
      </c>
      <c r="L342" s="263">
        <f>IFERROR(L343*(1-N(L344)),0)</f>
        <v>0</v>
      </c>
      <c r="M342" s="263">
        <f>IFERROR(M343*(1-N(M344)),0)</f>
        <v>0</v>
      </c>
      <c r="N342" s="263">
        <f>IFERROR(N343*(1-N(N344)),0)</f>
        <v>0</v>
      </c>
      <c r="O342" s="263">
        <f>IFERROR(O343*(1-N(O344)),0)</f>
        <v>0</v>
      </c>
      <c r="P342" s="263">
        <f>IFERROR(P343*(1-N(P344)),0)</f>
        <v>0</v>
      </c>
      <c r="Q342" s="263">
        <f>IFERROR(Q343*(1-N(Q344)),0)</f>
        <v>0</v>
      </c>
      <c r="R342" s="263">
        <f>IFERROR(R343*(1-N(R344)),0)</f>
        <v>0</v>
      </c>
      <c r="S342" s="263">
        <f>IFERROR(S343*(1-N(S344)),0)</f>
        <v>0</v>
      </c>
      <c r="T342" s="263">
        <f>IFERROR(T343*(1-N(T344)),0)</f>
        <v>0</v>
      </c>
      <c r="U342" s="263">
        <f>IFERROR(U343*(1-N(U344)),0)</f>
        <v>0</v>
      </c>
      <c r="V342" s="263">
        <f>IFERROR(V343*(1-N(V344)),0)</f>
        <v>0</v>
      </c>
      <c r="W342" s="263">
        <f>IFERROR(W343*(1-N(W344)),0)</f>
        <v>0</v>
      </c>
      <c r="X342" s="263">
        <f>IFERROR(X343*(1-N(X344)),0)</f>
        <v>0</v>
      </c>
      <c r="Y342" s="263">
        <f>IFERROR(Y343*(1-N(Y344)),0)</f>
        <v>0</v>
      </c>
      <c r="Z342" s="263">
        <f>IFERROR(Z343*(1-N(Z344)),0)</f>
        <v>0</v>
      </c>
      <c r="AA342" s="263">
        <f>IFERROR(AA343*(1-N(AA344)),0)</f>
        <v>0</v>
      </c>
      <c r="AB342" s="263">
        <f>IFERROR(AB343*(1-N(AB344)),0)</f>
        <v>0</v>
      </c>
      <c r="AC342" s="263">
        <f>IFERROR(AC343*(1-N(AC344)),0)</f>
        <v>0</v>
      </c>
      <c r="AD342" s="263">
        <f>IFERROR(AD343*(1-N(AD344)),0)</f>
        <v>0</v>
      </c>
      <c r="AE342" s="263">
        <f>IFERROR(AE343*(1-N(AE344)),0)</f>
        <v>0</v>
      </c>
      <c r="AF342" s="263">
        <f>IFERROR(AF343*(1-N(AF344)),0)</f>
        <v>0</v>
      </c>
      <c r="AG342" s="263">
        <f>IFERROR(AG343*(1-N(AG344)),0)</f>
        <v>0</v>
      </c>
      <c r="AH342" s="263">
        <f>IFERROR(AH343*(1-N(AH344)),0)</f>
        <v>0</v>
      </c>
      <c r="AI342" s="263">
        <f>IFERROR(AI343*(1-N(AI344)),0)</f>
        <v>0</v>
      </c>
      <c r="AJ342" s="263">
        <f>IFERROR(AJ343*(1-N(AJ344)),0)</f>
        <v>-2.55268419052528e-12</v>
      </c>
      <c r="AK342" s="263">
        <f>IFERROR(AK343*(1-N(AK344)),0)</f>
        <v>0</v>
      </c>
      <c r="AL342" s="263">
        <f>IFERROR(AL343*(1-N(AL344)),0)</f>
        <v>0</v>
      </c>
      <c r="AM342" s="263">
        <f>IFERROR(AM343*(1-N(AM344)),0)</f>
        <v>0</v>
      </c>
      <c r="AN342" s="263">
        <f>IFERROR(AN343*(1-N(AN344)),0)</f>
        <v>0</v>
      </c>
      <c r="AO342" s="263">
        <f>IFERROR(AO343*(1-N(AO344)),0)</f>
        <v>0</v>
      </c>
      <c r="AP342" s="263">
        <f>IFERROR(AP343*(1-N(AP344)),0)</f>
        <v>0</v>
      </c>
      <c r="AQ342" s="263">
        <f>IFERROR(AQ343*(1-N(AQ344)),0)</f>
        <v>0</v>
      </c>
      <c r="AR342" s="263">
        <f>IFERROR(AR343*(1-N(AR344)),0)</f>
        <v>0</v>
      </c>
      <c r="AS342" s="263">
        <f>IFERROR(AS343*(1-N(AS344)),0)</f>
        <v>0</v>
      </c>
      <c r="AT342" s="263">
        <f>IFERROR(AT343*(1-N(AT344)),0)</f>
        <v>0</v>
      </c>
      <c r="AU342" s="263">
        <f>IFERROR(AU343*(1-N(AU344)),0)</f>
        <v>0</v>
      </c>
      <c r="AV342" s="263">
        <f>IFERROR(AV343*(1-N(AV344)),0)</f>
        <v>0</v>
      </c>
      <c r="AW342" s="263">
        <f>IFERROR(AW343*(1-N(AW344)),0)</f>
        <v>0</v>
      </c>
      <c r="AX342" s="263">
        <f>IFERROR(AX343*(1-N(AX344)),0)</f>
        <v>-6.92871423142576e-12</v>
      </c>
      <c r="AY342" s="263">
        <f>IFERROR(AY343*(1-N(AY344)),0)</f>
        <v>-9.116729251876e-12</v>
      </c>
      <c r="AZ342" s="263">
        <f>IFERROR(AZ343*(1-N(AZ344)),0)</f>
        <v>0</v>
      </c>
      <c r="BA342" s="263">
        <f>IFERROR(BA343*(1-N(BA344)),0)</f>
        <v>0</v>
      </c>
      <c r="BB342" s="263">
        <f>IFERROR(BB343*(1-N(BB344)),0)</f>
        <v>0</v>
      </c>
      <c r="BC342" s="263">
        <f>IFERROR(BC343*(1-N(BC344)),0)</f>
        <v>-9.116729251876e-12</v>
      </c>
      <c r="BD342" s="263">
        <f>IFERROR(BD343*(1-N(BD344)),0)</f>
        <v>0</v>
      </c>
      <c r="BE342" s="263">
        <f>IFERROR(BE343*(1-N(BE344)),0)</f>
        <v>0</v>
      </c>
      <c r="BF342" s="263">
        <f>IFERROR(BF343*(1-N(BF344)),0)</f>
        <v>0</v>
      </c>
      <c r="BG342" s="85" t="n"/>
      <c r="BH342" s="76" t="n"/>
      <c r="BI342" s="76" t="n"/>
      <c r="BJ342" s="76" t="n"/>
      <c r="BL342" s="85" t="n"/>
      <c r="BM342" s="76" t="n"/>
      <c r="BN342" s="76" t="n"/>
      <c r="BO342" s="76" t="n"/>
      <c r="BQ342" s="85" t="n"/>
      <c r="BR342" s="76" t="n"/>
      <c r="BS342" s="76" t="n"/>
      <c r="BT342" s="76" t="n"/>
      <c r="BV342" s="85" t="n"/>
      <c r="BW342" s="76" t="n"/>
      <c r="BX342" s="76" t="n"/>
      <c r="BY342" s="76" t="n"/>
      <c r="CA342" s="85" t="n"/>
      <c r="CB342" s="76" t="n"/>
      <c r="CC342" s="76" t="n"/>
      <c r="CD342" s="76" t="n"/>
      <c r="CF342" s="85" t="n"/>
      <c r="CG342" s="76" t="n"/>
      <c r="CH342" s="76" t="n"/>
      <c r="CI342" s="76" t="n"/>
      <c r="CK342" s="85" t="n"/>
      <c r="CL342" s="76" t="n"/>
      <c r="CM342" s="76" t="n"/>
      <c r="CN342" s="76" t="n"/>
      <c r="CP342" s="85" t="n"/>
      <c r="CQ342" s="76" t="n"/>
      <c r="CR342" s="76" t="n"/>
      <c r="CS342" s="76" t="n"/>
      <c r="CU342" s="85" t="n"/>
      <c r="CV342" s="76" t="n"/>
      <c r="CW342" s="76" t="n"/>
      <c r="CX342" s="76" t="n"/>
    </row>
    <row r="343" customFormat="1" s="77">
      <c r="A343" s="76" t="n"/>
      <c r="B343" s="76" t="n"/>
      <c r="C343" s="77" t="inlineStr">
        <is>
          <t>EBIT</t>
        </is>
      </c>
      <c r="D343" s="86">
        <f>IFERROR(D125,"")</f>
        <v>0</v>
      </c>
      <c r="E343" s="86">
        <f>IFERROR(E125,"")</f>
        <v>0</v>
      </c>
      <c r="F343" s="86">
        <f>IFERROR(F125,"")</f>
        <v>0</v>
      </c>
      <c r="G343" s="86">
        <f>IFERROR(G125,"")</f>
        <v>0</v>
      </c>
      <c r="H343" s="263">
        <f>IFERROR(H68,0)</f>
        <v>0</v>
      </c>
      <c r="I343" s="263">
        <f>IFERROR(I68,0)</f>
        <v>0</v>
      </c>
      <c r="J343" s="263">
        <f>IFERROR(J68,0)</f>
        <v>0</v>
      </c>
      <c r="K343" s="263">
        <f>IFERROR(K68,0)</f>
        <v>0</v>
      </c>
      <c r="L343" s="263">
        <f>IFERROR(L68,0)</f>
        <v>0</v>
      </c>
      <c r="M343" s="263">
        <f>IFERROR(M68,0)</f>
        <v>0</v>
      </c>
      <c r="N343" s="263">
        <f>IFERROR(N68,0)</f>
        <v>0</v>
      </c>
      <c r="O343" s="263">
        <f>IFERROR(O68,0)</f>
        <v>0</v>
      </c>
      <c r="P343" s="263">
        <f>IFERROR(P68,0)</f>
        <v>0</v>
      </c>
      <c r="Q343" s="263">
        <f>IFERROR(Q68,0)</f>
        <v>0</v>
      </c>
      <c r="R343" s="263">
        <f>IFERROR(R68,0)</f>
        <v>0</v>
      </c>
      <c r="S343" s="263">
        <f>IFERROR(S68,0)</f>
        <v>0</v>
      </c>
      <c r="T343" s="263">
        <f>IFERROR(T68,0)</f>
        <v>0</v>
      </c>
      <c r="U343" s="263">
        <f>IFERROR(U68,0)</f>
        <v>0</v>
      </c>
      <c r="V343" s="263">
        <f>IFERROR(V68,0)</f>
        <v>0</v>
      </c>
      <c r="W343" s="263">
        <f>IFERROR(W68,0)</f>
        <v>0</v>
      </c>
      <c r="X343" s="263">
        <f>IFERROR(X68,0)</f>
        <v>0</v>
      </c>
      <c r="Y343" s="263">
        <f>IFERROR(Y68,0)</f>
        <v>0</v>
      </c>
      <c r="Z343" s="263">
        <f>IFERROR(Z68,0)</f>
        <v>0</v>
      </c>
      <c r="AA343" s="263">
        <f>IFERROR(AA68,0)</f>
        <v>0</v>
      </c>
      <c r="AB343" s="263">
        <f>IFERROR(AB68,0)</f>
        <v>0</v>
      </c>
      <c r="AC343" s="263">
        <f>IFERROR(AC68,0)</f>
        <v>0</v>
      </c>
      <c r="AD343" s="263">
        <f>IFERROR(AD68,0)</f>
        <v>0</v>
      </c>
      <c r="AE343" s="263">
        <f>IFERROR(AE68,0)</f>
        <v>0</v>
      </c>
      <c r="AF343" s="263">
        <f>IFERROR(AF68,0)</f>
        <v>0</v>
      </c>
      <c r="AG343" s="263">
        <f>IFERROR(AG68,0)</f>
        <v>0</v>
      </c>
      <c r="AH343" s="263">
        <f>IFERROR(AH68,0)</f>
        <v>0</v>
      </c>
      <c r="AI343" s="263">
        <f>IFERROR(AI68,0)</f>
        <v>0</v>
      </c>
      <c r="AJ343" s="263">
        <f>IFERROR(AJ68,0)</f>
        <v>-3.18323145620525e-12</v>
      </c>
      <c r="AK343" s="263">
        <f>IFERROR(AK68,0)</f>
        <v>0</v>
      </c>
      <c r="AL343" s="263">
        <f>IFERROR(AL68,0)</f>
        <v>0</v>
      </c>
      <c r="AM343" s="263">
        <f>IFERROR(AM68,0)</f>
        <v>0</v>
      </c>
      <c r="AN343" s="263">
        <f>IFERROR(AN68,0)</f>
        <v>0</v>
      </c>
      <c r="AO343" s="263">
        <f>IFERROR(AO68,0)</f>
        <v>0</v>
      </c>
      <c r="AP343" s="263">
        <f>IFERROR(AP68,0)</f>
        <v>0</v>
      </c>
      <c r="AQ343" s="263">
        <f>IFERROR(AQ68,0)</f>
        <v>0</v>
      </c>
      <c r="AR343" s="263">
        <f>IFERROR(AR68,0)</f>
        <v>0</v>
      </c>
      <c r="AS343" s="263">
        <f>IFERROR(AS68,0)</f>
        <v>0</v>
      </c>
      <c r="AT343" s="263">
        <f>IFERROR(AT68,0)</f>
        <v>0</v>
      </c>
      <c r="AU343" s="263">
        <f>IFERROR(AU68,0)</f>
        <v>0</v>
      </c>
      <c r="AV343" s="263">
        <f>IFERROR(AV68,0)</f>
        <v>0</v>
      </c>
      <c r="AW343" s="263">
        <f>IFERROR(AW68,0)</f>
        <v>0</v>
      </c>
      <c r="AX343" s="263">
        <f>IFERROR(AX68,0)</f>
        <v>-8.64019966684282e-12</v>
      </c>
      <c r="AY343" s="263">
        <f>IFERROR(AY68,0)</f>
        <v>-1.13686837721616e-11</v>
      </c>
      <c r="AZ343" s="263">
        <f>IFERROR(AZ68,0)</f>
        <v>0</v>
      </c>
      <c r="BA343" s="263">
        <f>IFERROR(BA68,0)</f>
        <v>0</v>
      </c>
      <c r="BB343" s="263">
        <f>IFERROR(BB68,0)</f>
        <v>0</v>
      </c>
      <c r="BC343" s="263">
        <f>IFERROR(BC68,0)</f>
        <v>-1.13686837721616e-11</v>
      </c>
      <c r="BD343" s="263">
        <f>IFERROR(BD68,0)</f>
        <v>0</v>
      </c>
      <c r="BE343" s="263">
        <f>IFERROR(BE68,0)</f>
        <v>0</v>
      </c>
      <c r="BF343" s="263">
        <f>IFERROR(BF68,0)</f>
        <v>0</v>
      </c>
      <c r="BG343" s="63" t="n"/>
      <c r="BH343" s="63" t="n"/>
      <c r="BI343" s="63" t="n"/>
      <c r="BJ343" s="63" t="n"/>
      <c r="BL343" s="63" t="n"/>
      <c r="BM343" s="63" t="n"/>
      <c r="BN343" s="63" t="n"/>
      <c r="BO343" s="63" t="n"/>
      <c r="BQ343" s="63" t="n"/>
      <c r="BR343" s="63" t="n"/>
      <c r="BS343" s="63" t="n"/>
      <c r="BT343" s="63" t="n"/>
      <c r="BV343" s="63" t="n"/>
      <c r="BW343" s="63" t="n"/>
      <c r="BX343" s="63" t="n"/>
      <c r="BY343" s="63" t="n"/>
      <c r="CA343" s="63" t="n"/>
      <c r="CB343" s="63" t="n"/>
      <c r="CC343" s="63" t="n"/>
      <c r="CD343" s="63" t="n"/>
      <c r="CF343" s="63" t="n"/>
      <c r="CG343" s="63" t="n"/>
      <c r="CH343" s="63" t="n"/>
      <c r="CI343" s="63" t="n"/>
      <c r="CK343" s="63" t="n"/>
      <c r="CL343" s="63" t="n"/>
      <c r="CM343" s="63" t="n"/>
      <c r="CN343" s="63" t="n"/>
      <c r="CP343" s="63" t="n"/>
      <c r="CQ343" s="63" t="n"/>
      <c r="CR343" s="63" t="n"/>
      <c r="CS343" s="63" t="n"/>
      <c r="CU343" s="63" t="n"/>
      <c r="CV343" s="63" t="n"/>
      <c r="CW343" s="63" t="n"/>
      <c r="CX343" s="63" t="n"/>
    </row>
    <row r="344" customFormat="1" s="77">
      <c r="A344" s="76" t="n"/>
      <c r="B344" s="76" t="n"/>
      <c r="C344" s="77" t="inlineStr">
        <is>
          <t>ETR (LIMITED TO 0%-100%)</t>
        </is>
      </c>
      <c r="D344" s="87">
        <f>IFERROR(D127,"")</f>
        <v>0</v>
      </c>
      <c r="E344" s="87">
        <f>IFERROR(E127,"")</f>
        <v>0</v>
      </c>
      <c r="F344" s="87">
        <f>IFERROR(F127,"")</f>
        <v>0</v>
      </c>
      <c r="G344" s="87">
        <f>IFERROR(G127,"")</f>
        <v>0</v>
      </c>
      <c r="H344" s="258" t="str">
        <f>IFERROR(IF(N(H125)&lt;&gt;0,MAX(0,MIN(1,-H126/H125)),""),"")</f>
        <v/>
      </c>
      <c r="I344" s="258">
        <f>IFERROR(IF(N(I125)&lt;&gt;0,MAX(0,MIN(1,-I126/I125)),""),"")</f>
        <v>0.0820238417772961</v>
      </c>
      <c r="J344" s="258">
        <f>IFERROR(IF(N(J125)&lt;&gt;0,MAX(0,MIN(1,-J126/J125)),""),"")</f>
        <v>0.127799736495389</v>
      </c>
      <c r="K344" s="258">
        <f>IFERROR(IF(N(K125)&lt;&gt;0,MAX(0,MIN(1,-K126/K125)),""),"")</f>
        <v>0.108568216494017</v>
      </c>
      <c r="L344" s="258">
        <f>IFERROR(IF(N(L125)&lt;&gt;0,MAX(0,MIN(1,-L126/L125)),""),"")</f>
        <v>0.0618511875645416</v>
      </c>
      <c r="M344" s="258">
        <f>IFERROR(IF(N(M125)&lt;&gt;0,MAX(0,MIN(1,-M126/M125)),""),"")</f>
        <v>0.0932174478109008</v>
      </c>
      <c r="N344" s="258">
        <f>IFERROR(IF(N(N125)&lt;&gt;0,MAX(0,MIN(1,-N126/N125)),""),"")</f>
        <v>0.0733833268406701</v>
      </c>
      <c r="O344" s="258">
        <f>IFERROR(IF(N(O125)&lt;&gt;0,MAX(0,MIN(1,-O126/O125)),""),"")</f>
        <v>0.126867723897699</v>
      </c>
      <c r="P344" s="258">
        <f>IFERROR(IF(N(P125)&lt;&gt;0,MAX(0,MIN(1,-P126/P125)),""),"")</f>
        <v>0.0726924305333759</v>
      </c>
      <c r="Q344" s="258">
        <f>IFERROR(IF(N(Q125)&lt;&gt;0,MAX(0,MIN(1,-Q126/Q125)),""),"")</f>
        <v>0.0757012020606754</v>
      </c>
      <c r="R344" s="258">
        <f>IFERROR(IF(N(R125)&lt;&gt;0,MAX(0,MIN(1,-R126/R125)),""),"")</f>
        <v>0.0825105782792666</v>
      </c>
      <c r="S344" s="258">
        <f>IFERROR(IF(N(S125)&lt;&gt;0,MAX(0,MIN(1,-S126/S125)),""),"")</f>
        <v>0.120808001568935</v>
      </c>
      <c r="T344" s="258">
        <f>IFERROR(IF(N(T125)&lt;&gt;0,MAX(0,MIN(1,-T126/T125)),""),"")</f>
        <v>0.155919383407535</v>
      </c>
      <c r="U344" s="258">
        <f>IFERROR(IF(N(U125)&lt;&gt;0,MAX(0,MIN(1,-U126/U125)),""),"")</f>
        <v>1</v>
      </c>
      <c r="V344" s="258">
        <f>IFERROR(IF(N(V125)&lt;&gt;0,MAX(0,MIN(1,-V126/V125)),""),"")</f>
        <v>0.127192283163265</v>
      </c>
      <c r="W344" s="258">
        <f>IFERROR(IF(N(W125)&lt;&gt;0,MAX(0,MIN(1,-W126/W125)),""),"")</f>
        <v>0.20050041192445</v>
      </c>
      <c r="X344" s="258">
        <f>IFERROR(IF(N(X125)&lt;&gt;0,MAX(0,MIN(1,-X126/X125)),""),"")</f>
        <v>0.115610583178897</v>
      </c>
      <c r="Y344" s="258">
        <f>IFERROR(IF(N(Y125)&lt;&gt;0,MAX(0,MIN(1,-Y126/Y125)),""),"")</f>
        <v>0.156431252132378</v>
      </c>
      <c r="Z344" s="258">
        <f>IFERROR(IF(N(Z125)&lt;&gt;0,MAX(0,MIN(1,-Z126/Z125)),""),"")</f>
        <v>0.38913371946613</v>
      </c>
      <c r="AA344" s="258">
        <f>IFERROR(IF(N(AA125)&lt;&gt;0,MAX(0,MIN(1,-AA126/AA125)),""),"")</f>
        <v>0.124813940103598</v>
      </c>
      <c r="AB344" s="258">
        <f>IFERROR(IF(N(AB125)&lt;&gt;0,MAX(0,MIN(1,-AB126/AB125)),""),"")</f>
        <v>0.164852843758872</v>
      </c>
      <c r="AC344" s="258">
        <f>IFERROR(IF(N(AC125)&lt;&gt;0,MAX(0,MIN(1,-AC126/AC125)),""),"")</f>
        <v>0.201678240740741</v>
      </c>
      <c r="AD344" s="258">
        <f>IFERROR(IF(N(AD125)&lt;&gt;0,MAX(0,MIN(1,-AD126/AD125)),""),"")</f>
        <v>0.164674634794157</v>
      </c>
      <c r="AE344" s="258">
        <f>IFERROR(IF(N(AE125)&lt;&gt;0,MAX(0,MIN(1,-AE126/AE125)),""),"")</f>
        <v>0.228126209833527</v>
      </c>
      <c r="AF344" s="258">
        <f>IFERROR(IF(N(AF125)&lt;&gt;0,MAX(0,MIN(1,-AF126/AF125)),""),"")</f>
        <v>0.197007089109869</v>
      </c>
      <c r="AG344" s="258">
        <f>IFERROR(IF(N(AG125)&lt;&gt;0,MAX(0,MIN(1,-AG126/AG125)),""),"")</f>
        <v>0.19786565934493</v>
      </c>
      <c r="AH344" s="258">
        <f>IFERROR(IF(N(AH125)&lt;&gt;0,MAX(0,MIN(1,-AH126/AH125)),""),"")</f>
        <v>0.164293785310734</v>
      </c>
      <c r="AI344" s="258">
        <f>IFERROR(IF(N(AI125)&lt;&gt;0,MAX(0,MIN(1,-AI126/AI125)),""),"")</f>
        <v>0.232724126743809</v>
      </c>
      <c r="AJ344" s="258">
        <f>IFERROR(IF(N(AJ125)&lt;&gt;0,MAX(0,MIN(1,-AJ126/AJ125)),""),"")</f>
        <v>0.198084014422139</v>
      </c>
      <c r="AK344" s="258">
        <f>IFERROR(IF(N(AK125)&lt;&gt;0,MAX(0,MIN(1,-AK126/AK125)),""),"")</f>
        <v>0.198084014422139</v>
      </c>
      <c r="AL344" s="258">
        <f>IFERROR(IF(N(AL125)&lt;&gt;0,MAX(0,MIN(1,-AL126/AL125)),""),"")</f>
        <v>0.198608299257403</v>
      </c>
      <c r="AM344" s="258">
        <f>IFERROR(IF(N(AM125)&lt;&gt;0,MAX(0,MIN(1,-AM126/AM125)),""),"")</f>
        <v>0.198084014422139</v>
      </c>
      <c r="AN344" s="258">
        <f>IFERROR(IF(N(AN125)&lt;&gt;0,MAX(0,MIN(1,-AN126/AN125)),""),"")</f>
        <v>0.198084014422139</v>
      </c>
      <c r="AO344" s="258">
        <f>IFERROR(IF(N(AO125)&lt;&gt;0,MAX(0,MIN(1,-AO126/AO125)),""),"")</f>
        <v>0.198084014422139</v>
      </c>
      <c r="AP344" s="258">
        <f>IFERROR(IF(N(AP125)&lt;&gt;0,MAX(0,MIN(1,-AP126/AP125)),""),"")</f>
        <v>0.198084014422139</v>
      </c>
      <c r="AQ344" s="258">
        <f>IFERROR(IF(N(AQ125)&lt;&gt;0,MAX(0,MIN(1,-AQ126/AQ125)),""),"")</f>
        <v>0.198084014422139</v>
      </c>
      <c r="AR344" s="258">
        <f>IFERROR(IF(N(AR125)&lt;&gt;0,MAX(0,MIN(1,-AR126/AR125)),""),"")</f>
        <v>0.198084014422139</v>
      </c>
      <c r="AS344" s="258">
        <f>IFERROR(IF(N(AS125)&lt;&gt;0,MAX(0,MIN(1,-AS126/AS125)),""),"")</f>
        <v>0.198084014422139</v>
      </c>
      <c r="AT344" s="258">
        <f>IFERROR(IF(N(AT125)&lt;&gt;0,MAX(0,MIN(1,-AT126/AT125)),""),"")</f>
        <v>0.198084014422139</v>
      </c>
      <c r="AU344" s="258">
        <f>IFERROR(IF(N(AU125)&lt;&gt;0,MAX(0,MIN(1,-AU126/AU125)),""),"")</f>
        <v>0.198084014422139</v>
      </c>
      <c r="AV344" s="258">
        <f>IFERROR(IF(N(AV125)&lt;&gt;0,MAX(0,MIN(1,-AV126/AV125)),""),"")</f>
        <v>0.198084014422139</v>
      </c>
      <c r="AW344" s="258">
        <f>IFERROR(IF(N(AW125)&lt;&gt;0,MAX(0,MIN(1,-AW126/AW125)),""),"")</f>
        <v>0.198084014422139</v>
      </c>
      <c r="AX344" s="258">
        <f>IFERROR(IF(N(AX125)&lt;&gt;0,MAX(0,MIN(1,-AX126/AX125)),""),"")</f>
        <v>0.198084014422139</v>
      </c>
      <c r="AY344" s="258">
        <f>IFERROR(IF(N(AY125)&lt;&gt;0,MAX(0,MIN(1,-AY126/AY125)),""),"")</f>
        <v>0.198084014422139</v>
      </c>
      <c r="AZ344" s="258">
        <f>IFERROR(IF(N(AZ125)&lt;&gt;0,MAX(0,MIN(1,-AZ126/AZ125)),""),"")</f>
        <v>0.198084014422139</v>
      </c>
      <c r="BA344" s="258">
        <f>IFERROR(IF(N(BA125)&lt;&gt;0,MAX(0,MIN(1,-BA126/BA125)),""),"")</f>
        <v>0.198084014422139</v>
      </c>
      <c r="BB344" s="258">
        <f>IFERROR(IF(N(BB125)&lt;&gt;0,MAX(0,MIN(1,-BB126/BB125)),""),"")</f>
        <v>0.198084014422139</v>
      </c>
      <c r="BC344" s="258">
        <f>IFERROR(IF(N(BC125)&lt;&gt;0,MAX(0,MIN(1,-BC126/BC125)),""),"")</f>
        <v>0.198084014422139</v>
      </c>
      <c r="BD344" s="258">
        <f>IFERROR(IF(N(BD125)&lt;&gt;0,MAX(0,MIN(1,-BD126/BD125)),""),"")</f>
        <v>0.198084014422139</v>
      </c>
      <c r="BE344" s="258">
        <f>IFERROR(IF(N(BE125)&lt;&gt;0,MAX(0,MIN(1,-BE126/BE125)),""),"")</f>
        <v>0.198084014422139</v>
      </c>
      <c r="BF344" s="258">
        <f>IFERROR(IF(N(BF125)&lt;&gt;0,MAX(0,MIN(1,-BF126/BF125)),""),"")</f>
        <v>0.198084014422139</v>
      </c>
      <c r="BG344" s="88" t="n"/>
      <c r="BH344" s="88" t="n"/>
      <c r="BI344" s="88" t="n"/>
      <c r="BJ344" s="88" t="n"/>
      <c r="BL344" s="88" t="n"/>
      <c r="BM344" s="88" t="n"/>
      <c r="BN344" s="88" t="n"/>
      <c r="BO344" s="88" t="n"/>
      <c r="BQ344" s="88" t="n"/>
      <c r="BR344" s="88" t="n"/>
      <c r="BS344" s="88" t="n"/>
      <c r="BT344" s="88" t="n"/>
      <c r="BV344" s="88" t="n"/>
      <c r="BW344" s="88" t="n"/>
      <c r="BX344" s="88" t="n"/>
      <c r="BY344" s="88" t="n"/>
      <c r="CA344" s="88" t="n"/>
      <c r="CB344" s="88" t="n"/>
      <c r="CC344" s="88" t="n"/>
      <c r="CD344" s="88" t="n"/>
      <c r="CF344" s="88" t="n"/>
      <c r="CG344" s="88" t="n"/>
      <c r="CH344" s="88" t="n"/>
      <c r="CI344" s="88" t="n"/>
      <c r="CK344" s="88" t="n"/>
      <c r="CL344" s="88" t="n"/>
      <c r="CM344" s="88" t="n"/>
      <c r="CN344" s="88" t="n"/>
      <c r="CP344" s="88" t="n"/>
      <c r="CQ344" s="88" t="n"/>
      <c r="CR344" s="88" t="n"/>
      <c r="CS344" s="88" t="n"/>
      <c r="CU344" s="88" t="n"/>
      <c r="CV344" s="88" t="n"/>
      <c r="CW344" s="88" t="n"/>
      <c r="CX344" s="88" t="n"/>
    </row>
    <row r="345" customFormat="1" s="77">
      <c r="A345" s="76" t="n"/>
      <c r="B345" s="76" t="n"/>
      <c r="C345" s="77" t="inlineStr">
        <is>
          <t>INVESTED CAPITAL</t>
        </is>
      </c>
      <c r="D345" s="86">
        <f>IFERROR(D348-D349+D350,"")</f>
        <v>0</v>
      </c>
      <c r="E345" s="86">
        <f>IFERROR(E348-E349+E350,"")</f>
        <v>0</v>
      </c>
      <c r="F345" s="86">
        <f>IFERROR(F348-F349+F350,"")</f>
        <v>0</v>
      </c>
      <c r="G345" s="86">
        <f>IFERROR(G348-G349+G350,"")</f>
        <v>0</v>
      </c>
      <c r="H345" s="263">
        <f>IFERROR(H347+H350,0)</f>
        <v>0</v>
      </c>
      <c r="I345" s="263">
        <f>IFERROR(I347+I350,0)</f>
        <v>22453</v>
      </c>
      <c r="J345" s="263">
        <f>IFERROR(J347+J350,0)</f>
        <v>21764.7</v>
      </c>
      <c r="K345" s="263">
        <f>IFERROR(K347+K350,0)</f>
        <v>22846.7</v>
      </c>
      <c r="L345" s="263">
        <f>IFERROR(L347+L350,0)</f>
        <v>23864.6</v>
      </c>
      <c r="M345" s="263">
        <f>IFERROR(M347+M350,0)</f>
        <v>23864.6</v>
      </c>
      <c r="N345" s="263">
        <f>IFERROR(N347+N350,0)</f>
        <v>24688.6</v>
      </c>
      <c r="O345" s="263">
        <f>IFERROR(O347+O350,0)</f>
        <v>23598.8</v>
      </c>
      <c r="P345" s="263">
        <f>IFERROR(P347+P350,0)</f>
        <v>23484.1</v>
      </c>
      <c r="Q345" s="263">
        <f>IFERROR(Q347+Q350,0)</f>
        <v>24889.5</v>
      </c>
      <c r="R345" s="263">
        <f>IFERROR(R347+R350,0)</f>
        <v>24889.5</v>
      </c>
      <c r="S345" s="263">
        <f>IFERROR(S347+S350,0)</f>
        <v>26509.2</v>
      </c>
      <c r="T345" s="263">
        <f>IFERROR(T347+T350,0)</f>
        <v>27140.2</v>
      </c>
      <c r="U345" s="263">
        <f>IFERROR(U347+U350,0)</f>
        <v>28981.8</v>
      </c>
      <c r="V345" s="263">
        <f>IFERROR(V347+V350,0)</f>
        <v>33161.3</v>
      </c>
      <c r="W345" s="263">
        <f>IFERROR(W347+W350,0)</f>
        <v>33161.3</v>
      </c>
      <c r="X345" s="263">
        <f>IFERROR(X347+X350,0)</f>
        <v>36522.5</v>
      </c>
      <c r="Y345" s="263">
        <f>IFERROR(Y347+Y350,0)</f>
        <v>39163.5</v>
      </c>
      <c r="Z345" s="263">
        <f>IFERROR(Z347+Z350,0)</f>
        <v>41922</v>
      </c>
      <c r="AA345" s="263">
        <f>IFERROR(AA347+AA350,0)</f>
        <v>44492.6</v>
      </c>
      <c r="AB345" s="263">
        <f>IFERROR(AB347+AB350,0)</f>
        <v>44492.6</v>
      </c>
      <c r="AC345" s="263">
        <f>IFERROR(AC347+AC350,0)</f>
        <v>51142</v>
      </c>
      <c r="AD345" s="263">
        <f>IFERROR(AD347+AD350,0)</f>
        <v>54706.9</v>
      </c>
      <c r="AE345" s="263">
        <f>IFERROR(AE347+AE350,0)</f>
        <v>56443.9</v>
      </c>
      <c r="AF345" s="263">
        <f>IFERROR(AF347+AF350,0)</f>
        <v>61748</v>
      </c>
      <c r="AG345" s="263">
        <f>IFERROR(AG347+AG350,0)</f>
        <v>61748</v>
      </c>
      <c r="AH345" s="263">
        <f>IFERROR(AH347+AH350,0)</f>
        <v>69267</v>
      </c>
      <c r="AI345" s="263">
        <f>IFERROR(AI347+AI350,0)</f>
        <v>79782</v>
      </c>
      <c r="AJ345" s="263">
        <f>IFERROR(AJ347+AJ350,0)</f>
        <v>86281.9834093222</v>
      </c>
      <c r="AK345" s="263">
        <f>IFERROR(AK347+AK350,0)</f>
        <v>91602.5863202957</v>
      </c>
      <c r="AL345" s="263">
        <f>IFERROR(AL347+AL350,0)</f>
        <v>91602.5863202957</v>
      </c>
      <c r="AM345" s="263">
        <f>IFERROR(AM347+AM350,0)</f>
        <v>94932.1248090218</v>
      </c>
      <c r="AN345" s="263">
        <f>IFERROR(AN347+AN350,0)</f>
        <v>102005.136014785</v>
      </c>
      <c r="AO345" s="263">
        <f>IFERROR(AO347+AO350,0)</f>
        <v>107635.992369869</v>
      </c>
      <c r="AP345" s="263">
        <f>IFERROR(AP347+AP350,0)</f>
        <v>111467.266365</v>
      </c>
      <c r="AQ345" s="263">
        <f>IFERROR(AQ347+AQ350,0)</f>
        <v>111467.266365</v>
      </c>
      <c r="AR345" s="263">
        <f>IFERROR(AR347+AR350,0)</f>
        <v>109710.095173993</v>
      </c>
      <c r="AS345" s="263">
        <f>IFERROR(AS347+AS350,0)</f>
        <v>112252.611568642</v>
      </c>
      <c r="AT345" s="263">
        <f>IFERROR(AT347+AT350,0)</f>
        <v>108100.749177783</v>
      </c>
      <c r="AU345" s="263">
        <f>IFERROR(AU347+AU350,0)</f>
        <v>95562.2763292007</v>
      </c>
      <c r="AV345" s="263">
        <f>IFERROR(AV347+AV350,0)</f>
        <v>95562.2763292007</v>
      </c>
      <c r="AW345" s="263">
        <f>IFERROR(AW347+AW350,0)</f>
        <v>67341.5196962801</v>
      </c>
      <c r="AX345" s="263">
        <f>IFERROR(AX347+AX350,0)</f>
        <v>31713.7797230952</v>
      </c>
      <c r="AY345" s="263">
        <f>IFERROR(AY347+AY350,0)</f>
        <v>-30337.6807756869</v>
      </c>
      <c r="AZ345" s="263">
        <f>IFERROR(AZ347+AZ350,0)</f>
        <v>-130303.214978874</v>
      </c>
      <c r="BA345" s="263">
        <f>IFERROR(BA347+BA350,0)</f>
        <v>-130303.214978874</v>
      </c>
      <c r="BB345" s="263">
        <f>IFERROR(BB347+BB350,0)</f>
        <v>-289772.183812245</v>
      </c>
      <c r="BC345" s="263">
        <f>IFERROR(BC347+BC350,0)</f>
        <v>-513092.217431832</v>
      </c>
      <c r="BD345" s="263">
        <f>IFERROR(BD347+BD350,0)</f>
        <v>-852609.103649571</v>
      </c>
      <c r="BE345" s="263">
        <f>IFERROR(BE347+BE350,0)</f>
        <v>-1360286.61294941</v>
      </c>
      <c r="BF345" s="263">
        <f>IFERROR(BF347+BF350,0)</f>
        <v>-1360286.61294941</v>
      </c>
      <c r="BG345" s="63" t="n"/>
      <c r="BH345" s="63" t="n"/>
      <c r="BI345" s="63" t="n"/>
      <c r="BJ345" s="63" t="n"/>
      <c r="BL345" s="63" t="n"/>
      <c r="BM345" s="63" t="n"/>
      <c r="BN345" s="63" t="n"/>
      <c r="BO345" s="63" t="n"/>
      <c r="BQ345" s="63" t="n"/>
      <c r="BR345" s="63" t="n"/>
      <c r="BS345" s="63" t="n"/>
      <c r="BT345" s="63" t="n"/>
      <c r="BV345" s="63" t="n"/>
      <c r="BW345" s="63" t="n"/>
      <c r="BX345" s="63" t="n"/>
      <c r="BY345" s="63" t="n"/>
      <c r="CA345" s="63" t="n"/>
      <c r="CB345" s="63" t="n"/>
      <c r="CC345" s="63" t="n"/>
      <c r="CD345" s="63" t="n"/>
      <c r="CF345" s="63" t="n"/>
      <c r="CG345" s="63" t="n"/>
      <c r="CH345" s="63" t="n"/>
      <c r="CI345" s="63" t="n"/>
      <c r="CK345" s="63" t="n"/>
      <c r="CL345" s="63" t="n"/>
      <c r="CM345" s="63" t="n"/>
      <c r="CN345" s="63" t="n"/>
      <c r="CP345" s="63" t="n"/>
      <c r="CQ345" s="63" t="n"/>
      <c r="CR345" s="63" t="n"/>
      <c r="CS345" s="63" t="n"/>
      <c r="CU345" s="63" t="n"/>
      <c r="CV345" s="63" t="n"/>
      <c r="CW345" s="63" t="n"/>
      <c r="CX345" s="63" t="n"/>
    </row>
    <row r="346" customFormat="1" s="77">
      <c r="A346" s="76" t="n"/>
      <c r="B346" s="76" t="n"/>
      <c r="C346" s="77" t="inlineStr">
        <is>
          <t>INVESTED CAPITAL - EX GOODWILL</t>
        </is>
      </c>
      <c r="D346" s="89">
        <f>IFERROR(D345-D174,"")</f>
        <v>0</v>
      </c>
      <c r="E346" s="89">
        <f>IFERROR(E345-E174,"")</f>
        <v>0</v>
      </c>
      <c r="F346" s="89">
        <f>IFERROR(F345-F174,"")</f>
        <v>0</v>
      </c>
      <c r="G346" s="89">
        <f>IFERROR(G345-G174,"")</f>
        <v>0</v>
      </c>
      <c r="H346" s="263">
        <f>IFERROR(H345-N(H174),0)</f>
        <v>0</v>
      </c>
      <c r="I346" s="263">
        <f>IFERROR(I345-N(I174),0)</f>
        <v>18575.6</v>
      </c>
      <c r="J346" s="263">
        <f>IFERROR(J345-N(J174),0)</f>
        <v>17880.5</v>
      </c>
      <c r="K346" s="263">
        <f>IFERROR(K345-N(K174),0)</f>
        <v>18962.6</v>
      </c>
      <c r="L346" s="263">
        <f>IFERROR(L345-N(L174),0)</f>
        <v>19972.6</v>
      </c>
      <c r="M346" s="263">
        <f>IFERROR(M345-N(M174),0)</f>
        <v>19972.6</v>
      </c>
      <c r="N346" s="263">
        <f>IFERROR(N345-N(N174),0)</f>
        <v>20796.6</v>
      </c>
      <c r="O346" s="263">
        <f>IFERROR(O345-N(O174),0)</f>
        <v>19707</v>
      </c>
      <c r="P346" s="263">
        <f>IFERROR(P345-N(P174),0)</f>
        <v>19592.5</v>
      </c>
      <c r="Q346" s="263">
        <f>IFERROR(Q345-N(Q174),0)</f>
        <v>20816.5</v>
      </c>
      <c r="R346" s="263">
        <f>IFERROR(R345-N(R174),0)</f>
        <v>20816.5</v>
      </c>
      <c r="S346" s="263">
        <f>IFERROR(S345-N(S174),0)</f>
        <v>22436.1</v>
      </c>
      <c r="T346" s="263">
        <f>IFERROR(T345-N(T174),0)</f>
        <v>23061.3</v>
      </c>
      <c r="U346" s="263">
        <f>IFERROR(U345-N(U174),0)</f>
        <v>24896.6</v>
      </c>
      <c r="V346" s="263">
        <f>IFERROR(V345-N(V174),0)</f>
        <v>28221.6</v>
      </c>
      <c r="W346" s="263">
        <f>IFERROR(W345-N(W174),0)</f>
        <v>28221.6</v>
      </c>
      <c r="X346" s="263">
        <f>IFERROR(X345-N(X174),0)</f>
        <v>31582.9</v>
      </c>
      <c r="Y346" s="263">
        <f>IFERROR(Y345-N(Y174),0)</f>
        <v>33395.3</v>
      </c>
      <c r="Z346" s="263">
        <f>IFERROR(Z345-N(Z174),0)</f>
        <v>36153.6</v>
      </c>
      <c r="AA346" s="263">
        <f>IFERROR(AA345-N(AA174),0)</f>
        <v>38722.3</v>
      </c>
      <c r="AB346" s="263">
        <f>IFERROR(AB345-N(AB174),0)</f>
        <v>38722.3</v>
      </c>
      <c r="AC346" s="263">
        <f>IFERROR(AC345-N(AC174),0)</f>
        <v>45371.5</v>
      </c>
      <c r="AD346" s="263">
        <f>IFERROR(AD345-N(AD174),0)</f>
        <v>48936.4</v>
      </c>
      <c r="AE346" s="263">
        <f>IFERROR(AE345-N(AE174),0)</f>
        <v>50545.9</v>
      </c>
      <c r="AF346" s="263">
        <f>IFERROR(AF345-N(AF174),0)</f>
        <v>55850</v>
      </c>
      <c r="AG346" s="263">
        <f>IFERROR(AG345-N(AG174),0)</f>
        <v>55850</v>
      </c>
      <c r="AH346" s="263">
        <f>IFERROR(AH345-N(AH174),0)</f>
        <v>63137</v>
      </c>
      <c r="AI346" s="263">
        <f>IFERROR(AI345-N(AI174),0)</f>
        <v>70933</v>
      </c>
      <c r="AJ346" s="263">
        <f>IFERROR(AJ345-N(AJ174),0)</f>
        <v>77432.9834093222</v>
      </c>
      <c r="AK346" s="263">
        <f>IFERROR(AK345-N(AK174),0)</f>
        <v>82753.5863202957</v>
      </c>
      <c r="AL346" s="263">
        <f>IFERROR(AL345-N(AL174),0)</f>
        <v>82753.5863202957</v>
      </c>
      <c r="AM346" s="263">
        <f>IFERROR(AM345-N(AM174),0)</f>
        <v>86083.1248090218</v>
      </c>
      <c r="AN346" s="263">
        <f>IFERROR(AN345-N(AN174),0)</f>
        <v>93156.1360147852</v>
      </c>
      <c r="AO346" s="263">
        <f>IFERROR(AO345-N(AO174),0)</f>
        <v>98786.9923698694</v>
      </c>
      <c r="AP346" s="263">
        <f>IFERROR(AP345-N(AP174),0)</f>
        <v>102618.266365</v>
      </c>
      <c r="AQ346" s="263">
        <f>IFERROR(AQ345-N(AQ174),0)</f>
        <v>102618.266365</v>
      </c>
      <c r="AR346" s="263">
        <f>IFERROR(AR345-N(AR174),0)</f>
        <v>100861.095173993</v>
      </c>
      <c r="AS346" s="263">
        <f>IFERROR(AS345-N(AS174),0)</f>
        <v>103403.611568642</v>
      </c>
      <c r="AT346" s="263">
        <f>IFERROR(AT345-N(AT174),0)</f>
        <v>99251.7491777828</v>
      </c>
      <c r="AU346" s="263">
        <f>IFERROR(AU345-N(AU174),0)</f>
        <v>86713.2763292007</v>
      </c>
      <c r="AV346" s="263">
        <f>IFERROR(AV345-N(AV174),0)</f>
        <v>86713.2763292007</v>
      </c>
      <c r="AW346" s="263">
        <f>IFERROR(AW345-N(AW174),0)</f>
        <v>58492.5196962801</v>
      </c>
      <c r="AX346" s="263">
        <f>IFERROR(AX345-N(AX174),0)</f>
        <v>22864.7797230952</v>
      </c>
      <c r="AY346" s="263">
        <f>IFERROR(AY345-N(AY174),0)</f>
        <v>-39186.6807756869</v>
      </c>
      <c r="AZ346" s="263">
        <f>IFERROR(AZ345-N(AZ174),0)</f>
        <v>-139152.214978874</v>
      </c>
      <c r="BA346" s="263">
        <f>IFERROR(BA345-N(BA174),0)</f>
        <v>-139152.214978874</v>
      </c>
      <c r="BB346" s="263">
        <f>IFERROR(BB345-N(BB174),0)</f>
        <v>-298621.183812245</v>
      </c>
      <c r="BC346" s="263">
        <f>IFERROR(BC345-N(BC174),0)</f>
        <v>-521941.217431832</v>
      </c>
      <c r="BD346" s="263">
        <f>IFERROR(BD345-N(BD174),0)</f>
        <v>-861458.103649571</v>
      </c>
      <c r="BE346" s="263">
        <f>IFERROR(BE345-N(BE174),0)</f>
        <v>-1369135.61294941</v>
      </c>
      <c r="BF346" s="263">
        <f>IFERROR(BF345-N(BF174),0)</f>
        <v>-1369135.61294941</v>
      </c>
      <c r="BG346" s="90" t="n"/>
      <c r="BH346" s="90" t="n"/>
      <c r="BI346" s="90" t="n"/>
      <c r="BJ346" s="90" t="n"/>
      <c r="BL346" s="90" t="n"/>
      <c r="BM346" s="90" t="n"/>
      <c r="BN346" s="90" t="n"/>
      <c r="BO346" s="90" t="n"/>
      <c r="BQ346" s="90" t="n"/>
      <c r="BR346" s="90" t="n"/>
      <c r="BS346" s="90" t="n"/>
      <c r="BT346" s="90" t="n"/>
      <c r="BV346" s="90" t="n"/>
      <c r="BW346" s="90" t="n"/>
      <c r="BX346" s="90" t="n"/>
      <c r="BY346" s="90" t="n"/>
      <c r="CA346" s="90" t="n"/>
      <c r="CB346" s="90" t="n"/>
      <c r="CC346" s="90" t="n"/>
      <c r="CD346" s="90" t="n"/>
      <c r="CF346" s="90" t="n"/>
      <c r="CG346" s="90" t="n"/>
      <c r="CH346" s="90" t="n"/>
      <c r="CI346" s="90" t="n"/>
      <c r="CK346" s="90" t="n"/>
      <c r="CL346" s="90" t="n"/>
      <c r="CM346" s="90" t="n"/>
      <c r="CN346" s="90" t="n"/>
      <c r="CP346" s="90" t="n"/>
      <c r="CQ346" s="90" t="n"/>
      <c r="CR346" s="90" t="n"/>
      <c r="CS346" s="90" t="n"/>
      <c r="CU346" s="90" t="n"/>
      <c r="CV346" s="90" t="n"/>
      <c r="CW346" s="90" t="n"/>
      <c r="CX346" s="90" t="n"/>
    </row>
    <row r="347" customFormat="1" s="77">
      <c r="A347" s="76" t="n"/>
      <c r="B347" s="76" t="n"/>
      <c r="C347" s="77" t="inlineStr">
        <is>
          <t>OPERATING WORKING CAPITAL</t>
        </is>
      </c>
      <c r="D347" s="91">
        <f>IFERROR(D348-D349,"")</f>
        <v>0</v>
      </c>
      <c r="E347" s="91">
        <f>IFERROR(E348-E349,"")</f>
        <v>0</v>
      </c>
      <c r="F347" s="91">
        <f>IFERROR(F348-F349,"")</f>
        <v>0</v>
      </c>
      <c r="G347" s="91">
        <f>IFERROR(G348-G349,"")</f>
        <v>0</v>
      </c>
      <c r="H347" s="263">
        <f>IFERROR(H348-H349,0)</f>
        <v>0</v>
      </c>
      <c r="I347" s="263">
        <f>IFERROR(I348-I349,0)</f>
        <v>4493.7</v>
      </c>
      <c r="J347" s="263">
        <f>IFERROR(J348-J349,0)</f>
        <v>3384.5</v>
      </c>
      <c r="K347" s="263">
        <f>IFERROR(K348-K349,0)</f>
        <v>4489.6</v>
      </c>
      <c r="L347" s="263">
        <f>IFERROR(L348-L349,0)</f>
        <v>3518.7</v>
      </c>
      <c r="M347" s="263">
        <f>IFERROR(M348-M349,0)</f>
        <v>3518.7</v>
      </c>
      <c r="N347" s="263">
        <f>IFERROR(N348-N349,0)</f>
        <v>4831.2</v>
      </c>
      <c r="O347" s="263">
        <f>IFERROR(O348-O349,0)</f>
        <v>3251.6</v>
      </c>
      <c r="P347" s="263">
        <f>IFERROR(P348-P349,0)</f>
        <v>3373.9</v>
      </c>
      <c r="Q347" s="263">
        <f>IFERROR(Q348-Q349,0)</f>
        <v>2978.5</v>
      </c>
      <c r="R347" s="263">
        <f>IFERROR(R348-R349,0)</f>
        <v>2978.5</v>
      </c>
      <c r="S347" s="263">
        <f>IFERROR(S348-S349,0)</f>
        <v>4541.9</v>
      </c>
      <c r="T347" s="263">
        <f>IFERROR(T348-T349,0)</f>
        <v>4055</v>
      </c>
      <c r="U347" s="263">
        <f>IFERROR(U348-U349,0)</f>
        <v>5334.4</v>
      </c>
      <c r="V347" s="263">
        <f>IFERROR(V348-V349,0)</f>
        <v>7887.9</v>
      </c>
      <c r="W347" s="263">
        <f>IFERROR(W348-W349,0)</f>
        <v>7887.9</v>
      </c>
      <c r="X347" s="263">
        <f>IFERROR(X348-X349,0)</f>
        <v>11289.8</v>
      </c>
      <c r="Y347" s="263">
        <f>IFERROR(Y348-Y349,0)</f>
        <v>11536</v>
      </c>
      <c r="Z347" s="263">
        <f>IFERROR(Z348-Z349,0)</f>
        <v>12689.2</v>
      </c>
      <c r="AA347" s="263">
        <f>IFERROR(AA348-AA349,0)</f>
        <v>14057.6</v>
      </c>
      <c r="AB347" s="263">
        <f>IFERROR(AB348-AB349,0)</f>
        <v>14057.6</v>
      </c>
      <c r="AC347" s="263">
        <f>IFERROR(AC348-AC349,0)</f>
        <v>20562</v>
      </c>
      <c r="AD347" s="263">
        <f>IFERROR(AD348-AD349,0)</f>
        <v>22439.2</v>
      </c>
      <c r="AE347" s="263">
        <f>IFERROR(AE348-AE349,0)</f>
        <v>22612.6</v>
      </c>
      <c r="AF347" s="263">
        <f>IFERROR(AF348-AF349,0)</f>
        <v>24727</v>
      </c>
      <c r="AG347" s="263">
        <f>IFERROR(AG348-AG349,0)</f>
        <v>24727</v>
      </c>
      <c r="AH347" s="263">
        <f>IFERROR(AH348-AH349,0)</f>
        <v>28269</v>
      </c>
      <c r="AI347" s="263">
        <f>IFERROR(AI348-AI349,0)</f>
        <v>25059</v>
      </c>
      <c r="AJ347" s="263">
        <f>IFERROR(AJ348-AJ349,0)</f>
        <v>28655.3944156946</v>
      </c>
      <c r="AK347" s="263">
        <f>IFERROR(AK348-AK349,0)</f>
        <v>30793.4125086449</v>
      </c>
      <c r="AL347" s="263">
        <f>IFERROR(AL348-AL349,0)</f>
        <v>30793.4125086449</v>
      </c>
      <c r="AM347" s="263">
        <f>IFERROR(AM348-AM349,0)</f>
        <v>30856.7268209227</v>
      </c>
      <c r="AN347" s="263">
        <f>IFERROR(AN348-AN349,0)</f>
        <v>34139.7368029008</v>
      </c>
      <c r="AO347" s="263">
        <f>IFERROR(AO348-AO349,0)</f>
        <v>35500.1164245021</v>
      </c>
      <c r="AP347" s="263">
        <f>IFERROR(AP348-AP349,0)</f>
        <v>34650.578346184</v>
      </c>
      <c r="AQ347" s="263">
        <f>IFERROR(AQ348-AQ349,0)</f>
        <v>34650.578346184</v>
      </c>
      <c r="AR347" s="263">
        <f>IFERROR(AR348-AR349,0)</f>
        <v>28105.9129473109</v>
      </c>
      <c r="AS347" s="263">
        <f>IFERROR(AS348-AS349,0)</f>
        <v>25093.2047381165</v>
      </c>
      <c r="AT347" s="263">
        <f>IFERROR(AT348-AT349,0)</f>
        <v>14681.856922528</v>
      </c>
      <c r="AU347" s="263">
        <f>IFERROR(AU348-AU349,0)</f>
        <v>-4717.55365694535</v>
      </c>
      <c r="AV347" s="263">
        <f>IFERROR(AV348-AV349,0)</f>
        <v>-4717.55365694535</v>
      </c>
      <c r="AW347" s="263">
        <f>IFERROR(AW348-AW349,0)</f>
        <v>-39931.6807414175</v>
      </c>
      <c r="AX347" s="263">
        <f>IFERROR(AX348-AX349,0)</f>
        <v>-83674.2594819112</v>
      </c>
      <c r="AY347" s="263">
        <f>IFERROR(AY348-AY349,0)</f>
        <v>-154869.313374351</v>
      </c>
      <c r="AZ347" s="263">
        <f>IFERROR(AZ348-AZ349,0)</f>
        <v>-264857.017237466</v>
      </c>
      <c r="BA347" s="263">
        <f>IFERROR(BA348-BA349,0)</f>
        <v>-264857.017237466</v>
      </c>
      <c r="BB347" s="263">
        <f>IFERROR(BB348-BB349,0)</f>
        <v>-434506.641034325</v>
      </c>
      <c r="BC347" s="263">
        <f>IFERROR(BC348-BC349,0)</f>
        <v>-669639.916086873</v>
      </c>
      <c r="BD347" s="263">
        <f>IFERROR(BD348-BD349,0)</f>
        <v>-1022467.66151222</v>
      </c>
      <c r="BE347" s="263">
        <f>IFERROR(BE348-BE349,0)</f>
        <v>-1544735.02444561</v>
      </c>
      <c r="BF347" s="263">
        <f>IFERROR(BF348-BF349,0)</f>
        <v>-1544735.02444561</v>
      </c>
      <c r="BG347" s="63" t="n"/>
      <c r="BH347" s="63" t="n"/>
      <c r="BI347" s="63" t="n"/>
      <c r="BJ347" s="63" t="n"/>
      <c r="BL347" s="63" t="n"/>
      <c r="BM347" s="63" t="n"/>
      <c r="BN347" s="63" t="n"/>
      <c r="BO347" s="63" t="n"/>
      <c r="BQ347" s="63" t="n"/>
      <c r="BR347" s="63" t="n"/>
      <c r="BS347" s="63" t="n"/>
      <c r="BT347" s="63" t="n"/>
      <c r="BV347" s="63" t="n"/>
      <c r="BW347" s="63" t="n"/>
      <c r="BX347" s="63" t="n"/>
      <c r="BY347" s="63" t="n"/>
      <c r="CA347" s="63" t="n"/>
      <c r="CB347" s="63" t="n"/>
      <c r="CC347" s="63" t="n"/>
      <c r="CD347" s="63" t="n"/>
      <c r="CF347" s="63" t="n"/>
      <c r="CG347" s="63" t="n"/>
      <c r="CH347" s="63" t="n"/>
      <c r="CI347" s="63" t="n"/>
      <c r="CK347" s="63" t="n"/>
      <c r="CL347" s="63" t="n"/>
      <c r="CM347" s="63" t="n"/>
      <c r="CN347" s="63" t="n"/>
      <c r="CP347" s="63" t="n"/>
      <c r="CQ347" s="63" t="n"/>
      <c r="CR347" s="63" t="n"/>
      <c r="CS347" s="63" t="n"/>
      <c r="CU347" s="63" t="n"/>
      <c r="CV347" s="63" t="n"/>
      <c r="CW347" s="63" t="n"/>
      <c r="CX347" s="63" t="n"/>
    </row>
    <row r="348" customFormat="1" s="77">
      <c r="A348" s="76" t="n"/>
      <c r="B348" s="76" t="n"/>
      <c r="C348" s="77" t="inlineStr">
        <is>
          <t>CURRENT ASSETS (OPERATING, EX CASH)</t>
        </is>
      </c>
      <c r="D348" s="89">
        <f>IFERROR(D140+D144+D148+D149+D150,"")</f>
        <v>0</v>
      </c>
      <c r="E348" s="89">
        <f>IFERROR(E140+E144+E148+E149+E150,"")</f>
        <v>0</v>
      </c>
      <c r="F348" s="89">
        <f>IFERROR(F140+F144+F148+F149+F150,"")</f>
        <v>0</v>
      </c>
      <c r="G348" s="89">
        <f>IFERROR(G140+G144+G148+G149+G150,"")</f>
        <v>0</v>
      </c>
      <c r="H348" s="263">
        <f>IFERROR((N(H140)+N(H144)+N(H148)+N(H149)+N(H150)),0)</f>
        <v>0</v>
      </c>
      <c r="I348" s="263">
        <f>IFERROR((N(I140)+N(I144)+N(I148)+N(I149)+N(I150)),0)</f>
        <v>16203</v>
      </c>
      <c r="J348" s="263">
        <f>IFERROR((N(J140)+N(J144)+N(J148)+N(J149)+N(J150)),0)</f>
        <v>16699.2</v>
      </c>
      <c r="K348" s="263">
        <f>IFERROR((N(K140)+N(K144)+N(K148)+N(K149)+N(K150)),0)</f>
        <v>16608.6</v>
      </c>
      <c r="L348" s="263">
        <f>IFERROR((N(L140)+N(L144)+N(L148)+N(L149)+N(L150)),0)</f>
        <v>17033.1</v>
      </c>
      <c r="M348" s="263">
        <f>IFERROR((N(M140)+N(M144)+N(M148)+N(M149)+N(M150)),0)</f>
        <v>17033.1</v>
      </c>
      <c r="N348" s="263">
        <f>IFERROR((N(N140)+N(N144)+N(N148)+N(N149)+N(N150)),0)</f>
        <v>16861.3</v>
      </c>
      <c r="O348" s="263">
        <f>IFERROR((N(O140)+N(O144)+N(O148)+N(O149)+N(O150)),0)</f>
        <v>16750.4</v>
      </c>
      <c r="P348" s="263">
        <f>IFERROR((N(P140)+N(P144)+N(P148)+N(P149)+N(P150)),0)</f>
        <v>17282.1</v>
      </c>
      <c r="Q348" s="263">
        <f>IFERROR((N(Q140)+N(Q144)+N(Q148)+N(Q149)+N(Q150)),0)</f>
        <v>18615.6</v>
      </c>
      <c r="R348" s="263">
        <f>IFERROR((N(R140)+N(R144)+N(R148)+N(R149)+N(R150)),0)</f>
        <v>18615.6</v>
      </c>
      <c r="S348" s="263">
        <f>IFERROR((N(S140)+N(S144)+N(S148)+N(S149)+N(S150)),0)</f>
        <v>20548.8</v>
      </c>
      <c r="T348" s="263">
        <f>IFERROR((N(T140)+N(T144)+N(T148)+N(T149)+N(T150)),0)</f>
        <v>22308.4</v>
      </c>
      <c r="U348" s="263">
        <f>IFERROR((N(U140)+N(U144)+N(U148)+N(U149)+N(U150)),0)</f>
        <v>25087.9</v>
      </c>
      <c r="V348" s="263">
        <f>IFERROR((N(V140)+N(V144)+N(V148)+N(V149)+N(V150)),0)</f>
        <v>28276.6</v>
      </c>
      <c r="W348" s="263">
        <f>IFERROR((N(W140)+N(W144)+N(W148)+N(W149)+N(W150)),0)</f>
        <v>28276.6</v>
      </c>
      <c r="X348" s="263">
        <f>IFERROR((N(X140)+N(X144)+N(X148)+N(X149)+N(X150)),0)</f>
        <v>28236.4</v>
      </c>
      <c r="Y348" s="263">
        <f>IFERROR((N(Y140)+N(Y144)+N(Y148)+N(Y149)+N(Y150)),0)</f>
        <v>33495.6</v>
      </c>
      <c r="Z348" s="263">
        <f>IFERROR((N(Z140)+N(Z144)+N(Z148)+N(Z149)+N(Z150)),0)</f>
        <v>35289</v>
      </c>
      <c r="AA348" s="263">
        <f>IFERROR((N(AA140)+N(AA144)+N(AA148)+N(AA149)+N(AA150)),0)</f>
        <v>37317.1</v>
      </c>
      <c r="AB348" s="263">
        <f>IFERROR((N(AB140)+N(AB144)+N(AB148)+N(AB149)+N(AB150)),0)</f>
        <v>37317.1</v>
      </c>
      <c r="AC348" s="263">
        <f>IFERROR((N(AC140)+N(AC144)+N(AC148)+N(AC149)+N(AC150)),0)</f>
        <v>46613.7</v>
      </c>
      <c r="AD348" s="263">
        <f>IFERROR((N(AD140)+N(AD144)+N(AD148)+N(AD149)+N(AD150)),0)</f>
        <v>55735.4</v>
      </c>
      <c r="AE348" s="263">
        <f>IFERROR((N(AE140)+N(AE144)+N(AE148)+N(AE149)+N(AE150)),0)</f>
        <v>61120.5</v>
      </c>
      <c r="AF348" s="263">
        <f>IFERROR((N(AF140)+N(AF144)+N(AF148)+N(AF149)+N(AF150)),0)</f>
        <v>58320</v>
      </c>
      <c r="AG348" s="263">
        <f>IFERROR((N(AG140)+N(AG144)+N(AG148)+N(AG149)+N(AG150)),0)</f>
        <v>58320</v>
      </c>
      <c r="AH348" s="263">
        <f>IFERROR((N(AH140)+N(AH144)+N(AH148)+N(AH149)+N(AH150)),0)</f>
        <v>60903</v>
      </c>
      <c r="AI348" s="263">
        <f>IFERROR((N(AI140)+N(AI144)+N(AI148)+N(AI149)+N(AI150)),0)</f>
        <v>65750</v>
      </c>
      <c r="AJ348" s="263">
        <f>IFERROR((N(AJ140)+N(AJ144)+N(AJ148)+N(AJ149)+N(AJ150)),0)</f>
        <v>70843.3989520861</v>
      </c>
      <c r="AK348" s="263">
        <f>IFERROR((N(AK140)+N(AK144)+N(AK148)+N(AK149)+N(AK150)),0)</f>
        <v>74876.0933471004</v>
      </c>
      <c r="AL348" s="263">
        <f>IFERROR((N(AL140)+N(AL144)+N(AL148)+N(AL149)+N(AL150)),0)</f>
        <v>74876.0933471004</v>
      </c>
      <c r="AM348" s="263">
        <f>IFERROR((N(AM140)+N(AM144)+N(AM148)+N(AM149)+N(AM150)),0)</f>
        <v>77134.1775338598</v>
      </c>
      <c r="AN348" s="263">
        <f>IFERROR((N(AN140)+N(AN144)+N(AN148)+N(AN149)+N(AN150)),0)</f>
        <v>84257.8820140548</v>
      </c>
      <c r="AO348" s="263">
        <f>IFERROR((N(AO140)+N(AO144)+N(AO148)+N(AO149)+N(AO150)),0)</f>
        <v>90600.8291540223</v>
      </c>
      <c r="AP348" s="263">
        <f>IFERROR((N(AP140)+N(AP144)+N(AP148)+N(AP149)+N(AP150)),0)</f>
        <v>96531.9466864801</v>
      </c>
      <c r="AQ348" s="263">
        <f>IFERROR((N(AQ140)+N(AQ144)+N(AQ148)+N(AQ149)+N(AQ150)),0)</f>
        <v>96531.9466864801</v>
      </c>
      <c r="AR348" s="263">
        <f>IFERROR((N(AR140)+N(AR144)+N(AR148)+N(AR149)+N(AR150)),0)</f>
        <v>98834.4033601325</v>
      </c>
      <c r="AS348" s="263">
        <f>IFERROR((N(AS140)+N(AS144)+N(AS148)+N(AS149)+N(AS150)),0)</f>
        <v>110053.367988064</v>
      </c>
      <c r="AT348" s="263">
        <f>IFERROR((N(AT140)+N(AT144)+N(AT148)+N(AT149)+N(AT150)),0)</f>
        <v>119350.593485432</v>
      </c>
      <c r="AU348" s="263">
        <f>IFERROR((N(AU140)+N(AU144)+N(AU148)+N(AU149)+N(AU150)),0)</f>
        <v>128044.176442034</v>
      </c>
      <c r="AV348" s="263">
        <f>IFERROR((N(AV140)+N(AV144)+N(AV148)+N(AV149)+N(AV150)),0)</f>
        <v>128044.176442034</v>
      </c>
      <c r="AW348" s="263">
        <f>IFERROR((N(AW140)+N(AW144)+N(AW148)+N(AW149)+N(AW150)),0)</f>
        <v>132204.721138353</v>
      </c>
      <c r="AX348" s="263">
        <f>IFERROR((N(AX140)+N(AX144)+N(AX148)+N(AX149)+N(AX150)),0)</f>
        <v>147457.411010838</v>
      </c>
      <c r="AY348" s="263">
        <f>IFERROR((N(AY140)+N(AY144)+N(AY148)+N(AY149)+N(AY150)),0)</f>
        <v>161038.407509565</v>
      </c>
      <c r="AZ348" s="263">
        <f>IFERROR((N(AZ140)+N(AZ144)+N(AZ148)+N(AZ149)+N(AZ150)),0)</f>
        <v>173737.62833931</v>
      </c>
      <c r="BA348" s="263">
        <f>IFERROR((N(BA140)+N(BA144)+N(BA148)+N(BA149)+N(BA150)),0)</f>
        <v>173737.62833931</v>
      </c>
      <c r="BB348" s="263">
        <f>IFERROR((N(BB140)+N(BB144)+N(BB148)+N(BB149)+N(BB150)),0)</f>
        <v>179298.523672224</v>
      </c>
      <c r="BC348" s="263">
        <f>IFERROR((N(BC140)+N(BC144)+N(BC148)+N(BC149)+N(BC150)),0)</f>
        <v>201502.748935655</v>
      </c>
      <c r="BD348" s="263">
        <f>IFERROR((N(BD140)+N(BD144)+N(BD148)+N(BD149)+N(BD150)),0)</f>
        <v>221273.39320107</v>
      </c>
      <c r="BE348" s="263">
        <f>IFERROR((N(BE140)+N(BE144)+N(BE148)+N(BE149)+N(BE150)),0)</f>
        <v>239760.385484469</v>
      </c>
      <c r="BF348" s="263">
        <f>IFERROR((N(BF140)+N(BF144)+N(BF148)+N(BF149)+N(BF150)),0)</f>
        <v>239760.385484469</v>
      </c>
      <c r="BG348" s="90" t="n"/>
      <c r="BH348" s="90" t="n"/>
      <c r="BI348" s="90" t="n"/>
      <c r="BJ348" s="90" t="n"/>
      <c r="BL348" s="90" t="n"/>
      <c r="BM348" s="90" t="n"/>
      <c r="BN348" s="90" t="n"/>
      <c r="BO348" s="90" t="n"/>
      <c r="BQ348" s="90" t="n"/>
      <c r="BR348" s="90" t="n"/>
      <c r="BS348" s="90" t="n"/>
      <c r="BT348" s="90" t="n"/>
      <c r="BV348" s="90" t="n"/>
      <c r="BW348" s="90" t="n"/>
      <c r="BX348" s="90" t="n"/>
      <c r="BY348" s="90" t="n"/>
      <c r="CA348" s="90" t="n"/>
      <c r="CB348" s="90" t="n"/>
      <c r="CC348" s="90" t="n"/>
      <c r="CD348" s="90" t="n"/>
      <c r="CF348" s="90" t="n"/>
      <c r="CG348" s="90" t="n"/>
      <c r="CH348" s="90" t="n"/>
      <c r="CI348" s="90" t="n"/>
      <c r="CK348" s="90" t="n"/>
      <c r="CL348" s="90" t="n"/>
      <c r="CM348" s="90" t="n"/>
      <c r="CN348" s="90" t="n"/>
      <c r="CP348" s="90" t="n"/>
      <c r="CQ348" s="90" t="n"/>
      <c r="CR348" s="90" t="n"/>
      <c r="CS348" s="90" t="n"/>
      <c r="CU348" s="90" t="n"/>
      <c r="CV348" s="90" t="n"/>
      <c r="CW348" s="90" t="n"/>
      <c r="CX348" s="90" t="n"/>
    </row>
    <row r="349" customFormat="1" s="77">
      <c r="A349" s="76" t="n"/>
      <c r="B349" s="76" t="n"/>
      <c r="C349" s="77" t="inlineStr">
        <is>
          <t>CURRENT LIABILITIES (OPERATING, EX DEBT)</t>
        </is>
      </c>
      <c r="D349" s="89">
        <f>IFERROR(D193+D197+D199+D200,"")</f>
        <v>0</v>
      </c>
      <c r="E349" s="89">
        <f>IFERROR(E193+E197+E199+E200,"")</f>
        <v>0</v>
      </c>
      <c r="F349" s="89">
        <f>IFERROR(F193+F197+F199+F200,"")</f>
        <v>0</v>
      </c>
      <c r="G349" s="89">
        <f>IFERROR(G193+G197+G199+G200,"")</f>
        <v>0</v>
      </c>
      <c r="H349" s="263">
        <f>IFERROR((N(H193)+N(H197)+N(H199)+N(H200)),0)</f>
        <v>0</v>
      </c>
      <c r="I349" s="263">
        <f>IFERROR((N(I193)+N(I197)+N(I199)+N(I200)),0)</f>
        <v>11709.3</v>
      </c>
      <c r="J349" s="263">
        <f>IFERROR((N(J193)+N(J197)+N(J199)+N(J200)),0)</f>
        <v>13314.7</v>
      </c>
      <c r="K349" s="263">
        <f>IFERROR((N(K193)+N(K197)+N(K199)+N(K200)),0)</f>
        <v>12119</v>
      </c>
      <c r="L349" s="263">
        <f>IFERROR((N(L193)+N(L197)+N(L199)+N(L200)),0)</f>
        <v>13514.4</v>
      </c>
      <c r="M349" s="263">
        <f>IFERROR((N(M193)+N(M197)+N(M199)+N(M200)),0)</f>
        <v>13514.4</v>
      </c>
      <c r="N349" s="263">
        <f>IFERROR((N(N193)+N(N197)+N(N199)+N(N200)),0)</f>
        <v>12030.1</v>
      </c>
      <c r="O349" s="263">
        <f>IFERROR((N(O193)+N(O197)+N(O199)+N(O200)),0)</f>
        <v>13498.8</v>
      </c>
      <c r="P349" s="263">
        <f>IFERROR((N(P193)+N(P197)+N(P199)+N(P200)),0)</f>
        <v>13908.2</v>
      </c>
      <c r="Q349" s="263">
        <f>IFERROR((N(Q193)+N(Q197)+N(Q199)+N(Q200)),0)</f>
        <v>15637.1</v>
      </c>
      <c r="R349" s="263">
        <f>IFERROR((N(R193)+N(R197)+N(R199)+N(R200)),0)</f>
        <v>15637.1</v>
      </c>
      <c r="S349" s="263">
        <f>IFERROR((N(S193)+N(S197)+N(S199)+N(S200)),0)</f>
        <v>16006.9</v>
      </c>
      <c r="T349" s="263">
        <f>IFERROR((N(T193)+N(T197)+N(T199)+N(T200)),0)</f>
        <v>18253.4</v>
      </c>
      <c r="U349" s="263">
        <f>IFERROR((N(U193)+N(U197)+N(U199)+N(U200)),0)</f>
        <v>19753.5</v>
      </c>
      <c r="V349" s="263">
        <f>IFERROR((N(V193)+N(V197)+N(V199)+N(V200)),0)</f>
        <v>20388.7</v>
      </c>
      <c r="W349" s="263">
        <f>IFERROR((N(W193)+N(W197)+N(W199)+N(W200)),0)</f>
        <v>20388.7</v>
      </c>
      <c r="X349" s="263">
        <f>IFERROR((N(X193)+N(X197)+N(X199)+N(X200)),0)</f>
        <v>16946.6</v>
      </c>
      <c r="Y349" s="263">
        <f>IFERROR((N(Y193)+N(Y197)+N(Y199)+N(Y200)),0)</f>
        <v>21959.6</v>
      </c>
      <c r="Z349" s="263">
        <f>IFERROR((N(Z193)+N(Z197)+N(Z199)+N(Z200)),0)</f>
        <v>22599.8</v>
      </c>
      <c r="AA349" s="263">
        <f>IFERROR((N(AA193)+N(AA197)+N(AA199)+N(AA200)),0)</f>
        <v>23259.5</v>
      </c>
      <c r="AB349" s="263">
        <f>IFERROR((N(AB193)+N(AB197)+N(AB199)+N(AB200)),0)</f>
        <v>23259.5</v>
      </c>
      <c r="AC349" s="263">
        <f>IFERROR((N(AC193)+N(AC197)+N(AC199)+N(AC200)),0)</f>
        <v>26051.7</v>
      </c>
      <c r="AD349" s="263">
        <f>IFERROR((N(AD193)+N(AD197)+N(AD199)+N(AD200)),0)</f>
        <v>33296.2</v>
      </c>
      <c r="AE349" s="263">
        <f>IFERROR((N(AE193)+N(AE197)+N(AE199)+N(AE200)),0)</f>
        <v>38507.9</v>
      </c>
      <c r="AF349" s="263">
        <f>IFERROR((N(AF193)+N(AF197)+N(AF199)+N(AF200)),0)</f>
        <v>33593</v>
      </c>
      <c r="AG349" s="263">
        <f>IFERROR((N(AG193)+N(AG197)+N(AG199)+N(AG200)),0)</f>
        <v>33593</v>
      </c>
      <c r="AH349" s="263">
        <f>IFERROR((N(AH193)+N(AH197)+N(AH199)+N(AH200)),0)</f>
        <v>32634</v>
      </c>
      <c r="AI349" s="263">
        <f>IFERROR((N(AI193)+N(AI197)+N(AI199)+N(AI200)),0)</f>
        <v>40691</v>
      </c>
      <c r="AJ349" s="263">
        <f>IFERROR((N(AJ193)+N(AJ197)+N(AJ199)+N(AJ200)),0)</f>
        <v>42188.0045363914</v>
      </c>
      <c r="AK349" s="263">
        <f>IFERROR((N(AK193)+N(AK197)+N(AK199)+N(AK200)),0)</f>
        <v>44082.6808384555</v>
      </c>
      <c r="AL349" s="263">
        <f>IFERROR((N(AL193)+N(AL197)+N(AL199)+N(AL200)),0)</f>
        <v>44082.6808384555</v>
      </c>
      <c r="AM349" s="263">
        <f>IFERROR((N(AM193)+N(AM197)+N(AM199)+N(AM200)),0)</f>
        <v>46277.4507129371</v>
      </c>
      <c r="AN349" s="263">
        <f>IFERROR((N(AN193)+N(AN197)+N(AN199)+N(AN200)),0)</f>
        <v>50118.145211154</v>
      </c>
      <c r="AO349" s="263">
        <f>IFERROR((N(AO193)+N(AO197)+N(AO199)+N(AO200)),0)</f>
        <v>55100.7127295203</v>
      </c>
      <c r="AP349" s="263">
        <f>IFERROR((N(AP193)+N(AP197)+N(AP199)+N(AP200)),0)</f>
        <v>61881.368340296</v>
      </c>
      <c r="AQ349" s="263">
        <f>IFERROR((N(AQ193)+N(AQ197)+N(AQ199)+N(AQ200)),0)</f>
        <v>61881.368340296</v>
      </c>
      <c r="AR349" s="263">
        <f>IFERROR((N(AR193)+N(AR197)+N(AR199)+N(AR200)),0)</f>
        <v>70728.4904128216</v>
      </c>
      <c r="AS349" s="263">
        <f>IFERROR((N(AS193)+N(AS197)+N(AS199)+N(AS200)),0)</f>
        <v>84960.1632499477</v>
      </c>
      <c r="AT349" s="263">
        <f>IFERROR((N(AT193)+N(AT197)+N(AT199)+N(AT200)),0)</f>
        <v>104668.736562904</v>
      </c>
      <c r="AU349" s="263">
        <f>IFERROR((N(AU193)+N(AU197)+N(AU199)+N(AU200)),0)</f>
        <v>132761.730098979</v>
      </c>
      <c r="AV349" s="263">
        <f>IFERROR((N(AV193)+N(AV197)+N(AV199)+N(AV200)),0)</f>
        <v>132761.730098979</v>
      </c>
      <c r="AW349" s="263">
        <f>IFERROR((N(AW193)+N(AW197)+N(AW199)+N(AW200)),0)</f>
        <v>172136.40187977</v>
      </c>
      <c r="AX349" s="263">
        <f>IFERROR((N(AX193)+N(AX197)+N(AX199)+N(AX200)),0)</f>
        <v>231131.670492749</v>
      </c>
      <c r="AY349" s="263">
        <f>IFERROR((N(AY193)+N(AY197)+N(AY199)+N(AY200)),0)</f>
        <v>315907.720883916</v>
      </c>
      <c r="AZ349" s="263">
        <f>IFERROR((N(AZ193)+N(AZ197)+N(AZ199)+N(AZ200)),0)</f>
        <v>438594.645576776</v>
      </c>
      <c r="BA349" s="263">
        <f>IFERROR((N(BA193)+N(BA197)+N(BA199)+N(BA200)),0)</f>
        <v>438594.645576776</v>
      </c>
      <c r="BB349" s="263">
        <f>IFERROR((N(BB193)+N(BB197)+N(BB199)+N(BB200)),0)</f>
        <v>613805.164706549</v>
      </c>
      <c r="BC349" s="263">
        <f>IFERROR((N(BC193)+N(BC197)+N(BC199)+N(BC200)),0)</f>
        <v>871142.665022528</v>
      </c>
      <c r="BD349" s="263">
        <f>IFERROR((N(BD193)+N(BD197)+N(BD199)+N(BD200)),0)</f>
        <v>1243741.05471329</v>
      </c>
      <c r="BE349" s="263">
        <f>IFERROR((N(BE193)+N(BE197)+N(BE199)+N(BE200)),0)</f>
        <v>1784495.40993007</v>
      </c>
      <c r="BF349" s="263">
        <f>IFERROR((N(BF193)+N(BF197)+N(BF199)+N(BF200)),0)</f>
        <v>1784495.40993007</v>
      </c>
      <c r="BG349" s="90" t="n"/>
      <c r="BH349" s="90" t="n"/>
      <c r="BI349" s="90" t="n"/>
      <c r="BJ349" s="90" t="n"/>
      <c r="BL349" s="90" t="n"/>
      <c r="BM349" s="90" t="n"/>
      <c r="BN349" s="90" t="n"/>
      <c r="BO349" s="90" t="n"/>
      <c r="BQ349" s="90" t="n"/>
      <c r="BR349" s="90" t="n"/>
      <c r="BS349" s="90" t="n"/>
      <c r="BT349" s="90" t="n"/>
      <c r="BV349" s="90" t="n"/>
      <c r="BW349" s="90" t="n"/>
      <c r="BX349" s="90" t="n"/>
      <c r="BY349" s="90" t="n"/>
      <c r="CA349" s="90" t="n"/>
      <c r="CB349" s="90" t="n"/>
      <c r="CC349" s="90" t="n"/>
      <c r="CD349" s="90" t="n"/>
      <c r="CF349" s="90" t="n"/>
      <c r="CG349" s="90" t="n"/>
      <c r="CH349" s="90" t="n"/>
      <c r="CI349" s="90" t="n"/>
      <c r="CK349" s="90" t="n"/>
      <c r="CL349" s="90" t="n"/>
      <c r="CM349" s="90" t="n"/>
      <c r="CN349" s="90" t="n"/>
      <c r="CP349" s="90" t="n"/>
      <c r="CQ349" s="90" t="n"/>
      <c r="CR349" s="90" t="n"/>
      <c r="CS349" s="90" t="n"/>
      <c r="CU349" s="90" t="n"/>
      <c r="CV349" s="90" t="n"/>
      <c r="CW349" s="90" t="n"/>
      <c r="CX349" s="90" t="n"/>
    </row>
    <row r="350" customFormat="1" s="77">
      <c r="A350" s="76" t="n"/>
      <c r="B350" s="76" t="n"/>
      <c r="C350" s="77" t="inlineStr">
        <is>
          <t>FIXED ASSETS</t>
        </is>
      </c>
      <c r="D350" s="89">
        <f>IFERROR(D161+D171+D174+D175+D184-D235,"")</f>
        <v>0</v>
      </c>
      <c r="E350" s="89">
        <f>IFERROR(E161+E171+E174+E175+E184-E235,"")</f>
        <v>0</v>
      </c>
      <c r="F350" s="89">
        <f>IFERROR(F161+F171+F174+F175+F184-F235,"")</f>
        <v>0</v>
      </c>
      <c r="G350" s="89">
        <f>IFERROR(G161+G171+G174+G175+G184-G235,"")</f>
        <v>0</v>
      </c>
      <c r="H350" s="263">
        <f>IFERROR((N(H161)+N(H171)+N(H174)+N(H175)+N(H184))-N(H235),0)</f>
        <v>0</v>
      </c>
      <c r="I350" s="263">
        <f>IFERROR((N(I161)+N(I171)+N(I174)+N(I175)+N(I184))-N(I235),0)</f>
        <v>17959.3</v>
      </c>
      <c r="J350" s="263">
        <f>IFERROR((N(J161)+N(J171)+N(J174)+N(J175)+N(J184))-N(J235),0)</f>
        <v>18380.2</v>
      </c>
      <c r="K350" s="263">
        <f>IFERROR((N(K161)+N(K171)+N(K174)+N(K175)+N(K184))-N(K235),0)</f>
        <v>18357.1</v>
      </c>
      <c r="L350" s="263">
        <f>IFERROR((N(L161)+N(L171)+N(L174)+N(L175)+N(L184))-N(L235),0)</f>
        <v>20345.9</v>
      </c>
      <c r="M350" s="263">
        <f>IFERROR((N(M161)+N(M171)+N(M174)+N(M175)+N(M184))-N(M235),0)</f>
        <v>20345.9</v>
      </c>
      <c r="N350" s="263">
        <f>IFERROR((N(N161)+N(N171)+N(N174)+N(N175)+N(N184))-N(N235),0)</f>
        <v>19857.4</v>
      </c>
      <c r="O350" s="263">
        <f>IFERROR((N(O161)+N(O171)+N(O174)+N(O175)+N(O184))-N(O235),0)</f>
        <v>20347.2</v>
      </c>
      <c r="P350" s="263">
        <f>IFERROR((N(P161)+N(P171)+N(P174)+N(P175)+N(P184))-N(P235),0)</f>
        <v>20110.2</v>
      </c>
      <c r="Q350" s="263">
        <f>IFERROR((N(Q161)+N(Q171)+N(Q174)+N(Q175)+N(Q184))-N(Q235),0)</f>
        <v>21911</v>
      </c>
      <c r="R350" s="263">
        <f>IFERROR((N(R161)+N(R171)+N(R174)+N(R175)+N(R184))-N(R235),0)</f>
        <v>21911</v>
      </c>
      <c r="S350" s="263">
        <f>IFERROR((N(S161)+N(S171)+N(S174)+N(S175)+N(S184))-N(S235),0)</f>
        <v>21967.3</v>
      </c>
      <c r="T350" s="263">
        <f>IFERROR((N(T161)+N(T171)+N(T174)+N(T175)+N(T184))-N(T235),0)</f>
        <v>23085.2</v>
      </c>
      <c r="U350" s="263">
        <f>IFERROR((N(U161)+N(U171)+N(U174)+N(U175)+N(U184))-N(U235),0)</f>
        <v>23647.4</v>
      </c>
      <c r="V350" s="263">
        <f>IFERROR((N(V161)+N(V171)+N(V174)+N(V175)+N(V184))-N(V235),0)</f>
        <v>25273.4</v>
      </c>
      <c r="W350" s="263">
        <f>IFERROR((N(W161)+N(W171)+N(W174)+N(W175)+N(W184))-N(W235),0)</f>
        <v>25273.4</v>
      </c>
      <c r="X350" s="263">
        <f>IFERROR((N(X161)+N(X171)+N(X174)+N(X175)+N(X184))-N(X235),0)</f>
        <v>25232.7</v>
      </c>
      <c r="Y350" s="263">
        <f>IFERROR((N(Y161)+N(Y171)+N(Y174)+N(Y175)+N(Y184))-N(Y235),0)</f>
        <v>27627.5</v>
      </c>
      <c r="Z350" s="263">
        <f>IFERROR((N(Z161)+N(Z171)+N(Z174)+N(Z175)+N(Z184))-N(Z235),0)</f>
        <v>29232.8</v>
      </c>
      <c r="AA350" s="263">
        <f>IFERROR((N(AA161)+N(AA171)+N(AA174)+N(AA175)+N(AA184))-N(AA235),0)</f>
        <v>30435</v>
      </c>
      <c r="AB350" s="263">
        <f>IFERROR((N(AB161)+N(AB171)+N(AB174)+N(AB175)+N(AB184))-N(AB235),0)</f>
        <v>30435</v>
      </c>
      <c r="AC350" s="263">
        <f>IFERROR((N(AC161)+N(AC171)+N(AC174)+N(AC175)+N(AC184))-N(AC235),0)</f>
        <v>30580</v>
      </c>
      <c r="AD350" s="263">
        <f>IFERROR((N(AD161)+N(AD171)+N(AD174)+N(AD175)+N(AD184))-N(AD235),0)</f>
        <v>32267.7</v>
      </c>
      <c r="AE350" s="263">
        <f>IFERROR((N(AE161)+N(AE171)+N(AE174)+N(AE175)+N(AE184))-N(AE235),0)</f>
        <v>33831.3</v>
      </c>
      <c r="AF350" s="263">
        <f>IFERROR((N(AF161)+N(AF171)+N(AF174)+N(AF175)+N(AF184))-N(AF235),0)</f>
        <v>37021</v>
      </c>
      <c r="AG350" s="263">
        <f>IFERROR((N(AG161)+N(AG171)+N(AG174)+N(AG175)+N(AG184))-N(AG235),0)</f>
        <v>37021</v>
      </c>
      <c r="AH350" s="263">
        <f>IFERROR((N(AH161)+N(AH171)+N(AH174)+N(AH175)+N(AH184))-N(AH235),0)</f>
        <v>40998</v>
      </c>
      <c r="AI350" s="263">
        <f>IFERROR((N(AI161)+N(AI171)+N(AI174)+N(AI175)+N(AI184))-N(AI235),0)</f>
        <v>54723</v>
      </c>
      <c r="AJ350" s="263">
        <f>IFERROR((N(AJ161)+N(AJ171)+N(AJ174)+N(AJ175)+N(AJ184))-N(AJ235),0)</f>
        <v>57626.5889936276</v>
      </c>
      <c r="AK350" s="263">
        <f>IFERROR((N(AK161)+N(AK171)+N(AK174)+N(AK175)+N(AK184))-N(AK235),0)</f>
        <v>60809.1738116508</v>
      </c>
      <c r="AL350" s="263">
        <f>IFERROR((N(AL161)+N(AL171)+N(AL174)+N(AL175)+N(AL184))-N(AL235),0)</f>
        <v>60809.1738116508</v>
      </c>
      <c r="AM350" s="263">
        <f>IFERROR((N(AM161)+N(AM171)+N(AM174)+N(AM175)+N(AM184))-N(AM235),0)</f>
        <v>64075.3979880991</v>
      </c>
      <c r="AN350" s="263">
        <f>IFERROR((N(AN161)+N(AN171)+N(AN174)+N(AN175)+N(AN184))-N(AN235),0)</f>
        <v>67865.3992118844</v>
      </c>
      <c r="AO350" s="263">
        <f>IFERROR((N(AO161)+N(AO171)+N(AO174)+N(AO175)+N(AO184))-N(AO235),0)</f>
        <v>72135.8759453674</v>
      </c>
      <c r="AP350" s="263">
        <f>IFERROR((N(AP161)+N(AP171)+N(AP174)+N(AP175)+N(AP184))-N(AP235),0)</f>
        <v>76816.6880188159</v>
      </c>
      <c r="AQ350" s="263">
        <f>IFERROR((N(AQ161)+N(AQ171)+N(AQ174)+N(AQ175)+N(AQ184))-N(AQ235),0)</f>
        <v>76816.6880188159</v>
      </c>
      <c r="AR350" s="263">
        <f>IFERROR((N(AR161)+N(AR171)+N(AR174)+N(AR175)+N(AR184))-N(AR235),0)</f>
        <v>81604.1822266818</v>
      </c>
      <c r="AS350" s="263">
        <f>IFERROR((N(AS161)+N(AS171)+N(AS174)+N(AS175)+N(AS184))-N(AS235),0)</f>
        <v>87159.4068305259</v>
      </c>
      <c r="AT350" s="263">
        <f>IFERROR((N(AT161)+N(AT171)+N(AT174)+N(AT175)+N(AT184))-N(AT235),0)</f>
        <v>93418.8922552548</v>
      </c>
      <c r="AU350" s="263">
        <f>IFERROR((N(AU161)+N(AU171)+N(AU174)+N(AU175)+N(AU184))-N(AU235),0)</f>
        <v>100279.829986146</v>
      </c>
      <c r="AV350" s="263">
        <f>IFERROR((N(AV161)+N(AV171)+N(AV174)+N(AV175)+N(AV184))-N(AV235),0)</f>
        <v>100279.829986146</v>
      </c>
      <c r="AW350" s="263">
        <f>IFERROR((N(AW161)+N(AW171)+N(AW174)+N(AW175)+N(AW184))-N(AW235),0)</f>
        <v>107273.200437698</v>
      </c>
      <c r="AX350" s="263">
        <f>IFERROR((N(AX161)+N(AX171)+N(AX174)+N(AX175)+N(AX184))-N(AX235),0)</f>
        <v>115388.039205006</v>
      </c>
      <c r="AY350" s="263">
        <f>IFERROR((N(AY161)+N(AY171)+N(AY174)+N(AY175)+N(AY184))-N(AY235),0)</f>
        <v>124531.632598664</v>
      </c>
      <c r="AZ350" s="263">
        <f>IFERROR((N(AZ161)+N(AZ171)+N(AZ174)+N(AZ175)+N(AZ184))-N(AZ235),0)</f>
        <v>134553.802258591</v>
      </c>
      <c r="BA350" s="263">
        <f>IFERROR((N(BA161)+N(BA171)+N(BA174)+N(BA175)+N(BA184))-N(BA235),0)</f>
        <v>134553.802258591</v>
      </c>
      <c r="BB350" s="263">
        <f>IFERROR((N(BB161)+N(BB171)+N(BB174)+N(BB175)+N(BB184))-N(BB235),0)</f>
        <v>144734.45722208</v>
      </c>
      <c r="BC350" s="263">
        <f>IFERROR((N(BC161)+N(BC171)+N(BC174)+N(BC175)+N(BC184))-N(BC235),0)</f>
        <v>156547.698655041</v>
      </c>
      <c r="BD350" s="263">
        <f>IFERROR((N(BD161)+N(BD171)+N(BD174)+N(BD175)+N(BD184))-N(BD235),0)</f>
        <v>169858.557862652</v>
      </c>
      <c r="BE350" s="263">
        <f>IFERROR((N(BE161)+N(BE171)+N(BE174)+N(BE175)+N(BE184))-N(BE235),0)</f>
        <v>184448.411496192</v>
      </c>
      <c r="BF350" s="263">
        <f>IFERROR((N(BF161)+N(BF171)+N(BF174)+N(BF175)+N(BF184))-N(BF235),0)</f>
        <v>184448.411496192</v>
      </c>
      <c r="BG350" s="90" t="n"/>
      <c r="BH350" s="90" t="n"/>
      <c r="BI350" s="90" t="n"/>
      <c r="BJ350" s="90" t="n"/>
      <c r="BL350" s="90" t="n"/>
      <c r="BM350" s="90" t="n"/>
      <c r="BN350" s="90" t="n"/>
      <c r="BO350" s="90" t="n"/>
      <c r="BQ350" s="90" t="n"/>
      <c r="BR350" s="90" t="n"/>
      <c r="BS350" s="90" t="n"/>
      <c r="BT350" s="90" t="n"/>
      <c r="BV350" s="90" t="n"/>
      <c r="BW350" s="90" t="n"/>
      <c r="BX350" s="90" t="n"/>
      <c r="BY350" s="90" t="n"/>
      <c r="CA350" s="90" t="n"/>
      <c r="CB350" s="90" t="n"/>
      <c r="CC350" s="90" t="n"/>
      <c r="CD350" s="90" t="n"/>
      <c r="CF350" s="90" t="n"/>
      <c r="CG350" s="90" t="n"/>
      <c r="CH350" s="90" t="n"/>
      <c r="CI350" s="90" t="n"/>
      <c r="CK350" s="90" t="n"/>
      <c r="CL350" s="90" t="n"/>
      <c r="CM350" s="90" t="n"/>
      <c r="CN350" s="90" t="n"/>
      <c r="CP350" s="90" t="n"/>
      <c r="CQ350" s="90" t="n"/>
      <c r="CR350" s="90" t="n"/>
      <c r="CS350" s="90" t="n"/>
      <c r="CU350" s="90" t="n"/>
      <c r="CV350" s="90" t="n"/>
      <c r="CW350" s="90" t="n"/>
      <c r="CX350" s="90" t="n"/>
    </row>
    <row r="351" customFormat="1" s="77">
      <c r="A351" s="76" t="n"/>
      <c r="B351" s="76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</row>
    <row r="355" customFormat="1" s="77">
      <c r="A355" s="76" t="n"/>
      <c r="B355" s="76" t="n"/>
    </row>
    <row r="356" customFormat="1" s="77">
      <c r="A356" s="76" t="n"/>
      <c r="B356" s="76" t="n"/>
    </row>
    <row r="357" customFormat="1" s="77">
      <c r="A357" s="76" t="n"/>
      <c r="B357" s="76" t="n"/>
    </row>
    <row r="358" customFormat="1" s="77">
      <c r="A358" s="76" t="n"/>
      <c r="B358" s="76" t="n"/>
      <c r="C358" s="74" t="inlineStr">
        <is>
          <t>DUPONT ANALYSIS</t>
        </is>
      </c>
    </row>
    <row r="359" customFormat="1" s="77">
      <c r="A359" s="76" t="n"/>
      <c r="B359" s="76" t="n"/>
      <c r="C359" s="77" t="inlineStr">
        <is>
          <t>NET PROFIT MARGIN (LTM)</t>
        </is>
      </c>
      <c r="D359" s="84" t="str">
        <f>IFERROR(D132/D15,"")</f>
        <v/>
      </c>
      <c r="E359" s="84" t="str">
        <f>IFERROR(E132/E15,"")</f>
        <v/>
      </c>
      <c r="F359" s="84" t="str">
        <f>IFERROR(F132/F15,"")</f>
        <v/>
      </c>
      <c r="G359" s="84" t="str">
        <f>IFERROR(G132/G15,"")</f>
        <v/>
      </c>
      <c r="H359" s="258" t="str">
        <f>IFERROR(IF(AND(COUNT(H132)=1,(H15)&lt;&gt;0),(H132)/(H15),""),"")</f>
        <v/>
      </c>
      <c r="I359" s="257" t="str">
        <f>""</f>
        <v/>
      </c>
      <c r="J359" s="257" t="str">
        <f>""</f>
        <v/>
      </c>
      <c r="K359" s="257" t="str">
        <f>""</f>
        <v/>
      </c>
      <c r="L359" s="257">
        <f>IFERROR(IF(AND(COUNT(I132,J132,K132,L132)=4,(I15+J15+K15+L15)&lt;&gt;0),(I132+J132+K132+L132)/(I15+J15+K15+L15),""),"")</f>
        <v>0.197105062432906</v>
      </c>
      <c r="M359" s="258">
        <f>IFERROR(IF(AND(COUNT(I132,J132,K132,L132)=4,(I15+J15+K15+L15)&lt;&gt;0),(I132+J132+K132+L132)/(I15+J15+K15+L15),""),"")</f>
        <v>0.197105062432906</v>
      </c>
      <c r="N359" s="257">
        <f>IFERROR(IF(AND(COUNT(J132,K132,L132,N132)=4,(J15+K15+L15+N15)&lt;&gt;0),(J132+K132+L132+N132)/(J15+K15+L15+N15),""),"")</f>
        <v>0.209028469313981</v>
      </c>
      <c r="O359" s="257">
        <f>IFERROR(IF(AND(COUNT(K132,L132,N132,O132)=4,(K15+L15+N15+O15)&lt;&gt;0),(K132+L132+N132+O132)/(K15+L15+N15+O15),""),"")</f>
        <v>0.195784759224924</v>
      </c>
      <c r="P359" s="257">
        <f>IFERROR(IF(AND(COUNT(L132,N132,O132,P132)=4,(L15+N15+O15+P15)&lt;&gt;0),(L132+N132+O132+P132)/(L15+N15+O15+P15),""),"")</f>
        <v>0.206337317669591</v>
      </c>
      <c r="Q359" s="257">
        <f>IFERROR(IF(AND(COUNT(N132,O132,P132,Q132)=4,(N15+O15+P15+Q15)&lt;&gt;0),(N132+O132+P132+Q132)/(N15+O15+P15+Q15),""),"")</f>
        <v>0.218797956652442</v>
      </c>
      <c r="R359" s="258">
        <f>IFERROR(IF(AND(COUNT(N132,O132,P132,Q132)=4,(N15+O15+P15+Q15)&lt;&gt;0),(N132+O132+P132+Q132)/(N15+O15+P15+Q15),""),"")</f>
        <v>0.218797956652442</v>
      </c>
      <c r="S359" s="257">
        <f>IFERROR(IF(AND(COUNT(O132,P132,Q132,S132)=4,(O15+P15+Q15+S15)&lt;&gt;0),(O132+P132+Q132+S132)/(O15+P15+Q15+S15),""),"")</f>
        <v>0.205363398022491</v>
      </c>
      <c r="T359" s="257">
        <f>IFERROR(IF(AND(COUNT(P132,Q132,S132,T132)=4,(P15+Q15+S15+T15)&lt;&gt;0),(P132+Q132+S132+T132)/(P15+Q15+S15+T15),""),"")</f>
        <v>0.220138571259169</v>
      </c>
      <c r="U359" s="257">
        <f>IFERROR(IF(AND(COUNT(Q132,S132,T132,U132)=4,(Q15+S15+T15+U15)&lt;&gt;0),(Q132+S132+T132+U132)/(Q15+S15+T15+U15),""),"")</f>
        <v>0.155535115753371</v>
      </c>
      <c r="V359" s="257">
        <f>IFERROR(IF(AND(COUNT(S132,T132,U132,V132)=4,(S15+T15+U15+V15)&lt;&gt;0),(S132+T132+U132+V132)/(S15+T15+U15+V15),""),"")</f>
        <v>0.15356888533324</v>
      </c>
      <c r="W359" s="258">
        <f>IFERROR(IF(AND(COUNT(S132,T132,U132,V132)=4,(S15+T15+U15+V15)&lt;&gt;0),(S132+T132+U132+V132)/(S15+T15+U15+V15),""),"")</f>
        <v>0.15356888533324</v>
      </c>
      <c r="X359" s="257">
        <f>IFERROR(IF(AND(COUNT(T132,U132,V132,X132)=4,(T15+U15+V15+X15)&lt;&gt;0),(T132+U132+V132+X132)/(T15+U15+V15+X15),""),"")</f>
        <v>0.170833321737388</v>
      </c>
      <c r="Y359" s="257">
        <f>IFERROR(IF(AND(COUNT(U132,V132,X132,Y132)=4,(U15+V15+X15+Y15)&lt;&gt;0),(U132+V132+X132+Y132)/(U15+V15+X15+Y15),""),"")</f>
        <v>0.188634938904704</v>
      </c>
      <c r="Z359" s="257">
        <f>IFERROR(IF(AND(COUNT(V132,X132,Y132,Z132)=4,(V15+X15+Y15+Z15)&lt;&gt;0),(V132+X132+Y132+Z132)/(V15+X15+Y15+Z15),""),"")</f>
        <v>0.204826825048393</v>
      </c>
      <c r="AA359" s="257">
        <f>IFERROR(IF(AND(COUNT(X132,Y132,Z132,AA132)=4,(X15+Y15+Z15+AA15)&lt;&gt;0),(X132+Y132+Z132+AA132)/(X15+Y15+Z15+AA15),""),"")</f>
        <v>0.235110239839086</v>
      </c>
      <c r="AB359" s="258">
        <f>IFERROR(IF(AND(COUNT(X132,Y132,Z132,AA132)=4,(X15+Y15+Z15+AA15)&lt;&gt;0),(X132+Y132+Z132+AA132)/(X15+Y15+Z15+AA15),""),"")</f>
        <v>0.235110239839086</v>
      </c>
      <c r="AC359" s="257">
        <f>IFERROR(IF(AND(COUNT(Y132,Z132,AA132,AC132)=4,(Y15+Z15+AA15+AC15)&lt;&gt;0),(Y132+Z132+AA132+AC132)/(Y15+Z15+AA15+AC15),""),"")</f>
        <v>0.226637988560048</v>
      </c>
      <c r="AD359" s="257">
        <f>IFERROR(IF(AND(COUNT(Z132,AA132,AC132,AD132)=4,(Z15+AA15+AC15+AD15)&lt;&gt;0),(Z132+AA132+AC132+AD132)/(Z15+AA15+AC15+AD15),""),"")</f>
        <v>0.259113500278827</v>
      </c>
      <c r="AE359" s="257">
        <f>IFERROR(IF(AND(COUNT(AA132,AC132,AD132,AE132)=4,(AA15+AC15+AD15+AE15)&lt;&gt;0),(AA132+AC132+AD132+AE132)/(AA15+AC15+AD15+AE15),""),"")</f>
        <v>0.30986391924686</v>
      </c>
      <c r="AF359" s="257">
        <f>IFERROR(IF(AND(COUNT(AB132,AD132,AE132,AF132)=4,(AB15+AD15+AE15+AF15)&lt;&gt;0),(AB132+AD132+AE132+AF132)/(AB15+AD15+AE15+AF15),""),"")</f>
        <v>0.292031776477406</v>
      </c>
      <c r="AG359" s="258">
        <f>IFERROR(IF(AND(COUNT(AC132,AD132,AE132,AF132)=4,(AC15+AD15+AE15+AF15)&lt;&gt;0),(AC132+AD132+AE132+AF132)/(AC15+AD15+AE15+AF15),""),"")</f>
        <v>0.316665592714307</v>
      </c>
      <c r="AH359" s="257">
        <f>IFERROR(IF(AND(COUNT(AD132,AF132,AG132,AH132)=4,(AD15+AF15+AG15+AH15)&lt;&gt;0),(AD132+AF132+AG132+AH132)/(AD15+AF15+AG15+AH15),""),"")</f>
        <v>0.336604388928204</v>
      </c>
      <c r="AI359" s="257">
        <f>IFERROR(IF(AND(COUNT(AE132,AG132,AH132,AI132)=4,(AE15+AG15+AH15+AI15)&lt;&gt;0),(AE132+AG132+AH132+AI132)/(AE15+AG15+AH15+AI15),""),"")</f>
        <v>0.324273457710492</v>
      </c>
      <c r="AJ359" s="257">
        <f>IFERROR(IF(AND(COUNT(AF132,AH132,AI132,AJ132)=4,(AF15+AH15+AI15+AJ15)&lt;&gt;0),(AF132+AH132+AI132+AJ132)/(AF15+AH15+AI15+AJ15),""),"")</f>
        <v>0.338013693146797</v>
      </c>
      <c r="AK359" s="257">
        <f>IFERROR(IF(AND(COUNT(AH132,AI132,AJ132,AK132)=4,(AH15+AI15+AJ15+AK15)&lt;&gt;0),(AH132+AI132+AJ132+AK132)/(AH15+AI15+AJ15+AK15),""),"")</f>
        <v>0.335117561644568</v>
      </c>
      <c r="AL359" s="258">
        <f>IFERROR(IF(AND(COUNT(AH132,AI132,AJ132,AK132)=4,(AH15+AI15+AJ15+AK15)&lt;&gt;0),(AH132+AI132+AJ132+AK132)/(AH15+AI15+AJ15+AK15),""),"")</f>
        <v>0.335117561644568</v>
      </c>
      <c r="AM359" s="257">
        <f>IFERROR(IF(AND(COUNT(AI132,AJ132,AK132,AM132)=4,(AI15+AJ15+AK15+AM15)&lt;&gt;0),(AI132+AJ132+AK132+AM132)/(AI15+AJ15+AK15+AM15),""),"")</f>
        <v>0.327169830399044</v>
      </c>
      <c r="AN359" s="257">
        <f>IFERROR(IF(AND(COUNT(AJ132,AK132,AM132,AN132)=4,(AJ15+AK15+AM15+AN15)&lt;&gt;0),(AJ132+AK132+AM132+AN132)/(AJ15+AK15+AM15+AN15),""),"")</f>
        <v>0.332223801337172</v>
      </c>
      <c r="AO359" s="257">
        <f>IFERROR(IF(AND(COUNT(AK132,AM132,AN132,AO132)=4,(AK15+AM15+AN15+AO15)&lt;&gt;0),(AK132+AM132+AN132+AO132)/(AK15+AM15+AN15+AO15),""),"")</f>
        <v>0.332223801337172</v>
      </c>
      <c r="AP359" s="257">
        <f>IFERROR(IF(AND(COUNT(AM132,AN132,AO132,AP132)=4,(AM15+AN15+AO15+AP15)&lt;&gt;0),(AM132+AN132+AO132+AP132)/(AM15+AN15+AO15+AP15),""),"")</f>
        <v>0.332223801337172</v>
      </c>
      <c r="AQ359" s="258">
        <f>IFERROR(IF(AND(COUNT(AM132,AN132,AO132,AP132)=4,(AM15+AN15+AO15+AP15)&lt;&gt;0),(AM132+AN132+AO132+AP132)/(AM15+AN15+AO15+AP15),""),"")</f>
        <v>0.332223801337172</v>
      </c>
      <c r="AR359" s="257">
        <f>IFERROR(IF(AND(COUNT(AN132,AO132,AP132,AR132)=4,(AN15+AO15+AP15+AR15)&lt;&gt;0),(AN132+AO132+AP132+AR132)/(AN15+AO15+AP15+AR15),""),"")</f>
        <v>0.332223801337172</v>
      </c>
      <c r="AS359" s="257">
        <f>IFERROR(IF(AND(COUNT(AO132,AP132,AR132,AS132)=4,(AO15+AP15+AR15+AS15)&lt;&gt;0),(AO132+AP132+AR132+AS132)/(AO15+AP15+AR15+AS15),""),"")</f>
        <v>0.332223801337172</v>
      </c>
      <c r="AT359" s="257">
        <f>IFERROR(IF(AND(COUNT(AP132,AR132,AS132,AT132)=4,(AP15+AR15+AS15+AT15)&lt;&gt;0),(AP132+AR132+AS132+AT132)/(AP15+AR15+AS15+AT15),""),"")</f>
        <v>0.332223801337172</v>
      </c>
      <c r="AU359" s="257">
        <f>IFERROR(IF(AND(COUNT(AR132,AS132,AT132,AU132)=4,(AR15+AS15+AT15+AU15)&lt;&gt;0),(AR132+AS132+AT132+AU132)/(AR15+AS15+AT15+AU15),""),"")</f>
        <v>0.332223801337172</v>
      </c>
      <c r="AV359" s="258">
        <f>IFERROR(IF(AND(COUNT(AR132,AS132,AT132,AU132)=4,(AR15+AS15+AT15+AU15)&lt;&gt;0),(AR132+AS132+AT132+AU132)/(AR15+AS15+AT15+AU15),""),"")</f>
        <v>0.332223801337172</v>
      </c>
      <c r="AW359" s="257">
        <f>IFERROR(IF(AND(COUNT(AS132,AT132,AU132,AW132)=4,(AS15+AT15+AU15+AW15)&lt;&gt;0),(AS132+AT132+AU132+AW132)/(AS15+AT15+AU15+AW15),""),"")</f>
        <v>0.332223801337172</v>
      </c>
      <c r="AX359" s="257">
        <f>IFERROR(IF(AND(COUNT(AT132,AU132,AW132,AX132)=4,(AT15+AU15+AW15+AX15)&lt;&gt;0),(AT132+AU132+AW132+AX132)/(AT15+AU15+AW15+AX15),""),"")</f>
        <v>0.332223801337172</v>
      </c>
      <c r="AY359" s="257">
        <f>IFERROR(IF(AND(COUNT(AU132,AW132,AX132,AY132)=4,(AU15+AW15+AX15+AY15)&lt;&gt;0),(AU132+AW132+AX132+AY132)/(AU15+AW15+AX15+AY15),""),"")</f>
        <v>0.332223801337172</v>
      </c>
      <c r="AZ359" s="257">
        <f>IFERROR(IF(AND(COUNT(AW132,AX132,AY132,AZ132)=4,(AW15+AX15+AY15+AZ15)&lt;&gt;0),(AW132+AX132+AY132+AZ132)/(AW15+AX15+AY15+AZ15),""),"")</f>
        <v>0.332223801337172</v>
      </c>
      <c r="BA359" s="258">
        <f>IFERROR(IF(AND(COUNT(AW132,AX132,AY132,AZ132)=4,(AW15+AX15+AY15+AZ15)&lt;&gt;0),(AW132+AX132+AY132+AZ132)/(AW15+AX15+AY15+AZ15),""),"")</f>
        <v>0.332223801337172</v>
      </c>
      <c r="BB359" s="257">
        <f>IFERROR(IF(AND(COUNT(AX132,AY132,AZ132,BB132)=4,(AX15+AY15+AZ15+BB15)&lt;&gt;0),(AX132+AY132+AZ132+BB132)/(AX15+AY15+AZ15+BB15),""),"")</f>
        <v>0.332223801337172</v>
      </c>
      <c r="BC359" s="257">
        <f>IFERROR(IF(AND(COUNT(AY132,AZ132,BB132,BC132)=4,(AY15+AZ15+BB15+BC15)&lt;&gt;0),(AY132+AZ132+BB132+BC132)/(AY15+AZ15+BB15+BC15),""),"")</f>
        <v>0.332223801337172</v>
      </c>
      <c r="BD359" s="257">
        <f>IFERROR(IF(AND(COUNT(AZ132,BB132,BC132,BD132)=4,(AZ15+BB15+BC15+BD15)&lt;&gt;0),(AZ132+BB132+BC132+BD132)/(AZ15+BB15+BC15+BD15),""),"")</f>
        <v>0.332223801337172</v>
      </c>
      <c r="BE359" s="257">
        <f>IFERROR(IF(AND(COUNT(BB132,BC132,BD132,BE132)=4,(BB15+BC15+BD15+BE15)&lt;&gt;0),(BB132+BC132+BD132+BE132)/(BB15+BC15+BD15+BE15),""),"")</f>
        <v>0.332223801337172</v>
      </c>
      <c r="BF359" s="258">
        <f>IFERROR(IF(AND(COUNT(BB132,BC132,BD132,BE132)=4,(BB15+BC15+BD15+BE15)&lt;&gt;0),(BB132+BC132+BD132+BE132)/(BB15+BC15+BD15+BE15),""),"")</f>
        <v>0.332223801337172</v>
      </c>
      <c r="BG359" s="81" t="n"/>
      <c r="BH359" s="81" t="n"/>
      <c r="BI359" s="81" t="n"/>
      <c r="BJ359" s="81" t="n"/>
      <c r="BL359" s="81" t="n"/>
      <c r="BM359" s="81" t="n"/>
      <c r="BN359" s="81" t="n"/>
      <c r="BO359" s="81" t="n"/>
      <c r="BQ359" s="81" t="n"/>
      <c r="BR359" s="81" t="n"/>
      <c r="BS359" s="81" t="n"/>
      <c r="BT359" s="81" t="n"/>
      <c r="BV359" s="81" t="n"/>
      <c r="BW359" s="81" t="n"/>
      <c r="BX359" s="81" t="n"/>
      <c r="BY359" s="81" t="n"/>
      <c r="CA359" s="81" t="n"/>
      <c r="CB359" s="81" t="n"/>
      <c r="CC359" s="81" t="n"/>
      <c r="CD359" s="81" t="n"/>
      <c r="CF359" s="81" t="n"/>
      <c r="CG359" s="81" t="n"/>
      <c r="CH359" s="81" t="n"/>
      <c r="CI359" s="81" t="n"/>
      <c r="CK359" s="81" t="n"/>
      <c r="CL359" s="81" t="n"/>
      <c r="CM359" s="81" t="n"/>
      <c r="CN359" s="81" t="n"/>
      <c r="CP359" s="81" t="n"/>
      <c r="CQ359" s="81" t="n"/>
      <c r="CR359" s="81" t="n"/>
      <c r="CS359" s="81" t="n"/>
      <c r="CU359" s="81" t="n"/>
      <c r="CV359" s="81" t="n"/>
      <c r="CW359" s="81" t="n"/>
      <c r="CX359" s="81" t="n"/>
    </row>
    <row r="360" customFormat="1" s="77">
      <c r="A360" s="76" t="n"/>
      <c r="B360" s="76" t="n"/>
      <c r="C360" s="77" t="inlineStr">
        <is>
          <t>ASSET TURNOVER (LTM REVENUE / ASSETS)</t>
        </is>
      </c>
      <c r="D360" s="84" t="str">
        <f>IFERROR(D15/D192,"")</f>
        <v/>
      </c>
      <c r="E360" s="84" t="str">
        <f>IFERROR(E15/E192,"")</f>
        <v/>
      </c>
      <c r="F360" s="84" t="str">
        <f>IFERROR(F15/F192,"")</f>
        <v/>
      </c>
      <c r="G360" s="84" t="str">
        <f>IFERROR(G15/G192,"")</f>
        <v/>
      </c>
      <c r="H360" s="262" t="str">
        <f>IFERROR(IF(AND(COUNT(H15)=1,N(H192)&lt;&gt;0),(H15)/H192,""),"")</f>
        <v/>
      </c>
      <c r="I360" s="264" t="str">
        <f>""</f>
        <v/>
      </c>
      <c r="J360" s="264" t="str">
        <f>""</f>
        <v/>
      </c>
      <c r="K360" s="264" t="str">
        <f>""</f>
        <v/>
      </c>
      <c r="L360" s="264">
        <f>IFERROR(IF(AND(COUNT(I15,J15,K15,L15)=4,N(L192)&lt;&gt;0),(I15+J15+K15+L15)/L192,""),"")</f>
        <v>0.58022374298242</v>
      </c>
      <c r="M360" s="262">
        <f>IFERROR(IF(AND(COUNT(I15,J15,K15,L15)=4,N(M192)&lt;&gt;0),(I15+J15+K15+L15)/M192,""),"")</f>
        <v>0.58022374298242</v>
      </c>
      <c r="N360" s="264">
        <f>IFERROR(IF(AND(COUNT(J15,K15,L15,N15)=4,N(N192)&lt;&gt;0),(J15+K15+L15+N15)/N192,""),"")</f>
        <v>0.624962435500956</v>
      </c>
      <c r="O360" s="264">
        <f>IFERROR(IF(AND(COUNT(K15,L15,N15,O15)=4,N(O192)&lt;&gt;0),(K15+L15+N15+O15)/O192,""),"")</f>
        <v>0.617689679497531</v>
      </c>
      <c r="P360" s="264">
        <f>IFERROR(IF(AND(COUNT(L15,N15,O15,P15)=4,N(P192)&lt;&gt;0),(L15+N15+O15+P15)/P192,""),"")</f>
        <v>0.616067760184571</v>
      </c>
      <c r="Q360" s="264">
        <f>IFERROR(IF(AND(COUNT(N15,O15,P15,Q15)=4,N(Q192)&lt;&gt;0),(N15+O15+P15+Q15)/Q192,""),"")</f>
        <v>0.576712777178328</v>
      </c>
      <c r="R360" s="262">
        <f>IFERROR(IF(AND(COUNT(N15,O15,P15,Q15)=4,N(R192)&lt;&gt;0),(N15+O15+P15+Q15)/R192,""),"")</f>
        <v>0.576712777178328</v>
      </c>
      <c r="S360" s="264">
        <f>IFERROR(IF(AND(COUNT(O15,P15,Q15,S15)=4,N(S192)&lt;&gt;0),(O15+P15+Q15+S15)/S192,""),"")</f>
        <v>0.520877301882889</v>
      </c>
      <c r="T360" s="264">
        <f>IFERROR(IF(AND(COUNT(P15,Q15,S15,T15)=4,N(T192)&lt;&gt;0),(P15+Q15+S15+T15)/T192,""),"")</f>
        <v>0.538466450176962</v>
      </c>
      <c r="U360" s="264">
        <f>IFERROR(IF(AND(COUNT(Q15,S15,T15,U15)=4,N(U192)&lt;&gt;0),(Q15+S15+T15+U15)/U192,""),"")</f>
        <v>0.553780939472162</v>
      </c>
      <c r="V360" s="264">
        <f>IFERROR(IF(AND(COUNT(S15,T15,U15,V15)=4,N(V192)&lt;&gt;0),(S15+T15+U15+V15)/V192,""),"")</f>
        <v>0.533136581867722</v>
      </c>
      <c r="W360" s="262">
        <f>IFERROR(IF(AND(COUNT(S15,T15,U15,V15)=4,N(W192)&lt;&gt;0),(S15+T15+U15+V15)/W192,""),"")</f>
        <v>0.533136581867722</v>
      </c>
      <c r="X360" s="264">
        <f>IFERROR(IF(AND(COUNT(T15,U15,V15,X15)=4,N(X192)&lt;&gt;0),(T15+U15+V15+X15)/X192,""),"")</f>
        <v>0.561935145870964</v>
      </c>
      <c r="Y360" s="264">
        <f>IFERROR(IF(AND(COUNT(U15,V15,X15,Y15)=4,N(Y192)&lt;&gt;0),(U15+V15+X15+Y15)/Y192,""),"")</f>
        <v>0.541536115578756</v>
      </c>
      <c r="Z360" s="264">
        <f>IFERROR(IF(AND(COUNT(V15,X15,Y15,Z15)=4,N(Z192)&lt;&gt;0),(V15+X15+Y15+Z15)/Z192,""),"")</f>
        <v>0.540470512611944</v>
      </c>
      <c r="AA360" s="264">
        <f>IFERROR(IF(AND(COUNT(X15,Y15,Z15,AA15)=4,N(AA192)&lt;&gt;0),(X15+Y15+Z15+AA15)/AA192,""),"")</f>
        <v>0.572225842883622</v>
      </c>
      <c r="AB360" s="262">
        <f>IFERROR(IF(AND(COUNT(X15,Y15,Z15,AA15)=4,N(AB192)&lt;&gt;0),(X15+Y15+Z15+AA15)/AB192,""),"")</f>
        <v>0.572225842883622</v>
      </c>
      <c r="AC360" s="264">
        <f>IFERROR(IF(AND(COUNT(Y15,Z15,AA15,AC15)=4,N(AC192)&lt;&gt;0),(Y15+Z15+AA15+AC15)/AC192,""),"")</f>
        <v>0.548208500393785</v>
      </c>
      <c r="AD360" s="264">
        <f>IFERROR(IF(AND(COUNT(Z15,AA15,AC15,AD15)=4,N(AD192)&lt;&gt;0),(Z15+AA15+AC15+AD15)/AD192,""),"")</f>
        <v>0.527720252946317</v>
      </c>
      <c r="AE360" s="264">
        <f>IFERROR(IF(AND(COUNT(AA15,AC15,AD15,AE15)=4,N(AE192)&lt;&gt;0),(AA15+AC15+AD15+AE15)/AE192,""),"")</f>
        <v>0.516991283799421</v>
      </c>
      <c r="AF360" s="264">
        <f>IFERROR(IF(AND(COUNT(AB15,AD15,AE15,AF15)=4,N(AF192)&lt;&gt;0),(AB15+AD15+AE15+AF15)/AF192,""),"")</f>
        <v>0.866793804900601</v>
      </c>
      <c r="AG360" s="262">
        <f>IFERROR(IF(AND(COUNT(AC15,AD15,AE15,AF15)=4,N(AG192)&lt;&gt;0),(AC15+AD15+AE15+AF15)/AG192,""),"")</f>
        <v>0.579499626587005</v>
      </c>
      <c r="AH360" s="264">
        <f>IFERROR(IF(AND(COUNT(AD15,AF15,AG15,AH15)=4,N(AH192)&lt;&gt;0),(AD15+AF15+AG15+AH15)/AH192,""),"")</f>
        <v>1.0279028273401</v>
      </c>
      <c r="AI360" s="264">
        <f>IFERROR(IF(AND(COUNT(AE15,AG15,AH15,AI15)=4,N(AI192)&lt;&gt;0),(AE15+AG15+AH15+AI15)/AI192,""),"")</f>
        <v>0.882421652621887</v>
      </c>
      <c r="AJ360" s="264">
        <f>IFERROR(IF(AND(COUNT(AF15,AH15,AI15,AJ15)=4,N(AJ192)&lt;&gt;0),(AF15+AH15+AI15+AJ15)/AJ192,""),"")</f>
        <v>0.577184978969697</v>
      </c>
      <c r="AK360" s="264">
        <f>IFERROR(IF(AND(COUNT(AH15,AI15,AJ15,AK15)=4,N(AK192)&lt;&gt;0),(AH15+AI15+AJ15+AK15)/AK192,""),"")</f>
        <v>0.592746654904381</v>
      </c>
      <c r="AL360" s="262">
        <f>IFERROR(IF(AND(COUNT(AH15,AI15,AJ15,AK15)=4,N(AL192)&lt;&gt;0),(AH15+AI15+AJ15+AK15)/AL192,""),"")</f>
        <v>0.592746654904381</v>
      </c>
      <c r="AM360" s="264">
        <f>IFERROR(IF(AND(COUNT(AI15,AJ15,AK15,AM15)=4,N(AM192)&lt;&gt;0),(AI15+AJ15+AK15+AM15)/AM192,""),"")</f>
        <v>0.605762774770721</v>
      </c>
      <c r="AN360" s="264">
        <f>IFERROR(IF(AND(COUNT(AJ15,AK15,AM15,AN15)=4,N(AN192)&lt;&gt;0),(AJ15+AK15+AM15+AN15)/AN192,""),"")</f>
        <v>0.614620518015621</v>
      </c>
      <c r="AO360" s="264">
        <f>IFERROR(IF(AND(COUNT(AK15,AM15,AN15,AO15)=4,N(AO192)&lt;&gt;0),(AK15+AM15+AN15+AO15)/AO192,""),"")</f>
        <v>0.621101365834321</v>
      </c>
      <c r="AP360" s="264">
        <f>IFERROR(IF(AND(COUNT(AM15,AN15,AO15,AP15)=4,N(AP192)&lt;&gt;0),(AM15+AN15+AO15+AP15)/AP192,""),"")</f>
        <v>0.623437463416459</v>
      </c>
      <c r="AQ360" s="262">
        <f>IFERROR(IF(AND(COUNT(AM15,AN15,AO15,AP15)=4,N(AQ192)&lt;&gt;0),(AM15+AN15+AO15+AP15)/AQ192,""),"")</f>
        <v>0.623437463416459</v>
      </c>
      <c r="AR360" s="264">
        <f>IFERROR(IF(AND(COUNT(AN15,AO15,AP15,AR15)=4,N(AR192)&lt;&gt;0),(AN15+AO15+AP15+AR15)/AR192,""),"")</f>
        <v>0.620288539906452</v>
      </c>
      <c r="AS360" s="264">
        <f>IFERROR(IF(AND(COUNT(AO15,AP15,AR15,AS15)=4,N(AS192)&lt;&gt;0),(AO15+AP15+AR15+AS15)/AS192,""),"")</f>
        <v>0.608625151379528</v>
      </c>
      <c r="AT360" s="264">
        <f>IFERROR(IF(AND(COUNT(AP15,AR15,AS15,AT15)=4,N(AT192)&lt;&gt;0),(AP15+AR15+AS15+AT15)/AT192,""),"")</f>
        <v>0.591340215461548</v>
      </c>
      <c r="AU360" s="264">
        <f>IFERROR(IF(AND(COUNT(AR15,AS15,AT15,AU15)=4,N(AU192)&lt;&gt;0),(AR15+AS15+AT15+AU15)/AU192,""),"")</f>
        <v>0.566447010917131</v>
      </c>
      <c r="AV360" s="262">
        <f>IFERROR(IF(AND(COUNT(AR15,AS15,AT15,AU15)=4,N(AV192)&lt;&gt;0),(AR15+AS15+AT15+AU15)/AV192,""),"")</f>
        <v>0.566447010917131</v>
      </c>
      <c r="AW360" s="264">
        <f>IFERROR(IF(AND(COUNT(AS15,AT15,AU15,AW15)=4,N(AW192)&lt;&gt;0),(AS15+AT15+AU15+AW15)/AW192,""),"")</f>
        <v>0.532978326566967</v>
      </c>
      <c r="AX360" s="264">
        <f>IFERROR(IF(AND(COUNT(AT15,AU15,AW15,AX15)=4,N(AX192)&lt;&gt;0),(AT15+AU15+AW15+AX15)/AX192,""),"")</f>
        <v>0.491149035425727</v>
      </c>
      <c r="AY360" s="264">
        <f>IFERROR(IF(AND(COUNT(AU15,AW15,AX15,AY15)=4,N(AY192)&lt;&gt;0),(AU15+AW15+AX15+AY15)/AY192,""),"")</f>
        <v>0.444331922337645</v>
      </c>
      <c r="AZ360" s="264">
        <f>IFERROR(IF(AND(COUNT(AW15,AX15,AY15,AZ15)=4,N(AZ192)&lt;&gt;0),(AW15+AX15+AY15+AZ15)/AZ192,""),"")</f>
        <v>0.393445809774518</v>
      </c>
      <c r="BA360" s="262">
        <f>IFERROR(IF(AND(COUNT(AW15,AX15,AY15,AZ15)=4,N(BA192)&lt;&gt;0),(AW15+AX15+AY15+AZ15)/BA192,""),"")</f>
        <v>0.393445809774518</v>
      </c>
      <c r="BB360" s="264">
        <f>IFERROR(IF(AND(COUNT(AX15,AY15,AZ15,BB15)=4,N(BB192)&lt;&gt;0),(AX15+AY15+AZ15+BB15)/BB192,""),"")</f>
        <v>0.340101641386493</v>
      </c>
      <c r="BC360" s="264">
        <f>IFERROR(IF(AND(COUNT(AY15,AZ15,BB15,BC15)=4,N(BC192)&lt;&gt;0),(AY15+AZ15+BB15+BC15)/BC192,""),"")</f>
        <v>0.287957825267461</v>
      </c>
      <c r="BD360" s="264">
        <f>IFERROR(IF(AND(COUNT(AZ15,BB15,BC15,BD15)=4,N(BD192)&lt;&gt;0),(AZ15+BB15+BC15+BD15)/BD192,""),"")</f>
        <v>0.239632916968353</v>
      </c>
      <c r="BE360" s="264">
        <f>IFERROR(IF(AND(COUNT(BB15,BC15,BD15,BE15)=4,N(BE192)&lt;&gt;0),(BB15+BC15+BD15+BE15)/BE192,""),"")</f>
        <v>0.195931841855707</v>
      </c>
      <c r="BF360" s="262">
        <f>IFERROR(IF(AND(COUNT(BB15,BC15,BD15,BE15)=4,N(BF192)&lt;&gt;0),(BB15+BC15+BD15+BE15)/BF192,""),"")</f>
        <v>0.195931841855707</v>
      </c>
      <c r="BG360" s="81" t="n"/>
      <c r="BH360" s="81" t="n"/>
      <c r="BI360" s="81" t="n"/>
      <c r="BJ360" s="81" t="n"/>
      <c r="BL360" s="81" t="n"/>
      <c r="BM360" s="81" t="n"/>
      <c r="BN360" s="81" t="n"/>
      <c r="BO360" s="81" t="n"/>
      <c r="BQ360" s="81" t="n"/>
      <c r="BR360" s="81" t="n"/>
      <c r="BS360" s="81" t="n"/>
      <c r="BT360" s="81" t="n"/>
      <c r="BV360" s="81" t="n"/>
      <c r="BW360" s="81" t="n"/>
      <c r="BX360" s="81" t="n"/>
      <c r="BY360" s="81" t="n"/>
      <c r="CA360" s="81" t="n"/>
      <c r="CB360" s="81" t="n"/>
      <c r="CC360" s="81" t="n"/>
      <c r="CD360" s="81" t="n"/>
      <c r="CF360" s="81" t="n"/>
      <c r="CG360" s="81" t="n"/>
      <c r="CH360" s="81" t="n"/>
      <c r="CI360" s="81" t="n"/>
      <c r="CK360" s="81" t="n"/>
      <c r="CL360" s="81" t="n"/>
      <c r="CM360" s="81" t="n"/>
      <c r="CN360" s="81" t="n"/>
      <c r="CP360" s="81" t="n"/>
      <c r="CQ360" s="81" t="n"/>
      <c r="CR360" s="81" t="n"/>
      <c r="CS360" s="81" t="n"/>
      <c r="CU360" s="81" t="n"/>
      <c r="CV360" s="81" t="n"/>
      <c r="CW360" s="81" t="n"/>
      <c r="CX360" s="81" t="n"/>
    </row>
    <row r="361" customFormat="1" s="77">
      <c r="A361" s="76" t="n"/>
      <c r="B361" s="76" t="n"/>
      <c r="C361" s="77" t="inlineStr">
        <is>
          <t>EQUITY MULTIPLIER (ASSETS / EQUITY)</t>
        </is>
      </c>
      <c r="D361" s="84" t="str">
        <f>IFERROR(D192/D266,"")</f>
        <v/>
      </c>
      <c r="E361" s="84" t="str">
        <f>IFERROR(E192/E266,"")</f>
        <v/>
      </c>
      <c r="F361" s="84" t="str">
        <f>IFERROR(F192/F266,"")</f>
        <v/>
      </c>
      <c r="G361" s="84" t="str">
        <f>IFERROR(G192/G266,"")</f>
        <v/>
      </c>
      <c r="H361" s="262" t="str">
        <f>IFERROR(IF(N(H266)&lt;&gt;0,H192/H266,""),"")</f>
        <v/>
      </c>
      <c r="I361" s="264">
        <f>IFERROR(IF(N(I266)&lt;&gt;0,I192/I266,""),"")</f>
        <v>6.59759412899864</v>
      </c>
      <c r="J361" s="264">
        <f>IFERROR(IF(N(J266)&lt;&gt;0,J192/J266,""),"")</f>
        <v>7.17475801005478</v>
      </c>
      <c r="K361" s="264">
        <f>IFERROR(IF(N(K266)&lt;&gt;0,K192/K266,""),"")</f>
        <v>6.05813354119259</v>
      </c>
      <c r="L361" s="264">
        <f>IFERROR(IF(N(L266)&lt;&gt;0,L192/L266,""),"")</f>
        <v>5.33119237995369</v>
      </c>
      <c r="M361" s="262">
        <f>IFERROR(IF(N(M266)&lt;&gt;0,M192/M266,""),"")</f>
        <v>5.33119237995369</v>
      </c>
      <c r="N361" s="264">
        <f>IFERROR(IF(N(N266)&lt;&gt;0,N192/N266,""),"")</f>
        <v>4.95870851828366</v>
      </c>
      <c r="O361" s="264">
        <f>IFERROR(IF(N(O266)&lt;&gt;0,O192/O266,""),"")</f>
        <v>5.43509793052476</v>
      </c>
      <c r="P361" s="264">
        <f>IFERROR(IF(N(P266)&lt;&gt;0,P192/P266,""),"")</f>
        <v>4.66869632791981</v>
      </c>
      <c r="Q361" s="264">
        <f>IFERROR(IF(N(Q266)&lt;&gt;0,Q192/Q266,""),"")</f>
        <v>4.59285038142436</v>
      </c>
      <c r="R361" s="262">
        <f>IFERROR(IF(N(R266)&lt;&gt;0,R192/R266,""),"")</f>
        <v>4.59285038142436</v>
      </c>
      <c r="S361" s="264">
        <f>IFERROR(IF(N(S266)&lt;&gt;0,S192/S266,""),"")</f>
        <v>4.7068145800317</v>
      </c>
      <c r="T361" s="264">
        <f>IFERROR(IF(N(T266)&lt;&gt;0,T192/T266,""),"")</f>
        <v>4.91636246221736</v>
      </c>
      <c r="U361" s="264">
        <f>IFERROR(IF(N(U266)&lt;&gt;0,U192/U266,""),"")</f>
        <v>5.12191131471426</v>
      </c>
      <c r="V361" s="264">
        <f>IFERROR(IF(N(V266)&lt;&gt;0,V192/V266,""),"")</f>
        <v>5.89175879304473</v>
      </c>
      <c r="W361" s="262">
        <f>IFERROR(IF(N(W266)&lt;&gt;0,W192/W266,""),"")</f>
        <v>5.89175879304473</v>
      </c>
      <c r="X361" s="264">
        <f>IFERROR(IF(N(X266)&lt;&gt;0,X192/X266,""),"")</f>
        <v>4.95785972366524</v>
      </c>
      <c r="Y361" s="264">
        <f>IFERROR(IF(N(Y266)&lt;&gt;0,Y192/Y266,""),"")</f>
        <v>5.2711525063254</v>
      </c>
      <c r="Z361" s="264">
        <f>IFERROR(IF(N(Z266)&lt;&gt;0,Z192/Z266,""),"")</f>
        <v>5.27955337378759</v>
      </c>
      <c r="AA361" s="264">
        <f>IFERROR(IF(N(AA266)&lt;&gt;0,AA192/AA266,""),"")</f>
        <v>5.51549230639872</v>
      </c>
      <c r="AB361" s="262">
        <f>IFERROR(IF(N(AB266)&lt;&gt;0,AB192/AB266,""),"")</f>
        <v>5.51549230639872</v>
      </c>
      <c r="AC361" s="264">
        <f>IFERROR(IF(N(AC266)&lt;&gt;0,AC192/AC266,""),"")</f>
        <v>5.64081076305626</v>
      </c>
      <c r="AD361" s="264">
        <f>IFERROR(IF(N(AD266)&lt;&gt;0,AD192/AD266,""),"")</f>
        <v>5.50013897139369</v>
      </c>
      <c r="AE361" s="264">
        <f>IFERROR(IF(N(AE266)&lt;&gt;0,AE192/AE266,""),"")</f>
        <v>4.81893269827427</v>
      </c>
      <c r="AF361" s="264">
        <f>IFERROR(IF(N(AF266)&lt;&gt;0,AF192/AF266,""),"")</f>
        <v>4.24229623203711</v>
      </c>
      <c r="AG361" s="262">
        <f>IFERROR(IF(N(AG266)&lt;&gt;0,AG192/AG266,""),"")</f>
        <v>4.24229623203711</v>
      </c>
      <c r="AH361" s="264">
        <f>IFERROR(IF(N(AH266)&lt;&gt;0,AH192/AH266,""),"")</f>
        <v>3.73892684178453</v>
      </c>
      <c r="AI361" s="264">
        <f>IFERROR(IF(N(AI266)&lt;&gt;0,AI192/AI266,""),"")</f>
        <v>4.20656929990539</v>
      </c>
      <c r="AJ361" s="264">
        <f>IFERROR(IF(N(AJ266)&lt;&gt;0,AJ192/AJ266,""),"")</f>
        <v>3.59182775721438</v>
      </c>
      <c r="AK361" s="264">
        <f>IFERROR(IF(N(AK266)&lt;&gt;0,AK192/AK266,""),"")</f>
        <v>3.15717277297602</v>
      </c>
      <c r="AL361" s="262">
        <f>IFERROR(IF(N(AL266)&lt;&gt;0,AL192/AL266,""),"")</f>
        <v>3.15717277297602</v>
      </c>
      <c r="AM361" s="264">
        <f>IFERROR(IF(N(AM266)&lt;&gt;0,AM192/AM266,""),"")</f>
        <v>2.85365028350799</v>
      </c>
      <c r="AN361" s="264">
        <f>IFERROR(IF(N(AN266)&lt;&gt;0,AN192/AN266,""),"")</f>
        <v>2.62041991736728</v>
      </c>
      <c r="AO361" s="264">
        <f>IFERROR(IF(N(AO266)&lt;&gt;0,AO192/AO266,""),"")</f>
        <v>2.43875956048984</v>
      </c>
      <c r="AP361" s="264">
        <f>IFERROR(IF(N(AP266)&lt;&gt;0,AP192/AP266,""),"")</f>
        <v>2.30611821732965</v>
      </c>
      <c r="AQ361" s="262">
        <f>IFERROR(IF(N(AQ266)&lt;&gt;0,AQ192/AQ266,""),"")</f>
        <v>2.30611821732965</v>
      </c>
      <c r="AR361" s="264">
        <f>IFERROR(IF(N(AR266)&lt;&gt;0,AR192/AR266,""),"")</f>
        <v>2.22084478250931</v>
      </c>
      <c r="AS361" s="264">
        <f>IFERROR(IF(N(AS266)&lt;&gt;0,AS192/AS266,""),"")</f>
        <v>2.17576236039983</v>
      </c>
      <c r="AT361" s="264">
        <f>IFERROR(IF(N(AT266)&lt;&gt;0,AT192/AT266,""),"")</f>
        <v>2.16168254037426</v>
      </c>
      <c r="AU361" s="264">
        <f>IFERROR(IF(N(AU266)&lt;&gt;0,AU192/AU266,""),"")</f>
        <v>2.18826508400612</v>
      </c>
      <c r="AV361" s="262">
        <f>IFERROR(IF(N(AV266)&lt;&gt;0,AV192/AV266,""),"")</f>
        <v>2.18826508400612</v>
      </c>
      <c r="AW361" s="264">
        <f>IFERROR(IF(N(AW266)&lt;&gt;0,AW192/AW266,""),"")</f>
        <v>2.26617323088738</v>
      </c>
      <c r="AX361" s="264">
        <f>IFERROR(IF(N(AX266)&lt;&gt;0,AX192/AX266,""),"")</f>
        <v>2.39995060091198</v>
      </c>
      <c r="AY361" s="264">
        <f>IFERROR(IF(N(AY266)&lt;&gt;0,AY192/AY266,""),"")</f>
        <v>2.59473088240859</v>
      </c>
      <c r="AZ361" s="264">
        <f>IFERROR(IF(N(AZ266)&lt;&gt;0,AZ192/AZ266,""),"")</f>
        <v>2.87351441070296</v>
      </c>
      <c r="BA361" s="262">
        <f>IFERROR(IF(N(BA266)&lt;&gt;0,BA192/BA266,""),"")</f>
        <v>2.87351441070296</v>
      </c>
      <c r="BB361" s="264">
        <f>IFERROR(IF(N(BB266)&lt;&gt;0,BB192/BB266,""),"")</f>
        <v>3.26867223928889</v>
      </c>
      <c r="BC361" s="264">
        <f>IFERROR(IF(N(BC266)&lt;&gt;0,BC192/BC266,""),"")</f>
        <v>3.79922758253272</v>
      </c>
      <c r="BD361" s="264">
        <f>IFERROR(IF(N(BD266)&lt;&gt;0,BD192/BD266,""),"")</f>
        <v>4.49882143039073</v>
      </c>
      <c r="BE361" s="264">
        <f>IFERROR(IF(N(BE266)&lt;&gt;0,BE192/BE266,""),"")</f>
        <v>5.43065152716656</v>
      </c>
      <c r="BF361" s="262">
        <f>IFERROR(IF(N(BF266)&lt;&gt;0,BF192/BF266,""),"")</f>
        <v>5.43065152716656</v>
      </c>
      <c r="BG361" s="81" t="n"/>
      <c r="BH361" s="81" t="n"/>
      <c r="BI361" s="81" t="n"/>
      <c r="BJ361" s="81" t="n"/>
      <c r="BL361" s="81" t="n"/>
      <c r="BM361" s="81" t="n"/>
      <c r="BN361" s="81" t="n"/>
      <c r="BO361" s="81" t="n"/>
      <c r="BQ361" s="81" t="n"/>
      <c r="BR361" s="81" t="n"/>
      <c r="BS361" s="81" t="n"/>
      <c r="BT361" s="81" t="n"/>
      <c r="BV361" s="81" t="n"/>
      <c r="BW361" s="81" t="n"/>
      <c r="BX361" s="81" t="n"/>
      <c r="BY361" s="81" t="n"/>
      <c r="CA361" s="81" t="n"/>
      <c r="CB361" s="81" t="n"/>
      <c r="CC361" s="81" t="n"/>
      <c r="CD361" s="81" t="n"/>
      <c r="CF361" s="81" t="n"/>
      <c r="CG361" s="81" t="n"/>
      <c r="CH361" s="81" t="n"/>
      <c r="CI361" s="81" t="n"/>
      <c r="CK361" s="81" t="n"/>
      <c r="CL361" s="81" t="n"/>
      <c r="CM361" s="81" t="n"/>
      <c r="CN361" s="81" t="n"/>
      <c r="CP361" s="81" t="n"/>
      <c r="CQ361" s="81" t="n"/>
      <c r="CR361" s="81" t="n"/>
      <c r="CS361" s="81" t="n"/>
      <c r="CU361" s="81" t="n"/>
      <c r="CV361" s="81" t="n"/>
      <c r="CW361" s="81" t="n"/>
      <c r="CX361" s="81" t="n"/>
    </row>
    <row r="362" customFormat="1" s="77">
      <c r="A362" s="76" t="n"/>
      <c r="B362" s="76" t="n"/>
      <c r="C362" s="77" t="inlineStr">
        <is>
          <t>ROE - DUPONT</t>
        </is>
      </c>
      <c r="D362" s="84">
        <f>IFERROR(PRODUCT(D359:D361),"")</f>
        <v>0</v>
      </c>
      <c r="E362" s="84">
        <f>IFERROR(PRODUCT(E359:E361),"")</f>
        <v>0</v>
      </c>
      <c r="F362" s="84">
        <f>IFERROR(PRODUCT(F359:F361),"")</f>
        <v>0</v>
      </c>
      <c r="G362" s="84">
        <f>IFERROR(PRODUCT(G359:G361),"")</f>
        <v>0</v>
      </c>
      <c r="H362" s="258" t="str">
        <f>IFERROR(IF(COUNT(H359,H360,H361)=3,H359*H360*H361,""),"")</f>
        <v/>
      </c>
      <c r="I362" s="257" t="str">
        <f>IFERROR(IF(COUNT(I359,I360,I361)=3,I359*I360*I361,""),"")</f>
        <v/>
      </c>
      <c r="J362" s="257" t="str">
        <f>IFERROR(IF(COUNT(J359,J360,J361)=3,J359*J360*J361,""),"")</f>
        <v/>
      </c>
      <c r="K362" s="257" t="str">
        <f>IFERROR(IF(COUNT(K359,K360,K361)=3,K359*K360*K361,""),"")</f>
        <v/>
      </c>
      <c r="L362" s="257">
        <f>IFERROR(IF(COUNT(L359,L360,L361)=3,L359*L360*L361,""),"")</f>
        <v>0.609702014243894</v>
      </c>
      <c r="M362" s="258">
        <f>IFERROR(IF(COUNT(M359,M360,M361)=3,M359*M360*M361,""),"")</f>
        <v>0.609702014243894</v>
      </c>
      <c r="N362" s="257">
        <f>IFERROR(IF(COUNT(N359,N360,N361)=3,N359*N360*N361,""),"")</f>
        <v>0.647780596068484</v>
      </c>
      <c r="O362" s="257">
        <f>IFERROR(IF(COUNT(O359,O360,O361)=3,O359*O360*O361,""),"")</f>
        <v>0.657289356984479</v>
      </c>
      <c r="P362" s="257">
        <f>IFERROR(IF(COUNT(P359,P360,P361)=3,P359*P360*P361,""),"")</f>
        <v>0.593474261993527</v>
      </c>
      <c r="Q362" s="257">
        <f>IFERROR(IF(COUNT(Q359,Q360,Q361)=3,Q359*Q360*Q361,""),"")</f>
        <v>0.579542290773428</v>
      </c>
      <c r="R362" s="258">
        <f>IFERROR(IF(COUNT(R359,R360,R361)=3,R359*R360*R361,""),"")</f>
        <v>0.579542290773428</v>
      </c>
      <c r="S362" s="257">
        <f>IFERROR(IF(COUNT(S359,S360,S361)=3,S359*S360*S361,""),"")</f>
        <v>0.50348387325253</v>
      </c>
      <c r="T362" s="257">
        <f>IFERROR(IF(COUNT(T359,T360,T361)=3,T359*T360*T361,""),"")</f>
        <v>0.582772012592719</v>
      </c>
      <c r="U362" s="257">
        <f>IFERROR(IF(COUNT(U359,U360,U361)=3,U359*U360*U361,""),"")</f>
        <v>0.441162424606895</v>
      </c>
      <c r="V362" s="257">
        <f>IFERROR(IF(COUNT(V359,V360,V361)=3,V359*V360*V361,""),"")</f>
        <v>0.48237709067813</v>
      </c>
      <c r="W362" s="258">
        <f>IFERROR(IF(COUNT(W359,W360,W361)=3,W359*W360*W361,""),"")</f>
        <v>0.48237709067813</v>
      </c>
      <c r="X362" s="257">
        <f>IFERROR(IF(COUNT(X359,X360,X361)=3,X359*X360*X361,""),"")</f>
        <v>0.475940887310621</v>
      </c>
      <c r="Y362" s="257">
        <f>IFERROR(IF(COUNT(Y359,Y360,Y361)=3,Y359*Y360*Y361,""),"")</f>
        <v>0.538462102599831</v>
      </c>
      <c r="Z362" s="257">
        <f>IFERROR(IF(COUNT(Z359,Z360,Z361)=3,Z359*Z360*Z361,""),"")</f>
        <v>0.584461653410797</v>
      </c>
      <c r="AA362" s="257">
        <f>IFERROR(IF(COUNT(AA359,AA360,AA361)=3,AA359*AA360*AA361,""),"")</f>
        <v>0.742033128731186</v>
      </c>
      <c r="AB362" s="258">
        <f>IFERROR(IF(COUNT(AB359,AB360,AB361)=3,AB359*AB360*AB361,""),"")</f>
        <v>0.742033128731186</v>
      </c>
      <c r="AC362" s="257">
        <f>IFERROR(IF(COUNT(AC359,AC360,AC361)=3,AC359*AC360*AC361,""),"")</f>
        <v>0.700841810333948</v>
      </c>
      <c r="AD362" s="257">
        <f>IFERROR(IF(COUNT(AD359,AD360,AD361)=3,AD359*AD360*AD361,""),"")</f>
        <v>0.752085933370029</v>
      </c>
      <c r="AE362" s="257">
        <f>IFERROR(IF(COUNT(AE359,AE360,AE361)=3,AE359*AE360*AE361,""),"")</f>
        <v>0.771978298421856</v>
      </c>
      <c r="AF362" s="257">
        <f>IFERROR(IF(COUNT(AF359,AF360,AF361)=3,AF359*AF360*AF361,""),"")</f>
        <v>1.07385810734357</v>
      </c>
      <c r="AG362" s="258">
        <f>IFERROR(IF(COUNT(AG359,AG360,AG361)=3,AG359*AG360*AG361,""),"")</f>
        <v>0.778493569192472</v>
      </c>
      <c r="AH362" s="257">
        <f>IFERROR(IF(COUNT(AH359,AH360,AH361)=3,AH359*AH360*AH361,""),"")</f>
        <v>1.2936559864011</v>
      </c>
      <c r="AI362" s="257">
        <f>IFERROR(IF(COUNT(AI359,AI360,AI361)=3,AI359*AI360*AI361,""),"")</f>
        <v>1.20369264427625</v>
      </c>
      <c r="AJ362" s="257">
        <f>IFERROR(IF(COUNT(AJ359,AJ360,AJ361)=3,AJ359*AJ360*AJ361,""),"")</f>
        <v>0.700752759570546</v>
      </c>
      <c r="AK362" s="257">
        <f>IFERROR(IF(COUNT(AK359,AK360,AK361)=3,AK359*AK360*AK361,""),"")</f>
        <v>0.627140211330686</v>
      </c>
      <c r="AL362" s="258">
        <f>IFERROR(IF(COUNT(AL359,AL360,AL361)=3,AL359*AL360*AL361,""),"")</f>
        <v>0.627140211330686</v>
      </c>
      <c r="AM362" s="257">
        <f>IFERROR(IF(COUNT(AM359,AM360,AM361)=3,AM359*AM360*AM361,""),"")</f>
        <v>0.565557257057124</v>
      </c>
      <c r="AN362" s="257">
        <f>IFERROR(IF(COUNT(AN359,AN360,AN361)=3,AN359*AN360*AN361,""),"")</f>
        <v>0.535067643556768</v>
      </c>
      <c r="AO362" s="257">
        <f>IFERROR(IF(COUNT(AO359,AO360,AO361)=3,AO359*AO360*AO361,""),"")</f>
        <v>0.503225004461605</v>
      </c>
      <c r="AP362" s="257">
        <f>IFERROR(IF(COUNT(AP359,AP360,AP361)=3,AP359*AP360*AP361,""),"")</f>
        <v>0.477644967029694</v>
      </c>
      <c r="AQ362" s="258">
        <f>IFERROR(IF(COUNT(AQ359,AQ360,AQ361)=3,AQ359*AQ360*AQ361,""),"")</f>
        <v>0.477644967029694</v>
      </c>
      <c r="AR362" s="257">
        <f>IFERROR(IF(COUNT(AR359,AR360,AR361)=3,AR359*AR360*AR361,""),"")</f>
        <v>0.457659737202765</v>
      </c>
      <c r="AS362" s="257">
        <f>IFERROR(IF(COUNT(AS359,AS360,AS361)=3,AS359*AS360*AS361,""),"")</f>
        <v>0.439938630093994</v>
      </c>
      <c r="AT362" s="257">
        <f>IFERROR(IF(COUNT(AT359,AT360,AT361)=3,AT359*AT360*AT361,""),"")</f>
        <v>0.42467830294004</v>
      </c>
      <c r="AU362" s="257">
        <f>IFERROR(IF(COUNT(AU359,AU360,AU361)=3,AU359*AU360*AU361,""),"")</f>
        <v>0.411803433551222</v>
      </c>
      <c r="AV362" s="258">
        <f>IFERROR(IF(COUNT(AV359,AV360,AV361)=3,AV359*AV360*AV361,""),"")</f>
        <v>0.411803433551222</v>
      </c>
      <c r="AW362" s="257">
        <f>IFERROR(IF(COUNT(AW359,AW360,AW361)=3,AW359*AW360*AW361,""),"")</f>
        <v>0.401266955817934</v>
      </c>
      <c r="AX362" s="257">
        <f>IFERROR(IF(COUNT(AX359,AX360,AX361)=3,AX359*AX360*AX361,""),"")</f>
        <v>0.391603298455</v>
      </c>
      <c r="AY362" s="257">
        <f>IFERROR(IF(COUNT(AY359,AY360,AY361)=3,AY359*AY360*AY361,""),"")</f>
        <v>0.383028050060333</v>
      </c>
      <c r="AZ362" s="257">
        <f>IFERROR(IF(COUNT(AZ359,AZ360,AZ361)=3,AZ359*AZ360*AZ361,""),"")</f>
        <v>0.375602995371374</v>
      </c>
      <c r="BA362" s="258">
        <f>IFERROR(IF(COUNT(BA359,BA360,BA361)=3,BA359*BA360*BA361,""),"")</f>
        <v>0.375602995371374</v>
      </c>
      <c r="BB362" s="257">
        <f>IFERROR(IF(COUNT(BB359,BB360,BB361)=3,BB359*BB360*BB361,""),"")</f>
        <v>0.369326819168702</v>
      </c>
      <c r="BC362" s="257">
        <f>IFERROR(IF(COUNT(BC359,BC360,BC361)=3,BC359*BC360*BC361,""),"")</f>
        <v>0.363458590241671</v>
      </c>
      <c r="BD362" s="257">
        <f>IFERROR(IF(COUNT(BD359,BD360,BD361)=3,BD359*BD360*BD361,""),"")</f>
        <v>0.358159085704107</v>
      </c>
      <c r="BE362" s="257">
        <f>IFERROR(IF(COUNT(BE359,BE360,BE361)=3,BE359*BE360*BE361,""),"")</f>
        <v>0.353498601684369</v>
      </c>
      <c r="BF362" s="258">
        <f>IFERROR(IF(COUNT(BF359,BF360,BF361)=3,BF359*BF360*BF361,""),"")</f>
        <v>0.353498601684369</v>
      </c>
      <c r="BG362" s="81" t="n"/>
      <c r="BH362" s="81" t="n"/>
      <c r="BI362" s="81" t="n"/>
      <c r="BJ362" s="81" t="n"/>
      <c r="BL362" s="81" t="n"/>
      <c r="BM362" s="81" t="n"/>
      <c r="BN362" s="81" t="n"/>
      <c r="BO362" s="81" t="n"/>
      <c r="BQ362" s="81" t="n"/>
      <c r="BR362" s="81" t="n"/>
      <c r="BS362" s="81" t="n"/>
      <c r="BT362" s="81" t="n"/>
      <c r="BV362" s="81" t="n"/>
      <c r="BW362" s="81" t="n"/>
      <c r="BX362" s="81" t="n"/>
      <c r="BY362" s="81" t="n"/>
      <c r="CA362" s="81" t="n"/>
      <c r="CB362" s="81" t="n"/>
      <c r="CC362" s="81" t="n"/>
      <c r="CD362" s="81" t="n"/>
      <c r="CF362" s="81" t="n"/>
      <c r="CG362" s="81" t="n"/>
      <c r="CH362" s="81" t="n"/>
      <c r="CI362" s="81" t="n"/>
      <c r="CK362" s="81" t="n"/>
      <c r="CL362" s="81" t="n"/>
      <c r="CM362" s="81" t="n"/>
      <c r="CN362" s="81" t="n"/>
      <c r="CP362" s="81" t="n"/>
      <c r="CQ362" s="81" t="n"/>
      <c r="CR362" s="81" t="n"/>
      <c r="CS362" s="81" t="n"/>
      <c r="CU362" s="81" t="n"/>
      <c r="CV362" s="81" t="n"/>
      <c r="CW362" s="81" t="n"/>
      <c r="CX362" s="81" t="n"/>
    </row>
    <row r="363" customFormat="1" s="77">
      <c r="A363" s="76" t="n"/>
      <c r="B363" s="76" t="n"/>
      <c r="C363" s="77" t="inlineStr">
        <is>
          <t>ROE (LTM)</t>
        </is>
      </c>
      <c r="D363" s="84" t="str">
        <f>IFERROR(D132/D266,"")</f>
        <v/>
      </c>
      <c r="E363" s="84" t="str">
        <f>IFERROR(E132/E266,"")</f>
        <v/>
      </c>
      <c r="F363" s="84" t="str">
        <f>IFERROR(F132/F266,"")</f>
        <v/>
      </c>
      <c r="G363" s="84" t="str">
        <f>IFERROR(G132/G266,"")</f>
        <v/>
      </c>
      <c r="H363" s="258" t="str">
        <f>IFERROR(IF(AND(COUNT(H132)=1,N(H266)&lt;&gt;0),(H132)/H266,""),"")</f>
        <v/>
      </c>
      <c r="I363" s="257" t="str">
        <f>""</f>
        <v/>
      </c>
      <c r="J363" s="257" t="str">
        <f>""</f>
        <v/>
      </c>
      <c r="K363" s="257" t="str">
        <f>""</f>
        <v/>
      </c>
      <c r="L363" s="257">
        <f>IFERROR(IF(AND(COUNT(I132,J132,K132,L132)=4,N(L266)&lt;&gt;0),(I132+J132+K132+L132)/L266,""),"")</f>
        <v>0.609702014243894</v>
      </c>
      <c r="M363" s="258">
        <f>IFERROR(IF(AND(COUNT(I132,J132,K132,L132)=4,N(M266)&lt;&gt;0),(I132+J132+K132+L132)/M266,""),"")</f>
        <v>0.609702014243894</v>
      </c>
      <c r="N363" s="257">
        <f>IFERROR(IF(AND(COUNT(J132,K132,L132,N132)=4,N(N266)&lt;&gt;0),(J132+K132+L132+N132)/N266,""),"")</f>
        <v>0.647780596068484</v>
      </c>
      <c r="O363" s="257">
        <f>IFERROR(IF(AND(COUNT(K132,L132,N132,O132)=4,N(O266)&lt;&gt;0),(K132+L132+N132+O132)/O266,""),"")</f>
        <v>0.657289356984479</v>
      </c>
      <c r="P363" s="257">
        <f>IFERROR(IF(AND(COUNT(L132,N132,O132,P132)=4,N(P266)&lt;&gt;0),(L132+N132+O132+P132)/P266,""),"")</f>
        <v>0.593474261993527</v>
      </c>
      <c r="Q363" s="257">
        <f>IFERROR(IF(AND(COUNT(N132,O132,P132,Q132)=4,N(Q266)&lt;&gt;0),(N132+O132+P132+Q132)/Q266,""),"")</f>
        <v>0.579542290773428</v>
      </c>
      <c r="R363" s="258">
        <f>IFERROR(IF(AND(COUNT(N132,O132,P132,Q132)=4,N(R266)&lt;&gt;0),(N132+O132+P132+Q132)/R266,""),"")</f>
        <v>0.579542290773428</v>
      </c>
      <c r="S363" s="257">
        <f>IFERROR(IF(AND(COUNT(O132,P132,Q132,S132)=4,N(S266)&lt;&gt;0),(O132+P132+Q132+S132)/S266,""),"")</f>
        <v>0.50348387325253</v>
      </c>
      <c r="T363" s="257">
        <f>IFERROR(IF(AND(COUNT(P132,Q132,S132,T132)=4,N(T266)&lt;&gt;0),(P132+Q132+S132+T132)/T266,""),"")</f>
        <v>0.582772012592719</v>
      </c>
      <c r="U363" s="257">
        <f>IFERROR(IF(AND(COUNT(Q132,S132,T132,U132)=4,N(U266)&lt;&gt;0),(Q132+S132+T132+U132)/U266,""),"")</f>
        <v>0.441162424606895</v>
      </c>
      <c r="V363" s="257">
        <f>IFERROR(IF(AND(COUNT(S132,T132,U132,V132)=4,N(V266)&lt;&gt;0),(S132+T132+U132+V132)/V266,""),"")</f>
        <v>0.48237709067813</v>
      </c>
      <c r="W363" s="258">
        <f>IFERROR(IF(AND(COUNT(S132,T132,U132,V132)=4,N(W266)&lt;&gt;0),(S132+T132+U132+V132)/W266,""),"")</f>
        <v>0.48237709067813</v>
      </c>
      <c r="X363" s="257">
        <f>IFERROR(IF(AND(COUNT(T132,U132,V132,X132)=4,N(X266)&lt;&gt;0),(T132+U132+V132+X132)/X266,""),"")</f>
        <v>0.475940887310621</v>
      </c>
      <c r="Y363" s="257">
        <f>IFERROR(IF(AND(COUNT(U132,V132,X132,Y132)=4,N(Y266)&lt;&gt;0),(U132+V132+X132+Y132)/Y266,""),"")</f>
        <v>0.538462102599831</v>
      </c>
      <c r="Z363" s="257">
        <f>IFERROR(IF(AND(COUNT(V132,X132,Y132,Z132)=4,N(Z266)&lt;&gt;0),(V132+X132+Y132+Z132)/Z266,""),"")</f>
        <v>0.584461653410797</v>
      </c>
      <c r="AA363" s="257">
        <f>IFERROR(IF(AND(COUNT(X132,Y132,Z132,AA132)=4,N(AA266)&lt;&gt;0),(X132+Y132+Z132+AA132)/AA266,""),"")</f>
        <v>0.742033128731186</v>
      </c>
      <c r="AB363" s="258">
        <f>IFERROR(IF(AND(COUNT(X132,Y132,Z132,AA132)=4,N(AB266)&lt;&gt;0),(X132+Y132+Z132+AA132)/AB266,""),"")</f>
        <v>0.742033128731186</v>
      </c>
      <c r="AC363" s="257">
        <f>IFERROR(IF(AND(COUNT(Y132,Z132,AA132,AC132)=4,N(AC266)&lt;&gt;0),(Y132+Z132+AA132+AC132)/AC266,""),"")</f>
        <v>0.700841810333948</v>
      </c>
      <c r="AD363" s="257">
        <f>IFERROR(IF(AND(COUNT(Z132,AA132,AC132,AD132)=4,N(AD266)&lt;&gt;0),(Z132+AA132+AC132+AD132)/AD266,""),"")</f>
        <v>0.752085933370029</v>
      </c>
      <c r="AE363" s="257">
        <f>IFERROR(IF(AND(COUNT(AA132,AC132,AD132,AE132)=4,N(AE266)&lt;&gt;0),(AA132+AC132+AD132+AE132)/AE266,""),"")</f>
        <v>0.771978298421856</v>
      </c>
      <c r="AF363" s="257">
        <f>IFERROR(IF(AND(COUNT(AB132,AD132,AE132,AF132)=4,N(AF266)&lt;&gt;0),(AB132+AD132+AE132+AF132)/AF266,""),"")</f>
        <v>1.07385810734357</v>
      </c>
      <c r="AG363" s="258">
        <f>IFERROR(IF(AND(COUNT(AC132,AD132,AE132,AF132)=4,N(AG266)&lt;&gt;0),(AC132+AD132+AE132+AF132)/AG266,""),"")</f>
        <v>0.778493569192472</v>
      </c>
      <c r="AH363" s="257">
        <f>IFERROR(IF(AND(COUNT(AD132,AF132,AG132,AH132)=4,N(AH266)&lt;&gt;0),(AD132+AF132+AG132+AH132)/AH266,""),"")</f>
        <v>1.2936559864011</v>
      </c>
      <c r="AI363" s="257">
        <f>IFERROR(IF(AND(COUNT(AE132,AG132,AH132,AI132)=4,N(AI266)&lt;&gt;0),(AE132+AG132+AH132+AI132)/AI266,""),"")</f>
        <v>1.20369264427625</v>
      </c>
      <c r="AJ363" s="257">
        <f>IFERROR(IF(AND(COUNT(AF132,AH132,AI132,AJ132)=4,N(AJ266)&lt;&gt;0),(AF132+AH132+AI132+AJ132)/AJ266,""),"")</f>
        <v>0.700752759570546</v>
      </c>
      <c r="AK363" s="257">
        <f>IFERROR(IF(AND(COUNT(AH132,AI132,AJ132,AK132)=4,N(AK266)&lt;&gt;0),(AH132+AI132+AJ132+AK132)/AK266,""),"")</f>
        <v>0.627140211330686</v>
      </c>
      <c r="AL363" s="258">
        <f>IFERROR(IF(AND(COUNT(AH132,AI132,AJ132,AK132)=4,N(AL266)&lt;&gt;0),(AH132+AI132+AJ132+AK132)/AL266,""),"")</f>
        <v>0.627140211330686</v>
      </c>
      <c r="AM363" s="257">
        <f>IFERROR(IF(AND(COUNT(AI132,AJ132,AK132,AM132)=4,N(AM266)&lt;&gt;0),(AI132+AJ132+AK132+AM132)/AM266,""),"")</f>
        <v>0.565557257057124</v>
      </c>
      <c r="AN363" s="257">
        <f>IFERROR(IF(AND(COUNT(AJ132,AK132,AM132,AN132)=4,N(AN266)&lt;&gt;0),(AJ132+AK132+AM132+AN132)/AN266,""),"")</f>
        <v>0.535067643556768</v>
      </c>
      <c r="AO363" s="257">
        <f>IFERROR(IF(AND(COUNT(AK132,AM132,AN132,AO132)=4,N(AO266)&lt;&gt;0),(AK132+AM132+AN132+AO132)/AO266,""),"")</f>
        <v>0.503225004461605</v>
      </c>
      <c r="AP363" s="257">
        <f>IFERROR(IF(AND(COUNT(AM132,AN132,AO132,AP132)=4,N(AP266)&lt;&gt;0),(AM132+AN132+AO132+AP132)/AP266,""),"")</f>
        <v>0.477644967029694</v>
      </c>
      <c r="AQ363" s="258">
        <f>IFERROR(IF(AND(COUNT(AM132,AN132,AO132,AP132)=4,N(AQ266)&lt;&gt;0),(AM132+AN132+AO132+AP132)/AQ266,""),"")</f>
        <v>0.477644967029694</v>
      </c>
      <c r="AR363" s="257">
        <f>IFERROR(IF(AND(COUNT(AN132,AO132,AP132,AR132)=4,N(AR266)&lt;&gt;0),(AN132+AO132+AP132+AR132)/AR266,""),"")</f>
        <v>0.457659737202765</v>
      </c>
      <c r="AS363" s="257">
        <f>IFERROR(IF(AND(COUNT(AO132,AP132,AR132,AS132)=4,N(AS266)&lt;&gt;0),(AO132+AP132+AR132+AS132)/AS266,""),"")</f>
        <v>0.439938630093994</v>
      </c>
      <c r="AT363" s="257">
        <f>IFERROR(IF(AND(COUNT(AP132,AR132,AS132,AT132)=4,N(AT266)&lt;&gt;0),(AP132+AR132+AS132+AT132)/AT266,""),"")</f>
        <v>0.42467830294004</v>
      </c>
      <c r="AU363" s="257">
        <f>IFERROR(IF(AND(COUNT(AR132,AS132,AT132,AU132)=4,N(AU266)&lt;&gt;0),(AR132+AS132+AT132+AU132)/AU266,""),"")</f>
        <v>0.411803433551222</v>
      </c>
      <c r="AV363" s="258">
        <f>IFERROR(IF(AND(COUNT(AR132,AS132,AT132,AU132)=4,N(AV266)&lt;&gt;0),(AR132+AS132+AT132+AU132)/AV266,""),"")</f>
        <v>0.411803433551222</v>
      </c>
      <c r="AW363" s="257">
        <f>IFERROR(IF(AND(COUNT(AS132,AT132,AU132,AW132)=4,N(AW266)&lt;&gt;0),(AS132+AT132+AU132+AW132)/AW266,""),"")</f>
        <v>0.401266955817934</v>
      </c>
      <c r="AX363" s="257">
        <f>IFERROR(IF(AND(COUNT(AT132,AU132,AW132,AX132)=4,N(AX266)&lt;&gt;0),(AT132+AU132+AW132+AX132)/AX266,""),"")</f>
        <v>0.391603298455</v>
      </c>
      <c r="AY363" s="257">
        <f>IFERROR(IF(AND(COUNT(AU132,AW132,AX132,AY132)=4,N(AY266)&lt;&gt;0),(AU132+AW132+AX132+AY132)/AY266,""),"")</f>
        <v>0.383028050060333</v>
      </c>
      <c r="AZ363" s="257">
        <f>IFERROR(IF(AND(COUNT(AW132,AX132,AY132,AZ132)=4,N(AZ266)&lt;&gt;0),(AW132+AX132+AY132+AZ132)/AZ266,""),"")</f>
        <v>0.375602995371374</v>
      </c>
      <c r="BA363" s="258">
        <f>IFERROR(IF(AND(COUNT(AW132,AX132,AY132,AZ132)=4,N(BA266)&lt;&gt;0),(AW132+AX132+AY132+AZ132)/BA266,""),"")</f>
        <v>0.375602995371374</v>
      </c>
      <c r="BB363" s="257">
        <f>IFERROR(IF(AND(COUNT(AX132,AY132,AZ132,BB132)=4,N(BB266)&lt;&gt;0),(AX132+AY132+AZ132+BB132)/BB266,""),"")</f>
        <v>0.369326819168702</v>
      </c>
      <c r="BC363" s="257">
        <f>IFERROR(IF(AND(COUNT(AY132,AZ132,BB132,BC132)=4,N(BC266)&lt;&gt;0),(AY132+AZ132+BB132+BC132)/BC266,""),"")</f>
        <v>0.363458590241671</v>
      </c>
      <c r="BD363" s="257">
        <f>IFERROR(IF(AND(COUNT(AZ132,BB132,BC132,BD132)=4,N(BD266)&lt;&gt;0),(AZ132+BB132+BC132+BD132)/BD266,""),"")</f>
        <v>0.358159085704107</v>
      </c>
      <c r="BE363" s="257">
        <f>IFERROR(IF(AND(COUNT(BB132,BC132,BD132,BE132)=4,N(BE266)&lt;&gt;0),(BB132+BC132+BD132+BE132)/BE266,""),"")</f>
        <v>0.353498601684369</v>
      </c>
      <c r="BF363" s="258">
        <f>IFERROR(IF(AND(COUNT(BB132,BC132,BD132,BE132)=4,N(BF266)&lt;&gt;0),(BB132+BC132+BD132+BE132)/BF266,""),"")</f>
        <v>0.353498601684369</v>
      </c>
      <c r="BG363" s="81" t="n"/>
      <c r="BH363" s="81" t="n"/>
      <c r="BI363" s="81" t="n"/>
      <c r="BJ363" s="81" t="n"/>
      <c r="BL363" s="81" t="n"/>
      <c r="BM363" s="81" t="n"/>
      <c r="BN363" s="81" t="n"/>
      <c r="BO363" s="81" t="n"/>
      <c r="BQ363" s="81" t="n"/>
      <c r="BR363" s="81" t="n"/>
      <c r="BS363" s="81" t="n"/>
      <c r="BT363" s="81" t="n"/>
      <c r="BV363" s="81" t="n"/>
      <c r="BW363" s="81" t="n"/>
      <c r="BX363" s="81" t="n"/>
      <c r="BY363" s="81" t="n"/>
      <c r="CA363" s="81" t="n"/>
      <c r="CB363" s="81" t="n"/>
      <c r="CC363" s="81" t="n"/>
      <c r="CD363" s="81" t="n"/>
      <c r="CF363" s="81" t="n"/>
      <c r="CG363" s="81" t="n"/>
      <c r="CH363" s="81" t="n"/>
      <c r="CI363" s="81" t="n"/>
      <c r="CK363" s="81" t="n"/>
      <c r="CL363" s="81" t="n"/>
      <c r="CM363" s="81" t="n"/>
      <c r="CN363" s="81" t="n"/>
      <c r="CP363" s="81" t="n"/>
      <c r="CQ363" s="81" t="n"/>
      <c r="CR363" s="81" t="n"/>
      <c r="CS363" s="81" t="n"/>
      <c r="CU363" s="81" t="n"/>
      <c r="CV363" s="81" t="n"/>
      <c r="CW363" s="81" t="n"/>
      <c r="CX363" s="81" t="n"/>
    </row>
    <row r="364"/>
    <row r="365">
      <c r="C365" s="73" t="inlineStr">
        <is>
          <t>Scenario Analysis</t>
        </is>
      </c>
      <c r="D365" s="73" t="n"/>
      <c r="E365" s="73" t="n"/>
      <c r="F365" s="73" t="n"/>
      <c r="G365" s="73" t="n"/>
      <c r="H365" s="73" t="n"/>
      <c r="I365" s="73" t="n"/>
      <c r="J365" s="73" t="n"/>
      <c r="K365" s="73" t="n"/>
      <c r="L365" s="73" t="n"/>
      <c r="M365" s="73" t="n"/>
      <c r="N365" s="73" t="n"/>
      <c r="O365" s="73" t="n"/>
      <c r="P365" s="73" t="n"/>
      <c r="Q365" s="73" t="n"/>
      <c r="R365" s="73" t="n"/>
      <c r="S365" s="73" t="n"/>
      <c r="T365" s="73" t="n"/>
      <c r="U365" s="73" t="n"/>
      <c r="V365" s="73" t="n"/>
      <c r="W365" s="73" t="n"/>
      <c r="X365" s="73" t="n"/>
      <c r="Y365" s="73" t="n"/>
      <c r="Z365" s="73" t="n"/>
      <c r="AA365" s="73" t="n"/>
      <c r="AB365" s="73" t="n"/>
      <c r="AC365" s="73" t="n"/>
      <c r="AD365" s="73" t="n"/>
      <c r="AE365" s="73" t="n"/>
      <c r="AF365" s="73" t="n"/>
      <c r="AG365" s="73" t="n"/>
      <c r="AH365" s="73" t="n"/>
      <c r="AI365" s="73" t="n"/>
      <c r="AJ365" s="73" t="n"/>
      <c r="AK365" s="73" t="n"/>
      <c r="AL365" s="73" t="n"/>
      <c r="AM365" s="73" t="n"/>
      <c r="AN365" s="73" t="n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73" t="n"/>
      <c r="BQ365" s="73" t="n"/>
      <c r="BR365" s="73" t="n"/>
      <c r="BS365" s="73" t="n"/>
      <c r="BT365" s="73" t="n"/>
      <c r="BU365" s="73" t="n"/>
      <c r="BV365" s="73" t="n"/>
      <c r="BW365" s="73" t="n"/>
      <c r="BX365" s="73" t="n"/>
      <c r="BY365" s="73" t="n"/>
      <c r="BZ365" s="73" t="n"/>
      <c r="CA365" s="73" t="n"/>
      <c r="CB365" s="73" t="n"/>
      <c r="CC365" s="73" t="n"/>
      <c r="CD365" s="73" t="n"/>
      <c r="CE365" s="73" t="n"/>
      <c r="CF365" s="73" t="n"/>
      <c r="CG365" s="73" t="n"/>
      <c r="CH365" s="73" t="n"/>
      <c r="CI365" s="73" t="n"/>
      <c r="CJ365" s="73" t="n"/>
      <c r="CK365" s="73" t="n"/>
      <c r="CL365" s="73" t="n"/>
      <c r="CM365" s="73" t="n"/>
      <c r="CN365" s="73" t="n"/>
      <c r="CO365" s="73" t="n"/>
      <c r="CP365" s="73" t="n"/>
      <c r="CQ365" s="73" t="n"/>
      <c r="CR365" s="73" t="n"/>
      <c r="CS365" s="73" t="n"/>
      <c r="CT365" s="73" t="n"/>
      <c r="CU365" s="73" t="n"/>
      <c r="CV365" s="73" t="n"/>
      <c r="CW365" s="73" t="n"/>
      <c r="CX365" s="73" t="n"/>
      <c r="CY365" s="73" t="n"/>
    </row>
    <row r="366"/>
    <row r="367"/>
    <row r="368">
      <c r="C368" s="4" t="inlineStr">
        <is>
          <t>Bull case</t>
        </is>
      </c>
    </row>
    <row r="369">
      <c r="C369" s="4" t="inlineStr">
        <is>
          <t>Base case</t>
        </is>
      </c>
    </row>
    <row r="370">
      <c r="C370" s="4" t="inlineStr">
        <is>
          <t>Bear case</t>
        </is>
      </c>
    </row>
    <row r="371"/>
    <row r="372"/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  <row r="376"/>
    <row r="377"/>
    <row r="378">
      <c r="C378" s="4" t="inlineStr">
        <is>
          <t>% Gross Margin</t>
        </is>
      </c>
    </row>
    <row r="379">
      <c r="C379" s="4" t="inlineStr">
        <is>
          <t>Bull case</t>
        </is>
      </c>
    </row>
    <row r="380">
      <c r="C380" s="4" t="inlineStr">
        <is>
          <t>Base case</t>
        </is>
      </c>
    </row>
    <row r="381">
      <c r="C381" s="4" t="inlineStr">
        <is>
          <t>Bear case</t>
        </is>
      </c>
    </row>
    <row r="382"/>
    <row r="383"/>
    <row r="384">
      <c r="C384" s="4" t="inlineStr">
        <is>
          <t>Capital expenditures</t>
        </is>
      </c>
    </row>
    <row r="385">
      <c r="C385" s="4" t="inlineStr">
        <is>
          <t>Bull case</t>
        </is>
      </c>
    </row>
    <row r="386">
      <c r="C386" s="4" t="inlineStr">
        <is>
          <t>Base case</t>
        </is>
      </c>
    </row>
    <row r="387">
      <c r="C387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10:G310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10:L310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10:Q310">
    <cfRule type="cellIs" priority="22" operator="notEqual" dxfId="0">
      <formula>0</formula>
    </cfRule>
  </conditionalFormatting>
  <conditionalFormatting sqref="S310:V310">
    <cfRule type="cellIs" priority="21" operator="notEqual" dxfId="0">
      <formula>0</formula>
    </cfRule>
  </conditionalFormatting>
  <conditionalFormatting sqref="X310:AA310">
    <cfRule type="cellIs" priority="20" operator="notEqual" dxfId="0">
      <formula>0</formula>
    </cfRule>
  </conditionalFormatting>
  <conditionalFormatting sqref="AC310:AF310">
    <cfRule type="cellIs" priority="19" operator="notEqual" dxfId="0">
      <formula>0</formula>
    </cfRule>
  </conditionalFormatting>
  <conditionalFormatting sqref="AH310:AK310">
    <cfRule type="cellIs" priority="15" operator="notEqual" dxfId="0">
      <formula>0</formula>
    </cfRule>
  </conditionalFormatting>
  <conditionalFormatting sqref="AM310:AP310">
    <cfRule type="cellIs" priority="14" operator="notEqual" dxfId="0">
      <formula>0</formula>
    </cfRule>
  </conditionalFormatting>
  <conditionalFormatting sqref="AR310:AU310">
    <cfRule type="cellIs" priority="13" operator="notEqual" dxfId="0">
      <formula>0</formula>
    </cfRule>
  </conditionalFormatting>
  <conditionalFormatting sqref="AW310:AZ310">
    <cfRule type="cellIs" priority="12" operator="notEqual" dxfId="0">
      <formula>0</formula>
    </cfRule>
  </conditionalFormatting>
  <conditionalFormatting sqref="BB310:BE310">
    <cfRule type="cellIs" priority="11" operator="notEqual" dxfId="0">
      <formula>0</formula>
    </cfRule>
  </conditionalFormatting>
  <conditionalFormatting sqref="BG310:BJ310">
    <cfRule type="cellIs" priority="10" operator="notEqual" dxfId="0">
      <formula>0</formula>
    </cfRule>
  </conditionalFormatting>
  <conditionalFormatting sqref="BL310:BO310">
    <cfRule type="cellIs" priority="9" operator="notEqual" dxfId="0">
      <formula>0</formula>
    </cfRule>
  </conditionalFormatting>
  <conditionalFormatting sqref="BQ310:BT310">
    <cfRule type="cellIs" priority="8" operator="notEqual" dxfId="0">
      <formula>0</formula>
    </cfRule>
  </conditionalFormatting>
  <conditionalFormatting sqref="BV310:BY310">
    <cfRule type="cellIs" priority="7" operator="notEqual" dxfId="0">
      <formula>0</formula>
    </cfRule>
  </conditionalFormatting>
  <conditionalFormatting sqref="CA310:CD310">
    <cfRule type="cellIs" priority="6" operator="notEqual" dxfId="0">
      <formula>0</formula>
    </cfRule>
  </conditionalFormatting>
  <conditionalFormatting sqref="CF310:CI310">
    <cfRule type="cellIs" priority="5" operator="notEqual" dxfId="0">
      <formula>0</formula>
    </cfRule>
  </conditionalFormatting>
  <conditionalFormatting sqref="CK310:CN310">
    <cfRule type="cellIs" priority="4" operator="notEqual" dxfId="0">
      <formula>0</formula>
    </cfRule>
  </conditionalFormatting>
  <conditionalFormatting sqref="CP310:CS310">
    <cfRule type="cellIs" priority="3" operator="notEqual" dxfId="0">
      <formula>0</formula>
    </cfRule>
  </conditionalFormatting>
  <conditionalFormatting sqref="CU310:CX310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LLY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34124.1</v>
      </c>
      <c r="E18" s="113">
        <f>IFERROR(Model!AB15,"")</f>
        <v>45042.7</v>
      </c>
      <c r="F18" s="113">
        <f>IFERROR(Model!AG15,"")</f>
        <v>65179.8</v>
      </c>
      <c r="G18" s="113">
        <f>IFERROR(Model!AL15,"")</f>
        <v>97033.3806457496</v>
      </c>
      <c r="H18" s="113">
        <f>IFERROR(Model!AQ15,"")</f>
        <v>142712.620597577</v>
      </c>
      <c r="I18" s="113">
        <f>IFERROR(Model!AV15,"")</f>
        <v>209182.16496799</v>
      </c>
      <c r="J18" s="113">
        <f>IFERROR(Model!BA15,"")</f>
        <v>305564.520386303</v>
      </c>
      <c r="K18" s="113">
        <f>IFERROR(Model!BF15,"")</f>
        <v>444827.994268018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0.319967413059978</v>
      </c>
      <c r="F19" s="117">
        <f>IFERROR(IF(E18=0,"",F18/E18-1),"")</f>
        <v>0.447066894302518</v>
      </c>
      <c r="G19" s="117">
        <f>IFERROR(IF(F18=0,"",G18/F18-1),"")</f>
        <v>0.48870325845967</v>
      </c>
      <c r="H19" s="117">
        <f>IFERROR(IF(G18=0,"",H18/G18-1),"")</f>
        <v>0.470757997380237</v>
      </c>
      <c r="I19" s="117">
        <f>IFERROR(IF(H18=0,"",I18/H18-1),"")</f>
        <v>0.465757997380237</v>
      </c>
      <c r="J19" s="117">
        <f>IFERROR(IF(I18=0,"",J18/I18-1),"")</f>
        <v>0.460757997380237</v>
      </c>
      <c r="K19" s="117">
        <f>IFERROR(IF(J18=0,"",K18/J18-1),"")</f>
        <v>0.455757997380237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IFERROR(Model!W64,"")</f>
        <v>1527.3</v>
      </c>
      <c r="E20" s="113">
        <f>IFERROR(Model!AB64,"")</f>
        <v>1766.6</v>
      </c>
      <c r="F20" s="113">
        <f>IFERROR(Model!AG64,"")</f>
        <v>1997</v>
      </c>
      <c r="G20" s="113">
        <f>IFERROR(Model!AL64,"")</f>
        <v>2608.67339192924</v>
      </c>
      <c r="H20" s="113">
        <f>IFERROR(Model!AQ64,"")</f>
        <v>4117.94665099944</v>
      </c>
      <c r="I20" s="113">
        <f>IFERROR(Model!AV64,"")</f>
        <v>6035.9132364876</v>
      </c>
      <c r="J20" s="113">
        <f>IFERROR(Model!BA64,"")</f>
        <v>8817.00853169248</v>
      </c>
      <c r="K20" s="113">
        <f>IFERROR(Model!BF64,"")</f>
        <v>12835.4306829811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0.0447572243663569</v>
      </c>
      <c r="E21" s="122">
        <f>IFERROR(IF(E18=0,"",E20/E18),"")</f>
        <v>0.0392205618224484</v>
      </c>
      <c r="F21" s="122">
        <f>IFERROR(IF(F18=0,"",F20/F18),"")</f>
        <v>0.0306383265981178</v>
      </c>
      <c r="G21" s="122">
        <f>IFERROR(IF(G18=0,"",G20/G18),"")</f>
        <v>0.0268842884228986</v>
      </c>
      <c r="H21" s="122">
        <f>IFERROR(IF(H18=0,"",H20/H18),"")</f>
        <v>0.0288548177011708</v>
      </c>
      <c r="I21" s="122">
        <f>IFERROR(IF(I18=0,"",I20/I18),"")</f>
        <v>0.0288548177011709</v>
      </c>
      <c r="J21" s="122">
        <f>IFERROR(IF(J18=0,"",J20/J18),"")</f>
        <v>0.0288548177011708</v>
      </c>
      <c r="K21" s="122">
        <f>IFERROR(IF(K18=0,"",K20/K18),"")</f>
        <v>0.0288548177011708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IFERROR(Model!W68,"")</f>
        <v>0</v>
      </c>
      <c r="E22" s="113">
        <f>IFERROR(Model!AB68,"")</f>
        <v>0</v>
      </c>
      <c r="F22" s="113">
        <f>IFERROR(Model!AG68,"")</f>
        <v>0</v>
      </c>
      <c r="G22" s="113">
        <f>IFERROR(Model!AL68,"")</f>
        <v>0</v>
      </c>
      <c r="H22" s="113">
        <f>IFERROR(Model!AQ68,"")</f>
        <v>0</v>
      </c>
      <c r="I22" s="113">
        <f>IFERROR(Model!AV68,"")</f>
        <v>0</v>
      </c>
      <c r="J22" s="113">
        <f>IFERROR(Model!BA68,"")</f>
        <v>0</v>
      </c>
      <c r="K22" s="113">
        <f>IFERROR(Model!BF68,"")</f>
        <v>0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</v>
      </c>
      <c r="E23" s="122">
        <f>IFERROR(IF(E18=0,"",E22/E18),"")</f>
        <v>0</v>
      </c>
      <c r="F23" s="122">
        <f>IFERROR(IF(F18=0,"",F22/F18),"")</f>
        <v>0</v>
      </c>
      <c r="G23" s="122">
        <f>IFERROR(IF(G18=0,"",G22/G18),"")</f>
        <v>0</v>
      </c>
      <c r="H23" s="122">
        <f>IFERROR(IF(H18=0,"",H22/H18),"")</f>
        <v>0</v>
      </c>
      <c r="I23" s="122">
        <f>IFERROR(IF(I18=0,"",I22/I18),"")</f>
        <v>0</v>
      </c>
      <c r="J23" s="122">
        <f>IFERROR(IF(J18=0,"",J22/J18),"")</f>
        <v>0</v>
      </c>
      <c r="K23" s="122">
        <f>IFERROR(IF(K18=0,"",K22/K18),"")</f>
        <v>0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IFERROR(Model!W127,"")</f>
        <v>0.20050041192445</v>
      </c>
      <c r="E24" s="125">
        <f>IFERROR(Model!AB127,"")</f>
        <v>0.164852843758872</v>
      </c>
      <c r="F24" s="125">
        <f>IFERROR(Model!AG127,"")</f>
        <v>0.19786565934493</v>
      </c>
      <c r="G24" s="125">
        <f>IFERROR(Model!AL127,"")</f>
        <v>0.198608299257403</v>
      </c>
      <c r="H24" s="125">
        <f>IFERROR(Model!AQ127,"")</f>
        <v>0.198084014422139</v>
      </c>
      <c r="I24" s="125">
        <f>IFERROR(Model!AV127,"")</f>
        <v>0.198084014422139</v>
      </c>
      <c r="J24" s="125">
        <f>IFERROR(Model!BA127,"")</f>
        <v>0.198084014422139</v>
      </c>
      <c r="K24" s="125">
        <f>IFERROR(Model!BF127,"")</f>
        <v>0.198084014422139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0</v>
      </c>
      <c r="E25" s="127">
        <f>IFERROR(E22*(1-E24),"")</f>
        <v>0</v>
      </c>
      <c r="F25" s="127">
        <f>IFERROR(F22*(1-F24),"")</f>
        <v>0</v>
      </c>
      <c r="G25" s="127">
        <f>IFERROR(G22*(1-G24),"")</f>
        <v>0</v>
      </c>
      <c r="H25" s="127">
        <f>IFERROR(H22*(1-H24),"")</f>
        <v>0</v>
      </c>
      <c r="I25" s="127">
        <f>IFERROR(I22*(1-I24),"")</f>
        <v>0</v>
      </c>
      <c r="J25" s="127">
        <f>IFERROR(J22*(1-J24),"")</f>
        <v>0</v>
      </c>
      <c r="K25" s="127">
        <f>IFERROR(K22*(1-K24),"")</f>
        <v>0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IFERROR(-Model!W65,"")</f>
        <v>1527.3</v>
      </c>
      <c r="E26" s="130">
        <f>IFERROR(-Model!AB65,"")</f>
        <v>1766.6</v>
      </c>
      <c r="F26" s="130">
        <f>IFERROR(-Model!AG65,"")</f>
        <v>1997</v>
      </c>
      <c r="G26" s="130">
        <f>IFERROR(-Model!AL65,"")</f>
        <v>2608.67339192925</v>
      </c>
      <c r="H26" s="130">
        <f>IFERROR(-Model!AQ65,"")</f>
        <v>4117.94665099945</v>
      </c>
      <c r="I26" s="130">
        <f>IFERROR(-Model!AV65,"")</f>
        <v>6035.9132364876</v>
      </c>
      <c r="J26" s="130">
        <f>IFERROR(-Model!BA65,"")</f>
        <v>8817.0085316925</v>
      </c>
      <c r="K26" s="130">
        <f>IFERROR(-Model!BF65,"")</f>
        <v>12835.4306829811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IFERROR(Model!W274,"")</f>
        <v>-4996.7</v>
      </c>
      <c r="E27" s="133">
        <f>IFERROR(Model!AB274,"")</f>
        <v>-6169.7</v>
      </c>
      <c r="F27" s="133">
        <f>IFERROR(Model!AG274,"")</f>
        <v>-10669.4</v>
      </c>
      <c r="G27" s="133">
        <f>IFERROR(Model!AL274,"")</f>
        <v>-6066.41250864489</v>
      </c>
      <c r="H27" s="133">
        <f>IFERROR(Model!AQ274,"")</f>
        <v>-3857.16583753914</v>
      </c>
      <c r="I27" s="133">
        <f>IFERROR(Model!AV274,"")</f>
        <v>39368.1320031294</v>
      </c>
      <c r="J27" s="133">
        <f>IFERROR(Model!BA274,"")</f>
        <v>260139.46358052</v>
      </c>
      <c r="K27" s="133">
        <f>IFERROR(Model!BF274,"")</f>
        <v>1279878.00720814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IFERROR(Model!W275,"")</f>
        <v>-2194.5</v>
      </c>
      <c r="E28" s="136">
        <f>IFERROR(Model!AB275,"")</f>
        <v>-1915.2</v>
      </c>
      <c r="F28" s="136">
        <f>IFERROR(Model!AG275,"")</f>
        <v>-6754.3</v>
      </c>
      <c r="G28" s="136">
        <f>IFERROR(Model!AL275,"")</f>
        <v>-7951.11529173155</v>
      </c>
      <c r="H28" s="136">
        <f>IFERROR(Model!AQ275,"")</f>
        <v>-12103.7131451479</v>
      </c>
      <c r="I28" s="136">
        <f>IFERROR(Model!AV275,"")</f>
        <v>-17612.5587640382</v>
      </c>
      <c r="J28" s="136">
        <f>IFERROR(Model!BA275,"")</f>
        <v>-25538.6119267138</v>
      </c>
      <c r="K28" s="136">
        <f>IFERROR(Model!BF275,"")</f>
        <v>-36900.9016182994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IFERROR(Model!W276,"")</f>
        <v>-1463.1</v>
      </c>
      <c r="E29" s="136">
        <f>IFERROR(Model!AB276,"")</f>
        <v>-1816.4</v>
      </c>
      <c r="F29" s="136">
        <f>IFERROR(Model!AG276,"")</f>
        <v>-6154.8</v>
      </c>
      <c r="G29" s="136">
        <f>IFERROR(Model!AL276,"")</f>
        <v>-6546.97805536883</v>
      </c>
      <c r="H29" s="136">
        <f>IFERROR(Model!AQ276,"")</f>
        <v>-9552.14019423176</v>
      </c>
      <c r="I29" s="136">
        <f>IFERROR(Model!AV276,"")</f>
        <v>-13899.6709915156</v>
      </c>
      <c r="J29" s="136">
        <f>IFERROR(Model!BA276,"")</f>
        <v>-20154.8399705625</v>
      </c>
      <c r="K29" s="136">
        <f>IFERROR(Model!BF276,"")</f>
        <v>-29121.8555268596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IFERROR(Model!W277,"")</f>
        <v>-2684.4</v>
      </c>
      <c r="E30" s="136">
        <f>IFERROR(Model!AB277,"")</f>
        <v>-2523.3</v>
      </c>
      <c r="F30" s="136">
        <f>IFERROR(Model!AG277,"")</f>
        <v>-1958.4</v>
      </c>
      <c r="G30" s="136">
        <f>IFERROR(Model!AL277,"")</f>
        <v>-69</v>
      </c>
      <c r="H30" s="136">
        <f>IFERROR(Model!AQ277,"")</f>
        <v>0</v>
      </c>
      <c r="I30" s="136">
        <f>IFERROR(Model!AV277,"")</f>
        <v>0</v>
      </c>
      <c r="J30" s="136">
        <f>IFERROR(Model!BA277,"")</f>
        <v>0</v>
      </c>
      <c r="K30" s="136">
        <f>IFERROR(Model!BF277,"")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IFERROR(Model!W278,"")</f>
        <v>-5540.8</v>
      </c>
      <c r="E31" s="136">
        <f>IFERROR(Model!AB278,"")</f>
        <v>-2799.7</v>
      </c>
      <c r="F31" s="136">
        <f>IFERROR(Model!AG278,"")</f>
        <v>-5974.5</v>
      </c>
      <c r="G31" s="136">
        <f>IFERROR(Model!AL278,"")</f>
        <v>-1053</v>
      </c>
      <c r="H31" s="136">
        <f>IFERROR(Model!AQ278,"")</f>
        <v>0</v>
      </c>
      <c r="I31" s="136">
        <f>IFERROR(Model!AV278,"")</f>
        <v>0</v>
      </c>
      <c r="J31" s="136">
        <f>IFERROR(Model!BA278,"")</f>
        <v>0</v>
      </c>
      <c r="K31" s="136">
        <f>IFERROR(Model!BF278,"")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IFERROR(Model!W279,"")</f>
        <v>2221.8</v>
      </c>
      <c r="E32" s="136">
        <f>IFERROR(Model!AB279,"")</f>
        <v>14.0999999999999</v>
      </c>
      <c r="F32" s="136">
        <f>IFERROR(Model!AG279,"")</f>
        <v>-160.9</v>
      </c>
      <c r="G32" s="136">
        <f>IFERROR(Model!AL279,"")</f>
        <v>-936</v>
      </c>
      <c r="H32" s="136">
        <f>IFERROR(Model!AQ279,"")</f>
        <v>0</v>
      </c>
      <c r="I32" s="136">
        <f>IFERROR(Model!AV279,"")</f>
        <v>0</v>
      </c>
      <c r="J32" s="136">
        <f>IFERROR(Model!BA279,"")</f>
        <v>0</v>
      </c>
      <c r="K32" s="136">
        <f>IFERROR(Model!BF279,"")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IFERROR(Model!W280,"")</f>
        <v>668.2</v>
      </c>
      <c r="E33" s="136">
        <f>IFERROR(Model!AB280,"")</f>
        <v>629.8</v>
      </c>
      <c r="F33" s="136">
        <f>IFERROR(Model!AG280,"")</f>
        <v>2150.4</v>
      </c>
      <c r="G33" s="136">
        <f>IFERROR(Model!AL280,"")</f>
        <v>2033.37474028493</v>
      </c>
      <c r="H33" s="136">
        <f>IFERROR(Model!AQ280,"")</f>
        <v>3489.43468856839</v>
      </c>
      <c r="I33" s="136">
        <f>IFERROR(Model!AV280,"")</f>
        <v>5077.60492740371</v>
      </c>
      <c r="J33" s="136">
        <f>IFERROR(Model!BA280,"")</f>
        <v>7362.642958098</v>
      </c>
      <c r="K33" s="136">
        <f>IFERROR(Model!BF280,"")</f>
        <v>10638.3292963252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IFERROR(Model!W281,"")</f>
        <v>590.6</v>
      </c>
      <c r="E34" s="136">
        <f>IFERROR(Model!AB281,"")</f>
        <v>443.5</v>
      </c>
      <c r="F34" s="136">
        <f>IFERROR(Model!AG281,"")</f>
        <v>281.1</v>
      </c>
      <c r="G34" s="136">
        <f>IFERROR(Model!AL281,"")</f>
        <v>1514.30609817055</v>
      </c>
      <c r="H34" s="136">
        <f>IFERROR(Model!AQ281,"")</f>
        <v>14309.2528132722</v>
      </c>
      <c r="I34" s="136">
        <f>IFERROR(Model!AV281,"")</f>
        <v>65802.7568312795</v>
      </c>
      <c r="J34" s="136">
        <f>IFERROR(Model!BA281,"")</f>
        <v>298470.272519699</v>
      </c>
      <c r="K34" s="136">
        <f>IFERROR(Model!BF281,"")</f>
        <v>1335262.43505697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IFERROR(Model!W282,"")</f>
        <v>-475.1</v>
      </c>
      <c r="E35" s="136">
        <f>IFERROR(Model!AB282,"")</f>
        <v>0</v>
      </c>
      <c r="F35" s="136">
        <f>IFERROR(Model!AG282,"")</f>
        <v>0</v>
      </c>
      <c r="G35" s="136">
        <f>IFERROR(Model!AL282,"")</f>
        <v>0</v>
      </c>
      <c r="H35" s="136">
        <f>IFERROR(Model!AQ282,"")</f>
        <v>0</v>
      </c>
      <c r="I35" s="136">
        <f>IFERROR(Model!AV282,"")</f>
        <v>0</v>
      </c>
      <c r="J35" s="136">
        <f>IFERROR(Model!BA282,"")</f>
        <v>0</v>
      </c>
      <c r="K35" s="136">
        <f>IFERROR(Model!BF282,"")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IFERROR(Model!W283,"")</f>
        <v>3967.9</v>
      </c>
      <c r="E36" s="136">
        <f>IFERROR(Model!AB283,"")</f>
        <v>1797.5</v>
      </c>
      <c r="F36" s="136">
        <f>IFERROR(Model!AG283,"")</f>
        <v>7902</v>
      </c>
      <c r="G36" s="136">
        <f>IFERROR(Model!AL283,"")</f>
        <v>6942</v>
      </c>
      <c r="H36" s="136">
        <f>IFERROR(Model!AQ283,"")</f>
        <v>0</v>
      </c>
      <c r="I36" s="136">
        <f>IFERROR(Model!AV283,"")</f>
        <v>0</v>
      </c>
      <c r="J36" s="136">
        <f>IFERROR(Model!BA283,"")</f>
        <v>0</v>
      </c>
      <c r="K36" s="136">
        <f>IFERROR(Model!BF283,"")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IFERROR(Model!W284,"")</f>
        <v>-87.3</v>
      </c>
      <c r="E37" s="136">
        <f>IFERROR(Model!AB284,"")</f>
        <v>0</v>
      </c>
      <c r="F37" s="136">
        <f>IFERROR(Model!AG284,"")</f>
        <v>0</v>
      </c>
      <c r="G37" s="136">
        <f>IFERROR(Model!AL284,"")</f>
        <v>0</v>
      </c>
      <c r="H37" s="136">
        <f>IFERROR(Model!AQ284,"")</f>
        <v>0</v>
      </c>
      <c r="I37" s="136">
        <f>IFERROR(Model!AV284,"")</f>
        <v>0</v>
      </c>
      <c r="J37" s="136">
        <f>IFERROR(Model!BA284,"")</f>
        <v>0</v>
      </c>
      <c r="K37" s="136">
        <f>IFERROR(Model!BF284,"")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IFERROR((Model!W184-Model!R184)*-1,"")</f>
        <v>-803.3</v>
      </c>
      <c r="E38" s="136">
        <f>IFERROR((Model!AB184-Model!W184)*-1,"")</f>
        <v>-893.5</v>
      </c>
      <c r="F38" s="136">
        <f>IFERROR((Model!AG184-Model!AB184)*-1,"")</f>
        <v>-858.4</v>
      </c>
      <c r="G38" s="136">
        <f>IFERROR((Model!AL184-Model!AG184)*-1,"")</f>
        <v>-1544</v>
      </c>
      <c r="H38" s="136">
        <f>IFERROR((Model!AQ184-Model!AL184)*-1,"")</f>
        <v>0</v>
      </c>
      <c r="I38" s="136">
        <f>IFERROR((Model!AV184-Model!AQ184)*-1,"")</f>
        <v>0</v>
      </c>
      <c r="J38" s="136">
        <f>IFERROR((Model!BA184-Model!AV184)*-1,"")</f>
        <v>0</v>
      </c>
      <c r="K38" s="136">
        <f>IFERROR((Model!BF184-Model!BA184)*-1,"")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IFERROR(Model!W235-Model!R235,"")</f>
        <v>777.200000000001</v>
      </c>
      <c r="E39" s="136">
        <f>IFERROR(Model!AB235-Model!W235,"")</f>
        <v>11</v>
      </c>
      <c r="F39" s="136">
        <f>IFERROR(Model!AG235-Model!AB235,"")</f>
        <v>2327.4</v>
      </c>
      <c r="G39" s="136">
        <f>IFERROR(Model!AL235-Model!AG235,"")</f>
        <v>2993</v>
      </c>
      <c r="H39" s="136">
        <f>IFERROR(Model!AQ235-Model!AL235,"")</f>
        <v>0</v>
      </c>
      <c r="I39" s="136">
        <f>IFERROR(Model!AV235-Model!AQ235,"")</f>
        <v>0</v>
      </c>
      <c r="J39" s="136">
        <f>IFERROR(Model!BA235-Model!AV235,"")</f>
        <v>0</v>
      </c>
      <c r="K39" s="136">
        <f>IFERROR(Model!BF235-Model!BA235,"")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IFERROR(Model!W290,"")</f>
        <v>-4296.9</v>
      </c>
      <c r="E40" s="136">
        <f>IFERROR(Model!AB290,"")</f>
        <v>-5955.4</v>
      </c>
      <c r="F40" s="136">
        <f>IFERROR(Model!AG290,"")</f>
        <v>-9569.6</v>
      </c>
      <c r="G40" s="136">
        <f>IFERROR(Model!AL290,"")</f>
        <v>-13305.84720358</v>
      </c>
      <c r="H40" s="136">
        <f>IFERROR(Model!AQ290,"")</f>
        <v>-20125.4608581646</v>
      </c>
      <c r="I40" s="136">
        <f>IFERROR(Model!AV290,"")</f>
        <v>-29499.0552038177</v>
      </c>
      <c r="J40" s="136">
        <f>IFERROR(Model!BA290,"")</f>
        <v>-43090.9808041378</v>
      </c>
      <c r="K40" s="136">
        <f>IFERROR(Model!BF290,"")</f>
        <v>-62730.0399205819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-7766.3</v>
      </c>
      <c r="E44" s="133">
        <f>IFERROR(SUM(E27,E40:E42,E26),"")</f>
        <v>-10358.5</v>
      </c>
      <c r="F44" s="133">
        <f>IFERROR(SUM(F27,F40:F42,F26),"")</f>
        <v>-18242</v>
      </c>
      <c r="G44" s="133">
        <f>IFERROR(SUM(G27,G40:G42,G26),"")</f>
        <v>-16763.5863202957</v>
      </c>
      <c r="H44" s="133">
        <f>IFERROR(SUM(H27,H40:H42,H26),"")</f>
        <v>-19864.6800447043</v>
      </c>
      <c r="I44" s="133">
        <f>IFERROR(SUM(I27,I40:I42,I26),"")</f>
        <v>15904.9900357993</v>
      </c>
      <c r="J44" s="133">
        <f>IFERROR(SUM(J27,J40:J42,J26),"")</f>
        <v>225865.491308075</v>
      </c>
      <c r="K44" s="133">
        <f>IFERROR(SUM(K27,K40:K42,K26),"")</f>
        <v>1229983.39797054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IFERROR(Model!W345,"")</f>
        <v>33161.3</v>
      </c>
      <c r="E46" s="136">
        <f>IFERROR(Model!AB345,"")</f>
        <v>44492.6</v>
      </c>
      <c r="F46" s="136">
        <f>IFERROR(Model!AG345,"")</f>
        <v>61748</v>
      </c>
      <c r="G46" s="136">
        <f>IFERROR(Model!AL345,"")</f>
        <v>91602.5863202957</v>
      </c>
      <c r="H46" s="136">
        <f>IFERROR(Model!AQ345,"")</f>
        <v>111467.266365</v>
      </c>
      <c r="I46" s="136">
        <f>IFERROR(Model!AV345,"")</f>
        <v>95562.2763292007</v>
      </c>
      <c r="J46" s="136">
        <f>IFERROR(Model!BA345,"")</f>
        <v>-130303.214978874</v>
      </c>
      <c r="K46" s="136">
        <f>IFERROR(Model!BF345,"")</f>
        <v>-1360286.61294941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IFERROR(Model!W346,"")</f>
        <v>28221.6</v>
      </c>
      <c r="E47" s="136">
        <f>IFERROR(Model!AB346,"")</f>
        <v>38722.3</v>
      </c>
      <c r="F47" s="136">
        <f>IFERROR(Model!AG346,"")</f>
        <v>55850</v>
      </c>
      <c r="G47" s="136">
        <f>IFERROR(Model!AL346,"")</f>
        <v>82753.5863202957</v>
      </c>
      <c r="H47" s="136">
        <f>IFERROR(Model!AQ346,"")</f>
        <v>102618.266365</v>
      </c>
      <c r="I47" s="136">
        <f>IFERROR(Model!AV346,"")</f>
        <v>86713.2763292007</v>
      </c>
      <c r="J47" s="136">
        <f>IFERROR(Model!BA346,"")</f>
        <v>-139152.214978874</v>
      </c>
      <c r="K47" s="136">
        <f>IFERROR(Model!BF346,"")</f>
        <v>-1369135.61294941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0.971785336463086</v>
      </c>
      <c r="E48" s="122">
        <f>IFERROR(IF(E18=0,"",E46/E18),"")</f>
        <v>0.987787144198727</v>
      </c>
      <c r="F48" s="122">
        <f>IFERROR(IF(F18=0,"",F46/F18),"")</f>
        <v>0.947348718467992</v>
      </c>
      <c r="G48" s="122">
        <f>IFERROR(IF(G18=0,"",G46/G18),"")</f>
        <v>0.944031690029633</v>
      </c>
      <c r="H48" s="122">
        <f>IFERROR(IF(H18=0,"",H46/H18),"")</f>
        <v>0.781061029488884</v>
      </c>
      <c r="I48" s="122">
        <f>IFERROR(IF(I18=0,"",I46/I18),"")</f>
        <v>0.456837591024187</v>
      </c>
      <c r="J48" s="122">
        <f>IFERROR(IF(J18=0,"",J46/J18),"")</f>
        <v>-0.426434374037082</v>
      </c>
      <c r="K48" s="122">
        <f>IFERROR(IF(K18=0,"",K46/K18),"")</f>
        <v>-3.0580058595184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</v>
      </c>
      <c r="E50" s="150">
        <f>IFERROR(IF(E46=0,"",E25/E46),"")</f>
        <v>0</v>
      </c>
      <c r="F50" s="150">
        <f>IFERROR(IF(F46=0,"",F25/F46),"")</f>
        <v>0</v>
      </c>
      <c r="G50" s="150">
        <f>IFERROR(IF(G46=0,"",G25/G46),"")</f>
        <v>0</v>
      </c>
      <c r="H50" s="150">
        <f>IFERROR(IF(H46=0,"",H25/H46),"")</f>
        <v>0</v>
      </c>
      <c r="I50" s="150">
        <f>IFERROR(IF(I46=0,"",I25/I46),"")</f>
        <v>0</v>
      </c>
      <c r="J50" s="150">
        <f>IFERROR(IF(J46=0,"",J25/J46),"")</f>
        <v>0</v>
      </c>
      <c r="K50" s="150">
        <f>IFERROR(IF(K46=0,"",K25/K46),"")</f>
        <v>0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1.02903384366717</v>
      </c>
      <c r="E51" s="154">
        <f>IFERROR(IF(E46=0,"",E18/E46),"")</f>
        <v>1.01236385376445</v>
      </c>
      <c r="F51" s="154">
        <f>IFERROR(IF(F46=0,"",F18/F46),"")</f>
        <v>1.05557750858327</v>
      </c>
      <c r="G51" s="154">
        <f>IFERROR(IF(G46=0,"",G18/G46),"")</f>
        <v>1.0592864737079</v>
      </c>
      <c r="H51" s="154">
        <f>IFERROR(IF(H46=0,"",H18/H46),"")</f>
        <v>1.28030968419252</v>
      </c>
      <c r="I51" s="154">
        <f>IFERROR(IF(I46=0,"",I18/I46),"")</f>
        <v>2.18896172216935</v>
      </c>
      <c r="J51" s="154">
        <f>IFERROR(IF(J46=0,"",J18/J46),"")</f>
        <v>-2.34502671661512</v>
      </c>
      <c r="K51" s="154">
        <f>IFERROR(IF(K46=0,"",K18/K46),"")</f>
        <v>-0.327010491784175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-7766.3</v>
      </c>
      <c r="E53" s="155">
        <f>IFERROR(E25+E44,"")</f>
        <v>-10358.5</v>
      </c>
      <c r="F53" s="155">
        <f>IFERROR(F25+F44,"")</f>
        <v>-18242</v>
      </c>
      <c r="G53" s="156">
        <f>IFERROR(G25+G44,"")</f>
        <v>-16763.5863202957</v>
      </c>
      <c r="H53" s="155">
        <f>IFERROR(H25+H44,"")</f>
        <v>-19864.6800447043</v>
      </c>
      <c r="I53" s="155">
        <f>IFERROR(I25+I44,"")</f>
        <v>15904.9900357993</v>
      </c>
      <c r="J53" s="155">
        <f>IFERROR(J25+J44,"")</f>
        <v>225865.491308075</v>
      </c>
      <c r="K53" s="155">
        <f>IFERROR(K25+K44,"")</f>
        <v>1229983.39797054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</v>
      </c>
      <c r="E64" s="157" t="inlineStr">
        <is>
          <t>Current portion of long-term debt</t>
        </is>
      </c>
      <c r="H64" s="137">
        <f>IFERROR(INDEX(Model!$I$207:$BF$207,1,MATCH(Control!$B$7,Model!$I$5:$BF$5,0)),"")</f>
        <v>7050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IFERROR(INDEX(Model!$I$208:$BF$208,1,MATCH(Control!$B$7,Model!$I$5:$BF$5,0)),"")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IFERROR(INDEX(Model!$I$212:$BF$212,1,MATCH(Control!$B$7,Model!$I$5:$BF$5,0)),"")</f>
        <v>47858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IFERROR(INDEX(Model!$I$233:$BF$233,1,MATCH(Control!$B$7,Model!$I$5:$BF$5,0)),"")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IFERROR(INDEX(Model!$I$243:$BF$243,1,MATCH(Control!$B$7,Model!$I$5:$BF$5,0)),"")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IFERROR(INDEX(Model!$I$248:$BF$248,1,MATCH(Control!$B$7,Model!$I$5:$BF$5,0)),"")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IFERROR(INDEX(Model!$I$209:$BF$209,1,MATCH(Control!$B$7,Model!$I$5:$BF$5,0)),"")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IFERROR(INDEX(Model!$I$230:$BF$230,1,MATCH(Control!$B$7,Model!$I$5:$BF$5,0)),"")</f>
        <v>0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IFERROR(-INDEX(Model!$I$139:$BF$139,1,MATCH(Control!$B$7,Model!$I$5:$BF$5,0)),"")</f>
        <v>-8950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12835.4306829811</v>
      </c>
      <c r="E73" s="157" t="inlineStr">
        <is>
          <t>Less: Equity investments</t>
        </is>
      </c>
      <c r="H73" s="137">
        <f>IFERROR(-INDEX(Model!$I$156:$BF$156,1,MATCH(Control!$B$7,Model!$I$5:$BF$5,0)),"")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45958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45958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45958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LLY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Eli Lilly and Company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LLY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IFERROR(-Model!AG69/AVERAGE(Model!AB87,Model!AG87),"")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0.470757997380237</v>
      </c>
      <c r="C18" s="247">
        <f>IF(B18="","",B18)</f>
        <v>0.470757997380237</v>
      </c>
      <c r="D18" s="247">
        <f>IF(C18="","",MAX(0,C18-0.5%))</f>
        <v>0.465757997380237</v>
      </c>
      <c r="E18" s="247">
        <f>IF(D18="","",MAX(0,D18-0.5%))</f>
        <v>0.460757997380237</v>
      </c>
      <c r="F18" s="247">
        <f>IF(E18="","",MAX(0,E18-0.5%))</f>
        <v>0.455757997380237</v>
      </c>
    </row>
    <row r="19" ht="15" customHeight="1">
      <c r="A19" t="inlineStr">
        <is>
          <t>Gross margin</t>
        </is>
      </c>
      <c r="B19" s="247">
        <f>IFERROR(AVERAGE(Model!AC50:AF50,Model!AH50:AI50),"")</f>
        <v>0.833208641542923</v>
      </c>
      <c r="C19" s="247">
        <f>IF(B19="","",B19)</f>
        <v>0.833208641542923</v>
      </c>
      <c r="D19" s="247">
        <f>IF(C19="","",C19)</f>
        <v>0.833208641542923</v>
      </c>
      <c r="E19" s="247">
        <f>IF(D19="","",D19)</f>
        <v>0.833208641542923</v>
      </c>
      <c r="F19" s="247">
        <f>IF(E19="","",E19)</f>
        <v>0.833208641542923</v>
      </c>
    </row>
    <row r="20" ht="15" customHeight="1">
      <c r="A20" t="inlineStr">
        <is>
          <t>SG&amp;A / Revenue</t>
        </is>
      </c>
      <c r="B20" s="247">
        <f>IFERROR(AVERAGE(Model!AC54:AF54,Model!AH54:AI54),"")</f>
        <v>0.804353823841752</v>
      </c>
      <c r="C20" s="247">
        <f>IF(B20="","",B20)</f>
        <v>0.804353823841752</v>
      </c>
      <c r="D20" s="247">
        <f>IF(C20="","",C20)</f>
        <v>0.804353823841752</v>
      </c>
      <c r="E20" s="247">
        <f>IF(D20="","",D20)</f>
        <v>0.804353823841752</v>
      </c>
      <c r="F20" s="247">
        <f>IF(E20="","",E20)</f>
        <v>0.804353823841752</v>
      </c>
    </row>
    <row r="21" ht="15" customHeight="1">
      <c r="A21" t="inlineStr">
        <is>
          <t>D&amp;A / Revenue</t>
        </is>
      </c>
      <c r="B21" s="247">
        <f>IFERROR(AVERAGE(Model!AC66:AF66,Model!AH66:AI66),"")</f>
        <v>0.0288548177011709</v>
      </c>
      <c r="C21" s="247">
        <f>IF(B21="","",B21)</f>
        <v>0.0288548177011709</v>
      </c>
      <c r="D21" s="247">
        <f>IF(C21="","",C21)</f>
        <v>0.0288548177011709</v>
      </c>
      <c r="E21" s="247">
        <f>IF(D21="","",D21)</f>
        <v>0.0288548177011709</v>
      </c>
      <c r="F21" s="247">
        <f>IF(E21="","",E21)</f>
        <v>0.0288548177011709</v>
      </c>
    </row>
    <row r="22" ht="15" customHeight="1">
      <c r="A22" t="inlineStr">
        <is>
          <t>Effective tax rate</t>
        </is>
      </c>
      <c r="B22" s="247">
        <f>IFERROR(AVERAGE(Model!AC127:AF127,Model!AH127:AI127),"")</f>
        <v>0.198084014422139</v>
      </c>
      <c r="C22" s="247">
        <f>IF(B22="","",B22)</f>
        <v>0.198084014422139</v>
      </c>
      <c r="D22" s="247">
        <f>IF(C22="","",C22)</f>
        <v>0.198084014422139</v>
      </c>
      <c r="E22" s="247">
        <f>IF(D22="","",D22)</f>
        <v>0.198084014422139</v>
      </c>
      <c r="F22" s="247">
        <f>IF(E22="","",E22)</f>
        <v>0.198084014422139</v>
      </c>
    </row>
    <row r="23" ht="15" customHeight="1">
      <c r="A23" t="inlineStr">
        <is>
          <t>Financial income / Revenue</t>
        </is>
      </c>
      <c r="B23" s="247">
        <f>IFERROR(AVERAGE(Model!AC118:AF118,Model!AH118:AI118)/AVERAGE(Model!AC15:AF15,Model!AH15:AI15),"")</f>
        <v>0.414287540480654</v>
      </c>
      <c r="C23" s="247">
        <f>IF(B23="","",B23)</f>
        <v>0.414287540480654</v>
      </c>
      <c r="D23" s="247">
        <f>IF(C23="","",C23)</f>
        <v>0.414287540480654</v>
      </c>
      <c r="E23" s="247">
        <f>IF(D23="","",D23)</f>
        <v>0.414287540480654</v>
      </c>
      <c r="F23" s="247">
        <f>IF(E23="","",E23)</f>
        <v>0.414287540480654</v>
      </c>
    </row>
    <row r="24" ht="15" customHeight="1">
      <c r="A24" t="inlineStr">
        <is>
          <t>Capex / Revenue</t>
        </is>
      </c>
      <c r="B24" s="247">
        <f>IFERROR(-AVERAGE(Model!AC290:AF290,Model!AH290:AI290)/AVERAGE(Model!AC15:AF15,Model!AH15:AI15),"")</f>
        <v>0.141020890611452</v>
      </c>
      <c r="C24" s="247">
        <f>IF(B24="","",B24)</f>
        <v>0.141020890611452</v>
      </c>
      <c r="D24" s="247">
        <f>IF(C24="","",C24)</f>
        <v>0.141020890611452</v>
      </c>
      <c r="E24" s="247">
        <f>IF(D24="","",D24)</f>
        <v>0.141020890611452</v>
      </c>
      <c r="F24" s="247">
        <f>IF(E24="","",E24)</f>
        <v>0.141020890611452</v>
      </c>
    </row>
    <row r="25" ht="15" customHeight="1">
      <c r="A25" t="inlineStr">
        <is>
          <t>DSO</t>
        </is>
      </c>
      <c r="B25" s="249">
        <f>IFERROR(AVERAGE(Model!AC141:AF141,Model!AH141:AI141),0)</f>
        <v>83.3662509416364</v>
      </c>
      <c r="C25" s="249">
        <f>IF(B25="","",B25)</f>
        <v>83.3662509416364</v>
      </c>
      <c r="D25" s="249">
        <f>IF(C25="","",C25)</f>
        <v>83.3662509416364</v>
      </c>
      <c r="E25" s="249">
        <f>IF(D25="","",D25)</f>
        <v>83.3662509416364</v>
      </c>
      <c r="F25" s="249">
        <f>IF(E25="","",E25)</f>
        <v>83.3662509416364</v>
      </c>
    </row>
    <row r="26" ht="15" customHeight="1">
      <c r="A26" t="inlineStr">
        <is>
          <t>DIO</t>
        </is>
      </c>
      <c r="B26" s="249">
        <f>IFERROR(AVERAGE(Model!AC145:AF145,Model!AH145:AI145),0)</f>
        <v>394.456203813664</v>
      </c>
      <c r="C26" s="249">
        <f>IF(B26="","",B26)</f>
        <v>394.456203813664</v>
      </c>
      <c r="D26" s="249">
        <f>IF(C26="","",C26)</f>
        <v>394.456203813664</v>
      </c>
      <c r="E26" s="249">
        <f>IF(D26="","",D26)</f>
        <v>394.456203813664</v>
      </c>
      <c r="F26" s="249">
        <f>IF(E26="","",E26)</f>
        <v>394.456203813664</v>
      </c>
    </row>
    <row r="27" ht="15" customHeight="1">
      <c r="A27" t="inlineStr">
        <is>
          <t>DPO</t>
        </is>
      </c>
      <c r="B27" s="249">
        <f>IFERROR(AVERAGE(Model!AC194:AF194,Model!AH194:AI194),0)</f>
        <v>144.096415328953</v>
      </c>
      <c r="C27" s="249">
        <f>IF(B27="","",B27)</f>
        <v>144.096415328953</v>
      </c>
      <c r="D27" s="249">
        <f>IF(C27="","",C27)</f>
        <v>144.096415328953</v>
      </c>
      <c r="E27" s="249">
        <f>IF(D27="","",D27)</f>
        <v>144.096415328953</v>
      </c>
      <c r="F27" s="249">
        <f>IF(E27="","",E27)</f>
        <v>144.096415328953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Eli Lilly and Company (LLY, CIK 59478) - fonte: SEC EDGAR XBRL (instâncias dos 10-Q/10-K). Moeda: USD. Brutos em USD unidades (fator 0,000001 -&gt; milhões). Colunas = trimestres-CALENDÁRIO (cada fechamento vai para o fim de trimestre mais próximo); ano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2026-10-16T15:37:54Z</dcterms:modified>
  <cp:lastModifiedBy>Lucas Nascimento</cp:lastModifiedBy>
  <cp:revision>0</cp:revision>
</cp:coreProperties>
</file>