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8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5298872</v>
      </c>
      <c r="E5" s="265" t="n">
        <v>5291354</v>
      </c>
      <c r="F5" s="265" t="n">
        <v>6224265</v>
      </c>
      <c r="G5" s="265" t="n">
        <v>5762657</v>
      </c>
      <c r="I5" s="265" t="n">
        <v>5126280</v>
      </c>
      <c r="J5" s="265" t="n">
        <v>629220</v>
      </c>
      <c r="K5" s="265" t="n">
        <v>1058114</v>
      </c>
      <c r="L5" s="265" t="n">
        <v>1704059</v>
      </c>
      <c r="N5" s="265" t="n">
        <v>1381845</v>
      </c>
      <c r="O5" s="265" t="n">
        <v>2814691</v>
      </c>
      <c r="P5" s="265" t="n">
        <v>2541285</v>
      </c>
      <c r="Q5" s="265" t="n">
        <v>1285020</v>
      </c>
      <c r="S5" s="265" t="n">
        <v>3687828</v>
      </c>
      <c r="T5" s="265" t="n">
        <v>2796381</v>
      </c>
      <c r="U5" s="265" t="n">
        <v>3663194</v>
      </c>
      <c r="V5" s="265" t="n">
        <v>3082565</v>
      </c>
      <c r="X5" s="265" t="n">
        <v>3289458</v>
      </c>
      <c r="Y5" s="265" t="n">
        <v>3711900</v>
      </c>
      <c r="Z5" s="265" t="n">
        <v>3088635</v>
      </c>
      <c r="AA5" s="265" t="n">
        <v>4360272</v>
      </c>
      <c r="AC5" s="265" t="n">
        <v>3617595</v>
      </c>
      <c r="AD5" s="265" t="n">
        <v>5043978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0</v>
      </c>
      <c r="E6" s="265" t="n">
        <v>0</v>
      </c>
      <c r="F6" s="265" t="n">
        <v>0</v>
      </c>
      <c r="G6" s="265" t="n">
        <v>0</v>
      </c>
      <c r="I6" s="265" t="n">
        <v>0</v>
      </c>
      <c r="J6" s="265" t="n">
        <v>0</v>
      </c>
      <c r="K6" s="265" t="n">
        <v>0</v>
      </c>
      <c r="L6" s="265" t="n">
        <v>0</v>
      </c>
      <c r="N6" s="265" t="n">
        <v>0</v>
      </c>
      <c r="O6" s="265" t="n">
        <v>0</v>
      </c>
      <c r="P6" s="265" t="n">
        <v>0</v>
      </c>
      <c r="Q6" s="265" t="n">
        <v>0</v>
      </c>
      <c r="S6" s="265" t="n">
        <v>0</v>
      </c>
      <c r="T6" s="265" t="n">
        <v>0</v>
      </c>
      <c r="U6" s="265" t="n">
        <v>0</v>
      </c>
      <c r="V6" s="265" t="n">
        <v>0</v>
      </c>
      <c r="X6" s="265" t="n">
        <v>0</v>
      </c>
      <c r="Y6" s="265" t="n">
        <v>0</v>
      </c>
      <c r="Z6" s="265" t="n">
        <v>0</v>
      </c>
      <c r="AA6" s="265" t="n">
        <v>0</v>
      </c>
      <c r="AC6" s="265" t="n">
        <v>0</v>
      </c>
      <c r="AD6" s="265" t="n">
        <v>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0</v>
      </c>
      <c r="E7" s="265">
        <f>IF(E6="","",-1*E6)</f>
        <v>0</v>
      </c>
      <c r="F7" s="265">
        <f>IF(F6="","",-1*F6)</f>
        <v>0</v>
      </c>
      <c r="G7" s="265">
        <f>IF(G6="","",-1*G6)</f>
        <v>0</v>
      </c>
      <c r="I7" s="265">
        <f>IF(I6="","",-1*I6)</f>
        <v>0</v>
      </c>
      <c r="J7" s="265">
        <f>IF(J6="","",-1*J6)</f>
        <v>0</v>
      </c>
      <c r="K7" s="265">
        <f>IF(K6="","",-1*K6)</f>
        <v>0</v>
      </c>
      <c r="L7" s="265">
        <f>IF(L6="","",-1*L6)</f>
        <v>0</v>
      </c>
      <c r="N7" s="265">
        <f>IF(N6="","",-1*N6)</f>
        <v>0</v>
      </c>
      <c r="O7" s="265">
        <f>IF(O6="","",-1*O6)</f>
        <v>0</v>
      </c>
      <c r="P7" s="265">
        <f>IF(P6="","",-1*P6)</f>
        <v>0</v>
      </c>
      <c r="Q7" s="265">
        <f>IF(Q6="","",-1*Q6)</f>
        <v>0</v>
      </c>
      <c r="S7" s="265">
        <f>IF(S6="","",-1*S6)</f>
        <v>0</v>
      </c>
      <c r="T7" s="265">
        <f>IF(T6="","",-1*T6)</f>
        <v>0</v>
      </c>
      <c r="U7" s="265">
        <f>IF(U6="","",-1*U6)</f>
        <v>0</v>
      </c>
      <c r="V7" s="265">
        <f>IF(V6="","",-1*V6)</f>
        <v>0</v>
      </c>
      <c r="X7" s="265">
        <f>IF(X6="","",-1*X6)</f>
        <v>0</v>
      </c>
      <c r="Y7" s="265">
        <f>IF(Y6="","",-1*Y6)</f>
        <v>0</v>
      </c>
      <c r="Z7" s="265">
        <f>IF(Z6="","",-1*Z6)</f>
        <v>0</v>
      </c>
      <c r="AA7" s="265">
        <f>IF(AA6="","",-1*AA6)</f>
        <v>0</v>
      </c>
      <c r="AC7" s="265">
        <f>IF(AC6="","",-1*AC6)</f>
        <v>0</v>
      </c>
      <c r="AD7" s="265">
        <f>IF(AD6="","",-1*AD6)</f>
        <v>0</v>
      </c>
    </row>
    <row r="8">
      <c r="A8" t="inlineStr">
        <is>
          <t>Lucro operacional DERIVADO = receita - custos e despesas totais [us-gaap:CostsAndExpenses] + despesa de juros (a companhia não divulga lucro operacional) · memoria · unid. moeda</t>
        </is>
      </c>
      <c r="C8" t="inlineStr">
        <is>
          <t>[linha bruta, sem código; lançada nas linhas abaixo]</t>
        </is>
      </c>
      <c r="D8" s="265" t="n">
        <v>3292408</v>
      </c>
      <c r="E8" s="265" t="n">
        <v>3063346</v>
      </c>
      <c r="F8" s="265" t="n">
        <v>3622319</v>
      </c>
      <c r="G8" s="265" t="n">
        <v>3320726</v>
      </c>
      <c r="I8" s="265" t="n">
        <v>2996005</v>
      </c>
      <c r="J8" s="265" t="n">
        <v>-45251</v>
      </c>
      <c r="K8" s="265" t="n">
        <v>177260</v>
      </c>
      <c r="L8" s="265" t="n">
        <v>733859</v>
      </c>
      <c r="N8" s="265" t="n">
        <v>296941</v>
      </c>
      <c r="O8" s="265" t="n">
        <v>1447477</v>
      </c>
      <c r="P8" s="265" t="n">
        <v>1276979</v>
      </c>
      <c r="Q8" s="265" t="n">
        <v>452182</v>
      </c>
      <c r="S8" s="265" t="n">
        <v>2005624</v>
      </c>
      <c r="T8" s="265" t="n">
        <v>1272291</v>
      </c>
      <c r="U8" s="265" t="n">
        <v>1878435</v>
      </c>
      <c r="V8" s="265" t="n">
        <v>1697980</v>
      </c>
      <c r="X8" s="265" t="n">
        <v>1513141</v>
      </c>
      <c r="Y8" s="265" t="n">
        <v>1915119</v>
      </c>
      <c r="Z8" s="265" t="n">
        <v>1464236</v>
      </c>
      <c r="AA8" s="265" t="n">
        <v>2363476</v>
      </c>
      <c r="AC8" s="265" t="n">
        <v>1492355</v>
      </c>
      <c r="AD8" s="265" t="n">
        <v>2813389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2006464</v>
      </c>
      <c r="E9" s="265">
        <f>N(E5)-N(E6)-N(E8)</f>
        <v>2228008</v>
      </c>
      <c r="F9" s="265">
        <f>N(F5)-N(F6)-N(F8)</f>
        <v>2601946</v>
      </c>
      <c r="G9" s="265">
        <f>N(G5)-N(G6)-N(G8)</f>
        <v>2441931</v>
      </c>
      <c r="I9" s="265">
        <f>N(I5)-N(I6)-N(I8)</f>
        <v>2130275</v>
      </c>
      <c r="J9" s="265">
        <f>N(J5)-N(J6)-N(J8)</f>
        <v>674471</v>
      </c>
      <c r="K9" s="265">
        <f>N(K5)-N(K6)-N(K8)</f>
        <v>880854</v>
      </c>
      <c r="L9" s="265">
        <f>N(L5)-N(L6)-N(L8)</f>
        <v>970200</v>
      </c>
      <c r="N9" s="265">
        <f>N(N5)-N(N6)-N(N8)</f>
        <v>1084904</v>
      </c>
      <c r="O9" s="265">
        <f>N(O5)-N(O6)-N(O8)</f>
        <v>1367214</v>
      </c>
      <c r="P9" s="265">
        <f>N(P5)-N(P6)-N(P8)</f>
        <v>1264306</v>
      </c>
      <c r="Q9" s="265">
        <f>N(Q5)-N(Q6)-N(Q8)</f>
        <v>832838</v>
      </c>
      <c r="S9" s="265">
        <f>N(S5)-N(S6)-N(S8)</f>
        <v>1682204</v>
      </c>
      <c r="T9" s="265">
        <f>N(T5)-N(T6)-N(T8)</f>
        <v>1524090</v>
      </c>
      <c r="U9" s="265">
        <f>N(U5)-N(U6)-N(U8)</f>
        <v>1784759</v>
      </c>
      <c r="V9" s="265">
        <f>N(V5)-N(V6)-N(V8)</f>
        <v>1384585</v>
      </c>
      <c r="X9" s="265">
        <f>N(X5)-N(X6)-N(X8)</f>
        <v>1776317</v>
      </c>
      <c r="Y9" s="265">
        <f>N(Y5)-N(Y6)-N(Y8)</f>
        <v>1796781</v>
      </c>
      <c r="Z9" s="265">
        <f>N(Z5)-N(Z6)-N(Z8)</f>
        <v>1624399</v>
      </c>
      <c r="AA9" s="265">
        <f>N(AA5)-N(AA6)-N(AA8)</f>
        <v>1996796</v>
      </c>
      <c r="AC9" s="265">
        <f>N(AC5)-N(AC6)-N(AC8)</f>
        <v>2125240</v>
      </c>
      <c r="AD9" s="265">
        <f>N(AD5)-N(AD6)-N(AD8)</f>
        <v>2230589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-2006464</v>
      </c>
      <c r="E10" s="265">
        <f>IF(E9="","",-1*E9)</f>
        <v>-2228008</v>
      </c>
      <c r="F10" s="265">
        <f>IF(F9="","",-1*F9)</f>
        <v>-2601946</v>
      </c>
      <c r="G10" s="265">
        <f>IF(G9="","",-1*G9)</f>
        <v>-2441931</v>
      </c>
      <c r="I10" s="265">
        <f>IF(I9="","",-1*I9)</f>
        <v>-2130275</v>
      </c>
      <c r="J10" s="265">
        <f>IF(J9="","",-1*J9)</f>
        <v>-674471</v>
      </c>
      <c r="K10" s="265">
        <f>IF(K9="","",-1*K9)</f>
        <v>-880854</v>
      </c>
      <c r="L10" s="265">
        <f>IF(L9="","",-1*L9)</f>
        <v>-970200</v>
      </c>
      <c r="N10" s="265">
        <f>IF(N9="","",-1*N9)</f>
        <v>-1084904</v>
      </c>
      <c r="O10" s="265">
        <f>IF(O9="","",-1*O9)</f>
        <v>-1367214</v>
      </c>
      <c r="P10" s="265">
        <f>IF(P9="","",-1*P9)</f>
        <v>-1264306</v>
      </c>
      <c r="Q10" s="265">
        <f>IF(Q9="","",-1*Q9)</f>
        <v>-832838</v>
      </c>
      <c r="S10" s="265">
        <f>IF(S9="","",-1*S9)</f>
        <v>-1682204</v>
      </c>
      <c r="T10" s="265">
        <f>IF(T9="","",-1*T9)</f>
        <v>-1524090</v>
      </c>
      <c r="U10" s="265">
        <f>IF(U9="","",-1*U9)</f>
        <v>-1784759</v>
      </c>
      <c r="V10" s="265">
        <f>IF(V9="","",-1*V9)</f>
        <v>-1384585</v>
      </c>
      <c r="X10" s="265">
        <f>IF(X9="","",-1*X9)</f>
        <v>-1776317</v>
      </c>
      <c r="Y10" s="265">
        <f>IF(Y9="","",-1*Y9)</f>
        <v>-1796781</v>
      </c>
      <c r="Z10" s="265">
        <f>IF(Z9="","",-1*Z9)</f>
        <v>-1624399</v>
      </c>
      <c r="AA10" s="265">
        <f>IF(AA9="","",-1*AA9)</f>
        <v>-1996796</v>
      </c>
      <c r="AC10" s="265">
        <f>IF(AC9="","",-1*AC9)</f>
        <v>-2125240</v>
      </c>
      <c r="AD10" s="265">
        <f>IF(AD9="","",-1*AD9)</f>
        <v>-2230589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3370688</v>
      </c>
      <c r="E11" s="265" t="n">
        <v>3145748</v>
      </c>
      <c r="F11" s="265" t="n">
        <v>3664897</v>
      </c>
      <c r="G11" s="265" t="n">
        <v>3378063</v>
      </c>
      <c r="I11" s="265" t="n">
        <v>2980895</v>
      </c>
      <c r="J11" s="265" t="n">
        <v>-219232</v>
      </c>
      <c r="K11" s="265" t="n">
        <v>97931</v>
      </c>
      <c r="L11" s="265" t="n">
        <v>602195</v>
      </c>
      <c r="N11" s="265" t="n">
        <v>258356</v>
      </c>
      <c r="O11" s="265" t="n">
        <v>1426976</v>
      </c>
      <c r="P11" s="265" t="n">
        <v>1117302</v>
      </c>
      <c r="Q11" s="265" t="n">
        <v>155080</v>
      </c>
      <c r="S11" s="265" t="n">
        <v>1879654</v>
      </c>
      <c r="T11" s="265" t="n">
        <v>1208609</v>
      </c>
      <c r="U11" s="265" t="n">
        <v>1809940</v>
      </c>
      <c r="V11" s="265" t="n">
        <v>1561277</v>
      </c>
      <c r="X11" s="265" t="n">
        <v>1452601</v>
      </c>
      <c r="Y11" s="265" t="n">
        <v>1915627</v>
      </c>
      <c r="Z11" s="265" t="n">
        <v>1446582</v>
      </c>
      <c r="AA11" s="265" t="n">
        <v>2356836</v>
      </c>
      <c r="AC11" s="265" t="n">
        <v>1455057</v>
      </c>
      <c r="AD11" s="265" t="n">
        <v>2808452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78280</v>
      </c>
      <c r="E12" s="265">
        <f>N(E11)-N(E8)</f>
        <v>82402</v>
      </c>
      <c r="F12" s="265">
        <f>N(F11)-N(F8)</f>
        <v>42578</v>
      </c>
      <c r="G12" s="265">
        <f>N(G11)-N(G8)</f>
        <v>57337</v>
      </c>
      <c r="I12" s="265">
        <f>N(I11)-N(I8)</f>
        <v>-15110</v>
      </c>
      <c r="J12" s="265">
        <f>N(J11)-N(J8)</f>
        <v>-173981</v>
      </c>
      <c r="K12" s="265">
        <f>N(K11)-N(K8)</f>
        <v>-79329</v>
      </c>
      <c r="L12" s="265">
        <f>N(L11)-N(L8)</f>
        <v>-131664</v>
      </c>
      <c r="N12" s="265">
        <f>N(N11)-N(N8)</f>
        <v>-38585</v>
      </c>
      <c r="O12" s="265">
        <f>N(O11)-N(O8)</f>
        <v>-20501</v>
      </c>
      <c r="P12" s="265">
        <f>N(P11)-N(P8)</f>
        <v>-159677</v>
      </c>
      <c r="Q12" s="265">
        <f>N(Q11)-N(Q8)</f>
        <v>-297102</v>
      </c>
      <c r="S12" s="265">
        <f>N(S11)-N(S8)</f>
        <v>-125970</v>
      </c>
      <c r="T12" s="265">
        <f>N(T11)-N(T8)</f>
        <v>-63682</v>
      </c>
      <c r="U12" s="265">
        <f>N(U11)-N(U8)</f>
        <v>-68495</v>
      </c>
      <c r="V12" s="265">
        <f>N(V11)-N(V8)</f>
        <v>-136703</v>
      </c>
      <c r="X12" s="265">
        <f>N(X11)-N(X8)</f>
        <v>-60540</v>
      </c>
      <c r="Y12" s="265">
        <f>N(Y11)-N(Y8)</f>
        <v>508</v>
      </c>
      <c r="Z12" s="265">
        <f>N(Z11)-N(Z8)</f>
        <v>-17654</v>
      </c>
      <c r="AA12" s="265">
        <f>N(AA11)-N(AA8)</f>
        <v>-6640</v>
      </c>
      <c r="AC12" s="265">
        <f>N(AC11)-N(AC8)</f>
        <v>-37298</v>
      </c>
      <c r="AD12" s="265">
        <f>N(AD11)-N(AD8)</f>
        <v>-4937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44983</v>
      </c>
      <c r="E13" s="265" t="n">
        <v>44322</v>
      </c>
      <c r="F13" s="265" t="n">
        <v>52413</v>
      </c>
      <c r="G13" s="265" t="n">
        <v>56550</v>
      </c>
      <c r="I13" s="265" t="n">
        <v>66747</v>
      </c>
      <c r="J13" s="265" t="n">
        <v>69642</v>
      </c>
      <c r="K13" s="265" t="n">
        <v>80507</v>
      </c>
      <c r="L13" s="265" t="n">
        <v>100329</v>
      </c>
      <c r="N13" s="265" t="n">
        <v>104441</v>
      </c>
      <c r="O13" s="265" t="n">
        <v>108096</v>
      </c>
      <c r="P13" s="265" t="n">
        <v>110599</v>
      </c>
      <c r="Q13" s="265" t="n">
        <v>108732</v>
      </c>
      <c r="S13" s="265" t="n">
        <v>108203</v>
      </c>
      <c r="T13" s="265" t="n">
        <v>108616</v>
      </c>
      <c r="U13" s="265" t="n">
        <v>111337</v>
      </c>
      <c r="V13" s="265" t="n">
        <v>115532</v>
      </c>
      <c r="X13" s="265" t="n">
        <v>118115</v>
      </c>
      <c r="Y13" s="265" t="n">
        <v>135822</v>
      </c>
      <c r="Z13" s="265" t="n">
        <v>126288</v>
      </c>
      <c r="AA13" s="265" t="n">
        <v>128089</v>
      </c>
      <c r="AC13" s="265" t="n">
        <v>137053</v>
      </c>
      <c r="AD13" s="265" t="n">
        <v>145023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-44983</v>
      </c>
      <c r="E14" s="265">
        <f>IF(E13="","",-1*E13)</f>
        <v>-44322</v>
      </c>
      <c r="F14" s="265">
        <f>IF(F13="","",-1*F13)</f>
        <v>-52413</v>
      </c>
      <c r="G14" s="265">
        <f>IF(G13="","",-1*G13)</f>
        <v>-56550</v>
      </c>
      <c r="I14" s="265">
        <f>IF(I13="","",-1*I13)</f>
        <v>-66747</v>
      </c>
      <c r="J14" s="265">
        <f>IF(J13="","",-1*J13)</f>
        <v>-69642</v>
      </c>
      <c r="K14" s="265">
        <f>IF(K13="","",-1*K13)</f>
        <v>-80507</v>
      </c>
      <c r="L14" s="265">
        <f>IF(L13="","",-1*L13)</f>
        <v>-100329</v>
      </c>
      <c r="N14" s="265">
        <f>IF(N13="","",-1*N13)</f>
        <v>-104441</v>
      </c>
      <c r="O14" s="265">
        <f>IF(O13="","",-1*O13)</f>
        <v>-108096</v>
      </c>
      <c r="P14" s="265">
        <f>IF(P13="","",-1*P13)</f>
        <v>-110599</v>
      </c>
      <c r="Q14" s="265">
        <f>IF(Q13="","",-1*Q13)</f>
        <v>-108732</v>
      </c>
      <c r="S14" s="265">
        <f>IF(S13="","",-1*S13)</f>
        <v>-108203</v>
      </c>
      <c r="T14" s="265">
        <f>IF(T13="","",-1*T13)</f>
        <v>-108616</v>
      </c>
      <c r="U14" s="265">
        <f>IF(U13="","",-1*U13)</f>
        <v>-111337</v>
      </c>
      <c r="V14" s="265">
        <f>IF(V13="","",-1*V13)</f>
        <v>-115532</v>
      </c>
      <c r="X14" s="265">
        <f>IF(X13="","",-1*X13)</f>
        <v>-118115</v>
      </c>
      <c r="Y14" s="265">
        <f>IF(Y13="","",-1*Y13)</f>
        <v>-135822</v>
      </c>
      <c r="Z14" s="265">
        <f>IF(Z13="","",-1*Z13)</f>
        <v>-126288</v>
      </c>
      <c r="AA14" s="265">
        <f>IF(AA13="","",-1*AA13)</f>
        <v>-128089</v>
      </c>
      <c r="AC14" s="265">
        <f>IF(AC13="","",-1*AC13)</f>
        <v>-137053</v>
      </c>
      <c r="AD14" s="265">
        <f>IF(AD13="","",-1*AD13)</f>
        <v>-145023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44983</v>
      </c>
      <c r="E15" s="265">
        <f>IF(E13="","",E13)</f>
        <v>44322</v>
      </c>
      <c r="F15" s="265">
        <f>IF(F13="","",F13)</f>
        <v>52413</v>
      </c>
      <c r="G15" s="265">
        <f>IF(G13="","",G13)</f>
        <v>56550</v>
      </c>
      <c r="I15" s="265">
        <f>IF(I13="","",I13)</f>
        <v>66747</v>
      </c>
      <c r="J15" s="265">
        <f>IF(J13="","",J13)</f>
        <v>69642</v>
      </c>
      <c r="K15" s="265">
        <f>IF(K13="","",K13)</f>
        <v>80507</v>
      </c>
      <c r="L15" s="265">
        <f>IF(L13="","",L13)</f>
        <v>100329</v>
      </c>
      <c r="N15" s="265">
        <f>IF(N13="","",N13)</f>
        <v>104441</v>
      </c>
      <c r="O15" s="265">
        <f>IF(O13="","",O13)</f>
        <v>108096</v>
      </c>
      <c r="P15" s="265">
        <f>IF(P13="","",P13)</f>
        <v>110599</v>
      </c>
      <c r="Q15" s="265">
        <f>IF(Q13="","",Q13)</f>
        <v>108732</v>
      </c>
      <c r="S15" s="265">
        <f>IF(S13="","",S13)</f>
        <v>108203</v>
      </c>
      <c r="T15" s="265">
        <f>IF(T13="","",T13)</f>
        <v>108616</v>
      </c>
      <c r="U15" s="265">
        <f>IF(U13="","",U13)</f>
        <v>111337</v>
      </c>
      <c r="V15" s="265">
        <f>IF(V13="","",V13)</f>
        <v>115532</v>
      </c>
      <c r="X15" s="265">
        <f>IF(X13="","",X13)</f>
        <v>118115</v>
      </c>
      <c r="Y15" s="265">
        <f>IF(Y13="","",Y13)</f>
        <v>135822</v>
      </c>
      <c r="Z15" s="265">
        <f>IF(Z13="","",Z13)</f>
        <v>126288</v>
      </c>
      <c r="AA15" s="265">
        <f>IF(AA13="","",AA13)</f>
        <v>128089</v>
      </c>
      <c r="AC15" s="265">
        <f>IF(AC13="","",AC13)</f>
        <v>137053</v>
      </c>
      <c r="AD15" s="265">
        <f>IF(AD13="","",AD13)</f>
        <v>145023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-447</v>
      </c>
      <c r="E16" s="265" t="n">
        <v>288250</v>
      </c>
      <c r="F16" s="265" t="n">
        <v>458904</v>
      </c>
      <c r="G16" s="265" t="n">
        <v>437694</v>
      </c>
      <c r="I16" s="265" t="n">
        <v>483281</v>
      </c>
      <c r="J16" s="265" t="n">
        <v>36514</v>
      </c>
      <c r="K16" s="265" t="n">
        <v>94231</v>
      </c>
      <c r="L16" s="265" t="n">
        <v>-141146</v>
      </c>
      <c r="N16" s="265" t="n">
        <v>47675</v>
      </c>
      <c r="O16" s="265" t="n">
        <v>223269</v>
      </c>
      <c r="P16" s="265" t="n">
        <v>196560</v>
      </c>
      <c r="Q16" s="265" t="n">
        <v>45957</v>
      </c>
      <c r="S16" s="265" t="n">
        <v>283671</v>
      </c>
      <c r="T16" s="265" t="n">
        <v>260246</v>
      </c>
      <c r="U16" s="265" t="n">
        <v>245303</v>
      </c>
      <c r="V16" s="265" t="n">
        <v>232451</v>
      </c>
      <c r="X16" s="265" t="n">
        <v>243827</v>
      </c>
      <c r="Y16" s="265" t="n">
        <v>289494</v>
      </c>
      <c r="Z16" s="265" t="n">
        <v>209657</v>
      </c>
      <c r="AA16" s="265" t="n">
        <v>382045</v>
      </c>
      <c r="AC16" s="265" t="n">
        <v>197150</v>
      </c>
      <c r="AD16" s="265" t="n">
        <v>452386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447</v>
      </c>
      <c r="E17" s="265">
        <f>IF(E16="","",-1*E16)</f>
        <v>-288250</v>
      </c>
      <c r="F17" s="265">
        <f>IF(F16="","",-1*F16)</f>
        <v>-458904</v>
      </c>
      <c r="G17" s="265">
        <f>IF(G16="","",-1*G16)</f>
        <v>-437694</v>
      </c>
      <c r="I17" s="265">
        <f>IF(I16="","",-1*I16)</f>
        <v>-483281</v>
      </c>
      <c r="J17" s="265">
        <f>IF(J16="","",-1*J16)</f>
        <v>-36514</v>
      </c>
      <c r="K17" s="265">
        <f>IF(K16="","",-1*K16)</f>
        <v>-94231</v>
      </c>
      <c r="L17" s="265">
        <f>IF(L16="","",-1*L16)</f>
        <v>141146</v>
      </c>
      <c r="N17" s="265">
        <f>IF(N16="","",-1*N16)</f>
        <v>-47675</v>
      </c>
      <c r="O17" s="265">
        <f>IF(O16="","",-1*O16)</f>
        <v>-223269</v>
      </c>
      <c r="P17" s="265">
        <f>IF(P16="","",-1*P16)</f>
        <v>-196560</v>
      </c>
      <c r="Q17" s="265">
        <f>IF(Q16="","",-1*Q16)</f>
        <v>-45957</v>
      </c>
      <c r="S17" s="265">
        <f>IF(S16="","",-1*S16)</f>
        <v>-283671</v>
      </c>
      <c r="T17" s="265">
        <f>IF(T16="","",-1*T16)</f>
        <v>-260246</v>
      </c>
      <c r="U17" s="265">
        <f>IF(U16="","",-1*U16)</f>
        <v>-245303</v>
      </c>
      <c r="V17" s="265">
        <f>IF(V16="","",-1*V16)</f>
        <v>-232451</v>
      </c>
      <c r="X17" s="265">
        <f>IF(X16="","",-1*X16)</f>
        <v>-243827</v>
      </c>
      <c r="Y17" s="265">
        <f>IF(Y16="","",-1*Y16)</f>
        <v>-289494</v>
      </c>
      <c r="Z17" s="265">
        <f>IF(Z16="","",-1*Z16)</f>
        <v>-209657</v>
      </c>
      <c r="AA17" s="265">
        <f>IF(AA16="","",-1*AA16)</f>
        <v>-382045</v>
      </c>
      <c r="AC17" s="265">
        <f>IF(AC16="","",-1*AC16)</f>
        <v>-197150</v>
      </c>
      <c r="AD17" s="265">
        <f>IF(AD16="","",-1*AD16)</f>
        <v>-452386</v>
      </c>
    </row>
    <row r="18">
      <c r="A18" t="inlineStr">
        <is>
          <t>Lucro líquido atribuído à companhia [us-gaap:NetIncomeLoss] · memoria · unid. moeda</t>
        </is>
      </c>
      <c r="C18" t="inlineStr">
        <is>
          <t>[linha bruta, sem código; lançada nas linhas abaixo]</t>
        </is>
      </c>
      <c r="D18" s="265" t="n">
        <v>1747872</v>
      </c>
      <c r="E18" s="265" t="n">
        <v>1309152</v>
      </c>
      <c r="F18" s="265" t="n">
        <v>1401895</v>
      </c>
      <c r="G18" s="265" t="n">
        <v>1398478</v>
      </c>
      <c r="I18" s="265" t="n">
        <v>1216874</v>
      </c>
      <c r="J18" s="265" t="n">
        <v>-29393</v>
      </c>
      <c r="K18" s="265" t="n">
        <v>2296</v>
      </c>
      <c r="L18" s="265" t="n">
        <v>557854</v>
      </c>
      <c r="N18" s="265" t="n">
        <v>85812</v>
      </c>
      <c r="O18" s="265" t="n">
        <v>601274</v>
      </c>
      <c r="P18" s="265" t="n">
        <v>551994</v>
      </c>
      <c r="Q18" s="265" t="n">
        <v>151800</v>
      </c>
      <c r="S18" s="265" t="n">
        <v>847386</v>
      </c>
      <c r="T18" s="265" t="n">
        <v>444414</v>
      </c>
      <c r="U18" s="265" t="n">
        <v>780835</v>
      </c>
      <c r="V18" s="265" t="n">
        <v>703873</v>
      </c>
      <c r="X18" s="265" t="n">
        <v>614852</v>
      </c>
      <c r="Y18" s="265" t="n">
        <v>764244</v>
      </c>
      <c r="Z18" s="265" t="n">
        <v>624917</v>
      </c>
      <c r="AA18" s="265" t="n">
        <v>1015201</v>
      </c>
      <c r="AC18" s="265" t="n">
        <v>649729</v>
      </c>
      <c r="AD18" s="265" t="n">
        <v>1229189</v>
      </c>
    </row>
    <row r="19">
      <c r="A19" t="inlineStr">
        <is>
          <t>Resultado após IR não classificado acima (equivalência patrimonial, operações descontinuadas): lucro - (LAIR - IR - minoritários); zero quando não há · derivada · unid. moeda</t>
        </is>
      </c>
      <c r="B19" t="n">
        <v>8</v>
      </c>
      <c r="C19" t="inlineStr">
        <is>
          <t>Equity in Income of Affiliates, after tax (enter as +)</t>
        </is>
      </c>
      <c r="D19" s="265">
        <f>N(D18)-(N(D11)-N(D16)-0)</f>
        <v>-1623263</v>
      </c>
      <c r="E19" s="265">
        <f>N(E18)-(N(E11)-N(E16)-0)</f>
        <v>-1548346</v>
      </c>
      <c r="F19" s="265">
        <f>N(F18)-(N(F11)-N(F16)-0)</f>
        <v>-1804098</v>
      </c>
      <c r="G19" s="265">
        <f>N(G18)-(N(G11)-N(G16)-0)</f>
        <v>-1541891</v>
      </c>
      <c r="I19" s="265">
        <f>N(I18)-(N(I11)-N(I16)-0)</f>
        <v>-1280740</v>
      </c>
      <c r="J19" s="265">
        <f>N(J18)-(N(J11)-N(J16)-0)</f>
        <v>226353</v>
      </c>
      <c r="K19" s="265">
        <f>N(K18)-(N(K11)-N(K16)-0)</f>
        <v>-1404</v>
      </c>
      <c r="L19" s="265">
        <f>N(L18)-(N(L11)-N(L16)-0)</f>
        <v>-185487</v>
      </c>
      <c r="N19" s="265">
        <f>N(N18)-(N(N11)-N(N16)-0)</f>
        <v>-124869</v>
      </c>
      <c r="O19" s="265">
        <f>N(O18)-(N(O11)-N(O16)-0)</f>
        <v>-602433</v>
      </c>
      <c r="P19" s="265">
        <f>N(P18)-(N(P11)-N(P16)-0)</f>
        <v>-368748</v>
      </c>
      <c r="Q19" s="265">
        <f>N(Q18)-(N(Q11)-N(Q16)-0)</f>
        <v>42677</v>
      </c>
      <c r="S19" s="265">
        <f>N(S18)-(N(S11)-N(S16)-0)</f>
        <v>-748597</v>
      </c>
      <c r="T19" s="265">
        <f>N(T18)-(N(T11)-N(T16)-0)</f>
        <v>-503949</v>
      </c>
      <c r="U19" s="265">
        <f>N(U18)-(N(U11)-N(U16)-0)</f>
        <v>-783802</v>
      </c>
      <c r="V19" s="265">
        <f>N(V18)-(N(V11)-N(V16)-0)</f>
        <v>-624953</v>
      </c>
      <c r="X19" s="265">
        <f>N(X18)-(N(X11)-N(X16)-0)</f>
        <v>-593922</v>
      </c>
      <c r="Y19" s="265">
        <f>N(Y18)-(N(Y11)-N(Y16)-0)</f>
        <v>-861889</v>
      </c>
      <c r="Z19" s="265">
        <f>N(Z18)-(N(Z11)-N(Z16)-0)</f>
        <v>-612008</v>
      </c>
      <c r="AA19" s="265">
        <f>N(AA18)-(N(AA11)-N(AA16)-0)</f>
        <v>-959590</v>
      </c>
      <c r="AC19" s="265">
        <f>N(AC18)-(N(AC11)-N(AC16)-0)</f>
        <v>-608178</v>
      </c>
      <c r="AD19" s="265">
        <f>N(AD18)-(N(AD11)-N(AD16)-0)</f>
        <v>-1126877</v>
      </c>
    </row>
    <row r="20">
      <c r="A20" t="inlineStr">
        <is>
          <t>Lucro líquido (check IS, código 44) · derivada · unid. moeda</t>
        </is>
      </c>
      <c r="B20" t="n">
        <v>44</v>
      </c>
      <c r="C20" t="inlineStr">
        <is>
          <t>Lucro líquido (check IS, código 44)</t>
        </is>
      </c>
      <c r="D20" s="265">
        <f>N(D18)</f>
        <v>1747872</v>
      </c>
      <c r="E20" s="265">
        <f>N(E18)</f>
        <v>1309152</v>
      </c>
      <c r="F20" s="265">
        <f>N(F18)</f>
        <v>1401895</v>
      </c>
      <c r="G20" s="265">
        <f>N(G18)</f>
        <v>1398478</v>
      </c>
      <c r="I20" s="265">
        <f>N(I18)</f>
        <v>1216874</v>
      </c>
      <c r="J20" s="265">
        <f>N(J18)</f>
        <v>-29393</v>
      </c>
      <c r="K20" s="265">
        <f>N(K18)</f>
        <v>2296</v>
      </c>
      <c r="L20" s="265">
        <f>N(L18)</f>
        <v>557854</v>
      </c>
      <c r="N20" s="265">
        <f>N(N18)</f>
        <v>85812</v>
      </c>
      <c r="O20" s="265">
        <f>N(O18)</f>
        <v>601274</v>
      </c>
      <c r="P20" s="265">
        <f>N(P18)</f>
        <v>551994</v>
      </c>
      <c r="Q20" s="265">
        <f>N(Q18)</f>
        <v>151800</v>
      </c>
      <c r="S20" s="265">
        <f>N(S18)</f>
        <v>847386</v>
      </c>
      <c r="T20" s="265">
        <f>N(T18)</f>
        <v>444414</v>
      </c>
      <c r="U20" s="265">
        <f>N(U18)</f>
        <v>780835</v>
      </c>
      <c r="V20" s="265">
        <f>N(V18)</f>
        <v>703873</v>
      </c>
      <c r="X20" s="265">
        <f>N(X18)</f>
        <v>614852</v>
      </c>
      <c r="Y20" s="265">
        <f>N(Y18)</f>
        <v>764244</v>
      </c>
      <c r="Z20" s="265">
        <f>N(Z18)</f>
        <v>624917</v>
      </c>
      <c r="AA20" s="265">
        <f>N(AA18)</f>
        <v>1015201</v>
      </c>
      <c r="AC20" s="265">
        <f>N(AC18)</f>
        <v>649729</v>
      </c>
      <c r="AD20" s="265">
        <f>N(AD18)</f>
        <v>1229189</v>
      </c>
    </row>
    <row r="21">
      <c r="A21" t="inlineStr">
        <is>
          <t>DFC - trimestre isolado (desacumulado na extração)</t>
        </is>
      </c>
      <c r="C21" t="inlineStr">
        <is>
          <t>[linha bruta, sem código; lançada nas linhas abaixo]</t>
        </is>
      </c>
      <c r="D21" s="265" t="n"/>
      <c r="E21" s="265" t="n"/>
      <c r="F21" s="265" t="n"/>
      <c r="G21" s="265" t="n"/>
      <c r="I21" s="265" t="n"/>
      <c r="J21" s="265" t="n"/>
      <c r="K21" s="265" t="n"/>
      <c r="L21" s="265" t="n"/>
      <c r="N21" s="265" t="n"/>
      <c r="O21" s="265" t="n"/>
      <c r="P21" s="265" t="n"/>
      <c r="Q21" s="265" t="n"/>
      <c r="S21" s="265" t="n"/>
      <c r="T21" s="265" t="n"/>
      <c r="U21" s="265" t="n"/>
      <c r="V21" s="265" t="n"/>
      <c r="X21" s="265" t="n"/>
      <c r="Y21" s="265" t="n"/>
      <c r="Z21" s="265" t="n"/>
      <c r="AA21" s="265" t="n"/>
      <c r="AC21" s="265" t="n"/>
      <c r="AD21" s="265" t="n"/>
    </row>
    <row r="22">
      <c r="A22" t="inlineStr">
        <is>
          <t>D&amp;A (fluxo de caixa). COD1=4 lança (positivo -&gt; -1); COD2=3 devolve às despesas operacionais (a companhia não abre D&amp;A entre custo e despesa) [us-gaap:AmortizationOfIntangibleAssets] · fonte · unid. moeda</t>
        </is>
      </c>
      <c r="C22" t="inlineStr">
        <is>
          <t>[linha bruta, sem código; lançada nas linhas abaixo]</t>
        </is>
      </c>
      <c r="D22" s="265" t="n">
        <v>18778</v>
      </c>
      <c r="E22" s="265" t="n">
        <v>18700</v>
      </c>
      <c r="F22" s="265" t="n">
        <v>18700</v>
      </c>
      <c r="G22" s="265" t="n">
        <v>18697</v>
      </c>
      <c r="I22" s="265" t="n">
        <v>18698</v>
      </c>
      <c r="J22" s="265" t="n">
        <v>18700</v>
      </c>
      <c r="K22" s="265" t="n">
        <v>14900</v>
      </c>
      <c r="L22" s="265" t="n">
        <v>14809</v>
      </c>
      <c r="N22" s="265" t="n">
        <v>12996</v>
      </c>
      <c r="O22" s="265" t="n">
        <v>9100</v>
      </c>
      <c r="P22" s="265" t="n">
        <v>9000</v>
      </c>
      <c r="Q22" s="265" t="n">
        <v>9002</v>
      </c>
      <c r="S22" s="265" t="n">
        <v>8981</v>
      </c>
      <c r="T22" s="265" t="n">
        <v>9000</v>
      </c>
      <c r="U22" s="265" t="n">
        <v>9000</v>
      </c>
      <c r="V22" s="265" t="n">
        <v>9021</v>
      </c>
      <c r="X22" s="265" t="n">
        <v>8975</v>
      </c>
      <c r="Y22" s="265" t="n">
        <v>9000</v>
      </c>
      <c r="Z22" s="265" t="n">
        <v>9000</v>
      </c>
      <c r="AA22" s="265" t="n">
        <v>9099</v>
      </c>
      <c r="AC22" s="265" t="n">
        <v>9035</v>
      </c>
      <c r="AD22" s="265" t="n">
        <v>9000</v>
      </c>
    </row>
    <row r="23">
      <c r="A23" t="inlineStr">
        <is>
          <t>(lançamento) código 4, sinal -1 sobre a linha bruta 22: D&amp;A (fluxo de caixa). COD1=4 lança (positivo -&gt; -1); COD2=3 devolve às despesas operaciona</t>
        </is>
      </c>
      <c r="B23" t="n">
        <v>4</v>
      </c>
      <c r="C23" t="inlineStr">
        <is>
          <t>D&amp;A</t>
        </is>
      </c>
      <c r="D23" s="265">
        <f>IF(D22="","",-1*D22)</f>
        <v>-18778</v>
      </c>
      <c r="E23" s="265">
        <f>IF(E22="","",-1*E22)</f>
        <v>-18700</v>
      </c>
      <c r="F23" s="265">
        <f>IF(F22="","",-1*F22)</f>
        <v>-18700</v>
      </c>
      <c r="G23" s="265">
        <f>IF(G22="","",-1*G22)</f>
        <v>-18697</v>
      </c>
      <c r="I23" s="265">
        <f>IF(I22="","",-1*I22)</f>
        <v>-18698</v>
      </c>
      <c r="J23" s="265">
        <f>IF(J22="","",-1*J22)</f>
        <v>-18700</v>
      </c>
      <c r="K23" s="265">
        <f>IF(K22="","",-1*K22)</f>
        <v>-14900</v>
      </c>
      <c r="L23" s="265">
        <f>IF(L22="","",-1*L22)</f>
        <v>-14809</v>
      </c>
      <c r="N23" s="265">
        <f>IF(N22="","",-1*N22)</f>
        <v>-12996</v>
      </c>
      <c r="O23" s="265">
        <f>IF(O22="","",-1*O22)</f>
        <v>-9100</v>
      </c>
      <c r="P23" s="265">
        <f>IF(P22="","",-1*P22)</f>
        <v>-9000</v>
      </c>
      <c r="Q23" s="265">
        <f>IF(Q22="","",-1*Q22)</f>
        <v>-9002</v>
      </c>
      <c r="S23" s="265">
        <f>IF(S22="","",-1*S22)</f>
        <v>-8981</v>
      </c>
      <c r="T23" s="265">
        <f>IF(T22="","",-1*T22)</f>
        <v>-9000</v>
      </c>
      <c r="U23" s="265">
        <f>IF(U22="","",-1*U22)</f>
        <v>-9000</v>
      </c>
      <c r="V23" s="265">
        <f>IF(V22="","",-1*V22)</f>
        <v>-9021</v>
      </c>
      <c r="X23" s="265">
        <f>IF(X22="","",-1*X22)</f>
        <v>-8975</v>
      </c>
      <c r="Y23" s="265">
        <f>IF(Y22="","",-1*Y22)</f>
        <v>-9000</v>
      </c>
      <c r="Z23" s="265">
        <f>IF(Z22="","",-1*Z22)</f>
        <v>-9000</v>
      </c>
      <c r="AA23" s="265">
        <f>IF(AA22="","",-1*AA22)</f>
        <v>-9099</v>
      </c>
      <c r="AC23" s="265">
        <f>IF(AC22="","",-1*AC22)</f>
        <v>-9035</v>
      </c>
      <c r="AD23" s="265">
        <f>IF(AD22="","",-1*AD22)</f>
        <v>-9000</v>
      </c>
    </row>
    <row r="24">
      <c r="A24" t="inlineStr">
        <is>
          <t>(lançamento) código 3, sinal +1 sobre a linha bruta 22: D&amp;A (fluxo de caixa). COD1=4 lança (positivo -&gt; -1); COD2=3 devolve às despesas operaciona</t>
        </is>
      </c>
      <c r="B24" t="n">
        <v>3</v>
      </c>
      <c r="C24" t="inlineStr">
        <is>
          <t>SG&amp;A and Other (cash)</t>
        </is>
      </c>
      <c r="D24" s="265">
        <f>IF(D22="","",D22)</f>
        <v>18778</v>
      </c>
      <c r="E24" s="265">
        <f>IF(E22="","",E22)</f>
        <v>18700</v>
      </c>
      <c r="F24" s="265">
        <f>IF(F22="","",F22)</f>
        <v>18700</v>
      </c>
      <c r="G24" s="265">
        <f>IF(G22="","",G22)</f>
        <v>18697</v>
      </c>
      <c r="I24" s="265">
        <f>IF(I22="","",I22)</f>
        <v>18698</v>
      </c>
      <c r="J24" s="265">
        <f>IF(J22="","",J22)</f>
        <v>18700</v>
      </c>
      <c r="K24" s="265">
        <f>IF(K22="","",K22)</f>
        <v>14900</v>
      </c>
      <c r="L24" s="265">
        <f>IF(L22="","",L22)</f>
        <v>14809</v>
      </c>
      <c r="N24" s="265">
        <f>IF(N22="","",N22)</f>
        <v>12996</v>
      </c>
      <c r="O24" s="265">
        <f>IF(O22="","",O22)</f>
        <v>9100</v>
      </c>
      <c r="P24" s="265">
        <f>IF(P22="","",P22)</f>
        <v>9000</v>
      </c>
      <c r="Q24" s="265">
        <f>IF(Q22="","",Q22)</f>
        <v>9002</v>
      </c>
      <c r="S24" s="265">
        <f>IF(S22="","",S22)</f>
        <v>8981</v>
      </c>
      <c r="T24" s="265">
        <f>IF(T22="","",T22)</f>
        <v>9000</v>
      </c>
      <c r="U24" s="265">
        <f>IF(U22="","",U22)</f>
        <v>9000</v>
      </c>
      <c r="V24" s="265">
        <f>IF(V22="","",V22)</f>
        <v>9021</v>
      </c>
      <c r="X24" s="265">
        <f>IF(X22="","",X22)</f>
        <v>8975</v>
      </c>
      <c r="Y24" s="265">
        <f>IF(Y22="","",Y22)</f>
        <v>9000</v>
      </c>
      <c r="Z24" s="265">
        <f>IF(Z22="","",Z22)</f>
        <v>9000</v>
      </c>
      <c r="AA24" s="265">
        <f>IF(AA22="","",AA22)</f>
        <v>9099</v>
      </c>
      <c r="AC24" s="265">
        <f>IF(AC22="","",AC22)</f>
        <v>9035</v>
      </c>
      <c r="AD24" s="265">
        <f>IF(AD22="","",AD22)</f>
        <v>9000</v>
      </c>
    </row>
    <row r="25">
      <c r="A25" t="inlineStr">
        <is>
          <t>Dividendos pagos [us-gaap:PaymentsOfDividends] · fonte · unid. moeda</t>
        </is>
      </c>
      <c r="C25" t="inlineStr">
        <is>
          <t>[linha bruta, sem código; lançada nas linhas abaixo]</t>
        </is>
      </c>
      <c r="D25" s="265" t="n">
        <v>1255128</v>
      </c>
      <c r="E25" s="265" t="n">
        <v>1023262</v>
      </c>
      <c r="F25" s="265" t="n">
        <v>925250</v>
      </c>
      <c r="G25" s="265" t="n">
        <v>1398934</v>
      </c>
      <c r="I25" s="265" t="n">
        <v>1958044</v>
      </c>
      <c r="J25" s="265" t="n">
        <v>1663668</v>
      </c>
      <c r="K25" s="265" t="n">
        <v>1709170</v>
      </c>
      <c r="L25" s="265" t="n">
        <v>1187903</v>
      </c>
      <c r="N25" s="265" t="n">
        <v>1137340</v>
      </c>
      <c r="O25" s="265" t="n">
        <v>1052741</v>
      </c>
      <c r="P25" s="265" t="n">
        <v>1039046</v>
      </c>
      <c r="Q25" s="265" t="n">
        <v>1039320</v>
      </c>
      <c r="S25" s="265" t="n">
        <v>1176535</v>
      </c>
      <c r="T25" s="265" t="n">
        <v>1088076</v>
      </c>
      <c r="U25" s="265" t="n">
        <v>1071200</v>
      </c>
      <c r="V25" s="265" t="n">
        <v>1088372</v>
      </c>
      <c r="X25" s="265" t="n">
        <v>1858537</v>
      </c>
      <c r="Y25" s="265" t="n">
        <v>1215471</v>
      </c>
      <c r="Z25" s="265" t="n">
        <v>1341824</v>
      </c>
      <c r="AA25" s="265" t="n">
        <v>1597553</v>
      </c>
      <c r="AC25" s="265" t="n">
        <v>1917928</v>
      </c>
      <c r="AD25" s="265" t="n">
        <v>1528904</v>
      </c>
    </row>
    <row r="26">
      <c r="A26" t="inlineStr">
        <is>
          <t>(lançamento) código 10, sinal -1 sobre a linha bruta 25: Dividendos pagos [us-gaap:PaymentsOfDividends]</t>
        </is>
      </c>
      <c r="B26" t="n">
        <v>10</v>
      </c>
      <c r="C26" t="inlineStr">
        <is>
          <t>Common Dividends</t>
        </is>
      </c>
      <c r="D26" s="265">
        <f>IF(D25="","",-1*D25)</f>
        <v>-1255128</v>
      </c>
      <c r="E26" s="265">
        <f>IF(E25="","",-1*E25)</f>
        <v>-1023262</v>
      </c>
      <c r="F26" s="265">
        <f>IF(F25="","",-1*F25)</f>
        <v>-925250</v>
      </c>
      <c r="G26" s="265">
        <f>IF(G25="","",-1*G25)</f>
        <v>-1398934</v>
      </c>
      <c r="I26" s="265">
        <f>IF(I25="","",-1*I25)</f>
        <v>-1958044</v>
      </c>
      <c r="J26" s="265">
        <f>IF(J25="","",-1*J25)</f>
        <v>-1663668</v>
      </c>
      <c r="K26" s="265">
        <f>IF(K25="","",-1*K25)</f>
        <v>-1709170</v>
      </c>
      <c r="L26" s="265">
        <f>IF(L25="","",-1*L25)</f>
        <v>-1187903</v>
      </c>
      <c r="N26" s="265">
        <f>IF(N25="","",-1*N25)</f>
        <v>-1137340</v>
      </c>
      <c r="O26" s="265">
        <f>IF(O25="","",-1*O25)</f>
        <v>-1052741</v>
      </c>
      <c r="P26" s="265">
        <f>IF(P25="","",-1*P25)</f>
        <v>-1039046</v>
      </c>
      <c r="Q26" s="265">
        <f>IF(Q25="","",-1*Q25)</f>
        <v>-1039320</v>
      </c>
      <c r="S26" s="265">
        <f>IF(S25="","",-1*S25)</f>
        <v>-1176535</v>
      </c>
      <c r="T26" s="265">
        <f>IF(T25="","",-1*T25)</f>
        <v>-1088076</v>
      </c>
      <c r="U26" s="265">
        <f>IF(U25="","",-1*U25)</f>
        <v>-1071200</v>
      </c>
      <c r="V26" s="265">
        <f>IF(V25="","",-1*V25)</f>
        <v>-1088372</v>
      </c>
      <c r="X26" s="265">
        <f>IF(X25="","",-1*X25)</f>
        <v>-1858537</v>
      </c>
      <c r="Y26" s="265">
        <f>IF(Y25="","",-1*Y25)</f>
        <v>-1215471</v>
      </c>
      <c r="Z26" s="265">
        <f>IF(Z25="","",-1*Z25)</f>
        <v>-1341824</v>
      </c>
      <c r="AA26" s="265">
        <f>IF(AA25="","",-1*AA25)</f>
        <v>-1597553</v>
      </c>
      <c r="AC26" s="265">
        <f>IF(AC25="","",-1*AC25)</f>
        <v>-1917928</v>
      </c>
      <c r="AD26" s="265">
        <f>IF(AD25="","",-1*AD25)</f>
        <v>-1528904</v>
      </c>
    </row>
    <row r="27">
      <c r="A27" t="inlineStr">
        <is>
          <t>BALANÇO DE FACE (USD, saldo no fim do trimestre; cada trimestre lido da instância do próprio 10-Q/10-K)</t>
        </is>
      </c>
      <c r="C27" t="inlineStr">
        <is>
          <t>[linha bruta, sem código; lançada nas linhas abaixo]</t>
        </is>
      </c>
      <c r="D27" s="265" t="n"/>
      <c r="E27" s="265" t="n"/>
      <c r="F27" s="265" t="n"/>
      <c r="G27" s="265" t="n"/>
      <c r="I27" s="265" t="n"/>
      <c r="J27" s="265" t="n"/>
      <c r="K27" s="265" t="n"/>
      <c r="L27" s="265" t="n"/>
      <c r="N27" s="265" t="n"/>
      <c r="O27" s="265" t="n"/>
      <c r="P27" s="265" t="n"/>
      <c r="Q27" s="265" t="n"/>
      <c r="S27" s="265" t="n"/>
      <c r="T27" s="265" t="n"/>
      <c r="U27" s="265" t="n"/>
      <c r="V27" s="265" t="n"/>
      <c r="X27" s="265" t="n"/>
      <c r="Y27" s="265" t="n"/>
      <c r="Z27" s="265" t="n"/>
      <c r="AA27" s="265" t="n"/>
      <c r="AC27" s="265" t="n"/>
      <c r="AD27" s="265" t="n"/>
    </row>
    <row r="28">
      <c r="A28" t="inlineStr">
        <is>
          <t>CashAndCashEquivalentsAtCarryingValue · fonte · unid. moeda</t>
        </is>
      </c>
      <c r="B28" t="n">
        <v>11</v>
      </c>
      <c r="C28" t="inlineStr">
        <is>
          <t>Cash and equivalents (inc. investment securities)</t>
        </is>
      </c>
      <c r="D28" s="265" t="n">
        <v>2862422</v>
      </c>
      <c r="E28" s="265" t="n">
        <v>2467444</v>
      </c>
      <c r="F28" s="265" t="n">
        <v>5011433</v>
      </c>
      <c r="G28" s="265" t="n">
        <v>2119738</v>
      </c>
      <c r="I28" s="265" t="n">
        <v>3868567</v>
      </c>
      <c r="J28" s="265" t="n">
        <v>4183380</v>
      </c>
      <c r="K28" s="265" t="n">
        <v>3480003</v>
      </c>
      <c r="L28" s="265" t="n">
        <v>4252003</v>
      </c>
      <c r="N28" s="265" t="n">
        <v>2830971</v>
      </c>
      <c r="O28" s="265" t="n">
        <v>3280204</v>
      </c>
      <c r="P28" s="265" t="n">
        <v>2971614</v>
      </c>
      <c r="Q28" s="265" t="n">
        <v>2955866</v>
      </c>
      <c r="S28" s="265" t="n">
        <v>2504471</v>
      </c>
      <c r="T28" s="265" t="n">
        <v>2381436</v>
      </c>
      <c r="U28" s="265" t="n">
        <v>2353332</v>
      </c>
      <c r="V28" s="265" t="n">
        <v>1972140</v>
      </c>
      <c r="X28" s="265" t="n">
        <v>2386979</v>
      </c>
      <c r="Y28" s="265" t="n">
        <v>2235499</v>
      </c>
      <c r="Z28" s="265" t="n">
        <v>2430690</v>
      </c>
      <c r="AA28" s="265" t="n">
        <v>2631241</v>
      </c>
      <c r="AC28" s="265" t="n">
        <v>2448485</v>
      </c>
      <c r="AD28" s="265" t="n">
        <v>2507073</v>
      </c>
    </row>
    <row r="29">
      <c r="A29" t="inlineStr">
        <is>
          <t>DeferredIncomeTaxAssetsNet · fonte · unid. moeda</t>
        </is>
      </c>
      <c r="B29" t="n">
        <v>14</v>
      </c>
      <c r="C29" t="inlineStr">
        <is>
          <t>Deferred income taxes</t>
        </is>
      </c>
      <c r="D29" s="265" t="n">
        <v>1402271</v>
      </c>
      <c r="E29" s="265" t="n">
        <v>1322144</v>
      </c>
      <c r="F29" s="265" t="n">
        <v>1116612</v>
      </c>
      <c r="G29" s="265" t="n">
        <v>1581637</v>
      </c>
      <c r="I29" s="265" t="n">
        <v>1327454</v>
      </c>
      <c r="J29" s="265" t="n">
        <v>1646400</v>
      </c>
      <c r="K29" s="265" t="n">
        <v>1767869</v>
      </c>
      <c r="L29" s="265" t="n">
        <v>2062722</v>
      </c>
      <c r="N29" s="265" t="n">
        <v>2206700</v>
      </c>
      <c r="O29" s="265" t="n">
        <v>2176983</v>
      </c>
      <c r="P29" s="265" t="n">
        <v>2184880</v>
      </c>
      <c r="Q29" s="265" t="n">
        <v>2331394</v>
      </c>
      <c r="S29" s="265" t="n">
        <v>2256794</v>
      </c>
      <c r="T29" s="265" t="n">
        <v>2289932</v>
      </c>
      <c r="U29" s="265" t="n">
        <v>2277807</v>
      </c>
      <c r="V29" s="265" t="n">
        <v>2003948</v>
      </c>
      <c r="X29" s="265" t="n">
        <v>2157920</v>
      </c>
      <c r="Y29" s="265" t="n">
        <v>2105277</v>
      </c>
      <c r="Z29" s="265" t="n">
        <v>2100275</v>
      </c>
      <c r="AA29" s="265" t="n">
        <v>2056223</v>
      </c>
      <c r="AC29" s="265" t="n">
        <v>2066953</v>
      </c>
      <c r="AD29" s="265" t="n">
        <v>1877944</v>
      </c>
    </row>
    <row r="30">
      <c r="A30" t="inlineStr">
        <is>
          <t>CashHeldByFundsAndOther · fonte · unid. moeda</t>
        </is>
      </c>
      <c r="B30" t="n">
        <v>16</v>
      </c>
      <c r="C30" t="inlineStr">
        <is>
          <t>Other current assets</t>
        </is>
      </c>
      <c r="D30" s="265" t="n">
        <v>109285</v>
      </c>
      <c r="E30" s="265" t="n">
        <v>109676</v>
      </c>
      <c r="F30" s="265" t="n">
        <v>113731</v>
      </c>
      <c r="G30" s="265" t="n">
        <v>79994</v>
      </c>
      <c r="I30" s="265" t="n">
        <v>110648</v>
      </c>
      <c r="J30" s="265" t="n">
        <v>129276</v>
      </c>
      <c r="K30" s="265" t="n">
        <v>94358</v>
      </c>
      <c r="L30" s="265" t="n">
        <v>241712</v>
      </c>
      <c r="N30" s="265" t="n">
        <v>190322</v>
      </c>
      <c r="O30" s="265" t="n">
        <v>215444</v>
      </c>
      <c r="P30" s="265" t="n">
        <v>138181</v>
      </c>
      <c r="Q30" s="265" t="n">
        <v>316197</v>
      </c>
      <c r="S30" s="265" t="n">
        <v>167711</v>
      </c>
      <c r="T30" s="265" t="n">
        <v>219393</v>
      </c>
      <c r="U30" s="265" t="n">
        <v>180545</v>
      </c>
      <c r="V30" s="265" t="n">
        <v>204052</v>
      </c>
      <c r="X30" s="265" t="n">
        <v>1012958</v>
      </c>
      <c r="Y30" s="265" t="n">
        <v>313950</v>
      </c>
      <c r="Z30" s="265" t="n">
        <v>401558</v>
      </c>
      <c r="AA30" s="265" t="n">
        <v>223441</v>
      </c>
      <c r="AC30" s="265" t="n">
        <v>261955</v>
      </c>
      <c r="AD30" s="265" t="n">
        <v>266230</v>
      </c>
    </row>
    <row r="31">
      <c r="A31" t="inlineStr">
        <is>
          <t>Investments · fonte · unid. moeda</t>
        </is>
      </c>
      <c r="B31" t="n">
        <v>16</v>
      </c>
      <c r="C31" t="inlineStr">
        <is>
          <t>Other current assets</t>
        </is>
      </c>
      <c r="D31" s="265" t="n">
        <v>17943309</v>
      </c>
      <c r="E31" s="265" t="n">
        <v>22163322</v>
      </c>
      <c r="F31" s="265" t="n">
        <v>25104195</v>
      </c>
      <c r="G31" s="265" t="n">
        <v>28665043</v>
      </c>
      <c r="I31" s="265" t="n">
        <v>30068474</v>
      </c>
      <c r="J31" s="265" t="n">
        <v>27323758</v>
      </c>
      <c r="K31" s="265" t="n">
        <v>26256148</v>
      </c>
      <c r="L31" s="265" t="n">
        <v>27553251</v>
      </c>
      <c r="N31" s="265" t="n">
        <v>26985951</v>
      </c>
      <c r="O31" s="265" t="n">
        <v>27048621</v>
      </c>
      <c r="P31" s="265" t="n">
        <v>27339857</v>
      </c>
      <c r="Q31" s="265" t="n">
        <v>26146622</v>
      </c>
      <c r="S31" s="265" t="n">
        <v>25922290</v>
      </c>
      <c r="T31" s="265" t="n">
        <v>26426289</v>
      </c>
      <c r="U31" s="265" t="n">
        <v>28322715</v>
      </c>
      <c r="V31" s="265" t="n">
        <v>29800566</v>
      </c>
      <c r="X31" s="265" t="n">
        <v>30259429</v>
      </c>
      <c r="Y31" s="265" t="n">
        <v>31135504</v>
      </c>
      <c r="Z31" s="265" t="n">
        <v>31528443</v>
      </c>
      <c r="AA31" s="265" t="n">
        <v>32212111</v>
      </c>
      <c r="AC31" s="265" t="n">
        <v>32747619</v>
      </c>
      <c r="AD31" s="265" t="n">
        <v>34587729</v>
      </c>
    </row>
    <row r="32">
      <c r="A32" t="inlineStr">
        <is>
          <t>AccountsReceivableNet · fonte · unid. moeda</t>
        </is>
      </c>
      <c r="B32" t="n">
        <v>16</v>
      </c>
      <c r="C32" t="inlineStr">
        <is>
          <t>Other current assets</t>
        </is>
      </c>
      <c r="D32" s="265" t="n">
        <v>975610</v>
      </c>
      <c r="E32" s="265" t="n">
        <v>582542</v>
      </c>
      <c r="F32" s="265" t="n">
        <v>496265</v>
      </c>
      <c r="G32" s="265" t="n">
        <v>636616</v>
      </c>
      <c r="I32" s="265" t="n">
        <v>517465</v>
      </c>
      <c r="J32" s="265" t="n">
        <v>774137</v>
      </c>
      <c r="K32" s="265" t="n">
        <v>835529</v>
      </c>
      <c r="L32" s="265" t="n">
        <v>462904</v>
      </c>
      <c r="N32" s="265" t="n">
        <v>924934</v>
      </c>
      <c r="O32" s="265" t="n">
        <v>664028</v>
      </c>
      <c r="P32" s="265" t="n">
        <v>693786</v>
      </c>
      <c r="Q32" s="265" t="n">
        <v>193365</v>
      </c>
      <c r="S32" s="265" t="n">
        <v>199302</v>
      </c>
      <c r="T32" s="265" t="n">
        <v>247538</v>
      </c>
      <c r="U32" s="265" t="n">
        <v>300004</v>
      </c>
      <c r="V32" s="265" t="n">
        <v>237930</v>
      </c>
      <c r="X32" s="265" t="n">
        <v>221200</v>
      </c>
      <c r="Y32" s="265" t="n">
        <v>357858</v>
      </c>
      <c r="Z32" s="265" t="n">
        <v>543209</v>
      </c>
      <c r="AA32" s="265" t="n">
        <v>291758</v>
      </c>
      <c r="AC32" s="265" t="n">
        <v>572832</v>
      </c>
      <c r="AD32" s="265" t="n">
        <v>692055</v>
      </c>
    </row>
    <row r="33">
      <c r="A33" t="inlineStr">
        <is>
          <t>DueFromAffiliates · fonte · unid. moeda</t>
        </is>
      </c>
      <c r="B33" t="n">
        <v>16</v>
      </c>
      <c r="C33" t="inlineStr">
        <is>
          <t>Other current assets</t>
        </is>
      </c>
      <c r="D33" s="265" t="n">
        <v>3015318</v>
      </c>
      <c r="E33" s="265" t="n">
        <v>3159829</v>
      </c>
      <c r="F33" s="265" t="n">
        <v>3718119</v>
      </c>
      <c r="G33" s="265" t="n">
        <v>4656867</v>
      </c>
      <c r="I33" s="265" t="n">
        <v>4004359</v>
      </c>
      <c r="J33" s="265" t="n">
        <v>3891958</v>
      </c>
      <c r="K33" s="265" t="n">
        <v>4029490</v>
      </c>
      <c r="L33" s="265" t="n">
        <v>4146707</v>
      </c>
      <c r="N33" s="265" t="n">
        <v>4099765</v>
      </c>
      <c r="O33" s="265" t="n">
        <v>0</v>
      </c>
      <c r="P33" s="265" t="n">
        <v>0</v>
      </c>
      <c r="Q33" s="265" t="n">
        <v>0</v>
      </c>
      <c r="S33" s="265" t="n">
        <v>0</v>
      </c>
      <c r="T33" s="265" t="n">
        <v>0</v>
      </c>
      <c r="U33" s="265" t="n">
        <v>0</v>
      </c>
      <c r="V33" s="265" t="n">
        <v>0</v>
      </c>
      <c r="X33" s="265" t="n">
        <v>0</v>
      </c>
      <c r="Y33" s="265" t="n">
        <v>0</v>
      </c>
      <c r="Z33" s="265" t="n">
        <v>0</v>
      </c>
      <c r="AA33" s="265" t="n">
        <v>0</v>
      </c>
      <c r="AC33" s="265" t="n">
        <v>0</v>
      </c>
      <c r="AD33" s="265" t="n">
        <v>0</v>
      </c>
    </row>
    <row r="34">
      <c r="A34" t="inlineStr">
        <is>
          <t>OtherAssets · fonte · unid. moeda</t>
        </is>
      </c>
      <c r="B34" t="n">
        <v>16</v>
      </c>
      <c r="C34" t="inlineStr">
        <is>
          <t>Other current assets</t>
        </is>
      </c>
      <c r="D34" s="265" t="n">
        <v>434475</v>
      </c>
      <c r="E34" s="265" t="n">
        <v>556714</v>
      </c>
      <c r="F34" s="265" t="n">
        <v>538567</v>
      </c>
      <c r="G34" s="265" t="n">
        <v>492936</v>
      </c>
      <c r="I34" s="265" t="n">
        <v>422786</v>
      </c>
      <c r="J34" s="265" t="n">
        <v>658298</v>
      </c>
      <c r="K34" s="265" t="n">
        <v>785794</v>
      </c>
      <c r="L34" s="265" t="n">
        <v>800458</v>
      </c>
      <c r="N34" s="265" t="n">
        <v>833232</v>
      </c>
      <c r="O34" s="265" t="n">
        <v>905454</v>
      </c>
      <c r="P34" s="265" t="n">
        <v>972069</v>
      </c>
      <c r="Q34" s="265" t="n">
        <v>944848</v>
      </c>
      <c r="S34" s="265" t="n">
        <v>1072627</v>
      </c>
      <c r="T34" s="265" t="n">
        <v>1083400</v>
      </c>
      <c r="U34" s="265" t="n">
        <v>933990</v>
      </c>
      <c r="V34" s="265" t="n">
        <v>947859</v>
      </c>
      <c r="X34" s="265" t="n">
        <v>929107</v>
      </c>
      <c r="Y34" s="265" t="n">
        <v>877000</v>
      </c>
      <c r="Z34" s="265" t="n">
        <v>900582</v>
      </c>
      <c r="AA34" s="265" t="n">
        <v>1157719</v>
      </c>
      <c r="AC34" s="265" t="n">
        <v>1035171</v>
      </c>
      <c r="AD34" s="265" t="n">
        <v>996506</v>
      </c>
    </row>
    <row r="35">
      <c r="A35" t="inlineStr">
        <is>
          <t>DeferredTaxAssetsLiabilitiesNet · fonte · unid. moeda</t>
        </is>
      </c>
      <c r="B35" t="n">
        <v>16</v>
      </c>
      <c r="C35" t="inlineStr">
        <is>
          <t>Other current assets</t>
        </is>
      </c>
      <c r="D35" s="265" t="n">
        <v>0</v>
      </c>
      <c r="E35" s="265" t="n">
        <v>0</v>
      </c>
      <c r="F35" s="265" t="n">
        <v>0</v>
      </c>
      <c r="G35" s="265" t="n">
        <v>0</v>
      </c>
      <c r="I35" s="265" t="n">
        <v>0</v>
      </c>
      <c r="J35" s="265" t="n">
        <v>0</v>
      </c>
      <c r="K35" s="265" t="n">
        <v>0</v>
      </c>
      <c r="L35" s="265" t="n">
        <v>0</v>
      </c>
      <c r="N35" s="265" t="n">
        <v>0</v>
      </c>
      <c r="O35" s="265" t="n">
        <v>0</v>
      </c>
      <c r="P35" s="265" t="n">
        <v>0</v>
      </c>
      <c r="Q35" s="265" t="n">
        <v>0</v>
      </c>
      <c r="S35" s="265" t="n">
        <v>0</v>
      </c>
      <c r="T35" s="265" t="n">
        <v>0</v>
      </c>
      <c r="U35" s="265" t="n">
        <v>0</v>
      </c>
      <c r="V35" s="265" t="n">
        <v>0</v>
      </c>
      <c r="X35" s="265" t="n">
        <v>0</v>
      </c>
      <c r="Y35" s="265" t="n">
        <v>0</v>
      </c>
      <c r="Z35" s="265" t="n">
        <v>0</v>
      </c>
      <c r="AA35" s="265" t="n">
        <v>0</v>
      </c>
      <c r="AC35" s="265" t="n">
        <v>0</v>
      </c>
      <c r="AD35" s="265" t="n">
        <v>0</v>
      </c>
    </row>
    <row r="36">
      <c r="A36" t="inlineStr">
        <is>
          <t>OtherReceivables · fonte · unid. moeda</t>
        </is>
      </c>
      <c r="B36" t="n">
        <v>16</v>
      </c>
      <c r="C36" t="inlineStr">
        <is>
          <t>Other current assets</t>
        </is>
      </c>
      <c r="D36" s="265" t="n">
        <v>0</v>
      </c>
      <c r="E36" s="265" t="n">
        <v>0</v>
      </c>
      <c r="F36" s="265" t="n">
        <v>0</v>
      </c>
      <c r="G36" s="265" t="n">
        <v>0</v>
      </c>
      <c r="I36" s="265" t="n">
        <v>0</v>
      </c>
      <c r="J36" s="265" t="n">
        <v>0</v>
      </c>
      <c r="K36" s="265" t="n">
        <v>0</v>
      </c>
      <c r="L36" s="265" t="n">
        <v>0</v>
      </c>
      <c r="N36" s="265" t="n">
        <v>0</v>
      </c>
      <c r="O36" s="265" t="n">
        <v>4294437</v>
      </c>
      <c r="P36" s="265" t="n">
        <v>4398333</v>
      </c>
      <c r="Q36" s="265" t="n">
        <v>4466521</v>
      </c>
      <c r="S36" s="265" t="n">
        <v>4695224</v>
      </c>
      <c r="T36" s="265" t="n">
        <v>4868069</v>
      </c>
      <c r="U36" s="265" t="n">
        <v>5163883</v>
      </c>
      <c r="V36" s="265" t="n">
        <v>5409315</v>
      </c>
      <c r="X36" s="265" t="n">
        <v>5434078</v>
      </c>
      <c r="Y36" s="265" t="n">
        <v>5516820</v>
      </c>
      <c r="Z36" s="265" t="n">
        <v>5845843</v>
      </c>
      <c r="AA36" s="265" t="n">
        <v>6357462</v>
      </c>
      <c r="AC36" s="265" t="n">
        <v>6395165</v>
      </c>
      <c r="AD36" s="265" t="n">
        <v>6218066</v>
      </c>
    </row>
    <row r="37">
      <c r="A37" t="inlineStr">
        <is>
          <t>OperatingLeaseRightOfUseAsset · fonte · unid. moeda</t>
        </is>
      </c>
      <c r="B37" t="n">
        <v>19</v>
      </c>
      <c r="C37" t="inlineStr">
        <is>
          <t>Right-of-use-assets</t>
        </is>
      </c>
      <c r="D37" s="265" t="n">
        <v>736633</v>
      </c>
      <c r="E37" s="265" t="n">
        <v>723539</v>
      </c>
      <c r="F37" s="265" t="n">
        <v>745886</v>
      </c>
      <c r="G37" s="265" t="n">
        <v>788991</v>
      </c>
      <c r="I37" s="265" t="n">
        <v>868437</v>
      </c>
      <c r="J37" s="265" t="n">
        <v>886911</v>
      </c>
      <c r="K37" s="265" t="n">
        <v>887832</v>
      </c>
      <c r="L37" s="265" t="n">
        <v>896981</v>
      </c>
      <c r="N37" s="265" t="n">
        <v>894067</v>
      </c>
      <c r="O37" s="265" t="n">
        <v>888190</v>
      </c>
      <c r="P37" s="265" t="n">
        <v>864691</v>
      </c>
      <c r="Q37" s="265" t="n">
        <v>841307</v>
      </c>
      <c r="S37" s="265" t="n">
        <v>805454</v>
      </c>
      <c r="T37" s="265" t="n">
        <v>995524</v>
      </c>
      <c r="U37" s="265" t="n">
        <v>978699</v>
      </c>
      <c r="V37" s="265" t="n">
        <v>838620</v>
      </c>
      <c r="X37" s="265" t="n">
        <v>807487</v>
      </c>
      <c r="Y37" s="265" t="n">
        <v>793690</v>
      </c>
      <c r="Z37" s="265" t="n">
        <v>773030</v>
      </c>
      <c r="AA37" s="265" t="n">
        <v>757459</v>
      </c>
      <c r="AC37" s="265" t="n">
        <v>786276</v>
      </c>
      <c r="AD37" s="265" t="n">
        <v>743127</v>
      </c>
    </row>
    <row r="38">
      <c r="A38" t="inlineStr">
        <is>
          <t>Goodwill · fonte · unid. moeda</t>
        </is>
      </c>
      <c r="B38" t="n">
        <v>20</v>
      </c>
      <c r="C38" t="inlineStr">
        <is>
          <t>Goodwill</t>
        </is>
      </c>
      <c r="D38" s="265" t="n">
        <v>1890185</v>
      </c>
      <c r="E38" s="265" t="n">
        <v>1890202</v>
      </c>
      <c r="F38" s="265" t="n">
        <v>1890202</v>
      </c>
      <c r="G38" s="265" t="n">
        <v>1890202</v>
      </c>
      <c r="I38" s="265" t="n">
        <v>1890202</v>
      </c>
      <c r="J38" s="265" t="n">
        <v>1890202</v>
      </c>
      <c r="K38" s="265" t="n">
        <v>1890202</v>
      </c>
      <c r="L38" s="265" t="n">
        <v>1890202</v>
      </c>
      <c r="N38" s="265" t="n">
        <v>1890202</v>
      </c>
      <c r="O38" s="265" t="n">
        <v>1890202</v>
      </c>
      <c r="P38" s="265" t="n">
        <v>1890202</v>
      </c>
      <c r="Q38" s="265" t="n">
        <v>1890202</v>
      </c>
      <c r="S38" s="265" t="n">
        <v>1890202</v>
      </c>
      <c r="T38" s="265" t="n">
        <v>1890202</v>
      </c>
      <c r="U38" s="265" t="n">
        <v>1890202</v>
      </c>
      <c r="V38" s="265" t="n">
        <v>1890202</v>
      </c>
      <c r="X38" s="265" t="n">
        <v>1890202</v>
      </c>
      <c r="Y38" s="265" t="n">
        <v>1890202</v>
      </c>
      <c r="Z38" s="265" t="n">
        <v>1890202</v>
      </c>
      <c r="AA38" s="265" t="n">
        <v>1890202</v>
      </c>
      <c r="AC38" s="265" t="n">
        <v>1890202</v>
      </c>
      <c r="AD38" s="265" t="n">
        <v>1890202</v>
      </c>
    </row>
    <row r="39">
      <c r="A39" t="inlineStr">
        <is>
          <t>FiniteLivedIntangibleAssetsNet · fonte · unid. moeda</t>
        </is>
      </c>
      <c r="B39" t="n">
        <v>21</v>
      </c>
      <c r="C39" t="inlineStr">
        <is>
          <t>Intangibles</t>
        </is>
      </c>
      <c r="D39" s="265" t="n">
        <v>340478</v>
      </c>
      <c r="E39" s="265" t="n">
        <v>321780</v>
      </c>
      <c r="F39" s="265" t="n">
        <v>303082</v>
      </c>
      <c r="G39" s="265" t="n">
        <v>284384</v>
      </c>
      <c r="I39" s="265" t="n">
        <v>265686</v>
      </c>
      <c r="J39" s="265" t="n">
        <v>246988</v>
      </c>
      <c r="K39" s="265" t="n">
        <v>232096</v>
      </c>
      <c r="L39" s="265" t="n">
        <v>217287</v>
      </c>
      <c r="N39" s="265" t="n">
        <v>230295</v>
      </c>
      <c r="O39" s="265" t="n">
        <v>219221</v>
      </c>
      <c r="P39" s="265" t="n">
        <v>210210</v>
      </c>
      <c r="Q39" s="265" t="n">
        <v>201208</v>
      </c>
      <c r="S39" s="265" t="n">
        <v>192227</v>
      </c>
      <c r="T39" s="265" t="n">
        <v>183246</v>
      </c>
      <c r="U39" s="265" t="n">
        <v>174265</v>
      </c>
      <c r="V39" s="265" t="n">
        <v>165243</v>
      </c>
      <c r="X39" s="265" t="n">
        <v>156269</v>
      </c>
      <c r="Y39" s="265" t="n">
        <v>147294</v>
      </c>
      <c r="Z39" s="265" t="n">
        <v>140458</v>
      </c>
      <c r="AA39" s="265" t="n">
        <v>131359</v>
      </c>
      <c r="AC39" s="265" t="n">
        <v>122324</v>
      </c>
      <c r="AD39" s="265" t="n">
        <v>113288</v>
      </c>
    </row>
    <row r="40">
      <c r="A40" t="inlineStr">
        <is>
          <t>LoansPayable · fonte · unid. moeda</t>
        </is>
      </c>
      <c r="B40" t="n">
        <v>26</v>
      </c>
      <c r="C40" t="inlineStr">
        <is>
          <t>Other current liabilities (non-debt)</t>
        </is>
      </c>
      <c r="D40" s="265" t="n">
        <v>5573965</v>
      </c>
      <c r="E40" s="265" t="n">
        <v>5594648</v>
      </c>
      <c r="F40" s="265" t="n">
        <v>7527576</v>
      </c>
      <c r="G40" s="265" t="n">
        <v>7748163</v>
      </c>
      <c r="I40" s="265" t="n">
        <v>8937456</v>
      </c>
      <c r="J40" s="265" t="n">
        <v>9365274</v>
      </c>
      <c r="K40" s="265" t="n">
        <v>9263080</v>
      </c>
      <c r="L40" s="265" t="n">
        <v>12349584</v>
      </c>
      <c r="N40" s="265" t="n">
        <v>12311469</v>
      </c>
      <c r="O40" s="265" t="n">
        <v>12299855</v>
      </c>
      <c r="P40" s="265" t="n">
        <v>12111377</v>
      </c>
      <c r="Q40" s="265" t="n">
        <v>11304059</v>
      </c>
      <c r="S40" s="265" t="n">
        <v>10740171</v>
      </c>
      <c r="T40" s="265" t="n">
        <v>10688193</v>
      </c>
      <c r="U40" s="265" t="n">
        <v>10752246</v>
      </c>
      <c r="V40" s="265" t="n">
        <v>11320956</v>
      </c>
      <c r="X40" s="265" t="n">
        <v>12454559</v>
      </c>
      <c r="Y40" s="265" t="n">
        <v>12008870</v>
      </c>
      <c r="Z40" s="265" t="n">
        <v>12002650</v>
      </c>
      <c r="AA40" s="265" t="n">
        <v>12445144</v>
      </c>
      <c r="AC40" s="265" t="n">
        <v>13280285</v>
      </c>
      <c r="AD40" s="265" t="n">
        <v>13194730</v>
      </c>
    </row>
    <row r="41">
      <c r="A41" t="inlineStr">
        <is>
          <t>DueToRelatedPartiesCurrentAndNoncurrent · fonte · unid. moeda</t>
        </is>
      </c>
      <c r="B41" t="n">
        <v>26</v>
      </c>
      <c r="C41" t="inlineStr">
        <is>
          <t>Other current liabilities (non-debt)</t>
        </is>
      </c>
      <c r="D41" s="265" t="n">
        <v>1161775</v>
      </c>
      <c r="E41" s="265" t="n">
        <v>1226504</v>
      </c>
      <c r="F41" s="265" t="n">
        <v>1426209</v>
      </c>
      <c r="G41" s="265" t="n">
        <v>1906098</v>
      </c>
      <c r="I41" s="265" t="n">
        <v>1881054</v>
      </c>
      <c r="J41" s="265" t="n">
        <v>2001391</v>
      </c>
      <c r="K41" s="265" t="n">
        <v>2060891</v>
      </c>
      <c r="L41" s="265" t="n">
        <v>2118481</v>
      </c>
      <c r="N41" s="265" t="n">
        <v>1974182</v>
      </c>
      <c r="O41" s="265" t="n">
        <v>0</v>
      </c>
      <c r="P41" s="265" t="n">
        <v>0</v>
      </c>
      <c r="Q41" s="265" t="n">
        <v>0</v>
      </c>
      <c r="S41" s="265" t="n">
        <v>0</v>
      </c>
      <c r="T41" s="265" t="n">
        <v>0</v>
      </c>
      <c r="U41" s="265" t="n">
        <v>0</v>
      </c>
      <c r="V41" s="265" t="n">
        <v>0</v>
      </c>
      <c r="X41" s="265" t="n">
        <v>0</v>
      </c>
      <c r="Y41" s="265" t="n">
        <v>0</v>
      </c>
      <c r="Z41" s="265" t="n">
        <v>0</v>
      </c>
      <c r="AA41" s="265" t="n">
        <v>0</v>
      </c>
      <c r="AC41" s="265" t="n">
        <v>0</v>
      </c>
      <c r="AD41" s="265" t="n">
        <v>0</v>
      </c>
    </row>
    <row r="42">
      <c r="A42" t="inlineStr">
        <is>
          <t>EmployeeRelatedLiabilitiesCurrentAndNoncurrent · fonte · unid. moeda</t>
        </is>
      </c>
      <c r="B42" t="n">
        <v>26</v>
      </c>
      <c r="C42" t="inlineStr">
        <is>
          <t>Other current liabilities (non-debt)</t>
        </is>
      </c>
      <c r="D42" s="265" t="n">
        <v>4376226</v>
      </c>
      <c r="E42" s="265" t="n">
        <v>5789662</v>
      </c>
      <c r="F42" s="265" t="n">
        <v>7399559</v>
      </c>
      <c r="G42" s="265" t="n">
        <v>7905070</v>
      </c>
      <c r="I42" s="265" t="n">
        <v>8140773</v>
      </c>
      <c r="J42" s="265" t="n">
        <v>6765492</v>
      </c>
      <c r="K42" s="265" t="n">
        <v>6732507</v>
      </c>
      <c r="L42" s="265" t="n">
        <v>6101801</v>
      </c>
      <c r="N42" s="265" t="n">
        <v>5470773</v>
      </c>
      <c r="O42" s="265" t="n">
        <v>5685879</v>
      </c>
      <c r="P42" s="265" t="n">
        <v>5983137</v>
      </c>
      <c r="Q42" s="265" t="n">
        <v>5247766</v>
      </c>
      <c r="S42" s="265" t="n">
        <v>5378212</v>
      </c>
      <c r="T42" s="265" t="n">
        <v>5703156</v>
      </c>
      <c r="U42" s="265" t="n">
        <v>6398365</v>
      </c>
      <c r="V42" s="265" t="n">
        <v>6087700</v>
      </c>
      <c r="X42" s="265" t="n">
        <v>6164503</v>
      </c>
      <c r="Y42" s="265" t="n">
        <v>6065974</v>
      </c>
      <c r="Z42" s="265" t="n">
        <v>6385958</v>
      </c>
      <c r="AA42" s="265" t="n">
        <v>6411389</v>
      </c>
      <c r="AC42" s="265" t="n">
        <v>6396285</v>
      </c>
      <c r="AD42" s="265" t="n">
        <v>6844156</v>
      </c>
    </row>
    <row r="43">
      <c r="A43" t="inlineStr">
        <is>
          <t>FinancialInstrumentsSoldNotYetPurchasedAtFairValue · fonte · unid. moeda</t>
        </is>
      </c>
      <c r="B43" t="n">
        <v>26</v>
      </c>
      <c r="C43" t="inlineStr">
        <is>
          <t>Other current liabilities (non-debt)</t>
        </is>
      </c>
      <c r="D43" s="265" t="n">
        <v>33160</v>
      </c>
      <c r="E43" s="265" t="n">
        <v>35783</v>
      </c>
      <c r="F43" s="265" t="n">
        <v>35657</v>
      </c>
      <c r="G43" s="265" t="n">
        <v>27849</v>
      </c>
      <c r="I43" s="265" t="n">
        <v>27278</v>
      </c>
      <c r="J43" s="265" t="n">
        <v>27029</v>
      </c>
      <c r="K43" s="265" t="n">
        <v>26783</v>
      </c>
      <c r="L43" s="265" t="n">
        <v>3825</v>
      </c>
      <c r="N43" s="265" t="n">
        <v>3881</v>
      </c>
      <c r="O43" s="265" t="n">
        <v>3821</v>
      </c>
      <c r="P43" s="265" t="n">
        <v>0</v>
      </c>
      <c r="Q43" s="265" t="n">
        <v>0</v>
      </c>
      <c r="S43" s="265" t="n">
        <v>0</v>
      </c>
      <c r="T43" s="265" t="n">
        <v>0</v>
      </c>
      <c r="U43" s="265" t="n">
        <v>0</v>
      </c>
      <c r="V43" s="265" t="n">
        <v>0</v>
      </c>
      <c r="X43" s="265" t="n">
        <v>0</v>
      </c>
      <c r="Y43" s="265" t="n">
        <v>0</v>
      </c>
      <c r="Z43" s="265" t="n">
        <v>0</v>
      </c>
      <c r="AA43" s="265" t="n">
        <v>0</v>
      </c>
      <c r="AC43" s="265" t="n">
        <v>0</v>
      </c>
      <c r="AD43" s="265" t="n">
        <v>0</v>
      </c>
    </row>
    <row r="44">
      <c r="A44" t="inlineStr">
        <is>
          <t>SecuritiesSoldUnderAgreementsToRepurchase · fonte · unid. moeda</t>
        </is>
      </c>
      <c r="B44" t="n">
        <v>26</v>
      </c>
      <c r="C44" t="inlineStr">
        <is>
          <t>Other current liabilities (non-debt)</t>
        </is>
      </c>
      <c r="D44" s="265" t="n">
        <v>58050</v>
      </c>
      <c r="E44" s="265" t="n">
        <v>57247</v>
      </c>
      <c r="F44" s="265" t="n">
        <v>36545</v>
      </c>
      <c r="G44" s="265" t="n">
        <v>57980</v>
      </c>
      <c r="I44" s="265" t="n">
        <v>77289</v>
      </c>
      <c r="J44" s="265" t="n">
        <v>152529</v>
      </c>
      <c r="K44" s="265" t="n">
        <v>313138</v>
      </c>
      <c r="L44" s="265" t="n">
        <v>89944</v>
      </c>
      <c r="N44" s="265" t="n">
        <v>19563</v>
      </c>
      <c r="O44" s="265" t="n">
        <v>18262</v>
      </c>
      <c r="P44" s="265" t="n">
        <v>0</v>
      </c>
      <c r="Q44" s="265" t="n">
        <v>0</v>
      </c>
      <c r="S44" s="265" t="n">
        <v>0</v>
      </c>
      <c r="T44" s="265" t="n">
        <v>0</v>
      </c>
      <c r="U44" s="265" t="n">
        <v>0</v>
      </c>
      <c r="V44" s="265" t="n">
        <v>0</v>
      </c>
      <c r="X44" s="265" t="n">
        <v>0</v>
      </c>
      <c r="Y44" s="265" t="n">
        <v>0</v>
      </c>
      <c r="Z44" s="265" t="n">
        <v>0</v>
      </c>
      <c r="AA44" s="265" t="n">
        <v>0</v>
      </c>
      <c r="AC44" s="265" t="n">
        <v>0</v>
      </c>
      <c r="AD44" s="265" t="n">
        <v>0</v>
      </c>
    </row>
    <row r="45">
      <c r="A45" t="inlineStr">
        <is>
          <t>OperatingLeaseLiability · fonte · unid. moeda</t>
        </is>
      </c>
      <c r="B45" t="n">
        <v>26</v>
      </c>
      <c r="C45" t="inlineStr">
        <is>
          <t>Other current liabilities (non-debt)</t>
        </is>
      </c>
      <c r="D45" s="265" t="n">
        <v>842692</v>
      </c>
      <c r="E45" s="265" t="n">
        <v>841152</v>
      </c>
      <c r="F45" s="265" t="n">
        <v>863020</v>
      </c>
      <c r="G45" s="265" t="n">
        <v>908033</v>
      </c>
      <c r="I45" s="265" t="n">
        <v>986073</v>
      </c>
      <c r="J45" s="265" t="n">
        <v>993875</v>
      </c>
      <c r="K45" s="265" t="n">
        <v>985632</v>
      </c>
      <c r="L45" s="265" t="n">
        <v>1021454</v>
      </c>
      <c r="N45" s="265" t="n">
        <v>1016808</v>
      </c>
      <c r="O45" s="265" t="n">
        <v>1013813</v>
      </c>
      <c r="P45" s="265" t="n">
        <v>981616</v>
      </c>
      <c r="Q45" s="265" t="n">
        <v>989823</v>
      </c>
      <c r="S45" s="265" t="n">
        <v>951648</v>
      </c>
      <c r="T45" s="265" t="n">
        <v>1142317</v>
      </c>
      <c r="U45" s="265" t="n">
        <v>1136671</v>
      </c>
      <c r="V45" s="265" t="n">
        <v>965742</v>
      </c>
      <c r="X45" s="265" t="n">
        <v>937369</v>
      </c>
      <c r="Y45" s="265" t="n">
        <v>918887</v>
      </c>
      <c r="Z45" s="265" t="n">
        <v>886135</v>
      </c>
      <c r="AA45" s="265" t="n">
        <v>861021</v>
      </c>
      <c r="AC45" s="265" t="n">
        <v>881566</v>
      </c>
      <c r="AD45" s="265" t="n">
        <v>832586</v>
      </c>
    </row>
    <row r="46">
      <c r="A46" t="inlineStr">
        <is>
          <t>AccountsPayableAndAccruedLiabilitiesCurrentAndNoncurrent · fonte · unid. moeda</t>
        </is>
      </c>
      <c r="B46" t="n">
        <v>26</v>
      </c>
      <c r="C46" t="inlineStr">
        <is>
          <t>Other current liabilities (non-debt)</t>
        </is>
      </c>
      <c r="D46" s="265" t="n">
        <v>838930</v>
      </c>
      <c r="E46" s="265" t="n">
        <v>1205182</v>
      </c>
      <c r="F46" s="265" t="n">
        <v>871661</v>
      </c>
      <c r="G46" s="265" t="n">
        <v>937169</v>
      </c>
      <c r="I46" s="265" t="n">
        <v>1053128</v>
      </c>
      <c r="J46" s="265" t="n">
        <v>991620</v>
      </c>
      <c r="K46" s="265" t="n">
        <v>1141905</v>
      </c>
      <c r="L46" s="265" t="n">
        <v>1158071</v>
      </c>
      <c r="N46" s="265" t="n">
        <v>1575938</v>
      </c>
      <c r="O46" s="265" t="n">
        <v>1377838</v>
      </c>
      <c r="P46" s="265" t="n">
        <v>1588748</v>
      </c>
      <c r="Q46" s="265" t="n">
        <v>2277258</v>
      </c>
      <c r="S46" s="265" t="n">
        <v>2023359</v>
      </c>
      <c r="T46" s="265" t="n">
        <v>2012969</v>
      </c>
      <c r="U46" s="265" t="n">
        <v>2202689</v>
      </c>
      <c r="V46" s="265" t="n">
        <v>2792314</v>
      </c>
      <c r="X46" s="265" t="n">
        <v>2472395</v>
      </c>
      <c r="Y46" s="265" t="n">
        <v>2497969</v>
      </c>
      <c r="Z46" s="265" t="n">
        <v>2918023</v>
      </c>
      <c r="AA46" s="265" t="n">
        <v>2885817</v>
      </c>
      <c r="AC46" s="265" t="n">
        <v>3107508</v>
      </c>
      <c r="AD46" s="265" t="n">
        <v>3103164</v>
      </c>
    </row>
    <row r="47">
      <c r="A47" t="inlineStr">
        <is>
          <t>OtherLiabilities · fonte · unid. moeda</t>
        </is>
      </c>
      <c r="B47" t="n">
        <v>26</v>
      </c>
      <c r="C47" t="inlineStr">
        <is>
          <t>Other current liabilities (non-debt)</t>
        </is>
      </c>
      <c r="D47" s="265" t="n">
        <v>0</v>
      </c>
      <c r="E47" s="265" t="n">
        <v>0</v>
      </c>
      <c r="F47" s="265" t="n">
        <v>0</v>
      </c>
      <c r="G47" s="265" t="n">
        <v>0</v>
      </c>
      <c r="I47" s="265" t="n">
        <v>0</v>
      </c>
      <c r="J47" s="265" t="n">
        <v>0</v>
      </c>
      <c r="K47" s="265" t="n">
        <v>0</v>
      </c>
      <c r="L47" s="265" t="n">
        <v>0</v>
      </c>
      <c r="N47" s="265" t="n">
        <v>0</v>
      </c>
      <c r="O47" s="265" t="n">
        <v>2092837</v>
      </c>
      <c r="P47" s="265" t="n">
        <v>2188224</v>
      </c>
      <c r="Q47" s="265" t="n">
        <v>2393410</v>
      </c>
      <c r="S47" s="265" t="n">
        <v>2135478</v>
      </c>
      <c r="T47" s="265" t="n">
        <v>2364099</v>
      </c>
      <c r="U47" s="265" t="n">
        <v>2620530</v>
      </c>
      <c r="V47" s="265" t="n">
        <v>2808148</v>
      </c>
      <c r="X47" s="265" t="n">
        <v>3361900</v>
      </c>
      <c r="Y47" s="265" t="n">
        <v>2802514</v>
      </c>
      <c r="Z47" s="265" t="n">
        <v>3000083</v>
      </c>
      <c r="AA47" s="265" t="n">
        <v>3224432</v>
      </c>
      <c r="AC47" s="265" t="n">
        <v>3244627</v>
      </c>
      <c r="AD47" s="265" t="n">
        <v>3484356</v>
      </c>
    </row>
    <row r="48">
      <c r="A48" t="inlineStr">
        <is>
          <t>RedeemableNoncontrollingInterestEquityCarryingAmount · fonte · unid. moeda</t>
        </is>
      </c>
      <c r="B48" t="n">
        <v>35</v>
      </c>
      <c r="C48" t="inlineStr">
        <is>
          <t>Minority interest</t>
        </is>
      </c>
      <c r="D48" s="265" t="n">
        <v>65546</v>
      </c>
      <c r="E48" s="265" t="n">
        <v>65568</v>
      </c>
      <c r="F48" s="265" t="n">
        <v>66824</v>
      </c>
      <c r="G48" s="265" t="n">
        <v>68028</v>
      </c>
      <c r="I48" s="265" t="n">
        <v>41430</v>
      </c>
      <c r="J48" s="265" t="n">
        <v>1275491</v>
      </c>
      <c r="K48" s="265" t="n">
        <v>1344188</v>
      </c>
      <c r="L48" s="265" t="n">
        <v>1715006</v>
      </c>
      <c r="N48" s="265" t="n">
        <v>1644697</v>
      </c>
      <c r="O48" s="265" t="n">
        <v>1626349</v>
      </c>
      <c r="P48" s="265" t="n">
        <v>1349060</v>
      </c>
      <c r="Q48" s="265" t="n">
        <v>1179073</v>
      </c>
      <c r="S48" s="265" t="n">
        <v>935005</v>
      </c>
      <c r="T48" s="265" t="n">
        <v>888868</v>
      </c>
      <c r="U48" s="265" t="n">
        <v>892846</v>
      </c>
      <c r="V48" s="265" t="n">
        <v>801399</v>
      </c>
      <c r="X48" s="265" t="n">
        <v>1382374</v>
      </c>
      <c r="Y48" s="265" t="n">
        <v>1487129</v>
      </c>
      <c r="Z48" s="265" t="n">
        <v>1476212</v>
      </c>
      <c r="AA48" s="265" t="n">
        <v>1380503</v>
      </c>
      <c r="AC48" s="265" t="n">
        <v>1400419</v>
      </c>
      <c r="AD48" s="265" t="n">
        <v>1371083</v>
      </c>
    </row>
    <row r="49">
      <c r="A49" t="inlineStr">
        <is>
          <t>AdditionalPaidInCapitalCommonStock · fonte · unid. moeda</t>
        </is>
      </c>
      <c r="B49" t="n">
        <v>37</v>
      </c>
      <c r="C49" t="inlineStr">
        <is>
          <t>Common Stock and APIC</t>
        </is>
      </c>
      <c r="D49" s="265" t="n">
        <v>6446829</v>
      </c>
      <c r="E49" s="265" t="n">
        <v>6282600</v>
      </c>
      <c r="F49" s="265" t="n">
        <v>6037628</v>
      </c>
      <c r="G49" s="265" t="n">
        <v>5794727</v>
      </c>
      <c r="I49" s="265" t="n">
        <v>5879796</v>
      </c>
      <c r="J49" s="265" t="n">
        <v>5870285</v>
      </c>
      <c r="K49" s="265" t="n">
        <v>5791006</v>
      </c>
      <c r="L49" s="265" t="n">
        <v>5935273</v>
      </c>
      <c r="N49" s="265" t="n">
        <v>5957054</v>
      </c>
      <c r="O49" s="265" t="n">
        <v>6076367</v>
      </c>
      <c r="P49" s="265" t="n">
        <v>6057065</v>
      </c>
      <c r="Q49" s="265" t="n">
        <v>6175190</v>
      </c>
      <c r="S49" s="265" t="n">
        <v>6190142</v>
      </c>
      <c r="T49" s="265" t="n">
        <v>6260619</v>
      </c>
      <c r="U49" s="265" t="n">
        <v>6257788</v>
      </c>
      <c r="V49" s="265" t="n">
        <v>7444561</v>
      </c>
      <c r="X49" s="265" t="n">
        <v>7686980</v>
      </c>
      <c r="Y49" s="265" t="n">
        <v>7988663</v>
      </c>
      <c r="Z49" s="265" t="n">
        <v>8214078</v>
      </c>
      <c r="AA49" s="265" t="n">
        <v>8479886</v>
      </c>
      <c r="AC49" s="265" t="n">
        <v>8710266</v>
      </c>
      <c r="AD49" s="265" t="n">
        <v>9051771</v>
      </c>
    </row>
    <row r="50">
      <c r="A50" t="inlineStr">
        <is>
          <t>CommonStockValue · fonte · unid. moeda</t>
        </is>
      </c>
      <c r="B50" t="n">
        <v>37</v>
      </c>
      <c r="C50" t="inlineStr">
        <is>
          <t>Common Stock and APIC</t>
        </is>
      </c>
      <c r="D50" s="265" t="n">
        <v>7</v>
      </c>
      <c r="E50" s="265" t="n">
        <v>7</v>
      </c>
      <c r="F50" s="265" t="n">
        <v>7</v>
      </c>
      <c r="G50" s="265" t="n">
        <v>7</v>
      </c>
      <c r="I50" s="265" t="n">
        <v>7</v>
      </c>
      <c r="J50" s="265" t="n">
        <v>7</v>
      </c>
      <c r="K50" s="265" t="n">
        <v>7</v>
      </c>
      <c r="L50" s="265" t="n">
        <v>7</v>
      </c>
      <c r="N50" s="265" t="n">
        <v>7</v>
      </c>
      <c r="O50" s="265" t="n">
        <v>7</v>
      </c>
      <c r="P50" s="265" t="n">
        <v>7</v>
      </c>
      <c r="Q50" s="265" t="n">
        <v>7</v>
      </c>
      <c r="S50" s="265" t="n">
        <v>7</v>
      </c>
      <c r="T50" s="265" t="n">
        <v>7</v>
      </c>
      <c r="U50" s="265" t="n">
        <v>7</v>
      </c>
      <c r="V50" s="265" t="n">
        <v>7</v>
      </c>
      <c r="X50" s="265" t="n">
        <v>7</v>
      </c>
      <c r="Y50" s="265" t="n">
        <v>7</v>
      </c>
      <c r="Z50" s="265" t="n">
        <v>7</v>
      </c>
      <c r="AA50" s="265" t="n">
        <v>7</v>
      </c>
      <c r="AC50" s="265" t="n">
        <v>7</v>
      </c>
      <c r="AD50" s="265" t="n">
        <v>7</v>
      </c>
    </row>
    <row r="51">
      <c r="A51" t="inlineStr">
        <is>
          <t>AccumulatedOtherComprehensiveIncomeLossNetOfTax · fonte · unid. moeda</t>
        </is>
      </c>
      <c r="B51" t="n">
        <v>39</v>
      </c>
      <c r="C51" t="inlineStr">
        <is>
          <t>Comprehensive (accumulated) loss</t>
        </is>
      </c>
      <c r="D51" s="265" t="n">
        <v>-11454</v>
      </c>
      <c r="E51" s="265" t="n">
        <v>-10245</v>
      </c>
      <c r="F51" s="265" t="n">
        <v>-15357</v>
      </c>
      <c r="G51" s="265" t="n">
        <v>-19626</v>
      </c>
      <c r="I51" s="265" t="n">
        <v>-25754</v>
      </c>
      <c r="J51" s="265" t="n">
        <v>-42225</v>
      </c>
      <c r="K51" s="265" t="n">
        <v>-74800</v>
      </c>
      <c r="L51" s="265" t="n">
        <v>-27475</v>
      </c>
      <c r="N51" s="265" t="n">
        <v>-22333</v>
      </c>
      <c r="O51" s="265" t="n">
        <v>-17205</v>
      </c>
      <c r="P51" s="265" t="n">
        <v>-38258</v>
      </c>
      <c r="Q51" s="265" t="n">
        <v>-19133</v>
      </c>
      <c r="S51" s="265" t="n">
        <v>-31282</v>
      </c>
      <c r="T51" s="265" t="n">
        <v>-34617</v>
      </c>
      <c r="U51" s="265" t="n">
        <v>-10609</v>
      </c>
      <c r="V51" s="265" t="n">
        <v>-40326</v>
      </c>
      <c r="X51" s="265" t="n">
        <v>-29027</v>
      </c>
      <c r="Y51" s="265" t="n">
        <v>1055</v>
      </c>
      <c r="Z51" s="265" t="n">
        <v>-5602</v>
      </c>
      <c r="AA51" s="265" t="n">
        <v>-6008</v>
      </c>
      <c r="AC51" s="265" t="n">
        <v>-15770</v>
      </c>
      <c r="AD51" s="265" t="n">
        <v>-18589</v>
      </c>
    </row>
    <row r="52">
      <c r="A52" t="inlineStr">
        <is>
          <t>NonredeemableNoncontrollingInterest · fonte · unid. moeda</t>
        </is>
      </c>
      <c r="B52" t="n">
        <v>40</v>
      </c>
      <c r="C52" t="inlineStr">
        <is>
          <t>Other equity account</t>
        </is>
      </c>
      <c r="D52" s="265" t="n">
        <v>4390594</v>
      </c>
      <c r="E52" s="265" t="n">
        <v>4860442</v>
      </c>
      <c r="F52" s="265" t="n">
        <v>5638612</v>
      </c>
      <c r="G52" s="265" t="n">
        <v>5600653</v>
      </c>
      <c r="I52" s="265" t="n">
        <v>5747698</v>
      </c>
      <c r="J52" s="265" t="n">
        <v>5281244</v>
      </c>
      <c r="K52" s="265" t="n">
        <v>5357148</v>
      </c>
      <c r="L52" s="265" t="n">
        <v>5056480</v>
      </c>
      <c r="N52" s="265" t="n">
        <v>5058090</v>
      </c>
      <c r="O52" s="265" t="n">
        <v>5174961</v>
      </c>
      <c r="P52" s="265" t="n">
        <v>5174473</v>
      </c>
      <c r="Q52" s="265" t="n">
        <v>5177255</v>
      </c>
      <c r="S52" s="265" t="n">
        <v>5381678</v>
      </c>
      <c r="T52" s="265" t="n">
        <v>5682606</v>
      </c>
      <c r="U52" s="265" t="n">
        <v>6015967</v>
      </c>
      <c r="V52" s="265" t="n">
        <v>6154943</v>
      </c>
      <c r="X52" s="265" t="n">
        <v>6400585</v>
      </c>
      <c r="Y52" s="265" t="n">
        <v>6847785</v>
      </c>
      <c r="Z52" s="265" t="n">
        <v>7162957</v>
      </c>
      <c r="AA52" s="265" t="n">
        <v>7224211</v>
      </c>
      <c r="AC52" s="265" t="n">
        <v>7226994</v>
      </c>
      <c r="AD52" s="265" t="n">
        <v>7104291</v>
      </c>
    </row>
    <row r="53">
      <c r="A53" t="inlineStr">
        <is>
          <t>MinorityInterestInOperatingPartnerships · fonte · unid. moeda</t>
        </is>
      </c>
      <c r="B53" t="n">
        <v>40</v>
      </c>
      <c r="C53" t="inlineStr">
        <is>
          <t>Other equity account</t>
        </is>
      </c>
      <c r="D53" s="265" t="n">
        <v>4524898</v>
      </c>
      <c r="E53" s="265" t="n">
        <v>5214848</v>
      </c>
      <c r="F53" s="265" t="n">
        <v>6118386</v>
      </c>
      <c r="G53" s="265" t="n">
        <v>6614472</v>
      </c>
      <c r="I53" s="265" t="n">
        <v>6791932</v>
      </c>
      <c r="J53" s="265" t="n">
        <v>6146196</v>
      </c>
      <c r="K53" s="265" t="n">
        <v>5448373</v>
      </c>
      <c r="L53" s="265" t="n">
        <v>5253670</v>
      </c>
      <c r="N53" s="265" t="n">
        <v>4920201</v>
      </c>
      <c r="O53" s="265" t="n">
        <v>5069722</v>
      </c>
      <c r="P53" s="265" t="n">
        <v>5154365</v>
      </c>
      <c r="Q53" s="265" t="n">
        <v>4902088</v>
      </c>
      <c r="S53" s="265" t="n">
        <v>5205683</v>
      </c>
      <c r="T53" s="265" t="n">
        <v>5269248</v>
      </c>
      <c r="U53" s="265" t="n">
        <v>5548471</v>
      </c>
      <c r="V53" s="265" t="n">
        <v>4326352</v>
      </c>
      <c r="X53" s="265" t="n">
        <v>4103824</v>
      </c>
      <c r="Y53" s="265" t="n">
        <v>4391627</v>
      </c>
      <c r="Z53" s="265" t="n">
        <v>4329749</v>
      </c>
      <c r="AA53" s="265" t="n">
        <v>4610932</v>
      </c>
      <c r="AC53" s="265" t="n">
        <v>4418528</v>
      </c>
      <c r="AD53" s="265" t="n">
        <v>4943311</v>
      </c>
    </row>
    <row r="54">
      <c r="A54" t="inlineStr">
        <is>
          <t>RetainedEarningsAccumulatedDeficit · fonte · unid. moeda</t>
        </is>
      </c>
      <c r="B54" t="n">
        <v>41</v>
      </c>
      <c r="C54" t="inlineStr">
        <is>
          <t>Retained earnings</t>
        </is>
      </c>
      <c r="D54" s="265" t="n">
        <v>1408768</v>
      </c>
      <c r="E54" s="265" t="n">
        <v>2133794</v>
      </c>
      <c r="F54" s="265" t="n">
        <v>3031765</v>
      </c>
      <c r="G54" s="265" t="n">
        <v>3647785</v>
      </c>
      <c r="I54" s="265" t="n">
        <v>3805918</v>
      </c>
      <c r="J54" s="265" t="n">
        <v>2803100</v>
      </c>
      <c r="K54" s="265" t="n">
        <v>1869463</v>
      </c>
      <c r="L54" s="265" t="n">
        <v>1748106</v>
      </c>
      <c r="N54" s="265" t="n">
        <v>1156109</v>
      </c>
      <c r="O54" s="265" t="n">
        <v>1160278</v>
      </c>
      <c r="P54" s="265" t="n">
        <v>1114009</v>
      </c>
      <c r="Q54" s="265" t="n">
        <v>660734</v>
      </c>
      <c r="S54" s="265" t="n">
        <v>796201</v>
      </c>
      <c r="T54" s="265" t="n">
        <v>607564</v>
      </c>
      <c r="U54" s="265" t="n">
        <v>760471</v>
      </c>
      <c r="V54" s="265" t="n">
        <v>808079</v>
      </c>
      <c r="X54" s="265" t="n">
        <v>320160</v>
      </c>
      <c r="Y54" s="265" t="n">
        <v>362614</v>
      </c>
      <c r="Z54" s="265" t="n">
        <v>184040</v>
      </c>
      <c r="AA54" s="265" t="n">
        <v>191641</v>
      </c>
      <c r="AC54" s="265" t="n">
        <v>-323733</v>
      </c>
      <c r="AD54" s="265" t="n">
        <v>-18646</v>
      </c>
    </row>
    <row r="55">
      <c r="A55" t="inlineStr">
        <is>
          <t>[vazio] Minoritários (DRE): não aparece como linha própria nas demonstrações (zero) · derivada · unid. moeda</t>
        </is>
      </c>
      <c r="B55" t="n">
        <v>9</v>
      </c>
      <c r="C55" t="inlineStr">
        <is>
          <t>Minority Interest Expense, after tax (enter as - )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0</v>
      </c>
      <c r="U55" s="265" t="n">
        <v>0</v>
      </c>
      <c r="V55" s="265" t="n">
        <v>0</v>
      </c>
      <c r="X55" s="265" t="n">
        <v>0</v>
      </c>
      <c r="Y55" s="265" t="n">
        <v>0</v>
      </c>
      <c r="Z55" s="265" t="n">
        <v>0</v>
      </c>
      <c r="AA55" s="265" t="n">
        <v>0</v>
      </c>
      <c r="AC55" s="265" t="n">
        <v>0</v>
      </c>
      <c r="AD55" s="265" t="n">
        <v>0</v>
      </c>
    </row>
    <row r="56">
      <c r="A56" t="inlineStr">
        <is>
          <t>[vazio] Contas a receber: não aparece como linha própria nas demonstrações (zero) · derivada · unid. moeda</t>
        </is>
      </c>
      <c r="B56" t="n">
        <v>12</v>
      </c>
      <c r="C56" t="inlineStr">
        <is>
          <t>Accounts receivable</t>
        </is>
      </c>
      <c r="D56" s="265" t="n">
        <v>0</v>
      </c>
      <c r="E56" s="265" t="n">
        <v>0</v>
      </c>
      <c r="F56" s="265" t="n">
        <v>0</v>
      </c>
      <c r="G56" s="265" t="n">
        <v>0</v>
      </c>
      <c r="I56" s="265" t="n">
        <v>0</v>
      </c>
      <c r="J56" s="265" t="n">
        <v>0</v>
      </c>
      <c r="K56" s="265" t="n">
        <v>0</v>
      </c>
      <c r="L56" s="265" t="n">
        <v>0</v>
      </c>
      <c r="N56" s="265" t="n">
        <v>0</v>
      </c>
      <c r="O56" s="265" t="n">
        <v>0</v>
      </c>
      <c r="P56" s="265" t="n">
        <v>0</v>
      </c>
      <c r="Q56" s="265" t="n">
        <v>0</v>
      </c>
      <c r="S56" s="265" t="n">
        <v>0</v>
      </c>
      <c r="T56" s="265" t="n">
        <v>0</v>
      </c>
      <c r="U56" s="265" t="n">
        <v>0</v>
      </c>
      <c r="V56" s="265" t="n">
        <v>0</v>
      </c>
      <c r="X56" s="265" t="n">
        <v>0</v>
      </c>
      <c r="Y56" s="265" t="n">
        <v>0</v>
      </c>
      <c r="Z56" s="265" t="n">
        <v>0</v>
      </c>
      <c r="AA56" s="265" t="n">
        <v>0</v>
      </c>
      <c r="AC56" s="265" t="n">
        <v>0</v>
      </c>
      <c r="AD56" s="265" t="n">
        <v>0</v>
      </c>
    </row>
    <row r="57">
      <c r="A57" t="inlineStr">
        <is>
          <t>[vazio] Estoques: não aparece como linha própria nas demonstrações (zero) · derivada · unid. moeda</t>
        </is>
      </c>
      <c r="B57" t="n">
        <v>13</v>
      </c>
      <c r="C57" t="inlineStr">
        <is>
          <t>Inventories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[vazio] Despesas antecipadas: não aparece como linha própria nas demonstrações (zero) · derivada · unid. moeda</t>
        </is>
      </c>
      <c r="B58" t="n">
        <v>15</v>
      </c>
      <c r="C58" t="inlineStr">
        <is>
          <t>Prepaid expenses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[vazio] Investimentos em coligadas: não aparece como linha própria nas demonstrações (zero) · derivada · unid. moeda</t>
        </is>
      </c>
      <c r="B59" t="n">
        <v>17</v>
      </c>
      <c r="C59" t="inlineStr">
        <is>
          <t>Equity in affiliates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[vazio] Imobilizado: não aparece como linha própria nas demonstrações (zero) · derivada · unid. moeda</t>
        </is>
      </c>
      <c r="B60" t="n">
        <v>18</v>
      </c>
      <c r="C60" t="inlineStr">
        <is>
          <t>PP&amp;E</t>
        </is>
      </c>
      <c r="D60" s="265" t="n">
        <v>0</v>
      </c>
      <c r="E60" s="265" t="n">
        <v>0</v>
      </c>
      <c r="F60" s="265" t="n">
        <v>0</v>
      </c>
      <c r="G60" s="265" t="n">
        <v>0</v>
      </c>
      <c r="I60" s="265" t="n">
        <v>0</v>
      </c>
      <c r="J60" s="265" t="n">
        <v>0</v>
      </c>
      <c r="K60" s="265" t="n">
        <v>0</v>
      </c>
      <c r="L60" s="265" t="n">
        <v>0</v>
      </c>
      <c r="N60" s="265" t="n">
        <v>0</v>
      </c>
      <c r="O60" s="265" t="n">
        <v>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[vazio] Outros ativos não circulantes: não aparece como linha própria nas demonstrações (zero) · derivada · unid. moeda</t>
        </is>
      </c>
      <c r="B61" t="n">
        <v>22</v>
      </c>
      <c r="C61" t="inlineStr">
        <is>
          <t>Other non-current assets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[vazio] Fornecedores: não aparece como linha própria nas demonstrações (zero) · derivada · unid. moeda</t>
        </is>
      </c>
      <c r="B62" t="n">
        <v>23</v>
      </c>
      <c r="C62" t="inlineStr">
        <is>
          <t>Accounts payable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[vazio] Despesas provisionadas: não aparece como linha própria nas demonstrações (zero) · derivada · unid. moeda</t>
        </is>
      </c>
      <c r="B63" t="n">
        <v>24</v>
      </c>
      <c r="C63" t="inlineStr">
        <is>
          <t>Accrued expenses</t>
        </is>
      </c>
      <c r="D63" s="265" t="n">
        <v>0</v>
      </c>
      <c r="E63" s="265" t="n">
        <v>0</v>
      </c>
      <c r="F63" s="265" t="n">
        <v>0</v>
      </c>
      <c r="G63" s="265" t="n">
        <v>0</v>
      </c>
      <c r="I63" s="265" t="n">
        <v>0</v>
      </c>
      <c r="J63" s="265" t="n">
        <v>0</v>
      </c>
      <c r="K63" s="265" t="n">
        <v>0</v>
      </c>
      <c r="L63" s="265" t="n">
        <v>0</v>
      </c>
      <c r="N63" s="265" t="n">
        <v>0</v>
      </c>
      <c r="O63" s="265" t="n">
        <v>0</v>
      </c>
      <c r="P63" s="265" t="n">
        <v>0</v>
      </c>
      <c r="Q63" s="265" t="n">
        <v>0</v>
      </c>
      <c r="S63" s="265" t="n">
        <v>0</v>
      </c>
      <c r="T63" s="265" t="n">
        <v>0</v>
      </c>
      <c r="U63" s="265" t="n">
        <v>0</v>
      </c>
      <c r="V63" s="265" t="n">
        <v>0</v>
      </c>
      <c r="X63" s="265" t="n">
        <v>0</v>
      </c>
      <c r="Y63" s="265" t="n">
        <v>0</v>
      </c>
      <c r="Z63" s="265" t="n">
        <v>0</v>
      </c>
      <c r="AA63" s="265" t="n">
        <v>0</v>
      </c>
      <c r="AC63" s="265" t="n">
        <v>0</v>
      </c>
      <c r="AD63" s="265" t="n">
        <v>0</v>
      </c>
    </row>
    <row r="64">
      <c r="A64" t="inlineStr">
        <is>
          <t>[vazio] Impostos a pagar: não aparece como linha própria nas demonstrações (zero) · derivada · unid. moeda</t>
        </is>
      </c>
      <c r="B64" t="n">
        <v>25</v>
      </c>
      <c r="C64" t="inlineStr">
        <is>
          <t>Taxes payable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0</v>
      </c>
      <c r="J64" s="265" t="n">
        <v>0</v>
      </c>
      <c r="K64" s="265" t="n">
        <v>0</v>
      </c>
      <c r="L64" s="265" t="n">
        <v>0</v>
      </c>
      <c r="N64" s="265" t="n">
        <v>0</v>
      </c>
      <c r="O64" s="265" t="n">
        <v>0</v>
      </c>
      <c r="P64" s="265" t="n">
        <v>0</v>
      </c>
      <c r="Q64" s="265" t="n">
        <v>0</v>
      </c>
      <c r="S64" s="265" t="n">
        <v>0</v>
      </c>
      <c r="T64" s="265" t="n">
        <v>0</v>
      </c>
      <c r="U64" s="265" t="n">
        <v>0</v>
      </c>
      <c r="V64" s="265" t="n">
        <v>0</v>
      </c>
      <c r="X64" s="265" t="n">
        <v>0</v>
      </c>
      <c r="Y64" s="265" t="n">
        <v>0</v>
      </c>
      <c r="Z64" s="265" t="n">
        <v>0</v>
      </c>
      <c r="AA64" s="265" t="n">
        <v>0</v>
      </c>
      <c r="AC64" s="265" t="n">
        <v>0</v>
      </c>
      <c r="AD64" s="265" t="n">
        <v>0</v>
      </c>
    </row>
    <row r="65">
      <c r="A65" t="inlineStr">
        <is>
          <t>[vazio] Dívida CP: não aparece como linha própria nas demonstrações (zero) · derivada · unid. moeda</t>
        </is>
      </c>
      <c r="B65" t="n">
        <v>27</v>
      </c>
      <c r="C65" t="inlineStr">
        <is>
          <t>Current portion of long-term debt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[vazio] Revolving: não aparece como linha própria nas demonstrações (zero) · derivada · unid. moeda</t>
        </is>
      </c>
      <c r="B66" t="n">
        <v>28</v>
      </c>
      <c r="C66" t="inlineStr">
        <is>
          <t>Short term debt (Revolving credit facility)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Arrendamento CP: não aparece como linha própria nas demonstrações (zero) · derivada · unid. moeda</t>
        </is>
      </c>
      <c r="B67" t="n">
        <v>29</v>
      </c>
      <c r="C67" t="inlineStr">
        <is>
          <t>Short term operating leases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Dívida LP: não aparece como linha própria nas demonstrações (zero) · derivada · unid. moeda</t>
        </is>
      </c>
      <c r="B68" t="n">
        <v>30</v>
      </c>
      <c r="C68" t="inlineStr">
        <is>
          <t>Long term debt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Arrendamento LP: não aparece como linha própria nas demonstrações (zero) · derivada · unid. moeda</t>
        </is>
      </c>
      <c r="B69" t="n">
        <v>31</v>
      </c>
      <c r="C69" t="inlineStr">
        <is>
          <t>Long term operating leases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[vazio] Dívida conversível: não aparece como linha própria nas demonstrações (zero) · derivada · unid. moeda</t>
        </is>
      </c>
      <c r="B70" t="n">
        <v>32</v>
      </c>
      <c r="C70" t="inlineStr">
        <is>
          <t>Convertible debt</t>
        </is>
      </c>
      <c r="D70" s="265" t="n">
        <v>0</v>
      </c>
      <c r="E70" s="265" t="n">
        <v>0</v>
      </c>
      <c r="F70" s="265" t="n">
        <v>0</v>
      </c>
      <c r="G70" s="265" t="n">
        <v>0</v>
      </c>
      <c r="I70" s="265" t="n">
        <v>0</v>
      </c>
      <c r="J70" s="265" t="n">
        <v>0</v>
      </c>
      <c r="K70" s="265" t="n">
        <v>0</v>
      </c>
      <c r="L70" s="265" t="n">
        <v>0</v>
      </c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[vazio] IR diferido passivo: não aparece como linha própria nas demonstrações (zero) · derivada · unid. moeda</t>
        </is>
      </c>
      <c r="B71" t="n">
        <v>33</v>
      </c>
      <c r="C71" t="inlineStr">
        <is>
          <t>Deferred income taxes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0</v>
      </c>
      <c r="S71" s="265" t="n">
        <v>0</v>
      </c>
      <c r="T71" s="265" t="n">
        <v>0</v>
      </c>
      <c r="U71" s="265" t="n">
        <v>0</v>
      </c>
      <c r="V71" s="265" t="n">
        <v>0</v>
      </c>
      <c r="X71" s="265" t="n">
        <v>0</v>
      </c>
      <c r="Y71" s="265" t="n">
        <v>0</v>
      </c>
      <c r="Z71" s="265" t="n">
        <v>0</v>
      </c>
      <c r="AA71" s="265" t="n">
        <v>0</v>
      </c>
      <c r="AC71" s="265" t="n">
        <v>0</v>
      </c>
      <c r="AD71" s="265" t="n">
        <v>0</v>
      </c>
    </row>
    <row r="72">
      <c r="A72" t="inlineStr">
        <is>
          <t>[vazio] Outros passivos não circulantes: não aparece como linha própria nas demonstrações (zero) · derivada · unid. moeda</t>
        </is>
      </c>
      <c r="B72" t="n">
        <v>34</v>
      </c>
      <c r="C72" t="inlineStr">
        <is>
          <t>Other non-current liabilities</t>
        </is>
      </c>
      <c r="D72" s="265" t="n">
        <v>0</v>
      </c>
      <c r="E72" s="265" t="n">
        <v>0</v>
      </c>
      <c r="F72" s="265" t="n">
        <v>0</v>
      </c>
      <c r="G72" s="265" t="n">
        <v>0</v>
      </c>
      <c r="I72" s="265" t="n">
        <v>0</v>
      </c>
      <c r="J72" s="265" t="n">
        <v>0</v>
      </c>
      <c r="K72" s="265" t="n">
        <v>0</v>
      </c>
      <c r="L72" s="265" t="n">
        <v>0</v>
      </c>
      <c r="N72" s="265" t="n">
        <v>0</v>
      </c>
      <c r="O72" s="265" t="n">
        <v>0</v>
      </c>
      <c r="P72" s="265" t="n">
        <v>0</v>
      </c>
      <c r="Q72" s="265" t="n">
        <v>0</v>
      </c>
      <c r="S72" s="265" t="n">
        <v>0</v>
      </c>
      <c r="T72" s="265" t="n">
        <v>0</v>
      </c>
      <c r="U72" s="265" t="n">
        <v>0</v>
      </c>
      <c r="V72" s="265" t="n">
        <v>0</v>
      </c>
      <c r="X72" s="265" t="n">
        <v>0</v>
      </c>
      <c r="Y72" s="265" t="n">
        <v>0</v>
      </c>
      <c r="Z72" s="265" t="n">
        <v>0</v>
      </c>
      <c r="AA72" s="265" t="n">
        <v>0</v>
      </c>
      <c r="AC72" s="265" t="n">
        <v>0</v>
      </c>
      <c r="AD72" s="265" t="n">
        <v>0</v>
      </c>
    </row>
    <row r="73">
      <c r="A73" t="inlineStr">
        <is>
          <t>[vazio] Tesouraria: não aparece como linha própria nas demonstrações (zero) · derivada · unid. moeda</t>
        </is>
      </c>
      <c r="B73" t="n">
        <v>38</v>
      </c>
      <c r="C73" t="inlineStr">
        <is>
          <t>Treasury stock (contra account)</t>
        </is>
      </c>
      <c r="D73" s="265" t="n">
        <v>0</v>
      </c>
      <c r="E73" s="265" t="n">
        <v>0</v>
      </c>
      <c r="F73" s="265" t="n">
        <v>0</v>
      </c>
      <c r="G73" s="265" t="n">
        <v>0</v>
      </c>
      <c r="I73" s="265" t="n">
        <v>0</v>
      </c>
      <c r="J73" s="265" t="n">
        <v>0</v>
      </c>
      <c r="K73" s="265" t="n">
        <v>0</v>
      </c>
      <c r="L73" s="265" t="n">
        <v>0</v>
      </c>
      <c r="N73" s="265" t="n">
        <v>0</v>
      </c>
      <c r="O73" s="265" t="n">
        <v>0</v>
      </c>
      <c r="P73" s="265" t="n">
        <v>0</v>
      </c>
      <c r="Q73" s="265" t="n">
        <v>0</v>
      </c>
      <c r="S73" s="265" t="n">
        <v>0</v>
      </c>
      <c r="T73" s="265" t="n">
        <v>0</v>
      </c>
      <c r="U73" s="265" t="n">
        <v>0</v>
      </c>
      <c r="V73" s="265" t="n">
        <v>0</v>
      </c>
      <c r="X73" s="265" t="n">
        <v>0</v>
      </c>
      <c r="Y73" s="265" t="n">
        <v>0</v>
      </c>
      <c r="Z73" s="265" t="n">
        <v>0</v>
      </c>
      <c r="AA73" s="265" t="n">
        <v>0</v>
      </c>
      <c r="AC73" s="265" t="n">
        <v>0</v>
      </c>
      <c r="AD73" s="265" t="n">
        <v>0</v>
      </c>
    </row>
    <row r="74">
      <c r="A74" t="inlineStr">
        <is>
          <t>Linhas de face do patrimônio líquido sem tag própria (subtotal divulgado - soma das linhas) · derivada · unid. moeda</t>
        </is>
      </c>
      <c r="B74" t="n">
        <v>40</v>
      </c>
      <c r="C74" t="inlineStr">
        <is>
          <t>Other equity account</t>
        </is>
      </c>
      <c r="D74" s="265" t="n">
        <v>0</v>
      </c>
      <c r="E74" s="265" t="n">
        <v>0</v>
      </c>
      <c r="F74" s="265" t="n">
        <v>0</v>
      </c>
      <c r="G74" s="265" t="n">
        <v>0</v>
      </c>
      <c r="I74" s="265" t="n">
        <v>0</v>
      </c>
      <c r="J74" s="265" t="n">
        <v>0</v>
      </c>
      <c r="K74" s="265" t="n">
        <v>0</v>
      </c>
      <c r="L74" s="265" t="n">
        <v>0</v>
      </c>
      <c r="N74" s="265" t="n">
        <v>0</v>
      </c>
      <c r="O74" s="265" t="n">
        <v>0</v>
      </c>
      <c r="P74" s="265" t="n">
        <v>0</v>
      </c>
      <c r="Q74" s="265" t="n">
        <v>0</v>
      </c>
      <c r="S74" s="265" t="n">
        <v>0</v>
      </c>
      <c r="T74" s="265" t="n">
        <v>0</v>
      </c>
      <c r="U74" s="265" t="n">
        <v>0</v>
      </c>
      <c r="V74" s="265" t="n">
        <v>0</v>
      </c>
      <c r="X74" s="265" t="n">
        <v>0</v>
      </c>
      <c r="Y74" s="265" t="n">
        <v>0</v>
      </c>
      <c r="Z74" s="265" t="n">
        <v>0</v>
      </c>
      <c r="AA74" s="265" t="n">
        <v>0</v>
      </c>
      <c r="AC74" s="265" t="n">
        <v>0</v>
      </c>
      <c r="AD74" s="265" t="n">
        <v>0</v>
      </c>
    </row>
    <row r="75">
      <c r="A75" t="inlineStr">
        <is>
          <t>BALANÇO - totais divulgados (memória)</t>
        </is>
      </c>
      <c r="C75" t="inlineStr">
        <is>
          <t>[linha bruta, sem código; lançada nas linhas abaixo]</t>
        </is>
      </c>
      <c r="D75" s="265" t="n"/>
      <c r="E75" s="265" t="n"/>
      <c r="F75" s="265" t="n"/>
      <c r="G75" s="265" t="n"/>
      <c r="I75" s="265" t="n"/>
      <c r="J75" s="265" t="n"/>
      <c r="K75" s="265" t="n"/>
      <c r="L75" s="265" t="n"/>
      <c r="N75" s="265" t="n"/>
      <c r="O75" s="265" t="n"/>
      <c r="P75" s="265" t="n"/>
      <c r="Q75" s="265" t="n"/>
      <c r="S75" s="265" t="n"/>
      <c r="T75" s="265" t="n"/>
      <c r="U75" s="265" t="n"/>
      <c r="V75" s="265" t="n"/>
      <c r="X75" s="265" t="n"/>
      <c r="Y75" s="265" t="n"/>
      <c r="Z75" s="265" t="n"/>
      <c r="AA75" s="265" t="n"/>
      <c r="AC75" s="265" t="n"/>
      <c r="AD75" s="265" t="n"/>
    </row>
    <row r="76">
      <c r="A76" t="inlineStr">
        <is>
          <t>Total do ativo [us-gaap:Assets] · memoria · unid. moeda</t>
        </is>
      </c>
      <c r="C76" t="inlineStr">
        <is>
          <t>[linha bruta, sem código; lançada nas linhas abaixo]</t>
        </is>
      </c>
      <c r="D76" s="265" t="n">
        <v>29709986</v>
      </c>
      <c r="E76" s="265" t="n">
        <v>33297192</v>
      </c>
      <c r="F76" s="265" t="n">
        <v>39038092</v>
      </c>
      <c r="G76" s="265" t="n">
        <v>41196408</v>
      </c>
      <c r="I76" s="265" t="n">
        <v>43344078</v>
      </c>
      <c r="J76" s="265" t="n">
        <v>41631308</v>
      </c>
      <c r="K76" s="265" t="n">
        <v>40259321</v>
      </c>
      <c r="L76" s="265" t="n">
        <v>42524227</v>
      </c>
      <c r="N76" s="265" t="n">
        <v>41086439</v>
      </c>
      <c r="O76" s="265" t="n">
        <v>41582784</v>
      </c>
      <c r="P76" s="265" t="n">
        <v>41663823</v>
      </c>
      <c r="Q76" s="265" t="n">
        <v>40287530</v>
      </c>
      <c r="S76" s="265" t="n">
        <v>39706302</v>
      </c>
      <c r="T76" s="265" t="n">
        <v>40585029</v>
      </c>
      <c r="U76" s="265" t="n">
        <v>42575442</v>
      </c>
      <c r="V76" s="265" t="n">
        <v>43469875</v>
      </c>
      <c r="X76" s="265" t="n">
        <v>45255629</v>
      </c>
      <c r="Y76" s="265" t="n">
        <v>45373094</v>
      </c>
      <c r="Z76" s="265" t="n">
        <v>46554290</v>
      </c>
      <c r="AA76" s="265" t="n">
        <v>47708975</v>
      </c>
      <c r="AC76" s="265" t="n">
        <v>48326982</v>
      </c>
      <c r="AD76" s="265" t="n">
        <v>49892220</v>
      </c>
    </row>
    <row r="77">
      <c r="A77" t="inlineStr">
        <is>
          <t>Total do passivo + PL [us-gaap:LiabilitiesAndStockholdersEquity] · memoria · unid. moeda</t>
        </is>
      </c>
      <c r="C77" t="inlineStr">
        <is>
          <t>[linha bruta, sem código; lançada nas linhas abaixo]</t>
        </is>
      </c>
      <c r="D77" s="265" t="n">
        <v>29709986</v>
      </c>
      <c r="E77" s="265" t="n">
        <v>33297192</v>
      </c>
      <c r="F77" s="265" t="n">
        <v>39038092</v>
      </c>
      <c r="G77" s="265" t="n">
        <v>41196408</v>
      </c>
      <c r="I77" s="265" t="n">
        <v>43344078</v>
      </c>
      <c r="J77" s="265" t="n">
        <v>41631308</v>
      </c>
      <c r="K77" s="265" t="n">
        <v>40259321</v>
      </c>
      <c r="L77" s="265" t="n">
        <v>42524227</v>
      </c>
      <c r="N77" s="265" t="n">
        <v>41086439</v>
      </c>
      <c r="O77" s="265" t="n">
        <v>41582784</v>
      </c>
      <c r="P77" s="265" t="n">
        <v>41663823</v>
      </c>
      <c r="Q77" s="265" t="n">
        <v>40287530</v>
      </c>
      <c r="S77" s="265" t="n">
        <v>39706302</v>
      </c>
      <c r="T77" s="265" t="n">
        <v>40585029</v>
      </c>
      <c r="U77" s="265" t="n">
        <v>42575442</v>
      </c>
      <c r="V77" s="265" t="n">
        <v>43469875</v>
      </c>
      <c r="X77" s="265" t="n">
        <v>45255629</v>
      </c>
      <c r="Y77" s="265" t="n">
        <v>45373094</v>
      </c>
      <c r="Z77" s="265" t="n">
        <v>46554290</v>
      </c>
      <c r="AA77" s="265" t="n">
        <v>47708975</v>
      </c>
      <c r="AC77" s="265" t="n">
        <v>48326982</v>
      </c>
      <c r="AD77" s="265" t="n">
        <v>49892220</v>
      </c>
    </row>
    <row r="78">
      <c r="A78" t="inlineStr">
        <is>
          <t>CHECKS (devem ser 0)</t>
        </is>
      </c>
      <c r="C78" t="inlineStr">
        <is>
          <t>[linha bruta, sem código; lançada nas linhas abaixo]</t>
        </is>
      </c>
      <c r="D78" s="265" t="n"/>
      <c r="E78" s="265" t="n"/>
      <c r="F78" s="265" t="n"/>
      <c r="G78" s="265" t="n"/>
      <c r="I78" s="265" t="n"/>
      <c r="J78" s="265" t="n"/>
      <c r="K78" s="265" t="n"/>
      <c r="L78" s="265" t="n"/>
      <c r="N78" s="265" t="n"/>
      <c r="O78" s="265" t="n"/>
      <c r="P78" s="265" t="n"/>
      <c r="Q78" s="265" t="n"/>
      <c r="S78" s="265" t="n"/>
      <c r="T78" s="265" t="n"/>
      <c r="U78" s="265" t="n"/>
      <c r="V78" s="265" t="n"/>
      <c r="X78" s="265" t="n"/>
      <c r="Y78" s="265" t="n"/>
      <c r="Z78" s="265" t="n"/>
      <c r="AA78" s="265" t="n"/>
      <c r="AC78" s="265" t="n"/>
      <c r="AD78" s="265" t="n"/>
    </row>
    <row r="79">
      <c r="A79" t="inlineStr">
        <is>
          <t>CHECK: contas de ativo - ativo total (USD, arredondado a 100 mil) · derivada · unid. moeda</t>
        </is>
      </c>
      <c r="C79" t="inlineStr">
        <is>
          <t>[linha bruta, sem código; lançada nas linhas abaixo]</t>
        </is>
      </c>
      <c r="D79" s="265">
        <f>ROUND(N(D28)+N(D29)+N(D30)+N(D31)+N(D32)+N(D33)+N(D34)+N(D35)+N(D36)+N(D37)+N(D38)+N(D39)-N(D76),-2)</f>
        <v>0</v>
      </c>
      <c r="E79" s="265">
        <f>ROUND(N(E28)+N(E29)+N(E30)+N(E31)+N(E32)+N(E33)+N(E34)+N(E35)+N(E36)+N(E37)+N(E38)+N(E39)-N(E76),-2)</f>
        <v>0</v>
      </c>
      <c r="F79" s="265">
        <f>ROUND(N(F28)+N(F29)+N(F30)+N(F31)+N(F32)+N(F33)+N(F34)+N(F35)+N(F36)+N(F37)+N(F38)+N(F39)-N(F76),-2)</f>
        <v>0</v>
      </c>
      <c r="G79" s="265">
        <f>ROUND(N(G28)+N(G29)+N(G30)+N(G31)+N(G32)+N(G33)+N(G34)+N(G35)+N(G36)+N(G37)+N(G38)+N(G39)-N(G76),-2)</f>
        <v>0</v>
      </c>
      <c r="I79" s="265">
        <f>ROUND(N(I28)+N(I29)+N(I30)+N(I31)+N(I32)+N(I33)+N(I34)+N(I35)+N(I36)+N(I37)+N(I38)+N(I39)-N(I76),-2)</f>
        <v>0</v>
      </c>
      <c r="J79" s="265">
        <f>ROUND(N(J28)+N(J29)+N(J30)+N(J31)+N(J32)+N(J33)+N(J34)+N(J35)+N(J36)+N(J37)+N(J38)+N(J39)-N(J76),-2)</f>
        <v>0</v>
      </c>
      <c r="K79" s="265">
        <f>ROUND(N(K28)+N(K29)+N(K30)+N(K31)+N(K32)+N(K33)+N(K34)+N(K35)+N(K36)+N(K37)+N(K38)+N(K39)-N(K76),-2)</f>
        <v>0</v>
      </c>
      <c r="L79" s="265">
        <f>ROUND(N(L28)+N(L29)+N(L30)+N(L31)+N(L32)+N(L33)+N(L34)+N(L35)+N(L36)+N(L37)+N(L38)+N(L39)-N(L76),-2)</f>
        <v>0</v>
      </c>
      <c r="N79" s="265">
        <f>ROUND(N(N28)+N(N29)+N(N30)+N(N31)+N(N32)+N(N33)+N(N34)+N(N35)+N(N36)+N(N37)+N(N38)+N(N39)-N(N76),-2)</f>
        <v>0</v>
      </c>
      <c r="O79" s="265">
        <f>ROUND(N(O28)+N(O29)+N(O30)+N(O31)+N(O32)+N(O33)+N(O34)+N(O35)+N(O36)+N(O37)+N(O38)+N(O39)-N(O76),-2)</f>
        <v>0</v>
      </c>
      <c r="P79" s="265">
        <f>ROUND(N(P28)+N(P29)+N(P30)+N(P31)+N(P32)+N(P33)+N(P34)+N(P35)+N(P36)+N(P37)+N(P38)+N(P39)-N(P76),-2)</f>
        <v>0</v>
      </c>
      <c r="Q79" s="265">
        <f>ROUND(N(Q28)+N(Q29)+N(Q30)+N(Q31)+N(Q32)+N(Q33)+N(Q34)+N(Q35)+N(Q36)+N(Q37)+N(Q38)+N(Q39)-N(Q76),-2)</f>
        <v>0</v>
      </c>
      <c r="S79" s="265">
        <f>ROUND(N(S28)+N(S29)+N(S30)+N(S31)+N(S32)+N(S33)+N(S34)+N(S35)+N(S36)+N(S37)+N(S38)+N(S39)-N(S76),-2)</f>
        <v>0</v>
      </c>
      <c r="T79" s="265">
        <f>ROUND(N(T28)+N(T29)+N(T30)+N(T31)+N(T32)+N(T33)+N(T34)+N(T35)+N(T36)+N(T37)+N(T38)+N(T39)-N(T76),-2)</f>
        <v>0</v>
      </c>
      <c r="U79" s="265">
        <f>ROUND(N(U28)+N(U29)+N(U30)+N(U31)+N(U32)+N(U33)+N(U34)+N(U35)+N(U36)+N(U37)+N(U38)+N(U39)-N(U76),-2)</f>
        <v>0</v>
      </c>
      <c r="V79" s="265">
        <f>ROUND(N(V28)+N(V29)+N(V30)+N(V31)+N(V32)+N(V33)+N(V34)+N(V35)+N(V36)+N(V37)+N(V38)+N(V39)-N(V76),-2)</f>
        <v>0</v>
      </c>
      <c r="X79" s="265">
        <f>ROUND(N(X28)+N(X29)+N(X30)+N(X31)+N(X32)+N(X33)+N(X34)+N(X35)+N(X36)+N(X37)+N(X38)+N(X39)-N(X76),-2)</f>
        <v>0</v>
      </c>
      <c r="Y79" s="265">
        <f>ROUND(N(Y28)+N(Y29)+N(Y30)+N(Y31)+N(Y32)+N(Y33)+N(Y34)+N(Y35)+N(Y36)+N(Y37)+N(Y38)+N(Y39)-N(Y76),-2)</f>
        <v>0</v>
      </c>
      <c r="Z79" s="265">
        <f>ROUND(N(Z28)+N(Z29)+N(Z30)+N(Z31)+N(Z32)+N(Z33)+N(Z34)+N(Z35)+N(Z36)+N(Z37)+N(Z38)+N(Z39)-N(Z76),-2)</f>
        <v>0</v>
      </c>
      <c r="AA79" s="265">
        <f>ROUND(N(AA28)+N(AA29)+N(AA30)+N(AA31)+N(AA32)+N(AA33)+N(AA34)+N(AA35)+N(AA36)+N(AA37)+N(AA38)+N(AA39)-N(AA76),-2)</f>
        <v>0</v>
      </c>
      <c r="AC79" s="265">
        <f>ROUND(N(AC28)+N(AC29)+N(AC30)+N(AC31)+N(AC32)+N(AC33)+N(AC34)+N(AC35)+N(AC36)+N(AC37)+N(AC38)+N(AC39)-N(AC76),-2)</f>
        <v>0</v>
      </c>
      <c r="AD79" s="265">
        <f>ROUND(N(AD28)+N(AD29)+N(AD30)+N(AD31)+N(AD32)+N(AD33)+N(AD34)+N(AD35)+N(AD36)+N(AD37)+N(AD38)+N(AD39)-N(AD76),-2)</f>
        <v>0</v>
      </c>
    </row>
    <row r="80">
      <c r="A80" t="inlineStr">
        <is>
          <t>CHECK: passivo + PL (contas) - passivo + PL total · derivada · unid. moeda</t>
        </is>
      </c>
      <c r="C80" t="inlineStr">
        <is>
          <t>[linha bruta, sem código; lançada nas linhas abaixo]</t>
        </is>
      </c>
      <c r="D80" s="265">
        <f>ROUND(N(D40)+N(D41)+N(D42)+N(D43)+N(D44)+N(D45)+N(D46)+N(D47)+N(D48)+N(D49)+N(D50)+N(D51)+N(D52)+N(D53)+N(D54)+N(D74)-N(D77),-2)</f>
        <v>0</v>
      </c>
      <c r="E80" s="265">
        <f>ROUND(N(E40)+N(E41)+N(E42)+N(E43)+N(E44)+N(E45)+N(E46)+N(E47)+N(E48)+N(E49)+N(E50)+N(E51)+N(E52)+N(E53)+N(E54)+N(E74)-N(E77),-2)</f>
        <v>0</v>
      </c>
      <c r="F80" s="265">
        <f>ROUND(N(F40)+N(F41)+N(F42)+N(F43)+N(F44)+N(F45)+N(F46)+N(F47)+N(F48)+N(F49)+N(F50)+N(F51)+N(F52)+N(F53)+N(F54)+N(F74)-N(F77),-2)</f>
        <v>0</v>
      </c>
      <c r="G80" s="265">
        <f>ROUND(N(G40)+N(G41)+N(G42)+N(G43)+N(G44)+N(G45)+N(G46)+N(G47)+N(G48)+N(G49)+N(G50)+N(G51)+N(G52)+N(G53)+N(G54)+N(G74)-N(G77),-2)</f>
        <v>0</v>
      </c>
      <c r="I80" s="265">
        <f>ROUND(N(I40)+N(I41)+N(I42)+N(I43)+N(I44)+N(I45)+N(I46)+N(I47)+N(I48)+N(I49)+N(I50)+N(I51)+N(I52)+N(I53)+N(I54)+N(I74)-N(I77),-2)</f>
        <v>0</v>
      </c>
      <c r="J80" s="265">
        <f>ROUND(N(J40)+N(J41)+N(J42)+N(J43)+N(J44)+N(J45)+N(J46)+N(J47)+N(J48)+N(J49)+N(J50)+N(J51)+N(J52)+N(J53)+N(J54)+N(J74)-N(J77),-2)</f>
        <v>0</v>
      </c>
      <c r="K80" s="265">
        <f>ROUND(N(K40)+N(K41)+N(K42)+N(K43)+N(K44)+N(K45)+N(K46)+N(K47)+N(K48)+N(K49)+N(K50)+N(K51)+N(K52)+N(K53)+N(K54)+N(K74)-N(K77),-2)</f>
        <v>0</v>
      </c>
      <c r="L80" s="265">
        <f>ROUND(N(L40)+N(L41)+N(L42)+N(L43)+N(L44)+N(L45)+N(L46)+N(L47)+N(L48)+N(L49)+N(L50)+N(L51)+N(L52)+N(L53)+N(L54)+N(L74)-N(L77),-2)</f>
        <v>0</v>
      </c>
      <c r="N80" s="265">
        <f>ROUND(N(N40)+N(N41)+N(N42)+N(N43)+N(N44)+N(N45)+N(N46)+N(N47)+N(N48)+N(N49)+N(N50)+N(N51)+N(N52)+N(N53)+N(N54)+N(N74)-N(N77),-2)</f>
        <v>0</v>
      </c>
      <c r="O80" s="265">
        <f>ROUND(N(O40)+N(O41)+N(O42)+N(O43)+N(O44)+N(O45)+N(O46)+N(O47)+N(O48)+N(O49)+N(O50)+N(O51)+N(O52)+N(O53)+N(O54)+N(O74)-N(O77),-2)</f>
        <v>0</v>
      </c>
      <c r="P80" s="265">
        <f>ROUND(N(P40)+N(P41)+N(P42)+N(P43)+N(P44)+N(P45)+N(P46)+N(P47)+N(P48)+N(P49)+N(P50)+N(P51)+N(P52)+N(P53)+N(P54)+N(P74)-N(P77),-2)</f>
        <v>0</v>
      </c>
      <c r="Q80" s="265">
        <f>ROUND(N(Q40)+N(Q41)+N(Q42)+N(Q43)+N(Q44)+N(Q45)+N(Q46)+N(Q47)+N(Q48)+N(Q49)+N(Q50)+N(Q51)+N(Q52)+N(Q53)+N(Q54)+N(Q74)-N(Q77),-2)</f>
        <v>0</v>
      </c>
      <c r="S80" s="265">
        <f>ROUND(N(S40)+N(S41)+N(S42)+N(S43)+N(S44)+N(S45)+N(S46)+N(S47)+N(S48)+N(S49)+N(S50)+N(S51)+N(S52)+N(S53)+N(S54)+N(S74)-N(S77),-2)</f>
        <v>0</v>
      </c>
      <c r="T80" s="265">
        <f>ROUND(N(T40)+N(T41)+N(T42)+N(T43)+N(T44)+N(T45)+N(T46)+N(T47)+N(T48)+N(T49)+N(T50)+N(T51)+N(T52)+N(T53)+N(T54)+N(T74)-N(T77),-2)</f>
        <v>0</v>
      </c>
      <c r="U80" s="265">
        <f>ROUND(N(U40)+N(U41)+N(U42)+N(U43)+N(U44)+N(U45)+N(U46)+N(U47)+N(U48)+N(U49)+N(U50)+N(U51)+N(U52)+N(U53)+N(U54)+N(U74)-N(U77),-2)</f>
        <v>0</v>
      </c>
      <c r="V80" s="265">
        <f>ROUND(N(V40)+N(V41)+N(V42)+N(V43)+N(V44)+N(V45)+N(V46)+N(V47)+N(V48)+N(V49)+N(V50)+N(V51)+N(V52)+N(V53)+N(V54)+N(V74)-N(V77),-2)</f>
        <v>0</v>
      </c>
      <c r="X80" s="265">
        <f>ROUND(N(X40)+N(X41)+N(X42)+N(X43)+N(X44)+N(X45)+N(X46)+N(X47)+N(X48)+N(X49)+N(X50)+N(X51)+N(X52)+N(X53)+N(X54)+N(X74)-N(X77),-2)</f>
        <v>0</v>
      </c>
      <c r="Y80" s="265">
        <f>ROUND(N(Y40)+N(Y41)+N(Y42)+N(Y43)+N(Y44)+N(Y45)+N(Y46)+N(Y47)+N(Y48)+N(Y49)+N(Y50)+N(Y51)+N(Y52)+N(Y53)+N(Y54)+N(Y74)-N(Y77),-2)</f>
        <v>0</v>
      </c>
      <c r="Z80" s="265">
        <f>ROUND(N(Z40)+N(Z41)+N(Z42)+N(Z43)+N(Z44)+N(Z45)+N(Z46)+N(Z47)+N(Z48)+N(Z49)+N(Z50)+N(Z51)+N(Z52)+N(Z53)+N(Z54)+N(Z74)-N(Z77),-2)</f>
        <v>0</v>
      </c>
      <c r="AA80" s="265">
        <f>ROUND(N(AA40)+N(AA41)+N(AA42)+N(AA43)+N(AA44)+N(AA45)+N(AA46)+N(AA47)+N(AA48)+N(AA49)+N(AA50)+N(AA51)+N(AA52)+N(AA53)+N(AA54)+N(AA74)-N(AA77),-2)</f>
        <v>0</v>
      </c>
      <c r="AC80" s="265">
        <f>ROUND(N(AC40)+N(AC41)+N(AC42)+N(AC43)+N(AC44)+N(AC45)+N(AC46)+N(AC47)+N(AC48)+N(AC49)+N(AC50)+N(AC51)+N(AC52)+N(AC53)+N(AC54)+N(AC74)-N(AC77),-2)</f>
        <v>0</v>
      </c>
      <c r="AD80" s="265">
        <f>ROUND(N(AD40)+N(AD41)+N(AD42)+N(AD43)+N(AD44)+N(AD45)+N(AD46)+N(AD47)+N(AD48)+N(AD49)+N(AD50)+N(AD51)+N(AD52)+N(AD53)+N(AD54)+N(AD74)-N(AD77),-2)</f>
        <v>0</v>
      </c>
    </row>
    <row r="81">
      <c r="A81" t="inlineStr">
        <is>
          <t>CHECK: receita - custo - despesas + não operacional - IR - minoritários + outros após IR - lucro (deve ser 0) · derivada</t>
        </is>
      </c>
      <c r="C81" t="inlineStr">
        <is>
          <t>[linha bruta, sem código; lançada nas linhas abaixo]</t>
        </is>
      </c>
      <c r="D81" s="265">
        <f>ROUND(N(D5)-N(D6)-N(D9)+N(D12)-N(D16)+N(D19)-N(D20),-2)</f>
        <v>0</v>
      </c>
      <c r="E81" s="265">
        <f>ROUND(N(E5)-N(E6)-N(E9)+N(E12)-N(E16)+N(E19)-N(E20),-2)</f>
        <v>0</v>
      </c>
      <c r="F81" s="265">
        <f>ROUND(N(F5)-N(F6)-N(F9)+N(F12)-N(F16)+N(F19)-N(F20),-2)</f>
        <v>0</v>
      </c>
      <c r="G81" s="265">
        <f>ROUND(N(G5)-N(G6)-N(G9)+N(G12)-N(G16)+N(G19)-N(G20),-2)</f>
        <v>0</v>
      </c>
      <c r="I81" s="265">
        <f>ROUND(N(I5)-N(I6)-N(I9)+N(I12)-N(I16)+N(I19)-N(I20),-2)</f>
        <v>0</v>
      </c>
      <c r="J81" s="265">
        <f>ROUND(N(J5)-N(J6)-N(J9)+N(J12)-N(J16)+N(J19)-N(J20),-2)</f>
        <v>0</v>
      </c>
      <c r="K81" s="265">
        <f>ROUND(N(K5)-N(K6)-N(K9)+N(K12)-N(K16)+N(K19)-N(K20),-2)</f>
        <v>0</v>
      </c>
      <c r="L81" s="265">
        <f>ROUND(N(L5)-N(L6)-N(L9)+N(L12)-N(L16)+N(L19)-N(L20),-2)</f>
        <v>0</v>
      </c>
      <c r="N81" s="265">
        <f>ROUND(N(N5)-N(N6)-N(N9)+N(N12)-N(N16)+N(N19)-N(N20),-2)</f>
        <v>0</v>
      </c>
      <c r="O81" s="265">
        <f>ROUND(N(O5)-N(O6)-N(O9)+N(O12)-N(O16)+N(O19)-N(O20),-2)</f>
        <v>0</v>
      </c>
      <c r="P81" s="265">
        <f>ROUND(N(P5)-N(P6)-N(P9)+N(P12)-N(P16)+N(P19)-N(P20),-2)</f>
        <v>0</v>
      </c>
      <c r="Q81" s="265">
        <f>ROUND(N(Q5)-N(Q6)-N(Q9)+N(Q12)-N(Q16)+N(Q19)-N(Q20),-2)</f>
        <v>0</v>
      </c>
      <c r="S81" s="265">
        <f>ROUND(N(S5)-N(S6)-N(S9)+N(S12)-N(S16)+N(S19)-N(S20),-2)</f>
        <v>0</v>
      </c>
      <c r="T81" s="265">
        <f>ROUND(N(T5)-N(T6)-N(T9)+N(T12)-N(T16)+N(T19)-N(T20),-2)</f>
        <v>0</v>
      </c>
      <c r="U81" s="265">
        <f>ROUND(N(U5)-N(U6)-N(U9)+N(U12)-N(U16)+N(U19)-N(U20),-2)</f>
        <v>0</v>
      </c>
      <c r="V81" s="265">
        <f>ROUND(N(V5)-N(V6)-N(V9)+N(V12)-N(V16)+N(V19)-N(V20),-2)</f>
        <v>0</v>
      </c>
      <c r="X81" s="265">
        <f>ROUND(N(X5)-N(X6)-N(X9)+N(X12)-N(X16)+N(X19)-N(X20),-2)</f>
        <v>0</v>
      </c>
      <c r="Y81" s="265">
        <f>ROUND(N(Y5)-N(Y6)-N(Y9)+N(Y12)-N(Y16)+N(Y19)-N(Y20),-2)</f>
        <v>0</v>
      </c>
      <c r="Z81" s="265">
        <f>ROUND(N(Z5)-N(Z6)-N(Z9)+N(Z12)-N(Z16)+N(Z19)-N(Z20),-2)</f>
        <v>0</v>
      </c>
      <c r="AA81" s="265">
        <f>ROUND(N(AA5)-N(AA6)-N(AA9)+N(AA12)-N(AA16)+N(AA19)-N(AA20),-2)</f>
        <v>0</v>
      </c>
      <c r="AC81" s="265">
        <f>ROUND(N(AC5)-N(AC6)-N(AC9)+N(AC12)-N(AC16)+N(AC19)-N(AC20),-2)</f>
        <v>0</v>
      </c>
      <c r="AD81" s="265">
        <f>ROUND(N(AD5)-N(AD6)-N(AD9)+N(AD12)-N(AD16)+N(AD19)-N(AD20),-2)</f>
        <v>0</v>
      </c>
    </row>
    <row r="82">
      <c r="D82" s="265" t="n"/>
      <c r="E82" s="265" t="n"/>
      <c r="F82" s="265" t="n"/>
      <c r="G82" s="265" t="n"/>
      <c r="I82" s="265" t="n"/>
      <c r="J82" s="265" t="n"/>
      <c r="K82" s="265" t="n"/>
      <c r="L82" s="265" t="n"/>
      <c r="N82" s="265" t="n"/>
      <c r="O82" s="265" t="n"/>
      <c r="P82" s="265" t="n"/>
      <c r="Q82" s="265" t="n"/>
      <c r="S82" s="265" t="n"/>
      <c r="T82" s="265" t="n"/>
      <c r="U82" s="265" t="n"/>
      <c r="V82" s="265" t="n"/>
      <c r="X82" s="265" t="n"/>
      <c r="Y82" s="265" t="n"/>
      <c r="Z82" s="265" t="n"/>
      <c r="AA82" s="265" t="n"/>
      <c r="AC82" s="265" t="n"/>
      <c r="AD82" s="265" t="n"/>
    </row>
    <row r="83">
      <c r="A83" t="inlineStr">
        <is>
          <t>DRIVERS DE RECEITA (codigos 45+): taxas de gestão e consultoria x receita de performance (incentive fees + alocação de carry) - SEC XBRL (USD, fator 0,000001).</t>
        </is>
      </c>
      <c r="C83" t="inlineStr">
        <is>
          <t>[linha bruta, sem código; lançada nas linhas abaixo]</t>
        </is>
      </c>
      <c r="D83" s="265" t="n"/>
      <c r="E83" s="265" t="n"/>
      <c r="F83" s="265" t="n"/>
      <c r="G83" s="265" t="n"/>
      <c r="I83" s="265" t="n"/>
      <c r="J83" s="265" t="n"/>
      <c r="K83" s="265" t="n"/>
      <c r="L83" s="265" t="n"/>
      <c r="N83" s="265" t="n"/>
      <c r="O83" s="265" t="n"/>
      <c r="P83" s="265" t="n"/>
      <c r="Q83" s="265" t="n"/>
      <c r="S83" s="265" t="n"/>
      <c r="T83" s="265" t="n"/>
      <c r="U83" s="265" t="n"/>
      <c r="V83" s="265" t="n"/>
      <c r="X83" s="265" t="n"/>
      <c r="Y83" s="265" t="n"/>
      <c r="Z83" s="265" t="n"/>
      <c r="AA83" s="265" t="n"/>
      <c r="AC83" s="265" t="n"/>
      <c r="AD83" s="265" t="n"/>
    </row>
    <row r="84">
      <c r="A84" t="inlineStr">
        <is>
          <t>Taxas de gestão e consultoria (investment advice) - receita (USD) · fonte · unid. moeda</t>
        </is>
      </c>
      <c r="B84" t="n">
        <v>45</v>
      </c>
      <c r="C84" t="inlineStr">
        <is>
          <t xml:space="preserve">Taxas de gestão e consultoria (investment advice) - receita </t>
        </is>
      </c>
      <c r="D84" s="265" t="n">
        <v>1177815</v>
      </c>
      <c r="E84" s="265" t="n">
        <v>1212549</v>
      </c>
      <c r="F84" s="265" t="n">
        <v>1320795</v>
      </c>
      <c r="G84" s="265" t="n">
        <v>1459548</v>
      </c>
      <c r="I84" s="265" t="n">
        <v>1475936</v>
      </c>
      <c r="J84" s="265" t="n">
        <v>1561187</v>
      </c>
      <c r="K84" s="265" t="n">
        <v>1617754</v>
      </c>
      <c r="L84" s="265" t="n">
        <v>1648438</v>
      </c>
      <c r="N84" s="265" t="n">
        <v>1658315</v>
      </c>
      <c r="O84" s="265" t="n">
        <v>1709370</v>
      </c>
      <c r="P84" s="265" t="n">
        <v>1655443</v>
      </c>
      <c r="Q84" s="265" t="n">
        <v>1648132</v>
      </c>
      <c r="S84" s="265" t="n">
        <v>1727148</v>
      </c>
      <c r="T84" s="265" t="n">
        <v>1787313</v>
      </c>
      <c r="U84" s="265" t="n">
        <v>1794894</v>
      </c>
      <c r="V84" s="265" t="n">
        <v>1879581</v>
      </c>
      <c r="X84" s="265" t="n">
        <v>1904317</v>
      </c>
      <c r="Y84" s="265" t="n">
        <v>2035495</v>
      </c>
      <c r="Z84" s="265" t="n">
        <v>2056248</v>
      </c>
      <c r="AA84" s="265" t="n">
        <v>2079541</v>
      </c>
      <c r="AC84" s="265" t="n">
        <v>2148620</v>
      </c>
      <c r="AD84" s="265" t="n">
        <v>2266006</v>
      </c>
    </row>
    <row r="85">
      <c r="A85" t="inlineStr">
        <is>
          <t>Receita de performance (incentive fees) - receita (USD) · fonte · unid. moeda</t>
        </is>
      </c>
      <c r="B85" t="n">
        <v>46</v>
      </c>
      <c r="C85" t="inlineStr">
        <is>
          <t>Receita de performance (incentive fees) - receita (USD)</t>
        </is>
      </c>
      <c r="D85" s="265" t="n">
        <v>36124</v>
      </c>
      <c r="E85" s="265" t="n">
        <v>33207</v>
      </c>
      <c r="F85" s="265" t="n">
        <v>48206</v>
      </c>
      <c r="G85" s="265" t="n">
        <v>136454</v>
      </c>
      <c r="I85" s="265" t="n">
        <v>104489</v>
      </c>
      <c r="J85" s="265" t="n">
        <v>99598</v>
      </c>
      <c r="K85" s="265" t="n">
        <v>110776</v>
      </c>
      <c r="L85" s="265" t="n">
        <v>210264</v>
      </c>
      <c r="N85" s="265" t="n">
        <v>142876</v>
      </c>
      <c r="O85" s="265" t="n">
        <v>153077</v>
      </c>
      <c r="P85" s="265" t="n">
        <v>158801</v>
      </c>
      <c r="Q85" s="265" t="n">
        <v>240417</v>
      </c>
      <c r="S85" s="265" t="n">
        <v>179341</v>
      </c>
      <c r="T85" s="265" t="n">
        <v>188299</v>
      </c>
      <c r="U85" s="265" t="n">
        <v>191794</v>
      </c>
      <c r="V85" s="265" t="n">
        <v>404744</v>
      </c>
      <c r="X85" s="265" t="n">
        <v>191825</v>
      </c>
      <c r="Y85" s="265" t="n">
        <v>195414</v>
      </c>
      <c r="Z85" s="265" t="n">
        <v>200675</v>
      </c>
      <c r="AA85" s="265" t="n">
        <v>390288</v>
      </c>
      <c r="AC85" s="265" t="n">
        <v>165419</v>
      </c>
      <c r="AD85" s="265" t="n">
        <v>159080</v>
      </c>
    </row>
    <row r="86">
      <c r="A86" t="inlineStr">
        <is>
          <t>Notas: a receita da Blackstone inclui a alocação de carried interest e ganhos de investimento (podem ser negativos, ex.: 1T20). A diferença para a linha 15 são receitas de investimento e outras.</t>
        </is>
      </c>
      <c r="C86" t="inlineStr">
        <is>
          <t>[linha bruta, sem código; lançada nas linhas abaixo]</t>
        </is>
      </c>
      <c r="D86" s="265" t="n"/>
      <c r="E86" s="265" t="n"/>
      <c r="F86" s="265" t="n"/>
      <c r="G86" s="265" t="n"/>
      <c r="I86" s="265" t="n"/>
      <c r="J86" s="265" t="n"/>
      <c r="K86" s="265" t="n"/>
      <c r="L86" s="265" t="n"/>
      <c r="N86" s="265" t="n"/>
      <c r="O86" s="265" t="n"/>
      <c r="P86" s="265" t="n"/>
      <c r="Q86" s="265" t="n"/>
      <c r="S86" s="265" t="n"/>
      <c r="T86" s="265" t="n"/>
      <c r="U86" s="265" t="n"/>
      <c r="V86" s="265" t="n"/>
      <c r="X86" s="265" t="n"/>
      <c r="Y86" s="265" t="n"/>
      <c r="Z86" s="265" t="n"/>
      <c r="AA86" s="265" t="n"/>
      <c r="AC86" s="265" t="n"/>
      <c r="AD86" s="265" t="n"/>
    </row>
    <row r="88">
      <c r="A88" t="inlineStr">
        <is>
          <t>Linhas de origem: 4 a 86. A Inputs (2) varre as linhas 4 a 150; as linhas 87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4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Blackstone Inc.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5298.872</v>
      </c>
      <c r="E4" s="11">
        <f>IF(E$3=0,"",SUMIFS(INDEX(Inputs!$D$4:$AG$150,0,MATCH(E$2,Inputs!$D$2:$AG$2,0)),Inputs!$B$4:$B$150,$B4)/1000)</f>
        <v>5291.354</v>
      </c>
      <c r="F4" s="11">
        <f>IF(F$3=0,"",SUMIFS(INDEX(Inputs!$D$4:$AG$150,0,MATCH(F$2,Inputs!$D$2:$AG$2,0)),Inputs!$B$4:$B$150,$B4)/1000)</f>
        <v>6224.265</v>
      </c>
      <c r="G4" s="11">
        <f>IF(G$3=0,"",SUMIFS(INDEX(Inputs!$D$4:$AG$150,0,MATCH(G$2,Inputs!$D$2:$AG$2,0)),Inputs!$B$4:$B$150,$B4)/1000)</f>
        <v>5762.657</v>
      </c>
      <c r="H4" s="12">
        <f>IF(COUNT(D4:G4)=4,SUM(D4:G4),"")</f>
        <v>22577.148</v>
      </c>
      <c r="I4" s="11">
        <f>IF(I$3=0,"",SUMIFS(INDEX(Inputs!$D$4:$AG$150,0,MATCH(I$2,Inputs!$D$2:$AG$2,0)),Inputs!$B$4:$B$150,$B4)/1000)</f>
        <v>5126.28</v>
      </c>
      <c r="J4" s="11">
        <f>IF(J$3=0,"",SUMIFS(INDEX(Inputs!$D$4:$AG$150,0,MATCH(J$2,Inputs!$D$2:$AG$2,0)),Inputs!$B$4:$B$150,$B4)/1000)</f>
        <v>629.22</v>
      </c>
      <c r="K4" s="11">
        <f>IF(K$3=0,"",SUMIFS(INDEX(Inputs!$D$4:$AG$150,0,MATCH(K$2,Inputs!$D$2:$AG$2,0)),Inputs!$B$4:$B$150,$B4)/1000)</f>
        <v>1058.114</v>
      </c>
      <c r="L4" s="11">
        <f>IF(L$3=0,"",SUMIFS(INDEX(Inputs!$D$4:$AG$150,0,MATCH(L$2,Inputs!$D$2:$AG$2,0)),Inputs!$B$4:$B$150,$B4)/1000)</f>
        <v>1704.059</v>
      </c>
      <c r="M4" s="12">
        <f>IF(COUNT(I4:L4)=4,SUM(I4:L4),"")</f>
        <v>8517.673</v>
      </c>
      <c r="N4" s="11">
        <f>IF(N$3=0,"",SUMIFS(INDEX(Inputs!$D$4:$AG$150,0,MATCH(N$2,Inputs!$D$2:$AG$2,0)),Inputs!$B$4:$B$150,$B4)/1000)</f>
        <v>1381.845</v>
      </c>
      <c r="O4" s="11">
        <f>IF(O$3=0,"",SUMIFS(INDEX(Inputs!$D$4:$AG$150,0,MATCH(O$2,Inputs!$D$2:$AG$2,0)),Inputs!$B$4:$B$150,$B4)/1000)</f>
        <v>2814.691</v>
      </c>
      <c r="P4" s="11">
        <f>IF(P$3=0,"",SUMIFS(INDEX(Inputs!$D$4:$AG$150,0,MATCH(P$2,Inputs!$D$2:$AG$2,0)),Inputs!$B$4:$B$150,$B4)/1000)</f>
        <v>2541.285</v>
      </c>
      <c r="Q4" s="11">
        <f>IF(Q$3=0,"",SUMIFS(INDEX(Inputs!$D$4:$AG$150,0,MATCH(Q$2,Inputs!$D$2:$AG$2,0)),Inputs!$B$4:$B$150,$B4)/1000)</f>
        <v>1285.02</v>
      </c>
      <c r="R4" s="12">
        <f>IF(COUNT(N4:Q4)=4,SUM(N4:Q4),"")</f>
        <v>8022.841</v>
      </c>
      <c r="S4" s="11">
        <f>IF(S$3=0,"",SUMIFS(INDEX(Inputs!$D$4:$AG$150,0,MATCH(S$2,Inputs!$D$2:$AG$2,0)),Inputs!$B$4:$B$150,$B4)/1000)</f>
        <v>3687.828</v>
      </c>
      <c r="T4" s="11">
        <f>IF(T$3=0,"",SUMIFS(INDEX(Inputs!$D$4:$AG$150,0,MATCH(T$2,Inputs!$D$2:$AG$2,0)),Inputs!$B$4:$B$150,$B4)/1000)</f>
        <v>2796.381</v>
      </c>
      <c r="U4" s="11">
        <f>IF(U$3=0,"",SUMIFS(INDEX(Inputs!$D$4:$AG$150,0,MATCH(U$2,Inputs!$D$2:$AG$2,0)),Inputs!$B$4:$B$150,$B4)/1000)</f>
        <v>3663.194</v>
      </c>
      <c r="V4" s="11">
        <f>IF(V$3=0,"",SUMIFS(INDEX(Inputs!$D$4:$AG$150,0,MATCH(V$2,Inputs!$D$2:$AG$2,0)),Inputs!$B$4:$B$150,$B4)/1000)</f>
        <v>3082.565</v>
      </c>
      <c r="W4" s="12">
        <f>IF(COUNT(S4:V4)=4,SUM(S4:V4),"")</f>
        <v>13229.968</v>
      </c>
      <c r="X4" s="11">
        <f>IF(X$3=0,"",SUMIFS(INDEX(Inputs!$D$4:$AG$150,0,MATCH(X$2,Inputs!$D$2:$AG$2,0)),Inputs!$B$4:$B$150,$B4)/1000)</f>
        <v>3289.458</v>
      </c>
      <c r="Y4" s="11">
        <f>IF(Y$3=0,"",SUMIFS(INDEX(Inputs!$D$4:$AG$150,0,MATCH(Y$2,Inputs!$D$2:$AG$2,0)),Inputs!$B$4:$B$150,$B4)/1000)</f>
        <v>3711.9</v>
      </c>
      <c r="Z4" s="11">
        <f>IF(Z$3=0,"",SUMIFS(INDEX(Inputs!$D$4:$AG$150,0,MATCH(Z$2,Inputs!$D$2:$AG$2,0)),Inputs!$B$4:$B$150,$B4)/1000)</f>
        <v>3088.635</v>
      </c>
      <c r="AA4" s="11">
        <f>IF(AA$3=0,"",SUMIFS(INDEX(Inputs!$D$4:$AG$150,0,MATCH(AA$2,Inputs!$D$2:$AG$2,0)),Inputs!$B$4:$B$150,$B4)/1000)</f>
        <v>4360.272</v>
      </c>
      <c r="AB4" s="12">
        <f>IF(COUNT(X4:AA4)=4,SUM(X4:AA4),"")</f>
        <v>14450.265</v>
      </c>
      <c r="AC4" s="11">
        <f>IF(AC$3=0,"",SUMIFS(INDEX(Inputs!$D$4:$AG$150,0,MATCH(AC$2,Inputs!$D$2:$AG$2,0)),Inputs!$B$4:$B$150,$B4)/1000)</f>
        <v>3617.595</v>
      </c>
      <c r="AD4" s="11">
        <f>IF(AD$3=0,"",SUMIFS(INDEX(Inputs!$D$4:$AG$150,0,MATCH(AD$2,Inputs!$D$2:$AG$2,0)),Inputs!$B$4:$B$150,$B4)/1000)</f>
        <v>5043.978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0</v>
      </c>
      <c r="E5" s="11">
        <f>IF(E$3=0,"",SUMIFS(INDEX(Inputs!$D$4:$AG$150,0,MATCH(E$2,Inputs!$D$2:$AG$2,0)),Inputs!$B$4:$B$150,$B5)/1000)</f>
        <v>0</v>
      </c>
      <c r="F5" s="11">
        <f>IF(F$3=0,"",SUMIFS(INDEX(Inputs!$D$4:$AG$150,0,MATCH(F$2,Inputs!$D$2:$AG$2,0)),Inputs!$B$4:$B$150,$B5)/1000)</f>
        <v>0</v>
      </c>
      <c r="G5" s="11">
        <f>IF(G$3=0,"",SUMIFS(INDEX(Inputs!$D$4:$AG$150,0,MATCH(G$2,Inputs!$D$2:$AG$2,0)),Inputs!$B$4:$B$150,$B5)/1000)</f>
        <v>0</v>
      </c>
      <c r="H5" s="12">
        <f>IF(COUNT(D5:G5)=4,SUM(D5:G5),"")</f>
        <v>0</v>
      </c>
      <c r="I5" s="11">
        <f>IF(I$3=0,"",SUMIFS(INDEX(Inputs!$D$4:$AG$150,0,MATCH(I$2,Inputs!$D$2:$AG$2,0)),Inputs!$B$4:$B$150,$B5)/1000)</f>
        <v>0</v>
      </c>
      <c r="J5" s="11">
        <f>IF(J$3=0,"",SUMIFS(INDEX(Inputs!$D$4:$AG$150,0,MATCH(J$2,Inputs!$D$2:$AG$2,0)),Inputs!$B$4:$B$150,$B5)/1000)</f>
        <v>0</v>
      </c>
      <c r="K5" s="11">
        <f>IF(K$3=0,"",SUMIFS(INDEX(Inputs!$D$4:$AG$150,0,MATCH(K$2,Inputs!$D$2:$AG$2,0)),Inputs!$B$4:$B$150,$B5)/1000)</f>
        <v>0</v>
      </c>
      <c r="L5" s="11">
        <f>IF(L$3=0,"",SUMIFS(INDEX(Inputs!$D$4:$AG$150,0,MATCH(L$2,Inputs!$D$2:$AG$2,0)),Inputs!$B$4:$B$150,$B5)/1000)</f>
        <v>0</v>
      </c>
      <c r="M5" s="12">
        <f>IF(COUNT(I5:L5)=4,SUM(I5:L5),"")</f>
        <v>0</v>
      </c>
      <c r="N5" s="11">
        <f>IF(N$3=0,"",SUMIFS(INDEX(Inputs!$D$4:$AG$150,0,MATCH(N$2,Inputs!$D$2:$AG$2,0)),Inputs!$B$4:$B$150,$B5)/1000)</f>
        <v>0</v>
      </c>
      <c r="O5" s="11">
        <f>IF(O$3=0,"",SUMIFS(INDEX(Inputs!$D$4:$AG$150,0,MATCH(O$2,Inputs!$D$2:$AG$2,0)),Inputs!$B$4:$B$150,$B5)/1000)</f>
        <v>0</v>
      </c>
      <c r="P5" s="11">
        <f>IF(P$3=0,"",SUMIFS(INDEX(Inputs!$D$4:$AG$150,0,MATCH(P$2,Inputs!$D$2:$AG$2,0)),Inputs!$B$4:$B$150,$B5)/1000)</f>
        <v>0</v>
      </c>
      <c r="Q5" s="11">
        <f>IF(Q$3=0,"",SUMIFS(INDEX(Inputs!$D$4:$AG$150,0,MATCH(Q$2,Inputs!$D$2:$AG$2,0)),Inputs!$B$4:$B$150,$B5)/1000)</f>
        <v>0</v>
      </c>
      <c r="R5" s="12">
        <f>IF(COUNT(N5:Q5)=4,SUM(N5:Q5),"")</f>
        <v>0</v>
      </c>
      <c r="S5" s="11">
        <f>IF(S$3=0,"",SUMIFS(INDEX(Inputs!$D$4:$AG$150,0,MATCH(S$2,Inputs!$D$2:$AG$2,0)),Inputs!$B$4:$B$150,$B5)/1000)</f>
        <v>0</v>
      </c>
      <c r="T5" s="11">
        <f>IF(T$3=0,"",SUMIFS(INDEX(Inputs!$D$4:$AG$150,0,MATCH(T$2,Inputs!$D$2:$AG$2,0)),Inputs!$B$4:$B$150,$B5)/1000)</f>
        <v>0</v>
      </c>
      <c r="U5" s="11">
        <f>IF(U$3=0,"",SUMIFS(INDEX(Inputs!$D$4:$AG$150,0,MATCH(U$2,Inputs!$D$2:$AG$2,0)),Inputs!$B$4:$B$150,$B5)/1000)</f>
        <v>0</v>
      </c>
      <c r="V5" s="11">
        <f>IF(V$3=0,"",SUMIFS(INDEX(Inputs!$D$4:$AG$150,0,MATCH(V$2,Inputs!$D$2:$AG$2,0)),Inputs!$B$4:$B$150,$B5)/1000)</f>
        <v>0</v>
      </c>
      <c r="W5" s="12">
        <f>IF(COUNT(S5:V5)=4,SUM(S5:V5),"")</f>
        <v>0</v>
      </c>
      <c r="X5" s="11">
        <f>IF(X$3=0,"",SUMIFS(INDEX(Inputs!$D$4:$AG$150,0,MATCH(X$2,Inputs!$D$2:$AG$2,0)),Inputs!$B$4:$B$150,$B5)/1000)</f>
        <v>0</v>
      </c>
      <c r="Y5" s="11">
        <f>IF(Y$3=0,"",SUMIFS(INDEX(Inputs!$D$4:$AG$150,0,MATCH(Y$2,Inputs!$D$2:$AG$2,0)),Inputs!$B$4:$B$150,$B5)/1000)</f>
        <v>0</v>
      </c>
      <c r="Z5" s="11">
        <f>IF(Z$3=0,"",SUMIFS(INDEX(Inputs!$D$4:$AG$150,0,MATCH(Z$2,Inputs!$D$2:$AG$2,0)),Inputs!$B$4:$B$150,$B5)/1000)</f>
        <v>0</v>
      </c>
      <c r="AA5" s="11">
        <f>IF(AA$3=0,"",SUMIFS(INDEX(Inputs!$D$4:$AG$150,0,MATCH(AA$2,Inputs!$D$2:$AG$2,0)),Inputs!$B$4:$B$150,$B5)/1000)</f>
        <v>0</v>
      </c>
      <c r="AB5" s="12">
        <f>IF(COUNT(X5:AA5)=4,SUM(X5:AA5),"")</f>
        <v>0</v>
      </c>
      <c r="AC5" s="11">
        <f>IF(AC$3=0,"",SUMIFS(INDEX(Inputs!$D$4:$AG$150,0,MATCH(AC$2,Inputs!$D$2:$AG$2,0)),Inputs!$B$4:$B$150,$B5)/1000)</f>
        <v>0</v>
      </c>
      <c r="AD5" s="11">
        <f>IF(AD$3=0,"",SUMIFS(INDEX(Inputs!$D$4:$AG$150,0,MATCH(AD$2,Inputs!$D$2:$AG$2,0)),Inputs!$B$4:$B$150,$B5)/1000)</f>
        <v>0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-1987.686</v>
      </c>
      <c r="E6" s="11">
        <f>IF(E$3=0,"",SUMIFS(INDEX(Inputs!$D$4:$AG$150,0,MATCH(E$2,Inputs!$D$2:$AG$2,0)),Inputs!$B$4:$B$150,$B6)/1000)</f>
        <v>-2209.308</v>
      </c>
      <c r="F6" s="11">
        <f>IF(F$3=0,"",SUMIFS(INDEX(Inputs!$D$4:$AG$150,0,MATCH(F$2,Inputs!$D$2:$AG$2,0)),Inputs!$B$4:$B$150,$B6)/1000)</f>
        <v>-2583.246</v>
      </c>
      <c r="G6" s="11">
        <f>IF(G$3=0,"",SUMIFS(INDEX(Inputs!$D$4:$AG$150,0,MATCH(G$2,Inputs!$D$2:$AG$2,0)),Inputs!$B$4:$B$150,$B6)/1000)</f>
        <v>-2423.234</v>
      </c>
      <c r="H6" s="12">
        <f>IF(COUNT(D6:G6)=4,SUM(D6:G6),"")</f>
        <v>-9203.474</v>
      </c>
      <c r="I6" s="11">
        <f>IF(I$3=0,"",SUMIFS(INDEX(Inputs!$D$4:$AG$150,0,MATCH(I$2,Inputs!$D$2:$AG$2,0)),Inputs!$B$4:$B$150,$B6)/1000)</f>
        <v>-2111.577</v>
      </c>
      <c r="J6" s="11">
        <f>IF(J$3=0,"",SUMIFS(INDEX(Inputs!$D$4:$AG$150,0,MATCH(J$2,Inputs!$D$2:$AG$2,0)),Inputs!$B$4:$B$150,$B6)/1000)</f>
        <v>-655.771</v>
      </c>
      <c r="K6" s="11">
        <f>IF(K$3=0,"",SUMIFS(INDEX(Inputs!$D$4:$AG$150,0,MATCH(K$2,Inputs!$D$2:$AG$2,0)),Inputs!$B$4:$B$150,$B6)/1000)</f>
        <v>-865.954</v>
      </c>
      <c r="L6" s="11">
        <f>IF(L$3=0,"",SUMIFS(INDEX(Inputs!$D$4:$AG$150,0,MATCH(L$2,Inputs!$D$2:$AG$2,0)),Inputs!$B$4:$B$150,$B6)/1000)</f>
        <v>-955.391</v>
      </c>
      <c r="M6" s="12">
        <f>IF(COUNT(I6:L6)=4,SUM(I6:L6),"")</f>
        <v>-4588.693</v>
      </c>
      <c r="N6" s="11">
        <f>IF(N$3=0,"",SUMIFS(INDEX(Inputs!$D$4:$AG$150,0,MATCH(N$2,Inputs!$D$2:$AG$2,0)),Inputs!$B$4:$B$150,$B6)/1000)</f>
        <v>-1071.908</v>
      </c>
      <c r="O6" s="11">
        <f>IF(O$3=0,"",SUMIFS(INDEX(Inputs!$D$4:$AG$150,0,MATCH(O$2,Inputs!$D$2:$AG$2,0)),Inputs!$B$4:$B$150,$B6)/1000)</f>
        <v>-1358.114</v>
      </c>
      <c r="P6" s="11">
        <f>IF(P$3=0,"",SUMIFS(INDEX(Inputs!$D$4:$AG$150,0,MATCH(P$2,Inputs!$D$2:$AG$2,0)),Inputs!$B$4:$B$150,$B6)/1000)</f>
        <v>-1255.306</v>
      </c>
      <c r="Q6" s="11">
        <f>IF(Q$3=0,"",SUMIFS(INDEX(Inputs!$D$4:$AG$150,0,MATCH(Q$2,Inputs!$D$2:$AG$2,0)),Inputs!$B$4:$B$150,$B6)/1000)</f>
        <v>-823.836</v>
      </c>
      <c r="R6" s="12">
        <f>IF(COUNT(N6:Q6)=4,SUM(N6:Q6),"")</f>
        <v>-4509.164</v>
      </c>
      <c r="S6" s="11">
        <f>IF(S$3=0,"",SUMIFS(INDEX(Inputs!$D$4:$AG$150,0,MATCH(S$2,Inputs!$D$2:$AG$2,0)),Inputs!$B$4:$B$150,$B6)/1000)</f>
        <v>-1673.223</v>
      </c>
      <c r="T6" s="11">
        <f>IF(T$3=0,"",SUMIFS(INDEX(Inputs!$D$4:$AG$150,0,MATCH(T$2,Inputs!$D$2:$AG$2,0)),Inputs!$B$4:$B$150,$B6)/1000)</f>
        <v>-1515.09</v>
      </c>
      <c r="U6" s="11">
        <f>IF(U$3=0,"",SUMIFS(INDEX(Inputs!$D$4:$AG$150,0,MATCH(U$2,Inputs!$D$2:$AG$2,0)),Inputs!$B$4:$B$150,$B6)/1000)</f>
        <v>-1775.759</v>
      </c>
      <c r="V6" s="11">
        <f>IF(V$3=0,"",SUMIFS(INDEX(Inputs!$D$4:$AG$150,0,MATCH(V$2,Inputs!$D$2:$AG$2,0)),Inputs!$B$4:$B$150,$B6)/1000)</f>
        <v>-1375.564</v>
      </c>
      <c r="W6" s="12">
        <f>IF(COUNT(S6:V6)=4,SUM(S6:V6),"")</f>
        <v>-6339.636</v>
      </c>
      <c r="X6" s="11">
        <f>IF(X$3=0,"",SUMIFS(INDEX(Inputs!$D$4:$AG$150,0,MATCH(X$2,Inputs!$D$2:$AG$2,0)),Inputs!$B$4:$B$150,$B6)/1000)</f>
        <v>-1767.342</v>
      </c>
      <c r="Y6" s="11">
        <f>IF(Y$3=0,"",SUMIFS(INDEX(Inputs!$D$4:$AG$150,0,MATCH(Y$2,Inputs!$D$2:$AG$2,0)),Inputs!$B$4:$B$150,$B6)/1000)</f>
        <v>-1787.781</v>
      </c>
      <c r="Z6" s="11">
        <f>IF(Z$3=0,"",SUMIFS(INDEX(Inputs!$D$4:$AG$150,0,MATCH(Z$2,Inputs!$D$2:$AG$2,0)),Inputs!$B$4:$B$150,$B6)/1000)</f>
        <v>-1615.399</v>
      </c>
      <c r="AA6" s="11">
        <f>IF(AA$3=0,"",SUMIFS(INDEX(Inputs!$D$4:$AG$150,0,MATCH(AA$2,Inputs!$D$2:$AG$2,0)),Inputs!$B$4:$B$150,$B6)/1000)</f>
        <v>-1987.697</v>
      </c>
      <c r="AB6" s="12">
        <f>IF(COUNT(X6:AA6)=4,SUM(X6:AA6),"")</f>
        <v>-7158.219</v>
      </c>
      <c r="AC6" s="11">
        <f>IF(AC$3=0,"",SUMIFS(INDEX(Inputs!$D$4:$AG$150,0,MATCH(AC$2,Inputs!$D$2:$AG$2,0)),Inputs!$B$4:$B$150,$B6)/1000)</f>
        <v>-2116.205</v>
      </c>
      <c r="AD6" s="11">
        <f>IF(AD$3=0,"",SUMIFS(INDEX(Inputs!$D$4:$AG$150,0,MATCH(AD$2,Inputs!$D$2:$AG$2,0)),Inputs!$B$4:$B$150,$B6)/1000)</f>
        <v>-2221.589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-18.778</v>
      </c>
      <c r="E7" s="11">
        <f>IF(E$3=0,"",SUMIFS(INDEX(Inputs!$D$4:$AG$150,0,MATCH(E$2,Inputs!$D$2:$AG$2,0)),Inputs!$B$4:$B$150,$B7)/1000)</f>
        <v>-18.7</v>
      </c>
      <c r="F7" s="11">
        <f>IF(F$3=0,"",SUMIFS(INDEX(Inputs!$D$4:$AG$150,0,MATCH(F$2,Inputs!$D$2:$AG$2,0)),Inputs!$B$4:$B$150,$B7)/1000)</f>
        <v>-18.7</v>
      </c>
      <c r="G7" s="11">
        <f>IF(G$3=0,"",SUMIFS(INDEX(Inputs!$D$4:$AG$150,0,MATCH(G$2,Inputs!$D$2:$AG$2,0)),Inputs!$B$4:$B$150,$B7)/1000)</f>
        <v>-18.697</v>
      </c>
      <c r="H7" s="12">
        <f>IF(COUNT(D7:G7)=4,SUM(D7:G7),"")</f>
        <v>-74.875</v>
      </c>
      <c r="I7" s="11">
        <f>IF(I$3=0,"",SUMIFS(INDEX(Inputs!$D$4:$AG$150,0,MATCH(I$2,Inputs!$D$2:$AG$2,0)),Inputs!$B$4:$B$150,$B7)/1000)</f>
        <v>-18.698</v>
      </c>
      <c r="J7" s="11">
        <f>IF(J$3=0,"",SUMIFS(INDEX(Inputs!$D$4:$AG$150,0,MATCH(J$2,Inputs!$D$2:$AG$2,0)),Inputs!$B$4:$B$150,$B7)/1000)</f>
        <v>-18.7</v>
      </c>
      <c r="K7" s="11">
        <f>IF(K$3=0,"",SUMIFS(INDEX(Inputs!$D$4:$AG$150,0,MATCH(K$2,Inputs!$D$2:$AG$2,0)),Inputs!$B$4:$B$150,$B7)/1000)</f>
        <v>-14.9</v>
      </c>
      <c r="L7" s="11">
        <f>IF(L$3=0,"",SUMIFS(INDEX(Inputs!$D$4:$AG$150,0,MATCH(L$2,Inputs!$D$2:$AG$2,0)),Inputs!$B$4:$B$150,$B7)/1000)</f>
        <v>-14.809</v>
      </c>
      <c r="M7" s="12">
        <f>IF(COUNT(I7:L7)=4,SUM(I7:L7),"")</f>
        <v>-67.107</v>
      </c>
      <c r="N7" s="11">
        <f>IF(N$3=0,"",SUMIFS(INDEX(Inputs!$D$4:$AG$150,0,MATCH(N$2,Inputs!$D$2:$AG$2,0)),Inputs!$B$4:$B$150,$B7)/1000)</f>
        <v>-12.996</v>
      </c>
      <c r="O7" s="11">
        <f>IF(O$3=0,"",SUMIFS(INDEX(Inputs!$D$4:$AG$150,0,MATCH(O$2,Inputs!$D$2:$AG$2,0)),Inputs!$B$4:$B$150,$B7)/1000)</f>
        <v>-9.1</v>
      </c>
      <c r="P7" s="11">
        <f>IF(P$3=0,"",SUMIFS(INDEX(Inputs!$D$4:$AG$150,0,MATCH(P$2,Inputs!$D$2:$AG$2,0)),Inputs!$B$4:$B$150,$B7)/1000)</f>
        <v>-9</v>
      </c>
      <c r="Q7" s="11">
        <f>IF(Q$3=0,"",SUMIFS(INDEX(Inputs!$D$4:$AG$150,0,MATCH(Q$2,Inputs!$D$2:$AG$2,0)),Inputs!$B$4:$B$150,$B7)/1000)</f>
        <v>-9.002</v>
      </c>
      <c r="R7" s="12">
        <f>IF(COUNT(N7:Q7)=4,SUM(N7:Q7),"")</f>
        <v>-40.098</v>
      </c>
      <c r="S7" s="11">
        <f>IF(S$3=0,"",SUMIFS(INDEX(Inputs!$D$4:$AG$150,0,MATCH(S$2,Inputs!$D$2:$AG$2,0)),Inputs!$B$4:$B$150,$B7)/1000)</f>
        <v>-8.981</v>
      </c>
      <c r="T7" s="11">
        <f>IF(T$3=0,"",SUMIFS(INDEX(Inputs!$D$4:$AG$150,0,MATCH(T$2,Inputs!$D$2:$AG$2,0)),Inputs!$B$4:$B$150,$B7)/1000)</f>
        <v>-9</v>
      </c>
      <c r="U7" s="11">
        <f>IF(U$3=0,"",SUMIFS(INDEX(Inputs!$D$4:$AG$150,0,MATCH(U$2,Inputs!$D$2:$AG$2,0)),Inputs!$B$4:$B$150,$B7)/1000)</f>
        <v>-9</v>
      </c>
      <c r="V7" s="11">
        <f>IF(V$3=0,"",SUMIFS(INDEX(Inputs!$D$4:$AG$150,0,MATCH(V$2,Inputs!$D$2:$AG$2,0)),Inputs!$B$4:$B$150,$B7)/1000)</f>
        <v>-9.021</v>
      </c>
      <c r="W7" s="12">
        <f>IF(COUNT(S7:V7)=4,SUM(S7:V7),"")</f>
        <v>-36.002</v>
      </c>
      <c r="X7" s="11">
        <f>IF(X$3=0,"",SUMIFS(INDEX(Inputs!$D$4:$AG$150,0,MATCH(X$2,Inputs!$D$2:$AG$2,0)),Inputs!$B$4:$B$150,$B7)/1000)</f>
        <v>-8.975</v>
      </c>
      <c r="Y7" s="11">
        <f>IF(Y$3=0,"",SUMIFS(INDEX(Inputs!$D$4:$AG$150,0,MATCH(Y$2,Inputs!$D$2:$AG$2,0)),Inputs!$B$4:$B$150,$B7)/1000)</f>
        <v>-9</v>
      </c>
      <c r="Z7" s="11">
        <f>IF(Z$3=0,"",SUMIFS(INDEX(Inputs!$D$4:$AG$150,0,MATCH(Z$2,Inputs!$D$2:$AG$2,0)),Inputs!$B$4:$B$150,$B7)/1000)</f>
        <v>-9</v>
      </c>
      <c r="AA7" s="11">
        <f>IF(AA$3=0,"",SUMIFS(INDEX(Inputs!$D$4:$AG$150,0,MATCH(AA$2,Inputs!$D$2:$AG$2,0)),Inputs!$B$4:$B$150,$B7)/1000)</f>
        <v>-9.099</v>
      </c>
      <c r="AB7" s="12">
        <f>IF(COUNT(X7:AA7)=4,SUM(X7:AA7),"")</f>
        <v>-36.074</v>
      </c>
      <c r="AC7" s="11">
        <f>IF(AC$3=0,"",SUMIFS(INDEX(Inputs!$D$4:$AG$150,0,MATCH(AC$2,Inputs!$D$2:$AG$2,0)),Inputs!$B$4:$B$150,$B7)/1000)</f>
        <v>-9.035</v>
      </c>
      <c r="AD7" s="11">
        <f>IF(AD$3=0,"",SUMIFS(INDEX(Inputs!$D$4:$AG$150,0,MATCH(AD$2,Inputs!$D$2:$AG$2,0)),Inputs!$B$4:$B$150,$B7)/1000)</f>
        <v>-9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-44.983</v>
      </c>
      <c r="E8" s="11">
        <f>IF(E$3=0,"",SUMIFS(INDEX(Inputs!$D$4:$AG$150,0,MATCH(E$2,Inputs!$D$2:$AG$2,0)),Inputs!$B$4:$B$150,$B8)/1000)</f>
        <v>-44.322</v>
      </c>
      <c r="F8" s="11">
        <f>IF(F$3=0,"",SUMIFS(INDEX(Inputs!$D$4:$AG$150,0,MATCH(F$2,Inputs!$D$2:$AG$2,0)),Inputs!$B$4:$B$150,$B8)/1000)</f>
        <v>-52.413</v>
      </c>
      <c r="G8" s="11">
        <f>IF(G$3=0,"",SUMIFS(INDEX(Inputs!$D$4:$AG$150,0,MATCH(G$2,Inputs!$D$2:$AG$2,0)),Inputs!$B$4:$B$150,$B8)/1000)</f>
        <v>-56.55</v>
      </c>
      <c r="H8" s="12">
        <f>IF(COUNT(D8:G8)=4,SUM(D8:G8),"")</f>
        <v>-198.268</v>
      </c>
      <c r="I8" s="11">
        <f>IF(I$3=0,"",SUMIFS(INDEX(Inputs!$D$4:$AG$150,0,MATCH(I$2,Inputs!$D$2:$AG$2,0)),Inputs!$B$4:$B$150,$B8)/1000)</f>
        <v>-66.747</v>
      </c>
      <c r="J8" s="11">
        <f>IF(J$3=0,"",SUMIFS(INDEX(Inputs!$D$4:$AG$150,0,MATCH(J$2,Inputs!$D$2:$AG$2,0)),Inputs!$B$4:$B$150,$B8)/1000)</f>
        <v>-69.642</v>
      </c>
      <c r="K8" s="11">
        <f>IF(K$3=0,"",SUMIFS(INDEX(Inputs!$D$4:$AG$150,0,MATCH(K$2,Inputs!$D$2:$AG$2,0)),Inputs!$B$4:$B$150,$B8)/1000)</f>
        <v>-80.507</v>
      </c>
      <c r="L8" s="11">
        <f>IF(L$3=0,"",SUMIFS(INDEX(Inputs!$D$4:$AG$150,0,MATCH(L$2,Inputs!$D$2:$AG$2,0)),Inputs!$B$4:$B$150,$B8)/1000)</f>
        <v>-100.329</v>
      </c>
      <c r="M8" s="12">
        <f>IF(COUNT(I8:L8)=4,SUM(I8:L8),"")</f>
        <v>-317.225</v>
      </c>
      <c r="N8" s="11">
        <f>IF(N$3=0,"",SUMIFS(INDEX(Inputs!$D$4:$AG$150,0,MATCH(N$2,Inputs!$D$2:$AG$2,0)),Inputs!$B$4:$B$150,$B8)/1000)</f>
        <v>-104.441</v>
      </c>
      <c r="O8" s="11">
        <f>IF(O$3=0,"",SUMIFS(INDEX(Inputs!$D$4:$AG$150,0,MATCH(O$2,Inputs!$D$2:$AG$2,0)),Inputs!$B$4:$B$150,$B8)/1000)</f>
        <v>-108.096</v>
      </c>
      <c r="P8" s="11">
        <f>IF(P$3=0,"",SUMIFS(INDEX(Inputs!$D$4:$AG$150,0,MATCH(P$2,Inputs!$D$2:$AG$2,0)),Inputs!$B$4:$B$150,$B8)/1000)</f>
        <v>-110.599</v>
      </c>
      <c r="Q8" s="11">
        <f>IF(Q$3=0,"",SUMIFS(INDEX(Inputs!$D$4:$AG$150,0,MATCH(Q$2,Inputs!$D$2:$AG$2,0)),Inputs!$B$4:$B$150,$B8)/1000)</f>
        <v>-108.732</v>
      </c>
      <c r="R8" s="12">
        <f>IF(COUNT(N8:Q8)=4,SUM(N8:Q8),"")</f>
        <v>-431.868</v>
      </c>
      <c r="S8" s="11">
        <f>IF(S$3=0,"",SUMIFS(INDEX(Inputs!$D$4:$AG$150,0,MATCH(S$2,Inputs!$D$2:$AG$2,0)),Inputs!$B$4:$B$150,$B8)/1000)</f>
        <v>-108.203</v>
      </c>
      <c r="T8" s="11">
        <f>IF(T$3=0,"",SUMIFS(INDEX(Inputs!$D$4:$AG$150,0,MATCH(T$2,Inputs!$D$2:$AG$2,0)),Inputs!$B$4:$B$150,$B8)/1000)</f>
        <v>-108.616</v>
      </c>
      <c r="U8" s="11">
        <f>IF(U$3=0,"",SUMIFS(INDEX(Inputs!$D$4:$AG$150,0,MATCH(U$2,Inputs!$D$2:$AG$2,0)),Inputs!$B$4:$B$150,$B8)/1000)</f>
        <v>-111.337</v>
      </c>
      <c r="V8" s="11">
        <f>IF(V$3=0,"",SUMIFS(INDEX(Inputs!$D$4:$AG$150,0,MATCH(V$2,Inputs!$D$2:$AG$2,0)),Inputs!$B$4:$B$150,$B8)/1000)</f>
        <v>-115.532</v>
      </c>
      <c r="W8" s="12">
        <f>IF(COUNT(S8:V8)=4,SUM(S8:V8),"")</f>
        <v>-443.688</v>
      </c>
      <c r="X8" s="11">
        <f>IF(X$3=0,"",SUMIFS(INDEX(Inputs!$D$4:$AG$150,0,MATCH(X$2,Inputs!$D$2:$AG$2,0)),Inputs!$B$4:$B$150,$B8)/1000)</f>
        <v>-118.115</v>
      </c>
      <c r="Y8" s="11">
        <f>IF(Y$3=0,"",SUMIFS(INDEX(Inputs!$D$4:$AG$150,0,MATCH(Y$2,Inputs!$D$2:$AG$2,0)),Inputs!$B$4:$B$150,$B8)/1000)</f>
        <v>-135.822</v>
      </c>
      <c r="Z8" s="11">
        <f>IF(Z$3=0,"",SUMIFS(INDEX(Inputs!$D$4:$AG$150,0,MATCH(Z$2,Inputs!$D$2:$AG$2,0)),Inputs!$B$4:$B$150,$B8)/1000)</f>
        <v>-126.288</v>
      </c>
      <c r="AA8" s="11">
        <f>IF(AA$3=0,"",SUMIFS(INDEX(Inputs!$D$4:$AG$150,0,MATCH(AA$2,Inputs!$D$2:$AG$2,0)),Inputs!$B$4:$B$150,$B8)/1000)</f>
        <v>-128.089</v>
      </c>
      <c r="AB8" s="12">
        <f>IF(COUNT(X8:AA8)=4,SUM(X8:AA8),"")</f>
        <v>-508.314</v>
      </c>
      <c r="AC8" s="11">
        <f>IF(AC$3=0,"",SUMIFS(INDEX(Inputs!$D$4:$AG$150,0,MATCH(AC$2,Inputs!$D$2:$AG$2,0)),Inputs!$B$4:$B$150,$B8)/1000)</f>
        <v>-137.053</v>
      </c>
      <c r="AD8" s="11">
        <f>IF(AD$3=0,"",SUMIFS(INDEX(Inputs!$D$4:$AG$150,0,MATCH(AD$2,Inputs!$D$2:$AG$2,0)),Inputs!$B$4:$B$150,$B8)/1000)</f>
        <v>-145.023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123.263</v>
      </c>
      <c r="E9" s="11">
        <f>IF(E$3=0,"",SUMIFS(INDEX(Inputs!$D$4:$AG$150,0,MATCH(E$2,Inputs!$D$2:$AG$2,0)),Inputs!$B$4:$B$150,$B9)/1000)</f>
        <v>126.724</v>
      </c>
      <c r="F9" s="11">
        <f>IF(F$3=0,"",SUMIFS(INDEX(Inputs!$D$4:$AG$150,0,MATCH(F$2,Inputs!$D$2:$AG$2,0)),Inputs!$B$4:$B$150,$B9)/1000)</f>
        <v>94.991</v>
      </c>
      <c r="G9" s="11">
        <f>IF(G$3=0,"",SUMIFS(INDEX(Inputs!$D$4:$AG$150,0,MATCH(G$2,Inputs!$D$2:$AG$2,0)),Inputs!$B$4:$B$150,$B9)/1000)</f>
        <v>113.887</v>
      </c>
      <c r="H9" s="12">
        <f>IF(COUNT(D9:G9)=4,SUM(D9:G9),"")</f>
        <v>458.865</v>
      </c>
      <c r="I9" s="11">
        <f>IF(I$3=0,"",SUMIFS(INDEX(Inputs!$D$4:$AG$150,0,MATCH(I$2,Inputs!$D$2:$AG$2,0)),Inputs!$B$4:$B$150,$B9)/1000)</f>
        <v>51.637</v>
      </c>
      <c r="J9" s="11">
        <f>IF(J$3=0,"",SUMIFS(INDEX(Inputs!$D$4:$AG$150,0,MATCH(J$2,Inputs!$D$2:$AG$2,0)),Inputs!$B$4:$B$150,$B9)/1000)</f>
        <v>-104.339</v>
      </c>
      <c r="K9" s="11">
        <f>IF(K$3=0,"",SUMIFS(INDEX(Inputs!$D$4:$AG$150,0,MATCH(K$2,Inputs!$D$2:$AG$2,0)),Inputs!$B$4:$B$150,$B9)/1000)</f>
        <v>1.178</v>
      </c>
      <c r="L9" s="11">
        <f>IF(L$3=0,"",SUMIFS(INDEX(Inputs!$D$4:$AG$150,0,MATCH(L$2,Inputs!$D$2:$AG$2,0)),Inputs!$B$4:$B$150,$B9)/1000)</f>
        <v>-31.335</v>
      </c>
      <c r="M9" s="12">
        <f>IF(COUNT(I9:L9)=4,SUM(I9:L9),"")</f>
        <v>-82.859</v>
      </c>
      <c r="N9" s="11">
        <f>IF(N$3=0,"",SUMIFS(INDEX(Inputs!$D$4:$AG$150,0,MATCH(N$2,Inputs!$D$2:$AG$2,0)),Inputs!$B$4:$B$150,$B9)/1000)</f>
        <v>65.856</v>
      </c>
      <c r="O9" s="11">
        <f>IF(O$3=0,"",SUMIFS(INDEX(Inputs!$D$4:$AG$150,0,MATCH(O$2,Inputs!$D$2:$AG$2,0)),Inputs!$B$4:$B$150,$B9)/1000)</f>
        <v>87.595</v>
      </c>
      <c r="P9" s="11">
        <f>IF(P$3=0,"",SUMIFS(INDEX(Inputs!$D$4:$AG$150,0,MATCH(P$2,Inputs!$D$2:$AG$2,0)),Inputs!$B$4:$B$150,$B9)/1000)</f>
        <v>-49.078</v>
      </c>
      <c r="Q9" s="11">
        <f>IF(Q$3=0,"",SUMIFS(INDEX(Inputs!$D$4:$AG$150,0,MATCH(Q$2,Inputs!$D$2:$AG$2,0)),Inputs!$B$4:$B$150,$B9)/1000)</f>
        <v>-188.37</v>
      </c>
      <c r="R9" s="12">
        <f>IF(COUNT(N9:Q9)=4,SUM(N9:Q9),"")</f>
        <v>-83.997</v>
      </c>
      <c r="S9" s="11">
        <f>IF(S$3=0,"",SUMIFS(INDEX(Inputs!$D$4:$AG$150,0,MATCH(S$2,Inputs!$D$2:$AG$2,0)),Inputs!$B$4:$B$150,$B9)/1000)</f>
        <v>-17.767</v>
      </c>
      <c r="T9" s="11">
        <f>IF(T$3=0,"",SUMIFS(INDEX(Inputs!$D$4:$AG$150,0,MATCH(T$2,Inputs!$D$2:$AG$2,0)),Inputs!$B$4:$B$150,$B9)/1000)</f>
        <v>44.934</v>
      </c>
      <c r="U9" s="11">
        <f>IF(U$3=0,"",SUMIFS(INDEX(Inputs!$D$4:$AG$150,0,MATCH(U$2,Inputs!$D$2:$AG$2,0)),Inputs!$B$4:$B$150,$B9)/1000)</f>
        <v>42.842</v>
      </c>
      <c r="V9" s="11">
        <f>IF(V$3=0,"",SUMIFS(INDEX(Inputs!$D$4:$AG$150,0,MATCH(V$2,Inputs!$D$2:$AG$2,0)),Inputs!$B$4:$B$150,$B9)/1000)</f>
        <v>-21.171</v>
      </c>
      <c r="W9" s="12">
        <f>IF(COUNT(S9:V9)=4,SUM(S9:V9),"")</f>
        <v>48.838</v>
      </c>
      <c r="X9" s="11">
        <f>IF(X$3=0,"",SUMIFS(INDEX(Inputs!$D$4:$AG$150,0,MATCH(X$2,Inputs!$D$2:$AG$2,0)),Inputs!$B$4:$B$150,$B9)/1000)</f>
        <v>57.575</v>
      </c>
      <c r="Y9" s="11">
        <f>IF(Y$3=0,"",SUMIFS(INDEX(Inputs!$D$4:$AG$150,0,MATCH(Y$2,Inputs!$D$2:$AG$2,0)),Inputs!$B$4:$B$150,$B9)/1000)</f>
        <v>136.33</v>
      </c>
      <c r="Z9" s="11">
        <f>IF(Z$3=0,"",SUMIFS(INDEX(Inputs!$D$4:$AG$150,0,MATCH(Z$2,Inputs!$D$2:$AG$2,0)),Inputs!$B$4:$B$150,$B9)/1000)</f>
        <v>108.634</v>
      </c>
      <c r="AA9" s="11">
        <f>IF(AA$3=0,"",SUMIFS(INDEX(Inputs!$D$4:$AG$150,0,MATCH(AA$2,Inputs!$D$2:$AG$2,0)),Inputs!$B$4:$B$150,$B9)/1000)</f>
        <v>121.449</v>
      </c>
      <c r="AB9" s="12">
        <f>IF(COUNT(X9:AA9)=4,SUM(X9:AA9),"")</f>
        <v>423.988</v>
      </c>
      <c r="AC9" s="11">
        <f>IF(AC$3=0,"",SUMIFS(INDEX(Inputs!$D$4:$AG$150,0,MATCH(AC$2,Inputs!$D$2:$AG$2,0)),Inputs!$B$4:$B$150,$B9)/1000)</f>
        <v>99.755</v>
      </c>
      <c r="AD9" s="11">
        <f>IF(AD$3=0,"",SUMIFS(INDEX(Inputs!$D$4:$AG$150,0,MATCH(AD$2,Inputs!$D$2:$AG$2,0)),Inputs!$B$4:$B$150,$B9)/1000)</f>
        <v>140.086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0.447</v>
      </c>
      <c r="E10" s="11">
        <f>IF(E$3=0,"",SUMIFS(INDEX(Inputs!$D$4:$AG$150,0,MATCH(E$2,Inputs!$D$2:$AG$2,0)),Inputs!$B$4:$B$150,$B10)/1000)</f>
        <v>-288.25</v>
      </c>
      <c r="F10" s="11">
        <f>IF(F$3=0,"",SUMIFS(INDEX(Inputs!$D$4:$AG$150,0,MATCH(F$2,Inputs!$D$2:$AG$2,0)),Inputs!$B$4:$B$150,$B10)/1000)</f>
        <v>-458.904</v>
      </c>
      <c r="G10" s="11">
        <f>IF(G$3=0,"",SUMIFS(INDEX(Inputs!$D$4:$AG$150,0,MATCH(G$2,Inputs!$D$2:$AG$2,0)),Inputs!$B$4:$B$150,$B10)/1000)</f>
        <v>-437.694</v>
      </c>
      <c r="H10" s="12">
        <f>IF(COUNT(D10:G10)=4,SUM(D10:G10),"")</f>
        <v>-1184.401</v>
      </c>
      <c r="I10" s="11">
        <f>IF(I$3=0,"",SUMIFS(INDEX(Inputs!$D$4:$AG$150,0,MATCH(I$2,Inputs!$D$2:$AG$2,0)),Inputs!$B$4:$B$150,$B10)/1000)</f>
        <v>-483.281</v>
      </c>
      <c r="J10" s="11">
        <f>IF(J$3=0,"",SUMIFS(INDEX(Inputs!$D$4:$AG$150,0,MATCH(J$2,Inputs!$D$2:$AG$2,0)),Inputs!$B$4:$B$150,$B10)/1000)</f>
        <v>-36.514</v>
      </c>
      <c r="K10" s="11">
        <f>IF(K$3=0,"",SUMIFS(INDEX(Inputs!$D$4:$AG$150,0,MATCH(K$2,Inputs!$D$2:$AG$2,0)),Inputs!$B$4:$B$150,$B10)/1000)</f>
        <v>-94.231</v>
      </c>
      <c r="L10" s="11">
        <f>IF(L$3=0,"",SUMIFS(INDEX(Inputs!$D$4:$AG$150,0,MATCH(L$2,Inputs!$D$2:$AG$2,0)),Inputs!$B$4:$B$150,$B10)/1000)</f>
        <v>141.146</v>
      </c>
      <c r="M10" s="12">
        <f>IF(COUNT(I10:L10)=4,SUM(I10:L10),"")</f>
        <v>-472.88</v>
      </c>
      <c r="N10" s="11">
        <f>IF(N$3=0,"",SUMIFS(INDEX(Inputs!$D$4:$AG$150,0,MATCH(N$2,Inputs!$D$2:$AG$2,0)),Inputs!$B$4:$B$150,$B10)/1000)</f>
        <v>-47.675</v>
      </c>
      <c r="O10" s="11">
        <f>IF(O$3=0,"",SUMIFS(INDEX(Inputs!$D$4:$AG$150,0,MATCH(O$2,Inputs!$D$2:$AG$2,0)),Inputs!$B$4:$B$150,$B10)/1000)</f>
        <v>-223.269</v>
      </c>
      <c r="P10" s="11">
        <f>IF(P$3=0,"",SUMIFS(INDEX(Inputs!$D$4:$AG$150,0,MATCH(P$2,Inputs!$D$2:$AG$2,0)),Inputs!$B$4:$B$150,$B10)/1000)</f>
        <v>-196.56</v>
      </c>
      <c r="Q10" s="11">
        <f>IF(Q$3=0,"",SUMIFS(INDEX(Inputs!$D$4:$AG$150,0,MATCH(Q$2,Inputs!$D$2:$AG$2,0)),Inputs!$B$4:$B$150,$B10)/1000)</f>
        <v>-45.957</v>
      </c>
      <c r="R10" s="12">
        <f>IF(COUNT(N10:Q10)=4,SUM(N10:Q10),"")</f>
        <v>-513.461</v>
      </c>
      <c r="S10" s="11">
        <f>IF(S$3=0,"",SUMIFS(INDEX(Inputs!$D$4:$AG$150,0,MATCH(S$2,Inputs!$D$2:$AG$2,0)),Inputs!$B$4:$B$150,$B10)/1000)</f>
        <v>-283.671</v>
      </c>
      <c r="T10" s="11">
        <f>IF(T$3=0,"",SUMIFS(INDEX(Inputs!$D$4:$AG$150,0,MATCH(T$2,Inputs!$D$2:$AG$2,0)),Inputs!$B$4:$B$150,$B10)/1000)</f>
        <v>-260.246</v>
      </c>
      <c r="U10" s="11">
        <f>IF(U$3=0,"",SUMIFS(INDEX(Inputs!$D$4:$AG$150,0,MATCH(U$2,Inputs!$D$2:$AG$2,0)),Inputs!$B$4:$B$150,$B10)/1000)</f>
        <v>-245.303</v>
      </c>
      <c r="V10" s="11">
        <f>IF(V$3=0,"",SUMIFS(INDEX(Inputs!$D$4:$AG$150,0,MATCH(V$2,Inputs!$D$2:$AG$2,0)),Inputs!$B$4:$B$150,$B10)/1000)</f>
        <v>-232.451</v>
      </c>
      <c r="W10" s="12">
        <f>IF(COUNT(S10:V10)=4,SUM(S10:V10),"")</f>
        <v>-1021.671</v>
      </c>
      <c r="X10" s="11">
        <f>IF(X$3=0,"",SUMIFS(INDEX(Inputs!$D$4:$AG$150,0,MATCH(X$2,Inputs!$D$2:$AG$2,0)),Inputs!$B$4:$B$150,$B10)/1000)</f>
        <v>-243.827</v>
      </c>
      <c r="Y10" s="11">
        <f>IF(Y$3=0,"",SUMIFS(INDEX(Inputs!$D$4:$AG$150,0,MATCH(Y$2,Inputs!$D$2:$AG$2,0)),Inputs!$B$4:$B$150,$B10)/1000)</f>
        <v>-289.494</v>
      </c>
      <c r="Z10" s="11">
        <f>IF(Z$3=0,"",SUMIFS(INDEX(Inputs!$D$4:$AG$150,0,MATCH(Z$2,Inputs!$D$2:$AG$2,0)),Inputs!$B$4:$B$150,$B10)/1000)</f>
        <v>-209.657</v>
      </c>
      <c r="AA10" s="11">
        <f>IF(AA$3=0,"",SUMIFS(INDEX(Inputs!$D$4:$AG$150,0,MATCH(AA$2,Inputs!$D$2:$AG$2,0)),Inputs!$B$4:$B$150,$B10)/1000)</f>
        <v>-382.045</v>
      </c>
      <c r="AB10" s="12">
        <f>IF(COUNT(X10:AA10)=4,SUM(X10:AA10),"")</f>
        <v>-1125.023</v>
      </c>
      <c r="AC10" s="11">
        <f>IF(AC$3=0,"",SUMIFS(INDEX(Inputs!$D$4:$AG$150,0,MATCH(AC$2,Inputs!$D$2:$AG$2,0)),Inputs!$B$4:$B$150,$B10)/1000)</f>
        <v>-197.15</v>
      </c>
      <c r="AD10" s="11">
        <f>IF(AD$3=0,"",SUMIFS(INDEX(Inputs!$D$4:$AG$150,0,MATCH(AD$2,Inputs!$D$2:$AG$2,0)),Inputs!$B$4:$B$150,$B10)/1000)</f>
        <v>-452.386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-1623.263</v>
      </c>
      <c r="E11" s="11">
        <f>IF(E$3=0,"",SUMIFS(INDEX(Inputs!$D$4:$AG$150,0,MATCH(E$2,Inputs!$D$2:$AG$2,0)),Inputs!$B$4:$B$150,$B11)/1000)</f>
        <v>-1548.346</v>
      </c>
      <c r="F11" s="11">
        <f>IF(F$3=0,"",SUMIFS(INDEX(Inputs!$D$4:$AG$150,0,MATCH(F$2,Inputs!$D$2:$AG$2,0)),Inputs!$B$4:$B$150,$B11)/1000)</f>
        <v>-1804.098</v>
      </c>
      <c r="G11" s="11">
        <f>IF(G$3=0,"",SUMIFS(INDEX(Inputs!$D$4:$AG$150,0,MATCH(G$2,Inputs!$D$2:$AG$2,0)),Inputs!$B$4:$B$150,$B11)/1000)</f>
        <v>-1541.891</v>
      </c>
      <c r="H11" s="12">
        <f>IF(COUNT(D11:G11)=4,SUM(D11:G11),"")</f>
        <v>-6517.598</v>
      </c>
      <c r="I11" s="11">
        <f>IF(I$3=0,"",SUMIFS(INDEX(Inputs!$D$4:$AG$150,0,MATCH(I$2,Inputs!$D$2:$AG$2,0)),Inputs!$B$4:$B$150,$B11)/1000)</f>
        <v>-1280.74</v>
      </c>
      <c r="J11" s="11">
        <f>IF(J$3=0,"",SUMIFS(INDEX(Inputs!$D$4:$AG$150,0,MATCH(J$2,Inputs!$D$2:$AG$2,0)),Inputs!$B$4:$B$150,$B11)/1000)</f>
        <v>226.353</v>
      </c>
      <c r="K11" s="11">
        <f>IF(K$3=0,"",SUMIFS(INDEX(Inputs!$D$4:$AG$150,0,MATCH(K$2,Inputs!$D$2:$AG$2,0)),Inputs!$B$4:$B$150,$B11)/1000)</f>
        <v>-1.404</v>
      </c>
      <c r="L11" s="11">
        <f>IF(L$3=0,"",SUMIFS(INDEX(Inputs!$D$4:$AG$150,0,MATCH(L$2,Inputs!$D$2:$AG$2,0)),Inputs!$B$4:$B$150,$B11)/1000)</f>
        <v>-185.487</v>
      </c>
      <c r="M11" s="12">
        <f>IF(COUNT(I11:L11)=4,SUM(I11:L11),"")</f>
        <v>-1241.278</v>
      </c>
      <c r="N11" s="11">
        <f>IF(N$3=0,"",SUMIFS(INDEX(Inputs!$D$4:$AG$150,0,MATCH(N$2,Inputs!$D$2:$AG$2,0)),Inputs!$B$4:$B$150,$B11)/1000)</f>
        <v>-124.869</v>
      </c>
      <c r="O11" s="11">
        <f>IF(O$3=0,"",SUMIFS(INDEX(Inputs!$D$4:$AG$150,0,MATCH(O$2,Inputs!$D$2:$AG$2,0)),Inputs!$B$4:$B$150,$B11)/1000)</f>
        <v>-602.433</v>
      </c>
      <c r="P11" s="11">
        <f>IF(P$3=0,"",SUMIFS(INDEX(Inputs!$D$4:$AG$150,0,MATCH(P$2,Inputs!$D$2:$AG$2,0)),Inputs!$B$4:$B$150,$B11)/1000)</f>
        <v>-368.748</v>
      </c>
      <c r="Q11" s="11">
        <f>IF(Q$3=0,"",SUMIFS(INDEX(Inputs!$D$4:$AG$150,0,MATCH(Q$2,Inputs!$D$2:$AG$2,0)),Inputs!$B$4:$B$150,$B11)/1000)</f>
        <v>42.677</v>
      </c>
      <c r="R11" s="12">
        <f>IF(COUNT(N11:Q11)=4,SUM(N11:Q11),"")</f>
        <v>-1053.373</v>
      </c>
      <c r="S11" s="11">
        <f>IF(S$3=0,"",SUMIFS(INDEX(Inputs!$D$4:$AG$150,0,MATCH(S$2,Inputs!$D$2:$AG$2,0)),Inputs!$B$4:$B$150,$B11)/1000)</f>
        <v>-748.597</v>
      </c>
      <c r="T11" s="11">
        <f>IF(T$3=0,"",SUMIFS(INDEX(Inputs!$D$4:$AG$150,0,MATCH(T$2,Inputs!$D$2:$AG$2,0)),Inputs!$B$4:$B$150,$B11)/1000)</f>
        <v>-503.949</v>
      </c>
      <c r="U11" s="11">
        <f>IF(U$3=0,"",SUMIFS(INDEX(Inputs!$D$4:$AG$150,0,MATCH(U$2,Inputs!$D$2:$AG$2,0)),Inputs!$B$4:$B$150,$B11)/1000)</f>
        <v>-783.802</v>
      </c>
      <c r="V11" s="11">
        <f>IF(V$3=0,"",SUMIFS(INDEX(Inputs!$D$4:$AG$150,0,MATCH(V$2,Inputs!$D$2:$AG$2,0)),Inputs!$B$4:$B$150,$B11)/1000)</f>
        <v>-624.953</v>
      </c>
      <c r="W11" s="12">
        <f>IF(COUNT(S11:V11)=4,SUM(S11:V11),"")</f>
        <v>-2661.301</v>
      </c>
      <c r="X11" s="11">
        <f>IF(X$3=0,"",SUMIFS(INDEX(Inputs!$D$4:$AG$150,0,MATCH(X$2,Inputs!$D$2:$AG$2,0)),Inputs!$B$4:$B$150,$B11)/1000)</f>
        <v>-593.922</v>
      </c>
      <c r="Y11" s="11">
        <f>IF(Y$3=0,"",SUMIFS(INDEX(Inputs!$D$4:$AG$150,0,MATCH(Y$2,Inputs!$D$2:$AG$2,0)),Inputs!$B$4:$B$150,$B11)/1000)</f>
        <v>-861.889</v>
      </c>
      <c r="Z11" s="11">
        <f>IF(Z$3=0,"",SUMIFS(INDEX(Inputs!$D$4:$AG$150,0,MATCH(Z$2,Inputs!$D$2:$AG$2,0)),Inputs!$B$4:$B$150,$B11)/1000)</f>
        <v>-612.008</v>
      </c>
      <c r="AA11" s="11">
        <f>IF(AA$3=0,"",SUMIFS(INDEX(Inputs!$D$4:$AG$150,0,MATCH(AA$2,Inputs!$D$2:$AG$2,0)),Inputs!$B$4:$B$150,$B11)/1000)</f>
        <v>-959.59</v>
      </c>
      <c r="AB11" s="12">
        <f>IF(COUNT(X11:AA11)=4,SUM(X11:AA11),"")</f>
        <v>-3027.409</v>
      </c>
      <c r="AC11" s="11">
        <f>IF(AC$3=0,"",SUMIFS(INDEX(Inputs!$D$4:$AG$150,0,MATCH(AC$2,Inputs!$D$2:$AG$2,0)),Inputs!$B$4:$B$150,$B11)/1000)</f>
        <v>-608.178</v>
      </c>
      <c r="AD11" s="11">
        <f>IF(AD$3=0,"",SUMIFS(INDEX(Inputs!$D$4:$AG$150,0,MATCH(AD$2,Inputs!$D$2:$AG$2,0)),Inputs!$B$4:$B$150,$B11)/1000)</f>
        <v>-1126.877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</v>
      </c>
      <c r="E12" s="11">
        <f>IF(E$3=0,"",SUMIFS(INDEX(Inputs!$D$4:$AG$150,0,MATCH(E$2,Inputs!$D$2:$AG$2,0)),Inputs!$B$4:$B$150,$B12)/1000)</f>
        <v>0</v>
      </c>
      <c r="F12" s="11">
        <f>IF(F$3=0,"",SUMIFS(INDEX(Inputs!$D$4:$AG$150,0,MATCH(F$2,Inputs!$D$2:$AG$2,0)),Inputs!$B$4:$B$150,$B12)/1000)</f>
        <v>0</v>
      </c>
      <c r="G12" s="11">
        <f>IF(G$3=0,"",SUMIFS(INDEX(Inputs!$D$4:$AG$150,0,MATCH(G$2,Inputs!$D$2:$AG$2,0)),Inputs!$B$4:$B$150,$B12)/1000)</f>
        <v>0</v>
      </c>
      <c r="H12" s="12">
        <f>IF(COUNT(D12:G12)=4,SUM(D12:G12),"")</f>
        <v>0</v>
      </c>
      <c r="I12" s="11">
        <f>IF(I$3=0,"",SUMIFS(INDEX(Inputs!$D$4:$AG$150,0,MATCH(I$2,Inputs!$D$2:$AG$2,0)),Inputs!$B$4:$B$150,$B12)/1000)</f>
        <v>0</v>
      </c>
      <c r="J12" s="11">
        <f>IF(J$3=0,"",SUMIFS(INDEX(Inputs!$D$4:$AG$150,0,MATCH(J$2,Inputs!$D$2:$AG$2,0)),Inputs!$B$4:$B$150,$B12)/1000)</f>
        <v>0</v>
      </c>
      <c r="K12" s="11">
        <f>IF(K$3=0,"",SUMIFS(INDEX(Inputs!$D$4:$AG$150,0,MATCH(K$2,Inputs!$D$2:$AG$2,0)),Inputs!$B$4:$B$150,$B12)/1000)</f>
        <v>0</v>
      </c>
      <c r="L12" s="11">
        <f>IF(L$3=0,"",SUMIFS(INDEX(Inputs!$D$4:$AG$150,0,MATCH(L$2,Inputs!$D$2:$AG$2,0)),Inputs!$B$4:$B$150,$B12)/1000)</f>
        <v>0</v>
      </c>
      <c r="M12" s="12">
        <f>IF(COUNT(I12:L12)=4,SUM(I12:L12),"")</f>
        <v>0</v>
      </c>
      <c r="N12" s="11">
        <f>IF(N$3=0,"",SUMIFS(INDEX(Inputs!$D$4:$AG$150,0,MATCH(N$2,Inputs!$D$2:$AG$2,0)),Inputs!$B$4:$B$150,$B12)/1000)</f>
        <v>0</v>
      </c>
      <c r="O12" s="11">
        <f>IF(O$3=0,"",SUMIFS(INDEX(Inputs!$D$4:$AG$150,0,MATCH(O$2,Inputs!$D$2:$AG$2,0)),Inputs!$B$4:$B$150,$B12)/1000)</f>
        <v>0</v>
      </c>
      <c r="P12" s="11">
        <f>IF(P$3=0,"",SUMIFS(INDEX(Inputs!$D$4:$AG$150,0,MATCH(P$2,Inputs!$D$2:$AG$2,0)),Inputs!$B$4:$B$150,$B12)/1000)</f>
        <v>0</v>
      </c>
      <c r="Q12" s="11">
        <f>IF(Q$3=0,"",SUMIFS(INDEX(Inputs!$D$4:$AG$150,0,MATCH(Q$2,Inputs!$D$2:$AG$2,0)),Inputs!$B$4:$B$150,$B12)/1000)</f>
        <v>0</v>
      </c>
      <c r="R12" s="12">
        <f>IF(COUNT(N12:Q12)=4,SUM(N12:Q12),"")</f>
        <v>0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0</v>
      </c>
      <c r="U12" s="11">
        <f>IF(U$3=0,"",SUMIFS(INDEX(Inputs!$D$4:$AG$150,0,MATCH(U$2,Inputs!$D$2:$AG$2,0)),Inputs!$B$4:$B$150,$B12)/1000)</f>
        <v>0</v>
      </c>
      <c r="V12" s="11">
        <f>IF(V$3=0,"",SUMIFS(INDEX(Inputs!$D$4:$AG$150,0,MATCH(V$2,Inputs!$D$2:$AG$2,0)),Inputs!$B$4:$B$150,$B12)/1000)</f>
        <v>0</v>
      </c>
      <c r="W12" s="12">
        <f>IF(COUNT(S12:V12)=4,SUM(S12:V12),"")</f>
        <v>0</v>
      </c>
      <c r="X12" s="11">
        <f>IF(X$3=0,"",SUMIFS(INDEX(Inputs!$D$4:$AG$150,0,MATCH(X$2,Inputs!$D$2:$AG$2,0)),Inputs!$B$4:$B$150,$B12)/1000)</f>
        <v>0</v>
      </c>
      <c r="Y12" s="11">
        <f>IF(Y$3=0,"",SUMIFS(INDEX(Inputs!$D$4:$AG$150,0,MATCH(Y$2,Inputs!$D$2:$AG$2,0)),Inputs!$B$4:$B$150,$B12)/1000)</f>
        <v>0</v>
      </c>
      <c r="Z12" s="11">
        <f>IF(Z$3=0,"",SUMIFS(INDEX(Inputs!$D$4:$AG$150,0,MATCH(Z$2,Inputs!$D$2:$AG$2,0)),Inputs!$B$4:$B$150,$B12)/1000)</f>
        <v>0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0</v>
      </c>
      <c r="AC12" s="11">
        <f>IF(AC$3=0,"",SUMIFS(INDEX(Inputs!$D$4:$AG$150,0,MATCH(AC$2,Inputs!$D$2:$AG$2,0)),Inputs!$B$4:$B$150,$B12)/1000)</f>
        <v>0</v>
      </c>
      <c r="AD12" s="11">
        <f>IF(AD$3=0,"",SUMIFS(INDEX(Inputs!$D$4:$AG$150,0,MATCH(AD$2,Inputs!$D$2:$AG$2,0)),Inputs!$B$4:$B$150,$B12)/1000)</f>
        <v>0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-1255.128</v>
      </c>
      <c r="E13" s="11">
        <f>IF(E$3=0,"",SUMIFS(INDEX(Inputs!$D$4:$AG$150,0,MATCH(E$2,Inputs!$D$2:$AG$2,0)),Inputs!$B$4:$B$150,$B13)/1000)</f>
        <v>-1023.262</v>
      </c>
      <c r="F13" s="11">
        <f>IF(F$3=0,"",SUMIFS(INDEX(Inputs!$D$4:$AG$150,0,MATCH(F$2,Inputs!$D$2:$AG$2,0)),Inputs!$B$4:$B$150,$B13)/1000)</f>
        <v>-925.25</v>
      </c>
      <c r="G13" s="11">
        <f>IF(G$3=0,"",SUMIFS(INDEX(Inputs!$D$4:$AG$150,0,MATCH(G$2,Inputs!$D$2:$AG$2,0)),Inputs!$B$4:$B$150,$B13)/1000)</f>
        <v>-1398.934</v>
      </c>
      <c r="H13" s="12">
        <f>IF(COUNT(D13:G13)=4,SUM(D13:G13),"")</f>
        <v>-4602.574</v>
      </c>
      <c r="I13" s="11">
        <f>IF(I$3=0,"",SUMIFS(INDEX(Inputs!$D$4:$AG$150,0,MATCH(I$2,Inputs!$D$2:$AG$2,0)),Inputs!$B$4:$B$150,$B13)/1000)</f>
        <v>-1958.044</v>
      </c>
      <c r="J13" s="11">
        <f>IF(J$3=0,"",SUMIFS(INDEX(Inputs!$D$4:$AG$150,0,MATCH(J$2,Inputs!$D$2:$AG$2,0)),Inputs!$B$4:$B$150,$B13)/1000)</f>
        <v>-1663.668</v>
      </c>
      <c r="K13" s="11">
        <f>IF(K$3=0,"",SUMIFS(INDEX(Inputs!$D$4:$AG$150,0,MATCH(K$2,Inputs!$D$2:$AG$2,0)),Inputs!$B$4:$B$150,$B13)/1000)</f>
        <v>-1709.17</v>
      </c>
      <c r="L13" s="11">
        <f>IF(L$3=0,"",SUMIFS(INDEX(Inputs!$D$4:$AG$150,0,MATCH(L$2,Inputs!$D$2:$AG$2,0)),Inputs!$B$4:$B$150,$B13)/1000)</f>
        <v>-1187.903</v>
      </c>
      <c r="M13" s="12">
        <f>IF(COUNT(I13:L13)=4,SUM(I13:L13),"")</f>
        <v>-6518.785</v>
      </c>
      <c r="N13" s="11">
        <f>IF(N$3=0,"",SUMIFS(INDEX(Inputs!$D$4:$AG$150,0,MATCH(N$2,Inputs!$D$2:$AG$2,0)),Inputs!$B$4:$B$150,$B13)/1000)</f>
        <v>-1137.34</v>
      </c>
      <c r="O13" s="11">
        <f>IF(O$3=0,"",SUMIFS(INDEX(Inputs!$D$4:$AG$150,0,MATCH(O$2,Inputs!$D$2:$AG$2,0)),Inputs!$B$4:$B$150,$B13)/1000)</f>
        <v>-1052.741</v>
      </c>
      <c r="P13" s="11">
        <f>IF(P$3=0,"",SUMIFS(INDEX(Inputs!$D$4:$AG$150,0,MATCH(P$2,Inputs!$D$2:$AG$2,0)),Inputs!$B$4:$B$150,$B13)/1000)</f>
        <v>-1039.046</v>
      </c>
      <c r="Q13" s="11">
        <f>IF(Q$3=0,"",SUMIFS(INDEX(Inputs!$D$4:$AG$150,0,MATCH(Q$2,Inputs!$D$2:$AG$2,0)),Inputs!$B$4:$B$150,$B13)/1000)</f>
        <v>-1039.32</v>
      </c>
      <c r="R13" s="12">
        <f>IF(COUNT(N13:Q13)=4,SUM(N13:Q13),"")</f>
        <v>-4268.447</v>
      </c>
      <c r="S13" s="11">
        <f>IF(S$3=0,"",SUMIFS(INDEX(Inputs!$D$4:$AG$150,0,MATCH(S$2,Inputs!$D$2:$AG$2,0)),Inputs!$B$4:$B$150,$B13)/1000)</f>
        <v>-1176.535</v>
      </c>
      <c r="T13" s="11">
        <f>IF(T$3=0,"",SUMIFS(INDEX(Inputs!$D$4:$AG$150,0,MATCH(T$2,Inputs!$D$2:$AG$2,0)),Inputs!$B$4:$B$150,$B13)/1000)</f>
        <v>-1088.076</v>
      </c>
      <c r="U13" s="11">
        <f>IF(U$3=0,"",SUMIFS(INDEX(Inputs!$D$4:$AG$150,0,MATCH(U$2,Inputs!$D$2:$AG$2,0)),Inputs!$B$4:$B$150,$B13)/1000)</f>
        <v>-1071.2</v>
      </c>
      <c r="V13" s="11">
        <f>IF(V$3=0,"",SUMIFS(INDEX(Inputs!$D$4:$AG$150,0,MATCH(V$2,Inputs!$D$2:$AG$2,0)),Inputs!$B$4:$B$150,$B13)/1000)</f>
        <v>-1088.372</v>
      </c>
      <c r="W13" s="12">
        <f>IF(COUNT(S13:V13)=4,SUM(S13:V13),"")</f>
        <v>-4424.183</v>
      </c>
      <c r="X13" s="11">
        <f>IF(X$3=0,"",SUMIFS(INDEX(Inputs!$D$4:$AG$150,0,MATCH(X$2,Inputs!$D$2:$AG$2,0)),Inputs!$B$4:$B$150,$B13)/1000)</f>
        <v>-1858.537</v>
      </c>
      <c r="Y13" s="11">
        <f>IF(Y$3=0,"",SUMIFS(INDEX(Inputs!$D$4:$AG$150,0,MATCH(Y$2,Inputs!$D$2:$AG$2,0)),Inputs!$B$4:$B$150,$B13)/1000)</f>
        <v>-1215.471</v>
      </c>
      <c r="Z13" s="11">
        <f>IF(Z$3=0,"",SUMIFS(INDEX(Inputs!$D$4:$AG$150,0,MATCH(Z$2,Inputs!$D$2:$AG$2,0)),Inputs!$B$4:$B$150,$B13)/1000)</f>
        <v>-1341.824</v>
      </c>
      <c r="AA13" s="11">
        <f>IF(AA$3=0,"",SUMIFS(INDEX(Inputs!$D$4:$AG$150,0,MATCH(AA$2,Inputs!$D$2:$AG$2,0)),Inputs!$B$4:$B$150,$B13)/1000)</f>
        <v>-1597.553</v>
      </c>
      <c r="AB13" s="12">
        <f>IF(COUNT(X13:AA13)=4,SUM(X13:AA13),"")</f>
        <v>-6013.385</v>
      </c>
      <c r="AC13" s="11">
        <f>IF(AC$3=0,"",SUMIFS(INDEX(Inputs!$D$4:$AG$150,0,MATCH(AC$2,Inputs!$D$2:$AG$2,0)),Inputs!$B$4:$B$150,$B13)/1000)</f>
        <v>-1917.928</v>
      </c>
      <c r="AD13" s="11">
        <f>IF(AD$3=0,"",SUMIFS(INDEX(Inputs!$D$4:$AG$150,0,MATCH(AD$2,Inputs!$D$2:$AG$2,0)),Inputs!$B$4:$B$150,$B13)/1000)</f>
        <v>-1528.904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2862.422</v>
      </c>
      <c r="E15" s="11">
        <f>IF(E$3=0,"",SUMIFS(INDEX(Inputs!$D$4:$AG$150,0,MATCH(E$2,Inputs!$D$2:$AG$2,0)),Inputs!$B$4:$B$150,$B15)/1000)</f>
        <v>2467.444</v>
      </c>
      <c r="F15" s="11">
        <f>IF(F$3=0,"",SUMIFS(INDEX(Inputs!$D$4:$AG$150,0,MATCH(F$2,Inputs!$D$2:$AG$2,0)),Inputs!$B$4:$B$150,$B15)/1000)</f>
        <v>5011.433</v>
      </c>
      <c r="G15" s="11">
        <f>IF(G$3=0,"",SUMIFS(INDEX(Inputs!$D$4:$AG$150,0,MATCH(G$2,Inputs!$D$2:$AG$2,0)),Inputs!$B$4:$B$150,$B15)/1000)</f>
        <v>2119.738</v>
      </c>
      <c r="H15" s="12">
        <f>IF(G15="","",G15)</f>
        <v>2119.738</v>
      </c>
      <c r="I15" s="11">
        <f>IF(I$3=0,"",SUMIFS(INDEX(Inputs!$D$4:$AG$150,0,MATCH(I$2,Inputs!$D$2:$AG$2,0)),Inputs!$B$4:$B$150,$B15)/1000)</f>
        <v>3868.567</v>
      </c>
      <c r="J15" s="11">
        <f>IF(J$3=0,"",SUMIFS(INDEX(Inputs!$D$4:$AG$150,0,MATCH(J$2,Inputs!$D$2:$AG$2,0)),Inputs!$B$4:$B$150,$B15)/1000)</f>
        <v>4183.38</v>
      </c>
      <c r="K15" s="11">
        <f>IF(K$3=0,"",SUMIFS(INDEX(Inputs!$D$4:$AG$150,0,MATCH(K$2,Inputs!$D$2:$AG$2,0)),Inputs!$B$4:$B$150,$B15)/1000)</f>
        <v>3480.003</v>
      </c>
      <c r="L15" s="11">
        <f>IF(L$3=0,"",SUMIFS(INDEX(Inputs!$D$4:$AG$150,0,MATCH(L$2,Inputs!$D$2:$AG$2,0)),Inputs!$B$4:$B$150,$B15)/1000)</f>
        <v>4252.003</v>
      </c>
      <c r="M15" s="12">
        <f>IF(L15="","",L15)</f>
        <v>4252.003</v>
      </c>
      <c r="N15" s="11">
        <f>IF(N$3=0,"",SUMIFS(INDEX(Inputs!$D$4:$AG$150,0,MATCH(N$2,Inputs!$D$2:$AG$2,0)),Inputs!$B$4:$B$150,$B15)/1000)</f>
        <v>2830.971</v>
      </c>
      <c r="O15" s="11">
        <f>IF(O$3=0,"",SUMIFS(INDEX(Inputs!$D$4:$AG$150,0,MATCH(O$2,Inputs!$D$2:$AG$2,0)),Inputs!$B$4:$B$150,$B15)/1000)</f>
        <v>3280.204</v>
      </c>
      <c r="P15" s="11">
        <f>IF(P$3=0,"",SUMIFS(INDEX(Inputs!$D$4:$AG$150,0,MATCH(P$2,Inputs!$D$2:$AG$2,0)),Inputs!$B$4:$B$150,$B15)/1000)</f>
        <v>2971.614</v>
      </c>
      <c r="Q15" s="11">
        <f>IF(Q$3=0,"",SUMIFS(INDEX(Inputs!$D$4:$AG$150,0,MATCH(Q$2,Inputs!$D$2:$AG$2,0)),Inputs!$B$4:$B$150,$B15)/1000)</f>
        <v>2955.866</v>
      </c>
      <c r="R15" s="12">
        <f>IF(Q15="","",Q15)</f>
        <v>2955.866</v>
      </c>
      <c r="S15" s="11">
        <f>IF(S$3=0,"",SUMIFS(INDEX(Inputs!$D$4:$AG$150,0,MATCH(S$2,Inputs!$D$2:$AG$2,0)),Inputs!$B$4:$B$150,$B15)/1000)</f>
        <v>2504.471</v>
      </c>
      <c r="T15" s="11">
        <f>IF(T$3=0,"",SUMIFS(INDEX(Inputs!$D$4:$AG$150,0,MATCH(T$2,Inputs!$D$2:$AG$2,0)),Inputs!$B$4:$B$150,$B15)/1000)</f>
        <v>2381.436</v>
      </c>
      <c r="U15" s="11">
        <f>IF(U$3=0,"",SUMIFS(INDEX(Inputs!$D$4:$AG$150,0,MATCH(U$2,Inputs!$D$2:$AG$2,0)),Inputs!$B$4:$B$150,$B15)/1000)</f>
        <v>2353.332</v>
      </c>
      <c r="V15" s="11">
        <f>IF(V$3=0,"",SUMIFS(INDEX(Inputs!$D$4:$AG$150,0,MATCH(V$2,Inputs!$D$2:$AG$2,0)),Inputs!$B$4:$B$150,$B15)/1000)</f>
        <v>1972.14</v>
      </c>
      <c r="W15" s="12">
        <f>IF(V15="","",V15)</f>
        <v>1972.14</v>
      </c>
      <c r="X15" s="11">
        <f>IF(X$3=0,"",SUMIFS(INDEX(Inputs!$D$4:$AG$150,0,MATCH(X$2,Inputs!$D$2:$AG$2,0)),Inputs!$B$4:$B$150,$B15)/1000)</f>
        <v>2386.979</v>
      </c>
      <c r="Y15" s="11">
        <f>IF(Y$3=0,"",SUMIFS(INDEX(Inputs!$D$4:$AG$150,0,MATCH(Y$2,Inputs!$D$2:$AG$2,0)),Inputs!$B$4:$B$150,$B15)/1000)</f>
        <v>2235.499</v>
      </c>
      <c r="Z15" s="11">
        <f>IF(Z$3=0,"",SUMIFS(INDEX(Inputs!$D$4:$AG$150,0,MATCH(Z$2,Inputs!$D$2:$AG$2,0)),Inputs!$B$4:$B$150,$B15)/1000)</f>
        <v>2430.69</v>
      </c>
      <c r="AA15" s="11">
        <f>IF(AA$3=0,"",SUMIFS(INDEX(Inputs!$D$4:$AG$150,0,MATCH(AA$2,Inputs!$D$2:$AG$2,0)),Inputs!$B$4:$B$150,$B15)/1000)</f>
        <v>2631.241</v>
      </c>
      <c r="AB15" s="12">
        <f>IF(AA15="","",AA15)</f>
        <v>2631.241</v>
      </c>
      <c r="AC15" s="11">
        <f>IF(AC$3=0,"",SUMIFS(INDEX(Inputs!$D$4:$AG$150,0,MATCH(AC$2,Inputs!$D$2:$AG$2,0)),Inputs!$B$4:$B$150,$B15)/1000)</f>
        <v>2448.485</v>
      </c>
      <c r="AD15" s="11">
        <f>IF(AD$3=0,"",SUMIFS(INDEX(Inputs!$D$4:$AG$150,0,MATCH(AD$2,Inputs!$D$2:$AG$2,0)),Inputs!$B$4:$B$150,$B15)/1000)</f>
        <v>2507.073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0</v>
      </c>
      <c r="E16" s="11">
        <f>IF(E$3=0,"",SUMIFS(INDEX(Inputs!$D$4:$AG$150,0,MATCH(E$2,Inputs!$D$2:$AG$2,0)),Inputs!$B$4:$B$150,$B16)/1000)</f>
        <v>0</v>
      </c>
      <c r="F16" s="11">
        <f>IF(F$3=0,"",SUMIFS(INDEX(Inputs!$D$4:$AG$150,0,MATCH(F$2,Inputs!$D$2:$AG$2,0)),Inputs!$B$4:$B$150,$B16)/1000)</f>
        <v>0</v>
      </c>
      <c r="G16" s="11">
        <f>IF(G$3=0,"",SUMIFS(INDEX(Inputs!$D$4:$AG$150,0,MATCH(G$2,Inputs!$D$2:$AG$2,0)),Inputs!$B$4:$B$150,$B16)/1000)</f>
        <v>0</v>
      </c>
      <c r="H16" s="12">
        <f>IF(G16="","",G16)</f>
        <v>0</v>
      </c>
      <c r="I16" s="11">
        <f>IF(I$3=0,"",SUMIFS(INDEX(Inputs!$D$4:$AG$150,0,MATCH(I$2,Inputs!$D$2:$AG$2,0)),Inputs!$B$4:$B$150,$B16)/1000)</f>
        <v>0</v>
      </c>
      <c r="J16" s="11">
        <f>IF(J$3=0,"",SUMIFS(INDEX(Inputs!$D$4:$AG$150,0,MATCH(J$2,Inputs!$D$2:$AG$2,0)),Inputs!$B$4:$B$150,$B16)/1000)</f>
        <v>0</v>
      </c>
      <c r="K16" s="11">
        <f>IF(K$3=0,"",SUMIFS(INDEX(Inputs!$D$4:$AG$150,0,MATCH(K$2,Inputs!$D$2:$AG$2,0)),Inputs!$B$4:$B$150,$B16)/1000)</f>
        <v>0</v>
      </c>
      <c r="L16" s="11">
        <f>IF(L$3=0,"",SUMIFS(INDEX(Inputs!$D$4:$AG$150,0,MATCH(L$2,Inputs!$D$2:$AG$2,0)),Inputs!$B$4:$B$150,$B16)/1000)</f>
        <v>0</v>
      </c>
      <c r="M16" s="12">
        <f>IF(L16="","",L16)</f>
        <v>0</v>
      </c>
      <c r="N16" s="11">
        <f>IF(N$3=0,"",SUMIFS(INDEX(Inputs!$D$4:$AG$150,0,MATCH(N$2,Inputs!$D$2:$AG$2,0)),Inputs!$B$4:$B$150,$B16)/1000)</f>
        <v>0</v>
      </c>
      <c r="O16" s="11">
        <f>IF(O$3=0,"",SUMIFS(INDEX(Inputs!$D$4:$AG$150,0,MATCH(O$2,Inputs!$D$2:$AG$2,0)),Inputs!$B$4:$B$150,$B16)/1000)</f>
        <v>0</v>
      </c>
      <c r="P16" s="11">
        <f>IF(P$3=0,"",SUMIFS(INDEX(Inputs!$D$4:$AG$150,0,MATCH(P$2,Inputs!$D$2:$AG$2,0)),Inputs!$B$4:$B$150,$B16)/1000)</f>
        <v>0</v>
      </c>
      <c r="Q16" s="11">
        <f>IF(Q$3=0,"",SUMIFS(INDEX(Inputs!$D$4:$AG$150,0,MATCH(Q$2,Inputs!$D$2:$AG$2,0)),Inputs!$B$4:$B$150,$B16)/1000)</f>
        <v>0</v>
      </c>
      <c r="R16" s="12">
        <f>IF(Q16="","",Q16)</f>
        <v>0</v>
      </c>
      <c r="S16" s="11">
        <f>IF(S$3=0,"",SUMIFS(INDEX(Inputs!$D$4:$AG$150,0,MATCH(S$2,Inputs!$D$2:$AG$2,0)),Inputs!$B$4:$B$150,$B16)/1000)</f>
        <v>0</v>
      </c>
      <c r="T16" s="11">
        <f>IF(T$3=0,"",SUMIFS(INDEX(Inputs!$D$4:$AG$150,0,MATCH(T$2,Inputs!$D$2:$AG$2,0)),Inputs!$B$4:$B$150,$B16)/1000)</f>
        <v>0</v>
      </c>
      <c r="U16" s="11">
        <f>IF(U$3=0,"",SUMIFS(INDEX(Inputs!$D$4:$AG$150,0,MATCH(U$2,Inputs!$D$2:$AG$2,0)),Inputs!$B$4:$B$150,$B16)/1000)</f>
        <v>0</v>
      </c>
      <c r="V16" s="11">
        <f>IF(V$3=0,"",SUMIFS(INDEX(Inputs!$D$4:$AG$150,0,MATCH(V$2,Inputs!$D$2:$AG$2,0)),Inputs!$B$4:$B$150,$B16)/1000)</f>
        <v>0</v>
      </c>
      <c r="W16" s="12">
        <f>IF(V16="","",V16)</f>
        <v>0</v>
      </c>
      <c r="X16" s="11">
        <f>IF(X$3=0,"",SUMIFS(INDEX(Inputs!$D$4:$AG$150,0,MATCH(X$2,Inputs!$D$2:$AG$2,0)),Inputs!$B$4:$B$150,$B16)/1000)</f>
        <v>0</v>
      </c>
      <c r="Y16" s="11">
        <f>IF(Y$3=0,"",SUMIFS(INDEX(Inputs!$D$4:$AG$150,0,MATCH(Y$2,Inputs!$D$2:$AG$2,0)),Inputs!$B$4:$B$150,$B16)/1000)</f>
        <v>0</v>
      </c>
      <c r="Z16" s="11">
        <f>IF(Z$3=0,"",SUMIFS(INDEX(Inputs!$D$4:$AG$150,0,MATCH(Z$2,Inputs!$D$2:$AG$2,0)),Inputs!$B$4:$B$150,$B16)/1000)</f>
        <v>0</v>
      </c>
      <c r="AA16" s="11">
        <f>IF(AA$3=0,"",SUMIFS(INDEX(Inputs!$D$4:$AG$150,0,MATCH(AA$2,Inputs!$D$2:$AG$2,0)),Inputs!$B$4:$B$150,$B16)/1000)</f>
        <v>0</v>
      </c>
      <c r="AB16" s="12">
        <f>IF(AA16="","",AA16)</f>
        <v>0</v>
      </c>
      <c r="AC16" s="11">
        <f>IF(AC$3=0,"",SUMIFS(INDEX(Inputs!$D$4:$AG$150,0,MATCH(AC$2,Inputs!$D$2:$AG$2,0)),Inputs!$B$4:$B$150,$B16)/1000)</f>
        <v>0</v>
      </c>
      <c r="AD16" s="11">
        <f>IF(AD$3=0,"",SUMIFS(INDEX(Inputs!$D$4:$AG$150,0,MATCH(AD$2,Inputs!$D$2:$AG$2,0)),Inputs!$B$4:$B$150,$B16)/1000)</f>
        <v>0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0</v>
      </c>
      <c r="E17" s="11">
        <f>IF(E$3=0,"",SUMIFS(INDEX(Inputs!$D$4:$AG$150,0,MATCH(E$2,Inputs!$D$2:$AG$2,0)),Inputs!$B$4:$B$150,$B17)/1000)</f>
        <v>0</v>
      </c>
      <c r="F17" s="11">
        <f>IF(F$3=0,"",SUMIFS(INDEX(Inputs!$D$4:$AG$150,0,MATCH(F$2,Inputs!$D$2:$AG$2,0)),Inputs!$B$4:$B$150,$B17)/1000)</f>
        <v>0</v>
      </c>
      <c r="G17" s="11">
        <f>IF(G$3=0,"",SUMIFS(INDEX(Inputs!$D$4:$AG$150,0,MATCH(G$2,Inputs!$D$2:$AG$2,0)),Inputs!$B$4:$B$150,$B17)/1000)</f>
        <v>0</v>
      </c>
      <c r="H17" s="12">
        <f>IF(G17="","",G17)</f>
        <v>0</v>
      </c>
      <c r="I17" s="11">
        <f>IF(I$3=0,"",SUMIFS(INDEX(Inputs!$D$4:$AG$150,0,MATCH(I$2,Inputs!$D$2:$AG$2,0)),Inputs!$B$4:$B$150,$B17)/1000)</f>
        <v>0</v>
      </c>
      <c r="J17" s="11">
        <f>IF(J$3=0,"",SUMIFS(INDEX(Inputs!$D$4:$AG$150,0,MATCH(J$2,Inputs!$D$2:$AG$2,0)),Inputs!$B$4:$B$150,$B17)/1000)</f>
        <v>0</v>
      </c>
      <c r="K17" s="11">
        <f>IF(K$3=0,"",SUMIFS(INDEX(Inputs!$D$4:$AG$150,0,MATCH(K$2,Inputs!$D$2:$AG$2,0)),Inputs!$B$4:$B$150,$B17)/1000)</f>
        <v>0</v>
      </c>
      <c r="L17" s="11">
        <f>IF(L$3=0,"",SUMIFS(INDEX(Inputs!$D$4:$AG$150,0,MATCH(L$2,Inputs!$D$2:$AG$2,0)),Inputs!$B$4:$B$150,$B17)/1000)</f>
        <v>0</v>
      </c>
      <c r="M17" s="12">
        <f>IF(L17="","",L17)</f>
        <v>0</v>
      </c>
      <c r="N17" s="11">
        <f>IF(N$3=0,"",SUMIFS(INDEX(Inputs!$D$4:$AG$150,0,MATCH(N$2,Inputs!$D$2:$AG$2,0)),Inputs!$B$4:$B$150,$B17)/1000)</f>
        <v>0</v>
      </c>
      <c r="O17" s="11">
        <f>IF(O$3=0,"",SUMIFS(INDEX(Inputs!$D$4:$AG$150,0,MATCH(O$2,Inputs!$D$2:$AG$2,0)),Inputs!$B$4:$B$150,$B17)/1000)</f>
        <v>0</v>
      </c>
      <c r="P17" s="11">
        <f>IF(P$3=0,"",SUMIFS(INDEX(Inputs!$D$4:$AG$150,0,MATCH(P$2,Inputs!$D$2:$AG$2,0)),Inputs!$B$4:$B$150,$B17)/1000)</f>
        <v>0</v>
      </c>
      <c r="Q17" s="11">
        <f>IF(Q$3=0,"",SUMIFS(INDEX(Inputs!$D$4:$AG$150,0,MATCH(Q$2,Inputs!$D$2:$AG$2,0)),Inputs!$B$4:$B$150,$B17)/1000)</f>
        <v>0</v>
      </c>
      <c r="R17" s="12">
        <f>IF(Q17="","",Q17)</f>
        <v>0</v>
      </c>
      <c r="S17" s="11">
        <f>IF(S$3=0,"",SUMIFS(INDEX(Inputs!$D$4:$AG$150,0,MATCH(S$2,Inputs!$D$2:$AG$2,0)),Inputs!$B$4:$B$150,$B17)/1000)</f>
        <v>0</v>
      </c>
      <c r="T17" s="11">
        <f>IF(T$3=0,"",SUMIFS(INDEX(Inputs!$D$4:$AG$150,0,MATCH(T$2,Inputs!$D$2:$AG$2,0)),Inputs!$B$4:$B$150,$B17)/1000)</f>
        <v>0</v>
      </c>
      <c r="U17" s="11">
        <f>IF(U$3=0,"",SUMIFS(INDEX(Inputs!$D$4:$AG$150,0,MATCH(U$2,Inputs!$D$2:$AG$2,0)),Inputs!$B$4:$B$150,$B17)/1000)</f>
        <v>0</v>
      </c>
      <c r="V17" s="11">
        <f>IF(V$3=0,"",SUMIFS(INDEX(Inputs!$D$4:$AG$150,0,MATCH(V$2,Inputs!$D$2:$AG$2,0)),Inputs!$B$4:$B$150,$B17)/1000)</f>
        <v>0</v>
      </c>
      <c r="W17" s="12">
        <f>IF(V17="","",V17)</f>
        <v>0</v>
      </c>
      <c r="X17" s="11">
        <f>IF(X$3=0,"",SUMIFS(INDEX(Inputs!$D$4:$AG$150,0,MATCH(X$2,Inputs!$D$2:$AG$2,0)),Inputs!$B$4:$B$150,$B17)/1000)</f>
        <v>0</v>
      </c>
      <c r="Y17" s="11">
        <f>IF(Y$3=0,"",SUMIFS(INDEX(Inputs!$D$4:$AG$150,0,MATCH(Y$2,Inputs!$D$2:$AG$2,0)),Inputs!$B$4:$B$150,$B17)/1000)</f>
        <v>0</v>
      </c>
      <c r="Z17" s="11">
        <f>IF(Z$3=0,"",SUMIFS(INDEX(Inputs!$D$4:$AG$150,0,MATCH(Z$2,Inputs!$D$2:$AG$2,0)),Inputs!$B$4:$B$150,$B17)/1000)</f>
        <v>0</v>
      </c>
      <c r="AA17" s="11">
        <f>IF(AA$3=0,"",SUMIFS(INDEX(Inputs!$D$4:$AG$150,0,MATCH(AA$2,Inputs!$D$2:$AG$2,0)),Inputs!$B$4:$B$150,$B17)/1000)</f>
        <v>0</v>
      </c>
      <c r="AB17" s="12">
        <f>IF(AA17="","",AA17)</f>
        <v>0</v>
      </c>
      <c r="AC17" s="11">
        <f>IF(AC$3=0,"",SUMIFS(INDEX(Inputs!$D$4:$AG$150,0,MATCH(AC$2,Inputs!$D$2:$AG$2,0)),Inputs!$B$4:$B$150,$B17)/1000)</f>
        <v>0</v>
      </c>
      <c r="AD17" s="11">
        <f>IF(AD$3=0,"",SUMIFS(INDEX(Inputs!$D$4:$AG$150,0,MATCH(AD$2,Inputs!$D$2:$AG$2,0)),Inputs!$B$4:$B$150,$B17)/1000)</f>
        <v>0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1402.271</v>
      </c>
      <c r="E18" s="11">
        <f>IF(E$3=0,"",SUMIFS(INDEX(Inputs!$D$4:$AG$150,0,MATCH(E$2,Inputs!$D$2:$AG$2,0)),Inputs!$B$4:$B$150,$B18)/1000)</f>
        <v>1322.144</v>
      </c>
      <c r="F18" s="11">
        <f>IF(F$3=0,"",SUMIFS(INDEX(Inputs!$D$4:$AG$150,0,MATCH(F$2,Inputs!$D$2:$AG$2,0)),Inputs!$B$4:$B$150,$B18)/1000)</f>
        <v>1116.612</v>
      </c>
      <c r="G18" s="11">
        <f>IF(G$3=0,"",SUMIFS(INDEX(Inputs!$D$4:$AG$150,0,MATCH(G$2,Inputs!$D$2:$AG$2,0)),Inputs!$B$4:$B$150,$B18)/1000)</f>
        <v>1581.637</v>
      </c>
      <c r="H18" s="12">
        <f>IF(G18="","",G18)</f>
        <v>1581.637</v>
      </c>
      <c r="I18" s="11">
        <f>IF(I$3=0,"",SUMIFS(INDEX(Inputs!$D$4:$AG$150,0,MATCH(I$2,Inputs!$D$2:$AG$2,0)),Inputs!$B$4:$B$150,$B18)/1000)</f>
        <v>1327.454</v>
      </c>
      <c r="J18" s="11">
        <f>IF(J$3=0,"",SUMIFS(INDEX(Inputs!$D$4:$AG$150,0,MATCH(J$2,Inputs!$D$2:$AG$2,0)),Inputs!$B$4:$B$150,$B18)/1000)</f>
        <v>1646.4</v>
      </c>
      <c r="K18" s="11">
        <f>IF(K$3=0,"",SUMIFS(INDEX(Inputs!$D$4:$AG$150,0,MATCH(K$2,Inputs!$D$2:$AG$2,0)),Inputs!$B$4:$B$150,$B18)/1000)</f>
        <v>1767.869</v>
      </c>
      <c r="L18" s="11">
        <f>IF(L$3=0,"",SUMIFS(INDEX(Inputs!$D$4:$AG$150,0,MATCH(L$2,Inputs!$D$2:$AG$2,0)),Inputs!$B$4:$B$150,$B18)/1000)</f>
        <v>2062.722</v>
      </c>
      <c r="M18" s="12">
        <f>IF(L18="","",L18)</f>
        <v>2062.722</v>
      </c>
      <c r="N18" s="11">
        <f>IF(N$3=0,"",SUMIFS(INDEX(Inputs!$D$4:$AG$150,0,MATCH(N$2,Inputs!$D$2:$AG$2,0)),Inputs!$B$4:$B$150,$B18)/1000)</f>
        <v>2206.7</v>
      </c>
      <c r="O18" s="11">
        <f>IF(O$3=0,"",SUMIFS(INDEX(Inputs!$D$4:$AG$150,0,MATCH(O$2,Inputs!$D$2:$AG$2,0)),Inputs!$B$4:$B$150,$B18)/1000)</f>
        <v>2176.983</v>
      </c>
      <c r="P18" s="11">
        <f>IF(P$3=0,"",SUMIFS(INDEX(Inputs!$D$4:$AG$150,0,MATCH(P$2,Inputs!$D$2:$AG$2,0)),Inputs!$B$4:$B$150,$B18)/1000)</f>
        <v>2184.88</v>
      </c>
      <c r="Q18" s="11">
        <f>IF(Q$3=0,"",SUMIFS(INDEX(Inputs!$D$4:$AG$150,0,MATCH(Q$2,Inputs!$D$2:$AG$2,0)),Inputs!$B$4:$B$150,$B18)/1000)</f>
        <v>2331.394</v>
      </c>
      <c r="R18" s="12">
        <f>IF(Q18="","",Q18)</f>
        <v>2331.394</v>
      </c>
      <c r="S18" s="11">
        <f>IF(S$3=0,"",SUMIFS(INDEX(Inputs!$D$4:$AG$150,0,MATCH(S$2,Inputs!$D$2:$AG$2,0)),Inputs!$B$4:$B$150,$B18)/1000)</f>
        <v>2256.794</v>
      </c>
      <c r="T18" s="11">
        <f>IF(T$3=0,"",SUMIFS(INDEX(Inputs!$D$4:$AG$150,0,MATCH(T$2,Inputs!$D$2:$AG$2,0)),Inputs!$B$4:$B$150,$B18)/1000)</f>
        <v>2289.932</v>
      </c>
      <c r="U18" s="11">
        <f>IF(U$3=0,"",SUMIFS(INDEX(Inputs!$D$4:$AG$150,0,MATCH(U$2,Inputs!$D$2:$AG$2,0)),Inputs!$B$4:$B$150,$B18)/1000)</f>
        <v>2277.807</v>
      </c>
      <c r="V18" s="11">
        <f>IF(V$3=0,"",SUMIFS(INDEX(Inputs!$D$4:$AG$150,0,MATCH(V$2,Inputs!$D$2:$AG$2,0)),Inputs!$B$4:$B$150,$B18)/1000)</f>
        <v>2003.948</v>
      </c>
      <c r="W18" s="12">
        <f>IF(V18="","",V18)</f>
        <v>2003.948</v>
      </c>
      <c r="X18" s="11">
        <f>IF(X$3=0,"",SUMIFS(INDEX(Inputs!$D$4:$AG$150,0,MATCH(X$2,Inputs!$D$2:$AG$2,0)),Inputs!$B$4:$B$150,$B18)/1000)</f>
        <v>2157.92</v>
      </c>
      <c r="Y18" s="11">
        <f>IF(Y$3=0,"",SUMIFS(INDEX(Inputs!$D$4:$AG$150,0,MATCH(Y$2,Inputs!$D$2:$AG$2,0)),Inputs!$B$4:$B$150,$B18)/1000)</f>
        <v>2105.277</v>
      </c>
      <c r="Z18" s="11">
        <f>IF(Z$3=0,"",SUMIFS(INDEX(Inputs!$D$4:$AG$150,0,MATCH(Z$2,Inputs!$D$2:$AG$2,0)),Inputs!$B$4:$B$150,$B18)/1000)</f>
        <v>2100.275</v>
      </c>
      <c r="AA18" s="11">
        <f>IF(AA$3=0,"",SUMIFS(INDEX(Inputs!$D$4:$AG$150,0,MATCH(AA$2,Inputs!$D$2:$AG$2,0)),Inputs!$B$4:$B$150,$B18)/1000)</f>
        <v>2056.223</v>
      </c>
      <c r="AB18" s="12">
        <f>IF(AA18="","",AA18)</f>
        <v>2056.223</v>
      </c>
      <c r="AC18" s="11">
        <f>IF(AC$3=0,"",SUMIFS(INDEX(Inputs!$D$4:$AG$150,0,MATCH(AC$2,Inputs!$D$2:$AG$2,0)),Inputs!$B$4:$B$150,$B18)/1000)</f>
        <v>2066.953</v>
      </c>
      <c r="AD18" s="11">
        <f>IF(AD$3=0,"",SUMIFS(INDEX(Inputs!$D$4:$AG$150,0,MATCH(AD$2,Inputs!$D$2:$AG$2,0)),Inputs!$B$4:$B$150,$B18)/1000)</f>
        <v>1877.944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22477.997</v>
      </c>
      <c r="E20" s="11">
        <f>IF(E$3=0,"",SUMIFS(INDEX(Inputs!$D$4:$AG$150,0,MATCH(E$2,Inputs!$D$2:$AG$2,0)),Inputs!$B$4:$B$150,$B20)/1000)</f>
        <v>26572.083</v>
      </c>
      <c r="F20" s="11">
        <f>IF(F$3=0,"",SUMIFS(INDEX(Inputs!$D$4:$AG$150,0,MATCH(F$2,Inputs!$D$2:$AG$2,0)),Inputs!$B$4:$B$150,$B20)/1000)</f>
        <v>29970.877</v>
      </c>
      <c r="G20" s="11">
        <f>IF(G$3=0,"",SUMIFS(INDEX(Inputs!$D$4:$AG$150,0,MATCH(G$2,Inputs!$D$2:$AG$2,0)),Inputs!$B$4:$B$150,$B20)/1000)</f>
        <v>34531.456</v>
      </c>
      <c r="H20" s="12">
        <f>IF(G20="","",G20)</f>
        <v>34531.456</v>
      </c>
      <c r="I20" s="11">
        <f>IF(I$3=0,"",SUMIFS(INDEX(Inputs!$D$4:$AG$150,0,MATCH(I$2,Inputs!$D$2:$AG$2,0)),Inputs!$B$4:$B$150,$B20)/1000)</f>
        <v>35123.732</v>
      </c>
      <c r="J20" s="11">
        <f>IF(J$3=0,"",SUMIFS(INDEX(Inputs!$D$4:$AG$150,0,MATCH(J$2,Inputs!$D$2:$AG$2,0)),Inputs!$B$4:$B$150,$B20)/1000)</f>
        <v>32777.427</v>
      </c>
      <c r="K20" s="11">
        <f>IF(K$3=0,"",SUMIFS(INDEX(Inputs!$D$4:$AG$150,0,MATCH(K$2,Inputs!$D$2:$AG$2,0)),Inputs!$B$4:$B$150,$B20)/1000)</f>
        <v>32001.319</v>
      </c>
      <c r="L20" s="11">
        <f>IF(L$3=0,"",SUMIFS(INDEX(Inputs!$D$4:$AG$150,0,MATCH(L$2,Inputs!$D$2:$AG$2,0)),Inputs!$B$4:$B$150,$B20)/1000)</f>
        <v>33205.032</v>
      </c>
      <c r="M20" s="12">
        <f>IF(L20="","",L20)</f>
        <v>33205.032</v>
      </c>
      <c r="N20" s="11">
        <f>IF(N$3=0,"",SUMIFS(INDEX(Inputs!$D$4:$AG$150,0,MATCH(N$2,Inputs!$D$2:$AG$2,0)),Inputs!$B$4:$B$150,$B20)/1000)</f>
        <v>33034.204</v>
      </c>
      <c r="O20" s="11">
        <f>IF(O$3=0,"",SUMIFS(INDEX(Inputs!$D$4:$AG$150,0,MATCH(O$2,Inputs!$D$2:$AG$2,0)),Inputs!$B$4:$B$150,$B20)/1000)</f>
        <v>33127.984</v>
      </c>
      <c r="P20" s="11">
        <f>IF(P$3=0,"",SUMIFS(INDEX(Inputs!$D$4:$AG$150,0,MATCH(P$2,Inputs!$D$2:$AG$2,0)),Inputs!$B$4:$B$150,$B20)/1000)</f>
        <v>33542.226</v>
      </c>
      <c r="Q20" s="11">
        <f>IF(Q$3=0,"",SUMIFS(INDEX(Inputs!$D$4:$AG$150,0,MATCH(Q$2,Inputs!$D$2:$AG$2,0)),Inputs!$B$4:$B$150,$B20)/1000)</f>
        <v>32067.553</v>
      </c>
      <c r="R20" s="12">
        <f>IF(Q20="","",Q20)</f>
        <v>32067.553</v>
      </c>
      <c r="S20" s="11">
        <f>IF(S$3=0,"",SUMIFS(INDEX(Inputs!$D$4:$AG$150,0,MATCH(S$2,Inputs!$D$2:$AG$2,0)),Inputs!$B$4:$B$150,$B20)/1000)</f>
        <v>32057.154</v>
      </c>
      <c r="T20" s="11">
        <f>IF(T$3=0,"",SUMIFS(INDEX(Inputs!$D$4:$AG$150,0,MATCH(T$2,Inputs!$D$2:$AG$2,0)),Inputs!$B$4:$B$150,$B20)/1000)</f>
        <v>32844.689</v>
      </c>
      <c r="U20" s="11">
        <f>IF(U$3=0,"",SUMIFS(INDEX(Inputs!$D$4:$AG$150,0,MATCH(U$2,Inputs!$D$2:$AG$2,0)),Inputs!$B$4:$B$150,$B20)/1000)</f>
        <v>34901.137</v>
      </c>
      <c r="V20" s="11">
        <f>IF(V$3=0,"",SUMIFS(INDEX(Inputs!$D$4:$AG$150,0,MATCH(V$2,Inputs!$D$2:$AG$2,0)),Inputs!$B$4:$B$150,$B20)/1000)</f>
        <v>36599.722</v>
      </c>
      <c r="W20" s="12">
        <f>IF(V20="","",V20)</f>
        <v>36599.722</v>
      </c>
      <c r="X20" s="11">
        <f>IF(X$3=0,"",SUMIFS(INDEX(Inputs!$D$4:$AG$150,0,MATCH(X$2,Inputs!$D$2:$AG$2,0)),Inputs!$B$4:$B$150,$B20)/1000)</f>
        <v>37856.772</v>
      </c>
      <c r="Y20" s="11">
        <f>IF(Y$3=0,"",SUMIFS(INDEX(Inputs!$D$4:$AG$150,0,MATCH(Y$2,Inputs!$D$2:$AG$2,0)),Inputs!$B$4:$B$150,$B20)/1000)</f>
        <v>38201.132</v>
      </c>
      <c r="Z20" s="11">
        <f>IF(Z$3=0,"",SUMIFS(INDEX(Inputs!$D$4:$AG$150,0,MATCH(Z$2,Inputs!$D$2:$AG$2,0)),Inputs!$B$4:$B$150,$B20)/1000)</f>
        <v>39219.635</v>
      </c>
      <c r="AA20" s="11">
        <f>IF(AA$3=0,"",SUMIFS(INDEX(Inputs!$D$4:$AG$150,0,MATCH(AA$2,Inputs!$D$2:$AG$2,0)),Inputs!$B$4:$B$150,$B20)/1000)</f>
        <v>40242.491</v>
      </c>
      <c r="AB20" s="12">
        <f>IF(AA20="","",AA20)</f>
        <v>40242.491</v>
      </c>
      <c r="AC20" s="11">
        <f>IF(AC$3=0,"",SUMIFS(INDEX(Inputs!$D$4:$AG$150,0,MATCH(AC$2,Inputs!$D$2:$AG$2,0)),Inputs!$B$4:$B$150,$B20)/1000)</f>
        <v>41012.742</v>
      </c>
      <c r="AD20" s="11">
        <f>IF(AD$3=0,"",SUMIFS(INDEX(Inputs!$D$4:$AG$150,0,MATCH(AD$2,Inputs!$D$2:$AG$2,0)),Inputs!$B$4:$B$150,$B20)/1000)</f>
        <v>42760.586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0</v>
      </c>
      <c r="E22" s="11">
        <f>IF(E$3=0,"",SUMIFS(INDEX(Inputs!$D$4:$AG$150,0,MATCH(E$2,Inputs!$D$2:$AG$2,0)),Inputs!$B$4:$B$150,$B22)/1000)</f>
        <v>0</v>
      </c>
      <c r="F22" s="11">
        <f>IF(F$3=0,"",SUMIFS(INDEX(Inputs!$D$4:$AG$150,0,MATCH(F$2,Inputs!$D$2:$AG$2,0)),Inputs!$B$4:$B$150,$B22)/1000)</f>
        <v>0</v>
      </c>
      <c r="G22" s="11">
        <f>IF(G$3=0,"",SUMIFS(INDEX(Inputs!$D$4:$AG$150,0,MATCH(G$2,Inputs!$D$2:$AG$2,0)),Inputs!$B$4:$B$150,$B22)/1000)</f>
        <v>0</v>
      </c>
      <c r="H22" s="12">
        <f>IF(G22="","",G22)</f>
        <v>0</v>
      </c>
      <c r="I22" s="11">
        <f>IF(I$3=0,"",SUMIFS(INDEX(Inputs!$D$4:$AG$150,0,MATCH(I$2,Inputs!$D$2:$AG$2,0)),Inputs!$B$4:$B$150,$B22)/1000)</f>
        <v>0</v>
      </c>
      <c r="J22" s="11">
        <f>IF(J$3=0,"",SUMIFS(INDEX(Inputs!$D$4:$AG$150,0,MATCH(J$2,Inputs!$D$2:$AG$2,0)),Inputs!$B$4:$B$150,$B22)/1000)</f>
        <v>0</v>
      </c>
      <c r="K22" s="11">
        <f>IF(K$3=0,"",SUMIFS(INDEX(Inputs!$D$4:$AG$150,0,MATCH(K$2,Inputs!$D$2:$AG$2,0)),Inputs!$B$4:$B$150,$B22)/1000)</f>
        <v>0</v>
      </c>
      <c r="L22" s="11">
        <f>IF(L$3=0,"",SUMIFS(INDEX(Inputs!$D$4:$AG$150,0,MATCH(L$2,Inputs!$D$2:$AG$2,0)),Inputs!$B$4:$B$150,$B22)/1000)</f>
        <v>0</v>
      </c>
      <c r="M22" s="12">
        <f>IF(L22="","",L22)</f>
        <v>0</v>
      </c>
      <c r="N22" s="11">
        <f>IF(N$3=0,"",SUMIFS(INDEX(Inputs!$D$4:$AG$150,0,MATCH(N$2,Inputs!$D$2:$AG$2,0)),Inputs!$B$4:$B$150,$B22)/1000)</f>
        <v>0</v>
      </c>
      <c r="O22" s="11">
        <f>IF(O$3=0,"",SUMIFS(INDEX(Inputs!$D$4:$AG$150,0,MATCH(O$2,Inputs!$D$2:$AG$2,0)),Inputs!$B$4:$B$150,$B22)/1000)</f>
        <v>0</v>
      </c>
      <c r="P22" s="11">
        <f>IF(P$3=0,"",SUMIFS(INDEX(Inputs!$D$4:$AG$150,0,MATCH(P$2,Inputs!$D$2:$AG$2,0)),Inputs!$B$4:$B$150,$B22)/1000)</f>
        <v>0</v>
      </c>
      <c r="Q22" s="11">
        <f>IF(Q$3=0,"",SUMIFS(INDEX(Inputs!$D$4:$AG$150,0,MATCH(Q$2,Inputs!$D$2:$AG$2,0)),Inputs!$B$4:$B$150,$B22)/1000)</f>
        <v>0</v>
      </c>
      <c r="R22" s="12">
        <f>IF(Q22="","",Q22)</f>
        <v>0</v>
      </c>
      <c r="S22" s="11">
        <f>IF(S$3=0,"",SUMIFS(INDEX(Inputs!$D$4:$AG$150,0,MATCH(S$2,Inputs!$D$2:$AG$2,0)),Inputs!$B$4:$B$150,$B22)/1000)</f>
        <v>0</v>
      </c>
      <c r="T22" s="11">
        <f>IF(T$3=0,"",SUMIFS(INDEX(Inputs!$D$4:$AG$150,0,MATCH(T$2,Inputs!$D$2:$AG$2,0)),Inputs!$B$4:$B$150,$B22)/1000)</f>
        <v>0</v>
      </c>
      <c r="U22" s="11">
        <f>IF(U$3=0,"",SUMIFS(INDEX(Inputs!$D$4:$AG$150,0,MATCH(U$2,Inputs!$D$2:$AG$2,0)),Inputs!$B$4:$B$150,$B22)/1000)</f>
        <v>0</v>
      </c>
      <c r="V22" s="11">
        <f>IF(V$3=0,"",SUMIFS(INDEX(Inputs!$D$4:$AG$150,0,MATCH(V$2,Inputs!$D$2:$AG$2,0)),Inputs!$B$4:$B$150,$B22)/1000)</f>
        <v>0</v>
      </c>
      <c r="W22" s="12">
        <f>IF(V22="","",V22)</f>
        <v>0</v>
      </c>
      <c r="X22" s="11">
        <f>IF(X$3=0,"",SUMIFS(INDEX(Inputs!$D$4:$AG$150,0,MATCH(X$2,Inputs!$D$2:$AG$2,0)),Inputs!$B$4:$B$150,$B22)/1000)</f>
        <v>0</v>
      </c>
      <c r="Y22" s="11">
        <f>IF(Y$3=0,"",SUMIFS(INDEX(Inputs!$D$4:$AG$150,0,MATCH(Y$2,Inputs!$D$2:$AG$2,0)),Inputs!$B$4:$B$150,$B22)/1000)</f>
        <v>0</v>
      </c>
      <c r="Z22" s="11">
        <f>IF(Z$3=0,"",SUMIFS(INDEX(Inputs!$D$4:$AG$150,0,MATCH(Z$2,Inputs!$D$2:$AG$2,0)),Inputs!$B$4:$B$150,$B22)/1000)</f>
        <v>0</v>
      </c>
      <c r="AA22" s="11">
        <f>IF(AA$3=0,"",SUMIFS(INDEX(Inputs!$D$4:$AG$150,0,MATCH(AA$2,Inputs!$D$2:$AG$2,0)),Inputs!$B$4:$B$150,$B22)/1000)</f>
        <v>0</v>
      </c>
      <c r="AB22" s="12">
        <f>IF(AA22="","",AA22)</f>
        <v>0</v>
      </c>
      <c r="AC22" s="11">
        <f>IF(AC$3=0,"",SUMIFS(INDEX(Inputs!$D$4:$AG$150,0,MATCH(AC$2,Inputs!$D$2:$AG$2,0)),Inputs!$B$4:$B$150,$B22)/1000)</f>
        <v>0</v>
      </c>
      <c r="AD22" s="11">
        <f>IF(AD$3=0,"",SUMIFS(INDEX(Inputs!$D$4:$AG$150,0,MATCH(AD$2,Inputs!$D$2:$AG$2,0)),Inputs!$B$4:$B$150,$B22)/1000)</f>
        <v>0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736.633</v>
      </c>
      <c r="E23" s="11">
        <f>IF(E$3=0,"",SUMIFS(INDEX(Inputs!$D$4:$AG$150,0,MATCH(E$2,Inputs!$D$2:$AG$2,0)),Inputs!$B$4:$B$150,$B23)/1000)</f>
        <v>723.539</v>
      </c>
      <c r="F23" s="11">
        <f>IF(F$3=0,"",SUMIFS(INDEX(Inputs!$D$4:$AG$150,0,MATCH(F$2,Inputs!$D$2:$AG$2,0)),Inputs!$B$4:$B$150,$B23)/1000)</f>
        <v>745.886</v>
      </c>
      <c r="G23" s="11">
        <f>IF(G$3=0,"",SUMIFS(INDEX(Inputs!$D$4:$AG$150,0,MATCH(G$2,Inputs!$D$2:$AG$2,0)),Inputs!$B$4:$B$150,$B23)/1000)</f>
        <v>788.991</v>
      </c>
      <c r="H23" s="12">
        <f>IF(G23="","",G23)</f>
        <v>788.991</v>
      </c>
      <c r="I23" s="11">
        <f>IF(I$3=0,"",SUMIFS(INDEX(Inputs!$D$4:$AG$150,0,MATCH(I$2,Inputs!$D$2:$AG$2,0)),Inputs!$B$4:$B$150,$B23)/1000)</f>
        <v>868.437</v>
      </c>
      <c r="J23" s="11">
        <f>IF(J$3=0,"",SUMIFS(INDEX(Inputs!$D$4:$AG$150,0,MATCH(J$2,Inputs!$D$2:$AG$2,0)),Inputs!$B$4:$B$150,$B23)/1000)</f>
        <v>886.911</v>
      </c>
      <c r="K23" s="11">
        <f>IF(K$3=0,"",SUMIFS(INDEX(Inputs!$D$4:$AG$150,0,MATCH(K$2,Inputs!$D$2:$AG$2,0)),Inputs!$B$4:$B$150,$B23)/1000)</f>
        <v>887.832</v>
      </c>
      <c r="L23" s="11">
        <f>IF(L$3=0,"",SUMIFS(INDEX(Inputs!$D$4:$AG$150,0,MATCH(L$2,Inputs!$D$2:$AG$2,0)),Inputs!$B$4:$B$150,$B23)/1000)</f>
        <v>896.981</v>
      </c>
      <c r="M23" s="12">
        <f>IF(L23="","",L23)</f>
        <v>896.981</v>
      </c>
      <c r="N23" s="11">
        <f>IF(N$3=0,"",SUMIFS(INDEX(Inputs!$D$4:$AG$150,0,MATCH(N$2,Inputs!$D$2:$AG$2,0)),Inputs!$B$4:$B$150,$B23)/1000)</f>
        <v>894.067</v>
      </c>
      <c r="O23" s="11">
        <f>IF(O$3=0,"",SUMIFS(INDEX(Inputs!$D$4:$AG$150,0,MATCH(O$2,Inputs!$D$2:$AG$2,0)),Inputs!$B$4:$B$150,$B23)/1000)</f>
        <v>888.19</v>
      </c>
      <c r="P23" s="11">
        <f>IF(P$3=0,"",SUMIFS(INDEX(Inputs!$D$4:$AG$150,0,MATCH(P$2,Inputs!$D$2:$AG$2,0)),Inputs!$B$4:$B$150,$B23)/1000)</f>
        <v>864.691</v>
      </c>
      <c r="Q23" s="11">
        <f>IF(Q$3=0,"",SUMIFS(INDEX(Inputs!$D$4:$AG$150,0,MATCH(Q$2,Inputs!$D$2:$AG$2,0)),Inputs!$B$4:$B$150,$B23)/1000)</f>
        <v>841.307</v>
      </c>
      <c r="R23" s="12">
        <f>IF(Q23="","",Q23)</f>
        <v>841.307</v>
      </c>
      <c r="S23" s="11">
        <f>IF(S$3=0,"",SUMIFS(INDEX(Inputs!$D$4:$AG$150,0,MATCH(S$2,Inputs!$D$2:$AG$2,0)),Inputs!$B$4:$B$150,$B23)/1000)</f>
        <v>805.454</v>
      </c>
      <c r="T23" s="11">
        <f>IF(T$3=0,"",SUMIFS(INDEX(Inputs!$D$4:$AG$150,0,MATCH(T$2,Inputs!$D$2:$AG$2,0)),Inputs!$B$4:$B$150,$B23)/1000)</f>
        <v>995.524</v>
      </c>
      <c r="U23" s="11">
        <f>IF(U$3=0,"",SUMIFS(INDEX(Inputs!$D$4:$AG$150,0,MATCH(U$2,Inputs!$D$2:$AG$2,0)),Inputs!$B$4:$B$150,$B23)/1000)</f>
        <v>978.699</v>
      </c>
      <c r="V23" s="11">
        <f>IF(V$3=0,"",SUMIFS(INDEX(Inputs!$D$4:$AG$150,0,MATCH(V$2,Inputs!$D$2:$AG$2,0)),Inputs!$B$4:$B$150,$B23)/1000)</f>
        <v>838.62</v>
      </c>
      <c r="W23" s="12">
        <f>IF(V23="","",V23)</f>
        <v>838.62</v>
      </c>
      <c r="X23" s="11">
        <f>IF(X$3=0,"",SUMIFS(INDEX(Inputs!$D$4:$AG$150,0,MATCH(X$2,Inputs!$D$2:$AG$2,0)),Inputs!$B$4:$B$150,$B23)/1000)</f>
        <v>807.487</v>
      </c>
      <c r="Y23" s="11">
        <f>IF(Y$3=0,"",SUMIFS(INDEX(Inputs!$D$4:$AG$150,0,MATCH(Y$2,Inputs!$D$2:$AG$2,0)),Inputs!$B$4:$B$150,$B23)/1000)</f>
        <v>793.69</v>
      </c>
      <c r="Z23" s="11">
        <f>IF(Z$3=0,"",SUMIFS(INDEX(Inputs!$D$4:$AG$150,0,MATCH(Z$2,Inputs!$D$2:$AG$2,0)),Inputs!$B$4:$B$150,$B23)/1000)</f>
        <v>773.03</v>
      </c>
      <c r="AA23" s="11">
        <f>IF(AA$3=0,"",SUMIFS(INDEX(Inputs!$D$4:$AG$150,0,MATCH(AA$2,Inputs!$D$2:$AG$2,0)),Inputs!$B$4:$B$150,$B23)/1000)</f>
        <v>757.459</v>
      </c>
      <c r="AB23" s="12">
        <f>IF(AA23="","",AA23)</f>
        <v>757.459</v>
      </c>
      <c r="AC23" s="11">
        <f>IF(AC$3=0,"",SUMIFS(INDEX(Inputs!$D$4:$AG$150,0,MATCH(AC$2,Inputs!$D$2:$AG$2,0)),Inputs!$B$4:$B$150,$B23)/1000)</f>
        <v>786.276</v>
      </c>
      <c r="AD23" s="11">
        <f>IF(AD$3=0,"",SUMIFS(INDEX(Inputs!$D$4:$AG$150,0,MATCH(AD$2,Inputs!$D$2:$AG$2,0)),Inputs!$B$4:$B$150,$B23)/1000)</f>
        <v>743.127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1890.185</v>
      </c>
      <c r="E24" s="11">
        <f>IF(E$3=0,"",SUMIFS(INDEX(Inputs!$D$4:$AG$150,0,MATCH(E$2,Inputs!$D$2:$AG$2,0)),Inputs!$B$4:$B$150,$B24)/1000)</f>
        <v>1890.202</v>
      </c>
      <c r="F24" s="11">
        <f>IF(F$3=0,"",SUMIFS(INDEX(Inputs!$D$4:$AG$150,0,MATCH(F$2,Inputs!$D$2:$AG$2,0)),Inputs!$B$4:$B$150,$B24)/1000)</f>
        <v>1890.202</v>
      </c>
      <c r="G24" s="11">
        <f>IF(G$3=0,"",SUMIFS(INDEX(Inputs!$D$4:$AG$150,0,MATCH(G$2,Inputs!$D$2:$AG$2,0)),Inputs!$B$4:$B$150,$B24)/1000)</f>
        <v>1890.202</v>
      </c>
      <c r="H24" s="12">
        <f>IF(G24="","",G24)</f>
        <v>1890.202</v>
      </c>
      <c r="I24" s="11">
        <f>IF(I$3=0,"",SUMIFS(INDEX(Inputs!$D$4:$AG$150,0,MATCH(I$2,Inputs!$D$2:$AG$2,0)),Inputs!$B$4:$B$150,$B24)/1000)</f>
        <v>1890.202</v>
      </c>
      <c r="J24" s="11">
        <f>IF(J$3=0,"",SUMIFS(INDEX(Inputs!$D$4:$AG$150,0,MATCH(J$2,Inputs!$D$2:$AG$2,0)),Inputs!$B$4:$B$150,$B24)/1000)</f>
        <v>1890.202</v>
      </c>
      <c r="K24" s="11">
        <f>IF(K$3=0,"",SUMIFS(INDEX(Inputs!$D$4:$AG$150,0,MATCH(K$2,Inputs!$D$2:$AG$2,0)),Inputs!$B$4:$B$150,$B24)/1000)</f>
        <v>1890.202</v>
      </c>
      <c r="L24" s="11">
        <f>IF(L$3=0,"",SUMIFS(INDEX(Inputs!$D$4:$AG$150,0,MATCH(L$2,Inputs!$D$2:$AG$2,0)),Inputs!$B$4:$B$150,$B24)/1000)</f>
        <v>1890.202</v>
      </c>
      <c r="M24" s="12">
        <f>IF(L24="","",L24)</f>
        <v>1890.202</v>
      </c>
      <c r="N24" s="11">
        <f>IF(N$3=0,"",SUMIFS(INDEX(Inputs!$D$4:$AG$150,0,MATCH(N$2,Inputs!$D$2:$AG$2,0)),Inputs!$B$4:$B$150,$B24)/1000)</f>
        <v>1890.202</v>
      </c>
      <c r="O24" s="11">
        <f>IF(O$3=0,"",SUMIFS(INDEX(Inputs!$D$4:$AG$150,0,MATCH(O$2,Inputs!$D$2:$AG$2,0)),Inputs!$B$4:$B$150,$B24)/1000)</f>
        <v>1890.202</v>
      </c>
      <c r="P24" s="11">
        <f>IF(P$3=0,"",SUMIFS(INDEX(Inputs!$D$4:$AG$150,0,MATCH(P$2,Inputs!$D$2:$AG$2,0)),Inputs!$B$4:$B$150,$B24)/1000)</f>
        <v>1890.202</v>
      </c>
      <c r="Q24" s="11">
        <f>IF(Q$3=0,"",SUMIFS(INDEX(Inputs!$D$4:$AG$150,0,MATCH(Q$2,Inputs!$D$2:$AG$2,0)),Inputs!$B$4:$B$150,$B24)/1000)</f>
        <v>1890.202</v>
      </c>
      <c r="R24" s="12">
        <f>IF(Q24="","",Q24)</f>
        <v>1890.202</v>
      </c>
      <c r="S24" s="11">
        <f>IF(S$3=0,"",SUMIFS(INDEX(Inputs!$D$4:$AG$150,0,MATCH(S$2,Inputs!$D$2:$AG$2,0)),Inputs!$B$4:$B$150,$B24)/1000)</f>
        <v>1890.202</v>
      </c>
      <c r="T24" s="11">
        <f>IF(T$3=0,"",SUMIFS(INDEX(Inputs!$D$4:$AG$150,0,MATCH(T$2,Inputs!$D$2:$AG$2,0)),Inputs!$B$4:$B$150,$B24)/1000)</f>
        <v>1890.202</v>
      </c>
      <c r="U24" s="11">
        <f>IF(U$3=0,"",SUMIFS(INDEX(Inputs!$D$4:$AG$150,0,MATCH(U$2,Inputs!$D$2:$AG$2,0)),Inputs!$B$4:$B$150,$B24)/1000)</f>
        <v>1890.202</v>
      </c>
      <c r="V24" s="11">
        <f>IF(V$3=0,"",SUMIFS(INDEX(Inputs!$D$4:$AG$150,0,MATCH(V$2,Inputs!$D$2:$AG$2,0)),Inputs!$B$4:$B$150,$B24)/1000)</f>
        <v>1890.202</v>
      </c>
      <c r="W24" s="12">
        <f>IF(V24="","",V24)</f>
        <v>1890.202</v>
      </c>
      <c r="X24" s="11">
        <f>IF(X$3=0,"",SUMIFS(INDEX(Inputs!$D$4:$AG$150,0,MATCH(X$2,Inputs!$D$2:$AG$2,0)),Inputs!$B$4:$B$150,$B24)/1000)</f>
        <v>1890.202</v>
      </c>
      <c r="Y24" s="11">
        <f>IF(Y$3=0,"",SUMIFS(INDEX(Inputs!$D$4:$AG$150,0,MATCH(Y$2,Inputs!$D$2:$AG$2,0)),Inputs!$B$4:$B$150,$B24)/1000)</f>
        <v>1890.202</v>
      </c>
      <c r="Z24" s="11">
        <f>IF(Z$3=0,"",SUMIFS(INDEX(Inputs!$D$4:$AG$150,0,MATCH(Z$2,Inputs!$D$2:$AG$2,0)),Inputs!$B$4:$B$150,$B24)/1000)</f>
        <v>1890.202</v>
      </c>
      <c r="AA24" s="11">
        <f>IF(AA$3=0,"",SUMIFS(INDEX(Inputs!$D$4:$AG$150,0,MATCH(AA$2,Inputs!$D$2:$AG$2,0)),Inputs!$B$4:$B$150,$B24)/1000)</f>
        <v>1890.202</v>
      </c>
      <c r="AB24" s="12">
        <f>IF(AA24="","",AA24)</f>
        <v>1890.202</v>
      </c>
      <c r="AC24" s="11">
        <f>IF(AC$3=0,"",SUMIFS(INDEX(Inputs!$D$4:$AG$150,0,MATCH(AC$2,Inputs!$D$2:$AG$2,0)),Inputs!$B$4:$B$150,$B24)/1000)</f>
        <v>1890.202</v>
      </c>
      <c r="AD24" s="11">
        <f>IF(AD$3=0,"",SUMIFS(INDEX(Inputs!$D$4:$AG$150,0,MATCH(AD$2,Inputs!$D$2:$AG$2,0)),Inputs!$B$4:$B$150,$B24)/1000)</f>
        <v>1890.202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340.478</v>
      </c>
      <c r="E25" s="11">
        <f>IF(E$3=0,"",SUMIFS(INDEX(Inputs!$D$4:$AG$150,0,MATCH(E$2,Inputs!$D$2:$AG$2,0)),Inputs!$B$4:$B$150,$B25)/1000)</f>
        <v>321.78</v>
      </c>
      <c r="F25" s="11">
        <f>IF(F$3=0,"",SUMIFS(INDEX(Inputs!$D$4:$AG$150,0,MATCH(F$2,Inputs!$D$2:$AG$2,0)),Inputs!$B$4:$B$150,$B25)/1000)</f>
        <v>303.082</v>
      </c>
      <c r="G25" s="11">
        <f>IF(G$3=0,"",SUMIFS(INDEX(Inputs!$D$4:$AG$150,0,MATCH(G$2,Inputs!$D$2:$AG$2,0)),Inputs!$B$4:$B$150,$B25)/1000)</f>
        <v>284.384</v>
      </c>
      <c r="H25" s="12">
        <f>IF(G25="","",G25)</f>
        <v>284.384</v>
      </c>
      <c r="I25" s="11">
        <f>IF(I$3=0,"",SUMIFS(INDEX(Inputs!$D$4:$AG$150,0,MATCH(I$2,Inputs!$D$2:$AG$2,0)),Inputs!$B$4:$B$150,$B25)/1000)</f>
        <v>265.686</v>
      </c>
      <c r="J25" s="11">
        <f>IF(J$3=0,"",SUMIFS(INDEX(Inputs!$D$4:$AG$150,0,MATCH(J$2,Inputs!$D$2:$AG$2,0)),Inputs!$B$4:$B$150,$B25)/1000)</f>
        <v>246.988</v>
      </c>
      <c r="K25" s="11">
        <f>IF(K$3=0,"",SUMIFS(INDEX(Inputs!$D$4:$AG$150,0,MATCH(K$2,Inputs!$D$2:$AG$2,0)),Inputs!$B$4:$B$150,$B25)/1000)</f>
        <v>232.096</v>
      </c>
      <c r="L25" s="11">
        <f>IF(L$3=0,"",SUMIFS(INDEX(Inputs!$D$4:$AG$150,0,MATCH(L$2,Inputs!$D$2:$AG$2,0)),Inputs!$B$4:$B$150,$B25)/1000)</f>
        <v>217.287</v>
      </c>
      <c r="M25" s="12">
        <f>IF(L25="","",L25)</f>
        <v>217.287</v>
      </c>
      <c r="N25" s="11">
        <f>IF(N$3=0,"",SUMIFS(INDEX(Inputs!$D$4:$AG$150,0,MATCH(N$2,Inputs!$D$2:$AG$2,0)),Inputs!$B$4:$B$150,$B25)/1000)</f>
        <v>230.295</v>
      </c>
      <c r="O25" s="11">
        <f>IF(O$3=0,"",SUMIFS(INDEX(Inputs!$D$4:$AG$150,0,MATCH(O$2,Inputs!$D$2:$AG$2,0)),Inputs!$B$4:$B$150,$B25)/1000)</f>
        <v>219.221</v>
      </c>
      <c r="P25" s="11">
        <f>IF(P$3=0,"",SUMIFS(INDEX(Inputs!$D$4:$AG$150,0,MATCH(P$2,Inputs!$D$2:$AG$2,0)),Inputs!$B$4:$B$150,$B25)/1000)</f>
        <v>210.21</v>
      </c>
      <c r="Q25" s="11">
        <f>IF(Q$3=0,"",SUMIFS(INDEX(Inputs!$D$4:$AG$150,0,MATCH(Q$2,Inputs!$D$2:$AG$2,0)),Inputs!$B$4:$B$150,$B25)/1000)</f>
        <v>201.208</v>
      </c>
      <c r="R25" s="12">
        <f>IF(Q25="","",Q25)</f>
        <v>201.208</v>
      </c>
      <c r="S25" s="11">
        <f>IF(S$3=0,"",SUMIFS(INDEX(Inputs!$D$4:$AG$150,0,MATCH(S$2,Inputs!$D$2:$AG$2,0)),Inputs!$B$4:$B$150,$B25)/1000)</f>
        <v>192.227</v>
      </c>
      <c r="T25" s="11">
        <f>IF(T$3=0,"",SUMIFS(INDEX(Inputs!$D$4:$AG$150,0,MATCH(T$2,Inputs!$D$2:$AG$2,0)),Inputs!$B$4:$B$150,$B25)/1000)</f>
        <v>183.246</v>
      </c>
      <c r="U25" s="11">
        <f>IF(U$3=0,"",SUMIFS(INDEX(Inputs!$D$4:$AG$150,0,MATCH(U$2,Inputs!$D$2:$AG$2,0)),Inputs!$B$4:$B$150,$B25)/1000)</f>
        <v>174.265</v>
      </c>
      <c r="V25" s="11">
        <f>IF(V$3=0,"",SUMIFS(INDEX(Inputs!$D$4:$AG$150,0,MATCH(V$2,Inputs!$D$2:$AG$2,0)),Inputs!$B$4:$B$150,$B25)/1000)</f>
        <v>165.243</v>
      </c>
      <c r="W25" s="12">
        <f>IF(V25="","",V25)</f>
        <v>165.243</v>
      </c>
      <c r="X25" s="11">
        <f>IF(X$3=0,"",SUMIFS(INDEX(Inputs!$D$4:$AG$150,0,MATCH(X$2,Inputs!$D$2:$AG$2,0)),Inputs!$B$4:$B$150,$B25)/1000)</f>
        <v>156.269</v>
      </c>
      <c r="Y25" s="11">
        <f>IF(Y$3=0,"",SUMIFS(INDEX(Inputs!$D$4:$AG$150,0,MATCH(Y$2,Inputs!$D$2:$AG$2,0)),Inputs!$B$4:$B$150,$B25)/1000)</f>
        <v>147.294</v>
      </c>
      <c r="Z25" s="11">
        <f>IF(Z$3=0,"",SUMIFS(INDEX(Inputs!$D$4:$AG$150,0,MATCH(Z$2,Inputs!$D$2:$AG$2,0)),Inputs!$B$4:$B$150,$B25)/1000)</f>
        <v>140.458</v>
      </c>
      <c r="AA25" s="11">
        <f>IF(AA$3=0,"",SUMIFS(INDEX(Inputs!$D$4:$AG$150,0,MATCH(AA$2,Inputs!$D$2:$AG$2,0)),Inputs!$B$4:$B$150,$B25)/1000)</f>
        <v>131.359</v>
      </c>
      <c r="AB25" s="12">
        <f>IF(AA25="","",AA25)</f>
        <v>131.359</v>
      </c>
      <c r="AC25" s="11">
        <f>IF(AC$3=0,"",SUMIFS(INDEX(Inputs!$D$4:$AG$150,0,MATCH(AC$2,Inputs!$D$2:$AG$2,0)),Inputs!$B$4:$B$150,$B25)/1000)</f>
        <v>122.324</v>
      </c>
      <c r="AD25" s="11">
        <f>IF(AD$3=0,"",SUMIFS(INDEX(Inputs!$D$4:$AG$150,0,MATCH(AD$2,Inputs!$D$2:$AG$2,0)),Inputs!$B$4:$B$150,$B25)/1000)</f>
        <v>113.288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0</v>
      </c>
      <c r="E26" s="11">
        <f>IF(E$3=0,"",SUMIFS(INDEX(Inputs!$D$4:$AG$150,0,MATCH(E$2,Inputs!$D$2:$AG$2,0)),Inputs!$B$4:$B$150,$B26)/1000)</f>
        <v>0</v>
      </c>
      <c r="F26" s="11">
        <f>IF(F$3=0,"",SUMIFS(INDEX(Inputs!$D$4:$AG$150,0,MATCH(F$2,Inputs!$D$2:$AG$2,0)),Inputs!$B$4:$B$150,$B26)/1000)</f>
        <v>0</v>
      </c>
      <c r="G26" s="11">
        <f>IF(G$3=0,"",SUMIFS(INDEX(Inputs!$D$4:$AG$150,0,MATCH(G$2,Inputs!$D$2:$AG$2,0)),Inputs!$B$4:$B$150,$B26)/1000)</f>
        <v>0</v>
      </c>
      <c r="H26" s="12">
        <f>IF(G26="","",G26)</f>
        <v>0</v>
      </c>
      <c r="I26" s="11">
        <f>IF(I$3=0,"",SUMIFS(INDEX(Inputs!$D$4:$AG$150,0,MATCH(I$2,Inputs!$D$2:$AG$2,0)),Inputs!$B$4:$B$150,$B26)/1000)</f>
        <v>0</v>
      </c>
      <c r="J26" s="11">
        <f>IF(J$3=0,"",SUMIFS(INDEX(Inputs!$D$4:$AG$150,0,MATCH(J$2,Inputs!$D$2:$AG$2,0)),Inputs!$B$4:$B$150,$B26)/1000)</f>
        <v>0</v>
      </c>
      <c r="K26" s="11">
        <f>IF(K$3=0,"",SUMIFS(INDEX(Inputs!$D$4:$AG$150,0,MATCH(K$2,Inputs!$D$2:$AG$2,0)),Inputs!$B$4:$B$150,$B26)/1000)</f>
        <v>0</v>
      </c>
      <c r="L26" s="11">
        <f>IF(L$3=0,"",SUMIFS(INDEX(Inputs!$D$4:$AG$150,0,MATCH(L$2,Inputs!$D$2:$AG$2,0)),Inputs!$B$4:$B$150,$B26)/1000)</f>
        <v>0</v>
      </c>
      <c r="M26" s="12">
        <f>IF(L26="","",L26)</f>
        <v>0</v>
      </c>
      <c r="N26" s="11">
        <f>IF(N$3=0,"",SUMIFS(INDEX(Inputs!$D$4:$AG$150,0,MATCH(N$2,Inputs!$D$2:$AG$2,0)),Inputs!$B$4:$B$150,$B26)/1000)</f>
        <v>0</v>
      </c>
      <c r="O26" s="11">
        <f>IF(O$3=0,"",SUMIFS(INDEX(Inputs!$D$4:$AG$150,0,MATCH(O$2,Inputs!$D$2:$AG$2,0)),Inputs!$B$4:$B$150,$B26)/1000)</f>
        <v>0</v>
      </c>
      <c r="P26" s="11">
        <f>IF(P$3=0,"",SUMIFS(INDEX(Inputs!$D$4:$AG$150,0,MATCH(P$2,Inputs!$D$2:$AG$2,0)),Inputs!$B$4:$B$150,$B26)/1000)</f>
        <v>0</v>
      </c>
      <c r="Q26" s="11">
        <f>IF(Q$3=0,"",SUMIFS(INDEX(Inputs!$D$4:$AG$150,0,MATCH(Q$2,Inputs!$D$2:$AG$2,0)),Inputs!$B$4:$B$150,$B26)/1000)</f>
        <v>0</v>
      </c>
      <c r="R26" s="12">
        <f>IF(Q26="","",Q26)</f>
        <v>0</v>
      </c>
      <c r="S26" s="11">
        <f>IF(S$3=0,"",SUMIFS(INDEX(Inputs!$D$4:$AG$150,0,MATCH(S$2,Inputs!$D$2:$AG$2,0)),Inputs!$B$4:$B$150,$B26)/1000)</f>
        <v>0</v>
      </c>
      <c r="T26" s="11">
        <f>IF(T$3=0,"",SUMIFS(INDEX(Inputs!$D$4:$AG$150,0,MATCH(T$2,Inputs!$D$2:$AG$2,0)),Inputs!$B$4:$B$150,$B26)/1000)</f>
        <v>0</v>
      </c>
      <c r="U26" s="11">
        <f>IF(U$3=0,"",SUMIFS(INDEX(Inputs!$D$4:$AG$150,0,MATCH(U$2,Inputs!$D$2:$AG$2,0)),Inputs!$B$4:$B$150,$B26)/1000)</f>
        <v>0</v>
      </c>
      <c r="V26" s="11">
        <f>IF(V$3=0,"",SUMIFS(INDEX(Inputs!$D$4:$AG$150,0,MATCH(V$2,Inputs!$D$2:$AG$2,0)),Inputs!$B$4:$B$150,$B26)/1000)</f>
        <v>0</v>
      </c>
      <c r="W26" s="12">
        <f>IF(V26="","",V26)</f>
        <v>0</v>
      </c>
      <c r="X26" s="11">
        <f>IF(X$3=0,"",SUMIFS(INDEX(Inputs!$D$4:$AG$150,0,MATCH(X$2,Inputs!$D$2:$AG$2,0)),Inputs!$B$4:$B$150,$B26)/1000)</f>
        <v>0</v>
      </c>
      <c r="Y26" s="11">
        <f>IF(Y$3=0,"",SUMIFS(INDEX(Inputs!$D$4:$AG$150,0,MATCH(Y$2,Inputs!$D$2:$AG$2,0)),Inputs!$B$4:$B$150,$B26)/1000)</f>
        <v>0</v>
      </c>
      <c r="Z26" s="11">
        <f>IF(Z$3=0,"",SUMIFS(INDEX(Inputs!$D$4:$AG$150,0,MATCH(Z$2,Inputs!$D$2:$AG$2,0)),Inputs!$B$4:$B$150,$B26)/1000)</f>
        <v>0</v>
      </c>
      <c r="AA26" s="11">
        <f>IF(AA$3=0,"",SUMIFS(INDEX(Inputs!$D$4:$AG$150,0,MATCH(AA$2,Inputs!$D$2:$AG$2,0)),Inputs!$B$4:$B$150,$B26)/1000)</f>
        <v>0</v>
      </c>
      <c r="AB26" s="12">
        <f>IF(AA26="","",AA26)</f>
        <v>0</v>
      </c>
      <c r="AC26" s="11">
        <f>IF(AC$3=0,"",SUMIFS(INDEX(Inputs!$D$4:$AG$150,0,MATCH(AC$2,Inputs!$D$2:$AG$2,0)),Inputs!$B$4:$B$150,$B26)/1000)</f>
        <v>0</v>
      </c>
      <c r="AD26" s="11">
        <f>IF(AD$3=0,"",SUMIFS(INDEX(Inputs!$D$4:$AG$150,0,MATCH(AD$2,Inputs!$D$2:$AG$2,0)),Inputs!$B$4:$B$150,$B26)/1000)</f>
        <v>0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0</v>
      </c>
      <c r="E28" s="11">
        <f>IF(E$3=0,"",SUMIFS(INDEX(Inputs!$D$4:$AG$150,0,MATCH(E$2,Inputs!$D$2:$AG$2,0)),Inputs!$B$4:$B$150,$B28)/1000)</f>
        <v>0</v>
      </c>
      <c r="F28" s="11">
        <f>IF(F$3=0,"",SUMIFS(INDEX(Inputs!$D$4:$AG$150,0,MATCH(F$2,Inputs!$D$2:$AG$2,0)),Inputs!$B$4:$B$150,$B28)/1000)</f>
        <v>0</v>
      </c>
      <c r="G28" s="11">
        <f>IF(G$3=0,"",SUMIFS(INDEX(Inputs!$D$4:$AG$150,0,MATCH(G$2,Inputs!$D$2:$AG$2,0)),Inputs!$B$4:$B$150,$B28)/1000)</f>
        <v>0</v>
      </c>
      <c r="H28" s="12">
        <f>IF(G28="","",G28)</f>
        <v>0</v>
      </c>
      <c r="I28" s="11">
        <f>IF(I$3=0,"",SUMIFS(INDEX(Inputs!$D$4:$AG$150,0,MATCH(I$2,Inputs!$D$2:$AG$2,0)),Inputs!$B$4:$B$150,$B28)/1000)</f>
        <v>0</v>
      </c>
      <c r="J28" s="11">
        <f>IF(J$3=0,"",SUMIFS(INDEX(Inputs!$D$4:$AG$150,0,MATCH(J$2,Inputs!$D$2:$AG$2,0)),Inputs!$B$4:$B$150,$B28)/1000)</f>
        <v>0</v>
      </c>
      <c r="K28" s="11">
        <f>IF(K$3=0,"",SUMIFS(INDEX(Inputs!$D$4:$AG$150,0,MATCH(K$2,Inputs!$D$2:$AG$2,0)),Inputs!$B$4:$B$150,$B28)/1000)</f>
        <v>0</v>
      </c>
      <c r="L28" s="11">
        <f>IF(L$3=0,"",SUMIFS(INDEX(Inputs!$D$4:$AG$150,0,MATCH(L$2,Inputs!$D$2:$AG$2,0)),Inputs!$B$4:$B$150,$B28)/1000)</f>
        <v>0</v>
      </c>
      <c r="M28" s="12">
        <f>IF(L28="","",L28)</f>
        <v>0</v>
      </c>
      <c r="N28" s="11">
        <f>IF(N$3=0,"",SUMIFS(INDEX(Inputs!$D$4:$AG$150,0,MATCH(N$2,Inputs!$D$2:$AG$2,0)),Inputs!$B$4:$B$150,$B28)/1000)</f>
        <v>0</v>
      </c>
      <c r="O28" s="11">
        <f>IF(O$3=0,"",SUMIFS(INDEX(Inputs!$D$4:$AG$150,0,MATCH(O$2,Inputs!$D$2:$AG$2,0)),Inputs!$B$4:$B$150,$B28)/1000)</f>
        <v>0</v>
      </c>
      <c r="P28" s="11">
        <f>IF(P$3=0,"",SUMIFS(INDEX(Inputs!$D$4:$AG$150,0,MATCH(P$2,Inputs!$D$2:$AG$2,0)),Inputs!$B$4:$B$150,$B28)/1000)</f>
        <v>0</v>
      </c>
      <c r="Q28" s="11">
        <f>IF(Q$3=0,"",SUMIFS(INDEX(Inputs!$D$4:$AG$150,0,MATCH(Q$2,Inputs!$D$2:$AG$2,0)),Inputs!$B$4:$B$150,$B28)/1000)</f>
        <v>0</v>
      </c>
      <c r="R28" s="12">
        <f>IF(Q28="","",Q28)</f>
        <v>0</v>
      </c>
      <c r="S28" s="11">
        <f>IF(S$3=0,"",SUMIFS(INDEX(Inputs!$D$4:$AG$150,0,MATCH(S$2,Inputs!$D$2:$AG$2,0)),Inputs!$B$4:$B$150,$B28)/1000)</f>
        <v>0</v>
      </c>
      <c r="T28" s="11">
        <f>IF(T$3=0,"",SUMIFS(INDEX(Inputs!$D$4:$AG$150,0,MATCH(T$2,Inputs!$D$2:$AG$2,0)),Inputs!$B$4:$B$150,$B28)/1000)</f>
        <v>0</v>
      </c>
      <c r="U28" s="11">
        <f>IF(U$3=0,"",SUMIFS(INDEX(Inputs!$D$4:$AG$150,0,MATCH(U$2,Inputs!$D$2:$AG$2,0)),Inputs!$B$4:$B$150,$B28)/1000)</f>
        <v>0</v>
      </c>
      <c r="V28" s="11">
        <f>IF(V$3=0,"",SUMIFS(INDEX(Inputs!$D$4:$AG$150,0,MATCH(V$2,Inputs!$D$2:$AG$2,0)),Inputs!$B$4:$B$150,$B28)/1000)</f>
        <v>0</v>
      </c>
      <c r="W28" s="12">
        <f>IF(V28="","",V28)</f>
        <v>0</v>
      </c>
      <c r="X28" s="11">
        <f>IF(X$3=0,"",SUMIFS(INDEX(Inputs!$D$4:$AG$150,0,MATCH(X$2,Inputs!$D$2:$AG$2,0)),Inputs!$B$4:$B$150,$B28)/1000)</f>
        <v>0</v>
      </c>
      <c r="Y28" s="11">
        <f>IF(Y$3=0,"",SUMIFS(INDEX(Inputs!$D$4:$AG$150,0,MATCH(Y$2,Inputs!$D$2:$AG$2,0)),Inputs!$B$4:$B$150,$B28)/1000)</f>
        <v>0</v>
      </c>
      <c r="Z28" s="11">
        <f>IF(Z$3=0,"",SUMIFS(INDEX(Inputs!$D$4:$AG$150,0,MATCH(Z$2,Inputs!$D$2:$AG$2,0)),Inputs!$B$4:$B$150,$B28)/1000)</f>
        <v>0</v>
      </c>
      <c r="AA28" s="11">
        <f>IF(AA$3=0,"",SUMIFS(INDEX(Inputs!$D$4:$AG$150,0,MATCH(AA$2,Inputs!$D$2:$AG$2,0)),Inputs!$B$4:$B$150,$B28)/1000)</f>
        <v>0</v>
      </c>
      <c r="AB28" s="12">
        <f>IF(AA28="","",AA28)</f>
        <v>0</v>
      </c>
      <c r="AC28" s="11">
        <f>IF(AC$3=0,"",SUMIFS(INDEX(Inputs!$D$4:$AG$150,0,MATCH(AC$2,Inputs!$D$2:$AG$2,0)),Inputs!$B$4:$B$150,$B28)/1000)</f>
        <v>0</v>
      </c>
      <c r="AD28" s="11">
        <f>IF(AD$3=0,"",SUMIFS(INDEX(Inputs!$D$4:$AG$150,0,MATCH(AD$2,Inputs!$D$2:$AG$2,0)),Inputs!$B$4:$B$150,$B28)/1000)</f>
        <v>0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0</v>
      </c>
      <c r="E29" s="11">
        <f>IF(E$3=0,"",SUMIFS(INDEX(Inputs!$D$4:$AG$150,0,MATCH(E$2,Inputs!$D$2:$AG$2,0)),Inputs!$B$4:$B$150,$B29)/1000)</f>
        <v>0</v>
      </c>
      <c r="F29" s="11">
        <f>IF(F$3=0,"",SUMIFS(INDEX(Inputs!$D$4:$AG$150,0,MATCH(F$2,Inputs!$D$2:$AG$2,0)),Inputs!$B$4:$B$150,$B29)/1000)</f>
        <v>0</v>
      </c>
      <c r="G29" s="11">
        <f>IF(G$3=0,"",SUMIFS(INDEX(Inputs!$D$4:$AG$150,0,MATCH(G$2,Inputs!$D$2:$AG$2,0)),Inputs!$B$4:$B$150,$B29)/1000)</f>
        <v>0</v>
      </c>
      <c r="H29" s="12">
        <f>IF(G29="","",G29)</f>
        <v>0</v>
      </c>
      <c r="I29" s="11">
        <f>IF(I$3=0,"",SUMIFS(INDEX(Inputs!$D$4:$AG$150,0,MATCH(I$2,Inputs!$D$2:$AG$2,0)),Inputs!$B$4:$B$150,$B29)/1000)</f>
        <v>0</v>
      </c>
      <c r="J29" s="11">
        <f>IF(J$3=0,"",SUMIFS(INDEX(Inputs!$D$4:$AG$150,0,MATCH(J$2,Inputs!$D$2:$AG$2,0)),Inputs!$B$4:$B$150,$B29)/1000)</f>
        <v>0</v>
      </c>
      <c r="K29" s="11">
        <f>IF(K$3=0,"",SUMIFS(INDEX(Inputs!$D$4:$AG$150,0,MATCH(K$2,Inputs!$D$2:$AG$2,0)),Inputs!$B$4:$B$150,$B29)/1000)</f>
        <v>0</v>
      </c>
      <c r="L29" s="11">
        <f>IF(L$3=0,"",SUMIFS(INDEX(Inputs!$D$4:$AG$150,0,MATCH(L$2,Inputs!$D$2:$AG$2,0)),Inputs!$B$4:$B$150,$B29)/1000)</f>
        <v>0</v>
      </c>
      <c r="M29" s="12">
        <f>IF(L29="","",L29)</f>
        <v>0</v>
      </c>
      <c r="N29" s="11">
        <f>IF(N$3=0,"",SUMIFS(INDEX(Inputs!$D$4:$AG$150,0,MATCH(N$2,Inputs!$D$2:$AG$2,0)),Inputs!$B$4:$B$150,$B29)/1000)</f>
        <v>0</v>
      </c>
      <c r="O29" s="11">
        <f>IF(O$3=0,"",SUMIFS(INDEX(Inputs!$D$4:$AG$150,0,MATCH(O$2,Inputs!$D$2:$AG$2,0)),Inputs!$B$4:$B$150,$B29)/1000)</f>
        <v>0</v>
      </c>
      <c r="P29" s="11">
        <f>IF(P$3=0,"",SUMIFS(INDEX(Inputs!$D$4:$AG$150,0,MATCH(P$2,Inputs!$D$2:$AG$2,0)),Inputs!$B$4:$B$150,$B29)/1000)</f>
        <v>0</v>
      </c>
      <c r="Q29" s="11">
        <f>IF(Q$3=0,"",SUMIFS(INDEX(Inputs!$D$4:$AG$150,0,MATCH(Q$2,Inputs!$D$2:$AG$2,0)),Inputs!$B$4:$B$150,$B29)/1000)</f>
        <v>0</v>
      </c>
      <c r="R29" s="12">
        <f>IF(Q29="","",Q29)</f>
        <v>0</v>
      </c>
      <c r="S29" s="11">
        <f>IF(S$3=0,"",SUMIFS(INDEX(Inputs!$D$4:$AG$150,0,MATCH(S$2,Inputs!$D$2:$AG$2,0)),Inputs!$B$4:$B$150,$B29)/1000)</f>
        <v>0</v>
      </c>
      <c r="T29" s="11">
        <f>IF(T$3=0,"",SUMIFS(INDEX(Inputs!$D$4:$AG$150,0,MATCH(T$2,Inputs!$D$2:$AG$2,0)),Inputs!$B$4:$B$150,$B29)/1000)</f>
        <v>0</v>
      </c>
      <c r="U29" s="11">
        <f>IF(U$3=0,"",SUMIFS(INDEX(Inputs!$D$4:$AG$150,0,MATCH(U$2,Inputs!$D$2:$AG$2,0)),Inputs!$B$4:$B$150,$B29)/1000)</f>
        <v>0</v>
      </c>
      <c r="V29" s="11">
        <f>IF(V$3=0,"",SUMIFS(INDEX(Inputs!$D$4:$AG$150,0,MATCH(V$2,Inputs!$D$2:$AG$2,0)),Inputs!$B$4:$B$150,$B29)/1000)</f>
        <v>0</v>
      </c>
      <c r="W29" s="12">
        <f>IF(V29="","",V29)</f>
        <v>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0</v>
      </c>
      <c r="AB29" s="12">
        <f>IF(AA29="","",AA29)</f>
        <v>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12884.798</v>
      </c>
      <c r="E31" s="11">
        <f>IF(E$3=0,"",SUMIFS(INDEX(Inputs!$D$4:$AG$150,0,MATCH(E$2,Inputs!$D$2:$AG$2,0)),Inputs!$B$4:$B$150,$B31)/1000)</f>
        <v>14750.178</v>
      </c>
      <c r="F31" s="11">
        <f>IF(F$3=0,"",SUMIFS(INDEX(Inputs!$D$4:$AG$150,0,MATCH(F$2,Inputs!$D$2:$AG$2,0)),Inputs!$B$4:$B$150,$B31)/1000)</f>
        <v>18160.227</v>
      </c>
      <c r="G31" s="11">
        <f>IF(G$3=0,"",SUMIFS(INDEX(Inputs!$D$4:$AG$150,0,MATCH(G$2,Inputs!$D$2:$AG$2,0)),Inputs!$B$4:$B$150,$B31)/1000)</f>
        <v>19490.362</v>
      </c>
      <c r="H31" s="12">
        <f>IF(G31="","",G31)</f>
        <v>19490.362</v>
      </c>
      <c r="I31" s="11">
        <f>IF(I$3=0,"",SUMIFS(INDEX(Inputs!$D$4:$AG$150,0,MATCH(I$2,Inputs!$D$2:$AG$2,0)),Inputs!$B$4:$B$150,$B31)/1000)</f>
        <v>21103.051</v>
      </c>
      <c r="J31" s="11">
        <f>IF(J$3=0,"",SUMIFS(INDEX(Inputs!$D$4:$AG$150,0,MATCH(J$2,Inputs!$D$2:$AG$2,0)),Inputs!$B$4:$B$150,$B31)/1000)</f>
        <v>20297.21</v>
      </c>
      <c r="K31" s="11">
        <f>IF(K$3=0,"",SUMIFS(INDEX(Inputs!$D$4:$AG$150,0,MATCH(K$2,Inputs!$D$2:$AG$2,0)),Inputs!$B$4:$B$150,$B31)/1000)</f>
        <v>20523.936</v>
      </c>
      <c r="L31" s="11">
        <f>IF(L$3=0,"",SUMIFS(INDEX(Inputs!$D$4:$AG$150,0,MATCH(L$2,Inputs!$D$2:$AG$2,0)),Inputs!$B$4:$B$150,$B31)/1000)</f>
        <v>22843.16</v>
      </c>
      <c r="M31" s="12">
        <f>IF(L31="","",L31)</f>
        <v>22843.16</v>
      </c>
      <c r="N31" s="11">
        <f>IF(N$3=0,"",SUMIFS(INDEX(Inputs!$D$4:$AG$150,0,MATCH(N$2,Inputs!$D$2:$AG$2,0)),Inputs!$B$4:$B$150,$B31)/1000)</f>
        <v>22372.614</v>
      </c>
      <c r="O31" s="11">
        <f>IF(O$3=0,"",SUMIFS(INDEX(Inputs!$D$4:$AG$150,0,MATCH(O$2,Inputs!$D$2:$AG$2,0)),Inputs!$B$4:$B$150,$B31)/1000)</f>
        <v>22492.305</v>
      </c>
      <c r="P31" s="11">
        <f>IF(P$3=0,"",SUMIFS(INDEX(Inputs!$D$4:$AG$150,0,MATCH(P$2,Inputs!$D$2:$AG$2,0)),Inputs!$B$4:$B$150,$B31)/1000)</f>
        <v>22853.102</v>
      </c>
      <c r="Q31" s="11">
        <f>IF(Q$3=0,"",SUMIFS(INDEX(Inputs!$D$4:$AG$150,0,MATCH(Q$2,Inputs!$D$2:$AG$2,0)),Inputs!$B$4:$B$150,$B31)/1000)</f>
        <v>22212.316</v>
      </c>
      <c r="R31" s="12">
        <f>IF(Q31="","",Q31)</f>
        <v>22212.316</v>
      </c>
      <c r="S31" s="11">
        <f>IF(S$3=0,"",SUMIFS(INDEX(Inputs!$D$4:$AG$150,0,MATCH(S$2,Inputs!$D$2:$AG$2,0)),Inputs!$B$4:$B$150,$B31)/1000)</f>
        <v>21228.868</v>
      </c>
      <c r="T31" s="11">
        <f>IF(T$3=0,"",SUMIFS(INDEX(Inputs!$D$4:$AG$150,0,MATCH(T$2,Inputs!$D$2:$AG$2,0)),Inputs!$B$4:$B$150,$B31)/1000)</f>
        <v>21910.734</v>
      </c>
      <c r="U31" s="11">
        <f>IF(U$3=0,"",SUMIFS(INDEX(Inputs!$D$4:$AG$150,0,MATCH(U$2,Inputs!$D$2:$AG$2,0)),Inputs!$B$4:$B$150,$B31)/1000)</f>
        <v>23110.501</v>
      </c>
      <c r="V31" s="11">
        <f>IF(V$3=0,"",SUMIFS(INDEX(Inputs!$D$4:$AG$150,0,MATCH(V$2,Inputs!$D$2:$AG$2,0)),Inputs!$B$4:$B$150,$B31)/1000)</f>
        <v>23974.86</v>
      </c>
      <c r="W31" s="12">
        <f>IF(V31="","",V31)</f>
        <v>23974.86</v>
      </c>
      <c r="X31" s="11">
        <f>IF(X$3=0,"",SUMIFS(INDEX(Inputs!$D$4:$AG$150,0,MATCH(X$2,Inputs!$D$2:$AG$2,0)),Inputs!$B$4:$B$150,$B31)/1000)</f>
        <v>25390.726</v>
      </c>
      <c r="Y31" s="11">
        <f>IF(Y$3=0,"",SUMIFS(INDEX(Inputs!$D$4:$AG$150,0,MATCH(Y$2,Inputs!$D$2:$AG$2,0)),Inputs!$B$4:$B$150,$B31)/1000)</f>
        <v>24294.214</v>
      </c>
      <c r="Z31" s="11">
        <f>IF(Z$3=0,"",SUMIFS(INDEX(Inputs!$D$4:$AG$150,0,MATCH(Z$2,Inputs!$D$2:$AG$2,0)),Inputs!$B$4:$B$150,$B31)/1000)</f>
        <v>25192.849</v>
      </c>
      <c r="AA31" s="11">
        <f>IF(AA$3=0,"",SUMIFS(INDEX(Inputs!$D$4:$AG$150,0,MATCH(AA$2,Inputs!$D$2:$AG$2,0)),Inputs!$B$4:$B$150,$B31)/1000)</f>
        <v>25827.803</v>
      </c>
      <c r="AB31" s="12">
        <f>IF(AA31="","",AA31)</f>
        <v>25827.803</v>
      </c>
      <c r="AC31" s="11">
        <f>IF(AC$3=0,"",SUMIFS(INDEX(Inputs!$D$4:$AG$150,0,MATCH(AC$2,Inputs!$D$2:$AG$2,0)),Inputs!$B$4:$B$150,$B31)/1000)</f>
        <v>26910.271</v>
      </c>
      <c r="AD31" s="11">
        <f>IF(AD$3=0,"",SUMIFS(INDEX(Inputs!$D$4:$AG$150,0,MATCH(AD$2,Inputs!$D$2:$AG$2,0)),Inputs!$B$4:$B$150,$B31)/1000)</f>
        <v>27458.992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0</v>
      </c>
      <c r="E32" s="11">
        <f>IF(E$3=0,"",SUMIFS(INDEX(Inputs!$D$4:$AG$150,0,MATCH(E$2,Inputs!$D$2:$AG$2,0)),Inputs!$B$4:$B$150,$B32)/1000)</f>
        <v>0</v>
      </c>
      <c r="F32" s="11">
        <f>IF(F$3=0,"",SUMIFS(INDEX(Inputs!$D$4:$AG$150,0,MATCH(F$2,Inputs!$D$2:$AG$2,0)),Inputs!$B$4:$B$150,$B32)/1000)</f>
        <v>0</v>
      </c>
      <c r="G32" s="11">
        <f>IF(G$3=0,"",SUMIFS(INDEX(Inputs!$D$4:$AG$150,0,MATCH(G$2,Inputs!$D$2:$AG$2,0)),Inputs!$B$4:$B$150,$B32)/1000)</f>
        <v>0</v>
      </c>
      <c r="H32" s="12">
        <f>IF(G32="","",G32)</f>
        <v>0</v>
      </c>
      <c r="I32" s="11">
        <f>IF(I$3=0,"",SUMIFS(INDEX(Inputs!$D$4:$AG$150,0,MATCH(I$2,Inputs!$D$2:$AG$2,0)),Inputs!$B$4:$B$150,$B32)/1000)</f>
        <v>0</v>
      </c>
      <c r="J32" s="11">
        <f>IF(J$3=0,"",SUMIFS(INDEX(Inputs!$D$4:$AG$150,0,MATCH(J$2,Inputs!$D$2:$AG$2,0)),Inputs!$B$4:$B$150,$B32)/1000)</f>
        <v>0</v>
      </c>
      <c r="K32" s="11">
        <f>IF(K$3=0,"",SUMIFS(INDEX(Inputs!$D$4:$AG$150,0,MATCH(K$2,Inputs!$D$2:$AG$2,0)),Inputs!$B$4:$B$150,$B32)/1000)</f>
        <v>0</v>
      </c>
      <c r="L32" s="11">
        <f>IF(L$3=0,"",SUMIFS(INDEX(Inputs!$D$4:$AG$150,0,MATCH(L$2,Inputs!$D$2:$AG$2,0)),Inputs!$B$4:$B$150,$B32)/1000)</f>
        <v>0</v>
      </c>
      <c r="M32" s="12">
        <f>IF(L32="","",L32)</f>
        <v>0</v>
      </c>
      <c r="N32" s="11">
        <f>IF(N$3=0,"",SUMIFS(INDEX(Inputs!$D$4:$AG$150,0,MATCH(N$2,Inputs!$D$2:$AG$2,0)),Inputs!$B$4:$B$150,$B32)/1000)</f>
        <v>0</v>
      </c>
      <c r="O32" s="11">
        <f>IF(O$3=0,"",SUMIFS(INDEX(Inputs!$D$4:$AG$150,0,MATCH(O$2,Inputs!$D$2:$AG$2,0)),Inputs!$B$4:$B$150,$B32)/1000)</f>
        <v>0</v>
      </c>
      <c r="P32" s="11">
        <f>IF(P$3=0,"",SUMIFS(INDEX(Inputs!$D$4:$AG$150,0,MATCH(P$2,Inputs!$D$2:$AG$2,0)),Inputs!$B$4:$B$150,$B32)/1000)</f>
        <v>0</v>
      </c>
      <c r="Q32" s="11">
        <f>IF(Q$3=0,"",SUMIFS(INDEX(Inputs!$D$4:$AG$150,0,MATCH(Q$2,Inputs!$D$2:$AG$2,0)),Inputs!$B$4:$B$150,$B32)/1000)</f>
        <v>0</v>
      </c>
      <c r="R32" s="12">
        <f>IF(Q32="","",Q32)</f>
        <v>0</v>
      </c>
      <c r="S32" s="11">
        <f>IF(S$3=0,"",SUMIFS(INDEX(Inputs!$D$4:$AG$150,0,MATCH(S$2,Inputs!$D$2:$AG$2,0)),Inputs!$B$4:$B$150,$B32)/1000)</f>
        <v>0</v>
      </c>
      <c r="T32" s="11">
        <f>IF(T$3=0,"",SUMIFS(INDEX(Inputs!$D$4:$AG$150,0,MATCH(T$2,Inputs!$D$2:$AG$2,0)),Inputs!$B$4:$B$150,$B32)/1000)</f>
        <v>0</v>
      </c>
      <c r="U32" s="11">
        <f>IF(U$3=0,"",SUMIFS(INDEX(Inputs!$D$4:$AG$150,0,MATCH(U$2,Inputs!$D$2:$AG$2,0)),Inputs!$B$4:$B$150,$B32)/1000)</f>
        <v>0</v>
      </c>
      <c r="V32" s="11">
        <f>IF(V$3=0,"",SUMIFS(INDEX(Inputs!$D$4:$AG$150,0,MATCH(V$2,Inputs!$D$2:$AG$2,0)),Inputs!$B$4:$B$150,$B32)/1000)</f>
        <v>0</v>
      </c>
      <c r="W32" s="12">
        <f>IF(V32="","",V32)</f>
        <v>0</v>
      </c>
      <c r="X32" s="11">
        <f>IF(X$3=0,"",SUMIFS(INDEX(Inputs!$D$4:$AG$150,0,MATCH(X$2,Inputs!$D$2:$AG$2,0)),Inputs!$B$4:$B$150,$B32)/1000)</f>
        <v>0</v>
      </c>
      <c r="Y32" s="11">
        <f>IF(Y$3=0,"",SUMIFS(INDEX(Inputs!$D$4:$AG$150,0,MATCH(Y$2,Inputs!$D$2:$AG$2,0)),Inputs!$B$4:$B$150,$B32)/1000)</f>
        <v>0</v>
      </c>
      <c r="Z32" s="11">
        <f>IF(Z$3=0,"",SUMIFS(INDEX(Inputs!$D$4:$AG$150,0,MATCH(Z$2,Inputs!$D$2:$AG$2,0)),Inputs!$B$4:$B$150,$B32)/1000)</f>
        <v>0</v>
      </c>
      <c r="AA32" s="11">
        <f>IF(AA$3=0,"",SUMIFS(INDEX(Inputs!$D$4:$AG$150,0,MATCH(AA$2,Inputs!$D$2:$AG$2,0)),Inputs!$B$4:$B$150,$B32)/1000)</f>
        <v>0</v>
      </c>
      <c r="AB32" s="12">
        <f>IF(AA32="","",AA32)</f>
        <v>0</v>
      </c>
      <c r="AC32" s="11">
        <f>IF(AC$3=0,"",SUMIFS(INDEX(Inputs!$D$4:$AG$150,0,MATCH(AC$2,Inputs!$D$2:$AG$2,0)),Inputs!$B$4:$B$150,$B32)/1000)</f>
        <v>0</v>
      </c>
      <c r="AD32" s="11">
        <f>IF(AD$3=0,"",SUMIFS(INDEX(Inputs!$D$4:$AG$150,0,MATCH(AD$2,Inputs!$D$2:$AG$2,0)),Inputs!$B$4:$B$150,$B32)/1000)</f>
        <v>0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0</v>
      </c>
      <c r="E35" s="11">
        <f>IF(E$3=0,"",SUMIFS(INDEX(Inputs!$D$4:$AG$150,0,MATCH(E$2,Inputs!$D$2:$AG$2,0)),Inputs!$B$4:$B$150,$B35)/1000)</f>
        <v>0</v>
      </c>
      <c r="F35" s="11">
        <f>IF(F$3=0,"",SUMIFS(INDEX(Inputs!$D$4:$AG$150,0,MATCH(F$2,Inputs!$D$2:$AG$2,0)),Inputs!$B$4:$B$150,$B35)/1000)</f>
        <v>0</v>
      </c>
      <c r="G35" s="11">
        <f>IF(G$3=0,"",SUMIFS(INDEX(Inputs!$D$4:$AG$150,0,MATCH(G$2,Inputs!$D$2:$AG$2,0)),Inputs!$B$4:$B$150,$B35)/1000)</f>
        <v>0</v>
      </c>
      <c r="H35" s="12">
        <f>IF(G35="","",G35)</f>
        <v>0</v>
      </c>
      <c r="I35" s="11">
        <f>IF(I$3=0,"",SUMIFS(INDEX(Inputs!$D$4:$AG$150,0,MATCH(I$2,Inputs!$D$2:$AG$2,0)),Inputs!$B$4:$B$150,$B35)/1000)</f>
        <v>0</v>
      </c>
      <c r="J35" s="11">
        <f>IF(J$3=0,"",SUMIFS(INDEX(Inputs!$D$4:$AG$150,0,MATCH(J$2,Inputs!$D$2:$AG$2,0)),Inputs!$B$4:$B$150,$B35)/1000)</f>
        <v>0</v>
      </c>
      <c r="K35" s="11">
        <f>IF(K$3=0,"",SUMIFS(INDEX(Inputs!$D$4:$AG$150,0,MATCH(K$2,Inputs!$D$2:$AG$2,0)),Inputs!$B$4:$B$150,$B35)/1000)</f>
        <v>0</v>
      </c>
      <c r="L35" s="11">
        <f>IF(L$3=0,"",SUMIFS(INDEX(Inputs!$D$4:$AG$150,0,MATCH(L$2,Inputs!$D$2:$AG$2,0)),Inputs!$B$4:$B$150,$B35)/1000)</f>
        <v>0</v>
      </c>
      <c r="M35" s="12">
        <f>IF(L35="","",L35)</f>
        <v>0</v>
      </c>
      <c r="N35" s="11">
        <f>IF(N$3=0,"",SUMIFS(INDEX(Inputs!$D$4:$AG$150,0,MATCH(N$2,Inputs!$D$2:$AG$2,0)),Inputs!$B$4:$B$150,$B35)/1000)</f>
        <v>0</v>
      </c>
      <c r="O35" s="11">
        <f>IF(O$3=0,"",SUMIFS(INDEX(Inputs!$D$4:$AG$150,0,MATCH(O$2,Inputs!$D$2:$AG$2,0)),Inputs!$B$4:$B$150,$B35)/1000)</f>
        <v>0</v>
      </c>
      <c r="P35" s="11">
        <f>IF(P$3=0,"",SUMIFS(INDEX(Inputs!$D$4:$AG$150,0,MATCH(P$2,Inputs!$D$2:$AG$2,0)),Inputs!$B$4:$B$150,$B35)/1000)</f>
        <v>0</v>
      </c>
      <c r="Q35" s="11">
        <f>IF(Q$3=0,"",SUMIFS(INDEX(Inputs!$D$4:$AG$150,0,MATCH(Q$2,Inputs!$D$2:$AG$2,0)),Inputs!$B$4:$B$150,$B35)/1000)</f>
        <v>0</v>
      </c>
      <c r="R35" s="12">
        <f>IF(Q35="","",Q35)</f>
        <v>0</v>
      </c>
      <c r="S35" s="11">
        <f>IF(S$3=0,"",SUMIFS(INDEX(Inputs!$D$4:$AG$150,0,MATCH(S$2,Inputs!$D$2:$AG$2,0)),Inputs!$B$4:$B$150,$B35)/1000)</f>
        <v>0</v>
      </c>
      <c r="T35" s="11">
        <f>IF(T$3=0,"",SUMIFS(INDEX(Inputs!$D$4:$AG$150,0,MATCH(T$2,Inputs!$D$2:$AG$2,0)),Inputs!$B$4:$B$150,$B35)/1000)</f>
        <v>0</v>
      </c>
      <c r="U35" s="11">
        <f>IF(U$3=0,"",SUMIFS(INDEX(Inputs!$D$4:$AG$150,0,MATCH(U$2,Inputs!$D$2:$AG$2,0)),Inputs!$B$4:$B$150,$B35)/1000)</f>
        <v>0</v>
      </c>
      <c r="V35" s="11">
        <f>IF(V$3=0,"",SUMIFS(INDEX(Inputs!$D$4:$AG$150,0,MATCH(V$2,Inputs!$D$2:$AG$2,0)),Inputs!$B$4:$B$150,$B35)/1000)</f>
        <v>0</v>
      </c>
      <c r="W35" s="12">
        <f>IF(V35="","",V35)</f>
        <v>0</v>
      </c>
      <c r="X35" s="11">
        <f>IF(X$3=0,"",SUMIFS(INDEX(Inputs!$D$4:$AG$150,0,MATCH(X$2,Inputs!$D$2:$AG$2,0)),Inputs!$B$4:$B$150,$B35)/1000)</f>
        <v>0</v>
      </c>
      <c r="Y35" s="11">
        <f>IF(Y$3=0,"",SUMIFS(INDEX(Inputs!$D$4:$AG$150,0,MATCH(Y$2,Inputs!$D$2:$AG$2,0)),Inputs!$B$4:$B$150,$B35)/1000)</f>
        <v>0</v>
      </c>
      <c r="Z35" s="11">
        <f>IF(Z$3=0,"",SUMIFS(INDEX(Inputs!$D$4:$AG$150,0,MATCH(Z$2,Inputs!$D$2:$AG$2,0)),Inputs!$B$4:$B$150,$B35)/1000)</f>
        <v>0</v>
      </c>
      <c r="AA35" s="11">
        <f>IF(AA$3=0,"",SUMIFS(INDEX(Inputs!$D$4:$AG$150,0,MATCH(AA$2,Inputs!$D$2:$AG$2,0)),Inputs!$B$4:$B$150,$B35)/1000)</f>
        <v>0</v>
      </c>
      <c r="AB35" s="12">
        <f>IF(AA35="","",AA35)</f>
        <v>0</v>
      </c>
      <c r="AC35" s="11">
        <f>IF(AC$3=0,"",SUMIFS(INDEX(Inputs!$D$4:$AG$150,0,MATCH(AC$2,Inputs!$D$2:$AG$2,0)),Inputs!$B$4:$B$150,$B35)/1000)</f>
        <v>0</v>
      </c>
      <c r="AD35" s="11">
        <f>IF(AD$3=0,"",SUMIFS(INDEX(Inputs!$D$4:$AG$150,0,MATCH(AD$2,Inputs!$D$2:$AG$2,0)),Inputs!$B$4:$B$150,$B35)/1000)</f>
        <v>0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0</v>
      </c>
      <c r="E38" s="11">
        <f>IF(E$3=0,"",SUMIFS(INDEX(Inputs!$D$4:$AG$150,0,MATCH(E$2,Inputs!$D$2:$AG$2,0)),Inputs!$B$4:$B$150,$B38)/1000)</f>
        <v>0</v>
      </c>
      <c r="F38" s="11">
        <f>IF(F$3=0,"",SUMIFS(INDEX(Inputs!$D$4:$AG$150,0,MATCH(F$2,Inputs!$D$2:$AG$2,0)),Inputs!$B$4:$B$150,$B38)/1000)</f>
        <v>0</v>
      </c>
      <c r="G38" s="11">
        <f>IF(G$3=0,"",SUMIFS(INDEX(Inputs!$D$4:$AG$150,0,MATCH(G$2,Inputs!$D$2:$AG$2,0)),Inputs!$B$4:$B$150,$B38)/1000)</f>
        <v>0</v>
      </c>
      <c r="H38" s="12">
        <f>IF(G38="","",G38)</f>
        <v>0</v>
      </c>
      <c r="I38" s="11">
        <f>IF(I$3=0,"",SUMIFS(INDEX(Inputs!$D$4:$AG$150,0,MATCH(I$2,Inputs!$D$2:$AG$2,0)),Inputs!$B$4:$B$150,$B38)/1000)</f>
        <v>0</v>
      </c>
      <c r="J38" s="11">
        <f>IF(J$3=0,"",SUMIFS(INDEX(Inputs!$D$4:$AG$150,0,MATCH(J$2,Inputs!$D$2:$AG$2,0)),Inputs!$B$4:$B$150,$B38)/1000)</f>
        <v>0</v>
      </c>
      <c r="K38" s="11">
        <f>IF(K$3=0,"",SUMIFS(INDEX(Inputs!$D$4:$AG$150,0,MATCH(K$2,Inputs!$D$2:$AG$2,0)),Inputs!$B$4:$B$150,$B38)/1000)</f>
        <v>0</v>
      </c>
      <c r="L38" s="11">
        <f>IF(L$3=0,"",SUMIFS(INDEX(Inputs!$D$4:$AG$150,0,MATCH(L$2,Inputs!$D$2:$AG$2,0)),Inputs!$B$4:$B$150,$B38)/1000)</f>
        <v>0</v>
      </c>
      <c r="M38" s="12">
        <f>IF(L38="","",L38)</f>
        <v>0</v>
      </c>
      <c r="N38" s="11">
        <f>IF(N$3=0,"",SUMIFS(INDEX(Inputs!$D$4:$AG$150,0,MATCH(N$2,Inputs!$D$2:$AG$2,0)),Inputs!$B$4:$B$150,$B38)/1000)</f>
        <v>0</v>
      </c>
      <c r="O38" s="11">
        <f>IF(O$3=0,"",SUMIFS(INDEX(Inputs!$D$4:$AG$150,0,MATCH(O$2,Inputs!$D$2:$AG$2,0)),Inputs!$B$4:$B$150,$B38)/1000)</f>
        <v>0</v>
      </c>
      <c r="P38" s="11">
        <f>IF(P$3=0,"",SUMIFS(INDEX(Inputs!$D$4:$AG$150,0,MATCH(P$2,Inputs!$D$2:$AG$2,0)),Inputs!$B$4:$B$150,$B38)/1000)</f>
        <v>0</v>
      </c>
      <c r="Q38" s="11">
        <f>IF(Q$3=0,"",SUMIFS(INDEX(Inputs!$D$4:$AG$150,0,MATCH(Q$2,Inputs!$D$2:$AG$2,0)),Inputs!$B$4:$B$150,$B38)/1000)</f>
        <v>0</v>
      </c>
      <c r="R38" s="12">
        <f>IF(Q38="","",Q38)</f>
        <v>0</v>
      </c>
      <c r="S38" s="11">
        <f>IF(S$3=0,"",SUMIFS(INDEX(Inputs!$D$4:$AG$150,0,MATCH(S$2,Inputs!$D$2:$AG$2,0)),Inputs!$B$4:$B$150,$B38)/1000)</f>
        <v>0</v>
      </c>
      <c r="T38" s="11">
        <f>IF(T$3=0,"",SUMIFS(INDEX(Inputs!$D$4:$AG$150,0,MATCH(T$2,Inputs!$D$2:$AG$2,0)),Inputs!$B$4:$B$150,$B38)/1000)</f>
        <v>0</v>
      </c>
      <c r="U38" s="11">
        <f>IF(U$3=0,"",SUMIFS(INDEX(Inputs!$D$4:$AG$150,0,MATCH(U$2,Inputs!$D$2:$AG$2,0)),Inputs!$B$4:$B$150,$B38)/1000)</f>
        <v>0</v>
      </c>
      <c r="V38" s="11">
        <f>IF(V$3=0,"",SUMIFS(INDEX(Inputs!$D$4:$AG$150,0,MATCH(V$2,Inputs!$D$2:$AG$2,0)),Inputs!$B$4:$B$150,$B38)/1000)</f>
        <v>0</v>
      </c>
      <c r="W38" s="12">
        <f>IF(V38="","",V38)</f>
        <v>0</v>
      </c>
      <c r="X38" s="11">
        <f>IF(X$3=0,"",SUMIFS(INDEX(Inputs!$D$4:$AG$150,0,MATCH(X$2,Inputs!$D$2:$AG$2,0)),Inputs!$B$4:$B$150,$B38)/1000)</f>
        <v>0</v>
      </c>
      <c r="Y38" s="11">
        <f>IF(Y$3=0,"",SUMIFS(INDEX(Inputs!$D$4:$AG$150,0,MATCH(Y$2,Inputs!$D$2:$AG$2,0)),Inputs!$B$4:$B$150,$B38)/1000)</f>
        <v>0</v>
      </c>
      <c r="Z38" s="11">
        <f>IF(Z$3=0,"",SUMIFS(INDEX(Inputs!$D$4:$AG$150,0,MATCH(Z$2,Inputs!$D$2:$AG$2,0)),Inputs!$B$4:$B$150,$B38)/1000)</f>
        <v>0</v>
      </c>
      <c r="AA38" s="11">
        <f>IF(AA$3=0,"",SUMIFS(INDEX(Inputs!$D$4:$AG$150,0,MATCH(AA$2,Inputs!$D$2:$AG$2,0)),Inputs!$B$4:$B$150,$B38)/1000)</f>
        <v>0</v>
      </c>
      <c r="AB38" s="12">
        <f>IF(AA38="","",AA38)</f>
        <v>0</v>
      </c>
      <c r="AC38" s="11">
        <f>IF(AC$3=0,"",SUMIFS(INDEX(Inputs!$D$4:$AG$150,0,MATCH(AC$2,Inputs!$D$2:$AG$2,0)),Inputs!$B$4:$B$150,$B38)/1000)</f>
        <v>0</v>
      </c>
      <c r="AD38" s="11">
        <f>IF(AD$3=0,"",SUMIFS(INDEX(Inputs!$D$4:$AG$150,0,MATCH(AD$2,Inputs!$D$2:$AG$2,0)),Inputs!$B$4:$B$150,$B38)/1000)</f>
        <v>0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0</v>
      </c>
      <c r="E39" s="11">
        <f>IF(E$3=0,"",SUMIFS(INDEX(Inputs!$D$4:$AG$150,0,MATCH(E$2,Inputs!$D$2:$AG$2,0)),Inputs!$B$4:$B$150,$B39)/1000)</f>
        <v>0</v>
      </c>
      <c r="F39" s="11">
        <f>IF(F$3=0,"",SUMIFS(INDEX(Inputs!$D$4:$AG$150,0,MATCH(F$2,Inputs!$D$2:$AG$2,0)),Inputs!$B$4:$B$150,$B39)/1000)</f>
        <v>0</v>
      </c>
      <c r="G39" s="11">
        <f>IF(G$3=0,"",SUMIFS(INDEX(Inputs!$D$4:$AG$150,0,MATCH(G$2,Inputs!$D$2:$AG$2,0)),Inputs!$B$4:$B$150,$B39)/1000)</f>
        <v>0</v>
      </c>
      <c r="H39" s="12">
        <f>IF(G39="","",G39)</f>
        <v>0</v>
      </c>
      <c r="I39" s="11">
        <f>IF(I$3=0,"",SUMIFS(INDEX(Inputs!$D$4:$AG$150,0,MATCH(I$2,Inputs!$D$2:$AG$2,0)),Inputs!$B$4:$B$150,$B39)/1000)</f>
        <v>0</v>
      </c>
      <c r="J39" s="11">
        <f>IF(J$3=0,"",SUMIFS(INDEX(Inputs!$D$4:$AG$150,0,MATCH(J$2,Inputs!$D$2:$AG$2,0)),Inputs!$B$4:$B$150,$B39)/1000)</f>
        <v>0</v>
      </c>
      <c r="K39" s="11">
        <f>IF(K$3=0,"",SUMIFS(INDEX(Inputs!$D$4:$AG$150,0,MATCH(K$2,Inputs!$D$2:$AG$2,0)),Inputs!$B$4:$B$150,$B39)/1000)</f>
        <v>0</v>
      </c>
      <c r="L39" s="11">
        <f>IF(L$3=0,"",SUMIFS(INDEX(Inputs!$D$4:$AG$150,0,MATCH(L$2,Inputs!$D$2:$AG$2,0)),Inputs!$B$4:$B$150,$B39)/1000)</f>
        <v>0</v>
      </c>
      <c r="M39" s="12">
        <f>IF(L39="","",L39)</f>
        <v>0</v>
      </c>
      <c r="N39" s="11">
        <f>IF(N$3=0,"",SUMIFS(INDEX(Inputs!$D$4:$AG$150,0,MATCH(N$2,Inputs!$D$2:$AG$2,0)),Inputs!$B$4:$B$150,$B39)/1000)</f>
        <v>0</v>
      </c>
      <c r="O39" s="11">
        <f>IF(O$3=0,"",SUMIFS(INDEX(Inputs!$D$4:$AG$150,0,MATCH(O$2,Inputs!$D$2:$AG$2,0)),Inputs!$B$4:$B$150,$B39)/1000)</f>
        <v>0</v>
      </c>
      <c r="P39" s="11">
        <f>IF(P$3=0,"",SUMIFS(INDEX(Inputs!$D$4:$AG$150,0,MATCH(P$2,Inputs!$D$2:$AG$2,0)),Inputs!$B$4:$B$150,$B39)/1000)</f>
        <v>0</v>
      </c>
      <c r="Q39" s="11">
        <f>IF(Q$3=0,"",SUMIFS(INDEX(Inputs!$D$4:$AG$150,0,MATCH(Q$2,Inputs!$D$2:$AG$2,0)),Inputs!$B$4:$B$150,$B39)/1000)</f>
        <v>0</v>
      </c>
      <c r="R39" s="12">
        <f>IF(Q39="","",Q39)</f>
        <v>0</v>
      </c>
      <c r="S39" s="11">
        <f>IF(S$3=0,"",SUMIFS(INDEX(Inputs!$D$4:$AG$150,0,MATCH(S$2,Inputs!$D$2:$AG$2,0)),Inputs!$B$4:$B$150,$B39)/1000)</f>
        <v>0</v>
      </c>
      <c r="T39" s="11">
        <f>IF(T$3=0,"",SUMIFS(INDEX(Inputs!$D$4:$AG$150,0,MATCH(T$2,Inputs!$D$2:$AG$2,0)),Inputs!$B$4:$B$150,$B39)/1000)</f>
        <v>0</v>
      </c>
      <c r="U39" s="11">
        <f>IF(U$3=0,"",SUMIFS(INDEX(Inputs!$D$4:$AG$150,0,MATCH(U$2,Inputs!$D$2:$AG$2,0)),Inputs!$B$4:$B$150,$B39)/1000)</f>
        <v>0</v>
      </c>
      <c r="V39" s="11">
        <f>IF(V$3=0,"",SUMIFS(INDEX(Inputs!$D$4:$AG$150,0,MATCH(V$2,Inputs!$D$2:$AG$2,0)),Inputs!$B$4:$B$150,$B39)/1000)</f>
        <v>0</v>
      </c>
      <c r="W39" s="12">
        <f>IF(V39="","",V39)</f>
        <v>0</v>
      </c>
      <c r="X39" s="11">
        <f>IF(X$3=0,"",SUMIFS(INDEX(Inputs!$D$4:$AG$150,0,MATCH(X$2,Inputs!$D$2:$AG$2,0)),Inputs!$B$4:$B$150,$B39)/1000)</f>
        <v>0</v>
      </c>
      <c r="Y39" s="11">
        <f>IF(Y$3=0,"",SUMIFS(INDEX(Inputs!$D$4:$AG$150,0,MATCH(Y$2,Inputs!$D$2:$AG$2,0)),Inputs!$B$4:$B$150,$B39)/1000)</f>
        <v>0</v>
      </c>
      <c r="Z39" s="11">
        <f>IF(Z$3=0,"",SUMIFS(INDEX(Inputs!$D$4:$AG$150,0,MATCH(Z$2,Inputs!$D$2:$AG$2,0)),Inputs!$B$4:$B$150,$B39)/1000)</f>
        <v>0</v>
      </c>
      <c r="AA39" s="11">
        <f>IF(AA$3=0,"",SUMIFS(INDEX(Inputs!$D$4:$AG$150,0,MATCH(AA$2,Inputs!$D$2:$AG$2,0)),Inputs!$B$4:$B$150,$B39)/1000)</f>
        <v>0</v>
      </c>
      <c r="AB39" s="12">
        <f>IF(AA39="","",AA39)</f>
        <v>0</v>
      </c>
      <c r="AC39" s="11">
        <f>IF(AC$3=0,"",SUMIFS(INDEX(Inputs!$D$4:$AG$150,0,MATCH(AC$2,Inputs!$D$2:$AG$2,0)),Inputs!$B$4:$B$150,$B39)/1000)</f>
        <v>0</v>
      </c>
      <c r="AD39" s="11">
        <f>IF(AD$3=0,"",SUMIFS(INDEX(Inputs!$D$4:$AG$150,0,MATCH(AD$2,Inputs!$D$2:$AG$2,0)),Inputs!$B$4:$B$150,$B39)/1000)</f>
        <v>0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65.546</v>
      </c>
      <c r="E41" s="11">
        <f>IF(E$3=0,"",SUMIFS(INDEX(Inputs!$D$4:$AG$150,0,MATCH(E$2,Inputs!$D$2:$AG$2,0)),Inputs!$B$4:$B$150,$B41)/1000)</f>
        <v>65.568</v>
      </c>
      <c r="F41" s="11">
        <f>IF(F$3=0,"",SUMIFS(INDEX(Inputs!$D$4:$AG$150,0,MATCH(F$2,Inputs!$D$2:$AG$2,0)),Inputs!$B$4:$B$150,$B41)/1000)</f>
        <v>66.824</v>
      </c>
      <c r="G41" s="11">
        <f>IF(G$3=0,"",SUMIFS(INDEX(Inputs!$D$4:$AG$150,0,MATCH(G$2,Inputs!$D$2:$AG$2,0)),Inputs!$B$4:$B$150,$B41)/1000)</f>
        <v>68.028</v>
      </c>
      <c r="H41" s="12">
        <f>IF(G41="","",G41)</f>
        <v>68.028</v>
      </c>
      <c r="I41" s="11">
        <f>IF(I$3=0,"",SUMIFS(INDEX(Inputs!$D$4:$AG$150,0,MATCH(I$2,Inputs!$D$2:$AG$2,0)),Inputs!$B$4:$B$150,$B41)/1000)</f>
        <v>41.43</v>
      </c>
      <c r="J41" s="11">
        <f>IF(J$3=0,"",SUMIFS(INDEX(Inputs!$D$4:$AG$150,0,MATCH(J$2,Inputs!$D$2:$AG$2,0)),Inputs!$B$4:$B$150,$B41)/1000)</f>
        <v>1275.491</v>
      </c>
      <c r="K41" s="11">
        <f>IF(K$3=0,"",SUMIFS(INDEX(Inputs!$D$4:$AG$150,0,MATCH(K$2,Inputs!$D$2:$AG$2,0)),Inputs!$B$4:$B$150,$B41)/1000)</f>
        <v>1344.188</v>
      </c>
      <c r="L41" s="11">
        <f>IF(L$3=0,"",SUMIFS(INDEX(Inputs!$D$4:$AG$150,0,MATCH(L$2,Inputs!$D$2:$AG$2,0)),Inputs!$B$4:$B$150,$B41)/1000)</f>
        <v>1715.006</v>
      </c>
      <c r="M41" s="12">
        <f>IF(L41="","",L41)</f>
        <v>1715.006</v>
      </c>
      <c r="N41" s="11">
        <f>IF(N$3=0,"",SUMIFS(INDEX(Inputs!$D$4:$AG$150,0,MATCH(N$2,Inputs!$D$2:$AG$2,0)),Inputs!$B$4:$B$150,$B41)/1000)</f>
        <v>1644.697</v>
      </c>
      <c r="O41" s="11">
        <f>IF(O$3=0,"",SUMIFS(INDEX(Inputs!$D$4:$AG$150,0,MATCH(O$2,Inputs!$D$2:$AG$2,0)),Inputs!$B$4:$B$150,$B41)/1000)</f>
        <v>1626.349</v>
      </c>
      <c r="P41" s="11">
        <f>IF(P$3=0,"",SUMIFS(INDEX(Inputs!$D$4:$AG$150,0,MATCH(P$2,Inputs!$D$2:$AG$2,0)),Inputs!$B$4:$B$150,$B41)/1000)</f>
        <v>1349.06</v>
      </c>
      <c r="Q41" s="11">
        <f>IF(Q$3=0,"",SUMIFS(INDEX(Inputs!$D$4:$AG$150,0,MATCH(Q$2,Inputs!$D$2:$AG$2,0)),Inputs!$B$4:$B$150,$B41)/1000)</f>
        <v>1179.073</v>
      </c>
      <c r="R41" s="12">
        <f>IF(Q41="","",Q41)</f>
        <v>1179.073</v>
      </c>
      <c r="S41" s="11">
        <f>IF(S$3=0,"",SUMIFS(INDEX(Inputs!$D$4:$AG$150,0,MATCH(S$2,Inputs!$D$2:$AG$2,0)),Inputs!$B$4:$B$150,$B41)/1000)</f>
        <v>935.005</v>
      </c>
      <c r="T41" s="11">
        <f>IF(T$3=0,"",SUMIFS(INDEX(Inputs!$D$4:$AG$150,0,MATCH(T$2,Inputs!$D$2:$AG$2,0)),Inputs!$B$4:$B$150,$B41)/1000)</f>
        <v>888.868</v>
      </c>
      <c r="U41" s="11">
        <f>IF(U$3=0,"",SUMIFS(INDEX(Inputs!$D$4:$AG$150,0,MATCH(U$2,Inputs!$D$2:$AG$2,0)),Inputs!$B$4:$B$150,$B41)/1000)</f>
        <v>892.846</v>
      </c>
      <c r="V41" s="11">
        <f>IF(V$3=0,"",SUMIFS(INDEX(Inputs!$D$4:$AG$150,0,MATCH(V$2,Inputs!$D$2:$AG$2,0)),Inputs!$B$4:$B$150,$B41)/1000)</f>
        <v>801.399</v>
      </c>
      <c r="W41" s="12">
        <f>IF(V41="","",V41)</f>
        <v>801.399</v>
      </c>
      <c r="X41" s="11">
        <f>IF(X$3=0,"",SUMIFS(INDEX(Inputs!$D$4:$AG$150,0,MATCH(X$2,Inputs!$D$2:$AG$2,0)),Inputs!$B$4:$B$150,$B41)/1000)</f>
        <v>1382.374</v>
      </c>
      <c r="Y41" s="11">
        <f>IF(Y$3=0,"",SUMIFS(INDEX(Inputs!$D$4:$AG$150,0,MATCH(Y$2,Inputs!$D$2:$AG$2,0)),Inputs!$B$4:$B$150,$B41)/1000)</f>
        <v>1487.129</v>
      </c>
      <c r="Z41" s="11">
        <f>IF(Z$3=0,"",SUMIFS(INDEX(Inputs!$D$4:$AG$150,0,MATCH(Z$2,Inputs!$D$2:$AG$2,0)),Inputs!$B$4:$B$150,$B41)/1000)</f>
        <v>1476.212</v>
      </c>
      <c r="AA41" s="11">
        <f>IF(AA$3=0,"",SUMIFS(INDEX(Inputs!$D$4:$AG$150,0,MATCH(AA$2,Inputs!$D$2:$AG$2,0)),Inputs!$B$4:$B$150,$B41)/1000)</f>
        <v>1380.503</v>
      </c>
      <c r="AB41" s="12">
        <f>IF(AA41="","",AA41)</f>
        <v>1380.503</v>
      </c>
      <c r="AC41" s="11">
        <f>IF(AC$3=0,"",SUMIFS(INDEX(Inputs!$D$4:$AG$150,0,MATCH(AC$2,Inputs!$D$2:$AG$2,0)),Inputs!$B$4:$B$150,$B41)/1000)</f>
        <v>1400.419</v>
      </c>
      <c r="AD41" s="11">
        <f>IF(AD$3=0,"",SUMIFS(INDEX(Inputs!$D$4:$AG$150,0,MATCH(AD$2,Inputs!$D$2:$AG$2,0)),Inputs!$B$4:$B$150,$B41)/1000)</f>
        <v>1371.083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6446.836</v>
      </c>
      <c r="E43" s="11">
        <f>IF(E$3=0,"",SUMIFS(INDEX(Inputs!$D$4:$AG$150,0,MATCH(E$2,Inputs!$D$2:$AG$2,0)),Inputs!$B$4:$B$150,$B43)/1000)</f>
        <v>6282.607</v>
      </c>
      <c r="F43" s="11">
        <f>IF(F$3=0,"",SUMIFS(INDEX(Inputs!$D$4:$AG$150,0,MATCH(F$2,Inputs!$D$2:$AG$2,0)),Inputs!$B$4:$B$150,$B43)/1000)</f>
        <v>6037.635</v>
      </c>
      <c r="G43" s="11">
        <f>IF(G$3=0,"",SUMIFS(INDEX(Inputs!$D$4:$AG$150,0,MATCH(G$2,Inputs!$D$2:$AG$2,0)),Inputs!$B$4:$B$150,$B43)/1000)</f>
        <v>5794.734</v>
      </c>
      <c r="H43" s="12">
        <f>IF(G43="","",G43)</f>
        <v>5794.734</v>
      </c>
      <c r="I43" s="11">
        <f>IF(I$3=0,"",SUMIFS(INDEX(Inputs!$D$4:$AG$150,0,MATCH(I$2,Inputs!$D$2:$AG$2,0)),Inputs!$B$4:$B$150,$B43)/1000)</f>
        <v>5879.803</v>
      </c>
      <c r="J43" s="11">
        <f>IF(J$3=0,"",SUMIFS(INDEX(Inputs!$D$4:$AG$150,0,MATCH(J$2,Inputs!$D$2:$AG$2,0)),Inputs!$B$4:$B$150,$B43)/1000)</f>
        <v>5870.292</v>
      </c>
      <c r="K43" s="11">
        <f>IF(K$3=0,"",SUMIFS(INDEX(Inputs!$D$4:$AG$150,0,MATCH(K$2,Inputs!$D$2:$AG$2,0)),Inputs!$B$4:$B$150,$B43)/1000)</f>
        <v>5791.013</v>
      </c>
      <c r="L43" s="11">
        <f>IF(L$3=0,"",SUMIFS(INDEX(Inputs!$D$4:$AG$150,0,MATCH(L$2,Inputs!$D$2:$AG$2,0)),Inputs!$B$4:$B$150,$B43)/1000)</f>
        <v>5935.28</v>
      </c>
      <c r="M43" s="12">
        <f>IF(L43="","",L43)</f>
        <v>5935.28</v>
      </c>
      <c r="N43" s="11">
        <f>IF(N$3=0,"",SUMIFS(INDEX(Inputs!$D$4:$AG$150,0,MATCH(N$2,Inputs!$D$2:$AG$2,0)),Inputs!$B$4:$B$150,$B43)/1000)</f>
        <v>5957.061</v>
      </c>
      <c r="O43" s="11">
        <f>IF(O$3=0,"",SUMIFS(INDEX(Inputs!$D$4:$AG$150,0,MATCH(O$2,Inputs!$D$2:$AG$2,0)),Inputs!$B$4:$B$150,$B43)/1000)</f>
        <v>6076.374</v>
      </c>
      <c r="P43" s="11">
        <f>IF(P$3=0,"",SUMIFS(INDEX(Inputs!$D$4:$AG$150,0,MATCH(P$2,Inputs!$D$2:$AG$2,0)),Inputs!$B$4:$B$150,$B43)/1000)</f>
        <v>6057.072</v>
      </c>
      <c r="Q43" s="11">
        <f>IF(Q$3=0,"",SUMIFS(INDEX(Inputs!$D$4:$AG$150,0,MATCH(Q$2,Inputs!$D$2:$AG$2,0)),Inputs!$B$4:$B$150,$B43)/1000)</f>
        <v>6175.197</v>
      </c>
      <c r="R43" s="12">
        <f>IF(Q43="","",Q43)</f>
        <v>6175.197</v>
      </c>
      <c r="S43" s="11">
        <f>IF(S$3=0,"",SUMIFS(INDEX(Inputs!$D$4:$AG$150,0,MATCH(S$2,Inputs!$D$2:$AG$2,0)),Inputs!$B$4:$B$150,$B43)/1000)</f>
        <v>6190.149</v>
      </c>
      <c r="T43" s="11">
        <f>IF(T$3=0,"",SUMIFS(INDEX(Inputs!$D$4:$AG$150,0,MATCH(T$2,Inputs!$D$2:$AG$2,0)),Inputs!$B$4:$B$150,$B43)/1000)</f>
        <v>6260.626</v>
      </c>
      <c r="U43" s="11">
        <f>IF(U$3=0,"",SUMIFS(INDEX(Inputs!$D$4:$AG$150,0,MATCH(U$2,Inputs!$D$2:$AG$2,0)),Inputs!$B$4:$B$150,$B43)/1000)</f>
        <v>6257.795</v>
      </c>
      <c r="V43" s="11">
        <f>IF(V$3=0,"",SUMIFS(INDEX(Inputs!$D$4:$AG$150,0,MATCH(V$2,Inputs!$D$2:$AG$2,0)),Inputs!$B$4:$B$150,$B43)/1000)</f>
        <v>7444.568</v>
      </c>
      <c r="W43" s="12">
        <f>IF(V43="","",V43)</f>
        <v>7444.568</v>
      </c>
      <c r="X43" s="11">
        <f>IF(X$3=0,"",SUMIFS(INDEX(Inputs!$D$4:$AG$150,0,MATCH(X$2,Inputs!$D$2:$AG$2,0)),Inputs!$B$4:$B$150,$B43)/1000)</f>
        <v>7686.987</v>
      </c>
      <c r="Y43" s="11">
        <f>IF(Y$3=0,"",SUMIFS(INDEX(Inputs!$D$4:$AG$150,0,MATCH(Y$2,Inputs!$D$2:$AG$2,0)),Inputs!$B$4:$B$150,$B43)/1000)</f>
        <v>7988.67</v>
      </c>
      <c r="Z43" s="11">
        <f>IF(Z$3=0,"",SUMIFS(INDEX(Inputs!$D$4:$AG$150,0,MATCH(Z$2,Inputs!$D$2:$AG$2,0)),Inputs!$B$4:$B$150,$B43)/1000)</f>
        <v>8214.085</v>
      </c>
      <c r="AA43" s="11">
        <f>IF(AA$3=0,"",SUMIFS(INDEX(Inputs!$D$4:$AG$150,0,MATCH(AA$2,Inputs!$D$2:$AG$2,0)),Inputs!$B$4:$B$150,$B43)/1000)</f>
        <v>8479.893</v>
      </c>
      <c r="AB43" s="12">
        <f>IF(AA43="","",AA43)</f>
        <v>8479.893</v>
      </c>
      <c r="AC43" s="11">
        <f>IF(AC$3=0,"",SUMIFS(INDEX(Inputs!$D$4:$AG$150,0,MATCH(AC$2,Inputs!$D$2:$AG$2,0)),Inputs!$B$4:$B$150,$B43)/1000)</f>
        <v>8710.273</v>
      </c>
      <c r="AD43" s="11">
        <f>IF(AD$3=0,"",SUMIFS(INDEX(Inputs!$D$4:$AG$150,0,MATCH(AD$2,Inputs!$D$2:$AG$2,0)),Inputs!$B$4:$B$150,$B43)/1000)</f>
        <v>9051.778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-11.454</v>
      </c>
      <c r="E45" s="11">
        <f>IF(E$3=0,"",SUMIFS(INDEX(Inputs!$D$4:$AG$150,0,MATCH(E$2,Inputs!$D$2:$AG$2,0)),Inputs!$B$4:$B$150,$B45)/1000)</f>
        <v>-10.245</v>
      </c>
      <c r="F45" s="11">
        <f>IF(F$3=0,"",SUMIFS(INDEX(Inputs!$D$4:$AG$150,0,MATCH(F$2,Inputs!$D$2:$AG$2,0)),Inputs!$B$4:$B$150,$B45)/1000)</f>
        <v>-15.357</v>
      </c>
      <c r="G45" s="11">
        <f>IF(G$3=0,"",SUMIFS(INDEX(Inputs!$D$4:$AG$150,0,MATCH(G$2,Inputs!$D$2:$AG$2,0)),Inputs!$B$4:$B$150,$B45)/1000)</f>
        <v>-19.626</v>
      </c>
      <c r="H45" s="12">
        <f>IF(G45="","",G45)</f>
        <v>-19.626</v>
      </c>
      <c r="I45" s="11">
        <f>IF(I$3=0,"",SUMIFS(INDEX(Inputs!$D$4:$AG$150,0,MATCH(I$2,Inputs!$D$2:$AG$2,0)),Inputs!$B$4:$B$150,$B45)/1000)</f>
        <v>-25.754</v>
      </c>
      <c r="J45" s="11">
        <f>IF(J$3=0,"",SUMIFS(INDEX(Inputs!$D$4:$AG$150,0,MATCH(J$2,Inputs!$D$2:$AG$2,0)),Inputs!$B$4:$B$150,$B45)/1000)</f>
        <v>-42.225</v>
      </c>
      <c r="K45" s="11">
        <f>IF(K$3=0,"",SUMIFS(INDEX(Inputs!$D$4:$AG$150,0,MATCH(K$2,Inputs!$D$2:$AG$2,0)),Inputs!$B$4:$B$150,$B45)/1000)</f>
        <v>-74.8</v>
      </c>
      <c r="L45" s="11">
        <f>IF(L$3=0,"",SUMIFS(INDEX(Inputs!$D$4:$AG$150,0,MATCH(L$2,Inputs!$D$2:$AG$2,0)),Inputs!$B$4:$B$150,$B45)/1000)</f>
        <v>-27.475</v>
      </c>
      <c r="M45" s="12">
        <f>IF(L45="","",L45)</f>
        <v>-27.475</v>
      </c>
      <c r="N45" s="11">
        <f>IF(N$3=0,"",SUMIFS(INDEX(Inputs!$D$4:$AG$150,0,MATCH(N$2,Inputs!$D$2:$AG$2,0)),Inputs!$B$4:$B$150,$B45)/1000)</f>
        <v>-22.333</v>
      </c>
      <c r="O45" s="11">
        <f>IF(O$3=0,"",SUMIFS(INDEX(Inputs!$D$4:$AG$150,0,MATCH(O$2,Inputs!$D$2:$AG$2,0)),Inputs!$B$4:$B$150,$B45)/1000)</f>
        <v>-17.205</v>
      </c>
      <c r="P45" s="11">
        <f>IF(P$3=0,"",SUMIFS(INDEX(Inputs!$D$4:$AG$150,0,MATCH(P$2,Inputs!$D$2:$AG$2,0)),Inputs!$B$4:$B$150,$B45)/1000)</f>
        <v>-38.258</v>
      </c>
      <c r="Q45" s="11">
        <f>IF(Q$3=0,"",SUMIFS(INDEX(Inputs!$D$4:$AG$150,0,MATCH(Q$2,Inputs!$D$2:$AG$2,0)),Inputs!$B$4:$B$150,$B45)/1000)</f>
        <v>-19.133</v>
      </c>
      <c r="R45" s="12">
        <f>IF(Q45="","",Q45)</f>
        <v>-19.133</v>
      </c>
      <c r="S45" s="11">
        <f>IF(S$3=0,"",SUMIFS(INDEX(Inputs!$D$4:$AG$150,0,MATCH(S$2,Inputs!$D$2:$AG$2,0)),Inputs!$B$4:$B$150,$B45)/1000)</f>
        <v>-31.282</v>
      </c>
      <c r="T45" s="11">
        <f>IF(T$3=0,"",SUMIFS(INDEX(Inputs!$D$4:$AG$150,0,MATCH(T$2,Inputs!$D$2:$AG$2,0)),Inputs!$B$4:$B$150,$B45)/1000)</f>
        <v>-34.617</v>
      </c>
      <c r="U45" s="11">
        <f>IF(U$3=0,"",SUMIFS(INDEX(Inputs!$D$4:$AG$150,0,MATCH(U$2,Inputs!$D$2:$AG$2,0)),Inputs!$B$4:$B$150,$B45)/1000)</f>
        <v>-10.609</v>
      </c>
      <c r="V45" s="11">
        <f>IF(V$3=0,"",SUMIFS(INDEX(Inputs!$D$4:$AG$150,0,MATCH(V$2,Inputs!$D$2:$AG$2,0)),Inputs!$B$4:$B$150,$B45)/1000)</f>
        <v>-40.326</v>
      </c>
      <c r="W45" s="12">
        <f>IF(V45="","",V45)</f>
        <v>-40.326</v>
      </c>
      <c r="X45" s="11">
        <f>IF(X$3=0,"",SUMIFS(INDEX(Inputs!$D$4:$AG$150,0,MATCH(X$2,Inputs!$D$2:$AG$2,0)),Inputs!$B$4:$B$150,$B45)/1000)</f>
        <v>-29.027</v>
      </c>
      <c r="Y45" s="11">
        <f>IF(Y$3=0,"",SUMIFS(INDEX(Inputs!$D$4:$AG$150,0,MATCH(Y$2,Inputs!$D$2:$AG$2,0)),Inputs!$B$4:$B$150,$B45)/1000)</f>
        <v>1.055</v>
      </c>
      <c r="Z45" s="11">
        <f>IF(Z$3=0,"",SUMIFS(INDEX(Inputs!$D$4:$AG$150,0,MATCH(Z$2,Inputs!$D$2:$AG$2,0)),Inputs!$B$4:$B$150,$B45)/1000)</f>
        <v>-5.602</v>
      </c>
      <c r="AA45" s="11">
        <f>IF(AA$3=0,"",SUMIFS(INDEX(Inputs!$D$4:$AG$150,0,MATCH(AA$2,Inputs!$D$2:$AG$2,0)),Inputs!$B$4:$B$150,$B45)/1000)</f>
        <v>-6.008</v>
      </c>
      <c r="AB45" s="12">
        <f>IF(AA45="","",AA45)</f>
        <v>-6.008</v>
      </c>
      <c r="AC45" s="11">
        <f>IF(AC$3=0,"",SUMIFS(INDEX(Inputs!$D$4:$AG$150,0,MATCH(AC$2,Inputs!$D$2:$AG$2,0)),Inputs!$B$4:$B$150,$B45)/1000)</f>
        <v>-15.77</v>
      </c>
      <c r="AD45" s="11">
        <f>IF(AD$3=0,"",SUMIFS(INDEX(Inputs!$D$4:$AG$150,0,MATCH(AD$2,Inputs!$D$2:$AG$2,0)),Inputs!$B$4:$B$150,$B45)/1000)</f>
        <v>-18.589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8915.492</v>
      </c>
      <c r="E46" s="11">
        <f>IF(E$3=0,"",SUMIFS(INDEX(Inputs!$D$4:$AG$150,0,MATCH(E$2,Inputs!$D$2:$AG$2,0)),Inputs!$B$4:$B$150,$B46)/1000)</f>
        <v>10075.29</v>
      </c>
      <c r="F46" s="11">
        <f>IF(F$3=0,"",SUMIFS(INDEX(Inputs!$D$4:$AG$150,0,MATCH(F$2,Inputs!$D$2:$AG$2,0)),Inputs!$B$4:$B$150,$B46)/1000)</f>
        <v>11756.998</v>
      </c>
      <c r="G46" s="11">
        <f>IF(G$3=0,"",SUMIFS(INDEX(Inputs!$D$4:$AG$150,0,MATCH(G$2,Inputs!$D$2:$AG$2,0)),Inputs!$B$4:$B$150,$B46)/1000)</f>
        <v>12215.125</v>
      </c>
      <c r="H46" s="12">
        <f>IF(G46="","",G46)</f>
        <v>12215.125</v>
      </c>
      <c r="I46" s="11">
        <f>IF(I$3=0,"",SUMIFS(INDEX(Inputs!$D$4:$AG$150,0,MATCH(I$2,Inputs!$D$2:$AG$2,0)),Inputs!$B$4:$B$150,$B46)/1000)</f>
        <v>12539.63</v>
      </c>
      <c r="J46" s="11">
        <f>IF(J$3=0,"",SUMIFS(INDEX(Inputs!$D$4:$AG$150,0,MATCH(J$2,Inputs!$D$2:$AG$2,0)),Inputs!$B$4:$B$150,$B46)/1000)</f>
        <v>11427.44</v>
      </c>
      <c r="K46" s="11">
        <f>IF(K$3=0,"",SUMIFS(INDEX(Inputs!$D$4:$AG$150,0,MATCH(K$2,Inputs!$D$2:$AG$2,0)),Inputs!$B$4:$B$150,$B46)/1000)</f>
        <v>10805.521</v>
      </c>
      <c r="L46" s="11">
        <f>IF(L$3=0,"",SUMIFS(INDEX(Inputs!$D$4:$AG$150,0,MATCH(L$2,Inputs!$D$2:$AG$2,0)),Inputs!$B$4:$B$150,$B46)/1000)</f>
        <v>10310.15</v>
      </c>
      <c r="M46" s="12">
        <f>IF(L46="","",L46)</f>
        <v>10310.15</v>
      </c>
      <c r="N46" s="11">
        <f>IF(N$3=0,"",SUMIFS(INDEX(Inputs!$D$4:$AG$150,0,MATCH(N$2,Inputs!$D$2:$AG$2,0)),Inputs!$B$4:$B$150,$B46)/1000)</f>
        <v>9978.291</v>
      </c>
      <c r="O46" s="11">
        <f>IF(O$3=0,"",SUMIFS(INDEX(Inputs!$D$4:$AG$150,0,MATCH(O$2,Inputs!$D$2:$AG$2,0)),Inputs!$B$4:$B$150,$B46)/1000)</f>
        <v>10244.683</v>
      </c>
      <c r="P46" s="11">
        <f>IF(P$3=0,"",SUMIFS(INDEX(Inputs!$D$4:$AG$150,0,MATCH(P$2,Inputs!$D$2:$AG$2,0)),Inputs!$B$4:$B$150,$B46)/1000)</f>
        <v>10328.838</v>
      </c>
      <c r="Q46" s="11">
        <f>IF(Q$3=0,"",SUMIFS(INDEX(Inputs!$D$4:$AG$150,0,MATCH(Q$2,Inputs!$D$2:$AG$2,0)),Inputs!$B$4:$B$150,$B46)/1000)</f>
        <v>10079.343</v>
      </c>
      <c r="R46" s="12">
        <f>IF(Q46="","",Q46)</f>
        <v>10079.343</v>
      </c>
      <c r="S46" s="11">
        <f>IF(S$3=0,"",SUMIFS(INDEX(Inputs!$D$4:$AG$150,0,MATCH(S$2,Inputs!$D$2:$AG$2,0)),Inputs!$B$4:$B$150,$B46)/1000)</f>
        <v>10587.361</v>
      </c>
      <c r="T46" s="11">
        <f>IF(T$3=0,"",SUMIFS(INDEX(Inputs!$D$4:$AG$150,0,MATCH(T$2,Inputs!$D$2:$AG$2,0)),Inputs!$B$4:$B$150,$B46)/1000)</f>
        <v>10951.854</v>
      </c>
      <c r="U46" s="11">
        <f>IF(U$3=0,"",SUMIFS(INDEX(Inputs!$D$4:$AG$150,0,MATCH(U$2,Inputs!$D$2:$AG$2,0)),Inputs!$B$4:$B$150,$B46)/1000)</f>
        <v>11564.438</v>
      </c>
      <c r="V46" s="11">
        <f>IF(V$3=0,"",SUMIFS(INDEX(Inputs!$D$4:$AG$150,0,MATCH(V$2,Inputs!$D$2:$AG$2,0)),Inputs!$B$4:$B$150,$B46)/1000)</f>
        <v>10481.295</v>
      </c>
      <c r="W46" s="12">
        <f>IF(V46="","",V46)</f>
        <v>10481.295</v>
      </c>
      <c r="X46" s="11">
        <f>IF(X$3=0,"",SUMIFS(INDEX(Inputs!$D$4:$AG$150,0,MATCH(X$2,Inputs!$D$2:$AG$2,0)),Inputs!$B$4:$B$150,$B46)/1000)</f>
        <v>10504.409</v>
      </c>
      <c r="Y46" s="11">
        <f>IF(Y$3=0,"",SUMIFS(INDEX(Inputs!$D$4:$AG$150,0,MATCH(Y$2,Inputs!$D$2:$AG$2,0)),Inputs!$B$4:$B$150,$B46)/1000)</f>
        <v>11239.412</v>
      </c>
      <c r="Z46" s="11">
        <f>IF(Z$3=0,"",SUMIFS(INDEX(Inputs!$D$4:$AG$150,0,MATCH(Z$2,Inputs!$D$2:$AG$2,0)),Inputs!$B$4:$B$150,$B46)/1000)</f>
        <v>11492.706</v>
      </c>
      <c r="AA46" s="11">
        <f>IF(AA$3=0,"",SUMIFS(INDEX(Inputs!$D$4:$AG$150,0,MATCH(AA$2,Inputs!$D$2:$AG$2,0)),Inputs!$B$4:$B$150,$B46)/1000)</f>
        <v>11835.143</v>
      </c>
      <c r="AB46" s="12">
        <f>IF(AA46="","",AA46)</f>
        <v>11835.143</v>
      </c>
      <c r="AC46" s="11">
        <f>IF(AC$3=0,"",SUMIFS(INDEX(Inputs!$D$4:$AG$150,0,MATCH(AC$2,Inputs!$D$2:$AG$2,0)),Inputs!$B$4:$B$150,$B46)/1000)</f>
        <v>11645.522</v>
      </c>
      <c r="AD46" s="11">
        <f>IF(AD$3=0,"",SUMIFS(INDEX(Inputs!$D$4:$AG$150,0,MATCH(AD$2,Inputs!$D$2:$AG$2,0)),Inputs!$B$4:$B$150,$B46)/1000)</f>
        <v>12047.602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1408.768</v>
      </c>
      <c r="E47" s="11">
        <f>IF(E$3=0,"",SUMIFS(INDEX(Inputs!$D$4:$AG$150,0,MATCH(E$2,Inputs!$D$2:$AG$2,0)),Inputs!$B$4:$B$150,$B47)/1000)</f>
        <v>2133.794</v>
      </c>
      <c r="F47" s="11">
        <f>IF(F$3=0,"",SUMIFS(INDEX(Inputs!$D$4:$AG$150,0,MATCH(F$2,Inputs!$D$2:$AG$2,0)),Inputs!$B$4:$B$150,$B47)/1000)</f>
        <v>3031.765</v>
      </c>
      <c r="G47" s="11">
        <f>IF(G$3=0,"",SUMIFS(INDEX(Inputs!$D$4:$AG$150,0,MATCH(G$2,Inputs!$D$2:$AG$2,0)),Inputs!$B$4:$B$150,$B47)/1000)</f>
        <v>3647.785</v>
      </c>
      <c r="H47" s="12">
        <f>IF(G47="","",G47)</f>
        <v>3647.785</v>
      </c>
      <c r="I47" s="11">
        <f>IF(I$3=0,"",SUMIFS(INDEX(Inputs!$D$4:$AG$150,0,MATCH(I$2,Inputs!$D$2:$AG$2,0)),Inputs!$B$4:$B$150,$B47)/1000)</f>
        <v>3805.918</v>
      </c>
      <c r="J47" s="11">
        <f>IF(J$3=0,"",SUMIFS(INDEX(Inputs!$D$4:$AG$150,0,MATCH(J$2,Inputs!$D$2:$AG$2,0)),Inputs!$B$4:$B$150,$B47)/1000)</f>
        <v>2803.1</v>
      </c>
      <c r="K47" s="11">
        <f>IF(K$3=0,"",SUMIFS(INDEX(Inputs!$D$4:$AG$150,0,MATCH(K$2,Inputs!$D$2:$AG$2,0)),Inputs!$B$4:$B$150,$B47)/1000)</f>
        <v>1869.463</v>
      </c>
      <c r="L47" s="11">
        <f>IF(L$3=0,"",SUMIFS(INDEX(Inputs!$D$4:$AG$150,0,MATCH(L$2,Inputs!$D$2:$AG$2,0)),Inputs!$B$4:$B$150,$B47)/1000)</f>
        <v>1748.106</v>
      </c>
      <c r="M47" s="12">
        <f>IF(L47="","",L47)</f>
        <v>1748.106</v>
      </c>
      <c r="N47" s="11">
        <f>IF(N$3=0,"",SUMIFS(INDEX(Inputs!$D$4:$AG$150,0,MATCH(N$2,Inputs!$D$2:$AG$2,0)),Inputs!$B$4:$B$150,$B47)/1000)</f>
        <v>1156.109</v>
      </c>
      <c r="O47" s="11">
        <f>IF(O$3=0,"",SUMIFS(INDEX(Inputs!$D$4:$AG$150,0,MATCH(O$2,Inputs!$D$2:$AG$2,0)),Inputs!$B$4:$B$150,$B47)/1000)</f>
        <v>1160.278</v>
      </c>
      <c r="P47" s="11">
        <f>IF(P$3=0,"",SUMIFS(INDEX(Inputs!$D$4:$AG$150,0,MATCH(P$2,Inputs!$D$2:$AG$2,0)),Inputs!$B$4:$B$150,$B47)/1000)</f>
        <v>1114.009</v>
      </c>
      <c r="Q47" s="11">
        <f>IF(Q$3=0,"",SUMIFS(INDEX(Inputs!$D$4:$AG$150,0,MATCH(Q$2,Inputs!$D$2:$AG$2,0)),Inputs!$B$4:$B$150,$B47)/1000)</f>
        <v>660.734</v>
      </c>
      <c r="R47" s="12">
        <f>IF(Q47="","",Q47)</f>
        <v>660.734</v>
      </c>
      <c r="S47" s="11">
        <f>IF(S$3=0,"",SUMIFS(INDEX(Inputs!$D$4:$AG$150,0,MATCH(S$2,Inputs!$D$2:$AG$2,0)),Inputs!$B$4:$B$150,$B47)/1000)</f>
        <v>796.201</v>
      </c>
      <c r="T47" s="11">
        <f>IF(T$3=0,"",SUMIFS(INDEX(Inputs!$D$4:$AG$150,0,MATCH(T$2,Inputs!$D$2:$AG$2,0)),Inputs!$B$4:$B$150,$B47)/1000)</f>
        <v>607.564</v>
      </c>
      <c r="U47" s="11">
        <f>IF(U$3=0,"",SUMIFS(INDEX(Inputs!$D$4:$AG$150,0,MATCH(U$2,Inputs!$D$2:$AG$2,0)),Inputs!$B$4:$B$150,$B47)/1000)</f>
        <v>760.471</v>
      </c>
      <c r="V47" s="11">
        <f>IF(V$3=0,"",SUMIFS(INDEX(Inputs!$D$4:$AG$150,0,MATCH(V$2,Inputs!$D$2:$AG$2,0)),Inputs!$B$4:$B$150,$B47)/1000)</f>
        <v>808.079</v>
      </c>
      <c r="W47" s="12">
        <f>IF(V47="","",V47)</f>
        <v>808.079</v>
      </c>
      <c r="X47" s="11">
        <f>IF(X$3=0,"",SUMIFS(INDEX(Inputs!$D$4:$AG$150,0,MATCH(X$2,Inputs!$D$2:$AG$2,0)),Inputs!$B$4:$B$150,$B47)/1000)</f>
        <v>320.16</v>
      </c>
      <c r="Y47" s="11">
        <f>IF(Y$3=0,"",SUMIFS(INDEX(Inputs!$D$4:$AG$150,0,MATCH(Y$2,Inputs!$D$2:$AG$2,0)),Inputs!$B$4:$B$150,$B47)/1000)</f>
        <v>362.614</v>
      </c>
      <c r="Z47" s="11">
        <f>IF(Z$3=0,"",SUMIFS(INDEX(Inputs!$D$4:$AG$150,0,MATCH(Z$2,Inputs!$D$2:$AG$2,0)),Inputs!$B$4:$B$150,$B47)/1000)</f>
        <v>184.04</v>
      </c>
      <c r="AA47" s="11">
        <f>IF(AA$3=0,"",SUMIFS(INDEX(Inputs!$D$4:$AG$150,0,MATCH(AA$2,Inputs!$D$2:$AG$2,0)),Inputs!$B$4:$B$150,$B47)/1000)</f>
        <v>191.641</v>
      </c>
      <c r="AB47" s="12">
        <f>IF(AA47="","",AA47)</f>
        <v>191.641</v>
      </c>
      <c r="AC47" s="11">
        <f>IF(AC$3=0,"",SUMIFS(INDEX(Inputs!$D$4:$AG$150,0,MATCH(AC$2,Inputs!$D$2:$AG$2,0)),Inputs!$B$4:$B$150,$B47)/1000)</f>
        <v>-323.733</v>
      </c>
      <c r="AD47" s="11">
        <f>IF(AD$3=0,"",SUMIFS(INDEX(Inputs!$D$4:$AG$150,0,MATCH(AD$2,Inputs!$D$2:$AG$2,0)),Inputs!$B$4:$B$150,$B47)/1000)</f>
        <v>-18.646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1747.872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1309.152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1401.895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1398.478</v>
      </c>
      <c r="H50" s="12">
        <f>IF(COUNT(D50:G50)=4,SUM(D50:G50),"")</f>
        <v>5857.397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1216.874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-29.393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2.296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557.854</v>
      </c>
      <c r="M50" s="12">
        <f>IF(COUNT(I50:L50)=4,SUM(I50:L50),"")</f>
        <v>1747.631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85.812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601.274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551.994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151.8</v>
      </c>
      <c r="R50" s="12">
        <f>IF(COUNT(N50:Q50)=4,SUM(N50:Q50),"")</f>
        <v>1390.88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847.386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444.414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780.835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703.873</v>
      </c>
      <c r="W50" s="12">
        <f>IF(COUNT(S50:V50)=4,SUM(S50:V50),"")</f>
        <v>2776.508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614.852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764.244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624.917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1015.201</v>
      </c>
      <c r="AB50" s="12">
        <f>IF(COUNT(X50:AA50)=4,SUM(X50:AA50),"")</f>
        <v>3019.214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649.729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1229.189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Taxas de gestão e consultoria (investment advice)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1177.815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1212.549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1320.795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1459.548</v>
      </c>
      <c r="H53" s="12">
        <f>IF(COUNT(D53:G53)=4,SUM(D53:G53),"")</f>
        <v>5170.707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1475.936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1561.187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1617.754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1648.438</v>
      </c>
      <c r="M53" s="12">
        <f>IF(COUNT(I53:L53)=4,SUM(I53:L53),"")</f>
        <v>6303.315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1658.315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1709.37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1655.443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1648.132</v>
      </c>
      <c r="R53" s="12">
        <f>IF(COUNT(N53:Q53)=4,SUM(N53:Q53),"")</f>
        <v>6671.26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1727.148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1787.313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1794.894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1879.581</v>
      </c>
      <c r="W53" s="12">
        <f>IF(COUNT(S53:V53)=4,SUM(S53:V53),"")</f>
        <v>7188.936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1904.317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2035.495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2056.248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2079.541</v>
      </c>
      <c r="AB53" s="12">
        <f>IF(COUNT(X53:AA53)=4,SUM(X53:AA53),"")</f>
        <v>8075.601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2148.62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2266.006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Receita de performance (incentive fees) - receita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36.124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33.207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48.206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136.454</v>
      </c>
      <c r="H54" s="12">
        <f>IF(COUNT(D54:G54)=4,SUM(D54:G54),"")</f>
        <v>253.991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104.489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99.598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110.776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210.264</v>
      </c>
      <c r="M54" s="12">
        <f>IF(COUNT(I54:L54)=4,SUM(I54:L54),"")</f>
        <v>525.127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142.876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153.077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158.801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240.417</v>
      </c>
      <c r="R54" s="12">
        <f>IF(COUNT(N54:Q54)=4,SUM(N54:Q54),"")</f>
        <v>695.171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179.341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188.299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191.794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404.744</v>
      </c>
      <c r="W54" s="12">
        <f>IF(COUNT(S54:V54)=4,SUM(S54:V54),"")</f>
        <v>964.178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191.825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195.414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200.675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390.288</v>
      </c>
      <c r="AB54" s="12">
        <f>IF(COUNT(X54:AA54)=4,SUM(X54:AA54),"")</f>
        <v>978.202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165.419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159.08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66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7.41628980449605e-14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1578.47190993443</v>
      </c>
      <c r="AK1" s="12">
        <f>IF(AK2="","",SUM(AK2,AK3))</f>
        <v>2228.35228885046</v>
      </c>
      <c r="AL1" s="12">
        <f>IF(AL2="","",SUM(AL2,AL3))</f>
        <v>5685.74219878489</v>
      </c>
      <c r="AM1" s="12">
        <f>IF(AM2="","",SUM(AM2,AM3))</f>
        <v>1848.80119827019</v>
      </c>
      <c r="AN1" s="12">
        <f>IF(AN2="","",SUM(AN2,AN3))</f>
        <v>2577.76577268834</v>
      </c>
      <c r="AO1" s="12">
        <f>IF(AO2="","",SUM(AO2,AO3))</f>
        <v>1824.61897635787</v>
      </c>
      <c r="AP1" s="12">
        <f>IF(AP2="","",SUM(AP2,AP3))</f>
        <v>2575.84176611412</v>
      </c>
      <c r="AQ1" s="12">
        <f>IF(AQ2="","",SUM(AQ2,AQ3))</f>
        <v>8827.02771343052</v>
      </c>
      <c r="AR1" s="12">
        <f>IF(AR2="","",SUM(AR2,AR3))</f>
        <v>2127.85943477693</v>
      </c>
      <c r="AS1" s="12">
        <f>IF(AS2="","",SUM(AS2,AS3))</f>
        <v>2966.85399446519</v>
      </c>
      <c r="AT1" s="12">
        <f>IF(AT2="","",SUM(AT2,AT3))</f>
        <v>2100.02714588717</v>
      </c>
      <c r="AU1" s="12">
        <f>IF(AU2="","",SUM(AU2,AU3))</f>
        <v>2964.63957814754</v>
      </c>
      <c r="AV1" s="12">
        <f>IF(AV2="","",SUM(AV2,AV3))</f>
        <v>10159.3801532768</v>
      </c>
      <c r="AW1" s="12">
        <f>IF(AW2="","",SUM(AW2,AW3))</f>
        <v>2438.39945204673</v>
      </c>
      <c r="AX1" s="12">
        <f>IF(AX2="","",SUM(AX2,AX3))</f>
        <v>3399.8369611125</v>
      </c>
      <c r="AY1" s="12">
        <f>IF(AY2="","",SUM(AY2,AY3))</f>
        <v>2406.50531615184</v>
      </c>
      <c r="AZ1" s="12">
        <f>IF(AZ2="","",SUM(AZ2,AZ3))</f>
        <v>3397.2993726575</v>
      </c>
      <c r="BA1" s="12">
        <f>IF(BA2="","",SUM(BA2,BA3))</f>
        <v>11642.0411019686</v>
      </c>
      <c r="BB1" s="12">
        <f>IF(BB2="","",SUM(BB2,BB3))</f>
        <v>2782.06771302233</v>
      </c>
      <c r="BC1" s="12">
        <f>IF(BC2="","",SUM(BC2,BC3))</f>
        <v>3879.01032011459</v>
      </c>
      <c r="BD1" s="12">
        <f>IF(BD2="","",SUM(BD2,BD3))</f>
        <v>2745.67841444639</v>
      </c>
      <c r="BE1" s="12">
        <f>IF(BE2="","",SUM(BE2,BE3))</f>
        <v>3876.11508369068</v>
      </c>
      <c r="BF1" s="12">
        <f>IF(BF2="","",SUM(BF2,BF3))</f>
        <v>13282.871531274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IF(COUNT(I171,I247)&lt;2,"",ABS(I171-I247))</f>
        <v>0</v>
      </c>
      <c r="J2" s="12">
        <f>IF(COUNT(J171,J247)&lt;2,"",ABS(J171-J247))</f>
        <v>0</v>
      </c>
      <c r="K2" s="12">
        <f>IF(COUNT(K171,K247)&lt;2,"",ABS(K171-K247))</f>
        <v>0</v>
      </c>
      <c r="L2" s="12">
        <f>IF(COUNT(L171,L247)&lt;2,"",ABS(L171-L247))</f>
        <v>0</v>
      </c>
      <c r="M2" s="12">
        <f>IF(COUNT(M171,M247)&lt;2,"",ABS(M171-M247))</f>
        <v>0</v>
      </c>
      <c r="N2" s="12">
        <f>IF(COUNT(N171,N247)&lt;2,"",ABS(N171-N247))</f>
        <v>0</v>
      </c>
      <c r="O2" s="12">
        <f>IF(COUNT(O171,O247)&lt;2,"",ABS(O171-O247))</f>
        <v>0</v>
      </c>
      <c r="P2" s="12">
        <f>IF(COUNT(P171,P247)&lt;2,"",ABS(P171-P247))</f>
        <v>0</v>
      </c>
      <c r="Q2" s="12">
        <f>IF(COUNT(Q171,Q247)&lt;2,"",ABS(Q171-Q247))</f>
        <v>0</v>
      </c>
      <c r="R2" s="12">
        <f>IF(COUNT(R171,R247)&lt;2,"",ABS(R171-R247))</f>
        <v>0</v>
      </c>
      <c r="S2" s="12">
        <f>IF(COUNT(S171,S247)&lt;2,"",ABS(S171-S247))</f>
        <v>0</v>
      </c>
      <c r="T2" s="12">
        <f>IF(COUNT(T171,T247)&lt;2,"",ABS(T171-T247))</f>
        <v>0</v>
      </c>
      <c r="U2" s="12">
        <f>IF(COUNT(U171,U247)&lt;2,"",ABS(U171-U247))</f>
        <v>0</v>
      </c>
      <c r="V2" s="12">
        <f>IF(COUNT(V171,V247)&lt;2,"",ABS(V171-V247))</f>
        <v>0</v>
      </c>
      <c r="W2" s="12">
        <f>IF(COUNT(W171,W247)&lt;2,"",ABS(W171-W247))</f>
        <v>0</v>
      </c>
      <c r="X2" s="12">
        <f>IF(COUNT(X171,X247)&lt;2,"",ABS(X171-X247))</f>
        <v>0</v>
      </c>
      <c r="Y2" s="12">
        <f>IF(COUNT(Y171,Y247)&lt;2,"",ABS(Y171-Y247))</f>
        <v>0</v>
      </c>
      <c r="Z2" s="12">
        <f>IF(COUNT(Z171,Z247)&lt;2,"",ABS(Z171-Z247))</f>
        <v>0</v>
      </c>
      <c r="AA2" s="12">
        <f>IF(COUNT(AA171,AA247)&lt;2,"",ABS(AA171-AA247))</f>
        <v>0</v>
      </c>
      <c r="AB2" s="12">
        <f>IF(COUNT(AB171,AB247)&lt;2,"",ABS(AB171-AB247))</f>
        <v>0</v>
      </c>
      <c r="AC2" s="12">
        <f>IF(COUNT(AC171,AC247)&lt;2,"",ABS(AC171-AC247))</f>
        <v>0</v>
      </c>
      <c r="AD2" s="12">
        <f>IF(COUNT(AD171,AD247)&lt;2,"",ABS(AD171-AD247))</f>
        <v>0</v>
      </c>
      <c r="AE2" s="12">
        <f>IF(COUNT(AE171,AE247)&lt;2,"",ABS(AE171-AE247))</f>
        <v>0</v>
      </c>
      <c r="AF2" s="12">
        <f>IF(COUNT(AF171,AF247)&lt;2,"",ABS(AF171-AF247))</f>
        <v>0</v>
      </c>
      <c r="AG2" s="12">
        <f>IF(COUNT(AG171,AG247)&lt;2,"",ABS(AG171-AG247))</f>
        <v>0</v>
      </c>
      <c r="AH2" s="12">
        <f>IF(COUNT(AH171,AH247)&lt;2,"",ABS(AH171-AH247))</f>
        <v>0</v>
      </c>
      <c r="AI2" s="12">
        <f>IF(COUNT(AI171,AI247)&lt;2,"",ABS(AI171-AI247))</f>
        <v>0</v>
      </c>
      <c r="AJ2" s="12">
        <f>IF(COUNT(AJ171,AJ247)&lt;2,"",ABS(AJ171-AJ247))</f>
        <v>0</v>
      </c>
      <c r="AK2" s="12">
        <f>IF(COUNT(AK171,AK247)&lt;2,"",ABS(AK171-AK247))</f>
        <v>0</v>
      </c>
      <c r="AL2" s="12">
        <f>IF(COUNT(AL171,AL247)&lt;2,"",ABS(AL171-AL247))</f>
        <v>0</v>
      </c>
      <c r="AM2" s="12">
        <f>IF(COUNT(AM171,AM247)&lt;2,"",ABS(AM171-AM247))</f>
        <v>0</v>
      </c>
      <c r="AN2" s="12">
        <f>IF(COUNT(AN171,AN247)&lt;2,"",ABS(AN171-AN247))</f>
        <v>0</v>
      </c>
      <c r="AO2" s="12">
        <f>IF(COUNT(AO171,AO247)&lt;2,"",ABS(AO171-AO247))</f>
        <v>0</v>
      </c>
      <c r="AP2" s="12">
        <f>IF(COUNT(AP171,AP247)&lt;2,"",ABS(AP171-AP247))</f>
        <v>0</v>
      </c>
      <c r="AQ2" s="12">
        <f>IF(COUNT(AQ171,AQ247)&lt;2,"",ABS(AQ171-AQ247))</f>
        <v>0</v>
      </c>
      <c r="AR2" s="12">
        <f>IF(COUNT(AR171,AR247)&lt;2,"",ABS(AR171-AR247))</f>
        <v>0</v>
      </c>
      <c r="AS2" s="12">
        <f>IF(COUNT(AS171,AS247)&lt;2,"",ABS(AS171-AS247))</f>
        <v>0</v>
      </c>
      <c r="AT2" s="12">
        <f>IF(COUNT(AT171,AT247)&lt;2,"",ABS(AT171-AT247))</f>
        <v>0</v>
      </c>
      <c r="AU2" s="12">
        <f>IF(COUNT(AU171,AU247)&lt;2,"",ABS(AU171-AU247))</f>
        <v>0</v>
      </c>
      <c r="AV2" s="12">
        <f>IF(COUNT(AV171,AV247)&lt;2,"",ABS(AV171-AV247))</f>
        <v>0</v>
      </c>
      <c r="AW2" s="12">
        <f>IF(COUNT(AW171,AW247)&lt;2,"",ABS(AW171-AW247))</f>
        <v>0</v>
      </c>
      <c r="AX2" s="12">
        <f>IF(COUNT(AX171,AX247)&lt;2,"",ABS(AX171-AX247))</f>
        <v>0</v>
      </c>
      <c r="AY2" s="12">
        <f>IF(COUNT(AY171,AY247)&lt;2,"",ABS(AY171-AY247))</f>
        <v>0</v>
      </c>
      <c r="AZ2" s="12">
        <f>IF(COUNT(AZ171,AZ247)&lt;2,"",ABS(AZ171-AZ247))</f>
        <v>0</v>
      </c>
      <c r="BA2" s="12">
        <f>IF(COUNT(BA171,BA247)&lt;2,"",ABS(BA171-BA247))</f>
        <v>0</v>
      </c>
      <c r="BB2" s="12">
        <f>IF(COUNT(BB171,BB247)&lt;2,"",ABS(BB171-BB247))</f>
        <v>0</v>
      </c>
      <c r="BC2" s="12">
        <f>IF(COUNT(BC171,BC247)&lt;2,"",ABS(BC171-BC247))</f>
        <v>0</v>
      </c>
      <c r="BD2" s="12">
        <f>IF(COUNT(BD171,BD247)&lt;2,"",ABS(BD171-BD247))</f>
        <v>0</v>
      </c>
      <c r="BE2" s="12">
        <f>IF(COUNT(BE171,BE247)&lt;2,"",ABS(BE171-BE247))</f>
        <v>0</v>
      </c>
      <c r="BF2" s="12">
        <f>IF(COUNT(BF171,BF247)&lt;2,"",ABS(BF171-BF247))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IF(COUNT(I111,I4)&lt;2,"",ABS(I111-I4))</f>
        <v>0</v>
      </c>
      <c r="J3" s="12">
        <f>IF(COUNT(J111,J4)&lt;2,"",ABS(J111-J4))</f>
        <v>0</v>
      </c>
      <c r="K3" s="12">
        <f>IF(COUNT(K111,K4)&lt;2,"",ABS(K111-K4))</f>
        <v>0</v>
      </c>
      <c r="L3" s="12">
        <f>IF(COUNT(L111,L4)&lt;2,"",ABS(L111-L4))</f>
        <v>0</v>
      </c>
      <c r="M3" s="12">
        <f>IF(COUNT(M111,M4)&lt;2,"",ABS(M111-M4))</f>
        <v>0</v>
      </c>
      <c r="N3" s="12">
        <f>IF(COUNT(N111,N4)&lt;2,"",ABS(N111-N4))</f>
        <v>0</v>
      </c>
      <c r="O3" s="12">
        <f>IF(COUNT(O111,O4)&lt;2,"",ABS(O111-O4))</f>
        <v>0</v>
      </c>
      <c r="P3" s="12">
        <f>IF(COUNT(P111,P4)&lt;2,"",ABS(P111-P4))</f>
        <v>7.41628980449605e-14</v>
      </c>
      <c r="Q3" s="12">
        <f>IF(COUNT(Q111,Q4)&lt;2,"",ABS(Q111-Q4))</f>
        <v>0</v>
      </c>
      <c r="R3" s="12">
        <f>IF(COUNT(R111,R4)&lt;2,"",ABS(R111-R4))</f>
        <v>0</v>
      </c>
      <c r="S3" s="12">
        <f>IF(COUNT(S111,S4)&lt;2,"",ABS(S111-S4))</f>
        <v>0</v>
      </c>
      <c r="T3" s="12">
        <f>IF(COUNT(T111,T4)&lt;2,"",ABS(T111-T4))</f>
        <v>0</v>
      </c>
      <c r="U3" s="12">
        <f>IF(COUNT(U111,U4)&lt;2,"",ABS(U111-U4))</f>
        <v>0</v>
      </c>
      <c r="V3" s="12">
        <f>IF(COUNT(V111,V4)&lt;2,"",ABS(V111-V4))</f>
        <v>0</v>
      </c>
      <c r="W3" s="12">
        <f>IF(COUNT(W111,W4)&lt;2,"",ABS(W111-W4))</f>
        <v>0</v>
      </c>
      <c r="X3" s="12">
        <f>IF(COUNT(X111,X4)&lt;2,"",ABS(X111-X4))</f>
        <v>0</v>
      </c>
      <c r="Y3" s="12">
        <f>IF(COUNT(Y111,Y4)&lt;2,"",ABS(Y111-Y4))</f>
        <v>0</v>
      </c>
      <c r="Z3" s="12">
        <f>IF(COUNT(Z111,Z4)&lt;2,"",ABS(Z111-Z4))</f>
        <v>0</v>
      </c>
      <c r="AA3" s="12">
        <f>IF(COUNT(AA111,AA4)&lt;2,"",ABS(AA111-AA4))</f>
        <v>0</v>
      </c>
      <c r="AB3" s="12">
        <f>IF(COUNT(AB111,AB4)&lt;2,"",ABS(AB111-AB4))</f>
        <v>0</v>
      </c>
      <c r="AC3" s="12">
        <f>IF(COUNT(AC111,AC4)&lt;2,"",ABS(AC111-AC4))</f>
        <v>0</v>
      </c>
      <c r="AD3" s="12">
        <f>IF(COUNT(AD111,AD4)&lt;2,"",ABS(AD111-AD4))</f>
        <v>0</v>
      </c>
      <c r="AE3" s="12">
        <f>IF(COUNT(AE111,AE4)&lt;2,"",ABS(AE111-AE4))</f>
        <v>0</v>
      </c>
      <c r="AF3" s="12">
        <f>IF(COUNT(AF111,AF4)&lt;2,"",ABS(AF111-AF4))</f>
        <v>0</v>
      </c>
      <c r="AG3" s="12">
        <f>IF(COUNT(AG111,AG4)&lt;2,"",ABS(AG111-AG4))</f>
        <v>0</v>
      </c>
      <c r="AH3" s="12">
        <f>IF(COUNT(AH111,AH4)&lt;2,"",ABS(AH111-AH4))</f>
        <v>0</v>
      </c>
      <c r="AI3" s="12">
        <f>IF(COUNT(AI111,AI4)&lt;2,"",ABS(AI111-AI4))</f>
        <v>0</v>
      </c>
      <c r="AJ3" s="12">
        <f>ABS(AJ111-AJ4)</f>
        <v>1578.47190993443</v>
      </c>
      <c r="AK3" s="12">
        <f>ABS(AK111-AK4)</f>
        <v>2228.35228885046</v>
      </c>
      <c r="AL3" s="12">
        <f>ABS(AL111-AL4)</f>
        <v>5685.74219878489</v>
      </c>
      <c r="AM3" s="12">
        <f>ABS(AM111-AM4)</f>
        <v>1848.80119827019</v>
      </c>
      <c r="AN3" s="12">
        <f>ABS(AN111-AN4)</f>
        <v>2577.76577268834</v>
      </c>
      <c r="AO3" s="12">
        <f>ABS(AO111-AO4)</f>
        <v>1824.61897635787</v>
      </c>
      <c r="AP3" s="12">
        <f>ABS(AP111-AP4)</f>
        <v>2575.84176611412</v>
      </c>
      <c r="AQ3" s="12">
        <f>ABS(AQ111-AQ4)</f>
        <v>8827.02771343052</v>
      </c>
      <c r="AR3" s="12">
        <f>ABS(AR111-AR4)</f>
        <v>2127.85943477693</v>
      </c>
      <c r="AS3" s="12">
        <f>ABS(AS111-AS4)</f>
        <v>2966.85399446519</v>
      </c>
      <c r="AT3" s="12">
        <f>ABS(AT111-AT4)</f>
        <v>2100.02714588717</v>
      </c>
      <c r="AU3" s="12">
        <f>ABS(AU111-AU4)</f>
        <v>2964.63957814754</v>
      </c>
      <c r="AV3" s="12">
        <f>ABS(AV111-AV4)</f>
        <v>10159.3801532768</v>
      </c>
      <c r="AW3" s="12">
        <f>ABS(AW111-AW4)</f>
        <v>2438.39945204673</v>
      </c>
      <c r="AX3" s="12">
        <f>ABS(AX111-AX4)</f>
        <v>3399.8369611125</v>
      </c>
      <c r="AY3" s="12">
        <f>ABS(AY111-AY4)</f>
        <v>2406.50531615184</v>
      </c>
      <c r="AZ3" s="12">
        <f>ABS(AZ111-AZ4)</f>
        <v>3397.2993726575</v>
      </c>
      <c r="BA3" s="12">
        <f>ABS(BA111-BA4)</f>
        <v>11642.0411019686</v>
      </c>
      <c r="BB3" s="12">
        <f>ABS(BB111-BB4)</f>
        <v>2782.06771302233</v>
      </c>
      <c r="BC3" s="12">
        <f>ABS(BC111-BC4)</f>
        <v>3879.01032011459</v>
      </c>
      <c r="BD3" s="12">
        <f>ABS(BD111-BD4)</f>
        <v>2745.67841444639</v>
      </c>
      <c r="BE3" s="12">
        <f>ABS(BE111-BE4)</f>
        <v>3876.11508369068</v>
      </c>
      <c r="BF3" s="12">
        <f>ABS(BF111-BF4)</f>
        <v>13282.871531274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1747.872</v>
      </c>
      <c r="J4">
        <f>IF(ISNUMBER('Inputs (2)'!E50),'Inputs (2)'!E50,"")</f>
        <v>1309.152</v>
      </c>
      <c r="K4">
        <f>IF(ISNUMBER('Inputs (2)'!F50),'Inputs (2)'!F50,"")</f>
        <v>1401.895</v>
      </c>
      <c r="L4">
        <f>IF(ISNUMBER('Inputs (2)'!G50),'Inputs (2)'!G50,"")</f>
        <v>1398.478</v>
      </c>
      <c r="M4" s="11">
        <f>IF(COUNT(I4:L4)=4,SUM(I4:L4),"")</f>
        <v>5857.397</v>
      </c>
      <c r="N4">
        <f>IF(ISNUMBER('Inputs (2)'!I50),'Inputs (2)'!I50,"")</f>
        <v>1216.874</v>
      </c>
      <c r="O4">
        <f>IF(ISNUMBER('Inputs (2)'!J50),'Inputs (2)'!J50,"")</f>
        <v>-29.393</v>
      </c>
      <c r="P4">
        <f>IF(ISNUMBER('Inputs (2)'!K50),'Inputs (2)'!K50,"")</f>
        <v>2.296</v>
      </c>
      <c r="Q4">
        <f>IF(ISNUMBER('Inputs (2)'!L50),'Inputs (2)'!L50,"")</f>
        <v>557.854</v>
      </c>
      <c r="R4" s="11">
        <f>IF(COUNT(N4:Q4)=4,SUM(N4:Q4),"")</f>
        <v>1747.631</v>
      </c>
      <c r="S4">
        <f>IF(ISNUMBER('Inputs (2)'!N50),'Inputs (2)'!N50,"")</f>
        <v>85.812</v>
      </c>
      <c r="T4">
        <f>IF(ISNUMBER('Inputs (2)'!O50),'Inputs (2)'!O50,"")</f>
        <v>601.274</v>
      </c>
      <c r="U4">
        <f>IF(ISNUMBER('Inputs (2)'!P50),'Inputs (2)'!P50,"")</f>
        <v>551.994</v>
      </c>
      <c r="V4">
        <f>IF(ISNUMBER('Inputs (2)'!Q50),'Inputs (2)'!Q50,"")</f>
        <v>151.8</v>
      </c>
      <c r="W4" s="11">
        <f>IF(COUNT(S4:V4)=4,SUM(S4:V4),"")</f>
        <v>1390.88</v>
      </c>
      <c r="X4">
        <f>IF(ISNUMBER('Inputs (2)'!S50),'Inputs (2)'!S50,"")</f>
        <v>847.386</v>
      </c>
      <c r="Y4">
        <f>IF(ISNUMBER('Inputs (2)'!T50),'Inputs (2)'!T50,"")</f>
        <v>444.414</v>
      </c>
      <c r="Z4">
        <f>IF(ISNUMBER('Inputs (2)'!U50),'Inputs (2)'!U50,"")</f>
        <v>780.835</v>
      </c>
      <c r="AA4">
        <f>IF(ISNUMBER('Inputs (2)'!V50),'Inputs (2)'!V50,"")</f>
        <v>703.873</v>
      </c>
      <c r="AB4" s="11">
        <f>IF(COUNT(X4:AA4)=4,SUM(X4:AA4),"")</f>
        <v>2776.508</v>
      </c>
      <c r="AC4">
        <f>IF(ISNUMBER('Inputs (2)'!X50),'Inputs (2)'!X50,"")</f>
        <v>614.852</v>
      </c>
      <c r="AD4">
        <f>IF(ISNUMBER('Inputs (2)'!Y50),'Inputs (2)'!Y50,"")</f>
        <v>764.244</v>
      </c>
      <c r="AE4">
        <f>IF(ISNUMBER('Inputs (2)'!Z50),'Inputs (2)'!Z50,"")</f>
        <v>624.917</v>
      </c>
      <c r="AF4">
        <f>IF(ISNUMBER('Inputs (2)'!AA50),'Inputs (2)'!AA50,"")</f>
        <v>1015.201</v>
      </c>
      <c r="AG4" s="11">
        <f>IF(COUNT(AC4:AF4)=4,SUM(AC4:AF4),"")</f>
        <v>3019.214</v>
      </c>
      <c r="AH4" s="11">
        <f>IF(ISNUMBER('Inputs (2)'!AC50),'Inputs (2)'!AC50,"")</f>
        <v>649.729</v>
      </c>
      <c r="AI4" s="11">
        <f>IF(ISNUMBER('Inputs (2)'!AD50),'Inputs (2)'!AD50,"")</f>
        <v>1229.189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5298.872</v>
      </c>
      <c r="J15" s="34">
        <f>'Inputs (2)'!E4</f>
        <v>5291.354</v>
      </c>
      <c r="K15" s="34">
        <f>'Inputs (2)'!F4</f>
        <v>6224.265</v>
      </c>
      <c r="L15" s="34">
        <f>'Inputs (2)'!G4</f>
        <v>5762.657</v>
      </c>
      <c r="M15" s="35">
        <f>'Inputs (2)'!H4</f>
        <v>22577.148</v>
      </c>
      <c r="N15" s="34">
        <f>'Inputs (2)'!I4</f>
        <v>5126.28</v>
      </c>
      <c r="O15" s="34">
        <f>'Inputs (2)'!J4</f>
        <v>629.22</v>
      </c>
      <c r="P15" s="34">
        <f>'Inputs (2)'!K4</f>
        <v>1058.114</v>
      </c>
      <c r="Q15" s="34">
        <f>'Inputs (2)'!L4</f>
        <v>1704.059</v>
      </c>
      <c r="R15" s="35">
        <f>'Inputs (2)'!M4</f>
        <v>8517.673</v>
      </c>
      <c r="S15" s="34">
        <f>'Inputs (2)'!N4</f>
        <v>1381.845</v>
      </c>
      <c r="T15" s="34">
        <f>'Inputs (2)'!O4</f>
        <v>2814.691</v>
      </c>
      <c r="U15" s="34">
        <f>'Inputs (2)'!P4</f>
        <v>2541.285</v>
      </c>
      <c r="V15" s="34">
        <f>'Inputs (2)'!Q4</f>
        <v>1285.02</v>
      </c>
      <c r="W15" s="35">
        <f>'Inputs (2)'!R4</f>
        <v>8022.841</v>
      </c>
      <c r="X15" s="34">
        <f>'Inputs (2)'!S4</f>
        <v>3687.828</v>
      </c>
      <c r="Y15" s="34">
        <f>'Inputs (2)'!T4</f>
        <v>2796.381</v>
      </c>
      <c r="Z15" s="34">
        <f>'Inputs (2)'!U4</f>
        <v>3663.194</v>
      </c>
      <c r="AA15" s="34">
        <f>'Inputs (2)'!V4</f>
        <v>3082.565</v>
      </c>
      <c r="AB15" s="35">
        <f>'Inputs (2)'!W4</f>
        <v>13229.968</v>
      </c>
      <c r="AC15" s="34">
        <f>'Inputs (2)'!X4</f>
        <v>3289.458</v>
      </c>
      <c r="AD15" s="34">
        <f>'Inputs (2)'!Y4</f>
        <v>3711.9</v>
      </c>
      <c r="AE15" s="34">
        <f>'Inputs (2)'!Z4</f>
        <v>3088.635</v>
      </c>
      <c r="AF15" s="34">
        <f>'Inputs (2)'!AA4</f>
        <v>4360.272</v>
      </c>
      <c r="AG15" s="35">
        <f>'Inputs (2)'!AB4</f>
        <v>14450.265</v>
      </c>
      <c r="AH15" s="35">
        <f>'Inputs (2)'!AC4</f>
        <v>3617.595</v>
      </c>
      <c r="AI15" s="35">
        <f>'Inputs (2)'!AD4</f>
        <v>5043.978</v>
      </c>
      <c r="AJ15" s="35">
        <f>AE15*(1+AJ16)</f>
        <v>3570.27704869147</v>
      </c>
      <c r="AK15" s="35">
        <f>AF15*(1+AK16)</f>
        <v>5040.21324878208</v>
      </c>
      <c r="AL15" s="35">
        <f>SUM(AH15:AK15)</f>
        <v>17272.0632974736</v>
      </c>
      <c r="AM15" s="35">
        <f>AH15*(1+AM16)</f>
        <v>4181.72312363261</v>
      </c>
      <c r="AN15" s="35">
        <f>AI15*(1+AN16)</f>
        <v>5830.53643033401</v>
      </c>
      <c r="AO15" s="35">
        <f>AJ15*(1+AO16)</f>
        <v>4127.02640629697</v>
      </c>
      <c r="AP15" s="35">
        <f>AK15*(1+AP16)</f>
        <v>5826.18460343722</v>
      </c>
      <c r="AQ15" s="35">
        <f>SUM(AM15:AP15)</f>
        <v>19965.4705637008</v>
      </c>
      <c r="AR15" s="35">
        <f>AM15*(1+AR16)</f>
        <v>4812.91282728069</v>
      </c>
      <c r="AS15" s="35">
        <f>AN15*(1+AS16)</f>
        <v>6710.59817827081</v>
      </c>
      <c r="AT15" s="35">
        <f>AO15*(1+AT16)</f>
        <v>4749.96018199744</v>
      </c>
      <c r="AU15" s="35">
        <f>AP15*(1+AU16)</f>
        <v>6705.58948618996</v>
      </c>
      <c r="AV15" s="35">
        <f>SUM(AR15:AU15)</f>
        <v>22979.0606737389</v>
      </c>
      <c r="AW15" s="35">
        <f>AR15*(1+AW16)</f>
        <v>5515.30980335654</v>
      </c>
      <c r="AX15" s="35">
        <f>AS15*(1+AX16)</f>
        <v>7689.94354296562</v>
      </c>
      <c r="AY15" s="35">
        <f>AT15*(1+AY16)</f>
        <v>5443.16984276762</v>
      </c>
      <c r="AZ15" s="35">
        <f>AU15*(1+AZ16)</f>
        <v>7684.20388186498</v>
      </c>
      <c r="BA15" s="35">
        <f>SUM(AW15:AZ15)</f>
        <v>26332.6270709548</v>
      </c>
      <c r="BB15" s="35">
        <f>AW15*(1+BB16)</f>
        <v>6292.63811487261</v>
      </c>
      <c r="BC15" s="35">
        <f>AX15*(1+BC16)</f>
        <v>8773.7649497467</v>
      </c>
      <c r="BD15" s="35">
        <f>AY15*(1+BD16)</f>
        <v>6210.33074107268</v>
      </c>
      <c r="BE15" s="35">
        <f>AZ15*(1+BE16)</f>
        <v>8767.21634024041</v>
      </c>
      <c r="BF15" s="35">
        <f>SUM(BB15:BE15)</f>
        <v>30043.9501459324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-0.0325714604919689</v>
      </c>
      <c r="O16" s="40">
        <f>IFERROR(O15/J15-1,"")</f>
        <v>-0.881085257195039</v>
      </c>
      <c r="P16" s="40">
        <f>IFERROR(P15/K15-1,"")</f>
        <v>-0.830001775310017</v>
      </c>
      <c r="Q16" s="40">
        <f>IFERROR(Q15/L15-1,"")</f>
        <v>-0.704292828811432</v>
      </c>
      <c r="R16" s="40">
        <f>IFERROR(R15/M15-1,"")</f>
        <v>-0.622730337773398</v>
      </c>
      <c r="S16" s="40">
        <f>IFERROR(S15/N15-1,"")</f>
        <v>-0.730439031812542</v>
      </c>
      <c r="T16" s="40">
        <f>IFERROR(T15/O15-1,"")</f>
        <v>3.4733018658021</v>
      </c>
      <c r="U16" s="40">
        <f>IFERROR(U15/P15-1,"")</f>
        <v>1.40171191383915</v>
      </c>
      <c r="V16" s="40">
        <f>IFERROR(V15/Q15-1,"")</f>
        <v>-0.245906391738784</v>
      </c>
      <c r="W16" s="40">
        <f>IFERROR(W15/R15-1,"")</f>
        <v>-0.0580947401948864</v>
      </c>
      <c r="X16" s="40">
        <f>IFERROR(X15/S15-1,"")</f>
        <v>1.66877109950827</v>
      </c>
      <c r="Y16" s="40">
        <f>IFERROR(Y15/T15-1,"")</f>
        <v>-0.0065051545622592</v>
      </c>
      <c r="Z16" s="40">
        <f>IFERROR(Z15/U15-1,"")</f>
        <v>0.441473113011724</v>
      </c>
      <c r="AA16" s="40">
        <f>IFERROR(AA15/V15-1,"")</f>
        <v>1.39884593235903</v>
      </c>
      <c r="AB16" s="40">
        <f>IFERROR(AB15/W15-1,"")</f>
        <v>0.649037790977037</v>
      </c>
      <c r="AC16" s="40">
        <f>IFERROR(AC15/X15-1,"")</f>
        <v>-0.108022933824462</v>
      </c>
      <c r="AD16" s="40">
        <f>IFERROR(AD15/Y15-1,"")</f>
        <v>0.327394228468868</v>
      </c>
      <c r="AE16" s="40">
        <f>IFERROR(AE15/Z15-1,"")</f>
        <v>-0.156846456944404</v>
      </c>
      <c r="AF16" s="41">
        <f>IFERROR(AF15/AA15-1,"")</f>
        <v>0.414494747069405</v>
      </c>
      <c r="AG16" s="40">
        <f>IFERROR(AG15/AB15-1,"")</f>
        <v>0.0922373357214468</v>
      </c>
      <c r="AH16" s="41">
        <f>IFERROR(AH15/AC15-1,"")</f>
        <v>0.0997541236276613</v>
      </c>
      <c r="AI16" s="41">
        <f>IFERROR(AI15/AD15-1,"")</f>
        <v>0.35886688757779</v>
      </c>
      <c r="AJ16" s="41">
        <f>Control!$B$18</f>
        <v>0.155940099329143</v>
      </c>
      <c r="AK16" s="41">
        <f>Control!$B$18</f>
        <v>0.155940099329143</v>
      </c>
      <c r="AL16" s="42">
        <f>IFERROR(AL15/AG15-1,"")</f>
        <v>0.195276577797954</v>
      </c>
      <c r="AM16" s="41">
        <f>Control!$C$18</f>
        <v>0.155940099329143</v>
      </c>
      <c r="AN16" s="41">
        <f>Control!$C$18</f>
        <v>0.155940099329143</v>
      </c>
      <c r="AO16" s="41">
        <f>Control!$C$18</f>
        <v>0.155940099329143</v>
      </c>
      <c r="AP16" s="41">
        <f>Control!$C$18</f>
        <v>0.155940099329143</v>
      </c>
      <c r="AQ16" s="42">
        <f>IFERROR(AQ15/AL15-1,"")</f>
        <v>0.155940099329143</v>
      </c>
      <c r="AR16" s="41">
        <f>Control!$D$18</f>
        <v>0.150940099329143</v>
      </c>
      <c r="AS16" s="41">
        <f>Control!$D$18</f>
        <v>0.150940099329143</v>
      </c>
      <c r="AT16" s="41">
        <f>Control!$D$18</f>
        <v>0.150940099329143</v>
      </c>
      <c r="AU16" s="41">
        <f>Control!$D$18</f>
        <v>0.150940099329143</v>
      </c>
      <c r="AV16" s="42">
        <f>IFERROR(AV15/AQ15-1,"")</f>
        <v>0.150940099329143</v>
      </c>
      <c r="AW16" s="41">
        <f>Control!$E$18</f>
        <v>0.145940099329143</v>
      </c>
      <c r="AX16" s="41">
        <f>Control!$E$18</f>
        <v>0.145940099329143</v>
      </c>
      <c r="AY16" s="41">
        <f>Control!$E$18</f>
        <v>0.145940099329143</v>
      </c>
      <c r="AZ16" s="41">
        <f>Control!$E$18</f>
        <v>0.145940099329143</v>
      </c>
      <c r="BA16" s="42">
        <f>IFERROR(BA15/AV15-1,"")</f>
        <v>0.145940099329143</v>
      </c>
      <c r="BB16" s="41">
        <f>Control!$F$18</f>
        <v>0.140940099329143</v>
      </c>
      <c r="BC16" s="41">
        <f>Control!$F$18</f>
        <v>0.140940099329143</v>
      </c>
      <c r="BD16" s="41">
        <f>Control!$F$18</f>
        <v>0.140940099329143</v>
      </c>
      <c r="BE16" s="41">
        <f>Control!$F$18</f>
        <v>0.140940099329143</v>
      </c>
      <c r="BF16" s="42">
        <f>IFERROR(BF15/BA15-1,"")</f>
        <v>0.140940099329143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 t="n"/>
      <c r="J17" s="40" t="n"/>
      <c r="K17" s="40" t="n"/>
      <c r="L17" s="40" t="n"/>
      <c r="M17" s="39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1" t="n"/>
      <c r="AI17" s="41" t="n"/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receita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Taxas de gestão e consultoria (investment advice)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1177.815</v>
      </c>
      <c r="J19" s="269">
        <f>IFERROR(INDEX('Inputs (2)'!$D$53:$AL$53,MATCH(J$7&amp;"",'Inputs (2)'!$D$2:$AL$2,0)),"")</f>
        <v>1212.549</v>
      </c>
      <c r="K19" s="269">
        <f>IFERROR(INDEX('Inputs (2)'!$D$53:$AL$53,MATCH(K$7&amp;"",'Inputs (2)'!$D$2:$AL$2,0)),"")</f>
        <v>1320.795</v>
      </c>
      <c r="L19" s="269">
        <f>IFERROR(INDEX('Inputs (2)'!$D$53:$AL$53,MATCH(L$7&amp;"",'Inputs (2)'!$D$2:$AL$2,0)),"")</f>
        <v>1459.548</v>
      </c>
      <c r="M19" s="270">
        <f>IF(COUNT(I19:L19)=4,SUM(I19:L19),"")</f>
        <v>5170.707</v>
      </c>
      <c r="N19" s="269">
        <f>IFERROR(INDEX('Inputs (2)'!$D$53:$AL$53,MATCH(N$7&amp;"",'Inputs (2)'!$D$2:$AL$2,0)),"")</f>
        <v>1475.936</v>
      </c>
      <c r="O19" s="269">
        <f>IFERROR(INDEX('Inputs (2)'!$D$53:$AL$53,MATCH(O$7&amp;"",'Inputs (2)'!$D$2:$AL$2,0)),"")</f>
        <v>1561.187</v>
      </c>
      <c r="P19" s="269">
        <f>IFERROR(INDEX('Inputs (2)'!$D$53:$AL$53,MATCH(P$7&amp;"",'Inputs (2)'!$D$2:$AL$2,0)),"")</f>
        <v>1617.754</v>
      </c>
      <c r="Q19" s="269">
        <f>IFERROR(INDEX('Inputs (2)'!$D$53:$AL$53,MATCH(Q$7&amp;"",'Inputs (2)'!$D$2:$AL$2,0)),"")</f>
        <v>1648.438</v>
      </c>
      <c r="R19" s="270">
        <f>IF(COUNT(N19:Q19)=4,SUM(N19:Q19),"")</f>
        <v>6303.315</v>
      </c>
      <c r="S19" s="269">
        <f>IFERROR(INDEX('Inputs (2)'!$D$53:$AL$53,MATCH(S$7&amp;"",'Inputs (2)'!$D$2:$AL$2,0)),"")</f>
        <v>1658.315</v>
      </c>
      <c r="T19" s="269">
        <f>IFERROR(INDEX('Inputs (2)'!$D$53:$AL$53,MATCH(T$7&amp;"",'Inputs (2)'!$D$2:$AL$2,0)),"")</f>
        <v>1709.37</v>
      </c>
      <c r="U19" s="269">
        <f>IFERROR(INDEX('Inputs (2)'!$D$53:$AL$53,MATCH(U$7&amp;"",'Inputs (2)'!$D$2:$AL$2,0)),"")</f>
        <v>1655.443</v>
      </c>
      <c r="V19" s="269">
        <f>IFERROR(INDEX('Inputs (2)'!$D$53:$AL$53,MATCH(V$7&amp;"",'Inputs (2)'!$D$2:$AL$2,0)),"")</f>
        <v>1648.132</v>
      </c>
      <c r="W19" s="270">
        <f>IF(COUNT(S19:V19)=4,SUM(S19:V19),"")</f>
        <v>6671.26</v>
      </c>
      <c r="X19" s="269">
        <f>IFERROR(INDEX('Inputs (2)'!$D$53:$AL$53,MATCH(X$7&amp;"",'Inputs (2)'!$D$2:$AL$2,0)),"")</f>
        <v>1727.148</v>
      </c>
      <c r="Y19" s="269">
        <f>IFERROR(INDEX('Inputs (2)'!$D$53:$AL$53,MATCH(Y$7&amp;"",'Inputs (2)'!$D$2:$AL$2,0)),"")</f>
        <v>1787.313</v>
      </c>
      <c r="Z19" s="269">
        <f>IFERROR(INDEX('Inputs (2)'!$D$53:$AL$53,MATCH(Z$7&amp;"",'Inputs (2)'!$D$2:$AL$2,0)),"")</f>
        <v>1794.894</v>
      </c>
      <c r="AA19" s="269">
        <f>IFERROR(INDEX('Inputs (2)'!$D$53:$AL$53,MATCH(AA$7&amp;"",'Inputs (2)'!$D$2:$AL$2,0)),"")</f>
        <v>1879.581</v>
      </c>
      <c r="AB19" s="270">
        <f>IF(COUNT(X19:AA19)=4,SUM(X19:AA19),"")</f>
        <v>7188.936</v>
      </c>
      <c r="AC19" s="269">
        <f>IFERROR(INDEX('Inputs (2)'!$D$53:$AL$53,MATCH(AC$7&amp;"",'Inputs (2)'!$D$2:$AL$2,0)),"")</f>
        <v>1904.317</v>
      </c>
      <c r="AD19" s="269">
        <f>IFERROR(INDEX('Inputs (2)'!$D$53:$AL$53,MATCH(AD$7&amp;"",'Inputs (2)'!$D$2:$AL$2,0)),"")</f>
        <v>2035.495</v>
      </c>
      <c r="AE19" s="269">
        <f>IFERROR(INDEX('Inputs (2)'!$D$53:$AL$53,MATCH(AE$7&amp;"",'Inputs (2)'!$D$2:$AL$2,0)),"")</f>
        <v>2056.248</v>
      </c>
      <c r="AF19" s="269">
        <f>IFERROR(INDEX('Inputs (2)'!$D$53:$AL$53,MATCH(AF$7&amp;"",'Inputs (2)'!$D$2:$AL$2,0)),"")</f>
        <v>2079.541</v>
      </c>
      <c r="AG19" s="270">
        <f>IF(COUNT(AC19:AF19)=4,SUM(AC19:AF19),"")</f>
        <v>8075.601</v>
      </c>
      <c r="AH19" s="270">
        <f>IFERROR(INDEX('Inputs (2)'!$D$53:$AL$53,MATCH(AH$7&amp;"",'Inputs (2)'!$D$2:$AL$2,0)),"")</f>
        <v>2148.62</v>
      </c>
      <c r="AI19" s="270">
        <f>IFERROR(INDEX('Inputs (2)'!$D$53:$AL$53,MATCH(AI$7&amp;"",'Inputs (2)'!$D$2:$AL$2,0)),"")</f>
        <v>2266.006</v>
      </c>
    </row>
    <row r="20">
      <c r="C20" s="268" t="inlineStr">
        <is>
          <t xml:space="preserve">   Receita de performance (incentive fees)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>
        <f>IFERROR(INDEX('Inputs (2)'!$D$54:$AL$54,MATCH(I$7&amp;"",'Inputs (2)'!$D$2:$AL$2,0)),"")</f>
        <v>36.124</v>
      </c>
      <c r="J20" s="269">
        <f>IFERROR(INDEX('Inputs (2)'!$D$54:$AL$54,MATCH(J$7&amp;"",'Inputs (2)'!$D$2:$AL$2,0)),"")</f>
        <v>33.207</v>
      </c>
      <c r="K20" s="269">
        <f>IFERROR(INDEX('Inputs (2)'!$D$54:$AL$54,MATCH(K$7&amp;"",'Inputs (2)'!$D$2:$AL$2,0)),"")</f>
        <v>48.206</v>
      </c>
      <c r="L20" s="269">
        <f>IFERROR(INDEX('Inputs (2)'!$D$54:$AL$54,MATCH(L$7&amp;"",'Inputs (2)'!$D$2:$AL$2,0)),"")</f>
        <v>136.454</v>
      </c>
      <c r="M20" s="270">
        <f>IF(COUNT(I20:L20)=4,SUM(I20:L20),"")</f>
        <v>253.991</v>
      </c>
      <c r="N20" s="269">
        <f>IFERROR(INDEX('Inputs (2)'!$D$54:$AL$54,MATCH(N$7&amp;"",'Inputs (2)'!$D$2:$AL$2,0)),"")</f>
        <v>104.489</v>
      </c>
      <c r="O20" s="269">
        <f>IFERROR(INDEX('Inputs (2)'!$D$54:$AL$54,MATCH(O$7&amp;"",'Inputs (2)'!$D$2:$AL$2,0)),"")</f>
        <v>99.598</v>
      </c>
      <c r="P20" s="269">
        <f>IFERROR(INDEX('Inputs (2)'!$D$54:$AL$54,MATCH(P$7&amp;"",'Inputs (2)'!$D$2:$AL$2,0)),"")</f>
        <v>110.776</v>
      </c>
      <c r="Q20" s="269">
        <f>IFERROR(INDEX('Inputs (2)'!$D$54:$AL$54,MATCH(Q$7&amp;"",'Inputs (2)'!$D$2:$AL$2,0)),"")</f>
        <v>210.264</v>
      </c>
      <c r="R20" s="270">
        <f>IF(COUNT(N20:Q20)=4,SUM(N20:Q20),"")</f>
        <v>525.127</v>
      </c>
      <c r="S20" s="269">
        <f>IFERROR(INDEX('Inputs (2)'!$D$54:$AL$54,MATCH(S$7&amp;"",'Inputs (2)'!$D$2:$AL$2,0)),"")</f>
        <v>142.876</v>
      </c>
      <c r="T20" s="269">
        <f>IFERROR(INDEX('Inputs (2)'!$D$54:$AL$54,MATCH(T$7&amp;"",'Inputs (2)'!$D$2:$AL$2,0)),"")</f>
        <v>153.077</v>
      </c>
      <c r="U20" s="269">
        <f>IFERROR(INDEX('Inputs (2)'!$D$54:$AL$54,MATCH(U$7&amp;"",'Inputs (2)'!$D$2:$AL$2,0)),"")</f>
        <v>158.801</v>
      </c>
      <c r="V20" s="269">
        <f>IFERROR(INDEX('Inputs (2)'!$D$54:$AL$54,MATCH(V$7&amp;"",'Inputs (2)'!$D$2:$AL$2,0)),"")</f>
        <v>240.417</v>
      </c>
      <c r="W20" s="270">
        <f>IF(COUNT(S20:V20)=4,SUM(S20:V20),"")</f>
        <v>695.171</v>
      </c>
      <c r="X20" s="269">
        <f>IFERROR(INDEX('Inputs (2)'!$D$54:$AL$54,MATCH(X$7&amp;"",'Inputs (2)'!$D$2:$AL$2,0)),"")</f>
        <v>179.341</v>
      </c>
      <c r="Y20" s="269">
        <f>IFERROR(INDEX('Inputs (2)'!$D$54:$AL$54,MATCH(Y$7&amp;"",'Inputs (2)'!$D$2:$AL$2,0)),"")</f>
        <v>188.299</v>
      </c>
      <c r="Z20" s="269">
        <f>IFERROR(INDEX('Inputs (2)'!$D$54:$AL$54,MATCH(Z$7&amp;"",'Inputs (2)'!$D$2:$AL$2,0)),"")</f>
        <v>191.794</v>
      </c>
      <c r="AA20" s="269">
        <f>IFERROR(INDEX('Inputs (2)'!$D$54:$AL$54,MATCH(AA$7&amp;"",'Inputs (2)'!$D$2:$AL$2,0)),"")</f>
        <v>404.744</v>
      </c>
      <c r="AB20" s="270">
        <f>IF(COUNT(X20:AA20)=4,SUM(X20:AA20),"")</f>
        <v>964.178</v>
      </c>
      <c r="AC20" s="269">
        <f>IFERROR(INDEX('Inputs (2)'!$D$54:$AL$54,MATCH(AC$7&amp;"",'Inputs (2)'!$D$2:$AL$2,0)),"")</f>
        <v>191.825</v>
      </c>
      <c r="AD20" s="269">
        <f>IFERROR(INDEX('Inputs (2)'!$D$54:$AL$54,MATCH(AD$7&amp;"",'Inputs (2)'!$D$2:$AL$2,0)),"")</f>
        <v>195.414</v>
      </c>
      <c r="AE20" s="269">
        <f>IFERROR(INDEX('Inputs (2)'!$D$54:$AL$54,MATCH(AE$7&amp;"",'Inputs (2)'!$D$2:$AL$2,0)),"")</f>
        <v>200.675</v>
      </c>
      <c r="AF20" s="269">
        <f>IFERROR(INDEX('Inputs (2)'!$D$54:$AL$54,MATCH(AF$7&amp;"",'Inputs (2)'!$D$2:$AL$2,0)),"")</f>
        <v>390.288</v>
      </c>
      <c r="AG20" s="270">
        <f>IF(COUNT(AC20:AF20)=4,SUM(AC20:AF20),"")</f>
        <v>978.202</v>
      </c>
      <c r="AH20" s="270">
        <f>IFERROR(INDEX('Inputs (2)'!$D$54:$AL$54,MATCH(AH$7&amp;"",'Inputs (2)'!$D$2:$AL$2,0)),"")</f>
        <v>165.419</v>
      </c>
      <c r="AI20" s="270">
        <f>IFERROR(INDEX('Inputs (2)'!$D$54:$AL$54,MATCH(AI$7&amp;"",'Inputs (2)'!$D$2:$AL$2,0)),"")</f>
        <v>159.08</v>
      </c>
    </row>
    <row r="21">
      <c r="C21" s="271" t="inlineStr">
        <is>
          <t>Receita (soma dos segmentos)</t>
        </is>
      </c>
      <c r="D21" s="269" t="str">
        <f>IF(COUNT(D19,D20)=0,"",N(D19)+N(D20))</f>
        <v/>
      </c>
      <c r="E21" s="269" t="str">
        <f>IF(COUNT(E19,E20)=0,"",N(E19)+N(E20))</f>
        <v/>
      </c>
      <c r="F21" s="269" t="str">
        <f>IF(COUNT(F19,F20)=0,"",N(F19)+N(F20))</f>
        <v/>
      </c>
      <c r="G21" s="269" t="str">
        <f>IF(COUNT(G19,G20)=0,"",N(G19)+N(G20))</f>
        <v/>
      </c>
      <c r="H21" s="270" t="str">
        <f>IF(COUNT(H19,H20)=0,"",N(H19)+N(H20))</f>
        <v/>
      </c>
      <c r="I21" s="269">
        <f>IF(COUNT(I19,I20)=0,"",N(I19)+N(I20))</f>
        <v>1213.939</v>
      </c>
      <c r="J21" s="269">
        <f>IF(COUNT(J19,J20)=0,"",N(J19)+N(J20))</f>
        <v>1245.756</v>
      </c>
      <c r="K21" s="269">
        <f>IF(COUNT(K19,K20)=0,"",N(K19)+N(K20))</f>
        <v>1369.001</v>
      </c>
      <c r="L21" s="269">
        <f>IF(COUNT(L19,L20)=0,"",N(L19)+N(L20))</f>
        <v>1596.002</v>
      </c>
      <c r="M21" s="270">
        <f>IF(COUNT(M19,M20)=0,"",N(M19)+N(M20))</f>
        <v>5424.698</v>
      </c>
      <c r="N21" s="269">
        <f>IF(COUNT(N19,N20)=0,"",N(N19)+N(N20))</f>
        <v>1580.425</v>
      </c>
      <c r="O21" s="269">
        <f>IF(COUNT(O19,O20)=0,"",N(O19)+N(O20))</f>
        <v>1660.785</v>
      </c>
      <c r="P21" s="269">
        <f>IF(COUNT(P19,P20)=0,"",N(P19)+N(P20))</f>
        <v>1728.53</v>
      </c>
      <c r="Q21" s="269">
        <f>IF(COUNT(Q19,Q20)=0,"",N(Q19)+N(Q20))</f>
        <v>1858.702</v>
      </c>
      <c r="R21" s="270">
        <f>IF(COUNT(R19,R20)=0,"",N(R19)+N(R20))</f>
        <v>6828.442</v>
      </c>
      <c r="S21" s="269">
        <f>IF(COUNT(S19,S20)=0,"",N(S19)+N(S20))</f>
        <v>1801.191</v>
      </c>
      <c r="T21" s="269">
        <f>IF(COUNT(T19,T20)=0,"",N(T19)+N(T20))</f>
        <v>1862.447</v>
      </c>
      <c r="U21" s="269">
        <f>IF(COUNT(U19,U20)=0,"",N(U19)+N(U20))</f>
        <v>1814.244</v>
      </c>
      <c r="V21" s="269">
        <f>IF(COUNT(V19,V20)=0,"",N(V19)+N(V20))</f>
        <v>1888.549</v>
      </c>
      <c r="W21" s="270">
        <f>IF(COUNT(W19,W20)=0,"",N(W19)+N(W20))</f>
        <v>7366.431</v>
      </c>
      <c r="X21" s="269">
        <f>IF(COUNT(X19,X20)=0,"",N(X19)+N(X20))</f>
        <v>1906.489</v>
      </c>
      <c r="Y21" s="269">
        <f>IF(COUNT(Y19,Y20)=0,"",N(Y19)+N(Y20))</f>
        <v>1975.612</v>
      </c>
      <c r="Z21" s="269">
        <f>IF(COUNT(Z19,Z20)=0,"",N(Z19)+N(Z20))</f>
        <v>1986.688</v>
      </c>
      <c r="AA21" s="269">
        <f>IF(COUNT(AA19,AA20)=0,"",N(AA19)+N(AA20))</f>
        <v>2284.325</v>
      </c>
      <c r="AB21" s="270">
        <f>IF(COUNT(AB19,AB20)=0,"",N(AB19)+N(AB20))</f>
        <v>8153.114</v>
      </c>
      <c r="AC21" s="269">
        <f>IF(COUNT(AC19,AC20)=0,"",N(AC19)+N(AC20))</f>
        <v>2096.142</v>
      </c>
      <c r="AD21" s="269">
        <f>IF(COUNT(AD19,AD20)=0,"",N(AD19)+N(AD20))</f>
        <v>2230.909</v>
      </c>
      <c r="AE21" s="269">
        <f>IF(COUNT(AE19,AE20)=0,"",N(AE19)+N(AE20))</f>
        <v>2256.923</v>
      </c>
      <c r="AF21" s="269">
        <f>IF(COUNT(AF19,AF20)=0,"",N(AF19)+N(AF20))</f>
        <v>2469.829</v>
      </c>
      <c r="AG21" s="270">
        <f>IF(COUNT(AG19,AG20)=0,"",N(AG19)+N(AG20))</f>
        <v>9053.803</v>
      </c>
      <c r="AH21" s="270">
        <f>IF(COUNT(AH19,AH20)=0,"",N(AH19)+N(AH20))</f>
        <v>2314.039</v>
      </c>
      <c r="AI21" s="270">
        <f>IF(COUNT(AI19,AI20)=0,"",N(AI19)+N(AI20))</f>
        <v>2425.086</v>
      </c>
    </row>
    <row r="22">
      <c r="C22" s="268" t="inlineStr">
        <is>
          <t>Receita não alocada aos segmentos (linha 15 - soma)</t>
        </is>
      </c>
      <c r="D22" s="269" t="str">
        <f>IF(COUNT(D21)=0,"",ROUND(D15-D21,1))</f>
        <v/>
      </c>
      <c r="E22" s="269" t="str">
        <f>IF(COUNT(E21)=0,"",ROUND(E15-E21,1))</f>
        <v/>
      </c>
      <c r="F22" s="269" t="str">
        <f>IF(COUNT(F21)=0,"",ROUND(F15-F21,1))</f>
        <v/>
      </c>
      <c r="G22" s="269" t="str">
        <f>IF(COUNT(G21)=0,"",ROUND(G15-G21,1))</f>
        <v/>
      </c>
      <c r="H22" s="270" t="str">
        <f>IF(COUNT(H21)=0,"",ROUND(H15-H21,1))</f>
        <v/>
      </c>
      <c r="I22" s="269">
        <f>IF(COUNT(I21)=0,"",ROUND(I15-I21,1))</f>
        <v>4084.9</v>
      </c>
      <c r="J22" s="269">
        <f>IF(COUNT(J21)=0,"",ROUND(J15-J21,1))</f>
        <v>4045.6</v>
      </c>
      <c r="K22" s="269">
        <f>IF(COUNT(K21)=0,"",ROUND(K15-K21,1))</f>
        <v>4855.3</v>
      </c>
      <c r="L22" s="269">
        <f>IF(COUNT(L21)=0,"",ROUND(L15-L21,1))</f>
        <v>4166.7</v>
      </c>
      <c r="M22" s="270">
        <f>IF(COUNT(M21)=0,"",ROUND(M15-M21,1))</f>
        <v>17152.5</v>
      </c>
      <c r="N22" s="269">
        <f>IF(COUNT(N21)=0,"",ROUND(N15-N21,1))</f>
        <v>3545.9</v>
      </c>
      <c r="O22" s="269">
        <f>IF(COUNT(O21)=0,"",ROUND(O15-O21,1))</f>
        <v>-1031.6</v>
      </c>
      <c r="P22" s="269">
        <f>IF(COUNT(P21)=0,"",ROUND(P15-P21,1))</f>
        <v>-670.4</v>
      </c>
      <c r="Q22" s="269">
        <f>IF(COUNT(Q21)=0,"",ROUND(Q15-Q21,1))</f>
        <v>-154.6</v>
      </c>
      <c r="R22" s="270">
        <f>IF(COUNT(R21)=0,"",ROUND(R15-R21,1))</f>
        <v>1689.2</v>
      </c>
      <c r="S22" s="269">
        <f>IF(COUNT(S21)=0,"",ROUND(S15-S21,1))</f>
        <v>-419.3</v>
      </c>
      <c r="T22" s="269">
        <f>IF(COUNT(T21)=0,"",ROUND(T15-T21,1))</f>
        <v>952.2</v>
      </c>
      <c r="U22" s="269">
        <f>IF(COUNT(U21)=0,"",ROUND(U15-U21,1))</f>
        <v>727</v>
      </c>
      <c r="V22" s="269">
        <f>IF(COUNT(V21)=0,"",ROUND(V15-V21,1))</f>
        <v>-603.5</v>
      </c>
      <c r="W22" s="270">
        <f>IF(COUNT(W21)=0,"",ROUND(W15-W21,1))</f>
        <v>656.4</v>
      </c>
      <c r="X22" s="269">
        <f>IF(COUNT(X21)=0,"",ROUND(X15-X21,1))</f>
        <v>1781.3</v>
      </c>
      <c r="Y22" s="269">
        <f>IF(COUNT(Y21)=0,"",ROUND(Y15-Y21,1))</f>
        <v>820.8</v>
      </c>
      <c r="Z22" s="269">
        <f>IF(COUNT(Z21)=0,"",ROUND(Z15-Z21,1))</f>
        <v>1676.5</v>
      </c>
      <c r="AA22" s="269">
        <f>IF(COUNT(AA21)=0,"",ROUND(AA15-AA21,1))</f>
        <v>798.2</v>
      </c>
      <c r="AB22" s="270">
        <f>IF(COUNT(AB21)=0,"",ROUND(AB15-AB21,1))</f>
        <v>5076.9</v>
      </c>
      <c r="AC22" s="269">
        <f>IF(COUNT(AC21)=0,"",ROUND(AC15-AC21,1))</f>
        <v>1193.3</v>
      </c>
      <c r="AD22" s="269">
        <f>IF(COUNT(AD21)=0,"",ROUND(AD15-AD21,1))</f>
        <v>1481</v>
      </c>
      <c r="AE22" s="269">
        <f>IF(COUNT(AE21)=0,"",ROUND(AE15-AE21,1))</f>
        <v>831.7</v>
      </c>
      <c r="AF22" s="269">
        <f>IF(COUNT(AF21)=0,"",ROUND(AF15-AF21,1))</f>
        <v>1890.4</v>
      </c>
      <c r="AG22" s="270">
        <f>IF(COUNT(AG21)=0,"",ROUND(AG15-AG21,1))</f>
        <v>5396.5</v>
      </c>
      <c r="AH22" s="270">
        <f>IF(COUNT(AH21)=0,"",ROUND(AH15-AH21,1))</f>
        <v>1303.6</v>
      </c>
      <c r="AI22" s="270">
        <f>IF(COUNT(AI21)=0,"",ROUND(AI15-AI21,1))</f>
        <v>2618.9</v>
      </c>
    </row>
    <row r="23">
      <c r="C23" s="268" t="inlineStr">
        <is>
          <t xml:space="preserve">   % YoY Taxas de gestão e consultoria (investment advice)</t>
        </is>
      </c>
      <c r="D23" s="272" t="str">
        <f>""</f>
        <v/>
      </c>
      <c r="E23" s="272" t="str">
        <f>""</f>
        <v/>
      </c>
      <c r="F23" s="272" t="str">
        <f>""</f>
        <v/>
      </c>
      <c r="G23" s="272" t="str">
        <f>""</f>
        <v/>
      </c>
      <c r="H23" s="273" t="str">
        <f>""</f>
        <v/>
      </c>
      <c r="I23" s="272" t="str">
        <f>IFERROR(I19/D19-1,"")</f>
        <v/>
      </c>
      <c r="J23" s="272" t="str">
        <f>IFERROR(J19/E19-1,"")</f>
        <v/>
      </c>
      <c r="K23" s="272" t="str">
        <f>IFERROR(K19/F19-1,"")</f>
        <v/>
      </c>
      <c r="L23" s="272" t="str">
        <f>IFERROR(L19/G19-1,"")</f>
        <v/>
      </c>
      <c r="M23" s="273" t="str">
        <f>IFERROR(M19/H19-1,"")</f>
        <v/>
      </c>
      <c r="N23" s="272">
        <f>IFERROR(N19/I19-1,"")</f>
        <v>0.253113604428539</v>
      </c>
      <c r="O23" s="272">
        <f>IFERROR(O19/J19-1,"")</f>
        <v>0.287524875283391</v>
      </c>
      <c r="P23" s="272">
        <f>IFERROR(P19/K19-1,"")</f>
        <v>0.224833528291673</v>
      </c>
      <c r="Q23" s="272">
        <f>IFERROR(Q19/L19-1,"")</f>
        <v>0.129416778345077</v>
      </c>
      <c r="R23" s="273">
        <f>IFERROR(R19/M19-1,"")</f>
        <v>0.219043159861891</v>
      </c>
      <c r="S23" s="272">
        <f>IFERROR(S19/N19-1,"")</f>
        <v>0.123568366108016</v>
      </c>
      <c r="T23" s="272">
        <f>IFERROR(T19/O19-1,"")</f>
        <v>0.0949168805530665</v>
      </c>
      <c r="U23" s="272">
        <f>IFERROR(U19/P19-1,"")</f>
        <v>0.0232971143944012</v>
      </c>
      <c r="V23" s="272">
        <f>IFERROR(V19/Q19-1,"")</f>
        <v>-0.000185630275448712</v>
      </c>
      <c r="W23" s="273">
        <f>IFERROR(W19/R19-1,"")</f>
        <v>0.0583732528042784</v>
      </c>
      <c r="X23" s="272">
        <f>IFERROR(X19/S19-1,"")</f>
        <v>0.041507795563569</v>
      </c>
      <c r="Y23" s="272">
        <f>IFERROR(Y19/T19-1,"")</f>
        <v>0.0455975008336407</v>
      </c>
      <c r="Z23" s="272">
        <f>IFERROR(Z19/U19-1,"")</f>
        <v>0.0842378746957764</v>
      </c>
      <c r="AA23" s="272">
        <f>IFERROR(AA19/V19-1,"")</f>
        <v>0.140431106246344</v>
      </c>
      <c r="AB23" s="273">
        <f>IFERROR(AB19/W19-1,"")</f>
        <v>0.0775979350227691</v>
      </c>
      <c r="AC23" s="272">
        <f>IFERROR(AC19/X19-1,"")</f>
        <v>0.102578933594573</v>
      </c>
      <c r="AD23" s="272">
        <f>IFERROR(AD19/Y19-1,"")</f>
        <v>0.13885760356468</v>
      </c>
      <c r="AE23" s="272">
        <f>IFERROR(AE19/Z19-1,"")</f>
        <v>0.145609712885552</v>
      </c>
      <c r="AF23" s="272">
        <f>IFERROR(AF19/AA19-1,"")</f>
        <v>0.106385412493529</v>
      </c>
      <c r="AG23" s="273">
        <f>IFERROR(AG19/AB19-1,"")</f>
        <v>0.123337445207469</v>
      </c>
      <c r="AH23" s="273">
        <f>IFERROR(AH19/AC19-1,"")</f>
        <v>0.128289040112544</v>
      </c>
      <c r="AI23" s="273">
        <f>IFERROR(AI19/AD19-1,"")</f>
        <v>0.113245672428574</v>
      </c>
    </row>
    <row r="24">
      <c r="C24" s="268" t="inlineStr">
        <is>
          <t xml:space="preserve">   % YoY Receita de performance (incentive fees)</t>
        </is>
      </c>
      <c r="D24" s="272" t="str">
        <f>""</f>
        <v/>
      </c>
      <c r="E24" s="272" t="str">
        <f>""</f>
        <v/>
      </c>
      <c r="F24" s="272" t="str">
        <f>""</f>
        <v/>
      </c>
      <c r="G24" s="272" t="str">
        <f>""</f>
        <v/>
      </c>
      <c r="H24" s="273" t="str">
        <f>""</f>
        <v/>
      </c>
      <c r="I24" s="272" t="str">
        <f>IFERROR(I20/D20-1,"")</f>
        <v/>
      </c>
      <c r="J24" s="272" t="str">
        <f>IFERROR(J20/E20-1,"")</f>
        <v/>
      </c>
      <c r="K24" s="272" t="str">
        <f>IFERROR(K20/F20-1,"")</f>
        <v/>
      </c>
      <c r="L24" s="272" t="str">
        <f>IFERROR(L20/G20-1,"")</f>
        <v/>
      </c>
      <c r="M24" s="273" t="str">
        <f>IFERROR(M20/H20-1,"")</f>
        <v/>
      </c>
      <c r="N24" s="272">
        <f>IFERROR(N20/I20-1,"")</f>
        <v>1.89250913520097</v>
      </c>
      <c r="O24" s="272">
        <f>IFERROR(O20/J20-1,"")</f>
        <v>1.99930737495106</v>
      </c>
      <c r="P24" s="272">
        <f>IFERROR(P20/K20-1,"")</f>
        <v>1.2979712069037</v>
      </c>
      <c r="Q24" s="272">
        <f>IFERROR(Q20/L20-1,"")</f>
        <v>0.54091488706817</v>
      </c>
      <c r="R24" s="273">
        <f>IFERROR(R20/M20-1,"")</f>
        <v>1.06750239181703</v>
      </c>
      <c r="S24" s="272">
        <f>IFERROR(S20/N20-1,"")</f>
        <v>0.367378384327537</v>
      </c>
      <c r="T24" s="272">
        <f>IFERROR(T20/O20-1,"")</f>
        <v>0.536948533103074</v>
      </c>
      <c r="U24" s="272">
        <f>IFERROR(U20/P20-1,"")</f>
        <v>0.433532534122915</v>
      </c>
      <c r="V24" s="272">
        <f>IFERROR(V20/Q20-1,"")</f>
        <v>0.143405433169729</v>
      </c>
      <c r="W24" s="273">
        <f>IFERROR(W20/R20-1,"")</f>
        <v>0.323815000942629</v>
      </c>
      <c r="X24" s="272">
        <f>IFERROR(X20/S20-1,"")</f>
        <v>0.255221310786976</v>
      </c>
      <c r="Y24" s="272">
        <f>IFERROR(Y20/T20-1,"")</f>
        <v>0.230093351711884</v>
      </c>
      <c r="Z24" s="272">
        <f>IFERROR(Z20/U20-1,"")</f>
        <v>0.207763175294866</v>
      </c>
      <c r="AA24" s="272">
        <f>IFERROR(AA20/V20-1,"")</f>
        <v>0.683508237770208</v>
      </c>
      <c r="AB24" s="273">
        <f>IFERROR(AB20/W20-1,"")</f>
        <v>0.386965221506651</v>
      </c>
      <c r="AC24" s="272">
        <f>IFERROR(AC20/X20-1,"")</f>
        <v>0.0696104069900356</v>
      </c>
      <c r="AD24" s="272">
        <f>IFERROR(AD20/Y20-1,"")</f>
        <v>0.0377856494192745</v>
      </c>
      <c r="AE24" s="272">
        <f>IFERROR(AE20/Z20-1,"")</f>
        <v>0.046304889621156</v>
      </c>
      <c r="AF24" s="272">
        <f>IFERROR(AF20/AA20-1,"")</f>
        <v>-0.0357164034550235</v>
      </c>
      <c r="AG24" s="273">
        <f>IFERROR(AG20/AB20-1,"")</f>
        <v>0.014545032141368</v>
      </c>
      <c r="AH24" s="273">
        <f>IFERROR(AH20/AC20-1,"")</f>
        <v>-0.137656718363091</v>
      </c>
      <c r="AI24" s="273">
        <f>IFERROR(AI20/AD20-1,"")</f>
        <v>-0.185933454102572</v>
      </c>
    </row>
    <row r="25"/>
    <row r="26" hidden="1" outlineLevel="1" customFormat="1" s="43">
      <c r="A26" s="36" t="n"/>
      <c r="B26" s="37" t="n"/>
      <c r="C26" s="45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</row>
    <row r="27" hidden="1" outlineLevel="1" customFormat="1" s="43">
      <c r="A27" s="36" t="n"/>
      <c r="B27" s="37" t="n"/>
      <c r="C27" s="45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</row>
    <row r="28" collapsed="1">
      <c r="C28" s="13" t="inlineStr">
        <is>
          <t>COGS (cash)</t>
        </is>
      </c>
      <c r="D28" s="46" t="n"/>
      <c r="E28" s="46" t="n"/>
      <c r="F28" s="46" t="n"/>
      <c r="G28" s="46" t="n"/>
      <c r="H28" s="12" t="n"/>
      <c r="I28" s="46">
        <f>'Inputs (2)'!D5</f>
        <v>0</v>
      </c>
      <c r="J28" s="46">
        <f>'Inputs (2)'!E5</f>
        <v>0</v>
      </c>
      <c r="K28" s="46">
        <f>'Inputs (2)'!F5</f>
        <v>0</v>
      </c>
      <c r="L28" s="46">
        <f>'Inputs (2)'!G5</f>
        <v>0</v>
      </c>
      <c r="M28" s="12">
        <f>'Inputs (2)'!H5</f>
        <v>0</v>
      </c>
      <c r="N28" s="46">
        <f>'Inputs (2)'!I5</f>
        <v>0</v>
      </c>
      <c r="O28" s="46">
        <f>'Inputs (2)'!J5</f>
        <v>0</v>
      </c>
      <c r="P28" s="46">
        <f>'Inputs (2)'!K5</f>
        <v>0</v>
      </c>
      <c r="Q28" s="46">
        <f>'Inputs (2)'!L5</f>
        <v>0</v>
      </c>
      <c r="R28" s="12">
        <f>'Inputs (2)'!M5</f>
        <v>0</v>
      </c>
      <c r="S28" s="46">
        <f>'Inputs (2)'!N5</f>
        <v>0</v>
      </c>
      <c r="T28" s="46">
        <f>'Inputs (2)'!O5</f>
        <v>0</v>
      </c>
      <c r="U28" s="46">
        <f>'Inputs (2)'!P5</f>
        <v>0</v>
      </c>
      <c r="V28" s="46">
        <f>'Inputs (2)'!Q5</f>
        <v>0</v>
      </c>
      <c r="W28" s="12">
        <f>'Inputs (2)'!R5</f>
        <v>0</v>
      </c>
      <c r="X28" s="46">
        <f>'Inputs (2)'!S5</f>
        <v>0</v>
      </c>
      <c r="Y28" s="46">
        <f>'Inputs (2)'!T5</f>
        <v>0</v>
      </c>
      <c r="Z28" s="46">
        <f>'Inputs (2)'!U5</f>
        <v>0</v>
      </c>
      <c r="AA28" s="46">
        <f>'Inputs (2)'!V5</f>
        <v>0</v>
      </c>
      <c r="AB28" s="12">
        <f>'Inputs (2)'!W5</f>
        <v>0</v>
      </c>
      <c r="AC28" s="46">
        <f>'Inputs (2)'!X5</f>
        <v>0</v>
      </c>
      <c r="AD28" s="46">
        <f>'Inputs (2)'!Y5</f>
        <v>0</v>
      </c>
      <c r="AE28" s="46">
        <f>'Inputs (2)'!Z5</f>
        <v>0</v>
      </c>
      <c r="AF28" s="46">
        <f>'Inputs (2)'!AA5</f>
        <v>0</v>
      </c>
      <c r="AG28" s="12">
        <f>'Inputs (2)'!AB5</f>
        <v>0</v>
      </c>
      <c r="AH28" s="12">
        <f>'Inputs (2)'!AC5</f>
        <v>0</v>
      </c>
      <c r="AI28" s="12">
        <f>'Inputs (2)'!AD5</f>
        <v>0</v>
      </c>
      <c r="AJ28" s="12">
        <f>-(1-AJ29)*AJ15</f>
        <v>0</v>
      </c>
      <c r="AK28" s="12">
        <f>-(1-AK29)*AK15</f>
        <v>0</v>
      </c>
      <c r="AL28" s="12">
        <f>SUM(AH28:AK28)</f>
        <v>0</v>
      </c>
      <c r="AM28" s="12">
        <f>-(1-AM29)*AM15</f>
        <v>0</v>
      </c>
      <c r="AN28" s="12">
        <f>-(1-AN29)*AN15</f>
        <v>0</v>
      </c>
      <c r="AO28" s="12">
        <f>-(1-AO29)*AO15</f>
        <v>0</v>
      </c>
      <c r="AP28" s="12">
        <f>-(1-AP29)*AP15</f>
        <v>0</v>
      </c>
      <c r="AQ28" s="12">
        <f>SUM(AM28:AP28)</f>
        <v>0</v>
      </c>
      <c r="AR28" s="12">
        <f>-(1-AR29)*AR15</f>
        <v>0</v>
      </c>
      <c r="AS28" s="12">
        <f>-(1-AS29)*AS15</f>
        <v>0</v>
      </c>
      <c r="AT28" s="12">
        <f>-(1-AT29)*AT15</f>
        <v>0</v>
      </c>
      <c r="AU28" s="12">
        <f>-(1-AU29)*AU15</f>
        <v>0</v>
      </c>
      <c r="AV28" s="12">
        <f>SUM(AR28:AU28)</f>
        <v>0</v>
      </c>
      <c r="AW28" s="12">
        <f>-(1-AW29)*AW15</f>
        <v>0</v>
      </c>
      <c r="AX28" s="12">
        <f>-(1-AX29)*AX15</f>
        <v>0</v>
      </c>
      <c r="AY28" s="12">
        <f>-(1-AY29)*AY15</f>
        <v>0</v>
      </c>
      <c r="AZ28" s="12">
        <f>-(1-AZ29)*AZ15</f>
        <v>0</v>
      </c>
      <c r="BA28" s="12">
        <f>SUM(AW28:AZ28)</f>
        <v>0</v>
      </c>
      <c r="BB28" s="12">
        <f>-(1-BB29)*BB15</f>
        <v>0</v>
      </c>
      <c r="BC28" s="12">
        <f>-(1-BC29)*BC15</f>
        <v>0</v>
      </c>
      <c r="BD28" s="12">
        <f>-(1-BD29)*BD15</f>
        <v>0</v>
      </c>
      <c r="BE28" s="12">
        <f>-(1-BE29)*BE15</f>
        <v>0</v>
      </c>
      <c r="BF28" s="12">
        <f>SUM(BB28:BE28)</f>
        <v>0</v>
      </c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2" t="n"/>
      <c r="CY28" s="12" t="n"/>
    </row>
    <row r="29" hidden="1" outlineLevel="1" customFormat="1" s="3">
      <c r="C29" s="47" t="inlineStr">
        <is>
          <t>% Gross Margin</t>
        </is>
      </c>
      <c r="D29" s="48" t="n"/>
      <c r="E29" s="48" t="n"/>
      <c r="F29" s="48" t="n"/>
      <c r="G29" s="48" t="n"/>
      <c r="H29" s="48" t="n"/>
      <c r="I29" s="48">
        <f>IFERROR((I15+I28)/I$15,"")</f>
        <v>1</v>
      </c>
      <c r="J29" s="48">
        <f>IFERROR((J15+J28)/J$15,"")</f>
        <v>1</v>
      </c>
      <c r="K29" s="48">
        <f>IFERROR((K15+K28)/K$15,"")</f>
        <v>1</v>
      </c>
      <c r="L29" s="48">
        <f>IFERROR((L15+L28)/L$15,"")</f>
        <v>1</v>
      </c>
      <c r="M29" s="48">
        <f>IFERROR((M15+M28)/M$15,"")</f>
        <v>1</v>
      </c>
      <c r="N29" s="48">
        <f>IFERROR((N15+N28)/N$15,"")</f>
        <v>1</v>
      </c>
      <c r="O29" s="48">
        <f>IFERROR((O15+O28)/O$15,"")</f>
        <v>1</v>
      </c>
      <c r="P29" s="48">
        <f>IFERROR((P15+P28)/P$15,"")</f>
        <v>1</v>
      </c>
      <c r="Q29" s="48">
        <f>IFERROR((Q15+Q28)/Q$15,"")</f>
        <v>1</v>
      </c>
      <c r="R29" s="48">
        <f>IFERROR((R15+R28)/R$15,"")</f>
        <v>1</v>
      </c>
      <c r="S29" s="48">
        <f>IFERROR((S15+S28)/S$15,"")</f>
        <v>1</v>
      </c>
      <c r="T29" s="48">
        <f>IFERROR((T15+T28)/T$15,"")</f>
        <v>1</v>
      </c>
      <c r="U29" s="48">
        <f>IFERROR((U15+U28)/U$15,"")</f>
        <v>1</v>
      </c>
      <c r="V29" s="48">
        <f>IFERROR((V15+V28)/V$15,"")</f>
        <v>1</v>
      </c>
      <c r="W29" s="48">
        <f>IFERROR((W15+W28)/W$15,"")</f>
        <v>1</v>
      </c>
      <c r="X29" s="48">
        <f>IFERROR((X15+X28)/X$15,"")</f>
        <v>1</v>
      </c>
      <c r="Y29" s="48">
        <f>IFERROR((Y15+Y28)/Y$15,"")</f>
        <v>1</v>
      </c>
      <c r="Z29" s="48">
        <f>IFERROR((Z15+Z28)/Z$15,"")</f>
        <v>1</v>
      </c>
      <c r="AA29" s="48">
        <f>IFERROR((AA15+AA28)/AA$15,"")</f>
        <v>1</v>
      </c>
      <c r="AB29" s="48">
        <f>IFERROR((AB15+AB28)/AB$15,"")</f>
        <v>1</v>
      </c>
      <c r="AC29" s="48">
        <f>IFERROR((AC15+AC28)/AC$15,"")</f>
        <v>1</v>
      </c>
      <c r="AD29" s="48">
        <f>IFERROR((AD15+AD28)/AD$15,"")</f>
        <v>1</v>
      </c>
      <c r="AE29" s="48">
        <f>IFERROR((AE15+AE28)/AE$15,"")</f>
        <v>1</v>
      </c>
      <c r="AF29" s="41">
        <f>IFERROR((AF15+AF28)/AF$15,"")</f>
        <v>1</v>
      </c>
      <c r="AG29" s="48">
        <f>IFERROR((AG15+AG28)/AG$15,"")</f>
        <v>1</v>
      </c>
      <c r="AH29" s="49">
        <f>IFERROR((AH15+AH28)/AH$15,"")</f>
        <v>1</v>
      </c>
      <c r="AI29" s="49">
        <f>IFERROR((AI15+AI28)/AI$15,"")</f>
        <v>1</v>
      </c>
      <c r="AJ29" s="49">
        <f>Control!$B$19</f>
        <v>1</v>
      </c>
      <c r="AK29" s="49">
        <f>Control!$B$19</f>
        <v>1</v>
      </c>
      <c r="AL29" s="48">
        <f>IFERROR((AL15+AL28)/AL$15,"")</f>
        <v>1</v>
      </c>
      <c r="AM29" s="49">
        <f>Control!$C$19</f>
        <v>1</v>
      </c>
      <c r="AN29" s="49">
        <f>Control!$C$19</f>
        <v>1</v>
      </c>
      <c r="AO29" s="49">
        <f>Control!$C$19</f>
        <v>1</v>
      </c>
      <c r="AP29" s="49">
        <f>Control!$C$19</f>
        <v>1</v>
      </c>
      <c r="AQ29" s="48">
        <f>IFERROR((AQ15+AQ28)/AQ$15,"")</f>
        <v>1</v>
      </c>
      <c r="AR29" s="49">
        <f>Control!$D$19</f>
        <v>1</v>
      </c>
      <c r="AS29" s="49">
        <f>Control!$D$19</f>
        <v>1</v>
      </c>
      <c r="AT29" s="49">
        <f>Control!$D$19</f>
        <v>1</v>
      </c>
      <c r="AU29" s="49">
        <f>Control!$D$19</f>
        <v>1</v>
      </c>
      <c r="AV29" s="48">
        <f>IFERROR((AV15+AV28)/AV$15,"")</f>
        <v>1</v>
      </c>
      <c r="AW29" s="49">
        <f>Control!$E$19</f>
        <v>1</v>
      </c>
      <c r="AX29" s="49">
        <f>Control!$E$19</f>
        <v>1</v>
      </c>
      <c r="AY29" s="49">
        <f>Control!$E$19</f>
        <v>1</v>
      </c>
      <c r="AZ29" s="49">
        <f>Control!$E$19</f>
        <v>1</v>
      </c>
      <c r="BA29" s="48">
        <f>IFERROR((BA15+BA28)/BA$15,"")</f>
        <v>1</v>
      </c>
      <c r="BB29" s="49">
        <f>Control!$F$19</f>
        <v>1</v>
      </c>
      <c r="BC29" s="49">
        <f>Control!$F$19</f>
        <v>1</v>
      </c>
      <c r="BD29" s="49">
        <f>Control!$F$19</f>
        <v>1</v>
      </c>
      <c r="BE29" s="49">
        <f>Control!$F$19</f>
        <v>1</v>
      </c>
      <c r="BF29" s="48">
        <f>IFERROR((BF15+BF28)/BF$15,"")</f>
        <v>1</v>
      </c>
      <c r="BG29" s="49" t="n"/>
      <c r="BH29" s="49" t="n"/>
      <c r="BI29" s="49" t="n"/>
      <c r="BJ29" s="49" t="n"/>
      <c r="BK29" s="48" t="n"/>
      <c r="BL29" s="49" t="n"/>
      <c r="BM29" s="49" t="n"/>
      <c r="BN29" s="49" t="n"/>
      <c r="BO29" s="49" t="n"/>
      <c r="BP29" s="48" t="n"/>
      <c r="BQ29" s="49" t="n"/>
      <c r="BR29" s="49" t="n"/>
      <c r="BS29" s="49" t="n"/>
      <c r="BT29" s="49" t="n"/>
      <c r="BU29" s="48" t="n"/>
      <c r="BV29" s="49" t="n"/>
      <c r="BW29" s="49" t="n"/>
      <c r="BX29" s="49" t="n"/>
      <c r="BY29" s="49" t="n"/>
      <c r="BZ29" s="48" t="n"/>
      <c r="CA29" s="49" t="n"/>
      <c r="CB29" s="49" t="n"/>
      <c r="CC29" s="49" t="n"/>
      <c r="CD29" s="49" t="n"/>
      <c r="CE29" s="48" t="n"/>
      <c r="CF29" s="49" t="n"/>
      <c r="CG29" s="49" t="n"/>
      <c r="CH29" s="49" t="n"/>
      <c r="CI29" s="49" t="n"/>
      <c r="CJ29" s="48" t="n"/>
      <c r="CK29" s="49" t="n"/>
      <c r="CL29" s="49" t="n"/>
      <c r="CM29" s="49" t="n"/>
      <c r="CN29" s="49" t="n"/>
      <c r="CO29" s="48" t="n"/>
      <c r="CP29" s="49" t="n"/>
      <c r="CQ29" s="49" t="n"/>
      <c r="CR29" s="49" t="n"/>
      <c r="CS29" s="49" t="n"/>
      <c r="CT29" s="48" t="n"/>
      <c r="CU29" s="49" t="n"/>
      <c r="CV29" s="49" t="n"/>
      <c r="CW29" s="49" t="n"/>
      <c r="CX29" s="49" t="n"/>
      <c r="CY29" s="48" t="n"/>
    </row>
    <row r="30" hidden="1" outlineLevel="1"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50" t="n"/>
      <c r="AI30" s="50" t="n"/>
      <c r="AJ30" s="50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  <c r="AT30" s="50" t="n"/>
      <c r="AU30" s="50" t="n"/>
      <c r="AV30" s="50" t="n"/>
      <c r="AW30" s="50" t="n"/>
      <c r="AX30" s="50" t="n"/>
      <c r="AY30" s="50" t="n"/>
      <c r="AZ30" s="50" t="n"/>
      <c r="BA30" s="50" t="n"/>
      <c r="BB30" s="50" t="n"/>
      <c r="BC30" s="50" t="n"/>
      <c r="BD30" s="50" t="n"/>
      <c r="BE30" s="50" t="n"/>
      <c r="BF30" s="50" t="n"/>
      <c r="BG30" s="50" t="n"/>
      <c r="BH30" s="50" t="n"/>
      <c r="BI30" s="50" t="n"/>
      <c r="BJ30" s="50" t="n"/>
      <c r="BK30" s="50" t="n"/>
      <c r="BL30" s="50" t="n"/>
      <c r="BM30" s="50" t="n"/>
      <c r="BN30" s="50" t="n"/>
      <c r="BO30" s="50" t="n"/>
      <c r="BP30" s="50" t="n"/>
      <c r="BQ30" s="50" t="n"/>
      <c r="BR30" s="50" t="n"/>
      <c r="BS30" s="50" t="n"/>
      <c r="BT30" s="50" t="n"/>
      <c r="BU30" s="50" t="n"/>
      <c r="BV30" s="50" t="n"/>
      <c r="BW30" s="50" t="n"/>
      <c r="BX30" s="50" t="n"/>
      <c r="BY30" s="50" t="n"/>
      <c r="BZ30" s="50" t="n"/>
      <c r="CA30" s="50" t="n"/>
      <c r="CB30" s="50" t="n"/>
      <c r="CC30" s="50" t="n"/>
      <c r="CD30" s="50" t="n"/>
      <c r="CE30" s="50" t="n"/>
      <c r="CF30" s="50" t="n"/>
      <c r="CG30" s="50" t="n"/>
      <c r="CH30" s="50" t="n"/>
      <c r="CI30" s="50" t="n"/>
      <c r="CJ30" s="50" t="n"/>
      <c r="CK30" s="50" t="n"/>
      <c r="CL30" s="50" t="n"/>
      <c r="CM30" s="50" t="n"/>
      <c r="CN30" s="50" t="n"/>
      <c r="CO30" s="50" t="n"/>
      <c r="CP30" s="50" t="n"/>
      <c r="CQ30" s="50" t="n"/>
      <c r="CR30" s="50" t="n"/>
      <c r="CS30" s="50" t="n"/>
      <c r="CT30" s="50" t="n"/>
      <c r="CU30" s="50" t="n"/>
      <c r="CV30" s="50" t="n"/>
      <c r="CW30" s="50" t="n"/>
      <c r="CX30" s="50" t="n"/>
      <c r="CY30" s="50" t="n"/>
    </row>
    <row r="31" hidden="1" outlineLevel="1"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  <c r="AV31" s="50" t="n"/>
      <c r="AW31" s="50" t="n"/>
      <c r="AX31" s="50" t="n"/>
      <c r="AY31" s="50" t="n"/>
      <c r="AZ31" s="50" t="n"/>
      <c r="BA31" s="50" t="n"/>
      <c r="BB31" s="50" t="n"/>
      <c r="BC31" s="50" t="n"/>
      <c r="BD31" s="50" t="n"/>
      <c r="BE31" s="50" t="n"/>
      <c r="BF31" s="50" t="n"/>
      <c r="BG31" s="50" t="n"/>
      <c r="BH31" s="50" t="n"/>
      <c r="BI31" s="50" t="n"/>
      <c r="BJ31" s="50" t="n"/>
      <c r="BK31" s="50" t="n"/>
      <c r="BL31" s="50" t="n"/>
      <c r="BM31" s="50" t="n"/>
      <c r="BN31" s="50" t="n"/>
      <c r="BO31" s="50" t="n"/>
      <c r="BP31" s="50" t="n"/>
      <c r="BQ31" s="50" t="n"/>
      <c r="BR31" s="50" t="n"/>
      <c r="BS31" s="50" t="n"/>
      <c r="BT31" s="50" t="n"/>
      <c r="BU31" s="50" t="n"/>
      <c r="BV31" s="50" t="n"/>
      <c r="BW31" s="50" t="n"/>
      <c r="BX31" s="50" t="n"/>
      <c r="BY31" s="50" t="n"/>
      <c r="BZ31" s="50" t="n"/>
      <c r="CA31" s="50" t="n"/>
      <c r="CB31" s="50" t="n"/>
      <c r="CC31" s="50" t="n"/>
      <c r="CD31" s="50" t="n"/>
      <c r="CE31" s="50" t="n"/>
      <c r="CF31" s="50" t="n"/>
      <c r="CG31" s="50" t="n"/>
      <c r="CH31" s="50" t="n"/>
      <c r="CI31" s="50" t="n"/>
      <c r="CJ31" s="50" t="n"/>
      <c r="CK31" s="50" t="n"/>
      <c r="CL31" s="50" t="n"/>
      <c r="CM31" s="50" t="n"/>
      <c r="CN31" s="50" t="n"/>
      <c r="CO31" s="50" t="n"/>
      <c r="CP31" s="50" t="n"/>
      <c r="CQ31" s="50" t="n"/>
      <c r="CR31" s="50" t="n"/>
      <c r="CS31" s="50" t="n"/>
      <c r="CT31" s="50" t="n"/>
      <c r="CU31" s="50" t="n"/>
      <c r="CV31" s="50" t="n"/>
      <c r="CW31" s="50" t="n"/>
      <c r="CX31" s="50" t="n"/>
      <c r="CY31" s="50" t="n"/>
    </row>
    <row r="32" collapsed="1">
      <c r="C32" s="13" t="inlineStr">
        <is>
          <t>SG&amp;A and Other (cash)</t>
        </is>
      </c>
      <c r="D32" s="46" t="n"/>
      <c r="E32" s="46" t="n"/>
      <c r="F32" s="46" t="n"/>
      <c r="G32" s="46" t="n"/>
      <c r="H32" s="12" t="n"/>
      <c r="I32" s="46">
        <f>'Inputs (2)'!D6</f>
        <v>-1987.686</v>
      </c>
      <c r="J32" s="46">
        <f>'Inputs (2)'!E6</f>
        <v>-2209.308</v>
      </c>
      <c r="K32" s="46">
        <f>'Inputs (2)'!F6</f>
        <v>-2583.246</v>
      </c>
      <c r="L32" s="46">
        <f>'Inputs (2)'!G6</f>
        <v>-2423.234</v>
      </c>
      <c r="M32" s="12">
        <f>'Inputs (2)'!H6</f>
        <v>-9203.474</v>
      </c>
      <c r="N32" s="46">
        <f>'Inputs (2)'!I6</f>
        <v>-2111.577</v>
      </c>
      <c r="O32" s="46">
        <f>'Inputs (2)'!J6</f>
        <v>-655.771</v>
      </c>
      <c r="P32" s="46">
        <f>'Inputs (2)'!K6</f>
        <v>-865.954</v>
      </c>
      <c r="Q32" s="46">
        <f>'Inputs (2)'!L6</f>
        <v>-955.391</v>
      </c>
      <c r="R32" s="12">
        <f>'Inputs (2)'!M6</f>
        <v>-4588.693</v>
      </c>
      <c r="S32" s="46">
        <f>'Inputs (2)'!N6</f>
        <v>-1071.908</v>
      </c>
      <c r="T32" s="46">
        <f>'Inputs (2)'!O6</f>
        <v>-1358.114</v>
      </c>
      <c r="U32" s="46">
        <f>'Inputs (2)'!P6</f>
        <v>-1255.306</v>
      </c>
      <c r="V32" s="46">
        <f>'Inputs (2)'!Q6</f>
        <v>-823.836</v>
      </c>
      <c r="W32" s="12">
        <f>'Inputs (2)'!R6</f>
        <v>-4509.164</v>
      </c>
      <c r="X32" s="46">
        <f>'Inputs (2)'!S6</f>
        <v>-1673.223</v>
      </c>
      <c r="Y32" s="46">
        <f>'Inputs (2)'!T6</f>
        <v>-1515.09</v>
      </c>
      <c r="Z32" s="46">
        <f>'Inputs (2)'!U6</f>
        <v>-1775.759</v>
      </c>
      <c r="AA32" s="46">
        <f>'Inputs (2)'!V6</f>
        <v>-1375.564</v>
      </c>
      <c r="AB32" s="12">
        <f>'Inputs (2)'!W6</f>
        <v>-6339.636</v>
      </c>
      <c r="AC32" s="46">
        <f>'Inputs (2)'!X6</f>
        <v>-1767.342</v>
      </c>
      <c r="AD32" s="46">
        <f>'Inputs (2)'!Y6</f>
        <v>-1787.781</v>
      </c>
      <c r="AE32" s="46">
        <f>'Inputs (2)'!Z6</f>
        <v>-1615.399</v>
      </c>
      <c r="AF32" s="46">
        <f>'Inputs (2)'!AA6</f>
        <v>-1987.697</v>
      </c>
      <c r="AG32" s="12">
        <f>'Inputs (2)'!AB6</f>
        <v>-7158.219</v>
      </c>
      <c r="AH32" s="12">
        <f>'Inputs (2)'!AC6</f>
        <v>-2116.205</v>
      </c>
      <c r="AI32" s="12">
        <f>'Inputs (2)'!AD6</f>
        <v>-2221.589</v>
      </c>
      <c r="AJ32" s="12">
        <f>-AJ15*AJ33</f>
        <v>-1798.94852462524</v>
      </c>
      <c r="AK32" s="12">
        <f>-AK15*AK33</f>
        <v>-2539.60240733034</v>
      </c>
      <c r="AL32" s="12">
        <f>SUM(AH32:AK32)</f>
        <v>-8676.34493195557</v>
      </c>
      <c r="AM32" s="12">
        <f>-AM15*AM33</f>
        <v>-2107.03666439759</v>
      </c>
      <c r="AN32" s="12">
        <f>-AN15*AN33</f>
        <v>-2937.82100550637</v>
      </c>
      <c r="AO32" s="12">
        <f>-AO15*AO33</f>
        <v>-2079.47673624331</v>
      </c>
      <c r="AP32" s="12">
        <f>-AP15*AP33</f>
        <v>-2935.62825898596</v>
      </c>
      <c r="AQ32" s="12">
        <f>SUM(AM32:AP32)</f>
        <v>-10059.9626651332</v>
      </c>
      <c r="AR32" s="12">
        <f>-AR15*AR33</f>
        <v>-2425.0729878119</v>
      </c>
      <c r="AS32" s="12">
        <f>-AS15*AS33</f>
        <v>-3381.25599988874</v>
      </c>
      <c r="AT32" s="12">
        <f>-AT15*AT33</f>
        <v>-2393.35316136452</v>
      </c>
      <c r="AU32" s="12">
        <f>-AU15*AU33</f>
        <v>-3378.73227999074</v>
      </c>
      <c r="AV32" s="12">
        <f>SUM(AR32:AU32)</f>
        <v>-11578.4144290559</v>
      </c>
      <c r="AW32" s="12">
        <f>-AW15*AW33</f>
        <v>-2778.98838053359</v>
      </c>
      <c r="AX32" s="12">
        <f>-AX15*AX33</f>
        <v>-3874.71683636976</v>
      </c>
      <c r="AY32" s="12">
        <f>-AY15*AY33</f>
        <v>-2742.63935946378</v>
      </c>
      <c r="AZ32" s="12">
        <f>-AZ15*AZ33</f>
        <v>-3871.82480453917</v>
      </c>
      <c r="BA32" s="12">
        <f>SUM(AW32:AZ32)</f>
        <v>-13268.1693809063</v>
      </c>
      <c r="BB32" s="12">
        <f>-BB15*BB33</f>
        <v>-3170.65927892053</v>
      </c>
      <c r="BC32" s="12">
        <f>-BC15*BC33</f>
        <v>-4420.81981216002</v>
      </c>
      <c r="BD32" s="12">
        <f>-BD15*BD33</f>
        <v>-3129.18722321062</v>
      </c>
      <c r="BE32" s="12">
        <f>-BE15*BE33</f>
        <v>-4417.52017707596</v>
      </c>
      <c r="BF32" s="12">
        <f>SUM(BB32:BE32)</f>
        <v>-15138.1864913671</v>
      </c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2" t="n"/>
      <c r="CY32" s="12" t="n"/>
    </row>
    <row r="33" hidden="1" outlineLevel="1">
      <c r="C33" s="38" t="inlineStr">
        <is>
          <t>% SG&amp;A and Other Margin</t>
        </is>
      </c>
      <c r="D33" s="51" t="n"/>
      <c r="E33" s="51" t="n"/>
      <c r="F33" s="51" t="n"/>
      <c r="G33" s="51" t="n"/>
      <c r="H33" s="51" t="n"/>
      <c r="I33" s="51">
        <f>IFERROR(-(I32/I$15),"")</f>
        <v>0.375114930120977</v>
      </c>
      <c r="J33" s="51">
        <f>IFERROR(-(J32/J$15),"")</f>
        <v>0.417531694156165</v>
      </c>
      <c r="K33" s="51">
        <f>IFERROR(-(K32/K$15),"")</f>
        <v>0.415028280447571</v>
      </c>
      <c r="L33" s="51">
        <f>IFERROR(-(L32/L$15),"")</f>
        <v>0.420506374056273</v>
      </c>
      <c r="M33" s="51">
        <f>IFERROR(-(M32/M$15),"")</f>
        <v>0.407645553813972</v>
      </c>
      <c r="N33" s="51">
        <f>IFERROR(-(N32/N$15),"")</f>
        <v>0.411912146819916</v>
      </c>
      <c r="O33" s="51">
        <f>IFERROR(-(O32/O$15),"")</f>
        <v>1.04219668796287</v>
      </c>
      <c r="P33" s="51">
        <f>IFERROR(-(P32/P$15),"")</f>
        <v>0.818393859262802</v>
      </c>
      <c r="Q33" s="51">
        <f>IFERROR(-(Q32/Q$15),"")</f>
        <v>0.560656057096615</v>
      </c>
      <c r="R33" s="51">
        <f>IFERROR(-(R32/R$15),"")</f>
        <v>0.538726128603434</v>
      </c>
      <c r="S33" s="51">
        <f>IFERROR(-(S32/S$15),"")</f>
        <v>0.775707839880739</v>
      </c>
      <c r="T33" s="51">
        <f>IFERROR(-(T32/T$15),"")</f>
        <v>0.482509092472318</v>
      </c>
      <c r="U33" s="51">
        <f>IFERROR(-(U32/U$15),"")</f>
        <v>0.493965060982928</v>
      </c>
      <c r="V33" s="51">
        <f>IFERROR(-(V32/V$15),"")</f>
        <v>0.64110753140029</v>
      </c>
      <c r="W33" s="51">
        <f>IFERROR(-(W32/W$15),"")</f>
        <v>0.562040803251616</v>
      </c>
      <c r="X33" s="51">
        <f>IFERROR(-(X32/X$15),"")</f>
        <v>0.453715032262893</v>
      </c>
      <c r="Y33" s="51">
        <f>IFERROR(-(Y32/Y$15),"")</f>
        <v>0.541803852908456</v>
      </c>
      <c r="Z33" s="51">
        <f>IFERROR(-(Z32/Z$15),"")</f>
        <v>0.484757018055828</v>
      </c>
      <c r="AA33" s="51">
        <f>IFERROR(-(AA32/AA$15),"")</f>
        <v>0.446240063064364</v>
      </c>
      <c r="AB33" s="51">
        <f>IFERROR(-(AB32/AB$15),"")</f>
        <v>0.479187553590455</v>
      </c>
      <c r="AC33" s="51">
        <f>IFERROR(-(AC32/AC$15),"")</f>
        <v>0.537274529724958</v>
      </c>
      <c r="AD33" s="51">
        <f>IFERROR(-(AD32/AD$15),"")</f>
        <v>0.481635011719066</v>
      </c>
      <c r="AE33" s="51">
        <f>IFERROR(-(AE32/AE$15),"")</f>
        <v>0.523013888012018</v>
      </c>
      <c r="AF33" s="41">
        <f>IFERROR(-(AF32/AF$15),"")</f>
        <v>0.455865368032086</v>
      </c>
      <c r="AG33" s="51">
        <f>IFERROR(-(AG32/AG$15),"")</f>
        <v>0.495369392879646</v>
      </c>
      <c r="AH33" s="52">
        <f>IFERROR(-(AH32/AH$15),"")</f>
        <v>0.584975653714692</v>
      </c>
      <c r="AI33" s="52">
        <f>IFERROR(-(AI32/AI$15),"")</f>
        <v>0.440443832229244</v>
      </c>
      <c r="AJ33" s="52">
        <f>Control!$B$20</f>
        <v>0.503868047238677</v>
      </c>
      <c r="AK33" s="52">
        <f>Control!$B$20</f>
        <v>0.503868047238677</v>
      </c>
      <c r="AL33" s="51">
        <f>IFERROR(-(AL32/AL$15),"")</f>
        <v>0.502334016644363</v>
      </c>
      <c r="AM33" s="52">
        <f>Control!$C$20</f>
        <v>0.503868047238677</v>
      </c>
      <c r="AN33" s="52">
        <f>Control!$C$20</f>
        <v>0.503868047238677</v>
      </c>
      <c r="AO33" s="52">
        <f>Control!$C$20</f>
        <v>0.503868047238677</v>
      </c>
      <c r="AP33" s="52">
        <f>Control!$C$20</f>
        <v>0.503868047238677</v>
      </c>
      <c r="AQ33" s="51">
        <f>IFERROR(-(AQ32/AQ$15),"")</f>
        <v>0.503868047238677</v>
      </c>
      <c r="AR33" s="52">
        <f>Control!$D$20</f>
        <v>0.503868047238677</v>
      </c>
      <c r="AS33" s="52">
        <f>Control!$D$20</f>
        <v>0.503868047238677</v>
      </c>
      <c r="AT33" s="52">
        <f>Control!$D$20</f>
        <v>0.503868047238677</v>
      </c>
      <c r="AU33" s="52">
        <f>Control!$D$20</f>
        <v>0.503868047238677</v>
      </c>
      <c r="AV33" s="51">
        <f>IFERROR(-(AV32/AV$15),"")</f>
        <v>0.503868047238677</v>
      </c>
      <c r="AW33" s="52">
        <f>Control!$E$20</f>
        <v>0.503868047238677</v>
      </c>
      <c r="AX33" s="52">
        <f>Control!$E$20</f>
        <v>0.503868047238677</v>
      </c>
      <c r="AY33" s="52">
        <f>Control!$E$20</f>
        <v>0.503868047238677</v>
      </c>
      <c r="AZ33" s="52">
        <f>Control!$E$20</f>
        <v>0.503868047238677</v>
      </c>
      <c r="BA33" s="51">
        <f>IFERROR(-(BA32/BA$15),"")</f>
        <v>0.503868047238677</v>
      </c>
      <c r="BB33" s="52">
        <f>Control!$F$20</f>
        <v>0.503868047238677</v>
      </c>
      <c r="BC33" s="52">
        <f>Control!$F$20</f>
        <v>0.503868047238677</v>
      </c>
      <c r="BD33" s="52">
        <f>Control!$F$20</f>
        <v>0.503868047238677</v>
      </c>
      <c r="BE33" s="52">
        <f>Control!$F$20</f>
        <v>0.503868047238677</v>
      </c>
      <c r="BF33" s="51">
        <f>IFERROR(-(BF32/BF$15),"")</f>
        <v>0.503868047238677</v>
      </c>
      <c r="BG33" s="52" t="n"/>
      <c r="BH33" s="52" t="n"/>
      <c r="BI33" s="52" t="n"/>
      <c r="BJ33" s="52" t="n"/>
      <c r="BK33" s="51" t="n"/>
      <c r="BL33" s="52" t="n"/>
      <c r="BM33" s="52" t="n"/>
      <c r="BN33" s="52" t="n"/>
      <c r="BO33" s="52" t="n"/>
      <c r="BP33" s="51" t="n"/>
      <c r="BQ33" s="52" t="n"/>
      <c r="BR33" s="52" t="n"/>
      <c r="BS33" s="52" t="n"/>
      <c r="BT33" s="52" t="n"/>
      <c r="BU33" s="51" t="n"/>
      <c r="BV33" s="52" t="n"/>
      <c r="BW33" s="52" t="n"/>
      <c r="BX33" s="52" t="n"/>
      <c r="BY33" s="52" t="n"/>
      <c r="BZ33" s="51" t="n"/>
      <c r="CA33" s="52" t="n"/>
      <c r="CB33" s="52" t="n"/>
      <c r="CC33" s="52" t="n"/>
      <c r="CD33" s="52" t="n"/>
      <c r="CE33" s="51" t="n"/>
      <c r="CF33" s="52" t="n"/>
      <c r="CG33" s="52" t="n"/>
      <c r="CH33" s="52" t="n"/>
      <c r="CI33" s="52" t="n"/>
      <c r="CJ33" s="51" t="n"/>
      <c r="CK33" s="52" t="n"/>
      <c r="CL33" s="52" t="n"/>
      <c r="CM33" s="52" t="n"/>
      <c r="CN33" s="52" t="n"/>
      <c r="CO33" s="51" t="n"/>
      <c r="CP33" s="52" t="n"/>
      <c r="CQ33" s="52" t="n"/>
      <c r="CR33" s="52" t="n"/>
      <c r="CS33" s="52" t="n"/>
      <c r="CT33" s="51" t="n"/>
      <c r="CU33" s="52" t="n"/>
      <c r="CV33" s="52" t="n"/>
      <c r="CW33" s="52" t="n"/>
      <c r="CX33" s="52" t="n"/>
      <c r="CY33" s="51" t="n"/>
    </row>
    <row r="34" hidden="1" outlineLevel="1"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  <c r="AT34" s="50" t="n"/>
      <c r="AU34" s="50" t="n"/>
      <c r="AV34" s="50" t="n"/>
      <c r="AW34" s="50" t="n"/>
      <c r="AX34" s="50" t="n"/>
      <c r="AY34" s="50" t="n"/>
      <c r="AZ34" s="50" t="n"/>
      <c r="BA34" s="50" t="n"/>
      <c r="BB34" s="50" t="n"/>
      <c r="BC34" s="50" t="n"/>
      <c r="BD34" s="50" t="n"/>
      <c r="BE34" s="50" t="n"/>
      <c r="BF34" s="50" t="n"/>
      <c r="BG34" s="50" t="n"/>
      <c r="BH34" s="50" t="n"/>
      <c r="BI34" s="50" t="n"/>
      <c r="BJ34" s="50" t="n"/>
      <c r="BK34" s="50" t="n"/>
      <c r="BL34" s="50" t="n"/>
      <c r="BM34" s="50" t="n"/>
      <c r="BN34" s="50" t="n"/>
      <c r="BO34" s="50" t="n"/>
      <c r="BP34" s="50" t="n"/>
      <c r="BQ34" s="50" t="n"/>
      <c r="BR34" s="50" t="n"/>
      <c r="BS34" s="50" t="n"/>
      <c r="BT34" s="50" t="n"/>
      <c r="BU34" s="50" t="n"/>
      <c r="BV34" s="50" t="n"/>
      <c r="BW34" s="50" t="n"/>
      <c r="BX34" s="50" t="n"/>
      <c r="BY34" s="50" t="n"/>
      <c r="BZ34" s="50" t="n"/>
      <c r="CA34" s="50" t="n"/>
      <c r="CB34" s="50" t="n"/>
      <c r="CC34" s="50" t="n"/>
      <c r="CD34" s="50" t="n"/>
      <c r="CE34" s="50" t="n"/>
      <c r="CF34" s="50" t="n"/>
      <c r="CG34" s="50" t="n"/>
      <c r="CH34" s="50" t="n"/>
      <c r="CI34" s="50" t="n"/>
      <c r="CJ34" s="50" t="n"/>
      <c r="CK34" s="50" t="n"/>
      <c r="CL34" s="50" t="n"/>
      <c r="CM34" s="50" t="n"/>
      <c r="CN34" s="50" t="n"/>
      <c r="CO34" s="50" t="n"/>
      <c r="CP34" s="50" t="n"/>
      <c r="CQ34" s="50" t="n"/>
      <c r="CR34" s="50" t="n"/>
      <c r="CS34" s="50" t="n"/>
      <c r="CT34" s="50" t="n"/>
      <c r="CU34" s="50" t="n"/>
      <c r="CV34" s="50" t="n"/>
      <c r="CW34" s="50" t="n"/>
      <c r="CX34" s="50" t="n"/>
      <c r="CY34" s="50" t="n"/>
    </row>
    <row r="35" hidden="1" outlineLevel="1">
      <c r="C35" s="50" t="inlineStr">
        <is>
          <t>Com Vendas</t>
        </is>
      </c>
      <c r="D35" s="11" t="n"/>
      <c r="E35" s="11" t="n"/>
      <c r="F35" s="11" t="n"/>
      <c r="G35" s="11" t="n"/>
      <c r="H35" s="50" t="n"/>
      <c r="I35" s="11" t="n"/>
      <c r="J35" s="11" t="n"/>
      <c r="K35" s="11" t="n"/>
      <c r="L35" s="11" t="n"/>
      <c r="M35" s="50" t="n"/>
      <c r="N35" s="11" t="n"/>
      <c r="O35" s="11" t="n"/>
      <c r="P35" s="11" t="n"/>
      <c r="Q35" s="11" t="n"/>
      <c r="R35" s="50" t="n"/>
      <c r="S35" s="11" t="n"/>
      <c r="T35" s="11" t="n"/>
      <c r="U35" s="11" t="n"/>
      <c r="V35" s="11" t="n"/>
      <c r="W35" s="50" t="n"/>
      <c r="X35" s="11" t="n"/>
      <c r="Y35" s="11" t="n"/>
      <c r="Z35" s="11" t="n"/>
      <c r="AA35" s="11" t="n"/>
      <c r="AB35" s="50" t="n"/>
      <c r="AC35" s="11" t="n"/>
      <c r="AD35" s="11" t="n"/>
      <c r="AE35" s="11" t="n"/>
      <c r="AF35" s="11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  <c r="AV35" s="50" t="n"/>
      <c r="AW35" s="50" t="n"/>
      <c r="AX35" s="50" t="n"/>
      <c r="AY35" s="50" t="n"/>
      <c r="AZ35" s="50" t="n"/>
      <c r="BA35" s="50" t="n"/>
      <c r="BB35" s="50" t="n"/>
      <c r="BC35" s="50" t="n"/>
      <c r="BD35" s="50" t="n"/>
      <c r="BE35" s="50" t="n"/>
      <c r="BF35" s="50" t="n"/>
      <c r="BG35" s="50" t="n"/>
      <c r="BH35" s="50" t="n"/>
      <c r="BI35" s="50" t="n"/>
      <c r="BJ35" s="50" t="n"/>
      <c r="BK35" s="50" t="n"/>
      <c r="BL35" s="50" t="n"/>
      <c r="BM35" s="50" t="n"/>
      <c r="BN35" s="50" t="n"/>
      <c r="BO35" s="50" t="n"/>
      <c r="BP35" s="50" t="n"/>
      <c r="BQ35" s="50" t="n"/>
      <c r="BR35" s="50" t="n"/>
      <c r="BS35" s="50" t="n"/>
      <c r="BT35" s="50" t="n"/>
      <c r="BU35" s="50" t="n"/>
      <c r="BV35" s="50" t="n"/>
      <c r="BW35" s="50" t="n"/>
      <c r="BX35" s="50" t="n"/>
      <c r="BY35" s="50" t="n"/>
      <c r="BZ35" s="50" t="n"/>
      <c r="CA35" s="50" t="n"/>
      <c r="CB35" s="50" t="n"/>
      <c r="CC35" s="50" t="n"/>
      <c r="CD35" s="50" t="n"/>
      <c r="CE35" s="50" t="n"/>
      <c r="CF35" s="50" t="n"/>
      <c r="CG35" s="50" t="n"/>
      <c r="CH35" s="50" t="n"/>
      <c r="CI35" s="50" t="n"/>
      <c r="CJ35" s="50" t="n"/>
      <c r="CK35" s="50" t="n"/>
      <c r="CL35" s="50" t="n"/>
      <c r="CM35" s="50" t="n"/>
      <c r="CN35" s="50" t="n"/>
      <c r="CO35" s="50" t="n"/>
      <c r="CP35" s="50" t="n"/>
      <c r="CQ35" s="50" t="n"/>
      <c r="CR35" s="50" t="n"/>
      <c r="CS35" s="50" t="n"/>
      <c r="CT35" s="50" t="n"/>
      <c r="CU35" s="50" t="n"/>
      <c r="CV35" s="50" t="n"/>
      <c r="CW35" s="50" t="n"/>
      <c r="CX35" s="50" t="n"/>
      <c r="CY35" s="50" t="n"/>
    </row>
    <row r="36" hidden="1" outlineLevel="1">
      <c r="C36" s="50" t="inlineStr">
        <is>
          <t>Gerais &amp; Administrativas</t>
        </is>
      </c>
      <c r="D36" s="11" t="n"/>
      <c r="E36" s="11" t="n"/>
      <c r="F36" s="11" t="n"/>
      <c r="G36" s="11" t="n"/>
      <c r="H36" s="50" t="n"/>
      <c r="I36" s="11" t="n"/>
      <c r="J36" s="11" t="n"/>
      <c r="K36" s="11" t="n"/>
      <c r="L36" s="11" t="n"/>
      <c r="M36" s="50" t="n"/>
      <c r="N36" s="11" t="n"/>
      <c r="O36" s="11" t="n"/>
      <c r="P36" s="11" t="n"/>
      <c r="Q36" s="11" t="n"/>
      <c r="R36" s="50" t="n"/>
      <c r="S36" s="11" t="n"/>
      <c r="T36" s="11" t="n"/>
      <c r="U36" s="11" t="n"/>
      <c r="V36" s="11" t="n"/>
      <c r="W36" s="50" t="n"/>
      <c r="X36" s="11" t="n"/>
      <c r="Y36" s="11" t="n"/>
      <c r="Z36" s="11" t="n"/>
      <c r="AA36" s="11" t="n"/>
      <c r="AB36" s="50" t="n"/>
      <c r="AC36" s="11" t="n"/>
      <c r="AD36" s="11" t="n"/>
      <c r="AE36" s="11" t="n"/>
      <c r="AF36" s="11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  <c r="AT36" s="50" t="n"/>
      <c r="AU36" s="50" t="n"/>
      <c r="AV36" s="50" t="n"/>
      <c r="AW36" s="50" t="n"/>
      <c r="AX36" s="50" t="n"/>
      <c r="AY36" s="50" t="n"/>
      <c r="AZ36" s="50" t="n"/>
      <c r="BA36" s="50" t="n"/>
      <c r="BB36" s="50" t="n"/>
      <c r="BC36" s="50" t="n"/>
      <c r="BD36" s="50" t="n"/>
      <c r="BE36" s="50" t="n"/>
      <c r="BF36" s="50" t="n"/>
      <c r="BG36" s="50" t="n"/>
      <c r="BH36" s="50" t="n"/>
      <c r="BI36" s="50" t="n"/>
      <c r="BJ36" s="50" t="n"/>
      <c r="BK36" s="50" t="n"/>
      <c r="BL36" s="50" t="n"/>
      <c r="BM36" s="50" t="n"/>
      <c r="BN36" s="50" t="n"/>
      <c r="BO36" s="50" t="n"/>
      <c r="BP36" s="50" t="n"/>
      <c r="BQ36" s="50" t="n"/>
      <c r="BR36" s="50" t="n"/>
      <c r="BS36" s="50" t="n"/>
      <c r="BT36" s="50" t="n"/>
      <c r="BU36" s="50" t="n"/>
      <c r="BV36" s="50" t="n"/>
      <c r="BW36" s="50" t="n"/>
      <c r="BX36" s="50" t="n"/>
      <c r="BY36" s="50" t="n"/>
      <c r="BZ36" s="50" t="n"/>
      <c r="CA36" s="50" t="n"/>
      <c r="CB36" s="50" t="n"/>
      <c r="CC36" s="50" t="n"/>
      <c r="CD36" s="50" t="n"/>
      <c r="CE36" s="50" t="n"/>
      <c r="CF36" s="50" t="n"/>
      <c r="CG36" s="50" t="n"/>
      <c r="CH36" s="50" t="n"/>
      <c r="CI36" s="50" t="n"/>
      <c r="CJ36" s="50" t="n"/>
      <c r="CK36" s="50" t="n"/>
      <c r="CL36" s="50" t="n"/>
      <c r="CM36" s="50" t="n"/>
      <c r="CN36" s="50" t="n"/>
      <c r="CO36" s="50" t="n"/>
      <c r="CP36" s="50" t="n"/>
      <c r="CQ36" s="50" t="n"/>
      <c r="CR36" s="50" t="n"/>
      <c r="CS36" s="50" t="n"/>
      <c r="CT36" s="50" t="n"/>
      <c r="CU36" s="50" t="n"/>
      <c r="CV36" s="50" t="n"/>
      <c r="CW36" s="50" t="n"/>
      <c r="CX36" s="50" t="n"/>
      <c r="CY36" s="50" t="n"/>
    </row>
    <row r="37" hidden="1" outlineLevel="1">
      <c r="C37" s="50" t="inlineStr">
        <is>
          <t>Outras Receitas (Despesas) Operacionais, Líquidas</t>
        </is>
      </c>
      <c r="D37" s="11" t="n"/>
      <c r="E37" s="11" t="n"/>
      <c r="F37" s="11" t="n"/>
      <c r="G37" s="11" t="n"/>
      <c r="H37" s="50" t="n"/>
      <c r="I37" s="11" t="n"/>
      <c r="J37" s="11" t="n"/>
      <c r="K37" s="11" t="n"/>
      <c r="L37" s="11" t="n"/>
      <c r="M37" s="50" t="n"/>
      <c r="N37" s="11" t="n"/>
      <c r="O37" s="11" t="n"/>
      <c r="P37" s="11" t="n"/>
      <c r="Q37" s="11" t="n"/>
      <c r="R37" s="50" t="n"/>
      <c r="S37" s="11" t="n"/>
      <c r="T37" s="11" t="n"/>
      <c r="U37" s="11" t="n"/>
      <c r="V37" s="11" t="n"/>
      <c r="W37" s="50" t="n"/>
      <c r="X37" s="11" t="n"/>
      <c r="Y37" s="11" t="n"/>
      <c r="Z37" s="11" t="n"/>
      <c r="AA37" s="11" t="n"/>
      <c r="AB37" s="50" t="n"/>
      <c r="AC37" s="11" t="n"/>
      <c r="AD37" s="11" t="n"/>
      <c r="AE37" s="11" t="n"/>
      <c r="AF37" s="11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  <c r="AV37" s="50" t="n"/>
      <c r="AW37" s="50" t="n"/>
      <c r="AX37" s="50" t="n"/>
      <c r="AY37" s="50" t="n"/>
      <c r="AZ37" s="50" t="n"/>
      <c r="BA37" s="50" t="n"/>
      <c r="BB37" s="50" t="n"/>
      <c r="BC37" s="50" t="n"/>
      <c r="BD37" s="50" t="n"/>
      <c r="BE37" s="50" t="n"/>
      <c r="BF37" s="50" t="n"/>
      <c r="BG37" s="50" t="n"/>
      <c r="BH37" s="50" t="n"/>
      <c r="BI37" s="50" t="n"/>
      <c r="BJ37" s="50" t="n"/>
      <c r="BK37" s="50" t="n"/>
      <c r="BL37" s="50" t="n"/>
      <c r="BM37" s="50" t="n"/>
      <c r="BN37" s="50" t="n"/>
      <c r="BO37" s="50" t="n"/>
      <c r="BP37" s="50" t="n"/>
      <c r="BQ37" s="50" t="n"/>
      <c r="BR37" s="50" t="n"/>
      <c r="BS37" s="50" t="n"/>
      <c r="BT37" s="50" t="n"/>
      <c r="BU37" s="50" t="n"/>
      <c r="BV37" s="50" t="n"/>
      <c r="BW37" s="50" t="n"/>
      <c r="BX37" s="50" t="n"/>
      <c r="BY37" s="50" t="n"/>
      <c r="BZ37" s="50" t="n"/>
      <c r="CA37" s="50" t="n"/>
      <c r="CB37" s="50" t="n"/>
      <c r="CC37" s="50" t="n"/>
      <c r="CD37" s="50" t="n"/>
      <c r="CE37" s="50" t="n"/>
      <c r="CF37" s="50" t="n"/>
      <c r="CG37" s="50" t="n"/>
      <c r="CH37" s="50" t="n"/>
      <c r="CI37" s="50" t="n"/>
      <c r="CJ37" s="50" t="n"/>
      <c r="CK37" s="50" t="n"/>
      <c r="CL37" s="50" t="n"/>
      <c r="CM37" s="50" t="n"/>
      <c r="CN37" s="50" t="n"/>
      <c r="CO37" s="50" t="n"/>
      <c r="CP37" s="50" t="n"/>
      <c r="CQ37" s="50" t="n"/>
      <c r="CR37" s="50" t="n"/>
      <c r="CS37" s="50" t="n"/>
      <c r="CT37" s="50" t="n"/>
      <c r="CU37" s="50" t="n"/>
      <c r="CV37" s="50" t="n"/>
      <c r="CW37" s="50" t="n"/>
      <c r="CX37" s="50" t="n"/>
      <c r="CY37" s="50" t="n"/>
    </row>
    <row r="38" hidden="1" outlineLevel="1"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  <c r="AT38" s="50" t="n"/>
      <c r="AU38" s="50" t="n"/>
      <c r="AV38" s="50" t="n"/>
      <c r="AW38" s="50" t="n"/>
      <c r="AX38" s="50" t="n"/>
      <c r="AY38" s="50" t="n"/>
      <c r="AZ38" s="50" t="n"/>
      <c r="BA38" s="50" t="n"/>
      <c r="BB38" s="50" t="n"/>
      <c r="BC38" s="50" t="n"/>
      <c r="BD38" s="50" t="n"/>
      <c r="BE38" s="50" t="n"/>
      <c r="BF38" s="50" t="n"/>
      <c r="BG38" s="50" t="n"/>
      <c r="BH38" s="50" t="n"/>
      <c r="BI38" s="50" t="n"/>
      <c r="BJ38" s="50" t="n"/>
      <c r="BK38" s="50" t="n"/>
      <c r="BL38" s="50" t="n"/>
      <c r="BM38" s="50" t="n"/>
      <c r="BN38" s="50" t="n"/>
      <c r="BO38" s="50" t="n"/>
      <c r="BP38" s="50" t="n"/>
      <c r="BQ38" s="50" t="n"/>
      <c r="BR38" s="50" t="n"/>
      <c r="BS38" s="50" t="n"/>
      <c r="BT38" s="50" t="n"/>
      <c r="BU38" s="50" t="n"/>
      <c r="BV38" s="50" t="n"/>
      <c r="BW38" s="50" t="n"/>
      <c r="BX38" s="50" t="n"/>
      <c r="BY38" s="50" t="n"/>
      <c r="BZ38" s="50" t="n"/>
      <c r="CA38" s="50" t="n"/>
      <c r="CB38" s="50" t="n"/>
      <c r="CC38" s="50" t="n"/>
      <c r="CD38" s="50" t="n"/>
      <c r="CE38" s="50" t="n"/>
      <c r="CF38" s="50" t="n"/>
      <c r="CG38" s="50" t="n"/>
      <c r="CH38" s="50" t="n"/>
      <c r="CI38" s="50" t="n"/>
      <c r="CJ38" s="50" t="n"/>
      <c r="CK38" s="50" t="n"/>
      <c r="CL38" s="50" t="n"/>
      <c r="CM38" s="50" t="n"/>
      <c r="CN38" s="50" t="n"/>
      <c r="CO38" s="50" t="n"/>
      <c r="CP38" s="50" t="n"/>
      <c r="CQ38" s="50" t="n"/>
      <c r="CR38" s="50" t="n"/>
      <c r="CS38" s="50" t="n"/>
      <c r="CT38" s="50" t="n"/>
      <c r="CU38" s="50" t="n"/>
      <c r="CV38" s="50" t="n"/>
      <c r="CW38" s="50" t="n"/>
      <c r="CX38" s="50" t="n"/>
      <c r="CY38" s="50" t="n"/>
    </row>
    <row r="39" hidden="1" outlineLevel="1">
      <c r="C39" s="50" t="inlineStr">
        <is>
          <t>Com Vendas (%)</t>
        </is>
      </c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  <c r="AV39" s="50" t="n"/>
      <c r="AW39" s="50" t="n"/>
      <c r="AX39" s="50" t="n"/>
      <c r="AY39" s="50" t="n"/>
      <c r="AZ39" s="50" t="n"/>
      <c r="BA39" s="50" t="n"/>
      <c r="BB39" s="50" t="n"/>
      <c r="BC39" s="50" t="n"/>
      <c r="BD39" s="50" t="n"/>
      <c r="BE39" s="50" t="n"/>
      <c r="BF39" s="50" t="n"/>
      <c r="BG39" s="50" t="n"/>
      <c r="BH39" s="50" t="n"/>
      <c r="BI39" s="50" t="n"/>
      <c r="BJ39" s="50" t="n"/>
      <c r="BK39" s="50" t="n"/>
      <c r="BL39" s="50" t="n"/>
      <c r="BM39" s="50" t="n"/>
      <c r="BN39" s="50" t="n"/>
      <c r="BO39" s="50" t="n"/>
      <c r="BP39" s="50" t="n"/>
      <c r="BQ39" s="50" t="n"/>
      <c r="BR39" s="50" t="n"/>
      <c r="BS39" s="50" t="n"/>
      <c r="BT39" s="50" t="n"/>
      <c r="BU39" s="50" t="n"/>
      <c r="BV39" s="50" t="n"/>
      <c r="BW39" s="50" t="n"/>
      <c r="BX39" s="50" t="n"/>
      <c r="BY39" s="50" t="n"/>
      <c r="BZ39" s="50" t="n"/>
      <c r="CA39" s="50" t="n"/>
      <c r="CB39" s="50" t="n"/>
      <c r="CC39" s="50" t="n"/>
      <c r="CD39" s="50" t="n"/>
      <c r="CE39" s="50" t="n"/>
      <c r="CF39" s="50" t="n"/>
      <c r="CG39" s="50" t="n"/>
      <c r="CH39" s="50" t="n"/>
      <c r="CI39" s="50" t="n"/>
      <c r="CJ39" s="50" t="n"/>
      <c r="CK39" s="50" t="n"/>
      <c r="CL39" s="50" t="n"/>
      <c r="CM39" s="50" t="n"/>
      <c r="CN39" s="50" t="n"/>
      <c r="CO39" s="50" t="n"/>
      <c r="CP39" s="50" t="n"/>
      <c r="CQ39" s="50" t="n"/>
      <c r="CR39" s="50" t="n"/>
      <c r="CS39" s="50" t="n"/>
      <c r="CT39" s="50" t="n"/>
      <c r="CU39" s="50" t="n"/>
      <c r="CV39" s="50" t="n"/>
      <c r="CW39" s="50" t="n"/>
      <c r="CX39" s="50" t="n"/>
      <c r="CY39" s="50" t="n"/>
    </row>
    <row r="40" hidden="1" outlineLevel="1">
      <c r="C40" s="50" t="inlineStr">
        <is>
          <t>Gerais &amp; Administrativas (%)</t>
        </is>
      </c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50" t="n"/>
      <c r="BE40" s="50" t="n"/>
      <c r="BF40" s="50" t="n"/>
      <c r="BG40" s="50" t="n"/>
      <c r="BH40" s="50" t="n"/>
      <c r="BI40" s="50" t="n"/>
      <c r="BJ40" s="50" t="n"/>
      <c r="BK40" s="50" t="n"/>
      <c r="BL40" s="50" t="n"/>
      <c r="BM40" s="50" t="n"/>
      <c r="BN40" s="50" t="n"/>
      <c r="BO40" s="50" t="n"/>
      <c r="BP40" s="50" t="n"/>
      <c r="BQ40" s="50" t="n"/>
      <c r="BR40" s="50" t="n"/>
      <c r="BS40" s="50" t="n"/>
      <c r="BT40" s="50" t="n"/>
      <c r="BU40" s="50" t="n"/>
      <c r="BV40" s="50" t="n"/>
      <c r="BW40" s="50" t="n"/>
      <c r="BX40" s="50" t="n"/>
      <c r="BY40" s="50" t="n"/>
      <c r="BZ40" s="50" t="n"/>
      <c r="CA40" s="50" t="n"/>
      <c r="CB40" s="50" t="n"/>
      <c r="CC40" s="50" t="n"/>
      <c r="CD40" s="50" t="n"/>
      <c r="CE40" s="50" t="n"/>
      <c r="CF40" s="50" t="n"/>
      <c r="CG40" s="50" t="n"/>
      <c r="CH40" s="50" t="n"/>
      <c r="CI40" s="50" t="n"/>
      <c r="CJ40" s="50" t="n"/>
      <c r="CK40" s="50" t="n"/>
      <c r="CL40" s="50" t="n"/>
      <c r="CM40" s="50" t="n"/>
      <c r="CN40" s="50" t="n"/>
      <c r="CO40" s="50" t="n"/>
      <c r="CP40" s="50" t="n"/>
      <c r="CQ40" s="50" t="n"/>
      <c r="CR40" s="50" t="n"/>
      <c r="CS40" s="50" t="n"/>
      <c r="CT40" s="50" t="n"/>
      <c r="CU40" s="50" t="n"/>
      <c r="CV40" s="50" t="n"/>
      <c r="CW40" s="50" t="n"/>
      <c r="CX40" s="50" t="n"/>
      <c r="CY40" s="50" t="n"/>
    </row>
    <row r="41" hidden="1" outlineLevel="1">
      <c r="C41" s="50" t="inlineStr">
        <is>
          <t>Outras Receitas (Despesas) Operacionais, Líquidas (%)</t>
        </is>
      </c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  <c r="AV41" s="50" t="n"/>
      <c r="AW41" s="50" t="n"/>
      <c r="AX41" s="50" t="n"/>
      <c r="AY41" s="50" t="n"/>
      <c r="AZ41" s="50" t="n"/>
      <c r="BA41" s="50" t="n"/>
      <c r="BB41" s="50" t="n"/>
      <c r="BC41" s="50" t="n"/>
      <c r="BD41" s="50" t="n"/>
      <c r="BE41" s="50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50" t="n"/>
      <c r="BP41" s="50" t="n"/>
      <c r="BQ41" s="50" t="n"/>
      <c r="BR41" s="50" t="n"/>
      <c r="BS41" s="50" t="n"/>
      <c r="BT41" s="50" t="n"/>
      <c r="BU41" s="50" t="n"/>
      <c r="BV41" s="50" t="n"/>
      <c r="BW41" s="50" t="n"/>
      <c r="BX41" s="50" t="n"/>
      <c r="BY41" s="50" t="n"/>
      <c r="BZ41" s="50" t="n"/>
      <c r="CA41" s="50" t="n"/>
      <c r="CB41" s="50" t="n"/>
      <c r="CC41" s="50" t="n"/>
      <c r="CD41" s="50" t="n"/>
      <c r="CE41" s="50" t="n"/>
      <c r="CF41" s="50" t="n"/>
      <c r="CG41" s="50" t="n"/>
      <c r="CH41" s="50" t="n"/>
      <c r="CI41" s="50" t="n"/>
      <c r="CJ41" s="50" t="n"/>
      <c r="CK41" s="50" t="n"/>
      <c r="CL41" s="50" t="n"/>
      <c r="CM41" s="50" t="n"/>
      <c r="CN41" s="50" t="n"/>
      <c r="CO41" s="50" t="n"/>
      <c r="CP41" s="50" t="n"/>
      <c r="CQ41" s="50" t="n"/>
      <c r="CR41" s="50" t="n"/>
      <c r="CS41" s="50" t="n"/>
      <c r="CT41" s="50" t="n"/>
      <c r="CU41" s="50" t="n"/>
      <c r="CV41" s="50" t="n"/>
      <c r="CW41" s="50" t="n"/>
      <c r="CX41" s="50" t="n"/>
      <c r="CY41" s="50" t="n"/>
    </row>
    <row r="42" hidden="1" outlineLevel="1"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50" t="n"/>
      <c r="BP42" s="50" t="n"/>
      <c r="BQ42" s="50" t="n"/>
      <c r="BR42" s="50" t="n"/>
      <c r="BS42" s="50" t="n"/>
      <c r="BT42" s="50" t="n"/>
      <c r="BU42" s="50" t="n"/>
      <c r="BV42" s="50" t="n"/>
      <c r="BW42" s="50" t="n"/>
      <c r="BX42" s="50" t="n"/>
      <c r="BY42" s="50" t="n"/>
      <c r="BZ42" s="50" t="n"/>
      <c r="CA42" s="50" t="n"/>
      <c r="CB42" s="50" t="n"/>
      <c r="CC42" s="50" t="n"/>
      <c r="CD42" s="50" t="n"/>
      <c r="CE42" s="50" t="n"/>
      <c r="CF42" s="50" t="n"/>
      <c r="CG42" s="50" t="n"/>
      <c r="CH42" s="50" t="n"/>
      <c r="CI42" s="50" t="n"/>
      <c r="CJ42" s="50" t="n"/>
      <c r="CK42" s="50" t="n"/>
      <c r="CL42" s="50" t="n"/>
      <c r="CM42" s="50" t="n"/>
      <c r="CN42" s="50" t="n"/>
      <c r="CO42" s="50" t="n"/>
      <c r="CP42" s="50" t="n"/>
      <c r="CQ42" s="50" t="n"/>
      <c r="CR42" s="50" t="n"/>
      <c r="CS42" s="50" t="n"/>
      <c r="CT42" s="50" t="n"/>
      <c r="CU42" s="50" t="n"/>
      <c r="CV42" s="50" t="n"/>
      <c r="CW42" s="50" t="n"/>
      <c r="CX42" s="50" t="n"/>
      <c r="CY42" s="50" t="n"/>
    </row>
    <row r="43" collapsed="1" customFormat="1" s="32">
      <c r="A43" s="30" t="n"/>
      <c r="B43" s="3" t="n"/>
      <c r="C43" s="33" t="inlineStr">
        <is>
          <t>EBITDA</t>
        </is>
      </c>
      <c r="D43" s="35" t="n"/>
      <c r="E43" s="35" t="n"/>
      <c r="F43" s="35" t="n"/>
      <c r="G43" s="35" t="n"/>
      <c r="H43" s="35" t="n"/>
      <c r="I43" s="35">
        <f>SUM(I15,I28,I32)</f>
        <v>3311.186</v>
      </c>
      <c r="J43" s="35">
        <f>SUM(J15,J28,J32)</f>
        <v>3082.046</v>
      </c>
      <c r="K43" s="35">
        <f>SUM(K15,K28,K32)</f>
        <v>3641.019</v>
      </c>
      <c r="L43" s="35">
        <f>SUM(L15,L28,L32)</f>
        <v>3339.423</v>
      </c>
      <c r="M43" s="35">
        <f>SUM(I43:L43)</f>
        <v>13373.674</v>
      </c>
      <c r="N43" s="35">
        <f>SUM(N15,N28,N32)</f>
        <v>3014.703</v>
      </c>
      <c r="O43" s="35">
        <f>SUM(O15,O28,O32)</f>
        <v>-26.5509999999999</v>
      </c>
      <c r="P43" s="35">
        <f>SUM(P15,P28,P32)</f>
        <v>192.16</v>
      </c>
      <c r="Q43" s="35">
        <f>SUM(Q15,Q28,Q32)</f>
        <v>748.668</v>
      </c>
      <c r="R43" s="35">
        <f>SUM(N43:Q43)</f>
        <v>3928.98</v>
      </c>
      <c r="S43" s="35">
        <f>SUM(S15,S28,S32)</f>
        <v>309.937</v>
      </c>
      <c r="T43" s="35">
        <f>SUM(T15,T28,T32)</f>
        <v>1456.577</v>
      </c>
      <c r="U43" s="35">
        <f>SUM(U15,U28,U32)</f>
        <v>1285.979</v>
      </c>
      <c r="V43" s="35">
        <f>SUM(V15,V28,V32)</f>
        <v>461.184</v>
      </c>
      <c r="W43" s="35">
        <f>SUM(S43:V43)</f>
        <v>3513.677</v>
      </c>
      <c r="X43" s="35">
        <f>SUM(X15,X28,X32)</f>
        <v>2014.605</v>
      </c>
      <c r="Y43" s="35">
        <f>SUM(Y15,Y28,Y32)</f>
        <v>1281.291</v>
      </c>
      <c r="Z43" s="35">
        <f>SUM(Z15,Z28,Z32)</f>
        <v>1887.435</v>
      </c>
      <c r="AA43" s="35">
        <f>SUM(AA15,AA28,AA32)</f>
        <v>1707.001</v>
      </c>
      <c r="AB43" s="35">
        <f>SUM(X43:AA43)</f>
        <v>6890.332</v>
      </c>
      <c r="AC43" s="35">
        <f>SUM(AC15,AC28,AC32)</f>
        <v>1522.116</v>
      </c>
      <c r="AD43" s="35">
        <f>SUM(AD15,AD28,AD32)</f>
        <v>1924.119</v>
      </c>
      <c r="AE43" s="35">
        <f>SUM(AE15,AE28,AE32)</f>
        <v>1473.236</v>
      </c>
      <c r="AF43" s="35">
        <f>SUM(AF15,AF28,AF32)</f>
        <v>2372.575</v>
      </c>
      <c r="AG43" s="35">
        <f>SUM(AC43:AF43)</f>
        <v>7292.046</v>
      </c>
      <c r="AH43" s="35">
        <f>SUM(AH15,AH28,AH32)</f>
        <v>1501.39</v>
      </c>
      <c r="AI43" s="35">
        <f>SUM(AI15,AI28,AI32)</f>
        <v>2822.389</v>
      </c>
      <c r="AJ43" s="35">
        <f>SUM(AJ15,AJ28,AJ32)</f>
        <v>1771.32852406623</v>
      </c>
      <c r="AK43" s="35">
        <f>SUM(AK15,AK28,AK32)</f>
        <v>2500.61084145174</v>
      </c>
      <c r="AL43" s="35">
        <f>SUM(AH43:AK43)</f>
        <v>8595.71836551797</v>
      </c>
      <c r="AM43" s="35">
        <f>SUM(AM15,AM28,AM32)</f>
        <v>2074.68645923503</v>
      </c>
      <c r="AN43" s="35">
        <f>SUM(AN15,AN28,AN32)</f>
        <v>2892.71542482764</v>
      </c>
      <c r="AO43" s="35">
        <f>SUM(AO15,AO28,AO32)</f>
        <v>2047.54967005366</v>
      </c>
      <c r="AP43" s="35">
        <f>SUM(AP15,AP28,AP32)</f>
        <v>2890.55634445126</v>
      </c>
      <c r="AQ43" s="35">
        <f>SUM(AM43:AP43)</f>
        <v>9905.50789856759</v>
      </c>
      <c r="AR43" s="35">
        <f>SUM(AR15,AR28,AR32)</f>
        <v>2387.83983946879</v>
      </c>
      <c r="AS43" s="35">
        <f>SUM(AS15,AS28,AS32)</f>
        <v>3329.34217838207</v>
      </c>
      <c r="AT43" s="35">
        <f>SUM(AT15,AT28,AT32)</f>
        <v>2356.60702063292</v>
      </c>
      <c r="AU43" s="35">
        <f>SUM(AU15,AU28,AU32)</f>
        <v>3326.85720619922</v>
      </c>
      <c r="AV43" s="35">
        <f>SUM(AR43:AU43)</f>
        <v>11400.646244683</v>
      </c>
      <c r="AW43" s="35">
        <f>SUM(AW15,AW28,AW32)</f>
        <v>2736.32142282295</v>
      </c>
      <c r="AX43" s="35">
        <f>SUM(AX15,AX28,AX32)</f>
        <v>3815.22670659586</v>
      </c>
      <c r="AY43" s="35">
        <f>SUM(AY15,AY28,AY32)</f>
        <v>2700.53048330384</v>
      </c>
      <c r="AZ43" s="35">
        <f>SUM(AZ15,AZ28,AZ32)</f>
        <v>3812.37907732581</v>
      </c>
      <c r="BA43" s="35">
        <f>SUM(AW43:AZ43)</f>
        <v>13064.4576900485</v>
      </c>
      <c r="BB43" s="35">
        <f>SUM(BB15,BB28,BB32)</f>
        <v>3121.97883595208</v>
      </c>
      <c r="BC43" s="35">
        <f>SUM(BC15,BC28,BC32)</f>
        <v>4352.94513758668</v>
      </c>
      <c r="BD43" s="35">
        <f>SUM(BD15,BD28,BD32)</f>
        <v>3081.14351786206</v>
      </c>
      <c r="BE43" s="35">
        <f>SUM(BE15,BE28,BE32)</f>
        <v>4349.69616316445</v>
      </c>
      <c r="BF43" s="35">
        <f>SUM(BB43:BE43)</f>
        <v>14905.7636545653</v>
      </c>
      <c r="BG43" s="35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5" t="n"/>
      <c r="BW43" s="35" t="n"/>
      <c r="BX43" s="35" t="n"/>
      <c r="BY43" s="35" t="n"/>
      <c r="BZ43" s="35" t="n"/>
      <c r="CA43" s="35" t="n"/>
      <c r="CB43" s="35" t="n"/>
      <c r="CC43" s="35" t="n"/>
      <c r="CD43" s="35" t="n"/>
      <c r="CE43" s="35" t="n"/>
      <c r="CF43" s="35" t="n"/>
      <c r="CG43" s="35" t="n"/>
      <c r="CH43" s="35" t="n"/>
      <c r="CI43" s="35" t="n"/>
      <c r="CJ43" s="35" t="n"/>
      <c r="CK43" s="35" t="n"/>
      <c r="CL43" s="35" t="n"/>
      <c r="CM43" s="35" t="n"/>
      <c r="CN43" s="35" t="n"/>
      <c r="CO43" s="35" t="n"/>
      <c r="CP43" s="35" t="n"/>
      <c r="CQ43" s="35" t="n"/>
      <c r="CR43" s="35" t="n"/>
      <c r="CS43" s="35" t="n"/>
      <c r="CT43" s="35" t="n"/>
      <c r="CU43" s="35" t="n"/>
      <c r="CV43" s="35" t="n"/>
      <c r="CW43" s="35" t="n"/>
      <c r="CX43" s="35" t="n"/>
      <c r="CY43" s="35" t="n"/>
    </row>
    <row r="44" ht="13.5" customHeight="1">
      <c r="C44" s="13" t="inlineStr">
        <is>
          <t>D&amp;A</t>
        </is>
      </c>
      <c r="D44" s="46" t="n"/>
      <c r="E44" s="46" t="n"/>
      <c r="F44" s="46" t="n"/>
      <c r="G44" s="46" t="n"/>
      <c r="H44" s="12" t="n"/>
      <c r="I44" s="46">
        <f>'Inputs (2)'!D7</f>
        <v>-18.778</v>
      </c>
      <c r="J44" s="46">
        <f>'Inputs (2)'!E7</f>
        <v>-18.7</v>
      </c>
      <c r="K44" s="46">
        <f>'Inputs (2)'!F7</f>
        <v>-18.7</v>
      </c>
      <c r="L44" s="46">
        <f>'Inputs (2)'!G7</f>
        <v>-18.697</v>
      </c>
      <c r="M44" s="12">
        <f>'Inputs (2)'!H7</f>
        <v>-74.875</v>
      </c>
      <c r="N44" s="46">
        <f>'Inputs (2)'!I7</f>
        <v>-18.698</v>
      </c>
      <c r="O44" s="46">
        <f>'Inputs (2)'!J7</f>
        <v>-18.7</v>
      </c>
      <c r="P44" s="46">
        <f>'Inputs (2)'!K7</f>
        <v>-14.9</v>
      </c>
      <c r="Q44" s="46">
        <f>'Inputs (2)'!L7</f>
        <v>-14.809</v>
      </c>
      <c r="R44" s="12">
        <f>'Inputs (2)'!M7</f>
        <v>-67.107</v>
      </c>
      <c r="S44" s="46">
        <f>'Inputs (2)'!N7</f>
        <v>-12.996</v>
      </c>
      <c r="T44" s="46">
        <f>'Inputs (2)'!O7</f>
        <v>-9.1</v>
      </c>
      <c r="U44" s="46">
        <f>'Inputs (2)'!P7</f>
        <v>-9</v>
      </c>
      <c r="V44" s="46">
        <f>'Inputs (2)'!Q7</f>
        <v>-9.002</v>
      </c>
      <c r="W44" s="12">
        <f>'Inputs (2)'!R7</f>
        <v>-40.098</v>
      </c>
      <c r="X44" s="46">
        <f>'Inputs (2)'!S7</f>
        <v>-8.981</v>
      </c>
      <c r="Y44" s="46">
        <f>'Inputs (2)'!T7</f>
        <v>-9</v>
      </c>
      <c r="Z44" s="46">
        <f>'Inputs (2)'!U7</f>
        <v>-9</v>
      </c>
      <c r="AA44" s="46">
        <f>'Inputs (2)'!V7</f>
        <v>-9.021</v>
      </c>
      <c r="AB44" s="12">
        <f>'Inputs (2)'!W7</f>
        <v>-36.002</v>
      </c>
      <c r="AC44" s="46">
        <f>'Inputs (2)'!X7</f>
        <v>-8.975</v>
      </c>
      <c r="AD44" s="46">
        <f>'Inputs (2)'!Y7</f>
        <v>-9</v>
      </c>
      <c r="AE44" s="46">
        <f>'Inputs (2)'!Z7</f>
        <v>-9</v>
      </c>
      <c r="AF44" s="46">
        <f>'Inputs (2)'!AA7</f>
        <v>-9.099</v>
      </c>
      <c r="AG44" s="12">
        <f>'Inputs (2)'!AB7</f>
        <v>-36.074</v>
      </c>
      <c r="AH44" s="12">
        <f>'Inputs (2)'!AC7</f>
        <v>-9.035</v>
      </c>
      <c r="AI44" s="12">
        <f>'Inputs (2)'!AD7</f>
        <v>-9</v>
      </c>
      <c r="AJ44" s="12">
        <f>-AJ45*AJ15</f>
        <v>-8.5898330049078</v>
      </c>
      <c r="AK44" s="12">
        <f>-AK45*AK15</f>
        <v>-12.1263951020355</v>
      </c>
      <c r="AL44" s="12">
        <f>SUM(AH44:AK44)</f>
        <v>-38.7512281069433</v>
      </c>
      <c r="AM44" s="12">
        <f>-AM45*AM15</f>
        <v>-10.0609288340608</v>
      </c>
      <c r="AN44" s="12">
        <f>-AN45*AN15</f>
        <v>-14.0278565451822</v>
      </c>
      <c r="AO44" s="12">
        <f>-AO45*AO15</f>
        <v>-9.92933241691387</v>
      </c>
      <c r="AP44" s="12">
        <f>-AP45*AP15</f>
        <v>-14.0173863587513</v>
      </c>
      <c r="AQ44" s="12">
        <f>SUM(AM44:AP44)</f>
        <v>-48.0355041549082</v>
      </c>
      <c r="AR44" s="12">
        <f>-AR45*AR15</f>
        <v>-11.5795264316174</v>
      </c>
      <c r="AS44" s="12">
        <f>-AS45*AS15</f>
        <v>-16.145222605487</v>
      </c>
      <c r="AT44" s="12">
        <f>-AT45*AT15</f>
        <v>-11.4280668381949</v>
      </c>
      <c r="AU44" s="12">
        <f>-AU45*AU15</f>
        <v>-16.1331720480762</v>
      </c>
      <c r="AV44" s="12">
        <f>SUM(AR44:AU44)</f>
        <v>-55.2859879233755</v>
      </c>
      <c r="AW44" s="12">
        <f>-AW45*AW15</f>
        <v>-13.2694436692321</v>
      </c>
      <c r="AX44" s="12">
        <f>-AX45*AX15</f>
        <v>-18.5014579962229</v>
      </c>
      <c r="AY44" s="12">
        <f>-AY45*AY15</f>
        <v>-13.0958800477012</v>
      </c>
      <c r="AZ44" s="12">
        <f>-AZ45*AZ15</f>
        <v>-18.4876487792666</v>
      </c>
      <c r="BA44" s="12">
        <f>SUM(AW44:AZ44)</f>
        <v>-63.3544304924227</v>
      </c>
      <c r="BB44" s="12">
        <f>-BB45*BB15</f>
        <v>-15.1396403780161</v>
      </c>
      <c r="BC44" s="12">
        <f>-BC45*BC15</f>
        <v>-21.1090553239445</v>
      </c>
      <c r="BD44" s="12">
        <f>-BD45*BD15</f>
        <v>-14.9416146824267</v>
      </c>
      <c r="BE44" s="12">
        <f>-BE45*BE15</f>
        <v>-21.0932998345787</v>
      </c>
      <c r="BF44" s="12">
        <f>SUM(BB44:BE44)</f>
        <v>-72.283610218966</v>
      </c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2" t="n"/>
      <c r="CY44" s="12" t="n"/>
    </row>
    <row r="45" hidden="1" outlineLevel="1" customFormat="1" s="56">
      <c r="A45" s="53" t="n"/>
      <c r="B45" s="53" t="n"/>
      <c r="C45" s="54" t="inlineStr">
        <is>
          <t>% of Revenue</t>
        </is>
      </c>
      <c r="D45" s="53" t="n"/>
      <c r="E45" s="53" t="n"/>
      <c r="F45" s="53" t="n"/>
      <c r="G45" s="53" t="n"/>
      <c r="H45" s="53" t="n"/>
      <c r="I45" s="53">
        <f>IFERROR(-I44/I15,"")</f>
        <v>0.00354377308981987</v>
      </c>
      <c r="J45" s="53">
        <f>IFERROR(-J44/J15,"")</f>
        <v>0.00353406708377478</v>
      </c>
      <c r="K45" s="53">
        <f>IFERROR(-K44/K15,"")</f>
        <v>0.00300437079719453</v>
      </c>
      <c r="L45" s="53">
        <f>IFERROR(-L44/L15,"")</f>
        <v>0.00324451030141131</v>
      </c>
      <c r="M45" s="53" t="n"/>
      <c r="N45" s="53">
        <f>IFERROR(-N44/N15,"")</f>
        <v>0.0036474792637156</v>
      </c>
      <c r="O45" s="53">
        <f>IFERROR(-O44/O15,"")</f>
        <v>0.0297193350497441</v>
      </c>
      <c r="P45" s="53">
        <f>IFERROR(-P44/P15,"")</f>
        <v>0.0140816584980446</v>
      </c>
      <c r="Q45" s="53">
        <f>IFERROR(-Q44/Q15,"")</f>
        <v>0.00869042679860263</v>
      </c>
      <c r="R45" s="53" t="n"/>
      <c r="S45" s="53">
        <f>IFERROR(-S44/S15,"")</f>
        <v>0.00940481747229248</v>
      </c>
      <c r="T45" s="53">
        <f>IFERROR(-T44/T15,"")</f>
        <v>0.00323303694792785</v>
      </c>
      <c r="U45" s="53">
        <f>IFERROR(-U44/U15,"")</f>
        <v>0.00354151541444584</v>
      </c>
      <c r="V45" s="53">
        <f>IFERROR(-V44/V15,"")</f>
        <v>0.00700533843831225</v>
      </c>
      <c r="W45" s="53" t="n"/>
      <c r="X45" s="53">
        <f>IFERROR(-X44/X15,"")</f>
        <v>0.00243530880507442</v>
      </c>
      <c r="Y45" s="53">
        <f>IFERROR(-Y44/Y15,"")</f>
        <v>0.00321844555516577</v>
      </c>
      <c r="Z45" s="53">
        <f>IFERROR(-Z44/Z15,"")</f>
        <v>0.00245687233599968</v>
      </c>
      <c r="AA45" s="53">
        <f>IFERROR(-AA44/AA15,"")</f>
        <v>0.00292645897166808</v>
      </c>
      <c r="AB45" s="53" t="n"/>
      <c r="AC45" s="53">
        <f>IFERROR(-AC44/AC15,"")</f>
        <v>0.00272841300907323</v>
      </c>
      <c r="AD45" s="53">
        <f>IFERROR(-AD44/AD15,"")</f>
        <v>0.00242463428432878</v>
      </c>
      <c r="AE45" s="53">
        <f>IFERROR(-AE44/AE15,"")</f>
        <v>0.00291390857126206</v>
      </c>
      <c r="AF45" s="55">
        <f>IFERROR(-AF44/AF15,"")</f>
        <v>0.00208679642003985</v>
      </c>
      <c r="AG45" s="53" t="n"/>
      <c r="AH45" s="55">
        <f>IFERROR(-AH44/AH15,"")</f>
        <v>0.00249751561465559</v>
      </c>
      <c r="AI45" s="55">
        <f>IFERROR(-AI44/AI15,"")</f>
        <v>0.00178430595851132</v>
      </c>
      <c r="AJ45" s="55">
        <f>Control!$B$21</f>
        <v>0.00240592897631181</v>
      </c>
      <c r="AK45" s="55">
        <f>Control!$B$21</f>
        <v>0.00240592897631181</v>
      </c>
      <c r="AL45" s="53" t="n"/>
      <c r="AM45" s="55">
        <f>Control!$C$21</f>
        <v>0.00240592897631181</v>
      </c>
      <c r="AN45" s="55">
        <f>Control!$C$21</f>
        <v>0.00240592897631181</v>
      </c>
      <c r="AO45" s="55">
        <f>Control!$C$21</f>
        <v>0.00240592897631181</v>
      </c>
      <c r="AP45" s="55">
        <f>Control!$C$21</f>
        <v>0.00240592897631181</v>
      </c>
      <c r="AQ45" s="53" t="n"/>
      <c r="AR45" s="55">
        <f>Control!$D$21</f>
        <v>0.00240592897631181</v>
      </c>
      <c r="AS45" s="55">
        <f>Control!$D$21</f>
        <v>0.00240592897631181</v>
      </c>
      <c r="AT45" s="55">
        <f>Control!$D$21</f>
        <v>0.00240592897631181</v>
      </c>
      <c r="AU45" s="55">
        <f>Control!$D$21</f>
        <v>0.00240592897631181</v>
      </c>
      <c r="AV45" s="53" t="n"/>
      <c r="AW45" s="55">
        <f>Control!$E$21</f>
        <v>0.00240592897631181</v>
      </c>
      <c r="AX45" s="55">
        <f>Control!$E$21</f>
        <v>0.00240592897631181</v>
      </c>
      <c r="AY45" s="55">
        <f>Control!$E$21</f>
        <v>0.00240592897631181</v>
      </c>
      <c r="AZ45" s="55">
        <f>Control!$E$21</f>
        <v>0.00240592897631181</v>
      </c>
      <c r="BA45" s="53" t="n"/>
      <c r="BB45" s="55">
        <f>Control!$F$21</f>
        <v>0.00240592897631181</v>
      </c>
      <c r="BC45" s="55">
        <f>Control!$F$21</f>
        <v>0.00240592897631181</v>
      </c>
      <c r="BD45" s="55">
        <f>Control!$F$21</f>
        <v>0.00240592897631181</v>
      </c>
      <c r="BE45" s="55">
        <f>Control!$F$21</f>
        <v>0.00240592897631181</v>
      </c>
      <c r="BF45" s="53" t="n"/>
      <c r="BG45" s="55" t="n"/>
      <c r="BH45" s="55" t="n"/>
      <c r="BI45" s="55" t="n"/>
      <c r="BJ45" s="55" t="n"/>
      <c r="BK45" s="53" t="n"/>
      <c r="BL45" s="55" t="n"/>
      <c r="BM45" s="55" t="n"/>
      <c r="BN45" s="55" t="n"/>
      <c r="BO45" s="55" t="n"/>
      <c r="BP45" s="53" t="n"/>
      <c r="BQ45" s="55" t="n"/>
      <c r="BR45" s="55" t="n"/>
      <c r="BS45" s="55" t="n"/>
      <c r="BT45" s="55" t="n"/>
      <c r="BU45" s="53" t="n"/>
      <c r="BV45" s="55" t="n"/>
      <c r="BW45" s="55" t="n"/>
      <c r="BX45" s="55" t="n"/>
      <c r="BY45" s="55" t="n"/>
      <c r="BZ45" s="53" t="n"/>
      <c r="CA45" s="55" t="n"/>
      <c r="CB45" s="55" t="n"/>
      <c r="CC45" s="55" t="n"/>
      <c r="CD45" s="55" t="n"/>
      <c r="CE45" s="53" t="n"/>
      <c r="CF45" s="55" t="n"/>
      <c r="CG45" s="55" t="n"/>
      <c r="CH45" s="55" t="n"/>
      <c r="CI45" s="55" t="n"/>
      <c r="CJ45" s="53" t="n"/>
      <c r="CK45" s="55" t="n"/>
      <c r="CL45" s="55" t="n"/>
      <c r="CM45" s="55" t="n"/>
      <c r="CN45" s="55" t="n"/>
      <c r="CO45" s="53" t="n"/>
      <c r="CP45" s="55" t="n"/>
      <c r="CQ45" s="55" t="n"/>
      <c r="CR45" s="55" t="n"/>
      <c r="CS45" s="55" t="n"/>
      <c r="CT45" s="53" t="n"/>
      <c r="CU45" s="55" t="n"/>
      <c r="CV45" s="55" t="n"/>
      <c r="CW45" s="55" t="n"/>
      <c r="CX45" s="55" t="n"/>
      <c r="CY45" s="53" t="n"/>
    </row>
    <row r="46" hidden="1" outlineLevel="1">
      <c r="C46" s="50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</row>
    <row r="47" collapsed="1" customFormat="1" s="32">
      <c r="A47" s="30" t="n"/>
      <c r="B47" s="3" t="n"/>
      <c r="C47" s="33" t="inlineStr">
        <is>
          <t>Operating Profit - EBIT</t>
        </is>
      </c>
      <c r="D47" s="35" t="n"/>
      <c r="E47" s="35" t="n"/>
      <c r="F47" s="35" t="n"/>
      <c r="G47" s="35" t="n"/>
      <c r="H47" s="35" t="n"/>
      <c r="I47" s="35">
        <f>SUM(I43,I44)</f>
        <v>3292.408</v>
      </c>
      <c r="J47" s="35">
        <f>SUM(J43,J44)</f>
        <v>3063.346</v>
      </c>
      <c r="K47" s="35">
        <f>SUM(K43,K44)</f>
        <v>3622.319</v>
      </c>
      <c r="L47" s="35">
        <f>SUM(L43,L44)</f>
        <v>3320.726</v>
      </c>
      <c r="M47" s="35">
        <f>SUM(I47:L47)</f>
        <v>13298.799</v>
      </c>
      <c r="N47" s="35">
        <f>SUM(N43,N44)</f>
        <v>2996.005</v>
      </c>
      <c r="O47" s="35">
        <f>SUM(O43,O44)</f>
        <v>-45.2509999999999</v>
      </c>
      <c r="P47" s="35">
        <f>SUM(P43,P44)</f>
        <v>177.26</v>
      </c>
      <c r="Q47" s="35">
        <f>SUM(Q43,Q44)</f>
        <v>733.859</v>
      </c>
      <c r="R47" s="35">
        <f>SUM(N47:Q47)</f>
        <v>3861.873</v>
      </c>
      <c r="S47" s="35">
        <f>SUM(S43,S44)</f>
        <v>296.941</v>
      </c>
      <c r="T47" s="35">
        <f>SUM(T43,T44)</f>
        <v>1447.477</v>
      </c>
      <c r="U47" s="35">
        <f>SUM(U43,U44)</f>
        <v>1276.979</v>
      </c>
      <c r="V47" s="35">
        <f>SUM(V43,V44)</f>
        <v>452.182</v>
      </c>
      <c r="W47" s="35">
        <f>SUM(S47:V47)</f>
        <v>3473.579</v>
      </c>
      <c r="X47" s="35">
        <f>SUM(X43,X44)</f>
        <v>2005.624</v>
      </c>
      <c r="Y47" s="35">
        <f>SUM(Y43,Y44)</f>
        <v>1272.291</v>
      </c>
      <c r="Z47" s="35">
        <f>SUM(Z43,Z44)</f>
        <v>1878.435</v>
      </c>
      <c r="AA47" s="35">
        <f>SUM(AA43,AA44)</f>
        <v>1697.98</v>
      </c>
      <c r="AB47" s="35">
        <f>SUM(X47:AA47)</f>
        <v>6854.33</v>
      </c>
      <c r="AC47" s="35">
        <f>SUM(AC43,AC44)</f>
        <v>1513.141</v>
      </c>
      <c r="AD47" s="35">
        <f>SUM(AD43,AD44)</f>
        <v>1915.119</v>
      </c>
      <c r="AE47" s="35">
        <f>SUM(AE43,AE44)</f>
        <v>1464.236</v>
      </c>
      <c r="AF47" s="35">
        <f>SUM(AF43,AF44)</f>
        <v>2363.476</v>
      </c>
      <c r="AG47" s="35">
        <f>SUM(AC47:AF47)</f>
        <v>7255.972</v>
      </c>
      <c r="AH47" s="35">
        <f>SUM(AH43,AH44)</f>
        <v>1492.355</v>
      </c>
      <c r="AI47" s="35">
        <f>SUM(AI43,AI44)</f>
        <v>2813.389</v>
      </c>
      <c r="AJ47" s="35">
        <f>SUM(AJ43,AJ44)</f>
        <v>1762.73869106132</v>
      </c>
      <c r="AK47" s="35">
        <f>SUM(AK43,AK44)</f>
        <v>2488.48444634971</v>
      </c>
      <c r="AL47" s="35">
        <f>SUM(AL43,AL44)</f>
        <v>8556.96713741103</v>
      </c>
      <c r="AM47" s="35">
        <f>SUM(AM43,AM44)</f>
        <v>2064.62553040096</v>
      </c>
      <c r="AN47" s="35">
        <f>SUM(AN43,AN44)</f>
        <v>2878.68756828246</v>
      </c>
      <c r="AO47" s="35">
        <f>SUM(AO43,AO44)</f>
        <v>2037.62033763675</v>
      </c>
      <c r="AP47" s="35">
        <f>SUM(AP43,AP44)</f>
        <v>2876.53895809251</v>
      </c>
      <c r="AQ47" s="35">
        <f>SUM(AQ43,AQ44)</f>
        <v>9857.47239441268</v>
      </c>
      <c r="AR47" s="35">
        <f>SUM(AR43,AR44)</f>
        <v>2376.26031303717</v>
      </c>
      <c r="AS47" s="35">
        <f>SUM(AS43,AS44)</f>
        <v>3313.19695577659</v>
      </c>
      <c r="AT47" s="35">
        <f>SUM(AT43,AT44)</f>
        <v>2345.17895379472</v>
      </c>
      <c r="AU47" s="35">
        <f>SUM(AU43,AU44)</f>
        <v>3310.72403415114</v>
      </c>
      <c r="AV47" s="35">
        <f>SUM(AV43,AV44)</f>
        <v>11345.3602567596</v>
      </c>
      <c r="AW47" s="35">
        <f>SUM(AW43,AW44)</f>
        <v>2723.05197915372</v>
      </c>
      <c r="AX47" s="35">
        <f>SUM(AX43,AX44)</f>
        <v>3796.72524859963</v>
      </c>
      <c r="AY47" s="35">
        <f>SUM(AY43,AY44)</f>
        <v>2687.43460325614</v>
      </c>
      <c r="AZ47" s="35">
        <f>SUM(AZ43,AZ44)</f>
        <v>3793.89142854654</v>
      </c>
      <c r="BA47" s="35">
        <f>SUM(BA43,BA44)</f>
        <v>13001.103259556</v>
      </c>
      <c r="BB47" s="35">
        <f>SUM(BB43,BB44)</f>
        <v>3106.83919557406</v>
      </c>
      <c r="BC47" s="35">
        <f>SUM(BC43,BC44)</f>
        <v>4331.83608226273</v>
      </c>
      <c r="BD47" s="35">
        <f>SUM(BD43,BD44)</f>
        <v>3066.20190317963</v>
      </c>
      <c r="BE47" s="35">
        <f>SUM(BE43,BE44)</f>
        <v>4328.60286332987</v>
      </c>
      <c r="BF47" s="35">
        <f>SUM(BF43,BF44)</f>
        <v>14833.4800443463</v>
      </c>
      <c r="BG47" s="35" t="n"/>
      <c r="BH47" s="35" t="n"/>
      <c r="BI47" s="35" t="n"/>
      <c r="BJ47" s="35" t="n"/>
      <c r="BK47" s="35" t="n"/>
      <c r="BL47" s="35" t="n"/>
      <c r="BM47" s="35" t="n"/>
      <c r="BN47" s="35" t="n"/>
      <c r="BO47" s="35" t="n"/>
      <c r="BP47" s="35" t="n"/>
      <c r="BQ47" s="35" t="n"/>
      <c r="BR47" s="35" t="n"/>
      <c r="BS47" s="35" t="n"/>
      <c r="BT47" s="35" t="n"/>
      <c r="BU47" s="35" t="n"/>
      <c r="BV47" s="35" t="n"/>
      <c r="BW47" s="35" t="n"/>
      <c r="BX47" s="35" t="n"/>
      <c r="BY47" s="35" t="n"/>
      <c r="BZ47" s="35" t="n"/>
      <c r="CA47" s="35" t="n"/>
      <c r="CB47" s="35" t="n"/>
      <c r="CC47" s="35" t="n"/>
      <c r="CD47" s="35" t="n"/>
      <c r="CE47" s="35" t="n"/>
      <c r="CF47" s="35" t="n"/>
      <c r="CG47" s="35" t="n"/>
      <c r="CH47" s="35" t="n"/>
      <c r="CI47" s="35" t="n"/>
      <c r="CJ47" s="35" t="n"/>
      <c r="CK47" s="35" t="n"/>
      <c r="CL47" s="35" t="n"/>
      <c r="CM47" s="35" t="n"/>
      <c r="CN47" s="35" t="n"/>
      <c r="CO47" s="35" t="n"/>
      <c r="CP47" s="35" t="n"/>
      <c r="CQ47" s="35" t="n"/>
      <c r="CR47" s="35" t="n"/>
      <c r="CS47" s="35" t="n"/>
      <c r="CT47" s="35" t="n"/>
      <c r="CU47" s="35" t="n"/>
      <c r="CV47" s="35" t="n"/>
      <c r="CW47" s="35" t="n"/>
      <c r="CX47" s="35" t="n"/>
      <c r="CY47" s="35" t="n"/>
    </row>
    <row r="48">
      <c r="C48" s="14" t="inlineStr">
        <is>
          <t>Interest Expense</t>
        </is>
      </c>
      <c r="D48" s="46" t="n"/>
      <c r="E48" s="46" t="n"/>
      <c r="F48" s="46" t="n"/>
      <c r="G48" s="46" t="n"/>
      <c r="H48" s="12" t="n"/>
      <c r="I48" s="46">
        <f>'Inputs (2)'!D8</f>
        <v>-44.983</v>
      </c>
      <c r="J48" s="46">
        <f>'Inputs (2)'!E8</f>
        <v>-44.322</v>
      </c>
      <c r="K48" s="46">
        <f>'Inputs (2)'!F8</f>
        <v>-52.413</v>
      </c>
      <c r="L48" s="46">
        <f>'Inputs (2)'!G8</f>
        <v>-56.55</v>
      </c>
      <c r="M48" s="12">
        <f>'Inputs (2)'!H8</f>
        <v>-198.268</v>
      </c>
      <c r="N48" s="46">
        <f>'Inputs (2)'!I8</f>
        <v>-66.747</v>
      </c>
      <c r="O48" s="46">
        <f>'Inputs (2)'!J8</f>
        <v>-69.642</v>
      </c>
      <c r="P48" s="46">
        <f>'Inputs (2)'!K8</f>
        <v>-80.507</v>
      </c>
      <c r="Q48" s="46">
        <f>'Inputs (2)'!L8</f>
        <v>-100.329</v>
      </c>
      <c r="R48" s="12">
        <f>'Inputs (2)'!M8</f>
        <v>-317.225</v>
      </c>
      <c r="S48" s="46">
        <f>'Inputs (2)'!N8</f>
        <v>-104.441</v>
      </c>
      <c r="T48" s="46">
        <f>'Inputs (2)'!O8</f>
        <v>-108.096</v>
      </c>
      <c r="U48" s="46">
        <f>'Inputs (2)'!P8</f>
        <v>-110.599</v>
      </c>
      <c r="V48" s="46">
        <f>'Inputs (2)'!Q8</f>
        <v>-108.732</v>
      </c>
      <c r="W48" s="12">
        <f>'Inputs (2)'!R8</f>
        <v>-431.868</v>
      </c>
      <c r="X48" s="46">
        <f>'Inputs (2)'!S8</f>
        <v>-108.203</v>
      </c>
      <c r="Y48" s="46">
        <f>'Inputs (2)'!T8</f>
        <v>-108.616</v>
      </c>
      <c r="Z48" s="46">
        <f>'Inputs (2)'!U8</f>
        <v>-111.337</v>
      </c>
      <c r="AA48" s="46">
        <f>'Inputs (2)'!V8</f>
        <v>-115.532</v>
      </c>
      <c r="AB48" s="12">
        <f>'Inputs (2)'!W8</f>
        <v>-443.688</v>
      </c>
      <c r="AC48" s="46">
        <f>'Inputs (2)'!X8</f>
        <v>-118.115</v>
      </c>
      <c r="AD48" s="46">
        <f>'Inputs (2)'!Y8</f>
        <v>-135.822</v>
      </c>
      <c r="AE48" s="46">
        <f>'Inputs (2)'!Z8</f>
        <v>-126.288</v>
      </c>
      <c r="AF48" s="46">
        <f>'Inputs (2)'!AA8</f>
        <v>-128.089</v>
      </c>
      <c r="AG48" s="12">
        <f>'Inputs (2)'!AB8</f>
        <v>-508.314</v>
      </c>
      <c r="AH48" s="12">
        <f>'Inputs (2)'!AC8</f>
        <v>-137.053</v>
      </c>
      <c r="AI48" s="12">
        <f>'Inputs (2)'!AD8</f>
        <v>-145.023</v>
      </c>
      <c r="AJ48" s="12" t="str">
        <f>IF(Control!$E$9="","",-AI66*Control!$E$9/4)</f>
        <v/>
      </c>
      <c r="AK48" s="12" t="str">
        <f>IF(Control!$E$9="","",-AJ66*Control!$E$9/4)</f>
        <v/>
      </c>
      <c r="AL48" s="12">
        <f>SUM(AH48:AK48)</f>
        <v>-282.076</v>
      </c>
      <c r="AM48" s="12" t="str">
        <f>IF(Control!$E$9="","",-AL66*Control!$E$9/4)</f>
        <v/>
      </c>
      <c r="AN48" s="12" t="str">
        <f>IF(Control!$E$9="","",-AM66*Control!$E$9/4)</f>
        <v/>
      </c>
      <c r="AO48" s="12" t="str">
        <f>IF(Control!$E$9="","",-AN66*Control!$E$9/4)</f>
        <v/>
      </c>
      <c r="AP48" s="12" t="str">
        <f>IF(Control!$E$9="","",-AO66*Control!$E$9/4)</f>
        <v/>
      </c>
      <c r="AQ48" s="12">
        <f>SUM(AM48:AP48)</f>
        <v>0</v>
      </c>
      <c r="AR48" s="12" t="str">
        <f>IF(Control!$E$9="","",-AQ66*Control!$E$9/4)</f>
        <v/>
      </c>
      <c r="AS48" s="12" t="str">
        <f>IF(Control!$E$9="","",-AR66*Control!$E$9/4)</f>
        <v/>
      </c>
      <c r="AT48" s="12" t="str">
        <f>IF(Control!$E$9="","",-AS66*Control!$E$9/4)</f>
        <v/>
      </c>
      <c r="AU48" s="12" t="str">
        <f>IF(Control!$E$9="","",-AT66*Control!$E$9/4)</f>
        <v/>
      </c>
      <c r="AV48" s="12">
        <f>SUM(AR48:AU48)</f>
        <v>0</v>
      </c>
      <c r="AW48" s="12" t="str">
        <f>IF(Control!$E$9="","",-AV66*Control!$E$9/4)</f>
        <v/>
      </c>
      <c r="AX48" s="12" t="str">
        <f>IF(Control!$E$9="","",-AW66*Control!$E$9/4)</f>
        <v/>
      </c>
      <c r="AY48" s="12" t="str">
        <f>IF(Control!$E$9="","",-AX66*Control!$E$9/4)</f>
        <v/>
      </c>
      <c r="AZ48" s="12" t="str">
        <f>IF(Control!$E$9="","",-AY66*Control!$E$9/4)</f>
        <v/>
      </c>
      <c r="BA48" s="12">
        <f>SUM(AW48:AZ48)</f>
        <v>0</v>
      </c>
      <c r="BB48" s="12" t="str">
        <f>IF(Control!$E$9="","",-BA66*Control!$E$9/4)</f>
        <v/>
      </c>
      <c r="BC48" s="12" t="str">
        <f>IF(Control!$E$9="","",-BB66*Control!$E$9/4)</f>
        <v/>
      </c>
      <c r="BD48" s="12" t="str">
        <f>IF(Control!$E$9="","",-BC66*Control!$E$9/4)</f>
        <v/>
      </c>
      <c r="BE48" s="12" t="str">
        <f>IF(Control!$E$9="","",-BD66*Control!$E$9/4)</f>
        <v/>
      </c>
      <c r="BF48" s="12">
        <f>SUM(BB48:BE48)</f>
        <v>0</v>
      </c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2" t="n"/>
      <c r="CY48" s="12" t="n"/>
    </row>
    <row r="49" hidden="1" outlineLevel="1">
      <c r="C49" s="50" t="inlineStr">
        <is>
          <t>% of Debt</t>
        </is>
      </c>
      <c r="D49" s="53" t="n"/>
      <c r="E49" s="53" t="n"/>
      <c r="F49" s="53" t="n"/>
      <c r="G49" s="53" t="n"/>
      <c r="H49" s="12" t="n"/>
      <c r="I49" s="53" t="str">
        <f>IFERROR(-I48/SUM(I186+I191),"")</f>
        <v/>
      </c>
      <c r="J49" s="53" t="str">
        <f>IFERROR(-J48/SUM(J186+J191),"")</f>
        <v/>
      </c>
      <c r="K49" s="53" t="str">
        <f>IFERROR(-K48/SUM(K186+K191),"")</f>
        <v/>
      </c>
      <c r="L49" s="53" t="str">
        <f>IFERROR(-L48/SUM(L186+L191),"")</f>
        <v/>
      </c>
      <c r="M49" s="12" t="n"/>
      <c r="N49" s="53" t="str">
        <f>IFERROR(-N48/SUM(N186+N191),"")</f>
        <v/>
      </c>
      <c r="O49" s="53" t="str">
        <f>IFERROR(-O48/SUM(O186+O191),"")</f>
        <v/>
      </c>
      <c r="P49" s="53" t="str">
        <f>IFERROR(-P48/SUM(P186+P191),"")</f>
        <v/>
      </c>
      <c r="Q49" s="53" t="str">
        <f>IFERROR(-Q48/SUM(Q186+Q191),"")</f>
        <v/>
      </c>
      <c r="R49" s="12" t="n"/>
      <c r="S49" s="53" t="str">
        <f>IFERROR(-S48/SUM(S186+S191),"")</f>
        <v/>
      </c>
      <c r="T49" s="53" t="str">
        <f>IFERROR(-T48/SUM(T186+T191),"")</f>
        <v/>
      </c>
      <c r="U49" s="53" t="str">
        <f>IFERROR(-U48/SUM(U186+U191),"")</f>
        <v/>
      </c>
      <c r="V49" s="53" t="str">
        <f>IFERROR(-V48/SUM(V186+V191),"")</f>
        <v/>
      </c>
      <c r="W49" s="12" t="n"/>
      <c r="X49" s="53" t="str">
        <f>IFERROR(-X48/SUM(X186+X191),"")</f>
        <v/>
      </c>
      <c r="Y49" s="53" t="str">
        <f>IFERROR(-Y48/SUM(Y186+Y191),"")</f>
        <v/>
      </c>
      <c r="Z49" s="53" t="str">
        <f>IFERROR(-Z48/SUM(Z186+Z191),"")</f>
        <v/>
      </c>
      <c r="AA49" s="53" t="str">
        <f>IFERROR(-AA48/SUM(AA186+AA191),"")</f>
        <v/>
      </c>
      <c r="AB49" s="12" t="n"/>
      <c r="AC49" s="53" t="str">
        <f>IFERROR(-AC48/SUM(AC186+AC191),"")</f>
        <v/>
      </c>
      <c r="AD49" s="53" t="str">
        <f>IFERROR(-AD48/SUM(AD186+AD191),"")</f>
        <v/>
      </c>
      <c r="AE49" s="53" t="str">
        <f>IFERROR(-AE48/SUM(AE186+AE191),"")</f>
        <v/>
      </c>
      <c r="AF49" s="55" t="str">
        <f>IFERROR(-AF48/SUM(AF186+AF191),"")</f>
        <v/>
      </c>
      <c r="AG49" s="12" t="n"/>
      <c r="AH49" s="11" t="str">
        <f>IFERROR(-AH48/SUM(AH186+AH191),"")</f>
        <v/>
      </c>
      <c r="AI49" s="11" t="str">
        <f>IFERROR(-AI48/SUM(AI186+AI191),"")</f>
        <v/>
      </c>
      <c r="AJ49" s="11" t="str">
        <f>IFERROR(Control!$E$9,0)</f>
        <v/>
      </c>
      <c r="AK49" s="11" t="str">
        <f>IFERROR(Control!$E$9,0)</f>
        <v/>
      </c>
      <c r="AL49" s="12" t="n"/>
      <c r="AM49" s="11" t="str">
        <f>IFERROR(Control!$E$9,0)</f>
        <v/>
      </c>
      <c r="AN49" s="11" t="str">
        <f>IFERROR(Control!$E$9,0)</f>
        <v/>
      </c>
      <c r="AO49" s="11" t="str">
        <f>IFERROR(Control!$E$9,0)</f>
        <v/>
      </c>
      <c r="AP49" s="11" t="str">
        <f>IFERROR(Control!$E$9,0)</f>
        <v/>
      </c>
      <c r="AQ49" s="12" t="n"/>
      <c r="AR49" s="11" t="str">
        <f>IFERROR(Control!$E$9,0)</f>
        <v/>
      </c>
      <c r="AS49" s="11" t="str">
        <f>IFERROR(Control!$E$9,0)</f>
        <v/>
      </c>
      <c r="AT49" s="11" t="str">
        <f>IFERROR(Control!$E$9,0)</f>
        <v/>
      </c>
      <c r="AU49" s="11" t="str">
        <f>IFERROR(Control!$E$9,0)</f>
        <v/>
      </c>
      <c r="AV49" s="12" t="n"/>
      <c r="AW49" s="11" t="str">
        <f>IFERROR(Control!$E$9,0)</f>
        <v/>
      </c>
      <c r="AX49" s="11" t="str">
        <f>IFERROR(Control!$E$9,0)</f>
        <v/>
      </c>
      <c r="AY49" s="11" t="str">
        <f>IFERROR(Control!$E$9,0)</f>
        <v/>
      </c>
      <c r="AZ49" s="11" t="str">
        <f>IFERROR(Control!$E$9,0)</f>
        <v/>
      </c>
      <c r="BA49" s="12" t="n"/>
      <c r="BB49" s="11" t="str">
        <f>IFERROR(Control!$E$9,0)</f>
        <v/>
      </c>
      <c r="BC49" s="11" t="str">
        <f>IFERROR(Control!$E$9,0)</f>
        <v/>
      </c>
      <c r="BD49" s="11" t="str">
        <f>IFERROR(Control!$E$9,0)</f>
        <v/>
      </c>
      <c r="BE49" s="11" t="str">
        <f>IFERROR(Control!$E$9,0)</f>
        <v/>
      </c>
      <c r="BF49" s="12" t="n"/>
      <c r="BG49" s="11" t="n"/>
      <c r="BH49" s="11" t="n"/>
      <c r="BI49" s="11" t="n"/>
      <c r="BJ49" s="11" t="n"/>
      <c r="BK49" s="12" t="n"/>
      <c r="BL49" s="11" t="n"/>
      <c r="BM49" s="11" t="n"/>
      <c r="BN49" s="11" t="n"/>
      <c r="BO49" s="11" t="n"/>
      <c r="BP49" s="12" t="n"/>
      <c r="BQ49" s="11" t="n"/>
      <c r="BR49" s="11" t="n"/>
      <c r="BS49" s="11" t="n"/>
      <c r="BT49" s="11" t="n"/>
      <c r="BU49" s="12" t="n"/>
      <c r="BV49" s="11" t="n"/>
      <c r="BW49" s="11" t="n"/>
      <c r="BX49" s="11" t="n"/>
      <c r="BY49" s="11" t="n"/>
      <c r="BZ49" s="12" t="n"/>
      <c r="CA49" s="11" t="n"/>
      <c r="CB49" s="11" t="n"/>
      <c r="CC49" s="11" t="n"/>
      <c r="CD49" s="11" t="n"/>
      <c r="CE49" s="12" t="n"/>
      <c r="CF49" s="11" t="n"/>
      <c r="CG49" s="11" t="n"/>
      <c r="CH49" s="11" t="n"/>
      <c r="CI49" s="11" t="n"/>
      <c r="CJ49" s="12" t="n"/>
      <c r="CK49" s="11" t="n"/>
      <c r="CL49" s="11" t="n"/>
      <c r="CM49" s="11" t="n"/>
      <c r="CN49" s="11" t="n"/>
      <c r="CO49" s="12" t="n"/>
      <c r="CP49" s="11" t="n"/>
      <c r="CQ49" s="11" t="n"/>
      <c r="CR49" s="11" t="n"/>
      <c r="CS49" s="11" t="n"/>
      <c r="CT49" s="12" t="n"/>
      <c r="CU49" s="11" t="n"/>
      <c r="CV49" s="11" t="n"/>
      <c r="CW49" s="11" t="n"/>
      <c r="CX49" s="11" t="n"/>
      <c r="CY49" s="12" t="n"/>
    </row>
    <row r="50" hidden="1" outlineLevel="1">
      <c r="C50" s="50" t="inlineStr">
        <is>
          <t>%CDI</t>
        </is>
      </c>
      <c r="D50" s="11" t="n"/>
      <c r="E50" s="11" t="n"/>
      <c r="F50" s="11" t="n"/>
      <c r="G50" s="11" t="n"/>
      <c r="H50" s="12" t="n"/>
      <c r="I50" s="11" t="n"/>
      <c r="J50" s="11" t="n"/>
      <c r="K50" s="11" t="n"/>
      <c r="L50" s="11" t="n"/>
      <c r="M50" s="12" t="n"/>
      <c r="N50" s="11" t="n"/>
      <c r="O50" s="11" t="n"/>
      <c r="P50" s="11" t="n"/>
      <c r="Q50" s="11" t="n"/>
      <c r="R50" s="12" t="n"/>
      <c r="S50" s="11" t="n"/>
      <c r="T50" s="11" t="n"/>
      <c r="U50" s="11" t="n"/>
      <c r="V50" s="11" t="n"/>
      <c r="W50" s="12" t="n"/>
      <c r="X50" s="11" t="n"/>
      <c r="Y50" s="11" t="n"/>
      <c r="Z50" s="11" t="n"/>
      <c r="AA50" s="11" t="n"/>
      <c r="AB50" s="12" t="n"/>
      <c r="AC50" s="11" t="n"/>
      <c r="AD50" s="11" t="n"/>
      <c r="AE50" s="11" t="n"/>
      <c r="AF50" s="11" t="n"/>
      <c r="AG50" s="12" t="n"/>
      <c r="AH50" s="11" t="n"/>
      <c r="AI50" s="11" t="n"/>
      <c r="AJ50" s="11" t="n"/>
      <c r="AK50" s="11" t="n"/>
      <c r="AL50" s="12" t="n"/>
      <c r="AM50" s="11" t="n"/>
      <c r="AN50" s="11" t="n"/>
      <c r="AO50" s="11" t="n"/>
      <c r="AP50" s="11" t="n"/>
      <c r="AQ50" s="12" t="n"/>
      <c r="AR50" s="11" t="n"/>
      <c r="AS50" s="11" t="n"/>
      <c r="AT50" s="11" t="n"/>
      <c r="AU50" s="11" t="n"/>
      <c r="AV50" s="12" t="n"/>
      <c r="AW50" s="11" t="n"/>
      <c r="AX50" s="11" t="n"/>
      <c r="AY50" s="11" t="n"/>
      <c r="AZ50" s="11" t="n"/>
      <c r="BA50" s="12" t="n"/>
      <c r="BB50" s="11" t="n"/>
      <c r="BC50" s="11" t="n"/>
      <c r="BD50" s="11" t="n"/>
      <c r="BE50" s="11" t="n"/>
      <c r="BF50" s="12" t="n"/>
      <c r="BG50" s="11" t="n"/>
      <c r="BH50" s="11" t="n"/>
      <c r="BI50" s="11" t="n"/>
      <c r="BJ50" s="11" t="n"/>
      <c r="BK50" s="12" t="n"/>
      <c r="BL50" s="11" t="n"/>
      <c r="BM50" s="11" t="n"/>
      <c r="BN50" s="11" t="n"/>
      <c r="BO50" s="11" t="n"/>
      <c r="BP50" s="12" t="n"/>
      <c r="BQ50" s="11" t="n"/>
      <c r="BR50" s="11" t="n"/>
      <c r="BS50" s="11" t="n"/>
      <c r="BT50" s="11" t="n"/>
      <c r="BU50" s="12" t="n"/>
      <c r="BV50" s="11" t="n"/>
      <c r="BW50" s="11" t="n"/>
      <c r="BX50" s="11" t="n"/>
      <c r="BY50" s="11" t="n"/>
      <c r="BZ50" s="12" t="n"/>
      <c r="CA50" s="11" t="n"/>
      <c r="CB50" s="11" t="n"/>
      <c r="CC50" s="11" t="n"/>
      <c r="CD50" s="11" t="n"/>
      <c r="CE50" s="12" t="n"/>
      <c r="CF50" s="11" t="n"/>
      <c r="CG50" s="11" t="n"/>
      <c r="CH50" s="11" t="n"/>
      <c r="CI50" s="11" t="n"/>
      <c r="CJ50" s="12" t="n"/>
      <c r="CK50" s="11" t="n"/>
      <c r="CL50" s="11" t="n"/>
      <c r="CM50" s="11" t="n"/>
      <c r="CN50" s="11" t="n"/>
      <c r="CO50" s="12" t="n"/>
      <c r="CP50" s="11" t="n"/>
      <c r="CQ50" s="11" t="n"/>
      <c r="CR50" s="11" t="n"/>
      <c r="CS50" s="11" t="n"/>
      <c r="CT50" s="12" t="n"/>
      <c r="CU50" s="11" t="n"/>
      <c r="CV50" s="11" t="n"/>
      <c r="CW50" s="11" t="n"/>
      <c r="CX50" s="11" t="n"/>
      <c r="CY50" s="12" t="n"/>
    </row>
    <row r="51" hidden="1" outlineLevel="1">
      <c r="C51" s="57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2" t="n"/>
      <c r="CY51" s="12" t="n"/>
    </row>
    <row r="52" hidden="1" outlineLevel="1">
      <c r="C52" s="57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2" t="n"/>
      <c r="CY52" s="12" t="n"/>
    </row>
    <row r="53" hidden="1" outlineLevel="1">
      <c r="C53" s="57" t="inlineStr">
        <is>
          <t>RECEITA FINANCEIRA</t>
        </is>
      </c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</row>
    <row r="54" hidden="1" outlineLevel="1">
      <c r="C54" s="57" t="inlineStr">
        <is>
          <t>DESPESA FINANCEIRA</t>
        </is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>
      <c r="C55" s="57" t="inlineStr">
        <is>
          <t>OUTROS</t>
        </is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2" t="n"/>
      <c r="CY55" s="12" t="n"/>
    </row>
    <row r="56" hidden="1" outlineLevel="1">
      <c r="C56" s="57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2" t="n"/>
      <c r="CY56" s="12" t="n"/>
    </row>
    <row r="57" hidden="1" outlineLevel="1">
      <c r="C57" s="57" t="inlineStr">
        <is>
          <t>Cash and equivalents (inc. investment securities)</t>
        </is>
      </c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</row>
    <row r="58" hidden="1" outlineLevel="1">
      <c r="C58" s="57" t="inlineStr">
        <is>
          <t>Interest on cash</t>
        </is>
      </c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57" t="inlineStr">
        <is>
          <t>Average interest rate</t>
        </is>
      </c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2" t="n"/>
      <c r="CY59" s="12" t="n"/>
    </row>
    <row r="60" hidden="1" outlineLevel="1">
      <c r="C60" s="57" t="inlineStr">
        <is>
          <t>% CDI</t>
        </is>
      </c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hidden="1" outlineLevel="1">
      <c r="C61" s="57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2" t="n"/>
      <c r="CY61" s="12" t="n"/>
    </row>
    <row r="62" hidden="1" outlineLevel="1">
      <c r="C62" s="57" t="inlineStr">
        <is>
          <t>Current portion of long-term debt</t>
        </is>
      </c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</row>
    <row r="63" hidden="1" outlineLevel="1">
      <c r="C63" s="57" t="inlineStr">
        <is>
          <t>Short term debt (Revolving credit facility)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2" t="n"/>
      <c r="CY63" s="12" t="n"/>
    </row>
    <row r="64" hidden="1" outlineLevel="1">
      <c r="C64" s="57" t="inlineStr">
        <is>
          <t>Long term debt</t>
        </is>
      </c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</row>
    <row r="65" hidden="1" outlineLevel="1">
      <c r="C65" s="57" t="inlineStr">
        <is>
          <t>Convertible debt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inlineStr">
        <is>
          <t>Total debt</t>
        </is>
      </c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inlineStr">
        <is>
          <t>Interest expense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inlineStr">
        <is>
          <t>Average interest rate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inlineStr">
        <is>
          <t>Stake</t>
        </is>
      </c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PRE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inlineStr">
        <is>
          <t>CDI+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Spread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inlineStr">
        <is>
          <t>PRE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CDI+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RECEITAS FINANCEIRAS - Rendimentos de aplicações financeiras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RECEITAS FINANCEIRAS - Variação cambial ativa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RECEITAS FINANCEIRAS - Atualização de contas a pagar por aquisição de empresas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RECEITAS FINANCEIRAS - Resultado positivo com instrumentos derivativos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RECEITAS FINANCEIRAS - Descontos obtidos de fornecedores por antecipação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RECEITAS FINANCEIRAS - Atualização monetária sobre Exclusão ICMS da base de PIS/COFINS (nota explicativa nº 7)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RECEITAS FINANCEIRAS - Outras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DESPESAS FINANCEIRAS - Encargos sobre empréstimos, financiamentos e debêntures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inlineStr">
        <is>
          <t>DESPESAS FINANCEIRAS - Variação cambial passiva</t>
        </is>
      </c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DESPESAS FINANCEIRAS - Resultado negativo com instrumentos derivativos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DESPESAS FINANCEIRAS - Juros sobre arrendamento - IFRS16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DESPESAS FINANCEIRAS - Despesas bancárias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DESPESAS FINANCEIRAS - Despesas com obtenção de empréstimos e financiamentos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DESPESAS FINANCEIRAS - Atualização de contas a pagar por aquisição de empresas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DESPESAS FINANCEIRAS - Outras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CHECK [EX IFRS-16]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collapsed="1">
      <c r="C97" s="14" t="inlineStr">
        <is>
          <t>Nonoperating Income / (Loss)</t>
        </is>
      </c>
      <c r="D97" s="46" t="n"/>
      <c r="E97" s="46" t="n"/>
      <c r="F97" s="46" t="n"/>
      <c r="G97" s="46" t="n"/>
      <c r="H97" s="12" t="n"/>
      <c r="I97" s="46">
        <f>'Inputs (2)'!D9</f>
        <v>123.263</v>
      </c>
      <c r="J97" s="46">
        <f>'Inputs (2)'!E9</f>
        <v>126.724</v>
      </c>
      <c r="K97" s="46">
        <f>'Inputs (2)'!F9</f>
        <v>94.991</v>
      </c>
      <c r="L97" s="46">
        <f>'Inputs (2)'!G9</f>
        <v>113.887</v>
      </c>
      <c r="M97" s="12">
        <f>'Inputs (2)'!H9</f>
        <v>458.865</v>
      </c>
      <c r="N97" s="46">
        <f>'Inputs (2)'!I9</f>
        <v>51.637</v>
      </c>
      <c r="O97" s="46">
        <f>'Inputs (2)'!J9</f>
        <v>-104.339</v>
      </c>
      <c r="P97" s="46">
        <f>'Inputs (2)'!K9</f>
        <v>1.178</v>
      </c>
      <c r="Q97" s="46">
        <f>'Inputs (2)'!L9</f>
        <v>-31.335</v>
      </c>
      <c r="R97" s="12">
        <f>'Inputs (2)'!M9</f>
        <v>-82.859</v>
      </c>
      <c r="S97" s="46">
        <f>'Inputs (2)'!N9</f>
        <v>65.856</v>
      </c>
      <c r="T97" s="46">
        <f>'Inputs (2)'!O9</f>
        <v>87.595</v>
      </c>
      <c r="U97" s="46">
        <f>'Inputs (2)'!P9</f>
        <v>-49.078</v>
      </c>
      <c r="V97" s="46">
        <f>'Inputs (2)'!Q9</f>
        <v>-188.37</v>
      </c>
      <c r="W97" s="12">
        <f>'Inputs (2)'!R9</f>
        <v>-83.997</v>
      </c>
      <c r="X97" s="46">
        <f>'Inputs (2)'!S9</f>
        <v>-17.767</v>
      </c>
      <c r="Y97" s="46">
        <f>'Inputs (2)'!T9</f>
        <v>44.934</v>
      </c>
      <c r="Z97" s="46">
        <f>'Inputs (2)'!U9</f>
        <v>42.842</v>
      </c>
      <c r="AA97" s="46">
        <f>'Inputs (2)'!V9</f>
        <v>-21.171</v>
      </c>
      <c r="AB97" s="12">
        <f>'Inputs (2)'!W9</f>
        <v>48.838</v>
      </c>
      <c r="AC97" s="46">
        <f>'Inputs (2)'!X9</f>
        <v>57.575</v>
      </c>
      <c r="AD97" s="46">
        <f>'Inputs (2)'!Y9</f>
        <v>136.33</v>
      </c>
      <c r="AE97" s="46">
        <f>'Inputs (2)'!Z9</f>
        <v>108.634</v>
      </c>
      <c r="AF97" s="46">
        <f>'Inputs (2)'!AA9</f>
        <v>121.449</v>
      </c>
      <c r="AG97" s="12">
        <f>'Inputs (2)'!AB9</f>
        <v>423.988</v>
      </c>
      <c r="AH97" s="12">
        <f>'Inputs (2)'!AC9</f>
        <v>99.755</v>
      </c>
      <c r="AI97" s="12">
        <f>'Inputs (2)'!AD9</f>
        <v>140.086</v>
      </c>
      <c r="AJ97" s="12">
        <f>AJ15*Control!$B$23</f>
        <v>102.547164053149</v>
      </c>
      <c r="AK97" s="12">
        <f>AK15*Control!$B$23</f>
        <v>144.767357781141</v>
      </c>
      <c r="AL97" s="12">
        <f>SUM(AH97:AK97)</f>
        <v>487.15552183429</v>
      </c>
      <c r="AM97" s="12">
        <f>AM15*Control!$C$23</f>
        <v>120.109403650108</v>
      </c>
      <c r="AN97" s="12">
        <f>AN15*Control!$C$23</f>
        <v>167.467389136779</v>
      </c>
      <c r="AO97" s="12">
        <f>AO15*Control!$C$23</f>
        <v>118.538379001519</v>
      </c>
      <c r="AP97" s="12">
        <f>AP15*Control!$C$23</f>
        <v>167.342393933149</v>
      </c>
      <c r="AQ97" s="12">
        <f>SUM(AM97:AP97)</f>
        <v>573.457565721556</v>
      </c>
      <c r="AR97" s="12">
        <f>AR15*Control!$D$23</f>
        <v>138.23872896742</v>
      </c>
      <c r="AS97" s="12">
        <f>AS15*Control!$D$23</f>
        <v>192.744933487477</v>
      </c>
      <c r="AT97" s="12">
        <f>AT15*Control!$D$23</f>
        <v>136.430573702324</v>
      </c>
      <c r="AU97" s="12">
        <f>AU15*Control!$D$23</f>
        <v>192.601071495395</v>
      </c>
      <c r="AV97" s="12">
        <f>SUM(AR97:AU97)</f>
        <v>660.015307652616</v>
      </c>
      <c r="AW97" s="12">
        <f>AW15*Control!$E$23</f>
        <v>158.41330280406</v>
      </c>
      <c r="AX97" s="12">
        <f>AX15*Control!$E$23</f>
        <v>220.874148225828</v>
      </c>
      <c r="AY97" s="12">
        <f>AY15*Control!$E$23</f>
        <v>156.341265179973</v>
      </c>
      <c r="AZ97" s="12">
        <f>AZ15*Control!$E$23</f>
        <v>220.709291000333</v>
      </c>
      <c r="BA97" s="12">
        <f>SUM(AW97:AZ97)</f>
        <v>756.338007210194</v>
      </c>
      <c r="BB97" s="12">
        <f>BB15*Control!$F$23</f>
        <v>180.740089436321</v>
      </c>
      <c r="BC97" s="12">
        <f>BC15*Control!$F$23</f>
        <v>252.004172616016</v>
      </c>
      <c r="BD97" s="12">
        <f>BD15*Control!$F$23</f>
        <v>178.376018623683</v>
      </c>
      <c r="BE97" s="12">
        <f>BE15*Control!$F$23</f>
        <v>251.816080396784</v>
      </c>
      <c r="BF97" s="12">
        <f>SUM(BB97:BE97)</f>
        <v>862.936361072804</v>
      </c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0" t="inlineStr">
        <is>
          <t>Resultado Não Recorrente</t>
        </is>
      </c>
      <c r="D99" s="11" t="n"/>
      <c r="E99" s="11" t="n"/>
      <c r="F99" s="11" t="n"/>
      <c r="G99" s="11" t="n"/>
      <c r="H99" s="12" t="n"/>
      <c r="I99" s="11" t="n"/>
      <c r="J99" s="11" t="n"/>
      <c r="K99" s="11" t="n"/>
      <c r="L99" s="11" t="n"/>
      <c r="M99" s="12" t="n"/>
      <c r="N99" s="11" t="n"/>
      <c r="O99" s="11" t="n"/>
      <c r="P99" s="11" t="n"/>
      <c r="Q99" s="11" t="n"/>
      <c r="R99" s="12" t="n"/>
      <c r="S99" s="11" t="n"/>
      <c r="T99" s="11" t="n"/>
      <c r="U99" s="11" t="n"/>
      <c r="V99" s="11" t="n"/>
      <c r="W99" s="12" t="n"/>
      <c r="X99" s="11" t="n"/>
      <c r="Y99" s="11" t="n"/>
      <c r="Z99" s="11" t="n"/>
      <c r="AA99" s="11" t="n"/>
      <c r="AB99" s="12" t="n"/>
      <c r="AC99" s="11" t="n"/>
      <c r="AD99" s="11" t="n"/>
      <c r="AE99" s="11" t="n"/>
      <c r="AF99" s="11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0" t="inlineStr">
        <is>
          <t>Plano de Opção de Compra de Ações</t>
        </is>
      </c>
      <c r="D100" s="11" t="n"/>
      <c r="E100" s="11" t="n"/>
      <c r="F100" s="11" t="n"/>
      <c r="G100" s="11" t="n"/>
      <c r="H100" s="12" t="n"/>
      <c r="I100" s="11" t="n"/>
      <c r="J100" s="11" t="n"/>
      <c r="K100" s="11" t="n"/>
      <c r="L100" s="11" t="n"/>
      <c r="M100" s="12" t="n"/>
      <c r="N100" s="11" t="n"/>
      <c r="O100" s="11" t="n"/>
      <c r="P100" s="11" t="n"/>
      <c r="Q100" s="11" t="n"/>
      <c r="R100" s="12" t="n"/>
      <c r="S100" s="11" t="n"/>
      <c r="T100" s="11" t="n"/>
      <c r="U100" s="11" t="n"/>
      <c r="V100" s="11" t="n"/>
      <c r="W100" s="12" t="n"/>
      <c r="X100" s="11" t="n"/>
      <c r="Y100" s="11" t="n"/>
      <c r="Z100" s="11" t="n"/>
      <c r="AA100" s="11" t="n"/>
      <c r="AB100" s="12" t="n"/>
      <c r="AC100" s="11" t="n"/>
      <c r="AD100" s="11" t="n"/>
      <c r="AE100" s="11" t="n"/>
      <c r="AF100" s="11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0" t="inlineStr">
        <is>
          <t>Baixa Imobilizado</t>
        </is>
      </c>
      <c r="D101" s="11" t="n"/>
      <c r="E101" s="11" t="n"/>
      <c r="F101" s="11" t="n"/>
      <c r="G101" s="11" t="n"/>
      <c r="H101" s="12" t="n"/>
      <c r="I101" s="11" t="n"/>
      <c r="J101" s="11" t="n"/>
      <c r="K101" s="11" t="n"/>
      <c r="L101" s="11" t="n"/>
      <c r="M101" s="12" t="n"/>
      <c r="N101" s="11" t="n"/>
      <c r="O101" s="11" t="n"/>
      <c r="P101" s="11" t="n"/>
      <c r="Q101" s="11" t="n"/>
      <c r="R101" s="12" t="n"/>
      <c r="S101" s="11" t="n"/>
      <c r="T101" s="11" t="n"/>
      <c r="U101" s="11" t="n"/>
      <c r="V101" s="11" t="n"/>
      <c r="W101" s="12" t="n"/>
      <c r="X101" s="11" t="n"/>
      <c r="Y101" s="11" t="n"/>
      <c r="Z101" s="11" t="n"/>
      <c r="AA101" s="11" t="n"/>
      <c r="AB101" s="12" t="n"/>
      <c r="AC101" s="11" t="n"/>
      <c r="AD101" s="11" t="n"/>
      <c r="AE101" s="11" t="n"/>
      <c r="AF101" s="11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collapsed="1" customFormat="1" s="32">
      <c r="A104" s="30" t="n"/>
      <c r="B104" s="3" t="n"/>
      <c r="C104" s="33" t="inlineStr">
        <is>
          <t>Pretax Income - EBT</t>
        </is>
      </c>
      <c r="D104" s="35" t="n"/>
      <c r="E104" s="35" t="n"/>
      <c r="F104" s="35" t="n"/>
      <c r="G104" s="35" t="n"/>
      <c r="H104" s="35" t="n"/>
      <c r="I104" s="35">
        <f>SUM(I47,I48,I97)</f>
        <v>3370.688</v>
      </c>
      <c r="J104" s="35">
        <f>SUM(J47,J48,J97)</f>
        <v>3145.748</v>
      </c>
      <c r="K104" s="35">
        <f>SUM(K47,K48,K97)</f>
        <v>3664.897</v>
      </c>
      <c r="L104" s="35">
        <f>SUM(L47,L48,L97)</f>
        <v>3378.063</v>
      </c>
      <c r="M104" s="35">
        <f>SUM(I104:L104)</f>
        <v>13559.396</v>
      </c>
      <c r="N104" s="35">
        <f>SUM(N47,N48,N97)</f>
        <v>2980.895</v>
      </c>
      <c r="O104" s="35">
        <f>SUM(O47,O48,O97)</f>
        <v>-219.232</v>
      </c>
      <c r="P104" s="35">
        <f>SUM(P47,P48,P97)</f>
        <v>97.9310000000001</v>
      </c>
      <c r="Q104" s="35">
        <f>SUM(Q47,Q48,Q97)</f>
        <v>602.195</v>
      </c>
      <c r="R104" s="35">
        <f>SUM(N104:Q104)</f>
        <v>3461.789</v>
      </c>
      <c r="S104" s="35">
        <f>SUM(S47,S48,S97)</f>
        <v>258.356</v>
      </c>
      <c r="T104" s="35">
        <f>SUM(T47,T48,T97)</f>
        <v>1426.976</v>
      </c>
      <c r="U104" s="35">
        <f>SUM(U47,U48,U97)</f>
        <v>1117.302</v>
      </c>
      <c r="V104" s="35">
        <f>SUM(V47,V48,V97)</f>
        <v>155.08</v>
      </c>
      <c r="W104" s="35">
        <f>SUM(S104:V104)</f>
        <v>2957.714</v>
      </c>
      <c r="X104" s="35">
        <f>SUM(X47,X48,X97)</f>
        <v>1879.654</v>
      </c>
      <c r="Y104" s="35">
        <f>SUM(Y47,Y48,Y97)</f>
        <v>1208.609</v>
      </c>
      <c r="Z104" s="35">
        <f>SUM(Z47,Z48,Z97)</f>
        <v>1809.94</v>
      </c>
      <c r="AA104" s="35">
        <f>SUM(AA47,AA48,AA97)</f>
        <v>1561.277</v>
      </c>
      <c r="AB104" s="35">
        <f>SUM(X104:AA104)</f>
        <v>6459.48</v>
      </c>
      <c r="AC104" s="35">
        <f>SUM(AC47,AC48,AC97)</f>
        <v>1452.601</v>
      </c>
      <c r="AD104" s="35">
        <f>SUM(AD47,AD48,AD97)</f>
        <v>1915.627</v>
      </c>
      <c r="AE104" s="35">
        <f>SUM(AE47,AE48,AE97)</f>
        <v>1446.582</v>
      </c>
      <c r="AF104" s="35">
        <f>SUM(AF47,AF48,AF97)</f>
        <v>2356.836</v>
      </c>
      <c r="AG104" s="35">
        <f>SUM(AC104:AF104)</f>
        <v>7171.646</v>
      </c>
      <c r="AH104" s="35">
        <f>SUM(AH47,AH48,AH97)</f>
        <v>1455.057</v>
      </c>
      <c r="AI104" s="35">
        <f>SUM(AI47,AI48,AI97)</f>
        <v>2808.452</v>
      </c>
      <c r="AJ104" s="35">
        <f>SUM(AJ47,AJ48,AJ97:AJ102)</f>
        <v>1865.28585511447</v>
      </c>
      <c r="AK104" s="35">
        <f>SUM(AK47,AK48,AK97:AK102)</f>
        <v>2633.25180413085</v>
      </c>
      <c r="AL104" s="35">
        <f>SUM(AH104:AK104)</f>
        <v>8762.04665924532</v>
      </c>
      <c r="AM104" s="35">
        <f>SUM(AM47,AM48,AM97:AM102)</f>
        <v>2184.73493405107</v>
      </c>
      <c r="AN104" s="35">
        <f>SUM(AN47,AN48,AN97:AN102)</f>
        <v>3046.15495741924</v>
      </c>
      <c r="AO104" s="35">
        <f>SUM(AO47,AO48,AO97:AO102)</f>
        <v>2156.15871663827</v>
      </c>
      <c r="AP104" s="35">
        <f>SUM(AP47,AP48,AP97:AP102)</f>
        <v>3043.88135202566</v>
      </c>
      <c r="AQ104" s="35">
        <f>SUM(AM104:AP104)</f>
        <v>10430.9299601342</v>
      </c>
      <c r="AR104" s="35">
        <f>SUM(AR47,AR48,AR97:AR102)</f>
        <v>2514.49904200459</v>
      </c>
      <c r="AS104" s="35">
        <f>SUM(AS47,AS48,AS97:AS102)</f>
        <v>3505.94188926406</v>
      </c>
      <c r="AT104" s="35">
        <f>SUM(AT47,AT48,AT97:AT102)</f>
        <v>2481.60952749705</v>
      </c>
      <c r="AU104" s="35">
        <f>SUM(AU47,AU48,AU97:AU102)</f>
        <v>3503.32510564654</v>
      </c>
      <c r="AV104" s="35">
        <f>SUM(AR104:AU104)</f>
        <v>12005.3755644122</v>
      </c>
      <c r="AW104" s="35">
        <f>SUM(AW47,AW48,AW97:AW102)</f>
        <v>2881.46528195778</v>
      </c>
      <c r="AX104" s="35">
        <f>SUM(AX47,AX48,AX97:AX102)</f>
        <v>4017.59939682546</v>
      </c>
      <c r="AY104" s="35">
        <f>SUM(AY47,AY48,AY97:AY102)</f>
        <v>2843.77586843611</v>
      </c>
      <c r="AZ104" s="35">
        <f>SUM(AZ47,AZ48,AZ97:AZ102)</f>
        <v>4014.60071954687</v>
      </c>
      <c r="BA104" s="35">
        <f>SUM(AW104:AZ104)</f>
        <v>13757.4412667662</v>
      </c>
      <c r="BB104" s="35">
        <f>SUM(BB47,BB48,BB97:BB102)</f>
        <v>3287.57928501038</v>
      </c>
      <c r="BC104" s="35">
        <f>SUM(BC47,BC48,BC97:BC102)</f>
        <v>4583.84025487875</v>
      </c>
      <c r="BD104" s="35">
        <f>SUM(BD47,BD48,BD97:BD102)</f>
        <v>3244.57792180332</v>
      </c>
      <c r="BE104" s="35">
        <f>SUM(BE47,BE48,BE97:BE102)</f>
        <v>4580.41894372666</v>
      </c>
      <c r="BF104" s="35">
        <f>SUM(BB104:BE104)</f>
        <v>15696.4164054191</v>
      </c>
      <c r="BG104" s="35" t="n"/>
      <c r="BH104" s="35" t="n"/>
      <c r="BI104" s="35" t="n"/>
      <c r="BJ104" s="35" t="n"/>
      <c r="BK104" s="35" t="n"/>
      <c r="BL104" s="35" t="n"/>
      <c r="BM104" s="35" t="n"/>
      <c r="BN104" s="35" t="n"/>
      <c r="BO104" s="35" t="n"/>
      <c r="BP104" s="35" t="n"/>
      <c r="BQ104" s="35" t="n"/>
      <c r="BR104" s="35" t="n"/>
      <c r="BS104" s="35" t="n"/>
      <c r="BT104" s="35" t="n"/>
      <c r="BU104" s="35" t="n"/>
      <c r="BV104" s="35" t="n"/>
      <c r="BW104" s="35" t="n"/>
      <c r="BX104" s="35" t="n"/>
      <c r="BY104" s="35" t="n"/>
      <c r="BZ104" s="35" t="n"/>
      <c r="CA104" s="35" t="n"/>
      <c r="CB104" s="35" t="n"/>
      <c r="CC104" s="35" t="n"/>
      <c r="CD104" s="35" t="n"/>
      <c r="CE104" s="35" t="n"/>
      <c r="CF104" s="35" t="n"/>
      <c r="CG104" s="35" t="n"/>
      <c r="CH104" s="35" t="n"/>
      <c r="CI104" s="35" t="n"/>
      <c r="CJ104" s="35" t="n"/>
      <c r="CK104" s="35" t="n"/>
      <c r="CL104" s="35" t="n"/>
      <c r="CM104" s="35" t="n"/>
      <c r="CN104" s="35" t="n"/>
      <c r="CO104" s="35" t="n"/>
      <c r="CP104" s="35" t="n"/>
      <c r="CQ104" s="35" t="n"/>
      <c r="CR104" s="35" t="n"/>
      <c r="CS104" s="35" t="n"/>
      <c r="CT104" s="35" t="n"/>
      <c r="CU104" s="35" t="n"/>
      <c r="CV104" s="35" t="n"/>
      <c r="CW104" s="35" t="n"/>
      <c r="CX104" s="35" t="n"/>
      <c r="CY104" s="35" t="n"/>
    </row>
    <row r="105">
      <c r="C105" s="14" t="inlineStr">
        <is>
          <t>Taxes</t>
        </is>
      </c>
      <c r="D105" s="46" t="n"/>
      <c r="E105" s="46" t="n"/>
      <c r="F105" s="46" t="n"/>
      <c r="G105" s="46" t="n"/>
      <c r="H105" s="12" t="n"/>
      <c r="I105" s="46">
        <f>'Inputs (2)'!D10</f>
        <v>0.447</v>
      </c>
      <c r="J105" s="46">
        <f>'Inputs (2)'!E10</f>
        <v>-288.25</v>
      </c>
      <c r="K105" s="46">
        <f>'Inputs (2)'!F10</f>
        <v>-458.904</v>
      </c>
      <c r="L105" s="46">
        <f>'Inputs (2)'!G10</f>
        <v>-437.694</v>
      </c>
      <c r="M105" s="12">
        <f>'Inputs (2)'!H10</f>
        <v>-1184.401</v>
      </c>
      <c r="N105" s="46">
        <f>'Inputs (2)'!I10</f>
        <v>-483.281</v>
      </c>
      <c r="O105" s="46">
        <f>'Inputs (2)'!J10</f>
        <v>-36.514</v>
      </c>
      <c r="P105" s="46">
        <f>'Inputs (2)'!K10</f>
        <v>-94.231</v>
      </c>
      <c r="Q105" s="46">
        <f>'Inputs (2)'!L10</f>
        <v>141.146</v>
      </c>
      <c r="R105" s="12">
        <f>'Inputs (2)'!M10</f>
        <v>-472.88</v>
      </c>
      <c r="S105" s="46">
        <f>'Inputs (2)'!N10</f>
        <v>-47.675</v>
      </c>
      <c r="T105" s="46">
        <f>'Inputs (2)'!O10</f>
        <v>-223.269</v>
      </c>
      <c r="U105" s="46">
        <f>'Inputs (2)'!P10</f>
        <v>-196.56</v>
      </c>
      <c r="V105" s="46">
        <f>'Inputs (2)'!Q10</f>
        <v>-45.957</v>
      </c>
      <c r="W105" s="12">
        <f>'Inputs (2)'!R10</f>
        <v>-513.461</v>
      </c>
      <c r="X105" s="46">
        <f>'Inputs (2)'!S10</f>
        <v>-283.671</v>
      </c>
      <c r="Y105" s="46">
        <f>'Inputs (2)'!T10</f>
        <v>-260.246</v>
      </c>
      <c r="Z105" s="46">
        <f>'Inputs (2)'!U10</f>
        <v>-245.303</v>
      </c>
      <c r="AA105" s="46">
        <f>'Inputs (2)'!V10</f>
        <v>-232.451</v>
      </c>
      <c r="AB105" s="12">
        <f>'Inputs (2)'!W10</f>
        <v>-1021.671</v>
      </c>
      <c r="AC105" s="46">
        <f>'Inputs (2)'!X10</f>
        <v>-243.827</v>
      </c>
      <c r="AD105" s="46">
        <f>'Inputs (2)'!Y10</f>
        <v>-289.494</v>
      </c>
      <c r="AE105" s="46">
        <f>'Inputs (2)'!Z10</f>
        <v>-209.657</v>
      </c>
      <c r="AF105" s="46">
        <f>'Inputs (2)'!AA10</f>
        <v>-382.045</v>
      </c>
      <c r="AG105" s="12">
        <f>'Inputs (2)'!AB10</f>
        <v>-1125.023</v>
      </c>
      <c r="AH105" s="12">
        <f>'Inputs (2)'!AC10</f>
        <v>-197.15</v>
      </c>
      <c r="AI105" s="12">
        <f>'Inputs (2)'!AD10</f>
        <v>-452.386</v>
      </c>
      <c r="AJ105" s="12">
        <f>-AJ104*AJ106</f>
        <v>-286.813945180039</v>
      </c>
      <c r="AK105" s="12">
        <f>-AK104*AK106</f>
        <v>-404.899515280393</v>
      </c>
      <c r="AL105" s="12">
        <f>SUM(AH105:AK105)</f>
        <v>-1341.24946046043</v>
      </c>
      <c r="AM105" s="12">
        <f>-AM104*AM106</f>
        <v>-335.933735780881</v>
      </c>
      <c r="AN105" s="12">
        <f>-AN104*AN106</f>
        <v>-468.389184730899</v>
      </c>
      <c r="AO105" s="12">
        <f>-AO104*AO106</f>
        <v>-331.539740280397</v>
      </c>
      <c r="AP105" s="12">
        <f>-AP104*AP106</f>
        <v>-468.039585911539</v>
      </c>
      <c r="AQ105" s="12">
        <f>SUM(AM105:AP105)</f>
        <v>-1603.90224670372</v>
      </c>
      <c r="AR105" s="12">
        <f>-AR104*AR106</f>
        <v>-386.639607227657</v>
      </c>
      <c r="AS105" s="12">
        <f>-AS104*AS106</f>
        <v>-539.087894798877</v>
      </c>
      <c r="AT105" s="12">
        <f>-AT104*AT106</f>
        <v>-381.582381609879</v>
      </c>
      <c r="AU105" s="12">
        <f>-AU104*AU106</f>
        <v>-538.685527498998</v>
      </c>
      <c r="AV105" s="12">
        <f>SUM(AR105:AU105)</f>
        <v>-1845.99541113541</v>
      </c>
      <c r="AW105" s="12">
        <f>-AW104*AW106</f>
        <v>-443.065829911043</v>
      </c>
      <c r="AX105" s="12">
        <f>-AX104*AX106</f>
        <v>-617.762435712964</v>
      </c>
      <c r="AY105" s="12">
        <f>-AY104*AY106</f>
        <v>-437.270552284275</v>
      </c>
      <c r="AZ105" s="12">
        <f>-AZ104*AZ106</f>
        <v>-617.301346889374</v>
      </c>
      <c r="BA105" s="12">
        <f>SUM(AW105:AZ105)</f>
        <v>-2115.40016479766</v>
      </c>
      <c r="BB105" s="12">
        <f>-BB104*BB106</f>
        <v>-505.511571988054</v>
      </c>
      <c r="BC105" s="12">
        <f>-BC104*BC106</f>
        <v>-704.829934764163</v>
      </c>
      <c r="BD105" s="12">
        <f>-BD104*BD106</f>
        <v>-498.89950735693</v>
      </c>
      <c r="BE105" s="12">
        <f>-BE104*BE106</f>
        <v>-704.303860035976</v>
      </c>
      <c r="BF105" s="12">
        <f>SUM(BB105:BE105)</f>
        <v>-2413.54487414512</v>
      </c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% ETR</t>
        </is>
      </c>
      <c r="D106" s="53" t="n"/>
      <c r="E106" s="53" t="n"/>
      <c r="F106" s="53" t="n"/>
      <c r="G106" s="53" t="n"/>
      <c r="H106" s="53" t="n"/>
      <c r="I106" s="53">
        <f>IFERROR(-I105/I104,"")</f>
        <v>-0.000132613875861545</v>
      </c>
      <c r="J106" s="53">
        <f>IFERROR(-J105/J104,"")</f>
        <v>0.0916316246565205</v>
      </c>
      <c r="K106" s="53">
        <f>IFERROR(-K105/K104,"")</f>
        <v>0.125216070192423</v>
      </c>
      <c r="L106" s="53">
        <f>IFERROR(-L105/L104,"")</f>
        <v>0.129569519573791</v>
      </c>
      <c r="M106" s="53">
        <f>IFERROR(-M105/M104,"")</f>
        <v>0.0873490972606744</v>
      </c>
      <c r="N106" s="53">
        <f>IFERROR(-N105/N104,"")</f>
        <v>0.16212613996803</v>
      </c>
      <c r="O106" s="53">
        <f>IFERROR(-O105/O104,"")</f>
        <v>-0.166554152678441</v>
      </c>
      <c r="P106" s="53">
        <f>IFERROR(-P105/P104,"")</f>
        <v>0.962218296555738</v>
      </c>
      <c r="Q106" s="53">
        <f>IFERROR(-Q105/Q104,"")</f>
        <v>-0.234385871686082</v>
      </c>
      <c r="R106" s="53">
        <f>IFERROR(-R105/R104,"")</f>
        <v>0.136599890981224</v>
      </c>
      <c r="S106" s="53">
        <f>IFERROR(-S105/S104,"")</f>
        <v>0.184532195884748</v>
      </c>
      <c r="T106" s="53">
        <f>IFERROR(-T105/T104,"")</f>
        <v>0.15646303792075</v>
      </c>
      <c r="U106" s="53">
        <f>IFERROR(-U105/U104,"")</f>
        <v>0.175923787838919</v>
      </c>
      <c r="V106" s="53">
        <f>IFERROR(-V105/V104,"")</f>
        <v>0.296343822543204</v>
      </c>
      <c r="W106" s="53">
        <f>IFERROR(-W105/W104,"")</f>
        <v>0.173600625347819</v>
      </c>
      <c r="X106" s="53">
        <f>IFERROR(-X105/X104,"")</f>
        <v>0.150916604864512</v>
      </c>
      <c r="Y106" s="53">
        <f>IFERROR(-Y105/Y104,"")</f>
        <v>0.215326875772065</v>
      </c>
      <c r="Z106" s="53">
        <f>IFERROR(-Z105/Z104,"")</f>
        <v>0.135531012077748</v>
      </c>
      <c r="AA106" s="53">
        <f>IFERROR(-AA105/AA104,"")</f>
        <v>0.148885175404493</v>
      </c>
      <c r="AB106" s="53">
        <f>IFERROR(-AB105/AB104,"")</f>
        <v>0.158166137212283</v>
      </c>
      <c r="AC106" s="53">
        <f>IFERROR(-AC105/AC104,"")</f>
        <v>0.167855453768791</v>
      </c>
      <c r="AD106" s="53">
        <f>IFERROR(-AD105/AD104,"")</f>
        <v>0.151122321829876</v>
      </c>
      <c r="AE106" s="53">
        <f>IFERROR(-AE105/AE104,"")</f>
        <v>0.144932675783329</v>
      </c>
      <c r="AF106" s="41">
        <f>IFERROR(-AF105/AF104,"")</f>
        <v>0.162100799546511</v>
      </c>
      <c r="AG106" s="53">
        <f>IFERROR(-AG105/AG104,"")</f>
        <v>0.156870961003931</v>
      </c>
      <c r="AH106" s="41">
        <f>IFERROR(-AH105/AH104,"")</f>
        <v>0.135492973814772</v>
      </c>
      <c r="AI106" s="41">
        <f>IFERROR(-AI105/AI104,"")</f>
        <v>0.161080196492587</v>
      </c>
      <c r="AJ106" s="41">
        <f>Control!$B$22</f>
        <v>0.153764070205978</v>
      </c>
      <c r="AK106" s="41">
        <f>Control!$B$22</f>
        <v>0.153764070205978</v>
      </c>
      <c r="AL106" s="53">
        <f>IFERROR(-AL105/AL104,"")</f>
        <v>0.153074905056024</v>
      </c>
      <c r="AM106" s="41">
        <f>Control!$C$22</f>
        <v>0.153764070205978</v>
      </c>
      <c r="AN106" s="41">
        <f>Control!$C$22</f>
        <v>0.153764070205978</v>
      </c>
      <c r="AO106" s="41">
        <f>Control!$C$22</f>
        <v>0.153764070205978</v>
      </c>
      <c r="AP106" s="41">
        <f>Control!$C$22</f>
        <v>0.153764070205978</v>
      </c>
      <c r="AQ106" s="53">
        <f>IFERROR(-AQ105/AQ104,"")</f>
        <v>0.153764070205978</v>
      </c>
      <c r="AR106" s="41">
        <f>Control!$D$22</f>
        <v>0.153764070205978</v>
      </c>
      <c r="AS106" s="41">
        <f>Control!$D$22</f>
        <v>0.153764070205978</v>
      </c>
      <c r="AT106" s="41">
        <f>Control!$D$22</f>
        <v>0.153764070205978</v>
      </c>
      <c r="AU106" s="41">
        <f>Control!$D$22</f>
        <v>0.153764070205978</v>
      </c>
      <c r="AV106" s="53">
        <f>IFERROR(-AV105/AV104,"")</f>
        <v>0.153764070205978</v>
      </c>
      <c r="AW106" s="41">
        <f>Control!$E$22</f>
        <v>0.153764070205978</v>
      </c>
      <c r="AX106" s="41">
        <f>Control!$E$22</f>
        <v>0.153764070205978</v>
      </c>
      <c r="AY106" s="41">
        <f>Control!$E$22</f>
        <v>0.153764070205978</v>
      </c>
      <c r="AZ106" s="41">
        <f>Control!$E$22</f>
        <v>0.153764070205978</v>
      </c>
      <c r="BA106" s="53">
        <f>IFERROR(-BA105/BA104,"")</f>
        <v>0.153764070205978</v>
      </c>
      <c r="BB106" s="41">
        <f>Control!$F$22</f>
        <v>0.153764070205978</v>
      </c>
      <c r="BC106" s="41">
        <f>Control!$F$22</f>
        <v>0.153764070205978</v>
      </c>
      <c r="BD106" s="41">
        <f>Control!$F$22</f>
        <v>0.153764070205978</v>
      </c>
      <c r="BE106" s="41">
        <f>Control!$F$22</f>
        <v>0.153764070205978</v>
      </c>
      <c r="BF106" s="53">
        <f>IFERROR(-BF105/BF104,"")</f>
        <v>0.153764070205978</v>
      </c>
      <c r="BG106" s="41" t="n"/>
      <c r="BH106" s="41" t="n"/>
      <c r="BI106" s="41" t="n"/>
      <c r="BJ106" s="41" t="n"/>
      <c r="BK106" s="53" t="n"/>
      <c r="BL106" s="41" t="n"/>
      <c r="BM106" s="41" t="n"/>
      <c r="BN106" s="41" t="n"/>
      <c r="BO106" s="41" t="n"/>
      <c r="BP106" s="53" t="n"/>
      <c r="BQ106" s="41" t="n"/>
      <c r="BR106" s="41" t="n"/>
      <c r="BS106" s="41" t="n"/>
      <c r="BT106" s="41" t="n"/>
      <c r="BU106" s="53" t="n"/>
      <c r="BV106" s="41" t="n"/>
      <c r="BW106" s="41" t="n"/>
      <c r="BX106" s="41" t="n"/>
      <c r="BY106" s="41" t="n"/>
      <c r="BZ106" s="53" t="n"/>
      <c r="CA106" s="41" t="n"/>
      <c r="CB106" s="41" t="n"/>
      <c r="CC106" s="41" t="n"/>
      <c r="CD106" s="41" t="n"/>
      <c r="CE106" s="53" t="n"/>
      <c r="CF106" s="41" t="n"/>
      <c r="CG106" s="41" t="n"/>
      <c r="CH106" s="41" t="n"/>
      <c r="CI106" s="41" t="n"/>
      <c r="CJ106" s="53" t="n"/>
      <c r="CK106" s="41" t="n"/>
      <c r="CL106" s="41" t="n"/>
      <c r="CM106" s="41" t="n"/>
      <c r="CN106" s="41" t="n"/>
      <c r="CO106" s="53" t="n"/>
      <c r="CP106" s="41" t="n"/>
      <c r="CQ106" s="41" t="n"/>
      <c r="CR106" s="41" t="n"/>
      <c r="CS106" s="41" t="n"/>
      <c r="CT106" s="53" t="n"/>
      <c r="CU106" s="41" t="n"/>
      <c r="CV106" s="41" t="n"/>
      <c r="CW106" s="41" t="n"/>
      <c r="CX106" s="41" t="n"/>
      <c r="CY106" s="53" t="n"/>
    </row>
    <row r="107" hidden="1" outlineLevel="1">
      <c r="C107" s="57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collapsed="1">
      <c r="C109" s="14" t="inlineStr">
        <is>
          <t>Equity in Income of Affiliates, after tax (enter as +)</t>
        </is>
      </c>
      <c r="D109" s="46" t="n"/>
      <c r="E109" s="46" t="n"/>
      <c r="F109" s="46" t="n"/>
      <c r="G109" s="46" t="n"/>
      <c r="H109" s="12" t="n"/>
      <c r="I109" s="46">
        <f>'Inputs (2)'!D11</f>
        <v>-1623.263</v>
      </c>
      <c r="J109" s="46">
        <f>'Inputs (2)'!E11</f>
        <v>-1548.346</v>
      </c>
      <c r="K109" s="46">
        <f>'Inputs (2)'!F11</f>
        <v>-1804.098</v>
      </c>
      <c r="L109" s="46">
        <f>'Inputs (2)'!G11</f>
        <v>-1541.891</v>
      </c>
      <c r="M109" s="12">
        <f>'Inputs (2)'!H11</f>
        <v>-6517.598</v>
      </c>
      <c r="N109" s="46">
        <f>'Inputs (2)'!I11</f>
        <v>-1280.74</v>
      </c>
      <c r="O109" s="46">
        <f>'Inputs (2)'!J11</f>
        <v>226.353</v>
      </c>
      <c r="P109" s="46">
        <f>'Inputs (2)'!K11</f>
        <v>-1.404</v>
      </c>
      <c r="Q109" s="46">
        <f>'Inputs (2)'!L11</f>
        <v>-185.487</v>
      </c>
      <c r="R109" s="12">
        <f>'Inputs (2)'!M11</f>
        <v>-1241.278</v>
      </c>
      <c r="S109" s="46">
        <f>'Inputs (2)'!N11</f>
        <v>-124.869</v>
      </c>
      <c r="T109" s="46">
        <f>'Inputs (2)'!O11</f>
        <v>-602.433</v>
      </c>
      <c r="U109" s="46">
        <f>'Inputs (2)'!P11</f>
        <v>-368.748</v>
      </c>
      <c r="V109" s="46">
        <f>'Inputs (2)'!Q11</f>
        <v>42.677</v>
      </c>
      <c r="W109" s="12">
        <f>'Inputs (2)'!R11</f>
        <v>-1053.373</v>
      </c>
      <c r="X109" s="46">
        <f>'Inputs (2)'!S11</f>
        <v>-748.597</v>
      </c>
      <c r="Y109" s="46">
        <f>'Inputs (2)'!T11</f>
        <v>-503.949</v>
      </c>
      <c r="Z109" s="46">
        <f>'Inputs (2)'!U11</f>
        <v>-783.802</v>
      </c>
      <c r="AA109" s="46">
        <f>'Inputs (2)'!V11</f>
        <v>-624.953</v>
      </c>
      <c r="AB109" s="12">
        <f>'Inputs (2)'!W11</f>
        <v>-2661.301</v>
      </c>
      <c r="AC109" s="46">
        <f>'Inputs (2)'!X11</f>
        <v>-593.922</v>
      </c>
      <c r="AD109" s="46">
        <f>'Inputs (2)'!Y11</f>
        <v>-861.889</v>
      </c>
      <c r="AE109" s="46">
        <f>'Inputs (2)'!Z11</f>
        <v>-612.008</v>
      </c>
      <c r="AF109" s="46">
        <f>'Inputs (2)'!AA11</f>
        <v>-959.59</v>
      </c>
      <c r="AG109" s="12">
        <f>'Inputs (2)'!AB11</f>
        <v>-3027.409</v>
      </c>
      <c r="AH109" s="12">
        <f>'Inputs (2)'!AC11</f>
        <v>-608.178</v>
      </c>
      <c r="AI109" s="12">
        <f>'Inputs (2)'!AD11</f>
        <v>-1126.877</v>
      </c>
      <c r="AJ109" s="12">
        <f>0</f>
        <v>0</v>
      </c>
      <c r="AK109" s="12">
        <f>0</f>
        <v>0</v>
      </c>
      <c r="AL109" s="12">
        <f>SUM(AH109:AK109)</f>
        <v>-1735.055</v>
      </c>
      <c r="AM109" s="12">
        <f>0</f>
        <v>0</v>
      </c>
      <c r="AN109" s="12">
        <f>0</f>
        <v>0</v>
      </c>
      <c r="AO109" s="12">
        <f>0</f>
        <v>0</v>
      </c>
      <c r="AP109" s="12">
        <f>0</f>
        <v>0</v>
      </c>
      <c r="AQ109" s="12">
        <f>SUM(AM109:AP109)</f>
        <v>0</v>
      </c>
      <c r="AR109" s="12">
        <f>0</f>
        <v>0</v>
      </c>
      <c r="AS109" s="12">
        <f>0</f>
        <v>0</v>
      </c>
      <c r="AT109" s="12">
        <f>0</f>
        <v>0</v>
      </c>
      <c r="AU109" s="12">
        <f>0</f>
        <v>0</v>
      </c>
      <c r="AV109" s="12">
        <f>SUM(AR109:AU109)</f>
        <v>0</v>
      </c>
      <c r="AW109" s="12">
        <f>0</f>
        <v>0</v>
      </c>
      <c r="AX109" s="12">
        <f>0</f>
        <v>0</v>
      </c>
      <c r="AY109" s="12">
        <f>0</f>
        <v>0</v>
      </c>
      <c r="AZ109" s="12">
        <f>0</f>
        <v>0</v>
      </c>
      <c r="BA109" s="12">
        <f>SUM(AW109:AZ109)</f>
        <v>0</v>
      </c>
      <c r="BB109" s="12">
        <f>0</f>
        <v>0</v>
      </c>
      <c r="BC109" s="12">
        <f>0</f>
        <v>0</v>
      </c>
      <c r="BD109" s="12">
        <f>0</f>
        <v>0</v>
      </c>
      <c r="BE109" s="12">
        <f>0</f>
        <v>0</v>
      </c>
      <c r="BF109" s="12">
        <f>SUM(BB109:BE109)</f>
        <v>0</v>
      </c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>
      <c r="C110" s="14" t="inlineStr">
        <is>
          <t>Minority Interest Expense, after tax (enter as - )</t>
        </is>
      </c>
      <c r="D110" s="46" t="n"/>
      <c r="E110" s="46" t="n"/>
      <c r="F110" s="46" t="n"/>
      <c r="G110" s="46" t="n"/>
      <c r="H110" s="12" t="n"/>
      <c r="I110" s="46">
        <f>'Inputs (2)'!D12</f>
        <v>0</v>
      </c>
      <c r="J110" s="46">
        <f>'Inputs (2)'!E12</f>
        <v>0</v>
      </c>
      <c r="K110" s="46">
        <f>'Inputs (2)'!F12</f>
        <v>0</v>
      </c>
      <c r="L110" s="46">
        <f>'Inputs (2)'!G12</f>
        <v>0</v>
      </c>
      <c r="M110" s="12">
        <f>'Inputs (2)'!H12</f>
        <v>0</v>
      </c>
      <c r="N110" s="46">
        <f>'Inputs (2)'!I12</f>
        <v>0</v>
      </c>
      <c r="O110" s="46">
        <f>'Inputs (2)'!J12</f>
        <v>0</v>
      </c>
      <c r="P110" s="46">
        <f>'Inputs (2)'!K12</f>
        <v>0</v>
      </c>
      <c r="Q110" s="46">
        <f>'Inputs (2)'!L12</f>
        <v>0</v>
      </c>
      <c r="R110" s="12">
        <f>'Inputs (2)'!M12</f>
        <v>0</v>
      </c>
      <c r="S110" s="46">
        <f>'Inputs (2)'!N12</f>
        <v>0</v>
      </c>
      <c r="T110" s="46">
        <f>'Inputs (2)'!O12</f>
        <v>0</v>
      </c>
      <c r="U110" s="46">
        <f>'Inputs (2)'!P12</f>
        <v>0</v>
      </c>
      <c r="V110" s="46">
        <f>'Inputs (2)'!Q12</f>
        <v>0</v>
      </c>
      <c r="W110" s="12">
        <f>'Inputs (2)'!R12</f>
        <v>0</v>
      </c>
      <c r="X110" s="46">
        <f>'Inputs (2)'!S12</f>
        <v>0</v>
      </c>
      <c r="Y110" s="46">
        <f>'Inputs (2)'!T12</f>
        <v>0</v>
      </c>
      <c r="Z110" s="46">
        <f>'Inputs (2)'!U12</f>
        <v>0</v>
      </c>
      <c r="AA110" s="46">
        <f>'Inputs (2)'!V12</f>
        <v>0</v>
      </c>
      <c r="AB110" s="12">
        <f>'Inputs (2)'!W12</f>
        <v>0</v>
      </c>
      <c r="AC110" s="46">
        <f>'Inputs (2)'!X12</f>
        <v>0</v>
      </c>
      <c r="AD110" s="46">
        <f>'Inputs (2)'!Y12</f>
        <v>0</v>
      </c>
      <c r="AE110" s="46">
        <f>'Inputs (2)'!Z12</f>
        <v>0</v>
      </c>
      <c r="AF110" s="46">
        <f>'Inputs (2)'!AA12</f>
        <v>0</v>
      </c>
      <c r="AG110" s="12">
        <f>'Inputs (2)'!AB12</f>
        <v>0</v>
      </c>
      <c r="AH110" s="12">
        <f>'Inputs (2)'!AC12</f>
        <v>0</v>
      </c>
      <c r="AI110" s="12">
        <f>'Inputs (2)'!AD12</f>
        <v>0</v>
      </c>
      <c r="AJ110" s="12">
        <f>0</f>
        <v>0</v>
      </c>
      <c r="AK110" s="12">
        <f>0</f>
        <v>0</v>
      </c>
      <c r="AL110" s="12">
        <f>SUM(AH110:AK110)</f>
        <v>0</v>
      </c>
      <c r="AM110" s="12">
        <f>0</f>
        <v>0</v>
      </c>
      <c r="AN110" s="12">
        <f>0</f>
        <v>0</v>
      </c>
      <c r="AO110" s="12">
        <f>0</f>
        <v>0</v>
      </c>
      <c r="AP110" s="12">
        <f>0</f>
        <v>0</v>
      </c>
      <c r="AQ110" s="12">
        <f>SUM(AM110:AP110)</f>
        <v>0</v>
      </c>
      <c r="AR110" s="12">
        <f>0</f>
        <v>0</v>
      </c>
      <c r="AS110" s="12">
        <f>0</f>
        <v>0</v>
      </c>
      <c r="AT110" s="12">
        <f>0</f>
        <v>0</v>
      </c>
      <c r="AU110" s="12">
        <f>0</f>
        <v>0</v>
      </c>
      <c r="AV110" s="12">
        <f>SUM(AR110:AU110)</f>
        <v>0</v>
      </c>
      <c r="AW110" s="12">
        <f>0</f>
        <v>0</v>
      </c>
      <c r="AX110" s="12">
        <f>0</f>
        <v>0</v>
      </c>
      <c r="AY110" s="12">
        <f>0</f>
        <v>0</v>
      </c>
      <c r="AZ110" s="12">
        <f>0</f>
        <v>0</v>
      </c>
      <c r="BA110" s="12">
        <f>SUM(AW110:AZ110)</f>
        <v>0</v>
      </c>
      <c r="BB110" s="12">
        <f>0</f>
        <v>0</v>
      </c>
      <c r="BC110" s="12">
        <f>0</f>
        <v>0</v>
      </c>
      <c r="BD110" s="12">
        <f>0</f>
        <v>0</v>
      </c>
      <c r="BE110" s="12">
        <f>0</f>
        <v>0</v>
      </c>
      <c r="BF110" s="12">
        <f>SUM(BB110:BE110)</f>
        <v>0</v>
      </c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customFormat="1" s="32">
      <c r="A111" s="30" t="n"/>
      <c r="B111" s="3" t="n"/>
      <c r="C111" s="33" t="inlineStr">
        <is>
          <t>Net Income</t>
        </is>
      </c>
      <c r="D111" s="35" t="n"/>
      <c r="E111" s="35" t="n"/>
      <c r="F111" s="35" t="n"/>
      <c r="G111" s="35" t="n"/>
      <c r="H111" s="35" t="n"/>
      <c r="I111" s="35">
        <f>SUM(I104,I105,I109,I110)</f>
        <v>1747.872</v>
      </c>
      <c r="J111" s="35">
        <f>SUM(J104,J105,J109,J110)</f>
        <v>1309.152</v>
      </c>
      <c r="K111" s="35">
        <f>SUM(K104,K105,K109,K110)</f>
        <v>1401.895</v>
      </c>
      <c r="L111" s="35">
        <f>SUM(L104,L105,L109,L110)</f>
        <v>1398.478</v>
      </c>
      <c r="M111" s="35">
        <f>SUM(I111:L111)</f>
        <v>5857.397</v>
      </c>
      <c r="N111" s="35">
        <f>SUM(N104,N105,N109,N110)</f>
        <v>1216.874</v>
      </c>
      <c r="O111" s="35">
        <f>SUM(O104,O105,O109,O110)</f>
        <v>-29.3929999999999</v>
      </c>
      <c r="P111" s="35">
        <f>SUM(P104,P105,P109,P110)</f>
        <v>2.29600000000007</v>
      </c>
      <c r="Q111" s="35">
        <f>SUM(Q104,Q105,Q109,Q110)</f>
        <v>557.854</v>
      </c>
      <c r="R111" s="35">
        <f>SUM(N111:Q111)</f>
        <v>1747.631</v>
      </c>
      <c r="S111" s="35">
        <f>SUM(S104,S105,S109,S110)</f>
        <v>85.8120000000001</v>
      </c>
      <c r="T111" s="35">
        <f>SUM(T104,T105,T109,T110)</f>
        <v>601.274</v>
      </c>
      <c r="U111" s="35">
        <f>SUM(U104,U105,U109,U110)</f>
        <v>551.994</v>
      </c>
      <c r="V111" s="35">
        <f>SUM(V104,V105,V109,V110)</f>
        <v>151.8</v>
      </c>
      <c r="W111" s="35">
        <f>SUM(S111:V111)</f>
        <v>1390.88</v>
      </c>
      <c r="X111" s="35">
        <f>SUM(X104,X105,X109,X110)</f>
        <v>847.386</v>
      </c>
      <c r="Y111" s="35">
        <f>SUM(Y104,Y105,Y109,Y110)</f>
        <v>444.414</v>
      </c>
      <c r="Z111" s="35">
        <f>SUM(Z104,Z105,Z109,Z110)</f>
        <v>780.835</v>
      </c>
      <c r="AA111" s="35">
        <f>SUM(AA104,AA105,AA109,AA110)</f>
        <v>703.873</v>
      </c>
      <c r="AB111" s="35">
        <f>SUM(X111:AA111)</f>
        <v>2776.508</v>
      </c>
      <c r="AC111" s="35">
        <f>SUM(AC104,AC105,AC109,AC110)</f>
        <v>614.852</v>
      </c>
      <c r="AD111" s="35">
        <f>SUM(AD104,AD105,AD109,AD110)</f>
        <v>764.244</v>
      </c>
      <c r="AE111" s="35">
        <f>SUM(AE104,AE105,AE109,AE110)</f>
        <v>624.917</v>
      </c>
      <c r="AF111" s="35">
        <f>SUM(AF104,AF105,AF109,AF110)</f>
        <v>1015.201</v>
      </c>
      <c r="AG111" s="35">
        <f>SUM(AC111:AF111)</f>
        <v>3019.214</v>
      </c>
      <c r="AH111" s="35">
        <f>SUM(AH104,AH105,AH109,AH110)</f>
        <v>649.729</v>
      </c>
      <c r="AI111" s="35">
        <f>SUM(AI104,AI105,AI109,AI110)</f>
        <v>1229.189</v>
      </c>
      <c r="AJ111" s="35">
        <f>SUM(AJ104,AJ105,AJ109,AJ110)</f>
        <v>1578.47190993443</v>
      </c>
      <c r="AK111" s="35">
        <f>SUM(AK104,AK105,AK109,AK110)</f>
        <v>2228.35228885046</v>
      </c>
      <c r="AL111" s="35">
        <f>SUM(AH111:AK111)</f>
        <v>5685.74219878489</v>
      </c>
      <c r="AM111" s="35">
        <f>SUM(AM104,AM105,AM109,AM110)</f>
        <v>1848.80119827019</v>
      </c>
      <c r="AN111" s="35">
        <f>SUM(AN104,AN105,AN109,AN110)</f>
        <v>2577.76577268834</v>
      </c>
      <c r="AO111" s="35">
        <f>SUM(AO104,AO105,AO109,AO110)</f>
        <v>1824.61897635787</v>
      </c>
      <c r="AP111" s="35">
        <f>SUM(AP104,AP105,AP109,AP110)</f>
        <v>2575.84176611412</v>
      </c>
      <c r="AQ111" s="35">
        <f>SUM(AM111:AP111)</f>
        <v>8827.02771343052</v>
      </c>
      <c r="AR111" s="35">
        <f>SUM(AR104,AR105,AR109,AR110)</f>
        <v>2127.85943477693</v>
      </c>
      <c r="AS111" s="35">
        <f>SUM(AS104,AS105,AS109,AS110)</f>
        <v>2966.85399446519</v>
      </c>
      <c r="AT111" s="35">
        <f>SUM(AT104,AT105,AT109,AT110)</f>
        <v>2100.02714588717</v>
      </c>
      <c r="AU111" s="35">
        <f>SUM(AU104,AU105,AU109,AU110)</f>
        <v>2964.63957814754</v>
      </c>
      <c r="AV111" s="35">
        <f>SUM(AR111:AU111)</f>
        <v>10159.3801532768</v>
      </c>
      <c r="AW111" s="35">
        <f>SUM(AW104,AW105,AW109,AW110)</f>
        <v>2438.39945204673</v>
      </c>
      <c r="AX111" s="35">
        <f>SUM(AX104,AX105,AX109,AX110)</f>
        <v>3399.8369611125</v>
      </c>
      <c r="AY111" s="35">
        <f>SUM(AY104,AY105,AY109,AY110)</f>
        <v>2406.50531615184</v>
      </c>
      <c r="AZ111" s="35">
        <f>SUM(AZ104,AZ105,AZ109,AZ110)</f>
        <v>3397.2993726575</v>
      </c>
      <c r="BA111" s="35">
        <f>SUM(AW111:AZ111)</f>
        <v>11642.0411019686</v>
      </c>
      <c r="BB111" s="35">
        <f>SUM(BB104,BB105,BB109,BB110)</f>
        <v>2782.06771302233</v>
      </c>
      <c r="BC111" s="35">
        <f>SUM(BC104,BC105,BC109,BC110)</f>
        <v>3879.01032011459</v>
      </c>
      <c r="BD111" s="35">
        <f>SUM(BD104,BD105,BD109,BD110)</f>
        <v>2745.67841444639</v>
      </c>
      <c r="BE111" s="35">
        <f>SUM(BE104,BE105,BE109,BE110)</f>
        <v>3876.11508369068</v>
      </c>
      <c r="BF111" s="35">
        <f>SUM(BB111:BE111)</f>
        <v>13282.871531274</v>
      </c>
      <c r="BG111" s="35" t="n"/>
      <c r="BH111" s="35" t="n"/>
      <c r="BI111" s="35" t="n"/>
      <c r="BJ111" s="35" t="n"/>
      <c r="BK111" s="35" t="n"/>
      <c r="BL111" s="35" t="n"/>
      <c r="BM111" s="35" t="n"/>
      <c r="BN111" s="35" t="n"/>
      <c r="BO111" s="35" t="n"/>
      <c r="BP111" s="35" t="n"/>
      <c r="BQ111" s="35" t="n"/>
      <c r="BR111" s="35" t="n"/>
      <c r="BS111" s="35" t="n"/>
      <c r="BT111" s="35" t="n"/>
      <c r="BU111" s="35" t="n"/>
      <c r="BV111" s="35" t="n"/>
      <c r="BW111" s="35" t="n"/>
      <c r="BX111" s="35" t="n"/>
      <c r="BY111" s="35" t="n"/>
      <c r="BZ111" s="35" t="n"/>
      <c r="CA111" s="35" t="n"/>
      <c r="CB111" s="35" t="n"/>
      <c r="CC111" s="35" t="n"/>
      <c r="CD111" s="35" t="n"/>
      <c r="CE111" s="35" t="n"/>
      <c r="CF111" s="35" t="n"/>
      <c r="CG111" s="35" t="n"/>
      <c r="CH111" s="35" t="n"/>
      <c r="CI111" s="35" t="n"/>
      <c r="CJ111" s="35" t="n"/>
      <c r="CK111" s="35" t="n"/>
      <c r="CL111" s="35" t="n"/>
      <c r="CM111" s="35" t="n"/>
      <c r="CN111" s="35" t="n"/>
      <c r="CO111" s="35" t="n"/>
      <c r="CP111" s="35" t="n"/>
      <c r="CQ111" s="35" t="n"/>
      <c r="CR111" s="35" t="n"/>
      <c r="CS111" s="35" t="n"/>
      <c r="CT111" s="35" t="n"/>
      <c r="CU111" s="35" t="n"/>
      <c r="CV111" s="35" t="n"/>
      <c r="CW111" s="35" t="n"/>
      <c r="CX111" s="35" t="n"/>
      <c r="CY111" s="35" t="n"/>
    </row>
    <row r="112">
      <c r="C112" s="13" t="inlineStr">
        <is>
          <t>Common Dividends</t>
        </is>
      </c>
      <c r="D112" s="46" t="n"/>
      <c r="E112" s="46" t="n"/>
      <c r="F112" s="46" t="n"/>
      <c r="G112" s="46" t="n"/>
      <c r="H112" s="12" t="n"/>
      <c r="I112" s="46">
        <f>'Inputs (2)'!D13</f>
        <v>-1255.128</v>
      </c>
      <c r="J112" s="46">
        <f>'Inputs (2)'!E13</f>
        <v>-1023.262</v>
      </c>
      <c r="K112" s="46">
        <f>'Inputs (2)'!F13</f>
        <v>-925.25</v>
      </c>
      <c r="L112" s="46">
        <f>'Inputs (2)'!G13</f>
        <v>-1398.934</v>
      </c>
      <c r="M112" s="12">
        <f>'Inputs (2)'!H13</f>
        <v>-4602.574</v>
      </c>
      <c r="N112" s="46">
        <f>'Inputs (2)'!I13</f>
        <v>-1958.044</v>
      </c>
      <c r="O112" s="46">
        <f>'Inputs (2)'!J13</f>
        <v>-1663.668</v>
      </c>
      <c r="P112" s="46">
        <f>'Inputs (2)'!K13</f>
        <v>-1709.17</v>
      </c>
      <c r="Q112" s="46">
        <f>'Inputs (2)'!L13</f>
        <v>-1187.903</v>
      </c>
      <c r="R112" s="12">
        <f>'Inputs (2)'!M13</f>
        <v>-6518.785</v>
      </c>
      <c r="S112" s="46">
        <f>'Inputs (2)'!N13</f>
        <v>-1137.34</v>
      </c>
      <c r="T112" s="46">
        <f>'Inputs (2)'!O13</f>
        <v>-1052.741</v>
      </c>
      <c r="U112" s="46">
        <f>'Inputs (2)'!P13</f>
        <v>-1039.046</v>
      </c>
      <c r="V112" s="46">
        <f>'Inputs (2)'!Q13</f>
        <v>-1039.32</v>
      </c>
      <c r="W112" s="12">
        <f>'Inputs (2)'!R13</f>
        <v>-4268.447</v>
      </c>
      <c r="X112" s="46">
        <f>'Inputs (2)'!S13</f>
        <v>-1176.535</v>
      </c>
      <c r="Y112" s="46">
        <f>'Inputs (2)'!T13</f>
        <v>-1088.076</v>
      </c>
      <c r="Z112" s="46">
        <f>'Inputs (2)'!U13</f>
        <v>-1071.2</v>
      </c>
      <c r="AA112" s="46">
        <f>'Inputs (2)'!V13</f>
        <v>-1088.372</v>
      </c>
      <c r="AB112" s="12">
        <f>'Inputs (2)'!W13</f>
        <v>-4424.183</v>
      </c>
      <c r="AC112" s="46">
        <f>'Inputs (2)'!X13</f>
        <v>-1858.537</v>
      </c>
      <c r="AD112" s="46">
        <f>'Inputs (2)'!Y13</f>
        <v>-1215.471</v>
      </c>
      <c r="AE112" s="46">
        <f>'Inputs (2)'!Z13</f>
        <v>-1341.824</v>
      </c>
      <c r="AF112" s="46">
        <f>'Inputs (2)'!AA13</f>
        <v>-1597.553</v>
      </c>
      <c r="AG112" s="12">
        <f>'Inputs (2)'!AB13</f>
        <v>-6013.385</v>
      </c>
      <c r="AH112" s="12">
        <f>'Inputs (2)'!AC13</f>
        <v>-1917.928</v>
      </c>
      <c r="AI112" s="12">
        <f>'Inputs (2)'!AD13</f>
        <v>-1528.904</v>
      </c>
      <c r="AJ112" s="12">
        <f>-MAX(0,AJ111)*Control!$E$15</f>
        <v>0</v>
      </c>
      <c r="AK112" s="12">
        <f>-MAX(0,AK111)*Control!$E$15</f>
        <v>0</v>
      </c>
      <c r="AL112" s="12">
        <f>SUM(AH112:AK112)</f>
        <v>-3446.832</v>
      </c>
      <c r="AM112" s="12">
        <f>-MAX(0,AM111)*Control!$E$15</f>
        <v>0</v>
      </c>
      <c r="AN112" s="12">
        <f>-MAX(0,AN111)*Control!$E$15</f>
        <v>0</v>
      </c>
      <c r="AO112" s="12">
        <f>-MAX(0,AO111)*Control!$E$15</f>
        <v>0</v>
      </c>
      <c r="AP112" s="12">
        <f>-MAX(0,AP111)*Control!$E$15</f>
        <v>0</v>
      </c>
      <c r="AQ112" s="12">
        <f>SUM(AM112:AP112)</f>
        <v>0</v>
      </c>
      <c r="AR112" s="12">
        <f>-MAX(0,AR111)*Control!$E$15</f>
        <v>0</v>
      </c>
      <c r="AS112" s="12">
        <f>-MAX(0,AS111)*Control!$E$15</f>
        <v>0</v>
      </c>
      <c r="AT112" s="12">
        <f>-MAX(0,AT111)*Control!$E$15</f>
        <v>0</v>
      </c>
      <c r="AU112" s="12">
        <f>-MAX(0,AU111)*Control!$E$15</f>
        <v>0</v>
      </c>
      <c r="AV112" s="12">
        <f>SUM(AR112:AU112)</f>
        <v>0</v>
      </c>
      <c r="AW112" s="12">
        <f>-MAX(0,AW111)*Control!$E$15</f>
        <v>0</v>
      </c>
      <c r="AX112" s="12">
        <f>-MAX(0,AX111)*Control!$E$15</f>
        <v>0</v>
      </c>
      <c r="AY112" s="12">
        <f>-MAX(0,AY111)*Control!$E$15</f>
        <v>0</v>
      </c>
      <c r="AZ112" s="12">
        <f>-MAX(0,AZ111)*Control!$E$15</f>
        <v>0</v>
      </c>
      <c r="BA112" s="12">
        <f>SUM(AW112:AZ112)</f>
        <v>0</v>
      </c>
      <c r="BB112" s="12">
        <f>-MAX(0,BB111)*Control!$E$15</f>
        <v>0</v>
      </c>
      <c r="BC112" s="12">
        <f>-MAX(0,BC111)*Control!$E$15</f>
        <v>0</v>
      </c>
      <c r="BD112" s="12">
        <f>-MAX(0,BD111)*Control!$E$15</f>
        <v>0</v>
      </c>
      <c r="BE112" s="12">
        <f>-MAX(0,BE111)*Control!$E$15</f>
        <v>0</v>
      </c>
      <c r="BF112" s="12">
        <f>SUM(BB112:BE112)</f>
        <v>0</v>
      </c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0" t="inlineStr">
        <is>
          <t>% DVD Payout</t>
        </is>
      </c>
      <c r="D113" s="58" t="n"/>
      <c r="E113" s="58" t="n"/>
      <c r="F113" s="58" t="n"/>
      <c r="G113" s="58" t="n"/>
      <c r="H113" s="58" t="n"/>
      <c r="I113" s="58">
        <f>IF(I111=0,"",-I112/I111)</f>
        <v>0.718089196462899</v>
      </c>
      <c r="J113" s="58">
        <f>IF(J111=0,"",-J112/J111)</f>
        <v>0.781621996529051</v>
      </c>
      <c r="K113" s="58">
        <f>IF(K111=0,"",-K112/K111)</f>
        <v>0.659999500675871</v>
      </c>
      <c r="L113" s="58">
        <f>IF(L111=0,"",-L112/L111)</f>
        <v>1.00032606876905</v>
      </c>
      <c r="M113" s="58">
        <f>IF(M111=0,"",-M112/M111)</f>
        <v>0.785771222268185</v>
      </c>
      <c r="N113" s="58">
        <f>IF(N111=0,"",-N112/N111)</f>
        <v>1.60907702851733</v>
      </c>
      <c r="O113" s="58">
        <f>IF(O111=0,"",-O112/O111)</f>
        <v>-56.6008233252817</v>
      </c>
      <c r="P113" s="58">
        <f>IF(P111=0,"",-P112/P111)</f>
        <v>744.412020905899</v>
      </c>
      <c r="Q113" s="58">
        <f>IF(Q111=0,"",-Q112/Q111)</f>
        <v>2.12941558185475</v>
      </c>
      <c r="R113" s="58">
        <f>IF(R111=0,"",-R112/R111)</f>
        <v>3.73006944829887</v>
      </c>
      <c r="S113" s="58">
        <f>IF(S111=0,"",-S112/S111)</f>
        <v>13.2538572693796</v>
      </c>
      <c r="T113" s="58">
        <f>IF(T111=0,"",-T112/T111)</f>
        <v>1.75085069369372</v>
      </c>
      <c r="U113" s="58">
        <f>IF(U111=0,"",-U112/U111)</f>
        <v>1.88235017047287</v>
      </c>
      <c r="V113" s="58">
        <f>IF(V111=0,"",-V112/V111)</f>
        <v>6.84664031620554</v>
      </c>
      <c r="W113" s="58">
        <f>IF(W111=0,"",-W112/W111)</f>
        <v>3.06888229034856</v>
      </c>
      <c r="X113" s="58">
        <f>IF(X111=0,"",-X112/X111)</f>
        <v>1.3884286499895</v>
      </c>
      <c r="Y113" s="58">
        <f>IF(Y111=0,"",-Y112/Y111)</f>
        <v>2.44833871120172</v>
      </c>
      <c r="Z113" s="58">
        <f>IF(Z111=0,"",-Z112/Z111)</f>
        <v>1.37186473454699</v>
      </c>
      <c r="AA113" s="58">
        <f>IF(AA111=0,"",-AA112/AA111)</f>
        <v>1.54626189667738</v>
      </c>
      <c r="AB113" s="58">
        <f>IF(AB111=0,"",-AB112/AB111)</f>
        <v>1.59343427067381</v>
      </c>
      <c r="AC113" s="58">
        <f>IF(AC111=0,"",-AC112/AC111)</f>
        <v>3.0227388054361</v>
      </c>
      <c r="AD113" s="58">
        <f>IF(AD111=0,"",-AD112/AD111)</f>
        <v>1.59042269222918</v>
      </c>
      <c r="AE113" s="58">
        <f>IF(AE111=0,"",-AE112/AE111)</f>
        <v>2.14720354863126</v>
      </c>
      <c r="AF113" s="41">
        <f>IF(AF111=0,"",-AF112/AF111)</f>
        <v>1.57363221667433</v>
      </c>
      <c r="AG113" s="12">
        <f>IF(AG111=0,"",-AG112/AG111)</f>
        <v>1.99170545711566</v>
      </c>
      <c r="AH113" s="41">
        <f>IF(AH111=0,"",-AH112/AH111)</f>
        <v>2.95188917225489</v>
      </c>
      <c r="AI113" s="41">
        <f>IF(AI111=0,"",-AI112/AI111)</f>
        <v>1.24383150190898</v>
      </c>
      <c r="AJ113" s="41">
        <f>IF(AJ111=0,"",-AJ112/AJ111)</f>
        <v>0</v>
      </c>
      <c r="AK113" s="41">
        <f>IF(AK111=0,"",-AK112/AK111)</f>
        <v>0</v>
      </c>
      <c r="AL113" s="12">
        <f>IF(AL111=0,"",-AL112/AL111)</f>
        <v>0.606223757513422</v>
      </c>
      <c r="AM113" s="41">
        <f>IF(AM111=0,"",-AM112/AM111)</f>
        <v>0</v>
      </c>
      <c r="AN113" s="41">
        <f>IF(AN111=0,"",-AN112/AN111)</f>
        <v>0</v>
      </c>
      <c r="AO113" s="41">
        <f>IF(AO111=0,"",-AO112/AO111)</f>
        <v>0</v>
      </c>
      <c r="AP113" s="41">
        <f>IF(AP111=0,"",-AP112/AP111)</f>
        <v>0</v>
      </c>
      <c r="AQ113" s="12">
        <f>IF(AQ111=0,"",-AQ112/AQ111)</f>
        <v>0</v>
      </c>
      <c r="AR113" s="41">
        <f>IF(AR111=0,"",-AR112/AR111)</f>
        <v>0</v>
      </c>
      <c r="AS113" s="41">
        <f>IF(AS111=0,"",-AS112/AS111)</f>
        <v>0</v>
      </c>
      <c r="AT113" s="41">
        <f>IF(AT111=0,"",-AT112/AT111)</f>
        <v>0</v>
      </c>
      <c r="AU113" s="41">
        <f>IF(AU111=0,"",-AU112/AU111)</f>
        <v>0</v>
      </c>
      <c r="AV113" s="12">
        <f>IF(AV111=0,"",-AV112/AV111)</f>
        <v>0</v>
      </c>
      <c r="AW113" s="41">
        <f>IF(AW111=0,"",-AW112/AW111)</f>
        <v>0</v>
      </c>
      <c r="AX113" s="41">
        <f>IF(AX111=0,"",-AX112/AX111)</f>
        <v>0</v>
      </c>
      <c r="AY113" s="41">
        <f>IF(AY111=0,"",-AY112/AY111)</f>
        <v>0</v>
      </c>
      <c r="AZ113" s="41">
        <f>IF(AZ111=0,"",-AZ112/AZ111)</f>
        <v>0</v>
      </c>
      <c r="BA113" s="12">
        <f>IF(BA111=0,"",-BA112/BA111)</f>
        <v>0</v>
      </c>
      <c r="BB113" s="41">
        <f>IF(BB111=0,"",-BB112/BB111)</f>
        <v>0</v>
      </c>
      <c r="BC113" s="41">
        <f>IF(BC111=0,"",-BC112/BC111)</f>
        <v>0</v>
      </c>
      <c r="BD113" s="41">
        <f>IF(BD111=0,"",-BD112/BD111)</f>
        <v>0</v>
      </c>
      <c r="BE113" s="41">
        <f>IF(BE111=0,"",-BE112/BE111)</f>
        <v>0</v>
      </c>
      <c r="BF113" s="12">
        <f>IF(BF111=0,"",-BF112/BF111)</f>
        <v>0</v>
      </c>
      <c r="BG113" s="41" t="n"/>
      <c r="BH113" s="41" t="n"/>
      <c r="BI113" s="41" t="n"/>
      <c r="BJ113" s="41" t="n"/>
      <c r="BK113" s="12" t="n"/>
      <c r="BL113" s="41" t="n"/>
      <c r="BM113" s="41" t="n"/>
      <c r="BN113" s="41" t="n"/>
      <c r="BO113" s="41" t="n"/>
      <c r="BP113" s="12" t="n"/>
      <c r="BQ113" s="41" t="n"/>
      <c r="BR113" s="41" t="n"/>
      <c r="BS113" s="41" t="n"/>
      <c r="BT113" s="41" t="n"/>
      <c r="BU113" s="12" t="n"/>
      <c r="BV113" s="41" t="n"/>
      <c r="BW113" s="41" t="n"/>
      <c r="BX113" s="41" t="n"/>
      <c r="BY113" s="41" t="n"/>
      <c r="BZ113" s="12" t="n"/>
      <c r="CA113" s="41" t="n"/>
      <c r="CB113" s="41" t="n"/>
      <c r="CC113" s="41" t="n"/>
      <c r="CD113" s="41" t="n"/>
      <c r="CE113" s="12" t="n"/>
      <c r="CF113" s="41" t="n"/>
      <c r="CG113" s="41" t="n"/>
      <c r="CH113" s="41" t="n"/>
      <c r="CI113" s="41" t="n"/>
      <c r="CJ113" s="12" t="n"/>
      <c r="CK113" s="41" t="n"/>
      <c r="CL113" s="41" t="n"/>
      <c r="CM113" s="41" t="n"/>
      <c r="CN113" s="41" t="n"/>
      <c r="CO113" s="12" t="n"/>
      <c r="CP113" s="41" t="n"/>
      <c r="CQ113" s="41" t="n"/>
      <c r="CR113" s="41" t="n"/>
      <c r="CS113" s="41" t="n"/>
      <c r="CT113" s="12" t="n"/>
      <c r="CU113" s="41" t="n"/>
      <c r="CV113" s="41" t="n"/>
      <c r="CW113" s="41" t="n"/>
      <c r="CX113" s="41" t="n"/>
      <c r="CY113" s="12" t="n"/>
    </row>
    <row r="114" hidden="1" outlineLevel="1">
      <c r="C114" s="18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18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collapsed="1" ht="11.25" customHeight="1">
      <c r="C116" s="31" t="inlineStr">
        <is>
          <t>Balance Sheet</t>
        </is>
      </c>
      <c r="D116" s="31" t="n"/>
      <c r="E116" s="31" t="n"/>
      <c r="F116" s="31" t="n"/>
      <c r="G116" s="31" t="n"/>
      <c r="H116" s="31" t="n"/>
      <c r="I116" s="31" t="str">
        <f>I13</f>
        <v>1Q21</v>
      </c>
      <c r="J116" s="31" t="str">
        <f>J13</f>
        <v>2Q21</v>
      </c>
      <c r="K116" s="31" t="str">
        <f>K13</f>
        <v>3Q21</v>
      </c>
      <c r="L116" s="31" t="str">
        <f>L13</f>
        <v>4Q21</v>
      </c>
      <c r="M116" s="31">
        <f>M13</f>
        <v>2021</v>
      </c>
      <c r="N116" s="31" t="str">
        <f>N13</f>
        <v>1Q22</v>
      </c>
      <c r="O116" s="31" t="str">
        <f>O13</f>
        <v>2Q22</v>
      </c>
      <c r="P116" s="31" t="str">
        <f>P13</f>
        <v>3Q22</v>
      </c>
      <c r="Q116" s="31" t="str">
        <f>Q13</f>
        <v>4Q22</v>
      </c>
      <c r="R116" s="31">
        <f>R13</f>
        <v>2022</v>
      </c>
      <c r="S116" s="31" t="str">
        <f>S13</f>
        <v>1Q23</v>
      </c>
      <c r="T116" s="31" t="str">
        <f>T13</f>
        <v>2Q23</v>
      </c>
      <c r="U116" s="31" t="str">
        <f>U13</f>
        <v>3Q23</v>
      </c>
      <c r="V116" s="31" t="str">
        <f>V13</f>
        <v>4Q23</v>
      </c>
      <c r="W116" s="31">
        <f>W13</f>
        <v>2023</v>
      </c>
      <c r="X116" s="31" t="str">
        <f>X13</f>
        <v>1Q24</v>
      </c>
      <c r="Y116" s="31" t="str">
        <f>Y13</f>
        <v>2Q24</v>
      </c>
      <c r="Z116" s="31" t="str">
        <f>Z13</f>
        <v>3Q24</v>
      </c>
      <c r="AA116" s="31" t="str">
        <f>AA13</f>
        <v>4Q24</v>
      </c>
      <c r="AB116" s="31">
        <f>AB13</f>
        <v>2024</v>
      </c>
      <c r="AC116" s="31" t="str">
        <f>AC13</f>
        <v>1Q25</v>
      </c>
      <c r="AD116" s="31" t="str">
        <f>AD13</f>
        <v>2Q25</v>
      </c>
      <c r="AE116" s="31" t="str">
        <f>AE13</f>
        <v>3Q25</v>
      </c>
      <c r="AF116" s="31" t="str">
        <f>AF13</f>
        <v>4Q25</v>
      </c>
      <c r="AG116" s="31">
        <f>AG13</f>
        <v>2025</v>
      </c>
      <c r="AH116" s="31" t="str">
        <f>AH13</f>
        <v>1Q26</v>
      </c>
      <c r="AI116" s="31" t="str">
        <f>AI13</f>
        <v>2Q26</v>
      </c>
      <c r="AJ116" s="31" t="str">
        <f>AJ13</f>
        <v>3Q26</v>
      </c>
      <c r="AK116" s="31" t="str">
        <f>AK13</f>
        <v>4Q26</v>
      </c>
      <c r="AL116" s="31">
        <f>AL13</f>
        <v>2026</v>
      </c>
      <c r="AM116" s="31" t="str">
        <f>AM13</f>
        <v>1Q27</v>
      </c>
      <c r="AN116" s="31" t="str">
        <f>AN13</f>
        <v>2Q27</v>
      </c>
      <c r="AO116" s="31" t="str">
        <f>AO13</f>
        <v>3Q27</v>
      </c>
      <c r="AP116" s="31" t="str">
        <f>AP13</f>
        <v>4Q27</v>
      </c>
      <c r="AQ116" s="31">
        <f>AQ13</f>
        <v>2027</v>
      </c>
      <c r="AR116" s="31" t="str">
        <f>AR13</f>
        <v>1Q28</v>
      </c>
      <c r="AS116" s="31" t="str">
        <f>AS13</f>
        <v>2Q28</v>
      </c>
      <c r="AT116" s="31" t="str">
        <f>AT13</f>
        <v>3Q28</v>
      </c>
      <c r="AU116" s="31" t="str">
        <f>AU13</f>
        <v>4Q28</v>
      </c>
      <c r="AV116" s="31">
        <f>AV13</f>
        <v>2028</v>
      </c>
      <c r="AW116" s="31" t="str">
        <f>AW13</f>
        <v>1Q29</v>
      </c>
      <c r="AX116" s="31" t="str">
        <f>AX13</f>
        <v>2Q29</v>
      </c>
      <c r="AY116" s="31" t="str">
        <f>AY13</f>
        <v>3Q29</v>
      </c>
      <c r="AZ116" s="31" t="str">
        <f>AZ13</f>
        <v>4Q29</v>
      </c>
      <c r="BA116" s="31">
        <f>BA13</f>
        <v>2029</v>
      </c>
      <c r="BB116" s="31" t="str">
        <f>BB13</f>
        <v>1Q30</v>
      </c>
      <c r="BC116" s="31" t="str">
        <f>BC13</f>
        <v>2Q30</v>
      </c>
      <c r="BD116" s="31" t="str">
        <f>BD13</f>
        <v>3Q30</v>
      </c>
      <c r="BE116" s="31" t="str">
        <f>BE13</f>
        <v>4Q30</v>
      </c>
      <c r="BF116" s="31">
        <f>BF13</f>
        <v>2030</v>
      </c>
      <c r="BG116" s="31" t="n"/>
      <c r="BH116" s="31" t="n"/>
      <c r="BI116" s="31" t="n"/>
      <c r="BJ116" s="31" t="n"/>
      <c r="BK116" s="31" t="n"/>
      <c r="BL116" s="31" t="n"/>
      <c r="BM116" s="31" t="n"/>
      <c r="BN116" s="31" t="n"/>
      <c r="BO116" s="31" t="n"/>
      <c r="BP116" s="31" t="n"/>
      <c r="BQ116" s="31" t="n"/>
      <c r="BR116" s="31" t="n"/>
      <c r="BS116" s="31" t="n"/>
      <c r="BT116" s="31" t="n"/>
      <c r="BU116" s="31" t="n"/>
      <c r="BV116" s="31" t="n"/>
      <c r="BW116" s="31" t="n"/>
      <c r="BX116" s="31" t="n"/>
      <c r="BY116" s="31" t="n"/>
      <c r="BZ116" s="31" t="n"/>
      <c r="CA116" s="31" t="n"/>
      <c r="CB116" s="31" t="n"/>
      <c r="CC116" s="31" t="n"/>
      <c r="CD116" s="31" t="n"/>
      <c r="CE116" s="31" t="n"/>
      <c r="CF116" s="31" t="n"/>
      <c r="CG116" s="31" t="n"/>
      <c r="CH116" s="31" t="n"/>
      <c r="CI116" s="31" t="n"/>
      <c r="CJ116" s="31" t="n"/>
      <c r="CK116" s="31" t="n"/>
      <c r="CL116" s="31" t="n"/>
      <c r="CM116" s="31" t="n"/>
      <c r="CN116" s="31" t="n"/>
      <c r="CO116" s="31" t="n"/>
      <c r="CP116" s="31" t="n"/>
      <c r="CQ116" s="31" t="n"/>
      <c r="CR116" s="31" t="n"/>
      <c r="CS116" s="31" t="n"/>
      <c r="CT116" s="31" t="n"/>
      <c r="CU116" s="31" t="n"/>
      <c r="CV116" s="31" t="n"/>
      <c r="CW116" s="31" t="n"/>
      <c r="CX116" s="31" t="n"/>
      <c r="CY116" s="31" t="n"/>
    </row>
    <row r="117">
      <c r="C117" s="18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>
      <c r="C118" s="13" t="inlineStr">
        <is>
          <t>Cash and equivalents (inc. investment securities)</t>
        </is>
      </c>
      <c r="D118" s="46" t="n"/>
      <c r="E118" s="46" t="n"/>
      <c r="F118" s="46" t="n"/>
      <c r="G118" s="46" t="n"/>
      <c r="H118" s="12" t="n"/>
      <c r="I118" s="46">
        <f>'Inputs (2)'!D15</f>
        <v>2862.422</v>
      </c>
      <c r="J118" s="46">
        <f>'Inputs (2)'!E15</f>
        <v>2467.444</v>
      </c>
      <c r="K118" s="46">
        <f>'Inputs (2)'!F15</f>
        <v>5011.433</v>
      </c>
      <c r="L118" s="46">
        <f>'Inputs (2)'!G15</f>
        <v>2119.738</v>
      </c>
      <c r="M118" s="12">
        <f>'Inputs (2)'!H15</f>
        <v>2119.738</v>
      </c>
      <c r="N118" s="46">
        <f>'Inputs (2)'!I15</f>
        <v>3868.567</v>
      </c>
      <c r="O118" s="46">
        <f>'Inputs (2)'!J15</f>
        <v>4183.38</v>
      </c>
      <c r="P118" s="46">
        <f>'Inputs (2)'!K15</f>
        <v>3480.003</v>
      </c>
      <c r="Q118" s="46">
        <f>'Inputs (2)'!L15</f>
        <v>4252.003</v>
      </c>
      <c r="R118" s="12">
        <f>'Inputs (2)'!M15</f>
        <v>4252.003</v>
      </c>
      <c r="S118" s="46">
        <f>'Inputs (2)'!N15</f>
        <v>2830.971</v>
      </c>
      <c r="T118" s="46">
        <f>'Inputs (2)'!O15</f>
        <v>3280.204</v>
      </c>
      <c r="U118" s="46">
        <f>'Inputs (2)'!P15</f>
        <v>2971.614</v>
      </c>
      <c r="V118" s="46">
        <f>'Inputs (2)'!Q15</f>
        <v>2955.866</v>
      </c>
      <c r="W118" s="12">
        <f>'Inputs (2)'!R15</f>
        <v>2955.866</v>
      </c>
      <c r="X118" s="46">
        <f>'Inputs (2)'!S15</f>
        <v>2504.471</v>
      </c>
      <c r="Y118" s="46">
        <f>'Inputs (2)'!T15</f>
        <v>2381.436</v>
      </c>
      <c r="Z118" s="46">
        <f>'Inputs (2)'!U15</f>
        <v>2353.332</v>
      </c>
      <c r="AA118" s="46">
        <f>'Inputs (2)'!V15</f>
        <v>1972.14</v>
      </c>
      <c r="AB118" s="12">
        <f>'Inputs (2)'!W15</f>
        <v>1972.14</v>
      </c>
      <c r="AC118" s="46">
        <f>'Inputs (2)'!X15</f>
        <v>2386.979</v>
      </c>
      <c r="AD118" s="46">
        <f>'Inputs (2)'!Y15</f>
        <v>2235.499</v>
      </c>
      <c r="AE118" s="46">
        <f>'Inputs (2)'!Z15</f>
        <v>2430.69</v>
      </c>
      <c r="AF118" s="46">
        <f>'Inputs (2)'!AA15</f>
        <v>2631.241</v>
      </c>
      <c r="AG118" s="12">
        <f>'Inputs (2)'!AB15</f>
        <v>2631.241</v>
      </c>
      <c r="AH118" s="12">
        <f>'Inputs (2)'!AC15</f>
        <v>2448.485</v>
      </c>
      <c r="AI118" s="12">
        <f>'Inputs (2)'!AD15</f>
        <v>2507.073</v>
      </c>
      <c r="AJ118" s="12">
        <f>AJ247-SUM(AJ119,AJ123,AJ127,AJ128,AJ129,AJ135,AJ140,AJ150,AJ153,AJ154,AJ163)</f>
        <v>4085.77607753041</v>
      </c>
      <c r="AK118" s="12">
        <f>AK247-SUM(AK119,AK123,AK127,AK128,AK129,AK135,AK140,AK150,AK153,AK154,AK163)</f>
        <v>6314.45470911673</v>
      </c>
      <c r="AL118" s="12">
        <f>AK118</f>
        <v>6314.45470911673</v>
      </c>
      <c r="AM118" s="12">
        <f>AM247-SUM(AM119,AM123,AM127,AM128,AM129,AM135,AM140,AM150,AM153,AM154,AM163)</f>
        <v>8163.52666477305</v>
      </c>
      <c r="AN118" s="12">
        <f>AN247-SUM(AN119,AN123,AN127,AN128,AN129,AN135,AN140,AN150,AN153,AN154,AN163)</f>
        <v>10741.6699518871</v>
      </c>
      <c r="AO118" s="12">
        <f>AO247-SUM(AO119,AO123,AO127,AO128,AO129,AO135,AO140,AO150,AO153,AO154,AO163)</f>
        <v>12566.5561441389</v>
      </c>
      <c r="AP118" s="12">
        <f>AP247-SUM(AP119,AP123,AP127,AP128,AP129,AP135,AP140,AP150,AP153,AP154,AP163)</f>
        <v>15142.7751429075</v>
      </c>
      <c r="AQ118" s="12">
        <f>AP118</f>
        <v>15142.7751429075</v>
      </c>
      <c r="AR118" s="12">
        <f>AR247-SUM(AR119,AR123,AR127,AR128,AR129,AR135,AR140,AR150,AR153,AR154,AR163)</f>
        <v>17270.9462032173</v>
      </c>
      <c r="AS118" s="12">
        <f>AS247-SUM(AS119,AS123,AS127,AS128,AS129,AS135,AS140,AS150,AS153,AS154,AS163)</f>
        <v>20238.2346941732</v>
      </c>
      <c r="AT118" s="12">
        <f>AT247-SUM(AT119,AT123,AT127,AT128,AT129,AT135,AT140,AT150,AT153,AT154,AT163)</f>
        <v>22338.5693895477</v>
      </c>
      <c r="AU118" s="12">
        <f>AU247-SUM(AU119,AU123,AU127,AU128,AU129,AU135,AU140,AU150,AU153,AU154,AU163)</f>
        <v>25303.6431398841</v>
      </c>
      <c r="AV118" s="12">
        <f>AU118</f>
        <v>25303.6431398841</v>
      </c>
      <c r="AW118" s="12">
        <f>AW247-SUM(AW119,AW123,AW127,AW128,AW129,AW135,AW140,AW150,AW153,AW154,AW163)</f>
        <v>27742.399696125</v>
      </c>
      <c r="AX118" s="12">
        <f>AX247-SUM(AX119,AX123,AX127,AX128,AX129,AX135,AX140,AX150,AX153,AX154,AX163)</f>
        <v>31142.7345641892</v>
      </c>
      <c r="AY118" s="12">
        <f>AY247-SUM(AY119,AY123,AY127,AY128,AY129,AY135,AY140,AY150,AY153,AY154,AY163)</f>
        <v>33549.5923136311</v>
      </c>
      <c r="AZ118" s="12">
        <f>AZ247-SUM(AZ119,AZ123,AZ127,AZ128,AZ129,AZ135,AZ140,AZ150,AZ153,AZ154,AZ163)</f>
        <v>36947.3892216099</v>
      </c>
      <c r="BA118" s="12">
        <f>AZ118</f>
        <v>36947.3892216099</v>
      </c>
      <c r="BB118" s="12">
        <f>BB247-SUM(BB119,BB123,BB127,BB128,BB129,BB135,BB140,BB150,BB153,BB154,BB163)</f>
        <v>39729.8643691269</v>
      </c>
      <c r="BC118" s="12">
        <f>BC247-SUM(BC119,BC123,BC127,BC128,BC129,BC135,BC140,BC150,BC153,BC154,BC163)</f>
        <v>43609.4427712484</v>
      </c>
      <c r="BD118" s="12">
        <f>BD247-SUM(BD119,BD123,BD127,BD128,BD129,BD135,BD140,BD150,BD153,BD154,BD163)</f>
        <v>46355.5232909678</v>
      </c>
      <c r="BE118" s="12">
        <f>BE247-SUM(BE119,BE123,BE127,BE128,BE129,BE135,BE140,BE150,BE153,BE154,BE163)</f>
        <v>50232.2060326574</v>
      </c>
      <c r="BF118" s="12">
        <f>BE118</f>
        <v>50232.2060326574</v>
      </c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>
      <c r="C119" s="14" t="inlineStr">
        <is>
          <t>Accounts receivable</t>
        </is>
      </c>
      <c r="D119" s="46" t="n"/>
      <c r="E119" s="46" t="n"/>
      <c r="F119" s="46" t="n"/>
      <c r="G119" s="46" t="n"/>
      <c r="H119" s="12" t="n"/>
      <c r="I119" s="46">
        <f>'Inputs (2)'!D16</f>
        <v>0</v>
      </c>
      <c r="J119" s="46">
        <f>'Inputs (2)'!E16</f>
        <v>0</v>
      </c>
      <c r="K119" s="46">
        <f>'Inputs (2)'!F16</f>
        <v>0</v>
      </c>
      <c r="L119" s="46">
        <f>'Inputs (2)'!G16</f>
        <v>0</v>
      </c>
      <c r="M119" s="12">
        <f>'Inputs (2)'!H16</f>
        <v>0</v>
      </c>
      <c r="N119" s="46">
        <f>'Inputs (2)'!I16</f>
        <v>0</v>
      </c>
      <c r="O119" s="46">
        <f>'Inputs (2)'!J16</f>
        <v>0</v>
      </c>
      <c r="P119" s="46">
        <f>'Inputs (2)'!K16</f>
        <v>0</v>
      </c>
      <c r="Q119" s="46">
        <f>'Inputs (2)'!L16</f>
        <v>0</v>
      </c>
      <c r="R119" s="12">
        <f>'Inputs (2)'!M16</f>
        <v>0</v>
      </c>
      <c r="S119" s="46">
        <f>'Inputs (2)'!N16</f>
        <v>0</v>
      </c>
      <c r="T119" s="46">
        <f>'Inputs (2)'!O16</f>
        <v>0</v>
      </c>
      <c r="U119" s="46">
        <f>'Inputs (2)'!P16</f>
        <v>0</v>
      </c>
      <c r="V119" s="46">
        <f>'Inputs (2)'!Q16</f>
        <v>0</v>
      </c>
      <c r="W119" s="12">
        <f>'Inputs (2)'!R16</f>
        <v>0</v>
      </c>
      <c r="X119" s="46">
        <f>'Inputs (2)'!S16</f>
        <v>0</v>
      </c>
      <c r="Y119" s="46">
        <f>'Inputs (2)'!T16</f>
        <v>0</v>
      </c>
      <c r="Z119" s="46">
        <f>'Inputs (2)'!U16</f>
        <v>0</v>
      </c>
      <c r="AA119" s="46">
        <f>'Inputs (2)'!V16</f>
        <v>0</v>
      </c>
      <c r="AB119" s="12">
        <f>'Inputs (2)'!W16</f>
        <v>0</v>
      </c>
      <c r="AC119" s="46">
        <f>'Inputs (2)'!X16</f>
        <v>0</v>
      </c>
      <c r="AD119" s="46">
        <f>'Inputs (2)'!Y16</f>
        <v>0</v>
      </c>
      <c r="AE119" s="46">
        <f>'Inputs (2)'!Z16</f>
        <v>0</v>
      </c>
      <c r="AF119" s="46">
        <f>'Inputs (2)'!AA16</f>
        <v>0</v>
      </c>
      <c r="AG119" s="12">
        <f>'Inputs (2)'!AB16</f>
        <v>0</v>
      </c>
      <c r="AH119" s="12">
        <f>'Inputs (2)'!AC16</f>
        <v>0</v>
      </c>
      <c r="AI119" s="12">
        <f>'Inputs (2)'!AD16</f>
        <v>0</v>
      </c>
      <c r="AJ119" s="12">
        <f>(AJ120/(AJ$5-AI$5))*AJ$15</f>
        <v>0</v>
      </c>
      <c r="AK119" s="12">
        <f>(AK120/(AK$5-AJ$5))*AK$15</f>
        <v>0</v>
      </c>
      <c r="AL119" s="12">
        <f>AK119</f>
        <v>0</v>
      </c>
      <c r="AM119" s="12">
        <f>(AM120/(AM$5-AL$5))*AM$15</f>
        <v>0</v>
      </c>
      <c r="AN119" s="12">
        <f>(AN120/(AN$5-AM$5))*AN$15</f>
        <v>0</v>
      </c>
      <c r="AO119" s="12">
        <f>(AO120/(AO$5-AN$5))*AO$15</f>
        <v>0</v>
      </c>
      <c r="AP119" s="12">
        <f>(AP120/(AP$5-AO$5))*AP$15</f>
        <v>0</v>
      </c>
      <c r="AQ119" s="12">
        <f>AP119</f>
        <v>0</v>
      </c>
      <c r="AR119" s="12">
        <f>(AR120/(AR$5-AQ$5))*AR$15</f>
        <v>0</v>
      </c>
      <c r="AS119" s="12">
        <f>(AS120/(AS$5-AR$5))*AS$15</f>
        <v>0</v>
      </c>
      <c r="AT119" s="12">
        <f>(AT120/(AT$5-AS$5))*AT$15</f>
        <v>0</v>
      </c>
      <c r="AU119" s="12">
        <f>(AU120/(AU$5-AT$5))*AU$15</f>
        <v>0</v>
      </c>
      <c r="AV119" s="12">
        <f>AU119</f>
        <v>0</v>
      </c>
      <c r="AW119" s="12">
        <f>(AW120/(AW$5-AV$5))*AW$15</f>
        <v>0</v>
      </c>
      <c r="AX119" s="12">
        <f>(AX120/(AX$5-AW$5))*AX$15</f>
        <v>0</v>
      </c>
      <c r="AY119" s="12">
        <f>(AY120/(AY$5-AX$5))*AY$15</f>
        <v>0</v>
      </c>
      <c r="AZ119" s="12">
        <f>(AZ120/(AZ$5-AY$5))*AZ$15</f>
        <v>0</v>
      </c>
      <c r="BA119" s="12">
        <f>AZ119</f>
        <v>0</v>
      </c>
      <c r="BB119" s="12">
        <f>(BB120/(BB$5-BA$5))*BB$15</f>
        <v>0</v>
      </c>
      <c r="BC119" s="12">
        <f>(BC120/(BC$5-BB$5))*BC$15</f>
        <v>0</v>
      </c>
      <c r="BD119" s="12">
        <f>(BD120/(BD$5-BC$5))*BD$15</f>
        <v>0</v>
      </c>
      <c r="BE119" s="12">
        <f>(BE120/(BE$5-BD$5))*BE$15</f>
        <v>0</v>
      </c>
      <c r="BF119" s="12">
        <f>BE119</f>
        <v>0</v>
      </c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DSO</t>
        </is>
      </c>
      <c r="D120" s="12" t="n"/>
      <c r="E120" s="12" t="n"/>
      <c r="F120" s="12" t="n"/>
      <c r="G120" s="12" t="n"/>
      <c r="H120" s="12" t="n"/>
      <c r="I120" s="12">
        <f>IFERROR((I119/I$15)*(I$5-H$5),"")</f>
        <v>0</v>
      </c>
      <c r="J120" s="12">
        <f>IFERROR((J119/J$15)*(J$5-I$5),"")</f>
        <v>0</v>
      </c>
      <c r="K120" s="12">
        <f>IFERROR((K119/K$15)*(K$5-J$5),"")</f>
        <v>0</v>
      </c>
      <c r="L120" s="12">
        <f>IFERROR((L119/L$15)*(L$5-K$5),"")</f>
        <v>0</v>
      </c>
      <c r="M120" s="12" t="n"/>
      <c r="N120" s="12">
        <f>IFERROR((N119/N$15)*(N$5-M$5),"")</f>
        <v>0</v>
      </c>
      <c r="O120" s="12">
        <f>IFERROR((O119/O$15)*(O$5-N$5),"")</f>
        <v>0</v>
      </c>
      <c r="P120" s="12">
        <f>IFERROR((P119/P$15)*(P$5-O$5),"")</f>
        <v>0</v>
      </c>
      <c r="Q120" s="12">
        <f>IFERROR((Q119/Q$15)*(Q$5-P$5),"")</f>
        <v>0</v>
      </c>
      <c r="R120" s="12" t="n"/>
      <c r="S120" s="12">
        <f>IFERROR((S119/S$15)*(S$5-R$5),"")</f>
        <v>0</v>
      </c>
      <c r="T120" s="12">
        <f>IFERROR((T119/T$15)*(T$5-S$5),"")</f>
        <v>0</v>
      </c>
      <c r="U120" s="12">
        <f>IFERROR((U119/U$15)*(U$5-T$5),"")</f>
        <v>0</v>
      </c>
      <c r="V120" s="12">
        <f>IFERROR((V119/V$15)*(V$5-U$5),"")</f>
        <v>0</v>
      </c>
      <c r="W120" s="12" t="n"/>
      <c r="X120" s="12">
        <f>IFERROR((X119/X$15)*(X$5-W$5),"")</f>
        <v>0</v>
      </c>
      <c r="Y120" s="12">
        <f>IFERROR((Y119/Y$15)*(Y$5-X$5),"")</f>
        <v>0</v>
      </c>
      <c r="Z120" s="12">
        <f>IFERROR((Z119/Z$15)*(Z$5-Y$5),"")</f>
        <v>0</v>
      </c>
      <c r="AA120" s="12">
        <f>IFERROR((AA119/AA$15)*(AA$5-Z$5),"")</f>
        <v>0</v>
      </c>
      <c r="AB120" s="12" t="n"/>
      <c r="AC120" s="12">
        <f>IFERROR((AC119/AC$15)*(AC$5-AB$5),"")</f>
        <v>0</v>
      </c>
      <c r="AD120" s="12">
        <f>IFERROR((AD119/AD$15)*(AD$5-AC$5),"")</f>
        <v>0</v>
      </c>
      <c r="AE120" s="12">
        <f>IFERROR((AE119/AE$15)*(AE$5-AD$5),"")</f>
        <v>0</v>
      </c>
      <c r="AF120" s="11">
        <f>IFERROR((AF119/AF$15)*(AF$5-AE$5),"")</f>
        <v>0</v>
      </c>
      <c r="AG120" s="12" t="n"/>
      <c r="AH120" s="11">
        <f>IFERROR((AH119/AH$15)*(AH$5-AG$5),"")</f>
        <v>0</v>
      </c>
      <c r="AI120" s="11">
        <f>IFERROR((AI119/AI$15)*(AI$5-AH$5),"")</f>
        <v>0</v>
      </c>
      <c r="AJ120" s="11">
        <f>Control!$B$25</f>
        <v>0</v>
      </c>
      <c r="AK120" s="11">
        <f>Control!$B$25</f>
        <v>0</v>
      </c>
      <c r="AL120" s="12" t="n"/>
      <c r="AM120" s="11">
        <f>Control!$C$25</f>
        <v>0</v>
      </c>
      <c r="AN120" s="11">
        <f>Control!$C$25</f>
        <v>0</v>
      </c>
      <c r="AO120" s="11">
        <f>Control!$C$25</f>
        <v>0</v>
      </c>
      <c r="AP120" s="11">
        <f>Control!$C$25</f>
        <v>0</v>
      </c>
      <c r="AQ120" s="12" t="n"/>
      <c r="AR120" s="11">
        <f>Control!$D$25</f>
        <v>0</v>
      </c>
      <c r="AS120" s="11">
        <f>Control!$D$25</f>
        <v>0</v>
      </c>
      <c r="AT120" s="11">
        <f>Control!$D$25</f>
        <v>0</v>
      </c>
      <c r="AU120" s="11">
        <f>Control!$D$25</f>
        <v>0</v>
      </c>
      <c r="AV120" s="12" t="n"/>
      <c r="AW120" s="11">
        <f>Control!$E$25</f>
        <v>0</v>
      </c>
      <c r="AX120" s="11">
        <f>Control!$E$25</f>
        <v>0</v>
      </c>
      <c r="AY120" s="11">
        <f>Control!$E$25</f>
        <v>0</v>
      </c>
      <c r="AZ120" s="11">
        <f>Control!$E$25</f>
        <v>0</v>
      </c>
      <c r="BA120" s="12" t="n"/>
      <c r="BB120" s="11">
        <f>Control!$F$25</f>
        <v>0</v>
      </c>
      <c r="BC120" s="11">
        <f>Control!$F$25</f>
        <v>0</v>
      </c>
      <c r="BD120" s="11">
        <f>Control!$F$25</f>
        <v>0</v>
      </c>
      <c r="BE120" s="11">
        <f>Control!$F$25</f>
        <v>0</v>
      </c>
      <c r="BF120" s="12" t="n"/>
      <c r="BG120" s="11" t="n"/>
      <c r="BH120" s="11" t="n"/>
      <c r="BI120" s="11" t="n"/>
      <c r="BJ120" s="11" t="n"/>
      <c r="BK120" s="12" t="n"/>
      <c r="BL120" s="11" t="n"/>
      <c r="BM120" s="11" t="n"/>
      <c r="BN120" s="11" t="n"/>
      <c r="BO120" s="11" t="n"/>
      <c r="BP120" s="12" t="n"/>
      <c r="BQ120" s="11" t="n"/>
      <c r="BR120" s="11" t="n"/>
      <c r="BS120" s="11" t="n"/>
      <c r="BT120" s="11" t="n"/>
      <c r="BU120" s="12" t="n"/>
      <c r="BV120" s="11" t="n"/>
      <c r="BW120" s="11" t="n"/>
      <c r="BX120" s="11" t="n"/>
      <c r="BY120" s="11" t="n"/>
      <c r="BZ120" s="12" t="n"/>
      <c r="CA120" s="11" t="n"/>
      <c r="CB120" s="11" t="n"/>
      <c r="CC120" s="11" t="n"/>
      <c r="CD120" s="11" t="n"/>
      <c r="CE120" s="12" t="n"/>
      <c r="CF120" s="11" t="n"/>
      <c r="CG120" s="11" t="n"/>
      <c r="CH120" s="11" t="n"/>
      <c r="CI120" s="11" t="n"/>
      <c r="CJ120" s="12" t="n"/>
      <c r="CK120" s="11" t="n"/>
      <c r="CL120" s="11" t="n"/>
      <c r="CM120" s="11" t="n"/>
      <c r="CN120" s="11" t="n"/>
      <c r="CO120" s="12" t="n"/>
      <c r="CP120" s="11" t="n"/>
      <c r="CQ120" s="11" t="n"/>
      <c r="CR120" s="11" t="n"/>
      <c r="CS120" s="11" t="n"/>
      <c r="CT120" s="12" t="n"/>
      <c r="CU120" s="11" t="n"/>
      <c r="CV120" s="11" t="n"/>
      <c r="CW120" s="11" t="n"/>
      <c r="CX120" s="11" t="n"/>
      <c r="CY120" s="12" t="n"/>
    </row>
    <row r="121" hidden="1" outlineLevel="1">
      <c r="C121" s="57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Inventories</t>
        </is>
      </c>
      <c r="D123" s="46" t="n"/>
      <c r="E123" s="46" t="n"/>
      <c r="F123" s="46" t="n"/>
      <c r="G123" s="46" t="n"/>
      <c r="H123" s="12" t="n"/>
      <c r="I123" s="46">
        <f>'Inputs (2)'!D17</f>
        <v>0</v>
      </c>
      <c r="J123" s="46">
        <f>'Inputs (2)'!E17</f>
        <v>0</v>
      </c>
      <c r="K123" s="46">
        <f>'Inputs (2)'!F17</f>
        <v>0</v>
      </c>
      <c r="L123" s="46">
        <f>'Inputs (2)'!G17</f>
        <v>0</v>
      </c>
      <c r="M123" s="12">
        <f>'Inputs (2)'!H17</f>
        <v>0</v>
      </c>
      <c r="N123" s="46">
        <f>'Inputs (2)'!I17</f>
        <v>0</v>
      </c>
      <c r="O123" s="46">
        <f>'Inputs (2)'!J17</f>
        <v>0</v>
      </c>
      <c r="P123" s="46">
        <f>'Inputs (2)'!K17</f>
        <v>0</v>
      </c>
      <c r="Q123" s="46">
        <f>'Inputs (2)'!L17</f>
        <v>0</v>
      </c>
      <c r="R123" s="12">
        <f>'Inputs (2)'!M17</f>
        <v>0</v>
      </c>
      <c r="S123" s="46">
        <f>'Inputs (2)'!N17</f>
        <v>0</v>
      </c>
      <c r="T123" s="46">
        <f>'Inputs (2)'!O17</f>
        <v>0</v>
      </c>
      <c r="U123" s="46">
        <f>'Inputs (2)'!P17</f>
        <v>0</v>
      </c>
      <c r="V123" s="46">
        <f>'Inputs (2)'!Q17</f>
        <v>0</v>
      </c>
      <c r="W123" s="12">
        <f>'Inputs (2)'!R17</f>
        <v>0</v>
      </c>
      <c r="X123" s="46">
        <f>'Inputs (2)'!S17</f>
        <v>0</v>
      </c>
      <c r="Y123" s="46">
        <f>'Inputs (2)'!T17</f>
        <v>0</v>
      </c>
      <c r="Z123" s="46">
        <f>'Inputs (2)'!U17</f>
        <v>0</v>
      </c>
      <c r="AA123" s="46">
        <f>'Inputs (2)'!V17</f>
        <v>0</v>
      </c>
      <c r="AB123" s="12">
        <f>'Inputs (2)'!W17</f>
        <v>0</v>
      </c>
      <c r="AC123" s="46">
        <f>'Inputs (2)'!X17</f>
        <v>0</v>
      </c>
      <c r="AD123" s="46">
        <f>'Inputs (2)'!Y17</f>
        <v>0</v>
      </c>
      <c r="AE123" s="46">
        <f>'Inputs (2)'!Z17</f>
        <v>0</v>
      </c>
      <c r="AF123" s="46">
        <f>'Inputs (2)'!AA17</f>
        <v>0</v>
      </c>
      <c r="AG123" s="12">
        <f>'Inputs (2)'!AB17</f>
        <v>0</v>
      </c>
      <c r="AH123" s="12">
        <f>'Inputs (2)'!AC17</f>
        <v>0</v>
      </c>
      <c r="AI123" s="12">
        <f>'Inputs (2)'!AD17</f>
        <v>0</v>
      </c>
      <c r="AJ123" s="12">
        <f>(AJ124/(AJ$5-AI$5))*-AJ$28</f>
        <v>0</v>
      </c>
      <c r="AK123" s="12">
        <f>(AK124/(AK$5-AJ$5))*-AK$28</f>
        <v>0</v>
      </c>
      <c r="AL123" s="12">
        <f>AK123</f>
        <v>0</v>
      </c>
      <c r="AM123" s="12">
        <f>(AM124/(AM$5-AL$5))*-AM$28</f>
        <v>0</v>
      </c>
      <c r="AN123" s="12">
        <f>(AN124/(AN$5-AM$5))*-AN$28</f>
        <v>0</v>
      </c>
      <c r="AO123" s="12">
        <f>(AO124/(AO$5-AN$5))*-AO$28</f>
        <v>0</v>
      </c>
      <c r="AP123" s="12">
        <f>(AP124/(AP$5-AO$5))*-AP$28</f>
        <v>0</v>
      </c>
      <c r="AQ123" s="12">
        <f>AP123</f>
        <v>0</v>
      </c>
      <c r="AR123" s="12">
        <f>(AR124/(AR$5-AQ$5))*-AR$28</f>
        <v>0</v>
      </c>
      <c r="AS123" s="12">
        <f>(AS124/(AS$5-AR$5))*-AS$28</f>
        <v>0</v>
      </c>
      <c r="AT123" s="12">
        <f>(AT124/(AT$5-AS$5))*-AT$28</f>
        <v>0</v>
      </c>
      <c r="AU123" s="12">
        <f>(AU124/(AU$5-AT$5))*-AU$28</f>
        <v>0</v>
      </c>
      <c r="AV123" s="12">
        <f>AU123</f>
        <v>0</v>
      </c>
      <c r="AW123" s="12">
        <f>(AW124/(AW$5-AV$5))*-AW$28</f>
        <v>0</v>
      </c>
      <c r="AX123" s="12">
        <f>(AX124/(AX$5-AW$5))*-AX$28</f>
        <v>0</v>
      </c>
      <c r="AY123" s="12">
        <f>(AY124/(AY$5-AX$5))*-AY$28</f>
        <v>0</v>
      </c>
      <c r="AZ123" s="12">
        <f>(AZ124/(AZ$5-AY$5))*-AZ$28</f>
        <v>0</v>
      </c>
      <c r="BA123" s="12">
        <f>AZ123</f>
        <v>0</v>
      </c>
      <c r="BB123" s="12">
        <f>(BB124/(BB$5-BA$5))*-BB$28</f>
        <v>0</v>
      </c>
      <c r="BC123" s="12">
        <f>(BC124/(BC$5-BB$5))*-BC$28</f>
        <v>0</v>
      </c>
      <c r="BD123" s="12">
        <f>(BD124/(BD$5-BC$5))*-BD$28</f>
        <v>0</v>
      </c>
      <c r="BE123" s="12">
        <f>(BE124/(BE$5-BD$5))*-BE$28</f>
        <v>0</v>
      </c>
      <c r="BF123" s="12">
        <f>BE123</f>
        <v>0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inlineStr">
        <is>
          <t>DIO</t>
        </is>
      </c>
      <c r="D124" s="12" t="n"/>
      <c r="E124" s="12" t="n"/>
      <c r="F124" s="12" t="n"/>
      <c r="G124" s="12" t="n"/>
      <c r="H124" s="12" t="n"/>
      <c r="I124" s="12" t="str">
        <f>IFERROR(((I123/I$28)*(I$5-H$5))*-1,"")</f>
        <v/>
      </c>
      <c r="J124" s="12" t="str">
        <f>IFERROR(((J123/J$28)*(J$5-I$5))*-1,"")</f>
        <v/>
      </c>
      <c r="K124" s="12" t="str">
        <f>IFERROR(((K123/K$28)*(K$5-J$5))*-1,"")</f>
        <v/>
      </c>
      <c r="L124" s="12" t="str">
        <f>IFERROR(((L123/L$28)*(L$5-K$5))*-1,"")</f>
        <v/>
      </c>
      <c r="M124" s="12" t="n"/>
      <c r="N124" s="12" t="str">
        <f>IFERROR(((N123/N$28)*(N$5-M$5))*-1,"")</f>
        <v/>
      </c>
      <c r="O124" s="12" t="str">
        <f>IFERROR(((O123/O$28)*(O$5-N$5))*-1,"")</f>
        <v/>
      </c>
      <c r="P124" s="12" t="str">
        <f>IFERROR(((P123/P$28)*(P$5-O$5))*-1,"")</f>
        <v/>
      </c>
      <c r="Q124" s="12" t="str">
        <f>IFERROR(((Q123/Q$28)*(Q$5-P$5))*-1,"")</f>
        <v/>
      </c>
      <c r="R124" s="12" t="n"/>
      <c r="S124" s="12" t="str">
        <f>IFERROR(((S123/S$28)*(S$5-R$5))*-1,"")</f>
        <v/>
      </c>
      <c r="T124" s="12" t="str">
        <f>IFERROR(((T123/T$28)*(T$5-S$5))*-1,"")</f>
        <v/>
      </c>
      <c r="U124" s="12" t="str">
        <f>IFERROR(((U123/U$28)*(U$5-T$5))*-1,"")</f>
        <v/>
      </c>
      <c r="V124" s="12" t="str">
        <f>IFERROR(((V123/V$28)*(V$5-U$5))*-1,"")</f>
        <v/>
      </c>
      <c r="W124" s="12" t="n"/>
      <c r="X124" s="12" t="str">
        <f>IFERROR(((X123/X$28)*(X$5-W$5))*-1,"")</f>
        <v/>
      </c>
      <c r="Y124" s="12" t="str">
        <f>IFERROR(((Y123/Y$28)*(Y$5-X$5))*-1,"")</f>
        <v/>
      </c>
      <c r="Z124" s="12" t="str">
        <f>IFERROR(((Z123/Z$28)*(Z$5-Y$5))*-1,"")</f>
        <v/>
      </c>
      <c r="AA124" s="12" t="str">
        <f>IFERROR(((AA123/AA$28)*(AA$5-Z$5))*-1,"")</f>
        <v/>
      </c>
      <c r="AB124" s="12" t="n"/>
      <c r="AC124" s="12" t="str">
        <f>IFERROR(((AC123/AC$28)*(AC$5-AB$5))*-1,"")</f>
        <v/>
      </c>
      <c r="AD124" s="12" t="str">
        <f>IFERROR(((AD123/AD$28)*(AD$5-AC$5))*-1,"")</f>
        <v/>
      </c>
      <c r="AE124" s="12" t="str">
        <f>IFERROR(((AE123/AE$28)*(AE$5-AD$5))*-1,"")</f>
        <v/>
      </c>
      <c r="AF124" s="11" t="str">
        <f>IFERROR(((AF123/AF$28)*(AF$5-AE$5))*-1,"")</f>
        <v/>
      </c>
      <c r="AG124" s="12" t="n"/>
      <c r="AH124" s="11" t="str">
        <f>IFERROR(((AH123/AH$28)*(AH$5-AG$5))*-1,"")</f>
        <v/>
      </c>
      <c r="AI124" s="11" t="str">
        <f>IFERROR(((AI123/AI$28)*(AI$5-AH$5))*-1,"")</f>
        <v/>
      </c>
      <c r="AJ124" s="11">
        <f>Control!$B$26</f>
        <v>0</v>
      </c>
      <c r="AK124" s="11">
        <f>Control!$B$26</f>
        <v>0</v>
      </c>
      <c r="AL124" s="12" t="n"/>
      <c r="AM124" s="11">
        <f>Control!$C$26</f>
        <v>0</v>
      </c>
      <c r="AN124" s="11">
        <f>Control!$C$26</f>
        <v>0</v>
      </c>
      <c r="AO124" s="11">
        <f>Control!$C$26</f>
        <v>0</v>
      </c>
      <c r="AP124" s="11">
        <f>Control!$C$26</f>
        <v>0</v>
      </c>
      <c r="AQ124" s="12" t="n"/>
      <c r="AR124" s="11">
        <f>Control!$D$26</f>
        <v>0</v>
      </c>
      <c r="AS124" s="11">
        <f>Control!$D$26</f>
        <v>0</v>
      </c>
      <c r="AT124" s="11">
        <f>Control!$D$26</f>
        <v>0</v>
      </c>
      <c r="AU124" s="11">
        <f>Control!$D$26</f>
        <v>0</v>
      </c>
      <c r="AV124" s="12" t="n"/>
      <c r="AW124" s="11">
        <f>Control!$E$26</f>
        <v>0</v>
      </c>
      <c r="AX124" s="11">
        <f>Control!$E$26</f>
        <v>0</v>
      </c>
      <c r="AY124" s="11">
        <f>Control!$E$26</f>
        <v>0</v>
      </c>
      <c r="AZ124" s="11">
        <f>Control!$E$26</f>
        <v>0</v>
      </c>
      <c r="BA124" s="12" t="n"/>
      <c r="BB124" s="11">
        <f>Control!$F$26</f>
        <v>0</v>
      </c>
      <c r="BC124" s="11">
        <f>Control!$F$26</f>
        <v>0</v>
      </c>
      <c r="BD124" s="11">
        <f>Control!$F$26</f>
        <v>0</v>
      </c>
      <c r="BE124" s="11">
        <f>Control!$F$26</f>
        <v>0</v>
      </c>
      <c r="BF124" s="12" t="n"/>
      <c r="BG124" s="11" t="n"/>
      <c r="BH124" s="11" t="n"/>
      <c r="BI124" s="11" t="n"/>
      <c r="BJ124" s="11" t="n"/>
      <c r="BK124" s="12" t="n"/>
      <c r="BL124" s="11" t="n"/>
      <c r="BM124" s="11" t="n"/>
      <c r="BN124" s="11" t="n"/>
      <c r="BO124" s="11" t="n"/>
      <c r="BP124" s="12" t="n"/>
      <c r="BQ124" s="11" t="n"/>
      <c r="BR124" s="11" t="n"/>
      <c r="BS124" s="11" t="n"/>
      <c r="BT124" s="11" t="n"/>
      <c r="BU124" s="12" t="n"/>
      <c r="BV124" s="11" t="n"/>
      <c r="BW124" s="11" t="n"/>
      <c r="BX124" s="11" t="n"/>
      <c r="BY124" s="11" t="n"/>
      <c r="BZ124" s="12" t="n"/>
      <c r="CA124" s="11" t="n"/>
      <c r="CB124" s="11" t="n"/>
      <c r="CC124" s="11" t="n"/>
      <c r="CD124" s="11" t="n"/>
      <c r="CE124" s="12" t="n"/>
      <c r="CF124" s="11" t="n"/>
      <c r="CG124" s="11" t="n"/>
      <c r="CH124" s="11" t="n"/>
      <c r="CI124" s="11" t="n"/>
      <c r="CJ124" s="12" t="n"/>
      <c r="CK124" s="11" t="n"/>
      <c r="CL124" s="11" t="n"/>
      <c r="CM124" s="11" t="n"/>
      <c r="CN124" s="11" t="n"/>
      <c r="CO124" s="12" t="n"/>
      <c r="CP124" s="11" t="n"/>
      <c r="CQ124" s="11" t="n"/>
      <c r="CR124" s="11" t="n"/>
      <c r="CS124" s="11" t="n"/>
      <c r="CT124" s="12" t="n"/>
      <c r="CU124" s="11" t="n"/>
      <c r="CV124" s="11" t="n"/>
      <c r="CW124" s="11" t="n"/>
      <c r="CX124" s="11" t="n"/>
      <c r="CY124" s="12" t="n"/>
    </row>
    <row r="125" hidden="1" outlineLevel="1">
      <c r="C125" s="57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7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collapsed="1">
      <c r="C127" s="14" t="inlineStr">
        <is>
          <t>Deferred income taxes</t>
        </is>
      </c>
      <c r="D127" s="46" t="n"/>
      <c r="E127" s="46" t="n"/>
      <c r="F127" s="46" t="n"/>
      <c r="G127" s="46" t="n"/>
      <c r="H127" s="12" t="n"/>
      <c r="I127" s="46">
        <f>'Inputs (2)'!D18</f>
        <v>1402.271</v>
      </c>
      <c r="J127" s="46">
        <f>'Inputs (2)'!E18</f>
        <v>1322.144</v>
      </c>
      <c r="K127" s="46">
        <f>'Inputs (2)'!F18</f>
        <v>1116.612</v>
      </c>
      <c r="L127" s="46">
        <f>'Inputs (2)'!G18</f>
        <v>1581.637</v>
      </c>
      <c r="M127" s="12">
        <f>'Inputs (2)'!H18</f>
        <v>1581.637</v>
      </c>
      <c r="N127" s="46">
        <f>'Inputs (2)'!I18</f>
        <v>1327.454</v>
      </c>
      <c r="O127" s="46">
        <f>'Inputs (2)'!J18</f>
        <v>1646.4</v>
      </c>
      <c r="P127" s="46">
        <f>'Inputs (2)'!K18</f>
        <v>1767.869</v>
      </c>
      <c r="Q127" s="46">
        <f>'Inputs (2)'!L18</f>
        <v>2062.722</v>
      </c>
      <c r="R127" s="12">
        <f>'Inputs (2)'!M18</f>
        <v>2062.722</v>
      </c>
      <c r="S127" s="46">
        <f>'Inputs (2)'!N18</f>
        <v>2206.7</v>
      </c>
      <c r="T127" s="46">
        <f>'Inputs (2)'!O18</f>
        <v>2176.983</v>
      </c>
      <c r="U127" s="46">
        <f>'Inputs (2)'!P18</f>
        <v>2184.88</v>
      </c>
      <c r="V127" s="46">
        <f>'Inputs (2)'!Q18</f>
        <v>2331.394</v>
      </c>
      <c r="W127" s="12">
        <f>'Inputs (2)'!R18</f>
        <v>2331.394</v>
      </c>
      <c r="X127" s="46">
        <f>'Inputs (2)'!S18</f>
        <v>2256.794</v>
      </c>
      <c r="Y127" s="46">
        <f>'Inputs (2)'!T18</f>
        <v>2289.932</v>
      </c>
      <c r="Z127" s="46">
        <f>'Inputs (2)'!U18</f>
        <v>2277.807</v>
      </c>
      <c r="AA127" s="46">
        <f>'Inputs (2)'!V18</f>
        <v>2003.948</v>
      </c>
      <c r="AB127" s="12">
        <f>'Inputs (2)'!W18</f>
        <v>2003.948</v>
      </c>
      <c r="AC127" s="46">
        <f>'Inputs (2)'!X18</f>
        <v>2157.92</v>
      </c>
      <c r="AD127" s="46">
        <f>'Inputs (2)'!Y18</f>
        <v>2105.277</v>
      </c>
      <c r="AE127" s="46">
        <f>'Inputs (2)'!Z18</f>
        <v>2100.275</v>
      </c>
      <c r="AF127" s="46">
        <f>'Inputs (2)'!AA18</f>
        <v>2056.223</v>
      </c>
      <c r="AG127" s="12">
        <f>'Inputs (2)'!AB18</f>
        <v>2056.223</v>
      </c>
      <c r="AH127" s="12">
        <f>'Inputs (2)'!AC18</f>
        <v>2066.953</v>
      </c>
      <c r="AI127" s="12">
        <f>'Inputs (2)'!AD18</f>
        <v>1877.944</v>
      </c>
      <c r="AJ127" s="12">
        <f>AI127</f>
        <v>1877.944</v>
      </c>
      <c r="AK127" s="12">
        <f>AJ127</f>
        <v>1877.944</v>
      </c>
      <c r="AL127" s="12">
        <f>AK127</f>
        <v>1877.944</v>
      </c>
      <c r="AM127" s="12">
        <f>AL127</f>
        <v>1877.944</v>
      </c>
      <c r="AN127" s="12">
        <f>AM127</f>
        <v>1877.944</v>
      </c>
      <c r="AO127" s="12">
        <f>AN127</f>
        <v>1877.944</v>
      </c>
      <c r="AP127" s="12">
        <f>AO127</f>
        <v>1877.944</v>
      </c>
      <c r="AQ127" s="12">
        <f>AP127</f>
        <v>1877.944</v>
      </c>
      <c r="AR127" s="12">
        <f>AQ127</f>
        <v>1877.944</v>
      </c>
      <c r="AS127" s="12">
        <f>AR127</f>
        <v>1877.944</v>
      </c>
      <c r="AT127" s="12">
        <f>AS127</f>
        <v>1877.944</v>
      </c>
      <c r="AU127" s="12">
        <f>AT127</f>
        <v>1877.944</v>
      </c>
      <c r="AV127" s="12">
        <f>AU127</f>
        <v>1877.944</v>
      </c>
      <c r="AW127" s="12">
        <f>AV127</f>
        <v>1877.944</v>
      </c>
      <c r="AX127" s="12">
        <f>AW127</f>
        <v>1877.944</v>
      </c>
      <c r="AY127" s="12">
        <f>AX127</f>
        <v>1877.944</v>
      </c>
      <c r="AZ127" s="12">
        <f>AY127</f>
        <v>1877.944</v>
      </c>
      <c r="BA127" s="12">
        <f>AZ127</f>
        <v>1877.944</v>
      </c>
      <c r="BB127" s="12">
        <f>BA127</f>
        <v>1877.944</v>
      </c>
      <c r="BC127" s="12">
        <f>BB127</f>
        <v>1877.944</v>
      </c>
      <c r="BD127" s="12">
        <f>BC127</f>
        <v>1877.944</v>
      </c>
      <c r="BE127" s="12">
        <f>BD127</f>
        <v>1877.944</v>
      </c>
      <c r="BF127" s="12">
        <f>BE127</f>
        <v>1877.944</v>
      </c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>
      <c r="C128" s="14" t="inlineStr">
        <is>
          <t>Prepaid expenses</t>
        </is>
      </c>
      <c r="D128" s="46" t="n"/>
      <c r="E128" s="46" t="n"/>
      <c r="F128" s="46" t="n"/>
      <c r="G128" s="46" t="n"/>
      <c r="H128" s="12" t="n"/>
      <c r="I128" s="46">
        <f>'Inputs (2)'!D19</f>
        <v>0</v>
      </c>
      <c r="J128" s="46">
        <f>'Inputs (2)'!E19</f>
        <v>0</v>
      </c>
      <c r="K128" s="46">
        <f>'Inputs (2)'!F19</f>
        <v>0</v>
      </c>
      <c r="L128" s="46">
        <f>'Inputs (2)'!G19</f>
        <v>0</v>
      </c>
      <c r="M128" s="12">
        <f>'Inputs (2)'!H19</f>
        <v>0</v>
      </c>
      <c r="N128" s="46">
        <f>'Inputs (2)'!I19</f>
        <v>0</v>
      </c>
      <c r="O128" s="46">
        <f>'Inputs (2)'!J19</f>
        <v>0</v>
      </c>
      <c r="P128" s="46">
        <f>'Inputs (2)'!K19</f>
        <v>0</v>
      </c>
      <c r="Q128" s="46">
        <f>'Inputs (2)'!L19</f>
        <v>0</v>
      </c>
      <c r="R128" s="12">
        <f>'Inputs (2)'!M19</f>
        <v>0</v>
      </c>
      <c r="S128" s="46">
        <f>'Inputs (2)'!N19</f>
        <v>0</v>
      </c>
      <c r="T128" s="46">
        <f>'Inputs (2)'!O19</f>
        <v>0</v>
      </c>
      <c r="U128" s="46">
        <f>'Inputs (2)'!P19</f>
        <v>0</v>
      </c>
      <c r="V128" s="46">
        <f>'Inputs (2)'!Q19</f>
        <v>0</v>
      </c>
      <c r="W128" s="12">
        <f>'Inputs (2)'!R19</f>
        <v>0</v>
      </c>
      <c r="X128" s="46">
        <f>'Inputs (2)'!S19</f>
        <v>0</v>
      </c>
      <c r="Y128" s="46">
        <f>'Inputs (2)'!T19</f>
        <v>0</v>
      </c>
      <c r="Z128" s="46">
        <f>'Inputs (2)'!U19</f>
        <v>0</v>
      </c>
      <c r="AA128" s="46">
        <f>'Inputs (2)'!V19</f>
        <v>0</v>
      </c>
      <c r="AB128" s="12">
        <f>'Inputs (2)'!W19</f>
        <v>0</v>
      </c>
      <c r="AC128" s="46">
        <f>'Inputs (2)'!X19</f>
        <v>0</v>
      </c>
      <c r="AD128" s="46">
        <f>'Inputs (2)'!Y19</f>
        <v>0</v>
      </c>
      <c r="AE128" s="46">
        <f>'Inputs (2)'!Z19</f>
        <v>0</v>
      </c>
      <c r="AF128" s="46">
        <f>'Inputs (2)'!AA19</f>
        <v>0</v>
      </c>
      <c r="AG128" s="12">
        <f>'Inputs (2)'!AB19</f>
        <v>0</v>
      </c>
      <c r="AH128" s="12">
        <f>'Inputs (2)'!AC19</f>
        <v>0</v>
      </c>
      <c r="AI128" s="12">
        <f>'Inputs (2)'!AD19</f>
        <v>0</v>
      </c>
      <c r="AJ128" s="12">
        <f>AI128</f>
        <v>0</v>
      </c>
      <c r="AK128" s="12">
        <f>AJ128</f>
        <v>0</v>
      </c>
      <c r="AL128" s="12">
        <f>AK128</f>
        <v>0</v>
      </c>
      <c r="AM128" s="12">
        <f>AL128</f>
        <v>0</v>
      </c>
      <c r="AN128" s="12">
        <f>AM128</f>
        <v>0</v>
      </c>
      <c r="AO128" s="12">
        <f>AN128</f>
        <v>0</v>
      </c>
      <c r="AP128" s="12">
        <f>AO128</f>
        <v>0</v>
      </c>
      <c r="AQ128" s="12">
        <f>AP128</f>
        <v>0</v>
      </c>
      <c r="AR128" s="12">
        <f>AQ128</f>
        <v>0</v>
      </c>
      <c r="AS128" s="12">
        <f>AR128</f>
        <v>0</v>
      </c>
      <c r="AT128" s="12">
        <f>AS128</f>
        <v>0</v>
      </c>
      <c r="AU128" s="12">
        <f>AT128</f>
        <v>0</v>
      </c>
      <c r="AV128" s="12">
        <f>AU128</f>
        <v>0</v>
      </c>
      <c r="AW128" s="12">
        <f>AV128</f>
        <v>0</v>
      </c>
      <c r="AX128" s="12">
        <f>AW128</f>
        <v>0</v>
      </c>
      <c r="AY128" s="12">
        <f>AX128</f>
        <v>0</v>
      </c>
      <c r="AZ128" s="12">
        <f>AY128</f>
        <v>0</v>
      </c>
      <c r="BA128" s="12">
        <f>AZ128</f>
        <v>0</v>
      </c>
      <c r="BB128" s="12">
        <f>BA128</f>
        <v>0</v>
      </c>
      <c r="BC128" s="12">
        <f>BB128</f>
        <v>0</v>
      </c>
      <c r="BD128" s="12">
        <f>BC128</f>
        <v>0</v>
      </c>
      <c r="BE128" s="12">
        <f>BD128</f>
        <v>0</v>
      </c>
      <c r="BF128" s="12">
        <f>BE128</f>
        <v>0</v>
      </c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>
      <c r="C129" s="14" t="inlineStr">
        <is>
          <t>Other current assets</t>
        </is>
      </c>
      <c r="D129" s="46" t="n"/>
      <c r="E129" s="46" t="n"/>
      <c r="F129" s="46" t="n"/>
      <c r="G129" s="46" t="n"/>
      <c r="H129" s="12" t="n"/>
      <c r="I129" s="46">
        <f>'Inputs (2)'!D20</f>
        <v>22477.997</v>
      </c>
      <c r="J129" s="46">
        <f>'Inputs (2)'!E20</f>
        <v>26572.083</v>
      </c>
      <c r="K129" s="46">
        <f>'Inputs (2)'!F20</f>
        <v>29970.877</v>
      </c>
      <c r="L129" s="46">
        <f>'Inputs (2)'!G20</f>
        <v>34531.456</v>
      </c>
      <c r="M129" s="12">
        <f>'Inputs (2)'!H20</f>
        <v>34531.456</v>
      </c>
      <c r="N129" s="46">
        <f>'Inputs (2)'!I20</f>
        <v>35123.732</v>
      </c>
      <c r="O129" s="46">
        <f>'Inputs (2)'!J20</f>
        <v>32777.427</v>
      </c>
      <c r="P129" s="46">
        <f>'Inputs (2)'!K20</f>
        <v>32001.319</v>
      </c>
      <c r="Q129" s="46">
        <f>'Inputs (2)'!L20</f>
        <v>33205.032</v>
      </c>
      <c r="R129" s="12">
        <f>'Inputs (2)'!M20</f>
        <v>33205.032</v>
      </c>
      <c r="S129" s="46">
        <f>'Inputs (2)'!N20</f>
        <v>33034.204</v>
      </c>
      <c r="T129" s="46">
        <f>'Inputs (2)'!O20</f>
        <v>33127.984</v>
      </c>
      <c r="U129" s="46">
        <f>'Inputs (2)'!P20</f>
        <v>33542.226</v>
      </c>
      <c r="V129" s="46">
        <f>'Inputs (2)'!Q20</f>
        <v>32067.553</v>
      </c>
      <c r="W129" s="12">
        <f>'Inputs (2)'!R20</f>
        <v>32067.553</v>
      </c>
      <c r="X129" s="46">
        <f>'Inputs (2)'!S20</f>
        <v>32057.154</v>
      </c>
      <c r="Y129" s="46">
        <f>'Inputs (2)'!T20</f>
        <v>32844.689</v>
      </c>
      <c r="Z129" s="46">
        <f>'Inputs (2)'!U20</f>
        <v>34901.137</v>
      </c>
      <c r="AA129" s="46">
        <f>'Inputs (2)'!V20</f>
        <v>36599.722</v>
      </c>
      <c r="AB129" s="12">
        <f>'Inputs (2)'!W20</f>
        <v>36599.722</v>
      </c>
      <c r="AC129" s="46">
        <f>'Inputs (2)'!X20</f>
        <v>37856.772</v>
      </c>
      <c r="AD129" s="46">
        <f>'Inputs (2)'!Y20</f>
        <v>38201.132</v>
      </c>
      <c r="AE129" s="46">
        <f>'Inputs (2)'!Z20</f>
        <v>39219.635</v>
      </c>
      <c r="AF129" s="46">
        <f>'Inputs (2)'!AA20</f>
        <v>40242.491</v>
      </c>
      <c r="AG129" s="12">
        <f>'Inputs (2)'!AB20</f>
        <v>40242.491</v>
      </c>
      <c r="AH129" s="12">
        <f>'Inputs (2)'!AC20</f>
        <v>41012.742</v>
      </c>
      <c r="AI129" s="12">
        <f>'Inputs (2)'!AD20</f>
        <v>42760.586</v>
      </c>
      <c r="AJ129" s="12">
        <f>AI129</f>
        <v>42760.586</v>
      </c>
      <c r="AK129" s="12">
        <f>AJ129</f>
        <v>42760.586</v>
      </c>
      <c r="AL129" s="12">
        <f>AK129</f>
        <v>42760.586</v>
      </c>
      <c r="AM129" s="12">
        <f>AL129</f>
        <v>42760.586</v>
      </c>
      <c r="AN129" s="12">
        <f>AM129</f>
        <v>42760.586</v>
      </c>
      <c r="AO129" s="12">
        <f>AN129</f>
        <v>42760.586</v>
      </c>
      <c r="AP129" s="12">
        <f>AO129</f>
        <v>42760.586</v>
      </c>
      <c r="AQ129" s="12">
        <f>AP129</f>
        <v>42760.586</v>
      </c>
      <c r="AR129" s="12">
        <f>AQ129</f>
        <v>42760.586</v>
      </c>
      <c r="AS129" s="12">
        <f>AR129</f>
        <v>42760.586</v>
      </c>
      <c r="AT129" s="12">
        <f>AS129</f>
        <v>42760.586</v>
      </c>
      <c r="AU129" s="12">
        <f>AT129</f>
        <v>42760.586</v>
      </c>
      <c r="AV129" s="12">
        <f>AU129</f>
        <v>42760.586</v>
      </c>
      <c r="AW129" s="12">
        <f>AV129</f>
        <v>42760.586</v>
      </c>
      <c r="AX129" s="12">
        <f>AW129</f>
        <v>42760.586</v>
      </c>
      <c r="AY129" s="12">
        <f>AX129</f>
        <v>42760.586</v>
      </c>
      <c r="AZ129" s="12">
        <f>AY129</f>
        <v>42760.586</v>
      </c>
      <c r="BA129" s="12">
        <f>AZ129</f>
        <v>42760.586</v>
      </c>
      <c r="BB129" s="12">
        <f>BA129</f>
        <v>42760.586</v>
      </c>
      <c r="BC129" s="12">
        <f>BB129</f>
        <v>42760.586</v>
      </c>
      <c r="BD129" s="12">
        <f>BC129</f>
        <v>42760.586</v>
      </c>
      <c r="BE129" s="12">
        <f>BD129</f>
        <v>42760.586</v>
      </c>
      <c r="BF129" s="12">
        <f>BE129</f>
        <v>42760.586</v>
      </c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hidden="1" outlineLevel="1">
      <c r="C130" s="59" t="inlineStr">
        <is>
          <t>%(Var.)</t>
        </is>
      </c>
      <c r="D130" s="12" t="n"/>
      <c r="E130" s="40" t="n"/>
      <c r="F130" s="40" t="n"/>
      <c r="G130" s="40" t="n"/>
      <c r="H130" s="12" t="n"/>
      <c r="I130" s="40" t="str">
        <f>""</f>
        <v/>
      </c>
      <c r="J130" s="40">
        <f>IFERROR(IF(I129=0,"",J129/I129-1),"")</f>
        <v>0.182137492055008</v>
      </c>
      <c r="K130" s="40">
        <f>IFERROR(IF(J129=0,"",K129/J129-1),"")</f>
        <v>0.12790845188915</v>
      </c>
      <c r="L130" s="40">
        <f>IFERROR(IF(K129=0,"",L129/K129-1),"")</f>
        <v>0.15216701866949</v>
      </c>
      <c r="M130" s="12">
        <f>IFERROR(IF(L129=0,"",M129/L129-1),"")</f>
        <v>0</v>
      </c>
      <c r="N130" s="40">
        <f>IFERROR(IF(M129=0,"",N129/M129-1),"")</f>
        <v>0.0171517818420401</v>
      </c>
      <c r="O130" s="40">
        <f>IFERROR(IF(N129=0,"",O129/N129-1),"")</f>
        <v>-0.0668011303582432</v>
      </c>
      <c r="P130" s="40">
        <f>IFERROR(IF(O129=0,"",P129/O129-1),"")</f>
        <v>-0.0236781245825063</v>
      </c>
      <c r="Q130" s="40">
        <f>IFERROR(IF(P129=0,"",Q129/P129-1),"")</f>
        <v>0.0376144808281185</v>
      </c>
      <c r="R130" s="12">
        <f>IFERROR(IF(Q129=0,"",R129/Q129-1),"")</f>
        <v>0</v>
      </c>
      <c r="S130" s="40">
        <f>IFERROR(IF(R129=0,"",S129/R129-1),"")</f>
        <v>-0.00514464193258424</v>
      </c>
      <c r="T130" s="40">
        <f>IFERROR(IF(S129=0,"",T129/S129-1),"")</f>
        <v>0.00283887573013719</v>
      </c>
      <c r="U130" s="40">
        <f>IFERROR(IF(T129=0,"",U129/T129-1),"")</f>
        <v>0.0125042924435126</v>
      </c>
      <c r="V130" s="40">
        <f>IFERROR(IF(U129=0,"",V129/U129-1),"")</f>
        <v>-0.0439646730661227</v>
      </c>
      <c r="W130" s="12">
        <f>IFERROR(IF(V129=0,"",W129/V129-1),"")</f>
        <v>0</v>
      </c>
      <c r="X130" s="40">
        <f>IFERROR(IF(W129=0,"",X129/W129-1),"")</f>
        <v>-0.000324284175970635</v>
      </c>
      <c r="Y130" s="40">
        <f>IFERROR(IF(X129=0,"",Y129/X129-1),"")</f>
        <v>0.0245665912825575</v>
      </c>
      <c r="Z130" s="40">
        <f>IFERROR(IF(Y129=0,"",Z129/Y129-1),"")</f>
        <v>0.0626112794065428</v>
      </c>
      <c r="AA130" s="40">
        <f>IFERROR(IF(Z129=0,"",AA129/Z129-1),"")</f>
        <v>0.0486684717463501</v>
      </c>
      <c r="AB130" s="12">
        <f>IFERROR(IF(AA129=0,"",AB129/AA129-1),"")</f>
        <v>0</v>
      </c>
      <c r="AC130" s="40">
        <f>IFERROR(IF(AB129=0,"",AC129/AB129-1),"")</f>
        <v>0.034345889293913</v>
      </c>
      <c r="AD130" s="40">
        <f>IFERROR(IF(AC129=0,"",AD129/AC129-1),"")</f>
        <v>0.00909639099709825</v>
      </c>
      <c r="AE130" s="40">
        <f>IFERROR(IF(AD129=0,"",AE129/AD129-1),"")</f>
        <v>0.0266615921224533</v>
      </c>
      <c r="AF130" s="55">
        <f>IFERROR(IF(AE129=0,"",AF129/AE129-1),"")</f>
        <v>0.0260802019192683</v>
      </c>
      <c r="AG130" s="12">
        <f>IFERROR(IF(AF129=0,"",AG129/AF129-1),"")</f>
        <v>0</v>
      </c>
      <c r="AH130" s="12">
        <f>IFERROR(IF(AG129=0,"",AH129/AG129-1),"")</f>
        <v>0.0191402415919033</v>
      </c>
      <c r="AI130" s="12">
        <f>IFERROR(IF(AH129=0,"",AI129/AH129-1),"")</f>
        <v>0.0426170969012509</v>
      </c>
      <c r="AJ130" s="12">
        <f>IFERROR(IF(AI129=0,"",AJ129/AI129-1),"")</f>
        <v>0</v>
      </c>
      <c r="AK130" s="12">
        <f>IFERROR(IF(AJ129=0,"",AK129/AJ129-1),"")</f>
        <v>0</v>
      </c>
      <c r="AL130" s="12">
        <f>IFERROR(IF(AK129=0,"",AL129/AK129-1),"")</f>
        <v>0</v>
      </c>
      <c r="AM130" s="12">
        <f>IFERROR(IF(AL129=0,"",AM129/AL129-1),"")</f>
        <v>0</v>
      </c>
      <c r="AN130" s="12">
        <f>IFERROR(IF(AM129=0,"",AN129/AM129-1),"")</f>
        <v>0</v>
      </c>
      <c r="AO130" s="12">
        <f>IFERROR(IF(AN129=0,"",AO129/AN129-1),"")</f>
        <v>0</v>
      </c>
      <c r="AP130" s="12">
        <f>IFERROR(IF(AO129=0,"",AP129/AO129-1),"")</f>
        <v>0</v>
      </c>
      <c r="AQ130" s="12">
        <f>IFERROR(IF(AP129=0,"",AQ129/AP129-1),"")</f>
        <v>0</v>
      </c>
      <c r="AR130" s="12">
        <f>IFERROR(IF(AQ129=0,"",AR129/AQ129-1),"")</f>
        <v>0</v>
      </c>
      <c r="AS130" s="12">
        <f>IFERROR(IF(AR129=0,"",AS129/AR129-1),"")</f>
        <v>0</v>
      </c>
      <c r="AT130" s="12">
        <f>IFERROR(IF(AS129=0,"",AT129/AS129-1),"")</f>
        <v>0</v>
      </c>
      <c r="AU130" s="12">
        <f>IFERROR(IF(AT129=0,"",AU129/AT129-1),"")</f>
        <v>0</v>
      </c>
      <c r="AV130" s="12">
        <f>IFERROR(IF(AU129=0,"",AV129/AU129-1),"")</f>
        <v>0</v>
      </c>
      <c r="AW130" s="12">
        <f>IFERROR(IF(AV129=0,"",AW129/AV129-1),"")</f>
        <v>0</v>
      </c>
      <c r="AX130" s="12">
        <f>IFERROR(IF(AW129=0,"",AX129/AW129-1),"")</f>
        <v>0</v>
      </c>
      <c r="AY130" s="12">
        <f>IFERROR(IF(AX129=0,"",AY129/AX129-1),"")</f>
        <v>0</v>
      </c>
      <c r="AZ130" s="12">
        <f>IFERROR(IF(AY129=0,"",AZ129/AY129-1),"")</f>
        <v>0</v>
      </c>
      <c r="BA130" s="12">
        <f>IFERROR(IF(AZ129=0,"",BA129/AZ129-1),"")</f>
        <v>0</v>
      </c>
      <c r="BB130" s="12">
        <f>IFERROR(IF(BA129=0,"",BB129/BA129-1),"")</f>
        <v>0</v>
      </c>
      <c r="BC130" s="12">
        <f>IFERROR(IF(BB129=0,"",BC129/BB129-1),"")</f>
        <v>0</v>
      </c>
      <c r="BD130" s="12">
        <f>IFERROR(IF(BC129=0,"",BD129/BC129-1),"")</f>
        <v>0</v>
      </c>
      <c r="BE130" s="12">
        <f>IFERROR(IF(BD129=0,"",BE129/BD129-1),"")</f>
        <v>0</v>
      </c>
      <c r="BF130" s="12">
        <f>IFERROR(IF(BE129=0,"",BF129/BE129-1),"")</f>
        <v>0</v>
      </c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2" t="n"/>
      <c r="CY130" s="12" t="n"/>
    </row>
    <row r="131" hidden="1" outlineLevel="1">
      <c r="C131" s="57" t="n"/>
      <c r="D131" s="12" t="n"/>
      <c r="E131" s="40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60" t="inlineStr">
        <is>
          <t xml:space="preserve">Impostos e Contribuições a Recuperar </t>
        </is>
      </c>
      <c r="D132" s="11" t="n"/>
      <c r="E132" s="11" t="n"/>
      <c r="F132" s="11" t="n"/>
      <c r="G132" s="11" t="n"/>
      <c r="H132" s="12" t="n"/>
      <c r="I132" s="11" t="n"/>
      <c r="J132" s="11" t="n"/>
      <c r="K132" s="11" t="n"/>
      <c r="L132" s="11" t="n"/>
      <c r="M132" s="12" t="n"/>
      <c r="N132" s="11" t="n"/>
      <c r="O132" s="11" t="n"/>
      <c r="P132" s="11" t="n"/>
      <c r="Q132" s="11" t="n"/>
      <c r="R132" s="12" t="n"/>
      <c r="S132" s="11" t="n"/>
      <c r="T132" s="11" t="n"/>
      <c r="U132" s="11" t="n"/>
      <c r="V132" s="11" t="n"/>
      <c r="W132" s="12" t="n"/>
      <c r="X132" s="11" t="n"/>
      <c r="Y132" s="11" t="n"/>
      <c r="Z132" s="11" t="n"/>
      <c r="AA132" s="11" t="n"/>
      <c r="AB132" s="12" t="n"/>
      <c r="AC132" s="11" t="n"/>
      <c r="AD132" s="11" t="n"/>
      <c r="AE132" s="11" t="n"/>
      <c r="AF132" s="11" t="n"/>
      <c r="AG132" s="12">
        <f>AF132</f>
        <v>0</v>
      </c>
      <c r="AH132" s="61">
        <f>IFERROR(AG132*AH15/AG15,"")</f>
        <v>0</v>
      </c>
      <c r="AI132" s="61">
        <f>IFERROR(AH132*AI15/AH15,"")</f>
        <v>0</v>
      </c>
      <c r="AJ132" s="61">
        <f>IFERROR(AI132*AJ15/AI15,"")</f>
        <v>0</v>
      </c>
      <c r="AK132" s="61">
        <f>IFERROR(AJ132*AK15/AJ15,"")</f>
        <v>0</v>
      </c>
      <c r="AL132" s="12">
        <f>IFERROR(AK132,"")</f>
        <v>0</v>
      </c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 hidden="1" outlineLevel="1">
      <c r="C133" s="60" t="inlineStr">
        <is>
          <t>Outros Créditos</t>
        </is>
      </c>
      <c r="D133" s="11" t="n"/>
      <c r="E133" s="11" t="n"/>
      <c r="F133" s="11" t="n"/>
      <c r="G133" s="11" t="n"/>
      <c r="H133" s="12" t="n"/>
      <c r="I133" s="11" t="n"/>
      <c r="J133" s="11" t="n"/>
      <c r="K133" s="11" t="n"/>
      <c r="L133" s="11" t="n"/>
      <c r="M133" s="12" t="n"/>
      <c r="N133" s="11" t="n"/>
      <c r="O133" s="11" t="n"/>
      <c r="P133" s="11" t="n"/>
      <c r="Q133" s="11" t="n"/>
      <c r="R133" s="12" t="n"/>
      <c r="S133" s="11" t="n"/>
      <c r="T133" s="11" t="n"/>
      <c r="U133" s="11" t="n"/>
      <c r="V133" s="11" t="n"/>
      <c r="W133" s="12" t="n"/>
      <c r="X133" s="11" t="n"/>
      <c r="Y133" s="11" t="n"/>
      <c r="Z133" s="11" t="n"/>
      <c r="AA133" s="11" t="n"/>
      <c r="AB133" s="12" t="n"/>
      <c r="AC133" s="11" t="n"/>
      <c r="AD133" s="11" t="n"/>
      <c r="AE133" s="11" t="n"/>
      <c r="AF133" s="11" t="n"/>
      <c r="AG133" s="12">
        <f>AF133</f>
        <v>0</v>
      </c>
      <c r="AH133" s="12">
        <f>AG133</f>
        <v>0</v>
      </c>
      <c r="AI133" s="12">
        <f>AH133</f>
        <v>0</v>
      </c>
      <c r="AJ133" s="12">
        <f>AI133</f>
        <v>0</v>
      </c>
      <c r="AK133" s="12">
        <f>AJ133</f>
        <v>0</v>
      </c>
      <c r="AL133" s="12">
        <f>AK133</f>
        <v>0</v>
      </c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affiliates</t>
        </is>
      </c>
      <c r="D135" s="46" t="n"/>
      <c r="E135" s="46" t="n"/>
      <c r="F135" s="46" t="n"/>
      <c r="G135" s="46" t="n"/>
      <c r="H135" s="12" t="n"/>
      <c r="I135" s="46">
        <f>'Inputs (2)'!D21</f>
        <v>0</v>
      </c>
      <c r="J135" s="46">
        <f>'Inputs (2)'!E21</f>
        <v>0</v>
      </c>
      <c r="K135" s="46">
        <f>'Inputs (2)'!F21</f>
        <v>0</v>
      </c>
      <c r="L135" s="46">
        <f>'Inputs (2)'!G21</f>
        <v>0</v>
      </c>
      <c r="M135" s="12">
        <f>'Inputs (2)'!H21</f>
        <v>0</v>
      </c>
      <c r="N135" s="46">
        <f>'Inputs (2)'!I21</f>
        <v>0</v>
      </c>
      <c r="O135" s="46">
        <f>'Inputs (2)'!J21</f>
        <v>0</v>
      </c>
      <c r="P135" s="46">
        <f>'Inputs (2)'!K21</f>
        <v>0</v>
      </c>
      <c r="Q135" s="46">
        <f>'Inputs (2)'!L21</f>
        <v>0</v>
      </c>
      <c r="R135" s="12">
        <f>'Inputs (2)'!M21</f>
        <v>0</v>
      </c>
      <c r="S135" s="46">
        <f>'Inputs (2)'!N21</f>
        <v>0</v>
      </c>
      <c r="T135" s="46">
        <f>'Inputs (2)'!O21</f>
        <v>0</v>
      </c>
      <c r="U135" s="46">
        <f>'Inputs (2)'!P21</f>
        <v>0</v>
      </c>
      <c r="V135" s="46">
        <f>'Inputs (2)'!Q21</f>
        <v>0</v>
      </c>
      <c r="W135" s="12">
        <f>'Inputs (2)'!R21</f>
        <v>0</v>
      </c>
      <c r="X135" s="46">
        <f>'Inputs (2)'!S21</f>
        <v>0</v>
      </c>
      <c r="Y135" s="46">
        <f>'Inputs (2)'!T21</f>
        <v>0</v>
      </c>
      <c r="Z135" s="46">
        <f>'Inputs (2)'!U21</f>
        <v>0</v>
      </c>
      <c r="AA135" s="46">
        <f>'Inputs (2)'!V21</f>
        <v>0</v>
      </c>
      <c r="AB135" s="12">
        <f>'Inputs (2)'!W21</f>
        <v>0</v>
      </c>
      <c r="AC135" s="46">
        <f>'Inputs (2)'!X21</f>
        <v>0</v>
      </c>
      <c r="AD135" s="46">
        <f>'Inputs (2)'!Y21</f>
        <v>0</v>
      </c>
      <c r="AE135" s="46">
        <f>'Inputs (2)'!Z21</f>
        <v>0</v>
      </c>
      <c r="AF135" s="46">
        <f>'Inputs (2)'!AA21</f>
        <v>0</v>
      </c>
      <c r="AG135" s="12">
        <f>'Inputs (2)'!AB21</f>
        <v>0</v>
      </c>
      <c r="AH135" s="12">
        <f>'Inputs (2)'!AC21</f>
        <v>0</v>
      </c>
      <c r="AI135" s="12">
        <f>'Inputs (2)'!AD21</f>
        <v>0</v>
      </c>
      <c r="AJ135" s="12">
        <f>AI135+AJ109</f>
        <v>0</v>
      </c>
      <c r="AK135" s="12">
        <f>AJ135+AK109</f>
        <v>0</v>
      </c>
      <c r="AL135" s="12">
        <f>AK135</f>
        <v>0</v>
      </c>
      <c r="AM135" s="12">
        <f>AL135+AM109</f>
        <v>0</v>
      </c>
      <c r="AN135" s="12">
        <f>AM135+AN109</f>
        <v>0</v>
      </c>
      <c r="AO135" s="12">
        <f>AN135+AO109</f>
        <v>0</v>
      </c>
      <c r="AP135" s="12">
        <f>AO135+AP109</f>
        <v>0</v>
      </c>
      <c r="AQ135" s="12">
        <f>AP135</f>
        <v>0</v>
      </c>
      <c r="AR135" s="12">
        <f>AQ135+AR109</f>
        <v>0</v>
      </c>
      <c r="AS135" s="12">
        <f>AR135+AS109</f>
        <v>0</v>
      </c>
      <c r="AT135" s="12">
        <f>AS135+AT109</f>
        <v>0</v>
      </c>
      <c r="AU135" s="12">
        <f>AT135+AU109</f>
        <v>0</v>
      </c>
      <c r="AV135" s="12">
        <f>AU135</f>
        <v>0</v>
      </c>
      <c r="AW135" s="12">
        <f>AV135+AW109</f>
        <v>0</v>
      </c>
      <c r="AX135" s="12">
        <f>AW135+AX109</f>
        <v>0</v>
      </c>
      <c r="AY135" s="12">
        <f>AX135+AY109</f>
        <v>0</v>
      </c>
      <c r="AZ135" s="12">
        <f>AY135+AZ109</f>
        <v>0</v>
      </c>
      <c r="BA135" s="12">
        <f>AZ135</f>
        <v>0</v>
      </c>
      <c r="BB135" s="12">
        <f>BA135+BB109</f>
        <v>0</v>
      </c>
      <c r="BC135" s="12">
        <f>BB135+BC109</f>
        <v>0</v>
      </c>
      <c r="BD135" s="12">
        <f>BC135+BD109</f>
        <v>0</v>
      </c>
      <c r="BE135" s="12">
        <f>BD135+BE109</f>
        <v>0</v>
      </c>
      <c r="BF135" s="12">
        <f>BE135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hidden="1" outlineLevel="1">
      <c r="C136" s="57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hidden="1" outlineLevel="1">
      <c r="C137" s="57" t="inlineStr">
        <is>
          <t>Equity in Income - % YoY</t>
        </is>
      </c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>
        <f>IF(I109=0,0,N109/I109-1)</f>
        <v>-0.211008936937514</v>
      </c>
      <c r="O137" s="12">
        <f>IF(J109=0,0,O109/J109-1)</f>
        <v>-1.14619019263136</v>
      </c>
      <c r="P137" s="12">
        <f>IF(K109=0,0,P109/K109-1)</f>
        <v>-0.999221771766279</v>
      </c>
      <c r="Q137" s="12">
        <f>IF(L109=0,0,Q109/L109-1)</f>
        <v>-0.879701613149049</v>
      </c>
      <c r="R137" s="12" t="n"/>
      <c r="S137" s="12">
        <f>IF(N109=0,0,S109/N109-1)</f>
        <v>-0.902502459515593</v>
      </c>
      <c r="T137" s="12">
        <f>IF(O109=0,0,T109/O109-1)</f>
        <v>-3.66147565969967</v>
      </c>
      <c r="U137" s="12">
        <f>IF(P109=0,0,U109/P109-1)</f>
        <v>261.641025641026</v>
      </c>
      <c r="V137" s="12">
        <f>IF(Q109=0,0,V109/Q109-1)</f>
        <v>-1.23008081428887</v>
      </c>
      <c r="W137" s="12" t="n"/>
      <c r="X137" s="12">
        <f>IF(S109=0,0,X109/S109-1)</f>
        <v>4.99505882164508</v>
      </c>
      <c r="Y137" s="12">
        <f>IF(T109=0,0,Y109/T109-1)</f>
        <v>-0.163477100358048</v>
      </c>
      <c r="Z137" s="12">
        <f>IF(U109=0,0,Z109/U109-1)</f>
        <v>1.125576274312</v>
      </c>
      <c r="AA137" s="12">
        <f>IF(V109=0,0,AA109/V109-1)</f>
        <v>-15.643789394756</v>
      </c>
      <c r="AB137" s="12" t="n"/>
      <c r="AC137" s="12">
        <f>IF(X109=0,0,AC109/X109-1)</f>
        <v>-0.206619850199774</v>
      </c>
      <c r="AD137" s="12">
        <f>IF(Y109=0,0,AD109/Y109-1)</f>
        <v>0.710270285286805</v>
      </c>
      <c r="AE137" s="12">
        <f>IF(Z109=0,0,AE109/Z109-1)</f>
        <v>-0.219180354222112</v>
      </c>
      <c r="AF137" s="12">
        <f>IF(AA109=0,0,AF109/AA109-1)</f>
        <v>0.535459466551885</v>
      </c>
      <c r="AG137" s="12" t="n"/>
      <c r="AH137" s="11">
        <f>IF(AC109=0,0,AH109/AC109-1)</f>
        <v>0.0240031519290411</v>
      </c>
      <c r="AI137" s="11">
        <f>IF(AD109=0,0,AI109/AD109-1)</f>
        <v>0.30745026331697</v>
      </c>
      <c r="AJ137" s="11" t="n"/>
      <c r="AK137" s="11" t="n"/>
      <c r="AL137" s="12" t="n"/>
      <c r="AM137" s="11" t="n"/>
      <c r="AN137" s="11" t="n"/>
      <c r="AO137" s="11" t="n"/>
      <c r="AP137" s="11" t="n"/>
      <c r="AQ137" s="12" t="n"/>
      <c r="AR137" s="11" t="n"/>
      <c r="AS137" s="11" t="n"/>
      <c r="AT137" s="11" t="n"/>
      <c r="AU137" s="11" t="n"/>
      <c r="AV137" s="12" t="n"/>
      <c r="AW137" s="11" t="n"/>
      <c r="AX137" s="11" t="n"/>
      <c r="AY137" s="11" t="n"/>
      <c r="AZ137" s="11" t="n"/>
      <c r="BA137" s="12" t="n"/>
      <c r="BB137" s="11" t="n"/>
      <c r="BC137" s="11" t="n"/>
      <c r="BD137" s="11" t="n"/>
      <c r="BE137" s="11" t="n"/>
      <c r="BF137" s="12" t="n"/>
      <c r="BG137" s="11" t="n"/>
      <c r="BH137" s="11" t="n"/>
      <c r="BI137" s="11" t="n"/>
      <c r="BJ137" s="11" t="n"/>
      <c r="BK137" s="12" t="n"/>
      <c r="BL137" s="11" t="n"/>
      <c r="BM137" s="11" t="n"/>
      <c r="BN137" s="11" t="n"/>
      <c r="BO137" s="11" t="n"/>
      <c r="BP137" s="12" t="n"/>
      <c r="BQ137" s="11" t="n"/>
      <c r="BR137" s="11" t="n"/>
      <c r="BS137" s="11" t="n"/>
      <c r="BT137" s="11" t="n"/>
      <c r="BU137" s="12" t="n"/>
      <c r="BV137" s="11" t="n"/>
      <c r="BW137" s="11" t="n"/>
      <c r="BX137" s="11" t="n"/>
      <c r="BY137" s="11" t="n"/>
      <c r="BZ137" s="12" t="n"/>
      <c r="CA137" s="11" t="n"/>
      <c r="CB137" s="11" t="n"/>
      <c r="CC137" s="11" t="n"/>
      <c r="CD137" s="11" t="n"/>
      <c r="CE137" s="12" t="n"/>
      <c r="CF137" s="11" t="n"/>
      <c r="CG137" s="11" t="n"/>
      <c r="CH137" s="11" t="n"/>
      <c r="CI137" s="11" t="n"/>
      <c r="CJ137" s="12" t="n"/>
      <c r="CK137" s="11" t="n"/>
      <c r="CL137" s="11" t="n"/>
      <c r="CM137" s="11" t="n"/>
      <c r="CN137" s="11" t="n"/>
      <c r="CO137" s="12" t="n"/>
      <c r="CP137" s="11" t="n"/>
      <c r="CQ137" s="11" t="n"/>
      <c r="CR137" s="11" t="n"/>
      <c r="CS137" s="11" t="n"/>
      <c r="CT137" s="12" t="n"/>
      <c r="CU137" s="11" t="n"/>
      <c r="CV137" s="11" t="n"/>
      <c r="CW137" s="11" t="n"/>
      <c r="CX137" s="11" t="n"/>
      <c r="CY137" s="12" t="n"/>
    </row>
    <row r="138" hidden="1" outlineLevel="1">
      <c r="C138" s="57" t="inlineStr">
        <is>
          <t>Dividends (enter as -)</t>
        </is>
      </c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1" t="n"/>
      <c r="AI138" s="11" t="n"/>
      <c r="AJ138" s="11" t="n"/>
      <c r="AK138" s="11" t="n"/>
      <c r="AL138" s="12" t="n"/>
      <c r="AM138" s="11" t="n"/>
      <c r="AN138" s="11" t="n"/>
      <c r="AO138" s="11" t="n"/>
      <c r="AP138" s="11" t="n"/>
      <c r="AQ138" s="12" t="n"/>
      <c r="AR138" s="11" t="n"/>
      <c r="AS138" s="11" t="n"/>
      <c r="AT138" s="11" t="n"/>
      <c r="AU138" s="11" t="n"/>
      <c r="AV138" s="12" t="n"/>
      <c r="AW138" s="11" t="n"/>
      <c r="AX138" s="11" t="n"/>
      <c r="AY138" s="11" t="n"/>
      <c r="AZ138" s="11" t="n"/>
      <c r="BA138" s="12" t="n"/>
      <c r="BB138" s="11" t="n"/>
      <c r="BC138" s="11" t="n"/>
      <c r="BD138" s="11" t="n"/>
      <c r="BE138" s="11" t="n"/>
      <c r="BF138" s="12" t="n"/>
      <c r="BG138" s="11" t="n"/>
      <c r="BH138" s="11" t="n"/>
      <c r="BI138" s="11" t="n"/>
      <c r="BJ138" s="11" t="n"/>
      <c r="BK138" s="12" t="n"/>
      <c r="BL138" s="11" t="n"/>
      <c r="BM138" s="11" t="n"/>
      <c r="BN138" s="11" t="n"/>
      <c r="BO138" s="11" t="n"/>
      <c r="BP138" s="12" t="n"/>
      <c r="BQ138" s="11" t="n"/>
      <c r="BR138" s="11" t="n"/>
      <c r="BS138" s="11" t="n"/>
      <c r="BT138" s="11" t="n"/>
      <c r="BU138" s="12" t="n"/>
      <c r="BV138" s="11" t="n"/>
      <c r="BW138" s="11" t="n"/>
      <c r="BX138" s="11" t="n"/>
      <c r="BY138" s="11" t="n"/>
      <c r="BZ138" s="12" t="n"/>
      <c r="CA138" s="11" t="n"/>
      <c r="CB138" s="11" t="n"/>
      <c r="CC138" s="11" t="n"/>
      <c r="CD138" s="11" t="n"/>
      <c r="CE138" s="12" t="n"/>
      <c r="CF138" s="11" t="n"/>
      <c r="CG138" s="11" t="n"/>
      <c r="CH138" s="11" t="n"/>
      <c r="CI138" s="11" t="n"/>
      <c r="CJ138" s="12" t="n"/>
      <c r="CK138" s="11" t="n"/>
      <c r="CL138" s="11" t="n"/>
      <c r="CM138" s="11" t="n"/>
      <c r="CN138" s="11" t="n"/>
      <c r="CO138" s="12" t="n"/>
      <c r="CP138" s="11" t="n"/>
      <c r="CQ138" s="11" t="n"/>
      <c r="CR138" s="11" t="n"/>
      <c r="CS138" s="11" t="n"/>
      <c r="CT138" s="12" t="n"/>
      <c r="CU138" s="11" t="n"/>
      <c r="CV138" s="11" t="n"/>
      <c r="CW138" s="11" t="n"/>
      <c r="CX138" s="11" t="n"/>
      <c r="CY138" s="12" t="n"/>
    </row>
    <row r="139" hidden="1" outlineLevel="1">
      <c r="C139" s="57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collapsed="1">
      <c r="C140" s="14" t="inlineStr">
        <is>
          <t>PP&amp;E</t>
        </is>
      </c>
      <c r="D140" s="46" t="n"/>
      <c r="E140" s="46" t="n"/>
      <c r="F140" s="46" t="n"/>
      <c r="G140" s="46" t="n"/>
      <c r="H140" s="12" t="n"/>
      <c r="I140" s="46">
        <f>'Inputs (2)'!D22</f>
        <v>0</v>
      </c>
      <c r="J140" s="46">
        <f>'Inputs (2)'!E22</f>
        <v>0</v>
      </c>
      <c r="K140" s="46">
        <f>'Inputs (2)'!F22</f>
        <v>0</v>
      </c>
      <c r="L140" s="46">
        <f>'Inputs (2)'!G22</f>
        <v>0</v>
      </c>
      <c r="M140" s="12">
        <f>'Inputs (2)'!H22</f>
        <v>0</v>
      </c>
      <c r="N140" s="46">
        <f>'Inputs (2)'!I22</f>
        <v>0</v>
      </c>
      <c r="O140" s="46">
        <f>'Inputs (2)'!J22</f>
        <v>0</v>
      </c>
      <c r="P140" s="46">
        <f>'Inputs (2)'!K22</f>
        <v>0</v>
      </c>
      <c r="Q140" s="46">
        <f>'Inputs (2)'!L22</f>
        <v>0</v>
      </c>
      <c r="R140" s="12">
        <f>'Inputs (2)'!M22</f>
        <v>0</v>
      </c>
      <c r="S140" s="46">
        <f>'Inputs (2)'!N22</f>
        <v>0</v>
      </c>
      <c r="T140" s="46">
        <f>'Inputs (2)'!O22</f>
        <v>0</v>
      </c>
      <c r="U140" s="46">
        <f>'Inputs (2)'!P22</f>
        <v>0</v>
      </c>
      <c r="V140" s="46">
        <f>'Inputs (2)'!Q22</f>
        <v>0</v>
      </c>
      <c r="W140" s="12">
        <f>'Inputs (2)'!R22</f>
        <v>0</v>
      </c>
      <c r="X140" s="46">
        <f>'Inputs (2)'!S22</f>
        <v>0</v>
      </c>
      <c r="Y140" s="46">
        <f>'Inputs (2)'!T22</f>
        <v>0</v>
      </c>
      <c r="Z140" s="46">
        <f>'Inputs (2)'!U22</f>
        <v>0</v>
      </c>
      <c r="AA140" s="46">
        <f>'Inputs (2)'!V22</f>
        <v>0</v>
      </c>
      <c r="AB140" s="12">
        <f>'Inputs (2)'!W22</f>
        <v>0</v>
      </c>
      <c r="AC140" s="46">
        <f>'Inputs (2)'!X22</f>
        <v>0</v>
      </c>
      <c r="AD140" s="46">
        <f>'Inputs (2)'!Y22</f>
        <v>0</v>
      </c>
      <c r="AE140" s="46">
        <f>'Inputs (2)'!Z22</f>
        <v>0</v>
      </c>
      <c r="AF140" s="46">
        <f>'Inputs (2)'!AA22</f>
        <v>0</v>
      </c>
      <c r="AG140" s="12">
        <f>'Inputs (2)'!AB22</f>
        <v>0</v>
      </c>
      <c r="AH140" s="12">
        <f>'Inputs (2)'!AC22</f>
        <v>0</v>
      </c>
      <c r="AI140" s="12">
        <f>'Inputs (2)'!AD22</f>
        <v>0</v>
      </c>
      <c r="AJ140" s="12">
        <f>AJ145</f>
        <v>-0.231167595966861</v>
      </c>
      <c r="AK140" s="12">
        <f>AK145</f>
        <v>-0.55751033183614</v>
      </c>
      <c r="AL140" s="12">
        <f>AK140</f>
        <v>-0.55751033183614</v>
      </c>
      <c r="AM140" s="12">
        <f>AM145</f>
        <v>-0.828267717973295</v>
      </c>
      <c r="AN140" s="12">
        <f>AN145</f>
        <v>-1.20578214372115</v>
      </c>
      <c r="AO140" s="12">
        <f>AO145</f>
        <v>-1.47299803756476</v>
      </c>
      <c r="AP140" s="12">
        <f>AP145</f>
        <v>-1.85023069208084</v>
      </c>
      <c r="AQ140" s="12">
        <f>AP140</f>
        <v>-1.85023069208084</v>
      </c>
      <c r="AR140" s="12">
        <f>AR145</f>
        <v>-2.16185622497564</v>
      </c>
      <c r="AS140" s="12">
        <f>AS145</f>
        <v>-2.59635271564406</v>
      </c>
      <c r="AT140" s="12">
        <f>AT145</f>
        <v>-2.90390220304675</v>
      </c>
      <c r="AU140" s="12">
        <f>AU145</f>
        <v>-3.33807439190569</v>
      </c>
      <c r="AV140" s="12">
        <f>AU140</f>
        <v>-3.33807439190569</v>
      </c>
      <c r="AW140" s="12">
        <f>AW145</f>
        <v>-3.69517858602465</v>
      </c>
      <c r="AX140" s="12">
        <f>AX145</f>
        <v>-4.19308553769938</v>
      </c>
      <c r="AY140" s="12">
        <f>AY145</f>
        <v>-4.54551882784225</v>
      </c>
      <c r="AZ140" s="12">
        <f>AZ145</f>
        <v>-5.04305414906921</v>
      </c>
      <c r="BA140" s="12">
        <f>AZ140</f>
        <v>-5.04305414906921</v>
      </c>
      <c r="BB140" s="12">
        <f>BB145</f>
        <v>-5.45048864377815</v>
      </c>
      <c r="BC140" s="12">
        <f>BC145</f>
        <v>-6.0185706506786</v>
      </c>
      <c r="BD140" s="12">
        <f>BD145</f>
        <v>-6.4206759237411</v>
      </c>
      <c r="BE140" s="12">
        <f>BE145</f>
        <v>-6.98833392256154</v>
      </c>
      <c r="BF140" s="12">
        <f>BE140</f>
        <v>-6.98833392256154</v>
      </c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hidden="1" outlineLevel="1">
      <c r="C141" s="57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 hidden="1" outlineLevel="1">
      <c r="C142" s="57" t="inlineStr">
        <is>
          <t>Capital expenditures</t>
        </is>
      </c>
      <c r="D142" s="12" t="n"/>
      <c r="E142" s="12" t="n"/>
      <c r="F142" s="12" t="n"/>
      <c r="G142" s="12" t="n"/>
      <c r="H142" s="12" t="n"/>
      <c r="I142" s="12" t="n"/>
      <c r="J142" s="12">
        <f>J140-I140-J44</f>
        <v>18.7</v>
      </c>
      <c r="K142" s="12">
        <f>K140-J140-K44</f>
        <v>18.7</v>
      </c>
      <c r="L142" s="12">
        <f>L140-K140-L44</f>
        <v>18.697</v>
      </c>
      <c r="M142" s="12" t="n"/>
      <c r="N142" s="12">
        <f>N140-M140-N44</f>
        <v>18.698</v>
      </c>
      <c r="O142" s="12">
        <f>O140-N140-O44</f>
        <v>18.7</v>
      </c>
      <c r="P142" s="12">
        <f>P140-O140-P44</f>
        <v>14.9</v>
      </c>
      <c r="Q142" s="12">
        <f>Q140-P140-Q44</f>
        <v>14.809</v>
      </c>
      <c r="R142" s="12" t="n"/>
      <c r="S142" s="12">
        <f>S140-R140-S44</f>
        <v>12.996</v>
      </c>
      <c r="T142" s="12">
        <f>T140-S140-T44</f>
        <v>9.1</v>
      </c>
      <c r="U142" s="12">
        <f>U140-T140-U44</f>
        <v>9</v>
      </c>
      <c r="V142" s="12">
        <f>V140-U140-V44</f>
        <v>9.002</v>
      </c>
      <c r="W142" s="12" t="n"/>
      <c r="X142" s="12">
        <f>X140-W140-X44</f>
        <v>8.981</v>
      </c>
      <c r="Y142" s="12">
        <f>Y140-X140-Y44</f>
        <v>9</v>
      </c>
      <c r="Z142" s="12">
        <f>Z140-Y140-Z44</f>
        <v>9</v>
      </c>
      <c r="AA142" s="12">
        <f>AA140-Z140-AA44</f>
        <v>9.021</v>
      </c>
      <c r="AB142" s="12" t="n"/>
      <c r="AC142" s="12">
        <f>AC140-AB140-AC44</f>
        <v>8.975</v>
      </c>
      <c r="AD142" s="12">
        <f>AD140-AC140-AD44</f>
        <v>9</v>
      </c>
      <c r="AE142" s="12">
        <f>AE140-AD140-AE44</f>
        <v>9</v>
      </c>
      <c r="AF142" s="11">
        <f>AF140-AE140-AF44</f>
        <v>9.099</v>
      </c>
      <c r="AG142" s="12">
        <f>SUM(AC142:AF142)</f>
        <v>36.074</v>
      </c>
      <c r="AH142" s="11">
        <f>AH140-AG140-AH44</f>
        <v>9.035</v>
      </c>
      <c r="AI142" s="11">
        <f>AI140-AH140-AI44</f>
        <v>9</v>
      </c>
      <c r="AJ142" s="11">
        <f>AJ15*Control!$B$24</f>
        <v>8.35866540894094</v>
      </c>
      <c r="AK142" s="11">
        <f>AK15*Control!$B$24</f>
        <v>11.8000523661662</v>
      </c>
      <c r="AL142" s="12" t="n"/>
      <c r="AM142" s="11">
        <f>AM15*Control!$C$24</f>
        <v>9.79017144792366</v>
      </c>
      <c r="AN142" s="11">
        <f>AN15*Control!$C$24</f>
        <v>13.6503421194343</v>
      </c>
      <c r="AO142" s="11">
        <f>AO15*Control!$C$24</f>
        <v>9.66211652307026</v>
      </c>
      <c r="AP142" s="11">
        <f>AP15*Control!$C$24</f>
        <v>13.6401537042352</v>
      </c>
      <c r="AQ142" s="12" t="n"/>
      <c r="AR142" s="11">
        <f>AR15*Control!$D$24</f>
        <v>11.2679008987226</v>
      </c>
      <c r="AS142" s="11">
        <f>AS15*Control!$D$24</f>
        <v>15.7107261148185</v>
      </c>
      <c r="AT142" s="11">
        <f>AT15*Control!$D$24</f>
        <v>11.1205173507922</v>
      </c>
      <c r="AU142" s="11">
        <f>AU15*Control!$D$24</f>
        <v>15.6989998592173</v>
      </c>
      <c r="AV142" s="12" t="n"/>
      <c r="AW142" s="11">
        <f>AW15*Control!$E$24</f>
        <v>12.9123394751131</v>
      </c>
      <c r="AX142" s="11">
        <f>AX15*Control!$E$24</f>
        <v>18.0035510445481</v>
      </c>
      <c r="AY142" s="11">
        <f>AY15*Control!$E$24</f>
        <v>12.7434467575583</v>
      </c>
      <c r="AZ142" s="11">
        <f>AZ15*Control!$E$24</f>
        <v>17.9901134580396</v>
      </c>
      <c r="BA142" s="12" t="n"/>
      <c r="BB142" s="11">
        <f>BB15*Control!$F$24</f>
        <v>14.7322058833072</v>
      </c>
      <c r="BC142" s="11">
        <f>BC15*Control!$F$24</f>
        <v>20.540973317044</v>
      </c>
      <c r="BD142" s="11">
        <f>BD15*Control!$F$24</f>
        <v>14.5395094093642</v>
      </c>
      <c r="BE142" s="11">
        <f>BE15*Control!$F$24</f>
        <v>20.5256418357583</v>
      </c>
      <c r="BF142" s="12" t="n"/>
      <c r="BG142" s="11" t="n"/>
      <c r="BH142" s="11" t="n"/>
      <c r="BI142" s="11" t="n"/>
      <c r="BJ142" s="11" t="n"/>
      <c r="BK142" s="12" t="n"/>
      <c r="BL142" s="11" t="n"/>
      <c r="BM142" s="11" t="n"/>
      <c r="BN142" s="11" t="n"/>
      <c r="BO142" s="11" t="n"/>
      <c r="BP142" s="12" t="n"/>
      <c r="BQ142" s="11" t="n"/>
      <c r="BR142" s="11" t="n"/>
      <c r="BS142" s="11" t="n"/>
      <c r="BT142" s="11" t="n"/>
      <c r="BU142" s="12" t="n"/>
      <c r="BV142" s="11" t="n"/>
      <c r="BW142" s="11" t="n"/>
      <c r="BX142" s="11" t="n"/>
      <c r="BY142" s="11" t="n"/>
      <c r="BZ142" s="12" t="n"/>
      <c r="CA142" s="11" t="n"/>
      <c r="CB142" s="11" t="n"/>
      <c r="CC142" s="11" t="n"/>
      <c r="CD142" s="11" t="n"/>
      <c r="CE142" s="12" t="n"/>
      <c r="CF142" s="11" t="n"/>
      <c r="CG142" s="11" t="n"/>
      <c r="CH142" s="11" t="n"/>
      <c r="CI142" s="11" t="n"/>
      <c r="CJ142" s="12" t="n"/>
      <c r="CK142" s="11" t="n"/>
      <c r="CL142" s="11" t="n"/>
      <c r="CM142" s="11" t="n"/>
      <c r="CN142" s="11" t="n"/>
      <c r="CO142" s="12" t="n"/>
      <c r="CP142" s="11" t="n"/>
      <c r="CQ142" s="11" t="n"/>
      <c r="CR142" s="11" t="n"/>
      <c r="CS142" s="11" t="n"/>
      <c r="CT142" s="12" t="n"/>
      <c r="CU142" s="11" t="n"/>
      <c r="CV142" s="11" t="n"/>
      <c r="CW142" s="11" t="n"/>
      <c r="CX142" s="11" t="n"/>
      <c r="CY142" s="12" t="n"/>
    </row>
    <row r="143" hidden="1" outlineLevel="1">
      <c r="C143" s="57" t="inlineStr">
        <is>
          <t>Recurring asset sales (enter as -)</t>
        </is>
      </c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>
        <f>SUM(I143:L143)</f>
        <v>0</v>
      </c>
      <c r="N143" s="12" t="n"/>
      <c r="O143" s="12" t="n"/>
      <c r="P143" s="12" t="n"/>
      <c r="Q143" s="12" t="n"/>
      <c r="R143" s="12">
        <f>SUM(N143:Q143)</f>
        <v>0</v>
      </c>
      <c r="S143" s="12" t="n"/>
      <c r="T143" s="12" t="n"/>
      <c r="U143" s="12" t="n"/>
      <c r="V143" s="12" t="n"/>
      <c r="W143" s="12">
        <f>SUM(S143:V143)</f>
        <v>0</v>
      </c>
      <c r="X143" s="12" t="n"/>
      <c r="Y143" s="12" t="n"/>
      <c r="Z143" s="12" t="n"/>
      <c r="AA143" s="12" t="n"/>
      <c r="AB143" s="12">
        <f>SUM(X143:AA143)</f>
        <v>0</v>
      </c>
      <c r="AC143" s="12" t="n"/>
      <c r="AD143" s="12" t="n"/>
      <c r="AE143" s="12" t="n"/>
      <c r="AF143" s="11" t="n"/>
      <c r="AG143" s="12">
        <f>SUM(AC143:AF143)</f>
        <v>0</v>
      </c>
      <c r="AH143" s="11" t="n"/>
      <c r="AI143" s="11" t="n"/>
      <c r="AJ143" s="11">
        <f>0</f>
        <v>0</v>
      </c>
      <c r="AK143" s="11">
        <f>0</f>
        <v>0</v>
      </c>
      <c r="AL143" s="12" t="n"/>
      <c r="AM143" s="11">
        <f>0</f>
        <v>0</v>
      </c>
      <c r="AN143" s="11">
        <f>0</f>
        <v>0</v>
      </c>
      <c r="AO143" s="11">
        <f>0</f>
        <v>0</v>
      </c>
      <c r="AP143" s="11">
        <f>0</f>
        <v>0</v>
      </c>
      <c r="AQ143" s="12" t="n"/>
      <c r="AR143" s="11">
        <f>0</f>
        <v>0</v>
      </c>
      <c r="AS143" s="11">
        <f>0</f>
        <v>0</v>
      </c>
      <c r="AT143" s="11">
        <f>0</f>
        <v>0</v>
      </c>
      <c r="AU143" s="11">
        <f>0</f>
        <v>0</v>
      </c>
      <c r="AV143" s="12" t="n"/>
      <c r="AW143" s="11">
        <f>0</f>
        <v>0</v>
      </c>
      <c r="AX143" s="11">
        <f>0</f>
        <v>0</v>
      </c>
      <c r="AY143" s="11">
        <f>0</f>
        <v>0</v>
      </c>
      <c r="AZ143" s="11">
        <f>0</f>
        <v>0</v>
      </c>
      <c r="BA143" s="12" t="n"/>
      <c r="BB143" s="11">
        <f>0</f>
        <v>0</v>
      </c>
      <c r="BC143" s="11">
        <f>0</f>
        <v>0</v>
      </c>
      <c r="BD143" s="11">
        <f>0</f>
        <v>0</v>
      </c>
      <c r="BE143" s="11">
        <f>0</f>
        <v>0</v>
      </c>
      <c r="BF143" s="12" t="n"/>
      <c r="BG143" s="11" t="n"/>
      <c r="BH143" s="11" t="n"/>
      <c r="BI143" s="11" t="n"/>
      <c r="BJ143" s="11" t="n"/>
      <c r="BK143" s="12" t="n"/>
      <c r="BL143" s="11" t="n"/>
      <c r="BM143" s="11" t="n"/>
      <c r="BN143" s="11" t="n"/>
      <c r="BO143" s="11" t="n"/>
      <c r="BP143" s="12" t="n"/>
      <c r="BQ143" s="11" t="n"/>
      <c r="BR143" s="11" t="n"/>
      <c r="BS143" s="11" t="n"/>
      <c r="BT143" s="11" t="n"/>
      <c r="BU143" s="12" t="n"/>
      <c r="BV143" s="11" t="n"/>
      <c r="BW143" s="11" t="n"/>
      <c r="BX143" s="11" t="n"/>
      <c r="BY143" s="11" t="n"/>
      <c r="BZ143" s="12" t="n"/>
      <c r="CA143" s="11" t="n"/>
      <c r="CB143" s="11" t="n"/>
      <c r="CC143" s="11" t="n"/>
      <c r="CD143" s="11" t="n"/>
      <c r="CE143" s="12" t="n"/>
      <c r="CF143" s="11" t="n"/>
      <c r="CG143" s="11" t="n"/>
      <c r="CH143" s="11" t="n"/>
      <c r="CI143" s="11" t="n"/>
      <c r="CJ143" s="12" t="n"/>
      <c r="CK143" s="11" t="n"/>
      <c r="CL143" s="11" t="n"/>
      <c r="CM143" s="11" t="n"/>
      <c r="CN143" s="11" t="n"/>
      <c r="CO143" s="12" t="n"/>
      <c r="CP143" s="11" t="n"/>
      <c r="CQ143" s="11" t="n"/>
      <c r="CR143" s="11" t="n"/>
      <c r="CS143" s="11" t="n"/>
      <c r="CT143" s="12" t="n"/>
      <c r="CU143" s="11" t="n"/>
      <c r="CV143" s="11" t="n"/>
      <c r="CW143" s="11" t="n"/>
      <c r="CX143" s="11" t="n"/>
      <c r="CY143" s="12" t="n"/>
    </row>
    <row r="144" hidden="1" outlineLevel="1">
      <c r="C144" s="57" t="inlineStr">
        <is>
          <t>Depreciation</t>
        </is>
      </c>
      <c r="D144" s="12" t="n"/>
      <c r="E144" s="12" t="n"/>
      <c r="F144" s="12" t="n"/>
      <c r="G144" s="12" t="n"/>
      <c r="H144" s="12" t="n"/>
      <c r="I144" s="12">
        <f>I44</f>
        <v>-18.778</v>
      </c>
      <c r="J144" s="12">
        <f>J44</f>
        <v>-18.7</v>
      </c>
      <c r="K144" s="12">
        <f>K44</f>
        <v>-18.7</v>
      </c>
      <c r="L144" s="12">
        <f>L44</f>
        <v>-18.697</v>
      </c>
      <c r="M144" s="12" t="n"/>
      <c r="N144" s="12">
        <f>N44</f>
        <v>-18.698</v>
      </c>
      <c r="O144" s="12">
        <f>O44</f>
        <v>-18.7</v>
      </c>
      <c r="P144" s="12">
        <f>P44</f>
        <v>-14.9</v>
      </c>
      <c r="Q144" s="12">
        <f>Q44</f>
        <v>-14.809</v>
      </c>
      <c r="R144" s="12" t="n"/>
      <c r="S144" s="12">
        <f>S44</f>
        <v>-12.996</v>
      </c>
      <c r="T144" s="12">
        <f>T44</f>
        <v>-9.1</v>
      </c>
      <c r="U144" s="12">
        <f>U44</f>
        <v>-9</v>
      </c>
      <c r="V144" s="12">
        <f>V44</f>
        <v>-9.002</v>
      </c>
      <c r="W144" s="12" t="n"/>
      <c r="X144" s="12">
        <f>X44</f>
        <v>-8.981</v>
      </c>
      <c r="Y144" s="12">
        <f>Y44</f>
        <v>-9</v>
      </c>
      <c r="Z144" s="12">
        <f>Z44</f>
        <v>-9</v>
      </c>
      <c r="AA144" s="12">
        <f>AA44</f>
        <v>-9.021</v>
      </c>
      <c r="AB144" s="12" t="n"/>
      <c r="AC144" s="12">
        <f>AC44</f>
        <v>-8.975</v>
      </c>
      <c r="AD144" s="12">
        <f>AD44</f>
        <v>-9</v>
      </c>
      <c r="AE144" s="12">
        <f>AE44</f>
        <v>-9</v>
      </c>
      <c r="AF144" s="12">
        <f>AF44</f>
        <v>-9.099</v>
      </c>
      <c r="AG144" s="12" t="n"/>
      <c r="AH144" s="12">
        <f>AH44</f>
        <v>-9.035</v>
      </c>
      <c r="AI144" s="12">
        <f>AI44</f>
        <v>-9</v>
      </c>
      <c r="AJ144" s="12">
        <f>AJ44</f>
        <v>-8.5898330049078</v>
      </c>
      <c r="AK144" s="12">
        <f>AK44</f>
        <v>-12.1263951020355</v>
      </c>
      <c r="AL144" s="12" t="n"/>
      <c r="AM144" s="12">
        <f>AM44</f>
        <v>-10.0609288340608</v>
      </c>
      <c r="AN144" s="12">
        <f>AN44</f>
        <v>-14.0278565451822</v>
      </c>
      <c r="AO144" s="12">
        <f>AO44</f>
        <v>-9.92933241691387</v>
      </c>
      <c r="AP144" s="12">
        <f>AP44</f>
        <v>-14.0173863587513</v>
      </c>
      <c r="AQ144" s="12" t="n"/>
      <c r="AR144" s="12">
        <f>AR44</f>
        <v>-11.5795264316174</v>
      </c>
      <c r="AS144" s="12">
        <f>AS44</f>
        <v>-16.145222605487</v>
      </c>
      <c r="AT144" s="12">
        <f>AT44</f>
        <v>-11.4280668381949</v>
      </c>
      <c r="AU144" s="12">
        <f>AU44</f>
        <v>-16.1331720480762</v>
      </c>
      <c r="AV144" s="12" t="n"/>
      <c r="AW144" s="12">
        <f>AW44</f>
        <v>-13.2694436692321</v>
      </c>
      <c r="AX144" s="12">
        <f>AX44</f>
        <v>-18.5014579962229</v>
      </c>
      <c r="AY144" s="12">
        <f>AY44</f>
        <v>-13.0958800477012</v>
      </c>
      <c r="AZ144" s="12">
        <f>AZ44</f>
        <v>-18.4876487792666</v>
      </c>
      <c r="BA144" s="12" t="n"/>
      <c r="BB144" s="12">
        <f>BB44</f>
        <v>-15.1396403780161</v>
      </c>
      <c r="BC144" s="12">
        <f>BC44</f>
        <v>-21.1090553239445</v>
      </c>
      <c r="BD144" s="12">
        <f>BD44</f>
        <v>-14.9416146824267</v>
      </c>
      <c r="BE144" s="12">
        <f>BE44</f>
        <v>-21.0932998345787</v>
      </c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7" t="inlineStr">
        <is>
          <t>PP&amp;E</t>
        </is>
      </c>
      <c r="D145" s="12" t="n"/>
      <c r="E145" s="12" t="n"/>
      <c r="F145" s="12" t="n"/>
      <c r="G145" s="12" t="n"/>
      <c r="H145" s="12" t="n"/>
      <c r="I145" s="12">
        <f>I140</f>
        <v>0</v>
      </c>
      <c r="J145" s="12">
        <f>J140</f>
        <v>0</v>
      </c>
      <c r="K145" s="12">
        <f>K140</f>
        <v>0</v>
      </c>
      <c r="L145" s="12">
        <f>L140</f>
        <v>0</v>
      </c>
      <c r="M145" s="12" t="n"/>
      <c r="N145" s="12">
        <f>N140</f>
        <v>0</v>
      </c>
      <c r="O145" s="12">
        <f>O140</f>
        <v>0</v>
      </c>
      <c r="P145" s="12">
        <f>P140</f>
        <v>0</v>
      </c>
      <c r="Q145" s="12">
        <f>Q140</f>
        <v>0</v>
      </c>
      <c r="R145" s="12" t="n"/>
      <c r="S145" s="12">
        <f>S140</f>
        <v>0</v>
      </c>
      <c r="T145" s="12">
        <f>T140</f>
        <v>0</v>
      </c>
      <c r="U145" s="12">
        <f>U140</f>
        <v>0</v>
      </c>
      <c r="V145" s="12">
        <f>V140</f>
        <v>0</v>
      </c>
      <c r="W145" s="12" t="n"/>
      <c r="X145" s="12">
        <f>X140</f>
        <v>0</v>
      </c>
      <c r="Y145" s="12">
        <f>Y140</f>
        <v>0</v>
      </c>
      <c r="Z145" s="12">
        <f>Z140</f>
        <v>0</v>
      </c>
      <c r="AA145" s="12">
        <f>Y145+SUM(AA142:AA144)</f>
        <v>0</v>
      </c>
      <c r="AB145" s="12" t="n"/>
      <c r="AC145" s="12">
        <f>AC140</f>
        <v>0</v>
      </c>
      <c r="AD145" s="12">
        <f>AD140</f>
        <v>0</v>
      </c>
      <c r="AE145" s="12">
        <f>AE140</f>
        <v>0</v>
      </c>
      <c r="AF145" s="12">
        <f>AF140</f>
        <v>0</v>
      </c>
      <c r="AG145" s="12" t="n"/>
      <c r="AH145" s="12">
        <f>AH140</f>
        <v>0</v>
      </c>
      <c r="AI145" s="12">
        <f>AI140</f>
        <v>0</v>
      </c>
      <c r="AJ145" s="12">
        <f>AI145+SUM(AJ142:AJ144)</f>
        <v>-0.231167595966861</v>
      </c>
      <c r="AK145" s="12">
        <f>AJ145+SUM(AK142:AK144)</f>
        <v>-0.55751033183614</v>
      </c>
      <c r="AL145" s="12" t="n"/>
      <c r="AM145" s="12">
        <f>AK145+SUM(AM142:AM144)</f>
        <v>-0.828267717973295</v>
      </c>
      <c r="AN145" s="12">
        <f>AM145+SUM(AN142:AN144)</f>
        <v>-1.20578214372115</v>
      </c>
      <c r="AO145" s="12">
        <f>AN145+SUM(AO142:AO144)</f>
        <v>-1.47299803756476</v>
      </c>
      <c r="AP145" s="12">
        <f>AO145+SUM(AP142:AP144)</f>
        <v>-1.85023069208084</v>
      </c>
      <c r="AQ145" s="12" t="n"/>
      <c r="AR145" s="12">
        <f>AP145+SUM(AR142:AR144)</f>
        <v>-2.16185622497564</v>
      </c>
      <c r="AS145" s="12">
        <f>AR145+SUM(AS142:AS144)</f>
        <v>-2.59635271564406</v>
      </c>
      <c r="AT145" s="12">
        <f>AS145+SUM(AT142:AT144)</f>
        <v>-2.90390220304675</v>
      </c>
      <c r="AU145" s="12">
        <f>AT145+SUM(AU142:AU144)</f>
        <v>-3.33807439190569</v>
      </c>
      <c r="AV145" s="12" t="n"/>
      <c r="AW145" s="12">
        <f>AU145+SUM(AW142:AW144)</f>
        <v>-3.69517858602465</v>
      </c>
      <c r="AX145" s="12">
        <f>AW145+SUM(AX142:AX144)</f>
        <v>-4.19308553769938</v>
      </c>
      <c r="AY145" s="12">
        <f>AX145+SUM(AY142:AY144)</f>
        <v>-4.54551882784225</v>
      </c>
      <c r="AZ145" s="12">
        <f>AY145+SUM(AZ142:AZ144)</f>
        <v>-5.04305414906921</v>
      </c>
      <c r="BA145" s="12" t="n"/>
      <c r="BB145" s="12">
        <f>AZ145+SUM(BB142:BB144)</f>
        <v>-5.45048864377815</v>
      </c>
      <c r="BC145" s="12">
        <f>BB145+SUM(BC142:BC144)</f>
        <v>-6.0185706506786</v>
      </c>
      <c r="BD145" s="12">
        <f>BC145+SUM(BD142:BD144)</f>
        <v>-6.4206759237411</v>
      </c>
      <c r="BE145" s="12">
        <f>BD145+SUM(BE142:BE144)</f>
        <v>-6.98833392256154</v>
      </c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>
        <f>IF(AJ15=0,"",AJ142/AJ15)</f>
        <v>0.00234118117304214</v>
      </c>
      <c r="AK146" s="12">
        <f>IF(AK15=0,"",AK142/AK15)</f>
        <v>0.00234118117304214</v>
      </c>
      <c r="AL146" s="12" t="n"/>
      <c r="AM146" s="12">
        <f>IF(AM15=0,"",AM142/AM15)</f>
        <v>0.00234118117304214</v>
      </c>
      <c r="AN146" s="12">
        <f>IF(AN15=0,"",AN142/AN15)</f>
        <v>0.00234118117304214</v>
      </c>
      <c r="AO146" s="12">
        <f>IF(AO15=0,"",AO142/AO15)</f>
        <v>0.00234118117304214</v>
      </c>
      <c r="AP146" s="12">
        <f>IF(AP15=0,"",AP142/AP15)</f>
        <v>0.00234118117304214</v>
      </c>
      <c r="AQ146" s="12" t="n"/>
      <c r="AR146" s="12">
        <f>IF(AR15=0,"",AR142/AR15)</f>
        <v>0.00234118117304214</v>
      </c>
      <c r="AS146" s="12">
        <f>IF(AS15=0,"",AS142/AS15)</f>
        <v>0.00234118117304214</v>
      </c>
      <c r="AT146" s="12">
        <f>IF(AT15=0,"",AT142/AT15)</f>
        <v>0.00234118117304214</v>
      </c>
      <c r="AU146" s="12">
        <f>IF(AU15=0,"",AU142/AU15)</f>
        <v>0.00234118117304214</v>
      </c>
      <c r="AV146" s="12" t="n"/>
      <c r="AW146" s="12">
        <f>IF(AW15=0,"",AW142/AW15)</f>
        <v>0.00234118117304214</v>
      </c>
      <c r="AX146" s="12">
        <f>IF(AX15=0,"",AX142/AX15)</f>
        <v>0.00234118117304214</v>
      </c>
      <c r="AY146" s="12">
        <f>IF(AY15=0,"",AY142/AY15)</f>
        <v>0.00234118117304214</v>
      </c>
      <c r="AZ146" s="12">
        <f>IF(AZ15=0,"",AZ142/AZ15)</f>
        <v>0.00234118117304214</v>
      </c>
      <c r="BA146" s="12" t="n"/>
      <c r="BB146" s="12">
        <f>IF(BB15=0,"",BB142/BB15)</f>
        <v>0.00234118117304214</v>
      </c>
      <c r="BC146" s="12">
        <f>IF(BC15=0,"",BC142/BC15)</f>
        <v>0.00234118117304214</v>
      </c>
      <c r="BD146" s="12">
        <f>IF(BD15=0,"",BD142/BD15)</f>
        <v>0.00234118117304214</v>
      </c>
      <c r="BE146" s="12">
        <f>IF(BE15=0,"",BE142/BE15)</f>
        <v>0.00234118117304214</v>
      </c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hidden="1" outlineLevel="1">
      <c r="C147" s="57" t="inlineStr">
        <is>
          <t>Capital expenditures (% Net Revenues)</t>
        </is>
      </c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58">
        <f>IFERROR(AF142/AF15,"")</f>
        <v>0.00208679642003985</v>
      </c>
      <c r="AG147" s="58">
        <f>IFERROR(AG142/AG15,"")</f>
        <v>0.00249642480605027</v>
      </c>
      <c r="AH147" s="58">
        <f>IFERROR(AH142/AH15,"")</f>
        <v>0.00249751561465559</v>
      </c>
      <c r="AI147" s="58">
        <f>IFERROR(AI142/AI15,"")</f>
        <v>0.00178430595851132</v>
      </c>
      <c r="AJ147" s="58">
        <f>IFERROR(AJ142/AJ15,"")</f>
        <v>0.00234118117304214</v>
      </c>
      <c r="AK147" s="58">
        <f>IFERROR(AK142/AK15,"")</f>
        <v>0.00234118117304214</v>
      </c>
      <c r="AL147" s="58">
        <f>IFERROR(AL142/AL15,"")</f>
        <v>0</v>
      </c>
      <c r="AM147" s="58">
        <f>IFERROR(AM142/AM15,"")</f>
        <v>0.00234118117304214</v>
      </c>
      <c r="AN147" s="58">
        <f>IFERROR(AN142/AN15,"")</f>
        <v>0.00234118117304214</v>
      </c>
      <c r="AO147" s="58">
        <f>IFERROR(AO142/AO15,"")</f>
        <v>0.00234118117304214</v>
      </c>
      <c r="AP147" s="58">
        <f>IFERROR(AP142/AP15,"")</f>
        <v>0.00234118117304214</v>
      </c>
      <c r="AQ147" s="58">
        <f>IFERROR(AQ142/AQ15,"")</f>
        <v>0</v>
      </c>
      <c r="AR147" s="58">
        <f>IFERROR(AR142/AR15,"")</f>
        <v>0.00234118117304214</v>
      </c>
      <c r="AS147" s="58">
        <f>IFERROR(AS142/AS15,"")</f>
        <v>0.00234118117304214</v>
      </c>
      <c r="AT147" s="58">
        <f>IFERROR(AT142/AT15,"")</f>
        <v>0.00234118117304214</v>
      </c>
      <c r="AU147" s="58">
        <f>IFERROR(AU142/AU15,"")</f>
        <v>0.00234118117304214</v>
      </c>
      <c r="AV147" s="58">
        <f>IFERROR(AV142/AV15,"")</f>
        <v>0</v>
      </c>
      <c r="AW147" s="58">
        <f>IFERROR(AW142/AW15,"")</f>
        <v>0.00234118117304214</v>
      </c>
      <c r="AX147" s="58">
        <f>IFERROR(AX142/AX15,"")</f>
        <v>0.00234118117304214</v>
      </c>
      <c r="AY147" s="58">
        <f>IFERROR(AY142/AY15,"")</f>
        <v>0.00234118117304214</v>
      </c>
      <c r="AZ147" s="58">
        <f>IFERROR(AZ142/AZ15,"")</f>
        <v>0.00234118117304214</v>
      </c>
      <c r="BA147" s="58">
        <f>IFERROR(BA142/BA15,"")</f>
        <v>0</v>
      </c>
      <c r="BB147" s="58">
        <f>IFERROR(BB142/BB15,"")</f>
        <v>0.00234118117304214</v>
      </c>
      <c r="BC147" s="58">
        <f>IFERROR(BC142/BC15,"")</f>
        <v>0.00234118117304214</v>
      </c>
      <c r="BD147" s="58">
        <f>IFERROR(BD142/BD15,"")</f>
        <v>0.00234118117304214</v>
      </c>
      <c r="BE147" s="58">
        <f>IFERROR(BE142/BE15,"")</f>
        <v>0.00234118117304214</v>
      </c>
      <c r="BF147" s="58">
        <f>IFERROR(BF142/BF15,"")</f>
        <v>0</v>
      </c>
      <c r="BG147" s="58" t="n"/>
      <c r="BH147" s="58" t="n"/>
      <c r="BI147" s="58" t="n"/>
      <c r="BJ147" s="58" t="n"/>
      <c r="BK147" s="58" t="n"/>
      <c r="BL147" s="58" t="n"/>
      <c r="BM147" s="58" t="n"/>
      <c r="BN147" s="58" t="n"/>
      <c r="BO147" s="58" t="n"/>
      <c r="BP147" s="58" t="n"/>
      <c r="BQ147" s="58" t="n"/>
      <c r="BR147" s="58" t="n"/>
      <c r="BS147" s="58" t="n"/>
      <c r="BT147" s="58" t="n"/>
      <c r="BU147" s="58" t="n"/>
      <c r="BV147" s="58" t="n"/>
      <c r="BW147" s="58" t="n"/>
      <c r="BX147" s="58" t="n"/>
      <c r="BY147" s="58" t="n"/>
      <c r="BZ147" s="58" t="n"/>
      <c r="CA147" s="58" t="n"/>
      <c r="CB147" s="58" t="n"/>
      <c r="CC147" s="58" t="n"/>
      <c r="CD147" s="58" t="n"/>
      <c r="CE147" s="58" t="n"/>
      <c r="CF147" s="58" t="n"/>
      <c r="CG147" s="58" t="n"/>
      <c r="CH147" s="58" t="n"/>
      <c r="CI147" s="58" t="n"/>
      <c r="CJ147" s="58" t="n"/>
      <c r="CK147" s="58" t="n"/>
      <c r="CL147" s="58" t="n"/>
      <c r="CM147" s="58" t="n"/>
      <c r="CN147" s="58" t="n"/>
      <c r="CO147" s="58" t="n"/>
      <c r="CP147" s="58" t="n"/>
      <c r="CQ147" s="58" t="n"/>
      <c r="CR147" s="58" t="n"/>
      <c r="CS147" s="58" t="n"/>
      <c r="CT147" s="58" t="n"/>
      <c r="CU147" s="58" t="n"/>
      <c r="CV147" s="58" t="n"/>
      <c r="CW147" s="58" t="n"/>
      <c r="CX147" s="58" t="n"/>
      <c r="CY147" s="58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hidden="1" outlineLevel="1">
      <c r="C149" s="57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collapsed="1">
      <c r="C150" s="14" t="inlineStr">
        <is>
          <t>Right-of-use-assets</t>
        </is>
      </c>
      <c r="D150" s="46" t="n"/>
      <c r="E150" s="46" t="n"/>
      <c r="F150" s="46" t="n"/>
      <c r="G150" s="46" t="n"/>
      <c r="H150" s="12" t="n"/>
      <c r="I150" s="46">
        <f>'Inputs (2)'!D23</f>
        <v>736.633</v>
      </c>
      <c r="J150" s="46">
        <f>'Inputs (2)'!E23</f>
        <v>723.539</v>
      </c>
      <c r="K150" s="46">
        <f>'Inputs (2)'!F23</f>
        <v>745.886</v>
      </c>
      <c r="L150" s="46">
        <f>'Inputs (2)'!G23</f>
        <v>788.991</v>
      </c>
      <c r="M150" s="12">
        <f>'Inputs (2)'!H23</f>
        <v>788.991</v>
      </c>
      <c r="N150" s="46">
        <f>'Inputs (2)'!I23</f>
        <v>868.437</v>
      </c>
      <c r="O150" s="46">
        <f>'Inputs (2)'!J23</f>
        <v>886.911</v>
      </c>
      <c r="P150" s="46">
        <f>'Inputs (2)'!K23</f>
        <v>887.832</v>
      </c>
      <c r="Q150" s="46">
        <f>'Inputs (2)'!L23</f>
        <v>896.981</v>
      </c>
      <c r="R150" s="12">
        <f>'Inputs (2)'!M23</f>
        <v>896.981</v>
      </c>
      <c r="S150" s="46">
        <f>'Inputs (2)'!N23</f>
        <v>894.067</v>
      </c>
      <c r="T150" s="46">
        <f>'Inputs (2)'!O23</f>
        <v>888.19</v>
      </c>
      <c r="U150" s="46">
        <f>'Inputs (2)'!P23</f>
        <v>864.691</v>
      </c>
      <c r="V150" s="46">
        <f>'Inputs (2)'!Q23</f>
        <v>841.307</v>
      </c>
      <c r="W150" s="12">
        <f>'Inputs (2)'!R23</f>
        <v>841.307</v>
      </c>
      <c r="X150" s="46">
        <f>'Inputs (2)'!S23</f>
        <v>805.454</v>
      </c>
      <c r="Y150" s="46">
        <f>'Inputs (2)'!T23</f>
        <v>995.524</v>
      </c>
      <c r="Z150" s="46">
        <f>'Inputs (2)'!U23</f>
        <v>978.699</v>
      </c>
      <c r="AA150" s="46">
        <f>'Inputs (2)'!V23</f>
        <v>838.62</v>
      </c>
      <c r="AB150" s="12">
        <f>'Inputs (2)'!W23</f>
        <v>838.62</v>
      </c>
      <c r="AC150" s="46">
        <f>'Inputs (2)'!X23</f>
        <v>807.487</v>
      </c>
      <c r="AD150" s="46">
        <f>'Inputs (2)'!Y23</f>
        <v>793.69</v>
      </c>
      <c r="AE150" s="46">
        <f>'Inputs (2)'!Z23</f>
        <v>773.03</v>
      </c>
      <c r="AF150" s="46">
        <f>'Inputs (2)'!AA23</f>
        <v>757.459</v>
      </c>
      <c r="AG150" s="12">
        <f>'Inputs (2)'!AB23</f>
        <v>757.459</v>
      </c>
      <c r="AH150" s="12">
        <f>'Inputs (2)'!AC23</f>
        <v>786.276</v>
      </c>
      <c r="AI150" s="12">
        <f>'Inputs (2)'!AD23</f>
        <v>743.127</v>
      </c>
      <c r="AJ150" s="12">
        <f>AI150</f>
        <v>743.127</v>
      </c>
      <c r="AK150" s="12">
        <f>AJ150</f>
        <v>743.127</v>
      </c>
      <c r="AL150" s="12">
        <f>AK150</f>
        <v>743.127</v>
      </c>
      <c r="AM150" s="12">
        <f>AL150</f>
        <v>743.127</v>
      </c>
      <c r="AN150" s="12">
        <f>AM150</f>
        <v>743.127</v>
      </c>
      <c r="AO150" s="12">
        <f>AN150</f>
        <v>743.127</v>
      </c>
      <c r="AP150" s="12">
        <f>AO150</f>
        <v>743.127</v>
      </c>
      <c r="AQ150" s="12">
        <f>AP150</f>
        <v>743.127</v>
      </c>
      <c r="AR150" s="12">
        <f>AQ150</f>
        <v>743.127</v>
      </c>
      <c r="AS150" s="12">
        <f>AR150</f>
        <v>743.127</v>
      </c>
      <c r="AT150" s="12">
        <f>AS150</f>
        <v>743.127</v>
      </c>
      <c r="AU150" s="12">
        <f>AT150</f>
        <v>743.127</v>
      </c>
      <c r="AV150" s="12">
        <f>AU150</f>
        <v>743.127</v>
      </c>
      <c r="AW150" s="12">
        <f>AV150</f>
        <v>743.127</v>
      </c>
      <c r="AX150" s="12">
        <f>AW150</f>
        <v>743.127</v>
      </c>
      <c r="AY150" s="12">
        <f>AX150</f>
        <v>743.127</v>
      </c>
      <c r="AZ150" s="12">
        <f>AY150</f>
        <v>743.127</v>
      </c>
      <c r="BA150" s="12">
        <f>AZ150</f>
        <v>743.127</v>
      </c>
      <c r="BB150" s="12">
        <f>BA150</f>
        <v>743.127</v>
      </c>
      <c r="BC150" s="12">
        <f>BB150</f>
        <v>743.127</v>
      </c>
      <c r="BD150" s="12">
        <f>BC150</f>
        <v>743.127</v>
      </c>
      <c r="BE150" s="12">
        <f>BD150</f>
        <v>743.127</v>
      </c>
      <c r="BF150" s="12">
        <f>BE150</f>
        <v>743.127</v>
      </c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9" t="inlineStr">
        <is>
          <t>%(Var.)</t>
        </is>
      </c>
      <c r="D151" s="12" t="n"/>
      <c r="E151" s="40" t="n"/>
      <c r="F151" s="40" t="n"/>
      <c r="G151" s="40" t="n"/>
      <c r="H151" s="12" t="n"/>
      <c r="I151" s="40" t="str">
        <f>""</f>
        <v/>
      </c>
      <c r="J151" s="40">
        <f>IFERROR(IF(I150=0,"",J150/I150-1),"")</f>
        <v>-0.0177754729967298</v>
      </c>
      <c r="K151" s="40">
        <f>IFERROR(IF(J150=0,"",K150/J150-1),"")</f>
        <v>0.0308856882628303</v>
      </c>
      <c r="L151" s="40">
        <f>IFERROR(IF(K150=0,"",L150/K150-1),"")</f>
        <v>0.057790332570929</v>
      </c>
      <c r="M151" s="12">
        <f>IFERROR(IF(L150=0,"",M150/L150-1),"")</f>
        <v>0</v>
      </c>
      <c r="N151" s="40">
        <f>IFERROR(IF(M150=0,"",N150/M150-1),"")</f>
        <v>0.100693163800348</v>
      </c>
      <c r="O151" s="40">
        <f>IFERROR(IF(N150=0,"",O150/N150-1),"")</f>
        <v>0.0212727002649586</v>
      </c>
      <c r="P151" s="40">
        <f>IFERROR(IF(O150=0,"",P150/O150-1),"")</f>
        <v>0.00103843564912376</v>
      </c>
      <c r="Q151" s="40">
        <f>IFERROR(IF(P150=0,"",Q150/P150-1),"")</f>
        <v>0.0103048774993468</v>
      </c>
      <c r="R151" s="12">
        <f>IFERROR(IF(Q150=0,"",R150/Q150-1),"")</f>
        <v>0</v>
      </c>
      <c r="S151" s="40">
        <f>IFERROR(IF(R150=0,"",S150/R150-1),"")</f>
        <v>-0.00324867527851758</v>
      </c>
      <c r="T151" s="40">
        <f>IFERROR(IF(S150=0,"",T150/S150-1),"")</f>
        <v>-0.00657333287102635</v>
      </c>
      <c r="U151" s="40">
        <f>IFERROR(IF(T150=0,"",U150/T150-1),"")</f>
        <v>-0.0264571769553812</v>
      </c>
      <c r="V151" s="40">
        <f>IFERROR(IF(U150=0,"",V150/U150-1),"")</f>
        <v>-0.0270431865255912</v>
      </c>
      <c r="W151" s="12">
        <f>IFERROR(IF(V150=0,"",W150/V150-1),"")</f>
        <v>0</v>
      </c>
      <c r="X151" s="40">
        <f>IFERROR(IF(W150=0,"",X150/W150-1),"")</f>
        <v>-0.0426158346477565</v>
      </c>
      <c r="Y151" s="40">
        <f>IFERROR(IF(X150=0,"",Y150/X150-1),"")</f>
        <v>0.235978715109739</v>
      </c>
      <c r="Z151" s="40">
        <f>IFERROR(IF(Y150=0,"",Z150/Y150-1),"")</f>
        <v>-0.0169006472973028</v>
      </c>
      <c r="AA151" s="40">
        <f>IFERROR(IF(Z150=0,"",AA150/Z150-1),"")</f>
        <v>-0.143127764511867</v>
      </c>
      <c r="AB151" s="12">
        <f>IFERROR(IF(AA150=0,"",AB150/AA150-1),"")</f>
        <v>0</v>
      </c>
      <c r="AC151" s="40">
        <f>IFERROR(IF(AB150=0,"",AC150/AB150-1),"")</f>
        <v>-0.0371240848059908</v>
      </c>
      <c r="AD151" s="40">
        <f>IFERROR(IF(AC150=0,"",AD150/AC150-1),"")</f>
        <v>-0.0170863431857107</v>
      </c>
      <c r="AE151" s="40">
        <f>IFERROR(IF(AD150=0,"",AE150/AD150-1),"")</f>
        <v>-0.0260303141024835</v>
      </c>
      <c r="AF151" s="55">
        <f>IFERROR(IF(AE150=0,"",AF150/AE150-1),"")</f>
        <v>-0.0201428146385004</v>
      </c>
      <c r="AG151" s="12">
        <f>IFERROR(IF(AF150=0,"",AG150/AF150-1),"")</f>
        <v>0</v>
      </c>
      <c r="AH151" s="55">
        <f>IFERROR(IF(AG150=0,"",AH150/AG150-1),"")</f>
        <v>0.0380443033880382</v>
      </c>
      <c r="AI151" s="55">
        <f>IFERROR(IF(AH150=0,"",AI150/AH150-1),"")</f>
        <v>-0.0548776765410619</v>
      </c>
      <c r="AJ151" s="55">
        <f>IFERROR(IF(AI150=0,"",AJ150/AI150-1),"")</f>
        <v>0</v>
      </c>
      <c r="AK151" s="55">
        <f>IFERROR(IF(AJ150=0,"",AK150/AJ150-1),"")</f>
        <v>0</v>
      </c>
      <c r="AL151" s="12">
        <f>IFERROR(IF(AK150=0,"",AL150/AK150-1),"")</f>
        <v>0</v>
      </c>
      <c r="AM151" s="55">
        <f>IFERROR(IF(AL150=0,"",AM150/AL150-1),"")</f>
        <v>0</v>
      </c>
      <c r="AN151" s="55">
        <f>IFERROR(IF(AM150=0,"",AN150/AM150-1),"")</f>
        <v>0</v>
      </c>
      <c r="AO151" s="55">
        <f>IFERROR(IF(AN150=0,"",AO150/AN150-1),"")</f>
        <v>0</v>
      </c>
      <c r="AP151" s="55">
        <f>IFERROR(IF(AO150=0,"",AP150/AO150-1),"")</f>
        <v>0</v>
      </c>
      <c r="AQ151" s="12">
        <f>IFERROR(IF(AP150=0,"",AQ150/AP150-1),"")</f>
        <v>0</v>
      </c>
      <c r="AR151" s="55">
        <f>IFERROR(IF(AQ150=0,"",AR150/AQ150-1),"")</f>
        <v>0</v>
      </c>
      <c r="AS151" s="55">
        <f>IFERROR(IF(AR150=0,"",AS150/AR150-1),"")</f>
        <v>0</v>
      </c>
      <c r="AT151" s="55">
        <f>IFERROR(IF(AS150=0,"",AT150/AS150-1),"")</f>
        <v>0</v>
      </c>
      <c r="AU151" s="55">
        <f>IFERROR(IF(AT150=0,"",AU150/AT150-1),"")</f>
        <v>0</v>
      </c>
      <c r="AV151" s="12">
        <f>IFERROR(IF(AU150=0,"",AV150/AU150-1),"")</f>
        <v>0</v>
      </c>
      <c r="AW151" s="55">
        <f>IFERROR(IF(AV150=0,"",AW150/AV150-1),"")</f>
        <v>0</v>
      </c>
      <c r="AX151" s="55">
        <f>IFERROR(IF(AW150=0,"",AX150/AW150-1),"")</f>
        <v>0</v>
      </c>
      <c r="AY151" s="55">
        <f>IFERROR(IF(AX150=0,"",AY150/AX150-1),"")</f>
        <v>0</v>
      </c>
      <c r="AZ151" s="55">
        <f>IFERROR(IF(AY150=0,"",AZ150/AY150-1),"")</f>
        <v>0</v>
      </c>
      <c r="BA151" s="12">
        <f>IFERROR(IF(AZ150=0,"",BA150/AZ150-1),"")</f>
        <v>0</v>
      </c>
      <c r="BB151" s="55">
        <f>IFERROR(IF(BA150=0,"",BB150/BA150-1),"")</f>
        <v>0</v>
      </c>
      <c r="BC151" s="55">
        <f>IFERROR(IF(BB150=0,"",BC150/BB150-1),"")</f>
        <v>0</v>
      </c>
      <c r="BD151" s="55">
        <f>IFERROR(IF(BC150=0,"",BD150/BC150-1),"")</f>
        <v>0</v>
      </c>
      <c r="BE151" s="55">
        <f>IFERROR(IF(BD150=0,"",BE150/BD150-1),"")</f>
        <v>0</v>
      </c>
      <c r="BF151" s="12">
        <f>IFERROR(IF(BE150=0,"",BF150/BE150-1),"")</f>
        <v>0</v>
      </c>
      <c r="BG151" s="55" t="n"/>
      <c r="BH151" s="55" t="n"/>
      <c r="BI151" s="55" t="n"/>
      <c r="BJ151" s="55" t="n"/>
      <c r="BK151" s="12" t="n"/>
      <c r="BL151" s="55" t="n"/>
      <c r="BM151" s="55" t="n"/>
      <c r="BN151" s="55" t="n"/>
      <c r="BO151" s="55" t="n"/>
      <c r="BP151" s="12" t="n"/>
      <c r="BQ151" s="55" t="n"/>
      <c r="BR151" s="55" t="n"/>
      <c r="BS151" s="55" t="n"/>
      <c r="BT151" s="55" t="n"/>
      <c r="BU151" s="12" t="n"/>
      <c r="BV151" s="55" t="n"/>
      <c r="BW151" s="55" t="n"/>
      <c r="BX151" s="55" t="n"/>
      <c r="BY151" s="55" t="n"/>
      <c r="BZ151" s="12" t="n"/>
      <c r="CA151" s="55" t="n"/>
      <c r="CB151" s="55" t="n"/>
      <c r="CC151" s="55" t="n"/>
      <c r="CD151" s="55" t="n"/>
      <c r="CE151" s="12" t="n"/>
      <c r="CF151" s="55" t="n"/>
      <c r="CG151" s="55" t="n"/>
      <c r="CH151" s="55" t="n"/>
      <c r="CI151" s="55" t="n"/>
      <c r="CJ151" s="12" t="n"/>
      <c r="CK151" s="55" t="n"/>
      <c r="CL151" s="55" t="n"/>
      <c r="CM151" s="55" t="n"/>
      <c r="CN151" s="55" t="n"/>
      <c r="CO151" s="12" t="n"/>
      <c r="CP151" s="55" t="n"/>
      <c r="CQ151" s="55" t="n"/>
      <c r="CR151" s="55" t="n"/>
      <c r="CS151" s="55" t="n"/>
      <c r="CT151" s="12" t="n"/>
      <c r="CU151" s="55" t="n"/>
      <c r="CV151" s="55" t="n"/>
      <c r="CW151" s="55" t="n"/>
      <c r="CX151" s="55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Goodwill</t>
        </is>
      </c>
      <c r="D153" s="46" t="n"/>
      <c r="E153" s="46" t="n"/>
      <c r="F153" s="46" t="n"/>
      <c r="G153" s="46" t="n"/>
      <c r="H153" s="12" t="n"/>
      <c r="I153" s="46">
        <f>'Inputs (2)'!D24</f>
        <v>1890.185</v>
      </c>
      <c r="J153" s="46">
        <f>'Inputs (2)'!E24</f>
        <v>1890.202</v>
      </c>
      <c r="K153" s="46">
        <f>'Inputs (2)'!F24</f>
        <v>1890.202</v>
      </c>
      <c r="L153" s="46">
        <f>'Inputs (2)'!G24</f>
        <v>1890.202</v>
      </c>
      <c r="M153" s="12">
        <f>'Inputs (2)'!H24</f>
        <v>1890.202</v>
      </c>
      <c r="N153" s="46">
        <f>'Inputs (2)'!I24</f>
        <v>1890.202</v>
      </c>
      <c r="O153" s="46">
        <f>'Inputs (2)'!J24</f>
        <v>1890.202</v>
      </c>
      <c r="P153" s="46">
        <f>'Inputs (2)'!K24</f>
        <v>1890.202</v>
      </c>
      <c r="Q153" s="46">
        <f>'Inputs (2)'!L24</f>
        <v>1890.202</v>
      </c>
      <c r="R153" s="12">
        <f>'Inputs (2)'!M24</f>
        <v>1890.202</v>
      </c>
      <c r="S153" s="46">
        <f>'Inputs (2)'!N24</f>
        <v>1890.202</v>
      </c>
      <c r="T153" s="46">
        <f>'Inputs (2)'!O24</f>
        <v>1890.202</v>
      </c>
      <c r="U153" s="46">
        <f>'Inputs (2)'!P24</f>
        <v>1890.202</v>
      </c>
      <c r="V153" s="46">
        <f>'Inputs (2)'!Q24</f>
        <v>1890.202</v>
      </c>
      <c r="W153" s="12">
        <f>'Inputs (2)'!R24</f>
        <v>1890.202</v>
      </c>
      <c r="X153" s="46">
        <f>'Inputs (2)'!S24</f>
        <v>1890.202</v>
      </c>
      <c r="Y153" s="46">
        <f>'Inputs (2)'!T24</f>
        <v>1890.202</v>
      </c>
      <c r="Z153" s="46">
        <f>'Inputs (2)'!U24</f>
        <v>1890.202</v>
      </c>
      <c r="AA153" s="46">
        <f>'Inputs (2)'!V24</f>
        <v>1890.202</v>
      </c>
      <c r="AB153" s="12">
        <f>'Inputs (2)'!W24</f>
        <v>1890.202</v>
      </c>
      <c r="AC153" s="46">
        <f>'Inputs (2)'!X24</f>
        <v>1890.202</v>
      </c>
      <c r="AD153" s="46">
        <f>'Inputs (2)'!Y24</f>
        <v>1890.202</v>
      </c>
      <c r="AE153" s="46">
        <f>'Inputs (2)'!Z24</f>
        <v>1890.202</v>
      </c>
      <c r="AF153" s="46">
        <f>'Inputs (2)'!AA24</f>
        <v>1890.202</v>
      </c>
      <c r="AG153" s="12">
        <f>'Inputs (2)'!AB24</f>
        <v>1890.202</v>
      </c>
      <c r="AH153" s="12">
        <f>'Inputs (2)'!AC24</f>
        <v>1890.202</v>
      </c>
      <c r="AI153" s="12">
        <f>'Inputs (2)'!AD24</f>
        <v>1890.202</v>
      </c>
      <c r="AJ153" s="12">
        <f>AI153</f>
        <v>1890.202</v>
      </c>
      <c r="AK153" s="12">
        <f>AJ153</f>
        <v>1890.202</v>
      </c>
      <c r="AL153" s="12">
        <f>AK153</f>
        <v>1890.202</v>
      </c>
      <c r="AM153" s="12">
        <f>AL153</f>
        <v>1890.202</v>
      </c>
      <c r="AN153" s="12">
        <f>AM153</f>
        <v>1890.202</v>
      </c>
      <c r="AO153" s="12">
        <f>AN153</f>
        <v>1890.202</v>
      </c>
      <c r="AP153" s="12">
        <f>AO153</f>
        <v>1890.202</v>
      </c>
      <c r="AQ153" s="12">
        <f>AP153</f>
        <v>1890.202</v>
      </c>
      <c r="AR153" s="12">
        <f>AQ153</f>
        <v>1890.202</v>
      </c>
      <c r="AS153" s="12">
        <f>AR153</f>
        <v>1890.202</v>
      </c>
      <c r="AT153" s="12">
        <f>AS153</f>
        <v>1890.202</v>
      </c>
      <c r="AU153" s="12">
        <f>AT153</f>
        <v>1890.202</v>
      </c>
      <c r="AV153" s="12">
        <f>AU153</f>
        <v>1890.202</v>
      </c>
      <c r="AW153" s="12">
        <f>AV153</f>
        <v>1890.202</v>
      </c>
      <c r="AX153" s="12">
        <f>AW153</f>
        <v>1890.202</v>
      </c>
      <c r="AY153" s="12">
        <f>AX153</f>
        <v>1890.202</v>
      </c>
      <c r="AZ153" s="12">
        <f>AY153</f>
        <v>1890.202</v>
      </c>
      <c r="BA153" s="12">
        <f>AZ153</f>
        <v>1890.202</v>
      </c>
      <c r="BB153" s="12">
        <f>BA153</f>
        <v>1890.202</v>
      </c>
      <c r="BC153" s="12">
        <f>BB153</f>
        <v>1890.202</v>
      </c>
      <c r="BD153" s="12">
        <f>BC153</f>
        <v>1890.202</v>
      </c>
      <c r="BE153" s="12">
        <f>BD153</f>
        <v>1890.202</v>
      </c>
      <c r="BF153" s="12">
        <f>BE153</f>
        <v>1890.202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Intangibles</t>
        </is>
      </c>
      <c r="D154" s="46" t="n"/>
      <c r="E154" s="46" t="n"/>
      <c r="F154" s="46" t="n"/>
      <c r="G154" s="46" t="n"/>
      <c r="H154" s="12" t="n"/>
      <c r="I154" s="46">
        <f>'Inputs (2)'!D25</f>
        <v>340.478</v>
      </c>
      <c r="J154" s="46">
        <f>'Inputs (2)'!E25</f>
        <v>321.78</v>
      </c>
      <c r="K154" s="46">
        <f>'Inputs (2)'!F25</f>
        <v>303.082</v>
      </c>
      <c r="L154" s="46">
        <f>'Inputs (2)'!G25</f>
        <v>284.384</v>
      </c>
      <c r="M154" s="12">
        <f>'Inputs (2)'!H25</f>
        <v>284.384</v>
      </c>
      <c r="N154" s="46">
        <f>'Inputs (2)'!I25</f>
        <v>265.686</v>
      </c>
      <c r="O154" s="46">
        <f>'Inputs (2)'!J25</f>
        <v>246.988</v>
      </c>
      <c r="P154" s="46">
        <f>'Inputs (2)'!K25</f>
        <v>232.096</v>
      </c>
      <c r="Q154" s="46">
        <f>'Inputs (2)'!L25</f>
        <v>217.287</v>
      </c>
      <c r="R154" s="12">
        <f>'Inputs (2)'!M25</f>
        <v>217.287</v>
      </c>
      <c r="S154" s="46">
        <f>'Inputs (2)'!N25</f>
        <v>230.295</v>
      </c>
      <c r="T154" s="46">
        <f>'Inputs (2)'!O25</f>
        <v>219.221</v>
      </c>
      <c r="U154" s="46">
        <f>'Inputs (2)'!P25</f>
        <v>210.21</v>
      </c>
      <c r="V154" s="46">
        <f>'Inputs (2)'!Q25</f>
        <v>201.208</v>
      </c>
      <c r="W154" s="12">
        <f>'Inputs (2)'!R25</f>
        <v>201.208</v>
      </c>
      <c r="X154" s="46">
        <f>'Inputs (2)'!S25</f>
        <v>192.227</v>
      </c>
      <c r="Y154" s="46">
        <f>'Inputs (2)'!T25</f>
        <v>183.246</v>
      </c>
      <c r="Z154" s="46">
        <f>'Inputs (2)'!U25</f>
        <v>174.265</v>
      </c>
      <c r="AA154" s="46">
        <f>'Inputs (2)'!V25</f>
        <v>165.243</v>
      </c>
      <c r="AB154" s="12">
        <f>'Inputs (2)'!W25</f>
        <v>165.243</v>
      </c>
      <c r="AC154" s="46">
        <f>'Inputs (2)'!X25</f>
        <v>156.269</v>
      </c>
      <c r="AD154" s="46">
        <f>'Inputs (2)'!Y25</f>
        <v>147.294</v>
      </c>
      <c r="AE154" s="46">
        <f>'Inputs (2)'!Z25</f>
        <v>140.458</v>
      </c>
      <c r="AF154" s="46">
        <f>'Inputs (2)'!AA25</f>
        <v>131.359</v>
      </c>
      <c r="AG154" s="12">
        <f>'Inputs (2)'!AB25</f>
        <v>131.359</v>
      </c>
      <c r="AH154" s="12">
        <f>'Inputs (2)'!AC25</f>
        <v>122.324</v>
      </c>
      <c r="AI154" s="12">
        <f>'Inputs (2)'!AD25</f>
        <v>113.288</v>
      </c>
      <c r="AJ154" s="12">
        <f>AI154</f>
        <v>113.288</v>
      </c>
      <c r="AK154" s="12">
        <f>AJ154</f>
        <v>113.288</v>
      </c>
      <c r="AL154" s="12">
        <f>AK154</f>
        <v>113.288</v>
      </c>
      <c r="AM154" s="16">
        <f>AL154</f>
        <v>113.288</v>
      </c>
      <c r="AN154" s="12">
        <f>AM154</f>
        <v>113.288</v>
      </c>
      <c r="AO154" s="12">
        <f>AN154</f>
        <v>113.288</v>
      </c>
      <c r="AP154" s="12">
        <f>AO154</f>
        <v>113.288</v>
      </c>
      <c r="AQ154" s="12">
        <f>AP154</f>
        <v>113.288</v>
      </c>
      <c r="AR154" s="16">
        <f>AQ154</f>
        <v>113.288</v>
      </c>
      <c r="AS154" s="12">
        <f>AR154</f>
        <v>113.288</v>
      </c>
      <c r="AT154" s="12">
        <f>AS154</f>
        <v>113.288</v>
      </c>
      <c r="AU154" s="12">
        <f>AT154</f>
        <v>113.288</v>
      </c>
      <c r="AV154" s="12">
        <f>AU154</f>
        <v>113.288</v>
      </c>
      <c r="AW154" s="16">
        <f>AV154</f>
        <v>113.288</v>
      </c>
      <c r="AX154" s="12">
        <f>AW154</f>
        <v>113.288</v>
      </c>
      <c r="AY154" s="12">
        <f>AX154</f>
        <v>113.288</v>
      </c>
      <c r="AZ154" s="12">
        <f>AY154</f>
        <v>113.288</v>
      </c>
      <c r="BA154" s="12">
        <f>AZ154</f>
        <v>113.288</v>
      </c>
      <c r="BB154" s="16">
        <f>BA154</f>
        <v>113.288</v>
      </c>
      <c r="BC154" s="12">
        <f>BB154</f>
        <v>113.288</v>
      </c>
      <c r="BD154" s="12">
        <f>BC154</f>
        <v>113.288</v>
      </c>
      <c r="BE154" s="12">
        <f>BD154</f>
        <v>113.288</v>
      </c>
      <c r="BF154" s="12">
        <f>BE154</f>
        <v>113.288</v>
      </c>
      <c r="BH154" s="12" t="n"/>
      <c r="BI154" s="12" t="n"/>
      <c r="BJ154" s="12" t="n"/>
      <c r="BK154" s="12" t="n"/>
      <c r="BM154" s="12" t="n"/>
      <c r="BN154" s="12" t="n"/>
      <c r="BO154" s="12" t="n"/>
      <c r="BP154" s="12" t="n"/>
      <c r="BR154" s="12" t="n"/>
      <c r="BS154" s="12" t="n"/>
      <c r="BT154" s="12" t="n"/>
      <c r="BU154" s="12" t="n"/>
      <c r="BW154" s="12" t="n"/>
      <c r="BX154" s="12" t="n"/>
      <c r="BY154" s="12" t="n"/>
      <c r="BZ154" s="12" t="n"/>
      <c r="CB154" s="12" t="n"/>
      <c r="CC154" s="12" t="n"/>
      <c r="CD154" s="12" t="n"/>
      <c r="CE154" s="12" t="n"/>
      <c r="CG154" s="12" t="n"/>
      <c r="CH154" s="12" t="n"/>
      <c r="CI154" s="12" t="n"/>
      <c r="CJ154" s="12" t="n"/>
      <c r="CL154" s="12" t="n"/>
      <c r="CM154" s="12" t="n"/>
      <c r="CN154" s="12" t="n"/>
      <c r="CO154" s="12" t="n"/>
      <c r="CQ154" s="12" t="n"/>
      <c r="CR154" s="12" t="n"/>
      <c r="CS154" s="12" t="n"/>
      <c r="CT154" s="12" t="n"/>
      <c r="CV154" s="12" t="n"/>
      <c r="CW154" s="12" t="n"/>
      <c r="CX154" s="12" t="n"/>
      <c r="CY154" s="12" t="n"/>
    </row>
    <row r="155" hidden="1" outlineLevel="1">
      <c r="C155" s="57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Purchase of intangible assets</t>
        </is>
      </c>
      <c r="D156" s="12" t="n"/>
      <c r="E156" s="12" t="n"/>
      <c r="F156" s="12" t="n"/>
      <c r="G156" s="12" t="n"/>
      <c r="H156" s="12" t="n"/>
      <c r="I156" s="12" t="str">
        <f>IF(COUNT(H154)=0,"",I154-H154-I58)</f>
        <v/>
      </c>
      <c r="J156" s="12">
        <f>J154-I154-J58</f>
        <v>-18.698</v>
      </c>
      <c r="K156" s="12">
        <f>K154-J154-K58</f>
        <v>-18.698</v>
      </c>
      <c r="L156" s="12">
        <f>L154-K154-L58</f>
        <v>-18.698</v>
      </c>
      <c r="M156" s="12" t="n"/>
      <c r="N156" s="12">
        <f>N154-M154-N58</f>
        <v>-18.698</v>
      </c>
      <c r="O156" s="12">
        <f>O154-N154-O58</f>
        <v>-18.698</v>
      </c>
      <c r="P156" s="12">
        <f>P154-O154-P58</f>
        <v>-14.892</v>
      </c>
      <c r="Q156" s="12">
        <f>Q154-P154-Q58</f>
        <v>-14.809</v>
      </c>
      <c r="R156" s="12" t="n"/>
      <c r="S156" s="12">
        <f>S154-R154-S58</f>
        <v>13.008</v>
      </c>
      <c r="T156" s="12">
        <f>T154-S154-T58</f>
        <v>-11.074</v>
      </c>
      <c r="U156" s="12">
        <f>U154-T154-U58</f>
        <v>-9.011</v>
      </c>
      <c r="V156" s="12">
        <f>V154-U154-V58</f>
        <v>-9.00200000000001</v>
      </c>
      <c r="W156" s="12" t="n"/>
      <c r="X156" s="12">
        <f>X154-W154-X58</f>
        <v>-8.981</v>
      </c>
      <c r="Y156" s="12">
        <f>Y154-X154-Y58</f>
        <v>-8.981</v>
      </c>
      <c r="Z156" s="12">
        <f>Z154-Y154-Z58</f>
        <v>-8.98100000000002</v>
      </c>
      <c r="AA156" s="12">
        <f>AA154-Z154-AA58</f>
        <v>-9.02199999999999</v>
      </c>
      <c r="AB156" s="12" t="n"/>
      <c r="AC156" s="12">
        <f>AC154-AB154-AC58</f>
        <v>-8.97399999999999</v>
      </c>
      <c r="AD156" s="12">
        <f>AD154-AC154-AD58</f>
        <v>-8.97499999999999</v>
      </c>
      <c r="AE156" s="12">
        <f>AE154-AD154-AE58</f>
        <v>-6.83600000000001</v>
      </c>
      <c r="AF156" s="12">
        <f>AF154-AE154-AF58</f>
        <v>-9.09899999999999</v>
      </c>
      <c r="AG156" s="12" t="n"/>
      <c r="AH156" s="11">
        <f>AH154-AG154-AH58</f>
        <v>-9.03500000000001</v>
      </c>
      <c r="AI156" s="11">
        <f>AI154-AH154-AI58</f>
        <v>-9.036</v>
      </c>
      <c r="AJ156" s="11" t="n"/>
      <c r="AK156" s="11" t="n"/>
      <c r="AL156" s="12" t="n"/>
      <c r="AM156" s="11" t="n"/>
      <c r="AN156" s="11" t="n"/>
      <c r="AO156" s="11" t="n"/>
      <c r="AP156" s="11" t="n"/>
      <c r="AQ156" s="12" t="n"/>
      <c r="AR156" s="11" t="n"/>
      <c r="AS156" s="11" t="n"/>
      <c r="AT156" s="11" t="n"/>
      <c r="AU156" s="11" t="n"/>
      <c r="AV156" s="12" t="n"/>
      <c r="AW156" s="11" t="n"/>
      <c r="AX156" s="11" t="n"/>
      <c r="AY156" s="11" t="n"/>
      <c r="AZ156" s="11" t="n"/>
      <c r="BA156" s="12" t="n"/>
      <c r="BB156" s="11" t="n"/>
      <c r="BC156" s="11" t="n"/>
      <c r="BD156" s="11" t="n"/>
      <c r="BE156" s="11" t="n"/>
      <c r="BF156" s="12" t="n"/>
      <c r="BG156" s="11" t="n"/>
      <c r="BH156" s="11" t="n"/>
      <c r="BI156" s="11" t="n"/>
      <c r="BJ156" s="11" t="n"/>
      <c r="BK156" s="12" t="n"/>
      <c r="BL156" s="11" t="n"/>
      <c r="BM156" s="11" t="n"/>
      <c r="BN156" s="11" t="n"/>
      <c r="BO156" s="11" t="n"/>
      <c r="BP156" s="12" t="n"/>
      <c r="BQ156" s="11" t="n"/>
      <c r="BR156" s="11" t="n"/>
      <c r="BS156" s="11" t="n"/>
      <c r="BT156" s="11" t="n"/>
      <c r="BU156" s="12" t="n"/>
      <c r="BV156" s="11" t="n"/>
      <c r="BW156" s="11" t="n"/>
      <c r="BX156" s="11" t="n"/>
      <c r="BY156" s="11" t="n"/>
      <c r="BZ156" s="12" t="n"/>
      <c r="CA156" s="11" t="n"/>
      <c r="CB156" s="11" t="n"/>
      <c r="CC156" s="11" t="n"/>
      <c r="CD156" s="11" t="n"/>
      <c r="CE156" s="12" t="n"/>
      <c r="CF156" s="11" t="n"/>
      <c r="CG156" s="11" t="n"/>
      <c r="CH156" s="11" t="n"/>
      <c r="CI156" s="11" t="n"/>
      <c r="CJ156" s="12" t="n"/>
      <c r="CK156" s="11" t="n"/>
      <c r="CL156" s="11" t="n"/>
      <c r="CM156" s="11" t="n"/>
      <c r="CN156" s="11" t="n"/>
      <c r="CO156" s="12" t="n"/>
      <c r="CP156" s="11" t="n"/>
      <c r="CQ156" s="11" t="n"/>
      <c r="CR156" s="11" t="n"/>
      <c r="CS156" s="11" t="n"/>
      <c r="CT156" s="12" t="n"/>
      <c r="CU156" s="11" t="n"/>
      <c r="CV156" s="11" t="n"/>
      <c r="CW156" s="11" t="n"/>
      <c r="CX156" s="11" t="n"/>
      <c r="CY156" s="12" t="n"/>
    </row>
    <row r="157" hidden="1" outlineLevel="1">
      <c r="C157" s="57" t="inlineStr">
        <is>
          <t>Amortization (enter as -)</t>
        </is>
      </c>
      <c r="D157" s="12" t="n"/>
      <c r="E157" s="12" t="n"/>
      <c r="F157" s="12" t="n"/>
      <c r="G157" s="12" t="n"/>
      <c r="H157" s="12" t="n"/>
      <c r="I157" s="12">
        <f>I57</f>
        <v>0</v>
      </c>
      <c r="J157" s="12">
        <f>J57</f>
        <v>0</v>
      </c>
      <c r="K157" s="12">
        <f>K57</f>
        <v>0</v>
      </c>
      <c r="L157" s="12">
        <f>L57</f>
        <v>0</v>
      </c>
      <c r="M157" s="12" t="n"/>
      <c r="N157" s="12">
        <f>N57</f>
        <v>0</v>
      </c>
      <c r="O157" s="12">
        <f>O57</f>
        <v>0</v>
      </c>
      <c r="P157" s="12">
        <f>P57</f>
        <v>0</v>
      </c>
      <c r="Q157" s="12">
        <f>Q57</f>
        <v>0</v>
      </c>
      <c r="R157" s="12" t="n"/>
      <c r="S157" s="12">
        <f>S57</f>
        <v>0</v>
      </c>
      <c r="T157" s="12">
        <f>T57</f>
        <v>0</v>
      </c>
      <c r="U157" s="12">
        <f>U57</f>
        <v>0</v>
      </c>
      <c r="V157" s="12">
        <f>V57</f>
        <v>0</v>
      </c>
      <c r="W157" s="12" t="n"/>
      <c r="X157" s="12">
        <f>X57</f>
        <v>0</v>
      </c>
      <c r="Y157" s="12">
        <f>Y57</f>
        <v>0</v>
      </c>
      <c r="Z157" s="12">
        <f>Z57</f>
        <v>0</v>
      </c>
      <c r="AA157" s="12">
        <f>AA57</f>
        <v>0</v>
      </c>
      <c r="AB157" s="12" t="n"/>
      <c r="AC157" s="12">
        <f>AC57</f>
        <v>0</v>
      </c>
      <c r="AD157" s="12">
        <f>AD57</f>
        <v>0</v>
      </c>
      <c r="AE157" s="12">
        <f>AE57</f>
        <v>0</v>
      </c>
      <c r="AF157" s="12">
        <f>AF57</f>
        <v>0</v>
      </c>
      <c r="AG157" s="12" t="n"/>
      <c r="AH157" s="12">
        <f>AH57</f>
        <v>0</v>
      </c>
      <c r="AI157" s="11">
        <f>AI57</f>
        <v>0</v>
      </c>
      <c r="AJ157" s="11" t="n"/>
      <c r="AK157" s="11" t="n"/>
      <c r="AL157" s="12" t="n"/>
      <c r="AM157" s="11" t="n"/>
      <c r="AN157" s="11" t="n"/>
      <c r="AO157" s="11" t="n"/>
      <c r="AP157" s="11" t="n"/>
      <c r="AQ157" s="12" t="n"/>
      <c r="AR157" s="11" t="n"/>
      <c r="AS157" s="11" t="n"/>
      <c r="AT157" s="11" t="n"/>
      <c r="AU157" s="11" t="n"/>
      <c r="AV157" s="12" t="n"/>
      <c r="AW157" s="11" t="n"/>
      <c r="AX157" s="11" t="n"/>
      <c r="AY157" s="11" t="n"/>
      <c r="AZ157" s="11" t="n"/>
      <c r="BA157" s="12" t="n"/>
      <c r="BB157" s="11" t="n"/>
      <c r="BC157" s="11" t="n"/>
      <c r="BD157" s="11" t="n"/>
      <c r="BE157" s="11" t="n"/>
      <c r="BF157" s="12" t="n"/>
      <c r="BG157" s="11" t="n"/>
      <c r="BH157" s="11" t="n"/>
      <c r="BI157" s="11" t="n"/>
      <c r="BJ157" s="11" t="n"/>
      <c r="BK157" s="12" t="n"/>
      <c r="BL157" s="11" t="n"/>
      <c r="BM157" s="11" t="n"/>
      <c r="BN157" s="11" t="n"/>
      <c r="BO157" s="11" t="n"/>
      <c r="BP157" s="12" t="n"/>
      <c r="BQ157" s="11" t="n"/>
      <c r="BR157" s="11" t="n"/>
      <c r="BS157" s="11" t="n"/>
      <c r="BT157" s="11" t="n"/>
      <c r="BU157" s="12" t="n"/>
      <c r="BV157" s="11" t="n"/>
      <c r="BW157" s="11" t="n"/>
      <c r="BX157" s="11" t="n"/>
      <c r="BY157" s="11" t="n"/>
      <c r="BZ157" s="12" t="n"/>
      <c r="CA157" s="11" t="n"/>
      <c r="CB157" s="11" t="n"/>
      <c r="CC157" s="11" t="n"/>
      <c r="CD157" s="11" t="n"/>
      <c r="CE157" s="12" t="n"/>
      <c r="CF157" s="11" t="n"/>
      <c r="CG157" s="11" t="n"/>
      <c r="CH157" s="11" t="n"/>
      <c r="CI157" s="11" t="n"/>
      <c r="CJ157" s="12" t="n"/>
      <c r="CK157" s="11" t="n"/>
      <c r="CL157" s="11" t="n"/>
      <c r="CM157" s="11" t="n"/>
      <c r="CN157" s="11" t="n"/>
      <c r="CO157" s="12" t="n"/>
      <c r="CP157" s="11" t="n"/>
      <c r="CQ157" s="11" t="n"/>
      <c r="CR157" s="11" t="n"/>
      <c r="CS157" s="11" t="n"/>
      <c r="CT157" s="12" t="n"/>
      <c r="CU157" s="11" t="n"/>
      <c r="CV157" s="11" t="n"/>
      <c r="CW157" s="11" t="n"/>
      <c r="CX157" s="11" t="n"/>
      <c r="CY157" s="12" t="n"/>
    </row>
    <row r="158" hidden="1" outlineLevel="1">
      <c r="C158" s="57" t="inlineStr">
        <is>
          <t>Intangibles</t>
        </is>
      </c>
      <c r="D158" s="12" t="n"/>
      <c r="E158" s="12" t="n"/>
      <c r="F158" s="12" t="n"/>
      <c r="G158" s="12" t="n"/>
      <c r="H158" s="12" t="n"/>
      <c r="I158" s="12">
        <f>I154</f>
        <v>340.478</v>
      </c>
      <c r="J158" s="12">
        <f>J154</f>
        <v>321.78</v>
      </c>
      <c r="K158" s="12">
        <f>K154</f>
        <v>303.082</v>
      </c>
      <c r="L158" s="12">
        <f>L154</f>
        <v>284.384</v>
      </c>
      <c r="M158" s="12">
        <f>M154</f>
        <v>284.384</v>
      </c>
      <c r="N158" s="12">
        <f>N154</f>
        <v>265.686</v>
      </c>
      <c r="O158" s="12">
        <f>O154</f>
        <v>246.988</v>
      </c>
      <c r="P158" s="12">
        <f>P154</f>
        <v>232.096</v>
      </c>
      <c r="Q158" s="12">
        <f>Q154</f>
        <v>217.287</v>
      </c>
      <c r="R158" s="12">
        <f>R154</f>
        <v>217.287</v>
      </c>
      <c r="S158" s="12">
        <f>S154</f>
        <v>230.295</v>
      </c>
      <c r="T158" s="12">
        <f>T154</f>
        <v>219.221</v>
      </c>
      <c r="U158" s="12">
        <f>U154</f>
        <v>210.21</v>
      </c>
      <c r="V158" s="12">
        <f>V154</f>
        <v>201.208</v>
      </c>
      <c r="W158" s="12">
        <f>W154</f>
        <v>201.208</v>
      </c>
      <c r="X158" s="12">
        <f>X154</f>
        <v>192.227</v>
      </c>
      <c r="Y158" s="12">
        <f>Y154</f>
        <v>183.246</v>
      </c>
      <c r="Z158" s="12">
        <f>Z154</f>
        <v>174.265</v>
      </c>
      <c r="AA158" s="12">
        <f>AA154</f>
        <v>165.243</v>
      </c>
      <c r="AB158" s="12">
        <f>AB154</f>
        <v>165.243</v>
      </c>
      <c r="AC158" s="12">
        <f>AC154</f>
        <v>156.269</v>
      </c>
      <c r="AD158" s="12">
        <f>AD154</f>
        <v>147.294</v>
      </c>
      <c r="AE158" s="12">
        <f>AE154</f>
        <v>140.458</v>
      </c>
      <c r="AF158" s="12">
        <f>AF154</f>
        <v>131.359</v>
      </c>
      <c r="AG158" s="12">
        <f>AG154</f>
        <v>131.359</v>
      </c>
      <c r="AH158" s="12">
        <f>AH154</f>
        <v>122.324</v>
      </c>
      <c r="AI158" s="12">
        <f>AI154</f>
        <v>113.288</v>
      </c>
      <c r="AJ158" s="12">
        <f>AJ154</f>
        <v>113.288</v>
      </c>
      <c r="AK158" s="12">
        <f>AK154</f>
        <v>113.288</v>
      </c>
      <c r="AL158" s="12" t="n"/>
      <c r="AM158" s="12">
        <f>AM154</f>
        <v>113.288</v>
      </c>
      <c r="AN158" s="12">
        <f>AN154</f>
        <v>113.288</v>
      </c>
      <c r="AO158" s="12">
        <f>AO154</f>
        <v>113.288</v>
      </c>
      <c r="AP158" s="12">
        <f>AP154</f>
        <v>113.288</v>
      </c>
      <c r="AQ158" s="12" t="n"/>
      <c r="AR158" s="12">
        <f>AR154</f>
        <v>113.288</v>
      </c>
      <c r="AS158" s="12">
        <f>AS154</f>
        <v>113.288</v>
      </c>
      <c r="AT158" s="12">
        <f>AT154</f>
        <v>113.288</v>
      </c>
      <c r="AU158" s="12">
        <f>AU154</f>
        <v>113.288</v>
      </c>
      <c r="AV158" s="12" t="n"/>
      <c r="AW158" s="12">
        <f>AW154</f>
        <v>113.288</v>
      </c>
      <c r="AX158" s="12">
        <f>AX154</f>
        <v>113.288</v>
      </c>
      <c r="AY158" s="12">
        <f>AY154</f>
        <v>113.288</v>
      </c>
      <c r="AZ158" s="12">
        <f>AZ154</f>
        <v>113.288</v>
      </c>
      <c r="BA158" s="12" t="n"/>
      <c r="BB158" s="12">
        <f>BB154</f>
        <v>113.288</v>
      </c>
      <c r="BC158" s="12">
        <f>BC154</f>
        <v>113.288</v>
      </c>
      <c r="BD158" s="12">
        <f>BD154</f>
        <v>113.288</v>
      </c>
      <c r="BE158" s="12">
        <f>BE154</f>
        <v>113.288</v>
      </c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57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inlineStr">
        <is>
          <t>Definir % do D&amp;A No PPE and Intagibles</t>
        </is>
      </c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collapsed="1">
      <c r="C163" s="14" t="inlineStr">
        <is>
          <t>Other non-current assets</t>
        </is>
      </c>
      <c r="D163" s="46" t="n"/>
      <c r="E163" s="46" t="n"/>
      <c r="F163" s="46" t="n"/>
      <c r="G163" s="46" t="n"/>
      <c r="H163" s="12" t="n"/>
      <c r="I163" s="46">
        <f>'Inputs (2)'!D26</f>
        <v>0</v>
      </c>
      <c r="J163" s="46">
        <f>'Inputs (2)'!E26</f>
        <v>0</v>
      </c>
      <c r="K163" s="46">
        <f>'Inputs (2)'!F26</f>
        <v>0</v>
      </c>
      <c r="L163" s="46">
        <f>'Inputs (2)'!G26</f>
        <v>0</v>
      </c>
      <c r="M163" s="12">
        <f>'Inputs (2)'!H26</f>
        <v>0</v>
      </c>
      <c r="N163" s="46">
        <f>'Inputs (2)'!I26</f>
        <v>0</v>
      </c>
      <c r="O163" s="46">
        <f>'Inputs (2)'!J26</f>
        <v>0</v>
      </c>
      <c r="P163" s="46">
        <f>'Inputs (2)'!K26</f>
        <v>0</v>
      </c>
      <c r="Q163" s="46">
        <f>'Inputs (2)'!L26</f>
        <v>0</v>
      </c>
      <c r="R163" s="12">
        <f>'Inputs (2)'!M26</f>
        <v>0</v>
      </c>
      <c r="S163" s="46">
        <f>'Inputs (2)'!N26</f>
        <v>0</v>
      </c>
      <c r="T163" s="46">
        <f>'Inputs (2)'!O26</f>
        <v>0</v>
      </c>
      <c r="U163" s="46">
        <f>'Inputs (2)'!P26</f>
        <v>0</v>
      </c>
      <c r="V163" s="46">
        <f>'Inputs (2)'!Q26</f>
        <v>0</v>
      </c>
      <c r="W163" s="12">
        <f>'Inputs (2)'!R26</f>
        <v>0</v>
      </c>
      <c r="X163" s="46">
        <f>'Inputs (2)'!S26</f>
        <v>0</v>
      </c>
      <c r="Y163" s="46">
        <f>'Inputs (2)'!T26</f>
        <v>0</v>
      </c>
      <c r="Z163" s="46">
        <f>'Inputs (2)'!U26</f>
        <v>0</v>
      </c>
      <c r="AA163" s="46">
        <f>'Inputs (2)'!V26</f>
        <v>0</v>
      </c>
      <c r="AB163" s="12">
        <f>'Inputs (2)'!W26</f>
        <v>0</v>
      </c>
      <c r="AC163" s="46">
        <f>'Inputs (2)'!X26</f>
        <v>0</v>
      </c>
      <c r="AD163" s="46">
        <f>'Inputs (2)'!Y26</f>
        <v>0</v>
      </c>
      <c r="AE163" s="46">
        <f>'Inputs (2)'!Z26</f>
        <v>0</v>
      </c>
      <c r="AF163" s="46">
        <f>'Inputs (2)'!AA26</f>
        <v>0</v>
      </c>
      <c r="AG163" s="12">
        <f>'Inputs (2)'!AB26</f>
        <v>0</v>
      </c>
      <c r="AH163" s="12">
        <f>'Inputs (2)'!AC26</f>
        <v>0</v>
      </c>
      <c r="AI163" s="12">
        <f>'Inputs (2)'!AD26</f>
        <v>0</v>
      </c>
      <c r="AJ163" s="12">
        <f>AI163</f>
        <v>0</v>
      </c>
      <c r="AK163" s="12">
        <f>AJ163</f>
        <v>0</v>
      </c>
      <c r="AL163" s="12">
        <f>AK163</f>
        <v>0</v>
      </c>
      <c r="AM163" s="12">
        <f>AL163</f>
        <v>0</v>
      </c>
      <c r="AN163" s="12">
        <f>AM163</f>
        <v>0</v>
      </c>
      <c r="AO163" s="12">
        <f>AN163</f>
        <v>0</v>
      </c>
      <c r="AP163" s="12">
        <f>AO163</f>
        <v>0</v>
      </c>
      <c r="AQ163" s="12">
        <f>AP163</f>
        <v>0</v>
      </c>
      <c r="AR163" s="12">
        <f>AQ163</f>
        <v>0</v>
      </c>
      <c r="AS163" s="12">
        <f>AR163</f>
        <v>0</v>
      </c>
      <c r="AT163" s="12">
        <f>AS163</f>
        <v>0</v>
      </c>
      <c r="AU163" s="12">
        <f>AT163</f>
        <v>0</v>
      </c>
      <c r="AV163" s="12">
        <f>AU163</f>
        <v>0</v>
      </c>
      <c r="AW163" s="12">
        <f>AV163</f>
        <v>0</v>
      </c>
      <c r="AX163" s="12">
        <f>AW163</f>
        <v>0</v>
      </c>
      <c r="AY163" s="12">
        <f>AX163</f>
        <v>0</v>
      </c>
      <c r="AZ163" s="12">
        <f>AY163</f>
        <v>0</v>
      </c>
      <c r="BA163" s="12">
        <f>AZ163</f>
        <v>0</v>
      </c>
      <c r="BB163" s="12">
        <f>BA163</f>
        <v>0</v>
      </c>
      <c r="BC163" s="12">
        <f>BB163</f>
        <v>0</v>
      </c>
      <c r="BD163" s="12">
        <f>BC163</f>
        <v>0</v>
      </c>
      <c r="BE163" s="12">
        <f>BD163</f>
        <v>0</v>
      </c>
      <c r="BF163" s="12">
        <f>BE163</f>
        <v>0</v>
      </c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hidden="1" outlineLevel="1">
      <c r="C164" s="59" t="inlineStr">
        <is>
          <t>%(Var.)</t>
        </is>
      </c>
      <c r="D164" s="12" t="n"/>
      <c r="E164" s="40" t="n"/>
      <c r="F164" s="40" t="n"/>
      <c r="G164" s="40" t="n"/>
      <c r="H164" s="12" t="n"/>
      <c r="I164" s="40" t="str">
        <f>""</f>
        <v/>
      </c>
      <c r="J164" s="40" t="str">
        <f>IF(I163=0,"",J163/I163-1)</f>
        <v/>
      </c>
      <c r="K164" s="40" t="str">
        <f>IF(J163=0,"",K163/J163-1)</f>
        <v/>
      </c>
      <c r="L164" s="40" t="str">
        <f>IF(K163=0,"",L163/K163-1)</f>
        <v/>
      </c>
      <c r="M164" s="12" t="str">
        <f>IF(L163=0,"",M163/L163-1)</f>
        <v/>
      </c>
      <c r="N164" s="40" t="str">
        <f>IF(M163=0,"",N163/M163-1)</f>
        <v/>
      </c>
      <c r="O164" s="40" t="str">
        <f>IF(N163=0,"",O163/N163-1)</f>
        <v/>
      </c>
      <c r="P164" s="40" t="str">
        <f>IF(O163=0,"",P163/O163-1)</f>
        <v/>
      </c>
      <c r="Q164" s="40" t="str">
        <f>IF(P163=0,"",Q163/P163-1)</f>
        <v/>
      </c>
      <c r="R164" s="12" t="str">
        <f>IF(Q163=0,"",R163/Q163-1)</f>
        <v/>
      </c>
      <c r="S164" s="40" t="str">
        <f>IF(R163=0,"",S163/R163-1)</f>
        <v/>
      </c>
      <c r="T164" s="40" t="str">
        <f>IF(S163=0,"",T163/S163-1)</f>
        <v/>
      </c>
      <c r="U164" s="40" t="str">
        <f>IF(T163=0,"",U163/T163-1)</f>
        <v/>
      </c>
      <c r="V164" s="40" t="str">
        <f>IF(U163=0,"",V163/U163-1)</f>
        <v/>
      </c>
      <c r="W164" s="12" t="str">
        <f>IF(V163=0,"",W163/V163-1)</f>
        <v/>
      </c>
      <c r="X164" s="40" t="str">
        <f>IF(W163=0,"",X163/W163-1)</f>
        <v/>
      </c>
      <c r="Y164" s="40" t="str">
        <f>IF(X163=0,"",Y163/X163-1)</f>
        <v/>
      </c>
      <c r="Z164" s="40" t="str">
        <f>IF(Y163=0,"",Z163/Y163-1)</f>
        <v/>
      </c>
      <c r="AA164" s="40" t="str">
        <f>IF(Z163=0,"",AA163/Z163-1)</f>
        <v/>
      </c>
      <c r="AB164" s="12" t="str">
        <f>IF(AA163=0,"",AB163/AA163-1)</f>
        <v/>
      </c>
      <c r="AC164" s="40" t="str">
        <f>IF(AB163=0,"",AC163/AB163-1)</f>
        <v/>
      </c>
      <c r="AD164" s="40" t="str">
        <f>IF(AC163=0,"",AD163/AC163-1)</f>
        <v/>
      </c>
      <c r="AE164" s="40" t="str">
        <f>IF(AD163=0,"",AE163/AD163-1)</f>
        <v/>
      </c>
      <c r="AF164" s="55" t="str">
        <f>IF(AE163=0,"",AF163/AE163-1)</f>
        <v/>
      </c>
      <c r="AG164" s="12" t="str">
        <f>IF(AF163=0,"",AG163/AF163-1)</f>
        <v/>
      </c>
      <c r="AH164" s="55" t="str">
        <f>IF(AG163=0,"",AH163/AG163-1)</f>
        <v/>
      </c>
      <c r="AI164" s="55" t="str">
        <f>IF(AH163=0,"",AI163/AH163-1)</f>
        <v/>
      </c>
      <c r="AJ164" s="55" t="str">
        <f>IF(AI163=0,"",AJ163/AI163-1)</f>
        <v/>
      </c>
      <c r="AK164" s="55" t="str">
        <f>IF(AJ163=0,"",AK163/AJ163-1)</f>
        <v/>
      </c>
      <c r="AL164" s="12" t="str">
        <f>IF(AK163=0,"",AL163/AK163-1)</f>
        <v/>
      </c>
      <c r="AM164" s="55" t="str">
        <f>IF(AL163=0,"",AM163/AL163-1)</f>
        <v/>
      </c>
      <c r="AN164" s="55" t="str">
        <f>IF(AM163=0,"",AN163/AM163-1)</f>
        <v/>
      </c>
      <c r="AO164" s="55" t="str">
        <f>IF(AN163=0,"",AO163/AN163-1)</f>
        <v/>
      </c>
      <c r="AP164" s="55" t="str">
        <f>IF(AO163=0,"",AP163/AO163-1)</f>
        <v/>
      </c>
      <c r="AQ164" s="12" t="str">
        <f>IF(AP163=0,"",AQ163/AP163-1)</f>
        <v/>
      </c>
      <c r="AR164" s="55" t="str">
        <f>IF(AQ163=0,"",AR163/AQ163-1)</f>
        <v/>
      </c>
      <c r="AS164" s="55" t="str">
        <f>IF(AR163=0,"",AS163/AR163-1)</f>
        <v/>
      </c>
      <c r="AT164" s="55" t="str">
        <f>IF(AS163=0,"",AT163/AS163-1)</f>
        <v/>
      </c>
      <c r="AU164" s="55" t="str">
        <f>IF(AT163=0,"",AU163/AT163-1)</f>
        <v/>
      </c>
      <c r="AV164" s="12" t="str">
        <f>IF(AU163=0,"",AV163/AU163-1)</f>
        <v/>
      </c>
      <c r="AW164" s="55" t="str">
        <f>IF(AV163=0,"",AW163/AV163-1)</f>
        <v/>
      </c>
      <c r="AX164" s="55" t="str">
        <f>IF(AW163=0,"",AX163/AW163-1)</f>
        <v/>
      </c>
      <c r="AY164" s="55" t="str">
        <f>IF(AX163=0,"",AY163/AX163-1)</f>
        <v/>
      </c>
      <c r="AZ164" s="55" t="str">
        <f>IF(AY163=0,"",AZ163/AY163-1)</f>
        <v/>
      </c>
      <c r="BA164" s="12" t="str">
        <f>IF(AZ163=0,"",BA163/AZ163-1)</f>
        <v/>
      </c>
      <c r="BB164" s="55" t="str">
        <f>IF(BA163=0,"",BB163/BA163-1)</f>
        <v/>
      </c>
      <c r="BC164" s="55" t="str">
        <f>IF(BB163=0,"",BC163/BB163-1)</f>
        <v/>
      </c>
      <c r="BD164" s="55" t="str">
        <f>IF(BC163=0,"",BD163/BC163-1)</f>
        <v/>
      </c>
      <c r="BE164" s="55" t="str">
        <f>IF(BD163=0,"",BE163/BD163-1)</f>
        <v/>
      </c>
      <c r="BF164" s="12" t="str">
        <f>IF(BE163=0,"",BF163/BE163-1)</f>
        <v/>
      </c>
      <c r="BG164" s="55" t="n"/>
      <c r="BH164" s="55" t="n"/>
      <c r="BI164" s="55" t="n"/>
      <c r="BJ164" s="55" t="n"/>
      <c r="BK164" s="12" t="n"/>
      <c r="BL164" s="55" t="n"/>
      <c r="BM164" s="55" t="n"/>
      <c r="BN164" s="55" t="n"/>
      <c r="BO164" s="55" t="n"/>
      <c r="BP164" s="12" t="n"/>
      <c r="BQ164" s="55" t="n"/>
      <c r="BR164" s="55" t="n"/>
      <c r="BS164" s="55" t="n"/>
      <c r="BT164" s="55" t="n"/>
      <c r="BU164" s="12" t="n"/>
      <c r="BV164" s="55" t="n"/>
      <c r="BW164" s="55" t="n"/>
      <c r="BX164" s="55" t="n"/>
      <c r="BY164" s="55" t="n"/>
      <c r="BZ164" s="12" t="n"/>
      <c r="CA164" s="55" t="n"/>
      <c r="CB164" s="55" t="n"/>
      <c r="CC164" s="55" t="n"/>
      <c r="CD164" s="55" t="n"/>
      <c r="CE164" s="12" t="n"/>
      <c r="CF164" s="55" t="n"/>
      <c r="CG164" s="55" t="n"/>
      <c r="CH164" s="55" t="n"/>
      <c r="CI164" s="55" t="n"/>
      <c r="CJ164" s="12" t="n"/>
      <c r="CK164" s="55" t="n"/>
      <c r="CL164" s="55" t="n"/>
      <c r="CM164" s="55" t="n"/>
      <c r="CN164" s="55" t="n"/>
      <c r="CO164" s="12" t="n"/>
      <c r="CP164" s="55" t="n"/>
      <c r="CQ164" s="55" t="n"/>
      <c r="CR164" s="55" t="n"/>
      <c r="CS164" s="55" t="n"/>
      <c r="CT164" s="12" t="n"/>
      <c r="CU164" s="55" t="n"/>
      <c r="CV164" s="55" t="n"/>
      <c r="CW164" s="55" t="n"/>
      <c r="CX164" s="55" t="n"/>
      <c r="CY164" s="12" t="n"/>
    </row>
    <row r="165" hidden="1" outlineLevel="1">
      <c r="C165" s="57" t="n"/>
      <c r="D165" s="12" t="n"/>
      <c r="E165" s="40" t="n"/>
      <c r="F165" s="40" t="n"/>
      <c r="G165" s="40" t="n"/>
      <c r="H165" s="12" t="n"/>
      <c r="I165" s="40" t="n"/>
      <c r="J165" s="40" t="n"/>
      <c r="K165" s="40" t="n"/>
      <c r="L165" s="40" t="n"/>
      <c r="M165" s="12" t="n"/>
      <c r="N165" s="40" t="n"/>
      <c r="O165" s="40" t="n"/>
      <c r="P165" s="40" t="n"/>
      <c r="Q165" s="40" t="n"/>
      <c r="R165" s="12" t="n"/>
      <c r="S165" s="40" t="n"/>
      <c r="T165" s="40" t="n"/>
      <c r="U165" s="40" t="n"/>
      <c r="V165" s="40" t="n"/>
      <c r="W165" s="12" t="n"/>
      <c r="X165" s="40" t="n"/>
      <c r="Y165" s="40" t="n"/>
      <c r="Z165" s="40" t="n"/>
      <c r="AA165" s="40" t="n"/>
      <c r="AB165" s="12" t="n"/>
      <c r="AC165" s="40" t="n"/>
      <c r="AD165" s="40" t="n"/>
      <c r="AE165" s="40" t="n"/>
      <c r="AF165" s="55" t="n"/>
      <c r="AG165" s="12" t="n"/>
      <c r="AH165" s="55" t="n"/>
      <c r="AI165" s="55" t="n"/>
      <c r="AJ165" s="55" t="n"/>
      <c r="AK165" s="55" t="n"/>
      <c r="AL165" s="12" t="n"/>
      <c r="AM165" s="55" t="n"/>
      <c r="AN165" s="55" t="n"/>
      <c r="AO165" s="55" t="n"/>
      <c r="AP165" s="55" t="n"/>
      <c r="AQ165" s="12" t="n"/>
      <c r="AR165" s="55" t="n"/>
      <c r="AS165" s="55" t="n"/>
      <c r="AT165" s="55" t="n"/>
      <c r="AU165" s="55" t="n"/>
      <c r="AV165" s="12" t="n"/>
      <c r="AW165" s="55" t="n"/>
      <c r="AX165" s="55" t="n"/>
      <c r="AY165" s="55" t="n"/>
      <c r="AZ165" s="55" t="n"/>
      <c r="BA165" s="12" t="n"/>
      <c r="BB165" s="55" t="n"/>
      <c r="BC165" s="55" t="n"/>
      <c r="BD165" s="55" t="n"/>
      <c r="BE165" s="55" t="n"/>
      <c r="BF165" s="12" t="n"/>
      <c r="BG165" s="55" t="n"/>
      <c r="BH165" s="55" t="n"/>
      <c r="BI165" s="55" t="n"/>
      <c r="BJ165" s="55" t="n"/>
      <c r="BK165" s="12" t="n"/>
      <c r="BL165" s="55" t="n"/>
      <c r="BM165" s="55" t="n"/>
      <c r="BN165" s="55" t="n"/>
      <c r="BO165" s="55" t="n"/>
      <c r="BP165" s="12" t="n"/>
      <c r="BQ165" s="55" t="n"/>
      <c r="BR165" s="55" t="n"/>
      <c r="BS165" s="55" t="n"/>
      <c r="BT165" s="55" t="n"/>
      <c r="BU165" s="12" t="n"/>
      <c r="BV165" s="55" t="n"/>
      <c r="BW165" s="55" t="n"/>
      <c r="BX165" s="55" t="n"/>
      <c r="BY165" s="55" t="n"/>
      <c r="BZ165" s="12" t="n"/>
      <c r="CA165" s="55" t="n"/>
      <c r="CB165" s="55" t="n"/>
      <c r="CC165" s="55" t="n"/>
      <c r="CD165" s="55" t="n"/>
      <c r="CE165" s="12" t="n"/>
      <c r="CF165" s="55" t="n"/>
      <c r="CG165" s="55" t="n"/>
      <c r="CH165" s="55" t="n"/>
      <c r="CI165" s="55" t="n"/>
      <c r="CJ165" s="12" t="n"/>
      <c r="CK165" s="55" t="n"/>
      <c r="CL165" s="55" t="n"/>
      <c r="CM165" s="55" t="n"/>
      <c r="CN165" s="55" t="n"/>
      <c r="CO165" s="12" t="n"/>
      <c r="CP165" s="55" t="n"/>
      <c r="CQ165" s="55" t="n"/>
      <c r="CR165" s="55" t="n"/>
      <c r="CS165" s="55" t="n"/>
      <c r="CT165" s="12" t="n"/>
      <c r="CU165" s="55" t="n"/>
      <c r="CV165" s="55" t="n"/>
      <c r="CW165" s="55" t="n"/>
      <c r="CX165" s="55" t="n"/>
      <c r="CY165" s="12" t="n"/>
    </row>
    <row r="166" hidden="1" outlineLevel="1">
      <c r="C166" s="60" t="inlineStr">
        <is>
          <t>Outros Créditos - LP</t>
        </is>
      </c>
      <c r="D166" s="11" t="n"/>
      <c r="E166" s="11" t="n"/>
      <c r="F166" s="11" t="n"/>
      <c r="G166" s="11" t="n"/>
      <c r="H166" s="12" t="n"/>
      <c r="I166" s="11" t="n"/>
      <c r="J166" s="11" t="n"/>
      <c r="K166" s="11" t="n"/>
      <c r="L166" s="11" t="n"/>
      <c r="M166" s="12" t="n"/>
      <c r="N166" s="11" t="n"/>
      <c r="O166" s="11" t="n"/>
      <c r="P166" s="11" t="n"/>
      <c r="Q166" s="11" t="n"/>
      <c r="R166" s="12" t="n"/>
      <c r="S166" s="11" t="n"/>
      <c r="T166" s="11" t="n"/>
      <c r="U166" s="11" t="n"/>
      <c r="V166" s="11" t="n"/>
      <c r="W166" s="12" t="n"/>
      <c r="X166" s="11" t="n"/>
      <c r="Y166" s="11" t="n"/>
      <c r="Z166" s="11" t="n"/>
      <c r="AA166" s="11" t="n"/>
      <c r="AB166" s="12" t="n"/>
      <c r="AC166" s="11" t="n"/>
      <c r="AD166" s="11" t="n"/>
      <c r="AE166" s="11" t="n"/>
      <c r="AF166" s="11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60" t="inlineStr">
        <is>
          <t xml:space="preserve">Impostos e Contribuições a Recuperar </t>
        </is>
      </c>
      <c r="D167" s="11" t="n"/>
      <c r="E167" s="11" t="n"/>
      <c r="F167" s="11" t="n"/>
      <c r="G167" s="11" t="n"/>
      <c r="H167" s="12" t="n"/>
      <c r="I167" s="11" t="n"/>
      <c r="J167" s="11" t="n"/>
      <c r="K167" s="11" t="n"/>
      <c r="L167" s="11" t="n"/>
      <c r="M167" s="12" t="n"/>
      <c r="N167" s="11" t="n"/>
      <c r="O167" s="11" t="n"/>
      <c r="P167" s="11" t="n"/>
      <c r="Q167" s="11" t="n"/>
      <c r="R167" s="12" t="n"/>
      <c r="S167" s="11" t="n"/>
      <c r="T167" s="11" t="n"/>
      <c r="U167" s="11" t="n"/>
      <c r="V167" s="11" t="n"/>
      <c r="W167" s="12" t="n"/>
      <c r="X167" s="11" t="n"/>
      <c r="Y167" s="11" t="n"/>
      <c r="Z167" s="11" t="n"/>
      <c r="AA167" s="11" t="n"/>
      <c r="AB167" s="12" t="n"/>
      <c r="AC167" s="11" t="n"/>
      <c r="AD167" s="11" t="n"/>
      <c r="AE167" s="11" t="n"/>
      <c r="AF167" s="11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60" t="inlineStr">
        <is>
          <t xml:space="preserve">Imposto de Renda e Contribuição Social Diferidos </t>
        </is>
      </c>
      <c r="D168" s="11" t="n"/>
      <c r="E168" s="11" t="n"/>
      <c r="F168" s="11" t="n"/>
      <c r="G168" s="11" t="n"/>
      <c r="H168" s="12" t="n"/>
      <c r="I168" s="11" t="n"/>
      <c r="J168" s="11" t="n"/>
      <c r="K168" s="11" t="n"/>
      <c r="L168" s="11" t="n"/>
      <c r="M168" s="12" t="n"/>
      <c r="N168" s="11" t="n"/>
      <c r="O168" s="11" t="n"/>
      <c r="P168" s="11" t="n"/>
      <c r="Q168" s="11" t="n"/>
      <c r="R168" s="12" t="n"/>
      <c r="S168" s="11" t="n"/>
      <c r="T168" s="11" t="n"/>
      <c r="U168" s="11" t="n"/>
      <c r="V168" s="11" t="n"/>
      <c r="W168" s="12" t="n"/>
      <c r="X168" s="11" t="n"/>
      <c r="Y168" s="11" t="n"/>
      <c r="Z168" s="11" t="n"/>
      <c r="AA168" s="11" t="n"/>
      <c r="AB168" s="12" t="n"/>
      <c r="AC168" s="11" t="n"/>
      <c r="AD168" s="11" t="n"/>
      <c r="AE168" s="11" t="n"/>
      <c r="AF168" s="11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  <c r="CU168" s="12" t="n"/>
      <c r="CV168" s="12" t="n"/>
      <c r="CW168" s="12" t="n"/>
      <c r="CX168" s="12" t="n"/>
      <c r="CY168" s="12" t="n"/>
    </row>
    <row r="169" hidden="1" outlineLevel="1">
      <c r="C169" s="60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collapsed="1" customFormat="1" s="32">
      <c r="A171" s="30" t="n"/>
      <c r="B171" s="3" t="n"/>
      <c r="C171" s="33" t="inlineStr">
        <is>
          <t>Total Assets</t>
        </is>
      </c>
      <c r="D171" s="35" t="n"/>
      <c r="E171" s="35" t="n"/>
      <c r="F171" s="35" t="n"/>
      <c r="G171" s="35" t="n"/>
      <c r="H171" s="35" t="n"/>
      <c r="I171" s="35">
        <f>SUM(I118,I119,I123,I127,I128,I129,I135,I140,I150,I153,I154,I163)</f>
        <v>29709.986</v>
      </c>
      <c r="J171" s="35">
        <f>SUM(J118,J119,J123,J127,J128,J129,J135,J140,J150,J153,J154,J163)</f>
        <v>33297.192</v>
      </c>
      <c r="K171" s="35">
        <f>SUM(K118,K119,K123,K127,K128,K129,K135,K140,K150,K153,K154,K163)</f>
        <v>39038.092</v>
      </c>
      <c r="L171" s="35">
        <f>SUM(L118,L119,L123,L127,L128,L129,L135,L140,L150,L153,L154,L163)</f>
        <v>41196.408</v>
      </c>
      <c r="M171" s="35">
        <f>SUM(M118,M119,M123,M127,M128,M129,M135,M140,M150,M153,M154,M163)</f>
        <v>41196.408</v>
      </c>
      <c r="N171" s="35">
        <f>SUM(N118,N119,N123,N127,N128,N129,N135,N140,N150,N153,N154,N163)</f>
        <v>43344.078</v>
      </c>
      <c r="O171" s="35">
        <f>SUM(O118,O119,O123,O127,O128,O129,O135,O140,O150,O153,O154,O163)</f>
        <v>41631.308</v>
      </c>
      <c r="P171" s="35">
        <f>SUM(P118,P119,P123,P127,P128,P129,P135,P140,P150,P153,P154,P163)</f>
        <v>40259.321</v>
      </c>
      <c r="Q171" s="35">
        <f>SUM(Q118,Q119,Q123,Q127,Q128,Q129,Q135,Q140,Q150,Q153,Q154,Q163)</f>
        <v>42524.227</v>
      </c>
      <c r="R171" s="35">
        <f>SUM(R118,R119,R123,R127,R128,R129,R135,R140,R150,R153,R154,R163)</f>
        <v>42524.227</v>
      </c>
      <c r="S171" s="35">
        <f>SUM(S118,S119,S123,S127,S128,S129,S135,S140,S150,S153,S154,S163)</f>
        <v>41086.439</v>
      </c>
      <c r="T171" s="35">
        <f>SUM(T118,T119,T123,T127,T128,T129,T135,T140,T150,T153,T154,T163)</f>
        <v>41582.784</v>
      </c>
      <c r="U171" s="35">
        <f>SUM(U118,U119,U123,U127,U128,U129,U135,U140,U150,U153,U154,U163)</f>
        <v>41663.823</v>
      </c>
      <c r="V171" s="35">
        <f>SUM(V118,V119,V123,V127,V128,V129,V135,V140,V150,V153,V154,V163)</f>
        <v>40287.53</v>
      </c>
      <c r="W171" s="35">
        <f>SUM(W118,W119,W123,W127,W128,W129,W135,W140,W150,W153,W154,W163)</f>
        <v>40287.53</v>
      </c>
      <c r="X171" s="35">
        <f>SUM(X118,X119,X123,X127,X128,X129,X135,X140,X150,X153,X154,X163)</f>
        <v>39706.302</v>
      </c>
      <c r="Y171" s="35">
        <f>SUM(Y118,Y119,Y123,Y127,Y128,Y129,Y135,Y140,Y150,Y153,Y154,Y163)</f>
        <v>40585.029</v>
      </c>
      <c r="Z171" s="35">
        <f>SUM(Z118,Z119,Z123,Z127,Z128,Z129,Z135,Z140,Z150,Z153,Z154,Z163)</f>
        <v>42575.442</v>
      </c>
      <c r="AA171" s="35">
        <f>SUM(AA118,AA119,AA123,AA127,AA128,AA129,AA135,AA140,AA150,AA153,AA154,AA163)</f>
        <v>43469.875</v>
      </c>
      <c r="AB171" s="35">
        <f>SUM(AB118,AB119,AB123,AB127,AB128,AB129,AB135,AB140,AB150,AB153,AB154,AB163)</f>
        <v>43469.875</v>
      </c>
      <c r="AC171" s="35">
        <f>SUM(AC118,AC119,AC123,AC127,AC128,AC129,AC135,AC140,AC150,AC153,AC154,AC163)</f>
        <v>45255.629</v>
      </c>
      <c r="AD171" s="35">
        <f>SUM(AD118,AD119,AD123,AD127,AD128,AD129,AD135,AD140,AD150,AD153,AD154,AD163)</f>
        <v>45373.094</v>
      </c>
      <c r="AE171" s="35">
        <f>SUM(AE118,AE119,AE123,AE127,AE128,AE129,AE135,AE140,AE150,AE153,AE154,AE163)</f>
        <v>46554.29</v>
      </c>
      <c r="AF171" s="35">
        <f>SUM(AF118,AF119,AF123,AF127,AF128,AF129,AF135,AF140,AF150,AF153,AF154,AF163)</f>
        <v>47708.975</v>
      </c>
      <c r="AG171" s="35">
        <f>SUM(AG118,AG119,AG123,AG127,AG128,AG129,AG135,AG140,AG150,AG153,AG154,AG163)</f>
        <v>47708.975</v>
      </c>
      <c r="AH171" s="35">
        <f>SUM(AH118,AH119,AH123,AH127,AH128,AH129,AH135,AH140,AH150,AH153,AH154,AH163)</f>
        <v>48326.982</v>
      </c>
      <c r="AI171" s="35">
        <f>SUM(AI118,AI119,AI123,AI127,AI128,AI129,AI135,AI140,AI150,AI153,AI154,AI163)</f>
        <v>49892.22</v>
      </c>
      <c r="AJ171" s="35">
        <f>SUM(AJ118,AJ119,AJ123,AJ127,AJ128,AJ129,AJ135,AJ140,AJ150,AJ153,AJ154,AJ163)</f>
        <v>51470.6919099344</v>
      </c>
      <c r="AK171" s="35">
        <f>SUM(AK118,AK119,AK123,AK127,AK128,AK129,AK135,AK140,AK150,AK153,AK154,AK163)</f>
        <v>53699.0441987849</v>
      </c>
      <c r="AL171" s="35">
        <f>SUM(AL118,AL119,AL123,AL127,AL128,AL129,AL135,AL140,AL150,AL153,AL154,AL163)</f>
        <v>53699.0441987849</v>
      </c>
      <c r="AM171" s="35">
        <f>SUM(AM118,AM119,AM123,AM127,AM128,AM129,AM135,AM140,AM150,AM153,AM154,AM163)</f>
        <v>55547.8453970551</v>
      </c>
      <c r="AN171" s="35">
        <f>SUM(AN118,AN119,AN123,AN127,AN128,AN129,AN135,AN140,AN150,AN153,AN154,AN163)</f>
        <v>58125.6111697434</v>
      </c>
      <c r="AO171" s="35">
        <f>SUM(AO118,AO119,AO123,AO127,AO128,AO129,AO135,AO140,AO150,AO153,AO154,AO163)</f>
        <v>59950.2301461013</v>
      </c>
      <c r="AP171" s="35">
        <f>SUM(AP118,AP119,AP123,AP127,AP128,AP129,AP135,AP140,AP150,AP153,AP154,AP163)</f>
        <v>62526.0719122154</v>
      </c>
      <c r="AQ171" s="35">
        <f>SUM(AQ118,AQ119,AQ123,AQ127,AQ128,AQ129,AQ135,AQ140,AQ150,AQ153,AQ154,AQ163)</f>
        <v>62526.0719122154</v>
      </c>
      <c r="AR171" s="35">
        <f>SUM(AR118,AR119,AR123,AR127,AR128,AR129,AR135,AR140,AR150,AR153,AR154,AR163)</f>
        <v>64653.9313469923</v>
      </c>
      <c r="AS171" s="35">
        <f>SUM(AS118,AS119,AS123,AS127,AS128,AS129,AS135,AS140,AS150,AS153,AS154,AS163)</f>
        <v>67620.7853414575</v>
      </c>
      <c r="AT171" s="35">
        <f>SUM(AT118,AT119,AT123,AT127,AT128,AT129,AT135,AT140,AT150,AT153,AT154,AT163)</f>
        <v>69720.8124873447</v>
      </c>
      <c r="AU171" s="35">
        <f>SUM(AU118,AU119,AU123,AU127,AU128,AU129,AU135,AU140,AU150,AU153,AU154,AU163)</f>
        <v>72685.4520654922</v>
      </c>
      <c r="AV171" s="35">
        <f>SUM(AV118,AV119,AV123,AV127,AV128,AV129,AV135,AV140,AV150,AV153,AV154,AV163)</f>
        <v>72685.4520654922</v>
      </c>
      <c r="AW171" s="35">
        <f>SUM(AW118,AW119,AW123,AW127,AW128,AW129,AW135,AW140,AW150,AW153,AW154,AW163)</f>
        <v>75123.851517539</v>
      </c>
      <c r="AX171" s="35">
        <f>SUM(AX118,AX119,AX123,AX127,AX128,AX129,AX135,AX140,AX150,AX153,AX154,AX163)</f>
        <v>78523.6884786515</v>
      </c>
      <c r="AY171" s="35">
        <f>SUM(AY118,AY119,AY123,AY127,AY128,AY129,AY135,AY140,AY150,AY153,AY154,AY163)</f>
        <v>80930.1937948033</v>
      </c>
      <c r="AZ171" s="35">
        <f>SUM(AZ118,AZ119,AZ123,AZ127,AZ128,AZ129,AZ135,AZ140,AZ150,AZ153,AZ154,AZ163)</f>
        <v>84327.4931674608</v>
      </c>
      <c r="BA171" s="35">
        <f>SUM(BA118,BA119,BA123,BA127,BA128,BA129,BA135,BA140,BA150,BA153,BA154,BA163)</f>
        <v>84327.4931674608</v>
      </c>
      <c r="BB171" s="35">
        <f>SUM(BB118,BB119,BB123,BB127,BB128,BB129,BB135,BB140,BB150,BB153,BB154,BB163)</f>
        <v>87109.5608804831</v>
      </c>
      <c r="BC171" s="35">
        <f>SUM(BC118,BC119,BC123,BC127,BC128,BC129,BC135,BC140,BC150,BC153,BC154,BC163)</f>
        <v>90988.5712005977</v>
      </c>
      <c r="BD171" s="35">
        <f>SUM(BD118,BD119,BD123,BD127,BD128,BD129,BD135,BD140,BD150,BD153,BD154,BD163)</f>
        <v>93734.2496150441</v>
      </c>
      <c r="BE171" s="35">
        <f>SUM(BE118,BE119,BE123,BE127,BE128,BE129,BE135,BE140,BE150,BE153,BE154,BE163)</f>
        <v>97610.3646987348</v>
      </c>
      <c r="BF171" s="35">
        <f>SUM(BF118,BF119,BF123,BF127,BF128,BF129,BF135,BF140,BF150,BF153,BF154,BF163)</f>
        <v>97610.3646987348</v>
      </c>
      <c r="BG171" s="35" t="n"/>
      <c r="BH171" s="35" t="n"/>
      <c r="BI171" s="35" t="n"/>
      <c r="BJ171" s="35" t="n"/>
      <c r="BK171" s="35" t="n"/>
      <c r="BL171" s="35" t="n"/>
      <c r="BM171" s="35" t="n"/>
      <c r="BN171" s="35" t="n"/>
      <c r="BO171" s="35" t="n"/>
      <c r="BP171" s="35" t="n"/>
      <c r="BQ171" s="35" t="n"/>
      <c r="BR171" s="35" t="n"/>
      <c r="BS171" s="35" t="n"/>
      <c r="BT171" s="35" t="n"/>
      <c r="BU171" s="35" t="n"/>
      <c r="BV171" s="35" t="n"/>
      <c r="BW171" s="35" t="n"/>
      <c r="BX171" s="35" t="n"/>
      <c r="BY171" s="35" t="n"/>
      <c r="BZ171" s="35" t="n"/>
      <c r="CA171" s="35" t="n"/>
      <c r="CB171" s="35" t="n"/>
      <c r="CC171" s="35" t="n"/>
      <c r="CD171" s="35" t="n"/>
      <c r="CE171" s="35" t="n"/>
      <c r="CF171" s="35" t="n"/>
      <c r="CG171" s="35" t="n"/>
      <c r="CH171" s="35" t="n"/>
      <c r="CI171" s="35" t="n"/>
      <c r="CJ171" s="35" t="n"/>
      <c r="CK171" s="35" t="n"/>
      <c r="CL171" s="35" t="n"/>
      <c r="CM171" s="35" t="n"/>
      <c r="CN171" s="35" t="n"/>
      <c r="CO171" s="35" t="n"/>
      <c r="CP171" s="35" t="n"/>
      <c r="CQ171" s="35" t="n"/>
      <c r="CR171" s="35" t="n"/>
      <c r="CS171" s="35" t="n"/>
      <c r="CT171" s="35" t="n"/>
      <c r="CU171" s="35" t="n"/>
      <c r="CV171" s="35" t="n"/>
      <c r="CW171" s="35" t="n"/>
      <c r="CX171" s="35" t="n"/>
      <c r="CY171" s="35" t="n"/>
    </row>
    <row r="172">
      <c r="C172" s="14" t="inlineStr">
        <is>
          <t>Accounts payable</t>
        </is>
      </c>
      <c r="D172" s="46" t="n"/>
      <c r="E172" s="46" t="n"/>
      <c r="F172" s="46" t="n"/>
      <c r="G172" s="46" t="n"/>
      <c r="H172" s="12" t="n"/>
      <c r="I172" s="46">
        <f>'Inputs (2)'!D28</f>
        <v>0</v>
      </c>
      <c r="J172" s="46">
        <f>'Inputs (2)'!E28</f>
        <v>0</v>
      </c>
      <c r="K172" s="46">
        <f>'Inputs (2)'!F28</f>
        <v>0</v>
      </c>
      <c r="L172" s="46">
        <f>'Inputs (2)'!G28</f>
        <v>0</v>
      </c>
      <c r="M172" s="12">
        <f>'Inputs (2)'!H28</f>
        <v>0</v>
      </c>
      <c r="N172" s="46">
        <f>'Inputs (2)'!I28</f>
        <v>0</v>
      </c>
      <c r="O172" s="46">
        <f>'Inputs (2)'!J28</f>
        <v>0</v>
      </c>
      <c r="P172" s="46">
        <f>'Inputs (2)'!K28</f>
        <v>0</v>
      </c>
      <c r="Q172" s="46">
        <f>'Inputs (2)'!L28</f>
        <v>0</v>
      </c>
      <c r="R172" s="12">
        <f>'Inputs (2)'!M28</f>
        <v>0</v>
      </c>
      <c r="S172" s="46">
        <f>'Inputs (2)'!N28</f>
        <v>0</v>
      </c>
      <c r="T172" s="46">
        <f>'Inputs (2)'!O28</f>
        <v>0</v>
      </c>
      <c r="U172" s="46">
        <f>'Inputs (2)'!P28</f>
        <v>0</v>
      </c>
      <c r="V172" s="46">
        <f>'Inputs (2)'!Q28</f>
        <v>0</v>
      </c>
      <c r="W172" s="12">
        <f>'Inputs (2)'!R28</f>
        <v>0</v>
      </c>
      <c r="X172" s="46">
        <f>'Inputs (2)'!S28</f>
        <v>0</v>
      </c>
      <c r="Y172" s="46">
        <f>'Inputs (2)'!T28</f>
        <v>0</v>
      </c>
      <c r="Z172" s="46">
        <f>'Inputs (2)'!U28</f>
        <v>0</v>
      </c>
      <c r="AA172" s="46">
        <f>'Inputs (2)'!V28</f>
        <v>0</v>
      </c>
      <c r="AB172" s="12">
        <f>'Inputs (2)'!W28</f>
        <v>0</v>
      </c>
      <c r="AC172" s="46">
        <f>'Inputs (2)'!X28</f>
        <v>0</v>
      </c>
      <c r="AD172" s="46">
        <f>'Inputs (2)'!Y28</f>
        <v>0</v>
      </c>
      <c r="AE172" s="46">
        <f>'Inputs (2)'!Z28</f>
        <v>0</v>
      </c>
      <c r="AF172" s="46">
        <f>'Inputs (2)'!AA28</f>
        <v>0</v>
      </c>
      <c r="AG172" s="12">
        <f>'Inputs (2)'!AB28</f>
        <v>0</v>
      </c>
      <c r="AH172" s="12">
        <f>'Inputs (2)'!AC28</f>
        <v>0</v>
      </c>
      <c r="AI172" s="12">
        <f>'Inputs (2)'!AD28</f>
        <v>0</v>
      </c>
      <c r="AJ172" s="12">
        <f>(AJ173/(AJ$5-AI$5))*-AJ$28</f>
        <v>0</v>
      </c>
      <c r="AK172" s="12">
        <f>(AK173/(AK$5-AJ$5))*-AK$28</f>
        <v>0</v>
      </c>
      <c r="AL172" s="12">
        <f>AK172</f>
        <v>0</v>
      </c>
      <c r="AM172" s="12">
        <f>(AM173/(AM$5-AL$5))*-AM$28</f>
        <v>0</v>
      </c>
      <c r="AN172" s="12">
        <f>(AN173/(AN$5-AM$5))*-AN$28</f>
        <v>0</v>
      </c>
      <c r="AO172" s="12">
        <f>(AO173/(AO$5-AN$5))*-AO$28</f>
        <v>0</v>
      </c>
      <c r="AP172" s="12">
        <f>(AP173/(AP$5-AO$5))*-AP$28</f>
        <v>0</v>
      </c>
      <c r="AQ172" s="12">
        <f>AP172</f>
        <v>0</v>
      </c>
      <c r="AR172" s="12">
        <f>(AR173/(AR$5-AQ$5))*-AR$28</f>
        <v>0</v>
      </c>
      <c r="AS172" s="12">
        <f>(AS173/(AS$5-AR$5))*-AS$28</f>
        <v>0</v>
      </c>
      <c r="AT172" s="12">
        <f>(AT173/(AT$5-AS$5))*-AT$28</f>
        <v>0</v>
      </c>
      <c r="AU172" s="12">
        <f>(AU173/(AU$5-AT$5))*-AU$28</f>
        <v>0</v>
      </c>
      <c r="AV172" s="12">
        <f>AU172</f>
        <v>0</v>
      </c>
      <c r="AW172" s="12">
        <f>(AW173/(AW$5-AV$5))*-AW$28</f>
        <v>0</v>
      </c>
      <c r="AX172" s="12">
        <f>(AX173/(AX$5-AW$5))*-AX$28</f>
        <v>0</v>
      </c>
      <c r="AY172" s="12">
        <f>(AY173/(AY$5-AX$5))*-AY$28</f>
        <v>0</v>
      </c>
      <c r="AZ172" s="12">
        <f>(AZ173/(AZ$5-AY$5))*-AZ$28</f>
        <v>0</v>
      </c>
      <c r="BA172" s="12">
        <f>AZ172</f>
        <v>0</v>
      </c>
      <c r="BB172" s="12">
        <f>(BB173/(BB$5-BA$5))*-BB$28</f>
        <v>0</v>
      </c>
      <c r="BC172" s="12">
        <f>(BC173/(BC$5-BB$5))*-BC$28</f>
        <v>0</v>
      </c>
      <c r="BD172" s="12">
        <f>(BD173/(BD$5-BC$5))*-BD$28</f>
        <v>0</v>
      </c>
      <c r="BE172" s="12">
        <f>(BE173/(BE$5-BD$5))*-BE$28</f>
        <v>0</v>
      </c>
      <c r="BF172" s="12">
        <f>BE172</f>
        <v>0</v>
      </c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DPO</t>
        </is>
      </c>
      <c r="D173" s="12" t="n"/>
      <c r="E173" s="12" t="n"/>
      <c r="F173" s="12" t="n"/>
      <c r="G173" s="12" t="n"/>
      <c r="H173" s="12" t="n"/>
      <c r="I173" s="12" t="str">
        <f>IFERROR(-(I172/I$28)*(I$5-H$5),"")</f>
        <v/>
      </c>
      <c r="J173" s="12" t="str">
        <f>IFERROR(-(J172/J$28)*(J$5-I$5),"")</f>
        <v/>
      </c>
      <c r="K173" s="12" t="str">
        <f>IFERROR(-(K172/K$28)*(K$5-J$5),"")</f>
        <v/>
      </c>
      <c r="L173" s="12" t="str">
        <f>IFERROR(-(L172/L$28)*(L$5-K$5),"")</f>
        <v/>
      </c>
      <c r="M173" s="12" t="n"/>
      <c r="N173" s="12" t="str">
        <f>IFERROR(-(N172/N$28)*(N$5-M$5),"")</f>
        <v/>
      </c>
      <c r="O173" s="12" t="str">
        <f>IFERROR(-(O172/O$28)*(O$5-N$5),"")</f>
        <v/>
      </c>
      <c r="P173" s="12" t="str">
        <f>IFERROR(-(P172/P$28)*(P$5-O$5),"")</f>
        <v/>
      </c>
      <c r="Q173" s="12" t="str">
        <f>IFERROR(-(Q172/Q$28)*(Q$5-P$5),"")</f>
        <v/>
      </c>
      <c r="R173" s="12" t="n"/>
      <c r="S173" s="12" t="str">
        <f>IFERROR(-(S172/S$28)*(S$5-R$5),"")</f>
        <v/>
      </c>
      <c r="T173" s="12" t="str">
        <f>IFERROR(-(T172/T$28)*(T$5-S$5),"")</f>
        <v/>
      </c>
      <c r="U173" s="12" t="str">
        <f>IFERROR(-(U172/U$28)*(U$5-T$5),"")</f>
        <v/>
      </c>
      <c r="V173" s="12" t="str">
        <f>IFERROR(-(V172/V$28)*(V$5-U$5),"")</f>
        <v/>
      </c>
      <c r="W173" s="12" t="n"/>
      <c r="X173" s="12" t="str">
        <f>IFERROR(-(X172/X$28)*(X$5-W$5),"")</f>
        <v/>
      </c>
      <c r="Y173" s="12" t="str">
        <f>IFERROR(-(Y172/Y$28)*(Y$5-X$5),"")</f>
        <v/>
      </c>
      <c r="Z173" s="12" t="str">
        <f>IFERROR(-(Z172/Z$28)*(Z$5-Y$5),"")</f>
        <v/>
      </c>
      <c r="AA173" s="12" t="str">
        <f>IFERROR(-(AA172/AA$28)*(AA$5-Z$5),"")</f>
        <v/>
      </c>
      <c r="AB173" s="12" t="n"/>
      <c r="AC173" s="12" t="str">
        <f>IFERROR(-(AC172/AC$28)*(AC$5-AB$5),"")</f>
        <v/>
      </c>
      <c r="AD173" s="12" t="str">
        <f>IFERROR(-(AD172/AD$28)*(AD$5-AC$5),"")</f>
        <v/>
      </c>
      <c r="AE173" s="12" t="str">
        <f>IFERROR(-(AE172/AE$28)*(AE$5-AD$5),"")</f>
        <v/>
      </c>
      <c r="AF173" s="11" t="str">
        <f>IFERROR(-(AF172/AF$28)*(AF$5-AE$5),"")</f>
        <v/>
      </c>
      <c r="AG173" s="12" t="n"/>
      <c r="AH173" s="11" t="str">
        <f>IFERROR(-(AH172/AH$28)*(AH$5-AG$5),"")</f>
        <v/>
      </c>
      <c r="AI173" s="11" t="str">
        <f>IFERROR(-(AI172/AI$28)*(AI$5-AH$5),"")</f>
        <v/>
      </c>
      <c r="AJ173" s="11">
        <f>Control!$B$27</f>
        <v>0</v>
      </c>
      <c r="AK173" s="11">
        <f>Control!$B$27</f>
        <v>0</v>
      </c>
      <c r="AL173" s="12" t="n"/>
      <c r="AM173" s="11">
        <f>Control!$C$27</f>
        <v>0</v>
      </c>
      <c r="AN173" s="11">
        <f>Control!$C$27</f>
        <v>0</v>
      </c>
      <c r="AO173" s="11">
        <f>Control!$C$27</f>
        <v>0</v>
      </c>
      <c r="AP173" s="11">
        <f>Control!$C$27</f>
        <v>0</v>
      </c>
      <c r="AQ173" s="12" t="n"/>
      <c r="AR173" s="11">
        <f>Control!$D$27</f>
        <v>0</v>
      </c>
      <c r="AS173" s="11">
        <f>Control!$D$27</f>
        <v>0</v>
      </c>
      <c r="AT173" s="11">
        <f>Control!$D$27</f>
        <v>0</v>
      </c>
      <c r="AU173" s="11">
        <f>Control!$D$27</f>
        <v>0</v>
      </c>
      <c r="AV173" s="12" t="n"/>
      <c r="AW173" s="11">
        <f>Control!$E$27</f>
        <v>0</v>
      </c>
      <c r="AX173" s="11">
        <f>Control!$E$27</f>
        <v>0</v>
      </c>
      <c r="AY173" s="11">
        <f>Control!$E$27</f>
        <v>0</v>
      </c>
      <c r="AZ173" s="11">
        <f>Control!$E$27</f>
        <v>0</v>
      </c>
      <c r="BA173" s="12" t="n"/>
      <c r="BB173" s="11">
        <f>Control!$F$27</f>
        <v>0</v>
      </c>
      <c r="BC173" s="11">
        <f>Control!$F$27</f>
        <v>0</v>
      </c>
      <c r="BD173" s="11">
        <f>Control!$F$27</f>
        <v>0</v>
      </c>
      <c r="BE173" s="11">
        <f>Control!$F$27</f>
        <v>0</v>
      </c>
      <c r="BF173" s="12" t="n"/>
      <c r="BG173" s="11" t="n"/>
      <c r="BH173" s="11" t="n"/>
      <c r="BI173" s="11" t="n"/>
      <c r="BJ173" s="11" t="n"/>
      <c r="BK173" s="12" t="n"/>
      <c r="BL173" s="11" t="n"/>
      <c r="BM173" s="11" t="n"/>
      <c r="BN173" s="11" t="n"/>
      <c r="BO173" s="11" t="n"/>
      <c r="BP173" s="12" t="n"/>
      <c r="BQ173" s="11" t="n"/>
      <c r="BR173" s="11" t="n"/>
      <c r="BS173" s="11" t="n"/>
      <c r="BT173" s="11" t="n"/>
      <c r="BU173" s="12" t="n"/>
      <c r="BV173" s="11" t="n"/>
      <c r="BW173" s="11" t="n"/>
      <c r="BX173" s="11" t="n"/>
      <c r="BY173" s="11" t="n"/>
      <c r="BZ173" s="12" t="n"/>
      <c r="CA173" s="11" t="n"/>
      <c r="CB173" s="11" t="n"/>
      <c r="CC173" s="11" t="n"/>
      <c r="CD173" s="11" t="n"/>
      <c r="CE173" s="12" t="n"/>
      <c r="CF173" s="11" t="n"/>
      <c r="CG173" s="11" t="n"/>
      <c r="CH173" s="11" t="n"/>
      <c r="CI173" s="11" t="n"/>
      <c r="CJ173" s="12" t="n"/>
      <c r="CK173" s="11" t="n"/>
      <c r="CL173" s="11" t="n"/>
      <c r="CM173" s="11" t="n"/>
      <c r="CN173" s="11" t="n"/>
      <c r="CO173" s="12" t="n"/>
      <c r="CP173" s="11" t="n"/>
      <c r="CQ173" s="11" t="n"/>
      <c r="CR173" s="11" t="n"/>
      <c r="CS173" s="11" t="n"/>
      <c r="CT173" s="12" t="n"/>
      <c r="CU173" s="11" t="n"/>
      <c r="CV173" s="11" t="n"/>
      <c r="CW173" s="11" t="n"/>
      <c r="CX173" s="11" t="n"/>
      <c r="CY173" s="12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Accrued expenses</t>
        </is>
      </c>
      <c r="D176" s="46" t="n"/>
      <c r="E176" s="46" t="n"/>
      <c r="F176" s="46" t="n"/>
      <c r="G176" s="46" t="n"/>
      <c r="H176" s="12" t="n"/>
      <c r="I176" s="46">
        <f>'Inputs (2)'!D29</f>
        <v>0</v>
      </c>
      <c r="J176" s="46">
        <f>'Inputs (2)'!E29</f>
        <v>0</v>
      </c>
      <c r="K176" s="46">
        <f>'Inputs (2)'!F29</f>
        <v>0</v>
      </c>
      <c r="L176" s="46">
        <f>'Inputs (2)'!G29</f>
        <v>0</v>
      </c>
      <c r="M176" s="12">
        <f>'Inputs (2)'!H29</f>
        <v>0</v>
      </c>
      <c r="N176" s="46">
        <f>'Inputs (2)'!I29</f>
        <v>0</v>
      </c>
      <c r="O176" s="46">
        <f>'Inputs (2)'!J29</f>
        <v>0</v>
      </c>
      <c r="P176" s="46">
        <f>'Inputs (2)'!K29</f>
        <v>0</v>
      </c>
      <c r="Q176" s="46">
        <f>'Inputs (2)'!L29</f>
        <v>0</v>
      </c>
      <c r="R176" s="12">
        <f>'Inputs (2)'!M29</f>
        <v>0</v>
      </c>
      <c r="S176" s="46">
        <f>'Inputs (2)'!N29</f>
        <v>0</v>
      </c>
      <c r="T176" s="46">
        <f>'Inputs (2)'!O29</f>
        <v>0</v>
      </c>
      <c r="U176" s="46">
        <f>'Inputs (2)'!P29</f>
        <v>0</v>
      </c>
      <c r="V176" s="46">
        <f>'Inputs (2)'!Q29</f>
        <v>0</v>
      </c>
      <c r="W176" s="12">
        <f>'Inputs (2)'!R29</f>
        <v>0</v>
      </c>
      <c r="X176" s="46">
        <f>'Inputs (2)'!S29</f>
        <v>0</v>
      </c>
      <c r="Y176" s="46">
        <f>'Inputs (2)'!T29</f>
        <v>0</v>
      </c>
      <c r="Z176" s="46">
        <f>'Inputs (2)'!U29</f>
        <v>0</v>
      </c>
      <c r="AA176" s="46">
        <f>'Inputs (2)'!V29</f>
        <v>0</v>
      </c>
      <c r="AB176" s="12">
        <f>'Inputs (2)'!W29</f>
        <v>0</v>
      </c>
      <c r="AC176" s="46">
        <f>'Inputs (2)'!X29</f>
        <v>0</v>
      </c>
      <c r="AD176" s="46">
        <f>'Inputs (2)'!Y29</f>
        <v>0</v>
      </c>
      <c r="AE176" s="46">
        <f>'Inputs (2)'!Z29</f>
        <v>0</v>
      </c>
      <c r="AF176" s="46">
        <f>'Inputs (2)'!AA29</f>
        <v>0</v>
      </c>
      <c r="AG176" s="12">
        <f>'Inputs (2)'!AB29</f>
        <v>0</v>
      </c>
      <c r="AH176" s="12">
        <f>'Inputs (2)'!AC29</f>
        <v>0</v>
      </c>
      <c r="AI176" s="12">
        <f>'Inputs (2)'!AD29</f>
        <v>0</v>
      </c>
      <c r="AJ176" s="12">
        <f>AI176*(1+AJ16)</f>
        <v>0</v>
      </c>
      <c r="AK176" s="12">
        <f>AJ176*(1+AK16)</f>
        <v>0</v>
      </c>
      <c r="AL176" s="12">
        <f>AK176</f>
        <v>0</v>
      </c>
      <c r="AM176" s="12">
        <f>AL176*(1+AM16)</f>
        <v>0</v>
      </c>
      <c r="AN176" s="12">
        <f>AM176*(1+AN16)</f>
        <v>0</v>
      </c>
      <c r="AO176" s="12">
        <f>AN176*(1+AO16)</f>
        <v>0</v>
      </c>
      <c r="AP176" s="12">
        <f>AO176*(1+AP16)</f>
        <v>0</v>
      </c>
      <c r="AQ176" s="12">
        <f>AP176</f>
        <v>0</v>
      </c>
      <c r="AR176" s="12">
        <f>AQ176*(1+AR16)</f>
        <v>0</v>
      </c>
      <c r="AS176" s="12">
        <f>AR176*(1+AS16)</f>
        <v>0</v>
      </c>
      <c r="AT176" s="12">
        <f>AS176*(1+AT16)</f>
        <v>0</v>
      </c>
      <c r="AU176" s="12">
        <f>AT176*(1+AU16)</f>
        <v>0</v>
      </c>
      <c r="AV176" s="12">
        <f>AU176</f>
        <v>0</v>
      </c>
      <c r="AW176" s="12">
        <f>AV176*(1+AW16)</f>
        <v>0</v>
      </c>
      <c r="AX176" s="12">
        <f>AW176*(1+AX16)</f>
        <v>0</v>
      </c>
      <c r="AY176" s="12">
        <f>AX176*(1+AY16)</f>
        <v>0</v>
      </c>
      <c r="AZ176" s="12">
        <f>AY176*(1+AZ16)</f>
        <v>0</v>
      </c>
      <c r="BA176" s="12">
        <f>AZ176</f>
        <v>0</v>
      </c>
      <c r="BB176" s="12">
        <f>BA176*(1+BB16)</f>
        <v>0</v>
      </c>
      <c r="BC176" s="12">
        <f>BB176*(1+BC16)</f>
        <v>0</v>
      </c>
      <c r="BD176" s="12">
        <f>BC176*(1+BD16)</f>
        <v>0</v>
      </c>
      <c r="BE176" s="12">
        <f>BD176*(1+BE16)</f>
        <v>0</v>
      </c>
      <c r="BF176" s="12">
        <f>BE176</f>
        <v>0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 t="str">
        <f>IFERROR(IF(I176=0,"",J176/I176-1),"")</f>
        <v/>
      </c>
      <c r="K177" s="40" t="str">
        <f>IFERROR(IF(J176=0,"",K176/J176-1),"")</f>
        <v/>
      </c>
      <c r="L177" s="40" t="str">
        <f>IFERROR(IF(K176=0,"",L176/K176-1),"")</f>
        <v/>
      </c>
      <c r="M177" s="12" t="str">
        <f>IF(L176=0,"",M176/L176-1)</f>
        <v/>
      </c>
      <c r="N177" s="40" t="str">
        <f>IFERROR(IF(M176=0,"",N176/M176-1),"")</f>
        <v/>
      </c>
      <c r="O177" s="40" t="str">
        <f>IFERROR(IF(N176=0,"",O176/N176-1),"")</f>
        <v/>
      </c>
      <c r="P177" s="40" t="str">
        <f>IFERROR(IF(O176=0,"",P176/O176-1),"")</f>
        <v/>
      </c>
      <c r="Q177" s="40" t="str">
        <f>IFERROR(IF(P176=0,"",Q176/P176-1),"")</f>
        <v/>
      </c>
      <c r="R177" s="12" t="str">
        <f>IF(Q176=0,"",R176/Q176-1)</f>
        <v/>
      </c>
      <c r="S177" s="40" t="str">
        <f>IFERROR(IF(R176=0,"",S176/R176-1),"")</f>
        <v/>
      </c>
      <c r="T177" s="40" t="str">
        <f>IFERROR(IF(S176=0,"",T176/S176-1),"")</f>
        <v/>
      </c>
      <c r="U177" s="40" t="str">
        <f>IFERROR(IF(T176=0,"",U176/T176-1),"")</f>
        <v/>
      </c>
      <c r="V177" s="40" t="str">
        <f>IFERROR(IF(U176=0,"",V176/U176-1),"")</f>
        <v/>
      </c>
      <c r="W177" s="12" t="str">
        <f>IF(V176=0,"",W176/V176-1)</f>
        <v/>
      </c>
      <c r="X177" s="40" t="str">
        <f>IFERROR(IF(W176=0,"",X176/W176-1),"")</f>
        <v/>
      </c>
      <c r="Y177" s="40" t="str">
        <f>IFERROR(IF(X176=0,"",Y176/X176-1),"")</f>
        <v/>
      </c>
      <c r="Z177" s="40" t="str">
        <f>IFERROR(IF(Y176=0,"",Z176/Y176-1),"")</f>
        <v/>
      </c>
      <c r="AA177" s="40" t="str">
        <f>IFERROR(IF(Z176=0,"",AA176/Z176-1),"")</f>
        <v/>
      </c>
      <c r="AB177" s="12" t="str">
        <f>IF(AA176=0,"",AB176/AA176-1)</f>
        <v/>
      </c>
      <c r="AC177" s="40" t="str">
        <f>IFERROR(IF(AB176=0,"",AC176/AB176-1),"")</f>
        <v/>
      </c>
      <c r="AD177" s="40" t="str">
        <f>IFERROR(IF(AC176=0,"",AD176/AC176-1),"")</f>
        <v/>
      </c>
      <c r="AE177" s="40" t="str">
        <f>IFERROR(IF(AD176=0,"",AE176/AD176-1),"")</f>
        <v/>
      </c>
      <c r="AF177" s="55" t="str">
        <f>IFERROR(IF(AE176=0,"",AF176/AE176-1),"")</f>
        <v/>
      </c>
      <c r="AG177" s="12" t="str">
        <f>IF(AF176=0,"",AG176/AF176-1)</f>
        <v/>
      </c>
      <c r="AH177" s="55" t="str">
        <f>IFERROR(IF(AG176=0,"",AH176/AG176-1),"")</f>
        <v/>
      </c>
      <c r="AI177" s="55" t="str">
        <f>IFERROR(IF(AH176=0,"",AI176/AH176-1),"")</f>
        <v/>
      </c>
      <c r="AJ177" s="55" t="str">
        <f>IFERROR(IF(AI176=0,"",AJ176/AI176-1),"")</f>
        <v/>
      </c>
      <c r="AK177" s="55" t="str">
        <f>IF(AJ176=0,"",AK176/AJ176-1)</f>
        <v/>
      </c>
      <c r="AL177" s="12" t="str">
        <f>IF(AK176=0,"",AL176/AK176-1)</f>
        <v/>
      </c>
      <c r="AM177" s="55" t="str">
        <f>IF(AL176=0,"",AM176/AL176-1)</f>
        <v/>
      </c>
      <c r="AN177" s="55" t="str">
        <f>IF(AM176=0,"",AN176/AM176-1)</f>
        <v/>
      </c>
      <c r="AO177" s="55" t="str">
        <f>IF(AN176=0,"",AO176/AN176-1)</f>
        <v/>
      </c>
      <c r="AP177" s="55" t="str">
        <f>IF(AO176=0,"",AP176/AO176-1)</f>
        <v/>
      </c>
      <c r="AQ177" s="12" t="str">
        <f>IF(AP176=0,"",AQ176/AP176-1)</f>
        <v/>
      </c>
      <c r="AR177" s="55" t="str">
        <f>IF(AQ176=0,"",AR176/AQ176-1)</f>
        <v/>
      </c>
      <c r="AS177" s="55" t="str">
        <f>IF(AR176=0,"",AS176/AR176-1)</f>
        <v/>
      </c>
      <c r="AT177" s="55" t="str">
        <f>IF(AS176=0,"",AT176/AS176-1)</f>
        <v/>
      </c>
      <c r="AU177" s="55" t="str">
        <f>IF(AT176=0,"",AU176/AT176-1)</f>
        <v/>
      </c>
      <c r="AV177" s="12" t="str">
        <f>IF(AU176=0,"",AV176/AU176-1)</f>
        <v/>
      </c>
      <c r="AW177" s="55" t="str">
        <f>IF(AV176=0,"",AW176/AV176-1)</f>
        <v/>
      </c>
      <c r="AX177" s="55" t="str">
        <f>IF(AW176=0,"",AX176/AW176-1)</f>
        <v/>
      </c>
      <c r="AY177" s="55" t="str">
        <f>IF(AX176=0,"",AY176/AX176-1)</f>
        <v/>
      </c>
      <c r="AZ177" s="55" t="str">
        <f>IF(AY176=0,"",AZ176/AY176-1)</f>
        <v/>
      </c>
      <c r="BA177" s="12" t="str">
        <f>IF(AZ176=0,"",BA176/AZ176-1)</f>
        <v/>
      </c>
      <c r="BB177" s="55" t="str">
        <f>IF(BA176=0,"",BB176/BA176-1)</f>
        <v/>
      </c>
      <c r="BC177" s="55" t="str">
        <f>IF(BB176=0,"",BC176/BB176-1)</f>
        <v/>
      </c>
      <c r="BD177" s="55" t="str">
        <f>IF(BC176=0,"",BD176/BC176-1)</f>
        <v/>
      </c>
      <c r="BE177" s="55" t="str">
        <f>IF(BD176=0,"",BE176/BD176-1)</f>
        <v/>
      </c>
      <c r="BF177" s="12" t="str">
        <f>IF(BE176=0,"",BF176/BE176-1)</f>
        <v/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collapsed="1">
      <c r="C178" s="14" t="inlineStr">
        <is>
          <t>Taxes payable</t>
        </is>
      </c>
      <c r="D178" s="46" t="n"/>
      <c r="E178" s="46" t="n"/>
      <c r="F178" s="46" t="n"/>
      <c r="G178" s="46" t="n"/>
      <c r="H178" s="12" t="n"/>
      <c r="I178" s="46">
        <f>'Inputs (2)'!D30</f>
        <v>0</v>
      </c>
      <c r="J178" s="46">
        <f>'Inputs (2)'!E30</f>
        <v>0</v>
      </c>
      <c r="K178" s="46">
        <f>'Inputs (2)'!F30</f>
        <v>0</v>
      </c>
      <c r="L178" s="46">
        <f>'Inputs (2)'!G30</f>
        <v>0</v>
      </c>
      <c r="M178" s="12">
        <f>'Inputs (2)'!H30</f>
        <v>0</v>
      </c>
      <c r="N178" s="46">
        <f>'Inputs (2)'!I30</f>
        <v>0</v>
      </c>
      <c r="O178" s="46">
        <f>'Inputs (2)'!J30</f>
        <v>0</v>
      </c>
      <c r="P178" s="46">
        <f>'Inputs (2)'!K30</f>
        <v>0</v>
      </c>
      <c r="Q178" s="46">
        <f>'Inputs (2)'!L30</f>
        <v>0</v>
      </c>
      <c r="R178" s="12">
        <f>'Inputs (2)'!M30</f>
        <v>0</v>
      </c>
      <c r="S178" s="46">
        <f>'Inputs (2)'!N30</f>
        <v>0</v>
      </c>
      <c r="T178" s="46">
        <f>'Inputs (2)'!O30</f>
        <v>0</v>
      </c>
      <c r="U178" s="46">
        <f>'Inputs (2)'!P30</f>
        <v>0</v>
      </c>
      <c r="V178" s="46">
        <f>'Inputs (2)'!Q30</f>
        <v>0</v>
      </c>
      <c r="W178" s="12">
        <f>'Inputs (2)'!R30</f>
        <v>0</v>
      </c>
      <c r="X178" s="46">
        <f>'Inputs (2)'!S30</f>
        <v>0</v>
      </c>
      <c r="Y178" s="46">
        <f>'Inputs (2)'!T30</f>
        <v>0</v>
      </c>
      <c r="Z178" s="46">
        <f>'Inputs (2)'!U30</f>
        <v>0</v>
      </c>
      <c r="AA178" s="46">
        <f>'Inputs (2)'!V30</f>
        <v>0</v>
      </c>
      <c r="AB178" s="12">
        <f>'Inputs (2)'!W30</f>
        <v>0</v>
      </c>
      <c r="AC178" s="46">
        <f>'Inputs (2)'!X30</f>
        <v>0</v>
      </c>
      <c r="AD178" s="46">
        <f>'Inputs (2)'!Y30</f>
        <v>0</v>
      </c>
      <c r="AE178" s="46">
        <f>'Inputs (2)'!Z30</f>
        <v>0</v>
      </c>
      <c r="AF178" s="46">
        <f>'Inputs (2)'!AA30</f>
        <v>0</v>
      </c>
      <c r="AG178" s="12">
        <f>'Inputs (2)'!AB30</f>
        <v>0</v>
      </c>
      <c r="AH178" s="12">
        <f>'Inputs (2)'!AC30</f>
        <v>0</v>
      </c>
      <c r="AI178" s="12">
        <f>'Inputs (2)'!AD30</f>
        <v>0</v>
      </c>
      <c r="AJ178" s="12">
        <f>AI178*(1+AJ16)</f>
        <v>0</v>
      </c>
      <c r="AK178" s="12">
        <f>AJ178*(1+AK16)</f>
        <v>0</v>
      </c>
      <c r="AL178" s="12">
        <f>AK178</f>
        <v>0</v>
      </c>
      <c r="AM178" s="12">
        <f>AL178*(1+AM16)</f>
        <v>0</v>
      </c>
      <c r="AN178" s="12">
        <f>AM178*(1+AN16)</f>
        <v>0</v>
      </c>
      <c r="AO178" s="12">
        <f>AN178*(1+AO16)</f>
        <v>0</v>
      </c>
      <c r="AP178" s="12">
        <f>AO178*(1+AP16)</f>
        <v>0</v>
      </c>
      <c r="AQ178" s="12">
        <f>AP178</f>
        <v>0</v>
      </c>
      <c r="AR178" s="12">
        <f>AQ178*(1+AR16)</f>
        <v>0</v>
      </c>
      <c r="AS178" s="12">
        <f>AR178*(1+AS16)</f>
        <v>0</v>
      </c>
      <c r="AT178" s="12">
        <f>AS178*(1+AT16)</f>
        <v>0</v>
      </c>
      <c r="AU178" s="12">
        <f>AT178*(1+AU16)</f>
        <v>0</v>
      </c>
      <c r="AV178" s="12">
        <f>AU178</f>
        <v>0</v>
      </c>
      <c r="AW178" s="12">
        <f>AV178*(1+AW16)</f>
        <v>0</v>
      </c>
      <c r="AX178" s="12">
        <f>AW178*(1+AX16)</f>
        <v>0</v>
      </c>
      <c r="AY178" s="12">
        <f>AX178*(1+AY16)</f>
        <v>0</v>
      </c>
      <c r="AZ178" s="12">
        <f>AY178*(1+AZ16)</f>
        <v>0</v>
      </c>
      <c r="BA178" s="12">
        <f>AZ178</f>
        <v>0</v>
      </c>
      <c r="BB178" s="12">
        <f>BA178*(1+BB16)</f>
        <v>0</v>
      </c>
      <c r="BC178" s="12">
        <f>BB178*(1+BC16)</f>
        <v>0</v>
      </c>
      <c r="BD178" s="12">
        <f>BC178*(1+BD16)</f>
        <v>0</v>
      </c>
      <c r="BE178" s="12">
        <f>BD178*(1+BE16)</f>
        <v>0</v>
      </c>
      <c r="BF178" s="12">
        <f>BE178</f>
        <v>0</v>
      </c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>
      <c r="C179" s="14" t="inlineStr">
        <is>
          <t>Other current liabilities (non-debt)</t>
        </is>
      </c>
      <c r="D179" s="46" t="n"/>
      <c r="E179" s="46" t="n"/>
      <c r="F179" s="46" t="n"/>
      <c r="G179" s="46" t="n"/>
      <c r="H179" s="12" t="n"/>
      <c r="I179" s="46">
        <f>'Inputs (2)'!D31</f>
        <v>12884.798</v>
      </c>
      <c r="J179" s="46">
        <f>'Inputs (2)'!E31</f>
        <v>14750.178</v>
      </c>
      <c r="K179" s="46">
        <f>'Inputs (2)'!F31</f>
        <v>18160.227</v>
      </c>
      <c r="L179" s="46">
        <f>'Inputs (2)'!G31</f>
        <v>19490.362</v>
      </c>
      <c r="M179" s="12">
        <f>'Inputs (2)'!H31</f>
        <v>19490.362</v>
      </c>
      <c r="N179" s="46">
        <f>'Inputs (2)'!I31</f>
        <v>21103.051</v>
      </c>
      <c r="O179" s="46">
        <f>'Inputs (2)'!J31</f>
        <v>20297.21</v>
      </c>
      <c r="P179" s="46">
        <f>'Inputs (2)'!K31</f>
        <v>20523.936</v>
      </c>
      <c r="Q179" s="46">
        <f>'Inputs (2)'!L31</f>
        <v>22843.16</v>
      </c>
      <c r="R179" s="12">
        <f>'Inputs (2)'!M31</f>
        <v>22843.16</v>
      </c>
      <c r="S179" s="46">
        <f>'Inputs (2)'!N31</f>
        <v>22372.614</v>
      </c>
      <c r="T179" s="46">
        <f>'Inputs (2)'!O31</f>
        <v>22492.305</v>
      </c>
      <c r="U179" s="46">
        <f>'Inputs (2)'!P31</f>
        <v>22853.102</v>
      </c>
      <c r="V179" s="46">
        <f>'Inputs (2)'!Q31</f>
        <v>22212.316</v>
      </c>
      <c r="W179" s="12">
        <f>'Inputs (2)'!R31</f>
        <v>22212.316</v>
      </c>
      <c r="X179" s="46">
        <f>'Inputs (2)'!S31</f>
        <v>21228.868</v>
      </c>
      <c r="Y179" s="46">
        <f>'Inputs (2)'!T31</f>
        <v>21910.734</v>
      </c>
      <c r="Z179" s="46">
        <f>'Inputs (2)'!U31</f>
        <v>23110.501</v>
      </c>
      <c r="AA179" s="46">
        <f>'Inputs (2)'!V31</f>
        <v>23974.86</v>
      </c>
      <c r="AB179" s="12">
        <f>'Inputs (2)'!W31</f>
        <v>23974.86</v>
      </c>
      <c r="AC179" s="46">
        <f>'Inputs (2)'!X31</f>
        <v>25390.726</v>
      </c>
      <c r="AD179" s="46">
        <f>'Inputs (2)'!Y31</f>
        <v>24294.214</v>
      </c>
      <c r="AE179" s="46">
        <f>'Inputs (2)'!Z31</f>
        <v>25192.849</v>
      </c>
      <c r="AF179" s="46">
        <f>'Inputs (2)'!AA31</f>
        <v>25827.803</v>
      </c>
      <c r="AG179" s="12">
        <f>'Inputs (2)'!AB31</f>
        <v>25827.803</v>
      </c>
      <c r="AH179" s="12">
        <f>'Inputs (2)'!AC31</f>
        <v>26910.271</v>
      </c>
      <c r="AI179" s="12">
        <f>'Inputs (2)'!AD31</f>
        <v>27458.992</v>
      </c>
      <c r="AJ179" s="12">
        <f>AI179</f>
        <v>27458.992</v>
      </c>
      <c r="AK179" s="12">
        <f>AJ179</f>
        <v>27458.992</v>
      </c>
      <c r="AL179" s="12">
        <f>AK179</f>
        <v>27458.992</v>
      </c>
      <c r="AM179" s="12">
        <f>AL179</f>
        <v>27458.992</v>
      </c>
      <c r="AN179" s="12">
        <f>AM179</f>
        <v>27458.992</v>
      </c>
      <c r="AO179" s="12">
        <f>AN179</f>
        <v>27458.992</v>
      </c>
      <c r="AP179" s="12">
        <f>AO179</f>
        <v>27458.992</v>
      </c>
      <c r="AQ179" s="12">
        <f>AP179</f>
        <v>27458.992</v>
      </c>
      <c r="AR179" s="12">
        <f>AQ179</f>
        <v>27458.992</v>
      </c>
      <c r="AS179" s="12">
        <f>AR179</f>
        <v>27458.992</v>
      </c>
      <c r="AT179" s="12">
        <f>AS179</f>
        <v>27458.992</v>
      </c>
      <c r="AU179" s="12">
        <f>AT179</f>
        <v>27458.992</v>
      </c>
      <c r="AV179" s="12">
        <f>AU179</f>
        <v>27458.992</v>
      </c>
      <c r="AW179" s="12">
        <f>AV179</f>
        <v>27458.992</v>
      </c>
      <c r="AX179" s="12">
        <f>AW179</f>
        <v>27458.992</v>
      </c>
      <c r="AY179" s="12">
        <f>AX179</f>
        <v>27458.992</v>
      </c>
      <c r="AZ179" s="12">
        <f>AY179</f>
        <v>27458.992</v>
      </c>
      <c r="BA179" s="12">
        <f>AZ179</f>
        <v>27458.992</v>
      </c>
      <c r="BB179" s="12">
        <f>BA179</f>
        <v>27458.992</v>
      </c>
      <c r="BC179" s="12">
        <f>BB179</f>
        <v>27458.992</v>
      </c>
      <c r="BD179" s="12">
        <f>BC179</f>
        <v>27458.992</v>
      </c>
      <c r="BE179" s="12">
        <f>BD179</f>
        <v>27458.992</v>
      </c>
      <c r="BF179" s="12">
        <f>BE179</f>
        <v>27458.992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 hidden="1" outlineLevel="1">
      <c r="C180" s="59" t="inlineStr">
        <is>
          <t>%(Var.)</t>
        </is>
      </c>
      <c r="D180" s="12" t="n"/>
      <c r="E180" s="40" t="n"/>
      <c r="F180" s="40" t="n"/>
      <c r="G180" s="40" t="n"/>
      <c r="H180" s="12" t="n"/>
      <c r="I180" s="40" t="str">
        <f>""</f>
        <v/>
      </c>
      <c r="J180" s="40">
        <f>IFERROR(IF(I179=0,"",J179/I179-1),"")</f>
        <v>0.144773709296801</v>
      </c>
      <c r="K180" s="40">
        <f>IFERROR(IF(J179=0,"",K179/J179-1),"")</f>
        <v>0.231186972794498</v>
      </c>
      <c r="L180" s="40">
        <f>IFERROR(IF(K179=0,"",L179/K179-1),"")</f>
        <v>0.0732444038282121</v>
      </c>
      <c r="M180" s="12">
        <f>IF(L179=0,"",M179/L179-1)</f>
        <v>0</v>
      </c>
      <c r="N180" s="40">
        <f>IFERROR(IF(M179=0,"",N179/M179-1),"")</f>
        <v>0.0827428962068533</v>
      </c>
      <c r="O180" s="40">
        <f>IFERROR(IF(N179=0,"",O179/N179-1),"")</f>
        <v>-0.0381859950013863</v>
      </c>
      <c r="P180" s="40">
        <f>IFERROR(IF(O179=0,"",P179/O179-1),"")</f>
        <v>0.0111703037018389</v>
      </c>
      <c r="Q180" s="40">
        <f>IFERROR(IF(P179=0,"",Q179/P179-1),"")</f>
        <v>0.11300093705223</v>
      </c>
      <c r="R180" s="12">
        <f>IF(Q179=0,"",R179/Q179-1)</f>
        <v>0</v>
      </c>
      <c r="S180" s="40">
        <f>IFERROR(IF(R179=0,"",S179/R179-1),"")</f>
        <v>-0.0205989889314787</v>
      </c>
      <c r="T180" s="40">
        <f>IFERROR(IF(S179=0,"",T179/S179-1),"")</f>
        <v>0.00534988893117272</v>
      </c>
      <c r="U180" s="40">
        <f>IFERROR(IF(T179=0,"",U179/T179-1),"")</f>
        <v>0.016040908212831</v>
      </c>
      <c r="V180" s="40">
        <f>IFERROR(IF(U179=0,"",V179/U179-1),"")</f>
        <v>-0.0280393445056167</v>
      </c>
      <c r="W180" s="12">
        <f>IF(V179=0,"",W179/V179-1)</f>
        <v>0</v>
      </c>
      <c r="X180" s="40">
        <f>IFERROR(IF(W179=0,"",X179/W179-1),"")</f>
        <v>-0.0442748968635238</v>
      </c>
      <c r="Y180" s="40">
        <f>IFERROR(IF(X179=0,"",Y179/X179-1),"")</f>
        <v>0.0321197531587649</v>
      </c>
      <c r="Z180" s="40">
        <f>IFERROR(IF(Y179=0,"",Z179/Y179-1),"")</f>
        <v>0.0547570428265891</v>
      </c>
      <c r="AA180" s="40">
        <f>IFERROR(IF(Z179=0,"",AA179/Z179-1),"")</f>
        <v>0.0374011363924998</v>
      </c>
      <c r="AB180" s="12">
        <f>IF(AA179=0,"",AB179/AA179-1)</f>
        <v>0</v>
      </c>
      <c r="AC180" s="40">
        <f>IFERROR(IF(AB179=0,"",AC179/AB179-1),"")</f>
        <v>0.0590562781179953</v>
      </c>
      <c r="AD180" s="40">
        <f>IFERROR(IF(AC179=0,"",AD179/AC179-1),"")</f>
        <v>-0.0431855315992146</v>
      </c>
      <c r="AE180" s="40">
        <f>IFERROR(IF(AD179=0,"",AE179/AD179-1),"")</f>
        <v>0.0369896716971374</v>
      </c>
      <c r="AF180" s="55">
        <f>IFERROR(IF(AE179=0,"",AF179/AE179-1),"")</f>
        <v>0.0252037393627058</v>
      </c>
      <c r="AG180" s="12">
        <f>IF(AF179=0,"",AG179/AF179-1)</f>
        <v>0</v>
      </c>
      <c r="AH180" s="55">
        <f>IFERROR(IF(AG179=0,"",AH179/AG179-1),"")</f>
        <v>0.041910959286781</v>
      </c>
      <c r="AI180" s="55">
        <f>IFERROR(IF(AH179=0,"",AI179/AH179-1),"")</f>
        <v>0.0203907645523154</v>
      </c>
      <c r="AJ180" s="55">
        <f>IFERROR(IF(AI179=0,"",AJ179/AI179-1),"")</f>
        <v>0</v>
      </c>
      <c r="AK180" s="55">
        <f>IFERROR(IF(AJ179=0,"",AK179/AJ179-1),"")</f>
        <v>0</v>
      </c>
      <c r="AL180" s="12">
        <f>IFERROR(IF(AK179=0,"",AL179/AK179-1),"")</f>
        <v>0</v>
      </c>
      <c r="AM180" s="55">
        <f>IFERROR(IF(AL179=0,"",AM179/AL179-1),"")</f>
        <v>0</v>
      </c>
      <c r="AN180" s="55">
        <f>IFERROR(IF(AM179=0,"",AN179/AM179-1),"")</f>
        <v>0</v>
      </c>
      <c r="AO180" s="55">
        <f>IFERROR(IF(AN179=0,"",AO179/AN179-1),"")</f>
        <v>0</v>
      </c>
      <c r="AP180" s="55">
        <f>IFERROR(IF(AO179=0,"",AP179/AO179-1),"")</f>
        <v>0</v>
      </c>
      <c r="AQ180" s="12">
        <f>IFERROR(IF(AP179=0,"",AQ179/AP179-1),"")</f>
        <v>0</v>
      </c>
      <c r="AR180" s="55">
        <f>IFERROR(IF(AQ179=0,"",AR179/AQ179-1),"")</f>
        <v>0</v>
      </c>
      <c r="AS180" s="55">
        <f>IFERROR(IF(AR179=0,"",AS179/AR179-1),"")</f>
        <v>0</v>
      </c>
      <c r="AT180" s="55">
        <f>IFERROR(IF(AS179=0,"",AT179/AS179-1),"")</f>
        <v>0</v>
      </c>
      <c r="AU180" s="55">
        <f>IFERROR(IF(AT179=0,"",AU179/AT179-1),"")</f>
        <v>0</v>
      </c>
      <c r="AV180" s="12">
        <f>IFERROR(IF(AU179=0,"",AV179/AU179-1),"")</f>
        <v>0</v>
      </c>
      <c r="AW180" s="55">
        <f>IFERROR(IF(AV179=0,"",AW179/AV179-1),"")</f>
        <v>0</v>
      </c>
      <c r="AX180" s="55">
        <f>IFERROR(IF(AW179=0,"",AX179/AW179-1),"")</f>
        <v>0</v>
      </c>
      <c r="AY180" s="55">
        <f>IFERROR(IF(AX179=0,"",AY179/AX179-1),"")</f>
        <v>0</v>
      </c>
      <c r="AZ180" s="55">
        <f>IFERROR(IF(AY179=0,"",AZ179/AY179-1),"")</f>
        <v>0</v>
      </c>
      <c r="BA180" s="12">
        <f>IFERROR(IF(AZ179=0,"",BA179/AZ179-1),"")</f>
        <v>0</v>
      </c>
      <c r="BB180" s="55">
        <f>IFERROR(IF(BA179=0,"",BB179/BA179-1),"")</f>
        <v>0</v>
      </c>
      <c r="BC180" s="55">
        <f>IFERROR(IF(BB179=0,"",BC179/BB179-1),"")</f>
        <v>0</v>
      </c>
      <c r="BD180" s="55">
        <f>IFERROR(IF(BC179=0,"",BD179/BC179-1),"")</f>
        <v>0</v>
      </c>
      <c r="BE180" s="55">
        <f>IFERROR(IF(BD179=0,"",BE179/BD179-1),"")</f>
        <v>0</v>
      </c>
      <c r="BF180" s="12">
        <f>IFERROR(IF(BE179=0,"",BF179/BE179-1),"")</f>
        <v>0</v>
      </c>
      <c r="BG180" s="55" t="n"/>
      <c r="BH180" s="55" t="n"/>
      <c r="BI180" s="55" t="n"/>
      <c r="BJ180" s="55" t="n"/>
      <c r="BK180" s="12" t="n"/>
      <c r="BL180" s="55" t="n"/>
      <c r="BM180" s="55" t="n"/>
      <c r="BN180" s="55" t="n"/>
      <c r="BO180" s="55" t="n"/>
      <c r="BP180" s="12" t="n"/>
      <c r="BQ180" s="55" t="n"/>
      <c r="BR180" s="55" t="n"/>
      <c r="BS180" s="55" t="n"/>
      <c r="BT180" s="55" t="n"/>
      <c r="BU180" s="12" t="n"/>
      <c r="BV180" s="55" t="n"/>
      <c r="BW180" s="55" t="n"/>
      <c r="BX180" s="55" t="n"/>
      <c r="BY180" s="55" t="n"/>
      <c r="BZ180" s="12" t="n"/>
      <c r="CA180" s="55" t="n"/>
      <c r="CB180" s="55" t="n"/>
      <c r="CC180" s="55" t="n"/>
      <c r="CD180" s="55" t="n"/>
      <c r="CE180" s="12" t="n"/>
      <c r="CF180" s="55" t="n"/>
      <c r="CG180" s="55" t="n"/>
      <c r="CH180" s="55" t="n"/>
      <c r="CI180" s="55" t="n"/>
      <c r="CJ180" s="12" t="n"/>
      <c r="CK180" s="55" t="n"/>
      <c r="CL180" s="55" t="n"/>
      <c r="CM180" s="55" t="n"/>
      <c r="CN180" s="55" t="n"/>
      <c r="CO180" s="12" t="n"/>
      <c r="CP180" s="55" t="n"/>
      <c r="CQ180" s="55" t="n"/>
      <c r="CR180" s="55" t="n"/>
      <c r="CS180" s="55" t="n"/>
      <c r="CT180" s="12" t="n"/>
      <c r="CU180" s="55" t="n"/>
      <c r="CV180" s="55" t="n"/>
      <c r="CW180" s="55" t="n"/>
      <c r="CX180" s="55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 xml:space="preserve">Dividendos a Pagar </t>
        </is>
      </c>
      <c r="D182" s="11" t="n"/>
      <c r="E182" s="11" t="n"/>
      <c r="F182" s="11" t="n"/>
      <c r="G182" s="11" t="n"/>
      <c r="H182" s="12" t="n"/>
      <c r="I182" s="11" t="n"/>
      <c r="J182" s="11" t="n"/>
      <c r="K182" s="11" t="n"/>
      <c r="L182" s="11" t="n"/>
      <c r="M182" s="12" t="n"/>
      <c r="N182" s="11" t="n"/>
      <c r="O182" s="11" t="n"/>
      <c r="P182" s="11" t="n"/>
      <c r="Q182" s="11" t="n"/>
      <c r="R182" s="12" t="n"/>
      <c r="S182" s="11" t="n"/>
      <c r="T182" s="11" t="n"/>
      <c r="U182" s="11" t="n"/>
      <c r="V182" s="11" t="n"/>
      <c r="W182" s="12" t="n"/>
      <c r="X182" s="11" t="n"/>
      <c r="Y182" s="11" t="n"/>
      <c r="Z182" s="11" t="n"/>
      <c r="AA182" s="11" t="n"/>
      <c r="AB182" s="12" t="n"/>
      <c r="AC182" s="11" t="n"/>
      <c r="AD182" s="11" t="n"/>
      <c r="AE182" s="11" t="n"/>
      <c r="AF182" s="11" t="n"/>
      <c r="AG182" s="12" t="n"/>
      <c r="AH182" s="11" t="n"/>
      <c r="AI182" s="11" t="n"/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Contas a pagar pela aquisição de controladas</t>
        </is>
      </c>
      <c r="D183" s="11" t="n"/>
      <c r="E183" s="11" t="n"/>
      <c r="F183" s="11" t="n"/>
      <c r="G183" s="11" t="n"/>
      <c r="H183" s="12" t="n"/>
      <c r="I183" s="11" t="n"/>
      <c r="J183" s="11" t="n"/>
      <c r="K183" s="11" t="n"/>
      <c r="L183" s="11" t="n"/>
      <c r="M183" s="12" t="n"/>
      <c r="N183" s="11" t="n"/>
      <c r="O183" s="11" t="n"/>
      <c r="P183" s="11" t="n"/>
      <c r="Q183" s="11" t="n"/>
      <c r="R183" s="12" t="n"/>
      <c r="S183" s="11" t="n"/>
      <c r="T183" s="11" t="n"/>
      <c r="U183" s="11" t="n"/>
      <c r="V183" s="11" t="n"/>
      <c r="W183" s="12" t="n"/>
      <c r="X183" s="11" t="n"/>
      <c r="Y183" s="11" t="n"/>
      <c r="Z183" s="11" t="n"/>
      <c r="AA183" s="11" t="n"/>
      <c r="AB183" s="12" t="n"/>
      <c r="AC183" s="11" t="n"/>
      <c r="AD183" s="11" t="n"/>
      <c r="AE183" s="11" t="n"/>
      <c r="AF183" s="11" t="n"/>
      <c r="AG183" s="12" t="n"/>
      <c r="AH183" s="11" t="n"/>
      <c r="AI183" s="11" t="n"/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Outros</t>
        </is>
      </c>
      <c r="D184" s="11" t="n"/>
      <c r="E184" s="11" t="n"/>
      <c r="F184" s="11" t="n"/>
      <c r="G184" s="11" t="n"/>
      <c r="H184" s="12" t="n"/>
      <c r="I184" s="11" t="n"/>
      <c r="J184" s="11" t="n"/>
      <c r="K184" s="11" t="n"/>
      <c r="L184" s="11" t="n"/>
      <c r="M184" s="12" t="n"/>
      <c r="N184" s="11" t="n"/>
      <c r="O184" s="11" t="n"/>
      <c r="P184" s="11" t="n"/>
      <c r="Q184" s="11" t="n"/>
      <c r="R184" s="12" t="n"/>
      <c r="S184" s="11" t="n"/>
      <c r="T184" s="11" t="n"/>
      <c r="U184" s="11" t="n"/>
      <c r="V184" s="11" t="n"/>
      <c r="W184" s="12" t="n"/>
      <c r="X184" s="11" t="n"/>
      <c r="Y184" s="11" t="n"/>
      <c r="Z184" s="11" t="n"/>
      <c r="AA184" s="11" t="n"/>
      <c r="AB184" s="12" t="n"/>
      <c r="AC184" s="11" t="n"/>
      <c r="AD184" s="11" t="n"/>
      <c r="AE184" s="11" t="n"/>
      <c r="AF184" s="11" t="n"/>
      <c r="AG184" s="12" t="n"/>
      <c r="AH184" s="11" t="n"/>
      <c r="AI184" s="11" t="n"/>
      <c r="AJ184" s="11" t="n"/>
      <c r="AK184" s="11" t="n"/>
      <c r="AL184" s="12" t="n"/>
      <c r="AM184" s="11" t="n"/>
      <c r="AN184" s="11" t="n"/>
      <c r="AO184" s="11" t="n"/>
      <c r="AP184" s="11" t="n"/>
      <c r="AQ184" s="12" t="n"/>
      <c r="AR184" s="11" t="n"/>
      <c r="AS184" s="11" t="n"/>
      <c r="AT184" s="11" t="n"/>
      <c r="AU184" s="11" t="n"/>
      <c r="AV184" s="12" t="n"/>
      <c r="AW184" s="11" t="n"/>
      <c r="AX184" s="11" t="n"/>
      <c r="AY184" s="11" t="n"/>
      <c r="AZ184" s="11" t="n"/>
      <c r="BA184" s="12" t="n"/>
      <c r="BB184" s="11" t="n"/>
      <c r="BC184" s="11" t="n"/>
      <c r="BD184" s="11" t="n"/>
      <c r="BE184" s="11" t="n"/>
      <c r="BF184" s="12" t="n"/>
      <c r="BG184" s="11" t="n"/>
      <c r="BH184" s="11" t="n"/>
      <c r="BI184" s="11" t="n"/>
      <c r="BJ184" s="11" t="n"/>
      <c r="BK184" s="12" t="n"/>
      <c r="BL184" s="11" t="n"/>
      <c r="BM184" s="11" t="n"/>
      <c r="BN184" s="11" t="n"/>
      <c r="BO184" s="11" t="n"/>
      <c r="BP184" s="12" t="n"/>
      <c r="BQ184" s="11" t="n"/>
      <c r="BR184" s="11" t="n"/>
      <c r="BS184" s="11" t="n"/>
      <c r="BT184" s="11" t="n"/>
      <c r="BU184" s="12" t="n"/>
      <c r="BV184" s="11" t="n"/>
      <c r="BW184" s="11" t="n"/>
      <c r="BX184" s="11" t="n"/>
      <c r="BY184" s="11" t="n"/>
      <c r="BZ184" s="12" t="n"/>
      <c r="CA184" s="11" t="n"/>
      <c r="CB184" s="11" t="n"/>
      <c r="CC184" s="11" t="n"/>
      <c r="CD184" s="11" t="n"/>
      <c r="CE184" s="12" t="n"/>
      <c r="CF184" s="11" t="n"/>
      <c r="CG184" s="11" t="n"/>
      <c r="CH184" s="11" t="n"/>
      <c r="CI184" s="11" t="n"/>
      <c r="CJ184" s="12" t="n"/>
      <c r="CK184" s="11" t="n"/>
      <c r="CL184" s="11" t="n"/>
      <c r="CM184" s="11" t="n"/>
      <c r="CN184" s="11" t="n"/>
      <c r="CO184" s="12" t="n"/>
      <c r="CP184" s="11" t="n"/>
      <c r="CQ184" s="11" t="n"/>
      <c r="CR184" s="11" t="n"/>
      <c r="CS184" s="11" t="n"/>
      <c r="CT184" s="12" t="n"/>
      <c r="CU184" s="11" t="n"/>
      <c r="CV184" s="11" t="n"/>
      <c r="CW184" s="11" t="n"/>
      <c r="CX184" s="11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collapsed="1">
      <c r="C186" s="14" t="inlineStr">
        <is>
          <t>Current portion of long-term debt</t>
        </is>
      </c>
      <c r="D186" s="46" t="n"/>
      <c r="E186" s="46" t="n"/>
      <c r="F186" s="46" t="n"/>
      <c r="G186" s="46" t="n"/>
      <c r="H186" s="12" t="n"/>
      <c r="I186" s="46">
        <f>'Inputs (2)'!D32</f>
        <v>0</v>
      </c>
      <c r="J186" s="46">
        <f>'Inputs (2)'!E32</f>
        <v>0</v>
      </c>
      <c r="K186" s="46">
        <f>'Inputs (2)'!F32</f>
        <v>0</v>
      </c>
      <c r="L186" s="46">
        <f>'Inputs (2)'!G32</f>
        <v>0</v>
      </c>
      <c r="M186" s="12">
        <f>'Inputs (2)'!H32</f>
        <v>0</v>
      </c>
      <c r="N186" s="46">
        <f>'Inputs (2)'!I32</f>
        <v>0</v>
      </c>
      <c r="O186" s="46">
        <f>'Inputs (2)'!J32</f>
        <v>0</v>
      </c>
      <c r="P186" s="46">
        <f>'Inputs (2)'!K32</f>
        <v>0</v>
      </c>
      <c r="Q186" s="46">
        <f>'Inputs (2)'!L32</f>
        <v>0</v>
      </c>
      <c r="R186" s="12">
        <f>'Inputs (2)'!M32</f>
        <v>0</v>
      </c>
      <c r="S186" s="46">
        <f>'Inputs (2)'!N32</f>
        <v>0</v>
      </c>
      <c r="T186" s="46">
        <f>'Inputs (2)'!O32</f>
        <v>0</v>
      </c>
      <c r="U186" s="46">
        <f>'Inputs (2)'!P32</f>
        <v>0</v>
      </c>
      <c r="V186" s="46">
        <f>'Inputs (2)'!Q32</f>
        <v>0</v>
      </c>
      <c r="W186" s="12">
        <f>'Inputs (2)'!R32</f>
        <v>0</v>
      </c>
      <c r="X186" s="46">
        <f>'Inputs (2)'!S32</f>
        <v>0</v>
      </c>
      <c r="Y186" s="46">
        <f>'Inputs (2)'!T32</f>
        <v>0</v>
      </c>
      <c r="Z186" s="46">
        <f>'Inputs (2)'!U32</f>
        <v>0</v>
      </c>
      <c r="AA186" s="46">
        <f>'Inputs (2)'!V32</f>
        <v>0</v>
      </c>
      <c r="AB186" s="12">
        <f>'Inputs (2)'!W32</f>
        <v>0</v>
      </c>
      <c r="AC186" s="46">
        <f>'Inputs (2)'!X32</f>
        <v>0</v>
      </c>
      <c r="AD186" s="46">
        <f>'Inputs (2)'!Y32</f>
        <v>0</v>
      </c>
      <c r="AE186" s="46">
        <f>'Inputs (2)'!Z32</f>
        <v>0</v>
      </c>
      <c r="AF186" s="46">
        <f>'Inputs (2)'!AA32</f>
        <v>0</v>
      </c>
      <c r="AG186" s="12">
        <f>'Inputs (2)'!AB32</f>
        <v>0</v>
      </c>
      <c r="AH186" s="12">
        <f>'Inputs (2)'!AC32</f>
        <v>0</v>
      </c>
      <c r="AI186" s="12">
        <f>'Inputs (2)'!AD32</f>
        <v>0</v>
      </c>
      <c r="AJ186" s="12">
        <f>AI186</f>
        <v>0</v>
      </c>
      <c r="AK186" s="12">
        <f>AJ186</f>
        <v>0</v>
      </c>
      <c r="AL186" s="12">
        <f>AK186</f>
        <v>0</v>
      </c>
      <c r="AM186" s="12">
        <f>AL186</f>
        <v>0</v>
      </c>
      <c r="AN186" s="12">
        <f>AM186</f>
        <v>0</v>
      </c>
      <c r="AO186" s="12">
        <f>AN186</f>
        <v>0</v>
      </c>
      <c r="AP186" s="12">
        <f>AO186</f>
        <v>0</v>
      </c>
      <c r="AQ186" s="12">
        <f>AP186</f>
        <v>0</v>
      </c>
      <c r="AR186" s="12">
        <f>AQ186</f>
        <v>0</v>
      </c>
      <c r="AS186" s="12">
        <f>AR186</f>
        <v>0</v>
      </c>
      <c r="AT186" s="12">
        <f>AS186</f>
        <v>0</v>
      </c>
      <c r="AU186" s="12">
        <f>AT186</f>
        <v>0</v>
      </c>
      <c r="AV186" s="12">
        <f>AU186</f>
        <v>0</v>
      </c>
      <c r="AW186" s="12">
        <f>AV186</f>
        <v>0</v>
      </c>
      <c r="AX186" s="12">
        <f>AW186</f>
        <v>0</v>
      </c>
      <c r="AY186" s="12">
        <f>AX186</f>
        <v>0</v>
      </c>
      <c r="AZ186" s="12">
        <f>AY186</f>
        <v>0</v>
      </c>
      <c r="BA186" s="12">
        <f>AZ186</f>
        <v>0</v>
      </c>
      <c r="BB186" s="12">
        <f>BA186</f>
        <v>0</v>
      </c>
      <c r="BC186" s="12">
        <f>BB186</f>
        <v>0</v>
      </c>
      <c r="BD186" s="12">
        <f>BC186</f>
        <v>0</v>
      </c>
      <c r="BE186" s="12">
        <f>BD186</f>
        <v>0</v>
      </c>
      <c r="BF186" s="12">
        <f>BE186</f>
        <v>0</v>
      </c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>
      <c r="C187" s="14" t="inlineStr">
        <is>
          <t>Short term debt (Revolving credit facility)</t>
        </is>
      </c>
      <c r="D187" s="46" t="n"/>
      <c r="E187" s="46" t="n"/>
      <c r="F187" s="46" t="n"/>
      <c r="G187" s="46" t="n"/>
      <c r="H187" s="12" t="n"/>
      <c r="I187" s="46">
        <f>'Inputs (2)'!D33</f>
        <v>0</v>
      </c>
      <c r="J187" s="46">
        <f>'Inputs (2)'!E33</f>
        <v>0</v>
      </c>
      <c r="K187" s="46">
        <f>'Inputs (2)'!F33</f>
        <v>0</v>
      </c>
      <c r="L187" s="46">
        <f>'Inputs (2)'!G33</f>
        <v>0</v>
      </c>
      <c r="M187" s="12">
        <f>'Inputs (2)'!H33</f>
        <v>0</v>
      </c>
      <c r="N187" s="46">
        <f>'Inputs (2)'!I33</f>
        <v>0</v>
      </c>
      <c r="O187" s="46">
        <f>'Inputs (2)'!J33</f>
        <v>0</v>
      </c>
      <c r="P187" s="46">
        <f>'Inputs (2)'!K33</f>
        <v>0</v>
      </c>
      <c r="Q187" s="46">
        <f>'Inputs (2)'!L33</f>
        <v>0</v>
      </c>
      <c r="R187" s="12">
        <f>'Inputs (2)'!M33</f>
        <v>0</v>
      </c>
      <c r="S187" s="46">
        <f>'Inputs (2)'!N33</f>
        <v>0</v>
      </c>
      <c r="T187" s="46">
        <f>'Inputs (2)'!O33</f>
        <v>0</v>
      </c>
      <c r="U187" s="46">
        <f>'Inputs (2)'!P33</f>
        <v>0</v>
      </c>
      <c r="V187" s="46">
        <f>'Inputs (2)'!Q33</f>
        <v>0</v>
      </c>
      <c r="W187" s="12">
        <f>'Inputs (2)'!R33</f>
        <v>0</v>
      </c>
      <c r="X187" s="46">
        <f>'Inputs (2)'!S33</f>
        <v>0</v>
      </c>
      <c r="Y187" s="46">
        <f>'Inputs (2)'!T33</f>
        <v>0</v>
      </c>
      <c r="Z187" s="46">
        <f>'Inputs (2)'!U33</f>
        <v>0</v>
      </c>
      <c r="AA187" s="46">
        <f>'Inputs (2)'!V33</f>
        <v>0</v>
      </c>
      <c r="AB187" s="12">
        <f>'Inputs (2)'!W33</f>
        <v>0</v>
      </c>
      <c r="AC187" s="46">
        <f>'Inputs (2)'!X33</f>
        <v>0</v>
      </c>
      <c r="AD187" s="46">
        <f>'Inputs (2)'!Y33</f>
        <v>0</v>
      </c>
      <c r="AE187" s="46">
        <f>'Inputs (2)'!Z33</f>
        <v>0</v>
      </c>
      <c r="AF187" s="46">
        <f>'Inputs (2)'!AA33</f>
        <v>0</v>
      </c>
      <c r="AG187" s="12">
        <f>'Inputs (2)'!AB33</f>
        <v>0</v>
      </c>
      <c r="AH187" s="12">
        <f>'Inputs (2)'!AC33</f>
        <v>0</v>
      </c>
      <c r="AI187" s="12">
        <f>'Inputs (2)'!AD33</f>
        <v>0</v>
      </c>
      <c r="AJ187" s="12">
        <f>AI187</f>
        <v>0</v>
      </c>
      <c r="AK187" s="12">
        <f>AJ187</f>
        <v>0</v>
      </c>
      <c r="AL187" s="12">
        <f>AK187</f>
        <v>0</v>
      </c>
      <c r="AM187" s="12">
        <f>AL187</f>
        <v>0</v>
      </c>
      <c r="AN187" s="12">
        <f>AM187</f>
        <v>0</v>
      </c>
      <c r="AO187" s="12">
        <f>AN187</f>
        <v>0</v>
      </c>
      <c r="AP187" s="12">
        <f>AO187</f>
        <v>0</v>
      </c>
      <c r="AQ187" s="12">
        <f>AP187</f>
        <v>0</v>
      </c>
      <c r="AR187" s="12">
        <f>AQ187</f>
        <v>0</v>
      </c>
      <c r="AS187" s="12">
        <f>AR187</f>
        <v>0</v>
      </c>
      <c r="AT187" s="12">
        <f>AS187</f>
        <v>0</v>
      </c>
      <c r="AU187" s="12">
        <f>AT187</f>
        <v>0</v>
      </c>
      <c r="AV187" s="12">
        <f>AU187</f>
        <v>0</v>
      </c>
      <c r="AW187" s="12">
        <f>AV187</f>
        <v>0</v>
      </c>
      <c r="AX187" s="12">
        <f>AW187</f>
        <v>0</v>
      </c>
      <c r="AY187" s="12">
        <f>AX187</f>
        <v>0</v>
      </c>
      <c r="AZ187" s="12">
        <f>AY187</f>
        <v>0</v>
      </c>
      <c r="BA187" s="12">
        <f>AZ187</f>
        <v>0</v>
      </c>
      <c r="BB187" s="12">
        <f>BA187</f>
        <v>0</v>
      </c>
      <c r="BC187" s="12">
        <f>BB187</f>
        <v>0</v>
      </c>
      <c r="BD187" s="12">
        <f>BC187</f>
        <v>0</v>
      </c>
      <c r="BE187" s="12">
        <f>BD187</f>
        <v>0</v>
      </c>
      <c r="BF187" s="12">
        <f>BE187</f>
        <v>0</v>
      </c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>
      <c r="C188" s="14" t="inlineStr">
        <is>
          <t>Short term operating leases</t>
        </is>
      </c>
      <c r="D188" s="46" t="n"/>
      <c r="E188" s="46" t="n"/>
      <c r="F188" s="46" t="n"/>
      <c r="G188" s="46" t="n"/>
      <c r="H188" s="12" t="n"/>
      <c r="I188" s="46">
        <f>'Inputs (2)'!D34</f>
        <v>0</v>
      </c>
      <c r="J188" s="46">
        <f>'Inputs (2)'!E34</f>
        <v>0</v>
      </c>
      <c r="K188" s="46">
        <f>'Inputs (2)'!F34</f>
        <v>0</v>
      </c>
      <c r="L188" s="46">
        <f>'Inputs (2)'!G34</f>
        <v>0</v>
      </c>
      <c r="M188" s="12">
        <f>'Inputs (2)'!H34</f>
        <v>0</v>
      </c>
      <c r="N188" s="46">
        <f>'Inputs (2)'!I34</f>
        <v>0</v>
      </c>
      <c r="O188" s="46">
        <f>'Inputs (2)'!J34</f>
        <v>0</v>
      </c>
      <c r="P188" s="46">
        <f>'Inputs (2)'!K34</f>
        <v>0</v>
      </c>
      <c r="Q188" s="46">
        <f>'Inputs (2)'!L34</f>
        <v>0</v>
      </c>
      <c r="R188" s="12">
        <f>'Inputs (2)'!M34</f>
        <v>0</v>
      </c>
      <c r="S188" s="46">
        <f>'Inputs (2)'!N34</f>
        <v>0</v>
      </c>
      <c r="T188" s="46">
        <f>'Inputs (2)'!O34</f>
        <v>0</v>
      </c>
      <c r="U188" s="46">
        <f>'Inputs (2)'!P34</f>
        <v>0</v>
      </c>
      <c r="V188" s="46">
        <f>'Inputs (2)'!Q34</f>
        <v>0</v>
      </c>
      <c r="W188" s="12">
        <f>'Inputs (2)'!R34</f>
        <v>0</v>
      </c>
      <c r="X188" s="46">
        <f>'Inputs (2)'!S34</f>
        <v>0</v>
      </c>
      <c r="Y188" s="46">
        <f>'Inputs (2)'!T34</f>
        <v>0</v>
      </c>
      <c r="Z188" s="46">
        <f>'Inputs (2)'!U34</f>
        <v>0</v>
      </c>
      <c r="AA188" s="46">
        <f>'Inputs (2)'!V34</f>
        <v>0</v>
      </c>
      <c r="AB188" s="12">
        <f>'Inputs (2)'!W34</f>
        <v>0</v>
      </c>
      <c r="AC188" s="46">
        <f>'Inputs (2)'!X34</f>
        <v>0</v>
      </c>
      <c r="AD188" s="46">
        <f>'Inputs (2)'!Y34</f>
        <v>0</v>
      </c>
      <c r="AE188" s="46">
        <f>'Inputs (2)'!Z34</f>
        <v>0</v>
      </c>
      <c r="AF188" s="46">
        <f>'Inputs (2)'!AA34</f>
        <v>0</v>
      </c>
      <c r="AG188" s="12">
        <f>'Inputs (2)'!AB34</f>
        <v>0</v>
      </c>
      <c r="AH188" s="12">
        <f>'Inputs (2)'!AC34</f>
        <v>0</v>
      </c>
      <c r="AI188" s="12">
        <f>'Inputs (2)'!AD34</f>
        <v>0</v>
      </c>
      <c r="AJ188" s="12">
        <f>AI188</f>
        <v>0</v>
      </c>
      <c r="AK188" s="12">
        <f>AJ188</f>
        <v>0</v>
      </c>
      <c r="AL188" s="12">
        <f>AK188</f>
        <v>0</v>
      </c>
      <c r="AM188" s="12">
        <f>AL188</f>
        <v>0</v>
      </c>
      <c r="AN188" s="12">
        <f>AM188</f>
        <v>0</v>
      </c>
      <c r="AO188" s="12">
        <f>AN188</f>
        <v>0</v>
      </c>
      <c r="AP188" s="12">
        <f>AO188</f>
        <v>0</v>
      </c>
      <c r="AQ188" s="12">
        <f>AP188</f>
        <v>0</v>
      </c>
      <c r="AR188" s="12">
        <f>AQ188</f>
        <v>0</v>
      </c>
      <c r="AS188" s="12">
        <f>AR188</f>
        <v>0</v>
      </c>
      <c r="AT188" s="12">
        <f>AS188</f>
        <v>0</v>
      </c>
      <c r="AU188" s="12">
        <f>AT188</f>
        <v>0</v>
      </c>
      <c r="AV188" s="12">
        <f>AU188</f>
        <v>0</v>
      </c>
      <c r="AW188" s="12">
        <f>AV188</f>
        <v>0</v>
      </c>
      <c r="AX188" s="12">
        <f>AW188</f>
        <v>0</v>
      </c>
      <c r="AY188" s="12">
        <f>AX188</f>
        <v>0</v>
      </c>
      <c r="AZ188" s="12">
        <f>AY188</f>
        <v>0</v>
      </c>
      <c r="BA188" s="12">
        <f>AZ188</f>
        <v>0</v>
      </c>
      <c r="BB188" s="12">
        <f>BA188</f>
        <v>0</v>
      </c>
      <c r="BC188" s="12">
        <f>BB188</f>
        <v>0</v>
      </c>
      <c r="BD188" s="12">
        <f>BC188</f>
        <v>0</v>
      </c>
      <c r="BE188" s="12">
        <f>BD188</f>
        <v>0</v>
      </c>
      <c r="BF188" s="12">
        <f>BE188</f>
        <v>0</v>
      </c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9" t="inlineStr">
        <is>
          <t>%(Var.)</t>
        </is>
      </c>
      <c r="D189" s="12" t="n"/>
      <c r="E189" s="40" t="n"/>
      <c r="F189" s="40" t="n"/>
      <c r="G189" s="40" t="n"/>
      <c r="H189" s="12" t="n"/>
      <c r="I189" s="40" t="str">
        <f>""</f>
        <v/>
      </c>
      <c r="J189" s="40" t="str">
        <f>IFERROR(IF(I188=0,"",J188/I188-1),"")</f>
        <v/>
      </c>
      <c r="K189" s="40" t="str">
        <f>IFERROR(IF(J188=0,"",K188/J188-1),"")</f>
        <v/>
      </c>
      <c r="L189" s="40" t="str">
        <f>IFERROR(IF(K188=0,"",L188/K188-1),"")</f>
        <v/>
      </c>
      <c r="M189" s="12" t="str">
        <f>IF(L188=0,"",M188/L188-1)</f>
        <v/>
      </c>
      <c r="N189" s="40" t="str">
        <f>IFERROR(IF(M188=0,"",N188/M188-1),"")</f>
        <v/>
      </c>
      <c r="O189" s="40" t="str">
        <f>IFERROR(IF(N188=0,"",O188/N188-1),"")</f>
        <v/>
      </c>
      <c r="P189" s="40" t="str">
        <f>IFERROR(IF(O188=0,"",P188/O188-1),"")</f>
        <v/>
      </c>
      <c r="Q189" s="40" t="str">
        <f>IFERROR(IF(P188=0,"",Q188/P188-1),"")</f>
        <v/>
      </c>
      <c r="R189" s="12" t="str">
        <f>IF(Q188=0,"",R188/Q188-1)</f>
        <v/>
      </c>
      <c r="S189" s="40" t="str">
        <f>IFERROR(IF(R188=0,"",S188/R188-1),"")</f>
        <v/>
      </c>
      <c r="T189" s="40" t="str">
        <f>IFERROR(IF(S188=0,"",T188/S188-1),"")</f>
        <v/>
      </c>
      <c r="U189" s="40" t="str">
        <f>IFERROR(IF(T188=0,"",U188/T188-1),"")</f>
        <v/>
      </c>
      <c r="V189" s="40" t="str">
        <f>IFERROR(IF(U188=0,"",V188/U188-1),"")</f>
        <v/>
      </c>
      <c r="W189" s="12" t="str">
        <f>IF(V188=0,"",W188/V188-1)</f>
        <v/>
      </c>
      <c r="X189" s="40" t="str">
        <f>IFERROR(IF(W188=0,"",X188/W188-1),"")</f>
        <v/>
      </c>
      <c r="Y189" s="40" t="str">
        <f>IFERROR(IF(X188=0,"",Y188/X188-1),"")</f>
        <v/>
      </c>
      <c r="Z189" s="40" t="str">
        <f>IFERROR(IF(Y188=0,"",Z188/Y188-1),"")</f>
        <v/>
      </c>
      <c r="AA189" s="40" t="str">
        <f>IFERROR(IF(Z188=0,"",AA188/Z188-1),"")</f>
        <v/>
      </c>
      <c r="AB189" s="12" t="str">
        <f>IF(AA188=0,"",AB188/AA188-1)</f>
        <v/>
      </c>
      <c r="AC189" s="40" t="str">
        <f>IFERROR(IF(AB188=0,"",AC188/AB188-1),"")</f>
        <v/>
      </c>
      <c r="AD189" s="40" t="str">
        <f>IFERROR(IF(AC188=0,"",AD188/AC188-1),"")</f>
        <v/>
      </c>
      <c r="AE189" s="40" t="str">
        <f>IFERROR(IF(AD188=0,"",AE188/AD188-1),"")</f>
        <v/>
      </c>
      <c r="AF189" s="11" t="str">
        <f>IFERROR(IF(AE188=0,"",AF188/AE188-1),"")</f>
        <v/>
      </c>
      <c r="AG189" s="12" t="str">
        <f>IF(AF188=0,"",AG188/AF188-1)</f>
        <v/>
      </c>
      <c r="AH189" s="11" t="str">
        <f>IFERROR(IF(AG188=0,"",AH188/AG188-1),"")</f>
        <v/>
      </c>
      <c r="AI189" s="11" t="str">
        <f>IFERROR(IF(AH188=0,"",AI188/AH188-1),"")</f>
        <v/>
      </c>
      <c r="AJ189" s="11" t="str">
        <f>IFERROR(IF(AI188=0,"",AJ188/AI188-1),"")</f>
        <v/>
      </c>
      <c r="AK189" s="11" t="str">
        <f>IFERROR(IF(AJ188=0,"",AK188/AJ188-1),"")</f>
        <v/>
      </c>
      <c r="AL189" s="12" t="str">
        <f>IFERROR(IF(AK188=0,"",AL188/AK188-1),"")</f>
        <v/>
      </c>
      <c r="AM189" s="11" t="str">
        <f>IFERROR(IF(AL188=0,"",AM188/AL188-1),"")</f>
        <v/>
      </c>
      <c r="AN189" s="11" t="str">
        <f>IFERROR(IF(AM188=0,"",AN188/AM188-1),"")</f>
        <v/>
      </c>
      <c r="AO189" s="11" t="str">
        <f>IFERROR(IF(AN188=0,"",AO188/AN188-1),"")</f>
        <v/>
      </c>
      <c r="AP189" s="11" t="str">
        <f>IFERROR(IF(AO188=0,"",AP188/AO188-1),"")</f>
        <v/>
      </c>
      <c r="AQ189" s="12" t="str">
        <f>IFERROR(IF(AP188=0,"",AQ188/AP188-1),"")</f>
        <v/>
      </c>
      <c r="AR189" s="11" t="str">
        <f>IFERROR(IF(AQ188=0,"",AR188/AQ188-1),"")</f>
        <v/>
      </c>
      <c r="AS189" s="11" t="str">
        <f>IFERROR(IF(AR188=0,"",AS188/AR188-1),"")</f>
        <v/>
      </c>
      <c r="AT189" s="11" t="str">
        <f>IFERROR(IF(AS188=0,"",AT188/AS188-1),"")</f>
        <v/>
      </c>
      <c r="AU189" s="11" t="str">
        <f>IFERROR(IF(AT188=0,"",AU188/AT188-1),"")</f>
        <v/>
      </c>
      <c r="AV189" s="12" t="str">
        <f>IFERROR(IF(AU188=0,"",AV188/AU188-1),"")</f>
        <v/>
      </c>
      <c r="AW189" s="11" t="str">
        <f>IFERROR(IF(AV188=0,"",AW188/AV188-1),"")</f>
        <v/>
      </c>
      <c r="AX189" s="11" t="str">
        <f>IFERROR(IF(AW188=0,"",AX188/AW188-1),"")</f>
        <v/>
      </c>
      <c r="AY189" s="11" t="str">
        <f>IFERROR(IF(AX188=0,"",AY188/AX188-1),"")</f>
        <v/>
      </c>
      <c r="AZ189" s="11" t="str">
        <f>IFERROR(IF(AY188=0,"",AZ188/AY188-1),"")</f>
        <v/>
      </c>
      <c r="BA189" s="12" t="str">
        <f>IFERROR(IF(AZ188=0,"",BA188/AZ188-1),"")</f>
        <v/>
      </c>
      <c r="BB189" s="11" t="str">
        <f>IFERROR(IF(BA188=0,"",BB188/BA188-1),"")</f>
        <v/>
      </c>
      <c r="BC189" s="11" t="str">
        <f>IFERROR(IF(BB188=0,"",BC188/BB188-1),"")</f>
        <v/>
      </c>
      <c r="BD189" s="11" t="str">
        <f>IFERROR(IF(BC188=0,"",BD188/BC188-1),"")</f>
        <v/>
      </c>
      <c r="BE189" s="11" t="str">
        <f>IFERROR(IF(BD188=0,"",BE188/BD188-1),"")</f>
        <v/>
      </c>
      <c r="BF189" s="12" t="str">
        <f>IFERROR(IF(BE188=0,"",BF188/BE188-1),"")</f>
        <v/>
      </c>
      <c r="BG189" s="11" t="n"/>
      <c r="BH189" s="11" t="n"/>
      <c r="BI189" s="11" t="n"/>
      <c r="BJ189" s="11" t="n"/>
      <c r="BK189" s="12" t="n"/>
      <c r="BL189" s="11" t="n"/>
      <c r="BM189" s="11" t="n"/>
      <c r="BN189" s="11" t="n"/>
      <c r="BO189" s="11" t="n"/>
      <c r="BP189" s="12" t="n"/>
      <c r="BQ189" s="11" t="n"/>
      <c r="BR189" s="11" t="n"/>
      <c r="BS189" s="11" t="n"/>
      <c r="BT189" s="11" t="n"/>
      <c r="BU189" s="12" t="n"/>
      <c r="BV189" s="11" t="n"/>
      <c r="BW189" s="11" t="n"/>
      <c r="BX189" s="11" t="n"/>
      <c r="BY189" s="11" t="n"/>
      <c r="BZ189" s="12" t="n"/>
      <c r="CA189" s="11" t="n"/>
      <c r="CB189" s="11" t="n"/>
      <c r="CC189" s="11" t="n"/>
      <c r="CD189" s="11" t="n"/>
      <c r="CE189" s="12" t="n"/>
      <c r="CF189" s="11" t="n"/>
      <c r="CG189" s="11" t="n"/>
      <c r="CH189" s="11" t="n"/>
      <c r="CI189" s="11" t="n"/>
      <c r="CJ189" s="12" t="n"/>
      <c r="CK189" s="11" t="n"/>
      <c r="CL189" s="11" t="n"/>
      <c r="CM189" s="11" t="n"/>
      <c r="CN189" s="11" t="n"/>
      <c r="CO189" s="12" t="n"/>
      <c r="CP189" s="11" t="n"/>
      <c r="CQ189" s="11" t="n"/>
      <c r="CR189" s="11" t="n"/>
      <c r="CS189" s="11" t="n"/>
      <c r="CT189" s="12" t="n"/>
      <c r="CU189" s="11" t="n"/>
      <c r="CV189" s="11" t="n"/>
      <c r="CW189" s="11" t="n"/>
      <c r="CX189" s="11" t="n"/>
      <c r="CY189" s="12" t="n"/>
    </row>
    <row r="190" hidden="1" outlineLevel="1">
      <c r="C190" s="57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collapsed="1">
      <c r="C191" s="14" t="inlineStr">
        <is>
          <t>Long term debt</t>
        </is>
      </c>
      <c r="D191" s="46" t="n"/>
      <c r="E191" s="46" t="n"/>
      <c r="F191" s="46" t="n"/>
      <c r="G191" s="46" t="n"/>
      <c r="H191" s="12" t="n"/>
      <c r="I191" s="46">
        <f>'Inputs (2)'!D35</f>
        <v>0</v>
      </c>
      <c r="J191" s="46">
        <f>'Inputs (2)'!E35</f>
        <v>0</v>
      </c>
      <c r="K191" s="46">
        <f>'Inputs (2)'!F35</f>
        <v>0</v>
      </c>
      <c r="L191" s="46">
        <f>'Inputs (2)'!G35</f>
        <v>0</v>
      </c>
      <c r="M191" s="12">
        <f>'Inputs (2)'!H35</f>
        <v>0</v>
      </c>
      <c r="N191" s="46">
        <f>'Inputs (2)'!I35</f>
        <v>0</v>
      </c>
      <c r="O191" s="46">
        <f>'Inputs (2)'!J35</f>
        <v>0</v>
      </c>
      <c r="P191" s="46">
        <f>'Inputs (2)'!K35</f>
        <v>0</v>
      </c>
      <c r="Q191" s="46">
        <f>'Inputs (2)'!L35</f>
        <v>0</v>
      </c>
      <c r="R191" s="12">
        <f>'Inputs (2)'!M35</f>
        <v>0</v>
      </c>
      <c r="S191" s="46">
        <f>'Inputs (2)'!N35</f>
        <v>0</v>
      </c>
      <c r="T191" s="46">
        <f>'Inputs (2)'!O35</f>
        <v>0</v>
      </c>
      <c r="U191" s="46">
        <f>'Inputs (2)'!P35</f>
        <v>0</v>
      </c>
      <c r="V191" s="46">
        <f>'Inputs (2)'!Q35</f>
        <v>0</v>
      </c>
      <c r="W191" s="12">
        <f>'Inputs (2)'!R35</f>
        <v>0</v>
      </c>
      <c r="X191" s="46">
        <f>'Inputs (2)'!S35</f>
        <v>0</v>
      </c>
      <c r="Y191" s="46">
        <f>'Inputs (2)'!T35</f>
        <v>0</v>
      </c>
      <c r="Z191" s="46">
        <f>'Inputs (2)'!U35</f>
        <v>0</v>
      </c>
      <c r="AA191" s="46">
        <f>'Inputs (2)'!V35</f>
        <v>0</v>
      </c>
      <c r="AB191" s="12">
        <f>'Inputs (2)'!W35</f>
        <v>0</v>
      </c>
      <c r="AC191" s="46">
        <f>'Inputs (2)'!X35</f>
        <v>0</v>
      </c>
      <c r="AD191" s="46">
        <f>'Inputs (2)'!Y35</f>
        <v>0</v>
      </c>
      <c r="AE191" s="46">
        <f>'Inputs (2)'!Z35</f>
        <v>0</v>
      </c>
      <c r="AF191" s="46">
        <f>'Inputs (2)'!AA35</f>
        <v>0</v>
      </c>
      <c r="AG191" s="12">
        <f>'Inputs (2)'!AB35</f>
        <v>0</v>
      </c>
      <c r="AH191" s="12">
        <f>'Inputs (2)'!AC35</f>
        <v>0</v>
      </c>
      <c r="AI191" s="12">
        <f>'Inputs (2)'!AD35</f>
        <v>0</v>
      </c>
      <c r="AJ191" s="12">
        <f>AJ197</f>
        <v>0</v>
      </c>
      <c r="AK191" s="12">
        <f>AK197</f>
        <v>0</v>
      </c>
      <c r="AL191" s="12">
        <f>AK191</f>
        <v>0</v>
      </c>
      <c r="AM191" s="12">
        <f>AM197</f>
        <v>0</v>
      </c>
      <c r="AN191" s="12">
        <f>AN197</f>
        <v>0</v>
      </c>
      <c r="AO191" s="12">
        <f>AO197</f>
        <v>0</v>
      </c>
      <c r="AP191" s="12">
        <f>AP197</f>
        <v>0</v>
      </c>
      <c r="AQ191" s="12">
        <f>AP191</f>
        <v>0</v>
      </c>
      <c r="AR191" s="12">
        <f>AR197</f>
        <v>0</v>
      </c>
      <c r="AS191" s="12">
        <f>AS197</f>
        <v>0</v>
      </c>
      <c r="AT191" s="12">
        <f>AT197</f>
        <v>0</v>
      </c>
      <c r="AU191" s="12">
        <f>AU197</f>
        <v>0</v>
      </c>
      <c r="AV191" s="12">
        <f>AU191</f>
        <v>0</v>
      </c>
      <c r="AW191" s="12">
        <f>AW197</f>
        <v>0</v>
      </c>
      <c r="AX191" s="12">
        <f>AX197</f>
        <v>0</v>
      </c>
      <c r="AY191" s="12">
        <f>AY197</f>
        <v>0</v>
      </c>
      <c r="AZ191" s="12">
        <f>AZ197</f>
        <v>0</v>
      </c>
      <c r="BA191" s="12">
        <f>AZ191</f>
        <v>0</v>
      </c>
      <c r="BB191" s="12">
        <f>BB197</f>
        <v>0</v>
      </c>
      <c r="BC191" s="12">
        <f>BC197</f>
        <v>0</v>
      </c>
      <c r="BD191" s="12">
        <f>BD197</f>
        <v>0</v>
      </c>
      <c r="BE191" s="12">
        <f>BE197</f>
        <v>0</v>
      </c>
      <c r="BF191" s="12">
        <f>BE191</f>
        <v>0</v>
      </c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  <c r="CN191" s="12" t="n"/>
      <c r="CO191" s="12" t="n"/>
      <c r="CP191" s="12" t="n"/>
      <c r="CQ191" s="12" t="n"/>
      <c r="CR191" s="12" t="n"/>
      <c r="CS191" s="12" t="n"/>
      <c r="CT191" s="12" t="n"/>
      <c r="CU191" s="12" t="n"/>
      <c r="CV191" s="12" t="n"/>
      <c r="CW191" s="12" t="n"/>
      <c r="CX191" s="12" t="n"/>
      <c r="CY191" s="12" t="n"/>
    </row>
    <row r="192" hidden="1" outlineLevel="1">
      <c r="C192" s="57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57" t="inlineStr">
        <is>
          <t>Current portion of LTD</t>
        </is>
      </c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>
        <f>AF186</f>
        <v>0</v>
      </c>
      <c r="AI193" s="62" t="n"/>
      <c r="AJ193" s="62" t="n"/>
      <c r="AK193" s="62" t="n"/>
      <c r="AL193" s="12" t="n"/>
      <c r="AM193" s="12">
        <f>AK186</f>
        <v>0</v>
      </c>
      <c r="AN193" s="62" t="n"/>
      <c r="AO193" s="62" t="n"/>
      <c r="AP193" s="62" t="n"/>
      <c r="AQ193" s="12" t="n"/>
      <c r="AR193" s="12">
        <f>AP186</f>
        <v>0</v>
      </c>
      <c r="AS193" s="62" t="n"/>
      <c r="AT193" s="62" t="n"/>
      <c r="AU193" s="62" t="n"/>
      <c r="AV193" s="12" t="n"/>
      <c r="AW193" s="12">
        <f>AU186</f>
        <v>0</v>
      </c>
      <c r="AX193" s="62" t="n"/>
      <c r="AY193" s="62" t="n"/>
      <c r="AZ193" s="62" t="n"/>
      <c r="BA193" s="12" t="n"/>
      <c r="BB193" s="12">
        <f>AZ186</f>
        <v>0</v>
      </c>
      <c r="BC193" s="62" t="n"/>
      <c r="BD193" s="62" t="n"/>
      <c r="BE193" s="62" t="n"/>
      <c r="BF193" s="12" t="n"/>
      <c r="BG193" s="12" t="n"/>
      <c r="BH193" s="62" t="n"/>
      <c r="BI193" s="62" t="n"/>
      <c r="BJ193" s="62" t="n"/>
      <c r="BK193" s="12" t="n"/>
      <c r="BL193" s="12" t="n"/>
      <c r="BM193" s="62" t="n"/>
      <c r="BN193" s="62" t="n"/>
      <c r="BO193" s="62" t="n"/>
      <c r="BP193" s="12" t="n"/>
      <c r="BQ193" s="12" t="n"/>
      <c r="BR193" s="62" t="n"/>
      <c r="BS193" s="62" t="n"/>
      <c r="BT193" s="62" t="n"/>
      <c r="BU193" s="12" t="n"/>
      <c r="BV193" s="12" t="n"/>
      <c r="BW193" s="62" t="n"/>
      <c r="BX193" s="62" t="n"/>
      <c r="BY193" s="62" t="n"/>
      <c r="BZ193" s="12" t="n"/>
      <c r="CA193" s="12" t="n"/>
      <c r="CB193" s="62" t="n"/>
      <c r="CC193" s="62" t="n"/>
      <c r="CD193" s="62" t="n"/>
      <c r="CE193" s="12" t="n"/>
      <c r="CF193" s="12" t="n"/>
      <c r="CG193" s="62" t="n"/>
      <c r="CH193" s="62" t="n"/>
      <c r="CI193" s="62" t="n"/>
      <c r="CJ193" s="12" t="n"/>
      <c r="CK193" s="12" t="n"/>
      <c r="CL193" s="62" t="n"/>
      <c r="CM193" s="62" t="n"/>
      <c r="CN193" s="62" t="n"/>
      <c r="CO193" s="12" t="n"/>
      <c r="CP193" s="12" t="n"/>
      <c r="CQ193" s="62" t="n"/>
      <c r="CR193" s="62" t="n"/>
      <c r="CS193" s="62" t="n"/>
      <c r="CT193" s="12" t="n"/>
      <c r="CU193" s="12" t="n"/>
      <c r="CV193" s="62" t="n"/>
      <c r="CW193" s="62" t="n"/>
      <c r="CX193" s="62" t="n"/>
      <c r="CY193" s="12" t="n"/>
    </row>
    <row r="194" hidden="1" outlineLevel="1">
      <c r="C194" s="57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57" t="inlineStr">
        <is>
          <t>Reclassification of LTD to CP of LTD</t>
        </is>
      </c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>
        <f>-AI193</f>
        <v>0</v>
      </c>
      <c r="AJ195" s="12">
        <f>-AJ193</f>
        <v>0</v>
      </c>
      <c r="AK195" s="12">
        <f>-AK193</f>
        <v>0</v>
      </c>
      <c r="AL195" s="12" t="n"/>
      <c r="AM195" s="12" t="n"/>
      <c r="AN195" s="12">
        <f>-AN193</f>
        <v>0</v>
      </c>
      <c r="AO195" s="12">
        <f>-AO193</f>
        <v>0</v>
      </c>
      <c r="AP195" s="12">
        <f>-AP193</f>
        <v>0</v>
      </c>
      <c r="AQ195" s="12" t="n"/>
      <c r="AR195" s="12" t="n"/>
      <c r="AS195" s="12">
        <f>-AS193</f>
        <v>0</v>
      </c>
      <c r="AT195" s="12">
        <f>-AT193</f>
        <v>0</v>
      </c>
      <c r="AU195" s="12">
        <f>-AU193</f>
        <v>0</v>
      </c>
      <c r="AV195" s="12" t="n"/>
      <c r="AW195" s="12" t="n"/>
      <c r="AX195" s="12">
        <f>-AX193</f>
        <v>0</v>
      </c>
      <c r="AY195" s="12">
        <f>-AY193</f>
        <v>0</v>
      </c>
      <c r="AZ195" s="12">
        <f>-AZ193</f>
        <v>0</v>
      </c>
      <c r="BA195" s="12" t="n"/>
      <c r="BB195" s="12" t="n"/>
      <c r="BC195" s="12">
        <f>-BC193</f>
        <v>0</v>
      </c>
      <c r="BD195" s="12">
        <f>-BD193</f>
        <v>0</v>
      </c>
      <c r="BE195" s="12">
        <f>-BE193</f>
        <v>0</v>
      </c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inlineStr">
        <is>
          <t>Discretionary (paydown)/borrowing of long term debt</t>
        </is>
      </c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62" t="n"/>
      <c r="AI196" s="62" t="n"/>
      <c r="AJ196" s="62" t="n"/>
      <c r="AK196" s="62" t="n"/>
      <c r="AL196" s="12" t="n"/>
      <c r="AM196" s="62" t="n"/>
      <c r="AN196" s="62" t="n"/>
      <c r="AO196" s="62" t="n"/>
      <c r="AP196" s="62" t="n"/>
      <c r="AQ196" s="12" t="n"/>
      <c r="AR196" s="62" t="n"/>
      <c r="AS196" s="62" t="n"/>
      <c r="AT196" s="62" t="n"/>
      <c r="AU196" s="62" t="n"/>
      <c r="AV196" s="12" t="n"/>
      <c r="AW196" s="62" t="n"/>
      <c r="AX196" s="62" t="n"/>
      <c r="AY196" s="62" t="n"/>
      <c r="AZ196" s="62" t="n"/>
      <c r="BA196" s="12" t="n"/>
      <c r="BB196" s="62" t="n"/>
      <c r="BC196" s="62" t="n"/>
      <c r="BD196" s="62" t="n"/>
      <c r="BE196" s="62" t="n"/>
      <c r="BF196" s="12" t="n"/>
      <c r="BG196" s="62" t="n"/>
      <c r="BH196" s="62" t="n"/>
      <c r="BI196" s="62" t="n"/>
      <c r="BJ196" s="62" t="n"/>
      <c r="BK196" s="12" t="n"/>
      <c r="BL196" s="62" t="n"/>
      <c r="BM196" s="62" t="n"/>
      <c r="BN196" s="62" t="n"/>
      <c r="BO196" s="62" t="n"/>
      <c r="BP196" s="12" t="n"/>
      <c r="BQ196" s="62" t="n"/>
      <c r="BR196" s="62" t="n"/>
      <c r="BS196" s="62" t="n"/>
      <c r="BT196" s="62" t="n"/>
      <c r="BU196" s="12" t="n"/>
      <c r="BV196" s="62" t="n"/>
      <c r="BW196" s="62" t="n"/>
      <c r="BX196" s="62" t="n"/>
      <c r="BY196" s="62" t="n"/>
      <c r="BZ196" s="12" t="n"/>
      <c r="CA196" s="62" t="n"/>
      <c r="CB196" s="62" t="n"/>
      <c r="CC196" s="62" t="n"/>
      <c r="CD196" s="62" t="n"/>
      <c r="CE196" s="12" t="n"/>
      <c r="CF196" s="62" t="n"/>
      <c r="CG196" s="62" t="n"/>
      <c r="CH196" s="62" t="n"/>
      <c r="CI196" s="62" t="n"/>
      <c r="CJ196" s="12" t="n"/>
      <c r="CK196" s="62" t="n"/>
      <c r="CL196" s="62" t="n"/>
      <c r="CM196" s="62" t="n"/>
      <c r="CN196" s="62" t="n"/>
      <c r="CO196" s="12" t="n"/>
      <c r="CP196" s="62" t="n"/>
      <c r="CQ196" s="62" t="n"/>
      <c r="CR196" s="62" t="n"/>
      <c r="CS196" s="62" t="n"/>
      <c r="CT196" s="12" t="n"/>
      <c r="CU196" s="62" t="n"/>
      <c r="CV196" s="62" t="n"/>
      <c r="CW196" s="62" t="n"/>
      <c r="CX196" s="62" t="n"/>
      <c r="CY196" s="12" t="n"/>
    </row>
    <row r="197" hidden="1" outlineLevel="1">
      <c r="C197" s="57" t="inlineStr">
        <is>
          <t>Long term debt</t>
        </is>
      </c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>
        <f>AH191</f>
        <v>0</v>
      </c>
      <c r="AI197" s="12">
        <f>AI191</f>
        <v>0</v>
      </c>
      <c r="AJ197" s="12">
        <f>AI197+SUM(AJ195:AJ196)</f>
        <v>0</v>
      </c>
      <c r="AK197" s="12">
        <f>AJ197+SUM(AK195:AK196)</f>
        <v>0</v>
      </c>
      <c r="AL197" s="12" t="n"/>
      <c r="AM197" s="12">
        <f>AK197+SUM(AM195:AM196)</f>
        <v>0</v>
      </c>
      <c r="AN197" s="12">
        <f>AM197+SUM(AN195:AN196)</f>
        <v>0</v>
      </c>
      <c r="AO197" s="12">
        <f>AN197+SUM(AO195:AO196)</f>
        <v>0</v>
      </c>
      <c r="AP197" s="12">
        <f>AO197+SUM(AP195:AP196)</f>
        <v>0</v>
      </c>
      <c r="AQ197" s="12" t="n"/>
      <c r="AR197" s="12">
        <f>AP197+SUM(AR195:AR196)</f>
        <v>0</v>
      </c>
      <c r="AS197" s="12">
        <f>AR197+SUM(AS195:AS196)</f>
        <v>0</v>
      </c>
      <c r="AT197" s="12">
        <f>AS197+SUM(AT195:AT196)</f>
        <v>0</v>
      </c>
      <c r="AU197" s="12">
        <f>AT197+SUM(AU195:AU196)</f>
        <v>0</v>
      </c>
      <c r="AV197" s="12" t="n"/>
      <c r="AW197" s="12">
        <f>AU197+SUM(AW195:AW196)</f>
        <v>0</v>
      </c>
      <c r="AX197" s="12">
        <f>AW197+SUM(AX195:AX196)</f>
        <v>0</v>
      </c>
      <c r="AY197" s="12">
        <f>AX197+SUM(AY195:AY196)</f>
        <v>0</v>
      </c>
      <c r="AZ197" s="12">
        <f>AY197+SUM(AZ195:AZ196)</f>
        <v>0</v>
      </c>
      <c r="BA197" s="12" t="n"/>
      <c r="BB197" s="12">
        <f>AZ197+SUM(BB195:BB196)</f>
        <v>0</v>
      </c>
      <c r="BC197" s="12">
        <f>BB197+SUM(BC195:BC196)</f>
        <v>0</v>
      </c>
      <c r="BD197" s="12">
        <f>BC197+SUM(BD195:BD196)</f>
        <v>0</v>
      </c>
      <c r="BE197" s="12">
        <f>BD197+SUM(BE195:BE196)</f>
        <v>0</v>
      </c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  <c r="CN197" s="12" t="n"/>
      <c r="CO197" s="12" t="n"/>
      <c r="CP197" s="12" t="n"/>
      <c r="CQ197" s="12" t="n"/>
      <c r="CR197" s="12" t="n"/>
      <c r="CS197" s="12" t="n"/>
      <c r="CT197" s="12" t="n"/>
      <c r="CU197" s="12" t="n"/>
      <c r="CV197" s="12" t="n"/>
      <c r="CW197" s="12" t="n"/>
      <c r="CX197" s="12" t="n"/>
      <c r="CY197" s="12" t="n"/>
    </row>
    <row r="198" hidden="1" outlineLevel="1">
      <c r="C198" s="57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Discretionary (paydown)/borrowing of convertible debt</t>
        </is>
      </c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62" t="n"/>
      <c r="AI199" s="62" t="n"/>
      <c r="AJ199" s="62" t="n"/>
      <c r="AK199" s="62" t="n"/>
      <c r="AL199" s="12" t="n"/>
      <c r="AM199" s="62" t="n"/>
      <c r="AN199" s="62" t="n"/>
      <c r="AO199" s="62" t="n"/>
      <c r="AP199" s="62" t="n"/>
      <c r="AQ199" s="12" t="n"/>
      <c r="AR199" s="62" t="n"/>
      <c r="AS199" s="62" t="n"/>
      <c r="AT199" s="62" t="n"/>
      <c r="AU199" s="62" t="n"/>
      <c r="AV199" s="12" t="n"/>
      <c r="AW199" s="62" t="n"/>
      <c r="AX199" s="62" t="n"/>
      <c r="AY199" s="62" t="n"/>
      <c r="AZ199" s="62" t="n"/>
      <c r="BA199" s="12" t="n"/>
      <c r="BB199" s="62" t="n"/>
      <c r="BC199" s="62" t="n"/>
      <c r="BD199" s="62" t="n"/>
      <c r="BE199" s="62" t="n"/>
      <c r="BF199" s="12" t="n"/>
      <c r="BG199" s="62" t="n"/>
      <c r="BH199" s="62" t="n"/>
      <c r="BI199" s="62" t="n"/>
      <c r="BJ199" s="62" t="n"/>
      <c r="BK199" s="12" t="n"/>
      <c r="BL199" s="62" t="n"/>
      <c r="BM199" s="62" t="n"/>
      <c r="BN199" s="62" t="n"/>
      <c r="BO199" s="62" t="n"/>
      <c r="BP199" s="12" t="n"/>
      <c r="BQ199" s="62" t="n"/>
      <c r="BR199" s="62" t="n"/>
      <c r="BS199" s="62" t="n"/>
      <c r="BT199" s="62" t="n"/>
      <c r="BU199" s="12" t="n"/>
      <c r="BV199" s="62" t="n"/>
      <c r="BW199" s="62" t="n"/>
      <c r="BX199" s="62" t="n"/>
      <c r="BY199" s="62" t="n"/>
      <c r="BZ199" s="12" t="n"/>
      <c r="CA199" s="62" t="n"/>
      <c r="CB199" s="62" t="n"/>
      <c r="CC199" s="62" t="n"/>
      <c r="CD199" s="62" t="n"/>
      <c r="CE199" s="12" t="n"/>
      <c r="CF199" s="62" t="n"/>
      <c r="CG199" s="62" t="n"/>
      <c r="CH199" s="62" t="n"/>
      <c r="CI199" s="62" t="n"/>
      <c r="CJ199" s="12" t="n"/>
      <c r="CK199" s="62" t="n"/>
      <c r="CL199" s="62" t="n"/>
      <c r="CM199" s="62" t="n"/>
      <c r="CN199" s="62" t="n"/>
      <c r="CO199" s="12" t="n"/>
      <c r="CP199" s="62" t="n"/>
      <c r="CQ199" s="62" t="n"/>
      <c r="CR199" s="62" t="n"/>
      <c r="CS199" s="62" t="n"/>
      <c r="CT199" s="12" t="n"/>
      <c r="CU199" s="62" t="n"/>
      <c r="CV199" s="62" t="n"/>
      <c r="CW199" s="62" t="n"/>
      <c r="CX199" s="62" t="n"/>
      <c r="CY199" s="12" t="n"/>
    </row>
    <row r="200" hidden="1" outlineLevel="1">
      <c r="C200" s="57" t="inlineStr">
        <is>
          <t>Convertible debt</t>
        </is>
      </c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>
        <f>AH212</f>
        <v>0</v>
      </c>
      <c r="AI200" s="12">
        <f>AH200+SUM(AI199)</f>
        <v>0</v>
      </c>
      <c r="AJ200" s="12">
        <f>AI200+SUM(AJ199)</f>
        <v>0</v>
      </c>
      <c r="AK200" s="12">
        <f>AJ200+SUM(AK199)</f>
        <v>0</v>
      </c>
      <c r="AL200" s="12" t="n"/>
      <c r="AM200" s="12">
        <f>AM212</f>
        <v>0</v>
      </c>
      <c r="AN200" s="12">
        <f>AM200+SUM(AN199)</f>
        <v>0</v>
      </c>
      <c r="AO200" s="12">
        <f>AN200+SUM(AO199)</f>
        <v>0</v>
      </c>
      <c r="AP200" s="12">
        <f>AO200+SUM(AP199)</f>
        <v>0</v>
      </c>
      <c r="AQ200" s="12" t="n"/>
      <c r="AR200" s="12">
        <f>AR212</f>
        <v>0</v>
      </c>
      <c r="AS200" s="12">
        <f>AR200+SUM(AS199)</f>
        <v>0</v>
      </c>
      <c r="AT200" s="12">
        <f>AS200+SUM(AT199)</f>
        <v>0</v>
      </c>
      <c r="AU200" s="12">
        <f>AT200+SUM(AU199)</f>
        <v>0</v>
      </c>
      <c r="AV200" s="12" t="n"/>
      <c r="AW200" s="12">
        <f>AW212</f>
        <v>0</v>
      </c>
      <c r="AX200" s="12">
        <f>AW200+SUM(AX199)</f>
        <v>0</v>
      </c>
      <c r="AY200" s="12">
        <f>AX200+SUM(AY199)</f>
        <v>0</v>
      </c>
      <c r="AZ200" s="12">
        <f>AY200+SUM(AZ199)</f>
        <v>0</v>
      </c>
      <c r="BA200" s="12" t="n"/>
      <c r="BB200" s="12">
        <f>BB212</f>
        <v>0</v>
      </c>
      <c r="BC200" s="12">
        <f>BB200+SUM(BC199)</f>
        <v>0</v>
      </c>
      <c r="BD200" s="12">
        <f>BC200+SUM(BD199)</f>
        <v>0</v>
      </c>
      <c r="BE200" s="12">
        <f>BD200+SUM(BE199)</f>
        <v>0</v>
      </c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I201" s="12" t="n"/>
      <c r="AJ201" s="12" t="n"/>
      <c r="AK201" s="12" t="n"/>
      <c r="AL201" s="12" t="n"/>
      <c r="AN201" s="12" t="n"/>
      <c r="AO201" s="12" t="n"/>
      <c r="AP201" s="12" t="n"/>
      <c r="AQ201" s="12" t="n"/>
      <c r="AS201" s="12" t="n"/>
      <c r="AT201" s="12" t="n"/>
      <c r="AU201" s="12" t="n"/>
      <c r="AV201" s="12" t="n"/>
      <c r="AX201" s="12" t="n"/>
      <c r="AY201" s="12" t="n"/>
      <c r="AZ201" s="12" t="n"/>
      <c r="BA201" s="12" t="n"/>
      <c r="BC201" s="12" t="n"/>
      <c r="BD201" s="12" t="n"/>
      <c r="BE201" s="12" t="n"/>
      <c r="BF201" s="12" t="n"/>
      <c r="BH201" s="12" t="n"/>
      <c r="BI201" s="12" t="n"/>
      <c r="BJ201" s="12" t="n"/>
      <c r="BK201" s="12" t="n"/>
      <c r="BM201" s="12" t="n"/>
      <c r="BN201" s="12" t="n"/>
      <c r="BO201" s="12" t="n"/>
      <c r="BP201" s="12" t="n"/>
      <c r="BR201" s="12" t="n"/>
      <c r="BS201" s="12" t="n"/>
      <c r="BT201" s="12" t="n"/>
      <c r="BU201" s="12" t="n"/>
      <c r="BW201" s="12" t="n"/>
      <c r="BX201" s="12" t="n"/>
      <c r="BY201" s="12" t="n"/>
      <c r="BZ201" s="12" t="n"/>
      <c r="CB201" s="12" t="n"/>
      <c r="CC201" s="12" t="n"/>
      <c r="CD201" s="12" t="n"/>
      <c r="CE201" s="12" t="n"/>
      <c r="CG201" s="12" t="n"/>
      <c r="CH201" s="12" t="n"/>
      <c r="CI201" s="12" t="n"/>
      <c r="CJ201" s="12" t="n"/>
      <c r="CL201" s="12" t="n"/>
      <c r="CM201" s="12" t="n"/>
      <c r="CN201" s="12" t="n"/>
      <c r="CO201" s="12" t="n"/>
      <c r="CQ201" s="12" t="n"/>
      <c r="CR201" s="12" t="n"/>
      <c r="CS201" s="12" t="n"/>
      <c r="CT201" s="12" t="n"/>
      <c r="CV201" s="12" t="n"/>
      <c r="CW201" s="12" t="n"/>
      <c r="CX201" s="12" t="n"/>
      <c r="CY201" s="12" t="n"/>
    </row>
    <row r="202" hidden="1" outlineLevel="1">
      <c r="C202" s="57" t="inlineStr">
        <is>
          <t>Calculation of short term debt</t>
        </is>
      </c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7" t="inlineStr">
        <is>
          <t>Cash @ beginning of the period (end of last period)</t>
        </is>
      </c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63">
        <f>AG118</f>
        <v>2631.241</v>
      </c>
      <c r="AI203" s="12" t="n"/>
      <c r="AJ203" s="12" t="n"/>
      <c r="AK203" s="12" t="n"/>
      <c r="AL203" s="12" t="n"/>
      <c r="AM203" s="63">
        <f>AL118</f>
        <v>6314.45470911673</v>
      </c>
      <c r="AN203" s="12" t="n"/>
      <c r="AO203" s="12" t="n"/>
      <c r="AP203" s="12" t="n"/>
      <c r="AQ203" s="12" t="n"/>
      <c r="AR203" s="63">
        <f>AQ118</f>
        <v>15142.7751429075</v>
      </c>
      <c r="AS203" s="12" t="n"/>
      <c r="AT203" s="12" t="n"/>
      <c r="AU203" s="12" t="n"/>
      <c r="AV203" s="12" t="n"/>
      <c r="AW203" s="63">
        <f>AV118</f>
        <v>25303.6431398841</v>
      </c>
      <c r="AX203" s="12" t="n"/>
      <c r="AY203" s="12" t="n"/>
      <c r="AZ203" s="12" t="n"/>
      <c r="BA203" s="12" t="n"/>
      <c r="BB203" s="63">
        <f>BA118</f>
        <v>36947.3892216099</v>
      </c>
      <c r="BC203" s="12" t="n"/>
      <c r="BD203" s="12" t="n"/>
      <c r="BE203" s="12" t="n"/>
      <c r="BF203" s="12" t="n"/>
      <c r="BG203" s="63" t="n"/>
      <c r="BH203" s="12" t="n"/>
      <c r="BI203" s="12" t="n"/>
      <c r="BJ203" s="12" t="n"/>
      <c r="BK203" s="12" t="n"/>
      <c r="BL203" s="63" t="n"/>
      <c r="BM203" s="12" t="n"/>
      <c r="BN203" s="12" t="n"/>
      <c r="BO203" s="12" t="n"/>
      <c r="BP203" s="12" t="n"/>
      <c r="BQ203" s="63" t="n"/>
      <c r="BR203" s="12" t="n"/>
      <c r="BS203" s="12" t="n"/>
      <c r="BT203" s="12" t="n"/>
      <c r="BU203" s="12" t="n"/>
      <c r="BV203" s="63" t="n"/>
      <c r="BW203" s="12" t="n"/>
      <c r="BX203" s="12" t="n"/>
      <c r="BY203" s="12" t="n"/>
      <c r="BZ203" s="12" t="n"/>
      <c r="CA203" s="63" t="n"/>
      <c r="CB203" s="12" t="n"/>
      <c r="CC203" s="12" t="n"/>
      <c r="CD203" s="12" t="n"/>
      <c r="CE203" s="12" t="n"/>
      <c r="CF203" s="63" t="n"/>
      <c r="CG203" s="12" t="n"/>
      <c r="CH203" s="12" t="n"/>
      <c r="CI203" s="12" t="n"/>
      <c r="CJ203" s="12" t="n"/>
      <c r="CK203" s="63" t="n"/>
      <c r="CL203" s="12" t="n"/>
      <c r="CM203" s="12" t="n"/>
      <c r="CN203" s="12" t="n"/>
      <c r="CO203" s="12" t="n"/>
      <c r="CP203" s="63" t="n"/>
      <c r="CQ203" s="12" t="n"/>
      <c r="CR203" s="12" t="n"/>
      <c r="CS203" s="12" t="n"/>
      <c r="CT203" s="12" t="n"/>
      <c r="CU203" s="63" t="n"/>
      <c r="CV203" s="12" t="n"/>
      <c r="CW203" s="12" t="n"/>
      <c r="CX203" s="12" t="n"/>
      <c r="CY203" s="12" t="n"/>
    </row>
    <row r="204" hidden="1" outlineLevel="1">
      <c r="C204" s="57" t="inlineStr">
        <is>
          <t>Plus: Free cash flows prior to debt during period</t>
        </is>
      </c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inlineStr">
        <is>
          <t>% of sales</t>
        </is>
      </c>
      <c r="AH204" s="64">
        <f>(AH266+AH273)+SUM(AH276:AH282)</f>
        <v>-1114.19</v>
      </c>
      <c r="AI204" s="64">
        <f>(AI266+AI273)+SUM(AI276:AI282)</f>
        <v>-212.671999999999</v>
      </c>
      <c r="AJ204" s="64">
        <f>(AJ266+AJ273)+SUM(AJ276:AJ282)</f>
        <v>0</v>
      </c>
      <c r="AK204" s="64">
        <f>(AK266+AK273)+SUM(AK276:AK282)</f>
        <v>0</v>
      </c>
      <c r="AL204" s="12" t="n"/>
      <c r="AM204" s="64">
        <f>(AM266+AM273)+SUM(AM276:AM282)</f>
        <v>0</v>
      </c>
      <c r="AN204" s="64">
        <f>(AN266+AN273)+SUM(AN276:AN282)</f>
        <v>0</v>
      </c>
      <c r="AO204" s="64">
        <f>(AO266+AO273)+SUM(AO276:AO282)</f>
        <v>0</v>
      </c>
      <c r="AP204" s="64">
        <f>(AP266+AP273)+SUM(AP276:AP282)</f>
        <v>0</v>
      </c>
      <c r="AQ204" s="12" t="n"/>
      <c r="AR204" s="64">
        <f>(AR266+AR273)+SUM(AR276:AR282)</f>
        <v>0</v>
      </c>
      <c r="AS204" s="64">
        <f>(AS266+AS273)+SUM(AS276:AS282)</f>
        <v>0</v>
      </c>
      <c r="AT204" s="64">
        <f>(AT266+AT273)+SUM(AT276:AT282)</f>
        <v>0</v>
      </c>
      <c r="AU204" s="64">
        <f>(AU266+AU273)+SUM(AU276:AU282)</f>
        <v>0</v>
      </c>
      <c r="AV204" s="12" t="n"/>
      <c r="AW204" s="64">
        <f>(AW266+AW273)+SUM(AW276:AW282)</f>
        <v>0</v>
      </c>
      <c r="AX204" s="64">
        <f>(AX266+AX273)+SUM(AX276:AX282)</f>
        <v>0</v>
      </c>
      <c r="AY204" s="64">
        <f>(AY266+AY273)+SUM(AY276:AY282)</f>
        <v>0</v>
      </c>
      <c r="AZ204" s="64">
        <f>(AZ266+AZ273)+SUM(AZ276:AZ282)</f>
        <v>0</v>
      </c>
      <c r="BA204" s="12" t="n"/>
      <c r="BB204" s="64">
        <f>(BB266+BB273)+SUM(BB276:BB282)</f>
        <v>0</v>
      </c>
      <c r="BC204" s="64">
        <f>(BC266+BC273)+SUM(BC276:BC282)</f>
        <v>0</v>
      </c>
      <c r="BD204" s="64">
        <f>(BD266+BD273)+SUM(BD276:BD282)</f>
        <v>0</v>
      </c>
      <c r="BE204" s="64">
        <f>(BE266+BE273)+SUM(BE276:BE282)</f>
        <v>0</v>
      </c>
      <c r="BF204" s="12" t="n"/>
      <c r="BG204" s="64" t="n"/>
      <c r="BH204" s="64" t="n"/>
      <c r="BI204" s="64" t="n"/>
      <c r="BJ204" s="64" t="n"/>
      <c r="BK204" s="12" t="n"/>
      <c r="BL204" s="64" t="n"/>
      <c r="BM204" s="64" t="n"/>
      <c r="BN204" s="64" t="n"/>
      <c r="BO204" s="64" t="n"/>
      <c r="BP204" s="12" t="n"/>
      <c r="BQ204" s="64" t="n"/>
      <c r="BR204" s="64" t="n"/>
      <c r="BS204" s="64" t="n"/>
      <c r="BT204" s="64" t="n"/>
      <c r="BU204" s="12" t="n"/>
      <c r="BV204" s="64" t="n"/>
      <c r="BW204" s="64" t="n"/>
      <c r="BX204" s="64" t="n"/>
      <c r="BY204" s="64" t="n"/>
      <c r="BZ204" s="12" t="n"/>
      <c r="CA204" s="64" t="n"/>
      <c r="CB204" s="64" t="n"/>
      <c r="CC204" s="64" t="n"/>
      <c r="CD204" s="64" t="n"/>
      <c r="CE204" s="12" t="n"/>
      <c r="CF204" s="64" t="n"/>
      <c r="CG204" s="64" t="n"/>
      <c r="CH204" s="64" t="n"/>
      <c r="CI204" s="64" t="n"/>
      <c r="CJ204" s="12" t="n"/>
      <c r="CK204" s="64" t="n"/>
      <c r="CL204" s="64" t="n"/>
      <c r="CM204" s="64" t="n"/>
      <c r="CN204" s="64" t="n"/>
      <c r="CO204" s="12" t="n"/>
      <c r="CP204" s="64" t="n"/>
      <c r="CQ204" s="64" t="n"/>
      <c r="CR204" s="64" t="n"/>
      <c r="CS204" s="64" t="n"/>
      <c r="CT204" s="12" t="n"/>
      <c r="CU204" s="64" t="n"/>
      <c r="CV204" s="64" t="n"/>
      <c r="CW204" s="64" t="n"/>
      <c r="CX204" s="64" t="n"/>
      <c r="CY204" s="12" t="n"/>
    </row>
    <row r="205" hidden="1" outlineLevel="1">
      <c r="C205" s="57" t="inlineStr">
        <is>
          <t>Less: Minimum cash balance</t>
        </is>
      </c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52" t="n"/>
      <c r="AH205" s="12">
        <f>($AG$205*AH15)</f>
        <v>0</v>
      </c>
      <c r="AI205" s="12">
        <f>($AG$205*AI15)</f>
        <v>0</v>
      </c>
      <c r="AJ205" s="12">
        <f>($AG$205*AJ15)</f>
        <v>0</v>
      </c>
      <c r="AK205" s="12">
        <f>($AG$205*AK15)</f>
        <v>0</v>
      </c>
      <c r="AL205" s="12" t="n"/>
      <c r="AM205" s="12">
        <f>($AG$205*AM15)</f>
        <v>0</v>
      </c>
      <c r="AN205" s="12">
        <f>($AG$205*AN15)</f>
        <v>0</v>
      </c>
      <c r="AO205" s="12">
        <f>($AG$205*AO15)</f>
        <v>0</v>
      </c>
      <c r="AP205" s="12">
        <f>($AG$205*AP15)</f>
        <v>0</v>
      </c>
      <c r="AQ205" s="12" t="n"/>
      <c r="AR205" s="12">
        <f>($AG$205*AR15)</f>
        <v>0</v>
      </c>
      <c r="AS205" s="12">
        <f>($AG$205*AS15)</f>
        <v>0</v>
      </c>
      <c r="AT205" s="12">
        <f>($AG$205*AT15)</f>
        <v>0</v>
      </c>
      <c r="AU205" s="12">
        <f>($AG$205*AU15)</f>
        <v>0</v>
      </c>
      <c r="AV205" s="12" t="n"/>
      <c r="AW205" s="12">
        <f>($AG$205*AW15)</f>
        <v>0</v>
      </c>
      <c r="AX205" s="12">
        <f>($AG$205*AX15)</f>
        <v>0</v>
      </c>
      <c r="AY205" s="12">
        <f>($AG$205*AY15)</f>
        <v>0</v>
      </c>
      <c r="AZ205" s="12">
        <f>($AG$205*AZ15)</f>
        <v>0</v>
      </c>
      <c r="BA205" s="12" t="n"/>
      <c r="BB205" s="12">
        <f>($AG$205*BB15)</f>
        <v>0</v>
      </c>
      <c r="BC205" s="12">
        <f>($AG$205*BC15)</f>
        <v>0</v>
      </c>
      <c r="BD205" s="12">
        <f>($AG$205*BD15)</f>
        <v>0</v>
      </c>
      <c r="BE205" s="12">
        <f>($AG$205*BE15)</f>
        <v>0</v>
      </c>
      <c r="BF205" s="12" t="n"/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7" t="inlineStr">
        <is>
          <t>Total cash available / (debt required) for short term debt paydown</t>
        </is>
      </c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3">
        <f>AH203+AH204-AH205-AF193+AH195+AH199</f>
        <v>1517.051</v>
      </c>
      <c r="AI206" s="3">
        <f>AI203+AI204-AI205-AG193+AI195+AI199</f>
        <v>-212.671999999999</v>
      </c>
      <c r="AJ206" s="3">
        <f>AJ203+AJ204-AJ205-AH193+AJ195+AJ199</f>
        <v>0</v>
      </c>
      <c r="AK206" s="3">
        <f>AK203+AK204-AK205-AI193+AK195+AK199</f>
        <v>0</v>
      </c>
      <c r="AL206" s="12" t="n"/>
      <c r="AM206" s="3">
        <f>AM203+AM204-AM205-AK193+AM195+AM199</f>
        <v>6314.45470911673</v>
      </c>
      <c r="AN206" s="3">
        <f>AN203+AN204-AN205-AL193+AN195+AN199</f>
        <v>0</v>
      </c>
      <c r="AO206" s="3">
        <f>AO203+AO204-AO205-AM193+AO195+AO199</f>
        <v>0</v>
      </c>
      <c r="AP206" s="3">
        <f>AP203+AP204-AP205-AN193+AP195+AP199</f>
        <v>0</v>
      </c>
      <c r="AQ206" s="12" t="n"/>
      <c r="AR206" s="3">
        <f>AR203+AR204-AR205-AP193+AR195+AR199</f>
        <v>15142.7751429075</v>
      </c>
      <c r="AS206" s="3">
        <f>AS203+AS204-AS205-AQ193+AS195+AS199</f>
        <v>0</v>
      </c>
      <c r="AT206" s="3">
        <f>AT203+AT204-AT205-AR193+AT195+AT199</f>
        <v>0</v>
      </c>
      <c r="AU206" s="3">
        <f>AU203+AU204-AU205-AS193+AU195+AU199</f>
        <v>0</v>
      </c>
      <c r="AV206" s="12" t="n"/>
      <c r="AW206" s="3">
        <f>AW203+AW204-AW205-AU193+AW195+AW199</f>
        <v>25303.6431398841</v>
      </c>
      <c r="AX206" s="3">
        <f>AX203+AX204-AX205-AV193+AX195+AX199</f>
        <v>0</v>
      </c>
      <c r="AY206" s="3">
        <f>AY203+AY204-AY205-AW193+AY195+AY199</f>
        <v>0</v>
      </c>
      <c r="AZ206" s="3">
        <f>AZ203+AZ204-AZ205-AX193+AZ195+AZ199</f>
        <v>0</v>
      </c>
      <c r="BA206" s="12" t="n"/>
      <c r="BB206" s="3">
        <f>BB203+BB204-BB205-AZ193+BB195+BB199</f>
        <v>36947.3892216099</v>
      </c>
      <c r="BC206" s="3">
        <f>BC203+BC204-BC205-BA193+BC195+BC199</f>
        <v>0</v>
      </c>
      <c r="BD206" s="3">
        <f>BD203+BD204-BD205-BB193+BD195+BD199</f>
        <v>0</v>
      </c>
      <c r="BE206" s="3">
        <f>BE203+BE204-BE205-BC193+BE195+BE199</f>
        <v>0</v>
      </c>
      <c r="BF206" s="12" t="n"/>
      <c r="BG206" s="3" t="n"/>
      <c r="BH206" s="3" t="n"/>
      <c r="BI206" s="3" t="n"/>
      <c r="BJ206" s="3" t="n"/>
      <c r="BK206" s="12" t="n"/>
      <c r="BL206" s="3" t="n"/>
      <c r="BM206" s="3" t="n"/>
      <c r="BN206" s="3" t="n"/>
      <c r="BO206" s="3" t="n"/>
      <c r="BP206" s="12" t="n"/>
      <c r="BQ206" s="3" t="n"/>
      <c r="BR206" s="3" t="n"/>
      <c r="BS206" s="3" t="n"/>
      <c r="BT206" s="3" t="n"/>
      <c r="BU206" s="12" t="n"/>
      <c r="BV206" s="3" t="n"/>
      <c r="BW206" s="3" t="n"/>
      <c r="BX206" s="3" t="n"/>
      <c r="BY206" s="3" t="n"/>
      <c r="BZ206" s="12" t="n"/>
      <c r="CA206" s="3" t="n"/>
      <c r="CB206" s="3" t="n"/>
      <c r="CC206" s="3" t="n"/>
      <c r="CD206" s="3" t="n"/>
      <c r="CE206" s="12" t="n"/>
      <c r="CF206" s="3" t="n"/>
      <c r="CG206" s="3" t="n"/>
      <c r="CH206" s="3" t="n"/>
      <c r="CI206" s="3" t="n"/>
      <c r="CJ206" s="12" t="n"/>
      <c r="CK206" s="3" t="n"/>
      <c r="CL206" s="3" t="n"/>
      <c r="CM206" s="3" t="n"/>
      <c r="CN206" s="3" t="n"/>
      <c r="CO206" s="12" t="n"/>
      <c r="CP206" s="3" t="n"/>
      <c r="CQ206" s="3" t="n"/>
      <c r="CR206" s="3" t="n"/>
      <c r="CS206" s="3" t="n"/>
      <c r="CT206" s="12" t="n"/>
      <c r="CU206" s="3" t="n"/>
      <c r="CV206" s="3" t="n"/>
      <c r="CW206" s="3" t="n"/>
      <c r="CX206" s="3" t="n"/>
      <c r="CY206" s="12" t="n"/>
    </row>
    <row r="207" hidden="1" outlineLevel="1">
      <c r="C207" s="57" t="inlineStr">
        <is>
          <t>Short term debt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>
        <f>AH187</f>
        <v>0</v>
      </c>
      <c r="AI207" s="12">
        <f>MAX(0,AH207-AI206)</f>
        <v>212.671999999999</v>
      </c>
      <c r="AJ207" s="12">
        <f>MAX(0,AI207-AJ206)</f>
        <v>212.671999999999</v>
      </c>
      <c r="AK207" s="12">
        <f>MAX(0,AJ207-AK206)</f>
        <v>212.671999999999</v>
      </c>
      <c r="AL207" s="12" t="n"/>
      <c r="AM207" s="12">
        <f>AM187</f>
        <v>0</v>
      </c>
      <c r="AN207" s="12">
        <f>MAX(0,AM207-AN206)</f>
        <v>0</v>
      </c>
      <c r="AO207" s="12">
        <f>MAX(0,AN207-AO206)</f>
        <v>0</v>
      </c>
      <c r="AP207" s="12">
        <f>MAX(0,AO207-AP206)</f>
        <v>0</v>
      </c>
      <c r="AQ207" s="12" t="n"/>
      <c r="AR207" s="12">
        <f>AR187</f>
        <v>0</v>
      </c>
      <c r="AS207" s="12">
        <f>MAX(0,AR207-AS206)</f>
        <v>0</v>
      </c>
      <c r="AT207" s="12">
        <f>MAX(0,AS207-AT206)</f>
        <v>0</v>
      </c>
      <c r="AU207" s="12">
        <f>MAX(0,AT207-AU206)</f>
        <v>0</v>
      </c>
      <c r="AV207" s="12" t="n"/>
      <c r="AW207" s="12">
        <f>AW187</f>
        <v>0</v>
      </c>
      <c r="AX207" s="12">
        <f>MAX(0,AW207-AX206)</f>
        <v>0</v>
      </c>
      <c r="AY207" s="12">
        <f>MAX(0,AX207-AY206)</f>
        <v>0</v>
      </c>
      <c r="AZ207" s="12">
        <f>MAX(0,AY207-AZ206)</f>
        <v>0</v>
      </c>
      <c r="BA207" s="12" t="n"/>
      <c r="BB207" s="12">
        <f>BB187</f>
        <v>0</v>
      </c>
      <c r="BC207" s="12">
        <f>MAX(0,BB207-BC206)</f>
        <v>0</v>
      </c>
      <c r="BD207" s="12">
        <f>MAX(0,BC207-BD206)</f>
        <v>0</v>
      </c>
      <c r="BE207" s="12">
        <f>MAX(0,BD207-BE206)</f>
        <v>0</v>
      </c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collapsed="1">
      <c r="C209" s="14" t="inlineStr">
        <is>
          <t>Long term operating leases</t>
        </is>
      </c>
      <c r="D209" s="46" t="n"/>
      <c r="E209" s="46" t="n"/>
      <c r="F209" s="46" t="n"/>
      <c r="G209" s="46" t="n"/>
      <c r="H209" s="12" t="n"/>
      <c r="I209" s="46">
        <f>'Inputs (2)'!D36</f>
        <v>0</v>
      </c>
      <c r="J209" s="46">
        <f>'Inputs (2)'!E36</f>
        <v>0</v>
      </c>
      <c r="K209" s="46">
        <f>'Inputs (2)'!F36</f>
        <v>0</v>
      </c>
      <c r="L209" s="46">
        <f>'Inputs (2)'!G36</f>
        <v>0</v>
      </c>
      <c r="M209" s="12">
        <f>'Inputs (2)'!H36</f>
        <v>0</v>
      </c>
      <c r="N209" s="46">
        <f>'Inputs (2)'!I36</f>
        <v>0</v>
      </c>
      <c r="O209" s="46">
        <f>'Inputs (2)'!J36</f>
        <v>0</v>
      </c>
      <c r="P209" s="46">
        <f>'Inputs (2)'!K36</f>
        <v>0</v>
      </c>
      <c r="Q209" s="46">
        <f>'Inputs (2)'!L36</f>
        <v>0</v>
      </c>
      <c r="R209" s="12">
        <f>'Inputs (2)'!M36</f>
        <v>0</v>
      </c>
      <c r="S209" s="46">
        <f>'Inputs (2)'!N36</f>
        <v>0</v>
      </c>
      <c r="T209" s="46">
        <f>'Inputs (2)'!O36</f>
        <v>0</v>
      </c>
      <c r="U209" s="46">
        <f>'Inputs (2)'!P36</f>
        <v>0</v>
      </c>
      <c r="V209" s="46">
        <f>'Inputs (2)'!Q36</f>
        <v>0</v>
      </c>
      <c r="W209" s="12">
        <f>'Inputs (2)'!R36</f>
        <v>0</v>
      </c>
      <c r="X209" s="46">
        <f>'Inputs (2)'!S36</f>
        <v>0</v>
      </c>
      <c r="Y209" s="46">
        <f>'Inputs (2)'!T36</f>
        <v>0</v>
      </c>
      <c r="Z209" s="46">
        <f>'Inputs (2)'!U36</f>
        <v>0</v>
      </c>
      <c r="AA209" s="46">
        <f>'Inputs (2)'!V36</f>
        <v>0</v>
      </c>
      <c r="AB209" s="12">
        <f>'Inputs (2)'!W36</f>
        <v>0</v>
      </c>
      <c r="AC209" s="46">
        <f>'Inputs (2)'!X36</f>
        <v>0</v>
      </c>
      <c r="AD209" s="46">
        <f>'Inputs (2)'!Y36</f>
        <v>0</v>
      </c>
      <c r="AE209" s="46">
        <f>'Inputs (2)'!Z36</f>
        <v>0</v>
      </c>
      <c r="AF209" s="46">
        <f>'Inputs (2)'!AA36</f>
        <v>0</v>
      </c>
      <c r="AG209" s="12">
        <f>'Inputs (2)'!AB36</f>
        <v>0</v>
      </c>
      <c r="AH209" s="12">
        <f>'Inputs (2)'!AC36</f>
        <v>0</v>
      </c>
      <c r="AI209" s="12">
        <f>'Inputs (2)'!AD36</f>
        <v>0</v>
      </c>
      <c r="AJ209" s="12">
        <f>AI209</f>
        <v>0</v>
      </c>
      <c r="AK209" s="12">
        <f>AJ209</f>
        <v>0</v>
      </c>
      <c r="AL209" s="12">
        <f>AK209</f>
        <v>0</v>
      </c>
      <c r="AM209" s="12">
        <f>AL209</f>
        <v>0</v>
      </c>
      <c r="AN209" s="12">
        <f>AM209</f>
        <v>0</v>
      </c>
      <c r="AO209" s="12">
        <f>AN209</f>
        <v>0</v>
      </c>
      <c r="AP209" s="12">
        <f>AO209</f>
        <v>0</v>
      </c>
      <c r="AQ209" s="12">
        <f>AP209</f>
        <v>0</v>
      </c>
      <c r="AR209" s="12">
        <f>AQ209</f>
        <v>0</v>
      </c>
      <c r="AS209" s="12">
        <f>AR209</f>
        <v>0</v>
      </c>
      <c r="AT209" s="12">
        <f>AS209</f>
        <v>0</v>
      </c>
      <c r="AU209" s="12">
        <f>AT209</f>
        <v>0</v>
      </c>
      <c r="AV209" s="12">
        <f>AU209</f>
        <v>0</v>
      </c>
      <c r="AW209" s="12">
        <f>AV209</f>
        <v>0</v>
      </c>
      <c r="AX209" s="12">
        <f>AW209</f>
        <v>0</v>
      </c>
      <c r="AY209" s="12">
        <f>AX209</f>
        <v>0</v>
      </c>
      <c r="AZ209" s="12">
        <f>AY209</f>
        <v>0</v>
      </c>
      <c r="BA209" s="12">
        <f>AZ209</f>
        <v>0</v>
      </c>
      <c r="BB209" s="12">
        <f>BA209</f>
        <v>0</v>
      </c>
      <c r="BC209" s="12">
        <f>BB209</f>
        <v>0</v>
      </c>
      <c r="BD209" s="12">
        <f>BC209</f>
        <v>0</v>
      </c>
      <c r="BE209" s="12">
        <f>BD209</f>
        <v>0</v>
      </c>
      <c r="BF209" s="12">
        <f>BE209</f>
        <v>0</v>
      </c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9" t="inlineStr">
        <is>
          <t>%(Var.)</t>
        </is>
      </c>
      <c r="D210" s="12" t="n"/>
      <c r="E210" s="40" t="n"/>
      <c r="F210" s="40" t="n"/>
      <c r="G210" s="40" t="n"/>
      <c r="H210" s="12" t="n"/>
      <c r="I210" s="40" t="str">
        <f>""</f>
        <v/>
      </c>
      <c r="J210" s="40" t="str">
        <f>IFERROR(IF(I209=0,"",J209/I209-1),"")</f>
        <v/>
      </c>
      <c r="K210" s="40" t="str">
        <f>IFERROR(IF(J209=0,"",K209/J209-1),"")</f>
        <v/>
      </c>
      <c r="L210" s="40" t="str">
        <f>IFERROR(IF(K209=0,"",L209/K209-1),"")</f>
        <v/>
      </c>
      <c r="M210" s="12" t="str">
        <f>IF(L209=0,"",M209/L209-1)</f>
        <v/>
      </c>
      <c r="N210" s="40" t="str">
        <f>IFERROR(IF(M209=0,"",N209/M209-1),"")</f>
        <v/>
      </c>
      <c r="O210" s="40" t="str">
        <f>IFERROR(IF(N209=0,"",O209/N209-1),"")</f>
        <v/>
      </c>
      <c r="P210" s="40" t="str">
        <f>IFERROR(IF(O209=0,"",P209/O209-1),"")</f>
        <v/>
      </c>
      <c r="Q210" s="40" t="str">
        <f>IFERROR(IF(P209=0,"",Q209/P209-1),"")</f>
        <v/>
      </c>
      <c r="R210" s="12" t="str">
        <f>IF(Q209=0,"",R209/Q209-1)</f>
        <v/>
      </c>
      <c r="S210" s="40" t="str">
        <f>IFERROR(IF(R209=0,"",S209/R209-1),"")</f>
        <v/>
      </c>
      <c r="T210" s="40" t="str">
        <f>IFERROR(IF(S209=0,"",T209/S209-1),"")</f>
        <v/>
      </c>
      <c r="U210" s="40" t="str">
        <f>IFERROR(IF(T209=0,"",U209/T209-1),"")</f>
        <v/>
      </c>
      <c r="V210" s="40" t="str">
        <f>IFERROR(IF(U209=0,"",V209/U209-1),"")</f>
        <v/>
      </c>
      <c r="W210" s="12" t="str">
        <f>IF(V209=0,"",W209/V209-1)</f>
        <v/>
      </c>
      <c r="X210" s="40" t="str">
        <f>IFERROR(IF(W209=0,"",X209/W209-1),"")</f>
        <v/>
      </c>
      <c r="Y210" s="40" t="str">
        <f>IFERROR(IF(X209=0,"",Y209/X209-1),"")</f>
        <v/>
      </c>
      <c r="Z210" s="40" t="str">
        <f>IFERROR(IF(Y209=0,"",Z209/Y209-1),"")</f>
        <v/>
      </c>
      <c r="AA210" s="40" t="str">
        <f>IFERROR(IF(Z209=0,"",AA209/Z209-1),"")</f>
        <v/>
      </c>
      <c r="AB210" s="12" t="str">
        <f>IF(AA209=0,"",AB209/AA209-1)</f>
        <v/>
      </c>
      <c r="AC210" s="40" t="str">
        <f>IFERROR(IF(AB209=0,"",AC209/AB209-1),"")</f>
        <v/>
      </c>
      <c r="AD210" s="40" t="str">
        <f>IFERROR(IF(AC209=0,"",AD209/AC209-1),"")</f>
        <v/>
      </c>
      <c r="AE210" s="40" t="str">
        <f>IFERROR(IF(AD209=0,"",AE209/AD209-1),"")</f>
        <v/>
      </c>
      <c r="AF210" s="41" t="str">
        <f>IFERROR(IF(AE209=0,"",AF209/AE209-1),"")</f>
        <v/>
      </c>
      <c r="AG210" s="12" t="str">
        <f>IF(AF209=0,"",AG209/AF209-1)</f>
        <v/>
      </c>
      <c r="AH210" s="11" t="str">
        <f>IFERROR(IF(AG209=0,"",AH209/AG209-1),"")</f>
        <v/>
      </c>
      <c r="AI210" s="11" t="str">
        <f>IFERROR(IF(AH209=0,"",AI209/AH209-1),"")</f>
        <v/>
      </c>
      <c r="AJ210" s="11" t="str">
        <f>IFERROR(IF(AI209=0,"",AJ209/AI209-1),"")</f>
        <v/>
      </c>
      <c r="AK210" s="11" t="str">
        <f>IFERROR(IF(AJ209=0,"",AK209/AJ209-1),"")</f>
        <v/>
      </c>
      <c r="AL210" s="12" t="str">
        <f>IFERROR(IF(AK209=0,"",AL209/AK209-1),"")</f>
        <v/>
      </c>
      <c r="AM210" s="11" t="str">
        <f>IFERROR(IF(AL209=0,"",AM209/AL209-1),"")</f>
        <v/>
      </c>
      <c r="AN210" s="11" t="str">
        <f>IFERROR(IF(AM209=0,"",AN209/AM209-1),"")</f>
        <v/>
      </c>
      <c r="AO210" s="11" t="str">
        <f>IFERROR(IF(AN209=0,"",AO209/AN209-1),"")</f>
        <v/>
      </c>
      <c r="AP210" s="11" t="str">
        <f>IFERROR(IF(AO209=0,"",AP209/AO209-1),"")</f>
        <v/>
      </c>
      <c r="AQ210" s="12" t="str">
        <f>IFERROR(IF(AP209=0,"",AQ209/AP209-1),"")</f>
        <v/>
      </c>
      <c r="AR210" s="11" t="str">
        <f>IFERROR(IF(AQ209=0,"",AR209/AQ209-1),"")</f>
        <v/>
      </c>
      <c r="AS210" s="11" t="str">
        <f>IFERROR(IF(AR209=0,"",AS209/AR209-1),"")</f>
        <v/>
      </c>
      <c r="AT210" s="11" t="str">
        <f>IFERROR(IF(AS209=0,"",AT209/AS209-1),"")</f>
        <v/>
      </c>
      <c r="AU210" s="11" t="str">
        <f>IFERROR(IF(AT209=0,"",AU209/AT209-1),"")</f>
        <v/>
      </c>
      <c r="AV210" s="12" t="str">
        <f>IFERROR(IF(AU209=0,"",AV209/AU209-1),"")</f>
        <v/>
      </c>
      <c r="AW210" s="11" t="str">
        <f>IFERROR(IF(AV209=0,"",AW209/AV209-1),"")</f>
        <v/>
      </c>
      <c r="AX210" s="11" t="str">
        <f>IFERROR(IF(AW209=0,"",AX209/AW209-1),"")</f>
        <v/>
      </c>
      <c r="AY210" s="11" t="str">
        <f>IFERROR(IF(AX209=0,"",AY209/AX209-1),"")</f>
        <v/>
      </c>
      <c r="AZ210" s="11" t="str">
        <f>IFERROR(IF(AY209=0,"",AZ209/AY209-1),"")</f>
        <v/>
      </c>
      <c r="BA210" s="12" t="str">
        <f>IFERROR(IF(AZ209=0,"",BA209/AZ209-1),"")</f>
        <v/>
      </c>
      <c r="BB210" s="11" t="str">
        <f>IFERROR(IF(BA209=0,"",BB209/BA209-1),"")</f>
        <v/>
      </c>
      <c r="BC210" s="11" t="str">
        <f>IFERROR(IF(BB209=0,"",BC209/BB209-1),"")</f>
        <v/>
      </c>
      <c r="BD210" s="11" t="str">
        <f>IFERROR(IF(BC209=0,"",BD209/BC209-1),"")</f>
        <v/>
      </c>
      <c r="BE210" s="11" t="str">
        <f>IFERROR(IF(BD209=0,"",BE209/BD209-1),"")</f>
        <v/>
      </c>
      <c r="BF210" s="12" t="str">
        <f>IFERROR(IF(BE209=0,"",BF209/BE209-1),"")</f>
        <v/>
      </c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Convertible debt</t>
        </is>
      </c>
      <c r="D212" s="46" t="n"/>
      <c r="E212" s="46" t="n"/>
      <c r="F212" s="46" t="n"/>
      <c r="G212" s="46" t="n"/>
      <c r="H212" s="12" t="n"/>
      <c r="I212" s="46">
        <f>'Inputs (2)'!D37</f>
        <v>0</v>
      </c>
      <c r="J212" s="46">
        <f>'Inputs (2)'!E37</f>
        <v>0</v>
      </c>
      <c r="K212" s="46">
        <f>'Inputs (2)'!F37</f>
        <v>0</v>
      </c>
      <c r="L212" s="46">
        <f>'Inputs (2)'!G37</f>
        <v>0</v>
      </c>
      <c r="M212" s="12">
        <f>'Inputs (2)'!H37</f>
        <v>0</v>
      </c>
      <c r="N212" s="46">
        <f>'Inputs (2)'!I37</f>
        <v>0</v>
      </c>
      <c r="O212" s="46">
        <f>'Inputs (2)'!J37</f>
        <v>0</v>
      </c>
      <c r="P212" s="46">
        <f>'Inputs (2)'!K37</f>
        <v>0</v>
      </c>
      <c r="Q212" s="46">
        <f>'Inputs (2)'!L37</f>
        <v>0</v>
      </c>
      <c r="R212" s="12">
        <f>'Inputs (2)'!M37</f>
        <v>0</v>
      </c>
      <c r="S212" s="46">
        <f>'Inputs (2)'!N37</f>
        <v>0</v>
      </c>
      <c r="T212" s="46">
        <f>'Inputs (2)'!O37</f>
        <v>0</v>
      </c>
      <c r="U212" s="46">
        <f>'Inputs (2)'!P37</f>
        <v>0</v>
      </c>
      <c r="V212" s="46">
        <f>'Inputs (2)'!Q37</f>
        <v>0</v>
      </c>
      <c r="W212" s="12">
        <f>'Inputs (2)'!R37</f>
        <v>0</v>
      </c>
      <c r="X212" s="46">
        <f>'Inputs (2)'!S37</f>
        <v>0</v>
      </c>
      <c r="Y212" s="46">
        <f>'Inputs (2)'!T37</f>
        <v>0</v>
      </c>
      <c r="Z212" s="46">
        <f>'Inputs (2)'!U37</f>
        <v>0</v>
      </c>
      <c r="AA212" s="46">
        <f>'Inputs (2)'!V37</f>
        <v>0</v>
      </c>
      <c r="AB212" s="12">
        <f>'Inputs (2)'!W37</f>
        <v>0</v>
      </c>
      <c r="AC212" s="46">
        <f>'Inputs (2)'!X37</f>
        <v>0</v>
      </c>
      <c r="AD212" s="46">
        <f>'Inputs (2)'!Y37</f>
        <v>0</v>
      </c>
      <c r="AE212" s="46">
        <f>'Inputs (2)'!Z37</f>
        <v>0</v>
      </c>
      <c r="AF212" s="46">
        <f>'Inputs (2)'!AA37</f>
        <v>0</v>
      </c>
      <c r="AG212" s="12">
        <f>'Inputs (2)'!AB37</f>
        <v>0</v>
      </c>
      <c r="AH212" s="12">
        <f>'Inputs (2)'!AC37</f>
        <v>0</v>
      </c>
      <c r="AI212" s="12">
        <f>'Inputs (2)'!AD37</f>
        <v>0</v>
      </c>
      <c r="AJ212" s="12">
        <f>AI212</f>
        <v>0</v>
      </c>
      <c r="AK212" s="12">
        <f>AJ212</f>
        <v>0</v>
      </c>
      <c r="AL212" s="12">
        <f>AK212</f>
        <v>0</v>
      </c>
      <c r="AM212" s="12">
        <f>AL212</f>
        <v>0</v>
      </c>
      <c r="AN212" s="12">
        <f>AM212</f>
        <v>0</v>
      </c>
      <c r="AO212" s="12">
        <f>AN212</f>
        <v>0</v>
      </c>
      <c r="AP212" s="12">
        <f>AO212</f>
        <v>0</v>
      </c>
      <c r="AQ212" s="12">
        <f>AP212</f>
        <v>0</v>
      </c>
      <c r="AR212" s="12">
        <f>AQ212</f>
        <v>0</v>
      </c>
      <c r="AS212" s="12">
        <f>AR212</f>
        <v>0</v>
      </c>
      <c r="AT212" s="12">
        <f>AS212</f>
        <v>0</v>
      </c>
      <c r="AU212" s="12">
        <f>AT212</f>
        <v>0</v>
      </c>
      <c r="AV212" s="12">
        <f>AU212</f>
        <v>0</v>
      </c>
      <c r="AW212" s="12">
        <f>AV212</f>
        <v>0</v>
      </c>
      <c r="AX212" s="12">
        <f>AW212</f>
        <v>0</v>
      </c>
      <c r="AY212" s="12">
        <f>AX212</f>
        <v>0</v>
      </c>
      <c r="AZ212" s="12">
        <f>AY212</f>
        <v>0</v>
      </c>
      <c r="BA212" s="12">
        <f>AZ212</f>
        <v>0</v>
      </c>
      <c r="BB212" s="12">
        <f>BA212</f>
        <v>0</v>
      </c>
      <c r="BC212" s="12">
        <f>BB212</f>
        <v>0</v>
      </c>
      <c r="BD212" s="12">
        <f>BC212</f>
        <v>0</v>
      </c>
      <c r="BE212" s="12">
        <f>BD212</f>
        <v>0</v>
      </c>
      <c r="BF212" s="12">
        <f>BE212</f>
        <v>0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Deferred income taxes</t>
        </is>
      </c>
      <c r="D213" s="46" t="n"/>
      <c r="E213" s="46" t="n"/>
      <c r="F213" s="46" t="n"/>
      <c r="G213" s="46" t="n"/>
      <c r="H213" s="12" t="n"/>
      <c r="I213" s="46">
        <f>'Inputs (2)'!D38</f>
        <v>0</v>
      </c>
      <c r="J213" s="46">
        <f>'Inputs (2)'!E38</f>
        <v>0</v>
      </c>
      <c r="K213" s="46">
        <f>'Inputs (2)'!F38</f>
        <v>0</v>
      </c>
      <c r="L213" s="46">
        <f>'Inputs (2)'!G38</f>
        <v>0</v>
      </c>
      <c r="M213" s="12">
        <f>'Inputs (2)'!H38</f>
        <v>0</v>
      </c>
      <c r="N213" s="46">
        <f>'Inputs (2)'!I38</f>
        <v>0</v>
      </c>
      <c r="O213" s="46">
        <f>'Inputs (2)'!J38</f>
        <v>0</v>
      </c>
      <c r="P213" s="46">
        <f>'Inputs (2)'!K38</f>
        <v>0</v>
      </c>
      <c r="Q213" s="46">
        <f>'Inputs (2)'!L38</f>
        <v>0</v>
      </c>
      <c r="R213" s="12">
        <f>'Inputs (2)'!M38</f>
        <v>0</v>
      </c>
      <c r="S213" s="46">
        <f>'Inputs (2)'!N38</f>
        <v>0</v>
      </c>
      <c r="T213" s="46">
        <f>'Inputs (2)'!O38</f>
        <v>0</v>
      </c>
      <c r="U213" s="46">
        <f>'Inputs (2)'!P38</f>
        <v>0</v>
      </c>
      <c r="V213" s="46">
        <f>'Inputs (2)'!Q38</f>
        <v>0</v>
      </c>
      <c r="W213" s="12">
        <f>'Inputs (2)'!R38</f>
        <v>0</v>
      </c>
      <c r="X213" s="46">
        <f>'Inputs (2)'!S38</f>
        <v>0</v>
      </c>
      <c r="Y213" s="46">
        <f>'Inputs (2)'!T38</f>
        <v>0</v>
      </c>
      <c r="Z213" s="46">
        <f>'Inputs (2)'!U38</f>
        <v>0</v>
      </c>
      <c r="AA213" s="46">
        <f>'Inputs (2)'!V38</f>
        <v>0</v>
      </c>
      <c r="AB213" s="12">
        <f>'Inputs (2)'!W38</f>
        <v>0</v>
      </c>
      <c r="AC213" s="46">
        <f>'Inputs (2)'!X38</f>
        <v>0</v>
      </c>
      <c r="AD213" s="46">
        <f>'Inputs (2)'!Y38</f>
        <v>0</v>
      </c>
      <c r="AE213" s="46">
        <f>'Inputs (2)'!Z38</f>
        <v>0</v>
      </c>
      <c r="AF213" s="46">
        <f>'Inputs (2)'!AA38</f>
        <v>0</v>
      </c>
      <c r="AG213" s="12">
        <f>'Inputs (2)'!AB38</f>
        <v>0</v>
      </c>
      <c r="AH213" s="12">
        <f>'Inputs (2)'!AC38</f>
        <v>0</v>
      </c>
      <c r="AI213" s="12">
        <f>'Inputs (2)'!AD38</f>
        <v>0</v>
      </c>
      <c r="AJ213" s="12">
        <f>AI213</f>
        <v>0</v>
      </c>
      <c r="AK213" s="12">
        <f>AJ213</f>
        <v>0</v>
      </c>
      <c r="AL213" s="12">
        <f>AK213</f>
        <v>0</v>
      </c>
      <c r="AM213" s="12">
        <f>AL213</f>
        <v>0</v>
      </c>
      <c r="AN213" s="12">
        <f>AM213</f>
        <v>0</v>
      </c>
      <c r="AO213" s="12">
        <f>AN213</f>
        <v>0</v>
      </c>
      <c r="AP213" s="12">
        <f>AO213</f>
        <v>0</v>
      </c>
      <c r="AQ213" s="12">
        <f>AP213</f>
        <v>0</v>
      </c>
      <c r="AR213" s="12">
        <f>AQ213</f>
        <v>0</v>
      </c>
      <c r="AS213" s="12">
        <f>AR213</f>
        <v>0</v>
      </c>
      <c r="AT213" s="12">
        <f>AS213</f>
        <v>0</v>
      </c>
      <c r="AU213" s="12">
        <f>AT213</f>
        <v>0</v>
      </c>
      <c r="AV213" s="12">
        <f>AU213</f>
        <v>0</v>
      </c>
      <c r="AW213" s="12">
        <f>AV213</f>
        <v>0</v>
      </c>
      <c r="AX213" s="12">
        <f>AW213</f>
        <v>0</v>
      </c>
      <c r="AY213" s="12">
        <f>AX213</f>
        <v>0</v>
      </c>
      <c r="AZ213" s="12">
        <f>AY213</f>
        <v>0</v>
      </c>
      <c r="BA213" s="12">
        <f>AZ213</f>
        <v>0</v>
      </c>
      <c r="BB213" s="12">
        <f>BA213</f>
        <v>0</v>
      </c>
      <c r="BC213" s="12">
        <f>BB213</f>
        <v>0</v>
      </c>
      <c r="BD213" s="12">
        <f>BC213</f>
        <v>0</v>
      </c>
      <c r="BE213" s="12">
        <f>BD213</f>
        <v>0</v>
      </c>
      <c r="BF213" s="12">
        <f>BE213</f>
        <v>0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Other non-current liabilities</t>
        </is>
      </c>
      <c r="D214" s="46" t="n"/>
      <c r="E214" s="46" t="n"/>
      <c r="F214" s="46" t="n"/>
      <c r="G214" s="46" t="n"/>
      <c r="H214" s="12" t="n"/>
      <c r="I214" s="46">
        <f>'Inputs (2)'!D39</f>
        <v>0</v>
      </c>
      <c r="J214" s="46">
        <f>'Inputs (2)'!E39</f>
        <v>0</v>
      </c>
      <c r="K214" s="46">
        <f>'Inputs (2)'!F39</f>
        <v>0</v>
      </c>
      <c r="L214" s="46">
        <f>'Inputs (2)'!G39</f>
        <v>0</v>
      </c>
      <c r="M214" s="12">
        <f>'Inputs (2)'!H39</f>
        <v>0</v>
      </c>
      <c r="N214" s="46">
        <f>'Inputs (2)'!I39</f>
        <v>0</v>
      </c>
      <c r="O214" s="46">
        <f>'Inputs (2)'!J39</f>
        <v>0</v>
      </c>
      <c r="P214" s="46">
        <f>'Inputs (2)'!K39</f>
        <v>0</v>
      </c>
      <c r="Q214" s="46">
        <f>'Inputs (2)'!L39</f>
        <v>0</v>
      </c>
      <c r="R214" s="12">
        <f>'Inputs (2)'!M39</f>
        <v>0</v>
      </c>
      <c r="S214" s="46">
        <f>'Inputs (2)'!N39</f>
        <v>0</v>
      </c>
      <c r="T214" s="46">
        <f>'Inputs (2)'!O39</f>
        <v>0</v>
      </c>
      <c r="U214" s="46">
        <f>'Inputs (2)'!P39</f>
        <v>0</v>
      </c>
      <c r="V214" s="46">
        <f>'Inputs (2)'!Q39</f>
        <v>0</v>
      </c>
      <c r="W214" s="12">
        <f>'Inputs (2)'!R39</f>
        <v>0</v>
      </c>
      <c r="X214" s="46">
        <f>'Inputs (2)'!S39</f>
        <v>0</v>
      </c>
      <c r="Y214" s="46">
        <f>'Inputs (2)'!T39</f>
        <v>0</v>
      </c>
      <c r="Z214" s="46">
        <f>'Inputs (2)'!U39</f>
        <v>0</v>
      </c>
      <c r="AA214" s="46">
        <f>'Inputs (2)'!V39</f>
        <v>0</v>
      </c>
      <c r="AB214" s="12">
        <f>'Inputs (2)'!W39</f>
        <v>0</v>
      </c>
      <c r="AC214" s="46">
        <f>'Inputs (2)'!X39</f>
        <v>0</v>
      </c>
      <c r="AD214" s="46">
        <f>'Inputs (2)'!Y39</f>
        <v>0</v>
      </c>
      <c r="AE214" s="46">
        <f>'Inputs (2)'!Z39</f>
        <v>0</v>
      </c>
      <c r="AF214" s="46">
        <f>'Inputs (2)'!AA39</f>
        <v>0</v>
      </c>
      <c r="AG214" s="12">
        <f>'Inputs (2)'!AB39</f>
        <v>0</v>
      </c>
      <c r="AH214" s="12">
        <f>'Inputs (2)'!AC39</f>
        <v>0</v>
      </c>
      <c r="AI214" s="12">
        <f>'Inputs (2)'!AD39</f>
        <v>0</v>
      </c>
      <c r="AJ214" s="12">
        <f>AI214</f>
        <v>0</v>
      </c>
      <c r="AK214" s="12">
        <f>AJ214</f>
        <v>0</v>
      </c>
      <c r="AL214" s="12">
        <f>AK214</f>
        <v>0</v>
      </c>
      <c r="AM214" s="12">
        <f>AL214</f>
        <v>0</v>
      </c>
      <c r="AN214" s="12">
        <f>AM214</f>
        <v>0</v>
      </c>
      <c r="AO214" s="12">
        <f>AN214</f>
        <v>0</v>
      </c>
      <c r="AP214" s="12">
        <f>AO214</f>
        <v>0</v>
      </c>
      <c r="AQ214" s="12">
        <f>AP214</f>
        <v>0</v>
      </c>
      <c r="AR214" s="12">
        <f>AQ214</f>
        <v>0</v>
      </c>
      <c r="AS214" s="12">
        <f>AR214</f>
        <v>0</v>
      </c>
      <c r="AT214" s="12">
        <f>AS214</f>
        <v>0</v>
      </c>
      <c r="AU214" s="12">
        <f>AT214</f>
        <v>0</v>
      </c>
      <c r="AV214" s="12">
        <f>AU214</f>
        <v>0</v>
      </c>
      <c r="AW214" s="12">
        <f>AV214</f>
        <v>0</v>
      </c>
      <c r="AX214" s="12">
        <f>AW214</f>
        <v>0</v>
      </c>
      <c r="AY214" s="12">
        <f>AX214</f>
        <v>0</v>
      </c>
      <c r="AZ214" s="12">
        <f>AY214</f>
        <v>0</v>
      </c>
      <c r="BA214" s="12">
        <f>AZ214</f>
        <v>0</v>
      </c>
      <c r="BB214" s="12">
        <f>BA214</f>
        <v>0</v>
      </c>
      <c r="BC214" s="12">
        <f>BB214</f>
        <v>0</v>
      </c>
      <c r="BD214" s="12">
        <f>BC214</f>
        <v>0</v>
      </c>
      <c r="BE214" s="12">
        <f>BD214</f>
        <v>0</v>
      </c>
      <c r="BF214" s="12">
        <f>BE214</f>
        <v>0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 ht="12" customHeight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 t="str">
        <f>IF(I214=0,"",J214/I214-1)</f>
        <v/>
      </c>
      <c r="K215" s="40" t="str">
        <f>IF(J214=0,"",K214/J214-1)</f>
        <v/>
      </c>
      <c r="L215" s="40" t="str">
        <f>IF(K214=0,"",L214/K214-1)</f>
        <v/>
      </c>
      <c r="M215" s="12" t="str">
        <f>IF(L214=0,"",M214/L214-1)</f>
        <v/>
      </c>
      <c r="N215" s="40" t="str">
        <f>IF(M214=0,"",N214/M214-1)</f>
        <v/>
      </c>
      <c r="O215" s="40" t="str">
        <f>IF(N214=0,"",O214/N214-1)</f>
        <v/>
      </c>
      <c r="P215" s="40" t="str">
        <f>IF(O214=0,"",P214/O214-1)</f>
        <v/>
      </c>
      <c r="Q215" s="40" t="str">
        <f>IF(P214=0,"",Q214/P214-1)</f>
        <v/>
      </c>
      <c r="R215" s="12" t="str">
        <f>IF(Q214=0,"",R214/Q214-1)</f>
        <v/>
      </c>
      <c r="S215" s="40" t="str">
        <f>IF(R214=0,"",S214/R214-1)</f>
        <v/>
      </c>
      <c r="T215" s="40" t="str">
        <f>IF(S214=0,"",T214/S214-1)</f>
        <v/>
      </c>
      <c r="U215" s="40" t="str">
        <f>IF(T214=0,"",U214/T214-1)</f>
        <v/>
      </c>
      <c r="V215" s="40" t="str">
        <f>IF(U214=0,"",V214/U214-1)</f>
        <v/>
      </c>
      <c r="W215" s="12" t="str">
        <f>IF(V214=0,"",W214/V214-1)</f>
        <v/>
      </c>
      <c r="X215" s="40" t="str">
        <f>IF(W214=0,"",X214/W214-1)</f>
        <v/>
      </c>
      <c r="Y215" s="40" t="str">
        <f>IF(X214=0,"",Y214/X214-1)</f>
        <v/>
      </c>
      <c r="Z215" s="40" t="str">
        <f>IF(Y214=0,"",Z214/Y214-1)</f>
        <v/>
      </c>
      <c r="AA215" s="40" t="str">
        <f>IF(Z214=0,"",AA214/Z214-1)</f>
        <v/>
      </c>
      <c r="AB215" s="12" t="str">
        <f>IF(AA214=0,"",AB214/AA214-1)</f>
        <v/>
      </c>
      <c r="AC215" s="40" t="str">
        <f>IF(AB214=0,"",AC214/AB214-1)</f>
        <v/>
      </c>
      <c r="AD215" s="40" t="str">
        <f>IF(AC214=0,"",AD214/AC214-1)</f>
        <v/>
      </c>
      <c r="AE215" s="40" t="str">
        <f>IF(AD214=0,"",AE214/AD214-1)</f>
        <v/>
      </c>
      <c r="AF215" s="41" t="str">
        <f>IF(AE214=0,"",AF214/AE214-1)</f>
        <v/>
      </c>
      <c r="AG215" s="12" t="str">
        <f>IF(AF214=0,"",AG214/AF214-1)</f>
        <v/>
      </c>
      <c r="AH215" s="41" t="str">
        <f>IF(AG214=0,"",AH214/AG214-1)</f>
        <v/>
      </c>
      <c r="AI215" s="41" t="str">
        <f>IF(AH214=0,"",AI214/AH214-1)</f>
        <v/>
      </c>
      <c r="AJ215" s="41" t="str">
        <f>IF(AI214=0,"",AJ214/AI214-1)</f>
        <v/>
      </c>
      <c r="AK215" s="41" t="str">
        <f>IF(AJ214=0,"",AK214/AJ214-1)</f>
        <v/>
      </c>
      <c r="AL215" s="12" t="str">
        <f>IF(AK214=0,"",AL214/AK214-1)</f>
        <v/>
      </c>
      <c r="AM215" s="41" t="str">
        <f>IF(AL214=0,"",AM214/AL214-1)</f>
        <v/>
      </c>
      <c r="AN215" s="41" t="str">
        <f>IF(AM214=0,"",AN214/AM214-1)</f>
        <v/>
      </c>
      <c r="AO215" s="41" t="str">
        <f>IF(AN214=0,"",AO214/AN214-1)</f>
        <v/>
      </c>
      <c r="AP215" s="41" t="str">
        <f>IF(AO214=0,"",AP214/AO214-1)</f>
        <v/>
      </c>
      <c r="AQ215" s="12" t="str">
        <f>IF(AP214=0,"",AQ214/AP214-1)</f>
        <v/>
      </c>
      <c r="AR215" s="41" t="str">
        <f>IF(AQ214=0,"",AR214/AQ214-1)</f>
        <v/>
      </c>
      <c r="AS215" s="41" t="str">
        <f>IF(AR214=0,"",AS214/AR214-1)</f>
        <v/>
      </c>
      <c r="AT215" s="41" t="str">
        <f>IF(AS214=0,"",AT214/AS214-1)</f>
        <v/>
      </c>
      <c r="AU215" s="41" t="str">
        <f>IF(AT214=0,"",AU214/AT214-1)</f>
        <v/>
      </c>
      <c r="AV215" s="12" t="str">
        <f>IF(AU214=0,"",AV214/AU214-1)</f>
        <v/>
      </c>
      <c r="AW215" s="41" t="str">
        <f>IF(AV214=0,"",AW214/AV214-1)</f>
        <v/>
      </c>
      <c r="AX215" s="41" t="str">
        <f>IF(AW214=0,"",AX214/AW214-1)</f>
        <v/>
      </c>
      <c r="AY215" s="41" t="str">
        <f>IF(AX214=0,"",AY214/AX214-1)</f>
        <v/>
      </c>
      <c r="AZ215" s="41" t="str">
        <f>IF(AY214=0,"",AZ214/AY214-1)</f>
        <v/>
      </c>
      <c r="BA215" s="12" t="str">
        <f>IF(AZ214=0,"",BA214/AZ214-1)</f>
        <v/>
      </c>
      <c r="BB215" s="41" t="str">
        <f>IF(BA214=0,"",BB214/BA214-1)</f>
        <v/>
      </c>
      <c r="BC215" s="41" t="str">
        <f>IF(BB214=0,"",BC214/BB214-1)</f>
        <v/>
      </c>
      <c r="BD215" s="41" t="str">
        <f>IF(BC214=0,"",BD214/BC214-1)</f>
        <v/>
      </c>
      <c r="BE215" s="41" t="str">
        <f>IF(BD214=0,"",BE214/BD214-1)</f>
        <v/>
      </c>
      <c r="BF215" s="12" t="str">
        <f>IF(BE214=0,"",BF214/BE214-1)</f>
        <v/>
      </c>
      <c r="BG215" s="41" t="n"/>
      <c r="BH215" s="41" t="n"/>
      <c r="BI215" s="41" t="n"/>
      <c r="BJ215" s="41" t="n"/>
      <c r="BK215" s="12" t="n"/>
      <c r="BL215" s="41" t="n"/>
      <c r="BM215" s="41" t="n"/>
      <c r="BN215" s="41" t="n"/>
      <c r="BO215" s="41" t="n"/>
      <c r="BP215" s="12" t="n"/>
      <c r="BQ215" s="41" t="n"/>
      <c r="BR215" s="41" t="n"/>
      <c r="BS215" s="41" t="n"/>
      <c r="BT215" s="41" t="n"/>
      <c r="BU215" s="12" t="n"/>
      <c r="BV215" s="41" t="n"/>
      <c r="BW215" s="41" t="n"/>
      <c r="BX215" s="41" t="n"/>
      <c r="BY215" s="41" t="n"/>
      <c r="BZ215" s="12" t="n"/>
      <c r="CA215" s="41" t="n"/>
      <c r="CB215" s="41" t="n"/>
      <c r="CC215" s="41" t="n"/>
      <c r="CD215" s="41" t="n"/>
      <c r="CE215" s="12" t="n"/>
      <c r="CF215" s="41" t="n"/>
      <c r="CG215" s="41" t="n"/>
      <c r="CH215" s="41" t="n"/>
      <c r="CI215" s="41" t="n"/>
      <c r="CJ215" s="12" t="n"/>
      <c r="CK215" s="41" t="n"/>
      <c r="CL215" s="41" t="n"/>
      <c r="CM215" s="41" t="n"/>
      <c r="CN215" s="41" t="n"/>
      <c r="CO215" s="12" t="n"/>
      <c r="CP215" s="41" t="n"/>
      <c r="CQ215" s="41" t="n"/>
      <c r="CR215" s="41" t="n"/>
      <c r="CS215" s="41" t="n"/>
      <c r="CT215" s="12" t="n"/>
      <c r="CU215" s="41" t="n"/>
      <c r="CV215" s="41" t="n"/>
      <c r="CW215" s="41" t="n"/>
      <c r="CX215" s="41" t="n"/>
      <c r="CY215" s="12" t="n"/>
    </row>
    <row r="216" hidden="1" outlineLevel="1" ht="12" customHeight="1">
      <c r="C216" s="59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inlineStr">
        <is>
          <t>Contas a pagar pela aquisição de controladas</t>
        </is>
      </c>
      <c r="D217" s="11" t="n"/>
      <c r="E217" s="11" t="n"/>
      <c r="F217" s="11" t="n"/>
      <c r="G217" s="11" t="n"/>
      <c r="H217" s="12" t="n"/>
      <c r="I217" s="11" t="n"/>
      <c r="J217" s="11" t="n"/>
      <c r="K217" s="11" t="n"/>
      <c r="L217" s="11" t="n"/>
      <c r="M217" s="12" t="n"/>
      <c r="N217" s="11" t="n"/>
      <c r="O217" s="11" t="n"/>
      <c r="P217" s="11" t="n"/>
      <c r="Q217" s="11" t="n"/>
      <c r="R217" s="12" t="n"/>
      <c r="S217" s="11" t="n"/>
      <c r="T217" s="11" t="n"/>
      <c r="U217" s="11" t="n"/>
      <c r="V217" s="11" t="n"/>
      <c r="W217" s="12" t="n"/>
      <c r="X217" s="11" t="n"/>
      <c r="Y217" s="11" t="n"/>
      <c r="Z217" s="11" t="n"/>
      <c r="AA217" s="11" t="n"/>
      <c r="AB217" s="12" t="n"/>
      <c r="AC217" s="11" t="n"/>
      <c r="AD217" s="11" t="n"/>
      <c r="AE217" s="11" t="n"/>
      <c r="AF217" s="11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inlineStr">
        <is>
          <t xml:space="preserve">Outras Obrigações </t>
        </is>
      </c>
      <c r="D218" s="11" t="n"/>
      <c r="E218" s="11" t="n"/>
      <c r="F218" s="11" t="n"/>
      <c r="G218" s="11" t="n"/>
      <c r="H218" s="12" t="n"/>
      <c r="I218" s="11" t="n"/>
      <c r="J218" s="11" t="n"/>
      <c r="K218" s="11" t="n"/>
      <c r="L218" s="11" t="n"/>
      <c r="M218" s="12" t="n"/>
      <c r="N218" s="11" t="n"/>
      <c r="O218" s="11" t="n"/>
      <c r="P218" s="11" t="n"/>
      <c r="Q218" s="11" t="n"/>
      <c r="R218" s="12" t="n"/>
      <c r="S218" s="11" t="n"/>
      <c r="T218" s="11" t="n"/>
      <c r="U218" s="11" t="n"/>
      <c r="V218" s="11" t="n"/>
      <c r="W218" s="12" t="n"/>
      <c r="X218" s="11" t="n"/>
      <c r="Y218" s="11" t="n"/>
      <c r="Z218" s="11" t="n"/>
      <c r="AA218" s="11" t="n"/>
      <c r="AB218" s="12" t="n"/>
      <c r="AC218" s="11" t="n"/>
      <c r="AD218" s="11" t="n"/>
      <c r="AE218" s="11" t="n"/>
      <c r="AF218" s="11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 xml:space="preserve">Provisão de Risco Cíveis, Trabalhistas e Tributários </t>
        </is>
      </c>
      <c r="D219" s="11" t="n"/>
      <c r="E219" s="11" t="n"/>
      <c r="F219" s="11" t="n"/>
      <c r="G219" s="11" t="n"/>
      <c r="H219" s="12" t="n"/>
      <c r="I219" s="11" t="n"/>
      <c r="J219" s="11" t="n"/>
      <c r="K219" s="11" t="n"/>
      <c r="L219" s="11" t="n"/>
      <c r="M219" s="12" t="n"/>
      <c r="N219" s="11" t="n"/>
      <c r="O219" s="11" t="n"/>
      <c r="P219" s="11" t="n"/>
      <c r="Q219" s="11" t="n"/>
      <c r="R219" s="12" t="n"/>
      <c r="S219" s="11" t="n"/>
      <c r="T219" s="11" t="n"/>
      <c r="U219" s="11" t="n"/>
      <c r="V219" s="11" t="n"/>
      <c r="W219" s="12" t="n"/>
      <c r="X219" s="11" t="n"/>
      <c r="Y219" s="11" t="n"/>
      <c r="Z219" s="11" t="n"/>
      <c r="AA219" s="11" t="n"/>
      <c r="AB219" s="12" t="n"/>
      <c r="AC219" s="11" t="n"/>
      <c r="AD219" s="11" t="n"/>
      <c r="AE219" s="11" t="n"/>
      <c r="AF219" s="11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collapsed="1" customFormat="1" s="32">
      <c r="A221" s="30" t="n"/>
      <c r="B221" s="30" t="n"/>
      <c r="C221" s="65" t="inlineStr">
        <is>
          <t>Total Liabilities</t>
        </is>
      </c>
      <c r="D221" s="35" t="n"/>
      <c r="E221" s="35" t="n"/>
      <c r="F221" s="35" t="n"/>
      <c r="G221" s="35" t="n"/>
      <c r="H221" s="35" t="n"/>
      <c r="I221" s="35">
        <f>SUM(I172+I176+I178+I179+I186+I187+I188+I191+I209+I212+I213+I214)</f>
        <v>12884.798</v>
      </c>
      <c r="J221" s="35">
        <f>SUM(J172+J176+J178+J179+J186+J187+J188+J191+J209+J212+J213+J214)</f>
        <v>14750.178</v>
      </c>
      <c r="K221" s="35">
        <f>SUM(K172+K176+K178+K179+K186+K187+K188+K191+K209+K212+K213+K214)</f>
        <v>18160.227</v>
      </c>
      <c r="L221" s="35">
        <f>SUM(L172+L176+L178+L179+L186+L187+L188+L191+L209+L212+L213+L214)</f>
        <v>19490.362</v>
      </c>
      <c r="M221" s="35">
        <f>SUM(M172,M176,M178,M179,M186,M187,M191,M188,M209,M212,M213,M214)</f>
        <v>19490.362</v>
      </c>
      <c r="N221" s="35">
        <f>SUM(N172+N176+N178+N179+N186+N187+N188+N191+N209+N212+N213+N214)</f>
        <v>21103.051</v>
      </c>
      <c r="O221" s="35">
        <f>SUM(O172+O176+O178+O179+O186+O187+O188+O191+O209+O212+O213+O214)</f>
        <v>20297.21</v>
      </c>
      <c r="P221" s="35">
        <f>SUM(P172+P176+P178+P179+P186+P187+P188+P191+P209+P212+P213+P214)</f>
        <v>20523.936</v>
      </c>
      <c r="Q221" s="35">
        <f>SUM(Q172+Q176+Q178+Q179+Q186+Q187+Q188+Q191+Q209+Q212+Q213+Q214)</f>
        <v>22843.16</v>
      </c>
      <c r="R221" s="35">
        <f>SUM(R172,R176,R178,R179,R186,R187,R191,R188,R209,R212,R213,R214)</f>
        <v>22843.16</v>
      </c>
      <c r="S221" s="35">
        <f>SUM(S172+S176+S178+S179+S186+S187+S188+S191+S209+S212+S213+S214)</f>
        <v>22372.614</v>
      </c>
      <c r="T221" s="35">
        <f>SUM(T172+T176+T178+T179+T186+T187+T188+T191+T209+T212+T213+T214)</f>
        <v>22492.305</v>
      </c>
      <c r="U221" s="35">
        <f>SUM(U172+U176+U178+U179+U186+U187+U188+U191+U209+U212+U213+U214)</f>
        <v>22853.102</v>
      </c>
      <c r="V221" s="35">
        <f>SUM(V172+V176+V178+V179+V186+V187+V188+V191+V209+V212+V213+V214)</f>
        <v>22212.316</v>
      </c>
      <c r="W221" s="35">
        <f>SUM(W172,W176,W178,W179,W186,W187,W191,W188,W209,W212,W213,W214)</f>
        <v>22212.316</v>
      </c>
      <c r="X221" s="35">
        <f>SUM(X172+X176+X178+X179+X186+X187+X188+X191+X209+X212+X213+X214)</f>
        <v>21228.868</v>
      </c>
      <c r="Y221" s="35">
        <f>SUM(Y172+Y176+Y178+Y179+Y186+Y187+Y188+Y191+Y209+Y212+Y213+Y214)</f>
        <v>21910.734</v>
      </c>
      <c r="Z221" s="35">
        <f>SUM(Z172+Z176+Z178+Z179+Z186+Z187+Z188+Z191+Z209+Z212+Z213+Z214)</f>
        <v>23110.501</v>
      </c>
      <c r="AA221" s="35">
        <f>SUM(AA172+AA176+AA178+AA179+AA186+AA187+AA188+AA191+AA209+AA212+AA213+AA214)</f>
        <v>23974.86</v>
      </c>
      <c r="AB221" s="35">
        <f>SUM(AB172,AB176,AB178,AB179,AB186,AB187,AB191,AB188,AB209,AB212,AB213,AB214)</f>
        <v>23974.86</v>
      </c>
      <c r="AC221" s="35">
        <f>SUM(AC172+AC176+AC178+AC179+AC186+AC187+AC188+AC191+AC209+AC212+AC213+AC214)</f>
        <v>25390.726</v>
      </c>
      <c r="AD221" s="35">
        <f>SUM(AD172+AD176+AD178+AD179+AD186+AD187+AD188+AD191+AD209+AD212+AD213+AD214)</f>
        <v>24294.214</v>
      </c>
      <c r="AE221" s="35">
        <f>SUM(AE172+AE176+AE178+AE179+AE186+AE187+AE188+AE191+AE209+AE212+AE213+AE214)</f>
        <v>25192.849</v>
      </c>
      <c r="AF221" s="35">
        <f>SUM(AF172+AF176+AF178+AF179+AF186+AF187+AF188+AF191+AF209+AF212+AF213+AF214)</f>
        <v>25827.803</v>
      </c>
      <c r="AG221" s="35">
        <f>SUM(AG172,AG176,AG178,AG179,AG186,AG187,AG191,AG188,AG209,AG212,AG213,AG214)</f>
        <v>25827.803</v>
      </c>
      <c r="AH221" s="35">
        <f>SUM(AH172+AH176+AH178+AH179+AH186+AH187+AH188+AH191+AH209+AH212+AH213+AH214)</f>
        <v>26910.271</v>
      </c>
      <c r="AI221" s="35">
        <f>SUM(AI172+AI176+AI178+AI179+AI186+AI187+AI188+AI191+AI209+AI212+AI213+AI214)</f>
        <v>27458.992</v>
      </c>
      <c r="AJ221" s="35">
        <f>SUM(AJ172+AJ176+AJ178+AJ179+AJ186+AJ187+AJ188+AJ191+AJ209+AJ212+AJ213+AJ214)</f>
        <v>27458.992</v>
      </c>
      <c r="AK221" s="35">
        <f>SUM(AK172+AK176+AK178+AK179+AK186+AK187+AK188+AK191+AK209+AK212+AK213+AK214)</f>
        <v>27458.992</v>
      </c>
      <c r="AL221" s="35">
        <f>SUM(AL172,AL176,AL178,AL179,AL186,AL187,AL191,AL188,AL209,AL212,AL213,AL214)</f>
        <v>27458.992</v>
      </c>
      <c r="AM221" s="35">
        <f>SUM(AM172+AM176+AM178+AM179+AM186+AM187+AM188+AM191+AM209+AM212+AM213+AM214)</f>
        <v>27458.992</v>
      </c>
      <c r="AN221" s="35">
        <f>SUM(AN172+AN176+AN178+AN179+AN186+AN187+AN188+AN191+AN209+AN212+AN213+AN214)</f>
        <v>27458.992</v>
      </c>
      <c r="AO221" s="35">
        <f>SUM(AO172+AO176+AO178+AO179+AO186+AO187+AO188+AO191+AO209+AO212+AO213+AO214)</f>
        <v>27458.992</v>
      </c>
      <c r="AP221" s="35">
        <f>SUM(AP172+AP176+AP178+AP179+AP186+AP187+AP188+AP191+AP209+AP212+AP213+AP214)</f>
        <v>27458.992</v>
      </c>
      <c r="AQ221" s="35">
        <f>SUM(AQ172,AQ176,AQ178,AQ179,AQ186,AQ187,AQ191,AQ188,AQ209,AQ212,AQ213,AQ214)</f>
        <v>27458.992</v>
      </c>
      <c r="AR221" s="35">
        <f>SUM(AR172+AR176+AR178+AR179+AR186+AR187+AR188+AR191+AR209+AR212+AR213+AR214)</f>
        <v>27458.992</v>
      </c>
      <c r="AS221" s="35">
        <f>SUM(AS172+AS176+AS178+AS179+AS186+AS187+AS188+AS191+AS209+AS212+AS213+AS214)</f>
        <v>27458.992</v>
      </c>
      <c r="AT221" s="35">
        <f>SUM(AT172+AT176+AT178+AT179+AT186+AT187+AT188+AT191+AT209+AT212+AT213+AT214)</f>
        <v>27458.992</v>
      </c>
      <c r="AU221" s="35">
        <f>SUM(AU172+AU176+AU178+AU179+AU186+AU187+AU188+AU191+AU209+AU212+AU213+AU214)</f>
        <v>27458.992</v>
      </c>
      <c r="AV221" s="35">
        <f>SUM(AV172,AV176,AV178,AV179,AV186,AV187,AV191,AV188,AV209,AV212,AV213,AV214)</f>
        <v>27458.992</v>
      </c>
      <c r="AW221" s="35">
        <f>SUM(AW172+AW176+AW178+AW179+AW186+AW187+AW188+AW191+AW209+AW212+AW213+AW214)</f>
        <v>27458.992</v>
      </c>
      <c r="AX221" s="35">
        <f>SUM(AX172+AX176+AX178+AX179+AX186+AX187+AX188+AX191+AX209+AX212+AX213+AX214)</f>
        <v>27458.992</v>
      </c>
      <c r="AY221" s="35">
        <f>SUM(AY172+AY176+AY178+AY179+AY186+AY187+AY188+AY191+AY209+AY212+AY213+AY214)</f>
        <v>27458.992</v>
      </c>
      <c r="AZ221" s="35">
        <f>SUM(AZ172+AZ176+AZ178+AZ179+AZ186+AZ187+AZ188+AZ191+AZ209+AZ212+AZ213+AZ214)</f>
        <v>27458.992</v>
      </c>
      <c r="BA221" s="35">
        <f>SUM(BA172,BA176,BA178,BA179,BA186,BA187,BA191,BA188,BA209,BA212,BA213,BA214)</f>
        <v>27458.992</v>
      </c>
      <c r="BB221" s="35">
        <f>SUM(BB172+BB176+BB178+BB179+BB186+BB187+BB188+BB191+BB209+BB212+BB213+BB214)</f>
        <v>27458.992</v>
      </c>
      <c r="BC221" s="35">
        <f>SUM(BC172+BC176+BC178+BC179+BC186+BC187+BC188+BC191+BC209+BC212+BC213+BC214)</f>
        <v>27458.992</v>
      </c>
      <c r="BD221" s="35">
        <f>SUM(BD172+BD176+BD178+BD179+BD186+BD187+BD188+BD191+BD209+BD212+BD213+BD214)</f>
        <v>27458.992</v>
      </c>
      <c r="BE221" s="35">
        <f>SUM(BE172+BE176+BE178+BE179+BE186+BE187+BE188+BE191+BE209+BE212+BE213+BE214)</f>
        <v>27458.992</v>
      </c>
      <c r="BF221" s="35">
        <f>SUM(BF172,BF176,BF178,BF179,BF186,BF187,BF191,BF188,BF209,BF212,BF213,BF214)</f>
        <v>27458.992</v>
      </c>
      <c r="BG221" s="35" t="n"/>
      <c r="BH221" s="35" t="n"/>
      <c r="BI221" s="35" t="n"/>
      <c r="BJ221" s="35" t="n"/>
      <c r="BK221" s="35" t="n"/>
      <c r="BL221" s="35" t="n"/>
      <c r="BM221" s="35" t="n"/>
      <c r="BN221" s="35" t="n"/>
      <c r="BO221" s="35" t="n"/>
      <c r="BP221" s="35" t="n"/>
      <c r="BQ221" s="35" t="n"/>
      <c r="BR221" s="35" t="n"/>
      <c r="BS221" s="35" t="n"/>
      <c r="BT221" s="35" t="n"/>
      <c r="BU221" s="35" t="n"/>
      <c r="BV221" s="35" t="n"/>
      <c r="BW221" s="35" t="n"/>
      <c r="BX221" s="35" t="n"/>
      <c r="BY221" s="35" t="n"/>
      <c r="BZ221" s="35" t="n"/>
      <c r="CA221" s="35" t="n"/>
      <c r="CB221" s="35" t="n"/>
      <c r="CC221" s="35" t="n"/>
      <c r="CD221" s="35" t="n"/>
      <c r="CE221" s="35" t="n"/>
      <c r="CF221" s="35" t="n"/>
      <c r="CG221" s="35" t="n"/>
      <c r="CH221" s="35" t="n"/>
      <c r="CI221" s="35" t="n"/>
      <c r="CJ221" s="35" t="n"/>
      <c r="CK221" s="35" t="n"/>
      <c r="CL221" s="35" t="n"/>
      <c r="CM221" s="35" t="n"/>
      <c r="CN221" s="35" t="n"/>
      <c r="CO221" s="35" t="n"/>
      <c r="CP221" s="35" t="n"/>
      <c r="CQ221" s="35" t="n"/>
      <c r="CR221" s="35" t="n"/>
      <c r="CS221" s="35" t="n"/>
      <c r="CT221" s="35" t="n"/>
      <c r="CU221" s="35" t="n"/>
      <c r="CV221" s="35" t="n"/>
      <c r="CW221" s="35" t="n"/>
      <c r="CX221" s="35" t="n"/>
      <c r="CY221" s="35" t="n"/>
    </row>
    <row r="222">
      <c r="C222" s="14" t="inlineStr">
        <is>
          <t>Minority interest</t>
        </is>
      </c>
      <c r="D222" s="46" t="n"/>
      <c r="E222" s="46" t="n"/>
      <c r="F222" s="46" t="n"/>
      <c r="G222" s="46" t="n"/>
      <c r="H222" s="12" t="n"/>
      <c r="I222" s="46">
        <f>'Inputs (2)'!D41</f>
        <v>65.546</v>
      </c>
      <c r="J222" s="46">
        <f>'Inputs (2)'!E41</f>
        <v>65.568</v>
      </c>
      <c r="K222" s="46">
        <f>'Inputs (2)'!F41</f>
        <v>66.824</v>
      </c>
      <c r="L222" s="46">
        <f>'Inputs (2)'!G41</f>
        <v>68.028</v>
      </c>
      <c r="M222" s="12">
        <f>'Inputs (2)'!H41</f>
        <v>68.028</v>
      </c>
      <c r="N222" s="46">
        <f>'Inputs (2)'!I41</f>
        <v>41.43</v>
      </c>
      <c r="O222" s="46">
        <f>'Inputs (2)'!J41</f>
        <v>1275.491</v>
      </c>
      <c r="P222" s="46">
        <f>'Inputs (2)'!K41</f>
        <v>1344.188</v>
      </c>
      <c r="Q222" s="46">
        <f>'Inputs (2)'!L41</f>
        <v>1715.006</v>
      </c>
      <c r="R222" s="12">
        <f>'Inputs (2)'!M41</f>
        <v>1715.006</v>
      </c>
      <c r="S222" s="46">
        <f>'Inputs (2)'!N41</f>
        <v>1644.697</v>
      </c>
      <c r="T222" s="46">
        <f>'Inputs (2)'!O41</f>
        <v>1626.349</v>
      </c>
      <c r="U222" s="46">
        <f>'Inputs (2)'!P41</f>
        <v>1349.06</v>
      </c>
      <c r="V222" s="46">
        <f>'Inputs (2)'!Q41</f>
        <v>1179.073</v>
      </c>
      <c r="W222" s="12">
        <f>'Inputs (2)'!R41</f>
        <v>1179.073</v>
      </c>
      <c r="X222" s="46">
        <f>'Inputs (2)'!S41</f>
        <v>935.005</v>
      </c>
      <c r="Y222" s="46">
        <f>'Inputs (2)'!T41</f>
        <v>888.868</v>
      </c>
      <c r="Z222" s="46">
        <f>'Inputs (2)'!U41</f>
        <v>892.846</v>
      </c>
      <c r="AA222" s="46">
        <f>'Inputs (2)'!V41</f>
        <v>801.399</v>
      </c>
      <c r="AB222" s="12">
        <f>'Inputs (2)'!W41</f>
        <v>801.399</v>
      </c>
      <c r="AC222" s="46">
        <f>'Inputs (2)'!X41</f>
        <v>1382.374</v>
      </c>
      <c r="AD222" s="46">
        <f>'Inputs (2)'!Y41</f>
        <v>1487.129</v>
      </c>
      <c r="AE222" s="46">
        <f>'Inputs (2)'!Z41</f>
        <v>1476.212</v>
      </c>
      <c r="AF222" s="46">
        <f>'Inputs (2)'!AA41</f>
        <v>1380.503</v>
      </c>
      <c r="AG222" s="12">
        <f>'Inputs (2)'!AB41</f>
        <v>1380.503</v>
      </c>
      <c r="AH222" s="12">
        <f>'Inputs (2)'!AC41</f>
        <v>1400.419</v>
      </c>
      <c r="AI222" s="12">
        <f>'Inputs (2)'!AD41</f>
        <v>1371.083</v>
      </c>
      <c r="AJ222" s="12">
        <f>AI222</f>
        <v>1371.083</v>
      </c>
      <c r="AK222" s="12">
        <f>AJ222</f>
        <v>1371.083</v>
      </c>
      <c r="AL222" s="12">
        <f>AK222</f>
        <v>1371.083</v>
      </c>
      <c r="AM222" s="12">
        <f>AL222</f>
        <v>1371.083</v>
      </c>
      <c r="AN222" s="12">
        <f>AM222</f>
        <v>1371.083</v>
      </c>
      <c r="AO222" s="12">
        <f>AN222</f>
        <v>1371.083</v>
      </c>
      <c r="AP222" s="12">
        <f>AO222</f>
        <v>1371.083</v>
      </c>
      <c r="AQ222" s="12">
        <f>AP222</f>
        <v>1371.083</v>
      </c>
      <c r="AR222" s="12">
        <f>AQ222</f>
        <v>1371.083</v>
      </c>
      <c r="AS222" s="12">
        <f>AR222</f>
        <v>1371.083</v>
      </c>
      <c r="AT222" s="12">
        <f>AS222</f>
        <v>1371.083</v>
      </c>
      <c r="AU222" s="12">
        <f>AT222</f>
        <v>1371.083</v>
      </c>
      <c r="AV222" s="12">
        <f>AU222</f>
        <v>1371.083</v>
      </c>
      <c r="AW222" s="12">
        <f>AV222</f>
        <v>1371.083</v>
      </c>
      <c r="AX222" s="12">
        <f>AW222</f>
        <v>1371.083</v>
      </c>
      <c r="AY222" s="12">
        <f>AX222</f>
        <v>1371.083</v>
      </c>
      <c r="AZ222" s="12">
        <f>AY222</f>
        <v>1371.083</v>
      </c>
      <c r="BA222" s="12">
        <f>AZ222</f>
        <v>1371.083</v>
      </c>
      <c r="BB222" s="12">
        <f>BA222</f>
        <v>1371.083</v>
      </c>
      <c r="BC222" s="12">
        <f>BB222</f>
        <v>1371.083</v>
      </c>
      <c r="BD222" s="12">
        <f>BC222</f>
        <v>1371.083</v>
      </c>
      <c r="BE222" s="12">
        <f>BD222</f>
        <v>1371.083</v>
      </c>
      <c r="BF222" s="12">
        <f>BE222</f>
        <v>1371.083</v>
      </c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hidden="1" outlineLevel="1" customFormat="1" s="66">
      <c r="A223" s="37" t="n"/>
      <c r="B223" s="37" t="n"/>
      <c r="C223" s="59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  <c r="CY223" s="42" t="n"/>
    </row>
    <row r="224" hidden="1" outlineLevel="1" customFormat="1" s="66">
      <c r="A224" s="37" t="n"/>
      <c r="B224" s="37" t="n"/>
      <c r="C224" s="57" t="inlineStr">
        <is>
          <t>Minority Interest Expense - % YoY</t>
        </is>
      </c>
      <c r="D224" s="42" t="n"/>
      <c r="E224" s="58" t="n"/>
      <c r="F224" s="42" t="n"/>
      <c r="G224" s="42" t="n"/>
      <c r="H224" s="58" t="n"/>
      <c r="I224" s="42" t="n"/>
      <c r="J224" s="58">
        <f>IF(I109=0,0,J109/I109-1)</f>
        <v>-0.0461521022779426</v>
      </c>
      <c r="K224" s="42" t="n"/>
      <c r="L224" s="42" t="n"/>
      <c r="M224" s="58" t="n"/>
      <c r="N224" s="58">
        <f>IF(I109=0,0,N109/I109-1)</f>
        <v>-0.211008936937514</v>
      </c>
      <c r="O224" s="58">
        <f>IF(J109=0,0,O109/J109-1)</f>
        <v>-1.14619019263136</v>
      </c>
      <c r="P224" s="58">
        <f>IF(K109=0,0,P109/K109-1)</f>
        <v>-0.999221771766279</v>
      </c>
      <c r="Q224" s="58">
        <f>IF(L109=0,0,Q109/L109-1)</f>
        <v>-0.879701613149049</v>
      </c>
      <c r="R224" s="58" t="n"/>
      <c r="S224" s="58">
        <f>IF(N109=0,0,S109/N109-1)</f>
        <v>-0.902502459515593</v>
      </c>
      <c r="T224" s="58">
        <f>IF(O109=0,0,T109/O109-1)</f>
        <v>-3.66147565969967</v>
      </c>
      <c r="U224" s="58">
        <f>IF(P109=0,0,U109/P109-1)</f>
        <v>261.641025641026</v>
      </c>
      <c r="V224" s="58">
        <f>IF(Q109=0,0,V109/Q109-1)</f>
        <v>-1.23008081428887</v>
      </c>
      <c r="W224" s="58">
        <f>IF(R110=0,0,W110/R110-1)</f>
        <v>0</v>
      </c>
      <c r="X224" s="58">
        <f>IF(S109=0,0,X109/S109-1)</f>
        <v>4.99505882164508</v>
      </c>
      <c r="Y224" s="58">
        <f>IF(T109=0,0,Y109/T109-1)</f>
        <v>-0.163477100358048</v>
      </c>
      <c r="Z224" s="58">
        <f>IF(U109=0,0,Z109/U109-1)</f>
        <v>1.125576274312</v>
      </c>
      <c r="AA224" s="58">
        <f>IF(V109=0,0,AA109/V109-1)</f>
        <v>-15.643789394756</v>
      </c>
      <c r="AB224" s="58">
        <f>IF(W110=0,0,AB110/W110-1)</f>
        <v>0</v>
      </c>
      <c r="AC224" s="58">
        <f>IF(X109=0,0,AC109/X109-1)</f>
        <v>-0.206619850199774</v>
      </c>
      <c r="AD224" s="58">
        <f>IF(Y109=0,0,AD109/Y109-1)</f>
        <v>0.710270285286805</v>
      </c>
      <c r="AE224" s="58">
        <f>IF(Z109=0,0,AE109/Z109-1)</f>
        <v>-0.219180354222112</v>
      </c>
      <c r="AF224" s="58">
        <f>IF(AA109=0,0,AF109/AA109-1)</f>
        <v>0.535459466551885</v>
      </c>
      <c r="AG224" s="58">
        <f>IF(AB110=0,0,AG110/AB110-1)</f>
        <v>0</v>
      </c>
      <c r="AH224" s="62">
        <f>IF(AC109=0,0,AH109/AC109-1)</f>
        <v>0.0240031519290411</v>
      </c>
      <c r="AI224" s="62">
        <f>IF(AD109=0,0,AI109/AD109-1)</f>
        <v>0.30745026331697</v>
      </c>
      <c r="AJ224" s="62" t="n"/>
      <c r="AK224" s="62" t="n"/>
      <c r="AL224" s="58">
        <f>IF(AG110=0,0,AL110/AG110-1)</f>
        <v>0</v>
      </c>
      <c r="AM224" s="62" t="n"/>
      <c r="AN224" s="62" t="n"/>
      <c r="AO224" s="62" t="n"/>
      <c r="AP224" s="62" t="n"/>
      <c r="AQ224" s="58">
        <f>IF(AL110=0,0,AQ110/AL110-1)</f>
        <v>0</v>
      </c>
      <c r="AR224" s="62" t="n"/>
      <c r="AS224" s="62" t="n"/>
      <c r="AT224" s="62" t="n"/>
      <c r="AU224" s="62" t="n"/>
      <c r="AV224" s="58">
        <f>IF(AQ110=0,0,AV110/AQ110-1)</f>
        <v>0</v>
      </c>
      <c r="AW224" s="62" t="n"/>
      <c r="AX224" s="62" t="n"/>
      <c r="AY224" s="62" t="n"/>
      <c r="AZ224" s="62" t="n"/>
      <c r="BA224" s="58">
        <f>IF(AV110=0,0,BA110/AV110-1)</f>
        <v>0</v>
      </c>
      <c r="BB224" s="62" t="n"/>
      <c r="BC224" s="62" t="n"/>
      <c r="BD224" s="62" t="n"/>
      <c r="BE224" s="62" t="n"/>
      <c r="BF224" s="58">
        <f>IF(BA110=0,0,BF110/BA110-1)</f>
        <v>0</v>
      </c>
      <c r="BG224" s="62" t="n"/>
      <c r="BH224" s="62" t="n"/>
      <c r="BI224" s="62" t="n"/>
      <c r="BJ224" s="62" t="n"/>
      <c r="BK224" s="58" t="n"/>
      <c r="BL224" s="62" t="n"/>
      <c r="BM224" s="62" t="n"/>
      <c r="BN224" s="62" t="n"/>
      <c r="BO224" s="62" t="n"/>
      <c r="BP224" s="58" t="n"/>
      <c r="BQ224" s="62" t="n"/>
      <c r="BR224" s="62" t="n"/>
      <c r="BS224" s="62" t="n"/>
      <c r="BT224" s="62" t="n"/>
      <c r="BU224" s="58" t="n"/>
      <c r="BV224" s="62" t="n"/>
      <c r="BW224" s="62" t="n"/>
      <c r="BX224" s="62" t="n"/>
      <c r="BY224" s="62" t="n"/>
      <c r="BZ224" s="58" t="n"/>
      <c r="CA224" s="62" t="n"/>
      <c r="CB224" s="62" t="n"/>
      <c r="CC224" s="62" t="n"/>
      <c r="CD224" s="62" t="n"/>
      <c r="CE224" s="58" t="n"/>
      <c r="CF224" s="62" t="n"/>
      <c r="CG224" s="62" t="n"/>
      <c r="CH224" s="62" t="n"/>
      <c r="CI224" s="62" t="n"/>
      <c r="CJ224" s="58" t="n"/>
      <c r="CK224" s="62" t="n"/>
      <c r="CL224" s="62" t="n"/>
      <c r="CM224" s="62" t="n"/>
      <c r="CN224" s="62" t="n"/>
      <c r="CO224" s="58" t="n"/>
      <c r="CP224" s="62" t="n"/>
      <c r="CQ224" s="62" t="n"/>
      <c r="CR224" s="62" t="n"/>
      <c r="CS224" s="62" t="n"/>
      <c r="CT224" s="58" t="n"/>
      <c r="CU224" s="62" t="n"/>
      <c r="CV224" s="62" t="n"/>
      <c r="CW224" s="62" t="n"/>
      <c r="CX224" s="62" t="n"/>
      <c r="CY224" s="58" t="n"/>
    </row>
    <row r="225" hidden="1" outlineLevel="1" customFormat="1" s="66">
      <c r="A225" s="37" t="n"/>
      <c r="B225" s="37" t="n"/>
      <c r="C225" s="57" t="inlineStr">
        <is>
          <t>Dividends (enter as -)</t>
        </is>
      </c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62" t="n"/>
      <c r="AI225" s="62" t="n"/>
      <c r="AJ225" s="62" t="n"/>
      <c r="AK225" s="62" t="n"/>
      <c r="AL225" s="42" t="n"/>
      <c r="AM225" s="62" t="n"/>
      <c r="AN225" s="62" t="n"/>
      <c r="AO225" s="62" t="n"/>
      <c r="AP225" s="62" t="n"/>
      <c r="AQ225" s="42" t="n"/>
      <c r="AR225" s="62" t="n"/>
      <c r="AS225" s="62" t="n"/>
      <c r="AT225" s="62" t="n"/>
      <c r="AU225" s="62" t="n"/>
      <c r="AV225" s="42" t="n"/>
      <c r="AW225" s="62" t="n"/>
      <c r="AX225" s="62" t="n"/>
      <c r="AY225" s="62" t="n"/>
      <c r="AZ225" s="62" t="n"/>
      <c r="BA225" s="42" t="n"/>
      <c r="BB225" s="62" t="n"/>
      <c r="BC225" s="62" t="n"/>
      <c r="BD225" s="62" t="n"/>
      <c r="BE225" s="62" t="n"/>
      <c r="BF225" s="42" t="n"/>
      <c r="BG225" s="62" t="n"/>
      <c r="BH225" s="62" t="n"/>
      <c r="BI225" s="62" t="n"/>
      <c r="BJ225" s="62" t="n"/>
      <c r="BK225" s="42" t="n"/>
      <c r="BL225" s="62" t="n"/>
      <c r="BM225" s="62" t="n"/>
      <c r="BN225" s="62" t="n"/>
      <c r="BO225" s="62" t="n"/>
      <c r="BP225" s="42" t="n"/>
      <c r="BQ225" s="62" t="n"/>
      <c r="BR225" s="62" t="n"/>
      <c r="BS225" s="62" t="n"/>
      <c r="BT225" s="62" t="n"/>
      <c r="BU225" s="42" t="n"/>
      <c r="BV225" s="62" t="n"/>
      <c r="BW225" s="62" t="n"/>
      <c r="BX225" s="62" t="n"/>
      <c r="BY225" s="62" t="n"/>
      <c r="BZ225" s="42" t="n"/>
      <c r="CA225" s="62" t="n"/>
      <c r="CB225" s="62" t="n"/>
      <c r="CC225" s="62" t="n"/>
      <c r="CD225" s="62" t="n"/>
      <c r="CE225" s="42" t="n"/>
      <c r="CF225" s="62" t="n"/>
      <c r="CG225" s="62" t="n"/>
      <c r="CH225" s="62" t="n"/>
      <c r="CI225" s="62" t="n"/>
      <c r="CJ225" s="42" t="n"/>
      <c r="CK225" s="62" t="n"/>
      <c r="CL225" s="62" t="n"/>
      <c r="CM225" s="62" t="n"/>
      <c r="CN225" s="62" t="n"/>
      <c r="CO225" s="42" t="n"/>
      <c r="CP225" s="62" t="n"/>
      <c r="CQ225" s="62" t="n"/>
      <c r="CR225" s="62" t="n"/>
      <c r="CS225" s="62" t="n"/>
      <c r="CT225" s="42" t="n"/>
      <c r="CU225" s="62" t="n"/>
      <c r="CV225" s="62" t="n"/>
      <c r="CW225" s="62" t="n"/>
      <c r="CX225" s="62" t="n"/>
      <c r="CY225" s="42" t="n"/>
    </row>
    <row r="226" hidden="1" outlineLevel="1" customFormat="1" s="66">
      <c r="A226" s="37" t="n"/>
      <c r="B226" s="37" t="n"/>
      <c r="C226" s="59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  <c r="CY226" s="42" t="n"/>
    </row>
    <row r="227" collapsed="1">
      <c r="C227" s="14" t="inlineStr">
        <is>
          <t>Convertible Preferred Stock</t>
        </is>
      </c>
      <c r="D227" s="46" t="n"/>
      <c r="E227" s="46" t="n"/>
      <c r="F227" s="46" t="n"/>
      <c r="G227" s="46" t="n"/>
      <c r="H227" s="12" t="n"/>
      <c r="I227" s="46">
        <f>'Inputs (2)'!D42</f>
        <v>0</v>
      </c>
      <c r="J227" s="46">
        <f>'Inputs (2)'!E42</f>
        <v>0</v>
      </c>
      <c r="K227" s="46">
        <f>'Inputs (2)'!F42</f>
        <v>0</v>
      </c>
      <c r="L227" s="46">
        <f>'Inputs (2)'!G42</f>
        <v>0</v>
      </c>
      <c r="M227" s="12">
        <f>'Inputs (2)'!H42</f>
        <v>0</v>
      </c>
      <c r="N227" s="46">
        <f>'Inputs (2)'!I42</f>
        <v>0</v>
      </c>
      <c r="O227" s="46">
        <f>'Inputs (2)'!J42</f>
        <v>0</v>
      </c>
      <c r="P227" s="46">
        <f>'Inputs (2)'!K42</f>
        <v>0</v>
      </c>
      <c r="Q227" s="46">
        <f>'Inputs (2)'!L42</f>
        <v>0</v>
      </c>
      <c r="R227" s="12">
        <f>'Inputs (2)'!M42</f>
        <v>0</v>
      </c>
      <c r="S227" s="46">
        <f>'Inputs (2)'!N42</f>
        <v>0</v>
      </c>
      <c r="T227" s="46">
        <f>'Inputs (2)'!O42</f>
        <v>0</v>
      </c>
      <c r="U227" s="46">
        <f>'Inputs (2)'!P42</f>
        <v>0</v>
      </c>
      <c r="V227" s="46">
        <f>'Inputs (2)'!Q42</f>
        <v>0</v>
      </c>
      <c r="W227" s="12">
        <f>'Inputs (2)'!R42</f>
        <v>0</v>
      </c>
      <c r="X227" s="46">
        <f>'Inputs (2)'!S42</f>
        <v>0</v>
      </c>
      <c r="Y227" s="46">
        <f>'Inputs (2)'!T42</f>
        <v>0</v>
      </c>
      <c r="Z227" s="46">
        <f>'Inputs (2)'!U42</f>
        <v>0</v>
      </c>
      <c r="AA227" s="46">
        <f>'Inputs (2)'!V42</f>
        <v>0</v>
      </c>
      <c r="AB227" s="12">
        <f>'Inputs (2)'!W42</f>
        <v>0</v>
      </c>
      <c r="AC227" s="46">
        <f>'Inputs (2)'!X42</f>
        <v>0</v>
      </c>
      <c r="AD227" s="46">
        <f>'Inputs (2)'!Y42</f>
        <v>0</v>
      </c>
      <c r="AE227" s="46">
        <f>'Inputs (2)'!Z42</f>
        <v>0</v>
      </c>
      <c r="AF227" s="46">
        <f>'Inputs (2)'!AA42</f>
        <v>0</v>
      </c>
      <c r="AG227" s="12">
        <f>'Inputs (2)'!AB42</f>
        <v>0</v>
      </c>
      <c r="AH227" s="12">
        <f>'Inputs (2)'!AC42</f>
        <v>0</v>
      </c>
      <c r="AI227" s="12">
        <f>'Inputs (2)'!AD42</f>
        <v>0</v>
      </c>
      <c r="AJ227" s="12">
        <f>AI227</f>
        <v>0</v>
      </c>
      <c r="AK227" s="12">
        <f>AJ227</f>
        <v>0</v>
      </c>
      <c r="AL227" s="12">
        <f>AK227</f>
        <v>0</v>
      </c>
      <c r="AM227" s="12">
        <f>AL227</f>
        <v>0</v>
      </c>
      <c r="AN227" s="12">
        <f>AM227</f>
        <v>0</v>
      </c>
      <c r="AO227" s="12">
        <f>AN227</f>
        <v>0</v>
      </c>
      <c r="AP227" s="12">
        <f>AO227</f>
        <v>0</v>
      </c>
      <c r="AQ227" s="12">
        <f>AP227</f>
        <v>0</v>
      </c>
      <c r="AR227" s="12">
        <f>AQ227</f>
        <v>0</v>
      </c>
      <c r="AS227" s="12">
        <f>AR227</f>
        <v>0</v>
      </c>
      <c r="AT227" s="12">
        <f>AS227</f>
        <v>0</v>
      </c>
      <c r="AU227" s="12">
        <f>AT227</f>
        <v>0</v>
      </c>
      <c r="AV227" s="12">
        <f>AU227</f>
        <v>0</v>
      </c>
      <c r="AW227" s="12">
        <f>AV227</f>
        <v>0</v>
      </c>
      <c r="AX227" s="12">
        <f>AW227</f>
        <v>0</v>
      </c>
      <c r="AY227" s="12">
        <f>AX227</f>
        <v>0</v>
      </c>
      <c r="AZ227" s="12">
        <f>AY227</f>
        <v>0</v>
      </c>
      <c r="BA227" s="12">
        <f>AZ227</f>
        <v>0</v>
      </c>
      <c r="BB227" s="12">
        <f>BA227</f>
        <v>0</v>
      </c>
      <c r="BC227" s="12">
        <f>BB227</f>
        <v>0</v>
      </c>
      <c r="BD227" s="12">
        <f>BC227</f>
        <v>0</v>
      </c>
      <c r="BE227" s="12">
        <f>BD227</f>
        <v>0</v>
      </c>
      <c r="BF227" s="12">
        <f>BE227</f>
        <v>0</v>
      </c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>
      <c r="C228" s="13" t="inlineStr">
        <is>
          <t>Common Stock and APIC</t>
        </is>
      </c>
      <c r="D228" s="46" t="n"/>
      <c r="E228" s="46" t="n"/>
      <c r="F228" s="46" t="n"/>
      <c r="G228" s="46" t="n"/>
      <c r="H228" s="12" t="n"/>
      <c r="I228" s="46">
        <f>'Inputs (2)'!D43</f>
        <v>6446.836</v>
      </c>
      <c r="J228" s="46">
        <f>'Inputs (2)'!E43</f>
        <v>6282.607</v>
      </c>
      <c r="K228" s="46">
        <f>'Inputs (2)'!F43</f>
        <v>6037.635</v>
      </c>
      <c r="L228" s="46">
        <f>'Inputs (2)'!G43</f>
        <v>5794.734</v>
      </c>
      <c r="M228" s="12">
        <f>'Inputs (2)'!H43</f>
        <v>5794.734</v>
      </c>
      <c r="N228" s="46">
        <f>'Inputs (2)'!I43</f>
        <v>5879.803</v>
      </c>
      <c r="O228" s="46">
        <f>'Inputs (2)'!J43</f>
        <v>5870.292</v>
      </c>
      <c r="P228" s="46">
        <f>'Inputs (2)'!K43</f>
        <v>5791.013</v>
      </c>
      <c r="Q228" s="46">
        <f>'Inputs (2)'!L43</f>
        <v>5935.28</v>
      </c>
      <c r="R228" s="12">
        <f>'Inputs (2)'!M43</f>
        <v>5935.28</v>
      </c>
      <c r="S228" s="46">
        <f>'Inputs (2)'!N43</f>
        <v>5957.061</v>
      </c>
      <c r="T228" s="46">
        <f>'Inputs (2)'!O43</f>
        <v>6076.374</v>
      </c>
      <c r="U228" s="46">
        <f>'Inputs (2)'!P43</f>
        <v>6057.072</v>
      </c>
      <c r="V228" s="46">
        <f>'Inputs (2)'!Q43</f>
        <v>6175.197</v>
      </c>
      <c r="W228" s="12">
        <f>'Inputs (2)'!R43</f>
        <v>6175.197</v>
      </c>
      <c r="X228" s="46">
        <f>'Inputs (2)'!S43</f>
        <v>6190.149</v>
      </c>
      <c r="Y228" s="46">
        <f>'Inputs (2)'!T43</f>
        <v>6260.626</v>
      </c>
      <c r="Z228" s="46">
        <f>'Inputs (2)'!U43</f>
        <v>6257.795</v>
      </c>
      <c r="AA228" s="46">
        <f>'Inputs (2)'!V43</f>
        <v>7444.568</v>
      </c>
      <c r="AB228" s="12">
        <f>'Inputs (2)'!W43</f>
        <v>7444.568</v>
      </c>
      <c r="AC228" s="46">
        <f>'Inputs (2)'!X43</f>
        <v>7686.987</v>
      </c>
      <c r="AD228" s="46">
        <f>'Inputs (2)'!Y43</f>
        <v>7988.67</v>
      </c>
      <c r="AE228" s="46">
        <f>'Inputs (2)'!Z43</f>
        <v>8214.085</v>
      </c>
      <c r="AF228" s="46">
        <f>'Inputs (2)'!AA43</f>
        <v>8479.893</v>
      </c>
      <c r="AG228" s="12">
        <f>'Inputs (2)'!AB43</f>
        <v>8479.893</v>
      </c>
      <c r="AH228" s="12">
        <f>'Inputs (2)'!AC43</f>
        <v>8710.273</v>
      </c>
      <c r="AI228" s="12">
        <f>'Inputs (2)'!AD43</f>
        <v>9051.778</v>
      </c>
      <c r="AJ228" s="12">
        <f>AI228+AJ232</f>
        <v>9051.778</v>
      </c>
      <c r="AK228" s="12">
        <f>AJ228+AK232</f>
        <v>9051.778</v>
      </c>
      <c r="AL228" s="12">
        <f>AK228</f>
        <v>9051.778</v>
      </c>
      <c r="AM228" s="12">
        <f>AL228+AM232</f>
        <v>9051.778</v>
      </c>
      <c r="AN228" s="12">
        <f>AM228+AN232</f>
        <v>9051.778</v>
      </c>
      <c r="AO228" s="12">
        <f>AN228+AO232</f>
        <v>9051.778</v>
      </c>
      <c r="AP228" s="12">
        <f>AO228+AP232</f>
        <v>9051.778</v>
      </c>
      <c r="AQ228" s="12">
        <f>AP228</f>
        <v>9051.778</v>
      </c>
      <c r="AR228" s="12">
        <f>AQ228+AR232</f>
        <v>9051.778</v>
      </c>
      <c r="AS228" s="12">
        <f>AR228+AS232</f>
        <v>9051.778</v>
      </c>
      <c r="AT228" s="12">
        <f>AS228+AT232</f>
        <v>9051.778</v>
      </c>
      <c r="AU228" s="12">
        <f>AT228+AU232</f>
        <v>9051.778</v>
      </c>
      <c r="AV228" s="12">
        <f>AU228</f>
        <v>9051.778</v>
      </c>
      <c r="AW228" s="12">
        <f>AV228+AW232</f>
        <v>9051.778</v>
      </c>
      <c r="AX228" s="12">
        <f>AW228+AX232</f>
        <v>9051.778</v>
      </c>
      <c r="AY228" s="12">
        <f>AX228+AY232</f>
        <v>9051.778</v>
      </c>
      <c r="AZ228" s="12">
        <f>AY228+AZ232</f>
        <v>9051.778</v>
      </c>
      <c r="BA228" s="12">
        <f>AZ228</f>
        <v>9051.778</v>
      </c>
      <c r="BB228" s="12">
        <f>BA228+BB232</f>
        <v>9051.778</v>
      </c>
      <c r="BC228" s="12">
        <f>BB228+BC232</f>
        <v>9051.778</v>
      </c>
      <c r="BD228" s="12">
        <f>BC228+BD232</f>
        <v>9051.778</v>
      </c>
      <c r="BE228" s="12">
        <f>BD228+BE232</f>
        <v>9051.778</v>
      </c>
      <c r="BF228" s="12">
        <f>BE228</f>
        <v>9051.778</v>
      </c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 customFormat="1" s="66">
      <c r="A229" s="37" t="n"/>
      <c r="B229" s="37" t="n"/>
      <c r="C229" s="67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  <c r="CY229" s="42" t="n"/>
    </row>
    <row r="230" hidden="1" outlineLevel="1" customFormat="1" s="66">
      <c r="A230" s="37" t="n"/>
      <c r="B230" s="37" t="n"/>
      <c r="C230" s="67" t="inlineStr">
        <is>
          <t>Diluted Shares outstanding</t>
        </is>
      </c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  <c r="CY230" s="42" t="n"/>
    </row>
    <row r="231" hidden="1" outlineLevel="1" customFormat="1" s="66">
      <c r="A231" s="37" t="n"/>
      <c r="B231" s="37" t="n"/>
      <c r="C231" s="67" t="inlineStr">
        <is>
          <t>Treasury share $ repurchases</t>
        </is>
      </c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11" t="n"/>
      <c r="AI231" s="11" t="n"/>
      <c r="AJ231" s="11" t="n"/>
      <c r="AK231" s="11" t="n"/>
      <c r="AL231" s="42" t="n"/>
      <c r="AM231" s="11" t="n"/>
      <c r="AN231" s="11" t="n"/>
      <c r="AO231" s="11" t="n"/>
      <c r="AP231" s="11" t="n"/>
      <c r="AQ231" s="42" t="n"/>
      <c r="AR231" s="11" t="n"/>
      <c r="AS231" s="11" t="n"/>
      <c r="AT231" s="11" t="n"/>
      <c r="AU231" s="11" t="n"/>
      <c r="AV231" s="42" t="n"/>
      <c r="AW231" s="11" t="n"/>
      <c r="AX231" s="11" t="n"/>
      <c r="AY231" s="11" t="n"/>
      <c r="AZ231" s="11" t="n"/>
      <c r="BA231" s="42" t="n"/>
      <c r="BB231" s="11" t="n"/>
      <c r="BC231" s="11" t="n"/>
      <c r="BD231" s="11" t="n"/>
      <c r="BE231" s="11" t="n"/>
      <c r="BF231" s="42" t="n"/>
      <c r="BG231" s="11" t="n"/>
      <c r="BH231" s="11" t="n"/>
      <c r="BI231" s="11" t="n"/>
      <c r="BJ231" s="11" t="n"/>
      <c r="BK231" s="42" t="n"/>
      <c r="BL231" s="11" t="n"/>
      <c r="BM231" s="11" t="n"/>
      <c r="BN231" s="11" t="n"/>
      <c r="BO231" s="11" t="n"/>
      <c r="BP231" s="42" t="n"/>
      <c r="BQ231" s="11" t="n"/>
      <c r="BR231" s="11" t="n"/>
      <c r="BS231" s="11" t="n"/>
      <c r="BT231" s="11" t="n"/>
      <c r="BU231" s="42" t="n"/>
      <c r="BV231" s="11" t="n"/>
      <c r="BW231" s="11" t="n"/>
      <c r="BX231" s="11" t="n"/>
      <c r="BY231" s="11" t="n"/>
      <c r="BZ231" s="42" t="n"/>
      <c r="CA231" s="11" t="n"/>
      <c r="CB231" s="11" t="n"/>
      <c r="CC231" s="11" t="n"/>
      <c r="CD231" s="11" t="n"/>
      <c r="CE231" s="42" t="n"/>
      <c r="CF231" s="11" t="n"/>
      <c r="CG231" s="11" t="n"/>
      <c r="CH231" s="11" t="n"/>
      <c r="CI231" s="11" t="n"/>
      <c r="CJ231" s="42" t="n"/>
      <c r="CK231" s="11" t="n"/>
      <c r="CL231" s="11" t="n"/>
      <c r="CM231" s="11" t="n"/>
      <c r="CN231" s="11" t="n"/>
      <c r="CO231" s="42" t="n"/>
      <c r="CP231" s="11" t="n"/>
      <c r="CQ231" s="11" t="n"/>
      <c r="CR231" s="11" t="n"/>
      <c r="CS231" s="11" t="n"/>
      <c r="CT231" s="42" t="n"/>
      <c r="CU231" s="11" t="n"/>
      <c r="CV231" s="11" t="n"/>
      <c r="CW231" s="11" t="n"/>
      <c r="CX231" s="11" t="n"/>
      <c r="CY231" s="42" t="n"/>
    </row>
    <row r="232" hidden="1" outlineLevel="1" customFormat="1" s="66">
      <c r="A232" s="37" t="n"/>
      <c r="B232" s="37" t="n"/>
      <c r="C232" s="67" t="inlineStr">
        <is>
          <t>Value of shares issued</t>
        </is>
      </c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11" t="n"/>
      <c r="AI232" s="11" t="n"/>
      <c r="AJ232" s="11" t="n"/>
      <c r="AK232" s="11" t="n"/>
      <c r="AL232" s="42" t="n"/>
      <c r="AM232" s="11" t="n"/>
      <c r="AN232" s="11" t="n"/>
      <c r="AO232" s="11" t="n"/>
      <c r="AP232" s="11" t="n"/>
      <c r="AQ232" s="42" t="n"/>
      <c r="AR232" s="11" t="n"/>
      <c r="AS232" s="11" t="n"/>
      <c r="AT232" s="11" t="n"/>
      <c r="AU232" s="11" t="n"/>
      <c r="AV232" s="42" t="n"/>
      <c r="AW232" s="11" t="n"/>
      <c r="AX232" s="11" t="n"/>
      <c r="AY232" s="11" t="n"/>
      <c r="AZ232" s="11" t="n"/>
      <c r="BA232" s="42" t="n"/>
      <c r="BB232" s="11" t="n"/>
      <c r="BC232" s="11" t="n"/>
      <c r="BD232" s="11" t="n"/>
      <c r="BE232" s="11" t="n"/>
      <c r="BF232" s="42" t="n"/>
      <c r="BG232" s="11" t="n"/>
      <c r="BH232" s="11" t="n"/>
      <c r="BI232" s="11" t="n"/>
      <c r="BJ232" s="11" t="n"/>
      <c r="BK232" s="42" t="n"/>
      <c r="BL232" s="11" t="n"/>
      <c r="BM232" s="11" t="n"/>
      <c r="BN232" s="11" t="n"/>
      <c r="BO232" s="11" t="n"/>
      <c r="BP232" s="42" t="n"/>
      <c r="BQ232" s="11" t="n"/>
      <c r="BR232" s="11" t="n"/>
      <c r="BS232" s="11" t="n"/>
      <c r="BT232" s="11" t="n"/>
      <c r="BU232" s="42" t="n"/>
      <c r="BV232" s="11" t="n"/>
      <c r="BW232" s="11" t="n"/>
      <c r="BX232" s="11" t="n"/>
      <c r="BY232" s="11" t="n"/>
      <c r="BZ232" s="42" t="n"/>
      <c r="CA232" s="11" t="n"/>
      <c r="CB232" s="11" t="n"/>
      <c r="CC232" s="11" t="n"/>
      <c r="CD232" s="11" t="n"/>
      <c r="CE232" s="42" t="n"/>
      <c r="CF232" s="11" t="n"/>
      <c r="CG232" s="11" t="n"/>
      <c r="CH232" s="11" t="n"/>
      <c r="CI232" s="11" t="n"/>
      <c r="CJ232" s="42" t="n"/>
      <c r="CK232" s="11" t="n"/>
      <c r="CL232" s="11" t="n"/>
      <c r="CM232" s="11" t="n"/>
      <c r="CN232" s="11" t="n"/>
      <c r="CO232" s="42" t="n"/>
      <c r="CP232" s="11" t="n"/>
      <c r="CQ232" s="11" t="n"/>
      <c r="CR232" s="11" t="n"/>
      <c r="CS232" s="11" t="n"/>
      <c r="CT232" s="42" t="n"/>
      <c r="CU232" s="11" t="n"/>
      <c r="CV232" s="11" t="n"/>
      <c r="CW232" s="11" t="n"/>
      <c r="CX232" s="11" t="n"/>
      <c r="CY232" s="42" t="n"/>
    </row>
    <row r="233" hidden="1" outlineLevel="1" customFormat="1" s="66">
      <c r="A233" s="37" t="n"/>
      <c r="B233" s="37" t="n"/>
      <c r="C233" s="67" t="inlineStr">
        <is>
          <t>Expected average share price</t>
        </is>
      </c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68">
        <f>AF233*(1+AH234)</f>
        <v>0</v>
      </c>
      <c r="AI233" s="68">
        <f>AH233*(1+AI234)</f>
        <v>0</v>
      </c>
      <c r="AJ233" s="68">
        <f>AH233*(1+AJ234)</f>
        <v>0</v>
      </c>
      <c r="AK233" s="68">
        <f>AJ233*(1+AK234)</f>
        <v>0</v>
      </c>
      <c r="AL233" s="42" t="n"/>
      <c r="AM233" s="68">
        <f>AK233*(1+AM234)</f>
        <v>0</v>
      </c>
      <c r="AN233" s="68">
        <f>AM233*(1+AN234)</f>
        <v>0</v>
      </c>
      <c r="AO233" s="68">
        <f>AM233*(1+AO234)</f>
        <v>0</v>
      </c>
      <c r="AP233" s="68">
        <f>AO233*(1+AP234)</f>
        <v>0</v>
      </c>
      <c r="AQ233" s="42" t="n"/>
      <c r="AR233" s="68">
        <f>AP233*(1+AR234)</f>
        <v>0</v>
      </c>
      <c r="AS233" s="68">
        <f>AR233*(1+AS234)</f>
        <v>0</v>
      </c>
      <c r="AT233" s="68">
        <f>AR233*(1+AT234)</f>
        <v>0</v>
      </c>
      <c r="AU233" s="68">
        <f>AT233*(1+AU234)</f>
        <v>0</v>
      </c>
      <c r="AV233" s="42" t="n"/>
      <c r="AW233" s="68">
        <f>AU233*(1+AW234)</f>
        <v>0</v>
      </c>
      <c r="AX233" s="68">
        <f>AW233*(1+AX234)</f>
        <v>0</v>
      </c>
      <c r="AY233" s="68">
        <f>AW233*(1+AY234)</f>
        <v>0</v>
      </c>
      <c r="AZ233" s="68">
        <f>AY233*(1+AZ234)</f>
        <v>0</v>
      </c>
      <c r="BA233" s="42" t="n"/>
      <c r="BB233" s="68">
        <f>AZ233*(1+BB234)</f>
        <v>0</v>
      </c>
      <c r="BC233" s="68">
        <f>BB233*(1+BC234)</f>
        <v>0</v>
      </c>
      <c r="BD233" s="68">
        <f>BB233*(1+BD234)</f>
        <v>0</v>
      </c>
      <c r="BE233" s="68">
        <f>BD233*(1+BE234)</f>
        <v>0</v>
      </c>
      <c r="BF233" s="42" t="n"/>
      <c r="BG233" s="68" t="n"/>
      <c r="BH233" s="68" t="n"/>
      <c r="BI233" s="68" t="n"/>
      <c r="BJ233" s="68" t="n"/>
      <c r="BK233" s="42" t="n"/>
      <c r="BL233" s="68" t="n"/>
      <c r="BM233" s="68" t="n"/>
      <c r="BN233" s="68" t="n"/>
      <c r="BO233" s="68" t="n"/>
      <c r="BP233" s="42" t="n"/>
      <c r="BQ233" s="68" t="n"/>
      <c r="BR233" s="68" t="n"/>
      <c r="BS233" s="68" t="n"/>
      <c r="BT233" s="68" t="n"/>
      <c r="BU233" s="42" t="n"/>
      <c r="BV233" s="68" t="n"/>
      <c r="BW233" s="68" t="n"/>
      <c r="BX233" s="68" t="n"/>
      <c r="BY233" s="68" t="n"/>
      <c r="BZ233" s="42" t="n"/>
      <c r="CA233" s="68" t="n"/>
      <c r="CB233" s="68" t="n"/>
      <c r="CC233" s="68" t="n"/>
      <c r="CD233" s="68" t="n"/>
      <c r="CE233" s="42" t="n"/>
      <c r="CF233" s="68" t="n"/>
      <c r="CG233" s="68" t="n"/>
      <c r="CH233" s="68" t="n"/>
      <c r="CI233" s="68" t="n"/>
      <c r="CJ233" s="42" t="n"/>
      <c r="CK233" s="68" t="n"/>
      <c r="CL233" s="68" t="n"/>
      <c r="CM233" s="68" t="n"/>
      <c r="CN233" s="68" t="n"/>
      <c r="CO233" s="42" t="n"/>
      <c r="CP233" s="68" t="n"/>
      <c r="CQ233" s="68" t="n"/>
      <c r="CR233" s="68" t="n"/>
      <c r="CS233" s="68" t="n"/>
      <c r="CT233" s="42" t="n"/>
      <c r="CU233" s="68" t="n"/>
      <c r="CV233" s="68" t="n"/>
      <c r="CW233" s="68" t="n"/>
      <c r="CX233" s="68" t="n"/>
      <c r="CY233" s="42" t="n"/>
    </row>
    <row r="234" hidden="1" outlineLevel="1" customFormat="1" s="66">
      <c r="A234" s="37" t="n"/>
      <c r="B234" s="37" t="n"/>
      <c r="C234" s="67" t="inlineStr">
        <is>
          <t>Consensus EPS growth</t>
        </is>
      </c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58">
        <f>$AL$239</f>
        <v>0</v>
      </c>
      <c r="AI234" s="58">
        <f>$AL$239</f>
        <v>0</v>
      </c>
      <c r="AJ234" s="58">
        <f>$AL$239</f>
        <v>0</v>
      </c>
      <c r="AK234" s="58">
        <f>$AL$239</f>
        <v>0</v>
      </c>
      <c r="AL234" s="42" t="n"/>
      <c r="AM234" s="58">
        <f>$AL$239</f>
        <v>0</v>
      </c>
      <c r="AN234" s="58">
        <f>$AL$239</f>
        <v>0</v>
      </c>
      <c r="AO234" s="58">
        <f>$AL$239</f>
        <v>0</v>
      </c>
      <c r="AP234" s="58">
        <f>$AL$239</f>
        <v>0</v>
      </c>
      <c r="AQ234" s="42" t="n"/>
      <c r="AR234" s="58">
        <f>$AL$239</f>
        <v>0</v>
      </c>
      <c r="AS234" s="58">
        <f>$AL$239</f>
        <v>0</v>
      </c>
      <c r="AT234" s="58">
        <f>$AL$239</f>
        <v>0</v>
      </c>
      <c r="AU234" s="58">
        <f>$AL$239</f>
        <v>0</v>
      </c>
      <c r="AV234" s="42" t="n"/>
      <c r="AW234" s="58">
        <f>$AL$239</f>
        <v>0</v>
      </c>
      <c r="AX234" s="58">
        <f>$AL$239</f>
        <v>0</v>
      </c>
      <c r="AY234" s="58">
        <f>$AL$239</f>
        <v>0</v>
      </c>
      <c r="AZ234" s="58">
        <f>$AL$239</f>
        <v>0</v>
      </c>
      <c r="BA234" s="42" t="n"/>
      <c r="BB234" s="58">
        <f>$AL$239</f>
        <v>0</v>
      </c>
      <c r="BC234" s="58">
        <f>$AL$239</f>
        <v>0</v>
      </c>
      <c r="BD234" s="58">
        <f>$AL$239</f>
        <v>0</v>
      </c>
      <c r="BE234" s="58">
        <f>$AL$239</f>
        <v>0</v>
      </c>
      <c r="BF234" s="42" t="n"/>
      <c r="BG234" s="58" t="n"/>
      <c r="BH234" s="58" t="n"/>
      <c r="BI234" s="58" t="n"/>
      <c r="BJ234" s="58" t="n"/>
      <c r="BK234" s="42" t="n"/>
      <c r="BL234" s="58" t="n"/>
      <c r="BM234" s="58" t="n"/>
      <c r="BN234" s="58" t="n"/>
      <c r="BO234" s="58" t="n"/>
      <c r="BP234" s="42" t="n"/>
      <c r="BQ234" s="58" t="n"/>
      <c r="BR234" s="58" t="n"/>
      <c r="BS234" s="58" t="n"/>
      <c r="BT234" s="58" t="n"/>
      <c r="BU234" s="42" t="n"/>
      <c r="BV234" s="58" t="n"/>
      <c r="BW234" s="58" t="n"/>
      <c r="BX234" s="58" t="n"/>
      <c r="BY234" s="58" t="n"/>
      <c r="BZ234" s="42" t="n"/>
      <c r="CA234" s="58" t="n"/>
      <c r="CB234" s="58" t="n"/>
      <c r="CC234" s="58" t="n"/>
      <c r="CD234" s="58" t="n"/>
      <c r="CE234" s="42" t="n"/>
      <c r="CF234" s="58" t="n"/>
      <c r="CG234" s="58" t="n"/>
      <c r="CH234" s="58" t="n"/>
      <c r="CI234" s="58" t="n"/>
      <c r="CJ234" s="42" t="n"/>
      <c r="CK234" s="58" t="n"/>
      <c r="CL234" s="58" t="n"/>
      <c r="CM234" s="58" t="n"/>
      <c r="CN234" s="58" t="n"/>
      <c r="CO234" s="42" t="n"/>
      <c r="CP234" s="58" t="n"/>
      <c r="CQ234" s="58" t="n"/>
      <c r="CR234" s="58" t="n"/>
      <c r="CS234" s="58" t="n"/>
      <c r="CT234" s="42" t="n"/>
      <c r="CU234" s="58" t="n"/>
      <c r="CV234" s="58" t="n"/>
      <c r="CW234" s="58" t="n"/>
      <c r="CX234" s="58" t="n"/>
      <c r="CY234" s="42" t="n"/>
    </row>
    <row r="235" hidden="1" outlineLevel="1" customFormat="1" s="66">
      <c r="A235" s="37" t="n"/>
      <c r="B235" s="37" t="n"/>
      <c r="C235" s="67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12" t="n"/>
      <c r="AI235" s="12" t="n"/>
      <c r="AJ235" s="12" t="n"/>
      <c r="AK235" s="12" t="n"/>
      <c r="AL235" s="42" t="n"/>
      <c r="AM235" s="12" t="n"/>
      <c r="AN235" s="12" t="n"/>
      <c r="AO235" s="12" t="n"/>
      <c r="AP235" s="12" t="n"/>
      <c r="AQ235" s="42" t="n"/>
      <c r="AR235" s="12" t="n"/>
      <c r="AS235" s="12" t="n"/>
      <c r="AT235" s="12" t="n"/>
      <c r="AU235" s="12" t="n"/>
      <c r="AV235" s="42" t="n"/>
      <c r="AW235" s="12" t="n"/>
      <c r="AX235" s="12" t="n"/>
      <c r="AY235" s="12" t="n"/>
      <c r="AZ235" s="12" t="n"/>
      <c r="BA235" s="42" t="n"/>
      <c r="BB235" s="12" t="n"/>
      <c r="BC235" s="12" t="n"/>
      <c r="BD235" s="12" t="n"/>
      <c r="BE235" s="12" t="n"/>
      <c r="BF235" s="42" t="n"/>
      <c r="BG235" s="12" t="n"/>
      <c r="BH235" s="12" t="n"/>
      <c r="BI235" s="12" t="n"/>
      <c r="BJ235" s="12" t="n"/>
      <c r="BK235" s="42" t="n"/>
      <c r="BL235" s="12" t="n"/>
      <c r="BM235" s="12" t="n"/>
      <c r="BN235" s="12" t="n"/>
      <c r="BO235" s="12" t="n"/>
      <c r="BP235" s="42" t="n"/>
      <c r="BQ235" s="12" t="n"/>
      <c r="BR235" s="12" t="n"/>
      <c r="BS235" s="12" t="n"/>
      <c r="BT235" s="12" t="n"/>
      <c r="BU235" s="42" t="n"/>
      <c r="BV235" s="12" t="n"/>
      <c r="BW235" s="12" t="n"/>
      <c r="BX235" s="12" t="n"/>
      <c r="BY235" s="12" t="n"/>
      <c r="BZ235" s="42" t="n"/>
      <c r="CA235" s="12" t="n"/>
      <c r="CB235" s="12" t="n"/>
      <c r="CC235" s="12" t="n"/>
      <c r="CD235" s="12" t="n"/>
      <c r="CE235" s="42" t="n"/>
      <c r="CF235" s="12" t="n"/>
      <c r="CG235" s="12" t="n"/>
      <c r="CH235" s="12" t="n"/>
      <c r="CI235" s="12" t="n"/>
      <c r="CJ235" s="42" t="n"/>
      <c r="CK235" s="12" t="n"/>
      <c r="CL235" s="12" t="n"/>
      <c r="CM235" s="12" t="n"/>
      <c r="CN235" s="12" t="n"/>
      <c r="CO235" s="42" t="n"/>
      <c r="CP235" s="12" t="n"/>
      <c r="CQ235" s="12" t="n"/>
      <c r="CR235" s="12" t="n"/>
      <c r="CS235" s="12" t="n"/>
      <c r="CT235" s="42" t="n"/>
      <c r="CU235" s="12" t="n"/>
      <c r="CV235" s="12" t="n"/>
      <c r="CW235" s="12" t="n"/>
      <c r="CX235" s="12" t="n"/>
      <c r="CY235" s="42" t="n"/>
    </row>
    <row r="236" hidden="1" outlineLevel="1" customFormat="1" s="66">
      <c r="A236" s="37" t="n"/>
      <c r="B236" s="37" t="n"/>
      <c r="C236" s="67" t="inlineStr">
        <is>
          <t>Shares repurchased</t>
        </is>
      </c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69" t="str">
        <f>IFERROR(-AH231/AH233,"")</f>
        <v/>
      </c>
      <c r="AI236" s="69" t="str">
        <f>IFERROR(-AI231/AI233,"")</f>
        <v/>
      </c>
      <c r="AJ236" s="69" t="str">
        <f>IFERROR(-AJ231/AJ233,"")</f>
        <v/>
      </c>
      <c r="AK236" s="69" t="str">
        <f>IFERROR(-AK231/AK233,"")</f>
        <v/>
      </c>
      <c r="AL236" s="42" t="n"/>
      <c r="AM236" s="69" t="str">
        <f>IFERROR(-AM231/AM233,"")</f>
        <v/>
      </c>
      <c r="AN236" s="69" t="str">
        <f>IFERROR(-AN231/AN233,"")</f>
        <v/>
      </c>
      <c r="AO236" s="69" t="str">
        <f>IFERROR(-AO231/AO233,"")</f>
        <v/>
      </c>
      <c r="AP236" s="69" t="str">
        <f>IFERROR(-AP231/AP233,"")</f>
        <v/>
      </c>
      <c r="AQ236" s="42" t="n"/>
      <c r="AR236" s="69" t="str">
        <f>IFERROR(-AR231/AR233,"")</f>
        <v/>
      </c>
      <c r="AS236" s="69" t="str">
        <f>IFERROR(-AS231/AS233,"")</f>
        <v/>
      </c>
      <c r="AT236" s="69" t="str">
        <f>IFERROR(-AT231/AT233,"")</f>
        <v/>
      </c>
      <c r="AU236" s="69" t="str">
        <f>IFERROR(-AU231/AU233,"")</f>
        <v/>
      </c>
      <c r="AV236" s="42" t="n"/>
      <c r="AW236" s="69" t="str">
        <f>IFERROR(-AW231/AW233,"")</f>
        <v/>
      </c>
      <c r="AX236" s="69" t="str">
        <f>IFERROR(-AX231/AX233,"")</f>
        <v/>
      </c>
      <c r="AY236" s="69" t="str">
        <f>IFERROR(-AY231/AY233,"")</f>
        <v/>
      </c>
      <c r="AZ236" s="69" t="str">
        <f>IFERROR(-AZ231/AZ233,"")</f>
        <v/>
      </c>
      <c r="BA236" s="42" t="n"/>
      <c r="BB236" s="69" t="str">
        <f>IFERROR(-BB231/BB233,"")</f>
        <v/>
      </c>
      <c r="BC236" s="69" t="str">
        <f>IFERROR(-BC231/BC233,"")</f>
        <v/>
      </c>
      <c r="BD236" s="69" t="str">
        <f>IFERROR(-BD231/BD233,"")</f>
        <v/>
      </c>
      <c r="BE236" s="69" t="str">
        <f>IFERROR(-BE231/BE233,"")</f>
        <v/>
      </c>
      <c r="BF236" s="42" t="n"/>
      <c r="BG236" s="69" t="n"/>
      <c r="BH236" s="69" t="n"/>
      <c r="BI236" s="69" t="n"/>
      <c r="BJ236" s="69" t="n"/>
      <c r="BK236" s="42" t="n"/>
      <c r="BL236" s="69" t="n"/>
      <c r="BM236" s="69" t="n"/>
      <c r="BN236" s="69" t="n"/>
      <c r="BO236" s="69" t="n"/>
      <c r="BP236" s="42" t="n"/>
      <c r="BQ236" s="69" t="n"/>
      <c r="BR236" s="69" t="n"/>
      <c r="BS236" s="69" t="n"/>
      <c r="BT236" s="69" t="n"/>
      <c r="BU236" s="42" t="n"/>
      <c r="BV236" s="69" t="n"/>
      <c r="BW236" s="69" t="n"/>
      <c r="BX236" s="69" t="n"/>
      <c r="BY236" s="69" t="n"/>
      <c r="BZ236" s="42" t="n"/>
      <c r="CA236" s="69" t="n"/>
      <c r="CB236" s="69" t="n"/>
      <c r="CC236" s="69" t="n"/>
      <c r="CD236" s="69" t="n"/>
      <c r="CE236" s="42" t="n"/>
      <c r="CF236" s="69" t="n"/>
      <c r="CG236" s="69" t="n"/>
      <c r="CH236" s="69" t="n"/>
      <c r="CI236" s="69" t="n"/>
      <c r="CJ236" s="42" t="n"/>
      <c r="CK236" s="69" t="n"/>
      <c r="CL236" s="69" t="n"/>
      <c r="CM236" s="69" t="n"/>
      <c r="CN236" s="69" t="n"/>
      <c r="CO236" s="42" t="n"/>
      <c r="CP236" s="69" t="n"/>
      <c r="CQ236" s="69" t="n"/>
      <c r="CR236" s="69" t="n"/>
      <c r="CS236" s="69" t="n"/>
      <c r="CT236" s="42" t="n"/>
      <c r="CU236" s="69" t="n"/>
      <c r="CV236" s="69" t="n"/>
      <c r="CW236" s="69" t="n"/>
      <c r="CX236" s="69" t="n"/>
      <c r="CY236" s="42" t="n"/>
    </row>
    <row r="237" hidden="1" outlineLevel="1" customFormat="1" s="66">
      <c r="A237" s="37" t="n"/>
      <c r="B237" s="37" t="n"/>
      <c r="C237" s="67" t="inlineStr">
        <is>
          <t>Shares issued</t>
        </is>
      </c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9" t="n"/>
      <c r="AG237" s="42" t="n"/>
      <c r="AH237" s="69" t="str">
        <f>IFERROR(AH232/AH233,"")</f>
        <v/>
      </c>
      <c r="AI237" s="69" t="str">
        <f>IFERROR(AI232/AI233,"")</f>
        <v/>
      </c>
      <c r="AJ237" s="69" t="str">
        <f>IFERROR(AJ232/AJ233,"")</f>
        <v/>
      </c>
      <c r="AK237" s="69" t="str">
        <f>IFERROR(AK232/AK233,"")</f>
        <v/>
      </c>
      <c r="AL237" s="42" t="n"/>
      <c r="AM237" s="69" t="str">
        <f>IFERROR(AM232/AM233,"")</f>
        <v/>
      </c>
      <c r="AN237" s="69" t="str">
        <f>IFERROR(AN232/AN233,"")</f>
        <v/>
      </c>
      <c r="AO237" s="69" t="str">
        <f>IFERROR(AO232/AO233,"")</f>
        <v/>
      </c>
      <c r="AP237" s="69" t="str">
        <f>IFERROR(AP232/AP233,"")</f>
        <v/>
      </c>
      <c r="AQ237" s="42" t="n"/>
      <c r="AR237" s="69" t="str">
        <f>IFERROR(AR232/AR233,"")</f>
        <v/>
      </c>
      <c r="AS237" s="69" t="str">
        <f>IFERROR(AS232/AS233,"")</f>
        <v/>
      </c>
      <c r="AT237" s="69" t="str">
        <f>IFERROR(AT232/AT233,"")</f>
        <v/>
      </c>
      <c r="AU237" s="69" t="str">
        <f>IFERROR(AU232/AU233,"")</f>
        <v/>
      </c>
      <c r="AV237" s="42" t="n"/>
      <c r="AW237" s="69" t="str">
        <f>IFERROR(AW232/AW233,"")</f>
        <v/>
      </c>
      <c r="AX237" s="69" t="str">
        <f>IFERROR(AX232/AX233,"")</f>
        <v/>
      </c>
      <c r="AY237" s="69" t="str">
        <f>IFERROR(AY232/AY233,"")</f>
        <v/>
      </c>
      <c r="AZ237" s="69" t="str">
        <f>IFERROR(AZ232/AZ233,"")</f>
        <v/>
      </c>
      <c r="BA237" s="42" t="n"/>
      <c r="BB237" s="69" t="str">
        <f>IFERROR(BB232/BB233,"")</f>
        <v/>
      </c>
      <c r="BC237" s="69" t="str">
        <f>IFERROR(BC232/BC233,"")</f>
        <v/>
      </c>
      <c r="BD237" s="69" t="str">
        <f>IFERROR(BD232/BD233,"")</f>
        <v/>
      </c>
      <c r="BE237" s="69" t="str">
        <f>IFERROR(BE232/BE233,"")</f>
        <v/>
      </c>
      <c r="BF237" s="42" t="n"/>
      <c r="BG237" s="69" t="n"/>
      <c r="BH237" s="69" t="n"/>
      <c r="BI237" s="69" t="n"/>
      <c r="BJ237" s="69" t="n"/>
      <c r="BK237" s="42" t="n"/>
      <c r="BL237" s="69" t="n"/>
      <c r="BM237" s="69" t="n"/>
      <c r="BN237" s="69" t="n"/>
      <c r="BO237" s="69" t="n"/>
      <c r="BP237" s="42" t="n"/>
      <c r="BQ237" s="69" t="n"/>
      <c r="BR237" s="69" t="n"/>
      <c r="BS237" s="69" t="n"/>
      <c r="BT237" s="69" t="n"/>
      <c r="BU237" s="42" t="n"/>
      <c r="BV237" s="69" t="n"/>
      <c r="BW237" s="69" t="n"/>
      <c r="BX237" s="69" t="n"/>
      <c r="BY237" s="69" t="n"/>
      <c r="BZ237" s="42" t="n"/>
      <c r="CA237" s="69" t="n"/>
      <c r="CB237" s="69" t="n"/>
      <c r="CC237" s="69" t="n"/>
      <c r="CD237" s="69" t="n"/>
      <c r="CE237" s="42" t="n"/>
      <c r="CF237" s="69" t="n"/>
      <c r="CG237" s="69" t="n"/>
      <c r="CH237" s="69" t="n"/>
      <c r="CI237" s="69" t="n"/>
      <c r="CJ237" s="42" t="n"/>
      <c r="CK237" s="69" t="n"/>
      <c r="CL237" s="69" t="n"/>
      <c r="CM237" s="69" t="n"/>
      <c r="CN237" s="69" t="n"/>
      <c r="CO237" s="42" t="n"/>
      <c r="CP237" s="69" t="n"/>
      <c r="CQ237" s="69" t="n"/>
      <c r="CR237" s="69" t="n"/>
      <c r="CS237" s="69" t="n"/>
      <c r="CT237" s="42" t="n"/>
      <c r="CU237" s="69" t="n"/>
      <c r="CV237" s="69" t="n"/>
      <c r="CW237" s="69" t="n"/>
      <c r="CX237" s="69" t="n"/>
      <c r="CY237" s="42" t="n"/>
    </row>
    <row r="238" hidden="1" outlineLevel="1" customFormat="1" s="66">
      <c r="A238" s="37" t="n"/>
      <c r="B238" s="37" t="n"/>
      <c r="C238" s="67" t="inlineStr">
        <is>
          <t>End of period basic shares outstanding</t>
        </is>
      </c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3" t="str">
        <f>IFERROR(AG238+AH237-AH236,"")</f>
        <v/>
      </c>
      <c r="AI238" s="3" t="str">
        <f>IFERROR(AH238+AI237-AI236,"")</f>
        <v/>
      </c>
      <c r="AJ238" s="69" t="str">
        <f>IFERROR(AH238+AJ237-AJ236,"")</f>
        <v/>
      </c>
      <c r="AK238" s="69" t="str">
        <f>IFERROR(AJ238+AK237-AK236,"")</f>
        <v/>
      </c>
      <c r="AL238" s="42" t="n"/>
      <c r="AM238" s="3" t="str">
        <f>IFERROR(AK238+AM237-AM236,"")</f>
        <v/>
      </c>
      <c r="AN238" s="3" t="str">
        <f>IFERROR(AM238+AN237-AN236,"")</f>
        <v/>
      </c>
      <c r="AO238" s="69" t="str">
        <f>IFERROR(AM238+AO237-AO236,"")</f>
        <v/>
      </c>
      <c r="AP238" s="69" t="str">
        <f>IFERROR(AO238+AP237-AP236,"")</f>
        <v/>
      </c>
      <c r="AQ238" s="42" t="n"/>
      <c r="AR238" s="3" t="str">
        <f>IFERROR(AP238+AR237-AR236,"")</f>
        <v/>
      </c>
      <c r="AS238" s="3" t="str">
        <f>IFERROR(AR238+AS237-AS236,"")</f>
        <v/>
      </c>
      <c r="AT238" s="69" t="str">
        <f>IFERROR(AR238+AT237-AT236,"")</f>
        <v/>
      </c>
      <c r="AU238" s="69" t="str">
        <f>IFERROR(AT238+AU237-AU236,"")</f>
        <v/>
      </c>
      <c r="AV238" s="42" t="n"/>
      <c r="AW238" s="3" t="str">
        <f>IFERROR(AU238+AW237-AW236,"")</f>
        <v/>
      </c>
      <c r="AX238" s="3" t="str">
        <f>IFERROR(AW238+AX237-AX236,"")</f>
        <v/>
      </c>
      <c r="AY238" s="69" t="str">
        <f>IFERROR(AW238+AY237-AY236,"")</f>
        <v/>
      </c>
      <c r="AZ238" s="69" t="str">
        <f>IFERROR(AY238+AZ237-AZ236,"")</f>
        <v/>
      </c>
      <c r="BA238" s="42" t="n"/>
      <c r="BB238" s="3" t="str">
        <f>IFERROR(AZ238+BB237-BB236,"")</f>
        <v/>
      </c>
      <c r="BC238" s="3" t="str">
        <f>IFERROR(BB238+BC237-BC236,"")</f>
        <v/>
      </c>
      <c r="BD238" s="69" t="str">
        <f>IFERROR(BB238+BD237-BD236,"")</f>
        <v/>
      </c>
      <c r="BE238" s="69" t="str">
        <f>IFERROR(BD238+BE237-BE236,"")</f>
        <v/>
      </c>
      <c r="BF238" s="42" t="n"/>
      <c r="BG238" s="3" t="n"/>
      <c r="BH238" s="3" t="n"/>
      <c r="BI238" s="69" t="n"/>
      <c r="BJ238" s="69" t="n"/>
      <c r="BK238" s="42" t="n"/>
      <c r="BL238" s="3" t="n"/>
      <c r="BM238" s="3" t="n"/>
      <c r="BN238" s="69" t="n"/>
      <c r="BO238" s="69" t="n"/>
      <c r="BP238" s="42" t="n"/>
      <c r="BQ238" s="3" t="n"/>
      <c r="BR238" s="3" t="n"/>
      <c r="BS238" s="69" t="n"/>
      <c r="BT238" s="69" t="n"/>
      <c r="BU238" s="42" t="n"/>
      <c r="BV238" s="3" t="n"/>
      <c r="BW238" s="3" t="n"/>
      <c r="BX238" s="69" t="n"/>
      <c r="BY238" s="69" t="n"/>
      <c r="BZ238" s="42" t="n"/>
      <c r="CA238" s="3" t="n"/>
      <c r="CB238" s="3" t="n"/>
      <c r="CC238" s="69" t="n"/>
      <c r="CD238" s="69" t="n"/>
      <c r="CE238" s="42" t="n"/>
      <c r="CF238" s="3" t="n"/>
      <c r="CG238" s="3" t="n"/>
      <c r="CH238" s="69" t="n"/>
      <c r="CI238" s="69" t="n"/>
      <c r="CJ238" s="42" t="n"/>
      <c r="CK238" s="3" t="n"/>
      <c r="CL238" s="3" t="n"/>
      <c r="CM238" s="69" t="n"/>
      <c r="CN238" s="69" t="n"/>
      <c r="CO238" s="42" t="n"/>
      <c r="CP238" s="3" t="n"/>
      <c r="CQ238" s="3" t="n"/>
      <c r="CR238" s="69" t="n"/>
      <c r="CS238" s="69" t="n"/>
      <c r="CT238" s="42" t="n"/>
      <c r="CU238" s="3" t="n"/>
      <c r="CV238" s="3" t="n"/>
      <c r="CW238" s="69" t="n"/>
      <c r="CX238" s="69" t="n"/>
      <c r="CY238" s="42" t="n"/>
    </row>
    <row r="239" hidden="1" outlineLevel="1" customFormat="1" s="66">
      <c r="A239" s="37" t="n"/>
      <c r="B239" s="37" t="n"/>
      <c r="C239" s="67" t="inlineStr">
        <is>
          <t>Weighted average basic shares outstanding</t>
        </is>
      </c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69" t="str">
        <f>IFERROR(AVERAGE(AG238,AH238),"")</f>
        <v/>
      </c>
      <c r="AI239" s="69" t="str">
        <f>IFERROR(AVERAGE(AH238,AI238),"")</f>
        <v/>
      </c>
      <c r="AJ239" s="69" t="str">
        <f>IFERROR(AVERAGE(AH238,AJ238),"")</f>
        <v/>
      </c>
      <c r="AK239" s="69" t="str">
        <f>IFERROR(AVERAGE(AJ238,AK238),"")</f>
        <v/>
      </c>
      <c r="AL239" s="42" t="n"/>
      <c r="AM239" s="69" t="str">
        <f>IFERROR(AVERAGE(AL238,AM238),"")</f>
        <v/>
      </c>
      <c r="AN239" s="69" t="str">
        <f>IFERROR(AVERAGE(AM238,AN238),"")</f>
        <v/>
      </c>
      <c r="AO239" s="69" t="str">
        <f>IFERROR(AVERAGE(AM238,AO238),"")</f>
        <v/>
      </c>
      <c r="AP239" s="69" t="str">
        <f>IFERROR(AVERAGE(AO238,AP238),"")</f>
        <v/>
      </c>
      <c r="AQ239" s="42" t="n"/>
      <c r="AR239" s="69" t="str">
        <f>IFERROR(AVERAGE(AQ238,AR238),"")</f>
        <v/>
      </c>
      <c r="AS239" s="69" t="str">
        <f>IFERROR(AVERAGE(AR238,AS238),"")</f>
        <v/>
      </c>
      <c r="AT239" s="69" t="str">
        <f>IFERROR(AVERAGE(AR238,AT238),"")</f>
        <v/>
      </c>
      <c r="AU239" s="69" t="str">
        <f>IFERROR(AVERAGE(AT238,AU238),"")</f>
        <v/>
      </c>
      <c r="AV239" s="42" t="n"/>
      <c r="AW239" s="69" t="str">
        <f>IFERROR(AVERAGE(AV238,AW238),"")</f>
        <v/>
      </c>
      <c r="AX239" s="69" t="str">
        <f>IFERROR(AVERAGE(AW238,AX238),"")</f>
        <v/>
      </c>
      <c r="AY239" s="69" t="str">
        <f>IFERROR(AVERAGE(AW238,AY238),"")</f>
        <v/>
      </c>
      <c r="AZ239" s="69" t="str">
        <f>IFERROR(AVERAGE(AY238,AZ238),"")</f>
        <v/>
      </c>
      <c r="BA239" s="42" t="n"/>
      <c r="BB239" s="69" t="str">
        <f>IFERROR(AVERAGE(BA238,BB238),"")</f>
        <v/>
      </c>
      <c r="BC239" s="69" t="str">
        <f>IFERROR(AVERAGE(BB238,BC238),"")</f>
        <v/>
      </c>
      <c r="BD239" s="69" t="str">
        <f>IFERROR(AVERAGE(BB238,BD238),"")</f>
        <v/>
      </c>
      <c r="BE239" s="69" t="str">
        <f>IFERROR(AVERAGE(BD238,BE238),"")</f>
        <v/>
      </c>
      <c r="BF239" s="42" t="n"/>
      <c r="BG239" s="69" t="n"/>
      <c r="BH239" s="69" t="n"/>
      <c r="BI239" s="69" t="n"/>
      <c r="BJ239" s="69" t="n"/>
      <c r="BK239" s="42" t="n"/>
      <c r="BL239" s="69" t="n"/>
      <c r="BM239" s="69" t="n"/>
      <c r="BN239" s="69" t="n"/>
      <c r="BO239" s="69" t="n"/>
      <c r="BP239" s="42" t="n"/>
      <c r="BQ239" s="69" t="n"/>
      <c r="BR239" s="69" t="n"/>
      <c r="BS239" s="69" t="n"/>
      <c r="BT239" s="69" t="n"/>
      <c r="BU239" s="42" t="n"/>
      <c r="BV239" s="69" t="n"/>
      <c r="BW239" s="69" t="n"/>
      <c r="BX239" s="69" t="n"/>
      <c r="BY239" s="69" t="n"/>
      <c r="BZ239" s="42" t="n"/>
      <c r="CA239" s="69" t="n"/>
      <c r="CB239" s="69" t="n"/>
      <c r="CC239" s="69" t="n"/>
      <c r="CD239" s="69" t="n"/>
      <c r="CE239" s="42" t="n"/>
      <c r="CF239" s="69" t="n"/>
      <c r="CG239" s="69" t="n"/>
      <c r="CH239" s="69" t="n"/>
      <c r="CI239" s="69" t="n"/>
      <c r="CJ239" s="42" t="n"/>
      <c r="CK239" s="69" t="n"/>
      <c r="CL239" s="69" t="n"/>
      <c r="CM239" s="69" t="n"/>
      <c r="CN239" s="69" t="n"/>
      <c r="CO239" s="42" t="n"/>
      <c r="CP239" s="69" t="n"/>
      <c r="CQ239" s="69" t="n"/>
      <c r="CR239" s="69" t="n"/>
      <c r="CS239" s="69" t="n"/>
      <c r="CT239" s="42" t="n"/>
      <c r="CU239" s="69" t="n"/>
      <c r="CV239" s="69" t="n"/>
      <c r="CW239" s="69" t="n"/>
      <c r="CX239" s="69" t="n"/>
      <c r="CY239" s="42" t="n"/>
    </row>
    <row r="240" hidden="1" outlineLevel="1" customFormat="1" s="66">
      <c r="A240" s="37" t="n"/>
      <c r="B240" s="37" t="n"/>
      <c r="C240" s="67" t="n"/>
      <c r="D240" s="42" t="n"/>
      <c r="E240" s="42" t="n"/>
      <c r="F240" s="42" t="n"/>
      <c r="G240" s="42" t="n"/>
      <c r="H240" s="12" t="n"/>
      <c r="I240" s="42" t="n"/>
      <c r="J240" s="42" t="n"/>
      <c r="K240" s="42" t="n"/>
      <c r="L240" s="42" t="n"/>
      <c r="M240" s="12" t="n"/>
      <c r="N240" s="42" t="n"/>
      <c r="O240" s="42" t="n"/>
      <c r="P240" s="42" t="n"/>
      <c r="Q240" s="42" t="n"/>
      <c r="R240" s="12" t="n"/>
      <c r="S240" s="42" t="n"/>
      <c r="T240" s="42" t="n"/>
      <c r="U240" s="42" t="n"/>
      <c r="V240" s="42" t="n"/>
      <c r="W240" s="12" t="n"/>
      <c r="X240" s="42" t="n"/>
      <c r="Y240" s="42" t="n"/>
      <c r="Z240" s="42" t="n"/>
      <c r="AA240" s="42" t="n"/>
      <c r="AB240" s="12" t="n"/>
      <c r="AC240" s="42" t="n"/>
      <c r="AD240" s="42" t="n"/>
      <c r="AE240" s="42" t="n"/>
      <c r="AF240" s="42" t="n"/>
      <c r="AG240" s="12" t="n"/>
      <c r="AH240" s="42" t="n"/>
      <c r="AI240" s="42" t="n"/>
      <c r="AJ240" s="42" t="n"/>
      <c r="AK240" s="42" t="n"/>
      <c r="AL240" s="12" t="n"/>
      <c r="AM240" s="42" t="n"/>
      <c r="AN240" s="42" t="n"/>
      <c r="AO240" s="42" t="n"/>
      <c r="AP240" s="42" t="n"/>
      <c r="AQ240" s="12" t="n"/>
      <c r="AR240" s="42" t="n"/>
      <c r="AS240" s="42" t="n"/>
      <c r="AT240" s="42" t="n"/>
      <c r="AU240" s="42" t="n"/>
      <c r="AV240" s="12" t="n"/>
      <c r="AW240" s="42" t="n"/>
      <c r="AX240" s="42" t="n"/>
      <c r="AY240" s="42" t="n"/>
      <c r="AZ240" s="42" t="n"/>
      <c r="BA240" s="12" t="n"/>
      <c r="BB240" s="42" t="n"/>
      <c r="BC240" s="42" t="n"/>
      <c r="BD240" s="42" t="n"/>
      <c r="BE240" s="42" t="n"/>
      <c r="BF240" s="12" t="n"/>
      <c r="BG240" s="42" t="n"/>
      <c r="BH240" s="42" t="n"/>
      <c r="BI240" s="42" t="n"/>
      <c r="BJ240" s="42" t="n"/>
      <c r="BK240" s="12" t="n"/>
      <c r="BL240" s="42" t="n"/>
      <c r="BM240" s="42" t="n"/>
      <c r="BN240" s="42" t="n"/>
      <c r="BO240" s="42" t="n"/>
      <c r="BP240" s="12" t="n"/>
      <c r="BQ240" s="42" t="n"/>
      <c r="BR240" s="42" t="n"/>
      <c r="BS240" s="42" t="n"/>
      <c r="BT240" s="42" t="n"/>
      <c r="BU240" s="12" t="n"/>
      <c r="BV240" s="42" t="n"/>
      <c r="BW240" s="42" t="n"/>
      <c r="BX240" s="42" t="n"/>
      <c r="BY240" s="42" t="n"/>
      <c r="BZ240" s="12" t="n"/>
      <c r="CA240" s="42" t="n"/>
      <c r="CB240" s="42" t="n"/>
      <c r="CC240" s="42" t="n"/>
      <c r="CD240" s="42" t="n"/>
      <c r="CE240" s="12" t="n"/>
      <c r="CF240" s="42" t="n"/>
      <c r="CG240" s="42" t="n"/>
      <c r="CH240" s="42" t="n"/>
      <c r="CI240" s="42" t="n"/>
      <c r="CJ240" s="12" t="n"/>
      <c r="CK240" s="42" t="n"/>
      <c r="CL240" s="42" t="n"/>
      <c r="CM240" s="42" t="n"/>
      <c r="CN240" s="42" t="n"/>
      <c r="CO240" s="12" t="n"/>
      <c r="CP240" s="42" t="n"/>
      <c r="CQ240" s="42" t="n"/>
      <c r="CR240" s="42" t="n"/>
      <c r="CS240" s="42" t="n"/>
      <c r="CT240" s="12" t="n"/>
      <c r="CU240" s="42" t="n"/>
      <c r="CV240" s="42" t="n"/>
      <c r="CW240" s="42" t="n"/>
      <c r="CX240" s="42" t="n"/>
      <c r="CY240" s="12" t="n"/>
    </row>
    <row r="241" collapsed="1">
      <c r="C241" s="14" t="inlineStr">
        <is>
          <t>Treasury stock (contra account)</t>
        </is>
      </c>
      <c r="D241" s="46" t="n"/>
      <c r="E241" s="46" t="n"/>
      <c r="F241" s="46" t="n"/>
      <c r="G241" s="46" t="n"/>
      <c r="H241" s="12" t="n"/>
      <c r="I241" s="46">
        <f>'Inputs (2)'!D44</f>
        <v>0</v>
      </c>
      <c r="J241" s="46">
        <f>'Inputs (2)'!E44</f>
        <v>0</v>
      </c>
      <c r="K241" s="46">
        <f>'Inputs (2)'!F44</f>
        <v>0</v>
      </c>
      <c r="L241" s="46">
        <f>'Inputs (2)'!G44</f>
        <v>0</v>
      </c>
      <c r="M241" s="12">
        <f>'Inputs (2)'!H44</f>
        <v>0</v>
      </c>
      <c r="N241" s="46">
        <f>'Inputs (2)'!I44</f>
        <v>0</v>
      </c>
      <c r="O241" s="46">
        <f>'Inputs (2)'!J44</f>
        <v>0</v>
      </c>
      <c r="P241" s="46">
        <f>'Inputs (2)'!K44</f>
        <v>0</v>
      </c>
      <c r="Q241" s="46">
        <f>'Inputs (2)'!L44</f>
        <v>0</v>
      </c>
      <c r="R241" s="12">
        <f>'Inputs (2)'!M44</f>
        <v>0</v>
      </c>
      <c r="S241" s="46">
        <f>'Inputs (2)'!N44</f>
        <v>0</v>
      </c>
      <c r="T241" s="46">
        <f>'Inputs (2)'!O44</f>
        <v>0</v>
      </c>
      <c r="U241" s="46">
        <f>'Inputs (2)'!P44</f>
        <v>0</v>
      </c>
      <c r="V241" s="46">
        <f>'Inputs (2)'!Q44</f>
        <v>0</v>
      </c>
      <c r="W241" s="12">
        <f>'Inputs (2)'!R44</f>
        <v>0</v>
      </c>
      <c r="X241" s="46">
        <f>'Inputs (2)'!S44</f>
        <v>0</v>
      </c>
      <c r="Y241" s="46">
        <f>'Inputs (2)'!T44</f>
        <v>0</v>
      </c>
      <c r="Z241" s="46">
        <f>'Inputs (2)'!U44</f>
        <v>0</v>
      </c>
      <c r="AA241" s="46">
        <f>'Inputs (2)'!V44</f>
        <v>0</v>
      </c>
      <c r="AB241" s="12">
        <f>'Inputs (2)'!W44</f>
        <v>0</v>
      </c>
      <c r="AC241" s="46">
        <f>'Inputs (2)'!X44</f>
        <v>0</v>
      </c>
      <c r="AD241" s="46">
        <f>'Inputs (2)'!Y44</f>
        <v>0</v>
      </c>
      <c r="AE241" s="46">
        <f>'Inputs (2)'!Z44</f>
        <v>0</v>
      </c>
      <c r="AF241" s="46">
        <f>'Inputs (2)'!AA44</f>
        <v>0</v>
      </c>
      <c r="AG241" s="12">
        <f>'Inputs (2)'!AB44</f>
        <v>0</v>
      </c>
      <c r="AH241" s="12">
        <f>'Inputs (2)'!AC44</f>
        <v>0</v>
      </c>
      <c r="AI241" s="12">
        <f>'Inputs (2)'!AD44</f>
        <v>0</v>
      </c>
      <c r="AJ241" s="12">
        <f>AI241</f>
        <v>0</v>
      </c>
      <c r="AK241" s="12">
        <f>AJ241</f>
        <v>0</v>
      </c>
      <c r="AL241" s="12">
        <f>AK241</f>
        <v>0</v>
      </c>
      <c r="AM241" s="12">
        <f>AL241</f>
        <v>0</v>
      </c>
      <c r="AN241" s="12">
        <f>AM241</f>
        <v>0</v>
      </c>
      <c r="AO241" s="12">
        <f>AN241</f>
        <v>0</v>
      </c>
      <c r="AP241" s="12">
        <f>AO241</f>
        <v>0</v>
      </c>
      <c r="AQ241" s="12">
        <f>AP241</f>
        <v>0</v>
      </c>
      <c r="AR241" s="12">
        <f>AQ241</f>
        <v>0</v>
      </c>
      <c r="AS241" s="12">
        <f>AR241</f>
        <v>0</v>
      </c>
      <c r="AT241" s="12">
        <f>AS241</f>
        <v>0</v>
      </c>
      <c r="AU241" s="12">
        <f>AT241</f>
        <v>0</v>
      </c>
      <c r="AV241" s="12">
        <f>AU241</f>
        <v>0</v>
      </c>
      <c r="AW241" s="12">
        <f>AV241</f>
        <v>0</v>
      </c>
      <c r="AX241" s="12">
        <f>AW241</f>
        <v>0</v>
      </c>
      <c r="AY241" s="12">
        <f>AX241</f>
        <v>0</v>
      </c>
      <c r="AZ241" s="12">
        <f>AY241</f>
        <v>0</v>
      </c>
      <c r="BA241" s="12">
        <f>AZ241</f>
        <v>0</v>
      </c>
      <c r="BB241" s="12">
        <f>BA241</f>
        <v>0</v>
      </c>
      <c r="BC241" s="12">
        <f>BB241</f>
        <v>0</v>
      </c>
      <c r="BD241" s="12">
        <f>BC241</f>
        <v>0</v>
      </c>
      <c r="BE241" s="12">
        <f>BD241</f>
        <v>0</v>
      </c>
      <c r="BF241" s="12">
        <f>BE241</f>
        <v>0</v>
      </c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>
      <c r="C242" s="14" t="inlineStr">
        <is>
          <t>Comprehensive (accumulated) loss</t>
        </is>
      </c>
      <c r="D242" s="46" t="n"/>
      <c r="E242" s="46" t="n"/>
      <c r="F242" s="46" t="n"/>
      <c r="G242" s="46" t="n"/>
      <c r="H242" s="12" t="n"/>
      <c r="I242" s="46">
        <f>'Inputs (2)'!D45</f>
        <v>-11.454</v>
      </c>
      <c r="J242" s="46">
        <f>'Inputs (2)'!E45</f>
        <v>-10.245</v>
      </c>
      <c r="K242" s="46">
        <f>'Inputs (2)'!F45</f>
        <v>-15.357</v>
      </c>
      <c r="L242" s="46">
        <f>'Inputs (2)'!G45</f>
        <v>-19.626</v>
      </c>
      <c r="M242" s="12">
        <f>'Inputs (2)'!H45</f>
        <v>-19.626</v>
      </c>
      <c r="N242" s="46">
        <f>'Inputs (2)'!I45</f>
        <v>-25.754</v>
      </c>
      <c r="O242" s="46">
        <f>'Inputs (2)'!J45</f>
        <v>-42.225</v>
      </c>
      <c r="P242" s="46">
        <f>'Inputs (2)'!K45</f>
        <v>-74.8</v>
      </c>
      <c r="Q242" s="46">
        <f>'Inputs (2)'!L45</f>
        <v>-27.475</v>
      </c>
      <c r="R242" s="12">
        <f>'Inputs (2)'!M45</f>
        <v>-27.475</v>
      </c>
      <c r="S242" s="46">
        <f>'Inputs (2)'!N45</f>
        <v>-22.333</v>
      </c>
      <c r="T242" s="46">
        <f>'Inputs (2)'!O45</f>
        <v>-17.205</v>
      </c>
      <c r="U242" s="46">
        <f>'Inputs (2)'!P45</f>
        <v>-38.258</v>
      </c>
      <c r="V242" s="46">
        <f>'Inputs (2)'!Q45</f>
        <v>-19.133</v>
      </c>
      <c r="W242" s="12">
        <f>'Inputs (2)'!R45</f>
        <v>-19.133</v>
      </c>
      <c r="X242" s="46">
        <f>'Inputs (2)'!S45</f>
        <v>-31.282</v>
      </c>
      <c r="Y242" s="46">
        <f>'Inputs (2)'!T45</f>
        <v>-34.617</v>
      </c>
      <c r="Z242" s="46">
        <f>'Inputs (2)'!U45</f>
        <v>-10.609</v>
      </c>
      <c r="AA242" s="46">
        <f>'Inputs (2)'!V45</f>
        <v>-40.326</v>
      </c>
      <c r="AB242" s="12">
        <f>'Inputs (2)'!W45</f>
        <v>-40.326</v>
      </c>
      <c r="AC242" s="46">
        <f>'Inputs (2)'!X45</f>
        <v>-29.027</v>
      </c>
      <c r="AD242" s="46">
        <f>'Inputs (2)'!Y45</f>
        <v>1.055</v>
      </c>
      <c r="AE242" s="46">
        <f>'Inputs (2)'!Z45</f>
        <v>-5.602</v>
      </c>
      <c r="AF242" s="46">
        <f>'Inputs (2)'!AA45</f>
        <v>-6.008</v>
      </c>
      <c r="AG242" s="12">
        <f>'Inputs (2)'!AB45</f>
        <v>-6.008</v>
      </c>
      <c r="AH242" s="12">
        <f>'Inputs (2)'!AC45</f>
        <v>-15.77</v>
      </c>
      <c r="AI242" s="12">
        <f>'Inputs (2)'!AD45</f>
        <v>-18.589</v>
      </c>
      <c r="AJ242" s="12">
        <f>AI242</f>
        <v>-18.589</v>
      </c>
      <c r="AK242" s="12">
        <f>AJ242</f>
        <v>-18.589</v>
      </c>
      <c r="AL242" s="12">
        <f>AK242</f>
        <v>-18.589</v>
      </c>
      <c r="AM242" s="12">
        <f>AL242</f>
        <v>-18.589</v>
      </c>
      <c r="AN242" s="12">
        <f>AM242</f>
        <v>-18.589</v>
      </c>
      <c r="AO242" s="12">
        <f>AN242</f>
        <v>-18.589</v>
      </c>
      <c r="AP242" s="12">
        <f>AO242</f>
        <v>-18.589</v>
      </c>
      <c r="AQ242" s="12">
        <f>AP242</f>
        <v>-18.589</v>
      </c>
      <c r="AR242" s="12">
        <f>AQ242</f>
        <v>-18.589</v>
      </c>
      <c r="AS242" s="12">
        <f>AR242</f>
        <v>-18.589</v>
      </c>
      <c r="AT242" s="12">
        <f>AS242</f>
        <v>-18.589</v>
      </c>
      <c r="AU242" s="12">
        <f>AT242</f>
        <v>-18.589</v>
      </c>
      <c r="AV242" s="12">
        <f>AU242</f>
        <v>-18.589</v>
      </c>
      <c r="AW242" s="12">
        <f>AV242</f>
        <v>-18.589</v>
      </c>
      <c r="AX242" s="12">
        <f>AW242</f>
        <v>-18.589</v>
      </c>
      <c r="AY242" s="12">
        <f>AX242</f>
        <v>-18.589</v>
      </c>
      <c r="AZ242" s="12">
        <f>AY242</f>
        <v>-18.589</v>
      </c>
      <c r="BA242" s="12">
        <f>AZ242</f>
        <v>-18.589</v>
      </c>
      <c r="BB242" s="12">
        <f>BA242</f>
        <v>-18.589</v>
      </c>
      <c r="BC242" s="12">
        <f>BB242</f>
        <v>-18.589</v>
      </c>
      <c r="BD242" s="12">
        <f>BC242</f>
        <v>-18.589</v>
      </c>
      <c r="BE242" s="12">
        <f>BD242</f>
        <v>-18.589</v>
      </c>
      <c r="BF242" s="12">
        <f>BE242</f>
        <v>-18.589</v>
      </c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>
      <c r="C243" s="14" t="inlineStr">
        <is>
          <t>Other equity account</t>
        </is>
      </c>
      <c r="D243" s="46" t="n"/>
      <c r="E243" s="46" t="n"/>
      <c r="F243" s="46" t="n"/>
      <c r="G243" s="46" t="n"/>
      <c r="H243" s="12" t="n"/>
      <c r="I243" s="46">
        <f>'Inputs (2)'!D46</f>
        <v>8915.492</v>
      </c>
      <c r="J243" s="46">
        <f>'Inputs (2)'!E46</f>
        <v>10075.29</v>
      </c>
      <c r="K243" s="46">
        <f>'Inputs (2)'!F46</f>
        <v>11756.998</v>
      </c>
      <c r="L243" s="46">
        <f>'Inputs (2)'!G46</f>
        <v>12215.125</v>
      </c>
      <c r="M243" s="12">
        <f>'Inputs (2)'!H46</f>
        <v>12215.125</v>
      </c>
      <c r="N243" s="46">
        <f>'Inputs (2)'!I46</f>
        <v>12539.63</v>
      </c>
      <c r="O243" s="46">
        <f>'Inputs (2)'!J46</f>
        <v>11427.44</v>
      </c>
      <c r="P243" s="46">
        <f>'Inputs (2)'!K46</f>
        <v>10805.521</v>
      </c>
      <c r="Q243" s="46">
        <f>'Inputs (2)'!L46</f>
        <v>10310.15</v>
      </c>
      <c r="R243" s="12">
        <f>'Inputs (2)'!M46</f>
        <v>10310.15</v>
      </c>
      <c r="S243" s="46">
        <f>'Inputs (2)'!N46</f>
        <v>9978.291</v>
      </c>
      <c r="T243" s="46">
        <f>'Inputs (2)'!O46</f>
        <v>10244.683</v>
      </c>
      <c r="U243" s="46">
        <f>'Inputs (2)'!P46</f>
        <v>10328.838</v>
      </c>
      <c r="V243" s="46">
        <f>'Inputs (2)'!Q46</f>
        <v>10079.343</v>
      </c>
      <c r="W243" s="12">
        <f>'Inputs (2)'!R46</f>
        <v>10079.343</v>
      </c>
      <c r="X243" s="46">
        <f>'Inputs (2)'!S46</f>
        <v>10587.361</v>
      </c>
      <c r="Y243" s="46">
        <f>'Inputs (2)'!T46</f>
        <v>10951.854</v>
      </c>
      <c r="Z243" s="46">
        <f>'Inputs (2)'!U46</f>
        <v>11564.438</v>
      </c>
      <c r="AA243" s="46">
        <f>'Inputs (2)'!V46</f>
        <v>10481.295</v>
      </c>
      <c r="AB243" s="12">
        <f>'Inputs (2)'!W46</f>
        <v>10481.295</v>
      </c>
      <c r="AC243" s="46">
        <f>'Inputs (2)'!X46</f>
        <v>10504.409</v>
      </c>
      <c r="AD243" s="46">
        <f>'Inputs (2)'!Y46</f>
        <v>11239.412</v>
      </c>
      <c r="AE243" s="46">
        <f>'Inputs (2)'!Z46</f>
        <v>11492.706</v>
      </c>
      <c r="AF243" s="46">
        <f>'Inputs (2)'!AA46</f>
        <v>11835.143</v>
      </c>
      <c r="AG243" s="12">
        <f>'Inputs (2)'!AB46</f>
        <v>11835.143</v>
      </c>
      <c r="AH243" s="12">
        <f>'Inputs (2)'!AC46</f>
        <v>11645.522</v>
      </c>
      <c r="AI243" s="12">
        <f>'Inputs (2)'!AD46</f>
        <v>12047.602</v>
      </c>
      <c r="AJ243" s="12">
        <f>AI243</f>
        <v>12047.602</v>
      </c>
      <c r="AK243" s="12">
        <f>AJ243</f>
        <v>12047.602</v>
      </c>
      <c r="AL243" s="12">
        <f>AK243</f>
        <v>12047.602</v>
      </c>
      <c r="AM243" s="12">
        <f>AL243</f>
        <v>12047.602</v>
      </c>
      <c r="AN243" s="12">
        <f>AM243</f>
        <v>12047.602</v>
      </c>
      <c r="AO243" s="12">
        <f>AN243</f>
        <v>12047.602</v>
      </c>
      <c r="AP243" s="12">
        <f>AO243</f>
        <v>12047.602</v>
      </c>
      <c r="AQ243" s="12">
        <f>AP243</f>
        <v>12047.602</v>
      </c>
      <c r="AR243" s="12">
        <f>AQ243</f>
        <v>12047.602</v>
      </c>
      <c r="AS243" s="12">
        <f>AR243</f>
        <v>12047.602</v>
      </c>
      <c r="AT243" s="12">
        <f>AS243</f>
        <v>12047.602</v>
      </c>
      <c r="AU243" s="12">
        <f>AT243</f>
        <v>12047.602</v>
      </c>
      <c r="AV243" s="12">
        <f>AU243</f>
        <v>12047.602</v>
      </c>
      <c r="AW243" s="12">
        <f>AV243</f>
        <v>12047.602</v>
      </c>
      <c r="AX243" s="12">
        <f>AW243</f>
        <v>12047.602</v>
      </c>
      <c r="AY243" s="12">
        <f>AX243</f>
        <v>12047.602</v>
      </c>
      <c r="AZ243" s="12">
        <f>AY243</f>
        <v>12047.602</v>
      </c>
      <c r="BA243" s="12">
        <f>AZ243</f>
        <v>12047.602</v>
      </c>
      <c r="BB243" s="12">
        <f>BA243</f>
        <v>12047.602</v>
      </c>
      <c r="BC243" s="12">
        <f>BB243</f>
        <v>12047.602</v>
      </c>
      <c r="BD243" s="12">
        <f>BC243</f>
        <v>12047.602</v>
      </c>
      <c r="BE243" s="12">
        <f>BD243</f>
        <v>12047.602</v>
      </c>
      <c r="BF243" s="12">
        <f>BE243</f>
        <v>12047.602</v>
      </c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>
      <c r="C244" s="15" t="inlineStr">
        <is>
          <t>Retained earnings</t>
        </is>
      </c>
      <c r="D244" s="46" t="n"/>
      <c r="E244" s="46" t="n"/>
      <c r="F244" s="46" t="n"/>
      <c r="G244" s="46" t="n"/>
      <c r="H244" s="12" t="n"/>
      <c r="I244" s="46">
        <f>'Inputs (2)'!D47</f>
        <v>1408.768</v>
      </c>
      <c r="J244" s="46">
        <f>'Inputs (2)'!E47</f>
        <v>2133.794</v>
      </c>
      <c r="K244" s="46">
        <f>'Inputs (2)'!F47</f>
        <v>3031.765</v>
      </c>
      <c r="L244" s="46">
        <f>'Inputs (2)'!G47</f>
        <v>3647.785</v>
      </c>
      <c r="M244" s="12">
        <f>'Inputs (2)'!H47</f>
        <v>3647.785</v>
      </c>
      <c r="N244" s="46">
        <f>'Inputs (2)'!I47</f>
        <v>3805.918</v>
      </c>
      <c r="O244" s="46">
        <f>'Inputs (2)'!J47</f>
        <v>2803.1</v>
      </c>
      <c r="P244" s="46">
        <f>'Inputs (2)'!K47</f>
        <v>1869.463</v>
      </c>
      <c r="Q244" s="46">
        <f>'Inputs (2)'!L47</f>
        <v>1748.106</v>
      </c>
      <c r="R244" s="12">
        <f>'Inputs (2)'!M47</f>
        <v>1748.106</v>
      </c>
      <c r="S244" s="46">
        <f>'Inputs (2)'!N47</f>
        <v>1156.109</v>
      </c>
      <c r="T244" s="46">
        <f>'Inputs (2)'!O47</f>
        <v>1160.278</v>
      </c>
      <c r="U244" s="46">
        <f>'Inputs (2)'!P47</f>
        <v>1114.009</v>
      </c>
      <c r="V244" s="46">
        <f>'Inputs (2)'!Q47</f>
        <v>660.734</v>
      </c>
      <c r="W244" s="12">
        <f>'Inputs (2)'!R47</f>
        <v>660.734</v>
      </c>
      <c r="X244" s="46">
        <f>'Inputs (2)'!S47</f>
        <v>796.201</v>
      </c>
      <c r="Y244" s="46">
        <f>'Inputs (2)'!T47</f>
        <v>607.564</v>
      </c>
      <c r="Z244" s="46">
        <f>'Inputs (2)'!U47</f>
        <v>760.471</v>
      </c>
      <c r="AA244" s="46">
        <f>'Inputs (2)'!V47</f>
        <v>808.079</v>
      </c>
      <c r="AB244" s="12">
        <f>'Inputs (2)'!W47</f>
        <v>808.079</v>
      </c>
      <c r="AC244" s="46">
        <f>'Inputs (2)'!X47</f>
        <v>320.16</v>
      </c>
      <c r="AD244" s="46">
        <f>'Inputs (2)'!Y47</f>
        <v>362.614</v>
      </c>
      <c r="AE244" s="46">
        <f>'Inputs (2)'!Z47</f>
        <v>184.04</v>
      </c>
      <c r="AF244" s="46">
        <f>'Inputs (2)'!AA47</f>
        <v>191.641</v>
      </c>
      <c r="AG244" s="12">
        <f>'Inputs (2)'!AB47</f>
        <v>191.641</v>
      </c>
      <c r="AH244" s="12">
        <f>'Inputs (2)'!AC47</f>
        <v>-323.733</v>
      </c>
      <c r="AI244" s="12">
        <f>'Inputs (2)'!AD47</f>
        <v>-18.646</v>
      </c>
      <c r="AJ244" s="12">
        <f>AI244+AJ111+AJ112</f>
        <v>1559.82590993443</v>
      </c>
      <c r="AK244" s="12">
        <f>AJ244+AK111+AK112</f>
        <v>3788.17819878489</v>
      </c>
      <c r="AL244" s="12">
        <f>AK244</f>
        <v>3788.17819878489</v>
      </c>
      <c r="AM244" s="12">
        <f>AL244+AM111+AM112</f>
        <v>5636.97939705508</v>
      </c>
      <c r="AN244" s="12">
        <f>AM244+AN111+AN112</f>
        <v>8214.74516974342</v>
      </c>
      <c r="AO244" s="12">
        <f>AN244+AO111+AO112</f>
        <v>10039.3641461013</v>
      </c>
      <c r="AP244" s="12">
        <f>AO244+AP111+AP112</f>
        <v>12615.2059122154</v>
      </c>
      <c r="AQ244" s="12">
        <f>AP244</f>
        <v>12615.2059122154</v>
      </c>
      <c r="AR244" s="12">
        <f>AQ244+AR111+AR112</f>
        <v>14743.0653469923</v>
      </c>
      <c r="AS244" s="12">
        <f>AR244+AS111+AS112</f>
        <v>17709.9193414575</v>
      </c>
      <c r="AT244" s="12">
        <f>AS244+AT111+AT112</f>
        <v>19809.9464873447</v>
      </c>
      <c r="AU244" s="12">
        <f>AT244+AU111+AU112</f>
        <v>22774.5860654922</v>
      </c>
      <c r="AV244" s="12">
        <f>AU244</f>
        <v>22774.5860654922</v>
      </c>
      <c r="AW244" s="12">
        <f>AV244+AW111+AW112</f>
        <v>25212.985517539</v>
      </c>
      <c r="AX244" s="12">
        <f>AW244+AX111+AX112</f>
        <v>28612.8224786515</v>
      </c>
      <c r="AY244" s="12">
        <f>AX244+AY111+AY112</f>
        <v>31019.3277948033</v>
      </c>
      <c r="AZ244" s="12">
        <f>AY244+AZ111+AZ112</f>
        <v>34416.6271674608</v>
      </c>
      <c r="BA244" s="12">
        <f>AZ244</f>
        <v>34416.6271674608</v>
      </c>
      <c r="BB244" s="12">
        <f>BA244+BB111+BB112</f>
        <v>37198.6948804831</v>
      </c>
      <c r="BC244" s="12">
        <f>BB244+BC111+BC112</f>
        <v>41077.7052005977</v>
      </c>
      <c r="BD244" s="12">
        <f>BC244+BD111+BD112</f>
        <v>43823.3836150441</v>
      </c>
      <c r="BE244" s="12">
        <f>BD244+BE111+BE112</f>
        <v>47699.4986987348</v>
      </c>
      <c r="BF244" s="12">
        <f>BE244</f>
        <v>47699.4986987348</v>
      </c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customFormat="1" s="32">
      <c r="A245" s="30" t="inlineStr">
        <is>
          <t xml:space="preserve"> </t>
        </is>
      </c>
      <c r="B245" s="30" t="n"/>
      <c r="C245" s="65" t="inlineStr">
        <is>
          <t>Total Shareholders' Equity</t>
        </is>
      </c>
      <c r="D245" s="35" t="n"/>
      <c r="E245" s="35" t="n"/>
      <c r="F245" s="35" t="n"/>
      <c r="G245" s="35" t="n"/>
      <c r="H245" s="35" t="n"/>
      <c r="I245" s="35">
        <f>SUM(I222+I227+I228+I241+I242+I243+I244)</f>
        <v>16825.188</v>
      </c>
      <c r="J245" s="35">
        <f>SUM(J222+J227+J228+J241+J242+J243+J244)</f>
        <v>18547.014</v>
      </c>
      <c r="K245" s="35">
        <f>SUM(K222+K227+K228+K241+K242+K243+K244)</f>
        <v>20877.865</v>
      </c>
      <c r="L245" s="35">
        <f>SUM(L222+L227+L228+L241+L242+L243+L244)</f>
        <v>21706.046</v>
      </c>
      <c r="M245" s="35">
        <f>SUM(M222,M227,M228,M241,M242,M243,M244)</f>
        <v>21706.046</v>
      </c>
      <c r="N245" s="35">
        <f>SUM(N222+N227+N228+N241+N242+N243+N244)</f>
        <v>22241.027</v>
      </c>
      <c r="O245" s="35">
        <f>SUM(O222+O227+O228+O241+O242+O243+O244)</f>
        <v>21334.098</v>
      </c>
      <c r="P245" s="35">
        <f>SUM(P222+P227+P228+P241+P242+P243+P244)</f>
        <v>19735.385</v>
      </c>
      <c r="Q245" s="35">
        <f>SUM(Q222+Q227+Q228+Q241+Q242+Q243+Q244)</f>
        <v>19681.067</v>
      </c>
      <c r="R245" s="35">
        <f>SUM(R222,R227,R228,R241,R242,R243,R244)</f>
        <v>19681.067</v>
      </c>
      <c r="S245" s="35">
        <f>SUM(S222+S227+S228+S241+S242+S243+S244)</f>
        <v>18713.825</v>
      </c>
      <c r="T245" s="35">
        <f>SUM(T222+T227+T228+T241+T242+T243+T244)</f>
        <v>19090.479</v>
      </c>
      <c r="U245" s="35">
        <f>SUM(U222+U227+U228+U241+U242+U243+U244)</f>
        <v>18810.721</v>
      </c>
      <c r="V245" s="35">
        <f>SUM(V222+V227+V228+V241+V242+V243+V244)</f>
        <v>18075.214</v>
      </c>
      <c r="W245" s="35">
        <f>SUM(W222,W227,W228,W241,W242,W243,W244)</f>
        <v>18075.214</v>
      </c>
      <c r="X245" s="35">
        <f>SUM(X222+X227+X228+X241+X242+X243+X244)</f>
        <v>18477.434</v>
      </c>
      <c r="Y245" s="35">
        <f>SUM(Y222+Y227+Y228+Y241+Y242+Y243+Y244)</f>
        <v>18674.295</v>
      </c>
      <c r="Z245" s="35">
        <f>SUM(Z222+Z227+Z228+Z241+Z242+Z243+Z244)</f>
        <v>19464.941</v>
      </c>
      <c r="AA245" s="35">
        <f>SUM(AA222+AA227+AA228+AA241+AA242+AA243+AA244)</f>
        <v>19495.015</v>
      </c>
      <c r="AB245" s="35">
        <f>SUM(AB222,AB227,AB228,AB241,AB242,AB243,AB244)</f>
        <v>19495.015</v>
      </c>
      <c r="AC245" s="35">
        <f>SUM(AC222+AC227+AC228+AC241+AC242+AC243+AC244)</f>
        <v>19864.903</v>
      </c>
      <c r="AD245" s="35">
        <f>SUM(AD222+AD227+AD228+AD241+AD242+AD243+AD244)</f>
        <v>21078.88</v>
      </c>
      <c r="AE245" s="35">
        <f>SUM(AE222+AE227+AE228+AE241+AE242+AE243+AE244)</f>
        <v>21361.441</v>
      </c>
      <c r="AF245" s="35">
        <f>SUM(AF222+AF227+AF228+AF241+AF242+AF243+AF244)</f>
        <v>21881.172</v>
      </c>
      <c r="AG245" s="35">
        <f>SUM(AG222,AG227,AG228,AG241,AG242,AG243,AG244)</f>
        <v>21881.172</v>
      </c>
      <c r="AH245" s="35">
        <f>SUM(AH222+AH227+AH228+AH241+AH242+AH243+AH244)</f>
        <v>21416.711</v>
      </c>
      <c r="AI245" s="35">
        <f>SUM(AI222+AI227+AI228+AI241+AI242+AI243+AI244)</f>
        <v>22433.228</v>
      </c>
      <c r="AJ245" s="35">
        <f>SUM(AJ222+AJ227+AJ228+AJ241+AJ242+AJ243+AJ244)</f>
        <v>24011.6999099344</v>
      </c>
      <c r="AK245" s="35">
        <f>SUM(AK222+AK227+AK228+AK241+AK242+AK243+AK244)</f>
        <v>26240.0521987849</v>
      </c>
      <c r="AL245" s="35">
        <f>SUM(AL222,AL227,AL228,AL241,AL242,AL243,AL244)</f>
        <v>26240.0521987849</v>
      </c>
      <c r="AM245" s="35">
        <f>SUM(AM222+AM227+AM228+AM241+AM242+AM243+AM244)</f>
        <v>28088.8533970551</v>
      </c>
      <c r="AN245" s="35">
        <f>SUM(AN222+AN227+AN228+AN241+AN242+AN243+AN244)</f>
        <v>30666.6191697434</v>
      </c>
      <c r="AO245" s="35">
        <f>SUM(AO222+AO227+AO228+AO241+AO242+AO243+AO244)</f>
        <v>32491.2381461013</v>
      </c>
      <c r="AP245" s="35">
        <f>SUM(AP222+AP227+AP228+AP241+AP242+AP243+AP244)</f>
        <v>35067.0799122154</v>
      </c>
      <c r="AQ245" s="35">
        <f>SUM(AQ222,AQ227,AQ228,AQ241,AQ242,AQ243,AQ244)</f>
        <v>35067.0799122154</v>
      </c>
      <c r="AR245" s="35">
        <f>SUM(AR222+AR227+AR228+AR241+AR242+AR243+AR244)</f>
        <v>37194.9393469923</v>
      </c>
      <c r="AS245" s="35">
        <f>SUM(AS222+AS227+AS228+AS241+AS242+AS243+AS244)</f>
        <v>40161.7933414575</v>
      </c>
      <c r="AT245" s="35">
        <f>SUM(AT222+AT227+AT228+AT241+AT242+AT243+AT244)</f>
        <v>42261.8204873447</v>
      </c>
      <c r="AU245" s="35">
        <f>SUM(AU222+AU227+AU228+AU241+AU242+AU243+AU244)</f>
        <v>45226.4600654922</v>
      </c>
      <c r="AV245" s="35">
        <f>SUM(AV222,AV227,AV228,AV241,AV242,AV243,AV244)</f>
        <v>45226.4600654922</v>
      </c>
      <c r="AW245" s="35">
        <f>SUM(AW222+AW227+AW228+AW241+AW242+AW243+AW244)</f>
        <v>47664.859517539</v>
      </c>
      <c r="AX245" s="35">
        <f>SUM(AX222+AX227+AX228+AX241+AX242+AX243+AX244)</f>
        <v>51064.6964786515</v>
      </c>
      <c r="AY245" s="35">
        <f>SUM(AY222+AY227+AY228+AY241+AY242+AY243+AY244)</f>
        <v>53471.2017948033</v>
      </c>
      <c r="AZ245" s="35">
        <f>SUM(AZ222+AZ227+AZ228+AZ241+AZ242+AZ243+AZ244)</f>
        <v>56868.5011674608</v>
      </c>
      <c r="BA245" s="35">
        <f>SUM(BA222,BA227,BA228,BA241,BA242,BA243,BA244)</f>
        <v>56868.5011674608</v>
      </c>
      <c r="BB245" s="35">
        <f>SUM(BB222+BB227+BB228+BB241+BB242+BB243+BB244)</f>
        <v>59650.5688804831</v>
      </c>
      <c r="BC245" s="35">
        <f>SUM(BC222+BC227+BC228+BC241+BC242+BC243+BC244)</f>
        <v>63529.5792005977</v>
      </c>
      <c r="BD245" s="35">
        <f>SUM(BD222+BD227+BD228+BD241+BD242+BD243+BD244)</f>
        <v>66275.2576150441</v>
      </c>
      <c r="BE245" s="35">
        <f>SUM(BE222+BE227+BE228+BE241+BE242+BE243+BE244)</f>
        <v>70151.3726987348</v>
      </c>
      <c r="BF245" s="35">
        <f>SUM(BF222,BF227,BF228,BF241,BF242,BF243,BF244)</f>
        <v>70151.3726987348</v>
      </c>
      <c r="BG245" s="35" t="n"/>
      <c r="BH245" s="35" t="n"/>
      <c r="BI245" s="35" t="n"/>
      <c r="BJ245" s="35" t="n"/>
      <c r="BK245" s="35" t="n"/>
      <c r="BL245" s="35" t="n"/>
      <c r="BM245" s="35" t="n"/>
      <c r="BN245" s="35" t="n"/>
      <c r="BO245" s="35" t="n"/>
      <c r="BP245" s="35" t="n"/>
      <c r="BQ245" s="35" t="n"/>
      <c r="BR245" s="35" t="n"/>
      <c r="BS245" s="35" t="n"/>
      <c r="BT245" s="35" t="n"/>
      <c r="BU245" s="35" t="n"/>
      <c r="BV245" s="35" t="n"/>
      <c r="BW245" s="35" t="n"/>
      <c r="BX245" s="35" t="n"/>
      <c r="BY245" s="35" t="n"/>
      <c r="BZ245" s="35" t="n"/>
      <c r="CA245" s="35" t="n"/>
      <c r="CB245" s="35" t="n"/>
      <c r="CC245" s="35" t="n"/>
      <c r="CD245" s="35" t="n"/>
      <c r="CE245" s="35" t="n"/>
      <c r="CF245" s="35" t="n"/>
      <c r="CG245" s="35" t="n"/>
      <c r="CH245" s="35" t="n"/>
      <c r="CI245" s="35" t="n"/>
      <c r="CJ245" s="35" t="n"/>
      <c r="CK245" s="35" t="n"/>
      <c r="CL245" s="35" t="n"/>
      <c r="CM245" s="35" t="n"/>
      <c r="CN245" s="35" t="n"/>
      <c r="CO245" s="35" t="n"/>
      <c r="CP245" s="35" t="n"/>
      <c r="CQ245" s="35" t="n"/>
      <c r="CR245" s="35" t="n"/>
      <c r="CS245" s="35" t="n"/>
      <c r="CT245" s="35" t="n"/>
      <c r="CU245" s="35" t="n"/>
      <c r="CV245" s="35" t="n"/>
      <c r="CW245" s="35" t="n"/>
      <c r="CX245" s="35" t="n"/>
      <c r="CY245" s="35" t="n"/>
    </row>
    <row r="246">
      <c r="C246" s="10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ustomFormat="1" s="32">
      <c r="A247" s="30" t="n"/>
      <c r="B247" s="3" t="n"/>
      <c r="C247" s="33" t="inlineStr">
        <is>
          <t>Total Liabilities + Shareholders' Equity</t>
        </is>
      </c>
      <c r="D247" s="35" t="n"/>
      <c r="E247" s="35" t="n"/>
      <c r="F247" s="35" t="n"/>
      <c r="G247" s="35" t="n"/>
      <c r="H247" s="35" t="n"/>
      <c r="I247" s="35">
        <f>I245+I221</f>
        <v>29709.986</v>
      </c>
      <c r="J247" s="35">
        <f>J245+J221</f>
        <v>33297.192</v>
      </c>
      <c r="K247" s="35">
        <f>K245+K221</f>
        <v>39038.092</v>
      </c>
      <c r="L247" s="35">
        <f>L245+L221</f>
        <v>41196.408</v>
      </c>
      <c r="M247" s="35">
        <f>M245+M221</f>
        <v>41196.408</v>
      </c>
      <c r="N247" s="35">
        <f>N245+N221</f>
        <v>43344.078</v>
      </c>
      <c r="O247" s="35">
        <f>O245+O221</f>
        <v>41631.308</v>
      </c>
      <c r="P247" s="35">
        <f>P245+P221</f>
        <v>40259.321</v>
      </c>
      <c r="Q247" s="35">
        <f>Q245+Q221</f>
        <v>42524.227</v>
      </c>
      <c r="R247" s="35">
        <f>R245+R221</f>
        <v>42524.227</v>
      </c>
      <c r="S247" s="35">
        <f>S245+S221</f>
        <v>41086.439</v>
      </c>
      <c r="T247" s="35">
        <f>T245+T221</f>
        <v>41582.784</v>
      </c>
      <c r="U247" s="35">
        <f>U245+U221</f>
        <v>41663.823</v>
      </c>
      <c r="V247" s="35">
        <f>V245+V221</f>
        <v>40287.53</v>
      </c>
      <c r="W247" s="35">
        <f>W245+W221</f>
        <v>40287.53</v>
      </c>
      <c r="X247" s="35">
        <f>X245+X221</f>
        <v>39706.302</v>
      </c>
      <c r="Y247" s="35">
        <f>Y245+Y221</f>
        <v>40585.029</v>
      </c>
      <c r="Z247" s="35">
        <f>Z245+Z221</f>
        <v>42575.442</v>
      </c>
      <c r="AA247" s="35">
        <f>AA245+AA221</f>
        <v>43469.875</v>
      </c>
      <c r="AB247" s="35">
        <f>AB245+AB221</f>
        <v>43469.875</v>
      </c>
      <c r="AC247" s="35">
        <f>AC245+AC221</f>
        <v>45255.629</v>
      </c>
      <c r="AD247" s="35">
        <f>AD245+AD221</f>
        <v>45373.094</v>
      </c>
      <c r="AE247" s="35">
        <f>AE245+AE221</f>
        <v>46554.29</v>
      </c>
      <c r="AF247" s="35">
        <f>AF245+AF221</f>
        <v>47708.975</v>
      </c>
      <c r="AG247" s="35">
        <f>AG245+AG221</f>
        <v>47708.975</v>
      </c>
      <c r="AH247" s="35">
        <f>AH245+AH221</f>
        <v>48326.982</v>
      </c>
      <c r="AI247" s="35">
        <f>AI245+AI221</f>
        <v>49892.22</v>
      </c>
      <c r="AJ247" s="35">
        <f>AJ245+AJ221</f>
        <v>51470.6919099344</v>
      </c>
      <c r="AK247" s="35">
        <f>AK245+AK221</f>
        <v>53699.0441987849</v>
      </c>
      <c r="AL247" s="35">
        <f>AL245+AL221</f>
        <v>53699.0441987849</v>
      </c>
      <c r="AM247" s="35">
        <f>AM245+AM221</f>
        <v>55547.8453970551</v>
      </c>
      <c r="AN247" s="35">
        <f>AN245+AN221</f>
        <v>58125.6111697434</v>
      </c>
      <c r="AO247" s="35">
        <f>AO245+AO221</f>
        <v>59950.2301461013</v>
      </c>
      <c r="AP247" s="35">
        <f>AP245+AP221</f>
        <v>62526.0719122154</v>
      </c>
      <c r="AQ247" s="35">
        <f>AQ245+AQ221</f>
        <v>62526.0719122154</v>
      </c>
      <c r="AR247" s="35">
        <f>AR245+AR221</f>
        <v>64653.9313469923</v>
      </c>
      <c r="AS247" s="35">
        <f>AS245+AS221</f>
        <v>67620.7853414575</v>
      </c>
      <c r="AT247" s="35">
        <f>AT245+AT221</f>
        <v>69720.8124873447</v>
      </c>
      <c r="AU247" s="35">
        <f>AU245+AU221</f>
        <v>72685.4520654922</v>
      </c>
      <c r="AV247" s="35">
        <f>AV245+AV221</f>
        <v>72685.4520654922</v>
      </c>
      <c r="AW247" s="35">
        <f>AW245+AW221</f>
        <v>75123.851517539</v>
      </c>
      <c r="AX247" s="35">
        <f>AX245+AX221</f>
        <v>78523.6884786515</v>
      </c>
      <c r="AY247" s="35">
        <f>AY245+AY221</f>
        <v>80930.1937948033</v>
      </c>
      <c r="AZ247" s="35">
        <f>AZ245+AZ221</f>
        <v>84327.4931674608</v>
      </c>
      <c r="BA247" s="35">
        <f>BA245+BA221</f>
        <v>84327.4931674608</v>
      </c>
      <c r="BB247" s="35">
        <f>BB245+BB221</f>
        <v>87109.5608804831</v>
      </c>
      <c r="BC247" s="35">
        <f>BC245+BC221</f>
        <v>90988.5712005977</v>
      </c>
      <c r="BD247" s="35">
        <f>BD245+BD221</f>
        <v>93734.2496150441</v>
      </c>
      <c r="BE247" s="35">
        <f>BE245+BE221</f>
        <v>97610.3646987348</v>
      </c>
      <c r="BF247" s="35">
        <f>BF245+BF221</f>
        <v>97610.3646987348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8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customFormat="1" s="32">
      <c r="A249" s="30" t="n"/>
      <c r="B249" s="30" t="n"/>
      <c r="C249" s="31" t="inlineStr">
        <is>
          <t>Cash Flow Statement</t>
        </is>
      </c>
      <c r="D249" s="70" t="n"/>
      <c r="E249" s="70" t="n"/>
      <c r="F249" s="70" t="n"/>
      <c r="G249" s="70" t="n"/>
      <c r="H249" s="70" t="n"/>
      <c r="I249" s="70" t="str">
        <f>I116</f>
        <v>1Q21</v>
      </c>
      <c r="J249" s="70" t="str">
        <f>J116</f>
        <v>2Q21</v>
      </c>
      <c r="K249" s="70" t="str">
        <f>K116</f>
        <v>3Q21</v>
      </c>
      <c r="L249" s="70" t="str">
        <f>L116</f>
        <v>4Q21</v>
      </c>
      <c r="M249" s="70">
        <f>M116</f>
        <v>2021</v>
      </c>
      <c r="N249" s="70" t="str">
        <f>N116</f>
        <v>1Q22</v>
      </c>
      <c r="O249" s="70" t="str">
        <f>O116</f>
        <v>2Q22</v>
      </c>
      <c r="P249" s="70" t="str">
        <f>P116</f>
        <v>3Q22</v>
      </c>
      <c r="Q249" s="70" t="str">
        <f>Q116</f>
        <v>4Q22</v>
      </c>
      <c r="R249" s="70">
        <f>R116</f>
        <v>2022</v>
      </c>
      <c r="S249" s="70" t="str">
        <f>S116</f>
        <v>1Q23</v>
      </c>
      <c r="T249" s="70" t="str">
        <f>T116</f>
        <v>2Q23</v>
      </c>
      <c r="U249" s="70" t="str">
        <f>U116</f>
        <v>3Q23</v>
      </c>
      <c r="V249" s="70" t="str">
        <f>V116</f>
        <v>4Q23</v>
      </c>
      <c r="W249" s="70">
        <f>W116</f>
        <v>2023</v>
      </c>
      <c r="X249" s="70" t="str">
        <f>X116</f>
        <v>1Q24</v>
      </c>
      <c r="Y249" s="70" t="str">
        <f>Y116</f>
        <v>2Q24</v>
      </c>
      <c r="Z249" s="70" t="str">
        <f>Z116</f>
        <v>3Q24</v>
      </c>
      <c r="AA249" s="70" t="str">
        <f>AA116</f>
        <v>4Q24</v>
      </c>
      <c r="AB249" s="70">
        <f>AB116</f>
        <v>2024</v>
      </c>
      <c r="AC249" s="70" t="str">
        <f>AC116</f>
        <v>1Q25</v>
      </c>
      <c r="AD249" s="70" t="str">
        <f>AD116</f>
        <v>2Q25</v>
      </c>
      <c r="AE249" s="70" t="str">
        <f>AE116</f>
        <v>3Q25</v>
      </c>
      <c r="AF249" s="70" t="str">
        <f>AF116</f>
        <v>4Q25</v>
      </c>
      <c r="AG249" s="70">
        <f>AG116</f>
        <v>2025</v>
      </c>
      <c r="AH249" s="70" t="str">
        <f>AH116</f>
        <v>1Q26</v>
      </c>
      <c r="AI249" s="70" t="str">
        <f>AI116</f>
        <v>2Q26</v>
      </c>
      <c r="AJ249" s="70" t="str">
        <f>AJ116</f>
        <v>3Q26</v>
      </c>
      <c r="AK249" s="70" t="str">
        <f>AK116</f>
        <v>4Q26</v>
      </c>
      <c r="AL249" s="70">
        <f>AL116</f>
        <v>2026</v>
      </c>
      <c r="AM249" s="70" t="str">
        <f>AM116</f>
        <v>1Q27</v>
      </c>
      <c r="AN249" s="70" t="str">
        <f>AN116</f>
        <v>2Q27</v>
      </c>
      <c r="AO249" s="70" t="str">
        <f>AO116</f>
        <v>3Q27</v>
      </c>
      <c r="AP249" s="70" t="str">
        <f>AP116</f>
        <v>4Q27</v>
      </c>
      <c r="AQ249" s="70">
        <f>AQ116</f>
        <v>2027</v>
      </c>
      <c r="AR249" s="70" t="str">
        <f>AR116</f>
        <v>1Q28</v>
      </c>
      <c r="AS249" s="70" t="str">
        <f>AS116</f>
        <v>2Q28</v>
      </c>
      <c r="AT249" s="70" t="str">
        <f>AT116</f>
        <v>3Q28</v>
      </c>
      <c r="AU249" s="70" t="str">
        <f>AU116</f>
        <v>4Q28</v>
      </c>
      <c r="AV249" s="70">
        <f>AV116</f>
        <v>2028</v>
      </c>
      <c r="AW249" s="70" t="str">
        <f>AW116</f>
        <v>1Q29</v>
      </c>
      <c r="AX249" s="70" t="str">
        <f>AX116</f>
        <v>2Q29</v>
      </c>
      <c r="AY249" s="70" t="str">
        <f>AY116</f>
        <v>3Q29</v>
      </c>
      <c r="AZ249" s="70" t="str">
        <f>AZ116</f>
        <v>4Q29</v>
      </c>
      <c r="BA249" s="70">
        <f>BA116</f>
        <v>2029</v>
      </c>
      <c r="BB249" s="70" t="str">
        <f>BB116</f>
        <v>1Q30</v>
      </c>
      <c r="BC249" s="70" t="str">
        <f>BC116</f>
        <v>2Q30</v>
      </c>
      <c r="BD249" s="70" t="str">
        <f>BD116</f>
        <v>3Q30</v>
      </c>
      <c r="BE249" s="70" t="str">
        <f>BE116</f>
        <v>4Q30</v>
      </c>
      <c r="BF249" s="70">
        <f>BF116</f>
        <v>2030</v>
      </c>
      <c r="BG249" s="70" t="n"/>
      <c r="BH249" s="70" t="n"/>
      <c r="BI249" s="70" t="n"/>
      <c r="BJ249" s="70" t="n"/>
      <c r="BK249" s="70" t="n"/>
      <c r="BL249" s="70" t="n"/>
      <c r="BM249" s="70" t="n"/>
      <c r="BN249" s="70" t="n"/>
      <c r="BO249" s="70" t="n"/>
      <c r="BP249" s="70" t="n"/>
      <c r="BQ249" s="70" t="n"/>
      <c r="BR249" s="70" t="n"/>
      <c r="BS249" s="70" t="n"/>
      <c r="BT249" s="70" t="n"/>
      <c r="BU249" s="70" t="n"/>
      <c r="BV249" s="70" t="n"/>
      <c r="BW249" s="70" t="n"/>
      <c r="BX249" s="70" t="n"/>
      <c r="BY249" s="70" t="n"/>
      <c r="BZ249" s="70" t="n"/>
      <c r="CA249" s="70" t="n"/>
      <c r="CB249" s="70" t="n"/>
      <c r="CC249" s="70" t="n"/>
      <c r="CD249" s="70" t="n"/>
      <c r="CE249" s="70" t="n"/>
      <c r="CF249" s="70" t="n"/>
      <c r="CG249" s="70" t="n"/>
      <c r="CH249" s="70" t="n"/>
      <c r="CI249" s="70" t="n"/>
      <c r="CJ249" s="70" t="n"/>
      <c r="CK249" s="70" t="n"/>
      <c r="CL249" s="70" t="n"/>
      <c r="CM249" s="70" t="n"/>
      <c r="CN249" s="70" t="n"/>
      <c r="CO249" s="70" t="n"/>
      <c r="CP249" s="70" t="n"/>
      <c r="CQ249" s="70" t="n"/>
      <c r="CR249" s="70" t="n"/>
      <c r="CS249" s="70" t="n"/>
      <c r="CT249" s="70" t="n"/>
      <c r="CU249" s="70" t="n"/>
      <c r="CV249" s="70" t="n"/>
      <c r="CW249" s="70" t="n"/>
      <c r="CX249" s="70" t="n"/>
      <c r="CY249" s="70" t="n"/>
    </row>
    <row r="250">
      <c r="C250" s="18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/>
      <c r="BR250" s="3" t="n"/>
      <c r="BS250" s="3" t="n"/>
      <c r="BT250" s="3" t="n"/>
      <c r="BU250" s="3" t="n"/>
      <c r="BV250" s="3" t="n"/>
      <c r="BW250" s="3" t="n"/>
      <c r="BX250" s="3" t="n"/>
      <c r="BY250" s="3" t="n"/>
      <c r="BZ250" s="3" t="n"/>
      <c r="CA250" s="3" t="n"/>
      <c r="CB250" s="3" t="n"/>
      <c r="CC250" s="3" t="n"/>
      <c r="CD250" s="3" t="n"/>
      <c r="CE250" s="3" t="n"/>
      <c r="CF250" s="3" t="n"/>
      <c r="CG250" s="3" t="n"/>
      <c r="CH250" s="3" t="n"/>
      <c r="CI250" s="3" t="n"/>
      <c r="CJ250" s="3" t="n"/>
      <c r="CK250" s="3" t="n"/>
      <c r="CL250" s="3" t="n"/>
      <c r="CM250" s="3" t="n"/>
      <c r="CN250" s="3" t="n"/>
      <c r="CO250" s="3" t="n"/>
      <c r="CP250" s="3" t="n"/>
      <c r="CQ250" s="3" t="n"/>
      <c r="CR250" s="3" t="n"/>
      <c r="CS250" s="3" t="n"/>
      <c r="CT250" s="3" t="n"/>
      <c r="CU250" s="3" t="n"/>
      <c r="CV250" s="3" t="n"/>
      <c r="CW250" s="3" t="n"/>
      <c r="CX250" s="3" t="n"/>
      <c r="CY250" s="3" t="n"/>
    </row>
    <row r="251">
      <c r="C251" s="10" t="inlineStr">
        <is>
          <t>Net Income</t>
        </is>
      </c>
      <c r="D251" s="12" t="n"/>
      <c r="E251" s="12" t="n"/>
      <c r="F251" s="12" t="n"/>
      <c r="G251" s="12" t="n"/>
      <c r="H251" s="12" t="n"/>
      <c r="I251" s="12" t="n"/>
      <c r="J251" s="12">
        <f>J111</f>
        <v>1309.152</v>
      </c>
      <c r="K251" s="12">
        <f>K111</f>
        <v>1401.895</v>
      </c>
      <c r="L251" s="12">
        <f>L111</f>
        <v>1398.478</v>
      </c>
      <c r="M251" s="12" t="n"/>
      <c r="N251" s="12">
        <f>N111</f>
        <v>1216.874</v>
      </c>
      <c r="O251" s="12">
        <f>O111</f>
        <v>-29.3929999999999</v>
      </c>
      <c r="P251" s="12">
        <f>P111</f>
        <v>2.29600000000007</v>
      </c>
      <c r="Q251" s="12">
        <f>Q111</f>
        <v>557.854</v>
      </c>
      <c r="R251" s="12">
        <f>SUM(N251:Q251)</f>
        <v>1747.631</v>
      </c>
      <c r="S251" s="12">
        <f>S111</f>
        <v>85.8120000000001</v>
      </c>
      <c r="T251" s="12">
        <f>T111</f>
        <v>601.274</v>
      </c>
      <c r="U251" s="12">
        <f>U111</f>
        <v>551.994</v>
      </c>
      <c r="V251" s="12">
        <f>V111</f>
        <v>151.8</v>
      </c>
      <c r="W251" s="12">
        <f>SUM(S251:V251)</f>
        <v>1390.88</v>
      </c>
      <c r="X251" s="12">
        <f>X111</f>
        <v>847.386</v>
      </c>
      <c r="Y251" s="12">
        <f>Y111</f>
        <v>444.414</v>
      </c>
      <c r="Z251" s="12">
        <f>Z111</f>
        <v>780.835</v>
      </c>
      <c r="AA251" s="12">
        <f>AA111</f>
        <v>703.873</v>
      </c>
      <c r="AB251" s="12">
        <f>SUM(X251:AA251)</f>
        <v>2776.508</v>
      </c>
      <c r="AC251" s="12">
        <f>AC111</f>
        <v>614.852</v>
      </c>
      <c r="AD251" s="12">
        <f>AD111</f>
        <v>764.244</v>
      </c>
      <c r="AE251" s="12">
        <f>AE111</f>
        <v>624.917</v>
      </c>
      <c r="AF251" s="12">
        <f>AF111</f>
        <v>1015.201</v>
      </c>
      <c r="AG251" s="12">
        <f>SUM(AC251:AF251)</f>
        <v>3019.214</v>
      </c>
      <c r="AH251" s="12">
        <f>AH111</f>
        <v>649.729</v>
      </c>
      <c r="AI251" s="12">
        <f>AI111</f>
        <v>1229.189</v>
      </c>
      <c r="AJ251" s="12">
        <f>AJ111</f>
        <v>1578.47190993443</v>
      </c>
      <c r="AK251" s="12">
        <f>AK111</f>
        <v>2228.35228885046</v>
      </c>
      <c r="AL251" s="12">
        <f>SUM(AH251:AK251)</f>
        <v>5685.74219878489</v>
      </c>
      <c r="AM251" s="12">
        <f>AM111</f>
        <v>1848.80119827019</v>
      </c>
      <c r="AN251" s="12">
        <f>AN111</f>
        <v>2577.76577268834</v>
      </c>
      <c r="AO251" s="12">
        <f>AO111</f>
        <v>1824.61897635787</v>
      </c>
      <c r="AP251" s="12">
        <f>AP111</f>
        <v>2575.84176611412</v>
      </c>
      <c r="AQ251" s="12">
        <f>SUM(AM251:AP251)</f>
        <v>8827.02771343052</v>
      </c>
      <c r="AR251" s="12">
        <f>AR111</f>
        <v>2127.85943477693</v>
      </c>
      <c r="AS251" s="12">
        <f>AS111</f>
        <v>2966.85399446519</v>
      </c>
      <c r="AT251" s="12">
        <f>AT111</f>
        <v>2100.02714588717</v>
      </c>
      <c r="AU251" s="12">
        <f>AU111</f>
        <v>2964.63957814754</v>
      </c>
      <c r="AV251" s="12">
        <f>SUM(AR251:AU251)</f>
        <v>10159.3801532768</v>
      </c>
      <c r="AW251" s="12">
        <f>AW111</f>
        <v>2438.39945204673</v>
      </c>
      <c r="AX251" s="12">
        <f>AX111</f>
        <v>3399.8369611125</v>
      </c>
      <c r="AY251" s="12">
        <f>AY111</f>
        <v>2406.50531615184</v>
      </c>
      <c r="AZ251" s="12">
        <f>AZ111</f>
        <v>3397.2993726575</v>
      </c>
      <c r="BA251" s="12">
        <f>SUM(AW251:AZ251)</f>
        <v>11642.0411019686</v>
      </c>
      <c r="BB251" s="12">
        <f>BB111</f>
        <v>2782.06771302233</v>
      </c>
      <c r="BC251" s="12">
        <f>BC111</f>
        <v>3879.01032011459</v>
      </c>
      <c r="BD251" s="12">
        <f>BD111</f>
        <v>2745.67841444639</v>
      </c>
      <c r="BE251" s="12">
        <f>BE111</f>
        <v>3876.11508369068</v>
      </c>
      <c r="BF251" s="12">
        <f>SUM(BB251:BE251)</f>
        <v>13282.871531274</v>
      </c>
      <c r="BG251" s="12" t="n"/>
      <c r="BH251" s="12" t="n"/>
      <c r="BI251" s="12" t="n"/>
      <c r="BJ251" s="12" t="n"/>
      <c r="BK251" s="12" t="n"/>
      <c r="BL251" s="12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  <c r="CA251" s="12" t="n"/>
      <c r="CB251" s="12" t="n"/>
      <c r="CC251" s="12" t="n"/>
      <c r="CD251" s="12" t="n"/>
      <c r="CE251" s="12" t="n"/>
      <c r="CF251" s="12" t="n"/>
      <c r="CG251" s="12" t="n"/>
      <c r="CH251" s="12" t="n"/>
      <c r="CI251" s="12" t="n"/>
      <c r="CJ251" s="12" t="n"/>
      <c r="CK251" s="12" t="n"/>
      <c r="CL251" s="12" t="n"/>
      <c r="CM251" s="12" t="n"/>
      <c r="CN251" s="12" t="n"/>
      <c r="CO251" s="12" t="n"/>
      <c r="CP251" s="12" t="n"/>
      <c r="CQ251" s="12" t="n"/>
      <c r="CR251" s="12" t="n"/>
      <c r="CS251" s="12" t="n"/>
      <c r="CT251" s="12" t="n"/>
      <c r="CU251" s="12" t="n"/>
      <c r="CV251" s="12" t="n"/>
      <c r="CW251" s="12" t="n"/>
      <c r="CX251" s="12" t="n"/>
      <c r="CY251" s="12" t="n"/>
    </row>
    <row r="252">
      <c r="C252" s="10" t="inlineStr">
        <is>
          <t>Depreciation &amp; amortization</t>
        </is>
      </c>
      <c r="D252" s="12" t="n"/>
      <c r="E252" s="12" t="n"/>
      <c r="F252" s="12" t="n"/>
      <c r="G252" s="12" t="n"/>
      <c r="H252" s="12" t="n"/>
      <c r="I252" s="12" t="n"/>
      <c r="J252" s="12">
        <f>-J44</f>
        <v>18.7</v>
      </c>
      <c r="K252" s="12">
        <f>-K44</f>
        <v>18.7</v>
      </c>
      <c r="L252" s="12">
        <f>-L44</f>
        <v>18.697</v>
      </c>
      <c r="M252" s="12" t="n"/>
      <c r="N252" s="12">
        <f>-N44</f>
        <v>18.698</v>
      </c>
      <c r="O252" s="12">
        <f>-O44</f>
        <v>18.7</v>
      </c>
      <c r="P252" s="12">
        <f>-P44</f>
        <v>14.9</v>
      </c>
      <c r="Q252" s="12">
        <f>-Q44</f>
        <v>14.809</v>
      </c>
      <c r="R252" s="12">
        <f>SUM(N252:Q252)</f>
        <v>67.107</v>
      </c>
      <c r="S252" s="12">
        <f>-S44</f>
        <v>12.996</v>
      </c>
      <c r="T252" s="12">
        <f>-T44</f>
        <v>9.1</v>
      </c>
      <c r="U252" s="12">
        <f>-U44</f>
        <v>9</v>
      </c>
      <c r="V252" s="12">
        <f>-V44</f>
        <v>9.002</v>
      </c>
      <c r="W252" s="12">
        <f>SUM(S252:V252)</f>
        <v>40.098</v>
      </c>
      <c r="X252" s="12">
        <f>-X44</f>
        <v>8.981</v>
      </c>
      <c r="Y252" s="12">
        <f>-Y44</f>
        <v>9</v>
      </c>
      <c r="Z252" s="12">
        <f>-Z44</f>
        <v>9</v>
      </c>
      <c r="AA252" s="12">
        <f>-AA44</f>
        <v>9.021</v>
      </c>
      <c r="AB252" s="12">
        <f>SUM(X252:AA252)</f>
        <v>36.002</v>
      </c>
      <c r="AC252" s="12">
        <f>-AC44</f>
        <v>8.975</v>
      </c>
      <c r="AD252" s="12">
        <f>-AD44</f>
        <v>9</v>
      </c>
      <c r="AE252" s="12">
        <f>-AE44</f>
        <v>9</v>
      </c>
      <c r="AF252" s="12">
        <f>-AF44</f>
        <v>9.099</v>
      </c>
      <c r="AG252" s="12">
        <f>SUM(AC252:AF252)</f>
        <v>36.074</v>
      </c>
      <c r="AH252" s="12">
        <f>-AH44</f>
        <v>9.035</v>
      </c>
      <c r="AI252" s="12">
        <f>-AI44</f>
        <v>9</v>
      </c>
      <c r="AJ252" s="12">
        <f>-AJ44</f>
        <v>8.5898330049078</v>
      </c>
      <c r="AK252" s="12">
        <f>-AK44</f>
        <v>12.1263951020355</v>
      </c>
      <c r="AL252" s="12">
        <f>SUM(AH252:AK252)</f>
        <v>38.7512281069433</v>
      </c>
      <c r="AM252" s="12">
        <f>-AM44</f>
        <v>10.0609288340608</v>
      </c>
      <c r="AN252" s="12">
        <f>-AN44</f>
        <v>14.0278565451822</v>
      </c>
      <c r="AO252" s="12">
        <f>-AO44</f>
        <v>9.92933241691387</v>
      </c>
      <c r="AP252" s="12">
        <f>-AP44</f>
        <v>14.0173863587513</v>
      </c>
      <c r="AQ252" s="12">
        <f>SUM(AM252:AP252)</f>
        <v>48.0355041549082</v>
      </c>
      <c r="AR252" s="12">
        <f>-AR44</f>
        <v>11.5795264316174</v>
      </c>
      <c r="AS252" s="12">
        <f>-AS44</f>
        <v>16.145222605487</v>
      </c>
      <c r="AT252" s="12">
        <f>-AT44</f>
        <v>11.4280668381949</v>
      </c>
      <c r="AU252" s="12">
        <f>-AU44</f>
        <v>16.1331720480762</v>
      </c>
      <c r="AV252" s="12">
        <f>SUM(AR252:AU252)</f>
        <v>55.2859879233755</v>
      </c>
      <c r="AW252" s="12">
        <f>-AW44</f>
        <v>13.2694436692321</v>
      </c>
      <c r="AX252" s="12">
        <f>-AX44</f>
        <v>18.5014579962229</v>
      </c>
      <c r="AY252" s="12">
        <f>-AY44</f>
        <v>13.0958800477012</v>
      </c>
      <c r="AZ252" s="12">
        <f>-AZ44</f>
        <v>18.4876487792666</v>
      </c>
      <c r="BA252" s="12">
        <f>SUM(AW252:AZ252)</f>
        <v>63.3544304924227</v>
      </c>
      <c r="BB252" s="12">
        <f>-BB44</f>
        <v>15.1396403780161</v>
      </c>
      <c r="BC252" s="12">
        <f>-BC44</f>
        <v>21.1090553239445</v>
      </c>
      <c r="BD252" s="12">
        <f>-BD44</f>
        <v>14.9416146824267</v>
      </c>
      <c r="BE252" s="12">
        <f>-BE44</f>
        <v>21.0932998345787</v>
      </c>
      <c r="BF252" s="12">
        <f>SUM(BB252:BE252)</f>
        <v>72.283610218966</v>
      </c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  <c r="CU252" s="12" t="n"/>
      <c r="CV252" s="12" t="n"/>
      <c r="CW252" s="12" t="n"/>
      <c r="CX252" s="12" t="n"/>
      <c r="CY252" s="12" t="n"/>
    </row>
    <row r="253">
      <c r="C253" s="10" t="inlineStr">
        <is>
          <t xml:space="preserve">Changes in working capital </t>
        </is>
      </c>
      <c r="D253" s="12" t="n"/>
      <c r="E253" s="12" t="n"/>
      <c r="F253" s="12" t="n"/>
      <c r="G253" s="12" t="n"/>
      <c r="H253" s="12" t="n"/>
      <c r="I253" s="12" t="n"/>
      <c r="J253" s="12">
        <f>SUM(J254:J263)</f>
        <v>-2148.579</v>
      </c>
      <c r="K253" s="12">
        <f>SUM(K254:K263)</f>
        <v>216.786999999998</v>
      </c>
      <c r="L253" s="12">
        <f>SUM(L254:L263)</f>
        <v>-3695.469</v>
      </c>
      <c r="M253" s="12" t="n"/>
      <c r="N253" s="12">
        <f>SUM(N254:N263)</f>
        <v>1274.59599999999</v>
      </c>
      <c r="O253" s="12">
        <f>SUM(O254:O263)</f>
        <v>1221.518</v>
      </c>
      <c r="P253" s="12">
        <f>SUM(P254:P263)</f>
        <v>881.365000000006</v>
      </c>
      <c r="Q253" s="12">
        <f>SUM(Q254:Q263)</f>
        <v>820.657999999998</v>
      </c>
      <c r="R253" s="12">
        <f>SUM(N253:Q253)</f>
        <v>4198.137</v>
      </c>
      <c r="S253" s="12">
        <f>SUM(S254:S263)</f>
        <v>-443.695999999997</v>
      </c>
      <c r="T253" s="12">
        <f>SUM(T254:T263)</f>
        <v>55.6279999999997</v>
      </c>
      <c r="U253" s="12">
        <f>SUM(U254:U263)</f>
        <v>-61.3420000000069</v>
      </c>
      <c r="V253" s="12">
        <f>SUM(V254:V263)</f>
        <v>687.373000000003</v>
      </c>
      <c r="W253" s="12">
        <f>SUM(S253:V253)</f>
        <v>237.962999999999</v>
      </c>
      <c r="X253" s="12">
        <f>SUM(X254:X263)</f>
        <v>-898.448999999999</v>
      </c>
      <c r="Y253" s="12">
        <f>SUM(Y254:Y263)</f>
        <v>-138.806999999998</v>
      </c>
      <c r="Z253" s="12">
        <f>SUM(Z254:Z263)</f>
        <v>-844.556000000004</v>
      </c>
      <c r="AA253" s="12">
        <f>SUM(AA254:AA263)</f>
        <v>-560.366999999999</v>
      </c>
      <c r="AB253" s="12">
        <f>SUM(X253:AA253)</f>
        <v>-2442.179</v>
      </c>
      <c r="AC253" s="12">
        <f>SUM(AC254:AC263)</f>
        <v>4.84400000000255</v>
      </c>
      <c r="AD253" s="12">
        <f>SUM(AD254:AD263)</f>
        <v>-1388.229</v>
      </c>
      <c r="AE253" s="12">
        <f>SUM(AE254:AE263)</f>
        <v>-114.866000000006</v>
      </c>
      <c r="AF253" s="12">
        <f>SUM(AF254:AF263)</f>
        <v>-343.849999999998</v>
      </c>
      <c r="AG253" s="12">
        <f>SUM(AC253:AF253)</f>
        <v>-1842.101</v>
      </c>
      <c r="AH253" s="12">
        <f>SUM(AH254:AH263)</f>
        <v>301.487000000004</v>
      </c>
      <c r="AI253" s="12">
        <f>SUM(AI254:AI263)</f>
        <v>-1010.11400000001</v>
      </c>
      <c r="AJ253" s="12">
        <f>SUM(AJ254:AJ263)</f>
        <v>0</v>
      </c>
      <c r="AK253" s="12">
        <f>SUM(AK254:AK263)</f>
        <v>0</v>
      </c>
      <c r="AL253" s="12">
        <f>SUM(AH253:AK253)</f>
        <v>-708.627000000003</v>
      </c>
      <c r="AM253" s="12">
        <f>SUM(AM254:AM263)</f>
        <v>0</v>
      </c>
      <c r="AN253" s="12">
        <f>SUM(AN254:AN263)</f>
        <v>0</v>
      </c>
      <c r="AO253" s="12">
        <f>SUM(AO254:AO263)</f>
        <v>0</v>
      </c>
      <c r="AP253" s="12">
        <f>SUM(AP254:AP263)</f>
        <v>0</v>
      </c>
      <c r="AQ253" s="12">
        <f>SUM(AM253:AP253)</f>
        <v>0</v>
      </c>
      <c r="AR253" s="12">
        <f>SUM(AR254:AR263)</f>
        <v>0</v>
      </c>
      <c r="AS253" s="12">
        <f>SUM(AS254:AS263)</f>
        <v>0</v>
      </c>
      <c r="AT253" s="12">
        <f>SUM(AT254:AT263)</f>
        <v>0</v>
      </c>
      <c r="AU253" s="12">
        <f>SUM(AU254:AU263)</f>
        <v>0</v>
      </c>
      <c r="AV253" s="12">
        <f>SUM(AR253:AU253)</f>
        <v>0</v>
      </c>
      <c r="AW253" s="12">
        <f>SUM(AW254:AW263)</f>
        <v>0</v>
      </c>
      <c r="AX253" s="12">
        <f>SUM(AX254:AX263)</f>
        <v>0</v>
      </c>
      <c r="AY253" s="12">
        <f>SUM(AY254:AY263)</f>
        <v>0</v>
      </c>
      <c r="AZ253" s="12">
        <f>SUM(AZ254:AZ263)</f>
        <v>0</v>
      </c>
      <c r="BA253" s="12">
        <f>SUM(AW253:AZ253)</f>
        <v>0</v>
      </c>
      <c r="BB253" s="12">
        <f>SUM(BB254:BB263)</f>
        <v>0</v>
      </c>
      <c r="BC253" s="12">
        <f>SUM(BC254:BC263)</f>
        <v>0</v>
      </c>
      <c r="BD253" s="12">
        <f>SUM(BD254:BD263)</f>
        <v>0</v>
      </c>
      <c r="BE253" s="12">
        <f>SUM(BE254:BE263)</f>
        <v>0</v>
      </c>
      <c r="BF253" s="12">
        <f>SUM(BB253:BE253)</f>
        <v>0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 hidden="1" outlineLevel="1">
      <c r="C254" s="10" t="inlineStr">
        <is>
          <t>Accounts receivable</t>
        </is>
      </c>
      <c r="D254" s="12" t="n"/>
      <c r="E254" s="12" t="n"/>
      <c r="F254" s="12" t="n"/>
      <c r="G254" s="12" t="n"/>
      <c r="H254" s="12" t="n"/>
      <c r="I254" s="12" t="n"/>
      <c r="J254" s="12">
        <f>(J119-I119)*-1</f>
        <v>0</v>
      </c>
      <c r="K254" s="12">
        <f>(K119-J119)*-1</f>
        <v>0</v>
      </c>
      <c r="L254" s="12">
        <f>(L119-K119)*-1</f>
        <v>0</v>
      </c>
      <c r="M254" s="12" t="n"/>
      <c r="N254" s="12">
        <f>(N119-M119)*-1</f>
        <v>0</v>
      </c>
      <c r="O254" s="12">
        <f>(O119-N119)*-1</f>
        <v>0</v>
      </c>
      <c r="P254" s="12">
        <f>(P119-O119)*-1</f>
        <v>0</v>
      </c>
      <c r="Q254" s="12">
        <f>(Q119-P119)*-1</f>
        <v>0</v>
      </c>
      <c r="R254" s="12">
        <f>SUM(N254:Q254)</f>
        <v>0</v>
      </c>
      <c r="S254" s="12">
        <f>(S119-R119)*-1</f>
        <v>0</v>
      </c>
      <c r="T254" s="12">
        <f>(T119-S119)*-1</f>
        <v>0</v>
      </c>
      <c r="U254" s="12">
        <f>(U119-T119)*-1</f>
        <v>0</v>
      </c>
      <c r="V254" s="12">
        <f>(V119-U119)*-1</f>
        <v>0</v>
      </c>
      <c r="W254" s="12">
        <f>SUM(S254:V254)</f>
        <v>0</v>
      </c>
      <c r="X254" s="12">
        <f>(X119-W119)*-1</f>
        <v>0</v>
      </c>
      <c r="Y254" s="12">
        <f>(Y119-X119)*-1</f>
        <v>0</v>
      </c>
      <c r="Z254" s="12">
        <f>(Z119-Y119)*-1</f>
        <v>0</v>
      </c>
      <c r="AA254" s="12">
        <f>(AA119-Z119)*-1</f>
        <v>0</v>
      </c>
      <c r="AB254" s="12">
        <f>SUM(X254:AA254)</f>
        <v>0</v>
      </c>
      <c r="AC254" s="12">
        <f>(AC119-AB119)*-1</f>
        <v>0</v>
      </c>
      <c r="AD254" s="12">
        <f>(AD119-AC119)*-1</f>
        <v>0</v>
      </c>
      <c r="AE254" s="12">
        <f>(AE119-AD119)*-1</f>
        <v>0</v>
      </c>
      <c r="AF254" s="12">
        <f>(AF119-AE119)*-1</f>
        <v>0</v>
      </c>
      <c r="AG254" s="12">
        <f>SUM(AC254:AF254)</f>
        <v>0</v>
      </c>
      <c r="AH254" s="12">
        <f>(AH119-AG119)*-1</f>
        <v>0</v>
      </c>
      <c r="AI254" s="12">
        <f>(AI119-AH119)*-1</f>
        <v>0</v>
      </c>
      <c r="AJ254" s="12">
        <f>(AJ119-AI119)*-1</f>
        <v>0</v>
      </c>
      <c r="AK254" s="12">
        <f>(AK119-AJ119)*-1</f>
        <v>0</v>
      </c>
      <c r="AL254" s="12">
        <f>SUM(AH254:AK254)</f>
        <v>0</v>
      </c>
      <c r="AM254" s="12">
        <f>(AM119-AL119)*-1</f>
        <v>0</v>
      </c>
      <c r="AN254" s="12">
        <f>(AN119-AM119)*-1</f>
        <v>0</v>
      </c>
      <c r="AO254" s="12">
        <f>(AO119-AN119)*-1</f>
        <v>0</v>
      </c>
      <c r="AP254" s="12">
        <f>(AP119-AO119)*-1</f>
        <v>0</v>
      </c>
      <c r="AQ254" s="12">
        <f>SUM(AM254:AP254)</f>
        <v>0</v>
      </c>
      <c r="AR254" s="12">
        <f>(AR119-AQ119)*-1</f>
        <v>0</v>
      </c>
      <c r="AS254" s="12">
        <f>(AS119-AR119)*-1</f>
        <v>0</v>
      </c>
      <c r="AT254" s="12">
        <f>(AT119-AS119)*-1</f>
        <v>0</v>
      </c>
      <c r="AU254" s="12">
        <f>(AU119-AT119)*-1</f>
        <v>0</v>
      </c>
      <c r="AV254" s="12">
        <f>SUM(AR254:AU254)</f>
        <v>0</v>
      </c>
      <c r="AW254" s="12">
        <f>(AW119-AV119)*-1</f>
        <v>0</v>
      </c>
      <c r="AX254" s="12">
        <f>(AX119-AW119)*-1</f>
        <v>0</v>
      </c>
      <c r="AY254" s="12">
        <f>(AY119-AX119)*-1</f>
        <v>0</v>
      </c>
      <c r="AZ254" s="12">
        <f>(AZ119-AY119)*-1</f>
        <v>0</v>
      </c>
      <c r="BA254" s="12">
        <f>SUM(AW254:AZ254)</f>
        <v>0</v>
      </c>
      <c r="BB254" s="12">
        <f>(BB119-BA119)*-1</f>
        <v>0</v>
      </c>
      <c r="BC254" s="12">
        <f>(BC119-BB119)*-1</f>
        <v>0</v>
      </c>
      <c r="BD254" s="12">
        <f>(BD119-BC119)*-1</f>
        <v>0</v>
      </c>
      <c r="BE254" s="12">
        <f>(BE119-BD119)*-1</f>
        <v>0</v>
      </c>
      <c r="BF254" s="12">
        <f>SUM(BB254:BE254)</f>
        <v>0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>
      <c r="C255" s="10" t="inlineStr">
        <is>
          <t>Inventories</t>
        </is>
      </c>
      <c r="D255" s="12" t="n"/>
      <c r="E255" s="12" t="n"/>
      <c r="F255" s="12" t="n"/>
      <c r="G255" s="12" t="n"/>
      <c r="H255" s="12" t="n"/>
      <c r="I255" s="12" t="n"/>
      <c r="J255" s="12">
        <f>(J123-I123)*-1</f>
        <v>0</v>
      </c>
      <c r="K255" s="12">
        <f>(K123-J123)*-1</f>
        <v>0</v>
      </c>
      <c r="L255" s="12">
        <f>(L123-K123)*-1</f>
        <v>0</v>
      </c>
      <c r="M255" s="12" t="n"/>
      <c r="N255" s="12">
        <f>(N123-M123)*-1</f>
        <v>0</v>
      </c>
      <c r="O255" s="12">
        <f>(O123-N123)*-1</f>
        <v>0</v>
      </c>
      <c r="P255" s="12">
        <f>(P123-O123)*-1</f>
        <v>0</v>
      </c>
      <c r="Q255" s="12">
        <f>(Q123-P123)*-1</f>
        <v>0</v>
      </c>
      <c r="R255" s="12">
        <f>SUM(N255:Q255)</f>
        <v>0</v>
      </c>
      <c r="S255" s="12">
        <f>(S123-R123)*-1</f>
        <v>0</v>
      </c>
      <c r="T255" s="12">
        <f>(T123-S123)*-1</f>
        <v>0</v>
      </c>
      <c r="U255" s="12">
        <f>(U123-T123)*-1</f>
        <v>0</v>
      </c>
      <c r="V255" s="12">
        <f>(V123-U123)*-1</f>
        <v>0</v>
      </c>
      <c r="W255" s="12">
        <f>SUM(S255:V255)</f>
        <v>0</v>
      </c>
      <c r="X255" s="12">
        <f>(X123-W123)*-1</f>
        <v>0</v>
      </c>
      <c r="Y255" s="12">
        <f>(Y123-X123)*-1</f>
        <v>0</v>
      </c>
      <c r="Z255" s="12">
        <f>(Z123-Y123)*-1</f>
        <v>0</v>
      </c>
      <c r="AA255" s="12">
        <f>(AA123-Z123)*-1</f>
        <v>0</v>
      </c>
      <c r="AB255" s="12">
        <f>SUM(X255:AA255)</f>
        <v>0</v>
      </c>
      <c r="AC255" s="12">
        <f>(AC123-AB123)*-1</f>
        <v>0</v>
      </c>
      <c r="AD255" s="12">
        <f>(AD123-AC123)*-1</f>
        <v>0</v>
      </c>
      <c r="AE255" s="12">
        <f>(AE123-AD123)*-1</f>
        <v>0</v>
      </c>
      <c r="AF255" s="12">
        <f>(AF123-AE123)*-1</f>
        <v>0</v>
      </c>
      <c r="AG255" s="12">
        <f>SUM(AC255:AF255)</f>
        <v>0</v>
      </c>
      <c r="AH255" s="12">
        <f>(AH123-AG123)*-1</f>
        <v>0</v>
      </c>
      <c r="AI255" s="12">
        <f>(AI123-AH123)*-1</f>
        <v>0</v>
      </c>
      <c r="AJ255" s="12">
        <f>(AJ123-AI123)*-1</f>
        <v>0</v>
      </c>
      <c r="AK255" s="12">
        <f>(AK123-AJ123)*-1</f>
        <v>0</v>
      </c>
      <c r="AL255" s="12">
        <f>SUM(AH255:AK255)</f>
        <v>0</v>
      </c>
      <c r="AM255" s="12">
        <f>(AM123-AL123)*-1</f>
        <v>0</v>
      </c>
      <c r="AN255" s="12">
        <f>(AN123-AM123)*-1</f>
        <v>0</v>
      </c>
      <c r="AO255" s="12">
        <f>(AO123-AN123)*-1</f>
        <v>0</v>
      </c>
      <c r="AP255" s="12">
        <f>(AP123-AO123)*-1</f>
        <v>0</v>
      </c>
      <c r="AQ255" s="12">
        <f>SUM(AM255:AP255)</f>
        <v>0</v>
      </c>
      <c r="AR255" s="12">
        <f>(AR123-AQ123)*-1</f>
        <v>0</v>
      </c>
      <c r="AS255" s="12">
        <f>(AS123-AR123)*-1</f>
        <v>0</v>
      </c>
      <c r="AT255" s="12">
        <f>(AT123-AS123)*-1</f>
        <v>0</v>
      </c>
      <c r="AU255" s="12">
        <f>(AU123-AT123)*-1</f>
        <v>0</v>
      </c>
      <c r="AV255" s="12">
        <f>SUM(AR255:AU255)</f>
        <v>0</v>
      </c>
      <c r="AW255" s="12">
        <f>(AW123-AV123)*-1</f>
        <v>0</v>
      </c>
      <c r="AX255" s="12">
        <f>(AX123-AW123)*-1</f>
        <v>0</v>
      </c>
      <c r="AY255" s="12">
        <f>(AY123-AX123)*-1</f>
        <v>0</v>
      </c>
      <c r="AZ255" s="12">
        <f>(AZ123-AY123)*-1</f>
        <v>0</v>
      </c>
      <c r="BA255" s="12">
        <f>SUM(AW255:AZ255)</f>
        <v>0</v>
      </c>
      <c r="BB255" s="12">
        <f>(BB123-BA123)*-1</f>
        <v>0</v>
      </c>
      <c r="BC255" s="12">
        <f>(BC123-BB123)*-1</f>
        <v>0</v>
      </c>
      <c r="BD255" s="12">
        <f>(BD123-BC123)*-1</f>
        <v>0</v>
      </c>
      <c r="BE255" s="12">
        <f>(BE123-BD123)*-1</f>
        <v>0</v>
      </c>
      <c r="BF255" s="12">
        <f>SUM(BB255:BE255)</f>
        <v>0</v>
      </c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 hidden="1" outlineLevel="1">
      <c r="C256" s="10" t="inlineStr">
        <is>
          <t>Deferred income taxes</t>
        </is>
      </c>
      <c r="D256" s="12" t="n"/>
      <c r="E256" s="12" t="n"/>
      <c r="F256" s="12" t="n"/>
      <c r="G256" s="12" t="n"/>
      <c r="H256" s="12" t="n"/>
      <c r="I256" s="12" t="n"/>
      <c r="J256" s="12">
        <f>(J127-I127)*-1</f>
        <v>80.127</v>
      </c>
      <c r="K256" s="12">
        <f>(K127-J127)*-1</f>
        <v>205.532</v>
      </c>
      <c r="L256" s="12">
        <f>(L127-K127)*-1</f>
        <v>-465.025</v>
      </c>
      <c r="M256" s="12" t="n"/>
      <c r="N256" s="12">
        <f>(N127-M127)*-1</f>
        <v>254.183</v>
      </c>
      <c r="O256" s="12">
        <f>(O127-N127)*-1</f>
        <v>-318.946</v>
      </c>
      <c r="P256" s="12">
        <f>(P127-O127)*-1</f>
        <v>-121.469</v>
      </c>
      <c r="Q256" s="12">
        <f>(Q127-P127)*-1</f>
        <v>-294.853</v>
      </c>
      <c r="R256" s="12">
        <f>SUM(N256:Q256)</f>
        <v>-481.085</v>
      </c>
      <c r="S256" s="12">
        <f>(S127-R127)*-1</f>
        <v>-143.978</v>
      </c>
      <c r="T256" s="12">
        <f>(T127-S127)*-1</f>
        <v>29.7169999999996</v>
      </c>
      <c r="U256" s="12">
        <f>(U127-T127)*-1</f>
        <v>-7.89699999999993</v>
      </c>
      <c r="V256" s="12">
        <f>(V127-U127)*-1</f>
        <v>-146.514</v>
      </c>
      <c r="W256" s="12">
        <f>SUM(S256:V256)</f>
        <v>-268.672</v>
      </c>
      <c r="X256" s="12">
        <f>(X127-W127)*-1</f>
        <v>74.5999999999999</v>
      </c>
      <c r="Y256" s="12">
        <f>(Y127-X127)*-1</f>
        <v>-33.1379999999999</v>
      </c>
      <c r="Z256" s="12">
        <f>(Z127-Y127)*-1</f>
        <v>12.125</v>
      </c>
      <c r="AA256" s="12">
        <f>(AA127-Z127)*-1</f>
        <v>273.859</v>
      </c>
      <c r="AB256" s="12">
        <f>SUM(X256:AA256)</f>
        <v>327.446</v>
      </c>
      <c r="AC256" s="12">
        <f>(AC127-AB127)*-1</f>
        <v>-153.972</v>
      </c>
      <c r="AD256" s="12">
        <f>(AD127-AC127)*-1</f>
        <v>52.643</v>
      </c>
      <c r="AE256" s="12">
        <f>(AE127-AD127)*-1</f>
        <v>5.00199999999995</v>
      </c>
      <c r="AF256" s="12">
        <f>(AF127-AE127)*-1</f>
        <v>44.0520000000001</v>
      </c>
      <c r="AG256" s="12">
        <f>SUM(AC256:AF256)</f>
        <v>-52.2749999999999</v>
      </c>
      <c r="AH256" s="12">
        <f>(AH127-AG127)*-1</f>
        <v>-10.73</v>
      </c>
      <c r="AI256" s="12">
        <f>(AI127-AH127)*-1</f>
        <v>189.009</v>
      </c>
      <c r="AJ256" s="12">
        <f>(AJ127-AI127)*-1</f>
        <v>0</v>
      </c>
      <c r="AK256" s="12">
        <f>(AK127-AJ127)*-1</f>
        <v>0</v>
      </c>
      <c r="AL256" s="12">
        <f>SUM(AH256:AK256)</f>
        <v>178.279</v>
      </c>
      <c r="AM256" s="12">
        <f>(AM127-AL127)*-1</f>
        <v>0</v>
      </c>
      <c r="AN256" s="12">
        <f>(AN127-AM127)*-1</f>
        <v>0</v>
      </c>
      <c r="AO256" s="12">
        <f>(AO127-AN127)*-1</f>
        <v>0</v>
      </c>
      <c r="AP256" s="12">
        <f>(AP127-AO127)*-1</f>
        <v>0</v>
      </c>
      <c r="AQ256" s="12">
        <f>SUM(AM256:AP256)</f>
        <v>0</v>
      </c>
      <c r="AR256" s="12">
        <f>(AR127-AQ127)*-1</f>
        <v>0</v>
      </c>
      <c r="AS256" s="12">
        <f>(AS127-AR127)*-1</f>
        <v>0</v>
      </c>
      <c r="AT256" s="12">
        <f>(AT127-AS127)*-1</f>
        <v>0</v>
      </c>
      <c r="AU256" s="12">
        <f>(AU127-AT127)*-1</f>
        <v>0</v>
      </c>
      <c r="AV256" s="12">
        <f>SUM(AR256:AU256)</f>
        <v>0</v>
      </c>
      <c r="AW256" s="12">
        <f>(AW127-AV127)*-1</f>
        <v>0</v>
      </c>
      <c r="AX256" s="12">
        <f>(AX127-AW127)*-1</f>
        <v>0</v>
      </c>
      <c r="AY256" s="12">
        <f>(AY127-AX127)*-1</f>
        <v>0</v>
      </c>
      <c r="AZ256" s="12">
        <f>(AZ127-AY127)*-1</f>
        <v>0</v>
      </c>
      <c r="BA256" s="12">
        <f>SUM(AW256:AZ256)</f>
        <v>0</v>
      </c>
      <c r="BB256" s="12">
        <f>(BB127-BA127)*-1</f>
        <v>0</v>
      </c>
      <c r="BC256" s="12">
        <f>(BC127-BB127)*-1</f>
        <v>0</v>
      </c>
      <c r="BD256" s="12">
        <f>(BD127-BC127)*-1</f>
        <v>0</v>
      </c>
      <c r="BE256" s="12">
        <f>(BE127-BD127)*-1</f>
        <v>0</v>
      </c>
      <c r="BF256" s="12">
        <f>SUM(BB256:BE256)</f>
        <v>0</v>
      </c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  <c r="CU256" s="12" t="n"/>
      <c r="CV256" s="12" t="n"/>
      <c r="CW256" s="12" t="n"/>
      <c r="CX256" s="12" t="n"/>
      <c r="CY256" s="12" t="n"/>
    </row>
    <row r="257" hidden="1" outlineLevel="1">
      <c r="C257" s="10" t="inlineStr">
        <is>
          <t>Prepaid expenses</t>
        </is>
      </c>
      <c r="D257" s="12" t="n"/>
      <c r="E257" s="12" t="n"/>
      <c r="F257" s="12" t="n"/>
      <c r="G257" s="12" t="n"/>
      <c r="H257" s="12" t="n"/>
      <c r="I257" s="12" t="n"/>
      <c r="J257" s="12">
        <f>(J128-I128)*-1</f>
        <v>0</v>
      </c>
      <c r="K257" s="12">
        <f>(K128-J128)*-1</f>
        <v>0</v>
      </c>
      <c r="L257" s="12">
        <f>(L128-K128)*-1</f>
        <v>0</v>
      </c>
      <c r="M257" s="12" t="n"/>
      <c r="N257" s="12">
        <f>(N128-M128)*-1</f>
        <v>0</v>
      </c>
      <c r="O257" s="12">
        <f>(O128-N128)*-1</f>
        <v>0</v>
      </c>
      <c r="P257" s="12">
        <f>(P128-O128)*-1</f>
        <v>0</v>
      </c>
      <c r="Q257" s="12">
        <f>(Q128-P128)*-1</f>
        <v>0</v>
      </c>
      <c r="R257" s="12">
        <f>SUM(N257:Q257)</f>
        <v>0</v>
      </c>
      <c r="S257" s="12">
        <f>(S128-R128)*-1</f>
        <v>0</v>
      </c>
      <c r="T257" s="12">
        <f>(T128-S128)*-1</f>
        <v>0</v>
      </c>
      <c r="U257" s="12">
        <f>(U128-T128)*-1</f>
        <v>0</v>
      </c>
      <c r="V257" s="12">
        <f>(V128-U128)*-1</f>
        <v>0</v>
      </c>
      <c r="W257" s="12">
        <f>SUM(S257:V257)</f>
        <v>0</v>
      </c>
      <c r="X257" s="12">
        <f>(X128-W128)*-1</f>
        <v>0</v>
      </c>
      <c r="Y257" s="12">
        <f>(Y128-X128)*-1</f>
        <v>0</v>
      </c>
      <c r="Z257" s="12">
        <f>(Z128-Y128)*-1</f>
        <v>0</v>
      </c>
      <c r="AA257" s="12">
        <f>(AA128-Z128)*-1</f>
        <v>0</v>
      </c>
      <c r="AB257" s="12">
        <f>SUM(X257:AA257)</f>
        <v>0</v>
      </c>
      <c r="AC257" s="12">
        <f>(AC128-AB128)*-1</f>
        <v>0</v>
      </c>
      <c r="AD257" s="12">
        <f>(AD128-AC128)*-1</f>
        <v>0</v>
      </c>
      <c r="AE257" s="12">
        <f>(AE128-AD128)*-1</f>
        <v>0</v>
      </c>
      <c r="AF257" s="12">
        <f>(AF128-AE128)*-1</f>
        <v>0</v>
      </c>
      <c r="AG257" s="12">
        <f>SUM(AC257:AF257)</f>
        <v>0</v>
      </c>
      <c r="AH257" s="12">
        <f>(AH128-AG128)*-1</f>
        <v>0</v>
      </c>
      <c r="AI257" s="12">
        <f>(AI128-AH128)*-1</f>
        <v>0</v>
      </c>
      <c r="AJ257" s="12">
        <f>(AJ128-AI128)*-1</f>
        <v>0</v>
      </c>
      <c r="AK257" s="12">
        <f>(AK128-AJ128)*-1</f>
        <v>0</v>
      </c>
      <c r="AL257" s="12">
        <f>SUM(AH257:AK257)</f>
        <v>0</v>
      </c>
      <c r="AM257" s="12">
        <f>(AM128-AL128)*-1</f>
        <v>0</v>
      </c>
      <c r="AN257" s="12">
        <f>(AN128-AM128)*-1</f>
        <v>0</v>
      </c>
      <c r="AO257" s="12">
        <f>(AO128-AN128)*-1</f>
        <v>0</v>
      </c>
      <c r="AP257" s="12">
        <f>(AP128-AO128)*-1</f>
        <v>0</v>
      </c>
      <c r="AQ257" s="12">
        <f>SUM(AM257:AP257)</f>
        <v>0</v>
      </c>
      <c r="AR257" s="12">
        <f>(AR128-AQ128)*-1</f>
        <v>0</v>
      </c>
      <c r="AS257" s="12">
        <f>(AS128-AR128)*-1</f>
        <v>0</v>
      </c>
      <c r="AT257" s="12">
        <f>(AT128-AS128)*-1</f>
        <v>0</v>
      </c>
      <c r="AU257" s="12">
        <f>(AU128-AT128)*-1</f>
        <v>0</v>
      </c>
      <c r="AV257" s="12">
        <f>SUM(AR257:AU257)</f>
        <v>0</v>
      </c>
      <c r="AW257" s="12">
        <f>(AW128-AV128)*-1</f>
        <v>0</v>
      </c>
      <c r="AX257" s="12">
        <f>(AX128-AW128)*-1</f>
        <v>0</v>
      </c>
      <c r="AY257" s="12">
        <f>(AY128-AX128)*-1</f>
        <v>0</v>
      </c>
      <c r="AZ257" s="12">
        <f>(AZ128-AY128)*-1</f>
        <v>0</v>
      </c>
      <c r="BA257" s="12">
        <f>SUM(AW257:AZ257)</f>
        <v>0</v>
      </c>
      <c r="BB257" s="12">
        <f>(BB128-BA128)*-1</f>
        <v>0</v>
      </c>
      <c r="BC257" s="12">
        <f>(BC128-BB128)*-1</f>
        <v>0</v>
      </c>
      <c r="BD257" s="12">
        <f>(BD128-BC128)*-1</f>
        <v>0</v>
      </c>
      <c r="BE257" s="12">
        <f>(BE128-BD128)*-1</f>
        <v>0</v>
      </c>
      <c r="BF257" s="12">
        <f>SUM(BB257:BE257)</f>
        <v>0</v>
      </c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  <c r="CN257" s="12" t="n"/>
      <c r="CO257" s="12" t="n"/>
      <c r="CP257" s="12" t="n"/>
      <c r="CQ257" s="12" t="n"/>
      <c r="CR257" s="12" t="n"/>
      <c r="CS257" s="12" t="n"/>
      <c r="CT257" s="12" t="n"/>
      <c r="CU257" s="12" t="n"/>
      <c r="CV257" s="12" t="n"/>
      <c r="CW257" s="12" t="n"/>
      <c r="CX257" s="12" t="n"/>
      <c r="CY257" s="12" t="n"/>
    </row>
    <row r="258" hidden="1" outlineLevel="1">
      <c r="C258" s="10" t="inlineStr">
        <is>
          <t>Other current assets</t>
        </is>
      </c>
      <c r="D258" s="12" t="n"/>
      <c r="E258" s="12" t="n"/>
      <c r="F258" s="12" t="n"/>
      <c r="G258" s="12" t="n"/>
      <c r="H258" s="12" t="n"/>
      <c r="I258" s="12" t="n"/>
      <c r="J258" s="12">
        <f>(J129-I129)*-1</f>
        <v>-4094.086</v>
      </c>
      <c r="K258" s="12">
        <f>(K129-J129)*-1</f>
        <v>-3398.794</v>
      </c>
      <c r="L258" s="12">
        <f>(L129-K129)*-1</f>
        <v>-4560.579</v>
      </c>
      <c r="M258" s="12" t="n"/>
      <c r="N258" s="12">
        <f>(N129-M129)*-1</f>
        <v>-592.276000000005</v>
      </c>
      <c r="O258" s="12">
        <f>(O129-N129)*-1</f>
        <v>2346.305</v>
      </c>
      <c r="P258" s="12">
        <f>(P129-O129)*-1</f>
        <v>776.108000000004</v>
      </c>
      <c r="Q258" s="12">
        <f>(Q129-P129)*-1</f>
        <v>-1203.713</v>
      </c>
      <c r="R258" s="12">
        <f>SUM(N258:Q258)</f>
        <v>1326.424</v>
      </c>
      <c r="S258" s="12">
        <f>(S129-R129)*-1</f>
        <v>170.828000000001</v>
      </c>
      <c r="T258" s="12">
        <f>(T129-S129)*-1</f>
        <v>-93.7799999999988</v>
      </c>
      <c r="U258" s="12">
        <f>(U129-T129)*-1</f>
        <v>-414.242000000006</v>
      </c>
      <c r="V258" s="12">
        <f>(V129-U129)*-1</f>
        <v>1474.673</v>
      </c>
      <c r="W258" s="12">
        <f>SUM(S258:V258)</f>
        <v>1137.479</v>
      </c>
      <c r="X258" s="12">
        <f>(X129-W129)*-1</f>
        <v>10.3990000000013</v>
      </c>
      <c r="Y258" s="12">
        <f>(Y129-X129)*-1</f>
        <v>-787.535</v>
      </c>
      <c r="Z258" s="12">
        <f>(Z129-Y129)*-1</f>
        <v>-2056.448</v>
      </c>
      <c r="AA258" s="12">
        <f>(AA129-Z129)*-1</f>
        <v>-1698.585</v>
      </c>
      <c r="AB258" s="12">
        <f>SUM(X258:AA258)</f>
        <v>-4532.169</v>
      </c>
      <c r="AC258" s="12">
        <f>(AC129-AB129)*-1</f>
        <v>-1257.05</v>
      </c>
      <c r="AD258" s="12">
        <f>(AD129-AC129)*-1</f>
        <v>-344.360000000001</v>
      </c>
      <c r="AE258" s="12">
        <f>(AE129-AD129)*-1</f>
        <v>-1018.503</v>
      </c>
      <c r="AF258" s="12">
        <f>(AF129-AE129)*-1</f>
        <v>-1022.856</v>
      </c>
      <c r="AG258" s="12">
        <f>SUM(AC258:AF258)</f>
        <v>-3642.769</v>
      </c>
      <c r="AH258" s="12">
        <f>(AH129-AG129)*-1</f>
        <v>-770.250999999997</v>
      </c>
      <c r="AI258" s="12">
        <f>(AI129-AH129)*-1</f>
        <v>-1747.844</v>
      </c>
      <c r="AJ258" s="12">
        <f>(AJ129-AI129)*-1</f>
        <v>0</v>
      </c>
      <c r="AK258" s="12">
        <f>(AK129-AJ129)*-1</f>
        <v>0</v>
      </c>
      <c r="AL258" s="12">
        <f>SUM(AH258:AK258)</f>
        <v>-2518.095</v>
      </c>
      <c r="AM258" s="12">
        <f>(AM129-AL129)*-1</f>
        <v>0</v>
      </c>
      <c r="AN258" s="12">
        <f>(AN129-AM129)*-1</f>
        <v>0</v>
      </c>
      <c r="AO258" s="12">
        <f>(AO129-AN129)*-1</f>
        <v>0</v>
      </c>
      <c r="AP258" s="12">
        <f>(AP129-AO129)*-1</f>
        <v>0</v>
      </c>
      <c r="AQ258" s="12">
        <f>SUM(AM258:AP258)</f>
        <v>0</v>
      </c>
      <c r="AR258" s="12">
        <f>(AR129-AQ129)*-1</f>
        <v>0</v>
      </c>
      <c r="AS258" s="12">
        <f>(AS129-AR129)*-1</f>
        <v>0</v>
      </c>
      <c r="AT258" s="12">
        <f>(AT129-AS129)*-1</f>
        <v>0</v>
      </c>
      <c r="AU258" s="12">
        <f>(AU129-AT129)*-1</f>
        <v>0</v>
      </c>
      <c r="AV258" s="12">
        <f>SUM(AR258:AU258)</f>
        <v>0</v>
      </c>
      <c r="AW258" s="12">
        <f>(AW129-AV129)*-1</f>
        <v>0</v>
      </c>
      <c r="AX258" s="12">
        <f>(AX129-AW129)*-1</f>
        <v>0</v>
      </c>
      <c r="AY258" s="12">
        <f>(AY129-AX129)*-1</f>
        <v>0</v>
      </c>
      <c r="AZ258" s="12">
        <f>(AZ129-AY129)*-1</f>
        <v>0</v>
      </c>
      <c r="BA258" s="12">
        <f>SUM(AW258:AZ258)</f>
        <v>0</v>
      </c>
      <c r="BB258" s="12">
        <f>(BB129-BA129)*-1</f>
        <v>0</v>
      </c>
      <c r="BC258" s="12">
        <f>(BC129-BB129)*-1</f>
        <v>0</v>
      </c>
      <c r="BD258" s="12">
        <f>(BD129-BC129)*-1</f>
        <v>0</v>
      </c>
      <c r="BE258" s="12">
        <f>(BE129-BD129)*-1</f>
        <v>0</v>
      </c>
      <c r="BF258" s="12">
        <f>SUM(BB258:BE258)</f>
        <v>0</v>
      </c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  <c r="CU258" s="12" t="n"/>
      <c r="CV258" s="12" t="n"/>
      <c r="CW258" s="12" t="n"/>
      <c r="CX258" s="12" t="n"/>
      <c r="CY258" s="12" t="n"/>
    </row>
    <row r="259" hidden="1" outlineLevel="1">
      <c r="C259" s="10" t="inlineStr">
        <is>
          <t>Accounts payable</t>
        </is>
      </c>
      <c r="D259" s="12" t="n"/>
      <c r="E259" s="12" t="n"/>
      <c r="F259" s="12" t="n"/>
      <c r="G259" s="12" t="n"/>
      <c r="H259" s="12" t="n"/>
      <c r="I259" s="12" t="n"/>
      <c r="J259" s="12">
        <f>J172-I172</f>
        <v>0</v>
      </c>
      <c r="K259" s="12">
        <f>K172-J172</f>
        <v>0</v>
      </c>
      <c r="L259" s="12">
        <f>L172-K172</f>
        <v>0</v>
      </c>
      <c r="M259" s="12" t="n"/>
      <c r="N259" s="12">
        <f>N172-M172</f>
        <v>0</v>
      </c>
      <c r="O259" s="12">
        <f>O172-N172</f>
        <v>0</v>
      </c>
      <c r="P259" s="12">
        <f>P172-O172</f>
        <v>0</v>
      </c>
      <c r="Q259" s="12">
        <f>Q172-P172</f>
        <v>0</v>
      </c>
      <c r="R259" s="12">
        <f>SUM(N259:Q259)</f>
        <v>0</v>
      </c>
      <c r="S259" s="12">
        <f>S172-R172</f>
        <v>0</v>
      </c>
      <c r="T259" s="12">
        <f>T172-S172</f>
        <v>0</v>
      </c>
      <c r="U259" s="12">
        <f>U172-T172</f>
        <v>0</v>
      </c>
      <c r="V259" s="12">
        <f>V172-U172</f>
        <v>0</v>
      </c>
      <c r="W259" s="12">
        <f>SUM(S259:V259)</f>
        <v>0</v>
      </c>
      <c r="X259" s="12">
        <f>X172-W172</f>
        <v>0</v>
      </c>
      <c r="Y259" s="12">
        <f>Y172-X172</f>
        <v>0</v>
      </c>
      <c r="Z259" s="12">
        <f>Z172-Y172</f>
        <v>0</v>
      </c>
      <c r="AA259" s="12">
        <f>AA172-Z172</f>
        <v>0</v>
      </c>
      <c r="AB259" s="12">
        <f>SUM(X259:AA259)</f>
        <v>0</v>
      </c>
      <c r="AC259" s="12">
        <f>AC172-AB172</f>
        <v>0</v>
      </c>
      <c r="AD259" s="12">
        <f>AD172-AC172</f>
        <v>0</v>
      </c>
      <c r="AE259" s="12">
        <f>AE172-AD172</f>
        <v>0</v>
      </c>
      <c r="AF259" s="12">
        <f>AF172-AE172</f>
        <v>0</v>
      </c>
      <c r="AG259" s="12">
        <f>SUM(AC259:AF259)</f>
        <v>0</v>
      </c>
      <c r="AH259" s="12">
        <f>AH172-AG172</f>
        <v>0</v>
      </c>
      <c r="AI259" s="12">
        <f>AI172-AH172</f>
        <v>0</v>
      </c>
      <c r="AJ259" s="12">
        <f>AJ172-AI172</f>
        <v>0</v>
      </c>
      <c r="AK259" s="12">
        <f>AK172-AJ172</f>
        <v>0</v>
      </c>
      <c r="AL259" s="12">
        <f>SUM(AH259:AK259)</f>
        <v>0</v>
      </c>
      <c r="AM259" s="12">
        <f>AM172-AL172</f>
        <v>0</v>
      </c>
      <c r="AN259" s="12">
        <f>AN172-AM172</f>
        <v>0</v>
      </c>
      <c r="AO259" s="12">
        <f>AO172-AN172</f>
        <v>0</v>
      </c>
      <c r="AP259" s="12">
        <f>AP172-AO172</f>
        <v>0</v>
      </c>
      <c r="AQ259" s="12">
        <f>SUM(AM259:AP259)</f>
        <v>0</v>
      </c>
      <c r="AR259" s="12">
        <f>AR172-AQ172</f>
        <v>0</v>
      </c>
      <c r="AS259" s="12">
        <f>AS172-AR172</f>
        <v>0</v>
      </c>
      <c r="AT259" s="12">
        <f>AT172-AS172</f>
        <v>0</v>
      </c>
      <c r="AU259" s="12">
        <f>AU172-AT172</f>
        <v>0</v>
      </c>
      <c r="AV259" s="12">
        <f>SUM(AR259:AU259)</f>
        <v>0</v>
      </c>
      <c r="AW259" s="12">
        <f>AW172-AV172</f>
        <v>0</v>
      </c>
      <c r="AX259" s="12">
        <f>AX172-AW172</f>
        <v>0</v>
      </c>
      <c r="AY259" s="12">
        <f>AY172-AX172</f>
        <v>0</v>
      </c>
      <c r="AZ259" s="12">
        <f>AZ172-AY172</f>
        <v>0</v>
      </c>
      <c r="BA259" s="12">
        <f>SUM(AW259:AZ259)</f>
        <v>0</v>
      </c>
      <c r="BB259" s="12">
        <f>BB172-BA172</f>
        <v>0</v>
      </c>
      <c r="BC259" s="12">
        <f>BC172-BB172</f>
        <v>0</v>
      </c>
      <c r="BD259" s="12">
        <f>BD172-BC172</f>
        <v>0</v>
      </c>
      <c r="BE259" s="12">
        <f>BE172-BD172</f>
        <v>0</v>
      </c>
      <c r="BF259" s="12">
        <f>SUM(BB259:BE259)</f>
        <v>0</v>
      </c>
      <c r="BG259" s="12" t="n"/>
      <c r="BH259" s="12" t="n"/>
      <c r="BI259" s="12" t="n"/>
      <c r="BJ259" s="12" t="n"/>
      <c r="BK259" s="12" t="n"/>
      <c r="BL259" s="12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  <c r="CA259" s="12" t="n"/>
      <c r="CB259" s="12" t="n"/>
      <c r="CC259" s="12" t="n"/>
      <c r="CD259" s="12" t="n"/>
      <c r="CE259" s="12" t="n"/>
      <c r="CF259" s="12" t="n"/>
      <c r="CG259" s="12" t="n"/>
      <c r="CH259" s="12" t="n"/>
      <c r="CI259" s="12" t="n"/>
      <c r="CJ259" s="12" t="n"/>
      <c r="CK259" s="12" t="n"/>
      <c r="CL259" s="12" t="n"/>
      <c r="CM259" s="12" t="n"/>
      <c r="CN259" s="12" t="n"/>
      <c r="CO259" s="12" t="n"/>
      <c r="CP259" s="12" t="n"/>
      <c r="CQ259" s="12" t="n"/>
      <c r="CR259" s="12" t="n"/>
      <c r="CS259" s="12" t="n"/>
      <c r="CT259" s="12" t="n"/>
      <c r="CU259" s="12" t="n"/>
      <c r="CV259" s="12" t="n"/>
      <c r="CW259" s="12" t="n"/>
      <c r="CX259" s="12" t="n"/>
      <c r="CY259" s="12" t="n"/>
    </row>
    <row r="260" hidden="1" outlineLevel="1">
      <c r="C260" s="10" t="inlineStr">
        <is>
          <t>Accrued expenses</t>
        </is>
      </c>
      <c r="D260" s="12" t="n"/>
      <c r="E260" s="12" t="n"/>
      <c r="F260" s="12" t="n"/>
      <c r="G260" s="12" t="n"/>
      <c r="H260" s="12" t="n"/>
      <c r="I260" s="12" t="n"/>
      <c r="J260" s="12">
        <f>J176-I176</f>
        <v>0</v>
      </c>
      <c r="K260" s="12">
        <f>K176-J176</f>
        <v>0</v>
      </c>
      <c r="L260" s="12">
        <f>L176-K176</f>
        <v>0</v>
      </c>
      <c r="M260" s="12" t="n"/>
      <c r="N260" s="12">
        <f>N176-M176</f>
        <v>0</v>
      </c>
      <c r="O260" s="12">
        <f>O176-N176</f>
        <v>0</v>
      </c>
      <c r="P260" s="12">
        <f>P176-O176</f>
        <v>0</v>
      </c>
      <c r="Q260" s="12">
        <f>Q176-P176</f>
        <v>0</v>
      </c>
      <c r="R260" s="12">
        <f>SUM(N260:Q260)</f>
        <v>0</v>
      </c>
      <c r="S260" s="12">
        <f>S176-R176</f>
        <v>0</v>
      </c>
      <c r="T260" s="12">
        <f>T176-S176</f>
        <v>0</v>
      </c>
      <c r="U260" s="12">
        <f>U176-T176</f>
        <v>0</v>
      </c>
      <c r="V260" s="12">
        <f>V176-U176</f>
        <v>0</v>
      </c>
      <c r="W260" s="12">
        <f>SUM(S260:V260)</f>
        <v>0</v>
      </c>
      <c r="X260" s="12">
        <f>X176-W176</f>
        <v>0</v>
      </c>
      <c r="Y260" s="12">
        <f>Y176-X176</f>
        <v>0</v>
      </c>
      <c r="Z260" s="12">
        <f>Z176-Y176</f>
        <v>0</v>
      </c>
      <c r="AA260" s="12">
        <f>AA176-Z176</f>
        <v>0</v>
      </c>
      <c r="AB260" s="12">
        <f>SUM(X260:AA260)</f>
        <v>0</v>
      </c>
      <c r="AC260" s="12">
        <f>AC176-AB176</f>
        <v>0</v>
      </c>
      <c r="AD260" s="12">
        <f>AD176-AC176</f>
        <v>0</v>
      </c>
      <c r="AE260" s="12">
        <f>AE176-AD176</f>
        <v>0</v>
      </c>
      <c r="AF260" s="12">
        <f>AF176-AE176</f>
        <v>0</v>
      </c>
      <c r="AG260" s="12">
        <f>SUM(AC260:AF260)</f>
        <v>0</v>
      </c>
      <c r="AH260" s="12">
        <f>AH176-AG176</f>
        <v>0</v>
      </c>
      <c r="AI260" s="12">
        <f>AI176-AH176</f>
        <v>0</v>
      </c>
      <c r="AJ260" s="12">
        <f>AJ176-AI176</f>
        <v>0</v>
      </c>
      <c r="AK260" s="12">
        <f>AK176-AJ176</f>
        <v>0</v>
      </c>
      <c r="AL260" s="12">
        <f>SUM(AH260:AK260)</f>
        <v>0</v>
      </c>
      <c r="AM260" s="12">
        <f>AM176-AL176</f>
        <v>0</v>
      </c>
      <c r="AN260" s="12">
        <f>AN176-AM176</f>
        <v>0</v>
      </c>
      <c r="AO260" s="12">
        <f>AO176-AN176</f>
        <v>0</v>
      </c>
      <c r="AP260" s="12">
        <f>AP176-AO176</f>
        <v>0</v>
      </c>
      <c r="AQ260" s="12">
        <f>SUM(AM260:AP260)</f>
        <v>0</v>
      </c>
      <c r="AR260" s="12">
        <f>AR176-AQ176</f>
        <v>0</v>
      </c>
      <c r="AS260" s="12">
        <f>AS176-AR176</f>
        <v>0</v>
      </c>
      <c r="AT260" s="12">
        <f>AT176-AS176</f>
        <v>0</v>
      </c>
      <c r="AU260" s="12">
        <f>AU176-AT176</f>
        <v>0</v>
      </c>
      <c r="AV260" s="12">
        <f>SUM(AR260:AU260)</f>
        <v>0</v>
      </c>
      <c r="AW260" s="12">
        <f>AW176-AV176</f>
        <v>0</v>
      </c>
      <c r="AX260" s="12">
        <f>AX176-AW176</f>
        <v>0</v>
      </c>
      <c r="AY260" s="12">
        <f>AY176-AX176</f>
        <v>0</v>
      </c>
      <c r="AZ260" s="12">
        <f>AZ176-AY176</f>
        <v>0</v>
      </c>
      <c r="BA260" s="12">
        <f>SUM(AW260:AZ260)</f>
        <v>0</v>
      </c>
      <c r="BB260" s="12">
        <f>BB176-BA176</f>
        <v>0</v>
      </c>
      <c r="BC260" s="12">
        <f>BC176-BB176</f>
        <v>0</v>
      </c>
      <c r="BD260" s="12">
        <f>BD176-BC176</f>
        <v>0</v>
      </c>
      <c r="BE260" s="12">
        <f>BE176-BD176</f>
        <v>0</v>
      </c>
      <c r="BF260" s="12">
        <f>SUM(BB260:BE260)</f>
        <v>0</v>
      </c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hidden="1" outlineLevel="1">
      <c r="C261" s="10" t="inlineStr">
        <is>
          <t>Taxes payable</t>
        </is>
      </c>
      <c r="D261" s="12" t="n"/>
      <c r="E261" s="12" t="n"/>
      <c r="F261" s="12" t="n"/>
      <c r="G261" s="12" t="n"/>
      <c r="H261" s="12" t="n"/>
      <c r="I261" s="12" t="n"/>
      <c r="J261" s="12">
        <f>J178-I178</f>
        <v>0</v>
      </c>
      <c r="K261" s="12">
        <f>K178-J178</f>
        <v>0</v>
      </c>
      <c r="L261" s="12">
        <f>L178-K178</f>
        <v>0</v>
      </c>
      <c r="M261" s="12" t="n"/>
      <c r="N261" s="12">
        <f>N178-M178</f>
        <v>0</v>
      </c>
      <c r="O261" s="12">
        <f>O178-N178</f>
        <v>0</v>
      </c>
      <c r="P261" s="12">
        <f>P178-O178</f>
        <v>0</v>
      </c>
      <c r="Q261" s="12">
        <f>Q178-P178</f>
        <v>0</v>
      </c>
      <c r="R261" s="12">
        <f>SUM(N261:Q261)</f>
        <v>0</v>
      </c>
      <c r="S261" s="12">
        <f>S178-R178</f>
        <v>0</v>
      </c>
      <c r="T261" s="12">
        <f>T178-S178</f>
        <v>0</v>
      </c>
      <c r="U261" s="12">
        <f>U178-T178</f>
        <v>0</v>
      </c>
      <c r="V261" s="12">
        <f>V178-U178</f>
        <v>0</v>
      </c>
      <c r="W261" s="12">
        <f>SUM(S261:V261)</f>
        <v>0</v>
      </c>
      <c r="X261" s="12">
        <f>X178-W178</f>
        <v>0</v>
      </c>
      <c r="Y261" s="12">
        <f>Y178-X178</f>
        <v>0</v>
      </c>
      <c r="Z261" s="12">
        <f>Z178-Y178</f>
        <v>0</v>
      </c>
      <c r="AA261" s="12">
        <f>AA178-Z178</f>
        <v>0</v>
      </c>
      <c r="AB261" s="12">
        <f>SUM(X261:AA261)</f>
        <v>0</v>
      </c>
      <c r="AC261" s="12">
        <f>AC178-AB178</f>
        <v>0</v>
      </c>
      <c r="AD261" s="12">
        <f>AD178-AC178</f>
        <v>0</v>
      </c>
      <c r="AE261" s="12">
        <f>AE178-AD178</f>
        <v>0</v>
      </c>
      <c r="AF261" s="12">
        <f>AF178-AE178</f>
        <v>0</v>
      </c>
      <c r="AG261" s="12">
        <f>SUM(AC261:AF261)</f>
        <v>0</v>
      </c>
      <c r="AH261" s="12">
        <f>AH178-AG178</f>
        <v>0</v>
      </c>
      <c r="AI261" s="12">
        <f>AI178-AH178</f>
        <v>0</v>
      </c>
      <c r="AJ261" s="12">
        <f>AJ178-AI178</f>
        <v>0</v>
      </c>
      <c r="AK261" s="12">
        <f>AK178-AJ178</f>
        <v>0</v>
      </c>
      <c r="AL261" s="12">
        <f>SUM(AH261:AK261)</f>
        <v>0</v>
      </c>
      <c r="AM261" s="12">
        <f>AM178-AL178</f>
        <v>0</v>
      </c>
      <c r="AN261" s="12">
        <f>AN178-AM178</f>
        <v>0</v>
      </c>
      <c r="AO261" s="12">
        <f>AO178-AN178</f>
        <v>0</v>
      </c>
      <c r="AP261" s="12">
        <f>AP178-AO178</f>
        <v>0</v>
      </c>
      <c r="AQ261" s="12">
        <f>SUM(AM261:AP261)</f>
        <v>0</v>
      </c>
      <c r="AR261" s="12">
        <f>AR178-AQ178</f>
        <v>0</v>
      </c>
      <c r="AS261" s="12">
        <f>AS178-AR178</f>
        <v>0</v>
      </c>
      <c r="AT261" s="12">
        <f>AT178-AS178</f>
        <v>0</v>
      </c>
      <c r="AU261" s="12">
        <f>AU178-AT178</f>
        <v>0</v>
      </c>
      <c r="AV261" s="12">
        <f>SUM(AR261:AU261)</f>
        <v>0</v>
      </c>
      <c r="AW261" s="12">
        <f>AW178-AV178</f>
        <v>0</v>
      </c>
      <c r="AX261" s="12">
        <f>AX178-AW178</f>
        <v>0</v>
      </c>
      <c r="AY261" s="12">
        <f>AY178-AX178</f>
        <v>0</v>
      </c>
      <c r="AZ261" s="12">
        <f>AZ178-AY178</f>
        <v>0</v>
      </c>
      <c r="BA261" s="12">
        <f>SUM(AW261:AZ261)</f>
        <v>0</v>
      </c>
      <c r="BB261" s="12">
        <f>BB178-BA178</f>
        <v>0</v>
      </c>
      <c r="BC261" s="12">
        <f>BC178-BB178</f>
        <v>0</v>
      </c>
      <c r="BD261" s="12">
        <f>BD178-BC178</f>
        <v>0</v>
      </c>
      <c r="BE261" s="12">
        <f>BE178-BD178</f>
        <v>0</v>
      </c>
      <c r="BF261" s="12">
        <f>SUM(BB261:BE261)</f>
        <v>0</v>
      </c>
      <c r="BG261" s="12" t="n"/>
      <c r="BH261" s="12" t="n"/>
      <c r="BI261" s="12" t="n"/>
      <c r="BJ261" s="12" t="n"/>
      <c r="BK261" s="12" t="n"/>
      <c r="BL261" s="12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  <c r="CA261" s="12" t="n"/>
      <c r="CB261" s="12" t="n"/>
      <c r="CC261" s="12" t="n"/>
      <c r="CD261" s="12" t="n"/>
      <c r="CE261" s="12" t="n"/>
      <c r="CF261" s="12" t="n"/>
      <c r="CG261" s="12" t="n"/>
      <c r="CH261" s="12" t="n"/>
      <c r="CI261" s="12" t="n"/>
      <c r="CJ261" s="12" t="n"/>
      <c r="CK261" s="12" t="n"/>
      <c r="CL261" s="12" t="n"/>
      <c r="CM261" s="12" t="n"/>
      <c r="CN261" s="12" t="n"/>
      <c r="CO261" s="12" t="n"/>
      <c r="CP261" s="12" t="n"/>
      <c r="CQ261" s="12" t="n"/>
      <c r="CR261" s="12" t="n"/>
      <c r="CS261" s="12" t="n"/>
      <c r="CT261" s="12" t="n"/>
      <c r="CU261" s="12" t="n"/>
      <c r="CV261" s="12" t="n"/>
      <c r="CW261" s="12" t="n"/>
      <c r="CX261" s="12" t="n"/>
      <c r="CY261" s="12" t="n"/>
    </row>
    <row r="262" hidden="1" outlineLevel="1">
      <c r="C262" s="10" t="inlineStr">
        <is>
          <t>Other current liabilities (non-debt)</t>
        </is>
      </c>
      <c r="D262" s="12" t="n"/>
      <c r="E262" s="12" t="n"/>
      <c r="F262" s="12" t="n"/>
      <c r="G262" s="12" t="n"/>
      <c r="H262" s="12" t="n"/>
      <c r="I262" s="12" t="n"/>
      <c r="J262" s="12">
        <f>J179-I179</f>
        <v>1865.38</v>
      </c>
      <c r="K262" s="12">
        <f>K179-J179</f>
        <v>3410.049</v>
      </c>
      <c r="L262" s="12">
        <f>L179-K179</f>
        <v>1330.135</v>
      </c>
      <c r="M262" s="12" t="n"/>
      <c r="N262" s="12">
        <f>N179-M179</f>
        <v>1612.689</v>
      </c>
      <c r="O262" s="12">
        <f>O179-N179</f>
        <v>-805.841</v>
      </c>
      <c r="P262" s="12">
        <f>P179-O179</f>
        <v>226.726000000002</v>
      </c>
      <c r="Q262" s="12">
        <f>Q179-P179</f>
        <v>2319.224</v>
      </c>
      <c r="R262" s="12">
        <f>SUM(N262:Q262)</f>
        <v>3352.798</v>
      </c>
      <c r="S262" s="12">
        <f>S179-R179</f>
        <v>-470.545999999998</v>
      </c>
      <c r="T262" s="12">
        <f>T179-S179</f>
        <v>119.690999999999</v>
      </c>
      <c r="U262" s="12">
        <f>U179-T179</f>
        <v>360.796999999999</v>
      </c>
      <c r="V262" s="12">
        <f>V179-U179</f>
        <v>-640.786</v>
      </c>
      <c r="W262" s="12">
        <f>SUM(S262:V262)</f>
        <v>-630.844000000001</v>
      </c>
      <c r="X262" s="12">
        <f>X179-W179</f>
        <v>-983.448</v>
      </c>
      <c r="Y262" s="12">
        <f>Y179-X179</f>
        <v>681.866000000002</v>
      </c>
      <c r="Z262" s="12">
        <f>Z179-Y179</f>
        <v>1199.767</v>
      </c>
      <c r="AA262" s="12">
        <f>AA179-Z179</f>
        <v>864.359</v>
      </c>
      <c r="AB262" s="12">
        <f>SUM(X262:AA262)</f>
        <v>1762.544</v>
      </c>
      <c r="AC262" s="12">
        <f>AC179-AB179</f>
        <v>1415.866</v>
      </c>
      <c r="AD262" s="12">
        <f>AD179-AC179</f>
        <v>-1096.512</v>
      </c>
      <c r="AE262" s="12">
        <f>AE179-AD179</f>
        <v>898.634999999998</v>
      </c>
      <c r="AF262" s="12">
        <f>AF179-AE179</f>
        <v>634.954000000002</v>
      </c>
      <c r="AG262" s="12">
        <f>SUM(AC262:AF262)</f>
        <v>1852.943</v>
      </c>
      <c r="AH262" s="12">
        <f>AH179-AG179</f>
        <v>1082.468</v>
      </c>
      <c r="AI262" s="12">
        <f>AI179-AH179</f>
        <v>548.720999999998</v>
      </c>
      <c r="AJ262" s="12">
        <f>AJ179-AI179</f>
        <v>0</v>
      </c>
      <c r="AK262" s="12">
        <f>AK179-AJ179</f>
        <v>0</v>
      </c>
      <c r="AL262" s="12">
        <f>SUM(AH262:AK262)</f>
        <v>1631.189</v>
      </c>
      <c r="AM262" s="12">
        <f>AM179-AL179</f>
        <v>0</v>
      </c>
      <c r="AN262" s="12">
        <f>AN179-AM179</f>
        <v>0</v>
      </c>
      <c r="AO262" s="12">
        <f>AO179-AN179</f>
        <v>0</v>
      </c>
      <c r="AP262" s="12">
        <f>AP179-AO179</f>
        <v>0</v>
      </c>
      <c r="AQ262" s="12">
        <f>SUM(AM262:AP262)</f>
        <v>0</v>
      </c>
      <c r="AR262" s="12">
        <f>AR179-AQ179</f>
        <v>0</v>
      </c>
      <c r="AS262" s="12">
        <f>AS179-AR179</f>
        <v>0</v>
      </c>
      <c r="AT262" s="12">
        <f>AT179-AS179</f>
        <v>0</v>
      </c>
      <c r="AU262" s="12">
        <f>AU179-AT179</f>
        <v>0</v>
      </c>
      <c r="AV262" s="12">
        <f>SUM(AR262:AU262)</f>
        <v>0</v>
      </c>
      <c r="AW262" s="12">
        <f>AW179-AV179</f>
        <v>0</v>
      </c>
      <c r="AX262" s="12">
        <f>AX179-AW179</f>
        <v>0</v>
      </c>
      <c r="AY262" s="12">
        <f>AY179-AX179</f>
        <v>0</v>
      </c>
      <c r="AZ262" s="12">
        <f>AZ179-AY179</f>
        <v>0</v>
      </c>
      <c r="BA262" s="12">
        <f>SUM(AW262:AZ262)</f>
        <v>0</v>
      </c>
      <c r="BB262" s="12">
        <f>BB179-BA179</f>
        <v>0</v>
      </c>
      <c r="BC262" s="12">
        <f>BC179-BB179</f>
        <v>0</v>
      </c>
      <c r="BD262" s="12">
        <f>BD179-BC179</f>
        <v>0</v>
      </c>
      <c r="BE262" s="12">
        <f>BE179-BD179</f>
        <v>0</v>
      </c>
      <c r="BF262" s="12">
        <f>SUM(BB262:BE262)</f>
        <v>0</v>
      </c>
      <c r="BG262" s="12" t="n"/>
      <c r="BH262" s="12" t="n"/>
      <c r="BI262" s="12" t="n"/>
      <c r="BJ262" s="12" t="n"/>
      <c r="BK262" s="12" t="n"/>
      <c r="BL262" s="12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  <c r="CA262" s="12" t="n"/>
      <c r="CB262" s="12" t="n"/>
      <c r="CC262" s="12" t="n"/>
      <c r="CD262" s="12" t="n"/>
      <c r="CE262" s="12" t="n"/>
      <c r="CF262" s="12" t="n"/>
      <c r="CG262" s="12" t="n"/>
      <c r="CH262" s="12" t="n"/>
      <c r="CI262" s="12" t="n"/>
      <c r="CJ262" s="12" t="n"/>
      <c r="CK262" s="12" t="n"/>
      <c r="CL262" s="12" t="n"/>
      <c r="CM262" s="12" t="n"/>
      <c r="CN262" s="12" t="n"/>
      <c r="CO262" s="12" t="n"/>
      <c r="CP262" s="12" t="n"/>
      <c r="CQ262" s="12" t="n"/>
      <c r="CR262" s="12" t="n"/>
      <c r="CS262" s="12" t="n"/>
      <c r="CT262" s="12" t="n"/>
      <c r="CU262" s="12" t="n"/>
      <c r="CV262" s="12" t="n"/>
      <c r="CW262" s="12" t="n"/>
      <c r="CX262" s="12" t="n"/>
      <c r="CY262" s="12" t="n"/>
    </row>
    <row r="263" hidden="1" outlineLevel="1">
      <c r="C263" s="10" t="inlineStr">
        <is>
          <t>Deferred income taxes</t>
        </is>
      </c>
      <c r="D263" s="12" t="n"/>
      <c r="E263" s="12" t="n"/>
      <c r="F263" s="12" t="n"/>
      <c r="G263" s="12" t="n"/>
      <c r="H263" s="12" t="n"/>
      <c r="I263" s="12" t="n"/>
      <c r="J263" s="12">
        <f>J213-I213</f>
        <v>0</v>
      </c>
      <c r="K263" s="12">
        <f>K213-J213</f>
        <v>0</v>
      </c>
      <c r="L263" s="12">
        <f>L213-K213</f>
        <v>0</v>
      </c>
      <c r="M263" s="12" t="n"/>
      <c r="N263" s="12">
        <f>N213-M213</f>
        <v>0</v>
      </c>
      <c r="O263" s="12">
        <f>O213-N213</f>
        <v>0</v>
      </c>
      <c r="P263" s="12">
        <f>P213-O213</f>
        <v>0</v>
      </c>
      <c r="Q263" s="12">
        <f>Q213-P213</f>
        <v>0</v>
      </c>
      <c r="R263" s="12">
        <f>SUM(N263:Q263)</f>
        <v>0</v>
      </c>
      <c r="S263" s="12">
        <f>S213-R213</f>
        <v>0</v>
      </c>
      <c r="T263" s="12">
        <f>T213-S213</f>
        <v>0</v>
      </c>
      <c r="U263" s="12">
        <f>U213-T213</f>
        <v>0</v>
      </c>
      <c r="V263" s="12">
        <f>V213-U213</f>
        <v>0</v>
      </c>
      <c r="W263" s="12">
        <f>SUM(S263:V263)</f>
        <v>0</v>
      </c>
      <c r="X263" s="12">
        <f>X213-W213</f>
        <v>0</v>
      </c>
      <c r="Y263" s="12">
        <f>Y213-X213</f>
        <v>0</v>
      </c>
      <c r="Z263" s="12">
        <f>Z213-Y213</f>
        <v>0</v>
      </c>
      <c r="AA263" s="12">
        <f>AA213-Z213</f>
        <v>0</v>
      </c>
      <c r="AB263" s="12">
        <f>SUM(X263:AA263)</f>
        <v>0</v>
      </c>
      <c r="AC263" s="12">
        <f>AC213-AB213</f>
        <v>0</v>
      </c>
      <c r="AD263" s="12">
        <f>AD213-AC213</f>
        <v>0</v>
      </c>
      <c r="AE263" s="12">
        <f>AE213-AD213</f>
        <v>0</v>
      </c>
      <c r="AF263" s="12">
        <f>AF213-AE213</f>
        <v>0</v>
      </c>
      <c r="AG263" s="12">
        <f>SUM(AC263:AF263)</f>
        <v>0</v>
      </c>
      <c r="AH263" s="12">
        <f>AH213-AG213</f>
        <v>0</v>
      </c>
      <c r="AI263" s="12">
        <f>AI213-AH213</f>
        <v>0</v>
      </c>
      <c r="AJ263" s="12">
        <f>AJ213-AI213</f>
        <v>0</v>
      </c>
      <c r="AK263" s="12">
        <f>AK213-AJ213</f>
        <v>0</v>
      </c>
      <c r="AL263" s="12">
        <f>SUM(AH263:AK263)</f>
        <v>0</v>
      </c>
      <c r="AM263" s="12">
        <f>AM213-AL213</f>
        <v>0</v>
      </c>
      <c r="AN263" s="12">
        <f>AN213-AM213</f>
        <v>0</v>
      </c>
      <c r="AO263" s="12">
        <f>AO213-AN213</f>
        <v>0</v>
      </c>
      <c r="AP263" s="12">
        <f>AP213-AO213</f>
        <v>0</v>
      </c>
      <c r="AQ263" s="12">
        <f>SUM(AM263:AP263)</f>
        <v>0</v>
      </c>
      <c r="AR263" s="12">
        <f>AR213-AQ213</f>
        <v>0</v>
      </c>
      <c r="AS263" s="12">
        <f>AS213-AR213</f>
        <v>0</v>
      </c>
      <c r="AT263" s="12">
        <f>AT213-AS213</f>
        <v>0</v>
      </c>
      <c r="AU263" s="12">
        <f>AU213-AT213</f>
        <v>0</v>
      </c>
      <c r="AV263" s="12">
        <f>SUM(AR263:AU263)</f>
        <v>0</v>
      </c>
      <c r="AW263" s="12">
        <f>AW213-AV213</f>
        <v>0</v>
      </c>
      <c r="AX263" s="12">
        <f>AX213-AW213</f>
        <v>0</v>
      </c>
      <c r="AY263" s="12">
        <f>AY213-AX213</f>
        <v>0</v>
      </c>
      <c r="AZ263" s="12">
        <f>AZ213-AY213</f>
        <v>0</v>
      </c>
      <c r="BA263" s="12">
        <f>SUM(AW263:AZ263)</f>
        <v>0</v>
      </c>
      <c r="BB263" s="12">
        <f>BB213-BA213</f>
        <v>0</v>
      </c>
      <c r="BC263" s="12">
        <f>BC213-BB213</f>
        <v>0</v>
      </c>
      <c r="BD263" s="12">
        <f>BD213-BC213</f>
        <v>0</v>
      </c>
      <c r="BE263" s="12">
        <f>BE213-BD213</f>
        <v>0</v>
      </c>
      <c r="BF263" s="12">
        <f>SUM(BB263:BE263)</f>
        <v>0</v>
      </c>
      <c r="BG263" s="12" t="n"/>
      <c r="BH263" s="12" t="n"/>
      <c r="BI263" s="12" t="n"/>
      <c r="BJ263" s="12" t="n"/>
      <c r="BK263" s="12" t="n"/>
      <c r="BL263" s="12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  <c r="CA263" s="12" t="n"/>
      <c r="CB263" s="12" t="n"/>
      <c r="CC263" s="12" t="n"/>
      <c r="CD263" s="12" t="n"/>
      <c r="CE263" s="12" t="n"/>
      <c r="CF263" s="12" t="n"/>
      <c r="CG263" s="12" t="n"/>
      <c r="CH263" s="12" t="n"/>
      <c r="CI263" s="12" t="n"/>
      <c r="CJ263" s="12" t="n"/>
      <c r="CK263" s="12" t="n"/>
      <c r="CL263" s="12" t="n"/>
      <c r="CM263" s="12" t="n"/>
      <c r="CN263" s="12" t="n"/>
      <c r="CO263" s="12" t="n"/>
      <c r="CP263" s="12" t="n"/>
      <c r="CQ263" s="12" t="n"/>
      <c r="CR263" s="12" t="n"/>
      <c r="CS263" s="12" t="n"/>
      <c r="CT263" s="12" t="n"/>
      <c r="CU263" s="12" t="n"/>
      <c r="CV263" s="12" t="n"/>
      <c r="CW263" s="12" t="n"/>
      <c r="CX263" s="12" t="n"/>
      <c r="CY263" s="12" t="n"/>
    </row>
    <row r="264" collapsed="1">
      <c r="C264" s="10" t="inlineStr">
        <is>
          <t>Equity income in affiliates</t>
        </is>
      </c>
      <c r="D264" s="12" t="n"/>
      <c r="E264" s="12" t="n"/>
      <c r="F264" s="12" t="n"/>
      <c r="G264" s="12" t="n"/>
      <c r="H264" s="12" t="n"/>
      <c r="I264" s="12" t="n"/>
      <c r="J264" s="12">
        <f>(J135-I135)*-1</f>
        <v>0</v>
      </c>
      <c r="K264" s="12">
        <f>(K135-J135)*-1</f>
        <v>0</v>
      </c>
      <c r="L264" s="12">
        <f>(L135-K135)*-1</f>
        <v>0</v>
      </c>
      <c r="M264" s="12" t="n"/>
      <c r="N264" s="12">
        <f>(N135-M135)*-1</f>
        <v>0</v>
      </c>
      <c r="O264" s="12">
        <f>(O135-N135)*-1</f>
        <v>0</v>
      </c>
      <c r="P264" s="12">
        <f>(P135-O135)*-1</f>
        <v>0</v>
      </c>
      <c r="Q264" s="12">
        <f>(Q135-P135)*-1</f>
        <v>0</v>
      </c>
      <c r="R264" s="12">
        <f>SUM(N264:Q264)</f>
        <v>0</v>
      </c>
      <c r="S264" s="12">
        <f>(S135-R135)*-1</f>
        <v>0</v>
      </c>
      <c r="T264" s="12">
        <f>(T135-S135)*-1</f>
        <v>0</v>
      </c>
      <c r="U264" s="12">
        <f>(U135-T135)*-1</f>
        <v>0</v>
      </c>
      <c r="V264" s="12">
        <f>(V135-U135)*-1</f>
        <v>0</v>
      </c>
      <c r="W264" s="12">
        <f>SUM(S264:V264)</f>
        <v>0</v>
      </c>
      <c r="X264" s="12">
        <f>(X135-W135)*-1</f>
        <v>0</v>
      </c>
      <c r="Y264" s="12">
        <f>(Y135-X135)*-1</f>
        <v>0</v>
      </c>
      <c r="Z264" s="12">
        <f>(Z135-Y135)*-1</f>
        <v>0</v>
      </c>
      <c r="AA264" s="12">
        <f>(AA135-Z135)*-1</f>
        <v>0</v>
      </c>
      <c r="AB264" s="12">
        <f>SUM(X264:AA264)</f>
        <v>0</v>
      </c>
      <c r="AC264" s="12">
        <f>(AC135-AB135)*-1</f>
        <v>0</v>
      </c>
      <c r="AD264" s="12">
        <f>(AD135-AC135)*-1</f>
        <v>0</v>
      </c>
      <c r="AE264" s="12">
        <f>(AE135-AD135)*-1</f>
        <v>0</v>
      </c>
      <c r="AF264" s="12">
        <f>(AF135-AE135)*-1</f>
        <v>0</v>
      </c>
      <c r="AG264" s="12">
        <f>SUM(AC264:AF264)</f>
        <v>0</v>
      </c>
      <c r="AH264" s="12">
        <f>(AH135-AG135)*-1</f>
        <v>0</v>
      </c>
      <c r="AI264" s="12">
        <f>(AI135-AH135)*-1</f>
        <v>0</v>
      </c>
      <c r="AJ264" s="12">
        <f>(AJ135-AI135)*-1</f>
        <v>0</v>
      </c>
      <c r="AK264" s="12">
        <f>(AK135-AJ135)*-1</f>
        <v>0</v>
      </c>
      <c r="AL264" s="12">
        <f>SUM(AH264:AK264)</f>
        <v>0</v>
      </c>
      <c r="AM264" s="12">
        <f>(AM135-AL135)*-1</f>
        <v>0</v>
      </c>
      <c r="AN264" s="12">
        <f>(AN135-AM135)*-1</f>
        <v>0</v>
      </c>
      <c r="AO264" s="12">
        <f>(AO135-AN135)*-1</f>
        <v>0</v>
      </c>
      <c r="AP264" s="12">
        <f>(AP135-AO135)*-1</f>
        <v>0</v>
      </c>
      <c r="AQ264" s="12">
        <f>SUM(AM264:AP264)</f>
        <v>0</v>
      </c>
      <c r="AR264" s="12">
        <f>(AR135-AQ135)*-1</f>
        <v>0</v>
      </c>
      <c r="AS264" s="12">
        <f>(AS135-AR135)*-1</f>
        <v>0</v>
      </c>
      <c r="AT264" s="12">
        <f>(AT135-AS135)*-1</f>
        <v>0</v>
      </c>
      <c r="AU264" s="12">
        <f>(AU135-AT135)*-1</f>
        <v>0</v>
      </c>
      <c r="AV264" s="12">
        <f>SUM(AR264:AU264)</f>
        <v>0</v>
      </c>
      <c r="AW264" s="12">
        <f>(AW135-AV135)*-1</f>
        <v>0</v>
      </c>
      <c r="AX264" s="12">
        <f>(AX135-AW135)*-1</f>
        <v>0</v>
      </c>
      <c r="AY264" s="12">
        <f>(AY135-AX135)*-1</f>
        <v>0</v>
      </c>
      <c r="AZ264" s="12">
        <f>(AZ135-AY135)*-1</f>
        <v>0</v>
      </c>
      <c r="BA264" s="12">
        <f>SUM(AW264:AZ264)</f>
        <v>0</v>
      </c>
      <c r="BB264" s="12">
        <f>(BB135-BA135)*-1</f>
        <v>0</v>
      </c>
      <c r="BC264" s="12">
        <f>(BC135-BB135)*-1</f>
        <v>0</v>
      </c>
      <c r="BD264" s="12">
        <f>(BD135-BC135)*-1</f>
        <v>0</v>
      </c>
      <c r="BE264" s="12">
        <f>(BE135-BD135)*-1</f>
        <v>0</v>
      </c>
      <c r="BF264" s="12">
        <f>SUM(BB264:BE264)</f>
        <v>0</v>
      </c>
      <c r="BG264" s="12" t="n"/>
      <c r="BH264" s="12" t="n"/>
      <c r="BI264" s="12" t="n"/>
      <c r="BJ264" s="12" t="n"/>
      <c r="BK264" s="12" t="n"/>
      <c r="BL264" s="12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  <c r="CN264" s="12" t="n"/>
      <c r="CO264" s="12" t="n"/>
      <c r="CP264" s="12" t="n"/>
      <c r="CQ264" s="12" t="n"/>
      <c r="CR264" s="12" t="n"/>
      <c r="CS264" s="12" t="n"/>
      <c r="CT264" s="12" t="n"/>
      <c r="CU264" s="12" t="n"/>
      <c r="CV264" s="12" t="n"/>
      <c r="CW264" s="12" t="n"/>
      <c r="CX264" s="12" t="n"/>
      <c r="CY264" s="12" t="n"/>
    </row>
    <row r="265">
      <c r="C265" s="10" t="inlineStr">
        <is>
          <t>Dividends received from affiliates</t>
        </is>
      </c>
      <c r="D265" s="12" t="n"/>
      <c r="E265" s="12" t="n"/>
      <c r="F265" s="12" t="n"/>
      <c r="G265" s="12" t="n"/>
      <c r="H265" s="12" t="n"/>
      <c r="I265" s="12" t="n"/>
      <c r="J265" s="12">
        <f>-J138</f>
        <v>0</v>
      </c>
      <c r="K265" s="12">
        <f>-K138</f>
        <v>0</v>
      </c>
      <c r="L265" s="12">
        <f>-L138</f>
        <v>0</v>
      </c>
      <c r="M265" s="12" t="n"/>
      <c r="N265" s="12">
        <f>-N138</f>
        <v>0</v>
      </c>
      <c r="O265" s="12">
        <f>-O138</f>
        <v>0</v>
      </c>
      <c r="P265" s="12">
        <f>-P138</f>
        <v>0</v>
      </c>
      <c r="Q265" s="12">
        <f>-Q138</f>
        <v>0</v>
      </c>
      <c r="R265" s="12">
        <f>SUM(N265:Q265)</f>
        <v>0</v>
      </c>
      <c r="S265" s="12">
        <f>-S138</f>
        <v>0</v>
      </c>
      <c r="T265" s="12">
        <f>-T138</f>
        <v>0</v>
      </c>
      <c r="U265" s="12">
        <f>-U138</f>
        <v>0</v>
      </c>
      <c r="V265" s="12">
        <f>-V138</f>
        <v>0</v>
      </c>
      <c r="W265" s="12">
        <f>SUM(S265:V265)</f>
        <v>0</v>
      </c>
      <c r="X265" s="12">
        <f>-X138</f>
        <v>0</v>
      </c>
      <c r="Y265" s="12">
        <f>-Y138</f>
        <v>0</v>
      </c>
      <c r="Z265" s="12">
        <f>-Z138</f>
        <v>0</v>
      </c>
      <c r="AA265" s="12">
        <f>-AA138</f>
        <v>0</v>
      </c>
      <c r="AB265" s="12">
        <f>SUM(X265:AA265)</f>
        <v>0</v>
      </c>
      <c r="AC265" s="12">
        <f>-AC138</f>
        <v>0</v>
      </c>
      <c r="AD265" s="12">
        <f>-AD138</f>
        <v>0</v>
      </c>
      <c r="AE265" s="12">
        <f>-AE138</f>
        <v>0</v>
      </c>
      <c r="AF265" s="12">
        <f>-AF138</f>
        <v>0</v>
      </c>
      <c r="AG265" s="12">
        <f>SUM(AC265:AF265)</f>
        <v>0</v>
      </c>
      <c r="AH265" s="12">
        <f>-AH138</f>
        <v>0</v>
      </c>
      <c r="AI265" s="12">
        <f>-AI138</f>
        <v>0</v>
      </c>
      <c r="AJ265" s="12">
        <f>-AJ138</f>
        <v>0</v>
      </c>
      <c r="AK265" s="12">
        <f>-AK138</f>
        <v>0</v>
      </c>
      <c r="AL265" s="12">
        <f>SUM(AH265:AK265)</f>
        <v>0</v>
      </c>
      <c r="AM265" s="12">
        <f>-AM138</f>
        <v>0</v>
      </c>
      <c r="AN265" s="12">
        <f>-AN138</f>
        <v>0</v>
      </c>
      <c r="AO265" s="12">
        <f>-AO138</f>
        <v>0</v>
      </c>
      <c r="AP265" s="12">
        <f>-AP138</f>
        <v>0</v>
      </c>
      <c r="AQ265" s="12">
        <f>SUM(AM265:AP265)</f>
        <v>0</v>
      </c>
      <c r="AR265" s="12">
        <f>-AR138</f>
        <v>0</v>
      </c>
      <c r="AS265" s="12">
        <f>-AS138</f>
        <v>0</v>
      </c>
      <c r="AT265" s="12">
        <f>-AT138</f>
        <v>0</v>
      </c>
      <c r="AU265" s="12">
        <f>-AU138</f>
        <v>0</v>
      </c>
      <c r="AV265" s="12">
        <f>SUM(AR265:AU265)</f>
        <v>0</v>
      </c>
      <c r="AW265" s="12">
        <f>-AW138</f>
        <v>0</v>
      </c>
      <c r="AX265" s="12">
        <f>-AX138</f>
        <v>0</v>
      </c>
      <c r="AY265" s="12">
        <f>-AY138</f>
        <v>0</v>
      </c>
      <c r="AZ265" s="12">
        <f>-AZ138</f>
        <v>0</v>
      </c>
      <c r="BA265" s="12">
        <f>SUM(AW265:AZ265)</f>
        <v>0</v>
      </c>
      <c r="BB265" s="12">
        <f>-BB138</f>
        <v>0</v>
      </c>
      <c r="BC265" s="12">
        <f>-BC138</f>
        <v>0</v>
      </c>
      <c r="BD265" s="12">
        <f>-BD138</f>
        <v>0</v>
      </c>
      <c r="BE265" s="12">
        <f>-BE138</f>
        <v>0</v>
      </c>
      <c r="BF265" s="12">
        <f>SUM(BB265:BE265)</f>
        <v>0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>
      <c r="C266" s="71" t="inlineStr">
        <is>
          <t>Minority interest expense</t>
        </is>
      </c>
      <c r="D266" s="12" t="n"/>
      <c r="E266" s="12" t="n"/>
      <c r="F266" s="12" t="n"/>
      <c r="G266" s="12" t="n"/>
      <c r="H266" s="12" t="n"/>
      <c r="I266" s="12" t="n"/>
      <c r="J266" s="12">
        <f>-J110</f>
        <v>0</v>
      </c>
      <c r="K266" s="12">
        <f>-K110</f>
        <v>0</v>
      </c>
      <c r="L266" s="12">
        <f>-L110</f>
        <v>0</v>
      </c>
      <c r="M266" s="12" t="n"/>
      <c r="N266" s="12">
        <f>-N110</f>
        <v>0</v>
      </c>
      <c r="O266" s="12">
        <f>-O110</f>
        <v>0</v>
      </c>
      <c r="P266" s="12">
        <f>-P110</f>
        <v>0</v>
      </c>
      <c r="Q266" s="12">
        <f>-Q110</f>
        <v>0</v>
      </c>
      <c r="R266" s="12">
        <f>SUM(N266:Q266)</f>
        <v>0</v>
      </c>
      <c r="S266" s="12">
        <f>-S110</f>
        <v>0</v>
      </c>
      <c r="T266" s="12">
        <f>-T110</f>
        <v>0</v>
      </c>
      <c r="U266" s="12">
        <f>-U110</f>
        <v>0</v>
      </c>
      <c r="V266" s="12">
        <f>-V110</f>
        <v>0</v>
      </c>
      <c r="W266" s="12">
        <f>SUM(S266:V266)</f>
        <v>0</v>
      </c>
      <c r="X266" s="12">
        <f>-X110</f>
        <v>0</v>
      </c>
      <c r="Y266" s="12">
        <f>-Y110</f>
        <v>0</v>
      </c>
      <c r="Z266" s="12">
        <f>-Z110</f>
        <v>0</v>
      </c>
      <c r="AA266" s="12">
        <f>-AA110</f>
        <v>0</v>
      </c>
      <c r="AB266" s="12">
        <f>SUM(X266:AA266)</f>
        <v>0</v>
      </c>
      <c r="AC266" s="12">
        <f>-AC110</f>
        <v>0</v>
      </c>
      <c r="AD266" s="12">
        <f>-AD110</f>
        <v>0</v>
      </c>
      <c r="AE266" s="12">
        <f>-AE110</f>
        <v>0</v>
      </c>
      <c r="AF266" s="12">
        <f>-AF110</f>
        <v>0</v>
      </c>
      <c r="AG266" s="12">
        <f>SUM(AC266:AF266)</f>
        <v>0</v>
      </c>
      <c r="AH266" s="12">
        <f>-AH110</f>
        <v>0</v>
      </c>
      <c r="AI266" s="12">
        <f>-AI110</f>
        <v>0</v>
      </c>
      <c r="AJ266" s="12">
        <f>-AJ110</f>
        <v>0</v>
      </c>
      <c r="AK266" s="12">
        <f>-AK110</f>
        <v>0</v>
      </c>
      <c r="AL266" s="12">
        <f>SUM(AH266:AK266)</f>
        <v>0</v>
      </c>
      <c r="AM266" s="12">
        <f>-AM110</f>
        <v>0</v>
      </c>
      <c r="AN266" s="12">
        <f>-AN110</f>
        <v>0</v>
      </c>
      <c r="AO266" s="12">
        <f>-AO110</f>
        <v>0</v>
      </c>
      <c r="AP266" s="12">
        <f>-AP110</f>
        <v>0</v>
      </c>
      <c r="AQ266" s="12">
        <f>SUM(AM266:AP266)</f>
        <v>0</v>
      </c>
      <c r="AR266" s="12">
        <f>-AR110</f>
        <v>0</v>
      </c>
      <c r="AS266" s="12">
        <f>-AS110</f>
        <v>0</v>
      </c>
      <c r="AT266" s="12">
        <f>-AT110</f>
        <v>0</v>
      </c>
      <c r="AU266" s="12">
        <f>-AU110</f>
        <v>0</v>
      </c>
      <c r="AV266" s="12">
        <f>SUM(AR266:AU266)</f>
        <v>0</v>
      </c>
      <c r="AW266" s="12">
        <f>-AW110</f>
        <v>0</v>
      </c>
      <c r="AX266" s="12">
        <f>-AX110</f>
        <v>0</v>
      </c>
      <c r="AY266" s="12">
        <f>-AY110</f>
        <v>0</v>
      </c>
      <c r="AZ266" s="12">
        <f>-AZ110</f>
        <v>0</v>
      </c>
      <c r="BA266" s="12">
        <f>SUM(AW266:AZ266)</f>
        <v>0</v>
      </c>
      <c r="BB266" s="12">
        <f>-BB110</f>
        <v>0</v>
      </c>
      <c r="BC266" s="12">
        <f>-BC110</f>
        <v>0</v>
      </c>
      <c r="BD266" s="12">
        <f>-BD110</f>
        <v>0</v>
      </c>
      <c r="BE266" s="12">
        <f>-BE110</f>
        <v>0</v>
      </c>
      <c r="BF266" s="12">
        <f>SUM(BB266:BE266)</f>
        <v>0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>
      <c r="C267" s="14" t="inlineStr">
        <is>
          <t>Cash from operations</t>
        </is>
      </c>
      <c r="D267" s="12" t="n"/>
      <c r="E267" s="12" t="n"/>
      <c r="F267" s="12" t="n"/>
      <c r="G267" s="12" t="n"/>
      <c r="H267" s="12" t="n"/>
      <c r="I267" s="12" t="n"/>
      <c r="J267" s="12">
        <f>SUM(J251,J252,J253,J264,J265,J266)</f>
        <v>-820.727</v>
      </c>
      <c r="K267" s="12">
        <f>SUM(K251,K252,K253,K264,K265,K266)</f>
        <v>1637.382</v>
      </c>
      <c r="L267" s="12">
        <f>SUM(L251,L252,L253,L264,L265,L266)</f>
        <v>-2278.294</v>
      </c>
      <c r="M267" s="12" t="n"/>
      <c r="N267" s="12">
        <f>SUM(N251,N252,N253,N264,N265,N266)</f>
        <v>2510.16799999999</v>
      </c>
      <c r="O267" s="12">
        <f>SUM(O251,O252,O253,O264,O265,O266)</f>
        <v>1210.825</v>
      </c>
      <c r="P267" s="12">
        <f>SUM(P251,P252,P253,P264,P265,P266)</f>
        <v>898.561000000006</v>
      </c>
      <c r="Q267" s="12">
        <f>SUM(Q251,Q252,Q253,Q264,Q265,Q266)</f>
        <v>1393.321</v>
      </c>
      <c r="R267" s="12">
        <f>SUM(R251,R252,R253,R264,R265,R266)</f>
        <v>6012.875</v>
      </c>
      <c r="S267" s="12">
        <f>SUM(S251,S252,S253,S264,S265,S266)</f>
        <v>-344.887999999997</v>
      </c>
      <c r="T267" s="12">
        <f>SUM(T251,T252,T253,T264,T265,T266)</f>
        <v>666.002</v>
      </c>
      <c r="U267" s="12">
        <f>SUM(U251,U252,U253,U264,U265,U266)</f>
        <v>499.651999999993</v>
      </c>
      <c r="V267" s="12">
        <f>SUM(V251,V252,V253,V264,V265,V266)</f>
        <v>848.175000000003</v>
      </c>
      <c r="W267" s="12">
        <f>SUM(W251,W252,W253,W264,W265,W266)</f>
        <v>1668.941</v>
      </c>
      <c r="X267" s="12">
        <f>SUM(X251,X252,X253,X264,X265,X266)</f>
        <v>-42.0819999999992</v>
      </c>
      <c r="Y267" s="12">
        <f>SUM(Y251,Y252,Y253,Y264,Y265,Y266)</f>
        <v>314.607000000002</v>
      </c>
      <c r="Z267" s="12">
        <f>SUM(Z251,Z252,Z253,Z264,Z265,Z266)</f>
        <v>-54.7210000000041</v>
      </c>
      <c r="AA267" s="12">
        <f>SUM(AA251,AA252,AA253,AA264,AA265,AA266)</f>
        <v>152.527000000001</v>
      </c>
      <c r="AB267" s="12">
        <f>SUM(AB251,AB252,AB253,AB264,AB265,AB266)</f>
        <v>370.331</v>
      </c>
      <c r="AC267" s="12">
        <f>SUM(AC251,AC252,AC253,AC264,AC265,AC266)</f>
        <v>628.671000000003</v>
      </c>
      <c r="AD267" s="12">
        <f>SUM(AD251,AD252,AD253,AD264,AD265,AD266)</f>
        <v>-614.984999999999</v>
      </c>
      <c r="AE267" s="12">
        <f>SUM(AE251,AE252,AE253,AE264,AE265,AE266)</f>
        <v>519.050999999994</v>
      </c>
      <c r="AF267" s="12">
        <f>SUM(AF251,AF252,AF253,AF264,AF265,AF266)</f>
        <v>680.450000000002</v>
      </c>
      <c r="AG267" s="12">
        <f>SUM(AG251,AG252,AG253,AG264,AG265,AG266)</f>
        <v>1213.187</v>
      </c>
      <c r="AH267" s="12">
        <f>SUM(AH251,AH252,AH253,AH264,AH265,AH266)</f>
        <v>960.251000000004</v>
      </c>
      <c r="AI267" s="12">
        <f>SUM(AI251,AI252,AI253,AI264,AI265,AI266)</f>
        <v>228.074999999993</v>
      </c>
      <c r="AJ267" s="12">
        <f>SUM(AJ251,AJ252,AJ253,AJ264,AJ265,AJ266)</f>
        <v>1587.06174293934</v>
      </c>
      <c r="AK267" s="12">
        <f>SUM(AK251,AK252,AK253,AK264,AK265,AK266)</f>
        <v>2240.47868395249</v>
      </c>
      <c r="AL267" s="12">
        <f>SUM(AL251,AL252,AL253,AL264,AL265,AL266)</f>
        <v>5015.86642689183</v>
      </c>
      <c r="AM267" s="12">
        <f>SUM(AM251,AM252,AM253,AM264,AM265,AM266)</f>
        <v>1858.86212710425</v>
      </c>
      <c r="AN267" s="12">
        <f>SUM(AN251,AN252,AN253,AN264,AN265,AN266)</f>
        <v>2591.79362923352</v>
      </c>
      <c r="AO267" s="12">
        <f>SUM(AO251,AO252,AO253,AO264,AO265,AO266)</f>
        <v>1834.54830877478</v>
      </c>
      <c r="AP267" s="12">
        <f>SUM(AP251,AP252,AP253,AP264,AP265,AP266)</f>
        <v>2589.85915247287</v>
      </c>
      <c r="AQ267" s="12">
        <f>SUM(AQ251,AQ252,AQ253,AQ264,AQ265,AQ266)</f>
        <v>8875.06321758543</v>
      </c>
      <c r="AR267" s="12">
        <f>SUM(AR251,AR252,AR253,AR264,AR265,AR266)</f>
        <v>2139.43896120855</v>
      </c>
      <c r="AS267" s="12">
        <f>SUM(AS251,AS252,AS253,AS264,AS265,AS266)</f>
        <v>2982.99921707067</v>
      </c>
      <c r="AT267" s="12">
        <f>SUM(AT251,AT252,AT253,AT264,AT265,AT266)</f>
        <v>2111.45521272536</v>
      </c>
      <c r="AU267" s="12">
        <f>SUM(AU251,AU252,AU253,AU264,AU265,AU266)</f>
        <v>2980.77275019562</v>
      </c>
      <c r="AV267" s="12">
        <f>SUM(AV251,AV252,AV253,AV264,AV265,AV266)</f>
        <v>10214.6661412002</v>
      </c>
      <c r="AW267" s="12">
        <f>SUM(AW251,AW252,AW253,AW264,AW265,AW266)</f>
        <v>2451.66889571596</v>
      </c>
      <c r="AX267" s="12">
        <f>SUM(AX251,AX252,AX253,AX264,AX265,AX266)</f>
        <v>3418.33841910872</v>
      </c>
      <c r="AY267" s="12">
        <f>SUM(AY251,AY252,AY253,AY264,AY265,AY266)</f>
        <v>2419.60119619954</v>
      </c>
      <c r="AZ267" s="12">
        <f>SUM(AZ251,AZ252,AZ253,AZ264,AZ265,AZ266)</f>
        <v>3415.78702143677</v>
      </c>
      <c r="BA267" s="12">
        <f>SUM(BA251,BA252,BA253,BA264,BA265,BA266)</f>
        <v>11705.395532461</v>
      </c>
      <c r="BB267" s="12">
        <f>SUM(BB251,BB252,BB253,BB264,BB265,BB266)</f>
        <v>2797.20735340034</v>
      </c>
      <c r="BC267" s="12">
        <f>SUM(BC251,BC252,BC253,BC264,BC265,BC266)</f>
        <v>3900.11937543853</v>
      </c>
      <c r="BD267" s="12">
        <f>SUM(BD251,BD252,BD253,BD264,BD265,BD266)</f>
        <v>2760.62002912881</v>
      </c>
      <c r="BE267" s="12">
        <f>SUM(BE251,BE252,BE253,BE264,BE265,BE266)</f>
        <v>3897.20838352526</v>
      </c>
      <c r="BF267" s="12">
        <f>SUM(BF251,BF252,BF253,BF264,BF265,BF266)</f>
        <v>13355.1551414929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0" t="inlineStr">
        <is>
          <t>Purchase of fixed assets (capital expenditures)</t>
        </is>
      </c>
      <c r="D269" s="12" t="n"/>
      <c r="E269" s="12" t="n"/>
      <c r="F269" s="12" t="n"/>
      <c r="G269" s="12" t="n"/>
      <c r="H269" s="12" t="n"/>
      <c r="I269" s="12" t="n"/>
      <c r="J269" s="12">
        <f>-J142</f>
        <v>-18.7</v>
      </c>
      <c r="K269" s="12">
        <f>-K142</f>
        <v>-18.7</v>
      </c>
      <c r="L269" s="12">
        <f>-L142</f>
        <v>-18.697</v>
      </c>
      <c r="M269" s="12" t="n"/>
      <c r="N269" s="12">
        <f>-N142</f>
        <v>-18.698</v>
      </c>
      <c r="O269" s="12">
        <f>-O142</f>
        <v>-18.7</v>
      </c>
      <c r="P269" s="12">
        <f>-P142</f>
        <v>-14.9</v>
      </c>
      <c r="Q269" s="12">
        <f>-Q142</f>
        <v>-14.809</v>
      </c>
      <c r="R269" s="12">
        <f>SUM(N269:Q269)</f>
        <v>-67.107</v>
      </c>
      <c r="S269" s="12">
        <f>-S142</f>
        <v>-12.996</v>
      </c>
      <c r="T269" s="12">
        <f>-T142</f>
        <v>-9.1</v>
      </c>
      <c r="U269" s="12">
        <f>-U142</f>
        <v>-9</v>
      </c>
      <c r="V269" s="12">
        <f>-V142</f>
        <v>-9.002</v>
      </c>
      <c r="W269" s="12">
        <f>SUM(S269:V269)</f>
        <v>-40.098</v>
      </c>
      <c r="X269" s="12">
        <f>-X142</f>
        <v>-8.981</v>
      </c>
      <c r="Y269" s="12">
        <f>-Y142</f>
        <v>-9</v>
      </c>
      <c r="Z269" s="12">
        <f>-Z142</f>
        <v>-9</v>
      </c>
      <c r="AA269" s="12">
        <f>-AA142</f>
        <v>-9.021</v>
      </c>
      <c r="AB269" s="12">
        <f>SUM(X269:AA269)</f>
        <v>-36.002</v>
      </c>
      <c r="AC269" s="12">
        <f>-AC142</f>
        <v>-8.975</v>
      </c>
      <c r="AD269" s="12">
        <f>-AD142</f>
        <v>-9</v>
      </c>
      <c r="AE269" s="12">
        <f>-AE142</f>
        <v>-9</v>
      </c>
      <c r="AF269" s="12">
        <f>-AF142</f>
        <v>-9.099</v>
      </c>
      <c r="AG269" s="12">
        <f>SUM(AC269:AF269)</f>
        <v>-36.074</v>
      </c>
      <c r="AH269" s="12">
        <f>-AH142</f>
        <v>-9.035</v>
      </c>
      <c r="AI269" s="12">
        <f>-AI142</f>
        <v>-9</v>
      </c>
      <c r="AJ269" s="12">
        <f>-AJ142</f>
        <v>-8.35866540894094</v>
      </c>
      <c r="AK269" s="12">
        <f>-AK142</f>
        <v>-11.8000523661662</v>
      </c>
      <c r="AL269" s="12">
        <f>SUM(AH269:AK269)</f>
        <v>-38.1937177751071</v>
      </c>
      <c r="AM269" s="12">
        <f>-AM142</f>
        <v>-9.79017144792366</v>
      </c>
      <c r="AN269" s="12">
        <f>-AN142</f>
        <v>-13.6503421194343</v>
      </c>
      <c r="AO269" s="12">
        <f>-AO142</f>
        <v>-9.66211652307026</v>
      </c>
      <c r="AP269" s="12">
        <f>-AP142</f>
        <v>-13.6401537042352</v>
      </c>
      <c r="AQ269" s="12">
        <f>SUM(AM269:AP269)</f>
        <v>-46.7427837946635</v>
      </c>
      <c r="AR269" s="12">
        <f>-AR142</f>
        <v>-11.2679008987226</v>
      </c>
      <c r="AS269" s="12">
        <f>-AS142</f>
        <v>-15.7107261148185</v>
      </c>
      <c r="AT269" s="12">
        <f>-AT142</f>
        <v>-11.1205173507922</v>
      </c>
      <c r="AU269" s="12">
        <f>-AU142</f>
        <v>-15.6989998592173</v>
      </c>
      <c r="AV269" s="12">
        <f>SUM(AR269:AU269)</f>
        <v>-53.7981442235506</v>
      </c>
      <c r="AW269" s="12">
        <f>-AW142</f>
        <v>-12.9123394751131</v>
      </c>
      <c r="AX269" s="12">
        <f>-AX142</f>
        <v>-18.0035510445481</v>
      </c>
      <c r="AY269" s="12">
        <f>-AY142</f>
        <v>-12.7434467575583</v>
      </c>
      <c r="AZ269" s="12">
        <f>-AZ142</f>
        <v>-17.9901134580396</v>
      </c>
      <c r="BA269" s="12">
        <f>SUM(AW269:AZ269)</f>
        <v>-61.6494507352592</v>
      </c>
      <c r="BB269" s="12">
        <f>-BB142</f>
        <v>-14.7322058833072</v>
      </c>
      <c r="BC269" s="12">
        <f>-BC142</f>
        <v>-20.540973317044</v>
      </c>
      <c r="BD269" s="12">
        <f>-BD142</f>
        <v>-14.5395094093642</v>
      </c>
      <c r="BE269" s="12">
        <f>-BE142</f>
        <v>-20.5256418357583</v>
      </c>
      <c r="BF269" s="12">
        <f>SUM(BB269:BE269)</f>
        <v>-70.3383304454737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0" t="inlineStr">
        <is>
          <t>Proceeds from sale of fixed assets</t>
        </is>
      </c>
      <c r="D270" s="12" t="n"/>
      <c r="E270" s="12" t="n"/>
      <c r="F270" s="12" t="n"/>
      <c r="G270" s="12" t="n"/>
      <c r="H270" s="12" t="n"/>
      <c r="I270" s="12" t="n"/>
      <c r="J270" s="12">
        <f>-J143</f>
        <v>0</v>
      </c>
      <c r="K270" s="12">
        <f>-K143</f>
        <v>0</v>
      </c>
      <c r="L270" s="12">
        <f>-L143</f>
        <v>0</v>
      </c>
      <c r="M270" s="12" t="n"/>
      <c r="N270" s="12">
        <f>-N143</f>
        <v>0</v>
      </c>
      <c r="O270" s="12">
        <f>-O143</f>
        <v>0</v>
      </c>
      <c r="P270" s="12">
        <f>-P143</f>
        <v>0</v>
      </c>
      <c r="Q270" s="12">
        <f>-Q143</f>
        <v>0</v>
      </c>
      <c r="R270" s="12">
        <f>SUM(N270:Q270)</f>
        <v>0</v>
      </c>
      <c r="S270" s="12">
        <f>-S143</f>
        <v>0</v>
      </c>
      <c r="T270" s="12">
        <f>-T143</f>
        <v>0</v>
      </c>
      <c r="U270" s="12">
        <f>-U143</f>
        <v>0</v>
      </c>
      <c r="V270" s="12">
        <f>-V143</f>
        <v>0</v>
      </c>
      <c r="W270" s="12">
        <f>SUM(S270:V270)</f>
        <v>0</v>
      </c>
      <c r="X270" s="12">
        <f>-X143</f>
        <v>0</v>
      </c>
      <c r="Y270" s="12">
        <f>-Y143</f>
        <v>0</v>
      </c>
      <c r="Z270" s="12">
        <f>-Z143</f>
        <v>0</v>
      </c>
      <c r="AA270" s="12">
        <f>-AA143</f>
        <v>0</v>
      </c>
      <c r="AB270" s="12">
        <f>SUM(X270:AA270)</f>
        <v>0</v>
      </c>
      <c r="AC270" s="12">
        <f>-AC143</f>
        <v>0</v>
      </c>
      <c r="AD270" s="12">
        <f>-AD143</f>
        <v>0</v>
      </c>
      <c r="AE270" s="12">
        <f>-AE143</f>
        <v>0</v>
      </c>
      <c r="AF270" s="12">
        <f>-AF143</f>
        <v>0</v>
      </c>
      <c r="AG270" s="12">
        <f>SUM(AC270:AF270)</f>
        <v>0</v>
      </c>
      <c r="AH270" s="12">
        <f>-AH143</f>
        <v>0</v>
      </c>
      <c r="AI270" s="12">
        <f>-AI143</f>
        <v>0</v>
      </c>
      <c r="AJ270" s="12">
        <f>-AJ143</f>
        <v>0</v>
      </c>
      <c r="AK270" s="12">
        <f>-AK143</f>
        <v>0</v>
      </c>
      <c r="AL270" s="12">
        <f>SUM(AH270:AK270)</f>
        <v>0</v>
      </c>
      <c r="AM270" s="12">
        <f>-AM143</f>
        <v>0</v>
      </c>
      <c r="AN270" s="12">
        <f>-AN143</f>
        <v>0</v>
      </c>
      <c r="AO270" s="12">
        <f>-AO143</f>
        <v>0</v>
      </c>
      <c r="AP270" s="12">
        <f>-AP143</f>
        <v>0</v>
      </c>
      <c r="AQ270" s="12">
        <f>SUM(AM270:AP270)</f>
        <v>0</v>
      </c>
      <c r="AR270" s="12">
        <f>-AR143</f>
        <v>0</v>
      </c>
      <c r="AS270" s="12">
        <f>-AS143</f>
        <v>0</v>
      </c>
      <c r="AT270" s="12">
        <f>-AT143</f>
        <v>0</v>
      </c>
      <c r="AU270" s="12">
        <f>-AU143</f>
        <v>0</v>
      </c>
      <c r="AV270" s="12">
        <f>SUM(AR270:AU270)</f>
        <v>0</v>
      </c>
      <c r="AW270" s="12">
        <f>-AW143</f>
        <v>0</v>
      </c>
      <c r="AX270" s="12">
        <f>-AX143</f>
        <v>0</v>
      </c>
      <c r="AY270" s="12">
        <f>-AY143</f>
        <v>0</v>
      </c>
      <c r="AZ270" s="12">
        <f>-AZ143</f>
        <v>0</v>
      </c>
      <c r="BA270" s="12">
        <f>SUM(AW270:AZ270)</f>
        <v>0</v>
      </c>
      <c r="BB270" s="12">
        <f>-BB143</f>
        <v>0</v>
      </c>
      <c r="BC270" s="12">
        <f>-BC143</f>
        <v>0</v>
      </c>
      <c r="BD270" s="12">
        <f>-BD143</f>
        <v>0</v>
      </c>
      <c r="BE270" s="12">
        <f>-BE143</f>
        <v>0</v>
      </c>
      <c r="BF270" s="12">
        <f>SUM(BB270:BE270)</f>
        <v>0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>
      <c r="C271" s="10" t="inlineStr">
        <is>
          <t>Var.Right-of-use-assets</t>
        </is>
      </c>
      <c r="D271" s="12" t="n"/>
      <c r="E271" s="12" t="n"/>
      <c r="F271" s="12" t="n"/>
      <c r="G271" s="12" t="n"/>
      <c r="H271" s="12" t="n"/>
      <c r="I271" s="12" t="n"/>
      <c r="J271" s="12">
        <f>(J150-I150)*-1</f>
        <v>13.0940000000001</v>
      </c>
      <c r="K271" s="12">
        <f>(K150-J150)*-1</f>
        <v>-22.347</v>
      </c>
      <c r="L271" s="12">
        <f>(L150-K150)*-1</f>
        <v>-43.105</v>
      </c>
      <c r="M271" s="12" t="n"/>
      <c r="N271" s="12">
        <f>(N150-M150)*-1</f>
        <v>-79.446</v>
      </c>
      <c r="O271" s="12">
        <f>(O150-N150)*-1</f>
        <v>-18.4739999999999</v>
      </c>
      <c r="P271" s="12">
        <f>(P150-O150)*-1</f>
        <v>-0.921000000000049</v>
      </c>
      <c r="Q271" s="12">
        <f>(Q150-P150)*-1</f>
        <v>-9.149</v>
      </c>
      <c r="R271" s="12">
        <f>SUM(N271:Q271)</f>
        <v>-107.99</v>
      </c>
      <c r="S271" s="12">
        <f>(S150-R150)*-1</f>
        <v>2.91399999999999</v>
      </c>
      <c r="T271" s="12">
        <f>(T150-S150)*-1</f>
        <v>5.87699999999995</v>
      </c>
      <c r="U271" s="12">
        <f>(U150-T150)*-1</f>
        <v>23.499</v>
      </c>
      <c r="V271" s="12">
        <f>(V150-U150)*-1</f>
        <v>23.384</v>
      </c>
      <c r="W271" s="12">
        <f>SUM(S271:V271)</f>
        <v>55.674</v>
      </c>
      <c r="X271" s="12">
        <f>(X150-W150)*-1</f>
        <v>35.8530000000001</v>
      </c>
      <c r="Y271" s="12">
        <f>(Y150-X150)*-1</f>
        <v>-190.07</v>
      </c>
      <c r="Z271" s="12">
        <f>(Z150-Y150)*-1</f>
        <v>16.825</v>
      </c>
      <c r="AA271" s="12">
        <f>(AA150-Z150)*-1</f>
        <v>140.079</v>
      </c>
      <c r="AB271" s="12">
        <f>SUM(X271:AA271)</f>
        <v>2.68700000000001</v>
      </c>
      <c r="AC271" s="12">
        <f>(AC150-AB150)*-1</f>
        <v>31.133</v>
      </c>
      <c r="AD271" s="12">
        <f>(AD150-AC150)*-1</f>
        <v>13.7969999999999</v>
      </c>
      <c r="AE271" s="12">
        <f>(AE150-AD150)*-1</f>
        <v>20.6600000000001</v>
      </c>
      <c r="AF271" s="12">
        <f>(AF150-AE150)*-1</f>
        <v>15.571</v>
      </c>
      <c r="AG271" s="12">
        <f>SUM(AC271:AF271)</f>
        <v>81.1610000000001</v>
      </c>
      <c r="AH271" s="12">
        <f>(AH150-AG150)*-1</f>
        <v>-28.817</v>
      </c>
      <c r="AI271" s="12">
        <f>(AI150-AH150)*-1</f>
        <v>43.149</v>
      </c>
      <c r="AJ271" s="12">
        <f>(AJ150-AI150)*-1</f>
        <v>0</v>
      </c>
      <c r="AK271" s="12">
        <f>(AK150-AJ150)*-1</f>
        <v>0</v>
      </c>
      <c r="AL271" s="12">
        <f>SUM(AH271:AK271)</f>
        <v>14.332</v>
      </c>
      <c r="AM271" s="12">
        <f>(AM150-AL150)*-1</f>
        <v>0</v>
      </c>
      <c r="AN271" s="12">
        <f>(AN150-AM150)*-1</f>
        <v>0</v>
      </c>
      <c r="AO271" s="12">
        <f>(AO150-AN150)*-1</f>
        <v>0</v>
      </c>
      <c r="AP271" s="12">
        <f>(AP150-AO150)*-1</f>
        <v>0</v>
      </c>
      <c r="AQ271" s="12">
        <f>SUM(AM271:AP271)</f>
        <v>0</v>
      </c>
      <c r="AR271" s="12">
        <f>(AR150-AQ150)*-1</f>
        <v>0</v>
      </c>
      <c r="AS271" s="12">
        <f>(AS150-AR150)*-1</f>
        <v>0</v>
      </c>
      <c r="AT271" s="12">
        <f>(AT150-AS150)*-1</f>
        <v>0</v>
      </c>
      <c r="AU271" s="12">
        <f>(AU150-AT150)*-1</f>
        <v>0</v>
      </c>
      <c r="AV271" s="12">
        <f>SUM(AR271:AU271)</f>
        <v>0</v>
      </c>
      <c r="AW271" s="12">
        <f>(AW150-AV150)*-1</f>
        <v>0</v>
      </c>
      <c r="AX271" s="12">
        <f>(AX150-AW150)*-1</f>
        <v>0</v>
      </c>
      <c r="AY271" s="12">
        <f>(AY150-AX150)*-1</f>
        <v>0</v>
      </c>
      <c r="AZ271" s="12">
        <f>(AZ150-AY150)*-1</f>
        <v>0</v>
      </c>
      <c r="BA271" s="12">
        <f>SUM(AW271:AZ271)</f>
        <v>0</v>
      </c>
      <c r="BB271" s="12">
        <f>(BB150-BA150)*-1</f>
        <v>0</v>
      </c>
      <c r="BC271" s="12">
        <f>(BC150-BB150)*-1</f>
        <v>0</v>
      </c>
      <c r="BD271" s="12">
        <f>(BD150-BC150)*-1</f>
        <v>0</v>
      </c>
      <c r="BE271" s="12">
        <f>(BE150-BD150)*-1</f>
        <v>0</v>
      </c>
      <c r="BF271" s="12">
        <f>SUM(BB271:BE271)</f>
        <v>0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  <c r="CZ271" s="12" t="n"/>
      <c r="DA271" s="12" t="n"/>
      <c r="DB271" s="12" t="n"/>
      <c r="DC271" s="12" t="n"/>
    </row>
    <row r="272">
      <c r="C272" s="10" t="inlineStr">
        <is>
          <t>Purchases of intangible assets</t>
        </is>
      </c>
      <c r="D272" s="12" t="n"/>
      <c r="E272" s="12" t="n"/>
      <c r="F272" s="12" t="n"/>
      <c r="G272" s="12" t="n"/>
      <c r="H272" s="12" t="n"/>
      <c r="I272" s="12" t="n"/>
      <c r="J272" s="12">
        <f>((J154-I154)*-1)+((J153-I153)*-1)</f>
        <v>18.681</v>
      </c>
      <c r="K272" s="12">
        <f>((K154-J154)*-1)+((K153-J153)*-1)</f>
        <v>18.698</v>
      </c>
      <c r="L272" s="12">
        <f>((L154-K154)*-1)+((L153-K153)*-1)</f>
        <v>18.698</v>
      </c>
      <c r="M272" s="12" t="n"/>
      <c r="N272" s="12">
        <f>((N154-M154)*-1)+((N153-M153)*-1)</f>
        <v>18.698</v>
      </c>
      <c r="O272" s="12">
        <f>((O154-N154)*-1)+((O153-N153)*-1)</f>
        <v>18.698</v>
      </c>
      <c r="P272" s="12">
        <f>((P154-O154)*-1)+((P153-O153)*-1)</f>
        <v>14.892</v>
      </c>
      <c r="Q272" s="12">
        <f>((Q154-P154)*-1)+((Q153-P153)*-1)</f>
        <v>14.809</v>
      </c>
      <c r="R272" s="12">
        <f>SUM(N272:Q272)</f>
        <v>67.097</v>
      </c>
      <c r="S272" s="12">
        <f>((S154-R154)*-1)+((S153-R153)*-1)</f>
        <v>-13.008</v>
      </c>
      <c r="T272" s="12">
        <f>((T154-S154)*-1)+((T153-S153)*-1)</f>
        <v>11.074</v>
      </c>
      <c r="U272" s="12">
        <f>((U154-T154)*-1)+((U153-T153)*-1)</f>
        <v>9.011</v>
      </c>
      <c r="V272" s="12">
        <f>((V154-U154)*-1)+((V153-U153)*-1)</f>
        <v>9.00200000000001</v>
      </c>
      <c r="W272" s="12">
        <f>SUM(S272:V272)</f>
        <v>16.079</v>
      </c>
      <c r="X272" s="12">
        <f>((X154-W154)*-1)+((X153-W153)*-1)</f>
        <v>8.981</v>
      </c>
      <c r="Y272" s="12">
        <f>((Y154-X154)*-1)+((Y153-X153)*-1)</f>
        <v>8.981</v>
      </c>
      <c r="Z272" s="12">
        <f>((Z154-Y154)*-1)+((Z153-Y153)*-1)</f>
        <v>8.98100000000002</v>
      </c>
      <c r="AA272" s="12">
        <f>((AA154-Z154)*-1)+((AA153-Z153)*-1)</f>
        <v>9.02199999999999</v>
      </c>
      <c r="AB272" s="12">
        <f>SUM(X272:AA272)</f>
        <v>35.965</v>
      </c>
      <c r="AC272" s="12">
        <f>((AC154-AB154)*-1)+((AC153-AB153)*-1)</f>
        <v>8.97399999999999</v>
      </c>
      <c r="AD272" s="12">
        <f>((AD154-AC154)*-1)+((AD153-AC153)*-1)</f>
        <v>8.97499999999999</v>
      </c>
      <c r="AE272" s="12">
        <f>((AE154-AD154)*-1)+((AE153-AD153)*-1)</f>
        <v>6.83600000000001</v>
      </c>
      <c r="AF272" s="12">
        <f>((AF154-AE154)*-1)+((AF153-AE153)*-1)</f>
        <v>9.09899999999999</v>
      </c>
      <c r="AG272" s="12">
        <f>SUM(AC272:AF272)</f>
        <v>33.884</v>
      </c>
      <c r="AH272" s="12">
        <f>((AH154-AG154)*-1)+((AH153-AG153)*-1)</f>
        <v>9.03500000000001</v>
      </c>
      <c r="AI272" s="12">
        <f>((AI154-AH154)*-1)+((AI153-AH153)*-1)</f>
        <v>9.036</v>
      </c>
      <c r="AJ272" s="12">
        <f>((AJ154-AI154)*-1)+((AJ153-AI153)*-1)</f>
        <v>0</v>
      </c>
      <c r="AK272" s="12">
        <f>((AK154-AJ154)*-1)+((AK153-AJ153)*-1)</f>
        <v>0</v>
      </c>
      <c r="AL272" s="12">
        <f>SUM(AH272:AK272)</f>
        <v>18.071</v>
      </c>
      <c r="AM272" s="12">
        <f>((AM154-AL154)*-1)+((AM153-AL153)*-1)</f>
        <v>0</v>
      </c>
      <c r="AN272" s="12">
        <f>((AN154-AM154)*-1)+((AN153-AM153)*-1)</f>
        <v>0</v>
      </c>
      <c r="AO272" s="12">
        <f>((AO154-AN154)*-1)+((AO153-AN153)*-1)</f>
        <v>0</v>
      </c>
      <c r="AP272" s="12">
        <f>((AP154-AO154)*-1)+((AP153-AO153)*-1)</f>
        <v>0</v>
      </c>
      <c r="AQ272" s="12">
        <f>SUM(AM272:AP272)</f>
        <v>0</v>
      </c>
      <c r="AR272" s="12">
        <f>((AR154-AQ154)*-1)+((AR153-AQ153)*-1)</f>
        <v>0</v>
      </c>
      <c r="AS272" s="12">
        <f>((AS154-AR154)*-1)+((AS153-AR153)*-1)</f>
        <v>0</v>
      </c>
      <c r="AT272" s="12">
        <f>((AT154-AS154)*-1)+((AT153-AS153)*-1)</f>
        <v>0</v>
      </c>
      <c r="AU272" s="12">
        <f>((AU154-AT154)*-1)+((AU153-AT153)*-1)</f>
        <v>0</v>
      </c>
      <c r="AV272" s="12">
        <f>SUM(AR272:AU272)</f>
        <v>0</v>
      </c>
      <c r="AW272" s="12">
        <f>((AW154-AV154)*-1)+((AW153-AV153)*-1)</f>
        <v>0</v>
      </c>
      <c r="AX272" s="12">
        <f>((AX154-AW154)*-1)+((AX153-AW153)*-1)</f>
        <v>0</v>
      </c>
      <c r="AY272" s="12">
        <f>((AY154-AX154)*-1)+((AY153-AX153)*-1)</f>
        <v>0</v>
      </c>
      <c r="AZ272" s="12">
        <f>((AZ154-AY154)*-1)+((AZ153-AY153)*-1)</f>
        <v>0</v>
      </c>
      <c r="BA272" s="12">
        <f>SUM(AW272:AZ272)</f>
        <v>0</v>
      </c>
      <c r="BB272" s="12">
        <f>((BB154-BA154)*-1)+((BB153-BA153)*-1)</f>
        <v>0</v>
      </c>
      <c r="BC272" s="12">
        <f>((BC154-BB154)*-1)+((BC153-BB153)*-1)</f>
        <v>0</v>
      </c>
      <c r="BD272" s="12">
        <f>((BD154-BC154)*-1)+((BD153-BC153)*-1)</f>
        <v>0</v>
      </c>
      <c r="BE272" s="12">
        <f>((BE154-BD154)*-1)+((BE153-BD153)*-1)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  <c r="CZ272" s="12" t="n"/>
      <c r="DA272" s="12" t="n"/>
      <c r="DB272" s="12" t="n"/>
      <c r="DC272" s="12" t="n"/>
    </row>
    <row r="273">
      <c r="C273" s="71" t="inlineStr">
        <is>
          <t>Purchases/Proceeds from other long-term assets</t>
        </is>
      </c>
      <c r="D273" s="12" t="n"/>
      <c r="E273" s="12" t="n"/>
      <c r="F273" s="12" t="n"/>
      <c r="G273" s="12" t="n"/>
      <c r="H273" s="12" t="n"/>
      <c r="I273" s="12" t="n"/>
      <c r="J273" s="12">
        <f>((J163-I163)*-1)+(J214-I214)</f>
        <v>0</v>
      </c>
      <c r="K273" s="12">
        <f>((K163-J163)*-1)+(K214-J214)</f>
        <v>0</v>
      </c>
      <c r="L273" s="12">
        <f>((L163-K163)*-1)+(L214-K214)</f>
        <v>0</v>
      </c>
      <c r="M273" s="12" t="n"/>
      <c r="N273" s="12">
        <f>((N163-M163)*-1)+(N214-M214)</f>
        <v>0</v>
      </c>
      <c r="O273" s="12">
        <f>((O163-N163)*-1)+(O214-N214)</f>
        <v>0</v>
      </c>
      <c r="P273" s="12">
        <f>((P163-O163)*-1)+(P214-O214)</f>
        <v>0</v>
      </c>
      <c r="Q273" s="12">
        <f>((Q163-P163)*-1)+(Q214-P214)</f>
        <v>0</v>
      </c>
      <c r="R273" s="12">
        <f>SUM(N273:Q273)</f>
        <v>0</v>
      </c>
      <c r="S273" s="12">
        <f>((S163-R163)*-1)+(S214-R214)</f>
        <v>0</v>
      </c>
      <c r="T273" s="12">
        <f>((T163-S163)*-1)+(T214-S214)</f>
        <v>0</v>
      </c>
      <c r="U273" s="12">
        <f>((U163-T163)*-1)+(U214-T214)</f>
        <v>0</v>
      </c>
      <c r="V273" s="12">
        <f>((V163-U163)*-1)+(V214-U214)</f>
        <v>0</v>
      </c>
      <c r="W273" s="12">
        <f>SUM(S273:V273)</f>
        <v>0</v>
      </c>
      <c r="X273" s="12">
        <f>((X163-W163)*-1)+(X214-W214)</f>
        <v>0</v>
      </c>
      <c r="Y273" s="12">
        <f>((Y163-X163)*-1)+(Y214-X214)</f>
        <v>0</v>
      </c>
      <c r="Z273" s="12">
        <f>((Z163-Y163)*-1)+(Z214-Y214)</f>
        <v>0</v>
      </c>
      <c r="AA273" s="12">
        <f>((AA163-Z163)*-1)+(AA214-Z214)</f>
        <v>0</v>
      </c>
      <c r="AB273" s="12">
        <f>SUM(X273:AA273)</f>
        <v>0</v>
      </c>
      <c r="AC273" s="12">
        <f>((AC163-AB163)*-1)+(AC214-AB214)</f>
        <v>0</v>
      </c>
      <c r="AD273" s="12">
        <f>((AD163-AC163)*-1)+(AD214-AC214)</f>
        <v>0</v>
      </c>
      <c r="AE273" s="12">
        <f>((AE163-AD163)*-1)+(AE214-AD214)</f>
        <v>0</v>
      </c>
      <c r="AF273" s="12">
        <f>((AF163-AE163)*-1)+(AF214-AE214)</f>
        <v>0</v>
      </c>
      <c r="AG273" s="12">
        <f>SUM(AC273:AF273)</f>
        <v>0</v>
      </c>
      <c r="AH273" s="12">
        <f>((AH163-AG163)*-1)+(AH214-AG214)</f>
        <v>0</v>
      </c>
      <c r="AI273" s="12">
        <f>((AI163-AH163)*-1)+(AI214-AH214)</f>
        <v>0</v>
      </c>
      <c r="AJ273" s="12">
        <f>((AJ163-AI163)*-1)+(AJ214-AI214)</f>
        <v>0</v>
      </c>
      <c r="AK273" s="12">
        <f>((AK163-AJ163)*-1)+(AK214-AJ214)</f>
        <v>0</v>
      </c>
      <c r="AL273" s="12">
        <f>SUM(AH273:AK273)</f>
        <v>0</v>
      </c>
      <c r="AM273" s="12">
        <f>((AM163-AL163)*-1)+(AM214-AL214)</f>
        <v>0</v>
      </c>
      <c r="AN273" s="12">
        <f>((AN163-AM163)*-1)+(AN214-AM214)</f>
        <v>0</v>
      </c>
      <c r="AO273" s="12">
        <f>((AO163-AN163)*-1)+(AO214-AN214)</f>
        <v>0</v>
      </c>
      <c r="AP273" s="12">
        <f>((AP163-AO163)*-1)+(AP214-AO214)</f>
        <v>0</v>
      </c>
      <c r="AQ273" s="12">
        <f>SUM(AM273:AP273)</f>
        <v>0</v>
      </c>
      <c r="AR273" s="12">
        <f>((AR163-AQ163)*-1)+(AR214-AQ214)</f>
        <v>0</v>
      </c>
      <c r="AS273" s="12">
        <f>((AS163-AR163)*-1)+(AS214-AR214)</f>
        <v>0</v>
      </c>
      <c r="AT273" s="12">
        <f>((AT163-AS163)*-1)+(AT214-AS214)</f>
        <v>0</v>
      </c>
      <c r="AU273" s="12">
        <f>((AU163-AT163)*-1)+(AU214-AT214)</f>
        <v>0</v>
      </c>
      <c r="AV273" s="12">
        <f>SUM(AR273:AU273)</f>
        <v>0</v>
      </c>
      <c r="AW273" s="12">
        <f>((AW163-AV163)*-1)+(AW214-AV214)</f>
        <v>0</v>
      </c>
      <c r="AX273" s="12">
        <f>((AX163-AW163)*-1)+(AX214-AW214)</f>
        <v>0</v>
      </c>
      <c r="AY273" s="12">
        <f>((AY163-AX163)*-1)+(AY214-AX214)</f>
        <v>0</v>
      </c>
      <c r="AZ273" s="12">
        <f>((AZ163-AY163)*-1)+(AZ214-AY214)</f>
        <v>0</v>
      </c>
      <c r="BA273" s="12">
        <f>SUM(AW273:AZ273)</f>
        <v>0</v>
      </c>
      <c r="BB273" s="12">
        <f>((BB163-BA163)*-1)+(BB214-BA214)</f>
        <v>0</v>
      </c>
      <c r="BC273" s="12">
        <f>((BC163-BB163)*-1)+(BC214-BB214)</f>
        <v>0</v>
      </c>
      <c r="BD273" s="12">
        <f>((BD163-BC163)*-1)+(BD214-BC214)</f>
        <v>0</v>
      </c>
      <c r="BE273" s="12">
        <f>((BE163-BD163)*-1)+(BE214-BD214)</f>
        <v>0</v>
      </c>
      <c r="BF273" s="12">
        <f>SUM(BB273:BE273)</f>
        <v>0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>
      <c r="C274" s="14" t="inlineStr">
        <is>
          <t>Cash from investing</t>
        </is>
      </c>
      <c r="D274" s="12" t="n"/>
      <c r="E274" s="12" t="n"/>
      <c r="F274" s="12" t="n"/>
      <c r="G274" s="12" t="n"/>
      <c r="H274" s="12" t="n"/>
      <c r="I274" s="12" t="n"/>
      <c r="J274" s="12">
        <f>SUM(J269,J270,J272,J273,J271)</f>
        <v>13.075</v>
      </c>
      <c r="K274" s="12">
        <f>SUM(K269,K270,K272,K273,K271)</f>
        <v>-22.349</v>
      </c>
      <c r="L274" s="12">
        <f>SUM(L269,L270,L272,L273,L271)</f>
        <v>-43.104</v>
      </c>
      <c r="M274" s="12" t="n"/>
      <c r="N274" s="12">
        <f>SUM(N269,N270,N272,N273,N271)</f>
        <v>-79.446</v>
      </c>
      <c r="O274" s="12">
        <f>SUM(O269,O270,O272,O273,O271)</f>
        <v>-18.476</v>
      </c>
      <c r="P274" s="12">
        <f>SUM(P269,P270,P272,P273,P271)</f>
        <v>-0.929000000000054</v>
      </c>
      <c r="Q274" s="12">
        <f>SUM(Q269,Q270,Q272,Q273,Q271)</f>
        <v>-9.149</v>
      </c>
      <c r="R274" s="12">
        <f>SUM(R269,R270,R272,R273)</f>
        <v>-0.00999999999999091</v>
      </c>
      <c r="S274" s="12">
        <f>SUM(S269,S270,S272,S273,S271)</f>
        <v>-23.09</v>
      </c>
      <c r="T274" s="12">
        <f>SUM(T269,T270,T272,T273,T271)</f>
        <v>7.85099999999994</v>
      </c>
      <c r="U274" s="12">
        <f>SUM(U269,U270,U272,U273,U271)</f>
        <v>23.51</v>
      </c>
      <c r="V274" s="12">
        <f>SUM(V269,V270,V272,V273,V271)</f>
        <v>23.384</v>
      </c>
      <c r="W274" s="12">
        <f>SUM(W269,W270,W272,W273)</f>
        <v>-24.019</v>
      </c>
      <c r="X274" s="12">
        <f>SUM(X269,X270,X272,X273,X271)</f>
        <v>35.8530000000001</v>
      </c>
      <c r="Y274" s="12">
        <f>SUM(Y269,Y270,Y272,Y273,Y271)</f>
        <v>-190.089</v>
      </c>
      <c r="Z274" s="12">
        <f>SUM(Z269,Z270,Z272,Z273,Z271)</f>
        <v>16.8060000000001</v>
      </c>
      <c r="AA274" s="12">
        <f>SUM(AA269,AA270,AA272,AA273,AA271)</f>
        <v>140.08</v>
      </c>
      <c r="AB274" s="12">
        <f>SUM(AB269,AB270,AB272,AB273)</f>
        <v>-0.036999999999999</v>
      </c>
      <c r="AC274" s="12">
        <f>SUM(AC269,AC270,AC272,AC273,AC271)</f>
        <v>31.132</v>
      </c>
      <c r="AD274" s="12">
        <f>SUM(AD269,AD270,AD272,AD273,AD271)</f>
        <v>13.7719999999999</v>
      </c>
      <c r="AE274" s="12">
        <f>SUM(AE269,AE270,AE272,AE273,AE271)</f>
        <v>18.4960000000001</v>
      </c>
      <c r="AF274" s="12">
        <f>SUM(AF269,AF270,AF272,AF273,AF271)</f>
        <v>15.571</v>
      </c>
      <c r="AG274" s="12">
        <f>SUM(AG269,AG270,AG272,AG273)</f>
        <v>-2.19000000000001</v>
      </c>
      <c r="AH274" s="12">
        <f>SUM(AH269,AH270,AH272,AH273,AH271)</f>
        <v>-28.817</v>
      </c>
      <c r="AI274" s="12">
        <f>SUM(AI269,AI270,AI272,AI273,AI271)</f>
        <v>43.185</v>
      </c>
      <c r="AJ274" s="12">
        <f>SUM(AJ269,AJ270,AJ272,AJ273,AJ271)</f>
        <v>-8.35866540894094</v>
      </c>
      <c r="AK274" s="12">
        <f>SUM(AK269,AK270,AK272,AK273,AK271)</f>
        <v>-11.8000523661662</v>
      </c>
      <c r="AL274" s="12">
        <f>SUM(AL269,AL270,AL272,AL273)</f>
        <v>-20.1227177751071</v>
      </c>
      <c r="AM274" s="12">
        <f>SUM(AM269,AM270,AM272,AM273,AM271)</f>
        <v>-9.79017144792366</v>
      </c>
      <c r="AN274" s="12">
        <f>SUM(AN269,AN270,AN272,AN273,AN271)</f>
        <v>-13.6503421194343</v>
      </c>
      <c r="AO274" s="12">
        <f>SUM(AO269,AO270,AO272,AO273,AO271)</f>
        <v>-9.66211652307026</v>
      </c>
      <c r="AP274" s="12">
        <f>SUM(AP269,AP270,AP272,AP273,AP271)</f>
        <v>-13.6401537042352</v>
      </c>
      <c r="AQ274" s="12">
        <f>SUM(AQ269,AQ270,AQ272,AQ273)</f>
        <v>-46.7427837946635</v>
      </c>
      <c r="AR274" s="12">
        <f>SUM(AR269,AR270,AR272,AR273,AR271)</f>
        <v>-11.2679008987226</v>
      </c>
      <c r="AS274" s="12">
        <f>SUM(AS269,AS270,AS272,AS273,AS271)</f>
        <v>-15.7107261148185</v>
      </c>
      <c r="AT274" s="12">
        <f>SUM(AT269,AT270,AT272,AT273,AT271)</f>
        <v>-11.1205173507922</v>
      </c>
      <c r="AU274" s="12">
        <f>SUM(AU269,AU270,AU272,AU273,AU271)</f>
        <v>-15.6989998592173</v>
      </c>
      <c r="AV274" s="12">
        <f>SUM(AV269,AV270,AV272,AV273)</f>
        <v>-53.7981442235506</v>
      </c>
      <c r="AW274" s="12">
        <f>SUM(AW269,AW270,AW272,AW273,AW271)</f>
        <v>-12.9123394751131</v>
      </c>
      <c r="AX274" s="12">
        <f>SUM(AX269,AX270,AX272,AX273,AX271)</f>
        <v>-18.0035510445481</v>
      </c>
      <c r="AY274" s="12">
        <f>SUM(AY269,AY270,AY272,AY273,AY271)</f>
        <v>-12.7434467575583</v>
      </c>
      <c r="AZ274" s="12">
        <f>SUM(AZ269,AZ270,AZ272,AZ273,AZ271)</f>
        <v>-17.9901134580396</v>
      </c>
      <c r="BA274" s="12">
        <f>SUM(BA269,BA270,BA272,BA273)</f>
        <v>-61.6494507352592</v>
      </c>
      <c r="BB274" s="12">
        <f>SUM(BB269,BB270,BB272,BB273,BB271)</f>
        <v>-14.7322058833072</v>
      </c>
      <c r="BC274" s="12">
        <f>SUM(BC269,BC270,BC272,BC273,BC271)</f>
        <v>-20.540973317044</v>
      </c>
      <c r="BD274" s="12">
        <f>SUM(BD269,BD270,BD272,BD273,BD271)</f>
        <v>-14.5395094093642</v>
      </c>
      <c r="BE274" s="12">
        <f>SUM(BE269,BE270,BE272,BE273,BE271)</f>
        <v>-20.5256418357583</v>
      </c>
      <c r="BF274" s="12">
        <f>SUM(BF269,BF270,BF272,BF273)</f>
        <v>-70.3383304454737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>
      <c r="C275" s="14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>
      <c r="C276" s="14" t="inlineStr">
        <is>
          <t>Convertible preferred stock</t>
        </is>
      </c>
      <c r="D276" s="12" t="n"/>
      <c r="E276" s="12" t="n"/>
      <c r="F276" s="12" t="n"/>
      <c r="G276" s="12" t="n"/>
      <c r="H276" s="12" t="n"/>
      <c r="I276" s="12" t="n"/>
      <c r="J276" s="12">
        <f>J227-I227</f>
        <v>0</v>
      </c>
      <c r="K276" s="12">
        <f>K227-J227</f>
        <v>0</v>
      </c>
      <c r="L276" s="12">
        <f>L227-K227</f>
        <v>0</v>
      </c>
      <c r="M276" s="12" t="n"/>
      <c r="N276" s="12">
        <f>N227-M227</f>
        <v>0</v>
      </c>
      <c r="O276" s="12">
        <f>O227-N227</f>
        <v>0</v>
      </c>
      <c r="P276" s="12">
        <f>P227-O227</f>
        <v>0</v>
      </c>
      <c r="Q276" s="12">
        <f>Q227-P227</f>
        <v>0</v>
      </c>
      <c r="R276" s="12">
        <f>SUM(N276:Q276)</f>
        <v>0</v>
      </c>
      <c r="S276" s="12">
        <f>S227-R227</f>
        <v>0</v>
      </c>
      <c r="T276" s="12">
        <f>T227-S227</f>
        <v>0</v>
      </c>
      <c r="U276" s="12">
        <f>U227-T227</f>
        <v>0</v>
      </c>
      <c r="V276" s="12">
        <f>V227-U227</f>
        <v>0</v>
      </c>
      <c r="W276" s="12">
        <f>SUM(S276:V276)</f>
        <v>0</v>
      </c>
      <c r="X276" s="12">
        <f>X227-W227</f>
        <v>0</v>
      </c>
      <c r="Y276" s="12">
        <f>Y227-X227</f>
        <v>0</v>
      </c>
      <c r="Z276" s="12">
        <f>Z227-Y227</f>
        <v>0</v>
      </c>
      <c r="AA276" s="12">
        <f>AA227-Z227</f>
        <v>0</v>
      </c>
      <c r="AB276" s="12">
        <f>SUM(X276:AA276)</f>
        <v>0</v>
      </c>
      <c r="AC276" s="12">
        <f>AC227-AB227</f>
        <v>0</v>
      </c>
      <c r="AD276" s="12">
        <f>AD227-AC227</f>
        <v>0</v>
      </c>
      <c r="AE276" s="12">
        <f>AE227-AD227</f>
        <v>0</v>
      </c>
      <c r="AF276" s="12">
        <f>AF227-AE227</f>
        <v>0</v>
      </c>
      <c r="AG276" s="12">
        <f>SUM(AC276:AF276)</f>
        <v>0</v>
      </c>
      <c r="AH276" s="12">
        <f>AH227-AG227</f>
        <v>0</v>
      </c>
      <c r="AI276" s="12">
        <f>AI227-AH227</f>
        <v>0</v>
      </c>
      <c r="AJ276" s="12">
        <f>AJ227-AI227</f>
        <v>0</v>
      </c>
      <c r="AK276" s="12">
        <f>AK227-AJ227</f>
        <v>0</v>
      </c>
      <c r="AL276" s="12">
        <f>SUM(AH276:AK276)</f>
        <v>0</v>
      </c>
      <c r="AM276" s="12">
        <f>AM227-AL227</f>
        <v>0</v>
      </c>
      <c r="AN276" s="12">
        <f>AN227-AM227</f>
        <v>0</v>
      </c>
      <c r="AO276" s="12">
        <f>AO227-AN227</f>
        <v>0</v>
      </c>
      <c r="AP276" s="12">
        <f>AP227-AO227</f>
        <v>0</v>
      </c>
      <c r="AQ276" s="12">
        <f>SUM(AM276:AP276)</f>
        <v>0</v>
      </c>
      <c r="AR276" s="12">
        <f>AR227-AQ227</f>
        <v>0</v>
      </c>
      <c r="AS276" s="12">
        <f>AS227-AR227</f>
        <v>0</v>
      </c>
      <c r="AT276" s="12">
        <f>AT227-AS227</f>
        <v>0</v>
      </c>
      <c r="AU276" s="12">
        <f>AU227-AT227</f>
        <v>0</v>
      </c>
      <c r="AV276" s="12">
        <f>SUM(AR276:AU276)</f>
        <v>0</v>
      </c>
      <c r="AW276" s="12">
        <f>AW227-AV227</f>
        <v>0</v>
      </c>
      <c r="AX276" s="12">
        <f>AX227-AW227</f>
        <v>0</v>
      </c>
      <c r="AY276" s="12">
        <f>AY227-AX227</f>
        <v>0</v>
      </c>
      <c r="AZ276" s="12">
        <f>AZ227-AY227</f>
        <v>0</v>
      </c>
      <c r="BA276" s="12">
        <f>SUM(AW276:AZ276)</f>
        <v>0</v>
      </c>
      <c r="BB276" s="12">
        <f>BB227-BA227</f>
        <v>0</v>
      </c>
      <c r="BC276" s="12">
        <f>BC227-BB227</f>
        <v>0</v>
      </c>
      <c r="BD276" s="12">
        <f>BD227-BC227</f>
        <v>0</v>
      </c>
      <c r="BE276" s="12">
        <f>BE227-BD227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>
      <c r="C277" s="14" t="inlineStr">
        <is>
          <t>Common stock and APIC</t>
        </is>
      </c>
      <c r="D277" s="12" t="n"/>
      <c r="E277" s="12" t="n"/>
      <c r="F277" s="12" t="n"/>
      <c r="G277" s="12" t="n"/>
      <c r="H277" s="12" t="n"/>
      <c r="I277" s="12" t="n"/>
      <c r="J277" s="12">
        <f>J228-I228</f>
        <v>-164.229</v>
      </c>
      <c r="K277" s="12">
        <f>K228-J228</f>
        <v>-244.972</v>
      </c>
      <c r="L277" s="12">
        <f>L228-K228</f>
        <v>-242.901</v>
      </c>
      <c r="M277" s="12" t="n"/>
      <c r="N277" s="12">
        <f>N228-M228</f>
        <v>85.0689999999995</v>
      </c>
      <c r="O277" s="12">
        <f>O228-N228</f>
        <v>-9.51099999999951</v>
      </c>
      <c r="P277" s="12">
        <f>P228-O228</f>
        <v>-79.2790000000005</v>
      </c>
      <c r="Q277" s="12">
        <f>Q228-P228</f>
        <v>144.267</v>
      </c>
      <c r="R277" s="12">
        <f>SUM(N277:Q277)</f>
        <v>140.545999999999</v>
      </c>
      <c r="S277" s="12">
        <f>S228-R228</f>
        <v>21.781</v>
      </c>
      <c r="T277" s="12">
        <f>T228-S228</f>
        <v>119.313</v>
      </c>
      <c r="U277" s="12">
        <f>U228-T228</f>
        <v>-19.3019999999997</v>
      </c>
      <c r="V277" s="12">
        <f>V228-U228</f>
        <v>118.125</v>
      </c>
      <c r="W277" s="12">
        <f>SUM(S277:V277)</f>
        <v>239.917</v>
      </c>
      <c r="X277" s="12">
        <f>X228-W228</f>
        <v>14.9520000000002</v>
      </c>
      <c r="Y277" s="12">
        <f>Y228-X228</f>
        <v>70.4769999999999</v>
      </c>
      <c r="Z277" s="12">
        <f>Z228-Y228</f>
        <v>-2.83100000000013</v>
      </c>
      <c r="AA277" s="12">
        <f>AA228-Z228</f>
        <v>1186.773</v>
      </c>
      <c r="AB277" s="12">
        <f>SUM(X277:AA277)</f>
        <v>1269.371</v>
      </c>
      <c r="AC277" s="12">
        <f>AC228-AB228</f>
        <v>242.419</v>
      </c>
      <c r="AD277" s="12">
        <f>AD228-AC228</f>
        <v>301.683</v>
      </c>
      <c r="AE277" s="12">
        <f>AE228-AD228</f>
        <v>225.414999999999</v>
      </c>
      <c r="AF277" s="12">
        <f>AF228-AE228</f>
        <v>265.808000000001</v>
      </c>
      <c r="AG277" s="12">
        <f>SUM(AC277:AF277)</f>
        <v>1035.325</v>
      </c>
      <c r="AH277" s="12">
        <f>AH228-AG228</f>
        <v>230.379999999999</v>
      </c>
      <c r="AI277" s="12">
        <f>AI228-AH228</f>
        <v>341.505000000001</v>
      </c>
      <c r="AJ277" s="12">
        <f>AJ228-AI228</f>
        <v>0</v>
      </c>
      <c r="AK277" s="12">
        <f>AK228-AJ228</f>
        <v>0</v>
      </c>
      <c r="AL277" s="12">
        <f>SUM(AH277:AK277)</f>
        <v>571.885</v>
      </c>
      <c r="AM277" s="12">
        <f>AM228-AL228</f>
        <v>0</v>
      </c>
      <c r="AN277" s="12">
        <f>AN228-AM228</f>
        <v>0</v>
      </c>
      <c r="AO277" s="12">
        <f>AO228-AN228</f>
        <v>0</v>
      </c>
      <c r="AP277" s="12">
        <f>AP228-AO228</f>
        <v>0</v>
      </c>
      <c r="AQ277" s="12">
        <f>SUM(AM277:AP277)</f>
        <v>0</v>
      </c>
      <c r="AR277" s="12">
        <f>AR228-AQ228</f>
        <v>0</v>
      </c>
      <c r="AS277" s="12">
        <f>AS228-AR228</f>
        <v>0</v>
      </c>
      <c r="AT277" s="12">
        <f>AT228-AS228</f>
        <v>0</v>
      </c>
      <c r="AU277" s="12">
        <f>AU228-AT228</f>
        <v>0</v>
      </c>
      <c r="AV277" s="12">
        <f>SUM(AR277:AU277)</f>
        <v>0</v>
      </c>
      <c r="AW277" s="12">
        <f>AW228-AV228</f>
        <v>0</v>
      </c>
      <c r="AX277" s="12">
        <f>AX228-AW228</f>
        <v>0</v>
      </c>
      <c r="AY277" s="12">
        <f>AY228-AX228</f>
        <v>0</v>
      </c>
      <c r="AZ277" s="12">
        <f>AZ228-AY228</f>
        <v>0</v>
      </c>
      <c r="BA277" s="12">
        <f>SUM(AW277:AZ277)</f>
        <v>0</v>
      </c>
      <c r="BB277" s="12">
        <f>BB228-BA228</f>
        <v>0</v>
      </c>
      <c r="BC277" s="12">
        <f>BC228-BB228</f>
        <v>0</v>
      </c>
      <c r="BD277" s="12">
        <f>BD228-BC228</f>
        <v>0</v>
      </c>
      <c r="BE277" s="12">
        <f>BE228-BD228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4" t="inlineStr">
        <is>
          <t>Treasury stock repurchases</t>
        </is>
      </c>
      <c r="D278" s="12" t="n"/>
      <c r="E278" s="12" t="n"/>
      <c r="F278" s="12" t="n"/>
      <c r="G278" s="12" t="n"/>
      <c r="H278" s="12" t="n"/>
      <c r="I278" s="12" t="n"/>
      <c r="J278" s="12">
        <f>J241-I241</f>
        <v>0</v>
      </c>
      <c r="K278" s="12">
        <f>K241-J241</f>
        <v>0</v>
      </c>
      <c r="L278" s="12">
        <f>L241-K241</f>
        <v>0</v>
      </c>
      <c r="M278" s="12" t="n"/>
      <c r="N278" s="12">
        <f>N241-M241</f>
        <v>0</v>
      </c>
      <c r="O278" s="12">
        <f>O241-N241</f>
        <v>0</v>
      </c>
      <c r="P278" s="12">
        <f>P241-O241</f>
        <v>0</v>
      </c>
      <c r="Q278" s="12">
        <f>Q241-P241</f>
        <v>0</v>
      </c>
      <c r="R278" s="12">
        <f>SUM(N278:Q278)</f>
        <v>0</v>
      </c>
      <c r="S278" s="12">
        <f>S241-R241</f>
        <v>0</v>
      </c>
      <c r="T278" s="12">
        <f>T241-S241</f>
        <v>0</v>
      </c>
      <c r="U278" s="12">
        <f>U241-T241</f>
        <v>0</v>
      </c>
      <c r="V278" s="12">
        <f>V241-U241</f>
        <v>0</v>
      </c>
      <c r="W278" s="12">
        <f>SUM(S278:V278)</f>
        <v>0</v>
      </c>
      <c r="X278" s="12">
        <f>X241-W241</f>
        <v>0</v>
      </c>
      <c r="Y278" s="12">
        <f>Y241-X241</f>
        <v>0</v>
      </c>
      <c r="Z278" s="12">
        <f>Z241-Y241</f>
        <v>0</v>
      </c>
      <c r="AA278" s="12">
        <f>AA241-Z241</f>
        <v>0</v>
      </c>
      <c r="AB278" s="12">
        <f>SUM(X278:AA278)</f>
        <v>0</v>
      </c>
      <c r="AC278" s="12">
        <f>AC241-AB241</f>
        <v>0</v>
      </c>
      <c r="AD278" s="12">
        <f>AD241-AC241</f>
        <v>0</v>
      </c>
      <c r="AE278" s="12">
        <f>AE241-AD241</f>
        <v>0</v>
      </c>
      <c r="AF278" s="12">
        <f>AF241-AE241</f>
        <v>0</v>
      </c>
      <c r="AG278" s="12">
        <f>SUM(AC278:AF278)</f>
        <v>0</v>
      </c>
      <c r="AH278" s="12">
        <f>AH241-AG241</f>
        <v>0</v>
      </c>
      <c r="AI278" s="12">
        <f>AI241-AH241</f>
        <v>0</v>
      </c>
      <c r="AJ278" s="12">
        <f>AJ241-AI241</f>
        <v>0</v>
      </c>
      <c r="AK278" s="12">
        <f>AK241-AJ241</f>
        <v>0</v>
      </c>
      <c r="AL278" s="12">
        <f>SUM(AH278:AK278)</f>
        <v>0</v>
      </c>
      <c r="AM278" s="12">
        <f>AM241-AL241</f>
        <v>0</v>
      </c>
      <c r="AN278" s="12">
        <f>AN241-AM241</f>
        <v>0</v>
      </c>
      <c r="AO278" s="12">
        <f>AO241-AN241</f>
        <v>0</v>
      </c>
      <c r="AP278" s="12">
        <f>AP241-AO241</f>
        <v>0</v>
      </c>
      <c r="AQ278" s="12">
        <f>SUM(AM278:AP278)</f>
        <v>0</v>
      </c>
      <c r="AR278" s="12">
        <f>AR241-AQ241</f>
        <v>0</v>
      </c>
      <c r="AS278" s="12">
        <f>AS241-AR241</f>
        <v>0</v>
      </c>
      <c r="AT278" s="12">
        <f>AT241-AS241</f>
        <v>0</v>
      </c>
      <c r="AU278" s="12">
        <f>AU241-AT241</f>
        <v>0</v>
      </c>
      <c r="AV278" s="12">
        <f>SUM(AR278:AU278)</f>
        <v>0</v>
      </c>
      <c r="AW278" s="12">
        <f>AW241-AV241</f>
        <v>0</v>
      </c>
      <c r="AX278" s="12">
        <f>AX241-AW241</f>
        <v>0</v>
      </c>
      <c r="AY278" s="12">
        <f>AY241-AX241</f>
        <v>0</v>
      </c>
      <c r="AZ278" s="12">
        <f>AZ241-AY241</f>
        <v>0</v>
      </c>
      <c r="BA278" s="12">
        <f>SUM(AW278:AZ278)</f>
        <v>0</v>
      </c>
      <c r="BB278" s="12">
        <f>BB241-BA241</f>
        <v>0</v>
      </c>
      <c r="BC278" s="12">
        <f>BC241-BB241</f>
        <v>0</v>
      </c>
      <c r="BD278" s="12">
        <f>BD241-BC241</f>
        <v>0</v>
      </c>
      <c r="BE278" s="12">
        <f>BE241-BD241</f>
        <v>0</v>
      </c>
      <c r="BF278" s="12">
        <f>SUM(BB278:BE278)</f>
        <v>0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4" t="inlineStr">
        <is>
          <t>Comprehensive accumulated loss</t>
        </is>
      </c>
      <c r="D279" s="12" t="n"/>
      <c r="E279" s="12" t="n"/>
      <c r="F279" s="12" t="n"/>
      <c r="G279" s="12" t="n"/>
      <c r="H279" s="12" t="n"/>
      <c r="I279" s="12" t="n"/>
      <c r="J279" s="12">
        <f>J242-I242</f>
        <v>1.209</v>
      </c>
      <c r="K279" s="12">
        <f>K242-J242</f>
        <v>-5.112</v>
      </c>
      <c r="L279" s="12">
        <f>L242-K242</f>
        <v>-4.269</v>
      </c>
      <c r="M279" s="12" t="n"/>
      <c r="N279" s="12">
        <f>N242-M242</f>
        <v>-6.128</v>
      </c>
      <c r="O279" s="12">
        <f>O242-N242</f>
        <v>-16.471</v>
      </c>
      <c r="P279" s="12">
        <f>P242-O242</f>
        <v>-32.575</v>
      </c>
      <c r="Q279" s="12">
        <f>Q242-P242</f>
        <v>47.325</v>
      </c>
      <c r="R279" s="12">
        <f>SUM(N279:Q279)</f>
        <v>-7.849</v>
      </c>
      <c r="S279" s="12">
        <f>S242-R242</f>
        <v>5.142</v>
      </c>
      <c r="T279" s="12">
        <f>T242-S242</f>
        <v>5.128</v>
      </c>
      <c r="U279" s="12">
        <f>U242-T242</f>
        <v>-21.053</v>
      </c>
      <c r="V279" s="12">
        <f>V242-U242</f>
        <v>19.125</v>
      </c>
      <c r="W279" s="12">
        <f>SUM(S279:V279)</f>
        <v>8.342</v>
      </c>
      <c r="X279" s="12">
        <f>X242-W242</f>
        <v>-12.149</v>
      </c>
      <c r="Y279" s="12">
        <f>Y242-X242</f>
        <v>-3.335</v>
      </c>
      <c r="Z279" s="12">
        <f>Z242-Y242</f>
        <v>24.008</v>
      </c>
      <c r="AA279" s="12">
        <f>AA242-Z242</f>
        <v>-29.717</v>
      </c>
      <c r="AB279" s="12">
        <f>SUM(X279:AA279)</f>
        <v>-21.193</v>
      </c>
      <c r="AC279" s="12">
        <f>AC242-AB242</f>
        <v>11.299</v>
      </c>
      <c r="AD279" s="12">
        <f>AD242-AC242</f>
        <v>30.082</v>
      </c>
      <c r="AE279" s="12">
        <f>AE242-AD242</f>
        <v>-6.657</v>
      </c>
      <c r="AF279" s="12">
        <f>AF242-AE242</f>
        <v>-0.406</v>
      </c>
      <c r="AG279" s="12">
        <f>SUM(AC279:AF279)</f>
        <v>34.318</v>
      </c>
      <c r="AH279" s="12">
        <f>AH242-AG242</f>
        <v>-9.762</v>
      </c>
      <c r="AI279" s="12">
        <f>AI242-AH242</f>
        <v>-2.819</v>
      </c>
      <c r="AJ279" s="12">
        <f>AJ242-AI242</f>
        <v>0</v>
      </c>
      <c r="AK279" s="12">
        <f>AK242-AJ242</f>
        <v>0</v>
      </c>
      <c r="AL279" s="12">
        <f>SUM(AH279:AK279)</f>
        <v>-12.581</v>
      </c>
      <c r="AM279" s="12">
        <f>AM242-AL242</f>
        <v>0</v>
      </c>
      <c r="AN279" s="12">
        <f>AN242-AM242</f>
        <v>0</v>
      </c>
      <c r="AO279" s="12">
        <f>AO242-AN242</f>
        <v>0</v>
      </c>
      <c r="AP279" s="12">
        <f>AP242-AO242</f>
        <v>0</v>
      </c>
      <c r="AQ279" s="12">
        <f>SUM(AM279:AP279)</f>
        <v>0</v>
      </c>
      <c r="AR279" s="12">
        <f>AR242-AQ242</f>
        <v>0</v>
      </c>
      <c r="AS279" s="12">
        <f>AS242-AR242</f>
        <v>0</v>
      </c>
      <c r="AT279" s="12">
        <f>AT242-AS242</f>
        <v>0</v>
      </c>
      <c r="AU279" s="12">
        <f>AU242-AT242</f>
        <v>0</v>
      </c>
      <c r="AV279" s="12">
        <f>SUM(AR279:AU279)</f>
        <v>0</v>
      </c>
      <c r="AW279" s="12">
        <f>AW242-AV242</f>
        <v>0</v>
      </c>
      <c r="AX279" s="12">
        <f>AX242-AW242</f>
        <v>0</v>
      </c>
      <c r="AY279" s="12">
        <f>AY242-AX242</f>
        <v>0</v>
      </c>
      <c r="AZ279" s="12">
        <f>AZ242-AY242</f>
        <v>0</v>
      </c>
      <c r="BA279" s="12">
        <f>SUM(AW279:AZ279)</f>
        <v>0</v>
      </c>
      <c r="BB279" s="12">
        <f>BB242-BA242</f>
        <v>0</v>
      </c>
      <c r="BC279" s="12">
        <f>BC242-BB242</f>
        <v>0</v>
      </c>
      <c r="BD279" s="12">
        <f>BD242-BC242</f>
        <v>0</v>
      </c>
      <c r="BE279" s="12">
        <f>BE242-BD242</f>
        <v>0</v>
      </c>
      <c r="BF279" s="12">
        <f>SUM(BB279:BE279)</f>
        <v>0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14" t="inlineStr">
        <is>
          <t>Other equity account</t>
        </is>
      </c>
      <c r="D280" s="12" t="n"/>
      <c r="E280" s="12" t="n"/>
      <c r="F280" s="12" t="n"/>
      <c r="G280" s="12" t="n"/>
      <c r="H280" s="12" t="n"/>
      <c r="I280" s="12" t="n"/>
      <c r="J280" s="12">
        <f>J243-I243</f>
        <v>1159.798</v>
      </c>
      <c r="K280" s="12">
        <f>K243-J243</f>
        <v>1681.708</v>
      </c>
      <c r="L280" s="12">
        <f>L243-K243</f>
        <v>458.127</v>
      </c>
      <c r="M280" s="12" t="n"/>
      <c r="N280" s="12">
        <f>N243-M243</f>
        <v>324.504999999999</v>
      </c>
      <c r="O280" s="12">
        <f>O243-N243</f>
        <v>-1112.19</v>
      </c>
      <c r="P280" s="12">
        <f>P243-O243</f>
        <v>-621.919</v>
      </c>
      <c r="Q280" s="12">
        <f>Q243-P243</f>
        <v>-495.371000000001</v>
      </c>
      <c r="R280" s="12">
        <f>SUM(N280:Q280)</f>
        <v>-1904.975</v>
      </c>
      <c r="S280" s="12">
        <f>S243-R243</f>
        <v>-331.859</v>
      </c>
      <c r="T280" s="12">
        <f>T243-S243</f>
        <v>266.392000000002</v>
      </c>
      <c r="U280" s="12">
        <f>U243-T243</f>
        <v>84.1549999999988</v>
      </c>
      <c r="V280" s="12">
        <f>V243-U243</f>
        <v>-249.494999999999</v>
      </c>
      <c r="W280" s="12">
        <f>SUM(S280:V280)</f>
        <v>-230.806999999999</v>
      </c>
      <c r="X280" s="12">
        <f>X243-W243</f>
        <v>508.018</v>
      </c>
      <c r="Y280" s="12">
        <f>Y243-X243</f>
        <v>364.492999999999</v>
      </c>
      <c r="Z280" s="12">
        <f>Z243-Y243</f>
        <v>612.584000000001</v>
      </c>
      <c r="AA280" s="12">
        <f>AA243-Z243</f>
        <v>-1083.143</v>
      </c>
      <c r="AB280" s="12">
        <f>SUM(X280:AA280)</f>
        <v>401.951999999999</v>
      </c>
      <c r="AC280" s="12">
        <f>AC243-AB243</f>
        <v>23.1139999999996</v>
      </c>
      <c r="AD280" s="12">
        <f>AD243-AC243</f>
        <v>735.003000000001</v>
      </c>
      <c r="AE280" s="12">
        <f>AE243-AD243</f>
        <v>253.294</v>
      </c>
      <c r="AF280" s="12">
        <f>AF243-AE243</f>
        <v>342.437</v>
      </c>
      <c r="AG280" s="12">
        <f>SUM(AC280:AF280)</f>
        <v>1353.848</v>
      </c>
      <c r="AH280" s="12">
        <f>AH243-AG243</f>
        <v>-189.620999999999</v>
      </c>
      <c r="AI280" s="12">
        <f>AI243-AH243</f>
        <v>402.08</v>
      </c>
      <c r="AJ280" s="12">
        <f>AJ243-AI243</f>
        <v>0</v>
      </c>
      <c r="AK280" s="12">
        <f>AK243-AJ243</f>
        <v>0</v>
      </c>
      <c r="AL280" s="12">
        <f>SUM(AH280:AK280)</f>
        <v>212.459000000001</v>
      </c>
      <c r="AM280" s="12">
        <f>AM243-AL243</f>
        <v>0</v>
      </c>
      <c r="AN280" s="12">
        <f>AN243-AM243</f>
        <v>0</v>
      </c>
      <c r="AO280" s="12">
        <f>AO243-AN243</f>
        <v>0</v>
      </c>
      <c r="AP280" s="12">
        <f>AP243-AO243</f>
        <v>0</v>
      </c>
      <c r="AQ280" s="12">
        <f>SUM(AM280:AP280)</f>
        <v>0</v>
      </c>
      <c r="AR280" s="12">
        <f>AR243-AQ243</f>
        <v>0</v>
      </c>
      <c r="AS280" s="12">
        <f>AS243-AR243</f>
        <v>0</v>
      </c>
      <c r="AT280" s="12">
        <f>AT243-AS243</f>
        <v>0</v>
      </c>
      <c r="AU280" s="12">
        <f>AU243-AT243</f>
        <v>0</v>
      </c>
      <c r="AV280" s="12">
        <f>SUM(AR280:AU280)</f>
        <v>0</v>
      </c>
      <c r="AW280" s="12">
        <f>AW243-AV243</f>
        <v>0</v>
      </c>
      <c r="AX280" s="12">
        <f>AX243-AW243</f>
        <v>0</v>
      </c>
      <c r="AY280" s="12">
        <f>AY243-AX243</f>
        <v>0</v>
      </c>
      <c r="AZ280" s="12">
        <f>AZ243-AY243</f>
        <v>0</v>
      </c>
      <c r="BA280" s="12">
        <f>SUM(AW280:AZ280)</f>
        <v>0</v>
      </c>
      <c r="BB280" s="12">
        <f>BB243-BA243</f>
        <v>0</v>
      </c>
      <c r="BC280" s="12">
        <f>BC243-BB243</f>
        <v>0</v>
      </c>
      <c r="BD280" s="12">
        <f>BD243-BC243</f>
        <v>0</v>
      </c>
      <c r="BE280" s="12">
        <f>BE243-BD243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0" t="inlineStr">
        <is>
          <t>Common and preferred dividends</t>
        </is>
      </c>
      <c r="D281" s="12" t="n"/>
      <c r="E281" s="12" t="n"/>
      <c r="F281" s="12" t="n"/>
      <c r="G281" s="12" t="n"/>
      <c r="H281" s="12" t="n"/>
      <c r="I281" s="12" t="n"/>
      <c r="J281" s="12">
        <f>(J244-I244)-J251</f>
        <v>-584.126000000001</v>
      </c>
      <c r="K281" s="12">
        <f>(K244-J244)-K251</f>
        <v>-503.924</v>
      </c>
      <c r="L281" s="12">
        <f>(L244-K244)-L251</f>
        <v>-782.458</v>
      </c>
      <c r="M281" s="12" t="n"/>
      <c r="N281" s="12">
        <f>(N244-M244)-N251</f>
        <v>-1058.741</v>
      </c>
      <c r="O281" s="12">
        <f>(O244-N244)-O251</f>
        <v>-973.425</v>
      </c>
      <c r="P281" s="12">
        <f>(P244-O244)-P251</f>
        <v>-935.933</v>
      </c>
      <c r="Q281" s="12">
        <f>(Q244-P244)-Q251</f>
        <v>-679.211</v>
      </c>
      <c r="R281" s="12">
        <f>SUM(N281:Q281)</f>
        <v>-3647.31</v>
      </c>
      <c r="S281" s="12">
        <f>(S244-R244)-S251</f>
        <v>-677.809</v>
      </c>
      <c r="T281" s="12">
        <f>(T244-S244)-T251</f>
        <v>-597.105</v>
      </c>
      <c r="U281" s="12">
        <f>(U244-T244)-U251</f>
        <v>-598.263</v>
      </c>
      <c r="V281" s="12">
        <f>(V244-U244)-V251</f>
        <v>-605.075</v>
      </c>
      <c r="W281" s="12">
        <f>SUM(S281:V281)</f>
        <v>-2478.252</v>
      </c>
      <c r="X281" s="12">
        <f>(X244-W244)-X251</f>
        <v>-711.919</v>
      </c>
      <c r="Y281" s="12">
        <f>(Y244-X244)-Y251</f>
        <v>-633.051</v>
      </c>
      <c r="Z281" s="12">
        <f>(Z244-Y244)-Z251</f>
        <v>-627.928</v>
      </c>
      <c r="AA281" s="12">
        <f>(AA244-Z244)-AA251</f>
        <v>-656.265</v>
      </c>
      <c r="AB281" s="12">
        <f>SUM(X281:AA281)</f>
        <v>-2629.163</v>
      </c>
      <c r="AC281" s="12">
        <f>(AC244-AB244)-AC251</f>
        <v>-1102.771</v>
      </c>
      <c r="AD281" s="12">
        <f>(AD244-AC244)-AD251</f>
        <v>-721.79</v>
      </c>
      <c r="AE281" s="12">
        <f>(AE244-AD244)-AE251</f>
        <v>-803.491</v>
      </c>
      <c r="AF281" s="12">
        <f>(AF244-AE244)-AF251</f>
        <v>-1007.6</v>
      </c>
      <c r="AG281" s="12">
        <f>SUM(AC281:AF281)</f>
        <v>-3635.652</v>
      </c>
      <c r="AH281" s="12">
        <f>(AH244-AG244)-AH251</f>
        <v>-1165.103</v>
      </c>
      <c r="AI281" s="12">
        <f>(AI244-AH244)-AI251</f>
        <v>-924.102</v>
      </c>
      <c r="AJ281" s="12">
        <f>(AJ244-AI244)-AJ251</f>
        <v>0</v>
      </c>
      <c r="AK281" s="12">
        <f>(AK244-AJ244)-AK251</f>
        <v>0</v>
      </c>
      <c r="AL281" s="12">
        <f>SUM(AH281:AK281)</f>
        <v>-2089.205</v>
      </c>
      <c r="AM281" s="12">
        <f>(AM244-AL244)-AM251</f>
        <v>0</v>
      </c>
      <c r="AN281" s="12">
        <f>(AN244-AM244)-AN251</f>
        <v>0</v>
      </c>
      <c r="AO281" s="12">
        <f>(AO244-AN244)-AO251</f>
        <v>0</v>
      </c>
      <c r="AP281" s="12">
        <f>(AP244-AO244)-AP251</f>
        <v>0</v>
      </c>
      <c r="AQ281" s="12">
        <f>SUM(AM281:AP281)</f>
        <v>0</v>
      </c>
      <c r="AR281" s="12">
        <f>(AR244-AQ244)-AR251</f>
        <v>0</v>
      </c>
      <c r="AS281" s="12">
        <f>(AS244-AR244)-AS251</f>
        <v>0</v>
      </c>
      <c r="AT281" s="12">
        <f>(AT244-AS244)-AT251</f>
        <v>0</v>
      </c>
      <c r="AU281" s="12">
        <f>(AU244-AT244)-AU251</f>
        <v>0</v>
      </c>
      <c r="AV281" s="12">
        <f>SUM(AR281:AU281)</f>
        <v>0</v>
      </c>
      <c r="AW281" s="12">
        <f>(AW244-AV244)-AW251</f>
        <v>0</v>
      </c>
      <c r="AX281" s="12">
        <f>(AX244-AW244)-AX251</f>
        <v>0</v>
      </c>
      <c r="AY281" s="12">
        <f>(AY244-AX244)-AY251</f>
        <v>0</v>
      </c>
      <c r="AZ281" s="12">
        <f>(AZ244-AY244)-AZ251</f>
        <v>0</v>
      </c>
      <c r="BA281" s="12">
        <f>SUM(AW281:AZ281)</f>
        <v>0</v>
      </c>
      <c r="BB281" s="12">
        <f>(BB244-BA244)-BB251</f>
        <v>0</v>
      </c>
      <c r="BC281" s="12">
        <f>(BC244-BB244)-BC251</f>
        <v>0</v>
      </c>
      <c r="BD281" s="12">
        <f>(BD244-BC244)-BD251</f>
        <v>0</v>
      </c>
      <c r="BE281" s="12">
        <f>(BE244-BD244)-BE251</f>
        <v>0</v>
      </c>
      <c r="BF281" s="12">
        <f>SUM(BB281:BE281)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4" t="inlineStr">
        <is>
          <t>Dividends to minority interests</t>
        </is>
      </c>
      <c r="D282" s="12" t="n"/>
      <c r="E282" s="12" t="n"/>
      <c r="F282" s="12" t="n"/>
      <c r="G282" s="12" t="n"/>
      <c r="H282" s="12" t="n"/>
      <c r="I282" s="12" t="n"/>
      <c r="J282" s="12">
        <f>(J222-I222)+J110</f>
        <v>0.0219999999999914</v>
      </c>
      <c r="K282" s="12">
        <f>(K222-J222)+K110</f>
        <v>1.256</v>
      </c>
      <c r="L282" s="12">
        <f>(L222-K222)+L110</f>
        <v>1.20400000000001</v>
      </c>
      <c r="M282" s="12" t="n"/>
      <c r="N282" s="12">
        <f>(N222-M222)+N110</f>
        <v>-26.598</v>
      </c>
      <c r="O282" s="12">
        <f>(O222-N222)+O110</f>
        <v>1234.061</v>
      </c>
      <c r="P282" s="12">
        <f>(P222-O222)+P110</f>
        <v>68.6970000000001</v>
      </c>
      <c r="Q282" s="12">
        <f>(Q222-P222)+Q110</f>
        <v>370.818</v>
      </c>
      <c r="R282" s="12">
        <f>SUM(N282:Q282)</f>
        <v>1646.978</v>
      </c>
      <c r="S282" s="12">
        <f>(S222-R222)+S110</f>
        <v>-70.3090000000002</v>
      </c>
      <c r="T282" s="12">
        <f>(T222-S222)+T110</f>
        <v>-18.348</v>
      </c>
      <c r="U282" s="12">
        <f>(U222-T222)+U110</f>
        <v>-277.289</v>
      </c>
      <c r="V282" s="12">
        <f>(V222-U222)+V110</f>
        <v>-169.987</v>
      </c>
      <c r="W282" s="12">
        <f>SUM(S282:V282)</f>
        <v>-535.933</v>
      </c>
      <c r="X282" s="12">
        <f>(X222-W222)+X110</f>
        <v>-244.068</v>
      </c>
      <c r="Y282" s="12">
        <f>(Y222-X222)+Y110</f>
        <v>-46.1369999999999</v>
      </c>
      <c r="Z282" s="12">
        <f>(Z222-Y222)+Z110</f>
        <v>3.97799999999995</v>
      </c>
      <c r="AA282" s="12">
        <f>(AA222-Z222)+AA110</f>
        <v>-91.447</v>
      </c>
      <c r="AB282" s="12">
        <f>SUM(X282:AA282)</f>
        <v>-377.674</v>
      </c>
      <c r="AC282" s="12">
        <f>(AC222-AB222)+AC110</f>
        <v>580.975</v>
      </c>
      <c r="AD282" s="12">
        <f>(AD222-AC222)+AD110</f>
        <v>104.755</v>
      </c>
      <c r="AE282" s="12">
        <f>(AE222-AD222)+AE110</f>
        <v>-10.9169999999999</v>
      </c>
      <c r="AF282" s="12">
        <f>(AF222-AE222)+AF110</f>
        <v>-95.7090000000001</v>
      </c>
      <c r="AG282" s="12">
        <f>SUM(AC282:AF282)</f>
        <v>579.104</v>
      </c>
      <c r="AH282" s="12">
        <f>(AH222-AG222)+AH110</f>
        <v>19.9160000000002</v>
      </c>
      <c r="AI282" s="12">
        <f>(AI222-AH222)+AI110</f>
        <v>-29.336</v>
      </c>
      <c r="AJ282" s="12">
        <f>(AJ222-AI222)+AJ110</f>
        <v>0</v>
      </c>
      <c r="AK282" s="12">
        <f>(AK222-AJ222)+AK110</f>
        <v>0</v>
      </c>
      <c r="AL282" s="12">
        <f>SUM(AH282:AK282)</f>
        <v>-9.41999999999985</v>
      </c>
      <c r="AM282" s="12">
        <f>(AM222-AL222)+AM110</f>
        <v>0</v>
      </c>
      <c r="AN282" s="12">
        <f>(AN222-AM222)+AN110</f>
        <v>0</v>
      </c>
      <c r="AO282" s="12">
        <f>(AO222-AN222)+AO110</f>
        <v>0</v>
      </c>
      <c r="AP282" s="12">
        <f>(AP222-AO222)+AP110</f>
        <v>0</v>
      </c>
      <c r="AQ282" s="12">
        <f>SUM(AM282:AP282)</f>
        <v>0</v>
      </c>
      <c r="AR282" s="12">
        <f>(AR222-AQ222)+AR110</f>
        <v>0</v>
      </c>
      <c r="AS282" s="12">
        <f>(AS222-AR222)+AS110</f>
        <v>0</v>
      </c>
      <c r="AT282" s="12">
        <f>(AT222-AS222)+AT110</f>
        <v>0</v>
      </c>
      <c r="AU282" s="12">
        <f>(AU222-AT222)+AU110</f>
        <v>0</v>
      </c>
      <c r="AV282" s="12">
        <f>SUM(AR282:AU282)</f>
        <v>0</v>
      </c>
      <c r="AW282" s="12">
        <f>(AW222-AV222)+AW110</f>
        <v>0</v>
      </c>
      <c r="AX282" s="12">
        <f>(AX222-AW222)+AX110</f>
        <v>0</v>
      </c>
      <c r="AY282" s="12">
        <f>(AY222-AX222)+AY110</f>
        <v>0</v>
      </c>
      <c r="AZ282" s="12">
        <f>(AZ222-AY222)+AZ110</f>
        <v>0</v>
      </c>
      <c r="BA282" s="12">
        <f>SUM(AW282:AZ282)</f>
        <v>0</v>
      </c>
      <c r="BB282" s="12">
        <f>(BB222-BA222)+BB110</f>
        <v>0</v>
      </c>
      <c r="BC282" s="12">
        <f>(BC222-BB222)+BC110</f>
        <v>0</v>
      </c>
      <c r="BD282" s="12">
        <f>(BD222-BC222)+BD110</f>
        <v>0</v>
      </c>
      <c r="BE282" s="12">
        <f>(BE222-BD222)+BE110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>
      <c r="C283" s="15" t="inlineStr">
        <is>
          <t>Increases / (decreases) in debt</t>
        </is>
      </c>
      <c r="D283" s="12" t="n"/>
      <c r="E283" s="12" t="n"/>
      <c r="F283" s="12" t="n"/>
      <c r="G283" s="12" t="n"/>
      <c r="H283" s="12" t="n"/>
      <c r="I283" s="12" t="n"/>
      <c r="J283" s="12">
        <f>SUM(J186:J188,J191,J212,J209)-SUM(I186:I188,I191,I212,I209)</f>
        <v>0</v>
      </c>
      <c r="K283" s="12">
        <f>SUM(K186:K188,K191,K212,K209)-SUM(J186:J188,J191,J212,J209)</f>
        <v>0</v>
      </c>
      <c r="L283" s="12">
        <f>SUM(L186:L188,L191,L212,L209)-SUM(K186:K188,K191,K212,K209)</f>
        <v>0</v>
      </c>
      <c r="M283" s="12" t="n"/>
      <c r="N283" s="12">
        <f>SUM(N186:N188,N191,N212,N209)-SUM(M186:M188,M191,M212,M209)</f>
        <v>0</v>
      </c>
      <c r="O283" s="12">
        <f>SUM(O186:O188,O191,O212,O209)-SUM(N186:N188,N191,N212,N209)</f>
        <v>0</v>
      </c>
      <c r="P283" s="12">
        <f>SUM(P186:P188,P191,P212,P209)-SUM(O186:O188,O191,O212,O209)</f>
        <v>0</v>
      </c>
      <c r="Q283" s="12">
        <f>SUM(Q186:Q188,Q191,Q212,Q209)-SUM(P186:P188,P191,P212,P209)</f>
        <v>0</v>
      </c>
      <c r="R283" s="12">
        <f>SUM(N283:Q283)</f>
        <v>0</v>
      </c>
      <c r="S283" s="12">
        <f>SUM(S186:S188,S191,S212,S209)-SUM(R186:R188,R191,R212,R209)</f>
        <v>0</v>
      </c>
      <c r="T283" s="12">
        <f>SUM(T186:T188,T191,T212,T209)-SUM(S186:S188,S191,S212,S209)</f>
        <v>0</v>
      </c>
      <c r="U283" s="12">
        <f>SUM(U186:U188,U191,U212,U209)-SUM(T186:T188,T191,T212,T209)</f>
        <v>0</v>
      </c>
      <c r="V283" s="12">
        <f>SUM(V186:V188,V191,V212,V209)-SUM(U186:U188,U191,U212,U209)</f>
        <v>0</v>
      </c>
      <c r="W283" s="12">
        <f>SUM(S283:V283)</f>
        <v>0</v>
      </c>
      <c r="X283" s="12">
        <f>SUM(X186:X188,X191,X212,X209)-SUM(W186:W188,W191,W212,W209)</f>
        <v>0</v>
      </c>
      <c r="Y283" s="12">
        <f>SUM(Y186:Y188,Y191,Y212,Y209)-SUM(X186:X188,X191,X212,X209)</f>
        <v>0</v>
      </c>
      <c r="Z283" s="12">
        <f>SUM(Z186:Z188,Z191,Z212,Z209)-SUM(Y186:Y188,Y191,Y212,Y209)</f>
        <v>0</v>
      </c>
      <c r="AA283" s="12">
        <f>SUM(AA186:AA188,AA191,AA212,AA209)-SUM(Z186:Z188,Z191,Z212,Z209)</f>
        <v>0</v>
      </c>
      <c r="AB283" s="12">
        <f>SUM(X283:AA283)</f>
        <v>0</v>
      </c>
      <c r="AC283" s="12">
        <f>SUM(AC186:AC188,AC191,AC212,AC209)-SUM(AB186:AB188,AB191,AB212,AB209)</f>
        <v>0</v>
      </c>
      <c r="AD283" s="12">
        <f>SUM(AD186:AD188,AD191,AD212,AD209)-SUM(AC186:AC188,AC191,AC212,AC209)</f>
        <v>0</v>
      </c>
      <c r="AE283" s="12">
        <f>SUM(AE186:AE188,AE191,AE212,AE209)-SUM(AD186:AD188,AD191,AD212,AD209)</f>
        <v>0</v>
      </c>
      <c r="AF283" s="12">
        <f>SUM(AF186:AF188,AF191,AF212,AF209)-SUM(AE186:AE188,AE191,AE212,AE209)</f>
        <v>0</v>
      </c>
      <c r="AG283" s="12">
        <f>SUM(AC283:AF283)</f>
        <v>0</v>
      </c>
      <c r="AH283" s="12">
        <f>SUM(AH186:AH188,AH191,AH212,AH209)-SUM(AG186:AG188,AG191,AG212,AG209)</f>
        <v>0</v>
      </c>
      <c r="AI283" s="12">
        <f>SUM(AI186:AI188,AI191,AI212,AI209)-SUM(AH186:AH188,AH191,AH212,AH209)</f>
        <v>0</v>
      </c>
      <c r="AJ283" s="12">
        <f>SUM(AJ186:AJ188,AJ191,AJ212,AJ209)-SUM(AI186:AI188,AI191,AI212,AI209)</f>
        <v>0</v>
      </c>
      <c r="AK283" s="12">
        <f>SUM(AK186:AK188,AK191,AK212,AK209)-SUM(AJ186:AJ188,AJ191,AJ212,AJ209)</f>
        <v>0</v>
      </c>
      <c r="AL283" s="12">
        <f>SUM(AH283:AK283)</f>
        <v>0</v>
      </c>
      <c r="AM283" s="12">
        <f>SUM(AM186:AM188,AM191,AM212,AM209)-SUM(AL186:AL188,AL191,AL212,AL209)</f>
        <v>0</v>
      </c>
      <c r="AN283" s="12">
        <f>SUM(AN186:AN188,AN191,AN212,AN209)-SUM(AM186:AM188,AM191,AM212,AM209)</f>
        <v>0</v>
      </c>
      <c r="AO283" s="12">
        <f>SUM(AO186:AO188,AO191,AO212,AO209)-SUM(AN186:AN188,AN191,AN212,AN209)</f>
        <v>0</v>
      </c>
      <c r="AP283" s="12">
        <f>SUM(AP186:AP188,AP191,AP212,AP209)-SUM(AO186:AO188,AO191,AO212,AO209)</f>
        <v>0</v>
      </c>
      <c r="AQ283" s="12">
        <f>SUM(AM283:AP283)</f>
        <v>0</v>
      </c>
      <c r="AR283" s="12">
        <f>SUM(AR186:AR188,AR191,AR212,AR209)-SUM(AQ186:AQ188,AQ191,AQ212,AQ209)</f>
        <v>0</v>
      </c>
      <c r="AS283" s="12">
        <f>SUM(AS186:AS188,AS191,AS212,AS209)-SUM(AR186:AR188,AR191,AR212,AR209)</f>
        <v>0</v>
      </c>
      <c r="AT283" s="12">
        <f>SUM(AT186:AT188,AT191,AT212,AT209)-SUM(AS186:AS188,AS191,AS212,AS209)</f>
        <v>0</v>
      </c>
      <c r="AU283" s="12">
        <f>SUM(AU186:AU188,AU191,AU212,AU209)-SUM(AT186:AT188,AT191,AT212,AT209)</f>
        <v>0</v>
      </c>
      <c r="AV283" s="12">
        <f>SUM(AR283:AU283)</f>
        <v>0</v>
      </c>
      <c r="AW283" s="12">
        <f>SUM(AW186:AW188,AW191,AW212,AW209)-SUM(AV186:AV188,AV191,AV212,AV209)</f>
        <v>0</v>
      </c>
      <c r="AX283" s="12">
        <f>SUM(AX186:AX188,AX191,AX212,AX209)-SUM(AW186:AW188,AW191,AW212,AW209)</f>
        <v>0</v>
      </c>
      <c r="AY283" s="12">
        <f>SUM(AY186:AY188,AY191,AY212,AY209)-SUM(AX186:AX188,AX191,AX212,AX209)</f>
        <v>0</v>
      </c>
      <c r="AZ283" s="12">
        <f>SUM(AZ186:AZ188,AZ191,AZ212,AZ209)-SUM(AY186:AY188,AY191,AY212,AY209)</f>
        <v>0</v>
      </c>
      <c r="BA283" s="12">
        <f>SUM(AW283:AZ283)</f>
        <v>0</v>
      </c>
      <c r="BB283" s="12">
        <f>SUM(BB186:BB188,BB191,BB212,BB209)-SUM(BA186:BA188,BA191,BA212,BA209)</f>
        <v>0</v>
      </c>
      <c r="BC283" s="12">
        <f>SUM(BC186:BC188,BC191,BC212,BC209)-SUM(BB186:BB188,BB191,BB212,BB209)</f>
        <v>0</v>
      </c>
      <c r="BD283" s="12">
        <f>SUM(BD186:BD188,BD191,BD212,BD209)-SUM(BC186:BC188,BC191,BC212,BC209)</f>
        <v>0</v>
      </c>
      <c r="BE283" s="12">
        <f>SUM(BE186:BE188,BE191,BE212,BE209)-SUM(BD186:BD188,BD191,BD212,BD209)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  <c r="CZ283" s="12" t="n"/>
      <c r="DA283" s="12" t="n"/>
      <c r="DB283" s="12" t="n"/>
      <c r="DC283" s="12" t="n"/>
    </row>
    <row r="284">
      <c r="C284" s="14" t="inlineStr">
        <is>
          <t>Cash from financing</t>
        </is>
      </c>
      <c r="D284" s="12" t="n"/>
      <c r="E284" s="12" t="n"/>
      <c r="F284" s="12" t="n"/>
      <c r="G284" s="12" t="n"/>
      <c r="H284" s="12" t="n"/>
      <c r="I284" s="12" t="n"/>
      <c r="J284" s="12">
        <f>SUM(J276,J277,J278,J279,J280,J281,J282,J283)</f>
        <v>412.674</v>
      </c>
      <c r="K284" s="12">
        <f>SUM(K276,K277,K278,K279,K280,K281,K282,K283)</f>
        <v>928.955999999999</v>
      </c>
      <c r="L284" s="12">
        <f>SUM(L276,L277,L278,L279,L280,L281,L282,L283)</f>
        <v>-570.297</v>
      </c>
      <c r="M284" s="12" t="n"/>
      <c r="N284" s="12">
        <f>SUM(N276,N277,N278,N279,N280,N281,N282,N283)</f>
        <v>-681.893000000001</v>
      </c>
      <c r="O284" s="12">
        <f>SUM(O276,O277,O278,O279,O280,O281,O282,O283)</f>
        <v>-877.535999999999</v>
      </c>
      <c r="P284" s="12">
        <f>SUM(P276,P277,P278,P279,P280,P281,P282,P283)</f>
        <v>-1601.009</v>
      </c>
      <c r="Q284" s="12">
        <f>SUM(Q276,Q277,Q278,Q279,Q280,Q281,Q282,Q283)</f>
        <v>-612.172000000001</v>
      </c>
      <c r="R284" s="12">
        <f>SUM(R276,R277,R278,R279,R280,R281,R282,R283)</f>
        <v>-3772.61</v>
      </c>
      <c r="S284" s="12">
        <f>SUM(S276,S277,S278,S279,S280,S281,S282,S283)</f>
        <v>-1053.054</v>
      </c>
      <c r="T284" s="12">
        <f>SUM(T276,T277,T278,T279,T280,T281,T282,T283)</f>
        <v>-224.619999999998</v>
      </c>
      <c r="U284" s="12">
        <f>SUM(U276,U277,U278,U279,U280,U281,U282,U283)</f>
        <v>-831.752000000001</v>
      </c>
      <c r="V284" s="12">
        <f>SUM(V276,V277,V278,V279,V280,V281,V282,V283)</f>
        <v>-887.306999999999</v>
      </c>
      <c r="W284" s="12">
        <f>SUM(W276,W277,W278,W279,W280,W281,W282,W283)</f>
        <v>-2996.733</v>
      </c>
      <c r="X284" s="12">
        <f>SUM(X276,X277,X278,X279,X280,X281,X282,X283)</f>
        <v>-445.166</v>
      </c>
      <c r="Y284" s="12">
        <f>SUM(Y276,Y277,Y278,Y279,Y280,Y281,Y282,Y283)</f>
        <v>-247.553000000001</v>
      </c>
      <c r="Z284" s="12">
        <f>SUM(Z276,Z277,Z278,Z279,Z280,Z281,Z282,Z283)</f>
        <v>9.81100000000056</v>
      </c>
      <c r="AA284" s="12">
        <f>SUM(AA276,AA277,AA278,AA279,AA280,AA281,AA282,AA283)</f>
        <v>-673.799</v>
      </c>
      <c r="AB284" s="12">
        <f>SUM(AB276,AB277,AB278,AB279,AB280,AB281,AB282,AB283)</f>
        <v>-1356.707</v>
      </c>
      <c r="AC284" s="12">
        <f>SUM(AC276,AC277,AC278,AC279,AC280,AC281,AC282,AC283)</f>
        <v>-244.964</v>
      </c>
      <c r="AD284" s="12">
        <f>SUM(AD276,AD277,AD278,AD279,AD280,AD281,AD282,AD283)</f>
        <v>449.733</v>
      </c>
      <c r="AE284" s="12">
        <f>SUM(AE276,AE277,AE278,AE279,AE280,AE281,AE282,AE283)</f>
        <v>-342.356000000001</v>
      </c>
      <c r="AF284" s="12">
        <f>SUM(AF276,AF277,AF278,AF279,AF280,AF281,AF282,AF283)</f>
        <v>-495.469999999999</v>
      </c>
      <c r="AG284" s="12">
        <f>SUM(AG276,AG277,AG278,AG279,AG280,AG281,AG282,AG283)</f>
        <v>-633.057000000001</v>
      </c>
      <c r="AH284" s="12">
        <f>SUM(AH276,AH277,AH278,AH279,AH280,AH281,AH282,AH283)</f>
        <v>-1114.19</v>
      </c>
      <c r="AI284" s="12">
        <f>SUM(AI276,AI277,AI278,AI279,AI280,AI281,AI282,AI283)</f>
        <v>-212.671999999999</v>
      </c>
      <c r="AJ284" s="12">
        <f>SUM(AJ276,AJ277,AJ278,AJ279,AJ280,AJ281,AJ282,AJ283)</f>
        <v>0</v>
      </c>
      <c r="AK284" s="12">
        <f>SUM(AK276,AK277,AK278,AK279,AK280,AK281,AK282,AK283)</f>
        <v>0</v>
      </c>
      <c r="AL284" s="12">
        <f>SUM(AL276,AL277,AL278,AL279,AL280,AL281,AL282,AL283)</f>
        <v>-1326.862</v>
      </c>
      <c r="AM284" s="12">
        <f>SUM(AM276,AM277,AM278,AM279,AM280,AM281,AM282,AM283)</f>
        <v>0</v>
      </c>
      <c r="AN284" s="12">
        <f>SUM(AN276,AN277,AN278,AN279,AN280,AN281,AN282,AN283)</f>
        <v>0</v>
      </c>
      <c r="AO284" s="12">
        <f>SUM(AO276,AO277,AO278,AO279,AO280,AO281,AO282,AO283)</f>
        <v>0</v>
      </c>
      <c r="AP284" s="12">
        <f>SUM(AP276,AP277,AP278,AP279,AP280,AP281,AP282,AP283)</f>
        <v>0</v>
      </c>
      <c r="AQ284" s="12">
        <f>SUM(AQ276,AQ277,AQ278,AQ279,AQ280,AQ281,AQ282,AQ283)</f>
        <v>0</v>
      </c>
      <c r="AR284" s="12">
        <f>SUM(AR276,AR277,AR278,AR279,AR280,AR281,AR282,AR283)</f>
        <v>0</v>
      </c>
      <c r="AS284" s="12">
        <f>SUM(AS276,AS277,AS278,AS279,AS280,AS281,AS282,AS283)</f>
        <v>0</v>
      </c>
      <c r="AT284" s="12">
        <f>SUM(AT276,AT277,AT278,AT279,AT280,AT281,AT282,AT283)</f>
        <v>0</v>
      </c>
      <c r="AU284" s="12">
        <f>SUM(AU276,AU277,AU278,AU279,AU280,AU281,AU282,AU283)</f>
        <v>0</v>
      </c>
      <c r="AV284" s="12">
        <f>SUM(AV276,AV277,AV278,AV279,AV280,AV281,AV282,AV283)</f>
        <v>0</v>
      </c>
      <c r="AW284" s="12">
        <f>SUM(AW276,AW277,AW278,AW279,AW280,AW281,AW282,AW283)</f>
        <v>0</v>
      </c>
      <c r="AX284" s="12">
        <f>SUM(AX276,AX277,AX278,AX279,AX280,AX281,AX282,AX283)</f>
        <v>0</v>
      </c>
      <c r="AY284" s="12">
        <f>SUM(AY276,AY277,AY278,AY279,AY280,AY281,AY282,AY283)</f>
        <v>0</v>
      </c>
      <c r="AZ284" s="12">
        <f>SUM(AZ276,AZ277,AZ278,AZ279,AZ280,AZ281,AZ282,AZ283)</f>
        <v>0</v>
      </c>
      <c r="BA284" s="12">
        <f>SUM(BA276,BA277,BA278,BA279,BA280,BA281,BA282,BA283)</f>
        <v>0</v>
      </c>
      <c r="BB284" s="12">
        <f>SUM(BB276,BB277,BB278,BB279,BB280,BB281,BB282,BB283)</f>
        <v>0</v>
      </c>
      <c r="BC284" s="12">
        <f>SUM(BC276,BC277,BC278,BC279,BC280,BC281,BC282,BC283)</f>
        <v>0</v>
      </c>
      <c r="BD284" s="12">
        <f>SUM(BD276,BD277,BD278,BD279,BD280,BD281,BD282,BD283)</f>
        <v>0</v>
      </c>
      <c r="BE284" s="12">
        <f>SUM(BE276,BE277,BE278,BE279,BE280,BE281,BE282,BE283)</f>
        <v>0</v>
      </c>
      <c r="BF284" s="12">
        <f>SUM(BF276,BF277,BF278,BF279,BF280,BF281,BF282,BF283)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4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>
      <c r="C286" s="14" t="inlineStr">
        <is>
          <t>Others / cash reconciliation plug</t>
        </is>
      </c>
      <c r="D286" s="12" t="n"/>
      <c r="E286" s="12" t="n"/>
      <c r="F286" s="12" t="n"/>
      <c r="G286" s="12" t="n"/>
      <c r="H286" s="12" t="n"/>
      <c r="I286" s="12" t="n"/>
      <c r="J286" s="12">
        <f>J118-I118-SUM(J267,J274,J284)</f>
        <v>0</v>
      </c>
      <c r="K286" s="12">
        <f>K118-J118-SUM(K267,K274,K284)</f>
        <v>0</v>
      </c>
      <c r="L286" s="12">
        <f>L118-K118-SUM(L267,L274,L284)</f>
        <v>0</v>
      </c>
      <c r="M286" s="12" t="n"/>
      <c r="N286" s="12">
        <f>N118-M118-SUM(N267,N274,N284)</f>
        <v>7.95807864051312e-12</v>
      </c>
      <c r="O286" s="12">
        <f>O118-N118-SUM(O267,O274,O284)</f>
        <v>-1.19371179607697e-12</v>
      </c>
      <c r="P286" s="12">
        <f>P118-O118-SUM(P267,P274,P284)</f>
        <v>-6.02540239924565e-12</v>
      </c>
      <c r="Q286" s="12">
        <f>Q118-P118-SUM(Q267,Q274,Q284)</f>
        <v>0</v>
      </c>
      <c r="R286" s="12">
        <f>SUM(N286:Q286)</f>
        <v>7.38964445190504e-13</v>
      </c>
      <c r="S286" s="12">
        <f>S118-R118-SUM(S267,S274,S284)</f>
        <v>0</v>
      </c>
      <c r="T286" s="12">
        <f>T118-S118-SUM(T267,T274,T284)</f>
        <v>0</v>
      </c>
      <c r="U286" s="12">
        <f>U118-T118-SUM(U267,U274,U284)</f>
        <v>7.61701812734827e-12</v>
      </c>
      <c r="V286" s="12">
        <f>V118-U118-SUM(V267,V274,V284)</f>
        <v>-3.98614474761416e-12</v>
      </c>
      <c r="W286" s="12">
        <f>SUM(S286:V286)</f>
        <v>3.63087337973411e-12</v>
      </c>
      <c r="X286" s="12">
        <f>X118-W118-SUM(X267,X274,X284)</f>
        <v>0</v>
      </c>
      <c r="Y286" s="12">
        <f>Y118-X118-SUM(Y267,Y274,Y284)</f>
        <v>0</v>
      </c>
      <c r="Z286" s="12">
        <f>Z118-Y118-SUM(Z267,Z274,Z284)</f>
        <v>3.19744231092045e-12</v>
      </c>
      <c r="AA286" s="12">
        <f>AA118-Z118-SUM(AA267,AA274,AA284)</f>
        <v>0</v>
      </c>
      <c r="AB286" s="12">
        <f>SUM(X286:AA286)</f>
        <v>3.19744231092045e-12</v>
      </c>
      <c r="AC286" s="12">
        <f>AC118-AB118-SUM(AC267,AC274,AC284)</f>
        <v>-2.50111042987555e-12</v>
      </c>
      <c r="AD286" s="12">
        <f>AD118-AC118-SUM(AD267,AD274,AD284)</f>
        <v>-9.9475983006414e-13</v>
      </c>
      <c r="AE286" s="12">
        <f>AE118-AD118-SUM(AE267,AE274,AE284)</f>
        <v>6.99174051987939e-12</v>
      </c>
      <c r="AF286" s="12">
        <f>AF118-AE118-SUM(AF267,AF274,AF284)</f>
        <v>-2.78532752417959e-12</v>
      </c>
      <c r="AG286" s="12">
        <f>SUM(AC286:AF286)</f>
        <v>7.105427357601e-13</v>
      </c>
      <c r="AH286" s="12">
        <f>AH118-AG118-SUM(AH267,AH274,AH284)</f>
        <v>-4.20641299569979e-12</v>
      </c>
      <c r="AI286" s="12">
        <f>AI118-AH118-SUM(AI267,AI274,AI284)</f>
        <v>5.6559201766504e-12</v>
      </c>
      <c r="AJ286" s="12">
        <f>AJ118-AI118-SUM(AJ267,AJ274,AJ284)</f>
        <v>0</v>
      </c>
      <c r="AK286" s="12">
        <f>AK118-AJ118-SUM(AK267,AK274,AK284)</f>
        <v>0</v>
      </c>
      <c r="AL286" s="12">
        <f>SUM(AH286:AK286)</f>
        <v>1.4495071809506e-12</v>
      </c>
      <c r="AM286" s="12">
        <f>AM118-AL118-SUM(AM267,AM274,AM284)</f>
        <v>0</v>
      </c>
      <c r="AN286" s="12">
        <f>AN118-AM118-SUM(AN267,AN274,AN284)</f>
        <v>0</v>
      </c>
      <c r="AO286" s="12">
        <f>AO118-AN118-SUM(AO267,AO274,AO284)</f>
        <v>0</v>
      </c>
      <c r="AP286" s="12">
        <f>AP118-AO118-SUM(AP267,AP274,AP284)</f>
        <v>0</v>
      </c>
      <c r="AQ286" s="12">
        <f>SUM(AM286:AP286)</f>
        <v>0</v>
      </c>
      <c r="AR286" s="12">
        <f>AR118-AQ118-SUM(AR267,AR274,AR284)</f>
        <v>0</v>
      </c>
      <c r="AS286" s="12">
        <f>AS118-AR118-SUM(AS267,AS274,AS284)</f>
        <v>0</v>
      </c>
      <c r="AT286" s="12">
        <f>AT118-AS118-SUM(AT267,AT274,AT284)</f>
        <v>0</v>
      </c>
      <c r="AU286" s="12">
        <f>AU118-AT118-SUM(AU267,AU274,AU284)</f>
        <v>0</v>
      </c>
      <c r="AV286" s="12">
        <f>SUM(AR286:AU286)</f>
        <v>0</v>
      </c>
      <c r="AW286" s="12">
        <f>AW118-AV118-SUM(AW267,AW274,AW284)</f>
        <v>0</v>
      </c>
      <c r="AX286" s="12">
        <f>AX118-AW118-SUM(AX267,AX274,AX284)</f>
        <v>0</v>
      </c>
      <c r="AY286" s="12">
        <f>AY118-AX118-SUM(AY267,AY274,AY284)</f>
        <v>9.54969436861575e-12</v>
      </c>
      <c r="AZ286" s="12">
        <f>AZ118-AY118-SUM(AZ267,AZ274,AZ284)</f>
        <v>0</v>
      </c>
      <c r="BA286" s="12">
        <f>SUM(AW286:AZ286)</f>
        <v>9.54969436861575e-12</v>
      </c>
      <c r="BB286" s="12">
        <f>BB118-BA118-SUM(BB267,BB274,BB284)</f>
        <v>0</v>
      </c>
      <c r="BC286" s="12">
        <f>BC118-BB118-SUM(BC267,BC274,BC284)</f>
        <v>0</v>
      </c>
      <c r="BD286" s="12">
        <f>BD118-BC118-SUM(BD267,BD274,BD284)</f>
        <v>0</v>
      </c>
      <c r="BE286" s="12">
        <f>BE118-BD118-SUM(BE267,BE274,BE284)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>
      <c r="C287" s="14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Total increase/decrease of cash</t>
        </is>
      </c>
      <c r="D288" s="12" t="n"/>
      <c r="E288" s="12" t="n"/>
      <c r="F288" s="12" t="n"/>
      <c r="G288" s="12" t="n"/>
      <c r="H288" s="12" t="n"/>
      <c r="I288" s="12" t="n"/>
      <c r="J288" s="12">
        <f>SUM(J267,J274,J284,J286)</f>
        <v>-394.978</v>
      </c>
      <c r="K288" s="12">
        <f>SUM(K267,K274,K284,K286)</f>
        <v>2543.989</v>
      </c>
      <c r="L288" s="12">
        <f>SUM(L267,L274,L284,L286)</f>
        <v>-2891.69499999999</v>
      </c>
      <c r="M288" s="12" t="n"/>
      <c r="N288" s="12">
        <f>SUM(N267,N274,N284,N286)</f>
        <v>1748.829</v>
      </c>
      <c r="O288" s="12">
        <f>SUM(O267,O274,O284,O286)</f>
        <v>314.813</v>
      </c>
      <c r="P288" s="12">
        <f>SUM(P267,P274,P284,P286)</f>
        <v>-703.377</v>
      </c>
      <c r="Q288" s="12">
        <f>SUM(Q267,Q274,Q284,Q286)</f>
        <v>771.999999999997</v>
      </c>
      <c r="R288" s="12">
        <f>SUM(N288:Q288)</f>
        <v>2132.265</v>
      </c>
      <c r="S288" s="12">
        <f>SUM(S267,S274,S284,S286)</f>
        <v>-1421.032</v>
      </c>
      <c r="T288" s="12">
        <f>SUM(T267,T274,T284,T286)</f>
        <v>449.233000000002</v>
      </c>
      <c r="U288" s="12">
        <f>SUM(U267,U274,U284,U286)</f>
        <v>-308.59</v>
      </c>
      <c r="V288" s="12">
        <f>SUM(V267,V274,V284,V286)</f>
        <v>-15.748</v>
      </c>
      <c r="W288" s="12">
        <f>SUM(S288:V288)</f>
        <v>-1296.137</v>
      </c>
      <c r="X288" s="12">
        <f>SUM(X267,X274,X284,X286)</f>
        <v>-451.394999999999</v>
      </c>
      <c r="Y288" s="12">
        <f>SUM(Y267,Y274,Y284,Y286)</f>
        <v>-123.035</v>
      </c>
      <c r="Z288" s="12">
        <f>SUM(Z267,Z274,Z284,Z286)</f>
        <v>-28.1040000000003</v>
      </c>
      <c r="AA288" s="12">
        <f>SUM(AA267,AA274,AA284,AA286)</f>
        <v>-381.191999999999</v>
      </c>
      <c r="AB288" s="12">
        <f>SUM(X288:AA288)</f>
        <v>-983.725999999998</v>
      </c>
      <c r="AC288" s="12">
        <f>SUM(AC267,AC274,AC284,AC286)</f>
        <v>414.839</v>
      </c>
      <c r="AD288" s="12">
        <f>SUM(AD267,AD274,AD284,AD286)</f>
        <v>-151.48</v>
      </c>
      <c r="AE288" s="12">
        <f>SUM(AE267,AE274,AE284,AE286)</f>
        <v>195.191</v>
      </c>
      <c r="AF288" s="12">
        <f>SUM(AF267,AF274,AF284,AF286)</f>
        <v>200.551</v>
      </c>
      <c r="AG288" s="12">
        <f>SUM(AC288:AF288)</f>
        <v>659.101</v>
      </c>
      <c r="AH288" s="12">
        <f>SUM(AH267,AH274,AH284,AH286)</f>
        <v>-182.756</v>
      </c>
      <c r="AI288" s="12">
        <f>SUM(AI267,AI274,AI284,AI286)</f>
        <v>58.5879999999997</v>
      </c>
      <c r="AJ288" s="12">
        <f>SUM(AJ267,AJ274,AJ284,AJ286)</f>
        <v>1578.7030775304</v>
      </c>
      <c r="AK288" s="12">
        <f>SUM(AK267,AK274,AK284,AK286)</f>
        <v>2228.67863158633</v>
      </c>
      <c r="AL288" s="12">
        <f>SUM(AH288:AK288)</f>
        <v>3683.21370911672</v>
      </c>
      <c r="AM288" s="12">
        <f>SUM(AM267,AM274,AM284,AM286)</f>
        <v>1849.07195565633</v>
      </c>
      <c r="AN288" s="12">
        <f>SUM(AN267,AN274,AN284,AN286)</f>
        <v>2578.14328711409</v>
      </c>
      <c r="AO288" s="12">
        <f>SUM(AO267,AO274,AO284,AO286)</f>
        <v>1824.88619225171</v>
      </c>
      <c r="AP288" s="12">
        <f>SUM(AP267,AP274,AP284,AP286)</f>
        <v>2576.21899876863</v>
      </c>
      <c r="AQ288" s="12">
        <f>SUM(AM288:AP288)</f>
        <v>8828.32043379077</v>
      </c>
      <c r="AR288" s="12">
        <f>SUM(AR267,AR274,AR284,AR286)</f>
        <v>2128.17106030983</v>
      </c>
      <c r="AS288" s="12">
        <f>SUM(AS267,AS274,AS284,AS286)</f>
        <v>2967.28849095585</v>
      </c>
      <c r="AT288" s="12">
        <f>SUM(AT267,AT274,AT284,AT286)</f>
        <v>2100.33469537457</v>
      </c>
      <c r="AU288" s="12">
        <f>SUM(AU267,AU274,AU284,AU286)</f>
        <v>2965.0737503364</v>
      </c>
      <c r="AV288" s="12">
        <f>SUM(AR288:AU288)</f>
        <v>10160.8679969766</v>
      </c>
      <c r="AW288" s="12">
        <f>SUM(AW267,AW274,AW284,AW286)</f>
        <v>2438.75655624085</v>
      </c>
      <c r="AX288" s="12">
        <f>SUM(AX267,AX274,AX284,AX286)</f>
        <v>3400.33486806417</v>
      </c>
      <c r="AY288" s="12">
        <f>SUM(AY267,AY274,AY284,AY286)</f>
        <v>2406.85774944199</v>
      </c>
      <c r="AZ288" s="12">
        <f>SUM(AZ267,AZ274,AZ284,AZ286)</f>
        <v>3397.79690797873</v>
      </c>
      <c r="BA288" s="12">
        <f>SUM(AW288:AZ288)</f>
        <v>11643.7460817257</v>
      </c>
      <c r="BB288" s="12">
        <f>SUM(BB267,BB274,BB284,BB286)</f>
        <v>2782.47514751704</v>
      </c>
      <c r="BC288" s="12">
        <f>SUM(BC267,BC274,BC284,BC286)</f>
        <v>3879.57840212149</v>
      </c>
      <c r="BD288" s="12">
        <f>SUM(BD267,BD274,BD284,BD286)</f>
        <v>2746.08051971945</v>
      </c>
      <c r="BE288" s="12">
        <f>SUM(BE267,BE274,BE284,BE286)</f>
        <v>3876.6827416895</v>
      </c>
      <c r="BF288" s="12">
        <f>SUM(BB288:BE288)</f>
        <v>13284.8168110475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4" t="inlineStr">
        <is>
          <t>Check</t>
        </is>
      </c>
      <c r="E289" s="72" t="n"/>
      <c r="F289" s="72" t="n"/>
      <c r="G289" s="72" t="n"/>
      <c r="I289" s="72" t="str">
        <f>""</f>
        <v/>
      </c>
      <c r="J289" s="72">
        <f>J118-I118-J288</f>
        <v>0</v>
      </c>
      <c r="K289" s="72">
        <f>K118-J118-K288</f>
        <v>0</v>
      </c>
      <c r="L289" s="72">
        <f>L118-K118-L288</f>
        <v>0</v>
      </c>
      <c r="M289" s="4" t="str">
        <f>""</f>
        <v/>
      </c>
      <c r="N289" s="72">
        <f>N118-M118-N288</f>
        <v>0</v>
      </c>
      <c r="O289" s="72">
        <f>O118-N118-O288</f>
        <v>0</v>
      </c>
      <c r="P289" s="72">
        <f>P118-O118-P288</f>
        <v>0</v>
      </c>
      <c r="Q289" s="72">
        <f>Q118-P118-Q288</f>
        <v>0</v>
      </c>
      <c r="R289" s="4">
        <f>R118-M118-R288</f>
        <v>0</v>
      </c>
      <c r="S289" s="72">
        <f>S118-R118-S288</f>
        <v>0</v>
      </c>
      <c r="T289" s="72">
        <f>T118-S118-T288</f>
        <v>0</v>
      </c>
      <c r="U289" s="72">
        <f>U118-T118-U288</f>
        <v>0</v>
      </c>
      <c r="V289" s="72">
        <f>V118-U118-V288</f>
        <v>0</v>
      </c>
      <c r="W289" s="4">
        <f>W118-R118-W288</f>
        <v>0</v>
      </c>
      <c r="X289" s="72">
        <f>X118-W118-X288</f>
        <v>0</v>
      </c>
      <c r="Y289" s="72">
        <f>Y118-X118-Y288</f>
        <v>0</v>
      </c>
      <c r="Z289" s="72">
        <f>Z118-Y118-Z288</f>
        <v>0</v>
      </c>
      <c r="AA289" s="72">
        <f>AA118-Z118-AA288</f>
        <v>0</v>
      </c>
      <c r="AB289" s="4">
        <f>AB118-W118-AB288</f>
        <v>0</v>
      </c>
      <c r="AC289" s="72">
        <f>AC118-AB118-AC288</f>
        <v>0</v>
      </c>
      <c r="AD289" s="72">
        <f>AD118-AC118-AD288</f>
        <v>0</v>
      </c>
      <c r="AE289" s="72">
        <f>AE118-AD118-AE288</f>
        <v>0</v>
      </c>
      <c r="AF289" s="72">
        <f>AF118-AE118-AF288</f>
        <v>0</v>
      </c>
      <c r="AG289" s="4">
        <f>AG118-AB118-AG288</f>
        <v>0</v>
      </c>
      <c r="AH289" s="72">
        <f>AH118-AG118-AH288</f>
        <v>0</v>
      </c>
      <c r="AI289" s="72">
        <f>AI118-AH118-AI288</f>
        <v>0</v>
      </c>
      <c r="AJ289" s="72">
        <f>AJ118-AI118-AJ288</f>
        <v>0</v>
      </c>
      <c r="AK289" s="72">
        <f>AK118-AJ118-AK288</f>
        <v>0</v>
      </c>
      <c r="AL289" s="4">
        <f>AL118-AG118-AL288</f>
        <v>0</v>
      </c>
      <c r="AM289" s="72">
        <f>AM118-AL118-AM288</f>
        <v>0</v>
      </c>
      <c r="AN289" s="72">
        <f>AN118-AM118-AN288</f>
        <v>0</v>
      </c>
      <c r="AO289" s="72">
        <f>AO118-AN118-AO288</f>
        <v>0</v>
      </c>
      <c r="AP289" s="72">
        <f>AP118-AO118-AP288</f>
        <v>0</v>
      </c>
      <c r="AQ289" s="4">
        <f>AQ118-AL118-AQ288</f>
        <v>0</v>
      </c>
      <c r="AR289" s="72">
        <f>AR118-AQ118-AR288</f>
        <v>0</v>
      </c>
      <c r="AS289" s="72">
        <f>AS118-AR118-AS288</f>
        <v>0</v>
      </c>
      <c r="AT289" s="72">
        <f>AT118-AS118-AT288</f>
        <v>0</v>
      </c>
      <c r="AU289" s="72">
        <f>AU118-AT118-AU288</f>
        <v>0</v>
      </c>
      <c r="AV289" s="4">
        <f>AV118-AQ118-AV288</f>
        <v>0</v>
      </c>
      <c r="AW289" s="72">
        <f>AW118-AV118-AW288</f>
        <v>0</v>
      </c>
      <c r="AX289" s="72">
        <f>AX118-AW118-AX288</f>
        <v>0</v>
      </c>
      <c r="AY289" s="72">
        <f>AY118-AX118-AY288</f>
        <v>0</v>
      </c>
      <c r="AZ289" s="72">
        <f>AZ118-AY118-AZ288</f>
        <v>0</v>
      </c>
      <c r="BA289" s="4">
        <f>BA118-AV118-BA288</f>
        <v>0</v>
      </c>
      <c r="BB289" s="72">
        <f>BB118-BA118-BB288</f>
        <v>0</v>
      </c>
      <c r="BC289" s="72">
        <f>BC118-BB118-BC288</f>
        <v>0</v>
      </c>
      <c r="BD289" s="72">
        <f>BD118-BC118-BD288</f>
        <v>0</v>
      </c>
      <c r="BE289" s="72">
        <f>BE118-BD118-BE288</f>
        <v>0</v>
      </c>
      <c r="BF289" s="4">
        <f>BF118-BA118-BF288</f>
        <v>0</v>
      </c>
      <c r="BG289" s="72" t="n"/>
      <c r="BH289" s="72" t="n"/>
      <c r="BI289" s="72" t="n"/>
      <c r="BJ289" s="72" t="n"/>
      <c r="BL289" s="72" t="n"/>
      <c r="BM289" s="72" t="n"/>
      <c r="BN289" s="72" t="n"/>
      <c r="BO289" s="72" t="n"/>
      <c r="BQ289" s="72" t="n"/>
      <c r="BR289" s="72" t="n"/>
      <c r="BS289" s="72" t="n"/>
      <c r="BT289" s="72" t="n"/>
      <c r="BV289" s="72" t="n"/>
      <c r="BW289" s="72" t="n"/>
      <c r="BX289" s="72" t="n"/>
      <c r="BY289" s="72" t="n"/>
      <c r="CA289" s="72" t="n"/>
      <c r="CB289" s="72" t="n"/>
      <c r="CC289" s="72" t="n"/>
      <c r="CD289" s="72" t="n"/>
      <c r="CF289" s="72" t="n"/>
      <c r="CG289" s="72" t="n"/>
      <c r="CH289" s="72" t="n"/>
      <c r="CI289" s="72" t="n"/>
      <c r="CK289" s="72" t="n"/>
      <c r="CL289" s="72" t="n"/>
      <c r="CM289" s="72" t="n"/>
      <c r="CN289" s="72" t="n"/>
      <c r="CP289" s="72" t="n"/>
      <c r="CQ289" s="72" t="n"/>
      <c r="CR289" s="72" t="n"/>
      <c r="CS289" s="72" t="n"/>
      <c r="CU289" s="72" t="n"/>
      <c r="CV289" s="72" t="n"/>
      <c r="CW289" s="72" t="n"/>
      <c r="CX289" s="72" t="n"/>
    </row>
    <row r="290"/>
    <row r="291">
      <c r="C291" s="73" t="inlineStr">
        <is>
          <t>Ratio Analysis</t>
        </is>
      </c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  <c r="AD291" s="73" t="n"/>
      <c r="AE291" s="73" t="n"/>
      <c r="AF291" s="73" t="n"/>
      <c r="AG291" s="73" t="n"/>
      <c r="AH291" s="73" t="n"/>
      <c r="AI291" s="73" t="n"/>
      <c r="AJ291" s="73" t="n"/>
      <c r="AK291" s="73" t="n"/>
      <c r="AL291" s="73" t="n"/>
      <c r="AM291" s="73" t="n"/>
      <c r="AN291" s="73" t="n"/>
      <c r="AO291" s="73" t="n"/>
      <c r="AP291" s="73" t="n"/>
      <c r="AQ291" s="73" t="n"/>
      <c r="AR291" s="73" t="n"/>
      <c r="AS291" s="73" t="n"/>
      <c r="AT291" s="73" t="n"/>
      <c r="AU291" s="73" t="n"/>
      <c r="AV291" s="73" t="n"/>
      <c r="AW291" s="73" t="n"/>
      <c r="AX291" s="73" t="n"/>
      <c r="AY291" s="73" t="n"/>
      <c r="AZ291" s="73" t="n"/>
      <c r="BA291" s="73" t="n"/>
      <c r="BB291" s="73" t="n"/>
      <c r="BC291" s="73" t="n"/>
      <c r="BD291" s="73" t="n"/>
      <c r="BE291" s="73" t="n"/>
      <c r="BF291" s="73" t="n"/>
      <c r="BG291" s="73" t="n"/>
      <c r="BH291" s="73" t="n"/>
      <c r="BI291" s="73" t="n"/>
      <c r="BJ291" s="73" t="n"/>
      <c r="BK291" s="73" t="n"/>
      <c r="BL291" s="73" t="n"/>
      <c r="BM291" s="73" t="n"/>
      <c r="BN291" s="73" t="n"/>
      <c r="BO291" s="73" t="n"/>
      <c r="BP291" s="73" t="n"/>
      <c r="BQ291" s="73" t="n"/>
      <c r="BR291" s="73" t="n"/>
      <c r="BS291" s="73" t="n"/>
      <c r="BT291" s="73" t="n"/>
      <c r="BU291" s="73" t="n"/>
      <c r="BV291" s="73" t="n"/>
      <c r="BW291" s="73" t="n"/>
      <c r="BX291" s="73" t="n"/>
      <c r="BY291" s="73" t="n"/>
      <c r="BZ291" s="73" t="n"/>
      <c r="CA291" s="73" t="n"/>
      <c r="CB291" s="73" t="n"/>
      <c r="CC291" s="73" t="n"/>
      <c r="CD291" s="73" t="n"/>
      <c r="CE291" s="73" t="n"/>
      <c r="CF291" s="73" t="n"/>
      <c r="CG291" s="73" t="n"/>
      <c r="CH291" s="73" t="n"/>
      <c r="CI291" s="73" t="n"/>
      <c r="CJ291" s="73" t="n"/>
      <c r="CK291" s="73" t="n"/>
      <c r="CL291" s="73" t="n"/>
      <c r="CM291" s="73" t="n"/>
      <c r="CN291" s="73" t="n"/>
      <c r="CO291" s="73" t="n"/>
      <c r="CP291" s="73" t="n"/>
      <c r="CQ291" s="73" t="n"/>
      <c r="CR291" s="73" t="n"/>
      <c r="CS291" s="73" t="n"/>
      <c r="CT291" s="73" t="n"/>
      <c r="CU291" s="73" t="n"/>
      <c r="CV291" s="73" t="n"/>
      <c r="CW291" s="73" t="n"/>
      <c r="CX291" s="73" t="n"/>
      <c r="CY291" s="73" t="n"/>
    </row>
    <row r="292"/>
    <row r="293" customFormat="1" s="74">
      <c r="C293" s="74" t="inlineStr">
        <is>
          <t>YEAR</t>
        </is>
      </c>
      <c r="D293">
        <f>IFERROR(D249,"")</f>
        <v>0</v>
      </c>
      <c r="E293" s="75">
        <f>IFERROR(E249,"")</f>
        <v>0</v>
      </c>
      <c r="F293" s="75">
        <f>IFERROR(F249,"")</f>
        <v>0</v>
      </c>
      <c r="G293" s="75">
        <f>IFERROR(G249,"")</f>
        <v>0</v>
      </c>
      <c r="H293" s="75">
        <f>IFERROR(H249,"")</f>
        <v>0</v>
      </c>
      <c r="I293" s="75" t="str">
        <f>IFERROR(I249,"")</f>
        <v>1Q21</v>
      </c>
      <c r="J293" s="75" t="str">
        <f>IFERROR(J249,"")</f>
        <v>2Q21</v>
      </c>
      <c r="K293" s="75" t="str">
        <f>IFERROR(K249,"")</f>
        <v>3Q21</v>
      </c>
      <c r="L293" s="75" t="str">
        <f>IFERROR(L249,"")</f>
        <v>4Q21</v>
      </c>
      <c r="M293" s="75">
        <f>IFERROR(M249,"")</f>
        <v>2021</v>
      </c>
      <c r="N293" s="75" t="str">
        <f>IFERROR(N249,"")</f>
        <v>1Q22</v>
      </c>
      <c r="O293" s="75" t="str">
        <f>IFERROR(O249,"")</f>
        <v>2Q22</v>
      </c>
      <c r="P293" s="75" t="str">
        <f>IFERROR(P249,"")</f>
        <v>3Q22</v>
      </c>
      <c r="Q293" s="75" t="str">
        <f>IFERROR(Q249,"")</f>
        <v>4Q22</v>
      </c>
      <c r="R293" s="75">
        <f>IFERROR(R249,"")</f>
        <v>2022</v>
      </c>
      <c r="S293" s="75" t="str">
        <f>IFERROR(S249,"")</f>
        <v>1Q23</v>
      </c>
      <c r="T293" s="75" t="str">
        <f>IFERROR(T249,"")</f>
        <v>2Q23</v>
      </c>
      <c r="U293" s="75" t="str">
        <f>IFERROR(U249,"")</f>
        <v>3Q23</v>
      </c>
      <c r="V293" s="75" t="str">
        <f>IFERROR(V249,"")</f>
        <v>4Q23</v>
      </c>
      <c r="W293" s="75">
        <f>IFERROR(W249,"")</f>
        <v>2023</v>
      </c>
      <c r="X293" s="75" t="str">
        <f>IFERROR(X249,"")</f>
        <v>1Q24</v>
      </c>
      <c r="Y293" s="75" t="str">
        <f>IFERROR(Y249,"")</f>
        <v>2Q24</v>
      </c>
      <c r="Z293" s="75" t="str">
        <f>IFERROR(Z249,"")</f>
        <v>3Q24</v>
      </c>
      <c r="AA293" s="75" t="str">
        <f>IFERROR(AA249,"")</f>
        <v>4Q24</v>
      </c>
      <c r="AB293" s="75">
        <f>IFERROR(AB249,"")</f>
        <v>2024</v>
      </c>
      <c r="AC293" s="75" t="str">
        <f>IFERROR(AC249,"")</f>
        <v>1Q25</v>
      </c>
      <c r="AD293" s="75" t="str">
        <f>IFERROR(AD249,"")</f>
        <v>2Q25</v>
      </c>
      <c r="AE293" s="75" t="str">
        <f>IFERROR(AE249,"")</f>
        <v>3Q25</v>
      </c>
      <c r="AF293" s="75" t="str">
        <f>IFERROR(AF249,"")</f>
        <v>4Q25</v>
      </c>
      <c r="AG293" s="75">
        <f>IFERROR(AG249,"")</f>
        <v>2025</v>
      </c>
      <c r="AH293" s="75" t="str">
        <f>IFERROR(AH249,"")</f>
        <v>1Q26</v>
      </c>
      <c r="AI293" s="75" t="str">
        <f>IFERROR(AI249,"")</f>
        <v>2Q26</v>
      </c>
      <c r="AJ293" s="75" t="str">
        <f>IFERROR(AJ249,"")</f>
        <v>3Q26</v>
      </c>
      <c r="AK293" s="75" t="str">
        <f>IFERROR(AK249,"")</f>
        <v>4Q26</v>
      </c>
      <c r="AL293" s="75">
        <f>IFERROR(AL249,"")</f>
        <v>2026</v>
      </c>
      <c r="AM293" s="75" t="str">
        <f>IFERROR(AM249,"")</f>
        <v>1Q27</v>
      </c>
      <c r="AN293" s="75" t="str">
        <f>IFERROR(AN249,"")</f>
        <v>2Q27</v>
      </c>
      <c r="AO293" s="75" t="str">
        <f>IFERROR(AO249,"")</f>
        <v>3Q27</v>
      </c>
      <c r="AP293" s="75" t="str">
        <f>IFERROR(AP249,"")</f>
        <v>4Q27</v>
      </c>
      <c r="AQ293" s="75">
        <f>IFERROR(AQ249,"")</f>
        <v>2027</v>
      </c>
      <c r="AR293" s="75" t="str">
        <f>IFERROR(AR249,"")</f>
        <v>1Q28</v>
      </c>
      <c r="AS293" s="75" t="str">
        <f>IFERROR(AS249,"")</f>
        <v>2Q28</v>
      </c>
      <c r="AT293" s="75" t="str">
        <f>IFERROR(AT249,"")</f>
        <v>3Q28</v>
      </c>
      <c r="AU293" s="75" t="str">
        <f>IFERROR(AU249,"")</f>
        <v>4Q28</v>
      </c>
      <c r="AV293" s="75">
        <f>IFERROR(AV249,"")</f>
        <v>2028</v>
      </c>
      <c r="AW293" s="75" t="str">
        <f>IFERROR(AW249,"")</f>
        <v>1Q29</v>
      </c>
      <c r="AX293" s="75" t="str">
        <f>IFERROR(AX249,"")</f>
        <v>2Q29</v>
      </c>
      <c r="AY293" s="75" t="str">
        <f>IFERROR(AY249,"")</f>
        <v>3Q29</v>
      </c>
      <c r="AZ293" s="75" t="str">
        <f>IFERROR(AZ249,"")</f>
        <v>4Q29</v>
      </c>
      <c r="BA293" s="75">
        <f>IFERROR(BA249,"")</f>
        <v>2029</v>
      </c>
      <c r="BB293" s="75" t="str">
        <f>IFERROR(BB249,"")</f>
        <v>1Q30</v>
      </c>
      <c r="BC293" s="75" t="str">
        <f>IFERROR(BC249,"")</f>
        <v>2Q30</v>
      </c>
      <c r="BD293" s="75" t="str">
        <f>IFERROR(BD249,"")</f>
        <v>3Q30</v>
      </c>
      <c r="BE293" s="75" t="str">
        <f>IFERROR(BE249,"")</f>
        <v>4Q30</v>
      </c>
      <c r="BF293" s="75">
        <f>IFERROR(BF249,"")</f>
        <v>2030</v>
      </c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</row>
    <row r="294" customFormat="1" s="77">
      <c r="A294" s="76" t="n"/>
      <c r="B294" s="76" t="n"/>
      <c r="C294" s="74" t="inlineStr">
        <is>
          <t>GROWTH &amp; MARGINS</t>
        </is>
      </c>
    </row>
    <row r="295" customFormat="1" s="77">
      <c r="A295" s="76" t="n"/>
      <c r="B295" s="76" t="n"/>
      <c r="C295" s="77" t="inlineStr">
        <is>
          <t>NET REVENUE GROWTH (YoY)</t>
        </is>
      </c>
      <c r="E295" s="78" t="str">
        <f>IFERROR(E15/D15-1,"")</f>
        <v/>
      </c>
      <c r="F295" s="78" t="str">
        <f>IFERROR(F15/E15-1,"")</f>
        <v/>
      </c>
      <c r="G295" s="78" t="str">
        <f>IFERROR(G15/F15-1,"")</f>
        <v/>
      </c>
      <c r="H295" s="257" t="str">
        <f>""</f>
        <v/>
      </c>
      <c r="I295" s="257" t="str">
        <f>""</f>
        <v/>
      </c>
      <c r="J295" s="257" t="str">
        <f>""</f>
        <v/>
      </c>
      <c r="K295" s="257" t="str">
        <f>""</f>
        <v/>
      </c>
      <c r="L295" s="257" t="str">
        <f>""</f>
        <v/>
      </c>
      <c r="M295" s="257" t="str">
        <f>IFERROR(IF(AND(ISNUMBER(M15),ISNUMBER(H15),H15&lt;&gt;0),M15/H15-1,""),"")</f>
        <v/>
      </c>
      <c r="N295" s="257">
        <f>IFERROR(IF(AND(ISNUMBER(N15),ISNUMBER(I15),I15&lt;&gt;0),N15/I15-1,""),"")</f>
        <v>-0.0325714604919689</v>
      </c>
      <c r="O295" s="257">
        <f>IFERROR(IF(AND(ISNUMBER(O15),ISNUMBER(J15),J15&lt;&gt;0),O15/J15-1,""),"")</f>
        <v>-0.881085257195039</v>
      </c>
      <c r="P295" s="257">
        <f>IFERROR(IF(AND(ISNUMBER(P15),ISNUMBER(K15),K15&lt;&gt;0),P15/K15-1,""),"")</f>
        <v>-0.830001775310017</v>
      </c>
      <c r="Q295" s="257">
        <f>IFERROR(IF(AND(ISNUMBER(Q15),ISNUMBER(L15),L15&lt;&gt;0),Q15/L15-1,""),"")</f>
        <v>-0.704292828811432</v>
      </c>
      <c r="R295" s="257">
        <f>IFERROR(IF(AND(ISNUMBER(R15),ISNUMBER(M15),M15&lt;&gt;0),R15/M15-1,""),"")</f>
        <v>-0.622730337773398</v>
      </c>
      <c r="S295" s="257">
        <f>IFERROR(IF(AND(ISNUMBER(S15),ISNUMBER(N15),N15&lt;&gt;0),S15/N15-1,""),"")</f>
        <v>-0.730439031812542</v>
      </c>
      <c r="T295" s="257">
        <f>IFERROR(IF(AND(ISNUMBER(T15),ISNUMBER(O15),O15&lt;&gt;0),T15/O15-1,""),"")</f>
        <v>3.4733018658021</v>
      </c>
      <c r="U295" s="257">
        <f>IFERROR(IF(AND(ISNUMBER(U15),ISNUMBER(P15),P15&lt;&gt;0),U15/P15-1,""),"")</f>
        <v>1.40171191383915</v>
      </c>
      <c r="V295" s="257">
        <f>IFERROR(IF(AND(ISNUMBER(V15),ISNUMBER(Q15),Q15&lt;&gt;0),V15/Q15-1,""),"")</f>
        <v>-0.245906391738784</v>
      </c>
      <c r="W295" s="257">
        <f>IFERROR(IF(AND(ISNUMBER(W15),ISNUMBER(R15),R15&lt;&gt;0),W15/R15-1,""),"")</f>
        <v>-0.0580947401948864</v>
      </c>
      <c r="X295" s="257">
        <f>IFERROR(IF(AND(ISNUMBER(X15),ISNUMBER(S15),S15&lt;&gt;0),X15/S15-1,""),"")</f>
        <v>1.66877109950827</v>
      </c>
      <c r="Y295" s="257">
        <f>IFERROR(IF(AND(ISNUMBER(Y15),ISNUMBER(T15),T15&lt;&gt;0),Y15/T15-1,""),"")</f>
        <v>-0.0065051545622592</v>
      </c>
      <c r="Z295" s="257">
        <f>IFERROR(IF(AND(ISNUMBER(Z15),ISNUMBER(U15),U15&lt;&gt;0),Z15/U15-1,""),"")</f>
        <v>0.441473113011724</v>
      </c>
      <c r="AA295" s="257">
        <f>IFERROR(IF(AND(ISNUMBER(AA15),ISNUMBER(V15),V15&lt;&gt;0),AA15/V15-1,""),"")</f>
        <v>1.39884593235903</v>
      </c>
      <c r="AB295" s="257">
        <f>IFERROR(IF(AND(ISNUMBER(AB15),ISNUMBER(W15),W15&lt;&gt;0),AB15/W15-1,""),"")</f>
        <v>0.649037790977037</v>
      </c>
      <c r="AC295" s="257">
        <f>IFERROR(IF(AND(ISNUMBER(AC15),ISNUMBER(X15),X15&lt;&gt;0),AC15/X15-1,""),"")</f>
        <v>-0.108022933824462</v>
      </c>
      <c r="AD295" s="257">
        <f>IFERROR(IF(AND(ISNUMBER(AD15),ISNUMBER(Y15),Y15&lt;&gt;0),AD15/Y15-1,""),"")</f>
        <v>0.327394228468868</v>
      </c>
      <c r="AE295" s="257">
        <f>IFERROR(IF(AND(ISNUMBER(AE15),ISNUMBER(Z15),Z15&lt;&gt;0),AE15/Z15-1,""),"")</f>
        <v>-0.156846456944404</v>
      </c>
      <c r="AF295" s="257">
        <f>IFERROR(IF(AND(ISNUMBER(AF15),ISNUMBER(AA15),AA15&lt;&gt;0),AF15/AA15-1,""),"")</f>
        <v>0.414494747069405</v>
      </c>
      <c r="AG295" s="257">
        <f>IFERROR(IF(AND(ISNUMBER(AG15),ISNUMBER(AB15),AB15&lt;&gt;0),AG15/AB15-1,""),"")</f>
        <v>0.0922373357214468</v>
      </c>
      <c r="AH295" s="257">
        <f>IFERROR(IF(AND(ISNUMBER(AH15),ISNUMBER(AC15),AC15&lt;&gt;0),AH15/AC15-1,""),"")</f>
        <v>0.0997541236276613</v>
      </c>
      <c r="AI295" s="257">
        <f>IFERROR(IF(AND(ISNUMBER(AI15),ISNUMBER(AD15),AD15&lt;&gt;0),AI15/AD15-1,""),"")</f>
        <v>0.35886688757779</v>
      </c>
      <c r="AJ295" s="257">
        <f>IFERROR(IF(AND(ISNUMBER(AJ15),ISNUMBER(AE15),AE15&lt;&gt;0),AJ15/AE15-1,""),"")</f>
        <v>0.155940099329143</v>
      </c>
      <c r="AK295" s="257">
        <f>IFERROR(IF(AND(ISNUMBER(AK15),ISNUMBER(AF15),AF15&lt;&gt;0),AK15/AF15-1,""),"")</f>
        <v>0.155940099329143</v>
      </c>
      <c r="AL295" s="257">
        <f>IFERROR(IF(AND(ISNUMBER(AL15),ISNUMBER(AG15),AG15&lt;&gt;0),AL15/AG15-1,""),"")</f>
        <v>0.195276577797954</v>
      </c>
      <c r="AM295" s="257">
        <f>IFERROR(IF(AND(ISNUMBER(AM15),ISNUMBER(AH15),AH15&lt;&gt;0),AM15/AH15-1,""),"")</f>
        <v>0.155940099329143</v>
      </c>
      <c r="AN295" s="257">
        <f>IFERROR(IF(AND(ISNUMBER(AN15),ISNUMBER(AI15),AI15&lt;&gt;0),AN15/AI15-1,""),"")</f>
        <v>0.155940099329143</v>
      </c>
      <c r="AO295" s="257">
        <f>IFERROR(IF(AND(ISNUMBER(AO15),ISNUMBER(AJ15),AJ15&lt;&gt;0),AO15/AJ15-1,""),"")</f>
        <v>0.155940099329143</v>
      </c>
      <c r="AP295" s="257">
        <f>IFERROR(IF(AND(ISNUMBER(AP15),ISNUMBER(AK15),AK15&lt;&gt;0),AP15/AK15-1,""),"")</f>
        <v>0.155940099329143</v>
      </c>
      <c r="AQ295" s="257">
        <f>IFERROR(IF(AND(ISNUMBER(AQ15),ISNUMBER(AL15),AL15&lt;&gt;0),AQ15/AL15-1,""),"")</f>
        <v>0.155940099329143</v>
      </c>
      <c r="AR295" s="257">
        <f>IFERROR(IF(AND(ISNUMBER(AR15),ISNUMBER(AM15),AM15&lt;&gt;0),AR15/AM15-1,""),"")</f>
        <v>0.150940099329143</v>
      </c>
      <c r="AS295" s="257">
        <f>IFERROR(IF(AND(ISNUMBER(AS15),ISNUMBER(AN15),AN15&lt;&gt;0),AS15/AN15-1,""),"")</f>
        <v>0.150940099329143</v>
      </c>
      <c r="AT295" s="257">
        <f>IFERROR(IF(AND(ISNUMBER(AT15),ISNUMBER(AO15),AO15&lt;&gt;0),AT15/AO15-1,""),"")</f>
        <v>0.150940099329143</v>
      </c>
      <c r="AU295" s="257">
        <f>IFERROR(IF(AND(ISNUMBER(AU15),ISNUMBER(AP15),AP15&lt;&gt;0),AU15/AP15-1,""),"")</f>
        <v>0.150940099329143</v>
      </c>
      <c r="AV295" s="257">
        <f>IFERROR(IF(AND(ISNUMBER(AV15),ISNUMBER(AQ15),AQ15&lt;&gt;0),AV15/AQ15-1,""),"")</f>
        <v>0.150940099329143</v>
      </c>
      <c r="AW295" s="257">
        <f>IFERROR(IF(AND(ISNUMBER(AW15),ISNUMBER(AR15),AR15&lt;&gt;0),AW15/AR15-1,""),"")</f>
        <v>0.145940099329143</v>
      </c>
      <c r="AX295" s="257">
        <f>IFERROR(IF(AND(ISNUMBER(AX15),ISNUMBER(AS15),AS15&lt;&gt;0),AX15/AS15-1,""),"")</f>
        <v>0.145940099329143</v>
      </c>
      <c r="AY295" s="257">
        <f>IFERROR(IF(AND(ISNUMBER(AY15),ISNUMBER(AT15),AT15&lt;&gt;0),AY15/AT15-1,""),"")</f>
        <v>0.145940099329143</v>
      </c>
      <c r="AZ295" s="257">
        <f>IFERROR(IF(AND(ISNUMBER(AZ15),ISNUMBER(AU15),AU15&lt;&gt;0),AZ15/AU15-1,""),"")</f>
        <v>0.145940099329143</v>
      </c>
      <c r="BA295" s="257">
        <f>IFERROR(IF(AND(ISNUMBER(BA15),ISNUMBER(AV15),AV15&lt;&gt;0),BA15/AV15-1,""),"")</f>
        <v>0.145940099329143</v>
      </c>
      <c r="BB295" s="257">
        <f>IFERROR(IF(AND(ISNUMBER(BB15),ISNUMBER(AW15),AW15&lt;&gt;0),BB15/AW15-1,""),"")</f>
        <v>0.140940099329143</v>
      </c>
      <c r="BC295" s="257">
        <f>IFERROR(IF(AND(ISNUMBER(BC15),ISNUMBER(AX15),AX15&lt;&gt;0),BC15/AX15-1,""),"")</f>
        <v>0.140940099329143</v>
      </c>
      <c r="BD295" s="257">
        <f>IFERROR(IF(AND(ISNUMBER(BD15),ISNUMBER(AY15),AY15&lt;&gt;0),BD15/AY15-1,""),"")</f>
        <v>0.140940099329143</v>
      </c>
      <c r="BE295" s="257">
        <f>IFERROR(IF(AND(ISNUMBER(BE15),ISNUMBER(AZ15),AZ15&lt;&gt;0),BE15/AZ15-1,""),"")</f>
        <v>0.140940099329143</v>
      </c>
      <c r="BF295" s="257">
        <f>IFERROR(IF(AND(ISNUMBER(BF15),ISNUMBER(BA15),BA15&lt;&gt;0),BF15/BA15-1,""),"")</f>
        <v>0.140940099329143</v>
      </c>
      <c r="BG295" s="79" t="n"/>
      <c r="BH295" s="79" t="n"/>
      <c r="BI295" s="79" t="n"/>
      <c r="BJ295" s="79" t="n"/>
      <c r="BK295" s="78" t="n"/>
      <c r="BL295" s="79" t="n"/>
      <c r="BM295" s="79" t="n"/>
      <c r="BN295" s="79" t="n"/>
      <c r="BO295" s="79" t="n"/>
      <c r="BP295" s="78" t="n"/>
      <c r="BQ295" s="79" t="n"/>
      <c r="BR295" s="79" t="n"/>
      <c r="BS295" s="79" t="n"/>
      <c r="BT295" s="79" t="n"/>
      <c r="BU295" s="78" t="n"/>
      <c r="BV295" s="79" t="n"/>
      <c r="BW295" s="79" t="n"/>
      <c r="BX295" s="79" t="n"/>
      <c r="BY295" s="79" t="n"/>
      <c r="BZ295" s="78" t="n"/>
      <c r="CA295" s="79" t="n"/>
      <c r="CB295" s="79" t="n"/>
      <c r="CC295" s="79" t="n"/>
      <c r="CD295" s="79" t="n"/>
      <c r="CE295" s="78" t="n"/>
      <c r="CF295" s="79" t="n"/>
      <c r="CG295" s="79" t="n"/>
      <c r="CH295" s="79" t="n"/>
      <c r="CI295" s="79" t="n"/>
      <c r="CJ295" s="78" t="n"/>
      <c r="CK295" s="79" t="n"/>
      <c r="CL295" s="79" t="n"/>
      <c r="CM295" s="79" t="n"/>
      <c r="CN295" s="79" t="n"/>
      <c r="CO295" s="78" t="n"/>
      <c r="CP295" s="79" t="n"/>
      <c r="CQ295" s="79" t="n"/>
      <c r="CR295" s="79" t="n"/>
      <c r="CS295" s="79" t="n"/>
      <c r="CT295" s="78" t="n"/>
      <c r="CU295" s="79" t="n"/>
      <c r="CV295" s="79" t="n"/>
      <c r="CW295" s="79" t="n"/>
      <c r="CX295" s="79" t="n"/>
      <c r="CY295" s="78" t="n"/>
    </row>
    <row r="296" customFormat="1" s="77">
      <c r="A296" s="76" t="n"/>
      <c r="B296" s="76" t="n"/>
      <c r="C296" s="77" t="inlineStr">
        <is>
          <t>GROSS MARGIN</t>
        </is>
      </c>
      <c r="D296" s="79" t="str">
        <f>IFERROR(SUM(D15,D28)/D15,"")</f>
        <v/>
      </c>
      <c r="E296" s="79" t="str">
        <f>IFERROR(SUM(E15,E28)/E15,"")</f>
        <v/>
      </c>
      <c r="F296" s="79" t="str">
        <f>IFERROR(SUM(F15,F28)/F15,"")</f>
        <v/>
      </c>
      <c r="G296" s="79" t="str">
        <f>IFERROR(SUM(G15,G28)/G15,"")</f>
        <v/>
      </c>
      <c r="H296" s="258" t="str">
        <f>IFERROR(IF(N(H15)&lt;&gt;0,(H15+H28)/H15,""),"")</f>
        <v/>
      </c>
      <c r="I296" s="258">
        <f>IFERROR(IF(N(I15)&lt;&gt;0,(I15+I28)/I15,""),"")</f>
        <v>1</v>
      </c>
      <c r="J296" s="258">
        <f>IFERROR(IF(N(J15)&lt;&gt;0,(J15+J28)/J15,""),"")</f>
        <v>1</v>
      </c>
      <c r="K296" s="258">
        <f>IFERROR(IF(N(K15)&lt;&gt;0,(K15+K28)/K15,""),"")</f>
        <v>1</v>
      </c>
      <c r="L296" s="258">
        <f>IFERROR(IF(N(L15)&lt;&gt;0,(L15+L28)/L15,""),"")</f>
        <v>1</v>
      </c>
      <c r="M296" s="258">
        <f>IFERROR(IF(N(M15)&lt;&gt;0,(M15+M28)/M15,""),"")</f>
        <v>1</v>
      </c>
      <c r="N296" s="258">
        <f>IFERROR(IF(N(N15)&lt;&gt;0,(N15+N28)/N15,""),"")</f>
        <v>1</v>
      </c>
      <c r="O296" s="258">
        <f>IFERROR(IF(N(O15)&lt;&gt;0,(O15+O28)/O15,""),"")</f>
        <v>1</v>
      </c>
      <c r="P296" s="258">
        <f>IFERROR(IF(N(P15)&lt;&gt;0,(P15+P28)/P15,""),"")</f>
        <v>1</v>
      </c>
      <c r="Q296" s="258">
        <f>IFERROR(IF(N(Q15)&lt;&gt;0,(Q15+Q28)/Q15,""),"")</f>
        <v>1</v>
      </c>
      <c r="R296" s="258">
        <f>IFERROR(IF(N(R15)&lt;&gt;0,(R15+R28)/R15,""),"")</f>
        <v>1</v>
      </c>
      <c r="S296" s="258">
        <f>IFERROR(IF(N(S15)&lt;&gt;0,(S15+S28)/S15,""),"")</f>
        <v>1</v>
      </c>
      <c r="T296" s="258">
        <f>IFERROR(IF(N(T15)&lt;&gt;0,(T15+T28)/T15,""),"")</f>
        <v>1</v>
      </c>
      <c r="U296" s="258">
        <f>IFERROR(IF(N(U15)&lt;&gt;0,(U15+U28)/U15,""),"")</f>
        <v>1</v>
      </c>
      <c r="V296" s="258">
        <f>IFERROR(IF(N(V15)&lt;&gt;0,(V15+V28)/V15,""),"")</f>
        <v>1</v>
      </c>
      <c r="W296" s="258">
        <f>IFERROR(IF(N(W15)&lt;&gt;0,(W15+W28)/W15,""),"")</f>
        <v>1</v>
      </c>
      <c r="X296" s="258">
        <f>IFERROR(IF(N(X15)&lt;&gt;0,(X15+X28)/X15,""),"")</f>
        <v>1</v>
      </c>
      <c r="Y296" s="258">
        <f>IFERROR(IF(N(Y15)&lt;&gt;0,(Y15+Y28)/Y15,""),"")</f>
        <v>1</v>
      </c>
      <c r="Z296" s="258">
        <f>IFERROR(IF(N(Z15)&lt;&gt;0,(Z15+Z28)/Z15,""),"")</f>
        <v>1</v>
      </c>
      <c r="AA296" s="258">
        <f>IFERROR(IF(N(AA15)&lt;&gt;0,(AA15+AA28)/AA15,""),"")</f>
        <v>1</v>
      </c>
      <c r="AB296" s="258">
        <f>IFERROR(IF(N(AB15)&lt;&gt;0,(AB15+AB28)/AB15,""),"")</f>
        <v>1</v>
      </c>
      <c r="AC296" s="258">
        <f>IFERROR(IF(N(AC15)&lt;&gt;0,(AC15+AC28)/AC15,""),"")</f>
        <v>1</v>
      </c>
      <c r="AD296" s="258">
        <f>IFERROR(IF(N(AD15)&lt;&gt;0,(AD15+AD28)/AD15,""),"")</f>
        <v>1</v>
      </c>
      <c r="AE296" s="258">
        <f>IFERROR(IF(N(AE15)&lt;&gt;0,(AE15+AE28)/AE15,""),"")</f>
        <v>1</v>
      </c>
      <c r="AF296" s="258">
        <f>IFERROR(IF(N(AF15)&lt;&gt;0,(AF15+AF28)/AF15,""),"")</f>
        <v>1</v>
      </c>
      <c r="AG296" s="258">
        <f>IFERROR(IF(N(AG15)&lt;&gt;0,(AG15+AG28)/AG15,""),"")</f>
        <v>1</v>
      </c>
      <c r="AH296" s="258">
        <f>IFERROR(IF(N(AH15)&lt;&gt;0,(AH15+AH28)/AH15,""),"")</f>
        <v>1</v>
      </c>
      <c r="AI296" s="258">
        <f>IFERROR(IF(N(AI15)&lt;&gt;0,(AI15+AI28)/AI15,""),"")</f>
        <v>1</v>
      </c>
      <c r="AJ296" s="258">
        <f>IFERROR(IF(N(AJ15)&lt;&gt;0,(AJ15+AJ28)/AJ15,""),"")</f>
        <v>1</v>
      </c>
      <c r="AK296" s="258">
        <f>IFERROR(IF(N(AK15)&lt;&gt;0,(AK15+AK28)/AK15,""),"")</f>
        <v>1</v>
      </c>
      <c r="AL296" s="258">
        <f>IFERROR(IF(N(AL15)&lt;&gt;0,(AL15+AL28)/AL15,""),"")</f>
        <v>1</v>
      </c>
      <c r="AM296" s="258">
        <f>IFERROR(IF(N(AM15)&lt;&gt;0,(AM15+AM28)/AM15,""),"")</f>
        <v>1</v>
      </c>
      <c r="AN296" s="258">
        <f>IFERROR(IF(N(AN15)&lt;&gt;0,(AN15+AN28)/AN15,""),"")</f>
        <v>1</v>
      </c>
      <c r="AO296" s="258">
        <f>IFERROR(IF(N(AO15)&lt;&gt;0,(AO15+AO28)/AO15,""),"")</f>
        <v>1</v>
      </c>
      <c r="AP296" s="258">
        <f>IFERROR(IF(N(AP15)&lt;&gt;0,(AP15+AP28)/AP15,""),"")</f>
        <v>1</v>
      </c>
      <c r="AQ296" s="258">
        <f>IFERROR(IF(N(AQ15)&lt;&gt;0,(AQ15+AQ28)/AQ15,""),"")</f>
        <v>1</v>
      </c>
      <c r="AR296" s="258">
        <f>IFERROR(IF(N(AR15)&lt;&gt;0,(AR15+AR28)/AR15,""),"")</f>
        <v>1</v>
      </c>
      <c r="AS296" s="258">
        <f>IFERROR(IF(N(AS15)&lt;&gt;0,(AS15+AS28)/AS15,""),"")</f>
        <v>1</v>
      </c>
      <c r="AT296" s="258">
        <f>IFERROR(IF(N(AT15)&lt;&gt;0,(AT15+AT28)/AT15,""),"")</f>
        <v>1</v>
      </c>
      <c r="AU296" s="258">
        <f>IFERROR(IF(N(AU15)&lt;&gt;0,(AU15+AU28)/AU15,""),"")</f>
        <v>1</v>
      </c>
      <c r="AV296" s="258">
        <f>IFERROR(IF(N(AV15)&lt;&gt;0,(AV15+AV28)/AV15,""),"")</f>
        <v>1</v>
      </c>
      <c r="AW296" s="258">
        <f>IFERROR(IF(N(AW15)&lt;&gt;0,(AW15+AW28)/AW15,""),"")</f>
        <v>1</v>
      </c>
      <c r="AX296" s="258">
        <f>IFERROR(IF(N(AX15)&lt;&gt;0,(AX15+AX28)/AX15,""),"")</f>
        <v>1</v>
      </c>
      <c r="AY296" s="258">
        <f>IFERROR(IF(N(AY15)&lt;&gt;0,(AY15+AY28)/AY15,""),"")</f>
        <v>1</v>
      </c>
      <c r="AZ296" s="258">
        <f>IFERROR(IF(N(AZ15)&lt;&gt;0,(AZ15+AZ28)/AZ15,""),"")</f>
        <v>1</v>
      </c>
      <c r="BA296" s="258">
        <f>IFERROR(IF(N(BA15)&lt;&gt;0,(BA15+BA28)/BA15,""),"")</f>
        <v>1</v>
      </c>
      <c r="BB296" s="258">
        <f>IFERROR(IF(N(BB15)&lt;&gt;0,(BB15+BB28)/BB15,""),"")</f>
        <v>1</v>
      </c>
      <c r="BC296" s="258">
        <f>IFERROR(IF(N(BC15)&lt;&gt;0,(BC15+BC28)/BC15,""),"")</f>
        <v>1</v>
      </c>
      <c r="BD296" s="258">
        <f>IFERROR(IF(N(BD15)&lt;&gt;0,(BD15+BD28)/BD15,""),"")</f>
        <v>1</v>
      </c>
      <c r="BE296" s="258">
        <f>IFERROR(IF(N(BE15)&lt;&gt;0,(BE15+BE28)/BE15,""),"")</f>
        <v>1</v>
      </c>
      <c r="BF296" s="258">
        <f>IFERROR(IF(N(BF15)&lt;&gt;0,(BF15+BF28)/BF15,""),"")</f>
        <v>1</v>
      </c>
      <c r="BG296" s="80" t="n"/>
      <c r="BH296" s="80" t="n"/>
      <c r="BI296" s="80" t="n"/>
      <c r="BJ296" s="80" t="n"/>
      <c r="BL296" s="80" t="n"/>
      <c r="BM296" s="80" t="n"/>
      <c r="BN296" s="80" t="n"/>
      <c r="BO296" s="80" t="n"/>
      <c r="BQ296" s="80" t="n"/>
      <c r="BR296" s="80" t="n"/>
      <c r="BS296" s="80" t="n"/>
      <c r="BT296" s="80" t="n"/>
      <c r="BV296" s="80" t="n"/>
      <c r="BW296" s="80" t="n"/>
      <c r="BX296" s="80" t="n"/>
      <c r="BY296" s="80" t="n"/>
      <c r="CA296" s="80" t="n"/>
      <c r="CB296" s="80" t="n"/>
      <c r="CC296" s="80" t="n"/>
      <c r="CD296" s="80" t="n"/>
      <c r="CF296" s="80" t="n"/>
      <c r="CG296" s="80" t="n"/>
      <c r="CH296" s="80" t="n"/>
      <c r="CI296" s="80" t="n"/>
      <c r="CK296" s="80" t="n"/>
      <c r="CL296" s="80" t="n"/>
      <c r="CM296" s="80" t="n"/>
      <c r="CN296" s="80" t="n"/>
      <c r="CP296" s="80" t="n"/>
      <c r="CQ296" s="80" t="n"/>
      <c r="CR296" s="80" t="n"/>
      <c r="CS296" s="80" t="n"/>
      <c r="CU296" s="80" t="n"/>
      <c r="CV296" s="80" t="n"/>
      <c r="CW296" s="80" t="n"/>
      <c r="CX296" s="80" t="n"/>
    </row>
    <row r="297" customFormat="1" s="77">
      <c r="A297" s="76" t="n"/>
      <c r="B297" s="76" t="n"/>
      <c r="C297" s="77" t="inlineStr">
        <is>
          <t>EBIT MARGIN</t>
        </is>
      </c>
      <c r="D297" s="78" t="str">
        <f>IFERROR((D47/D15),"")</f>
        <v/>
      </c>
      <c r="E297" s="78" t="str">
        <f>IFERROR((E47/E15),"")</f>
        <v/>
      </c>
      <c r="F297" s="78" t="str">
        <f>IFERROR((F47/F15),"")</f>
        <v/>
      </c>
      <c r="G297" s="78" t="str">
        <f>IFERROR((G47/G15),"")</f>
        <v/>
      </c>
      <c r="H297" s="258" t="str">
        <f>IFERROR(IF(N(H15)&lt;&gt;0,H47/H15,""),"")</f>
        <v/>
      </c>
      <c r="I297" s="257">
        <f>IFERROR(IF(N(I15)&lt;&gt;0,I47/I15,""),"")</f>
        <v>0.621341296789204</v>
      </c>
      <c r="J297" s="257">
        <f>IFERROR(IF(N(J15)&lt;&gt;0,J47/J15,""),"")</f>
        <v>0.57893423876006</v>
      </c>
      <c r="K297" s="257">
        <f>IFERROR(IF(N(K15)&lt;&gt;0,K47/K15,""),"")</f>
        <v>0.581967348755235</v>
      </c>
      <c r="L297" s="257">
        <f>IFERROR(IF(N(L15)&lt;&gt;0,L47/L15,""),"")</f>
        <v>0.576249115642316</v>
      </c>
      <c r="M297" s="258">
        <f>IFERROR(IF(N(M15)&lt;&gt;0,M47/M15,""),"")</f>
        <v>0.5890380397028</v>
      </c>
      <c r="N297" s="257">
        <f>IFERROR(IF(N(N15)&lt;&gt;0,N47/N15,""),"")</f>
        <v>0.584440373916368</v>
      </c>
      <c r="O297" s="257">
        <f>IFERROR(IF(N(O15)&lt;&gt;0,O47/O15,""),"")</f>
        <v>-0.0719160230126187</v>
      </c>
      <c r="P297" s="257">
        <f>IFERROR(IF(N(P15)&lt;&gt;0,P47/P15,""),"")</f>
        <v>0.167524482239154</v>
      </c>
      <c r="Q297" s="257">
        <f>IFERROR(IF(N(Q15)&lt;&gt;0,Q47/Q15,""),"")</f>
        <v>0.430653516104783</v>
      </c>
      <c r="R297" s="258">
        <f>IFERROR(IF(N(R15)&lt;&gt;0,R47/R15,""),"")</f>
        <v>0.453395311137209</v>
      </c>
      <c r="S297" s="257">
        <f>IFERROR(IF(N(S15)&lt;&gt;0,S47/S15,""),"")</f>
        <v>0.214887342646968</v>
      </c>
      <c r="T297" s="257">
        <f>IFERROR(IF(N(T15)&lt;&gt;0,T47/T15,""),"")</f>
        <v>0.514257870579755</v>
      </c>
      <c r="U297" s="257">
        <f>IFERROR(IF(N(U15)&lt;&gt;0,U47/U15,""),"")</f>
        <v>0.502493423602626</v>
      </c>
      <c r="V297" s="257">
        <f>IFERROR(IF(N(V15)&lt;&gt;0,V47/V15,""),"")</f>
        <v>0.351887130161398</v>
      </c>
      <c r="W297" s="258">
        <f>IFERROR(IF(N(W15)&lt;&gt;0,W47/W15,""),"")</f>
        <v>0.432961216606437</v>
      </c>
      <c r="X297" s="257">
        <f>IFERROR(IF(N(X15)&lt;&gt;0,X47/X15,""),"")</f>
        <v>0.543849658932033</v>
      </c>
      <c r="Y297" s="257">
        <f>IFERROR(IF(N(Y15)&lt;&gt;0,Y47/Y15,""),"")</f>
        <v>0.454977701536379</v>
      </c>
      <c r="Z297" s="257">
        <f>IFERROR(IF(N(Z15)&lt;&gt;0,Z47/Z15,""),"")</f>
        <v>0.512786109608173</v>
      </c>
      <c r="AA297" s="257">
        <f>IFERROR(IF(N(AA15)&lt;&gt;0,AA47/AA15,""),"")</f>
        <v>0.550833477963968</v>
      </c>
      <c r="AB297" s="258">
        <f>IFERROR(IF(N(AB15)&lt;&gt;0,AB47/AB15,""),"")</f>
        <v>0.51809120022059</v>
      </c>
      <c r="AC297" s="257">
        <f>IFERROR(IF(N(AC15)&lt;&gt;0,AC47/AC15,""),"")</f>
        <v>0.459997057265969</v>
      </c>
      <c r="AD297" s="257">
        <f>IFERROR(IF(N(AD15)&lt;&gt;0,AD47/AD15,""),"")</f>
        <v>0.515940353996606</v>
      </c>
      <c r="AE297" s="257">
        <f>IFERROR(IF(N(AE15)&lt;&gt;0,AE47/AE15,""),"")</f>
        <v>0.47407220341672</v>
      </c>
      <c r="AF297" s="257">
        <f>IFERROR(IF(N(AF15)&lt;&gt;0,AF47/AF15,""),"")</f>
        <v>0.542047835547874</v>
      </c>
      <c r="AG297" s="258">
        <f>IFERROR(IF(N(AG15)&lt;&gt;0,AG47/AG15,""),"")</f>
        <v>0.502134182314304</v>
      </c>
      <c r="AH297" s="257">
        <f>IFERROR(IF(N(AH15)&lt;&gt;0,AH47/AH15,""),"")</f>
        <v>0.412526830670653</v>
      </c>
      <c r="AI297" s="257">
        <f>IFERROR(IF(N(AI15)&lt;&gt;0,AI47/AI15,""),"")</f>
        <v>0.557771861812244</v>
      </c>
      <c r="AJ297" s="257">
        <f>IFERROR(IF(N(AJ15)&lt;&gt;0,AJ47/AJ15,""),"")</f>
        <v>0.493726023785011</v>
      </c>
      <c r="AK297" s="257">
        <f>IFERROR(IF(N(AK15)&lt;&gt;0,AK47/AK15,""),"")</f>
        <v>0.493726023785011</v>
      </c>
      <c r="AL297" s="258">
        <f>IFERROR(IF(N(AL15)&lt;&gt;0,AL47/AL15,""),"")</f>
        <v>0.495422404957414</v>
      </c>
      <c r="AM297" s="257">
        <f>IFERROR(IF(N(AM15)&lt;&gt;0,AM47/AM15,""),"")</f>
        <v>0.493726023785011</v>
      </c>
      <c r="AN297" s="257">
        <f>IFERROR(IF(N(AN15)&lt;&gt;0,AN47/AN15,""),"")</f>
        <v>0.493726023785011</v>
      </c>
      <c r="AO297" s="257">
        <f>IFERROR(IF(N(AO15)&lt;&gt;0,AO47/AO15,""),"")</f>
        <v>0.493726023785011</v>
      </c>
      <c r="AP297" s="257">
        <f>IFERROR(IF(N(AP15)&lt;&gt;0,AP47/AP15,""),"")</f>
        <v>0.493726023785011</v>
      </c>
      <c r="AQ297" s="258">
        <f>IFERROR(IF(N(AQ15)&lt;&gt;0,AQ47/AQ15,""),"")</f>
        <v>0.493726023785011</v>
      </c>
      <c r="AR297" s="257">
        <f>IFERROR(IF(N(AR15)&lt;&gt;0,AR47/AR15,""),"")</f>
        <v>0.493726023785011</v>
      </c>
      <c r="AS297" s="257">
        <f>IFERROR(IF(N(AS15)&lt;&gt;0,AS47/AS15,""),"")</f>
        <v>0.493726023785011</v>
      </c>
      <c r="AT297" s="257">
        <f>IFERROR(IF(N(AT15)&lt;&gt;0,AT47/AT15,""),"")</f>
        <v>0.493726023785011</v>
      </c>
      <c r="AU297" s="257">
        <f>IFERROR(IF(N(AU15)&lt;&gt;0,AU47/AU15,""),"")</f>
        <v>0.493726023785011</v>
      </c>
      <c r="AV297" s="258">
        <f>IFERROR(IF(N(AV15)&lt;&gt;0,AV47/AV15,""),"")</f>
        <v>0.493726023785011</v>
      </c>
      <c r="AW297" s="257">
        <f>IFERROR(IF(N(AW15)&lt;&gt;0,AW47/AW15,""),"")</f>
        <v>0.493726023785011</v>
      </c>
      <c r="AX297" s="257">
        <f>IFERROR(IF(N(AX15)&lt;&gt;0,AX47/AX15,""),"")</f>
        <v>0.493726023785011</v>
      </c>
      <c r="AY297" s="257">
        <f>IFERROR(IF(N(AY15)&lt;&gt;0,AY47/AY15,""),"")</f>
        <v>0.493726023785011</v>
      </c>
      <c r="AZ297" s="257">
        <f>IFERROR(IF(N(AZ15)&lt;&gt;0,AZ47/AZ15,""),"")</f>
        <v>0.493726023785011</v>
      </c>
      <c r="BA297" s="258">
        <f>IFERROR(IF(N(BA15)&lt;&gt;0,BA47/BA15,""),"")</f>
        <v>0.493726023785011</v>
      </c>
      <c r="BB297" s="257">
        <f>IFERROR(IF(N(BB15)&lt;&gt;0,BB47/BB15,""),"")</f>
        <v>0.493726023785011</v>
      </c>
      <c r="BC297" s="257">
        <f>IFERROR(IF(N(BC15)&lt;&gt;0,BC47/BC15,""),"")</f>
        <v>0.493726023785011</v>
      </c>
      <c r="BD297" s="257">
        <f>IFERROR(IF(N(BD15)&lt;&gt;0,BD47/BD15,""),"")</f>
        <v>0.493726023785011</v>
      </c>
      <c r="BE297" s="257">
        <f>IFERROR(IF(N(BE15)&lt;&gt;0,BE47/BE15,""),"")</f>
        <v>0.493726023785011</v>
      </c>
      <c r="BF297" s="258">
        <f>IFERROR(IF(N(BF15)&lt;&gt;0,BF47/BF15,""),"")</f>
        <v>0.493726023785011</v>
      </c>
      <c r="BG297" s="81" t="n"/>
      <c r="BH297" s="81" t="n"/>
      <c r="BI297" s="81" t="n"/>
      <c r="BJ297" s="81" t="n"/>
      <c r="BL297" s="81" t="n"/>
      <c r="BM297" s="81" t="n"/>
      <c r="BN297" s="81" t="n"/>
      <c r="BO297" s="81" t="n"/>
      <c r="BQ297" s="81" t="n"/>
      <c r="BR297" s="81" t="n"/>
      <c r="BS297" s="81" t="n"/>
      <c r="BT297" s="81" t="n"/>
      <c r="BV297" s="81" t="n"/>
      <c r="BW297" s="81" t="n"/>
      <c r="BX297" s="81" t="n"/>
      <c r="BY297" s="81" t="n"/>
      <c r="CA297" s="81" t="n"/>
      <c r="CB297" s="81" t="n"/>
      <c r="CC297" s="81" t="n"/>
      <c r="CD297" s="81" t="n"/>
      <c r="CF297" s="81" t="n"/>
      <c r="CG297" s="81" t="n"/>
      <c r="CH297" s="81" t="n"/>
      <c r="CI297" s="81" t="n"/>
      <c r="CK297" s="81" t="n"/>
      <c r="CL297" s="81" t="n"/>
      <c r="CM297" s="81" t="n"/>
      <c r="CN297" s="81" t="n"/>
      <c r="CP297" s="81" t="n"/>
      <c r="CQ297" s="81" t="n"/>
      <c r="CR297" s="81" t="n"/>
      <c r="CS297" s="81" t="n"/>
      <c r="CU297" s="81" t="n"/>
      <c r="CV297" s="81" t="n"/>
      <c r="CW297" s="81" t="n"/>
      <c r="CX297" s="81" t="n"/>
    </row>
    <row r="298" customFormat="1" s="77">
      <c r="A298" s="76" t="n"/>
      <c r="B298" s="76" t="n"/>
      <c r="C298" s="77" t="inlineStr">
        <is>
          <t>EBITDA MARGIN</t>
        </is>
      </c>
      <c r="D298" s="78" t="str">
        <f>IFERROR(D43/D15,"")</f>
        <v/>
      </c>
      <c r="E298" s="78" t="str">
        <f>IFERROR(E43/E15,"")</f>
        <v/>
      </c>
      <c r="F298" s="78" t="str">
        <f>IFERROR(F43/F15,"")</f>
        <v/>
      </c>
      <c r="G298" s="78" t="str">
        <f>IFERROR(G43/G15,"")</f>
        <v/>
      </c>
      <c r="H298" s="258" t="str">
        <f>IFERROR(IF(N(H15)&lt;&gt;0,H43/H15,""),"")</f>
        <v/>
      </c>
      <c r="I298" s="257">
        <f>IFERROR(IF(N(I15)&lt;&gt;0,I43/I15,""),"")</f>
        <v>0.624885069879023</v>
      </c>
      <c r="J298" s="257">
        <f>IFERROR(IF(N(J15)&lt;&gt;0,J43/J15,""),"")</f>
        <v>0.582468305843835</v>
      </c>
      <c r="K298" s="257">
        <f>IFERROR(IF(N(K15)&lt;&gt;0,K43/K15,""),"")</f>
        <v>0.584971719552429</v>
      </c>
      <c r="L298" s="257">
        <f>IFERROR(IF(N(L15)&lt;&gt;0,L43/L15,""),"")</f>
        <v>0.579493625943727</v>
      </c>
      <c r="M298" s="258">
        <f>IFERROR(IF(N(M15)&lt;&gt;0,M43/M15,""),"")</f>
        <v>0.592354446186029</v>
      </c>
      <c r="N298" s="257">
        <f>IFERROR(IF(N(N15)&lt;&gt;0,N43/N15,""),"")</f>
        <v>0.588087853180084</v>
      </c>
      <c r="O298" s="257">
        <f>IFERROR(IF(N(O15)&lt;&gt;0,O43/O15,""),"")</f>
        <v>-0.0421966879628746</v>
      </c>
      <c r="P298" s="257">
        <f>IFERROR(IF(N(P15)&lt;&gt;0,P43/P15,""),"")</f>
        <v>0.181606140737199</v>
      </c>
      <c r="Q298" s="257">
        <f>IFERROR(IF(N(Q15)&lt;&gt;0,Q43/Q15,""),"")</f>
        <v>0.439343942903385</v>
      </c>
      <c r="R298" s="258">
        <f>IFERROR(IF(N(R15)&lt;&gt;0,R43/R15,""),"")</f>
        <v>0.461273871396566</v>
      </c>
      <c r="S298" s="257">
        <f>IFERROR(IF(N(S15)&lt;&gt;0,S43/S15,""),"")</f>
        <v>0.224292160119261</v>
      </c>
      <c r="T298" s="257">
        <f>IFERROR(IF(N(T15)&lt;&gt;0,T43/T15,""),"")</f>
        <v>0.517490907527682</v>
      </c>
      <c r="U298" s="257">
        <f>IFERROR(IF(N(U15)&lt;&gt;0,U43/U15,""),"")</f>
        <v>0.506034939017072</v>
      </c>
      <c r="V298" s="257">
        <f>IFERROR(IF(N(V15)&lt;&gt;0,V43/V15,""),"")</f>
        <v>0.35889246859971</v>
      </c>
      <c r="W298" s="258">
        <f>IFERROR(IF(N(W15)&lt;&gt;0,W43/W15,""),"")</f>
        <v>0.437959196748384</v>
      </c>
      <c r="X298" s="257">
        <f>IFERROR(IF(N(X15)&lt;&gt;0,X43/X15,""),"")</f>
        <v>0.546284967737107</v>
      </c>
      <c r="Y298" s="257">
        <f>IFERROR(IF(N(Y15)&lt;&gt;0,Y43/Y15,""),"")</f>
        <v>0.458196147091544</v>
      </c>
      <c r="Z298" s="257">
        <f>IFERROR(IF(N(Z15)&lt;&gt;0,Z43/Z15,""),"")</f>
        <v>0.515242981944172</v>
      </c>
      <c r="AA298" s="257">
        <f>IFERROR(IF(N(AA15)&lt;&gt;0,AA43/AA15,""),"")</f>
        <v>0.553759936935636</v>
      </c>
      <c r="AB298" s="258">
        <f>IFERROR(IF(N(AB15)&lt;&gt;0,AB43/AB15,""),"")</f>
        <v>0.520812446409545</v>
      </c>
      <c r="AC298" s="257">
        <f>IFERROR(IF(N(AC15)&lt;&gt;0,AC43/AC15,""),"")</f>
        <v>0.462725470275042</v>
      </c>
      <c r="AD298" s="257">
        <f>IFERROR(IF(N(AD15)&lt;&gt;0,AD43/AD15,""),"")</f>
        <v>0.518364988280934</v>
      </c>
      <c r="AE298" s="257">
        <f>IFERROR(IF(N(AE15)&lt;&gt;0,AE43/AE15,""),"")</f>
        <v>0.476986111987982</v>
      </c>
      <c r="AF298" s="257">
        <f>IFERROR(IF(N(AF15)&lt;&gt;0,AF43/AF15,""),"")</f>
        <v>0.544134631967914</v>
      </c>
      <c r="AG298" s="258">
        <f>IFERROR(IF(N(AG15)&lt;&gt;0,AG43/AG15,""),"")</f>
        <v>0.504630607120354</v>
      </c>
      <c r="AH298" s="257">
        <f>IFERROR(IF(N(AH15)&lt;&gt;0,AH43/AH15,""),"")</f>
        <v>0.415024346285308</v>
      </c>
      <c r="AI298" s="257">
        <f>IFERROR(IF(N(AI15)&lt;&gt;0,AI43/AI15,""),"")</f>
        <v>0.559556167770756</v>
      </c>
      <c r="AJ298" s="257">
        <f>IFERROR(IF(N(AJ15)&lt;&gt;0,AJ43/AJ15,""),"")</f>
        <v>0.496131952761323</v>
      </c>
      <c r="AK298" s="257">
        <f>IFERROR(IF(N(AK15)&lt;&gt;0,AK43/AK15,""),"")</f>
        <v>0.496131952761323</v>
      </c>
      <c r="AL298" s="258">
        <f>IFERROR(IF(N(AL15)&lt;&gt;0,AL43/AL15,""),"")</f>
        <v>0.497665983355637</v>
      </c>
      <c r="AM298" s="257">
        <f>IFERROR(IF(N(AM15)&lt;&gt;0,AM43/AM15,""),"")</f>
        <v>0.496131952761323</v>
      </c>
      <c r="AN298" s="257">
        <f>IFERROR(IF(N(AN15)&lt;&gt;0,AN43/AN15,""),"")</f>
        <v>0.496131952761323</v>
      </c>
      <c r="AO298" s="257">
        <f>IFERROR(IF(N(AO15)&lt;&gt;0,AO43/AO15,""),"")</f>
        <v>0.496131952761323</v>
      </c>
      <c r="AP298" s="257">
        <f>IFERROR(IF(N(AP15)&lt;&gt;0,AP43/AP15,""),"")</f>
        <v>0.496131952761323</v>
      </c>
      <c r="AQ298" s="258">
        <f>IFERROR(IF(N(AQ15)&lt;&gt;0,AQ43/AQ15,""),"")</f>
        <v>0.496131952761323</v>
      </c>
      <c r="AR298" s="257">
        <f>IFERROR(IF(N(AR15)&lt;&gt;0,AR43/AR15,""),"")</f>
        <v>0.496131952761323</v>
      </c>
      <c r="AS298" s="257">
        <f>IFERROR(IF(N(AS15)&lt;&gt;0,AS43/AS15,""),"")</f>
        <v>0.496131952761323</v>
      </c>
      <c r="AT298" s="257">
        <f>IFERROR(IF(N(AT15)&lt;&gt;0,AT43/AT15,""),"")</f>
        <v>0.496131952761323</v>
      </c>
      <c r="AU298" s="257">
        <f>IFERROR(IF(N(AU15)&lt;&gt;0,AU43/AU15,""),"")</f>
        <v>0.496131952761323</v>
      </c>
      <c r="AV298" s="258">
        <f>IFERROR(IF(N(AV15)&lt;&gt;0,AV43/AV15,""),"")</f>
        <v>0.496131952761323</v>
      </c>
      <c r="AW298" s="257">
        <f>IFERROR(IF(N(AW15)&lt;&gt;0,AW43/AW15,""),"")</f>
        <v>0.496131952761323</v>
      </c>
      <c r="AX298" s="257">
        <f>IFERROR(IF(N(AX15)&lt;&gt;0,AX43/AX15,""),"")</f>
        <v>0.496131952761323</v>
      </c>
      <c r="AY298" s="257">
        <f>IFERROR(IF(N(AY15)&lt;&gt;0,AY43/AY15,""),"")</f>
        <v>0.496131952761323</v>
      </c>
      <c r="AZ298" s="257">
        <f>IFERROR(IF(N(AZ15)&lt;&gt;0,AZ43/AZ15,""),"")</f>
        <v>0.496131952761323</v>
      </c>
      <c r="BA298" s="258">
        <f>IFERROR(IF(N(BA15)&lt;&gt;0,BA43/BA15,""),"")</f>
        <v>0.496131952761323</v>
      </c>
      <c r="BB298" s="257">
        <f>IFERROR(IF(N(BB15)&lt;&gt;0,BB43/BB15,""),"")</f>
        <v>0.496131952761323</v>
      </c>
      <c r="BC298" s="257">
        <f>IFERROR(IF(N(BC15)&lt;&gt;0,BC43/BC15,""),"")</f>
        <v>0.496131952761323</v>
      </c>
      <c r="BD298" s="257">
        <f>IFERROR(IF(N(BD15)&lt;&gt;0,BD43/BD15,""),"")</f>
        <v>0.496131952761323</v>
      </c>
      <c r="BE298" s="257">
        <f>IFERROR(IF(N(BE15)&lt;&gt;0,BE43/BE15,""),"")</f>
        <v>0.496131952761323</v>
      </c>
      <c r="BF298" s="258">
        <f>IFERROR(IF(N(BF15)&lt;&gt;0,BF43/BF15,""),"")</f>
        <v>0.496131952761323</v>
      </c>
      <c r="BG298" s="81" t="n"/>
      <c r="BH298" s="81" t="n"/>
      <c r="BI298" s="81" t="n"/>
      <c r="BJ298" s="81" t="n"/>
      <c r="BL298" s="81" t="n"/>
      <c r="BM298" s="81" t="n"/>
      <c r="BN298" s="81" t="n"/>
      <c r="BO298" s="81" t="n"/>
      <c r="BQ298" s="81" t="n"/>
      <c r="BR298" s="81" t="n"/>
      <c r="BS298" s="81" t="n"/>
      <c r="BT298" s="81" t="n"/>
      <c r="BV298" s="81" t="n"/>
      <c r="BW298" s="81" t="n"/>
      <c r="BX298" s="81" t="n"/>
      <c r="BY298" s="81" t="n"/>
      <c r="CA298" s="81" t="n"/>
      <c r="CB298" s="81" t="n"/>
      <c r="CC298" s="81" t="n"/>
      <c r="CD298" s="81" t="n"/>
      <c r="CF298" s="81" t="n"/>
      <c r="CG298" s="81" t="n"/>
      <c r="CH298" s="81" t="n"/>
      <c r="CI298" s="81" t="n"/>
      <c r="CK298" s="81" t="n"/>
      <c r="CL298" s="81" t="n"/>
      <c r="CM298" s="81" t="n"/>
      <c r="CN298" s="81" t="n"/>
      <c r="CP298" s="81" t="n"/>
      <c r="CQ298" s="81" t="n"/>
      <c r="CR298" s="81" t="n"/>
      <c r="CS298" s="81" t="n"/>
      <c r="CU298" s="81" t="n"/>
      <c r="CV298" s="81" t="n"/>
      <c r="CW298" s="81" t="n"/>
      <c r="CX298" s="81" t="n"/>
    </row>
    <row r="299" customFormat="1" s="77">
      <c r="A299" s="76" t="n"/>
      <c r="B299" s="76" t="n"/>
      <c r="C299" s="77" t="inlineStr">
        <is>
          <t>ETR</t>
        </is>
      </c>
      <c r="D299" s="78" t="str">
        <f>IFERROR(-D105/D104,"")</f>
        <v/>
      </c>
      <c r="E299" s="78" t="str">
        <f>IFERROR(-E105/E104,"")</f>
        <v/>
      </c>
      <c r="F299" s="78" t="str">
        <f>IFERROR(-F105/F104,"")</f>
        <v/>
      </c>
      <c r="G299" s="78" t="str">
        <f>IFERROR(-G105/G104,"")</f>
        <v/>
      </c>
      <c r="H299" s="258" t="str">
        <f>IFERROR(IF(N(H104)&lt;&gt;0,-H105/H104,""),"")</f>
        <v/>
      </c>
      <c r="I299" s="257">
        <f>IFERROR(IF(N(I104)&lt;&gt;0,-I105/I104,""),"")</f>
        <v>-0.000132613875861545</v>
      </c>
      <c r="J299" s="257">
        <f>IFERROR(IF(N(J104)&lt;&gt;0,-J105/J104,""),"")</f>
        <v>0.0916316246565205</v>
      </c>
      <c r="K299" s="257">
        <f>IFERROR(IF(N(K104)&lt;&gt;0,-K105/K104,""),"")</f>
        <v>0.125216070192423</v>
      </c>
      <c r="L299" s="257">
        <f>IFERROR(IF(N(L104)&lt;&gt;0,-L105/L104,""),"")</f>
        <v>0.129569519573791</v>
      </c>
      <c r="M299" s="258">
        <f>IFERROR(IF(N(M104)&lt;&gt;0,-M105/M104,""),"")</f>
        <v>0.0873490972606744</v>
      </c>
      <c r="N299" s="257">
        <f>IFERROR(IF(N(N104)&lt;&gt;0,-N105/N104,""),"")</f>
        <v>0.16212613996803</v>
      </c>
      <c r="O299" s="257">
        <f>IFERROR(IF(N(O104)&lt;&gt;0,-O105/O104,""),"")</f>
        <v>-0.166554152678441</v>
      </c>
      <c r="P299" s="257">
        <f>IFERROR(IF(N(P104)&lt;&gt;0,-P105/P104,""),"")</f>
        <v>0.962218296555738</v>
      </c>
      <c r="Q299" s="257">
        <f>IFERROR(IF(N(Q104)&lt;&gt;0,-Q105/Q104,""),"")</f>
        <v>-0.234385871686082</v>
      </c>
      <c r="R299" s="258">
        <f>IFERROR(IF(N(R104)&lt;&gt;0,-R105/R104,""),"")</f>
        <v>0.136599890981224</v>
      </c>
      <c r="S299" s="257">
        <f>IFERROR(IF(N(S104)&lt;&gt;0,-S105/S104,""),"")</f>
        <v>0.184532195884748</v>
      </c>
      <c r="T299" s="257">
        <f>IFERROR(IF(N(T104)&lt;&gt;0,-T105/T104,""),"")</f>
        <v>0.15646303792075</v>
      </c>
      <c r="U299" s="257">
        <f>IFERROR(IF(N(U104)&lt;&gt;0,-U105/U104,""),"")</f>
        <v>0.175923787838919</v>
      </c>
      <c r="V299" s="257">
        <f>IFERROR(IF(N(V104)&lt;&gt;0,-V105/V104,""),"")</f>
        <v>0.296343822543204</v>
      </c>
      <c r="W299" s="258">
        <f>IFERROR(IF(N(W104)&lt;&gt;0,-W105/W104,""),"")</f>
        <v>0.173600625347819</v>
      </c>
      <c r="X299" s="257">
        <f>IFERROR(IF(N(X104)&lt;&gt;0,-X105/X104,""),"")</f>
        <v>0.150916604864512</v>
      </c>
      <c r="Y299" s="257">
        <f>IFERROR(IF(N(Y104)&lt;&gt;0,-Y105/Y104,""),"")</f>
        <v>0.215326875772065</v>
      </c>
      <c r="Z299" s="257">
        <f>IFERROR(IF(N(Z104)&lt;&gt;0,-Z105/Z104,""),"")</f>
        <v>0.135531012077748</v>
      </c>
      <c r="AA299" s="257">
        <f>IFERROR(IF(N(AA104)&lt;&gt;0,-AA105/AA104,""),"")</f>
        <v>0.148885175404493</v>
      </c>
      <c r="AB299" s="258">
        <f>IFERROR(IF(N(AB104)&lt;&gt;0,-AB105/AB104,""),"")</f>
        <v>0.158166137212283</v>
      </c>
      <c r="AC299" s="257">
        <f>IFERROR(IF(N(AC104)&lt;&gt;0,-AC105/AC104,""),"")</f>
        <v>0.167855453768791</v>
      </c>
      <c r="AD299" s="257">
        <f>IFERROR(IF(N(AD104)&lt;&gt;0,-AD105/AD104,""),"")</f>
        <v>0.151122321829876</v>
      </c>
      <c r="AE299" s="257">
        <f>IFERROR(IF(N(AE104)&lt;&gt;0,-AE105/AE104,""),"")</f>
        <v>0.144932675783329</v>
      </c>
      <c r="AF299" s="257">
        <f>IFERROR(IF(N(AF104)&lt;&gt;0,-AF105/AF104,""),"")</f>
        <v>0.162100799546511</v>
      </c>
      <c r="AG299" s="258">
        <f>IFERROR(IF(N(AG104)&lt;&gt;0,-AG105/AG104,""),"")</f>
        <v>0.156870961003931</v>
      </c>
      <c r="AH299" s="257">
        <f>IFERROR(IF(N(AH104)&lt;&gt;0,-AH105/AH104,""),"")</f>
        <v>0.135492973814772</v>
      </c>
      <c r="AI299" s="257">
        <f>IFERROR(IF(N(AI104)&lt;&gt;0,-AI105/AI104,""),"")</f>
        <v>0.161080196492587</v>
      </c>
      <c r="AJ299" s="257">
        <f>IFERROR(IF(N(AJ104)&lt;&gt;0,-AJ105/AJ104,""),"")</f>
        <v>0.153764070205978</v>
      </c>
      <c r="AK299" s="257">
        <f>IFERROR(IF(N(AK104)&lt;&gt;0,-AK105/AK104,""),"")</f>
        <v>0.153764070205978</v>
      </c>
      <c r="AL299" s="258">
        <f>IFERROR(IF(N(AL104)&lt;&gt;0,-AL105/AL104,""),"")</f>
        <v>0.153074905056024</v>
      </c>
      <c r="AM299" s="257">
        <f>IFERROR(IF(N(AM104)&lt;&gt;0,-AM105/AM104,""),"")</f>
        <v>0.153764070205978</v>
      </c>
      <c r="AN299" s="257">
        <f>IFERROR(IF(N(AN104)&lt;&gt;0,-AN105/AN104,""),"")</f>
        <v>0.153764070205978</v>
      </c>
      <c r="AO299" s="257">
        <f>IFERROR(IF(N(AO104)&lt;&gt;0,-AO105/AO104,""),"")</f>
        <v>0.153764070205978</v>
      </c>
      <c r="AP299" s="257">
        <f>IFERROR(IF(N(AP104)&lt;&gt;0,-AP105/AP104,""),"")</f>
        <v>0.153764070205978</v>
      </c>
      <c r="AQ299" s="258">
        <f>IFERROR(IF(N(AQ104)&lt;&gt;0,-AQ105/AQ104,""),"")</f>
        <v>0.153764070205978</v>
      </c>
      <c r="AR299" s="257">
        <f>IFERROR(IF(N(AR104)&lt;&gt;0,-AR105/AR104,""),"")</f>
        <v>0.153764070205978</v>
      </c>
      <c r="AS299" s="257">
        <f>IFERROR(IF(N(AS104)&lt;&gt;0,-AS105/AS104,""),"")</f>
        <v>0.153764070205978</v>
      </c>
      <c r="AT299" s="257">
        <f>IFERROR(IF(N(AT104)&lt;&gt;0,-AT105/AT104,""),"")</f>
        <v>0.153764070205978</v>
      </c>
      <c r="AU299" s="257">
        <f>IFERROR(IF(N(AU104)&lt;&gt;0,-AU105/AU104,""),"")</f>
        <v>0.153764070205978</v>
      </c>
      <c r="AV299" s="258">
        <f>IFERROR(IF(N(AV104)&lt;&gt;0,-AV105/AV104,""),"")</f>
        <v>0.153764070205978</v>
      </c>
      <c r="AW299" s="257">
        <f>IFERROR(IF(N(AW104)&lt;&gt;0,-AW105/AW104,""),"")</f>
        <v>0.153764070205978</v>
      </c>
      <c r="AX299" s="257">
        <f>IFERROR(IF(N(AX104)&lt;&gt;0,-AX105/AX104,""),"")</f>
        <v>0.153764070205978</v>
      </c>
      <c r="AY299" s="257">
        <f>IFERROR(IF(N(AY104)&lt;&gt;0,-AY105/AY104,""),"")</f>
        <v>0.153764070205978</v>
      </c>
      <c r="AZ299" s="257">
        <f>IFERROR(IF(N(AZ104)&lt;&gt;0,-AZ105/AZ104,""),"")</f>
        <v>0.153764070205978</v>
      </c>
      <c r="BA299" s="258">
        <f>IFERROR(IF(N(BA104)&lt;&gt;0,-BA105/BA104,""),"")</f>
        <v>0.153764070205978</v>
      </c>
      <c r="BB299" s="257">
        <f>IFERROR(IF(N(BB104)&lt;&gt;0,-BB105/BB104,""),"")</f>
        <v>0.153764070205978</v>
      </c>
      <c r="BC299" s="257">
        <f>IFERROR(IF(N(BC104)&lt;&gt;0,-BC105/BC104,""),"")</f>
        <v>0.153764070205978</v>
      </c>
      <c r="BD299" s="257">
        <f>IFERROR(IF(N(BD104)&lt;&gt;0,-BD105/BD104,""),"")</f>
        <v>0.153764070205978</v>
      </c>
      <c r="BE299" s="257">
        <f>IFERROR(IF(N(BE104)&lt;&gt;0,-BE105/BE104,""),"")</f>
        <v>0.153764070205978</v>
      </c>
      <c r="BF299" s="258">
        <f>IFERROR(IF(N(BF104)&lt;&gt;0,-BF105/BF104,""),"")</f>
        <v>0.153764070205978</v>
      </c>
      <c r="BG299" s="81" t="n"/>
      <c r="BH299" s="81" t="n"/>
      <c r="BI299" s="81" t="n"/>
      <c r="BJ299" s="81" t="n"/>
      <c r="BL299" s="81" t="n"/>
      <c r="BM299" s="81" t="n"/>
      <c r="BN299" s="81" t="n"/>
      <c r="BO299" s="81" t="n"/>
      <c r="BQ299" s="81" t="n"/>
      <c r="BR299" s="81" t="n"/>
      <c r="BS299" s="81" t="n"/>
      <c r="BT299" s="81" t="n"/>
      <c r="BV299" s="81" t="n"/>
      <c r="BW299" s="81" t="n"/>
      <c r="BX299" s="81" t="n"/>
      <c r="BY299" s="81" t="n"/>
      <c r="CA299" s="81" t="n"/>
      <c r="CB299" s="81" t="n"/>
      <c r="CC299" s="81" t="n"/>
      <c r="CD299" s="81" t="n"/>
      <c r="CF299" s="81" t="n"/>
      <c r="CG299" s="81" t="n"/>
      <c r="CH299" s="81" t="n"/>
      <c r="CI299" s="81" t="n"/>
      <c r="CK299" s="81" t="n"/>
      <c r="CL299" s="81" t="n"/>
      <c r="CM299" s="81" t="n"/>
      <c r="CN299" s="81" t="n"/>
      <c r="CP299" s="81" t="n"/>
      <c r="CQ299" s="81" t="n"/>
      <c r="CR299" s="81" t="n"/>
      <c r="CS299" s="81" t="n"/>
      <c r="CU299" s="81" t="n"/>
      <c r="CV299" s="81" t="n"/>
      <c r="CW299" s="81" t="n"/>
      <c r="CX299" s="81" t="n"/>
    </row>
    <row r="300" customFormat="1" s="77">
      <c r="A300" s="76" t="n"/>
      <c r="B300" s="76" t="n"/>
    </row>
    <row r="301" customFormat="1" s="77">
      <c r="A301" s="76" t="n"/>
      <c r="B301" s="76" t="n"/>
      <c r="C301" s="74" t="inlineStr">
        <is>
          <t>CAPITAL STRUCTURE</t>
        </is>
      </c>
    </row>
    <row r="302" customFormat="1" s="77">
      <c r="A302" s="76" t="n"/>
      <c r="B302" s="76" t="n"/>
      <c r="C302" s="77" t="inlineStr">
        <is>
          <t>TOTAL DEBT / EQUITY (BOOK VALUE)</t>
        </is>
      </c>
      <c r="H302" s="262" t="str">
        <f>IFERROR(IF(N(H245)&lt;&gt;0,(N(H186)+N(H187)+N(H188)+N(H191)+N(H209)+N(H212))/H245,""),"")</f>
        <v/>
      </c>
      <c r="I302" s="262">
        <f>IFERROR(IF(N(I245)&lt;&gt;0,(N(I186)+N(I187)+N(I188)+N(I191)+N(I209)+N(I212))/I245,""),"")</f>
        <v>0</v>
      </c>
      <c r="J302" s="262">
        <f>IFERROR(IF(N(J245)&lt;&gt;0,(N(J186)+N(J187)+N(J188)+N(J191)+N(J209)+N(J212))/J245,""),"")</f>
        <v>0</v>
      </c>
      <c r="K302" s="262">
        <f>IFERROR(IF(N(K245)&lt;&gt;0,(N(K186)+N(K187)+N(K188)+N(K191)+N(K209)+N(K212))/K245,""),"")</f>
        <v>0</v>
      </c>
      <c r="L302" s="262">
        <f>IFERROR(IF(N(L245)&lt;&gt;0,(N(L186)+N(L187)+N(L188)+N(L191)+N(L209)+N(L212))/L245,""),"")</f>
        <v>0</v>
      </c>
      <c r="M302" s="262">
        <f>IFERROR(IF(N(M245)&lt;&gt;0,(N(M186)+N(M187)+N(M188)+N(M191)+N(M209)+N(M212))/M245,""),"")</f>
        <v>0</v>
      </c>
      <c r="N302" s="262">
        <f>IFERROR(IF(N(N245)&lt;&gt;0,(N(N186)+N(N187)+N(N188)+N(N191)+N(N209)+N(N212))/N245,""),"")</f>
        <v>0</v>
      </c>
      <c r="O302" s="262">
        <f>IFERROR(IF(N(O245)&lt;&gt;0,(N(O186)+N(O187)+N(O188)+N(O191)+N(O209)+N(O212))/O245,""),"")</f>
        <v>0</v>
      </c>
      <c r="P302" s="262">
        <f>IFERROR(IF(N(P245)&lt;&gt;0,(N(P186)+N(P187)+N(P188)+N(P191)+N(P209)+N(P212))/P245,""),"")</f>
        <v>0</v>
      </c>
      <c r="Q302" s="262">
        <f>IFERROR(IF(N(Q245)&lt;&gt;0,(N(Q186)+N(Q187)+N(Q188)+N(Q191)+N(Q209)+N(Q212))/Q245,""),"")</f>
        <v>0</v>
      </c>
      <c r="R302" s="262">
        <f>IFERROR(IF(N(R245)&lt;&gt;0,(N(R186)+N(R187)+N(R188)+N(R191)+N(R209)+N(R212))/R245,""),"")</f>
        <v>0</v>
      </c>
      <c r="S302" s="262">
        <f>IFERROR(IF(N(S245)&lt;&gt;0,(N(S186)+N(S187)+N(S188)+N(S191)+N(S209)+N(S212))/S245,""),"")</f>
        <v>0</v>
      </c>
      <c r="T302" s="262">
        <f>IFERROR(IF(N(T245)&lt;&gt;0,(N(T186)+N(T187)+N(T188)+N(T191)+N(T209)+N(T212))/T245,""),"")</f>
        <v>0</v>
      </c>
      <c r="U302" s="262">
        <f>IFERROR(IF(N(U245)&lt;&gt;0,(N(U186)+N(U187)+N(U188)+N(U191)+N(U209)+N(U212))/U245,""),"")</f>
        <v>0</v>
      </c>
      <c r="V302" s="262">
        <f>IFERROR(IF(N(V245)&lt;&gt;0,(N(V186)+N(V187)+N(V188)+N(V191)+N(V209)+N(V212))/V245,""),"")</f>
        <v>0</v>
      </c>
      <c r="W302" s="262">
        <f>IFERROR(IF(N(W245)&lt;&gt;0,(N(W186)+N(W187)+N(W188)+N(W191)+N(W209)+N(W212))/W245,""),"")</f>
        <v>0</v>
      </c>
      <c r="X302" s="262">
        <f>IFERROR(IF(N(X245)&lt;&gt;0,(N(X186)+N(X187)+N(X188)+N(X191)+N(X209)+N(X212))/X245,""),"")</f>
        <v>0</v>
      </c>
      <c r="Y302" s="262">
        <f>IFERROR(IF(N(Y245)&lt;&gt;0,(N(Y186)+N(Y187)+N(Y188)+N(Y191)+N(Y209)+N(Y212))/Y245,""),"")</f>
        <v>0</v>
      </c>
      <c r="Z302" s="262">
        <f>IFERROR(IF(N(Z245)&lt;&gt;0,(N(Z186)+N(Z187)+N(Z188)+N(Z191)+N(Z209)+N(Z212))/Z245,""),"")</f>
        <v>0</v>
      </c>
      <c r="AA302" s="262">
        <f>IFERROR(IF(N(AA245)&lt;&gt;0,(N(AA186)+N(AA187)+N(AA188)+N(AA191)+N(AA209)+N(AA212))/AA245,""),"")</f>
        <v>0</v>
      </c>
      <c r="AB302" s="262">
        <f>IFERROR(IF(N(AB245)&lt;&gt;0,(N(AB186)+N(AB187)+N(AB188)+N(AB191)+N(AB209)+N(AB212))/AB245,""),"")</f>
        <v>0</v>
      </c>
      <c r="AC302" s="262">
        <f>IFERROR(IF(N(AC245)&lt;&gt;0,(N(AC186)+N(AC187)+N(AC188)+N(AC191)+N(AC209)+N(AC212))/AC245,""),"")</f>
        <v>0</v>
      </c>
      <c r="AD302" s="262">
        <f>IFERROR(IF(N(AD245)&lt;&gt;0,(N(AD186)+N(AD187)+N(AD188)+N(AD191)+N(AD209)+N(AD212))/AD245,""),"")</f>
        <v>0</v>
      </c>
      <c r="AE302" s="262">
        <f>IFERROR(IF(N(AE245)&lt;&gt;0,(N(AE186)+N(AE187)+N(AE188)+N(AE191)+N(AE209)+N(AE212))/AE245,""),"")</f>
        <v>0</v>
      </c>
      <c r="AF302" s="262">
        <f>IFERROR(IF(N(AF245)&lt;&gt;0,(N(AF186)+N(AF187)+N(AF188)+N(AF191)+N(AF209)+N(AF212))/AF245,""),"")</f>
        <v>0</v>
      </c>
      <c r="AG302" s="262">
        <f>IFERROR(IF(N(AG245)&lt;&gt;0,(N(AG186)+N(AG187)+N(AG188)+N(AG191)+N(AG209)+N(AG212))/AG245,""),"")</f>
        <v>0</v>
      </c>
      <c r="AH302" s="262">
        <f>IFERROR(IF(N(AH245)&lt;&gt;0,(N(AH186)+N(AH187)+N(AH188)+N(AH191)+N(AH209)+N(AH212))/AH245,""),"")</f>
        <v>0</v>
      </c>
      <c r="AI302" s="262">
        <f>IFERROR(IF(N(AI245)&lt;&gt;0,(N(AI186)+N(AI187)+N(AI188)+N(AI191)+N(AI209)+N(AI212))/AI245,""),"")</f>
        <v>0</v>
      </c>
      <c r="AJ302" s="262">
        <f>IFERROR(IF(N(AJ245)&lt;&gt;0,(N(AJ186)+N(AJ187)+N(AJ188)+N(AJ191)+N(AJ209)+N(AJ212))/AJ245,""),"")</f>
        <v>0</v>
      </c>
      <c r="AK302" s="262">
        <f>IFERROR(IF(N(AK245)&lt;&gt;0,(N(AK186)+N(AK187)+N(AK188)+N(AK191)+N(AK209)+N(AK212))/AK245,""),"")</f>
        <v>0</v>
      </c>
      <c r="AL302" s="262">
        <f>IFERROR(IF(N(AL245)&lt;&gt;0,(N(AL186)+N(AL187)+N(AL188)+N(AL191)+N(AL209)+N(AL212))/AL245,""),"")</f>
        <v>0</v>
      </c>
      <c r="AM302" s="262">
        <f>IFERROR(IF(N(AM245)&lt;&gt;0,(N(AM186)+N(AM187)+N(AM188)+N(AM191)+N(AM209)+N(AM212))/AM245,""),"")</f>
        <v>0</v>
      </c>
      <c r="AN302" s="262">
        <f>IFERROR(IF(N(AN245)&lt;&gt;0,(N(AN186)+N(AN187)+N(AN188)+N(AN191)+N(AN209)+N(AN212))/AN245,""),"")</f>
        <v>0</v>
      </c>
      <c r="AO302" s="262">
        <f>IFERROR(IF(N(AO245)&lt;&gt;0,(N(AO186)+N(AO187)+N(AO188)+N(AO191)+N(AO209)+N(AO212))/AO245,""),"")</f>
        <v>0</v>
      </c>
      <c r="AP302" s="262">
        <f>IFERROR(IF(N(AP245)&lt;&gt;0,(N(AP186)+N(AP187)+N(AP188)+N(AP191)+N(AP209)+N(AP212))/AP245,""),"")</f>
        <v>0</v>
      </c>
      <c r="AQ302" s="262">
        <f>IFERROR(IF(N(AQ245)&lt;&gt;0,(N(AQ186)+N(AQ187)+N(AQ188)+N(AQ191)+N(AQ209)+N(AQ212))/AQ245,""),"")</f>
        <v>0</v>
      </c>
      <c r="AR302" s="262">
        <f>IFERROR(IF(N(AR245)&lt;&gt;0,(N(AR186)+N(AR187)+N(AR188)+N(AR191)+N(AR209)+N(AR212))/AR245,""),"")</f>
        <v>0</v>
      </c>
      <c r="AS302" s="262">
        <f>IFERROR(IF(N(AS245)&lt;&gt;0,(N(AS186)+N(AS187)+N(AS188)+N(AS191)+N(AS209)+N(AS212))/AS245,""),"")</f>
        <v>0</v>
      </c>
      <c r="AT302" s="262">
        <f>IFERROR(IF(N(AT245)&lt;&gt;0,(N(AT186)+N(AT187)+N(AT188)+N(AT191)+N(AT209)+N(AT212))/AT245,""),"")</f>
        <v>0</v>
      </c>
      <c r="AU302" s="262">
        <f>IFERROR(IF(N(AU245)&lt;&gt;0,(N(AU186)+N(AU187)+N(AU188)+N(AU191)+N(AU209)+N(AU212))/AU245,""),"")</f>
        <v>0</v>
      </c>
      <c r="AV302" s="262">
        <f>IFERROR(IF(N(AV245)&lt;&gt;0,(N(AV186)+N(AV187)+N(AV188)+N(AV191)+N(AV209)+N(AV212))/AV245,""),"")</f>
        <v>0</v>
      </c>
      <c r="AW302" s="262">
        <f>IFERROR(IF(N(AW245)&lt;&gt;0,(N(AW186)+N(AW187)+N(AW188)+N(AW191)+N(AW209)+N(AW212))/AW245,""),"")</f>
        <v>0</v>
      </c>
      <c r="AX302" s="262">
        <f>IFERROR(IF(N(AX245)&lt;&gt;0,(N(AX186)+N(AX187)+N(AX188)+N(AX191)+N(AX209)+N(AX212))/AX245,""),"")</f>
        <v>0</v>
      </c>
      <c r="AY302" s="262">
        <f>IFERROR(IF(N(AY245)&lt;&gt;0,(N(AY186)+N(AY187)+N(AY188)+N(AY191)+N(AY209)+N(AY212))/AY245,""),"")</f>
        <v>0</v>
      </c>
      <c r="AZ302" s="262">
        <f>IFERROR(IF(N(AZ245)&lt;&gt;0,(N(AZ186)+N(AZ187)+N(AZ188)+N(AZ191)+N(AZ209)+N(AZ212))/AZ245,""),"")</f>
        <v>0</v>
      </c>
      <c r="BA302" s="262">
        <f>IFERROR(IF(N(BA245)&lt;&gt;0,(N(BA186)+N(BA187)+N(BA188)+N(BA191)+N(BA209)+N(BA212))/BA245,""),"")</f>
        <v>0</v>
      </c>
      <c r="BB302" s="262">
        <f>IFERROR(IF(N(BB245)&lt;&gt;0,(N(BB186)+N(BB187)+N(BB188)+N(BB191)+N(BB209)+N(BB212))/BB245,""),"")</f>
        <v>0</v>
      </c>
      <c r="BC302" s="262">
        <f>IFERROR(IF(N(BC245)&lt;&gt;0,(N(BC186)+N(BC187)+N(BC188)+N(BC191)+N(BC209)+N(BC212))/BC245,""),"")</f>
        <v>0</v>
      </c>
      <c r="BD302" s="262">
        <f>IFERROR(IF(N(BD245)&lt;&gt;0,(N(BD186)+N(BD187)+N(BD188)+N(BD191)+N(BD209)+N(BD212))/BD245,""),"")</f>
        <v>0</v>
      </c>
      <c r="BE302" s="262">
        <f>IFERROR(IF(N(BE245)&lt;&gt;0,(N(BE186)+N(BE187)+N(BE188)+N(BE191)+N(BE209)+N(BE212))/BE245,""),"")</f>
        <v>0</v>
      </c>
      <c r="BF302" s="262">
        <f>IFERROR(IF(N(BF245)&lt;&gt;0,(N(BF186)+N(BF187)+N(BF188)+N(BF191)+N(BF209)+N(BF212))/BF245,""),"")</f>
        <v>0</v>
      </c>
    </row>
    <row r="303" customFormat="1" s="77">
      <c r="A303" s="76" t="n"/>
      <c r="B303" s="76" t="n"/>
      <c r="C303" s="77" t="inlineStr">
        <is>
          <t>NET DEBT / (NET DEBT + EQUITY) (BOOK VALUE)</t>
        </is>
      </c>
      <c r="H303" s="258" t="str">
        <f>IFERROR(IF(((N(H186)+N(H187)+N(H188)+N(H191)+N(H209)+N(H212))-N(H118)+N(H245))&lt;&gt;0,((N(H186)+N(H187)+N(H188)+N(H191)+N(H209)+N(H212))-N(H118))/((N(H186)+N(H187)+N(H188)+N(H191)+N(H209)+N(H212))-N(H118)+H245),""),"")</f>
        <v/>
      </c>
      <c r="I303" s="258">
        <f>IFERROR(IF(((N(I186)+N(I187)+N(I188)+N(I191)+N(I209)+N(I212))-N(I118)+N(I245))&lt;&gt;0,((N(I186)+N(I187)+N(I188)+N(I191)+N(I209)+N(I212))-N(I118))/((N(I186)+N(I187)+N(I188)+N(I191)+N(I209)+N(I212))-N(I118)+I245),""),"")</f>
        <v>-0.205003936899036</v>
      </c>
      <c r="J303" s="258">
        <f>IFERROR(IF(((N(J186)+N(J187)+N(J188)+N(J191)+N(J209)+N(J212))-N(J118)+N(J245))&lt;&gt;0,((N(J186)+N(J187)+N(J188)+N(J191)+N(J209)+N(J212))-N(J118))/((N(J186)+N(J187)+N(J188)+N(J191)+N(J209)+N(J212))-N(J118)+J245),""),"")</f>
        <v>-0.153452113458258</v>
      </c>
      <c r="K303" s="258">
        <f>IFERROR(IF(((N(K186)+N(K187)+N(K188)+N(K191)+N(K209)+N(K212))-N(K118)+N(K245))&lt;&gt;0,((N(K186)+N(K187)+N(K188)+N(K191)+N(K209)+N(K212))-N(K118))/((N(K186)+N(K187)+N(K188)+N(K191)+N(K209)+N(K212))-N(K118)+K245),""),"")</f>
        <v>-0.315851289061082</v>
      </c>
      <c r="L303" s="258">
        <f>IFERROR(IF(((N(L186)+N(L187)+N(L188)+N(L191)+N(L209)+N(L212))-N(L118)+N(L245))&lt;&gt;0,((N(L186)+N(L187)+N(L188)+N(L191)+N(L209)+N(L212))-N(L118))/((N(L186)+N(L187)+N(L188)+N(L191)+N(L209)+N(L212))-N(L118)+L245),""),"")</f>
        <v>-0.108225501202166</v>
      </c>
      <c r="M303" s="258">
        <f>IFERROR(IF(((N(M186)+N(M187)+N(M188)+N(M191)+N(M209)+N(M212))-N(M118)+N(M245))&lt;&gt;0,((N(M186)+N(M187)+N(M188)+N(M191)+N(M209)+N(M212))-N(M118))/((N(M186)+N(M187)+N(M188)+N(M191)+N(M209)+N(M212))-N(M118)+M245),""),"")</f>
        <v>-0.108225501202166</v>
      </c>
      <c r="N303" s="258">
        <f>IFERROR(IF(((N(N186)+N(N187)+N(N188)+N(N191)+N(N209)+N(N212))-N(N118)+N(N245))&lt;&gt;0,((N(N186)+N(N187)+N(N188)+N(N191)+N(N209)+N(N212))-N(N118))/((N(N186)+N(N187)+N(N188)+N(N191)+N(N209)+N(N212))-N(N118)+N245),""),"")</f>
        <v>-0.210563364949495</v>
      </c>
      <c r="O303" s="258">
        <f>IFERROR(IF(((N(O186)+N(O187)+N(O188)+N(O191)+N(O209)+N(O212))-N(O118)+N(O245))&lt;&gt;0,((N(O186)+N(O187)+N(O188)+N(O191)+N(O209)+N(O212))-N(O118))/((N(O186)+N(O187)+N(O188)+N(O191)+N(O209)+N(O212))-N(O118)+O245),""),"")</f>
        <v>-0.243918651102537</v>
      </c>
      <c r="P303" s="258">
        <f>IFERROR(IF(((N(P186)+N(P187)+N(P188)+N(P191)+N(P209)+N(P212))-N(P118)+N(P245))&lt;&gt;0,((N(P186)+N(P187)+N(P188)+N(P191)+N(P209)+N(P212))-N(P118))/((N(P186)+N(P187)+N(P188)+N(P191)+N(P209)+N(P212))-N(P118)+P245),""),"")</f>
        <v>-0.214083126437755</v>
      </c>
      <c r="Q303" s="258">
        <f>IFERROR(IF(((N(Q186)+N(Q187)+N(Q188)+N(Q191)+N(Q209)+N(Q212))-N(Q118)+N(Q245))&lt;&gt;0,((N(Q186)+N(Q187)+N(Q188)+N(Q191)+N(Q209)+N(Q212))-N(Q118))/((N(Q186)+N(Q187)+N(Q188)+N(Q191)+N(Q209)+N(Q212))-N(Q118)+Q245),""),"")</f>
        <v>-0.275583988763025</v>
      </c>
      <c r="R303" s="258">
        <f>IFERROR(IF(((N(R186)+N(R187)+N(R188)+N(R191)+N(R209)+N(R212))-N(R118)+N(R245))&lt;&gt;0,((N(R186)+N(R187)+N(R188)+N(R191)+N(R209)+N(R212))-N(R118))/((N(R186)+N(R187)+N(R188)+N(R191)+N(R209)+N(R212))-N(R118)+R245),""),"")</f>
        <v>-0.275583988763025</v>
      </c>
      <c r="S303" s="258">
        <f>IFERROR(IF(((N(S186)+N(S187)+N(S188)+N(S191)+N(S209)+N(S212))-N(S118)+N(S245))&lt;&gt;0,((N(S186)+N(S187)+N(S188)+N(S191)+N(S209)+N(S212))-N(S118))/((N(S186)+N(S187)+N(S188)+N(S191)+N(S209)+N(S212))-N(S118)+S245),""),"")</f>
        <v>-0.178240699058242</v>
      </c>
      <c r="T303" s="258">
        <f>IFERROR(IF(((N(T186)+N(T187)+N(T188)+N(T191)+N(T209)+N(T212))-N(T118)+N(T245))&lt;&gt;0,((N(T186)+N(T187)+N(T188)+N(T191)+N(T209)+N(T212))-N(T118))/((N(T186)+N(T187)+N(T188)+N(T191)+N(T209)+N(T212))-N(T118)+T245),""),"")</f>
        <v>-0.207472925043998</v>
      </c>
      <c r="U303" s="258">
        <f>IFERROR(IF(((N(U186)+N(U187)+N(U188)+N(U191)+N(U209)+N(U212))-N(U118)+N(U245))&lt;&gt;0,((N(U186)+N(U187)+N(U188)+N(U191)+N(U209)+N(U212))-N(U118))/((N(U186)+N(U187)+N(U188)+N(U191)+N(U209)+N(U212))-N(U118)+U245),""),"")</f>
        <v>-0.187612470829321</v>
      </c>
      <c r="V303" s="258">
        <f>IFERROR(IF(((N(V186)+N(V187)+N(V188)+N(V191)+N(V209)+N(V212))-N(V118)+N(V245))&lt;&gt;0,((N(V186)+N(V187)+N(V188)+N(V191)+N(V209)+N(V212))-N(V118))/((N(V186)+N(V187)+N(V188)+N(V191)+N(V209)+N(V212))-N(V118)+V245),""),"")</f>
        <v>-0.195502213455236</v>
      </c>
      <c r="W303" s="258">
        <f>IFERROR(IF(((N(W186)+N(W187)+N(W188)+N(W191)+N(W209)+N(W212))-N(W118)+N(W245))&lt;&gt;0,((N(W186)+N(W187)+N(W188)+N(W191)+N(W209)+N(W212))-N(W118))/((N(W186)+N(W187)+N(W188)+N(W191)+N(W209)+N(W212))-N(W118)+W245),""),"")</f>
        <v>-0.195502213455236</v>
      </c>
      <c r="X303" s="258">
        <f>IFERROR(IF(((N(X186)+N(X187)+N(X188)+N(X191)+N(X209)+N(X212))-N(X118)+N(X245))&lt;&gt;0,((N(X186)+N(X187)+N(X188)+N(X191)+N(X209)+N(X212))-N(X118))/((N(X186)+N(X187)+N(X188)+N(X191)+N(X209)+N(X212))-N(X118)+X245),""),"")</f>
        <v>-0.156794390621202</v>
      </c>
      <c r="Y303" s="258">
        <f>IFERROR(IF(((N(Y186)+N(Y187)+N(Y188)+N(Y191)+N(Y209)+N(Y212))-N(Y118)+N(Y245))&lt;&gt;0,((N(Y186)+N(Y187)+N(Y188)+N(Y191)+N(Y209)+N(Y212))-N(Y118))/((N(Y186)+N(Y187)+N(Y188)+N(Y191)+N(Y209)+N(Y212))-N(Y118)+Y245),""),"")</f>
        <v>-0.14616440245386</v>
      </c>
      <c r="Z303" s="258">
        <f>IFERROR(IF(((N(Z186)+N(Z187)+N(Z188)+N(Z191)+N(Z209)+N(Z212))-N(Z118)+N(Z245))&lt;&gt;0,((N(Z186)+N(Z187)+N(Z188)+N(Z191)+N(Z209)+N(Z212))-N(Z118))/((N(Z186)+N(Z187)+N(Z188)+N(Z191)+N(Z209)+N(Z212))-N(Z118)+Z245),""),"")</f>
        <v>-0.137528387891519</v>
      </c>
      <c r="AA303" s="258">
        <f>IFERROR(IF(((N(AA186)+N(AA187)+N(AA188)+N(AA191)+N(AA209)+N(AA212))-N(AA118)+N(AA245))&lt;&gt;0,((N(AA186)+N(AA187)+N(AA188)+N(AA191)+N(AA209)+N(AA212))-N(AA118))/((N(AA186)+N(AA187)+N(AA188)+N(AA191)+N(AA209)+N(AA212))-N(AA118)+AA245),""),"")</f>
        <v>-0.112546599801688</v>
      </c>
      <c r="AB303" s="258">
        <f>IFERROR(IF(((N(AB186)+N(AB187)+N(AB188)+N(AB191)+N(AB209)+N(AB212))-N(AB118)+N(AB245))&lt;&gt;0,((N(AB186)+N(AB187)+N(AB188)+N(AB191)+N(AB209)+N(AB212))-N(AB118))/((N(AB186)+N(AB187)+N(AB188)+N(AB191)+N(AB209)+N(AB212))-N(AB118)+AB245),""),"")</f>
        <v>-0.112546599801688</v>
      </c>
      <c r="AC303" s="258">
        <f>IFERROR(IF(((N(AC186)+N(AC187)+N(AC188)+N(AC191)+N(AC209)+N(AC212))-N(AC118)+N(AC245))&lt;&gt;0,((N(AC186)+N(AC187)+N(AC188)+N(AC191)+N(AC209)+N(AC212))-N(AC118))/((N(AC186)+N(AC187)+N(AC188)+N(AC191)+N(AC209)+N(AC212))-N(AC118)+AC245),""),"")</f>
        <v>-0.13657108246952</v>
      </c>
      <c r="AD303" s="258">
        <f>IFERROR(IF(((N(AD186)+N(AD187)+N(AD188)+N(AD191)+N(AD209)+N(AD212))-N(AD118)+N(AD245))&lt;&gt;0,((N(AD186)+N(AD187)+N(AD188)+N(AD191)+N(AD209)+N(AD212))-N(AD118))/((N(AD186)+N(AD187)+N(AD188)+N(AD191)+N(AD209)+N(AD212))-N(AD118)+AD245),""),"")</f>
        <v>-0.118635769239077</v>
      </c>
      <c r="AE303" s="258">
        <f>IFERROR(IF(((N(AE186)+N(AE187)+N(AE188)+N(AE191)+N(AE209)+N(AE212))-N(AE118)+N(AE245))&lt;&gt;0,((N(AE186)+N(AE187)+N(AE188)+N(AE191)+N(AE209)+N(AE212))-N(AE118))/((N(AE186)+N(AE187)+N(AE188)+N(AE191)+N(AE209)+N(AE212))-N(AE118)+AE245),""),"")</f>
        <v>-0.128399026536243</v>
      </c>
      <c r="AF303" s="258">
        <f>IFERROR(IF(((N(AF186)+N(AF187)+N(AF188)+N(AF191)+N(AF209)+N(AF212))-N(AF118)+N(AF245))&lt;&gt;0,((N(AF186)+N(AF187)+N(AF188)+N(AF191)+N(AF209)+N(AF212))-N(AF118))/((N(AF186)+N(AF187)+N(AF188)+N(AF191)+N(AF209)+N(AF212))-N(AF118)+AF245),""),"")</f>
        <v>-0.136688334103639</v>
      </c>
      <c r="AG303" s="258">
        <f>IFERROR(IF(((N(AG186)+N(AG187)+N(AG188)+N(AG191)+N(AG209)+N(AG212))-N(AG118)+N(AG245))&lt;&gt;0,((N(AG186)+N(AG187)+N(AG188)+N(AG191)+N(AG209)+N(AG212))-N(AG118))/((N(AG186)+N(AG187)+N(AG188)+N(AG191)+N(AG209)+N(AG212))-N(AG118)+AG245),""),"")</f>
        <v>-0.136688334103639</v>
      </c>
      <c r="AH303" s="258">
        <f>IFERROR(IF(((N(AH186)+N(AH187)+N(AH188)+N(AH191)+N(AH209)+N(AH212))-N(AH118)+N(AH245))&lt;&gt;0,((N(AH186)+N(AH187)+N(AH188)+N(AH191)+N(AH209)+N(AH212))-N(AH118))/((N(AH186)+N(AH187)+N(AH188)+N(AH191)+N(AH209)+N(AH212))-N(AH118)+AH245),""),"")</f>
        <v>-0.129083499954081</v>
      </c>
      <c r="AI303" s="258">
        <f>IFERROR(IF(((N(AI186)+N(AI187)+N(AI188)+N(AI191)+N(AI209)+N(AI212))-N(AI118)+N(AI245))&lt;&gt;0,((N(AI186)+N(AI187)+N(AI188)+N(AI191)+N(AI209)+N(AI212))-N(AI118))/((N(AI186)+N(AI187)+N(AI188)+N(AI191)+N(AI209)+N(AI212))-N(AI118)+AI245),""),"")</f>
        <v>-0.125818202257284</v>
      </c>
      <c r="AJ303" s="258">
        <f>IFERROR(IF(((N(AJ186)+N(AJ187)+N(AJ188)+N(AJ191)+N(AJ209)+N(AJ212))-N(AJ118)+N(AJ245))&lt;&gt;0,((N(AJ186)+N(AJ187)+N(AJ188)+N(AJ191)+N(AJ209)+N(AJ212))-N(AJ118))/((N(AJ186)+N(AJ187)+N(AJ188)+N(AJ191)+N(AJ209)+N(AJ212))-N(AJ118)+AJ245),""),"")</f>
        <v>-0.205048263352589</v>
      </c>
      <c r="AK303" s="258">
        <f>IFERROR(IF(((N(AK186)+N(AK187)+N(AK188)+N(AK191)+N(AK209)+N(AK212))-N(AK118)+N(AK245))&lt;&gt;0,((N(AK186)+N(AK187)+N(AK188)+N(AK191)+N(AK209)+N(AK212))-N(AK118))/((N(AK186)+N(AK187)+N(AK188)+N(AK191)+N(AK209)+N(AK212))-N(AK118)+AK245),""),"")</f>
        <v>-0.3169016493679</v>
      </c>
      <c r="AL303" s="258">
        <f>IFERROR(IF(((N(AL186)+N(AL187)+N(AL188)+N(AL191)+N(AL209)+N(AL212))-N(AL118)+N(AL245))&lt;&gt;0,((N(AL186)+N(AL187)+N(AL188)+N(AL191)+N(AL209)+N(AL212))-N(AL118))/((N(AL186)+N(AL187)+N(AL188)+N(AL191)+N(AL209)+N(AL212))-N(AL118)+AL245),""),"")</f>
        <v>-0.3169016493679</v>
      </c>
      <c r="AM303" s="258">
        <f>IFERROR(IF(((N(AM186)+N(AM187)+N(AM188)+N(AM191)+N(AM209)+N(AM212))-N(AM118)+N(AM245))&lt;&gt;0,((N(AM186)+N(AM187)+N(AM188)+N(AM191)+N(AM209)+N(AM212))-N(AM118))/((N(AM186)+N(AM187)+N(AM188)+N(AM191)+N(AM209)+N(AM212))-N(AM118)+AM245),""),"")</f>
        <v>-0.409706037670484</v>
      </c>
      <c r="AN303" s="258">
        <f>IFERROR(IF(((N(AN186)+N(AN187)+N(AN188)+N(AN191)+N(AN209)+N(AN212))-N(AN118)+N(AN245))&lt;&gt;0,((N(AN186)+N(AN187)+N(AN188)+N(AN191)+N(AN209)+N(AN212))-N(AN118))/((N(AN186)+N(AN187)+N(AN188)+N(AN191)+N(AN209)+N(AN212))-N(AN118)+AN245),""),"")</f>
        <v>-0.539106515878128</v>
      </c>
      <c r="AO303" s="258">
        <f>IFERROR(IF(((N(AO186)+N(AO187)+N(AO188)+N(AO191)+N(AO209)+N(AO212))-N(AO118)+N(AO245))&lt;&gt;0,((N(AO186)+N(AO187)+N(AO188)+N(AO191)+N(AO209)+N(AO212))-N(AO118))/((N(AO186)+N(AO187)+N(AO188)+N(AO191)+N(AO209)+N(AO212))-N(AO118)+AO245),""),"")</f>
        <v>-0.630702971465298</v>
      </c>
      <c r="AP303" s="258">
        <f>IFERROR(IF(((N(AP186)+N(AP187)+N(AP188)+N(AP191)+N(AP209)+N(AP212))-N(AP118)+N(AP245))&lt;&gt;0,((N(AP186)+N(AP187)+N(AP188)+N(AP191)+N(AP209)+N(AP212))-N(AP118))/((N(AP186)+N(AP187)+N(AP188)+N(AP191)+N(AP209)+N(AP212))-N(AP118)+AP245),""),"")</f>
        <v>-0.760015233567092</v>
      </c>
      <c r="AQ303" s="258">
        <f>IFERROR(IF(((N(AQ186)+N(AQ187)+N(AQ188)+N(AQ191)+N(AQ209)+N(AQ212))-N(AQ118)+N(AQ245))&lt;&gt;0,((N(AQ186)+N(AQ187)+N(AQ188)+N(AQ191)+N(AQ209)+N(AQ212))-N(AQ118))/((N(AQ186)+N(AQ187)+N(AQ188)+N(AQ191)+N(AQ209)+N(AQ212))-N(AQ118)+AQ245),""),"")</f>
        <v>-0.760015233567092</v>
      </c>
      <c r="AR303" s="258">
        <f>IFERROR(IF(((N(AR186)+N(AR187)+N(AR188)+N(AR191)+N(AR209)+N(AR212))-N(AR118)+N(AR245))&lt;&gt;0,((N(AR186)+N(AR187)+N(AR188)+N(AR191)+N(AR209)+N(AR212))-N(AR118))/((N(AR186)+N(AR187)+N(AR188)+N(AR191)+N(AR209)+N(AR212))-N(AR118)+AR245),""),"")</f>
        <v>-0.866841605424532</v>
      </c>
      <c r="AS303" s="258">
        <f>IFERROR(IF(((N(AS186)+N(AS187)+N(AS188)+N(AS191)+N(AS209)+N(AS212))-N(AS118)+N(AS245))&lt;&gt;0,((N(AS186)+N(AS187)+N(AS188)+N(AS191)+N(AS209)+N(AS212))-N(AS118))/((N(AS186)+N(AS187)+N(AS188)+N(AS191)+N(AS209)+N(AS212))-N(AS118)+AS245),""),"")</f>
        <v>-1.01579416872556</v>
      </c>
      <c r="AT303" s="258">
        <f>IFERROR(IF(((N(AT186)+N(AT187)+N(AT188)+N(AT191)+N(AT209)+N(AT212))-N(AT118)+N(AT245))&lt;&gt;0,((N(AT186)+N(AT187)+N(AT188)+N(AT191)+N(AT209)+N(AT212))-N(AT118))/((N(AT186)+N(AT187)+N(AT188)+N(AT191)+N(AT209)+N(AT212))-N(AT118)+AT245),""),"")</f>
        <v>-1.12123113240378</v>
      </c>
      <c r="AU303" s="258">
        <f>IFERROR(IF(((N(AU186)+N(AU187)+N(AU188)+N(AU191)+N(AU209)+N(AU212))-N(AU118)+N(AU245))&lt;&gt;0,((N(AU186)+N(AU187)+N(AU188)+N(AU191)+N(AU209)+N(AU212))-N(AU118))/((N(AU186)+N(AU187)+N(AU188)+N(AU191)+N(AU209)+N(AU212))-N(AU118)+AU245),""),"")</f>
        <v>-1.27008360486211</v>
      </c>
      <c r="AV303" s="258">
        <f>IFERROR(IF(((N(AV186)+N(AV187)+N(AV188)+N(AV191)+N(AV209)+N(AV212))-N(AV118)+N(AV245))&lt;&gt;0,((N(AV186)+N(AV187)+N(AV188)+N(AV191)+N(AV209)+N(AV212))-N(AV118))/((N(AV186)+N(AV187)+N(AV188)+N(AV191)+N(AV209)+N(AV212))-N(AV118)+AV245),""),"")</f>
        <v>-1.27008360486211</v>
      </c>
      <c r="AW303" s="258">
        <f>IFERROR(IF(((N(AW186)+N(AW187)+N(AW188)+N(AW191)+N(AW209)+N(AW212))-N(AW118)+N(AW245))&lt;&gt;0,((N(AW186)+N(AW187)+N(AW188)+N(AW191)+N(AW209)+N(AW212))-N(AW118))/((N(AW186)+N(AW187)+N(AW188)+N(AW191)+N(AW209)+N(AW212))-N(AW118)+AW245),""),"")</f>
        <v>-1.39251879259938</v>
      </c>
      <c r="AX303" s="258">
        <f>IFERROR(IF(((N(AX186)+N(AX187)+N(AX188)+N(AX191)+N(AX209)+N(AX212))-N(AX118)+N(AX245))&lt;&gt;0,((N(AX186)+N(AX187)+N(AX188)+N(AX191)+N(AX209)+N(AX212))-N(AX118))/((N(AX186)+N(AX187)+N(AX188)+N(AX191)+N(AX209)+N(AX212))-N(AX118)+AX245),""),"")</f>
        <v>-1.56323632671846</v>
      </c>
      <c r="AY303" s="258">
        <f>IFERROR(IF(((N(AY186)+N(AY187)+N(AY188)+N(AY191)+N(AY209)+N(AY212))-N(AY118)+N(AY245))&lt;&gt;0,((N(AY186)+N(AY187)+N(AY188)+N(AY191)+N(AY209)+N(AY212))-N(AY118))/((N(AY186)+N(AY187)+N(AY188)+N(AY191)+N(AY209)+N(AY212))-N(AY118)+AY245),""),"")</f>
        <v>-1.68408041254592</v>
      </c>
      <c r="AZ303" s="258">
        <f>IFERROR(IF(((N(AZ186)+N(AZ187)+N(AZ188)+N(AZ191)+N(AZ209)+N(AZ212))-N(AZ118)+N(AZ245))&lt;&gt;0,((N(AZ186)+N(AZ187)+N(AZ188)+N(AZ191)+N(AZ209)+N(AZ212))-N(AZ118))/((N(AZ186)+N(AZ187)+N(AZ188)+N(AZ191)+N(AZ209)+N(AZ212))-N(AZ118)+AZ245),""),"")</f>
        <v>-1.85468508595501</v>
      </c>
      <c r="BA303" s="258">
        <f>IFERROR(IF(((N(BA186)+N(BA187)+N(BA188)+N(BA191)+N(BA209)+N(BA212))-N(BA118)+N(BA245))&lt;&gt;0,((N(BA186)+N(BA187)+N(BA188)+N(BA191)+N(BA209)+N(BA212))-N(BA118))/((N(BA186)+N(BA187)+N(BA188)+N(BA191)+N(BA209)+N(BA212))-N(BA118)+BA245),""),"")</f>
        <v>-1.85468508595501</v>
      </c>
      <c r="BB303" s="258">
        <f>IFERROR(IF(((N(BB186)+N(BB187)+N(BB188)+N(BB191)+N(BB209)+N(BB212))-N(BB118)+N(BB245))&lt;&gt;0,((N(BB186)+N(BB187)+N(BB188)+N(BB191)+N(BB209)+N(BB212))-N(BB118))/((N(BB186)+N(BB187)+N(BB188)+N(BB191)+N(BB209)+N(BB212))-N(BB118)+BB245),""),"")</f>
        <v>-1.99440056683126</v>
      </c>
      <c r="BC303" s="258">
        <f>IFERROR(IF(((N(BC186)+N(BC187)+N(BC188)+N(BC191)+N(BC209)+N(BC212))-N(BC118)+N(BC245))&lt;&gt;0,((N(BC186)+N(BC187)+N(BC188)+N(BC191)+N(BC209)+N(BC212))-N(BC118))/((N(BC186)+N(BC187)+N(BC188)+N(BC191)+N(BC209)+N(BC212))-N(BC118)+BC245),""),"")</f>
        <v>-2.18921406115454</v>
      </c>
      <c r="BD303" s="258">
        <f>IFERROR(IF(((N(BD186)+N(BD187)+N(BD188)+N(BD191)+N(BD209)+N(BD212))-N(BD118)+N(BD245))&lt;&gt;0,((N(BD186)+N(BD187)+N(BD188)+N(BD191)+N(BD209)+N(BD212))-N(BD118))/((N(BD186)+N(BD187)+N(BD188)+N(BD191)+N(BD209)+N(BD212))-N(BD118)+BD245),""),"")</f>
        <v>-2.32711553963547</v>
      </c>
      <c r="BE303" s="258">
        <f>IFERROR(IF(((N(BE186)+N(BE187)+N(BE188)+N(BE191)+N(BE209)+N(BE212))-N(BE118)+N(BE245))&lt;&gt;0,((N(BE186)+N(BE187)+N(BE188)+N(BE191)+N(BE209)+N(BE212))-N(BE118))/((N(BE186)+N(BE187)+N(BE188)+N(BE191)+N(BE209)+N(BE212))-N(BE118)+BE245),""),"")</f>
        <v>-2.52180258716362</v>
      </c>
      <c r="BF303" s="258">
        <f>IFERROR(IF(((N(BF186)+N(BF187)+N(BF188)+N(BF191)+N(BF209)+N(BF212))-N(BF118)+N(BF245))&lt;&gt;0,((N(BF186)+N(BF187)+N(BF188)+N(BF191)+N(BF209)+N(BF212))-N(BF118))/((N(BF186)+N(BF187)+N(BF188)+N(BF191)+N(BF209)+N(BF212))-N(BF118)+BF245),""),"")</f>
        <v>-2.52180258716362</v>
      </c>
    </row>
    <row r="304" customFormat="1" s="77">
      <c r="A304" s="76" t="n"/>
      <c r="B304" s="76" t="n"/>
    </row>
    <row r="305" customFormat="1" s="77">
      <c r="A305" s="76" t="n"/>
      <c r="B305" s="76" t="n"/>
      <c r="C305" s="74" t="inlineStr">
        <is>
          <t>FINANCIAL RISK RATIOS</t>
        </is>
      </c>
    </row>
    <row r="306" customFormat="1" s="77">
      <c r="A306" s="76" t="n"/>
      <c r="B306" s="76" t="n"/>
      <c r="C306" s="77" t="inlineStr">
        <is>
          <t>EBITDA / TOTAL INTEREST (LTM)</t>
        </is>
      </c>
      <c r="D306" s="82" t="str">
        <f>IFERROR(D43/-D48,"")</f>
        <v/>
      </c>
      <c r="E306" s="82" t="str">
        <f>IFERROR(E43/-E48,"")</f>
        <v/>
      </c>
      <c r="F306" s="82" t="str">
        <f>IFERROR(F43/-F48,"")</f>
        <v/>
      </c>
      <c r="G306" s="82" t="str">
        <f>IFERROR(G43/-G48,"")</f>
        <v/>
      </c>
      <c r="H306" s="262" t="str">
        <f>IFERROR(IF(AND(COUNT(H43)=1,(H48)&lt;&gt;0),(H43)/-(H48),""),"")</f>
        <v/>
      </c>
      <c r="I306" s="262" t="str">
        <f>""</f>
        <v/>
      </c>
      <c r="J306" s="262" t="str">
        <f>""</f>
        <v/>
      </c>
      <c r="K306" s="262" t="str">
        <f>""</f>
        <v/>
      </c>
      <c r="L306" s="262">
        <f>IFERROR(IF(AND(COUNT(I43,J43,K43,L43)=4,(I48+J48+K48+L48)&lt;&gt;0),(I43+J43+K43+L43)/-(I48+J48+K48+L48),""),"")</f>
        <v>67.4525087255634</v>
      </c>
      <c r="M306" s="262">
        <f>IFERROR(IF(AND(COUNT(I43,J43,K43,L43)=4,(I48+J48+K48+L48)&lt;&gt;0),(I43+J43+K43+L43)/-(I48+J48+K48+L48),""),"")</f>
        <v>67.4525087255634</v>
      </c>
      <c r="N306" s="262">
        <f>IFERROR(IF(AND(COUNT(J43,K43,L43,N43)=4,(J48+K48+L48+N48)&lt;&gt;0),(J43+K43+L43+N43)/-(J48+K48+L48+N48),""),"")</f>
        <v>59.4331324534613</v>
      </c>
      <c r="O306" s="262">
        <f>IFERROR(IF(AND(COUNT(K43,L43,N43,O43)=4,(K48+L48+N48+O48)&lt;&gt;0),(K43+L43+N43+O43)/-(K48+L48+N48+O48),""),"")</f>
        <v>40.6297645831296</v>
      </c>
      <c r="P306" s="262">
        <f>IFERROR(IF(AND(COUNT(L43,N43,O43,P43)=4,(L48+N48+O48+P48)&lt;&gt;0),(L43+N43+O43+P43)/-(L48+N48+O48+P48),""),"")</f>
        <v>23.842861113346</v>
      </c>
      <c r="Q306" s="262">
        <f>IFERROR(IF(AND(COUNT(N43,O43,P43,Q43)=4,(N48+O48+P48+Q48)&lt;&gt;0),(N43+O43+P43+Q43)/-(N48+O48+P48+Q48),""),"")</f>
        <v>12.3854677279533</v>
      </c>
      <c r="R306" s="262">
        <f>IFERROR(IF(AND(COUNT(N43,O43,P43,Q43)=4,(N48+O48+P48+Q48)&lt;&gt;0),(N43+O43+P43+Q43)/-(N48+O48+P48+Q48),""),"")</f>
        <v>12.3854677279533</v>
      </c>
      <c r="S306" s="262">
        <f>IFERROR(IF(AND(COUNT(O43,P43,Q43,S43)=4,(O48+P48+Q48+S48)&lt;&gt;0),(O43+P43+Q43+S43)/-(O48+P48+Q48+S48),""),"")</f>
        <v>3.44927715901375</v>
      </c>
      <c r="T306" s="262">
        <f>IFERROR(IF(AND(COUNT(P43,Q43,S43,T43)=4,(P48+Q48+S48+T48)&lt;&gt;0),(P43+Q43+S43+T43)/-(P48+Q48+S48+T48),""),"")</f>
        <v>6.88237881095042</v>
      </c>
      <c r="U306" s="262">
        <f>IFERROR(IF(AND(COUNT(Q43,S43,T43,U43)=4,(Q48+S48+T48+U48)&lt;&gt;0),(Q43+S43+T43+U43)/-(Q48+S48+T48+U48),""),"")</f>
        <v>8.97632862220018</v>
      </c>
      <c r="V306" s="262">
        <f>IFERROR(IF(AND(COUNT(S43,T43,U43,V43)=4,(S48+T48+U48+V48)&lt;&gt;0),(S43+T43+U43+V43)/-(S48+T48+U48+V48),""),"")</f>
        <v>8.13599757333259</v>
      </c>
      <c r="W306" s="262">
        <f>IFERROR(IF(AND(COUNT(S43,T43,U43,V43)=4,(S48+T48+U48+V48)&lt;&gt;0),(S43+T43+U43+V43)/-(S48+T48+U48+V48),""),"")</f>
        <v>8.13599757333259</v>
      </c>
      <c r="X306" s="262">
        <f>IFERROR(IF(AND(COUNT(T43,U43,V43,X43)=4,(T48+U48+V48+X48)&lt;&gt;0),(T43+U43+V43+X43)/-(T48+U48+V48+X48),""),"")</f>
        <v>11.9788467277277</v>
      </c>
      <c r="Y306" s="262">
        <f>IFERROR(IF(AND(COUNT(U43,V43,X43,Y43)=4,(U48+V48+X48+Y48)&lt;&gt;0),(U43+V43+X43+Y43)/-(U48+V48+X48+Y48),""),"")</f>
        <v>11.5626710993924</v>
      </c>
      <c r="Z306" s="262">
        <f>IFERROR(IF(AND(COUNT(V43,X43,Y43,Z43)=4,(V48+X48+Y48+Z48)&lt;&gt;0),(V43+X43+Y43+Z43)/-(V48+X48+Y48+Z48),""),"")</f>
        <v>12.9198215560968</v>
      </c>
      <c r="AA306" s="262">
        <f>IFERROR(IF(AND(COUNT(X43,Y43,Z43,AA43)=4,(X48+Y48+Z48+AA48)&lt;&gt;0),(X43+Y43+Z43+AA43)/-(X48+Y48+Z48+AA48),""),"")</f>
        <v>15.5296785128288</v>
      </c>
      <c r="AB306" s="262">
        <f>IFERROR(IF(AND(COUNT(X43,Y43,Z43,AA43)=4,(X48+Y48+Z48+AA48)&lt;&gt;0),(X43+Y43+Z43+AA43)/-(X48+Y48+Z48+AA48),""),"")</f>
        <v>15.5296785128288</v>
      </c>
      <c r="AC306" s="262">
        <f>IFERROR(IF(AND(COUNT(Y43,Z43,AA43,AC43)=4,(Y48+Z48+AA48+AC48)&lt;&gt;0),(Y43+Z43+AA43+AC43)/-(Y48+Z48+AA48+AC48),""),"")</f>
        <v>14.1045921516755</v>
      </c>
      <c r="AD306" s="262">
        <f>IFERROR(IF(AND(COUNT(Z43,AA43,AC43,AD43)=4,(Z48+AA48+AC48+AD48)&lt;&gt;0),(Z43+AA43+AC43+AD43)/-(Z48+AA48+AC48+AD48),""),"")</f>
        <v>14.6434757469749</v>
      </c>
      <c r="AE306" s="262">
        <f>IFERROR(IF(AND(COUNT(AA43,AC43,AD43,AE43)=4,(AA48+AC48+AD48+AE48)&lt;&gt;0),(AA43+AC43+AD43+AE43)/-(AA48+AC48+AD48+AE48),""),"")</f>
        <v>13.366371024514</v>
      </c>
      <c r="AF306" s="262">
        <f>IFERROR(IF(AND(COUNT(AB43,AD43,AE43,AF43)=4,(AB48+AD48+AE48+AF48)&lt;&gt;0),(AB43+AD43+AE43+AF43)/-(AB48+AD48+AE48+AF48),""),"")</f>
        <v>15.1822273281632</v>
      </c>
      <c r="AG306" s="262">
        <f>IFERROR(IF(AND(COUNT(AC43,AD43,AE43,AF43)=4,(AC48+AD48+AE48+AF48)&lt;&gt;0),(AC43+AD43+AE43+AF43)/-(AC48+AD48+AE48+AF48),""),"")</f>
        <v>14.345554125993</v>
      </c>
      <c r="AH306" s="262">
        <f>IFERROR(IF(AND(COUNT(AD43,AF43,AG43,AH43)=4,(AD48+AF48+AG48+AH48)&lt;&gt;0),(AD43+AF43+AG43+AH43)/-(AD48+AF48+AG48+AH48),""),"")</f>
        <v>14.3961802661012</v>
      </c>
      <c r="AI306" s="262">
        <f>IFERROR(IF(AND(COUNT(AE43,AG43,AH43,AI43)=4,(AE48+AG48+AH48+AI48)&lt;&gt;0),(AE43+AG43+AH43+AI43)/-(AE48+AG48+AH48+AI48),""),"")</f>
        <v>14.2787990984839</v>
      </c>
      <c r="AJ306" s="262" t="str">
        <f>IFERROR(IF(AND(COUNT(AF43,AH43,AI43,AJ43)=4,(AF48+AH48+AI48+AJ48)&lt;&gt;0),(AF43+AH43+AI43+AJ43)/-(AF48+AH48+AI48+AJ48),""),"")</f>
        <v/>
      </c>
      <c r="AK306" s="262" t="str">
        <f>IFERROR(IF(AND(COUNT(AH43,AI43,AJ43,AK43)=4,(AH48+AI48+AJ48+AK48)&lt;&gt;0),(AH43+AI43+AJ43+AK43)/-(AH48+AI48+AJ48+AK48),""),"")</f>
        <v/>
      </c>
      <c r="AL306" s="262" t="str">
        <f>IFERROR(IF(AND(COUNT(AH43,AI43,AJ43,AK43)=4,(AH48+AI48+AJ48+AK48)&lt;&gt;0),(AH43+AI43+AJ43+AK43)/-(AH48+AI48+AJ48+AK48),""),"")</f>
        <v/>
      </c>
      <c r="AM306" s="262" t="str">
        <f>IFERROR(IF(AND(COUNT(AI43,AJ43,AK43,AM43)=4,(AI48+AJ48+AK48+AM48)&lt;&gt;0),(AI43+AJ43+AK43+AM43)/-(AI48+AJ48+AK48+AM48),""),"")</f>
        <v/>
      </c>
      <c r="AN306" s="262" t="str">
        <f>IFERROR(IF(AND(COUNT(AJ43,AK43,AM43,AN43)=4,(AJ48+AK48+AM48+AN48)&lt;&gt;0),(AJ43+AK43+AM43+AN43)/-(AJ48+AK48+AM48+AN48),""),"")</f>
        <v/>
      </c>
      <c r="AO306" s="262" t="str">
        <f>IFERROR(IF(AND(COUNT(AK43,AM43,AN43,AO43)=4,(AK48+AM48+AN48+AO48)&lt;&gt;0),(AK43+AM43+AN43+AO43)/-(AK48+AM48+AN48+AO48),""),"")</f>
        <v/>
      </c>
      <c r="AP306" s="262" t="str">
        <f>IFERROR(IF(AND(COUNT(AM43,AN43,AO43,AP43)=4,(AM48+AN48+AO48+AP48)&lt;&gt;0),(AM43+AN43+AO43+AP43)/-(AM48+AN48+AO48+AP48),""),"")</f>
        <v/>
      </c>
      <c r="AQ306" s="262" t="str">
        <f>IFERROR(IF(AND(COUNT(AM43,AN43,AO43,AP43)=4,(AM48+AN48+AO48+AP48)&lt;&gt;0),(AM43+AN43+AO43+AP43)/-(AM48+AN48+AO48+AP48),""),"")</f>
        <v/>
      </c>
      <c r="AR306" s="262" t="str">
        <f>IFERROR(IF(AND(COUNT(AN43,AO43,AP43,AR43)=4,(AN48+AO48+AP48+AR48)&lt;&gt;0),(AN43+AO43+AP43+AR43)/-(AN48+AO48+AP48+AR48),""),"")</f>
        <v/>
      </c>
      <c r="AS306" s="262" t="str">
        <f>IFERROR(IF(AND(COUNT(AO43,AP43,AR43,AS43)=4,(AO48+AP48+AR48+AS48)&lt;&gt;0),(AO43+AP43+AR43+AS43)/-(AO48+AP48+AR48+AS48),""),"")</f>
        <v/>
      </c>
      <c r="AT306" s="262" t="str">
        <f>IFERROR(IF(AND(COUNT(AP43,AR43,AS43,AT43)=4,(AP48+AR48+AS48+AT48)&lt;&gt;0),(AP43+AR43+AS43+AT43)/-(AP48+AR48+AS48+AT48),""),"")</f>
        <v/>
      </c>
      <c r="AU306" s="262" t="str">
        <f>IFERROR(IF(AND(COUNT(AR43,AS43,AT43,AU43)=4,(AR48+AS48+AT48+AU48)&lt;&gt;0),(AR43+AS43+AT43+AU43)/-(AR48+AS48+AT48+AU48),""),"")</f>
        <v/>
      </c>
      <c r="AV306" s="262" t="str">
        <f>IFERROR(IF(AND(COUNT(AR43,AS43,AT43,AU43)=4,(AR48+AS48+AT48+AU48)&lt;&gt;0),(AR43+AS43+AT43+AU43)/-(AR48+AS48+AT48+AU48),""),"")</f>
        <v/>
      </c>
      <c r="AW306" s="262" t="str">
        <f>IFERROR(IF(AND(COUNT(AS43,AT43,AU43,AW43)=4,(AS48+AT48+AU48+AW48)&lt;&gt;0),(AS43+AT43+AU43+AW43)/-(AS48+AT48+AU48+AW48),""),"")</f>
        <v/>
      </c>
      <c r="AX306" s="262" t="str">
        <f>IFERROR(IF(AND(COUNT(AT43,AU43,AW43,AX43)=4,(AT48+AU48+AW48+AX48)&lt;&gt;0),(AT43+AU43+AW43+AX43)/-(AT48+AU48+AW48+AX48),""),"")</f>
        <v/>
      </c>
      <c r="AY306" s="262" t="str">
        <f>IFERROR(IF(AND(COUNT(AU43,AW43,AX43,AY43)=4,(AU48+AW48+AX48+AY48)&lt;&gt;0),(AU43+AW43+AX43+AY43)/-(AU48+AW48+AX48+AY48),""),"")</f>
        <v/>
      </c>
      <c r="AZ306" s="262" t="str">
        <f>IFERROR(IF(AND(COUNT(AW43,AX43,AY43,AZ43)=4,(AW48+AX48+AY48+AZ48)&lt;&gt;0),(AW43+AX43+AY43+AZ43)/-(AW48+AX48+AY48+AZ48),""),"")</f>
        <v/>
      </c>
      <c r="BA306" s="262" t="str">
        <f>IFERROR(IF(AND(COUNT(AW43,AX43,AY43,AZ43)=4,(AW48+AX48+AY48+AZ48)&lt;&gt;0),(AW43+AX43+AY43+AZ43)/-(AW48+AX48+AY48+AZ48),""),"")</f>
        <v/>
      </c>
      <c r="BB306" s="262" t="str">
        <f>IFERROR(IF(AND(COUNT(AX43,AY43,AZ43,BB43)=4,(AX48+AY48+AZ48+BB48)&lt;&gt;0),(AX43+AY43+AZ43+BB43)/-(AX48+AY48+AZ48+BB48),""),"")</f>
        <v/>
      </c>
      <c r="BC306" s="262" t="str">
        <f>IFERROR(IF(AND(COUNT(AY43,AZ43,BB43,BC43)=4,(AY48+AZ48+BB48+BC48)&lt;&gt;0),(AY43+AZ43+BB43+BC43)/-(AY48+AZ48+BB48+BC48),""),"")</f>
        <v/>
      </c>
      <c r="BD306" s="262" t="str">
        <f>IFERROR(IF(AND(COUNT(AZ43,BB43,BC43,BD43)=4,(AZ48+BB48+BC48+BD48)&lt;&gt;0),(AZ43+BB43+BC43+BD43)/-(AZ48+BB48+BC48+BD48),""),"")</f>
        <v/>
      </c>
      <c r="BE306" s="262" t="str">
        <f>IFERROR(IF(AND(COUNT(BB43,BC43,BD43,BE43)=4,(BB48+BC48+BD48+BE48)&lt;&gt;0),(BB43+BC43+BD43+BE43)/-(BB48+BC48+BD48+BE48),""),"")</f>
        <v/>
      </c>
      <c r="BF306" s="262" t="str">
        <f>IFERROR(IF(AND(COUNT(BB43,BC43,BD43,BE43)=4,(BB48+BC48+BD48+BE48)&lt;&gt;0),(BB43+BC43+BD43+BE43)/-(BB48+BC48+BD48+BE48),""),"")</f>
        <v/>
      </c>
      <c r="BG306" s="82" t="n"/>
      <c r="BH306" s="82" t="n"/>
      <c r="BI306" s="82" t="n"/>
      <c r="BJ306" s="82" t="n"/>
      <c r="BL306" s="82" t="n"/>
      <c r="BM306" s="82" t="n"/>
      <c r="BN306" s="82" t="n"/>
      <c r="BO306" s="82" t="n"/>
      <c r="BQ306" s="82" t="n"/>
      <c r="BR306" s="82" t="n"/>
      <c r="BS306" s="82" t="n"/>
      <c r="BT306" s="82" t="n"/>
      <c r="BV306" s="82" t="n"/>
      <c r="BW306" s="82" t="n"/>
      <c r="BX306" s="82" t="n"/>
      <c r="BY306" s="82" t="n"/>
      <c r="CA306" s="82" t="n"/>
      <c r="CB306" s="82" t="n"/>
      <c r="CC306" s="82" t="n"/>
      <c r="CD306" s="82" t="n"/>
      <c r="CF306" s="82" t="n"/>
      <c r="CG306" s="82" t="n"/>
      <c r="CH306" s="82" t="n"/>
      <c r="CI306" s="82" t="n"/>
      <c r="CK306" s="82" t="n"/>
      <c r="CL306" s="82" t="n"/>
      <c r="CM306" s="82" t="n"/>
      <c r="CN306" s="82" t="n"/>
      <c r="CP306" s="82" t="n"/>
      <c r="CQ306" s="82" t="n"/>
      <c r="CR306" s="82" t="n"/>
      <c r="CS306" s="82" t="n"/>
      <c r="CU306" s="82" t="n"/>
      <c r="CV306" s="82" t="n"/>
      <c r="CW306" s="82" t="n"/>
      <c r="CX306" s="82" t="n"/>
    </row>
    <row r="307" customFormat="1" s="77">
      <c r="A307" s="76" t="n"/>
      <c r="B307" s="76" t="n"/>
      <c r="C307" s="77" t="inlineStr">
        <is>
          <t>(EBITDA - CAPEX) / TOTAL INTEREST (LTM)</t>
        </is>
      </c>
      <c r="D307" s="82" t="str">
        <f>IFERROR((D43-D142)/-D48,"")</f>
        <v/>
      </c>
      <c r="E307" s="82" t="str">
        <f>IFERROR((E43-E142)/-E48,"")</f>
        <v/>
      </c>
      <c r="F307" s="82" t="str">
        <f>IFERROR((F43-F142)/-F48,"")</f>
        <v/>
      </c>
      <c r="G307" s="82" t="str">
        <f>IFERROR((G43-G142)/-G48,"")</f>
        <v/>
      </c>
      <c r="H307" s="262" t="str">
        <f>IFERROR(IF(AND(COUNT(H43)=1,(H48)&lt;&gt;0),((H43)-(H142))/-(H48),""),"")</f>
        <v/>
      </c>
      <c r="I307" s="262" t="str">
        <f>""</f>
        <v/>
      </c>
      <c r="J307" s="262" t="str">
        <f>""</f>
        <v/>
      </c>
      <c r="K307" s="262" t="str">
        <f>""</f>
        <v/>
      </c>
      <c r="L307" s="262">
        <f>IFERROR(IF(AND(COUNT(I43,J43,K43,L43)=4,(I48+J48+K48+L48)&lt;&gt;0),((I43+J43+K43+L43)-(I142+J142+K142+L142))/-(I48+J48+K48+L48),""),"")</f>
        <v>67.1695735065669</v>
      </c>
      <c r="M307" s="262">
        <f>IFERROR(IF(AND(COUNT(I43,J43,K43,L43)=4,(I48+J48+K48+L48)&lt;&gt;0),((I43+J43+K43+L43)-(I142+J142+K142+L142))/-(I48+J48+K48+L48),""),"")</f>
        <v>67.1695735065669</v>
      </c>
      <c r="N307" s="262">
        <f>IFERROR(IF(AND(COUNT(J43,K43,L43,N43)=4,(J48+K48+L48+N48)&lt;&gt;0),((J43+K43+L43+N43)-(J142+K142+L142+N142))/-(J48+K48+L48+N48),""),"")</f>
        <v>59.0932046247819</v>
      </c>
      <c r="O307" s="262">
        <f>IFERROR(IF(AND(COUNT(K43,L43,N43,O43)=4,(K48+L48+N48+O48)&lt;&gt;0),((K43+L43+N43+O43)-(K142+L142+N142+O142))/-(K48+L48+N48+O48),""),"")</f>
        <v>40.3249168541524</v>
      </c>
      <c r="P307" s="262">
        <f>IFERROR(IF(AND(COUNT(L43,N43,O43,P43)=4,(L48+N48+O48+P48)&lt;&gt;0),((L43+N43+O43+P43)-(L142+N142+O142+P142))/-(L48+N48+O48+P48),""),"")</f>
        <v>23.5832303270116</v>
      </c>
      <c r="Q307" s="262">
        <f>IFERROR(IF(AND(COUNT(N43,O43,P43,Q43)=4,(N48+O48+P48+Q48)&lt;&gt;0),((N43+O43+P43+Q43)-(N142+O142+P142+Q142))/-(N48+O48+P48+Q48),""),"")</f>
        <v>12.1739238710694</v>
      </c>
      <c r="R307" s="262">
        <f>IFERROR(IF(AND(COUNT(N43,O43,P43,Q43)=4,(N48+O48+P48+Q48)&lt;&gt;0),((N43+O43+P43+Q43)-(N142+O142+P142+Q142))/-(N48+O48+P48+Q48),""),"")</f>
        <v>12.1739238710694</v>
      </c>
      <c r="S307" s="262">
        <f>IFERROR(IF(AND(COUNT(O43,P43,Q43,S43)=4,(O48+P48+Q48+S48)&lt;&gt;0),((O43+P43+Q43+S43)-(O142+P142+Q142+S142))/-(O48+P48+Q48+S48),""),"")</f>
        <v>3.27626585220853</v>
      </c>
      <c r="T307" s="262">
        <f>IFERROR(IF(AND(COUNT(P43,Q43,S43,T43)=4,(P48+Q48+S48+T48)&lt;&gt;0),((P43+Q43+S43+T43)-(P142+Q142+S142+T142))/-(P48+Q48+S48+T48),""),"")</f>
        <v>6.75068446487176</v>
      </c>
      <c r="U307" s="262">
        <f>IFERROR(IF(AND(COUNT(Q43,S43,T43,U43)=4,(Q48+S48+T48+U48)&lt;&gt;0),((Q43+S43+T43+U43)-(Q142+S142+T142+U142))/-(Q48+S48+T48+U48),""),"")</f>
        <v>8.86792533031065</v>
      </c>
      <c r="V307" s="262">
        <f>IFERROR(IF(AND(COUNT(S43,T43,U43,V43)=4,(S48+T48+U48+V48)&lt;&gt;0),((S43+T43+U43+V43)-(S142+T142+U142+V142))/-(S48+T48+U48+V48),""),"")</f>
        <v>8.04314975872257</v>
      </c>
      <c r="W307" s="262">
        <f>IFERROR(IF(AND(COUNT(S43,T43,U43,V43)=4,(S48+T48+U48+V48)&lt;&gt;0),((S43+T43+U43+V43)-(S142+T142+U142+V142))/-(S48+T48+U48+V48),""),"")</f>
        <v>8.04314975872257</v>
      </c>
      <c r="X307" s="262">
        <f>IFERROR(IF(AND(COUNT(T43,U43,V43,X43)=4,(T48+U48+V48+X48)&lt;&gt;0),((T43+U43+V43+X43)-(T142+U142+V142+X142))/-(T48+U48+V48+X48),""),"")</f>
        <v>11.8960172623557</v>
      </c>
      <c r="Y307" s="262">
        <f>IFERROR(IF(AND(COUNT(U43,V43,X43,Y43)=4,(U48+V48+X48+Y48)&lt;&gt;0),((U43+V43+X43+Y43)-(U142+V142+X142+Y142))/-(U48+V48+X48+Y48),""),"")</f>
        <v>11.4801696663992</v>
      </c>
      <c r="Z307" s="262">
        <f>IFERROR(IF(AND(COUNT(V43,X43,Y43,Z43)=4,(V48+X48+Y48+Z48)&lt;&gt;0),((V43+X43+Y43+Z43)-(V142+X142+Y142+Z142))/-(V48+X48+Y48+Z48),""),"")</f>
        <v>12.8374594861841</v>
      </c>
      <c r="AA307" s="262">
        <f>IFERROR(IF(AND(COUNT(X43,Y43,Z43,AA43)=4,(X48+Y48+Z48+AA48)&lt;&gt;0),((X43+Y43+Z43+AA43)-(X142+Y142+Z142+AA142))/-(X48+Y48+Z48+AA48),""),"")</f>
        <v>15.4485359081156</v>
      </c>
      <c r="AB307" s="262">
        <f>IFERROR(IF(AND(COUNT(X43,Y43,Z43,AA43)=4,(X48+Y48+Z48+AA48)&lt;&gt;0),((X43+Y43+Z43+AA43)-(X142+Y142+Z142+AA142))/-(X48+Y48+Z48+AA48),""),"")</f>
        <v>15.4485359081156</v>
      </c>
      <c r="AC307" s="262">
        <f>IFERROR(IF(AND(COUNT(Y43,Z43,AA43,AC43)=4,(Y48+Z48+AA48+AC48)&lt;&gt;0),((Y43+Z43+AA43+AC43)-(Y142+Z142+AA142+AC142))/-(Y48+Z48+AA48+AC48),""),"")</f>
        <v>14.0252358906526</v>
      </c>
      <c r="AD307" s="262">
        <f>IFERROR(IF(AND(COUNT(Z43,AA43,AC43,AD43)=4,(Z48+AA48+AC48+AD48)&lt;&gt;0),((Z43+AA43+AC43+AD43)-(Z142+AA142+AC142+AD142))/-(Z48+AA48+AC48+AD48),""),"")</f>
        <v>14.5686097927231</v>
      </c>
      <c r="AE307" s="262">
        <f>IFERROR(IF(AND(COUNT(AA43,AC43,AD43,AE43)=4,(AA48+AC48+AD48+AE48)&lt;&gt;0),((AA43+AC43+AD43+AE43)-(AA142+AC142+AD142+AE142))/-(AA48+AC48+AD48+AE48),""),"")</f>
        <v>13.2937628717295</v>
      </c>
      <c r="AF307" s="262">
        <f>IFERROR(IF(AND(COUNT(AB43,AD43,AE43,AF43)=4,(AB48+AD48+AE48+AF48)&lt;&gt;0),((AB43+AD43+AE43+AF43)-(AB142+AD142+AE142+AF142))/-(AB48+AD48+AE48+AF48),""),"")</f>
        <v>15.1497301193087</v>
      </c>
      <c r="AG307" s="262">
        <f>IFERROR(IF(AND(COUNT(AC43,AD43,AE43,AF43)=4,(AC48+AD48+AE48+AF48)&lt;&gt;0),((AC43+AD43+AE43+AF43)-(AC142+AD142+AE142+AF142))/-(AC48+AD48+AE48+AF48),""),"")</f>
        <v>14.2745861809826</v>
      </c>
      <c r="AH307" s="262">
        <f>IFERROR(IF(AND(COUNT(AD43,AF43,AG43,AH43)=4,(AD48+AF48+AG48+AH48)&lt;&gt;0),((AD43+AF43+AG43+AH43)-(AD142+AF142+AG142+AH142))/-(AD48+AF48+AG48+AH48),""),"")</f>
        <v>14.3266657721841</v>
      </c>
      <c r="AI307" s="262">
        <f>IFERROR(IF(AND(COUNT(AE43,AG43,AH43,AI43)=4,(AE48+AG48+AH48+AI48)&lt;&gt;0),((AE43+AG43+AH43+AI43)-(AE142+AG142+AH142+AI142))/-(AE48+AG48+AH48+AI48),""),"")</f>
        <v>14.2099537678443</v>
      </c>
      <c r="AJ307" s="262" t="str">
        <f>IFERROR(IF(AND(COUNT(AF43,AH43,AI43,AJ43)=4,(AF48+AH48+AI48+AJ48)&lt;&gt;0),((AF43+AH43+AI43+AJ43)-(AF142+AH142+AI142+AJ142))/-(AF48+AH48+AI48+AJ48),""),"")</f>
        <v/>
      </c>
      <c r="AK307" s="262" t="str">
        <f>IFERROR(IF(AND(COUNT(AH43,AI43,AJ43,AK43)=4,(AH48+AI48+AJ48+AK48)&lt;&gt;0),((AH43+AI43+AJ43+AK43)-(AH142+AI142+AJ142+AK142))/-(AH48+AI48+AJ48+AK48),""),"")</f>
        <v/>
      </c>
      <c r="AL307" s="262" t="str">
        <f>IFERROR(IF(AND(COUNT(AH43,AI43,AJ43,AK43)=4,(AH48+AI48+AJ48+AK48)&lt;&gt;0),((AH43+AI43+AJ43+AK43)-(AH142+AI142+AJ142+AK142))/-(AH48+AI48+AJ48+AK48),""),"")</f>
        <v/>
      </c>
      <c r="AM307" s="262" t="str">
        <f>IFERROR(IF(AND(COUNT(AI43,AJ43,AK43,AM43)=4,(AI48+AJ48+AK48+AM48)&lt;&gt;0),((AI43+AJ43+AK43+AM43)-(AI142+AJ142+AK142+AM142))/-(AI48+AJ48+AK48+AM48),""),"")</f>
        <v/>
      </c>
      <c r="AN307" s="262" t="str">
        <f>IFERROR(IF(AND(COUNT(AJ43,AK43,AM43,AN43)=4,(AJ48+AK48+AM48+AN48)&lt;&gt;0),((AJ43+AK43+AM43+AN43)-(AJ142+AK142+AM142+AN142))/-(AJ48+AK48+AM48+AN48),""),"")</f>
        <v/>
      </c>
      <c r="AO307" s="262" t="str">
        <f>IFERROR(IF(AND(COUNT(AK43,AM43,AN43,AO43)=4,(AK48+AM48+AN48+AO48)&lt;&gt;0),((AK43+AM43+AN43+AO43)-(AK142+AM142+AN142+AO142))/-(AK48+AM48+AN48+AO48),""),"")</f>
        <v/>
      </c>
      <c r="AP307" s="262" t="str">
        <f>IFERROR(IF(AND(COUNT(AM43,AN43,AO43,AP43)=4,(AM48+AN48+AO48+AP48)&lt;&gt;0),((AM43+AN43+AO43+AP43)-(AM142+AN142+AO142+AP142))/-(AM48+AN48+AO48+AP48),""),"")</f>
        <v/>
      </c>
      <c r="AQ307" s="262" t="str">
        <f>IFERROR(IF(AND(COUNT(AM43,AN43,AO43,AP43)=4,(AM48+AN48+AO48+AP48)&lt;&gt;0),((AM43+AN43+AO43+AP43)-(AM142+AN142+AO142+AP142))/-(AM48+AN48+AO48+AP48),""),"")</f>
        <v/>
      </c>
      <c r="AR307" s="262" t="str">
        <f>IFERROR(IF(AND(COUNT(AN43,AO43,AP43,AR43)=4,(AN48+AO48+AP48+AR48)&lt;&gt;0),((AN43+AO43+AP43+AR43)-(AN142+AO142+AP142+AR142))/-(AN48+AO48+AP48+AR48),""),"")</f>
        <v/>
      </c>
      <c r="AS307" s="262" t="str">
        <f>IFERROR(IF(AND(COUNT(AO43,AP43,AR43,AS43)=4,(AO48+AP48+AR48+AS48)&lt;&gt;0),((AO43+AP43+AR43+AS43)-(AO142+AP142+AR142+AS142))/-(AO48+AP48+AR48+AS48),""),"")</f>
        <v/>
      </c>
      <c r="AT307" s="262" t="str">
        <f>IFERROR(IF(AND(COUNT(AP43,AR43,AS43,AT43)=4,(AP48+AR48+AS48+AT48)&lt;&gt;0),((AP43+AR43+AS43+AT43)-(AP142+AR142+AS142+AT142))/-(AP48+AR48+AS48+AT48),""),"")</f>
        <v/>
      </c>
      <c r="AU307" s="262" t="str">
        <f>IFERROR(IF(AND(COUNT(AR43,AS43,AT43,AU43)=4,(AR48+AS48+AT48+AU48)&lt;&gt;0),((AR43+AS43+AT43+AU43)-(AR142+AS142+AT142+AU142))/-(AR48+AS48+AT48+AU48),""),"")</f>
        <v/>
      </c>
      <c r="AV307" s="262" t="str">
        <f>IFERROR(IF(AND(COUNT(AR43,AS43,AT43,AU43)=4,(AR48+AS48+AT48+AU48)&lt;&gt;0),((AR43+AS43+AT43+AU43)-(AR142+AS142+AT142+AU142))/-(AR48+AS48+AT48+AU48),""),"")</f>
        <v/>
      </c>
      <c r="AW307" s="262" t="str">
        <f>IFERROR(IF(AND(COUNT(AS43,AT43,AU43,AW43)=4,(AS48+AT48+AU48+AW48)&lt;&gt;0),((AS43+AT43+AU43+AW43)-(AS142+AT142+AU142+AW142))/-(AS48+AT48+AU48+AW48),""),"")</f>
        <v/>
      </c>
      <c r="AX307" s="262" t="str">
        <f>IFERROR(IF(AND(COUNT(AT43,AU43,AW43,AX43)=4,(AT48+AU48+AW48+AX48)&lt;&gt;0),((AT43+AU43+AW43+AX43)-(AT142+AU142+AW142+AX142))/-(AT48+AU48+AW48+AX48),""),"")</f>
        <v/>
      </c>
      <c r="AY307" s="262" t="str">
        <f>IFERROR(IF(AND(COUNT(AU43,AW43,AX43,AY43)=4,(AU48+AW48+AX48+AY48)&lt;&gt;0),((AU43+AW43+AX43+AY43)-(AU142+AW142+AX142+AY142))/-(AU48+AW48+AX48+AY48),""),"")</f>
        <v/>
      </c>
      <c r="AZ307" s="262" t="str">
        <f>IFERROR(IF(AND(COUNT(AW43,AX43,AY43,AZ43)=4,(AW48+AX48+AY48+AZ48)&lt;&gt;0),((AW43+AX43+AY43+AZ43)-(AW142+AX142+AY142+AZ142))/-(AW48+AX48+AY48+AZ48),""),"")</f>
        <v/>
      </c>
      <c r="BA307" s="262" t="str">
        <f>IFERROR(IF(AND(COUNT(AW43,AX43,AY43,AZ43)=4,(AW48+AX48+AY48+AZ48)&lt;&gt;0),((AW43+AX43+AY43+AZ43)-(AW142+AX142+AY142+AZ142))/-(AW48+AX48+AY48+AZ48),""),"")</f>
        <v/>
      </c>
      <c r="BB307" s="262" t="str">
        <f>IFERROR(IF(AND(COUNT(AX43,AY43,AZ43,BB43)=4,(AX48+AY48+AZ48+BB48)&lt;&gt;0),((AX43+AY43+AZ43+BB43)-(AX142+AY142+AZ142+BB142))/-(AX48+AY48+AZ48+BB48),""),"")</f>
        <v/>
      </c>
      <c r="BC307" s="262" t="str">
        <f>IFERROR(IF(AND(COUNT(AY43,AZ43,BB43,BC43)=4,(AY48+AZ48+BB48+BC48)&lt;&gt;0),((AY43+AZ43+BB43+BC43)-(AY142+AZ142+BB142+BC142))/-(AY48+AZ48+BB48+BC48),""),"")</f>
        <v/>
      </c>
      <c r="BD307" s="262" t="str">
        <f>IFERROR(IF(AND(COUNT(AZ43,BB43,BC43,BD43)=4,(AZ48+BB48+BC48+BD48)&lt;&gt;0),((AZ43+BB43+BC43+BD43)-(AZ142+BB142+BC142+BD142))/-(AZ48+BB48+BC48+BD48),""),"")</f>
        <v/>
      </c>
      <c r="BE307" s="262" t="str">
        <f>IFERROR(IF(AND(COUNT(BB43,BC43,BD43,BE43)=4,(BB48+BC48+BD48+BE48)&lt;&gt;0),((BB43+BC43+BD43+BE43)-(BB142+BC142+BD142+BE142))/-(BB48+BC48+BD48+BE48),""),"")</f>
        <v/>
      </c>
      <c r="BF307" s="262" t="str">
        <f>IFERROR(IF(AND(COUNT(BB43,BC43,BD43,BE43)=4,(BB48+BC48+BD48+BE48)&lt;&gt;0),((BB43+BC43+BD43+BE43)-(BB142+BC142+BD142+BE142))/-(BB48+BC48+BD48+BE48),""),"")</f>
        <v/>
      </c>
      <c r="BG307" s="82" t="n"/>
      <c r="BH307" s="82" t="n"/>
      <c r="BI307" s="82" t="n"/>
      <c r="BJ307" s="82" t="n"/>
      <c r="BL307" s="82" t="n"/>
      <c r="BM307" s="82" t="n"/>
      <c r="BN307" s="82" t="n"/>
      <c r="BO307" s="82" t="n"/>
      <c r="BQ307" s="82" t="n"/>
      <c r="BR307" s="82" t="n"/>
      <c r="BS307" s="82" t="n"/>
      <c r="BT307" s="82" t="n"/>
      <c r="BV307" s="82" t="n"/>
      <c r="BW307" s="82" t="n"/>
      <c r="BX307" s="82" t="n"/>
      <c r="BY307" s="82" t="n"/>
      <c r="CA307" s="82" t="n"/>
      <c r="CB307" s="82" t="n"/>
      <c r="CC307" s="82" t="n"/>
      <c r="CD307" s="82" t="n"/>
      <c r="CF307" s="82" t="n"/>
      <c r="CG307" s="82" t="n"/>
      <c r="CH307" s="82" t="n"/>
      <c r="CI307" s="82" t="n"/>
      <c r="CK307" s="82" t="n"/>
      <c r="CL307" s="82" t="n"/>
      <c r="CM307" s="82" t="n"/>
      <c r="CN307" s="82" t="n"/>
      <c r="CP307" s="82" t="n"/>
      <c r="CQ307" s="82" t="n"/>
      <c r="CR307" s="82" t="n"/>
      <c r="CS307" s="82" t="n"/>
      <c r="CU307" s="82" t="n"/>
      <c r="CV307" s="82" t="n"/>
      <c r="CW307" s="82" t="n"/>
      <c r="CX307" s="82" t="n"/>
    </row>
    <row r="308" customFormat="1" s="77">
      <c r="A308" s="76" t="n"/>
      <c r="B308" s="76" t="n"/>
      <c r="C308" s="77" t="inlineStr">
        <is>
          <t>TOTAL DEBT / EBITDA (LTM)</t>
        </is>
      </c>
      <c r="D308" s="82" t="str">
        <f>IFERROR(SUM(D186,D187,D188,D191,D209,D212)/D43,"")</f>
        <v/>
      </c>
      <c r="E308" s="82" t="str">
        <f>IFERROR(SUM(E186,E187,E188,E191,E209,E212)/E43,"")</f>
        <v/>
      </c>
      <c r="F308" s="82" t="str">
        <f>IFERROR(SUM(F186,F187,F188,F191,F209,F212)/F43,"")</f>
        <v/>
      </c>
      <c r="G308" s="82" t="str">
        <f>IFERROR(SUM(G186,G187,G188,G191,G209,G212)/G43,"")</f>
        <v/>
      </c>
      <c r="H308" s="262" t="str">
        <f>IFERROR(IF(AND(COUNT(H43)=1,(H43)&lt;&gt;0),(N(H186)+N(H187)+N(H188)+N(H191)+N(H209)+N(H212))/(H43),""),"")</f>
        <v/>
      </c>
      <c r="I308" s="262" t="str">
        <f>""</f>
        <v/>
      </c>
      <c r="J308" s="262" t="str">
        <f>""</f>
        <v/>
      </c>
      <c r="K308" s="262" t="str">
        <f>""</f>
        <v/>
      </c>
      <c r="L308" s="262">
        <f>IFERROR(IF(AND(COUNT(I43,J43,K43,L43)=4,(I43+J43+K43+L43)&lt;&gt;0),(N(L186)+N(L187)+N(L188)+N(L191)+N(L209)+N(L212))/(I43+J43+K43+L43),""),"")</f>
        <v>0</v>
      </c>
      <c r="M308" s="262">
        <f>IFERROR(IF(AND(COUNT(I43,J43,K43,L43)=4,(I43+J43+K43+L43)&lt;&gt;0),(N(M186)+N(M187)+N(M188)+N(M191)+N(M209)+N(M212))/(I43+J43+K43+L43),""),"")</f>
        <v>0</v>
      </c>
      <c r="N308" s="262">
        <f>IFERROR(IF(AND(COUNT(J43,K43,L43,N43)=4,(J43+K43+L43+N43)&lt;&gt;0),(N(N186)+N(N187)+N(N188)+N(N191)+N(N209)+N(N212))/(J43+K43+L43+N43),""),"")</f>
        <v>0</v>
      </c>
      <c r="O308" s="262">
        <f>IFERROR(IF(AND(COUNT(K43,L43,N43,O43)=4,(K43+L43+N43+O43)&lt;&gt;0),(N(O186)+N(O187)+N(O188)+N(O191)+N(O209)+N(O212))/(K43+L43+N43+O43),""),"")</f>
        <v>0</v>
      </c>
      <c r="P308" s="262">
        <f>IFERROR(IF(AND(COUNT(L43,N43,O43,P43)=4,(L43+N43+O43+P43)&lt;&gt;0),(N(P186)+N(P187)+N(P188)+N(P191)+N(P209)+N(P212))/(L43+N43+O43+P43),""),"")</f>
        <v>0</v>
      </c>
      <c r="Q308" s="262">
        <f>IFERROR(IF(AND(COUNT(N43,O43,P43,Q43)=4,(N43+O43+P43+Q43)&lt;&gt;0),(N(Q186)+N(Q187)+N(Q188)+N(Q191)+N(Q209)+N(Q212))/(N43+O43+P43+Q43),""),"")</f>
        <v>0</v>
      </c>
      <c r="R308" s="262">
        <f>IFERROR(IF(AND(COUNT(N43,O43,P43,Q43)=4,(N43+O43+P43+Q43)&lt;&gt;0),(N(R186)+N(R187)+N(R188)+N(R191)+N(R209)+N(R212))/(N43+O43+P43+Q43),""),"")</f>
        <v>0</v>
      </c>
      <c r="S308" s="262">
        <f>IFERROR(IF(AND(COUNT(O43,P43,Q43,S43)=4,(O43+P43+Q43+S43)&lt;&gt;0),(N(S186)+N(S187)+N(S188)+N(S191)+N(S209)+N(S212))/(O43+P43+Q43+S43),""),"")</f>
        <v>0</v>
      </c>
      <c r="T308" s="262">
        <f>IFERROR(IF(AND(COUNT(P43,Q43,S43,T43)=4,(P43+Q43+S43+T43)&lt;&gt;0),(N(T186)+N(T187)+N(T188)+N(T191)+N(T209)+N(T212))/(P43+Q43+S43+T43),""),"")</f>
        <v>0</v>
      </c>
      <c r="U308" s="262">
        <f>IFERROR(IF(AND(COUNT(Q43,S43,T43,U43)=4,(Q43+S43+T43+U43)&lt;&gt;0),(N(U186)+N(U187)+N(U188)+N(U191)+N(U209)+N(U212))/(Q43+S43+T43+U43),""),"")</f>
        <v>0</v>
      </c>
      <c r="V308" s="262">
        <f>IFERROR(IF(AND(COUNT(S43,T43,U43,V43)=4,(S43+T43+U43+V43)&lt;&gt;0),(N(V186)+N(V187)+N(V188)+N(V191)+N(V209)+N(V212))/(S43+T43+U43+V43),""),"")</f>
        <v>0</v>
      </c>
      <c r="W308" s="262">
        <f>IFERROR(IF(AND(COUNT(S43,T43,U43,V43)=4,(S43+T43+U43+V43)&lt;&gt;0),(N(W186)+N(W187)+N(W188)+N(W191)+N(W209)+N(W212))/(S43+T43+U43+V43),""),"")</f>
        <v>0</v>
      </c>
      <c r="X308" s="262">
        <f>IFERROR(IF(AND(COUNT(T43,U43,V43,X43)=4,(T43+U43+V43+X43)&lt;&gt;0),(N(X186)+N(X187)+N(X188)+N(X191)+N(X209)+N(X212))/(T43+U43+V43+X43),""),"")</f>
        <v>0</v>
      </c>
      <c r="Y308" s="262">
        <f>IFERROR(IF(AND(COUNT(U43,V43,X43,Y43)=4,(U43+V43+X43+Y43)&lt;&gt;0),(N(Y186)+N(Y187)+N(Y188)+N(Y191)+N(Y209)+N(Y212))/(U43+V43+X43+Y43),""),"")</f>
        <v>0</v>
      </c>
      <c r="Z308" s="262">
        <f>IFERROR(IF(AND(COUNT(V43,X43,Y43,Z43)=4,(V43+X43+Y43+Z43)&lt;&gt;0),(N(Z186)+N(Z187)+N(Z188)+N(Z191)+N(Z209)+N(Z212))/(V43+X43+Y43+Z43),""),"")</f>
        <v>0</v>
      </c>
      <c r="AA308" s="262">
        <f>IFERROR(IF(AND(COUNT(X43,Y43,Z43,AA43)=4,(X43+Y43+Z43+AA43)&lt;&gt;0),(N(AA186)+N(AA187)+N(AA188)+N(AA191)+N(AA209)+N(AA212))/(X43+Y43+Z43+AA43),""),"")</f>
        <v>0</v>
      </c>
      <c r="AB308" s="262">
        <f>IFERROR(IF(AND(COUNT(X43,Y43,Z43,AA43)=4,(X43+Y43+Z43+AA43)&lt;&gt;0),(N(AB186)+N(AB187)+N(AB188)+N(AB191)+N(AB209)+N(AB212))/(X43+Y43+Z43+AA43),""),"")</f>
        <v>0</v>
      </c>
      <c r="AC308" s="262">
        <f>IFERROR(IF(AND(COUNT(Y43,Z43,AA43,AC43)=4,(Y43+Z43+AA43+AC43)&lt;&gt;0),(N(AC186)+N(AC187)+N(AC188)+N(AC191)+N(AC209)+N(AC212))/(Y43+Z43+AA43+AC43),""),"")</f>
        <v>0</v>
      </c>
      <c r="AD308" s="262">
        <f>IFERROR(IF(AND(COUNT(Z43,AA43,AC43,AD43)=4,(Z43+AA43+AC43+AD43)&lt;&gt;0),(N(AD186)+N(AD187)+N(AD188)+N(AD191)+N(AD209)+N(AD212))/(Z43+AA43+AC43+AD43),""),"")</f>
        <v>0</v>
      </c>
      <c r="AE308" s="262">
        <f>IFERROR(IF(AND(COUNT(AA43,AC43,AD43,AE43)=4,(AA43+AC43+AD43+AE43)&lt;&gt;0),(N(AE186)+N(AE187)+N(AE188)+N(AE191)+N(AE209)+N(AE212))/(AA43+AC43+AD43+AE43),""),"")</f>
        <v>0</v>
      </c>
      <c r="AF308" s="262">
        <f>IFERROR(IF(AND(COUNT(AB43,AD43,AE43,AF43)=4,(AB43+AD43+AE43+AF43)&lt;&gt;0),(N(AF186)+N(AF187)+N(AF188)+N(AF191)+N(AF209)+N(AF212))/(AB43+AD43+AE43+AF43),""),"")</f>
        <v>0</v>
      </c>
      <c r="AG308" s="262">
        <f>IFERROR(IF(AND(COUNT(AC43,AD43,AE43,AF43)=4,(AC43+AD43+AE43+AF43)&lt;&gt;0),(N(AG186)+N(AG187)+N(AG188)+N(AG191)+N(AG209)+N(AG212))/(AC43+AD43+AE43+AF43),""),"")</f>
        <v>0</v>
      </c>
      <c r="AH308" s="262">
        <f>IFERROR(IF(AND(COUNT(AD43,AF43,AG43,AH43)=4,(AD43+AF43+AG43+AH43)&lt;&gt;0),(N(AH186)+N(AH187)+N(AH188)+N(AH191)+N(AH209)+N(AH212))/(AD43+AF43+AG43+AH43),""),"")</f>
        <v>0</v>
      </c>
      <c r="AI308" s="262">
        <f>IFERROR(IF(AND(COUNT(AE43,AG43,AH43,AI43)=4,(AE43+AG43+AH43+AI43)&lt;&gt;0),(N(AI186)+N(AI187)+N(AI188)+N(AI191)+N(AI209)+N(AI212))/(AE43+AG43+AH43+AI43),""),"")</f>
        <v>0</v>
      </c>
      <c r="AJ308" s="262">
        <f>IFERROR(IF(AND(COUNT(AF43,AH43,AI43,AJ43)=4,(AF43+AH43+AI43+AJ43)&lt;&gt;0),(N(AJ186)+N(AJ187)+N(AJ188)+N(AJ191)+N(AJ209)+N(AJ212))/(AF43+AH43+AI43+AJ43),""),"")</f>
        <v>0</v>
      </c>
      <c r="AK308" s="262">
        <f>IFERROR(IF(AND(COUNT(AH43,AI43,AJ43,AK43)=4,(AH43+AI43+AJ43+AK43)&lt;&gt;0),(N(AK186)+N(AK187)+N(AK188)+N(AK191)+N(AK209)+N(AK212))/(AH43+AI43+AJ43+AK43),""),"")</f>
        <v>0</v>
      </c>
      <c r="AL308" s="262">
        <f>IFERROR(IF(AND(COUNT(AH43,AI43,AJ43,AK43)=4,(AH43+AI43+AJ43+AK43)&lt;&gt;0),(N(AL186)+N(AL187)+N(AL188)+N(AL191)+N(AL209)+N(AL212))/(AH43+AI43+AJ43+AK43),""),"")</f>
        <v>0</v>
      </c>
      <c r="AM308" s="262">
        <f>IFERROR(IF(AND(COUNT(AI43,AJ43,AK43,AM43)=4,(AI43+AJ43+AK43+AM43)&lt;&gt;0),(N(AM186)+N(AM187)+N(AM188)+N(AM191)+N(AM209)+N(AM212))/(AI43+AJ43+AK43+AM43),""),"")</f>
        <v>0</v>
      </c>
      <c r="AN308" s="262">
        <f>IFERROR(IF(AND(COUNT(AJ43,AK43,AM43,AN43)=4,(AJ43+AK43+AM43+AN43)&lt;&gt;0),(N(AN186)+N(AN187)+N(AN188)+N(AN191)+N(AN209)+N(AN212))/(AJ43+AK43+AM43+AN43),""),"")</f>
        <v>0</v>
      </c>
      <c r="AO308" s="262">
        <f>IFERROR(IF(AND(COUNT(AK43,AM43,AN43,AO43)=4,(AK43+AM43+AN43+AO43)&lt;&gt;0),(N(AO186)+N(AO187)+N(AO188)+N(AO191)+N(AO209)+N(AO212))/(AK43+AM43+AN43+AO43),""),"")</f>
        <v>0</v>
      </c>
      <c r="AP308" s="262">
        <f>IFERROR(IF(AND(COUNT(AM43,AN43,AO43,AP43)=4,(AM43+AN43+AO43+AP43)&lt;&gt;0),(N(AP186)+N(AP187)+N(AP188)+N(AP191)+N(AP209)+N(AP212))/(AM43+AN43+AO43+AP43),""),"")</f>
        <v>0</v>
      </c>
      <c r="AQ308" s="262">
        <f>IFERROR(IF(AND(COUNT(AM43,AN43,AO43,AP43)=4,(AM43+AN43+AO43+AP43)&lt;&gt;0),(N(AQ186)+N(AQ187)+N(AQ188)+N(AQ191)+N(AQ209)+N(AQ212))/(AM43+AN43+AO43+AP43),""),"")</f>
        <v>0</v>
      </c>
      <c r="AR308" s="262">
        <f>IFERROR(IF(AND(COUNT(AN43,AO43,AP43,AR43)=4,(AN43+AO43+AP43+AR43)&lt;&gt;0),(N(AR186)+N(AR187)+N(AR188)+N(AR191)+N(AR209)+N(AR212))/(AN43+AO43+AP43+AR43),""),"")</f>
        <v>0</v>
      </c>
      <c r="AS308" s="262">
        <f>IFERROR(IF(AND(COUNT(AO43,AP43,AR43,AS43)=4,(AO43+AP43+AR43+AS43)&lt;&gt;0),(N(AS186)+N(AS187)+N(AS188)+N(AS191)+N(AS209)+N(AS212))/(AO43+AP43+AR43+AS43),""),"")</f>
        <v>0</v>
      </c>
      <c r="AT308" s="262">
        <f>IFERROR(IF(AND(COUNT(AP43,AR43,AS43,AT43)=4,(AP43+AR43+AS43+AT43)&lt;&gt;0),(N(AT186)+N(AT187)+N(AT188)+N(AT191)+N(AT209)+N(AT212))/(AP43+AR43+AS43+AT43),""),"")</f>
        <v>0</v>
      </c>
      <c r="AU308" s="262">
        <f>IFERROR(IF(AND(COUNT(AR43,AS43,AT43,AU43)=4,(AR43+AS43+AT43+AU43)&lt;&gt;0),(N(AU186)+N(AU187)+N(AU188)+N(AU191)+N(AU209)+N(AU212))/(AR43+AS43+AT43+AU43),""),"")</f>
        <v>0</v>
      </c>
      <c r="AV308" s="262">
        <f>IFERROR(IF(AND(COUNT(AR43,AS43,AT43,AU43)=4,(AR43+AS43+AT43+AU43)&lt;&gt;0),(N(AV186)+N(AV187)+N(AV188)+N(AV191)+N(AV209)+N(AV212))/(AR43+AS43+AT43+AU43),""),"")</f>
        <v>0</v>
      </c>
      <c r="AW308" s="262">
        <f>IFERROR(IF(AND(COUNT(AS43,AT43,AU43,AW43)=4,(AS43+AT43+AU43+AW43)&lt;&gt;0),(N(AW186)+N(AW187)+N(AW188)+N(AW191)+N(AW209)+N(AW212))/(AS43+AT43+AU43+AW43),""),"")</f>
        <v>0</v>
      </c>
      <c r="AX308" s="262">
        <f>IFERROR(IF(AND(COUNT(AT43,AU43,AW43,AX43)=4,(AT43+AU43+AW43+AX43)&lt;&gt;0),(N(AX186)+N(AX187)+N(AX188)+N(AX191)+N(AX209)+N(AX212))/(AT43+AU43+AW43+AX43),""),"")</f>
        <v>0</v>
      </c>
      <c r="AY308" s="262">
        <f>IFERROR(IF(AND(COUNT(AU43,AW43,AX43,AY43)=4,(AU43+AW43+AX43+AY43)&lt;&gt;0),(N(AY186)+N(AY187)+N(AY188)+N(AY191)+N(AY209)+N(AY212))/(AU43+AW43+AX43+AY43),""),"")</f>
        <v>0</v>
      </c>
      <c r="AZ308" s="262">
        <f>IFERROR(IF(AND(COUNT(AW43,AX43,AY43,AZ43)=4,(AW43+AX43+AY43+AZ43)&lt;&gt;0),(N(AZ186)+N(AZ187)+N(AZ188)+N(AZ191)+N(AZ209)+N(AZ212))/(AW43+AX43+AY43+AZ43),""),"")</f>
        <v>0</v>
      </c>
      <c r="BA308" s="262">
        <f>IFERROR(IF(AND(COUNT(AW43,AX43,AY43,AZ43)=4,(AW43+AX43+AY43+AZ43)&lt;&gt;0),(N(BA186)+N(BA187)+N(BA188)+N(BA191)+N(BA209)+N(BA212))/(AW43+AX43+AY43+AZ43),""),"")</f>
        <v>0</v>
      </c>
      <c r="BB308" s="262">
        <f>IFERROR(IF(AND(COUNT(AX43,AY43,AZ43,BB43)=4,(AX43+AY43+AZ43+BB43)&lt;&gt;0),(N(BB186)+N(BB187)+N(BB188)+N(BB191)+N(BB209)+N(BB212))/(AX43+AY43+AZ43+BB43),""),"")</f>
        <v>0</v>
      </c>
      <c r="BC308" s="262">
        <f>IFERROR(IF(AND(COUNT(AY43,AZ43,BB43,BC43)=4,(AY43+AZ43+BB43+BC43)&lt;&gt;0),(N(BC186)+N(BC187)+N(BC188)+N(BC191)+N(BC209)+N(BC212))/(AY43+AZ43+BB43+BC43),""),"")</f>
        <v>0</v>
      </c>
      <c r="BD308" s="262">
        <f>IFERROR(IF(AND(COUNT(AZ43,BB43,BC43,BD43)=4,(AZ43+BB43+BC43+BD43)&lt;&gt;0),(N(BD186)+N(BD187)+N(BD188)+N(BD191)+N(BD209)+N(BD212))/(AZ43+BB43+BC43+BD43),""),"")</f>
        <v>0</v>
      </c>
      <c r="BE308" s="262">
        <f>IFERROR(IF(AND(COUNT(BB43,BC43,BD43,BE43)=4,(BB43+BC43+BD43+BE43)&lt;&gt;0),(N(BE186)+N(BE187)+N(BE188)+N(BE191)+N(BE209)+N(BE212))/(BB43+BC43+BD43+BE43),""),"")</f>
        <v>0</v>
      </c>
      <c r="BF308" s="262">
        <f>IFERROR(IF(AND(COUNT(BB43,BC43,BD43,BE43)=4,(BB43+BC43+BD43+BE43)&lt;&gt;0),(N(BF186)+N(BF187)+N(BF188)+N(BF191)+N(BF209)+N(BF212))/(BB43+BC43+BD43+BE43),""),"")</f>
        <v>0</v>
      </c>
      <c r="BG308" s="82" t="n"/>
      <c r="BH308" s="82" t="n"/>
      <c r="BI308" s="82" t="n"/>
      <c r="BJ308" s="82" t="n"/>
      <c r="BL308" s="82" t="n"/>
      <c r="BM308" s="82" t="n"/>
      <c r="BN308" s="82" t="n"/>
      <c r="BO308" s="82" t="n"/>
      <c r="BQ308" s="82" t="n"/>
      <c r="BR308" s="82" t="n"/>
      <c r="BS308" s="82" t="n"/>
      <c r="BT308" s="82" t="n"/>
      <c r="BV308" s="82" t="n"/>
      <c r="BW308" s="82" t="n"/>
      <c r="BX308" s="82" t="n"/>
      <c r="BY308" s="82" t="n"/>
      <c r="CA308" s="82" t="n"/>
      <c r="CB308" s="82" t="n"/>
      <c r="CC308" s="82" t="n"/>
      <c r="CD308" s="82" t="n"/>
      <c r="CF308" s="82" t="n"/>
      <c r="CG308" s="82" t="n"/>
      <c r="CH308" s="82" t="n"/>
      <c r="CI308" s="82" t="n"/>
      <c r="CK308" s="82" t="n"/>
      <c r="CL308" s="82" t="n"/>
      <c r="CM308" s="82" t="n"/>
      <c r="CN308" s="82" t="n"/>
      <c r="CP308" s="82" t="n"/>
      <c r="CQ308" s="82" t="n"/>
      <c r="CR308" s="82" t="n"/>
      <c r="CS308" s="82" t="n"/>
      <c r="CU308" s="82" t="n"/>
      <c r="CV308" s="82" t="n"/>
      <c r="CW308" s="82" t="n"/>
      <c r="CX308" s="82" t="n"/>
    </row>
    <row r="309" customFormat="1" s="77">
      <c r="A309" s="76" t="n"/>
      <c r="B309" s="76" t="n"/>
      <c r="C309" s="77" t="inlineStr">
        <is>
          <t>TOTAL DEBT / TOTAL CAPITALIZATION</t>
        </is>
      </c>
      <c r="D309" s="80" t="str">
        <f>IFERROR(SUM(D186+D187+D188+D191+D209+D212)/(SUM(D186+D187+D188+D191+D209+D212)+D245),"")</f>
        <v/>
      </c>
      <c r="E309" s="80" t="str">
        <f>IFERROR(SUM(E186+E187+E188+E191+E209+E212)/(SUM(E186+E187+E188+E191+E209+E212)+E245),"")</f>
        <v/>
      </c>
      <c r="F309" s="80" t="str">
        <f>IFERROR(SUM(F186+F187+F188+F191+F209+F212)/(SUM(F186+F187+F188+F191+F209+F212)+F245),"")</f>
        <v/>
      </c>
      <c r="G309" s="80" t="str">
        <f>IFERROR(SUM(G186+G187+G188+G191+G209+G212)/(SUM(G186+G187+G188+G191+G209+G212)+G245),"")</f>
        <v/>
      </c>
      <c r="H309" s="258" t="str">
        <f>IFERROR(IF(((N(H186)+N(H187)+N(H188)+N(H191)+N(H209)+N(H212))+N(H245))&lt;&gt;0,(N(H186)+N(H187)+N(H188)+N(H191)+N(H209)+N(H212))/((N(H186)+N(H187)+N(H188)+N(H191)+N(H209)+N(H212))+H245),""),"")</f>
        <v/>
      </c>
      <c r="I309" s="258">
        <f>IFERROR(IF(((N(I186)+N(I187)+N(I188)+N(I191)+N(I209)+N(I212))+N(I245))&lt;&gt;0,(N(I186)+N(I187)+N(I188)+N(I191)+N(I209)+N(I212))/((N(I186)+N(I187)+N(I188)+N(I191)+N(I209)+N(I212))+I245),""),"")</f>
        <v>0</v>
      </c>
      <c r="J309" s="258">
        <f>IFERROR(IF(((N(J186)+N(J187)+N(J188)+N(J191)+N(J209)+N(J212))+N(J245))&lt;&gt;0,(N(J186)+N(J187)+N(J188)+N(J191)+N(J209)+N(J212))/((N(J186)+N(J187)+N(J188)+N(J191)+N(J209)+N(J212))+J245),""),"")</f>
        <v>0</v>
      </c>
      <c r="K309" s="258">
        <f>IFERROR(IF(((N(K186)+N(K187)+N(K188)+N(K191)+N(K209)+N(K212))+N(K245))&lt;&gt;0,(N(K186)+N(K187)+N(K188)+N(K191)+N(K209)+N(K212))/((N(K186)+N(K187)+N(K188)+N(K191)+N(K209)+N(K212))+K245),""),"")</f>
        <v>0</v>
      </c>
      <c r="L309" s="258">
        <f>IFERROR(IF(((N(L186)+N(L187)+N(L188)+N(L191)+N(L209)+N(L212))+N(L245))&lt;&gt;0,(N(L186)+N(L187)+N(L188)+N(L191)+N(L209)+N(L212))/((N(L186)+N(L187)+N(L188)+N(L191)+N(L209)+N(L212))+L245),""),"")</f>
        <v>0</v>
      </c>
      <c r="M309" s="258">
        <f>IFERROR(IF(((N(M186)+N(M187)+N(M188)+N(M191)+N(M209)+N(M212))+N(M245))&lt;&gt;0,(N(M186)+N(M187)+N(M188)+N(M191)+N(M209)+N(M212))/((N(M186)+N(M187)+N(M188)+N(M191)+N(M209)+N(M212))+M245),""),"")</f>
        <v>0</v>
      </c>
      <c r="N309" s="258">
        <f>IFERROR(IF(((N(N186)+N(N187)+N(N188)+N(N191)+N(N209)+N(N212))+N(N245))&lt;&gt;0,(N(N186)+N(N187)+N(N188)+N(N191)+N(N209)+N(N212))/((N(N186)+N(N187)+N(N188)+N(N191)+N(N209)+N(N212))+N245),""),"")</f>
        <v>0</v>
      </c>
      <c r="O309" s="258">
        <f>IFERROR(IF(((N(O186)+N(O187)+N(O188)+N(O191)+N(O209)+N(O212))+N(O245))&lt;&gt;0,(N(O186)+N(O187)+N(O188)+N(O191)+N(O209)+N(O212))/((N(O186)+N(O187)+N(O188)+N(O191)+N(O209)+N(O212))+O245),""),"")</f>
        <v>0</v>
      </c>
      <c r="P309" s="258">
        <f>IFERROR(IF(((N(P186)+N(P187)+N(P188)+N(P191)+N(P209)+N(P212))+N(P245))&lt;&gt;0,(N(P186)+N(P187)+N(P188)+N(P191)+N(P209)+N(P212))/((N(P186)+N(P187)+N(P188)+N(P191)+N(P209)+N(P212))+P245),""),"")</f>
        <v>0</v>
      </c>
      <c r="Q309" s="258">
        <f>IFERROR(IF(((N(Q186)+N(Q187)+N(Q188)+N(Q191)+N(Q209)+N(Q212))+N(Q245))&lt;&gt;0,(N(Q186)+N(Q187)+N(Q188)+N(Q191)+N(Q209)+N(Q212))/((N(Q186)+N(Q187)+N(Q188)+N(Q191)+N(Q209)+N(Q212))+Q245),""),"")</f>
        <v>0</v>
      </c>
      <c r="R309" s="258">
        <f>IFERROR(IF(((N(R186)+N(R187)+N(R188)+N(R191)+N(R209)+N(R212))+N(R245))&lt;&gt;0,(N(R186)+N(R187)+N(R188)+N(R191)+N(R209)+N(R212))/((N(R186)+N(R187)+N(R188)+N(R191)+N(R209)+N(R212))+R245),""),"")</f>
        <v>0</v>
      </c>
      <c r="S309" s="258">
        <f>IFERROR(IF(((N(S186)+N(S187)+N(S188)+N(S191)+N(S209)+N(S212))+N(S245))&lt;&gt;0,(N(S186)+N(S187)+N(S188)+N(S191)+N(S209)+N(S212))/((N(S186)+N(S187)+N(S188)+N(S191)+N(S209)+N(S212))+S245),""),"")</f>
        <v>0</v>
      </c>
      <c r="T309" s="258">
        <f>IFERROR(IF(((N(T186)+N(T187)+N(T188)+N(T191)+N(T209)+N(T212))+N(T245))&lt;&gt;0,(N(T186)+N(T187)+N(T188)+N(T191)+N(T209)+N(T212))/((N(T186)+N(T187)+N(T188)+N(T191)+N(T209)+N(T212))+T245),""),"")</f>
        <v>0</v>
      </c>
      <c r="U309" s="258">
        <f>IFERROR(IF(((N(U186)+N(U187)+N(U188)+N(U191)+N(U209)+N(U212))+N(U245))&lt;&gt;0,(N(U186)+N(U187)+N(U188)+N(U191)+N(U209)+N(U212))/((N(U186)+N(U187)+N(U188)+N(U191)+N(U209)+N(U212))+U245),""),"")</f>
        <v>0</v>
      </c>
      <c r="V309" s="258">
        <f>IFERROR(IF(((N(V186)+N(V187)+N(V188)+N(V191)+N(V209)+N(V212))+N(V245))&lt;&gt;0,(N(V186)+N(V187)+N(V188)+N(V191)+N(V209)+N(V212))/((N(V186)+N(V187)+N(V188)+N(V191)+N(V209)+N(V212))+V245),""),"")</f>
        <v>0</v>
      </c>
      <c r="W309" s="258">
        <f>IFERROR(IF(((N(W186)+N(W187)+N(W188)+N(W191)+N(W209)+N(W212))+N(W245))&lt;&gt;0,(N(W186)+N(W187)+N(W188)+N(W191)+N(W209)+N(W212))/((N(W186)+N(W187)+N(W188)+N(W191)+N(W209)+N(W212))+W245),""),"")</f>
        <v>0</v>
      </c>
      <c r="X309" s="258">
        <f>IFERROR(IF(((N(X186)+N(X187)+N(X188)+N(X191)+N(X209)+N(X212))+N(X245))&lt;&gt;0,(N(X186)+N(X187)+N(X188)+N(X191)+N(X209)+N(X212))/((N(X186)+N(X187)+N(X188)+N(X191)+N(X209)+N(X212))+X245),""),"")</f>
        <v>0</v>
      </c>
      <c r="Y309" s="258">
        <f>IFERROR(IF(((N(Y186)+N(Y187)+N(Y188)+N(Y191)+N(Y209)+N(Y212))+N(Y245))&lt;&gt;0,(N(Y186)+N(Y187)+N(Y188)+N(Y191)+N(Y209)+N(Y212))/((N(Y186)+N(Y187)+N(Y188)+N(Y191)+N(Y209)+N(Y212))+Y245),""),"")</f>
        <v>0</v>
      </c>
      <c r="Z309" s="258">
        <f>IFERROR(IF(((N(Z186)+N(Z187)+N(Z188)+N(Z191)+N(Z209)+N(Z212))+N(Z245))&lt;&gt;0,(N(Z186)+N(Z187)+N(Z188)+N(Z191)+N(Z209)+N(Z212))/((N(Z186)+N(Z187)+N(Z188)+N(Z191)+N(Z209)+N(Z212))+Z245),""),"")</f>
        <v>0</v>
      </c>
      <c r="AA309" s="258">
        <f>IFERROR(IF(((N(AA186)+N(AA187)+N(AA188)+N(AA191)+N(AA209)+N(AA212))+N(AA245))&lt;&gt;0,(N(AA186)+N(AA187)+N(AA188)+N(AA191)+N(AA209)+N(AA212))/((N(AA186)+N(AA187)+N(AA188)+N(AA191)+N(AA209)+N(AA212))+AA245),""),"")</f>
        <v>0</v>
      </c>
      <c r="AB309" s="258">
        <f>IFERROR(IF(((N(AB186)+N(AB187)+N(AB188)+N(AB191)+N(AB209)+N(AB212))+N(AB245))&lt;&gt;0,(N(AB186)+N(AB187)+N(AB188)+N(AB191)+N(AB209)+N(AB212))/((N(AB186)+N(AB187)+N(AB188)+N(AB191)+N(AB209)+N(AB212))+AB245),""),"")</f>
        <v>0</v>
      </c>
      <c r="AC309" s="258">
        <f>IFERROR(IF(((N(AC186)+N(AC187)+N(AC188)+N(AC191)+N(AC209)+N(AC212))+N(AC245))&lt;&gt;0,(N(AC186)+N(AC187)+N(AC188)+N(AC191)+N(AC209)+N(AC212))/((N(AC186)+N(AC187)+N(AC188)+N(AC191)+N(AC209)+N(AC212))+AC245),""),"")</f>
        <v>0</v>
      </c>
      <c r="AD309" s="258">
        <f>IFERROR(IF(((N(AD186)+N(AD187)+N(AD188)+N(AD191)+N(AD209)+N(AD212))+N(AD245))&lt;&gt;0,(N(AD186)+N(AD187)+N(AD188)+N(AD191)+N(AD209)+N(AD212))/((N(AD186)+N(AD187)+N(AD188)+N(AD191)+N(AD209)+N(AD212))+AD245),""),"")</f>
        <v>0</v>
      </c>
      <c r="AE309" s="258">
        <f>IFERROR(IF(((N(AE186)+N(AE187)+N(AE188)+N(AE191)+N(AE209)+N(AE212))+N(AE245))&lt;&gt;0,(N(AE186)+N(AE187)+N(AE188)+N(AE191)+N(AE209)+N(AE212))/((N(AE186)+N(AE187)+N(AE188)+N(AE191)+N(AE209)+N(AE212))+AE245),""),"")</f>
        <v>0</v>
      </c>
      <c r="AF309" s="258">
        <f>IFERROR(IF(((N(AF186)+N(AF187)+N(AF188)+N(AF191)+N(AF209)+N(AF212))+N(AF245))&lt;&gt;0,(N(AF186)+N(AF187)+N(AF188)+N(AF191)+N(AF209)+N(AF212))/((N(AF186)+N(AF187)+N(AF188)+N(AF191)+N(AF209)+N(AF212))+AF245),""),"")</f>
        <v>0</v>
      </c>
      <c r="AG309" s="258">
        <f>IFERROR(IF(((N(AG186)+N(AG187)+N(AG188)+N(AG191)+N(AG209)+N(AG212))+N(AG245))&lt;&gt;0,(N(AG186)+N(AG187)+N(AG188)+N(AG191)+N(AG209)+N(AG212))/((N(AG186)+N(AG187)+N(AG188)+N(AG191)+N(AG209)+N(AG212))+AG245),""),"")</f>
        <v>0</v>
      </c>
      <c r="AH309" s="258">
        <f>IFERROR(IF(((N(AH186)+N(AH187)+N(AH188)+N(AH191)+N(AH209)+N(AH212))+N(AH245))&lt;&gt;0,(N(AH186)+N(AH187)+N(AH188)+N(AH191)+N(AH209)+N(AH212))/((N(AH186)+N(AH187)+N(AH188)+N(AH191)+N(AH209)+N(AH212))+AH245),""),"")</f>
        <v>0</v>
      </c>
      <c r="AI309" s="258">
        <f>IFERROR(IF(((N(AI186)+N(AI187)+N(AI188)+N(AI191)+N(AI209)+N(AI212))+N(AI245))&lt;&gt;0,(N(AI186)+N(AI187)+N(AI188)+N(AI191)+N(AI209)+N(AI212))/((N(AI186)+N(AI187)+N(AI188)+N(AI191)+N(AI209)+N(AI212))+AI245),""),"")</f>
        <v>0</v>
      </c>
      <c r="AJ309" s="258">
        <f>IFERROR(IF(((N(AJ186)+N(AJ187)+N(AJ188)+N(AJ191)+N(AJ209)+N(AJ212))+N(AJ245))&lt;&gt;0,(N(AJ186)+N(AJ187)+N(AJ188)+N(AJ191)+N(AJ209)+N(AJ212))/((N(AJ186)+N(AJ187)+N(AJ188)+N(AJ191)+N(AJ209)+N(AJ212))+AJ245),""),"")</f>
        <v>0</v>
      </c>
      <c r="AK309" s="258">
        <f>IFERROR(IF(((N(AK186)+N(AK187)+N(AK188)+N(AK191)+N(AK209)+N(AK212))+N(AK245))&lt;&gt;0,(N(AK186)+N(AK187)+N(AK188)+N(AK191)+N(AK209)+N(AK212))/((N(AK186)+N(AK187)+N(AK188)+N(AK191)+N(AK209)+N(AK212))+AK245),""),"")</f>
        <v>0</v>
      </c>
      <c r="AL309" s="258">
        <f>IFERROR(IF(((N(AL186)+N(AL187)+N(AL188)+N(AL191)+N(AL209)+N(AL212))+N(AL245))&lt;&gt;0,(N(AL186)+N(AL187)+N(AL188)+N(AL191)+N(AL209)+N(AL212))/((N(AL186)+N(AL187)+N(AL188)+N(AL191)+N(AL209)+N(AL212))+AL245),""),"")</f>
        <v>0</v>
      </c>
      <c r="AM309" s="258">
        <f>IFERROR(IF(((N(AM186)+N(AM187)+N(AM188)+N(AM191)+N(AM209)+N(AM212))+N(AM245))&lt;&gt;0,(N(AM186)+N(AM187)+N(AM188)+N(AM191)+N(AM209)+N(AM212))/((N(AM186)+N(AM187)+N(AM188)+N(AM191)+N(AM209)+N(AM212))+AM245),""),"")</f>
        <v>0</v>
      </c>
      <c r="AN309" s="258">
        <f>IFERROR(IF(((N(AN186)+N(AN187)+N(AN188)+N(AN191)+N(AN209)+N(AN212))+N(AN245))&lt;&gt;0,(N(AN186)+N(AN187)+N(AN188)+N(AN191)+N(AN209)+N(AN212))/((N(AN186)+N(AN187)+N(AN188)+N(AN191)+N(AN209)+N(AN212))+AN245),""),"")</f>
        <v>0</v>
      </c>
      <c r="AO309" s="258">
        <f>IFERROR(IF(((N(AO186)+N(AO187)+N(AO188)+N(AO191)+N(AO209)+N(AO212))+N(AO245))&lt;&gt;0,(N(AO186)+N(AO187)+N(AO188)+N(AO191)+N(AO209)+N(AO212))/((N(AO186)+N(AO187)+N(AO188)+N(AO191)+N(AO209)+N(AO212))+AO245),""),"")</f>
        <v>0</v>
      </c>
      <c r="AP309" s="258">
        <f>IFERROR(IF(((N(AP186)+N(AP187)+N(AP188)+N(AP191)+N(AP209)+N(AP212))+N(AP245))&lt;&gt;0,(N(AP186)+N(AP187)+N(AP188)+N(AP191)+N(AP209)+N(AP212))/((N(AP186)+N(AP187)+N(AP188)+N(AP191)+N(AP209)+N(AP212))+AP245),""),"")</f>
        <v>0</v>
      </c>
      <c r="AQ309" s="258">
        <f>IFERROR(IF(((N(AQ186)+N(AQ187)+N(AQ188)+N(AQ191)+N(AQ209)+N(AQ212))+N(AQ245))&lt;&gt;0,(N(AQ186)+N(AQ187)+N(AQ188)+N(AQ191)+N(AQ209)+N(AQ212))/((N(AQ186)+N(AQ187)+N(AQ188)+N(AQ191)+N(AQ209)+N(AQ212))+AQ245),""),"")</f>
        <v>0</v>
      </c>
      <c r="AR309" s="258">
        <f>IFERROR(IF(((N(AR186)+N(AR187)+N(AR188)+N(AR191)+N(AR209)+N(AR212))+N(AR245))&lt;&gt;0,(N(AR186)+N(AR187)+N(AR188)+N(AR191)+N(AR209)+N(AR212))/((N(AR186)+N(AR187)+N(AR188)+N(AR191)+N(AR209)+N(AR212))+AR245),""),"")</f>
        <v>0</v>
      </c>
      <c r="AS309" s="258">
        <f>IFERROR(IF(((N(AS186)+N(AS187)+N(AS188)+N(AS191)+N(AS209)+N(AS212))+N(AS245))&lt;&gt;0,(N(AS186)+N(AS187)+N(AS188)+N(AS191)+N(AS209)+N(AS212))/((N(AS186)+N(AS187)+N(AS188)+N(AS191)+N(AS209)+N(AS212))+AS245),""),"")</f>
        <v>0</v>
      </c>
      <c r="AT309" s="258">
        <f>IFERROR(IF(((N(AT186)+N(AT187)+N(AT188)+N(AT191)+N(AT209)+N(AT212))+N(AT245))&lt;&gt;0,(N(AT186)+N(AT187)+N(AT188)+N(AT191)+N(AT209)+N(AT212))/((N(AT186)+N(AT187)+N(AT188)+N(AT191)+N(AT209)+N(AT212))+AT245),""),"")</f>
        <v>0</v>
      </c>
      <c r="AU309" s="258">
        <f>IFERROR(IF(((N(AU186)+N(AU187)+N(AU188)+N(AU191)+N(AU209)+N(AU212))+N(AU245))&lt;&gt;0,(N(AU186)+N(AU187)+N(AU188)+N(AU191)+N(AU209)+N(AU212))/((N(AU186)+N(AU187)+N(AU188)+N(AU191)+N(AU209)+N(AU212))+AU245),""),"")</f>
        <v>0</v>
      </c>
      <c r="AV309" s="258">
        <f>IFERROR(IF(((N(AV186)+N(AV187)+N(AV188)+N(AV191)+N(AV209)+N(AV212))+N(AV245))&lt;&gt;0,(N(AV186)+N(AV187)+N(AV188)+N(AV191)+N(AV209)+N(AV212))/((N(AV186)+N(AV187)+N(AV188)+N(AV191)+N(AV209)+N(AV212))+AV245),""),"")</f>
        <v>0</v>
      </c>
      <c r="AW309" s="258">
        <f>IFERROR(IF(((N(AW186)+N(AW187)+N(AW188)+N(AW191)+N(AW209)+N(AW212))+N(AW245))&lt;&gt;0,(N(AW186)+N(AW187)+N(AW188)+N(AW191)+N(AW209)+N(AW212))/((N(AW186)+N(AW187)+N(AW188)+N(AW191)+N(AW209)+N(AW212))+AW245),""),"")</f>
        <v>0</v>
      </c>
      <c r="AX309" s="258">
        <f>IFERROR(IF(((N(AX186)+N(AX187)+N(AX188)+N(AX191)+N(AX209)+N(AX212))+N(AX245))&lt;&gt;0,(N(AX186)+N(AX187)+N(AX188)+N(AX191)+N(AX209)+N(AX212))/((N(AX186)+N(AX187)+N(AX188)+N(AX191)+N(AX209)+N(AX212))+AX245),""),"")</f>
        <v>0</v>
      </c>
      <c r="AY309" s="258">
        <f>IFERROR(IF(((N(AY186)+N(AY187)+N(AY188)+N(AY191)+N(AY209)+N(AY212))+N(AY245))&lt;&gt;0,(N(AY186)+N(AY187)+N(AY188)+N(AY191)+N(AY209)+N(AY212))/((N(AY186)+N(AY187)+N(AY188)+N(AY191)+N(AY209)+N(AY212))+AY245),""),"")</f>
        <v>0</v>
      </c>
      <c r="AZ309" s="258">
        <f>IFERROR(IF(((N(AZ186)+N(AZ187)+N(AZ188)+N(AZ191)+N(AZ209)+N(AZ212))+N(AZ245))&lt;&gt;0,(N(AZ186)+N(AZ187)+N(AZ188)+N(AZ191)+N(AZ209)+N(AZ212))/((N(AZ186)+N(AZ187)+N(AZ188)+N(AZ191)+N(AZ209)+N(AZ212))+AZ245),""),"")</f>
        <v>0</v>
      </c>
      <c r="BA309" s="258">
        <f>IFERROR(IF(((N(BA186)+N(BA187)+N(BA188)+N(BA191)+N(BA209)+N(BA212))+N(BA245))&lt;&gt;0,(N(BA186)+N(BA187)+N(BA188)+N(BA191)+N(BA209)+N(BA212))/((N(BA186)+N(BA187)+N(BA188)+N(BA191)+N(BA209)+N(BA212))+BA245),""),"")</f>
        <v>0</v>
      </c>
      <c r="BB309" s="258">
        <f>IFERROR(IF(((N(BB186)+N(BB187)+N(BB188)+N(BB191)+N(BB209)+N(BB212))+N(BB245))&lt;&gt;0,(N(BB186)+N(BB187)+N(BB188)+N(BB191)+N(BB209)+N(BB212))/((N(BB186)+N(BB187)+N(BB188)+N(BB191)+N(BB209)+N(BB212))+BB245),""),"")</f>
        <v>0</v>
      </c>
      <c r="BC309" s="258">
        <f>IFERROR(IF(((N(BC186)+N(BC187)+N(BC188)+N(BC191)+N(BC209)+N(BC212))+N(BC245))&lt;&gt;0,(N(BC186)+N(BC187)+N(BC188)+N(BC191)+N(BC209)+N(BC212))/((N(BC186)+N(BC187)+N(BC188)+N(BC191)+N(BC209)+N(BC212))+BC245),""),"")</f>
        <v>0</v>
      </c>
      <c r="BD309" s="258">
        <f>IFERROR(IF(((N(BD186)+N(BD187)+N(BD188)+N(BD191)+N(BD209)+N(BD212))+N(BD245))&lt;&gt;0,(N(BD186)+N(BD187)+N(BD188)+N(BD191)+N(BD209)+N(BD212))/((N(BD186)+N(BD187)+N(BD188)+N(BD191)+N(BD209)+N(BD212))+BD245),""),"")</f>
        <v>0</v>
      </c>
      <c r="BE309" s="258">
        <f>IFERROR(IF(((N(BE186)+N(BE187)+N(BE188)+N(BE191)+N(BE209)+N(BE212))+N(BE245))&lt;&gt;0,(N(BE186)+N(BE187)+N(BE188)+N(BE191)+N(BE209)+N(BE212))/((N(BE186)+N(BE187)+N(BE188)+N(BE191)+N(BE209)+N(BE212))+BE245),""),"")</f>
        <v>0</v>
      </c>
      <c r="BF309" s="258">
        <f>IFERROR(IF(((N(BF186)+N(BF187)+N(BF188)+N(BF191)+N(BF209)+N(BF212))+N(BF245))&lt;&gt;0,(N(BF186)+N(BF187)+N(BF188)+N(BF191)+N(BF209)+N(BF212))/((N(BF186)+N(BF187)+N(BF188)+N(BF191)+N(BF209)+N(BF212))+BF245),""),"")</f>
        <v>0</v>
      </c>
      <c r="BG309" s="80" t="n"/>
      <c r="BH309" s="80" t="n"/>
      <c r="BI309" s="80" t="n"/>
      <c r="BJ309" s="80" t="n"/>
      <c r="BL309" s="80" t="n"/>
      <c r="BM309" s="80" t="n"/>
      <c r="BN309" s="80" t="n"/>
      <c r="BO309" s="80" t="n"/>
      <c r="BQ309" s="80" t="n"/>
      <c r="BR309" s="80" t="n"/>
      <c r="BS309" s="80" t="n"/>
      <c r="BT309" s="80" t="n"/>
      <c r="BV309" s="80" t="n"/>
      <c r="BW309" s="80" t="n"/>
      <c r="BX309" s="80" t="n"/>
      <c r="BY309" s="80" t="n"/>
      <c r="CA309" s="80" t="n"/>
      <c r="CB309" s="80" t="n"/>
      <c r="CC309" s="80" t="n"/>
      <c r="CD309" s="80" t="n"/>
      <c r="CF309" s="80" t="n"/>
      <c r="CG309" s="80" t="n"/>
      <c r="CH309" s="80" t="n"/>
      <c r="CI309" s="80" t="n"/>
      <c r="CK309" s="80" t="n"/>
      <c r="CL309" s="80" t="n"/>
      <c r="CM309" s="80" t="n"/>
      <c r="CN309" s="80" t="n"/>
      <c r="CP309" s="80" t="n"/>
      <c r="CQ309" s="80" t="n"/>
      <c r="CR309" s="80" t="n"/>
      <c r="CS309" s="80" t="n"/>
      <c r="CU309" s="80" t="n"/>
      <c r="CV309" s="80" t="n"/>
      <c r="CW309" s="80" t="n"/>
      <c r="CX309" s="80" t="n"/>
    </row>
    <row r="310" customFormat="1" s="77">
      <c r="A310" s="76" t="n"/>
      <c r="B310" s="76" t="n"/>
      <c r="C310" s="77" t="inlineStr">
        <is>
          <t>NET DEBT / EBITDA (LTM)</t>
        </is>
      </c>
      <c r="D310" s="82" t="str">
        <f>IFERROR(SUM((D186+D187+D188+D191+D209)-D118)/(D43*4),"")</f>
        <v/>
      </c>
      <c r="E310" s="82" t="str">
        <f>IFERROR(SUM((E186+E187+E188+E191+E209)-E118)/(E43*4),"")</f>
        <v/>
      </c>
      <c r="F310" s="82" t="str">
        <f>IFERROR(SUM((F186+F187+F188+F191+F209)-F118)/(F43*4),"")</f>
        <v/>
      </c>
      <c r="G310" s="82" t="str">
        <f>IFERROR(SUM((G186+G187+G188+G191+G209)-G118)/(G43*4),"")</f>
        <v/>
      </c>
      <c r="H310" s="262" t="str">
        <f>IFERROR(IF(AND(COUNT(H43)=1,(H43)&lt;&gt;0),((N(H186)+N(H187)+N(H188)+N(H191)+N(H209)+N(H212))-N(H118))/(H43),""),"")</f>
        <v/>
      </c>
      <c r="I310" s="262" t="str">
        <f>""</f>
        <v/>
      </c>
      <c r="J310" s="262" t="str">
        <f>""</f>
        <v/>
      </c>
      <c r="K310" s="262" t="str">
        <f>""</f>
        <v/>
      </c>
      <c r="L310" s="262">
        <f>IFERROR(IF(AND(COUNT(I43,J43,K43,L43)=4,(I43+J43+K43+L43)&lt;&gt;0),((N(L186)+N(L187)+N(L188)+N(L191)+N(L209)+N(L212))-N(L118))/(I43+J43+K43+L43),""),"")</f>
        <v>-0.158500797910881</v>
      </c>
      <c r="M310" s="262">
        <f>IFERROR(IF(AND(COUNT(I43,J43,K43,L43)=4,(I43+J43+K43+L43)&lt;&gt;0),((N(M186)+N(M187)+N(M188)+N(M191)+N(M209)+N(M212))-N(M118))/(I43+J43+K43+L43),""),"")</f>
        <v>-0.158500797910881</v>
      </c>
      <c r="N310" s="262">
        <f>IFERROR(IF(AND(COUNT(J43,K43,L43,N43)=4,(J43+K43+L43+N43)&lt;&gt;0),((N(N186)+N(N187)+N(N188)+N(N191)+N(N209)+N(N212))-N(N118))/(J43+K43+L43+N43),""),"")</f>
        <v>-0.295825533174517</v>
      </c>
      <c r="O310" s="262">
        <f>IFERROR(IF(AND(COUNT(K43,L43,N43,O43)=4,(K43+L43+N43+O43)&lt;&gt;0),((N(O186)+N(O187)+N(O188)+N(O191)+N(O209)+N(O212))-N(O118))/(K43+L43+N43+O43),""),"")</f>
        <v>-0.419655971544232</v>
      </c>
      <c r="P310" s="262">
        <f>IFERROR(IF(AND(COUNT(L43,N43,O43,P43)=4,(L43+N43+O43+P43)&lt;&gt;0),((N(P186)+N(P187)+N(P188)+N(P191)+N(P209)+N(P212))-N(P118))/(L43+N43+O43+P43),""),"")</f>
        <v>-0.533764485826495</v>
      </c>
      <c r="Q310" s="262">
        <f>IFERROR(IF(AND(COUNT(N43,O43,P43,Q43)=4,(N43+O43+P43+Q43)&lt;&gt;0),((N(Q186)+N(Q187)+N(Q188)+N(Q191)+N(Q209)+N(Q212))-N(Q118))/(N43+O43+P43+Q43),""),"")</f>
        <v>-1.0822154859531</v>
      </c>
      <c r="R310" s="262">
        <f>IFERROR(IF(AND(COUNT(N43,O43,P43,Q43)=4,(N43+O43+P43+Q43)&lt;&gt;0),((N(R186)+N(R187)+N(R188)+N(R191)+N(R209)+N(R212))-N(R118))/(N43+O43+P43+Q43),""),"")</f>
        <v>-1.0822154859531</v>
      </c>
      <c r="S310" s="262">
        <f>IFERROR(IF(AND(COUNT(O43,P43,Q43,S43)=4,(O43+P43+Q43+S43)&lt;&gt;0),((N(S186)+N(S187)+N(S188)+N(S191)+N(S209)+N(S212))-N(S118))/(O43+P43+Q43+S43),""),"")</f>
        <v>-2.31248049769076</v>
      </c>
      <c r="T310" s="262">
        <f>IFERROR(IF(AND(COUNT(P43,Q43,S43,T43)=4,(P43+Q43+S43+T43)&lt;&gt;0),((N(T186)+N(T187)+N(T188)+N(T191)+N(T209)+N(T212))-N(T118))/(P43+Q43+S43+T43),""),"")</f>
        <v>-1.21159572746997</v>
      </c>
      <c r="U310" s="262">
        <f>IFERROR(IF(AND(COUNT(Q43,S43,T43,U43)=4,(Q43+S43+T43+U43)&lt;&gt;0),((N(U186)+N(U187)+N(U188)+N(U191)+N(U209)+N(U212))-N(U118))/(Q43+S43+T43+U43),""),"")</f>
        <v>-0.781764834480834</v>
      </c>
      <c r="V310" s="262">
        <f>IFERROR(IF(AND(COUNT(S43,T43,U43,V43)=4,(S43+T43+U43+V43)&lt;&gt;0),((N(V186)+N(V187)+N(V188)+N(V191)+N(V209)+N(V212))-N(V118))/(S43+T43+U43+V43),""),"")</f>
        <v>-0.841245794647601</v>
      </c>
      <c r="W310" s="262">
        <f>IFERROR(IF(AND(COUNT(S43,T43,U43,V43)=4,(S43+T43+U43+V43)&lt;&gt;0),((N(W186)+N(W187)+N(W188)+N(W191)+N(W209)+N(W212))-N(W118))/(S43+T43+U43+V43),""),"")</f>
        <v>-0.841245794647601</v>
      </c>
      <c r="X310" s="262">
        <f>IFERROR(IF(AND(COUNT(T43,U43,V43,X43)=4,(T43+U43+V43+X43)&lt;&gt;0),((N(X186)+N(X187)+N(X188)+N(X191)+N(X209)+N(X212))-N(X118))/(T43+U43+V43+X43),""),"")</f>
        <v>-0.479935880053925</v>
      </c>
      <c r="Y310" s="262">
        <f>IFERROR(IF(AND(COUNT(U43,V43,X43,Y43)=4,(U43+V43+X43+Y43)&lt;&gt;0),((N(Y186)+N(Y187)+N(Y188)+N(Y191)+N(Y209)+N(Y212))-N(Y118))/(U43+V43+X43+Y43),""),"")</f>
        <v>-0.472220531229161</v>
      </c>
      <c r="Z310" s="262">
        <f>IFERROR(IF(AND(COUNT(V43,X43,Y43,Z43)=4,(V43+X43+Y43+Z43)&lt;&gt;0),((N(Z186)+N(Z187)+N(Z188)+N(Z191)+N(Z209)+N(Z212))-N(Z118))/(V43+X43+Y43+Z43),""),"")</f>
        <v>-0.416923686091719</v>
      </c>
      <c r="AA310" s="262">
        <f>IFERROR(IF(AND(COUNT(X43,Y43,Z43,AA43)=4,(X43+Y43+Z43+AA43)&lt;&gt;0),((N(AA186)+N(AA187)+N(AA188)+N(AA191)+N(AA209)+N(AA212))-N(AA118))/(X43+Y43+Z43+AA43),""),"")</f>
        <v>-0.286218428952335</v>
      </c>
      <c r="AB310" s="262">
        <f>IFERROR(IF(AND(COUNT(X43,Y43,Z43,AA43)=4,(X43+Y43+Z43+AA43)&lt;&gt;0),((N(AB186)+N(AB187)+N(AB188)+N(AB191)+N(AB209)+N(AB212))-N(AB118))/(X43+Y43+Z43+AA43),""),"")</f>
        <v>-0.286218428952335</v>
      </c>
      <c r="AC310" s="262">
        <f>IFERROR(IF(AND(COUNT(Y43,Z43,AA43,AC43)=4,(Y43+Z43+AA43+AC43)&lt;&gt;0),((N(AC186)+N(AC187)+N(AC188)+N(AC191)+N(AC209)+N(AC212))-N(AC118))/(Y43+Z43+AA43+AC43),""),"")</f>
        <v>-0.373091212147594</v>
      </c>
      <c r="AD310" s="262">
        <f>IFERROR(IF(AND(COUNT(Z43,AA43,AC43,AD43)=4,(Z43+AA43+AC43+AD43)&lt;&gt;0),((N(AD186)+N(AD187)+N(AD188)+N(AD191)+N(AD209)+N(AD212))-N(AD118))/(Z43+AA43+AC43+AD43),""),"")</f>
        <v>-0.317512208708517</v>
      </c>
      <c r="AE310" s="262">
        <f>IFERROR(IF(AND(COUNT(AA43,AC43,AD43,AE43)=4,(AA43+AC43+AD43+AE43)&lt;&gt;0),((N(AE186)+N(AE187)+N(AE188)+N(AE191)+N(AE209)+N(AE212))-N(AE118))/(AA43+AC43+AD43+AE43),""),"")</f>
        <v>-0.366815101610631</v>
      </c>
      <c r="AF310" s="262">
        <f>IFERROR(IF(AND(COUNT(AB43,AD43,AE43,AF43)=4,(AB43+AD43+AE43+AF43)&lt;&gt;0),((N(AF186)+N(AF187)+N(AF188)+N(AF191)+N(AF209)+N(AF212))-N(AF118))/(AB43+AD43+AE43+AF43),""),"")</f>
        <v>-0.207834640388959</v>
      </c>
      <c r="AG310" s="262">
        <f>IFERROR(IF(AND(COUNT(AC43,AD43,AE43,AF43)=4,(AC43+AD43+AE43+AF43)&lt;&gt;0),((N(AG186)+N(AG187)+N(AG188)+N(AG191)+N(AG209)+N(AG212))-N(AG118))/(AC43+AD43+AE43+AF43),""),"")</f>
        <v>-0.360837136792609</v>
      </c>
      <c r="AH310" s="262">
        <f>IFERROR(IF(AND(COUNT(AD43,AF43,AG43,AH43)=4,(AD43+AF43+AG43+AH43)&lt;&gt;0),((N(AH186)+N(AH187)+N(AH188)+N(AH191)+N(AH209)+N(AH212))-N(AH118))/(AD43+AF43+AG43+AH43),""),"")</f>
        <v>-0.187048180575747</v>
      </c>
      <c r="AI310" s="262">
        <f>IFERROR(IF(AND(COUNT(AE43,AG43,AH43,AI43)=4,(AE43+AG43+AH43+AI43)&lt;&gt;0),((N(AI186)+N(AI187)+N(AI188)+N(AI191)+N(AI209)+N(AI212))-N(AI118))/(AE43+AG43+AH43+AI43),""),"")</f>
        <v>-0.191539561164854</v>
      </c>
      <c r="AJ310" s="262">
        <f>IFERROR(IF(AND(COUNT(AF43,AH43,AI43,AJ43)=4,(AF43+AH43+AI43+AJ43)&lt;&gt;0),((N(AJ186)+N(AJ187)+N(AJ188)+N(AJ191)+N(AJ209)+N(AJ212))-N(AJ118))/(AF43+AH43+AI43+AJ43),""),"")</f>
        <v>-0.482514084097758</v>
      </c>
      <c r="AK310" s="262">
        <f>IFERROR(IF(AND(COUNT(AH43,AI43,AJ43,AK43)=4,(AH43+AI43+AJ43+AK43)&lt;&gt;0),((N(AK186)+N(AK187)+N(AK188)+N(AK191)+N(AK209)+N(AK212))-N(AK118))/(AH43+AI43+AJ43+AK43),""),"")</f>
        <v>-0.734604653224492</v>
      </c>
      <c r="AL310" s="262">
        <f>IFERROR(IF(AND(COUNT(AH43,AI43,AJ43,AK43)=4,(AH43+AI43+AJ43+AK43)&lt;&gt;0),((N(AL186)+N(AL187)+N(AL188)+N(AL191)+N(AL209)+N(AL212))-N(AL118))/(AH43+AI43+AJ43+AK43),""),"")</f>
        <v>-0.734604653224492</v>
      </c>
      <c r="AM310" s="262">
        <f>IFERROR(IF(AND(COUNT(AI43,AJ43,AK43,AM43)=4,(AI43+AJ43+AK43+AM43)&lt;&gt;0),((N(AM186)+N(AM187)+N(AM188)+N(AM191)+N(AM209)+N(AM212))-N(AM118))/(AI43+AJ43+AK43+AM43),""),"")</f>
        <v>-0.890338473740331</v>
      </c>
      <c r="AN310" s="262">
        <f>IFERROR(IF(AND(COUNT(AJ43,AK43,AM43,AN43)=4,(AJ43+AK43+AM43+AN43)&lt;&gt;0),((N(AN186)+N(AN187)+N(AN188)+N(AN191)+N(AN209)+N(AN212))-N(AN118))/(AJ43+AK43+AM43+AN43),""),"")</f>
        <v>-1.16260127878432</v>
      </c>
      <c r="AO310" s="262">
        <f>IFERROR(IF(AND(COUNT(AK43,AM43,AN43,AO43)=4,(AK43+AM43+AN43+AO43)&lt;&gt;0),((N(AO186)+N(AO187)+N(AO188)+N(AO191)+N(AO209)+N(AO212))-N(AO118))/(AK43+AM43+AN43+AO43),""),"")</f>
        <v>-1.32063199438341</v>
      </c>
      <c r="AP310" s="262">
        <f>IFERROR(IF(AND(COUNT(AM43,AN43,AO43,AP43)=4,(AM43+AN43+AO43+AP43)&lt;&gt;0),((N(AP186)+N(AP187)+N(AP188)+N(AP191)+N(AP209)+N(AP212))-N(AP118))/(AM43+AN43+AO43+AP43),""),"")</f>
        <v>-1.52872273668039</v>
      </c>
      <c r="AQ310" s="262">
        <f>IFERROR(IF(AND(COUNT(AM43,AN43,AO43,AP43)=4,(AM43+AN43+AO43+AP43)&lt;&gt;0),((N(AQ186)+N(AQ187)+N(AQ188)+N(AQ191)+N(AQ209)+N(AQ212))-N(AQ118))/(AM43+AN43+AO43+AP43),""),"")</f>
        <v>-1.52872273668039</v>
      </c>
      <c r="AR310" s="262">
        <f>IFERROR(IF(AND(COUNT(AN43,AO43,AP43,AR43)=4,(AN43+AO43+AP43+AR43)&lt;&gt;0),((N(AR186)+N(AR187)+N(AR188)+N(AR191)+N(AR209)+N(AR212))-N(AR118))/(AN43+AO43+AP43+AR43),""),"")</f>
        <v>-1.69013784995946</v>
      </c>
      <c r="AS310" s="262">
        <f>IFERROR(IF(AND(COUNT(AO43,AP43,AR43,AS43)=4,(AO43+AP43+AR43+AS43)&lt;&gt;0),((N(AS186)+N(AS187)+N(AS188)+N(AS191)+N(AS209)+N(AS212))-N(AS118))/(AO43+AP43+AR43+AS43),""),"")</f>
        <v>-1.89936063977978</v>
      </c>
      <c r="AT310" s="262">
        <f>IFERROR(IF(AND(COUNT(AP43,AR43,AS43,AT43)=4,(AP43+AR43+AS43+AT43)&lt;&gt;0),((N(AT186)+N(AT187)+N(AT188)+N(AT191)+N(AT209)+N(AT212))-N(AT118))/(AP43+AR43+AS43+AT43),""),"")</f>
        <v>-2.03738286321367</v>
      </c>
      <c r="AU310" s="262">
        <f>IFERROR(IF(AND(COUNT(AR43,AS43,AT43,AU43)=4,(AR43+AS43+AT43+AU43)&lt;&gt;0),((N(AU186)+N(AU187)+N(AU188)+N(AU191)+N(AU209)+N(AU212))-N(AU118))/(AR43+AS43+AT43+AU43),""),"")</f>
        <v>-2.21949200043683</v>
      </c>
      <c r="AV310" s="262">
        <f>IFERROR(IF(AND(COUNT(AR43,AS43,AT43,AU43)=4,(AR43+AS43+AT43+AU43)&lt;&gt;0),((N(AV186)+N(AV187)+N(AV188)+N(AV191)+N(AV209)+N(AV212))-N(AV118))/(AR43+AS43+AT43+AU43),""),"")</f>
        <v>-2.21949200043683</v>
      </c>
      <c r="AW310" s="262">
        <f>IFERROR(IF(AND(COUNT(AS43,AT43,AU43,AW43)=4,(AS43+AT43+AU43+AW43)&lt;&gt;0),((N(AW186)+N(AW187)+N(AW188)+N(AW191)+N(AW209)+N(AW212))-N(AW118))/(AS43+AT43+AU43+AW43),""),"")</f>
        <v>-2.36123056129518</v>
      </c>
      <c r="AX310" s="262">
        <f>IFERROR(IF(AND(COUNT(AT43,AU43,AW43,AX43)=4,(AT43+AU43+AW43+AX43)&lt;&gt;0),((N(AX186)+N(AX187)+N(AX188)+N(AX191)+N(AX209)+N(AX212))-N(AX118))/(AT43+AU43+AW43+AX43),""),"")</f>
        <v>-2.54537826831684</v>
      </c>
      <c r="AY310" s="262">
        <f>IFERROR(IF(AND(COUNT(AU43,AW43,AX43,AY43)=4,(AU43+AW43+AX43+AY43)&lt;&gt;0),((N(AY186)+N(AY187)+N(AY188)+N(AY191)+N(AY209)+N(AY212))-N(AY118))/(AU43+AW43+AX43+AY43),""),"")</f>
        <v>-2.66712485035214</v>
      </c>
      <c r="AZ310" s="262">
        <f>IFERROR(IF(AND(COUNT(AW43,AX43,AY43,AZ43)=4,(AW43+AX43+AY43+AZ43)&lt;&gt;0),((N(AZ186)+N(AZ187)+N(AZ188)+N(AZ191)+N(AZ209)+N(AZ212))-N(AZ118))/(AW43+AX43+AY43+AZ43),""),"")</f>
        <v>-2.82808441790536</v>
      </c>
      <c r="BA310" s="262">
        <f>IFERROR(IF(AND(COUNT(AW43,AX43,AY43,AZ43)=4,(AW43+AX43+AY43+AZ43)&lt;&gt;0),((N(BA186)+N(BA187)+N(BA188)+N(BA191)+N(BA209)+N(BA212))-N(BA118))/(AW43+AX43+AY43+AZ43),""),"")</f>
        <v>-2.82808441790536</v>
      </c>
      <c r="BB310" s="262">
        <f>IFERROR(IF(AND(COUNT(AX43,AY43,AZ43,BB43)=4,(AX43+AY43+AZ43+BB43)&lt;&gt;0),((N(BB186)+N(BB187)+N(BB188)+N(BB191)+N(BB209)+N(BB212))-N(BB118))/(AX43+AY43+AZ43+BB43),""),"")</f>
        <v>-2.95386798286513</v>
      </c>
      <c r="BC310" s="262">
        <f>IFERROR(IF(AND(COUNT(AY43,AZ43,BB43,BC43)=4,(AY43+AZ43+BB43+BC43)&lt;&gt;0),((N(BC186)+N(BC187)+N(BC188)+N(BC191)+N(BC209)+N(BC212))-N(BC118))/(AY43+AZ43+BB43+BC43),""),"")</f>
        <v>-3.11766955652729</v>
      </c>
      <c r="BD310" s="262">
        <f>IFERROR(IF(AND(COUNT(AZ43,BB43,BC43,BD43)=4,(AZ43+BB43+BC43+BD43)&lt;&gt;0),((N(BD186)+N(BD187)+N(BD188)+N(BD191)+N(BD209)+N(BD212))-N(BD118))/(AZ43+BB43+BC43+BD43),""),"")</f>
        <v>-3.22620285145244</v>
      </c>
      <c r="BE310" s="262">
        <f>IFERROR(IF(AND(COUNT(BB43,BC43,BD43,BE43)=4,(BB43+BC43+BD43+BE43)&lt;&gt;0),((N(BE186)+N(BE187)+N(BE188)+N(BE191)+N(BE209)+N(BE212))-N(BE118))/(BB43+BC43+BD43+BE43),""),"")</f>
        <v>-3.36998540945418</v>
      </c>
      <c r="BF310" s="262">
        <f>IFERROR(IF(AND(COUNT(BB43,BC43,BD43,BE43)=4,(BB43+BC43+BD43+BE43)&lt;&gt;0),((N(BF186)+N(BF187)+N(BF188)+N(BF191)+N(BF209)+N(BF212))-N(BF118))/(BB43+BC43+BD43+BE43),""),"")</f>
        <v>-3.36998540945418</v>
      </c>
      <c r="BG310" s="82" t="n"/>
      <c r="BH310" s="82" t="n"/>
      <c r="BI310" s="82" t="n"/>
      <c r="BJ310" s="82" t="n"/>
      <c r="BL310" s="82" t="n"/>
      <c r="BM310" s="82" t="n"/>
      <c r="BN310" s="82" t="n"/>
      <c r="BO310" s="82" t="n"/>
      <c r="BQ310" s="82" t="n"/>
      <c r="BR310" s="82" t="n"/>
      <c r="BS310" s="82" t="n"/>
      <c r="BT310" s="82" t="n"/>
      <c r="BV310" s="82" t="n"/>
      <c r="BW310" s="82" t="n"/>
      <c r="BX310" s="82" t="n"/>
      <c r="BY310" s="82" t="n"/>
      <c r="CA310" s="82" t="n"/>
      <c r="CB310" s="82" t="n"/>
      <c r="CC310" s="82" t="n"/>
      <c r="CD310" s="82" t="n"/>
      <c r="CF310" s="82" t="n"/>
      <c r="CG310" s="82" t="n"/>
      <c r="CH310" s="82" t="n"/>
      <c r="CI310" s="82" t="n"/>
      <c r="CK310" s="82" t="n"/>
      <c r="CL310" s="82" t="n"/>
      <c r="CM310" s="82" t="n"/>
      <c r="CN310" s="82" t="n"/>
      <c r="CP310" s="82" t="n"/>
      <c r="CQ310" s="82" t="n"/>
      <c r="CR310" s="82" t="n"/>
      <c r="CS310" s="82" t="n"/>
      <c r="CU310" s="82" t="n"/>
      <c r="CV310" s="82" t="n"/>
      <c r="CW310" s="82" t="n"/>
      <c r="CX310" s="82" t="n"/>
    </row>
    <row r="311" customFormat="1" s="77">
      <c r="A311" s="76" t="n"/>
      <c r="B311" s="76" t="n"/>
      <c r="C311" s="83" t="inlineStr">
        <is>
          <t>NET DEBT (EX IFRS 16.) / EBITDA (LTM)</t>
        </is>
      </c>
      <c r="D311" s="82" t="str">
        <f>IFERROR(SUM((D186+D187+D191)-D118)/(D43*4),"")</f>
        <v/>
      </c>
      <c r="E311" s="82" t="str">
        <f>IFERROR(SUM((E186+E187+E191)-E118)/(E43*4),"")</f>
        <v/>
      </c>
      <c r="F311" s="82" t="str">
        <f>IFERROR(SUM((F186+F187+F191)-F118)/(F43*4),"")</f>
        <v/>
      </c>
      <c r="G311" s="82" t="str">
        <f>IFERROR(SUM((G186+G187+G191)-G118)/(G43*4),"")</f>
        <v/>
      </c>
      <c r="H311" s="262" t="str">
        <f>IFERROR(IF(AND(COUNT(H43)=1,(H43)&lt;&gt;0),((N(H186)+N(H187)+N(H191)+N(H212))-N(H118))/(H43),""),"")</f>
        <v/>
      </c>
      <c r="I311" s="262" t="str">
        <f>""</f>
        <v/>
      </c>
      <c r="J311" s="262" t="str">
        <f>""</f>
        <v/>
      </c>
      <c r="K311" s="262" t="str">
        <f>""</f>
        <v/>
      </c>
      <c r="L311" s="262">
        <f>IFERROR(IF(AND(COUNT(I43,J43,K43,L43)=4,(I43+J43+K43+L43)&lt;&gt;0),((N(L186)+N(L187)+N(L191)+N(L212))-N(L118))/(I43+J43+K43+L43),""),"")</f>
        <v>-0.158500797910881</v>
      </c>
      <c r="M311" s="262">
        <f>IFERROR(IF(AND(COUNT(I43,J43,K43,L43)=4,(I43+J43+K43+L43)&lt;&gt;0),((N(M186)+N(M187)+N(M191)+N(M212))-N(M118))/(I43+J43+K43+L43),""),"")</f>
        <v>-0.158500797910881</v>
      </c>
      <c r="N311" s="262">
        <f>IFERROR(IF(AND(COUNT(J43,K43,L43,N43)=4,(J43+K43+L43+N43)&lt;&gt;0),((N(N186)+N(N187)+N(N191)+N(N212))-N(N118))/(J43+K43+L43+N43),""),"")</f>
        <v>-0.295825533174517</v>
      </c>
      <c r="O311" s="262">
        <f>IFERROR(IF(AND(COUNT(K43,L43,N43,O43)=4,(K43+L43+N43+O43)&lt;&gt;0),((N(O186)+N(O187)+N(O191)+N(O212))-N(O118))/(K43+L43+N43+O43),""),"")</f>
        <v>-0.419655971544232</v>
      </c>
      <c r="P311" s="262">
        <f>IFERROR(IF(AND(COUNT(L43,N43,O43,P43)=4,(L43+N43+O43+P43)&lt;&gt;0),((N(P186)+N(P187)+N(P191)+N(P212))-N(P118))/(L43+N43+O43+P43),""),"")</f>
        <v>-0.533764485826495</v>
      </c>
      <c r="Q311" s="262">
        <f>IFERROR(IF(AND(COUNT(N43,O43,P43,Q43)=4,(N43+O43+P43+Q43)&lt;&gt;0),((N(Q186)+N(Q187)+N(Q191)+N(Q212))-N(Q118))/(N43+O43+P43+Q43),""),"")</f>
        <v>-1.0822154859531</v>
      </c>
      <c r="R311" s="262">
        <f>IFERROR(IF(AND(COUNT(N43,O43,P43,Q43)=4,(N43+O43+P43+Q43)&lt;&gt;0),((N(R186)+N(R187)+N(R191)+N(R212))-N(R118))/(N43+O43+P43+Q43),""),"")</f>
        <v>-1.0822154859531</v>
      </c>
      <c r="S311" s="262">
        <f>IFERROR(IF(AND(COUNT(O43,P43,Q43,S43)=4,(O43+P43+Q43+S43)&lt;&gt;0),((N(S186)+N(S187)+N(S191)+N(S212))-N(S118))/(O43+P43+Q43+S43),""),"")</f>
        <v>-2.31248049769076</v>
      </c>
      <c r="T311" s="262">
        <f>IFERROR(IF(AND(COUNT(P43,Q43,S43,T43)=4,(P43+Q43+S43+T43)&lt;&gt;0),((N(T186)+N(T187)+N(T191)+N(T212))-N(T118))/(P43+Q43+S43+T43),""),"")</f>
        <v>-1.21159572746997</v>
      </c>
      <c r="U311" s="262">
        <f>IFERROR(IF(AND(COUNT(Q43,S43,T43,U43)=4,(Q43+S43+T43+U43)&lt;&gt;0),((N(U186)+N(U187)+N(U191)+N(U212))-N(U118))/(Q43+S43+T43+U43),""),"")</f>
        <v>-0.781764834480834</v>
      </c>
      <c r="V311" s="262">
        <f>IFERROR(IF(AND(COUNT(S43,T43,U43,V43)=4,(S43+T43+U43+V43)&lt;&gt;0),((N(V186)+N(V187)+N(V191)+N(V212))-N(V118))/(S43+T43+U43+V43),""),"")</f>
        <v>-0.841245794647601</v>
      </c>
      <c r="W311" s="262">
        <f>IFERROR(IF(AND(COUNT(S43,T43,U43,V43)=4,(S43+T43+U43+V43)&lt;&gt;0),((N(W186)+N(W187)+N(W191)+N(W212))-N(W118))/(S43+T43+U43+V43),""),"")</f>
        <v>-0.841245794647601</v>
      </c>
      <c r="X311" s="262">
        <f>IFERROR(IF(AND(COUNT(T43,U43,V43,X43)=4,(T43+U43+V43+X43)&lt;&gt;0),((N(X186)+N(X187)+N(X191)+N(X212))-N(X118))/(T43+U43+V43+X43),""),"")</f>
        <v>-0.479935880053925</v>
      </c>
      <c r="Y311" s="262">
        <f>IFERROR(IF(AND(COUNT(U43,V43,X43,Y43)=4,(U43+V43+X43+Y43)&lt;&gt;0),((N(Y186)+N(Y187)+N(Y191)+N(Y212))-N(Y118))/(U43+V43+X43+Y43),""),"")</f>
        <v>-0.472220531229161</v>
      </c>
      <c r="Z311" s="262">
        <f>IFERROR(IF(AND(COUNT(V43,X43,Y43,Z43)=4,(V43+X43+Y43+Z43)&lt;&gt;0),((N(Z186)+N(Z187)+N(Z191)+N(Z212))-N(Z118))/(V43+X43+Y43+Z43),""),"")</f>
        <v>-0.416923686091719</v>
      </c>
      <c r="AA311" s="262">
        <f>IFERROR(IF(AND(COUNT(X43,Y43,Z43,AA43)=4,(X43+Y43+Z43+AA43)&lt;&gt;0),((N(AA186)+N(AA187)+N(AA191)+N(AA212))-N(AA118))/(X43+Y43+Z43+AA43),""),"")</f>
        <v>-0.286218428952335</v>
      </c>
      <c r="AB311" s="262">
        <f>IFERROR(IF(AND(COUNT(X43,Y43,Z43,AA43)=4,(X43+Y43+Z43+AA43)&lt;&gt;0),((N(AB186)+N(AB187)+N(AB191)+N(AB212))-N(AB118))/(X43+Y43+Z43+AA43),""),"")</f>
        <v>-0.286218428952335</v>
      </c>
      <c r="AC311" s="262">
        <f>IFERROR(IF(AND(COUNT(Y43,Z43,AA43,AC43)=4,(Y43+Z43+AA43+AC43)&lt;&gt;0),((N(AC186)+N(AC187)+N(AC191)+N(AC212))-N(AC118))/(Y43+Z43+AA43+AC43),""),"")</f>
        <v>-0.373091212147594</v>
      </c>
      <c r="AD311" s="262">
        <f>IFERROR(IF(AND(COUNT(Z43,AA43,AC43,AD43)=4,(Z43+AA43+AC43+AD43)&lt;&gt;0),((N(AD186)+N(AD187)+N(AD191)+N(AD212))-N(AD118))/(Z43+AA43+AC43+AD43),""),"")</f>
        <v>-0.317512208708517</v>
      </c>
      <c r="AE311" s="262">
        <f>IFERROR(IF(AND(COUNT(AA43,AC43,AD43,AE43)=4,(AA43+AC43+AD43+AE43)&lt;&gt;0),((N(AE186)+N(AE187)+N(AE191)+N(AE212))-N(AE118))/(AA43+AC43+AD43+AE43),""),"")</f>
        <v>-0.366815101610631</v>
      </c>
      <c r="AF311" s="262">
        <f>IFERROR(IF(AND(COUNT(AB43,AD43,AE43,AF43)=4,(AB43+AD43+AE43+AF43)&lt;&gt;0),((N(AF186)+N(AF187)+N(AF191)+N(AF212))-N(AF118))/(AB43+AD43+AE43+AF43),""),"")</f>
        <v>-0.207834640388959</v>
      </c>
      <c r="AG311" s="262">
        <f>IFERROR(IF(AND(COUNT(AC43,AD43,AE43,AF43)=4,(AC43+AD43+AE43+AF43)&lt;&gt;0),((N(AG186)+N(AG187)+N(AG191)+N(AG212))-N(AG118))/(AC43+AD43+AE43+AF43),""),"")</f>
        <v>-0.360837136792609</v>
      </c>
      <c r="AH311" s="262">
        <f>IFERROR(IF(AND(COUNT(AD43,AF43,AG43,AH43)=4,(AD43+AF43+AG43+AH43)&lt;&gt;0),((N(AH186)+N(AH187)+N(AH191)+N(AH212))-N(AH118))/(AD43+AF43+AG43+AH43),""),"")</f>
        <v>-0.187048180575747</v>
      </c>
      <c r="AI311" s="262">
        <f>IFERROR(IF(AND(COUNT(AE43,AG43,AH43,AI43)=4,(AE43+AG43+AH43+AI43)&lt;&gt;0),((N(AI186)+N(AI187)+N(AI191)+N(AI212))-N(AI118))/(AE43+AG43+AH43+AI43),""),"")</f>
        <v>-0.191539561164854</v>
      </c>
      <c r="AJ311" s="262">
        <f>IFERROR(IF(AND(COUNT(AF43,AH43,AI43,AJ43)=4,(AF43+AH43+AI43+AJ43)&lt;&gt;0),((N(AJ186)+N(AJ187)+N(AJ191)+N(AJ212))-N(AJ118))/(AF43+AH43+AI43+AJ43),""),"")</f>
        <v>-0.482514084097758</v>
      </c>
      <c r="AK311" s="262">
        <f>IFERROR(IF(AND(COUNT(AH43,AI43,AJ43,AK43)=4,(AH43+AI43+AJ43+AK43)&lt;&gt;0),((N(AK186)+N(AK187)+N(AK191)+N(AK212))-N(AK118))/(AH43+AI43+AJ43+AK43),""),"")</f>
        <v>-0.734604653224492</v>
      </c>
      <c r="AL311" s="262">
        <f>IFERROR(IF(AND(COUNT(AH43,AI43,AJ43,AK43)=4,(AH43+AI43+AJ43+AK43)&lt;&gt;0),((N(AL186)+N(AL187)+N(AL191)+N(AL212))-N(AL118))/(AH43+AI43+AJ43+AK43),""),"")</f>
        <v>-0.734604653224492</v>
      </c>
      <c r="AM311" s="262">
        <f>IFERROR(IF(AND(COUNT(AI43,AJ43,AK43,AM43)=4,(AI43+AJ43+AK43+AM43)&lt;&gt;0),((N(AM186)+N(AM187)+N(AM191)+N(AM212))-N(AM118))/(AI43+AJ43+AK43+AM43),""),"")</f>
        <v>-0.890338473740331</v>
      </c>
      <c r="AN311" s="262">
        <f>IFERROR(IF(AND(COUNT(AJ43,AK43,AM43,AN43)=4,(AJ43+AK43+AM43+AN43)&lt;&gt;0),((N(AN186)+N(AN187)+N(AN191)+N(AN212))-N(AN118))/(AJ43+AK43+AM43+AN43),""),"")</f>
        <v>-1.16260127878432</v>
      </c>
      <c r="AO311" s="262">
        <f>IFERROR(IF(AND(COUNT(AK43,AM43,AN43,AO43)=4,(AK43+AM43+AN43+AO43)&lt;&gt;0),((N(AO186)+N(AO187)+N(AO191)+N(AO212))-N(AO118))/(AK43+AM43+AN43+AO43),""),"")</f>
        <v>-1.32063199438341</v>
      </c>
      <c r="AP311" s="262">
        <f>IFERROR(IF(AND(COUNT(AM43,AN43,AO43,AP43)=4,(AM43+AN43+AO43+AP43)&lt;&gt;0),((N(AP186)+N(AP187)+N(AP191)+N(AP212))-N(AP118))/(AM43+AN43+AO43+AP43),""),"")</f>
        <v>-1.52872273668039</v>
      </c>
      <c r="AQ311" s="262">
        <f>IFERROR(IF(AND(COUNT(AM43,AN43,AO43,AP43)=4,(AM43+AN43+AO43+AP43)&lt;&gt;0),((N(AQ186)+N(AQ187)+N(AQ191)+N(AQ212))-N(AQ118))/(AM43+AN43+AO43+AP43),""),"")</f>
        <v>-1.52872273668039</v>
      </c>
      <c r="AR311" s="262">
        <f>IFERROR(IF(AND(COUNT(AN43,AO43,AP43,AR43)=4,(AN43+AO43+AP43+AR43)&lt;&gt;0),((N(AR186)+N(AR187)+N(AR191)+N(AR212))-N(AR118))/(AN43+AO43+AP43+AR43),""),"")</f>
        <v>-1.69013784995946</v>
      </c>
      <c r="AS311" s="262">
        <f>IFERROR(IF(AND(COUNT(AO43,AP43,AR43,AS43)=4,(AO43+AP43+AR43+AS43)&lt;&gt;0),((N(AS186)+N(AS187)+N(AS191)+N(AS212))-N(AS118))/(AO43+AP43+AR43+AS43),""),"")</f>
        <v>-1.89936063977978</v>
      </c>
      <c r="AT311" s="262">
        <f>IFERROR(IF(AND(COUNT(AP43,AR43,AS43,AT43)=4,(AP43+AR43+AS43+AT43)&lt;&gt;0),((N(AT186)+N(AT187)+N(AT191)+N(AT212))-N(AT118))/(AP43+AR43+AS43+AT43),""),"")</f>
        <v>-2.03738286321367</v>
      </c>
      <c r="AU311" s="262">
        <f>IFERROR(IF(AND(COUNT(AR43,AS43,AT43,AU43)=4,(AR43+AS43+AT43+AU43)&lt;&gt;0),((N(AU186)+N(AU187)+N(AU191)+N(AU212))-N(AU118))/(AR43+AS43+AT43+AU43),""),"")</f>
        <v>-2.21949200043683</v>
      </c>
      <c r="AV311" s="262">
        <f>IFERROR(IF(AND(COUNT(AR43,AS43,AT43,AU43)=4,(AR43+AS43+AT43+AU43)&lt;&gt;0),((N(AV186)+N(AV187)+N(AV191)+N(AV212))-N(AV118))/(AR43+AS43+AT43+AU43),""),"")</f>
        <v>-2.21949200043683</v>
      </c>
      <c r="AW311" s="262">
        <f>IFERROR(IF(AND(COUNT(AS43,AT43,AU43,AW43)=4,(AS43+AT43+AU43+AW43)&lt;&gt;0),((N(AW186)+N(AW187)+N(AW191)+N(AW212))-N(AW118))/(AS43+AT43+AU43+AW43),""),"")</f>
        <v>-2.36123056129518</v>
      </c>
      <c r="AX311" s="262">
        <f>IFERROR(IF(AND(COUNT(AT43,AU43,AW43,AX43)=4,(AT43+AU43+AW43+AX43)&lt;&gt;0),((N(AX186)+N(AX187)+N(AX191)+N(AX212))-N(AX118))/(AT43+AU43+AW43+AX43),""),"")</f>
        <v>-2.54537826831684</v>
      </c>
      <c r="AY311" s="262">
        <f>IFERROR(IF(AND(COUNT(AU43,AW43,AX43,AY43)=4,(AU43+AW43+AX43+AY43)&lt;&gt;0),((N(AY186)+N(AY187)+N(AY191)+N(AY212))-N(AY118))/(AU43+AW43+AX43+AY43),""),"")</f>
        <v>-2.66712485035214</v>
      </c>
      <c r="AZ311" s="262">
        <f>IFERROR(IF(AND(COUNT(AW43,AX43,AY43,AZ43)=4,(AW43+AX43+AY43+AZ43)&lt;&gt;0),((N(AZ186)+N(AZ187)+N(AZ191)+N(AZ212))-N(AZ118))/(AW43+AX43+AY43+AZ43),""),"")</f>
        <v>-2.82808441790536</v>
      </c>
      <c r="BA311" s="262">
        <f>IFERROR(IF(AND(COUNT(AW43,AX43,AY43,AZ43)=4,(AW43+AX43+AY43+AZ43)&lt;&gt;0),((N(BA186)+N(BA187)+N(BA191)+N(BA212))-N(BA118))/(AW43+AX43+AY43+AZ43),""),"")</f>
        <v>-2.82808441790536</v>
      </c>
      <c r="BB311" s="262">
        <f>IFERROR(IF(AND(COUNT(AX43,AY43,AZ43,BB43)=4,(AX43+AY43+AZ43+BB43)&lt;&gt;0),((N(BB186)+N(BB187)+N(BB191)+N(BB212))-N(BB118))/(AX43+AY43+AZ43+BB43),""),"")</f>
        <v>-2.95386798286513</v>
      </c>
      <c r="BC311" s="262">
        <f>IFERROR(IF(AND(COUNT(AY43,AZ43,BB43,BC43)=4,(AY43+AZ43+BB43+BC43)&lt;&gt;0),((N(BC186)+N(BC187)+N(BC191)+N(BC212))-N(BC118))/(AY43+AZ43+BB43+BC43),""),"")</f>
        <v>-3.11766955652729</v>
      </c>
      <c r="BD311" s="262">
        <f>IFERROR(IF(AND(COUNT(AZ43,BB43,BC43,BD43)=4,(AZ43+BB43+BC43+BD43)&lt;&gt;0),((N(BD186)+N(BD187)+N(BD191)+N(BD212))-N(BD118))/(AZ43+BB43+BC43+BD43),""),"")</f>
        <v>-3.22620285145244</v>
      </c>
      <c r="BE311" s="262">
        <f>IFERROR(IF(AND(COUNT(BB43,BC43,BD43,BE43)=4,(BB43+BC43+BD43+BE43)&lt;&gt;0),((N(BE186)+N(BE187)+N(BE191)+N(BE212))-N(BE118))/(BB43+BC43+BD43+BE43),""),"")</f>
        <v>-3.36998540945418</v>
      </c>
      <c r="BF311" s="262">
        <f>IFERROR(IF(AND(COUNT(BB43,BC43,BD43,BE43)=4,(BB43+BC43+BD43+BE43)&lt;&gt;0),((N(BF186)+N(BF187)+N(BF191)+N(BF212))-N(BF118))/(BB43+BC43+BD43+BE43),""),"")</f>
        <v>-3.36998540945418</v>
      </c>
      <c r="BG311" s="82" t="n"/>
      <c r="BH311" s="82" t="n"/>
      <c r="BI311" s="82" t="n"/>
      <c r="BJ311" s="82" t="n"/>
      <c r="BL311" s="82" t="n"/>
      <c r="BM311" s="82" t="n"/>
      <c r="BN311" s="82" t="n"/>
      <c r="BO311" s="82" t="n"/>
      <c r="BQ311" s="82" t="n"/>
      <c r="BR311" s="82" t="n"/>
      <c r="BS311" s="82" t="n"/>
      <c r="BT311" s="82" t="n"/>
      <c r="BV311" s="82" t="n"/>
      <c r="BW311" s="82" t="n"/>
      <c r="BX311" s="82" t="n"/>
      <c r="BY311" s="82" t="n"/>
      <c r="CA311" s="82" t="n"/>
      <c r="CB311" s="82" t="n"/>
      <c r="CC311" s="82" t="n"/>
      <c r="CD311" s="82" t="n"/>
      <c r="CF311" s="82" t="n"/>
      <c r="CG311" s="82" t="n"/>
      <c r="CH311" s="82" t="n"/>
      <c r="CI311" s="82" t="n"/>
      <c r="CK311" s="82" t="n"/>
      <c r="CL311" s="82" t="n"/>
      <c r="CM311" s="82" t="n"/>
      <c r="CN311" s="82" t="n"/>
      <c r="CP311" s="82" t="n"/>
      <c r="CQ311" s="82" t="n"/>
      <c r="CR311" s="82" t="n"/>
      <c r="CS311" s="82" t="n"/>
      <c r="CU311" s="82" t="n"/>
      <c r="CV311" s="82" t="n"/>
      <c r="CW311" s="82" t="n"/>
      <c r="CX311" s="82" t="n"/>
    </row>
    <row r="312" customFormat="1" s="77">
      <c r="A312" s="76" t="n"/>
      <c r="B312" s="76" t="n"/>
      <c r="C312" s="77" t="inlineStr">
        <is>
          <t>INTEREST COVERAGE (EBIT / INTEREST, LTM)</t>
        </is>
      </c>
      <c r="D312" s="82" t="str">
        <f>IFERROR(D47/-D48,"")</f>
        <v/>
      </c>
      <c r="E312" s="82" t="str">
        <f>IFERROR(E47/-E48,"")</f>
        <v/>
      </c>
      <c r="F312" s="82" t="str">
        <f>IFERROR(F47/-F48,"")</f>
        <v/>
      </c>
      <c r="G312" s="82" t="str">
        <f>IFERROR(G47/-G48,"")</f>
        <v/>
      </c>
      <c r="H312" s="262" t="str">
        <f>IFERROR(IF(AND(COUNT(H47)=1,(H48)&lt;&gt;0),(H47)/-(H48),""),"")</f>
        <v/>
      </c>
      <c r="I312" s="262" t="str">
        <f>""</f>
        <v/>
      </c>
      <c r="J312" s="262" t="str">
        <f>""</f>
        <v/>
      </c>
      <c r="K312" s="262" t="str">
        <f>""</f>
        <v/>
      </c>
      <c r="L312" s="262">
        <f>IFERROR(IF(AND(COUNT(I47,J47,K47,L47)=4,(I48+J48+K48+L48)&lt;&gt;0),(I47+J47+K47+L47)/-(I48+J48+K48+L48),""),"")</f>
        <v>67.0748633163193</v>
      </c>
      <c r="M312" s="262">
        <f>IFERROR(IF(AND(COUNT(I47,J47,K47,L47)=4,(I48+J48+K48+L48)&lt;&gt;0),(I47+J47+K47+L47)/-(I48+J48+K48+L48),""),"")</f>
        <v>67.0748633163193</v>
      </c>
      <c r="N312" s="262">
        <f>IFERROR(IF(AND(COUNT(J47,K47,L47,N47)=4,(J48+K48+L48+N48)&lt;&gt;0),(J47+K47+L47+N47)/-(J48+K48+L48+N48),""),"")</f>
        <v>59.0932046247819</v>
      </c>
      <c r="O312" s="262">
        <f>IFERROR(IF(AND(COUNT(K47,L47,N47,O47)=4,(K48+L48+N48+O48)&lt;&gt;0),(K47+L47+N47+O47)/-(K48+L48+N48+O48),""),"")</f>
        <v>40.3249168541524</v>
      </c>
      <c r="P312" s="262">
        <f>IFERROR(IF(AND(COUNT(L47,N47,O47,P47)=4,(L48+N48+O48+P48)&lt;&gt;0),(L47+N47+O47+P47)/-(L48+N48+O48+P48),""),"")</f>
        <v>23.5832303270115</v>
      </c>
      <c r="Q312" s="262">
        <f>IFERROR(IF(AND(COUNT(N47,O47,P47,Q47)=4,(N48+O48+P48+Q48)&lt;&gt;0),(N47+O47+P47+Q47)/-(N48+O48+P48+Q48),""),"")</f>
        <v>12.1739238710694</v>
      </c>
      <c r="R312" s="262">
        <f>IFERROR(IF(AND(COUNT(N47,O47,P47,Q47)=4,(N48+O48+P48+Q48)&lt;&gt;0),(N47+O47+P47+Q47)/-(N48+O48+P48+Q48),""),"")</f>
        <v>12.1739238710694</v>
      </c>
      <c r="S312" s="262">
        <f>IFERROR(IF(AND(COUNT(O47,P47,Q47,S47)=4,(O48+P48+Q48+S48)&lt;&gt;0),(O47+P47+Q47+S47)/-(O48+P48+Q48+S48),""),"")</f>
        <v>3.27626585220853</v>
      </c>
      <c r="T312" s="262">
        <f>IFERROR(IF(AND(COUNT(P47,Q47,S47,T47)=4,(P48+Q48+S48+T48)&lt;&gt;0),(P47+Q47+S47+T47)/-(P48+Q48+S48+T48),""),"")</f>
        <v>6.75068446487176</v>
      </c>
      <c r="U312" s="262">
        <f>IFERROR(IF(AND(COUNT(Q47,S47,T47,U47)=4,(Q48+S48+T48+U48)&lt;&gt;0),(Q47+S47+T47+U47)/-(Q48+S48+T48+U48),""),"")</f>
        <v>8.86792533031065</v>
      </c>
      <c r="V312" s="262">
        <f>IFERROR(IF(AND(COUNT(S47,T47,U47,V47)=4,(S48+T48+U48+V48)&lt;&gt;0),(S47+T47+U47+V47)/-(S48+T48+U48+V48),""),"")</f>
        <v>8.04314975872257</v>
      </c>
      <c r="W312" s="262">
        <f>IFERROR(IF(AND(COUNT(S47,T47,U47,V47)=4,(S48+T48+U48+V48)&lt;&gt;0),(S47+T47+U47+V47)/-(S48+T48+U48+V48),""),"")</f>
        <v>8.04314975872257</v>
      </c>
      <c r="X312" s="262">
        <f>IFERROR(IF(AND(COUNT(T47,U47,V47,X47)=4,(T48+U48+V48+X48)&lt;&gt;0),(T47+U47+V47+X47)/-(T48+U48+V48+X48),""),"")</f>
        <v>11.8960172623557</v>
      </c>
      <c r="Y312" s="262">
        <f>IFERROR(IF(AND(COUNT(U47,V47,X47,Y47)=4,(U48+V48+X48+Y48)&lt;&gt;0),(U47+V47+X47+Y47)/-(U48+V48+X48+Y48),""),"")</f>
        <v>11.4801696663992</v>
      </c>
      <c r="Z312" s="262">
        <f>IFERROR(IF(AND(COUNT(V47,X47,Y47,Z47)=4,(V48+X48+Y48+Z48)&lt;&gt;0),(V47+X47+Y47+Z47)/-(V48+X48+Y48+Z48),""),"")</f>
        <v>12.8374594861841</v>
      </c>
      <c r="AA312" s="262">
        <f>IFERROR(IF(AND(COUNT(X47,Y47,Z47,AA47)=4,(X48+Y48+Z48+AA48)&lt;&gt;0),(X47+Y47+Z47+AA47)/-(X48+Y48+Z48+AA48),""),"")</f>
        <v>15.4485359081156</v>
      </c>
      <c r="AB312" s="262">
        <f>IFERROR(IF(AND(COUNT(X47,Y47,Z47,AA47)=4,(X48+Y48+Z48+AA48)&lt;&gt;0),(X47+Y47+Z47+AA47)/-(X48+Y48+Z48+AA48),""),"")</f>
        <v>15.4485359081156</v>
      </c>
      <c r="AC312" s="262">
        <f>IFERROR(IF(AND(COUNT(Y47,Z47,AA47,AC47)=4,(Y48+Z48+AA48+AC48)&lt;&gt;0),(Y47+Z47+AA47+AC47)/-(Y48+Z48+AA48+AC48),""),"")</f>
        <v>14.0252358906526</v>
      </c>
      <c r="AD312" s="262">
        <f>IFERROR(IF(AND(COUNT(Z47,AA47,AC47,AD47)=4,(Z48+AA48+AC48+AD48)&lt;&gt;0),(Z47+AA47+AC47+AD47)/-(Z48+AA48+AC48+AD48),""),"")</f>
        <v>14.5686097927231</v>
      </c>
      <c r="AE312" s="262">
        <f>IFERROR(IF(AND(COUNT(AA47,AC47,AD47,AE47)=4,(AA48+AC48+AD48+AE48)&lt;&gt;0),(AA47+AC47+AD47+AE47)/-(AA48+AC48+AD48+AE48),""),"")</f>
        <v>13.2937628717295</v>
      </c>
      <c r="AF312" s="262">
        <f>IFERROR(IF(AND(COUNT(AB47,AD47,AE47,AF47)=4,(AB48+AD48+AE48+AF48)&lt;&gt;0),(AB47+AD47+AE47+AF47)/-(AB48+AD48+AE48+AF48),""),"")</f>
        <v>15.1065564039252</v>
      </c>
      <c r="AG312" s="262">
        <f>IFERROR(IF(AND(COUNT(AC47,AD47,AE47,AF47)=4,(AC48+AD48+AE48+AF48)&lt;&gt;0),(AC47+AD47+AE47+AF47)/-(AC48+AD48+AE48+AF48),""),"")</f>
        <v>14.2745861809826</v>
      </c>
      <c r="AH312" s="262">
        <f>IFERROR(IF(AND(COUNT(AD47,AF47,AG47,AH47)=4,(AD48+AF48+AG48+AH48)&lt;&gt;0),(AD47+AF47+AG47+AH47)/-(AD48+AF48+AG48+AH48),""),"")</f>
        <v>14.3266657721841</v>
      </c>
      <c r="AI312" s="262">
        <f>IFERROR(IF(AND(COUNT(AE47,AG47,AH47,AI47)=4,(AE48+AG48+AH48+AI48)&lt;&gt;0),(AE47+AG47+AH47+AI47)/-(AE48+AG48+AH48+AI48),""),"")</f>
        <v>14.2099537678443</v>
      </c>
      <c r="AJ312" s="262" t="str">
        <f>IFERROR(IF(AND(COUNT(AF47,AH47,AI47,AJ47)=4,(AF48+AH48+AI48+AJ48)&lt;&gt;0),(AF47+AH47+AI47+AJ47)/-(AF48+AH48+AI48+AJ48),""),"")</f>
        <v/>
      </c>
      <c r="AK312" s="262" t="str">
        <f>IFERROR(IF(AND(COUNT(AH47,AI47,AJ47,AK47)=4,(AH48+AI48+AJ48+AK48)&lt;&gt;0),(AH47+AI47+AJ47+AK47)/-(AH48+AI48+AJ48+AK48),""),"")</f>
        <v/>
      </c>
      <c r="AL312" s="262" t="str">
        <f>IFERROR(IF(AND(COUNT(AH47,AI47,AJ47,AK47)=4,(AH48+AI48+AJ48+AK48)&lt;&gt;0),(AH47+AI47+AJ47+AK47)/-(AH48+AI48+AJ48+AK48),""),"")</f>
        <v/>
      </c>
      <c r="AM312" s="262" t="str">
        <f>IFERROR(IF(AND(COUNT(AI47,AJ47,AK47,AM47)=4,(AI48+AJ48+AK48+AM48)&lt;&gt;0),(AI47+AJ47+AK47+AM47)/-(AI48+AJ48+AK48+AM48),""),"")</f>
        <v/>
      </c>
      <c r="AN312" s="262" t="str">
        <f>IFERROR(IF(AND(COUNT(AJ47,AK47,AM47,AN47)=4,(AJ48+AK48+AM48+AN48)&lt;&gt;0),(AJ47+AK47+AM47+AN47)/-(AJ48+AK48+AM48+AN48),""),"")</f>
        <v/>
      </c>
      <c r="AO312" s="262" t="str">
        <f>IFERROR(IF(AND(COUNT(AK47,AM47,AN47,AO47)=4,(AK48+AM48+AN48+AO48)&lt;&gt;0),(AK47+AM47+AN47+AO47)/-(AK48+AM48+AN48+AO48),""),"")</f>
        <v/>
      </c>
      <c r="AP312" s="262" t="str">
        <f>IFERROR(IF(AND(COUNT(AM47,AN47,AO47,AP47)=4,(AM48+AN48+AO48+AP48)&lt;&gt;0),(AM47+AN47+AO47+AP47)/-(AM48+AN48+AO48+AP48),""),"")</f>
        <v/>
      </c>
      <c r="AQ312" s="262" t="str">
        <f>IFERROR(IF(AND(COUNT(AM47,AN47,AO47,AP47)=4,(AM48+AN48+AO48+AP48)&lt;&gt;0),(AM47+AN47+AO47+AP47)/-(AM48+AN48+AO48+AP48),""),"")</f>
        <v/>
      </c>
      <c r="AR312" s="262" t="str">
        <f>IFERROR(IF(AND(COUNT(AN47,AO47,AP47,AR47)=4,(AN48+AO48+AP48+AR48)&lt;&gt;0),(AN47+AO47+AP47+AR47)/-(AN48+AO48+AP48+AR48),""),"")</f>
        <v/>
      </c>
      <c r="AS312" s="262" t="str">
        <f>IFERROR(IF(AND(COUNT(AO47,AP47,AR47,AS47)=4,(AO48+AP48+AR48+AS48)&lt;&gt;0),(AO47+AP47+AR47+AS47)/-(AO48+AP48+AR48+AS48),""),"")</f>
        <v/>
      </c>
      <c r="AT312" s="262" t="str">
        <f>IFERROR(IF(AND(COUNT(AP47,AR47,AS47,AT47)=4,(AP48+AR48+AS48+AT48)&lt;&gt;0),(AP47+AR47+AS47+AT47)/-(AP48+AR48+AS48+AT48),""),"")</f>
        <v/>
      </c>
      <c r="AU312" s="262" t="str">
        <f>IFERROR(IF(AND(COUNT(AR47,AS47,AT47,AU47)=4,(AR48+AS48+AT48+AU48)&lt;&gt;0),(AR47+AS47+AT47+AU47)/-(AR48+AS48+AT48+AU48),""),"")</f>
        <v/>
      </c>
      <c r="AV312" s="262" t="str">
        <f>IFERROR(IF(AND(COUNT(AR47,AS47,AT47,AU47)=4,(AR48+AS48+AT48+AU48)&lt;&gt;0),(AR47+AS47+AT47+AU47)/-(AR48+AS48+AT48+AU48),""),"")</f>
        <v/>
      </c>
      <c r="AW312" s="262" t="str">
        <f>IFERROR(IF(AND(COUNT(AS47,AT47,AU47,AW47)=4,(AS48+AT48+AU48+AW48)&lt;&gt;0),(AS47+AT47+AU47+AW47)/-(AS48+AT48+AU48+AW48),""),"")</f>
        <v/>
      </c>
      <c r="AX312" s="262" t="str">
        <f>IFERROR(IF(AND(COUNT(AT47,AU47,AW47,AX47)=4,(AT48+AU48+AW48+AX48)&lt;&gt;0),(AT47+AU47+AW47+AX47)/-(AT48+AU48+AW48+AX48),""),"")</f>
        <v/>
      </c>
      <c r="AY312" s="262" t="str">
        <f>IFERROR(IF(AND(COUNT(AU47,AW47,AX47,AY47)=4,(AU48+AW48+AX48+AY48)&lt;&gt;0),(AU47+AW47+AX47+AY47)/-(AU48+AW48+AX48+AY48),""),"")</f>
        <v/>
      </c>
      <c r="AZ312" s="262" t="str">
        <f>IFERROR(IF(AND(COUNT(AW47,AX47,AY47,AZ47)=4,(AW48+AX48+AY48+AZ48)&lt;&gt;0),(AW47+AX47+AY47+AZ47)/-(AW48+AX48+AY48+AZ48),""),"")</f>
        <v/>
      </c>
      <c r="BA312" s="262" t="str">
        <f>IFERROR(IF(AND(COUNT(AW47,AX47,AY47,AZ47)=4,(AW48+AX48+AY48+AZ48)&lt;&gt;0),(AW47+AX47+AY47+AZ47)/-(AW48+AX48+AY48+AZ48),""),"")</f>
        <v/>
      </c>
      <c r="BB312" s="262" t="str">
        <f>IFERROR(IF(AND(COUNT(AX47,AY47,AZ47,BB47)=4,(AX48+AY48+AZ48+BB48)&lt;&gt;0),(AX47+AY47+AZ47+BB47)/-(AX48+AY48+AZ48+BB48),""),"")</f>
        <v/>
      </c>
      <c r="BC312" s="262" t="str">
        <f>IFERROR(IF(AND(COUNT(AY47,AZ47,BB47,BC47)=4,(AY48+AZ48+BB48+BC48)&lt;&gt;0),(AY47+AZ47+BB47+BC47)/-(AY48+AZ48+BB48+BC48),""),"")</f>
        <v/>
      </c>
      <c r="BD312" s="262" t="str">
        <f>IFERROR(IF(AND(COUNT(AZ47,BB47,BC47,BD47)=4,(AZ48+BB48+BC48+BD48)&lt;&gt;0),(AZ47+BB47+BC47+BD47)/-(AZ48+BB48+BC48+BD48),""),"")</f>
        <v/>
      </c>
      <c r="BE312" s="262" t="str">
        <f>IFERROR(IF(AND(COUNT(BB47,BC47,BD47,BE47)=4,(BB48+BC48+BD48+BE48)&lt;&gt;0),(BB47+BC47+BD47+BE47)/-(BB48+BC48+BD48+BE48),""),"")</f>
        <v/>
      </c>
      <c r="BF312" s="262" t="str">
        <f>IFERROR(IF(AND(COUNT(BB47,BC47,BD47,BE47)=4,(BB48+BC48+BD48+BE48)&lt;&gt;0),(BB47+BC47+BD47+BE47)/-(BB48+BC48+BD48+BE48),""),"")</f>
        <v/>
      </c>
      <c r="BG312" s="82" t="n"/>
      <c r="BH312" s="82" t="n"/>
      <c r="BI312" s="82" t="n"/>
      <c r="BJ312" s="82" t="n"/>
      <c r="BL312" s="82" t="n"/>
      <c r="BM312" s="82" t="n"/>
      <c r="BN312" s="82" t="n"/>
      <c r="BO312" s="82" t="n"/>
      <c r="BQ312" s="82" t="n"/>
      <c r="BR312" s="82" t="n"/>
      <c r="BS312" s="82" t="n"/>
      <c r="BT312" s="82" t="n"/>
      <c r="BV312" s="82" t="n"/>
      <c r="BW312" s="82" t="n"/>
      <c r="BX312" s="82" t="n"/>
      <c r="BY312" s="82" t="n"/>
      <c r="CA312" s="82" t="n"/>
      <c r="CB312" s="82" t="n"/>
      <c r="CC312" s="82" t="n"/>
      <c r="CD312" s="82" t="n"/>
      <c r="CF312" s="82" t="n"/>
      <c r="CG312" s="82" t="n"/>
      <c r="CH312" s="82" t="n"/>
      <c r="CI312" s="82" t="n"/>
      <c r="CK312" s="82" t="n"/>
      <c r="CL312" s="82" t="n"/>
      <c r="CM312" s="82" t="n"/>
      <c r="CN312" s="82" t="n"/>
      <c r="CP312" s="82" t="n"/>
      <c r="CQ312" s="82" t="n"/>
      <c r="CR312" s="82" t="n"/>
      <c r="CS312" s="82" t="n"/>
      <c r="CU312" s="82" t="n"/>
      <c r="CV312" s="82" t="n"/>
      <c r="CW312" s="82" t="n"/>
      <c r="CX312" s="82" t="n"/>
    </row>
    <row r="313" customFormat="1" s="77">
      <c r="A313" s="76" t="n"/>
      <c r="B313" s="76" t="n"/>
    </row>
    <row r="314" customFormat="1" s="77">
      <c r="A314" s="76" t="n"/>
      <c r="B314" s="76" t="n"/>
      <c r="C314" s="74" t="inlineStr">
        <is>
          <t>INTERNAL LIQUIDITY</t>
        </is>
      </c>
    </row>
    <row r="315" customFormat="1" s="77">
      <c r="A315" s="76" t="n"/>
      <c r="B315" s="76" t="n"/>
      <c r="C315" s="77" t="inlineStr">
        <is>
          <t>CURRENT RATIO</t>
        </is>
      </c>
      <c r="D315" s="82" t="str">
        <f>IFERROR(SUM(D118,D119,D123,D127,D128,D129)/SUM(D172,D176,D178,D179),"")</f>
        <v/>
      </c>
      <c r="E315" s="82" t="str">
        <f>IFERROR(SUM(E118,E119,E123,E127,E128,E129)/SUM(E172,E176,E178,E179),"")</f>
        <v/>
      </c>
      <c r="F315" s="82" t="str">
        <f>IFERROR(SUM(F118,F119,F123,F127,F128,F129)/SUM(F172,F176,F178,F179),"")</f>
        <v/>
      </c>
      <c r="G315" s="82" t="str">
        <f>IFERROR(SUM(G118,G119,G123,G127,G128,G129)/SUM(G172,G176,G178,G179),"")</f>
        <v/>
      </c>
      <c r="H315" s="262" t="str">
        <f>IFERROR(IF((N(H172)+N(H176)+N(H178)+N(H179)+N(H186)+N(H187)+N(H188))&lt;&gt;0,(N(H118)+(N(H119)+N(H123)+N(H127)+N(H128)+N(H129)))/(N(H172)+N(H176)+N(H178)+N(H179)+N(H186)+N(H187)+N(H188)),""),"")</f>
        <v/>
      </c>
      <c r="I315" s="262">
        <f>IFERROR(IF((N(I172)+N(I176)+N(I178)+N(I179)+N(I186)+N(I187)+N(I188))&lt;&gt;0,(N(I118)+(N(I119)+N(I123)+N(I127)+N(I128)+N(I129)))/(N(I172)+N(I176)+N(I178)+N(I179)+N(I186)+N(I187)+N(I188)),""),"")</f>
        <v>2.07552264304027</v>
      </c>
      <c r="J315" s="262">
        <f>IFERROR(IF((N(J172)+N(J176)+N(J178)+N(J179)+N(J186)+N(J187)+N(J188))&lt;&gt;0,(N(J118)+(N(J119)+N(J123)+N(J127)+N(J128)+N(J129)))/(N(J172)+N(J176)+N(J178)+N(J179)+N(J186)+N(J187)+N(J188)),""),"")</f>
        <v>2.05839353260686</v>
      </c>
      <c r="K315" s="262">
        <f>IFERROR(IF((N(K172)+N(K176)+N(K178)+N(K179)+N(K186)+N(K187)+N(K188))&lt;&gt;0,(N(K118)+(N(K119)+N(K123)+N(K127)+N(K128)+N(K129)))/(N(K172)+N(K176)+N(K178)+N(K179)+N(K186)+N(K187)+N(K188)),""),"")</f>
        <v>1.98780125380591</v>
      </c>
      <c r="L315" s="262">
        <f>IFERROR(IF((N(L172)+N(L176)+N(L178)+N(L179)+N(L186)+N(L187)+N(L188))&lt;&gt;0,(N(L118)+(N(L119)+N(L123)+N(L127)+N(L128)+N(L129)))/(N(L172)+N(L176)+N(L178)+N(L179)+N(L186)+N(L187)+N(L188)),""),"")</f>
        <v>1.96162754698964</v>
      </c>
      <c r="M315" s="262">
        <f>IFERROR(IF((N(M172)+N(M176)+N(M178)+N(M179)+N(M186)+N(M187)+N(M188))&lt;&gt;0,(N(M118)+(N(M119)+N(M123)+N(M127)+N(M128)+N(M129)))/(N(M172)+N(M176)+N(M178)+N(M179)+N(M186)+N(M187)+N(M188)),""),"")</f>
        <v>1.96162754698964</v>
      </c>
      <c r="N315" s="262">
        <f>IFERROR(IF((N(N172)+N(N176)+N(N178)+N(N179)+N(N186)+N(N187)+N(N188))&lt;&gt;0,(N(N118)+(N(N119)+N(N123)+N(N127)+N(N128)+N(N129)))/(N(N172)+N(N176)+N(N178)+N(N179)+N(N186)+N(N187)+N(N188)),""),"")</f>
        <v>1.91061249863823</v>
      </c>
      <c r="O315" s="262">
        <f>IFERROR(IF((N(O172)+N(O176)+N(O178)+N(O179)+N(O186)+N(O187)+N(O188))&lt;&gt;0,(N(O118)+(N(O119)+N(O123)+N(O127)+N(O128)+N(O129)))/(N(O172)+N(O176)+N(O178)+N(O179)+N(O186)+N(O187)+N(O188)),""),"")</f>
        <v>1.90209427798205</v>
      </c>
      <c r="P315" s="262">
        <f>IFERROR(IF((N(P172)+N(P176)+N(P178)+N(P179)+N(P186)+N(P187)+N(P188))&lt;&gt;0,(N(P118)+(N(P119)+N(P123)+N(P127)+N(P128)+N(P129)))/(N(P172)+N(P176)+N(P178)+N(P179)+N(P186)+N(P187)+N(P188)),""),"")</f>
        <v>1.81491459532908</v>
      </c>
      <c r="Q315" s="262">
        <f>IFERROR(IF((N(Q172)+N(Q176)+N(Q178)+N(Q179)+N(Q186)+N(Q187)+N(Q188))&lt;&gt;0,(N(Q118)+(N(Q119)+N(Q123)+N(Q127)+N(Q128)+N(Q129)))/(N(Q172)+N(Q176)+N(Q178)+N(Q179)+N(Q186)+N(Q187)+N(Q188)),""),"")</f>
        <v>1.73004772544604</v>
      </c>
      <c r="R315" s="262">
        <f>IFERROR(IF((N(R172)+N(R176)+N(R178)+N(R179)+N(R186)+N(R187)+N(R188))&lt;&gt;0,(N(R118)+(N(R119)+N(R123)+N(R127)+N(R128)+N(R129)))/(N(R172)+N(R176)+N(R178)+N(R179)+N(R186)+N(R187)+N(R188)),""),"")</f>
        <v>1.73004772544604</v>
      </c>
      <c r="S315" s="262">
        <f>IFERROR(IF((N(S172)+N(S176)+N(S178)+N(S179)+N(S186)+N(S187)+N(S188))&lt;&gt;0,(N(S118)+(N(S119)+N(S123)+N(S127)+N(S128)+N(S129)))/(N(S172)+N(S176)+N(S178)+N(S179)+N(S186)+N(S187)+N(S188)),""),"")</f>
        <v>1.70171777870927</v>
      </c>
      <c r="T315" s="262">
        <f>IFERROR(IF((N(T172)+N(T176)+N(T178)+N(T179)+N(T186)+N(T187)+N(T188))&lt;&gt;0,(N(T118)+(N(T119)+N(T123)+N(T127)+N(T128)+N(T129)))/(N(T172)+N(T176)+N(T178)+N(T179)+N(T186)+N(T187)+N(T188)),""),"")</f>
        <v>1.71548318413786</v>
      </c>
      <c r="U315" s="262">
        <f>IFERROR(IF((N(U172)+N(U176)+N(U178)+N(U179)+N(U186)+N(U187)+N(U188))&lt;&gt;0,(N(U118)+(N(U119)+N(U123)+N(U127)+N(U128)+N(U129)))/(N(U172)+N(U176)+N(U178)+N(U179)+N(U186)+N(U187)+N(U188)),""),"")</f>
        <v>1.69336836636007</v>
      </c>
      <c r="V315" s="262">
        <f>IFERROR(IF((N(V172)+N(V176)+N(V178)+N(V179)+N(V186)+N(V187)+N(V188))&lt;&gt;0,(N(V118)+(N(V119)+N(V123)+N(V127)+N(V128)+N(V129)))/(N(V172)+N(V176)+N(V178)+N(V179)+N(V186)+N(V187)+N(V188)),""),"")</f>
        <v>1.68171626047459</v>
      </c>
      <c r="W315" s="262">
        <f>IFERROR(IF((N(W172)+N(W176)+N(W178)+N(W179)+N(W186)+N(W187)+N(W188))&lt;&gt;0,(N(W118)+(N(W119)+N(W123)+N(W127)+N(W128)+N(W129)))/(N(W172)+N(W176)+N(W178)+N(W179)+N(W186)+N(W187)+N(W188)),""),"")</f>
        <v>1.68171626047459</v>
      </c>
      <c r="X315" s="262">
        <f>IFERROR(IF((N(X172)+N(X176)+N(X178)+N(X179)+N(X186)+N(X187)+N(X188))&lt;&gt;0,(N(X118)+(N(X119)+N(X123)+N(X127)+N(X128)+N(X129)))/(N(X172)+N(X176)+N(X178)+N(X179)+N(X186)+N(X187)+N(X188)),""),"")</f>
        <v>1.73435620778272</v>
      </c>
      <c r="Y315" s="262">
        <f>IFERROR(IF((N(Y172)+N(Y176)+N(Y178)+N(Y179)+N(Y186)+N(Y187)+N(Y188))&lt;&gt;0,(N(Y118)+(N(Y119)+N(Y123)+N(Y127)+N(Y128)+N(Y129)))/(N(Y172)+N(Y176)+N(Y178)+N(Y179)+N(Y186)+N(Y187)+N(Y188)),""),"")</f>
        <v>1.71222273977677</v>
      </c>
      <c r="Z315" s="262">
        <f>IFERROR(IF((N(Z172)+N(Z176)+N(Z178)+N(Z179)+N(Z186)+N(Z187)+N(Z188))&lt;&gt;0,(N(Z118)+(N(Z119)+N(Z123)+N(Z127)+N(Z128)+N(Z129)))/(N(Z172)+N(Z176)+N(Z178)+N(Z179)+N(Z186)+N(Z187)+N(Z188)),""),"")</f>
        <v>1.71057633064727</v>
      </c>
      <c r="AA315" s="262">
        <f>IFERROR(IF((N(AA172)+N(AA176)+N(AA178)+N(AA179)+N(AA186)+N(AA187)+N(AA188))&lt;&gt;0,(N(AA118)+(N(AA119)+N(AA123)+N(AA127)+N(AA128)+N(AA129)))/(N(AA172)+N(AA176)+N(AA178)+N(AA179)+N(AA186)+N(AA187)+N(AA188)),""),"")</f>
        <v>1.69243157207175</v>
      </c>
      <c r="AB315" s="262">
        <f>IFERROR(IF((N(AB172)+N(AB176)+N(AB178)+N(AB179)+N(AB186)+N(AB187)+N(AB188))&lt;&gt;0,(N(AB118)+(N(AB119)+N(AB123)+N(AB127)+N(AB128)+N(AB129)))/(N(AB172)+N(AB176)+N(AB178)+N(AB179)+N(AB186)+N(AB187)+N(AB188)),""),"")</f>
        <v>1.69243157207175</v>
      </c>
      <c r="AC315" s="262">
        <f>IFERROR(IF((N(AC172)+N(AC176)+N(AC178)+N(AC179)+N(AC186)+N(AC187)+N(AC188))&lt;&gt;0,(N(AC118)+(N(AC119)+N(AC123)+N(AC127)+N(AC128)+N(AC129)))/(N(AC172)+N(AC176)+N(AC178)+N(AC179)+N(AC186)+N(AC187)+N(AC188)),""),"")</f>
        <v>1.66996686112874</v>
      </c>
      <c r="AD315" s="262">
        <f>IFERROR(IF((N(AD172)+N(AD176)+N(AD178)+N(AD179)+N(AD186)+N(AD187)+N(AD188))&lt;&gt;0,(N(AD118)+(N(AD119)+N(AD123)+N(AD127)+N(AD128)+N(AD129)))/(N(AD172)+N(AD176)+N(AD178)+N(AD179)+N(AD186)+N(AD187)+N(AD188)),""),"")</f>
        <v>1.7511127546666</v>
      </c>
      <c r="AE315" s="262">
        <f>IFERROR(IF((N(AE172)+N(AE176)+N(AE178)+N(AE179)+N(AE186)+N(AE187)+N(AE188))&lt;&gt;0,(N(AE118)+(N(AE119)+N(AE123)+N(AE127)+N(AE128)+N(AE129)))/(N(AE172)+N(AE176)+N(AE178)+N(AE179)+N(AE186)+N(AE187)+N(AE188)),""),"")</f>
        <v>1.73662772320828</v>
      </c>
      <c r="AF315" s="262">
        <f>IFERROR(IF((N(AF172)+N(AF176)+N(AF178)+N(AF179)+N(AF186)+N(AF187)+N(AF188))&lt;&gt;0,(N(AF118)+(N(AF119)+N(AF123)+N(AF127)+N(AF128)+N(AF129)))/(N(AF172)+N(AF176)+N(AF178)+N(AF179)+N(AF186)+N(AF187)+N(AF188)),""),"")</f>
        <v>1.73959647283975</v>
      </c>
      <c r="AG315" s="262">
        <f>IFERROR(IF((N(AG172)+N(AG176)+N(AG178)+N(AG179)+N(AG186)+N(AG187)+N(AG188))&lt;&gt;0,(N(AG118)+(N(AG119)+N(AG123)+N(AG127)+N(AG128)+N(AG129)))/(N(AG172)+N(AG176)+N(AG178)+N(AG179)+N(AG186)+N(AG187)+N(AG188)),""),"")</f>
        <v>1.73959647283975</v>
      </c>
      <c r="AH315" s="262">
        <f>IFERROR(IF((N(AH172)+N(AH176)+N(AH178)+N(AH179)+N(AH186)+N(AH187)+N(AH188))&lt;&gt;0,(N(AH118)+(N(AH119)+N(AH123)+N(AH127)+N(AH128)+N(AH129)))/(N(AH172)+N(AH176)+N(AH178)+N(AH179)+N(AH186)+N(AH187)+N(AH188)),""),"")</f>
        <v>1.69185141242167</v>
      </c>
      <c r="AI315" s="262">
        <f>IFERROR(IF((N(AI172)+N(AI176)+N(AI178)+N(AI179)+N(AI186)+N(AI187)+N(AI188))&lt;&gt;0,(N(AI118)+(N(AI119)+N(AI123)+N(AI127)+N(AI128)+N(AI129)))/(N(AI172)+N(AI176)+N(AI178)+N(AI179)+N(AI186)+N(AI187)+N(AI188)),""),"")</f>
        <v>1.71694587332266</v>
      </c>
      <c r="AJ315" s="262">
        <f>IFERROR(IF((N(AJ172)+N(AJ176)+N(AJ178)+N(AJ179)+N(AJ186)+N(AJ187)+N(AJ188))&lt;&gt;0,(N(AJ118)+(N(AJ119)+N(AJ123)+N(AJ127)+N(AJ128)+N(AJ129)))/(N(AJ172)+N(AJ176)+N(AJ178)+N(AJ179)+N(AJ186)+N(AJ187)+N(AJ188)),""),"")</f>
        <v>1.77443899169825</v>
      </c>
      <c r="AK315" s="262">
        <f>IFERROR(IF((N(AK172)+N(AK176)+N(AK178)+N(AK179)+N(AK186)+N(AK187)+N(AK188))&lt;&gt;0,(N(AK118)+(N(AK119)+N(AK123)+N(AK127)+N(AK128)+N(AK129)))/(N(AK172)+N(AK176)+N(AK178)+N(AK179)+N(AK186)+N(AK187)+N(AK188)),""),"")</f>
        <v>1.85560288262281</v>
      </c>
      <c r="AL315" s="262">
        <f>IFERROR(IF((N(AL172)+N(AL176)+N(AL178)+N(AL179)+N(AL186)+N(AL187)+N(AL188))&lt;&gt;0,(N(AL118)+(N(AL119)+N(AL123)+N(AL127)+N(AL128)+N(AL129)))/(N(AL172)+N(AL176)+N(AL178)+N(AL179)+N(AL186)+N(AL187)+N(AL188)),""),"")</f>
        <v>1.85560288262281</v>
      </c>
      <c r="AM315" s="262">
        <f>IFERROR(IF((N(AM172)+N(AM176)+N(AM178)+N(AM179)+N(AM186)+N(AM187)+N(AM188))&lt;&gt;0,(N(AM118)+(N(AM119)+N(AM123)+N(AM127)+N(AM128)+N(AM129)))/(N(AM172)+N(AM176)+N(AM178)+N(AM179)+N(AM186)+N(AM187)+N(AM188)),""),"")</f>
        <v>1.92294227933688</v>
      </c>
      <c r="AN315" s="262">
        <f>IFERROR(IF((N(AN172)+N(AN176)+N(AN178)+N(AN179)+N(AN186)+N(AN187)+N(AN188))&lt;&gt;0,(N(AN118)+(N(AN119)+N(AN123)+N(AN127)+N(AN128)+N(AN129)))/(N(AN172)+N(AN176)+N(AN178)+N(AN179)+N(AN186)+N(AN187)+N(AN188)),""),"")</f>
        <v>2.01683295409705</v>
      </c>
      <c r="AO315" s="262">
        <f>IFERROR(IF((N(AO172)+N(AO176)+N(AO178)+N(AO179)+N(AO186)+N(AO187)+N(AO188))&lt;&gt;0,(N(AO118)+(N(AO119)+N(AO123)+N(AO127)+N(AO128)+N(AO129)))/(N(AO172)+N(AO176)+N(AO178)+N(AO179)+N(AO186)+N(AO187)+N(AO188)),""),"")</f>
        <v>2.08329155506287</v>
      </c>
      <c r="AP315" s="262">
        <f>IFERROR(IF((N(AP172)+N(AP176)+N(AP178)+N(AP179)+N(AP186)+N(AP187)+N(AP188))&lt;&gt;0,(N(AP118)+(N(AP119)+N(AP123)+N(AP127)+N(AP128)+N(AP129)))/(N(AP172)+N(AP176)+N(AP178)+N(AP179)+N(AP186)+N(AP187)+N(AP188)),""),"")</f>
        <v>2.17711215120014</v>
      </c>
      <c r="AQ315" s="262">
        <f>IFERROR(IF((N(AQ172)+N(AQ176)+N(AQ178)+N(AQ179)+N(AQ186)+N(AQ187)+N(AQ188))&lt;&gt;0,(N(AQ118)+(N(AQ119)+N(AQ123)+N(AQ127)+N(AQ128)+N(AQ129)))/(N(AQ172)+N(AQ176)+N(AQ178)+N(AQ179)+N(AQ186)+N(AQ187)+N(AQ188)),""),"")</f>
        <v>2.17711215120014</v>
      </c>
      <c r="AR315" s="262">
        <f>IFERROR(IF((N(AR172)+N(AR176)+N(AR178)+N(AR179)+N(AR186)+N(AR187)+N(AR188))&lt;&gt;0,(N(AR118)+(N(AR119)+N(AR123)+N(AR127)+N(AR128)+N(AR129)))/(N(AR172)+N(AR176)+N(AR178)+N(AR179)+N(AR186)+N(AR187)+N(AR188)),""),"")</f>
        <v>2.25461576314299</v>
      </c>
      <c r="AS315" s="262">
        <f>IFERROR(IF((N(AS172)+N(AS176)+N(AS178)+N(AS179)+N(AS186)+N(AS187)+N(AS188))&lt;&gt;0,(N(AS118)+(N(AS119)+N(AS123)+N(AS127)+N(AS128)+N(AS129)))/(N(AS172)+N(AS176)+N(AS178)+N(AS179)+N(AS186)+N(AS187)+N(AS188)),""),"")</f>
        <v>2.36267830567754</v>
      </c>
      <c r="AT315" s="262">
        <f>IFERROR(IF((N(AT172)+N(AT176)+N(AT178)+N(AT179)+N(AT186)+N(AT187)+N(AT188))&lt;&gt;0,(N(AT118)+(N(AT119)+N(AT123)+N(AT127)+N(AT128)+N(AT129)))/(N(AT172)+N(AT176)+N(AT178)+N(AT179)+N(AT186)+N(AT187)+N(AT188)),""),"")</f>
        <v>2.43916817447442</v>
      </c>
      <c r="AU315" s="262">
        <f>IFERROR(IF((N(AU172)+N(AU176)+N(AU178)+N(AU179)+N(AU186)+N(AU187)+N(AU188))&lt;&gt;0,(N(AU118)+(N(AU119)+N(AU123)+N(AU127)+N(AU128)+N(AU129)))/(N(AU172)+N(AU176)+N(AU178)+N(AU179)+N(AU186)+N(AU187)+N(AU188)),""),"")</f>
        <v>2.54715006071178</v>
      </c>
      <c r="AV315" s="262">
        <f>IFERROR(IF((N(AV172)+N(AV176)+N(AV178)+N(AV179)+N(AV186)+N(AV187)+N(AV188))&lt;&gt;0,(N(AV118)+(N(AV119)+N(AV123)+N(AV127)+N(AV128)+N(AV129)))/(N(AV172)+N(AV176)+N(AV178)+N(AV179)+N(AV186)+N(AV187)+N(AV188)),""),"")</f>
        <v>2.54715006071178</v>
      </c>
      <c r="AW315" s="262">
        <f>IFERROR(IF((N(AW172)+N(AW176)+N(AW178)+N(AW179)+N(AW186)+N(AW187)+N(AW188))&lt;&gt;0,(N(AW118)+(N(AW119)+N(AW123)+N(AW127)+N(AW128)+N(AW129)))/(N(AW172)+N(AW176)+N(AW178)+N(AW179)+N(AW186)+N(AW187)+N(AW188)),""),"")</f>
        <v>2.63596455747993</v>
      </c>
      <c r="AX315" s="262">
        <f>IFERROR(IF((N(AX172)+N(AX176)+N(AX178)+N(AX179)+N(AX186)+N(AX187)+N(AX188))&lt;&gt;0,(N(AX118)+(N(AX119)+N(AX123)+N(AX127)+N(AX128)+N(AX129)))/(N(AX172)+N(AX176)+N(AX178)+N(AX179)+N(AX186)+N(AX187)+N(AX188)),""),"")</f>
        <v>2.75979775820573</v>
      </c>
      <c r="AY315" s="262">
        <f>IFERROR(IF((N(AY172)+N(AY176)+N(AY178)+N(AY179)+N(AY186)+N(AY187)+N(AY188))&lt;&gt;0,(N(AY118)+(N(AY119)+N(AY123)+N(AY127)+N(AY128)+N(AY129)))/(N(AY172)+N(AY176)+N(AY178)+N(AY179)+N(AY186)+N(AY187)+N(AY188)),""),"")</f>
        <v>2.8474505660525</v>
      </c>
      <c r="AZ315" s="262">
        <f>IFERROR(IF((N(AZ172)+N(AZ176)+N(AZ178)+N(AZ179)+N(AZ186)+N(AZ187)+N(AZ188))&lt;&gt;0,(N(AZ118)+(N(AZ119)+N(AZ123)+N(AZ127)+N(AZ128)+N(AZ129)))/(N(AZ172)+N(AZ176)+N(AZ178)+N(AZ179)+N(AZ186)+N(AZ187)+N(AZ188)),""),"")</f>
        <v>2.97119133949308</v>
      </c>
      <c r="BA315" s="262">
        <f>IFERROR(IF((N(BA172)+N(BA176)+N(BA178)+N(BA179)+N(BA186)+N(BA187)+N(BA188))&lt;&gt;0,(N(BA118)+(N(BA119)+N(BA123)+N(BA127)+N(BA128)+N(BA129)))/(N(BA172)+N(BA176)+N(BA178)+N(BA179)+N(BA186)+N(BA187)+N(BA188)),""),"")</f>
        <v>2.97119133949308</v>
      </c>
      <c r="BB315" s="262">
        <f>IFERROR(IF((N(BB172)+N(BB176)+N(BB178)+N(BB179)+N(BB186)+N(BB187)+N(BB188))&lt;&gt;0,(N(BB118)+(N(BB119)+N(BB123)+N(BB127)+N(BB128)+N(BB129)))/(N(BB172)+N(BB176)+N(BB178)+N(BB179)+N(BB186)+N(BB187)+N(BB188)),""),"")</f>
        <v>3.07252336025761</v>
      </c>
      <c r="BC315" s="262">
        <f>IFERROR(IF((N(BC172)+N(BC176)+N(BC178)+N(BC179)+N(BC186)+N(BC187)+N(BC188))&lt;&gt;0,(N(BC118)+(N(BC119)+N(BC123)+N(BC127)+N(BC128)+N(BC129)))/(N(BC172)+N(BC176)+N(BC178)+N(BC179)+N(BC186)+N(BC187)+N(BC188)),""),"")</f>
        <v>3.21380962459395</v>
      </c>
      <c r="BD315" s="262">
        <f>IFERROR(IF((N(BD172)+N(BD176)+N(BD178)+N(BD179)+N(BD186)+N(BD187)+N(BD188))&lt;&gt;0,(N(BD118)+(N(BD119)+N(BD123)+N(BD127)+N(BD128)+N(BD129)))/(N(BD172)+N(BD176)+N(BD178)+N(BD179)+N(BD186)+N(BD187)+N(BD188)),""),"")</f>
        <v>3.31381622788513</v>
      </c>
      <c r="BE315" s="262">
        <f>IFERROR(IF((N(BE172)+N(BE176)+N(BE178)+N(BE179)+N(BE186)+N(BE187)+N(BE188))&lt;&gt;0,(N(BE118)+(N(BE119)+N(BE123)+N(BE127)+N(BE128)+N(BE129)))/(N(BE172)+N(BE176)+N(BE178)+N(BE179)+N(BE186)+N(BE187)+N(BE188)),""),"")</f>
        <v>3.45499703822549</v>
      </c>
      <c r="BF315" s="262">
        <f>IFERROR(IF((N(BF172)+N(BF176)+N(BF178)+N(BF179)+N(BF186)+N(BF187)+N(BF188))&lt;&gt;0,(N(BF118)+(N(BF119)+N(BF123)+N(BF127)+N(BF128)+N(BF129)))/(N(BF172)+N(BF176)+N(BF178)+N(BF179)+N(BF186)+N(BF187)+N(BF188)),""),"")</f>
        <v>3.45499703822549</v>
      </c>
      <c r="BG315" s="82" t="n"/>
      <c r="BH315" s="82" t="n"/>
      <c r="BI315" s="82" t="n"/>
      <c r="BJ315" s="82" t="n"/>
      <c r="BL315" s="82" t="n"/>
      <c r="BM315" s="82" t="n"/>
      <c r="BN315" s="82" t="n"/>
      <c r="BO315" s="82" t="n"/>
      <c r="BQ315" s="82" t="n"/>
      <c r="BR315" s="82" t="n"/>
      <c r="BS315" s="82" t="n"/>
      <c r="BT315" s="82" t="n"/>
      <c r="BV315" s="82" t="n"/>
      <c r="BW315" s="82" t="n"/>
      <c r="BX315" s="82" t="n"/>
      <c r="BY315" s="82" t="n"/>
      <c r="CA315" s="82" t="n"/>
      <c r="CB315" s="82" t="n"/>
      <c r="CC315" s="82" t="n"/>
      <c r="CD315" s="82" t="n"/>
      <c r="CF315" s="82" t="n"/>
      <c r="CG315" s="82" t="n"/>
      <c r="CH315" s="82" t="n"/>
      <c r="CI315" s="82" t="n"/>
      <c r="CK315" s="82" t="n"/>
      <c r="CL315" s="82" t="n"/>
      <c r="CM315" s="82" t="n"/>
      <c r="CN315" s="82" t="n"/>
      <c r="CP315" s="82" t="n"/>
      <c r="CQ315" s="82" t="n"/>
      <c r="CR315" s="82" t="n"/>
      <c r="CS315" s="82" t="n"/>
      <c r="CU315" s="82" t="n"/>
      <c r="CV315" s="82" t="n"/>
      <c r="CW315" s="82" t="n"/>
      <c r="CX315" s="82" t="n"/>
    </row>
    <row r="316" customFormat="1" s="77">
      <c r="A316" s="76" t="n"/>
      <c r="B316" s="76" t="n"/>
      <c r="C316" s="77" t="inlineStr">
        <is>
          <t>CASH RATIO</t>
        </is>
      </c>
      <c r="D316" s="82" t="str">
        <f>IFERROR(SUM(D118)/SUM(D172,D176,D178,D179),"")</f>
        <v/>
      </c>
      <c r="E316" s="82" t="str">
        <f>IFERROR(SUM(E118)/SUM(E172,E176,E178,E179),"")</f>
        <v/>
      </c>
      <c r="F316" s="82" t="str">
        <f>IFERROR(SUM(F118)/SUM(F172,F176,F178,F179),"")</f>
        <v/>
      </c>
      <c r="G316" s="82" t="str">
        <f>IFERROR(SUM(G118)/SUM(G172,G176,G178,G179),"")</f>
        <v/>
      </c>
      <c r="H316" s="262" t="str">
        <f>IFERROR(IF((N(H172)+N(H176)+N(H178)+N(H179)+N(H186)+N(H187)+N(H188))&lt;&gt;0,N(H118)/(N(H172)+N(H176)+N(H178)+N(H179)+N(H186)+N(H187)+N(H188)),""),"")</f>
        <v/>
      </c>
      <c r="I316" s="262">
        <f>IFERROR(IF((N(I172)+N(I176)+N(I178)+N(I179)+N(I186)+N(I187)+N(I188))&lt;&gt;0,N(I118)/(N(I172)+N(I176)+N(I178)+N(I179)+N(I186)+N(I187)+N(I188)),""),"")</f>
        <v>0.222154976740807</v>
      </c>
      <c r="J316" s="262">
        <f>IFERROR(IF((N(J172)+N(J176)+N(J178)+N(J179)+N(J186)+N(J187)+N(J188))&lt;&gt;0,N(J118)/(N(J172)+N(J176)+N(J178)+N(J179)+N(J186)+N(J187)+N(J188)),""),"")</f>
        <v>0.167282320254034</v>
      </c>
      <c r="K316" s="262">
        <f>IFERROR(IF((N(K172)+N(K176)+N(K178)+N(K179)+N(K186)+N(K187)+N(K188))&lt;&gt;0,N(K118)/(N(K172)+N(K176)+N(K178)+N(K179)+N(K186)+N(K187)+N(K188)),""),"")</f>
        <v>0.275956517503884</v>
      </c>
      <c r="L316" s="262">
        <f>IFERROR(IF((N(L172)+N(L176)+N(L178)+N(L179)+N(L186)+N(L187)+N(L188))&lt;&gt;0,N(L118)/(N(L172)+N(L176)+N(L178)+N(L179)+N(L186)+N(L187)+N(L188)),""),"")</f>
        <v>0.10875826729129</v>
      </c>
      <c r="M316" s="262">
        <f>IFERROR(IF((N(M172)+N(M176)+N(M178)+N(M179)+N(M186)+N(M187)+N(M188))&lt;&gt;0,N(M118)/(N(M172)+N(M176)+N(M178)+N(M179)+N(M186)+N(M187)+N(M188)),""),"")</f>
        <v>0.10875826729129</v>
      </c>
      <c r="N316" s="262">
        <f>IFERROR(IF((N(N172)+N(N176)+N(N178)+N(N179)+N(N186)+N(N187)+N(N188))&lt;&gt;0,N(N118)/(N(N172)+N(N176)+N(N178)+N(N179)+N(N186)+N(N187)+N(N188)),""),"")</f>
        <v>0.183317900335833</v>
      </c>
      <c r="O316" s="262">
        <f>IFERROR(IF((N(O172)+N(O176)+N(O178)+N(O179)+N(O186)+N(O187)+N(O188))&lt;&gt;0,N(O118)/(N(O172)+N(O176)+N(O178)+N(O179)+N(O186)+N(O187)+N(O188)),""),"")</f>
        <v>0.206106159417969</v>
      </c>
      <c r="P316" s="262">
        <f>IFERROR(IF((N(P172)+N(P176)+N(P178)+N(P179)+N(P186)+N(P187)+N(P188))&lt;&gt;0,N(P118)/(N(P172)+N(P176)+N(P178)+N(P179)+N(P186)+N(P187)+N(P188)),""),"")</f>
        <v>0.169558266016811</v>
      </c>
      <c r="Q316" s="262">
        <f>IFERROR(IF((N(Q172)+N(Q176)+N(Q178)+N(Q179)+N(Q186)+N(Q187)+N(Q188))&lt;&gt;0,N(Q118)/(N(Q172)+N(Q176)+N(Q178)+N(Q179)+N(Q186)+N(Q187)+N(Q188)),""),"")</f>
        <v>0.186139001784342</v>
      </c>
      <c r="R316" s="262">
        <f>IFERROR(IF((N(R172)+N(R176)+N(R178)+N(R179)+N(R186)+N(R187)+N(R188))&lt;&gt;0,N(R118)/(N(R172)+N(R176)+N(R178)+N(R179)+N(R186)+N(R187)+N(R188)),""),"")</f>
        <v>0.186139001784342</v>
      </c>
      <c r="S316" s="262">
        <f>IFERROR(IF((N(S172)+N(S176)+N(S178)+N(S179)+N(S186)+N(S187)+N(S188))&lt;&gt;0,N(S118)/(N(S172)+N(S176)+N(S178)+N(S179)+N(S186)+N(S187)+N(S188)),""),"")</f>
        <v>0.126537337121179</v>
      </c>
      <c r="T316" s="262">
        <f>IFERROR(IF((N(T172)+N(T176)+N(T178)+N(T179)+N(T186)+N(T187)+N(T188))&lt;&gt;0,N(T118)/(N(T172)+N(T176)+N(T178)+N(T179)+N(T186)+N(T187)+N(T188)),""),"")</f>
        <v>0.145836720602891</v>
      </c>
      <c r="U316" s="262">
        <f>IFERROR(IF((N(U172)+N(U176)+N(U178)+N(U179)+N(U186)+N(U187)+N(U188))&lt;&gt;0,N(U118)/(N(U172)+N(U176)+N(U178)+N(U179)+N(U186)+N(U187)+N(U188)),""),"")</f>
        <v>0.130031100373157</v>
      </c>
      <c r="V316" s="262">
        <f>IFERROR(IF((N(V172)+N(V176)+N(V178)+N(V179)+N(V186)+N(V187)+N(V188))&lt;&gt;0,N(V118)/(N(V172)+N(V176)+N(V178)+N(V179)+N(V186)+N(V187)+N(V188)),""),"")</f>
        <v>0.133073291411846</v>
      </c>
      <c r="W316" s="262">
        <f>IFERROR(IF((N(W172)+N(W176)+N(W178)+N(W179)+N(W186)+N(W187)+N(W188))&lt;&gt;0,N(W118)/(N(W172)+N(W176)+N(W178)+N(W179)+N(W186)+N(W187)+N(W188)),""),"")</f>
        <v>0.133073291411846</v>
      </c>
      <c r="X316" s="262">
        <f>IFERROR(IF((N(X172)+N(X176)+N(X178)+N(X179)+N(X186)+N(X187)+N(X188))&lt;&gt;0,N(X118)/(N(X172)+N(X176)+N(X178)+N(X179)+N(X186)+N(X187)+N(X188)),""),"")</f>
        <v>0.117974778495019</v>
      </c>
      <c r="Y316" s="262">
        <f>IFERROR(IF((N(Y172)+N(Y176)+N(Y178)+N(Y179)+N(Y186)+N(Y187)+N(Y188))&lt;&gt;0,N(Y118)/(N(Y172)+N(Y176)+N(Y178)+N(Y179)+N(Y186)+N(Y187)+N(Y188)),""),"")</f>
        <v>0.108688097806308</v>
      </c>
      <c r="Z316" s="262">
        <f>IFERROR(IF((N(Z172)+N(Z176)+N(Z178)+N(Z179)+N(Z186)+N(Z187)+N(Z188))&lt;&gt;0,N(Z118)/(N(Z172)+N(Z176)+N(Z178)+N(Z179)+N(Z186)+N(Z187)+N(Z188)),""),"")</f>
        <v>0.101829553586917</v>
      </c>
      <c r="AA316" s="262">
        <f>IFERROR(IF((N(AA172)+N(AA176)+N(AA178)+N(AA179)+N(AA186)+N(AA187)+N(AA188))&lt;&gt;0,N(AA118)/(N(AA172)+N(AA176)+N(AA178)+N(AA179)+N(AA186)+N(AA187)+N(AA188)),""),"")</f>
        <v>0.0822586659525853</v>
      </c>
      <c r="AB316" s="262">
        <f>IFERROR(IF((N(AB172)+N(AB176)+N(AB178)+N(AB179)+N(AB186)+N(AB187)+N(AB188))&lt;&gt;0,N(AB118)/(N(AB172)+N(AB176)+N(AB178)+N(AB179)+N(AB186)+N(AB187)+N(AB188)),""),"")</f>
        <v>0.0822586659525853</v>
      </c>
      <c r="AC316" s="262">
        <f>IFERROR(IF((N(AC172)+N(AC176)+N(AC178)+N(AC179)+N(AC186)+N(AC187)+N(AC188))&lt;&gt;0,N(AC118)/(N(AC172)+N(AC176)+N(AC178)+N(AC179)+N(AC186)+N(AC187)+N(AC188)),""),"")</f>
        <v>0.0940098758893306</v>
      </c>
      <c r="AD316" s="262">
        <f>IFERROR(IF((N(AD172)+N(AD176)+N(AD178)+N(AD179)+N(AD186)+N(AD187)+N(AD188))&lt;&gt;0,N(AD118)/(N(AD172)+N(AD176)+N(AD178)+N(AD179)+N(AD186)+N(AD187)+N(AD188)),""),"")</f>
        <v>0.0920177536922989</v>
      </c>
      <c r="AE316" s="262">
        <f>IFERROR(IF((N(AE172)+N(AE176)+N(AE178)+N(AE179)+N(AE186)+N(AE187)+N(AE188))&lt;&gt;0,N(AE118)/(N(AE172)+N(AE176)+N(AE178)+N(AE179)+N(AE186)+N(AE187)+N(AE188)),""),"")</f>
        <v>0.0964833314406005</v>
      </c>
      <c r="AF316" s="262">
        <f>IFERROR(IF((N(AF172)+N(AF176)+N(AF178)+N(AF179)+N(AF186)+N(AF187)+N(AF188))&lt;&gt;0,N(AF118)/(N(AF172)+N(AF176)+N(AF178)+N(AF179)+N(AF186)+N(AF187)+N(AF188)),""),"")</f>
        <v>0.101876299737922</v>
      </c>
      <c r="AG316" s="262">
        <f>IFERROR(IF((N(AG172)+N(AG176)+N(AG178)+N(AG179)+N(AG186)+N(AG187)+N(AG188))&lt;&gt;0,N(AG118)/(N(AG172)+N(AG176)+N(AG178)+N(AG179)+N(AG186)+N(AG187)+N(AG188)),""),"")</f>
        <v>0.101876299737922</v>
      </c>
      <c r="AH316" s="262">
        <f>IFERROR(IF((N(AH172)+N(AH176)+N(AH178)+N(AH179)+N(AH186)+N(AH187)+N(AH188))&lt;&gt;0,N(AH118)/(N(AH172)+N(AH176)+N(AH178)+N(AH179)+N(AH186)+N(AH187)+N(AH188)),""),"")</f>
        <v>0.0909870064110466</v>
      </c>
      <c r="AI316" s="262">
        <f>IFERROR(IF((N(AI172)+N(AI176)+N(AI178)+N(AI179)+N(AI186)+N(AI187)+N(AI188))&lt;&gt;0,N(AI118)/(N(AI172)+N(AI176)+N(AI178)+N(AI179)+N(AI186)+N(AI187)+N(AI188)),""),"")</f>
        <v>0.0913024411092731</v>
      </c>
      <c r="AJ316" s="262">
        <f>IFERROR(IF((N(AJ172)+N(AJ176)+N(AJ178)+N(AJ179)+N(AJ186)+N(AJ187)+N(AJ188))&lt;&gt;0,N(AJ118)/(N(AJ172)+N(AJ176)+N(AJ178)+N(AJ179)+N(AJ186)+N(AJ187)+N(AJ188)),""),"")</f>
        <v>0.148795559484864</v>
      </c>
      <c r="AK316" s="262">
        <f>IFERROR(IF((N(AK172)+N(AK176)+N(AK178)+N(AK179)+N(AK186)+N(AK187)+N(AK188))&lt;&gt;0,N(AK118)/(N(AK172)+N(AK176)+N(AK178)+N(AK179)+N(AK186)+N(AK187)+N(AK188)),""),"")</f>
        <v>0.229959450409422</v>
      </c>
      <c r="AL316" s="262">
        <f>IFERROR(IF((N(AL172)+N(AL176)+N(AL178)+N(AL179)+N(AL186)+N(AL187)+N(AL188))&lt;&gt;0,N(AL118)/(N(AL172)+N(AL176)+N(AL178)+N(AL179)+N(AL186)+N(AL187)+N(AL188)),""),"")</f>
        <v>0.229959450409422</v>
      </c>
      <c r="AM316" s="262">
        <f>IFERROR(IF((N(AM172)+N(AM176)+N(AM178)+N(AM179)+N(AM186)+N(AM187)+N(AM188))&lt;&gt;0,N(AM118)/(N(AM172)+N(AM176)+N(AM178)+N(AM179)+N(AM186)+N(AM187)+N(AM188)),""),"")</f>
        <v>0.297298847123487</v>
      </c>
      <c r="AN316" s="262">
        <f>IFERROR(IF((N(AN172)+N(AN176)+N(AN178)+N(AN179)+N(AN186)+N(AN187)+N(AN188))&lt;&gt;0,N(AN118)/(N(AN172)+N(AN176)+N(AN178)+N(AN179)+N(AN186)+N(AN187)+N(AN188)),""),"")</f>
        <v>0.391189521883656</v>
      </c>
      <c r="AO316" s="262">
        <f>IFERROR(IF((N(AO172)+N(AO176)+N(AO178)+N(AO179)+N(AO186)+N(AO187)+N(AO188))&lt;&gt;0,N(AO118)/(N(AO172)+N(AO176)+N(AO178)+N(AO179)+N(AO186)+N(AO187)+N(AO188)),""),"")</f>
        <v>0.457648122849479</v>
      </c>
      <c r="AP316" s="262">
        <f>IFERROR(IF((N(AP172)+N(AP176)+N(AP178)+N(AP179)+N(AP186)+N(AP187)+N(AP188))&lt;&gt;0,N(AP118)/(N(AP172)+N(AP176)+N(AP178)+N(AP179)+N(AP186)+N(AP187)+N(AP188)),""),"")</f>
        <v>0.551468718986753</v>
      </c>
      <c r="AQ316" s="262">
        <f>IFERROR(IF((N(AQ172)+N(AQ176)+N(AQ178)+N(AQ179)+N(AQ186)+N(AQ187)+N(AQ188))&lt;&gt;0,N(AQ118)/(N(AQ172)+N(AQ176)+N(AQ178)+N(AQ179)+N(AQ186)+N(AQ187)+N(AQ188)),""),"")</f>
        <v>0.551468718986753</v>
      </c>
      <c r="AR316" s="262">
        <f>IFERROR(IF((N(AR172)+N(AR176)+N(AR178)+N(AR179)+N(AR186)+N(AR187)+N(AR188))&lt;&gt;0,N(AR118)/(N(AR172)+N(AR176)+N(AR178)+N(AR179)+N(AR186)+N(AR187)+N(AR188)),""),"")</f>
        <v>0.628972330929603</v>
      </c>
      <c r="AS316" s="262">
        <f>IFERROR(IF((N(AS172)+N(AS176)+N(AS178)+N(AS179)+N(AS186)+N(AS187)+N(AS188))&lt;&gt;0,N(AS118)/(N(AS172)+N(AS176)+N(AS178)+N(AS179)+N(AS186)+N(AS187)+N(AS188)),""),"")</f>
        <v>0.737034873464152</v>
      </c>
      <c r="AT316" s="262">
        <f>IFERROR(IF((N(AT172)+N(AT176)+N(AT178)+N(AT179)+N(AT186)+N(AT187)+N(AT188))&lt;&gt;0,N(AT118)/(N(AT172)+N(AT176)+N(AT178)+N(AT179)+N(AT186)+N(AT187)+N(AT188)),""),"")</f>
        <v>0.813524742261032</v>
      </c>
      <c r="AU316" s="262">
        <f>IFERROR(IF((N(AU172)+N(AU176)+N(AU178)+N(AU179)+N(AU186)+N(AU187)+N(AU188))&lt;&gt;0,N(AU118)/(N(AU172)+N(AU176)+N(AU178)+N(AU179)+N(AU186)+N(AU187)+N(AU188)),""),"")</f>
        <v>0.921506628498386</v>
      </c>
      <c r="AV316" s="262">
        <f>IFERROR(IF((N(AV172)+N(AV176)+N(AV178)+N(AV179)+N(AV186)+N(AV187)+N(AV188))&lt;&gt;0,N(AV118)/(N(AV172)+N(AV176)+N(AV178)+N(AV179)+N(AV186)+N(AV187)+N(AV188)),""),"")</f>
        <v>0.921506628498386</v>
      </c>
      <c r="AW316" s="262">
        <f>IFERROR(IF((N(AW172)+N(AW176)+N(AW178)+N(AW179)+N(AW186)+N(AW187)+N(AW188))&lt;&gt;0,N(AW118)/(N(AW172)+N(AW176)+N(AW178)+N(AW179)+N(AW186)+N(AW187)+N(AW188)),""),"")</f>
        <v>1.01032112526654</v>
      </c>
      <c r="AX316" s="262">
        <f>IFERROR(IF((N(AX172)+N(AX176)+N(AX178)+N(AX179)+N(AX186)+N(AX187)+N(AX188))&lt;&gt;0,N(AX118)/(N(AX172)+N(AX176)+N(AX178)+N(AX179)+N(AX186)+N(AX187)+N(AX188)),""),"")</f>
        <v>1.13415432599234</v>
      </c>
      <c r="AY316" s="262">
        <f>IFERROR(IF((N(AY172)+N(AY176)+N(AY178)+N(AY179)+N(AY186)+N(AY187)+N(AY188))&lt;&gt;0,N(AY118)/(N(AY172)+N(AY176)+N(AY178)+N(AY179)+N(AY186)+N(AY187)+N(AY188)),""),"")</f>
        <v>1.22180713383911</v>
      </c>
      <c r="AZ316" s="262">
        <f>IFERROR(IF((N(AZ172)+N(AZ176)+N(AZ178)+N(AZ179)+N(AZ186)+N(AZ187)+N(AZ188))&lt;&gt;0,N(AZ118)/(N(AZ172)+N(AZ176)+N(AZ178)+N(AZ179)+N(AZ186)+N(AZ187)+N(AZ188)),""),"")</f>
        <v>1.34554790727969</v>
      </c>
      <c r="BA316" s="262">
        <f>IFERROR(IF((N(BA172)+N(BA176)+N(BA178)+N(BA179)+N(BA186)+N(BA187)+N(BA188))&lt;&gt;0,N(BA118)/(N(BA172)+N(BA176)+N(BA178)+N(BA179)+N(BA186)+N(BA187)+N(BA188)),""),"")</f>
        <v>1.34554790727969</v>
      </c>
      <c r="BB316" s="262">
        <f>IFERROR(IF((N(BB172)+N(BB176)+N(BB178)+N(BB179)+N(BB186)+N(BB187)+N(BB188))&lt;&gt;0,N(BB118)/(N(BB172)+N(BB176)+N(BB178)+N(BB179)+N(BB186)+N(BB187)+N(BB188)),""),"")</f>
        <v>1.44687992804422</v>
      </c>
      <c r="BC316" s="262">
        <f>IFERROR(IF((N(BC172)+N(BC176)+N(BC178)+N(BC179)+N(BC186)+N(BC187)+N(BC188))&lt;&gt;0,N(BC118)/(N(BC172)+N(BC176)+N(BC178)+N(BC179)+N(BC186)+N(BC187)+N(BC188)),""),"")</f>
        <v>1.58816619238056</v>
      </c>
      <c r="BD316" s="262">
        <f>IFERROR(IF((N(BD172)+N(BD176)+N(BD178)+N(BD179)+N(BD186)+N(BD187)+N(BD188))&lt;&gt;0,N(BD118)/(N(BD172)+N(BD176)+N(BD178)+N(BD179)+N(BD186)+N(BD187)+N(BD188)),""),"")</f>
        <v>1.68817279567174</v>
      </c>
      <c r="BE316" s="262">
        <f>IFERROR(IF((N(BE172)+N(BE176)+N(BE178)+N(BE179)+N(BE186)+N(BE187)+N(BE188))&lt;&gt;0,N(BE118)/(N(BE172)+N(BE176)+N(BE178)+N(BE179)+N(BE186)+N(BE187)+N(BE188)),""),"")</f>
        <v>1.8293536060121</v>
      </c>
      <c r="BF316" s="262">
        <f>IFERROR(IF((N(BF172)+N(BF176)+N(BF178)+N(BF179)+N(BF186)+N(BF187)+N(BF188))&lt;&gt;0,N(BF118)/(N(BF172)+N(BF176)+N(BF178)+N(BF179)+N(BF186)+N(BF187)+N(BF188)),""),"")</f>
        <v>1.8293536060121</v>
      </c>
      <c r="BG316" s="82" t="n"/>
      <c r="BH316" s="82" t="n"/>
      <c r="BI316" s="82" t="n"/>
      <c r="BJ316" s="82" t="n"/>
      <c r="BL316" s="82" t="n"/>
      <c r="BM316" s="82" t="n"/>
      <c r="BN316" s="82" t="n"/>
      <c r="BO316" s="82" t="n"/>
      <c r="BQ316" s="82" t="n"/>
      <c r="BR316" s="82" t="n"/>
      <c r="BS316" s="82" t="n"/>
      <c r="BT316" s="82" t="n"/>
      <c r="BV316" s="82" t="n"/>
      <c r="BW316" s="82" t="n"/>
      <c r="BX316" s="82" t="n"/>
      <c r="BY316" s="82" t="n"/>
      <c r="CA316" s="82" t="n"/>
      <c r="CB316" s="82" t="n"/>
      <c r="CC316" s="82" t="n"/>
      <c r="CD316" s="82" t="n"/>
      <c r="CF316" s="82" t="n"/>
      <c r="CG316" s="82" t="n"/>
      <c r="CH316" s="82" t="n"/>
      <c r="CI316" s="82" t="n"/>
      <c r="CK316" s="82" t="n"/>
      <c r="CL316" s="82" t="n"/>
      <c r="CM316" s="82" t="n"/>
      <c r="CN316" s="82" t="n"/>
      <c r="CP316" s="82" t="n"/>
      <c r="CQ316" s="82" t="n"/>
      <c r="CR316" s="82" t="n"/>
      <c r="CS316" s="82" t="n"/>
      <c r="CU316" s="82" t="n"/>
      <c r="CV316" s="82" t="n"/>
      <c r="CW316" s="82" t="n"/>
      <c r="CX316" s="82" t="n"/>
    </row>
    <row r="317" customFormat="1" s="77">
      <c r="A317" s="76" t="n"/>
      <c r="B317" s="76" t="n"/>
    </row>
    <row r="318" customFormat="1" s="77">
      <c r="A318" s="76" t="n"/>
      <c r="B318" s="76" t="n"/>
      <c r="C318" s="74" t="inlineStr">
        <is>
          <t>OPERATING EFFICIENCY</t>
        </is>
      </c>
    </row>
    <row r="319" customFormat="1" s="84">
      <c r="A319" s="81" t="n"/>
      <c r="B319" s="81" t="n"/>
      <c r="C319" s="84" t="inlineStr">
        <is>
          <t>RETURN ON CAPITAL (ROIC) - LTM</t>
        </is>
      </c>
      <c r="D319" t="str">
        <f>IFERROR(D321/D324,"")</f>
        <v/>
      </c>
      <c r="E319" t="str">
        <f>IFERROR(E321/E324,"")</f>
        <v/>
      </c>
      <c r="F319" t="str">
        <f>IFERROR(F321/F324,"")</f>
        <v/>
      </c>
      <c r="G319" t="str">
        <f>IFERROR(G321/G324,"")</f>
        <v/>
      </c>
      <c r="H319" s="257" t="str">
        <f>IFERROR(IF(AND(COUNT(H321)=1,N(H324)&lt;&gt;0),(H321)/H324,""),"")</f>
        <v/>
      </c>
      <c r="I319" s="257" t="str">
        <f>""</f>
        <v/>
      </c>
      <c r="J319" s="257" t="str">
        <f>""</f>
        <v/>
      </c>
      <c r="K319" s="257" t="str">
        <f>""</f>
        <v/>
      </c>
      <c r="L319" s="257">
        <f>IFERROR(IF(AND(COUNT(I321,J321,K321,L321)=4,N(L324)&lt;&gt;0),(I321+J321+K321+L321)/L324,""),"")</f>
        <v>0.61952779495326</v>
      </c>
      <c r="M319" s="257">
        <f>IFERROR(IF(AND(COUNT(I321,J321,K321,L321)=4,N(M324)&lt;&gt;0),(I321+J321+K321+L321)/M324,""),"")</f>
        <v>0.61952779495326</v>
      </c>
      <c r="N319" s="257">
        <f>IFERROR(IF(AND(COUNT(J321,K321,L321,N321)=4,N(N324)&lt;&gt;0),(J321+K321+L321+N321)/N324,""),"")</f>
        <v>0.617888322006987</v>
      </c>
      <c r="O319" s="257">
        <f>IFERROR(IF(AND(COUNT(K321,L321,N321,O321)=4,N(O324)&lt;&gt;0),(K321+L321+N321+O321)/O324,""),"")</f>
        <v>0.497018891652556</v>
      </c>
      <c r="P319" s="257">
        <f>IFERROR(IF(AND(COUNT(L321,N321,O321,P321)=4,N(P324)&lt;&gt;0),(L321+N321+O321+P321)/P324,""),"")</f>
        <v>0.329871151986549</v>
      </c>
      <c r="Q319" s="257">
        <f>IFERROR(IF(AND(COUNT(N321,O321,P321,Q321)=4,N(Q324)&lt;&gt;0),(N321+O321+P321+Q321)/Q324,""),"")</f>
        <v>0.207762405987662</v>
      </c>
      <c r="R319" s="257">
        <f>IFERROR(IF(AND(COUNT(N321,O321,P321,Q321)=4,N(R324)&lt;&gt;0),(N321+O321+P321+Q321)/R324,""),"")</f>
        <v>0.207762405987662</v>
      </c>
      <c r="S319" s="257">
        <f>IFERROR(IF(AND(COUNT(O321,P321,Q321,S321)=4,N(S324)&lt;&gt;0),(O321+P321+Q321+S321)/S324,""),"")</f>
        <v>0.0590228311595836</v>
      </c>
      <c r="T319" s="257">
        <f>IFERROR(IF(AND(COUNT(P321,Q321,S321,T321)=4,N(T324)&lt;&gt;0),(P321+Q321+S321+T321)/T324,""),"")</f>
        <v>0.139384189157615</v>
      </c>
      <c r="U319" s="257">
        <f>IFERROR(IF(AND(COUNT(Q321,S321,T321,U321)=4,N(U324)&lt;&gt;0),(Q321+S321+T321+U321)/U324,""),"")</f>
        <v>0.205146236704545</v>
      </c>
      <c r="V319" s="257">
        <f>IFERROR(IF(AND(COUNT(S321,T321,U321,V321)=4,N(V324)&lt;&gt;0),(S321+T321+U321+V321)/V324,""),"")</f>
        <v>0.187419116978152</v>
      </c>
      <c r="W319" s="257">
        <f>IFERROR(IF(AND(COUNT(S321,T321,U321,V321)=4,N(W324)&lt;&gt;0),(S321+T321+U321+V321)/W324,""),"")</f>
        <v>0.187419116978152</v>
      </c>
      <c r="X319" s="257">
        <f>IFERROR(IF(AND(COUNT(T321,U321,V321,X321)=4,N(X324)&lt;&gt;0),(T321+U321+V321+X321)/X324,""),"")</f>
        <v>0.26885751012563</v>
      </c>
      <c r="Y319" s="257">
        <f>IFERROR(IF(AND(COUNT(U321,V321,X321,Y321)=4,N(Y324)&lt;&gt;0),(U321+V321+X321+Y321)/Y324,""),"")</f>
        <v>0.249912140290806</v>
      </c>
      <c r="Z319" s="257">
        <f>IFERROR(IF(AND(COUNT(V321,X321,Y321,Z321)=4,N(Z324)&lt;&gt;0),(V321+X321+Y321+Z321)/Z324,""),"")</f>
        <v>0.271354029311025</v>
      </c>
      <c r="AA319" s="257">
        <f>IFERROR(IF(AND(COUNT(X321,Y321,Z321,AA321)=4,N(AA324)&lt;&gt;0),(X321+Y321+Z321+AA321)/AA324,""),"")</f>
        <v>0.329300947611435</v>
      </c>
      <c r="AB319" s="257">
        <f>IFERROR(IF(AND(COUNT(X321,Y321,Z321,AA321)=4,N(AB324)&lt;&gt;0),(X321+Y321+Z321+AA321)/AB324,""),"")</f>
        <v>0.329300947611435</v>
      </c>
      <c r="AC319" s="257">
        <f>IFERROR(IF(AND(COUNT(Y321,Z321,AA321,AC321)=4,N(AC324)&lt;&gt;0),(Y321+Z321+AA321+AC321)/AC324,""),"")</f>
        <v>0.304756408021933</v>
      </c>
      <c r="AD319" s="257">
        <f>IFERROR(IF(AND(COUNT(Z321,AA321,AC321,AD321)=4,N(AD324)&lt;&gt;0),(Z321+AA321+AC321+AD321)/AD324,""),"")</f>
        <v>0.315966574903025</v>
      </c>
      <c r="AE319" s="257">
        <f>IFERROR(IF(AND(COUNT(AA321,AC321,AD321,AE321)=4,N(AE324)&lt;&gt;0),(AA321+AC321+AD321+AE321)/AE324,""),"")</f>
        <v>0.294866807417029</v>
      </c>
      <c r="AF319" s="257">
        <f>IFERROR(IF(AND(COUNT(AB321,AD321,AE321,AF321)=4,N(AF324)&lt;&gt;0),(AB321+AD321+AE321+AF321)/AF324,""),"")</f>
        <v>0.552120622151526</v>
      </c>
      <c r="AG319" s="257">
        <f>IFERROR(IF(AND(COUNT(AC321,AD321,AE321,AF321)=4,N(AG324)&lt;&gt;0),(AC321+AD321+AE321+AF321)/AG324,""),"")</f>
        <v>0.317779259063373</v>
      </c>
      <c r="AH319" s="257">
        <f>IFERROR(IF(AND(COUNT(AD321,AF321,AG321,AH321)=4,N(AH324)&lt;&gt;0),(AD321+AF321+AG321+AH321)/AH324,""),"")</f>
        <v>0.580651480177194</v>
      </c>
      <c r="AI319" s="257">
        <f>IFERROR(IF(AND(COUNT(AE321,AG321,AH321,AI321)=4,N(AI324)&lt;&gt;0),(AE321+AG321+AH321+AI321)/AI324,""),"")</f>
        <v>0.553046997176157</v>
      </c>
      <c r="AJ319" s="257">
        <f>IFERROR(IF(AND(COUNT(AF321,AH321,AI321,AJ321)=4,N(AJ324)&lt;&gt;0),(AF321+AH321+AI321+AJ321)/AJ324,""),"")</f>
        <v>0.35744423475388</v>
      </c>
      <c r="AK319" s="257">
        <f>IFERROR(IF(AND(COUNT(AH321,AI321,AJ321,AK321)=4,N(AK324)&lt;&gt;0),(AH321+AI321+AJ321+AK321)/AK324,""),"")</f>
        <v>0.363748033068501</v>
      </c>
      <c r="AL319" s="257">
        <f>IFERROR(IF(AND(COUNT(AH321,AI321,AJ321,AK321)=4,N(AL324)&lt;&gt;0),(AH321+AI321+AJ321+AK321)/AL324,""),"")</f>
        <v>0.363748033068501</v>
      </c>
      <c r="AM319" s="257">
        <f>IFERROR(IF(AND(COUNT(AI321,AJ321,AK321,AM321)=4,N(AM324)&lt;&gt;0),(AI321+AJ321+AK321+AM321)/AM324,""),"")</f>
        <v>0.386689057621877</v>
      </c>
      <c r="AN319" s="257">
        <f>IFERROR(IF(AND(COUNT(AJ321,AK321,AM321,AN321)=4,N(AN324)&lt;&gt;0),(AJ321+AK321+AM321+AN321)/AN324,""),"")</f>
        <v>0.390502722777496</v>
      </c>
      <c r="AO319" s="257">
        <f>IFERROR(IF(AND(COUNT(AK321,AM321,AN321,AO321)=4,N(AO324)&lt;&gt;0),(AK321+AM321+AN321+AO321)/AO324,""),"")</f>
        <v>0.402182661974732</v>
      </c>
      <c r="AP319" s="257">
        <f>IFERROR(IF(AND(COUNT(AM321,AN321,AO321,AP321)=4,N(AP324)&lt;&gt;0),(AM321+AN321+AO321+AP321)/AP324,""),"")</f>
        <v>0.418671939306742</v>
      </c>
      <c r="AQ319" s="257">
        <f>IFERROR(IF(AND(COUNT(AM321,AN321,AO321,AP321)=4,N(AQ324)&lt;&gt;0),(AM321+AN321+AO321+AP321)/AQ324,""),"")</f>
        <v>0.418671939306742</v>
      </c>
      <c r="AR319" s="257">
        <f>IFERROR(IF(AND(COUNT(AN321,AO321,AP321,AR321)=4,N(AR324)&lt;&gt;0),(AN321+AO321+AP321+AR321)/AR324,""),"")</f>
        <v>0.431914616966915</v>
      </c>
      <c r="AS319" s="257">
        <f>IFERROR(IF(AND(COUNT(AO321,AP321,AR321,AS321)=4,N(AS324)&lt;&gt;0),(AO321+AP321+AR321+AS321)/AS324,""),"")</f>
        <v>0.450379446841361</v>
      </c>
      <c r="AT319" s="257">
        <f>IFERROR(IF(AND(COUNT(AP321,AR321,AS321,AT321)=4,N(AT324)&lt;&gt;0),(AP321+AR321+AS321+AT321)/AT324,""),"")</f>
        <v>0.463449887212783</v>
      </c>
      <c r="AU319" s="257">
        <f>IFERROR(IF(AND(COUNT(AR321,AS321,AT321,AU321)=4,N(AU324)&lt;&gt;0),(AR321+AS321+AT321+AU321)/AU324,""),"")</f>
        <v>0.481902309376066</v>
      </c>
      <c r="AV319" s="257">
        <f>IFERROR(IF(AND(COUNT(AR321,AS321,AT321,AU321)=4,N(AV324)&lt;&gt;0),(AR321+AS321+AT321+AU321)/AV324,""),"")</f>
        <v>0.481902309376066</v>
      </c>
      <c r="AW319" s="257">
        <f>IFERROR(IF(AND(COUNT(AS321,AT321,AU321,AW321)=4,N(AW324)&lt;&gt;0),(AS321+AT321+AU321+AW321)/AW324,""),"")</f>
        <v>0.496641435969318</v>
      </c>
      <c r="AX319" s="257">
        <f>IFERROR(IF(AND(COUNT(AT321,AU321,AW321,AX321)=4,N(AX324)&lt;&gt;0),(AT321+AU321+AW321+AX321)/AX324,""),"")</f>
        <v>0.517192940757863</v>
      </c>
      <c r="AY319" s="257">
        <f>IFERROR(IF(AND(COUNT(AU321,AW321,AX321,AY321)=4,N(AY324)&lt;&gt;0),(AU321+AW321+AX321+AY321)/AY324,""),"")</f>
        <v>0.531740525581915</v>
      </c>
      <c r="AZ319" s="257">
        <f>IFERROR(IF(AND(COUNT(AW321,AX321,AY321,AZ321)=4,N(AZ324)&lt;&gt;0),(AW321+AX321+AY321+AZ321)/AZ324,""),"")</f>
        <v>0.552278443849111</v>
      </c>
      <c r="BA319" s="257">
        <f>IFERROR(IF(AND(COUNT(AW321,AX321,AY321,AZ321)=4,N(BA324)&lt;&gt;0),(AW321+AX321+AY321+AZ321)/BA324,""),"")</f>
        <v>0.552278443849111</v>
      </c>
      <c r="BB319" s="257">
        <f>IFERROR(IF(AND(COUNT(AX321,AY321,AZ321,BB321)=4,N(BB324)&lt;&gt;0),(AX321+AY321+AZ321+BB321)/BB324,""),"")</f>
        <v>0.568593105262514</v>
      </c>
      <c r="BC319" s="257">
        <f>IFERROR(IF(AND(COUNT(AY321,AZ321,BB321,BC321)=4,N(BC324)&lt;&gt;0),(AY321+AZ321+BB321+BC321)/BC324,""),"")</f>
        <v>0.591341595112837</v>
      </c>
      <c r="BD319" s="257">
        <f>IFERROR(IF(AND(COUNT(AZ321,BB321,BC321,BD321)=4,N(BD324)&lt;&gt;0),(AZ321+BB321+BC321+BD321)/BD324,""),"")</f>
        <v>0.607444434366682</v>
      </c>
      <c r="BE319" s="257">
        <f>IFERROR(IF(AND(COUNT(BB321,BC321,BD321,BE321)=4,N(BE324)&lt;&gt;0),(BB321+BC321+BD321+BE321)/BE324,""),"")</f>
        <v>0.630178158948071</v>
      </c>
      <c r="BF319" s="257">
        <f>IFERROR(IF(AND(COUNT(BB321,BC321,BD321,BE321)=4,N(BF324)&lt;&gt;0),(BB321+BC321+BD321+BE321)/BF324,""),"")</f>
        <v>0.630178158948071</v>
      </c>
      <c r="BG319" s="81" t="n"/>
      <c r="BH319" s="81" t="n"/>
      <c r="BI319" s="81" t="n"/>
      <c r="BJ319" s="81" t="n"/>
      <c r="BL319" s="81" t="n"/>
      <c r="BM319" s="81" t="n"/>
      <c r="BN319" s="81" t="n"/>
      <c r="BO319" s="81" t="n"/>
      <c r="BQ319" s="81" t="n"/>
      <c r="BR319" s="81" t="n"/>
      <c r="BS319" s="81" t="n"/>
      <c r="BT319" s="81" t="n"/>
      <c r="BV319" s="81" t="n"/>
      <c r="BW319" s="81" t="n"/>
      <c r="BX319" s="81" t="n"/>
      <c r="BY319" s="81" t="n"/>
      <c r="CA319" s="81" t="n"/>
      <c r="CB319" s="81" t="n"/>
      <c r="CC319" s="81" t="n"/>
      <c r="CD319" s="81" t="n"/>
      <c r="CF319" s="81" t="n"/>
      <c r="CG319" s="81" t="n"/>
      <c r="CH319" s="81" t="n"/>
      <c r="CI319" s="81" t="n"/>
      <c r="CK319" s="81" t="n"/>
      <c r="CL319" s="81" t="n"/>
      <c r="CM319" s="81" t="n"/>
      <c r="CN319" s="81" t="n"/>
      <c r="CP319" s="81" t="n"/>
      <c r="CQ319" s="81" t="n"/>
      <c r="CR319" s="81" t="n"/>
      <c r="CS319" s="81" t="n"/>
      <c r="CU319" s="81" t="n"/>
      <c r="CV319" s="81" t="n"/>
      <c r="CW319" s="81" t="n"/>
      <c r="CX319" s="81" t="n"/>
    </row>
    <row r="320" customFormat="1" s="84">
      <c r="A320" s="81" t="n"/>
      <c r="B320" s="81" t="n"/>
      <c r="C320" s="84" t="inlineStr">
        <is>
          <t>RETURN ON CAPITAL (ROIC) - EX GOODWILL - LTM</t>
        </is>
      </c>
      <c r="D320" t="str">
        <f>IFERROR(D321/D325,"")</f>
        <v/>
      </c>
      <c r="E320" t="str">
        <f>IFERROR(E321/E325,"")</f>
        <v/>
      </c>
      <c r="F320" t="str">
        <f>IFERROR(F321/F325,"")</f>
        <v/>
      </c>
      <c r="G320" t="str">
        <f>IFERROR(G321/G325,"")</f>
        <v/>
      </c>
      <c r="H320" s="257" t="str">
        <f>IFERROR(IF(AND(COUNT(H321)=1,N(H325)&lt;&gt;0),(H321)/H325,""),"")</f>
        <v/>
      </c>
      <c r="I320" s="257" t="str">
        <f>""</f>
        <v/>
      </c>
      <c r="J320" s="257" t="str">
        <f>""</f>
        <v/>
      </c>
      <c r="K320" s="257" t="str">
        <f>""</f>
        <v/>
      </c>
      <c r="L320" s="257">
        <f>IFERROR(IF(AND(COUNT(I321,J321,K321,L321)=4,N(L325)&lt;&gt;0),(I321+J321+K321+L321)/L325,""),"")</f>
        <v>0.685702391617422</v>
      </c>
      <c r="M320" s="257">
        <f>IFERROR(IF(AND(COUNT(I321,J321,K321,L321)=4,N(M325)&lt;&gt;0),(I321+J321+K321+L321)/M325,""),"")</f>
        <v>0.685702391617422</v>
      </c>
      <c r="N320" s="257">
        <f>IFERROR(IF(AND(COUNT(J321,K321,L321,N321)=4,N(N325)&lt;&gt;0),(J321+K321+L321+N321)/N325,""),"")</f>
        <v>0.688748379047366</v>
      </c>
      <c r="O320" s="257">
        <f>IFERROR(IF(AND(COUNT(K321,L321,N321,O321)=4,N(O325)&lt;&gt;0),(K321+L321+N321+O321)/O325,""),"")</f>
        <v>0.5585807748182</v>
      </c>
      <c r="P320" s="257">
        <f>IFERROR(IF(AND(COUNT(L321,N321,O321,P321)=4,N(P325)&lt;&gt;0),(L321+N321+O321+P321)/P325,""),"")</f>
        <v>0.373276324161717</v>
      </c>
      <c r="Q320" s="257">
        <f>IFERROR(IF(AND(COUNT(N321,O321,P321,Q321)=4,N(Q325)&lt;&gt;0),(N321+O321+P321+Q321)/Q325,""),"")</f>
        <v>0.236768751965831</v>
      </c>
      <c r="R320" s="257">
        <f>IFERROR(IF(AND(COUNT(N321,O321,P321,Q321)=4,N(R325)&lt;&gt;0),(N321+O321+P321+Q321)/R325,""),"")</f>
        <v>0.236768751965831</v>
      </c>
      <c r="S320" s="257">
        <f>IFERROR(IF(AND(COUNT(O321,P321,Q321,S321)=4,N(S325)&lt;&gt;0),(O321+P321+Q321+S321)/S325,""),"")</f>
        <v>0.066995949729495</v>
      </c>
      <c r="T320" s="257">
        <f>IFERROR(IF(AND(COUNT(P321,Q321,S321,T321)=4,N(T325)&lt;&gt;0),(P321+Q321+S321+T321)/T325,""),"")</f>
        <v>0.158311121014517</v>
      </c>
      <c r="U320" s="257">
        <f>IFERROR(IF(AND(COUNT(Q321,S321,T321,U321)=4,N(U325)&lt;&gt;0),(Q321+S321+T321+U321)/U325,""),"")</f>
        <v>0.23294539562859</v>
      </c>
      <c r="V320" s="257">
        <f>IFERROR(IF(AND(COUNT(S321,T321,U321,V321)=4,N(V325)&lt;&gt;0),(S321+T321+U321+V321)/V325,""),"")</f>
        <v>0.214197866698681</v>
      </c>
      <c r="W320" s="257">
        <f>IFERROR(IF(AND(COUNT(S321,T321,U321,V321)=4,N(W325)&lt;&gt;0),(S321+T321+U321+V321)/W325,""),"")</f>
        <v>0.214197866698681</v>
      </c>
      <c r="X320" s="257">
        <f>IFERROR(IF(AND(COUNT(T321,U321,V321,X321)=4,N(X325)&lt;&gt;0),(T321+U321+V321+X321)/X325,""),"")</f>
        <v>0.304943828948657</v>
      </c>
      <c r="Y320" s="257">
        <f>IFERROR(IF(AND(COUNT(U321,V321,X321,Y321)=4,N(Y325)&lt;&gt;0),(U321+V321+X321+Y321)/Y325,""),"")</f>
        <v>0.282710562651483</v>
      </c>
      <c r="Z320" s="257">
        <f>IFERROR(IF(AND(COUNT(V321,X321,Y321,Z321)=4,N(Z325)&lt;&gt;0),(V321+X321+Y321+Z321)/Z325,""),"")</f>
        <v>0.305050909560779</v>
      </c>
      <c r="AA320" s="257">
        <f>IFERROR(IF(AND(COUNT(X321,Y321,Z321,AA321)=4,N(AA325)&lt;&gt;0),(X321+Y321+Z321+AA321)/AA325,""),"")</f>
        <v>0.369117894449447</v>
      </c>
      <c r="AB320" s="257">
        <f>IFERROR(IF(AND(COUNT(X321,Y321,Z321,AA321)=4,N(AB325)&lt;&gt;0),(X321+Y321+Z321+AA321)/AB325,""),"")</f>
        <v>0.369117894449447</v>
      </c>
      <c r="AC320" s="257">
        <f>IFERROR(IF(AND(COUNT(Y321,Z321,AA321,AC321)=4,N(AC325)&lt;&gt;0),(Y321+Z321+AA321+AC321)/AC325,""),"")</f>
        <v>0.341711851027388</v>
      </c>
      <c r="AD320" s="257">
        <f>IFERROR(IF(AND(COUNT(Z321,AA321,AC321,AD321)=4,N(AD325)&lt;&gt;0),(Z321+AA321+AC321+AD321)/AD325,""),"")</f>
        <v>0.351195404364146</v>
      </c>
      <c r="AE320" s="257">
        <f>IFERROR(IF(AND(COUNT(AA321,AC321,AD321,AE321)=4,N(AE325)&lt;&gt;0),(AA321+AC321+AD321+AE321)/AE325,""),"")</f>
        <v>0.327574546417297</v>
      </c>
      <c r="AF320" s="257">
        <f>IFERROR(IF(AND(COUNT(AB321,AD321,AE321,AF321)=4,N(AF325)&lt;&gt;0),(AB321+AD321+AE321+AF321)/AF325,""),"")</f>
        <v>0.612237891507059</v>
      </c>
      <c r="AG320" s="257">
        <f>IFERROR(IF(AND(COUNT(AC321,AD321,AE321,AF321)=4,N(AG325)&lt;&gt;0),(AC321+AD321+AE321+AF321)/AG325,""),"")</f>
        <v>0.352380432332847</v>
      </c>
      <c r="AH320" s="257">
        <f>IFERROR(IF(AND(COUNT(AD321,AF321,AG321,AH321)=4,N(AH325)&lt;&gt;0),(AD321+AF321+AG321+AH321)/AH325,""),"")</f>
        <v>0.644918200327833</v>
      </c>
      <c r="AI320" s="257">
        <f>IFERROR(IF(AND(COUNT(AE321,AG321,AH321,AI321)=4,N(AI325)&lt;&gt;0),(AE321+AG321+AH321+AI321)/AI325,""),"")</f>
        <v>0.611007368893492</v>
      </c>
      <c r="AJ320" s="257">
        <f>IFERROR(IF(AND(COUNT(AF321,AH321,AI321,AJ321)=4,N(AJ325)&lt;&gt;0),(AF321+AH321+AI321+AJ321)/AJ325,""),"")</f>
        <v>0.394905547015103</v>
      </c>
      <c r="AK320" s="257">
        <f>IFERROR(IF(AND(COUNT(AH321,AI321,AJ321,AK321)=4,N(AK325)&lt;&gt;0),(AH321+AI321+AJ321+AK321)/AK325,""),"")</f>
        <v>0.401870693588811</v>
      </c>
      <c r="AL320" s="257">
        <f>IFERROR(IF(AND(COUNT(AH321,AI321,AJ321,AK321)=4,N(AL325)&lt;&gt;0),(AH321+AI321+AJ321+AK321)/AL325,""),"")</f>
        <v>0.401870693588811</v>
      </c>
      <c r="AM320" s="257">
        <f>IFERROR(IF(AND(COUNT(AI321,AJ321,AK321,AM321)=4,N(AM325)&lt;&gt;0),(AI321+AJ321+AK321+AM321)/AM325,""),"")</f>
        <v>0.427216663665359</v>
      </c>
      <c r="AN320" s="257">
        <f>IFERROR(IF(AND(COUNT(AJ321,AK321,AM321,AN321)=4,N(AN325)&lt;&gt;0),(AJ321+AK321+AM321+AN321)/AN325,""),"")</f>
        <v>0.431430883215955</v>
      </c>
      <c r="AO320" s="257">
        <f>IFERROR(IF(AND(COUNT(AK321,AM321,AN321,AO321)=4,N(AO325)&lt;&gt;0),(AK321+AM321+AN321+AO321)/AO325,""),"")</f>
        <v>0.444335608549695</v>
      </c>
      <c r="AP320" s="257">
        <f>IFERROR(IF(AND(COUNT(AM321,AN321,AO321,AP321)=4,N(AP325)&lt;&gt;0),(AM321+AN321+AO321+AP321)/AP325,""),"")</f>
        <v>0.462554052386874</v>
      </c>
      <c r="AQ320" s="257">
        <f>IFERROR(IF(AND(COUNT(AM321,AN321,AO321,AP321)=4,N(AQ325)&lt;&gt;0),(AM321+AN321+AO321+AP321)/AQ325,""),"")</f>
        <v>0.462554052386874</v>
      </c>
      <c r="AR320" s="257">
        <f>IFERROR(IF(AND(COUNT(AN321,AO321,AP321,AR321)=4,N(AR325)&lt;&gt;0),(AN321+AO321+AP321+AR321)/AR325,""),"")</f>
        <v>0.477185512382708</v>
      </c>
      <c r="AS320" s="257">
        <f>IFERROR(IF(AND(COUNT(AO321,AP321,AR321,AS321)=4,N(AS325)&lt;&gt;0),(AO321+AP321+AR321+AS321)/AS325,""),"")</f>
        <v>0.497586860737134</v>
      </c>
      <c r="AT320" s="257">
        <f>IFERROR(IF(AND(COUNT(AP321,AR321,AS321,AT321)=4,N(AT325)&lt;&gt;0),(AP321+AR321+AS321+AT321)/AT325,""),"")</f>
        <v>0.512028133684501</v>
      </c>
      <c r="AU320" s="257">
        <f>IFERROR(IF(AND(COUNT(AR321,AS321,AT321,AU321)=4,N(AU325)&lt;&gt;0),(AR321+AS321+AT321+AU321)/AU325,""),"")</f>
        <v>0.53241593220587</v>
      </c>
      <c r="AV320" s="257">
        <f>IFERROR(IF(AND(COUNT(AR321,AS321,AT321,AU321)=4,N(AV325)&lt;&gt;0),(AR321+AS321+AT321+AU321)/AV325,""),"")</f>
        <v>0.53241593220587</v>
      </c>
      <c r="AW320" s="257">
        <f>IFERROR(IF(AND(COUNT(AS321,AT321,AU321,AW321)=4,N(AW325)&lt;&gt;0),(AS321+AT321+AU321+AW321)/AW325,""),"")</f>
        <v>0.548701064045247</v>
      </c>
      <c r="AX320" s="257">
        <f>IFERROR(IF(AND(COUNT(AT321,AU321,AW321,AX321)=4,N(AX325)&lt;&gt;0),(AT321+AU321+AW321+AX321)/AX325,""),"")</f>
        <v>0.571408343782518</v>
      </c>
      <c r="AY320" s="257">
        <f>IFERROR(IF(AND(COUNT(AU321,AW321,AX321,AY321)=4,N(AY325)&lt;&gt;0),(AU321+AW321+AX321+AY321)/AY325,""),"")</f>
        <v>0.587481987028309</v>
      </c>
      <c r="AZ320" s="257">
        <f>IFERROR(IF(AND(COUNT(AW321,AX321,AY321,AZ321)=4,N(AZ325)&lt;&gt;0),(AW321+AX321+AY321+AZ321)/AZ325,""),"")</f>
        <v>0.610174458096617</v>
      </c>
      <c r="BA320" s="257">
        <f>IFERROR(IF(AND(COUNT(AW321,AX321,AY321,AZ321)=4,N(BA325)&lt;&gt;0),(AW321+AX321+AY321+AZ321)/BA325,""),"")</f>
        <v>0.610174458096617</v>
      </c>
      <c r="BB320" s="257">
        <f>IFERROR(IF(AND(COUNT(AX321,AY321,AZ321,BB321)=4,N(BB325)&lt;&gt;0),(AX321+AY321+AZ321+BB321)/BB325,""),"")</f>
        <v>0.6282007520309</v>
      </c>
      <c r="BC320" s="257">
        <f>IFERROR(IF(AND(COUNT(AY321,AZ321,BB321,BC321)=4,N(BC325)&lt;&gt;0),(AY321+AZ321+BB321+BC321)/BC325,""),"")</f>
        <v>0.653336000591427</v>
      </c>
      <c r="BD320" s="257">
        <f>IFERROR(IF(AND(COUNT(AZ321,BB321,BC321,BD321)=4,N(BD325)&lt;&gt;0),(AZ321+BB321+BC321+BD321)/BD325,""),"")</f>
        <v>0.671128431493746</v>
      </c>
      <c r="BE320" s="257">
        <f>IFERROR(IF(AND(COUNT(BB321,BC321,BD321,BE321)=4,N(BE325)&lt;&gt;0),(BB321+BC321+BD321+BE321)/BE325,""),"")</f>
        <v>0.696247622084865</v>
      </c>
      <c r="BF320" s="257">
        <f>IFERROR(IF(AND(COUNT(BB321,BC321,BD321,BE321)=4,N(BF325)&lt;&gt;0),(BB321+BC321+BD321+BE321)/BF325,""),"")</f>
        <v>0.696247622084865</v>
      </c>
      <c r="BG320" s="81" t="n"/>
      <c r="BH320" s="81" t="n"/>
      <c r="BI320" s="81" t="n"/>
      <c r="BJ320" s="81" t="n"/>
      <c r="BL320" s="81" t="n"/>
      <c r="BM320" s="81" t="n"/>
      <c r="BN320" s="81" t="n"/>
      <c r="BO320" s="81" t="n"/>
      <c r="BQ320" s="81" t="n"/>
      <c r="BR320" s="81" t="n"/>
      <c r="BS320" s="81" t="n"/>
      <c r="BT320" s="81" t="n"/>
      <c r="BV320" s="81" t="n"/>
      <c r="BW320" s="81" t="n"/>
      <c r="BX320" s="81" t="n"/>
      <c r="BY320" s="81" t="n"/>
      <c r="CA320" s="81" t="n"/>
      <c r="CB320" s="81" t="n"/>
      <c r="CC320" s="81" t="n"/>
      <c r="CD320" s="81" t="n"/>
      <c r="CF320" s="81" t="n"/>
      <c r="CG320" s="81" t="n"/>
      <c r="CH320" s="81" t="n"/>
      <c r="CI320" s="81" t="n"/>
      <c r="CK320" s="81" t="n"/>
      <c r="CL320" s="81" t="n"/>
      <c r="CM320" s="81" t="n"/>
      <c r="CN320" s="81" t="n"/>
      <c r="CP320" s="81" t="n"/>
      <c r="CQ320" s="81" t="n"/>
      <c r="CR320" s="81" t="n"/>
      <c r="CS320" s="81" t="n"/>
      <c r="CU320" s="81" t="n"/>
      <c r="CV320" s="81" t="n"/>
      <c r="CW320" s="81" t="n"/>
      <c r="CX320" s="81" t="n"/>
    </row>
    <row r="321" customFormat="1" s="77">
      <c r="A321" s="76" t="n"/>
      <c r="B321" s="76" t="n"/>
      <c r="C321" s="77" t="inlineStr">
        <is>
          <t>NOPLAT</t>
        </is>
      </c>
      <c r="D321">
        <f>IFERROR(D322*(1-D323),"")</f>
        <v>0</v>
      </c>
      <c r="E321">
        <f>IFERROR(E322*(1-E323),"")</f>
        <v>0</v>
      </c>
      <c r="F321">
        <f>IFERROR(F322*(1-F323),"")</f>
        <v>0</v>
      </c>
      <c r="G321">
        <f>IFERROR(G322*(1-G323),"")</f>
        <v>0</v>
      </c>
      <c r="H321" s="263">
        <f>IFERROR(H322*(1-N(H323)),0)</f>
        <v>0</v>
      </c>
      <c r="I321" s="263">
        <f>IFERROR(I322*(1-N(I323)),0)</f>
        <v>3292.408</v>
      </c>
      <c r="J321" s="263">
        <f>IFERROR(J322*(1-N(J323)),0)</f>
        <v>2782.64662913495</v>
      </c>
      <c r="K321" s="263">
        <f>IFERROR(K322*(1-N(K323)),0)</f>
        <v>3168.74644983665</v>
      </c>
      <c r="L321" s="263">
        <f>IFERROR(L322*(1-N(L323)),0)</f>
        <v>2890.4611275438</v>
      </c>
      <c r="M321" s="263">
        <f>IFERROR(M322*(1-N(M323)),0)</f>
        <v>12137.1609126988</v>
      </c>
      <c r="N321" s="263">
        <f>IFERROR(N322*(1-N(N323)),0)</f>
        <v>2510.27427402508</v>
      </c>
      <c r="O321" s="263">
        <f>IFERROR(O322*(1-N(O323)),0)</f>
        <v>-45.2509999999999</v>
      </c>
      <c r="P321" s="263">
        <f>IFERROR(P322*(1-N(P323)),0)</f>
        <v>6.69718475252997</v>
      </c>
      <c r="Q321" s="263">
        <f>IFERROR(Q322*(1-N(Q323)),0)</f>
        <v>733.859</v>
      </c>
      <c r="R321" s="263">
        <f>IFERROR(R322*(1-N(R323)),0)</f>
        <v>3334.34156921667</v>
      </c>
      <c r="S321" s="263">
        <f>IFERROR(S322*(1-N(S323)),0)</f>
        <v>242.145825221787</v>
      </c>
      <c r="T321" s="263">
        <f>IFERROR(T322*(1-N(T323)),0)</f>
        <v>1221.00035125959</v>
      </c>
      <c r="U321" s="263">
        <f>IFERROR(U322*(1-N(U323)),0)</f>
        <v>1052.32801732924</v>
      </c>
      <c r="V321" s="263">
        <f>IFERROR(V322*(1-N(V323)),0)</f>
        <v>318.180657634769</v>
      </c>
      <c r="W321" s="263">
        <f>IFERROR(W322*(1-N(W323)),0)</f>
        <v>2870.56351340495</v>
      </c>
      <c r="X321" s="263">
        <f>IFERROR(X322*(1-N(X323)),0)</f>
        <v>1702.94203528522</v>
      </c>
      <c r="Y321" s="263">
        <f>IFERROR(Y322*(1-N(Y323)),0)</f>
        <v>998.332553897083</v>
      </c>
      <c r="Z321" s="263">
        <f>IFERROR(Z322*(1-N(Z323)),0)</f>
        <v>1623.84880332773</v>
      </c>
      <c r="AA321" s="263">
        <f>IFERROR(AA322*(1-N(AA323)),0)</f>
        <v>1445.17594986668</v>
      </c>
      <c r="AB321" s="263">
        <f>IFERROR(AB322*(1-N(AB323)),0)</f>
        <v>5770.20710072173</v>
      </c>
      <c r="AC321" s="263">
        <f>IFERROR(AC322*(1-N(AC323)),0)</f>
        <v>1259.15203082884</v>
      </c>
      <c r="AD321" s="263">
        <f>IFERROR(AD322*(1-N(AD323)),0)</f>
        <v>1625.70177013949</v>
      </c>
      <c r="AE321" s="263">
        <f>IFERROR(AE322*(1-N(AE323)),0)</f>
        <v>1252.02035854172</v>
      </c>
      <c r="AF321" s="263">
        <f>IFERROR(AF322*(1-N(AF323)),0)</f>
        <v>1980.35465069101</v>
      </c>
      <c r="AG321" s="263">
        <f>IFERROR(AG322*(1-N(AG323)),0)</f>
        <v>6117.72069934238</v>
      </c>
      <c r="AH321" s="263">
        <f>IFERROR(AH322*(1-N(AH323)),0)</f>
        <v>1290.15138306266</v>
      </c>
      <c r="AI321" s="263">
        <f>IFERROR(AI322*(1-N(AI323)),0)</f>
        <v>2360.20774706992</v>
      </c>
      <c r="AJ321" s="263">
        <f>IFERROR(AJ322*(1-N(AJ323)),0)</f>
        <v>1491.69281521418</v>
      </c>
      <c r="AK321" s="263">
        <f>IFERROR(AK322*(1-N(AK323)),0)</f>
        <v>2105.84494923471</v>
      </c>
      <c r="AL321" s="263">
        <f>IFERROR(AL322*(1-N(AL323)),0)</f>
        <v>7247.11020528432</v>
      </c>
      <c r="AM321" s="263">
        <f>IFERROR(AM322*(1-N(AM323)),0)</f>
        <v>1747.16030539534</v>
      </c>
      <c r="AN321" s="263">
        <f>IFERROR(AN322*(1-N(AN323)),0)</f>
        <v>2436.048850932</v>
      </c>
      <c r="AO321" s="263">
        <f>IFERROR(AO322*(1-N(AO323)),0)</f>
        <v>1724.30754098724</v>
      </c>
      <c r="AP321" s="263">
        <f>IFERROR(AP322*(1-N(AP323)),0)</f>
        <v>2434.23061979014</v>
      </c>
      <c r="AQ321" s="263">
        <f>IFERROR(AQ322*(1-N(AQ323)),0)</f>
        <v>8341.74731710472</v>
      </c>
      <c r="AR321" s="263">
        <f>IFERROR(AR322*(1-N(AR323)),0)</f>
        <v>2010.87685543564</v>
      </c>
      <c r="AS321" s="263">
        <f>IFERROR(AS322*(1-N(AS323)),0)</f>
        <v>2803.74630646232</v>
      </c>
      <c r="AT321" s="263">
        <f>IFERROR(AT322*(1-N(AT323)),0)</f>
        <v>1984.57469249785</v>
      </c>
      <c r="AU321" s="263">
        <f>IFERROR(AU322*(1-N(AU323)),0)</f>
        <v>2801.65363133131</v>
      </c>
      <c r="AV321" s="263">
        <f>IFERROR(AV322*(1-N(AV323)),0)</f>
        <v>9600.85148572712</v>
      </c>
      <c r="AW321" s="263">
        <f>IFERROR(AW322*(1-N(AW323)),0)</f>
        <v>2304.3444234566</v>
      </c>
      <c r="AX321" s="263">
        <f>IFERROR(AX322*(1-N(AX323)),0)</f>
        <v>3212.92532092115</v>
      </c>
      <c r="AY321" s="263">
        <f>IFERROR(AY322*(1-N(AY323)),0)</f>
        <v>2274.20372024709</v>
      </c>
      <c r="AZ321" s="263">
        <f>IFERROR(AZ322*(1-N(AZ323)),0)</f>
        <v>3210.52724057365</v>
      </c>
      <c r="BA321" s="263">
        <f>IFERROR(BA322*(1-N(BA323)),0)</f>
        <v>11002.0007051985</v>
      </c>
      <c r="BB321" s="263">
        <f>IFERROR(BB322*(1-N(BB323)),0)</f>
        <v>2629.11895538713</v>
      </c>
      <c r="BC321" s="263">
        <f>IFERROR(BC322*(1-N(BC323)),0)</f>
        <v>3665.7553347889</v>
      </c>
      <c r="BD321" s="263">
        <f>IFERROR(BD322*(1-N(BD323)),0)</f>
        <v>2594.73021847342</v>
      </c>
      <c r="BE321" s="263">
        <f>IFERROR(BE322*(1-N(BE323)),0)</f>
        <v>3663.01926875902</v>
      </c>
      <c r="BF321" s="263">
        <f>IFERROR(BF322*(1-N(BF323)),0)</f>
        <v>12552.6237774085</v>
      </c>
      <c r="BG321" s="85" t="n"/>
      <c r="BH321" s="76" t="n"/>
      <c r="BI321" s="76" t="n"/>
      <c r="BJ321" s="76" t="n"/>
      <c r="BL321" s="85" t="n"/>
      <c r="BM321" s="76" t="n"/>
      <c r="BN321" s="76" t="n"/>
      <c r="BO321" s="76" t="n"/>
      <c r="BQ321" s="85" t="n"/>
      <c r="BR321" s="76" t="n"/>
      <c r="BS321" s="76" t="n"/>
      <c r="BT321" s="76" t="n"/>
      <c r="BV321" s="85" t="n"/>
      <c r="BW321" s="76" t="n"/>
      <c r="BX321" s="76" t="n"/>
      <c r="BY321" s="76" t="n"/>
      <c r="CA321" s="85" t="n"/>
      <c r="CB321" s="76" t="n"/>
      <c r="CC321" s="76" t="n"/>
      <c r="CD321" s="76" t="n"/>
      <c r="CF321" s="85" t="n"/>
      <c r="CG321" s="76" t="n"/>
      <c r="CH321" s="76" t="n"/>
      <c r="CI321" s="76" t="n"/>
      <c r="CK321" s="85" t="n"/>
      <c r="CL321" s="76" t="n"/>
      <c r="CM321" s="76" t="n"/>
      <c r="CN321" s="76" t="n"/>
      <c r="CP321" s="85" t="n"/>
      <c r="CQ321" s="76" t="n"/>
      <c r="CR321" s="76" t="n"/>
      <c r="CS321" s="76" t="n"/>
      <c r="CU321" s="85" t="n"/>
      <c r="CV321" s="76" t="n"/>
      <c r="CW321" s="76" t="n"/>
      <c r="CX321" s="76" t="n"/>
    </row>
    <row r="322" customFormat="1" s="77">
      <c r="A322" s="76" t="n"/>
      <c r="B322" s="76" t="n"/>
      <c r="C322" s="77" t="inlineStr">
        <is>
          <t>EBIT</t>
        </is>
      </c>
      <c r="D322" s="86">
        <f>IFERROR(D104,"")</f>
        <v>0</v>
      </c>
      <c r="E322" s="86">
        <f>IFERROR(E104,"")</f>
        <v>0</v>
      </c>
      <c r="F322" s="86">
        <f>IFERROR(F104,"")</f>
        <v>0</v>
      </c>
      <c r="G322" s="86">
        <f>IFERROR(G104,"")</f>
        <v>0</v>
      </c>
      <c r="H322" s="263">
        <f>IFERROR(H47,0)</f>
        <v>0</v>
      </c>
      <c r="I322" s="263">
        <f>IFERROR(I47,0)</f>
        <v>3292.408</v>
      </c>
      <c r="J322" s="263">
        <f>IFERROR(J47,0)</f>
        <v>3063.346</v>
      </c>
      <c r="K322" s="263">
        <f>IFERROR(K47,0)</f>
        <v>3622.319</v>
      </c>
      <c r="L322" s="263">
        <f>IFERROR(L47,0)</f>
        <v>3320.726</v>
      </c>
      <c r="M322" s="263">
        <f>IFERROR(M47,0)</f>
        <v>13298.799</v>
      </c>
      <c r="N322" s="263">
        <f>IFERROR(N47,0)</f>
        <v>2996.005</v>
      </c>
      <c r="O322" s="263">
        <f>IFERROR(O47,0)</f>
        <v>-45.2509999999999</v>
      </c>
      <c r="P322" s="263">
        <f>IFERROR(P47,0)</f>
        <v>177.26</v>
      </c>
      <c r="Q322" s="263">
        <f>IFERROR(Q47,0)</f>
        <v>733.859</v>
      </c>
      <c r="R322" s="263">
        <f>IFERROR(R47,0)</f>
        <v>3861.873</v>
      </c>
      <c r="S322" s="263">
        <f>IFERROR(S47,0)</f>
        <v>296.941</v>
      </c>
      <c r="T322" s="263">
        <f>IFERROR(T47,0)</f>
        <v>1447.477</v>
      </c>
      <c r="U322" s="263">
        <f>IFERROR(U47,0)</f>
        <v>1276.979</v>
      </c>
      <c r="V322" s="263">
        <f>IFERROR(V47,0)</f>
        <v>452.182</v>
      </c>
      <c r="W322" s="263">
        <f>IFERROR(W47,0)</f>
        <v>3473.579</v>
      </c>
      <c r="X322" s="263">
        <f>IFERROR(X47,0)</f>
        <v>2005.624</v>
      </c>
      <c r="Y322" s="263">
        <f>IFERROR(Y47,0)</f>
        <v>1272.291</v>
      </c>
      <c r="Z322" s="263">
        <f>IFERROR(Z47,0)</f>
        <v>1878.435</v>
      </c>
      <c r="AA322" s="263">
        <f>IFERROR(AA47,0)</f>
        <v>1697.98</v>
      </c>
      <c r="AB322" s="263">
        <f>IFERROR(AB47,0)</f>
        <v>6854.33</v>
      </c>
      <c r="AC322" s="263">
        <f>IFERROR(AC47,0)</f>
        <v>1513.141</v>
      </c>
      <c r="AD322" s="263">
        <f>IFERROR(AD47,0)</f>
        <v>1915.119</v>
      </c>
      <c r="AE322" s="263">
        <f>IFERROR(AE47,0)</f>
        <v>1464.236</v>
      </c>
      <c r="AF322" s="263">
        <f>IFERROR(AF47,0)</f>
        <v>2363.476</v>
      </c>
      <c r="AG322" s="263">
        <f>IFERROR(AG47,0)</f>
        <v>7255.972</v>
      </c>
      <c r="AH322" s="263">
        <f>IFERROR(AH47,0)</f>
        <v>1492.355</v>
      </c>
      <c r="AI322" s="263">
        <f>IFERROR(AI47,0)</f>
        <v>2813.389</v>
      </c>
      <c r="AJ322" s="263">
        <f>IFERROR(AJ47,0)</f>
        <v>1762.73869106132</v>
      </c>
      <c r="AK322" s="263">
        <f>IFERROR(AK47,0)</f>
        <v>2488.48444634971</v>
      </c>
      <c r="AL322" s="263">
        <f>IFERROR(AL47,0)</f>
        <v>8556.96713741103</v>
      </c>
      <c r="AM322" s="263">
        <f>IFERROR(AM47,0)</f>
        <v>2064.62553040096</v>
      </c>
      <c r="AN322" s="263">
        <f>IFERROR(AN47,0)</f>
        <v>2878.68756828246</v>
      </c>
      <c r="AO322" s="263">
        <f>IFERROR(AO47,0)</f>
        <v>2037.62033763675</v>
      </c>
      <c r="AP322" s="263">
        <f>IFERROR(AP47,0)</f>
        <v>2876.53895809251</v>
      </c>
      <c r="AQ322" s="263">
        <f>IFERROR(AQ47,0)</f>
        <v>9857.47239441268</v>
      </c>
      <c r="AR322" s="263">
        <f>IFERROR(AR47,0)</f>
        <v>2376.26031303717</v>
      </c>
      <c r="AS322" s="263">
        <f>IFERROR(AS47,0)</f>
        <v>3313.19695577659</v>
      </c>
      <c r="AT322" s="263">
        <f>IFERROR(AT47,0)</f>
        <v>2345.17895379472</v>
      </c>
      <c r="AU322" s="263">
        <f>IFERROR(AU47,0)</f>
        <v>3310.72403415114</v>
      </c>
      <c r="AV322" s="263">
        <f>IFERROR(AV47,0)</f>
        <v>11345.3602567596</v>
      </c>
      <c r="AW322" s="263">
        <f>IFERROR(AW47,0)</f>
        <v>2723.05197915372</v>
      </c>
      <c r="AX322" s="263">
        <f>IFERROR(AX47,0)</f>
        <v>3796.72524859963</v>
      </c>
      <c r="AY322" s="263">
        <f>IFERROR(AY47,0)</f>
        <v>2687.43460325614</v>
      </c>
      <c r="AZ322" s="263">
        <f>IFERROR(AZ47,0)</f>
        <v>3793.89142854654</v>
      </c>
      <c r="BA322" s="263">
        <f>IFERROR(BA47,0)</f>
        <v>13001.103259556</v>
      </c>
      <c r="BB322" s="263">
        <f>IFERROR(BB47,0)</f>
        <v>3106.83919557406</v>
      </c>
      <c r="BC322" s="263">
        <f>IFERROR(BC47,0)</f>
        <v>4331.83608226273</v>
      </c>
      <c r="BD322" s="263">
        <f>IFERROR(BD47,0)</f>
        <v>3066.20190317963</v>
      </c>
      <c r="BE322" s="263">
        <f>IFERROR(BE47,0)</f>
        <v>4328.60286332987</v>
      </c>
      <c r="BF322" s="263">
        <f>IFERROR(BF47,0)</f>
        <v>14833.4800443463</v>
      </c>
      <c r="BG322" s="63" t="n"/>
      <c r="BH322" s="63" t="n"/>
      <c r="BI322" s="63" t="n"/>
      <c r="BJ322" s="63" t="n"/>
      <c r="BL322" s="63" t="n"/>
      <c r="BM322" s="63" t="n"/>
      <c r="BN322" s="63" t="n"/>
      <c r="BO322" s="63" t="n"/>
      <c r="BQ322" s="63" t="n"/>
      <c r="BR322" s="63" t="n"/>
      <c r="BS322" s="63" t="n"/>
      <c r="BT322" s="63" t="n"/>
      <c r="BV322" s="63" t="n"/>
      <c r="BW322" s="63" t="n"/>
      <c r="BX322" s="63" t="n"/>
      <c r="BY322" s="63" t="n"/>
      <c r="CA322" s="63" t="n"/>
      <c r="CB322" s="63" t="n"/>
      <c r="CC322" s="63" t="n"/>
      <c r="CD322" s="63" t="n"/>
      <c r="CF322" s="63" t="n"/>
      <c r="CG322" s="63" t="n"/>
      <c r="CH322" s="63" t="n"/>
      <c r="CI322" s="63" t="n"/>
      <c r="CK322" s="63" t="n"/>
      <c r="CL322" s="63" t="n"/>
      <c r="CM322" s="63" t="n"/>
      <c r="CN322" s="63" t="n"/>
      <c r="CP322" s="63" t="n"/>
      <c r="CQ322" s="63" t="n"/>
      <c r="CR322" s="63" t="n"/>
      <c r="CS322" s="63" t="n"/>
      <c r="CU322" s="63" t="n"/>
      <c r="CV322" s="63" t="n"/>
      <c r="CW322" s="63" t="n"/>
      <c r="CX322" s="63" t="n"/>
    </row>
    <row r="323" customFormat="1" s="77">
      <c r="A323" s="76" t="n"/>
      <c r="B323" s="76" t="n"/>
      <c r="C323" s="77" t="inlineStr">
        <is>
          <t>ETR (LIMITED TO 0%-100%)</t>
        </is>
      </c>
      <c r="D323" s="87">
        <f>IFERROR(D106,"")</f>
        <v>0</v>
      </c>
      <c r="E323" s="87">
        <f>IFERROR(E106,"")</f>
        <v>0</v>
      </c>
      <c r="F323" s="87">
        <f>IFERROR(F106,"")</f>
        <v>0</v>
      </c>
      <c r="G323" s="87">
        <f>IFERROR(G106,"")</f>
        <v>0</v>
      </c>
      <c r="H323" s="258" t="str">
        <f>IFERROR(IF(N(H104)&lt;&gt;0,MAX(0,MIN(1,-H105/H104)),""),"")</f>
        <v/>
      </c>
      <c r="I323" s="258">
        <f>IFERROR(IF(N(I104)&lt;&gt;0,MAX(0,MIN(1,-I105/I104)),""),"")</f>
        <v>0</v>
      </c>
      <c r="J323" s="258">
        <f>IFERROR(IF(N(J104)&lt;&gt;0,MAX(0,MIN(1,-J105/J104)),""),"")</f>
        <v>0.0916316246565205</v>
      </c>
      <c r="K323" s="258">
        <f>IFERROR(IF(N(K104)&lt;&gt;0,MAX(0,MIN(1,-K105/K104)),""),"")</f>
        <v>0.125216070192423</v>
      </c>
      <c r="L323" s="258">
        <f>IFERROR(IF(N(L104)&lt;&gt;0,MAX(0,MIN(1,-L105/L104)),""),"")</f>
        <v>0.129569519573791</v>
      </c>
      <c r="M323" s="258">
        <f>IFERROR(IF(N(M104)&lt;&gt;0,MAX(0,MIN(1,-M105/M104)),""),"")</f>
        <v>0.0873490972606744</v>
      </c>
      <c r="N323" s="258">
        <f>IFERROR(IF(N(N104)&lt;&gt;0,MAX(0,MIN(1,-N105/N104)),""),"")</f>
        <v>0.16212613996803</v>
      </c>
      <c r="O323" s="258">
        <f>IFERROR(IF(N(O104)&lt;&gt;0,MAX(0,MIN(1,-O105/O104)),""),"")</f>
        <v>0</v>
      </c>
      <c r="P323" s="258">
        <f>IFERROR(IF(N(P104)&lt;&gt;0,MAX(0,MIN(1,-P105/P104)),""),"")</f>
        <v>0.962218296555738</v>
      </c>
      <c r="Q323" s="258">
        <f>IFERROR(IF(N(Q104)&lt;&gt;0,MAX(0,MIN(1,-Q105/Q104)),""),"")</f>
        <v>0</v>
      </c>
      <c r="R323" s="258">
        <f>IFERROR(IF(N(R104)&lt;&gt;0,MAX(0,MIN(1,-R105/R104)),""),"")</f>
        <v>0.136599890981224</v>
      </c>
      <c r="S323" s="258">
        <f>IFERROR(IF(N(S104)&lt;&gt;0,MAX(0,MIN(1,-S105/S104)),""),"")</f>
        <v>0.184532195884748</v>
      </c>
      <c r="T323" s="258">
        <f>IFERROR(IF(N(T104)&lt;&gt;0,MAX(0,MIN(1,-T105/T104)),""),"")</f>
        <v>0.15646303792075</v>
      </c>
      <c r="U323" s="258">
        <f>IFERROR(IF(N(U104)&lt;&gt;0,MAX(0,MIN(1,-U105/U104)),""),"")</f>
        <v>0.175923787838919</v>
      </c>
      <c r="V323" s="258">
        <f>IFERROR(IF(N(V104)&lt;&gt;0,MAX(0,MIN(1,-V105/V104)),""),"")</f>
        <v>0.296343822543204</v>
      </c>
      <c r="W323" s="258">
        <f>IFERROR(IF(N(W104)&lt;&gt;0,MAX(0,MIN(1,-W105/W104)),""),"")</f>
        <v>0.173600625347819</v>
      </c>
      <c r="X323" s="258">
        <f>IFERROR(IF(N(X104)&lt;&gt;0,MAX(0,MIN(1,-X105/X104)),""),"")</f>
        <v>0.150916604864512</v>
      </c>
      <c r="Y323" s="258">
        <f>IFERROR(IF(N(Y104)&lt;&gt;0,MAX(0,MIN(1,-Y105/Y104)),""),"")</f>
        <v>0.215326875772065</v>
      </c>
      <c r="Z323" s="258">
        <f>IFERROR(IF(N(Z104)&lt;&gt;0,MAX(0,MIN(1,-Z105/Z104)),""),"")</f>
        <v>0.135531012077748</v>
      </c>
      <c r="AA323" s="258">
        <f>IFERROR(IF(N(AA104)&lt;&gt;0,MAX(0,MIN(1,-AA105/AA104)),""),"")</f>
        <v>0.148885175404493</v>
      </c>
      <c r="AB323" s="258">
        <f>IFERROR(IF(N(AB104)&lt;&gt;0,MAX(0,MIN(1,-AB105/AB104)),""),"")</f>
        <v>0.158166137212283</v>
      </c>
      <c r="AC323" s="258">
        <f>IFERROR(IF(N(AC104)&lt;&gt;0,MAX(0,MIN(1,-AC105/AC104)),""),"")</f>
        <v>0.167855453768791</v>
      </c>
      <c r="AD323" s="258">
        <f>IFERROR(IF(N(AD104)&lt;&gt;0,MAX(0,MIN(1,-AD105/AD104)),""),"")</f>
        <v>0.151122321829876</v>
      </c>
      <c r="AE323" s="258">
        <f>IFERROR(IF(N(AE104)&lt;&gt;0,MAX(0,MIN(1,-AE105/AE104)),""),"")</f>
        <v>0.144932675783329</v>
      </c>
      <c r="AF323" s="258">
        <f>IFERROR(IF(N(AF104)&lt;&gt;0,MAX(0,MIN(1,-AF105/AF104)),""),"")</f>
        <v>0.162100799546511</v>
      </c>
      <c r="AG323" s="258">
        <f>IFERROR(IF(N(AG104)&lt;&gt;0,MAX(0,MIN(1,-AG105/AG104)),""),"")</f>
        <v>0.156870961003931</v>
      </c>
      <c r="AH323" s="258">
        <f>IFERROR(IF(N(AH104)&lt;&gt;0,MAX(0,MIN(1,-AH105/AH104)),""),"")</f>
        <v>0.135492973814772</v>
      </c>
      <c r="AI323" s="258">
        <f>IFERROR(IF(N(AI104)&lt;&gt;0,MAX(0,MIN(1,-AI105/AI104)),""),"")</f>
        <v>0.161080196492587</v>
      </c>
      <c r="AJ323" s="258">
        <f>IFERROR(IF(N(AJ104)&lt;&gt;0,MAX(0,MIN(1,-AJ105/AJ104)),""),"")</f>
        <v>0.153764070205978</v>
      </c>
      <c r="AK323" s="258">
        <f>IFERROR(IF(N(AK104)&lt;&gt;0,MAX(0,MIN(1,-AK105/AK104)),""),"")</f>
        <v>0.153764070205978</v>
      </c>
      <c r="AL323" s="258">
        <f>IFERROR(IF(N(AL104)&lt;&gt;0,MAX(0,MIN(1,-AL105/AL104)),""),"")</f>
        <v>0.153074905056024</v>
      </c>
      <c r="AM323" s="258">
        <f>IFERROR(IF(N(AM104)&lt;&gt;0,MAX(0,MIN(1,-AM105/AM104)),""),"")</f>
        <v>0.153764070205978</v>
      </c>
      <c r="AN323" s="258">
        <f>IFERROR(IF(N(AN104)&lt;&gt;0,MAX(0,MIN(1,-AN105/AN104)),""),"")</f>
        <v>0.153764070205978</v>
      </c>
      <c r="AO323" s="258">
        <f>IFERROR(IF(N(AO104)&lt;&gt;0,MAX(0,MIN(1,-AO105/AO104)),""),"")</f>
        <v>0.153764070205978</v>
      </c>
      <c r="AP323" s="258">
        <f>IFERROR(IF(N(AP104)&lt;&gt;0,MAX(0,MIN(1,-AP105/AP104)),""),"")</f>
        <v>0.153764070205978</v>
      </c>
      <c r="AQ323" s="258">
        <f>IFERROR(IF(N(AQ104)&lt;&gt;0,MAX(0,MIN(1,-AQ105/AQ104)),""),"")</f>
        <v>0.153764070205978</v>
      </c>
      <c r="AR323" s="258">
        <f>IFERROR(IF(N(AR104)&lt;&gt;0,MAX(0,MIN(1,-AR105/AR104)),""),"")</f>
        <v>0.153764070205978</v>
      </c>
      <c r="AS323" s="258">
        <f>IFERROR(IF(N(AS104)&lt;&gt;0,MAX(0,MIN(1,-AS105/AS104)),""),"")</f>
        <v>0.153764070205978</v>
      </c>
      <c r="AT323" s="258">
        <f>IFERROR(IF(N(AT104)&lt;&gt;0,MAX(0,MIN(1,-AT105/AT104)),""),"")</f>
        <v>0.153764070205978</v>
      </c>
      <c r="AU323" s="258">
        <f>IFERROR(IF(N(AU104)&lt;&gt;0,MAX(0,MIN(1,-AU105/AU104)),""),"")</f>
        <v>0.153764070205978</v>
      </c>
      <c r="AV323" s="258">
        <f>IFERROR(IF(N(AV104)&lt;&gt;0,MAX(0,MIN(1,-AV105/AV104)),""),"")</f>
        <v>0.153764070205978</v>
      </c>
      <c r="AW323" s="258">
        <f>IFERROR(IF(N(AW104)&lt;&gt;0,MAX(0,MIN(1,-AW105/AW104)),""),"")</f>
        <v>0.153764070205978</v>
      </c>
      <c r="AX323" s="258">
        <f>IFERROR(IF(N(AX104)&lt;&gt;0,MAX(0,MIN(1,-AX105/AX104)),""),"")</f>
        <v>0.153764070205978</v>
      </c>
      <c r="AY323" s="258">
        <f>IFERROR(IF(N(AY104)&lt;&gt;0,MAX(0,MIN(1,-AY105/AY104)),""),"")</f>
        <v>0.153764070205978</v>
      </c>
      <c r="AZ323" s="258">
        <f>IFERROR(IF(N(AZ104)&lt;&gt;0,MAX(0,MIN(1,-AZ105/AZ104)),""),"")</f>
        <v>0.153764070205978</v>
      </c>
      <c r="BA323" s="258">
        <f>IFERROR(IF(N(BA104)&lt;&gt;0,MAX(0,MIN(1,-BA105/BA104)),""),"")</f>
        <v>0.153764070205978</v>
      </c>
      <c r="BB323" s="258">
        <f>IFERROR(IF(N(BB104)&lt;&gt;0,MAX(0,MIN(1,-BB105/BB104)),""),"")</f>
        <v>0.153764070205978</v>
      </c>
      <c r="BC323" s="258">
        <f>IFERROR(IF(N(BC104)&lt;&gt;0,MAX(0,MIN(1,-BC105/BC104)),""),"")</f>
        <v>0.153764070205978</v>
      </c>
      <c r="BD323" s="258">
        <f>IFERROR(IF(N(BD104)&lt;&gt;0,MAX(0,MIN(1,-BD105/BD104)),""),"")</f>
        <v>0.153764070205978</v>
      </c>
      <c r="BE323" s="258">
        <f>IFERROR(IF(N(BE104)&lt;&gt;0,MAX(0,MIN(1,-BE105/BE104)),""),"")</f>
        <v>0.153764070205978</v>
      </c>
      <c r="BF323" s="258">
        <f>IFERROR(IF(N(BF104)&lt;&gt;0,MAX(0,MIN(1,-BF105/BF104)),""),"")</f>
        <v>0.153764070205978</v>
      </c>
      <c r="BG323" s="88" t="n"/>
      <c r="BH323" s="88" t="n"/>
      <c r="BI323" s="88" t="n"/>
      <c r="BJ323" s="88" t="n"/>
      <c r="BL323" s="88" t="n"/>
      <c r="BM323" s="88" t="n"/>
      <c r="BN323" s="88" t="n"/>
      <c r="BO323" s="88" t="n"/>
      <c r="BQ323" s="88" t="n"/>
      <c r="BR323" s="88" t="n"/>
      <c r="BS323" s="88" t="n"/>
      <c r="BT323" s="88" t="n"/>
      <c r="BV323" s="88" t="n"/>
      <c r="BW323" s="88" t="n"/>
      <c r="BX323" s="88" t="n"/>
      <c r="BY323" s="88" t="n"/>
      <c r="CA323" s="88" t="n"/>
      <c r="CB323" s="88" t="n"/>
      <c r="CC323" s="88" t="n"/>
      <c r="CD323" s="88" t="n"/>
      <c r="CF323" s="88" t="n"/>
      <c r="CG323" s="88" t="n"/>
      <c r="CH323" s="88" t="n"/>
      <c r="CI323" s="88" t="n"/>
      <c r="CK323" s="88" t="n"/>
      <c r="CL323" s="88" t="n"/>
      <c r="CM323" s="88" t="n"/>
      <c r="CN323" s="88" t="n"/>
      <c r="CP323" s="88" t="n"/>
      <c r="CQ323" s="88" t="n"/>
      <c r="CR323" s="88" t="n"/>
      <c r="CS323" s="88" t="n"/>
      <c r="CU323" s="88" t="n"/>
      <c r="CV323" s="88" t="n"/>
      <c r="CW323" s="88" t="n"/>
      <c r="CX323" s="88" t="n"/>
    </row>
    <row r="324" customFormat="1" s="77">
      <c r="A324" s="76" t="n"/>
      <c r="B324" s="76" t="n"/>
      <c r="C324" s="77" t="inlineStr">
        <is>
          <t>INVESTED CAPITAL</t>
        </is>
      </c>
      <c r="D324" s="86">
        <f>IFERROR(D327-D328+D329,"")</f>
        <v>0</v>
      </c>
      <c r="E324" s="86">
        <f>IFERROR(E327-E328+E329,"")</f>
        <v>0</v>
      </c>
      <c r="F324" s="86">
        <f>IFERROR(F327-F328+F329,"")</f>
        <v>0</v>
      </c>
      <c r="G324" s="86">
        <f>IFERROR(G327-G328+G329,"")</f>
        <v>0</v>
      </c>
      <c r="H324" s="263">
        <f>IFERROR(H326+H329,0)</f>
        <v>0</v>
      </c>
      <c r="I324" s="263">
        <f>IFERROR(I326+I329,0)</f>
        <v>13962.766</v>
      </c>
      <c r="J324" s="263">
        <f>IFERROR(J326+J329,0)</f>
        <v>16079.57</v>
      </c>
      <c r="K324" s="263">
        <f>IFERROR(K326+K329,0)</f>
        <v>15866.432</v>
      </c>
      <c r="L324" s="263">
        <f>IFERROR(L326+L329,0)</f>
        <v>19586.308</v>
      </c>
      <c r="M324" s="263">
        <f>IFERROR(M326+M329,0)</f>
        <v>19586.308</v>
      </c>
      <c r="N324" s="263">
        <f>IFERROR(N326+N329,0)</f>
        <v>18372.46</v>
      </c>
      <c r="O324" s="263">
        <f>IFERROR(O326+O329,0)</f>
        <v>17150.718</v>
      </c>
      <c r="P324" s="263">
        <f>IFERROR(P326+P329,0)</f>
        <v>16255.382</v>
      </c>
      <c r="Q324" s="263">
        <f>IFERROR(Q326+Q329,0)</f>
        <v>15429.064</v>
      </c>
      <c r="R324" s="263">
        <f>IFERROR(R326+R329,0)</f>
        <v>15429.064</v>
      </c>
      <c r="S324" s="263">
        <f>IFERROR(S326+S329,0)</f>
        <v>15882.854</v>
      </c>
      <c r="T324" s="263">
        <f>IFERROR(T326+T329,0)</f>
        <v>15810.275</v>
      </c>
      <c r="U324" s="263">
        <f>IFERROR(U326+U329,0)</f>
        <v>15839.107</v>
      </c>
      <c r="V324" s="263">
        <f>IFERROR(V326+V329,0)</f>
        <v>15119.348</v>
      </c>
      <c r="W324" s="263">
        <f>IFERROR(W326+W329,0)</f>
        <v>15119.348</v>
      </c>
      <c r="X324" s="263">
        <f>IFERROR(X326+X329,0)</f>
        <v>15972.963</v>
      </c>
      <c r="Y324" s="263">
        <f>IFERROR(Y326+Y329,0)</f>
        <v>16292.859</v>
      </c>
      <c r="Z324" s="263">
        <f>IFERROR(Z326+Z329,0)</f>
        <v>17111.609</v>
      </c>
      <c r="AA324" s="263">
        <f>IFERROR(AA326+AA329,0)</f>
        <v>17522.875</v>
      </c>
      <c r="AB324" s="263">
        <f>IFERROR(AB326+AB329,0)</f>
        <v>17522.875</v>
      </c>
      <c r="AC324" s="263">
        <f>IFERROR(AC326+AC329,0)</f>
        <v>17477.924</v>
      </c>
      <c r="AD324" s="263">
        <f>IFERROR(AD326+AD329,0)</f>
        <v>18843.381</v>
      </c>
      <c r="AE324" s="263">
        <f>IFERROR(AE326+AE329,0)</f>
        <v>18930.751</v>
      </c>
      <c r="AF324" s="263">
        <f>IFERROR(AF326+AF329,0)</f>
        <v>19249.931</v>
      </c>
      <c r="AG324" s="263">
        <f>IFERROR(AG326+AG329,0)</f>
        <v>19249.931</v>
      </c>
      <c r="AH324" s="263">
        <f>IFERROR(AH326+AH329,0)</f>
        <v>18968.226</v>
      </c>
      <c r="AI324" s="263">
        <f>IFERROR(AI326+AI329,0)</f>
        <v>19926.155</v>
      </c>
      <c r="AJ324" s="263">
        <f>IFERROR(AJ326+AJ329,0)</f>
        <v>19925.923832404</v>
      </c>
      <c r="AK324" s="263">
        <f>IFERROR(AK326+AK329,0)</f>
        <v>19925.5974896682</v>
      </c>
      <c r="AL324" s="263">
        <f>IFERROR(AL326+AL329,0)</f>
        <v>19925.5974896682</v>
      </c>
      <c r="AM324" s="263">
        <f>IFERROR(AM326+AM329,0)</f>
        <v>19925.326732282</v>
      </c>
      <c r="AN324" s="263">
        <f>IFERROR(AN326+AN329,0)</f>
        <v>19924.9492178563</v>
      </c>
      <c r="AO324" s="263">
        <f>IFERROR(AO326+AO329,0)</f>
        <v>19924.6820019624</v>
      </c>
      <c r="AP324" s="263">
        <f>IFERROR(AP326+AP329,0)</f>
        <v>19924.3047693079</v>
      </c>
      <c r="AQ324" s="263">
        <f>IFERROR(AQ326+AQ329,0)</f>
        <v>19924.3047693079</v>
      </c>
      <c r="AR324" s="263">
        <f>IFERROR(AR326+AR329,0)</f>
        <v>19923.993143775</v>
      </c>
      <c r="AS324" s="263">
        <f>IFERROR(AS326+AS329,0)</f>
        <v>19923.5586472844</v>
      </c>
      <c r="AT324" s="263">
        <f>IFERROR(AT326+AT329,0)</f>
        <v>19923.251097797</v>
      </c>
      <c r="AU324" s="263">
        <f>IFERROR(AU326+AU329,0)</f>
        <v>19922.8169256081</v>
      </c>
      <c r="AV324" s="263">
        <f>IFERROR(AV326+AV329,0)</f>
        <v>19922.8169256081</v>
      </c>
      <c r="AW324" s="263">
        <f>IFERROR(AW326+AW329,0)</f>
        <v>19922.459821414</v>
      </c>
      <c r="AX324" s="263">
        <f>IFERROR(AX326+AX329,0)</f>
        <v>19921.9619144623</v>
      </c>
      <c r="AY324" s="263">
        <f>IFERROR(AY326+AY329,0)</f>
        <v>19921.6094811722</v>
      </c>
      <c r="AZ324" s="263">
        <f>IFERROR(AZ326+AZ329,0)</f>
        <v>19921.1119458509</v>
      </c>
      <c r="BA324" s="263">
        <f>IFERROR(BA326+BA329,0)</f>
        <v>19921.1119458509</v>
      </c>
      <c r="BB324" s="263">
        <f>IFERROR(BB326+BB329,0)</f>
        <v>19920.7045113562</v>
      </c>
      <c r="BC324" s="263">
        <f>IFERROR(BC326+BC329,0)</f>
        <v>19920.1364293493</v>
      </c>
      <c r="BD324" s="263">
        <f>IFERROR(BD326+BD329,0)</f>
        <v>19919.7343240763</v>
      </c>
      <c r="BE324" s="263">
        <f>IFERROR(BE326+BE329,0)</f>
        <v>19919.1666660774</v>
      </c>
      <c r="BF324" s="263">
        <f>IFERROR(BF326+BF329,0)</f>
        <v>19919.1666660774</v>
      </c>
      <c r="BG324" s="63" t="n"/>
      <c r="BH324" s="63" t="n"/>
      <c r="BI324" s="63" t="n"/>
      <c r="BJ324" s="63" t="n"/>
      <c r="BL324" s="63" t="n"/>
      <c r="BM324" s="63" t="n"/>
      <c r="BN324" s="63" t="n"/>
      <c r="BO324" s="63" t="n"/>
      <c r="BQ324" s="63" t="n"/>
      <c r="BR324" s="63" t="n"/>
      <c r="BS324" s="63" t="n"/>
      <c r="BT324" s="63" t="n"/>
      <c r="BV324" s="63" t="n"/>
      <c r="BW324" s="63" t="n"/>
      <c r="BX324" s="63" t="n"/>
      <c r="BY324" s="63" t="n"/>
      <c r="CA324" s="63" t="n"/>
      <c r="CB324" s="63" t="n"/>
      <c r="CC324" s="63" t="n"/>
      <c r="CD324" s="63" t="n"/>
      <c r="CF324" s="63" t="n"/>
      <c r="CG324" s="63" t="n"/>
      <c r="CH324" s="63" t="n"/>
      <c r="CI324" s="63" t="n"/>
      <c r="CK324" s="63" t="n"/>
      <c r="CL324" s="63" t="n"/>
      <c r="CM324" s="63" t="n"/>
      <c r="CN324" s="63" t="n"/>
      <c r="CP324" s="63" t="n"/>
      <c r="CQ324" s="63" t="n"/>
      <c r="CR324" s="63" t="n"/>
      <c r="CS324" s="63" t="n"/>
      <c r="CU324" s="63" t="n"/>
      <c r="CV324" s="63" t="n"/>
      <c r="CW324" s="63" t="n"/>
      <c r="CX324" s="63" t="n"/>
    </row>
    <row r="325" customFormat="1" s="77">
      <c r="A325" s="76" t="n"/>
      <c r="B325" s="76" t="n"/>
      <c r="C325" s="77" t="inlineStr">
        <is>
          <t>INVESTED CAPITAL - EX GOODWILL</t>
        </is>
      </c>
      <c r="D325" s="89">
        <f>IFERROR(D324-D153,"")</f>
        <v>0</v>
      </c>
      <c r="E325" s="89">
        <f>IFERROR(E324-E153,"")</f>
        <v>0</v>
      </c>
      <c r="F325" s="89">
        <f>IFERROR(F324-F153,"")</f>
        <v>0</v>
      </c>
      <c r="G325" s="89">
        <f>IFERROR(G324-G153,"")</f>
        <v>0</v>
      </c>
      <c r="H325" s="263">
        <f>IFERROR(H324-N(H153),0)</f>
        <v>0</v>
      </c>
      <c r="I325" s="263">
        <f>IFERROR(I324-N(I153),0)</f>
        <v>12072.581</v>
      </c>
      <c r="J325" s="263">
        <f>IFERROR(J324-N(J153),0)</f>
        <v>14189.368</v>
      </c>
      <c r="K325" s="263">
        <f>IFERROR(K324-N(K153),0)</f>
        <v>13976.23</v>
      </c>
      <c r="L325" s="263">
        <f>IFERROR(L324-N(L153),0)</f>
        <v>17696.106</v>
      </c>
      <c r="M325" s="263">
        <f>IFERROR(M324-N(M153),0)</f>
        <v>17696.106</v>
      </c>
      <c r="N325" s="263">
        <f>IFERROR(N324-N(N153),0)</f>
        <v>16482.258</v>
      </c>
      <c r="O325" s="263">
        <f>IFERROR(O324-N(O153),0)</f>
        <v>15260.516</v>
      </c>
      <c r="P325" s="263">
        <f>IFERROR(P324-N(P153),0)</f>
        <v>14365.18</v>
      </c>
      <c r="Q325" s="263">
        <f>IFERROR(Q324-N(Q153),0)</f>
        <v>13538.862</v>
      </c>
      <c r="R325" s="263">
        <f>IFERROR(R324-N(R153),0)</f>
        <v>13538.862</v>
      </c>
      <c r="S325" s="263">
        <f>IFERROR(S324-N(S153),0)</f>
        <v>13992.652</v>
      </c>
      <c r="T325" s="263">
        <f>IFERROR(T324-N(T153),0)</f>
        <v>13920.073</v>
      </c>
      <c r="U325" s="263">
        <f>IFERROR(U324-N(U153),0)</f>
        <v>13948.905</v>
      </c>
      <c r="V325" s="263">
        <f>IFERROR(V324-N(V153),0)</f>
        <v>13229.146</v>
      </c>
      <c r="W325" s="263">
        <f>IFERROR(W324-N(W153),0)</f>
        <v>13229.146</v>
      </c>
      <c r="X325" s="263">
        <f>IFERROR(X324-N(X153),0)</f>
        <v>14082.761</v>
      </c>
      <c r="Y325" s="263">
        <f>IFERROR(Y324-N(Y153),0)</f>
        <v>14402.657</v>
      </c>
      <c r="Z325" s="263">
        <f>IFERROR(Z324-N(Z153),0)</f>
        <v>15221.407</v>
      </c>
      <c r="AA325" s="263">
        <f>IFERROR(AA324-N(AA153),0)</f>
        <v>15632.673</v>
      </c>
      <c r="AB325" s="263">
        <f>IFERROR(AB324-N(AB153),0)</f>
        <v>15632.673</v>
      </c>
      <c r="AC325" s="263">
        <f>IFERROR(AC324-N(AC153),0)</f>
        <v>15587.722</v>
      </c>
      <c r="AD325" s="263">
        <f>IFERROR(AD324-N(AD153),0)</f>
        <v>16953.179</v>
      </c>
      <c r="AE325" s="263">
        <f>IFERROR(AE324-N(AE153),0)</f>
        <v>17040.549</v>
      </c>
      <c r="AF325" s="263">
        <f>IFERROR(AF324-N(AF153),0)</f>
        <v>17359.729</v>
      </c>
      <c r="AG325" s="263">
        <f>IFERROR(AG324-N(AG153),0)</f>
        <v>17359.729</v>
      </c>
      <c r="AH325" s="263">
        <f>IFERROR(AH324-N(AH153),0)</f>
        <v>17078.024</v>
      </c>
      <c r="AI325" s="263">
        <f>IFERROR(AI324-N(AI153),0)</f>
        <v>18035.953</v>
      </c>
      <c r="AJ325" s="263">
        <f>IFERROR(AJ324-N(AJ153),0)</f>
        <v>18035.721832404</v>
      </c>
      <c r="AK325" s="263">
        <f>IFERROR(AK324-N(AK153),0)</f>
        <v>18035.3954896682</v>
      </c>
      <c r="AL325" s="263">
        <f>IFERROR(AL324-N(AL153),0)</f>
        <v>18035.3954896682</v>
      </c>
      <c r="AM325" s="263">
        <f>IFERROR(AM324-N(AM153),0)</f>
        <v>18035.124732282</v>
      </c>
      <c r="AN325" s="263">
        <f>IFERROR(AN324-N(AN153),0)</f>
        <v>18034.7472178563</v>
      </c>
      <c r="AO325" s="263">
        <f>IFERROR(AO324-N(AO153),0)</f>
        <v>18034.4800019624</v>
      </c>
      <c r="AP325" s="263">
        <f>IFERROR(AP324-N(AP153),0)</f>
        <v>18034.1027693079</v>
      </c>
      <c r="AQ325" s="263">
        <f>IFERROR(AQ324-N(AQ153),0)</f>
        <v>18034.1027693079</v>
      </c>
      <c r="AR325" s="263">
        <f>IFERROR(AR324-N(AR153),0)</f>
        <v>18033.791143775</v>
      </c>
      <c r="AS325" s="263">
        <f>IFERROR(AS324-N(AS153),0)</f>
        <v>18033.3566472844</v>
      </c>
      <c r="AT325" s="263">
        <f>IFERROR(AT324-N(AT153),0)</f>
        <v>18033.049097797</v>
      </c>
      <c r="AU325" s="263">
        <f>IFERROR(AU324-N(AU153),0)</f>
        <v>18032.6149256081</v>
      </c>
      <c r="AV325" s="263">
        <f>IFERROR(AV324-N(AV153),0)</f>
        <v>18032.6149256081</v>
      </c>
      <c r="AW325" s="263">
        <f>IFERROR(AW324-N(AW153),0)</f>
        <v>18032.257821414</v>
      </c>
      <c r="AX325" s="263">
        <f>IFERROR(AX324-N(AX153),0)</f>
        <v>18031.7599144623</v>
      </c>
      <c r="AY325" s="263">
        <f>IFERROR(AY324-N(AY153),0)</f>
        <v>18031.4074811722</v>
      </c>
      <c r="AZ325" s="263">
        <f>IFERROR(AZ324-N(AZ153),0)</f>
        <v>18030.9099458509</v>
      </c>
      <c r="BA325" s="263">
        <f>IFERROR(BA324-N(BA153),0)</f>
        <v>18030.9099458509</v>
      </c>
      <c r="BB325" s="263">
        <f>IFERROR(BB324-N(BB153),0)</f>
        <v>18030.5025113562</v>
      </c>
      <c r="BC325" s="263">
        <f>IFERROR(BC324-N(BC153),0)</f>
        <v>18029.9344293493</v>
      </c>
      <c r="BD325" s="263">
        <f>IFERROR(BD324-N(BD153),0)</f>
        <v>18029.5323240763</v>
      </c>
      <c r="BE325" s="263">
        <f>IFERROR(BE324-N(BE153),0)</f>
        <v>18028.9646660774</v>
      </c>
      <c r="BF325" s="263">
        <f>IFERROR(BF324-N(BF153),0)</f>
        <v>18028.9646660774</v>
      </c>
      <c r="BG325" s="90" t="n"/>
      <c r="BH325" s="90" t="n"/>
      <c r="BI325" s="90" t="n"/>
      <c r="BJ325" s="90" t="n"/>
      <c r="BL325" s="90" t="n"/>
      <c r="BM325" s="90" t="n"/>
      <c r="BN325" s="90" t="n"/>
      <c r="BO325" s="90" t="n"/>
      <c r="BQ325" s="90" t="n"/>
      <c r="BR325" s="90" t="n"/>
      <c r="BS325" s="90" t="n"/>
      <c r="BT325" s="90" t="n"/>
      <c r="BV325" s="90" t="n"/>
      <c r="BW325" s="90" t="n"/>
      <c r="BX325" s="90" t="n"/>
      <c r="BY325" s="90" t="n"/>
      <c r="CA325" s="90" t="n"/>
      <c r="CB325" s="90" t="n"/>
      <c r="CC325" s="90" t="n"/>
      <c r="CD325" s="90" t="n"/>
      <c r="CF325" s="90" t="n"/>
      <c r="CG325" s="90" t="n"/>
      <c r="CH325" s="90" t="n"/>
      <c r="CI325" s="90" t="n"/>
      <c r="CK325" s="90" t="n"/>
      <c r="CL325" s="90" t="n"/>
      <c r="CM325" s="90" t="n"/>
      <c r="CN325" s="90" t="n"/>
      <c r="CP325" s="90" t="n"/>
      <c r="CQ325" s="90" t="n"/>
      <c r="CR325" s="90" t="n"/>
      <c r="CS325" s="90" t="n"/>
      <c r="CU325" s="90" t="n"/>
      <c r="CV325" s="90" t="n"/>
      <c r="CW325" s="90" t="n"/>
      <c r="CX325" s="90" t="n"/>
    </row>
    <row r="326" customFormat="1" s="77">
      <c r="A326" s="76" t="n"/>
      <c r="B326" s="76" t="n"/>
      <c r="C326" s="77" t="inlineStr">
        <is>
          <t>OPERATING WORKING CAPITAL</t>
        </is>
      </c>
      <c r="D326" s="91">
        <f>IFERROR(D327-D328,"")</f>
        <v>0</v>
      </c>
      <c r="E326" s="91">
        <f>IFERROR(E327-E328,"")</f>
        <v>0</v>
      </c>
      <c r="F326" s="91">
        <f>IFERROR(F327-F328,"")</f>
        <v>0</v>
      </c>
      <c r="G326" s="91">
        <f>IFERROR(G327-G328,"")</f>
        <v>0</v>
      </c>
      <c r="H326" s="263">
        <f>IFERROR(H327-H328,0)</f>
        <v>0</v>
      </c>
      <c r="I326" s="263">
        <f>IFERROR(I327-I328,0)</f>
        <v>10995.47</v>
      </c>
      <c r="J326" s="263">
        <f>IFERROR(J327-J328,0)</f>
        <v>13144.049</v>
      </c>
      <c r="K326" s="263">
        <f>IFERROR(K327-K328,0)</f>
        <v>12927.262</v>
      </c>
      <c r="L326" s="263">
        <f>IFERROR(L327-L328,0)</f>
        <v>16622.731</v>
      </c>
      <c r="M326" s="263">
        <f>IFERROR(M327-M328,0)</f>
        <v>16622.731</v>
      </c>
      <c r="N326" s="263">
        <f>IFERROR(N327-N328,0)</f>
        <v>15348.135</v>
      </c>
      <c r="O326" s="263">
        <f>IFERROR(O327-O328,0)</f>
        <v>14126.617</v>
      </c>
      <c r="P326" s="263">
        <f>IFERROR(P327-P328,0)</f>
        <v>13245.252</v>
      </c>
      <c r="Q326" s="263">
        <f>IFERROR(Q327-Q328,0)</f>
        <v>12424.594</v>
      </c>
      <c r="R326" s="263">
        <f>IFERROR(R327-R328,0)</f>
        <v>12424.594</v>
      </c>
      <c r="S326" s="263">
        <f>IFERROR(S327-S328,0)</f>
        <v>12868.29</v>
      </c>
      <c r="T326" s="263">
        <f>IFERROR(T327-T328,0)</f>
        <v>12812.662</v>
      </c>
      <c r="U326" s="263">
        <f>IFERROR(U327-U328,0)</f>
        <v>12874.004</v>
      </c>
      <c r="V326" s="263">
        <f>IFERROR(V327-V328,0)</f>
        <v>12186.631</v>
      </c>
      <c r="W326" s="263">
        <f>IFERROR(W327-W328,0)</f>
        <v>12186.631</v>
      </c>
      <c r="X326" s="263">
        <f>IFERROR(X327-X328,0)</f>
        <v>13085.08</v>
      </c>
      <c r="Y326" s="263">
        <f>IFERROR(Y327-Y328,0)</f>
        <v>13223.887</v>
      </c>
      <c r="Z326" s="263">
        <f>IFERROR(Z327-Z328,0)</f>
        <v>14068.443</v>
      </c>
      <c r="AA326" s="263">
        <f>IFERROR(AA327-AA328,0)</f>
        <v>14628.81</v>
      </c>
      <c r="AB326" s="263">
        <f>IFERROR(AB327-AB328,0)</f>
        <v>14628.81</v>
      </c>
      <c r="AC326" s="263">
        <f>IFERROR(AC327-AC328,0)</f>
        <v>14623.966</v>
      </c>
      <c r="AD326" s="263">
        <f>IFERROR(AD327-AD328,0)</f>
        <v>16012.195</v>
      </c>
      <c r="AE326" s="263">
        <f>IFERROR(AE327-AE328,0)</f>
        <v>16127.061</v>
      </c>
      <c r="AF326" s="263">
        <f>IFERROR(AF327-AF328,0)</f>
        <v>16470.911</v>
      </c>
      <c r="AG326" s="263">
        <f>IFERROR(AG327-AG328,0)</f>
        <v>16470.911</v>
      </c>
      <c r="AH326" s="263">
        <f>IFERROR(AH327-AH328,0)</f>
        <v>16169.424</v>
      </c>
      <c r="AI326" s="263">
        <f>IFERROR(AI327-AI328,0)</f>
        <v>17179.538</v>
      </c>
      <c r="AJ326" s="263">
        <f>IFERROR(AJ327-AJ328,0)</f>
        <v>17179.538</v>
      </c>
      <c r="AK326" s="263">
        <f>IFERROR(AK327-AK328,0)</f>
        <v>17179.538</v>
      </c>
      <c r="AL326" s="263">
        <f>IFERROR(AL327-AL328,0)</f>
        <v>17179.538</v>
      </c>
      <c r="AM326" s="263">
        <f>IFERROR(AM327-AM328,0)</f>
        <v>17179.538</v>
      </c>
      <c r="AN326" s="263">
        <f>IFERROR(AN327-AN328,0)</f>
        <v>17179.538</v>
      </c>
      <c r="AO326" s="263">
        <f>IFERROR(AO327-AO328,0)</f>
        <v>17179.538</v>
      </c>
      <c r="AP326" s="263">
        <f>IFERROR(AP327-AP328,0)</f>
        <v>17179.538</v>
      </c>
      <c r="AQ326" s="263">
        <f>IFERROR(AQ327-AQ328,0)</f>
        <v>17179.538</v>
      </c>
      <c r="AR326" s="263">
        <f>IFERROR(AR327-AR328,0)</f>
        <v>17179.538</v>
      </c>
      <c r="AS326" s="263">
        <f>IFERROR(AS327-AS328,0)</f>
        <v>17179.538</v>
      </c>
      <c r="AT326" s="263">
        <f>IFERROR(AT327-AT328,0)</f>
        <v>17179.538</v>
      </c>
      <c r="AU326" s="263">
        <f>IFERROR(AU327-AU328,0)</f>
        <v>17179.538</v>
      </c>
      <c r="AV326" s="263">
        <f>IFERROR(AV327-AV328,0)</f>
        <v>17179.538</v>
      </c>
      <c r="AW326" s="263">
        <f>IFERROR(AW327-AW328,0)</f>
        <v>17179.538</v>
      </c>
      <c r="AX326" s="263">
        <f>IFERROR(AX327-AX328,0)</f>
        <v>17179.538</v>
      </c>
      <c r="AY326" s="263">
        <f>IFERROR(AY327-AY328,0)</f>
        <v>17179.538</v>
      </c>
      <c r="AZ326" s="263">
        <f>IFERROR(AZ327-AZ328,0)</f>
        <v>17179.538</v>
      </c>
      <c r="BA326" s="263">
        <f>IFERROR(BA327-BA328,0)</f>
        <v>17179.538</v>
      </c>
      <c r="BB326" s="263">
        <f>IFERROR(BB327-BB328,0)</f>
        <v>17179.538</v>
      </c>
      <c r="BC326" s="263">
        <f>IFERROR(BC327-BC328,0)</f>
        <v>17179.538</v>
      </c>
      <c r="BD326" s="263">
        <f>IFERROR(BD327-BD328,0)</f>
        <v>17179.538</v>
      </c>
      <c r="BE326" s="263">
        <f>IFERROR(BE327-BE328,0)</f>
        <v>17179.538</v>
      </c>
      <c r="BF326" s="263">
        <f>IFERROR(BF327-BF328,0)</f>
        <v>17179.538</v>
      </c>
      <c r="BG326" s="63" t="n"/>
      <c r="BH326" s="63" t="n"/>
      <c r="BI326" s="63" t="n"/>
      <c r="BJ326" s="63" t="n"/>
      <c r="BL326" s="63" t="n"/>
      <c r="BM326" s="63" t="n"/>
      <c r="BN326" s="63" t="n"/>
      <c r="BO326" s="63" t="n"/>
      <c r="BQ326" s="63" t="n"/>
      <c r="BR326" s="63" t="n"/>
      <c r="BS326" s="63" t="n"/>
      <c r="BT326" s="63" t="n"/>
      <c r="BV326" s="63" t="n"/>
      <c r="BW326" s="63" t="n"/>
      <c r="BX326" s="63" t="n"/>
      <c r="BY326" s="63" t="n"/>
      <c r="CA326" s="63" t="n"/>
      <c r="CB326" s="63" t="n"/>
      <c r="CC326" s="63" t="n"/>
      <c r="CD326" s="63" t="n"/>
      <c r="CF326" s="63" t="n"/>
      <c r="CG326" s="63" t="n"/>
      <c r="CH326" s="63" t="n"/>
      <c r="CI326" s="63" t="n"/>
      <c r="CK326" s="63" t="n"/>
      <c r="CL326" s="63" t="n"/>
      <c r="CM326" s="63" t="n"/>
      <c r="CN326" s="63" t="n"/>
      <c r="CP326" s="63" t="n"/>
      <c r="CQ326" s="63" t="n"/>
      <c r="CR326" s="63" t="n"/>
      <c r="CS326" s="63" t="n"/>
      <c r="CU326" s="63" t="n"/>
      <c r="CV326" s="63" t="n"/>
      <c r="CW326" s="63" t="n"/>
      <c r="CX326" s="63" t="n"/>
    </row>
    <row r="327" customFormat="1" s="77">
      <c r="A327" s="76" t="n"/>
      <c r="B327" s="76" t="n"/>
      <c r="C327" s="77" t="inlineStr">
        <is>
          <t>CURRENT ASSETS (OPERATING, EX CASH)</t>
        </is>
      </c>
      <c r="D327" s="89">
        <f>IFERROR(D119+D123+D127+D128+D129,"")</f>
        <v>0</v>
      </c>
      <c r="E327" s="89">
        <f>IFERROR(E119+E123+E127+E128+E129,"")</f>
        <v>0</v>
      </c>
      <c r="F327" s="89">
        <f>IFERROR(F119+F123+F127+F128+F129,"")</f>
        <v>0</v>
      </c>
      <c r="G327" s="89">
        <f>IFERROR(G119+G123+G127+G128+G129,"")</f>
        <v>0</v>
      </c>
      <c r="H327" s="263">
        <f>IFERROR((N(H119)+N(H123)+N(H127)+N(H128)+N(H129)),0)</f>
        <v>0</v>
      </c>
      <c r="I327" s="263">
        <f>IFERROR((N(I119)+N(I123)+N(I127)+N(I128)+N(I129)),0)</f>
        <v>23880.268</v>
      </c>
      <c r="J327" s="263">
        <f>IFERROR((N(J119)+N(J123)+N(J127)+N(J128)+N(J129)),0)</f>
        <v>27894.227</v>
      </c>
      <c r="K327" s="263">
        <f>IFERROR((N(K119)+N(K123)+N(K127)+N(K128)+N(K129)),0)</f>
        <v>31087.489</v>
      </c>
      <c r="L327" s="263">
        <f>IFERROR((N(L119)+N(L123)+N(L127)+N(L128)+N(L129)),0)</f>
        <v>36113.093</v>
      </c>
      <c r="M327" s="263">
        <f>IFERROR((N(M119)+N(M123)+N(M127)+N(M128)+N(M129)),0)</f>
        <v>36113.093</v>
      </c>
      <c r="N327" s="263">
        <f>IFERROR((N(N119)+N(N123)+N(N127)+N(N128)+N(N129)),0)</f>
        <v>36451.186</v>
      </c>
      <c r="O327" s="263">
        <f>IFERROR((N(O119)+N(O123)+N(O127)+N(O128)+N(O129)),0)</f>
        <v>34423.827</v>
      </c>
      <c r="P327" s="263">
        <f>IFERROR((N(P119)+N(P123)+N(P127)+N(P128)+N(P129)),0)</f>
        <v>33769.188</v>
      </c>
      <c r="Q327" s="263">
        <f>IFERROR((N(Q119)+N(Q123)+N(Q127)+N(Q128)+N(Q129)),0)</f>
        <v>35267.754</v>
      </c>
      <c r="R327" s="263">
        <f>IFERROR((N(R119)+N(R123)+N(R127)+N(R128)+N(R129)),0)</f>
        <v>35267.754</v>
      </c>
      <c r="S327" s="263">
        <f>IFERROR((N(S119)+N(S123)+N(S127)+N(S128)+N(S129)),0)</f>
        <v>35240.904</v>
      </c>
      <c r="T327" s="263">
        <f>IFERROR((N(T119)+N(T123)+N(T127)+N(T128)+N(T129)),0)</f>
        <v>35304.967</v>
      </c>
      <c r="U327" s="263">
        <f>IFERROR((N(U119)+N(U123)+N(U127)+N(U128)+N(U129)),0)</f>
        <v>35727.106</v>
      </c>
      <c r="V327" s="263">
        <f>IFERROR((N(V119)+N(V123)+N(V127)+N(V128)+N(V129)),0)</f>
        <v>34398.947</v>
      </c>
      <c r="W327" s="263">
        <f>IFERROR((N(W119)+N(W123)+N(W127)+N(W128)+N(W129)),0)</f>
        <v>34398.947</v>
      </c>
      <c r="X327" s="263">
        <f>IFERROR((N(X119)+N(X123)+N(X127)+N(X128)+N(X129)),0)</f>
        <v>34313.948</v>
      </c>
      <c r="Y327" s="263">
        <f>IFERROR((N(Y119)+N(Y123)+N(Y127)+N(Y128)+N(Y129)),0)</f>
        <v>35134.621</v>
      </c>
      <c r="Z327" s="263">
        <f>IFERROR((N(Z119)+N(Z123)+N(Z127)+N(Z128)+N(Z129)),0)</f>
        <v>37178.944</v>
      </c>
      <c r="AA327" s="263">
        <f>IFERROR((N(AA119)+N(AA123)+N(AA127)+N(AA128)+N(AA129)),0)</f>
        <v>38603.67</v>
      </c>
      <c r="AB327" s="263">
        <f>IFERROR((N(AB119)+N(AB123)+N(AB127)+N(AB128)+N(AB129)),0)</f>
        <v>38603.67</v>
      </c>
      <c r="AC327" s="263">
        <f>IFERROR((N(AC119)+N(AC123)+N(AC127)+N(AC128)+N(AC129)),0)</f>
        <v>40014.692</v>
      </c>
      <c r="AD327" s="263">
        <f>IFERROR((N(AD119)+N(AD123)+N(AD127)+N(AD128)+N(AD129)),0)</f>
        <v>40306.409</v>
      </c>
      <c r="AE327" s="263">
        <f>IFERROR((N(AE119)+N(AE123)+N(AE127)+N(AE128)+N(AE129)),0)</f>
        <v>41319.91</v>
      </c>
      <c r="AF327" s="263">
        <f>IFERROR((N(AF119)+N(AF123)+N(AF127)+N(AF128)+N(AF129)),0)</f>
        <v>42298.714</v>
      </c>
      <c r="AG327" s="263">
        <f>IFERROR((N(AG119)+N(AG123)+N(AG127)+N(AG128)+N(AG129)),0)</f>
        <v>42298.714</v>
      </c>
      <c r="AH327" s="263">
        <f>IFERROR((N(AH119)+N(AH123)+N(AH127)+N(AH128)+N(AH129)),0)</f>
        <v>43079.695</v>
      </c>
      <c r="AI327" s="263">
        <f>IFERROR((N(AI119)+N(AI123)+N(AI127)+N(AI128)+N(AI129)),0)</f>
        <v>44638.53</v>
      </c>
      <c r="AJ327" s="263">
        <f>IFERROR((N(AJ119)+N(AJ123)+N(AJ127)+N(AJ128)+N(AJ129)),0)</f>
        <v>44638.53</v>
      </c>
      <c r="AK327" s="263">
        <f>IFERROR((N(AK119)+N(AK123)+N(AK127)+N(AK128)+N(AK129)),0)</f>
        <v>44638.53</v>
      </c>
      <c r="AL327" s="263">
        <f>IFERROR((N(AL119)+N(AL123)+N(AL127)+N(AL128)+N(AL129)),0)</f>
        <v>44638.53</v>
      </c>
      <c r="AM327" s="263">
        <f>IFERROR((N(AM119)+N(AM123)+N(AM127)+N(AM128)+N(AM129)),0)</f>
        <v>44638.53</v>
      </c>
      <c r="AN327" s="263">
        <f>IFERROR((N(AN119)+N(AN123)+N(AN127)+N(AN128)+N(AN129)),0)</f>
        <v>44638.53</v>
      </c>
      <c r="AO327" s="263">
        <f>IFERROR((N(AO119)+N(AO123)+N(AO127)+N(AO128)+N(AO129)),0)</f>
        <v>44638.53</v>
      </c>
      <c r="AP327" s="263">
        <f>IFERROR((N(AP119)+N(AP123)+N(AP127)+N(AP128)+N(AP129)),0)</f>
        <v>44638.53</v>
      </c>
      <c r="AQ327" s="263">
        <f>IFERROR((N(AQ119)+N(AQ123)+N(AQ127)+N(AQ128)+N(AQ129)),0)</f>
        <v>44638.53</v>
      </c>
      <c r="AR327" s="263">
        <f>IFERROR((N(AR119)+N(AR123)+N(AR127)+N(AR128)+N(AR129)),0)</f>
        <v>44638.53</v>
      </c>
      <c r="AS327" s="263">
        <f>IFERROR((N(AS119)+N(AS123)+N(AS127)+N(AS128)+N(AS129)),0)</f>
        <v>44638.53</v>
      </c>
      <c r="AT327" s="263">
        <f>IFERROR((N(AT119)+N(AT123)+N(AT127)+N(AT128)+N(AT129)),0)</f>
        <v>44638.53</v>
      </c>
      <c r="AU327" s="263">
        <f>IFERROR((N(AU119)+N(AU123)+N(AU127)+N(AU128)+N(AU129)),0)</f>
        <v>44638.53</v>
      </c>
      <c r="AV327" s="263">
        <f>IFERROR((N(AV119)+N(AV123)+N(AV127)+N(AV128)+N(AV129)),0)</f>
        <v>44638.53</v>
      </c>
      <c r="AW327" s="263">
        <f>IFERROR((N(AW119)+N(AW123)+N(AW127)+N(AW128)+N(AW129)),0)</f>
        <v>44638.53</v>
      </c>
      <c r="AX327" s="263">
        <f>IFERROR((N(AX119)+N(AX123)+N(AX127)+N(AX128)+N(AX129)),0)</f>
        <v>44638.53</v>
      </c>
      <c r="AY327" s="263">
        <f>IFERROR((N(AY119)+N(AY123)+N(AY127)+N(AY128)+N(AY129)),0)</f>
        <v>44638.53</v>
      </c>
      <c r="AZ327" s="263">
        <f>IFERROR((N(AZ119)+N(AZ123)+N(AZ127)+N(AZ128)+N(AZ129)),0)</f>
        <v>44638.53</v>
      </c>
      <c r="BA327" s="263">
        <f>IFERROR((N(BA119)+N(BA123)+N(BA127)+N(BA128)+N(BA129)),0)</f>
        <v>44638.53</v>
      </c>
      <c r="BB327" s="263">
        <f>IFERROR((N(BB119)+N(BB123)+N(BB127)+N(BB128)+N(BB129)),0)</f>
        <v>44638.53</v>
      </c>
      <c r="BC327" s="263">
        <f>IFERROR((N(BC119)+N(BC123)+N(BC127)+N(BC128)+N(BC129)),0)</f>
        <v>44638.53</v>
      </c>
      <c r="BD327" s="263">
        <f>IFERROR((N(BD119)+N(BD123)+N(BD127)+N(BD128)+N(BD129)),0)</f>
        <v>44638.53</v>
      </c>
      <c r="BE327" s="263">
        <f>IFERROR((N(BE119)+N(BE123)+N(BE127)+N(BE128)+N(BE129)),0)</f>
        <v>44638.53</v>
      </c>
      <c r="BF327" s="263">
        <f>IFERROR((N(BF119)+N(BF123)+N(BF127)+N(BF128)+N(BF129)),0)</f>
        <v>44638.53</v>
      </c>
      <c r="BG327" s="90" t="n"/>
      <c r="BH327" s="90" t="n"/>
      <c r="BI327" s="90" t="n"/>
      <c r="BJ327" s="90" t="n"/>
      <c r="BL327" s="90" t="n"/>
      <c r="BM327" s="90" t="n"/>
      <c r="BN327" s="90" t="n"/>
      <c r="BO327" s="90" t="n"/>
      <c r="BQ327" s="90" t="n"/>
      <c r="BR327" s="90" t="n"/>
      <c r="BS327" s="90" t="n"/>
      <c r="BT327" s="90" t="n"/>
      <c r="BV327" s="90" t="n"/>
      <c r="BW327" s="90" t="n"/>
      <c r="BX327" s="90" t="n"/>
      <c r="BY327" s="90" t="n"/>
      <c r="CA327" s="90" t="n"/>
      <c r="CB327" s="90" t="n"/>
      <c r="CC327" s="90" t="n"/>
      <c r="CD327" s="90" t="n"/>
      <c r="CF327" s="90" t="n"/>
      <c r="CG327" s="90" t="n"/>
      <c r="CH327" s="90" t="n"/>
      <c r="CI327" s="90" t="n"/>
      <c r="CK327" s="90" t="n"/>
      <c r="CL327" s="90" t="n"/>
      <c r="CM327" s="90" t="n"/>
      <c r="CN327" s="90" t="n"/>
      <c r="CP327" s="90" t="n"/>
      <c r="CQ327" s="90" t="n"/>
      <c r="CR327" s="90" t="n"/>
      <c r="CS327" s="90" t="n"/>
      <c r="CU327" s="90" t="n"/>
      <c r="CV327" s="90" t="n"/>
      <c r="CW327" s="90" t="n"/>
      <c r="CX327" s="90" t="n"/>
    </row>
    <row r="328" customFormat="1" s="77">
      <c r="A328" s="76" t="n"/>
      <c r="B328" s="76" t="n"/>
      <c r="C328" s="77" t="inlineStr">
        <is>
          <t>CURRENT LIABILITIES (OPERATING, EX DEBT)</t>
        </is>
      </c>
      <c r="D328" s="89">
        <f>IFERROR(D172+D176+D178+D179,"")</f>
        <v>0</v>
      </c>
      <c r="E328" s="89">
        <f>IFERROR(E172+E176+E178+E179,"")</f>
        <v>0</v>
      </c>
      <c r="F328" s="89">
        <f>IFERROR(F172+F176+F178+F179,"")</f>
        <v>0</v>
      </c>
      <c r="G328" s="89">
        <f>IFERROR(G172+G176+G178+G179,"")</f>
        <v>0</v>
      </c>
      <c r="H328" s="263">
        <f>IFERROR((N(H172)+N(H176)+N(H178)+N(H179)),0)</f>
        <v>0</v>
      </c>
      <c r="I328" s="263">
        <f>IFERROR((N(I172)+N(I176)+N(I178)+N(I179)),0)</f>
        <v>12884.798</v>
      </c>
      <c r="J328" s="263">
        <f>IFERROR((N(J172)+N(J176)+N(J178)+N(J179)),0)</f>
        <v>14750.178</v>
      </c>
      <c r="K328" s="263">
        <f>IFERROR((N(K172)+N(K176)+N(K178)+N(K179)),0)</f>
        <v>18160.227</v>
      </c>
      <c r="L328" s="263">
        <f>IFERROR((N(L172)+N(L176)+N(L178)+N(L179)),0)</f>
        <v>19490.362</v>
      </c>
      <c r="M328" s="263">
        <f>IFERROR((N(M172)+N(M176)+N(M178)+N(M179)),0)</f>
        <v>19490.362</v>
      </c>
      <c r="N328" s="263">
        <f>IFERROR((N(N172)+N(N176)+N(N178)+N(N179)),0)</f>
        <v>21103.051</v>
      </c>
      <c r="O328" s="263">
        <f>IFERROR((N(O172)+N(O176)+N(O178)+N(O179)),0)</f>
        <v>20297.21</v>
      </c>
      <c r="P328" s="263">
        <f>IFERROR((N(P172)+N(P176)+N(P178)+N(P179)),0)</f>
        <v>20523.936</v>
      </c>
      <c r="Q328" s="263">
        <f>IFERROR((N(Q172)+N(Q176)+N(Q178)+N(Q179)),0)</f>
        <v>22843.16</v>
      </c>
      <c r="R328" s="263">
        <f>IFERROR((N(R172)+N(R176)+N(R178)+N(R179)),0)</f>
        <v>22843.16</v>
      </c>
      <c r="S328" s="263">
        <f>IFERROR((N(S172)+N(S176)+N(S178)+N(S179)),0)</f>
        <v>22372.614</v>
      </c>
      <c r="T328" s="263">
        <f>IFERROR((N(T172)+N(T176)+N(T178)+N(T179)),0)</f>
        <v>22492.305</v>
      </c>
      <c r="U328" s="263">
        <f>IFERROR((N(U172)+N(U176)+N(U178)+N(U179)),0)</f>
        <v>22853.102</v>
      </c>
      <c r="V328" s="263">
        <f>IFERROR((N(V172)+N(V176)+N(V178)+N(V179)),0)</f>
        <v>22212.316</v>
      </c>
      <c r="W328" s="263">
        <f>IFERROR((N(W172)+N(W176)+N(W178)+N(W179)),0)</f>
        <v>22212.316</v>
      </c>
      <c r="X328" s="263">
        <f>IFERROR((N(X172)+N(X176)+N(X178)+N(X179)),0)</f>
        <v>21228.868</v>
      </c>
      <c r="Y328" s="263">
        <f>IFERROR((N(Y172)+N(Y176)+N(Y178)+N(Y179)),0)</f>
        <v>21910.734</v>
      </c>
      <c r="Z328" s="263">
        <f>IFERROR((N(Z172)+N(Z176)+N(Z178)+N(Z179)),0)</f>
        <v>23110.501</v>
      </c>
      <c r="AA328" s="263">
        <f>IFERROR((N(AA172)+N(AA176)+N(AA178)+N(AA179)),0)</f>
        <v>23974.86</v>
      </c>
      <c r="AB328" s="263">
        <f>IFERROR((N(AB172)+N(AB176)+N(AB178)+N(AB179)),0)</f>
        <v>23974.86</v>
      </c>
      <c r="AC328" s="263">
        <f>IFERROR((N(AC172)+N(AC176)+N(AC178)+N(AC179)),0)</f>
        <v>25390.726</v>
      </c>
      <c r="AD328" s="263">
        <f>IFERROR((N(AD172)+N(AD176)+N(AD178)+N(AD179)),0)</f>
        <v>24294.214</v>
      </c>
      <c r="AE328" s="263">
        <f>IFERROR((N(AE172)+N(AE176)+N(AE178)+N(AE179)),0)</f>
        <v>25192.849</v>
      </c>
      <c r="AF328" s="263">
        <f>IFERROR((N(AF172)+N(AF176)+N(AF178)+N(AF179)),0)</f>
        <v>25827.803</v>
      </c>
      <c r="AG328" s="263">
        <f>IFERROR((N(AG172)+N(AG176)+N(AG178)+N(AG179)),0)</f>
        <v>25827.803</v>
      </c>
      <c r="AH328" s="263">
        <f>IFERROR((N(AH172)+N(AH176)+N(AH178)+N(AH179)),0)</f>
        <v>26910.271</v>
      </c>
      <c r="AI328" s="263">
        <f>IFERROR((N(AI172)+N(AI176)+N(AI178)+N(AI179)),0)</f>
        <v>27458.992</v>
      </c>
      <c r="AJ328" s="263">
        <f>IFERROR((N(AJ172)+N(AJ176)+N(AJ178)+N(AJ179)),0)</f>
        <v>27458.992</v>
      </c>
      <c r="AK328" s="263">
        <f>IFERROR((N(AK172)+N(AK176)+N(AK178)+N(AK179)),0)</f>
        <v>27458.992</v>
      </c>
      <c r="AL328" s="263">
        <f>IFERROR((N(AL172)+N(AL176)+N(AL178)+N(AL179)),0)</f>
        <v>27458.992</v>
      </c>
      <c r="AM328" s="263">
        <f>IFERROR((N(AM172)+N(AM176)+N(AM178)+N(AM179)),0)</f>
        <v>27458.992</v>
      </c>
      <c r="AN328" s="263">
        <f>IFERROR((N(AN172)+N(AN176)+N(AN178)+N(AN179)),0)</f>
        <v>27458.992</v>
      </c>
      <c r="AO328" s="263">
        <f>IFERROR((N(AO172)+N(AO176)+N(AO178)+N(AO179)),0)</f>
        <v>27458.992</v>
      </c>
      <c r="AP328" s="263">
        <f>IFERROR((N(AP172)+N(AP176)+N(AP178)+N(AP179)),0)</f>
        <v>27458.992</v>
      </c>
      <c r="AQ328" s="263">
        <f>IFERROR((N(AQ172)+N(AQ176)+N(AQ178)+N(AQ179)),0)</f>
        <v>27458.992</v>
      </c>
      <c r="AR328" s="263">
        <f>IFERROR((N(AR172)+N(AR176)+N(AR178)+N(AR179)),0)</f>
        <v>27458.992</v>
      </c>
      <c r="AS328" s="263">
        <f>IFERROR((N(AS172)+N(AS176)+N(AS178)+N(AS179)),0)</f>
        <v>27458.992</v>
      </c>
      <c r="AT328" s="263">
        <f>IFERROR((N(AT172)+N(AT176)+N(AT178)+N(AT179)),0)</f>
        <v>27458.992</v>
      </c>
      <c r="AU328" s="263">
        <f>IFERROR((N(AU172)+N(AU176)+N(AU178)+N(AU179)),0)</f>
        <v>27458.992</v>
      </c>
      <c r="AV328" s="263">
        <f>IFERROR((N(AV172)+N(AV176)+N(AV178)+N(AV179)),0)</f>
        <v>27458.992</v>
      </c>
      <c r="AW328" s="263">
        <f>IFERROR((N(AW172)+N(AW176)+N(AW178)+N(AW179)),0)</f>
        <v>27458.992</v>
      </c>
      <c r="AX328" s="263">
        <f>IFERROR((N(AX172)+N(AX176)+N(AX178)+N(AX179)),0)</f>
        <v>27458.992</v>
      </c>
      <c r="AY328" s="263">
        <f>IFERROR((N(AY172)+N(AY176)+N(AY178)+N(AY179)),0)</f>
        <v>27458.992</v>
      </c>
      <c r="AZ328" s="263">
        <f>IFERROR((N(AZ172)+N(AZ176)+N(AZ178)+N(AZ179)),0)</f>
        <v>27458.992</v>
      </c>
      <c r="BA328" s="263">
        <f>IFERROR((N(BA172)+N(BA176)+N(BA178)+N(BA179)),0)</f>
        <v>27458.992</v>
      </c>
      <c r="BB328" s="263">
        <f>IFERROR((N(BB172)+N(BB176)+N(BB178)+N(BB179)),0)</f>
        <v>27458.992</v>
      </c>
      <c r="BC328" s="263">
        <f>IFERROR((N(BC172)+N(BC176)+N(BC178)+N(BC179)),0)</f>
        <v>27458.992</v>
      </c>
      <c r="BD328" s="263">
        <f>IFERROR((N(BD172)+N(BD176)+N(BD178)+N(BD179)),0)</f>
        <v>27458.992</v>
      </c>
      <c r="BE328" s="263">
        <f>IFERROR((N(BE172)+N(BE176)+N(BE178)+N(BE179)),0)</f>
        <v>27458.992</v>
      </c>
      <c r="BF328" s="263">
        <f>IFERROR((N(BF172)+N(BF176)+N(BF178)+N(BF179)),0)</f>
        <v>27458.992</v>
      </c>
      <c r="BG328" s="90" t="n"/>
      <c r="BH328" s="90" t="n"/>
      <c r="BI328" s="90" t="n"/>
      <c r="BJ328" s="90" t="n"/>
      <c r="BL328" s="90" t="n"/>
      <c r="BM328" s="90" t="n"/>
      <c r="BN328" s="90" t="n"/>
      <c r="BO328" s="90" t="n"/>
      <c r="BQ328" s="90" t="n"/>
      <c r="BR328" s="90" t="n"/>
      <c r="BS328" s="90" t="n"/>
      <c r="BT328" s="90" t="n"/>
      <c r="BV328" s="90" t="n"/>
      <c r="BW328" s="90" t="n"/>
      <c r="BX328" s="90" t="n"/>
      <c r="BY328" s="90" t="n"/>
      <c r="CA328" s="90" t="n"/>
      <c r="CB328" s="90" t="n"/>
      <c r="CC328" s="90" t="n"/>
      <c r="CD328" s="90" t="n"/>
      <c r="CF328" s="90" t="n"/>
      <c r="CG328" s="90" t="n"/>
      <c r="CH328" s="90" t="n"/>
      <c r="CI328" s="90" t="n"/>
      <c r="CK328" s="90" t="n"/>
      <c r="CL328" s="90" t="n"/>
      <c r="CM328" s="90" t="n"/>
      <c r="CN328" s="90" t="n"/>
      <c r="CP328" s="90" t="n"/>
      <c r="CQ328" s="90" t="n"/>
      <c r="CR328" s="90" t="n"/>
      <c r="CS328" s="90" t="n"/>
      <c r="CU328" s="90" t="n"/>
      <c r="CV328" s="90" t="n"/>
      <c r="CW328" s="90" t="n"/>
      <c r="CX328" s="90" t="n"/>
    </row>
    <row r="329" customFormat="1" s="77">
      <c r="A329" s="76" t="n"/>
      <c r="B329" s="76" t="n"/>
      <c r="C329" s="77" t="inlineStr">
        <is>
          <t>FIXED ASSETS</t>
        </is>
      </c>
      <c r="D329" s="89">
        <f>IFERROR(D140+D150+D153+D154+D163-D214,"")</f>
        <v>0</v>
      </c>
      <c r="E329" s="89">
        <f>IFERROR(E140+E150+E153+E154+E163-E214,"")</f>
        <v>0</v>
      </c>
      <c r="F329" s="89">
        <f>IFERROR(F140+F150+F153+F154+F163-F214,"")</f>
        <v>0</v>
      </c>
      <c r="G329" s="89">
        <f>IFERROR(G140+G150+G153+G154+G163-G214,"")</f>
        <v>0</v>
      </c>
      <c r="H329" s="263">
        <f>IFERROR((N(H140)+N(H150)+N(H153)+N(H154)+N(H163))-N(H214),0)</f>
        <v>0</v>
      </c>
      <c r="I329" s="263">
        <f>IFERROR((N(I140)+N(I150)+N(I153)+N(I154)+N(I163))-N(I214),0)</f>
        <v>2967.296</v>
      </c>
      <c r="J329" s="263">
        <f>IFERROR((N(J140)+N(J150)+N(J153)+N(J154)+N(J163))-N(J214),0)</f>
        <v>2935.521</v>
      </c>
      <c r="K329" s="263">
        <f>IFERROR((N(K140)+N(K150)+N(K153)+N(K154)+N(K163))-N(K214),0)</f>
        <v>2939.17</v>
      </c>
      <c r="L329" s="263">
        <f>IFERROR((N(L140)+N(L150)+N(L153)+N(L154)+N(L163))-N(L214),0)</f>
        <v>2963.577</v>
      </c>
      <c r="M329" s="263">
        <f>IFERROR((N(M140)+N(M150)+N(M153)+N(M154)+N(M163))-N(M214),0)</f>
        <v>2963.577</v>
      </c>
      <c r="N329" s="263">
        <f>IFERROR((N(N140)+N(N150)+N(N153)+N(N154)+N(N163))-N(N214),0)</f>
        <v>3024.325</v>
      </c>
      <c r="O329" s="263">
        <f>IFERROR((N(O140)+N(O150)+N(O153)+N(O154)+N(O163))-N(O214),0)</f>
        <v>3024.101</v>
      </c>
      <c r="P329" s="263">
        <f>IFERROR((N(P140)+N(P150)+N(P153)+N(P154)+N(P163))-N(P214),0)</f>
        <v>3010.13</v>
      </c>
      <c r="Q329" s="263">
        <f>IFERROR((N(Q140)+N(Q150)+N(Q153)+N(Q154)+N(Q163))-N(Q214),0)</f>
        <v>3004.47</v>
      </c>
      <c r="R329" s="263">
        <f>IFERROR((N(R140)+N(R150)+N(R153)+N(R154)+N(R163))-N(R214),0)</f>
        <v>3004.47</v>
      </c>
      <c r="S329" s="263">
        <f>IFERROR((N(S140)+N(S150)+N(S153)+N(S154)+N(S163))-N(S214),0)</f>
        <v>3014.564</v>
      </c>
      <c r="T329" s="263">
        <f>IFERROR((N(T140)+N(T150)+N(T153)+N(T154)+N(T163))-N(T214),0)</f>
        <v>2997.613</v>
      </c>
      <c r="U329" s="263">
        <f>IFERROR((N(U140)+N(U150)+N(U153)+N(U154)+N(U163))-N(U214),0)</f>
        <v>2965.103</v>
      </c>
      <c r="V329" s="263">
        <f>IFERROR((N(V140)+N(V150)+N(V153)+N(V154)+N(V163))-N(V214),0)</f>
        <v>2932.717</v>
      </c>
      <c r="W329" s="263">
        <f>IFERROR((N(W140)+N(W150)+N(W153)+N(W154)+N(W163))-N(W214),0)</f>
        <v>2932.717</v>
      </c>
      <c r="X329" s="263">
        <f>IFERROR((N(X140)+N(X150)+N(X153)+N(X154)+N(X163))-N(X214),0)</f>
        <v>2887.883</v>
      </c>
      <c r="Y329" s="263">
        <f>IFERROR((N(Y140)+N(Y150)+N(Y153)+N(Y154)+N(Y163))-N(Y214),0)</f>
        <v>3068.972</v>
      </c>
      <c r="Z329" s="263">
        <f>IFERROR((N(Z140)+N(Z150)+N(Z153)+N(Z154)+N(Z163))-N(Z214),0)</f>
        <v>3043.166</v>
      </c>
      <c r="AA329" s="263">
        <f>IFERROR((N(AA140)+N(AA150)+N(AA153)+N(AA154)+N(AA163))-N(AA214),0)</f>
        <v>2894.065</v>
      </c>
      <c r="AB329" s="263">
        <f>IFERROR((N(AB140)+N(AB150)+N(AB153)+N(AB154)+N(AB163))-N(AB214),0)</f>
        <v>2894.065</v>
      </c>
      <c r="AC329" s="263">
        <f>IFERROR((N(AC140)+N(AC150)+N(AC153)+N(AC154)+N(AC163))-N(AC214),0)</f>
        <v>2853.958</v>
      </c>
      <c r="AD329" s="263">
        <f>IFERROR((N(AD140)+N(AD150)+N(AD153)+N(AD154)+N(AD163))-N(AD214),0)</f>
        <v>2831.186</v>
      </c>
      <c r="AE329" s="263">
        <f>IFERROR((N(AE140)+N(AE150)+N(AE153)+N(AE154)+N(AE163))-N(AE214),0)</f>
        <v>2803.69</v>
      </c>
      <c r="AF329" s="263">
        <f>IFERROR((N(AF140)+N(AF150)+N(AF153)+N(AF154)+N(AF163))-N(AF214),0)</f>
        <v>2779.02</v>
      </c>
      <c r="AG329" s="263">
        <f>IFERROR((N(AG140)+N(AG150)+N(AG153)+N(AG154)+N(AG163))-N(AG214),0)</f>
        <v>2779.02</v>
      </c>
      <c r="AH329" s="263">
        <f>IFERROR((N(AH140)+N(AH150)+N(AH153)+N(AH154)+N(AH163))-N(AH214),0)</f>
        <v>2798.802</v>
      </c>
      <c r="AI329" s="263">
        <f>IFERROR((N(AI140)+N(AI150)+N(AI153)+N(AI154)+N(AI163))-N(AI214),0)</f>
        <v>2746.617</v>
      </c>
      <c r="AJ329" s="263">
        <f>IFERROR((N(AJ140)+N(AJ150)+N(AJ153)+N(AJ154)+N(AJ163))-N(AJ214),0)</f>
        <v>2746.38583240403</v>
      </c>
      <c r="AK329" s="263">
        <f>IFERROR((N(AK140)+N(AK150)+N(AK153)+N(AK154)+N(AK163))-N(AK214),0)</f>
        <v>2746.05948966816</v>
      </c>
      <c r="AL329" s="263">
        <f>IFERROR((N(AL140)+N(AL150)+N(AL153)+N(AL154)+N(AL163))-N(AL214),0)</f>
        <v>2746.05948966816</v>
      </c>
      <c r="AM329" s="263">
        <f>IFERROR((N(AM140)+N(AM150)+N(AM153)+N(AM154)+N(AM163))-N(AM214),0)</f>
        <v>2745.78873228203</v>
      </c>
      <c r="AN329" s="263">
        <f>IFERROR((N(AN140)+N(AN150)+N(AN153)+N(AN154)+N(AN163))-N(AN214),0)</f>
        <v>2745.41121785628</v>
      </c>
      <c r="AO329" s="263">
        <f>IFERROR((N(AO140)+N(AO150)+N(AO153)+N(AO154)+N(AO163))-N(AO214),0)</f>
        <v>2745.14400196244</v>
      </c>
      <c r="AP329" s="263">
        <f>IFERROR((N(AP140)+N(AP150)+N(AP153)+N(AP154)+N(AP163))-N(AP214),0)</f>
        <v>2744.76676930792</v>
      </c>
      <c r="AQ329" s="263">
        <f>IFERROR((N(AQ140)+N(AQ150)+N(AQ153)+N(AQ154)+N(AQ163))-N(AQ214),0)</f>
        <v>2744.76676930792</v>
      </c>
      <c r="AR329" s="263">
        <f>IFERROR((N(AR140)+N(AR150)+N(AR153)+N(AR154)+N(AR163))-N(AR214),0)</f>
        <v>2744.45514377502</v>
      </c>
      <c r="AS329" s="263">
        <f>IFERROR((N(AS140)+N(AS150)+N(AS153)+N(AS154)+N(AS163))-N(AS214),0)</f>
        <v>2744.02064728436</v>
      </c>
      <c r="AT329" s="263">
        <f>IFERROR((N(AT140)+N(AT150)+N(AT153)+N(AT154)+N(AT163))-N(AT214),0)</f>
        <v>2743.71309779695</v>
      </c>
      <c r="AU329" s="263">
        <f>IFERROR((N(AU140)+N(AU150)+N(AU153)+N(AU154)+N(AU163))-N(AU214),0)</f>
        <v>2743.27892560809</v>
      </c>
      <c r="AV329" s="263">
        <f>IFERROR((N(AV140)+N(AV150)+N(AV153)+N(AV154)+N(AV163))-N(AV214),0)</f>
        <v>2743.27892560809</v>
      </c>
      <c r="AW329" s="263">
        <f>IFERROR((N(AW140)+N(AW150)+N(AW153)+N(AW154)+N(AW163))-N(AW214),0)</f>
        <v>2742.92182141398</v>
      </c>
      <c r="AX329" s="263">
        <f>IFERROR((N(AX140)+N(AX150)+N(AX153)+N(AX154)+N(AX163))-N(AX214),0)</f>
        <v>2742.4239144623</v>
      </c>
      <c r="AY329" s="263">
        <f>IFERROR((N(AY140)+N(AY150)+N(AY153)+N(AY154)+N(AY163))-N(AY214),0)</f>
        <v>2742.07148117216</v>
      </c>
      <c r="AZ329" s="263">
        <f>IFERROR((N(AZ140)+N(AZ150)+N(AZ153)+N(AZ154)+N(AZ163))-N(AZ214),0)</f>
        <v>2741.57394585093</v>
      </c>
      <c r="BA329" s="263">
        <f>IFERROR((N(BA140)+N(BA150)+N(BA153)+N(BA154)+N(BA163))-N(BA214),0)</f>
        <v>2741.57394585093</v>
      </c>
      <c r="BB329" s="263">
        <f>IFERROR((N(BB140)+N(BB150)+N(BB153)+N(BB154)+N(BB163))-N(BB214),0)</f>
        <v>2741.16651135622</v>
      </c>
      <c r="BC329" s="263">
        <f>IFERROR((N(BC140)+N(BC150)+N(BC153)+N(BC154)+N(BC163))-N(BC214),0)</f>
        <v>2740.59842934932</v>
      </c>
      <c r="BD329" s="263">
        <f>IFERROR((N(BD140)+N(BD150)+N(BD153)+N(BD154)+N(BD163))-N(BD214),0)</f>
        <v>2740.19632407626</v>
      </c>
      <c r="BE329" s="263">
        <f>IFERROR((N(BE140)+N(BE150)+N(BE153)+N(BE154)+N(BE163))-N(BE214),0)</f>
        <v>2739.62866607744</v>
      </c>
      <c r="BF329" s="263">
        <f>IFERROR((N(BF140)+N(BF150)+N(BF153)+N(BF154)+N(BF163))-N(BF214),0)</f>
        <v>2739.62866607744</v>
      </c>
      <c r="BG329" s="90" t="n"/>
      <c r="BH329" s="90" t="n"/>
      <c r="BI329" s="90" t="n"/>
      <c r="BJ329" s="90" t="n"/>
      <c r="BL329" s="90" t="n"/>
      <c r="BM329" s="90" t="n"/>
      <c r="BN329" s="90" t="n"/>
      <c r="BO329" s="90" t="n"/>
      <c r="BQ329" s="90" t="n"/>
      <c r="BR329" s="90" t="n"/>
      <c r="BS329" s="90" t="n"/>
      <c r="BT329" s="90" t="n"/>
      <c r="BV329" s="90" t="n"/>
      <c r="BW329" s="90" t="n"/>
      <c r="BX329" s="90" t="n"/>
      <c r="BY329" s="90" t="n"/>
      <c r="CA329" s="90" t="n"/>
      <c r="CB329" s="90" t="n"/>
      <c r="CC329" s="90" t="n"/>
      <c r="CD329" s="90" t="n"/>
      <c r="CF329" s="90" t="n"/>
      <c r="CG329" s="90" t="n"/>
      <c r="CH329" s="90" t="n"/>
      <c r="CI329" s="90" t="n"/>
      <c r="CK329" s="90" t="n"/>
      <c r="CL329" s="90" t="n"/>
      <c r="CM329" s="90" t="n"/>
      <c r="CN329" s="90" t="n"/>
      <c r="CP329" s="90" t="n"/>
      <c r="CQ329" s="90" t="n"/>
      <c r="CR329" s="90" t="n"/>
      <c r="CS329" s="90" t="n"/>
      <c r="CU329" s="90" t="n"/>
      <c r="CV329" s="90" t="n"/>
      <c r="CW329" s="90" t="n"/>
      <c r="CX329" s="90" t="n"/>
    </row>
    <row r="330" customFormat="1" s="77">
      <c r="A330" s="76" t="n"/>
      <c r="B330" s="76" t="n"/>
    </row>
    <row r="331" customFormat="1" s="77">
      <c r="A331" s="76" t="n"/>
      <c r="B331" s="76" t="n"/>
    </row>
    <row r="332" customFormat="1" s="77">
      <c r="A332" s="76" t="n"/>
      <c r="B332" s="76" t="n"/>
    </row>
    <row r="333" customFormat="1" s="77">
      <c r="A333" s="76" t="n"/>
      <c r="B333" s="76" t="n"/>
    </row>
    <row r="334" customFormat="1" s="77">
      <c r="A334" s="76" t="n"/>
      <c r="B334" s="76" t="n"/>
    </row>
    <row r="335" customFormat="1" s="77">
      <c r="A335" s="76" t="n"/>
      <c r="B335" s="76" t="n"/>
    </row>
    <row r="336" customFormat="1" s="77">
      <c r="A336" s="76" t="n"/>
      <c r="B336" s="76" t="n"/>
    </row>
    <row r="337" customFormat="1" s="77">
      <c r="A337" s="76" t="n"/>
      <c r="B337" s="76" t="n"/>
      <c r="C337" s="74" t="inlineStr">
        <is>
          <t>DUPONT ANALYSIS</t>
        </is>
      </c>
    </row>
    <row r="338" customFormat="1" s="77">
      <c r="A338" s="76" t="n"/>
      <c r="B338" s="76" t="n"/>
      <c r="C338" s="77" t="inlineStr">
        <is>
          <t>NET PROFIT MARGIN (LTM)</t>
        </is>
      </c>
      <c r="D338" s="84" t="str">
        <f>IFERROR(D111/D15,"")</f>
        <v/>
      </c>
      <c r="E338" s="84" t="str">
        <f>IFERROR(E111/E15,"")</f>
        <v/>
      </c>
      <c r="F338" s="84" t="str">
        <f>IFERROR(F111/F15,"")</f>
        <v/>
      </c>
      <c r="G338" s="84" t="str">
        <f>IFERROR(G111/G15,"")</f>
        <v/>
      </c>
      <c r="H338" s="258" t="str">
        <f>IFERROR(IF(AND(COUNT(H111)=1,(H15)&lt;&gt;0),(H111)/(H15),""),"")</f>
        <v/>
      </c>
      <c r="I338" s="257" t="str">
        <f>""</f>
        <v/>
      </c>
      <c r="J338" s="257" t="str">
        <f>""</f>
        <v/>
      </c>
      <c r="K338" s="257" t="str">
        <f>""</f>
        <v/>
      </c>
      <c r="L338" s="257">
        <f>IFERROR(IF(AND(COUNT(I111,J111,K111,L111)=4,(I15+J15+K15+L15)&lt;&gt;0),(I111+J111+K111+L111)/(I15+J15+K15+L15),""),"")</f>
        <v>0.259439190459309</v>
      </c>
      <c r="M338" s="258">
        <f>IFERROR(IF(AND(COUNT(I111,J111,K111,L111)=4,(I15+J15+K15+L15)&lt;&gt;0),(I111+J111+K111+L111)/(I15+J15+K15+L15),""),"")</f>
        <v>0.259439190459309</v>
      </c>
      <c r="N338" s="257">
        <f>IFERROR(IF(AND(COUNT(J111,K111,L111,N111)=4,(J15+K15+L15+N15)&lt;&gt;0),(J111+K111+L111+N111)/(J15+K15+L15+N15),""),"")</f>
        <v>0.237737315570994</v>
      </c>
      <c r="O338" s="257">
        <f>IFERROR(IF(AND(COUNT(K111,L111,N111,O111)=4,(K15+L15+N15+O15)&lt;&gt;0),(K111+L111+N111+O111)/(K15+L15+N15+O15),""),"")</f>
        <v>0.224763789295509</v>
      </c>
      <c r="P338" s="257">
        <f>IFERROR(IF(AND(COUNT(L111,N111,O111,P111)=4,(L15+N15+O15+P15)&lt;&gt;0),(L111+N111+O111+P111)/(L15+N15+O15+P15),""),"")</f>
        <v>0.205804645908155</v>
      </c>
      <c r="Q338" s="257">
        <f>IFERROR(IF(AND(COUNT(N111,O111,P111,Q111)=4,(N15+O15+P15+Q15)&lt;&gt;0),(N111+O111+P111+Q111)/(N15+O15+P15+Q15),""),"")</f>
        <v>0.205177047768798</v>
      </c>
      <c r="R338" s="258">
        <f>IFERROR(IF(AND(COUNT(N111,O111,P111,Q111)=4,(N15+O15+P15+Q15)&lt;&gt;0),(N111+O111+P111+Q111)/(N15+O15+P15+Q15),""),"")</f>
        <v>0.205177047768798</v>
      </c>
      <c r="S338" s="257">
        <f>IFERROR(IF(AND(COUNT(O111,P111,Q111,S111)=4,(O15+P15+Q15+S15)&lt;&gt;0),(O111+P111+Q111+S111)/(O15+P15+Q15+S15),""),"")</f>
        <v>0.129172063073327</v>
      </c>
      <c r="T338" s="257">
        <f>IFERROR(IF(AND(COUNT(P111,Q111,S111,T111)=4,(P15+Q15+S15+T15)&lt;&gt;0),(P111+Q111+S111+T111)/(P15+Q15+S15+T15),""),"")</f>
        <v>0.179233820526192</v>
      </c>
      <c r="U338" s="257">
        <f>IFERROR(IF(AND(COUNT(Q111,S111,T111,U111)=4,(Q15+S15+T15+U15)&lt;&gt;0),(Q111+S111+T111+U111)/(Q15+S15+T15+U15),""),"")</f>
        <v>0.212859457845883</v>
      </c>
      <c r="V338" s="257">
        <f>IFERROR(IF(AND(COUNT(S111,T111,U111,V111)=4,(S15+T15+U15+V15)&lt;&gt;0),(S111+T111+U111+V111)/(S15+T15+U15+V15),""),"")</f>
        <v>0.173365021193864</v>
      </c>
      <c r="W338" s="258">
        <f>IFERROR(IF(AND(COUNT(S111,T111,U111,V111)=4,(S15+T15+U15+V15)&lt;&gt;0),(S111+T111+U111+V111)/(S15+T15+U15+V15),""),"")</f>
        <v>0.173365021193864</v>
      </c>
      <c r="X338" s="257">
        <f>IFERROR(IF(AND(COUNT(T111,U111,V111,X111)=4,(T15+U15+V15+X15)&lt;&gt;0),(T111+U111+V111+X111)/(T15+U15+V15+X15),""),"")</f>
        <v>0.208392939990071</v>
      </c>
      <c r="Y338" s="257">
        <f>IFERROR(IF(AND(COUNT(U111,V111,X111,Y111)=4,(U15+V15+X15+Y15)&lt;&gt;0),(U111+V111+X111+Y111)/(U15+V15+X15+Y15),""),"")</f>
        <v>0.193549419553671</v>
      </c>
      <c r="Z338" s="257">
        <f>IFERROR(IF(AND(COUNT(V111,X111,Y111,Z111)=4,(V15+X15+Y15+Z15)&lt;&gt;0),(V111+X111+Y111+Z111)/(V15+X15+Y15+Z15),""),"")</f>
        <v>0.194572489139004</v>
      </c>
      <c r="AA338" s="257">
        <f>IFERROR(IF(AND(COUNT(X111,Y111,Z111,AA111)=4,(X15+Y15+Z15+AA15)&lt;&gt;0),(X111+Y111+Z111+AA111)/(X15+Y15+Z15+AA15),""),"")</f>
        <v>0.209865057874668</v>
      </c>
      <c r="AB338" s="258">
        <f>IFERROR(IF(AND(COUNT(X111,Y111,Z111,AA111)=4,(X15+Y15+Z15+AA15)&lt;&gt;0),(X111+Y111+Z111+AA111)/(X15+Y15+Z15+AA15),""),"")</f>
        <v>0.209865057874668</v>
      </c>
      <c r="AC338" s="257">
        <f>IFERROR(IF(AND(COUNT(Y111,Z111,AA111,AC111)=4,(Y15+Z15+AA15+AC15)&lt;&gt;0),(Y111+Z111+AA111+AC111)/(Y15+Z15+AA15+AC15),""),"")</f>
        <v>0.198258548935214</v>
      </c>
      <c r="AD338" s="257">
        <f>IFERROR(IF(AND(COUNT(Z111,AA111,AC111,AD111)=4,(Z15+AA15+AC15+AD15)&lt;&gt;0),(Z111+AA111+AC111+AD111)/(Z15+AA15+AC15+AD15),""),"")</f>
        <v>0.208320333637955</v>
      </c>
      <c r="AE338" s="257">
        <f>IFERROR(IF(AND(COUNT(AA111,AC111,AD111,AE111)=4,(AA15+AC15+AD15+AE15)&lt;&gt;0),(AA111+AC111+AD111+AE111)/(AA15+AC15+AD15+AE15),""),"")</f>
        <v>0.205570246872324</v>
      </c>
      <c r="AF338" s="257">
        <f>IFERROR(IF(AND(COUNT(AB111,AD111,AE111,AF111)=4,(AB15+AD15+AE15+AF15)&lt;&gt;0),(AB111+AD111+AE111+AF111)/(AB15+AD15+AE15+AF15),""),"")</f>
        <v>0.212411044749501</v>
      </c>
      <c r="AG338" s="258">
        <f>IFERROR(IF(AND(COUNT(AC111,AD111,AE111,AF111)=4,(AC15+AD15+AE15+AF15)&lt;&gt;0),(AC111+AD111+AE111+AF111)/(AC15+AD15+AE15+AF15),""),"")</f>
        <v>0.208938313588021</v>
      </c>
      <c r="AH338" s="257">
        <f>IFERROR(IF(AND(COUNT(AD111,AF111,AG111,AH111)=4,(AD15+AF15+AG15+AH15)&lt;&gt;0),(AD111+AF111+AG111+AH111)/(AD15+AF15+AG15+AH15),""),"")</f>
        <v>0.208430808347901</v>
      </c>
      <c r="AI338" s="257">
        <f>IFERROR(IF(AND(COUNT(AE111,AG111,AH111,AI111)=4,(AE15+AG15+AH15+AI15)&lt;&gt;0),(AE111+AG111+AH111+AI111)/(AE15+AG15+AH15+AI15),""),"")</f>
        <v>0.210799591289821</v>
      </c>
      <c r="AJ338" s="257">
        <f>IFERROR(IF(AND(COUNT(AF111,AH111,AI111,AJ111)=4,(AF15+AH15+AI15+AJ15)&lt;&gt;0),(AF111+AH111+AI111+AJ111)/(AF15+AH15+AI15+AJ15),""),"")</f>
        <v>0.269561114413763</v>
      </c>
      <c r="AK338" s="257">
        <f>IFERROR(IF(AND(COUNT(AH111,AI111,AJ111,AK111)=4,(AH15+AI15+AJ15+AK15)&lt;&gt;0),(AH111+AI111+AJ111+AK111)/(AH15+AI15+AJ15+AK15),""),"")</f>
        <v>0.329187202528175</v>
      </c>
      <c r="AL338" s="258">
        <f>IFERROR(IF(AND(COUNT(AH111,AI111,AJ111,AK111)=4,(AH15+AI15+AJ15+AK15)&lt;&gt;0),(AH111+AI111+AJ111+AK111)/(AH15+AI15+AJ15+AK15),""),"")</f>
        <v>0.329187202528175</v>
      </c>
      <c r="AM338" s="257">
        <f>IFERROR(IF(AND(COUNT(AI111,AJ111,AK111,AM111)=4,(AI15+AJ15+AK15+AM15)&lt;&gt;0),(AI111+AJ111+AK111+AM111)/(AI15+AJ15+AK15+AM15),""),"")</f>
        <v>0.386002495404263</v>
      </c>
      <c r="AN338" s="257">
        <f>IFERROR(IF(AND(COUNT(AJ111,AK111,AM111,AN111)=4,(AJ15+AK15+AM15+AN15)&lt;&gt;0),(AJ111+AK111+AM111+AN111)/(AJ15+AK15+AM15+AN15),""),"")</f>
        <v>0.442114684212799</v>
      </c>
      <c r="AO338" s="257">
        <f>IFERROR(IF(AND(COUNT(AK111,AM111,AN111,AO111)=4,(AK15+AM15+AN15+AO15)&lt;&gt;0),(AK111+AM111+AN111+AO111)/(AK15+AM15+AN15+AO15),""),"")</f>
        <v>0.442114684212799</v>
      </c>
      <c r="AP338" s="257">
        <f>IFERROR(IF(AND(COUNT(AM111,AN111,AO111,AP111)=4,(AM15+AN15+AO15+AP15)&lt;&gt;0),(AM111+AN111+AO111+AP111)/(AM15+AN15+AO15+AP15),""),"")</f>
        <v>0.442114684212799</v>
      </c>
      <c r="AQ338" s="258">
        <f>IFERROR(IF(AND(COUNT(AM111,AN111,AO111,AP111)=4,(AM15+AN15+AO15+AP15)&lt;&gt;0),(AM111+AN111+AO111+AP111)/(AM15+AN15+AO15+AP15),""),"")</f>
        <v>0.442114684212799</v>
      </c>
      <c r="AR338" s="257">
        <f>IFERROR(IF(AND(COUNT(AN111,AO111,AP111,AR111)=4,(AN15+AO15+AP15+AR15)&lt;&gt;0),(AN111+AO111+AP111+AR111)/(AN15+AO15+AP15+AR15),""),"")</f>
        <v>0.442114684212799</v>
      </c>
      <c r="AS338" s="257">
        <f>IFERROR(IF(AND(COUNT(AO111,AP111,AR111,AS111)=4,(AO15+AP15+AR15+AS15)&lt;&gt;0),(AO111+AP111+AR111+AS111)/(AO15+AP15+AR15+AS15),""),"")</f>
        <v>0.442114684212799</v>
      </c>
      <c r="AT338" s="257">
        <f>IFERROR(IF(AND(COUNT(AP111,AR111,AS111,AT111)=4,(AP15+AR15+AS15+AT15)&lt;&gt;0),(AP111+AR111+AS111+AT111)/(AP15+AR15+AS15+AT15),""),"")</f>
        <v>0.442114684212799</v>
      </c>
      <c r="AU338" s="257">
        <f>IFERROR(IF(AND(COUNT(AR111,AS111,AT111,AU111)=4,(AR15+AS15+AT15+AU15)&lt;&gt;0),(AR111+AS111+AT111+AU111)/(AR15+AS15+AT15+AU15),""),"")</f>
        <v>0.442114684212799</v>
      </c>
      <c r="AV338" s="258">
        <f>IFERROR(IF(AND(COUNT(AR111,AS111,AT111,AU111)=4,(AR15+AS15+AT15+AU15)&lt;&gt;0),(AR111+AS111+AT111+AU111)/(AR15+AS15+AT15+AU15),""),"")</f>
        <v>0.442114684212799</v>
      </c>
      <c r="AW338" s="257">
        <f>IFERROR(IF(AND(COUNT(AS111,AT111,AU111,AW111)=4,(AS15+AT15+AU15+AW15)&lt;&gt;0),(AS111+AT111+AU111+AW111)/(AS15+AT15+AU15+AW15),""),"")</f>
        <v>0.442114684212799</v>
      </c>
      <c r="AX338" s="257">
        <f>IFERROR(IF(AND(COUNT(AT111,AU111,AW111,AX111)=4,(AT15+AU15+AW15+AX15)&lt;&gt;0),(AT111+AU111+AW111+AX111)/(AT15+AU15+AW15+AX15),""),"")</f>
        <v>0.442114684212799</v>
      </c>
      <c r="AY338" s="257">
        <f>IFERROR(IF(AND(COUNT(AU111,AW111,AX111,AY111)=4,(AU15+AW15+AX15+AY15)&lt;&gt;0),(AU111+AW111+AX111+AY111)/(AU15+AW15+AX15+AY15),""),"")</f>
        <v>0.442114684212799</v>
      </c>
      <c r="AZ338" s="257">
        <f>IFERROR(IF(AND(COUNT(AW111,AX111,AY111,AZ111)=4,(AW15+AX15+AY15+AZ15)&lt;&gt;0),(AW111+AX111+AY111+AZ111)/(AW15+AX15+AY15+AZ15),""),"")</f>
        <v>0.442114684212799</v>
      </c>
      <c r="BA338" s="258">
        <f>IFERROR(IF(AND(COUNT(AW111,AX111,AY111,AZ111)=4,(AW15+AX15+AY15+AZ15)&lt;&gt;0),(AW111+AX111+AY111+AZ111)/(AW15+AX15+AY15+AZ15),""),"")</f>
        <v>0.442114684212799</v>
      </c>
      <c r="BB338" s="257">
        <f>IFERROR(IF(AND(COUNT(AX111,AY111,AZ111,BB111)=4,(AX15+AY15+AZ15+BB15)&lt;&gt;0),(AX111+AY111+AZ111+BB111)/(AX15+AY15+AZ15+BB15),""),"")</f>
        <v>0.442114684212799</v>
      </c>
      <c r="BC338" s="257">
        <f>IFERROR(IF(AND(COUNT(AY111,AZ111,BB111,BC111)=4,(AY15+AZ15+BB15+BC15)&lt;&gt;0),(AY111+AZ111+BB111+BC111)/(AY15+AZ15+BB15+BC15),""),"")</f>
        <v>0.442114684212799</v>
      </c>
      <c r="BD338" s="257">
        <f>IFERROR(IF(AND(COUNT(AZ111,BB111,BC111,BD111)=4,(AZ15+BB15+BC15+BD15)&lt;&gt;0),(AZ111+BB111+BC111+BD111)/(AZ15+BB15+BC15+BD15),""),"")</f>
        <v>0.442114684212799</v>
      </c>
      <c r="BE338" s="257">
        <f>IFERROR(IF(AND(COUNT(BB111,BC111,BD111,BE111)=4,(BB15+BC15+BD15+BE15)&lt;&gt;0),(BB111+BC111+BD111+BE111)/(BB15+BC15+BD15+BE15),""),"")</f>
        <v>0.442114684212799</v>
      </c>
      <c r="BF338" s="258">
        <f>IFERROR(IF(AND(COUNT(BB111,BC111,BD111,BE111)=4,(BB15+BC15+BD15+BE15)&lt;&gt;0),(BB111+BC111+BD111+BE111)/(BB15+BC15+BD15+BE15),""),"")</f>
        <v>0.442114684212799</v>
      </c>
      <c r="BG338" s="81" t="n"/>
      <c r="BH338" s="81" t="n"/>
      <c r="BI338" s="81" t="n"/>
      <c r="BJ338" s="81" t="n"/>
      <c r="BL338" s="81" t="n"/>
      <c r="BM338" s="81" t="n"/>
      <c r="BN338" s="81" t="n"/>
      <c r="BO338" s="81" t="n"/>
      <c r="BQ338" s="81" t="n"/>
      <c r="BR338" s="81" t="n"/>
      <c r="BS338" s="81" t="n"/>
      <c r="BT338" s="81" t="n"/>
      <c r="BV338" s="81" t="n"/>
      <c r="BW338" s="81" t="n"/>
      <c r="BX338" s="81" t="n"/>
      <c r="BY338" s="81" t="n"/>
      <c r="CA338" s="81" t="n"/>
      <c r="CB338" s="81" t="n"/>
      <c r="CC338" s="81" t="n"/>
      <c r="CD338" s="81" t="n"/>
      <c r="CF338" s="81" t="n"/>
      <c r="CG338" s="81" t="n"/>
      <c r="CH338" s="81" t="n"/>
      <c r="CI338" s="81" t="n"/>
      <c r="CK338" s="81" t="n"/>
      <c r="CL338" s="81" t="n"/>
      <c r="CM338" s="81" t="n"/>
      <c r="CN338" s="81" t="n"/>
      <c r="CP338" s="81" t="n"/>
      <c r="CQ338" s="81" t="n"/>
      <c r="CR338" s="81" t="n"/>
      <c r="CS338" s="81" t="n"/>
      <c r="CU338" s="81" t="n"/>
      <c r="CV338" s="81" t="n"/>
      <c r="CW338" s="81" t="n"/>
      <c r="CX338" s="81" t="n"/>
    </row>
    <row r="339" customFormat="1" s="77">
      <c r="A339" s="76" t="n"/>
      <c r="B339" s="76" t="n"/>
      <c r="C339" s="77" t="inlineStr">
        <is>
          <t>ASSET TURNOVER (LTM REVENUE / ASSETS)</t>
        </is>
      </c>
      <c r="D339" s="84" t="str">
        <f>IFERROR(D15/D171,"")</f>
        <v/>
      </c>
      <c r="E339" s="84" t="str">
        <f>IFERROR(E15/E171,"")</f>
        <v/>
      </c>
      <c r="F339" s="84" t="str">
        <f>IFERROR(F15/F171,"")</f>
        <v/>
      </c>
      <c r="G339" s="84" t="str">
        <f>IFERROR(G15/G171,"")</f>
        <v/>
      </c>
      <c r="H339" s="262" t="str">
        <f>IFERROR(IF(AND(COUNT(H15)=1,N(H171)&lt;&gt;0),(H15)/H171,""),"")</f>
        <v/>
      </c>
      <c r="I339" s="264" t="str">
        <f>""</f>
        <v/>
      </c>
      <c r="J339" s="264" t="str">
        <f>""</f>
        <v/>
      </c>
      <c r="K339" s="264" t="str">
        <f>""</f>
        <v/>
      </c>
      <c r="L339" s="264">
        <f>IFERROR(IF(AND(COUNT(I15,J15,K15,L15)=4,N(L171)&lt;&gt;0),(I15+J15+K15+L15)/L171,""),"")</f>
        <v>0.548036809422802</v>
      </c>
      <c r="M339" s="262">
        <f>IFERROR(IF(AND(COUNT(I15,J15,K15,L15)=4,N(M171)&lt;&gt;0),(I15+J15+K15+L15)/M171,""),"")</f>
        <v>0.548036809422802</v>
      </c>
      <c r="N339" s="264">
        <f>IFERROR(IF(AND(COUNT(J15,K15,L15,N15)=4,N(N171)&lt;&gt;0),(J15+K15+L15+N15)/N171,""),"")</f>
        <v>0.516900048029629</v>
      </c>
      <c r="O339" s="264">
        <f>IFERROR(IF(AND(COUNT(K15,L15,N15,O15)=4,N(O171)&lt;&gt;0),(K15+L15+N15+O15)/O171,""),"")</f>
        <v>0.426179787577176</v>
      </c>
      <c r="P339" s="264">
        <f>IFERROR(IF(AND(COUNT(L15,N15,O15,P15)=4,N(P171)&lt;&gt;0),(L15+N15+O15+P15)/P171,""),"")</f>
        <v>0.312381597295195</v>
      </c>
      <c r="Q339" s="264">
        <f>IFERROR(IF(AND(COUNT(N15,O15,P15,Q15)=4,N(Q171)&lt;&gt;0),(N15+O15+P15+Q15)/Q171,""),"")</f>
        <v>0.20030165392542</v>
      </c>
      <c r="R339" s="262">
        <f>IFERROR(IF(AND(COUNT(N15,O15,P15,Q15)=4,N(R171)&lt;&gt;0),(N15+O15+P15+Q15)/R171,""),"")</f>
        <v>0.20030165392542</v>
      </c>
      <c r="S339" s="264">
        <f>IFERROR(IF(AND(COUNT(O15,P15,Q15,S15)=4,N(S171)&lt;&gt;0),(O15+P15+Q15+S15)/S171,""),"")</f>
        <v>0.116175509880523</v>
      </c>
      <c r="T339" s="264">
        <f>IFERROR(IF(AND(COUNT(P15,Q15,S15,T15)=4,N(T171)&lt;&gt;0),(P15+Q15+S15+T15)/T171,""),"")</f>
        <v>0.167345914116765</v>
      </c>
      <c r="U339" s="264">
        <f>IFERROR(IF(AND(COUNT(Q15,S15,T15,U15)=4,N(U171)&lt;&gt;0),(Q15+S15+T15+U15)/U171,""),"")</f>
        <v>0.202618948337986</v>
      </c>
      <c r="V339" s="264">
        <f>IFERROR(IF(AND(COUNT(S15,T15,U15,V15)=4,N(V171)&lt;&gt;0),(S15+T15+U15+V15)/V171,""),"")</f>
        <v>0.199139560057417</v>
      </c>
      <c r="W339" s="262">
        <f>IFERROR(IF(AND(COUNT(S15,T15,U15,V15)=4,N(W171)&lt;&gt;0),(S15+T15+U15+V15)/W171,""),"")</f>
        <v>0.199139560057417</v>
      </c>
      <c r="X339" s="264">
        <f>IFERROR(IF(AND(COUNT(T15,U15,V15,X15)=4,N(X171)&lt;&gt;0),(T15+U15+V15+X15)/X171,""),"")</f>
        <v>0.260130595893821</v>
      </c>
      <c r="Y339" s="264">
        <f>IFERROR(IF(AND(COUNT(U15,V15,X15,Y15)=4,N(Y171)&lt;&gt;0),(U15+V15+X15+Y15)/Y171,""),"")</f>
        <v>0.254047225147973</v>
      </c>
      <c r="Z339" s="264">
        <f>IFERROR(IF(AND(COUNT(V15,X15,Y15,Z15)=4,N(Z171)&lt;&gt;0),(V15+X15+Y15+Z15)/Z171,""),"")</f>
        <v>0.268521534080609</v>
      </c>
      <c r="AA339" s="264">
        <f>IFERROR(IF(AND(COUNT(X15,Y15,Z15,AA15)=4,N(AA171)&lt;&gt;0),(X15+Y15+Z15+AA15)/AA171,""),"")</f>
        <v>0.304347965113771</v>
      </c>
      <c r="AB339" s="262">
        <f>IFERROR(IF(AND(COUNT(X15,Y15,Z15,AA15)=4,N(AB171)&lt;&gt;0),(X15+Y15+Z15+AA15)/AB171,""),"")</f>
        <v>0.304347965113771</v>
      </c>
      <c r="AC339" s="264">
        <f>IFERROR(IF(AND(COUNT(Y15,Z15,AA15,AC15)=4,N(AC171)&lt;&gt;0),(Y15+Z15+AA15+AC15)/AC171,""),"")</f>
        <v>0.2835359552731</v>
      </c>
      <c r="AD339" s="264">
        <f>IFERROR(IF(AND(COUNT(Z15,AA15,AC15,AD15)=4,N(AD171)&lt;&gt;0),(Z15+AA15+AC15+AD15)/AD171,""),"")</f>
        <v>0.30297949264822</v>
      </c>
      <c r="AE339" s="264">
        <f>IFERROR(IF(AND(COUNT(AA15,AC15,AD15,AE15)=4,N(AE171)&lt;&gt;0),(AA15+AC15+AD15+AE15)/AE171,""),"")</f>
        <v>0.2829504649303</v>
      </c>
      <c r="AF339" s="264">
        <f>IFERROR(IF(AND(COUNT(AB15,AD15,AE15,AF15)=4,N(AF171)&lt;&gt;0),(AB15+AD15+AE15+AF15)/AF171,""),"")</f>
        <v>0.511240809512257</v>
      </c>
      <c r="AG339" s="262">
        <f>IFERROR(IF(AND(COUNT(AC15,AD15,AE15,AF15)=4,N(AG171)&lt;&gt;0),(AC15+AD15+AE15+AF15)/AG171,""),"")</f>
        <v>0.302883576937044</v>
      </c>
      <c r="AH339" s="264">
        <f>IFERROR(IF(AND(COUNT(AD15,AF15,AG15,AH15)=4,N(AH171)&lt;&gt;0),(AD15+AF15+AG15+AH15)/AH171,""),"")</f>
        <v>0.540899326177662</v>
      </c>
      <c r="AI339" s="264">
        <f>IFERROR(IF(AND(COUNT(AE15,AG15,AH15,AI15)=4,N(AI171)&lt;&gt;0),(AE15+AG15+AH15+AI15)/AI171,""),"")</f>
        <v>0.525141454920226</v>
      </c>
      <c r="AJ339" s="264">
        <f>IFERROR(IF(AND(COUNT(AF15,AH15,AI15,AJ15)=4,N(AJ171)&lt;&gt;0),(AF15+AH15+AI15+AJ15)/AJ171,""),"")</f>
        <v>0.322360579059731</v>
      </c>
      <c r="AK339" s="264">
        <f>IFERROR(IF(AND(COUNT(AH15,AI15,AJ15,AK15)=4,N(AK171)&lt;&gt;0),(AH15+AI15+AJ15+AK15)/AK171,""),"")</f>
        <v>0.321645637369918</v>
      </c>
      <c r="AL339" s="262">
        <f>IFERROR(IF(AND(COUNT(AH15,AI15,AJ15,AK15)=4,N(AL171)&lt;&gt;0),(AH15+AI15+AJ15+AK15)/AL171,""),"")</f>
        <v>0.321645637369918</v>
      </c>
      <c r="AM339" s="264">
        <f>IFERROR(IF(AND(COUNT(AI15,AJ15,AK15,AM15)=4,N(AM171)&lt;&gt;0),(AI15+AJ15+AK15+AM15)/AM171,""),"")</f>
        <v>0.321096008200019</v>
      </c>
      <c r="AN339" s="264">
        <f>IFERROR(IF(AND(COUNT(AJ15,AK15,AM15,AN15)=4,N(AN171)&lt;&gt;0),(AJ15+AK15+AM15+AN15)/AN171,""),"")</f>
        <v>0.320388026494146</v>
      </c>
      <c r="AO339" s="264">
        <f>IFERROR(IF(AND(COUNT(AK15,AM15,AN15,AO15)=4,N(AO171)&lt;&gt;0),(AK15+AM15+AN15+AO15)/AO171,""),"")</f>
        <v>0.319923696077637</v>
      </c>
      <c r="AP339" s="264">
        <f>IFERROR(IF(AND(COUNT(AM15,AN15,AO15,AP15)=4,N(AP171)&lt;&gt;0),(AM15+AN15+AO15+AP15)/AP171,""),"")</f>
        <v>0.31931432685763</v>
      </c>
      <c r="AQ339" s="262">
        <f>IFERROR(IF(AND(COUNT(AM15,AN15,AO15,AP15)=4,N(AQ171)&lt;&gt;0),(AM15+AN15+AO15+AP15)/AQ171,""),"")</f>
        <v>0.31931432685763</v>
      </c>
      <c r="AR339" s="264">
        <f>IFERROR(IF(AND(COUNT(AN15,AO15,AP15,AR15)=4,N(AR171)&lt;&gt;0),(AN15+AO15+AP15+AR15)/AR171,""),"")</f>
        <v>0.318567793763512</v>
      </c>
      <c r="AS339" s="264">
        <f>IFERROR(IF(AND(COUNT(AO15,AP15,AR15,AS15)=4,N(AS171)&lt;&gt;0),(AO15+AP15+AR15+AS15)/AS171,""),"")</f>
        <v>0.317605332544379</v>
      </c>
      <c r="AT339" s="264">
        <f>IFERROR(IF(AND(COUNT(AP15,AR15,AS15,AT15)=4,N(AT171)&lt;&gt;0),(AP15+AR15+AS15+AT15)/AT171,""),"")</f>
        <v>0.316973583677005</v>
      </c>
      <c r="AU339" s="264">
        <f>IFERROR(IF(AND(COUNT(AR15,AS15,AT15,AU15)=4,N(AU171)&lt;&gt;0),(AR15+AS15+AT15+AU15)/AU171,""),"")</f>
        <v>0.316143877773972</v>
      </c>
      <c r="AV339" s="262">
        <f>IFERROR(IF(AND(COUNT(AR15,AS15,AT15,AU15)=4,N(AV171)&lt;&gt;0),(AR15+AS15+AT15+AU15)/AV171,""),"")</f>
        <v>0.316143877773972</v>
      </c>
      <c r="AW339" s="264">
        <f>IFERROR(IF(AND(COUNT(AS15,AT15,AU15,AW15)=4,N(AW171)&lt;&gt;0),(AS15+AT15+AU15+AW15)/AW171,""),"")</f>
        <v>0.315232208831651</v>
      </c>
      <c r="AX339" s="264">
        <f>IFERROR(IF(AND(COUNT(AT15,AU15,AW15,AX15)=4,N(AX171)&lt;&gt;0),(AT15+AU15+AW15+AX15)/AX171,""),"")</f>
        <v>0.314055586184215</v>
      </c>
      <c r="AY339" s="264">
        <f>IFERROR(IF(AND(COUNT(AU15,AW15,AX15,AY15)=4,N(AY171)&lt;&gt;0),(AU15+AW15+AX15+AY15)/AY171,""),"")</f>
        <v>0.313282490581504</v>
      </c>
      <c r="AZ339" s="264">
        <f>IFERROR(IF(AND(COUNT(AW15,AX15,AY15,AZ15)=4,N(AZ171)&lt;&gt;0),(AW15+AX15+AY15+AZ15)/AZ171,""),"")</f>
        <v>0.312266214515145</v>
      </c>
      <c r="BA339" s="262">
        <f>IFERROR(IF(AND(COUNT(AW15,AX15,AY15,AZ15)=4,N(BA171)&lt;&gt;0),(AW15+AX15+AY15+AZ15)/BA171,""),"")</f>
        <v>0.312266214515145</v>
      </c>
      <c r="BB339" s="264">
        <f>IFERROR(IF(AND(COUNT(AX15,AY15,AZ15,BB15)=4,N(BB171)&lt;&gt;0),(AX15+AY15+AZ15+BB15)/BB171,""),"")</f>
        <v>0.311216760920956</v>
      </c>
      <c r="BC339" s="264">
        <f>IFERROR(IF(AND(COUNT(AY15,AZ15,BB15,BC15)=4,N(BC171)&lt;&gt;0),(AY15+AZ15+BB15+BC15)/BC171,""),"")</f>
        <v>0.309860638728952</v>
      </c>
      <c r="BD339" s="264">
        <f>IFERROR(IF(AND(COUNT(AZ15,BB15,BC15,BD15)=4,N(BD171)&lt;&gt;0),(AZ15+BB15+BC15+BD15)/BD171,""),"")</f>
        <v>0.308968576656838</v>
      </c>
      <c r="BE339" s="264">
        <f>IFERROR(IF(AND(COUNT(BB15,BC15,BD15,BE15)=4,N(BE171)&lt;&gt;0),(BB15+BC15+BD15+BE15)/BE171,""),"")</f>
        <v>0.30779467158698</v>
      </c>
      <c r="BF339" s="262">
        <f>IFERROR(IF(AND(COUNT(BB15,BC15,BD15,BE15)=4,N(BF171)&lt;&gt;0),(BB15+BC15+BD15+BE15)/BF171,""),"")</f>
        <v>0.30779467158698</v>
      </c>
      <c r="BG339" s="81" t="n"/>
      <c r="BH339" s="81" t="n"/>
      <c r="BI339" s="81" t="n"/>
      <c r="BJ339" s="81" t="n"/>
      <c r="BL339" s="81" t="n"/>
      <c r="BM339" s="81" t="n"/>
      <c r="BN339" s="81" t="n"/>
      <c r="BO339" s="81" t="n"/>
      <c r="BQ339" s="81" t="n"/>
      <c r="BR339" s="81" t="n"/>
      <c r="BS339" s="81" t="n"/>
      <c r="BT339" s="81" t="n"/>
      <c r="BV339" s="81" t="n"/>
      <c r="BW339" s="81" t="n"/>
      <c r="BX339" s="81" t="n"/>
      <c r="BY339" s="81" t="n"/>
      <c r="CA339" s="81" t="n"/>
      <c r="CB339" s="81" t="n"/>
      <c r="CC339" s="81" t="n"/>
      <c r="CD339" s="81" t="n"/>
      <c r="CF339" s="81" t="n"/>
      <c r="CG339" s="81" t="n"/>
      <c r="CH339" s="81" t="n"/>
      <c r="CI339" s="81" t="n"/>
      <c r="CK339" s="81" t="n"/>
      <c r="CL339" s="81" t="n"/>
      <c r="CM339" s="81" t="n"/>
      <c r="CN339" s="81" t="n"/>
      <c r="CP339" s="81" t="n"/>
      <c r="CQ339" s="81" t="n"/>
      <c r="CR339" s="81" t="n"/>
      <c r="CS339" s="81" t="n"/>
      <c r="CU339" s="81" t="n"/>
      <c r="CV339" s="81" t="n"/>
      <c r="CW339" s="81" t="n"/>
      <c r="CX339" s="81" t="n"/>
    </row>
    <row r="340" customFormat="1" s="77">
      <c r="A340" s="76" t="n"/>
      <c r="B340" s="76" t="n"/>
      <c r="C340" s="77" t="inlineStr">
        <is>
          <t>EQUITY MULTIPLIER (ASSETS / EQUITY)</t>
        </is>
      </c>
      <c r="D340" s="84" t="str">
        <f>IFERROR(D171/D245,"")</f>
        <v/>
      </c>
      <c r="E340" s="84" t="str">
        <f>IFERROR(E171/E245,"")</f>
        <v/>
      </c>
      <c r="F340" s="84" t="str">
        <f>IFERROR(F171/F245,"")</f>
        <v/>
      </c>
      <c r="G340" s="84" t="str">
        <f>IFERROR(G171/G245,"")</f>
        <v/>
      </c>
      <c r="H340" s="262" t="str">
        <f>IFERROR(IF(N(H245)&lt;&gt;0,H171/H245,""),"")</f>
        <v/>
      </c>
      <c r="I340" s="264">
        <f>IFERROR(IF(N(I245)&lt;&gt;0,I171/I245,""),"")</f>
        <v>1.76580410275356</v>
      </c>
      <c r="J340" s="264">
        <f>IFERROR(IF(N(J245)&lt;&gt;0,J171/J245,""),"")</f>
        <v>1.7952858611095</v>
      </c>
      <c r="K340" s="264">
        <f>IFERROR(IF(N(K245)&lt;&gt;0,K171/K245,""),"")</f>
        <v>1.86983161352945</v>
      </c>
      <c r="L340" s="264">
        <f>IFERROR(IF(N(L245)&lt;&gt;0,L171/L245,""),"")</f>
        <v>1.89792318693142</v>
      </c>
      <c r="M340" s="262">
        <f>IFERROR(IF(N(M245)&lt;&gt;0,M171/M245,""),"")</f>
        <v>1.89792318693142</v>
      </c>
      <c r="N340" s="264">
        <f>IFERROR(IF(N(N245)&lt;&gt;0,N171/N245,""),"")</f>
        <v>1.94883437711757</v>
      </c>
      <c r="O340" s="264">
        <f>IFERROR(IF(N(O245)&lt;&gt;0,O171/O245,""),"")</f>
        <v>1.95139761709166</v>
      </c>
      <c r="P340" s="264">
        <f>IFERROR(IF(N(P245)&lt;&gt;0,P171/P245,""),"")</f>
        <v>2.03995620049976</v>
      </c>
      <c r="Q340" s="264">
        <f>IFERROR(IF(N(Q245)&lt;&gt;0,Q171/Q245,""),"")</f>
        <v>2.16066674637102</v>
      </c>
      <c r="R340" s="262">
        <f>IFERROR(IF(N(R245)&lt;&gt;0,R171/R245,""),"")</f>
        <v>2.16066674637102</v>
      </c>
      <c r="S340" s="264">
        <f>IFERROR(IF(N(S245)&lt;&gt;0,S171/S245,""),"")</f>
        <v>2.19551262235273</v>
      </c>
      <c r="T340" s="264">
        <f>IFERROR(IF(N(T245)&lt;&gt;0,T171/T245,""),"")</f>
        <v>2.17819490019082</v>
      </c>
      <c r="U340" s="264">
        <f>IFERROR(IF(N(U245)&lt;&gt;0,U171/U245,""),"")</f>
        <v>2.21489771710505</v>
      </c>
      <c r="V340" s="264">
        <f>IFERROR(IF(N(V245)&lt;&gt;0,V171/V245,""),"")</f>
        <v>2.22888260133462</v>
      </c>
      <c r="W340" s="262">
        <f>IFERROR(IF(N(W245)&lt;&gt;0,W171/W245,""),"")</f>
        <v>2.22888260133462</v>
      </c>
      <c r="X340" s="264">
        <f>IFERROR(IF(N(X245)&lt;&gt;0,X171/X245,""),"")</f>
        <v>2.14890779747881</v>
      </c>
      <c r="Y340" s="264">
        <f>IFERROR(IF(N(Y245)&lt;&gt;0,Y171/Y245,""),"")</f>
        <v>2.173309835793</v>
      </c>
      <c r="Z340" s="264">
        <f>IFERROR(IF(N(Z245)&lt;&gt;0,Z171/Z245,""),"")</f>
        <v>2.18728852042244</v>
      </c>
      <c r="AA340" s="264">
        <f>IFERROR(IF(N(AA245)&lt;&gt;0,AA171/AA245,""),"")</f>
        <v>2.22979438589814</v>
      </c>
      <c r="AB340" s="262">
        <f>IFERROR(IF(N(AB245)&lt;&gt;0,AB171/AB245,""),"")</f>
        <v>2.22979438589814</v>
      </c>
      <c r="AC340" s="264">
        <f>IFERROR(IF(N(AC245)&lt;&gt;0,AC171/AC245,""),"")</f>
        <v>2.27817014762166</v>
      </c>
      <c r="AD340" s="264">
        <f>IFERROR(IF(N(AD245)&lt;&gt;0,AD171/AD245,""),"")</f>
        <v>2.15253818039668</v>
      </c>
      <c r="AE340" s="264">
        <f>IFERROR(IF(N(AE245)&lt;&gt;0,AE171/AE245,""),"")</f>
        <v>2.17936093356249</v>
      </c>
      <c r="AF340" s="264">
        <f>IFERROR(IF(N(AF245)&lt;&gt;0,AF171/AF245,""),"")</f>
        <v>2.18036652698493</v>
      </c>
      <c r="AG340" s="262">
        <f>IFERROR(IF(N(AG245)&lt;&gt;0,AG171/AG245,""),"")</f>
        <v>2.18036652698494</v>
      </c>
      <c r="AH340" s="264">
        <f>IFERROR(IF(N(AH245)&lt;&gt;0,AH171/AH245,""),"")</f>
        <v>2.25650810715053</v>
      </c>
      <c r="AI340" s="264">
        <f>IFERROR(IF(N(AI245)&lt;&gt;0,AI171/AI245,""),"")</f>
        <v>2.22403213661449</v>
      </c>
      <c r="AJ340" s="264">
        <f>IFERROR(IF(N(AJ245)&lt;&gt;0,AJ171/AJ245,""),"")</f>
        <v>2.14356718195696</v>
      </c>
      <c r="AK340" s="264">
        <f>IFERROR(IF(N(AK245)&lt;&gt;0,AK171/AK245,""),"")</f>
        <v>2.04645340611295</v>
      </c>
      <c r="AL340" s="262">
        <f>IFERROR(IF(N(AL245)&lt;&gt;0,AL171/AL245,""),"")</f>
        <v>2.04645340611295</v>
      </c>
      <c r="AM340" s="264">
        <f>IFERROR(IF(N(AM245)&lt;&gt;0,AM171/AM245,""),"")</f>
        <v>1.97757610863813</v>
      </c>
      <c r="AN340" s="264">
        <f>IFERROR(IF(N(AN245)&lt;&gt;0,AN171/AN245,""),"")</f>
        <v>1.89540329985549</v>
      </c>
      <c r="AO340" s="264">
        <f>IFERROR(IF(N(AO245)&lt;&gt;0,AO171/AO245,""),"")</f>
        <v>1.84511990206489</v>
      </c>
      <c r="AP340" s="264">
        <f>IFERROR(IF(N(AP245)&lt;&gt;0,AP171/AP245,""),"")</f>
        <v>1.78304187485069</v>
      </c>
      <c r="AQ340" s="262">
        <f>IFERROR(IF(N(AQ245)&lt;&gt;0,AQ171/AQ245,""),"")</f>
        <v>1.78304187485069</v>
      </c>
      <c r="AR340" s="264">
        <f>IFERROR(IF(N(AR245)&lt;&gt;0,AR171/AR245,""),"")</f>
        <v>1.73824537644314</v>
      </c>
      <c r="AS340" s="264">
        <f>IFERROR(IF(N(AS245)&lt;&gt;0,AS171/AS245,""),"")</f>
        <v>1.68370930965513</v>
      </c>
      <c r="AT340" s="264">
        <f>IFERROR(IF(N(AT245)&lt;&gt;0,AT171/AT245,""),"")</f>
        <v>1.64973519084968</v>
      </c>
      <c r="AU340" s="264">
        <f>IFERROR(IF(N(AU245)&lt;&gt;0,AU171/AU245,""),"")</f>
        <v>1.60714440087145</v>
      </c>
      <c r="AV340" s="262">
        <f>IFERROR(IF(N(AV245)&lt;&gt;0,AV171/AV245,""),"")</f>
        <v>1.60714440087145</v>
      </c>
      <c r="AW340" s="264">
        <f>IFERROR(IF(N(AW245)&lt;&gt;0,AW171/AW245,""),"")</f>
        <v>1.57608460987693</v>
      </c>
      <c r="AX340" s="264">
        <f>IFERROR(IF(N(AX245)&lt;&gt;0,AX171/AX245,""),"")</f>
        <v>1.53772946660869</v>
      </c>
      <c r="AY340" s="264">
        <f>IFERROR(IF(N(AY245)&lt;&gt;0,AY171/AY245,""),"")</f>
        <v>1.51352861125834</v>
      </c>
      <c r="AZ340" s="264">
        <f>IFERROR(IF(N(AZ245)&lt;&gt;0,AZ171/AZ245,""),"")</f>
        <v>1.48285063675481</v>
      </c>
      <c r="BA340" s="262">
        <f>IFERROR(IF(N(BA245)&lt;&gt;0,BA171/BA245,""),"")</f>
        <v>1.48285063675481</v>
      </c>
      <c r="BB340" s="264">
        <f>IFERROR(IF(N(BB245)&lt;&gt;0,BB171/BB245,""),"")</f>
        <v>1.46033076490884</v>
      </c>
      <c r="BC340" s="264">
        <f>IFERROR(IF(N(BC245)&lt;&gt;0,BC171/BC245,""),"")</f>
        <v>1.43222373492034</v>
      </c>
      <c r="BD340" s="264">
        <f>IFERROR(IF(N(BD245)&lt;&gt;0,BD171/BD245,""),"")</f>
        <v>1.41431739367192</v>
      </c>
      <c r="BE340" s="264">
        <f>IFERROR(IF(N(BE245)&lt;&gt;0,BE171/BE245,""),"")</f>
        <v>1.39142487087063</v>
      </c>
      <c r="BF340" s="262">
        <f>IFERROR(IF(N(BF245)&lt;&gt;0,BF171/BF245,""),"")</f>
        <v>1.39142487087063</v>
      </c>
      <c r="BG340" s="81" t="n"/>
      <c r="BH340" s="81" t="n"/>
      <c r="BI340" s="81" t="n"/>
      <c r="BJ340" s="81" t="n"/>
      <c r="BL340" s="81" t="n"/>
      <c r="BM340" s="81" t="n"/>
      <c r="BN340" s="81" t="n"/>
      <c r="BO340" s="81" t="n"/>
      <c r="BQ340" s="81" t="n"/>
      <c r="BR340" s="81" t="n"/>
      <c r="BS340" s="81" t="n"/>
      <c r="BT340" s="81" t="n"/>
      <c r="BV340" s="81" t="n"/>
      <c r="BW340" s="81" t="n"/>
      <c r="BX340" s="81" t="n"/>
      <c r="BY340" s="81" t="n"/>
      <c r="CA340" s="81" t="n"/>
      <c r="CB340" s="81" t="n"/>
      <c r="CC340" s="81" t="n"/>
      <c r="CD340" s="81" t="n"/>
      <c r="CF340" s="81" t="n"/>
      <c r="CG340" s="81" t="n"/>
      <c r="CH340" s="81" t="n"/>
      <c r="CI340" s="81" t="n"/>
      <c r="CK340" s="81" t="n"/>
      <c r="CL340" s="81" t="n"/>
      <c r="CM340" s="81" t="n"/>
      <c r="CN340" s="81" t="n"/>
      <c r="CP340" s="81" t="n"/>
      <c r="CQ340" s="81" t="n"/>
      <c r="CR340" s="81" t="n"/>
      <c r="CS340" s="81" t="n"/>
      <c r="CU340" s="81" t="n"/>
      <c r="CV340" s="81" t="n"/>
      <c r="CW340" s="81" t="n"/>
      <c r="CX340" s="81" t="n"/>
    </row>
    <row r="341" customFormat="1" s="77">
      <c r="A341" s="76" t="n"/>
      <c r="B341" s="76" t="n"/>
      <c r="C341" s="77" t="inlineStr">
        <is>
          <t>ROE - DUPONT</t>
        </is>
      </c>
      <c r="D341" s="84">
        <f>IFERROR(PRODUCT(D338:D340),"")</f>
        <v>0</v>
      </c>
      <c r="E341" s="84">
        <f>IFERROR(PRODUCT(E338:E340),"")</f>
        <v>0</v>
      </c>
      <c r="F341" s="84">
        <f>IFERROR(PRODUCT(F338:F340),"")</f>
        <v>0</v>
      </c>
      <c r="G341" s="84">
        <f>IFERROR(PRODUCT(G338:G340),"")</f>
        <v>0</v>
      </c>
      <c r="H341" s="258" t="str">
        <f>IFERROR(IF(COUNT(H338,H339,H340)=3,H338*H339*H340,""),"")</f>
        <v/>
      </c>
      <c r="I341" s="257" t="str">
        <f>IFERROR(IF(COUNT(I338,I339,I340)=3,I338*I339*I340,""),"")</f>
        <v/>
      </c>
      <c r="J341" s="257" t="str">
        <f>IFERROR(IF(COUNT(J338,J339,J340)=3,J338*J339*J340,""),"")</f>
        <v/>
      </c>
      <c r="K341" s="257" t="str">
        <f>IFERROR(IF(COUNT(K338,K339,K340)=3,K338*K339*K340,""),"")</f>
        <v/>
      </c>
      <c r="L341" s="257">
        <f>IFERROR(IF(COUNT(L338,L339,L340)=3,L338*L339*L340,""),"")</f>
        <v>0.269850943833806</v>
      </c>
      <c r="M341" s="258">
        <f>IFERROR(IF(COUNT(M338,M339,M340)=3,M338*M339*M340,""),"")</f>
        <v>0.269850943833806</v>
      </c>
      <c r="N341" s="257">
        <f>IFERROR(IF(COUNT(N338,N339,N340)=3,N338*N339*N340,""),"")</f>
        <v>0.239485298947751</v>
      </c>
      <c r="O341" s="257">
        <f>IFERROR(IF(COUNT(O338,O339,O340)=3,O338*O339*O340,""),"")</f>
        <v>0.186923956194445</v>
      </c>
      <c r="P341" s="257">
        <f>IFERROR(IF(COUNT(P338,P339,P340)=3,P338*P339*P340,""),"")</f>
        <v>0.131147935548255</v>
      </c>
      <c r="Q341" s="257">
        <f>IFERROR(IF(COUNT(Q338,Q339,Q340)=3,Q338*Q339*Q340,""),"")</f>
        <v>0.0887975738307278</v>
      </c>
      <c r="R341" s="258">
        <f>IFERROR(IF(COUNT(R338,R339,R340)=3,R338*R339*R340,""),"")</f>
        <v>0.0887975738307278</v>
      </c>
      <c r="S341" s="257">
        <f>IFERROR(IF(COUNT(S338,S339,S340)=3,S338*S339*S340,""),"")</f>
        <v>0.0329472462203745</v>
      </c>
      <c r="T341" s="257">
        <f>IFERROR(IF(COUNT(T338,T339,T340)=3,T338*T339*T340,""),"")</f>
        <v>0.0653328813802943</v>
      </c>
      <c r="U341" s="257">
        <f>IFERROR(IF(COUNT(U338,U339,U340)=3,U338*U339*U340,""),"")</f>
        <v>0.0955271198802003</v>
      </c>
      <c r="V341" s="257">
        <f>IFERROR(IF(COUNT(V338,V339,V340)=3,V338*V339*V340,""),"")</f>
        <v>0.0769495730451656</v>
      </c>
      <c r="W341" s="258">
        <f>IFERROR(IF(COUNT(W338,W339,W340)=3,W338*W339*W340,""),"")</f>
        <v>0.0769495730451656</v>
      </c>
      <c r="X341" s="257">
        <f>IFERROR(IF(COUNT(X338,X339,X340)=3,X338*X339*X340,""),"")</f>
        <v>0.11649095864718</v>
      </c>
      <c r="Y341" s="257">
        <f>IFERROR(IF(COUNT(Y338,Y339,Y340)=3,Y338*Y339*Y340,""),"")</f>
        <v>0.106863150657093</v>
      </c>
      <c r="Z341" s="257">
        <f>IFERROR(IF(COUNT(Z338,Z339,Z340)=3,Z338*Z339*Z340,""),"")</f>
        <v>0.114279051757722</v>
      </c>
      <c r="AA341" s="257">
        <f>IFERROR(IF(COUNT(AA338,AA339,AA340)=3,AA338*AA339*AA340,""),"")</f>
        <v>0.14242143440259</v>
      </c>
      <c r="AB341" s="258">
        <f>IFERROR(IF(COUNT(AB338,AB339,AB340)=3,AB338*AB339*AB340,""),"")</f>
        <v>0.14242143440259</v>
      </c>
      <c r="AC341" s="257">
        <f>IFERROR(IF(COUNT(AC338,AC339,AC340)=3,AC338*AC339*AC340,""),"")</f>
        <v>0.128063751431356</v>
      </c>
      <c r="AD341" s="257">
        <f>IFERROR(IF(COUNT(AD338,AD339,AD340)=3,AD338*AD339*AD340,""),"")</f>
        <v>0.135861298133487</v>
      </c>
      <c r="AE341" s="257">
        <f>IFERROR(IF(COUNT(AE338,AE339,AE340)=3,AE338*AE339*AE340,""),"")</f>
        <v>0.126765137239571</v>
      </c>
      <c r="AF341" s="257">
        <f>IFERROR(IF(COUNT(AF338,AF339,AF340)=3,AF338*AF339*AF340,""),"")</f>
        <v>0.236772966274384</v>
      </c>
      <c r="AG341" s="258">
        <f>IFERROR(IF(COUNT(AG338,AG339,AG340)=3,AG338*AG339*AG340,""),"")</f>
        <v>0.137982279925408</v>
      </c>
      <c r="AH341" s="257">
        <f>IFERROR(IF(COUNT(AH338,AH339,AH340)=3,AH338*AH339*AH340,""),"")</f>
        <v>0.254398913073067</v>
      </c>
      <c r="AI341" s="257">
        <f>IFERROR(IF(COUNT(AI338,AI339,AI340)=3,AI338*AI339*AI340,""),"")</f>
        <v>0.246199476954453</v>
      </c>
      <c r="AJ341" s="257">
        <f>IFERROR(IF(COUNT(AJ338,AJ339,AJ340)=3,AJ338*AJ339*AJ340,""),"")</f>
        <v>0.186267150043966</v>
      </c>
      <c r="AK341" s="257">
        <f>IFERROR(IF(COUNT(AK338,AK339,AK340)=3,AK338*AK339*AK340,""),"")</f>
        <v>0.216681817387855</v>
      </c>
      <c r="AL341" s="258">
        <f>IFERROR(IF(COUNT(AL338,AL339,AL340)=3,AL338*AL339*AL340,""),"")</f>
        <v>0.216681817387855</v>
      </c>
      <c r="AM341" s="257">
        <f>IFERROR(IF(COUNT(AM338,AM339,AM340)=3,AM338*AM339*AM340,""),"")</f>
        <v>0.245108417197866</v>
      </c>
      <c r="AN341" s="257">
        <f>IFERROR(IF(COUNT(AN338,AN339,AN340)=3,AN338*AN339*AN340,""),"")</f>
        <v>0.268480562665568</v>
      </c>
      <c r="AO341" s="257">
        <f>IFERROR(IF(COUNT(AO338,AO339,AO340)=3,AO338*AO339*AO340,""),"")</f>
        <v>0.260979227631691</v>
      </c>
      <c r="AP341" s="257">
        <f>IFERROR(IF(COUNT(AP338,AP339,AP340)=3,AP338*AP339*AP340,""),"")</f>
        <v>0.251718356234038</v>
      </c>
      <c r="AQ341" s="258">
        <f>IFERROR(IF(COUNT(AQ338,AQ339,AQ340)=3,AQ338*AQ339*AQ340,""),"")</f>
        <v>0.251718356234038</v>
      </c>
      <c r="AR341" s="257">
        <f>IFERROR(IF(COUNT(AR338,AR339,AR340)=3,AR338*AR339*AR340,""),"")</f>
        <v>0.24482056187769</v>
      </c>
      <c r="AS341" s="257">
        <f>IFERROR(IF(COUNT(AS338,AS339,AS340)=3,AS338*AS339*AS340,""),"")</f>
        <v>0.236423062361426</v>
      </c>
      <c r="AT341" s="257">
        <f>IFERROR(IF(COUNT(AT338,AT339,AT340)=3,AT338*AT339*AT340,""),"")</f>
        <v>0.231191705150733</v>
      </c>
      <c r="AU341" s="257">
        <f>IFERROR(IF(COUNT(AU338,AU339,AU340)=3,AU338*AU339*AU340,""),"")</f>
        <v>0.224633547232418</v>
      </c>
      <c r="AV341" s="258">
        <f>IFERROR(IF(COUNT(AV338,AV339,AV340)=3,AV338*AV339*AV340,""),"")</f>
        <v>0.224633547232418</v>
      </c>
      <c r="AW341" s="257">
        <f>IFERROR(IF(COUNT(AW338,AW339,AW340)=3,AW338*AW339*AW340,""),"")</f>
        <v>0.219657002591061</v>
      </c>
      <c r="AX341" s="257">
        <f>IFERROR(IF(COUNT(AX338,AX339,AX340)=3,AX338*AX339*AX340,""),"")</f>
        <v>0.213511562567538</v>
      </c>
      <c r="AY341" s="257">
        <f>IFERROR(IF(COUNT(AY338,AY339,AY340)=3,AY338*AY339*AY340,""),"")</f>
        <v>0.209633988599598</v>
      </c>
      <c r="AZ341" s="257">
        <f>IFERROR(IF(COUNT(AZ338,AZ339,AZ340)=3,AZ338*AZ339*AZ340,""),"")</f>
        <v>0.204718620378023</v>
      </c>
      <c r="BA341" s="258">
        <f>IFERROR(IF(COUNT(BA338,BA339,BA340)=3,BA338*BA339*BA340,""),"")</f>
        <v>0.204718620378023</v>
      </c>
      <c r="BB341" s="257">
        <f>IFERROR(IF(COUNT(BB338,BB339,BB340)=3,BB338*BB339*BB340,""),"")</f>
        <v>0.200932021066872</v>
      </c>
      <c r="BC341" s="257">
        <f>IFERROR(IF(COUNT(BC338,BC339,BC340)=3,BC338*BC339*BC340,""),"")</f>
        <v>0.196205970176314</v>
      </c>
      <c r="BD341" s="257">
        <f>IFERROR(IF(COUNT(BD338,BD339,BD340)=3,BD338*BD339*BD340,""),"")</f>
        <v>0.193195112037322</v>
      </c>
      <c r="BE341" s="257">
        <f>IFERROR(IF(COUNT(BE338,BE339,BE340)=3,BE338*BE339*BE340,""),"")</f>
        <v>0.189345853406423</v>
      </c>
      <c r="BF341" s="258">
        <f>IFERROR(IF(COUNT(BF338,BF339,BF340)=3,BF338*BF339*BF340,""),"")</f>
        <v>0.189345853406423</v>
      </c>
      <c r="BG341" s="81" t="n"/>
      <c r="BH341" s="81" t="n"/>
      <c r="BI341" s="81" t="n"/>
      <c r="BJ341" s="81" t="n"/>
      <c r="BL341" s="81" t="n"/>
      <c r="BM341" s="81" t="n"/>
      <c r="BN341" s="81" t="n"/>
      <c r="BO341" s="81" t="n"/>
      <c r="BQ341" s="81" t="n"/>
      <c r="BR341" s="81" t="n"/>
      <c r="BS341" s="81" t="n"/>
      <c r="BT341" s="81" t="n"/>
      <c r="BV341" s="81" t="n"/>
      <c r="BW341" s="81" t="n"/>
      <c r="BX341" s="81" t="n"/>
      <c r="BY341" s="81" t="n"/>
      <c r="CA341" s="81" t="n"/>
      <c r="CB341" s="81" t="n"/>
      <c r="CC341" s="81" t="n"/>
      <c r="CD341" s="81" t="n"/>
      <c r="CF341" s="81" t="n"/>
      <c r="CG341" s="81" t="n"/>
      <c r="CH341" s="81" t="n"/>
      <c r="CI341" s="81" t="n"/>
      <c r="CK341" s="81" t="n"/>
      <c r="CL341" s="81" t="n"/>
      <c r="CM341" s="81" t="n"/>
      <c r="CN341" s="81" t="n"/>
      <c r="CP341" s="81" t="n"/>
      <c r="CQ341" s="81" t="n"/>
      <c r="CR341" s="81" t="n"/>
      <c r="CS341" s="81" t="n"/>
      <c r="CU341" s="81" t="n"/>
      <c r="CV341" s="81" t="n"/>
      <c r="CW341" s="81" t="n"/>
      <c r="CX341" s="81" t="n"/>
    </row>
    <row r="342" customFormat="1" s="77">
      <c r="A342" s="76" t="n"/>
      <c r="B342" s="76" t="n"/>
      <c r="C342" s="77" t="inlineStr">
        <is>
          <t>ROE (LTM)</t>
        </is>
      </c>
      <c r="D342" s="84" t="str">
        <f>IFERROR(D111/D245,"")</f>
        <v/>
      </c>
      <c r="E342" s="84" t="str">
        <f>IFERROR(E111/E245,"")</f>
        <v/>
      </c>
      <c r="F342" s="84" t="str">
        <f>IFERROR(F111/F245,"")</f>
        <v/>
      </c>
      <c r="G342" s="84" t="str">
        <f>IFERROR(G111/G245,"")</f>
        <v/>
      </c>
      <c r="H342" s="258" t="str">
        <f>IFERROR(IF(AND(COUNT(H111)=1,N(H245)&lt;&gt;0),(H111)/H245,""),"")</f>
        <v/>
      </c>
      <c r="I342" s="257" t="str">
        <f>""</f>
        <v/>
      </c>
      <c r="J342" s="257" t="str">
        <f>""</f>
        <v/>
      </c>
      <c r="K342" s="257" t="str">
        <f>""</f>
        <v/>
      </c>
      <c r="L342" s="257">
        <f>IFERROR(IF(AND(COUNT(I111,J111,K111,L111)=4,N(L245)&lt;&gt;0),(I111+J111+K111+L111)/L245,""),"")</f>
        <v>0.269850943833806</v>
      </c>
      <c r="M342" s="258">
        <f>IFERROR(IF(AND(COUNT(I111,J111,K111,L111)=4,N(M245)&lt;&gt;0),(I111+J111+K111+L111)/M245,""),"")</f>
        <v>0.269850943833806</v>
      </c>
      <c r="N342" s="257">
        <f>IFERROR(IF(AND(COUNT(J111,K111,L111,N111)=4,N(N245)&lt;&gt;0),(J111+K111+L111+N111)/N245,""),"")</f>
        <v>0.239485298947751</v>
      </c>
      <c r="O342" s="257">
        <f>IFERROR(IF(AND(COUNT(K111,L111,N111,O111)=4,N(O245)&lt;&gt;0),(K111+L111+N111+O111)/O245,""),"")</f>
        <v>0.186923956194445</v>
      </c>
      <c r="P342" s="257">
        <f>IFERROR(IF(AND(COUNT(L111,N111,O111,P111)=4,N(P245)&lt;&gt;0),(L111+N111+O111+P111)/P245,""),"")</f>
        <v>0.131147935548255</v>
      </c>
      <c r="Q342" s="257">
        <f>IFERROR(IF(AND(COUNT(N111,O111,P111,Q111)=4,N(Q245)&lt;&gt;0),(N111+O111+P111+Q111)/Q245,""),"")</f>
        <v>0.0887975738307278</v>
      </c>
      <c r="R342" s="258">
        <f>IFERROR(IF(AND(COUNT(N111,O111,P111,Q111)=4,N(R245)&lt;&gt;0),(N111+O111+P111+Q111)/R245,""),"")</f>
        <v>0.0887975738307278</v>
      </c>
      <c r="S342" s="257">
        <f>IFERROR(IF(AND(COUNT(O111,P111,Q111,S111)=4,N(S245)&lt;&gt;0),(O111+P111+Q111+S111)/S245,""),"")</f>
        <v>0.0329472462203745</v>
      </c>
      <c r="T342" s="257">
        <f>IFERROR(IF(AND(COUNT(P111,Q111,S111,T111)=4,N(T245)&lt;&gt;0),(P111+Q111+S111+T111)/T245,""),"")</f>
        <v>0.0653328813802944</v>
      </c>
      <c r="U342" s="257">
        <f>IFERROR(IF(AND(COUNT(Q111,S111,T111,U111)=4,N(U245)&lt;&gt;0),(Q111+S111+T111+U111)/U245,""),"")</f>
        <v>0.0955271198802002</v>
      </c>
      <c r="V342" s="257">
        <f>IFERROR(IF(AND(COUNT(S111,T111,U111,V111)=4,N(V245)&lt;&gt;0),(S111+T111+U111+V111)/V245,""),"")</f>
        <v>0.0769495730451656</v>
      </c>
      <c r="W342" s="258">
        <f>IFERROR(IF(AND(COUNT(S111,T111,U111,V111)=4,N(W245)&lt;&gt;0),(S111+T111+U111+V111)/W245,""),"")</f>
        <v>0.0769495730451656</v>
      </c>
      <c r="X342" s="257">
        <f>IFERROR(IF(AND(COUNT(T111,U111,V111,X111)=4,N(X245)&lt;&gt;0),(T111+U111+V111+X111)/X245,""),"")</f>
        <v>0.11649095864718</v>
      </c>
      <c r="Y342" s="257">
        <f>IFERROR(IF(AND(COUNT(U111,V111,X111,Y111)=4,N(Y245)&lt;&gt;0),(U111+V111+X111+Y111)/Y245,""),"")</f>
        <v>0.106863150657093</v>
      </c>
      <c r="Z342" s="257">
        <f>IFERROR(IF(AND(COUNT(V111,X111,Y111,Z111)=4,N(Z245)&lt;&gt;0),(V111+X111+Y111+Z111)/Z245,""),"")</f>
        <v>0.114279051757722</v>
      </c>
      <c r="AA342" s="257">
        <f>IFERROR(IF(AND(COUNT(X111,Y111,Z111,AA111)=4,N(AA245)&lt;&gt;0),(X111+Y111+Z111+AA111)/AA245,""),"")</f>
        <v>0.14242143440259</v>
      </c>
      <c r="AB342" s="258">
        <f>IFERROR(IF(AND(COUNT(X111,Y111,Z111,AA111)=4,N(AB245)&lt;&gt;0),(X111+Y111+Z111+AA111)/AB245,""),"")</f>
        <v>0.14242143440259</v>
      </c>
      <c r="AC342" s="257">
        <f>IFERROR(IF(AND(COUNT(Y111,Z111,AA111,AC111)=4,N(AC245)&lt;&gt;0),(Y111+Z111+AA111+AC111)/AC245,""),"")</f>
        <v>0.128063751431356</v>
      </c>
      <c r="AD342" s="257">
        <f>IFERROR(IF(AND(COUNT(Z111,AA111,AC111,AD111)=4,N(AD245)&lt;&gt;0),(Z111+AA111+AC111+AD111)/AD245,""),"")</f>
        <v>0.135861298133487</v>
      </c>
      <c r="AE342" s="257">
        <f>IFERROR(IF(AND(COUNT(AA111,AC111,AD111,AE111)=4,N(AE245)&lt;&gt;0),(AA111+AC111+AD111+AE111)/AE245,""),"")</f>
        <v>0.126765137239571</v>
      </c>
      <c r="AF342" s="257">
        <f>IFERROR(IF(AND(COUNT(AB111,AD111,AE111,AF111)=4,N(AF245)&lt;&gt;0),(AB111+AD111+AE111+AF111)/AF245,""),"")</f>
        <v>0.236772966274384</v>
      </c>
      <c r="AG342" s="258">
        <f>IFERROR(IF(AND(COUNT(AC111,AD111,AE111,AF111)=4,N(AG245)&lt;&gt;0),(AC111+AD111+AE111+AF111)/AG245,""),"")</f>
        <v>0.137982279925408</v>
      </c>
      <c r="AH342" s="257">
        <f>IFERROR(IF(AND(COUNT(AD111,AF111,AG111,AH111)=4,N(AH245)&lt;&gt;0),(AD111+AF111+AG111+AH111)/AH245,""),"")</f>
        <v>0.254398913073067</v>
      </c>
      <c r="AI342" s="257">
        <f>IFERROR(IF(AND(COUNT(AE111,AG111,AH111,AI111)=4,N(AI245)&lt;&gt;0),(AE111+AG111+AH111+AI111)/AI245,""),"")</f>
        <v>0.246199476954453</v>
      </c>
      <c r="AJ342" s="257">
        <f>IFERROR(IF(AND(COUNT(AF111,AH111,AI111,AJ111)=4,N(AJ245)&lt;&gt;0),(AF111+AH111+AI111+AJ111)/AJ245,""),"")</f>
        <v>0.186267150043966</v>
      </c>
      <c r="AK342" s="257">
        <f>IFERROR(IF(AND(COUNT(AH111,AI111,AJ111,AK111)=4,N(AK245)&lt;&gt;0),(AH111+AI111+AJ111+AK111)/AK245,""),"")</f>
        <v>0.216681817387855</v>
      </c>
      <c r="AL342" s="258">
        <f>IFERROR(IF(AND(COUNT(AH111,AI111,AJ111,AK111)=4,N(AL245)&lt;&gt;0),(AH111+AI111+AJ111+AK111)/AL245,""),"")</f>
        <v>0.216681817387855</v>
      </c>
      <c r="AM342" s="257">
        <f>IFERROR(IF(AND(COUNT(AI111,AJ111,AK111,AM111)=4,N(AM245)&lt;&gt;0),(AI111+AJ111+AK111+AM111)/AM245,""),"")</f>
        <v>0.245108417197866</v>
      </c>
      <c r="AN342" s="257">
        <f>IFERROR(IF(AND(COUNT(AJ111,AK111,AM111,AN111)=4,N(AN245)&lt;&gt;0),(AJ111+AK111+AM111+AN111)/AN245,""),"")</f>
        <v>0.268480562665568</v>
      </c>
      <c r="AO342" s="257">
        <f>IFERROR(IF(AND(COUNT(AK111,AM111,AN111,AO111)=4,N(AO245)&lt;&gt;0),(AK111+AM111+AN111+AO111)/AO245,""),"")</f>
        <v>0.260979227631691</v>
      </c>
      <c r="AP342" s="257">
        <f>IFERROR(IF(AND(COUNT(AM111,AN111,AO111,AP111)=4,N(AP245)&lt;&gt;0),(AM111+AN111+AO111+AP111)/AP245,""),"")</f>
        <v>0.251718356234038</v>
      </c>
      <c r="AQ342" s="258">
        <f>IFERROR(IF(AND(COUNT(AM111,AN111,AO111,AP111)=4,N(AQ245)&lt;&gt;0),(AM111+AN111+AO111+AP111)/AQ245,""),"")</f>
        <v>0.251718356234038</v>
      </c>
      <c r="AR342" s="257">
        <f>IFERROR(IF(AND(COUNT(AN111,AO111,AP111,AR111)=4,N(AR245)&lt;&gt;0),(AN111+AO111+AP111+AR111)/AR245,""),"")</f>
        <v>0.24482056187769</v>
      </c>
      <c r="AS342" s="257">
        <f>IFERROR(IF(AND(COUNT(AO111,AP111,AR111,AS111)=4,N(AS245)&lt;&gt;0),(AO111+AP111+AR111+AS111)/AS245,""),"")</f>
        <v>0.236423062361426</v>
      </c>
      <c r="AT342" s="257">
        <f>IFERROR(IF(AND(COUNT(AP111,AR111,AS111,AT111)=4,N(AT245)&lt;&gt;0),(AP111+AR111+AS111+AT111)/AT245,""),"")</f>
        <v>0.231191705150733</v>
      </c>
      <c r="AU342" s="257">
        <f>IFERROR(IF(AND(COUNT(AR111,AS111,AT111,AU111)=4,N(AU245)&lt;&gt;0),(AR111+AS111+AT111+AU111)/AU245,""),"")</f>
        <v>0.224633547232418</v>
      </c>
      <c r="AV342" s="258">
        <f>IFERROR(IF(AND(COUNT(AR111,AS111,AT111,AU111)=4,N(AV245)&lt;&gt;0),(AR111+AS111+AT111+AU111)/AV245,""),"")</f>
        <v>0.224633547232418</v>
      </c>
      <c r="AW342" s="257">
        <f>IFERROR(IF(AND(COUNT(AS111,AT111,AU111,AW111)=4,N(AW245)&lt;&gt;0),(AS111+AT111+AU111+AW111)/AW245,""),"")</f>
        <v>0.219657002591061</v>
      </c>
      <c r="AX342" s="257">
        <f>IFERROR(IF(AND(COUNT(AT111,AU111,AW111,AX111)=4,N(AX245)&lt;&gt;0),(AT111+AU111+AW111+AX111)/AX245,""),"")</f>
        <v>0.213511562567538</v>
      </c>
      <c r="AY342" s="257">
        <f>IFERROR(IF(AND(COUNT(AU111,AW111,AX111,AY111)=4,N(AY245)&lt;&gt;0),(AU111+AW111+AX111+AY111)/AY245,""),"")</f>
        <v>0.209633988599598</v>
      </c>
      <c r="AZ342" s="257">
        <f>IFERROR(IF(AND(COUNT(AW111,AX111,AY111,AZ111)=4,N(AZ245)&lt;&gt;0),(AW111+AX111+AY111+AZ111)/AZ245,""),"")</f>
        <v>0.204718620378023</v>
      </c>
      <c r="BA342" s="258">
        <f>IFERROR(IF(AND(COUNT(AW111,AX111,AY111,AZ111)=4,N(BA245)&lt;&gt;0),(AW111+AX111+AY111+AZ111)/BA245,""),"")</f>
        <v>0.204718620378023</v>
      </c>
      <c r="BB342" s="257">
        <f>IFERROR(IF(AND(COUNT(AX111,AY111,AZ111,BB111)=4,N(BB245)&lt;&gt;0),(AX111+AY111+AZ111+BB111)/BB245,""),"")</f>
        <v>0.200932021066872</v>
      </c>
      <c r="BC342" s="257">
        <f>IFERROR(IF(AND(COUNT(AY111,AZ111,BB111,BC111)=4,N(BC245)&lt;&gt;0),(AY111+AZ111+BB111+BC111)/BC245,""),"")</f>
        <v>0.196205970176314</v>
      </c>
      <c r="BD342" s="257">
        <f>IFERROR(IF(AND(COUNT(AZ111,BB111,BC111,BD111)=4,N(BD245)&lt;&gt;0),(AZ111+BB111+BC111+BD111)/BD245,""),"")</f>
        <v>0.193195112037322</v>
      </c>
      <c r="BE342" s="257">
        <f>IFERROR(IF(AND(COUNT(BB111,BC111,BD111,BE111)=4,N(BE245)&lt;&gt;0),(BB111+BC111+BD111+BE111)/BE245,""),"")</f>
        <v>0.189345853406423</v>
      </c>
      <c r="BF342" s="258">
        <f>IFERROR(IF(AND(COUNT(BB111,BC111,BD111,BE111)=4,N(BF245)&lt;&gt;0),(BB111+BC111+BD111+BE111)/BF245,""),"")</f>
        <v>0.189345853406423</v>
      </c>
      <c r="BG342" s="81" t="n"/>
      <c r="BH342" s="81" t="n"/>
      <c r="BI342" s="81" t="n"/>
      <c r="BJ342" s="81" t="n"/>
      <c r="BL342" s="81" t="n"/>
      <c r="BM342" s="81" t="n"/>
      <c r="BN342" s="81" t="n"/>
      <c r="BO342" s="81" t="n"/>
      <c r="BQ342" s="81" t="n"/>
      <c r="BR342" s="81" t="n"/>
      <c r="BS342" s="81" t="n"/>
      <c r="BT342" s="81" t="n"/>
      <c r="BV342" s="81" t="n"/>
      <c r="BW342" s="81" t="n"/>
      <c r="BX342" s="81" t="n"/>
      <c r="BY342" s="81" t="n"/>
      <c r="CA342" s="81" t="n"/>
      <c r="CB342" s="81" t="n"/>
      <c r="CC342" s="81" t="n"/>
      <c r="CD342" s="81" t="n"/>
      <c r="CF342" s="81" t="n"/>
      <c r="CG342" s="81" t="n"/>
      <c r="CH342" s="81" t="n"/>
      <c r="CI342" s="81" t="n"/>
      <c r="CK342" s="81" t="n"/>
      <c r="CL342" s="81" t="n"/>
      <c r="CM342" s="81" t="n"/>
      <c r="CN342" s="81" t="n"/>
      <c r="CP342" s="81" t="n"/>
      <c r="CQ342" s="81" t="n"/>
      <c r="CR342" s="81" t="n"/>
      <c r="CS342" s="81" t="n"/>
      <c r="CU342" s="81" t="n"/>
      <c r="CV342" s="81" t="n"/>
      <c r="CW342" s="81" t="n"/>
      <c r="CX342" s="81" t="n"/>
    </row>
    <row r="343"/>
    <row r="344">
      <c r="C344" s="73" t="inlineStr">
        <is>
          <t>Scenario Analysis</t>
        </is>
      </c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  <c r="AM344" s="73" t="n"/>
      <c r="AN344" s="73" t="n"/>
      <c r="AO344" s="73" t="n"/>
      <c r="AP344" s="73" t="n"/>
      <c r="AQ344" s="73" t="n"/>
      <c r="AR344" s="73" t="n"/>
      <c r="AS344" s="73" t="n"/>
      <c r="AT344" s="73" t="n"/>
      <c r="AU344" s="73" t="n"/>
      <c r="AV344" s="73" t="n"/>
      <c r="AW344" s="73" t="n"/>
      <c r="AX344" s="73" t="n"/>
      <c r="AY344" s="73" t="n"/>
      <c r="AZ344" s="73" t="n"/>
      <c r="BA344" s="73" t="n"/>
      <c r="BB344" s="73" t="n"/>
      <c r="BC344" s="73" t="n"/>
      <c r="BD344" s="73" t="n"/>
      <c r="BE344" s="73" t="n"/>
      <c r="BF344" s="73" t="n"/>
      <c r="BG344" s="73" t="n"/>
      <c r="BH344" s="73" t="n"/>
      <c r="BI344" s="73" t="n"/>
      <c r="BJ344" s="73" t="n"/>
      <c r="BK344" s="73" t="n"/>
      <c r="BL344" s="73" t="n"/>
      <c r="BM344" s="73" t="n"/>
      <c r="BN344" s="73" t="n"/>
      <c r="BO344" s="73" t="n"/>
      <c r="BP344" s="73" t="n"/>
      <c r="BQ344" s="73" t="n"/>
      <c r="BR344" s="73" t="n"/>
      <c r="BS344" s="73" t="n"/>
      <c r="BT344" s="73" t="n"/>
      <c r="BU344" s="73" t="n"/>
      <c r="BV344" s="73" t="n"/>
      <c r="BW344" s="73" t="n"/>
      <c r="BX344" s="73" t="n"/>
      <c r="BY344" s="73" t="n"/>
      <c r="BZ344" s="73" t="n"/>
      <c r="CA344" s="73" t="n"/>
      <c r="CB344" s="73" t="n"/>
      <c r="CC344" s="73" t="n"/>
      <c r="CD344" s="73" t="n"/>
      <c r="CE344" s="73" t="n"/>
      <c r="CF344" s="73" t="n"/>
      <c r="CG344" s="73" t="n"/>
      <c r="CH344" s="73" t="n"/>
      <c r="CI344" s="73" t="n"/>
      <c r="CJ344" s="73" t="n"/>
      <c r="CK344" s="73" t="n"/>
      <c r="CL344" s="73" t="n"/>
      <c r="CM344" s="73" t="n"/>
      <c r="CN344" s="73" t="n"/>
      <c r="CO344" s="73" t="n"/>
      <c r="CP344" s="73" t="n"/>
      <c r="CQ344" s="73" t="n"/>
      <c r="CR344" s="73" t="n"/>
      <c r="CS344" s="73" t="n"/>
      <c r="CT344" s="73" t="n"/>
      <c r="CU344" s="73" t="n"/>
      <c r="CV344" s="73" t="n"/>
      <c r="CW344" s="73" t="n"/>
      <c r="CX344" s="73" t="n"/>
      <c r="CY344" s="73" t="n"/>
    </row>
    <row r="345"/>
    <row r="346"/>
    <row r="347">
      <c r="C347" s="4" t="inlineStr">
        <is>
          <t>Bull case</t>
        </is>
      </c>
    </row>
    <row r="348">
      <c r="C348" s="4" t="inlineStr">
        <is>
          <t>Base case</t>
        </is>
      </c>
    </row>
    <row r="349">
      <c r="C349" s="4" t="inlineStr">
        <is>
          <t>Bear case</t>
        </is>
      </c>
    </row>
    <row r="350"/>
    <row r="351"/>
    <row r="352">
      <c r="C352" s="4" t="inlineStr">
        <is>
          <t>Bull case</t>
        </is>
      </c>
    </row>
    <row r="353">
      <c r="C353" s="4" t="inlineStr">
        <is>
          <t>Base case</t>
        </is>
      </c>
    </row>
    <row r="354">
      <c r="C354" s="4" t="inlineStr">
        <is>
          <t>Bear case</t>
        </is>
      </c>
    </row>
    <row r="355"/>
    <row r="356"/>
    <row r="357">
      <c r="C357" s="4" t="inlineStr">
        <is>
          <t>% Gross Margin</t>
        </is>
      </c>
    </row>
    <row r="358">
      <c r="C358" s="4" t="inlineStr">
        <is>
          <t>Bull case</t>
        </is>
      </c>
    </row>
    <row r="359">
      <c r="C359" s="4" t="inlineStr">
        <is>
          <t>Base case</t>
        </is>
      </c>
    </row>
    <row r="360">
      <c r="C360" s="4" t="inlineStr">
        <is>
          <t>Bear case</t>
        </is>
      </c>
    </row>
    <row r="361"/>
    <row r="362"/>
    <row r="363">
      <c r="C363" s="4" t="inlineStr">
        <is>
          <t>Capital expenditures</t>
        </is>
      </c>
    </row>
    <row r="364">
      <c r="C364" s="4" t="inlineStr">
        <is>
          <t>Bull case</t>
        </is>
      </c>
    </row>
    <row r="365">
      <c r="C365" s="4" t="inlineStr">
        <is>
          <t>Base case</t>
        </is>
      </c>
    </row>
    <row r="366">
      <c r="C366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289:G289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289:L289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289:Q289">
    <cfRule type="cellIs" priority="22" operator="notEqual" dxfId="0">
      <formula>0</formula>
    </cfRule>
  </conditionalFormatting>
  <conditionalFormatting sqref="S289:V289">
    <cfRule type="cellIs" priority="21" operator="notEqual" dxfId="0">
      <formula>0</formula>
    </cfRule>
  </conditionalFormatting>
  <conditionalFormatting sqref="X289:AA289">
    <cfRule type="cellIs" priority="20" operator="notEqual" dxfId="0">
      <formula>0</formula>
    </cfRule>
  </conditionalFormatting>
  <conditionalFormatting sqref="AC289:AF289">
    <cfRule type="cellIs" priority="19" operator="notEqual" dxfId="0">
      <formula>0</formula>
    </cfRule>
  </conditionalFormatting>
  <conditionalFormatting sqref="AH289:AK289">
    <cfRule type="cellIs" priority="15" operator="notEqual" dxfId="0">
      <formula>0</formula>
    </cfRule>
  </conditionalFormatting>
  <conditionalFormatting sqref="AM289:AP289">
    <cfRule type="cellIs" priority="14" operator="notEqual" dxfId="0">
      <formula>0</formula>
    </cfRule>
  </conditionalFormatting>
  <conditionalFormatting sqref="AR289:AU289">
    <cfRule type="cellIs" priority="13" operator="notEqual" dxfId="0">
      <formula>0</formula>
    </cfRule>
  </conditionalFormatting>
  <conditionalFormatting sqref="AW289:AZ289">
    <cfRule type="cellIs" priority="12" operator="notEqual" dxfId="0">
      <formula>0</formula>
    </cfRule>
  </conditionalFormatting>
  <conditionalFormatting sqref="BB289:BE289">
    <cfRule type="cellIs" priority="11" operator="notEqual" dxfId="0">
      <formula>0</formula>
    </cfRule>
  </conditionalFormatting>
  <conditionalFormatting sqref="BG289:BJ289">
    <cfRule type="cellIs" priority="10" operator="notEqual" dxfId="0">
      <formula>0</formula>
    </cfRule>
  </conditionalFormatting>
  <conditionalFormatting sqref="BL289:BO289">
    <cfRule type="cellIs" priority="9" operator="notEqual" dxfId="0">
      <formula>0</formula>
    </cfRule>
  </conditionalFormatting>
  <conditionalFormatting sqref="BQ289:BT289">
    <cfRule type="cellIs" priority="8" operator="notEqual" dxfId="0">
      <formula>0</formula>
    </cfRule>
  </conditionalFormatting>
  <conditionalFormatting sqref="BV289:BY289">
    <cfRule type="cellIs" priority="7" operator="notEqual" dxfId="0">
      <formula>0</formula>
    </cfRule>
  </conditionalFormatting>
  <conditionalFormatting sqref="CA289:CD289">
    <cfRule type="cellIs" priority="6" operator="notEqual" dxfId="0">
      <formula>0</formula>
    </cfRule>
  </conditionalFormatting>
  <conditionalFormatting sqref="CF289:CI289">
    <cfRule type="cellIs" priority="5" operator="notEqual" dxfId="0">
      <formula>0</formula>
    </cfRule>
  </conditionalFormatting>
  <conditionalFormatting sqref="CK289:CN289">
    <cfRule type="cellIs" priority="4" operator="notEqual" dxfId="0">
      <formula>0</formula>
    </cfRule>
  </conditionalFormatting>
  <conditionalFormatting sqref="CP289:CS289">
    <cfRule type="cellIs" priority="3" operator="notEqual" dxfId="0">
      <formula>0</formula>
    </cfRule>
  </conditionalFormatting>
  <conditionalFormatting sqref="CU289:CX289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BX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8022.841</v>
      </c>
      <c r="E18" s="113">
        <f>IFERROR(Model!AB15,"")</f>
        <v>13229.968</v>
      </c>
      <c r="F18" s="113">
        <f>IFERROR(Model!AG15,"")</f>
        <v>14450.265</v>
      </c>
      <c r="G18" s="113">
        <f>IFERROR(Model!AL15,"")</f>
        <v>17272.0632974736</v>
      </c>
      <c r="H18" s="113">
        <f>IFERROR(Model!AQ15,"")</f>
        <v>19965.4705637008</v>
      </c>
      <c r="I18" s="113">
        <f>IFERROR(Model!AV15,"")</f>
        <v>22979.0606737389</v>
      </c>
      <c r="J18" s="113">
        <f>IFERROR(Model!BA15,"")</f>
        <v>26332.6270709548</v>
      </c>
      <c r="K18" s="113">
        <f>IFERROR(Model!BF15,"")</f>
        <v>30043.9501459324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0.649037790977037</v>
      </c>
      <c r="F19" s="117">
        <f>IFERROR(IF(E18=0,"",F18/E18-1),"")</f>
        <v>0.0922373357214468</v>
      </c>
      <c r="G19" s="117">
        <f>IFERROR(IF(F18=0,"",G18/F18-1),"")</f>
        <v>0.195276577797954</v>
      </c>
      <c r="H19" s="117">
        <f>IFERROR(IF(G18=0,"",H18/G18-1),"")</f>
        <v>0.155940099329143</v>
      </c>
      <c r="I19" s="117">
        <f>IFERROR(IF(H18=0,"",I18/H18-1),"")</f>
        <v>0.150940099329143</v>
      </c>
      <c r="J19" s="117">
        <f>IFERROR(IF(I18=0,"",J18/I18-1),"")</f>
        <v>0.145940099329143</v>
      </c>
      <c r="K19" s="117">
        <f>IFERROR(IF(J18=0,"",K18/J18-1),"")</f>
        <v>0.140940099329143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IFERROR(Model!W43,"")</f>
        <v>3513.677</v>
      </c>
      <c r="E20" s="113">
        <f>IFERROR(Model!AB43,"")</f>
        <v>6890.332</v>
      </c>
      <c r="F20" s="113">
        <f>IFERROR(Model!AG43,"")</f>
        <v>7292.046</v>
      </c>
      <c r="G20" s="113">
        <f>IFERROR(Model!AL43,"")</f>
        <v>8595.71836551797</v>
      </c>
      <c r="H20" s="113">
        <f>IFERROR(Model!AQ43,"")</f>
        <v>9905.50789856759</v>
      </c>
      <c r="I20" s="113">
        <f>IFERROR(Model!AV43,"")</f>
        <v>11400.646244683</v>
      </c>
      <c r="J20" s="113">
        <f>IFERROR(Model!BA43,"")</f>
        <v>13064.4576900485</v>
      </c>
      <c r="K20" s="113">
        <f>IFERROR(Model!BF43,"")</f>
        <v>14905.7636545653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0.437959196748384</v>
      </c>
      <c r="E21" s="122">
        <f>IFERROR(IF(E18=0,"",E20/E18),"")</f>
        <v>0.520812446409545</v>
      </c>
      <c r="F21" s="122">
        <f>IFERROR(IF(F18=0,"",F20/F18),"")</f>
        <v>0.504630607120354</v>
      </c>
      <c r="G21" s="122">
        <f>IFERROR(IF(G18=0,"",G20/G18),"")</f>
        <v>0.497665983355637</v>
      </c>
      <c r="H21" s="122">
        <f>IFERROR(IF(H18=0,"",H20/H18),"")</f>
        <v>0.496131952761323</v>
      </c>
      <c r="I21" s="122">
        <f>IFERROR(IF(I18=0,"",I20/I18),"")</f>
        <v>0.496131952761323</v>
      </c>
      <c r="J21" s="122">
        <f>IFERROR(IF(J18=0,"",J20/J18),"")</f>
        <v>0.496131952761323</v>
      </c>
      <c r="K21" s="122">
        <f>IFERROR(IF(K18=0,"",K20/K18),"")</f>
        <v>0.496131952761323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IFERROR(Model!W47,"")</f>
        <v>3473.579</v>
      </c>
      <c r="E22" s="113">
        <f>IFERROR(Model!AB47,"")</f>
        <v>6854.33</v>
      </c>
      <c r="F22" s="113">
        <f>IFERROR(Model!AG47,"")</f>
        <v>7255.972</v>
      </c>
      <c r="G22" s="113">
        <f>IFERROR(Model!AL47,"")</f>
        <v>8556.96713741103</v>
      </c>
      <c r="H22" s="113">
        <f>IFERROR(Model!AQ47,"")</f>
        <v>9857.47239441268</v>
      </c>
      <c r="I22" s="113">
        <f>IFERROR(Model!AV47,"")</f>
        <v>11345.3602567596</v>
      </c>
      <c r="J22" s="113">
        <f>IFERROR(Model!BA47,"")</f>
        <v>13001.103259556</v>
      </c>
      <c r="K22" s="113">
        <f>IFERROR(Model!BF47,"")</f>
        <v>14833.4800443463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0.432961216606437</v>
      </c>
      <c r="E23" s="122">
        <f>IFERROR(IF(E18=0,"",E22/E18),"")</f>
        <v>0.51809120022059</v>
      </c>
      <c r="F23" s="122">
        <f>IFERROR(IF(F18=0,"",F22/F18),"")</f>
        <v>0.502134182314304</v>
      </c>
      <c r="G23" s="122">
        <f>IFERROR(IF(G18=0,"",G22/G18),"")</f>
        <v>0.495422404957414</v>
      </c>
      <c r="H23" s="122">
        <f>IFERROR(IF(H18=0,"",H22/H18),"")</f>
        <v>0.493726023785011</v>
      </c>
      <c r="I23" s="122">
        <f>IFERROR(IF(I18=0,"",I22/I18),"")</f>
        <v>0.493726023785011</v>
      </c>
      <c r="J23" s="122">
        <f>IFERROR(IF(J18=0,"",J22/J18),"")</f>
        <v>0.493726023785011</v>
      </c>
      <c r="K23" s="122">
        <f>IFERROR(IF(K18=0,"",K22/K18),"")</f>
        <v>0.493726023785011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IFERROR(Model!W106,"")</f>
        <v>0.173600625347819</v>
      </c>
      <c r="E24" s="125">
        <f>IFERROR(Model!AB106,"")</f>
        <v>0.158166137212283</v>
      </c>
      <c r="F24" s="125">
        <f>IFERROR(Model!AG106,"")</f>
        <v>0.156870961003931</v>
      </c>
      <c r="G24" s="125">
        <f>IFERROR(Model!AL106,"")</f>
        <v>0.153074905056024</v>
      </c>
      <c r="H24" s="125">
        <f>IFERROR(Model!AQ106,"")</f>
        <v>0.153764070205978</v>
      </c>
      <c r="I24" s="125">
        <f>IFERROR(Model!AV106,"")</f>
        <v>0.153764070205978</v>
      </c>
      <c r="J24" s="125">
        <f>IFERROR(Model!BA106,"")</f>
        <v>0.153764070205978</v>
      </c>
      <c r="K24" s="125">
        <f>IFERROR(Model!BF106,"")</f>
        <v>0.153764070205978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2870.56351340495</v>
      </c>
      <c r="E25" s="127">
        <f>IFERROR(E22*(1-E24),"")</f>
        <v>5770.20710072173</v>
      </c>
      <c r="F25" s="127">
        <f>IFERROR(F22*(1-F24),"")</f>
        <v>6117.72069934238</v>
      </c>
      <c r="G25" s="127">
        <f>IFERROR(G22*(1-G24),"")</f>
        <v>7247.11020528432</v>
      </c>
      <c r="H25" s="127">
        <f>IFERROR(H22*(1-H24),"")</f>
        <v>8341.74731710472</v>
      </c>
      <c r="I25" s="127">
        <f>IFERROR(I22*(1-I24),"")</f>
        <v>9600.85148572712</v>
      </c>
      <c r="J25" s="127">
        <f>IFERROR(J22*(1-J24),"")</f>
        <v>11002.0007051985</v>
      </c>
      <c r="K25" s="127">
        <f>IFERROR(K22*(1-K24),"")</f>
        <v>12552.6237774085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IFERROR(-Model!W44,"")</f>
        <v>40.098</v>
      </c>
      <c r="E26" s="130">
        <f>IFERROR(-Model!AB44,"")</f>
        <v>36.002</v>
      </c>
      <c r="F26" s="130">
        <f>IFERROR(-Model!AG44,"")</f>
        <v>36.074</v>
      </c>
      <c r="G26" s="130">
        <f>IFERROR(-Model!AL44,"")</f>
        <v>38.7512281069433</v>
      </c>
      <c r="H26" s="130">
        <f>IFERROR(-Model!AQ44,"")</f>
        <v>48.0355041549082</v>
      </c>
      <c r="I26" s="130">
        <f>IFERROR(-Model!AV44,"")</f>
        <v>55.2859879233755</v>
      </c>
      <c r="J26" s="130">
        <f>IFERROR(-Model!BA44,"")</f>
        <v>63.3544304924227</v>
      </c>
      <c r="K26" s="130">
        <f>IFERROR(-Model!BF44,"")</f>
        <v>72.283610218966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IFERROR(Model!W253,"")</f>
        <v>237.962999999999</v>
      </c>
      <c r="E27" s="133">
        <f>IFERROR(Model!AB253,"")</f>
        <v>-2442.179</v>
      </c>
      <c r="F27" s="133">
        <f>IFERROR(Model!AG253,"")</f>
        <v>-1842.101</v>
      </c>
      <c r="G27" s="133">
        <f>IFERROR(Model!AL253,"")</f>
        <v>-708.627000000003</v>
      </c>
      <c r="H27" s="133">
        <f>IFERROR(Model!AQ253,"")</f>
        <v>0</v>
      </c>
      <c r="I27" s="133">
        <f>IFERROR(Model!AV253,"")</f>
        <v>0</v>
      </c>
      <c r="J27" s="133">
        <f>IFERROR(Model!BA253,"")</f>
        <v>0</v>
      </c>
      <c r="K27" s="133">
        <f>IFERROR(Model!BF253,"")</f>
        <v>0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IFERROR(Model!W254,"")</f>
        <v>0</v>
      </c>
      <c r="E28" s="136">
        <f>IFERROR(Model!AB254,"")</f>
        <v>0</v>
      </c>
      <c r="F28" s="136">
        <f>IFERROR(Model!AG254,"")</f>
        <v>0</v>
      </c>
      <c r="G28" s="136">
        <f>IFERROR(Model!AL254,"")</f>
        <v>0</v>
      </c>
      <c r="H28" s="136">
        <f>IFERROR(Model!AQ254,"")</f>
        <v>0</v>
      </c>
      <c r="I28" s="136">
        <f>IFERROR(Model!AV254,"")</f>
        <v>0</v>
      </c>
      <c r="J28" s="136">
        <f>IFERROR(Model!BA254,"")</f>
        <v>0</v>
      </c>
      <c r="K28" s="136">
        <f>IFERROR(Model!BF254,"")</f>
        <v>0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IFERROR(Model!W255,"")</f>
        <v>0</v>
      </c>
      <c r="E29" s="136">
        <f>IFERROR(Model!AB255,"")</f>
        <v>0</v>
      </c>
      <c r="F29" s="136">
        <f>IFERROR(Model!AG255,"")</f>
        <v>0</v>
      </c>
      <c r="G29" s="136">
        <f>IFERROR(Model!AL255,"")</f>
        <v>0</v>
      </c>
      <c r="H29" s="136">
        <f>IFERROR(Model!AQ255,"")</f>
        <v>0</v>
      </c>
      <c r="I29" s="136">
        <f>IFERROR(Model!AV255,"")</f>
        <v>0</v>
      </c>
      <c r="J29" s="136">
        <f>IFERROR(Model!BA255,"")</f>
        <v>0</v>
      </c>
      <c r="K29" s="136">
        <f>IFERROR(Model!BF255,"")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IFERROR(Model!W256,"")</f>
        <v>-268.672</v>
      </c>
      <c r="E30" s="136">
        <f>IFERROR(Model!AB256,"")</f>
        <v>327.446</v>
      </c>
      <c r="F30" s="136">
        <f>IFERROR(Model!AG256,"")</f>
        <v>-52.2749999999999</v>
      </c>
      <c r="G30" s="136">
        <f>IFERROR(Model!AL256,"")</f>
        <v>178.279</v>
      </c>
      <c r="H30" s="136">
        <f>IFERROR(Model!AQ256,"")</f>
        <v>0</v>
      </c>
      <c r="I30" s="136">
        <f>IFERROR(Model!AV256,"")</f>
        <v>0</v>
      </c>
      <c r="J30" s="136">
        <f>IFERROR(Model!BA256,"")</f>
        <v>0</v>
      </c>
      <c r="K30" s="136">
        <f>IFERROR(Model!BF256,"")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IFERROR(Model!W257,"")</f>
        <v>0</v>
      </c>
      <c r="E31" s="136">
        <f>IFERROR(Model!AB257,"")</f>
        <v>0</v>
      </c>
      <c r="F31" s="136">
        <f>IFERROR(Model!AG257,"")</f>
        <v>0</v>
      </c>
      <c r="G31" s="136">
        <f>IFERROR(Model!AL257,"")</f>
        <v>0</v>
      </c>
      <c r="H31" s="136">
        <f>IFERROR(Model!AQ257,"")</f>
        <v>0</v>
      </c>
      <c r="I31" s="136">
        <f>IFERROR(Model!AV257,"")</f>
        <v>0</v>
      </c>
      <c r="J31" s="136">
        <f>IFERROR(Model!BA257,"")</f>
        <v>0</v>
      </c>
      <c r="K31" s="136">
        <f>IFERROR(Model!BF257,"")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IFERROR(Model!W258,"")</f>
        <v>1137.479</v>
      </c>
      <c r="E32" s="136">
        <f>IFERROR(Model!AB258,"")</f>
        <v>-4532.169</v>
      </c>
      <c r="F32" s="136">
        <f>IFERROR(Model!AG258,"")</f>
        <v>-3642.769</v>
      </c>
      <c r="G32" s="136">
        <f>IFERROR(Model!AL258,"")</f>
        <v>-2518.095</v>
      </c>
      <c r="H32" s="136">
        <f>IFERROR(Model!AQ258,"")</f>
        <v>0</v>
      </c>
      <c r="I32" s="136">
        <f>IFERROR(Model!AV258,"")</f>
        <v>0</v>
      </c>
      <c r="J32" s="136">
        <f>IFERROR(Model!BA258,"")</f>
        <v>0</v>
      </c>
      <c r="K32" s="136">
        <f>IFERROR(Model!BF258,"")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IFERROR(Model!W259,"")</f>
        <v>0</v>
      </c>
      <c r="E33" s="136">
        <f>IFERROR(Model!AB259,"")</f>
        <v>0</v>
      </c>
      <c r="F33" s="136">
        <f>IFERROR(Model!AG259,"")</f>
        <v>0</v>
      </c>
      <c r="G33" s="136">
        <f>IFERROR(Model!AL259,"")</f>
        <v>0</v>
      </c>
      <c r="H33" s="136">
        <f>IFERROR(Model!AQ259,"")</f>
        <v>0</v>
      </c>
      <c r="I33" s="136">
        <f>IFERROR(Model!AV259,"")</f>
        <v>0</v>
      </c>
      <c r="J33" s="136">
        <f>IFERROR(Model!BA259,"")</f>
        <v>0</v>
      </c>
      <c r="K33" s="136">
        <f>IFERROR(Model!BF259,"")</f>
        <v>0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IFERROR(Model!W260,"")</f>
        <v>0</v>
      </c>
      <c r="E34" s="136">
        <f>IFERROR(Model!AB260,"")</f>
        <v>0</v>
      </c>
      <c r="F34" s="136">
        <f>IFERROR(Model!AG260,"")</f>
        <v>0</v>
      </c>
      <c r="G34" s="136">
        <f>IFERROR(Model!AL260,"")</f>
        <v>0</v>
      </c>
      <c r="H34" s="136">
        <f>IFERROR(Model!AQ260,"")</f>
        <v>0</v>
      </c>
      <c r="I34" s="136">
        <f>IFERROR(Model!AV260,"")</f>
        <v>0</v>
      </c>
      <c r="J34" s="136">
        <f>IFERROR(Model!BA260,"")</f>
        <v>0</v>
      </c>
      <c r="K34" s="136">
        <f>IFERROR(Model!BF260,"")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IFERROR(Model!W261,"")</f>
        <v>0</v>
      </c>
      <c r="E35" s="136">
        <f>IFERROR(Model!AB261,"")</f>
        <v>0</v>
      </c>
      <c r="F35" s="136">
        <f>IFERROR(Model!AG261,"")</f>
        <v>0</v>
      </c>
      <c r="G35" s="136">
        <f>IFERROR(Model!AL261,"")</f>
        <v>0</v>
      </c>
      <c r="H35" s="136">
        <f>IFERROR(Model!AQ261,"")</f>
        <v>0</v>
      </c>
      <c r="I35" s="136">
        <f>IFERROR(Model!AV261,"")</f>
        <v>0</v>
      </c>
      <c r="J35" s="136">
        <f>IFERROR(Model!BA261,"")</f>
        <v>0</v>
      </c>
      <c r="K35" s="136">
        <f>IFERROR(Model!BF261,"")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IFERROR(Model!W262,"")</f>
        <v>-630.844000000001</v>
      </c>
      <c r="E36" s="136">
        <f>IFERROR(Model!AB262,"")</f>
        <v>1762.544</v>
      </c>
      <c r="F36" s="136">
        <f>IFERROR(Model!AG262,"")</f>
        <v>1852.943</v>
      </c>
      <c r="G36" s="136">
        <f>IFERROR(Model!AL262,"")</f>
        <v>1631.189</v>
      </c>
      <c r="H36" s="136">
        <f>IFERROR(Model!AQ262,"")</f>
        <v>0</v>
      </c>
      <c r="I36" s="136">
        <f>IFERROR(Model!AV262,"")</f>
        <v>0</v>
      </c>
      <c r="J36" s="136">
        <f>IFERROR(Model!BA262,"")</f>
        <v>0</v>
      </c>
      <c r="K36" s="136">
        <f>IFERROR(Model!BF262,"")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IFERROR(Model!W263,"")</f>
        <v>0</v>
      </c>
      <c r="E37" s="136">
        <f>IFERROR(Model!AB263,"")</f>
        <v>0</v>
      </c>
      <c r="F37" s="136">
        <f>IFERROR(Model!AG263,"")</f>
        <v>0</v>
      </c>
      <c r="G37" s="136">
        <f>IFERROR(Model!AL263,"")</f>
        <v>0</v>
      </c>
      <c r="H37" s="136">
        <f>IFERROR(Model!AQ263,"")</f>
        <v>0</v>
      </c>
      <c r="I37" s="136">
        <f>IFERROR(Model!AV263,"")</f>
        <v>0</v>
      </c>
      <c r="J37" s="136">
        <f>IFERROR(Model!BA263,"")</f>
        <v>0</v>
      </c>
      <c r="K37" s="136">
        <f>IFERROR(Model!BF263,"")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IFERROR((Model!W163-Model!R163)*-1,"")</f>
        <v>0</v>
      </c>
      <c r="E38" s="136">
        <f>IFERROR((Model!AB163-Model!W163)*-1,"")</f>
        <v>0</v>
      </c>
      <c r="F38" s="136">
        <f>IFERROR((Model!AG163-Model!AB163)*-1,"")</f>
        <v>0</v>
      </c>
      <c r="G38" s="136">
        <f>IFERROR((Model!AL163-Model!AG163)*-1,"")</f>
        <v>0</v>
      </c>
      <c r="H38" s="136">
        <f>IFERROR((Model!AQ163-Model!AL163)*-1,"")</f>
        <v>0</v>
      </c>
      <c r="I38" s="136">
        <f>IFERROR((Model!AV163-Model!AQ163)*-1,"")</f>
        <v>0</v>
      </c>
      <c r="J38" s="136">
        <f>IFERROR((Model!BA163-Model!AV163)*-1,"")</f>
        <v>0</v>
      </c>
      <c r="K38" s="136">
        <f>IFERROR((Model!BF163-Model!BA163)*-1,"")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IFERROR(Model!W214-Model!R214,"")</f>
        <v>0</v>
      </c>
      <c r="E39" s="136">
        <f>IFERROR(Model!AB214-Model!W214,"")</f>
        <v>0</v>
      </c>
      <c r="F39" s="136">
        <f>IFERROR(Model!AG214-Model!AB214,"")</f>
        <v>0</v>
      </c>
      <c r="G39" s="136">
        <f>IFERROR(Model!AL214-Model!AG214,"")</f>
        <v>0</v>
      </c>
      <c r="H39" s="136">
        <f>IFERROR(Model!AQ214-Model!AL214,"")</f>
        <v>0</v>
      </c>
      <c r="I39" s="136">
        <f>IFERROR(Model!AV214-Model!AQ214,"")</f>
        <v>0</v>
      </c>
      <c r="J39" s="136">
        <f>IFERROR(Model!BA214-Model!AV214,"")</f>
        <v>0</v>
      </c>
      <c r="K39" s="136">
        <f>IFERROR(Model!BF214-Model!BA214,"")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IFERROR(Model!W269,"")</f>
        <v>-40.098</v>
      </c>
      <c r="E40" s="136">
        <f>IFERROR(Model!AB269,"")</f>
        <v>-36.002</v>
      </c>
      <c r="F40" s="136">
        <f>IFERROR(Model!AG269,"")</f>
        <v>-36.074</v>
      </c>
      <c r="G40" s="136">
        <f>IFERROR(Model!AL269,"")</f>
        <v>-38.1937177751071</v>
      </c>
      <c r="H40" s="136">
        <f>IFERROR(Model!AQ269,"")</f>
        <v>-46.7427837946635</v>
      </c>
      <c r="I40" s="136">
        <f>IFERROR(Model!AV269,"")</f>
        <v>-53.7981442235506</v>
      </c>
      <c r="J40" s="136">
        <f>IFERROR(Model!BA269,"")</f>
        <v>-61.6494507352592</v>
      </c>
      <c r="K40" s="136">
        <f>IFERROR(Model!BF269,"")</f>
        <v>-70.3383304454737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237.962999999999</v>
      </c>
      <c r="E44" s="133">
        <f>IFERROR(SUM(E27,E40:E42,E26),"")</f>
        <v>-2442.179</v>
      </c>
      <c r="F44" s="133">
        <f>IFERROR(SUM(F27,F40:F42,F26),"")</f>
        <v>-1842.101</v>
      </c>
      <c r="G44" s="133">
        <f>IFERROR(SUM(G27,G40:G42,G26),"")</f>
        <v>-708.069489668167</v>
      </c>
      <c r="H44" s="133">
        <f>IFERROR(SUM(H27,H40:H42,H26),"")</f>
        <v>1.2927203602447</v>
      </c>
      <c r="I44" s="133">
        <f>IFERROR(SUM(I27,I40:I42,I26),"")</f>
        <v>1.48784369982485</v>
      </c>
      <c r="J44" s="133">
        <f>IFERROR(SUM(J27,J40:J42,J26),"")</f>
        <v>1.70497975716353</v>
      </c>
      <c r="K44" s="133">
        <f>IFERROR(SUM(K27,K40:K42,K26),"")</f>
        <v>1.94527977349233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IFERROR(Model!W324,"")</f>
        <v>15119.348</v>
      </c>
      <c r="E46" s="136">
        <f>IFERROR(Model!AB324,"")</f>
        <v>17522.875</v>
      </c>
      <c r="F46" s="136">
        <f>IFERROR(Model!AG324,"")</f>
        <v>19249.931</v>
      </c>
      <c r="G46" s="136">
        <f>IFERROR(Model!AL324,"")</f>
        <v>19925.5974896682</v>
      </c>
      <c r="H46" s="136">
        <f>IFERROR(Model!AQ324,"")</f>
        <v>19924.3047693079</v>
      </c>
      <c r="I46" s="136">
        <f>IFERROR(Model!AV324,"")</f>
        <v>19922.8169256081</v>
      </c>
      <c r="J46" s="136">
        <f>IFERROR(Model!BA324,"")</f>
        <v>19921.1119458509</v>
      </c>
      <c r="K46" s="136">
        <f>IFERROR(Model!BF324,"")</f>
        <v>19919.1666660774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IFERROR(Model!W325,"")</f>
        <v>13229.146</v>
      </c>
      <c r="E47" s="136">
        <f>IFERROR(Model!AB325,"")</f>
        <v>15632.673</v>
      </c>
      <c r="F47" s="136">
        <f>IFERROR(Model!AG325,"")</f>
        <v>17359.729</v>
      </c>
      <c r="G47" s="136">
        <f>IFERROR(Model!AL325,"")</f>
        <v>18035.3954896682</v>
      </c>
      <c r="H47" s="136">
        <f>IFERROR(Model!AQ325,"")</f>
        <v>18034.1027693079</v>
      </c>
      <c r="I47" s="136">
        <f>IFERROR(Model!AV325,"")</f>
        <v>18032.6149256081</v>
      </c>
      <c r="J47" s="136">
        <f>IFERROR(Model!BA325,"")</f>
        <v>18030.9099458509</v>
      </c>
      <c r="K47" s="136">
        <f>IFERROR(Model!BF325,"")</f>
        <v>18028.9646660774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1.88453790870341</v>
      </c>
      <c r="E48" s="122">
        <f>IFERROR(IF(E18=0,"",E46/E18),"")</f>
        <v>1.32448355128297</v>
      </c>
      <c r="F48" s="122">
        <f>IFERROR(IF(F18=0,"",F46/F18),"")</f>
        <v>1.33215072526352</v>
      </c>
      <c r="G48" s="122">
        <f>IFERROR(IF(G18=0,"",G46/G18),"")</f>
        <v>1.1536315694595</v>
      </c>
      <c r="H48" s="122">
        <f>IFERROR(IF(H18=0,"",H46/H18),"")</f>
        <v>0.997938150555403</v>
      </c>
      <c r="I48" s="122">
        <f>IFERROR(IF(I18=0,"",I46/I18),"")</f>
        <v>0.866998751971461</v>
      </c>
      <c r="J48" s="122">
        <f>IFERROR(IF(J18=0,"",J46/J18),"")</f>
        <v>0.756518211881115</v>
      </c>
      <c r="K48" s="122">
        <f>IFERROR(IF(K18=0,"",K46/K18),"")</f>
        <v>0.663000922625824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0.18986027131626</v>
      </c>
      <c r="E50" s="150">
        <f>IFERROR(IF(E46=0,"",E25/E46),"")</f>
        <v>0.329295683540614</v>
      </c>
      <c r="F50" s="150">
        <f>IFERROR(IF(F46=0,"",F25/F46),"")</f>
        <v>0.317804811837631</v>
      </c>
      <c r="G50" s="150">
        <f>IFERROR(IF(G46=0,"",G25/G46),"")</f>
        <v>0.363708551728102</v>
      </c>
      <c r="H50" s="150">
        <f>IFERROR(IF(H46=0,"",H25/H46),"")</f>
        <v>0.418671939306742</v>
      </c>
      <c r="I50" s="150">
        <f>IFERROR(IF(I46=0,"",I25/I46),"")</f>
        <v>0.481902309376066</v>
      </c>
      <c r="J50" s="150">
        <f>IFERROR(IF(J46=0,"",J25/J46),"")</f>
        <v>0.552278443849111</v>
      </c>
      <c r="K50" s="150">
        <f>IFERROR(IF(K46=0,"",K25/K46),"")</f>
        <v>0.630178158948071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0.530634059087733</v>
      </c>
      <c r="E51" s="154">
        <f>IFERROR(IF(E46=0,"",E18/E46),"")</f>
        <v>0.75501126384797</v>
      </c>
      <c r="F51" s="154">
        <f>IFERROR(IF(F46=0,"",F18/F46),"")</f>
        <v>0.750665807581336</v>
      </c>
      <c r="G51" s="154">
        <f>IFERROR(IF(G46=0,"",G18/G46),"")</f>
        <v>0.866827873363871</v>
      </c>
      <c r="H51" s="154">
        <f>IFERROR(IF(H46=0,"",H18/H46),"")</f>
        <v>1.00206610945122</v>
      </c>
      <c r="I51" s="154">
        <f>IFERROR(IF(I46=0,"",I18/I46),"")</f>
        <v>1.15340419778703</v>
      </c>
      <c r="J51" s="154">
        <f>IFERROR(IF(J46=0,"",J18/J46),"")</f>
        <v>1.32184524350505</v>
      </c>
      <c r="K51" s="154">
        <f>IFERROR(IF(K46=0,"",K18/K46),"")</f>
        <v>1.50829352701273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3108.52651340495</v>
      </c>
      <c r="E53" s="155">
        <f>IFERROR(E25+E44,"")</f>
        <v>3328.02810072173</v>
      </c>
      <c r="F53" s="155">
        <f>IFERROR(F25+F44,"")</f>
        <v>4275.61969934238</v>
      </c>
      <c r="G53" s="156">
        <f>IFERROR(G25+G44,"")</f>
        <v>6539.04071561615</v>
      </c>
      <c r="H53" s="155">
        <f>IFERROR(H25+H44,"")</f>
        <v>8343.04003746497</v>
      </c>
      <c r="I53" s="155">
        <f>IFERROR(I25+I44,"")</f>
        <v>9602.33932942695</v>
      </c>
      <c r="J53" s="155">
        <f>IFERROR(J25+J44,"")</f>
        <v>11003.7056849557</v>
      </c>
      <c r="K53" s="155">
        <f>IFERROR(K25+K44,"")</f>
        <v>12554.569057182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0.630178158948071</v>
      </c>
      <c r="E64" s="157" t="inlineStr">
        <is>
          <t>Current portion of long-term debt</t>
        </is>
      </c>
      <c r="H64" s="137">
        <f>IFERROR(INDEX(Model!$I$186:$BF$186,1,MATCH(Control!$B$7,Model!$I$5:$BF$5,0)),"")</f>
        <v>0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IFERROR(INDEX(Model!$I$187:$BF$187,1,MATCH(Control!$B$7,Model!$I$5:$BF$5,0)),"")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IFERROR(INDEX(Model!$I$191:$BF$191,1,MATCH(Control!$B$7,Model!$I$5:$BF$5,0)),"")</f>
        <v>0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IFERROR(INDEX(Model!$I$212:$BF$212,1,MATCH(Control!$B$7,Model!$I$5:$BF$5,0)),"")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IFERROR(INDEX(Model!$I$222:$BF$222,1,MATCH(Control!$B$7,Model!$I$5:$BF$5,0)),"")</f>
        <v>1371.083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IFERROR(INDEX(Model!$I$227:$BF$227,1,MATCH(Control!$B$7,Model!$I$5:$BF$5,0)),"")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IFERROR(INDEX(Model!$I$188:$BF$188,1,MATCH(Control!$B$7,Model!$I$5:$BF$5,0)),"")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IFERROR(INDEX(Model!$I$209:$BF$209,1,MATCH(Control!$B$7,Model!$I$5:$BF$5,0)),"")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IFERROR(-INDEX(Model!$I$118:$BF$118,1,MATCH(Control!$B$7,Model!$I$5:$BF$5,0)),"")</f>
        <v>-2507.073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14905.7636545653</v>
      </c>
      <c r="E73" s="157" t="inlineStr">
        <is>
          <t>Less: Equity investments</t>
        </is>
      </c>
      <c r="H73" s="137">
        <f>IFERROR(-INDEX(Model!$I$135:$BF$135,1,MATCH(Control!$B$7,Model!$I$5:$BF$5,0)),"")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-1135.99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-1135.99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-1135.99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BX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Blackstone Inc.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BX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IFERROR(-Model!AG48/AVERAGE(Model!AB66,Model!AG66),"")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0.155940099329143</v>
      </c>
      <c r="C18" s="247">
        <f>IF(B18="","",B18)</f>
        <v>0.155940099329143</v>
      </c>
      <c r="D18" s="247">
        <f>IF(C18="","",MAX(0,C18-0.5%))</f>
        <v>0.150940099329143</v>
      </c>
      <c r="E18" s="247">
        <f>IF(D18="","",MAX(0,D18-0.5%))</f>
        <v>0.145940099329143</v>
      </c>
      <c r="F18" s="247">
        <f>IF(E18="","",MAX(0,E18-0.5%))</f>
        <v>0.140940099329143</v>
      </c>
    </row>
    <row r="19" ht="15" customHeight="1">
      <c r="A19" t="inlineStr">
        <is>
          <t>Gross margin</t>
        </is>
      </c>
      <c r="B19" s="247">
        <f>IFERROR(AVERAGE(Model!AC29:AF29,Model!AH29:AI29),"")</f>
        <v>1</v>
      </c>
      <c r="C19" s="247">
        <f>IF(B19="","",B19)</f>
        <v>1</v>
      </c>
      <c r="D19" s="247">
        <f>IF(C19="","",C19)</f>
        <v>1</v>
      </c>
      <c r="E19" s="247">
        <f>IF(D19="","",D19)</f>
        <v>1</v>
      </c>
      <c r="F19" s="247">
        <f>IF(E19="","",E19)</f>
        <v>1</v>
      </c>
    </row>
    <row r="20" ht="15" customHeight="1">
      <c r="A20" t="inlineStr">
        <is>
          <t>SG&amp;A / Revenue</t>
        </is>
      </c>
      <c r="B20" s="247">
        <f>IFERROR(AVERAGE(Model!AC33:AF33,Model!AH33:AI33),"")</f>
        <v>0.503868047238677</v>
      </c>
      <c r="C20" s="247">
        <f>IF(B20="","",B20)</f>
        <v>0.503868047238677</v>
      </c>
      <c r="D20" s="247">
        <f>IF(C20="","",C20)</f>
        <v>0.503868047238677</v>
      </c>
      <c r="E20" s="247">
        <f>IF(D20="","",D20)</f>
        <v>0.503868047238677</v>
      </c>
      <c r="F20" s="247">
        <f>IF(E20="","",E20)</f>
        <v>0.503868047238677</v>
      </c>
    </row>
    <row r="21" ht="15" customHeight="1">
      <c r="A21" t="inlineStr">
        <is>
          <t>D&amp;A / Revenue</t>
        </is>
      </c>
      <c r="B21" s="247">
        <f>IFERROR(AVERAGE(Model!AC45:AF45,Model!AH45:AI45),"")</f>
        <v>0.00240592897631181</v>
      </c>
      <c r="C21" s="247">
        <f>IF(B21="","",B21)</f>
        <v>0.00240592897631181</v>
      </c>
      <c r="D21" s="247">
        <f>IF(C21="","",C21)</f>
        <v>0.00240592897631181</v>
      </c>
      <c r="E21" s="247">
        <f>IF(D21="","",D21)</f>
        <v>0.00240592897631181</v>
      </c>
      <c r="F21" s="247">
        <f>IF(E21="","",E21)</f>
        <v>0.00240592897631181</v>
      </c>
    </row>
    <row r="22" ht="15" customHeight="1">
      <c r="A22" t="inlineStr">
        <is>
          <t>Effective tax rate</t>
        </is>
      </c>
      <c r="B22" s="247">
        <f>IFERROR(AVERAGE(Model!AC106:AF106,Model!AH106:AI106),"")</f>
        <v>0.153764070205978</v>
      </c>
      <c r="C22" s="247">
        <f>IF(B22="","",B22)</f>
        <v>0.153764070205978</v>
      </c>
      <c r="D22" s="247">
        <f>IF(C22="","",C22)</f>
        <v>0.153764070205978</v>
      </c>
      <c r="E22" s="247">
        <f>IF(D22="","",D22)</f>
        <v>0.153764070205978</v>
      </c>
      <c r="F22" s="247">
        <f>IF(E22="","",E22)</f>
        <v>0.153764070205978</v>
      </c>
    </row>
    <row r="23" ht="15" customHeight="1">
      <c r="A23" t="inlineStr">
        <is>
          <t>Financial income / Revenue</t>
        </is>
      </c>
      <c r="B23" s="247">
        <f>IFERROR(AVERAGE(Model!AC97:AF97,Model!AH97:AI97)/AVERAGE(Model!AC15:AF15,Model!AH15:AI15),"")</f>
        <v>0.0287224668154908</v>
      </c>
      <c r="C23" s="247">
        <f>IF(B23="","",B23)</f>
        <v>0.0287224668154908</v>
      </c>
      <c r="D23" s="247">
        <f>IF(C23="","",C23)</f>
        <v>0.0287224668154908</v>
      </c>
      <c r="E23" s="247">
        <f>IF(D23="","",D23)</f>
        <v>0.0287224668154908</v>
      </c>
      <c r="F23" s="247">
        <f>IF(E23="","",E23)</f>
        <v>0.0287224668154908</v>
      </c>
    </row>
    <row r="24" ht="15" customHeight="1">
      <c r="A24" t="inlineStr">
        <is>
          <t>Capex / Revenue</t>
        </is>
      </c>
      <c r="B24" s="247">
        <f>IFERROR(-AVERAGE(Model!AC269:AF269,Model!AH269:AI269)/AVERAGE(Model!AC15:AF15,Model!AH15:AI15),"")</f>
        <v>0.00234118117304214</v>
      </c>
      <c r="C24" s="247">
        <f>IF(B24="","",B24)</f>
        <v>0.00234118117304214</v>
      </c>
      <c r="D24" s="247">
        <f>IF(C24="","",C24)</f>
        <v>0.00234118117304214</v>
      </c>
      <c r="E24" s="247">
        <f>IF(D24="","",D24)</f>
        <v>0.00234118117304214</v>
      </c>
      <c r="F24" s="247">
        <f>IF(E24="","",E24)</f>
        <v>0.00234118117304214</v>
      </c>
    </row>
    <row r="25" ht="15" customHeight="1">
      <c r="A25" t="inlineStr">
        <is>
          <t>DSO</t>
        </is>
      </c>
      <c r="B25" s="249">
        <f>IFERROR(AVERAGE(Model!AC120:AF120,Model!AH120:AI120),0)</f>
        <v>0</v>
      </c>
      <c r="C25" s="249">
        <f>IF(B25="","",B25)</f>
        <v>0</v>
      </c>
      <c r="D25" s="249">
        <f>IF(C25="","",C25)</f>
        <v>0</v>
      </c>
      <c r="E25" s="249">
        <f>IF(D25="","",D25)</f>
        <v>0</v>
      </c>
      <c r="F25" s="249">
        <f>IF(E25="","",E25)</f>
        <v>0</v>
      </c>
    </row>
    <row r="26" ht="15" customHeight="1">
      <c r="A26" t="inlineStr">
        <is>
          <t>DIO</t>
        </is>
      </c>
      <c r="B26" s="249">
        <f>IFERROR(AVERAGE(Model!AC124:AF124,Model!AH124:AI124),0)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IFERROR(AVERAGE(Model!AC173:AF173,Model!AH173:AI173),0)</f>
        <v>0</v>
      </c>
      <c r="C27" s="249">
        <f>IF(B27="","",B27)</f>
        <v>0</v>
      </c>
      <c r="D27" s="249">
        <f>IF(C27="","",C27)</f>
        <v>0</v>
      </c>
      <c r="E27" s="249">
        <f>IF(D27="","",D27)</f>
        <v>0</v>
      </c>
      <c r="F27" s="249">
        <f>IF(E27="","",E27)</f>
        <v>0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Blackstone Inc. (BX, CIK 1393818) - fonte: SEC EDGAR XBRL (instâncias dos 10-Q/10-K). Moeda: USD. Brutos em USD unidades (fator 0,000001 -&gt; milhões). Colunas = trimestres-CALENDÁRIO (cada fechamento vai para o fim de trimestre mais próximo); ano fisc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2026-10-16T15:35:57Z</dcterms:modified>
  <cp:lastModifiedBy>Lucas Nascimento</cp:lastModifiedBy>
  <cp:revision>0</cp:revision>
</cp:coreProperties>
</file>