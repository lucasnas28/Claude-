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The Coca-Cola Company (KO, CIK 21344)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8601000000</v>
      </c>
      <c r="L6" s="259" t="n">
        <v>7150000000</v>
      </c>
      <c r="M6" s="259" t="n">
        <v>8652000000</v>
      </c>
      <c r="N6" s="259" t="n">
        <v>8611000000</v>
      </c>
      <c r="O6" s="259" t="n">
        <v>9020000000</v>
      </c>
      <c r="P6" s="259" t="n">
        <v>10129000000</v>
      </c>
      <c r="Q6" s="259" t="n">
        <v>10042000000</v>
      </c>
      <c r="R6" s="259" t="n">
        <v>9464000000</v>
      </c>
      <c r="S6" s="259" t="n">
        <v>10491000000</v>
      </c>
      <c r="T6" s="259" t="n">
        <v>11325000000</v>
      </c>
      <c r="U6" s="259" t="n">
        <v>11063000000</v>
      </c>
      <c r="V6" s="259" t="n">
        <v>10125000000</v>
      </c>
      <c r="W6" s="259" t="n">
        <v>10980000000</v>
      </c>
      <c r="X6" s="259" t="n">
        <v>11972000000</v>
      </c>
      <c r="Y6" s="259" t="n">
        <v>11953000000</v>
      </c>
      <c r="Z6" s="259" t="n">
        <v>10849000000</v>
      </c>
      <c r="AA6" s="259" t="n">
        <v>11300000000</v>
      </c>
      <c r="AB6" s="259" t="n">
        <v>12363000000</v>
      </c>
      <c r="AC6" s="259" t="n">
        <v>11854000000</v>
      </c>
      <c r="AD6" s="259" t="n">
        <v>11544000000</v>
      </c>
      <c r="AE6" s="259" t="n">
        <v>11129000000</v>
      </c>
      <c r="AF6" s="259" t="n">
        <v>12535000000</v>
      </c>
      <c r="AG6" s="259" t="n">
        <v>12455000000</v>
      </c>
      <c r="AH6" s="259" t="n">
        <v>11822000000</v>
      </c>
      <c r="AI6" s="259" t="n">
        <v>12472000000</v>
      </c>
      <c r="AJ6" s="259" t="n">
        <v>13380000000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3371000000</v>
      </c>
      <c r="L7" s="259" t="n">
        <v>3013000000</v>
      </c>
      <c r="M7" s="259" t="n">
        <v>3471000000</v>
      </c>
      <c r="N7" s="259" t="n">
        <v>3578000000</v>
      </c>
      <c r="O7" s="259" t="n">
        <v>3505000000</v>
      </c>
      <c r="P7" s="259" t="n">
        <v>3787000000</v>
      </c>
      <c r="Q7" s="259" t="n">
        <v>3977000000</v>
      </c>
      <c r="R7" s="259" t="n">
        <v>4088000000</v>
      </c>
      <c r="S7" s="259" t="n">
        <v>4091000000</v>
      </c>
      <c r="T7" s="259" t="n">
        <v>4830000000</v>
      </c>
      <c r="U7" s="259" t="n">
        <v>4566000000</v>
      </c>
      <c r="V7" s="259" t="n">
        <v>4513000000</v>
      </c>
      <c r="W7" s="259" t="n">
        <v>4317000000</v>
      </c>
      <c r="X7" s="259" t="n">
        <v>4912000000</v>
      </c>
      <c r="Y7" s="259" t="n">
        <v>4657000000</v>
      </c>
      <c r="Z7" s="259" t="n">
        <v>4634000000</v>
      </c>
      <c r="AA7" s="259" t="n">
        <v>4235000000</v>
      </c>
      <c r="AB7" s="259" t="n">
        <v>4812000000</v>
      </c>
      <c r="AC7" s="259" t="n">
        <v>4664000000</v>
      </c>
      <c r="AD7" s="259" t="n">
        <v>4613000000</v>
      </c>
      <c r="AE7" s="259" t="n">
        <v>4163000000</v>
      </c>
      <c r="AF7" s="259" t="n">
        <v>4714000000</v>
      </c>
      <c r="AG7" s="259" t="n">
        <v>4797000000</v>
      </c>
      <c r="AH7" s="259" t="n">
        <v>4723000000</v>
      </c>
      <c r="AI7" s="259" t="n">
        <v>4620000000</v>
      </c>
      <c r="AJ7" s="259" t="n">
        <v>4965000000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2380000000</v>
      </c>
      <c r="L8" s="259" t="n">
        <v>1981000000</v>
      </c>
      <c r="M8" s="259" t="n">
        <v>2298000000</v>
      </c>
      <c r="N8" s="259" t="n">
        <v>2338000000</v>
      </c>
      <c r="O8" s="259" t="n">
        <v>2722000000</v>
      </c>
      <c r="P8" s="259" t="n">
        <v>3016000000</v>
      </c>
      <c r="Q8" s="259" t="n">
        <v>2898000000</v>
      </c>
      <c r="R8" s="259" t="n">
        <v>1672000000</v>
      </c>
      <c r="S8" s="259" t="n">
        <v>3405000000</v>
      </c>
      <c r="T8" s="259" t="n">
        <v>2341000000</v>
      </c>
      <c r="U8" s="259" t="n">
        <v>3088000000</v>
      </c>
      <c r="V8" s="259" t="n">
        <v>2075000000</v>
      </c>
      <c r="W8" s="259" t="n">
        <v>3367000000</v>
      </c>
      <c r="X8" s="259" t="n">
        <v>2401000000</v>
      </c>
      <c r="Y8" s="259" t="n">
        <v>3270000000</v>
      </c>
      <c r="Z8" s="259" t="n">
        <v>2273000000</v>
      </c>
      <c r="AA8" s="259" t="n">
        <v>2141000000</v>
      </c>
      <c r="AB8" s="259" t="n">
        <v>2632000000</v>
      </c>
      <c r="AC8" s="259" t="n">
        <v>2510000000</v>
      </c>
      <c r="AD8" s="259" t="n">
        <v>2709000000</v>
      </c>
      <c r="AE8" s="259" t="n">
        <v>3659000000</v>
      </c>
      <c r="AF8" s="259" t="n">
        <v>4280000000</v>
      </c>
      <c r="AG8" s="259" t="n">
        <v>3982000000</v>
      </c>
      <c r="AH8" s="259" t="n">
        <v>1841000000</v>
      </c>
      <c r="AI8" s="259" t="n">
        <v>4359000000</v>
      </c>
      <c r="AJ8" s="259" t="n">
        <v>4672000000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2850000000</v>
      </c>
      <c r="L9" s="259">
        <f>N(L6)-N(L7)-N(L8)</f>
        <v>2156000000</v>
      </c>
      <c r="M9" s="259">
        <f>N(M6)-N(M7)-N(M8)</f>
        <v>2883000000</v>
      </c>
      <c r="N9" s="259">
        <f>N(N6)-N(N7)-N(N8)</f>
        <v>2695000000</v>
      </c>
      <c r="O9" s="259">
        <f>N(O6)-N(O7)-N(O8)</f>
        <v>2793000000</v>
      </c>
      <c r="P9" s="259">
        <f>N(P6)-N(P7)-N(P8)</f>
        <v>3326000000</v>
      </c>
      <c r="Q9" s="259">
        <f>N(Q6)-N(Q7)-N(Q8)</f>
        <v>3167000000</v>
      </c>
      <c r="R9" s="259">
        <f>N(R6)-N(R7)-N(R8)</f>
        <v>3704000000</v>
      </c>
      <c r="S9" s="259">
        <f>N(S6)-N(S7)-N(S8)</f>
        <v>2995000000</v>
      </c>
      <c r="T9" s="259">
        <f>N(T6)-N(T7)-N(T8)</f>
        <v>4154000000</v>
      </c>
      <c r="U9" s="259">
        <f>N(U6)-N(U7)-N(U8)</f>
        <v>3409000000</v>
      </c>
      <c r="V9" s="259">
        <f>N(V6)-N(V7)-N(V8)</f>
        <v>3537000000</v>
      </c>
      <c r="W9" s="259">
        <f>N(W6)-N(W7)-N(W8)</f>
        <v>3296000000</v>
      </c>
      <c r="X9" s="259">
        <f>N(X6)-N(X7)-N(X8)</f>
        <v>4659000000</v>
      </c>
      <c r="Y9" s="259">
        <f>N(Y6)-N(Y7)-N(Y8)</f>
        <v>4026000000</v>
      </c>
      <c r="Z9" s="259">
        <f>N(Z6)-N(Z7)-N(Z8)</f>
        <v>3942000000</v>
      </c>
      <c r="AA9" s="259">
        <f>N(AA6)-N(AA7)-N(AA8)</f>
        <v>4924000000</v>
      </c>
      <c r="AB9" s="259">
        <f>N(AB6)-N(AB7)-N(AB8)</f>
        <v>4919000000</v>
      </c>
      <c r="AC9" s="259">
        <f>N(AC6)-N(AC7)-N(AC8)</f>
        <v>4680000000</v>
      </c>
      <c r="AD9" s="259">
        <f>N(AD6)-N(AD7)-N(AD8)</f>
        <v>4222000000</v>
      </c>
      <c r="AE9" s="259">
        <f>N(AE6)-N(AE7)-N(AE8)</f>
        <v>3307000000</v>
      </c>
      <c r="AF9" s="259">
        <f>N(AF6)-N(AF7)-N(AF8)</f>
        <v>3541000000</v>
      </c>
      <c r="AG9" s="259">
        <f>N(AG6)-N(AG7)-N(AG8)</f>
        <v>3676000000</v>
      </c>
      <c r="AH9" s="259">
        <f>N(AH6)-N(AH7)-N(AH8)</f>
        <v>5258000000</v>
      </c>
      <c r="AI9" s="259">
        <f>N(AI6)-N(AI7)-N(AI8)</f>
        <v>3493000000</v>
      </c>
      <c r="AJ9" s="259">
        <f>N(AJ6)-N(AJ7)-N(AJ8)</f>
        <v>3743000000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3010000000</v>
      </c>
      <c r="L10" s="259" t="n">
        <v>2197000000</v>
      </c>
      <c r="M10" s="259" t="n">
        <v>2181000000</v>
      </c>
      <c r="N10" s="259" t="n">
        <v>2361000000</v>
      </c>
      <c r="O10" s="259" t="n">
        <v>2763000000</v>
      </c>
      <c r="P10" s="259" t="n">
        <v>3618000000</v>
      </c>
      <c r="Q10" s="259" t="n">
        <v>3084000000</v>
      </c>
      <c r="R10" s="259" t="n">
        <v>2960000000</v>
      </c>
      <c r="S10" s="259" t="n">
        <v>3458000000</v>
      </c>
      <c r="T10" s="259" t="n">
        <v>2284000000</v>
      </c>
      <c r="U10" s="259" t="n">
        <v>3444000000</v>
      </c>
      <c r="V10" s="259" t="n">
        <v>2500000000</v>
      </c>
      <c r="W10" s="259" t="n">
        <v>4053000000</v>
      </c>
      <c r="X10" s="259" t="n">
        <v>2880000000</v>
      </c>
      <c r="Y10" s="259" t="n">
        <v>3537000000</v>
      </c>
      <c r="Z10" s="259" t="n">
        <v>2482000000</v>
      </c>
      <c r="AA10" s="259" t="n">
        <v>3872000000</v>
      </c>
      <c r="AB10" s="259" t="n">
        <v>3028000000</v>
      </c>
      <c r="AC10" s="259" t="n">
        <v>3380000000</v>
      </c>
      <c r="AD10" s="259" t="n">
        <v>2806000000</v>
      </c>
      <c r="AE10" s="259" t="n">
        <v>4057000000</v>
      </c>
      <c r="AF10" s="259" t="n">
        <v>4796000000</v>
      </c>
      <c r="AG10" s="259" t="n">
        <v>4183000000</v>
      </c>
      <c r="AH10" s="259" t="n">
        <v>2962000000</v>
      </c>
      <c r="AI10" s="259" t="n">
        <v>4611000000</v>
      </c>
      <c r="AJ10" s="259" t="n">
        <v>5475000000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630000000</v>
      </c>
      <c r="L11" s="259">
        <f>N(L10)-N(L8)</f>
        <v>216000000</v>
      </c>
      <c r="M11" s="259">
        <f>N(M10)-N(M8)</f>
        <v>-117000000</v>
      </c>
      <c r="N11" s="259">
        <f>N(N10)-N(N8)</f>
        <v>23000000</v>
      </c>
      <c r="O11" s="259">
        <f>N(O10)-N(O8)</f>
        <v>41000000</v>
      </c>
      <c r="P11" s="259">
        <f>N(P10)-N(P8)</f>
        <v>602000000</v>
      </c>
      <c r="Q11" s="259">
        <f>N(Q10)-N(Q8)</f>
        <v>186000000</v>
      </c>
      <c r="R11" s="259">
        <f>N(R10)-N(R8)</f>
        <v>1288000000</v>
      </c>
      <c r="S11" s="259">
        <f>N(S10)-N(S8)</f>
        <v>53000000</v>
      </c>
      <c r="T11" s="259">
        <f>N(T10)-N(T8)</f>
        <v>-57000000</v>
      </c>
      <c r="U11" s="259">
        <f>N(U10)-N(U8)</f>
        <v>356000000</v>
      </c>
      <c r="V11" s="259">
        <f>N(V10)-N(V8)</f>
        <v>425000000</v>
      </c>
      <c r="W11" s="259">
        <f>N(W10)-N(W8)</f>
        <v>686000000</v>
      </c>
      <c r="X11" s="259">
        <f>N(X10)-N(X8)</f>
        <v>479000000</v>
      </c>
      <c r="Y11" s="259">
        <f>N(Y10)-N(Y8)</f>
        <v>267000000</v>
      </c>
      <c r="Z11" s="259">
        <f>N(Z10)-N(Z8)</f>
        <v>209000000</v>
      </c>
      <c r="AA11" s="259">
        <f>N(AA10)-N(AA8)</f>
        <v>1731000000</v>
      </c>
      <c r="AB11" s="259">
        <f>N(AB10)-N(AB8)</f>
        <v>396000000</v>
      </c>
      <c r="AC11" s="259">
        <f>N(AC10)-N(AC8)</f>
        <v>870000000</v>
      </c>
      <c r="AD11" s="259">
        <f>N(AD10)-N(AD8)</f>
        <v>97000000</v>
      </c>
      <c r="AE11" s="259">
        <f>N(AE10)-N(AE8)</f>
        <v>398000000</v>
      </c>
      <c r="AF11" s="259">
        <f>N(AF10)-N(AF8)</f>
        <v>516000000</v>
      </c>
      <c r="AG11" s="259">
        <f>N(AG10)-N(AG8)</f>
        <v>201000000</v>
      </c>
      <c r="AH11" s="259">
        <f>N(AH10)-N(AH8)</f>
        <v>1121000000</v>
      </c>
      <c r="AI11" s="259">
        <f>N(AI10)-N(AI8)</f>
        <v>252000000</v>
      </c>
      <c r="AJ11" s="259">
        <f>N(AJ10)-N(AJ8)</f>
        <v>803000000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193000000</v>
      </c>
      <c r="L12" s="259" t="n">
        <v>274000000</v>
      </c>
      <c r="M12" s="259" t="n">
        <v>660000000</v>
      </c>
      <c r="N12" s="259" t="n">
        <v>310000000</v>
      </c>
      <c r="O12" s="259" t="n">
        <v>442000000</v>
      </c>
      <c r="P12" s="259" t="n">
        <v>780000000</v>
      </c>
      <c r="Q12" s="259" t="n">
        <v>210000000</v>
      </c>
      <c r="R12" s="259" t="n">
        <v>165000000</v>
      </c>
      <c r="S12" s="259" t="n">
        <v>182000000</v>
      </c>
      <c r="T12" s="259" t="n">
        <v>198000000</v>
      </c>
      <c r="U12" s="259" t="n">
        <v>198000000</v>
      </c>
      <c r="V12" s="259" t="n">
        <v>304000000</v>
      </c>
      <c r="W12" s="259" t="n">
        <v>372000000</v>
      </c>
      <c r="X12" s="259" t="n">
        <v>374000000</v>
      </c>
      <c r="Y12" s="259" t="n">
        <v>368000000</v>
      </c>
      <c r="Z12" s="259" t="n">
        <v>413000000</v>
      </c>
      <c r="AA12" s="259" t="n">
        <v>382000000</v>
      </c>
      <c r="AB12" s="259" t="n">
        <v>418000000</v>
      </c>
      <c r="AC12" s="259" t="n">
        <v>425000000</v>
      </c>
      <c r="AD12" s="259" t="n">
        <v>431000000</v>
      </c>
      <c r="AE12" s="259" t="n">
        <v>387000000</v>
      </c>
      <c r="AF12" s="259" t="n">
        <v>445000000</v>
      </c>
      <c r="AG12" s="259" t="n">
        <v>391000000</v>
      </c>
      <c r="AH12" s="259" t="n">
        <v>431000000</v>
      </c>
      <c r="AI12" s="259" t="n">
        <v>375000000</v>
      </c>
      <c r="AJ12" s="259" t="n">
        <v>369000000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215000000</v>
      </c>
      <c r="L13" s="259" t="n">
        <v>438000000</v>
      </c>
      <c r="M13" s="259" t="n">
        <v>441000000</v>
      </c>
      <c r="N13" s="259" t="n">
        <v>887000000</v>
      </c>
      <c r="O13" s="259" t="n">
        <v>508000000</v>
      </c>
      <c r="P13" s="259" t="n">
        <v>994000000</v>
      </c>
      <c r="Q13" s="259" t="n">
        <v>609000000</v>
      </c>
      <c r="R13" s="259" t="n">
        <v>510000000</v>
      </c>
      <c r="S13" s="259" t="n">
        <v>665000000</v>
      </c>
      <c r="T13" s="259" t="n">
        <v>384000000</v>
      </c>
      <c r="U13" s="259" t="n">
        <v>622000000</v>
      </c>
      <c r="V13" s="259" t="n">
        <v>444000000</v>
      </c>
      <c r="W13" s="259" t="n">
        <v>940000000</v>
      </c>
      <c r="X13" s="259" t="n">
        <v>359000000</v>
      </c>
      <c r="Y13" s="259" t="n">
        <v>454000000</v>
      </c>
      <c r="Z13" s="259" t="n">
        <v>496000000</v>
      </c>
      <c r="AA13" s="259" t="n">
        <v>687000000</v>
      </c>
      <c r="AB13" s="259" t="n">
        <v>627000000</v>
      </c>
      <c r="AC13" s="259" t="n">
        <v>530000000</v>
      </c>
      <c r="AD13" s="259" t="n">
        <v>593000000</v>
      </c>
      <c r="AE13" s="259" t="n">
        <v>722000000</v>
      </c>
      <c r="AF13" s="259" t="n">
        <v>993000000</v>
      </c>
      <c r="AG13" s="259" t="n">
        <v>500000000</v>
      </c>
      <c r="AH13" s="259" t="n">
        <v>646000000</v>
      </c>
      <c r="AI13" s="259" t="n">
        <v>645000000</v>
      </c>
      <c r="AJ13" s="259" t="n">
        <v>1037000000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20000000</v>
      </c>
      <c r="L14" s="259" t="n">
        <v>-20000000</v>
      </c>
      <c r="M14" s="259" t="n">
        <v>3000000</v>
      </c>
      <c r="N14" s="259" t="n">
        <v>18000000</v>
      </c>
      <c r="O14" s="259" t="n">
        <v>10000000</v>
      </c>
      <c r="P14" s="259" t="n">
        <v>-17000000</v>
      </c>
      <c r="Q14" s="259" t="n">
        <v>4000000</v>
      </c>
      <c r="R14" s="259" t="n">
        <v>36000000</v>
      </c>
      <c r="S14" s="259" t="n">
        <v>12000000</v>
      </c>
      <c r="T14" s="259" t="n">
        <v>-5000000</v>
      </c>
      <c r="U14" s="259" t="n">
        <v>-3000000</v>
      </c>
      <c r="V14" s="259" t="n">
        <v>25000000</v>
      </c>
      <c r="W14" s="259" t="n">
        <v>6000000</v>
      </c>
      <c r="X14" s="259" t="n">
        <v>-26000000</v>
      </c>
      <c r="Y14" s="259" t="n">
        <v>-4000000</v>
      </c>
      <c r="Z14" s="259" t="n">
        <v>13000000</v>
      </c>
      <c r="AA14" s="259" t="n">
        <v>8000000</v>
      </c>
      <c r="AB14" s="259" t="n">
        <v>-10000000</v>
      </c>
      <c r="AC14" s="259" t="n">
        <v>2000000</v>
      </c>
      <c r="AD14" s="259" t="n">
        <v>18000000</v>
      </c>
      <c r="AE14" s="259" t="n">
        <v>5000000</v>
      </c>
      <c r="AF14" s="259" t="n">
        <v>-7000000</v>
      </c>
      <c r="AG14" s="259" t="n">
        <v>-13000000</v>
      </c>
      <c r="AH14" s="259" t="n">
        <v>45000000</v>
      </c>
      <c r="AI14" s="259" t="n">
        <v>42000000</v>
      </c>
      <c r="AJ14" s="259" t="n">
        <v>13000000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2775000000</v>
      </c>
      <c r="L15" s="259" t="n">
        <v>1779000000</v>
      </c>
      <c r="M15" s="259" t="n">
        <v>1737000000</v>
      </c>
      <c r="N15" s="259" t="n">
        <v>1456000000</v>
      </c>
      <c r="O15" s="259" t="n">
        <v>2245000000</v>
      </c>
      <c r="P15" s="259" t="n">
        <v>2641000000</v>
      </c>
      <c r="Q15" s="259" t="n">
        <v>2471000000</v>
      </c>
      <c r="R15" s="259" t="n">
        <v>2414000000</v>
      </c>
      <c r="S15" s="259" t="n">
        <v>2781000000</v>
      </c>
      <c r="T15" s="259" t="n">
        <v>1905000000</v>
      </c>
      <c r="U15" s="259" t="n">
        <v>2825000000</v>
      </c>
      <c r="V15" s="259" t="n">
        <v>2031000000</v>
      </c>
      <c r="W15" s="259" t="n">
        <v>3107000000</v>
      </c>
      <c r="X15" s="259" t="n">
        <v>2547000000</v>
      </c>
      <c r="Y15" s="259" t="n">
        <v>3087000000</v>
      </c>
      <c r="Z15" s="259" t="n">
        <v>1973000000</v>
      </c>
      <c r="AA15" s="259" t="n">
        <v>3177000000</v>
      </c>
      <c r="AB15" s="259" t="n">
        <v>2411000000</v>
      </c>
      <c r="AC15" s="259" t="n">
        <v>2848000000</v>
      </c>
      <c r="AD15" s="259" t="n">
        <v>2195000000</v>
      </c>
      <c r="AE15" s="259" t="n">
        <v>3330000000</v>
      </c>
      <c r="AF15" s="259" t="n">
        <v>3810000000</v>
      </c>
      <c r="AG15" s="259" t="n">
        <v>3696000000</v>
      </c>
      <c r="AH15" s="259" t="n">
        <v>2271000000</v>
      </c>
      <c r="AI15" s="259" t="n">
        <v>3924000000</v>
      </c>
      <c r="AJ15" s="259" t="n">
        <v>4425000000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2775000000</v>
      </c>
      <c r="L17" s="259">
        <f>N(L15)</f>
        <v>1779000000</v>
      </c>
      <c r="M17" s="259">
        <f>N(M15)</f>
        <v>1737000000</v>
      </c>
      <c r="N17" s="259">
        <f>N(N15)</f>
        <v>1456000000</v>
      </c>
      <c r="O17" s="259">
        <f>N(O15)</f>
        <v>2245000000</v>
      </c>
      <c r="P17" s="259">
        <f>N(P15)</f>
        <v>2641000000</v>
      </c>
      <c r="Q17" s="259">
        <f>N(Q15)</f>
        <v>2471000000</v>
      </c>
      <c r="R17" s="259">
        <f>N(R15)</f>
        <v>2414000000</v>
      </c>
      <c r="S17" s="259">
        <f>N(S15)</f>
        <v>2781000000</v>
      </c>
      <c r="T17" s="259">
        <f>N(T15)</f>
        <v>1905000000</v>
      </c>
      <c r="U17" s="259">
        <f>N(U15)</f>
        <v>2825000000</v>
      </c>
      <c r="V17" s="259">
        <f>N(V15)</f>
        <v>2031000000</v>
      </c>
      <c r="W17" s="259">
        <f>N(W15)</f>
        <v>3107000000</v>
      </c>
      <c r="X17" s="259">
        <f>N(X15)</f>
        <v>2547000000</v>
      </c>
      <c r="Y17" s="259">
        <f>N(Y15)</f>
        <v>3087000000</v>
      </c>
      <c r="Z17" s="259">
        <f>N(Z15)</f>
        <v>1973000000</v>
      </c>
      <c r="AA17" s="259">
        <f>N(AA15)</f>
        <v>3177000000</v>
      </c>
      <c r="AB17" s="259">
        <f>N(AB15)</f>
        <v>2411000000</v>
      </c>
      <c r="AC17" s="259">
        <f>N(AC15)</f>
        <v>2848000000</v>
      </c>
      <c r="AD17" s="259">
        <f>N(AD15)</f>
        <v>2195000000</v>
      </c>
      <c r="AE17" s="259">
        <f>N(AE15)</f>
        <v>3330000000</v>
      </c>
      <c r="AF17" s="259">
        <f>N(AF15)</f>
        <v>3810000000</v>
      </c>
      <c r="AG17" s="259">
        <f>N(AG15)</f>
        <v>3696000000</v>
      </c>
      <c r="AH17" s="259">
        <f>N(AH15)</f>
        <v>2271000000</v>
      </c>
      <c r="AI17" s="259">
        <f>N(AI15)</f>
        <v>3924000000</v>
      </c>
      <c r="AJ17" s="259">
        <f>N(AJ15)</f>
        <v>4425000000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367000000</v>
      </c>
      <c r="L19" s="259" t="n">
        <v>381000000</v>
      </c>
      <c r="M19" s="259" t="n">
        <v>358000000</v>
      </c>
      <c r="N19" s="259" t="n">
        <v>430000000</v>
      </c>
      <c r="O19" s="259" t="n">
        <v>366000000</v>
      </c>
      <c r="P19" s="259" t="n">
        <v>383000000</v>
      </c>
      <c r="Q19" s="259" t="n">
        <v>362000000</v>
      </c>
      <c r="R19" s="259" t="n">
        <v>341000000</v>
      </c>
      <c r="S19" s="259" t="n">
        <v>324000000</v>
      </c>
      <c r="T19" s="259" t="n">
        <v>322000000</v>
      </c>
      <c r="U19" s="259" t="n">
        <v>307000000</v>
      </c>
      <c r="V19" s="259" t="n">
        <v>307000000</v>
      </c>
      <c r="W19" s="259" t="n">
        <v>286000000</v>
      </c>
      <c r="X19" s="259" t="n">
        <v>281000000</v>
      </c>
      <c r="Y19" s="259" t="n">
        <v>290000000</v>
      </c>
      <c r="Z19" s="259" t="n">
        <v>271000000</v>
      </c>
      <c r="AA19" s="259" t="n">
        <v>262000000</v>
      </c>
      <c r="AB19" s="259" t="n">
        <v>269000000</v>
      </c>
      <c r="AC19" s="259" t="n">
        <v>268000000</v>
      </c>
      <c r="AD19" s="259" t="n">
        <v>276000000</v>
      </c>
      <c r="AE19" s="259" t="n">
        <v>267000000</v>
      </c>
      <c r="AF19" s="259" t="n">
        <v>279000000</v>
      </c>
      <c r="AG19" s="259" t="n">
        <v>268000000</v>
      </c>
      <c r="AH19" s="259" t="n">
        <v>236000000</v>
      </c>
      <c r="AI19" s="259" t="n">
        <v>264000000</v>
      </c>
      <c r="AJ19" s="259" t="n">
        <v>266000000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0</v>
      </c>
      <c r="L20" s="259" t="n">
        <v>1761000000</v>
      </c>
      <c r="M20" s="259" t="n">
        <v>1761000000</v>
      </c>
      <c r="N20" s="259" t="n">
        <v>3525000000</v>
      </c>
      <c r="O20" s="259" t="n">
        <v>1810000000</v>
      </c>
      <c r="P20" s="259" t="n">
        <v>1813000000</v>
      </c>
      <c r="Q20" s="259" t="n">
        <v>1814000000</v>
      </c>
      <c r="R20" s="259" t="n">
        <v>1815000000</v>
      </c>
      <c r="S20" s="259" t="n">
        <v>1906000000</v>
      </c>
      <c r="T20" s="259" t="n">
        <v>1904000000</v>
      </c>
      <c r="U20" s="259" t="n">
        <v>100000000</v>
      </c>
      <c r="V20" s="259" t="n">
        <v>3706000000</v>
      </c>
      <c r="W20" s="259" t="n">
        <v>101000000</v>
      </c>
      <c r="X20" s="259" t="n">
        <v>1988000000</v>
      </c>
      <c r="Y20" s="259" t="n">
        <v>1989000000</v>
      </c>
      <c r="Z20" s="259" t="n">
        <v>3874000000</v>
      </c>
      <c r="AA20" s="259" t="n">
        <v>99000000</v>
      </c>
      <c r="AB20" s="259" t="n">
        <v>2085000000</v>
      </c>
      <c r="AC20" s="259" t="n">
        <v>2090000000</v>
      </c>
      <c r="AD20" s="259" t="n">
        <v>4085000000</v>
      </c>
      <c r="AE20" s="259" t="n">
        <v>89000000</v>
      </c>
      <c r="AF20" s="259" t="n">
        <v>2194000000</v>
      </c>
      <c r="AG20" s="259" t="n">
        <v>2108000000</v>
      </c>
      <c r="AH20" s="259" t="n">
        <v>4388000000</v>
      </c>
      <c r="AI20" s="259" t="n">
        <v>2281000000</v>
      </c>
      <c r="AJ20" s="259" t="n">
        <v>2281000000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13561000000</v>
      </c>
      <c r="L22" s="259" t="n">
        <v>10037000000</v>
      </c>
      <c r="M22" s="259" t="n">
        <v>11385000000</v>
      </c>
      <c r="N22" s="259" t="n">
        <v>6795000000</v>
      </c>
      <c r="O22" s="259" t="n">
        <v>8484000000</v>
      </c>
      <c r="P22" s="259" t="n">
        <v>9188000000</v>
      </c>
      <c r="Q22" s="259" t="n">
        <v>11301000000</v>
      </c>
      <c r="R22" s="259" t="n">
        <v>9684000000</v>
      </c>
      <c r="S22" s="259" t="n">
        <v>7681000000</v>
      </c>
      <c r="T22" s="259" t="n">
        <v>8976000000</v>
      </c>
      <c r="U22" s="259" t="n">
        <v>10127000000</v>
      </c>
      <c r="V22" s="259" t="n">
        <v>9519000000</v>
      </c>
      <c r="W22" s="259" t="n">
        <v>12004000000</v>
      </c>
      <c r="X22" s="259" t="n">
        <v>12564000000</v>
      </c>
      <c r="Y22" s="259" t="n">
        <v>11883000000</v>
      </c>
      <c r="Z22" s="259" t="n">
        <v>9366000000</v>
      </c>
      <c r="AA22" s="259" t="n">
        <v>10443000000</v>
      </c>
      <c r="AB22" s="259" t="n">
        <v>13708000000</v>
      </c>
      <c r="AC22" s="259" t="n">
        <v>13938000000</v>
      </c>
      <c r="AD22" s="259" t="n">
        <v>10828000000</v>
      </c>
      <c r="AE22" s="259" t="n">
        <v>8417000000</v>
      </c>
      <c r="AF22" s="259" t="n">
        <v>9590000000</v>
      </c>
      <c r="AG22" s="259" t="n">
        <v>12732000000</v>
      </c>
      <c r="AH22" s="259" t="n">
        <v>10270000000</v>
      </c>
      <c r="AI22" s="259" t="n">
        <v>10574000000</v>
      </c>
      <c r="AJ22" s="259" t="n">
        <v>12907000000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MarketableSecuritiesCurrent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2348000000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0</v>
      </c>
      <c r="U23" s="259" t="n">
        <v>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4430000000</v>
      </c>
      <c r="L24" s="259" t="n">
        <v>3849000000</v>
      </c>
      <c r="M24" s="259" t="n">
        <v>3827000000</v>
      </c>
      <c r="N24" s="259" t="n">
        <v>3144000000</v>
      </c>
      <c r="O24" s="259" t="n">
        <v>3762000000</v>
      </c>
      <c r="P24" s="259" t="n">
        <v>4036000000</v>
      </c>
      <c r="Q24" s="259" t="n">
        <v>3889000000</v>
      </c>
      <c r="R24" s="259" t="n">
        <v>3512000000</v>
      </c>
      <c r="S24" s="259" t="n">
        <v>4641000000</v>
      </c>
      <c r="T24" s="259" t="n">
        <v>4494000000</v>
      </c>
      <c r="U24" s="259" t="n">
        <v>3994000000</v>
      </c>
      <c r="V24" s="259" t="n">
        <v>3487000000</v>
      </c>
      <c r="W24" s="259" t="n">
        <v>4599000000</v>
      </c>
      <c r="X24" s="259" t="n">
        <v>3970000000</v>
      </c>
      <c r="Y24" s="259" t="n">
        <v>3495000000</v>
      </c>
      <c r="Z24" s="259" t="n">
        <v>3410000000</v>
      </c>
      <c r="AA24" s="259" t="n">
        <v>4244000000</v>
      </c>
      <c r="AB24" s="259" t="n">
        <v>4545000000</v>
      </c>
      <c r="AC24" s="259" t="n">
        <v>4233000000</v>
      </c>
      <c r="AD24" s="259" t="n">
        <v>3569000000</v>
      </c>
      <c r="AE24" s="259" t="n">
        <v>4091000000</v>
      </c>
      <c r="AF24" s="259" t="n">
        <v>4168000000</v>
      </c>
      <c r="AG24" s="259" t="n">
        <v>3946000000</v>
      </c>
      <c r="AH24" s="259" t="n">
        <v>3038000000</v>
      </c>
      <c r="AI24" s="259" t="n">
        <v>3675000000</v>
      </c>
      <c r="AJ24" s="259" t="n">
        <v>3732000000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3558000000</v>
      </c>
      <c r="L25" s="259" t="n">
        <v>3501000000</v>
      </c>
      <c r="M25" s="259" t="n">
        <v>3264000000</v>
      </c>
      <c r="N25" s="259" t="n">
        <v>3266000000</v>
      </c>
      <c r="O25" s="259" t="n">
        <v>3356000000</v>
      </c>
      <c r="P25" s="259" t="n">
        <v>3281000000</v>
      </c>
      <c r="Q25" s="259" t="n">
        <v>3182000000</v>
      </c>
      <c r="R25" s="259" t="n">
        <v>3414000000</v>
      </c>
      <c r="S25" s="259" t="n">
        <v>3741000000</v>
      </c>
      <c r="T25" s="259" t="n">
        <v>3621000000</v>
      </c>
      <c r="U25" s="259" t="n">
        <v>3708000000</v>
      </c>
      <c r="V25" s="259" t="n">
        <v>4233000000</v>
      </c>
      <c r="W25" s="259" t="n">
        <v>4727000000</v>
      </c>
      <c r="X25" s="259" t="n">
        <v>4646000000</v>
      </c>
      <c r="Y25" s="259" t="n">
        <v>4252000000</v>
      </c>
      <c r="Z25" s="259" t="n">
        <v>4424000000</v>
      </c>
      <c r="AA25" s="259" t="n">
        <v>4961000000</v>
      </c>
      <c r="AB25" s="259" t="n">
        <v>4763000000</v>
      </c>
      <c r="AC25" s="259" t="n">
        <v>4714000000</v>
      </c>
      <c r="AD25" s="259" t="n">
        <v>4728000000</v>
      </c>
      <c r="AE25" s="259" t="n">
        <v>5102000000</v>
      </c>
      <c r="AF25" s="259" t="n">
        <v>5082000000</v>
      </c>
      <c r="AG25" s="259" t="n">
        <v>4802000000</v>
      </c>
      <c r="AH25" s="259" t="n">
        <v>4425000000</v>
      </c>
      <c r="AI25" s="259" t="n">
        <v>4730000000</v>
      </c>
      <c r="AJ25" s="259" t="n">
        <v>4647000000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2275000000</v>
      </c>
      <c r="L26" s="259" t="n">
        <v>2366000000</v>
      </c>
      <c r="M26" s="259" t="n">
        <v>2439000000</v>
      </c>
      <c r="N26" s="259" t="n">
        <v>2460000000</v>
      </c>
      <c r="O26" s="259" t="n">
        <v>2332000000</v>
      </c>
      <c r="P26" s="259" t="n">
        <v>2291000000</v>
      </c>
      <c r="Q26" s="259" t="n">
        <v>2237000000</v>
      </c>
      <c r="R26" s="259" t="n">
        <v>2129000000</v>
      </c>
      <c r="S26" s="259" t="n">
        <v>2006000000</v>
      </c>
      <c r="T26" s="259" t="n">
        <v>1833000000</v>
      </c>
      <c r="U26" s="259" t="n">
        <v>1708000000</v>
      </c>
      <c r="V26" s="259" t="n">
        <v>1746000000</v>
      </c>
      <c r="W26" s="259" t="n">
        <v>1696000000</v>
      </c>
      <c r="X26" s="259" t="n">
        <v>1661000000</v>
      </c>
      <c r="Y26" s="259" t="n">
        <v>1575000000</v>
      </c>
      <c r="Z26" s="259" t="n">
        <v>1561000000</v>
      </c>
      <c r="AA26" s="259" t="n">
        <v>1457000000</v>
      </c>
      <c r="AB26" s="259" t="n">
        <v>1409000000</v>
      </c>
      <c r="AC26" s="259" t="n">
        <v>1428000000</v>
      </c>
      <c r="AD26" s="259" t="n">
        <v>1319000000</v>
      </c>
      <c r="AE26" s="259" t="n">
        <v>1311000000</v>
      </c>
      <c r="AF26" s="259" t="n">
        <v>1325000000</v>
      </c>
      <c r="AG26" s="259" t="n">
        <v>1267000000</v>
      </c>
      <c r="AH26" s="259" t="n">
        <v>1206000000</v>
      </c>
      <c r="AI26" s="259" t="n">
        <v>1141000000</v>
      </c>
      <c r="AJ26" s="259" t="n">
        <v>1090000000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OtherShortTermInvestments</t>
        </is>
      </c>
      <c r="J27" t="inlineStr">
        <is>
          <t>fonte</t>
        </is>
      </c>
      <c r="K27" s="259" t="n">
        <v>1713000000</v>
      </c>
      <c r="L27" s="259" t="n">
        <v>7551000000</v>
      </c>
      <c r="M27" s="259" t="n">
        <v>7347000000</v>
      </c>
      <c r="N27" s="259" t="n">
        <v>1771000000</v>
      </c>
      <c r="O27" s="259" t="n">
        <v>1871000000</v>
      </c>
      <c r="P27" s="259" t="n">
        <v>2079000000</v>
      </c>
      <c r="Q27" s="259" t="n">
        <v>1844000000</v>
      </c>
      <c r="R27" s="259" t="n">
        <v>1242000000</v>
      </c>
      <c r="S27" s="259" t="n">
        <v>736000000</v>
      </c>
      <c r="T27" s="259" t="n">
        <v>776000000</v>
      </c>
      <c r="U27" s="259" t="n">
        <v>1120000000</v>
      </c>
      <c r="V27" s="259" t="n">
        <v>1043000000</v>
      </c>
      <c r="W27" s="259" t="n">
        <v>1166000000</v>
      </c>
      <c r="X27" s="259" t="n">
        <v>1867000000</v>
      </c>
      <c r="Y27" s="259" t="n">
        <v>2332000000</v>
      </c>
      <c r="Z27" s="259" t="n">
        <v>2997000000</v>
      </c>
      <c r="AA27" s="259" t="n">
        <v>4760000000</v>
      </c>
      <c r="AB27" s="259" t="n">
        <v>3691000000</v>
      </c>
      <c r="AC27" s="259" t="n">
        <v>2439000000</v>
      </c>
      <c r="AD27" s="259" t="n">
        <v>2020000000</v>
      </c>
      <c r="AE27" s="259" t="n">
        <v>3579000000</v>
      </c>
      <c r="AF27" s="259" t="n">
        <v>2658000000</v>
      </c>
      <c r="AG27" s="259" t="n">
        <v>1142000000</v>
      </c>
      <c r="AH27" s="259" t="n">
        <v>3602000000</v>
      </c>
      <c r="AI27" s="259" t="n">
        <v>509000000</v>
      </c>
      <c r="AJ27" s="259" t="n">
        <v>622000000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MarketableSecurities</t>
        </is>
      </c>
      <c r="J28" t="inlineStr">
        <is>
          <t>fonte</t>
        </is>
      </c>
      <c r="K28" s="259" t="n">
        <v>2392000000</v>
      </c>
      <c r="L28" s="259" t="n">
        <v>2228000000</v>
      </c>
      <c r="M28" s="259" t="n">
        <v>2396000000</v>
      </c>
      <c r="N28" s="259" t="n">
        <v>0</v>
      </c>
      <c r="O28" s="259" t="n">
        <v>2234000000</v>
      </c>
      <c r="P28" s="259" t="n">
        <v>1775000000</v>
      </c>
      <c r="Q28" s="259" t="n">
        <v>1724000000</v>
      </c>
      <c r="R28" s="259" t="n">
        <v>1699000000</v>
      </c>
      <c r="S28" s="259" t="n">
        <v>1939000000</v>
      </c>
      <c r="T28" s="259" t="n">
        <v>1867000000</v>
      </c>
      <c r="U28" s="259" t="n">
        <v>1973000000</v>
      </c>
      <c r="V28" s="259" t="n">
        <v>1069000000</v>
      </c>
      <c r="W28" s="259" t="n">
        <v>1125000000</v>
      </c>
      <c r="X28" s="259" t="n">
        <v>1263000000</v>
      </c>
      <c r="Y28" s="259" t="n">
        <v>1220000000</v>
      </c>
      <c r="Z28" s="259" t="n">
        <v>1300000000</v>
      </c>
      <c r="AA28" s="259" t="n">
        <v>1716000000</v>
      </c>
      <c r="AB28" s="259" t="n">
        <v>1594000000</v>
      </c>
      <c r="AC28" s="259" t="n">
        <v>1787000000</v>
      </c>
      <c r="AD28" s="259" t="n">
        <v>1723000000</v>
      </c>
      <c r="AE28" s="259" t="n">
        <v>1791000000</v>
      </c>
      <c r="AF28" s="259" t="n">
        <v>2049000000</v>
      </c>
      <c r="AG28" s="259" t="n">
        <v>1907000000</v>
      </c>
      <c r="AH28" s="259" t="n">
        <v>1934000000</v>
      </c>
      <c r="AI28" s="259" t="n">
        <v>2737000000</v>
      </c>
      <c r="AJ28" s="259" t="n">
        <v>2842000000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PrepaidExpenseAndOtherAssetsCurrent</t>
        </is>
      </c>
      <c r="J29" t="inlineStr">
        <is>
          <t>fonte</t>
        </is>
      </c>
      <c r="K29" s="259" t="n">
        <v>2580000000</v>
      </c>
      <c r="L29" s="259" t="n">
        <v>2205000000</v>
      </c>
      <c r="M29" s="259" t="n">
        <v>2191000000</v>
      </c>
      <c r="N29" s="259" t="n">
        <v>1916000000</v>
      </c>
      <c r="O29" s="259" t="n">
        <v>2225000000</v>
      </c>
      <c r="P29" s="259" t="n">
        <v>2122000000</v>
      </c>
      <c r="Q29" s="259" t="n">
        <v>2300000000</v>
      </c>
      <c r="R29" s="259" t="n">
        <v>2994000000</v>
      </c>
      <c r="S29" s="259" t="n">
        <v>3418000000</v>
      </c>
      <c r="T29" s="259" t="n">
        <v>3407000000</v>
      </c>
      <c r="U29" s="259" t="n">
        <v>3217000000</v>
      </c>
      <c r="V29" s="259" t="n">
        <v>3240000000</v>
      </c>
      <c r="W29" s="259" t="n">
        <v>3259000000</v>
      </c>
      <c r="X29" s="259" t="n">
        <v>3281000000</v>
      </c>
      <c r="Y29" s="259" t="n">
        <v>4685000000</v>
      </c>
      <c r="Z29" s="259" t="n">
        <v>5235000000</v>
      </c>
      <c r="AA29" s="259" t="n">
        <v>3338000000</v>
      </c>
      <c r="AB29" s="259" t="n">
        <v>3298000000</v>
      </c>
      <c r="AC29" s="259" t="n">
        <v>3177000000</v>
      </c>
      <c r="AD29" s="259" t="n">
        <v>3129000000</v>
      </c>
      <c r="AE29" s="259" t="n">
        <v>3198000000</v>
      </c>
      <c r="AF29" s="259" t="n">
        <v>3062000000</v>
      </c>
      <c r="AG29" s="259" t="n">
        <v>2718000000</v>
      </c>
      <c r="AH29" s="259" t="n">
        <v>2433000000</v>
      </c>
      <c r="AI29" s="259" t="n">
        <v>2953000000</v>
      </c>
      <c r="AJ29" s="259" t="n">
        <v>2688000000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AssetsOfDisposalGroupIncludingDiscontinuedOperation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5342000000</v>
      </c>
      <c r="AI30" s="259" t="n">
        <v>5212000000</v>
      </c>
      <c r="AJ30" s="259" t="n">
        <v>5438000000</v>
      </c>
    </row>
    <row r="31">
      <c r="A31" t="n">
        <v>17</v>
      </c>
      <c r="B31" t="n">
        <v>1</v>
      </c>
      <c r="G31" t="inlineStr">
        <is>
          <t>moeda</t>
        </is>
      </c>
      <c r="H31" t="inlineStr">
        <is>
          <t>EquityMethodInvestments</t>
        </is>
      </c>
      <c r="J31" t="inlineStr">
        <is>
          <t>fonte</t>
        </is>
      </c>
      <c r="K31" s="259" t="n">
        <v>18020000000</v>
      </c>
      <c r="L31" s="259" t="n">
        <v>18189000000</v>
      </c>
      <c r="M31" s="259" t="n">
        <v>18875000000</v>
      </c>
      <c r="N31" s="259" t="n">
        <v>19273000000</v>
      </c>
      <c r="O31" s="259" t="n">
        <v>18966000000</v>
      </c>
      <c r="P31" s="259" t="n">
        <v>18471000000</v>
      </c>
      <c r="Q31" s="259" t="n">
        <v>18284000000</v>
      </c>
      <c r="R31" s="259" t="n">
        <v>17598000000</v>
      </c>
      <c r="S31" s="259" t="n">
        <v>18198000000</v>
      </c>
      <c r="T31" s="259" t="n">
        <v>17720000000</v>
      </c>
      <c r="U31" s="259" t="n">
        <v>17723000000</v>
      </c>
      <c r="V31" s="259" t="n">
        <v>18264000000</v>
      </c>
      <c r="W31" s="259" t="n">
        <v>18744000000</v>
      </c>
      <c r="X31" s="259" t="n">
        <v>19262000000</v>
      </c>
      <c r="Y31" s="259" t="n">
        <v>19256000000</v>
      </c>
      <c r="Z31" s="259" t="n">
        <v>19671000000</v>
      </c>
      <c r="AA31" s="259" t="n">
        <v>19495000000</v>
      </c>
      <c r="AB31" s="259" t="n">
        <v>18940000000</v>
      </c>
      <c r="AC31" s="259" t="n">
        <v>18993000000</v>
      </c>
      <c r="AD31" s="259" t="n">
        <v>18087000000</v>
      </c>
      <c r="AE31" s="259" t="n">
        <v>18369000000</v>
      </c>
      <c r="AF31" s="259" t="n">
        <v>19379000000</v>
      </c>
      <c r="AG31" s="259" t="n">
        <v>20323000000</v>
      </c>
      <c r="AH31" s="259" t="n">
        <v>20235000000</v>
      </c>
      <c r="AI31" s="259" t="n">
        <v>20403000000</v>
      </c>
      <c r="AJ31" s="259" t="n">
        <v>20782000000</v>
      </c>
    </row>
    <row r="32">
      <c r="A32" t="n">
        <v>18</v>
      </c>
      <c r="B32" t="n">
        <v>1</v>
      </c>
      <c r="G32" t="inlineStr">
        <is>
          <t>moeda</t>
        </is>
      </c>
      <c r="H32" t="inlineStr">
        <is>
          <t>PropertyPlantAndEquipmentNet</t>
        </is>
      </c>
      <c r="J32" t="inlineStr">
        <is>
          <t>fonte</t>
        </is>
      </c>
      <c r="K32" s="259" t="n">
        <v>10993000000</v>
      </c>
      <c r="L32" s="259" t="n">
        <v>10695000000</v>
      </c>
      <c r="M32" s="259" t="n">
        <v>10667000000</v>
      </c>
      <c r="N32" s="259" t="n">
        <v>10777000000</v>
      </c>
      <c r="O32" s="259" t="n">
        <v>10673000000</v>
      </c>
      <c r="P32" s="259" t="n">
        <v>10547000000</v>
      </c>
      <c r="Q32" s="259" t="n">
        <v>10058000000</v>
      </c>
      <c r="R32" s="259" t="n">
        <v>9920000000</v>
      </c>
      <c r="S32" s="259" t="n">
        <v>9784000000</v>
      </c>
      <c r="T32" s="259" t="n">
        <v>9462000000</v>
      </c>
      <c r="U32" s="259" t="n">
        <v>9243000000</v>
      </c>
      <c r="V32" s="259" t="n">
        <v>9841000000</v>
      </c>
      <c r="W32" s="259" t="n">
        <v>9848000000</v>
      </c>
      <c r="X32" s="259" t="n">
        <v>9706000000</v>
      </c>
      <c r="Y32" s="259" t="n">
        <v>8860000000</v>
      </c>
      <c r="Z32" s="259" t="n">
        <v>9236000000</v>
      </c>
      <c r="AA32" s="259" t="n">
        <v>9306000000</v>
      </c>
      <c r="AB32" s="259" t="n">
        <v>9508000000</v>
      </c>
      <c r="AC32" s="259" t="n">
        <v>9864000000</v>
      </c>
      <c r="AD32" s="259" t="n">
        <v>10303000000</v>
      </c>
      <c r="AE32" s="259" t="n">
        <v>10431000000</v>
      </c>
      <c r="AF32" s="259" t="n">
        <v>10784000000</v>
      </c>
      <c r="AG32" s="259" t="n">
        <v>10902000000</v>
      </c>
      <c r="AH32" s="259" t="n">
        <v>9613000000</v>
      </c>
      <c r="AI32" s="259" t="n">
        <v>9522000000</v>
      </c>
      <c r="AJ32" s="259" t="n">
        <v>9636000000</v>
      </c>
    </row>
    <row r="33">
      <c r="A33" t="n">
        <v>20</v>
      </c>
      <c r="B33" t="n">
        <v>1</v>
      </c>
      <c r="G33" t="inlineStr">
        <is>
          <t>moeda</t>
        </is>
      </c>
      <c r="H33" t="inlineStr">
        <is>
          <t>Goodwill</t>
        </is>
      </c>
      <c r="J33" t="inlineStr">
        <is>
          <t>fonte</t>
        </is>
      </c>
      <c r="K33" s="259" t="n">
        <v>16673000000</v>
      </c>
      <c r="L33" s="259" t="n">
        <v>16617000000</v>
      </c>
      <c r="M33" s="259" t="n">
        <v>16887000000</v>
      </c>
      <c r="N33" s="259" t="n">
        <v>17506000000</v>
      </c>
      <c r="O33" s="259" t="n">
        <v>17618000000</v>
      </c>
      <c r="P33" s="259" t="n">
        <v>17693000000</v>
      </c>
      <c r="Q33" s="259" t="n">
        <v>17455000000</v>
      </c>
      <c r="R33" s="259" t="n">
        <v>19363000000</v>
      </c>
      <c r="S33" s="259" t="n">
        <v>19598000000</v>
      </c>
      <c r="T33" s="259" t="n">
        <v>18910000000</v>
      </c>
      <c r="U33" s="259" t="n">
        <v>18329000000</v>
      </c>
      <c r="V33" s="259" t="n">
        <v>18782000000</v>
      </c>
      <c r="W33" s="259" t="n">
        <v>18678000000</v>
      </c>
      <c r="X33" s="259" t="n">
        <v>18545000000</v>
      </c>
      <c r="Y33" s="259" t="n">
        <v>18144000000</v>
      </c>
      <c r="Z33" s="259" t="n">
        <v>18358000000</v>
      </c>
      <c r="AA33" s="259" t="n">
        <v>18210000000</v>
      </c>
      <c r="AB33" s="259" t="n">
        <v>18324000000</v>
      </c>
      <c r="AC33" s="259" t="n">
        <v>18686000000</v>
      </c>
      <c r="AD33" s="259" t="n">
        <v>18139000000</v>
      </c>
      <c r="AE33" s="259" t="n">
        <v>18333000000</v>
      </c>
      <c r="AF33" s="259" t="n">
        <v>18663000000</v>
      </c>
      <c r="AG33" s="259" t="n">
        <v>18662000000</v>
      </c>
      <c r="AH33" s="259" t="n">
        <v>15491000000</v>
      </c>
      <c r="AI33" s="259" t="n">
        <v>15411000000</v>
      </c>
      <c r="AJ33" s="259" t="n">
        <v>15456000000</v>
      </c>
    </row>
    <row r="34">
      <c r="A34" t="n">
        <v>21</v>
      </c>
      <c r="B34" t="n">
        <v>1</v>
      </c>
      <c r="G34" t="inlineStr">
        <is>
          <t>moeda</t>
        </is>
      </c>
      <c r="H34" t="inlineStr">
        <is>
          <t>IndefiniteLivedTrademarks</t>
        </is>
      </c>
      <c r="J34" t="inlineStr">
        <is>
          <t>fonte</t>
        </is>
      </c>
      <c r="K34" s="259" t="n">
        <v>10457000000</v>
      </c>
      <c r="L34" s="259" t="n">
        <v>10172000000</v>
      </c>
      <c r="M34" s="259" t="n">
        <v>10333000000</v>
      </c>
      <c r="N34" s="259" t="n">
        <v>10395000000</v>
      </c>
      <c r="O34" s="259" t="n">
        <v>10584000000</v>
      </c>
      <c r="P34" s="259" t="n">
        <v>10675000000</v>
      </c>
      <c r="Q34" s="259" t="n">
        <v>10449000000</v>
      </c>
      <c r="R34" s="259" t="n">
        <v>14465000000</v>
      </c>
      <c r="S34" s="259" t="n">
        <v>14388000000</v>
      </c>
      <c r="T34" s="259" t="n">
        <v>14271000000</v>
      </c>
      <c r="U34" s="259" t="n">
        <v>13968000000</v>
      </c>
      <c r="V34" s="259" t="n">
        <v>14214000000</v>
      </c>
      <c r="W34" s="259" t="n">
        <v>14283000000</v>
      </c>
      <c r="X34" s="259" t="n">
        <v>14369000000</v>
      </c>
      <c r="Y34" s="259" t="n">
        <v>14213000000</v>
      </c>
      <c r="Z34" s="259" t="n">
        <v>14349000000</v>
      </c>
      <c r="AA34" s="259" t="n">
        <v>13532000000</v>
      </c>
      <c r="AB34" s="259" t="n">
        <v>13510000000</v>
      </c>
      <c r="AC34" s="259" t="n">
        <v>13598000000</v>
      </c>
      <c r="AD34" s="259" t="n">
        <v>13301000000</v>
      </c>
      <c r="AE34" s="259" t="n">
        <v>13425000000</v>
      </c>
      <c r="AF34" s="259" t="n">
        <v>13615000000</v>
      </c>
      <c r="AG34" s="259" t="n">
        <v>13515000000</v>
      </c>
      <c r="AH34" s="259" t="n">
        <v>12531000000</v>
      </c>
      <c r="AI34" s="259" t="n">
        <v>12463000000</v>
      </c>
      <c r="AJ34" s="259" t="n">
        <v>12500000000</v>
      </c>
    </row>
    <row r="35">
      <c r="A35" t="n">
        <v>21</v>
      </c>
      <c r="B35" t="n">
        <v>1</v>
      </c>
      <c r="G35" t="inlineStr">
        <is>
          <t>moeda</t>
        </is>
      </c>
      <c r="H35" t="inlineStr">
        <is>
          <t>IndefiniteLivedFranchiseRights</t>
        </is>
      </c>
      <c r="J35" t="inlineStr">
        <is>
          <t>fonte</t>
        </is>
      </c>
      <c r="K35" s="259" t="n">
        <v>108000000</v>
      </c>
      <c r="L35" s="259" t="n">
        <v>103000000</v>
      </c>
      <c r="M35" s="259" t="n">
        <v>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AvailableForSaleSecuritiesAndCostMethodInvestments</t>
        </is>
      </c>
      <c r="J36" t="inlineStr">
        <is>
          <t>fonte</t>
        </is>
      </c>
      <c r="K36" s="259" t="n">
        <v>652000000</v>
      </c>
      <c r="L36" s="259" t="n">
        <v>746000000</v>
      </c>
      <c r="M36" s="259" t="n">
        <v>712000000</v>
      </c>
      <c r="N36" s="259" t="n">
        <v>812000000</v>
      </c>
      <c r="O36" s="259" t="n">
        <v>806000000</v>
      </c>
      <c r="P36" s="259" t="n">
        <v>945000000</v>
      </c>
      <c r="Q36" s="259" t="n">
        <v>0</v>
      </c>
      <c r="R36" s="259" t="n">
        <v>0</v>
      </c>
      <c r="S36" s="259" t="n">
        <v>0</v>
      </c>
      <c r="T36" s="259" t="n">
        <v>0</v>
      </c>
      <c r="U36" s="259" t="n">
        <v>0</v>
      </c>
      <c r="V36" s="259" t="n">
        <v>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OtherAssetsNoncurrent</t>
        </is>
      </c>
      <c r="J37" t="inlineStr">
        <is>
          <t>fonte</t>
        </is>
      </c>
      <c r="K37" s="259" t="n">
        <v>6001000000</v>
      </c>
      <c r="L37" s="259" t="n">
        <v>5875000000</v>
      </c>
      <c r="M37" s="259" t="n">
        <v>6161000000</v>
      </c>
      <c r="N37" s="259" t="n">
        <v>6184000000</v>
      </c>
      <c r="O37" s="259" t="n">
        <v>6494000000</v>
      </c>
      <c r="P37" s="259" t="n">
        <v>6553000000</v>
      </c>
      <c r="Q37" s="259" t="n">
        <v>6490000000</v>
      </c>
      <c r="R37" s="259" t="n">
        <v>6731000000</v>
      </c>
      <c r="S37" s="259" t="n">
        <v>6392000000</v>
      </c>
      <c r="T37" s="259" t="n">
        <v>6470000000</v>
      </c>
      <c r="U37" s="259" t="n">
        <v>6130000000</v>
      </c>
      <c r="V37" s="259" t="n">
        <v>6189000000</v>
      </c>
      <c r="W37" s="259" t="n">
        <v>6324000000</v>
      </c>
      <c r="X37" s="259" t="n">
        <v>6592000000</v>
      </c>
      <c r="Y37" s="259" t="n">
        <v>7031000000</v>
      </c>
      <c r="Z37" s="259" t="n">
        <v>7162000000</v>
      </c>
      <c r="AA37" s="259" t="n">
        <v>7291000000</v>
      </c>
      <c r="AB37" s="259" t="n">
        <v>7274000000</v>
      </c>
      <c r="AC37" s="259" t="n">
        <v>12904000000</v>
      </c>
      <c r="AD37" s="259" t="n">
        <v>13403000000</v>
      </c>
      <c r="AE37" s="259" t="n">
        <v>13669000000</v>
      </c>
      <c r="AF37" s="259" t="n">
        <v>13958000000</v>
      </c>
      <c r="AG37" s="259" t="n">
        <v>14129000000</v>
      </c>
      <c r="AH37" s="259" t="n">
        <v>14696000000</v>
      </c>
      <c r="AI37" s="259" t="n">
        <v>14887000000</v>
      </c>
      <c r="AJ37" s="259" t="n">
        <v>15582000000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OtherIndefiniteLivedAndFiniteLivedIntangibleAssets</t>
        </is>
      </c>
      <c r="J38" t="inlineStr">
        <is>
          <t>fonte</t>
        </is>
      </c>
      <c r="K38" s="259" t="n">
        <v>600000000</v>
      </c>
      <c r="L38" s="259" t="n">
        <v>555000000</v>
      </c>
      <c r="M38" s="259" t="n">
        <v>700000000</v>
      </c>
      <c r="N38" s="259" t="n">
        <v>649000000</v>
      </c>
      <c r="O38" s="259" t="n">
        <v>588000000</v>
      </c>
      <c r="P38" s="259" t="n">
        <v>538000000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OtherInvestments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897000000</v>
      </c>
      <c r="R39" s="259" t="n">
        <v>818000000</v>
      </c>
      <c r="S39" s="259" t="n">
        <v>788000000</v>
      </c>
      <c r="T39" s="259" t="n">
        <v>655000000</v>
      </c>
      <c r="U39" s="259" t="n">
        <v>582000000</v>
      </c>
      <c r="V39" s="259" t="n">
        <v>501000000</v>
      </c>
      <c r="W39" s="259" t="n">
        <v>337000000</v>
      </c>
      <c r="X39" s="259" t="n">
        <v>158000000</v>
      </c>
      <c r="Y39" s="259" t="n">
        <v>104000000</v>
      </c>
      <c r="Z39" s="259" t="n">
        <v>118000000</v>
      </c>
      <c r="AA39" s="259" t="n">
        <v>147000000</v>
      </c>
      <c r="AB39" s="259" t="n">
        <v>167000000</v>
      </c>
      <c r="AC39" s="259" t="n">
        <v>44000000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22</v>
      </c>
      <c r="B40" t="n">
        <v>1</v>
      </c>
      <c r="G40" t="inlineStr">
        <is>
          <t>moeda</t>
        </is>
      </c>
      <c r="H40" t="inlineStr">
        <is>
          <t>OtherIntangibleAssetsNet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496000000</v>
      </c>
      <c r="R40" s="259" t="n">
        <v>785000000</v>
      </c>
      <c r="S40" s="259" t="n">
        <v>754000000</v>
      </c>
      <c r="T40" s="259" t="n">
        <v>707000000</v>
      </c>
      <c r="U40" s="259" t="n">
        <v>649000000</v>
      </c>
      <c r="V40" s="259" t="n">
        <v>635000000</v>
      </c>
      <c r="W40" s="259" t="n">
        <v>614000000</v>
      </c>
      <c r="X40" s="259" t="n">
        <v>572000000</v>
      </c>
      <c r="Y40" s="259" t="n">
        <v>528000000</v>
      </c>
      <c r="Z40" s="259" t="n">
        <v>516000000</v>
      </c>
      <c r="AA40" s="259" t="n">
        <v>492000000</v>
      </c>
      <c r="AB40" s="259" t="n">
        <v>471000000</v>
      </c>
      <c r="AC40" s="259" t="n">
        <v>461000000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23</v>
      </c>
      <c r="B41" t="n">
        <v>1</v>
      </c>
      <c r="G41" t="inlineStr">
        <is>
          <t>moeda</t>
        </is>
      </c>
      <c r="H41" t="inlineStr">
        <is>
          <t>AccountsPayableAndAccruedLiabilitiesCurrent</t>
        </is>
      </c>
      <c r="J41" t="inlineStr">
        <is>
          <t>fonte</t>
        </is>
      </c>
      <c r="K41" s="259" t="n">
        <v>12640000000</v>
      </c>
      <c r="L41" s="259" t="n">
        <v>11668000000</v>
      </c>
      <c r="M41" s="259" t="n">
        <v>12750000000</v>
      </c>
      <c r="N41" s="259" t="n">
        <v>11145000000</v>
      </c>
      <c r="O41" s="259" t="n">
        <v>10929000000</v>
      </c>
      <c r="P41" s="259" t="n">
        <v>12124000000</v>
      </c>
      <c r="Q41" s="259" t="n">
        <v>12830000000</v>
      </c>
      <c r="R41" s="259" t="n">
        <v>14619000000</v>
      </c>
      <c r="S41" s="259" t="n">
        <v>13272000000</v>
      </c>
      <c r="T41" s="259" t="n">
        <v>14213000000</v>
      </c>
      <c r="U41" s="259" t="n">
        <v>16103000000</v>
      </c>
      <c r="V41" s="259" t="n">
        <v>15749000000</v>
      </c>
      <c r="W41" s="259" t="n">
        <v>15593000000</v>
      </c>
      <c r="X41" s="259" t="n">
        <v>16483000000</v>
      </c>
      <c r="Y41" s="259" t="n">
        <v>16837000000</v>
      </c>
      <c r="Z41" s="259" t="n">
        <v>15485000000</v>
      </c>
      <c r="AA41" s="259" t="n">
        <v>19425000000</v>
      </c>
      <c r="AB41" s="259" t="n">
        <v>21909000000</v>
      </c>
      <c r="AC41" s="259" t="n">
        <v>23820000000</v>
      </c>
      <c r="AD41" s="259" t="n">
        <v>21715000000</v>
      </c>
      <c r="AE41" s="259" t="n">
        <v>16499000000</v>
      </c>
      <c r="AF41" s="259" t="n">
        <v>17030000000</v>
      </c>
      <c r="AG41" s="259" t="n">
        <v>17692000000</v>
      </c>
      <c r="AH41" s="259" t="n">
        <v>14813000000</v>
      </c>
      <c r="AI41" s="259" t="n">
        <v>14409000000</v>
      </c>
      <c r="AJ41" s="259" t="n">
        <v>15434000000</v>
      </c>
    </row>
    <row r="42">
      <c r="A42" t="n">
        <v>25</v>
      </c>
      <c r="B42" t="n">
        <v>1</v>
      </c>
      <c r="G42" t="inlineStr">
        <is>
          <t>moeda</t>
        </is>
      </c>
      <c r="H42" t="inlineStr">
        <is>
          <t>AccruedIncomeTaxesCurrent</t>
        </is>
      </c>
      <c r="J42" t="inlineStr">
        <is>
          <t>fonte</t>
        </is>
      </c>
      <c r="K42" s="259" t="n">
        <v>458000000</v>
      </c>
      <c r="L42" s="259" t="n">
        <v>576000000</v>
      </c>
      <c r="M42" s="259" t="n">
        <v>776000000</v>
      </c>
      <c r="N42" s="259" t="n">
        <v>788000000</v>
      </c>
      <c r="O42" s="259" t="n">
        <v>744000000</v>
      </c>
      <c r="P42" s="259" t="n">
        <v>971000000</v>
      </c>
      <c r="Q42" s="259" t="n">
        <v>846000000</v>
      </c>
      <c r="R42" s="259" t="n">
        <v>686000000</v>
      </c>
      <c r="S42" s="259" t="n">
        <v>866000000</v>
      </c>
      <c r="T42" s="259" t="n">
        <v>1172000000</v>
      </c>
      <c r="U42" s="259" t="n">
        <v>1211000000</v>
      </c>
      <c r="V42" s="259" t="n">
        <v>1203000000</v>
      </c>
      <c r="W42" s="259" t="n">
        <v>1498000000</v>
      </c>
      <c r="X42" s="259" t="n">
        <v>1633000000</v>
      </c>
      <c r="Y42" s="259" t="n">
        <v>1577000000</v>
      </c>
      <c r="Z42" s="259" t="n">
        <v>1569000000</v>
      </c>
      <c r="AA42" s="259" t="n">
        <v>1485000000</v>
      </c>
      <c r="AB42" s="259" t="n">
        <v>1622000000</v>
      </c>
      <c r="AC42" s="259" t="n">
        <v>1479000000</v>
      </c>
      <c r="AD42" s="259" t="n">
        <v>1387000000</v>
      </c>
      <c r="AE42" s="259" t="n">
        <v>1728000000</v>
      </c>
      <c r="AF42" s="259" t="n">
        <v>444000000</v>
      </c>
      <c r="AG42" s="259" t="n">
        <v>568000000</v>
      </c>
      <c r="AH42" s="259" t="n">
        <v>525000000</v>
      </c>
      <c r="AI42" s="259" t="n">
        <v>717000000</v>
      </c>
      <c r="AJ42" s="259" t="n">
        <v>782000000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NotesAndLoansPayable</t>
        </is>
      </c>
      <c r="J43" t="inlineStr">
        <is>
          <t>fonte</t>
        </is>
      </c>
      <c r="K43" s="259" t="n">
        <v>13657000000</v>
      </c>
      <c r="L43" s="259" t="n">
        <v>9423000000</v>
      </c>
      <c r="M43" s="259" t="n">
        <v>5857000000</v>
      </c>
      <c r="N43" s="259" t="n">
        <v>0</v>
      </c>
      <c r="O43" s="259" t="n">
        <v>1933000000</v>
      </c>
      <c r="P43" s="259" t="n">
        <v>1867000000</v>
      </c>
      <c r="Q43" s="259" t="n">
        <v>1866000000</v>
      </c>
      <c r="R43" s="259" t="n">
        <v>0</v>
      </c>
      <c r="S43" s="259" t="n">
        <v>3610000000</v>
      </c>
      <c r="T43" s="259" t="n">
        <v>4358000000</v>
      </c>
      <c r="U43" s="259" t="n">
        <v>3396000000</v>
      </c>
      <c r="V43" s="259" t="n">
        <v>0</v>
      </c>
      <c r="W43" s="259" t="n">
        <v>5455000000</v>
      </c>
      <c r="X43" s="259" t="n">
        <v>4828000000</v>
      </c>
      <c r="Y43" s="259" t="n">
        <v>3915000000</v>
      </c>
      <c r="Z43" s="259" t="n">
        <v>4557000000</v>
      </c>
      <c r="AA43" s="259" t="n">
        <v>6054000000</v>
      </c>
      <c r="AB43" s="259" t="n">
        <v>3793000000</v>
      </c>
      <c r="AC43" s="259" t="n">
        <v>2203000000</v>
      </c>
      <c r="AD43" s="259" t="n">
        <v>1499000000</v>
      </c>
      <c r="AE43" s="259" t="n">
        <v>5418000000</v>
      </c>
      <c r="AF43" s="259" t="n">
        <v>4379000000</v>
      </c>
      <c r="AG43" s="259" t="n">
        <v>2319000000</v>
      </c>
      <c r="AH43" s="259" t="n">
        <v>1551000000</v>
      </c>
      <c r="AI43" s="259" t="n">
        <v>332000000</v>
      </c>
      <c r="AJ43" s="259" t="n">
        <v>48000000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LiabilitiesOfDisposalGroupIncludingDiscontinuedOperation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2570000000</v>
      </c>
      <c r="AI44" s="259" t="n">
        <v>2427000000</v>
      </c>
      <c r="AJ44" s="259" t="n">
        <v>2442000000</v>
      </c>
    </row>
    <row r="45">
      <c r="A45" t="n">
        <v>27</v>
      </c>
      <c r="B45" t="n">
        <v>1</v>
      </c>
      <c r="G45" t="inlineStr">
        <is>
          <t>moeda</t>
        </is>
      </c>
      <c r="H45" t="inlineStr">
        <is>
          <t>LongTermDebtCurrent</t>
        </is>
      </c>
      <c r="J45" t="inlineStr">
        <is>
          <t>fonte</t>
        </is>
      </c>
      <c r="K45" s="259" t="n">
        <v>5642000000</v>
      </c>
      <c r="L45" s="259" t="n">
        <v>5181000000</v>
      </c>
      <c r="M45" s="259" t="n">
        <v>7508000000</v>
      </c>
      <c r="N45" s="259" t="n">
        <v>485000000</v>
      </c>
      <c r="O45" s="259" t="n">
        <v>2880000000</v>
      </c>
      <c r="P45" s="259" t="n">
        <v>337000000</v>
      </c>
      <c r="Q45" s="259" t="n">
        <v>448000000</v>
      </c>
      <c r="R45" s="259" t="n">
        <v>1338000000</v>
      </c>
      <c r="S45" s="259" t="n">
        <v>1039000000</v>
      </c>
      <c r="T45" s="259" t="n">
        <v>788000000</v>
      </c>
      <c r="U45" s="259" t="n">
        <v>729000000</v>
      </c>
      <c r="V45" s="259" t="n">
        <v>399000000</v>
      </c>
      <c r="W45" s="259" t="n">
        <v>811000000</v>
      </c>
      <c r="X45" s="259" t="n">
        <v>1171000000</v>
      </c>
      <c r="Y45" s="259" t="n">
        <v>2080000000</v>
      </c>
      <c r="Z45" s="259" t="n">
        <v>1960000000</v>
      </c>
      <c r="AA45" s="259" t="n">
        <v>1392000000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27</v>
      </c>
      <c r="B46" t="n">
        <v>1</v>
      </c>
      <c r="G46" t="inlineStr">
        <is>
          <t>moeda</t>
        </is>
      </c>
      <c r="H46" t="inlineStr">
        <is>
          <t>ShortTermBorrowings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2183000000</v>
      </c>
      <c r="O46" s="259" t="n">
        <v>0</v>
      </c>
      <c r="P46" s="259" t="n">
        <v>0</v>
      </c>
      <c r="Q46" s="259" t="n">
        <v>0</v>
      </c>
      <c r="R46" s="259" t="n">
        <v>3307000000</v>
      </c>
      <c r="S46" s="259" t="n">
        <v>0</v>
      </c>
      <c r="T46" s="259" t="n">
        <v>0</v>
      </c>
      <c r="U46" s="259" t="n">
        <v>0</v>
      </c>
      <c r="V46" s="259" t="n">
        <v>2373000000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LongTermDebtAndCapitalLeaseObligationsCurrent</t>
        </is>
      </c>
      <c r="J47" t="inlineStr">
        <is>
          <t>fonte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1939000000</v>
      </c>
      <c r="AC47" s="259" t="n">
        <v>1067000000</v>
      </c>
      <c r="AD47" s="259" t="n">
        <v>648000000</v>
      </c>
      <c r="AE47" s="259" t="n">
        <v>163000000</v>
      </c>
      <c r="AF47" s="259" t="n">
        <v>91000000</v>
      </c>
      <c r="AG47" s="259" t="n">
        <v>1920000000</v>
      </c>
      <c r="AH47" s="259" t="n">
        <v>1822000000</v>
      </c>
      <c r="AI47" s="259" t="n">
        <v>4493000000</v>
      </c>
      <c r="AJ47" s="259" t="n">
        <v>6494000000</v>
      </c>
    </row>
    <row r="48">
      <c r="A48" t="n">
        <v>30</v>
      </c>
      <c r="B48" t="n">
        <v>1</v>
      </c>
      <c r="G48" t="inlineStr">
        <is>
          <t>moeda</t>
        </is>
      </c>
      <c r="H48" t="inlineStr">
        <is>
          <t>LongTermDebtNoncurrent</t>
        </is>
      </c>
      <c r="J48" t="inlineStr">
        <is>
          <t>fonte</t>
        </is>
      </c>
      <c r="K48" s="259" t="n">
        <v>31094000000</v>
      </c>
      <c r="L48" s="259" t="n">
        <v>37729000000</v>
      </c>
      <c r="M48" s="259" t="n">
        <v>39502000000</v>
      </c>
      <c r="N48" s="259" t="n">
        <v>40125000000</v>
      </c>
      <c r="O48" s="259" t="n">
        <v>40170000000</v>
      </c>
      <c r="P48" s="259" t="n">
        <v>39804000000</v>
      </c>
      <c r="Q48" s="259" t="n">
        <v>39394000000</v>
      </c>
      <c r="R48" s="259" t="n">
        <v>38116000000</v>
      </c>
      <c r="S48" s="259" t="n">
        <v>37052000000</v>
      </c>
      <c r="T48" s="259" t="n">
        <v>36755000000</v>
      </c>
      <c r="U48" s="259" t="n">
        <v>35462000000</v>
      </c>
      <c r="V48" s="259" t="n">
        <v>36377000000</v>
      </c>
      <c r="W48" s="259" t="n">
        <v>36134000000</v>
      </c>
      <c r="X48" s="259" t="n">
        <v>35626000000</v>
      </c>
      <c r="Y48" s="259" t="n">
        <v>34176000000</v>
      </c>
      <c r="Z48" s="259" t="n">
        <v>35547000000</v>
      </c>
      <c r="AA48" s="259" t="n">
        <v>35104000000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LongTermDebtAndCapitalLeaseObligations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38085000000</v>
      </c>
      <c r="AC49" s="259" t="n">
        <v>42994000000</v>
      </c>
      <c r="AD49" s="259" t="n">
        <v>42375000000</v>
      </c>
      <c r="AE49" s="259" t="n">
        <v>43530000000</v>
      </c>
      <c r="AF49" s="259" t="n">
        <v>44976000000</v>
      </c>
      <c r="AG49" s="259" t="n">
        <v>43177000000</v>
      </c>
      <c r="AH49" s="259" t="n">
        <v>42119000000</v>
      </c>
      <c r="AI49" s="259" t="n">
        <v>39065000000</v>
      </c>
      <c r="AJ49" s="259" t="n">
        <v>37001000000</v>
      </c>
    </row>
    <row r="50">
      <c r="A50" t="n">
        <v>33</v>
      </c>
      <c r="B50" t="n">
        <v>1</v>
      </c>
      <c r="G50" t="inlineStr">
        <is>
          <t>moeda</t>
        </is>
      </c>
      <c r="H50" t="inlineStr">
        <is>
          <t>DeferredIncomeTaxLiabilitiesNet</t>
        </is>
      </c>
      <c r="J50" t="inlineStr">
        <is>
          <t>fonte</t>
        </is>
      </c>
      <c r="K50" s="259" t="n">
        <v>1856000000</v>
      </c>
      <c r="L50" s="259" t="n">
        <v>1969000000</v>
      </c>
      <c r="M50" s="259" t="n">
        <v>1945000000</v>
      </c>
      <c r="N50" s="259" t="n">
        <v>1833000000</v>
      </c>
      <c r="O50" s="259" t="n">
        <v>2447000000</v>
      </c>
      <c r="P50" s="259" t="n">
        <v>2486000000</v>
      </c>
      <c r="Q50" s="259" t="n">
        <v>2688000000</v>
      </c>
      <c r="R50" s="259" t="n">
        <v>2821000000</v>
      </c>
      <c r="S50" s="259" t="n">
        <v>3132000000</v>
      </c>
      <c r="T50" s="259" t="n">
        <v>3034000000</v>
      </c>
      <c r="U50" s="259" t="n">
        <v>3124000000</v>
      </c>
      <c r="V50" s="259" t="n">
        <v>2914000000</v>
      </c>
      <c r="W50" s="259" t="n">
        <v>3171000000</v>
      </c>
      <c r="X50" s="259" t="n">
        <v>2714000000</v>
      </c>
      <c r="Y50" s="259" t="n">
        <v>2733000000</v>
      </c>
      <c r="Z50" s="259" t="n">
        <v>2639000000</v>
      </c>
      <c r="AA50" s="259" t="n">
        <v>2521000000</v>
      </c>
      <c r="AB50" s="259" t="n">
        <v>2366000000</v>
      </c>
      <c r="AC50" s="259" t="n">
        <v>2292000000</v>
      </c>
      <c r="AD50" s="259" t="n">
        <v>2469000000</v>
      </c>
      <c r="AE50" s="259" t="n">
        <v>2311000000</v>
      </c>
      <c r="AF50" s="259" t="n">
        <v>2375000000</v>
      </c>
      <c r="AG50" s="259" t="n">
        <v>2435000000</v>
      </c>
      <c r="AH50" s="259" t="n">
        <v>2406000000</v>
      </c>
      <c r="AI50" s="259" t="n">
        <v>2615000000</v>
      </c>
      <c r="AJ50" s="259" t="n">
        <v>2779000000</v>
      </c>
    </row>
    <row r="51">
      <c r="A51" t="n">
        <v>34</v>
      </c>
      <c r="B51" t="n">
        <v>1</v>
      </c>
      <c r="G51" t="inlineStr">
        <is>
          <t>moeda</t>
        </is>
      </c>
      <c r="H51" t="inlineStr">
        <is>
          <t>OtherLiabilitiesNoncurrent</t>
        </is>
      </c>
      <c r="J51" t="inlineStr">
        <is>
          <t>fonte</t>
        </is>
      </c>
      <c r="K51" s="259" t="n">
        <v>8832000000</v>
      </c>
      <c r="L51" s="259" t="n">
        <v>8954000000</v>
      </c>
      <c r="M51" s="259" t="n">
        <v>8530000000</v>
      </c>
      <c r="N51" s="259" t="n">
        <v>9453000000</v>
      </c>
      <c r="O51" s="259" t="n">
        <v>8558000000</v>
      </c>
      <c r="P51" s="259" t="n">
        <v>8350000000</v>
      </c>
      <c r="Q51" s="259" t="n">
        <v>8401000000</v>
      </c>
      <c r="R51" s="259" t="n">
        <v>8607000000</v>
      </c>
      <c r="S51" s="259" t="n">
        <v>8252000000</v>
      </c>
      <c r="T51" s="259" t="n">
        <v>8046000000</v>
      </c>
      <c r="U51" s="259" t="n">
        <v>8010000000</v>
      </c>
      <c r="V51" s="259" t="n">
        <v>7922000000</v>
      </c>
      <c r="W51" s="259" t="n">
        <v>7874000000</v>
      </c>
      <c r="X51" s="259" t="n">
        <v>8449000000</v>
      </c>
      <c r="Y51" s="259" t="n">
        <v>8427000000</v>
      </c>
      <c r="Z51" s="259" t="n">
        <v>8466000000</v>
      </c>
      <c r="AA51" s="259" t="n">
        <v>5465000000</v>
      </c>
      <c r="AB51" s="259" t="n">
        <v>4077000000</v>
      </c>
      <c r="AC51" s="259" t="n">
        <v>4257000000</v>
      </c>
      <c r="AD51" s="259" t="n">
        <v>4084000000</v>
      </c>
      <c r="AE51" s="259" t="n">
        <v>4313000000</v>
      </c>
      <c r="AF51" s="259" t="n">
        <v>4856000000</v>
      </c>
      <c r="AG51" s="259" t="n">
        <v>4667000000</v>
      </c>
      <c r="AH51" s="259" t="n">
        <v>4735000000</v>
      </c>
      <c r="AI51" s="259" t="n">
        <v>4425000000</v>
      </c>
      <c r="AJ51" s="259" t="n">
        <v>4627000000</v>
      </c>
    </row>
    <row r="52">
      <c r="A52" t="n">
        <v>35</v>
      </c>
      <c r="B52" t="n">
        <v>1</v>
      </c>
      <c r="G52" t="inlineStr">
        <is>
          <t>moeda</t>
        </is>
      </c>
      <c r="H52" t="inlineStr">
        <is>
          <t>MinorityInterest</t>
        </is>
      </c>
      <c r="J52" t="inlineStr">
        <is>
          <t>fonte</t>
        </is>
      </c>
      <c r="K52" s="259" t="n">
        <v>1676000000</v>
      </c>
      <c r="L52" s="259" t="n">
        <v>1705000000</v>
      </c>
      <c r="M52" s="259" t="n">
        <v>1709000000</v>
      </c>
      <c r="N52" s="259" t="n">
        <v>1985000000</v>
      </c>
      <c r="O52" s="259" t="n">
        <v>1977000000</v>
      </c>
      <c r="P52" s="259" t="n">
        <v>2006000000</v>
      </c>
      <c r="Q52" s="259" t="n">
        <v>1954000000</v>
      </c>
      <c r="R52" s="259" t="n">
        <v>1861000000</v>
      </c>
      <c r="S52" s="259" t="n">
        <v>1996000000</v>
      </c>
      <c r="T52" s="259" t="n">
        <v>1798000000</v>
      </c>
      <c r="U52" s="259" t="n">
        <v>1631000000</v>
      </c>
      <c r="V52" s="259" t="n">
        <v>1721000000</v>
      </c>
      <c r="W52" s="259" t="n">
        <v>1651000000</v>
      </c>
      <c r="X52" s="259" t="n">
        <v>1539000000</v>
      </c>
      <c r="Y52" s="259" t="n">
        <v>1508000000</v>
      </c>
      <c r="Z52" s="259" t="n">
        <v>1539000000</v>
      </c>
      <c r="AA52" s="259" t="n">
        <v>1517000000</v>
      </c>
      <c r="AB52" s="259" t="n">
        <v>1558000000</v>
      </c>
      <c r="AC52" s="259" t="n">
        <v>1636000000</v>
      </c>
      <c r="AD52" s="259" t="n">
        <v>1516000000</v>
      </c>
      <c r="AE52" s="259" t="n">
        <v>1552000000</v>
      </c>
      <c r="AF52" s="259" t="n">
        <v>1597000000</v>
      </c>
      <c r="AG52" s="259" t="n">
        <v>2020000000</v>
      </c>
      <c r="AH52" s="259" t="n">
        <v>2106000000</v>
      </c>
      <c r="AI52" s="259" t="n">
        <v>2101000000</v>
      </c>
      <c r="AJ52" s="259" t="n">
        <v>2165000000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CommonStockValue</t>
        </is>
      </c>
      <c r="J53" t="inlineStr">
        <is>
          <t>fonte</t>
        </is>
      </c>
      <c r="K53" s="259" t="n">
        <v>1760000000</v>
      </c>
      <c r="L53" s="259" t="n">
        <v>1760000000</v>
      </c>
      <c r="M53" s="259" t="n">
        <v>1760000000</v>
      </c>
      <c r="N53" s="259" t="n">
        <v>1760000000</v>
      </c>
      <c r="O53" s="259" t="n">
        <v>1760000000</v>
      </c>
      <c r="P53" s="259" t="n">
        <v>1760000000</v>
      </c>
      <c r="Q53" s="259" t="n">
        <v>1760000000</v>
      </c>
      <c r="R53" s="259" t="n">
        <v>1760000000</v>
      </c>
      <c r="S53" s="259" t="n">
        <v>1760000000</v>
      </c>
      <c r="T53" s="259" t="n">
        <v>1760000000</v>
      </c>
      <c r="U53" s="259" t="n">
        <v>1760000000</v>
      </c>
      <c r="V53" s="259" t="n">
        <v>1760000000</v>
      </c>
      <c r="W53" s="259" t="n">
        <v>1760000000</v>
      </c>
      <c r="X53" s="259" t="n">
        <v>1760000000</v>
      </c>
      <c r="Y53" s="259" t="n">
        <v>1760000000</v>
      </c>
      <c r="Z53" s="259" t="n">
        <v>1760000000</v>
      </c>
      <c r="AA53" s="259" t="n">
        <v>1760000000</v>
      </c>
      <c r="AB53" s="259" t="n">
        <v>1760000000</v>
      </c>
      <c r="AC53" s="259" t="n">
        <v>1760000000</v>
      </c>
      <c r="AD53" s="259" t="n">
        <v>1760000000</v>
      </c>
      <c r="AE53" s="259" t="n">
        <v>1760000000</v>
      </c>
      <c r="AF53" s="259" t="n">
        <v>1760000000</v>
      </c>
      <c r="AG53" s="259" t="n">
        <v>1760000000</v>
      </c>
      <c r="AH53" s="259" t="n">
        <v>1760000000</v>
      </c>
      <c r="AI53" s="259" t="n">
        <v>1760000000</v>
      </c>
      <c r="AJ53" s="259" t="n">
        <v>1760000000</v>
      </c>
    </row>
    <row r="54">
      <c r="A54" t="n">
        <v>37</v>
      </c>
      <c r="B54" t="n">
        <v>1</v>
      </c>
      <c r="G54" t="inlineStr">
        <is>
          <t>moeda</t>
        </is>
      </c>
      <c r="H54" t="inlineStr">
        <is>
          <t>AdditionalPaidInCapitalCommonStock</t>
        </is>
      </c>
      <c r="J54" t="inlineStr">
        <is>
          <t>fonte</t>
        </is>
      </c>
      <c r="K54" s="259" t="n">
        <v>17312000000</v>
      </c>
      <c r="L54" s="259" t="n">
        <v>17367000000</v>
      </c>
      <c r="M54" s="259" t="n">
        <v>17463000000</v>
      </c>
      <c r="N54" s="259" t="n">
        <v>17601000000</v>
      </c>
      <c r="O54" s="259" t="n">
        <v>17630000000</v>
      </c>
      <c r="P54" s="259" t="n">
        <v>17781000000</v>
      </c>
      <c r="Q54" s="259" t="n">
        <v>17929000000</v>
      </c>
      <c r="R54" s="259" t="n">
        <v>18116000000</v>
      </c>
      <c r="S54" s="259" t="n">
        <v>18388000000</v>
      </c>
      <c r="T54" s="259" t="n">
        <v>18581000000</v>
      </c>
      <c r="U54" s="259" t="n">
        <v>18687000000</v>
      </c>
      <c r="V54" s="259" t="n">
        <v>18822000000</v>
      </c>
      <c r="W54" s="259" t="n">
        <v>18889000000</v>
      </c>
      <c r="X54" s="259" t="n">
        <v>18993000000</v>
      </c>
      <c r="Y54" s="259" t="n">
        <v>19081000000</v>
      </c>
      <c r="Z54" s="259" t="n">
        <v>19209000000</v>
      </c>
      <c r="AA54" s="259" t="n">
        <v>19321000000</v>
      </c>
      <c r="AB54" s="259" t="n">
        <v>19468000000</v>
      </c>
      <c r="AC54" s="259" t="n">
        <v>19710000000</v>
      </c>
      <c r="AD54" s="259" t="n">
        <v>19801000000</v>
      </c>
      <c r="AE54" s="259" t="n">
        <v>19873000000</v>
      </c>
      <c r="AF54" s="259" t="n">
        <v>19970000000</v>
      </c>
      <c r="AG54" s="259" t="n">
        <v>20489000000</v>
      </c>
      <c r="AH54" s="259" t="n">
        <v>20581000000</v>
      </c>
      <c r="AI54" s="259" t="n">
        <v>20634000000</v>
      </c>
      <c r="AJ54" s="259" t="n">
        <v>20741000000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TreasuryStockValue (divulgado positivo, lançado negativo)</t>
        </is>
      </c>
      <c r="J55" t="inlineStr">
        <is>
          <t>fonte</t>
        </is>
      </c>
      <c r="K55" s="259" t="n">
        <v>-52088000000</v>
      </c>
      <c r="L55" s="259" t="n">
        <v>-52071000000</v>
      </c>
      <c r="M55" s="259" t="n">
        <v>-52033000000</v>
      </c>
      <c r="N55" s="259" t="n">
        <v>-52016000000</v>
      </c>
      <c r="O55" s="259" t="n">
        <v>-51911000000</v>
      </c>
      <c r="P55" s="259" t="n">
        <v>-51831000000</v>
      </c>
      <c r="Q55" s="259" t="n">
        <v>-51754000000</v>
      </c>
      <c r="R55" s="259" t="n">
        <v>-51641000000</v>
      </c>
      <c r="S55" s="259" t="n">
        <v>-51932000000</v>
      </c>
      <c r="T55" s="259" t="n">
        <v>-52505000000</v>
      </c>
      <c r="U55" s="259" t="n">
        <v>-52666000000</v>
      </c>
      <c r="V55" s="259" t="n">
        <v>-52601000000</v>
      </c>
      <c r="W55" s="259" t="n">
        <v>-53247000000</v>
      </c>
      <c r="X55" s="259" t="n">
        <v>-53418000000</v>
      </c>
      <c r="Y55" s="259" t="n">
        <v>-53494000000</v>
      </c>
      <c r="Z55" s="259" t="n">
        <v>-54535000000</v>
      </c>
      <c r="AA55" s="259" t="n">
        <v>-55016000000</v>
      </c>
      <c r="AB55" s="259" t="n">
        <v>-55106000000</v>
      </c>
      <c r="AC55" s="259" t="n">
        <v>-55362000000</v>
      </c>
      <c r="AD55" s="259" t="n">
        <v>-55916000000</v>
      </c>
      <c r="AE55" s="259" t="n">
        <v>-56138000000</v>
      </c>
      <c r="AF55" s="259" t="n">
        <v>-56190000000</v>
      </c>
      <c r="AG55" s="259" t="n">
        <v>-56355000000</v>
      </c>
      <c r="AH55" s="259" t="n">
        <v>-56423000000</v>
      </c>
      <c r="AI55" s="259" t="n">
        <v>-56747000000</v>
      </c>
      <c r="AJ55" s="259" t="n">
        <v>-56894000000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-15696000000</v>
      </c>
      <c r="L56" s="259" t="n">
        <v>-16460000000</v>
      </c>
      <c r="M56" s="259" t="n">
        <v>-15446000000</v>
      </c>
      <c r="N56" s="259" t="n">
        <v>-14601000000</v>
      </c>
      <c r="O56" s="259" t="n">
        <v>-14133000000</v>
      </c>
      <c r="P56" s="259" t="n">
        <v>-13299000000</v>
      </c>
      <c r="Q56" s="259" t="n">
        <v>-14250000000</v>
      </c>
      <c r="R56" s="259" t="n">
        <v>-14330000000</v>
      </c>
      <c r="S56" s="259" t="n">
        <v>-13340000000</v>
      </c>
      <c r="T56" s="259" t="n">
        <v>-14801000000</v>
      </c>
      <c r="U56" s="259" t="n">
        <v>-15869000000</v>
      </c>
      <c r="V56" s="259" t="n">
        <v>-14895000000</v>
      </c>
      <c r="W56" s="259" t="n">
        <v>-14322000000</v>
      </c>
      <c r="X56" s="259" t="n">
        <v>-14017000000</v>
      </c>
      <c r="Y56" s="259" t="n">
        <v>-14815000000</v>
      </c>
      <c r="Z56" s="259" t="n">
        <v>-14275000000</v>
      </c>
      <c r="AA56" s="259" t="n">
        <v>-14504000000</v>
      </c>
      <c r="AB56" s="259" t="n">
        <v>-15458000000</v>
      </c>
      <c r="AC56" s="259" t="n">
        <v>-15536000000</v>
      </c>
      <c r="AD56" s="259" t="n">
        <v>-16843000000</v>
      </c>
      <c r="AE56" s="259" t="n">
        <v>-16482000000</v>
      </c>
      <c r="AF56" s="259" t="n">
        <v>-15758000000</v>
      </c>
      <c r="AG56" s="259" t="n">
        <v>-14952000000</v>
      </c>
      <c r="AH56" s="259" t="n">
        <v>-14131000000</v>
      </c>
      <c r="AI56" s="259" t="n">
        <v>-14040000000</v>
      </c>
      <c r="AJ56" s="259" t="n">
        <v>-13626000000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66870000000</v>
      </c>
      <c r="L57" s="259" t="n">
        <v>66888000000</v>
      </c>
      <c r="M57" s="259" t="n">
        <v>66863000000</v>
      </c>
      <c r="N57" s="259" t="n">
        <v>66555000000</v>
      </c>
      <c r="O57" s="259" t="n">
        <v>67009000000</v>
      </c>
      <c r="P57" s="259" t="n">
        <v>67838000000</v>
      </c>
      <c r="Q57" s="259" t="n">
        <v>68494000000</v>
      </c>
      <c r="R57" s="259" t="n">
        <v>69094000000</v>
      </c>
      <c r="S57" s="259" t="n">
        <v>69969000000</v>
      </c>
      <c r="T57" s="259" t="n">
        <v>69970000000</v>
      </c>
      <c r="U57" s="259" t="n">
        <v>70893000000</v>
      </c>
      <c r="V57" s="259" t="n">
        <v>71019000000</v>
      </c>
      <c r="W57" s="259" t="n">
        <v>72137000000</v>
      </c>
      <c r="X57" s="259" t="n">
        <v>72695000000</v>
      </c>
      <c r="Y57" s="259" t="n">
        <v>73793000000</v>
      </c>
      <c r="Z57" s="259" t="n">
        <v>73782000000</v>
      </c>
      <c r="AA57" s="259" t="n">
        <v>74868000000</v>
      </c>
      <c r="AB57" s="259" t="n">
        <v>75189000000</v>
      </c>
      <c r="AC57" s="259" t="n">
        <v>75946000000</v>
      </c>
      <c r="AD57" s="259" t="n">
        <v>76054000000</v>
      </c>
      <c r="AE57" s="259" t="n">
        <v>77189000000</v>
      </c>
      <c r="AF57" s="259" t="n">
        <v>78803000000</v>
      </c>
      <c r="AG57" s="259" t="n">
        <v>80305000000</v>
      </c>
      <c r="AH57" s="259" t="n">
        <v>80382000000</v>
      </c>
      <c r="AI57" s="259" t="n">
        <v>82026000000</v>
      </c>
      <c r="AJ57" s="259" t="n">
        <v>84169000000</v>
      </c>
    </row>
    <row r="58">
      <c r="A58" t="n">
        <v>15</v>
      </c>
      <c r="B58" t="n">
        <v>1</v>
      </c>
      <c r="G58" t="inlineStr">
        <is>
          <t>moeda</t>
        </is>
      </c>
      <c r="H58" t="inlineStr">
        <is>
          <t>[vazio] Despesas antecipadas: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19</v>
      </c>
      <c r="B59" t="n">
        <v>1</v>
      </c>
      <c r="G59" t="inlineStr">
        <is>
          <t>moeda</t>
        </is>
      </c>
      <c r="H59" t="inlineStr">
        <is>
          <t>[vazio] Direito de uso: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24</v>
      </c>
      <c r="B60" t="n">
        <v>1</v>
      </c>
      <c r="G60" t="inlineStr">
        <is>
          <t>moeda</t>
        </is>
      </c>
      <c r="H60" t="inlineStr">
        <is>
          <t>[vazio] Despesas provisionadas: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31</v>
      </c>
      <c r="B63" t="n">
        <v>1</v>
      </c>
      <c r="G63" t="inlineStr">
        <is>
          <t>moeda</t>
        </is>
      </c>
      <c r="H63" t="inlineStr">
        <is>
          <t>[vazio] Arrendamento LP: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32</v>
      </c>
      <c r="B64" t="n">
        <v>1</v>
      </c>
      <c r="G64" t="inlineStr">
        <is>
          <t>moeda</t>
        </is>
      </c>
      <c r="H64" t="inlineStr">
        <is>
          <t>[vazio] Dívida conversível: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H66" s="254" t="inlineStr">
        <is>
          <t>BALANÇO - totais divulgados (memória)</t>
        </is>
      </c>
    </row>
    <row r="67">
      <c r="G67" t="inlineStr">
        <is>
          <t>moeda</t>
        </is>
      </c>
      <c r="H67" t="inlineStr">
        <is>
          <t>Total do ativo [us-gaap:Assets]</t>
        </is>
      </c>
      <c r="J67" t="inlineStr">
        <is>
          <t>memoria</t>
        </is>
      </c>
      <c r="K67" s="259" t="n">
        <v>94013000000</v>
      </c>
      <c r="L67" s="259" t="n">
        <v>94689000000</v>
      </c>
      <c r="M67" s="259" t="n">
        <v>97184000000</v>
      </c>
      <c r="N67" s="259" t="n">
        <v>87296000000</v>
      </c>
      <c r="O67" s="259" t="n">
        <v>89993000000</v>
      </c>
      <c r="P67" s="259" t="n">
        <v>90194000000</v>
      </c>
      <c r="Q67" s="259" t="n">
        <v>90606000000</v>
      </c>
      <c r="R67" s="259" t="n">
        <v>94354000000</v>
      </c>
      <c r="S67" s="259" t="n">
        <v>94064000000</v>
      </c>
      <c r="T67" s="259" t="n">
        <v>93169000000</v>
      </c>
      <c r="U67" s="259" t="n">
        <v>92471000000</v>
      </c>
      <c r="V67" s="259" t="n">
        <v>92763000000</v>
      </c>
      <c r="W67" s="259" t="n">
        <v>97404000000</v>
      </c>
      <c r="X67" s="259" t="n">
        <v>98456000000</v>
      </c>
      <c r="Y67" s="259" t="n">
        <v>97578000000</v>
      </c>
      <c r="Z67" s="259" t="n">
        <v>97703000000</v>
      </c>
      <c r="AA67" s="259" t="n">
        <v>99392000000</v>
      </c>
      <c r="AB67" s="259" t="n">
        <v>101202000000</v>
      </c>
      <c r="AC67" s="259" t="n">
        <v>106266000000</v>
      </c>
      <c r="AD67" s="259" t="n">
        <v>100549000000</v>
      </c>
      <c r="AE67" s="259" t="n">
        <v>101716000000</v>
      </c>
      <c r="AF67" s="259" t="n">
        <v>104333000000</v>
      </c>
      <c r="AG67" s="259" t="n">
        <v>106045000000</v>
      </c>
      <c r="AH67" s="259" t="n">
        <v>104816000000</v>
      </c>
      <c r="AI67" s="259" t="n">
        <v>104217000000</v>
      </c>
      <c r="AJ67" s="259" t="n">
        <v>107922000000</v>
      </c>
    </row>
    <row r="68">
      <c r="G68" t="inlineStr">
        <is>
          <t>moeda</t>
        </is>
      </c>
      <c r="H68" t="inlineStr">
        <is>
          <t>Total do passivo + PL [us-gaap:LiabilitiesAndStockholdersEquity]</t>
        </is>
      </c>
      <c r="J68" t="inlineStr">
        <is>
          <t>memoria</t>
        </is>
      </c>
      <c r="K68" s="259" t="n">
        <v>94013000000</v>
      </c>
      <c r="L68" s="259" t="n">
        <v>94689000000</v>
      </c>
      <c r="M68" s="259" t="n">
        <v>97184000000</v>
      </c>
      <c r="N68" s="259" t="n">
        <v>87296000000</v>
      </c>
      <c r="O68" s="259" t="n">
        <v>89993000000</v>
      </c>
      <c r="P68" s="259" t="n">
        <v>90194000000</v>
      </c>
      <c r="Q68" s="259" t="n">
        <v>90606000000</v>
      </c>
      <c r="R68" s="259" t="n">
        <v>94354000000</v>
      </c>
      <c r="S68" s="259" t="n">
        <v>94064000000</v>
      </c>
      <c r="T68" s="259" t="n">
        <v>93169000000</v>
      </c>
      <c r="U68" s="259" t="n">
        <v>92471000000</v>
      </c>
      <c r="V68" s="259" t="n">
        <v>92763000000</v>
      </c>
      <c r="W68" s="259" t="n">
        <v>97404000000</v>
      </c>
      <c r="X68" s="259" t="n">
        <v>98456000000</v>
      </c>
      <c r="Y68" s="259" t="n">
        <v>97578000000</v>
      </c>
      <c r="Z68" s="259" t="n">
        <v>97703000000</v>
      </c>
      <c r="AA68" s="259" t="n">
        <v>99392000000</v>
      </c>
      <c r="AB68" s="259" t="n">
        <v>101202000000</v>
      </c>
      <c r="AC68" s="259" t="n">
        <v>106266000000</v>
      </c>
      <c r="AD68" s="259" t="n">
        <v>100549000000</v>
      </c>
      <c r="AE68" s="259" t="n">
        <v>101716000000</v>
      </c>
      <c r="AF68" s="259" t="n">
        <v>104333000000</v>
      </c>
      <c r="AG68" s="259" t="n">
        <v>106045000000</v>
      </c>
      <c r="AH68" s="259" t="n">
        <v>104816000000</v>
      </c>
      <c r="AI68" s="259" t="n">
        <v>104217000000</v>
      </c>
      <c r="AJ68" s="259" t="n">
        <v>107922000000</v>
      </c>
    </row>
    <row r="69">
      <c r="H69" s="254" t="inlineStr">
        <is>
          <t>CHECKS (devem ser 0)</t>
        </is>
      </c>
    </row>
    <row r="70">
      <c r="G70" t="inlineStr">
        <is>
          <t>moeda</t>
        </is>
      </c>
      <c r="H70" t="inlineStr">
        <is>
          <t>CHECK: contas de ativo - ativo total (USD, arredondado a 100 mil)</t>
        </is>
      </c>
      <c r="J70" t="inlineStr">
        <is>
          <t>derivada</t>
        </is>
      </c>
      <c r="K70" s="260">
        <f>ROUND(N(K22)+N(K23)+N(K24)+N(K25)+N(K26)+N(K27)+N(K28)+N(K29)+N(K30)+N(K31)+N(K32)+N(K33)+N(K34)+N(K35)+N(K36)+N(K37)+N(K38)+N(K39)+N(K40)-N(K67),-5)</f>
        <v>0</v>
      </c>
      <c r="L70" s="260">
        <f>ROUND(N(L22)+N(L23)+N(L24)+N(L25)+N(L26)+N(L27)+N(L28)+N(L29)+N(L30)+N(L31)+N(L32)+N(L33)+N(L34)+N(L35)+N(L36)+N(L37)+N(L38)+N(L39)+N(L40)-N(L67),-5)</f>
        <v>0</v>
      </c>
      <c r="M70" s="260">
        <f>ROUND(N(M22)+N(M23)+N(M24)+N(M25)+N(M26)+N(M27)+N(M28)+N(M29)+N(M30)+N(M31)+N(M32)+N(M33)+N(M34)+N(M35)+N(M36)+N(M37)+N(M38)+N(M39)+N(M40)-N(M67),-5)</f>
        <v>0</v>
      </c>
      <c r="N70" s="260">
        <f>ROUND(N(N22)+N(N23)+N(N24)+N(N25)+N(N26)+N(N27)+N(N28)+N(N29)+N(N30)+N(N31)+N(N32)+N(N33)+N(N34)+N(N35)+N(N36)+N(N37)+N(N38)+N(N39)+N(N40)-N(N67),-5)</f>
        <v>0</v>
      </c>
      <c r="O70" s="260">
        <f>ROUND(N(O22)+N(O23)+N(O24)+N(O25)+N(O26)+N(O27)+N(O28)+N(O29)+N(O30)+N(O31)+N(O32)+N(O33)+N(O34)+N(O35)+N(O36)+N(O37)+N(O38)+N(O39)+N(O40)-N(O67),-5)</f>
        <v>0</v>
      </c>
      <c r="P70" s="260">
        <f>ROUND(N(P22)+N(P23)+N(P24)+N(P25)+N(P26)+N(P27)+N(P28)+N(P29)+N(P30)+N(P31)+N(P32)+N(P33)+N(P34)+N(P35)+N(P36)+N(P37)+N(P38)+N(P39)+N(P40)-N(P67),-5)</f>
        <v>0</v>
      </c>
      <c r="Q70" s="260">
        <f>ROUND(N(Q22)+N(Q23)+N(Q24)+N(Q25)+N(Q26)+N(Q27)+N(Q28)+N(Q29)+N(Q30)+N(Q31)+N(Q32)+N(Q33)+N(Q34)+N(Q35)+N(Q36)+N(Q37)+N(Q38)+N(Q39)+N(Q40)-N(Q67),-5)</f>
        <v>0</v>
      </c>
      <c r="R70" s="260">
        <f>ROUND(N(R22)+N(R23)+N(R24)+N(R25)+N(R26)+N(R27)+N(R28)+N(R29)+N(R30)+N(R31)+N(R32)+N(R33)+N(R34)+N(R35)+N(R36)+N(R37)+N(R38)+N(R39)+N(R40)-N(R67),-5)</f>
        <v>0</v>
      </c>
      <c r="S70" s="260">
        <f>ROUND(N(S22)+N(S23)+N(S24)+N(S25)+N(S26)+N(S27)+N(S28)+N(S29)+N(S30)+N(S31)+N(S32)+N(S33)+N(S34)+N(S35)+N(S36)+N(S37)+N(S38)+N(S39)+N(S40)-N(S67),-5)</f>
        <v>0</v>
      </c>
      <c r="T70" s="260">
        <f>ROUND(N(T22)+N(T23)+N(T24)+N(T25)+N(T26)+N(T27)+N(T28)+N(T29)+N(T30)+N(T31)+N(T32)+N(T33)+N(T34)+N(T35)+N(T36)+N(T37)+N(T38)+N(T39)+N(T40)-N(T67),-5)</f>
        <v>0</v>
      </c>
      <c r="U70" s="260">
        <f>ROUND(N(U22)+N(U23)+N(U24)+N(U25)+N(U26)+N(U27)+N(U28)+N(U29)+N(U30)+N(U31)+N(U32)+N(U33)+N(U34)+N(U35)+N(U36)+N(U37)+N(U38)+N(U39)+N(U40)-N(U67),-5)</f>
        <v>0</v>
      </c>
      <c r="V70" s="260">
        <f>ROUND(N(V22)+N(V23)+N(V24)+N(V25)+N(V26)+N(V27)+N(V28)+N(V29)+N(V30)+N(V31)+N(V32)+N(V33)+N(V34)+N(V35)+N(V36)+N(V37)+N(V38)+N(V39)+N(V40)-N(V67),-5)</f>
        <v>0</v>
      </c>
      <c r="W70" s="260">
        <f>ROUND(N(W22)+N(W23)+N(W24)+N(W25)+N(W26)+N(W27)+N(W28)+N(W29)+N(W30)+N(W31)+N(W32)+N(W33)+N(W34)+N(W35)+N(W36)+N(W37)+N(W38)+N(W39)+N(W40)-N(W67),-5)</f>
        <v>0</v>
      </c>
      <c r="X70" s="260">
        <f>ROUND(N(X22)+N(X23)+N(X24)+N(X25)+N(X26)+N(X27)+N(X28)+N(X29)+N(X30)+N(X31)+N(X32)+N(X33)+N(X34)+N(X35)+N(X36)+N(X37)+N(X38)+N(X39)+N(X40)-N(X67),-5)</f>
        <v>0</v>
      </c>
      <c r="Y70" s="260">
        <f>ROUND(N(Y22)+N(Y23)+N(Y24)+N(Y25)+N(Y26)+N(Y27)+N(Y28)+N(Y29)+N(Y30)+N(Y31)+N(Y32)+N(Y33)+N(Y34)+N(Y35)+N(Y36)+N(Y37)+N(Y38)+N(Y39)+N(Y40)-N(Y67),-5)</f>
        <v>0</v>
      </c>
      <c r="Z70" s="260">
        <f>ROUND(N(Z22)+N(Z23)+N(Z24)+N(Z25)+N(Z26)+N(Z27)+N(Z28)+N(Z29)+N(Z30)+N(Z31)+N(Z32)+N(Z33)+N(Z34)+N(Z35)+N(Z36)+N(Z37)+N(Z38)+N(Z39)+N(Z40)-N(Z67),-5)</f>
        <v>0</v>
      </c>
      <c r="AA70" s="260">
        <f>ROUND(N(AA22)+N(AA23)+N(AA24)+N(AA25)+N(AA26)+N(AA27)+N(AA28)+N(AA29)+N(AA30)+N(AA31)+N(AA32)+N(AA33)+N(AA34)+N(AA35)+N(AA36)+N(AA37)+N(AA38)+N(AA39)+N(AA40)-N(AA67),-5)</f>
        <v>0</v>
      </c>
      <c r="AB70" s="260">
        <f>ROUND(N(AB22)+N(AB23)+N(AB24)+N(AB25)+N(AB26)+N(AB27)+N(AB28)+N(AB29)+N(AB30)+N(AB31)+N(AB32)+N(AB33)+N(AB34)+N(AB35)+N(AB36)+N(AB37)+N(AB38)+N(AB39)+N(AB40)-N(AB67),-5)</f>
        <v>0</v>
      </c>
      <c r="AC70" s="260">
        <f>ROUND(N(AC22)+N(AC23)+N(AC24)+N(AC25)+N(AC26)+N(AC27)+N(AC28)+N(AC29)+N(AC30)+N(AC31)+N(AC32)+N(AC33)+N(AC34)+N(AC35)+N(AC36)+N(AC37)+N(AC38)+N(AC39)+N(AC40)-N(AC67),-5)</f>
        <v>0</v>
      </c>
      <c r="AD70" s="260">
        <f>ROUND(N(AD22)+N(AD23)+N(AD24)+N(AD25)+N(AD26)+N(AD27)+N(AD28)+N(AD29)+N(AD30)+N(AD31)+N(AD32)+N(AD33)+N(AD34)+N(AD35)+N(AD36)+N(AD37)+N(AD38)+N(AD39)+N(AD40)-N(AD67),-5)</f>
        <v>0</v>
      </c>
      <c r="AE70" s="260">
        <f>ROUND(N(AE22)+N(AE23)+N(AE24)+N(AE25)+N(AE26)+N(AE27)+N(AE28)+N(AE29)+N(AE30)+N(AE31)+N(AE32)+N(AE33)+N(AE34)+N(AE35)+N(AE36)+N(AE37)+N(AE38)+N(AE39)+N(AE40)-N(AE67),-5)</f>
        <v>0</v>
      </c>
      <c r="AF70" s="260">
        <f>ROUND(N(AF22)+N(AF23)+N(AF24)+N(AF25)+N(AF26)+N(AF27)+N(AF28)+N(AF29)+N(AF30)+N(AF31)+N(AF32)+N(AF33)+N(AF34)+N(AF35)+N(AF36)+N(AF37)+N(AF38)+N(AF39)+N(AF40)-N(AF67),-5)</f>
        <v>0</v>
      </c>
      <c r="AG70" s="260">
        <f>ROUND(N(AG22)+N(AG23)+N(AG24)+N(AG25)+N(AG26)+N(AG27)+N(AG28)+N(AG29)+N(AG30)+N(AG31)+N(AG32)+N(AG33)+N(AG34)+N(AG35)+N(AG36)+N(AG37)+N(AG38)+N(AG39)+N(AG40)-N(AG67),-5)</f>
        <v>0</v>
      </c>
      <c r="AH70" s="260">
        <f>ROUND(N(AH22)+N(AH23)+N(AH24)+N(AH25)+N(AH26)+N(AH27)+N(AH28)+N(AH29)+N(AH30)+N(AH31)+N(AH32)+N(AH33)+N(AH34)+N(AH35)+N(AH36)+N(AH37)+N(AH38)+N(AH39)+N(AH40)-N(AH67),-5)</f>
        <v>0</v>
      </c>
      <c r="AI70" s="260">
        <f>ROUND(N(AI22)+N(AI23)+N(AI24)+N(AI25)+N(AI26)+N(AI27)+N(AI28)+N(AI29)+N(AI30)+N(AI31)+N(AI32)+N(AI33)+N(AI34)+N(AI35)+N(AI36)+N(AI37)+N(AI38)+N(AI39)+N(AI40)-N(AI67),-5)</f>
        <v>0</v>
      </c>
      <c r="AJ70" s="260">
        <f>ROUND(N(AJ22)+N(AJ23)+N(AJ24)+N(AJ25)+N(AJ26)+N(AJ27)+N(AJ28)+N(AJ29)+N(AJ30)+N(AJ31)+N(AJ32)+N(AJ33)+N(AJ34)+N(AJ35)+N(AJ36)+N(AJ37)+N(AJ38)+N(AJ39)+N(AJ40)-N(AJ67),-5)</f>
        <v>0</v>
      </c>
    </row>
    <row r="71">
      <c r="G71" t="inlineStr">
        <is>
          <t>moeda</t>
        </is>
      </c>
      <c r="H71" t="inlineStr">
        <is>
          <t>CHECK: passivo + PL (contas) - passivo + PL total</t>
        </is>
      </c>
      <c r="J71" t="inlineStr">
        <is>
          <t>derivada</t>
        </is>
      </c>
      <c r="K71" s="260">
        <f>ROUND(N(K41)+N(K42)+N(K43)+N(K44)+N(K45)+N(K46)+N(K47)+N(K48)+N(K49)+N(K50)+N(K51)+N(K52)+N(K53)+N(K54)+N(K55)+N(K56)+N(K57)-N(K68),-5)</f>
        <v>0</v>
      </c>
      <c r="L71" s="260">
        <f>ROUND(N(L41)+N(L42)+N(L43)+N(L44)+N(L45)+N(L46)+N(L47)+N(L48)+N(L49)+N(L50)+N(L51)+N(L52)+N(L53)+N(L54)+N(L55)+N(L56)+N(L57)-N(L68),-5)</f>
        <v>0</v>
      </c>
      <c r="M71" s="260">
        <f>ROUND(N(M41)+N(M42)+N(M43)+N(M44)+N(M45)+N(M46)+N(M47)+N(M48)+N(M49)+N(M50)+N(M51)+N(M52)+N(M53)+N(M54)+N(M55)+N(M56)+N(M57)-N(M68),-5)</f>
        <v>0</v>
      </c>
      <c r="N71" s="260">
        <f>ROUND(N(N41)+N(N42)+N(N43)+N(N44)+N(N45)+N(N46)+N(N47)+N(N48)+N(N49)+N(N50)+N(N51)+N(N52)+N(N53)+N(N54)+N(N55)+N(N56)+N(N57)-N(N68),-5)</f>
        <v>0</v>
      </c>
      <c r="O71" s="260">
        <f>ROUND(N(O41)+N(O42)+N(O43)+N(O44)+N(O45)+N(O46)+N(O47)+N(O48)+N(O49)+N(O50)+N(O51)+N(O52)+N(O53)+N(O54)+N(O55)+N(O56)+N(O57)-N(O68),-5)</f>
        <v>0</v>
      </c>
      <c r="P71" s="260">
        <f>ROUND(N(P41)+N(P42)+N(P43)+N(P44)+N(P45)+N(P46)+N(P47)+N(P48)+N(P49)+N(P50)+N(P51)+N(P52)+N(P53)+N(P54)+N(P55)+N(P56)+N(P57)-N(P68),-5)</f>
        <v>0</v>
      </c>
      <c r="Q71" s="260">
        <f>ROUND(N(Q41)+N(Q42)+N(Q43)+N(Q44)+N(Q45)+N(Q46)+N(Q47)+N(Q48)+N(Q49)+N(Q50)+N(Q51)+N(Q52)+N(Q53)+N(Q54)+N(Q55)+N(Q56)+N(Q57)-N(Q68),-5)</f>
        <v>0</v>
      </c>
      <c r="R71" s="260">
        <f>ROUND(N(R41)+N(R42)+N(R43)+N(R44)+N(R45)+N(R46)+N(R47)+N(R48)+N(R49)+N(R50)+N(R51)+N(R52)+N(R53)+N(R54)+N(R55)+N(R56)+N(R57)-N(R68),-5)</f>
        <v>0</v>
      </c>
      <c r="S71" s="260">
        <f>ROUND(N(S41)+N(S42)+N(S43)+N(S44)+N(S45)+N(S46)+N(S47)+N(S48)+N(S49)+N(S50)+N(S51)+N(S52)+N(S53)+N(S54)+N(S55)+N(S56)+N(S57)-N(S68),-5)</f>
        <v>0</v>
      </c>
      <c r="T71" s="260">
        <f>ROUND(N(T41)+N(T42)+N(T43)+N(T44)+N(T45)+N(T46)+N(T47)+N(T48)+N(T49)+N(T50)+N(T51)+N(T52)+N(T53)+N(T54)+N(T55)+N(T56)+N(T57)-N(T68),-5)</f>
        <v>0</v>
      </c>
      <c r="U71" s="260">
        <f>ROUND(N(U41)+N(U42)+N(U43)+N(U44)+N(U45)+N(U46)+N(U47)+N(U48)+N(U49)+N(U50)+N(U51)+N(U52)+N(U53)+N(U54)+N(U55)+N(U56)+N(U57)-N(U68),-5)</f>
        <v>0</v>
      </c>
      <c r="V71" s="260">
        <f>ROUND(N(V41)+N(V42)+N(V43)+N(V44)+N(V45)+N(V46)+N(V47)+N(V48)+N(V49)+N(V50)+N(V51)+N(V52)+N(V53)+N(V54)+N(V55)+N(V56)+N(V57)-N(V68),-5)</f>
        <v>0</v>
      </c>
      <c r="W71" s="260">
        <f>ROUND(N(W41)+N(W42)+N(W43)+N(W44)+N(W45)+N(W46)+N(W47)+N(W48)+N(W49)+N(W50)+N(W51)+N(W52)+N(W53)+N(W54)+N(W55)+N(W56)+N(W57)-N(W68),-5)</f>
        <v>0</v>
      </c>
      <c r="X71" s="260">
        <f>ROUND(N(X41)+N(X42)+N(X43)+N(X44)+N(X45)+N(X46)+N(X47)+N(X48)+N(X49)+N(X50)+N(X51)+N(X52)+N(X53)+N(X54)+N(X55)+N(X56)+N(X57)-N(X68),-5)</f>
        <v>0</v>
      </c>
      <c r="Y71" s="260">
        <f>ROUND(N(Y41)+N(Y42)+N(Y43)+N(Y44)+N(Y45)+N(Y46)+N(Y47)+N(Y48)+N(Y49)+N(Y50)+N(Y51)+N(Y52)+N(Y53)+N(Y54)+N(Y55)+N(Y56)+N(Y57)-N(Y68),-5)</f>
        <v>0</v>
      </c>
      <c r="Z71" s="260">
        <f>ROUND(N(Z41)+N(Z42)+N(Z43)+N(Z44)+N(Z45)+N(Z46)+N(Z47)+N(Z48)+N(Z49)+N(Z50)+N(Z51)+N(Z52)+N(Z53)+N(Z54)+N(Z55)+N(Z56)+N(Z57)-N(Z68),-5)</f>
        <v>0</v>
      </c>
      <c r="AA71" s="260">
        <f>ROUND(N(AA41)+N(AA42)+N(AA43)+N(AA44)+N(AA45)+N(AA46)+N(AA47)+N(AA48)+N(AA49)+N(AA50)+N(AA51)+N(AA52)+N(AA53)+N(AA54)+N(AA55)+N(AA56)+N(AA57)-N(AA68),-5)</f>
        <v>0</v>
      </c>
      <c r="AB71" s="260">
        <f>ROUND(N(AB41)+N(AB42)+N(AB43)+N(AB44)+N(AB45)+N(AB46)+N(AB47)+N(AB48)+N(AB49)+N(AB50)+N(AB51)+N(AB52)+N(AB53)+N(AB54)+N(AB55)+N(AB56)+N(AB57)-N(AB68),-5)</f>
        <v>0</v>
      </c>
      <c r="AC71" s="260">
        <f>ROUND(N(AC41)+N(AC42)+N(AC43)+N(AC44)+N(AC45)+N(AC46)+N(AC47)+N(AC48)+N(AC49)+N(AC50)+N(AC51)+N(AC52)+N(AC53)+N(AC54)+N(AC55)+N(AC56)+N(AC57)-N(AC68),-5)</f>
        <v>0</v>
      </c>
      <c r="AD71" s="260">
        <f>ROUND(N(AD41)+N(AD42)+N(AD43)+N(AD44)+N(AD45)+N(AD46)+N(AD47)+N(AD48)+N(AD49)+N(AD50)+N(AD51)+N(AD52)+N(AD53)+N(AD54)+N(AD55)+N(AD56)+N(AD57)-N(AD68),-5)</f>
        <v>0</v>
      </c>
      <c r="AE71" s="260">
        <f>ROUND(N(AE41)+N(AE42)+N(AE43)+N(AE44)+N(AE45)+N(AE46)+N(AE47)+N(AE48)+N(AE49)+N(AE50)+N(AE51)+N(AE52)+N(AE53)+N(AE54)+N(AE55)+N(AE56)+N(AE57)-N(AE68),-5)</f>
        <v>0</v>
      </c>
      <c r="AF71" s="260">
        <f>ROUND(N(AF41)+N(AF42)+N(AF43)+N(AF44)+N(AF45)+N(AF46)+N(AF47)+N(AF48)+N(AF49)+N(AF50)+N(AF51)+N(AF52)+N(AF53)+N(AF54)+N(AF55)+N(AF56)+N(AF57)-N(AF68),-5)</f>
        <v>0</v>
      </c>
      <c r="AG71" s="260">
        <f>ROUND(N(AG41)+N(AG42)+N(AG43)+N(AG44)+N(AG45)+N(AG46)+N(AG47)+N(AG48)+N(AG49)+N(AG50)+N(AG51)+N(AG52)+N(AG53)+N(AG54)+N(AG55)+N(AG56)+N(AG57)-N(AG68),-5)</f>
        <v>0</v>
      </c>
      <c r="AH71" s="260">
        <f>ROUND(N(AH41)+N(AH42)+N(AH43)+N(AH44)+N(AH45)+N(AH46)+N(AH47)+N(AH48)+N(AH49)+N(AH50)+N(AH51)+N(AH52)+N(AH53)+N(AH54)+N(AH55)+N(AH56)+N(AH57)-N(AH68),-5)</f>
        <v>0</v>
      </c>
      <c r="AI71" s="260">
        <f>ROUND(N(AI41)+N(AI42)+N(AI43)+N(AI44)+N(AI45)+N(AI46)+N(AI47)+N(AI48)+N(AI49)+N(AI50)+N(AI51)+N(AI52)+N(AI53)+N(AI54)+N(AI55)+N(AI56)+N(AI57)-N(AI68),-5)</f>
        <v>0</v>
      </c>
      <c r="AJ71" s="260">
        <f>ROUND(N(AJ41)+N(AJ42)+N(AJ43)+N(AJ44)+N(AJ45)+N(AJ46)+N(AJ47)+N(AJ48)+N(AJ49)+N(AJ50)+N(AJ51)+N(AJ52)+N(AJ53)+N(AJ54)+N(AJ55)+N(AJ56)+N(AJ57)-N(AJ68),-5)</f>
        <v>0</v>
      </c>
    </row>
    <row r="72">
      <c r="H72" t="inlineStr">
        <is>
          <t>CHECK: receita - custo - despesas + não operacional - IR - minoritários + outros após IR - lucro (deve ser 0)</t>
        </is>
      </c>
      <c r="J72" t="inlineStr">
        <is>
          <t>derivada</t>
        </is>
      </c>
      <c r="K72">
        <f>ROUND(N(K6)-N(K7)-N(K9)+N(K11)-N(K13)-N(K14)+N(K16)-N(K17),-5)</f>
        <v>0</v>
      </c>
      <c r="L72">
        <f>ROUND(N(L6)-N(L7)-N(L9)+N(L11)-N(L13)-N(L14)+N(L16)-N(L17),-5)</f>
        <v>0</v>
      </c>
      <c r="M72">
        <f>ROUND(N(M6)-N(M7)-N(M9)+N(M11)-N(M13)-N(M14)+N(M16)-N(M17),-5)</f>
        <v>0</v>
      </c>
      <c r="N72">
        <f>ROUND(N(N6)-N(N7)-N(N9)+N(N11)-N(N13)-N(N14)+N(N16)-N(N17),-5)</f>
        <v>0</v>
      </c>
      <c r="O72">
        <f>ROUND(N(O6)-N(O7)-N(O9)+N(O11)-N(O13)-N(O14)+N(O16)-N(O17),-5)</f>
        <v>0</v>
      </c>
      <c r="P72">
        <f>ROUND(N(P6)-N(P7)-N(P9)+N(P11)-N(P13)-N(P14)+N(P16)-N(P17),-5)</f>
        <v>0</v>
      </c>
      <c r="Q72">
        <f>ROUND(N(Q6)-N(Q7)-N(Q9)+N(Q11)-N(Q13)-N(Q14)+N(Q16)-N(Q17),-5)</f>
        <v>0</v>
      </c>
      <c r="R72">
        <f>ROUND(N(R6)-N(R7)-N(R9)+N(R11)-N(R13)-N(R14)+N(R16)-N(R17),-5)</f>
        <v>0</v>
      </c>
      <c r="S72">
        <f>ROUND(N(S6)-N(S7)-N(S9)+N(S11)-N(S13)-N(S14)+N(S16)-N(S17),-5)</f>
        <v>0</v>
      </c>
      <c r="T72">
        <f>ROUND(N(T6)-N(T7)-N(T9)+N(T11)-N(T13)-N(T14)+N(T16)-N(T17),-5)</f>
        <v>0</v>
      </c>
      <c r="U72">
        <f>ROUND(N(U6)-N(U7)-N(U9)+N(U11)-N(U13)-N(U14)+N(U16)-N(U17),-5)</f>
        <v>0</v>
      </c>
      <c r="V72">
        <f>ROUND(N(V6)-N(V7)-N(V9)+N(V11)-N(V13)-N(V14)+N(V16)-N(V17),-5)</f>
        <v>0</v>
      </c>
      <c r="W72">
        <f>ROUND(N(W6)-N(W7)-N(W9)+N(W11)-N(W13)-N(W14)+N(W16)-N(W17),-5)</f>
        <v>0</v>
      </c>
      <c r="X72">
        <f>ROUND(N(X6)-N(X7)-N(X9)+N(X11)-N(X13)-N(X14)+N(X16)-N(X17),-5)</f>
        <v>0</v>
      </c>
      <c r="Y72">
        <f>ROUND(N(Y6)-N(Y7)-N(Y9)+N(Y11)-N(Y13)-N(Y14)+N(Y16)-N(Y17),-5)</f>
        <v>0</v>
      </c>
      <c r="Z72">
        <f>ROUND(N(Z6)-N(Z7)-N(Z9)+N(Z11)-N(Z13)-N(Z14)+N(Z16)-N(Z17),-5)</f>
        <v>0</v>
      </c>
      <c r="AA72">
        <f>ROUND(N(AA6)-N(AA7)-N(AA9)+N(AA11)-N(AA13)-N(AA14)+N(AA16)-N(AA17),-5)</f>
        <v>0</v>
      </c>
      <c r="AB72">
        <f>ROUND(N(AB6)-N(AB7)-N(AB9)+N(AB11)-N(AB13)-N(AB14)+N(AB16)-N(AB17),-5)</f>
        <v>0</v>
      </c>
      <c r="AC72">
        <f>ROUND(N(AC6)-N(AC7)-N(AC9)+N(AC11)-N(AC13)-N(AC14)+N(AC16)-N(AC17),-5)</f>
        <v>0</v>
      </c>
      <c r="AD72">
        <f>ROUND(N(AD6)-N(AD7)-N(AD9)+N(AD11)-N(AD13)-N(AD14)+N(AD16)-N(AD17),-5)</f>
        <v>0</v>
      </c>
      <c r="AE72">
        <f>ROUND(N(AE6)-N(AE7)-N(AE9)+N(AE11)-N(AE13)-N(AE14)+N(AE16)-N(AE17),-5)</f>
        <v>0</v>
      </c>
      <c r="AF72">
        <f>ROUND(N(AF6)-N(AF7)-N(AF9)+N(AF11)-N(AF13)-N(AF14)+N(AF16)-N(AF17),-5)</f>
        <v>0</v>
      </c>
      <c r="AG72">
        <f>ROUND(N(AG6)-N(AG7)-N(AG9)+N(AG11)-N(AG13)-N(AG14)+N(AG16)-N(AG17),-5)</f>
        <v>0</v>
      </c>
      <c r="AH72">
        <f>ROUND(N(AH6)-N(AH7)-N(AH9)+N(AH11)-N(AH13)-N(AH14)+N(AH16)-N(AH17),-5)</f>
        <v>0</v>
      </c>
      <c r="AI72">
        <f>ROUND(N(AI6)-N(AI7)-N(AI9)+N(AI11)-N(AI13)-N(AI14)+N(AI16)-N(AI17),-5)</f>
        <v>0</v>
      </c>
      <c r="AJ72">
        <f>ROUND(N(AJ6)-N(AJ7)-N(AJ9)+N(AJ11)-N(AJ13)-N(AJ14)+N(AJ16)-N(AJ17),-5)</f>
        <v>0</v>
      </c>
    </row>
    <row r="74">
      <c r="H74" s="254" t="inlineStr">
        <is>
          <t>DRIVERS DE RECEITA (codigos 45+): segmentos operacionais (receita e lucro operacional), concentrado x produto acabado e EUA x internacional - SEC XBRL (USD, fator 0,000001).</t>
        </is>
      </c>
    </row>
    <row r="75">
      <c r="A75" t="n">
        <v>45</v>
      </c>
      <c r="B75" t="n">
        <v>1</v>
      </c>
      <c r="G75" t="inlineStr">
        <is>
          <t>moeda</t>
        </is>
      </c>
      <c r="H75" t="inlineStr">
        <is>
          <t>Receita EMEA (USD)</t>
        </is>
      </c>
      <c r="J75" t="inlineStr">
        <is>
          <t>fonte</t>
        </is>
      </c>
      <c r="K75" s="262" t="n">
        <v>1725000000</v>
      </c>
      <c r="L75" s="262" t="n">
        <v>1210000000</v>
      </c>
      <c r="M75" s="262" t="n">
        <v>1693000000</v>
      </c>
      <c r="N75" s="262" t="n">
        <v>1429000000</v>
      </c>
      <c r="O75" s="262" t="n">
        <v>1623000000</v>
      </c>
      <c r="P75" s="262" t="n">
        <v>2017000000</v>
      </c>
      <c r="Q75" s="262" t="n">
        <v>1915000000</v>
      </c>
      <c r="R75" s="262" t="n">
        <v>1638000000</v>
      </c>
      <c r="S75" s="262" t="n">
        <v>1833000000</v>
      </c>
      <c r="T75" s="262" t="n">
        <v>2184000000</v>
      </c>
      <c r="U75" s="262" t="n">
        <v>1987000000</v>
      </c>
      <c r="V75" s="262" t="n">
        <v>1519000000</v>
      </c>
      <c r="W75" s="262" t="n">
        <v>2024000000</v>
      </c>
      <c r="X75" s="262" t="n">
        <v>2188000000</v>
      </c>
      <c r="Y75" s="262" t="n">
        <v>2176000000</v>
      </c>
      <c r="Z75" s="262" t="n">
        <v>1690000000</v>
      </c>
      <c r="AA75" s="262" t="n">
        <v>1973000000</v>
      </c>
      <c r="AB75" s="262" t="n">
        <v>2339000000</v>
      </c>
      <c r="AC75" s="262" t="n">
        <v>2019000000</v>
      </c>
      <c r="AD75" s="262" t="n">
        <v>1791000000</v>
      </c>
      <c r="AE75" s="262" t="n">
        <v>2657000000</v>
      </c>
      <c r="AF75" s="262" t="n">
        <v>3176000000</v>
      </c>
      <c r="AG75" s="262" t="n">
        <v>2996000000</v>
      </c>
      <c r="AH75" s="262" t="n">
        <v>2684000000</v>
      </c>
      <c r="AI75" s="262" t="n">
        <v>3012000000</v>
      </c>
      <c r="AJ75" s="262" t="n">
        <v>3240000000</v>
      </c>
    </row>
    <row r="76">
      <c r="A76" t="n">
        <v>46</v>
      </c>
      <c r="B76" t="n">
        <v>1</v>
      </c>
      <c r="G76" t="inlineStr">
        <is>
          <t>moeda</t>
        </is>
      </c>
      <c r="H76" t="inlineStr">
        <is>
          <t>Lucro operacional EMEA (USD)</t>
        </is>
      </c>
      <c r="J76" t="inlineStr">
        <is>
          <t>fonte</t>
        </is>
      </c>
      <c r="K76" s="262" t="n">
        <v>960000000</v>
      </c>
      <c r="L76" s="262" t="n">
        <v>715000000</v>
      </c>
      <c r="M76" s="262" t="n">
        <v>903000000</v>
      </c>
      <c r="N76" s="262" t="n">
        <v>735000000</v>
      </c>
      <c r="O76" s="262" t="n">
        <v>820000000</v>
      </c>
      <c r="P76" s="262" t="n">
        <v>1142000000</v>
      </c>
      <c r="Q76" s="262" t="n">
        <v>1028000000</v>
      </c>
      <c r="R76" s="262" t="n">
        <v>745000000</v>
      </c>
      <c r="S76" s="262" t="n">
        <v>1007000000</v>
      </c>
      <c r="T76" s="262" t="n">
        <v>1291000000</v>
      </c>
      <c r="U76" s="262" t="n">
        <v>1046000000</v>
      </c>
      <c r="V76" s="262" t="n">
        <v>614000000</v>
      </c>
      <c r="W76" s="262" t="n">
        <v>1135000000</v>
      </c>
      <c r="X76" s="262" t="n">
        <v>1133000000</v>
      </c>
      <c r="Y76" s="262" t="n">
        <v>1136000000</v>
      </c>
      <c r="Z76" s="262" t="n">
        <v>798000000</v>
      </c>
      <c r="AA76" s="262" t="n">
        <v>1080000000</v>
      </c>
      <c r="AB76" s="262" t="n">
        <v>1252000000</v>
      </c>
      <c r="AC76" s="262" t="n">
        <v>977000000</v>
      </c>
      <c r="AD76" s="262" t="n">
        <v>816000000</v>
      </c>
      <c r="AE76" s="262" t="n">
        <v>1065000000</v>
      </c>
      <c r="AF76" s="262" t="n">
        <v>1325000000</v>
      </c>
      <c r="AG76" s="262" t="n">
        <v>1097000000</v>
      </c>
      <c r="AH76" s="262" t="n">
        <v>811000000</v>
      </c>
      <c r="AI76" s="262" t="n">
        <v>1259000000</v>
      </c>
      <c r="AJ76" s="262" t="n">
        <v>1309000000</v>
      </c>
    </row>
    <row r="77">
      <c r="A77" t="n">
        <v>47</v>
      </c>
      <c r="B77" t="n">
        <v>1</v>
      </c>
      <c r="G77" t="inlineStr">
        <is>
          <t>moeda</t>
        </is>
      </c>
      <c r="H77" t="inlineStr">
        <is>
          <t>Receita América Latina (USD)</t>
        </is>
      </c>
      <c r="J77" t="inlineStr">
        <is>
          <t>fonte</t>
        </is>
      </c>
      <c r="K77" s="262" t="n">
        <v>930000000</v>
      </c>
      <c r="L77" s="262" t="n">
        <v>755000000</v>
      </c>
      <c r="M77" s="262" t="n">
        <v>809000000</v>
      </c>
      <c r="N77" s="262" t="n">
        <v>1005000000</v>
      </c>
      <c r="O77" s="262" t="n">
        <v>909000000</v>
      </c>
      <c r="P77" s="262" t="n">
        <v>1067000000</v>
      </c>
      <c r="Q77" s="262" t="n">
        <v>1137000000</v>
      </c>
      <c r="R77" s="262" t="n">
        <v>1030000000</v>
      </c>
      <c r="S77" s="262" t="n">
        <v>1214000000</v>
      </c>
      <c r="T77" s="262" t="n">
        <v>1140000000</v>
      </c>
      <c r="U77" s="262" t="n">
        <v>1267000000</v>
      </c>
      <c r="V77" s="262" t="n">
        <v>1289000000</v>
      </c>
      <c r="W77" s="262" t="n">
        <v>1386000000</v>
      </c>
      <c r="X77" s="262" t="n">
        <v>1378000000</v>
      </c>
      <c r="Y77" s="262" t="n">
        <v>1574000000</v>
      </c>
      <c r="Z77" s="262" t="n">
        <v>1492000000</v>
      </c>
      <c r="AA77" s="262" t="n">
        <v>1527000000</v>
      </c>
      <c r="AB77" s="262" t="n">
        <v>1650000000</v>
      </c>
      <c r="AC77" s="262" t="n">
        <v>1639000000</v>
      </c>
      <c r="AD77" s="262" t="n">
        <v>1643000000</v>
      </c>
      <c r="AE77" s="262" t="n">
        <v>1477000000</v>
      </c>
      <c r="AF77" s="262" t="n">
        <v>1587000000</v>
      </c>
      <c r="AG77" s="262" t="n">
        <v>1573000000</v>
      </c>
      <c r="AH77" s="262" t="n">
        <v>1697000000</v>
      </c>
      <c r="AI77" s="262" t="n">
        <v>1678000000</v>
      </c>
      <c r="AJ77" s="262" t="n">
        <v>1839000000</v>
      </c>
    </row>
    <row r="78">
      <c r="A78" t="n">
        <v>48</v>
      </c>
      <c r="B78" t="n">
        <v>1</v>
      </c>
      <c r="G78" t="inlineStr">
        <is>
          <t>moeda</t>
        </is>
      </c>
      <c r="H78" t="inlineStr">
        <is>
          <t>Lucro operacional América Latina (USD)</t>
        </is>
      </c>
      <c r="J78" t="inlineStr">
        <is>
          <t>fonte</t>
        </is>
      </c>
      <c r="K78" s="262" t="n">
        <v>539000000</v>
      </c>
      <c r="L78" s="262" t="n">
        <v>504000000</v>
      </c>
      <c r="M78" s="262" t="n">
        <v>483000000</v>
      </c>
      <c r="N78" s="262" t="n">
        <v>590000000</v>
      </c>
      <c r="O78" s="262" t="n">
        <v>552000000</v>
      </c>
      <c r="P78" s="262" t="n">
        <v>678000000</v>
      </c>
      <c r="Q78" s="262" t="n">
        <v>712000000</v>
      </c>
      <c r="R78" s="262" t="n">
        <v>592000000</v>
      </c>
      <c r="S78" s="262" t="n">
        <v>760000000</v>
      </c>
      <c r="T78" s="262" t="n">
        <v>674000000</v>
      </c>
      <c r="U78" s="262" t="n">
        <v>712000000</v>
      </c>
      <c r="V78" s="262" t="n">
        <v>724000000</v>
      </c>
      <c r="W78" s="262" t="n">
        <v>853000000</v>
      </c>
      <c r="X78" s="262" t="n">
        <v>797000000</v>
      </c>
      <c r="Y78" s="262" t="n">
        <v>985000000</v>
      </c>
      <c r="Z78" s="262" t="n">
        <v>797000000</v>
      </c>
      <c r="AA78" s="262" t="n">
        <v>942000000</v>
      </c>
      <c r="AB78" s="262" t="n">
        <v>920000000</v>
      </c>
      <c r="AC78" s="262" t="n">
        <v>933000000</v>
      </c>
      <c r="AD78" s="262" t="n">
        <v>985000000</v>
      </c>
      <c r="AE78" s="262" t="n">
        <v>904000000</v>
      </c>
      <c r="AF78" s="262" t="n">
        <v>957000000</v>
      </c>
      <c r="AG78" s="262" t="n">
        <v>897000000</v>
      </c>
      <c r="AH78" s="262" t="n">
        <v>984000000</v>
      </c>
      <c r="AI78" s="262" t="n">
        <v>1038000000</v>
      </c>
      <c r="AJ78" s="262" t="n">
        <v>1177000000</v>
      </c>
    </row>
    <row r="79">
      <c r="A79" t="n">
        <v>49</v>
      </c>
      <c r="B79" t="n">
        <v>1</v>
      </c>
      <c r="G79" t="inlineStr">
        <is>
          <t>moeda</t>
        </is>
      </c>
      <c r="H79" t="inlineStr">
        <is>
          <t>Receita América do Norte (USD)</t>
        </is>
      </c>
      <c r="J79" t="inlineStr">
        <is>
          <t>fonte</t>
        </is>
      </c>
      <c r="K79" s="262" t="n">
        <v>2850000000</v>
      </c>
      <c r="L79" s="262" t="n">
        <v>2648000000</v>
      </c>
      <c r="M79" s="262" t="n">
        <v>3088000000</v>
      </c>
      <c r="N79" s="262" t="n">
        <v>2891000000</v>
      </c>
      <c r="O79" s="262" t="n">
        <v>2937000000</v>
      </c>
      <c r="P79" s="262" t="n">
        <v>3381000000</v>
      </c>
      <c r="Q79" s="262" t="n">
        <v>3479000000</v>
      </c>
      <c r="R79" s="262" t="n">
        <v>3393000000</v>
      </c>
      <c r="S79" s="262" t="n">
        <v>3590000000</v>
      </c>
      <c r="T79" s="262" t="n">
        <v>4030000000</v>
      </c>
      <c r="U79" s="262" t="n">
        <v>4201000000</v>
      </c>
      <c r="V79" s="262" t="n">
        <v>3853000000</v>
      </c>
      <c r="W79" s="262" t="n">
        <v>3904000000</v>
      </c>
      <c r="X79" s="262" t="n">
        <v>4367000000</v>
      </c>
      <c r="Y79" s="262" t="n">
        <v>4463000000</v>
      </c>
      <c r="Z79" s="262" t="n">
        <v>4040000000</v>
      </c>
      <c r="AA79" s="262" t="n">
        <v>4174000000</v>
      </c>
      <c r="AB79" s="262" t="n">
        <v>4812000000</v>
      </c>
      <c r="AC79" s="262" t="n">
        <v>4984000000</v>
      </c>
      <c r="AD79" s="262" t="n">
        <v>4679000000</v>
      </c>
      <c r="AE79" s="262" t="n">
        <v>4361000000</v>
      </c>
      <c r="AF79" s="262" t="n">
        <v>5029000000</v>
      </c>
      <c r="AG79" s="262" t="n">
        <v>5253000000</v>
      </c>
      <c r="AH79" s="262" t="n">
        <v>4943000000</v>
      </c>
      <c r="AI79" s="262" t="n">
        <v>4893000000</v>
      </c>
      <c r="AJ79" s="262" t="n">
        <v>5408000000</v>
      </c>
    </row>
    <row r="80">
      <c r="A80" t="n">
        <v>50</v>
      </c>
      <c r="B80" t="n">
        <v>1</v>
      </c>
      <c r="G80" t="inlineStr">
        <is>
          <t>moeda</t>
        </is>
      </c>
      <c r="H80" t="inlineStr">
        <is>
          <t>Lucro operacional América do Norte (USD)</t>
        </is>
      </c>
      <c r="J80" t="inlineStr">
        <is>
          <t>fonte</t>
        </is>
      </c>
      <c r="K80" s="262" t="n">
        <v>387000000</v>
      </c>
      <c r="L80" s="262" t="n">
        <v>489000000</v>
      </c>
      <c r="M80" s="262" t="n">
        <v>727000000</v>
      </c>
      <c r="N80" s="262" t="n">
        <v>868000000</v>
      </c>
      <c r="O80" s="262" t="n">
        <v>792000000</v>
      </c>
      <c r="P80" s="262" t="n">
        <v>950000000</v>
      </c>
      <c r="Q80" s="262" t="n">
        <v>868000000</v>
      </c>
      <c r="R80" s="262" t="n">
        <v>721000000</v>
      </c>
      <c r="S80" s="262" t="n">
        <v>1056000000</v>
      </c>
      <c r="T80" s="262" t="n">
        <v>840000000</v>
      </c>
      <c r="U80" s="262" t="n">
        <v>1082000000</v>
      </c>
      <c r="V80" s="262" t="n">
        <v>764000000</v>
      </c>
      <c r="W80" s="262" t="n">
        <v>1033000000</v>
      </c>
      <c r="X80" s="262" t="n">
        <v>1216000000</v>
      </c>
      <c r="Y80" s="262" t="n">
        <v>1276000000</v>
      </c>
      <c r="Z80" s="262" t="n">
        <v>910000000</v>
      </c>
      <c r="AA80" s="262" t="n">
        <v>445000000</v>
      </c>
      <c r="AB80" s="262" t="n">
        <v>1312000000</v>
      </c>
      <c r="AC80" s="262" t="n">
        <v>1405000000</v>
      </c>
      <c r="AD80" s="262" t="n">
        <v>1174000000</v>
      </c>
      <c r="AE80" s="262" t="n">
        <v>1341000000</v>
      </c>
      <c r="AF80" s="262" t="n">
        <v>1621000000</v>
      </c>
      <c r="AG80" s="262" t="n">
        <v>1681000000</v>
      </c>
      <c r="AH80" s="262" t="n">
        <v>427000000</v>
      </c>
      <c r="AI80" s="262" t="n">
        <v>1606000000</v>
      </c>
      <c r="AJ80" s="262" t="n">
        <v>1695000000</v>
      </c>
    </row>
    <row r="81">
      <c r="A81" t="n">
        <v>51</v>
      </c>
      <c r="B81" t="n">
        <v>1</v>
      </c>
      <c r="G81" t="inlineStr">
        <is>
          <t>moeda</t>
        </is>
      </c>
      <c r="H81" t="inlineStr">
        <is>
          <t>Receita Ásia-Pacífico (USD)</t>
        </is>
      </c>
      <c r="J81" t="inlineStr">
        <is>
          <t>fonte</t>
        </is>
      </c>
      <c r="K81" s="262" t="n">
        <v>1128000000</v>
      </c>
      <c r="L81" s="262" t="n">
        <v>1183000000</v>
      </c>
      <c r="M81" s="262" t="n">
        <v>1334000000</v>
      </c>
      <c r="N81" s="262" t="n">
        <v>1077000000</v>
      </c>
      <c r="O81" s="262" t="n">
        <v>1402000000</v>
      </c>
      <c r="P81" s="262" t="n">
        <v>1503000000</v>
      </c>
      <c r="Q81" s="262" t="n">
        <v>1374000000</v>
      </c>
      <c r="R81" s="262" t="n">
        <v>1012000000</v>
      </c>
      <c r="S81" s="262" t="n">
        <v>1411000000</v>
      </c>
      <c r="T81" s="262" t="n">
        <v>1566000000</v>
      </c>
      <c r="U81" s="262" t="n">
        <v>1427000000</v>
      </c>
      <c r="V81" s="262" t="n">
        <v>1041000000</v>
      </c>
      <c r="W81" s="262" t="n">
        <v>1371000000</v>
      </c>
      <c r="X81" s="262" t="n">
        <v>1567000000</v>
      </c>
      <c r="Y81" s="262" t="n">
        <v>1402000000</v>
      </c>
      <c r="Z81" s="262" t="n">
        <v>1115000000</v>
      </c>
      <c r="AA81" s="262" t="n">
        <v>1469000000</v>
      </c>
      <c r="AB81" s="262" t="n">
        <v>1512000000</v>
      </c>
      <c r="AC81" s="262" t="n">
        <v>1349000000</v>
      </c>
      <c r="AD81" s="262" t="n">
        <v>1216000000</v>
      </c>
      <c r="AE81" s="262" t="n">
        <v>1421000000</v>
      </c>
      <c r="AF81" s="262" t="n">
        <v>1572000000</v>
      </c>
      <c r="AG81" s="262" t="n">
        <v>1506000000</v>
      </c>
      <c r="AH81" s="262" t="n">
        <v>1139000000</v>
      </c>
      <c r="AI81" s="262" t="n">
        <v>1508000000</v>
      </c>
      <c r="AJ81" s="262" t="n">
        <v>1581000000</v>
      </c>
    </row>
    <row r="82">
      <c r="A82" t="n">
        <v>52</v>
      </c>
      <c r="B82" t="n">
        <v>1</v>
      </c>
      <c r="G82" t="inlineStr">
        <is>
          <t>moeda</t>
        </is>
      </c>
      <c r="H82" t="inlineStr">
        <is>
          <t>Lucro operacional Ásia-Pacífico (USD)</t>
        </is>
      </c>
      <c r="J82" t="inlineStr">
        <is>
          <t>fonte</t>
        </is>
      </c>
      <c r="K82" s="262" t="n">
        <v>511000000</v>
      </c>
      <c r="L82" s="262" t="n">
        <v>652000000</v>
      </c>
      <c r="M82" s="262" t="n">
        <v>564000000</v>
      </c>
      <c r="N82" s="262" t="n">
        <v>406000000</v>
      </c>
      <c r="O82" s="262" t="n">
        <v>686000000</v>
      </c>
      <c r="P82" s="262" t="n">
        <v>766000000</v>
      </c>
      <c r="Q82" s="262" t="n">
        <v>594000000</v>
      </c>
      <c r="R82" s="262" t="n">
        <v>279000000</v>
      </c>
      <c r="S82" s="262" t="n">
        <v>664000000</v>
      </c>
      <c r="T82" s="262" t="n">
        <v>753000000</v>
      </c>
      <c r="U82" s="262" t="n">
        <v>589000000</v>
      </c>
      <c r="V82" s="262" t="n">
        <v>297000000</v>
      </c>
      <c r="W82" s="262" t="n">
        <v>563000000</v>
      </c>
      <c r="X82" s="262" t="n">
        <v>673000000</v>
      </c>
      <c r="Y82" s="262" t="n">
        <v>491000000</v>
      </c>
      <c r="Z82" s="262" t="n">
        <v>313000000</v>
      </c>
      <c r="AA82" s="262" t="n">
        <v>654000000</v>
      </c>
      <c r="AB82" s="262" t="n">
        <v>647000000</v>
      </c>
      <c r="AC82" s="262" t="n">
        <v>459000000</v>
      </c>
      <c r="AD82" s="262" t="n">
        <v>388000000</v>
      </c>
      <c r="AE82" s="262" t="n">
        <v>624000000</v>
      </c>
      <c r="AF82" s="262" t="n">
        <v>647000000</v>
      </c>
      <c r="AG82" s="262" t="n">
        <v>521000000</v>
      </c>
      <c r="AH82" s="262" t="n">
        <v>250000000</v>
      </c>
      <c r="AI82" s="262" t="n">
        <v>536000000</v>
      </c>
      <c r="AJ82" s="262" t="n">
        <v>656000000</v>
      </c>
    </row>
    <row r="83">
      <c r="A83" t="n">
        <v>53</v>
      </c>
      <c r="B83" t="n">
        <v>1</v>
      </c>
      <c r="G83" t="inlineStr">
        <is>
          <t>moeda</t>
        </is>
      </c>
      <c r="H83" t="inlineStr">
        <is>
          <t>Receita Global Ventures (USD)</t>
        </is>
      </c>
      <c r="J83" t="inlineStr">
        <is>
          <t>fonte</t>
        </is>
      </c>
      <c r="K83" s="262" t="n">
        <v>573000000</v>
      </c>
      <c r="L83" s="262" t="n">
        <v>295000000</v>
      </c>
      <c r="M83" s="262" t="n">
        <v>513000000</v>
      </c>
      <c r="N83" s="262" t="n">
        <v>610000000</v>
      </c>
      <c r="O83" s="262" t="n">
        <v>570000000</v>
      </c>
      <c r="P83" s="262" t="n">
        <v>707000000</v>
      </c>
      <c r="Q83" s="262" t="n">
        <v>753000000</v>
      </c>
      <c r="R83" s="262" t="n">
        <v>775000000</v>
      </c>
      <c r="S83" s="262" t="n">
        <v>729000000</v>
      </c>
      <c r="T83" s="262" t="n">
        <v>695000000</v>
      </c>
      <c r="U83" s="262" t="n">
        <v>679000000</v>
      </c>
      <c r="V83" s="262" t="n">
        <v>740000000</v>
      </c>
      <c r="W83" s="262" t="n">
        <v>707000000</v>
      </c>
      <c r="X83" s="262" t="n">
        <v>765000000</v>
      </c>
      <c r="Y83" s="262" t="n">
        <v>779000000</v>
      </c>
      <c r="Z83" s="262" t="n">
        <v>813000000</v>
      </c>
      <c r="AA83" s="262" t="n">
        <v>730000000</v>
      </c>
      <c r="AB83" s="262" t="n">
        <v>768000000</v>
      </c>
      <c r="AC83" s="262" t="n">
        <v>781000000</v>
      </c>
      <c r="AD83" s="262" t="n">
        <v>850000000</v>
      </c>
      <c r="AE83" s="262" t="n"/>
      <c r="AF83" s="262" t="n"/>
      <c r="AG83" s="262" t="n"/>
      <c r="AH83" s="262" t="n"/>
      <c r="AI83" s="262" t="n"/>
      <c r="AJ83" s="262" t="n"/>
    </row>
    <row r="84">
      <c r="A84" t="n">
        <v>54</v>
      </c>
      <c r="B84" t="n">
        <v>1</v>
      </c>
      <c r="G84" t="inlineStr">
        <is>
          <t>moeda</t>
        </is>
      </c>
      <c r="H84" t="inlineStr">
        <is>
          <t>Lucro operacional Global Ventures (USD)</t>
        </is>
      </c>
      <c r="J84" t="inlineStr">
        <is>
          <t>fonte</t>
        </is>
      </c>
      <c r="K84" s="262" t="n">
        <v>19000000</v>
      </c>
      <c r="L84" s="262" t="n">
        <v>-102000000</v>
      </c>
      <c r="M84" s="262" t="n">
        <v>-31000000</v>
      </c>
      <c r="N84" s="262" t="n">
        <v>-9000000</v>
      </c>
      <c r="O84" s="262" t="n">
        <v>26000000</v>
      </c>
      <c r="P84" s="262" t="n">
        <v>75000000</v>
      </c>
      <c r="Q84" s="262" t="n">
        <v>114000000</v>
      </c>
      <c r="R84" s="262" t="n">
        <v>78000000</v>
      </c>
      <c r="S84" s="262" t="n">
        <v>51000000</v>
      </c>
      <c r="T84" s="262" t="n">
        <v>44000000</v>
      </c>
      <c r="U84" s="262" t="n">
        <v>67000000</v>
      </c>
      <c r="V84" s="262" t="n">
        <v>23000000</v>
      </c>
      <c r="W84" s="262" t="n">
        <v>51000000</v>
      </c>
      <c r="X84" s="262" t="n">
        <v>78000000</v>
      </c>
      <c r="Y84" s="262" t="n">
        <v>81000000</v>
      </c>
      <c r="Z84" s="262" t="n">
        <v>119000000</v>
      </c>
      <c r="AA84" s="262" t="n">
        <v>55000000</v>
      </c>
      <c r="AB84" s="262" t="n">
        <v>92000000</v>
      </c>
      <c r="AC84" s="262" t="n">
        <v>77000000</v>
      </c>
      <c r="AD84" s="262" t="n">
        <v>135000000</v>
      </c>
      <c r="AE84" s="262" t="n"/>
      <c r="AF84" s="262" t="n"/>
      <c r="AG84" s="262" t="n"/>
      <c r="AH84" s="262" t="n"/>
      <c r="AI84" s="262" t="n"/>
      <c r="AJ84" s="262" t="n"/>
    </row>
    <row r="85">
      <c r="A85" t="n">
        <v>55</v>
      </c>
      <c r="B85" t="n">
        <v>1</v>
      </c>
      <c r="G85" t="inlineStr">
        <is>
          <t>moeda</t>
        </is>
      </c>
      <c r="H85" t="inlineStr">
        <is>
          <t>Receita Bottling Investments (USD)</t>
        </is>
      </c>
      <c r="J85" t="inlineStr">
        <is>
          <t>fonte</t>
        </is>
      </c>
      <c r="K85" s="262" t="n">
        <v>1658000000</v>
      </c>
      <c r="L85" s="262" t="n">
        <v>1263000000</v>
      </c>
      <c r="M85" s="262" t="n">
        <v>1475000000</v>
      </c>
      <c r="N85" s="262" t="n">
        <v>1869000000</v>
      </c>
      <c r="O85" s="262" t="n">
        <v>1896000000</v>
      </c>
      <c r="P85" s="262" t="n">
        <v>1738000000</v>
      </c>
      <c r="Q85" s="262" t="n">
        <v>1665000000</v>
      </c>
      <c r="R85" s="262" t="n">
        <v>1904000000</v>
      </c>
      <c r="S85" s="262" t="n">
        <v>2044000000</v>
      </c>
      <c r="T85" s="262" t="n">
        <v>2079000000</v>
      </c>
      <c r="U85" s="262" t="n">
        <v>1786000000</v>
      </c>
      <c r="V85" s="262" t="n">
        <v>1982000000</v>
      </c>
      <c r="W85" s="262" t="n">
        <v>1946000000</v>
      </c>
      <c r="X85" s="262" t="n">
        <v>2042000000</v>
      </c>
      <c r="Y85" s="262" t="n">
        <v>1859000000</v>
      </c>
      <c r="Z85" s="262" t="n">
        <v>2013000000</v>
      </c>
      <c r="AA85" s="262" t="n">
        <v>1817000000</v>
      </c>
      <c r="AB85" s="262" t="n">
        <v>1539000000</v>
      </c>
      <c r="AC85" s="262" t="n">
        <v>1316000000</v>
      </c>
      <c r="AD85" s="262" t="n">
        <v>1551000000</v>
      </c>
      <c r="AE85" s="262" t="n">
        <v>1463000000</v>
      </c>
      <c r="AF85" s="262" t="n">
        <v>1411000000</v>
      </c>
      <c r="AG85" s="262" t="n">
        <v>1346000000</v>
      </c>
      <c r="AH85" s="262" t="n">
        <v>1515000000</v>
      </c>
      <c r="AI85" s="262" t="n">
        <v>1640000000</v>
      </c>
      <c r="AJ85" s="262" t="n">
        <v>1527000000</v>
      </c>
    </row>
    <row r="86">
      <c r="A86" t="n">
        <v>56</v>
      </c>
      <c r="B86" t="n">
        <v>1</v>
      </c>
      <c r="G86" t="inlineStr">
        <is>
          <t>moeda</t>
        </is>
      </c>
      <c r="H86" t="inlineStr">
        <is>
          <t>Lucro operacional Bottling Investments (USD)</t>
        </is>
      </c>
      <c r="J86" t="inlineStr">
        <is>
          <t>fonte</t>
        </is>
      </c>
      <c r="K86" s="262" t="n">
        <v>63000000</v>
      </c>
      <c r="L86" s="262" t="n">
        <v>12000000</v>
      </c>
      <c r="M86" s="262" t="n">
        <v>55000000</v>
      </c>
      <c r="N86" s="262" t="n">
        <v>178000000</v>
      </c>
      <c r="O86" s="262" t="n">
        <v>141000000</v>
      </c>
      <c r="P86" s="262" t="n">
        <v>92000000</v>
      </c>
      <c r="Q86" s="262" t="n">
        <v>81000000</v>
      </c>
      <c r="R86" s="262" t="n">
        <v>159000000</v>
      </c>
      <c r="S86" s="262" t="n">
        <v>193000000</v>
      </c>
      <c r="T86" s="262" t="n">
        <v>113000000</v>
      </c>
      <c r="U86" s="262" t="n">
        <v>46000000</v>
      </c>
      <c r="V86" s="262" t="n">
        <v>135000000</v>
      </c>
      <c r="W86" s="262" t="n">
        <v>139000000</v>
      </c>
      <c r="X86" s="262" t="n">
        <v>122000000</v>
      </c>
      <c r="Y86" s="262" t="n">
        <v>132000000</v>
      </c>
      <c r="Z86" s="262" t="n">
        <v>185000000</v>
      </c>
      <c r="AA86" s="262" t="n">
        <v>156000000</v>
      </c>
      <c r="AB86" s="262" t="n">
        <v>98000000</v>
      </c>
      <c r="AC86" s="262" t="n">
        <v>43000000</v>
      </c>
      <c r="AD86" s="262" t="n">
        <v>199000000</v>
      </c>
      <c r="AE86" s="262" t="n">
        <v>119000000</v>
      </c>
      <c r="AF86" s="262" t="n">
        <v>59000000</v>
      </c>
      <c r="AG86" s="262" t="n">
        <v>57000000</v>
      </c>
      <c r="AH86" s="262" t="n">
        <v>191000000</v>
      </c>
      <c r="AI86" s="262" t="n">
        <v>191000000</v>
      </c>
      <c r="AJ86" s="262" t="n">
        <v>91000000</v>
      </c>
    </row>
    <row r="87">
      <c r="A87" t="n">
        <v>57</v>
      </c>
      <c r="B87" t="n">
        <v>1</v>
      </c>
      <c r="G87" t="inlineStr">
        <is>
          <t>moeda</t>
        </is>
      </c>
      <c r="H87" t="inlineStr">
        <is>
          <t>Receita Corporate (USD)</t>
        </is>
      </c>
      <c r="J87" t="inlineStr">
        <is>
          <t>fonte</t>
        </is>
      </c>
      <c r="K87" s="262" t="n">
        <v>31000000</v>
      </c>
      <c r="L87" s="262" t="n">
        <v>-12000000</v>
      </c>
      <c r="M87" s="262" t="n">
        <v>6000000</v>
      </c>
      <c r="N87" s="262" t="n">
        <v>21000000</v>
      </c>
      <c r="O87" s="262" t="n">
        <v>17000000</v>
      </c>
      <c r="P87" s="262" t="n">
        <v>17000000</v>
      </c>
      <c r="Q87" s="262" t="n">
        <v>25000000</v>
      </c>
      <c r="R87" s="262" t="n">
        <v>26000000</v>
      </c>
      <c r="S87" s="262" t="n">
        <v>25000000</v>
      </c>
      <c r="T87" s="262" t="n">
        <v>23000000</v>
      </c>
      <c r="U87" s="262" t="n">
        <v>29000000</v>
      </c>
      <c r="V87" s="262" t="n">
        <v>17000000</v>
      </c>
      <c r="W87" s="262" t="n">
        <v>25000000</v>
      </c>
      <c r="X87" s="262" t="n">
        <v>30000000</v>
      </c>
      <c r="Y87" s="262" t="n">
        <v>40000000</v>
      </c>
      <c r="Z87" s="262" t="n">
        <v>31000000</v>
      </c>
      <c r="AA87" s="262" t="n">
        <v>27000000</v>
      </c>
      <c r="AB87" s="262" t="n">
        <v>30000000</v>
      </c>
      <c r="AC87" s="262" t="n">
        <v>18000000</v>
      </c>
      <c r="AD87" s="262" t="n">
        <v>22000000</v>
      </c>
      <c r="AE87" s="262" t="n">
        <v>26000000</v>
      </c>
      <c r="AF87" s="262" t="n">
        <v>39000000</v>
      </c>
      <c r="AG87" s="262" t="n">
        <v>34000000</v>
      </c>
      <c r="AH87" s="262" t="n">
        <v>45000000</v>
      </c>
      <c r="AI87" s="262" t="n">
        <v>32000000</v>
      </c>
      <c r="AJ87" s="262" t="n">
        <v>37000000</v>
      </c>
    </row>
    <row r="88">
      <c r="A88" t="n">
        <v>58</v>
      </c>
      <c r="B88" t="n">
        <v>1</v>
      </c>
      <c r="G88" t="inlineStr">
        <is>
          <t>moeda</t>
        </is>
      </c>
      <c r="H88" t="inlineStr">
        <is>
          <t>Lucro operacional Corporate (USD)</t>
        </is>
      </c>
      <c r="J88" t="inlineStr">
        <is>
          <t>fonte</t>
        </is>
      </c>
      <c r="K88" s="262" t="n">
        <v>-99000000</v>
      </c>
      <c r="L88" s="262" t="n">
        <v>-289000000</v>
      </c>
      <c r="M88" s="262" t="n">
        <v>-403000000</v>
      </c>
      <c r="N88" s="262" t="n">
        <v>-430000000</v>
      </c>
      <c r="O88" s="262" t="n">
        <v>-295000000</v>
      </c>
      <c r="P88" s="262" t="n">
        <v>-687000000</v>
      </c>
      <c r="Q88" s="262" t="n">
        <v>-499000000</v>
      </c>
      <c r="R88" s="262" t="n">
        <v>-902000000</v>
      </c>
      <c r="S88" s="262" t="n">
        <v>-326000000</v>
      </c>
      <c r="T88" s="262" t="n">
        <v>-1374000000</v>
      </c>
      <c r="U88" s="262" t="n">
        <v>-454000000</v>
      </c>
      <c r="V88" s="262" t="n">
        <v>-482000000</v>
      </c>
      <c r="W88" s="262" t="n">
        <v>-407000000</v>
      </c>
      <c r="X88" s="262" t="n">
        <v>-1618000000</v>
      </c>
      <c r="Y88" s="262" t="n">
        <v>-831000000</v>
      </c>
      <c r="Z88" s="262" t="n">
        <v>-849000000</v>
      </c>
      <c r="AA88" s="262" t="n">
        <v>-1191000000</v>
      </c>
      <c r="AB88" s="262" t="n">
        <v>-1689000000</v>
      </c>
      <c r="AC88" s="262" t="n">
        <v>-1384000000</v>
      </c>
      <c r="AD88" s="262" t="n">
        <v>-988000000</v>
      </c>
      <c r="AE88" s="262" t="n">
        <v>-394000000</v>
      </c>
      <c r="AF88" s="262" t="n">
        <v>-329000000</v>
      </c>
      <c r="AG88" s="262" t="n">
        <v>-271000000</v>
      </c>
      <c r="AH88" s="262" t="n">
        <v>-822000000</v>
      </c>
      <c r="AI88" s="262" t="n">
        <v>-271000000</v>
      </c>
      <c r="AJ88" s="262" t="n">
        <v>-256000000</v>
      </c>
    </row>
    <row r="89">
      <c r="A89" t="n">
        <v>59</v>
      </c>
      <c r="B89" t="n">
        <v>1</v>
      </c>
      <c r="G89" t="inlineStr">
        <is>
          <t>moeda</t>
        </is>
      </c>
      <c r="H89" t="inlineStr">
        <is>
          <t>Receita Eliminações (USD)</t>
        </is>
      </c>
      <c r="J89" t="inlineStr">
        <is>
          <t>fonte</t>
        </is>
      </c>
      <c r="K89" s="262" t="n">
        <v>-294000000</v>
      </c>
      <c r="L89" s="262" t="n">
        <v>-192000000</v>
      </c>
      <c r="M89" s="262" t="n">
        <v>-266000000</v>
      </c>
      <c r="N89" s="262" t="n">
        <v>-291000000</v>
      </c>
      <c r="O89" s="262" t="n">
        <v>-334000000</v>
      </c>
      <c r="P89" s="262" t="n">
        <v>-301000000</v>
      </c>
      <c r="Q89" s="262" t="n">
        <v>-306000000</v>
      </c>
      <c r="R89" s="262" t="n">
        <v>-314000000</v>
      </c>
      <c r="S89" s="262" t="n">
        <v>-355000000</v>
      </c>
      <c r="T89" s="262" t="n">
        <v>-392000000</v>
      </c>
      <c r="U89" s="262" t="n">
        <v>-313000000</v>
      </c>
      <c r="V89" s="262" t="n">
        <v>-316000000</v>
      </c>
      <c r="W89" s="262" t="n">
        <v>-383000000</v>
      </c>
      <c r="X89" s="262" t="n">
        <v>-365000000</v>
      </c>
      <c r="Y89" s="262" t="n">
        <v>-340000000</v>
      </c>
      <c r="Z89" s="262" t="n">
        <v>-345000000</v>
      </c>
      <c r="AA89" s="262" t="n">
        <v>-417000000</v>
      </c>
      <c r="AB89" s="262" t="n">
        <v>-287000000</v>
      </c>
      <c r="AC89" s="262" t="n">
        <v>-252000000</v>
      </c>
      <c r="AD89" s="262" t="n">
        <v>-208000000</v>
      </c>
      <c r="AE89" s="262" t="n">
        <v>-276000000</v>
      </c>
      <c r="AF89" s="262" t="n">
        <v>-279000000</v>
      </c>
      <c r="AG89" s="262" t="n">
        <v>-253000000</v>
      </c>
      <c r="AH89" s="262" t="n">
        <v>-201000000</v>
      </c>
      <c r="AI89" s="262" t="n">
        <v>-291000000</v>
      </c>
      <c r="AJ89" s="262" t="n">
        <v>-252000000</v>
      </c>
    </row>
    <row r="90">
      <c r="A90" t="n">
        <v>60</v>
      </c>
      <c r="B90" t="n">
        <v>1</v>
      </c>
      <c r="G90" t="inlineStr">
        <is>
          <t>moeda</t>
        </is>
      </c>
      <c r="H90" t="inlineStr">
        <is>
          <t>Receita operações de concentrado (USD; desde 2021)</t>
        </is>
      </c>
      <c r="J90" t="inlineStr">
        <is>
          <t>fonte</t>
        </is>
      </c>
      <c r="K90" s="262" t="n"/>
      <c r="L90" s="262" t="n"/>
      <c r="M90" s="262" t="n"/>
      <c r="N90" s="262" t="n"/>
      <c r="O90" s="262" t="n">
        <v>4982000000</v>
      </c>
      <c r="P90" s="262" t="n">
        <v>5994000000</v>
      </c>
      <c r="Q90" s="262" t="n">
        <v>5871000000</v>
      </c>
      <c r="R90" s="262" t="n"/>
      <c r="S90" s="262" t="n">
        <v>5724000000</v>
      </c>
      <c r="T90" s="262" t="n">
        <v>6365000000</v>
      </c>
      <c r="U90" s="262" t="n">
        <v>6574000000</v>
      </c>
      <c r="V90" s="262" t="n">
        <v>5408000000</v>
      </c>
      <c r="W90" s="262" t="n">
        <v>6333000000</v>
      </c>
      <c r="X90" s="262" t="n">
        <v>7050000000</v>
      </c>
      <c r="Y90" s="262" t="n">
        <v>7212000000</v>
      </c>
      <c r="Z90" s="262" t="n">
        <v>5944000000</v>
      </c>
      <c r="AA90" s="262" t="n">
        <v>6655000000</v>
      </c>
      <c r="AB90" s="262" t="n">
        <v>7494000000</v>
      </c>
      <c r="AC90" s="262" t="n">
        <v>7058000000</v>
      </c>
      <c r="AD90" s="262" t="n">
        <v>6518000000</v>
      </c>
      <c r="AE90" s="262" t="n">
        <v>6594000000</v>
      </c>
      <c r="AF90" s="262" t="n">
        <v>7618000000</v>
      </c>
      <c r="AG90" s="262" t="n">
        <v>8198000000</v>
      </c>
      <c r="AH90" s="262" t="n">
        <v>4792000000</v>
      </c>
      <c r="AI90" s="262" t="n">
        <v>7385000000</v>
      </c>
      <c r="AJ90" s="262" t="n">
        <v>8146000000</v>
      </c>
    </row>
    <row r="91">
      <c r="A91" t="n">
        <v>61</v>
      </c>
      <c r="B91" t="n">
        <v>1</v>
      </c>
      <c r="G91" t="inlineStr">
        <is>
          <t>moeda</t>
        </is>
      </c>
      <c r="H91" t="inlineStr">
        <is>
          <t>Receita operações de produto acabado (USD; desde 2021)</t>
        </is>
      </c>
      <c r="J91" t="inlineStr">
        <is>
          <t>fonte</t>
        </is>
      </c>
      <c r="K91" s="262" t="n"/>
      <c r="L91" s="262" t="n"/>
      <c r="M91" s="262" t="n"/>
      <c r="N91" s="262" t="n"/>
      <c r="O91" s="262" t="n">
        <v>4038000000</v>
      </c>
      <c r="P91" s="262" t="n">
        <v>4135000000</v>
      </c>
      <c r="Q91" s="262" t="n">
        <v>4171000000</v>
      </c>
      <c r="R91" s="262" t="n"/>
      <c r="S91" s="262" t="n">
        <v>4767000000</v>
      </c>
      <c r="T91" s="262" t="n">
        <v>4960000000</v>
      </c>
      <c r="U91" s="262" t="n">
        <v>4489000000</v>
      </c>
      <c r="V91" s="262" t="n">
        <v>4717000000</v>
      </c>
      <c r="W91" s="262" t="n">
        <v>4647000000</v>
      </c>
      <c r="X91" s="262" t="n">
        <v>4922000000</v>
      </c>
      <c r="Y91" s="262" t="n">
        <v>4741000000</v>
      </c>
      <c r="Z91" s="262" t="n">
        <v>4905000000</v>
      </c>
      <c r="AA91" s="262" t="n">
        <v>4645000000</v>
      </c>
      <c r="AB91" s="262" t="n">
        <v>4869000000</v>
      </c>
      <c r="AC91" s="262" t="n">
        <v>4796000000</v>
      </c>
      <c r="AD91" s="262" t="n">
        <v>5026000000</v>
      </c>
      <c r="AE91" s="262" t="n">
        <v>4535000000</v>
      </c>
      <c r="AF91" s="262" t="n">
        <v>4917000000</v>
      </c>
      <c r="AG91" s="262" t="n">
        <v>4257000000</v>
      </c>
      <c r="AH91" s="262" t="n">
        <v>7030000000</v>
      </c>
      <c r="AI91" s="262" t="n">
        <v>5087000000</v>
      </c>
      <c r="AJ91" s="262" t="n">
        <v>5234000000</v>
      </c>
    </row>
    <row r="92">
      <c r="A92" t="n">
        <v>62</v>
      </c>
      <c r="B92" t="n">
        <v>1</v>
      </c>
      <c r="G92" t="inlineStr">
        <is>
          <t>moeda</t>
        </is>
      </c>
      <c r="H92" t="inlineStr">
        <is>
          <t>Receita EUA (USD)</t>
        </is>
      </c>
      <c r="J92" t="inlineStr">
        <is>
          <t>fonte</t>
        </is>
      </c>
      <c r="K92" s="262" t="n">
        <v>2807000000</v>
      </c>
      <c r="L92" s="262" t="n">
        <v>2583000000</v>
      </c>
      <c r="M92" s="262" t="n">
        <v>3026000000</v>
      </c>
      <c r="N92" s="262" t="n">
        <v>2865000000</v>
      </c>
      <c r="O92" s="262" t="n">
        <v>2893000000</v>
      </c>
      <c r="P92" s="262" t="n">
        <v>3332000000</v>
      </c>
      <c r="Q92" s="262" t="n">
        <v>3418000000</v>
      </c>
      <c r="R92" s="262" t="n">
        <v>3367000000</v>
      </c>
      <c r="S92" s="262" t="n">
        <v>3523000000</v>
      </c>
      <c r="T92" s="262" t="n">
        <v>3957000000</v>
      </c>
      <c r="U92" s="262" t="n">
        <v>4144000000</v>
      </c>
      <c r="V92" s="262" t="n">
        <v>3789000000</v>
      </c>
      <c r="W92" s="262" t="n">
        <v>3849000000</v>
      </c>
      <c r="X92" s="262" t="n">
        <v>4302000000</v>
      </c>
      <c r="Y92" s="262" t="n">
        <v>4411000000</v>
      </c>
      <c r="Z92" s="262" t="n">
        <v>3988000000</v>
      </c>
      <c r="AA92" s="262" t="n">
        <v>4118000000</v>
      </c>
      <c r="AB92" s="262" t="n">
        <v>4740000000</v>
      </c>
      <c r="AC92" s="262" t="n">
        <v>4903000000</v>
      </c>
      <c r="AD92" s="262" t="n">
        <v>4601000000</v>
      </c>
      <c r="AE92" s="262" t="n">
        <v>4253000000</v>
      </c>
      <c r="AF92" s="262" t="n">
        <v>4935000000</v>
      </c>
      <c r="AG92" s="262" t="n">
        <v>5118000000</v>
      </c>
      <c r="AH92" s="262" t="n">
        <v>4821000000</v>
      </c>
      <c r="AI92" s="262" t="n">
        <v>4745000000</v>
      </c>
      <c r="AJ92" s="262" t="n">
        <v>5260000000</v>
      </c>
    </row>
    <row r="93">
      <c r="H93" t="inlineStr">
        <is>
          <t>Notas: valores dimensionais das instâncias XBRL. Segmentos EMEA/América Latina/América do Norte com membros novos a partir de 2018 (antes us-gaap:EMEA etc.); Global Ventures até 2024; Ásia-Pacífico ("Pacific"). Eliminações e Corporate fecham a receita. Segmentos pelo valor originalmente divulgado: em 2025 a Coca-Cola extinguiu Global Ventures e reapresentou 2024 sem ele.</t>
        </is>
      </c>
    </row>
    <row r="133">
      <c r="H133" s="254" t="inlineStr">
        <is>
          <t>CONVENCOES</t>
        </is>
      </c>
    </row>
    <row r="134">
      <c r="H134" t="inlineStr">
        <is>
          <t>Linhas de origem: 5 a 93. As formulas da Inputs (2) varrem as linhas 5 a 130; as linhas 94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62: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9020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10129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10042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9464</v>
      </c>
      <c r="H4" s="3">
        <f>SUM(D4:G4)</f>
        <v>38655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10491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11325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11063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10125</v>
      </c>
      <c r="M4" s="3">
        <f>SUM(I4:L4)</f>
        <v>43004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10980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11972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11953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10849</v>
      </c>
      <c r="R4" s="3">
        <f>SUM(N4:Q4)</f>
        <v>45754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11300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12363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11854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11544</v>
      </c>
      <c r="W4" s="3">
        <f>SUM(S4:V4)</f>
        <v>47061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11129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12535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12455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11822</v>
      </c>
      <c r="AB4" s="3">
        <f>SUM(X4:AA4)</f>
        <v>47941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12472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13380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8601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7150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8652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8611</v>
      </c>
      <c r="AL4" s="3">
        <f>SUM(AH4:AK4)</f>
        <v>33014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-3505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-3787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-3977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-4088</v>
      </c>
      <c r="H5" s="3">
        <f>SUM(D5:G5)</f>
        <v>-15357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-4091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-4830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-4566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-4513</v>
      </c>
      <c r="M5" s="3">
        <f>SUM(I5:L5)</f>
        <v>-18000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-4317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-4912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-4657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-4634</v>
      </c>
      <c r="R5" s="3">
        <f>SUM(N5:Q5)</f>
        <v>-18520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-4235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-4812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-4664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-4613</v>
      </c>
      <c r="W5" s="3">
        <f>SUM(S5:V5)</f>
        <v>-18324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-4163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-4714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-4797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-4723</v>
      </c>
      <c r="AB5" s="3">
        <f>SUM(X5:AA5)</f>
        <v>-18397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-4620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-4965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-3371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-3013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-3471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-3578</v>
      </c>
      <c r="AL5" s="3">
        <f>SUM(AH5:AK5)</f>
        <v>-13433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-2427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-2943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-2805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-3363</v>
      </c>
      <c r="H6" s="3">
        <f>SUM(D6:G6)</f>
        <v>-11538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-2671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-3832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-3102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-3230</v>
      </c>
      <c r="M6" s="3">
        <f>SUM(I6:L6)</f>
        <v>-12835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-3010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-4378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-3736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-3671</v>
      </c>
      <c r="R6" s="3">
        <f>SUM(N6:Q6)</f>
        <v>-14795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-4662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-4650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-4412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-3946</v>
      </c>
      <c r="W6" s="3">
        <f>SUM(S6:V6)</f>
        <v>-17670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-3040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-3262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-3408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-5022</v>
      </c>
      <c r="AB6" s="3">
        <f>SUM(X6:AA6)</f>
        <v>-14732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-3229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-3477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-2483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-1775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-2525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-2265</v>
      </c>
      <c r="AL6" s="3">
        <f>SUM(AH6:AK6)</f>
        <v>-9048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-366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-383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-362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-341</v>
      </c>
      <c r="H7" s="3">
        <f>SUM(D7:G7)</f>
        <v>-1452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-324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-322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-307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-307</v>
      </c>
      <c r="M7" s="3">
        <f>SUM(I7:L7)</f>
        <v>-1260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-286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-281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-290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-271</v>
      </c>
      <c r="R7" s="3">
        <f>SUM(N7:Q7)</f>
        <v>-1128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-262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-269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-268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-276</v>
      </c>
      <c r="W7" s="3">
        <f>SUM(S7:V7)</f>
        <v>-1075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-267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-279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-268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-236</v>
      </c>
      <c r="AB7" s="3">
        <f>SUM(X7:AA7)</f>
        <v>-1050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-264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-266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-367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-381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-358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-430</v>
      </c>
      <c r="AL7" s="3">
        <f>SUM(AH7:AK7)</f>
        <v>-1536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-442</v>
      </c>
      <c r="E8" s="6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-780</v>
      </c>
      <c r="F8" s="6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-210</v>
      </c>
      <c r="G8" s="6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-165</v>
      </c>
      <c r="H8" s="3">
        <f>SUM(D8:G8)</f>
        <v>-1597</v>
      </c>
      <c r="I8" s="6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-182</v>
      </c>
      <c r="J8" s="6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-198</v>
      </c>
      <c r="K8" s="6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-198</v>
      </c>
      <c r="L8" s="6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-304</v>
      </c>
      <c r="M8" s="3">
        <f>SUM(I8:L8)</f>
        <v>-882</v>
      </c>
      <c r="N8" s="6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-372</v>
      </c>
      <c r="O8" s="6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-374</v>
      </c>
      <c r="P8" s="6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-368</v>
      </c>
      <c r="Q8" s="6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-413</v>
      </c>
      <c r="R8" s="3">
        <f>SUM(N8:Q8)</f>
        <v>-1527</v>
      </c>
      <c r="S8" s="6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-382</v>
      </c>
      <c r="T8" s="6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-418</v>
      </c>
      <c r="U8" s="6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-425</v>
      </c>
      <c r="V8" s="6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-431</v>
      </c>
      <c r="W8" s="3">
        <f>SUM(S8:V8)</f>
        <v>-1656</v>
      </c>
      <c r="X8" s="6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-387</v>
      </c>
      <c r="Y8" s="6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-445</v>
      </c>
      <c r="Z8" s="6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-391</v>
      </c>
      <c r="AA8" s="6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-431</v>
      </c>
      <c r="AB8" s="3">
        <f>SUM(X8:AA8)</f>
        <v>-1654</v>
      </c>
      <c r="AC8" s="6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-375</v>
      </c>
      <c r="AD8" s="6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-369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-193</v>
      </c>
      <c r="AI8" s="6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-274</v>
      </c>
      <c r="AJ8" s="6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-660</v>
      </c>
      <c r="AK8" s="6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-310</v>
      </c>
      <c r="AL8" s="3">
        <f>SUM(AH8:AK8)</f>
        <v>-1437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483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1382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396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1453</v>
      </c>
      <c r="H9" s="3">
        <f>SUM(D9:G9)</f>
        <v>3714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235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141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554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729</v>
      </c>
      <c r="M9" s="3">
        <f>SUM(I9:L9)</f>
        <v>1659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1058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853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635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622</v>
      </c>
      <c r="R9" s="3">
        <f>SUM(N9:Q9)</f>
        <v>3168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2113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814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1295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528</v>
      </c>
      <c r="W9" s="3">
        <f>SUM(S9:V9)</f>
        <v>4750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785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961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592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1552</v>
      </c>
      <c r="AB9" s="3">
        <f>SUM(X9:AA9)</f>
        <v>3890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627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1172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823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490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543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333</v>
      </c>
      <c r="AL9" s="3">
        <f>SUM(AH9:AK9)</f>
        <v>2189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-508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-994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-609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-510</v>
      </c>
      <c r="H10" s="3">
        <f>SUM(D10:G10)</f>
        <v>-2621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-665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-384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-622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-444</v>
      </c>
      <c r="M10" s="3">
        <f>SUM(I10:L10)</f>
        <v>-2115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-940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-359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-454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-496</v>
      </c>
      <c r="R10" s="3">
        <f>SUM(N10:Q10)</f>
        <v>-2249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-687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-627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-530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-593</v>
      </c>
      <c r="W10" s="3">
        <f>SUM(S10:V10)</f>
        <v>-2437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-722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-993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-500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-646</v>
      </c>
      <c r="AB10" s="3">
        <f>SUM(X10:AA10)</f>
        <v>-2861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-645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-1037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-215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-438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-441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-887</v>
      </c>
      <c r="AL10" s="3">
        <f>SUM(AH10:AK10)</f>
        <v>-1981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0</v>
      </c>
      <c r="E11" s="6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0</v>
      </c>
      <c r="F11" s="6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0</v>
      </c>
      <c r="G11" s="6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0</v>
      </c>
      <c r="H11" s="3">
        <f>SUM(D11:G11)</f>
        <v>0</v>
      </c>
      <c r="I11" s="6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0</v>
      </c>
      <c r="J11" s="6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0</v>
      </c>
      <c r="K11" s="6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0</v>
      </c>
      <c r="L11" s="6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0</v>
      </c>
      <c r="M11" s="3">
        <f>SUM(I11:L11)</f>
        <v>0</v>
      </c>
      <c r="N11" s="6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0</v>
      </c>
      <c r="O11" s="6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0</v>
      </c>
      <c r="P11" s="6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0</v>
      </c>
      <c r="Q11" s="6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0</v>
      </c>
      <c r="R11" s="3">
        <f>SUM(N11:Q11)</f>
        <v>0</v>
      </c>
      <c r="S11" s="6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0</v>
      </c>
      <c r="T11" s="6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0</v>
      </c>
      <c r="U11" s="6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0</v>
      </c>
      <c r="V11" s="6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0</v>
      </c>
      <c r="W11" s="3">
        <f>SUM(S11:V11)</f>
        <v>0</v>
      </c>
      <c r="X11" s="6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0</v>
      </c>
      <c r="Y11" s="6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0</v>
      </c>
      <c r="Z11" s="6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0</v>
      </c>
      <c r="AA11" s="6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1" s="3">
        <f>SUM(X11:AA11)</f>
        <v>0</v>
      </c>
      <c r="AC11" s="6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1" s="6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1" s="6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1" s="6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1" s="6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-10</v>
      </c>
      <c r="E12" s="6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17</v>
      </c>
      <c r="F12" s="6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-4</v>
      </c>
      <c r="G12" s="6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-36</v>
      </c>
      <c r="H12" s="3">
        <f>SUM(D12:G12)</f>
        <v>-33</v>
      </c>
      <c r="I12" s="6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-12</v>
      </c>
      <c r="J12" s="6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5</v>
      </c>
      <c r="K12" s="6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3</v>
      </c>
      <c r="L12" s="6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-25</v>
      </c>
      <c r="M12" s="3">
        <f>SUM(I12:L12)</f>
        <v>-29</v>
      </c>
      <c r="N12" s="6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-6</v>
      </c>
      <c r="O12" s="6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26</v>
      </c>
      <c r="P12" s="6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4</v>
      </c>
      <c r="Q12" s="6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-13</v>
      </c>
      <c r="R12" s="3">
        <f>SUM(N12:Q12)</f>
        <v>11</v>
      </c>
      <c r="S12" s="6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-8</v>
      </c>
      <c r="T12" s="6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10</v>
      </c>
      <c r="U12" s="6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-2</v>
      </c>
      <c r="V12" s="6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-18</v>
      </c>
      <c r="W12" s="3">
        <f>SUM(S12:V12)</f>
        <v>-18</v>
      </c>
      <c r="X12" s="6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-5</v>
      </c>
      <c r="Y12" s="6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7</v>
      </c>
      <c r="Z12" s="6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13</v>
      </c>
      <c r="AA12" s="6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-45</v>
      </c>
      <c r="AB12" s="3">
        <f>SUM(X12:AA12)</f>
        <v>-30</v>
      </c>
      <c r="AC12" s="6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-42</v>
      </c>
      <c r="AD12" s="6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-13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-20</v>
      </c>
      <c r="AI12" s="6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20</v>
      </c>
      <c r="AJ12" s="6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-3</v>
      </c>
      <c r="AK12" s="6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-18</v>
      </c>
      <c r="AL12" s="3">
        <f>SUM(AH12:AK12)</f>
        <v>-21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-1810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-1813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-1814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-1815</v>
      </c>
      <c r="H13" s="3">
        <f>SUM(D13:G13)</f>
        <v>-7252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-1906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-1904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-100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-3706</v>
      </c>
      <c r="M13" s="3">
        <f>SUM(I13:L13)</f>
        <v>-7616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-101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-1988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-1989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-3874</v>
      </c>
      <c r="R13" s="3">
        <f>SUM(N13:Q13)</f>
        <v>-7952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-99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-2085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-2090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-4085</v>
      </c>
      <c r="W13" s="3">
        <f>SUM(S13:V13)</f>
        <v>-8359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-89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-2194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-2108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-4388</v>
      </c>
      <c r="AB13" s="3">
        <f>SUM(X13:AA13)</f>
        <v>-8779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-2281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-2281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-1761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-1761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-3525</v>
      </c>
      <c r="AL13" s="3">
        <f>SUM(AH13:AK13)</f>
        <v>-7047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8484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9188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11301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9684</v>
      </c>
      <c r="H15" s="3">
        <f>G15</f>
        <v>9684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7681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8976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10127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9519</v>
      </c>
      <c r="M15" s="3">
        <f>L15</f>
        <v>9519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12004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12564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11883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9366</v>
      </c>
      <c r="R15" s="3">
        <f>Q15</f>
        <v>9366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10443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13708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13938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10828</v>
      </c>
      <c r="W15" s="3">
        <f>V15</f>
        <v>10828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8417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9590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12732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10270</v>
      </c>
      <c r="AB15" s="3">
        <f>AA15</f>
        <v>10270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10574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12907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13561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10037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11385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9143</v>
      </c>
      <c r="AL15" s="3">
        <f>AK15</f>
        <v>9143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3762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4036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3889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3512</v>
      </c>
      <c r="H16" s="3">
        <f>G16</f>
        <v>3512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4641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4494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3994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3487</v>
      </c>
      <c r="M16" s="3">
        <f>L16</f>
        <v>3487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4599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3970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3495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3410</v>
      </c>
      <c r="R16" s="3">
        <f>Q16</f>
        <v>3410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4244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4545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4233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3569</v>
      </c>
      <c r="W16" s="3">
        <f>V16</f>
        <v>3569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4091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4168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3946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3038</v>
      </c>
      <c r="AB16" s="3">
        <f>AA16</f>
        <v>3038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3675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3732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4430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3849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3827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3144</v>
      </c>
      <c r="AL16" s="3">
        <f>AK16</f>
        <v>3144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3356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3281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3182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3414</v>
      </c>
      <c r="H17" s="3">
        <f>G17</f>
        <v>3414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3741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3621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3708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4233</v>
      </c>
      <c r="M17" s="3">
        <f>L17</f>
        <v>4233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4727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4646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4252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4424</v>
      </c>
      <c r="R17" s="3">
        <f>Q17</f>
        <v>4424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4961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4763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4714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4728</v>
      </c>
      <c r="W17" s="3">
        <f>V17</f>
        <v>4728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5102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5082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4802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4425</v>
      </c>
      <c r="AB17" s="3">
        <f>AA17</f>
        <v>4425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4730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4647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3558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3501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3264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3266</v>
      </c>
      <c r="AL17" s="3">
        <f>AK17</f>
        <v>3266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2332</v>
      </c>
      <c r="E18" s="6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2291</v>
      </c>
      <c r="F18" s="6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2237</v>
      </c>
      <c r="G18" s="6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2129</v>
      </c>
      <c r="H18" s="3">
        <f>G18</f>
        <v>2129</v>
      </c>
      <c r="I18" s="6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2006</v>
      </c>
      <c r="J18" s="6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1833</v>
      </c>
      <c r="K18" s="6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1708</v>
      </c>
      <c r="L18" s="6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1746</v>
      </c>
      <c r="M18" s="3">
        <f>L18</f>
        <v>1746</v>
      </c>
      <c r="N18" s="6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1696</v>
      </c>
      <c r="O18" s="6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1661</v>
      </c>
      <c r="P18" s="6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1575</v>
      </c>
      <c r="Q18" s="6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1561</v>
      </c>
      <c r="R18" s="3">
        <f>Q18</f>
        <v>1561</v>
      </c>
      <c r="S18" s="6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1457</v>
      </c>
      <c r="T18" s="6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1409</v>
      </c>
      <c r="U18" s="6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1428</v>
      </c>
      <c r="V18" s="6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1319</v>
      </c>
      <c r="W18" s="3">
        <f>V18</f>
        <v>1319</v>
      </c>
      <c r="X18" s="6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1311</v>
      </c>
      <c r="Y18" s="6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1325</v>
      </c>
      <c r="Z18" s="6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1267</v>
      </c>
      <c r="AA18" s="6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1206</v>
      </c>
      <c r="AB18" s="3">
        <f>AA18</f>
        <v>1206</v>
      </c>
      <c r="AC18" s="6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1141</v>
      </c>
      <c r="AD18" s="6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1090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2275</v>
      </c>
      <c r="AI18" s="6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2366</v>
      </c>
      <c r="AJ18" s="6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2439</v>
      </c>
      <c r="AK18" s="6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2460</v>
      </c>
      <c r="AL18" s="3">
        <f>AK18</f>
        <v>2460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0</v>
      </c>
      <c r="E19" s="6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0</v>
      </c>
      <c r="F19" s="6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0</v>
      </c>
      <c r="G19" s="6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0</v>
      </c>
      <c r="H19" s="3">
        <f>G19</f>
        <v>0</v>
      </c>
      <c r="I19" s="6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0</v>
      </c>
      <c r="J19" s="6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0</v>
      </c>
      <c r="K19" s="6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0</v>
      </c>
      <c r="L19" s="6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0</v>
      </c>
      <c r="M19" s="3">
        <f>L19</f>
        <v>0</v>
      </c>
      <c r="N19" s="6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0</v>
      </c>
      <c r="O19" s="6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0</v>
      </c>
      <c r="P19" s="6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0</v>
      </c>
      <c r="Q19" s="6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3">
        <f>Q19</f>
        <v>0</v>
      </c>
      <c r="S19" s="6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6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6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6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3">
        <f>V19</f>
        <v>0</v>
      </c>
      <c r="X19" s="6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6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6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6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3">
        <f>AA19</f>
        <v>0</v>
      </c>
      <c r="AC19" s="6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6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9" s="6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9" s="6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9" s="6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6330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5976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5868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5935</v>
      </c>
      <c r="H20" s="3">
        <f>G20</f>
        <v>5935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6093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6050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6310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5352</v>
      </c>
      <c r="M20" s="3">
        <f>L20</f>
        <v>5352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5550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6411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8237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9532</v>
      </c>
      <c r="R20" s="3">
        <f>Q20</f>
        <v>9532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9814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8583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7403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6872</v>
      </c>
      <c r="W20" s="3">
        <f>V20</f>
        <v>6872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8568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7769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5767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13311</v>
      </c>
      <c r="AB20" s="3">
        <f>AA20</f>
        <v>13311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11411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11590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6685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11984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11934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3687</v>
      </c>
      <c r="AL20" s="3">
        <f>AK20</f>
        <v>3687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18966</v>
      </c>
      <c r="E21" s="6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18471</v>
      </c>
      <c r="F21" s="6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18284</v>
      </c>
      <c r="G21" s="6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17598</v>
      </c>
      <c r="H21" s="3">
        <f>G21</f>
        <v>17598</v>
      </c>
      <c r="I21" s="6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18198</v>
      </c>
      <c r="J21" s="6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17720</v>
      </c>
      <c r="K21" s="6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17723</v>
      </c>
      <c r="L21" s="6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18264</v>
      </c>
      <c r="M21" s="3">
        <f>L21</f>
        <v>18264</v>
      </c>
      <c r="N21" s="6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18744</v>
      </c>
      <c r="O21" s="6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19262</v>
      </c>
      <c r="P21" s="6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19256</v>
      </c>
      <c r="Q21" s="6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19671</v>
      </c>
      <c r="R21" s="3">
        <f>Q21</f>
        <v>19671</v>
      </c>
      <c r="S21" s="6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19495</v>
      </c>
      <c r="T21" s="6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18940</v>
      </c>
      <c r="U21" s="6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18993</v>
      </c>
      <c r="V21" s="6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18087</v>
      </c>
      <c r="W21" s="3">
        <f>V21</f>
        <v>18087</v>
      </c>
      <c r="X21" s="6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18369</v>
      </c>
      <c r="Y21" s="6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19379</v>
      </c>
      <c r="Z21" s="6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20323</v>
      </c>
      <c r="AA21" s="6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20235</v>
      </c>
      <c r="AB21" s="3">
        <f>AA21</f>
        <v>20235</v>
      </c>
      <c r="AC21" s="6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20403</v>
      </c>
      <c r="AD21" s="6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20782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18020</v>
      </c>
      <c r="AI21" s="6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18189</v>
      </c>
      <c r="AJ21" s="6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18875</v>
      </c>
      <c r="AK21" s="6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19273</v>
      </c>
      <c r="AL21" s="3">
        <f>AK21</f>
        <v>19273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10673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10547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10058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9920</v>
      </c>
      <c r="H22" s="3">
        <f>G22</f>
        <v>9920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9784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9462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9243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9841</v>
      </c>
      <c r="M22" s="3">
        <f>L22</f>
        <v>9841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9848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9706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8860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9236</v>
      </c>
      <c r="R22" s="3">
        <f>Q22</f>
        <v>9236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9306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9508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9864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10303</v>
      </c>
      <c r="W22" s="3">
        <f>V22</f>
        <v>10303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10431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10784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10902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9613</v>
      </c>
      <c r="AB22" s="3">
        <f>AA22</f>
        <v>9613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9522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9636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10993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10695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10667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10777</v>
      </c>
      <c r="AL22" s="3">
        <f>AK22</f>
        <v>10777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0</v>
      </c>
      <c r="E23" s="6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0</v>
      </c>
      <c r="F23" s="6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0</v>
      </c>
      <c r="G23" s="6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0</v>
      </c>
      <c r="H23" s="3">
        <f>G23</f>
        <v>0</v>
      </c>
      <c r="I23" s="6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0</v>
      </c>
      <c r="J23" s="6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0</v>
      </c>
      <c r="K23" s="6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0</v>
      </c>
      <c r="L23" s="6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0</v>
      </c>
      <c r="M23" s="3">
        <f>L23</f>
        <v>0</v>
      </c>
      <c r="N23" s="6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0</v>
      </c>
      <c r="O23" s="6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0</v>
      </c>
      <c r="P23" s="6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0</v>
      </c>
      <c r="Q23" s="6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0</v>
      </c>
      <c r="R23" s="3">
        <f>Q23</f>
        <v>0</v>
      </c>
      <c r="S23" s="6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0</v>
      </c>
      <c r="T23" s="6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0</v>
      </c>
      <c r="U23" s="6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0</v>
      </c>
      <c r="V23" s="6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0</v>
      </c>
      <c r="W23" s="3">
        <f>V23</f>
        <v>0</v>
      </c>
      <c r="X23" s="6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0</v>
      </c>
      <c r="Y23" s="6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0</v>
      </c>
      <c r="Z23" s="6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0</v>
      </c>
      <c r="AA23" s="6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3" s="3">
        <f>AA23</f>
        <v>0</v>
      </c>
      <c r="AC23" s="6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3" s="6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3" s="6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3" s="6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3" s="6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17618</v>
      </c>
      <c r="E24" s="6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17693</v>
      </c>
      <c r="F24" s="6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17455</v>
      </c>
      <c r="G24" s="6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19363</v>
      </c>
      <c r="H24" s="3">
        <f>G24</f>
        <v>19363</v>
      </c>
      <c r="I24" s="6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19598</v>
      </c>
      <c r="J24" s="6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18910</v>
      </c>
      <c r="K24" s="6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18329</v>
      </c>
      <c r="L24" s="6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18782</v>
      </c>
      <c r="M24" s="3">
        <f>L24</f>
        <v>18782</v>
      </c>
      <c r="N24" s="6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18678</v>
      </c>
      <c r="O24" s="6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18545</v>
      </c>
      <c r="P24" s="6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18144</v>
      </c>
      <c r="Q24" s="6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18358</v>
      </c>
      <c r="R24" s="3">
        <f>Q24</f>
        <v>18358</v>
      </c>
      <c r="S24" s="6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18210</v>
      </c>
      <c r="T24" s="6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18324</v>
      </c>
      <c r="U24" s="6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18686</v>
      </c>
      <c r="V24" s="6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18139</v>
      </c>
      <c r="W24" s="3">
        <f>V24</f>
        <v>18139</v>
      </c>
      <c r="X24" s="6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18333</v>
      </c>
      <c r="Y24" s="6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18663</v>
      </c>
      <c r="Z24" s="6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18662</v>
      </c>
      <c r="AA24" s="6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15491</v>
      </c>
      <c r="AB24" s="3">
        <f>AA24</f>
        <v>15491</v>
      </c>
      <c r="AC24" s="6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15411</v>
      </c>
      <c r="AD24" s="6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15456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16673</v>
      </c>
      <c r="AI24" s="6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16617</v>
      </c>
      <c r="AJ24" s="6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16887</v>
      </c>
      <c r="AK24" s="6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17506</v>
      </c>
      <c r="AL24" s="3">
        <f>AK24</f>
        <v>17506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10584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10675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10449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14465</v>
      </c>
      <c r="H25" s="3">
        <f>G25</f>
        <v>14465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14388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14271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13968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14214</v>
      </c>
      <c r="M25" s="3">
        <f>L25</f>
        <v>14214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14283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14369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14213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14349</v>
      </c>
      <c r="R25" s="3">
        <f>Q25</f>
        <v>14349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13532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13510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13598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13301</v>
      </c>
      <c r="W25" s="3">
        <f>V25</f>
        <v>13301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13425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13615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13515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12531</v>
      </c>
      <c r="AB25" s="3">
        <f>AA25</f>
        <v>12531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12463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12500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10565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10275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10333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10395</v>
      </c>
      <c r="AL25" s="3">
        <f>AK25</f>
        <v>10395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7888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8036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7883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8334</v>
      </c>
      <c r="H26" s="3">
        <f>G26</f>
        <v>8334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7934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7832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7361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7325</v>
      </c>
      <c r="M26" s="3">
        <f>L26</f>
        <v>7325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7275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7322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7663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7796</v>
      </c>
      <c r="R26" s="3">
        <f>Q26</f>
        <v>7796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7930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7912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13409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13403</v>
      </c>
      <c r="W26" s="3">
        <f>V26</f>
        <v>13403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13669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13958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14129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14696</v>
      </c>
      <c r="AB26" s="3">
        <f>AA26</f>
        <v>14696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14887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15582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7253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7176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7573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7645</v>
      </c>
      <c r="AL26" s="3">
        <f>AK26</f>
        <v>7645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10929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12124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12830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14619</v>
      </c>
      <c r="H28" s="3">
        <f>G28</f>
        <v>14619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13272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14213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16103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15749</v>
      </c>
      <c r="M28" s="3">
        <f>L28</f>
        <v>15749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15593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16483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16837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15485</v>
      </c>
      <c r="R28" s="3">
        <f>Q28</f>
        <v>15485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19425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21909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23820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21715</v>
      </c>
      <c r="W28" s="3">
        <f>V28</f>
        <v>21715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16499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17030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17692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14813</v>
      </c>
      <c r="AB28" s="3">
        <f>AA28</f>
        <v>14813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14409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15434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12640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11668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12750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11145</v>
      </c>
      <c r="AL28" s="3">
        <f>AK28</f>
        <v>11145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0</v>
      </c>
      <c r="E29" s="6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0</v>
      </c>
      <c r="F29" s="6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0</v>
      </c>
      <c r="G29" s="6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0</v>
      </c>
      <c r="H29" s="3">
        <f>G29</f>
        <v>0</v>
      </c>
      <c r="I29" s="6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0</v>
      </c>
      <c r="J29" s="6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0</v>
      </c>
      <c r="K29" s="6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0</v>
      </c>
      <c r="L29" s="6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0</v>
      </c>
      <c r="M29" s="3">
        <f>L29</f>
        <v>0</v>
      </c>
      <c r="N29" s="6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0</v>
      </c>
      <c r="O29" s="6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0</v>
      </c>
      <c r="P29" s="6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0</v>
      </c>
      <c r="Q29" s="6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0</v>
      </c>
      <c r="R29" s="3">
        <f>Q29</f>
        <v>0</v>
      </c>
      <c r="S29" s="6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0</v>
      </c>
      <c r="T29" s="6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0</v>
      </c>
      <c r="U29" s="6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0</v>
      </c>
      <c r="V29" s="6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0</v>
      </c>
      <c r="W29" s="3">
        <f>V29</f>
        <v>0</v>
      </c>
      <c r="X29" s="6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0</v>
      </c>
      <c r="Y29" s="6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0</v>
      </c>
      <c r="Z29" s="6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0</v>
      </c>
      <c r="AA29" s="6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9" s="3">
        <f>AA29</f>
        <v>0</v>
      </c>
      <c r="AC29" s="6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9" s="6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9" s="6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9" s="6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9" s="6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744</v>
      </c>
      <c r="E30" s="6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971</v>
      </c>
      <c r="F30" s="6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846</v>
      </c>
      <c r="G30" s="6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686</v>
      </c>
      <c r="H30" s="3">
        <f>G30</f>
        <v>686</v>
      </c>
      <c r="I30" s="6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866</v>
      </c>
      <c r="J30" s="6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1172</v>
      </c>
      <c r="K30" s="6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1211</v>
      </c>
      <c r="L30" s="6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1203</v>
      </c>
      <c r="M30" s="3">
        <f>L30</f>
        <v>1203</v>
      </c>
      <c r="N30" s="6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1498</v>
      </c>
      <c r="O30" s="6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1633</v>
      </c>
      <c r="P30" s="6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1577</v>
      </c>
      <c r="Q30" s="6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1569</v>
      </c>
      <c r="R30" s="3">
        <f>Q30</f>
        <v>1569</v>
      </c>
      <c r="S30" s="6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1485</v>
      </c>
      <c r="T30" s="6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1622</v>
      </c>
      <c r="U30" s="6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1479</v>
      </c>
      <c r="V30" s="6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1387</v>
      </c>
      <c r="W30" s="3">
        <f>V30</f>
        <v>1387</v>
      </c>
      <c r="X30" s="6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1728</v>
      </c>
      <c r="Y30" s="6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444</v>
      </c>
      <c r="Z30" s="6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568</v>
      </c>
      <c r="AA30" s="6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525</v>
      </c>
      <c r="AB30" s="3">
        <f>AA30</f>
        <v>525</v>
      </c>
      <c r="AC30" s="6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717</v>
      </c>
      <c r="AD30" s="6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782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458</v>
      </c>
      <c r="AI30" s="6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576</v>
      </c>
      <c r="AJ30" s="6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776</v>
      </c>
      <c r="AK30" s="6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788</v>
      </c>
      <c r="AL30" s="3">
        <f>AK30</f>
        <v>788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1933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1867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1866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0</v>
      </c>
      <c r="H31" s="3">
        <f>G31</f>
        <v>0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3610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4358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3396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0</v>
      </c>
      <c r="M31" s="3">
        <f>L31</f>
        <v>0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5455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4828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3915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4557</v>
      </c>
      <c r="R31" s="3">
        <f>Q31</f>
        <v>4557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6054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3793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2203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1499</v>
      </c>
      <c r="W31" s="3">
        <f>V31</f>
        <v>1499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5418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4379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2319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4121</v>
      </c>
      <c r="AB31" s="3">
        <f>AA31</f>
        <v>4121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2759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2490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13657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9423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5857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1" s="3">
        <f>AK31</f>
        <v>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2880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337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448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4645</v>
      </c>
      <c r="H32" s="3">
        <f>G32</f>
        <v>4645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1039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788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729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2772</v>
      </c>
      <c r="M32" s="3">
        <f>L32</f>
        <v>2772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811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1171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2080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1960</v>
      </c>
      <c r="R32" s="3">
        <f>Q32</f>
        <v>1960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1392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1939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1067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648</v>
      </c>
      <c r="W32" s="3">
        <f>V32</f>
        <v>648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163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91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1920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1822</v>
      </c>
      <c r="AB32" s="3">
        <f>AA32</f>
        <v>1822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4493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6494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5642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5181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7508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2668</v>
      </c>
      <c r="AL32" s="3">
        <f>AK32</f>
        <v>2668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6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6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6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3">
        <f>G33</f>
        <v>0</v>
      </c>
      <c r="I33" s="6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6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6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6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3">
        <f>L33</f>
        <v>0</v>
      </c>
      <c r="N33" s="6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6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6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6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3">
        <f>Q33</f>
        <v>0</v>
      </c>
      <c r="S33" s="6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6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6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6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3">
        <f>V33</f>
        <v>0</v>
      </c>
      <c r="X33" s="6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6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6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6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3">
        <f>AA33</f>
        <v>0</v>
      </c>
      <c r="AC33" s="6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6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6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6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6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0</v>
      </c>
      <c r="E34" s="6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0</v>
      </c>
      <c r="F34" s="6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0</v>
      </c>
      <c r="G34" s="6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0</v>
      </c>
      <c r="H34" s="3">
        <f>G34</f>
        <v>0</v>
      </c>
      <c r="I34" s="6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0</v>
      </c>
      <c r="J34" s="6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0</v>
      </c>
      <c r="K34" s="6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0</v>
      </c>
      <c r="L34" s="6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0</v>
      </c>
      <c r="M34" s="3">
        <f>L34</f>
        <v>0</v>
      </c>
      <c r="N34" s="6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0</v>
      </c>
      <c r="O34" s="6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0</v>
      </c>
      <c r="P34" s="6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0</v>
      </c>
      <c r="Q34" s="6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0</v>
      </c>
      <c r="R34" s="3">
        <f>Q34</f>
        <v>0</v>
      </c>
      <c r="S34" s="6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0</v>
      </c>
      <c r="T34" s="6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0</v>
      </c>
      <c r="U34" s="6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0</v>
      </c>
      <c r="V34" s="6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0</v>
      </c>
      <c r="W34" s="3">
        <f>V34</f>
        <v>0</v>
      </c>
      <c r="X34" s="6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0</v>
      </c>
      <c r="Y34" s="6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0</v>
      </c>
      <c r="Z34" s="6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0</v>
      </c>
      <c r="AA34" s="6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4" s="3">
        <f>AA34</f>
        <v>0</v>
      </c>
      <c r="AC34" s="6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4" s="6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4" s="6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4" s="6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4" s="6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40170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39804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39394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38116</v>
      </c>
      <c r="H35" s="3">
        <f>G35</f>
        <v>38116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37052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36755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35462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36377</v>
      </c>
      <c r="M35" s="3">
        <f>L35</f>
        <v>36377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36134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35626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34176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35547</v>
      </c>
      <c r="R35" s="3">
        <f>Q35</f>
        <v>35547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35104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38085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42994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42375</v>
      </c>
      <c r="W35" s="3">
        <f>V35</f>
        <v>42375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43530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44976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43177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42119</v>
      </c>
      <c r="AB35" s="3">
        <f>AA35</f>
        <v>42119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39065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37001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31094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37729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39502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40125</v>
      </c>
      <c r="AL35" s="3">
        <f>AK35</f>
        <v>40125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0</v>
      </c>
      <c r="E36" s="6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0</v>
      </c>
      <c r="F36" s="6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0</v>
      </c>
      <c r="G36" s="6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0</v>
      </c>
      <c r="H36" s="3">
        <f>G36</f>
        <v>0</v>
      </c>
      <c r="I36" s="6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0</v>
      </c>
      <c r="J36" s="6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0</v>
      </c>
      <c r="K36" s="6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0</v>
      </c>
      <c r="L36" s="6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0</v>
      </c>
      <c r="M36" s="3">
        <f>L36</f>
        <v>0</v>
      </c>
      <c r="N36" s="6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0</v>
      </c>
      <c r="O36" s="6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0</v>
      </c>
      <c r="P36" s="6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0</v>
      </c>
      <c r="Q36" s="6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0</v>
      </c>
      <c r="R36" s="3">
        <f>Q36</f>
        <v>0</v>
      </c>
      <c r="S36" s="6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0</v>
      </c>
      <c r="T36" s="6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0</v>
      </c>
      <c r="U36" s="6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0</v>
      </c>
      <c r="V36" s="6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0</v>
      </c>
      <c r="W36" s="3">
        <f>V36</f>
        <v>0</v>
      </c>
      <c r="X36" s="6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0</v>
      </c>
      <c r="Y36" s="6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0</v>
      </c>
      <c r="Z36" s="6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0</v>
      </c>
      <c r="AA36" s="6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6" s="3">
        <f>AA36</f>
        <v>0</v>
      </c>
      <c r="AC36" s="6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6" s="6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6" s="6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6" s="6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6" s="6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6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6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6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3">
        <f>G37</f>
        <v>0</v>
      </c>
      <c r="I37" s="6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6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6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6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3">
        <f>L37</f>
        <v>0</v>
      </c>
      <c r="N37" s="6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6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6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6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3">
        <f>Q37</f>
        <v>0</v>
      </c>
      <c r="S37" s="6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6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6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6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3">
        <f>V37</f>
        <v>0</v>
      </c>
      <c r="X37" s="6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6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6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6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3">
        <f>AA37</f>
        <v>0</v>
      </c>
      <c r="AC37" s="6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6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6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6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6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2447</v>
      </c>
      <c r="E38" s="6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2486</v>
      </c>
      <c r="F38" s="6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2688</v>
      </c>
      <c r="G38" s="6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2821</v>
      </c>
      <c r="H38" s="3">
        <f>G38</f>
        <v>2821</v>
      </c>
      <c r="I38" s="6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3132</v>
      </c>
      <c r="J38" s="6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3034</v>
      </c>
      <c r="K38" s="6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3124</v>
      </c>
      <c r="L38" s="6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2914</v>
      </c>
      <c r="M38" s="3">
        <f>L38</f>
        <v>2914</v>
      </c>
      <c r="N38" s="6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3171</v>
      </c>
      <c r="O38" s="6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2714</v>
      </c>
      <c r="P38" s="6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2733</v>
      </c>
      <c r="Q38" s="6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2639</v>
      </c>
      <c r="R38" s="3">
        <f>Q38</f>
        <v>2639</v>
      </c>
      <c r="S38" s="6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2521</v>
      </c>
      <c r="T38" s="6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2366</v>
      </c>
      <c r="U38" s="6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2292</v>
      </c>
      <c r="V38" s="6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2469</v>
      </c>
      <c r="W38" s="3">
        <f>V38</f>
        <v>2469</v>
      </c>
      <c r="X38" s="6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2311</v>
      </c>
      <c r="Y38" s="6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2375</v>
      </c>
      <c r="Z38" s="6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2435</v>
      </c>
      <c r="AA38" s="6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2406</v>
      </c>
      <c r="AB38" s="3">
        <f>AA38</f>
        <v>2406</v>
      </c>
      <c r="AC38" s="6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2615</v>
      </c>
      <c r="AD38" s="6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2779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1856</v>
      </c>
      <c r="AI38" s="6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1969</v>
      </c>
      <c r="AJ38" s="6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1945</v>
      </c>
      <c r="AK38" s="6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1833</v>
      </c>
      <c r="AL38" s="3">
        <f>AK38</f>
        <v>1833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8558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8350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8401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8607</v>
      </c>
      <c r="H39" s="3">
        <f>G39</f>
        <v>8607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8252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8046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8010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7922</v>
      </c>
      <c r="M39" s="3">
        <f>L39</f>
        <v>7922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7874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8449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8427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8466</v>
      </c>
      <c r="R39" s="3">
        <f>Q39</f>
        <v>8466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5465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4077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4257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4084</v>
      </c>
      <c r="W39" s="3">
        <f>V39</f>
        <v>4084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4313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4856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4667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4735</v>
      </c>
      <c r="AB39" s="3">
        <f>AA39</f>
        <v>4735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4425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4627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8832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8954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8530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9453</v>
      </c>
      <c r="AL39" s="3">
        <f>AK39</f>
        <v>9453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1977</v>
      </c>
      <c r="E41" s="6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2006</v>
      </c>
      <c r="F41" s="6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1954</v>
      </c>
      <c r="G41" s="6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1861</v>
      </c>
      <c r="H41" s="3">
        <f>G41</f>
        <v>1861</v>
      </c>
      <c r="I41" s="6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1996</v>
      </c>
      <c r="J41" s="6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1798</v>
      </c>
      <c r="K41" s="6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1631</v>
      </c>
      <c r="L41" s="6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1721</v>
      </c>
      <c r="M41" s="3">
        <f>L41</f>
        <v>1721</v>
      </c>
      <c r="N41" s="6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1651</v>
      </c>
      <c r="O41" s="6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1539</v>
      </c>
      <c r="P41" s="6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1508</v>
      </c>
      <c r="Q41" s="6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1539</v>
      </c>
      <c r="R41" s="3">
        <f>Q41</f>
        <v>1539</v>
      </c>
      <c r="S41" s="6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1517</v>
      </c>
      <c r="T41" s="6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1558</v>
      </c>
      <c r="U41" s="6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1636</v>
      </c>
      <c r="V41" s="6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1516</v>
      </c>
      <c r="W41" s="3">
        <f>V41</f>
        <v>1516</v>
      </c>
      <c r="X41" s="6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1552</v>
      </c>
      <c r="Y41" s="6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1597</v>
      </c>
      <c r="Z41" s="6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2020</v>
      </c>
      <c r="AA41" s="6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2106</v>
      </c>
      <c r="AB41" s="3">
        <f>AA41</f>
        <v>2106</v>
      </c>
      <c r="AC41" s="6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2101</v>
      </c>
      <c r="AD41" s="6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2165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1676</v>
      </c>
      <c r="AI41" s="6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1705</v>
      </c>
      <c r="AJ41" s="6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1709</v>
      </c>
      <c r="AK41" s="6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1985</v>
      </c>
      <c r="AL41" s="3">
        <f>AK41</f>
        <v>1985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19390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19541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19689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19876</v>
      </c>
      <c r="H43" s="3">
        <f>G43</f>
        <v>19876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20148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20341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20447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20582</v>
      </c>
      <c r="M43" s="3">
        <f>L43</f>
        <v>20582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20649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20753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20841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20969</v>
      </c>
      <c r="R43" s="3">
        <f>Q43</f>
        <v>20969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21081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21228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21470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21561</v>
      </c>
      <c r="W43" s="3">
        <f>V43</f>
        <v>21561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21633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21730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22249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22341</v>
      </c>
      <c r="AB43" s="3">
        <f>AA43</f>
        <v>22341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22394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22501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19072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19127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19223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19361</v>
      </c>
      <c r="AL43" s="3">
        <f>AK43</f>
        <v>19361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-51911</v>
      </c>
      <c r="E44" s="6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-51831</v>
      </c>
      <c r="F44" s="6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-51754</v>
      </c>
      <c r="G44" s="6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-51641</v>
      </c>
      <c r="H44" s="3">
        <f>G44</f>
        <v>-51641</v>
      </c>
      <c r="I44" s="6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-51932</v>
      </c>
      <c r="J44" s="6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-52505</v>
      </c>
      <c r="K44" s="6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-52666</v>
      </c>
      <c r="L44" s="6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-52601</v>
      </c>
      <c r="M44" s="3">
        <f>L44</f>
        <v>-52601</v>
      </c>
      <c r="N44" s="6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-53247</v>
      </c>
      <c r="O44" s="6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-53418</v>
      </c>
      <c r="P44" s="6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-53494</v>
      </c>
      <c r="Q44" s="6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-54535</v>
      </c>
      <c r="R44" s="3">
        <f>Q44</f>
        <v>-54535</v>
      </c>
      <c r="S44" s="6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-55016</v>
      </c>
      <c r="T44" s="6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-55106</v>
      </c>
      <c r="U44" s="6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-55362</v>
      </c>
      <c r="V44" s="6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-55916</v>
      </c>
      <c r="W44" s="3">
        <f>V44</f>
        <v>-55916</v>
      </c>
      <c r="X44" s="6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-56138</v>
      </c>
      <c r="Y44" s="6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-56190</v>
      </c>
      <c r="Z44" s="6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-56355</v>
      </c>
      <c r="AA44" s="6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-56423</v>
      </c>
      <c r="AB44" s="3">
        <f>AA44</f>
        <v>-56423</v>
      </c>
      <c r="AC44" s="6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-56747</v>
      </c>
      <c r="AD44" s="6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-56894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-52088</v>
      </c>
      <c r="AI44" s="6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-52071</v>
      </c>
      <c r="AJ44" s="6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-52033</v>
      </c>
      <c r="AK44" s="6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-52016</v>
      </c>
      <c r="AL44" s="3">
        <f>AK44</f>
        <v>-52016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-14133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-13299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-14250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-14330</v>
      </c>
      <c r="H45" s="3">
        <f>G45</f>
        <v>-14330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-13340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-14801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-15869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-14895</v>
      </c>
      <c r="M45" s="3">
        <f>L45</f>
        <v>-14895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-14322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-14017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-14815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-14275</v>
      </c>
      <c r="R45" s="3">
        <f>Q45</f>
        <v>-14275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-14504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-15458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-15536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-16843</v>
      </c>
      <c r="W45" s="3">
        <f>V45</f>
        <v>-16843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-16482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-15758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-14952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-14131</v>
      </c>
      <c r="AB45" s="3">
        <f>AA45</f>
        <v>-14131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-14040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-13626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-15696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-16460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-15446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-14601</v>
      </c>
      <c r="AL45" s="3">
        <f>AK45</f>
        <v>-14601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6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6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6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0</v>
      </c>
      <c r="H46" s="3">
        <f>G46</f>
        <v>0</v>
      </c>
      <c r="I46" s="6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6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6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6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3">
        <f>L46</f>
        <v>0</v>
      </c>
      <c r="N46" s="6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6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6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6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3">
        <f>Q46</f>
        <v>0</v>
      </c>
      <c r="S46" s="6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6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6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6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3">
        <f>V46</f>
        <v>0</v>
      </c>
      <c r="X46" s="6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6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6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6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3">
        <f>AA46</f>
        <v>0</v>
      </c>
      <c r="AC46" s="6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6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6" s="6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6" s="6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6" s="6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67009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67838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68494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69094</v>
      </c>
      <c r="H47" s="3">
        <f>G47</f>
        <v>69094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69969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69970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70893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71019</v>
      </c>
      <c r="M47" s="3">
        <f>L47</f>
        <v>71019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72137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72695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73793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73782</v>
      </c>
      <c r="R47" s="3">
        <f>Q47</f>
        <v>73782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74868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75189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75946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76054</v>
      </c>
      <c r="W47" s="3">
        <f>V47</f>
        <v>76054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77189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78803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80305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80382</v>
      </c>
      <c r="AB47" s="3">
        <f>AA47</f>
        <v>80382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82026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84169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66870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66888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66863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66555</v>
      </c>
      <c r="AL47" s="3">
        <f>AK47</f>
        <v>66555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2245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2641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2471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2414</v>
      </c>
      <c r="H50" s="3">
        <f>SUM(D50:G50)</f>
        <v>9771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2781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1905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2825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2031</v>
      </c>
      <c r="M50" s="3">
        <f>SUM(I50:L50)</f>
        <v>9542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3107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2547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3087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1973</v>
      </c>
      <c r="R50" s="3">
        <f>SUM(N50:Q50)</f>
        <v>10714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3177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2411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2848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2195</v>
      </c>
      <c r="W50" s="3">
        <f>SUM(S50:V50)</f>
        <v>10631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3330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3810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3696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2271</v>
      </c>
      <c r="AB50" s="3">
        <f>SUM(X50:AA50)</f>
        <v>13107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3924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4425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2775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1779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1737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1456</v>
      </c>
      <c r="AL50">
        <f>SUM(AH50:AK50)</f>
        <v>7747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EMEA (USD)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1623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2017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1915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1638</v>
      </c>
      <c r="H53" s="264">
        <f>SUM(D53:G53)</f>
        <v>7193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1833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2184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1987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1519</v>
      </c>
      <c r="M53" s="264">
        <f>SUM(I53:L53)</f>
        <v>7523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2024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2188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2176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1690</v>
      </c>
      <c r="R53" s="264">
        <f>SUM(N53:Q53)</f>
        <v>8078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1973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2339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2019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1791</v>
      </c>
      <c r="W53" s="264">
        <f>SUM(S53:V53)</f>
        <v>8122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2657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3176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2996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2684</v>
      </c>
      <c r="AB53" s="264">
        <f>SUM(X53:AA53)</f>
        <v>11513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3012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3240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1725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1210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1693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1429</v>
      </c>
      <c r="AL53" s="264">
        <f>SUM(AH53:AK53)</f>
        <v>6057</v>
      </c>
    </row>
    <row r="54">
      <c r="B54" s="46" t="n">
        <v>46</v>
      </c>
      <c r="C54" s="29" t="inlineStr">
        <is>
          <t>Lucro operacional EMEA (USD)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820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1142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1028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745</v>
      </c>
      <c r="H54" s="264">
        <f>SUM(D54:G54)</f>
        <v>3735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1007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1291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1046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614</v>
      </c>
      <c r="M54" s="264">
        <f>SUM(I54:L54)</f>
        <v>3958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1135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1133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1136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798</v>
      </c>
      <c r="R54" s="264">
        <f>SUM(N54:Q54)</f>
        <v>4202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1080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1252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977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816</v>
      </c>
      <c r="W54" s="264">
        <f>SUM(S54:V54)</f>
        <v>4125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1065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1325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1097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811</v>
      </c>
      <c r="AB54" s="264">
        <f>SUM(X54:AA54)</f>
        <v>4298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1259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1309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960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715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903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735</v>
      </c>
      <c r="AL54" s="264">
        <f>SUM(AH54:AK54)</f>
        <v>3313</v>
      </c>
    </row>
    <row r="55">
      <c r="B55" s="46" t="n">
        <v>47</v>
      </c>
      <c r="C55" s="29" t="inlineStr">
        <is>
          <t>Receita América Latina (USD)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909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1067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1137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1030</v>
      </c>
      <c r="H55" s="264">
        <f>SUM(D55:G55)</f>
        <v>4143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1214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1140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1267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1289</v>
      </c>
      <c r="M55" s="264">
        <f>SUM(I55:L55)</f>
        <v>4910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1386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1378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1574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1492</v>
      </c>
      <c r="R55" s="264">
        <f>SUM(N55:Q55)</f>
        <v>5830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1527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1650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1639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1643</v>
      </c>
      <c r="W55" s="264">
        <f>SUM(S55:V55)</f>
        <v>6459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1477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1587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1573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1697</v>
      </c>
      <c r="AB55" s="264">
        <f>SUM(X55:AA55)</f>
        <v>6334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1678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1839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930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755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809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1005</v>
      </c>
      <c r="AL55" s="264">
        <f>SUM(AH55:AK55)</f>
        <v>3499</v>
      </c>
    </row>
    <row r="56">
      <c r="B56" s="46" t="n">
        <v>48</v>
      </c>
      <c r="C56" s="29" t="inlineStr">
        <is>
          <t>Lucro operacional América Latina (USD)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552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678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712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592</v>
      </c>
      <c r="H56" s="264">
        <f>SUM(D56:G56)</f>
        <v>2534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760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674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712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724</v>
      </c>
      <c r="M56" s="264">
        <f>SUM(I56:L56)</f>
        <v>2870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853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797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985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797</v>
      </c>
      <c r="R56" s="264">
        <f>SUM(N56:Q56)</f>
        <v>3432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942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920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933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985</v>
      </c>
      <c r="W56" s="264">
        <f>SUM(S56:V56)</f>
        <v>3780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904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957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897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984</v>
      </c>
      <c r="AB56" s="264">
        <f>SUM(X56:AA56)</f>
        <v>3742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1038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1177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539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504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483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590</v>
      </c>
      <c r="AL56" s="264">
        <f>SUM(AH56:AK56)</f>
        <v>2116</v>
      </c>
    </row>
    <row r="57">
      <c r="B57" s="46" t="n">
        <v>49</v>
      </c>
      <c r="C57" s="29" t="inlineStr">
        <is>
          <t>Receita América do Norte (USD)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2937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3381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3479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3393</v>
      </c>
      <c r="H57" s="264">
        <f>SUM(D57:G57)</f>
        <v>13190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3590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4030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4201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3853</v>
      </c>
      <c r="M57" s="264">
        <f>SUM(I57:L57)</f>
        <v>15674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3904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4367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4463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4040</v>
      </c>
      <c r="R57" s="264">
        <f>SUM(N57:Q57)</f>
        <v>16774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4174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4812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4984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4679</v>
      </c>
      <c r="W57" s="264">
        <f>SUM(S57:V57)</f>
        <v>18649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4361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5029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5253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4943</v>
      </c>
      <c r="AB57" s="264">
        <f>SUM(X57:AA57)</f>
        <v>19586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4893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5408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2850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2648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3088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2891</v>
      </c>
      <c r="AL57" s="264">
        <f>SUM(AH57:AK57)</f>
        <v>11477</v>
      </c>
    </row>
    <row r="58">
      <c r="B58" s="46" t="n">
        <v>50</v>
      </c>
      <c r="C58" s="29" t="inlineStr">
        <is>
          <t>Lucro operacional América do Norte (USD)</t>
        </is>
      </c>
      <c r="D58" s="26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792</v>
      </c>
      <c r="E58" s="26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950</v>
      </c>
      <c r="F58" s="26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868</v>
      </c>
      <c r="G58" s="26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721</v>
      </c>
      <c r="H58" s="264">
        <f>SUM(D58:G58)</f>
        <v>3331</v>
      </c>
      <c r="I58" s="26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1056</v>
      </c>
      <c r="J58" s="26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840</v>
      </c>
      <c r="K58" s="26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1082</v>
      </c>
      <c r="L58" s="26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764</v>
      </c>
      <c r="M58" s="264">
        <f>SUM(I58:L58)</f>
        <v>3742</v>
      </c>
      <c r="N58" s="26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1033</v>
      </c>
      <c r="O58" s="26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1216</v>
      </c>
      <c r="P58" s="26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1276</v>
      </c>
      <c r="Q58" s="26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910</v>
      </c>
      <c r="R58" s="264">
        <f>SUM(N58:Q58)</f>
        <v>4435</v>
      </c>
      <c r="S58" s="26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445</v>
      </c>
      <c r="T58" s="26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1312</v>
      </c>
      <c r="U58" s="26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1405</v>
      </c>
      <c r="V58" s="26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1174</v>
      </c>
      <c r="W58" s="264">
        <f>SUM(S58:V58)</f>
        <v>4336</v>
      </c>
      <c r="X58" s="26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1341</v>
      </c>
      <c r="Y58" s="26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1621</v>
      </c>
      <c r="Z58" s="26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1681</v>
      </c>
      <c r="AA58" s="26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427</v>
      </c>
      <c r="AB58" s="264">
        <f>SUM(X58:AA58)</f>
        <v>5070</v>
      </c>
      <c r="AC58" s="26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1606</v>
      </c>
      <c r="AD58" s="26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1695</v>
      </c>
      <c r="AE58" s="26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387</v>
      </c>
      <c r="AI58" s="26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489</v>
      </c>
      <c r="AJ58" s="26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727</v>
      </c>
      <c r="AK58" s="26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868</v>
      </c>
      <c r="AL58" s="264">
        <f>SUM(AH58:AK58)</f>
        <v>2471</v>
      </c>
    </row>
    <row r="59">
      <c r="B59" s="46" t="n">
        <v>51</v>
      </c>
      <c r="C59" s="29" t="inlineStr">
        <is>
          <t>Receita Ásia-Pacífico (USD)</t>
        </is>
      </c>
      <c r="D59" s="263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1402</v>
      </c>
      <c r="E59" s="263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1503</v>
      </c>
      <c r="F59" s="263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1374</v>
      </c>
      <c r="G59" s="263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1012</v>
      </c>
      <c r="H59" s="264">
        <f>SUM(D59:G59)</f>
        <v>5291</v>
      </c>
      <c r="I59" s="263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1411</v>
      </c>
      <c r="J59" s="263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1566</v>
      </c>
      <c r="K59" s="263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1427</v>
      </c>
      <c r="L59" s="263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1041</v>
      </c>
      <c r="M59" s="264">
        <f>SUM(I59:L59)</f>
        <v>5445</v>
      </c>
      <c r="N59" s="26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1371</v>
      </c>
      <c r="O59" s="26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1567</v>
      </c>
      <c r="P59" s="26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1402</v>
      </c>
      <c r="Q59" s="26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1115</v>
      </c>
      <c r="R59" s="264">
        <f>SUM(N59:Q59)</f>
        <v>5455</v>
      </c>
      <c r="S59" s="26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1469</v>
      </c>
      <c r="T59" s="26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1512</v>
      </c>
      <c r="U59" s="26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1349</v>
      </c>
      <c r="V59" s="26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1216</v>
      </c>
      <c r="W59" s="264">
        <f>SUM(S59:V59)</f>
        <v>5546</v>
      </c>
      <c r="X59" s="26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1421</v>
      </c>
      <c r="Y59" s="26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1572</v>
      </c>
      <c r="Z59" s="26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1506</v>
      </c>
      <c r="AA59" s="26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1139</v>
      </c>
      <c r="AB59" s="264">
        <f>SUM(X59:AA59)</f>
        <v>5638</v>
      </c>
      <c r="AC59" s="26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1508</v>
      </c>
      <c r="AD59" s="26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1581</v>
      </c>
      <c r="AE59" s="26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1128</v>
      </c>
      <c r="AI59" s="263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1183</v>
      </c>
      <c r="AJ59" s="263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1334</v>
      </c>
      <c r="AK59" s="263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1077</v>
      </c>
      <c r="AL59" s="264">
        <f>SUM(AH59:AK59)</f>
        <v>4722</v>
      </c>
    </row>
    <row r="60">
      <c r="B60" s="46" t="n">
        <v>52</v>
      </c>
      <c r="C60" s="29" t="inlineStr">
        <is>
          <t>Lucro operacional Ásia-Pacífico (USD)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686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766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594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279</v>
      </c>
      <c r="H60" s="264">
        <f>SUM(D60:G60)</f>
        <v>2325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664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753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589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297</v>
      </c>
      <c r="M60" s="264">
        <f>SUM(I60:L60)</f>
        <v>2303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563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673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491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313</v>
      </c>
      <c r="R60" s="264">
        <f>SUM(N60:Q60)</f>
        <v>2040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654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647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459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388</v>
      </c>
      <c r="W60" s="264">
        <f>SUM(S60:V60)</f>
        <v>2148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624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647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521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250</v>
      </c>
      <c r="AB60" s="264">
        <f>SUM(X60:AA60)</f>
        <v>2042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536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656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511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652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564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406</v>
      </c>
      <c r="AL60" s="264">
        <f>SUM(AH60:AK60)</f>
        <v>2133</v>
      </c>
    </row>
    <row r="61">
      <c r="B61" s="46" t="n">
        <v>53</v>
      </c>
      <c r="C61" s="29" t="inlineStr">
        <is>
          <t>Receita Global Ventures (USD)</t>
        </is>
      </c>
      <c r="D61" s="263">
        <f>IF(ISNA(MATCH(D$2,Inputs!$K$4:$AJ$4,0)),NA(),IF(SUMPRODUCT((Inputs!$A$5:$A$130=$B61)*ISNUMBER(INDEX(Inputs!$K$5:$AJ$130,0,MATCH(D$2,Inputs!$K$4:$AJ$4,0))))+SUMPRODUCT((Inputs!$C$5:$C$130=$B61)*ISNUMBER(INDEX(Inputs!$K$5:$AJ$130,0,MATCH(D$2,Inputs!$K$4:$AJ$4,0))))+SUMPRODUCT((Inputs!$E$5:$E$130=$B61)*ISNUMBER(INDEX(Inputs!$K$5:$AJ$130,0,MATCH(D$2,Inputs!$K$4:$AJ$4,0))))=0,NA(),SUMPRODUCT((Inputs!$A$5:$A$130=$B61)*Inputs!$B$5:$B$130*(((Inputs!$G$5:$G$130="moeda")+(Inputs!$G$5:$G$130="acoes"))*Inputs!$B$1+((Inputs!$G$5:$G$130&lt;&gt;"moeda")*(Inputs!$G$5:$G$130&lt;&gt;"acoes")))*INDEX(Inputs!$K$5:$AJ$130,0,MATCH(D$2,Inputs!$K$4:$AJ$4,0)))+SUMPRODUCT((Inputs!$C$5:$C$130=$B61)*Inputs!$D$5:$D$130*(((Inputs!$G$5:$G$130="moeda")+(Inputs!$G$5:$G$130="acoes"))*Inputs!$B$1+((Inputs!$G$5:$G$130&lt;&gt;"moeda")*(Inputs!$G$5:$G$130&lt;&gt;"acoes")))*INDEX(Inputs!$K$5:$AJ$130,0,MATCH(D$2,Inputs!$K$4:$AJ$4,0)))+SUMPRODUCT((Inputs!$E$5:$E$130=$B61)*Inputs!$F$5:$F$130*(((Inputs!$G$5:$G$130="moeda")+(Inputs!$G$5:$G$130="acoes"))*Inputs!$B$1+((Inputs!$G$5:$G$130&lt;&gt;"moeda")*(Inputs!$G$5:$G$130&lt;&gt;"acoes")))*INDEX(Inputs!$K$5:$AJ$130,0,MATCH(D$2,Inputs!$K$4:$AJ$4,0)))))</f>
        <v>570</v>
      </c>
      <c r="E61" s="263">
        <f>IF(ISNA(MATCH(E$2,Inputs!$K$4:$AJ$4,0)),NA(),IF(SUMPRODUCT((Inputs!$A$5:$A$130=$B61)*ISNUMBER(INDEX(Inputs!$K$5:$AJ$130,0,MATCH(E$2,Inputs!$K$4:$AJ$4,0))))+SUMPRODUCT((Inputs!$C$5:$C$130=$B61)*ISNUMBER(INDEX(Inputs!$K$5:$AJ$130,0,MATCH(E$2,Inputs!$K$4:$AJ$4,0))))+SUMPRODUCT((Inputs!$E$5:$E$130=$B61)*ISNUMBER(INDEX(Inputs!$K$5:$AJ$130,0,MATCH(E$2,Inputs!$K$4:$AJ$4,0))))=0,NA(),SUMPRODUCT((Inputs!$A$5:$A$130=$B61)*Inputs!$B$5:$B$130*(((Inputs!$G$5:$G$130="moeda")+(Inputs!$G$5:$G$130="acoes"))*Inputs!$B$1+((Inputs!$G$5:$G$130&lt;&gt;"moeda")*(Inputs!$G$5:$G$130&lt;&gt;"acoes")))*INDEX(Inputs!$K$5:$AJ$130,0,MATCH(E$2,Inputs!$K$4:$AJ$4,0)))+SUMPRODUCT((Inputs!$C$5:$C$130=$B61)*Inputs!$D$5:$D$130*(((Inputs!$G$5:$G$130="moeda")+(Inputs!$G$5:$G$130="acoes"))*Inputs!$B$1+((Inputs!$G$5:$G$130&lt;&gt;"moeda")*(Inputs!$G$5:$G$130&lt;&gt;"acoes")))*INDEX(Inputs!$K$5:$AJ$130,0,MATCH(E$2,Inputs!$K$4:$AJ$4,0)))+SUMPRODUCT((Inputs!$E$5:$E$130=$B61)*Inputs!$F$5:$F$130*(((Inputs!$G$5:$G$130="moeda")+(Inputs!$G$5:$G$130="acoes"))*Inputs!$B$1+((Inputs!$G$5:$G$130&lt;&gt;"moeda")*(Inputs!$G$5:$G$130&lt;&gt;"acoes")))*INDEX(Inputs!$K$5:$AJ$130,0,MATCH(E$2,Inputs!$K$4:$AJ$4,0)))))</f>
        <v>707</v>
      </c>
      <c r="F61" s="263">
        <f>IF(ISNA(MATCH(F$2,Inputs!$K$4:$AJ$4,0)),NA(),IF(SUMPRODUCT((Inputs!$A$5:$A$130=$B61)*ISNUMBER(INDEX(Inputs!$K$5:$AJ$130,0,MATCH(F$2,Inputs!$K$4:$AJ$4,0))))+SUMPRODUCT((Inputs!$C$5:$C$130=$B61)*ISNUMBER(INDEX(Inputs!$K$5:$AJ$130,0,MATCH(F$2,Inputs!$K$4:$AJ$4,0))))+SUMPRODUCT((Inputs!$E$5:$E$130=$B61)*ISNUMBER(INDEX(Inputs!$K$5:$AJ$130,0,MATCH(F$2,Inputs!$K$4:$AJ$4,0))))=0,NA(),SUMPRODUCT((Inputs!$A$5:$A$130=$B61)*Inputs!$B$5:$B$130*(((Inputs!$G$5:$G$130="moeda")+(Inputs!$G$5:$G$130="acoes"))*Inputs!$B$1+((Inputs!$G$5:$G$130&lt;&gt;"moeda")*(Inputs!$G$5:$G$130&lt;&gt;"acoes")))*INDEX(Inputs!$K$5:$AJ$130,0,MATCH(F$2,Inputs!$K$4:$AJ$4,0)))+SUMPRODUCT((Inputs!$C$5:$C$130=$B61)*Inputs!$D$5:$D$130*(((Inputs!$G$5:$G$130="moeda")+(Inputs!$G$5:$G$130="acoes"))*Inputs!$B$1+((Inputs!$G$5:$G$130&lt;&gt;"moeda")*(Inputs!$G$5:$G$130&lt;&gt;"acoes")))*INDEX(Inputs!$K$5:$AJ$130,0,MATCH(F$2,Inputs!$K$4:$AJ$4,0)))+SUMPRODUCT((Inputs!$E$5:$E$130=$B61)*Inputs!$F$5:$F$130*(((Inputs!$G$5:$G$130="moeda")+(Inputs!$G$5:$G$130="acoes"))*Inputs!$B$1+((Inputs!$G$5:$G$130&lt;&gt;"moeda")*(Inputs!$G$5:$G$130&lt;&gt;"acoes")))*INDEX(Inputs!$K$5:$AJ$130,0,MATCH(F$2,Inputs!$K$4:$AJ$4,0)))))</f>
        <v>753</v>
      </c>
      <c r="G61" s="263">
        <f>IF(ISNA(MATCH(G$2,Inputs!$K$4:$AJ$4,0)),NA(),IF(SUMPRODUCT((Inputs!$A$5:$A$130=$B61)*ISNUMBER(INDEX(Inputs!$K$5:$AJ$130,0,MATCH(G$2,Inputs!$K$4:$AJ$4,0))))+SUMPRODUCT((Inputs!$C$5:$C$130=$B61)*ISNUMBER(INDEX(Inputs!$K$5:$AJ$130,0,MATCH(G$2,Inputs!$K$4:$AJ$4,0))))+SUMPRODUCT((Inputs!$E$5:$E$130=$B61)*ISNUMBER(INDEX(Inputs!$K$5:$AJ$130,0,MATCH(G$2,Inputs!$K$4:$AJ$4,0))))=0,NA(),SUMPRODUCT((Inputs!$A$5:$A$130=$B61)*Inputs!$B$5:$B$130*(((Inputs!$G$5:$G$130="moeda")+(Inputs!$G$5:$G$130="acoes"))*Inputs!$B$1+((Inputs!$G$5:$G$130&lt;&gt;"moeda")*(Inputs!$G$5:$G$130&lt;&gt;"acoes")))*INDEX(Inputs!$K$5:$AJ$130,0,MATCH(G$2,Inputs!$K$4:$AJ$4,0)))+SUMPRODUCT((Inputs!$C$5:$C$130=$B61)*Inputs!$D$5:$D$130*(((Inputs!$G$5:$G$130="moeda")+(Inputs!$G$5:$G$130="acoes"))*Inputs!$B$1+((Inputs!$G$5:$G$130&lt;&gt;"moeda")*(Inputs!$G$5:$G$130&lt;&gt;"acoes")))*INDEX(Inputs!$K$5:$AJ$130,0,MATCH(G$2,Inputs!$K$4:$AJ$4,0)))+SUMPRODUCT((Inputs!$E$5:$E$130=$B61)*Inputs!$F$5:$F$130*(((Inputs!$G$5:$G$130="moeda")+(Inputs!$G$5:$G$130="acoes"))*Inputs!$B$1+((Inputs!$G$5:$G$130&lt;&gt;"moeda")*(Inputs!$G$5:$G$130&lt;&gt;"acoes")))*INDEX(Inputs!$K$5:$AJ$130,0,MATCH(G$2,Inputs!$K$4:$AJ$4,0)))))</f>
        <v>775</v>
      </c>
      <c r="H61" s="264">
        <f>SUM(D61:G61)</f>
        <v>2805</v>
      </c>
      <c r="I61" s="263">
        <f>IF(ISNA(MATCH(I$2,Inputs!$K$4:$AJ$4,0)),NA(),IF(SUMPRODUCT((Inputs!$A$5:$A$130=$B61)*ISNUMBER(INDEX(Inputs!$K$5:$AJ$130,0,MATCH(I$2,Inputs!$K$4:$AJ$4,0))))+SUMPRODUCT((Inputs!$C$5:$C$130=$B61)*ISNUMBER(INDEX(Inputs!$K$5:$AJ$130,0,MATCH(I$2,Inputs!$K$4:$AJ$4,0))))+SUMPRODUCT((Inputs!$E$5:$E$130=$B61)*ISNUMBER(INDEX(Inputs!$K$5:$AJ$130,0,MATCH(I$2,Inputs!$K$4:$AJ$4,0))))=0,NA(),SUMPRODUCT((Inputs!$A$5:$A$130=$B61)*Inputs!$B$5:$B$130*(((Inputs!$G$5:$G$130="moeda")+(Inputs!$G$5:$G$130="acoes"))*Inputs!$B$1+((Inputs!$G$5:$G$130&lt;&gt;"moeda")*(Inputs!$G$5:$G$130&lt;&gt;"acoes")))*INDEX(Inputs!$K$5:$AJ$130,0,MATCH(I$2,Inputs!$K$4:$AJ$4,0)))+SUMPRODUCT((Inputs!$C$5:$C$130=$B61)*Inputs!$D$5:$D$130*(((Inputs!$G$5:$G$130="moeda")+(Inputs!$G$5:$G$130="acoes"))*Inputs!$B$1+((Inputs!$G$5:$G$130&lt;&gt;"moeda")*(Inputs!$G$5:$G$130&lt;&gt;"acoes")))*INDEX(Inputs!$K$5:$AJ$130,0,MATCH(I$2,Inputs!$K$4:$AJ$4,0)))+SUMPRODUCT((Inputs!$E$5:$E$130=$B61)*Inputs!$F$5:$F$130*(((Inputs!$G$5:$G$130="moeda")+(Inputs!$G$5:$G$130="acoes"))*Inputs!$B$1+((Inputs!$G$5:$G$130&lt;&gt;"moeda")*(Inputs!$G$5:$G$130&lt;&gt;"acoes")))*INDEX(Inputs!$K$5:$AJ$130,0,MATCH(I$2,Inputs!$K$4:$AJ$4,0)))))</f>
        <v>729</v>
      </c>
      <c r="J61" s="263">
        <f>IF(ISNA(MATCH(J$2,Inputs!$K$4:$AJ$4,0)),NA(),IF(SUMPRODUCT((Inputs!$A$5:$A$130=$B61)*ISNUMBER(INDEX(Inputs!$K$5:$AJ$130,0,MATCH(J$2,Inputs!$K$4:$AJ$4,0))))+SUMPRODUCT((Inputs!$C$5:$C$130=$B61)*ISNUMBER(INDEX(Inputs!$K$5:$AJ$130,0,MATCH(J$2,Inputs!$K$4:$AJ$4,0))))+SUMPRODUCT((Inputs!$E$5:$E$130=$B61)*ISNUMBER(INDEX(Inputs!$K$5:$AJ$130,0,MATCH(J$2,Inputs!$K$4:$AJ$4,0))))=0,NA(),SUMPRODUCT((Inputs!$A$5:$A$130=$B61)*Inputs!$B$5:$B$130*(((Inputs!$G$5:$G$130="moeda")+(Inputs!$G$5:$G$130="acoes"))*Inputs!$B$1+((Inputs!$G$5:$G$130&lt;&gt;"moeda")*(Inputs!$G$5:$G$130&lt;&gt;"acoes")))*INDEX(Inputs!$K$5:$AJ$130,0,MATCH(J$2,Inputs!$K$4:$AJ$4,0)))+SUMPRODUCT((Inputs!$C$5:$C$130=$B61)*Inputs!$D$5:$D$130*(((Inputs!$G$5:$G$130="moeda")+(Inputs!$G$5:$G$130="acoes"))*Inputs!$B$1+((Inputs!$G$5:$G$130&lt;&gt;"moeda")*(Inputs!$G$5:$G$130&lt;&gt;"acoes")))*INDEX(Inputs!$K$5:$AJ$130,0,MATCH(J$2,Inputs!$K$4:$AJ$4,0)))+SUMPRODUCT((Inputs!$E$5:$E$130=$B61)*Inputs!$F$5:$F$130*(((Inputs!$G$5:$G$130="moeda")+(Inputs!$G$5:$G$130="acoes"))*Inputs!$B$1+((Inputs!$G$5:$G$130&lt;&gt;"moeda")*(Inputs!$G$5:$G$130&lt;&gt;"acoes")))*INDEX(Inputs!$K$5:$AJ$130,0,MATCH(J$2,Inputs!$K$4:$AJ$4,0)))))</f>
        <v>695</v>
      </c>
      <c r="K61" s="263">
        <f>IF(ISNA(MATCH(K$2,Inputs!$K$4:$AJ$4,0)),NA(),IF(SUMPRODUCT((Inputs!$A$5:$A$130=$B61)*ISNUMBER(INDEX(Inputs!$K$5:$AJ$130,0,MATCH(K$2,Inputs!$K$4:$AJ$4,0))))+SUMPRODUCT((Inputs!$C$5:$C$130=$B61)*ISNUMBER(INDEX(Inputs!$K$5:$AJ$130,0,MATCH(K$2,Inputs!$K$4:$AJ$4,0))))+SUMPRODUCT((Inputs!$E$5:$E$130=$B61)*ISNUMBER(INDEX(Inputs!$K$5:$AJ$130,0,MATCH(K$2,Inputs!$K$4:$AJ$4,0))))=0,NA(),SUMPRODUCT((Inputs!$A$5:$A$130=$B61)*Inputs!$B$5:$B$130*(((Inputs!$G$5:$G$130="moeda")+(Inputs!$G$5:$G$130="acoes"))*Inputs!$B$1+((Inputs!$G$5:$G$130&lt;&gt;"moeda")*(Inputs!$G$5:$G$130&lt;&gt;"acoes")))*INDEX(Inputs!$K$5:$AJ$130,0,MATCH(K$2,Inputs!$K$4:$AJ$4,0)))+SUMPRODUCT((Inputs!$C$5:$C$130=$B61)*Inputs!$D$5:$D$130*(((Inputs!$G$5:$G$130="moeda")+(Inputs!$G$5:$G$130="acoes"))*Inputs!$B$1+((Inputs!$G$5:$G$130&lt;&gt;"moeda")*(Inputs!$G$5:$G$130&lt;&gt;"acoes")))*INDEX(Inputs!$K$5:$AJ$130,0,MATCH(K$2,Inputs!$K$4:$AJ$4,0)))+SUMPRODUCT((Inputs!$E$5:$E$130=$B61)*Inputs!$F$5:$F$130*(((Inputs!$G$5:$G$130="moeda")+(Inputs!$G$5:$G$130="acoes"))*Inputs!$B$1+((Inputs!$G$5:$G$130&lt;&gt;"moeda")*(Inputs!$G$5:$G$130&lt;&gt;"acoes")))*INDEX(Inputs!$K$5:$AJ$130,0,MATCH(K$2,Inputs!$K$4:$AJ$4,0)))))</f>
        <v>679</v>
      </c>
      <c r="L61" s="263">
        <f>IF(ISNA(MATCH(L$2,Inputs!$K$4:$AJ$4,0)),NA(),IF(SUMPRODUCT((Inputs!$A$5:$A$130=$B61)*ISNUMBER(INDEX(Inputs!$K$5:$AJ$130,0,MATCH(L$2,Inputs!$K$4:$AJ$4,0))))+SUMPRODUCT((Inputs!$C$5:$C$130=$B61)*ISNUMBER(INDEX(Inputs!$K$5:$AJ$130,0,MATCH(L$2,Inputs!$K$4:$AJ$4,0))))+SUMPRODUCT((Inputs!$E$5:$E$130=$B61)*ISNUMBER(INDEX(Inputs!$K$5:$AJ$130,0,MATCH(L$2,Inputs!$K$4:$AJ$4,0))))=0,NA(),SUMPRODUCT((Inputs!$A$5:$A$130=$B61)*Inputs!$B$5:$B$130*(((Inputs!$G$5:$G$130="moeda")+(Inputs!$G$5:$G$130="acoes"))*Inputs!$B$1+((Inputs!$G$5:$G$130&lt;&gt;"moeda")*(Inputs!$G$5:$G$130&lt;&gt;"acoes")))*INDEX(Inputs!$K$5:$AJ$130,0,MATCH(L$2,Inputs!$K$4:$AJ$4,0)))+SUMPRODUCT((Inputs!$C$5:$C$130=$B61)*Inputs!$D$5:$D$130*(((Inputs!$G$5:$G$130="moeda")+(Inputs!$G$5:$G$130="acoes"))*Inputs!$B$1+((Inputs!$G$5:$G$130&lt;&gt;"moeda")*(Inputs!$G$5:$G$130&lt;&gt;"acoes")))*INDEX(Inputs!$K$5:$AJ$130,0,MATCH(L$2,Inputs!$K$4:$AJ$4,0)))+SUMPRODUCT((Inputs!$E$5:$E$130=$B61)*Inputs!$F$5:$F$130*(((Inputs!$G$5:$G$130="moeda")+(Inputs!$G$5:$G$130="acoes"))*Inputs!$B$1+((Inputs!$G$5:$G$130&lt;&gt;"moeda")*(Inputs!$G$5:$G$130&lt;&gt;"acoes")))*INDEX(Inputs!$K$5:$AJ$130,0,MATCH(L$2,Inputs!$K$4:$AJ$4,0)))))</f>
        <v>740</v>
      </c>
      <c r="M61" s="264">
        <f>SUM(I61:L61)</f>
        <v>2843</v>
      </c>
      <c r="N61" s="263">
        <f>IF(ISNA(MATCH(N$2,Inputs!$K$4:$AJ$4,0)),NA(),IF(SUMPRODUCT((Inputs!$A$5:$A$130=$B61)*ISNUMBER(INDEX(Inputs!$K$5:$AJ$130,0,MATCH(N$2,Inputs!$K$4:$AJ$4,0))))+SUMPRODUCT((Inputs!$C$5:$C$130=$B61)*ISNUMBER(INDEX(Inputs!$K$5:$AJ$130,0,MATCH(N$2,Inputs!$K$4:$AJ$4,0))))+SUMPRODUCT((Inputs!$E$5:$E$130=$B61)*ISNUMBER(INDEX(Inputs!$K$5:$AJ$130,0,MATCH(N$2,Inputs!$K$4:$AJ$4,0))))=0,NA(),SUMPRODUCT((Inputs!$A$5:$A$130=$B61)*Inputs!$B$5:$B$130*(((Inputs!$G$5:$G$130="moeda")+(Inputs!$G$5:$G$130="acoes"))*Inputs!$B$1+((Inputs!$G$5:$G$130&lt;&gt;"moeda")*(Inputs!$G$5:$G$130&lt;&gt;"acoes")))*INDEX(Inputs!$K$5:$AJ$130,0,MATCH(N$2,Inputs!$K$4:$AJ$4,0)))+SUMPRODUCT((Inputs!$C$5:$C$130=$B61)*Inputs!$D$5:$D$130*(((Inputs!$G$5:$G$130="moeda")+(Inputs!$G$5:$G$130="acoes"))*Inputs!$B$1+((Inputs!$G$5:$G$130&lt;&gt;"moeda")*(Inputs!$G$5:$G$130&lt;&gt;"acoes")))*INDEX(Inputs!$K$5:$AJ$130,0,MATCH(N$2,Inputs!$K$4:$AJ$4,0)))+SUMPRODUCT((Inputs!$E$5:$E$130=$B61)*Inputs!$F$5:$F$130*(((Inputs!$G$5:$G$130="moeda")+(Inputs!$G$5:$G$130="acoes"))*Inputs!$B$1+((Inputs!$G$5:$G$130&lt;&gt;"moeda")*(Inputs!$G$5:$G$130&lt;&gt;"acoes")))*INDEX(Inputs!$K$5:$AJ$130,0,MATCH(N$2,Inputs!$K$4:$AJ$4,0)))))</f>
        <v>707</v>
      </c>
      <c r="O61" s="263">
        <f>IF(ISNA(MATCH(O$2,Inputs!$K$4:$AJ$4,0)),NA(),IF(SUMPRODUCT((Inputs!$A$5:$A$130=$B61)*ISNUMBER(INDEX(Inputs!$K$5:$AJ$130,0,MATCH(O$2,Inputs!$K$4:$AJ$4,0))))+SUMPRODUCT((Inputs!$C$5:$C$130=$B61)*ISNUMBER(INDEX(Inputs!$K$5:$AJ$130,0,MATCH(O$2,Inputs!$K$4:$AJ$4,0))))+SUMPRODUCT((Inputs!$E$5:$E$130=$B61)*ISNUMBER(INDEX(Inputs!$K$5:$AJ$130,0,MATCH(O$2,Inputs!$K$4:$AJ$4,0))))=0,NA(),SUMPRODUCT((Inputs!$A$5:$A$130=$B61)*Inputs!$B$5:$B$130*(((Inputs!$G$5:$G$130="moeda")+(Inputs!$G$5:$G$130="acoes"))*Inputs!$B$1+((Inputs!$G$5:$G$130&lt;&gt;"moeda")*(Inputs!$G$5:$G$130&lt;&gt;"acoes")))*INDEX(Inputs!$K$5:$AJ$130,0,MATCH(O$2,Inputs!$K$4:$AJ$4,0)))+SUMPRODUCT((Inputs!$C$5:$C$130=$B61)*Inputs!$D$5:$D$130*(((Inputs!$G$5:$G$130="moeda")+(Inputs!$G$5:$G$130="acoes"))*Inputs!$B$1+((Inputs!$G$5:$G$130&lt;&gt;"moeda")*(Inputs!$G$5:$G$130&lt;&gt;"acoes")))*INDEX(Inputs!$K$5:$AJ$130,0,MATCH(O$2,Inputs!$K$4:$AJ$4,0)))+SUMPRODUCT((Inputs!$E$5:$E$130=$B61)*Inputs!$F$5:$F$130*(((Inputs!$G$5:$G$130="moeda")+(Inputs!$G$5:$G$130="acoes"))*Inputs!$B$1+((Inputs!$G$5:$G$130&lt;&gt;"moeda")*(Inputs!$G$5:$G$130&lt;&gt;"acoes")))*INDEX(Inputs!$K$5:$AJ$130,0,MATCH(O$2,Inputs!$K$4:$AJ$4,0)))))</f>
        <v>765</v>
      </c>
      <c r="P61" s="263">
        <f>IF(ISNA(MATCH(P$2,Inputs!$K$4:$AJ$4,0)),NA(),IF(SUMPRODUCT((Inputs!$A$5:$A$130=$B61)*ISNUMBER(INDEX(Inputs!$K$5:$AJ$130,0,MATCH(P$2,Inputs!$K$4:$AJ$4,0))))+SUMPRODUCT((Inputs!$C$5:$C$130=$B61)*ISNUMBER(INDEX(Inputs!$K$5:$AJ$130,0,MATCH(P$2,Inputs!$K$4:$AJ$4,0))))+SUMPRODUCT((Inputs!$E$5:$E$130=$B61)*ISNUMBER(INDEX(Inputs!$K$5:$AJ$130,0,MATCH(P$2,Inputs!$K$4:$AJ$4,0))))=0,NA(),SUMPRODUCT((Inputs!$A$5:$A$130=$B61)*Inputs!$B$5:$B$130*(((Inputs!$G$5:$G$130="moeda")+(Inputs!$G$5:$G$130="acoes"))*Inputs!$B$1+((Inputs!$G$5:$G$130&lt;&gt;"moeda")*(Inputs!$G$5:$G$130&lt;&gt;"acoes")))*INDEX(Inputs!$K$5:$AJ$130,0,MATCH(P$2,Inputs!$K$4:$AJ$4,0)))+SUMPRODUCT((Inputs!$C$5:$C$130=$B61)*Inputs!$D$5:$D$130*(((Inputs!$G$5:$G$130="moeda")+(Inputs!$G$5:$G$130="acoes"))*Inputs!$B$1+((Inputs!$G$5:$G$130&lt;&gt;"moeda")*(Inputs!$G$5:$G$130&lt;&gt;"acoes")))*INDEX(Inputs!$K$5:$AJ$130,0,MATCH(P$2,Inputs!$K$4:$AJ$4,0)))+SUMPRODUCT((Inputs!$E$5:$E$130=$B61)*Inputs!$F$5:$F$130*(((Inputs!$G$5:$G$130="moeda")+(Inputs!$G$5:$G$130="acoes"))*Inputs!$B$1+((Inputs!$G$5:$G$130&lt;&gt;"moeda")*(Inputs!$G$5:$G$130&lt;&gt;"acoes")))*INDEX(Inputs!$K$5:$AJ$130,0,MATCH(P$2,Inputs!$K$4:$AJ$4,0)))))</f>
        <v>779</v>
      </c>
      <c r="Q61" s="263">
        <f>IF(ISNA(MATCH(Q$2,Inputs!$K$4:$AJ$4,0)),NA(),IF(SUMPRODUCT((Inputs!$A$5:$A$130=$B61)*ISNUMBER(INDEX(Inputs!$K$5:$AJ$130,0,MATCH(Q$2,Inputs!$K$4:$AJ$4,0))))+SUMPRODUCT((Inputs!$C$5:$C$130=$B61)*ISNUMBER(INDEX(Inputs!$K$5:$AJ$130,0,MATCH(Q$2,Inputs!$K$4:$AJ$4,0))))+SUMPRODUCT((Inputs!$E$5:$E$130=$B61)*ISNUMBER(INDEX(Inputs!$K$5:$AJ$130,0,MATCH(Q$2,Inputs!$K$4:$AJ$4,0))))=0,NA(),SUMPRODUCT((Inputs!$A$5:$A$130=$B61)*Inputs!$B$5:$B$130*(((Inputs!$G$5:$G$130="moeda")+(Inputs!$G$5:$G$130="acoes"))*Inputs!$B$1+((Inputs!$G$5:$G$130&lt;&gt;"moeda")*(Inputs!$G$5:$G$130&lt;&gt;"acoes")))*INDEX(Inputs!$K$5:$AJ$130,0,MATCH(Q$2,Inputs!$K$4:$AJ$4,0)))+SUMPRODUCT((Inputs!$C$5:$C$130=$B61)*Inputs!$D$5:$D$130*(((Inputs!$G$5:$G$130="moeda")+(Inputs!$G$5:$G$130="acoes"))*Inputs!$B$1+((Inputs!$G$5:$G$130&lt;&gt;"moeda")*(Inputs!$G$5:$G$130&lt;&gt;"acoes")))*INDEX(Inputs!$K$5:$AJ$130,0,MATCH(Q$2,Inputs!$K$4:$AJ$4,0)))+SUMPRODUCT((Inputs!$E$5:$E$130=$B61)*Inputs!$F$5:$F$130*(((Inputs!$G$5:$G$130="moeda")+(Inputs!$G$5:$G$130="acoes"))*Inputs!$B$1+((Inputs!$G$5:$G$130&lt;&gt;"moeda")*(Inputs!$G$5:$G$130&lt;&gt;"acoes")))*INDEX(Inputs!$K$5:$AJ$130,0,MATCH(Q$2,Inputs!$K$4:$AJ$4,0)))))</f>
        <v>813</v>
      </c>
      <c r="R61" s="264">
        <f>SUM(N61:Q61)</f>
        <v>3064</v>
      </c>
      <c r="S61" s="263">
        <f>IF(ISNA(MATCH(S$2,Inputs!$K$4:$AJ$4,0)),NA(),IF(SUMPRODUCT((Inputs!$A$5:$A$130=$B61)*ISNUMBER(INDEX(Inputs!$K$5:$AJ$130,0,MATCH(S$2,Inputs!$K$4:$AJ$4,0))))+SUMPRODUCT((Inputs!$C$5:$C$130=$B61)*ISNUMBER(INDEX(Inputs!$K$5:$AJ$130,0,MATCH(S$2,Inputs!$K$4:$AJ$4,0))))+SUMPRODUCT((Inputs!$E$5:$E$130=$B61)*ISNUMBER(INDEX(Inputs!$K$5:$AJ$130,0,MATCH(S$2,Inputs!$K$4:$AJ$4,0))))=0,NA(),SUMPRODUCT((Inputs!$A$5:$A$130=$B61)*Inputs!$B$5:$B$130*(((Inputs!$G$5:$G$130="moeda")+(Inputs!$G$5:$G$130="acoes"))*Inputs!$B$1+((Inputs!$G$5:$G$130&lt;&gt;"moeda")*(Inputs!$G$5:$G$130&lt;&gt;"acoes")))*INDEX(Inputs!$K$5:$AJ$130,0,MATCH(S$2,Inputs!$K$4:$AJ$4,0)))+SUMPRODUCT((Inputs!$C$5:$C$130=$B61)*Inputs!$D$5:$D$130*(((Inputs!$G$5:$G$130="moeda")+(Inputs!$G$5:$G$130="acoes"))*Inputs!$B$1+((Inputs!$G$5:$G$130&lt;&gt;"moeda")*(Inputs!$G$5:$G$130&lt;&gt;"acoes")))*INDEX(Inputs!$K$5:$AJ$130,0,MATCH(S$2,Inputs!$K$4:$AJ$4,0)))+SUMPRODUCT((Inputs!$E$5:$E$130=$B61)*Inputs!$F$5:$F$130*(((Inputs!$G$5:$G$130="moeda")+(Inputs!$G$5:$G$130="acoes"))*Inputs!$B$1+((Inputs!$G$5:$G$130&lt;&gt;"moeda")*(Inputs!$G$5:$G$130&lt;&gt;"acoes")))*INDEX(Inputs!$K$5:$AJ$130,0,MATCH(S$2,Inputs!$K$4:$AJ$4,0)))))</f>
        <v>730</v>
      </c>
      <c r="T61" s="263">
        <f>IF(ISNA(MATCH(T$2,Inputs!$K$4:$AJ$4,0)),NA(),IF(SUMPRODUCT((Inputs!$A$5:$A$130=$B61)*ISNUMBER(INDEX(Inputs!$K$5:$AJ$130,0,MATCH(T$2,Inputs!$K$4:$AJ$4,0))))+SUMPRODUCT((Inputs!$C$5:$C$130=$B61)*ISNUMBER(INDEX(Inputs!$K$5:$AJ$130,0,MATCH(T$2,Inputs!$K$4:$AJ$4,0))))+SUMPRODUCT((Inputs!$E$5:$E$130=$B61)*ISNUMBER(INDEX(Inputs!$K$5:$AJ$130,0,MATCH(T$2,Inputs!$K$4:$AJ$4,0))))=0,NA(),SUMPRODUCT((Inputs!$A$5:$A$130=$B61)*Inputs!$B$5:$B$130*(((Inputs!$G$5:$G$130="moeda")+(Inputs!$G$5:$G$130="acoes"))*Inputs!$B$1+((Inputs!$G$5:$G$130&lt;&gt;"moeda")*(Inputs!$G$5:$G$130&lt;&gt;"acoes")))*INDEX(Inputs!$K$5:$AJ$130,0,MATCH(T$2,Inputs!$K$4:$AJ$4,0)))+SUMPRODUCT((Inputs!$C$5:$C$130=$B61)*Inputs!$D$5:$D$130*(((Inputs!$G$5:$G$130="moeda")+(Inputs!$G$5:$G$130="acoes"))*Inputs!$B$1+((Inputs!$G$5:$G$130&lt;&gt;"moeda")*(Inputs!$G$5:$G$130&lt;&gt;"acoes")))*INDEX(Inputs!$K$5:$AJ$130,0,MATCH(T$2,Inputs!$K$4:$AJ$4,0)))+SUMPRODUCT((Inputs!$E$5:$E$130=$B61)*Inputs!$F$5:$F$130*(((Inputs!$G$5:$G$130="moeda")+(Inputs!$G$5:$G$130="acoes"))*Inputs!$B$1+((Inputs!$G$5:$G$130&lt;&gt;"moeda")*(Inputs!$G$5:$G$130&lt;&gt;"acoes")))*INDEX(Inputs!$K$5:$AJ$130,0,MATCH(T$2,Inputs!$K$4:$AJ$4,0)))))</f>
        <v>768</v>
      </c>
      <c r="U61" s="263">
        <f>IF(ISNA(MATCH(U$2,Inputs!$K$4:$AJ$4,0)),NA(),IF(SUMPRODUCT((Inputs!$A$5:$A$130=$B61)*ISNUMBER(INDEX(Inputs!$K$5:$AJ$130,0,MATCH(U$2,Inputs!$K$4:$AJ$4,0))))+SUMPRODUCT((Inputs!$C$5:$C$130=$B61)*ISNUMBER(INDEX(Inputs!$K$5:$AJ$130,0,MATCH(U$2,Inputs!$K$4:$AJ$4,0))))+SUMPRODUCT((Inputs!$E$5:$E$130=$B61)*ISNUMBER(INDEX(Inputs!$K$5:$AJ$130,0,MATCH(U$2,Inputs!$K$4:$AJ$4,0))))=0,NA(),SUMPRODUCT((Inputs!$A$5:$A$130=$B61)*Inputs!$B$5:$B$130*(((Inputs!$G$5:$G$130="moeda")+(Inputs!$G$5:$G$130="acoes"))*Inputs!$B$1+((Inputs!$G$5:$G$130&lt;&gt;"moeda")*(Inputs!$G$5:$G$130&lt;&gt;"acoes")))*INDEX(Inputs!$K$5:$AJ$130,0,MATCH(U$2,Inputs!$K$4:$AJ$4,0)))+SUMPRODUCT((Inputs!$C$5:$C$130=$B61)*Inputs!$D$5:$D$130*(((Inputs!$G$5:$G$130="moeda")+(Inputs!$G$5:$G$130="acoes"))*Inputs!$B$1+((Inputs!$G$5:$G$130&lt;&gt;"moeda")*(Inputs!$G$5:$G$130&lt;&gt;"acoes")))*INDEX(Inputs!$K$5:$AJ$130,0,MATCH(U$2,Inputs!$K$4:$AJ$4,0)))+SUMPRODUCT((Inputs!$E$5:$E$130=$B61)*Inputs!$F$5:$F$130*(((Inputs!$G$5:$G$130="moeda")+(Inputs!$G$5:$G$130="acoes"))*Inputs!$B$1+((Inputs!$G$5:$G$130&lt;&gt;"moeda")*(Inputs!$G$5:$G$130&lt;&gt;"acoes")))*INDEX(Inputs!$K$5:$AJ$130,0,MATCH(U$2,Inputs!$K$4:$AJ$4,0)))))</f>
        <v>781</v>
      </c>
      <c r="V61" s="263">
        <f>IF(ISNA(MATCH(V$2,Inputs!$K$4:$AJ$4,0)),NA(),IF(SUMPRODUCT((Inputs!$A$5:$A$130=$B61)*ISNUMBER(INDEX(Inputs!$K$5:$AJ$130,0,MATCH(V$2,Inputs!$K$4:$AJ$4,0))))+SUMPRODUCT((Inputs!$C$5:$C$130=$B61)*ISNUMBER(INDEX(Inputs!$K$5:$AJ$130,0,MATCH(V$2,Inputs!$K$4:$AJ$4,0))))+SUMPRODUCT((Inputs!$E$5:$E$130=$B61)*ISNUMBER(INDEX(Inputs!$K$5:$AJ$130,0,MATCH(V$2,Inputs!$K$4:$AJ$4,0))))=0,NA(),SUMPRODUCT((Inputs!$A$5:$A$130=$B61)*Inputs!$B$5:$B$130*(((Inputs!$G$5:$G$130="moeda")+(Inputs!$G$5:$G$130="acoes"))*Inputs!$B$1+((Inputs!$G$5:$G$130&lt;&gt;"moeda")*(Inputs!$G$5:$G$130&lt;&gt;"acoes")))*INDEX(Inputs!$K$5:$AJ$130,0,MATCH(V$2,Inputs!$K$4:$AJ$4,0)))+SUMPRODUCT((Inputs!$C$5:$C$130=$B61)*Inputs!$D$5:$D$130*(((Inputs!$G$5:$G$130="moeda")+(Inputs!$G$5:$G$130="acoes"))*Inputs!$B$1+((Inputs!$G$5:$G$130&lt;&gt;"moeda")*(Inputs!$G$5:$G$130&lt;&gt;"acoes")))*INDEX(Inputs!$K$5:$AJ$130,0,MATCH(V$2,Inputs!$K$4:$AJ$4,0)))+SUMPRODUCT((Inputs!$E$5:$E$130=$B61)*Inputs!$F$5:$F$130*(((Inputs!$G$5:$G$130="moeda")+(Inputs!$G$5:$G$130="acoes"))*Inputs!$B$1+((Inputs!$G$5:$G$130&lt;&gt;"moeda")*(Inputs!$G$5:$G$130&lt;&gt;"acoes")))*INDEX(Inputs!$K$5:$AJ$130,0,MATCH(V$2,Inputs!$K$4:$AJ$4,0)))))</f>
        <v>850</v>
      </c>
      <c r="W61" s="264">
        <f>SUM(S61:V61)</f>
        <v>3129</v>
      </c>
      <c r="X61" s="263" t="e">
        <f>IF(ISNA(MATCH(X$2,Inputs!$K$4:$AJ$4,0)),NA(),IF(SUMPRODUCT((Inputs!$A$5:$A$130=$B61)*ISNUMBER(INDEX(Inputs!$K$5:$AJ$130,0,MATCH(X$2,Inputs!$K$4:$AJ$4,0))))+SUMPRODUCT((Inputs!$C$5:$C$130=$B61)*ISNUMBER(INDEX(Inputs!$K$5:$AJ$130,0,MATCH(X$2,Inputs!$K$4:$AJ$4,0))))+SUMPRODUCT((Inputs!$E$5:$E$130=$B61)*ISNUMBER(INDEX(Inputs!$K$5:$AJ$130,0,MATCH(X$2,Inputs!$K$4:$AJ$4,0))))=0,NA(),SUMPRODUCT((Inputs!$A$5:$A$130=$B61)*Inputs!$B$5:$B$130*(((Inputs!$G$5:$G$130="moeda")+(Inputs!$G$5:$G$130="acoes"))*Inputs!$B$1+((Inputs!$G$5:$G$130&lt;&gt;"moeda")*(Inputs!$G$5:$G$130&lt;&gt;"acoes")))*INDEX(Inputs!$K$5:$AJ$130,0,MATCH(X$2,Inputs!$K$4:$AJ$4,0)))+SUMPRODUCT((Inputs!$C$5:$C$130=$B61)*Inputs!$D$5:$D$130*(((Inputs!$G$5:$G$130="moeda")+(Inputs!$G$5:$G$130="acoes"))*Inputs!$B$1+((Inputs!$G$5:$G$130&lt;&gt;"moeda")*(Inputs!$G$5:$G$130&lt;&gt;"acoes")))*INDEX(Inputs!$K$5:$AJ$130,0,MATCH(X$2,Inputs!$K$4:$AJ$4,0)))+SUMPRODUCT((Inputs!$E$5:$E$130=$B61)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61" s="263" t="e">
        <f>IF(ISNA(MATCH(Y$2,Inputs!$K$4:$AJ$4,0)),NA(),IF(SUMPRODUCT((Inputs!$A$5:$A$130=$B61)*ISNUMBER(INDEX(Inputs!$K$5:$AJ$130,0,MATCH(Y$2,Inputs!$K$4:$AJ$4,0))))+SUMPRODUCT((Inputs!$C$5:$C$130=$B61)*ISNUMBER(INDEX(Inputs!$K$5:$AJ$130,0,MATCH(Y$2,Inputs!$K$4:$AJ$4,0))))+SUMPRODUCT((Inputs!$E$5:$E$130=$B61)*ISNUMBER(INDEX(Inputs!$K$5:$AJ$130,0,MATCH(Y$2,Inputs!$K$4:$AJ$4,0))))=0,NA(),SUMPRODUCT((Inputs!$A$5:$A$130=$B61)*Inputs!$B$5:$B$130*(((Inputs!$G$5:$G$130="moeda")+(Inputs!$G$5:$G$130="acoes"))*Inputs!$B$1+((Inputs!$G$5:$G$130&lt;&gt;"moeda")*(Inputs!$G$5:$G$130&lt;&gt;"acoes")))*INDEX(Inputs!$K$5:$AJ$130,0,MATCH(Y$2,Inputs!$K$4:$AJ$4,0)))+SUMPRODUCT((Inputs!$C$5:$C$130=$B61)*Inputs!$D$5:$D$130*(((Inputs!$G$5:$G$130="moeda")+(Inputs!$G$5:$G$130="acoes"))*Inputs!$B$1+((Inputs!$G$5:$G$130&lt;&gt;"moeda")*(Inputs!$G$5:$G$130&lt;&gt;"acoes")))*INDEX(Inputs!$K$5:$AJ$130,0,MATCH(Y$2,Inputs!$K$4:$AJ$4,0)))+SUMPRODUCT((Inputs!$E$5:$E$130=$B61)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61" s="263" t="e">
        <f>IF(ISNA(MATCH(Z$2,Inputs!$K$4:$AJ$4,0)),NA(),IF(SUMPRODUCT((Inputs!$A$5:$A$130=$B61)*ISNUMBER(INDEX(Inputs!$K$5:$AJ$130,0,MATCH(Z$2,Inputs!$K$4:$AJ$4,0))))+SUMPRODUCT((Inputs!$C$5:$C$130=$B61)*ISNUMBER(INDEX(Inputs!$K$5:$AJ$130,0,MATCH(Z$2,Inputs!$K$4:$AJ$4,0))))+SUMPRODUCT((Inputs!$E$5:$E$130=$B61)*ISNUMBER(INDEX(Inputs!$K$5:$AJ$130,0,MATCH(Z$2,Inputs!$K$4:$AJ$4,0))))=0,NA(),SUMPRODUCT((Inputs!$A$5:$A$130=$B61)*Inputs!$B$5:$B$130*(((Inputs!$G$5:$G$130="moeda")+(Inputs!$G$5:$G$130="acoes"))*Inputs!$B$1+((Inputs!$G$5:$G$130&lt;&gt;"moeda")*(Inputs!$G$5:$G$130&lt;&gt;"acoes")))*INDEX(Inputs!$K$5:$AJ$130,0,MATCH(Z$2,Inputs!$K$4:$AJ$4,0)))+SUMPRODUCT((Inputs!$C$5:$C$130=$B61)*Inputs!$D$5:$D$130*(((Inputs!$G$5:$G$130="moeda")+(Inputs!$G$5:$G$130="acoes"))*Inputs!$B$1+((Inputs!$G$5:$G$130&lt;&gt;"moeda")*(Inputs!$G$5:$G$130&lt;&gt;"acoes")))*INDEX(Inputs!$K$5:$AJ$130,0,MATCH(Z$2,Inputs!$K$4:$AJ$4,0)))+SUMPRODUCT((Inputs!$E$5:$E$130=$B61)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61" s="263" t="e">
        <f>IF(ISNA(MATCH(AA$2,Inputs!$K$4:$AJ$4,0)),NA(),IF(SUMPRODUCT((Inputs!$A$5:$A$130=$B61)*ISNUMBER(INDEX(Inputs!$K$5:$AJ$130,0,MATCH(AA$2,Inputs!$K$4:$AJ$4,0))))+SUMPRODUCT((Inputs!$C$5:$C$130=$B61)*ISNUMBER(INDEX(Inputs!$K$5:$AJ$130,0,MATCH(AA$2,Inputs!$K$4:$AJ$4,0))))+SUMPRODUCT((Inputs!$E$5:$E$130=$B61)*ISNUMBER(INDEX(Inputs!$K$5:$AJ$130,0,MATCH(AA$2,Inputs!$K$4:$AJ$4,0))))=0,NA(),SUMPRODUCT((Inputs!$A$5:$A$130=$B61)*Inputs!$B$5:$B$130*(((Inputs!$G$5:$G$130="moeda")+(Inputs!$G$5:$G$130="acoes"))*Inputs!$B$1+((Inputs!$G$5:$G$130&lt;&gt;"moeda")*(Inputs!$G$5:$G$130&lt;&gt;"acoes")))*INDEX(Inputs!$K$5:$AJ$130,0,MATCH(AA$2,Inputs!$K$4:$AJ$4,0)))+SUMPRODUCT((Inputs!$C$5:$C$130=$B61)*Inputs!$D$5:$D$130*(((Inputs!$G$5:$G$130="moeda")+(Inputs!$G$5:$G$130="acoes"))*Inputs!$B$1+((Inputs!$G$5:$G$130&lt;&gt;"moeda")*(Inputs!$G$5:$G$130&lt;&gt;"acoes")))*INDEX(Inputs!$K$5:$AJ$130,0,MATCH(AA$2,Inputs!$K$4:$AJ$4,0)))+SUMPRODUCT((Inputs!$E$5:$E$130=$B61)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$130=$B61)*ISNUMBER(INDEX(Inputs!$K$5:$AJ$130,0,MATCH(AC$2,Inputs!$K$4:$AJ$4,0))))+SUMPRODUCT((Inputs!$C$5:$C$130=$B61)*ISNUMBER(INDEX(Inputs!$K$5:$AJ$130,0,MATCH(AC$2,Inputs!$K$4:$AJ$4,0))))+SUMPRODUCT((Inputs!$E$5:$E$130=$B61)*ISNUMBER(INDEX(Inputs!$K$5:$AJ$130,0,MATCH(AC$2,Inputs!$K$4:$AJ$4,0))))=0,NA(),SUMPRODUCT((Inputs!$A$5:$A$130=$B61)*Inputs!$B$5:$B$130*(((Inputs!$G$5:$G$130="moeda")+(Inputs!$G$5:$G$130="acoes"))*Inputs!$B$1+((Inputs!$G$5:$G$130&lt;&gt;"moeda")*(Inputs!$G$5:$G$130&lt;&gt;"acoes")))*INDEX(Inputs!$K$5:$AJ$130,0,MATCH(AC$2,Inputs!$K$4:$AJ$4,0)))+SUMPRODUCT((Inputs!$C$5:$C$130=$B61)*Inputs!$D$5:$D$130*(((Inputs!$G$5:$G$130="moeda")+(Inputs!$G$5:$G$130="acoes"))*Inputs!$B$1+((Inputs!$G$5:$G$130&lt;&gt;"moeda")*(Inputs!$G$5:$G$130&lt;&gt;"acoes")))*INDEX(Inputs!$K$5:$AJ$130,0,MATCH(AC$2,Inputs!$K$4:$AJ$4,0)))+SUMPRODUCT((Inputs!$E$5:$E$130=$B61)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61" s="263" t="e">
        <f>IF(ISNA(MATCH(AD$2,Inputs!$K$4:$AJ$4,0)),NA(),IF(SUMPRODUCT((Inputs!$A$5:$A$130=$B61)*ISNUMBER(INDEX(Inputs!$K$5:$AJ$130,0,MATCH(AD$2,Inputs!$K$4:$AJ$4,0))))+SUMPRODUCT((Inputs!$C$5:$C$130=$B61)*ISNUMBER(INDEX(Inputs!$K$5:$AJ$130,0,MATCH(AD$2,Inputs!$K$4:$AJ$4,0))))+SUMPRODUCT((Inputs!$E$5:$E$130=$B61)*ISNUMBER(INDEX(Inputs!$K$5:$AJ$130,0,MATCH(AD$2,Inputs!$K$4:$AJ$4,0))))=0,NA(),SUMPRODUCT((Inputs!$A$5:$A$130=$B61)*Inputs!$B$5:$B$130*(((Inputs!$G$5:$G$130="moeda")+(Inputs!$G$5:$G$130="acoes"))*Inputs!$B$1+((Inputs!$G$5:$G$130&lt;&gt;"moeda")*(Inputs!$G$5:$G$130&lt;&gt;"acoes")))*INDEX(Inputs!$K$5:$AJ$130,0,MATCH(AD$2,Inputs!$K$4:$AJ$4,0)))+SUMPRODUCT((Inputs!$C$5:$C$130=$B61)*Inputs!$D$5:$D$130*(((Inputs!$G$5:$G$130="moeda")+(Inputs!$G$5:$G$130="acoes"))*Inputs!$B$1+((Inputs!$G$5:$G$130&lt;&gt;"moeda")*(Inputs!$G$5:$G$130&lt;&gt;"acoes")))*INDEX(Inputs!$K$5:$AJ$130,0,MATCH(AD$2,Inputs!$K$4:$AJ$4,0)))+SUMPRODUCT((Inputs!$E$5:$E$130=$B61)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61" s="263" t="e">
        <f>IF(ISNA(MATCH(AE$2,Inputs!$K$4:$AJ$4,0)),NA(),IF(SUMPRODUCT((Inputs!$A$5:$A$130=$B61)*ISNUMBER(INDEX(Inputs!$K$5:$AJ$130,0,MATCH(AE$2,Inputs!$K$4:$AJ$4,0))))+SUMPRODUCT((Inputs!$C$5:$C$130=$B61)*ISNUMBER(INDEX(Inputs!$K$5:$AJ$130,0,MATCH(AE$2,Inputs!$K$4:$AJ$4,0))))+SUMPRODUCT((Inputs!$E$5:$E$130=$B61)*ISNUMBER(INDEX(Inputs!$K$5:$AJ$130,0,MATCH(AE$2,Inputs!$K$4:$AJ$4,0))))=0,NA(),SUMPRODUCT((Inputs!$A$5:$A$130=$B61)*Inputs!$B$5:$B$130*(((Inputs!$G$5:$G$130="moeda")+(Inputs!$G$5:$G$130="acoes"))*Inputs!$B$1+((Inputs!$G$5:$G$130&lt;&gt;"moeda")*(Inputs!$G$5:$G$130&lt;&gt;"acoes")))*INDEX(Inputs!$K$5:$AJ$130,0,MATCH(AE$2,Inputs!$K$4:$AJ$4,0)))+SUMPRODUCT((Inputs!$C$5:$C$130=$B61)*Inputs!$D$5:$D$130*(((Inputs!$G$5:$G$130="moeda")+(Inputs!$G$5:$G$130="acoes"))*Inputs!$B$1+((Inputs!$G$5:$G$130&lt;&gt;"moeda")*(Inputs!$G$5:$G$130&lt;&gt;"acoes")))*INDEX(Inputs!$K$5:$AJ$130,0,MATCH(AE$2,Inputs!$K$4:$AJ$4,0)))+SUMPRODUCT((Inputs!$E$5:$E$130=$B61)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1" s="263" t="e">
        <f>IF(ISNA(MATCH(AF$2,Inputs!$K$4:$AJ$4,0)),NA(),IF(SUMPRODUCT((Inputs!$A$5:$A$130=$B61)*ISNUMBER(INDEX(Inputs!$K$5:$AJ$130,0,MATCH(AF$2,Inputs!$K$4:$AJ$4,0))))+SUMPRODUCT((Inputs!$C$5:$C$130=$B61)*ISNUMBER(INDEX(Inputs!$K$5:$AJ$130,0,MATCH(AF$2,Inputs!$K$4:$AJ$4,0))))+SUMPRODUCT((Inputs!$E$5:$E$130=$B61)*ISNUMBER(INDEX(Inputs!$K$5:$AJ$130,0,MATCH(AF$2,Inputs!$K$4:$AJ$4,0))))=0,NA(),SUMPRODUCT((Inputs!$A$5:$A$130=$B61)*Inputs!$B$5:$B$130*(((Inputs!$G$5:$G$130="moeda")+(Inputs!$G$5:$G$130="acoes"))*Inputs!$B$1+((Inputs!$G$5:$G$130&lt;&gt;"moeda")*(Inputs!$G$5:$G$130&lt;&gt;"acoes")))*INDEX(Inputs!$K$5:$AJ$130,0,MATCH(AF$2,Inputs!$K$4:$AJ$4,0)))+SUMPRODUCT((Inputs!$C$5:$C$130=$B61)*Inputs!$D$5:$D$130*(((Inputs!$G$5:$G$130="moeda")+(Inputs!$G$5:$G$130="acoes"))*Inputs!$B$1+((Inputs!$G$5:$G$130&lt;&gt;"moeda")*(Inputs!$G$5:$G$130&lt;&gt;"acoes")))*INDEX(Inputs!$K$5:$AJ$130,0,MATCH(AF$2,Inputs!$K$4:$AJ$4,0)))+SUMPRODUCT((Inputs!$E$5:$E$130=$B61)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$130=$B61)*ISNUMBER(INDEX(Inputs!$K$5:$AJ$130,0,MATCH(AH$2,Inputs!$K$4:$AJ$4,0))))+SUMPRODUCT((Inputs!$C$5:$C$130=$B61)*ISNUMBER(INDEX(Inputs!$K$5:$AJ$130,0,MATCH(AH$2,Inputs!$K$4:$AJ$4,0))))+SUMPRODUCT((Inputs!$E$5:$E$130=$B61)*ISNUMBER(INDEX(Inputs!$K$5:$AJ$130,0,MATCH(AH$2,Inputs!$K$4:$AJ$4,0))))=0,NA(),SUMPRODUCT((Inputs!$A$5:$A$130=$B61)*Inputs!$B$5:$B$130*(((Inputs!$G$5:$G$130="moeda")+(Inputs!$G$5:$G$130="acoes"))*Inputs!$B$1+((Inputs!$G$5:$G$130&lt;&gt;"moeda")*(Inputs!$G$5:$G$130&lt;&gt;"acoes")))*INDEX(Inputs!$K$5:$AJ$130,0,MATCH(AH$2,Inputs!$K$4:$AJ$4,0)))+SUMPRODUCT((Inputs!$C$5:$C$130=$B61)*Inputs!$D$5:$D$130*(((Inputs!$G$5:$G$130="moeda")+(Inputs!$G$5:$G$130="acoes"))*Inputs!$B$1+((Inputs!$G$5:$G$130&lt;&gt;"moeda")*(Inputs!$G$5:$G$130&lt;&gt;"acoes")))*INDEX(Inputs!$K$5:$AJ$130,0,MATCH(AH$2,Inputs!$K$4:$AJ$4,0)))+SUMPRODUCT((Inputs!$E$5:$E$130=$B61)*Inputs!$F$5:$F$130*(((Inputs!$G$5:$G$130="moeda")+(Inputs!$G$5:$G$130="acoes"))*Inputs!$B$1+((Inputs!$G$5:$G$130&lt;&gt;"moeda")*(Inputs!$G$5:$G$130&lt;&gt;"acoes")))*INDEX(Inputs!$K$5:$AJ$130,0,MATCH(AH$2,Inputs!$K$4:$AJ$4,0)))))</f>
        <v>573</v>
      </c>
      <c r="AI61" s="263">
        <f>IF(ISNA(MATCH(AI$2,Inputs!$K$4:$AJ$4,0)),NA(),IF(SUMPRODUCT((Inputs!$A$5:$A$130=$B61)*ISNUMBER(INDEX(Inputs!$K$5:$AJ$130,0,MATCH(AI$2,Inputs!$K$4:$AJ$4,0))))+SUMPRODUCT((Inputs!$C$5:$C$130=$B61)*ISNUMBER(INDEX(Inputs!$K$5:$AJ$130,0,MATCH(AI$2,Inputs!$K$4:$AJ$4,0))))+SUMPRODUCT((Inputs!$E$5:$E$130=$B61)*ISNUMBER(INDEX(Inputs!$K$5:$AJ$130,0,MATCH(AI$2,Inputs!$K$4:$AJ$4,0))))=0,NA(),SUMPRODUCT((Inputs!$A$5:$A$130=$B61)*Inputs!$B$5:$B$130*(((Inputs!$G$5:$G$130="moeda")+(Inputs!$G$5:$G$130="acoes"))*Inputs!$B$1+((Inputs!$G$5:$G$130&lt;&gt;"moeda")*(Inputs!$G$5:$G$130&lt;&gt;"acoes")))*INDEX(Inputs!$K$5:$AJ$130,0,MATCH(AI$2,Inputs!$K$4:$AJ$4,0)))+SUMPRODUCT((Inputs!$C$5:$C$130=$B61)*Inputs!$D$5:$D$130*(((Inputs!$G$5:$G$130="moeda")+(Inputs!$G$5:$G$130="acoes"))*Inputs!$B$1+((Inputs!$G$5:$G$130&lt;&gt;"moeda")*(Inputs!$G$5:$G$130&lt;&gt;"acoes")))*INDEX(Inputs!$K$5:$AJ$130,0,MATCH(AI$2,Inputs!$K$4:$AJ$4,0)))+SUMPRODUCT((Inputs!$E$5:$E$130=$B61)*Inputs!$F$5:$F$130*(((Inputs!$G$5:$G$130="moeda")+(Inputs!$G$5:$G$130="acoes"))*Inputs!$B$1+((Inputs!$G$5:$G$130&lt;&gt;"moeda")*(Inputs!$G$5:$G$130&lt;&gt;"acoes")))*INDEX(Inputs!$K$5:$AJ$130,0,MATCH(AI$2,Inputs!$K$4:$AJ$4,0)))))</f>
        <v>295</v>
      </c>
      <c r="AJ61" s="263">
        <f>IF(ISNA(MATCH(AJ$2,Inputs!$K$4:$AJ$4,0)),NA(),IF(SUMPRODUCT((Inputs!$A$5:$A$130=$B61)*ISNUMBER(INDEX(Inputs!$K$5:$AJ$130,0,MATCH(AJ$2,Inputs!$K$4:$AJ$4,0))))+SUMPRODUCT((Inputs!$C$5:$C$130=$B61)*ISNUMBER(INDEX(Inputs!$K$5:$AJ$130,0,MATCH(AJ$2,Inputs!$K$4:$AJ$4,0))))+SUMPRODUCT((Inputs!$E$5:$E$130=$B61)*ISNUMBER(INDEX(Inputs!$K$5:$AJ$130,0,MATCH(AJ$2,Inputs!$K$4:$AJ$4,0))))=0,NA(),SUMPRODUCT((Inputs!$A$5:$A$130=$B61)*Inputs!$B$5:$B$130*(((Inputs!$G$5:$G$130="moeda")+(Inputs!$G$5:$G$130="acoes"))*Inputs!$B$1+((Inputs!$G$5:$G$130&lt;&gt;"moeda")*(Inputs!$G$5:$G$130&lt;&gt;"acoes")))*INDEX(Inputs!$K$5:$AJ$130,0,MATCH(AJ$2,Inputs!$K$4:$AJ$4,0)))+SUMPRODUCT((Inputs!$C$5:$C$130=$B61)*Inputs!$D$5:$D$130*(((Inputs!$G$5:$G$130="moeda")+(Inputs!$G$5:$G$130="acoes"))*Inputs!$B$1+((Inputs!$G$5:$G$130&lt;&gt;"moeda")*(Inputs!$G$5:$G$130&lt;&gt;"acoes")))*INDEX(Inputs!$K$5:$AJ$130,0,MATCH(AJ$2,Inputs!$K$4:$AJ$4,0)))+SUMPRODUCT((Inputs!$E$5:$E$130=$B61)*Inputs!$F$5:$F$130*(((Inputs!$G$5:$G$130="moeda")+(Inputs!$G$5:$G$130="acoes"))*Inputs!$B$1+((Inputs!$G$5:$G$130&lt;&gt;"moeda")*(Inputs!$G$5:$G$130&lt;&gt;"acoes")))*INDEX(Inputs!$K$5:$AJ$130,0,MATCH(AJ$2,Inputs!$K$4:$AJ$4,0)))))</f>
        <v>513</v>
      </c>
      <c r="AK61" s="263">
        <f>IF(ISNA(MATCH(AK$2,Inputs!$K$4:$AJ$4,0)),NA(),IF(SUMPRODUCT((Inputs!$A$5:$A$130=$B61)*ISNUMBER(INDEX(Inputs!$K$5:$AJ$130,0,MATCH(AK$2,Inputs!$K$4:$AJ$4,0))))+SUMPRODUCT((Inputs!$C$5:$C$130=$B61)*ISNUMBER(INDEX(Inputs!$K$5:$AJ$130,0,MATCH(AK$2,Inputs!$K$4:$AJ$4,0))))+SUMPRODUCT((Inputs!$E$5:$E$130=$B61)*ISNUMBER(INDEX(Inputs!$K$5:$AJ$130,0,MATCH(AK$2,Inputs!$K$4:$AJ$4,0))))=0,NA(),SUMPRODUCT((Inputs!$A$5:$A$130=$B61)*Inputs!$B$5:$B$130*(((Inputs!$G$5:$G$130="moeda")+(Inputs!$G$5:$G$130="acoes"))*Inputs!$B$1+((Inputs!$G$5:$G$130&lt;&gt;"moeda")*(Inputs!$G$5:$G$130&lt;&gt;"acoes")))*INDEX(Inputs!$K$5:$AJ$130,0,MATCH(AK$2,Inputs!$K$4:$AJ$4,0)))+SUMPRODUCT((Inputs!$C$5:$C$130=$B61)*Inputs!$D$5:$D$130*(((Inputs!$G$5:$G$130="moeda")+(Inputs!$G$5:$G$130="acoes"))*Inputs!$B$1+((Inputs!$G$5:$G$130&lt;&gt;"moeda")*(Inputs!$G$5:$G$130&lt;&gt;"acoes")))*INDEX(Inputs!$K$5:$AJ$130,0,MATCH(AK$2,Inputs!$K$4:$AJ$4,0)))+SUMPRODUCT((Inputs!$E$5:$E$130=$B61)*Inputs!$F$5:$F$130*(((Inputs!$G$5:$G$130="moeda")+(Inputs!$G$5:$G$130="acoes"))*Inputs!$B$1+((Inputs!$G$5:$G$130&lt;&gt;"moeda")*(Inputs!$G$5:$G$130&lt;&gt;"acoes")))*INDEX(Inputs!$K$5:$AJ$130,0,MATCH(AK$2,Inputs!$K$4:$AJ$4,0)))))</f>
        <v>610</v>
      </c>
      <c r="AL61" s="264">
        <f>SUM(AH61:AK61)</f>
        <v>1991</v>
      </c>
    </row>
    <row r="62">
      <c r="B62" s="46" t="n">
        <v>54</v>
      </c>
      <c r="C62" s="29" t="inlineStr">
        <is>
          <t>Lucro operacional Global Ventures (USD)</t>
        </is>
      </c>
      <c r="D62" s="263">
        <f>IF(ISNA(MATCH(D$2,Inputs!$K$4:$AJ$4,0)),NA(),IF(SUMPRODUCT((Inputs!$A$5:$A$130=$B62)*ISNUMBER(INDEX(Inputs!$K$5:$AJ$130,0,MATCH(D$2,Inputs!$K$4:$AJ$4,0))))+SUMPRODUCT((Inputs!$C$5:$C$130=$B62)*ISNUMBER(INDEX(Inputs!$K$5:$AJ$130,0,MATCH(D$2,Inputs!$K$4:$AJ$4,0))))+SUMPRODUCT((Inputs!$E$5:$E$130=$B62)*ISNUMBER(INDEX(Inputs!$K$5:$AJ$130,0,MATCH(D$2,Inputs!$K$4:$AJ$4,0))))=0,NA(),SUMPRODUCT((Inputs!$A$5:$A$130=$B62)*Inputs!$B$5:$B$130*(((Inputs!$G$5:$G$130="moeda")+(Inputs!$G$5:$G$130="acoes"))*Inputs!$B$1+((Inputs!$G$5:$G$130&lt;&gt;"moeda")*(Inputs!$G$5:$G$130&lt;&gt;"acoes")))*INDEX(Inputs!$K$5:$AJ$130,0,MATCH(D$2,Inputs!$K$4:$AJ$4,0)))+SUMPRODUCT((Inputs!$C$5:$C$130=$B62)*Inputs!$D$5:$D$130*(((Inputs!$G$5:$G$130="moeda")+(Inputs!$G$5:$G$130="acoes"))*Inputs!$B$1+((Inputs!$G$5:$G$130&lt;&gt;"moeda")*(Inputs!$G$5:$G$130&lt;&gt;"acoes")))*INDEX(Inputs!$K$5:$AJ$130,0,MATCH(D$2,Inputs!$K$4:$AJ$4,0)))+SUMPRODUCT((Inputs!$E$5:$E$130=$B62)*Inputs!$F$5:$F$130*(((Inputs!$G$5:$G$130="moeda")+(Inputs!$G$5:$G$130="acoes"))*Inputs!$B$1+((Inputs!$G$5:$G$130&lt;&gt;"moeda")*(Inputs!$G$5:$G$130&lt;&gt;"acoes")))*INDEX(Inputs!$K$5:$AJ$130,0,MATCH(D$2,Inputs!$K$4:$AJ$4,0)))))</f>
        <v>26</v>
      </c>
      <c r="E62" s="263">
        <f>IF(ISNA(MATCH(E$2,Inputs!$K$4:$AJ$4,0)),NA(),IF(SUMPRODUCT((Inputs!$A$5:$A$130=$B62)*ISNUMBER(INDEX(Inputs!$K$5:$AJ$130,0,MATCH(E$2,Inputs!$K$4:$AJ$4,0))))+SUMPRODUCT((Inputs!$C$5:$C$130=$B62)*ISNUMBER(INDEX(Inputs!$K$5:$AJ$130,0,MATCH(E$2,Inputs!$K$4:$AJ$4,0))))+SUMPRODUCT((Inputs!$E$5:$E$130=$B62)*ISNUMBER(INDEX(Inputs!$K$5:$AJ$130,0,MATCH(E$2,Inputs!$K$4:$AJ$4,0))))=0,NA(),SUMPRODUCT((Inputs!$A$5:$A$130=$B62)*Inputs!$B$5:$B$130*(((Inputs!$G$5:$G$130="moeda")+(Inputs!$G$5:$G$130="acoes"))*Inputs!$B$1+((Inputs!$G$5:$G$130&lt;&gt;"moeda")*(Inputs!$G$5:$G$130&lt;&gt;"acoes")))*INDEX(Inputs!$K$5:$AJ$130,0,MATCH(E$2,Inputs!$K$4:$AJ$4,0)))+SUMPRODUCT((Inputs!$C$5:$C$130=$B62)*Inputs!$D$5:$D$130*(((Inputs!$G$5:$G$130="moeda")+(Inputs!$G$5:$G$130="acoes"))*Inputs!$B$1+((Inputs!$G$5:$G$130&lt;&gt;"moeda")*(Inputs!$G$5:$G$130&lt;&gt;"acoes")))*INDEX(Inputs!$K$5:$AJ$130,0,MATCH(E$2,Inputs!$K$4:$AJ$4,0)))+SUMPRODUCT((Inputs!$E$5:$E$130=$B62)*Inputs!$F$5:$F$130*(((Inputs!$G$5:$G$130="moeda")+(Inputs!$G$5:$G$130="acoes"))*Inputs!$B$1+((Inputs!$G$5:$G$130&lt;&gt;"moeda")*(Inputs!$G$5:$G$130&lt;&gt;"acoes")))*INDEX(Inputs!$K$5:$AJ$130,0,MATCH(E$2,Inputs!$K$4:$AJ$4,0)))))</f>
        <v>75</v>
      </c>
      <c r="F62" s="263">
        <f>IF(ISNA(MATCH(F$2,Inputs!$K$4:$AJ$4,0)),NA(),IF(SUMPRODUCT((Inputs!$A$5:$A$130=$B62)*ISNUMBER(INDEX(Inputs!$K$5:$AJ$130,0,MATCH(F$2,Inputs!$K$4:$AJ$4,0))))+SUMPRODUCT((Inputs!$C$5:$C$130=$B62)*ISNUMBER(INDEX(Inputs!$K$5:$AJ$130,0,MATCH(F$2,Inputs!$K$4:$AJ$4,0))))+SUMPRODUCT((Inputs!$E$5:$E$130=$B62)*ISNUMBER(INDEX(Inputs!$K$5:$AJ$130,0,MATCH(F$2,Inputs!$K$4:$AJ$4,0))))=0,NA(),SUMPRODUCT((Inputs!$A$5:$A$130=$B62)*Inputs!$B$5:$B$130*(((Inputs!$G$5:$G$130="moeda")+(Inputs!$G$5:$G$130="acoes"))*Inputs!$B$1+((Inputs!$G$5:$G$130&lt;&gt;"moeda")*(Inputs!$G$5:$G$130&lt;&gt;"acoes")))*INDEX(Inputs!$K$5:$AJ$130,0,MATCH(F$2,Inputs!$K$4:$AJ$4,0)))+SUMPRODUCT((Inputs!$C$5:$C$130=$B62)*Inputs!$D$5:$D$130*(((Inputs!$G$5:$G$130="moeda")+(Inputs!$G$5:$G$130="acoes"))*Inputs!$B$1+((Inputs!$G$5:$G$130&lt;&gt;"moeda")*(Inputs!$G$5:$G$130&lt;&gt;"acoes")))*INDEX(Inputs!$K$5:$AJ$130,0,MATCH(F$2,Inputs!$K$4:$AJ$4,0)))+SUMPRODUCT((Inputs!$E$5:$E$130=$B62)*Inputs!$F$5:$F$130*(((Inputs!$G$5:$G$130="moeda")+(Inputs!$G$5:$G$130="acoes"))*Inputs!$B$1+((Inputs!$G$5:$G$130&lt;&gt;"moeda")*(Inputs!$G$5:$G$130&lt;&gt;"acoes")))*INDEX(Inputs!$K$5:$AJ$130,0,MATCH(F$2,Inputs!$K$4:$AJ$4,0)))))</f>
        <v>114</v>
      </c>
      <c r="G62" s="263">
        <f>IF(ISNA(MATCH(G$2,Inputs!$K$4:$AJ$4,0)),NA(),IF(SUMPRODUCT((Inputs!$A$5:$A$130=$B62)*ISNUMBER(INDEX(Inputs!$K$5:$AJ$130,0,MATCH(G$2,Inputs!$K$4:$AJ$4,0))))+SUMPRODUCT((Inputs!$C$5:$C$130=$B62)*ISNUMBER(INDEX(Inputs!$K$5:$AJ$130,0,MATCH(G$2,Inputs!$K$4:$AJ$4,0))))+SUMPRODUCT((Inputs!$E$5:$E$130=$B62)*ISNUMBER(INDEX(Inputs!$K$5:$AJ$130,0,MATCH(G$2,Inputs!$K$4:$AJ$4,0))))=0,NA(),SUMPRODUCT((Inputs!$A$5:$A$130=$B62)*Inputs!$B$5:$B$130*(((Inputs!$G$5:$G$130="moeda")+(Inputs!$G$5:$G$130="acoes"))*Inputs!$B$1+((Inputs!$G$5:$G$130&lt;&gt;"moeda")*(Inputs!$G$5:$G$130&lt;&gt;"acoes")))*INDEX(Inputs!$K$5:$AJ$130,0,MATCH(G$2,Inputs!$K$4:$AJ$4,0)))+SUMPRODUCT((Inputs!$C$5:$C$130=$B62)*Inputs!$D$5:$D$130*(((Inputs!$G$5:$G$130="moeda")+(Inputs!$G$5:$G$130="acoes"))*Inputs!$B$1+((Inputs!$G$5:$G$130&lt;&gt;"moeda")*(Inputs!$G$5:$G$130&lt;&gt;"acoes")))*INDEX(Inputs!$K$5:$AJ$130,0,MATCH(G$2,Inputs!$K$4:$AJ$4,0)))+SUMPRODUCT((Inputs!$E$5:$E$130=$B62)*Inputs!$F$5:$F$130*(((Inputs!$G$5:$G$130="moeda")+(Inputs!$G$5:$G$130="acoes"))*Inputs!$B$1+((Inputs!$G$5:$G$130&lt;&gt;"moeda")*(Inputs!$G$5:$G$130&lt;&gt;"acoes")))*INDEX(Inputs!$K$5:$AJ$130,0,MATCH(G$2,Inputs!$K$4:$AJ$4,0)))))</f>
        <v>78</v>
      </c>
      <c r="H62" s="264">
        <f>SUM(D62:G62)</f>
        <v>293</v>
      </c>
      <c r="I62" s="263">
        <f>IF(ISNA(MATCH(I$2,Inputs!$K$4:$AJ$4,0)),NA(),IF(SUMPRODUCT((Inputs!$A$5:$A$130=$B62)*ISNUMBER(INDEX(Inputs!$K$5:$AJ$130,0,MATCH(I$2,Inputs!$K$4:$AJ$4,0))))+SUMPRODUCT((Inputs!$C$5:$C$130=$B62)*ISNUMBER(INDEX(Inputs!$K$5:$AJ$130,0,MATCH(I$2,Inputs!$K$4:$AJ$4,0))))+SUMPRODUCT((Inputs!$E$5:$E$130=$B62)*ISNUMBER(INDEX(Inputs!$K$5:$AJ$130,0,MATCH(I$2,Inputs!$K$4:$AJ$4,0))))=0,NA(),SUMPRODUCT((Inputs!$A$5:$A$130=$B62)*Inputs!$B$5:$B$130*(((Inputs!$G$5:$G$130="moeda")+(Inputs!$G$5:$G$130="acoes"))*Inputs!$B$1+((Inputs!$G$5:$G$130&lt;&gt;"moeda")*(Inputs!$G$5:$G$130&lt;&gt;"acoes")))*INDEX(Inputs!$K$5:$AJ$130,0,MATCH(I$2,Inputs!$K$4:$AJ$4,0)))+SUMPRODUCT((Inputs!$C$5:$C$130=$B62)*Inputs!$D$5:$D$130*(((Inputs!$G$5:$G$130="moeda")+(Inputs!$G$5:$G$130="acoes"))*Inputs!$B$1+((Inputs!$G$5:$G$130&lt;&gt;"moeda")*(Inputs!$G$5:$G$130&lt;&gt;"acoes")))*INDEX(Inputs!$K$5:$AJ$130,0,MATCH(I$2,Inputs!$K$4:$AJ$4,0)))+SUMPRODUCT((Inputs!$E$5:$E$130=$B62)*Inputs!$F$5:$F$130*(((Inputs!$G$5:$G$130="moeda")+(Inputs!$G$5:$G$130="acoes"))*Inputs!$B$1+((Inputs!$G$5:$G$130&lt;&gt;"moeda")*(Inputs!$G$5:$G$130&lt;&gt;"acoes")))*INDEX(Inputs!$K$5:$AJ$130,0,MATCH(I$2,Inputs!$K$4:$AJ$4,0)))))</f>
        <v>51</v>
      </c>
      <c r="J62" s="263">
        <f>IF(ISNA(MATCH(J$2,Inputs!$K$4:$AJ$4,0)),NA(),IF(SUMPRODUCT((Inputs!$A$5:$A$130=$B62)*ISNUMBER(INDEX(Inputs!$K$5:$AJ$130,0,MATCH(J$2,Inputs!$K$4:$AJ$4,0))))+SUMPRODUCT((Inputs!$C$5:$C$130=$B62)*ISNUMBER(INDEX(Inputs!$K$5:$AJ$130,0,MATCH(J$2,Inputs!$K$4:$AJ$4,0))))+SUMPRODUCT((Inputs!$E$5:$E$130=$B62)*ISNUMBER(INDEX(Inputs!$K$5:$AJ$130,0,MATCH(J$2,Inputs!$K$4:$AJ$4,0))))=0,NA(),SUMPRODUCT((Inputs!$A$5:$A$130=$B62)*Inputs!$B$5:$B$130*(((Inputs!$G$5:$G$130="moeda")+(Inputs!$G$5:$G$130="acoes"))*Inputs!$B$1+((Inputs!$G$5:$G$130&lt;&gt;"moeda")*(Inputs!$G$5:$G$130&lt;&gt;"acoes")))*INDEX(Inputs!$K$5:$AJ$130,0,MATCH(J$2,Inputs!$K$4:$AJ$4,0)))+SUMPRODUCT((Inputs!$C$5:$C$130=$B62)*Inputs!$D$5:$D$130*(((Inputs!$G$5:$G$130="moeda")+(Inputs!$G$5:$G$130="acoes"))*Inputs!$B$1+((Inputs!$G$5:$G$130&lt;&gt;"moeda")*(Inputs!$G$5:$G$130&lt;&gt;"acoes")))*INDEX(Inputs!$K$5:$AJ$130,0,MATCH(J$2,Inputs!$K$4:$AJ$4,0)))+SUMPRODUCT((Inputs!$E$5:$E$130=$B62)*Inputs!$F$5:$F$130*(((Inputs!$G$5:$G$130="moeda")+(Inputs!$G$5:$G$130="acoes"))*Inputs!$B$1+((Inputs!$G$5:$G$130&lt;&gt;"moeda")*(Inputs!$G$5:$G$130&lt;&gt;"acoes")))*INDEX(Inputs!$K$5:$AJ$130,0,MATCH(J$2,Inputs!$K$4:$AJ$4,0)))))</f>
        <v>44</v>
      </c>
      <c r="K62" s="263">
        <f>IF(ISNA(MATCH(K$2,Inputs!$K$4:$AJ$4,0)),NA(),IF(SUMPRODUCT((Inputs!$A$5:$A$130=$B62)*ISNUMBER(INDEX(Inputs!$K$5:$AJ$130,0,MATCH(K$2,Inputs!$K$4:$AJ$4,0))))+SUMPRODUCT((Inputs!$C$5:$C$130=$B62)*ISNUMBER(INDEX(Inputs!$K$5:$AJ$130,0,MATCH(K$2,Inputs!$K$4:$AJ$4,0))))+SUMPRODUCT((Inputs!$E$5:$E$130=$B62)*ISNUMBER(INDEX(Inputs!$K$5:$AJ$130,0,MATCH(K$2,Inputs!$K$4:$AJ$4,0))))=0,NA(),SUMPRODUCT((Inputs!$A$5:$A$130=$B62)*Inputs!$B$5:$B$130*(((Inputs!$G$5:$G$130="moeda")+(Inputs!$G$5:$G$130="acoes"))*Inputs!$B$1+((Inputs!$G$5:$G$130&lt;&gt;"moeda")*(Inputs!$G$5:$G$130&lt;&gt;"acoes")))*INDEX(Inputs!$K$5:$AJ$130,0,MATCH(K$2,Inputs!$K$4:$AJ$4,0)))+SUMPRODUCT((Inputs!$C$5:$C$130=$B62)*Inputs!$D$5:$D$130*(((Inputs!$G$5:$G$130="moeda")+(Inputs!$G$5:$G$130="acoes"))*Inputs!$B$1+((Inputs!$G$5:$G$130&lt;&gt;"moeda")*(Inputs!$G$5:$G$130&lt;&gt;"acoes")))*INDEX(Inputs!$K$5:$AJ$130,0,MATCH(K$2,Inputs!$K$4:$AJ$4,0)))+SUMPRODUCT((Inputs!$E$5:$E$130=$B62)*Inputs!$F$5:$F$130*(((Inputs!$G$5:$G$130="moeda")+(Inputs!$G$5:$G$130="acoes"))*Inputs!$B$1+((Inputs!$G$5:$G$130&lt;&gt;"moeda")*(Inputs!$G$5:$G$130&lt;&gt;"acoes")))*INDEX(Inputs!$K$5:$AJ$130,0,MATCH(K$2,Inputs!$K$4:$AJ$4,0)))))</f>
        <v>67</v>
      </c>
      <c r="L62" s="263">
        <f>IF(ISNA(MATCH(L$2,Inputs!$K$4:$AJ$4,0)),NA(),IF(SUMPRODUCT((Inputs!$A$5:$A$130=$B62)*ISNUMBER(INDEX(Inputs!$K$5:$AJ$130,0,MATCH(L$2,Inputs!$K$4:$AJ$4,0))))+SUMPRODUCT((Inputs!$C$5:$C$130=$B62)*ISNUMBER(INDEX(Inputs!$K$5:$AJ$130,0,MATCH(L$2,Inputs!$K$4:$AJ$4,0))))+SUMPRODUCT((Inputs!$E$5:$E$130=$B62)*ISNUMBER(INDEX(Inputs!$K$5:$AJ$130,0,MATCH(L$2,Inputs!$K$4:$AJ$4,0))))=0,NA(),SUMPRODUCT((Inputs!$A$5:$A$130=$B62)*Inputs!$B$5:$B$130*(((Inputs!$G$5:$G$130="moeda")+(Inputs!$G$5:$G$130="acoes"))*Inputs!$B$1+((Inputs!$G$5:$G$130&lt;&gt;"moeda")*(Inputs!$G$5:$G$130&lt;&gt;"acoes")))*INDEX(Inputs!$K$5:$AJ$130,0,MATCH(L$2,Inputs!$K$4:$AJ$4,0)))+SUMPRODUCT((Inputs!$C$5:$C$130=$B62)*Inputs!$D$5:$D$130*(((Inputs!$G$5:$G$130="moeda")+(Inputs!$G$5:$G$130="acoes"))*Inputs!$B$1+((Inputs!$G$5:$G$130&lt;&gt;"moeda")*(Inputs!$G$5:$G$130&lt;&gt;"acoes")))*INDEX(Inputs!$K$5:$AJ$130,0,MATCH(L$2,Inputs!$K$4:$AJ$4,0)))+SUMPRODUCT((Inputs!$E$5:$E$130=$B62)*Inputs!$F$5:$F$130*(((Inputs!$G$5:$G$130="moeda")+(Inputs!$G$5:$G$130="acoes"))*Inputs!$B$1+((Inputs!$G$5:$G$130&lt;&gt;"moeda")*(Inputs!$G$5:$G$130&lt;&gt;"acoes")))*INDEX(Inputs!$K$5:$AJ$130,0,MATCH(L$2,Inputs!$K$4:$AJ$4,0)))))</f>
        <v>23</v>
      </c>
      <c r="M62" s="264">
        <f>SUM(I62:L62)</f>
        <v>185</v>
      </c>
      <c r="N62" s="263">
        <f>IF(ISNA(MATCH(N$2,Inputs!$K$4:$AJ$4,0)),NA(),IF(SUMPRODUCT((Inputs!$A$5:$A$130=$B62)*ISNUMBER(INDEX(Inputs!$K$5:$AJ$130,0,MATCH(N$2,Inputs!$K$4:$AJ$4,0))))+SUMPRODUCT((Inputs!$C$5:$C$130=$B62)*ISNUMBER(INDEX(Inputs!$K$5:$AJ$130,0,MATCH(N$2,Inputs!$K$4:$AJ$4,0))))+SUMPRODUCT((Inputs!$E$5:$E$130=$B62)*ISNUMBER(INDEX(Inputs!$K$5:$AJ$130,0,MATCH(N$2,Inputs!$K$4:$AJ$4,0))))=0,NA(),SUMPRODUCT((Inputs!$A$5:$A$130=$B62)*Inputs!$B$5:$B$130*(((Inputs!$G$5:$G$130="moeda")+(Inputs!$G$5:$G$130="acoes"))*Inputs!$B$1+((Inputs!$G$5:$G$130&lt;&gt;"moeda")*(Inputs!$G$5:$G$130&lt;&gt;"acoes")))*INDEX(Inputs!$K$5:$AJ$130,0,MATCH(N$2,Inputs!$K$4:$AJ$4,0)))+SUMPRODUCT((Inputs!$C$5:$C$130=$B62)*Inputs!$D$5:$D$130*(((Inputs!$G$5:$G$130="moeda")+(Inputs!$G$5:$G$130="acoes"))*Inputs!$B$1+((Inputs!$G$5:$G$130&lt;&gt;"moeda")*(Inputs!$G$5:$G$130&lt;&gt;"acoes")))*INDEX(Inputs!$K$5:$AJ$130,0,MATCH(N$2,Inputs!$K$4:$AJ$4,0)))+SUMPRODUCT((Inputs!$E$5:$E$130=$B62)*Inputs!$F$5:$F$130*(((Inputs!$G$5:$G$130="moeda")+(Inputs!$G$5:$G$130="acoes"))*Inputs!$B$1+((Inputs!$G$5:$G$130&lt;&gt;"moeda")*(Inputs!$G$5:$G$130&lt;&gt;"acoes")))*INDEX(Inputs!$K$5:$AJ$130,0,MATCH(N$2,Inputs!$K$4:$AJ$4,0)))))</f>
        <v>51</v>
      </c>
      <c r="O62" s="263">
        <f>IF(ISNA(MATCH(O$2,Inputs!$K$4:$AJ$4,0)),NA(),IF(SUMPRODUCT((Inputs!$A$5:$A$130=$B62)*ISNUMBER(INDEX(Inputs!$K$5:$AJ$130,0,MATCH(O$2,Inputs!$K$4:$AJ$4,0))))+SUMPRODUCT((Inputs!$C$5:$C$130=$B62)*ISNUMBER(INDEX(Inputs!$K$5:$AJ$130,0,MATCH(O$2,Inputs!$K$4:$AJ$4,0))))+SUMPRODUCT((Inputs!$E$5:$E$130=$B62)*ISNUMBER(INDEX(Inputs!$K$5:$AJ$130,0,MATCH(O$2,Inputs!$K$4:$AJ$4,0))))=0,NA(),SUMPRODUCT((Inputs!$A$5:$A$130=$B62)*Inputs!$B$5:$B$130*(((Inputs!$G$5:$G$130="moeda")+(Inputs!$G$5:$G$130="acoes"))*Inputs!$B$1+((Inputs!$G$5:$G$130&lt;&gt;"moeda")*(Inputs!$G$5:$G$130&lt;&gt;"acoes")))*INDEX(Inputs!$K$5:$AJ$130,0,MATCH(O$2,Inputs!$K$4:$AJ$4,0)))+SUMPRODUCT((Inputs!$C$5:$C$130=$B62)*Inputs!$D$5:$D$130*(((Inputs!$G$5:$G$130="moeda")+(Inputs!$G$5:$G$130="acoes"))*Inputs!$B$1+((Inputs!$G$5:$G$130&lt;&gt;"moeda")*(Inputs!$G$5:$G$130&lt;&gt;"acoes")))*INDEX(Inputs!$K$5:$AJ$130,0,MATCH(O$2,Inputs!$K$4:$AJ$4,0)))+SUMPRODUCT((Inputs!$E$5:$E$130=$B62)*Inputs!$F$5:$F$130*(((Inputs!$G$5:$G$130="moeda")+(Inputs!$G$5:$G$130="acoes"))*Inputs!$B$1+((Inputs!$G$5:$G$130&lt;&gt;"moeda")*(Inputs!$G$5:$G$130&lt;&gt;"acoes")))*INDEX(Inputs!$K$5:$AJ$130,0,MATCH(O$2,Inputs!$K$4:$AJ$4,0)))))</f>
        <v>78</v>
      </c>
      <c r="P62" s="263">
        <f>IF(ISNA(MATCH(P$2,Inputs!$K$4:$AJ$4,0)),NA(),IF(SUMPRODUCT((Inputs!$A$5:$A$130=$B62)*ISNUMBER(INDEX(Inputs!$K$5:$AJ$130,0,MATCH(P$2,Inputs!$K$4:$AJ$4,0))))+SUMPRODUCT((Inputs!$C$5:$C$130=$B62)*ISNUMBER(INDEX(Inputs!$K$5:$AJ$130,0,MATCH(P$2,Inputs!$K$4:$AJ$4,0))))+SUMPRODUCT((Inputs!$E$5:$E$130=$B62)*ISNUMBER(INDEX(Inputs!$K$5:$AJ$130,0,MATCH(P$2,Inputs!$K$4:$AJ$4,0))))=0,NA(),SUMPRODUCT((Inputs!$A$5:$A$130=$B62)*Inputs!$B$5:$B$130*(((Inputs!$G$5:$G$130="moeda")+(Inputs!$G$5:$G$130="acoes"))*Inputs!$B$1+((Inputs!$G$5:$G$130&lt;&gt;"moeda")*(Inputs!$G$5:$G$130&lt;&gt;"acoes")))*INDEX(Inputs!$K$5:$AJ$130,0,MATCH(P$2,Inputs!$K$4:$AJ$4,0)))+SUMPRODUCT((Inputs!$C$5:$C$130=$B62)*Inputs!$D$5:$D$130*(((Inputs!$G$5:$G$130="moeda")+(Inputs!$G$5:$G$130="acoes"))*Inputs!$B$1+((Inputs!$G$5:$G$130&lt;&gt;"moeda")*(Inputs!$G$5:$G$130&lt;&gt;"acoes")))*INDEX(Inputs!$K$5:$AJ$130,0,MATCH(P$2,Inputs!$K$4:$AJ$4,0)))+SUMPRODUCT((Inputs!$E$5:$E$130=$B62)*Inputs!$F$5:$F$130*(((Inputs!$G$5:$G$130="moeda")+(Inputs!$G$5:$G$130="acoes"))*Inputs!$B$1+((Inputs!$G$5:$G$130&lt;&gt;"moeda")*(Inputs!$G$5:$G$130&lt;&gt;"acoes")))*INDEX(Inputs!$K$5:$AJ$130,0,MATCH(P$2,Inputs!$K$4:$AJ$4,0)))))</f>
        <v>81</v>
      </c>
      <c r="Q62" s="263">
        <f>IF(ISNA(MATCH(Q$2,Inputs!$K$4:$AJ$4,0)),NA(),IF(SUMPRODUCT((Inputs!$A$5:$A$130=$B62)*ISNUMBER(INDEX(Inputs!$K$5:$AJ$130,0,MATCH(Q$2,Inputs!$K$4:$AJ$4,0))))+SUMPRODUCT((Inputs!$C$5:$C$130=$B62)*ISNUMBER(INDEX(Inputs!$K$5:$AJ$130,0,MATCH(Q$2,Inputs!$K$4:$AJ$4,0))))+SUMPRODUCT((Inputs!$E$5:$E$130=$B62)*ISNUMBER(INDEX(Inputs!$K$5:$AJ$130,0,MATCH(Q$2,Inputs!$K$4:$AJ$4,0))))=0,NA(),SUMPRODUCT((Inputs!$A$5:$A$130=$B62)*Inputs!$B$5:$B$130*(((Inputs!$G$5:$G$130="moeda")+(Inputs!$G$5:$G$130="acoes"))*Inputs!$B$1+((Inputs!$G$5:$G$130&lt;&gt;"moeda")*(Inputs!$G$5:$G$130&lt;&gt;"acoes")))*INDEX(Inputs!$K$5:$AJ$130,0,MATCH(Q$2,Inputs!$K$4:$AJ$4,0)))+SUMPRODUCT((Inputs!$C$5:$C$130=$B62)*Inputs!$D$5:$D$130*(((Inputs!$G$5:$G$130="moeda")+(Inputs!$G$5:$G$130="acoes"))*Inputs!$B$1+((Inputs!$G$5:$G$130&lt;&gt;"moeda")*(Inputs!$G$5:$G$130&lt;&gt;"acoes")))*INDEX(Inputs!$K$5:$AJ$130,0,MATCH(Q$2,Inputs!$K$4:$AJ$4,0)))+SUMPRODUCT((Inputs!$E$5:$E$130=$B62)*Inputs!$F$5:$F$130*(((Inputs!$G$5:$G$130="moeda")+(Inputs!$G$5:$G$130="acoes"))*Inputs!$B$1+((Inputs!$G$5:$G$130&lt;&gt;"moeda")*(Inputs!$G$5:$G$130&lt;&gt;"acoes")))*INDEX(Inputs!$K$5:$AJ$130,0,MATCH(Q$2,Inputs!$K$4:$AJ$4,0)))))</f>
        <v>119</v>
      </c>
      <c r="R62" s="264">
        <f>SUM(N62:Q62)</f>
        <v>329</v>
      </c>
      <c r="S62" s="263">
        <f>IF(ISNA(MATCH(S$2,Inputs!$K$4:$AJ$4,0)),NA(),IF(SUMPRODUCT((Inputs!$A$5:$A$130=$B62)*ISNUMBER(INDEX(Inputs!$K$5:$AJ$130,0,MATCH(S$2,Inputs!$K$4:$AJ$4,0))))+SUMPRODUCT((Inputs!$C$5:$C$130=$B62)*ISNUMBER(INDEX(Inputs!$K$5:$AJ$130,0,MATCH(S$2,Inputs!$K$4:$AJ$4,0))))+SUMPRODUCT((Inputs!$E$5:$E$130=$B62)*ISNUMBER(INDEX(Inputs!$K$5:$AJ$130,0,MATCH(S$2,Inputs!$K$4:$AJ$4,0))))=0,NA(),SUMPRODUCT((Inputs!$A$5:$A$130=$B62)*Inputs!$B$5:$B$130*(((Inputs!$G$5:$G$130="moeda")+(Inputs!$G$5:$G$130="acoes"))*Inputs!$B$1+((Inputs!$G$5:$G$130&lt;&gt;"moeda")*(Inputs!$G$5:$G$130&lt;&gt;"acoes")))*INDEX(Inputs!$K$5:$AJ$130,0,MATCH(S$2,Inputs!$K$4:$AJ$4,0)))+SUMPRODUCT((Inputs!$C$5:$C$130=$B62)*Inputs!$D$5:$D$130*(((Inputs!$G$5:$G$130="moeda")+(Inputs!$G$5:$G$130="acoes"))*Inputs!$B$1+((Inputs!$G$5:$G$130&lt;&gt;"moeda")*(Inputs!$G$5:$G$130&lt;&gt;"acoes")))*INDEX(Inputs!$K$5:$AJ$130,0,MATCH(S$2,Inputs!$K$4:$AJ$4,0)))+SUMPRODUCT((Inputs!$E$5:$E$130=$B62)*Inputs!$F$5:$F$130*(((Inputs!$G$5:$G$130="moeda")+(Inputs!$G$5:$G$130="acoes"))*Inputs!$B$1+((Inputs!$G$5:$G$130&lt;&gt;"moeda")*(Inputs!$G$5:$G$130&lt;&gt;"acoes")))*INDEX(Inputs!$K$5:$AJ$130,0,MATCH(S$2,Inputs!$K$4:$AJ$4,0)))))</f>
        <v>55</v>
      </c>
      <c r="T62" s="263">
        <f>IF(ISNA(MATCH(T$2,Inputs!$K$4:$AJ$4,0)),NA(),IF(SUMPRODUCT((Inputs!$A$5:$A$130=$B62)*ISNUMBER(INDEX(Inputs!$K$5:$AJ$130,0,MATCH(T$2,Inputs!$K$4:$AJ$4,0))))+SUMPRODUCT((Inputs!$C$5:$C$130=$B62)*ISNUMBER(INDEX(Inputs!$K$5:$AJ$130,0,MATCH(T$2,Inputs!$K$4:$AJ$4,0))))+SUMPRODUCT((Inputs!$E$5:$E$130=$B62)*ISNUMBER(INDEX(Inputs!$K$5:$AJ$130,0,MATCH(T$2,Inputs!$K$4:$AJ$4,0))))=0,NA(),SUMPRODUCT((Inputs!$A$5:$A$130=$B62)*Inputs!$B$5:$B$130*(((Inputs!$G$5:$G$130="moeda")+(Inputs!$G$5:$G$130="acoes"))*Inputs!$B$1+((Inputs!$G$5:$G$130&lt;&gt;"moeda")*(Inputs!$G$5:$G$130&lt;&gt;"acoes")))*INDEX(Inputs!$K$5:$AJ$130,0,MATCH(T$2,Inputs!$K$4:$AJ$4,0)))+SUMPRODUCT((Inputs!$C$5:$C$130=$B62)*Inputs!$D$5:$D$130*(((Inputs!$G$5:$G$130="moeda")+(Inputs!$G$5:$G$130="acoes"))*Inputs!$B$1+((Inputs!$G$5:$G$130&lt;&gt;"moeda")*(Inputs!$G$5:$G$130&lt;&gt;"acoes")))*INDEX(Inputs!$K$5:$AJ$130,0,MATCH(T$2,Inputs!$K$4:$AJ$4,0)))+SUMPRODUCT((Inputs!$E$5:$E$130=$B62)*Inputs!$F$5:$F$130*(((Inputs!$G$5:$G$130="moeda")+(Inputs!$G$5:$G$130="acoes"))*Inputs!$B$1+((Inputs!$G$5:$G$130&lt;&gt;"moeda")*(Inputs!$G$5:$G$130&lt;&gt;"acoes")))*INDEX(Inputs!$K$5:$AJ$130,0,MATCH(T$2,Inputs!$K$4:$AJ$4,0)))))</f>
        <v>92</v>
      </c>
      <c r="U62" s="263">
        <f>IF(ISNA(MATCH(U$2,Inputs!$K$4:$AJ$4,0)),NA(),IF(SUMPRODUCT((Inputs!$A$5:$A$130=$B62)*ISNUMBER(INDEX(Inputs!$K$5:$AJ$130,0,MATCH(U$2,Inputs!$K$4:$AJ$4,0))))+SUMPRODUCT((Inputs!$C$5:$C$130=$B62)*ISNUMBER(INDEX(Inputs!$K$5:$AJ$130,0,MATCH(U$2,Inputs!$K$4:$AJ$4,0))))+SUMPRODUCT((Inputs!$E$5:$E$130=$B62)*ISNUMBER(INDEX(Inputs!$K$5:$AJ$130,0,MATCH(U$2,Inputs!$K$4:$AJ$4,0))))=0,NA(),SUMPRODUCT((Inputs!$A$5:$A$130=$B62)*Inputs!$B$5:$B$130*(((Inputs!$G$5:$G$130="moeda")+(Inputs!$G$5:$G$130="acoes"))*Inputs!$B$1+((Inputs!$G$5:$G$130&lt;&gt;"moeda")*(Inputs!$G$5:$G$130&lt;&gt;"acoes")))*INDEX(Inputs!$K$5:$AJ$130,0,MATCH(U$2,Inputs!$K$4:$AJ$4,0)))+SUMPRODUCT((Inputs!$C$5:$C$130=$B62)*Inputs!$D$5:$D$130*(((Inputs!$G$5:$G$130="moeda")+(Inputs!$G$5:$G$130="acoes"))*Inputs!$B$1+((Inputs!$G$5:$G$130&lt;&gt;"moeda")*(Inputs!$G$5:$G$130&lt;&gt;"acoes")))*INDEX(Inputs!$K$5:$AJ$130,0,MATCH(U$2,Inputs!$K$4:$AJ$4,0)))+SUMPRODUCT((Inputs!$E$5:$E$130=$B62)*Inputs!$F$5:$F$130*(((Inputs!$G$5:$G$130="moeda")+(Inputs!$G$5:$G$130="acoes"))*Inputs!$B$1+((Inputs!$G$5:$G$130&lt;&gt;"moeda")*(Inputs!$G$5:$G$130&lt;&gt;"acoes")))*INDEX(Inputs!$K$5:$AJ$130,0,MATCH(U$2,Inputs!$K$4:$AJ$4,0)))))</f>
        <v>77</v>
      </c>
      <c r="V62" s="263">
        <f>IF(ISNA(MATCH(V$2,Inputs!$K$4:$AJ$4,0)),NA(),IF(SUMPRODUCT((Inputs!$A$5:$A$130=$B62)*ISNUMBER(INDEX(Inputs!$K$5:$AJ$130,0,MATCH(V$2,Inputs!$K$4:$AJ$4,0))))+SUMPRODUCT((Inputs!$C$5:$C$130=$B62)*ISNUMBER(INDEX(Inputs!$K$5:$AJ$130,0,MATCH(V$2,Inputs!$K$4:$AJ$4,0))))+SUMPRODUCT((Inputs!$E$5:$E$130=$B62)*ISNUMBER(INDEX(Inputs!$K$5:$AJ$130,0,MATCH(V$2,Inputs!$K$4:$AJ$4,0))))=0,NA(),SUMPRODUCT((Inputs!$A$5:$A$130=$B62)*Inputs!$B$5:$B$130*(((Inputs!$G$5:$G$130="moeda")+(Inputs!$G$5:$G$130="acoes"))*Inputs!$B$1+((Inputs!$G$5:$G$130&lt;&gt;"moeda")*(Inputs!$G$5:$G$130&lt;&gt;"acoes")))*INDEX(Inputs!$K$5:$AJ$130,0,MATCH(V$2,Inputs!$K$4:$AJ$4,0)))+SUMPRODUCT((Inputs!$C$5:$C$130=$B62)*Inputs!$D$5:$D$130*(((Inputs!$G$5:$G$130="moeda")+(Inputs!$G$5:$G$130="acoes"))*Inputs!$B$1+((Inputs!$G$5:$G$130&lt;&gt;"moeda")*(Inputs!$G$5:$G$130&lt;&gt;"acoes")))*INDEX(Inputs!$K$5:$AJ$130,0,MATCH(V$2,Inputs!$K$4:$AJ$4,0)))+SUMPRODUCT((Inputs!$E$5:$E$130=$B62)*Inputs!$F$5:$F$130*(((Inputs!$G$5:$G$130="moeda")+(Inputs!$G$5:$G$130="acoes"))*Inputs!$B$1+((Inputs!$G$5:$G$130&lt;&gt;"moeda")*(Inputs!$G$5:$G$130&lt;&gt;"acoes")))*INDEX(Inputs!$K$5:$AJ$130,0,MATCH(V$2,Inputs!$K$4:$AJ$4,0)))))</f>
        <v>135</v>
      </c>
      <c r="W62" s="264">
        <f>SUM(S62:V62)</f>
        <v>359</v>
      </c>
      <c r="X62" s="263" t="e">
        <f>IF(ISNA(MATCH(X$2,Inputs!$K$4:$AJ$4,0)),NA(),IF(SUMPRODUCT((Inputs!$A$5:$A$130=$B62)*ISNUMBER(INDEX(Inputs!$K$5:$AJ$130,0,MATCH(X$2,Inputs!$K$4:$AJ$4,0))))+SUMPRODUCT((Inputs!$C$5:$C$130=$B62)*ISNUMBER(INDEX(Inputs!$K$5:$AJ$130,0,MATCH(X$2,Inputs!$K$4:$AJ$4,0))))+SUMPRODUCT((Inputs!$E$5:$E$130=$B62)*ISNUMBER(INDEX(Inputs!$K$5:$AJ$130,0,MATCH(X$2,Inputs!$K$4:$AJ$4,0))))=0,NA(),SUMPRODUCT((Inputs!$A$5:$A$130=$B62)*Inputs!$B$5:$B$130*(((Inputs!$G$5:$G$130="moeda")+(Inputs!$G$5:$G$130="acoes"))*Inputs!$B$1+((Inputs!$G$5:$G$130&lt;&gt;"moeda")*(Inputs!$G$5:$G$130&lt;&gt;"acoes")))*INDEX(Inputs!$K$5:$AJ$130,0,MATCH(X$2,Inputs!$K$4:$AJ$4,0)))+SUMPRODUCT((Inputs!$C$5:$C$130=$B62)*Inputs!$D$5:$D$130*(((Inputs!$G$5:$G$130="moeda")+(Inputs!$G$5:$G$130="acoes"))*Inputs!$B$1+((Inputs!$G$5:$G$130&lt;&gt;"moeda")*(Inputs!$G$5:$G$130&lt;&gt;"acoes")))*INDEX(Inputs!$K$5:$AJ$130,0,MATCH(X$2,Inputs!$K$4:$AJ$4,0)))+SUMPRODUCT((Inputs!$E$5:$E$130=$B62)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62" s="263" t="e">
        <f>IF(ISNA(MATCH(Y$2,Inputs!$K$4:$AJ$4,0)),NA(),IF(SUMPRODUCT((Inputs!$A$5:$A$130=$B62)*ISNUMBER(INDEX(Inputs!$K$5:$AJ$130,0,MATCH(Y$2,Inputs!$K$4:$AJ$4,0))))+SUMPRODUCT((Inputs!$C$5:$C$130=$B62)*ISNUMBER(INDEX(Inputs!$K$5:$AJ$130,0,MATCH(Y$2,Inputs!$K$4:$AJ$4,0))))+SUMPRODUCT((Inputs!$E$5:$E$130=$B62)*ISNUMBER(INDEX(Inputs!$K$5:$AJ$130,0,MATCH(Y$2,Inputs!$K$4:$AJ$4,0))))=0,NA(),SUMPRODUCT((Inputs!$A$5:$A$130=$B62)*Inputs!$B$5:$B$130*(((Inputs!$G$5:$G$130="moeda")+(Inputs!$G$5:$G$130="acoes"))*Inputs!$B$1+((Inputs!$G$5:$G$130&lt;&gt;"moeda")*(Inputs!$G$5:$G$130&lt;&gt;"acoes")))*INDEX(Inputs!$K$5:$AJ$130,0,MATCH(Y$2,Inputs!$K$4:$AJ$4,0)))+SUMPRODUCT((Inputs!$C$5:$C$130=$B62)*Inputs!$D$5:$D$130*(((Inputs!$G$5:$G$130="moeda")+(Inputs!$G$5:$G$130="acoes"))*Inputs!$B$1+((Inputs!$G$5:$G$130&lt;&gt;"moeda")*(Inputs!$G$5:$G$130&lt;&gt;"acoes")))*INDEX(Inputs!$K$5:$AJ$130,0,MATCH(Y$2,Inputs!$K$4:$AJ$4,0)))+SUMPRODUCT((Inputs!$E$5:$E$130=$B62)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62" s="263" t="e">
        <f>IF(ISNA(MATCH(Z$2,Inputs!$K$4:$AJ$4,0)),NA(),IF(SUMPRODUCT((Inputs!$A$5:$A$130=$B62)*ISNUMBER(INDEX(Inputs!$K$5:$AJ$130,0,MATCH(Z$2,Inputs!$K$4:$AJ$4,0))))+SUMPRODUCT((Inputs!$C$5:$C$130=$B62)*ISNUMBER(INDEX(Inputs!$K$5:$AJ$130,0,MATCH(Z$2,Inputs!$K$4:$AJ$4,0))))+SUMPRODUCT((Inputs!$E$5:$E$130=$B62)*ISNUMBER(INDEX(Inputs!$K$5:$AJ$130,0,MATCH(Z$2,Inputs!$K$4:$AJ$4,0))))=0,NA(),SUMPRODUCT((Inputs!$A$5:$A$130=$B62)*Inputs!$B$5:$B$130*(((Inputs!$G$5:$G$130="moeda")+(Inputs!$G$5:$G$130="acoes"))*Inputs!$B$1+((Inputs!$G$5:$G$130&lt;&gt;"moeda")*(Inputs!$G$5:$G$130&lt;&gt;"acoes")))*INDEX(Inputs!$K$5:$AJ$130,0,MATCH(Z$2,Inputs!$K$4:$AJ$4,0)))+SUMPRODUCT((Inputs!$C$5:$C$130=$B62)*Inputs!$D$5:$D$130*(((Inputs!$G$5:$G$130="moeda")+(Inputs!$G$5:$G$130="acoes"))*Inputs!$B$1+((Inputs!$G$5:$G$130&lt;&gt;"moeda")*(Inputs!$G$5:$G$130&lt;&gt;"acoes")))*INDEX(Inputs!$K$5:$AJ$130,0,MATCH(Z$2,Inputs!$K$4:$AJ$4,0)))+SUMPRODUCT((Inputs!$E$5:$E$130=$B62)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62" s="263" t="e">
        <f>IF(ISNA(MATCH(AA$2,Inputs!$K$4:$AJ$4,0)),NA(),IF(SUMPRODUCT((Inputs!$A$5:$A$130=$B62)*ISNUMBER(INDEX(Inputs!$K$5:$AJ$130,0,MATCH(AA$2,Inputs!$K$4:$AJ$4,0))))+SUMPRODUCT((Inputs!$C$5:$C$130=$B62)*ISNUMBER(INDEX(Inputs!$K$5:$AJ$130,0,MATCH(AA$2,Inputs!$K$4:$AJ$4,0))))+SUMPRODUCT((Inputs!$E$5:$E$130=$B62)*ISNUMBER(INDEX(Inputs!$K$5:$AJ$130,0,MATCH(AA$2,Inputs!$K$4:$AJ$4,0))))=0,NA(),SUMPRODUCT((Inputs!$A$5:$A$130=$B62)*Inputs!$B$5:$B$130*(((Inputs!$G$5:$G$130="moeda")+(Inputs!$G$5:$G$130="acoes"))*Inputs!$B$1+((Inputs!$G$5:$G$130&lt;&gt;"moeda")*(Inputs!$G$5:$G$130&lt;&gt;"acoes")))*INDEX(Inputs!$K$5:$AJ$130,0,MATCH(AA$2,Inputs!$K$4:$AJ$4,0)))+SUMPRODUCT((Inputs!$C$5:$C$130=$B62)*Inputs!$D$5:$D$130*(((Inputs!$G$5:$G$130="moeda")+(Inputs!$G$5:$G$130="acoes"))*Inputs!$B$1+((Inputs!$G$5:$G$130&lt;&gt;"moeda")*(Inputs!$G$5:$G$130&lt;&gt;"acoes")))*INDEX(Inputs!$K$5:$AJ$130,0,MATCH(AA$2,Inputs!$K$4:$AJ$4,0)))+SUMPRODUCT((Inputs!$E$5:$E$130=$B62)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$130=$B62)*ISNUMBER(INDEX(Inputs!$K$5:$AJ$130,0,MATCH(AC$2,Inputs!$K$4:$AJ$4,0))))+SUMPRODUCT((Inputs!$C$5:$C$130=$B62)*ISNUMBER(INDEX(Inputs!$K$5:$AJ$130,0,MATCH(AC$2,Inputs!$K$4:$AJ$4,0))))+SUMPRODUCT((Inputs!$E$5:$E$130=$B62)*ISNUMBER(INDEX(Inputs!$K$5:$AJ$130,0,MATCH(AC$2,Inputs!$K$4:$AJ$4,0))))=0,NA(),SUMPRODUCT((Inputs!$A$5:$A$130=$B62)*Inputs!$B$5:$B$130*(((Inputs!$G$5:$G$130="moeda")+(Inputs!$G$5:$G$130="acoes"))*Inputs!$B$1+((Inputs!$G$5:$G$130&lt;&gt;"moeda")*(Inputs!$G$5:$G$130&lt;&gt;"acoes")))*INDEX(Inputs!$K$5:$AJ$130,0,MATCH(AC$2,Inputs!$K$4:$AJ$4,0)))+SUMPRODUCT((Inputs!$C$5:$C$130=$B62)*Inputs!$D$5:$D$130*(((Inputs!$G$5:$G$130="moeda")+(Inputs!$G$5:$G$130="acoes"))*Inputs!$B$1+((Inputs!$G$5:$G$130&lt;&gt;"moeda")*(Inputs!$G$5:$G$130&lt;&gt;"acoes")))*INDEX(Inputs!$K$5:$AJ$130,0,MATCH(AC$2,Inputs!$K$4:$AJ$4,0)))+SUMPRODUCT((Inputs!$E$5:$E$130=$B62)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62" s="263" t="e">
        <f>IF(ISNA(MATCH(AD$2,Inputs!$K$4:$AJ$4,0)),NA(),IF(SUMPRODUCT((Inputs!$A$5:$A$130=$B62)*ISNUMBER(INDEX(Inputs!$K$5:$AJ$130,0,MATCH(AD$2,Inputs!$K$4:$AJ$4,0))))+SUMPRODUCT((Inputs!$C$5:$C$130=$B62)*ISNUMBER(INDEX(Inputs!$K$5:$AJ$130,0,MATCH(AD$2,Inputs!$K$4:$AJ$4,0))))+SUMPRODUCT((Inputs!$E$5:$E$130=$B62)*ISNUMBER(INDEX(Inputs!$K$5:$AJ$130,0,MATCH(AD$2,Inputs!$K$4:$AJ$4,0))))=0,NA(),SUMPRODUCT((Inputs!$A$5:$A$130=$B62)*Inputs!$B$5:$B$130*(((Inputs!$G$5:$G$130="moeda")+(Inputs!$G$5:$G$130="acoes"))*Inputs!$B$1+((Inputs!$G$5:$G$130&lt;&gt;"moeda")*(Inputs!$G$5:$G$130&lt;&gt;"acoes")))*INDEX(Inputs!$K$5:$AJ$130,0,MATCH(AD$2,Inputs!$K$4:$AJ$4,0)))+SUMPRODUCT((Inputs!$C$5:$C$130=$B62)*Inputs!$D$5:$D$130*(((Inputs!$G$5:$G$130="moeda")+(Inputs!$G$5:$G$130="acoes"))*Inputs!$B$1+((Inputs!$G$5:$G$130&lt;&gt;"moeda")*(Inputs!$G$5:$G$130&lt;&gt;"acoes")))*INDEX(Inputs!$K$5:$AJ$130,0,MATCH(AD$2,Inputs!$K$4:$AJ$4,0)))+SUMPRODUCT((Inputs!$E$5:$E$130=$B62)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62" s="263" t="e">
        <f>IF(ISNA(MATCH(AE$2,Inputs!$K$4:$AJ$4,0)),NA(),IF(SUMPRODUCT((Inputs!$A$5:$A$130=$B62)*ISNUMBER(INDEX(Inputs!$K$5:$AJ$130,0,MATCH(AE$2,Inputs!$K$4:$AJ$4,0))))+SUMPRODUCT((Inputs!$C$5:$C$130=$B62)*ISNUMBER(INDEX(Inputs!$K$5:$AJ$130,0,MATCH(AE$2,Inputs!$K$4:$AJ$4,0))))+SUMPRODUCT((Inputs!$E$5:$E$130=$B62)*ISNUMBER(INDEX(Inputs!$K$5:$AJ$130,0,MATCH(AE$2,Inputs!$K$4:$AJ$4,0))))=0,NA(),SUMPRODUCT((Inputs!$A$5:$A$130=$B62)*Inputs!$B$5:$B$130*(((Inputs!$G$5:$G$130="moeda")+(Inputs!$G$5:$G$130="acoes"))*Inputs!$B$1+((Inputs!$G$5:$G$130&lt;&gt;"moeda")*(Inputs!$G$5:$G$130&lt;&gt;"acoes")))*INDEX(Inputs!$K$5:$AJ$130,0,MATCH(AE$2,Inputs!$K$4:$AJ$4,0)))+SUMPRODUCT((Inputs!$C$5:$C$130=$B62)*Inputs!$D$5:$D$130*(((Inputs!$G$5:$G$130="moeda")+(Inputs!$G$5:$G$130="acoes"))*Inputs!$B$1+((Inputs!$G$5:$G$130&lt;&gt;"moeda")*(Inputs!$G$5:$G$130&lt;&gt;"acoes")))*INDEX(Inputs!$K$5:$AJ$130,0,MATCH(AE$2,Inputs!$K$4:$AJ$4,0)))+SUMPRODUCT((Inputs!$E$5:$E$130=$B62)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2" s="263" t="e">
        <f>IF(ISNA(MATCH(AF$2,Inputs!$K$4:$AJ$4,0)),NA(),IF(SUMPRODUCT((Inputs!$A$5:$A$130=$B62)*ISNUMBER(INDEX(Inputs!$K$5:$AJ$130,0,MATCH(AF$2,Inputs!$K$4:$AJ$4,0))))+SUMPRODUCT((Inputs!$C$5:$C$130=$B62)*ISNUMBER(INDEX(Inputs!$K$5:$AJ$130,0,MATCH(AF$2,Inputs!$K$4:$AJ$4,0))))+SUMPRODUCT((Inputs!$E$5:$E$130=$B62)*ISNUMBER(INDEX(Inputs!$K$5:$AJ$130,0,MATCH(AF$2,Inputs!$K$4:$AJ$4,0))))=0,NA(),SUMPRODUCT((Inputs!$A$5:$A$130=$B62)*Inputs!$B$5:$B$130*(((Inputs!$G$5:$G$130="moeda")+(Inputs!$G$5:$G$130="acoes"))*Inputs!$B$1+((Inputs!$G$5:$G$130&lt;&gt;"moeda")*(Inputs!$G$5:$G$130&lt;&gt;"acoes")))*INDEX(Inputs!$K$5:$AJ$130,0,MATCH(AF$2,Inputs!$K$4:$AJ$4,0)))+SUMPRODUCT((Inputs!$C$5:$C$130=$B62)*Inputs!$D$5:$D$130*(((Inputs!$G$5:$G$130="moeda")+(Inputs!$G$5:$G$130="acoes"))*Inputs!$B$1+((Inputs!$G$5:$G$130&lt;&gt;"moeda")*(Inputs!$G$5:$G$130&lt;&gt;"acoes")))*INDEX(Inputs!$K$5:$AJ$130,0,MATCH(AF$2,Inputs!$K$4:$AJ$4,0)))+SUMPRODUCT((Inputs!$E$5:$E$130=$B62)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$130=$B62)*ISNUMBER(INDEX(Inputs!$K$5:$AJ$130,0,MATCH(AH$2,Inputs!$K$4:$AJ$4,0))))+SUMPRODUCT((Inputs!$C$5:$C$130=$B62)*ISNUMBER(INDEX(Inputs!$K$5:$AJ$130,0,MATCH(AH$2,Inputs!$K$4:$AJ$4,0))))+SUMPRODUCT((Inputs!$E$5:$E$130=$B62)*ISNUMBER(INDEX(Inputs!$K$5:$AJ$130,0,MATCH(AH$2,Inputs!$K$4:$AJ$4,0))))=0,NA(),SUMPRODUCT((Inputs!$A$5:$A$130=$B62)*Inputs!$B$5:$B$130*(((Inputs!$G$5:$G$130="moeda")+(Inputs!$G$5:$G$130="acoes"))*Inputs!$B$1+((Inputs!$G$5:$G$130&lt;&gt;"moeda")*(Inputs!$G$5:$G$130&lt;&gt;"acoes")))*INDEX(Inputs!$K$5:$AJ$130,0,MATCH(AH$2,Inputs!$K$4:$AJ$4,0)))+SUMPRODUCT((Inputs!$C$5:$C$130=$B62)*Inputs!$D$5:$D$130*(((Inputs!$G$5:$G$130="moeda")+(Inputs!$G$5:$G$130="acoes"))*Inputs!$B$1+((Inputs!$G$5:$G$130&lt;&gt;"moeda")*(Inputs!$G$5:$G$130&lt;&gt;"acoes")))*INDEX(Inputs!$K$5:$AJ$130,0,MATCH(AH$2,Inputs!$K$4:$AJ$4,0)))+SUMPRODUCT((Inputs!$E$5:$E$130=$B62)*Inputs!$F$5:$F$130*(((Inputs!$G$5:$G$130="moeda")+(Inputs!$G$5:$G$130="acoes"))*Inputs!$B$1+((Inputs!$G$5:$G$130&lt;&gt;"moeda")*(Inputs!$G$5:$G$130&lt;&gt;"acoes")))*INDEX(Inputs!$K$5:$AJ$130,0,MATCH(AH$2,Inputs!$K$4:$AJ$4,0)))))</f>
        <v>19</v>
      </c>
      <c r="AI62" s="263">
        <f>IF(ISNA(MATCH(AI$2,Inputs!$K$4:$AJ$4,0)),NA(),IF(SUMPRODUCT((Inputs!$A$5:$A$130=$B62)*ISNUMBER(INDEX(Inputs!$K$5:$AJ$130,0,MATCH(AI$2,Inputs!$K$4:$AJ$4,0))))+SUMPRODUCT((Inputs!$C$5:$C$130=$B62)*ISNUMBER(INDEX(Inputs!$K$5:$AJ$130,0,MATCH(AI$2,Inputs!$K$4:$AJ$4,0))))+SUMPRODUCT((Inputs!$E$5:$E$130=$B62)*ISNUMBER(INDEX(Inputs!$K$5:$AJ$130,0,MATCH(AI$2,Inputs!$K$4:$AJ$4,0))))=0,NA(),SUMPRODUCT((Inputs!$A$5:$A$130=$B62)*Inputs!$B$5:$B$130*(((Inputs!$G$5:$G$130="moeda")+(Inputs!$G$5:$G$130="acoes"))*Inputs!$B$1+((Inputs!$G$5:$G$130&lt;&gt;"moeda")*(Inputs!$G$5:$G$130&lt;&gt;"acoes")))*INDEX(Inputs!$K$5:$AJ$130,0,MATCH(AI$2,Inputs!$K$4:$AJ$4,0)))+SUMPRODUCT((Inputs!$C$5:$C$130=$B62)*Inputs!$D$5:$D$130*(((Inputs!$G$5:$G$130="moeda")+(Inputs!$G$5:$G$130="acoes"))*Inputs!$B$1+((Inputs!$G$5:$G$130&lt;&gt;"moeda")*(Inputs!$G$5:$G$130&lt;&gt;"acoes")))*INDEX(Inputs!$K$5:$AJ$130,0,MATCH(AI$2,Inputs!$K$4:$AJ$4,0)))+SUMPRODUCT((Inputs!$E$5:$E$130=$B62)*Inputs!$F$5:$F$130*(((Inputs!$G$5:$G$130="moeda")+(Inputs!$G$5:$G$130="acoes"))*Inputs!$B$1+((Inputs!$G$5:$G$130&lt;&gt;"moeda")*(Inputs!$G$5:$G$130&lt;&gt;"acoes")))*INDEX(Inputs!$K$5:$AJ$130,0,MATCH(AI$2,Inputs!$K$4:$AJ$4,0)))))</f>
        <v>-102</v>
      </c>
      <c r="AJ62" s="263">
        <f>IF(ISNA(MATCH(AJ$2,Inputs!$K$4:$AJ$4,0)),NA(),IF(SUMPRODUCT((Inputs!$A$5:$A$130=$B62)*ISNUMBER(INDEX(Inputs!$K$5:$AJ$130,0,MATCH(AJ$2,Inputs!$K$4:$AJ$4,0))))+SUMPRODUCT((Inputs!$C$5:$C$130=$B62)*ISNUMBER(INDEX(Inputs!$K$5:$AJ$130,0,MATCH(AJ$2,Inputs!$K$4:$AJ$4,0))))+SUMPRODUCT((Inputs!$E$5:$E$130=$B62)*ISNUMBER(INDEX(Inputs!$K$5:$AJ$130,0,MATCH(AJ$2,Inputs!$K$4:$AJ$4,0))))=0,NA(),SUMPRODUCT((Inputs!$A$5:$A$130=$B62)*Inputs!$B$5:$B$130*(((Inputs!$G$5:$G$130="moeda")+(Inputs!$G$5:$G$130="acoes"))*Inputs!$B$1+((Inputs!$G$5:$G$130&lt;&gt;"moeda")*(Inputs!$G$5:$G$130&lt;&gt;"acoes")))*INDEX(Inputs!$K$5:$AJ$130,0,MATCH(AJ$2,Inputs!$K$4:$AJ$4,0)))+SUMPRODUCT((Inputs!$C$5:$C$130=$B62)*Inputs!$D$5:$D$130*(((Inputs!$G$5:$G$130="moeda")+(Inputs!$G$5:$G$130="acoes"))*Inputs!$B$1+((Inputs!$G$5:$G$130&lt;&gt;"moeda")*(Inputs!$G$5:$G$130&lt;&gt;"acoes")))*INDEX(Inputs!$K$5:$AJ$130,0,MATCH(AJ$2,Inputs!$K$4:$AJ$4,0)))+SUMPRODUCT((Inputs!$E$5:$E$130=$B62)*Inputs!$F$5:$F$130*(((Inputs!$G$5:$G$130="moeda")+(Inputs!$G$5:$G$130="acoes"))*Inputs!$B$1+((Inputs!$G$5:$G$130&lt;&gt;"moeda")*(Inputs!$G$5:$G$130&lt;&gt;"acoes")))*INDEX(Inputs!$K$5:$AJ$130,0,MATCH(AJ$2,Inputs!$K$4:$AJ$4,0)))))</f>
        <v>-31</v>
      </c>
      <c r="AK62" s="263">
        <f>IF(ISNA(MATCH(AK$2,Inputs!$K$4:$AJ$4,0)),NA(),IF(SUMPRODUCT((Inputs!$A$5:$A$130=$B62)*ISNUMBER(INDEX(Inputs!$K$5:$AJ$130,0,MATCH(AK$2,Inputs!$K$4:$AJ$4,0))))+SUMPRODUCT((Inputs!$C$5:$C$130=$B62)*ISNUMBER(INDEX(Inputs!$K$5:$AJ$130,0,MATCH(AK$2,Inputs!$K$4:$AJ$4,0))))+SUMPRODUCT((Inputs!$E$5:$E$130=$B62)*ISNUMBER(INDEX(Inputs!$K$5:$AJ$130,0,MATCH(AK$2,Inputs!$K$4:$AJ$4,0))))=0,NA(),SUMPRODUCT((Inputs!$A$5:$A$130=$B62)*Inputs!$B$5:$B$130*(((Inputs!$G$5:$G$130="moeda")+(Inputs!$G$5:$G$130="acoes"))*Inputs!$B$1+((Inputs!$G$5:$G$130&lt;&gt;"moeda")*(Inputs!$G$5:$G$130&lt;&gt;"acoes")))*INDEX(Inputs!$K$5:$AJ$130,0,MATCH(AK$2,Inputs!$K$4:$AJ$4,0)))+SUMPRODUCT((Inputs!$C$5:$C$130=$B62)*Inputs!$D$5:$D$130*(((Inputs!$G$5:$G$130="moeda")+(Inputs!$G$5:$G$130="acoes"))*Inputs!$B$1+((Inputs!$G$5:$G$130&lt;&gt;"moeda")*(Inputs!$G$5:$G$130&lt;&gt;"acoes")))*INDEX(Inputs!$K$5:$AJ$130,0,MATCH(AK$2,Inputs!$K$4:$AJ$4,0)))+SUMPRODUCT((Inputs!$E$5:$E$130=$B62)*Inputs!$F$5:$F$130*(((Inputs!$G$5:$G$130="moeda")+(Inputs!$G$5:$G$130="acoes"))*Inputs!$B$1+((Inputs!$G$5:$G$130&lt;&gt;"moeda")*(Inputs!$G$5:$G$130&lt;&gt;"acoes")))*INDEX(Inputs!$K$5:$AJ$130,0,MATCH(AK$2,Inputs!$K$4:$AJ$4,0)))))</f>
        <v>-9</v>
      </c>
      <c r="AL62" s="264">
        <f>SUM(AH62:AK62)</f>
        <v>-123</v>
      </c>
    </row>
    <row r="63">
      <c r="B63" s="46" t="n">
        <v>55</v>
      </c>
      <c r="C63" s="29" t="inlineStr">
        <is>
          <t>Receita Bottling Investments (USD)</t>
        </is>
      </c>
      <c r="D63" s="263">
        <f>IF(ISNA(MATCH(D$2,Inputs!$K$4:$AJ$4,0)),NA(),IF(SUMPRODUCT((Inputs!$A$5:$A$130=$B63)*ISNUMBER(INDEX(Inputs!$K$5:$AJ$130,0,MATCH(D$2,Inputs!$K$4:$AJ$4,0))))+SUMPRODUCT((Inputs!$C$5:$C$130=$B63)*ISNUMBER(INDEX(Inputs!$K$5:$AJ$130,0,MATCH(D$2,Inputs!$K$4:$AJ$4,0))))+SUMPRODUCT((Inputs!$E$5:$E$130=$B63)*ISNUMBER(INDEX(Inputs!$K$5:$AJ$130,0,MATCH(D$2,Inputs!$K$4:$AJ$4,0))))=0,NA(),SUMPRODUCT((Inputs!$A$5:$A$130=$B63)*Inputs!$B$5:$B$130*(((Inputs!$G$5:$G$130="moeda")+(Inputs!$G$5:$G$130="acoes"))*Inputs!$B$1+((Inputs!$G$5:$G$130&lt;&gt;"moeda")*(Inputs!$G$5:$G$130&lt;&gt;"acoes")))*INDEX(Inputs!$K$5:$AJ$130,0,MATCH(D$2,Inputs!$K$4:$AJ$4,0)))+SUMPRODUCT((Inputs!$C$5:$C$130=$B63)*Inputs!$D$5:$D$130*(((Inputs!$G$5:$G$130="moeda")+(Inputs!$G$5:$G$130="acoes"))*Inputs!$B$1+((Inputs!$G$5:$G$130&lt;&gt;"moeda")*(Inputs!$G$5:$G$130&lt;&gt;"acoes")))*INDEX(Inputs!$K$5:$AJ$130,0,MATCH(D$2,Inputs!$K$4:$AJ$4,0)))+SUMPRODUCT((Inputs!$E$5:$E$130=$B63)*Inputs!$F$5:$F$130*(((Inputs!$G$5:$G$130="moeda")+(Inputs!$G$5:$G$130="acoes"))*Inputs!$B$1+((Inputs!$G$5:$G$130&lt;&gt;"moeda")*(Inputs!$G$5:$G$130&lt;&gt;"acoes")))*INDEX(Inputs!$K$5:$AJ$130,0,MATCH(D$2,Inputs!$K$4:$AJ$4,0)))))</f>
        <v>1896</v>
      </c>
      <c r="E63" s="263">
        <f>IF(ISNA(MATCH(E$2,Inputs!$K$4:$AJ$4,0)),NA(),IF(SUMPRODUCT((Inputs!$A$5:$A$130=$B63)*ISNUMBER(INDEX(Inputs!$K$5:$AJ$130,0,MATCH(E$2,Inputs!$K$4:$AJ$4,0))))+SUMPRODUCT((Inputs!$C$5:$C$130=$B63)*ISNUMBER(INDEX(Inputs!$K$5:$AJ$130,0,MATCH(E$2,Inputs!$K$4:$AJ$4,0))))+SUMPRODUCT((Inputs!$E$5:$E$130=$B63)*ISNUMBER(INDEX(Inputs!$K$5:$AJ$130,0,MATCH(E$2,Inputs!$K$4:$AJ$4,0))))=0,NA(),SUMPRODUCT((Inputs!$A$5:$A$130=$B63)*Inputs!$B$5:$B$130*(((Inputs!$G$5:$G$130="moeda")+(Inputs!$G$5:$G$130="acoes"))*Inputs!$B$1+((Inputs!$G$5:$G$130&lt;&gt;"moeda")*(Inputs!$G$5:$G$130&lt;&gt;"acoes")))*INDEX(Inputs!$K$5:$AJ$130,0,MATCH(E$2,Inputs!$K$4:$AJ$4,0)))+SUMPRODUCT((Inputs!$C$5:$C$130=$B63)*Inputs!$D$5:$D$130*(((Inputs!$G$5:$G$130="moeda")+(Inputs!$G$5:$G$130="acoes"))*Inputs!$B$1+((Inputs!$G$5:$G$130&lt;&gt;"moeda")*(Inputs!$G$5:$G$130&lt;&gt;"acoes")))*INDEX(Inputs!$K$5:$AJ$130,0,MATCH(E$2,Inputs!$K$4:$AJ$4,0)))+SUMPRODUCT((Inputs!$E$5:$E$130=$B63)*Inputs!$F$5:$F$130*(((Inputs!$G$5:$G$130="moeda")+(Inputs!$G$5:$G$130="acoes"))*Inputs!$B$1+((Inputs!$G$5:$G$130&lt;&gt;"moeda")*(Inputs!$G$5:$G$130&lt;&gt;"acoes")))*INDEX(Inputs!$K$5:$AJ$130,0,MATCH(E$2,Inputs!$K$4:$AJ$4,0)))))</f>
        <v>1738</v>
      </c>
      <c r="F63" s="263">
        <f>IF(ISNA(MATCH(F$2,Inputs!$K$4:$AJ$4,0)),NA(),IF(SUMPRODUCT((Inputs!$A$5:$A$130=$B63)*ISNUMBER(INDEX(Inputs!$K$5:$AJ$130,0,MATCH(F$2,Inputs!$K$4:$AJ$4,0))))+SUMPRODUCT((Inputs!$C$5:$C$130=$B63)*ISNUMBER(INDEX(Inputs!$K$5:$AJ$130,0,MATCH(F$2,Inputs!$K$4:$AJ$4,0))))+SUMPRODUCT((Inputs!$E$5:$E$130=$B63)*ISNUMBER(INDEX(Inputs!$K$5:$AJ$130,0,MATCH(F$2,Inputs!$K$4:$AJ$4,0))))=0,NA(),SUMPRODUCT((Inputs!$A$5:$A$130=$B63)*Inputs!$B$5:$B$130*(((Inputs!$G$5:$G$130="moeda")+(Inputs!$G$5:$G$130="acoes"))*Inputs!$B$1+((Inputs!$G$5:$G$130&lt;&gt;"moeda")*(Inputs!$G$5:$G$130&lt;&gt;"acoes")))*INDEX(Inputs!$K$5:$AJ$130,0,MATCH(F$2,Inputs!$K$4:$AJ$4,0)))+SUMPRODUCT((Inputs!$C$5:$C$130=$B63)*Inputs!$D$5:$D$130*(((Inputs!$G$5:$G$130="moeda")+(Inputs!$G$5:$G$130="acoes"))*Inputs!$B$1+((Inputs!$G$5:$G$130&lt;&gt;"moeda")*(Inputs!$G$5:$G$130&lt;&gt;"acoes")))*INDEX(Inputs!$K$5:$AJ$130,0,MATCH(F$2,Inputs!$K$4:$AJ$4,0)))+SUMPRODUCT((Inputs!$E$5:$E$130=$B63)*Inputs!$F$5:$F$130*(((Inputs!$G$5:$G$130="moeda")+(Inputs!$G$5:$G$130="acoes"))*Inputs!$B$1+((Inputs!$G$5:$G$130&lt;&gt;"moeda")*(Inputs!$G$5:$G$130&lt;&gt;"acoes")))*INDEX(Inputs!$K$5:$AJ$130,0,MATCH(F$2,Inputs!$K$4:$AJ$4,0)))))</f>
        <v>1665</v>
      </c>
      <c r="G63" s="263">
        <f>IF(ISNA(MATCH(G$2,Inputs!$K$4:$AJ$4,0)),NA(),IF(SUMPRODUCT((Inputs!$A$5:$A$130=$B63)*ISNUMBER(INDEX(Inputs!$K$5:$AJ$130,0,MATCH(G$2,Inputs!$K$4:$AJ$4,0))))+SUMPRODUCT((Inputs!$C$5:$C$130=$B63)*ISNUMBER(INDEX(Inputs!$K$5:$AJ$130,0,MATCH(G$2,Inputs!$K$4:$AJ$4,0))))+SUMPRODUCT((Inputs!$E$5:$E$130=$B63)*ISNUMBER(INDEX(Inputs!$K$5:$AJ$130,0,MATCH(G$2,Inputs!$K$4:$AJ$4,0))))=0,NA(),SUMPRODUCT((Inputs!$A$5:$A$130=$B63)*Inputs!$B$5:$B$130*(((Inputs!$G$5:$G$130="moeda")+(Inputs!$G$5:$G$130="acoes"))*Inputs!$B$1+((Inputs!$G$5:$G$130&lt;&gt;"moeda")*(Inputs!$G$5:$G$130&lt;&gt;"acoes")))*INDEX(Inputs!$K$5:$AJ$130,0,MATCH(G$2,Inputs!$K$4:$AJ$4,0)))+SUMPRODUCT((Inputs!$C$5:$C$130=$B63)*Inputs!$D$5:$D$130*(((Inputs!$G$5:$G$130="moeda")+(Inputs!$G$5:$G$130="acoes"))*Inputs!$B$1+((Inputs!$G$5:$G$130&lt;&gt;"moeda")*(Inputs!$G$5:$G$130&lt;&gt;"acoes")))*INDEX(Inputs!$K$5:$AJ$130,0,MATCH(G$2,Inputs!$K$4:$AJ$4,0)))+SUMPRODUCT((Inputs!$E$5:$E$130=$B63)*Inputs!$F$5:$F$130*(((Inputs!$G$5:$G$130="moeda")+(Inputs!$G$5:$G$130="acoes"))*Inputs!$B$1+((Inputs!$G$5:$G$130&lt;&gt;"moeda")*(Inputs!$G$5:$G$130&lt;&gt;"acoes")))*INDEX(Inputs!$K$5:$AJ$130,0,MATCH(G$2,Inputs!$K$4:$AJ$4,0)))))</f>
        <v>1904</v>
      </c>
      <c r="H63" s="264">
        <f>SUM(D63:G63)</f>
        <v>7203</v>
      </c>
      <c r="I63" s="263">
        <f>IF(ISNA(MATCH(I$2,Inputs!$K$4:$AJ$4,0)),NA(),IF(SUMPRODUCT((Inputs!$A$5:$A$130=$B63)*ISNUMBER(INDEX(Inputs!$K$5:$AJ$130,0,MATCH(I$2,Inputs!$K$4:$AJ$4,0))))+SUMPRODUCT((Inputs!$C$5:$C$130=$B63)*ISNUMBER(INDEX(Inputs!$K$5:$AJ$130,0,MATCH(I$2,Inputs!$K$4:$AJ$4,0))))+SUMPRODUCT((Inputs!$E$5:$E$130=$B63)*ISNUMBER(INDEX(Inputs!$K$5:$AJ$130,0,MATCH(I$2,Inputs!$K$4:$AJ$4,0))))=0,NA(),SUMPRODUCT((Inputs!$A$5:$A$130=$B63)*Inputs!$B$5:$B$130*(((Inputs!$G$5:$G$130="moeda")+(Inputs!$G$5:$G$130="acoes"))*Inputs!$B$1+((Inputs!$G$5:$G$130&lt;&gt;"moeda")*(Inputs!$G$5:$G$130&lt;&gt;"acoes")))*INDEX(Inputs!$K$5:$AJ$130,0,MATCH(I$2,Inputs!$K$4:$AJ$4,0)))+SUMPRODUCT((Inputs!$C$5:$C$130=$B63)*Inputs!$D$5:$D$130*(((Inputs!$G$5:$G$130="moeda")+(Inputs!$G$5:$G$130="acoes"))*Inputs!$B$1+((Inputs!$G$5:$G$130&lt;&gt;"moeda")*(Inputs!$G$5:$G$130&lt;&gt;"acoes")))*INDEX(Inputs!$K$5:$AJ$130,0,MATCH(I$2,Inputs!$K$4:$AJ$4,0)))+SUMPRODUCT((Inputs!$E$5:$E$130=$B63)*Inputs!$F$5:$F$130*(((Inputs!$G$5:$G$130="moeda")+(Inputs!$G$5:$G$130="acoes"))*Inputs!$B$1+((Inputs!$G$5:$G$130&lt;&gt;"moeda")*(Inputs!$G$5:$G$130&lt;&gt;"acoes")))*INDEX(Inputs!$K$5:$AJ$130,0,MATCH(I$2,Inputs!$K$4:$AJ$4,0)))))</f>
        <v>2044</v>
      </c>
      <c r="J63" s="263">
        <f>IF(ISNA(MATCH(J$2,Inputs!$K$4:$AJ$4,0)),NA(),IF(SUMPRODUCT((Inputs!$A$5:$A$130=$B63)*ISNUMBER(INDEX(Inputs!$K$5:$AJ$130,0,MATCH(J$2,Inputs!$K$4:$AJ$4,0))))+SUMPRODUCT((Inputs!$C$5:$C$130=$B63)*ISNUMBER(INDEX(Inputs!$K$5:$AJ$130,0,MATCH(J$2,Inputs!$K$4:$AJ$4,0))))+SUMPRODUCT((Inputs!$E$5:$E$130=$B63)*ISNUMBER(INDEX(Inputs!$K$5:$AJ$130,0,MATCH(J$2,Inputs!$K$4:$AJ$4,0))))=0,NA(),SUMPRODUCT((Inputs!$A$5:$A$130=$B63)*Inputs!$B$5:$B$130*(((Inputs!$G$5:$G$130="moeda")+(Inputs!$G$5:$G$130="acoes"))*Inputs!$B$1+((Inputs!$G$5:$G$130&lt;&gt;"moeda")*(Inputs!$G$5:$G$130&lt;&gt;"acoes")))*INDEX(Inputs!$K$5:$AJ$130,0,MATCH(J$2,Inputs!$K$4:$AJ$4,0)))+SUMPRODUCT((Inputs!$C$5:$C$130=$B63)*Inputs!$D$5:$D$130*(((Inputs!$G$5:$G$130="moeda")+(Inputs!$G$5:$G$130="acoes"))*Inputs!$B$1+((Inputs!$G$5:$G$130&lt;&gt;"moeda")*(Inputs!$G$5:$G$130&lt;&gt;"acoes")))*INDEX(Inputs!$K$5:$AJ$130,0,MATCH(J$2,Inputs!$K$4:$AJ$4,0)))+SUMPRODUCT((Inputs!$E$5:$E$130=$B63)*Inputs!$F$5:$F$130*(((Inputs!$G$5:$G$130="moeda")+(Inputs!$G$5:$G$130="acoes"))*Inputs!$B$1+((Inputs!$G$5:$G$130&lt;&gt;"moeda")*(Inputs!$G$5:$G$130&lt;&gt;"acoes")))*INDEX(Inputs!$K$5:$AJ$130,0,MATCH(J$2,Inputs!$K$4:$AJ$4,0)))))</f>
        <v>2079</v>
      </c>
      <c r="K63" s="263">
        <f>IF(ISNA(MATCH(K$2,Inputs!$K$4:$AJ$4,0)),NA(),IF(SUMPRODUCT((Inputs!$A$5:$A$130=$B63)*ISNUMBER(INDEX(Inputs!$K$5:$AJ$130,0,MATCH(K$2,Inputs!$K$4:$AJ$4,0))))+SUMPRODUCT((Inputs!$C$5:$C$130=$B63)*ISNUMBER(INDEX(Inputs!$K$5:$AJ$130,0,MATCH(K$2,Inputs!$K$4:$AJ$4,0))))+SUMPRODUCT((Inputs!$E$5:$E$130=$B63)*ISNUMBER(INDEX(Inputs!$K$5:$AJ$130,0,MATCH(K$2,Inputs!$K$4:$AJ$4,0))))=0,NA(),SUMPRODUCT((Inputs!$A$5:$A$130=$B63)*Inputs!$B$5:$B$130*(((Inputs!$G$5:$G$130="moeda")+(Inputs!$G$5:$G$130="acoes"))*Inputs!$B$1+((Inputs!$G$5:$G$130&lt;&gt;"moeda")*(Inputs!$G$5:$G$130&lt;&gt;"acoes")))*INDEX(Inputs!$K$5:$AJ$130,0,MATCH(K$2,Inputs!$K$4:$AJ$4,0)))+SUMPRODUCT((Inputs!$C$5:$C$130=$B63)*Inputs!$D$5:$D$130*(((Inputs!$G$5:$G$130="moeda")+(Inputs!$G$5:$G$130="acoes"))*Inputs!$B$1+((Inputs!$G$5:$G$130&lt;&gt;"moeda")*(Inputs!$G$5:$G$130&lt;&gt;"acoes")))*INDEX(Inputs!$K$5:$AJ$130,0,MATCH(K$2,Inputs!$K$4:$AJ$4,0)))+SUMPRODUCT((Inputs!$E$5:$E$130=$B63)*Inputs!$F$5:$F$130*(((Inputs!$G$5:$G$130="moeda")+(Inputs!$G$5:$G$130="acoes"))*Inputs!$B$1+((Inputs!$G$5:$G$130&lt;&gt;"moeda")*(Inputs!$G$5:$G$130&lt;&gt;"acoes")))*INDEX(Inputs!$K$5:$AJ$130,0,MATCH(K$2,Inputs!$K$4:$AJ$4,0)))))</f>
        <v>1786</v>
      </c>
      <c r="L63" s="263">
        <f>IF(ISNA(MATCH(L$2,Inputs!$K$4:$AJ$4,0)),NA(),IF(SUMPRODUCT((Inputs!$A$5:$A$130=$B63)*ISNUMBER(INDEX(Inputs!$K$5:$AJ$130,0,MATCH(L$2,Inputs!$K$4:$AJ$4,0))))+SUMPRODUCT((Inputs!$C$5:$C$130=$B63)*ISNUMBER(INDEX(Inputs!$K$5:$AJ$130,0,MATCH(L$2,Inputs!$K$4:$AJ$4,0))))+SUMPRODUCT((Inputs!$E$5:$E$130=$B63)*ISNUMBER(INDEX(Inputs!$K$5:$AJ$130,0,MATCH(L$2,Inputs!$K$4:$AJ$4,0))))=0,NA(),SUMPRODUCT((Inputs!$A$5:$A$130=$B63)*Inputs!$B$5:$B$130*(((Inputs!$G$5:$G$130="moeda")+(Inputs!$G$5:$G$130="acoes"))*Inputs!$B$1+((Inputs!$G$5:$G$130&lt;&gt;"moeda")*(Inputs!$G$5:$G$130&lt;&gt;"acoes")))*INDEX(Inputs!$K$5:$AJ$130,0,MATCH(L$2,Inputs!$K$4:$AJ$4,0)))+SUMPRODUCT((Inputs!$C$5:$C$130=$B63)*Inputs!$D$5:$D$130*(((Inputs!$G$5:$G$130="moeda")+(Inputs!$G$5:$G$130="acoes"))*Inputs!$B$1+((Inputs!$G$5:$G$130&lt;&gt;"moeda")*(Inputs!$G$5:$G$130&lt;&gt;"acoes")))*INDEX(Inputs!$K$5:$AJ$130,0,MATCH(L$2,Inputs!$K$4:$AJ$4,0)))+SUMPRODUCT((Inputs!$E$5:$E$130=$B63)*Inputs!$F$5:$F$130*(((Inputs!$G$5:$G$130="moeda")+(Inputs!$G$5:$G$130="acoes"))*Inputs!$B$1+((Inputs!$G$5:$G$130&lt;&gt;"moeda")*(Inputs!$G$5:$G$130&lt;&gt;"acoes")))*INDEX(Inputs!$K$5:$AJ$130,0,MATCH(L$2,Inputs!$K$4:$AJ$4,0)))))</f>
        <v>1982</v>
      </c>
      <c r="M63" s="264">
        <f>SUM(I63:L63)</f>
        <v>7891</v>
      </c>
      <c r="N63" s="263">
        <f>IF(ISNA(MATCH(N$2,Inputs!$K$4:$AJ$4,0)),NA(),IF(SUMPRODUCT((Inputs!$A$5:$A$130=$B63)*ISNUMBER(INDEX(Inputs!$K$5:$AJ$130,0,MATCH(N$2,Inputs!$K$4:$AJ$4,0))))+SUMPRODUCT((Inputs!$C$5:$C$130=$B63)*ISNUMBER(INDEX(Inputs!$K$5:$AJ$130,0,MATCH(N$2,Inputs!$K$4:$AJ$4,0))))+SUMPRODUCT((Inputs!$E$5:$E$130=$B63)*ISNUMBER(INDEX(Inputs!$K$5:$AJ$130,0,MATCH(N$2,Inputs!$K$4:$AJ$4,0))))=0,NA(),SUMPRODUCT((Inputs!$A$5:$A$130=$B63)*Inputs!$B$5:$B$130*(((Inputs!$G$5:$G$130="moeda")+(Inputs!$G$5:$G$130="acoes"))*Inputs!$B$1+((Inputs!$G$5:$G$130&lt;&gt;"moeda")*(Inputs!$G$5:$G$130&lt;&gt;"acoes")))*INDEX(Inputs!$K$5:$AJ$130,0,MATCH(N$2,Inputs!$K$4:$AJ$4,0)))+SUMPRODUCT((Inputs!$C$5:$C$130=$B63)*Inputs!$D$5:$D$130*(((Inputs!$G$5:$G$130="moeda")+(Inputs!$G$5:$G$130="acoes"))*Inputs!$B$1+((Inputs!$G$5:$G$130&lt;&gt;"moeda")*(Inputs!$G$5:$G$130&lt;&gt;"acoes")))*INDEX(Inputs!$K$5:$AJ$130,0,MATCH(N$2,Inputs!$K$4:$AJ$4,0)))+SUMPRODUCT((Inputs!$E$5:$E$130=$B63)*Inputs!$F$5:$F$130*(((Inputs!$G$5:$G$130="moeda")+(Inputs!$G$5:$G$130="acoes"))*Inputs!$B$1+((Inputs!$G$5:$G$130&lt;&gt;"moeda")*(Inputs!$G$5:$G$130&lt;&gt;"acoes")))*INDEX(Inputs!$K$5:$AJ$130,0,MATCH(N$2,Inputs!$K$4:$AJ$4,0)))))</f>
        <v>1946</v>
      </c>
      <c r="O63" s="263">
        <f>IF(ISNA(MATCH(O$2,Inputs!$K$4:$AJ$4,0)),NA(),IF(SUMPRODUCT((Inputs!$A$5:$A$130=$B63)*ISNUMBER(INDEX(Inputs!$K$5:$AJ$130,0,MATCH(O$2,Inputs!$K$4:$AJ$4,0))))+SUMPRODUCT((Inputs!$C$5:$C$130=$B63)*ISNUMBER(INDEX(Inputs!$K$5:$AJ$130,0,MATCH(O$2,Inputs!$K$4:$AJ$4,0))))+SUMPRODUCT((Inputs!$E$5:$E$130=$B63)*ISNUMBER(INDEX(Inputs!$K$5:$AJ$130,0,MATCH(O$2,Inputs!$K$4:$AJ$4,0))))=0,NA(),SUMPRODUCT((Inputs!$A$5:$A$130=$B63)*Inputs!$B$5:$B$130*(((Inputs!$G$5:$G$130="moeda")+(Inputs!$G$5:$G$130="acoes"))*Inputs!$B$1+((Inputs!$G$5:$G$130&lt;&gt;"moeda")*(Inputs!$G$5:$G$130&lt;&gt;"acoes")))*INDEX(Inputs!$K$5:$AJ$130,0,MATCH(O$2,Inputs!$K$4:$AJ$4,0)))+SUMPRODUCT((Inputs!$C$5:$C$130=$B63)*Inputs!$D$5:$D$130*(((Inputs!$G$5:$G$130="moeda")+(Inputs!$G$5:$G$130="acoes"))*Inputs!$B$1+((Inputs!$G$5:$G$130&lt;&gt;"moeda")*(Inputs!$G$5:$G$130&lt;&gt;"acoes")))*INDEX(Inputs!$K$5:$AJ$130,0,MATCH(O$2,Inputs!$K$4:$AJ$4,0)))+SUMPRODUCT((Inputs!$E$5:$E$130=$B63)*Inputs!$F$5:$F$130*(((Inputs!$G$5:$G$130="moeda")+(Inputs!$G$5:$G$130="acoes"))*Inputs!$B$1+((Inputs!$G$5:$G$130&lt;&gt;"moeda")*(Inputs!$G$5:$G$130&lt;&gt;"acoes")))*INDEX(Inputs!$K$5:$AJ$130,0,MATCH(O$2,Inputs!$K$4:$AJ$4,0)))))</f>
        <v>2042</v>
      </c>
      <c r="P63" s="263">
        <f>IF(ISNA(MATCH(P$2,Inputs!$K$4:$AJ$4,0)),NA(),IF(SUMPRODUCT((Inputs!$A$5:$A$130=$B63)*ISNUMBER(INDEX(Inputs!$K$5:$AJ$130,0,MATCH(P$2,Inputs!$K$4:$AJ$4,0))))+SUMPRODUCT((Inputs!$C$5:$C$130=$B63)*ISNUMBER(INDEX(Inputs!$K$5:$AJ$130,0,MATCH(P$2,Inputs!$K$4:$AJ$4,0))))+SUMPRODUCT((Inputs!$E$5:$E$130=$B63)*ISNUMBER(INDEX(Inputs!$K$5:$AJ$130,0,MATCH(P$2,Inputs!$K$4:$AJ$4,0))))=0,NA(),SUMPRODUCT((Inputs!$A$5:$A$130=$B63)*Inputs!$B$5:$B$130*(((Inputs!$G$5:$G$130="moeda")+(Inputs!$G$5:$G$130="acoes"))*Inputs!$B$1+((Inputs!$G$5:$G$130&lt;&gt;"moeda")*(Inputs!$G$5:$G$130&lt;&gt;"acoes")))*INDEX(Inputs!$K$5:$AJ$130,0,MATCH(P$2,Inputs!$K$4:$AJ$4,0)))+SUMPRODUCT((Inputs!$C$5:$C$130=$B63)*Inputs!$D$5:$D$130*(((Inputs!$G$5:$G$130="moeda")+(Inputs!$G$5:$G$130="acoes"))*Inputs!$B$1+((Inputs!$G$5:$G$130&lt;&gt;"moeda")*(Inputs!$G$5:$G$130&lt;&gt;"acoes")))*INDEX(Inputs!$K$5:$AJ$130,0,MATCH(P$2,Inputs!$K$4:$AJ$4,0)))+SUMPRODUCT((Inputs!$E$5:$E$130=$B63)*Inputs!$F$5:$F$130*(((Inputs!$G$5:$G$130="moeda")+(Inputs!$G$5:$G$130="acoes"))*Inputs!$B$1+((Inputs!$G$5:$G$130&lt;&gt;"moeda")*(Inputs!$G$5:$G$130&lt;&gt;"acoes")))*INDEX(Inputs!$K$5:$AJ$130,0,MATCH(P$2,Inputs!$K$4:$AJ$4,0)))))</f>
        <v>1859</v>
      </c>
      <c r="Q63" s="263">
        <f>IF(ISNA(MATCH(Q$2,Inputs!$K$4:$AJ$4,0)),NA(),IF(SUMPRODUCT((Inputs!$A$5:$A$130=$B63)*ISNUMBER(INDEX(Inputs!$K$5:$AJ$130,0,MATCH(Q$2,Inputs!$K$4:$AJ$4,0))))+SUMPRODUCT((Inputs!$C$5:$C$130=$B63)*ISNUMBER(INDEX(Inputs!$K$5:$AJ$130,0,MATCH(Q$2,Inputs!$K$4:$AJ$4,0))))+SUMPRODUCT((Inputs!$E$5:$E$130=$B63)*ISNUMBER(INDEX(Inputs!$K$5:$AJ$130,0,MATCH(Q$2,Inputs!$K$4:$AJ$4,0))))=0,NA(),SUMPRODUCT((Inputs!$A$5:$A$130=$B63)*Inputs!$B$5:$B$130*(((Inputs!$G$5:$G$130="moeda")+(Inputs!$G$5:$G$130="acoes"))*Inputs!$B$1+((Inputs!$G$5:$G$130&lt;&gt;"moeda")*(Inputs!$G$5:$G$130&lt;&gt;"acoes")))*INDEX(Inputs!$K$5:$AJ$130,0,MATCH(Q$2,Inputs!$K$4:$AJ$4,0)))+SUMPRODUCT((Inputs!$C$5:$C$130=$B63)*Inputs!$D$5:$D$130*(((Inputs!$G$5:$G$130="moeda")+(Inputs!$G$5:$G$130="acoes"))*Inputs!$B$1+((Inputs!$G$5:$G$130&lt;&gt;"moeda")*(Inputs!$G$5:$G$130&lt;&gt;"acoes")))*INDEX(Inputs!$K$5:$AJ$130,0,MATCH(Q$2,Inputs!$K$4:$AJ$4,0)))+SUMPRODUCT((Inputs!$E$5:$E$130=$B63)*Inputs!$F$5:$F$130*(((Inputs!$G$5:$G$130="moeda")+(Inputs!$G$5:$G$130="acoes"))*Inputs!$B$1+((Inputs!$G$5:$G$130&lt;&gt;"moeda")*(Inputs!$G$5:$G$130&lt;&gt;"acoes")))*INDEX(Inputs!$K$5:$AJ$130,0,MATCH(Q$2,Inputs!$K$4:$AJ$4,0)))))</f>
        <v>2013</v>
      </c>
      <c r="R63" s="264">
        <f>SUM(N63:Q63)</f>
        <v>7860</v>
      </c>
      <c r="S63" s="263">
        <f>IF(ISNA(MATCH(S$2,Inputs!$K$4:$AJ$4,0)),NA(),IF(SUMPRODUCT((Inputs!$A$5:$A$130=$B63)*ISNUMBER(INDEX(Inputs!$K$5:$AJ$130,0,MATCH(S$2,Inputs!$K$4:$AJ$4,0))))+SUMPRODUCT((Inputs!$C$5:$C$130=$B63)*ISNUMBER(INDEX(Inputs!$K$5:$AJ$130,0,MATCH(S$2,Inputs!$K$4:$AJ$4,0))))+SUMPRODUCT((Inputs!$E$5:$E$130=$B63)*ISNUMBER(INDEX(Inputs!$K$5:$AJ$130,0,MATCH(S$2,Inputs!$K$4:$AJ$4,0))))=0,NA(),SUMPRODUCT((Inputs!$A$5:$A$130=$B63)*Inputs!$B$5:$B$130*(((Inputs!$G$5:$G$130="moeda")+(Inputs!$G$5:$G$130="acoes"))*Inputs!$B$1+((Inputs!$G$5:$G$130&lt;&gt;"moeda")*(Inputs!$G$5:$G$130&lt;&gt;"acoes")))*INDEX(Inputs!$K$5:$AJ$130,0,MATCH(S$2,Inputs!$K$4:$AJ$4,0)))+SUMPRODUCT((Inputs!$C$5:$C$130=$B63)*Inputs!$D$5:$D$130*(((Inputs!$G$5:$G$130="moeda")+(Inputs!$G$5:$G$130="acoes"))*Inputs!$B$1+((Inputs!$G$5:$G$130&lt;&gt;"moeda")*(Inputs!$G$5:$G$130&lt;&gt;"acoes")))*INDEX(Inputs!$K$5:$AJ$130,0,MATCH(S$2,Inputs!$K$4:$AJ$4,0)))+SUMPRODUCT((Inputs!$E$5:$E$130=$B63)*Inputs!$F$5:$F$130*(((Inputs!$G$5:$G$130="moeda")+(Inputs!$G$5:$G$130="acoes"))*Inputs!$B$1+((Inputs!$G$5:$G$130&lt;&gt;"moeda")*(Inputs!$G$5:$G$130&lt;&gt;"acoes")))*INDEX(Inputs!$K$5:$AJ$130,0,MATCH(S$2,Inputs!$K$4:$AJ$4,0)))))</f>
        <v>1817</v>
      </c>
      <c r="T63" s="263">
        <f>IF(ISNA(MATCH(T$2,Inputs!$K$4:$AJ$4,0)),NA(),IF(SUMPRODUCT((Inputs!$A$5:$A$130=$B63)*ISNUMBER(INDEX(Inputs!$K$5:$AJ$130,0,MATCH(T$2,Inputs!$K$4:$AJ$4,0))))+SUMPRODUCT((Inputs!$C$5:$C$130=$B63)*ISNUMBER(INDEX(Inputs!$K$5:$AJ$130,0,MATCH(T$2,Inputs!$K$4:$AJ$4,0))))+SUMPRODUCT((Inputs!$E$5:$E$130=$B63)*ISNUMBER(INDEX(Inputs!$K$5:$AJ$130,0,MATCH(T$2,Inputs!$K$4:$AJ$4,0))))=0,NA(),SUMPRODUCT((Inputs!$A$5:$A$130=$B63)*Inputs!$B$5:$B$130*(((Inputs!$G$5:$G$130="moeda")+(Inputs!$G$5:$G$130="acoes"))*Inputs!$B$1+((Inputs!$G$5:$G$130&lt;&gt;"moeda")*(Inputs!$G$5:$G$130&lt;&gt;"acoes")))*INDEX(Inputs!$K$5:$AJ$130,0,MATCH(T$2,Inputs!$K$4:$AJ$4,0)))+SUMPRODUCT((Inputs!$C$5:$C$130=$B63)*Inputs!$D$5:$D$130*(((Inputs!$G$5:$G$130="moeda")+(Inputs!$G$5:$G$130="acoes"))*Inputs!$B$1+((Inputs!$G$5:$G$130&lt;&gt;"moeda")*(Inputs!$G$5:$G$130&lt;&gt;"acoes")))*INDEX(Inputs!$K$5:$AJ$130,0,MATCH(T$2,Inputs!$K$4:$AJ$4,0)))+SUMPRODUCT((Inputs!$E$5:$E$130=$B63)*Inputs!$F$5:$F$130*(((Inputs!$G$5:$G$130="moeda")+(Inputs!$G$5:$G$130="acoes"))*Inputs!$B$1+((Inputs!$G$5:$G$130&lt;&gt;"moeda")*(Inputs!$G$5:$G$130&lt;&gt;"acoes")))*INDEX(Inputs!$K$5:$AJ$130,0,MATCH(T$2,Inputs!$K$4:$AJ$4,0)))))</f>
        <v>1539</v>
      </c>
      <c r="U63" s="263">
        <f>IF(ISNA(MATCH(U$2,Inputs!$K$4:$AJ$4,0)),NA(),IF(SUMPRODUCT((Inputs!$A$5:$A$130=$B63)*ISNUMBER(INDEX(Inputs!$K$5:$AJ$130,0,MATCH(U$2,Inputs!$K$4:$AJ$4,0))))+SUMPRODUCT((Inputs!$C$5:$C$130=$B63)*ISNUMBER(INDEX(Inputs!$K$5:$AJ$130,0,MATCH(U$2,Inputs!$K$4:$AJ$4,0))))+SUMPRODUCT((Inputs!$E$5:$E$130=$B63)*ISNUMBER(INDEX(Inputs!$K$5:$AJ$130,0,MATCH(U$2,Inputs!$K$4:$AJ$4,0))))=0,NA(),SUMPRODUCT((Inputs!$A$5:$A$130=$B63)*Inputs!$B$5:$B$130*(((Inputs!$G$5:$G$130="moeda")+(Inputs!$G$5:$G$130="acoes"))*Inputs!$B$1+((Inputs!$G$5:$G$130&lt;&gt;"moeda")*(Inputs!$G$5:$G$130&lt;&gt;"acoes")))*INDEX(Inputs!$K$5:$AJ$130,0,MATCH(U$2,Inputs!$K$4:$AJ$4,0)))+SUMPRODUCT((Inputs!$C$5:$C$130=$B63)*Inputs!$D$5:$D$130*(((Inputs!$G$5:$G$130="moeda")+(Inputs!$G$5:$G$130="acoes"))*Inputs!$B$1+((Inputs!$G$5:$G$130&lt;&gt;"moeda")*(Inputs!$G$5:$G$130&lt;&gt;"acoes")))*INDEX(Inputs!$K$5:$AJ$130,0,MATCH(U$2,Inputs!$K$4:$AJ$4,0)))+SUMPRODUCT((Inputs!$E$5:$E$130=$B63)*Inputs!$F$5:$F$130*(((Inputs!$G$5:$G$130="moeda")+(Inputs!$G$5:$G$130="acoes"))*Inputs!$B$1+((Inputs!$G$5:$G$130&lt;&gt;"moeda")*(Inputs!$G$5:$G$130&lt;&gt;"acoes")))*INDEX(Inputs!$K$5:$AJ$130,0,MATCH(U$2,Inputs!$K$4:$AJ$4,0)))))</f>
        <v>1316</v>
      </c>
      <c r="V63" s="263">
        <f>IF(ISNA(MATCH(V$2,Inputs!$K$4:$AJ$4,0)),NA(),IF(SUMPRODUCT((Inputs!$A$5:$A$130=$B63)*ISNUMBER(INDEX(Inputs!$K$5:$AJ$130,0,MATCH(V$2,Inputs!$K$4:$AJ$4,0))))+SUMPRODUCT((Inputs!$C$5:$C$130=$B63)*ISNUMBER(INDEX(Inputs!$K$5:$AJ$130,0,MATCH(V$2,Inputs!$K$4:$AJ$4,0))))+SUMPRODUCT((Inputs!$E$5:$E$130=$B63)*ISNUMBER(INDEX(Inputs!$K$5:$AJ$130,0,MATCH(V$2,Inputs!$K$4:$AJ$4,0))))=0,NA(),SUMPRODUCT((Inputs!$A$5:$A$130=$B63)*Inputs!$B$5:$B$130*(((Inputs!$G$5:$G$130="moeda")+(Inputs!$G$5:$G$130="acoes"))*Inputs!$B$1+((Inputs!$G$5:$G$130&lt;&gt;"moeda")*(Inputs!$G$5:$G$130&lt;&gt;"acoes")))*INDEX(Inputs!$K$5:$AJ$130,0,MATCH(V$2,Inputs!$K$4:$AJ$4,0)))+SUMPRODUCT((Inputs!$C$5:$C$130=$B63)*Inputs!$D$5:$D$130*(((Inputs!$G$5:$G$130="moeda")+(Inputs!$G$5:$G$130="acoes"))*Inputs!$B$1+((Inputs!$G$5:$G$130&lt;&gt;"moeda")*(Inputs!$G$5:$G$130&lt;&gt;"acoes")))*INDEX(Inputs!$K$5:$AJ$130,0,MATCH(V$2,Inputs!$K$4:$AJ$4,0)))+SUMPRODUCT((Inputs!$E$5:$E$130=$B63)*Inputs!$F$5:$F$130*(((Inputs!$G$5:$G$130="moeda")+(Inputs!$G$5:$G$130="acoes"))*Inputs!$B$1+((Inputs!$G$5:$G$130&lt;&gt;"moeda")*(Inputs!$G$5:$G$130&lt;&gt;"acoes")))*INDEX(Inputs!$K$5:$AJ$130,0,MATCH(V$2,Inputs!$K$4:$AJ$4,0)))))</f>
        <v>1551</v>
      </c>
      <c r="W63" s="264">
        <f>SUM(S63:V63)</f>
        <v>6223</v>
      </c>
      <c r="X63" s="263">
        <f>IF(ISNA(MATCH(X$2,Inputs!$K$4:$AJ$4,0)),NA(),IF(SUMPRODUCT((Inputs!$A$5:$A$130=$B63)*ISNUMBER(INDEX(Inputs!$K$5:$AJ$130,0,MATCH(X$2,Inputs!$K$4:$AJ$4,0))))+SUMPRODUCT((Inputs!$C$5:$C$130=$B63)*ISNUMBER(INDEX(Inputs!$K$5:$AJ$130,0,MATCH(X$2,Inputs!$K$4:$AJ$4,0))))+SUMPRODUCT((Inputs!$E$5:$E$130=$B63)*ISNUMBER(INDEX(Inputs!$K$5:$AJ$130,0,MATCH(X$2,Inputs!$K$4:$AJ$4,0))))=0,NA(),SUMPRODUCT((Inputs!$A$5:$A$130=$B63)*Inputs!$B$5:$B$130*(((Inputs!$G$5:$G$130="moeda")+(Inputs!$G$5:$G$130="acoes"))*Inputs!$B$1+((Inputs!$G$5:$G$130&lt;&gt;"moeda")*(Inputs!$G$5:$G$130&lt;&gt;"acoes")))*INDEX(Inputs!$K$5:$AJ$130,0,MATCH(X$2,Inputs!$K$4:$AJ$4,0)))+SUMPRODUCT((Inputs!$C$5:$C$130=$B63)*Inputs!$D$5:$D$130*(((Inputs!$G$5:$G$130="moeda")+(Inputs!$G$5:$G$130="acoes"))*Inputs!$B$1+((Inputs!$G$5:$G$130&lt;&gt;"moeda")*(Inputs!$G$5:$G$130&lt;&gt;"acoes")))*INDEX(Inputs!$K$5:$AJ$130,0,MATCH(X$2,Inputs!$K$4:$AJ$4,0)))+SUMPRODUCT((Inputs!$E$5:$E$130=$B63)*Inputs!$F$5:$F$130*(((Inputs!$G$5:$G$130="moeda")+(Inputs!$G$5:$G$130="acoes"))*Inputs!$B$1+((Inputs!$G$5:$G$130&lt;&gt;"moeda")*(Inputs!$G$5:$G$130&lt;&gt;"acoes")))*INDEX(Inputs!$K$5:$AJ$130,0,MATCH(X$2,Inputs!$K$4:$AJ$4,0)))))</f>
        <v>1463</v>
      </c>
      <c r="Y63" s="263">
        <f>IF(ISNA(MATCH(Y$2,Inputs!$K$4:$AJ$4,0)),NA(),IF(SUMPRODUCT((Inputs!$A$5:$A$130=$B63)*ISNUMBER(INDEX(Inputs!$K$5:$AJ$130,0,MATCH(Y$2,Inputs!$K$4:$AJ$4,0))))+SUMPRODUCT((Inputs!$C$5:$C$130=$B63)*ISNUMBER(INDEX(Inputs!$K$5:$AJ$130,0,MATCH(Y$2,Inputs!$K$4:$AJ$4,0))))+SUMPRODUCT((Inputs!$E$5:$E$130=$B63)*ISNUMBER(INDEX(Inputs!$K$5:$AJ$130,0,MATCH(Y$2,Inputs!$K$4:$AJ$4,0))))=0,NA(),SUMPRODUCT((Inputs!$A$5:$A$130=$B63)*Inputs!$B$5:$B$130*(((Inputs!$G$5:$G$130="moeda")+(Inputs!$G$5:$G$130="acoes"))*Inputs!$B$1+((Inputs!$G$5:$G$130&lt;&gt;"moeda")*(Inputs!$G$5:$G$130&lt;&gt;"acoes")))*INDEX(Inputs!$K$5:$AJ$130,0,MATCH(Y$2,Inputs!$K$4:$AJ$4,0)))+SUMPRODUCT((Inputs!$C$5:$C$130=$B63)*Inputs!$D$5:$D$130*(((Inputs!$G$5:$G$130="moeda")+(Inputs!$G$5:$G$130="acoes"))*Inputs!$B$1+((Inputs!$G$5:$G$130&lt;&gt;"moeda")*(Inputs!$G$5:$G$130&lt;&gt;"acoes")))*INDEX(Inputs!$K$5:$AJ$130,0,MATCH(Y$2,Inputs!$K$4:$AJ$4,0)))+SUMPRODUCT((Inputs!$E$5:$E$130=$B63)*Inputs!$F$5:$F$130*(((Inputs!$G$5:$G$130="moeda")+(Inputs!$G$5:$G$130="acoes"))*Inputs!$B$1+((Inputs!$G$5:$G$130&lt;&gt;"moeda")*(Inputs!$G$5:$G$130&lt;&gt;"acoes")))*INDEX(Inputs!$K$5:$AJ$130,0,MATCH(Y$2,Inputs!$K$4:$AJ$4,0)))))</f>
        <v>1411</v>
      </c>
      <c r="Z63" s="263">
        <f>IF(ISNA(MATCH(Z$2,Inputs!$K$4:$AJ$4,0)),NA(),IF(SUMPRODUCT((Inputs!$A$5:$A$130=$B63)*ISNUMBER(INDEX(Inputs!$K$5:$AJ$130,0,MATCH(Z$2,Inputs!$K$4:$AJ$4,0))))+SUMPRODUCT((Inputs!$C$5:$C$130=$B63)*ISNUMBER(INDEX(Inputs!$K$5:$AJ$130,0,MATCH(Z$2,Inputs!$K$4:$AJ$4,0))))+SUMPRODUCT((Inputs!$E$5:$E$130=$B63)*ISNUMBER(INDEX(Inputs!$K$5:$AJ$130,0,MATCH(Z$2,Inputs!$K$4:$AJ$4,0))))=0,NA(),SUMPRODUCT((Inputs!$A$5:$A$130=$B63)*Inputs!$B$5:$B$130*(((Inputs!$G$5:$G$130="moeda")+(Inputs!$G$5:$G$130="acoes"))*Inputs!$B$1+((Inputs!$G$5:$G$130&lt;&gt;"moeda")*(Inputs!$G$5:$G$130&lt;&gt;"acoes")))*INDEX(Inputs!$K$5:$AJ$130,0,MATCH(Z$2,Inputs!$K$4:$AJ$4,0)))+SUMPRODUCT((Inputs!$C$5:$C$130=$B63)*Inputs!$D$5:$D$130*(((Inputs!$G$5:$G$130="moeda")+(Inputs!$G$5:$G$130="acoes"))*Inputs!$B$1+((Inputs!$G$5:$G$130&lt;&gt;"moeda")*(Inputs!$G$5:$G$130&lt;&gt;"acoes")))*INDEX(Inputs!$K$5:$AJ$130,0,MATCH(Z$2,Inputs!$K$4:$AJ$4,0)))+SUMPRODUCT((Inputs!$E$5:$E$130=$B63)*Inputs!$F$5:$F$130*(((Inputs!$G$5:$G$130="moeda")+(Inputs!$G$5:$G$130="acoes"))*Inputs!$B$1+((Inputs!$G$5:$G$130&lt;&gt;"moeda")*(Inputs!$G$5:$G$130&lt;&gt;"acoes")))*INDEX(Inputs!$K$5:$AJ$130,0,MATCH(Z$2,Inputs!$K$4:$AJ$4,0)))))</f>
        <v>1346</v>
      </c>
      <c r="AA63" s="263">
        <f>IF(ISNA(MATCH(AA$2,Inputs!$K$4:$AJ$4,0)),NA(),IF(SUMPRODUCT((Inputs!$A$5:$A$130=$B63)*ISNUMBER(INDEX(Inputs!$K$5:$AJ$130,0,MATCH(AA$2,Inputs!$K$4:$AJ$4,0))))+SUMPRODUCT((Inputs!$C$5:$C$130=$B63)*ISNUMBER(INDEX(Inputs!$K$5:$AJ$130,0,MATCH(AA$2,Inputs!$K$4:$AJ$4,0))))+SUMPRODUCT((Inputs!$E$5:$E$130=$B63)*ISNUMBER(INDEX(Inputs!$K$5:$AJ$130,0,MATCH(AA$2,Inputs!$K$4:$AJ$4,0))))=0,NA(),SUMPRODUCT((Inputs!$A$5:$A$130=$B63)*Inputs!$B$5:$B$130*(((Inputs!$G$5:$G$130="moeda")+(Inputs!$G$5:$G$130="acoes"))*Inputs!$B$1+((Inputs!$G$5:$G$130&lt;&gt;"moeda")*(Inputs!$G$5:$G$130&lt;&gt;"acoes")))*INDEX(Inputs!$K$5:$AJ$130,0,MATCH(AA$2,Inputs!$K$4:$AJ$4,0)))+SUMPRODUCT((Inputs!$C$5:$C$130=$B63)*Inputs!$D$5:$D$130*(((Inputs!$G$5:$G$130="moeda")+(Inputs!$G$5:$G$130="acoes"))*Inputs!$B$1+((Inputs!$G$5:$G$130&lt;&gt;"moeda")*(Inputs!$G$5:$G$130&lt;&gt;"acoes")))*INDEX(Inputs!$K$5:$AJ$130,0,MATCH(AA$2,Inputs!$K$4:$AJ$4,0)))+SUMPRODUCT((Inputs!$E$5:$E$130=$B63)*Inputs!$F$5:$F$130*(((Inputs!$G$5:$G$130="moeda")+(Inputs!$G$5:$G$130="acoes"))*Inputs!$B$1+((Inputs!$G$5:$G$130&lt;&gt;"moeda")*(Inputs!$G$5:$G$130&lt;&gt;"acoes")))*INDEX(Inputs!$K$5:$AJ$130,0,MATCH(AA$2,Inputs!$K$4:$AJ$4,0)))))</f>
        <v>1515</v>
      </c>
      <c r="AB63" s="264">
        <f>SUM(X63:AA63)</f>
        <v>5735</v>
      </c>
      <c r="AC63" s="263">
        <f>IF(ISNA(MATCH(AC$2,Inputs!$K$4:$AJ$4,0)),NA(),IF(SUMPRODUCT((Inputs!$A$5:$A$130=$B63)*ISNUMBER(INDEX(Inputs!$K$5:$AJ$130,0,MATCH(AC$2,Inputs!$K$4:$AJ$4,0))))+SUMPRODUCT((Inputs!$C$5:$C$130=$B63)*ISNUMBER(INDEX(Inputs!$K$5:$AJ$130,0,MATCH(AC$2,Inputs!$K$4:$AJ$4,0))))+SUMPRODUCT((Inputs!$E$5:$E$130=$B63)*ISNUMBER(INDEX(Inputs!$K$5:$AJ$130,0,MATCH(AC$2,Inputs!$K$4:$AJ$4,0))))=0,NA(),SUMPRODUCT((Inputs!$A$5:$A$130=$B63)*Inputs!$B$5:$B$130*(((Inputs!$G$5:$G$130="moeda")+(Inputs!$G$5:$G$130="acoes"))*Inputs!$B$1+((Inputs!$G$5:$G$130&lt;&gt;"moeda")*(Inputs!$G$5:$G$130&lt;&gt;"acoes")))*INDEX(Inputs!$K$5:$AJ$130,0,MATCH(AC$2,Inputs!$K$4:$AJ$4,0)))+SUMPRODUCT((Inputs!$C$5:$C$130=$B63)*Inputs!$D$5:$D$130*(((Inputs!$G$5:$G$130="moeda")+(Inputs!$G$5:$G$130="acoes"))*Inputs!$B$1+((Inputs!$G$5:$G$130&lt;&gt;"moeda")*(Inputs!$G$5:$G$130&lt;&gt;"acoes")))*INDEX(Inputs!$K$5:$AJ$130,0,MATCH(AC$2,Inputs!$K$4:$AJ$4,0)))+SUMPRODUCT((Inputs!$E$5:$E$130=$B63)*Inputs!$F$5:$F$130*(((Inputs!$G$5:$G$130="moeda")+(Inputs!$G$5:$G$130="acoes"))*Inputs!$B$1+((Inputs!$G$5:$G$130&lt;&gt;"moeda")*(Inputs!$G$5:$G$130&lt;&gt;"acoes")))*INDEX(Inputs!$K$5:$AJ$130,0,MATCH(AC$2,Inputs!$K$4:$AJ$4,0)))))</f>
        <v>1640</v>
      </c>
      <c r="AD63" s="263">
        <f>IF(ISNA(MATCH(AD$2,Inputs!$K$4:$AJ$4,0)),NA(),IF(SUMPRODUCT((Inputs!$A$5:$A$130=$B63)*ISNUMBER(INDEX(Inputs!$K$5:$AJ$130,0,MATCH(AD$2,Inputs!$K$4:$AJ$4,0))))+SUMPRODUCT((Inputs!$C$5:$C$130=$B63)*ISNUMBER(INDEX(Inputs!$K$5:$AJ$130,0,MATCH(AD$2,Inputs!$K$4:$AJ$4,0))))+SUMPRODUCT((Inputs!$E$5:$E$130=$B63)*ISNUMBER(INDEX(Inputs!$K$5:$AJ$130,0,MATCH(AD$2,Inputs!$K$4:$AJ$4,0))))=0,NA(),SUMPRODUCT((Inputs!$A$5:$A$130=$B63)*Inputs!$B$5:$B$130*(((Inputs!$G$5:$G$130="moeda")+(Inputs!$G$5:$G$130="acoes"))*Inputs!$B$1+((Inputs!$G$5:$G$130&lt;&gt;"moeda")*(Inputs!$G$5:$G$130&lt;&gt;"acoes")))*INDEX(Inputs!$K$5:$AJ$130,0,MATCH(AD$2,Inputs!$K$4:$AJ$4,0)))+SUMPRODUCT((Inputs!$C$5:$C$130=$B63)*Inputs!$D$5:$D$130*(((Inputs!$G$5:$G$130="moeda")+(Inputs!$G$5:$G$130="acoes"))*Inputs!$B$1+((Inputs!$G$5:$G$130&lt;&gt;"moeda")*(Inputs!$G$5:$G$130&lt;&gt;"acoes")))*INDEX(Inputs!$K$5:$AJ$130,0,MATCH(AD$2,Inputs!$K$4:$AJ$4,0)))+SUMPRODUCT((Inputs!$E$5:$E$130=$B63)*Inputs!$F$5:$F$130*(((Inputs!$G$5:$G$130="moeda")+(Inputs!$G$5:$G$130="acoes"))*Inputs!$B$1+((Inputs!$G$5:$G$130&lt;&gt;"moeda")*(Inputs!$G$5:$G$130&lt;&gt;"acoes")))*INDEX(Inputs!$K$5:$AJ$130,0,MATCH(AD$2,Inputs!$K$4:$AJ$4,0)))))</f>
        <v>1527</v>
      </c>
      <c r="AE63" s="263" t="e">
        <f>IF(ISNA(MATCH(AE$2,Inputs!$K$4:$AJ$4,0)),NA(),IF(SUMPRODUCT((Inputs!$A$5:$A$130=$B63)*ISNUMBER(INDEX(Inputs!$K$5:$AJ$130,0,MATCH(AE$2,Inputs!$K$4:$AJ$4,0))))+SUMPRODUCT((Inputs!$C$5:$C$130=$B63)*ISNUMBER(INDEX(Inputs!$K$5:$AJ$130,0,MATCH(AE$2,Inputs!$K$4:$AJ$4,0))))+SUMPRODUCT((Inputs!$E$5:$E$130=$B63)*ISNUMBER(INDEX(Inputs!$K$5:$AJ$130,0,MATCH(AE$2,Inputs!$K$4:$AJ$4,0))))=0,NA(),SUMPRODUCT((Inputs!$A$5:$A$130=$B63)*Inputs!$B$5:$B$130*(((Inputs!$G$5:$G$130="moeda")+(Inputs!$G$5:$G$130="acoes"))*Inputs!$B$1+((Inputs!$G$5:$G$130&lt;&gt;"moeda")*(Inputs!$G$5:$G$130&lt;&gt;"acoes")))*INDEX(Inputs!$K$5:$AJ$130,0,MATCH(AE$2,Inputs!$K$4:$AJ$4,0)))+SUMPRODUCT((Inputs!$C$5:$C$130=$B63)*Inputs!$D$5:$D$130*(((Inputs!$G$5:$G$130="moeda")+(Inputs!$G$5:$G$130="acoes"))*Inputs!$B$1+((Inputs!$G$5:$G$130&lt;&gt;"moeda")*(Inputs!$G$5:$G$130&lt;&gt;"acoes")))*INDEX(Inputs!$K$5:$AJ$130,0,MATCH(AE$2,Inputs!$K$4:$AJ$4,0)))+SUMPRODUCT((Inputs!$E$5:$E$130=$B63)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3" s="263" t="e">
        <f>IF(ISNA(MATCH(AF$2,Inputs!$K$4:$AJ$4,0)),NA(),IF(SUMPRODUCT((Inputs!$A$5:$A$130=$B63)*ISNUMBER(INDEX(Inputs!$K$5:$AJ$130,0,MATCH(AF$2,Inputs!$K$4:$AJ$4,0))))+SUMPRODUCT((Inputs!$C$5:$C$130=$B63)*ISNUMBER(INDEX(Inputs!$K$5:$AJ$130,0,MATCH(AF$2,Inputs!$K$4:$AJ$4,0))))+SUMPRODUCT((Inputs!$E$5:$E$130=$B63)*ISNUMBER(INDEX(Inputs!$K$5:$AJ$130,0,MATCH(AF$2,Inputs!$K$4:$AJ$4,0))))=0,NA(),SUMPRODUCT((Inputs!$A$5:$A$130=$B63)*Inputs!$B$5:$B$130*(((Inputs!$G$5:$G$130="moeda")+(Inputs!$G$5:$G$130="acoes"))*Inputs!$B$1+((Inputs!$G$5:$G$130&lt;&gt;"moeda")*(Inputs!$G$5:$G$130&lt;&gt;"acoes")))*INDEX(Inputs!$K$5:$AJ$130,0,MATCH(AF$2,Inputs!$K$4:$AJ$4,0)))+SUMPRODUCT((Inputs!$C$5:$C$130=$B63)*Inputs!$D$5:$D$130*(((Inputs!$G$5:$G$130="moeda")+(Inputs!$G$5:$G$130="acoes"))*Inputs!$B$1+((Inputs!$G$5:$G$130&lt;&gt;"moeda")*(Inputs!$G$5:$G$130&lt;&gt;"acoes")))*INDEX(Inputs!$K$5:$AJ$130,0,MATCH(AF$2,Inputs!$K$4:$AJ$4,0)))+SUMPRODUCT((Inputs!$E$5:$E$130=$B63)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$130=$B63)*ISNUMBER(INDEX(Inputs!$K$5:$AJ$130,0,MATCH(AH$2,Inputs!$K$4:$AJ$4,0))))+SUMPRODUCT((Inputs!$C$5:$C$130=$B63)*ISNUMBER(INDEX(Inputs!$K$5:$AJ$130,0,MATCH(AH$2,Inputs!$K$4:$AJ$4,0))))+SUMPRODUCT((Inputs!$E$5:$E$130=$B63)*ISNUMBER(INDEX(Inputs!$K$5:$AJ$130,0,MATCH(AH$2,Inputs!$K$4:$AJ$4,0))))=0,NA(),SUMPRODUCT((Inputs!$A$5:$A$130=$B63)*Inputs!$B$5:$B$130*(((Inputs!$G$5:$G$130="moeda")+(Inputs!$G$5:$G$130="acoes"))*Inputs!$B$1+((Inputs!$G$5:$G$130&lt;&gt;"moeda")*(Inputs!$G$5:$G$130&lt;&gt;"acoes")))*INDEX(Inputs!$K$5:$AJ$130,0,MATCH(AH$2,Inputs!$K$4:$AJ$4,0)))+SUMPRODUCT((Inputs!$C$5:$C$130=$B63)*Inputs!$D$5:$D$130*(((Inputs!$G$5:$G$130="moeda")+(Inputs!$G$5:$G$130="acoes"))*Inputs!$B$1+((Inputs!$G$5:$G$130&lt;&gt;"moeda")*(Inputs!$G$5:$G$130&lt;&gt;"acoes")))*INDEX(Inputs!$K$5:$AJ$130,0,MATCH(AH$2,Inputs!$K$4:$AJ$4,0)))+SUMPRODUCT((Inputs!$E$5:$E$130=$B63)*Inputs!$F$5:$F$130*(((Inputs!$G$5:$G$130="moeda")+(Inputs!$G$5:$G$130="acoes"))*Inputs!$B$1+((Inputs!$G$5:$G$130&lt;&gt;"moeda")*(Inputs!$G$5:$G$130&lt;&gt;"acoes")))*INDEX(Inputs!$K$5:$AJ$130,0,MATCH(AH$2,Inputs!$K$4:$AJ$4,0)))))</f>
        <v>1658</v>
      </c>
      <c r="AI63" s="263">
        <f>IF(ISNA(MATCH(AI$2,Inputs!$K$4:$AJ$4,0)),NA(),IF(SUMPRODUCT((Inputs!$A$5:$A$130=$B63)*ISNUMBER(INDEX(Inputs!$K$5:$AJ$130,0,MATCH(AI$2,Inputs!$K$4:$AJ$4,0))))+SUMPRODUCT((Inputs!$C$5:$C$130=$B63)*ISNUMBER(INDEX(Inputs!$K$5:$AJ$130,0,MATCH(AI$2,Inputs!$K$4:$AJ$4,0))))+SUMPRODUCT((Inputs!$E$5:$E$130=$B63)*ISNUMBER(INDEX(Inputs!$K$5:$AJ$130,0,MATCH(AI$2,Inputs!$K$4:$AJ$4,0))))=0,NA(),SUMPRODUCT((Inputs!$A$5:$A$130=$B63)*Inputs!$B$5:$B$130*(((Inputs!$G$5:$G$130="moeda")+(Inputs!$G$5:$G$130="acoes"))*Inputs!$B$1+((Inputs!$G$5:$G$130&lt;&gt;"moeda")*(Inputs!$G$5:$G$130&lt;&gt;"acoes")))*INDEX(Inputs!$K$5:$AJ$130,0,MATCH(AI$2,Inputs!$K$4:$AJ$4,0)))+SUMPRODUCT((Inputs!$C$5:$C$130=$B63)*Inputs!$D$5:$D$130*(((Inputs!$G$5:$G$130="moeda")+(Inputs!$G$5:$G$130="acoes"))*Inputs!$B$1+((Inputs!$G$5:$G$130&lt;&gt;"moeda")*(Inputs!$G$5:$G$130&lt;&gt;"acoes")))*INDEX(Inputs!$K$5:$AJ$130,0,MATCH(AI$2,Inputs!$K$4:$AJ$4,0)))+SUMPRODUCT((Inputs!$E$5:$E$130=$B63)*Inputs!$F$5:$F$130*(((Inputs!$G$5:$G$130="moeda")+(Inputs!$G$5:$G$130="acoes"))*Inputs!$B$1+((Inputs!$G$5:$G$130&lt;&gt;"moeda")*(Inputs!$G$5:$G$130&lt;&gt;"acoes")))*INDEX(Inputs!$K$5:$AJ$130,0,MATCH(AI$2,Inputs!$K$4:$AJ$4,0)))))</f>
        <v>1263</v>
      </c>
      <c r="AJ63" s="263">
        <f>IF(ISNA(MATCH(AJ$2,Inputs!$K$4:$AJ$4,0)),NA(),IF(SUMPRODUCT((Inputs!$A$5:$A$130=$B63)*ISNUMBER(INDEX(Inputs!$K$5:$AJ$130,0,MATCH(AJ$2,Inputs!$K$4:$AJ$4,0))))+SUMPRODUCT((Inputs!$C$5:$C$130=$B63)*ISNUMBER(INDEX(Inputs!$K$5:$AJ$130,0,MATCH(AJ$2,Inputs!$K$4:$AJ$4,0))))+SUMPRODUCT((Inputs!$E$5:$E$130=$B63)*ISNUMBER(INDEX(Inputs!$K$5:$AJ$130,0,MATCH(AJ$2,Inputs!$K$4:$AJ$4,0))))=0,NA(),SUMPRODUCT((Inputs!$A$5:$A$130=$B63)*Inputs!$B$5:$B$130*(((Inputs!$G$5:$G$130="moeda")+(Inputs!$G$5:$G$130="acoes"))*Inputs!$B$1+((Inputs!$G$5:$G$130&lt;&gt;"moeda")*(Inputs!$G$5:$G$130&lt;&gt;"acoes")))*INDEX(Inputs!$K$5:$AJ$130,0,MATCH(AJ$2,Inputs!$K$4:$AJ$4,0)))+SUMPRODUCT((Inputs!$C$5:$C$130=$B63)*Inputs!$D$5:$D$130*(((Inputs!$G$5:$G$130="moeda")+(Inputs!$G$5:$G$130="acoes"))*Inputs!$B$1+((Inputs!$G$5:$G$130&lt;&gt;"moeda")*(Inputs!$G$5:$G$130&lt;&gt;"acoes")))*INDEX(Inputs!$K$5:$AJ$130,0,MATCH(AJ$2,Inputs!$K$4:$AJ$4,0)))+SUMPRODUCT((Inputs!$E$5:$E$130=$B63)*Inputs!$F$5:$F$130*(((Inputs!$G$5:$G$130="moeda")+(Inputs!$G$5:$G$130="acoes"))*Inputs!$B$1+((Inputs!$G$5:$G$130&lt;&gt;"moeda")*(Inputs!$G$5:$G$130&lt;&gt;"acoes")))*INDEX(Inputs!$K$5:$AJ$130,0,MATCH(AJ$2,Inputs!$K$4:$AJ$4,0)))))</f>
        <v>1475</v>
      </c>
      <c r="AK63" s="263">
        <f>IF(ISNA(MATCH(AK$2,Inputs!$K$4:$AJ$4,0)),NA(),IF(SUMPRODUCT((Inputs!$A$5:$A$130=$B63)*ISNUMBER(INDEX(Inputs!$K$5:$AJ$130,0,MATCH(AK$2,Inputs!$K$4:$AJ$4,0))))+SUMPRODUCT((Inputs!$C$5:$C$130=$B63)*ISNUMBER(INDEX(Inputs!$K$5:$AJ$130,0,MATCH(AK$2,Inputs!$K$4:$AJ$4,0))))+SUMPRODUCT((Inputs!$E$5:$E$130=$B63)*ISNUMBER(INDEX(Inputs!$K$5:$AJ$130,0,MATCH(AK$2,Inputs!$K$4:$AJ$4,0))))=0,NA(),SUMPRODUCT((Inputs!$A$5:$A$130=$B63)*Inputs!$B$5:$B$130*(((Inputs!$G$5:$G$130="moeda")+(Inputs!$G$5:$G$130="acoes"))*Inputs!$B$1+((Inputs!$G$5:$G$130&lt;&gt;"moeda")*(Inputs!$G$5:$G$130&lt;&gt;"acoes")))*INDEX(Inputs!$K$5:$AJ$130,0,MATCH(AK$2,Inputs!$K$4:$AJ$4,0)))+SUMPRODUCT((Inputs!$C$5:$C$130=$B63)*Inputs!$D$5:$D$130*(((Inputs!$G$5:$G$130="moeda")+(Inputs!$G$5:$G$130="acoes"))*Inputs!$B$1+((Inputs!$G$5:$G$130&lt;&gt;"moeda")*(Inputs!$G$5:$G$130&lt;&gt;"acoes")))*INDEX(Inputs!$K$5:$AJ$130,0,MATCH(AK$2,Inputs!$K$4:$AJ$4,0)))+SUMPRODUCT((Inputs!$E$5:$E$130=$B63)*Inputs!$F$5:$F$130*(((Inputs!$G$5:$G$130="moeda")+(Inputs!$G$5:$G$130="acoes"))*Inputs!$B$1+((Inputs!$G$5:$G$130&lt;&gt;"moeda")*(Inputs!$G$5:$G$130&lt;&gt;"acoes")))*INDEX(Inputs!$K$5:$AJ$130,0,MATCH(AK$2,Inputs!$K$4:$AJ$4,0)))))</f>
        <v>1869</v>
      </c>
      <c r="AL63" s="264">
        <f>SUM(AH63:AK63)</f>
        <v>6265</v>
      </c>
    </row>
    <row r="64">
      <c r="B64" s="46" t="n">
        <v>56</v>
      </c>
      <c r="C64" s="29" t="inlineStr">
        <is>
          <t>Lucro operacional Bottling Investments (USD)</t>
        </is>
      </c>
      <c r="D64" s="263">
        <f>IF(ISNA(MATCH(D$2,Inputs!$K$4:$AJ$4,0)),NA(),IF(SUMPRODUCT((Inputs!$A$5:$A$130=$B64)*ISNUMBER(INDEX(Inputs!$K$5:$AJ$130,0,MATCH(D$2,Inputs!$K$4:$AJ$4,0))))+SUMPRODUCT((Inputs!$C$5:$C$130=$B64)*ISNUMBER(INDEX(Inputs!$K$5:$AJ$130,0,MATCH(D$2,Inputs!$K$4:$AJ$4,0))))+SUMPRODUCT((Inputs!$E$5:$E$130=$B64)*ISNUMBER(INDEX(Inputs!$K$5:$AJ$130,0,MATCH(D$2,Inputs!$K$4:$AJ$4,0))))=0,NA(),SUMPRODUCT((Inputs!$A$5:$A$130=$B64)*Inputs!$B$5:$B$130*(((Inputs!$G$5:$G$130="moeda")+(Inputs!$G$5:$G$130="acoes"))*Inputs!$B$1+((Inputs!$G$5:$G$130&lt;&gt;"moeda")*(Inputs!$G$5:$G$130&lt;&gt;"acoes")))*INDEX(Inputs!$K$5:$AJ$130,0,MATCH(D$2,Inputs!$K$4:$AJ$4,0)))+SUMPRODUCT((Inputs!$C$5:$C$130=$B64)*Inputs!$D$5:$D$130*(((Inputs!$G$5:$G$130="moeda")+(Inputs!$G$5:$G$130="acoes"))*Inputs!$B$1+((Inputs!$G$5:$G$130&lt;&gt;"moeda")*(Inputs!$G$5:$G$130&lt;&gt;"acoes")))*INDEX(Inputs!$K$5:$AJ$130,0,MATCH(D$2,Inputs!$K$4:$AJ$4,0)))+SUMPRODUCT((Inputs!$E$5:$E$130=$B64)*Inputs!$F$5:$F$130*(((Inputs!$G$5:$G$130="moeda")+(Inputs!$G$5:$G$130="acoes"))*Inputs!$B$1+((Inputs!$G$5:$G$130&lt;&gt;"moeda")*(Inputs!$G$5:$G$130&lt;&gt;"acoes")))*INDEX(Inputs!$K$5:$AJ$130,0,MATCH(D$2,Inputs!$K$4:$AJ$4,0)))))</f>
        <v>141</v>
      </c>
      <c r="E64" s="263">
        <f>IF(ISNA(MATCH(E$2,Inputs!$K$4:$AJ$4,0)),NA(),IF(SUMPRODUCT((Inputs!$A$5:$A$130=$B64)*ISNUMBER(INDEX(Inputs!$K$5:$AJ$130,0,MATCH(E$2,Inputs!$K$4:$AJ$4,0))))+SUMPRODUCT((Inputs!$C$5:$C$130=$B64)*ISNUMBER(INDEX(Inputs!$K$5:$AJ$130,0,MATCH(E$2,Inputs!$K$4:$AJ$4,0))))+SUMPRODUCT((Inputs!$E$5:$E$130=$B64)*ISNUMBER(INDEX(Inputs!$K$5:$AJ$130,0,MATCH(E$2,Inputs!$K$4:$AJ$4,0))))=0,NA(),SUMPRODUCT((Inputs!$A$5:$A$130=$B64)*Inputs!$B$5:$B$130*(((Inputs!$G$5:$G$130="moeda")+(Inputs!$G$5:$G$130="acoes"))*Inputs!$B$1+((Inputs!$G$5:$G$130&lt;&gt;"moeda")*(Inputs!$G$5:$G$130&lt;&gt;"acoes")))*INDEX(Inputs!$K$5:$AJ$130,0,MATCH(E$2,Inputs!$K$4:$AJ$4,0)))+SUMPRODUCT((Inputs!$C$5:$C$130=$B64)*Inputs!$D$5:$D$130*(((Inputs!$G$5:$G$130="moeda")+(Inputs!$G$5:$G$130="acoes"))*Inputs!$B$1+((Inputs!$G$5:$G$130&lt;&gt;"moeda")*(Inputs!$G$5:$G$130&lt;&gt;"acoes")))*INDEX(Inputs!$K$5:$AJ$130,0,MATCH(E$2,Inputs!$K$4:$AJ$4,0)))+SUMPRODUCT((Inputs!$E$5:$E$130=$B64)*Inputs!$F$5:$F$130*(((Inputs!$G$5:$G$130="moeda")+(Inputs!$G$5:$G$130="acoes"))*Inputs!$B$1+((Inputs!$G$5:$G$130&lt;&gt;"moeda")*(Inputs!$G$5:$G$130&lt;&gt;"acoes")))*INDEX(Inputs!$K$5:$AJ$130,0,MATCH(E$2,Inputs!$K$4:$AJ$4,0)))))</f>
        <v>92</v>
      </c>
      <c r="F64" s="263">
        <f>IF(ISNA(MATCH(F$2,Inputs!$K$4:$AJ$4,0)),NA(),IF(SUMPRODUCT((Inputs!$A$5:$A$130=$B64)*ISNUMBER(INDEX(Inputs!$K$5:$AJ$130,0,MATCH(F$2,Inputs!$K$4:$AJ$4,0))))+SUMPRODUCT((Inputs!$C$5:$C$130=$B64)*ISNUMBER(INDEX(Inputs!$K$5:$AJ$130,0,MATCH(F$2,Inputs!$K$4:$AJ$4,0))))+SUMPRODUCT((Inputs!$E$5:$E$130=$B64)*ISNUMBER(INDEX(Inputs!$K$5:$AJ$130,0,MATCH(F$2,Inputs!$K$4:$AJ$4,0))))=0,NA(),SUMPRODUCT((Inputs!$A$5:$A$130=$B64)*Inputs!$B$5:$B$130*(((Inputs!$G$5:$G$130="moeda")+(Inputs!$G$5:$G$130="acoes"))*Inputs!$B$1+((Inputs!$G$5:$G$130&lt;&gt;"moeda")*(Inputs!$G$5:$G$130&lt;&gt;"acoes")))*INDEX(Inputs!$K$5:$AJ$130,0,MATCH(F$2,Inputs!$K$4:$AJ$4,0)))+SUMPRODUCT((Inputs!$C$5:$C$130=$B64)*Inputs!$D$5:$D$130*(((Inputs!$G$5:$G$130="moeda")+(Inputs!$G$5:$G$130="acoes"))*Inputs!$B$1+((Inputs!$G$5:$G$130&lt;&gt;"moeda")*(Inputs!$G$5:$G$130&lt;&gt;"acoes")))*INDEX(Inputs!$K$5:$AJ$130,0,MATCH(F$2,Inputs!$K$4:$AJ$4,0)))+SUMPRODUCT((Inputs!$E$5:$E$130=$B64)*Inputs!$F$5:$F$130*(((Inputs!$G$5:$G$130="moeda")+(Inputs!$G$5:$G$130="acoes"))*Inputs!$B$1+((Inputs!$G$5:$G$130&lt;&gt;"moeda")*(Inputs!$G$5:$G$130&lt;&gt;"acoes")))*INDEX(Inputs!$K$5:$AJ$130,0,MATCH(F$2,Inputs!$K$4:$AJ$4,0)))))</f>
        <v>81</v>
      </c>
      <c r="G64" s="263">
        <f>IF(ISNA(MATCH(G$2,Inputs!$K$4:$AJ$4,0)),NA(),IF(SUMPRODUCT((Inputs!$A$5:$A$130=$B64)*ISNUMBER(INDEX(Inputs!$K$5:$AJ$130,0,MATCH(G$2,Inputs!$K$4:$AJ$4,0))))+SUMPRODUCT((Inputs!$C$5:$C$130=$B64)*ISNUMBER(INDEX(Inputs!$K$5:$AJ$130,0,MATCH(G$2,Inputs!$K$4:$AJ$4,0))))+SUMPRODUCT((Inputs!$E$5:$E$130=$B64)*ISNUMBER(INDEX(Inputs!$K$5:$AJ$130,0,MATCH(G$2,Inputs!$K$4:$AJ$4,0))))=0,NA(),SUMPRODUCT((Inputs!$A$5:$A$130=$B64)*Inputs!$B$5:$B$130*(((Inputs!$G$5:$G$130="moeda")+(Inputs!$G$5:$G$130="acoes"))*Inputs!$B$1+((Inputs!$G$5:$G$130&lt;&gt;"moeda")*(Inputs!$G$5:$G$130&lt;&gt;"acoes")))*INDEX(Inputs!$K$5:$AJ$130,0,MATCH(G$2,Inputs!$K$4:$AJ$4,0)))+SUMPRODUCT((Inputs!$C$5:$C$130=$B64)*Inputs!$D$5:$D$130*(((Inputs!$G$5:$G$130="moeda")+(Inputs!$G$5:$G$130="acoes"))*Inputs!$B$1+((Inputs!$G$5:$G$130&lt;&gt;"moeda")*(Inputs!$G$5:$G$130&lt;&gt;"acoes")))*INDEX(Inputs!$K$5:$AJ$130,0,MATCH(G$2,Inputs!$K$4:$AJ$4,0)))+SUMPRODUCT((Inputs!$E$5:$E$130=$B64)*Inputs!$F$5:$F$130*(((Inputs!$G$5:$G$130="moeda")+(Inputs!$G$5:$G$130="acoes"))*Inputs!$B$1+((Inputs!$G$5:$G$130&lt;&gt;"moeda")*(Inputs!$G$5:$G$130&lt;&gt;"acoes")))*INDEX(Inputs!$K$5:$AJ$130,0,MATCH(G$2,Inputs!$K$4:$AJ$4,0)))))</f>
        <v>159</v>
      </c>
      <c r="H64" s="264">
        <f>SUM(D64:G64)</f>
        <v>473</v>
      </c>
      <c r="I64" s="263">
        <f>IF(ISNA(MATCH(I$2,Inputs!$K$4:$AJ$4,0)),NA(),IF(SUMPRODUCT((Inputs!$A$5:$A$130=$B64)*ISNUMBER(INDEX(Inputs!$K$5:$AJ$130,0,MATCH(I$2,Inputs!$K$4:$AJ$4,0))))+SUMPRODUCT((Inputs!$C$5:$C$130=$B64)*ISNUMBER(INDEX(Inputs!$K$5:$AJ$130,0,MATCH(I$2,Inputs!$K$4:$AJ$4,0))))+SUMPRODUCT((Inputs!$E$5:$E$130=$B64)*ISNUMBER(INDEX(Inputs!$K$5:$AJ$130,0,MATCH(I$2,Inputs!$K$4:$AJ$4,0))))=0,NA(),SUMPRODUCT((Inputs!$A$5:$A$130=$B64)*Inputs!$B$5:$B$130*(((Inputs!$G$5:$G$130="moeda")+(Inputs!$G$5:$G$130="acoes"))*Inputs!$B$1+((Inputs!$G$5:$G$130&lt;&gt;"moeda")*(Inputs!$G$5:$G$130&lt;&gt;"acoes")))*INDEX(Inputs!$K$5:$AJ$130,0,MATCH(I$2,Inputs!$K$4:$AJ$4,0)))+SUMPRODUCT((Inputs!$C$5:$C$130=$B64)*Inputs!$D$5:$D$130*(((Inputs!$G$5:$G$130="moeda")+(Inputs!$G$5:$G$130="acoes"))*Inputs!$B$1+((Inputs!$G$5:$G$130&lt;&gt;"moeda")*(Inputs!$G$5:$G$130&lt;&gt;"acoes")))*INDEX(Inputs!$K$5:$AJ$130,0,MATCH(I$2,Inputs!$K$4:$AJ$4,0)))+SUMPRODUCT((Inputs!$E$5:$E$130=$B64)*Inputs!$F$5:$F$130*(((Inputs!$G$5:$G$130="moeda")+(Inputs!$G$5:$G$130="acoes"))*Inputs!$B$1+((Inputs!$G$5:$G$130&lt;&gt;"moeda")*(Inputs!$G$5:$G$130&lt;&gt;"acoes")))*INDEX(Inputs!$K$5:$AJ$130,0,MATCH(I$2,Inputs!$K$4:$AJ$4,0)))))</f>
        <v>193</v>
      </c>
      <c r="J64" s="263">
        <f>IF(ISNA(MATCH(J$2,Inputs!$K$4:$AJ$4,0)),NA(),IF(SUMPRODUCT((Inputs!$A$5:$A$130=$B64)*ISNUMBER(INDEX(Inputs!$K$5:$AJ$130,0,MATCH(J$2,Inputs!$K$4:$AJ$4,0))))+SUMPRODUCT((Inputs!$C$5:$C$130=$B64)*ISNUMBER(INDEX(Inputs!$K$5:$AJ$130,0,MATCH(J$2,Inputs!$K$4:$AJ$4,0))))+SUMPRODUCT((Inputs!$E$5:$E$130=$B64)*ISNUMBER(INDEX(Inputs!$K$5:$AJ$130,0,MATCH(J$2,Inputs!$K$4:$AJ$4,0))))=0,NA(),SUMPRODUCT((Inputs!$A$5:$A$130=$B64)*Inputs!$B$5:$B$130*(((Inputs!$G$5:$G$130="moeda")+(Inputs!$G$5:$G$130="acoes"))*Inputs!$B$1+((Inputs!$G$5:$G$130&lt;&gt;"moeda")*(Inputs!$G$5:$G$130&lt;&gt;"acoes")))*INDEX(Inputs!$K$5:$AJ$130,0,MATCH(J$2,Inputs!$K$4:$AJ$4,0)))+SUMPRODUCT((Inputs!$C$5:$C$130=$B64)*Inputs!$D$5:$D$130*(((Inputs!$G$5:$G$130="moeda")+(Inputs!$G$5:$G$130="acoes"))*Inputs!$B$1+((Inputs!$G$5:$G$130&lt;&gt;"moeda")*(Inputs!$G$5:$G$130&lt;&gt;"acoes")))*INDEX(Inputs!$K$5:$AJ$130,0,MATCH(J$2,Inputs!$K$4:$AJ$4,0)))+SUMPRODUCT((Inputs!$E$5:$E$130=$B64)*Inputs!$F$5:$F$130*(((Inputs!$G$5:$G$130="moeda")+(Inputs!$G$5:$G$130="acoes"))*Inputs!$B$1+((Inputs!$G$5:$G$130&lt;&gt;"moeda")*(Inputs!$G$5:$G$130&lt;&gt;"acoes")))*INDEX(Inputs!$K$5:$AJ$130,0,MATCH(J$2,Inputs!$K$4:$AJ$4,0)))))</f>
        <v>113</v>
      </c>
      <c r="K64" s="263">
        <f>IF(ISNA(MATCH(K$2,Inputs!$K$4:$AJ$4,0)),NA(),IF(SUMPRODUCT((Inputs!$A$5:$A$130=$B64)*ISNUMBER(INDEX(Inputs!$K$5:$AJ$130,0,MATCH(K$2,Inputs!$K$4:$AJ$4,0))))+SUMPRODUCT((Inputs!$C$5:$C$130=$B64)*ISNUMBER(INDEX(Inputs!$K$5:$AJ$130,0,MATCH(K$2,Inputs!$K$4:$AJ$4,0))))+SUMPRODUCT((Inputs!$E$5:$E$130=$B64)*ISNUMBER(INDEX(Inputs!$K$5:$AJ$130,0,MATCH(K$2,Inputs!$K$4:$AJ$4,0))))=0,NA(),SUMPRODUCT((Inputs!$A$5:$A$130=$B64)*Inputs!$B$5:$B$130*(((Inputs!$G$5:$G$130="moeda")+(Inputs!$G$5:$G$130="acoes"))*Inputs!$B$1+((Inputs!$G$5:$G$130&lt;&gt;"moeda")*(Inputs!$G$5:$G$130&lt;&gt;"acoes")))*INDEX(Inputs!$K$5:$AJ$130,0,MATCH(K$2,Inputs!$K$4:$AJ$4,0)))+SUMPRODUCT((Inputs!$C$5:$C$130=$B64)*Inputs!$D$5:$D$130*(((Inputs!$G$5:$G$130="moeda")+(Inputs!$G$5:$G$130="acoes"))*Inputs!$B$1+((Inputs!$G$5:$G$130&lt;&gt;"moeda")*(Inputs!$G$5:$G$130&lt;&gt;"acoes")))*INDEX(Inputs!$K$5:$AJ$130,0,MATCH(K$2,Inputs!$K$4:$AJ$4,0)))+SUMPRODUCT((Inputs!$E$5:$E$130=$B64)*Inputs!$F$5:$F$130*(((Inputs!$G$5:$G$130="moeda")+(Inputs!$G$5:$G$130="acoes"))*Inputs!$B$1+((Inputs!$G$5:$G$130&lt;&gt;"moeda")*(Inputs!$G$5:$G$130&lt;&gt;"acoes")))*INDEX(Inputs!$K$5:$AJ$130,0,MATCH(K$2,Inputs!$K$4:$AJ$4,0)))))</f>
        <v>46</v>
      </c>
      <c r="L64" s="263">
        <f>IF(ISNA(MATCH(L$2,Inputs!$K$4:$AJ$4,0)),NA(),IF(SUMPRODUCT((Inputs!$A$5:$A$130=$B64)*ISNUMBER(INDEX(Inputs!$K$5:$AJ$130,0,MATCH(L$2,Inputs!$K$4:$AJ$4,0))))+SUMPRODUCT((Inputs!$C$5:$C$130=$B64)*ISNUMBER(INDEX(Inputs!$K$5:$AJ$130,0,MATCH(L$2,Inputs!$K$4:$AJ$4,0))))+SUMPRODUCT((Inputs!$E$5:$E$130=$B64)*ISNUMBER(INDEX(Inputs!$K$5:$AJ$130,0,MATCH(L$2,Inputs!$K$4:$AJ$4,0))))=0,NA(),SUMPRODUCT((Inputs!$A$5:$A$130=$B64)*Inputs!$B$5:$B$130*(((Inputs!$G$5:$G$130="moeda")+(Inputs!$G$5:$G$130="acoes"))*Inputs!$B$1+((Inputs!$G$5:$G$130&lt;&gt;"moeda")*(Inputs!$G$5:$G$130&lt;&gt;"acoes")))*INDEX(Inputs!$K$5:$AJ$130,0,MATCH(L$2,Inputs!$K$4:$AJ$4,0)))+SUMPRODUCT((Inputs!$C$5:$C$130=$B64)*Inputs!$D$5:$D$130*(((Inputs!$G$5:$G$130="moeda")+(Inputs!$G$5:$G$130="acoes"))*Inputs!$B$1+((Inputs!$G$5:$G$130&lt;&gt;"moeda")*(Inputs!$G$5:$G$130&lt;&gt;"acoes")))*INDEX(Inputs!$K$5:$AJ$130,0,MATCH(L$2,Inputs!$K$4:$AJ$4,0)))+SUMPRODUCT((Inputs!$E$5:$E$130=$B64)*Inputs!$F$5:$F$130*(((Inputs!$G$5:$G$130="moeda")+(Inputs!$G$5:$G$130="acoes"))*Inputs!$B$1+((Inputs!$G$5:$G$130&lt;&gt;"moeda")*(Inputs!$G$5:$G$130&lt;&gt;"acoes")))*INDEX(Inputs!$K$5:$AJ$130,0,MATCH(L$2,Inputs!$K$4:$AJ$4,0)))))</f>
        <v>135</v>
      </c>
      <c r="M64" s="264">
        <f>SUM(I64:L64)</f>
        <v>487</v>
      </c>
      <c r="N64" s="263">
        <f>IF(ISNA(MATCH(N$2,Inputs!$K$4:$AJ$4,0)),NA(),IF(SUMPRODUCT((Inputs!$A$5:$A$130=$B64)*ISNUMBER(INDEX(Inputs!$K$5:$AJ$130,0,MATCH(N$2,Inputs!$K$4:$AJ$4,0))))+SUMPRODUCT((Inputs!$C$5:$C$130=$B64)*ISNUMBER(INDEX(Inputs!$K$5:$AJ$130,0,MATCH(N$2,Inputs!$K$4:$AJ$4,0))))+SUMPRODUCT((Inputs!$E$5:$E$130=$B64)*ISNUMBER(INDEX(Inputs!$K$5:$AJ$130,0,MATCH(N$2,Inputs!$K$4:$AJ$4,0))))=0,NA(),SUMPRODUCT((Inputs!$A$5:$A$130=$B64)*Inputs!$B$5:$B$130*(((Inputs!$G$5:$G$130="moeda")+(Inputs!$G$5:$G$130="acoes"))*Inputs!$B$1+((Inputs!$G$5:$G$130&lt;&gt;"moeda")*(Inputs!$G$5:$G$130&lt;&gt;"acoes")))*INDEX(Inputs!$K$5:$AJ$130,0,MATCH(N$2,Inputs!$K$4:$AJ$4,0)))+SUMPRODUCT((Inputs!$C$5:$C$130=$B64)*Inputs!$D$5:$D$130*(((Inputs!$G$5:$G$130="moeda")+(Inputs!$G$5:$G$130="acoes"))*Inputs!$B$1+((Inputs!$G$5:$G$130&lt;&gt;"moeda")*(Inputs!$G$5:$G$130&lt;&gt;"acoes")))*INDEX(Inputs!$K$5:$AJ$130,0,MATCH(N$2,Inputs!$K$4:$AJ$4,0)))+SUMPRODUCT((Inputs!$E$5:$E$130=$B64)*Inputs!$F$5:$F$130*(((Inputs!$G$5:$G$130="moeda")+(Inputs!$G$5:$G$130="acoes"))*Inputs!$B$1+((Inputs!$G$5:$G$130&lt;&gt;"moeda")*(Inputs!$G$5:$G$130&lt;&gt;"acoes")))*INDEX(Inputs!$K$5:$AJ$130,0,MATCH(N$2,Inputs!$K$4:$AJ$4,0)))))</f>
        <v>139</v>
      </c>
      <c r="O64" s="263">
        <f>IF(ISNA(MATCH(O$2,Inputs!$K$4:$AJ$4,0)),NA(),IF(SUMPRODUCT((Inputs!$A$5:$A$130=$B64)*ISNUMBER(INDEX(Inputs!$K$5:$AJ$130,0,MATCH(O$2,Inputs!$K$4:$AJ$4,0))))+SUMPRODUCT((Inputs!$C$5:$C$130=$B64)*ISNUMBER(INDEX(Inputs!$K$5:$AJ$130,0,MATCH(O$2,Inputs!$K$4:$AJ$4,0))))+SUMPRODUCT((Inputs!$E$5:$E$130=$B64)*ISNUMBER(INDEX(Inputs!$K$5:$AJ$130,0,MATCH(O$2,Inputs!$K$4:$AJ$4,0))))=0,NA(),SUMPRODUCT((Inputs!$A$5:$A$130=$B64)*Inputs!$B$5:$B$130*(((Inputs!$G$5:$G$130="moeda")+(Inputs!$G$5:$G$130="acoes"))*Inputs!$B$1+((Inputs!$G$5:$G$130&lt;&gt;"moeda")*(Inputs!$G$5:$G$130&lt;&gt;"acoes")))*INDEX(Inputs!$K$5:$AJ$130,0,MATCH(O$2,Inputs!$K$4:$AJ$4,0)))+SUMPRODUCT((Inputs!$C$5:$C$130=$B64)*Inputs!$D$5:$D$130*(((Inputs!$G$5:$G$130="moeda")+(Inputs!$G$5:$G$130="acoes"))*Inputs!$B$1+((Inputs!$G$5:$G$130&lt;&gt;"moeda")*(Inputs!$G$5:$G$130&lt;&gt;"acoes")))*INDEX(Inputs!$K$5:$AJ$130,0,MATCH(O$2,Inputs!$K$4:$AJ$4,0)))+SUMPRODUCT((Inputs!$E$5:$E$130=$B64)*Inputs!$F$5:$F$130*(((Inputs!$G$5:$G$130="moeda")+(Inputs!$G$5:$G$130="acoes"))*Inputs!$B$1+((Inputs!$G$5:$G$130&lt;&gt;"moeda")*(Inputs!$G$5:$G$130&lt;&gt;"acoes")))*INDEX(Inputs!$K$5:$AJ$130,0,MATCH(O$2,Inputs!$K$4:$AJ$4,0)))))</f>
        <v>122</v>
      </c>
      <c r="P64" s="263">
        <f>IF(ISNA(MATCH(P$2,Inputs!$K$4:$AJ$4,0)),NA(),IF(SUMPRODUCT((Inputs!$A$5:$A$130=$B64)*ISNUMBER(INDEX(Inputs!$K$5:$AJ$130,0,MATCH(P$2,Inputs!$K$4:$AJ$4,0))))+SUMPRODUCT((Inputs!$C$5:$C$130=$B64)*ISNUMBER(INDEX(Inputs!$K$5:$AJ$130,0,MATCH(P$2,Inputs!$K$4:$AJ$4,0))))+SUMPRODUCT((Inputs!$E$5:$E$130=$B64)*ISNUMBER(INDEX(Inputs!$K$5:$AJ$130,0,MATCH(P$2,Inputs!$K$4:$AJ$4,0))))=0,NA(),SUMPRODUCT((Inputs!$A$5:$A$130=$B64)*Inputs!$B$5:$B$130*(((Inputs!$G$5:$G$130="moeda")+(Inputs!$G$5:$G$130="acoes"))*Inputs!$B$1+((Inputs!$G$5:$G$130&lt;&gt;"moeda")*(Inputs!$G$5:$G$130&lt;&gt;"acoes")))*INDEX(Inputs!$K$5:$AJ$130,0,MATCH(P$2,Inputs!$K$4:$AJ$4,0)))+SUMPRODUCT((Inputs!$C$5:$C$130=$B64)*Inputs!$D$5:$D$130*(((Inputs!$G$5:$G$130="moeda")+(Inputs!$G$5:$G$130="acoes"))*Inputs!$B$1+((Inputs!$G$5:$G$130&lt;&gt;"moeda")*(Inputs!$G$5:$G$130&lt;&gt;"acoes")))*INDEX(Inputs!$K$5:$AJ$130,0,MATCH(P$2,Inputs!$K$4:$AJ$4,0)))+SUMPRODUCT((Inputs!$E$5:$E$130=$B64)*Inputs!$F$5:$F$130*(((Inputs!$G$5:$G$130="moeda")+(Inputs!$G$5:$G$130="acoes"))*Inputs!$B$1+((Inputs!$G$5:$G$130&lt;&gt;"moeda")*(Inputs!$G$5:$G$130&lt;&gt;"acoes")))*INDEX(Inputs!$K$5:$AJ$130,0,MATCH(P$2,Inputs!$K$4:$AJ$4,0)))))</f>
        <v>132</v>
      </c>
      <c r="Q64" s="263">
        <f>IF(ISNA(MATCH(Q$2,Inputs!$K$4:$AJ$4,0)),NA(),IF(SUMPRODUCT((Inputs!$A$5:$A$130=$B64)*ISNUMBER(INDEX(Inputs!$K$5:$AJ$130,0,MATCH(Q$2,Inputs!$K$4:$AJ$4,0))))+SUMPRODUCT((Inputs!$C$5:$C$130=$B64)*ISNUMBER(INDEX(Inputs!$K$5:$AJ$130,0,MATCH(Q$2,Inputs!$K$4:$AJ$4,0))))+SUMPRODUCT((Inputs!$E$5:$E$130=$B64)*ISNUMBER(INDEX(Inputs!$K$5:$AJ$130,0,MATCH(Q$2,Inputs!$K$4:$AJ$4,0))))=0,NA(),SUMPRODUCT((Inputs!$A$5:$A$130=$B64)*Inputs!$B$5:$B$130*(((Inputs!$G$5:$G$130="moeda")+(Inputs!$G$5:$G$130="acoes"))*Inputs!$B$1+((Inputs!$G$5:$G$130&lt;&gt;"moeda")*(Inputs!$G$5:$G$130&lt;&gt;"acoes")))*INDEX(Inputs!$K$5:$AJ$130,0,MATCH(Q$2,Inputs!$K$4:$AJ$4,0)))+SUMPRODUCT((Inputs!$C$5:$C$130=$B64)*Inputs!$D$5:$D$130*(((Inputs!$G$5:$G$130="moeda")+(Inputs!$G$5:$G$130="acoes"))*Inputs!$B$1+((Inputs!$G$5:$G$130&lt;&gt;"moeda")*(Inputs!$G$5:$G$130&lt;&gt;"acoes")))*INDEX(Inputs!$K$5:$AJ$130,0,MATCH(Q$2,Inputs!$K$4:$AJ$4,0)))+SUMPRODUCT((Inputs!$E$5:$E$130=$B64)*Inputs!$F$5:$F$130*(((Inputs!$G$5:$G$130="moeda")+(Inputs!$G$5:$G$130="acoes"))*Inputs!$B$1+((Inputs!$G$5:$G$130&lt;&gt;"moeda")*(Inputs!$G$5:$G$130&lt;&gt;"acoes")))*INDEX(Inputs!$K$5:$AJ$130,0,MATCH(Q$2,Inputs!$K$4:$AJ$4,0)))))</f>
        <v>185</v>
      </c>
      <c r="R64" s="264">
        <f>SUM(N64:Q64)</f>
        <v>578</v>
      </c>
      <c r="S64" s="263">
        <f>IF(ISNA(MATCH(S$2,Inputs!$K$4:$AJ$4,0)),NA(),IF(SUMPRODUCT((Inputs!$A$5:$A$130=$B64)*ISNUMBER(INDEX(Inputs!$K$5:$AJ$130,0,MATCH(S$2,Inputs!$K$4:$AJ$4,0))))+SUMPRODUCT((Inputs!$C$5:$C$130=$B64)*ISNUMBER(INDEX(Inputs!$K$5:$AJ$130,0,MATCH(S$2,Inputs!$K$4:$AJ$4,0))))+SUMPRODUCT((Inputs!$E$5:$E$130=$B64)*ISNUMBER(INDEX(Inputs!$K$5:$AJ$130,0,MATCH(S$2,Inputs!$K$4:$AJ$4,0))))=0,NA(),SUMPRODUCT((Inputs!$A$5:$A$130=$B64)*Inputs!$B$5:$B$130*(((Inputs!$G$5:$G$130="moeda")+(Inputs!$G$5:$G$130="acoes"))*Inputs!$B$1+((Inputs!$G$5:$G$130&lt;&gt;"moeda")*(Inputs!$G$5:$G$130&lt;&gt;"acoes")))*INDEX(Inputs!$K$5:$AJ$130,0,MATCH(S$2,Inputs!$K$4:$AJ$4,0)))+SUMPRODUCT((Inputs!$C$5:$C$130=$B64)*Inputs!$D$5:$D$130*(((Inputs!$G$5:$G$130="moeda")+(Inputs!$G$5:$G$130="acoes"))*Inputs!$B$1+((Inputs!$G$5:$G$130&lt;&gt;"moeda")*(Inputs!$G$5:$G$130&lt;&gt;"acoes")))*INDEX(Inputs!$K$5:$AJ$130,0,MATCH(S$2,Inputs!$K$4:$AJ$4,0)))+SUMPRODUCT((Inputs!$E$5:$E$130=$B64)*Inputs!$F$5:$F$130*(((Inputs!$G$5:$G$130="moeda")+(Inputs!$G$5:$G$130="acoes"))*Inputs!$B$1+((Inputs!$G$5:$G$130&lt;&gt;"moeda")*(Inputs!$G$5:$G$130&lt;&gt;"acoes")))*INDEX(Inputs!$K$5:$AJ$130,0,MATCH(S$2,Inputs!$K$4:$AJ$4,0)))))</f>
        <v>156</v>
      </c>
      <c r="T64" s="263">
        <f>IF(ISNA(MATCH(T$2,Inputs!$K$4:$AJ$4,0)),NA(),IF(SUMPRODUCT((Inputs!$A$5:$A$130=$B64)*ISNUMBER(INDEX(Inputs!$K$5:$AJ$130,0,MATCH(T$2,Inputs!$K$4:$AJ$4,0))))+SUMPRODUCT((Inputs!$C$5:$C$130=$B64)*ISNUMBER(INDEX(Inputs!$K$5:$AJ$130,0,MATCH(T$2,Inputs!$K$4:$AJ$4,0))))+SUMPRODUCT((Inputs!$E$5:$E$130=$B64)*ISNUMBER(INDEX(Inputs!$K$5:$AJ$130,0,MATCH(T$2,Inputs!$K$4:$AJ$4,0))))=0,NA(),SUMPRODUCT((Inputs!$A$5:$A$130=$B64)*Inputs!$B$5:$B$130*(((Inputs!$G$5:$G$130="moeda")+(Inputs!$G$5:$G$130="acoes"))*Inputs!$B$1+((Inputs!$G$5:$G$130&lt;&gt;"moeda")*(Inputs!$G$5:$G$130&lt;&gt;"acoes")))*INDEX(Inputs!$K$5:$AJ$130,0,MATCH(T$2,Inputs!$K$4:$AJ$4,0)))+SUMPRODUCT((Inputs!$C$5:$C$130=$B64)*Inputs!$D$5:$D$130*(((Inputs!$G$5:$G$130="moeda")+(Inputs!$G$5:$G$130="acoes"))*Inputs!$B$1+((Inputs!$G$5:$G$130&lt;&gt;"moeda")*(Inputs!$G$5:$G$130&lt;&gt;"acoes")))*INDEX(Inputs!$K$5:$AJ$130,0,MATCH(T$2,Inputs!$K$4:$AJ$4,0)))+SUMPRODUCT((Inputs!$E$5:$E$130=$B64)*Inputs!$F$5:$F$130*(((Inputs!$G$5:$G$130="moeda")+(Inputs!$G$5:$G$130="acoes"))*Inputs!$B$1+((Inputs!$G$5:$G$130&lt;&gt;"moeda")*(Inputs!$G$5:$G$130&lt;&gt;"acoes")))*INDEX(Inputs!$K$5:$AJ$130,0,MATCH(T$2,Inputs!$K$4:$AJ$4,0)))))</f>
        <v>98</v>
      </c>
      <c r="U64" s="263">
        <f>IF(ISNA(MATCH(U$2,Inputs!$K$4:$AJ$4,0)),NA(),IF(SUMPRODUCT((Inputs!$A$5:$A$130=$B64)*ISNUMBER(INDEX(Inputs!$K$5:$AJ$130,0,MATCH(U$2,Inputs!$K$4:$AJ$4,0))))+SUMPRODUCT((Inputs!$C$5:$C$130=$B64)*ISNUMBER(INDEX(Inputs!$K$5:$AJ$130,0,MATCH(U$2,Inputs!$K$4:$AJ$4,0))))+SUMPRODUCT((Inputs!$E$5:$E$130=$B64)*ISNUMBER(INDEX(Inputs!$K$5:$AJ$130,0,MATCH(U$2,Inputs!$K$4:$AJ$4,0))))=0,NA(),SUMPRODUCT((Inputs!$A$5:$A$130=$B64)*Inputs!$B$5:$B$130*(((Inputs!$G$5:$G$130="moeda")+(Inputs!$G$5:$G$130="acoes"))*Inputs!$B$1+((Inputs!$G$5:$G$130&lt;&gt;"moeda")*(Inputs!$G$5:$G$130&lt;&gt;"acoes")))*INDEX(Inputs!$K$5:$AJ$130,0,MATCH(U$2,Inputs!$K$4:$AJ$4,0)))+SUMPRODUCT((Inputs!$C$5:$C$130=$B64)*Inputs!$D$5:$D$130*(((Inputs!$G$5:$G$130="moeda")+(Inputs!$G$5:$G$130="acoes"))*Inputs!$B$1+((Inputs!$G$5:$G$130&lt;&gt;"moeda")*(Inputs!$G$5:$G$130&lt;&gt;"acoes")))*INDEX(Inputs!$K$5:$AJ$130,0,MATCH(U$2,Inputs!$K$4:$AJ$4,0)))+SUMPRODUCT((Inputs!$E$5:$E$130=$B64)*Inputs!$F$5:$F$130*(((Inputs!$G$5:$G$130="moeda")+(Inputs!$G$5:$G$130="acoes"))*Inputs!$B$1+((Inputs!$G$5:$G$130&lt;&gt;"moeda")*(Inputs!$G$5:$G$130&lt;&gt;"acoes")))*INDEX(Inputs!$K$5:$AJ$130,0,MATCH(U$2,Inputs!$K$4:$AJ$4,0)))))</f>
        <v>43</v>
      </c>
      <c r="V64" s="263">
        <f>IF(ISNA(MATCH(V$2,Inputs!$K$4:$AJ$4,0)),NA(),IF(SUMPRODUCT((Inputs!$A$5:$A$130=$B64)*ISNUMBER(INDEX(Inputs!$K$5:$AJ$130,0,MATCH(V$2,Inputs!$K$4:$AJ$4,0))))+SUMPRODUCT((Inputs!$C$5:$C$130=$B64)*ISNUMBER(INDEX(Inputs!$K$5:$AJ$130,0,MATCH(V$2,Inputs!$K$4:$AJ$4,0))))+SUMPRODUCT((Inputs!$E$5:$E$130=$B64)*ISNUMBER(INDEX(Inputs!$K$5:$AJ$130,0,MATCH(V$2,Inputs!$K$4:$AJ$4,0))))=0,NA(),SUMPRODUCT((Inputs!$A$5:$A$130=$B64)*Inputs!$B$5:$B$130*(((Inputs!$G$5:$G$130="moeda")+(Inputs!$G$5:$G$130="acoes"))*Inputs!$B$1+((Inputs!$G$5:$G$130&lt;&gt;"moeda")*(Inputs!$G$5:$G$130&lt;&gt;"acoes")))*INDEX(Inputs!$K$5:$AJ$130,0,MATCH(V$2,Inputs!$K$4:$AJ$4,0)))+SUMPRODUCT((Inputs!$C$5:$C$130=$B64)*Inputs!$D$5:$D$130*(((Inputs!$G$5:$G$130="moeda")+(Inputs!$G$5:$G$130="acoes"))*Inputs!$B$1+((Inputs!$G$5:$G$130&lt;&gt;"moeda")*(Inputs!$G$5:$G$130&lt;&gt;"acoes")))*INDEX(Inputs!$K$5:$AJ$130,0,MATCH(V$2,Inputs!$K$4:$AJ$4,0)))+SUMPRODUCT((Inputs!$E$5:$E$130=$B64)*Inputs!$F$5:$F$130*(((Inputs!$G$5:$G$130="moeda")+(Inputs!$G$5:$G$130="acoes"))*Inputs!$B$1+((Inputs!$G$5:$G$130&lt;&gt;"moeda")*(Inputs!$G$5:$G$130&lt;&gt;"acoes")))*INDEX(Inputs!$K$5:$AJ$130,0,MATCH(V$2,Inputs!$K$4:$AJ$4,0)))))</f>
        <v>199</v>
      </c>
      <c r="W64" s="264">
        <f>SUM(S64:V64)</f>
        <v>496</v>
      </c>
      <c r="X64" s="263">
        <f>IF(ISNA(MATCH(X$2,Inputs!$K$4:$AJ$4,0)),NA(),IF(SUMPRODUCT((Inputs!$A$5:$A$130=$B64)*ISNUMBER(INDEX(Inputs!$K$5:$AJ$130,0,MATCH(X$2,Inputs!$K$4:$AJ$4,0))))+SUMPRODUCT((Inputs!$C$5:$C$130=$B64)*ISNUMBER(INDEX(Inputs!$K$5:$AJ$130,0,MATCH(X$2,Inputs!$K$4:$AJ$4,0))))+SUMPRODUCT((Inputs!$E$5:$E$130=$B64)*ISNUMBER(INDEX(Inputs!$K$5:$AJ$130,0,MATCH(X$2,Inputs!$K$4:$AJ$4,0))))=0,NA(),SUMPRODUCT((Inputs!$A$5:$A$130=$B64)*Inputs!$B$5:$B$130*(((Inputs!$G$5:$G$130="moeda")+(Inputs!$G$5:$G$130="acoes"))*Inputs!$B$1+((Inputs!$G$5:$G$130&lt;&gt;"moeda")*(Inputs!$G$5:$G$130&lt;&gt;"acoes")))*INDEX(Inputs!$K$5:$AJ$130,0,MATCH(X$2,Inputs!$K$4:$AJ$4,0)))+SUMPRODUCT((Inputs!$C$5:$C$130=$B64)*Inputs!$D$5:$D$130*(((Inputs!$G$5:$G$130="moeda")+(Inputs!$G$5:$G$130="acoes"))*Inputs!$B$1+((Inputs!$G$5:$G$130&lt;&gt;"moeda")*(Inputs!$G$5:$G$130&lt;&gt;"acoes")))*INDEX(Inputs!$K$5:$AJ$130,0,MATCH(X$2,Inputs!$K$4:$AJ$4,0)))+SUMPRODUCT((Inputs!$E$5:$E$130=$B64)*Inputs!$F$5:$F$130*(((Inputs!$G$5:$G$130="moeda")+(Inputs!$G$5:$G$130="acoes"))*Inputs!$B$1+((Inputs!$G$5:$G$130&lt;&gt;"moeda")*(Inputs!$G$5:$G$130&lt;&gt;"acoes")))*INDEX(Inputs!$K$5:$AJ$130,0,MATCH(X$2,Inputs!$K$4:$AJ$4,0)))))</f>
        <v>119</v>
      </c>
      <c r="Y64" s="263">
        <f>IF(ISNA(MATCH(Y$2,Inputs!$K$4:$AJ$4,0)),NA(),IF(SUMPRODUCT((Inputs!$A$5:$A$130=$B64)*ISNUMBER(INDEX(Inputs!$K$5:$AJ$130,0,MATCH(Y$2,Inputs!$K$4:$AJ$4,0))))+SUMPRODUCT((Inputs!$C$5:$C$130=$B64)*ISNUMBER(INDEX(Inputs!$K$5:$AJ$130,0,MATCH(Y$2,Inputs!$K$4:$AJ$4,0))))+SUMPRODUCT((Inputs!$E$5:$E$130=$B64)*ISNUMBER(INDEX(Inputs!$K$5:$AJ$130,0,MATCH(Y$2,Inputs!$K$4:$AJ$4,0))))=0,NA(),SUMPRODUCT((Inputs!$A$5:$A$130=$B64)*Inputs!$B$5:$B$130*(((Inputs!$G$5:$G$130="moeda")+(Inputs!$G$5:$G$130="acoes"))*Inputs!$B$1+((Inputs!$G$5:$G$130&lt;&gt;"moeda")*(Inputs!$G$5:$G$130&lt;&gt;"acoes")))*INDEX(Inputs!$K$5:$AJ$130,0,MATCH(Y$2,Inputs!$K$4:$AJ$4,0)))+SUMPRODUCT((Inputs!$C$5:$C$130=$B64)*Inputs!$D$5:$D$130*(((Inputs!$G$5:$G$130="moeda")+(Inputs!$G$5:$G$130="acoes"))*Inputs!$B$1+((Inputs!$G$5:$G$130&lt;&gt;"moeda")*(Inputs!$G$5:$G$130&lt;&gt;"acoes")))*INDEX(Inputs!$K$5:$AJ$130,0,MATCH(Y$2,Inputs!$K$4:$AJ$4,0)))+SUMPRODUCT((Inputs!$E$5:$E$130=$B64)*Inputs!$F$5:$F$130*(((Inputs!$G$5:$G$130="moeda")+(Inputs!$G$5:$G$130="acoes"))*Inputs!$B$1+((Inputs!$G$5:$G$130&lt;&gt;"moeda")*(Inputs!$G$5:$G$130&lt;&gt;"acoes")))*INDEX(Inputs!$K$5:$AJ$130,0,MATCH(Y$2,Inputs!$K$4:$AJ$4,0)))))</f>
        <v>59</v>
      </c>
      <c r="Z64" s="263">
        <f>IF(ISNA(MATCH(Z$2,Inputs!$K$4:$AJ$4,0)),NA(),IF(SUMPRODUCT((Inputs!$A$5:$A$130=$B64)*ISNUMBER(INDEX(Inputs!$K$5:$AJ$130,0,MATCH(Z$2,Inputs!$K$4:$AJ$4,0))))+SUMPRODUCT((Inputs!$C$5:$C$130=$B64)*ISNUMBER(INDEX(Inputs!$K$5:$AJ$130,0,MATCH(Z$2,Inputs!$K$4:$AJ$4,0))))+SUMPRODUCT((Inputs!$E$5:$E$130=$B64)*ISNUMBER(INDEX(Inputs!$K$5:$AJ$130,0,MATCH(Z$2,Inputs!$K$4:$AJ$4,0))))=0,NA(),SUMPRODUCT((Inputs!$A$5:$A$130=$B64)*Inputs!$B$5:$B$130*(((Inputs!$G$5:$G$130="moeda")+(Inputs!$G$5:$G$130="acoes"))*Inputs!$B$1+((Inputs!$G$5:$G$130&lt;&gt;"moeda")*(Inputs!$G$5:$G$130&lt;&gt;"acoes")))*INDEX(Inputs!$K$5:$AJ$130,0,MATCH(Z$2,Inputs!$K$4:$AJ$4,0)))+SUMPRODUCT((Inputs!$C$5:$C$130=$B64)*Inputs!$D$5:$D$130*(((Inputs!$G$5:$G$130="moeda")+(Inputs!$G$5:$G$130="acoes"))*Inputs!$B$1+((Inputs!$G$5:$G$130&lt;&gt;"moeda")*(Inputs!$G$5:$G$130&lt;&gt;"acoes")))*INDEX(Inputs!$K$5:$AJ$130,0,MATCH(Z$2,Inputs!$K$4:$AJ$4,0)))+SUMPRODUCT((Inputs!$E$5:$E$130=$B64)*Inputs!$F$5:$F$130*(((Inputs!$G$5:$G$130="moeda")+(Inputs!$G$5:$G$130="acoes"))*Inputs!$B$1+((Inputs!$G$5:$G$130&lt;&gt;"moeda")*(Inputs!$G$5:$G$130&lt;&gt;"acoes")))*INDEX(Inputs!$K$5:$AJ$130,0,MATCH(Z$2,Inputs!$K$4:$AJ$4,0)))))</f>
        <v>57</v>
      </c>
      <c r="AA64" s="263">
        <f>IF(ISNA(MATCH(AA$2,Inputs!$K$4:$AJ$4,0)),NA(),IF(SUMPRODUCT((Inputs!$A$5:$A$130=$B64)*ISNUMBER(INDEX(Inputs!$K$5:$AJ$130,0,MATCH(AA$2,Inputs!$K$4:$AJ$4,0))))+SUMPRODUCT((Inputs!$C$5:$C$130=$B64)*ISNUMBER(INDEX(Inputs!$K$5:$AJ$130,0,MATCH(AA$2,Inputs!$K$4:$AJ$4,0))))+SUMPRODUCT((Inputs!$E$5:$E$130=$B64)*ISNUMBER(INDEX(Inputs!$K$5:$AJ$130,0,MATCH(AA$2,Inputs!$K$4:$AJ$4,0))))=0,NA(),SUMPRODUCT((Inputs!$A$5:$A$130=$B64)*Inputs!$B$5:$B$130*(((Inputs!$G$5:$G$130="moeda")+(Inputs!$G$5:$G$130="acoes"))*Inputs!$B$1+((Inputs!$G$5:$G$130&lt;&gt;"moeda")*(Inputs!$G$5:$G$130&lt;&gt;"acoes")))*INDEX(Inputs!$K$5:$AJ$130,0,MATCH(AA$2,Inputs!$K$4:$AJ$4,0)))+SUMPRODUCT((Inputs!$C$5:$C$130=$B64)*Inputs!$D$5:$D$130*(((Inputs!$G$5:$G$130="moeda")+(Inputs!$G$5:$G$130="acoes"))*Inputs!$B$1+((Inputs!$G$5:$G$130&lt;&gt;"moeda")*(Inputs!$G$5:$G$130&lt;&gt;"acoes")))*INDEX(Inputs!$K$5:$AJ$130,0,MATCH(AA$2,Inputs!$K$4:$AJ$4,0)))+SUMPRODUCT((Inputs!$E$5:$E$130=$B64)*Inputs!$F$5:$F$130*(((Inputs!$G$5:$G$130="moeda")+(Inputs!$G$5:$G$130="acoes"))*Inputs!$B$1+((Inputs!$G$5:$G$130&lt;&gt;"moeda")*(Inputs!$G$5:$G$130&lt;&gt;"acoes")))*INDEX(Inputs!$K$5:$AJ$130,0,MATCH(AA$2,Inputs!$K$4:$AJ$4,0)))))</f>
        <v>191</v>
      </c>
      <c r="AB64" s="264">
        <f>SUM(X64:AA64)</f>
        <v>426</v>
      </c>
      <c r="AC64" s="263">
        <f>IF(ISNA(MATCH(AC$2,Inputs!$K$4:$AJ$4,0)),NA(),IF(SUMPRODUCT((Inputs!$A$5:$A$130=$B64)*ISNUMBER(INDEX(Inputs!$K$5:$AJ$130,0,MATCH(AC$2,Inputs!$K$4:$AJ$4,0))))+SUMPRODUCT((Inputs!$C$5:$C$130=$B64)*ISNUMBER(INDEX(Inputs!$K$5:$AJ$130,0,MATCH(AC$2,Inputs!$K$4:$AJ$4,0))))+SUMPRODUCT((Inputs!$E$5:$E$130=$B64)*ISNUMBER(INDEX(Inputs!$K$5:$AJ$130,0,MATCH(AC$2,Inputs!$K$4:$AJ$4,0))))=0,NA(),SUMPRODUCT((Inputs!$A$5:$A$130=$B64)*Inputs!$B$5:$B$130*(((Inputs!$G$5:$G$130="moeda")+(Inputs!$G$5:$G$130="acoes"))*Inputs!$B$1+((Inputs!$G$5:$G$130&lt;&gt;"moeda")*(Inputs!$G$5:$G$130&lt;&gt;"acoes")))*INDEX(Inputs!$K$5:$AJ$130,0,MATCH(AC$2,Inputs!$K$4:$AJ$4,0)))+SUMPRODUCT((Inputs!$C$5:$C$130=$B64)*Inputs!$D$5:$D$130*(((Inputs!$G$5:$G$130="moeda")+(Inputs!$G$5:$G$130="acoes"))*Inputs!$B$1+((Inputs!$G$5:$G$130&lt;&gt;"moeda")*(Inputs!$G$5:$G$130&lt;&gt;"acoes")))*INDEX(Inputs!$K$5:$AJ$130,0,MATCH(AC$2,Inputs!$K$4:$AJ$4,0)))+SUMPRODUCT((Inputs!$E$5:$E$130=$B64)*Inputs!$F$5:$F$130*(((Inputs!$G$5:$G$130="moeda")+(Inputs!$G$5:$G$130="acoes"))*Inputs!$B$1+((Inputs!$G$5:$G$130&lt;&gt;"moeda")*(Inputs!$G$5:$G$130&lt;&gt;"acoes")))*INDEX(Inputs!$K$5:$AJ$130,0,MATCH(AC$2,Inputs!$K$4:$AJ$4,0)))))</f>
        <v>191</v>
      </c>
      <c r="AD64" s="263">
        <f>IF(ISNA(MATCH(AD$2,Inputs!$K$4:$AJ$4,0)),NA(),IF(SUMPRODUCT((Inputs!$A$5:$A$130=$B64)*ISNUMBER(INDEX(Inputs!$K$5:$AJ$130,0,MATCH(AD$2,Inputs!$K$4:$AJ$4,0))))+SUMPRODUCT((Inputs!$C$5:$C$130=$B64)*ISNUMBER(INDEX(Inputs!$K$5:$AJ$130,0,MATCH(AD$2,Inputs!$K$4:$AJ$4,0))))+SUMPRODUCT((Inputs!$E$5:$E$130=$B64)*ISNUMBER(INDEX(Inputs!$K$5:$AJ$130,0,MATCH(AD$2,Inputs!$K$4:$AJ$4,0))))=0,NA(),SUMPRODUCT((Inputs!$A$5:$A$130=$B64)*Inputs!$B$5:$B$130*(((Inputs!$G$5:$G$130="moeda")+(Inputs!$G$5:$G$130="acoes"))*Inputs!$B$1+((Inputs!$G$5:$G$130&lt;&gt;"moeda")*(Inputs!$G$5:$G$130&lt;&gt;"acoes")))*INDEX(Inputs!$K$5:$AJ$130,0,MATCH(AD$2,Inputs!$K$4:$AJ$4,0)))+SUMPRODUCT((Inputs!$C$5:$C$130=$B64)*Inputs!$D$5:$D$130*(((Inputs!$G$5:$G$130="moeda")+(Inputs!$G$5:$G$130="acoes"))*Inputs!$B$1+((Inputs!$G$5:$G$130&lt;&gt;"moeda")*(Inputs!$G$5:$G$130&lt;&gt;"acoes")))*INDEX(Inputs!$K$5:$AJ$130,0,MATCH(AD$2,Inputs!$K$4:$AJ$4,0)))+SUMPRODUCT((Inputs!$E$5:$E$130=$B64)*Inputs!$F$5:$F$130*(((Inputs!$G$5:$G$130="moeda")+(Inputs!$G$5:$G$130="acoes"))*Inputs!$B$1+((Inputs!$G$5:$G$130&lt;&gt;"moeda")*(Inputs!$G$5:$G$130&lt;&gt;"acoes")))*INDEX(Inputs!$K$5:$AJ$130,0,MATCH(AD$2,Inputs!$K$4:$AJ$4,0)))))</f>
        <v>91</v>
      </c>
      <c r="AE64" s="263" t="e">
        <f>IF(ISNA(MATCH(AE$2,Inputs!$K$4:$AJ$4,0)),NA(),IF(SUMPRODUCT((Inputs!$A$5:$A$130=$B64)*ISNUMBER(INDEX(Inputs!$K$5:$AJ$130,0,MATCH(AE$2,Inputs!$K$4:$AJ$4,0))))+SUMPRODUCT((Inputs!$C$5:$C$130=$B64)*ISNUMBER(INDEX(Inputs!$K$5:$AJ$130,0,MATCH(AE$2,Inputs!$K$4:$AJ$4,0))))+SUMPRODUCT((Inputs!$E$5:$E$130=$B64)*ISNUMBER(INDEX(Inputs!$K$5:$AJ$130,0,MATCH(AE$2,Inputs!$K$4:$AJ$4,0))))=0,NA(),SUMPRODUCT((Inputs!$A$5:$A$130=$B64)*Inputs!$B$5:$B$130*(((Inputs!$G$5:$G$130="moeda")+(Inputs!$G$5:$G$130="acoes"))*Inputs!$B$1+((Inputs!$G$5:$G$130&lt;&gt;"moeda")*(Inputs!$G$5:$G$130&lt;&gt;"acoes")))*INDEX(Inputs!$K$5:$AJ$130,0,MATCH(AE$2,Inputs!$K$4:$AJ$4,0)))+SUMPRODUCT((Inputs!$C$5:$C$130=$B64)*Inputs!$D$5:$D$130*(((Inputs!$G$5:$G$130="moeda")+(Inputs!$G$5:$G$130="acoes"))*Inputs!$B$1+((Inputs!$G$5:$G$130&lt;&gt;"moeda")*(Inputs!$G$5:$G$130&lt;&gt;"acoes")))*INDEX(Inputs!$K$5:$AJ$130,0,MATCH(AE$2,Inputs!$K$4:$AJ$4,0)))+SUMPRODUCT((Inputs!$E$5:$E$130=$B64)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4" s="263" t="e">
        <f>IF(ISNA(MATCH(AF$2,Inputs!$K$4:$AJ$4,0)),NA(),IF(SUMPRODUCT((Inputs!$A$5:$A$130=$B64)*ISNUMBER(INDEX(Inputs!$K$5:$AJ$130,0,MATCH(AF$2,Inputs!$K$4:$AJ$4,0))))+SUMPRODUCT((Inputs!$C$5:$C$130=$B64)*ISNUMBER(INDEX(Inputs!$K$5:$AJ$130,0,MATCH(AF$2,Inputs!$K$4:$AJ$4,0))))+SUMPRODUCT((Inputs!$E$5:$E$130=$B64)*ISNUMBER(INDEX(Inputs!$K$5:$AJ$130,0,MATCH(AF$2,Inputs!$K$4:$AJ$4,0))))=0,NA(),SUMPRODUCT((Inputs!$A$5:$A$130=$B64)*Inputs!$B$5:$B$130*(((Inputs!$G$5:$G$130="moeda")+(Inputs!$G$5:$G$130="acoes"))*Inputs!$B$1+((Inputs!$G$5:$G$130&lt;&gt;"moeda")*(Inputs!$G$5:$G$130&lt;&gt;"acoes")))*INDEX(Inputs!$K$5:$AJ$130,0,MATCH(AF$2,Inputs!$K$4:$AJ$4,0)))+SUMPRODUCT((Inputs!$C$5:$C$130=$B64)*Inputs!$D$5:$D$130*(((Inputs!$G$5:$G$130="moeda")+(Inputs!$G$5:$G$130="acoes"))*Inputs!$B$1+((Inputs!$G$5:$G$130&lt;&gt;"moeda")*(Inputs!$G$5:$G$130&lt;&gt;"acoes")))*INDEX(Inputs!$K$5:$AJ$130,0,MATCH(AF$2,Inputs!$K$4:$AJ$4,0)))+SUMPRODUCT((Inputs!$E$5:$E$130=$B64)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$130=$B64)*ISNUMBER(INDEX(Inputs!$K$5:$AJ$130,0,MATCH(AH$2,Inputs!$K$4:$AJ$4,0))))+SUMPRODUCT((Inputs!$C$5:$C$130=$B64)*ISNUMBER(INDEX(Inputs!$K$5:$AJ$130,0,MATCH(AH$2,Inputs!$K$4:$AJ$4,0))))+SUMPRODUCT((Inputs!$E$5:$E$130=$B64)*ISNUMBER(INDEX(Inputs!$K$5:$AJ$130,0,MATCH(AH$2,Inputs!$K$4:$AJ$4,0))))=0,NA(),SUMPRODUCT((Inputs!$A$5:$A$130=$B64)*Inputs!$B$5:$B$130*(((Inputs!$G$5:$G$130="moeda")+(Inputs!$G$5:$G$130="acoes"))*Inputs!$B$1+((Inputs!$G$5:$G$130&lt;&gt;"moeda")*(Inputs!$G$5:$G$130&lt;&gt;"acoes")))*INDEX(Inputs!$K$5:$AJ$130,0,MATCH(AH$2,Inputs!$K$4:$AJ$4,0)))+SUMPRODUCT((Inputs!$C$5:$C$130=$B64)*Inputs!$D$5:$D$130*(((Inputs!$G$5:$G$130="moeda")+(Inputs!$G$5:$G$130="acoes"))*Inputs!$B$1+((Inputs!$G$5:$G$130&lt;&gt;"moeda")*(Inputs!$G$5:$G$130&lt;&gt;"acoes")))*INDEX(Inputs!$K$5:$AJ$130,0,MATCH(AH$2,Inputs!$K$4:$AJ$4,0)))+SUMPRODUCT((Inputs!$E$5:$E$130=$B64)*Inputs!$F$5:$F$130*(((Inputs!$G$5:$G$130="moeda")+(Inputs!$G$5:$G$130="acoes"))*Inputs!$B$1+((Inputs!$G$5:$G$130&lt;&gt;"moeda")*(Inputs!$G$5:$G$130&lt;&gt;"acoes")))*INDEX(Inputs!$K$5:$AJ$130,0,MATCH(AH$2,Inputs!$K$4:$AJ$4,0)))))</f>
        <v>63</v>
      </c>
      <c r="AI64" s="263">
        <f>IF(ISNA(MATCH(AI$2,Inputs!$K$4:$AJ$4,0)),NA(),IF(SUMPRODUCT((Inputs!$A$5:$A$130=$B64)*ISNUMBER(INDEX(Inputs!$K$5:$AJ$130,0,MATCH(AI$2,Inputs!$K$4:$AJ$4,0))))+SUMPRODUCT((Inputs!$C$5:$C$130=$B64)*ISNUMBER(INDEX(Inputs!$K$5:$AJ$130,0,MATCH(AI$2,Inputs!$K$4:$AJ$4,0))))+SUMPRODUCT((Inputs!$E$5:$E$130=$B64)*ISNUMBER(INDEX(Inputs!$K$5:$AJ$130,0,MATCH(AI$2,Inputs!$K$4:$AJ$4,0))))=0,NA(),SUMPRODUCT((Inputs!$A$5:$A$130=$B64)*Inputs!$B$5:$B$130*(((Inputs!$G$5:$G$130="moeda")+(Inputs!$G$5:$G$130="acoes"))*Inputs!$B$1+((Inputs!$G$5:$G$130&lt;&gt;"moeda")*(Inputs!$G$5:$G$130&lt;&gt;"acoes")))*INDEX(Inputs!$K$5:$AJ$130,0,MATCH(AI$2,Inputs!$K$4:$AJ$4,0)))+SUMPRODUCT((Inputs!$C$5:$C$130=$B64)*Inputs!$D$5:$D$130*(((Inputs!$G$5:$G$130="moeda")+(Inputs!$G$5:$G$130="acoes"))*Inputs!$B$1+((Inputs!$G$5:$G$130&lt;&gt;"moeda")*(Inputs!$G$5:$G$130&lt;&gt;"acoes")))*INDEX(Inputs!$K$5:$AJ$130,0,MATCH(AI$2,Inputs!$K$4:$AJ$4,0)))+SUMPRODUCT((Inputs!$E$5:$E$130=$B64)*Inputs!$F$5:$F$130*(((Inputs!$G$5:$G$130="moeda")+(Inputs!$G$5:$G$130="acoes"))*Inputs!$B$1+((Inputs!$G$5:$G$130&lt;&gt;"moeda")*(Inputs!$G$5:$G$130&lt;&gt;"acoes")))*INDEX(Inputs!$K$5:$AJ$130,0,MATCH(AI$2,Inputs!$K$4:$AJ$4,0)))))</f>
        <v>12</v>
      </c>
      <c r="AJ64" s="263">
        <f>IF(ISNA(MATCH(AJ$2,Inputs!$K$4:$AJ$4,0)),NA(),IF(SUMPRODUCT((Inputs!$A$5:$A$130=$B64)*ISNUMBER(INDEX(Inputs!$K$5:$AJ$130,0,MATCH(AJ$2,Inputs!$K$4:$AJ$4,0))))+SUMPRODUCT((Inputs!$C$5:$C$130=$B64)*ISNUMBER(INDEX(Inputs!$K$5:$AJ$130,0,MATCH(AJ$2,Inputs!$K$4:$AJ$4,0))))+SUMPRODUCT((Inputs!$E$5:$E$130=$B64)*ISNUMBER(INDEX(Inputs!$K$5:$AJ$130,0,MATCH(AJ$2,Inputs!$K$4:$AJ$4,0))))=0,NA(),SUMPRODUCT((Inputs!$A$5:$A$130=$B64)*Inputs!$B$5:$B$130*(((Inputs!$G$5:$G$130="moeda")+(Inputs!$G$5:$G$130="acoes"))*Inputs!$B$1+((Inputs!$G$5:$G$130&lt;&gt;"moeda")*(Inputs!$G$5:$G$130&lt;&gt;"acoes")))*INDEX(Inputs!$K$5:$AJ$130,0,MATCH(AJ$2,Inputs!$K$4:$AJ$4,0)))+SUMPRODUCT((Inputs!$C$5:$C$130=$B64)*Inputs!$D$5:$D$130*(((Inputs!$G$5:$G$130="moeda")+(Inputs!$G$5:$G$130="acoes"))*Inputs!$B$1+((Inputs!$G$5:$G$130&lt;&gt;"moeda")*(Inputs!$G$5:$G$130&lt;&gt;"acoes")))*INDEX(Inputs!$K$5:$AJ$130,0,MATCH(AJ$2,Inputs!$K$4:$AJ$4,0)))+SUMPRODUCT((Inputs!$E$5:$E$130=$B64)*Inputs!$F$5:$F$130*(((Inputs!$G$5:$G$130="moeda")+(Inputs!$G$5:$G$130="acoes"))*Inputs!$B$1+((Inputs!$G$5:$G$130&lt;&gt;"moeda")*(Inputs!$G$5:$G$130&lt;&gt;"acoes")))*INDEX(Inputs!$K$5:$AJ$130,0,MATCH(AJ$2,Inputs!$K$4:$AJ$4,0)))))</f>
        <v>55</v>
      </c>
      <c r="AK64" s="263">
        <f>IF(ISNA(MATCH(AK$2,Inputs!$K$4:$AJ$4,0)),NA(),IF(SUMPRODUCT((Inputs!$A$5:$A$130=$B64)*ISNUMBER(INDEX(Inputs!$K$5:$AJ$130,0,MATCH(AK$2,Inputs!$K$4:$AJ$4,0))))+SUMPRODUCT((Inputs!$C$5:$C$130=$B64)*ISNUMBER(INDEX(Inputs!$K$5:$AJ$130,0,MATCH(AK$2,Inputs!$K$4:$AJ$4,0))))+SUMPRODUCT((Inputs!$E$5:$E$130=$B64)*ISNUMBER(INDEX(Inputs!$K$5:$AJ$130,0,MATCH(AK$2,Inputs!$K$4:$AJ$4,0))))=0,NA(),SUMPRODUCT((Inputs!$A$5:$A$130=$B64)*Inputs!$B$5:$B$130*(((Inputs!$G$5:$G$130="moeda")+(Inputs!$G$5:$G$130="acoes"))*Inputs!$B$1+((Inputs!$G$5:$G$130&lt;&gt;"moeda")*(Inputs!$G$5:$G$130&lt;&gt;"acoes")))*INDEX(Inputs!$K$5:$AJ$130,0,MATCH(AK$2,Inputs!$K$4:$AJ$4,0)))+SUMPRODUCT((Inputs!$C$5:$C$130=$B64)*Inputs!$D$5:$D$130*(((Inputs!$G$5:$G$130="moeda")+(Inputs!$G$5:$G$130="acoes"))*Inputs!$B$1+((Inputs!$G$5:$G$130&lt;&gt;"moeda")*(Inputs!$G$5:$G$130&lt;&gt;"acoes")))*INDEX(Inputs!$K$5:$AJ$130,0,MATCH(AK$2,Inputs!$K$4:$AJ$4,0)))+SUMPRODUCT((Inputs!$E$5:$E$130=$B64)*Inputs!$F$5:$F$130*(((Inputs!$G$5:$G$130="moeda")+(Inputs!$G$5:$G$130="acoes"))*Inputs!$B$1+((Inputs!$G$5:$G$130&lt;&gt;"moeda")*(Inputs!$G$5:$G$130&lt;&gt;"acoes")))*INDEX(Inputs!$K$5:$AJ$130,0,MATCH(AK$2,Inputs!$K$4:$AJ$4,0)))))</f>
        <v>178</v>
      </c>
      <c r="AL64" s="264">
        <f>SUM(AH64:AK64)</f>
        <v>308</v>
      </c>
    </row>
    <row r="65">
      <c r="B65" s="46" t="n">
        <v>57</v>
      </c>
      <c r="C65" s="29" t="inlineStr">
        <is>
          <t>Receita Corporate (USD)</t>
        </is>
      </c>
      <c r="D65" s="263">
        <f>IF(ISNA(MATCH(D$2,Inputs!$K$4:$AJ$4,0)),NA(),IF(SUMPRODUCT((Inputs!$A$5:$A$130=$B65)*ISNUMBER(INDEX(Inputs!$K$5:$AJ$130,0,MATCH(D$2,Inputs!$K$4:$AJ$4,0))))+SUMPRODUCT((Inputs!$C$5:$C$130=$B65)*ISNUMBER(INDEX(Inputs!$K$5:$AJ$130,0,MATCH(D$2,Inputs!$K$4:$AJ$4,0))))+SUMPRODUCT((Inputs!$E$5:$E$130=$B65)*ISNUMBER(INDEX(Inputs!$K$5:$AJ$130,0,MATCH(D$2,Inputs!$K$4:$AJ$4,0))))=0,NA(),SUMPRODUCT((Inputs!$A$5:$A$130=$B65)*Inputs!$B$5:$B$130*(((Inputs!$G$5:$G$130="moeda")+(Inputs!$G$5:$G$130="acoes"))*Inputs!$B$1+((Inputs!$G$5:$G$130&lt;&gt;"moeda")*(Inputs!$G$5:$G$130&lt;&gt;"acoes")))*INDEX(Inputs!$K$5:$AJ$130,0,MATCH(D$2,Inputs!$K$4:$AJ$4,0)))+SUMPRODUCT((Inputs!$C$5:$C$130=$B65)*Inputs!$D$5:$D$130*(((Inputs!$G$5:$G$130="moeda")+(Inputs!$G$5:$G$130="acoes"))*Inputs!$B$1+((Inputs!$G$5:$G$130&lt;&gt;"moeda")*(Inputs!$G$5:$G$130&lt;&gt;"acoes")))*INDEX(Inputs!$K$5:$AJ$130,0,MATCH(D$2,Inputs!$K$4:$AJ$4,0)))+SUMPRODUCT((Inputs!$E$5:$E$130=$B65)*Inputs!$F$5:$F$130*(((Inputs!$G$5:$G$130="moeda")+(Inputs!$G$5:$G$130="acoes"))*Inputs!$B$1+((Inputs!$G$5:$G$130&lt;&gt;"moeda")*(Inputs!$G$5:$G$130&lt;&gt;"acoes")))*INDEX(Inputs!$K$5:$AJ$130,0,MATCH(D$2,Inputs!$K$4:$AJ$4,0)))))</f>
        <v>17</v>
      </c>
      <c r="E65" s="263">
        <f>IF(ISNA(MATCH(E$2,Inputs!$K$4:$AJ$4,0)),NA(),IF(SUMPRODUCT((Inputs!$A$5:$A$130=$B65)*ISNUMBER(INDEX(Inputs!$K$5:$AJ$130,0,MATCH(E$2,Inputs!$K$4:$AJ$4,0))))+SUMPRODUCT((Inputs!$C$5:$C$130=$B65)*ISNUMBER(INDEX(Inputs!$K$5:$AJ$130,0,MATCH(E$2,Inputs!$K$4:$AJ$4,0))))+SUMPRODUCT((Inputs!$E$5:$E$130=$B65)*ISNUMBER(INDEX(Inputs!$K$5:$AJ$130,0,MATCH(E$2,Inputs!$K$4:$AJ$4,0))))=0,NA(),SUMPRODUCT((Inputs!$A$5:$A$130=$B65)*Inputs!$B$5:$B$130*(((Inputs!$G$5:$G$130="moeda")+(Inputs!$G$5:$G$130="acoes"))*Inputs!$B$1+((Inputs!$G$5:$G$130&lt;&gt;"moeda")*(Inputs!$G$5:$G$130&lt;&gt;"acoes")))*INDEX(Inputs!$K$5:$AJ$130,0,MATCH(E$2,Inputs!$K$4:$AJ$4,0)))+SUMPRODUCT((Inputs!$C$5:$C$130=$B65)*Inputs!$D$5:$D$130*(((Inputs!$G$5:$G$130="moeda")+(Inputs!$G$5:$G$130="acoes"))*Inputs!$B$1+((Inputs!$G$5:$G$130&lt;&gt;"moeda")*(Inputs!$G$5:$G$130&lt;&gt;"acoes")))*INDEX(Inputs!$K$5:$AJ$130,0,MATCH(E$2,Inputs!$K$4:$AJ$4,0)))+SUMPRODUCT((Inputs!$E$5:$E$130=$B65)*Inputs!$F$5:$F$130*(((Inputs!$G$5:$G$130="moeda")+(Inputs!$G$5:$G$130="acoes"))*Inputs!$B$1+((Inputs!$G$5:$G$130&lt;&gt;"moeda")*(Inputs!$G$5:$G$130&lt;&gt;"acoes")))*INDEX(Inputs!$K$5:$AJ$130,0,MATCH(E$2,Inputs!$K$4:$AJ$4,0)))))</f>
        <v>17</v>
      </c>
      <c r="F65" s="263">
        <f>IF(ISNA(MATCH(F$2,Inputs!$K$4:$AJ$4,0)),NA(),IF(SUMPRODUCT((Inputs!$A$5:$A$130=$B65)*ISNUMBER(INDEX(Inputs!$K$5:$AJ$130,0,MATCH(F$2,Inputs!$K$4:$AJ$4,0))))+SUMPRODUCT((Inputs!$C$5:$C$130=$B65)*ISNUMBER(INDEX(Inputs!$K$5:$AJ$130,0,MATCH(F$2,Inputs!$K$4:$AJ$4,0))))+SUMPRODUCT((Inputs!$E$5:$E$130=$B65)*ISNUMBER(INDEX(Inputs!$K$5:$AJ$130,0,MATCH(F$2,Inputs!$K$4:$AJ$4,0))))=0,NA(),SUMPRODUCT((Inputs!$A$5:$A$130=$B65)*Inputs!$B$5:$B$130*(((Inputs!$G$5:$G$130="moeda")+(Inputs!$G$5:$G$130="acoes"))*Inputs!$B$1+((Inputs!$G$5:$G$130&lt;&gt;"moeda")*(Inputs!$G$5:$G$130&lt;&gt;"acoes")))*INDEX(Inputs!$K$5:$AJ$130,0,MATCH(F$2,Inputs!$K$4:$AJ$4,0)))+SUMPRODUCT((Inputs!$C$5:$C$130=$B65)*Inputs!$D$5:$D$130*(((Inputs!$G$5:$G$130="moeda")+(Inputs!$G$5:$G$130="acoes"))*Inputs!$B$1+((Inputs!$G$5:$G$130&lt;&gt;"moeda")*(Inputs!$G$5:$G$130&lt;&gt;"acoes")))*INDEX(Inputs!$K$5:$AJ$130,0,MATCH(F$2,Inputs!$K$4:$AJ$4,0)))+SUMPRODUCT((Inputs!$E$5:$E$130=$B65)*Inputs!$F$5:$F$130*(((Inputs!$G$5:$G$130="moeda")+(Inputs!$G$5:$G$130="acoes"))*Inputs!$B$1+((Inputs!$G$5:$G$130&lt;&gt;"moeda")*(Inputs!$G$5:$G$130&lt;&gt;"acoes")))*INDEX(Inputs!$K$5:$AJ$130,0,MATCH(F$2,Inputs!$K$4:$AJ$4,0)))))</f>
        <v>25</v>
      </c>
      <c r="G65" s="263">
        <f>IF(ISNA(MATCH(G$2,Inputs!$K$4:$AJ$4,0)),NA(),IF(SUMPRODUCT((Inputs!$A$5:$A$130=$B65)*ISNUMBER(INDEX(Inputs!$K$5:$AJ$130,0,MATCH(G$2,Inputs!$K$4:$AJ$4,0))))+SUMPRODUCT((Inputs!$C$5:$C$130=$B65)*ISNUMBER(INDEX(Inputs!$K$5:$AJ$130,0,MATCH(G$2,Inputs!$K$4:$AJ$4,0))))+SUMPRODUCT((Inputs!$E$5:$E$130=$B65)*ISNUMBER(INDEX(Inputs!$K$5:$AJ$130,0,MATCH(G$2,Inputs!$K$4:$AJ$4,0))))=0,NA(),SUMPRODUCT((Inputs!$A$5:$A$130=$B65)*Inputs!$B$5:$B$130*(((Inputs!$G$5:$G$130="moeda")+(Inputs!$G$5:$G$130="acoes"))*Inputs!$B$1+((Inputs!$G$5:$G$130&lt;&gt;"moeda")*(Inputs!$G$5:$G$130&lt;&gt;"acoes")))*INDEX(Inputs!$K$5:$AJ$130,0,MATCH(G$2,Inputs!$K$4:$AJ$4,0)))+SUMPRODUCT((Inputs!$C$5:$C$130=$B65)*Inputs!$D$5:$D$130*(((Inputs!$G$5:$G$130="moeda")+(Inputs!$G$5:$G$130="acoes"))*Inputs!$B$1+((Inputs!$G$5:$G$130&lt;&gt;"moeda")*(Inputs!$G$5:$G$130&lt;&gt;"acoes")))*INDEX(Inputs!$K$5:$AJ$130,0,MATCH(G$2,Inputs!$K$4:$AJ$4,0)))+SUMPRODUCT((Inputs!$E$5:$E$130=$B65)*Inputs!$F$5:$F$130*(((Inputs!$G$5:$G$130="moeda")+(Inputs!$G$5:$G$130="acoes"))*Inputs!$B$1+((Inputs!$G$5:$G$130&lt;&gt;"moeda")*(Inputs!$G$5:$G$130&lt;&gt;"acoes")))*INDEX(Inputs!$K$5:$AJ$130,0,MATCH(G$2,Inputs!$K$4:$AJ$4,0)))))</f>
        <v>26</v>
      </c>
      <c r="H65" s="264">
        <f>SUM(D65:G65)</f>
        <v>85</v>
      </c>
      <c r="I65" s="263">
        <f>IF(ISNA(MATCH(I$2,Inputs!$K$4:$AJ$4,0)),NA(),IF(SUMPRODUCT((Inputs!$A$5:$A$130=$B65)*ISNUMBER(INDEX(Inputs!$K$5:$AJ$130,0,MATCH(I$2,Inputs!$K$4:$AJ$4,0))))+SUMPRODUCT((Inputs!$C$5:$C$130=$B65)*ISNUMBER(INDEX(Inputs!$K$5:$AJ$130,0,MATCH(I$2,Inputs!$K$4:$AJ$4,0))))+SUMPRODUCT((Inputs!$E$5:$E$130=$B65)*ISNUMBER(INDEX(Inputs!$K$5:$AJ$130,0,MATCH(I$2,Inputs!$K$4:$AJ$4,0))))=0,NA(),SUMPRODUCT((Inputs!$A$5:$A$130=$B65)*Inputs!$B$5:$B$130*(((Inputs!$G$5:$G$130="moeda")+(Inputs!$G$5:$G$130="acoes"))*Inputs!$B$1+((Inputs!$G$5:$G$130&lt;&gt;"moeda")*(Inputs!$G$5:$G$130&lt;&gt;"acoes")))*INDEX(Inputs!$K$5:$AJ$130,0,MATCH(I$2,Inputs!$K$4:$AJ$4,0)))+SUMPRODUCT((Inputs!$C$5:$C$130=$B65)*Inputs!$D$5:$D$130*(((Inputs!$G$5:$G$130="moeda")+(Inputs!$G$5:$G$130="acoes"))*Inputs!$B$1+((Inputs!$G$5:$G$130&lt;&gt;"moeda")*(Inputs!$G$5:$G$130&lt;&gt;"acoes")))*INDEX(Inputs!$K$5:$AJ$130,0,MATCH(I$2,Inputs!$K$4:$AJ$4,0)))+SUMPRODUCT((Inputs!$E$5:$E$130=$B65)*Inputs!$F$5:$F$130*(((Inputs!$G$5:$G$130="moeda")+(Inputs!$G$5:$G$130="acoes"))*Inputs!$B$1+((Inputs!$G$5:$G$130&lt;&gt;"moeda")*(Inputs!$G$5:$G$130&lt;&gt;"acoes")))*INDEX(Inputs!$K$5:$AJ$130,0,MATCH(I$2,Inputs!$K$4:$AJ$4,0)))))</f>
        <v>25</v>
      </c>
      <c r="J65" s="263">
        <f>IF(ISNA(MATCH(J$2,Inputs!$K$4:$AJ$4,0)),NA(),IF(SUMPRODUCT((Inputs!$A$5:$A$130=$B65)*ISNUMBER(INDEX(Inputs!$K$5:$AJ$130,0,MATCH(J$2,Inputs!$K$4:$AJ$4,0))))+SUMPRODUCT((Inputs!$C$5:$C$130=$B65)*ISNUMBER(INDEX(Inputs!$K$5:$AJ$130,0,MATCH(J$2,Inputs!$K$4:$AJ$4,0))))+SUMPRODUCT((Inputs!$E$5:$E$130=$B65)*ISNUMBER(INDEX(Inputs!$K$5:$AJ$130,0,MATCH(J$2,Inputs!$K$4:$AJ$4,0))))=0,NA(),SUMPRODUCT((Inputs!$A$5:$A$130=$B65)*Inputs!$B$5:$B$130*(((Inputs!$G$5:$G$130="moeda")+(Inputs!$G$5:$G$130="acoes"))*Inputs!$B$1+((Inputs!$G$5:$G$130&lt;&gt;"moeda")*(Inputs!$G$5:$G$130&lt;&gt;"acoes")))*INDEX(Inputs!$K$5:$AJ$130,0,MATCH(J$2,Inputs!$K$4:$AJ$4,0)))+SUMPRODUCT((Inputs!$C$5:$C$130=$B65)*Inputs!$D$5:$D$130*(((Inputs!$G$5:$G$130="moeda")+(Inputs!$G$5:$G$130="acoes"))*Inputs!$B$1+((Inputs!$G$5:$G$130&lt;&gt;"moeda")*(Inputs!$G$5:$G$130&lt;&gt;"acoes")))*INDEX(Inputs!$K$5:$AJ$130,0,MATCH(J$2,Inputs!$K$4:$AJ$4,0)))+SUMPRODUCT((Inputs!$E$5:$E$130=$B65)*Inputs!$F$5:$F$130*(((Inputs!$G$5:$G$130="moeda")+(Inputs!$G$5:$G$130="acoes"))*Inputs!$B$1+((Inputs!$G$5:$G$130&lt;&gt;"moeda")*(Inputs!$G$5:$G$130&lt;&gt;"acoes")))*INDEX(Inputs!$K$5:$AJ$130,0,MATCH(J$2,Inputs!$K$4:$AJ$4,0)))))</f>
        <v>23</v>
      </c>
      <c r="K65" s="263">
        <f>IF(ISNA(MATCH(K$2,Inputs!$K$4:$AJ$4,0)),NA(),IF(SUMPRODUCT((Inputs!$A$5:$A$130=$B65)*ISNUMBER(INDEX(Inputs!$K$5:$AJ$130,0,MATCH(K$2,Inputs!$K$4:$AJ$4,0))))+SUMPRODUCT((Inputs!$C$5:$C$130=$B65)*ISNUMBER(INDEX(Inputs!$K$5:$AJ$130,0,MATCH(K$2,Inputs!$K$4:$AJ$4,0))))+SUMPRODUCT((Inputs!$E$5:$E$130=$B65)*ISNUMBER(INDEX(Inputs!$K$5:$AJ$130,0,MATCH(K$2,Inputs!$K$4:$AJ$4,0))))=0,NA(),SUMPRODUCT((Inputs!$A$5:$A$130=$B65)*Inputs!$B$5:$B$130*(((Inputs!$G$5:$G$130="moeda")+(Inputs!$G$5:$G$130="acoes"))*Inputs!$B$1+((Inputs!$G$5:$G$130&lt;&gt;"moeda")*(Inputs!$G$5:$G$130&lt;&gt;"acoes")))*INDEX(Inputs!$K$5:$AJ$130,0,MATCH(K$2,Inputs!$K$4:$AJ$4,0)))+SUMPRODUCT((Inputs!$C$5:$C$130=$B65)*Inputs!$D$5:$D$130*(((Inputs!$G$5:$G$130="moeda")+(Inputs!$G$5:$G$130="acoes"))*Inputs!$B$1+((Inputs!$G$5:$G$130&lt;&gt;"moeda")*(Inputs!$G$5:$G$130&lt;&gt;"acoes")))*INDEX(Inputs!$K$5:$AJ$130,0,MATCH(K$2,Inputs!$K$4:$AJ$4,0)))+SUMPRODUCT((Inputs!$E$5:$E$130=$B65)*Inputs!$F$5:$F$130*(((Inputs!$G$5:$G$130="moeda")+(Inputs!$G$5:$G$130="acoes"))*Inputs!$B$1+((Inputs!$G$5:$G$130&lt;&gt;"moeda")*(Inputs!$G$5:$G$130&lt;&gt;"acoes")))*INDEX(Inputs!$K$5:$AJ$130,0,MATCH(K$2,Inputs!$K$4:$AJ$4,0)))))</f>
        <v>29</v>
      </c>
      <c r="L65" s="263">
        <f>IF(ISNA(MATCH(L$2,Inputs!$K$4:$AJ$4,0)),NA(),IF(SUMPRODUCT((Inputs!$A$5:$A$130=$B65)*ISNUMBER(INDEX(Inputs!$K$5:$AJ$130,0,MATCH(L$2,Inputs!$K$4:$AJ$4,0))))+SUMPRODUCT((Inputs!$C$5:$C$130=$B65)*ISNUMBER(INDEX(Inputs!$K$5:$AJ$130,0,MATCH(L$2,Inputs!$K$4:$AJ$4,0))))+SUMPRODUCT((Inputs!$E$5:$E$130=$B65)*ISNUMBER(INDEX(Inputs!$K$5:$AJ$130,0,MATCH(L$2,Inputs!$K$4:$AJ$4,0))))=0,NA(),SUMPRODUCT((Inputs!$A$5:$A$130=$B65)*Inputs!$B$5:$B$130*(((Inputs!$G$5:$G$130="moeda")+(Inputs!$G$5:$G$130="acoes"))*Inputs!$B$1+((Inputs!$G$5:$G$130&lt;&gt;"moeda")*(Inputs!$G$5:$G$130&lt;&gt;"acoes")))*INDEX(Inputs!$K$5:$AJ$130,0,MATCH(L$2,Inputs!$K$4:$AJ$4,0)))+SUMPRODUCT((Inputs!$C$5:$C$130=$B65)*Inputs!$D$5:$D$130*(((Inputs!$G$5:$G$130="moeda")+(Inputs!$G$5:$G$130="acoes"))*Inputs!$B$1+((Inputs!$G$5:$G$130&lt;&gt;"moeda")*(Inputs!$G$5:$G$130&lt;&gt;"acoes")))*INDEX(Inputs!$K$5:$AJ$130,0,MATCH(L$2,Inputs!$K$4:$AJ$4,0)))+SUMPRODUCT((Inputs!$E$5:$E$130=$B65)*Inputs!$F$5:$F$130*(((Inputs!$G$5:$G$130="moeda")+(Inputs!$G$5:$G$130="acoes"))*Inputs!$B$1+((Inputs!$G$5:$G$130&lt;&gt;"moeda")*(Inputs!$G$5:$G$130&lt;&gt;"acoes")))*INDEX(Inputs!$K$5:$AJ$130,0,MATCH(L$2,Inputs!$K$4:$AJ$4,0)))))</f>
        <v>17</v>
      </c>
      <c r="M65" s="264">
        <f>SUM(I65:L65)</f>
        <v>94</v>
      </c>
      <c r="N65" s="263">
        <f>IF(ISNA(MATCH(N$2,Inputs!$K$4:$AJ$4,0)),NA(),IF(SUMPRODUCT((Inputs!$A$5:$A$130=$B65)*ISNUMBER(INDEX(Inputs!$K$5:$AJ$130,0,MATCH(N$2,Inputs!$K$4:$AJ$4,0))))+SUMPRODUCT((Inputs!$C$5:$C$130=$B65)*ISNUMBER(INDEX(Inputs!$K$5:$AJ$130,0,MATCH(N$2,Inputs!$K$4:$AJ$4,0))))+SUMPRODUCT((Inputs!$E$5:$E$130=$B65)*ISNUMBER(INDEX(Inputs!$K$5:$AJ$130,0,MATCH(N$2,Inputs!$K$4:$AJ$4,0))))=0,NA(),SUMPRODUCT((Inputs!$A$5:$A$130=$B65)*Inputs!$B$5:$B$130*(((Inputs!$G$5:$G$130="moeda")+(Inputs!$G$5:$G$130="acoes"))*Inputs!$B$1+((Inputs!$G$5:$G$130&lt;&gt;"moeda")*(Inputs!$G$5:$G$130&lt;&gt;"acoes")))*INDEX(Inputs!$K$5:$AJ$130,0,MATCH(N$2,Inputs!$K$4:$AJ$4,0)))+SUMPRODUCT((Inputs!$C$5:$C$130=$B65)*Inputs!$D$5:$D$130*(((Inputs!$G$5:$G$130="moeda")+(Inputs!$G$5:$G$130="acoes"))*Inputs!$B$1+((Inputs!$G$5:$G$130&lt;&gt;"moeda")*(Inputs!$G$5:$G$130&lt;&gt;"acoes")))*INDEX(Inputs!$K$5:$AJ$130,0,MATCH(N$2,Inputs!$K$4:$AJ$4,0)))+SUMPRODUCT((Inputs!$E$5:$E$130=$B65)*Inputs!$F$5:$F$130*(((Inputs!$G$5:$G$130="moeda")+(Inputs!$G$5:$G$130="acoes"))*Inputs!$B$1+((Inputs!$G$5:$G$130&lt;&gt;"moeda")*(Inputs!$G$5:$G$130&lt;&gt;"acoes")))*INDEX(Inputs!$K$5:$AJ$130,0,MATCH(N$2,Inputs!$K$4:$AJ$4,0)))))</f>
        <v>25</v>
      </c>
      <c r="O65" s="263">
        <f>IF(ISNA(MATCH(O$2,Inputs!$K$4:$AJ$4,0)),NA(),IF(SUMPRODUCT((Inputs!$A$5:$A$130=$B65)*ISNUMBER(INDEX(Inputs!$K$5:$AJ$130,0,MATCH(O$2,Inputs!$K$4:$AJ$4,0))))+SUMPRODUCT((Inputs!$C$5:$C$130=$B65)*ISNUMBER(INDEX(Inputs!$K$5:$AJ$130,0,MATCH(O$2,Inputs!$K$4:$AJ$4,0))))+SUMPRODUCT((Inputs!$E$5:$E$130=$B65)*ISNUMBER(INDEX(Inputs!$K$5:$AJ$130,0,MATCH(O$2,Inputs!$K$4:$AJ$4,0))))=0,NA(),SUMPRODUCT((Inputs!$A$5:$A$130=$B65)*Inputs!$B$5:$B$130*(((Inputs!$G$5:$G$130="moeda")+(Inputs!$G$5:$G$130="acoes"))*Inputs!$B$1+((Inputs!$G$5:$G$130&lt;&gt;"moeda")*(Inputs!$G$5:$G$130&lt;&gt;"acoes")))*INDEX(Inputs!$K$5:$AJ$130,0,MATCH(O$2,Inputs!$K$4:$AJ$4,0)))+SUMPRODUCT((Inputs!$C$5:$C$130=$B65)*Inputs!$D$5:$D$130*(((Inputs!$G$5:$G$130="moeda")+(Inputs!$G$5:$G$130="acoes"))*Inputs!$B$1+((Inputs!$G$5:$G$130&lt;&gt;"moeda")*(Inputs!$G$5:$G$130&lt;&gt;"acoes")))*INDEX(Inputs!$K$5:$AJ$130,0,MATCH(O$2,Inputs!$K$4:$AJ$4,0)))+SUMPRODUCT((Inputs!$E$5:$E$130=$B65)*Inputs!$F$5:$F$130*(((Inputs!$G$5:$G$130="moeda")+(Inputs!$G$5:$G$130="acoes"))*Inputs!$B$1+((Inputs!$G$5:$G$130&lt;&gt;"moeda")*(Inputs!$G$5:$G$130&lt;&gt;"acoes")))*INDEX(Inputs!$K$5:$AJ$130,0,MATCH(O$2,Inputs!$K$4:$AJ$4,0)))))</f>
        <v>30</v>
      </c>
      <c r="P65" s="263">
        <f>IF(ISNA(MATCH(P$2,Inputs!$K$4:$AJ$4,0)),NA(),IF(SUMPRODUCT((Inputs!$A$5:$A$130=$B65)*ISNUMBER(INDEX(Inputs!$K$5:$AJ$130,0,MATCH(P$2,Inputs!$K$4:$AJ$4,0))))+SUMPRODUCT((Inputs!$C$5:$C$130=$B65)*ISNUMBER(INDEX(Inputs!$K$5:$AJ$130,0,MATCH(P$2,Inputs!$K$4:$AJ$4,0))))+SUMPRODUCT((Inputs!$E$5:$E$130=$B65)*ISNUMBER(INDEX(Inputs!$K$5:$AJ$130,0,MATCH(P$2,Inputs!$K$4:$AJ$4,0))))=0,NA(),SUMPRODUCT((Inputs!$A$5:$A$130=$B65)*Inputs!$B$5:$B$130*(((Inputs!$G$5:$G$130="moeda")+(Inputs!$G$5:$G$130="acoes"))*Inputs!$B$1+((Inputs!$G$5:$G$130&lt;&gt;"moeda")*(Inputs!$G$5:$G$130&lt;&gt;"acoes")))*INDEX(Inputs!$K$5:$AJ$130,0,MATCH(P$2,Inputs!$K$4:$AJ$4,0)))+SUMPRODUCT((Inputs!$C$5:$C$130=$B65)*Inputs!$D$5:$D$130*(((Inputs!$G$5:$G$130="moeda")+(Inputs!$G$5:$G$130="acoes"))*Inputs!$B$1+((Inputs!$G$5:$G$130&lt;&gt;"moeda")*(Inputs!$G$5:$G$130&lt;&gt;"acoes")))*INDEX(Inputs!$K$5:$AJ$130,0,MATCH(P$2,Inputs!$K$4:$AJ$4,0)))+SUMPRODUCT((Inputs!$E$5:$E$130=$B65)*Inputs!$F$5:$F$130*(((Inputs!$G$5:$G$130="moeda")+(Inputs!$G$5:$G$130="acoes"))*Inputs!$B$1+((Inputs!$G$5:$G$130&lt;&gt;"moeda")*(Inputs!$G$5:$G$130&lt;&gt;"acoes")))*INDEX(Inputs!$K$5:$AJ$130,0,MATCH(P$2,Inputs!$K$4:$AJ$4,0)))))</f>
        <v>40</v>
      </c>
      <c r="Q65" s="263">
        <f>IF(ISNA(MATCH(Q$2,Inputs!$K$4:$AJ$4,0)),NA(),IF(SUMPRODUCT((Inputs!$A$5:$A$130=$B65)*ISNUMBER(INDEX(Inputs!$K$5:$AJ$130,0,MATCH(Q$2,Inputs!$K$4:$AJ$4,0))))+SUMPRODUCT((Inputs!$C$5:$C$130=$B65)*ISNUMBER(INDEX(Inputs!$K$5:$AJ$130,0,MATCH(Q$2,Inputs!$K$4:$AJ$4,0))))+SUMPRODUCT((Inputs!$E$5:$E$130=$B65)*ISNUMBER(INDEX(Inputs!$K$5:$AJ$130,0,MATCH(Q$2,Inputs!$K$4:$AJ$4,0))))=0,NA(),SUMPRODUCT((Inputs!$A$5:$A$130=$B65)*Inputs!$B$5:$B$130*(((Inputs!$G$5:$G$130="moeda")+(Inputs!$G$5:$G$130="acoes"))*Inputs!$B$1+((Inputs!$G$5:$G$130&lt;&gt;"moeda")*(Inputs!$G$5:$G$130&lt;&gt;"acoes")))*INDEX(Inputs!$K$5:$AJ$130,0,MATCH(Q$2,Inputs!$K$4:$AJ$4,0)))+SUMPRODUCT((Inputs!$C$5:$C$130=$B65)*Inputs!$D$5:$D$130*(((Inputs!$G$5:$G$130="moeda")+(Inputs!$G$5:$G$130="acoes"))*Inputs!$B$1+((Inputs!$G$5:$G$130&lt;&gt;"moeda")*(Inputs!$G$5:$G$130&lt;&gt;"acoes")))*INDEX(Inputs!$K$5:$AJ$130,0,MATCH(Q$2,Inputs!$K$4:$AJ$4,0)))+SUMPRODUCT((Inputs!$E$5:$E$130=$B65)*Inputs!$F$5:$F$130*(((Inputs!$G$5:$G$130="moeda")+(Inputs!$G$5:$G$130="acoes"))*Inputs!$B$1+((Inputs!$G$5:$G$130&lt;&gt;"moeda")*(Inputs!$G$5:$G$130&lt;&gt;"acoes")))*INDEX(Inputs!$K$5:$AJ$130,0,MATCH(Q$2,Inputs!$K$4:$AJ$4,0)))))</f>
        <v>31</v>
      </c>
      <c r="R65" s="264">
        <f>SUM(N65:Q65)</f>
        <v>126</v>
      </c>
      <c r="S65" s="263">
        <f>IF(ISNA(MATCH(S$2,Inputs!$K$4:$AJ$4,0)),NA(),IF(SUMPRODUCT((Inputs!$A$5:$A$130=$B65)*ISNUMBER(INDEX(Inputs!$K$5:$AJ$130,0,MATCH(S$2,Inputs!$K$4:$AJ$4,0))))+SUMPRODUCT((Inputs!$C$5:$C$130=$B65)*ISNUMBER(INDEX(Inputs!$K$5:$AJ$130,0,MATCH(S$2,Inputs!$K$4:$AJ$4,0))))+SUMPRODUCT((Inputs!$E$5:$E$130=$B65)*ISNUMBER(INDEX(Inputs!$K$5:$AJ$130,0,MATCH(S$2,Inputs!$K$4:$AJ$4,0))))=0,NA(),SUMPRODUCT((Inputs!$A$5:$A$130=$B65)*Inputs!$B$5:$B$130*(((Inputs!$G$5:$G$130="moeda")+(Inputs!$G$5:$G$130="acoes"))*Inputs!$B$1+((Inputs!$G$5:$G$130&lt;&gt;"moeda")*(Inputs!$G$5:$G$130&lt;&gt;"acoes")))*INDEX(Inputs!$K$5:$AJ$130,0,MATCH(S$2,Inputs!$K$4:$AJ$4,0)))+SUMPRODUCT((Inputs!$C$5:$C$130=$B65)*Inputs!$D$5:$D$130*(((Inputs!$G$5:$G$130="moeda")+(Inputs!$G$5:$G$130="acoes"))*Inputs!$B$1+((Inputs!$G$5:$G$130&lt;&gt;"moeda")*(Inputs!$G$5:$G$130&lt;&gt;"acoes")))*INDEX(Inputs!$K$5:$AJ$130,0,MATCH(S$2,Inputs!$K$4:$AJ$4,0)))+SUMPRODUCT((Inputs!$E$5:$E$130=$B65)*Inputs!$F$5:$F$130*(((Inputs!$G$5:$G$130="moeda")+(Inputs!$G$5:$G$130="acoes"))*Inputs!$B$1+((Inputs!$G$5:$G$130&lt;&gt;"moeda")*(Inputs!$G$5:$G$130&lt;&gt;"acoes")))*INDEX(Inputs!$K$5:$AJ$130,0,MATCH(S$2,Inputs!$K$4:$AJ$4,0)))))</f>
        <v>27</v>
      </c>
      <c r="T65" s="263">
        <f>IF(ISNA(MATCH(T$2,Inputs!$K$4:$AJ$4,0)),NA(),IF(SUMPRODUCT((Inputs!$A$5:$A$130=$B65)*ISNUMBER(INDEX(Inputs!$K$5:$AJ$130,0,MATCH(T$2,Inputs!$K$4:$AJ$4,0))))+SUMPRODUCT((Inputs!$C$5:$C$130=$B65)*ISNUMBER(INDEX(Inputs!$K$5:$AJ$130,0,MATCH(T$2,Inputs!$K$4:$AJ$4,0))))+SUMPRODUCT((Inputs!$E$5:$E$130=$B65)*ISNUMBER(INDEX(Inputs!$K$5:$AJ$130,0,MATCH(T$2,Inputs!$K$4:$AJ$4,0))))=0,NA(),SUMPRODUCT((Inputs!$A$5:$A$130=$B65)*Inputs!$B$5:$B$130*(((Inputs!$G$5:$G$130="moeda")+(Inputs!$G$5:$G$130="acoes"))*Inputs!$B$1+((Inputs!$G$5:$G$130&lt;&gt;"moeda")*(Inputs!$G$5:$G$130&lt;&gt;"acoes")))*INDEX(Inputs!$K$5:$AJ$130,0,MATCH(T$2,Inputs!$K$4:$AJ$4,0)))+SUMPRODUCT((Inputs!$C$5:$C$130=$B65)*Inputs!$D$5:$D$130*(((Inputs!$G$5:$G$130="moeda")+(Inputs!$G$5:$G$130="acoes"))*Inputs!$B$1+((Inputs!$G$5:$G$130&lt;&gt;"moeda")*(Inputs!$G$5:$G$130&lt;&gt;"acoes")))*INDEX(Inputs!$K$5:$AJ$130,0,MATCH(T$2,Inputs!$K$4:$AJ$4,0)))+SUMPRODUCT((Inputs!$E$5:$E$130=$B65)*Inputs!$F$5:$F$130*(((Inputs!$G$5:$G$130="moeda")+(Inputs!$G$5:$G$130="acoes"))*Inputs!$B$1+((Inputs!$G$5:$G$130&lt;&gt;"moeda")*(Inputs!$G$5:$G$130&lt;&gt;"acoes")))*INDEX(Inputs!$K$5:$AJ$130,0,MATCH(T$2,Inputs!$K$4:$AJ$4,0)))))</f>
        <v>30</v>
      </c>
      <c r="U65" s="263">
        <f>IF(ISNA(MATCH(U$2,Inputs!$K$4:$AJ$4,0)),NA(),IF(SUMPRODUCT((Inputs!$A$5:$A$130=$B65)*ISNUMBER(INDEX(Inputs!$K$5:$AJ$130,0,MATCH(U$2,Inputs!$K$4:$AJ$4,0))))+SUMPRODUCT((Inputs!$C$5:$C$130=$B65)*ISNUMBER(INDEX(Inputs!$K$5:$AJ$130,0,MATCH(U$2,Inputs!$K$4:$AJ$4,0))))+SUMPRODUCT((Inputs!$E$5:$E$130=$B65)*ISNUMBER(INDEX(Inputs!$K$5:$AJ$130,0,MATCH(U$2,Inputs!$K$4:$AJ$4,0))))=0,NA(),SUMPRODUCT((Inputs!$A$5:$A$130=$B65)*Inputs!$B$5:$B$130*(((Inputs!$G$5:$G$130="moeda")+(Inputs!$G$5:$G$130="acoes"))*Inputs!$B$1+((Inputs!$G$5:$G$130&lt;&gt;"moeda")*(Inputs!$G$5:$G$130&lt;&gt;"acoes")))*INDEX(Inputs!$K$5:$AJ$130,0,MATCH(U$2,Inputs!$K$4:$AJ$4,0)))+SUMPRODUCT((Inputs!$C$5:$C$130=$B65)*Inputs!$D$5:$D$130*(((Inputs!$G$5:$G$130="moeda")+(Inputs!$G$5:$G$130="acoes"))*Inputs!$B$1+((Inputs!$G$5:$G$130&lt;&gt;"moeda")*(Inputs!$G$5:$G$130&lt;&gt;"acoes")))*INDEX(Inputs!$K$5:$AJ$130,0,MATCH(U$2,Inputs!$K$4:$AJ$4,0)))+SUMPRODUCT((Inputs!$E$5:$E$130=$B65)*Inputs!$F$5:$F$130*(((Inputs!$G$5:$G$130="moeda")+(Inputs!$G$5:$G$130="acoes"))*Inputs!$B$1+((Inputs!$G$5:$G$130&lt;&gt;"moeda")*(Inputs!$G$5:$G$130&lt;&gt;"acoes")))*INDEX(Inputs!$K$5:$AJ$130,0,MATCH(U$2,Inputs!$K$4:$AJ$4,0)))))</f>
        <v>18</v>
      </c>
      <c r="V65" s="263">
        <f>IF(ISNA(MATCH(V$2,Inputs!$K$4:$AJ$4,0)),NA(),IF(SUMPRODUCT((Inputs!$A$5:$A$130=$B65)*ISNUMBER(INDEX(Inputs!$K$5:$AJ$130,0,MATCH(V$2,Inputs!$K$4:$AJ$4,0))))+SUMPRODUCT((Inputs!$C$5:$C$130=$B65)*ISNUMBER(INDEX(Inputs!$K$5:$AJ$130,0,MATCH(V$2,Inputs!$K$4:$AJ$4,0))))+SUMPRODUCT((Inputs!$E$5:$E$130=$B65)*ISNUMBER(INDEX(Inputs!$K$5:$AJ$130,0,MATCH(V$2,Inputs!$K$4:$AJ$4,0))))=0,NA(),SUMPRODUCT((Inputs!$A$5:$A$130=$B65)*Inputs!$B$5:$B$130*(((Inputs!$G$5:$G$130="moeda")+(Inputs!$G$5:$G$130="acoes"))*Inputs!$B$1+((Inputs!$G$5:$G$130&lt;&gt;"moeda")*(Inputs!$G$5:$G$130&lt;&gt;"acoes")))*INDEX(Inputs!$K$5:$AJ$130,0,MATCH(V$2,Inputs!$K$4:$AJ$4,0)))+SUMPRODUCT((Inputs!$C$5:$C$130=$B65)*Inputs!$D$5:$D$130*(((Inputs!$G$5:$G$130="moeda")+(Inputs!$G$5:$G$130="acoes"))*Inputs!$B$1+((Inputs!$G$5:$G$130&lt;&gt;"moeda")*(Inputs!$G$5:$G$130&lt;&gt;"acoes")))*INDEX(Inputs!$K$5:$AJ$130,0,MATCH(V$2,Inputs!$K$4:$AJ$4,0)))+SUMPRODUCT((Inputs!$E$5:$E$130=$B65)*Inputs!$F$5:$F$130*(((Inputs!$G$5:$G$130="moeda")+(Inputs!$G$5:$G$130="acoes"))*Inputs!$B$1+((Inputs!$G$5:$G$130&lt;&gt;"moeda")*(Inputs!$G$5:$G$130&lt;&gt;"acoes")))*INDEX(Inputs!$K$5:$AJ$130,0,MATCH(V$2,Inputs!$K$4:$AJ$4,0)))))</f>
        <v>22</v>
      </c>
      <c r="W65" s="264">
        <f>SUM(S65:V65)</f>
        <v>97</v>
      </c>
      <c r="X65" s="263">
        <f>IF(ISNA(MATCH(X$2,Inputs!$K$4:$AJ$4,0)),NA(),IF(SUMPRODUCT((Inputs!$A$5:$A$130=$B65)*ISNUMBER(INDEX(Inputs!$K$5:$AJ$130,0,MATCH(X$2,Inputs!$K$4:$AJ$4,0))))+SUMPRODUCT((Inputs!$C$5:$C$130=$B65)*ISNUMBER(INDEX(Inputs!$K$5:$AJ$130,0,MATCH(X$2,Inputs!$K$4:$AJ$4,0))))+SUMPRODUCT((Inputs!$E$5:$E$130=$B65)*ISNUMBER(INDEX(Inputs!$K$5:$AJ$130,0,MATCH(X$2,Inputs!$K$4:$AJ$4,0))))=0,NA(),SUMPRODUCT((Inputs!$A$5:$A$130=$B65)*Inputs!$B$5:$B$130*(((Inputs!$G$5:$G$130="moeda")+(Inputs!$G$5:$G$130="acoes"))*Inputs!$B$1+((Inputs!$G$5:$G$130&lt;&gt;"moeda")*(Inputs!$G$5:$G$130&lt;&gt;"acoes")))*INDEX(Inputs!$K$5:$AJ$130,0,MATCH(X$2,Inputs!$K$4:$AJ$4,0)))+SUMPRODUCT((Inputs!$C$5:$C$130=$B65)*Inputs!$D$5:$D$130*(((Inputs!$G$5:$G$130="moeda")+(Inputs!$G$5:$G$130="acoes"))*Inputs!$B$1+((Inputs!$G$5:$G$130&lt;&gt;"moeda")*(Inputs!$G$5:$G$130&lt;&gt;"acoes")))*INDEX(Inputs!$K$5:$AJ$130,0,MATCH(X$2,Inputs!$K$4:$AJ$4,0)))+SUMPRODUCT((Inputs!$E$5:$E$130=$B65)*Inputs!$F$5:$F$130*(((Inputs!$G$5:$G$130="moeda")+(Inputs!$G$5:$G$130="acoes"))*Inputs!$B$1+((Inputs!$G$5:$G$130&lt;&gt;"moeda")*(Inputs!$G$5:$G$130&lt;&gt;"acoes")))*INDEX(Inputs!$K$5:$AJ$130,0,MATCH(X$2,Inputs!$K$4:$AJ$4,0)))))</f>
        <v>26</v>
      </c>
      <c r="Y65" s="263">
        <f>IF(ISNA(MATCH(Y$2,Inputs!$K$4:$AJ$4,0)),NA(),IF(SUMPRODUCT((Inputs!$A$5:$A$130=$B65)*ISNUMBER(INDEX(Inputs!$K$5:$AJ$130,0,MATCH(Y$2,Inputs!$K$4:$AJ$4,0))))+SUMPRODUCT((Inputs!$C$5:$C$130=$B65)*ISNUMBER(INDEX(Inputs!$K$5:$AJ$130,0,MATCH(Y$2,Inputs!$K$4:$AJ$4,0))))+SUMPRODUCT((Inputs!$E$5:$E$130=$B65)*ISNUMBER(INDEX(Inputs!$K$5:$AJ$130,0,MATCH(Y$2,Inputs!$K$4:$AJ$4,0))))=0,NA(),SUMPRODUCT((Inputs!$A$5:$A$130=$B65)*Inputs!$B$5:$B$130*(((Inputs!$G$5:$G$130="moeda")+(Inputs!$G$5:$G$130="acoes"))*Inputs!$B$1+((Inputs!$G$5:$G$130&lt;&gt;"moeda")*(Inputs!$G$5:$G$130&lt;&gt;"acoes")))*INDEX(Inputs!$K$5:$AJ$130,0,MATCH(Y$2,Inputs!$K$4:$AJ$4,0)))+SUMPRODUCT((Inputs!$C$5:$C$130=$B65)*Inputs!$D$5:$D$130*(((Inputs!$G$5:$G$130="moeda")+(Inputs!$G$5:$G$130="acoes"))*Inputs!$B$1+((Inputs!$G$5:$G$130&lt;&gt;"moeda")*(Inputs!$G$5:$G$130&lt;&gt;"acoes")))*INDEX(Inputs!$K$5:$AJ$130,0,MATCH(Y$2,Inputs!$K$4:$AJ$4,0)))+SUMPRODUCT((Inputs!$E$5:$E$130=$B65)*Inputs!$F$5:$F$130*(((Inputs!$G$5:$G$130="moeda")+(Inputs!$G$5:$G$130="acoes"))*Inputs!$B$1+((Inputs!$G$5:$G$130&lt;&gt;"moeda")*(Inputs!$G$5:$G$130&lt;&gt;"acoes")))*INDEX(Inputs!$K$5:$AJ$130,0,MATCH(Y$2,Inputs!$K$4:$AJ$4,0)))))</f>
        <v>39</v>
      </c>
      <c r="Z65" s="263">
        <f>IF(ISNA(MATCH(Z$2,Inputs!$K$4:$AJ$4,0)),NA(),IF(SUMPRODUCT((Inputs!$A$5:$A$130=$B65)*ISNUMBER(INDEX(Inputs!$K$5:$AJ$130,0,MATCH(Z$2,Inputs!$K$4:$AJ$4,0))))+SUMPRODUCT((Inputs!$C$5:$C$130=$B65)*ISNUMBER(INDEX(Inputs!$K$5:$AJ$130,0,MATCH(Z$2,Inputs!$K$4:$AJ$4,0))))+SUMPRODUCT((Inputs!$E$5:$E$130=$B65)*ISNUMBER(INDEX(Inputs!$K$5:$AJ$130,0,MATCH(Z$2,Inputs!$K$4:$AJ$4,0))))=0,NA(),SUMPRODUCT((Inputs!$A$5:$A$130=$B65)*Inputs!$B$5:$B$130*(((Inputs!$G$5:$G$130="moeda")+(Inputs!$G$5:$G$130="acoes"))*Inputs!$B$1+((Inputs!$G$5:$G$130&lt;&gt;"moeda")*(Inputs!$G$5:$G$130&lt;&gt;"acoes")))*INDEX(Inputs!$K$5:$AJ$130,0,MATCH(Z$2,Inputs!$K$4:$AJ$4,0)))+SUMPRODUCT((Inputs!$C$5:$C$130=$B65)*Inputs!$D$5:$D$130*(((Inputs!$G$5:$G$130="moeda")+(Inputs!$G$5:$G$130="acoes"))*Inputs!$B$1+((Inputs!$G$5:$G$130&lt;&gt;"moeda")*(Inputs!$G$5:$G$130&lt;&gt;"acoes")))*INDEX(Inputs!$K$5:$AJ$130,0,MATCH(Z$2,Inputs!$K$4:$AJ$4,0)))+SUMPRODUCT((Inputs!$E$5:$E$130=$B65)*Inputs!$F$5:$F$130*(((Inputs!$G$5:$G$130="moeda")+(Inputs!$G$5:$G$130="acoes"))*Inputs!$B$1+((Inputs!$G$5:$G$130&lt;&gt;"moeda")*(Inputs!$G$5:$G$130&lt;&gt;"acoes")))*INDEX(Inputs!$K$5:$AJ$130,0,MATCH(Z$2,Inputs!$K$4:$AJ$4,0)))))</f>
        <v>34</v>
      </c>
      <c r="AA65" s="263">
        <f>IF(ISNA(MATCH(AA$2,Inputs!$K$4:$AJ$4,0)),NA(),IF(SUMPRODUCT((Inputs!$A$5:$A$130=$B65)*ISNUMBER(INDEX(Inputs!$K$5:$AJ$130,0,MATCH(AA$2,Inputs!$K$4:$AJ$4,0))))+SUMPRODUCT((Inputs!$C$5:$C$130=$B65)*ISNUMBER(INDEX(Inputs!$K$5:$AJ$130,0,MATCH(AA$2,Inputs!$K$4:$AJ$4,0))))+SUMPRODUCT((Inputs!$E$5:$E$130=$B65)*ISNUMBER(INDEX(Inputs!$K$5:$AJ$130,0,MATCH(AA$2,Inputs!$K$4:$AJ$4,0))))=0,NA(),SUMPRODUCT((Inputs!$A$5:$A$130=$B65)*Inputs!$B$5:$B$130*(((Inputs!$G$5:$G$130="moeda")+(Inputs!$G$5:$G$130="acoes"))*Inputs!$B$1+((Inputs!$G$5:$G$130&lt;&gt;"moeda")*(Inputs!$G$5:$G$130&lt;&gt;"acoes")))*INDEX(Inputs!$K$5:$AJ$130,0,MATCH(AA$2,Inputs!$K$4:$AJ$4,0)))+SUMPRODUCT((Inputs!$C$5:$C$130=$B65)*Inputs!$D$5:$D$130*(((Inputs!$G$5:$G$130="moeda")+(Inputs!$G$5:$G$130="acoes"))*Inputs!$B$1+((Inputs!$G$5:$G$130&lt;&gt;"moeda")*(Inputs!$G$5:$G$130&lt;&gt;"acoes")))*INDEX(Inputs!$K$5:$AJ$130,0,MATCH(AA$2,Inputs!$K$4:$AJ$4,0)))+SUMPRODUCT((Inputs!$E$5:$E$130=$B65)*Inputs!$F$5:$F$130*(((Inputs!$G$5:$G$130="moeda")+(Inputs!$G$5:$G$130="acoes"))*Inputs!$B$1+((Inputs!$G$5:$G$130&lt;&gt;"moeda")*(Inputs!$G$5:$G$130&lt;&gt;"acoes")))*INDEX(Inputs!$K$5:$AJ$130,0,MATCH(AA$2,Inputs!$K$4:$AJ$4,0)))))</f>
        <v>45</v>
      </c>
      <c r="AB65" s="264">
        <f>SUM(X65:AA65)</f>
        <v>144</v>
      </c>
      <c r="AC65" s="263">
        <f>IF(ISNA(MATCH(AC$2,Inputs!$K$4:$AJ$4,0)),NA(),IF(SUMPRODUCT((Inputs!$A$5:$A$130=$B65)*ISNUMBER(INDEX(Inputs!$K$5:$AJ$130,0,MATCH(AC$2,Inputs!$K$4:$AJ$4,0))))+SUMPRODUCT((Inputs!$C$5:$C$130=$B65)*ISNUMBER(INDEX(Inputs!$K$5:$AJ$130,0,MATCH(AC$2,Inputs!$K$4:$AJ$4,0))))+SUMPRODUCT((Inputs!$E$5:$E$130=$B65)*ISNUMBER(INDEX(Inputs!$K$5:$AJ$130,0,MATCH(AC$2,Inputs!$K$4:$AJ$4,0))))=0,NA(),SUMPRODUCT((Inputs!$A$5:$A$130=$B65)*Inputs!$B$5:$B$130*(((Inputs!$G$5:$G$130="moeda")+(Inputs!$G$5:$G$130="acoes"))*Inputs!$B$1+((Inputs!$G$5:$G$130&lt;&gt;"moeda")*(Inputs!$G$5:$G$130&lt;&gt;"acoes")))*INDEX(Inputs!$K$5:$AJ$130,0,MATCH(AC$2,Inputs!$K$4:$AJ$4,0)))+SUMPRODUCT((Inputs!$C$5:$C$130=$B65)*Inputs!$D$5:$D$130*(((Inputs!$G$5:$G$130="moeda")+(Inputs!$G$5:$G$130="acoes"))*Inputs!$B$1+((Inputs!$G$5:$G$130&lt;&gt;"moeda")*(Inputs!$G$5:$G$130&lt;&gt;"acoes")))*INDEX(Inputs!$K$5:$AJ$130,0,MATCH(AC$2,Inputs!$K$4:$AJ$4,0)))+SUMPRODUCT((Inputs!$E$5:$E$130=$B65)*Inputs!$F$5:$F$130*(((Inputs!$G$5:$G$130="moeda")+(Inputs!$G$5:$G$130="acoes"))*Inputs!$B$1+((Inputs!$G$5:$G$130&lt;&gt;"moeda")*(Inputs!$G$5:$G$130&lt;&gt;"acoes")))*INDEX(Inputs!$K$5:$AJ$130,0,MATCH(AC$2,Inputs!$K$4:$AJ$4,0)))))</f>
        <v>32</v>
      </c>
      <c r="AD65" s="263">
        <f>IF(ISNA(MATCH(AD$2,Inputs!$K$4:$AJ$4,0)),NA(),IF(SUMPRODUCT((Inputs!$A$5:$A$130=$B65)*ISNUMBER(INDEX(Inputs!$K$5:$AJ$130,0,MATCH(AD$2,Inputs!$K$4:$AJ$4,0))))+SUMPRODUCT((Inputs!$C$5:$C$130=$B65)*ISNUMBER(INDEX(Inputs!$K$5:$AJ$130,0,MATCH(AD$2,Inputs!$K$4:$AJ$4,0))))+SUMPRODUCT((Inputs!$E$5:$E$130=$B65)*ISNUMBER(INDEX(Inputs!$K$5:$AJ$130,0,MATCH(AD$2,Inputs!$K$4:$AJ$4,0))))=0,NA(),SUMPRODUCT((Inputs!$A$5:$A$130=$B65)*Inputs!$B$5:$B$130*(((Inputs!$G$5:$G$130="moeda")+(Inputs!$G$5:$G$130="acoes"))*Inputs!$B$1+((Inputs!$G$5:$G$130&lt;&gt;"moeda")*(Inputs!$G$5:$G$130&lt;&gt;"acoes")))*INDEX(Inputs!$K$5:$AJ$130,0,MATCH(AD$2,Inputs!$K$4:$AJ$4,0)))+SUMPRODUCT((Inputs!$C$5:$C$130=$B65)*Inputs!$D$5:$D$130*(((Inputs!$G$5:$G$130="moeda")+(Inputs!$G$5:$G$130="acoes"))*Inputs!$B$1+((Inputs!$G$5:$G$130&lt;&gt;"moeda")*(Inputs!$G$5:$G$130&lt;&gt;"acoes")))*INDEX(Inputs!$K$5:$AJ$130,0,MATCH(AD$2,Inputs!$K$4:$AJ$4,0)))+SUMPRODUCT((Inputs!$E$5:$E$130=$B65)*Inputs!$F$5:$F$130*(((Inputs!$G$5:$G$130="moeda")+(Inputs!$G$5:$G$130="acoes"))*Inputs!$B$1+((Inputs!$G$5:$G$130&lt;&gt;"moeda")*(Inputs!$G$5:$G$130&lt;&gt;"acoes")))*INDEX(Inputs!$K$5:$AJ$130,0,MATCH(AD$2,Inputs!$K$4:$AJ$4,0)))))</f>
        <v>37</v>
      </c>
      <c r="AE65" s="263" t="e">
        <f>IF(ISNA(MATCH(AE$2,Inputs!$K$4:$AJ$4,0)),NA(),IF(SUMPRODUCT((Inputs!$A$5:$A$130=$B65)*ISNUMBER(INDEX(Inputs!$K$5:$AJ$130,0,MATCH(AE$2,Inputs!$K$4:$AJ$4,0))))+SUMPRODUCT((Inputs!$C$5:$C$130=$B65)*ISNUMBER(INDEX(Inputs!$K$5:$AJ$130,0,MATCH(AE$2,Inputs!$K$4:$AJ$4,0))))+SUMPRODUCT((Inputs!$E$5:$E$130=$B65)*ISNUMBER(INDEX(Inputs!$K$5:$AJ$130,0,MATCH(AE$2,Inputs!$K$4:$AJ$4,0))))=0,NA(),SUMPRODUCT((Inputs!$A$5:$A$130=$B65)*Inputs!$B$5:$B$130*(((Inputs!$G$5:$G$130="moeda")+(Inputs!$G$5:$G$130="acoes"))*Inputs!$B$1+((Inputs!$G$5:$G$130&lt;&gt;"moeda")*(Inputs!$G$5:$G$130&lt;&gt;"acoes")))*INDEX(Inputs!$K$5:$AJ$130,0,MATCH(AE$2,Inputs!$K$4:$AJ$4,0)))+SUMPRODUCT((Inputs!$C$5:$C$130=$B65)*Inputs!$D$5:$D$130*(((Inputs!$G$5:$G$130="moeda")+(Inputs!$G$5:$G$130="acoes"))*Inputs!$B$1+((Inputs!$G$5:$G$130&lt;&gt;"moeda")*(Inputs!$G$5:$G$130&lt;&gt;"acoes")))*INDEX(Inputs!$K$5:$AJ$130,0,MATCH(AE$2,Inputs!$K$4:$AJ$4,0)))+SUMPRODUCT((Inputs!$E$5:$E$130=$B65)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5" s="263" t="e">
        <f>IF(ISNA(MATCH(AF$2,Inputs!$K$4:$AJ$4,0)),NA(),IF(SUMPRODUCT((Inputs!$A$5:$A$130=$B65)*ISNUMBER(INDEX(Inputs!$K$5:$AJ$130,0,MATCH(AF$2,Inputs!$K$4:$AJ$4,0))))+SUMPRODUCT((Inputs!$C$5:$C$130=$B65)*ISNUMBER(INDEX(Inputs!$K$5:$AJ$130,0,MATCH(AF$2,Inputs!$K$4:$AJ$4,0))))+SUMPRODUCT((Inputs!$E$5:$E$130=$B65)*ISNUMBER(INDEX(Inputs!$K$5:$AJ$130,0,MATCH(AF$2,Inputs!$K$4:$AJ$4,0))))=0,NA(),SUMPRODUCT((Inputs!$A$5:$A$130=$B65)*Inputs!$B$5:$B$130*(((Inputs!$G$5:$G$130="moeda")+(Inputs!$G$5:$G$130="acoes"))*Inputs!$B$1+((Inputs!$G$5:$G$130&lt;&gt;"moeda")*(Inputs!$G$5:$G$130&lt;&gt;"acoes")))*INDEX(Inputs!$K$5:$AJ$130,0,MATCH(AF$2,Inputs!$K$4:$AJ$4,0)))+SUMPRODUCT((Inputs!$C$5:$C$130=$B65)*Inputs!$D$5:$D$130*(((Inputs!$G$5:$G$130="moeda")+(Inputs!$G$5:$G$130="acoes"))*Inputs!$B$1+((Inputs!$G$5:$G$130&lt;&gt;"moeda")*(Inputs!$G$5:$G$130&lt;&gt;"acoes")))*INDEX(Inputs!$K$5:$AJ$130,0,MATCH(AF$2,Inputs!$K$4:$AJ$4,0)))+SUMPRODUCT((Inputs!$E$5:$E$130=$B65)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$130=$B65)*ISNUMBER(INDEX(Inputs!$K$5:$AJ$130,0,MATCH(AH$2,Inputs!$K$4:$AJ$4,0))))+SUMPRODUCT((Inputs!$C$5:$C$130=$B65)*ISNUMBER(INDEX(Inputs!$K$5:$AJ$130,0,MATCH(AH$2,Inputs!$K$4:$AJ$4,0))))+SUMPRODUCT((Inputs!$E$5:$E$130=$B65)*ISNUMBER(INDEX(Inputs!$K$5:$AJ$130,0,MATCH(AH$2,Inputs!$K$4:$AJ$4,0))))=0,NA(),SUMPRODUCT((Inputs!$A$5:$A$130=$B65)*Inputs!$B$5:$B$130*(((Inputs!$G$5:$G$130="moeda")+(Inputs!$G$5:$G$130="acoes"))*Inputs!$B$1+((Inputs!$G$5:$G$130&lt;&gt;"moeda")*(Inputs!$G$5:$G$130&lt;&gt;"acoes")))*INDEX(Inputs!$K$5:$AJ$130,0,MATCH(AH$2,Inputs!$K$4:$AJ$4,0)))+SUMPRODUCT((Inputs!$C$5:$C$130=$B65)*Inputs!$D$5:$D$130*(((Inputs!$G$5:$G$130="moeda")+(Inputs!$G$5:$G$130="acoes"))*Inputs!$B$1+((Inputs!$G$5:$G$130&lt;&gt;"moeda")*(Inputs!$G$5:$G$130&lt;&gt;"acoes")))*INDEX(Inputs!$K$5:$AJ$130,0,MATCH(AH$2,Inputs!$K$4:$AJ$4,0)))+SUMPRODUCT((Inputs!$E$5:$E$130=$B65)*Inputs!$F$5:$F$130*(((Inputs!$G$5:$G$130="moeda")+(Inputs!$G$5:$G$130="acoes"))*Inputs!$B$1+((Inputs!$G$5:$G$130&lt;&gt;"moeda")*(Inputs!$G$5:$G$130&lt;&gt;"acoes")))*INDEX(Inputs!$K$5:$AJ$130,0,MATCH(AH$2,Inputs!$K$4:$AJ$4,0)))))</f>
        <v>31</v>
      </c>
      <c r="AI65" s="263">
        <f>IF(ISNA(MATCH(AI$2,Inputs!$K$4:$AJ$4,0)),NA(),IF(SUMPRODUCT((Inputs!$A$5:$A$130=$B65)*ISNUMBER(INDEX(Inputs!$K$5:$AJ$130,0,MATCH(AI$2,Inputs!$K$4:$AJ$4,0))))+SUMPRODUCT((Inputs!$C$5:$C$130=$B65)*ISNUMBER(INDEX(Inputs!$K$5:$AJ$130,0,MATCH(AI$2,Inputs!$K$4:$AJ$4,0))))+SUMPRODUCT((Inputs!$E$5:$E$130=$B65)*ISNUMBER(INDEX(Inputs!$K$5:$AJ$130,0,MATCH(AI$2,Inputs!$K$4:$AJ$4,0))))=0,NA(),SUMPRODUCT((Inputs!$A$5:$A$130=$B65)*Inputs!$B$5:$B$130*(((Inputs!$G$5:$G$130="moeda")+(Inputs!$G$5:$G$130="acoes"))*Inputs!$B$1+((Inputs!$G$5:$G$130&lt;&gt;"moeda")*(Inputs!$G$5:$G$130&lt;&gt;"acoes")))*INDEX(Inputs!$K$5:$AJ$130,0,MATCH(AI$2,Inputs!$K$4:$AJ$4,0)))+SUMPRODUCT((Inputs!$C$5:$C$130=$B65)*Inputs!$D$5:$D$130*(((Inputs!$G$5:$G$130="moeda")+(Inputs!$G$5:$G$130="acoes"))*Inputs!$B$1+((Inputs!$G$5:$G$130&lt;&gt;"moeda")*(Inputs!$G$5:$G$130&lt;&gt;"acoes")))*INDEX(Inputs!$K$5:$AJ$130,0,MATCH(AI$2,Inputs!$K$4:$AJ$4,0)))+SUMPRODUCT((Inputs!$E$5:$E$130=$B65)*Inputs!$F$5:$F$130*(((Inputs!$G$5:$G$130="moeda")+(Inputs!$G$5:$G$130="acoes"))*Inputs!$B$1+((Inputs!$G$5:$G$130&lt;&gt;"moeda")*(Inputs!$G$5:$G$130&lt;&gt;"acoes")))*INDEX(Inputs!$K$5:$AJ$130,0,MATCH(AI$2,Inputs!$K$4:$AJ$4,0)))))</f>
        <v>-12</v>
      </c>
      <c r="AJ65" s="263">
        <f>IF(ISNA(MATCH(AJ$2,Inputs!$K$4:$AJ$4,0)),NA(),IF(SUMPRODUCT((Inputs!$A$5:$A$130=$B65)*ISNUMBER(INDEX(Inputs!$K$5:$AJ$130,0,MATCH(AJ$2,Inputs!$K$4:$AJ$4,0))))+SUMPRODUCT((Inputs!$C$5:$C$130=$B65)*ISNUMBER(INDEX(Inputs!$K$5:$AJ$130,0,MATCH(AJ$2,Inputs!$K$4:$AJ$4,0))))+SUMPRODUCT((Inputs!$E$5:$E$130=$B65)*ISNUMBER(INDEX(Inputs!$K$5:$AJ$130,0,MATCH(AJ$2,Inputs!$K$4:$AJ$4,0))))=0,NA(),SUMPRODUCT((Inputs!$A$5:$A$130=$B65)*Inputs!$B$5:$B$130*(((Inputs!$G$5:$G$130="moeda")+(Inputs!$G$5:$G$130="acoes"))*Inputs!$B$1+((Inputs!$G$5:$G$130&lt;&gt;"moeda")*(Inputs!$G$5:$G$130&lt;&gt;"acoes")))*INDEX(Inputs!$K$5:$AJ$130,0,MATCH(AJ$2,Inputs!$K$4:$AJ$4,0)))+SUMPRODUCT((Inputs!$C$5:$C$130=$B65)*Inputs!$D$5:$D$130*(((Inputs!$G$5:$G$130="moeda")+(Inputs!$G$5:$G$130="acoes"))*Inputs!$B$1+((Inputs!$G$5:$G$130&lt;&gt;"moeda")*(Inputs!$G$5:$G$130&lt;&gt;"acoes")))*INDEX(Inputs!$K$5:$AJ$130,0,MATCH(AJ$2,Inputs!$K$4:$AJ$4,0)))+SUMPRODUCT((Inputs!$E$5:$E$130=$B65)*Inputs!$F$5:$F$130*(((Inputs!$G$5:$G$130="moeda")+(Inputs!$G$5:$G$130="acoes"))*Inputs!$B$1+((Inputs!$G$5:$G$130&lt;&gt;"moeda")*(Inputs!$G$5:$G$130&lt;&gt;"acoes")))*INDEX(Inputs!$K$5:$AJ$130,0,MATCH(AJ$2,Inputs!$K$4:$AJ$4,0)))))</f>
        <v>6</v>
      </c>
      <c r="AK65" s="263">
        <f>IF(ISNA(MATCH(AK$2,Inputs!$K$4:$AJ$4,0)),NA(),IF(SUMPRODUCT((Inputs!$A$5:$A$130=$B65)*ISNUMBER(INDEX(Inputs!$K$5:$AJ$130,0,MATCH(AK$2,Inputs!$K$4:$AJ$4,0))))+SUMPRODUCT((Inputs!$C$5:$C$130=$B65)*ISNUMBER(INDEX(Inputs!$K$5:$AJ$130,0,MATCH(AK$2,Inputs!$K$4:$AJ$4,0))))+SUMPRODUCT((Inputs!$E$5:$E$130=$B65)*ISNUMBER(INDEX(Inputs!$K$5:$AJ$130,0,MATCH(AK$2,Inputs!$K$4:$AJ$4,0))))=0,NA(),SUMPRODUCT((Inputs!$A$5:$A$130=$B65)*Inputs!$B$5:$B$130*(((Inputs!$G$5:$G$130="moeda")+(Inputs!$G$5:$G$130="acoes"))*Inputs!$B$1+((Inputs!$G$5:$G$130&lt;&gt;"moeda")*(Inputs!$G$5:$G$130&lt;&gt;"acoes")))*INDEX(Inputs!$K$5:$AJ$130,0,MATCH(AK$2,Inputs!$K$4:$AJ$4,0)))+SUMPRODUCT((Inputs!$C$5:$C$130=$B65)*Inputs!$D$5:$D$130*(((Inputs!$G$5:$G$130="moeda")+(Inputs!$G$5:$G$130="acoes"))*Inputs!$B$1+((Inputs!$G$5:$G$130&lt;&gt;"moeda")*(Inputs!$G$5:$G$130&lt;&gt;"acoes")))*INDEX(Inputs!$K$5:$AJ$130,0,MATCH(AK$2,Inputs!$K$4:$AJ$4,0)))+SUMPRODUCT((Inputs!$E$5:$E$130=$B65)*Inputs!$F$5:$F$130*(((Inputs!$G$5:$G$130="moeda")+(Inputs!$G$5:$G$130="acoes"))*Inputs!$B$1+((Inputs!$G$5:$G$130&lt;&gt;"moeda")*(Inputs!$G$5:$G$130&lt;&gt;"acoes")))*INDEX(Inputs!$K$5:$AJ$130,0,MATCH(AK$2,Inputs!$K$4:$AJ$4,0)))))</f>
        <v>21</v>
      </c>
      <c r="AL65" s="264">
        <f>SUM(AH65:AK65)</f>
        <v>46</v>
      </c>
    </row>
    <row r="66">
      <c r="B66" s="46" t="n">
        <v>58</v>
      </c>
      <c r="C66" s="29" t="inlineStr">
        <is>
          <t>Lucro operacional Corporate (USD)</t>
        </is>
      </c>
      <c r="D66" s="263">
        <f>IF(ISNA(MATCH(D$2,Inputs!$K$4:$AJ$4,0)),NA(),IF(SUMPRODUCT((Inputs!$A$5:$A$130=$B66)*ISNUMBER(INDEX(Inputs!$K$5:$AJ$130,0,MATCH(D$2,Inputs!$K$4:$AJ$4,0))))+SUMPRODUCT((Inputs!$C$5:$C$130=$B66)*ISNUMBER(INDEX(Inputs!$K$5:$AJ$130,0,MATCH(D$2,Inputs!$K$4:$AJ$4,0))))+SUMPRODUCT((Inputs!$E$5:$E$130=$B66)*ISNUMBER(INDEX(Inputs!$K$5:$AJ$130,0,MATCH(D$2,Inputs!$K$4:$AJ$4,0))))=0,NA(),SUMPRODUCT((Inputs!$A$5:$A$130=$B66)*Inputs!$B$5:$B$130*(((Inputs!$G$5:$G$130="moeda")+(Inputs!$G$5:$G$130="acoes"))*Inputs!$B$1+((Inputs!$G$5:$G$130&lt;&gt;"moeda")*(Inputs!$G$5:$G$130&lt;&gt;"acoes")))*INDEX(Inputs!$K$5:$AJ$130,0,MATCH(D$2,Inputs!$K$4:$AJ$4,0)))+SUMPRODUCT((Inputs!$C$5:$C$130=$B66)*Inputs!$D$5:$D$130*(((Inputs!$G$5:$G$130="moeda")+(Inputs!$G$5:$G$130="acoes"))*Inputs!$B$1+((Inputs!$G$5:$G$130&lt;&gt;"moeda")*(Inputs!$G$5:$G$130&lt;&gt;"acoes")))*INDEX(Inputs!$K$5:$AJ$130,0,MATCH(D$2,Inputs!$K$4:$AJ$4,0)))+SUMPRODUCT((Inputs!$E$5:$E$130=$B66)*Inputs!$F$5:$F$130*(((Inputs!$G$5:$G$130="moeda")+(Inputs!$G$5:$G$130="acoes"))*Inputs!$B$1+((Inputs!$G$5:$G$130&lt;&gt;"moeda")*(Inputs!$G$5:$G$130&lt;&gt;"acoes")))*INDEX(Inputs!$K$5:$AJ$130,0,MATCH(D$2,Inputs!$K$4:$AJ$4,0)))))</f>
        <v>-295</v>
      </c>
      <c r="E66" s="263">
        <f>IF(ISNA(MATCH(E$2,Inputs!$K$4:$AJ$4,0)),NA(),IF(SUMPRODUCT((Inputs!$A$5:$A$130=$B66)*ISNUMBER(INDEX(Inputs!$K$5:$AJ$130,0,MATCH(E$2,Inputs!$K$4:$AJ$4,0))))+SUMPRODUCT((Inputs!$C$5:$C$130=$B66)*ISNUMBER(INDEX(Inputs!$K$5:$AJ$130,0,MATCH(E$2,Inputs!$K$4:$AJ$4,0))))+SUMPRODUCT((Inputs!$E$5:$E$130=$B66)*ISNUMBER(INDEX(Inputs!$K$5:$AJ$130,0,MATCH(E$2,Inputs!$K$4:$AJ$4,0))))=0,NA(),SUMPRODUCT((Inputs!$A$5:$A$130=$B66)*Inputs!$B$5:$B$130*(((Inputs!$G$5:$G$130="moeda")+(Inputs!$G$5:$G$130="acoes"))*Inputs!$B$1+((Inputs!$G$5:$G$130&lt;&gt;"moeda")*(Inputs!$G$5:$G$130&lt;&gt;"acoes")))*INDEX(Inputs!$K$5:$AJ$130,0,MATCH(E$2,Inputs!$K$4:$AJ$4,0)))+SUMPRODUCT((Inputs!$C$5:$C$130=$B66)*Inputs!$D$5:$D$130*(((Inputs!$G$5:$G$130="moeda")+(Inputs!$G$5:$G$130="acoes"))*Inputs!$B$1+((Inputs!$G$5:$G$130&lt;&gt;"moeda")*(Inputs!$G$5:$G$130&lt;&gt;"acoes")))*INDEX(Inputs!$K$5:$AJ$130,0,MATCH(E$2,Inputs!$K$4:$AJ$4,0)))+SUMPRODUCT((Inputs!$E$5:$E$130=$B66)*Inputs!$F$5:$F$130*(((Inputs!$G$5:$G$130="moeda")+(Inputs!$G$5:$G$130="acoes"))*Inputs!$B$1+((Inputs!$G$5:$G$130&lt;&gt;"moeda")*(Inputs!$G$5:$G$130&lt;&gt;"acoes")))*INDEX(Inputs!$K$5:$AJ$130,0,MATCH(E$2,Inputs!$K$4:$AJ$4,0)))))</f>
        <v>-687</v>
      </c>
      <c r="F66" s="263">
        <f>IF(ISNA(MATCH(F$2,Inputs!$K$4:$AJ$4,0)),NA(),IF(SUMPRODUCT((Inputs!$A$5:$A$130=$B66)*ISNUMBER(INDEX(Inputs!$K$5:$AJ$130,0,MATCH(F$2,Inputs!$K$4:$AJ$4,0))))+SUMPRODUCT((Inputs!$C$5:$C$130=$B66)*ISNUMBER(INDEX(Inputs!$K$5:$AJ$130,0,MATCH(F$2,Inputs!$K$4:$AJ$4,0))))+SUMPRODUCT((Inputs!$E$5:$E$130=$B66)*ISNUMBER(INDEX(Inputs!$K$5:$AJ$130,0,MATCH(F$2,Inputs!$K$4:$AJ$4,0))))=0,NA(),SUMPRODUCT((Inputs!$A$5:$A$130=$B66)*Inputs!$B$5:$B$130*(((Inputs!$G$5:$G$130="moeda")+(Inputs!$G$5:$G$130="acoes"))*Inputs!$B$1+((Inputs!$G$5:$G$130&lt;&gt;"moeda")*(Inputs!$G$5:$G$130&lt;&gt;"acoes")))*INDEX(Inputs!$K$5:$AJ$130,0,MATCH(F$2,Inputs!$K$4:$AJ$4,0)))+SUMPRODUCT((Inputs!$C$5:$C$130=$B66)*Inputs!$D$5:$D$130*(((Inputs!$G$5:$G$130="moeda")+(Inputs!$G$5:$G$130="acoes"))*Inputs!$B$1+((Inputs!$G$5:$G$130&lt;&gt;"moeda")*(Inputs!$G$5:$G$130&lt;&gt;"acoes")))*INDEX(Inputs!$K$5:$AJ$130,0,MATCH(F$2,Inputs!$K$4:$AJ$4,0)))+SUMPRODUCT((Inputs!$E$5:$E$130=$B66)*Inputs!$F$5:$F$130*(((Inputs!$G$5:$G$130="moeda")+(Inputs!$G$5:$G$130="acoes"))*Inputs!$B$1+((Inputs!$G$5:$G$130&lt;&gt;"moeda")*(Inputs!$G$5:$G$130&lt;&gt;"acoes")))*INDEX(Inputs!$K$5:$AJ$130,0,MATCH(F$2,Inputs!$K$4:$AJ$4,0)))))</f>
        <v>-499</v>
      </c>
      <c r="G66" s="263">
        <f>IF(ISNA(MATCH(G$2,Inputs!$K$4:$AJ$4,0)),NA(),IF(SUMPRODUCT((Inputs!$A$5:$A$130=$B66)*ISNUMBER(INDEX(Inputs!$K$5:$AJ$130,0,MATCH(G$2,Inputs!$K$4:$AJ$4,0))))+SUMPRODUCT((Inputs!$C$5:$C$130=$B66)*ISNUMBER(INDEX(Inputs!$K$5:$AJ$130,0,MATCH(G$2,Inputs!$K$4:$AJ$4,0))))+SUMPRODUCT((Inputs!$E$5:$E$130=$B66)*ISNUMBER(INDEX(Inputs!$K$5:$AJ$130,0,MATCH(G$2,Inputs!$K$4:$AJ$4,0))))=0,NA(),SUMPRODUCT((Inputs!$A$5:$A$130=$B66)*Inputs!$B$5:$B$130*(((Inputs!$G$5:$G$130="moeda")+(Inputs!$G$5:$G$130="acoes"))*Inputs!$B$1+((Inputs!$G$5:$G$130&lt;&gt;"moeda")*(Inputs!$G$5:$G$130&lt;&gt;"acoes")))*INDEX(Inputs!$K$5:$AJ$130,0,MATCH(G$2,Inputs!$K$4:$AJ$4,0)))+SUMPRODUCT((Inputs!$C$5:$C$130=$B66)*Inputs!$D$5:$D$130*(((Inputs!$G$5:$G$130="moeda")+(Inputs!$G$5:$G$130="acoes"))*Inputs!$B$1+((Inputs!$G$5:$G$130&lt;&gt;"moeda")*(Inputs!$G$5:$G$130&lt;&gt;"acoes")))*INDEX(Inputs!$K$5:$AJ$130,0,MATCH(G$2,Inputs!$K$4:$AJ$4,0)))+SUMPRODUCT((Inputs!$E$5:$E$130=$B66)*Inputs!$F$5:$F$130*(((Inputs!$G$5:$G$130="moeda")+(Inputs!$G$5:$G$130="acoes"))*Inputs!$B$1+((Inputs!$G$5:$G$130&lt;&gt;"moeda")*(Inputs!$G$5:$G$130&lt;&gt;"acoes")))*INDEX(Inputs!$K$5:$AJ$130,0,MATCH(G$2,Inputs!$K$4:$AJ$4,0)))))</f>
        <v>-902</v>
      </c>
      <c r="H66" s="264">
        <f>SUM(D66:G66)</f>
        <v>-2383</v>
      </c>
      <c r="I66" s="263">
        <f>IF(ISNA(MATCH(I$2,Inputs!$K$4:$AJ$4,0)),NA(),IF(SUMPRODUCT((Inputs!$A$5:$A$130=$B66)*ISNUMBER(INDEX(Inputs!$K$5:$AJ$130,0,MATCH(I$2,Inputs!$K$4:$AJ$4,0))))+SUMPRODUCT((Inputs!$C$5:$C$130=$B66)*ISNUMBER(INDEX(Inputs!$K$5:$AJ$130,0,MATCH(I$2,Inputs!$K$4:$AJ$4,0))))+SUMPRODUCT((Inputs!$E$5:$E$130=$B66)*ISNUMBER(INDEX(Inputs!$K$5:$AJ$130,0,MATCH(I$2,Inputs!$K$4:$AJ$4,0))))=0,NA(),SUMPRODUCT((Inputs!$A$5:$A$130=$B66)*Inputs!$B$5:$B$130*(((Inputs!$G$5:$G$130="moeda")+(Inputs!$G$5:$G$130="acoes"))*Inputs!$B$1+((Inputs!$G$5:$G$130&lt;&gt;"moeda")*(Inputs!$G$5:$G$130&lt;&gt;"acoes")))*INDEX(Inputs!$K$5:$AJ$130,0,MATCH(I$2,Inputs!$K$4:$AJ$4,0)))+SUMPRODUCT((Inputs!$C$5:$C$130=$B66)*Inputs!$D$5:$D$130*(((Inputs!$G$5:$G$130="moeda")+(Inputs!$G$5:$G$130="acoes"))*Inputs!$B$1+((Inputs!$G$5:$G$130&lt;&gt;"moeda")*(Inputs!$G$5:$G$130&lt;&gt;"acoes")))*INDEX(Inputs!$K$5:$AJ$130,0,MATCH(I$2,Inputs!$K$4:$AJ$4,0)))+SUMPRODUCT((Inputs!$E$5:$E$130=$B66)*Inputs!$F$5:$F$130*(((Inputs!$G$5:$G$130="moeda")+(Inputs!$G$5:$G$130="acoes"))*Inputs!$B$1+((Inputs!$G$5:$G$130&lt;&gt;"moeda")*(Inputs!$G$5:$G$130&lt;&gt;"acoes")))*INDEX(Inputs!$K$5:$AJ$130,0,MATCH(I$2,Inputs!$K$4:$AJ$4,0)))))</f>
        <v>-326</v>
      </c>
      <c r="J66" s="263">
        <f>IF(ISNA(MATCH(J$2,Inputs!$K$4:$AJ$4,0)),NA(),IF(SUMPRODUCT((Inputs!$A$5:$A$130=$B66)*ISNUMBER(INDEX(Inputs!$K$5:$AJ$130,0,MATCH(J$2,Inputs!$K$4:$AJ$4,0))))+SUMPRODUCT((Inputs!$C$5:$C$130=$B66)*ISNUMBER(INDEX(Inputs!$K$5:$AJ$130,0,MATCH(J$2,Inputs!$K$4:$AJ$4,0))))+SUMPRODUCT((Inputs!$E$5:$E$130=$B66)*ISNUMBER(INDEX(Inputs!$K$5:$AJ$130,0,MATCH(J$2,Inputs!$K$4:$AJ$4,0))))=0,NA(),SUMPRODUCT((Inputs!$A$5:$A$130=$B66)*Inputs!$B$5:$B$130*(((Inputs!$G$5:$G$130="moeda")+(Inputs!$G$5:$G$130="acoes"))*Inputs!$B$1+((Inputs!$G$5:$G$130&lt;&gt;"moeda")*(Inputs!$G$5:$G$130&lt;&gt;"acoes")))*INDEX(Inputs!$K$5:$AJ$130,0,MATCH(J$2,Inputs!$K$4:$AJ$4,0)))+SUMPRODUCT((Inputs!$C$5:$C$130=$B66)*Inputs!$D$5:$D$130*(((Inputs!$G$5:$G$130="moeda")+(Inputs!$G$5:$G$130="acoes"))*Inputs!$B$1+((Inputs!$G$5:$G$130&lt;&gt;"moeda")*(Inputs!$G$5:$G$130&lt;&gt;"acoes")))*INDEX(Inputs!$K$5:$AJ$130,0,MATCH(J$2,Inputs!$K$4:$AJ$4,0)))+SUMPRODUCT((Inputs!$E$5:$E$130=$B66)*Inputs!$F$5:$F$130*(((Inputs!$G$5:$G$130="moeda")+(Inputs!$G$5:$G$130="acoes"))*Inputs!$B$1+((Inputs!$G$5:$G$130&lt;&gt;"moeda")*(Inputs!$G$5:$G$130&lt;&gt;"acoes")))*INDEX(Inputs!$K$5:$AJ$130,0,MATCH(J$2,Inputs!$K$4:$AJ$4,0)))))</f>
        <v>-1374</v>
      </c>
      <c r="K66" s="263">
        <f>IF(ISNA(MATCH(K$2,Inputs!$K$4:$AJ$4,0)),NA(),IF(SUMPRODUCT((Inputs!$A$5:$A$130=$B66)*ISNUMBER(INDEX(Inputs!$K$5:$AJ$130,0,MATCH(K$2,Inputs!$K$4:$AJ$4,0))))+SUMPRODUCT((Inputs!$C$5:$C$130=$B66)*ISNUMBER(INDEX(Inputs!$K$5:$AJ$130,0,MATCH(K$2,Inputs!$K$4:$AJ$4,0))))+SUMPRODUCT((Inputs!$E$5:$E$130=$B66)*ISNUMBER(INDEX(Inputs!$K$5:$AJ$130,0,MATCH(K$2,Inputs!$K$4:$AJ$4,0))))=0,NA(),SUMPRODUCT((Inputs!$A$5:$A$130=$B66)*Inputs!$B$5:$B$130*(((Inputs!$G$5:$G$130="moeda")+(Inputs!$G$5:$G$130="acoes"))*Inputs!$B$1+((Inputs!$G$5:$G$130&lt;&gt;"moeda")*(Inputs!$G$5:$G$130&lt;&gt;"acoes")))*INDEX(Inputs!$K$5:$AJ$130,0,MATCH(K$2,Inputs!$K$4:$AJ$4,0)))+SUMPRODUCT((Inputs!$C$5:$C$130=$B66)*Inputs!$D$5:$D$130*(((Inputs!$G$5:$G$130="moeda")+(Inputs!$G$5:$G$130="acoes"))*Inputs!$B$1+((Inputs!$G$5:$G$130&lt;&gt;"moeda")*(Inputs!$G$5:$G$130&lt;&gt;"acoes")))*INDEX(Inputs!$K$5:$AJ$130,0,MATCH(K$2,Inputs!$K$4:$AJ$4,0)))+SUMPRODUCT((Inputs!$E$5:$E$130=$B66)*Inputs!$F$5:$F$130*(((Inputs!$G$5:$G$130="moeda")+(Inputs!$G$5:$G$130="acoes"))*Inputs!$B$1+((Inputs!$G$5:$G$130&lt;&gt;"moeda")*(Inputs!$G$5:$G$130&lt;&gt;"acoes")))*INDEX(Inputs!$K$5:$AJ$130,0,MATCH(K$2,Inputs!$K$4:$AJ$4,0)))))</f>
        <v>-454</v>
      </c>
      <c r="L66" s="263">
        <f>IF(ISNA(MATCH(L$2,Inputs!$K$4:$AJ$4,0)),NA(),IF(SUMPRODUCT((Inputs!$A$5:$A$130=$B66)*ISNUMBER(INDEX(Inputs!$K$5:$AJ$130,0,MATCH(L$2,Inputs!$K$4:$AJ$4,0))))+SUMPRODUCT((Inputs!$C$5:$C$130=$B66)*ISNUMBER(INDEX(Inputs!$K$5:$AJ$130,0,MATCH(L$2,Inputs!$K$4:$AJ$4,0))))+SUMPRODUCT((Inputs!$E$5:$E$130=$B66)*ISNUMBER(INDEX(Inputs!$K$5:$AJ$130,0,MATCH(L$2,Inputs!$K$4:$AJ$4,0))))=0,NA(),SUMPRODUCT((Inputs!$A$5:$A$130=$B66)*Inputs!$B$5:$B$130*(((Inputs!$G$5:$G$130="moeda")+(Inputs!$G$5:$G$130="acoes"))*Inputs!$B$1+((Inputs!$G$5:$G$130&lt;&gt;"moeda")*(Inputs!$G$5:$G$130&lt;&gt;"acoes")))*INDEX(Inputs!$K$5:$AJ$130,0,MATCH(L$2,Inputs!$K$4:$AJ$4,0)))+SUMPRODUCT((Inputs!$C$5:$C$130=$B66)*Inputs!$D$5:$D$130*(((Inputs!$G$5:$G$130="moeda")+(Inputs!$G$5:$G$130="acoes"))*Inputs!$B$1+((Inputs!$G$5:$G$130&lt;&gt;"moeda")*(Inputs!$G$5:$G$130&lt;&gt;"acoes")))*INDEX(Inputs!$K$5:$AJ$130,0,MATCH(L$2,Inputs!$K$4:$AJ$4,0)))+SUMPRODUCT((Inputs!$E$5:$E$130=$B66)*Inputs!$F$5:$F$130*(((Inputs!$G$5:$G$130="moeda")+(Inputs!$G$5:$G$130="acoes"))*Inputs!$B$1+((Inputs!$G$5:$G$130&lt;&gt;"moeda")*(Inputs!$G$5:$G$130&lt;&gt;"acoes")))*INDEX(Inputs!$K$5:$AJ$130,0,MATCH(L$2,Inputs!$K$4:$AJ$4,0)))))</f>
        <v>-482</v>
      </c>
      <c r="M66" s="264">
        <f>SUM(I66:L66)</f>
        <v>-2636</v>
      </c>
      <c r="N66" s="263">
        <f>IF(ISNA(MATCH(N$2,Inputs!$K$4:$AJ$4,0)),NA(),IF(SUMPRODUCT((Inputs!$A$5:$A$130=$B66)*ISNUMBER(INDEX(Inputs!$K$5:$AJ$130,0,MATCH(N$2,Inputs!$K$4:$AJ$4,0))))+SUMPRODUCT((Inputs!$C$5:$C$130=$B66)*ISNUMBER(INDEX(Inputs!$K$5:$AJ$130,0,MATCH(N$2,Inputs!$K$4:$AJ$4,0))))+SUMPRODUCT((Inputs!$E$5:$E$130=$B66)*ISNUMBER(INDEX(Inputs!$K$5:$AJ$130,0,MATCH(N$2,Inputs!$K$4:$AJ$4,0))))=0,NA(),SUMPRODUCT((Inputs!$A$5:$A$130=$B66)*Inputs!$B$5:$B$130*(((Inputs!$G$5:$G$130="moeda")+(Inputs!$G$5:$G$130="acoes"))*Inputs!$B$1+((Inputs!$G$5:$G$130&lt;&gt;"moeda")*(Inputs!$G$5:$G$130&lt;&gt;"acoes")))*INDEX(Inputs!$K$5:$AJ$130,0,MATCH(N$2,Inputs!$K$4:$AJ$4,0)))+SUMPRODUCT((Inputs!$C$5:$C$130=$B66)*Inputs!$D$5:$D$130*(((Inputs!$G$5:$G$130="moeda")+(Inputs!$G$5:$G$130="acoes"))*Inputs!$B$1+((Inputs!$G$5:$G$130&lt;&gt;"moeda")*(Inputs!$G$5:$G$130&lt;&gt;"acoes")))*INDEX(Inputs!$K$5:$AJ$130,0,MATCH(N$2,Inputs!$K$4:$AJ$4,0)))+SUMPRODUCT((Inputs!$E$5:$E$130=$B66)*Inputs!$F$5:$F$130*(((Inputs!$G$5:$G$130="moeda")+(Inputs!$G$5:$G$130="acoes"))*Inputs!$B$1+((Inputs!$G$5:$G$130&lt;&gt;"moeda")*(Inputs!$G$5:$G$130&lt;&gt;"acoes")))*INDEX(Inputs!$K$5:$AJ$130,0,MATCH(N$2,Inputs!$K$4:$AJ$4,0)))))</f>
        <v>-407</v>
      </c>
      <c r="O66" s="263">
        <f>IF(ISNA(MATCH(O$2,Inputs!$K$4:$AJ$4,0)),NA(),IF(SUMPRODUCT((Inputs!$A$5:$A$130=$B66)*ISNUMBER(INDEX(Inputs!$K$5:$AJ$130,0,MATCH(O$2,Inputs!$K$4:$AJ$4,0))))+SUMPRODUCT((Inputs!$C$5:$C$130=$B66)*ISNUMBER(INDEX(Inputs!$K$5:$AJ$130,0,MATCH(O$2,Inputs!$K$4:$AJ$4,0))))+SUMPRODUCT((Inputs!$E$5:$E$130=$B66)*ISNUMBER(INDEX(Inputs!$K$5:$AJ$130,0,MATCH(O$2,Inputs!$K$4:$AJ$4,0))))=0,NA(),SUMPRODUCT((Inputs!$A$5:$A$130=$B66)*Inputs!$B$5:$B$130*(((Inputs!$G$5:$G$130="moeda")+(Inputs!$G$5:$G$130="acoes"))*Inputs!$B$1+((Inputs!$G$5:$G$130&lt;&gt;"moeda")*(Inputs!$G$5:$G$130&lt;&gt;"acoes")))*INDEX(Inputs!$K$5:$AJ$130,0,MATCH(O$2,Inputs!$K$4:$AJ$4,0)))+SUMPRODUCT((Inputs!$C$5:$C$130=$B66)*Inputs!$D$5:$D$130*(((Inputs!$G$5:$G$130="moeda")+(Inputs!$G$5:$G$130="acoes"))*Inputs!$B$1+((Inputs!$G$5:$G$130&lt;&gt;"moeda")*(Inputs!$G$5:$G$130&lt;&gt;"acoes")))*INDEX(Inputs!$K$5:$AJ$130,0,MATCH(O$2,Inputs!$K$4:$AJ$4,0)))+SUMPRODUCT((Inputs!$E$5:$E$130=$B66)*Inputs!$F$5:$F$130*(((Inputs!$G$5:$G$130="moeda")+(Inputs!$G$5:$G$130="acoes"))*Inputs!$B$1+((Inputs!$G$5:$G$130&lt;&gt;"moeda")*(Inputs!$G$5:$G$130&lt;&gt;"acoes")))*INDEX(Inputs!$K$5:$AJ$130,0,MATCH(O$2,Inputs!$K$4:$AJ$4,0)))))</f>
        <v>-1618</v>
      </c>
      <c r="P66" s="263">
        <f>IF(ISNA(MATCH(P$2,Inputs!$K$4:$AJ$4,0)),NA(),IF(SUMPRODUCT((Inputs!$A$5:$A$130=$B66)*ISNUMBER(INDEX(Inputs!$K$5:$AJ$130,0,MATCH(P$2,Inputs!$K$4:$AJ$4,0))))+SUMPRODUCT((Inputs!$C$5:$C$130=$B66)*ISNUMBER(INDEX(Inputs!$K$5:$AJ$130,0,MATCH(P$2,Inputs!$K$4:$AJ$4,0))))+SUMPRODUCT((Inputs!$E$5:$E$130=$B66)*ISNUMBER(INDEX(Inputs!$K$5:$AJ$130,0,MATCH(P$2,Inputs!$K$4:$AJ$4,0))))=0,NA(),SUMPRODUCT((Inputs!$A$5:$A$130=$B66)*Inputs!$B$5:$B$130*(((Inputs!$G$5:$G$130="moeda")+(Inputs!$G$5:$G$130="acoes"))*Inputs!$B$1+((Inputs!$G$5:$G$130&lt;&gt;"moeda")*(Inputs!$G$5:$G$130&lt;&gt;"acoes")))*INDEX(Inputs!$K$5:$AJ$130,0,MATCH(P$2,Inputs!$K$4:$AJ$4,0)))+SUMPRODUCT((Inputs!$C$5:$C$130=$B66)*Inputs!$D$5:$D$130*(((Inputs!$G$5:$G$130="moeda")+(Inputs!$G$5:$G$130="acoes"))*Inputs!$B$1+((Inputs!$G$5:$G$130&lt;&gt;"moeda")*(Inputs!$G$5:$G$130&lt;&gt;"acoes")))*INDEX(Inputs!$K$5:$AJ$130,0,MATCH(P$2,Inputs!$K$4:$AJ$4,0)))+SUMPRODUCT((Inputs!$E$5:$E$130=$B66)*Inputs!$F$5:$F$130*(((Inputs!$G$5:$G$130="moeda")+(Inputs!$G$5:$G$130="acoes"))*Inputs!$B$1+((Inputs!$G$5:$G$130&lt;&gt;"moeda")*(Inputs!$G$5:$G$130&lt;&gt;"acoes")))*INDEX(Inputs!$K$5:$AJ$130,0,MATCH(P$2,Inputs!$K$4:$AJ$4,0)))))</f>
        <v>-831</v>
      </c>
      <c r="Q66" s="263">
        <f>IF(ISNA(MATCH(Q$2,Inputs!$K$4:$AJ$4,0)),NA(),IF(SUMPRODUCT((Inputs!$A$5:$A$130=$B66)*ISNUMBER(INDEX(Inputs!$K$5:$AJ$130,0,MATCH(Q$2,Inputs!$K$4:$AJ$4,0))))+SUMPRODUCT((Inputs!$C$5:$C$130=$B66)*ISNUMBER(INDEX(Inputs!$K$5:$AJ$130,0,MATCH(Q$2,Inputs!$K$4:$AJ$4,0))))+SUMPRODUCT((Inputs!$E$5:$E$130=$B66)*ISNUMBER(INDEX(Inputs!$K$5:$AJ$130,0,MATCH(Q$2,Inputs!$K$4:$AJ$4,0))))=0,NA(),SUMPRODUCT((Inputs!$A$5:$A$130=$B66)*Inputs!$B$5:$B$130*(((Inputs!$G$5:$G$130="moeda")+(Inputs!$G$5:$G$130="acoes"))*Inputs!$B$1+((Inputs!$G$5:$G$130&lt;&gt;"moeda")*(Inputs!$G$5:$G$130&lt;&gt;"acoes")))*INDEX(Inputs!$K$5:$AJ$130,0,MATCH(Q$2,Inputs!$K$4:$AJ$4,0)))+SUMPRODUCT((Inputs!$C$5:$C$130=$B66)*Inputs!$D$5:$D$130*(((Inputs!$G$5:$G$130="moeda")+(Inputs!$G$5:$G$130="acoes"))*Inputs!$B$1+((Inputs!$G$5:$G$130&lt;&gt;"moeda")*(Inputs!$G$5:$G$130&lt;&gt;"acoes")))*INDEX(Inputs!$K$5:$AJ$130,0,MATCH(Q$2,Inputs!$K$4:$AJ$4,0)))+SUMPRODUCT((Inputs!$E$5:$E$130=$B66)*Inputs!$F$5:$F$130*(((Inputs!$G$5:$G$130="moeda")+(Inputs!$G$5:$G$130="acoes"))*Inputs!$B$1+((Inputs!$G$5:$G$130&lt;&gt;"moeda")*(Inputs!$G$5:$G$130&lt;&gt;"acoes")))*INDEX(Inputs!$K$5:$AJ$130,0,MATCH(Q$2,Inputs!$K$4:$AJ$4,0)))))</f>
        <v>-849</v>
      </c>
      <c r="R66" s="264">
        <f>SUM(N66:Q66)</f>
        <v>-3705</v>
      </c>
      <c r="S66" s="263">
        <f>IF(ISNA(MATCH(S$2,Inputs!$K$4:$AJ$4,0)),NA(),IF(SUMPRODUCT((Inputs!$A$5:$A$130=$B66)*ISNUMBER(INDEX(Inputs!$K$5:$AJ$130,0,MATCH(S$2,Inputs!$K$4:$AJ$4,0))))+SUMPRODUCT((Inputs!$C$5:$C$130=$B66)*ISNUMBER(INDEX(Inputs!$K$5:$AJ$130,0,MATCH(S$2,Inputs!$K$4:$AJ$4,0))))+SUMPRODUCT((Inputs!$E$5:$E$130=$B66)*ISNUMBER(INDEX(Inputs!$K$5:$AJ$130,0,MATCH(S$2,Inputs!$K$4:$AJ$4,0))))=0,NA(),SUMPRODUCT((Inputs!$A$5:$A$130=$B66)*Inputs!$B$5:$B$130*(((Inputs!$G$5:$G$130="moeda")+(Inputs!$G$5:$G$130="acoes"))*Inputs!$B$1+((Inputs!$G$5:$G$130&lt;&gt;"moeda")*(Inputs!$G$5:$G$130&lt;&gt;"acoes")))*INDEX(Inputs!$K$5:$AJ$130,0,MATCH(S$2,Inputs!$K$4:$AJ$4,0)))+SUMPRODUCT((Inputs!$C$5:$C$130=$B66)*Inputs!$D$5:$D$130*(((Inputs!$G$5:$G$130="moeda")+(Inputs!$G$5:$G$130="acoes"))*Inputs!$B$1+((Inputs!$G$5:$G$130&lt;&gt;"moeda")*(Inputs!$G$5:$G$130&lt;&gt;"acoes")))*INDEX(Inputs!$K$5:$AJ$130,0,MATCH(S$2,Inputs!$K$4:$AJ$4,0)))+SUMPRODUCT((Inputs!$E$5:$E$130=$B66)*Inputs!$F$5:$F$130*(((Inputs!$G$5:$G$130="moeda")+(Inputs!$G$5:$G$130="acoes"))*Inputs!$B$1+((Inputs!$G$5:$G$130&lt;&gt;"moeda")*(Inputs!$G$5:$G$130&lt;&gt;"acoes")))*INDEX(Inputs!$K$5:$AJ$130,0,MATCH(S$2,Inputs!$K$4:$AJ$4,0)))))</f>
        <v>-1191</v>
      </c>
      <c r="T66" s="263">
        <f>IF(ISNA(MATCH(T$2,Inputs!$K$4:$AJ$4,0)),NA(),IF(SUMPRODUCT((Inputs!$A$5:$A$130=$B66)*ISNUMBER(INDEX(Inputs!$K$5:$AJ$130,0,MATCH(T$2,Inputs!$K$4:$AJ$4,0))))+SUMPRODUCT((Inputs!$C$5:$C$130=$B66)*ISNUMBER(INDEX(Inputs!$K$5:$AJ$130,0,MATCH(T$2,Inputs!$K$4:$AJ$4,0))))+SUMPRODUCT((Inputs!$E$5:$E$130=$B66)*ISNUMBER(INDEX(Inputs!$K$5:$AJ$130,0,MATCH(T$2,Inputs!$K$4:$AJ$4,0))))=0,NA(),SUMPRODUCT((Inputs!$A$5:$A$130=$B66)*Inputs!$B$5:$B$130*(((Inputs!$G$5:$G$130="moeda")+(Inputs!$G$5:$G$130="acoes"))*Inputs!$B$1+((Inputs!$G$5:$G$130&lt;&gt;"moeda")*(Inputs!$G$5:$G$130&lt;&gt;"acoes")))*INDEX(Inputs!$K$5:$AJ$130,0,MATCH(T$2,Inputs!$K$4:$AJ$4,0)))+SUMPRODUCT((Inputs!$C$5:$C$130=$B66)*Inputs!$D$5:$D$130*(((Inputs!$G$5:$G$130="moeda")+(Inputs!$G$5:$G$130="acoes"))*Inputs!$B$1+((Inputs!$G$5:$G$130&lt;&gt;"moeda")*(Inputs!$G$5:$G$130&lt;&gt;"acoes")))*INDEX(Inputs!$K$5:$AJ$130,0,MATCH(T$2,Inputs!$K$4:$AJ$4,0)))+SUMPRODUCT((Inputs!$E$5:$E$130=$B66)*Inputs!$F$5:$F$130*(((Inputs!$G$5:$G$130="moeda")+(Inputs!$G$5:$G$130="acoes"))*Inputs!$B$1+((Inputs!$G$5:$G$130&lt;&gt;"moeda")*(Inputs!$G$5:$G$130&lt;&gt;"acoes")))*INDEX(Inputs!$K$5:$AJ$130,0,MATCH(T$2,Inputs!$K$4:$AJ$4,0)))))</f>
        <v>-1689</v>
      </c>
      <c r="U66" s="263">
        <f>IF(ISNA(MATCH(U$2,Inputs!$K$4:$AJ$4,0)),NA(),IF(SUMPRODUCT((Inputs!$A$5:$A$130=$B66)*ISNUMBER(INDEX(Inputs!$K$5:$AJ$130,0,MATCH(U$2,Inputs!$K$4:$AJ$4,0))))+SUMPRODUCT((Inputs!$C$5:$C$130=$B66)*ISNUMBER(INDEX(Inputs!$K$5:$AJ$130,0,MATCH(U$2,Inputs!$K$4:$AJ$4,0))))+SUMPRODUCT((Inputs!$E$5:$E$130=$B66)*ISNUMBER(INDEX(Inputs!$K$5:$AJ$130,0,MATCH(U$2,Inputs!$K$4:$AJ$4,0))))=0,NA(),SUMPRODUCT((Inputs!$A$5:$A$130=$B66)*Inputs!$B$5:$B$130*(((Inputs!$G$5:$G$130="moeda")+(Inputs!$G$5:$G$130="acoes"))*Inputs!$B$1+((Inputs!$G$5:$G$130&lt;&gt;"moeda")*(Inputs!$G$5:$G$130&lt;&gt;"acoes")))*INDEX(Inputs!$K$5:$AJ$130,0,MATCH(U$2,Inputs!$K$4:$AJ$4,0)))+SUMPRODUCT((Inputs!$C$5:$C$130=$B66)*Inputs!$D$5:$D$130*(((Inputs!$G$5:$G$130="moeda")+(Inputs!$G$5:$G$130="acoes"))*Inputs!$B$1+((Inputs!$G$5:$G$130&lt;&gt;"moeda")*(Inputs!$G$5:$G$130&lt;&gt;"acoes")))*INDEX(Inputs!$K$5:$AJ$130,0,MATCH(U$2,Inputs!$K$4:$AJ$4,0)))+SUMPRODUCT((Inputs!$E$5:$E$130=$B66)*Inputs!$F$5:$F$130*(((Inputs!$G$5:$G$130="moeda")+(Inputs!$G$5:$G$130="acoes"))*Inputs!$B$1+((Inputs!$G$5:$G$130&lt;&gt;"moeda")*(Inputs!$G$5:$G$130&lt;&gt;"acoes")))*INDEX(Inputs!$K$5:$AJ$130,0,MATCH(U$2,Inputs!$K$4:$AJ$4,0)))))</f>
        <v>-1384</v>
      </c>
      <c r="V66" s="263">
        <f>IF(ISNA(MATCH(V$2,Inputs!$K$4:$AJ$4,0)),NA(),IF(SUMPRODUCT((Inputs!$A$5:$A$130=$B66)*ISNUMBER(INDEX(Inputs!$K$5:$AJ$130,0,MATCH(V$2,Inputs!$K$4:$AJ$4,0))))+SUMPRODUCT((Inputs!$C$5:$C$130=$B66)*ISNUMBER(INDEX(Inputs!$K$5:$AJ$130,0,MATCH(V$2,Inputs!$K$4:$AJ$4,0))))+SUMPRODUCT((Inputs!$E$5:$E$130=$B66)*ISNUMBER(INDEX(Inputs!$K$5:$AJ$130,0,MATCH(V$2,Inputs!$K$4:$AJ$4,0))))=0,NA(),SUMPRODUCT((Inputs!$A$5:$A$130=$B66)*Inputs!$B$5:$B$130*(((Inputs!$G$5:$G$130="moeda")+(Inputs!$G$5:$G$130="acoes"))*Inputs!$B$1+((Inputs!$G$5:$G$130&lt;&gt;"moeda")*(Inputs!$G$5:$G$130&lt;&gt;"acoes")))*INDEX(Inputs!$K$5:$AJ$130,0,MATCH(V$2,Inputs!$K$4:$AJ$4,0)))+SUMPRODUCT((Inputs!$C$5:$C$130=$B66)*Inputs!$D$5:$D$130*(((Inputs!$G$5:$G$130="moeda")+(Inputs!$G$5:$G$130="acoes"))*Inputs!$B$1+((Inputs!$G$5:$G$130&lt;&gt;"moeda")*(Inputs!$G$5:$G$130&lt;&gt;"acoes")))*INDEX(Inputs!$K$5:$AJ$130,0,MATCH(V$2,Inputs!$K$4:$AJ$4,0)))+SUMPRODUCT((Inputs!$E$5:$E$130=$B66)*Inputs!$F$5:$F$130*(((Inputs!$G$5:$G$130="moeda")+(Inputs!$G$5:$G$130="acoes"))*Inputs!$B$1+((Inputs!$G$5:$G$130&lt;&gt;"moeda")*(Inputs!$G$5:$G$130&lt;&gt;"acoes")))*INDEX(Inputs!$K$5:$AJ$130,0,MATCH(V$2,Inputs!$K$4:$AJ$4,0)))))</f>
        <v>-988</v>
      </c>
      <c r="W66" s="264">
        <f>SUM(S66:V66)</f>
        <v>-5252</v>
      </c>
      <c r="X66" s="263">
        <f>IF(ISNA(MATCH(X$2,Inputs!$K$4:$AJ$4,0)),NA(),IF(SUMPRODUCT((Inputs!$A$5:$A$130=$B66)*ISNUMBER(INDEX(Inputs!$K$5:$AJ$130,0,MATCH(X$2,Inputs!$K$4:$AJ$4,0))))+SUMPRODUCT((Inputs!$C$5:$C$130=$B66)*ISNUMBER(INDEX(Inputs!$K$5:$AJ$130,0,MATCH(X$2,Inputs!$K$4:$AJ$4,0))))+SUMPRODUCT((Inputs!$E$5:$E$130=$B66)*ISNUMBER(INDEX(Inputs!$K$5:$AJ$130,0,MATCH(X$2,Inputs!$K$4:$AJ$4,0))))=0,NA(),SUMPRODUCT((Inputs!$A$5:$A$130=$B66)*Inputs!$B$5:$B$130*(((Inputs!$G$5:$G$130="moeda")+(Inputs!$G$5:$G$130="acoes"))*Inputs!$B$1+((Inputs!$G$5:$G$130&lt;&gt;"moeda")*(Inputs!$G$5:$G$130&lt;&gt;"acoes")))*INDEX(Inputs!$K$5:$AJ$130,0,MATCH(X$2,Inputs!$K$4:$AJ$4,0)))+SUMPRODUCT((Inputs!$C$5:$C$130=$B66)*Inputs!$D$5:$D$130*(((Inputs!$G$5:$G$130="moeda")+(Inputs!$G$5:$G$130="acoes"))*Inputs!$B$1+((Inputs!$G$5:$G$130&lt;&gt;"moeda")*(Inputs!$G$5:$G$130&lt;&gt;"acoes")))*INDEX(Inputs!$K$5:$AJ$130,0,MATCH(X$2,Inputs!$K$4:$AJ$4,0)))+SUMPRODUCT((Inputs!$E$5:$E$130=$B66)*Inputs!$F$5:$F$130*(((Inputs!$G$5:$G$130="moeda")+(Inputs!$G$5:$G$130="acoes"))*Inputs!$B$1+((Inputs!$G$5:$G$130&lt;&gt;"moeda")*(Inputs!$G$5:$G$130&lt;&gt;"acoes")))*INDEX(Inputs!$K$5:$AJ$130,0,MATCH(X$2,Inputs!$K$4:$AJ$4,0)))))</f>
        <v>-394</v>
      </c>
      <c r="Y66" s="263">
        <f>IF(ISNA(MATCH(Y$2,Inputs!$K$4:$AJ$4,0)),NA(),IF(SUMPRODUCT((Inputs!$A$5:$A$130=$B66)*ISNUMBER(INDEX(Inputs!$K$5:$AJ$130,0,MATCH(Y$2,Inputs!$K$4:$AJ$4,0))))+SUMPRODUCT((Inputs!$C$5:$C$130=$B66)*ISNUMBER(INDEX(Inputs!$K$5:$AJ$130,0,MATCH(Y$2,Inputs!$K$4:$AJ$4,0))))+SUMPRODUCT((Inputs!$E$5:$E$130=$B66)*ISNUMBER(INDEX(Inputs!$K$5:$AJ$130,0,MATCH(Y$2,Inputs!$K$4:$AJ$4,0))))=0,NA(),SUMPRODUCT((Inputs!$A$5:$A$130=$B66)*Inputs!$B$5:$B$130*(((Inputs!$G$5:$G$130="moeda")+(Inputs!$G$5:$G$130="acoes"))*Inputs!$B$1+((Inputs!$G$5:$G$130&lt;&gt;"moeda")*(Inputs!$G$5:$G$130&lt;&gt;"acoes")))*INDEX(Inputs!$K$5:$AJ$130,0,MATCH(Y$2,Inputs!$K$4:$AJ$4,0)))+SUMPRODUCT((Inputs!$C$5:$C$130=$B66)*Inputs!$D$5:$D$130*(((Inputs!$G$5:$G$130="moeda")+(Inputs!$G$5:$G$130="acoes"))*Inputs!$B$1+((Inputs!$G$5:$G$130&lt;&gt;"moeda")*(Inputs!$G$5:$G$130&lt;&gt;"acoes")))*INDEX(Inputs!$K$5:$AJ$130,0,MATCH(Y$2,Inputs!$K$4:$AJ$4,0)))+SUMPRODUCT((Inputs!$E$5:$E$130=$B66)*Inputs!$F$5:$F$130*(((Inputs!$G$5:$G$130="moeda")+(Inputs!$G$5:$G$130="acoes"))*Inputs!$B$1+((Inputs!$G$5:$G$130&lt;&gt;"moeda")*(Inputs!$G$5:$G$130&lt;&gt;"acoes")))*INDEX(Inputs!$K$5:$AJ$130,0,MATCH(Y$2,Inputs!$K$4:$AJ$4,0)))))</f>
        <v>-329</v>
      </c>
      <c r="Z66" s="263">
        <f>IF(ISNA(MATCH(Z$2,Inputs!$K$4:$AJ$4,0)),NA(),IF(SUMPRODUCT((Inputs!$A$5:$A$130=$B66)*ISNUMBER(INDEX(Inputs!$K$5:$AJ$130,0,MATCH(Z$2,Inputs!$K$4:$AJ$4,0))))+SUMPRODUCT((Inputs!$C$5:$C$130=$B66)*ISNUMBER(INDEX(Inputs!$K$5:$AJ$130,0,MATCH(Z$2,Inputs!$K$4:$AJ$4,0))))+SUMPRODUCT((Inputs!$E$5:$E$130=$B66)*ISNUMBER(INDEX(Inputs!$K$5:$AJ$130,0,MATCH(Z$2,Inputs!$K$4:$AJ$4,0))))=0,NA(),SUMPRODUCT((Inputs!$A$5:$A$130=$B66)*Inputs!$B$5:$B$130*(((Inputs!$G$5:$G$130="moeda")+(Inputs!$G$5:$G$130="acoes"))*Inputs!$B$1+((Inputs!$G$5:$G$130&lt;&gt;"moeda")*(Inputs!$G$5:$G$130&lt;&gt;"acoes")))*INDEX(Inputs!$K$5:$AJ$130,0,MATCH(Z$2,Inputs!$K$4:$AJ$4,0)))+SUMPRODUCT((Inputs!$C$5:$C$130=$B66)*Inputs!$D$5:$D$130*(((Inputs!$G$5:$G$130="moeda")+(Inputs!$G$5:$G$130="acoes"))*Inputs!$B$1+((Inputs!$G$5:$G$130&lt;&gt;"moeda")*(Inputs!$G$5:$G$130&lt;&gt;"acoes")))*INDEX(Inputs!$K$5:$AJ$130,0,MATCH(Z$2,Inputs!$K$4:$AJ$4,0)))+SUMPRODUCT((Inputs!$E$5:$E$130=$B66)*Inputs!$F$5:$F$130*(((Inputs!$G$5:$G$130="moeda")+(Inputs!$G$5:$G$130="acoes"))*Inputs!$B$1+((Inputs!$G$5:$G$130&lt;&gt;"moeda")*(Inputs!$G$5:$G$130&lt;&gt;"acoes")))*INDEX(Inputs!$K$5:$AJ$130,0,MATCH(Z$2,Inputs!$K$4:$AJ$4,0)))))</f>
        <v>-271</v>
      </c>
      <c r="AA66" s="263">
        <f>IF(ISNA(MATCH(AA$2,Inputs!$K$4:$AJ$4,0)),NA(),IF(SUMPRODUCT((Inputs!$A$5:$A$130=$B66)*ISNUMBER(INDEX(Inputs!$K$5:$AJ$130,0,MATCH(AA$2,Inputs!$K$4:$AJ$4,0))))+SUMPRODUCT((Inputs!$C$5:$C$130=$B66)*ISNUMBER(INDEX(Inputs!$K$5:$AJ$130,0,MATCH(AA$2,Inputs!$K$4:$AJ$4,0))))+SUMPRODUCT((Inputs!$E$5:$E$130=$B66)*ISNUMBER(INDEX(Inputs!$K$5:$AJ$130,0,MATCH(AA$2,Inputs!$K$4:$AJ$4,0))))=0,NA(),SUMPRODUCT((Inputs!$A$5:$A$130=$B66)*Inputs!$B$5:$B$130*(((Inputs!$G$5:$G$130="moeda")+(Inputs!$G$5:$G$130="acoes"))*Inputs!$B$1+((Inputs!$G$5:$G$130&lt;&gt;"moeda")*(Inputs!$G$5:$G$130&lt;&gt;"acoes")))*INDEX(Inputs!$K$5:$AJ$130,0,MATCH(AA$2,Inputs!$K$4:$AJ$4,0)))+SUMPRODUCT((Inputs!$C$5:$C$130=$B66)*Inputs!$D$5:$D$130*(((Inputs!$G$5:$G$130="moeda")+(Inputs!$G$5:$G$130="acoes"))*Inputs!$B$1+((Inputs!$G$5:$G$130&lt;&gt;"moeda")*(Inputs!$G$5:$G$130&lt;&gt;"acoes")))*INDEX(Inputs!$K$5:$AJ$130,0,MATCH(AA$2,Inputs!$K$4:$AJ$4,0)))+SUMPRODUCT((Inputs!$E$5:$E$130=$B66)*Inputs!$F$5:$F$130*(((Inputs!$G$5:$G$130="moeda")+(Inputs!$G$5:$G$130="acoes"))*Inputs!$B$1+((Inputs!$G$5:$G$130&lt;&gt;"moeda")*(Inputs!$G$5:$G$130&lt;&gt;"acoes")))*INDEX(Inputs!$K$5:$AJ$130,0,MATCH(AA$2,Inputs!$K$4:$AJ$4,0)))))</f>
        <v>-822</v>
      </c>
      <c r="AB66" s="264">
        <f>SUM(X66:AA66)</f>
        <v>-1816</v>
      </c>
      <c r="AC66" s="263">
        <f>IF(ISNA(MATCH(AC$2,Inputs!$K$4:$AJ$4,0)),NA(),IF(SUMPRODUCT((Inputs!$A$5:$A$130=$B66)*ISNUMBER(INDEX(Inputs!$K$5:$AJ$130,0,MATCH(AC$2,Inputs!$K$4:$AJ$4,0))))+SUMPRODUCT((Inputs!$C$5:$C$130=$B66)*ISNUMBER(INDEX(Inputs!$K$5:$AJ$130,0,MATCH(AC$2,Inputs!$K$4:$AJ$4,0))))+SUMPRODUCT((Inputs!$E$5:$E$130=$B66)*ISNUMBER(INDEX(Inputs!$K$5:$AJ$130,0,MATCH(AC$2,Inputs!$K$4:$AJ$4,0))))=0,NA(),SUMPRODUCT((Inputs!$A$5:$A$130=$B66)*Inputs!$B$5:$B$130*(((Inputs!$G$5:$G$130="moeda")+(Inputs!$G$5:$G$130="acoes"))*Inputs!$B$1+((Inputs!$G$5:$G$130&lt;&gt;"moeda")*(Inputs!$G$5:$G$130&lt;&gt;"acoes")))*INDEX(Inputs!$K$5:$AJ$130,0,MATCH(AC$2,Inputs!$K$4:$AJ$4,0)))+SUMPRODUCT((Inputs!$C$5:$C$130=$B66)*Inputs!$D$5:$D$130*(((Inputs!$G$5:$G$130="moeda")+(Inputs!$G$5:$G$130="acoes"))*Inputs!$B$1+((Inputs!$G$5:$G$130&lt;&gt;"moeda")*(Inputs!$G$5:$G$130&lt;&gt;"acoes")))*INDEX(Inputs!$K$5:$AJ$130,0,MATCH(AC$2,Inputs!$K$4:$AJ$4,0)))+SUMPRODUCT((Inputs!$E$5:$E$130=$B66)*Inputs!$F$5:$F$130*(((Inputs!$G$5:$G$130="moeda")+(Inputs!$G$5:$G$130="acoes"))*Inputs!$B$1+((Inputs!$G$5:$G$130&lt;&gt;"moeda")*(Inputs!$G$5:$G$130&lt;&gt;"acoes")))*INDEX(Inputs!$K$5:$AJ$130,0,MATCH(AC$2,Inputs!$K$4:$AJ$4,0)))))</f>
        <v>-271</v>
      </c>
      <c r="AD66" s="263">
        <f>IF(ISNA(MATCH(AD$2,Inputs!$K$4:$AJ$4,0)),NA(),IF(SUMPRODUCT((Inputs!$A$5:$A$130=$B66)*ISNUMBER(INDEX(Inputs!$K$5:$AJ$130,0,MATCH(AD$2,Inputs!$K$4:$AJ$4,0))))+SUMPRODUCT((Inputs!$C$5:$C$130=$B66)*ISNUMBER(INDEX(Inputs!$K$5:$AJ$130,0,MATCH(AD$2,Inputs!$K$4:$AJ$4,0))))+SUMPRODUCT((Inputs!$E$5:$E$130=$B66)*ISNUMBER(INDEX(Inputs!$K$5:$AJ$130,0,MATCH(AD$2,Inputs!$K$4:$AJ$4,0))))=0,NA(),SUMPRODUCT((Inputs!$A$5:$A$130=$B66)*Inputs!$B$5:$B$130*(((Inputs!$G$5:$G$130="moeda")+(Inputs!$G$5:$G$130="acoes"))*Inputs!$B$1+((Inputs!$G$5:$G$130&lt;&gt;"moeda")*(Inputs!$G$5:$G$130&lt;&gt;"acoes")))*INDEX(Inputs!$K$5:$AJ$130,0,MATCH(AD$2,Inputs!$K$4:$AJ$4,0)))+SUMPRODUCT((Inputs!$C$5:$C$130=$B66)*Inputs!$D$5:$D$130*(((Inputs!$G$5:$G$130="moeda")+(Inputs!$G$5:$G$130="acoes"))*Inputs!$B$1+((Inputs!$G$5:$G$130&lt;&gt;"moeda")*(Inputs!$G$5:$G$130&lt;&gt;"acoes")))*INDEX(Inputs!$K$5:$AJ$130,0,MATCH(AD$2,Inputs!$K$4:$AJ$4,0)))+SUMPRODUCT((Inputs!$E$5:$E$130=$B66)*Inputs!$F$5:$F$130*(((Inputs!$G$5:$G$130="moeda")+(Inputs!$G$5:$G$130="acoes"))*Inputs!$B$1+((Inputs!$G$5:$G$130&lt;&gt;"moeda")*(Inputs!$G$5:$G$130&lt;&gt;"acoes")))*INDEX(Inputs!$K$5:$AJ$130,0,MATCH(AD$2,Inputs!$K$4:$AJ$4,0)))))</f>
        <v>-256</v>
      </c>
      <c r="AE66" s="263" t="e">
        <f>IF(ISNA(MATCH(AE$2,Inputs!$K$4:$AJ$4,0)),NA(),IF(SUMPRODUCT((Inputs!$A$5:$A$130=$B66)*ISNUMBER(INDEX(Inputs!$K$5:$AJ$130,0,MATCH(AE$2,Inputs!$K$4:$AJ$4,0))))+SUMPRODUCT((Inputs!$C$5:$C$130=$B66)*ISNUMBER(INDEX(Inputs!$K$5:$AJ$130,0,MATCH(AE$2,Inputs!$K$4:$AJ$4,0))))+SUMPRODUCT((Inputs!$E$5:$E$130=$B66)*ISNUMBER(INDEX(Inputs!$K$5:$AJ$130,0,MATCH(AE$2,Inputs!$K$4:$AJ$4,0))))=0,NA(),SUMPRODUCT((Inputs!$A$5:$A$130=$B66)*Inputs!$B$5:$B$130*(((Inputs!$G$5:$G$130="moeda")+(Inputs!$G$5:$G$130="acoes"))*Inputs!$B$1+((Inputs!$G$5:$G$130&lt;&gt;"moeda")*(Inputs!$G$5:$G$130&lt;&gt;"acoes")))*INDEX(Inputs!$K$5:$AJ$130,0,MATCH(AE$2,Inputs!$K$4:$AJ$4,0)))+SUMPRODUCT((Inputs!$C$5:$C$130=$B66)*Inputs!$D$5:$D$130*(((Inputs!$G$5:$G$130="moeda")+(Inputs!$G$5:$G$130="acoes"))*Inputs!$B$1+((Inputs!$G$5:$G$130&lt;&gt;"moeda")*(Inputs!$G$5:$G$130&lt;&gt;"acoes")))*INDEX(Inputs!$K$5:$AJ$130,0,MATCH(AE$2,Inputs!$K$4:$AJ$4,0)))+SUMPRODUCT((Inputs!$E$5:$E$130=$B66)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6" s="263" t="e">
        <f>IF(ISNA(MATCH(AF$2,Inputs!$K$4:$AJ$4,0)),NA(),IF(SUMPRODUCT((Inputs!$A$5:$A$130=$B66)*ISNUMBER(INDEX(Inputs!$K$5:$AJ$130,0,MATCH(AF$2,Inputs!$K$4:$AJ$4,0))))+SUMPRODUCT((Inputs!$C$5:$C$130=$B66)*ISNUMBER(INDEX(Inputs!$K$5:$AJ$130,0,MATCH(AF$2,Inputs!$K$4:$AJ$4,0))))+SUMPRODUCT((Inputs!$E$5:$E$130=$B66)*ISNUMBER(INDEX(Inputs!$K$5:$AJ$130,0,MATCH(AF$2,Inputs!$K$4:$AJ$4,0))))=0,NA(),SUMPRODUCT((Inputs!$A$5:$A$130=$B66)*Inputs!$B$5:$B$130*(((Inputs!$G$5:$G$130="moeda")+(Inputs!$G$5:$G$130="acoes"))*Inputs!$B$1+((Inputs!$G$5:$G$130&lt;&gt;"moeda")*(Inputs!$G$5:$G$130&lt;&gt;"acoes")))*INDEX(Inputs!$K$5:$AJ$130,0,MATCH(AF$2,Inputs!$K$4:$AJ$4,0)))+SUMPRODUCT((Inputs!$C$5:$C$130=$B66)*Inputs!$D$5:$D$130*(((Inputs!$G$5:$G$130="moeda")+(Inputs!$G$5:$G$130="acoes"))*Inputs!$B$1+((Inputs!$G$5:$G$130&lt;&gt;"moeda")*(Inputs!$G$5:$G$130&lt;&gt;"acoes")))*INDEX(Inputs!$K$5:$AJ$130,0,MATCH(AF$2,Inputs!$K$4:$AJ$4,0)))+SUMPRODUCT((Inputs!$E$5:$E$130=$B66)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$130=$B66)*ISNUMBER(INDEX(Inputs!$K$5:$AJ$130,0,MATCH(AH$2,Inputs!$K$4:$AJ$4,0))))+SUMPRODUCT((Inputs!$C$5:$C$130=$B66)*ISNUMBER(INDEX(Inputs!$K$5:$AJ$130,0,MATCH(AH$2,Inputs!$K$4:$AJ$4,0))))+SUMPRODUCT((Inputs!$E$5:$E$130=$B66)*ISNUMBER(INDEX(Inputs!$K$5:$AJ$130,0,MATCH(AH$2,Inputs!$K$4:$AJ$4,0))))=0,NA(),SUMPRODUCT((Inputs!$A$5:$A$130=$B66)*Inputs!$B$5:$B$130*(((Inputs!$G$5:$G$130="moeda")+(Inputs!$G$5:$G$130="acoes"))*Inputs!$B$1+((Inputs!$G$5:$G$130&lt;&gt;"moeda")*(Inputs!$G$5:$G$130&lt;&gt;"acoes")))*INDEX(Inputs!$K$5:$AJ$130,0,MATCH(AH$2,Inputs!$K$4:$AJ$4,0)))+SUMPRODUCT((Inputs!$C$5:$C$130=$B66)*Inputs!$D$5:$D$130*(((Inputs!$G$5:$G$130="moeda")+(Inputs!$G$5:$G$130="acoes"))*Inputs!$B$1+((Inputs!$G$5:$G$130&lt;&gt;"moeda")*(Inputs!$G$5:$G$130&lt;&gt;"acoes")))*INDEX(Inputs!$K$5:$AJ$130,0,MATCH(AH$2,Inputs!$K$4:$AJ$4,0)))+SUMPRODUCT((Inputs!$E$5:$E$130=$B66)*Inputs!$F$5:$F$130*(((Inputs!$G$5:$G$130="moeda")+(Inputs!$G$5:$G$130="acoes"))*Inputs!$B$1+((Inputs!$G$5:$G$130&lt;&gt;"moeda")*(Inputs!$G$5:$G$130&lt;&gt;"acoes")))*INDEX(Inputs!$K$5:$AJ$130,0,MATCH(AH$2,Inputs!$K$4:$AJ$4,0)))))</f>
        <v>-99</v>
      </c>
      <c r="AI66" s="263">
        <f>IF(ISNA(MATCH(AI$2,Inputs!$K$4:$AJ$4,0)),NA(),IF(SUMPRODUCT((Inputs!$A$5:$A$130=$B66)*ISNUMBER(INDEX(Inputs!$K$5:$AJ$130,0,MATCH(AI$2,Inputs!$K$4:$AJ$4,0))))+SUMPRODUCT((Inputs!$C$5:$C$130=$B66)*ISNUMBER(INDEX(Inputs!$K$5:$AJ$130,0,MATCH(AI$2,Inputs!$K$4:$AJ$4,0))))+SUMPRODUCT((Inputs!$E$5:$E$130=$B66)*ISNUMBER(INDEX(Inputs!$K$5:$AJ$130,0,MATCH(AI$2,Inputs!$K$4:$AJ$4,0))))=0,NA(),SUMPRODUCT((Inputs!$A$5:$A$130=$B66)*Inputs!$B$5:$B$130*(((Inputs!$G$5:$G$130="moeda")+(Inputs!$G$5:$G$130="acoes"))*Inputs!$B$1+((Inputs!$G$5:$G$130&lt;&gt;"moeda")*(Inputs!$G$5:$G$130&lt;&gt;"acoes")))*INDEX(Inputs!$K$5:$AJ$130,0,MATCH(AI$2,Inputs!$K$4:$AJ$4,0)))+SUMPRODUCT((Inputs!$C$5:$C$130=$B66)*Inputs!$D$5:$D$130*(((Inputs!$G$5:$G$130="moeda")+(Inputs!$G$5:$G$130="acoes"))*Inputs!$B$1+((Inputs!$G$5:$G$130&lt;&gt;"moeda")*(Inputs!$G$5:$G$130&lt;&gt;"acoes")))*INDEX(Inputs!$K$5:$AJ$130,0,MATCH(AI$2,Inputs!$K$4:$AJ$4,0)))+SUMPRODUCT((Inputs!$E$5:$E$130=$B66)*Inputs!$F$5:$F$130*(((Inputs!$G$5:$G$130="moeda")+(Inputs!$G$5:$G$130="acoes"))*Inputs!$B$1+((Inputs!$G$5:$G$130&lt;&gt;"moeda")*(Inputs!$G$5:$G$130&lt;&gt;"acoes")))*INDEX(Inputs!$K$5:$AJ$130,0,MATCH(AI$2,Inputs!$K$4:$AJ$4,0)))))</f>
        <v>-289</v>
      </c>
      <c r="AJ66" s="263">
        <f>IF(ISNA(MATCH(AJ$2,Inputs!$K$4:$AJ$4,0)),NA(),IF(SUMPRODUCT((Inputs!$A$5:$A$130=$B66)*ISNUMBER(INDEX(Inputs!$K$5:$AJ$130,0,MATCH(AJ$2,Inputs!$K$4:$AJ$4,0))))+SUMPRODUCT((Inputs!$C$5:$C$130=$B66)*ISNUMBER(INDEX(Inputs!$K$5:$AJ$130,0,MATCH(AJ$2,Inputs!$K$4:$AJ$4,0))))+SUMPRODUCT((Inputs!$E$5:$E$130=$B66)*ISNUMBER(INDEX(Inputs!$K$5:$AJ$130,0,MATCH(AJ$2,Inputs!$K$4:$AJ$4,0))))=0,NA(),SUMPRODUCT((Inputs!$A$5:$A$130=$B66)*Inputs!$B$5:$B$130*(((Inputs!$G$5:$G$130="moeda")+(Inputs!$G$5:$G$130="acoes"))*Inputs!$B$1+((Inputs!$G$5:$G$130&lt;&gt;"moeda")*(Inputs!$G$5:$G$130&lt;&gt;"acoes")))*INDEX(Inputs!$K$5:$AJ$130,0,MATCH(AJ$2,Inputs!$K$4:$AJ$4,0)))+SUMPRODUCT((Inputs!$C$5:$C$130=$B66)*Inputs!$D$5:$D$130*(((Inputs!$G$5:$G$130="moeda")+(Inputs!$G$5:$G$130="acoes"))*Inputs!$B$1+((Inputs!$G$5:$G$130&lt;&gt;"moeda")*(Inputs!$G$5:$G$130&lt;&gt;"acoes")))*INDEX(Inputs!$K$5:$AJ$130,0,MATCH(AJ$2,Inputs!$K$4:$AJ$4,0)))+SUMPRODUCT((Inputs!$E$5:$E$130=$B66)*Inputs!$F$5:$F$130*(((Inputs!$G$5:$G$130="moeda")+(Inputs!$G$5:$G$130="acoes"))*Inputs!$B$1+((Inputs!$G$5:$G$130&lt;&gt;"moeda")*(Inputs!$G$5:$G$130&lt;&gt;"acoes")))*INDEX(Inputs!$K$5:$AJ$130,0,MATCH(AJ$2,Inputs!$K$4:$AJ$4,0)))))</f>
        <v>-403</v>
      </c>
      <c r="AK66" s="263">
        <f>IF(ISNA(MATCH(AK$2,Inputs!$K$4:$AJ$4,0)),NA(),IF(SUMPRODUCT((Inputs!$A$5:$A$130=$B66)*ISNUMBER(INDEX(Inputs!$K$5:$AJ$130,0,MATCH(AK$2,Inputs!$K$4:$AJ$4,0))))+SUMPRODUCT((Inputs!$C$5:$C$130=$B66)*ISNUMBER(INDEX(Inputs!$K$5:$AJ$130,0,MATCH(AK$2,Inputs!$K$4:$AJ$4,0))))+SUMPRODUCT((Inputs!$E$5:$E$130=$B66)*ISNUMBER(INDEX(Inputs!$K$5:$AJ$130,0,MATCH(AK$2,Inputs!$K$4:$AJ$4,0))))=0,NA(),SUMPRODUCT((Inputs!$A$5:$A$130=$B66)*Inputs!$B$5:$B$130*(((Inputs!$G$5:$G$130="moeda")+(Inputs!$G$5:$G$130="acoes"))*Inputs!$B$1+((Inputs!$G$5:$G$130&lt;&gt;"moeda")*(Inputs!$G$5:$G$130&lt;&gt;"acoes")))*INDEX(Inputs!$K$5:$AJ$130,0,MATCH(AK$2,Inputs!$K$4:$AJ$4,0)))+SUMPRODUCT((Inputs!$C$5:$C$130=$B66)*Inputs!$D$5:$D$130*(((Inputs!$G$5:$G$130="moeda")+(Inputs!$G$5:$G$130="acoes"))*Inputs!$B$1+((Inputs!$G$5:$G$130&lt;&gt;"moeda")*(Inputs!$G$5:$G$130&lt;&gt;"acoes")))*INDEX(Inputs!$K$5:$AJ$130,0,MATCH(AK$2,Inputs!$K$4:$AJ$4,0)))+SUMPRODUCT((Inputs!$E$5:$E$130=$B66)*Inputs!$F$5:$F$130*(((Inputs!$G$5:$G$130="moeda")+(Inputs!$G$5:$G$130="acoes"))*Inputs!$B$1+((Inputs!$G$5:$G$130&lt;&gt;"moeda")*(Inputs!$G$5:$G$130&lt;&gt;"acoes")))*INDEX(Inputs!$K$5:$AJ$130,0,MATCH(AK$2,Inputs!$K$4:$AJ$4,0)))))</f>
        <v>-430</v>
      </c>
      <c r="AL66" s="264">
        <f>SUM(AH66:AK66)</f>
        <v>-1221</v>
      </c>
    </row>
    <row r="67">
      <c r="B67" s="46" t="n">
        <v>59</v>
      </c>
      <c r="C67" s="29" t="inlineStr">
        <is>
          <t>Receita Eliminações (USD)</t>
        </is>
      </c>
      <c r="D67" s="263">
        <f>IF(ISNA(MATCH(D$2,Inputs!$K$4:$AJ$4,0)),NA(),IF(SUMPRODUCT((Inputs!$A$5:$A$130=$B67)*ISNUMBER(INDEX(Inputs!$K$5:$AJ$130,0,MATCH(D$2,Inputs!$K$4:$AJ$4,0))))+SUMPRODUCT((Inputs!$C$5:$C$130=$B67)*ISNUMBER(INDEX(Inputs!$K$5:$AJ$130,0,MATCH(D$2,Inputs!$K$4:$AJ$4,0))))+SUMPRODUCT((Inputs!$E$5:$E$130=$B67)*ISNUMBER(INDEX(Inputs!$K$5:$AJ$130,0,MATCH(D$2,Inputs!$K$4:$AJ$4,0))))=0,NA(),SUMPRODUCT((Inputs!$A$5:$A$130=$B67)*Inputs!$B$5:$B$130*(((Inputs!$G$5:$G$130="moeda")+(Inputs!$G$5:$G$130="acoes"))*Inputs!$B$1+((Inputs!$G$5:$G$130&lt;&gt;"moeda")*(Inputs!$G$5:$G$130&lt;&gt;"acoes")))*INDEX(Inputs!$K$5:$AJ$130,0,MATCH(D$2,Inputs!$K$4:$AJ$4,0)))+SUMPRODUCT((Inputs!$C$5:$C$130=$B67)*Inputs!$D$5:$D$130*(((Inputs!$G$5:$G$130="moeda")+(Inputs!$G$5:$G$130="acoes"))*Inputs!$B$1+((Inputs!$G$5:$G$130&lt;&gt;"moeda")*(Inputs!$G$5:$G$130&lt;&gt;"acoes")))*INDEX(Inputs!$K$5:$AJ$130,0,MATCH(D$2,Inputs!$K$4:$AJ$4,0)))+SUMPRODUCT((Inputs!$E$5:$E$130=$B67)*Inputs!$F$5:$F$130*(((Inputs!$G$5:$G$130="moeda")+(Inputs!$G$5:$G$130="acoes"))*Inputs!$B$1+((Inputs!$G$5:$G$130&lt;&gt;"moeda")*(Inputs!$G$5:$G$130&lt;&gt;"acoes")))*INDEX(Inputs!$K$5:$AJ$130,0,MATCH(D$2,Inputs!$K$4:$AJ$4,0)))))</f>
        <v>-334</v>
      </c>
      <c r="E67" s="263">
        <f>IF(ISNA(MATCH(E$2,Inputs!$K$4:$AJ$4,0)),NA(),IF(SUMPRODUCT((Inputs!$A$5:$A$130=$B67)*ISNUMBER(INDEX(Inputs!$K$5:$AJ$130,0,MATCH(E$2,Inputs!$K$4:$AJ$4,0))))+SUMPRODUCT((Inputs!$C$5:$C$130=$B67)*ISNUMBER(INDEX(Inputs!$K$5:$AJ$130,0,MATCH(E$2,Inputs!$K$4:$AJ$4,0))))+SUMPRODUCT((Inputs!$E$5:$E$130=$B67)*ISNUMBER(INDEX(Inputs!$K$5:$AJ$130,0,MATCH(E$2,Inputs!$K$4:$AJ$4,0))))=0,NA(),SUMPRODUCT((Inputs!$A$5:$A$130=$B67)*Inputs!$B$5:$B$130*(((Inputs!$G$5:$G$130="moeda")+(Inputs!$G$5:$G$130="acoes"))*Inputs!$B$1+((Inputs!$G$5:$G$130&lt;&gt;"moeda")*(Inputs!$G$5:$G$130&lt;&gt;"acoes")))*INDEX(Inputs!$K$5:$AJ$130,0,MATCH(E$2,Inputs!$K$4:$AJ$4,0)))+SUMPRODUCT((Inputs!$C$5:$C$130=$B67)*Inputs!$D$5:$D$130*(((Inputs!$G$5:$G$130="moeda")+(Inputs!$G$5:$G$130="acoes"))*Inputs!$B$1+((Inputs!$G$5:$G$130&lt;&gt;"moeda")*(Inputs!$G$5:$G$130&lt;&gt;"acoes")))*INDEX(Inputs!$K$5:$AJ$130,0,MATCH(E$2,Inputs!$K$4:$AJ$4,0)))+SUMPRODUCT((Inputs!$E$5:$E$130=$B67)*Inputs!$F$5:$F$130*(((Inputs!$G$5:$G$130="moeda")+(Inputs!$G$5:$G$130="acoes"))*Inputs!$B$1+((Inputs!$G$5:$G$130&lt;&gt;"moeda")*(Inputs!$G$5:$G$130&lt;&gt;"acoes")))*INDEX(Inputs!$K$5:$AJ$130,0,MATCH(E$2,Inputs!$K$4:$AJ$4,0)))))</f>
        <v>-301</v>
      </c>
      <c r="F67" s="263">
        <f>IF(ISNA(MATCH(F$2,Inputs!$K$4:$AJ$4,0)),NA(),IF(SUMPRODUCT((Inputs!$A$5:$A$130=$B67)*ISNUMBER(INDEX(Inputs!$K$5:$AJ$130,0,MATCH(F$2,Inputs!$K$4:$AJ$4,0))))+SUMPRODUCT((Inputs!$C$5:$C$130=$B67)*ISNUMBER(INDEX(Inputs!$K$5:$AJ$130,0,MATCH(F$2,Inputs!$K$4:$AJ$4,0))))+SUMPRODUCT((Inputs!$E$5:$E$130=$B67)*ISNUMBER(INDEX(Inputs!$K$5:$AJ$130,0,MATCH(F$2,Inputs!$K$4:$AJ$4,0))))=0,NA(),SUMPRODUCT((Inputs!$A$5:$A$130=$B67)*Inputs!$B$5:$B$130*(((Inputs!$G$5:$G$130="moeda")+(Inputs!$G$5:$G$130="acoes"))*Inputs!$B$1+((Inputs!$G$5:$G$130&lt;&gt;"moeda")*(Inputs!$G$5:$G$130&lt;&gt;"acoes")))*INDEX(Inputs!$K$5:$AJ$130,0,MATCH(F$2,Inputs!$K$4:$AJ$4,0)))+SUMPRODUCT((Inputs!$C$5:$C$130=$B67)*Inputs!$D$5:$D$130*(((Inputs!$G$5:$G$130="moeda")+(Inputs!$G$5:$G$130="acoes"))*Inputs!$B$1+((Inputs!$G$5:$G$130&lt;&gt;"moeda")*(Inputs!$G$5:$G$130&lt;&gt;"acoes")))*INDEX(Inputs!$K$5:$AJ$130,0,MATCH(F$2,Inputs!$K$4:$AJ$4,0)))+SUMPRODUCT((Inputs!$E$5:$E$130=$B67)*Inputs!$F$5:$F$130*(((Inputs!$G$5:$G$130="moeda")+(Inputs!$G$5:$G$130="acoes"))*Inputs!$B$1+((Inputs!$G$5:$G$130&lt;&gt;"moeda")*(Inputs!$G$5:$G$130&lt;&gt;"acoes")))*INDEX(Inputs!$K$5:$AJ$130,0,MATCH(F$2,Inputs!$K$4:$AJ$4,0)))))</f>
        <v>-306</v>
      </c>
      <c r="G67" s="263">
        <f>IF(ISNA(MATCH(G$2,Inputs!$K$4:$AJ$4,0)),NA(),IF(SUMPRODUCT((Inputs!$A$5:$A$130=$B67)*ISNUMBER(INDEX(Inputs!$K$5:$AJ$130,0,MATCH(G$2,Inputs!$K$4:$AJ$4,0))))+SUMPRODUCT((Inputs!$C$5:$C$130=$B67)*ISNUMBER(INDEX(Inputs!$K$5:$AJ$130,0,MATCH(G$2,Inputs!$K$4:$AJ$4,0))))+SUMPRODUCT((Inputs!$E$5:$E$130=$B67)*ISNUMBER(INDEX(Inputs!$K$5:$AJ$130,0,MATCH(G$2,Inputs!$K$4:$AJ$4,0))))=0,NA(),SUMPRODUCT((Inputs!$A$5:$A$130=$B67)*Inputs!$B$5:$B$130*(((Inputs!$G$5:$G$130="moeda")+(Inputs!$G$5:$G$130="acoes"))*Inputs!$B$1+((Inputs!$G$5:$G$130&lt;&gt;"moeda")*(Inputs!$G$5:$G$130&lt;&gt;"acoes")))*INDEX(Inputs!$K$5:$AJ$130,0,MATCH(G$2,Inputs!$K$4:$AJ$4,0)))+SUMPRODUCT((Inputs!$C$5:$C$130=$B67)*Inputs!$D$5:$D$130*(((Inputs!$G$5:$G$130="moeda")+(Inputs!$G$5:$G$130="acoes"))*Inputs!$B$1+((Inputs!$G$5:$G$130&lt;&gt;"moeda")*(Inputs!$G$5:$G$130&lt;&gt;"acoes")))*INDEX(Inputs!$K$5:$AJ$130,0,MATCH(G$2,Inputs!$K$4:$AJ$4,0)))+SUMPRODUCT((Inputs!$E$5:$E$130=$B67)*Inputs!$F$5:$F$130*(((Inputs!$G$5:$G$130="moeda")+(Inputs!$G$5:$G$130="acoes"))*Inputs!$B$1+((Inputs!$G$5:$G$130&lt;&gt;"moeda")*(Inputs!$G$5:$G$130&lt;&gt;"acoes")))*INDEX(Inputs!$K$5:$AJ$130,0,MATCH(G$2,Inputs!$K$4:$AJ$4,0)))))</f>
        <v>-314</v>
      </c>
      <c r="H67" s="264">
        <f>SUM(D67:G67)</f>
        <v>-1255</v>
      </c>
      <c r="I67" s="263">
        <f>IF(ISNA(MATCH(I$2,Inputs!$K$4:$AJ$4,0)),NA(),IF(SUMPRODUCT((Inputs!$A$5:$A$130=$B67)*ISNUMBER(INDEX(Inputs!$K$5:$AJ$130,0,MATCH(I$2,Inputs!$K$4:$AJ$4,0))))+SUMPRODUCT((Inputs!$C$5:$C$130=$B67)*ISNUMBER(INDEX(Inputs!$K$5:$AJ$130,0,MATCH(I$2,Inputs!$K$4:$AJ$4,0))))+SUMPRODUCT((Inputs!$E$5:$E$130=$B67)*ISNUMBER(INDEX(Inputs!$K$5:$AJ$130,0,MATCH(I$2,Inputs!$K$4:$AJ$4,0))))=0,NA(),SUMPRODUCT((Inputs!$A$5:$A$130=$B67)*Inputs!$B$5:$B$130*(((Inputs!$G$5:$G$130="moeda")+(Inputs!$G$5:$G$130="acoes"))*Inputs!$B$1+((Inputs!$G$5:$G$130&lt;&gt;"moeda")*(Inputs!$G$5:$G$130&lt;&gt;"acoes")))*INDEX(Inputs!$K$5:$AJ$130,0,MATCH(I$2,Inputs!$K$4:$AJ$4,0)))+SUMPRODUCT((Inputs!$C$5:$C$130=$B67)*Inputs!$D$5:$D$130*(((Inputs!$G$5:$G$130="moeda")+(Inputs!$G$5:$G$130="acoes"))*Inputs!$B$1+((Inputs!$G$5:$G$130&lt;&gt;"moeda")*(Inputs!$G$5:$G$130&lt;&gt;"acoes")))*INDEX(Inputs!$K$5:$AJ$130,0,MATCH(I$2,Inputs!$K$4:$AJ$4,0)))+SUMPRODUCT((Inputs!$E$5:$E$130=$B67)*Inputs!$F$5:$F$130*(((Inputs!$G$5:$G$130="moeda")+(Inputs!$G$5:$G$130="acoes"))*Inputs!$B$1+((Inputs!$G$5:$G$130&lt;&gt;"moeda")*(Inputs!$G$5:$G$130&lt;&gt;"acoes")))*INDEX(Inputs!$K$5:$AJ$130,0,MATCH(I$2,Inputs!$K$4:$AJ$4,0)))))</f>
        <v>-355</v>
      </c>
      <c r="J67" s="263">
        <f>IF(ISNA(MATCH(J$2,Inputs!$K$4:$AJ$4,0)),NA(),IF(SUMPRODUCT((Inputs!$A$5:$A$130=$B67)*ISNUMBER(INDEX(Inputs!$K$5:$AJ$130,0,MATCH(J$2,Inputs!$K$4:$AJ$4,0))))+SUMPRODUCT((Inputs!$C$5:$C$130=$B67)*ISNUMBER(INDEX(Inputs!$K$5:$AJ$130,0,MATCH(J$2,Inputs!$K$4:$AJ$4,0))))+SUMPRODUCT((Inputs!$E$5:$E$130=$B67)*ISNUMBER(INDEX(Inputs!$K$5:$AJ$130,0,MATCH(J$2,Inputs!$K$4:$AJ$4,0))))=0,NA(),SUMPRODUCT((Inputs!$A$5:$A$130=$B67)*Inputs!$B$5:$B$130*(((Inputs!$G$5:$G$130="moeda")+(Inputs!$G$5:$G$130="acoes"))*Inputs!$B$1+((Inputs!$G$5:$G$130&lt;&gt;"moeda")*(Inputs!$G$5:$G$130&lt;&gt;"acoes")))*INDEX(Inputs!$K$5:$AJ$130,0,MATCH(J$2,Inputs!$K$4:$AJ$4,0)))+SUMPRODUCT((Inputs!$C$5:$C$130=$B67)*Inputs!$D$5:$D$130*(((Inputs!$G$5:$G$130="moeda")+(Inputs!$G$5:$G$130="acoes"))*Inputs!$B$1+((Inputs!$G$5:$G$130&lt;&gt;"moeda")*(Inputs!$G$5:$G$130&lt;&gt;"acoes")))*INDEX(Inputs!$K$5:$AJ$130,0,MATCH(J$2,Inputs!$K$4:$AJ$4,0)))+SUMPRODUCT((Inputs!$E$5:$E$130=$B67)*Inputs!$F$5:$F$130*(((Inputs!$G$5:$G$130="moeda")+(Inputs!$G$5:$G$130="acoes"))*Inputs!$B$1+((Inputs!$G$5:$G$130&lt;&gt;"moeda")*(Inputs!$G$5:$G$130&lt;&gt;"acoes")))*INDEX(Inputs!$K$5:$AJ$130,0,MATCH(J$2,Inputs!$K$4:$AJ$4,0)))))</f>
        <v>-392</v>
      </c>
      <c r="K67" s="263">
        <f>IF(ISNA(MATCH(K$2,Inputs!$K$4:$AJ$4,0)),NA(),IF(SUMPRODUCT((Inputs!$A$5:$A$130=$B67)*ISNUMBER(INDEX(Inputs!$K$5:$AJ$130,0,MATCH(K$2,Inputs!$K$4:$AJ$4,0))))+SUMPRODUCT((Inputs!$C$5:$C$130=$B67)*ISNUMBER(INDEX(Inputs!$K$5:$AJ$130,0,MATCH(K$2,Inputs!$K$4:$AJ$4,0))))+SUMPRODUCT((Inputs!$E$5:$E$130=$B67)*ISNUMBER(INDEX(Inputs!$K$5:$AJ$130,0,MATCH(K$2,Inputs!$K$4:$AJ$4,0))))=0,NA(),SUMPRODUCT((Inputs!$A$5:$A$130=$B67)*Inputs!$B$5:$B$130*(((Inputs!$G$5:$G$130="moeda")+(Inputs!$G$5:$G$130="acoes"))*Inputs!$B$1+((Inputs!$G$5:$G$130&lt;&gt;"moeda")*(Inputs!$G$5:$G$130&lt;&gt;"acoes")))*INDEX(Inputs!$K$5:$AJ$130,0,MATCH(K$2,Inputs!$K$4:$AJ$4,0)))+SUMPRODUCT((Inputs!$C$5:$C$130=$B67)*Inputs!$D$5:$D$130*(((Inputs!$G$5:$G$130="moeda")+(Inputs!$G$5:$G$130="acoes"))*Inputs!$B$1+((Inputs!$G$5:$G$130&lt;&gt;"moeda")*(Inputs!$G$5:$G$130&lt;&gt;"acoes")))*INDEX(Inputs!$K$5:$AJ$130,0,MATCH(K$2,Inputs!$K$4:$AJ$4,0)))+SUMPRODUCT((Inputs!$E$5:$E$130=$B67)*Inputs!$F$5:$F$130*(((Inputs!$G$5:$G$130="moeda")+(Inputs!$G$5:$G$130="acoes"))*Inputs!$B$1+((Inputs!$G$5:$G$130&lt;&gt;"moeda")*(Inputs!$G$5:$G$130&lt;&gt;"acoes")))*INDEX(Inputs!$K$5:$AJ$130,0,MATCH(K$2,Inputs!$K$4:$AJ$4,0)))))</f>
        <v>-313</v>
      </c>
      <c r="L67" s="263">
        <f>IF(ISNA(MATCH(L$2,Inputs!$K$4:$AJ$4,0)),NA(),IF(SUMPRODUCT((Inputs!$A$5:$A$130=$B67)*ISNUMBER(INDEX(Inputs!$K$5:$AJ$130,0,MATCH(L$2,Inputs!$K$4:$AJ$4,0))))+SUMPRODUCT((Inputs!$C$5:$C$130=$B67)*ISNUMBER(INDEX(Inputs!$K$5:$AJ$130,0,MATCH(L$2,Inputs!$K$4:$AJ$4,0))))+SUMPRODUCT((Inputs!$E$5:$E$130=$B67)*ISNUMBER(INDEX(Inputs!$K$5:$AJ$130,0,MATCH(L$2,Inputs!$K$4:$AJ$4,0))))=0,NA(),SUMPRODUCT((Inputs!$A$5:$A$130=$B67)*Inputs!$B$5:$B$130*(((Inputs!$G$5:$G$130="moeda")+(Inputs!$G$5:$G$130="acoes"))*Inputs!$B$1+((Inputs!$G$5:$G$130&lt;&gt;"moeda")*(Inputs!$G$5:$G$130&lt;&gt;"acoes")))*INDEX(Inputs!$K$5:$AJ$130,0,MATCH(L$2,Inputs!$K$4:$AJ$4,0)))+SUMPRODUCT((Inputs!$C$5:$C$130=$B67)*Inputs!$D$5:$D$130*(((Inputs!$G$5:$G$130="moeda")+(Inputs!$G$5:$G$130="acoes"))*Inputs!$B$1+((Inputs!$G$5:$G$130&lt;&gt;"moeda")*(Inputs!$G$5:$G$130&lt;&gt;"acoes")))*INDEX(Inputs!$K$5:$AJ$130,0,MATCH(L$2,Inputs!$K$4:$AJ$4,0)))+SUMPRODUCT((Inputs!$E$5:$E$130=$B67)*Inputs!$F$5:$F$130*(((Inputs!$G$5:$G$130="moeda")+(Inputs!$G$5:$G$130="acoes"))*Inputs!$B$1+((Inputs!$G$5:$G$130&lt;&gt;"moeda")*(Inputs!$G$5:$G$130&lt;&gt;"acoes")))*INDEX(Inputs!$K$5:$AJ$130,0,MATCH(L$2,Inputs!$K$4:$AJ$4,0)))))</f>
        <v>-316</v>
      </c>
      <c r="M67" s="264">
        <f>SUM(I67:L67)</f>
        <v>-1376</v>
      </c>
      <c r="N67" s="263">
        <f>IF(ISNA(MATCH(N$2,Inputs!$K$4:$AJ$4,0)),NA(),IF(SUMPRODUCT((Inputs!$A$5:$A$130=$B67)*ISNUMBER(INDEX(Inputs!$K$5:$AJ$130,0,MATCH(N$2,Inputs!$K$4:$AJ$4,0))))+SUMPRODUCT((Inputs!$C$5:$C$130=$B67)*ISNUMBER(INDEX(Inputs!$K$5:$AJ$130,0,MATCH(N$2,Inputs!$K$4:$AJ$4,0))))+SUMPRODUCT((Inputs!$E$5:$E$130=$B67)*ISNUMBER(INDEX(Inputs!$K$5:$AJ$130,0,MATCH(N$2,Inputs!$K$4:$AJ$4,0))))=0,NA(),SUMPRODUCT((Inputs!$A$5:$A$130=$B67)*Inputs!$B$5:$B$130*(((Inputs!$G$5:$G$130="moeda")+(Inputs!$G$5:$G$130="acoes"))*Inputs!$B$1+((Inputs!$G$5:$G$130&lt;&gt;"moeda")*(Inputs!$G$5:$G$130&lt;&gt;"acoes")))*INDEX(Inputs!$K$5:$AJ$130,0,MATCH(N$2,Inputs!$K$4:$AJ$4,0)))+SUMPRODUCT((Inputs!$C$5:$C$130=$B67)*Inputs!$D$5:$D$130*(((Inputs!$G$5:$G$130="moeda")+(Inputs!$G$5:$G$130="acoes"))*Inputs!$B$1+((Inputs!$G$5:$G$130&lt;&gt;"moeda")*(Inputs!$G$5:$G$130&lt;&gt;"acoes")))*INDEX(Inputs!$K$5:$AJ$130,0,MATCH(N$2,Inputs!$K$4:$AJ$4,0)))+SUMPRODUCT((Inputs!$E$5:$E$130=$B67)*Inputs!$F$5:$F$130*(((Inputs!$G$5:$G$130="moeda")+(Inputs!$G$5:$G$130="acoes"))*Inputs!$B$1+((Inputs!$G$5:$G$130&lt;&gt;"moeda")*(Inputs!$G$5:$G$130&lt;&gt;"acoes")))*INDEX(Inputs!$K$5:$AJ$130,0,MATCH(N$2,Inputs!$K$4:$AJ$4,0)))))</f>
        <v>-383</v>
      </c>
      <c r="O67" s="263">
        <f>IF(ISNA(MATCH(O$2,Inputs!$K$4:$AJ$4,0)),NA(),IF(SUMPRODUCT((Inputs!$A$5:$A$130=$B67)*ISNUMBER(INDEX(Inputs!$K$5:$AJ$130,0,MATCH(O$2,Inputs!$K$4:$AJ$4,0))))+SUMPRODUCT((Inputs!$C$5:$C$130=$B67)*ISNUMBER(INDEX(Inputs!$K$5:$AJ$130,0,MATCH(O$2,Inputs!$K$4:$AJ$4,0))))+SUMPRODUCT((Inputs!$E$5:$E$130=$B67)*ISNUMBER(INDEX(Inputs!$K$5:$AJ$130,0,MATCH(O$2,Inputs!$K$4:$AJ$4,0))))=0,NA(),SUMPRODUCT((Inputs!$A$5:$A$130=$B67)*Inputs!$B$5:$B$130*(((Inputs!$G$5:$G$130="moeda")+(Inputs!$G$5:$G$130="acoes"))*Inputs!$B$1+((Inputs!$G$5:$G$130&lt;&gt;"moeda")*(Inputs!$G$5:$G$130&lt;&gt;"acoes")))*INDEX(Inputs!$K$5:$AJ$130,0,MATCH(O$2,Inputs!$K$4:$AJ$4,0)))+SUMPRODUCT((Inputs!$C$5:$C$130=$B67)*Inputs!$D$5:$D$130*(((Inputs!$G$5:$G$130="moeda")+(Inputs!$G$5:$G$130="acoes"))*Inputs!$B$1+((Inputs!$G$5:$G$130&lt;&gt;"moeda")*(Inputs!$G$5:$G$130&lt;&gt;"acoes")))*INDEX(Inputs!$K$5:$AJ$130,0,MATCH(O$2,Inputs!$K$4:$AJ$4,0)))+SUMPRODUCT((Inputs!$E$5:$E$130=$B67)*Inputs!$F$5:$F$130*(((Inputs!$G$5:$G$130="moeda")+(Inputs!$G$5:$G$130="acoes"))*Inputs!$B$1+((Inputs!$G$5:$G$130&lt;&gt;"moeda")*(Inputs!$G$5:$G$130&lt;&gt;"acoes")))*INDEX(Inputs!$K$5:$AJ$130,0,MATCH(O$2,Inputs!$K$4:$AJ$4,0)))))</f>
        <v>-365</v>
      </c>
      <c r="P67" s="263">
        <f>IF(ISNA(MATCH(P$2,Inputs!$K$4:$AJ$4,0)),NA(),IF(SUMPRODUCT((Inputs!$A$5:$A$130=$B67)*ISNUMBER(INDEX(Inputs!$K$5:$AJ$130,0,MATCH(P$2,Inputs!$K$4:$AJ$4,0))))+SUMPRODUCT((Inputs!$C$5:$C$130=$B67)*ISNUMBER(INDEX(Inputs!$K$5:$AJ$130,0,MATCH(P$2,Inputs!$K$4:$AJ$4,0))))+SUMPRODUCT((Inputs!$E$5:$E$130=$B67)*ISNUMBER(INDEX(Inputs!$K$5:$AJ$130,0,MATCH(P$2,Inputs!$K$4:$AJ$4,0))))=0,NA(),SUMPRODUCT((Inputs!$A$5:$A$130=$B67)*Inputs!$B$5:$B$130*(((Inputs!$G$5:$G$130="moeda")+(Inputs!$G$5:$G$130="acoes"))*Inputs!$B$1+((Inputs!$G$5:$G$130&lt;&gt;"moeda")*(Inputs!$G$5:$G$130&lt;&gt;"acoes")))*INDEX(Inputs!$K$5:$AJ$130,0,MATCH(P$2,Inputs!$K$4:$AJ$4,0)))+SUMPRODUCT((Inputs!$C$5:$C$130=$B67)*Inputs!$D$5:$D$130*(((Inputs!$G$5:$G$130="moeda")+(Inputs!$G$5:$G$130="acoes"))*Inputs!$B$1+((Inputs!$G$5:$G$130&lt;&gt;"moeda")*(Inputs!$G$5:$G$130&lt;&gt;"acoes")))*INDEX(Inputs!$K$5:$AJ$130,0,MATCH(P$2,Inputs!$K$4:$AJ$4,0)))+SUMPRODUCT((Inputs!$E$5:$E$130=$B67)*Inputs!$F$5:$F$130*(((Inputs!$G$5:$G$130="moeda")+(Inputs!$G$5:$G$130="acoes"))*Inputs!$B$1+((Inputs!$G$5:$G$130&lt;&gt;"moeda")*(Inputs!$G$5:$G$130&lt;&gt;"acoes")))*INDEX(Inputs!$K$5:$AJ$130,0,MATCH(P$2,Inputs!$K$4:$AJ$4,0)))))</f>
        <v>-340</v>
      </c>
      <c r="Q67" s="263">
        <f>IF(ISNA(MATCH(Q$2,Inputs!$K$4:$AJ$4,0)),NA(),IF(SUMPRODUCT((Inputs!$A$5:$A$130=$B67)*ISNUMBER(INDEX(Inputs!$K$5:$AJ$130,0,MATCH(Q$2,Inputs!$K$4:$AJ$4,0))))+SUMPRODUCT((Inputs!$C$5:$C$130=$B67)*ISNUMBER(INDEX(Inputs!$K$5:$AJ$130,0,MATCH(Q$2,Inputs!$K$4:$AJ$4,0))))+SUMPRODUCT((Inputs!$E$5:$E$130=$B67)*ISNUMBER(INDEX(Inputs!$K$5:$AJ$130,0,MATCH(Q$2,Inputs!$K$4:$AJ$4,0))))=0,NA(),SUMPRODUCT((Inputs!$A$5:$A$130=$B67)*Inputs!$B$5:$B$130*(((Inputs!$G$5:$G$130="moeda")+(Inputs!$G$5:$G$130="acoes"))*Inputs!$B$1+((Inputs!$G$5:$G$130&lt;&gt;"moeda")*(Inputs!$G$5:$G$130&lt;&gt;"acoes")))*INDEX(Inputs!$K$5:$AJ$130,0,MATCH(Q$2,Inputs!$K$4:$AJ$4,0)))+SUMPRODUCT((Inputs!$C$5:$C$130=$B67)*Inputs!$D$5:$D$130*(((Inputs!$G$5:$G$130="moeda")+(Inputs!$G$5:$G$130="acoes"))*Inputs!$B$1+((Inputs!$G$5:$G$130&lt;&gt;"moeda")*(Inputs!$G$5:$G$130&lt;&gt;"acoes")))*INDEX(Inputs!$K$5:$AJ$130,0,MATCH(Q$2,Inputs!$K$4:$AJ$4,0)))+SUMPRODUCT((Inputs!$E$5:$E$130=$B67)*Inputs!$F$5:$F$130*(((Inputs!$G$5:$G$130="moeda")+(Inputs!$G$5:$G$130="acoes"))*Inputs!$B$1+((Inputs!$G$5:$G$130&lt;&gt;"moeda")*(Inputs!$G$5:$G$130&lt;&gt;"acoes")))*INDEX(Inputs!$K$5:$AJ$130,0,MATCH(Q$2,Inputs!$K$4:$AJ$4,0)))))</f>
        <v>-345</v>
      </c>
      <c r="R67" s="264">
        <f>SUM(N67:Q67)</f>
        <v>-1433</v>
      </c>
      <c r="S67" s="263">
        <f>IF(ISNA(MATCH(S$2,Inputs!$K$4:$AJ$4,0)),NA(),IF(SUMPRODUCT((Inputs!$A$5:$A$130=$B67)*ISNUMBER(INDEX(Inputs!$K$5:$AJ$130,0,MATCH(S$2,Inputs!$K$4:$AJ$4,0))))+SUMPRODUCT((Inputs!$C$5:$C$130=$B67)*ISNUMBER(INDEX(Inputs!$K$5:$AJ$130,0,MATCH(S$2,Inputs!$K$4:$AJ$4,0))))+SUMPRODUCT((Inputs!$E$5:$E$130=$B67)*ISNUMBER(INDEX(Inputs!$K$5:$AJ$130,0,MATCH(S$2,Inputs!$K$4:$AJ$4,0))))=0,NA(),SUMPRODUCT((Inputs!$A$5:$A$130=$B67)*Inputs!$B$5:$B$130*(((Inputs!$G$5:$G$130="moeda")+(Inputs!$G$5:$G$130="acoes"))*Inputs!$B$1+((Inputs!$G$5:$G$130&lt;&gt;"moeda")*(Inputs!$G$5:$G$130&lt;&gt;"acoes")))*INDEX(Inputs!$K$5:$AJ$130,0,MATCH(S$2,Inputs!$K$4:$AJ$4,0)))+SUMPRODUCT((Inputs!$C$5:$C$130=$B67)*Inputs!$D$5:$D$130*(((Inputs!$G$5:$G$130="moeda")+(Inputs!$G$5:$G$130="acoes"))*Inputs!$B$1+((Inputs!$G$5:$G$130&lt;&gt;"moeda")*(Inputs!$G$5:$G$130&lt;&gt;"acoes")))*INDEX(Inputs!$K$5:$AJ$130,0,MATCH(S$2,Inputs!$K$4:$AJ$4,0)))+SUMPRODUCT((Inputs!$E$5:$E$130=$B67)*Inputs!$F$5:$F$130*(((Inputs!$G$5:$G$130="moeda")+(Inputs!$G$5:$G$130="acoes"))*Inputs!$B$1+((Inputs!$G$5:$G$130&lt;&gt;"moeda")*(Inputs!$G$5:$G$130&lt;&gt;"acoes")))*INDEX(Inputs!$K$5:$AJ$130,0,MATCH(S$2,Inputs!$K$4:$AJ$4,0)))))</f>
        <v>-417</v>
      </c>
      <c r="T67" s="263">
        <f>IF(ISNA(MATCH(T$2,Inputs!$K$4:$AJ$4,0)),NA(),IF(SUMPRODUCT((Inputs!$A$5:$A$130=$B67)*ISNUMBER(INDEX(Inputs!$K$5:$AJ$130,0,MATCH(T$2,Inputs!$K$4:$AJ$4,0))))+SUMPRODUCT((Inputs!$C$5:$C$130=$B67)*ISNUMBER(INDEX(Inputs!$K$5:$AJ$130,0,MATCH(T$2,Inputs!$K$4:$AJ$4,0))))+SUMPRODUCT((Inputs!$E$5:$E$130=$B67)*ISNUMBER(INDEX(Inputs!$K$5:$AJ$130,0,MATCH(T$2,Inputs!$K$4:$AJ$4,0))))=0,NA(),SUMPRODUCT((Inputs!$A$5:$A$130=$B67)*Inputs!$B$5:$B$130*(((Inputs!$G$5:$G$130="moeda")+(Inputs!$G$5:$G$130="acoes"))*Inputs!$B$1+((Inputs!$G$5:$G$130&lt;&gt;"moeda")*(Inputs!$G$5:$G$130&lt;&gt;"acoes")))*INDEX(Inputs!$K$5:$AJ$130,0,MATCH(T$2,Inputs!$K$4:$AJ$4,0)))+SUMPRODUCT((Inputs!$C$5:$C$130=$B67)*Inputs!$D$5:$D$130*(((Inputs!$G$5:$G$130="moeda")+(Inputs!$G$5:$G$130="acoes"))*Inputs!$B$1+((Inputs!$G$5:$G$130&lt;&gt;"moeda")*(Inputs!$G$5:$G$130&lt;&gt;"acoes")))*INDEX(Inputs!$K$5:$AJ$130,0,MATCH(T$2,Inputs!$K$4:$AJ$4,0)))+SUMPRODUCT((Inputs!$E$5:$E$130=$B67)*Inputs!$F$5:$F$130*(((Inputs!$G$5:$G$130="moeda")+(Inputs!$G$5:$G$130="acoes"))*Inputs!$B$1+((Inputs!$G$5:$G$130&lt;&gt;"moeda")*(Inputs!$G$5:$G$130&lt;&gt;"acoes")))*INDEX(Inputs!$K$5:$AJ$130,0,MATCH(T$2,Inputs!$K$4:$AJ$4,0)))))</f>
        <v>-287</v>
      </c>
      <c r="U67" s="263">
        <f>IF(ISNA(MATCH(U$2,Inputs!$K$4:$AJ$4,0)),NA(),IF(SUMPRODUCT((Inputs!$A$5:$A$130=$B67)*ISNUMBER(INDEX(Inputs!$K$5:$AJ$130,0,MATCH(U$2,Inputs!$K$4:$AJ$4,0))))+SUMPRODUCT((Inputs!$C$5:$C$130=$B67)*ISNUMBER(INDEX(Inputs!$K$5:$AJ$130,0,MATCH(U$2,Inputs!$K$4:$AJ$4,0))))+SUMPRODUCT((Inputs!$E$5:$E$130=$B67)*ISNUMBER(INDEX(Inputs!$K$5:$AJ$130,0,MATCH(U$2,Inputs!$K$4:$AJ$4,0))))=0,NA(),SUMPRODUCT((Inputs!$A$5:$A$130=$B67)*Inputs!$B$5:$B$130*(((Inputs!$G$5:$G$130="moeda")+(Inputs!$G$5:$G$130="acoes"))*Inputs!$B$1+((Inputs!$G$5:$G$130&lt;&gt;"moeda")*(Inputs!$G$5:$G$130&lt;&gt;"acoes")))*INDEX(Inputs!$K$5:$AJ$130,0,MATCH(U$2,Inputs!$K$4:$AJ$4,0)))+SUMPRODUCT((Inputs!$C$5:$C$130=$B67)*Inputs!$D$5:$D$130*(((Inputs!$G$5:$G$130="moeda")+(Inputs!$G$5:$G$130="acoes"))*Inputs!$B$1+((Inputs!$G$5:$G$130&lt;&gt;"moeda")*(Inputs!$G$5:$G$130&lt;&gt;"acoes")))*INDEX(Inputs!$K$5:$AJ$130,0,MATCH(U$2,Inputs!$K$4:$AJ$4,0)))+SUMPRODUCT((Inputs!$E$5:$E$130=$B67)*Inputs!$F$5:$F$130*(((Inputs!$G$5:$G$130="moeda")+(Inputs!$G$5:$G$130="acoes"))*Inputs!$B$1+((Inputs!$G$5:$G$130&lt;&gt;"moeda")*(Inputs!$G$5:$G$130&lt;&gt;"acoes")))*INDEX(Inputs!$K$5:$AJ$130,0,MATCH(U$2,Inputs!$K$4:$AJ$4,0)))))</f>
        <v>-252</v>
      </c>
      <c r="V67" s="263">
        <f>IF(ISNA(MATCH(V$2,Inputs!$K$4:$AJ$4,0)),NA(),IF(SUMPRODUCT((Inputs!$A$5:$A$130=$B67)*ISNUMBER(INDEX(Inputs!$K$5:$AJ$130,0,MATCH(V$2,Inputs!$K$4:$AJ$4,0))))+SUMPRODUCT((Inputs!$C$5:$C$130=$B67)*ISNUMBER(INDEX(Inputs!$K$5:$AJ$130,0,MATCH(V$2,Inputs!$K$4:$AJ$4,0))))+SUMPRODUCT((Inputs!$E$5:$E$130=$B67)*ISNUMBER(INDEX(Inputs!$K$5:$AJ$130,0,MATCH(V$2,Inputs!$K$4:$AJ$4,0))))=0,NA(),SUMPRODUCT((Inputs!$A$5:$A$130=$B67)*Inputs!$B$5:$B$130*(((Inputs!$G$5:$G$130="moeda")+(Inputs!$G$5:$G$130="acoes"))*Inputs!$B$1+((Inputs!$G$5:$G$130&lt;&gt;"moeda")*(Inputs!$G$5:$G$130&lt;&gt;"acoes")))*INDEX(Inputs!$K$5:$AJ$130,0,MATCH(V$2,Inputs!$K$4:$AJ$4,0)))+SUMPRODUCT((Inputs!$C$5:$C$130=$B67)*Inputs!$D$5:$D$130*(((Inputs!$G$5:$G$130="moeda")+(Inputs!$G$5:$G$130="acoes"))*Inputs!$B$1+((Inputs!$G$5:$G$130&lt;&gt;"moeda")*(Inputs!$G$5:$G$130&lt;&gt;"acoes")))*INDEX(Inputs!$K$5:$AJ$130,0,MATCH(V$2,Inputs!$K$4:$AJ$4,0)))+SUMPRODUCT((Inputs!$E$5:$E$130=$B67)*Inputs!$F$5:$F$130*(((Inputs!$G$5:$G$130="moeda")+(Inputs!$G$5:$G$130="acoes"))*Inputs!$B$1+((Inputs!$G$5:$G$130&lt;&gt;"moeda")*(Inputs!$G$5:$G$130&lt;&gt;"acoes")))*INDEX(Inputs!$K$5:$AJ$130,0,MATCH(V$2,Inputs!$K$4:$AJ$4,0)))))</f>
        <v>-208</v>
      </c>
      <c r="W67" s="264">
        <f>SUM(S67:V67)</f>
        <v>-1164</v>
      </c>
      <c r="X67" s="263">
        <f>IF(ISNA(MATCH(X$2,Inputs!$K$4:$AJ$4,0)),NA(),IF(SUMPRODUCT((Inputs!$A$5:$A$130=$B67)*ISNUMBER(INDEX(Inputs!$K$5:$AJ$130,0,MATCH(X$2,Inputs!$K$4:$AJ$4,0))))+SUMPRODUCT((Inputs!$C$5:$C$130=$B67)*ISNUMBER(INDEX(Inputs!$K$5:$AJ$130,0,MATCH(X$2,Inputs!$K$4:$AJ$4,0))))+SUMPRODUCT((Inputs!$E$5:$E$130=$B67)*ISNUMBER(INDEX(Inputs!$K$5:$AJ$130,0,MATCH(X$2,Inputs!$K$4:$AJ$4,0))))=0,NA(),SUMPRODUCT((Inputs!$A$5:$A$130=$B67)*Inputs!$B$5:$B$130*(((Inputs!$G$5:$G$130="moeda")+(Inputs!$G$5:$G$130="acoes"))*Inputs!$B$1+((Inputs!$G$5:$G$130&lt;&gt;"moeda")*(Inputs!$G$5:$G$130&lt;&gt;"acoes")))*INDEX(Inputs!$K$5:$AJ$130,0,MATCH(X$2,Inputs!$K$4:$AJ$4,0)))+SUMPRODUCT((Inputs!$C$5:$C$130=$B67)*Inputs!$D$5:$D$130*(((Inputs!$G$5:$G$130="moeda")+(Inputs!$G$5:$G$130="acoes"))*Inputs!$B$1+((Inputs!$G$5:$G$130&lt;&gt;"moeda")*(Inputs!$G$5:$G$130&lt;&gt;"acoes")))*INDEX(Inputs!$K$5:$AJ$130,0,MATCH(X$2,Inputs!$K$4:$AJ$4,0)))+SUMPRODUCT((Inputs!$E$5:$E$130=$B67)*Inputs!$F$5:$F$130*(((Inputs!$G$5:$G$130="moeda")+(Inputs!$G$5:$G$130="acoes"))*Inputs!$B$1+((Inputs!$G$5:$G$130&lt;&gt;"moeda")*(Inputs!$G$5:$G$130&lt;&gt;"acoes")))*INDEX(Inputs!$K$5:$AJ$130,0,MATCH(X$2,Inputs!$K$4:$AJ$4,0)))))</f>
        <v>-276</v>
      </c>
      <c r="Y67" s="263">
        <f>IF(ISNA(MATCH(Y$2,Inputs!$K$4:$AJ$4,0)),NA(),IF(SUMPRODUCT((Inputs!$A$5:$A$130=$B67)*ISNUMBER(INDEX(Inputs!$K$5:$AJ$130,0,MATCH(Y$2,Inputs!$K$4:$AJ$4,0))))+SUMPRODUCT((Inputs!$C$5:$C$130=$B67)*ISNUMBER(INDEX(Inputs!$K$5:$AJ$130,0,MATCH(Y$2,Inputs!$K$4:$AJ$4,0))))+SUMPRODUCT((Inputs!$E$5:$E$130=$B67)*ISNUMBER(INDEX(Inputs!$K$5:$AJ$130,0,MATCH(Y$2,Inputs!$K$4:$AJ$4,0))))=0,NA(),SUMPRODUCT((Inputs!$A$5:$A$130=$B67)*Inputs!$B$5:$B$130*(((Inputs!$G$5:$G$130="moeda")+(Inputs!$G$5:$G$130="acoes"))*Inputs!$B$1+((Inputs!$G$5:$G$130&lt;&gt;"moeda")*(Inputs!$G$5:$G$130&lt;&gt;"acoes")))*INDEX(Inputs!$K$5:$AJ$130,0,MATCH(Y$2,Inputs!$K$4:$AJ$4,0)))+SUMPRODUCT((Inputs!$C$5:$C$130=$B67)*Inputs!$D$5:$D$130*(((Inputs!$G$5:$G$130="moeda")+(Inputs!$G$5:$G$130="acoes"))*Inputs!$B$1+((Inputs!$G$5:$G$130&lt;&gt;"moeda")*(Inputs!$G$5:$G$130&lt;&gt;"acoes")))*INDEX(Inputs!$K$5:$AJ$130,0,MATCH(Y$2,Inputs!$K$4:$AJ$4,0)))+SUMPRODUCT((Inputs!$E$5:$E$130=$B67)*Inputs!$F$5:$F$130*(((Inputs!$G$5:$G$130="moeda")+(Inputs!$G$5:$G$130="acoes"))*Inputs!$B$1+((Inputs!$G$5:$G$130&lt;&gt;"moeda")*(Inputs!$G$5:$G$130&lt;&gt;"acoes")))*INDEX(Inputs!$K$5:$AJ$130,0,MATCH(Y$2,Inputs!$K$4:$AJ$4,0)))))</f>
        <v>-279</v>
      </c>
      <c r="Z67" s="263">
        <f>IF(ISNA(MATCH(Z$2,Inputs!$K$4:$AJ$4,0)),NA(),IF(SUMPRODUCT((Inputs!$A$5:$A$130=$B67)*ISNUMBER(INDEX(Inputs!$K$5:$AJ$130,0,MATCH(Z$2,Inputs!$K$4:$AJ$4,0))))+SUMPRODUCT((Inputs!$C$5:$C$130=$B67)*ISNUMBER(INDEX(Inputs!$K$5:$AJ$130,0,MATCH(Z$2,Inputs!$K$4:$AJ$4,0))))+SUMPRODUCT((Inputs!$E$5:$E$130=$B67)*ISNUMBER(INDEX(Inputs!$K$5:$AJ$130,0,MATCH(Z$2,Inputs!$K$4:$AJ$4,0))))=0,NA(),SUMPRODUCT((Inputs!$A$5:$A$130=$B67)*Inputs!$B$5:$B$130*(((Inputs!$G$5:$G$130="moeda")+(Inputs!$G$5:$G$130="acoes"))*Inputs!$B$1+((Inputs!$G$5:$G$130&lt;&gt;"moeda")*(Inputs!$G$5:$G$130&lt;&gt;"acoes")))*INDEX(Inputs!$K$5:$AJ$130,0,MATCH(Z$2,Inputs!$K$4:$AJ$4,0)))+SUMPRODUCT((Inputs!$C$5:$C$130=$B67)*Inputs!$D$5:$D$130*(((Inputs!$G$5:$G$130="moeda")+(Inputs!$G$5:$G$130="acoes"))*Inputs!$B$1+((Inputs!$G$5:$G$130&lt;&gt;"moeda")*(Inputs!$G$5:$G$130&lt;&gt;"acoes")))*INDEX(Inputs!$K$5:$AJ$130,0,MATCH(Z$2,Inputs!$K$4:$AJ$4,0)))+SUMPRODUCT((Inputs!$E$5:$E$130=$B67)*Inputs!$F$5:$F$130*(((Inputs!$G$5:$G$130="moeda")+(Inputs!$G$5:$G$130="acoes"))*Inputs!$B$1+((Inputs!$G$5:$G$130&lt;&gt;"moeda")*(Inputs!$G$5:$G$130&lt;&gt;"acoes")))*INDEX(Inputs!$K$5:$AJ$130,0,MATCH(Z$2,Inputs!$K$4:$AJ$4,0)))))</f>
        <v>-253</v>
      </c>
      <c r="AA67" s="263">
        <f>IF(ISNA(MATCH(AA$2,Inputs!$K$4:$AJ$4,0)),NA(),IF(SUMPRODUCT((Inputs!$A$5:$A$130=$B67)*ISNUMBER(INDEX(Inputs!$K$5:$AJ$130,0,MATCH(AA$2,Inputs!$K$4:$AJ$4,0))))+SUMPRODUCT((Inputs!$C$5:$C$130=$B67)*ISNUMBER(INDEX(Inputs!$K$5:$AJ$130,0,MATCH(AA$2,Inputs!$K$4:$AJ$4,0))))+SUMPRODUCT((Inputs!$E$5:$E$130=$B67)*ISNUMBER(INDEX(Inputs!$K$5:$AJ$130,0,MATCH(AA$2,Inputs!$K$4:$AJ$4,0))))=0,NA(),SUMPRODUCT((Inputs!$A$5:$A$130=$B67)*Inputs!$B$5:$B$130*(((Inputs!$G$5:$G$130="moeda")+(Inputs!$G$5:$G$130="acoes"))*Inputs!$B$1+((Inputs!$G$5:$G$130&lt;&gt;"moeda")*(Inputs!$G$5:$G$130&lt;&gt;"acoes")))*INDEX(Inputs!$K$5:$AJ$130,0,MATCH(AA$2,Inputs!$K$4:$AJ$4,0)))+SUMPRODUCT((Inputs!$C$5:$C$130=$B67)*Inputs!$D$5:$D$130*(((Inputs!$G$5:$G$130="moeda")+(Inputs!$G$5:$G$130="acoes"))*Inputs!$B$1+((Inputs!$G$5:$G$130&lt;&gt;"moeda")*(Inputs!$G$5:$G$130&lt;&gt;"acoes")))*INDEX(Inputs!$K$5:$AJ$130,0,MATCH(AA$2,Inputs!$K$4:$AJ$4,0)))+SUMPRODUCT((Inputs!$E$5:$E$130=$B67)*Inputs!$F$5:$F$130*(((Inputs!$G$5:$G$130="moeda")+(Inputs!$G$5:$G$130="acoes"))*Inputs!$B$1+((Inputs!$G$5:$G$130&lt;&gt;"moeda")*(Inputs!$G$5:$G$130&lt;&gt;"acoes")))*INDEX(Inputs!$K$5:$AJ$130,0,MATCH(AA$2,Inputs!$K$4:$AJ$4,0)))))</f>
        <v>-201</v>
      </c>
      <c r="AB67" s="264">
        <f>SUM(X67:AA67)</f>
        <v>-1009</v>
      </c>
      <c r="AC67" s="263">
        <f>IF(ISNA(MATCH(AC$2,Inputs!$K$4:$AJ$4,0)),NA(),IF(SUMPRODUCT((Inputs!$A$5:$A$130=$B67)*ISNUMBER(INDEX(Inputs!$K$5:$AJ$130,0,MATCH(AC$2,Inputs!$K$4:$AJ$4,0))))+SUMPRODUCT((Inputs!$C$5:$C$130=$B67)*ISNUMBER(INDEX(Inputs!$K$5:$AJ$130,0,MATCH(AC$2,Inputs!$K$4:$AJ$4,0))))+SUMPRODUCT((Inputs!$E$5:$E$130=$B67)*ISNUMBER(INDEX(Inputs!$K$5:$AJ$130,0,MATCH(AC$2,Inputs!$K$4:$AJ$4,0))))=0,NA(),SUMPRODUCT((Inputs!$A$5:$A$130=$B67)*Inputs!$B$5:$B$130*(((Inputs!$G$5:$G$130="moeda")+(Inputs!$G$5:$G$130="acoes"))*Inputs!$B$1+((Inputs!$G$5:$G$130&lt;&gt;"moeda")*(Inputs!$G$5:$G$130&lt;&gt;"acoes")))*INDEX(Inputs!$K$5:$AJ$130,0,MATCH(AC$2,Inputs!$K$4:$AJ$4,0)))+SUMPRODUCT((Inputs!$C$5:$C$130=$B67)*Inputs!$D$5:$D$130*(((Inputs!$G$5:$G$130="moeda")+(Inputs!$G$5:$G$130="acoes"))*Inputs!$B$1+((Inputs!$G$5:$G$130&lt;&gt;"moeda")*(Inputs!$G$5:$G$130&lt;&gt;"acoes")))*INDEX(Inputs!$K$5:$AJ$130,0,MATCH(AC$2,Inputs!$K$4:$AJ$4,0)))+SUMPRODUCT((Inputs!$E$5:$E$130=$B67)*Inputs!$F$5:$F$130*(((Inputs!$G$5:$G$130="moeda")+(Inputs!$G$5:$G$130="acoes"))*Inputs!$B$1+((Inputs!$G$5:$G$130&lt;&gt;"moeda")*(Inputs!$G$5:$G$130&lt;&gt;"acoes")))*INDEX(Inputs!$K$5:$AJ$130,0,MATCH(AC$2,Inputs!$K$4:$AJ$4,0)))))</f>
        <v>-291</v>
      </c>
      <c r="AD67" s="263">
        <f>IF(ISNA(MATCH(AD$2,Inputs!$K$4:$AJ$4,0)),NA(),IF(SUMPRODUCT((Inputs!$A$5:$A$130=$B67)*ISNUMBER(INDEX(Inputs!$K$5:$AJ$130,0,MATCH(AD$2,Inputs!$K$4:$AJ$4,0))))+SUMPRODUCT((Inputs!$C$5:$C$130=$B67)*ISNUMBER(INDEX(Inputs!$K$5:$AJ$130,0,MATCH(AD$2,Inputs!$K$4:$AJ$4,0))))+SUMPRODUCT((Inputs!$E$5:$E$130=$B67)*ISNUMBER(INDEX(Inputs!$K$5:$AJ$130,0,MATCH(AD$2,Inputs!$K$4:$AJ$4,0))))=0,NA(),SUMPRODUCT((Inputs!$A$5:$A$130=$B67)*Inputs!$B$5:$B$130*(((Inputs!$G$5:$G$130="moeda")+(Inputs!$G$5:$G$130="acoes"))*Inputs!$B$1+((Inputs!$G$5:$G$130&lt;&gt;"moeda")*(Inputs!$G$5:$G$130&lt;&gt;"acoes")))*INDEX(Inputs!$K$5:$AJ$130,0,MATCH(AD$2,Inputs!$K$4:$AJ$4,0)))+SUMPRODUCT((Inputs!$C$5:$C$130=$B67)*Inputs!$D$5:$D$130*(((Inputs!$G$5:$G$130="moeda")+(Inputs!$G$5:$G$130="acoes"))*Inputs!$B$1+((Inputs!$G$5:$G$130&lt;&gt;"moeda")*(Inputs!$G$5:$G$130&lt;&gt;"acoes")))*INDEX(Inputs!$K$5:$AJ$130,0,MATCH(AD$2,Inputs!$K$4:$AJ$4,0)))+SUMPRODUCT((Inputs!$E$5:$E$130=$B67)*Inputs!$F$5:$F$130*(((Inputs!$G$5:$G$130="moeda")+(Inputs!$G$5:$G$130="acoes"))*Inputs!$B$1+((Inputs!$G$5:$G$130&lt;&gt;"moeda")*(Inputs!$G$5:$G$130&lt;&gt;"acoes")))*INDEX(Inputs!$K$5:$AJ$130,0,MATCH(AD$2,Inputs!$K$4:$AJ$4,0)))))</f>
        <v>-252</v>
      </c>
      <c r="AE67" s="263" t="e">
        <f>IF(ISNA(MATCH(AE$2,Inputs!$K$4:$AJ$4,0)),NA(),IF(SUMPRODUCT((Inputs!$A$5:$A$130=$B67)*ISNUMBER(INDEX(Inputs!$K$5:$AJ$130,0,MATCH(AE$2,Inputs!$K$4:$AJ$4,0))))+SUMPRODUCT((Inputs!$C$5:$C$130=$B67)*ISNUMBER(INDEX(Inputs!$K$5:$AJ$130,0,MATCH(AE$2,Inputs!$K$4:$AJ$4,0))))+SUMPRODUCT((Inputs!$E$5:$E$130=$B67)*ISNUMBER(INDEX(Inputs!$K$5:$AJ$130,0,MATCH(AE$2,Inputs!$K$4:$AJ$4,0))))=0,NA(),SUMPRODUCT((Inputs!$A$5:$A$130=$B67)*Inputs!$B$5:$B$130*(((Inputs!$G$5:$G$130="moeda")+(Inputs!$G$5:$G$130="acoes"))*Inputs!$B$1+((Inputs!$G$5:$G$130&lt;&gt;"moeda")*(Inputs!$G$5:$G$130&lt;&gt;"acoes")))*INDEX(Inputs!$K$5:$AJ$130,0,MATCH(AE$2,Inputs!$K$4:$AJ$4,0)))+SUMPRODUCT((Inputs!$C$5:$C$130=$B67)*Inputs!$D$5:$D$130*(((Inputs!$G$5:$G$130="moeda")+(Inputs!$G$5:$G$130="acoes"))*Inputs!$B$1+((Inputs!$G$5:$G$130&lt;&gt;"moeda")*(Inputs!$G$5:$G$130&lt;&gt;"acoes")))*INDEX(Inputs!$K$5:$AJ$130,0,MATCH(AE$2,Inputs!$K$4:$AJ$4,0)))+SUMPRODUCT((Inputs!$E$5:$E$130=$B67)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7" s="263" t="e">
        <f>IF(ISNA(MATCH(AF$2,Inputs!$K$4:$AJ$4,0)),NA(),IF(SUMPRODUCT((Inputs!$A$5:$A$130=$B67)*ISNUMBER(INDEX(Inputs!$K$5:$AJ$130,0,MATCH(AF$2,Inputs!$K$4:$AJ$4,0))))+SUMPRODUCT((Inputs!$C$5:$C$130=$B67)*ISNUMBER(INDEX(Inputs!$K$5:$AJ$130,0,MATCH(AF$2,Inputs!$K$4:$AJ$4,0))))+SUMPRODUCT((Inputs!$E$5:$E$130=$B67)*ISNUMBER(INDEX(Inputs!$K$5:$AJ$130,0,MATCH(AF$2,Inputs!$K$4:$AJ$4,0))))=0,NA(),SUMPRODUCT((Inputs!$A$5:$A$130=$B67)*Inputs!$B$5:$B$130*(((Inputs!$G$5:$G$130="moeda")+(Inputs!$G$5:$G$130="acoes"))*Inputs!$B$1+((Inputs!$G$5:$G$130&lt;&gt;"moeda")*(Inputs!$G$5:$G$130&lt;&gt;"acoes")))*INDEX(Inputs!$K$5:$AJ$130,0,MATCH(AF$2,Inputs!$K$4:$AJ$4,0)))+SUMPRODUCT((Inputs!$C$5:$C$130=$B67)*Inputs!$D$5:$D$130*(((Inputs!$G$5:$G$130="moeda")+(Inputs!$G$5:$G$130="acoes"))*Inputs!$B$1+((Inputs!$G$5:$G$130&lt;&gt;"moeda")*(Inputs!$G$5:$G$130&lt;&gt;"acoes")))*INDEX(Inputs!$K$5:$AJ$130,0,MATCH(AF$2,Inputs!$K$4:$AJ$4,0)))+SUMPRODUCT((Inputs!$E$5:$E$130=$B67)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$130=$B67)*ISNUMBER(INDEX(Inputs!$K$5:$AJ$130,0,MATCH(AH$2,Inputs!$K$4:$AJ$4,0))))+SUMPRODUCT((Inputs!$C$5:$C$130=$B67)*ISNUMBER(INDEX(Inputs!$K$5:$AJ$130,0,MATCH(AH$2,Inputs!$K$4:$AJ$4,0))))+SUMPRODUCT((Inputs!$E$5:$E$130=$B67)*ISNUMBER(INDEX(Inputs!$K$5:$AJ$130,0,MATCH(AH$2,Inputs!$K$4:$AJ$4,0))))=0,NA(),SUMPRODUCT((Inputs!$A$5:$A$130=$B67)*Inputs!$B$5:$B$130*(((Inputs!$G$5:$G$130="moeda")+(Inputs!$G$5:$G$130="acoes"))*Inputs!$B$1+((Inputs!$G$5:$G$130&lt;&gt;"moeda")*(Inputs!$G$5:$G$130&lt;&gt;"acoes")))*INDEX(Inputs!$K$5:$AJ$130,0,MATCH(AH$2,Inputs!$K$4:$AJ$4,0)))+SUMPRODUCT((Inputs!$C$5:$C$130=$B67)*Inputs!$D$5:$D$130*(((Inputs!$G$5:$G$130="moeda")+(Inputs!$G$5:$G$130="acoes"))*Inputs!$B$1+((Inputs!$G$5:$G$130&lt;&gt;"moeda")*(Inputs!$G$5:$G$130&lt;&gt;"acoes")))*INDEX(Inputs!$K$5:$AJ$130,0,MATCH(AH$2,Inputs!$K$4:$AJ$4,0)))+SUMPRODUCT((Inputs!$E$5:$E$130=$B67)*Inputs!$F$5:$F$130*(((Inputs!$G$5:$G$130="moeda")+(Inputs!$G$5:$G$130="acoes"))*Inputs!$B$1+((Inputs!$G$5:$G$130&lt;&gt;"moeda")*(Inputs!$G$5:$G$130&lt;&gt;"acoes")))*INDEX(Inputs!$K$5:$AJ$130,0,MATCH(AH$2,Inputs!$K$4:$AJ$4,0)))))</f>
        <v>-294</v>
      </c>
      <c r="AI67" s="263">
        <f>IF(ISNA(MATCH(AI$2,Inputs!$K$4:$AJ$4,0)),NA(),IF(SUMPRODUCT((Inputs!$A$5:$A$130=$B67)*ISNUMBER(INDEX(Inputs!$K$5:$AJ$130,0,MATCH(AI$2,Inputs!$K$4:$AJ$4,0))))+SUMPRODUCT((Inputs!$C$5:$C$130=$B67)*ISNUMBER(INDEX(Inputs!$K$5:$AJ$130,0,MATCH(AI$2,Inputs!$K$4:$AJ$4,0))))+SUMPRODUCT((Inputs!$E$5:$E$130=$B67)*ISNUMBER(INDEX(Inputs!$K$5:$AJ$130,0,MATCH(AI$2,Inputs!$K$4:$AJ$4,0))))=0,NA(),SUMPRODUCT((Inputs!$A$5:$A$130=$B67)*Inputs!$B$5:$B$130*(((Inputs!$G$5:$G$130="moeda")+(Inputs!$G$5:$G$130="acoes"))*Inputs!$B$1+((Inputs!$G$5:$G$130&lt;&gt;"moeda")*(Inputs!$G$5:$G$130&lt;&gt;"acoes")))*INDEX(Inputs!$K$5:$AJ$130,0,MATCH(AI$2,Inputs!$K$4:$AJ$4,0)))+SUMPRODUCT((Inputs!$C$5:$C$130=$B67)*Inputs!$D$5:$D$130*(((Inputs!$G$5:$G$130="moeda")+(Inputs!$G$5:$G$130="acoes"))*Inputs!$B$1+((Inputs!$G$5:$G$130&lt;&gt;"moeda")*(Inputs!$G$5:$G$130&lt;&gt;"acoes")))*INDEX(Inputs!$K$5:$AJ$130,0,MATCH(AI$2,Inputs!$K$4:$AJ$4,0)))+SUMPRODUCT((Inputs!$E$5:$E$130=$B67)*Inputs!$F$5:$F$130*(((Inputs!$G$5:$G$130="moeda")+(Inputs!$G$5:$G$130="acoes"))*Inputs!$B$1+((Inputs!$G$5:$G$130&lt;&gt;"moeda")*(Inputs!$G$5:$G$130&lt;&gt;"acoes")))*INDEX(Inputs!$K$5:$AJ$130,0,MATCH(AI$2,Inputs!$K$4:$AJ$4,0)))))</f>
        <v>-192</v>
      </c>
      <c r="AJ67" s="263">
        <f>IF(ISNA(MATCH(AJ$2,Inputs!$K$4:$AJ$4,0)),NA(),IF(SUMPRODUCT((Inputs!$A$5:$A$130=$B67)*ISNUMBER(INDEX(Inputs!$K$5:$AJ$130,0,MATCH(AJ$2,Inputs!$K$4:$AJ$4,0))))+SUMPRODUCT((Inputs!$C$5:$C$130=$B67)*ISNUMBER(INDEX(Inputs!$K$5:$AJ$130,0,MATCH(AJ$2,Inputs!$K$4:$AJ$4,0))))+SUMPRODUCT((Inputs!$E$5:$E$130=$B67)*ISNUMBER(INDEX(Inputs!$K$5:$AJ$130,0,MATCH(AJ$2,Inputs!$K$4:$AJ$4,0))))=0,NA(),SUMPRODUCT((Inputs!$A$5:$A$130=$B67)*Inputs!$B$5:$B$130*(((Inputs!$G$5:$G$130="moeda")+(Inputs!$G$5:$G$130="acoes"))*Inputs!$B$1+((Inputs!$G$5:$G$130&lt;&gt;"moeda")*(Inputs!$G$5:$G$130&lt;&gt;"acoes")))*INDEX(Inputs!$K$5:$AJ$130,0,MATCH(AJ$2,Inputs!$K$4:$AJ$4,0)))+SUMPRODUCT((Inputs!$C$5:$C$130=$B67)*Inputs!$D$5:$D$130*(((Inputs!$G$5:$G$130="moeda")+(Inputs!$G$5:$G$130="acoes"))*Inputs!$B$1+((Inputs!$G$5:$G$130&lt;&gt;"moeda")*(Inputs!$G$5:$G$130&lt;&gt;"acoes")))*INDEX(Inputs!$K$5:$AJ$130,0,MATCH(AJ$2,Inputs!$K$4:$AJ$4,0)))+SUMPRODUCT((Inputs!$E$5:$E$130=$B67)*Inputs!$F$5:$F$130*(((Inputs!$G$5:$G$130="moeda")+(Inputs!$G$5:$G$130="acoes"))*Inputs!$B$1+((Inputs!$G$5:$G$130&lt;&gt;"moeda")*(Inputs!$G$5:$G$130&lt;&gt;"acoes")))*INDEX(Inputs!$K$5:$AJ$130,0,MATCH(AJ$2,Inputs!$K$4:$AJ$4,0)))))</f>
        <v>-266</v>
      </c>
      <c r="AK67" s="263">
        <f>IF(ISNA(MATCH(AK$2,Inputs!$K$4:$AJ$4,0)),NA(),IF(SUMPRODUCT((Inputs!$A$5:$A$130=$B67)*ISNUMBER(INDEX(Inputs!$K$5:$AJ$130,0,MATCH(AK$2,Inputs!$K$4:$AJ$4,0))))+SUMPRODUCT((Inputs!$C$5:$C$130=$B67)*ISNUMBER(INDEX(Inputs!$K$5:$AJ$130,0,MATCH(AK$2,Inputs!$K$4:$AJ$4,0))))+SUMPRODUCT((Inputs!$E$5:$E$130=$B67)*ISNUMBER(INDEX(Inputs!$K$5:$AJ$130,0,MATCH(AK$2,Inputs!$K$4:$AJ$4,0))))=0,NA(),SUMPRODUCT((Inputs!$A$5:$A$130=$B67)*Inputs!$B$5:$B$130*(((Inputs!$G$5:$G$130="moeda")+(Inputs!$G$5:$G$130="acoes"))*Inputs!$B$1+((Inputs!$G$5:$G$130&lt;&gt;"moeda")*(Inputs!$G$5:$G$130&lt;&gt;"acoes")))*INDEX(Inputs!$K$5:$AJ$130,0,MATCH(AK$2,Inputs!$K$4:$AJ$4,0)))+SUMPRODUCT((Inputs!$C$5:$C$130=$B67)*Inputs!$D$5:$D$130*(((Inputs!$G$5:$G$130="moeda")+(Inputs!$G$5:$G$130="acoes"))*Inputs!$B$1+((Inputs!$G$5:$G$130&lt;&gt;"moeda")*(Inputs!$G$5:$G$130&lt;&gt;"acoes")))*INDEX(Inputs!$K$5:$AJ$130,0,MATCH(AK$2,Inputs!$K$4:$AJ$4,0)))+SUMPRODUCT((Inputs!$E$5:$E$130=$B67)*Inputs!$F$5:$F$130*(((Inputs!$G$5:$G$130="moeda")+(Inputs!$G$5:$G$130="acoes"))*Inputs!$B$1+((Inputs!$G$5:$G$130&lt;&gt;"moeda")*(Inputs!$G$5:$G$130&lt;&gt;"acoes")))*INDEX(Inputs!$K$5:$AJ$130,0,MATCH(AK$2,Inputs!$K$4:$AJ$4,0)))))</f>
        <v>-291</v>
      </c>
      <c r="AL67" s="264">
        <f>SUM(AH67:AK67)</f>
        <v>-1043</v>
      </c>
    </row>
    <row r="68">
      <c r="B68" s="46" t="n">
        <v>60</v>
      </c>
      <c r="C68" s="29" t="inlineStr">
        <is>
          <t>Receita operações de concentrado (USD; desde 2021)</t>
        </is>
      </c>
      <c r="D68" s="263">
        <f>IF(ISNA(MATCH(D$2,Inputs!$K$4:$AJ$4,0)),NA(),IF(SUMPRODUCT((Inputs!$A$5:$A$130=$B68)*ISNUMBER(INDEX(Inputs!$K$5:$AJ$130,0,MATCH(D$2,Inputs!$K$4:$AJ$4,0))))+SUMPRODUCT((Inputs!$C$5:$C$130=$B68)*ISNUMBER(INDEX(Inputs!$K$5:$AJ$130,0,MATCH(D$2,Inputs!$K$4:$AJ$4,0))))+SUMPRODUCT((Inputs!$E$5:$E$130=$B68)*ISNUMBER(INDEX(Inputs!$K$5:$AJ$130,0,MATCH(D$2,Inputs!$K$4:$AJ$4,0))))=0,NA(),SUMPRODUCT((Inputs!$A$5:$A$130=$B68)*Inputs!$B$5:$B$130*(((Inputs!$G$5:$G$130="moeda")+(Inputs!$G$5:$G$130="acoes"))*Inputs!$B$1+((Inputs!$G$5:$G$130&lt;&gt;"moeda")*(Inputs!$G$5:$G$130&lt;&gt;"acoes")))*INDEX(Inputs!$K$5:$AJ$130,0,MATCH(D$2,Inputs!$K$4:$AJ$4,0)))+SUMPRODUCT((Inputs!$C$5:$C$130=$B68)*Inputs!$D$5:$D$130*(((Inputs!$G$5:$G$130="moeda")+(Inputs!$G$5:$G$130="acoes"))*Inputs!$B$1+((Inputs!$G$5:$G$130&lt;&gt;"moeda")*(Inputs!$G$5:$G$130&lt;&gt;"acoes")))*INDEX(Inputs!$K$5:$AJ$130,0,MATCH(D$2,Inputs!$K$4:$AJ$4,0)))+SUMPRODUCT((Inputs!$E$5:$E$130=$B68)*Inputs!$F$5:$F$130*(((Inputs!$G$5:$G$130="moeda")+(Inputs!$G$5:$G$130="acoes"))*Inputs!$B$1+((Inputs!$G$5:$G$130&lt;&gt;"moeda")*(Inputs!$G$5:$G$130&lt;&gt;"acoes")))*INDEX(Inputs!$K$5:$AJ$130,0,MATCH(D$2,Inputs!$K$4:$AJ$4,0)))))</f>
        <v>4982</v>
      </c>
      <c r="E68" s="263">
        <f>IF(ISNA(MATCH(E$2,Inputs!$K$4:$AJ$4,0)),NA(),IF(SUMPRODUCT((Inputs!$A$5:$A$130=$B68)*ISNUMBER(INDEX(Inputs!$K$5:$AJ$130,0,MATCH(E$2,Inputs!$K$4:$AJ$4,0))))+SUMPRODUCT((Inputs!$C$5:$C$130=$B68)*ISNUMBER(INDEX(Inputs!$K$5:$AJ$130,0,MATCH(E$2,Inputs!$K$4:$AJ$4,0))))+SUMPRODUCT((Inputs!$E$5:$E$130=$B68)*ISNUMBER(INDEX(Inputs!$K$5:$AJ$130,0,MATCH(E$2,Inputs!$K$4:$AJ$4,0))))=0,NA(),SUMPRODUCT((Inputs!$A$5:$A$130=$B68)*Inputs!$B$5:$B$130*(((Inputs!$G$5:$G$130="moeda")+(Inputs!$G$5:$G$130="acoes"))*Inputs!$B$1+((Inputs!$G$5:$G$130&lt;&gt;"moeda")*(Inputs!$G$5:$G$130&lt;&gt;"acoes")))*INDEX(Inputs!$K$5:$AJ$130,0,MATCH(E$2,Inputs!$K$4:$AJ$4,0)))+SUMPRODUCT((Inputs!$C$5:$C$130=$B68)*Inputs!$D$5:$D$130*(((Inputs!$G$5:$G$130="moeda")+(Inputs!$G$5:$G$130="acoes"))*Inputs!$B$1+((Inputs!$G$5:$G$130&lt;&gt;"moeda")*(Inputs!$G$5:$G$130&lt;&gt;"acoes")))*INDEX(Inputs!$K$5:$AJ$130,0,MATCH(E$2,Inputs!$K$4:$AJ$4,0)))+SUMPRODUCT((Inputs!$E$5:$E$130=$B68)*Inputs!$F$5:$F$130*(((Inputs!$G$5:$G$130="moeda")+(Inputs!$G$5:$G$130="acoes"))*Inputs!$B$1+((Inputs!$G$5:$G$130&lt;&gt;"moeda")*(Inputs!$G$5:$G$130&lt;&gt;"acoes")))*INDEX(Inputs!$K$5:$AJ$130,0,MATCH(E$2,Inputs!$K$4:$AJ$4,0)))))</f>
        <v>5994</v>
      </c>
      <c r="F68" s="263">
        <f>IF(ISNA(MATCH(F$2,Inputs!$K$4:$AJ$4,0)),NA(),IF(SUMPRODUCT((Inputs!$A$5:$A$130=$B68)*ISNUMBER(INDEX(Inputs!$K$5:$AJ$130,0,MATCH(F$2,Inputs!$K$4:$AJ$4,0))))+SUMPRODUCT((Inputs!$C$5:$C$130=$B68)*ISNUMBER(INDEX(Inputs!$K$5:$AJ$130,0,MATCH(F$2,Inputs!$K$4:$AJ$4,0))))+SUMPRODUCT((Inputs!$E$5:$E$130=$B68)*ISNUMBER(INDEX(Inputs!$K$5:$AJ$130,0,MATCH(F$2,Inputs!$K$4:$AJ$4,0))))=0,NA(),SUMPRODUCT((Inputs!$A$5:$A$130=$B68)*Inputs!$B$5:$B$130*(((Inputs!$G$5:$G$130="moeda")+(Inputs!$G$5:$G$130="acoes"))*Inputs!$B$1+((Inputs!$G$5:$G$130&lt;&gt;"moeda")*(Inputs!$G$5:$G$130&lt;&gt;"acoes")))*INDEX(Inputs!$K$5:$AJ$130,0,MATCH(F$2,Inputs!$K$4:$AJ$4,0)))+SUMPRODUCT((Inputs!$C$5:$C$130=$B68)*Inputs!$D$5:$D$130*(((Inputs!$G$5:$G$130="moeda")+(Inputs!$G$5:$G$130="acoes"))*Inputs!$B$1+((Inputs!$G$5:$G$130&lt;&gt;"moeda")*(Inputs!$G$5:$G$130&lt;&gt;"acoes")))*INDEX(Inputs!$K$5:$AJ$130,0,MATCH(F$2,Inputs!$K$4:$AJ$4,0)))+SUMPRODUCT((Inputs!$E$5:$E$130=$B68)*Inputs!$F$5:$F$130*(((Inputs!$G$5:$G$130="moeda")+(Inputs!$G$5:$G$130="acoes"))*Inputs!$B$1+((Inputs!$G$5:$G$130&lt;&gt;"moeda")*(Inputs!$G$5:$G$130&lt;&gt;"acoes")))*INDEX(Inputs!$K$5:$AJ$130,0,MATCH(F$2,Inputs!$K$4:$AJ$4,0)))))</f>
        <v>5871</v>
      </c>
      <c r="G68" s="263" t="e">
        <f>IF(ISNA(MATCH(G$2,Inputs!$K$4:$AJ$4,0)),NA(),IF(SUMPRODUCT((Inputs!$A$5:$A$130=$B68)*ISNUMBER(INDEX(Inputs!$K$5:$AJ$130,0,MATCH(G$2,Inputs!$K$4:$AJ$4,0))))+SUMPRODUCT((Inputs!$C$5:$C$130=$B68)*ISNUMBER(INDEX(Inputs!$K$5:$AJ$130,0,MATCH(G$2,Inputs!$K$4:$AJ$4,0))))+SUMPRODUCT((Inputs!$E$5:$E$130=$B68)*ISNUMBER(INDEX(Inputs!$K$5:$AJ$130,0,MATCH(G$2,Inputs!$K$4:$AJ$4,0))))=0,NA(),SUMPRODUCT((Inputs!$A$5:$A$130=$B68)*Inputs!$B$5:$B$130*(((Inputs!$G$5:$G$130="moeda")+(Inputs!$G$5:$G$130="acoes"))*Inputs!$B$1+((Inputs!$G$5:$G$130&lt;&gt;"moeda")*(Inputs!$G$5:$G$130&lt;&gt;"acoes")))*INDEX(Inputs!$K$5:$AJ$130,0,MATCH(G$2,Inputs!$K$4:$AJ$4,0)))+SUMPRODUCT((Inputs!$C$5:$C$130=$B68)*Inputs!$D$5:$D$130*(((Inputs!$G$5:$G$130="moeda")+(Inputs!$G$5:$G$130="acoes"))*Inputs!$B$1+((Inputs!$G$5:$G$130&lt;&gt;"moeda")*(Inputs!$G$5:$G$130&lt;&gt;"acoes")))*INDEX(Inputs!$K$5:$AJ$130,0,MATCH(G$2,Inputs!$K$4:$AJ$4,0)))+SUMPRODUCT((Inputs!$E$5:$E$130=$B68)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68" s="264" t="e">
        <f>SUM(D68:G68)</f>
        <v>#N/A</v>
      </c>
      <c r="I68" s="263">
        <f>IF(ISNA(MATCH(I$2,Inputs!$K$4:$AJ$4,0)),NA(),IF(SUMPRODUCT((Inputs!$A$5:$A$130=$B68)*ISNUMBER(INDEX(Inputs!$K$5:$AJ$130,0,MATCH(I$2,Inputs!$K$4:$AJ$4,0))))+SUMPRODUCT((Inputs!$C$5:$C$130=$B68)*ISNUMBER(INDEX(Inputs!$K$5:$AJ$130,0,MATCH(I$2,Inputs!$K$4:$AJ$4,0))))+SUMPRODUCT((Inputs!$E$5:$E$130=$B68)*ISNUMBER(INDEX(Inputs!$K$5:$AJ$130,0,MATCH(I$2,Inputs!$K$4:$AJ$4,0))))=0,NA(),SUMPRODUCT((Inputs!$A$5:$A$130=$B68)*Inputs!$B$5:$B$130*(((Inputs!$G$5:$G$130="moeda")+(Inputs!$G$5:$G$130="acoes"))*Inputs!$B$1+((Inputs!$G$5:$G$130&lt;&gt;"moeda")*(Inputs!$G$5:$G$130&lt;&gt;"acoes")))*INDEX(Inputs!$K$5:$AJ$130,0,MATCH(I$2,Inputs!$K$4:$AJ$4,0)))+SUMPRODUCT((Inputs!$C$5:$C$130=$B68)*Inputs!$D$5:$D$130*(((Inputs!$G$5:$G$130="moeda")+(Inputs!$G$5:$G$130="acoes"))*Inputs!$B$1+((Inputs!$G$5:$G$130&lt;&gt;"moeda")*(Inputs!$G$5:$G$130&lt;&gt;"acoes")))*INDEX(Inputs!$K$5:$AJ$130,0,MATCH(I$2,Inputs!$K$4:$AJ$4,0)))+SUMPRODUCT((Inputs!$E$5:$E$130=$B68)*Inputs!$F$5:$F$130*(((Inputs!$G$5:$G$130="moeda")+(Inputs!$G$5:$G$130="acoes"))*Inputs!$B$1+((Inputs!$G$5:$G$130&lt;&gt;"moeda")*(Inputs!$G$5:$G$130&lt;&gt;"acoes")))*INDEX(Inputs!$K$5:$AJ$130,0,MATCH(I$2,Inputs!$K$4:$AJ$4,0)))))</f>
        <v>5724</v>
      </c>
      <c r="J68" s="263">
        <f>IF(ISNA(MATCH(J$2,Inputs!$K$4:$AJ$4,0)),NA(),IF(SUMPRODUCT((Inputs!$A$5:$A$130=$B68)*ISNUMBER(INDEX(Inputs!$K$5:$AJ$130,0,MATCH(J$2,Inputs!$K$4:$AJ$4,0))))+SUMPRODUCT((Inputs!$C$5:$C$130=$B68)*ISNUMBER(INDEX(Inputs!$K$5:$AJ$130,0,MATCH(J$2,Inputs!$K$4:$AJ$4,0))))+SUMPRODUCT((Inputs!$E$5:$E$130=$B68)*ISNUMBER(INDEX(Inputs!$K$5:$AJ$130,0,MATCH(J$2,Inputs!$K$4:$AJ$4,0))))=0,NA(),SUMPRODUCT((Inputs!$A$5:$A$130=$B68)*Inputs!$B$5:$B$130*(((Inputs!$G$5:$G$130="moeda")+(Inputs!$G$5:$G$130="acoes"))*Inputs!$B$1+((Inputs!$G$5:$G$130&lt;&gt;"moeda")*(Inputs!$G$5:$G$130&lt;&gt;"acoes")))*INDEX(Inputs!$K$5:$AJ$130,0,MATCH(J$2,Inputs!$K$4:$AJ$4,0)))+SUMPRODUCT((Inputs!$C$5:$C$130=$B68)*Inputs!$D$5:$D$130*(((Inputs!$G$5:$G$130="moeda")+(Inputs!$G$5:$G$130="acoes"))*Inputs!$B$1+((Inputs!$G$5:$G$130&lt;&gt;"moeda")*(Inputs!$G$5:$G$130&lt;&gt;"acoes")))*INDEX(Inputs!$K$5:$AJ$130,0,MATCH(J$2,Inputs!$K$4:$AJ$4,0)))+SUMPRODUCT((Inputs!$E$5:$E$130=$B68)*Inputs!$F$5:$F$130*(((Inputs!$G$5:$G$130="moeda")+(Inputs!$G$5:$G$130="acoes"))*Inputs!$B$1+((Inputs!$G$5:$G$130&lt;&gt;"moeda")*(Inputs!$G$5:$G$130&lt;&gt;"acoes")))*INDEX(Inputs!$K$5:$AJ$130,0,MATCH(J$2,Inputs!$K$4:$AJ$4,0)))))</f>
        <v>6365</v>
      </c>
      <c r="K68" s="263">
        <f>IF(ISNA(MATCH(K$2,Inputs!$K$4:$AJ$4,0)),NA(),IF(SUMPRODUCT((Inputs!$A$5:$A$130=$B68)*ISNUMBER(INDEX(Inputs!$K$5:$AJ$130,0,MATCH(K$2,Inputs!$K$4:$AJ$4,0))))+SUMPRODUCT((Inputs!$C$5:$C$130=$B68)*ISNUMBER(INDEX(Inputs!$K$5:$AJ$130,0,MATCH(K$2,Inputs!$K$4:$AJ$4,0))))+SUMPRODUCT((Inputs!$E$5:$E$130=$B68)*ISNUMBER(INDEX(Inputs!$K$5:$AJ$130,0,MATCH(K$2,Inputs!$K$4:$AJ$4,0))))=0,NA(),SUMPRODUCT((Inputs!$A$5:$A$130=$B68)*Inputs!$B$5:$B$130*(((Inputs!$G$5:$G$130="moeda")+(Inputs!$G$5:$G$130="acoes"))*Inputs!$B$1+((Inputs!$G$5:$G$130&lt;&gt;"moeda")*(Inputs!$G$5:$G$130&lt;&gt;"acoes")))*INDEX(Inputs!$K$5:$AJ$130,0,MATCH(K$2,Inputs!$K$4:$AJ$4,0)))+SUMPRODUCT((Inputs!$C$5:$C$130=$B68)*Inputs!$D$5:$D$130*(((Inputs!$G$5:$G$130="moeda")+(Inputs!$G$5:$G$130="acoes"))*Inputs!$B$1+((Inputs!$G$5:$G$130&lt;&gt;"moeda")*(Inputs!$G$5:$G$130&lt;&gt;"acoes")))*INDEX(Inputs!$K$5:$AJ$130,0,MATCH(K$2,Inputs!$K$4:$AJ$4,0)))+SUMPRODUCT((Inputs!$E$5:$E$130=$B68)*Inputs!$F$5:$F$130*(((Inputs!$G$5:$G$130="moeda")+(Inputs!$G$5:$G$130="acoes"))*Inputs!$B$1+((Inputs!$G$5:$G$130&lt;&gt;"moeda")*(Inputs!$G$5:$G$130&lt;&gt;"acoes")))*INDEX(Inputs!$K$5:$AJ$130,0,MATCH(K$2,Inputs!$K$4:$AJ$4,0)))))</f>
        <v>6574</v>
      </c>
      <c r="L68" s="263">
        <f>IF(ISNA(MATCH(L$2,Inputs!$K$4:$AJ$4,0)),NA(),IF(SUMPRODUCT((Inputs!$A$5:$A$130=$B68)*ISNUMBER(INDEX(Inputs!$K$5:$AJ$130,0,MATCH(L$2,Inputs!$K$4:$AJ$4,0))))+SUMPRODUCT((Inputs!$C$5:$C$130=$B68)*ISNUMBER(INDEX(Inputs!$K$5:$AJ$130,0,MATCH(L$2,Inputs!$K$4:$AJ$4,0))))+SUMPRODUCT((Inputs!$E$5:$E$130=$B68)*ISNUMBER(INDEX(Inputs!$K$5:$AJ$130,0,MATCH(L$2,Inputs!$K$4:$AJ$4,0))))=0,NA(),SUMPRODUCT((Inputs!$A$5:$A$130=$B68)*Inputs!$B$5:$B$130*(((Inputs!$G$5:$G$130="moeda")+(Inputs!$G$5:$G$130="acoes"))*Inputs!$B$1+((Inputs!$G$5:$G$130&lt;&gt;"moeda")*(Inputs!$G$5:$G$130&lt;&gt;"acoes")))*INDEX(Inputs!$K$5:$AJ$130,0,MATCH(L$2,Inputs!$K$4:$AJ$4,0)))+SUMPRODUCT((Inputs!$C$5:$C$130=$B68)*Inputs!$D$5:$D$130*(((Inputs!$G$5:$G$130="moeda")+(Inputs!$G$5:$G$130="acoes"))*Inputs!$B$1+((Inputs!$G$5:$G$130&lt;&gt;"moeda")*(Inputs!$G$5:$G$130&lt;&gt;"acoes")))*INDEX(Inputs!$K$5:$AJ$130,0,MATCH(L$2,Inputs!$K$4:$AJ$4,0)))+SUMPRODUCT((Inputs!$E$5:$E$130=$B68)*Inputs!$F$5:$F$130*(((Inputs!$G$5:$G$130="moeda")+(Inputs!$G$5:$G$130="acoes"))*Inputs!$B$1+((Inputs!$G$5:$G$130&lt;&gt;"moeda")*(Inputs!$G$5:$G$130&lt;&gt;"acoes")))*INDEX(Inputs!$K$5:$AJ$130,0,MATCH(L$2,Inputs!$K$4:$AJ$4,0)))))</f>
        <v>5408</v>
      </c>
      <c r="M68" s="264">
        <f>SUM(I68:L68)</f>
        <v>24071</v>
      </c>
      <c r="N68" s="263">
        <f>IF(ISNA(MATCH(N$2,Inputs!$K$4:$AJ$4,0)),NA(),IF(SUMPRODUCT((Inputs!$A$5:$A$130=$B68)*ISNUMBER(INDEX(Inputs!$K$5:$AJ$130,0,MATCH(N$2,Inputs!$K$4:$AJ$4,0))))+SUMPRODUCT((Inputs!$C$5:$C$130=$B68)*ISNUMBER(INDEX(Inputs!$K$5:$AJ$130,0,MATCH(N$2,Inputs!$K$4:$AJ$4,0))))+SUMPRODUCT((Inputs!$E$5:$E$130=$B68)*ISNUMBER(INDEX(Inputs!$K$5:$AJ$130,0,MATCH(N$2,Inputs!$K$4:$AJ$4,0))))=0,NA(),SUMPRODUCT((Inputs!$A$5:$A$130=$B68)*Inputs!$B$5:$B$130*(((Inputs!$G$5:$G$130="moeda")+(Inputs!$G$5:$G$130="acoes"))*Inputs!$B$1+((Inputs!$G$5:$G$130&lt;&gt;"moeda")*(Inputs!$G$5:$G$130&lt;&gt;"acoes")))*INDEX(Inputs!$K$5:$AJ$130,0,MATCH(N$2,Inputs!$K$4:$AJ$4,0)))+SUMPRODUCT((Inputs!$C$5:$C$130=$B68)*Inputs!$D$5:$D$130*(((Inputs!$G$5:$G$130="moeda")+(Inputs!$G$5:$G$130="acoes"))*Inputs!$B$1+((Inputs!$G$5:$G$130&lt;&gt;"moeda")*(Inputs!$G$5:$G$130&lt;&gt;"acoes")))*INDEX(Inputs!$K$5:$AJ$130,0,MATCH(N$2,Inputs!$K$4:$AJ$4,0)))+SUMPRODUCT((Inputs!$E$5:$E$130=$B68)*Inputs!$F$5:$F$130*(((Inputs!$G$5:$G$130="moeda")+(Inputs!$G$5:$G$130="acoes"))*Inputs!$B$1+((Inputs!$G$5:$G$130&lt;&gt;"moeda")*(Inputs!$G$5:$G$130&lt;&gt;"acoes")))*INDEX(Inputs!$K$5:$AJ$130,0,MATCH(N$2,Inputs!$K$4:$AJ$4,0)))))</f>
        <v>6333</v>
      </c>
      <c r="O68" s="263">
        <f>IF(ISNA(MATCH(O$2,Inputs!$K$4:$AJ$4,0)),NA(),IF(SUMPRODUCT((Inputs!$A$5:$A$130=$B68)*ISNUMBER(INDEX(Inputs!$K$5:$AJ$130,0,MATCH(O$2,Inputs!$K$4:$AJ$4,0))))+SUMPRODUCT((Inputs!$C$5:$C$130=$B68)*ISNUMBER(INDEX(Inputs!$K$5:$AJ$130,0,MATCH(O$2,Inputs!$K$4:$AJ$4,0))))+SUMPRODUCT((Inputs!$E$5:$E$130=$B68)*ISNUMBER(INDEX(Inputs!$K$5:$AJ$130,0,MATCH(O$2,Inputs!$K$4:$AJ$4,0))))=0,NA(),SUMPRODUCT((Inputs!$A$5:$A$130=$B68)*Inputs!$B$5:$B$130*(((Inputs!$G$5:$G$130="moeda")+(Inputs!$G$5:$G$130="acoes"))*Inputs!$B$1+((Inputs!$G$5:$G$130&lt;&gt;"moeda")*(Inputs!$G$5:$G$130&lt;&gt;"acoes")))*INDEX(Inputs!$K$5:$AJ$130,0,MATCH(O$2,Inputs!$K$4:$AJ$4,0)))+SUMPRODUCT((Inputs!$C$5:$C$130=$B68)*Inputs!$D$5:$D$130*(((Inputs!$G$5:$G$130="moeda")+(Inputs!$G$5:$G$130="acoes"))*Inputs!$B$1+((Inputs!$G$5:$G$130&lt;&gt;"moeda")*(Inputs!$G$5:$G$130&lt;&gt;"acoes")))*INDEX(Inputs!$K$5:$AJ$130,0,MATCH(O$2,Inputs!$K$4:$AJ$4,0)))+SUMPRODUCT((Inputs!$E$5:$E$130=$B68)*Inputs!$F$5:$F$130*(((Inputs!$G$5:$G$130="moeda")+(Inputs!$G$5:$G$130="acoes"))*Inputs!$B$1+((Inputs!$G$5:$G$130&lt;&gt;"moeda")*(Inputs!$G$5:$G$130&lt;&gt;"acoes")))*INDEX(Inputs!$K$5:$AJ$130,0,MATCH(O$2,Inputs!$K$4:$AJ$4,0)))))</f>
        <v>7050</v>
      </c>
      <c r="P68" s="263">
        <f>IF(ISNA(MATCH(P$2,Inputs!$K$4:$AJ$4,0)),NA(),IF(SUMPRODUCT((Inputs!$A$5:$A$130=$B68)*ISNUMBER(INDEX(Inputs!$K$5:$AJ$130,0,MATCH(P$2,Inputs!$K$4:$AJ$4,0))))+SUMPRODUCT((Inputs!$C$5:$C$130=$B68)*ISNUMBER(INDEX(Inputs!$K$5:$AJ$130,0,MATCH(P$2,Inputs!$K$4:$AJ$4,0))))+SUMPRODUCT((Inputs!$E$5:$E$130=$B68)*ISNUMBER(INDEX(Inputs!$K$5:$AJ$130,0,MATCH(P$2,Inputs!$K$4:$AJ$4,0))))=0,NA(),SUMPRODUCT((Inputs!$A$5:$A$130=$B68)*Inputs!$B$5:$B$130*(((Inputs!$G$5:$G$130="moeda")+(Inputs!$G$5:$G$130="acoes"))*Inputs!$B$1+((Inputs!$G$5:$G$130&lt;&gt;"moeda")*(Inputs!$G$5:$G$130&lt;&gt;"acoes")))*INDEX(Inputs!$K$5:$AJ$130,0,MATCH(P$2,Inputs!$K$4:$AJ$4,0)))+SUMPRODUCT((Inputs!$C$5:$C$130=$B68)*Inputs!$D$5:$D$130*(((Inputs!$G$5:$G$130="moeda")+(Inputs!$G$5:$G$130="acoes"))*Inputs!$B$1+((Inputs!$G$5:$G$130&lt;&gt;"moeda")*(Inputs!$G$5:$G$130&lt;&gt;"acoes")))*INDEX(Inputs!$K$5:$AJ$130,0,MATCH(P$2,Inputs!$K$4:$AJ$4,0)))+SUMPRODUCT((Inputs!$E$5:$E$130=$B68)*Inputs!$F$5:$F$130*(((Inputs!$G$5:$G$130="moeda")+(Inputs!$G$5:$G$130="acoes"))*Inputs!$B$1+((Inputs!$G$5:$G$130&lt;&gt;"moeda")*(Inputs!$G$5:$G$130&lt;&gt;"acoes")))*INDEX(Inputs!$K$5:$AJ$130,0,MATCH(P$2,Inputs!$K$4:$AJ$4,0)))))</f>
        <v>7212</v>
      </c>
      <c r="Q68" s="263">
        <f>IF(ISNA(MATCH(Q$2,Inputs!$K$4:$AJ$4,0)),NA(),IF(SUMPRODUCT((Inputs!$A$5:$A$130=$B68)*ISNUMBER(INDEX(Inputs!$K$5:$AJ$130,0,MATCH(Q$2,Inputs!$K$4:$AJ$4,0))))+SUMPRODUCT((Inputs!$C$5:$C$130=$B68)*ISNUMBER(INDEX(Inputs!$K$5:$AJ$130,0,MATCH(Q$2,Inputs!$K$4:$AJ$4,0))))+SUMPRODUCT((Inputs!$E$5:$E$130=$B68)*ISNUMBER(INDEX(Inputs!$K$5:$AJ$130,0,MATCH(Q$2,Inputs!$K$4:$AJ$4,0))))=0,NA(),SUMPRODUCT((Inputs!$A$5:$A$130=$B68)*Inputs!$B$5:$B$130*(((Inputs!$G$5:$G$130="moeda")+(Inputs!$G$5:$G$130="acoes"))*Inputs!$B$1+((Inputs!$G$5:$G$130&lt;&gt;"moeda")*(Inputs!$G$5:$G$130&lt;&gt;"acoes")))*INDEX(Inputs!$K$5:$AJ$130,0,MATCH(Q$2,Inputs!$K$4:$AJ$4,0)))+SUMPRODUCT((Inputs!$C$5:$C$130=$B68)*Inputs!$D$5:$D$130*(((Inputs!$G$5:$G$130="moeda")+(Inputs!$G$5:$G$130="acoes"))*Inputs!$B$1+((Inputs!$G$5:$G$130&lt;&gt;"moeda")*(Inputs!$G$5:$G$130&lt;&gt;"acoes")))*INDEX(Inputs!$K$5:$AJ$130,0,MATCH(Q$2,Inputs!$K$4:$AJ$4,0)))+SUMPRODUCT((Inputs!$E$5:$E$130=$B68)*Inputs!$F$5:$F$130*(((Inputs!$G$5:$G$130="moeda")+(Inputs!$G$5:$G$130="acoes"))*Inputs!$B$1+((Inputs!$G$5:$G$130&lt;&gt;"moeda")*(Inputs!$G$5:$G$130&lt;&gt;"acoes")))*INDEX(Inputs!$K$5:$AJ$130,0,MATCH(Q$2,Inputs!$K$4:$AJ$4,0)))))</f>
        <v>5944</v>
      </c>
      <c r="R68" s="264">
        <f>SUM(N68:Q68)</f>
        <v>26539</v>
      </c>
      <c r="S68" s="263">
        <f>IF(ISNA(MATCH(S$2,Inputs!$K$4:$AJ$4,0)),NA(),IF(SUMPRODUCT((Inputs!$A$5:$A$130=$B68)*ISNUMBER(INDEX(Inputs!$K$5:$AJ$130,0,MATCH(S$2,Inputs!$K$4:$AJ$4,0))))+SUMPRODUCT((Inputs!$C$5:$C$130=$B68)*ISNUMBER(INDEX(Inputs!$K$5:$AJ$130,0,MATCH(S$2,Inputs!$K$4:$AJ$4,0))))+SUMPRODUCT((Inputs!$E$5:$E$130=$B68)*ISNUMBER(INDEX(Inputs!$K$5:$AJ$130,0,MATCH(S$2,Inputs!$K$4:$AJ$4,0))))=0,NA(),SUMPRODUCT((Inputs!$A$5:$A$130=$B68)*Inputs!$B$5:$B$130*(((Inputs!$G$5:$G$130="moeda")+(Inputs!$G$5:$G$130="acoes"))*Inputs!$B$1+((Inputs!$G$5:$G$130&lt;&gt;"moeda")*(Inputs!$G$5:$G$130&lt;&gt;"acoes")))*INDEX(Inputs!$K$5:$AJ$130,0,MATCH(S$2,Inputs!$K$4:$AJ$4,0)))+SUMPRODUCT((Inputs!$C$5:$C$130=$B68)*Inputs!$D$5:$D$130*(((Inputs!$G$5:$G$130="moeda")+(Inputs!$G$5:$G$130="acoes"))*Inputs!$B$1+((Inputs!$G$5:$G$130&lt;&gt;"moeda")*(Inputs!$G$5:$G$130&lt;&gt;"acoes")))*INDEX(Inputs!$K$5:$AJ$130,0,MATCH(S$2,Inputs!$K$4:$AJ$4,0)))+SUMPRODUCT((Inputs!$E$5:$E$130=$B68)*Inputs!$F$5:$F$130*(((Inputs!$G$5:$G$130="moeda")+(Inputs!$G$5:$G$130="acoes"))*Inputs!$B$1+((Inputs!$G$5:$G$130&lt;&gt;"moeda")*(Inputs!$G$5:$G$130&lt;&gt;"acoes")))*INDEX(Inputs!$K$5:$AJ$130,0,MATCH(S$2,Inputs!$K$4:$AJ$4,0)))))</f>
        <v>6655</v>
      </c>
      <c r="T68" s="263">
        <f>IF(ISNA(MATCH(T$2,Inputs!$K$4:$AJ$4,0)),NA(),IF(SUMPRODUCT((Inputs!$A$5:$A$130=$B68)*ISNUMBER(INDEX(Inputs!$K$5:$AJ$130,0,MATCH(T$2,Inputs!$K$4:$AJ$4,0))))+SUMPRODUCT((Inputs!$C$5:$C$130=$B68)*ISNUMBER(INDEX(Inputs!$K$5:$AJ$130,0,MATCH(T$2,Inputs!$K$4:$AJ$4,0))))+SUMPRODUCT((Inputs!$E$5:$E$130=$B68)*ISNUMBER(INDEX(Inputs!$K$5:$AJ$130,0,MATCH(T$2,Inputs!$K$4:$AJ$4,0))))=0,NA(),SUMPRODUCT((Inputs!$A$5:$A$130=$B68)*Inputs!$B$5:$B$130*(((Inputs!$G$5:$G$130="moeda")+(Inputs!$G$5:$G$130="acoes"))*Inputs!$B$1+((Inputs!$G$5:$G$130&lt;&gt;"moeda")*(Inputs!$G$5:$G$130&lt;&gt;"acoes")))*INDEX(Inputs!$K$5:$AJ$130,0,MATCH(T$2,Inputs!$K$4:$AJ$4,0)))+SUMPRODUCT((Inputs!$C$5:$C$130=$B68)*Inputs!$D$5:$D$130*(((Inputs!$G$5:$G$130="moeda")+(Inputs!$G$5:$G$130="acoes"))*Inputs!$B$1+((Inputs!$G$5:$G$130&lt;&gt;"moeda")*(Inputs!$G$5:$G$130&lt;&gt;"acoes")))*INDEX(Inputs!$K$5:$AJ$130,0,MATCH(T$2,Inputs!$K$4:$AJ$4,0)))+SUMPRODUCT((Inputs!$E$5:$E$130=$B68)*Inputs!$F$5:$F$130*(((Inputs!$G$5:$G$130="moeda")+(Inputs!$G$5:$G$130="acoes"))*Inputs!$B$1+((Inputs!$G$5:$G$130&lt;&gt;"moeda")*(Inputs!$G$5:$G$130&lt;&gt;"acoes")))*INDEX(Inputs!$K$5:$AJ$130,0,MATCH(T$2,Inputs!$K$4:$AJ$4,0)))))</f>
        <v>7494</v>
      </c>
      <c r="U68" s="263">
        <f>IF(ISNA(MATCH(U$2,Inputs!$K$4:$AJ$4,0)),NA(),IF(SUMPRODUCT((Inputs!$A$5:$A$130=$B68)*ISNUMBER(INDEX(Inputs!$K$5:$AJ$130,0,MATCH(U$2,Inputs!$K$4:$AJ$4,0))))+SUMPRODUCT((Inputs!$C$5:$C$130=$B68)*ISNUMBER(INDEX(Inputs!$K$5:$AJ$130,0,MATCH(U$2,Inputs!$K$4:$AJ$4,0))))+SUMPRODUCT((Inputs!$E$5:$E$130=$B68)*ISNUMBER(INDEX(Inputs!$K$5:$AJ$130,0,MATCH(U$2,Inputs!$K$4:$AJ$4,0))))=0,NA(),SUMPRODUCT((Inputs!$A$5:$A$130=$B68)*Inputs!$B$5:$B$130*(((Inputs!$G$5:$G$130="moeda")+(Inputs!$G$5:$G$130="acoes"))*Inputs!$B$1+((Inputs!$G$5:$G$130&lt;&gt;"moeda")*(Inputs!$G$5:$G$130&lt;&gt;"acoes")))*INDEX(Inputs!$K$5:$AJ$130,0,MATCH(U$2,Inputs!$K$4:$AJ$4,0)))+SUMPRODUCT((Inputs!$C$5:$C$130=$B68)*Inputs!$D$5:$D$130*(((Inputs!$G$5:$G$130="moeda")+(Inputs!$G$5:$G$130="acoes"))*Inputs!$B$1+((Inputs!$G$5:$G$130&lt;&gt;"moeda")*(Inputs!$G$5:$G$130&lt;&gt;"acoes")))*INDEX(Inputs!$K$5:$AJ$130,0,MATCH(U$2,Inputs!$K$4:$AJ$4,0)))+SUMPRODUCT((Inputs!$E$5:$E$130=$B68)*Inputs!$F$5:$F$130*(((Inputs!$G$5:$G$130="moeda")+(Inputs!$G$5:$G$130="acoes"))*Inputs!$B$1+((Inputs!$G$5:$G$130&lt;&gt;"moeda")*(Inputs!$G$5:$G$130&lt;&gt;"acoes")))*INDEX(Inputs!$K$5:$AJ$130,0,MATCH(U$2,Inputs!$K$4:$AJ$4,0)))))</f>
        <v>7058</v>
      </c>
      <c r="V68" s="263">
        <f>IF(ISNA(MATCH(V$2,Inputs!$K$4:$AJ$4,0)),NA(),IF(SUMPRODUCT((Inputs!$A$5:$A$130=$B68)*ISNUMBER(INDEX(Inputs!$K$5:$AJ$130,0,MATCH(V$2,Inputs!$K$4:$AJ$4,0))))+SUMPRODUCT((Inputs!$C$5:$C$130=$B68)*ISNUMBER(INDEX(Inputs!$K$5:$AJ$130,0,MATCH(V$2,Inputs!$K$4:$AJ$4,0))))+SUMPRODUCT((Inputs!$E$5:$E$130=$B68)*ISNUMBER(INDEX(Inputs!$K$5:$AJ$130,0,MATCH(V$2,Inputs!$K$4:$AJ$4,0))))=0,NA(),SUMPRODUCT((Inputs!$A$5:$A$130=$B68)*Inputs!$B$5:$B$130*(((Inputs!$G$5:$G$130="moeda")+(Inputs!$G$5:$G$130="acoes"))*Inputs!$B$1+((Inputs!$G$5:$G$130&lt;&gt;"moeda")*(Inputs!$G$5:$G$130&lt;&gt;"acoes")))*INDEX(Inputs!$K$5:$AJ$130,0,MATCH(V$2,Inputs!$K$4:$AJ$4,0)))+SUMPRODUCT((Inputs!$C$5:$C$130=$B68)*Inputs!$D$5:$D$130*(((Inputs!$G$5:$G$130="moeda")+(Inputs!$G$5:$G$130="acoes"))*Inputs!$B$1+((Inputs!$G$5:$G$130&lt;&gt;"moeda")*(Inputs!$G$5:$G$130&lt;&gt;"acoes")))*INDEX(Inputs!$K$5:$AJ$130,0,MATCH(V$2,Inputs!$K$4:$AJ$4,0)))+SUMPRODUCT((Inputs!$E$5:$E$130=$B68)*Inputs!$F$5:$F$130*(((Inputs!$G$5:$G$130="moeda")+(Inputs!$G$5:$G$130="acoes"))*Inputs!$B$1+((Inputs!$G$5:$G$130&lt;&gt;"moeda")*(Inputs!$G$5:$G$130&lt;&gt;"acoes")))*INDEX(Inputs!$K$5:$AJ$130,0,MATCH(V$2,Inputs!$K$4:$AJ$4,0)))))</f>
        <v>6518</v>
      </c>
      <c r="W68" s="264">
        <f>SUM(S68:V68)</f>
        <v>27725</v>
      </c>
      <c r="X68" s="263">
        <f>IF(ISNA(MATCH(X$2,Inputs!$K$4:$AJ$4,0)),NA(),IF(SUMPRODUCT((Inputs!$A$5:$A$130=$B68)*ISNUMBER(INDEX(Inputs!$K$5:$AJ$130,0,MATCH(X$2,Inputs!$K$4:$AJ$4,0))))+SUMPRODUCT((Inputs!$C$5:$C$130=$B68)*ISNUMBER(INDEX(Inputs!$K$5:$AJ$130,0,MATCH(X$2,Inputs!$K$4:$AJ$4,0))))+SUMPRODUCT((Inputs!$E$5:$E$130=$B68)*ISNUMBER(INDEX(Inputs!$K$5:$AJ$130,0,MATCH(X$2,Inputs!$K$4:$AJ$4,0))))=0,NA(),SUMPRODUCT((Inputs!$A$5:$A$130=$B68)*Inputs!$B$5:$B$130*(((Inputs!$G$5:$G$130="moeda")+(Inputs!$G$5:$G$130="acoes"))*Inputs!$B$1+((Inputs!$G$5:$G$130&lt;&gt;"moeda")*(Inputs!$G$5:$G$130&lt;&gt;"acoes")))*INDEX(Inputs!$K$5:$AJ$130,0,MATCH(X$2,Inputs!$K$4:$AJ$4,0)))+SUMPRODUCT((Inputs!$C$5:$C$130=$B68)*Inputs!$D$5:$D$130*(((Inputs!$G$5:$G$130="moeda")+(Inputs!$G$5:$G$130="acoes"))*Inputs!$B$1+((Inputs!$G$5:$G$130&lt;&gt;"moeda")*(Inputs!$G$5:$G$130&lt;&gt;"acoes")))*INDEX(Inputs!$K$5:$AJ$130,0,MATCH(X$2,Inputs!$K$4:$AJ$4,0)))+SUMPRODUCT((Inputs!$E$5:$E$130=$B68)*Inputs!$F$5:$F$130*(((Inputs!$G$5:$G$130="moeda")+(Inputs!$G$5:$G$130="acoes"))*Inputs!$B$1+((Inputs!$G$5:$G$130&lt;&gt;"moeda")*(Inputs!$G$5:$G$130&lt;&gt;"acoes")))*INDEX(Inputs!$K$5:$AJ$130,0,MATCH(X$2,Inputs!$K$4:$AJ$4,0)))))</f>
        <v>6594</v>
      </c>
      <c r="Y68" s="263">
        <f>IF(ISNA(MATCH(Y$2,Inputs!$K$4:$AJ$4,0)),NA(),IF(SUMPRODUCT((Inputs!$A$5:$A$130=$B68)*ISNUMBER(INDEX(Inputs!$K$5:$AJ$130,0,MATCH(Y$2,Inputs!$K$4:$AJ$4,0))))+SUMPRODUCT((Inputs!$C$5:$C$130=$B68)*ISNUMBER(INDEX(Inputs!$K$5:$AJ$130,0,MATCH(Y$2,Inputs!$K$4:$AJ$4,0))))+SUMPRODUCT((Inputs!$E$5:$E$130=$B68)*ISNUMBER(INDEX(Inputs!$K$5:$AJ$130,0,MATCH(Y$2,Inputs!$K$4:$AJ$4,0))))=0,NA(),SUMPRODUCT((Inputs!$A$5:$A$130=$B68)*Inputs!$B$5:$B$130*(((Inputs!$G$5:$G$130="moeda")+(Inputs!$G$5:$G$130="acoes"))*Inputs!$B$1+((Inputs!$G$5:$G$130&lt;&gt;"moeda")*(Inputs!$G$5:$G$130&lt;&gt;"acoes")))*INDEX(Inputs!$K$5:$AJ$130,0,MATCH(Y$2,Inputs!$K$4:$AJ$4,0)))+SUMPRODUCT((Inputs!$C$5:$C$130=$B68)*Inputs!$D$5:$D$130*(((Inputs!$G$5:$G$130="moeda")+(Inputs!$G$5:$G$130="acoes"))*Inputs!$B$1+((Inputs!$G$5:$G$130&lt;&gt;"moeda")*(Inputs!$G$5:$G$130&lt;&gt;"acoes")))*INDEX(Inputs!$K$5:$AJ$130,0,MATCH(Y$2,Inputs!$K$4:$AJ$4,0)))+SUMPRODUCT((Inputs!$E$5:$E$130=$B68)*Inputs!$F$5:$F$130*(((Inputs!$G$5:$G$130="moeda")+(Inputs!$G$5:$G$130="acoes"))*Inputs!$B$1+((Inputs!$G$5:$G$130&lt;&gt;"moeda")*(Inputs!$G$5:$G$130&lt;&gt;"acoes")))*INDEX(Inputs!$K$5:$AJ$130,0,MATCH(Y$2,Inputs!$K$4:$AJ$4,0)))))</f>
        <v>7618</v>
      </c>
      <c r="Z68" s="263">
        <f>IF(ISNA(MATCH(Z$2,Inputs!$K$4:$AJ$4,0)),NA(),IF(SUMPRODUCT((Inputs!$A$5:$A$130=$B68)*ISNUMBER(INDEX(Inputs!$K$5:$AJ$130,0,MATCH(Z$2,Inputs!$K$4:$AJ$4,0))))+SUMPRODUCT((Inputs!$C$5:$C$130=$B68)*ISNUMBER(INDEX(Inputs!$K$5:$AJ$130,0,MATCH(Z$2,Inputs!$K$4:$AJ$4,0))))+SUMPRODUCT((Inputs!$E$5:$E$130=$B68)*ISNUMBER(INDEX(Inputs!$K$5:$AJ$130,0,MATCH(Z$2,Inputs!$K$4:$AJ$4,0))))=0,NA(),SUMPRODUCT((Inputs!$A$5:$A$130=$B68)*Inputs!$B$5:$B$130*(((Inputs!$G$5:$G$130="moeda")+(Inputs!$G$5:$G$130="acoes"))*Inputs!$B$1+((Inputs!$G$5:$G$130&lt;&gt;"moeda")*(Inputs!$G$5:$G$130&lt;&gt;"acoes")))*INDEX(Inputs!$K$5:$AJ$130,0,MATCH(Z$2,Inputs!$K$4:$AJ$4,0)))+SUMPRODUCT((Inputs!$C$5:$C$130=$B68)*Inputs!$D$5:$D$130*(((Inputs!$G$5:$G$130="moeda")+(Inputs!$G$5:$G$130="acoes"))*Inputs!$B$1+((Inputs!$G$5:$G$130&lt;&gt;"moeda")*(Inputs!$G$5:$G$130&lt;&gt;"acoes")))*INDEX(Inputs!$K$5:$AJ$130,0,MATCH(Z$2,Inputs!$K$4:$AJ$4,0)))+SUMPRODUCT((Inputs!$E$5:$E$130=$B68)*Inputs!$F$5:$F$130*(((Inputs!$G$5:$G$130="moeda")+(Inputs!$G$5:$G$130="acoes"))*Inputs!$B$1+((Inputs!$G$5:$G$130&lt;&gt;"moeda")*(Inputs!$G$5:$G$130&lt;&gt;"acoes")))*INDEX(Inputs!$K$5:$AJ$130,0,MATCH(Z$2,Inputs!$K$4:$AJ$4,0)))))</f>
        <v>8198</v>
      </c>
      <c r="AA68" s="263">
        <f>IF(ISNA(MATCH(AA$2,Inputs!$K$4:$AJ$4,0)),NA(),IF(SUMPRODUCT((Inputs!$A$5:$A$130=$B68)*ISNUMBER(INDEX(Inputs!$K$5:$AJ$130,0,MATCH(AA$2,Inputs!$K$4:$AJ$4,0))))+SUMPRODUCT((Inputs!$C$5:$C$130=$B68)*ISNUMBER(INDEX(Inputs!$K$5:$AJ$130,0,MATCH(AA$2,Inputs!$K$4:$AJ$4,0))))+SUMPRODUCT((Inputs!$E$5:$E$130=$B68)*ISNUMBER(INDEX(Inputs!$K$5:$AJ$130,0,MATCH(AA$2,Inputs!$K$4:$AJ$4,0))))=0,NA(),SUMPRODUCT((Inputs!$A$5:$A$130=$B68)*Inputs!$B$5:$B$130*(((Inputs!$G$5:$G$130="moeda")+(Inputs!$G$5:$G$130="acoes"))*Inputs!$B$1+((Inputs!$G$5:$G$130&lt;&gt;"moeda")*(Inputs!$G$5:$G$130&lt;&gt;"acoes")))*INDEX(Inputs!$K$5:$AJ$130,0,MATCH(AA$2,Inputs!$K$4:$AJ$4,0)))+SUMPRODUCT((Inputs!$C$5:$C$130=$B68)*Inputs!$D$5:$D$130*(((Inputs!$G$5:$G$130="moeda")+(Inputs!$G$5:$G$130="acoes"))*Inputs!$B$1+((Inputs!$G$5:$G$130&lt;&gt;"moeda")*(Inputs!$G$5:$G$130&lt;&gt;"acoes")))*INDEX(Inputs!$K$5:$AJ$130,0,MATCH(AA$2,Inputs!$K$4:$AJ$4,0)))+SUMPRODUCT((Inputs!$E$5:$E$130=$B68)*Inputs!$F$5:$F$130*(((Inputs!$G$5:$G$130="moeda")+(Inputs!$G$5:$G$130="acoes"))*Inputs!$B$1+((Inputs!$G$5:$G$130&lt;&gt;"moeda")*(Inputs!$G$5:$G$130&lt;&gt;"acoes")))*INDEX(Inputs!$K$5:$AJ$130,0,MATCH(AA$2,Inputs!$K$4:$AJ$4,0)))))</f>
        <v>4792</v>
      </c>
      <c r="AB68" s="264">
        <f>SUM(X68:AA68)</f>
        <v>27202</v>
      </c>
      <c r="AC68" s="263">
        <f>IF(ISNA(MATCH(AC$2,Inputs!$K$4:$AJ$4,0)),NA(),IF(SUMPRODUCT((Inputs!$A$5:$A$130=$B68)*ISNUMBER(INDEX(Inputs!$K$5:$AJ$130,0,MATCH(AC$2,Inputs!$K$4:$AJ$4,0))))+SUMPRODUCT((Inputs!$C$5:$C$130=$B68)*ISNUMBER(INDEX(Inputs!$K$5:$AJ$130,0,MATCH(AC$2,Inputs!$K$4:$AJ$4,0))))+SUMPRODUCT((Inputs!$E$5:$E$130=$B68)*ISNUMBER(INDEX(Inputs!$K$5:$AJ$130,0,MATCH(AC$2,Inputs!$K$4:$AJ$4,0))))=0,NA(),SUMPRODUCT((Inputs!$A$5:$A$130=$B68)*Inputs!$B$5:$B$130*(((Inputs!$G$5:$G$130="moeda")+(Inputs!$G$5:$G$130="acoes"))*Inputs!$B$1+((Inputs!$G$5:$G$130&lt;&gt;"moeda")*(Inputs!$G$5:$G$130&lt;&gt;"acoes")))*INDEX(Inputs!$K$5:$AJ$130,0,MATCH(AC$2,Inputs!$K$4:$AJ$4,0)))+SUMPRODUCT((Inputs!$C$5:$C$130=$B68)*Inputs!$D$5:$D$130*(((Inputs!$G$5:$G$130="moeda")+(Inputs!$G$5:$G$130="acoes"))*Inputs!$B$1+((Inputs!$G$5:$G$130&lt;&gt;"moeda")*(Inputs!$G$5:$G$130&lt;&gt;"acoes")))*INDEX(Inputs!$K$5:$AJ$130,0,MATCH(AC$2,Inputs!$K$4:$AJ$4,0)))+SUMPRODUCT((Inputs!$E$5:$E$130=$B68)*Inputs!$F$5:$F$130*(((Inputs!$G$5:$G$130="moeda")+(Inputs!$G$5:$G$130="acoes"))*Inputs!$B$1+((Inputs!$G$5:$G$130&lt;&gt;"moeda")*(Inputs!$G$5:$G$130&lt;&gt;"acoes")))*INDEX(Inputs!$K$5:$AJ$130,0,MATCH(AC$2,Inputs!$K$4:$AJ$4,0)))))</f>
        <v>7385</v>
      </c>
      <c r="AD68" s="263">
        <f>IF(ISNA(MATCH(AD$2,Inputs!$K$4:$AJ$4,0)),NA(),IF(SUMPRODUCT((Inputs!$A$5:$A$130=$B68)*ISNUMBER(INDEX(Inputs!$K$5:$AJ$130,0,MATCH(AD$2,Inputs!$K$4:$AJ$4,0))))+SUMPRODUCT((Inputs!$C$5:$C$130=$B68)*ISNUMBER(INDEX(Inputs!$K$5:$AJ$130,0,MATCH(AD$2,Inputs!$K$4:$AJ$4,0))))+SUMPRODUCT((Inputs!$E$5:$E$130=$B68)*ISNUMBER(INDEX(Inputs!$K$5:$AJ$130,0,MATCH(AD$2,Inputs!$K$4:$AJ$4,0))))=0,NA(),SUMPRODUCT((Inputs!$A$5:$A$130=$B68)*Inputs!$B$5:$B$130*(((Inputs!$G$5:$G$130="moeda")+(Inputs!$G$5:$G$130="acoes"))*Inputs!$B$1+((Inputs!$G$5:$G$130&lt;&gt;"moeda")*(Inputs!$G$5:$G$130&lt;&gt;"acoes")))*INDEX(Inputs!$K$5:$AJ$130,0,MATCH(AD$2,Inputs!$K$4:$AJ$4,0)))+SUMPRODUCT((Inputs!$C$5:$C$130=$B68)*Inputs!$D$5:$D$130*(((Inputs!$G$5:$G$130="moeda")+(Inputs!$G$5:$G$130="acoes"))*Inputs!$B$1+((Inputs!$G$5:$G$130&lt;&gt;"moeda")*(Inputs!$G$5:$G$130&lt;&gt;"acoes")))*INDEX(Inputs!$K$5:$AJ$130,0,MATCH(AD$2,Inputs!$K$4:$AJ$4,0)))+SUMPRODUCT((Inputs!$E$5:$E$130=$B68)*Inputs!$F$5:$F$130*(((Inputs!$G$5:$G$130="moeda")+(Inputs!$G$5:$G$130="acoes"))*Inputs!$B$1+((Inputs!$G$5:$G$130&lt;&gt;"moeda")*(Inputs!$G$5:$G$130&lt;&gt;"acoes")))*INDEX(Inputs!$K$5:$AJ$130,0,MATCH(AD$2,Inputs!$K$4:$AJ$4,0)))))</f>
        <v>8146</v>
      </c>
      <c r="AE68" s="263" t="e">
        <f>IF(ISNA(MATCH(AE$2,Inputs!$K$4:$AJ$4,0)),NA(),IF(SUMPRODUCT((Inputs!$A$5:$A$130=$B68)*ISNUMBER(INDEX(Inputs!$K$5:$AJ$130,0,MATCH(AE$2,Inputs!$K$4:$AJ$4,0))))+SUMPRODUCT((Inputs!$C$5:$C$130=$B68)*ISNUMBER(INDEX(Inputs!$K$5:$AJ$130,0,MATCH(AE$2,Inputs!$K$4:$AJ$4,0))))+SUMPRODUCT((Inputs!$E$5:$E$130=$B68)*ISNUMBER(INDEX(Inputs!$K$5:$AJ$130,0,MATCH(AE$2,Inputs!$K$4:$AJ$4,0))))=0,NA(),SUMPRODUCT((Inputs!$A$5:$A$130=$B68)*Inputs!$B$5:$B$130*(((Inputs!$G$5:$G$130="moeda")+(Inputs!$G$5:$G$130="acoes"))*Inputs!$B$1+((Inputs!$G$5:$G$130&lt;&gt;"moeda")*(Inputs!$G$5:$G$130&lt;&gt;"acoes")))*INDEX(Inputs!$K$5:$AJ$130,0,MATCH(AE$2,Inputs!$K$4:$AJ$4,0)))+SUMPRODUCT((Inputs!$C$5:$C$130=$B68)*Inputs!$D$5:$D$130*(((Inputs!$G$5:$G$130="moeda")+(Inputs!$G$5:$G$130="acoes"))*Inputs!$B$1+((Inputs!$G$5:$G$130&lt;&gt;"moeda")*(Inputs!$G$5:$G$130&lt;&gt;"acoes")))*INDEX(Inputs!$K$5:$AJ$130,0,MATCH(AE$2,Inputs!$K$4:$AJ$4,0)))+SUMPRODUCT((Inputs!$E$5:$E$130=$B68)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8" s="263" t="e">
        <f>IF(ISNA(MATCH(AF$2,Inputs!$K$4:$AJ$4,0)),NA(),IF(SUMPRODUCT((Inputs!$A$5:$A$130=$B68)*ISNUMBER(INDEX(Inputs!$K$5:$AJ$130,0,MATCH(AF$2,Inputs!$K$4:$AJ$4,0))))+SUMPRODUCT((Inputs!$C$5:$C$130=$B68)*ISNUMBER(INDEX(Inputs!$K$5:$AJ$130,0,MATCH(AF$2,Inputs!$K$4:$AJ$4,0))))+SUMPRODUCT((Inputs!$E$5:$E$130=$B68)*ISNUMBER(INDEX(Inputs!$K$5:$AJ$130,0,MATCH(AF$2,Inputs!$K$4:$AJ$4,0))))=0,NA(),SUMPRODUCT((Inputs!$A$5:$A$130=$B68)*Inputs!$B$5:$B$130*(((Inputs!$G$5:$G$130="moeda")+(Inputs!$G$5:$G$130="acoes"))*Inputs!$B$1+((Inputs!$G$5:$G$130&lt;&gt;"moeda")*(Inputs!$G$5:$G$130&lt;&gt;"acoes")))*INDEX(Inputs!$K$5:$AJ$130,0,MATCH(AF$2,Inputs!$K$4:$AJ$4,0)))+SUMPRODUCT((Inputs!$C$5:$C$130=$B68)*Inputs!$D$5:$D$130*(((Inputs!$G$5:$G$130="moeda")+(Inputs!$G$5:$G$130="acoes"))*Inputs!$B$1+((Inputs!$G$5:$G$130&lt;&gt;"moeda")*(Inputs!$G$5:$G$130&lt;&gt;"acoes")))*INDEX(Inputs!$K$5:$AJ$130,0,MATCH(AF$2,Inputs!$K$4:$AJ$4,0)))+SUMPRODUCT((Inputs!$E$5:$E$130=$B68)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8" s="264" t="e">
        <f>SUM(AC68:AF68)</f>
        <v>#N/A</v>
      </c>
      <c r="AH68" s="263" t="e">
        <f>IF(ISNA(MATCH(AH$2,Inputs!$K$4:$AJ$4,0)),NA(),IF(SUMPRODUCT((Inputs!$A$5:$A$130=$B68)*ISNUMBER(INDEX(Inputs!$K$5:$AJ$130,0,MATCH(AH$2,Inputs!$K$4:$AJ$4,0))))+SUMPRODUCT((Inputs!$C$5:$C$130=$B68)*ISNUMBER(INDEX(Inputs!$K$5:$AJ$130,0,MATCH(AH$2,Inputs!$K$4:$AJ$4,0))))+SUMPRODUCT((Inputs!$E$5:$E$130=$B68)*ISNUMBER(INDEX(Inputs!$K$5:$AJ$130,0,MATCH(AH$2,Inputs!$K$4:$AJ$4,0))))=0,NA(),SUMPRODUCT((Inputs!$A$5:$A$130=$B68)*Inputs!$B$5:$B$130*(((Inputs!$G$5:$G$130="moeda")+(Inputs!$G$5:$G$130="acoes"))*Inputs!$B$1+((Inputs!$G$5:$G$130&lt;&gt;"moeda")*(Inputs!$G$5:$G$130&lt;&gt;"acoes")))*INDEX(Inputs!$K$5:$AJ$130,0,MATCH(AH$2,Inputs!$K$4:$AJ$4,0)))+SUMPRODUCT((Inputs!$C$5:$C$130=$B68)*Inputs!$D$5:$D$130*(((Inputs!$G$5:$G$130="moeda")+(Inputs!$G$5:$G$130="acoes"))*Inputs!$B$1+((Inputs!$G$5:$G$130&lt;&gt;"moeda")*(Inputs!$G$5:$G$130&lt;&gt;"acoes")))*INDEX(Inputs!$K$5:$AJ$130,0,MATCH(AH$2,Inputs!$K$4:$AJ$4,0)))+SUMPRODUCT((Inputs!$E$5:$E$130=$B68)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68" s="263" t="e">
        <f>IF(ISNA(MATCH(AI$2,Inputs!$K$4:$AJ$4,0)),NA(),IF(SUMPRODUCT((Inputs!$A$5:$A$130=$B68)*ISNUMBER(INDEX(Inputs!$K$5:$AJ$130,0,MATCH(AI$2,Inputs!$K$4:$AJ$4,0))))+SUMPRODUCT((Inputs!$C$5:$C$130=$B68)*ISNUMBER(INDEX(Inputs!$K$5:$AJ$130,0,MATCH(AI$2,Inputs!$K$4:$AJ$4,0))))+SUMPRODUCT((Inputs!$E$5:$E$130=$B68)*ISNUMBER(INDEX(Inputs!$K$5:$AJ$130,0,MATCH(AI$2,Inputs!$K$4:$AJ$4,0))))=0,NA(),SUMPRODUCT((Inputs!$A$5:$A$130=$B68)*Inputs!$B$5:$B$130*(((Inputs!$G$5:$G$130="moeda")+(Inputs!$G$5:$G$130="acoes"))*Inputs!$B$1+((Inputs!$G$5:$G$130&lt;&gt;"moeda")*(Inputs!$G$5:$G$130&lt;&gt;"acoes")))*INDEX(Inputs!$K$5:$AJ$130,0,MATCH(AI$2,Inputs!$K$4:$AJ$4,0)))+SUMPRODUCT((Inputs!$C$5:$C$130=$B68)*Inputs!$D$5:$D$130*(((Inputs!$G$5:$G$130="moeda")+(Inputs!$G$5:$G$130="acoes"))*Inputs!$B$1+((Inputs!$G$5:$G$130&lt;&gt;"moeda")*(Inputs!$G$5:$G$130&lt;&gt;"acoes")))*INDEX(Inputs!$K$5:$AJ$130,0,MATCH(AI$2,Inputs!$K$4:$AJ$4,0)))+SUMPRODUCT((Inputs!$E$5:$E$130=$B68)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68" s="263" t="e">
        <f>IF(ISNA(MATCH(AJ$2,Inputs!$K$4:$AJ$4,0)),NA(),IF(SUMPRODUCT((Inputs!$A$5:$A$130=$B68)*ISNUMBER(INDEX(Inputs!$K$5:$AJ$130,0,MATCH(AJ$2,Inputs!$K$4:$AJ$4,0))))+SUMPRODUCT((Inputs!$C$5:$C$130=$B68)*ISNUMBER(INDEX(Inputs!$K$5:$AJ$130,0,MATCH(AJ$2,Inputs!$K$4:$AJ$4,0))))+SUMPRODUCT((Inputs!$E$5:$E$130=$B68)*ISNUMBER(INDEX(Inputs!$K$5:$AJ$130,0,MATCH(AJ$2,Inputs!$K$4:$AJ$4,0))))=0,NA(),SUMPRODUCT((Inputs!$A$5:$A$130=$B68)*Inputs!$B$5:$B$130*(((Inputs!$G$5:$G$130="moeda")+(Inputs!$G$5:$G$130="acoes"))*Inputs!$B$1+((Inputs!$G$5:$G$130&lt;&gt;"moeda")*(Inputs!$G$5:$G$130&lt;&gt;"acoes")))*INDEX(Inputs!$K$5:$AJ$130,0,MATCH(AJ$2,Inputs!$K$4:$AJ$4,0)))+SUMPRODUCT((Inputs!$C$5:$C$130=$B68)*Inputs!$D$5:$D$130*(((Inputs!$G$5:$G$130="moeda")+(Inputs!$G$5:$G$130="acoes"))*Inputs!$B$1+((Inputs!$G$5:$G$130&lt;&gt;"moeda")*(Inputs!$G$5:$G$130&lt;&gt;"acoes")))*INDEX(Inputs!$K$5:$AJ$130,0,MATCH(AJ$2,Inputs!$K$4:$AJ$4,0)))+SUMPRODUCT((Inputs!$E$5:$E$130=$B68)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68" s="263" t="e">
        <f>IF(ISNA(MATCH(AK$2,Inputs!$K$4:$AJ$4,0)),NA(),IF(SUMPRODUCT((Inputs!$A$5:$A$130=$B68)*ISNUMBER(INDEX(Inputs!$K$5:$AJ$130,0,MATCH(AK$2,Inputs!$K$4:$AJ$4,0))))+SUMPRODUCT((Inputs!$C$5:$C$130=$B68)*ISNUMBER(INDEX(Inputs!$K$5:$AJ$130,0,MATCH(AK$2,Inputs!$K$4:$AJ$4,0))))+SUMPRODUCT((Inputs!$E$5:$E$130=$B68)*ISNUMBER(INDEX(Inputs!$K$5:$AJ$130,0,MATCH(AK$2,Inputs!$K$4:$AJ$4,0))))=0,NA(),SUMPRODUCT((Inputs!$A$5:$A$130=$B68)*Inputs!$B$5:$B$130*(((Inputs!$G$5:$G$130="moeda")+(Inputs!$G$5:$G$130="acoes"))*Inputs!$B$1+((Inputs!$G$5:$G$130&lt;&gt;"moeda")*(Inputs!$G$5:$G$130&lt;&gt;"acoes")))*INDEX(Inputs!$K$5:$AJ$130,0,MATCH(AK$2,Inputs!$K$4:$AJ$4,0)))+SUMPRODUCT((Inputs!$C$5:$C$130=$B68)*Inputs!$D$5:$D$130*(((Inputs!$G$5:$G$130="moeda")+(Inputs!$G$5:$G$130="acoes"))*Inputs!$B$1+((Inputs!$G$5:$G$130&lt;&gt;"moeda")*(Inputs!$G$5:$G$130&lt;&gt;"acoes")))*INDEX(Inputs!$K$5:$AJ$130,0,MATCH(AK$2,Inputs!$K$4:$AJ$4,0)))+SUMPRODUCT((Inputs!$E$5:$E$130=$B68)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68" s="264" t="e">
        <f>SUM(AH68:AK68)</f>
        <v>#N/A</v>
      </c>
    </row>
    <row r="69">
      <c r="B69" s="46" t="n">
        <v>61</v>
      </c>
      <c r="C69" s="29" t="inlineStr">
        <is>
          <t>Receita operações de produto acabado (USD; desde 2021)</t>
        </is>
      </c>
      <c r="D69" s="263">
        <f>IF(ISNA(MATCH(D$2,Inputs!$K$4:$AJ$4,0)),NA(),IF(SUMPRODUCT((Inputs!$A$5:$A$130=$B69)*ISNUMBER(INDEX(Inputs!$K$5:$AJ$130,0,MATCH(D$2,Inputs!$K$4:$AJ$4,0))))+SUMPRODUCT((Inputs!$C$5:$C$130=$B69)*ISNUMBER(INDEX(Inputs!$K$5:$AJ$130,0,MATCH(D$2,Inputs!$K$4:$AJ$4,0))))+SUMPRODUCT((Inputs!$E$5:$E$130=$B69)*ISNUMBER(INDEX(Inputs!$K$5:$AJ$130,0,MATCH(D$2,Inputs!$K$4:$AJ$4,0))))=0,NA(),SUMPRODUCT((Inputs!$A$5:$A$130=$B69)*Inputs!$B$5:$B$130*(((Inputs!$G$5:$G$130="moeda")+(Inputs!$G$5:$G$130="acoes"))*Inputs!$B$1+((Inputs!$G$5:$G$130&lt;&gt;"moeda")*(Inputs!$G$5:$G$130&lt;&gt;"acoes")))*INDEX(Inputs!$K$5:$AJ$130,0,MATCH(D$2,Inputs!$K$4:$AJ$4,0)))+SUMPRODUCT((Inputs!$C$5:$C$130=$B69)*Inputs!$D$5:$D$130*(((Inputs!$G$5:$G$130="moeda")+(Inputs!$G$5:$G$130="acoes"))*Inputs!$B$1+((Inputs!$G$5:$G$130&lt;&gt;"moeda")*(Inputs!$G$5:$G$130&lt;&gt;"acoes")))*INDEX(Inputs!$K$5:$AJ$130,0,MATCH(D$2,Inputs!$K$4:$AJ$4,0)))+SUMPRODUCT((Inputs!$E$5:$E$130=$B69)*Inputs!$F$5:$F$130*(((Inputs!$G$5:$G$130="moeda")+(Inputs!$G$5:$G$130="acoes"))*Inputs!$B$1+((Inputs!$G$5:$G$130&lt;&gt;"moeda")*(Inputs!$G$5:$G$130&lt;&gt;"acoes")))*INDEX(Inputs!$K$5:$AJ$130,0,MATCH(D$2,Inputs!$K$4:$AJ$4,0)))))</f>
        <v>4038</v>
      </c>
      <c r="E69" s="263">
        <f>IF(ISNA(MATCH(E$2,Inputs!$K$4:$AJ$4,0)),NA(),IF(SUMPRODUCT((Inputs!$A$5:$A$130=$B69)*ISNUMBER(INDEX(Inputs!$K$5:$AJ$130,0,MATCH(E$2,Inputs!$K$4:$AJ$4,0))))+SUMPRODUCT((Inputs!$C$5:$C$130=$B69)*ISNUMBER(INDEX(Inputs!$K$5:$AJ$130,0,MATCH(E$2,Inputs!$K$4:$AJ$4,0))))+SUMPRODUCT((Inputs!$E$5:$E$130=$B69)*ISNUMBER(INDEX(Inputs!$K$5:$AJ$130,0,MATCH(E$2,Inputs!$K$4:$AJ$4,0))))=0,NA(),SUMPRODUCT((Inputs!$A$5:$A$130=$B69)*Inputs!$B$5:$B$130*(((Inputs!$G$5:$G$130="moeda")+(Inputs!$G$5:$G$130="acoes"))*Inputs!$B$1+((Inputs!$G$5:$G$130&lt;&gt;"moeda")*(Inputs!$G$5:$G$130&lt;&gt;"acoes")))*INDEX(Inputs!$K$5:$AJ$130,0,MATCH(E$2,Inputs!$K$4:$AJ$4,0)))+SUMPRODUCT((Inputs!$C$5:$C$130=$B69)*Inputs!$D$5:$D$130*(((Inputs!$G$5:$G$130="moeda")+(Inputs!$G$5:$G$130="acoes"))*Inputs!$B$1+((Inputs!$G$5:$G$130&lt;&gt;"moeda")*(Inputs!$G$5:$G$130&lt;&gt;"acoes")))*INDEX(Inputs!$K$5:$AJ$130,0,MATCH(E$2,Inputs!$K$4:$AJ$4,0)))+SUMPRODUCT((Inputs!$E$5:$E$130=$B69)*Inputs!$F$5:$F$130*(((Inputs!$G$5:$G$130="moeda")+(Inputs!$G$5:$G$130="acoes"))*Inputs!$B$1+((Inputs!$G$5:$G$130&lt;&gt;"moeda")*(Inputs!$G$5:$G$130&lt;&gt;"acoes")))*INDEX(Inputs!$K$5:$AJ$130,0,MATCH(E$2,Inputs!$K$4:$AJ$4,0)))))</f>
        <v>4135</v>
      </c>
      <c r="F69" s="263">
        <f>IF(ISNA(MATCH(F$2,Inputs!$K$4:$AJ$4,0)),NA(),IF(SUMPRODUCT((Inputs!$A$5:$A$130=$B69)*ISNUMBER(INDEX(Inputs!$K$5:$AJ$130,0,MATCH(F$2,Inputs!$K$4:$AJ$4,0))))+SUMPRODUCT((Inputs!$C$5:$C$130=$B69)*ISNUMBER(INDEX(Inputs!$K$5:$AJ$130,0,MATCH(F$2,Inputs!$K$4:$AJ$4,0))))+SUMPRODUCT((Inputs!$E$5:$E$130=$B69)*ISNUMBER(INDEX(Inputs!$K$5:$AJ$130,0,MATCH(F$2,Inputs!$K$4:$AJ$4,0))))=0,NA(),SUMPRODUCT((Inputs!$A$5:$A$130=$B69)*Inputs!$B$5:$B$130*(((Inputs!$G$5:$G$130="moeda")+(Inputs!$G$5:$G$130="acoes"))*Inputs!$B$1+((Inputs!$G$5:$G$130&lt;&gt;"moeda")*(Inputs!$G$5:$G$130&lt;&gt;"acoes")))*INDEX(Inputs!$K$5:$AJ$130,0,MATCH(F$2,Inputs!$K$4:$AJ$4,0)))+SUMPRODUCT((Inputs!$C$5:$C$130=$B69)*Inputs!$D$5:$D$130*(((Inputs!$G$5:$G$130="moeda")+(Inputs!$G$5:$G$130="acoes"))*Inputs!$B$1+((Inputs!$G$5:$G$130&lt;&gt;"moeda")*(Inputs!$G$5:$G$130&lt;&gt;"acoes")))*INDEX(Inputs!$K$5:$AJ$130,0,MATCH(F$2,Inputs!$K$4:$AJ$4,0)))+SUMPRODUCT((Inputs!$E$5:$E$130=$B69)*Inputs!$F$5:$F$130*(((Inputs!$G$5:$G$130="moeda")+(Inputs!$G$5:$G$130="acoes"))*Inputs!$B$1+((Inputs!$G$5:$G$130&lt;&gt;"moeda")*(Inputs!$G$5:$G$130&lt;&gt;"acoes")))*INDEX(Inputs!$K$5:$AJ$130,0,MATCH(F$2,Inputs!$K$4:$AJ$4,0)))))</f>
        <v>4171</v>
      </c>
      <c r="G69" s="263" t="e">
        <f>IF(ISNA(MATCH(G$2,Inputs!$K$4:$AJ$4,0)),NA(),IF(SUMPRODUCT((Inputs!$A$5:$A$130=$B69)*ISNUMBER(INDEX(Inputs!$K$5:$AJ$130,0,MATCH(G$2,Inputs!$K$4:$AJ$4,0))))+SUMPRODUCT((Inputs!$C$5:$C$130=$B69)*ISNUMBER(INDEX(Inputs!$K$5:$AJ$130,0,MATCH(G$2,Inputs!$K$4:$AJ$4,0))))+SUMPRODUCT((Inputs!$E$5:$E$130=$B69)*ISNUMBER(INDEX(Inputs!$K$5:$AJ$130,0,MATCH(G$2,Inputs!$K$4:$AJ$4,0))))=0,NA(),SUMPRODUCT((Inputs!$A$5:$A$130=$B69)*Inputs!$B$5:$B$130*(((Inputs!$G$5:$G$130="moeda")+(Inputs!$G$5:$G$130="acoes"))*Inputs!$B$1+((Inputs!$G$5:$G$130&lt;&gt;"moeda")*(Inputs!$G$5:$G$130&lt;&gt;"acoes")))*INDEX(Inputs!$K$5:$AJ$130,0,MATCH(G$2,Inputs!$K$4:$AJ$4,0)))+SUMPRODUCT((Inputs!$C$5:$C$130=$B69)*Inputs!$D$5:$D$130*(((Inputs!$G$5:$G$130="moeda")+(Inputs!$G$5:$G$130="acoes"))*Inputs!$B$1+((Inputs!$G$5:$G$130&lt;&gt;"moeda")*(Inputs!$G$5:$G$130&lt;&gt;"acoes")))*INDEX(Inputs!$K$5:$AJ$130,0,MATCH(G$2,Inputs!$K$4:$AJ$4,0)))+SUMPRODUCT((Inputs!$E$5:$E$130=$B69)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69" s="264" t="e">
        <f>SUM(D69:G69)</f>
        <v>#N/A</v>
      </c>
      <c r="I69" s="263">
        <f>IF(ISNA(MATCH(I$2,Inputs!$K$4:$AJ$4,0)),NA(),IF(SUMPRODUCT((Inputs!$A$5:$A$130=$B69)*ISNUMBER(INDEX(Inputs!$K$5:$AJ$130,0,MATCH(I$2,Inputs!$K$4:$AJ$4,0))))+SUMPRODUCT((Inputs!$C$5:$C$130=$B69)*ISNUMBER(INDEX(Inputs!$K$5:$AJ$130,0,MATCH(I$2,Inputs!$K$4:$AJ$4,0))))+SUMPRODUCT((Inputs!$E$5:$E$130=$B69)*ISNUMBER(INDEX(Inputs!$K$5:$AJ$130,0,MATCH(I$2,Inputs!$K$4:$AJ$4,0))))=0,NA(),SUMPRODUCT((Inputs!$A$5:$A$130=$B69)*Inputs!$B$5:$B$130*(((Inputs!$G$5:$G$130="moeda")+(Inputs!$G$5:$G$130="acoes"))*Inputs!$B$1+((Inputs!$G$5:$G$130&lt;&gt;"moeda")*(Inputs!$G$5:$G$130&lt;&gt;"acoes")))*INDEX(Inputs!$K$5:$AJ$130,0,MATCH(I$2,Inputs!$K$4:$AJ$4,0)))+SUMPRODUCT((Inputs!$C$5:$C$130=$B69)*Inputs!$D$5:$D$130*(((Inputs!$G$5:$G$130="moeda")+(Inputs!$G$5:$G$130="acoes"))*Inputs!$B$1+((Inputs!$G$5:$G$130&lt;&gt;"moeda")*(Inputs!$G$5:$G$130&lt;&gt;"acoes")))*INDEX(Inputs!$K$5:$AJ$130,0,MATCH(I$2,Inputs!$K$4:$AJ$4,0)))+SUMPRODUCT((Inputs!$E$5:$E$130=$B69)*Inputs!$F$5:$F$130*(((Inputs!$G$5:$G$130="moeda")+(Inputs!$G$5:$G$130="acoes"))*Inputs!$B$1+((Inputs!$G$5:$G$130&lt;&gt;"moeda")*(Inputs!$G$5:$G$130&lt;&gt;"acoes")))*INDEX(Inputs!$K$5:$AJ$130,0,MATCH(I$2,Inputs!$K$4:$AJ$4,0)))))</f>
        <v>4767</v>
      </c>
      <c r="J69" s="263">
        <f>IF(ISNA(MATCH(J$2,Inputs!$K$4:$AJ$4,0)),NA(),IF(SUMPRODUCT((Inputs!$A$5:$A$130=$B69)*ISNUMBER(INDEX(Inputs!$K$5:$AJ$130,0,MATCH(J$2,Inputs!$K$4:$AJ$4,0))))+SUMPRODUCT((Inputs!$C$5:$C$130=$B69)*ISNUMBER(INDEX(Inputs!$K$5:$AJ$130,0,MATCH(J$2,Inputs!$K$4:$AJ$4,0))))+SUMPRODUCT((Inputs!$E$5:$E$130=$B69)*ISNUMBER(INDEX(Inputs!$K$5:$AJ$130,0,MATCH(J$2,Inputs!$K$4:$AJ$4,0))))=0,NA(),SUMPRODUCT((Inputs!$A$5:$A$130=$B69)*Inputs!$B$5:$B$130*(((Inputs!$G$5:$G$130="moeda")+(Inputs!$G$5:$G$130="acoes"))*Inputs!$B$1+((Inputs!$G$5:$G$130&lt;&gt;"moeda")*(Inputs!$G$5:$G$130&lt;&gt;"acoes")))*INDEX(Inputs!$K$5:$AJ$130,0,MATCH(J$2,Inputs!$K$4:$AJ$4,0)))+SUMPRODUCT((Inputs!$C$5:$C$130=$B69)*Inputs!$D$5:$D$130*(((Inputs!$G$5:$G$130="moeda")+(Inputs!$G$5:$G$130="acoes"))*Inputs!$B$1+((Inputs!$G$5:$G$130&lt;&gt;"moeda")*(Inputs!$G$5:$G$130&lt;&gt;"acoes")))*INDEX(Inputs!$K$5:$AJ$130,0,MATCH(J$2,Inputs!$K$4:$AJ$4,0)))+SUMPRODUCT((Inputs!$E$5:$E$130=$B69)*Inputs!$F$5:$F$130*(((Inputs!$G$5:$G$130="moeda")+(Inputs!$G$5:$G$130="acoes"))*Inputs!$B$1+((Inputs!$G$5:$G$130&lt;&gt;"moeda")*(Inputs!$G$5:$G$130&lt;&gt;"acoes")))*INDEX(Inputs!$K$5:$AJ$130,0,MATCH(J$2,Inputs!$K$4:$AJ$4,0)))))</f>
        <v>4960</v>
      </c>
      <c r="K69" s="263">
        <f>IF(ISNA(MATCH(K$2,Inputs!$K$4:$AJ$4,0)),NA(),IF(SUMPRODUCT((Inputs!$A$5:$A$130=$B69)*ISNUMBER(INDEX(Inputs!$K$5:$AJ$130,0,MATCH(K$2,Inputs!$K$4:$AJ$4,0))))+SUMPRODUCT((Inputs!$C$5:$C$130=$B69)*ISNUMBER(INDEX(Inputs!$K$5:$AJ$130,0,MATCH(K$2,Inputs!$K$4:$AJ$4,0))))+SUMPRODUCT((Inputs!$E$5:$E$130=$B69)*ISNUMBER(INDEX(Inputs!$K$5:$AJ$130,0,MATCH(K$2,Inputs!$K$4:$AJ$4,0))))=0,NA(),SUMPRODUCT((Inputs!$A$5:$A$130=$B69)*Inputs!$B$5:$B$130*(((Inputs!$G$5:$G$130="moeda")+(Inputs!$G$5:$G$130="acoes"))*Inputs!$B$1+((Inputs!$G$5:$G$130&lt;&gt;"moeda")*(Inputs!$G$5:$G$130&lt;&gt;"acoes")))*INDEX(Inputs!$K$5:$AJ$130,0,MATCH(K$2,Inputs!$K$4:$AJ$4,0)))+SUMPRODUCT((Inputs!$C$5:$C$130=$B69)*Inputs!$D$5:$D$130*(((Inputs!$G$5:$G$130="moeda")+(Inputs!$G$5:$G$130="acoes"))*Inputs!$B$1+((Inputs!$G$5:$G$130&lt;&gt;"moeda")*(Inputs!$G$5:$G$130&lt;&gt;"acoes")))*INDEX(Inputs!$K$5:$AJ$130,0,MATCH(K$2,Inputs!$K$4:$AJ$4,0)))+SUMPRODUCT((Inputs!$E$5:$E$130=$B69)*Inputs!$F$5:$F$130*(((Inputs!$G$5:$G$130="moeda")+(Inputs!$G$5:$G$130="acoes"))*Inputs!$B$1+((Inputs!$G$5:$G$130&lt;&gt;"moeda")*(Inputs!$G$5:$G$130&lt;&gt;"acoes")))*INDEX(Inputs!$K$5:$AJ$130,0,MATCH(K$2,Inputs!$K$4:$AJ$4,0)))))</f>
        <v>4489</v>
      </c>
      <c r="L69" s="263">
        <f>IF(ISNA(MATCH(L$2,Inputs!$K$4:$AJ$4,0)),NA(),IF(SUMPRODUCT((Inputs!$A$5:$A$130=$B69)*ISNUMBER(INDEX(Inputs!$K$5:$AJ$130,0,MATCH(L$2,Inputs!$K$4:$AJ$4,0))))+SUMPRODUCT((Inputs!$C$5:$C$130=$B69)*ISNUMBER(INDEX(Inputs!$K$5:$AJ$130,0,MATCH(L$2,Inputs!$K$4:$AJ$4,0))))+SUMPRODUCT((Inputs!$E$5:$E$130=$B69)*ISNUMBER(INDEX(Inputs!$K$5:$AJ$130,0,MATCH(L$2,Inputs!$K$4:$AJ$4,0))))=0,NA(),SUMPRODUCT((Inputs!$A$5:$A$130=$B69)*Inputs!$B$5:$B$130*(((Inputs!$G$5:$G$130="moeda")+(Inputs!$G$5:$G$130="acoes"))*Inputs!$B$1+((Inputs!$G$5:$G$130&lt;&gt;"moeda")*(Inputs!$G$5:$G$130&lt;&gt;"acoes")))*INDEX(Inputs!$K$5:$AJ$130,0,MATCH(L$2,Inputs!$K$4:$AJ$4,0)))+SUMPRODUCT((Inputs!$C$5:$C$130=$B69)*Inputs!$D$5:$D$130*(((Inputs!$G$5:$G$130="moeda")+(Inputs!$G$5:$G$130="acoes"))*Inputs!$B$1+((Inputs!$G$5:$G$130&lt;&gt;"moeda")*(Inputs!$G$5:$G$130&lt;&gt;"acoes")))*INDEX(Inputs!$K$5:$AJ$130,0,MATCH(L$2,Inputs!$K$4:$AJ$4,0)))+SUMPRODUCT((Inputs!$E$5:$E$130=$B69)*Inputs!$F$5:$F$130*(((Inputs!$G$5:$G$130="moeda")+(Inputs!$G$5:$G$130="acoes"))*Inputs!$B$1+((Inputs!$G$5:$G$130&lt;&gt;"moeda")*(Inputs!$G$5:$G$130&lt;&gt;"acoes")))*INDEX(Inputs!$K$5:$AJ$130,0,MATCH(L$2,Inputs!$K$4:$AJ$4,0)))))</f>
        <v>4717</v>
      </c>
      <c r="M69" s="264">
        <f>SUM(I69:L69)</f>
        <v>18933</v>
      </c>
      <c r="N69" s="263">
        <f>IF(ISNA(MATCH(N$2,Inputs!$K$4:$AJ$4,0)),NA(),IF(SUMPRODUCT((Inputs!$A$5:$A$130=$B69)*ISNUMBER(INDEX(Inputs!$K$5:$AJ$130,0,MATCH(N$2,Inputs!$K$4:$AJ$4,0))))+SUMPRODUCT((Inputs!$C$5:$C$130=$B69)*ISNUMBER(INDEX(Inputs!$K$5:$AJ$130,0,MATCH(N$2,Inputs!$K$4:$AJ$4,0))))+SUMPRODUCT((Inputs!$E$5:$E$130=$B69)*ISNUMBER(INDEX(Inputs!$K$5:$AJ$130,0,MATCH(N$2,Inputs!$K$4:$AJ$4,0))))=0,NA(),SUMPRODUCT((Inputs!$A$5:$A$130=$B69)*Inputs!$B$5:$B$130*(((Inputs!$G$5:$G$130="moeda")+(Inputs!$G$5:$G$130="acoes"))*Inputs!$B$1+((Inputs!$G$5:$G$130&lt;&gt;"moeda")*(Inputs!$G$5:$G$130&lt;&gt;"acoes")))*INDEX(Inputs!$K$5:$AJ$130,0,MATCH(N$2,Inputs!$K$4:$AJ$4,0)))+SUMPRODUCT((Inputs!$C$5:$C$130=$B69)*Inputs!$D$5:$D$130*(((Inputs!$G$5:$G$130="moeda")+(Inputs!$G$5:$G$130="acoes"))*Inputs!$B$1+((Inputs!$G$5:$G$130&lt;&gt;"moeda")*(Inputs!$G$5:$G$130&lt;&gt;"acoes")))*INDEX(Inputs!$K$5:$AJ$130,0,MATCH(N$2,Inputs!$K$4:$AJ$4,0)))+SUMPRODUCT((Inputs!$E$5:$E$130=$B69)*Inputs!$F$5:$F$130*(((Inputs!$G$5:$G$130="moeda")+(Inputs!$G$5:$G$130="acoes"))*Inputs!$B$1+((Inputs!$G$5:$G$130&lt;&gt;"moeda")*(Inputs!$G$5:$G$130&lt;&gt;"acoes")))*INDEX(Inputs!$K$5:$AJ$130,0,MATCH(N$2,Inputs!$K$4:$AJ$4,0)))))</f>
        <v>4647</v>
      </c>
      <c r="O69" s="263">
        <f>IF(ISNA(MATCH(O$2,Inputs!$K$4:$AJ$4,0)),NA(),IF(SUMPRODUCT((Inputs!$A$5:$A$130=$B69)*ISNUMBER(INDEX(Inputs!$K$5:$AJ$130,0,MATCH(O$2,Inputs!$K$4:$AJ$4,0))))+SUMPRODUCT((Inputs!$C$5:$C$130=$B69)*ISNUMBER(INDEX(Inputs!$K$5:$AJ$130,0,MATCH(O$2,Inputs!$K$4:$AJ$4,0))))+SUMPRODUCT((Inputs!$E$5:$E$130=$B69)*ISNUMBER(INDEX(Inputs!$K$5:$AJ$130,0,MATCH(O$2,Inputs!$K$4:$AJ$4,0))))=0,NA(),SUMPRODUCT((Inputs!$A$5:$A$130=$B69)*Inputs!$B$5:$B$130*(((Inputs!$G$5:$G$130="moeda")+(Inputs!$G$5:$G$130="acoes"))*Inputs!$B$1+((Inputs!$G$5:$G$130&lt;&gt;"moeda")*(Inputs!$G$5:$G$130&lt;&gt;"acoes")))*INDEX(Inputs!$K$5:$AJ$130,0,MATCH(O$2,Inputs!$K$4:$AJ$4,0)))+SUMPRODUCT((Inputs!$C$5:$C$130=$B69)*Inputs!$D$5:$D$130*(((Inputs!$G$5:$G$130="moeda")+(Inputs!$G$5:$G$130="acoes"))*Inputs!$B$1+((Inputs!$G$5:$G$130&lt;&gt;"moeda")*(Inputs!$G$5:$G$130&lt;&gt;"acoes")))*INDEX(Inputs!$K$5:$AJ$130,0,MATCH(O$2,Inputs!$K$4:$AJ$4,0)))+SUMPRODUCT((Inputs!$E$5:$E$130=$B69)*Inputs!$F$5:$F$130*(((Inputs!$G$5:$G$130="moeda")+(Inputs!$G$5:$G$130="acoes"))*Inputs!$B$1+((Inputs!$G$5:$G$130&lt;&gt;"moeda")*(Inputs!$G$5:$G$130&lt;&gt;"acoes")))*INDEX(Inputs!$K$5:$AJ$130,0,MATCH(O$2,Inputs!$K$4:$AJ$4,0)))))</f>
        <v>4922</v>
      </c>
      <c r="P69" s="263">
        <f>IF(ISNA(MATCH(P$2,Inputs!$K$4:$AJ$4,0)),NA(),IF(SUMPRODUCT((Inputs!$A$5:$A$130=$B69)*ISNUMBER(INDEX(Inputs!$K$5:$AJ$130,0,MATCH(P$2,Inputs!$K$4:$AJ$4,0))))+SUMPRODUCT((Inputs!$C$5:$C$130=$B69)*ISNUMBER(INDEX(Inputs!$K$5:$AJ$130,0,MATCH(P$2,Inputs!$K$4:$AJ$4,0))))+SUMPRODUCT((Inputs!$E$5:$E$130=$B69)*ISNUMBER(INDEX(Inputs!$K$5:$AJ$130,0,MATCH(P$2,Inputs!$K$4:$AJ$4,0))))=0,NA(),SUMPRODUCT((Inputs!$A$5:$A$130=$B69)*Inputs!$B$5:$B$130*(((Inputs!$G$5:$G$130="moeda")+(Inputs!$G$5:$G$130="acoes"))*Inputs!$B$1+((Inputs!$G$5:$G$130&lt;&gt;"moeda")*(Inputs!$G$5:$G$130&lt;&gt;"acoes")))*INDEX(Inputs!$K$5:$AJ$130,0,MATCH(P$2,Inputs!$K$4:$AJ$4,0)))+SUMPRODUCT((Inputs!$C$5:$C$130=$B69)*Inputs!$D$5:$D$130*(((Inputs!$G$5:$G$130="moeda")+(Inputs!$G$5:$G$130="acoes"))*Inputs!$B$1+((Inputs!$G$5:$G$130&lt;&gt;"moeda")*(Inputs!$G$5:$G$130&lt;&gt;"acoes")))*INDEX(Inputs!$K$5:$AJ$130,0,MATCH(P$2,Inputs!$K$4:$AJ$4,0)))+SUMPRODUCT((Inputs!$E$5:$E$130=$B69)*Inputs!$F$5:$F$130*(((Inputs!$G$5:$G$130="moeda")+(Inputs!$G$5:$G$130="acoes"))*Inputs!$B$1+((Inputs!$G$5:$G$130&lt;&gt;"moeda")*(Inputs!$G$5:$G$130&lt;&gt;"acoes")))*INDEX(Inputs!$K$5:$AJ$130,0,MATCH(P$2,Inputs!$K$4:$AJ$4,0)))))</f>
        <v>4741</v>
      </c>
      <c r="Q69" s="263">
        <f>IF(ISNA(MATCH(Q$2,Inputs!$K$4:$AJ$4,0)),NA(),IF(SUMPRODUCT((Inputs!$A$5:$A$130=$B69)*ISNUMBER(INDEX(Inputs!$K$5:$AJ$130,0,MATCH(Q$2,Inputs!$K$4:$AJ$4,0))))+SUMPRODUCT((Inputs!$C$5:$C$130=$B69)*ISNUMBER(INDEX(Inputs!$K$5:$AJ$130,0,MATCH(Q$2,Inputs!$K$4:$AJ$4,0))))+SUMPRODUCT((Inputs!$E$5:$E$130=$B69)*ISNUMBER(INDEX(Inputs!$K$5:$AJ$130,0,MATCH(Q$2,Inputs!$K$4:$AJ$4,0))))=0,NA(),SUMPRODUCT((Inputs!$A$5:$A$130=$B69)*Inputs!$B$5:$B$130*(((Inputs!$G$5:$G$130="moeda")+(Inputs!$G$5:$G$130="acoes"))*Inputs!$B$1+((Inputs!$G$5:$G$130&lt;&gt;"moeda")*(Inputs!$G$5:$G$130&lt;&gt;"acoes")))*INDEX(Inputs!$K$5:$AJ$130,0,MATCH(Q$2,Inputs!$K$4:$AJ$4,0)))+SUMPRODUCT((Inputs!$C$5:$C$130=$B69)*Inputs!$D$5:$D$130*(((Inputs!$G$5:$G$130="moeda")+(Inputs!$G$5:$G$130="acoes"))*Inputs!$B$1+((Inputs!$G$5:$G$130&lt;&gt;"moeda")*(Inputs!$G$5:$G$130&lt;&gt;"acoes")))*INDEX(Inputs!$K$5:$AJ$130,0,MATCH(Q$2,Inputs!$K$4:$AJ$4,0)))+SUMPRODUCT((Inputs!$E$5:$E$130=$B69)*Inputs!$F$5:$F$130*(((Inputs!$G$5:$G$130="moeda")+(Inputs!$G$5:$G$130="acoes"))*Inputs!$B$1+((Inputs!$G$5:$G$130&lt;&gt;"moeda")*(Inputs!$G$5:$G$130&lt;&gt;"acoes")))*INDEX(Inputs!$K$5:$AJ$130,0,MATCH(Q$2,Inputs!$K$4:$AJ$4,0)))))</f>
        <v>4905</v>
      </c>
      <c r="R69" s="264">
        <f>SUM(N69:Q69)</f>
        <v>19215</v>
      </c>
      <c r="S69" s="263">
        <f>IF(ISNA(MATCH(S$2,Inputs!$K$4:$AJ$4,0)),NA(),IF(SUMPRODUCT((Inputs!$A$5:$A$130=$B69)*ISNUMBER(INDEX(Inputs!$K$5:$AJ$130,0,MATCH(S$2,Inputs!$K$4:$AJ$4,0))))+SUMPRODUCT((Inputs!$C$5:$C$130=$B69)*ISNUMBER(INDEX(Inputs!$K$5:$AJ$130,0,MATCH(S$2,Inputs!$K$4:$AJ$4,0))))+SUMPRODUCT((Inputs!$E$5:$E$130=$B69)*ISNUMBER(INDEX(Inputs!$K$5:$AJ$130,0,MATCH(S$2,Inputs!$K$4:$AJ$4,0))))=0,NA(),SUMPRODUCT((Inputs!$A$5:$A$130=$B69)*Inputs!$B$5:$B$130*(((Inputs!$G$5:$G$130="moeda")+(Inputs!$G$5:$G$130="acoes"))*Inputs!$B$1+((Inputs!$G$5:$G$130&lt;&gt;"moeda")*(Inputs!$G$5:$G$130&lt;&gt;"acoes")))*INDEX(Inputs!$K$5:$AJ$130,0,MATCH(S$2,Inputs!$K$4:$AJ$4,0)))+SUMPRODUCT((Inputs!$C$5:$C$130=$B69)*Inputs!$D$5:$D$130*(((Inputs!$G$5:$G$130="moeda")+(Inputs!$G$5:$G$130="acoes"))*Inputs!$B$1+((Inputs!$G$5:$G$130&lt;&gt;"moeda")*(Inputs!$G$5:$G$130&lt;&gt;"acoes")))*INDEX(Inputs!$K$5:$AJ$130,0,MATCH(S$2,Inputs!$K$4:$AJ$4,0)))+SUMPRODUCT((Inputs!$E$5:$E$130=$B69)*Inputs!$F$5:$F$130*(((Inputs!$G$5:$G$130="moeda")+(Inputs!$G$5:$G$130="acoes"))*Inputs!$B$1+((Inputs!$G$5:$G$130&lt;&gt;"moeda")*(Inputs!$G$5:$G$130&lt;&gt;"acoes")))*INDEX(Inputs!$K$5:$AJ$130,0,MATCH(S$2,Inputs!$K$4:$AJ$4,0)))))</f>
        <v>4645</v>
      </c>
      <c r="T69" s="263">
        <f>IF(ISNA(MATCH(T$2,Inputs!$K$4:$AJ$4,0)),NA(),IF(SUMPRODUCT((Inputs!$A$5:$A$130=$B69)*ISNUMBER(INDEX(Inputs!$K$5:$AJ$130,0,MATCH(T$2,Inputs!$K$4:$AJ$4,0))))+SUMPRODUCT((Inputs!$C$5:$C$130=$B69)*ISNUMBER(INDEX(Inputs!$K$5:$AJ$130,0,MATCH(T$2,Inputs!$K$4:$AJ$4,0))))+SUMPRODUCT((Inputs!$E$5:$E$130=$B69)*ISNUMBER(INDEX(Inputs!$K$5:$AJ$130,0,MATCH(T$2,Inputs!$K$4:$AJ$4,0))))=0,NA(),SUMPRODUCT((Inputs!$A$5:$A$130=$B69)*Inputs!$B$5:$B$130*(((Inputs!$G$5:$G$130="moeda")+(Inputs!$G$5:$G$130="acoes"))*Inputs!$B$1+((Inputs!$G$5:$G$130&lt;&gt;"moeda")*(Inputs!$G$5:$G$130&lt;&gt;"acoes")))*INDEX(Inputs!$K$5:$AJ$130,0,MATCH(T$2,Inputs!$K$4:$AJ$4,0)))+SUMPRODUCT((Inputs!$C$5:$C$130=$B69)*Inputs!$D$5:$D$130*(((Inputs!$G$5:$G$130="moeda")+(Inputs!$G$5:$G$130="acoes"))*Inputs!$B$1+((Inputs!$G$5:$G$130&lt;&gt;"moeda")*(Inputs!$G$5:$G$130&lt;&gt;"acoes")))*INDEX(Inputs!$K$5:$AJ$130,0,MATCH(T$2,Inputs!$K$4:$AJ$4,0)))+SUMPRODUCT((Inputs!$E$5:$E$130=$B69)*Inputs!$F$5:$F$130*(((Inputs!$G$5:$G$130="moeda")+(Inputs!$G$5:$G$130="acoes"))*Inputs!$B$1+((Inputs!$G$5:$G$130&lt;&gt;"moeda")*(Inputs!$G$5:$G$130&lt;&gt;"acoes")))*INDEX(Inputs!$K$5:$AJ$130,0,MATCH(T$2,Inputs!$K$4:$AJ$4,0)))))</f>
        <v>4869</v>
      </c>
      <c r="U69" s="263">
        <f>IF(ISNA(MATCH(U$2,Inputs!$K$4:$AJ$4,0)),NA(),IF(SUMPRODUCT((Inputs!$A$5:$A$130=$B69)*ISNUMBER(INDEX(Inputs!$K$5:$AJ$130,0,MATCH(U$2,Inputs!$K$4:$AJ$4,0))))+SUMPRODUCT((Inputs!$C$5:$C$130=$B69)*ISNUMBER(INDEX(Inputs!$K$5:$AJ$130,0,MATCH(U$2,Inputs!$K$4:$AJ$4,0))))+SUMPRODUCT((Inputs!$E$5:$E$130=$B69)*ISNUMBER(INDEX(Inputs!$K$5:$AJ$130,0,MATCH(U$2,Inputs!$K$4:$AJ$4,0))))=0,NA(),SUMPRODUCT((Inputs!$A$5:$A$130=$B69)*Inputs!$B$5:$B$130*(((Inputs!$G$5:$G$130="moeda")+(Inputs!$G$5:$G$130="acoes"))*Inputs!$B$1+((Inputs!$G$5:$G$130&lt;&gt;"moeda")*(Inputs!$G$5:$G$130&lt;&gt;"acoes")))*INDEX(Inputs!$K$5:$AJ$130,0,MATCH(U$2,Inputs!$K$4:$AJ$4,0)))+SUMPRODUCT((Inputs!$C$5:$C$130=$B69)*Inputs!$D$5:$D$130*(((Inputs!$G$5:$G$130="moeda")+(Inputs!$G$5:$G$130="acoes"))*Inputs!$B$1+((Inputs!$G$5:$G$130&lt;&gt;"moeda")*(Inputs!$G$5:$G$130&lt;&gt;"acoes")))*INDEX(Inputs!$K$5:$AJ$130,0,MATCH(U$2,Inputs!$K$4:$AJ$4,0)))+SUMPRODUCT((Inputs!$E$5:$E$130=$B69)*Inputs!$F$5:$F$130*(((Inputs!$G$5:$G$130="moeda")+(Inputs!$G$5:$G$130="acoes"))*Inputs!$B$1+((Inputs!$G$5:$G$130&lt;&gt;"moeda")*(Inputs!$G$5:$G$130&lt;&gt;"acoes")))*INDEX(Inputs!$K$5:$AJ$130,0,MATCH(U$2,Inputs!$K$4:$AJ$4,0)))))</f>
        <v>4796</v>
      </c>
      <c r="V69" s="263">
        <f>IF(ISNA(MATCH(V$2,Inputs!$K$4:$AJ$4,0)),NA(),IF(SUMPRODUCT((Inputs!$A$5:$A$130=$B69)*ISNUMBER(INDEX(Inputs!$K$5:$AJ$130,0,MATCH(V$2,Inputs!$K$4:$AJ$4,0))))+SUMPRODUCT((Inputs!$C$5:$C$130=$B69)*ISNUMBER(INDEX(Inputs!$K$5:$AJ$130,0,MATCH(V$2,Inputs!$K$4:$AJ$4,0))))+SUMPRODUCT((Inputs!$E$5:$E$130=$B69)*ISNUMBER(INDEX(Inputs!$K$5:$AJ$130,0,MATCH(V$2,Inputs!$K$4:$AJ$4,0))))=0,NA(),SUMPRODUCT((Inputs!$A$5:$A$130=$B69)*Inputs!$B$5:$B$130*(((Inputs!$G$5:$G$130="moeda")+(Inputs!$G$5:$G$130="acoes"))*Inputs!$B$1+((Inputs!$G$5:$G$130&lt;&gt;"moeda")*(Inputs!$G$5:$G$130&lt;&gt;"acoes")))*INDEX(Inputs!$K$5:$AJ$130,0,MATCH(V$2,Inputs!$K$4:$AJ$4,0)))+SUMPRODUCT((Inputs!$C$5:$C$130=$B69)*Inputs!$D$5:$D$130*(((Inputs!$G$5:$G$130="moeda")+(Inputs!$G$5:$G$130="acoes"))*Inputs!$B$1+((Inputs!$G$5:$G$130&lt;&gt;"moeda")*(Inputs!$G$5:$G$130&lt;&gt;"acoes")))*INDEX(Inputs!$K$5:$AJ$130,0,MATCH(V$2,Inputs!$K$4:$AJ$4,0)))+SUMPRODUCT((Inputs!$E$5:$E$130=$B69)*Inputs!$F$5:$F$130*(((Inputs!$G$5:$G$130="moeda")+(Inputs!$G$5:$G$130="acoes"))*Inputs!$B$1+((Inputs!$G$5:$G$130&lt;&gt;"moeda")*(Inputs!$G$5:$G$130&lt;&gt;"acoes")))*INDEX(Inputs!$K$5:$AJ$130,0,MATCH(V$2,Inputs!$K$4:$AJ$4,0)))))</f>
        <v>5026</v>
      </c>
      <c r="W69" s="264">
        <f>SUM(S69:V69)</f>
        <v>19336</v>
      </c>
      <c r="X69" s="263">
        <f>IF(ISNA(MATCH(X$2,Inputs!$K$4:$AJ$4,0)),NA(),IF(SUMPRODUCT((Inputs!$A$5:$A$130=$B69)*ISNUMBER(INDEX(Inputs!$K$5:$AJ$130,0,MATCH(X$2,Inputs!$K$4:$AJ$4,0))))+SUMPRODUCT((Inputs!$C$5:$C$130=$B69)*ISNUMBER(INDEX(Inputs!$K$5:$AJ$130,0,MATCH(X$2,Inputs!$K$4:$AJ$4,0))))+SUMPRODUCT((Inputs!$E$5:$E$130=$B69)*ISNUMBER(INDEX(Inputs!$K$5:$AJ$130,0,MATCH(X$2,Inputs!$K$4:$AJ$4,0))))=0,NA(),SUMPRODUCT((Inputs!$A$5:$A$130=$B69)*Inputs!$B$5:$B$130*(((Inputs!$G$5:$G$130="moeda")+(Inputs!$G$5:$G$130="acoes"))*Inputs!$B$1+((Inputs!$G$5:$G$130&lt;&gt;"moeda")*(Inputs!$G$5:$G$130&lt;&gt;"acoes")))*INDEX(Inputs!$K$5:$AJ$130,0,MATCH(X$2,Inputs!$K$4:$AJ$4,0)))+SUMPRODUCT((Inputs!$C$5:$C$130=$B69)*Inputs!$D$5:$D$130*(((Inputs!$G$5:$G$130="moeda")+(Inputs!$G$5:$G$130="acoes"))*Inputs!$B$1+((Inputs!$G$5:$G$130&lt;&gt;"moeda")*(Inputs!$G$5:$G$130&lt;&gt;"acoes")))*INDEX(Inputs!$K$5:$AJ$130,0,MATCH(X$2,Inputs!$K$4:$AJ$4,0)))+SUMPRODUCT((Inputs!$E$5:$E$130=$B69)*Inputs!$F$5:$F$130*(((Inputs!$G$5:$G$130="moeda")+(Inputs!$G$5:$G$130="acoes"))*Inputs!$B$1+((Inputs!$G$5:$G$130&lt;&gt;"moeda")*(Inputs!$G$5:$G$130&lt;&gt;"acoes")))*INDEX(Inputs!$K$5:$AJ$130,0,MATCH(X$2,Inputs!$K$4:$AJ$4,0)))))</f>
        <v>4535</v>
      </c>
      <c r="Y69" s="263">
        <f>IF(ISNA(MATCH(Y$2,Inputs!$K$4:$AJ$4,0)),NA(),IF(SUMPRODUCT((Inputs!$A$5:$A$130=$B69)*ISNUMBER(INDEX(Inputs!$K$5:$AJ$130,0,MATCH(Y$2,Inputs!$K$4:$AJ$4,0))))+SUMPRODUCT((Inputs!$C$5:$C$130=$B69)*ISNUMBER(INDEX(Inputs!$K$5:$AJ$130,0,MATCH(Y$2,Inputs!$K$4:$AJ$4,0))))+SUMPRODUCT((Inputs!$E$5:$E$130=$B69)*ISNUMBER(INDEX(Inputs!$K$5:$AJ$130,0,MATCH(Y$2,Inputs!$K$4:$AJ$4,0))))=0,NA(),SUMPRODUCT((Inputs!$A$5:$A$130=$B69)*Inputs!$B$5:$B$130*(((Inputs!$G$5:$G$130="moeda")+(Inputs!$G$5:$G$130="acoes"))*Inputs!$B$1+((Inputs!$G$5:$G$130&lt;&gt;"moeda")*(Inputs!$G$5:$G$130&lt;&gt;"acoes")))*INDEX(Inputs!$K$5:$AJ$130,0,MATCH(Y$2,Inputs!$K$4:$AJ$4,0)))+SUMPRODUCT((Inputs!$C$5:$C$130=$B69)*Inputs!$D$5:$D$130*(((Inputs!$G$5:$G$130="moeda")+(Inputs!$G$5:$G$130="acoes"))*Inputs!$B$1+((Inputs!$G$5:$G$130&lt;&gt;"moeda")*(Inputs!$G$5:$G$130&lt;&gt;"acoes")))*INDEX(Inputs!$K$5:$AJ$130,0,MATCH(Y$2,Inputs!$K$4:$AJ$4,0)))+SUMPRODUCT((Inputs!$E$5:$E$130=$B69)*Inputs!$F$5:$F$130*(((Inputs!$G$5:$G$130="moeda")+(Inputs!$G$5:$G$130="acoes"))*Inputs!$B$1+((Inputs!$G$5:$G$130&lt;&gt;"moeda")*(Inputs!$G$5:$G$130&lt;&gt;"acoes")))*INDEX(Inputs!$K$5:$AJ$130,0,MATCH(Y$2,Inputs!$K$4:$AJ$4,0)))))</f>
        <v>4917</v>
      </c>
      <c r="Z69" s="263">
        <f>IF(ISNA(MATCH(Z$2,Inputs!$K$4:$AJ$4,0)),NA(),IF(SUMPRODUCT((Inputs!$A$5:$A$130=$B69)*ISNUMBER(INDEX(Inputs!$K$5:$AJ$130,0,MATCH(Z$2,Inputs!$K$4:$AJ$4,0))))+SUMPRODUCT((Inputs!$C$5:$C$130=$B69)*ISNUMBER(INDEX(Inputs!$K$5:$AJ$130,0,MATCH(Z$2,Inputs!$K$4:$AJ$4,0))))+SUMPRODUCT((Inputs!$E$5:$E$130=$B69)*ISNUMBER(INDEX(Inputs!$K$5:$AJ$130,0,MATCH(Z$2,Inputs!$K$4:$AJ$4,0))))=0,NA(),SUMPRODUCT((Inputs!$A$5:$A$130=$B69)*Inputs!$B$5:$B$130*(((Inputs!$G$5:$G$130="moeda")+(Inputs!$G$5:$G$130="acoes"))*Inputs!$B$1+((Inputs!$G$5:$G$130&lt;&gt;"moeda")*(Inputs!$G$5:$G$130&lt;&gt;"acoes")))*INDEX(Inputs!$K$5:$AJ$130,0,MATCH(Z$2,Inputs!$K$4:$AJ$4,0)))+SUMPRODUCT((Inputs!$C$5:$C$130=$B69)*Inputs!$D$5:$D$130*(((Inputs!$G$5:$G$130="moeda")+(Inputs!$G$5:$G$130="acoes"))*Inputs!$B$1+((Inputs!$G$5:$G$130&lt;&gt;"moeda")*(Inputs!$G$5:$G$130&lt;&gt;"acoes")))*INDEX(Inputs!$K$5:$AJ$130,0,MATCH(Z$2,Inputs!$K$4:$AJ$4,0)))+SUMPRODUCT((Inputs!$E$5:$E$130=$B69)*Inputs!$F$5:$F$130*(((Inputs!$G$5:$G$130="moeda")+(Inputs!$G$5:$G$130="acoes"))*Inputs!$B$1+((Inputs!$G$5:$G$130&lt;&gt;"moeda")*(Inputs!$G$5:$G$130&lt;&gt;"acoes")))*INDEX(Inputs!$K$5:$AJ$130,0,MATCH(Z$2,Inputs!$K$4:$AJ$4,0)))))</f>
        <v>4257</v>
      </c>
      <c r="AA69" s="263">
        <f>IF(ISNA(MATCH(AA$2,Inputs!$K$4:$AJ$4,0)),NA(),IF(SUMPRODUCT((Inputs!$A$5:$A$130=$B69)*ISNUMBER(INDEX(Inputs!$K$5:$AJ$130,0,MATCH(AA$2,Inputs!$K$4:$AJ$4,0))))+SUMPRODUCT((Inputs!$C$5:$C$130=$B69)*ISNUMBER(INDEX(Inputs!$K$5:$AJ$130,0,MATCH(AA$2,Inputs!$K$4:$AJ$4,0))))+SUMPRODUCT((Inputs!$E$5:$E$130=$B69)*ISNUMBER(INDEX(Inputs!$K$5:$AJ$130,0,MATCH(AA$2,Inputs!$K$4:$AJ$4,0))))=0,NA(),SUMPRODUCT((Inputs!$A$5:$A$130=$B69)*Inputs!$B$5:$B$130*(((Inputs!$G$5:$G$130="moeda")+(Inputs!$G$5:$G$130="acoes"))*Inputs!$B$1+((Inputs!$G$5:$G$130&lt;&gt;"moeda")*(Inputs!$G$5:$G$130&lt;&gt;"acoes")))*INDEX(Inputs!$K$5:$AJ$130,0,MATCH(AA$2,Inputs!$K$4:$AJ$4,0)))+SUMPRODUCT((Inputs!$C$5:$C$130=$B69)*Inputs!$D$5:$D$130*(((Inputs!$G$5:$G$130="moeda")+(Inputs!$G$5:$G$130="acoes"))*Inputs!$B$1+((Inputs!$G$5:$G$130&lt;&gt;"moeda")*(Inputs!$G$5:$G$130&lt;&gt;"acoes")))*INDEX(Inputs!$K$5:$AJ$130,0,MATCH(AA$2,Inputs!$K$4:$AJ$4,0)))+SUMPRODUCT((Inputs!$E$5:$E$130=$B69)*Inputs!$F$5:$F$130*(((Inputs!$G$5:$G$130="moeda")+(Inputs!$G$5:$G$130="acoes"))*Inputs!$B$1+((Inputs!$G$5:$G$130&lt;&gt;"moeda")*(Inputs!$G$5:$G$130&lt;&gt;"acoes")))*INDEX(Inputs!$K$5:$AJ$130,0,MATCH(AA$2,Inputs!$K$4:$AJ$4,0)))))</f>
        <v>7030</v>
      </c>
      <c r="AB69" s="264">
        <f>SUM(X69:AA69)</f>
        <v>20739</v>
      </c>
      <c r="AC69" s="263">
        <f>IF(ISNA(MATCH(AC$2,Inputs!$K$4:$AJ$4,0)),NA(),IF(SUMPRODUCT((Inputs!$A$5:$A$130=$B69)*ISNUMBER(INDEX(Inputs!$K$5:$AJ$130,0,MATCH(AC$2,Inputs!$K$4:$AJ$4,0))))+SUMPRODUCT((Inputs!$C$5:$C$130=$B69)*ISNUMBER(INDEX(Inputs!$K$5:$AJ$130,0,MATCH(AC$2,Inputs!$K$4:$AJ$4,0))))+SUMPRODUCT((Inputs!$E$5:$E$130=$B69)*ISNUMBER(INDEX(Inputs!$K$5:$AJ$130,0,MATCH(AC$2,Inputs!$K$4:$AJ$4,0))))=0,NA(),SUMPRODUCT((Inputs!$A$5:$A$130=$B69)*Inputs!$B$5:$B$130*(((Inputs!$G$5:$G$130="moeda")+(Inputs!$G$5:$G$130="acoes"))*Inputs!$B$1+((Inputs!$G$5:$G$130&lt;&gt;"moeda")*(Inputs!$G$5:$G$130&lt;&gt;"acoes")))*INDEX(Inputs!$K$5:$AJ$130,0,MATCH(AC$2,Inputs!$K$4:$AJ$4,0)))+SUMPRODUCT((Inputs!$C$5:$C$130=$B69)*Inputs!$D$5:$D$130*(((Inputs!$G$5:$G$130="moeda")+(Inputs!$G$5:$G$130="acoes"))*Inputs!$B$1+((Inputs!$G$5:$G$130&lt;&gt;"moeda")*(Inputs!$G$5:$G$130&lt;&gt;"acoes")))*INDEX(Inputs!$K$5:$AJ$130,0,MATCH(AC$2,Inputs!$K$4:$AJ$4,0)))+SUMPRODUCT((Inputs!$E$5:$E$130=$B69)*Inputs!$F$5:$F$130*(((Inputs!$G$5:$G$130="moeda")+(Inputs!$G$5:$G$130="acoes"))*Inputs!$B$1+((Inputs!$G$5:$G$130&lt;&gt;"moeda")*(Inputs!$G$5:$G$130&lt;&gt;"acoes")))*INDEX(Inputs!$K$5:$AJ$130,0,MATCH(AC$2,Inputs!$K$4:$AJ$4,0)))))</f>
        <v>5087</v>
      </c>
      <c r="AD69" s="263">
        <f>IF(ISNA(MATCH(AD$2,Inputs!$K$4:$AJ$4,0)),NA(),IF(SUMPRODUCT((Inputs!$A$5:$A$130=$B69)*ISNUMBER(INDEX(Inputs!$K$5:$AJ$130,0,MATCH(AD$2,Inputs!$K$4:$AJ$4,0))))+SUMPRODUCT((Inputs!$C$5:$C$130=$B69)*ISNUMBER(INDEX(Inputs!$K$5:$AJ$130,0,MATCH(AD$2,Inputs!$K$4:$AJ$4,0))))+SUMPRODUCT((Inputs!$E$5:$E$130=$B69)*ISNUMBER(INDEX(Inputs!$K$5:$AJ$130,0,MATCH(AD$2,Inputs!$K$4:$AJ$4,0))))=0,NA(),SUMPRODUCT((Inputs!$A$5:$A$130=$B69)*Inputs!$B$5:$B$130*(((Inputs!$G$5:$G$130="moeda")+(Inputs!$G$5:$G$130="acoes"))*Inputs!$B$1+((Inputs!$G$5:$G$130&lt;&gt;"moeda")*(Inputs!$G$5:$G$130&lt;&gt;"acoes")))*INDEX(Inputs!$K$5:$AJ$130,0,MATCH(AD$2,Inputs!$K$4:$AJ$4,0)))+SUMPRODUCT((Inputs!$C$5:$C$130=$B69)*Inputs!$D$5:$D$130*(((Inputs!$G$5:$G$130="moeda")+(Inputs!$G$5:$G$130="acoes"))*Inputs!$B$1+((Inputs!$G$5:$G$130&lt;&gt;"moeda")*(Inputs!$G$5:$G$130&lt;&gt;"acoes")))*INDEX(Inputs!$K$5:$AJ$130,0,MATCH(AD$2,Inputs!$K$4:$AJ$4,0)))+SUMPRODUCT((Inputs!$E$5:$E$130=$B69)*Inputs!$F$5:$F$130*(((Inputs!$G$5:$G$130="moeda")+(Inputs!$G$5:$G$130="acoes"))*Inputs!$B$1+((Inputs!$G$5:$G$130&lt;&gt;"moeda")*(Inputs!$G$5:$G$130&lt;&gt;"acoes")))*INDEX(Inputs!$K$5:$AJ$130,0,MATCH(AD$2,Inputs!$K$4:$AJ$4,0)))))</f>
        <v>5234</v>
      </c>
      <c r="AE69" s="263" t="e">
        <f>IF(ISNA(MATCH(AE$2,Inputs!$K$4:$AJ$4,0)),NA(),IF(SUMPRODUCT((Inputs!$A$5:$A$130=$B69)*ISNUMBER(INDEX(Inputs!$K$5:$AJ$130,0,MATCH(AE$2,Inputs!$K$4:$AJ$4,0))))+SUMPRODUCT((Inputs!$C$5:$C$130=$B69)*ISNUMBER(INDEX(Inputs!$K$5:$AJ$130,0,MATCH(AE$2,Inputs!$K$4:$AJ$4,0))))+SUMPRODUCT((Inputs!$E$5:$E$130=$B69)*ISNUMBER(INDEX(Inputs!$K$5:$AJ$130,0,MATCH(AE$2,Inputs!$K$4:$AJ$4,0))))=0,NA(),SUMPRODUCT((Inputs!$A$5:$A$130=$B69)*Inputs!$B$5:$B$130*(((Inputs!$G$5:$G$130="moeda")+(Inputs!$G$5:$G$130="acoes"))*Inputs!$B$1+((Inputs!$G$5:$G$130&lt;&gt;"moeda")*(Inputs!$G$5:$G$130&lt;&gt;"acoes")))*INDEX(Inputs!$K$5:$AJ$130,0,MATCH(AE$2,Inputs!$K$4:$AJ$4,0)))+SUMPRODUCT((Inputs!$C$5:$C$130=$B69)*Inputs!$D$5:$D$130*(((Inputs!$G$5:$G$130="moeda")+(Inputs!$G$5:$G$130="acoes"))*Inputs!$B$1+((Inputs!$G$5:$G$130&lt;&gt;"moeda")*(Inputs!$G$5:$G$130&lt;&gt;"acoes")))*INDEX(Inputs!$K$5:$AJ$130,0,MATCH(AE$2,Inputs!$K$4:$AJ$4,0)))+SUMPRODUCT((Inputs!$E$5:$E$130=$B69)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9" s="263" t="e">
        <f>IF(ISNA(MATCH(AF$2,Inputs!$K$4:$AJ$4,0)),NA(),IF(SUMPRODUCT((Inputs!$A$5:$A$130=$B69)*ISNUMBER(INDEX(Inputs!$K$5:$AJ$130,0,MATCH(AF$2,Inputs!$K$4:$AJ$4,0))))+SUMPRODUCT((Inputs!$C$5:$C$130=$B69)*ISNUMBER(INDEX(Inputs!$K$5:$AJ$130,0,MATCH(AF$2,Inputs!$K$4:$AJ$4,0))))+SUMPRODUCT((Inputs!$E$5:$E$130=$B69)*ISNUMBER(INDEX(Inputs!$K$5:$AJ$130,0,MATCH(AF$2,Inputs!$K$4:$AJ$4,0))))=0,NA(),SUMPRODUCT((Inputs!$A$5:$A$130=$B69)*Inputs!$B$5:$B$130*(((Inputs!$G$5:$G$130="moeda")+(Inputs!$G$5:$G$130="acoes"))*Inputs!$B$1+((Inputs!$G$5:$G$130&lt;&gt;"moeda")*(Inputs!$G$5:$G$130&lt;&gt;"acoes")))*INDEX(Inputs!$K$5:$AJ$130,0,MATCH(AF$2,Inputs!$K$4:$AJ$4,0)))+SUMPRODUCT((Inputs!$C$5:$C$130=$B69)*Inputs!$D$5:$D$130*(((Inputs!$G$5:$G$130="moeda")+(Inputs!$G$5:$G$130="acoes"))*Inputs!$B$1+((Inputs!$G$5:$G$130&lt;&gt;"moeda")*(Inputs!$G$5:$G$130&lt;&gt;"acoes")))*INDEX(Inputs!$K$5:$AJ$130,0,MATCH(AF$2,Inputs!$K$4:$AJ$4,0)))+SUMPRODUCT((Inputs!$E$5:$E$130=$B69)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9" s="264" t="e">
        <f>SUM(AC69:AF69)</f>
        <v>#N/A</v>
      </c>
      <c r="AH69" s="263" t="e">
        <f>IF(ISNA(MATCH(AH$2,Inputs!$K$4:$AJ$4,0)),NA(),IF(SUMPRODUCT((Inputs!$A$5:$A$130=$B69)*ISNUMBER(INDEX(Inputs!$K$5:$AJ$130,0,MATCH(AH$2,Inputs!$K$4:$AJ$4,0))))+SUMPRODUCT((Inputs!$C$5:$C$130=$B69)*ISNUMBER(INDEX(Inputs!$K$5:$AJ$130,0,MATCH(AH$2,Inputs!$K$4:$AJ$4,0))))+SUMPRODUCT((Inputs!$E$5:$E$130=$B69)*ISNUMBER(INDEX(Inputs!$K$5:$AJ$130,0,MATCH(AH$2,Inputs!$K$4:$AJ$4,0))))=0,NA(),SUMPRODUCT((Inputs!$A$5:$A$130=$B69)*Inputs!$B$5:$B$130*(((Inputs!$G$5:$G$130="moeda")+(Inputs!$G$5:$G$130="acoes"))*Inputs!$B$1+((Inputs!$G$5:$G$130&lt;&gt;"moeda")*(Inputs!$G$5:$G$130&lt;&gt;"acoes")))*INDEX(Inputs!$K$5:$AJ$130,0,MATCH(AH$2,Inputs!$K$4:$AJ$4,0)))+SUMPRODUCT((Inputs!$C$5:$C$130=$B69)*Inputs!$D$5:$D$130*(((Inputs!$G$5:$G$130="moeda")+(Inputs!$G$5:$G$130="acoes"))*Inputs!$B$1+((Inputs!$G$5:$G$130&lt;&gt;"moeda")*(Inputs!$G$5:$G$130&lt;&gt;"acoes")))*INDEX(Inputs!$K$5:$AJ$130,0,MATCH(AH$2,Inputs!$K$4:$AJ$4,0)))+SUMPRODUCT((Inputs!$E$5:$E$130=$B69)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69" s="263" t="e">
        <f>IF(ISNA(MATCH(AI$2,Inputs!$K$4:$AJ$4,0)),NA(),IF(SUMPRODUCT((Inputs!$A$5:$A$130=$B69)*ISNUMBER(INDEX(Inputs!$K$5:$AJ$130,0,MATCH(AI$2,Inputs!$K$4:$AJ$4,0))))+SUMPRODUCT((Inputs!$C$5:$C$130=$B69)*ISNUMBER(INDEX(Inputs!$K$5:$AJ$130,0,MATCH(AI$2,Inputs!$K$4:$AJ$4,0))))+SUMPRODUCT((Inputs!$E$5:$E$130=$B69)*ISNUMBER(INDEX(Inputs!$K$5:$AJ$130,0,MATCH(AI$2,Inputs!$K$4:$AJ$4,0))))=0,NA(),SUMPRODUCT((Inputs!$A$5:$A$130=$B69)*Inputs!$B$5:$B$130*(((Inputs!$G$5:$G$130="moeda")+(Inputs!$G$5:$G$130="acoes"))*Inputs!$B$1+((Inputs!$G$5:$G$130&lt;&gt;"moeda")*(Inputs!$G$5:$G$130&lt;&gt;"acoes")))*INDEX(Inputs!$K$5:$AJ$130,0,MATCH(AI$2,Inputs!$K$4:$AJ$4,0)))+SUMPRODUCT((Inputs!$C$5:$C$130=$B69)*Inputs!$D$5:$D$130*(((Inputs!$G$5:$G$130="moeda")+(Inputs!$G$5:$G$130="acoes"))*Inputs!$B$1+((Inputs!$G$5:$G$130&lt;&gt;"moeda")*(Inputs!$G$5:$G$130&lt;&gt;"acoes")))*INDEX(Inputs!$K$5:$AJ$130,0,MATCH(AI$2,Inputs!$K$4:$AJ$4,0)))+SUMPRODUCT((Inputs!$E$5:$E$130=$B69)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69" s="263" t="e">
        <f>IF(ISNA(MATCH(AJ$2,Inputs!$K$4:$AJ$4,0)),NA(),IF(SUMPRODUCT((Inputs!$A$5:$A$130=$B69)*ISNUMBER(INDEX(Inputs!$K$5:$AJ$130,0,MATCH(AJ$2,Inputs!$K$4:$AJ$4,0))))+SUMPRODUCT((Inputs!$C$5:$C$130=$B69)*ISNUMBER(INDEX(Inputs!$K$5:$AJ$130,0,MATCH(AJ$2,Inputs!$K$4:$AJ$4,0))))+SUMPRODUCT((Inputs!$E$5:$E$130=$B69)*ISNUMBER(INDEX(Inputs!$K$5:$AJ$130,0,MATCH(AJ$2,Inputs!$K$4:$AJ$4,0))))=0,NA(),SUMPRODUCT((Inputs!$A$5:$A$130=$B69)*Inputs!$B$5:$B$130*(((Inputs!$G$5:$G$130="moeda")+(Inputs!$G$5:$G$130="acoes"))*Inputs!$B$1+((Inputs!$G$5:$G$130&lt;&gt;"moeda")*(Inputs!$G$5:$G$130&lt;&gt;"acoes")))*INDEX(Inputs!$K$5:$AJ$130,0,MATCH(AJ$2,Inputs!$K$4:$AJ$4,0)))+SUMPRODUCT((Inputs!$C$5:$C$130=$B69)*Inputs!$D$5:$D$130*(((Inputs!$G$5:$G$130="moeda")+(Inputs!$G$5:$G$130="acoes"))*Inputs!$B$1+((Inputs!$G$5:$G$130&lt;&gt;"moeda")*(Inputs!$G$5:$G$130&lt;&gt;"acoes")))*INDEX(Inputs!$K$5:$AJ$130,0,MATCH(AJ$2,Inputs!$K$4:$AJ$4,0)))+SUMPRODUCT((Inputs!$E$5:$E$130=$B69)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69" s="263" t="e">
        <f>IF(ISNA(MATCH(AK$2,Inputs!$K$4:$AJ$4,0)),NA(),IF(SUMPRODUCT((Inputs!$A$5:$A$130=$B69)*ISNUMBER(INDEX(Inputs!$K$5:$AJ$130,0,MATCH(AK$2,Inputs!$K$4:$AJ$4,0))))+SUMPRODUCT((Inputs!$C$5:$C$130=$B69)*ISNUMBER(INDEX(Inputs!$K$5:$AJ$130,0,MATCH(AK$2,Inputs!$K$4:$AJ$4,0))))+SUMPRODUCT((Inputs!$E$5:$E$130=$B69)*ISNUMBER(INDEX(Inputs!$K$5:$AJ$130,0,MATCH(AK$2,Inputs!$K$4:$AJ$4,0))))=0,NA(),SUMPRODUCT((Inputs!$A$5:$A$130=$B69)*Inputs!$B$5:$B$130*(((Inputs!$G$5:$G$130="moeda")+(Inputs!$G$5:$G$130="acoes"))*Inputs!$B$1+((Inputs!$G$5:$G$130&lt;&gt;"moeda")*(Inputs!$G$5:$G$130&lt;&gt;"acoes")))*INDEX(Inputs!$K$5:$AJ$130,0,MATCH(AK$2,Inputs!$K$4:$AJ$4,0)))+SUMPRODUCT((Inputs!$C$5:$C$130=$B69)*Inputs!$D$5:$D$130*(((Inputs!$G$5:$G$130="moeda")+(Inputs!$G$5:$G$130="acoes"))*Inputs!$B$1+((Inputs!$G$5:$G$130&lt;&gt;"moeda")*(Inputs!$G$5:$G$130&lt;&gt;"acoes")))*INDEX(Inputs!$K$5:$AJ$130,0,MATCH(AK$2,Inputs!$K$4:$AJ$4,0)))+SUMPRODUCT((Inputs!$E$5:$E$130=$B69)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69" s="264" t="e">
        <f>SUM(AH69:AK69)</f>
        <v>#N/A</v>
      </c>
    </row>
    <row r="70">
      <c r="B70" s="46" t="n">
        <v>62</v>
      </c>
      <c r="C70" s="29" t="inlineStr">
        <is>
          <t>Receita EUA (USD)</t>
        </is>
      </c>
      <c r="D70" s="263">
        <f>IF(ISNA(MATCH(D$2,Inputs!$K$4:$AJ$4,0)),NA(),IF(SUMPRODUCT((Inputs!$A$5:$A$130=$B70)*ISNUMBER(INDEX(Inputs!$K$5:$AJ$130,0,MATCH(D$2,Inputs!$K$4:$AJ$4,0))))+SUMPRODUCT((Inputs!$C$5:$C$130=$B70)*ISNUMBER(INDEX(Inputs!$K$5:$AJ$130,0,MATCH(D$2,Inputs!$K$4:$AJ$4,0))))+SUMPRODUCT((Inputs!$E$5:$E$130=$B70)*ISNUMBER(INDEX(Inputs!$K$5:$AJ$130,0,MATCH(D$2,Inputs!$K$4:$AJ$4,0))))=0,NA(),SUMPRODUCT((Inputs!$A$5:$A$130=$B70)*Inputs!$B$5:$B$130*(((Inputs!$G$5:$G$130="moeda")+(Inputs!$G$5:$G$130="acoes"))*Inputs!$B$1+((Inputs!$G$5:$G$130&lt;&gt;"moeda")*(Inputs!$G$5:$G$130&lt;&gt;"acoes")))*INDEX(Inputs!$K$5:$AJ$130,0,MATCH(D$2,Inputs!$K$4:$AJ$4,0)))+SUMPRODUCT((Inputs!$C$5:$C$130=$B70)*Inputs!$D$5:$D$130*(((Inputs!$G$5:$G$130="moeda")+(Inputs!$G$5:$G$130="acoes"))*Inputs!$B$1+((Inputs!$G$5:$G$130&lt;&gt;"moeda")*(Inputs!$G$5:$G$130&lt;&gt;"acoes")))*INDEX(Inputs!$K$5:$AJ$130,0,MATCH(D$2,Inputs!$K$4:$AJ$4,0)))+SUMPRODUCT((Inputs!$E$5:$E$130=$B70)*Inputs!$F$5:$F$130*(((Inputs!$G$5:$G$130="moeda")+(Inputs!$G$5:$G$130="acoes"))*Inputs!$B$1+((Inputs!$G$5:$G$130&lt;&gt;"moeda")*(Inputs!$G$5:$G$130&lt;&gt;"acoes")))*INDEX(Inputs!$K$5:$AJ$130,0,MATCH(D$2,Inputs!$K$4:$AJ$4,0)))))</f>
        <v>2893</v>
      </c>
      <c r="E70" s="263">
        <f>IF(ISNA(MATCH(E$2,Inputs!$K$4:$AJ$4,0)),NA(),IF(SUMPRODUCT((Inputs!$A$5:$A$130=$B70)*ISNUMBER(INDEX(Inputs!$K$5:$AJ$130,0,MATCH(E$2,Inputs!$K$4:$AJ$4,0))))+SUMPRODUCT((Inputs!$C$5:$C$130=$B70)*ISNUMBER(INDEX(Inputs!$K$5:$AJ$130,0,MATCH(E$2,Inputs!$K$4:$AJ$4,0))))+SUMPRODUCT((Inputs!$E$5:$E$130=$B70)*ISNUMBER(INDEX(Inputs!$K$5:$AJ$130,0,MATCH(E$2,Inputs!$K$4:$AJ$4,0))))=0,NA(),SUMPRODUCT((Inputs!$A$5:$A$130=$B70)*Inputs!$B$5:$B$130*(((Inputs!$G$5:$G$130="moeda")+(Inputs!$G$5:$G$130="acoes"))*Inputs!$B$1+((Inputs!$G$5:$G$130&lt;&gt;"moeda")*(Inputs!$G$5:$G$130&lt;&gt;"acoes")))*INDEX(Inputs!$K$5:$AJ$130,0,MATCH(E$2,Inputs!$K$4:$AJ$4,0)))+SUMPRODUCT((Inputs!$C$5:$C$130=$B70)*Inputs!$D$5:$D$130*(((Inputs!$G$5:$G$130="moeda")+(Inputs!$G$5:$G$130="acoes"))*Inputs!$B$1+((Inputs!$G$5:$G$130&lt;&gt;"moeda")*(Inputs!$G$5:$G$130&lt;&gt;"acoes")))*INDEX(Inputs!$K$5:$AJ$130,0,MATCH(E$2,Inputs!$K$4:$AJ$4,0)))+SUMPRODUCT((Inputs!$E$5:$E$130=$B70)*Inputs!$F$5:$F$130*(((Inputs!$G$5:$G$130="moeda")+(Inputs!$G$5:$G$130="acoes"))*Inputs!$B$1+((Inputs!$G$5:$G$130&lt;&gt;"moeda")*(Inputs!$G$5:$G$130&lt;&gt;"acoes")))*INDEX(Inputs!$K$5:$AJ$130,0,MATCH(E$2,Inputs!$K$4:$AJ$4,0)))))</f>
        <v>3332</v>
      </c>
      <c r="F70" s="263">
        <f>IF(ISNA(MATCH(F$2,Inputs!$K$4:$AJ$4,0)),NA(),IF(SUMPRODUCT((Inputs!$A$5:$A$130=$B70)*ISNUMBER(INDEX(Inputs!$K$5:$AJ$130,0,MATCH(F$2,Inputs!$K$4:$AJ$4,0))))+SUMPRODUCT((Inputs!$C$5:$C$130=$B70)*ISNUMBER(INDEX(Inputs!$K$5:$AJ$130,0,MATCH(F$2,Inputs!$K$4:$AJ$4,0))))+SUMPRODUCT((Inputs!$E$5:$E$130=$B70)*ISNUMBER(INDEX(Inputs!$K$5:$AJ$130,0,MATCH(F$2,Inputs!$K$4:$AJ$4,0))))=0,NA(),SUMPRODUCT((Inputs!$A$5:$A$130=$B70)*Inputs!$B$5:$B$130*(((Inputs!$G$5:$G$130="moeda")+(Inputs!$G$5:$G$130="acoes"))*Inputs!$B$1+((Inputs!$G$5:$G$130&lt;&gt;"moeda")*(Inputs!$G$5:$G$130&lt;&gt;"acoes")))*INDEX(Inputs!$K$5:$AJ$130,0,MATCH(F$2,Inputs!$K$4:$AJ$4,0)))+SUMPRODUCT((Inputs!$C$5:$C$130=$B70)*Inputs!$D$5:$D$130*(((Inputs!$G$5:$G$130="moeda")+(Inputs!$G$5:$G$130="acoes"))*Inputs!$B$1+((Inputs!$G$5:$G$130&lt;&gt;"moeda")*(Inputs!$G$5:$G$130&lt;&gt;"acoes")))*INDEX(Inputs!$K$5:$AJ$130,0,MATCH(F$2,Inputs!$K$4:$AJ$4,0)))+SUMPRODUCT((Inputs!$E$5:$E$130=$B70)*Inputs!$F$5:$F$130*(((Inputs!$G$5:$G$130="moeda")+(Inputs!$G$5:$G$130="acoes"))*Inputs!$B$1+((Inputs!$G$5:$G$130&lt;&gt;"moeda")*(Inputs!$G$5:$G$130&lt;&gt;"acoes")))*INDEX(Inputs!$K$5:$AJ$130,0,MATCH(F$2,Inputs!$K$4:$AJ$4,0)))))</f>
        <v>3418</v>
      </c>
      <c r="G70" s="263">
        <f>IF(ISNA(MATCH(G$2,Inputs!$K$4:$AJ$4,0)),NA(),IF(SUMPRODUCT((Inputs!$A$5:$A$130=$B70)*ISNUMBER(INDEX(Inputs!$K$5:$AJ$130,0,MATCH(G$2,Inputs!$K$4:$AJ$4,0))))+SUMPRODUCT((Inputs!$C$5:$C$130=$B70)*ISNUMBER(INDEX(Inputs!$K$5:$AJ$130,0,MATCH(G$2,Inputs!$K$4:$AJ$4,0))))+SUMPRODUCT((Inputs!$E$5:$E$130=$B70)*ISNUMBER(INDEX(Inputs!$K$5:$AJ$130,0,MATCH(G$2,Inputs!$K$4:$AJ$4,0))))=0,NA(),SUMPRODUCT((Inputs!$A$5:$A$130=$B70)*Inputs!$B$5:$B$130*(((Inputs!$G$5:$G$130="moeda")+(Inputs!$G$5:$G$130="acoes"))*Inputs!$B$1+((Inputs!$G$5:$G$130&lt;&gt;"moeda")*(Inputs!$G$5:$G$130&lt;&gt;"acoes")))*INDEX(Inputs!$K$5:$AJ$130,0,MATCH(G$2,Inputs!$K$4:$AJ$4,0)))+SUMPRODUCT((Inputs!$C$5:$C$130=$B70)*Inputs!$D$5:$D$130*(((Inputs!$G$5:$G$130="moeda")+(Inputs!$G$5:$G$130="acoes"))*Inputs!$B$1+((Inputs!$G$5:$G$130&lt;&gt;"moeda")*(Inputs!$G$5:$G$130&lt;&gt;"acoes")))*INDEX(Inputs!$K$5:$AJ$130,0,MATCH(G$2,Inputs!$K$4:$AJ$4,0)))+SUMPRODUCT((Inputs!$E$5:$E$130=$B70)*Inputs!$F$5:$F$130*(((Inputs!$G$5:$G$130="moeda")+(Inputs!$G$5:$G$130="acoes"))*Inputs!$B$1+((Inputs!$G$5:$G$130&lt;&gt;"moeda")*(Inputs!$G$5:$G$130&lt;&gt;"acoes")))*INDEX(Inputs!$K$5:$AJ$130,0,MATCH(G$2,Inputs!$K$4:$AJ$4,0)))))</f>
        <v>3367</v>
      </c>
      <c r="H70" s="264">
        <f>SUM(D70:G70)</f>
        <v>13010</v>
      </c>
      <c r="I70" s="263">
        <f>IF(ISNA(MATCH(I$2,Inputs!$K$4:$AJ$4,0)),NA(),IF(SUMPRODUCT((Inputs!$A$5:$A$130=$B70)*ISNUMBER(INDEX(Inputs!$K$5:$AJ$130,0,MATCH(I$2,Inputs!$K$4:$AJ$4,0))))+SUMPRODUCT((Inputs!$C$5:$C$130=$B70)*ISNUMBER(INDEX(Inputs!$K$5:$AJ$130,0,MATCH(I$2,Inputs!$K$4:$AJ$4,0))))+SUMPRODUCT((Inputs!$E$5:$E$130=$B70)*ISNUMBER(INDEX(Inputs!$K$5:$AJ$130,0,MATCH(I$2,Inputs!$K$4:$AJ$4,0))))=0,NA(),SUMPRODUCT((Inputs!$A$5:$A$130=$B70)*Inputs!$B$5:$B$130*(((Inputs!$G$5:$G$130="moeda")+(Inputs!$G$5:$G$130="acoes"))*Inputs!$B$1+((Inputs!$G$5:$G$130&lt;&gt;"moeda")*(Inputs!$G$5:$G$130&lt;&gt;"acoes")))*INDEX(Inputs!$K$5:$AJ$130,0,MATCH(I$2,Inputs!$K$4:$AJ$4,0)))+SUMPRODUCT((Inputs!$C$5:$C$130=$B70)*Inputs!$D$5:$D$130*(((Inputs!$G$5:$G$130="moeda")+(Inputs!$G$5:$G$130="acoes"))*Inputs!$B$1+((Inputs!$G$5:$G$130&lt;&gt;"moeda")*(Inputs!$G$5:$G$130&lt;&gt;"acoes")))*INDEX(Inputs!$K$5:$AJ$130,0,MATCH(I$2,Inputs!$K$4:$AJ$4,0)))+SUMPRODUCT((Inputs!$E$5:$E$130=$B70)*Inputs!$F$5:$F$130*(((Inputs!$G$5:$G$130="moeda")+(Inputs!$G$5:$G$130="acoes"))*Inputs!$B$1+((Inputs!$G$5:$G$130&lt;&gt;"moeda")*(Inputs!$G$5:$G$130&lt;&gt;"acoes")))*INDEX(Inputs!$K$5:$AJ$130,0,MATCH(I$2,Inputs!$K$4:$AJ$4,0)))))</f>
        <v>3523</v>
      </c>
      <c r="J70" s="263">
        <f>IF(ISNA(MATCH(J$2,Inputs!$K$4:$AJ$4,0)),NA(),IF(SUMPRODUCT((Inputs!$A$5:$A$130=$B70)*ISNUMBER(INDEX(Inputs!$K$5:$AJ$130,0,MATCH(J$2,Inputs!$K$4:$AJ$4,0))))+SUMPRODUCT((Inputs!$C$5:$C$130=$B70)*ISNUMBER(INDEX(Inputs!$K$5:$AJ$130,0,MATCH(J$2,Inputs!$K$4:$AJ$4,0))))+SUMPRODUCT((Inputs!$E$5:$E$130=$B70)*ISNUMBER(INDEX(Inputs!$K$5:$AJ$130,0,MATCH(J$2,Inputs!$K$4:$AJ$4,0))))=0,NA(),SUMPRODUCT((Inputs!$A$5:$A$130=$B70)*Inputs!$B$5:$B$130*(((Inputs!$G$5:$G$130="moeda")+(Inputs!$G$5:$G$130="acoes"))*Inputs!$B$1+((Inputs!$G$5:$G$130&lt;&gt;"moeda")*(Inputs!$G$5:$G$130&lt;&gt;"acoes")))*INDEX(Inputs!$K$5:$AJ$130,0,MATCH(J$2,Inputs!$K$4:$AJ$4,0)))+SUMPRODUCT((Inputs!$C$5:$C$130=$B70)*Inputs!$D$5:$D$130*(((Inputs!$G$5:$G$130="moeda")+(Inputs!$G$5:$G$130="acoes"))*Inputs!$B$1+((Inputs!$G$5:$G$130&lt;&gt;"moeda")*(Inputs!$G$5:$G$130&lt;&gt;"acoes")))*INDEX(Inputs!$K$5:$AJ$130,0,MATCH(J$2,Inputs!$K$4:$AJ$4,0)))+SUMPRODUCT((Inputs!$E$5:$E$130=$B70)*Inputs!$F$5:$F$130*(((Inputs!$G$5:$G$130="moeda")+(Inputs!$G$5:$G$130="acoes"))*Inputs!$B$1+((Inputs!$G$5:$G$130&lt;&gt;"moeda")*(Inputs!$G$5:$G$130&lt;&gt;"acoes")))*INDEX(Inputs!$K$5:$AJ$130,0,MATCH(J$2,Inputs!$K$4:$AJ$4,0)))))</f>
        <v>3957</v>
      </c>
      <c r="K70" s="263">
        <f>IF(ISNA(MATCH(K$2,Inputs!$K$4:$AJ$4,0)),NA(),IF(SUMPRODUCT((Inputs!$A$5:$A$130=$B70)*ISNUMBER(INDEX(Inputs!$K$5:$AJ$130,0,MATCH(K$2,Inputs!$K$4:$AJ$4,0))))+SUMPRODUCT((Inputs!$C$5:$C$130=$B70)*ISNUMBER(INDEX(Inputs!$K$5:$AJ$130,0,MATCH(K$2,Inputs!$K$4:$AJ$4,0))))+SUMPRODUCT((Inputs!$E$5:$E$130=$B70)*ISNUMBER(INDEX(Inputs!$K$5:$AJ$130,0,MATCH(K$2,Inputs!$K$4:$AJ$4,0))))=0,NA(),SUMPRODUCT((Inputs!$A$5:$A$130=$B70)*Inputs!$B$5:$B$130*(((Inputs!$G$5:$G$130="moeda")+(Inputs!$G$5:$G$130="acoes"))*Inputs!$B$1+((Inputs!$G$5:$G$130&lt;&gt;"moeda")*(Inputs!$G$5:$G$130&lt;&gt;"acoes")))*INDEX(Inputs!$K$5:$AJ$130,0,MATCH(K$2,Inputs!$K$4:$AJ$4,0)))+SUMPRODUCT((Inputs!$C$5:$C$130=$B70)*Inputs!$D$5:$D$130*(((Inputs!$G$5:$G$130="moeda")+(Inputs!$G$5:$G$130="acoes"))*Inputs!$B$1+((Inputs!$G$5:$G$130&lt;&gt;"moeda")*(Inputs!$G$5:$G$130&lt;&gt;"acoes")))*INDEX(Inputs!$K$5:$AJ$130,0,MATCH(K$2,Inputs!$K$4:$AJ$4,0)))+SUMPRODUCT((Inputs!$E$5:$E$130=$B70)*Inputs!$F$5:$F$130*(((Inputs!$G$5:$G$130="moeda")+(Inputs!$G$5:$G$130="acoes"))*Inputs!$B$1+((Inputs!$G$5:$G$130&lt;&gt;"moeda")*(Inputs!$G$5:$G$130&lt;&gt;"acoes")))*INDEX(Inputs!$K$5:$AJ$130,0,MATCH(K$2,Inputs!$K$4:$AJ$4,0)))))</f>
        <v>4144</v>
      </c>
      <c r="L70" s="263">
        <f>IF(ISNA(MATCH(L$2,Inputs!$K$4:$AJ$4,0)),NA(),IF(SUMPRODUCT((Inputs!$A$5:$A$130=$B70)*ISNUMBER(INDEX(Inputs!$K$5:$AJ$130,0,MATCH(L$2,Inputs!$K$4:$AJ$4,0))))+SUMPRODUCT((Inputs!$C$5:$C$130=$B70)*ISNUMBER(INDEX(Inputs!$K$5:$AJ$130,0,MATCH(L$2,Inputs!$K$4:$AJ$4,0))))+SUMPRODUCT((Inputs!$E$5:$E$130=$B70)*ISNUMBER(INDEX(Inputs!$K$5:$AJ$130,0,MATCH(L$2,Inputs!$K$4:$AJ$4,0))))=0,NA(),SUMPRODUCT((Inputs!$A$5:$A$130=$B70)*Inputs!$B$5:$B$130*(((Inputs!$G$5:$G$130="moeda")+(Inputs!$G$5:$G$130="acoes"))*Inputs!$B$1+((Inputs!$G$5:$G$130&lt;&gt;"moeda")*(Inputs!$G$5:$G$130&lt;&gt;"acoes")))*INDEX(Inputs!$K$5:$AJ$130,0,MATCH(L$2,Inputs!$K$4:$AJ$4,0)))+SUMPRODUCT((Inputs!$C$5:$C$130=$B70)*Inputs!$D$5:$D$130*(((Inputs!$G$5:$G$130="moeda")+(Inputs!$G$5:$G$130="acoes"))*Inputs!$B$1+((Inputs!$G$5:$G$130&lt;&gt;"moeda")*(Inputs!$G$5:$G$130&lt;&gt;"acoes")))*INDEX(Inputs!$K$5:$AJ$130,0,MATCH(L$2,Inputs!$K$4:$AJ$4,0)))+SUMPRODUCT((Inputs!$E$5:$E$130=$B70)*Inputs!$F$5:$F$130*(((Inputs!$G$5:$G$130="moeda")+(Inputs!$G$5:$G$130="acoes"))*Inputs!$B$1+((Inputs!$G$5:$G$130&lt;&gt;"moeda")*(Inputs!$G$5:$G$130&lt;&gt;"acoes")))*INDEX(Inputs!$K$5:$AJ$130,0,MATCH(L$2,Inputs!$K$4:$AJ$4,0)))))</f>
        <v>3789</v>
      </c>
      <c r="M70" s="264">
        <f>SUM(I70:L70)</f>
        <v>15413</v>
      </c>
      <c r="N70" s="263">
        <f>IF(ISNA(MATCH(N$2,Inputs!$K$4:$AJ$4,0)),NA(),IF(SUMPRODUCT((Inputs!$A$5:$A$130=$B70)*ISNUMBER(INDEX(Inputs!$K$5:$AJ$130,0,MATCH(N$2,Inputs!$K$4:$AJ$4,0))))+SUMPRODUCT((Inputs!$C$5:$C$130=$B70)*ISNUMBER(INDEX(Inputs!$K$5:$AJ$130,0,MATCH(N$2,Inputs!$K$4:$AJ$4,0))))+SUMPRODUCT((Inputs!$E$5:$E$130=$B70)*ISNUMBER(INDEX(Inputs!$K$5:$AJ$130,0,MATCH(N$2,Inputs!$K$4:$AJ$4,0))))=0,NA(),SUMPRODUCT((Inputs!$A$5:$A$130=$B70)*Inputs!$B$5:$B$130*(((Inputs!$G$5:$G$130="moeda")+(Inputs!$G$5:$G$130="acoes"))*Inputs!$B$1+((Inputs!$G$5:$G$130&lt;&gt;"moeda")*(Inputs!$G$5:$G$130&lt;&gt;"acoes")))*INDEX(Inputs!$K$5:$AJ$130,0,MATCH(N$2,Inputs!$K$4:$AJ$4,0)))+SUMPRODUCT((Inputs!$C$5:$C$130=$B70)*Inputs!$D$5:$D$130*(((Inputs!$G$5:$G$130="moeda")+(Inputs!$G$5:$G$130="acoes"))*Inputs!$B$1+((Inputs!$G$5:$G$130&lt;&gt;"moeda")*(Inputs!$G$5:$G$130&lt;&gt;"acoes")))*INDEX(Inputs!$K$5:$AJ$130,0,MATCH(N$2,Inputs!$K$4:$AJ$4,0)))+SUMPRODUCT((Inputs!$E$5:$E$130=$B70)*Inputs!$F$5:$F$130*(((Inputs!$G$5:$G$130="moeda")+(Inputs!$G$5:$G$130="acoes"))*Inputs!$B$1+((Inputs!$G$5:$G$130&lt;&gt;"moeda")*(Inputs!$G$5:$G$130&lt;&gt;"acoes")))*INDEX(Inputs!$K$5:$AJ$130,0,MATCH(N$2,Inputs!$K$4:$AJ$4,0)))))</f>
        <v>3849</v>
      </c>
      <c r="O70" s="263">
        <f>IF(ISNA(MATCH(O$2,Inputs!$K$4:$AJ$4,0)),NA(),IF(SUMPRODUCT((Inputs!$A$5:$A$130=$B70)*ISNUMBER(INDEX(Inputs!$K$5:$AJ$130,0,MATCH(O$2,Inputs!$K$4:$AJ$4,0))))+SUMPRODUCT((Inputs!$C$5:$C$130=$B70)*ISNUMBER(INDEX(Inputs!$K$5:$AJ$130,0,MATCH(O$2,Inputs!$K$4:$AJ$4,0))))+SUMPRODUCT((Inputs!$E$5:$E$130=$B70)*ISNUMBER(INDEX(Inputs!$K$5:$AJ$130,0,MATCH(O$2,Inputs!$K$4:$AJ$4,0))))=0,NA(),SUMPRODUCT((Inputs!$A$5:$A$130=$B70)*Inputs!$B$5:$B$130*(((Inputs!$G$5:$G$130="moeda")+(Inputs!$G$5:$G$130="acoes"))*Inputs!$B$1+((Inputs!$G$5:$G$130&lt;&gt;"moeda")*(Inputs!$G$5:$G$130&lt;&gt;"acoes")))*INDEX(Inputs!$K$5:$AJ$130,0,MATCH(O$2,Inputs!$K$4:$AJ$4,0)))+SUMPRODUCT((Inputs!$C$5:$C$130=$B70)*Inputs!$D$5:$D$130*(((Inputs!$G$5:$G$130="moeda")+(Inputs!$G$5:$G$130="acoes"))*Inputs!$B$1+((Inputs!$G$5:$G$130&lt;&gt;"moeda")*(Inputs!$G$5:$G$130&lt;&gt;"acoes")))*INDEX(Inputs!$K$5:$AJ$130,0,MATCH(O$2,Inputs!$K$4:$AJ$4,0)))+SUMPRODUCT((Inputs!$E$5:$E$130=$B70)*Inputs!$F$5:$F$130*(((Inputs!$G$5:$G$130="moeda")+(Inputs!$G$5:$G$130="acoes"))*Inputs!$B$1+((Inputs!$G$5:$G$130&lt;&gt;"moeda")*(Inputs!$G$5:$G$130&lt;&gt;"acoes")))*INDEX(Inputs!$K$5:$AJ$130,0,MATCH(O$2,Inputs!$K$4:$AJ$4,0)))))</f>
        <v>4302</v>
      </c>
      <c r="P70" s="263">
        <f>IF(ISNA(MATCH(P$2,Inputs!$K$4:$AJ$4,0)),NA(),IF(SUMPRODUCT((Inputs!$A$5:$A$130=$B70)*ISNUMBER(INDEX(Inputs!$K$5:$AJ$130,0,MATCH(P$2,Inputs!$K$4:$AJ$4,0))))+SUMPRODUCT((Inputs!$C$5:$C$130=$B70)*ISNUMBER(INDEX(Inputs!$K$5:$AJ$130,0,MATCH(P$2,Inputs!$K$4:$AJ$4,0))))+SUMPRODUCT((Inputs!$E$5:$E$130=$B70)*ISNUMBER(INDEX(Inputs!$K$5:$AJ$130,0,MATCH(P$2,Inputs!$K$4:$AJ$4,0))))=0,NA(),SUMPRODUCT((Inputs!$A$5:$A$130=$B70)*Inputs!$B$5:$B$130*(((Inputs!$G$5:$G$130="moeda")+(Inputs!$G$5:$G$130="acoes"))*Inputs!$B$1+((Inputs!$G$5:$G$130&lt;&gt;"moeda")*(Inputs!$G$5:$G$130&lt;&gt;"acoes")))*INDEX(Inputs!$K$5:$AJ$130,0,MATCH(P$2,Inputs!$K$4:$AJ$4,0)))+SUMPRODUCT((Inputs!$C$5:$C$130=$B70)*Inputs!$D$5:$D$130*(((Inputs!$G$5:$G$130="moeda")+(Inputs!$G$5:$G$130="acoes"))*Inputs!$B$1+((Inputs!$G$5:$G$130&lt;&gt;"moeda")*(Inputs!$G$5:$G$130&lt;&gt;"acoes")))*INDEX(Inputs!$K$5:$AJ$130,0,MATCH(P$2,Inputs!$K$4:$AJ$4,0)))+SUMPRODUCT((Inputs!$E$5:$E$130=$B70)*Inputs!$F$5:$F$130*(((Inputs!$G$5:$G$130="moeda")+(Inputs!$G$5:$G$130="acoes"))*Inputs!$B$1+((Inputs!$G$5:$G$130&lt;&gt;"moeda")*(Inputs!$G$5:$G$130&lt;&gt;"acoes")))*INDEX(Inputs!$K$5:$AJ$130,0,MATCH(P$2,Inputs!$K$4:$AJ$4,0)))))</f>
        <v>4411</v>
      </c>
      <c r="Q70" s="263">
        <f>IF(ISNA(MATCH(Q$2,Inputs!$K$4:$AJ$4,0)),NA(),IF(SUMPRODUCT((Inputs!$A$5:$A$130=$B70)*ISNUMBER(INDEX(Inputs!$K$5:$AJ$130,0,MATCH(Q$2,Inputs!$K$4:$AJ$4,0))))+SUMPRODUCT((Inputs!$C$5:$C$130=$B70)*ISNUMBER(INDEX(Inputs!$K$5:$AJ$130,0,MATCH(Q$2,Inputs!$K$4:$AJ$4,0))))+SUMPRODUCT((Inputs!$E$5:$E$130=$B70)*ISNUMBER(INDEX(Inputs!$K$5:$AJ$130,0,MATCH(Q$2,Inputs!$K$4:$AJ$4,0))))=0,NA(),SUMPRODUCT((Inputs!$A$5:$A$130=$B70)*Inputs!$B$5:$B$130*(((Inputs!$G$5:$G$130="moeda")+(Inputs!$G$5:$G$130="acoes"))*Inputs!$B$1+((Inputs!$G$5:$G$130&lt;&gt;"moeda")*(Inputs!$G$5:$G$130&lt;&gt;"acoes")))*INDEX(Inputs!$K$5:$AJ$130,0,MATCH(Q$2,Inputs!$K$4:$AJ$4,0)))+SUMPRODUCT((Inputs!$C$5:$C$130=$B70)*Inputs!$D$5:$D$130*(((Inputs!$G$5:$G$130="moeda")+(Inputs!$G$5:$G$130="acoes"))*Inputs!$B$1+((Inputs!$G$5:$G$130&lt;&gt;"moeda")*(Inputs!$G$5:$G$130&lt;&gt;"acoes")))*INDEX(Inputs!$K$5:$AJ$130,0,MATCH(Q$2,Inputs!$K$4:$AJ$4,0)))+SUMPRODUCT((Inputs!$E$5:$E$130=$B70)*Inputs!$F$5:$F$130*(((Inputs!$G$5:$G$130="moeda")+(Inputs!$G$5:$G$130="acoes"))*Inputs!$B$1+((Inputs!$G$5:$G$130&lt;&gt;"moeda")*(Inputs!$G$5:$G$130&lt;&gt;"acoes")))*INDEX(Inputs!$K$5:$AJ$130,0,MATCH(Q$2,Inputs!$K$4:$AJ$4,0)))))</f>
        <v>3988</v>
      </c>
      <c r="R70" s="264">
        <f>SUM(N70:Q70)</f>
        <v>16550</v>
      </c>
      <c r="S70" s="263">
        <f>IF(ISNA(MATCH(S$2,Inputs!$K$4:$AJ$4,0)),NA(),IF(SUMPRODUCT((Inputs!$A$5:$A$130=$B70)*ISNUMBER(INDEX(Inputs!$K$5:$AJ$130,0,MATCH(S$2,Inputs!$K$4:$AJ$4,0))))+SUMPRODUCT((Inputs!$C$5:$C$130=$B70)*ISNUMBER(INDEX(Inputs!$K$5:$AJ$130,0,MATCH(S$2,Inputs!$K$4:$AJ$4,0))))+SUMPRODUCT((Inputs!$E$5:$E$130=$B70)*ISNUMBER(INDEX(Inputs!$K$5:$AJ$130,0,MATCH(S$2,Inputs!$K$4:$AJ$4,0))))=0,NA(),SUMPRODUCT((Inputs!$A$5:$A$130=$B70)*Inputs!$B$5:$B$130*(((Inputs!$G$5:$G$130="moeda")+(Inputs!$G$5:$G$130="acoes"))*Inputs!$B$1+((Inputs!$G$5:$G$130&lt;&gt;"moeda")*(Inputs!$G$5:$G$130&lt;&gt;"acoes")))*INDEX(Inputs!$K$5:$AJ$130,0,MATCH(S$2,Inputs!$K$4:$AJ$4,0)))+SUMPRODUCT((Inputs!$C$5:$C$130=$B70)*Inputs!$D$5:$D$130*(((Inputs!$G$5:$G$130="moeda")+(Inputs!$G$5:$G$130="acoes"))*Inputs!$B$1+((Inputs!$G$5:$G$130&lt;&gt;"moeda")*(Inputs!$G$5:$G$130&lt;&gt;"acoes")))*INDEX(Inputs!$K$5:$AJ$130,0,MATCH(S$2,Inputs!$K$4:$AJ$4,0)))+SUMPRODUCT((Inputs!$E$5:$E$130=$B70)*Inputs!$F$5:$F$130*(((Inputs!$G$5:$G$130="moeda")+(Inputs!$G$5:$G$130="acoes"))*Inputs!$B$1+((Inputs!$G$5:$G$130&lt;&gt;"moeda")*(Inputs!$G$5:$G$130&lt;&gt;"acoes")))*INDEX(Inputs!$K$5:$AJ$130,0,MATCH(S$2,Inputs!$K$4:$AJ$4,0)))))</f>
        <v>4118</v>
      </c>
      <c r="T70" s="263">
        <f>IF(ISNA(MATCH(T$2,Inputs!$K$4:$AJ$4,0)),NA(),IF(SUMPRODUCT((Inputs!$A$5:$A$130=$B70)*ISNUMBER(INDEX(Inputs!$K$5:$AJ$130,0,MATCH(T$2,Inputs!$K$4:$AJ$4,0))))+SUMPRODUCT((Inputs!$C$5:$C$130=$B70)*ISNUMBER(INDEX(Inputs!$K$5:$AJ$130,0,MATCH(T$2,Inputs!$K$4:$AJ$4,0))))+SUMPRODUCT((Inputs!$E$5:$E$130=$B70)*ISNUMBER(INDEX(Inputs!$K$5:$AJ$130,0,MATCH(T$2,Inputs!$K$4:$AJ$4,0))))=0,NA(),SUMPRODUCT((Inputs!$A$5:$A$130=$B70)*Inputs!$B$5:$B$130*(((Inputs!$G$5:$G$130="moeda")+(Inputs!$G$5:$G$130="acoes"))*Inputs!$B$1+((Inputs!$G$5:$G$130&lt;&gt;"moeda")*(Inputs!$G$5:$G$130&lt;&gt;"acoes")))*INDEX(Inputs!$K$5:$AJ$130,0,MATCH(T$2,Inputs!$K$4:$AJ$4,0)))+SUMPRODUCT((Inputs!$C$5:$C$130=$B70)*Inputs!$D$5:$D$130*(((Inputs!$G$5:$G$130="moeda")+(Inputs!$G$5:$G$130="acoes"))*Inputs!$B$1+((Inputs!$G$5:$G$130&lt;&gt;"moeda")*(Inputs!$G$5:$G$130&lt;&gt;"acoes")))*INDEX(Inputs!$K$5:$AJ$130,0,MATCH(T$2,Inputs!$K$4:$AJ$4,0)))+SUMPRODUCT((Inputs!$E$5:$E$130=$B70)*Inputs!$F$5:$F$130*(((Inputs!$G$5:$G$130="moeda")+(Inputs!$G$5:$G$130="acoes"))*Inputs!$B$1+((Inputs!$G$5:$G$130&lt;&gt;"moeda")*(Inputs!$G$5:$G$130&lt;&gt;"acoes")))*INDEX(Inputs!$K$5:$AJ$130,0,MATCH(T$2,Inputs!$K$4:$AJ$4,0)))))</f>
        <v>4740</v>
      </c>
      <c r="U70" s="263">
        <f>IF(ISNA(MATCH(U$2,Inputs!$K$4:$AJ$4,0)),NA(),IF(SUMPRODUCT((Inputs!$A$5:$A$130=$B70)*ISNUMBER(INDEX(Inputs!$K$5:$AJ$130,0,MATCH(U$2,Inputs!$K$4:$AJ$4,0))))+SUMPRODUCT((Inputs!$C$5:$C$130=$B70)*ISNUMBER(INDEX(Inputs!$K$5:$AJ$130,0,MATCH(U$2,Inputs!$K$4:$AJ$4,0))))+SUMPRODUCT((Inputs!$E$5:$E$130=$B70)*ISNUMBER(INDEX(Inputs!$K$5:$AJ$130,0,MATCH(U$2,Inputs!$K$4:$AJ$4,0))))=0,NA(),SUMPRODUCT((Inputs!$A$5:$A$130=$B70)*Inputs!$B$5:$B$130*(((Inputs!$G$5:$G$130="moeda")+(Inputs!$G$5:$G$130="acoes"))*Inputs!$B$1+((Inputs!$G$5:$G$130&lt;&gt;"moeda")*(Inputs!$G$5:$G$130&lt;&gt;"acoes")))*INDEX(Inputs!$K$5:$AJ$130,0,MATCH(U$2,Inputs!$K$4:$AJ$4,0)))+SUMPRODUCT((Inputs!$C$5:$C$130=$B70)*Inputs!$D$5:$D$130*(((Inputs!$G$5:$G$130="moeda")+(Inputs!$G$5:$G$130="acoes"))*Inputs!$B$1+((Inputs!$G$5:$G$130&lt;&gt;"moeda")*(Inputs!$G$5:$G$130&lt;&gt;"acoes")))*INDEX(Inputs!$K$5:$AJ$130,0,MATCH(U$2,Inputs!$K$4:$AJ$4,0)))+SUMPRODUCT((Inputs!$E$5:$E$130=$B70)*Inputs!$F$5:$F$130*(((Inputs!$G$5:$G$130="moeda")+(Inputs!$G$5:$G$130="acoes"))*Inputs!$B$1+((Inputs!$G$5:$G$130&lt;&gt;"moeda")*(Inputs!$G$5:$G$130&lt;&gt;"acoes")))*INDEX(Inputs!$K$5:$AJ$130,0,MATCH(U$2,Inputs!$K$4:$AJ$4,0)))))</f>
        <v>4903</v>
      </c>
      <c r="V70" s="263">
        <f>IF(ISNA(MATCH(V$2,Inputs!$K$4:$AJ$4,0)),NA(),IF(SUMPRODUCT((Inputs!$A$5:$A$130=$B70)*ISNUMBER(INDEX(Inputs!$K$5:$AJ$130,0,MATCH(V$2,Inputs!$K$4:$AJ$4,0))))+SUMPRODUCT((Inputs!$C$5:$C$130=$B70)*ISNUMBER(INDEX(Inputs!$K$5:$AJ$130,0,MATCH(V$2,Inputs!$K$4:$AJ$4,0))))+SUMPRODUCT((Inputs!$E$5:$E$130=$B70)*ISNUMBER(INDEX(Inputs!$K$5:$AJ$130,0,MATCH(V$2,Inputs!$K$4:$AJ$4,0))))=0,NA(),SUMPRODUCT((Inputs!$A$5:$A$130=$B70)*Inputs!$B$5:$B$130*(((Inputs!$G$5:$G$130="moeda")+(Inputs!$G$5:$G$130="acoes"))*Inputs!$B$1+((Inputs!$G$5:$G$130&lt;&gt;"moeda")*(Inputs!$G$5:$G$130&lt;&gt;"acoes")))*INDEX(Inputs!$K$5:$AJ$130,0,MATCH(V$2,Inputs!$K$4:$AJ$4,0)))+SUMPRODUCT((Inputs!$C$5:$C$130=$B70)*Inputs!$D$5:$D$130*(((Inputs!$G$5:$G$130="moeda")+(Inputs!$G$5:$G$130="acoes"))*Inputs!$B$1+((Inputs!$G$5:$G$130&lt;&gt;"moeda")*(Inputs!$G$5:$G$130&lt;&gt;"acoes")))*INDEX(Inputs!$K$5:$AJ$130,0,MATCH(V$2,Inputs!$K$4:$AJ$4,0)))+SUMPRODUCT((Inputs!$E$5:$E$130=$B70)*Inputs!$F$5:$F$130*(((Inputs!$G$5:$G$130="moeda")+(Inputs!$G$5:$G$130="acoes"))*Inputs!$B$1+((Inputs!$G$5:$G$130&lt;&gt;"moeda")*(Inputs!$G$5:$G$130&lt;&gt;"acoes")))*INDEX(Inputs!$K$5:$AJ$130,0,MATCH(V$2,Inputs!$K$4:$AJ$4,0)))))</f>
        <v>4601</v>
      </c>
      <c r="W70" s="264">
        <f>SUM(S70:V70)</f>
        <v>18362</v>
      </c>
      <c r="X70" s="263">
        <f>IF(ISNA(MATCH(X$2,Inputs!$K$4:$AJ$4,0)),NA(),IF(SUMPRODUCT((Inputs!$A$5:$A$130=$B70)*ISNUMBER(INDEX(Inputs!$K$5:$AJ$130,0,MATCH(X$2,Inputs!$K$4:$AJ$4,0))))+SUMPRODUCT((Inputs!$C$5:$C$130=$B70)*ISNUMBER(INDEX(Inputs!$K$5:$AJ$130,0,MATCH(X$2,Inputs!$K$4:$AJ$4,0))))+SUMPRODUCT((Inputs!$E$5:$E$130=$B70)*ISNUMBER(INDEX(Inputs!$K$5:$AJ$130,0,MATCH(X$2,Inputs!$K$4:$AJ$4,0))))=0,NA(),SUMPRODUCT((Inputs!$A$5:$A$130=$B70)*Inputs!$B$5:$B$130*(((Inputs!$G$5:$G$130="moeda")+(Inputs!$G$5:$G$130="acoes"))*Inputs!$B$1+((Inputs!$G$5:$G$130&lt;&gt;"moeda")*(Inputs!$G$5:$G$130&lt;&gt;"acoes")))*INDEX(Inputs!$K$5:$AJ$130,0,MATCH(X$2,Inputs!$K$4:$AJ$4,0)))+SUMPRODUCT((Inputs!$C$5:$C$130=$B70)*Inputs!$D$5:$D$130*(((Inputs!$G$5:$G$130="moeda")+(Inputs!$G$5:$G$130="acoes"))*Inputs!$B$1+((Inputs!$G$5:$G$130&lt;&gt;"moeda")*(Inputs!$G$5:$G$130&lt;&gt;"acoes")))*INDEX(Inputs!$K$5:$AJ$130,0,MATCH(X$2,Inputs!$K$4:$AJ$4,0)))+SUMPRODUCT((Inputs!$E$5:$E$130=$B70)*Inputs!$F$5:$F$130*(((Inputs!$G$5:$G$130="moeda")+(Inputs!$G$5:$G$130="acoes"))*Inputs!$B$1+((Inputs!$G$5:$G$130&lt;&gt;"moeda")*(Inputs!$G$5:$G$130&lt;&gt;"acoes")))*INDEX(Inputs!$K$5:$AJ$130,0,MATCH(X$2,Inputs!$K$4:$AJ$4,0)))))</f>
        <v>4253</v>
      </c>
      <c r="Y70" s="263">
        <f>IF(ISNA(MATCH(Y$2,Inputs!$K$4:$AJ$4,0)),NA(),IF(SUMPRODUCT((Inputs!$A$5:$A$130=$B70)*ISNUMBER(INDEX(Inputs!$K$5:$AJ$130,0,MATCH(Y$2,Inputs!$K$4:$AJ$4,0))))+SUMPRODUCT((Inputs!$C$5:$C$130=$B70)*ISNUMBER(INDEX(Inputs!$K$5:$AJ$130,0,MATCH(Y$2,Inputs!$K$4:$AJ$4,0))))+SUMPRODUCT((Inputs!$E$5:$E$130=$B70)*ISNUMBER(INDEX(Inputs!$K$5:$AJ$130,0,MATCH(Y$2,Inputs!$K$4:$AJ$4,0))))=0,NA(),SUMPRODUCT((Inputs!$A$5:$A$130=$B70)*Inputs!$B$5:$B$130*(((Inputs!$G$5:$G$130="moeda")+(Inputs!$G$5:$G$130="acoes"))*Inputs!$B$1+((Inputs!$G$5:$G$130&lt;&gt;"moeda")*(Inputs!$G$5:$G$130&lt;&gt;"acoes")))*INDEX(Inputs!$K$5:$AJ$130,0,MATCH(Y$2,Inputs!$K$4:$AJ$4,0)))+SUMPRODUCT((Inputs!$C$5:$C$130=$B70)*Inputs!$D$5:$D$130*(((Inputs!$G$5:$G$130="moeda")+(Inputs!$G$5:$G$130="acoes"))*Inputs!$B$1+((Inputs!$G$5:$G$130&lt;&gt;"moeda")*(Inputs!$G$5:$G$130&lt;&gt;"acoes")))*INDEX(Inputs!$K$5:$AJ$130,0,MATCH(Y$2,Inputs!$K$4:$AJ$4,0)))+SUMPRODUCT((Inputs!$E$5:$E$130=$B70)*Inputs!$F$5:$F$130*(((Inputs!$G$5:$G$130="moeda")+(Inputs!$G$5:$G$130="acoes"))*Inputs!$B$1+((Inputs!$G$5:$G$130&lt;&gt;"moeda")*(Inputs!$G$5:$G$130&lt;&gt;"acoes")))*INDEX(Inputs!$K$5:$AJ$130,0,MATCH(Y$2,Inputs!$K$4:$AJ$4,0)))))</f>
        <v>4935</v>
      </c>
      <c r="Z70" s="263">
        <f>IF(ISNA(MATCH(Z$2,Inputs!$K$4:$AJ$4,0)),NA(),IF(SUMPRODUCT((Inputs!$A$5:$A$130=$B70)*ISNUMBER(INDEX(Inputs!$K$5:$AJ$130,0,MATCH(Z$2,Inputs!$K$4:$AJ$4,0))))+SUMPRODUCT((Inputs!$C$5:$C$130=$B70)*ISNUMBER(INDEX(Inputs!$K$5:$AJ$130,0,MATCH(Z$2,Inputs!$K$4:$AJ$4,0))))+SUMPRODUCT((Inputs!$E$5:$E$130=$B70)*ISNUMBER(INDEX(Inputs!$K$5:$AJ$130,0,MATCH(Z$2,Inputs!$K$4:$AJ$4,0))))=0,NA(),SUMPRODUCT((Inputs!$A$5:$A$130=$B70)*Inputs!$B$5:$B$130*(((Inputs!$G$5:$G$130="moeda")+(Inputs!$G$5:$G$130="acoes"))*Inputs!$B$1+((Inputs!$G$5:$G$130&lt;&gt;"moeda")*(Inputs!$G$5:$G$130&lt;&gt;"acoes")))*INDEX(Inputs!$K$5:$AJ$130,0,MATCH(Z$2,Inputs!$K$4:$AJ$4,0)))+SUMPRODUCT((Inputs!$C$5:$C$130=$B70)*Inputs!$D$5:$D$130*(((Inputs!$G$5:$G$130="moeda")+(Inputs!$G$5:$G$130="acoes"))*Inputs!$B$1+((Inputs!$G$5:$G$130&lt;&gt;"moeda")*(Inputs!$G$5:$G$130&lt;&gt;"acoes")))*INDEX(Inputs!$K$5:$AJ$130,0,MATCH(Z$2,Inputs!$K$4:$AJ$4,0)))+SUMPRODUCT((Inputs!$E$5:$E$130=$B70)*Inputs!$F$5:$F$130*(((Inputs!$G$5:$G$130="moeda")+(Inputs!$G$5:$G$130="acoes"))*Inputs!$B$1+((Inputs!$G$5:$G$130&lt;&gt;"moeda")*(Inputs!$G$5:$G$130&lt;&gt;"acoes")))*INDEX(Inputs!$K$5:$AJ$130,0,MATCH(Z$2,Inputs!$K$4:$AJ$4,0)))))</f>
        <v>5118</v>
      </c>
      <c r="AA70" s="263">
        <f>IF(ISNA(MATCH(AA$2,Inputs!$K$4:$AJ$4,0)),NA(),IF(SUMPRODUCT((Inputs!$A$5:$A$130=$B70)*ISNUMBER(INDEX(Inputs!$K$5:$AJ$130,0,MATCH(AA$2,Inputs!$K$4:$AJ$4,0))))+SUMPRODUCT((Inputs!$C$5:$C$130=$B70)*ISNUMBER(INDEX(Inputs!$K$5:$AJ$130,0,MATCH(AA$2,Inputs!$K$4:$AJ$4,0))))+SUMPRODUCT((Inputs!$E$5:$E$130=$B70)*ISNUMBER(INDEX(Inputs!$K$5:$AJ$130,0,MATCH(AA$2,Inputs!$K$4:$AJ$4,0))))=0,NA(),SUMPRODUCT((Inputs!$A$5:$A$130=$B70)*Inputs!$B$5:$B$130*(((Inputs!$G$5:$G$130="moeda")+(Inputs!$G$5:$G$130="acoes"))*Inputs!$B$1+((Inputs!$G$5:$G$130&lt;&gt;"moeda")*(Inputs!$G$5:$G$130&lt;&gt;"acoes")))*INDEX(Inputs!$K$5:$AJ$130,0,MATCH(AA$2,Inputs!$K$4:$AJ$4,0)))+SUMPRODUCT((Inputs!$C$5:$C$130=$B70)*Inputs!$D$5:$D$130*(((Inputs!$G$5:$G$130="moeda")+(Inputs!$G$5:$G$130="acoes"))*Inputs!$B$1+((Inputs!$G$5:$G$130&lt;&gt;"moeda")*(Inputs!$G$5:$G$130&lt;&gt;"acoes")))*INDEX(Inputs!$K$5:$AJ$130,0,MATCH(AA$2,Inputs!$K$4:$AJ$4,0)))+SUMPRODUCT((Inputs!$E$5:$E$130=$B70)*Inputs!$F$5:$F$130*(((Inputs!$G$5:$G$130="moeda")+(Inputs!$G$5:$G$130="acoes"))*Inputs!$B$1+((Inputs!$G$5:$G$130&lt;&gt;"moeda")*(Inputs!$G$5:$G$130&lt;&gt;"acoes")))*INDEX(Inputs!$K$5:$AJ$130,0,MATCH(AA$2,Inputs!$K$4:$AJ$4,0)))))</f>
        <v>4821</v>
      </c>
      <c r="AB70" s="264">
        <f>SUM(X70:AA70)</f>
        <v>19127</v>
      </c>
      <c r="AC70" s="263">
        <f>IF(ISNA(MATCH(AC$2,Inputs!$K$4:$AJ$4,0)),NA(),IF(SUMPRODUCT((Inputs!$A$5:$A$130=$B70)*ISNUMBER(INDEX(Inputs!$K$5:$AJ$130,0,MATCH(AC$2,Inputs!$K$4:$AJ$4,0))))+SUMPRODUCT((Inputs!$C$5:$C$130=$B70)*ISNUMBER(INDEX(Inputs!$K$5:$AJ$130,0,MATCH(AC$2,Inputs!$K$4:$AJ$4,0))))+SUMPRODUCT((Inputs!$E$5:$E$130=$B70)*ISNUMBER(INDEX(Inputs!$K$5:$AJ$130,0,MATCH(AC$2,Inputs!$K$4:$AJ$4,0))))=0,NA(),SUMPRODUCT((Inputs!$A$5:$A$130=$B70)*Inputs!$B$5:$B$130*(((Inputs!$G$5:$G$130="moeda")+(Inputs!$G$5:$G$130="acoes"))*Inputs!$B$1+((Inputs!$G$5:$G$130&lt;&gt;"moeda")*(Inputs!$G$5:$G$130&lt;&gt;"acoes")))*INDEX(Inputs!$K$5:$AJ$130,0,MATCH(AC$2,Inputs!$K$4:$AJ$4,0)))+SUMPRODUCT((Inputs!$C$5:$C$130=$B70)*Inputs!$D$5:$D$130*(((Inputs!$G$5:$G$130="moeda")+(Inputs!$G$5:$G$130="acoes"))*Inputs!$B$1+((Inputs!$G$5:$G$130&lt;&gt;"moeda")*(Inputs!$G$5:$G$130&lt;&gt;"acoes")))*INDEX(Inputs!$K$5:$AJ$130,0,MATCH(AC$2,Inputs!$K$4:$AJ$4,0)))+SUMPRODUCT((Inputs!$E$5:$E$130=$B70)*Inputs!$F$5:$F$130*(((Inputs!$G$5:$G$130="moeda")+(Inputs!$G$5:$G$130="acoes"))*Inputs!$B$1+((Inputs!$G$5:$G$130&lt;&gt;"moeda")*(Inputs!$G$5:$G$130&lt;&gt;"acoes")))*INDEX(Inputs!$K$5:$AJ$130,0,MATCH(AC$2,Inputs!$K$4:$AJ$4,0)))))</f>
        <v>4745</v>
      </c>
      <c r="AD70" s="263">
        <f>IF(ISNA(MATCH(AD$2,Inputs!$K$4:$AJ$4,0)),NA(),IF(SUMPRODUCT((Inputs!$A$5:$A$130=$B70)*ISNUMBER(INDEX(Inputs!$K$5:$AJ$130,0,MATCH(AD$2,Inputs!$K$4:$AJ$4,0))))+SUMPRODUCT((Inputs!$C$5:$C$130=$B70)*ISNUMBER(INDEX(Inputs!$K$5:$AJ$130,0,MATCH(AD$2,Inputs!$K$4:$AJ$4,0))))+SUMPRODUCT((Inputs!$E$5:$E$130=$B70)*ISNUMBER(INDEX(Inputs!$K$5:$AJ$130,0,MATCH(AD$2,Inputs!$K$4:$AJ$4,0))))=0,NA(),SUMPRODUCT((Inputs!$A$5:$A$130=$B70)*Inputs!$B$5:$B$130*(((Inputs!$G$5:$G$130="moeda")+(Inputs!$G$5:$G$130="acoes"))*Inputs!$B$1+((Inputs!$G$5:$G$130&lt;&gt;"moeda")*(Inputs!$G$5:$G$130&lt;&gt;"acoes")))*INDEX(Inputs!$K$5:$AJ$130,0,MATCH(AD$2,Inputs!$K$4:$AJ$4,0)))+SUMPRODUCT((Inputs!$C$5:$C$130=$B70)*Inputs!$D$5:$D$130*(((Inputs!$G$5:$G$130="moeda")+(Inputs!$G$5:$G$130="acoes"))*Inputs!$B$1+((Inputs!$G$5:$G$130&lt;&gt;"moeda")*(Inputs!$G$5:$G$130&lt;&gt;"acoes")))*INDEX(Inputs!$K$5:$AJ$130,0,MATCH(AD$2,Inputs!$K$4:$AJ$4,0)))+SUMPRODUCT((Inputs!$E$5:$E$130=$B70)*Inputs!$F$5:$F$130*(((Inputs!$G$5:$G$130="moeda")+(Inputs!$G$5:$G$130="acoes"))*Inputs!$B$1+((Inputs!$G$5:$G$130&lt;&gt;"moeda")*(Inputs!$G$5:$G$130&lt;&gt;"acoes")))*INDEX(Inputs!$K$5:$AJ$130,0,MATCH(AD$2,Inputs!$K$4:$AJ$4,0)))))</f>
        <v>5260</v>
      </c>
      <c r="AE70" s="263" t="e">
        <f>IF(ISNA(MATCH(AE$2,Inputs!$K$4:$AJ$4,0)),NA(),IF(SUMPRODUCT((Inputs!$A$5:$A$130=$B70)*ISNUMBER(INDEX(Inputs!$K$5:$AJ$130,0,MATCH(AE$2,Inputs!$K$4:$AJ$4,0))))+SUMPRODUCT((Inputs!$C$5:$C$130=$B70)*ISNUMBER(INDEX(Inputs!$K$5:$AJ$130,0,MATCH(AE$2,Inputs!$K$4:$AJ$4,0))))+SUMPRODUCT((Inputs!$E$5:$E$130=$B70)*ISNUMBER(INDEX(Inputs!$K$5:$AJ$130,0,MATCH(AE$2,Inputs!$K$4:$AJ$4,0))))=0,NA(),SUMPRODUCT((Inputs!$A$5:$A$130=$B70)*Inputs!$B$5:$B$130*(((Inputs!$G$5:$G$130="moeda")+(Inputs!$G$5:$G$130="acoes"))*Inputs!$B$1+((Inputs!$G$5:$G$130&lt;&gt;"moeda")*(Inputs!$G$5:$G$130&lt;&gt;"acoes")))*INDEX(Inputs!$K$5:$AJ$130,0,MATCH(AE$2,Inputs!$K$4:$AJ$4,0)))+SUMPRODUCT((Inputs!$C$5:$C$130=$B70)*Inputs!$D$5:$D$130*(((Inputs!$G$5:$G$130="moeda")+(Inputs!$G$5:$G$130="acoes"))*Inputs!$B$1+((Inputs!$G$5:$G$130&lt;&gt;"moeda")*(Inputs!$G$5:$G$130&lt;&gt;"acoes")))*INDEX(Inputs!$K$5:$AJ$130,0,MATCH(AE$2,Inputs!$K$4:$AJ$4,0)))+SUMPRODUCT((Inputs!$E$5:$E$130=$B70)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0" s="263" t="e">
        <f>IF(ISNA(MATCH(AF$2,Inputs!$K$4:$AJ$4,0)),NA(),IF(SUMPRODUCT((Inputs!$A$5:$A$130=$B70)*ISNUMBER(INDEX(Inputs!$K$5:$AJ$130,0,MATCH(AF$2,Inputs!$K$4:$AJ$4,0))))+SUMPRODUCT((Inputs!$C$5:$C$130=$B70)*ISNUMBER(INDEX(Inputs!$K$5:$AJ$130,0,MATCH(AF$2,Inputs!$K$4:$AJ$4,0))))+SUMPRODUCT((Inputs!$E$5:$E$130=$B70)*ISNUMBER(INDEX(Inputs!$K$5:$AJ$130,0,MATCH(AF$2,Inputs!$K$4:$AJ$4,0))))=0,NA(),SUMPRODUCT((Inputs!$A$5:$A$130=$B70)*Inputs!$B$5:$B$130*(((Inputs!$G$5:$G$130="moeda")+(Inputs!$G$5:$G$130="acoes"))*Inputs!$B$1+((Inputs!$G$5:$G$130&lt;&gt;"moeda")*(Inputs!$G$5:$G$130&lt;&gt;"acoes")))*INDEX(Inputs!$K$5:$AJ$130,0,MATCH(AF$2,Inputs!$K$4:$AJ$4,0)))+SUMPRODUCT((Inputs!$C$5:$C$130=$B70)*Inputs!$D$5:$D$130*(((Inputs!$G$5:$G$130="moeda")+(Inputs!$G$5:$G$130="acoes"))*Inputs!$B$1+((Inputs!$G$5:$G$130&lt;&gt;"moeda")*(Inputs!$G$5:$G$130&lt;&gt;"acoes")))*INDEX(Inputs!$K$5:$AJ$130,0,MATCH(AF$2,Inputs!$K$4:$AJ$4,0)))+SUMPRODUCT((Inputs!$E$5:$E$130=$B70)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0" s="264" t="e">
        <f>SUM(AC70:AF70)</f>
        <v>#N/A</v>
      </c>
      <c r="AH70" s="263">
        <f>IF(ISNA(MATCH(AH$2,Inputs!$K$4:$AJ$4,0)),NA(),IF(SUMPRODUCT((Inputs!$A$5:$A$130=$B70)*ISNUMBER(INDEX(Inputs!$K$5:$AJ$130,0,MATCH(AH$2,Inputs!$K$4:$AJ$4,0))))+SUMPRODUCT((Inputs!$C$5:$C$130=$B70)*ISNUMBER(INDEX(Inputs!$K$5:$AJ$130,0,MATCH(AH$2,Inputs!$K$4:$AJ$4,0))))+SUMPRODUCT((Inputs!$E$5:$E$130=$B70)*ISNUMBER(INDEX(Inputs!$K$5:$AJ$130,0,MATCH(AH$2,Inputs!$K$4:$AJ$4,0))))=0,NA(),SUMPRODUCT((Inputs!$A$5:$A$130=$B70)*Inputs!$B$5:$B$130*(((Inputs!$G$5:$G$130="moeda")+(Inputs!$G$5:$G$130="acoes"))*Inputs!$B$1+((Inputs!$G$5:$G$130&lt;&gt;"moeda")*(Inputs!$G$5:$G$130&lt;&gt;"acoes")))*INDEX(Inputs!$K$5:$AJ$130,0,MATCH(AH$2,Inputs!$K$4:$AJ$4,0)))+SUMPRODUCT((Inputs!$C$5:$C$130=$B70)*Inputs!$D$5:$D$130*(((Inputs!$G$5:$G$130="moeda")+(Inputs!$G$5:$G$130="acoes"))*Inputs!$B$1+((Inputs!$G$5:$G$130&lt;&gt;"moeda")*(Inputs!$G$5:$G$130&lt;&gt;"acoes")))*INDEX(Inputs!$K$5:$AJ$130,0,MATCH(AH$2,Inputs!$K$4:$AJ$4,0)))+SUMPRODUCT((Inputs!$E$5:$E$130=$B70)*Inputs!$F$5:$F$130*(((Inputs!$G$5:$G$130="moeda")+(Inputs!$G$5:$G$130="acoes"))*Inputs!$B$1+((Inputs!$G$5:$G$130&lt;&gt;"moeda")*(Inputs!$G$5:$G$130&lt;&gt;"acoes")))*INDEX(Inputs!$K$5:$AJ$130,0,MATCH(AH$2,Inputs!$K$4:$AJ$4,0)))))</f>
        <v>2807</v>
      </c>
      <c r="AI70" s="263">
        <f>IF(ISNA(MATCH(AI$2,Inputs!$K$4:$AJ$4,0)),NA(),IF(SUMPRODUCT((Inputs!$A$5:$A$130=$B70)*ISNUMBER(INDEX(Inputs!$K$5:$AJ$130,0,MATCH(AI$2,Inputs!$K$4:$AJ$4,0))))+SUMPRODUCT((Inputs!$C$5:$C$130=$B70)*ISNUMBER(INDEX(Inputs!$K$5:$AJ$130,0,MATCH(AI$2,Inputs!$K$4:$AJ$4,0))))+SUMPRODUCT((Inputs!$E$5:$E$130=$B70)*ISNUMBER(INDEX(Inputs!$K$5:$AJ$130,0,MATCH(AI$2,Inputs!$K$4:$AJ$4,0))))=0,NA(),SUMPRODUCT((Inputs!$A$5:$A$130=$B70)*Inputs!$B$5:$B$130*(((Inputs!$G$5:$G$130="moeda")+(Inputs!$G$5:$G$130="acoes"))*Inputs!$B$1+((Inputs!$G$5:$G$130&lt;&gt;"moeda")*(Inputs!$G$5:$G$130&lt;&gt;"acoes")))*INDEX(Inputs!$K$5:$AJ$130,0,MATCH(AI$2,Inputs!$K$4:$AJ$4,0)))+SUMPRODUCT((Inputs!$C$5:$C$130=$B70)*Inputs!$D$5:$D$130*(((Inputs!$G$5:$G$130="moeda")+(Inputs!$G$5:$G$130="acoes"))*Inputs!$B$1+((Inputs!$G$5:$G$130&lt;&gt;"moeda")*(Inputs!$G$5:$G$130&lt;&gt;"acoes")))*INDEX(Inputs!$K$5:$AJ$130,0,MATCH(AI$2,Inputs!$K$4:$AJ$4,0)))+SUMPRODUCT((Inputs!$E$5:$E$130=$B70)*Inputs!$F$5:$F$130*(((Inputs!$G$5:$G$130="moeda")+(Inputs!$G$5:$G$130="acoes"))*Inputs!$B$1+((Inputs!$G$5:$G$130&lt;&gt;"moeda")*(Inputs!$G$5:$G$130&lt;&gt;"acoes")))*INDEX(Inputs!$K$5:$AJ$130,0,MATCH(AI$2,Inputs!$K$4:$AJ$4,0)))))</f>
        <v>2583</v>
      </c>
      <c r="AJ70" s="263">
        <f>IF(ISNA(MATCH(AJ$2,Inputs!$K$4:$AJ$4,0)),NA(),IF(SUMPRODUCT((Inputs!$A$5:$A$130=$B70)*ISNUMBER(INDEX(Inputs!$K$5:$AJ$130,0,MATCH(AJ$2,Inputs!$K$4:$AJ$4,0))))+SUMPRODUCT((Inputs!$C$5:$C$130=$B70)*ISNUMBER(INDEX(Inputs!$K$5:$AJ$130,0,MATCH(AJ$2,Inputs!$K$4:$AJ$4,0))))+SUMPRODUCT((Inputs!$E$5:$E$130=$B70)*ISNUMBER(INDEX(Inputs!$K$5:$AJ$130,0,MATCH(AJ$2,Inputs!$K$4:$AJ$4,0))))=0,NA(),SUMPRODUCT((Inputs!$A$5:$A$130=$B70)*Inputs!$B$5:$B$130*(((Inputs!$G$5:$G$130="moeda")+(Inputs!$G$5:$G$130="acoes"))*Inputs!$B$1+((Inputs!$G$5:$G$130&lt;&gt;"moeda")*(Inputs!$G$5:$G$130&lt;&gt;"acoes")))*INDEX(Inputs!$K$5:$AJ$130,0,MATCH(AJ$2,Inputs!$K$4:$AJ$4,0)))+SUMPRODUCT((Inputs!$C$5:$C$130=$B70)*Inputs!$D$5:$D$130*(((Inputs!$G$5:$G$130="moeda")+(Inputs!$G$5:$G$130="acoes"))*Inputs!$B$1+((Inputs!$G$5:$G$130&lt;&gt;"moeda")*(Inputs!$G$5:$G$130&lt;&gt;"acoes")))*INDEX(Inputs!$K$5:$AJ$130,0,MATCH(AJ$2,Inputs!$K$4:$AJ$4,0)))+SUMPRODUCT((Inputs!$E$5:$E$130=$B70)*Inputs!$F$5:$F$130*(((Inputs!$G$5:$G$130="moeda")+(Inputs!$G$5:$G$130="acoes"))*Inputs!$B$1+((Inputs!$G$5:$G$130&lt;&gt;"moeda")*(Inputs!$G$5:$G$130&lt;&gt;"acoes")))*INDEX(Inputs!$K$5:$AJ$130,0,MATCH(AJ$2,Inputs!$K$4:$AJ$4,0)))))</f>
        <v>3026</v>
      </c>
      <c r="AK70" s="263">
        <f>IF(ISNA(MATCH(AK$2,Inputs!$K$4:$AJ$4,0)),NA(),IF(SUMPRODUCT((Inputs!$A$5:$A$130=$B70)*ISNUMBER(INDEX(Inputs!$K$5:$AJ$130,0,MATCH(AK$2,Inputs!$K$4:$AJ$4,0))))+SUMPRODUCT((Inputs!$C$5:$C$130=$B70)*ISNUMBER(INDEX(Inputs!$K$5:$AJ$130,0,MATCH(AK$2,Inputs!$K$4:$AJ$4,0))))+SUMPRODUCT((Inputs!$E$5:$E$130=$B70)*ISNUMBER(INDEX(Inputs!$K$5:$AJ$130,0,MATCH(AK$2,Inputs!$K$4:$AJ$4,0))))=0,NA(),SUMPRODUCT((Inputs!$A$5:$A$130=$B70)*Inputs!$B$5:$B$130*(((Inputs!$G$5:$G$130="moeda")+(Inputs!$G$5:$G$130="acoes"))*Inputs!$B$1+((Inputs!$G$5:$G$130&lt;&gt;"moeda")*(Inputs!$G$5:$G$130&lt;&gt;"acoes")))*INDEX(Inputs!$K$5:$AJ$130,0,MATCH(AK$2,Inputs!$K$4:$AJ$4,0)))+SUMPRODUCT((Inputs!$C$5:$C$130=$B70)*Inputs!$D$5:$D$130*(((Inputs!$G$5:$G$130="moeda")+(Inputs!$G$5:$G$130="acoes"))*Inputs!$B$1+((Inputs!$G$5:$G$130&lt;&gt;"moeda")*(Inputs!$G$5:$G$130&lt;&gt;"acoes")))*INDEX(Inputs!$K$5:$AJ$130,0,MATCH(AK$2,Inputs!$K$4:$AJ$4,0)))+SUMPRODUCT((Inputs!$E$5:$E$130=$B70)*Inputs!$F$5:$F$130*(((Inputs!$G$5:$G$130="moeda")+(Inputs!$G$5:$G$130="acoes"))*Inputs!$B$1+((Inputs!$G$5:$G$130&lt;&gt;"moeda")*(Inputs!$G$5:$G$130&lt;&gt;"acoes")))*INDEX(Inputs!$K$5:$AJ$130,0,MATCH(AK$2,Inputs!$K$4:$AJ$4,0)))))</f>
        <v>2865</v>
      </c>
      <c r="AL70" s="264">
        <f>SUM(AH70:AK70)</f>
        <v>11281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</v>
      </c>
      <c r="T2" s="3">
        <f>ABS(T197-T273)</f>
        <v>0</v>
      </c>
      <c r="U2" s="3">
        <f>ABS(U197-U273)</f>
        <v>0</v>
      </c>
      <c r="V2" s="3">
        <f>ABS(V197-V273)</f>
        <v>0</v>
      </c>
      <c r="W2" s="3">
        <f>ABS(W197-W273)</f>
        <v>0</v>
      </c>
      <c r="X2" s="3">
        <f>ABS(X197-X273)</f>
        <v>0</v>
      </c>
      <c r="Y2" s="3">
        <f>ABS(Y197-Y273)</f>
        <v>0</v>
      </c>
      <c r="Z2" s="3">
        <f>ABS(Z197-Z273)</f>
        <v>0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</v>
      </c>
      <c r="E3" s="3">
        <f>IF(COUNT(E4)=0,"",ABS(E137-E4))</f>
        <v>0</v>
      </c>
      <c r="F3" s="3">
        <f>IF(COUNT(F4)=0,"",ABS(F137-F4))</f>
        <v>0</v>
      </c>
      <c r="G3" s="3">
        <f>IF(COUNT(G4)=0,"",ABS(G137-G4))</f>
        <v>0</v>
      </c>
      <c r="H3" s="3">
        <f>IF(COUNT(H4)=0,"",ABS(H137-H4))</f>
        <v>0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</v>
      </c>
      <c r="Q3" s="3">
        <f>IF(COUNT(Q4)=0,"",ABS(Q137-Q4))</f>
        <v>0</v>
      </c>
      <c r="R3" s="3">
        <f>IF(COUNT(R4)=0,"",ABS(R137-R4))</f>
        <v>0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</v>
      </c>
      <c r="V3" s="3">
        <f>IF(COUNT(V4)=0,"",ABS(V137-V4))</f>
        <v>0</v>
      </c>
      <c r="W3" s="3">
        <f>IF(COUNT(W4)=0,"",ABS(W137-W4))</f>
        <v>0</v>
      </c>
      <c r="X3" s="3">
        <f>IF(COUNT(X4)=0,"",ABS(X137-X4))</f>
        <v>0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</v>
      </c>
      <c r="AG3" s="3">
        <f>IF(COUNT(AG4)=0,"",ABS(AG137-AG4))</f>
        <v>0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2775</v>
      </c>
      <c r="E4" s="16">
        <f>INDEX('Inputs (2)'!$D$50:$AL$50,MATCH(E$7,'Inputs (2)'!$D$2:$AL$2,0))</f>
        <v>1779</v>
      </c>
      <c r="F4" s="16">
        <f>INDEX('Inputs (2)'!$D$50:$AL$50,MATCH(F$7,'Inputs (2)'!$D$2:$AL$2,0))</f>
        <v>1737</v>
      </c>
      <c r="G4" s="16">
        <f>INDEX('Inputs (2)'!$D$50:$AL$50,MATCH(G$7,'Inputs (2)'!$D$2:$AL$2,0))</f>
        <v>1456</v>
      </c>
      <c r="H4" s="16">
        <f>IF(COUNT(D4:G4)=4,SUM(D4:G4),"")</f>
        <v>7747</v>
      </c>
      <c r="I4" s="16">
        <f>INDEX('Inputs (2)'!$D$50:$AL$50,MATCH(I$7,'Inputs (2)'!$D$2:$AL$2,0))</f>
        <v>2245</v>
      </c>
      <c r="J4" s="16">
        <f>INDEX('Inputs (2)'!$D$50:$AL$50,MATCH(J$7,'Inputs (2)'!$D$2:$AL$2,0))</f>
        <v>2641</v>
      </c>
      <c r="K4" s="16">
        <f>INDEX('Inputs (2)'!$D$50:$AL$50,MATCH(K$7,'Inputs (2)'!$D$2:$AL$2,0))</f>
        <v>2471</v>
      </c>
      <c r="L4" s="16">
        <f>INDEX('Inputs (2)'!$D$50:$AL$50,MATCH(L$7,'Inputs (2)'!$D$2:$AL$2,0))</f>
        <v>2414</v>
      </c>
      <c r="M4" s="16">
        <f>IF(COUNT(I4:L4)=4,SUM(I4:L4),"")</f>
        <v>9771</v>
      </c>
      <c r="N4" s="16">
        <f>INDEX('Inputs (2)'!$D$50:$AL$50,MATCH(N$7,'Inputs (2)'!$D$2:$AL$2,0))</f>
        <v>2781</v>
      </c>
      <c r="O4" s="16">
        <f>INDEX('Inputs (2)'!$D$50:$AL$50,MATCH(O$7,'Inputs (2)'!$D$2:$AL$2,0))</f>
        <v>1905</v>
      </c>
      <c r="P4" s="16">
        <f>INDEX('Inputs (2)'!$D$50:$AL$50,MATCH(P$7,'Inputs (2)'!$D$2:$AL$2,0))</f>
        <v>2825</v>
      </c>
      <c r="Q4" s="16">
        <f>INDEX('Inputs (2)'!$D$50:$AL$50,MATCH(Q$7,'Inputs (2)'!$D$2:$AL$2,0))</f>
        <v>2031</v>
      </c>
      <c r="R4" s="16">
        <f>IF(COUNT(N4:Q4)=4,SUM(N4:Q4),"")</f>
        <v>9542</v>
      </c>
      <c r="S4" s="16">
        <f>INDEX('Inputs (2)'!$D$50:$AL$50,MATCH(S$7,'Inputs (2)'!$D$2:$AL$2,0))</f>
        <v>3107</v>
      </c>
      <c r="T4" s="16">
        <f>INDEX('Inputs (2)'!$D$50:$AL$50,MATCH(T$7,'Inputs (2)'!$D$2:$AL$2,0))</f>
        <v>2547</v>
      </c>
      <c r="U4" s="16">
        <f>INDEX('Inputs (2)'!$D$50:$AL$50,MATCH(U$7,'Inputs (2)'!$D$2:$AL$2,0))</f>
        <v>3087</v>
      </c>
      <c r="V4" s="16">
        <f>INDEX('Inputs (2)'!$D$50:$AL$50,MATCH(V$7,'Inputs (2)'!$D$2:$AL$2,0))</f>
        <v>1973</v>
      </c>
      <c r="W4" s="16">
        <f>IF(COUNT(S4:V4)=4,SUM(S4:V4),"")</f>
        <v>10714</v>
      </c>
      <c r="X4" s="16">
        <f>INDEX('Inputs (2)'!$D$50:$AL$50,MATCH(X$7,'Inputs (2)'!$D$2:$AL$2,0))</f>
        <v>3177</v>
      </c>
      <c r="Y4" s="16">
        <f>INDEX('Inputs (2)'!$D$50:$AL$50,MATCH(Y$7,'Inputs (2)'!$D$2:$AL$2,0))</f>
        <v>2411</v>
      </c>
      <c r="Z4" s="16">
        <f>INDEX('Inputs (2)'!$D$50:$AL$50,MATCH(Z$7,'Inputs (2)'!$D$2:$AL$2,0))</f>
        <v>2848</v>
      </c>
      <c r="AA4" s="16">
        <f>INDEX('Inputs (2)'!$D$50:$AL$50,MATCH(AA$7,'Inputs (2)'!$D$2:$AL$2,0))</f>
        <v>2195</v>
      </c>
      <c r="AB4" s="16">
        <f>IF(COUNT(X4:AA4)=4,SUM(X4:AA4),"")</f>
        <v>10631</v>
      </c>
      <c r="AC4" s="16">
        <f>INDEX('Inputs (2)'!$D$50:$AL$50,MATCH(AC$7,'Inputs (2)'!$D$2:$AL$2,0))</f>
        <v>3330</v>
      </c>
      <c r="AD4" s="16">
        <f>INDEX('Inputs (2)'!$D$50:$AL$50,MATCH(AD$7,'Inputs (2)'!$D$2:$AL$2,0))</f>
        <v>3810</v>
      </c>
      <c r="AE4" s="16">
        <f>INDEX('Inputs (2)'!$D$50:$AL$50,MATCH(AE$7,'Inputs (2)'!$D$2:$AL$2,0))</f>
        <v>3696</v>
      </c>
      <c r="AF4" s="16">
        <f>INDEX('Inputs (2)'!$D$50:$AL$50,MATCH(AF$7,'Inputs (2)'!$D$2:$AL$2,0))</f>
        <v>2271</v>
      </c>
      <c r="AG4" s="16">
        <f>IF(COUNT(AC4:AF4)=4,SUM(AC4:AF4),"")</f>
        <v>13107</v>
      </c>
      <c r="AH4" s="6">
        <f>INDEX('Inputs (2)'!$D$50:$AL$50,MATCH(AH$7,'Inputs (2)'!$D$2:$AL$2,0))</f>
        <v>3924</v>
      </c>
      <c r="AI4" s="6">
        <f>INDEX('Inputs (2)'!$D$50:$AL$50,MATCH(AI$7,'Inputs (2)'!$D$2:$AL$2,0))</f>
        <v>4425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8601</v>
      </c>
      <c r="E15" s="15">
        <f>INDEX('Inputs (2)'!$D$4:$AL$4,MATCH(E$7,'Inputs (2)'!$D$2:$AL$2,0))</f>
        <v>7150</v>
      </c>
      <c r="F15" s="15">
        <f>INDEX('Inputs (2)'!$D$4:$AL$4,MATCH(F$7,'Inputs (2)'!$D$2:$AL$2,0))</f>
        <v>8652</v>
      </c>
      <c r="G15" s="15">
        <f>INDEX('Inputs (2)'!$D$4:$AL$4,MATCH(G$7,'Inputs (2)'!$D$2:$AL$2,0))</f>
        <v>8611</v>
      </c>
      <c r="H15" s="16">
        <f>SUM(D15:G15)</f>
        <v>33014</v>
      </c>
      <c r="I15" s="15">
        <f>INDEX('Inputs (2)'!$D$4:$AL$4,MATCH(I$7,'Inputs (2)'!$D$2:$AL$2,0))</f>
        <v>9020</v>
      </c>
      <c r="J15" s="15">
        <f>INDEX('Inputs (2)'!$D$4:$AL$4,MATCH(J$7,'Inputs (2)'!$D$2:$AL$2,0))</f>
        <v>10129</v>
      </c>
      <c r="K15" s="15">
        <f>INDEX('Inputs (2)'!$D$4:$AL$4,MATCH(K$7,'Inputs (2)'!$D$2:$AL$2,0))</f>
        <v>10042</v>
      </c>
      <c r="L15" s="15">
        <f>INDEX('Inputs (2)'!$D$4:$AL$4,MATCH(L$7,'Inputs (2)'!$D$2:$AL$2,0))</f>
        <v>9464</v>
      </c>
      <c r="M15" s="16">
        <f>SUM(I15:L15)</f>
        <v>38655</v>
      </c>
      <c r="N15" s="15">
        <f>INDEX('Inputs (2)'!$D$4:$AL$4,MATCH(N$7,'Inputs (2)'!$D$2:$AL$2,0))</f>
        <v>10491</v>
      </c>
      <c r="O15" s="15">
        <f>INDEX('Inputs (2)'!$D$4:$AL$4,MATCH(O$7,'Inputs (2)'!$D$2:$AL$2,0))</f>
        <v>11325</v>
      </c>
      <c r="P15" s="15">
        <f>INDEX('Inputs (2)'!$D$4:$AL$4,MATCH(P$7,'Inputs (2)'!$D$2:$AL$2,0))</f>
        <v>11063</v>
      </c>
      <c r="Q15" s="15">
        <f>INDEX('Inputs (2)'!$D$4:$AL$4,MATCH(Q$7,'Inputs (2)'!$D$2:$AL$2,0))</f>
        <v>10125</v>
      </c>
      <c r="R15" s="16">
        <f>SUM(N15:Q15)</f>
        <v>43004</v>
      </c>
      <c r="S15" s="15">
        <f>INDEX('Inputs (2)'!$D$4:$AL$4,MATCH(S$7,'Inputs (2)'!$D$2:$AL$2,0))</f>
        <v>10980</v>
      </c>
      <c r="T15" s="15">
        <f>INDEX('Inputs (2)'!$D$4:$AL$4,MATCH(T$7,'Inputs (2)'!$D$2:$AL$2,0))</f>
        <v>11972</v>
      </c>
      <c r="U15" s="15">
        <f>INDEX('Inputs (2)'!$D$4:$AL$4,MATCH(U$7,'Inputs (2)'!$D$2:$AL$2,0))</f>
        <v>11953</v>
      </c>
      <c r="V15" s="15">
        <f>INDEX('Inputs (2)'!$D$4:$AL$4,MATCH(V$7,'Inputs (2)'!$D$2:$AL$2,0))</f>
        <v>10849</v>
      </c>
      <c r="W15" s="16">
        <f>SUM(S15:V15)</f>
        <v>45754</v>
      </c>
      <c r="X15" s="15">
        <f>INDEX('Inputs (2)'!$D$4:$AL$4,MATCH(X$7,'Inputs (2)'!$D$2:$AL$2,0))</f>
        <v>11300</v>
      </c>
      <c r="Y15" s="15">
        <f>INDEX('Inputs (2)'!$D$4:$AL$4,MATCH(Y$7,'Inputs (2)'!$D$2:$AL$2,0))</f>
        <v>12363</v>
      </c>
      <c r="Z15" s="15">
        <f>INDEX('Inputs (2)'!$D$4:$AL$4,MATCH(Z$7,'Inputs (2)'!$D$2:$AL$2,0))</f>
        <v>11854</v>
      </c>
      <c r="AA15" s="15">
        <f>INDEX('Inputs (2)'!$D$4:$AL$4,MATCH(AA$7,'Inputs (2)'!$D$2:$AL$2,0))</f>
        <v>11544</v>
      </c>
      <c r="AB15" s="16">
        <f>SUM(X15:AA15)</f>
        <v>47061</v>
      </c>
      <c r="AC15" s="15">
        <f>INDEX('Inputs (2)'!$D$4:$AL$4,MATCH(AC$7,'Inputs (2)'!$D$2:$AL$2,0))</f>
        <v>11129</v>
      </c>
      <c r="AD15" s="15">
        <f>INDEX('Inputs (2)'!$D$4:$AL$4,MATCH(AD$7,'Inputs (2)'!$D$2:$AL$2,0))</f>
        <v>12535</v>
      </c>
      <c r="AE15" s="15">
        <f>INDEX('Inputs (2)'!$D$4:$AL$4,MATCH(AE$7,'Inputs (2)'!$D$2:$AL$2,0))</f>
        <v>12455</v>
      </c>
      <c r="AF15" s="15">
        <f>INDEX('Inputs (2)'!$D$4:$AL$4,MATCH(AF$7,'Inputs (2)'!$D$2:$AL$2,0))</f>
        <v>11822</v>
      </c>
      <c r="AG15" s="16">
        <f>SUM(AC15:AF15)</f>
        <v>47941</v>
      </c>
      <c r="AH15" s="16">
        <f>INDEX('Inputs (2)'!$D$4:$AL$4,MATCH(AH$7,'Inputs (2)'!$D$2:$AL$2,0))</f>
        <v>12472</v>
      </c>
      <c r="AI15" s="16">
        <f>INDEX('Inputs (2)'!$D$4:$AL$4,MATCH(AI$7,'Inputs (2)'!$D$2:$AL$2,0))</f>
        <v>13380</v>
      </c>
      <c r="AJ15" s="16">
        <f>AE15*(1+AJ16)</f>
        <v>12455</v>
      </c>
      <c r="AK15" s="16">
        <f>AF15*(1+AK16)</f>
        <v>11822</v>
      </c>
      <c r="AL15" s="16">
        <f>SUM(AH15:AK15)</f>
        <v>50129</v>
      </c>
      <c r="AM15" s="16">
        <f>AH15*(1+AM16)</f>
        <v>12472</v>
      </c>
      <c r="AN15" s="16">
        <f>AI15*(1+AN16)</f>
        <v>13380</v>
      </c>
      <c r="AO15" s="16">
        <f>AJ15*(1+AO16)</f>
        <v>12455</v>
      </c>
      <c r="AP15" s="16">
        <f>AK15*(1+AP16)</f>
        <v>11822</v>
      </c>
      <c r="AQ15" s="16">
        <f>SUM(AM15:AP15)</f>
        <v>50129</v>
      </c>
      <c r="AR15" s="16">
        <f>AM15*(1+AR16)</f>
        <v>12472</v>
      </c>
      <c r="AS15" s="16">
        <f>AN15*(1+AS16)</f>
        <v>13380</v>
      </c>
      <c r="AT15" s="16">
        <f>AO15*(1+AT16)</f>
        <v>12455</v>
      </c>
      <c r="AU15" s="16">
        <f>AP15*(1+AU16)</f>
        <v>11822</v>
      </c>
      <c r="AV15" s="16">
        <f>SUM(AR15:AU15)</f>
        <v>50129</v>
      </c>
      <c r="AW15" s="16">
        <f>AR15*(1+AW16)</f>
        <v>12472</v>
      </c>
      <c r="AX15" s="16">
        <f>AS15*(1+AX16)</f>
        <v>13380</v>
      </c>
      <c r="AY15" s="16">
        <f>AT15*(1+AY16)</f>
        <v>12455</v>
      </c>
      <c r="AZ15" s="16">
        <f>AU15*(1+AZ16)</f>
        <v>11822</v>
      </c>
      <c r="BA15" s="16">
        <f>SUM(AW15:AZ15)</f>
        <v>50129</v>
      </c>
      <c r="BB15" s="16">
        <f>AW15*(1+BB16)</f>
        <v>12472</v>
      </c>
      <c r="BC15" s="16">
        <f>AX15*(1+BC16)</f>
        <v>13380</v>
      </c>
      <c r="BD15" s="16">
        <f>AY15*(1+BD16)</f>
        <v>12455</v>
      </c>
      <c r="BE15" s="16">
        <f>AZ15*(1+BE16)</f>
        <v>11822</v>
      </c>
      <c r="BF15" s="16">
        <f>SUM(BB15:BE15)</f>
        <v>50129</v>
      </c>
      <c r="BG15" s="16">
        <f>BB15*(1+BG16)</f>
        <v>12472</v>
      </c>
      <c r="BH15" s="16">
        <f>BC15*(1+BH16)</f>
        <v>13380</v>
      </c>
      <c r="BI15" s="16">
        <f>BD15*(1+BI16)</f>
        <v>12455</v>
      </c>
      <c r="BJ15" s="16">
        <f>BE15*(1+BJ16)</f>
        <v>11822</v>
      </c>
      <c r="BK15" s="16">
        <f>SUM(BG15:BJ15)</f>
        <v>50129</v>
      </c>
      <c r="BL15" s="16">
        <f>BG15*(1+BL16)</f>
        <v>12472</v>
      </c>
      <c r="BM15" s="16">
        <f>BH15*(1+BM16)</f>
        <v>13380</v>
      </c>
      <c r="BN15" s="16">
        <f>BI15*(1+BN16)</f>
        <v>12455</v>
      </c>
      <c r="BO15" s="16">
        <f>BJ15*(1+BO16)</f>
        <v>11822</v>
      </c>
      <c r="BP15" s="16">
        <f>SUM(BL15:BO15)</f>
        <v>50129</v>
      </c>
      <c r="BQ15" s="16">
        <f>BL15*(1+BQ16)</f>
        <v>12472</v>
      </c>
      <c r="BR15" s="16">
        <f>BM15*(1+BR16)</f>
        <v>13380</v>
      </c>
      <c r="BS15" s="16">
        <f>BN15*(1+BS16)</f>
        <v>12455</v>
      </c>
      <c r="BT15" s="16">
        <f>BO15*(1+BT16)</f>
        <v>11822</v>
      </c>
      <c r="BU15" s="16">
        <f>SUM(BQ15:BT15)</f>
        <v>50129</v>
      </c>
      <c r="BV15" s="16">
        <f>BQ15*(1+BV16)</f>
        <v>12472</v>
      </c>
      <c r="BW15" s="16">
        <f>BR15*(1+BW16)</f>
        <v>13380</v>
      </c>
      <c r="BX15" s="16">
        <f>BS15*(1+BX16)</f>
        <v>12455</v>
      </c>
      <c r="BY15" s="16">
        <f>BT15*(1+BY16)</f>
        <v>11822</v>
      </c>
      <c r="BZ15" s="16">
        <f>SUM(BV15:BY15)</f>
        <v>50129</v>
      </c>
      <c r="CA15" s="16">
        <f>BV15*(1+CA16)</f>
        <v>12472</v>
      </c>
      <c r="CB15" s="16">
        <f>BW15*(1+CB16)</f>
        <v>13380</v>
      </c>
      <c r="CC15" s="16">
        <f>BX15*(1+CC16)</f>
        <v>12455</v>
      </c>
      <c r="CD15" s="16">
        <f>BY15*(1+CD16)</f>
        <v>11822</v>
      </c>
      <c r="CE15" s="16">
        <f>SUM(CA15:CD15)</f>
        <v>50129</v>
      </c>
      <c r="CF15" s="16">
        <f>CA15*(1+CF16)</f>
        <v>12472</v>
      </c>
      <c r="CG15" s="16">
        <f>CB15*(1+CG16)</f>
        <v>13380</v>
      </c>
      <c r="CH15" s="16">
        <f>CC15*(1+CH16)</f>
        <v>12455</v>
      </c>
      <c r="CI15" s="16">
        <f>CD15*(1+CI16)</f>
        <v>11822</v>
      </c>
      <c r="CJ15" s="16">
        <f>SUM(CF15:CI15)</f>
        <v>50129</v>
      </c>
      <c r="CK15" s="16">
        <f>CF15*(1+CK16)</f>
        <v>12472</v>
      </c>
      <c r="CL15" s="16">
        <f>CG15*(1+CL16)</f>
        <v>13380</v>
      </c>
      <c r="CM15" s="16">
        <f>CH15*(1+CM16)</f>
        <v>12455</v>
      </c>
      <c r="CN15" s="16">
        <f>CI15*(1+CN16)</f>
        <v>11822</v>
      </c>
      <c r="CO15" s="16">
        <f>SUM(CK15:CN15)</f>
        <v>50129</v>
      </c>
      <c r="CP15" s="16">
        <f>CK15*(1+CP16)</f>
        <v>12472</v>
      </c>
      <c r="CQ15" s="16">
        <f>CL15*(1+CQ16)</f>
        <v>13380</v>
      </c>
      <c r="CR15" s="16">
        <f>CM15*(1+CR16)</f>
        <v>12455</v>
      </c>
      <c r="CS15" s="16">
        <f>CN15*(1+CS16)</f>
        <v>11822</v>
      </c>
      <c r="CT15" s="16">
        <f>SUM(CP15:CS15)</f>
        <v>50129</v>
      </c>
      <c r="CU15" s="16">
        <f>CP15*(1+CU16)</f>
        <v>12472</v>
      </c>
      <c r="CV15" s="16">
        <f>CQ15*(1+CV16)</f>
        <v>13380</v>
      </c>
      <c r="CW15" s="16">
        <f>CR15*(1+CW16)</f>
        <v>12455</v>
      </c>
      <c r="CX15" s="16">
        <f>CS15*(1+CX16)</f>
        <v>11822</v>
      </c>
      <c r="CY15" s="16">
        <f>SUM(CU15:CX15)</f>
        <v>50129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0.163082039911308</v>
      </c>
      <c r="O16" s="47">
        <f>O15/J15-1</f>
        <v>0.118076809161813</v>
      </c>
      <c r="P16" s="47">
        <f>P15/K15-1</f>
        <v>0.101672973511253</v>
      </c>
      <c r="Q16" s="47">
        <f>Q15/L15-1</f>
        <v>0.0698436179205411</v>
      </c>
      <c r="R16" s="47">
        <f>R15/M15-1</f>
        <v>0.112508084335791</v>
      </c>
      <c r="S16" s="47">
        <f>S15/N15-1</f>
        <v>0.046611381183872</v>
      </c>
      <c r="T16" s="47">
        <f>T15/O15-1</f>
        <v>0.0571302428256071</v>
      </c>
      <c r="U16" s="47">
        <f>U15/P15-1</f>
        <v>0.0804483413179065</v>
      </c>
      <c r="V16" s="47">
        <f>V15/Q15-1</f>
        <v>0.0715061728395061</v>
      </c>
      <c r="W16" s="47">
        <f>W15/R15-1</f>
        <v>0.063947539763743</v>
      </c>
      <c r="X16" s="47">
        <f>X15/S15-1</f>
        <v>0.029143897996357</v>
      </c>
      <c r="Y16" s="47">
        <f>Y15/T15-1</f>
        <v>0.0326595389241564</v>
      </c>
      <c r="Z16" s="47">
        <f>Z15/U15-1</f>
        <v>-0.00828243955492347</v>
      </c>
      <c r="AA16" s="47">
        <f>AA15/V15-1</f>
        <v>0.064061203797585</v>
      </c>
      <c r="AB16" s="47">
        <f>AB15/W15-1</f>
        <v>0.0285658084539058</v>
      </c>
      <c r="AC16" s="47">
        <f>AC15/X15-1</f>
        <v>-0.0151327433628319</v>
      </c>
      <c r="AD16" s="47">
        <f>AD15/Y15-1</f>
        <v>0.0139124807894524</v>
      </c>
      <c r="AE16" s="47">
        <f>AE15/Z15-1</f>
        <v>0.0507001855913616</v>
      </c>
      <c r="AF16" s="44">
        <f>AF15/AA15-1</f>
        <v>0.024081774081774</v>
      </c>
      <c r="AG16" s="47">
        <f>AG15/AB15-1</f>
        <v>0.0186991351649985</v>
      </c>
      <c r="AH16" s="44">
        <f>AH15/AC15-1</f>
        <v>0.120675712103513</v>
      </c>
      <c r="AI16" s="44">
        <f>AI15/AD15-1</f>
        <v>0.0674112485041882</v>
      </c>
      <c r="AJ16" s="44" t="n"/>
      <c r="AK16" s="44" t="n"/>
      <c r="AL16" s="22">
        <f>AL15/AG15-1</f>
        <v>0.0456394318015894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 + corporate + eliminações)</t>
        </is>
      </c>
      <c r="D17" s="15">
        <f>IF(COUNT(D28)=0,"",D28)</f>
        <v>0</v>
      </c>
      <c r="E17" s="15">
        <f>IF(COUNT(E28)=0,"",E28)</f>
        <v>0</v>
      </c>
      <c r="F17" s="15">
        <f>IF(COUNT(F28)=0,"",F28)</f>
        <v>0</v>
      </c>
      <c r="G17" s="15">
        <f>IF(COUNT(G28)=0,"",G28)</f>
        <v>0</v>
      </c>
      <c r="H17" s="16">
        <f>IF(COUNT(H28)=0,"",H28)</f>
        <v>0</v>
      </c>
      <c r="I17" s="15">
        <f>IF(COUNT(I28)=0,"",I28)</f>
        <v>0</v>
      </c>
      <c r="J17" s="15">
        <f>IF(COUNT(J28)=0,"",J28)</f>
        <v>0</v>
      </c>
      <c r="K17" s="15">
        <f>IF(COUNT(K28)=0,"",K28)</f>
        <v>0</v>
      </c>
      <c r="L17" s="15">
        <f>IF(COUNT(L28)=0,"",L28)</f>
        <v>0</v>
      </c>
      <c r="M17" s="16">
        <f>IF(COUNT(M28)=0,"",M28)</f>
        <v>0</v>
      </c>
      <c r="N17" s="15">
        <f>IF(COUNT(N28)=0,"",N28)</f>
        <v>0</v>
      </c>
      <c r="O17" s="15">
        <f>IF(COUNT(O28)=0,"",O28)</f>
        <v>0</v>
      </c>
      <c r="P17" s="15">
        <f>IF(COUNT(P28)=0,"",P28)</f>
        <v>0</v>
      </c>
      <c r="Q17" s="15">
        <f>IF(COUNT(Q28)=0,"",Q28)</f>
        <v>0</v>
      </c>
      <c r="R17" s="16">
        <f>IF(COUNT(R28)=0,"",R28)</f>
        <v>0</v>
      </c>
      <c r="S17" s="15">
        <f>IF(COUNT(S28)=0,"",S28)</f>
        <v>0</v>
      </c>
      <c r="T17" s="15">
        <f>IF(COUNT(T28)=0,"",T28)</f>
        <v>0</v>
      </c>
      <c r="U17" s="15">
        <f>IF(COUNT(U28)=0,"",U28)</f>
        <v>0</v>
      </c>
      <c r="V17" s="15">
        <f>IF(COUNT(V28)=0,"",V28)</f>
        <v>0</v>
      </c>
      <c r="W17" s="16">
        <f>IF(COUNT(W28)=0,"",W28)</f>
        <v>0</v>
      </c>
      <c r="X17" s="15">
        <f>IF(COUNT(X28)=0,"",X28)</f>
        <v>0</v>
      </c>
      <c r="Y17" s="15">
        <f>IF(COUNT(Y28)=0,"",Y28)</f>
        <v>0</v>
      </c>
      <c r="Z17" s="15">
        <f>IF(COUNT(Z28)=0,"",Z28)</f>
        <v>0</v>
      </c>
      <c r="AA17" s="15">
        <f>IF(COUNT(AA28)=0,"",AA28)</f>
        <v>0</v>
      </c>
      <c r="AB17" s="16">
        <f>IF(COUNT(AB28)=0,"",AB28)</f>
        <v>0</v>
      </c>
      <c r="AC17" s="15">
        <f>IF(COUNT(AC28)=0,"",AC28)</f>
        <v>0</v>
      </c>
      <c r="AD17" s="15">
        <f>IF(COUNT(AD28)=0,"",AD28)</f>
        <v>0</v>
      </c>
      <c r="AE17" s="15">
        <f>IF(COUNT(AE28)=0,"",AE28)</f>
        <v>0</v>
      </c>
      <c r="AF17" s="15">
        <f>IF(COUNT(AF28)=0,"",AF28)</f>
        <v>0</v>
      </c>
      <c r="AG17" s="16">
        <f>IF(COUNT(AG28)=0,"",AG28)</f>
        <v>0</v>
      </c>
      <c r="AH17" s="16">
        <f>IF(COUNT(AH28)=0,"",AH28)</f>
        <v>0</v>
      </c>
      <c r="AI17" s="16">
        <f>IF(COUNT(AI28)=0,"",AI28)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EMEA</t>
        </is>
      </c>
      <c r="D19" s="265">
        <f>IFERROR(INDEX('Inputs (2)'!$D$53:$AL$53,MATCH(D$7,'Inputs (2)'!$D$2:$AL$2,0)),"")</f>
        <v>1725</v>
      </c>
      <c r="E19" s="265">
        <f>IFERROR(INDEX('Inputs (2)'!$D$53:$AL$53,MATCH(E$7,'Inputs (2)'!$D$2:$AL$2,0)),"")</f>
        <v>1210</v>
      </c>
      <c r="F19" s="265">
        <f>IFERROR(INDEX('Inputs (2)'!$D$53:$AL$53,MATCH(F$7,'Inputs (2)'!$D$2:$AL$2,0)),"")</f>
        <v>1693</v>
      </c>
      <c r="G19" s="265">
        <f>IFERROR(INDEX('Inputs (2)'!$D$53:$AL$53,MATCH(G$7,'Inputs (2)'!$D$2:$AL$2,0)),"")</f>
        <v>1429</v>
      </c>
      <c r="H19" s="266">
        <f>IF(COUNT(D19:G19)=4,SUM(D19:G19),"")</f>
        <v>6057</v>
      </c>
      <c r="I19" s="265">
        <f>IFERROR(INDEX('Inputs (2)'!$D$53:$AL$53,MATCH(I$7,'Inputs (2)'!$D$2:$AL$2,0)),"")</f>
        <v>1623</v>
      </c>
      <c r="J19" s="265">
        <f>IFERROR(INDEX('Inputs (2)'!$D$53:$AL$53,MATCH(J$7,'Inputs (2)'!$D$2:$AL$2,0)),"")</f>
        <v>2017</v>
      </c>
      <c r="K19" s="265">
        <f>IFERROR(INDEX('Inputs (2)'!$D$53:$AL$53,MATCH(K$7,'Inputs (2)'!$D$2:$AL$2,0)),"")</f>
        <v>1915</v>
      </c>
      <c r="L19" s="265">
        <f>IFERROR(INDEX('Inputs (2)'!$D$53:$AL$53,MATCH(L$7,'Inputs (2)'!$D$2:$AL$2,0)),"")</f>
        <v>1638</v>
      </c>
      <c r="M19" s="266">
        <f>IF(COUNT(I19:L19)=4,SUM(I19:L19),"")</f>
        <v>7193</v>
      </c>
      <c r="N19" s="265">
        <f>IFERROR(INDEX('Inputs (2)'!$D$53:$AL$53,MATCH(N$7,'Inputs (2)'!$D$2:$AL$2,0)),"")</f>
        <v>1833</v>
      </c>
      <c r="O19" s="265">
        <f>IFERROR(INDEX('Inputs (2)'!$D$53:$AL$53,MATCH(O$7,'Inputs (2)'!$D$2:$AL$2,0)),"")</f>
        <v>2184</v>
      </c>
      <c r="P19" s="265">
        <f>IFERROR(INDEX('Inputs (2)'!$D$53:$AL$53,MATCH(P$7,'Inputs (2)'!$D$2:$AL$2,0)),"")</f>
        <v>1987</v>
      </c>
      <c r="Q19" s="265">
        <f>IFERROR(INDEX('Inputs (2)'!$D$53:$AL$53,MATCH(Q$7,'Inputs (2)'!$D$2:$AL$2,0)),"")</f>
        <v>1519</v>
      </c>
      <c r="R19" s="266">
        <f>IF(COUNT(N19:Q19)=4,SUM(N19:Q19),"")</f>
        <v>7523</v>
      </c>
      <c r="S19" s="265">
        <f>IFERROR(INDEX('Inputs (2)'!$D$53:$AL$53,MATCH(S$7,'Inputs (2)'!$D$2:$AL$2,0)),"")</f>
        <v>2024</v>
      </c>
      <c r="T19" s="265">
        <f>IFERROR(INDEX('Inputs (2)'!$D$53:$AL$53,MATCH(T$7,'Inputs (2)'!$D$2:$AL$2,0)),"")</f>
        <v>2188</v>
      </c>
      <c r="U19" s="265">
        <f>IFERROR(INDEX('Inputs (2)'!$D$53:$AL$53,MATCH(U$7,'Inputs (2)'!$D$2:$AL$2,0)),"")</f>
        <v>2176</v>
      </c>
      <c r="V19" s="265">
        <f>IFERROR(INDEX('Inputs (2)'!$D$53:$AL$53,MATCH(V$7,'Inputs (2)'!$D$2:$AL$2,0)),"")</f>
        <v>1690</v>
      </c>
      <c r="W19" s="266">
        <f>IF(COUNT(S19:V19)=4,SUM(S19:V19),"")</f>
        <v>8078</v>
      </c>
      <c r="X19" s="265">
        <f>IFERROR(INDEX('Inputs (2)'!$D$53:$AL$53,MATCH(X$7,'Inputs (2)'!$D$2:$AL$2,0)),"")</f>
        <v>1973</v>
      </c>
      <c r="Y19" s="265">
        <f>IFERROR(INDEX('Inputs (2)'!$D$53:$AL$53,MATCH(Y$7,'Inputs (2)'!$D$2:$AL$2,0)),"")</f>
        <v>2339</v>
      </c>
      <c r="Z19" s="265">
        <f>IFERROR(INDEX('Inputs (2)'!$D$53:$AL$53,MATCH(Z$7,'Inputs (2)'!$D$2:$AL$2,0)),"")</f>
        <v>2019</v>
      </c>
      <c r="AA19" s="265">
        <f>IFERROR(INDEX('Inputs (2)'!$D$53:$AL$53,MATCH(AA$7,'Inputs (2)'!$D$2:$AL$2,0)),"")</f>
        <v>1791</v>
      </c>
      <c r="AB19" s="266">
        <f>IF(COUNT(X19:AA19)=4,SUM(X19:AA19),"")</f>
        <v>8122</v>
      </c>
      <c r="AC19" s="265">
        <f>IFERROR(INDEX('Inputs (2)'!$D$53:$AL$53,MATCH(AC$7,'Inputs (2)'!$D$2:$AL$2,0)),"")</f>
        <v>2657</v>
      </c>
      <c r="AD19" s="265">
        <f>IFERROR(INDEX('Inputs (2)'!$D$53:$AL$53,MATCH(AD$7,'Inputs (2)'!$D$2:$AL$2,0)),"")</f>
        <v>3176</v>
      </c>
      <c r="AE19" s="265">
        <f>IFERROR(INDEX('Inputs (2)'!$D$53:$AL$53,MATCH(AE$7,'Inputs (2)'!$D$2:$AL$2,0)),"")</f>
        <v>2996</v>
      </c>
      <c r="AF19" s="265">
        <f>IFERROR(INDEX('Inputs (2)'!$D$53:$AL$53,MATCH(AF$7,'Inputs (2)'!$D$2:$AL$2,0)),"")</f>
        <v>2684</v>
      </c>
      <c r="AG19" s="266">
        <f>IF(COUNT(AC19:AF19)=4,SUM(AC19:AF19),"")</f>
        <v>11513</v>
      </c>
      <c r="AH19" s="266">
        <f>IFERROR(INDEX('Inputs (2)'!$D$53:$AL$53,MATCH(AH$7,'Inputs (2)'!$D$2:$AL$2,0)),"")</f>
        <v>3012</v>
      </c>
      <c r="AI19" s="266">
        <f>IFERROR(INDEX('Inputs (2)'!$D$53:$AL$53,MATCH(AI$7,'Inputs (2)'!$D$2:$AL$2,0)),"")</f>
        <v>3240</v>
      </c>
    </row>
    <row r="20">
      <c r="C20" s="14" t="inlineStr">
        <is>
          <t xml:space="preserve">   América Latina</t>
        </is>
      </c>
      <c r="D20" s="265">
        <f>IFERROR(INDEX('Inputs (2)'!$D$55:$AL$55,MATCH(D$7,'Inputs (2)'!$D$2:$AL$2,0)),"")</f>
        <v>930</v>
      </c>
      <c r="E20" s="265">
        <f>IFERROR(INDEX('Inputs (2)'!$D$55:$AL$55,MATCH(E$7,'Inputs (2)'!$D$2:$AL$2,0)),"")</f>
        <v>755</v>
      </c>
      <c r="F20" s="265">
        <f>IFERROR(INDEX('Inputs (2)'!$D$55:$AL$55,MATCH(F$7,'Inputs (2)'!$D$2:$AL$2,0)),"")</f>
        <v>809</v>
      </c>
      <c r="G20" s="265">
        <f>IFERROR(INDEX('Inputs (2)'!$D$55:$AL$55,MATCH(G$7,'Inputs (2)'!$D$2:$AL$2,0)),"")</f>
        <v>1005</v>
      </c>
      <c r="H20" s="266">
        <f>IF(COUNT(D20:G20)=4,SUM(D20:G20),"")</f>
        <v>3499</v>
      </c>
      <c r="I20" s="265">
        <f>IFERROR(INDEX('Inputs (2)'!$D$55:$AL$55,MATCH(I$7,'Inputs (2)'!$D$2:$AL$2,0)),"")</f>
        <v>909</v>
      </c>
      <c r="J20" s="265">
        <f>IFERROR(INDEX('Inputs (2)'!$D$55:$AL$55,MATCH(J$7,'Inputs (2)'!$D$2:$AL$2,0)),"")</f>
        <v>1067</v>
      </c>
      <c r="K20" s="265">
        <f>IFERROR(INDEX('Inputs (2)'!$D$55:$AL$55,MATCH(K$7,'Inputs (2)'!$D$2:$AL$2,0)),"")</f>
        <v>1137</v>
      </c>
      <c r="L20" s="265">
        <f>IFERROR(INDEX('Inputs (2)'!$D$55:$AL$55,MATCH(L$7,'Inputs (2)'!$D$2:$AL$2,0)),"")</f>
        <v>1030</v>
      </c>
      <c r="M20" s="266">
        <f>IF(COUNT(I20:L20)=4,SUM(I20:L20),"")</f>
        <v>4143</v>
      </c>
      <c r="N20" s="265">
        <f>IFERROR(INDEX('Inputs (2)'!$D$55:$AL$55,MATCH(N$7,'Inputs (2)'!$D$2:$AL$2,0)),"")</f>
        <v>1214</v>
      </c>
      <c r="O20" s="265">
        <f>IFERROR(INDEX('Inputs (2)'!$D$55:$AL$55,MATCH(O$7,'Inputs (2)'!$D$2:$AL$2,0)),"")</f>
        <v>1140</v>
      </c>
      <c r="P20" s="265">
        <f>IFERROR(INDEX('Inputs (2)'!$D$55:$AL$55,MATCH(P$7,'Inputs (2)'!$D$2:$AL$2,0)),"")</f>
        <v>1267</v>
      </c>
      <c r="Q20" s="265">
        <f>IFERROR(INDEX('Inputs (2)'!$D$55:$AL$55,MATCH(Q$7,'Inputs (2)'!$D$2:$AL$2,0)),"")</f>
        <v>1289</v>
      </c>
      <c r="R20" s="266">
        <f>IF(COUNT(N20:Q20)=4,SUM(N20:Q20),"")</f>
        <v>4910</v>
      </c>
      <c r="S20" s="265">
        <f>IFERROR(INDEX('Inputs (2)'!$D$55:$AL$55,MATCH(S$7,'Inputs (2)'!$D$2:$AL$2,0)),"")</f>
        <v>1386</v>
      </c>
      <c r="T20" s="265">
        <f>IFERROR(INDEX('Inputs (2)'!$D$55:$AL$55,MATCH(T$7,'Inputs (2)'!$D$2:$AL$2,0)),"")</f>
        <v>1378</v>
      </c>
      <c r="U20" s="265">
        <f>IFERROR(INDEX('Inputs (2)'!$D$55:$AL$55,MATCH(U$7,'Inputs (2)'!$D$2:$AL$2,0)),"")</f>
        <v>1574</v>
      </c>
      <c r="V20" s="265">
        <f>IFERROR(INDEX('Inputs (2)'!$D$55:$AL$55,MATCH(V$7,'Inputs (2)'!$D$2:$AL$2,0)),"")</f>
        <v>1492</v>
      </c>
      <c r="W20" s="266">
        <f>IF(COUNT(S20:V20)=4,SUM(S20:V20),"")</f>
        <v>5830</v>
      </c>
      <c r="X20" s="265">
        <f>IFERROR(INDEX('Inputs (2)'!$D$55:$AL$55,MATCH(X$7,'Inputs (2)'!$D$2:$AL$2,0)),"")</f>
        <v>1527</v>
      </c>
      <c r="Y20" s="265">
        <f>IFERROR(INDEX('Inputs (2)'!$D$55:$AL$55,MATCH(Y$7,'Inputs (2)'!$D$2:$AL$2,0)),"")</f>
        <v>1650</v>
      </c>
      <c r="Z20" s="265">
        <f>IFERROR(INDEX('Inputs (2)'!$D$55:$AL$55,MATCH(Z$7,'Inputs (2)'!$D$2:$AL$2,0)),"")</f>
        <v>1639</v>
      </c>
      <c r="AA20" s="265">
        <f>IFERROR(INDEX('Inputs (2)'!$D$55:$AL$55,MATCH(AA$7,'Inputs (2)'!$D$2:$AL$2,0)),"")</f>
        <v>1643</v>
      </c>
      <c r="AB20" s="266">
        <f>IF(COUNT(X20:AA20)=4,SUM(X20:AA20),"")</f>
        <v>6459</v>
      </c>
      <c r="AC20" s="265">
        <f>IFERROR(INDEX('Inputs (2)'!$D$55:$AL$55,MATCH(AC$7,'Inputs (2)'!$D$2:$AL$2,0)),"")</f>
        <v>1477</v>
      </c>
      <c r="AD20" s="265">
        <f>IFERROR(INDEX('Inputs (2)'!$D$55:$AL$55,MATCH(AD$7,'Inputs (2)'!$D$2:$AL$2,0)),"")</f>
        <v>1587</v>
      </c>
      <c r="AE20" s="265">
        <f>IFERROR(INDEX('Inputs (2)'!$D$55:$AL$55,MATCH(AE$7,'Inputs (2)'!$D$2:$AL$2,0)),"")</f>
        <v>1573</v>
      </c>
      <c r="AF20" s="265">
        <f>IFERROR(INDEX('Inputs (2)'!$D$55:$AL$55,MATCH(AF$7,'Inputs (2)'!$D$2:$AL$2,0)),"")</f>
        <v>1697</v>
      </c>
      <c r="AG20" s="266">
        <f>IF(COUNT(AC20:AF20)=4,SUM(AC20:AF20),"")</f>
        <v>6334</v>
      </c>
      <c r="AH20" s="266">
        <f>IFERROR(INDEX('Inputs (2)'!$D$55:$AL$55,MATCH(AH$7,'Inputs (2)'!$D$2:$AL$2,0)),"")</f>
        <v>1678</v>
      </c>
      <c r="AI20" s="266">
        <f>IFERROR(INDEX('Inputs (2)'!$D$55:$AL$55,MATCH(AI$7,'Inputs (2)'!$D$2:$AL$2,0)),"")</f>
        <v>1839</v>
      </c>
    </row>
    <row r="21">
      <c r="C21" s="14" t="inlineStr">
        <is>
          <t xml:space="preserve">   América do Norte</t>
        </is>
      </c>
      <c r="D21" s="265">
        <f>IFERROR(INDEX('Inputs (2)'!$D$57:$AL$57,MATCH(D$7,'Inputs (2)'!$D$2:$AL$2,0)),"")</f>
        <v>2850</v>
      </c>
      <c r="E21" s="265">
        <f>IFERROR(INDEX('Inputs (2)'!$D$57:$AL$57,MATCH(E$7,'Inputs (2)'!$D$2:$AL$2,0)),"")</f>
        <v>2648</v>
      </c>
      <c r="F21" s="265">
        <f>IFERROR(INDEX('Inputs (2)'!$D$57:$AL$57,MATCH(F$7,'Inputs (2)'!$D$2:$AL$2,0)),"")</f>
        <v>3088</v>
      </c>
      <c r="G21" s="265">
        <f>IFERROR(INDEX('Inputs (2)'!$D$57:$AL$57,MATCH(G$7,'Inputs (2)'!$D$2:$AL$2,0)),"")</f>
        <v>2891</v>
      </c>
      <c r="H21" s="266">
        <f>IF(COUNT(D21:G21)=4,SUM(D21:G21),"")</f>
        <v>11477</v>
      </c>
      <c r="I21" s="265">
        <f>IFERROR(INDEX('Inputs (2)'!$D$57:$AL$57,MATCH(I$7,'Inputs (2)'!$D$2:$AL$2,0)),"")</f>
        <v>2937</v>
      </c>
      <c r="J21" s="265">
        <f>IFERROR(INDEX('Inputs (2)'!$D$57:$AL$57,MATCH(J$7,'Inputs (2)'!$D$2:$AL$2,0)),"")</f>
        <v>3381</v>
      </c>
      <c r="K21" s="265">
        <f>IFERROR(INDEX('Inputs (2)'!$D$57:$AL$57,MATCH(K$7,'Inputs (2)'!$D$2:$AL$2,0)),"")</f>
        <v>3479</v>
      </c>
      <c r="L21" s="265">
        <f>IFERROR(INDEX('Inputs (2)'!$D$57:$AL$57,MATCH(L$7,'Inputs (2)'!$D$2:$AL$2,0)),"")</f>
        <v>3393</v>
      </c>
      <c r="M21" s="266">
        <f>IF(COUNT(I21:L21)=4,SUM(I21:L21),"")</f>
        <v>13190</v>
      </c>
      <c r="N21" s="265">
        <f>IFERROR(INDEX('Inputs (2)'!$D$57:$AL$57,MATCH(N$7,'Inputs (2)'!$D$2:$AL$2,0)),"")</f>
        <v>3590</v>
      </c>
      <c r="O21" s="265">
        <f>IFERROR(INDEX('Inputs (2)'!$D$57:$AL$57,MATCH(O$7,'Inputs (2)'!$D$2:$AL$2,0)),"")</f>
        <v>4030</v>
      </c>
      <c r="P21" s="265">
        <f>IFERROR(INDEX('Inputs (2)'!$D$57:$AL$57,MATCH(P$7,'Inputs (2)'!$D$2:$AL$2,0)),"")</f>
        <v>4201</v>
      </c>
      <c r="Q21" s="265">
        <f>IFERROR(INDEX('Inputs (2)'!$D$57:$AL$57,MATCH(Q$7,'Inputs (2)'!$D$2:$AL$2,0)),"")</f>
        <v>3853</v>
      </c>
      <c r="R21" s="266">
        <f>IF(COUNT(N21:Q21)=4,SUM(N21:Q21),"")</f>
        <v>15674</v>
      </c>
      <c r="S21" s="265">
        <f>IFERROR(INDEX('Inputs (2)'!$D$57:$AL$57,MATCH(S$7,'Inputs (2)'!$D$2:$AL$2,0)),"")</f>
        <v>3904</v>
      </c>
      <c r="T21" s="265">
        <f>IFERROR(INDEX('Inputs (2)'!$D$57:$AL$57,MATCH(T$7,'Inputs (2)'!$D$2:$AL$2,0)),"")</f>
        <v>4367</v>
      </c>
      <c r="U21" s="265">
        <f>IFERROR(INDEX('Inputs (2)'!$D$57:$AL$57,MATCH(U$7,'Inputs (2)'!$D$2:$AL$2,0)),"")</f>
        <v>4463</v>
      </c>
      <c r="V21" s="265">
        <f>IFERROR(INDEX('Inputs (2)'!$D$57:$AL$57,MATCH(V$7,'Inputs (2)'!$D$2:$AL$2,0)),"")</f>
        <v>4040</v>
      </c>
      <c r="W21" s="266">
        <f>IF(COUNT(S21:V21)=4,SUM(S21:V21),"")</f>
        <v>16774</v>
      </c>
      <c r="X21" s="265">
        <f>IFERROR(INDEX('Inputs (2)'!$D$57:$AL$57,MATCH(X$7,'Inputs (2)'!$D$2:$AL$2,0)),"")</f>
        <v>4174</v>
      </c>
      <c r="Y21" s="265">
        <f>IFERROR(INDEX('Inputs (2)'!$D$57:$AL$57,MATCH(Y$7,'Inputs (2)'!$D$2:$AL$2,0)),"")</f>
        <v>4812</v>
      </c>
      <c r="Z21" s="265">
        <f>IFERROR(INDEX('Inputs (2)'!$D$57:$AL$57,MATCH(Z$7,'Inputs (2)'!$D$2:$AL$2,0)),"")</f>
        <v>4984</v>
      </c>
      <c r="AA21" s="265">
        <f>IFERROR(INDEX('Inputs (2)'!$D$57:$AL$57,MATCH(AA$7,'Inputs (2)'!$D$2:$AL$2,0)),"")</f>
        <v>4679</v>
      </c>
      <c r="AB21" s="266">
        <f>IF(COUNT(X21:AA21)=4,SUM(X21:AA21),"")</f>
        <v>18649</v>
      </c>
      <c r="AC21" s="265">
        <f>IFERROR(INDEX('Inputs (2)'!$D$57:$AL$57,MATCH(AC$7,'Inputs (2)'!$D$2:$AL$2,0)),"")</f>
        <v>4361</v>
      </c>
      <c r="AD21" s="265">
        <f>IFERROR(INDEX('Inputs (2)'!$D$57:$AL$57,MATCH(AD$7,'Inputs (2)'!$D$2:$AL$2,0)),"")</f>
        <v>5029</v>
      </c>
      <c r="AE21" s="265">
        <f>IFERROR(INDEX('Inputs (2)'!$D$57:$AL$57,MATCH(AE$7,'Inputs (2)'!$D$2:$AL$2,0)),"")</f>
        <v>5253</v>
      </c>
      <c r="AF21" s="265">
        <f>IFERROR(INDEX('Inputs (2)'!$D$57:$AL$57,MATCH(AF$7,'Inputs (2)'!$D$2:$AL$2,0)),"")</f>
        <v>4943</v>
      </c>
      <c r="AG21" s="266">
        <f>IF(COUNT(AC21:AF21)=4,SUM(AC21:AF21),"")</f>
        <v>19586</v>
      </c>
      <c r="AH21" s="266">
        <f>IFERROR(INDEX('Inputs (2)'!$D$57:$AL$57,MATCH(AH$7,'Inputs (2)'!$D$2:$AL$2,0)),"")</f>
        <v>4893</v>
      </c>
      <c r="AI21" s="266">
        <f>IFERROR(INDEX('Inputs (2)'!$D$57:$AL$57,MATCH(AI$7,'Inputs (2)'!$D$2:$AL$2,0)),"")</f>
        <v>5408</v>
      </c>
    </row>
    <row r="22">
      <c r="C22" s="14" t="inlineStr">
        <is>
          <t xml:space="preserve">   Ásia-Pacífico</t>
        </is>
      </c>
      <c r="D22" s="265">
        <f>IFERROR(INDEX('Inputs (2)'!$D$59:$AL$59,MATCH(D$7,'Inputs (2)'!$D$2:$AL$2,0)),"")</f>
        <v>1128</v>
      </c>
      <c r="E22" s="265">
        <f>IFERROR(INDEX('Inputs (2)'!$D$59:$AL$59,MATCH(E$7,'Inputs (2)'!$D$2:$AL$2,0)),"")</f>
        <v>1183</v>
      </c>
      <c r="F22" s="265">
        <f>IFERROR(INDEX('Inputs (2)'!$D$59:$AL$59,MATCH(F$7,'Inputs (2)'!$D$2:$AL$2,0)),"")</f>
        <v>1334</v>
      </c>
      <c r="G22" s="265">
        <f>IFERROR(INDEX('Inputs (2)'!$D$59:$AL$59,MATCH(G$7,'Inputs (2)'!$D$2:$AL$2,0)),"")</f>
        <v>1077</v>
      </c>
      <c r="H22" s="266">
        <f>IF(COUNT(D22:G22)=4,SUM(D22:G22),"")</f>
        <v>4722</v>
      </c>
      <c r="I22" s="265">
        <f>IFERROR(INDEX('Inputs (2)'!$D$59:$AL$59,MATCH(I$7,'Inputs (2)'!$D$2:$AL$2,0)),"")</f>
        <v>1402</v>
      </c>
      <c r="J22" s="265">
        <f>IFERROR(INDEX('Inputs (2)'!$D$59:$AL$59,MATCH(J$7,'Inputs (2)'!$D$2:$AL$2,0)),"")</f>
        <v>1503</v>
      </c>
      <c r="K22" s="265">
        <f>IFERROR(INDEX('Inputs (2)'!$D$59:$AL$59,MATCH(K$7,'Inputs (2)'!$D$2:$AL$2,0)),"")</f>
        <v>1374</v>
      </c>
      <c r="L22" s="265">
        <f>IFERROR(INDEX('Inputs (2)'!$D$59:$AL$59,MATCH(L$7,'Inputs (2)'!$D$2:$AL$2,0)),"")</f>
        <v>1012</v>
      </c>
      <c r="M22" s="266">
        <f>IF(COUNT(I22:L22)=4,SUM(I22:L22),"")</f>
        <v>5291</v>
      </c>
      <c r="N22" s="265">
        <f>IFERROR(INDEX('Inputs (2)'!$D$59:$AL$59,MATCH(N$7,'Inputs (2)'!$D$2:$AL$2,0)),"")</f>
        <v>1411</v>
      </c>
      <c r="O22" s="265">
        <f>IFERROR(INDEX('Inputs (2)'!$D$59:$AL$59,MATCH(O$7,'Inputs (2)'!$D$2:$AL$2,0)),"")</f>
        <v>1566</v>
      </c>
      <c r="P22" s="265">
        <f>IFERROR(INDEX('Inputs (2)'!$D$59:$AL$59,MATCH(P$7,'Inputs (2)'!$D$2:$AL$2,0)),"")</f>
        <v>1427</v>
      </c>
      <c r="Q22" s="265">
        <f>IFERROR(INDEX('Inputs (2)'!$D$59:$AL$59,MATCH(Q$7,'Inputs (2)'!$D$2:$AL$2,0)),"")</f>
        <v>1041</v>
      </c>
      <c r="R22" s="266">
        <f>IF(COUNT(N22:Q22)=4,SUM(N22:Q22),"")</f>
        <v>5445</v>
      </c>
      <c r="S22" s="265">
        <f>IFERROR(INDEX('Inputs (2)'!$D$59:$AL$59,MATCH(S$7,'Inputs (2)'!$D$2:$AL$2,0)),"")</f>
        <v>1371</v>
      </c>
      <c r="T22" s="265">
        <f>IFERROR(INDEX('Inputs (2)'!$D$59:$AL$59,MATCH(T$7,'Inputs (2)'!$D$2:$AL$2,0)),"")</f>
        <v>1567</v>
      </c>
      <c r="U22" s="265">
        <f>IFERROR(INDEX('Inputs (2)'!$D$59:$AL$59,MATCH(U$7,'Inputs (2)'!$D$2:$AL$2,0)),"")</f>
        <v>1402</v>
      </c>
      <c r="V22" s="265">
        <f>IFERROR(INDEX('Inputs (2)'!$D$59:$AL$59,MATCH(V$7,'Inputs (2)'!$D$2:$AL$2,0)),"")</f>
        <v>1115</v>
      </c>
      <c r="W22" s="266">
        <f>IF(COUNT(S22:V22)=4,SUM(S22:V22),"")</f>
        <v>5455</v>
      </c>
      <c r="X22" s="265">
        <f>IFERROR(INDEX('Inputs (2)'!$D$59:$AL$59,MATCH(X$7,'Inputs (2)'!$D$2:$AL$2,0)),"")</f>
        <v>1469</v>
      </c>
      <c r="Y22" s="265">
        <f>IFERROR(INDEX('Inputs (2)'!$D$59:$AL$59,MATCH(Y$7,'Inputs (2)'!$D$2:$AL$2,0)),"")</f>
        <v>1512</v>
      </c>
      <c r="Z22" s="265">
        <f>IFERROR(INDEX('Inputs (2)'!$D$59:$AL$59,MATCH(Z$7,'Inputs (2)'!$D$2:$AL$2,0)),"")</f>
        <v>1349</v>
      </c>
      <c r="AA22" s="265">
        <f>IFERROR(INDEX('Inputs (2)'!$D$59:$AL$59,MATCH(AA$7,'Inputs (2)'!$D$2:$AL$2,0)),"")</f>
        <v>1216</v>
      </c>
      <c r="AB22" s="266">
        <f>IF(COUNT(X22:AA22)=4,SUM(X22:AA22),"")</f>
        <v>5546</v>
      </c>
      <c r="AC22" s="265">
        <f>IFERROR(INDEX('Inputs (2)'!$D$59:$AL$59,MATCH(AC$7,'Inputs (2)'!$D$2:$AL$2,0)),"")</f>
        <v>1421</v>
      </c>
      <c r="AD22" s="265">
        <f>IFERROR(INDEX('Inputs (2)'!$D$59:$AL$59,MATCH(AD$7,'Inputs (2)'!$D$2:$AL$2,0)),"")</f>
        <v>1572</v>
      </c>
      <c r="AE22" s="265">
        <f>IFERROR(INDEX('Inputs (2)'!$D$59:$AL$59,MATCH(AE$7,'Inputs (2)'!$D$2:$AL$2,0)),"")</f>
        <v>1506</v>
      </c>
      <c r="AF22" s="265">
        <f>IFERROR(INDEX('Inputs (2)'!$D$59:$AL$59,MATCH(AF$7,'Inputs (2)'!$D$2:$AL$2,0)),"")</f>
        <v>1139</v>
      </c>
      <c r="AG22" s="266">
        <f>IF(COUNT(AC22:AF22)=4,SUM(AC22:AF22),"")</f>
        <v>5638</v>
      </c>
      <c r="AH22" s="266">
        <f>IFERROR(INDEX('Inputs (2)'!$D$59:$AL$59,MATCH(AH$7,'Inputs (2)'!$D$2:$AL$2,0)),"")</f>
        <v>1508</v>
      </c>
      <c r="AI22" s="266">
        <f>IFERROR(INDEX('Inputs (2)'!$D$59:$AL$59,MATCH(AI$7,'Inputs (2)'!$D$2:$AL$2,0)),"")</f>
        <v>1581</v>
      </c>
    </row>
    <row r="23">
      <c r="C23" s="14" t="inlineStr">
        <is>
          <t xml:space="preserve">   Global Ventures</t>
        </is>
      </c>
      <c r="D23" s="265">
        <f>IFERROR(INDEX('Inputs (2)'!$D$61:$AL$61,MATCH(D$7,'Inputs (2)'!$D$2:$AL$2,0)),"")</f>
        <v>573</v>
      </c>
      <c r="E23" s="265">
        <f>IFERROR(INDEX('Inputs (2)'!$D$61:$AL$61,MATCH(E$7,'Inputs (2)'!$D$2:$AL$2,0)),"")</f>
        <v>295</v>
      </c>
      <c r="F23" s="265">
        <f>IFERROR(INDEX('Inputs (2)'!$D$61:$AL$61,MATCH(F$7,'Inputs (2)'!$D$2:$AL$2,0)),"")</f>
        <v>513</v>
      </c>
      <c r="G23" s="265">
        <f>IFERROR(INDEX('Inputs (2)'!$D$61:$AL$61,MATCH(G$7,'Inputs (2)'!$D$2:$AL$2,0)),"")</f>
        <v>610</v>
      </c>
      <c r="H23" s="266">
        <f>IF(COUNT(D23:G23)=4,SUM(D23:G23),"")</f>
        <v>1991</v>
      </c>
      <c r="I23" s="265">
        <f>IFERROR(INDEX('Inputs (2)'!$D$61:$AL$61,MATCH(I$7,'Inputs (2)'!$D$2:$AL$2,0)),"")</f>
        <v>570</v>
      </c>
      <c r="J23" s="265">
        <f>IFERROR(INDEX('Inputs (2)'!$D$61:$AL$61,MATCH(J$7,'Inputs (2)'!$D$2:$AL$2,0)),"")</f>
        <v>707</v>
      </c>
      <c r="K23" s="265">
        <f>IFERROR(INDEX('Inputs (2)'!$D$61:$AL$61,MATCH(K$7,'Inputs (2)'!$D$2:$AL$2,0)),"")</f>
        <v>753</v>
      </c>
      <c r="L23" s="265">
        <f>IFERROR(INDEX('Inputs (2)'!$D$61:$AL$61,MATCH(L$7,'Inputs (2)'!$D$2:$AL$2,0)),"")</f>
        <v>775</v>
      </c>
      <c r="M23" s="266">
        <f>IF(COUNT(I23:L23)=4,SUM(I23:L23),"")</f>
        <v>2805</v>
      </c>
      <c r="N23" s="265">
        <f>IFERROR(INDEX('Inputs (2)'!$D$61:$AL$61,MATCH(N$7,'Inputs (2)'!$D$2:$AL$2,0)),"")</f>
        <v>729</v>
      </c>
      <c r="O23" s="265">
        <f>IFERROR(INDEX('Inputs (2)'!$D$61:$AL$61,MATCH(O$7,'Inputs (2)'!$D$2:$AL$2,0)),"")</f>
        <v>695</v>
      </c>
      <c r="P23" s="265">
        <f>IFERROR(INDEX('Inputs (2)'!$D$61:$AL$61,MATCH(P$7,'Inputs (2)'!$D$2:$AL$2,0)),"")</f>
        <v>679</v>
      </c>
      <c r="Q23" s="265">
        <f>IFERROR(INDEX('Inputs (2)'!$D$61:$AL$61,MATCH(Q$7,'Inputs (2)'!$D$2:$AL$2,0)),"")</f>
        <v>740</v>
      </c>
      <c r="R23" s="266">
        <f>IF(COUNT(N23:Q23)=4,SUM(N23:Q23),"")</f>
        <v>2843</v>
      </c>
      <c r="S23" s="265">
        <f>IFERROR(INDEX('Inputs (2)'!$D$61:$AL$61,MATCH(S$7,'Inputs (2)'!$D$2:$AL$2,0)),"")</f>
        <v>707</v>
      </c>
      <c r="T23" s="265">
        <f>IFERROR(INDEX('Inputs (2)'!$D$61:$AL$61,MATCH(T$7,'Inputs (2)'!$D$2:$AL$2,0)),"")</f>
        <v>765</v>
      </c>
      <c r="U23" s="265">
        <f>IFERROR(INDEX('Inputs (2)'!$D$61:$AL$61,MATCH(U$7,'Inputs (2)'!$D$2:$AL$2,0)),"")</f>
        <v>779</v>
      </c>
      <c r="V23" s="265">
        <f>IFERROR(INDEX('Inputs (2)'!$D$61:$AL$61,MATCH(V$7,'Inputs (2)'!$D$2:$AL$2,0)),"")</f>
        <v>813</v>
      </c>
      <c r="W23" s="266">
        <f>IF(COUNT(S23:V23)=4,SUM(S23:V23),"")</f>
        <v>3064</v>
      </c>
      <c r="X23" s="265">
        <f>IFERROR(INDEX('Inputs (2)'!$D$61:$AL$61,MATCH(X$7,'Inputs (2)'!$D$2:$AL$2,0)),"")</f>
        <v>730</v>
      </c>
      <c r="Y23" s="265">
        <f>IFERROR(INDEX('Inputs (2)'!$D$61:$AL$61,MATCH(Y$7,'Inputs (2)'!$D$2:$AL$2,0)),"")</f>
        <v>768</v>
      </c>
      <c r="Z23" s="265">
        <f>IFERROR(INDEX('Inputs (2)'!$D$61:$AL$61,MATCH(Z$7,'Inputs (2)'!$D$2:$AL$2,0)),"")</f>
        <v>781</v>
      </c>
      <c r="AA23" s="265">
        <f>IFERROR(INDEX('Inputs (2)'!$D$61:$AL$61,MATCH(AA$7,'Inputs (2)'!$D$2:$AL$2,0)),"")</f>
        <v>850</v>
      </c>
      <c r="AB23" s="266">
        <f>IF(COUNT(X23:AA23)=4,SUM(X23:AA23),"")</f>
        <v>3129</v>
      </c>
      <c r="AC23" s="265" t="str">
        <f>IFERROR(INDEX('Inputs (2)'!$D$61:$AL$61,MATCH(AC$7,'Inputs (2)'!$D$2:$AL$2,0)),"")</f>
        <v/>
      </c>
      <c r="AD23" s="265" t="str">
        <f>IFERROR(INDEX('Inputs (2)'!$D$61:$AL$61,MATCH(AD$7,'Inputs (2)'!$D$2:$AL$2,0)),"")</f>
        <v/>
      </c>
      <c r="AE23" s="265" t="str">
        <f>IFERROR(INDEX('Inputs (2)'!$D$61:$AL$61,MATCH(AE$7,'Inputs (2)'!$D$2:$AL$2,0)),"")</f>
        <v/>
      </c>
      <c r="AF23" s="265" t="str">
        <f>IFERROR(INDEX('Inputs (2)'!$D$61:$AL$61,MATCH(AF$7,'Inputs (2)'!$D$2:$AL$2,0)),"")</f>
        <v/>
      </c>
      <c r="AG23" s="266" t="str">
        <f>IF(COUNT(AC23:AF23)=4,SUM(AC23:AF23),"")</f>
        <v/>
      </c>
      <c r="AH23" s="266" t="str">
        <f>IFERROR(INDEX('Inputs (2)'!$D$61:$AL$61,MATCH(AH$7,'Inputs (2)'!$D$2:$AL$2,0)),"")</f>
        <v/>
      </c>
      <c r="AI23" s="266" t="str">
        <f>IFERROR(INDEX('Inputs (2)'!$D$61:$AL$61,MATCH(AI$7,'Inputs (2)'!$D$2:$AL$2,0)),"")</f>
        <v/>
      </c>
    </row>
    <row r="24">
      <c r="C24" s="14" t="inlineStr">
        <is>
          <t xml:space="preserve">   Bottling Investments</t>
        </is>
      </c>
      <c r="D24" s="265">
        <f>IFERROR(INDEX('Inputs (2)'!$D$63:$AL$63,MATCH(D$7,'Inputs (2)'!$D$2:$AL$2,0)),"")</f>
        <v>1658</v>
      </c>
      <c r="E24" s="265">
        <f>IFERROR(INDEX('Inputs (2)'!$D$63:$AL$63,MATCH(E$7,'Inputs (2)'!$D$2:$AL$2,0)),"")</f>
        <v>1263</v>
      </c>
      <c r="F24" s="265">
        <f>IFERROR(INDEX('Inputs (2)'!$D$63:$AL$63,MATCH(F$7,'Inputs (2)'!$D$2:$AL$2,0)),"")</f>
        <v>1475</v>
      </c>
      <c r="G24" s="265">
        <f>IFERROR(INDEX('Inputs (2)'!$D$63:$AL$63,MATCH(G$7,'Inputs (2)'!$D$2:$AL$2,0)),"")</f>
        <v>1869</v>
      </c>
      <c r="H24" s="266">
        <f>IF(COUNT(D24:G24)=4,SUM(D24:G24),"")</f>
        <v>6265</v>
      </c>
      <c r="I24" s="265">
        <f>IFERROR(INDEX('Inputs (2)'!$D$63:$AL$63,MATCH(I$7,'Inputs (2)'!$D$2:$AL$2,0)),"")</f>
        <v>1896</v>
      </c>
      <c r="J24" s="265">
        <f>IFERROR(INDEX('Inputs (2)'!$D$63:$AL$63,MATCH(J$7,'Inputs (2)'!$D$2:$AL$2,0)),"")</f>
        <v>1738</v>
      </c>
      <c r="K24" s="265">
        <f>IFERROR(INDEX('Inputs (2)'!$D$63:$AL$63,MATCH(K$7,'Inputs (2)'!$D$2:$AL$2,0)),"")</f>
        <v>1665</v>
      </c>
      <c r="L24" s="265">
        <f>IFERROR(INDEX('Inputs (2)'!$D$63:$AL$63,MATCH(L$7,'Inputs (2)'!$D$2:$AL$2,0)),"")</f>
        <v>1904</v>
      </c>
      <c r="M24" s="266">
        <f>IF(COUNT(I24:L24)=4,SUM(I24:L24),"")</f>
        <v>7203</v>
      </c>
      <c r="N24" s="265">
        <f>IFERROR(INDEX('Inputs (2)'!$D$63:$AL$63,MATCH(N$7,'Inputs (2)'!$D$2:$AL$2,0)),"")</f>
        <v>2044</v>
      </c>
      <c r="O24" s="265">
        <f>IFERROR(INDEX('Inputs (2)'!$D$63:$AL$63,MATCH(O$7,'Inputs (2)'!$D$2:$AL$2,0)),"")</f>
        <v>2079</v>
      </c>
      <c r="P24" s="265">
        <f>IFERROR(INDEX('Inputs (2)'!$D$63:$AL$63,MATCH(P$7,'Inputs (2)'!$D$2:$AL$2,0)),"")</f>
        <v>1786</v>
      </c>
      <c r="Q24" s="265">
        <f>IFERROR(INDEX('Inputs (2)'!$D$63:$AL$63,MATCH(Q$7,'Inputs (2)'!$D$2:$AL$2,0)),"")</f>
        <v>1982</v>
      </c>
      <c r="R24" s="266">
        <f>IF(COUNT(N24:Q24)=4,SUM(N24:Q24),"")</f>
        <v>7891</v>
      </c>
      <c r="S24" s="265">
        <f>IFERROR(INDEX('Inputs (2)'!$D$63:$AL$63,MATCH(S$7,'Inputs (2)'!$D$2:$AL$2,0)),"")</f>
        <v>1946</v>
      </c>
      <c r="T24" s="265">
        <f>IFERROR(INDEX('Inputs (2)'!$D$63:$AL$63,MATCH(T$7,'Inputs (2)'!$D$2:$AL$2,0)),"")</f>
        <v>2042</v>
      </c>
      <c r="U24" s="265">
        <f>IFERROR(INDEX('Inputs (2)'!$D$63:$AL$63,MATCH(U$7,'Inputs (2)'!$D$2:$AL$2,0)),"")</f>
        <v>1859</v>
      </c>
      <c r="V24" s="265">
        <f>IFERROR(INDEX('Inputs (2)'!$D$63:$AL$63,MATCH(V$7,'Inputs (2)'!$D$2:$AL$2,0)),"")</f>
        <v>2013</v>
      </c>
      <c r="W24" s="266">
        <f>IF(COUNT(S24:V24)=4,SUM(S24:V24),"")</f>
        <v>7860</v>
      </c>
      <c r="X24" s="265">
        <f>IFERROR(INDEX('Inputs (2)'!$D$63:$AL$63,MATCH(X$7,'Inputs (2)'!$D$2:$AL$2,0)),"")</f>
        <v>1817</v>
      </c>
      <c r="Y24" s="265">
        <f>IFERROR(INDEX('Inputs (2)'!$D$63:$AL$63,MATCH(Y$7,'Inputs (2)'!$D$2:$AL$2,0)),"")</f>
        <v>1539</v>
      </c>
      <c r="Z24" s="265">
        <f>IFERROR(INDEX('Inputs (2)'!$D$63:$AL$63,MATCH(Z$7,'Inputs (2)'!$D$2:$AL$2,0)),"")</f>
        <v>1316</v>
      </c>
      <c r="AA24" s="265">
        <f>IFERROR(INDEX('Inputs (2)'!$D$63:$AL$63,MATCH(AA$7,'Inputs (2)'!$D$2:$AL$2,0)),"")</f>
        <v>1551</v>
      </c>
      <c r="AB24" s="266">
        <f>IF(COUNT(X24:AA24)=4,SUM(X24:AA24),"")</f>
        <v>6223</v>
      </c>
      <c r="AC24" s="265">
        <f>IFERROR(INDEX('Inputs (2)'!$D$63:$AL$63,MATCH(AC$7,'Inputs (2)'!$D$2:$AL$2,0)),"")</f>
        <v>1463</v>
      </c>
      <c r="AD24" s="265">
        <f>IFERROR(INDEX('Inputs (2)'!$D$63:$AL$63,MATCH(AD$7,'Inputs (2)'!$D$2:$AL$2,0)),"")</f>
        <v>1411</v>
      </c>
      <c r="AE24" s="265">
        <f>IFERROR(INDEX('Inputs (2)'!$D$63:$AL$63,MATCH(AE$7,'Inputs (2)'!$D$2:$AL$2,0)),"")</f>
        <v>1346</v>
      </c>
      <c r="AF24" s="265">
        <f>IFERROR(INDEX('Inputs (2)'!$D$63:$AL$63,MATCH(AF$7,'Inputs (2)'!$D$2:$AL$2,0)),"")</f>
        <v>1515</v>
      </c>
      <c r="AG24" s="266">
        <f>IF(COUNT(AC24:AF24)=4,SUM(AC24:AF24),"")</f>
        <v>5735</v>
      </c>
      <c r="AH24" s="266">
        <f>IFERROR(INDEX('Inputs (2)'!$D$63:$AL$63,MATCH(AH$7,'Inputs (2)'!$D$2:$AL$2,0)),"")</f>
        <v>1640</v>
      </c>
      <c r="AI24" s="266">
        <f>IFERROR(INDEX('Inputs (2)'!$D$63:$AL$63,MATCH(AI$7,'Inputs (2)'!$D$2:$AL$2,0)),"")</f>
        <v>1527</v>
      </c>
    </row>
    <row r="25">
      <c r="C25" s="14" t="inlineStr">
        <is>
          <t xml:space="preserve">   Corporate</t>
        </is>
      </c>
      <c r="D25" s="265">
        <f>IFERROR(INDEX('Inputs (2)'!$D$65:$AL$65,MATCH(D$7,'Inputs (2)'!$D$2:$AL$2,0)),"")</f>
        <v>31</v>
      </c>
      <c r="E25" s="265">
        <f>IFERROR(INDEX('Inputs (2)'!$D$65:$AL$65,MATCH(E$7,'Inputs (2)'!$D$2:$AL$2,0)),"")</f>
        <v>-12</v>
      </c>
      <c r="F25" s="265">
        <f>IFERROR(INDEX('Inputs (2)'!$D$65:$AL$65,MATCH(F$7,'Inputs (2)'!$D$2:$AL$2,0)),"")</f>
        <v>6</v>
      </c>
      <c r="G25" s="265">
        <f>IFERROR(INDEX('Inputs (2)'!$D$65:$AL$65,MATCH(G$7,'Inputs (2)'!$D$2:$AL$2,0)),"")</f>
        <v>21</v>
      </c>
      <c r="H25" s="266">
        <f>IF(COUNT(D25:G25)=4,SUM(D25:G25),"")</f>
        <v>46</v>
      </c>
      <c r="I25" s="265">
        <f>IFERROR(INDEX('Inputs (2)'!$D$65:$AL$65,MATCH(I$7,'Inputs (2)'!$D$2:$AL$2,0)),"")</f>
        <v>17</v>
      </c>
      <c r="J25" s="265">
        <f>IFERROR(INDEX('Inputs (2)'!$D$65:$AL$65,MATCH(J$7,'Inputs (2)'!$D$2:$AL$2,0)),"")</f>
        <v>17</v>
      </c>
      <c r="K25" s="265">
        <f>IFERROR(INDEX('Inputs (2)'!$D$65:$AL$65,MATCH(K$7,'Inputs (2)'!$D$2:$AL$2,0)),"")</f>
        <v>25</v>
      </c>
      <c r="L25" s="265">
        <f>IFERROR(INDEX('Inputs (2)'!$D$65:$AL$65,MATCH(L$7,'Inputs (2)'!$D$2:$AL$2,0)),"")</f>
        <v>26</v>
      </c>
      <c r="M25" s="266">
        <f>IF(COUNT(I25:L25)=4,SUM(I25:L25),"")</f>
        <v>85</v>
      </c>
      <c r="N25" s="265">
        <f>IFERROR(INDEX('Inputs (2)'!$D$65:$AL$65,MATCH(N$7,'Inputs (2)'!$D$2:$AL$2,0)),"")</f>
        <v>25</v>
      </c>
      <c r="O25" s="265">
        <f>IFERROR(INDEX('Inputs (2)'!$D$65:$AL$65,MATCH(O$7,'Inputs (2)'!$D$2:$AL$2,0)),"")</f>
        <v>23</v>
      </c>
      <c r="P25" s="265">
        <f>IFERROR(INDEX('Inputs (2)'!$D$65:$AL$65,MATCH(P$7,'Inputs (2)'!$D$2:$AL$2,0)),"")</f>
        <v>29</v>
      </c>
      <c r="Q25" s="265">
        <f>IFERROR(INDEX('Inputs (2)'!$D$65:$AL$65,MATCH(Q$7,'Inputs (2)'!$D$2:$AL$2,0)),"")</f>
        <v>17</v>
      </c>
      <c r="R25" s="266">
        <f>IF(COUNT(N25:Q25)=4,SUM(N25:Q25),"")</f>
        <v>94</v>
      </c>
      <c r="S25" s="265">
        <f>IFERROR(INDEX('Inputs (2)'!$D$65:$AL$65,MATCH(S$7,'Inputs (2)'!$D$2:$AL$2,0)),"")</f>
        <v>25</v>
      </c>
      <c r="T25" s="265">
        <f>IFERROR(INDEX('Inputs (2)'!$D$65:$AL$65,MATCH(T$7,'Inputs (2)'!$D$2:$AL$2,0)),"")</f>
        <v>30</v>
      </c>
      <c r="U25" s="265">
        <f>IFERROR(INDEX('Inputs (2)'!$D$65:$AL$65,MATCH(U$7,'Inputs (2)'!$D$2:$AL$2,0)),"")</f>
        <v>40</v>
      </c>
      <c r="V25" s="265">
        <f>IFERROR(INDEX('Inputs (2)'!$D$65:$AL$65,MATCH(V$7,'Inputs (2)'!$D$2:$AL$2,0)),"")</f>
        <v>31</v>
      </c>
      <c r="W25" s="266">
        <f>IF(COUNT(S25:V25)=4,SUM(S25:V25),"")</f>
        <v>126</v>
      </c>
      <c r="X25" s="265">
        <f>IFERROR(INDEX('Inputs (2)'!$D$65:$AL$65,MATCH(X$7,'Inputs (2)'!$D$2:$AL$2,0)),"")</f>
        <v>27</v>
      </c>
      <c r="Y25" s="265">
        <f>IFERROR(INDEX('Inputs (2)'!$D$65:$AL$65,MATCH(Y$7,'Inputs (2)'!$D$2:$AL$2,0)),"")</f>
        <v>30</v>
      </c>
      <c r="Z25" s="265">
        <f>IFERROR(INDEX('Inputs (2)'!$D$65:$AL$65,MATCH(Z$7,'Inputs (2)'!$D$2:$AL$2,0)),"")</f>
        <v>18</v>
      </c>
      <c r="AA25" s="265">
        <f>IFERROR(INDEX('Inputs (2)'!$D$65:$AL$65,MATCH(AA$7,'Inputs (2)'!$D$2:$AL$2,0)),"")</f>
        <v>22</v>
      </c>
      <c r="AB25" s="266">
        <f>IF(COUNT(X25:AA25)=4,SUM(X25:AA25),"")</f>
        <v>97</v>
      </c>
      <c r="AC25" s="265">
        <f>IFERROR(INDEX('Inputs (2)'!$D$65:$AL$65,MATCH(AC$7,'Inputs (2)'!$D$2:$AL$2,0)),"")</f>
        <v>26</v>
      </c>
      <c r="AD25" s="265">
        <f>IFERROR(INDEX('Inputs (2)'!$D$65:$AL$65,MATCH(AD$7,'Inputs (2)'!$D$2:$AL$2,0)),"")</f>
        <v>39</v>
      </c>
      <c r="AE25" s="265">
        <f>IFERROR(INDEX('Inputs (2)'!$D$65:$AL$65,MATCH(AE$7,'Inputs (2)'!$D$2:$AL$2,0)),"")</f>
        <v>34</v>
      </c>
      <c r="AF25" s="265">
        <f>IFERROR(INDEX('Inputs (2)'!$D$65:$AL$65,MATCH(AF$7,'Inputs (2)'!$D$2:$AL$2,0)),"")</f>
        <v>45</v>
      </c>
      <c r="AG25" s="266">
        <f>IF(COUNT(AC25:AF25)=4,SUM(AC25:AF25),"")</f>
        <v>144</v>
      </c>
      <c r="AH25" s="266">
        <f>IFERROR(INDEX('Inputs (2)'!$D$65:$AL$65,MATCH(AH$7,'Inputs (2)'!$D$2:$AL$2,0)),"")</f>
        <v>32</v>
      </c>
      <c r="AI25" s="266">
        <f>IFERROR(INDEX('Inputs (2)'!$D$65:$AL$65,MATCH(AI$7,'Inputs (2)'!$D$2:$AL$2,0)),"")</f>
        <v>37</v>
      </c>
    </row>
    <row r="26">
      <c r="C26" s="14" t="inlineStr">
        <is>
          <t xml:space="preserve">   Eliminações</t>
        </is>
      </c>
      <c r="D26" s="265">
        <f>IFERROR(INDEX('Inputs (2)'!$D$67:$AL$67,MATCH(D$7,'Inputs (2)'!$D$2:$AL$2,0)),"")</f>
        <v>-294</v>
      </c>
      <c r="E26" s="265">
        <f>IFERROR(INDEX('Inputs (2)'!$D$67:$AL$67,MATCH(E$7,'Inputs (2)'!$D$2:$AL$2,0)),"")</f>
        <v>-192</v>
      </c>
      <c r="F26" s="265">
        <f>IFERROR(INDEX('Inputs (2)'!$D$67:$AL$67,MATCH(F$7,'Inputs (2)'!$D$2:$AL$2,0)),"")</f>
        <v>-266</v>
      </c>
      <c r="G26" s="265">
        <f>IFERROR(INDEX('Inputs (2)'!$D$67:$AL$67,MATCH(G$7,'Inputs (2)'!$D$2:$AL$2,0)),"")</f>
        <v>-291</v>
      </c>
      <c r="H26" s="266">
        <f>IF(COUNT(D26:G26)=4,SUM(D26:G26),"")</f>
        <v>-1043</v>
      </c>
      <c r="I26" s="265">
        <f>IFERROR(INDEX('Inputs (2)'!$D$67:$AL$67,MATCH(I$7,'Inputs (2)'!$D$2:$AL$2,0)),"")</f>
        <v>-334</v>
      </c>
      <c r="J26" s="265">
        <f>IFERROR(INDEX('Inputs (2)'!$D$67:$AL$67,MATCH(J$7,'Inputs (2)'!$D$2:$AL$2,0)),"")</f>
        <v>-301</v>
      </c>
      <c r="K26" s="265">
        <f>IFERROR(INDEX('Inputs (2)'!$D$67:$AL$67,MATCH(K$7,'Inputs (2)'!$D$2:$AL$2,0)),"")</f>
        <v>-306</v>
      </c>
      <c r="L26" s="265">
        <f>IFERROR(INDEX('Inputs (2)'!$D$67:$AL$67,MATCH(L$7,'Inputs (2)'!$D$2:$AL$2,0)),"")</f>
        <v>-314</v>
      </c>
      <c r="M26" s="266">
        <f>IF(COUNT(I26:L26)=4,SUM(I26:L26),"")</f>
        <v>-1255</v>
      </c>
      <c r="N26" s="265">
        <f>IFERROR(INDEX('Inputs (2)'!$D$67:$AL$67,MATCH(N$7,'Inputs (2)'!$D$2:$AL$2,0)),"")</f>
        <v>-355</v>
      </c>
      <c r="O26" s="265">
        <f>IFERROR(INDEX('Inputs (2)'!$D$67:$AL$67,MATCH(O$7,'Inputs (2)'!$D$2:$AL$2,0)),"")</f>
        <v>-392</v>
      </c>
      <c r="P26" s="265">
        <f>IFERROR(INDEX('Inputs (2)'!$D$67:$AL$67,MATCH(P$7,'Inputs (2)'!$D$2:$AL$2,0)),"")</f>
        <v>-313</v>
      </c>
      <c r="Q26" s="265">
        <f>IFERROR(INDEX('Inputs (2)'!$D$67:$AL$67,MATCH(Q$7,'Inputs (2)'!$D$2:$AL$2,0)),"")</f>
        <v>-316</v>
      </c>
      <c r="R26" s="266">
        <f>IF(COUNT(N26:Q26)=4,SUM(N26:Q26),"")</f>
        <v>-1376</v>
      </c>
      <c r="S26" s="265">
        <f>IFERROR(INDEX('Inputs (2)'!$D$67:$AL$67,MATCH(S$7,'Inputs (2)'!$D$2:$AL$2,0)),"")</f>
        <v>-383</v>
      </c>
      <c r="T26" s="265">
        <f>IFERROR(INDEX('Inputs (2)'!$D$67:$AL$67,MATCH(T$7,'Inputs (2)'!$D$2:$AL$2,0)),"")</f>
        <v>-365</v>
      </c>
      <c r="U26" s="265">
        <f>IFERROR(INDEX('Inputs (2)'!$D$67:$AL$67,MATCH(U$7,'Inputs (2)'!$D$2:$AL$2,0)),"")</f>
        <v>-340</v>
      </c>
      <c r="V26" s="265">
        <f>IFERROR(INDEX('Inputs (2)'!$D$67:$AL$67,MATCH(V$7,'Inputs (2)'!$D$2:$AL$2,0)),"")</f>
        <v>-345</v>
      </c>
      <c r="W26" s="266">
        <f>IF(COUNT(S26:V26)=4,SUM(S26:V26),"")</f>
        <v>-1433</v>
      </c>
      <c r="X26" s="265">
        <f>IFERROR(INDEX('Inputs (2)'!$D$67:$AL$67,MATCH(X$7,'Inputs (2)'!$D$2:$AL$2,0)),"")</f>
        <v>-417</v>
      </c>
      <c r="Y26" s="265">
        <f>IFERROR(INDEX('Inputs (2)'!$D$67:$AL$67,MATCH(Y$7,'Inputs (2)'!$D$2:$AL$2,0)),"")</f>
        <v>-287</v>
      </c>
      <c r="Z26" s="265">
        <f>IFERROR(INDEX('Inputs (2)'!$D$67:$AL$67,MATCH(Z$7,'Inputs (2)'!$D$2:$AL$2,0)),"")</f>
        <v>-252</v>
      </c>
      <c r="AA26" s="265">
        <f>IFERROR(INDEX('Inputs (2)'!$D$67:$AL$67,MATCH(AA$7,'Inputs (2)'!$D$2:$AL$2,0)),"")</f>
        <v>-208</v>
      </c>
      <c r="AB26" s="266">
        <f>IF(COUNT(X26:AA26)=4,SUM(X26:AA26),"")</f>
        <v>-1164</v>
      </c>
      <c r="AC26" s="265">
        <f>IFERROR(INDEX('Inputs (2)'!$D$67:$AL$67,MATCH(AC$7,'Inputs (2)'!$D$2:$AL$2,0)),"")</f>
        <v>-276</v>
      </c>
      <c r="AD26" s="265">
        <f>IFERROR(INDEX('Inputs (2)'!$D$67:$AL$67,MATCH(AD$7,'Inputs (2)'!$D$2:$AL$2,0)),"")</f>
        <v>-279</v>
      </c>
      <c r="AE26" s="265">
        <f>IFERROR(INDEX('Inputs (2)'!$D$67:$AL$67,MATCH(AE$7,'Inputs (2)'!$D$2:$AL$2,0)),"")</f>
        <v>-253</v>
      </c>
      <c r="AF26" s="265">
        <f>IFERROR(INDEX('Inputs (2)'!$D$67:$AL$67,MATCH(AF$7,'Inputs (2)'!$D$2:$AL$2,0)),"")</f>
        <v>-201</v>
      </c>
      <c r="AG26" s="266">
        <f>IF(COUNT(AC26:AF26)=4,SUM(AC26:AF26),"")</f>
        <v>-1009</v>
      </c>
      <c r="AH26" s="266">
        <f>IFERROR(INDEX('Inputs (2)'!$D$67:$AL$67,MATCH(AH$7,'Inputs (2)'!$D$2:$AL$2,0)),"")</f>
        <v>-291</v>
      </c>
      <c r="AI26" s="266">
        <f>IFERROR(INDEX('Inputs (2)'!$D$67:$AL$67,MATCH(AI$7,'Inputs (2)'!$D$2:$AL$2,0)),"")</f>
        <v>-252</v>
      </c>
    </row>
    <row r="27">
      <c r="C27" s="267" t="inlineStr">
        <is>
          <t>Receita (soma)</t>
        </is>
      </c>
      <c r="D27" s="265">
        <f>IF(COUNT(D19,D20,D21,D22,D23,D24,D25,D26)=0,"",N(D19)+N(D20)+N(D21)+N(D22)+N(D23)+N(D24)+N(D25)+N(D26))</f>
        <v>8601</v>
      </c>
      <c r="E27" s="265">
        <f>IF(COUNT(E19,E20,E21,E22,E23,E24,E25,E26)=0,"",N(E19)+N(E20)+N(E21)+N(E22)+N(E23)+N(E24)+N(E25)+N(E26))</f>
        <v>7150</v>
      </c>
      <c r="F27" s="265">
        <f>IF(COUNT(F19,F20,F21,F22,F23,F24,F25,F26)=0,"",N(F19)+N(F20)+N(F21)+N(F22)+N(F23)+N(F24)+N(F25)+N(F26))</f>
        <v>8652</v>
      </c>
      <c r="G27" s="265">
        <f>IF(COUNT(G19,G20,G21,G22,G23,G24,G25,G26)=0,"",N(G19)+N(G20)+N(G21)+N(G22)+N(G23)+N(G24)+N(G25)+N(G26))</f>
        <v>8611</v>
      </c>
      <c r="H27" s="266">
        <f>IF(COUNT(H19,H20,H21,H22,H23,H24,H25,H26)=0,"",N(H19)+N(H20)+N(H21)+N(H22)+N(H23)+N(H24)+N(H25)+N(H26))</f>
        <v>33014</v>
      </c>
      <c r="I27" s="265">
        <f>IF(COUNT(I19,I20,I21,I22,I23,I24,I25,I26)=0,"",N(I19)+N(I20)+N(I21)+N(I22)+N(I23)+N(I24)+N(I25)+N(I26))</f>
        <v>9020</v>
      </c>
      <c r="J27" s="265">
        <f>IF(COUNT(J19,J20,J21,J22,J23,J24,J25,J26)=0,"",N(J19)+N(J20)+N(J21)+N(J22)+N(J23)+N(J24)+N(J25)+N(J26))</f>
        <v>10129</v>
      </c>
      <c r="K27" s="265">
        <f>IF(COUNT(K19,K20,K21,K22,K23,K24,K25,K26)=0,"",N(K19)+N(K20)+N(K21)+N(K22)+N(K23)+N(K24)+N(K25)+N(K26))</f>
        <v>10042</v>
      </c>
      <c r="L27" s="265">
        <f>IF(COUNT(L19,L20,L21,L22,L23,L24,L25,L26)=0,"",N(L19)+N(L20)+N(L21)+N(L22)+N(L23)+N(L24)+N(L25)+N(L26))</f>
        <v>9464</v>
      </c>
      <c r="M27" s="266">
        <f>IF(COUNT(M19,M20,M21,M22,M23,M24,M25,M26)=0,"",N(M19)+N(M20)+N(M21)+N(M22)+N(M23)+N(M24)+N(M25)+N(M26))</f>
        <v>38655</v>
      </c>
      <c r="N27" s="265">
        <f>IF(COUNT(N19,N20,N21,N22,N23,N24,N25,N26)=0,"",N(N19)+N(N20)+N(N21)+N(N22)+N(N23)+N(N24)+N(N25)+N(N26))</f>
        <v>10491</v>
      </c>
      <c r="O27" s="265">
        <f>IF(COUNT(O19,O20,O21,O22,O23,O24,O25,O26)=0,"",N(O19)+N(O20)+N(O21)+N(O22)+N(O23)+N(O24)+N(O25)+N(O26))</f>
        <v>11325</v>
      </c>
      <c r="P27" s="265">
        <f>IF(COUNT(P19,P20,P21,P22,P23,P24,P25,P26)=0,"",N(P19)+N(P20)+N(P21)+N(P22)+N(P23)+N(P24)+N(P25)+N(P26))</f>
        <v>11063</v>
      </c>
      <c r="Q27" s="265">
        <f>IF(COUNT(Q19,Q20,Q21,Q22,Q23,Q24,Q25,Q26)=0,"",N(Q19)+N(Q20)+N(Q21)+N(Q22)+N(Q23)+N(Q24)+N(Q25)+N(Q26))</f>
        <v>10125</v>
      </c>
      <c r="R27" s="266">
        <f>IF(COUNT(R19,R20,R21,R22,R23,R24,R25,R26)=0,"",N(R19)+N(R20)+N(R21)+N(R22)+N(R23)+N(R24)+N(R25)+N(R26))</f>
        <v>43004</v>
      </c>
      <c r="S27" s="265">
        <f>IF(COUNT(S19,S20,S21,S22,S23,S24,S25,S26)=0,"",N(S19)+N(S20)+N(S21)+N(S22)+N(S23)+N(S24)+N(S25)+N(S26))</f>
        <v>10980</v>
      </c>
      <c r="T27" s="265">
        <f>IF(COUNT(T19,T20,T21,T22,T23,T24,T25,T26)=0,"",N(T19)+N(T20)+N(T21)+N(T22)+N(T23)+N(T24)+N(T25)+N(T26))</f>
        <v>11972</v>
      </c>
      <c r="U27" s="265">
        <f>IF(COUNT(U19,U20,U21,U22,U23,U24,U25,U26)=0,"",N(U19)+N(U20)+N(U21)+N(U22)+N(U23)+N(U24)+N(U25)+N(U26))</f>
        <v>11953</v>
      </c>
      <c r="V27" s="265">
        <f>IF(COUNT(V19,V20,V21,V22,V23,V24,V25,V26)=0,"",N(V19)+N(V20)+N(V21)+N(V22)+N(V23)+N(V24)+N(V25)+N(V26))</f>
        <v>10849</v>
      </c>
      <c r="W27" s="266">
        <f>IF(COUNT(W19,W20,W21,W22,W23,W24,W25,W26)=0,"",N(W19)+N(W20)+N(W21)+N(W22)+N(W23)+N(W24)+N(W25)+N(W26))</f>
        <v>45754</v>
      </c>
      <c r="X27" s="265">
        <f>IF(COUNT(X19,X20,X21,X22,X23,X24,X25,X26)=0,"",N(X19)+N(X20)+N(X21)+N(X22)+N(X23)+N(X24)+N(X25)+N(X26))</f>
        <v>11300</v>
      </c>
      <c r="Y27" s="265">
        <f>IF(COUNT(Y19,Y20,Y21,Y22,Y23,Y24,Y25,Y26)=0,"",N(Y19)+N(Y20)+N(Y21)+N(Y22)+N(Y23)+N(Y24)+N(Y25)+N(Y26))</f>
        <v>12363</v>
      </c>
      <c r="Z27" s="265">
        <f>IF(COUNT(Z19,Z20,Z21,Z22,Z23,Z24,Z25,Z26)=0,"",N(Z19)+N(Z20)+N(Z21)+N(Z22)+N(Z23)+N(Z24)+N(Z25)+N(Z26))</f>
        <v>11854</v>
      </c>
      <c r="AA27" s="265">
        <f>IF(COUNT(AA19,AA20,AA21,AA22,AA23,AA24,AA25,AA26)=0,"",N(AA19)+N(AA20)+N(AA21)+N(AA22)+N(AA23)+N(AA24)+N(AA25)+N(AA26))</f>
        <v>11544</v>
      </c>
      <c r="AB27" s="266">
        <f>IF(COUNT(AB19,AB20,AB21,AB22,AB23,AB24,AB25,AB26)=0,"",N(AB19)+N(AB20)+N(AB21)+N(AB22)+N(AB23)+N(AB24)+N(AB25)+N(AB26))</f>
        <v>47061</v>
      </c>
      <c r="AC27" s="265">
        <f>IF(COUNT(AC19,AC20,AC21,AC22,AC23,AC24,AC25,AC26)=0,"",N(AC19)+N(AC20)+N(AC21)+N(AC22)+N(AC23)+N(AC24)+N(AC25)+N(AC26))</f>
        <v>11129</v>
      </c>
      <c r="AD27" s="265">
        <f>IF(COUNT(AD19,AD20,AD21,AD22,AD23,AD24,AD25,AD26)=0,"",N(AD19)+N(AD20)+N(AD21)+N(AD22)+N(AD23)+N(AD24)+N(AD25)+N(AD26))</f>
        <v>12535</v>
      </c>
      <c r="AE27" s="265">
        <f>IF(COUNT(AE19,AE20,AE21,AE22,AE23,AE24,AE25,AE26)=0,"",N(AE19)+N(AE20)+N(AE21)+N(AE22)+N(AE23)+N(AE24)+N(AE25)+N(AE26))</f>
        <v>12455</v>
      </c>
      <c r="AF27" s="265">
        <f>IF(COUNT(AF19,AF20,AF21,AF22,AF23,AF24,AF25,AF26)=0,"",N(AF19)+N(AF20)+N(AF21)+N(AF22)+N(AF23)+N(AF24)+N(AF25)+N(AF26))</f>
        <v>11822</v>
      </c>
      <c r="AG27" s="266">
        <f>IF(COUNT(AG19,AG20,AG21,AG22,AG23,AG24,AG25,AG26)=0,"",N(AG19)+N(AG20)+N(AG21)+N(AG22)+N(AG23)+N(AG24)+N(AG25)+N(AG26))</f>
        <v>47941</v>
      </c>
      <c r="AH27" s="266">
        <f>IF(COUNT(AH19,AH20,AH21,AH22,AH23,AH24,AH25,AH26)=0,"",N(AH19)+N(AH20)+N(AH21)+N(AH22)+N(AH23)+N(AH24)+N(AH25)+N(AH26))</f>
        <v>12472</v>
      </c>
      <c r="AI27" s="266">
        <f>IF(COUNT(AI19,AI20,AI21,AI22,AI23,AI24,AI25,AI26)=0,"",N(AI19)+N(AI20)+N(AI21)+N(AI22)+N(AI23)+N(AI24)+N(AI25)+N(AI26))</f>
        <v>13380</v>
      </c>
    </row>
    <row r="28">
      <c r="C28" s="14" t="inlineStr">
        <is>
          <t>Check vs Net Revenues (linha 15)</t>
        </is>
      </c>
      <c r="D28" s="265">
        <f>IF(COUNT(D27)=0,"",ROUND(D15-D27,1))</f>
        <v>0</v>
      </c>
      <c r="E28" s="265">
        <f>IF(COUNT(E27)=0,"",ROUND(E15-E27,1))</f>
        <v>0</v>
      </c>
      <c r="F28" s="265">
        <f>IF(COUNT(F27)=0,"",ROUND(F15-F27,1))</f>
        <v>0</v>
      </c>
      <c r="G28" s="265">
        <f>IF(COUNT(G27)=0,"",ROUND(G15-G27,1))</f>
        <v>0</v>
      </c>
      <c r="H28" s="266">
        <f>IF(COUNT(H27)=0,"",ROUND(H15-H27,1))</f>
        <v>0</v>
      </c>
      <c r="I28" s="265">
        <f>IF(COUNT(I27)=0,"",ROUND(I15-I27,1))</f>
        <v>0</v>
      </c>
      <c r="J28" s="265">
        <f>IF(COUNT(J27)=0,"",ROUND(J15-J27,1))</f>
        <v>0</v>
      </c>
      <c r="K28" s="265">
        <f>IF(COUNT(K27)=0,"",ROUND(K15-K27,1))</f>
        <v>0</v>
      </c>
      <c r="L28" s="265">
        <f>IF(COUNT(L27)=0,"",ROUND(L15-L27,1))</f>
        <v>0</v>
      </c>
      <c r="M28" s="266">
        <f>IF(COUNT(M27)=0,"",ROUND(M15-M27,1))</f>
        <v>0</v>
      </c>
      <c r="N28" s="265">
        <f>IF(COUNT(N27)=0,"",ROUND(N15-N27,1))</f>
        <v>0</v>
      </c>
      <c r="O28" s="265">
        <f>IF(COUNT(O27)=0,"",ROUND(O15-O27,1))</f>
        <v>0</v>
      </c>
      <c r="P28" s="265">
        <f>IF(COUNT(P27)=0,"",ROUND(P15-P27,1))</f>
        <v>0</v>
      </c>
      <c r="Q28" s="265">
        <f>IF(COUNT(Q27)=0,"",ROUND(Q15-Q27,1))</f>
        <v>0</v>
      </c>
      <c r="R28" s="266">
        <f>IF(COUNT(R27)=0,"",ROUND(R15-R27,1))</f>
        <v>0</v>
      </c>
      <c r="S28" s="265">
        <f>IF(COUNT(S27)=0,"",ROUND(S15-S27,1))</f>
        <v>0</v>
      </c>
      <c r="T28" s="265">
        <f>IF(COUNT(T27)=0,"",ROUND(T15-T27,1))</f>
        <v>0</v>
      </c>
      <c r="U28" s="265">
        <f>IF(COUNT(U27)=0,"",ROUND(U15-U27,1))</f>
        <v>0</v>
      </c>
      <c r="V28" s="265">
        <f>IF(COUNT(V27)=0,"",ROUND(V15-V27,1))</f>
        <v>0</v>
      </c>
      <c r="W28" s="266">
        <f>IF(COUNT(W27)=0,"",ROUND(W15-W27,1))</f>
        <v>0</v>
      </c>
      <c r="X28" s="265">
        <f>IF(COUNT(X27)=0,"",ROUND(X15-X27,1))</f>
        <v>0</v>
      </c>
      <c r="Y28" s="265">
        <f>IF(COUNT(Y27)=0,"",ROUND(Y15-Y27,1))</f>
        <v>0</v>
      </c>
      <c r="Z28" s="265">
        <f>IF(COUNT(Z27)=0,"",ROUND(Z15-Z27,1))</f>
        <v>0</v>
      </c>
      <c r="AA28" s="265">
        <f>IF(COUNT(AA27)=0,"",ROUND(AA15-AA27,1))</f>
        <v>0</v>
      </c>
      <c r="AB28" s="266">
        <f>IF(COUNT(AB27)=0,"",ROUND(AB15-AB27,1))</f>
        <v>0</v>
      </c>
      <c r="AC28" s="265">
        <f>IF(COUNT(AC27)=0,"",ROUND(AC15-AC27,1))</f>
        <v>0</v>
      </c>
      <c r="AD28" s="265">
        <f>IF(COUNT(AD27)=0,"",ROUND(AD15-AD27,1))</f>
        <v>0</v>
      </c>
      <c r="AE28" s="265">
        <f>IF(COUNT(AE27)=0,"",ROUND(AE15-AE27,1))</f>
        <v>0</v>
      </c>
      <c r="AF28" s="265">
        <f>IF(COUNT(AF27)=0,"",ROUND(AF15-AF27,1))</f>
        <v>0</v>
      </c>
      <c r="AG28" s="266">
        <f>IF(COUNT(AG27)=0,"",ROUND(AG15-AG27,1))</f>
        <v>0</v>
      </c>
      <c r="AH28" s="266">
        <f>IF(COUNT(AH27)=0,"",ROUND(AH15-AH27,1))</f>
        <v>0</v>
      </c>
      <c r="AI28" s="266">
        <f>IF(COUNT(AI27)=0,"",ROUND(AI15-AI27,1))</f>
        <v>0</v>
      </c>
    </row>
    <row r="29"/>
    <row r="30">
      <c r="C30" s="12" t="inlineStr">
        <is>
          <t>Segmentos - lucro operacional (USD milhões)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EMEA</t>
        </is>
      </c>
      <c r="D31" s="265">
        <f>IFERROR(INDEX('Inputs (2)'!$D$54:$AL$54,MATCH(D$7,'Inputs (2)'!$D$2:$AL$2,0)),"")</f>
        <v>960</v>
      </c>
      <c r="E31" s="265">
        <f>IFERROR(INDEX('Inputs (2)'!$D$54:$AL$54,MATCH(E$7,'Inputs (2)'!$D$2:$AL$2,0)),"")</f>
        <v>715</v>
      </c>
      <c r="F31" s="265">
        <f>IFERROR(INDEX('Inputs (2)'!$D$54:$AL$54,MATCH(F$7,'Inputs (2)'!$D$2:$AL$2,0)),"")</f>
        <v>903</v>
      </c>
      <c r="G31" s="265">
        <f>IFERROR(INDEX('Inputs (2)'!$D$54:$AL$54,MATCH(G$7,'Inputs (2)'!$D$2:$AL$2,0)),"")</f>
        <v>735</v>
      </c>
      <c r="H31" s="266">
        <f>IF(COUNT(D31:G31)=4,SUM(D31:G31),"")</f>
        <v>3313</v>
      </c>
      <c r="I31" s="265">
        <f>IFERROR(INDEX('Inputs (2)'!$D$54:$AL$54,MATCH(I$7,'Inputs (2)'!$D$2:$AL$2,0)),"")</f>
        <v>820</v>
      </c>
      <c r="J31" s="265">
        <f>IFERROR(INDEX('Inputs (2)'!$D$54:$AL$54,MATCH(J$7,'Inputs (2)'!$D$2:$AL$2,0)),"")</f>
        <v>1142</v>
      </c>
      <c r="K31" s="265">
        <f>IFERROR(INDEX('Inputs (2)'!$D$54:$AL$54,MATCH(K$7,'Inputs (2)'!$D$2:$AL$2,0)),"")</f>
        <v>1028</v>
      </c>
      <c r="L31" s="265">
        <f>IFERROR(INDEX('Inputs (2)'!$D$54:$AL$54,MATCH(L$7,'Inputs (2)'!$D$2:$AL$2,0)),"")</f>
        <v>745</v>
      </c>
      <c r="M31" s="266">
        <f>IF(COUNT(I31:L31)=4,SUM(I31:L31),"")</f>
        <v>3735</v>
      </c>
      <c r="N31" s="265">
        <f>IFERROR(INDEX('Inputs (2)'!$D$54:$AL$54,MATCH(N$7,'Inputs (2)'!$D$2:$AL$2,0)),"")</f>
        <v>1007</v>
      </c>
      <c r="O31" s="265">
        <f>IFERROR(INDEX('Inputs (2)'!$D$54:$AL$54,MATCH(O$7,'Inputs (2)'!$D$2:$AL$2,0)),"")</f>
        <v>1291</v>
      </c>
      <c r="P31" s="265">
        <f>IFERROR(INDEX('Inputs (2)'!$D$54:$AL$54,MATCH(P$7,'Inputs (2)'!$D$2:$AL$2,0)),"")</f>
        <v>1046</v>
      </c>
      <c r="Q31" s="265">
        <f>IFERROR(INDEX('Inputs (2)'!$D$54:$AL$54,MATCH(Q$7,'Inputs (2)'!$D$2:$AL$2,0)),"")</f>
        <v>614</v>
      </c>
      <c r="R31" s="266">
        <f>IF(COUNT(N31:Q31)=4,SUM(N31:Q31),"")</f>
        <v>3958</v>
      </c>
      <c r="S31" s="265">
        <f>IFERROR(INDEX('Inputs (2)'!$D$54:$AL$54,MATCH(S$7,'Inputs (2)'!$D$2:$AL$2,0)),"")</f>
        <v>1135</v>
      </c>
      <c r="T31" s="265">
        <f>IFERROR(INDEX('Inputs (2)'!$D$54:$AL$54,MATCH(T$7,'Inputs (2)'!$D$2:$AL$2,0)),"")</f>
        <v>1133</v>
      </c>
      <c r="U31" s="265">
        <f>IFERROR(INDEX('Inputs (2)'!$D$54:$AL$54,MATCH(U$7,'Inputs (2)'!$D$2:$AL$2,0)),"")</f>
        <v>1136</v>
      </c>
      <c r="V31" s="265">
        <f>IFERROR(INDEX('Inputs (2)'!$D$54:$AL$54,MATCH(V$7,'Inputs (2)'!$D$2:$AL$2,0)),"")</f>
        <v>798</v>
      </c>
      <c r="W31" s="266">
        <f>IF(COUNT(S31:V31)=4,SUM(S31:V31),"")</f>
        <v>4202</v>
      </c>
      <c r="X31" s="265">
        <f>IFERROR(INDEX('Inputs (2)'!$D$54:$AL$54,MATCH(X$7,'Inputs (2)'!$D$2:$AL$2,0)),"")</f>
        <v>1080</v>
      </c>
      <c r="Y31" s="265">
        <f>IFERROR(INDEX('Inputs (2)'!$D$54:$AL$54,MATCH(Y$7,'Inputs (2)'!$D$2:$AL$2,0)),"")</f>
        <v>1252</v>
      </c>
      <c r="Z31" s="265">
        <f>IFERROR(INDEX('Inputs (2)'!$D$54:$AL$54,MATCH(Z$7,'Inputs (2)'!$D$2:$AL$2,0)),"")</f>
        <v>977</v>
      </c>
      <c r="AA31" s="265">
        <f>IFERROR(INDEX('Inputs (2)'!$D$54:$AL$54,MATCH(AA$7,'Inputs (2)'!$D$2:$AL$2,0)),"")</f>
        <v>816</v>
      </c>
      <c r="AB31" s="266">
        <f>IF(COUNT(X31:AA31)=4,SUM(X31:AA31),"")</f>
        <v>4125</v>
      </c>
      <c r="AC31" s="265">
        <f>IFERROR(INDEX('Inputs (2)'!$D$54:$AL$54,MATCH(AC$7,'Inputs (2)'!$D$2:$AL$2,0)),"")</f>
        <v>1065</v>
      </c>
      <c r="AD31" s="265">
        <f>IFERROR(INDEX('Inputs (2)'!$D$54:$AL$54,MATCH(AD$7,'Inputs (2)'!$D$2:$AL$2,0)),"")</f>
        <v>1325</v>
      </c>
      <c r="AE31" s="265">
        <f>IFERROR(INDEX('Inputs (2)'!$D$54:$AL$54,MATCH(AE$7,'Inputs (2)'!$D$2:$AL$2,0)),"")</f>
        <v>1097</v>
      </c>
      <c r="AF31" s="265">
        <f>IFERROR(INDEX('Inputs (2)'!$D$54:$AL$54,MATCH(AF$7,'Inputs (2)'!$D$2:$AL$2,0)),"")</f>
        <v>811</v>
      </c>
      <c r="AG31" s="266">
        <f>IF(COUNT(AC31:AF31)=4,SUM(AC31:AF31),"")</f>
        <v>4298</v>
      </c>
      <c r="AH31" s="266">
        <f>IFERROR(INDEX('Inputs (2)'!$D$54:$AL$54,MATCH(AH$7,'Inputs (2)'!$D$2:$AL$2,0)),"")</f>
        <v>1259</v>
      </c>
      <c r="AI31" s="266">
        <f>IFERROR(INDEX('Inputs (2)'!$D$54:$AL$54,MATCH(AI$7,'Inputs (2)'!$D$2:$AL$2,0)),"")</f>
        <v>1309</v>
      </c>
    </row>
    <row r="32">
      <c r="C32" s="14" t="inlineStr">
        <is>
          <t xml:space="preserve">   América Latina</t>
        </is>
      </c>
      <c r="D32" s="265">
        <f>IFERROR(INDEX('Inputs (2)'!$D$56:$AL$56,MATCH(D$7,'Inputs (2)'!$D$2:$AL$2,0)),"")</f>
        <v>539</v>
      </c>
      <c r="E32" s="265">
        <f>IFERROR(INDEX('Inputs (2)'!$D$56:$AL$56,MATCH(E$7,'Inputs (2)'!$D$2:$AL$2,0)),"")</f>
        <v>504</v>
      </c>
      <c r="F32" s="265">
        <f>IFERROR(INDEX('Inputs (2)'!$D$56:$AL$56,MATCH(F$7,'Inputs (2)'!$D$2:$AL$2,0)),"")</f>
        <v>483</v>
      </c>
      <c r="G32" s="265">
        <f>IFERROR(INDEX('Inputs (2)'!$D$56:$AL$56,MATCH(G$7,'Inputs (2)'!$D$2:$AL$2,0)),"")</f>
        <v>590</v>
      </c>
      <c r="H32" s="266">
        <f>IF(COUNT(D32:G32)=4,SUM(D32:G32),"")</f>
        <v>2116</v>
      </c>
      <c r="I32" s="265">
        <f>IFERROR(INDEX('Inputs (2)'!$D$56:$AL$56,MATCH(I$7,'Inputs (2)'!$D$2:$AL$2,0)),"")</f>
        <v>552</v>
      </c>
      <c r="J32" s="265">
        <f>IFERROR(INDEX('Inputs (2)'!$D$56:$AL$56,MATCH(J$7,'Inputs (2)'!$D$2:$AL$2,0)),"")</f>
        <v>678</v>
      </c>
      <c r="K32" s="265">
        <f>IFERROR(INDEX('Inputs (2)'!$D$56:$AL$56,MATCH(K$7,'Inputs (2)'!$D$2:$AL$2,0)),"")</f>
        <v>712</v>
      </c>
      <c r="L32" s="265">
        <f>IFERROR(INDEX('Inputs (2)'!$D$56:$AL$56,MATCH(L$7,'Inputs (2)'!$D$2:$AL$2,0)),"")</f>
        <v>592</v>
      </c>
      <c r="M32" s="266">
        <f>IF(COUNT(I32:L32)=4,SUM(I32:L32),"")</f>
        <v>2534</v>
      </c>
      <c r="N32" s="265">
        <f>IFERROR(INDEX('Inputs (2)'!$D$56:$AL$56,MATCH(N$7,'Inputs (2)'!$D$2:$AL$2,0)),"")</f>
        <v>760</v>
      </c>
      <c r="O32" s="265">
        <f>IFERROR(INDEX('Inputs (2)'!$D$56:$AL$56,MATCH(O$7,'Inputs (2)'!$D$2:$AL$2,0)),"")</f>
        <v>674</v>
      </c>
      <c r="P32" s="265">
        <f>IFERROR(INDEX('Inputs (2)'!$D$56:$AL$56,MATCH(P$7,'Inputs (2)'!$D$2:$AL$2,0)),"")</f>
        <v>712</v>
      </c>
      <c r="Q32" s="265">
        <f>IFERROR(INDEX('Inputs (2)'!$D$56:$AL$56,MATCH(Q$7,'Inputs (2)'!$D$2:$AL$2,0)),"")</f>
        <v>724</v>
      </c>
      <c r="R32" s="266">
        <f>IF(COUNT(N32:Q32)=4,SUM(N32:Q32),"")</f>
        <v>2870</v>
      </c>
      <c r="S32" s="265">
        <f>IFERROR(INDEX('Inputs (2)'!$D$56:$AL$56,MATCH(S$7,'Inputs (2)'!$D$2:$AL$2,0)),"")</f>
        <v>853</v>
      </c>
      <c r="T32" s="265">
        <f>IFERROR(INDEX('Inputs (2)'!$D$56:$AL$56,MATCH(T$7,'Inputs (2)'!$D$2:$AL$2,0)),"")</f>
        <v>797</v>
      </c>
      <c r="U32" s="265">
        <f>IFERROR(INDEX('Inputs (2)'!$D$56:$AL$56,MATCH(U$7,'Inputs (2)'!$D$2:$AL$2,0)),"")</f>
        <v>985</v>
      </c>
      <c r="V32" s="265">
        <f>IFERROR(INDEX('Inputs (2)'!$D$56:$AL$56,MATCH(V$7,'Inputs (2)'!$D$2:$AL$2,0)),"")</f>
        <v>797</v>
      </c>
      <c r="W32" s="266">
        <f>IF(COUNT(S32:V32)=4,SUM(S32:V32),"")</f>
        <v>3432</v>
      </c>
      <c r="X32" s="265">
        <f>IFERROR(INDEX('Inputs (2)'!$D$56:$AL$56,MATCH(X$7,'Inputs (2)'!$D$2:$AL$2,0)),"")</f>
        <v>942</v>
      </c>
      <c r="Y32" s="265">
        <f>IFERROR(INDEX('Inputs (2)'!$D$56:$AL$56,MATCH(Y$7,'Inputs (2)'!$D$2:$AL$2,0)),"")</f>
        <v>920</v>
      </c>
      <c r="Z32" s="265">
        <f>IFERROR(INDEX('Inputs (2)'!$D$56:$AL$56,MATCH(Z$7,'Inputs (2)'!$D$2:$AL$2,0)),"")</f>
        <v>933</v>
      </c>
      <c r="AA32" s="265">
        <f>IFERROR(INDEX('Inputs (2)'!$D$56:$AL$56,MATCH(AA$7,'Inputs (2)'!$D$2:$AL$2,0)),"")</f>
        <v>985</v>
      </c>
      <c r="AB32" s="266">
        <f>IF(COUNT(X32:AA32)=4,SUM(X32:AA32),"")</f>
        <v>3780</v>
      </c>
      <c r="AC32" s="265">
        <f>IFERROR(INDEX('Inputs (2)'!$D$56:$AL$56,MATCH(AC$7,'Inputs (2)'!$D$2:$AL$2,0)),"")</f>
        <v>904</v>
      </c>
      <c r="AD32" s="265">
        <f>IFERROR(INDEX('Inputs (2)'!$D$56:$AL$56,MATCH(AD$7,'Inputs (2)'!$D$2:$AL$2,0)),"")</f>
        <v>957</v>
      </c>
      <c r="AE32" s="265">
        <f>IFERROR(INDEX('Inputs (2)'!$D$56:$AL$56,MATCH(AE$7,'Inputs (2)'!$D$2:$AL$2,0)),"")</f>
        <v>897</v>
      </c>
      <c r="AF32" s="265">
        <f>IFERROR(INDEX('Inputs (2)'!$D$56:$AL$56,MATCH(AF$7,'Inputs (2)'!$D$2:$AL$2,0)),"")</f>
        <v>984</v>
      </c>
      <c r="AG32" s="266">
        <f>IF(COUNT(AC32:AF32)=4,SUM(AC32:AF32),"")</f>
        <v>3742</v>
      </c>
      <c r="AH32" s="266">
        <f>IFERROR(INDEX('Inputs (2)'!$D$56:$AL$56,MATCH(AH$7,'Inputs (2)'!$D$2:$AL$2,0)),"")</f>
        <v>1038</v>
      </c>
      <c r="AI32" s="266">
        <f>IFERROR(INDEX('Inputs (2)'!$D$56:$AL$56,MATCH(AI$7,'Inputs (2)'!$D$2:$AL$2,0)),"")</f>
        <v>1177</v>
      </c>
    </row>
    <row r="33">
      <c r="C33" s="14" t="inlineStr">
        <is>
          <t xml:space="preserve">   América do Norte</t>
        </is>
      </c>
      <c r="D33" s="265">
        <f>IFERROR(INDEX('Inputs (2)'!$D$58:$AL$58,MATCH(D$7,'Inputs (2)'!$D$2:$AL$2,0)),"")</f>
        <v>387</v>
      </c>
      <c r="E33" s="265">
        <f>IFERROR(INDEX('Inputs (2)'!$D$58:$AL$58,MATCH(E$7,'Inputs (2)'!$D$2:$AL$2,0)),"")</f>
        <v>489</v>
      </c>
      <c r="F33" s="265">
        <f>IFERROR(INDEX('Inputs (2)'!$D$58:$AL$58,MATCH(F$7,'Inputs (2)'!$D$2:$AL$2,0)),"")</f>
        <v>727</v>
      </c>
      <c r="G33" s="265">
        <f>IFERROR(INDEX('Inputs (2)'!$D$58:$AL$58,MATCH(G$7,'Inputs (2)'!$D$2:$AL$2,0)),"")</f>
        <v>868</v>
      </c>
      <c r="H33" s="266">
        <f>IF(COUNT(D33:G33)=4,SUM(D33:G33),"")</f>
        <v>2471</v>
      </c>
      <c r="I33" s="265">
        <f>IFERROR(INDEX('Inputs (2)'!$D$58:$AL$58,MATCH(I$7,'Inputs (2)'!$D$2:$AL$2,0)),"")</f>
        <v>792</v>
      </c>
      <c r="J33" s="265">
        <f>IFERROR(INDEX('Inputs (2)'!$D$58:$AL$58,MATCH(J$7,'Inputs (2)'!$D$2:$AL$2,0)),"")</f>
        <v>950</v>
      </c>
      <c r="K33" s="265">
        <f>IFERROR(INDEX('Inputs (2)'!$D$58:$AL$58,MATCH(K$7,'Inputs (2)'!$D$2:$AL$2,0)),"")</f>
        <v>868</v>
      </c>
      <c r="L33" s="265">
        <f>IFERROR(INDEX('Inputs (2)'!$D$58:$AL$58,MATCH(L$7,'Inputs (2)'!$D$2:$AL$2,0)),"")</f>
        <v>721</v>
      </c>
      <c r="M33" s="266">
        <f>IF(COUNT(I33:L33)=4,SUM(I33:L33),"")</f>
        <v>3331</v>
      </c>
      <c r="N33" s="265">
        <f>IFERROR(INDEX('Inputs (2)'!$D$58:$AL$58,MATCH(N$7,'Inputs (2)'!$D$2:$AL$2,0)),"")</f>
        <v>1056</v>
      </c>
      <c r="O33" s="265">
        <f>IFERROR(INDEX('Inputs (2)'!$D$58:$AL$58,MATCH(O$7,'Inputs (2)'!$D$2:$AL$2,0)),"")</f>
        <v>840</v>
      </c>
      <c r="P33" s="265">
        <f>IFERROR(INDEX('Inputs (2)'!$D$58:$AL$58,MATCH(P$7,'Inputs (2)'!$D$2:$AL$2,0)),"")</f>
        <v>1082</v>
      </c>
      <c r="Q33" s="265">
        <f>IFERROR(INDEX('Inputs (2)'!$D$58:$AL$58,MATCH(Q$7,'Inputs (2)'!$D$2:$AL$2,0)),"")</f>
        <v>764</v>
      </c>
      <c r="R33" s="266">
        <f>IF(COUNT(N33:Q33)=4,SUM(N33:Q33),"")</f>
        <v>3742</v>
      </c>
      <c r="S33" s="265">
        <f>IFERROR(INDEX('Inputs (2)'!$D$58:$AL$58,MATCH(S$7,'Inputs (2)'!$D$2:$AL$2,0)),"")</f>
        <v>1033</v>
      </c>
      <c r="T33" s="265">
        <f>IFERROR(INDEX('Inputs (2)'!$D$58:$AL$58,MATCH(T$7,'Inputs (2)'!$D$2:$AL$2,0)),"")</f>
        <v>1216</v>
      </c>
      <c r="U33" s="265">
        <f>IFERROR(INDEX('Inputs (2)'!$D$58:$AL$58,MATCH(U$7,'Inputs (2)'!$D$2:$AL$2,0)),"")</f>
        <v>1276</v>
      </c>
      <c r="V33" s="265">
        <f>IFERROR(INDEX('Inputs (2)'!$D$58:$AL$58,MATCH(V$7,'Inputs (2)'!$D$2:$AL$2,0)),"")</f>
        <v>910</v>
      </c>
      <c r="W33" s="266">
        <f>IF(COUNT(S33:V33)=4,SUM(S33:V33),"")</f>
        <v>4435</v>
      </c>
      <c r="X33" s="265">
        <f>IFERROR(INDEX('Inputs (2)'!$D$58:$AL$58,MATCH(X$7,'Inputs (2)'!$D$2:$AL$2,0)),"")</f>
        <v>445</v>
      </c>
      <c r="Y33" s="265">
        <f>IFERROR(INDEX('Inputs (2)'!$D$58:$AL$58,MATCH(Y$7,'Inputs (2)'!$D$2:$AL$2,0)),"")</f>
        <v>1312</v>
      </c>
      <c r="Z33" s="265">
        <f>IFERROR(INDEX('Inputs (2)'!$D$58:$AL$58,MATCH(Z$7,'Inputs (2)'!$D$2:$AL$2,0)),"")</f>
        <v>1405</v>
      </c>
      <c r="AA33" s="265">
        <f>IFERROR(INDEX('Inputs (2)'!$D$58:$AL$58,MATCH(AA$7,'Inputs (2)'!$D$2:$AL$2,0)),"")</f>
        <v>1174</v>
      </c>
      <c r="AB33" s="266">
        <f>IF(COUNT(X33:AA33)=4,SUM(X33:AA33),"")</f>
        <v>4336</v>
      </c>
      <c r="AC33" s="265">
        <f>IFERROR(INDEX('Inputs (2)'!$D$58:$AL$58,MATCH(AC$7,'Inputs (2)'!$D$2:$AL$2,0)),"")</f>
        <v>1341</v>
      </c>
      <c r="AD33" s="265">
        <f>IFERROR(INDEX('Inputs (2)'!$D$58:$AL$58,MATCH(AD$7,'Inputs (2)'!$D$2:$AL$2,0)),"")</f>
        <v>1621</v>
      </c>
      <c r="AE33" s="265">
        <f>IFERROR(INDEX('Inputs (2)'!$D$58:$AL$58,MATCH(AE$7,'Inputs (2)'!$D$2:$AL$2,0)),"")</f>
        <v>1681</v>
      </c>
      <c r="AF33" s="265">
        <f>IFERROR(INDEX('Inputs (2)'!$D$58:$AL$58,MATCH(AF$7,'Inputs (2)'!$D$2:$AL$2,0)),"")</f>
        <v>427</v>
      </c>
      <c r="AG33" s="266">
        <f>IF(COUNT(AC33:AF33)=4,SUM(AC33:AF33),"")</f>
        <v>5070</v>
      </c>
      <c r="AH33" s="266">
        <f>IFERROR(INDEX('Inputs (2)'!$D$58:$AL$58,MATCH(AH$7,'Inputs (2)'!$D$2:$AL$2,0)),"")</f>
        <v>1606</v>
      </c>
      <c r="AI33" s="266">
        <f>IFERROR(INDEX('Inputs (2)'!$D$58:$AL$58,MATCH(AI$7,'Inputs (2)'!$D$2:$AL$2,0)),"")</f>
        <v>1695</v>
      </c>
    </row>
    <row r="34">
      <c r="C34" s="14" t="inlineStr">
        <is>
          <t xml:space="preserve">   Ásia-Pacífico</t>
        </is>
      </c>
      <c r="D34" s="265">
        <f>IFERROR(INDEX('Inputs (2)'!$D$60:$AL$60,MATCH(D$7,'Inputs (2)'!$D$2:$AL$2,0)),"")</f>
        <v>511</v>
      </c>
      <c r="E34" s="265">
        <f>IFERROR(INDEX('Inputs (2)'!$D$60:$AL$60,MATCH(E$7,'Inputs (2)'!$D$2:$AL$2,0)),"")</f>
        <v>652</v>
      </c>
      <c r="F34" s="265">
        <f>IFERROR(INDEX('Inputs (2)'!$D$60:$AL$60,MATCH(F$7,'Inputs (2)'!$D$2:$AL$2,0)),"")</f>
        <v>564</v>
      </c>
      <c r="G34" s="265">
        <f>IFERROR(INDEX('Inputs (2)'!$D$60:$AL$60,MATCH(G$7,'Inputs (2)'!$D$2:$AL$2,0)),"")</f>
        <v>406</v>
      </c>
      <c r="H34" s="266">
        <f>IF(COUNT(D34:G34)=4,SUM(D34:G34),"")</f>
        <v>2133</v>
      </c>
      <c r="I34" s="265">
        <f>IFERROR(INDEX('Inputs (2)'!$D$60:$AL$60,MATCH(I$7,'Inputs (2)'!$D$2:$AL$2,0)),"")</f>
        <v>686</v>
      </c>
      <c r="J34" s="265">
        <f>IFERROR(INDEX('Inputs (2)'!$D$60:$AL$60,MATCH(J$7,'Inputs (2)'!$D$2:$AL$2,0)),"")</f>
        <v>766</v>
      </c>
      <c r="K34" s="265">
        <f>IFERROR(INDEX('Inputs (2)'!$D$60:$AL$60,MATCH(K$7,'Inputs (2)'!$D$2:$AL$2,0)),"")</f>
        <v>594</v>
      </c>
      <c r="L34" s="265">
        <f>IFERROR(INDEX('Inputs (2)'!$D$60:$AL$60,MATCH(L$7,'Inputs (2)'!$D$2:$AL$2,0)),"")</f>
        <v>279</v>
      </c>
      <c r="M34" s="266">
        <f>IF(COUNT(I34:L34)=4,SUM(I34:L34),"")</f>
        <v>2325</v>
      </c>
      <c r="N34" s="265">
        <f>IFERROR(INDEX('Inputs (2)'!$D$60:$AL$60,MATCH(N$7,'Inputs (2)'!$D$2:$AL$2,0)),"")</f>
        <v>664</v>
      </c>
      <c r="O34" s="265">
        <f>IFERROR(INDEX('Inputs (2)'!$D$60:$AL$60,MATCH(O$7,'Inputs (2)'!$D$2:$AL$2,0)),"")</f>
        <v>753</v>
      </c>
      <c r="P34" s="265">
        <f>IFERROR(INDEX('Inputs (2)'!$D$60:$AL$60,MATCH(P$7,'Inputs (2)'!$D$2:$AL$2,0)),"")</f>
        <v>589</v>
      </c>
      <c r="Q34" s="265">
        <f>IFERROR(INDEX('Inputs (2)'!$D$60:$AL$60,MATCH(Q$7,'Inputs (2)'!$D$2:$AL$2,0)),"")</f>
        <v>297</v>
      </c>
      <c r="R34" s="266">
        <f>IF(COUNT(N34:Q34)=4,SUM(N34:Q34),"")</f>
        <v>2303</v>
      </c>
      <c r="S34" s="265">
        <f>IFERROR(INDEX('Inputs (2)'!$D$60:$AL$60,MATCH(S$7,'Inputs (2)'!$D$2:$AL$2,0)),"")</f>
        <v>563</v>
      </c>
      <c r="T34" s="265">
        <f>IFERROR(INDEX('Inputs (2)'!$D$60:$AL$60,MATCH(T$7,'Inputs (2)'!$D$2:$AL$2,0)),"")</f>
        <v>673</v>
      </c>
      <c r="U34" s="265">
        <f>IFERROR(INDEX('Inputs (2)'!$D$60:$AL$60,MATCH(U$7,'Inputs (2)'!$D$2:$AL$2,0)),"")</f>
        <v>491</v>
      </c>
      <c r="V34" s="265">
        <f>IFERROR(INDEX('Inputs (2)'!$D$60:$AL$60,MATCH(V$7,'Inputs (2)'!$D$2:$AL$2,0)),"")</f>
        <v>313</v>
      </c>
      <c r="W34" s="266">
        <f>IF(COUNT(S34:V34)=4,SUM(S34:V34),"")</f>
        <v>2040</v>
      </c>
      <c r="X34" s="265">
        <f>IFERROR(INDEX('Inputs (2)'!$D$60:$AL$60,MATCH(X$7,'Inputs (2)'!$D$2:$AL$2,0)),"")</f>
        <v>654</v>
      </c>
      <c r="Y34" s="265">
        <f>IFERROR(INDEX('Inputs (2)'!$D$60:$AL$60,MATCH(Y$7,'Inputs (2)'!$D$2:$AL$2,0)),"")</f>
        <v>647</v>
      </c>
      <c r="Z34" s="265">
        <f>IFERROR(INDEX('Inputs (2)'!$D$60:$AL$60,MATCH(Z$7,'Inputs (2)'!$D$2:$AL$2,0)),"")</f>
        <v>459</v>
      </c>
      <c r="AA34" s="265">
        <f>IFERROR(INDEX('Inputs (2)'!$D$60:$AL$60,MATCH(AA$7,'Inputs (2)'!$D$2:$AL$2,0)),"")</f>
        <v>388</v>
      </c>
      <c r="AB34" s="266">
        <f>IF(COUNT(X34:AA34)=4,SUM(X34:AA34),"")</f>
        <v>2148</v>
      </c>
      <c r="AC34" s="265">
        <f>IFERROR(INDEX('Inputs (2)'!$D$60:$AL$60,MATCH(AC$7,'Inputs (2)'!$D$2:$AL$2,0)),"")</f>
        <v>624</v>
      </c>
      <c r="AD34" s="265">
        <f>IFERROR(INDEX('Inputs (2)'!$D$60:$AL$60,MATCH(AD$7,'Inputs (2)'!$D$2:$AL$2,0)),"")</f>
        <v>647</v>
      </c>
      <c r="AE34" s="265">
        <f>IFERROR(INDEX('Inputs (2)'!$D$60:$AL$60,MATCH(AE$7,'Inputs (2)'!$D$2:$AL$2,0)),"")</f>
        <v>521</v>
      </c>
      <c r="AF34" s="265">
        <f>IFERROR(INDEX('Inputs (2)'!$D$60:$AL$60,MATCH(AF$7,'Inputs (2)'!$D$2:$AL$2,0)),"")</f>
        <v>250</v>
      </c>
      <c r="AG34" s="266">
        <f>IF(COUNT(AC34:AF34)=4,SUM(AC34:AF34),"")</f>
        <v>2042</v>
      </c>
      <c r="AH34" s="266">
        <f>IFERROR(INDEX('Inputs (2)'!$D$60:$AL$60,MATCH(AH$7,'Inputs (2)'!$D$2:$AL$2,0)),"")</f>
        <v>536</v>
      </c>
      <c r="AI34" s="266">
        <f>IFERROR(INDEX('Inputs (2)'!$D$60:$AL$60,MATCH(AI$7,'Inputs (2)'!$D$2:$AL$2,0)),"")</f>
        <v>656</v>
      </c>
    </row>
    <row r="35">
      <c r="C35" s="14" t="inlineStr">
        <is>
          <t xml:space="preserve">   Global Ventures</t>
        </is>
      </c>
      <c r="D35" s="265">
        <f>IFERROR(INDEX('Inputs (2)'!$D$62:$AL$62,MATCH(D$7,'Inputs (2)'!$D$2:$AL$2,0)),"")</f>
        <v>19</v>
      </c>
      <c r="E35" s="265">
        <f>IFERROR(INDEX('Inputs (2)'!$D$62:$AL$62,MATCH(E$7,'Inputs (2)'!$D$2:$AL$2,0)),"")</f>
        <v>-102</v>
      </c>
      <c r="F35" s="265">
        <f>IFERROR(INDEX('Inputs (2)'!$D$62:$AL$62,MATCH(F$7,'Inputs (2)'!$D$2:$AL$2,0)),"")</f>
        <v>-31</v>
      </c>
      <c r="G35" s="265">
        <f>IFERROR(INDEX('Inputs (2)'!$D$62:$AL$62,MATCH(G$7,'Inputs (2)'!$D$2:$AL$2,0)),"")</f>
        <v>-9</v>
      </c>
      <c r="H35" s="266">
        <f>IF(COUNT(D35:G35)=4,SUM(D35:G35),"")</f>
        <v>-123</v>
      </c>
      <c r="I35" s="265">
        <f>IFERROR(INDEX('Inputs (2)'!$D$62:$AL$62,MATCH(I$7,'Inputs (2)'!$D$2:$AL$2,0)),"")</f>
        <v>26</v>
      </c>
      <c r="J35" s="265">
        <f>IFERROR(INDEX('Inputs (2)'!$D$62:$AL$62,MATCH(J$7,'Inputs (2)'!$D$2:$AL$2,0)),"")</f>
        <v>75</v>
      </c>
      <c r="K35" s="265">
        <f>IFERROR(INDEX('Inputs (2)'!$D$62:$AL$62,MATCH(K$7,'Inputs (2)'!$D$2:$AL$2,0)),"")</f>
        <v>114</v>
      </c>
      <c r="L35" s="265">
        <f>IFERROR(INDEX('Inputs (2)'!$D$62:$AL$62,MATCH(L$7,'Inputs (2)'!$D$2:$AL$2,0)),"")</f>
        <v>78</v>
      </c>
      <c r="M35" s="266">
        <f>IF(COUNT(I35:L35)=4,SUM(I35:L35),"")</f>
        <v>293</v>
      </c>
      <c r="N35" s="265">
        <f>IFERROR(INDEX('Inputs (2)'!$D$62:$AL$62,MATCH(N$7,'Inputs (2)'!$D$2:$AL$2,0)),"")</f>
        <v>51</v>
      </c>
      <c r="O35" s="265">
        <f>IFERROR(INDEX('Inputs (2)'!$D$62:$AL$62,MATCH(O$7,'Inputs (2)'!$D$2:$AL$2,0)),"")</f>
        <v>44</v>
      </c>
      <c r="P35" s="265">
        <f>IFERROR(INDEX('Inputs (2)'!$D$62:$AL$62,MATCH(P$7,'Inputs (2)'!$D$2:$AL$2,0)),"")</f>
        <v>67</v>
      </c>
      <c r="Q35" s="265">
        <f>IFERROR(INDEX('Inputs (2)'!$D$62:$AL$62,MATCH(Q$7,'Inputs (2)'!$D$2:$AL$2,0)),"")</f>
        <v>23</v>
      </c>
      <c r="R35" s="266">
        <f>IF(COUNT(N35:Q35)=4,SUM(N35:Q35),"")</f>
        <v>185</v>
      </c>
      <c r="S35" s="265">
        <f>IFERROR(INDEX('Inputs (2)'!$D$62:$AL$62,MATCH(S$7,'Inputs (2)'!$D$2:$AL$2,0)),"")</f>
        <v>51</v>
      </c>
      <c r="T35" s="265">
        <f>IFERROR(INDEX('Inputs (2)'!$D$62:$AL$62,MATCH(T$7,'Inputs (2)'!$D$2:$AL$2,0)),"")</f>
        <v>78</v>
      </c>
      <c r="U35" s="265">
        <f>IFERROR(INDEX('Inputs (2)'!$D$62:$AL$62,MATCH(U$7,'Inputs (2)'!$D$2:$AL$2,0)),"")</f>
        <v>81</v>
      </c>
      <c r="V35" s="265">
        <f>IFERROR(INDEX('Inputs (2)'!$D$62:$AL$62,MATCH(V$7,'Inputs (2)'!$D$2:$AL$2,0)),"")</f>
        <v>119</v>
      </c>
      <c r="W35" s="266">
        <f>IF(COUNT(S35:V35)=4,SUM(S35:V35),"")</f>
        <v>329</v>
      </c>
      <c r="X35" s="265">
        <f>IFERROR(INDEX('Inputs (2)'!$D$62:$AL$62,MATCH(X$7,'Inputs (2)'!$D$2:$AL$2,0)),"")</f>
        <v>55</v>
      </c>
      <c r="Y35" s="265">
        <f>IFERROR(INDEX('Inputs (2)'!$D$62:$AL$62,MATCH(Y$7,'Inputs (2)'!$D$2:$AL$2,0)),"")</f>
        <v>92</v>
      </c>
      <c r="Z35" s="265">
        <f>IFERROR(INDEX('Inputs (2)'!$D$62:$AL$62,MATCH(Z$7,'Inputs (2)'!$D$2:$AL$2,0)),"")</f>
        <v>77</v>
      </c>
      <c r="AA35" s="265">
        <f>IFERROR(INDEX('Inputs (2)'!$D$62:$AL$62,MATCH(AA$7,'Inputs (2)'!$D$2:$AL$2,0)),"")</f>
        <v>135</v>
      </c>
      <c r="AB35" s="266">
        <f>IF(COUNT(X35:AA35)=4,SUM(X35:AA35),"")</f>
        <v>359</v>
      </c>
      <c r="AC35" s="265" t="str">
        <f>IFERROR(INDEX('Inputs (2)'!$D$62:$AL$62,MATCH(AC$7,'Inputs (2)'!$D$2:$AL$2,0)),"")</f>
        <v/>
      </c>
      <c r="AD35" s="265" t="str">
        <f>IFERROR(INDEX('Inputs (2)'!$D$62:$AL$62,MATCH(AD$7,'Inputs (2)'!$D$2:$AL$2,0)),"")</f>
        <v/>
      </c>
      <c r="AE35" s="265" t="str">
        <f>IFERROR(INDEX('Inputs (2)'!$D$62:$AL$62,MATCH(AE$7,'Inputs (2)'!$D$2:$AL$2,0)),"")</f>
        <v/>
      </c>
      <c r="AF35" s="265" t="str">
        <f>IFERROR(INDEX('Inputs (2)'!$D$62:$AL$62,MATCH(AF$7,'Inputs (2)'!$D$2:$AL$2,0)),"")</f>
        <v/>
      </c>
      <c r="AG35" s="266" t="str">
        <f>IF(COUNT(AC35:AF35)=4,SUM(AC35:AF35),"")</f>
        <v/>
      </c>
      <c r="AH35" s="266" t="str">
        <f>IFERROR(INDEX('Inputs (2)'!$D$62:$AL$62,MATCH(AH$7,'Inputs (2)'!$D$2:$AL$2,0)),"")</f>
        <v/>
      </c>
      <c r="AI35" s="266" t="str">
        <f>IFERROR(INDEX('Inputs (2)'!$D$62:$AL$62,MATCH(AI$7,'Inputs (2)'!$D$2:$AL$2,0)),"")</f>
        <v/>
      </c>
    </row>
    <row r="36">
      <c r="C36" s="14" t="inlineStr">
        <is>
          <t xml:space="preserve">   Bottling Investments</t>
        </is>
      </c>
      <c r="D36" s="265">
        <f>IFERROR(INDEX('Inputs (2)'!$D$64:$AL$64,MATCH(D$7,'Inputs (2)'!$D$2:$AL$2,0)),"")</f>
        <v>63</v>
      </c>
      <c r="E36" s="265">
        <f>IFERROR(INDEX('Inputs (2)'!$D$64:$AL$64,MATCH(E$7,'Inputs (2)'!$D$2:$AL$2,0)),"")</f>
        <v>12</v>
      </c>
      <c r="F36" s="265">
        <f>IFERROR(INDEX('Inputs (2)'!$D$64:$AL$64,MATCH(F$7,'Inputs (2)'!$D$2:$AL$2,0)),"")</f>
        <v>55</v>
      </c>
      <c r="G36" s="265">
        <f>IFERROR(INDEX('Inputs (2)'!$D$64:$AL$64,MATCH(G$7,'Inputs (2)'!$D$2:$AL$2,0)),"")</f>
        <v>178</v>
      </c>
      <c r="H36" s="266">
        <f>IF(COUNT(D36:G36)=4,SUM(D36:G36),"")</f>
        <v>308</v>
      </c>
      <c r="I36" s="265">
        <f>IFERROR(INDEX('Inputs (2)'!$D$64:$AL$64,MATCH(I$7,'Inputs (2)'!$D$2:$AL$2,0)),"")</f>
        <v>141</v>
      </c>
      <c r="J36" s="265">
        <f>IFERROR(INDEX('Inputs (2)'!$D$64:$AL$64,MATCH(J$7,'Inputs (2)'!$D$2:$AL$2,0)),"")</f>
        <v>92</v>
      </c>
      <c r="K36" s="265">
        <f>IFERROR(INDEX('Inputs (2)'!$D$64:$AL$64,MATCH(K$7,'Inputs (2)'!$D$2:$AL$2,0)),"")</f>
        <v>81</v>
      </c>
      <c r="L36" s="265">
        <f>IFERROR(INDEX('Inputs (2)'!$D$64:$AL$64,MATCH(L$7,'Inputs (2)'!$D$2:$AL$2,0)),"")</f>
        <v>159</v>
      </c>
      <c r="M36" s="266">
        <f>IF(COUNT(I36:L36)=4,SUM(I36:L36),"")</f>
        <v>473</v>
      </c>
      <c r="N36" s="265">
        <f>IFERROR(INDEX('Inputs (2)'!$D$64:$AL$64,MATCH(N$7,'Inputs (2)'!$D$2:$AL$2,0)),"")</f>
        <v>193</v>
      </c>
      <c r="O36" s="265">
        <f>IFERROR(INDEX('Inputs (2)'!$D$64:$AL$64,MATCH(O$7,'Inputs (2)'!$D$2:$AL$2,0)),"")</f>
        <v>113</v>
      </c>
      <c r="P36" s="265">
        <f>IFERROR(INDEX('Inputs (2)'!$D$64:$AL$64,MATCH(P$7,'Inputs (2)'!$D$2:$AL$2,0)),"")</f>
        <v>46</v>
      </c>
      <c r="Q36" s="265">
        <f>IFERROR(INDEX('Inputs (2)'!$D$64:$AL$64,MATCH(Q$7,'Inputs (2)'!$D$2:$AL$2,0)),"")</f>
        <v>135</v>
      </c>
      <c r="R36" s="266">
        <f>IF(COUNT(N36:Q36)=4,SUM(N36:Q36),"")</f>
        <v>487</v>
      </c>
      <c r="S36" s="265">
        <f>IFERROR(INDEX('Inputs (2)'!$D$64:$AL$64,MATCH(S$7,'Inputs (2)'!$D$2:$AL$2,0)),"")</f>
        <v>139</v>
      </c>
      <c r="T36" s="265">
        <f>IFERROR(INDEX('Inputs (2)'!$D$64:$AL$64,MATCH(T$7,'Inputs (2)'!$D$2:$AL$2,0)),"")</f>
        <v>122</v>
      </c>
      <c r="U36" s="265">
        <f>IFERROR(INDEX('Inputs (2)'!$D$64:$AL$64,MATCH(U$7,'Inputs (2)'!$D$2:$AL$2,0)),"")</f>
        <v>132</v>
      </c>
      <c r="V36" s="265">
        <f>IFERROR(INDEX('Inputs (2)'!$D$64:$AL$64,MATCH(V$7,'Inputs (2)'!$D$2:$AL$2,0)),"")</f>
        <v>185</v>
      </c>
      <c r="W36" s="266">
        <f>IF(COUNT(S36:V36)=4,SUM(S36:V36),"")</f>
        <v>578</v>
      </c>
      <c r="X36" s="265">
        <f>IFERROR(INDEX('Inputs (2)'!$D$64:$AL$64,MATCH(X$7,'Inputs (2)'!$D$2:$AL$2,0)),"")</f>
        <v>156</v>
      </c>
      <c r="Y36" s="265">
        <f>IFERROR(INDEX('Inputs (2)'!$D$64:$AL$64,MATCH(Y$7,'Inputs (2)'!$D$2:$AL$2,0)),"")</f>
        <v>98</v>
      </c>
      <c r="Z36" s="265">
        <f>IFERROR(INDEX('Inputs (2)'!$D$64:$AL$64,MATCH(Z$7,'Inputs (2)'!$D$2:$AL$2,0)),"")</f>
        <v>43</v>
      </c>
      <c r="AA36" s="265">
        <f>IFERROR(INDEX('Inputs (2)'!$D$64:$AL$64,MATCH(AA$7,'Inputs (2)'!$D$2:$AL$2,0)),"")</f>
        <v>199</v>
      </c>
      <c r="AB36" s="266">
        <f>IF(COUNT(X36:AA36)=4,SUM(X36:AA36),"")</f>
        <v>496</v>
      </c>
      <c r="AC36" s="265">
        <f>IFERROR(INDEX('Inputs (2)'!$D$64:$AL$64,MATCH(AC$7,'Inputs (2)'!$D$2:$AL$2,0)),"")</f>
        <v>119</v>
      </c>
      <c r="AD36" s="265">
        <f>IFERROR(INDEX('Inputs (2)'!$D$64:$AL$64,MATCH(AD$7,'Inputs (2)'!$D$2:$AL$2,0)),"")</f>
        <v>59</v>
      </c>
      <c r="AE36" s="265">
        <f>IFERROR(INDEX('Inputs (2)'!$D$64:$AL$64,MATCH(AE$7,'Inputs (2)'!$D$2:$AL$2,0)),"")</f>
        <v>57</v>
      </c>
      <c r="AF36" s="265">
        <f>IFERROR(INDEX('Inputs (2)'!$D$64:$AL$64,MATCH(AF$7,'Inputs (2)'!$D$2:$AL$2,0)),"")</f>
        <v>191</v>
      </c>
      <c r="AG36" s="266">
        <f>IF(COUNT(AC36:AF36)=4,SUM(AC36:AF36),"")</f>
        <v>426</v>
      </c>
      <c r="AH36" s="266">
        <f>IFERROR(INDEX('Inputs (2)'!$D$64:$AL$64,MATCH(AH$7,'Inputs (2)'!$D$2:$AL$2,0)),"")</f>
        <v>191</v>
      </c>
      <c r="AI36" s="266">
        <f>IFERROR(INDEX('Inputs (2)'!$D$64:$AL$64,MATCH(AI$7,'Inputs (2)'!$D$2:$AL$2,0)),"")</f>
        <v>91</v>
      </c>
    </row>
    <row r="37">
      <c r="C37" s="14" t="inlineStr">
        <is>
          <t xml:space="preserve">   Corporate</t>
        </is>
      </c>
      <c r="D37" s="265">
        <f>IFERROR(INDEX('Inputs (2)'!$D$66:$AL$66,MATCH(D$7,'Inputs (2)'!$D$2:$AL$2,0)),"")</f>
        <v>-99</v>
      </c>
      <c r="E37" s="265">
        <f>IFERROR(INDEX('Inputs (2)'!$D$66:$AL$66,MATCH(E$7,'Inputs (2)'!$D$2:$AL$2,0)),"")</f>
        <v>-289</v>
      </c>
      <c r="F37" s="265">
        <f>IFERROR(INDEX('Inputs (2)'!$D$66:$AL$66,MATCH(F$7,'Inputs (2)'!$D$2:$AL$2,0)),"")</f>
        <v>-403</v>
      </c>
      <c r="G37" s="265">
        <f>IFERROR(INDEX('Inputs (2)'!$D$66:$AL$66,MATCH(G$7,'Inputs (2)'!$D$2:$AL$2,0)),"")</f>
        <v>-430</v>
      </c>
      <c r="H37" s="266">
        <f>IF(COUNT(D37:G37)=4,SUM(D37:G37),"")</f>
        <v>-1221</v>
      </c>
      <c r="I37" s="265">
        <f>IFERROR(INDEX('Inputs (2)'!$D$66:$AL$66,MATCH(I$7,'Inputs (2)'!$D$2:$AL$2,0)),"")</f>
        <v>-295</v>
      </c>
      <c r="J37" s="265">
        <f>IFERROR(INDEX('Inputs (2)'!$D$66:$AL$66,MATCH(J$7,'Inputs (2)'!$D$2:$AL$2,0)),"")</f>
        <v>-687</v>
      </c>
      <c r="K37" s="265">
        <f>IFERROR(INDEX('Inputs (2)'!$D$66:$AL$66,MATCH(K$7,'Inputs (2)'!$D$2:$AL$2,0)),"")</f>
        <v>-499</v>
      </c>
      <c r="L37" s="265">
        <f>IFERROR(INDEX('Inputs (2)'!$D$66:$AL$66,MATCH(L$7,'Inputs (2)'!$D$2:$AL$2,0)),"")</f>
        <v>-902</v>
      </c>
      <c r="M37" s="266">
        <f>IF(COUNT(I37:L37)=4,SUM(I37:L37),"")</f>
        <v>-2383</v>
      </c>
      <c r="N37" s="265">
        <f>IFERROR(INDEX('Inputs (2)'!$D$66:$AL$66,MATCH(N$7,'Inputs (2)'!$D$2:$AL$2,0)),"")</f>
        <v>-326</v>
      </c>
      <c r="O37" s="265">
        <f>IFERROR(INDEX('Inputs (2)'!$D$66:$AL$66,MATCH(O$7,'Inputs (2)'!$D$2:$AL$2,0)),"")</f>
        <v>-1374</v>
      </c>
      <c r="P37" s="265">
        <f>IFERROR(INDEX('Inputs (2)'!$D$66:$AL$66,MATCH(P$7,'Inputs (2)'!$D$2:$AL$2,0)),"")</f>
        <v>-454</v>
      </c>
      <c r="Q37" s="265">
        <f>IFERROR(INDEX('Inputs (2)'!$D$66:$AL$66,MATCH(Q$7,'Inputs (2)'!$D$2:$AL$2,0)),"")</f>
        <v>-482</v>
      </c>
      <c r="R37" s="266">
        <f>IF(COUNT(N37:Q37)=4,SUM(N37:Q37),"")</f>
        <v>-2636</v>
      </c>
      <c r="S37" s="265">
        <f>IFERROR(INDEX('Inputs (2)'!$D$66:$AL$66,MATCH(S$7,'Inputs (2)'!$D$2:$AL$2,0)),"")</f>
        <v>-407</v>
      </c>
      <c r="T37" s="265">
        <f>IFERROR(INDEX('Inputs (2)'!$D$66:$AL$66,MATCH(T$7,'Inputs (2)'!$D$2:$AL$2,0)),"")</f>
        <v>-1618</v>
      </c>
      <c r="U37" s="265">
        <f>IFERROR(INDEX('Inputs (2)'!$D$66:$AL$66,MATCH(U$7,'Inputs (2)'!$D$2:$AL$2,0)),"")</f>
        <v>-831</v>
      </c>
      <c r="V37" s="265">
        <f>IFERROR(INDEX('Inputs (2)'!$D$66:$AL$66,MATCH(V$7,'Inputs (2)'!$D$2:$AL$2,0)),"")</f>
        <v>-849</v>
      </c>
      <c r="W37" s="266">
        <f>IF(COUNT(S37:V37)=4,SUM(S37:V37),"")</f>
        <v>-3705</v>
      </c>
      <c r="X37" s="265">
        <f>IFERROR(INDEX('Inputs (2)'!$D$66:$AL$66,MATCH(X$7,'Inputs (2)'!$D$2:$AL$2,0)),"")</f>
        <v>-1191</v>
      </c>
      <c r="Y37" s="265">
        <f>IFERROR(INDEX('Inputs (2)'!$D$66:$AL$66,MATCH(Y$7,'Inputs (2)'!$D$2:$AL$2,0)),"")</f>
        <v>-1689</v>
      </c>
      <c r="Z37" s="265">
        <f>IFERROR(INDEX('Inputs (2)'!$D$66:$AL$66,MATCH(Z$7,'Inputs (2)'!$D$2:$AL$2,0)),"")</f>
        <v>-1384</v>
      </c>
      <c r="AA37" s="265">
        <f>IFERROR(INDEX('Inputs (2)'!$D$66:$AL$66,MATCH(AA$7,'Inputs (2)'!$D$2:$AL$2,0)),"")</f>
        <v>-988</v>
      </c>
      <c r="AB37" s="266">
        <f>IF(COUNT(X37:AA37)=4,SUM(X37:AA37),"")</f>
        <v>-5252</v>
      </c>
      <c r="AC37" s="265">
        <f>IFERROR(INDEX('Inputs (2)'!$D$66:$AL$66,MATCH(AC$7,'Inputs (2)'!$D$2:$AL$2,0)),"")</f>
        <v>-394</v>
      </c>
      <c r="AD37" s="265">
        <f>IFERROR(INDEX('Inputs (2)'!$D$66:$AL$66,MATCH(AD$7,'Inputs (2)'!$D$2:$AL$2,0)),"")</f>
        <v>-329</v>
      </c>
      <c r="AE37" s="265">
        <f>IFERROR(INDEX('Inputs (2)'!$D$66:$AL$66,MATCH(AE$7,'Inputs (2)'!$D$2:$AL$2,0)),"")</f>
        <v>-271</v>
      </c>
      <c r="AF37" s="265">
        <f>IFERROR(INDEX('Inputs (2)'!$D$66:$AL$66,MATCH(AF$7,'Inputs (2)'!$D$2:$AL$2,0)),"")</f>
        <v>-822</v>
      </c>
      <c r="AG37" s="266">
        <f>IF(COUNT(AC37:AF37)=4,SUM(AC37:AF37),"")</f>
        <v>-1816</v>
      </c>
      <c r="AH37" s="266">
        <f>IFERROR(INDEX('Inputs (2)'!$D$66:$AL$66,MATCH(AH$7,'Inputs (2)'!$D$2:$AL$2,0)),"")</f>
        <v>-271</v>
      </c>
      <c r="AI37" s="266">
        <f>IFERROR(INDEX('Inputs (2)'!$D$66:$AL$66,MATCH(AI$7,'Inputs (2)'!$D$2:$AL$2,0)),"")</f>
        <v>-256</v>
      </c>
    </row>
    <row r="38">
      <c r="C38" s="14" t="inlineStr">
        <is>
          <t xml:space="preserve">   Margem operacional América do Norte</t>
        </is>
      </c>
      <c r="D38" s="268">
        <f>IFERROR(D33/D21,"")</f>
        <v>0.135789473684211</v>
      </c>
      <c r="E38" s="268">
        <f>IFERROR(E33/E21,"")</f>
        <v>0.184667673716012</v>
      </c>
      <c r="F38" s="268">
        <f>IFERROR(F33/F21,"")</f>
        <v>0.235427461139896</v>
      </c>
      <c r="G38" s="268">
        <f>IFERROR(G33/G21,"")</f>
        <v>0.300242130750605</v>
      </c>
      <c r="H38" s="269">
        <f>IFERROR(H33/H21,"")</f>
        <v>0.215300165548488</v>
      </c>
      <c r="I38" s="268">
        <f>IFERROR(I33/I21,"")</f>
        <v>0.269662921348315</v>
      </c>
      <c r="J38" s="268">
        <f>IFERROR(J33/J21,"")</f>
        <v>0.280981958000592</v>
      </c>
      <c r="K38" s="268">
        <f>IFERROR(K33/K21,"")</f>
        <v>0.249496981891348</v>
      </c>
      <c r="L38" s="268">
        <f>IFERROR(L33/L21,"")</f>
        <v>0.212496315944592</v>
      </c>
      <c r="M38" s="269">
        <f>IFERROR(M33/M21,"")</f>
        <v>0.25253980288097</v>
      </c>
      <c r="N38" s="268">
        <f>IFERROR(N33/N21,"")</f>
        <v>0.294150417827298</v>
      </c>
      <c r="O38" s="268">
        <f>IFERROR(O33/O21,"")</f>
        <v>0.208436724565757</v>
      </c>
      <c r="P38" s="268">
        <f>IFERROR(P33/P21,"")</f>
        <v>0.257557724351345</v>
      </c>
      <c r="Q38" s="268">
        <f>IFERROR(Q33/Q21,"")</f>
        <v>0.198287049052686</v>
      </c>
      <c r="R38" s="269">
        <f>IFERROR(R33/R21,"")</f>
        <v>0.238739313512824</v>
      </c>
      <c r="S38" s="268">
        <f>IFERROR(S33/S21,"")</f>
        <v>0.264600409836066</v>
      </c>
      <c r="T38" s="268">
        <f>IFERROR(T33/T21,"")</f>
        <v>0.278452026562858</v>
      </c>
      <c r="U38" s="268">
        <f>IFERROR(U33/U21,"")</f>
        <v>0.285906341026216</v>
      </c>
      <c r="V38" s="268">
        <f>IFERROR(V33/V21,"")</f>
        <v>0.225247524752475</v>
      </c>
      <c r="W38" s="269">
        <f>IFERROR(W33/W21,"")</f>
        <v>0.264397281507094</v>
      </c>
      <c r="X38" s="268">
        <f>IFERROR(X33/X21,"")</f>
        <v>0.106612362242453</v>
      </c>
      <c r="Y38" s="268">
        <f>IFERROR(Y33/Y21,"")</f>
        <v>0.272651704073151</v>
      </c>
      <c r="Z38" s="268">
        <f>IFERROR(Z33/Z21,"")</f>
        <v>0.281902086677368</v>
      </c>
      <c r="AA38" s="268">
        <f>IFERROR(AA33/AA21,"")</f>
        <v>0.250908313742253</v>
      </c>
      <c r="AB38" s="269">
        <f>IFERROR(AB33/AB21,"")</f>
        <v>0.232505764384149</v>
      </c>
      <c r="AC38" s="268">
        <f>IFERROR(AC33/AC21,"")</f>
        <v>0.307498280210961</v>
      </c>
      <c r="AD38" s="268">
        <f>IFERROR(AD33/AD21,"")</f>
        <v>0.322330483197455</v>
      </c>
      <c r="AE38" s="268">
        <f>IFERROR(AE33/AE21,"")</f>
        <v>0.320007614696364</v>
      </c>
      <c r="AF38" s="268">
        <f>IFERROR(AF33/AF21,"")</f>
        <v>0.0863847865668622</v>
      </c>
      <c r="AG38" s="269">
        <f>IFERROR(AG33/AG21,"")</f>
        <v>0.2588583682222</v>
      </c>
      <c r="AH38" s="269">
        <f>IFERROR(AH33/AH21,"")</f>
        <v>0.328223993460045</v>
      </c>
      <c r="AI38" s="269">
        <f>IFERROR(AI33/AI21,"")</f>
        <v>0.313424556213018</v>
      </c>
    </row>
    <row r="39">
      <c r="C39" s="14" t="inlineStr">
        <is>
          <t xml:space="preserve">   Margem operacional América Latina</t>
        </is>
      </c>
      <c r="D39" s="268">
        <f>IFERROR(D32/D20,"")</f>
        <v>0.579569892473118</v>
      </c>
      <c r="E39" s="268">
        <f>IFERROR(E32/E20,"")</f>
        <v>0.667549668874172</v>
      </c>
      <c r="F39" s="268">
        <f>IFERROR(F32/F20,"")</f>
        <v>0.597033374536465</v>
      </c>
      <c r="G39" s="268">
        <f>IFERROR(G32/G20,"")</f>
        <v>0.587064676616915</v>
      </c>
      <c r="H39" s="269">
        <f>IFERROR(H32/H20,"")</f>
        <v>0.604744212632181</v>
      </c>
      <c r="I39" s="268">
        <f>IFERROR(I32/I20,"")</f>
        <v>0.607260726072607</v>
      </c>
      <c r="J39" s="268">
        <f>IFERROR(J32/J20,"")</f>
        <v>0.635426429240862</v>
      </c>
      <c r="K39" s="268">
        <f>IFERROR(K32/K20,"")</f>
        <v>0.626209322779244</v>
      </c>
      <c r="L39" s="268">
        <f>IFERROR(L32/L20,"")</f>
        <v>0.574757281553398</v>
      </c>
      <c r="M39" s="269">
        <f>IFERROR(M32/M20,"")</f>
        <v>0.611634081583394</v>
      </c>
      <c r="N39" s="268">
        <f>IFERROR(N32/N20,"")</f>
        <v>0.626029654036244</v>
      </c>
      <c r="O39" s="268">
        <f>IFERROR(O32/O20,"")</f>
        <v>0.591228070175439</v>
      </c>
      <c r="P39" s="268">
        <f>IFERROR(P32/P20,"")</f>
        <v>0.561957379636938</v>
      </c>
      <c r="Q39" s="268">
        <f>IFERROR(Q32/Q20,"")</f>
        <v>0.561675717610551</v>
      </c>
      <c r="R39" s="269">
        <f>IFERROR(R32/R20,"")</f>
        <v>0.584521384928717</v>
      </c>
      <c r="S39" s="268">
        <f>IFERROR(S32/S20,"")</f>
        <v>0.615440115440116</v>
      </c>
      <c r="T39" s="268">
        <f>IFERROR(T32/T20,"")</f>
        <v>0.578374455732946</v>
      </c>
      <c r="U39" s="268">
        <f>IFERROR(U32/U20,"")</f>
        <v>0.62579415501906</v>
      </c>
      <c r="V39" s="268">
        <f>IFERROR(V32/V20,"")</f>
        <v>0.534182305630027</v>
      </c>
      <c r="W39" s="269">
        <f>IFERROR(W32/W20,"")</f>
        <v>0.588679245283019</v>
      </c>
      <c r="X39" s="268">
        <f>IFERROR(X32/X20,"")</f>
        <v>0.616895874263261</v>
      </c>
      <c r="Y39" s="268">
        <f>IFERROR(Y32/Y20,"")</f>
        <v>0.557575757575758</v>
      </c>
      <c r="Z39" s="268">
        <f>IFERROR(Z32/Z20,"")</f>
        <v>0.569249542403905</v>
      </c>
      <c r="AA39" s="268">
        <f>IFERROR(AA32/AA20,"")</f>
        <v>0.599513085818625</v>
      </c>
      <c r="AB39" s="269">
        <f>IFERROR(AB32/AB20,"")</f>
        <v>0.585229911751045</v>
      </c>
      <c r="AC39" s="268">
        <f>IFERROR(AC32/AC20,"")</f>
        <v>0.612051455653351</v>
      </c>
      <c r="AD39" s="268">
        <f>IFERROR(AD32/AD20,"")</f>
        <v>0.603024574669187</v>
      </c>
      <c r="AE39" s="268">
        <f>IFERROR(AE32/AE20,"")</f>
        <v>0.570247933884298</v>
      </c>
      <c r="AF39" s="268">
        <f>IFERROR(AF32/AF20,"")</f>
        <v>0.579846788450206</v>
      </c>
      <c r="AG39" s="269">
        <f>IFERROR(AG32/AG20,"")</f>
        <v>0.590779917903379</v>
      </c>
      <c r="AH39" s="269">
        <f>IFERROR(AH32/AH20,"")</f>
        <v>0.618593563766389</v>
      </c>
      <c r="AI39" s="269">
        <f>IFERROR(AI32/AI20,"")</f>
        <v>0.640021750951604</v>
      </c>
    </row>
    <row r="40"/>
    <row r="41">
      <c r="C41" s="12" t="inlineStr">
        <is>
          <t>Modelo de negócio e região (USD milhões)</t>
        </is>
      </c>
      <c r="D41" s="12" t="str">
        <f>D7</f>
        <v>1Q20</v>
      </c>
      <c r="E41" s="12" t="str">
        <f>E7</f>
        <v>2Q20</v>
      </c>
      <c r="F41" s="12" t="str">
        <f>F7</f>
        <v>3Q20</v>
      </c>
      <c r="G41" s="12" t="str">
        <f>G7</f>
        <v>4Q20</v>
      </c>
      <c r="H41" s="12">
        <f>H7</f>
        <v>2020</v>
      </c>
      <c r="I41" s="12" t="str">
        <f>I7</f>
        <v>1Q21</v>
      </c>
      <c r="J41" s="12" t="str">
        <f>J7</f>
        <v>2Q21</v>
      </c>
      <c r="K41" s="12" t="str">
        <f>K7</f>
        <v>3Q21</v>
      </c>
      <c r="L41" s="12" t="str">
        <f>L7</f>
        <v>4Q21</v>
      </c>
      <c r="M41" s="12">
        <f>M7</f>
        <v>2021</v>
      </c>
      <c r="N41" s="12" t="str">
        <f>N7</f>
        <v>1Q22</v>
      </c>
      <c r="O41" s="12" t="str">
        <f>O7</f>
        <v>2Q22</v>
      </c>
      <c r="P41" s="12" t="str">
        <f>P7</f>
        <v>3Q22</v>
      </c>
      <c r="Q41" s="12" t="str">
        <f>Q7</f>
        <v>4Q22</v>
      </c>
      <c r="R41" s="12">
        <f>R7</f>
        <v>2022</v>
      </c>
      <c r="S41" s="12" t="str">
        <f>S7</f>
        <v>1Q23</v>
      </c>
      <c r="T41" s="12" t="str">
        <f>T7</f>
        <v>2Q23</v>
      </c>
      <c r="U41" s="12" t="str">
        <f>U7</f>
        <v>3Q23</v>
      </c>
      <c r="V41" s="12" t="str">
        <f>V7</f>
        <v>4Q23</v>
      </c>
      <c r="W41" s="12">
        <f>W7</f>
        <v>2023</v>
      </c>
      <c r="X41" s="12" t="str">
        <f>X7</f>
        <v>1Q24</v>
      </c>
      <c r="Y41" s="12" t="str">
        <f>Y7</f>
        <v>2Q24</v>
      </c>
      <c r="Z41" s="12" t="str">
        <f>Z7</f>
        <v>3Q24</v>
      </c>
      <c r="AA41" s="12" t="str">
        <f>AA7</f>
        <v>4Q24</v>
      </c>
      <c r="AB41" s="12">
        <f>AB7</f>
        <v>2024</v>
      </c>
      <c r="AC41" s="12" t="str">
        <f>AC7</f>
        <v>1Q25</v>
      </c>
      <c r="AD41" s="12" t="str">
        <f>AD7</f>
        <v>2Q25</v>
      </c>
      <c r="AE41" s="12" t="str">
        <f>AE7</f>
        <v>3Q25</v>
      </c>
      <c r="AF41" s="12" t="str">
        <f>AF7</f>
        <v>4Q25</v>
      </c>
      <c r="AG41" s="12">
        <f>AG7</f>
        <v>2025</v>
      </c>
      <c r="AH41" s="12" t="str">
        <f>AH7</f>
        <v>1Q26</v>
      </c>
      <c r="AI41" s="12" t="str">
        <f>AI7</f>
        <v>2Q26</v>
      </c>
    </row>
    <row r="42">
      <c r="C42" s="14" t="inlineStr">
        <is>
          <t xml:space="preserve">   Operações de concentrado</t>
        </is>
      </c>
      <c r="D42" s="265" t="str">
        <f>IFERROR(INDEX('Inputs (2)'!$D$68:$AL$68,MATCH(D$7,'Inputs (2)'!$D$2:$AL$2,0)),"")</f>
        <v/>
      </c>
      <c r="E42" s="265" t="str">
        <f>IFERROR(INDEX('Inputs (2)'!$D$68:$AL$68,MATCH(E$7,'Inputs (2)'!$D$2:$AL$2,0)),"")</f>
        <v/>
      </c>
      <c r="F42" s="265" t="str">
        <f>IFERROR(INDEX('Inputs (2)'!$D$68:$AL$68,MATCH(F$7,'Inputs (2)'!$D$2:$AL$2,0)),"")</f>
        <v/>
      </c>
      <c r="G42" s="265" t="str">
        <f>IFERROR(INDEX('Inputs (2)'!$D$68:$AL$68,MATCH(G$7,'Inputs (2)'!$D$2:$AL$2,0)),"")</f>
        <v/>
      </c>
      <c r="H42" s="266" t="str">
        <f>IF(COUNT(D42:G42)=4,SUM(D42:G42),"")</f>
        <v/>
      </c>
      <c r="I42" s="265">
        <f>IFERROR(INDEX('Inputs (2)'!$D$68:$AL$68,MATCH(I$7,'Inputs (2)'!$D$2:$AL$2,0)),"")</f>
        <v>4982</v>
      </c>
      <c r="J42" s="265">
        <f>IFERROR(INDEX('Inputs (2)'!$D$68:$AL$68,MATCH(J$7,'Inputs (2)'!$D$2:$AL$2,0)),"")</f>
        <v>5994</v>
      </c>
      <c r="K42" s="265">
        <f>IFERROR(INDEX('Inputs (2)'!$D$68:$AL$68,MATCH(K$7,'Inputs (2)'!$D$2:$AL$2,0)),"")</f>
        <v>5871</v>
      </c>
      <c r="L42" s="265" t="str">
        <f>IFERROR(INDEX('Inputs (2)'!$D$68:$AL$68,MATCH(L$7,'Inputs (2)'!$D$2:$AL$2,0)),"")</f>
        <v/>
      </c>
      <c r="M42" s="266" t="str">
        <f>IF(COUNT(I42:L42)=4,SUM(I42:L42),"")</f>
        <v/>
      </c>
      <c r="N42" s="265">
        <f>IFERROR(INDEX('Inputs (2)'!$D$68:$AL$68,MATCH(N$7,'Inputs (2)'!$D$2:$AL$2,0)),"")</f>
        <v>5724</v>
      </c>
      <c r="O42" s="265">
        <f>IFERROR(INDEX('Inputs (2)'!$D$68:$AL$68,MATCH(O$7,'Inputs (2)'!$D$2:$AL$2,0)),"")</f>
        <v>6365</v>
      </c>
      <c r="P42" s="265">
        <f>IFERROR(INDEX('Inputs (2)'!$D$68:$AL$68,MATCH(P$7,'Inputs (2)'!$D$2:$AL$2,0)),"")</f>
        <v>6574</v>
      </c>
      <c r="Q42" s="265">
        <f>IFERROR(INDEX('Inputs (2)'!$D$68:$AL$68,MATCH(Q$7,'Inputs (2)'!$D$2:$AL$2,0)),"")</f>
        <v>5408</v>
      </c>
      <c r="R42" s="266">
        <f>IF(COUNT(N42:Q42)=4,SUM(N42:Q42),"")</f>
        <v>24071</v>
      </c>
      <c r="S42" s="265">
        <f>IFERROR(INDEX('Inputs (2)'!$D$68:$AL$68,MATCH(S$7,'Inputs (2)'!$D$2:$AL$2,0)),"")</f>
        <v>6333</v>
      </c>
      <c r="T42" s="265">
        <f>IFERROR(INDEX('Inputs (2)'!$D$68:$AL$68,MATCH(T$7,'Inputs (2)'!$D$2:$AL$2,0)),"")</f>
        <v>7050</v>
      </c>
      <c r="U42" s="265">
        <f>IFERROR(INDEX('Inputs (2)'!$D$68:$AL$68,MATCH(U$7,'Inputs (2)'!$D$2:$AL$2,0)),"")</f>
        <v>7212</v>
      </c>
      <c r="V42" s="265">
        <f>IFERROR(INDEX('Inputs (2)'!$D$68:$AL$68,MATCH(V$7,'Inputs (2)'!$D$2:$AL$2,0)),"")</f>
        <v>5944</v>
      </c>
      <c r="W42" s="266">
        <f>IF(COUNT(S42:V42)=4,SUM(S42:V42),"")</f>
        <v>26539</v>
      </c>
      <c r="X42" s="265">
        <f>IFERROR(INDEX('Inputs (2)'!$D$68:$AL$68,MATCH(X$7,'Inputs (2)'!$D$2:$AL$2,0)),"")</f>
        <v>6655</v>
      </c>
      <c r="Y42" s="265">
        <f>IFERROR(INDEX('Inputs (2)'!$D$68:$AL$68,MATCH(Y$7,'Inputs (2)'!$D$2:$AL$2,0)),"")</f>
        <v>7494</v>
      </c>
      <c r="Z42" s="265">
        <f>IFERROR(INDEX('Inputs (2)'!$D$68:$AL$68,MATCH(Z$7,'Inputs (2)'!$D$2:$AL$2,0)),"")</f>
        <v>7058</v>
      </c>
      <c r="AA42" s="265">
        <f>IFERROR(INDEX('Inputs (2)'!$D$68:$AL$68,MATCH(AA$7,'Inputs (2)'!$D$2:$AL$2,0)),"")</f>
        <v>6518</v>
      </c>
      <c r="AB42" s="266">
        <f>IF(COUNT(X42:AA42)=4,SUM(X42:AA42),"")</f>
        <v>27725</v>
      </c>
      <c r="AC42" s="265">
        <f>IFERROR(INDEX('Inputs (2)'!$D$68:$AL$68,MATCH(AC$7,'Inputs (2)'!$D$2:$AL$2,0)),"")</f>
        <v>6594</v>
      </c>
      <c r="AD42" s="265">
        <f>IFERROR(INDEX('Inputs (2)'!$D$68:$AL$68,MATCH(AD$7,'Inputs (2)'!$D$2:$AL$2,0)),"")</f>
        <v>7618</v>
      </c>
      <c r="AE42" s="265">
        <f>IFERROR(INDEX('Inputs (2)'!$D$68:$AL$68,MATCH(AE$7,'Inputs (2)'!$D$2:$AL$2,0)),"")</f>
        <v>8198</v>
      </c>
      <c r="AF42" s="265">
        <f>IFERROR(INDEX('Inputs (2)'!$D$68:$AL$68,MATCH(AF$7,'Inputs (2)'!$D$2:$AL$2,0)),"")</f>
        <v>4792</v>
      </c>
      <c r="AG42" s="266">
        <f>IF(COUNT(AC42:AF42)=4,SUM(AC42:AF42),"")</f>
        <v>27202</v>
      </c>
      <c r="AH42" s="266">
        <f>IFERROR(INDEX('Inputs (2)'!$D$68:$AL$68,MATCH(AH$7,'Inputs (2)'!$D$2:$AL$2,0)),"")</f>
        <v>7385</v>
      </c>
      <c r="AI42" s="266">
        <f>IFERROR(INDEX('Inputs (2)'!$D$68:$AL$68,MATCH(AI$7,'Inputs (2)'!$D$2:$AL$2,0)),"")</f>
        <v>8146</v>
      </c>
    </row>
    <row r="43">
      <c r="C43" s="14" t="inlineStr">
        <is>
          <t xml:space="preserve">   Operações de produto acabado</t>
        </is>
      </c>
      <c r="D43" s="265" t="str">
        <f>IFERROR(INDEX('Inputs (2)'!$D$69:$AL$69,MATCH(D$7,'Inputs (2)'!$D$2:$AL$2,0)),"")</f>
        <v/>
      </c>
      <c r="E43" s="265" t="str">
        <f>IFERROR(INDEX('Inputs (2)'!$D$69:$AL$69,MATCH(E$7,'Inputs (2)'!$D$2:$AL$2,0)),"")</f>
        <v/>
      </c>
      <c r="F43" s="265" t="str">
        <f>IFERROR(INDEX('Inputs (2)'!$D$69:$AL$69,MATCH(F$7,'Inputs (2)'!$D$2:$AL$2,0)),"")</f>
        <v/>
      </c>
      <c r="G43" s="265" t="str">
        <f>IFERROR(INDEX('Inputs (2)'!$D$69:$AL$69,MATCH(G$7,'Inputs (2)'!$D$2:$AL$2,0)),"")</f>
        <v/>
      </c>
      <c r="H43" s="266" t="str">
        <f>IF(COUNT(D43:G43)=4,SUM(D43:G43),"")</f>
        <v/>
      </c>
      <c r="I43" s="265">
        <f>IFERROR(INDEX('Inputs (2)'!$D$69:$AL$69,MATCH(I$7,'Inputs (2)'!$D$2:$AL$2,0)),"")</f>
        <v>4038</v>
      </c>
      <c r="J43" s="265">
        <f>IFERROR(INDEX('Inputs (2)'!$D$69:$AL$69,MATCH(J$7,'Inputs (2)'!$D$2:$AL$2,0)),"")</f>
        <v>4135</v>
      </c>
      <c r="K43" s="265">
        <f>IFERROR(INDEX('Inputs (2)'!$D$69:$AL$69,MATCH(K$7,'Inputs (2)'!$D$2:$AL$2,0)),"")</f>
        <v>4171</v>
      </c>
      <c r="L43" s="265" t="str">
        <f>IFERROR(INDEX('Inputs (2)'!$D$69:$AL$69,MATCH(L$7,'Inputs (2)'!$D$2:$AL$2,0)),"")</f>
        <v/>
      </c>
      <c r="M43" s="266" t="str">
        <f>IF(COUNT(I43:L43)=4,SUM(I43:L43),"")</f>
        <v/>
      </c>
      <c r="N43" s="265">
        <f>IFERROR(INDEX('Inputs (2)'!$D$69:$AL$69,MATCH(N$7,'Inputs (2)'!$D$2:$AL$2,0)),"")</f>
        <v>4767</v>
      </c>
      <c r="O43" s="265">
        <f>IFERROR(INDEX('Inputs (2)'!$D$69:$AL$69,MATCH(O$7,'Inputs (2)'!$D$2:$AL$2,0)),"")</f>
        <v>4960</v>
      </c>
      <c r="P43" s="265">
        <f>IFERROR(INDEX('Inputs (2)'!$D$69:$AL$69,MATCH(P$7,'Inputs (2)'!$D$2:$AL$2,0)),"")</f>
        <v>4489</v>
      </c>
      <c r="Q43" s="265">
        <f>IFERROR(INDEX('Inputs (2)'!$D$69:$AL$69,MATCH(Q$7,'Inputs (2)'!$D$2:$AL$2,0)),"")</f>
        <v>4717</v>
      </c>
      <c r="R43" s="266">
        <f>IF(COUNT(N43:Q43)=4,SUM(N43:Q43),"")</f>
        <v>18933</v>
      </c>
      <c r="S43" s="265">
        <f>IFERROR(INDEX('Inputs (2)'!$D$69:$AL$69,MATCH(S$7,'Inputs (2)'!$D$2:$AL$2,0)),"")</f>
        <v>4647</v>
      </c>
      <c r="T43" s="265">
        <f>IFERROR(INDEX('Inputs (2)'!$D$69:$AL$69,MATCH(T$7,'Inputs (2)'!$D$2:$AL$2,0)),"")</f>
        <v>4922</v>
      </c>
      <c r="U43" s="265">
        <f>IFERROR(INDEX('Inputs (2)'!$D$69:$AL$69,MATCH(U$7,'Inputs (2)'!$D$2:$AL$2,0)),"")</f>
        <v>4741</v>
      </c>
      <c r="V43" s="265">
        <f>IFERROR(INDEX('Inputs (2)'!$D$69:$AL$69,MATCH(V$7,'Inputs (2)'!$D$2:$AL$2,0)),"")</f>
        <v>4905</v>
      </c>
      <c r="W43" s="266">
        <f>IF(COUNT(S43:V43)=4,SUM(S43:V43),"")</f>
        <v>19215</v>
      </c>
      <c r="X43" s="265">
        <f>IFERROR(INDEX('Inputs (2)'!$D$69:$AL$69,MATCH(X$7,'Inputs (2)'!$D$2:$AL$2,0)),"")</f>
        <v>4645</v>
      </c>
      <c r="Y43" s="265">
        <f>IFERROR(INDEX('Inputs (2)'!$D$69:$AL$69,MATCH(Y$7,'Inputs (2)'!$D$2:$AL$2,0)),"")</f>
        <v>4869</v>
      </c>
      <c r="Z43" s="265">
        <f>IFERROR(INDEX('Inputs (2)'!$D$69:$AL$69,MATCH(Z$7,'Inputs (2)'!$D$2:$AL$2,0)),"")</f>
        <v>4796</v>
      </c>
      <c r="AA43" s="265">
        <f>IFERROR(INDEX('Inputs (2)'!$D$69:$AL$69,MATCH(AA$7,'Inputs (2)'!$D$2:$AL$2,0)),"")</f>
        <v>5026</v>
      </c>
      <c r="AB43" s="266">
        <f>IF(COUNT(X43:AA43)=4,SUM(X43:AA43),"")</f>
        <v>19336</v>
      </c>
      <c r="AC43" s="265">
        <f>IFERROR(INDEX('Inputs (2)'!$D$69:$AL$69,MATCH(AC$7,'Inputs (2)'!$D$2:$AL$2,0)),"")</f>
        <v>4535</v>
      </c>
      <c r="AD43" s="265">
        <f>IFERROR(INDEX('Inputs (2)'!$D$69:$AL$69,MATCH(AD$7,'Inputs (2)'!$D$2:$AL$2,0)),"")</f>
        <v>4917</v>
      </c>
      <c r="AE43" s="265">
        <f>IFERROR(INDEX('Inputs (2)'!$D$69:$AL$69,MATCH(AE$7,'Inputs (2)'!$D$2:$AL$2,0)),"")</f>
        <v>4257</v>
      </c>
      <c r="AF43" s="265">
        <f>IFERROR(INDEX('Inputs (2)'!$D$69:$AL$69,MATCH(AF$7,'Inputs (2)'!$D$2:$AL$2,0)),"")</f>
        <v>7030</v>
      </c>
      <c r="AG43" s="266">
        <f>IF(COUNT(AC43:AF43)=4,SUM(AC43:AF43),"")</f>
        <v>20739</v>
      </c>
      <c r="AH43" s="266">
        <f>IFERROR(INDEX('Inputs (2)'!$D$69:$AL$69,MATCH(AH$7,'Inputs (2)'!$D$2:$AL$2,0)),"")</f>
        <v>5087</v>
      </c>
      <c r="AI43" s="266">
        <f>IFERROR(INDEX('Inputs (2)'!$D$69:$AL$69,MATCH(AI$7,'Inputs (2)'!$D$2:$AL$2,0)),"")</f>
        <v>5234</v>
      </c>
    </row>
    <row r="44">
      <c r="C44" s="14" t="inlineStr">
        <is>
          <t xml:space="preserve">   % concentrado na receita</t>
        </is>
      </c>
      <c r="D44" s="268" t="str">
        <f>IFERROR(D42/D27,"")</f>
        <v/>
      </c>
      <c r="E44" s="268" t="str">
        <f>IFERROR(E42/E27,"")</f>
        <v/>
      </c>
      <c r="F44" s="268" t="str">
        <f>IFERROR(F42/F27,"")</f>
        <v/>
      </c>
      <c r="G44" s="268" t="str">
        <f>IFERROR(G42/G27,"")</f>
        <v/>
      </c>
      <c r="H44" s="269" t="str">
        <f>IFERROR(H42/H27,"")</f>
        <v/>
      </c>
      <c r="I44" s="268">
        <f>IFERROR(I42/I27,"")</f>
        <v>0.552328159645233</v>
      </c>
      <c r="J44" s="268">
        <f>IFERROR(J42/J27,"")</f>
        <v>0.591766215815974</v>
      </c>
      <c r="K44" s="268">
        <f>IFERROR(K42/K27,"")</f>
        <v>0.584644493128859</v>
      </c>
      <c r="L44" s="268" t="str">
        <f>IFERROR(L42/L27,"")</f>
        <v/>
      </c>
      <c r="M44" s="269" t="str">
        <f>IFERROR(M42/M27,"")</f>
        <v/>
      </c>
      <c r="N44" s="268">
        <f>IFERROR(N42/N27,"")</f>
        <v>0.545610523305691</v>
      </c>
      <c r="O44" s="268">
        <f>IFERROR(O42/O27,"")</f>
        <v>0.562030905077263</v>
      </c>
      <c r="P44" s="268">
        <f>IFERROR(P42/P27,"")</f>
        <v>0.594233029015638</v>
      </c>
      <c r="Q44" s="268">
        <f>IFERROR(Q42/Q27,"")</f>
        <v>0.534123456790123</v>
      </c>
      <c r="R44" s="269">
        <f>IFERROR(R42/R27,"")</f>
        <v>0.559738628964748</v>
      </c>
      <c r="S44" s="268">
        <f>IFERROR(S42/S27,"")</f>
        <v>0.576775956284153</v>
      </c>
      <c r="T44" s="268">
        <f>IFERROR(T42/T27,"")</f>
        <v>0.588874039425326</v>
      </c>
      <c r="U44" s="268">
        <f>IFERROR(U42/U27,"")</f>
        <v>0.603363172425333</v>
      </c>
      <c r="V44" s="268">
        <f>IFERROR(V42/V27,"")</f>
        <v>0.54788459765877</v>
      </c>
      <c r="W44" s="269">
        <f>IFERROR(W42/W27,"")</f>
        <v>0.58003671810115</v>
      </c>
      <c r="X44" s="268">
        <f>IFERROR(X42/X27,"")</f>
        <v>0.588938053097345</v>
      </c>
      <c r="Y44" s="268">
        <f>IFERROR(Y42/Y27,"")</f>
        <v>0.606163552535792</v>
      </c>
      <c r="Z44" s="268">
        <f>IFERROR(Z42/Z27,"")</f>
        <v>0.595410831786739</v>
      </c>
      <c r="AA44" s="268">
        <f>IFERROR(AA42/AA27,"")</f>
        <v>0.564622314622315</v>
      </c>
      <c r="AB44" s="269">
        <f>IFERROR(AB42/AB27,"")</f>
        <v>0.589129002783621</v>
      </c>
      <c r="AC44" s="268">
        <f>IFERROR(AC42/AC27,"")</f>
        <v>0.592506065234972</v>
      </c>
      <c r="AD44" s="268">
        <f>IFERROR(AD42/AD27,"")</f>
        <v>0.607738332668528</v>
      </c>
      <c r="AE44" s="268">
        <f>IFERROR(AE42/AE27,"")</f>
        <v>0.658209554395825</v>
      </c>
      <c r="AF44" s="268">
        <f>IFERROR(AF42/AF27,"")</f>
        <v>0.405345965149721</v>
      </c>
      <c r="AG44" s="269">
        <f>IFERROR(AG42/AG27,"")</f>
        <v>0.56740576959179</v>
      </c>
      <c r="AH44" s="269">
        <f>IFERROR(AH42/AH27,"")</f>
        <v>0.592126363053239</v>
      </c>
      <c r="AI44" s="269">
        <f>IFERROR(AI42/AI27,"")</f>
        <v>0.60881913303438</v>
      </c>
    </row>
    <row r="45">
      <c r="C45" s="14" t="inlineStr">
        <is>
          <t xml:space="preserve">   Receita EUA</t>
        </is>
      </c>
      <c r="D45" s="265">
        <f>IFERROR(INDEX('Inputs (2)'!$D$70:$AL$70,MATCH(D$7,'Inputs (2)'!$D$2:$AL$2,0)),"")</f>
        <v>2807</v>
      </c>
      <c r="E45" s="265">
        <f>IFERROR(INDEX('Inputs (2)'!$D$70:$AL$70,MATCH(E$7,'Inputs (2)'!$D$2:$AL$2,0)),"")</f>
        <v>2583</v>
      </c>
      <c r="F45" s="265">
        <f>IFERROR(INDEX('Inputs (2)'!$D$70:$AL$70,MATCH(F$7,'Inputs (2)'!$D$2:$AL$2,0)),"")</f>
        <v>3026</v>
      </c>
      <c r="G45" s="265">
        <f>IFERROR(INDEX('Inputs (2)'!$D$70:$AL$70,MATCH(G$7,'Inputs (2)'!$D$2:$AL$2,0)),"")</f>
        <v>2865</v>
      </c>
      <c r="H45" s="266">
        <f>IF(COUNT(D45:G45)=4,SUM(D45:G45),"")</f>
        <v>11281</v>
      </c>
      <c r="I45" s="265">
        <f>IFERROR(INDEX('Inputs (2)'!$D$70:$AL$70,MATCH(I$7,'Inputs (2)'!$D$2:$AL$2,0)),"")</f>
        <v>2893</v>
      </c>
      <c r="J45" s="265">
        <f>IFERROR(INDEX('Inputs (2)'!$D$70:$AL$70,MATCH(J$7,'Inputs (2)'!$D$2:$AL$2,0)),"")</f>
        <v>3332</v>
      </c>
      <c r="K45" s="265">
        <f>IFERROR(INDEX('Inputs (2)'!$D$70:$AL$70,MATCH(K$7,'Inputs (2)'!$D$2:$AL$2,0)),"")</f>
        <v>3418</v>
      </c>
      <c r="L45" s="265">
        <f>IFERROR(INDEX('Inputs (2)'!$D$70:$AL$70,MATCH(L$7,'Inputs (2)'!$D$2:$AL$2,0)),"")</f>
        <v>3367</v>
      </c>
      <c r="M45" s="266">
        <f>IF(COUNT(I45:L45)=4,SUM(I45:L45),"")</f>
        <v>13010</v>
      </c>
      <c r="N45" s="265">
        <f>IFERROR(INDEX('Inputs (2)'!$D$70:$AL$70,MATCH(N$7,'Inputs (2)'!$D$2:$AL$2,0)),"")</f>
        <v>3523</v>
      </c>
      <c r="O45" s="265">
        <f>IFERROR(INDEX('Inputs (2)'!$D$70:$AL$70,MATCH(O$7,'Inputs (2)'!$D$2:$AL$2,0)),"")</f>
        <v>3957</v>
      </c>
      <c r="P45" s="265">
        <f>IFERROR(INDEX('Inputs (2)'!$D$70:$AL$70,MATCH(P$7,'Inputs (2)'!$D$2:$AL$2,0)),"")</f>
        <v>4144</v>
      </c>
      <c r="Q45" s="265">
        <f>IFERROR(INDEX('Inputs (2)'!$D$70:$AL$70,MATCH(Q$7,'Inputs (2)'!$D$2:$AL$2,0)),"")</f>
        <v>3789</v>
      </c>
      <c r="R45" s="266">
        <f>IF(COUNT(N45:Q45)=4,SUM(N45:Q45),"")</f>
        <v>15413</v>
      </c>
      <c r="S45" s="265">
        <f>IFERROR(INDEX('Inputs (2)'!$D$70:$AL$70,MATCH(S$7,'Inputs (2)'!$D$2:$AL$2,0)),"")</f>
        <v>3849</v>
      </c>
      <c r="T45" s="265">
        <f>IFERROR(INDEX('Inputs (2)'!$D$70:$AL$70,MATCH(T$7,'Inputs (2)'!$D$2:$AL$2,0)),"")</f>
        <v>4302</v>
      </c>
      <c r="U45" s="265">
        <f>IFERROR(INDEX('Inputs (2)'!$D$70:$AL$70,MATCH(U$7,'Inputs (2)'!$D$2:$AL$2,0)),"")</f>
        <v>4411</v>
      </c>
      <c r="V45" s="265">
        <f>IFERROR(INDEX('Inputs (2)'!$D$70:$AL$70,MATCH(V$7,'Inputs (2)'!$D$2:$AL$2,0)),"")</f>
        <v>3988</v>
      </c>
      <c r="W45" s="266">
        <f>IF(COUNT(S45:V45)=4,SUM(S45:V45),"")</f>
        <v>16550</v>
      </c>
      <c r="X45" s="265">
        <f>IFERROR(INDEX('Inputs (2)'!$D$70:$AL$70,MATCH(X$7,'Inputs (2)'!$D$2:$AL$2,0)),"")</f>
        <v>4118</v>
      </c>
      <c r="Y45" s="265">
        <f>IFERROR(INDEX('Inputs (2)'!$D$70:$AL$70,MATCH(Y$7,'Inputs (2)'!$D$2:$AL$2,0)),"")</f>
        <v>4740</v>
      </c>
      <c r="Z45" s="265">
        <f>IFERROR(INDEX('Inputs (2)'!$D$70:$AL$70,MATCH(Z$7,'Inputs (2)'!$D$2:$AL$2,0)),"")</f>
        <v>4903</v>
      </c>
      <c r="AA45" s="265">
        <f>IFERROR(INDEX('Inputs (2)'!$D$70:$AL$70,MATCH(AA$7,'Inputs (2)'!$D$2:$AL$2,0)),"")</f>
        <v>4601</v>
      </c>
      <c r="AB45" s="266">
        <f>IF(COUNT(X45:AA45)=4,SUM(X45:AA45),"")</f>
        <v>18362</v>
      </c>
      <c r="AC45" s="265">
        <f>IFERROR(INDEX('Inputs (2)'!$D$70:$AL$70,MATCH(AC$7,'Inputs (2)'!$D$2:$AL$2,0)),"")</f>
        <v>4253</v>
      </c>
      <c r="AD45" s="265">
        <f>IFERROR(INDEX('Inputs (2)'!$D$70:$AL$70,MATCH(AD$7,'Inputs (2)'!$D$2:$AL$2,0)),"")</f>
        <v>4935</v>
      </c>
      <c r="AE45" s="265">
        <f>IFERROR(INDEX('Inputs (2)'!$D$70:$AL$70,MATCH(AE$7,'Inputs (2)'!$D$2:$AL$2,0)),"")</f>
        <v>5118</v>
      </c>
      <c r="AF45" s="265">
        <f>IFERROR(INDEX('Inputs (2)'!$D$70:$AL$70,MATCH(AF$7,'Inputs (2)'!$D$2:$AL$2,0)),"")</f>
        <v>4821</v>
      </c>
      <c r="AG45" s="266">
        <f>IF(COUNT(AC45:AF45)=4,SUM(AC45:AF45),"")</f>
        <v>19127</v>
      </c>
      <c r="AH45" s="266">
        <f>IFERROR(INDEX('Inputs (2)'!$D$70:$AL$70,MATCH(AH$7,'Inputs (2)'!$D$2:$AL$2,0)),"")</f>
        <v>4745</v>
      </c>
      <c r="AI45" s="266">
        <f>IFERROR(INDEX('Inputs (2)'!$D$70:$AL$70,MATCH(AI$7,'Inputs (2)'!$D$2:$AL$2,0)),"")</f>
        <v>5260</v>
      </c>
    </row>
    <row r="46">
      <c r="C46" s="14" t="inlineStr">
        <is>
          <t xml:space="preserve">   % EUA na receita</t>
        </is>
      </c>
      <c r="D46" s="268">
        <f>IFERROR(D45/D27,"")</f>
        <v>0.32635740030229</v>
      </c>
      <c r="E46" s="268">
        <f>IFERROR(E45/E27,"")</f>
        <v>0.361258741258741</v>
      </c>
      <c r="F46" s="268">
        <f>IFERROR(F45/F27,"")</f>
        <v>0.349745723532131</v>
      </c>
      <c r="G46" s="268">
        <f>IFERROR(G45/G27,"")</f>
        <v>0.332713970502845</v>
      </c>
      <c r="H46" s="269">
        <f>IFERROR(H45/H27,"")</f>
        <v>0.341703519718907</v>
      </c>
      <c r="I46" s="268">
        <f>IFERROR(I45/I27,"")</f>
        <v>0.320731707317073</v>
      </c>
      <c r="J46" s="268">
        <f>IFERROR(J45/J27,"")</f>
        <v>0.328956461644782</v>
      </c>
      <c r="K46" s="268">
        <f>IFERROR(K45/K27,"")</f>
        <v>0.340370444134635</v>
      </c>
      <c r="L46" s="268">
        <f>IFERROR(L45/L27,"")</f>
        <v>0.355769230769231</v>
      </c>
      <c r="M46" s="269">
        <f>IFERROR(M45/M27,"")</f>
        <v>0.336567067649722</v>
      </c>
      <c r="N46" s="268">
        <f>IFERROR(N45/N27,"")</f>
        <v>0.335811648079306</v>
      </c>
      <c r="O46" s="268">
        <f>IFERROR(O45/O27,"")</f>
        <v>0.349403973509934</v>
      </c>
      <c r="P46" s="268">
        <f>IFERROR(P45/P27,"")</f>
        <v>0.374581939799331</v>
      </c>
      <c r="Q46" s="268">
        <f>IFERROR(Q45/Q27,"")</f>
        <v>0.374222222222222</v>
      </c>
      <c r="R46" s="269">
        <f>IFERROR(R45/R27,"")</f>
        <v>0.358408520137662</v>
      </c>
      <c r="S46" s="268">
        <f>IFERROR(S45/S27,"")</f>
        <v>0.350546448087432</v>
      </c>
      <c r="T46" s="268">
        <f>IFERROR(T45/T27,"")</f>
        <v>0.359338456398263</v>
      </c>
      <c r="U46" s="268">
        <f>IFERROR(U45/U27,"")</f>
        <v>0.369028695724923</v>
      </c>
      <c r="V46" s="268">
        <f>IFERROR(V45/V27,"")</f>
        <v>0.367591483085999</v>
      </c>
      <c r="W46" s="269">
        <f>IFERROR(W45/W27,"")</f>
        <v>0.361717008348997</v>
      </c>
      <c r="X46" s="268">
        <f>IFERROR(X45/X27,"")</f>
        <v>0.364424778761062</v>
      </c>
      <c r="Y46" s="268">
        <f>IFERROR(Y45/Y27,"")</f>
        <v>0.383402086872118</v>
      </c>
      <c r="Z46" s="268">
        <f>IFERROR(Z45/Z27,"")</f>
        <v>0.413615657162139</v>
      </c>
      <c r="AA46" s="268">
        <f>IFERROR(AA45/AA27,"")</f>
        <v>0.398562023562024</v>
      </c>
      <c r="AB46" s="269">
        <f>IFERROR(AB45/AB27,"")</f>
        <v>0.390174454431483</v>
      </c>
      <c r="AC46" s="268">
        <f>IFERROR(AC45/AC27,"")</f>
        <v>0.382154730883278</v>
      </c>
      <c r="AD46" s="268">
        <f>IFERROR(AD45/AD27,"")</f>
        <v>0.393697646589549</v>
      </c>
      <c r="AE46" s="268">
        <f>IFERROR(AE45/AE27,"")</f>
        <v>0.410919309514251</v>
      </c>
      <c r="AF46" s="268">
        <f>IFERROR(AF45/AF27,"")</f>
        <v>0.407799018778548</v>
      </c>
      <c r="AG46" s="269">
        <f>IFERROR(AG45/AG27,"")</f>
        <v>0.398969566759141</v>
      </c>
      <c r="AH46" s="269">
        <f>IFERROR(AH45/AH27,"")</f>
        <v>0.380452212957024</v>
      </c>
      <c r="AI46" s="269">
        <f>IFERROR(AI45/AI27,"")</f>
        <v>0.393124065769806</v>
      </c>
    </row>
    <row r="47"/>
    <row r="48"/>
    <row r="49"/>
    <row r="50"/>
    <row r="51"/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-3371</v>
      </c>
      <c r="E54" s="25">
        <f>INDEX('Inputs (2)'!$D$5:$AL$5,MATCH(E$7,'Inputs (2)'!$D$2:$AL$2,0))</f>
        <v>-3013</v>
      </c>
      <c r="F54" s="25">
        <f>INDEX('Inputs (2)'!$D$5:$AL$5,MATCH(F$7,'Inputs (2)'!$D$2:$AL$2,0))</f>
        <v>-3471</v>
      </c>
      <c r="G54" s="25">
        <f>INDEX('Inputs (2)'!$D$5:$AL$5,MATCH(G$7,'Inputs (2)'!$D$2:$AL$2,0))</f>
        <v>-3578</v>
      </c>
      <c r="H54" s="3">
        <f>SUM(D54:G54)</f>
        <v>-13433</v>
      </c>
      <c r="I54" s="25">
        <f>INDEX('Inputs (2)'!$D$5:$AL$5,MATCH(I$7,'Inputs (2)'!$D$2:$AL$2,0))</f>
        <v>-3505</v>
      </c>
      <c r="J54" s="25">
        <f>INDEX('Inputs (2)'!$D$5:$AL$5,MATCH(J$7,'Inputs (2)'!$D$2:$AL$2,0))</f>
        <v>-3787</v>
      </c>
      <c r="K54" s="25">
        <f>INDEX('Inputs (2)'!$D$5:$AL$5,MATCH(K$7,'Inputs (2)'!$D$2:$AL$2,0))</f>
        <v>-3977</v>
      </c>
      <c r="L54" s="25">
        <f>INDEX('Inputs (2)'!$D$5:$AL$5,MATCH(L$7,'Inputs (2)'!$D$2:$AL$2,0))</f>
        <v>-4088</v>
      </c>
      <c r="M54" s="3">
        <f>SUM(I54:L54)</f>
        <v>-15357</v>
      </c>
      <c r="N54" s="25">
        <f>INDEX('Inputs (2)'!$D$5:$AL$5,MATCH(N$7,'Inputs (2)'!$D$2:$AL$2,0))</f>
        <v>-4091</v>
      </c>
      <c r="O54" s="25">
        <f>INDEX('Inputs (2)'!$D$5:$AL$5,MATCH(O$7,'Inputs (2)'!$D$2:$AL$2,0))</f>
        <v>-4830</v>
      </c>
      <c r="P54" s="25">
        <f>INDEX('Inputs (2)'!$D$5:$AL$5,MATCH(P$7,'Inputs (2)'!$D$2:$AL$2,0))</f>
        <v>-4566</v>
      </c>
      <c r="Q54" s="25">
        <f>INDEX('Inputs (2)'!$D$5:$AL$5,MATCH(Q$7,'Inputs (2)'!$D$2:$AL$2,0))</f>
        <v>-4513</v>
      </c>
      <c r="R54" s="3">
        <f>SUM(N54:Q54)</f>
        <v>-18000</v>
      </c>
      <c r="S54" s="25">
        <f>INDEX('Inputs (2)'!$D$5:$AL$5,MATCH(S$7,'Inputs (2)'!$D$2:$AL$2,0))</f>
        <v>-4317</v>
      </c>
      <c r="T54" s="25">
        <f>INDEX('Inputs (2)'!$D$5:$AL$5,MATCH(T$7,'Inputs (2)'!$D$2:$AL$2,0))</f>
        <v>-4912</v>
      </c>
      <c r="U54" s="25">
        <f>INDEX('Inputs (2)'!$D$5:$AL$5,MATCH(U$7,'Inputs (2)'!$D$2:$AL$2,0))</f>
        <v>-4657</v>
      </c>
      <c r="V54" s="25">
        <f>INDEX('Inputs (2)'!$D$5:$AL$5,MATCH(V$7,'Inputs (2)'!$D$2:$AL$2,0))</f>
        <v>-4634</v>
      </c>
      <c r="W54" s="3">
        <f>SUM(S54:V54)</f>
        <v>-18520</v>
      </c>
      <c r="X54" s="25">
        <f>INDEX('Inputs (2)'!$D$5:$AL$5,MATCH(X$7,'Inputs (2)'!$D$2:$AL$2,0))</f>
        <v>-4235</v>
      </c>
      <c r="Y54" s="25">
        <f>INDEX('Inputs (2)'!$D$5:$AL$5,MATCH(Y$7,'Inputs (2)'!$D$2:$AL$2,0))</f>
        <v>-4812</v>
      </c>
      <c r="Z54" s="25">
        <f>INDEX('Inputs (2)'!$D$5:$AL$5,MATCH(Z$7,'Inputs (2)'!$D$2:$AL$2,0))</f>
        <v>-4664</v>
      </c>
      <c r="AA54" s="25">
        <f>INDEX('Inputs (2)'!$D$5:$AL$5,MATCH(AA$7,'Inputs (2)'!$D$2:$AL$2,0))</f>
        <v>-4613</v>
      </c>
      <c r="AB54" s="3">
        <f>SUM(X54:AA54)</f>
        <v>-18324</v>
      </c>
      <c r="AC54" s="25">
        <f>INDEX('Inputs (2)'!$D$5:$AL$5,MATCH(AC$7,'Inputs (2)'!$D$2:$AL$2,0))</f>
        <v>-4163</v>
      </c>
      <c r="AD54" s="25">
        <f>INDEX('Inputs (2)'!$D$5:$AL$5,MATCH(AD$7,'Inputs (2)'!$D$2:$AL$2,0))</f>
        <v>-4714</v>
      </c>
      <c r="AE54" s="25">
        <f>INDEX('Inputs (2)'!$D$5:$AL$5,MATCH(AE$7,'Inputs (2)'!$D$2:$AL$2,0))</f>
        <v>-4797</v>
      </c>
      <c r="AF54" s="25">
        <f>INDEX('Inputs (2)'!$D$5:$AL$5,MATCH(AF$7,'Inputs (2)'!$D$2:$AL$2,0))</f>
        <v>-4723</v>
      </c>
      <c r="AG54" s="3">
        <f>SUM(AC54:AF54)</f>
        <v>-18397</v>
      </c>
      <c r="AH54" s="3">
        <f>INDEX('Inputs (2)'!$D$5:$AL$5,MATCH(AH$7,'Inputs (2)'!$D$2:$AL$2,0))</f>
        <v>-4620</v>
      </c>
      <c r="AI54" s="3">
        <f>INDEX('Inputs (2)'!$D$5:$AL$5,MATCH(AI$7,'Inputs (2)'!$D$2:$AL$2,0))</f>
        <v>-4965</v>
      </c>
      <c r="AJ54" s="3">
        <f>(100%-AJ55)*-AJ15</f>
        <v>-12455</v>
      </c>
      <c r="AK54" s="3">
        <f>(100%-AK55)*-AK15</f>
        <v>-11822</v>
      </c>
      <c r="AL54" s="3">
        <f>SUM(AH54:AK54)</f>
        <v>-33862</v>
      </c>
      <c r="AM54" s="3">
        <f>(100%-AM55)*-AM15</f>
        <v>-12472</v>
      </c>
      <c r="AN54" s="3">
        <f>(100%-AN55)*-AN15</f>
        <v>-13380</v>
      </c>
      <c r="AO54" s="3">
        <f>(100%-AO55)*-AO15</f>
        <v>-12455</v>
      </c>
      <c r="AP54" s="3">
        <f>(100%-AP55)*-AP15</f>
        <v>-11822</v>
      </c>
      <c r="AQ54" s="3">
        <f>SUM(AM54:AP54)</f>
        <v>-50129</v>
      </c>
      <c r="AR54" s="3">
        <f>(100%-AR55)*-AR15</f>
        <v>-12472</v>
      </c>
      <c r="AS54" s="3">
        <f>(100%-AS55)*-AS15</f>
        <v>-13380</v>
      </c>
      <c r="AT54" s="3">
        <f>(100%-AT55)*-AT15</f>
        <v>-12455</v>
      </c>
      <c r="AU54" s="3">
        <f>(100%-AU55)*-AU15</f>
        <v>-11822</v>
      </c>
      <c r="AV54" s="3">
        <f>SUM(AR54:AU54)</f>
        <v>-50129</v>
      </c>
      <c r="AW54" s="3">
        <f>(100%-AW55)*-AW15</f>
        <v>-12472</v>
      </c>
      <c r="AX54" s="3">
        <f>(100%-AX55)*-AX15</f>
        <v>-13380</v>
      </c>
      <c r="AY54" s="3">
        <f>(100%-AY55)*-AY15</f>
        <v>-12455</v>
      </c>
      <c r="AZ54" s="3">
        <f>(100%-AZ55)*-AZ15</f>
        <v>-11822</v>
      </c>
      <c r="BA54" s="3">
        <f>SUM(AW54:AZ54)</f>
        <v>-50129</v>
      </c>
      <c r="BB54" s="3">
        <f>(100%-BB55)*-BB15</f>
        <v>-12472</v>
      </c>
      <c r="BC54" s="3">
        <f>(100%-BC55)*-BC15</f>
        <v>-13380</v>
      </c>
      <c r="BD54" s="3">
        <f>(100%-BD55)*-BD15</f>
        <v>-12455</v>
      </c>
      <c r="BE54" s="3">
        <f>(100%-BE55)*-BE15</f>
        <v>-11822</v>
      </c>
      <c r="BF54" s="3">
        <f>SUM(BB54:BE54)</f>
        <v>-50129</v>
      </c>
      <c r="BG54" s="3">
        <f>(100%-BG55)*-BG15</f>
        <v>-12472</v>
      </c>
      <c r="BH54" s="3">
        <f>(100%-BH55)*-BH15</f>
        <v>-13380</v>
      </c>
      <c r="BI54" s="3">
        <f>(100%-BI55)*-BI15</f>
        <v>-12455</v>
      </c>
      <c r="BJ54" s="3">
        <f>(100%-BJ55)*-BJ15</f>
        <v>-11822</v>
      </c>
      <c r="BK54" s="3">
        <f>SUM(BG54:BJ54)</f>
        <v>-50129</v>
      </c>
      <c r="BL54" s="3">
        <f>(100%-BL55)*-BL15</f>
        <v>-12472</v>
      </c>
      <c r="BM54" s="3">
        <f>(100%-BM55)*-BM15</f>
        <v>-13380</v>
      </c>
      <c r="BN54" s="3">
        <f>(100%-BN55)*-BN15</f>
        <v>-12455</v>
      </c>
      <c r="BO54" s="3">
        <f>(100%-BO55)*-BO15</f>
        <v>-11822</v>
      </c>
      <c r="BP54" s="3">
        <f>SUM(BL54:BO54)</f>
        <v>-50129</v>
      </c>
      <c r="BQ54" s="3">
        <f>(100%-BQ55)*-BQ15</f>
        <v>-12472</v>
      </c>
      <c r="BR54" s="3">
        <f>(100%-BR55)*-BR15</f>
        <v>-13380</v>
      </c>
      <c r="BS54" s="3">
        <f>(100%-BS55)*-BS15</f>
        <v>-12455</v>
      </c>
      <c r="BT54" s="3">
        <f>(100%-BT55)*-BT15</f>
        <v>-11822</v>
      </c>
      <c r="BU54" s="3">
        <f>SUM(BQ54:BT54)</f>
        <v>-50129</v>
      </c>
      <c r="BV54" s="3">
        <f>(100%-BV55)*-BV15</f>
        <v>-12472</v>
      </c>
      <c r="BW54" s="3">
        <f>(100%-BW55)*-BW15</f>
        <v>-13380</v>
      </c>
      <c r="BX54" s="3">
        <f>(100%-BX55)*-BX15</f>
        <v>-12455</v>
      </c>
      <c r="BY54" s="3">
        <f>(100%-BY55)*-BY15</f>
        <v>-11822</v>
      </c>
      <c r="BZ54" s="3">
        <f>SUM(BV54:BY54)</f>
        <v>-50129</v>
      </c>
      <c r="CA54" s="3">
        <f>(100%-CA55)*-CA15</f>
        <v>-12472</v>
      </c>
      <c r="CB54" s="3">
        <f>(100%-CB55)*-CB15</f>
        <v>-13380</v>
      </c>
      <c r="CC54" s="3">
        <f>(100%-CC55)*-CC15</f>
        <v>-12455</v>
      </c>
      <c r="CD54" s="3">
        <f>(100%-CD55)*-CD15</f>
        <v>-11822</v>
      </c>
      <c r="CE54" s="3">
        <f>SUM(CA54:CD54)</f>
        <v>-50129</v>
      </c>
      <c r="CF54" s="3">
        <f>(100%-CF55)*-CF15</f>
        <v>-12472</v>
      </c>
      <c r="CG54" s="3">
        <f>(100%-CG55)*-CG15</f>
        <v>-13380</v>
      </c>
      <c r="CH54" s="3">
        <f>(100%-CH55)*-CH15</f>
        <v>-12455</v>
      </c>
      <c r="CI54" s="3">
        <f>(100%-CI55)*-CI15</f>
        <v>-11822</v>
      </c>
      <c r="CJ54" s="3">
        <f>SUM(CF54:CI54)</f>
        <v>-50129</v>
      </c>
      <c r="CK54" s="3">
        <f>(100%-CK55)*-CK15</f>
        <v>-12472</v>
      </c>
      <c r="CL54" s="3">
        <f>(100%-CL55)*-CL15</f>
        <v>-13380</v>
      </c>
      <c r="CM54" s="3">
        <f>(100%-CM55)*-CM15</f>
        <v>-12455</v>
      </c>
      <c r="CN54" s="3">
        <f>(100%-CN55)*-CN15</f>
        <v>-11822</v>
      </c>
      <c r="CO54" s="3">
        <f>SUM(CK54:CN54)</f>
        <v>-50129</v>
      </c>
      <c r="CP54" s="3">
        <f>(100%-CP55)*-CP15</f>
        <v>-12472</v>
      </c>
      <c r="CQ54" s="3">
        <f>(100%-CQ55)*-CQ15</f>
        <v>-13380</v>
      </c>
      <c r="CR54" s="3">
        <f>(100%-CR55)*-CR15</f>
        <v>-12455</v>
      </c>
      <c r="CS54" s="3">
        <f>(100%-CS55)*-CS15</f>
        <v>-11822</v>
      </c>
      <c r="CT54" s="3">
        <f>SUM(CP54:CS54)</f>
        <v>-50129</v>
      </c>
      <c r="CU54" s="3">
        <f>(100%-CU55)*-CU15</f>
        <v>-12472</v>
      </c>
      <c r="CV54" s="3">
        <f>(100%-CV55)*-CV15</f>
        <v>-13380</v>
      </c>
      <c r="CW54" s="3">
        <f>(100%-CW55)*-CW15</f>
        <v>-12455</v>
      </c>
      <c r="CX54" s="3">
        <f>(100%-CX55)*-CX15</f>
        <v>-11822</v>
      </c>
      <c r="CY54" s="3">
        <f>SUM(CU54:CX54)</f>
        <v>-50129</v>
      </c>
    </row>
    <row r="55" hidden="1" outlineLevel="1" customFormat="1" s="1">
      <c r="C55" s="57" t="inlineStr">
        <is>
          <t>% Gross Margin</t>
        </is>
      </c>
      <c r="D55" s="54">
        <f>(D15+D54)/D$15</f>
        <v>0.608068829205906</v>
      </c>
      <c r="E55" s="54">
        <f>(E15+E54)/E$15</f>
        <v>0.578601398601399</v>
      </c>
      <c r="F55" s="54">
        <f>(F15+F54)/F$15</f>
        <v>0.598821081830791</v>
      </c>
      <c r="G55" s="54">
        <f>(G15+G54)/G$15</f>
        <v>0.584484961096272</v>
      </c>
      <c r="H55" s="54">
        <f>(H15+H54)/H$15</f>
        <v>0.593112013085358</v>
      </c>
      <c r="I55" s="54">
        <f>(I15+I54)/I$15</f>
        <v>0.611419068736142</v>
      </c>
      <c r="J55" s="54">
        <f>(J15+J54)/J$15</f>
        <v>0.626123013130615</v>
      </c>
      <c r="K55" s="54">
        <f>(K15+K54)/K$15</f>
        <v>0.603963353913563</v>
      </c>
      <c r="L55" s="54">
        <f>(L15+L54)/L$15</f>
        <v>0.568047337278107</v>
      </c>
      <c r="M55" s="54">
        <f>(M15+M54)/M$15</f>
        <v>0.602716336825766</v>
      </c>
      <c r="N55" s="54">
        <f>(N15+N54)/N$15</f>
        <v>0.610046706700982</v>
      </c>
      <c r="O55" s="54">
        <f>(O15+O54)/O$15</f>
        <v>0.573509933774834</v>
      </c>
      <c r="P55" s="54">
        <f>(P15+P54)/P$15</f>
        <v>0.587272891620718</v>
      </c>
      <c r="Q55" s="54">
        <f>(Q15+Q54)/Q$15</f>
        <v>0.554271604938272</v>
      </c>
      <c r="R55" s="54">
        <f>(R15+R54)/R$15</f>
        <v>0.581434285182774</v>
      </c>
      <c r="S55" s="54">
        <f>(S15+S54)/S$15</f>
        <v>0.606830601092896</v>
      </c>
      <c r="T55" s="54">
        <f>(T15+T54)/T$15</f>
        <v>0.589709321750752</v>
      </c>
      <c r="U55" s="54">
        <f>(U15+U54)/U$15</f>
        <v>0.610390696896177</v>
      </c>
      <c r="V55" s="54">
        <f>(V15+V54)/V$15</f>
        <v>0.572863858420131</v>
      </c>
      <c r="W55" s="54">
        <f>(W15+W54)/W$15</f>
        <v>0.595226646850549</v>
      </c>
      <c r="X55" s="54">
        <f>(X15+X54)/X$15</f>
        <v>0.625221238938053</v>
      </c>
      <c r="Y55" s="54">
        <f>(Y15+Y54)/Y$15</f>
        <v>0.610774083960204</v>
      </c>
      <c r="Z55" s="54">
        <f>(Z15+Z54)/Z$15</f>
        <v>0.606546313480682</v>
      </c>
      <c r="AA55" s="54">
        <f>(AA15+AA54)/AA$15</f>
        <v>0.600398475398475</v>
      </c>
      <c r="AB55" s="54">
        <f>(AB15+AB54)/AB$15</f>
        <v>0.61063300822337</v>
      </c>
      <c r="AC55" s="54">
        <f>(AC15+AC54)/AC$15</f>
        <v>0.625932249078983</v>
      </c>
      <c r="AD55" s="54">
        <f>(AD15+AD54)/AD$15</f>
        <v>0.623932987634623</v>
      </c>
      <c r="AE55" s="54">
        <f>(AE15+AE54)/AE$15</f>
        <v>0.614853472501004</v>
      </c>
      <c r="AF55" s="44">
        <f>(AF15+AF54)/AF$15</f>
        <v>0.600490610725766</v>
      </c>
      <c r="AG55" s="54">
        <f>(AG15+AG54)/AG$15</f>
        <v>0.61625748315638</v>
      </c>
      <c r="AH55" s="55">
        <f>(AH15+AH54)/AH$15</f>
        <v>0.629570237331623</v>
      </c>
      <c r="AI55" s="55">
        <f>(AI15+AI54)/AI$15</f>
        <v>0.628923766816144</v>
      </c>
      <c r="AJ55" s="55" t="n"/>
      <c r="AK55" s="55" t="n"/>
      <c r="AL55" s="54">
        <f>(AL15+AL54)/AL$15</f>
        <v>0.324502782820324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-2483</v>
      </c>
      <c r="E58" s="25">
        <f>INDEX('Inputs (2)'!$D$6:$AL$6,MATCH(E$7,'Inputs (2)'!$D$2:$AL$2,0))</f>
        <v>-1775</v>
      </c>
      <c r="F58" s="25">
        <f>INDEX('Inputs (2)'!$D$6:$AL$6,MATCH(F$7,'Inputs (2)'!$D$2:$AL$2,0))</f>
        <v>-2525</v>
      </c>
      <c r="G58" s="25">
        <f>INDEX('Inputs (2)'!$D$6:$AL$6,MATCH(G$7,'Inputs (2)'!$D$2:$AL$2,0))</f>
        <v>-2265</v>
      </c>
      <c r="H58" s="3">
        <f>SUM(D58:G58)</f>
        <v>-9048</v>
      </c>
      <c r="I58" s="25">
        <f>INDEX('Inputs (2)'!$D$6:$AL$6,MATCH(I$7,'Inputs (2)'!$D$2:$AL$2,0))</f>
        <v>-2427</v>
      </c>
      <c r="J58" s="25">
        <f>INDEX('Inputs (2)'!$D$6:$AL$6,MATCH(J$7,'Inputs (2)'!$D$2:$AL$2,0))</f>
        <v>-2943</v>
      </c>
      <c r="K58" s="25">
        <f>INDEX('Inputs (2)'!$D$6:$AL$6,MATCH(K$7,'Inputs (2)'!$D$2:$AL$2,0))</f>
        <v>-2805</v>
      </c>
      <c r="L58" s="25">
        <f>INDEX('Inputs (2)'!$D$6:$AL$6,MATCH(L$7,'Inputs (2)'!$D$2:$AL$2,0))</f>
        <v>-3363</v>
      </c>
      <c r="M58" s="3">
        <f>SUM(I58:L58)</f>
        <v>-11538</v>
      </c>
      <c r="N58" s="25">
        <f>INDEX('Inputs (2)'!$D$6:$AL$6,MATCH(N$7,'Inputs (2)'!$D$2:$AL$2,0))</f>
        <v>-2671</v>
      </c>
      <c r="O58" s="25">
        <f>INDEX('Inputs (2)'!$D$6:$AL$6,MATCH(O$7,'Inputs (2)'!$D$2:$AL$2,0))</f>
        <v>-3832</v>
      </c>
      <c r="P58" s="25">
        <f>INDEX('Inputs (2)'!$D$6:$AL$6,MATCH(P$7,'Inputs (2)'!$D$2:$AL$2,0))</f>
        <v>-3102</v>
      </c>
      <c r="Q58" s="25">
        <f>INDEX('Inputs (2)'!$D$6:$AL$6,MATCH(Q$7,'Inputs (2)'!$D$2:$AL$2,0))</f>
        <v>-3230</v>
      </c>
      <c r="R58" s="3">
        <f>SUM(N58:Q58)</f>
        <v>-12835</v>
      </c>
      <c r="S58" s="25">
        <f>INDEX('Inputs (2)'!$D$6:$AL$6,MATCH(S$7,'Inputs (2)'!$D$2:$AL$2,0))</f>
        <v>-3010</v>
      </c>
      <c r="T58" s="25">
        <f>INDEX('Inputs (2)'!$D$6:$AL$6,MATCH(T$7,'Inputs (2)'!$D$2:$AL$2,0))</f>
        <v>-4378</v>
      </c>
      <c r="U58" s="25">
        <f>INDEX('Inputs (2)'!$D$6:$AL$6,MATCH(U$7,'Inputs (2)'!$D$2:$AL$2,0))</f>
        <v>-3736</v>
      </c>
      <c r="V58" s="25">
        <f>INDEX('Inputs (2)'!$D$6:$AL$6,MATCH(V$7,'Inputs (2)'!$D$2:$AL$2,0))</f>
        <v>-3671</v>
      </c>
      <c r="W58" s="3">
        <f>SUM(S58:V58)</f>
        <v>-14795</v>
      </c>
      <c r="X58" s="25">
        <f>INDEX('Inputs (2)'!$D$6:$AL$6,MATCH(X$7,'Inputs (2)'!$D$2:$AL$2,0))</f>
        <v>-4662</v>
      </c>
      <c r="Y58" s="25">
        <f>INDEX('Inputs (2)'!$D$6:$AL$6,MATCH(Y$7,'Inputs (2)'!$D$2:$AL$2,0))</f>
        <v>-4650</v>
      </c>
      <c r="Z58" s="25">
        <f>INDEX('Inputs (2)'!$D$6:$AL$6,MATCH(Z$7,'Inputs (2)'!$D$2:$AL$2,0))</f>
        <v>-4412</v>
      </c>
      <c r="AA58" s="25">
        <f>INDEX('Inputs (2)'!$D$6:$AL$6,MATCH(AA$7,'Inputs (2)'!$D$2:$AL$2,0))</f>
        <v>-3946</v>
      </c>
      <c r="AB58" s="3">
        <f>SUM(X58:AA58)</f>
        <v>-17670</v>
      </c>
      <c r="AC58" s="25">
        <f>INDEX('Inputs (2)'!$D$6:$AL$6,MATCH(AC$7,'Inputs (2)'!$D$2:$AL$2,0))</f>
        <v>-3040</v>
      </c>
      <c r="AD58" s="25">
        <f>INDEX('Inputs (2)'!$D$6:$AL$6,MATCH(AD$7,'Inputs (2)'!$D$2:$AL$2,0))</f>
        <v>-3262</v>
      </c>
      <c r="AE58" s="25">
        <f>INDEX('Inputs (2)'!$D$6:$AL$6,MATCH(AE$7,'Inputs (2)'!$D$2:$AL$2,0))</f>
        <v>-3408</v>
      </c>
      <c r="AF58" s="25">
        <f>INDEX('Inputs (2)'!$D$6:$AL$6,MATCH(AF$7,'Inputs (2)'!$D$2:$AL$2,0))</f>
        <v>-5022</v>
      </c>
      <c r="AG58" s="3">
        <f>SUM(AC58:AF58)</f>
        <v>-14732</v>
      </c>
      <c r="AH58" s="3">
        <f>INDEX('Inputs (2)'!$D$6:$AL$6,MATCH(AH$7,'Inputs (2)'!$D$2:$AL$2,0))</f>
        <v>-3229</v>
      </c>
      <c r="AI58" s="3">
        <f>INDEX('Inputs (2)'!$D$6:$AL$6,MATCH(AI$7,'Inputs (2)'!$D$2:$AL$2,0))</f>
        <v>-3477</v>
      </c>
      <c r="AJ58" s="3">
        <f>-AJ15*AJ59</f>
        <v>0</v>
      </c>
      <c r="AK58" s="3">
        <f>-AK15*AK59</f>
        <v>0</v>
      </c>
      <c r="AL58" s="3">
        <f>SUM(AH58:AK58)</f>
        <v>-6706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0.288687361934659</v>
      </c>
      <c r="E59" s="56">
        <f>-(E58/E$15)</f>
        <v>0.248251748251748</v>
      </c>
      <c r="F59" s="56">
        <f>-(F58/F$15)</f>
        <v>0.291840036985668</v>
      </c>
      <c r="G59" s="56">
        <f>-(G58/G$15)</f>
        <v>0.26303565207293</v>
      </c>
      <c r="H59" s="56">
        <f>-(H58/H$15)</f>
        <v>0.274065547949355</v>
      </c>
      <c r="I59" s="56">
        <f>-(I58/I$15)</f>
        <v>0.269068736141907</v>
      </c>
      <c r="J59" s="56">
        <f>-(J58/J$15)</f>
        <v>0.290551880738474</v>
      </c>
      <c r="K59" s="56">
        <f>-(K58/K$15)</f>
        <v>0.279326827325234</v>
      </c>
      <c r="L59" s="56">
        <f>-(L58/L$15)</f>
        <v>0.355346576500423</v>
      </c>
      <c r="M59" s="56">
        <f>-(M58/M$15)</f>
        <v>0.29848661233993</v>
      </c>
      <c r="N59" s="56">
        <f>-(N58/N$15)</f>
        <v>0.254599180249738</v>
      </c>
      <c r="O59" s="56">
        <f>-(O58/O$15)</f>
        <v>0.338366445916115</v>
      </c>
      <c r="P59" s="56">
        <f>-(P58/P$15)</f>
        <v>0.280394106481063</v>
      </c>
      <c r="Q59" s="56">
        <f>-(Q58/Q$15)</f>
        <v>0.319012345679012</v>
      </c>
      <c r="R59" s="56">
        <f>-(R58/R$15)</f>
        <v>0.298460608315506</v>
      </c>
      <c r="S59" s="56">
        <f>-(S58/S$15)</f>
        <v>0.274134790528233</v>
      </c>
      <c r="T59" s="56">
        <f>-(T58/T$15)</f>
        <v>0.3656866020715</v>
      </c>
      <c r="U59" s="56">
        <f>-(U58/U$15)</f>
        <v>0.312557516941354</v>
      </c>
      <c r="V59" s="56">
        <f>-(V58/V$15)</f>
        <v>0.338372200202784</v>
      </c>
      <c r="W59" s="56">
        <f>-(W58/W$15)</f>
        <v>0.323359706255191</v>
      </c>
      <c r="X59" s="56">
        <f>-(X58/X$15)</f>
        <v>0.412566371681416</v>
      </c>
      <c r="Y59" s="56">
        <f>-(Y58/Y$15)</f>
        <v>0.376122300412521</v>
      </c>
      <c r="Z59" s="56">
        <f>-(Z58/Z$15)</f>
        <v>0.372195039649064</v>
      </c>
      <c r="AA59" s="56">
        <f>-(AA58/AA$15)</f>
        <v>0.341822591822592</v>
      </c>
      <c r="AB59" s="56">
        <f>-(AB58/AB$15)</f>
        <v>0.375470134506279</v>
      </c>
      <c r="AC59" s="56">
        <f>-(AC58/AC$15)</f>
        <v>0.273160212058586</v>
      </c>
      <c r="AD59" s="56">
        <f>-(AD58/AD$15)</f>
        <v>0.260231352213801</v>
      </c>
      <c r="AE59" s="56">
        <f>-(AE58/AE$15)</f>
        <v>0.27362505018065</v>
      </c>
      <c r="AF59" s="44">
        <f>-(AF58/AF$15)</f>
        <v>0.424801218068009</v>
      </c>
      <c r="AG59" s="56">
        <f>-(AG58/AG$15)</f>
        <v>0.307294382678709</v>
      </c>
      <c r="AH59" s="45">
        <f>-(AH58/AH$15)</f>
        <v>0.258899935856318</v>
      </c>
      <c r="AI59" s="45">
        <f>-(AI58/AI$15)</f>
        <v>0.259865470852018</v>
      </c>
      <c r="AJ59" s="45" t="n"/>
      <c r="AK59" s="45" t="n"/>
      <c r="AL59" s="56">
        <f>-(AL58/AL$15)</f>
        <v>0.133774860858984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2747</v>
      </c>
      <c r="E69" s="16">
        <f>SUM(E15,E54,E58)</f>
        <v>2362</v>
      </c>
      <c r="F69" s="16">
        <f>SUM(F15,F54,F58)</f>
        <v>2656</v>
      </c>
      <c r="G69" s="16">
        <f>SUM(G15,G54,G58)</f>
        <v>2768</v>
      </c>
      <c r="H69" s="16">
        <f>SUM(D69:G69)</f>
        <v>10533</v>
      </c>
      <c r="I69" s="16">
        <f>SUM(I15,I54,I58)</f>
        <v>3088</v>
      </c>
      <c r="J69" s="16">
        <f>SUM(J15,J54,J58)</f>
        <v>3399</v>
      </c>
      <c r="K69" s="16">
        <f>SUM(K15,K54,K58)</f>
        <v>3260</v>
      </c>
      <c r="L69" s="16">
        <f>SUM(L15,L54,L58)</f>
        <v>2013</v>
      </c>
      <c r="M69" s="16">
        <f>SUM(I69:L69)</f>
        <v>11760</v>
      </c>
      <c r="N69" s="16">
        <f>SUM(N15,N54,N58)</f>
        <v>3729</v>
      </c>
      <c r="O69" s="16">
        <f>SUM(O15,O54,O58)</f>
        <v>2663</v>
      </c>
      <c r="P69" s="16">
        <f>SUM(P15,P54,P58)</f>
        <v>3395</v>
      </c>
      <c r="Q69" s="16">
        <f>SUM(Q15,Q54,Q58)</f>
        <v>2382</v>
      </c>
      <c r="R69" s="16">
        <f>SUM(N69:Q69)</f>
        <v>12169</v>
      </c>
      <c r="S69" s="16">
        <f>SUM(S15,S54,S58)</f>
        <v>3653</v>
      </c>
      <c r="T69" s="16">
        <f>SUM(T15,T54,T58)</f>
        <v>2682</v>
      </c>
      <c r="U69" s="16">
        <f>SUM(U15,U54,U58)</f>
        <v>3560</v>
      </c>
      <c r="V69" s="16">
        <f>SUM(V15,V54,V58)</f>
        <v>2544</v>
      </c>
      <c r="W69" s="16">
        <f>SUM(S69:V69)</f>
        <v>12439</v>
      </c>
      <c r="X69" s="16">
        <f>SUM(X15,X54,X58)</f>
        <v>2403</v>
      </c>
      <c r="Y69" s="16">
        <f>SUM(Y15,Y54,Y58)</f>
        <v>2901</v>
      </c>
      <c r="Z69" s="16">
        <f>SUM(Z15,Z54,Z58)</f>
        <v>2778</v>
      </c>
      <c r="AA69" s="16">
        <f>SUM(AA15,AA54,AA58)</f>
        <v>2985</v>
      </c>
      <c r="AB69" s="16">
        <f>SUM(X69:AA69)</f>
        <v>11067</v>
      </c>
      <c r="AC69" s="16">
        <f>SUM(AC15,AC54,AC58)</f>
        <v>3926</v>
      </c>
      <c r="AD69" s="16">
        <f>SUM(AD15,AD54,AD58)</f>
        <v>4559</v>
      </c>
      <c r="AE69" s="16">
        <f>SUM(AE15,AE54,AE58)</f>
        <v>4250</v>
      </c>
      <c r="AF69" s="16">
        <f>SUM(AF15,AF54,AF58)</f>
        <v>2077</v>
      </c>
      <c r="AG69" s="16">
        <f>SUM(AC69:AF69)</f>
        <v>14812</v>
      </c>
      <c r="AH69" s="16">
        <f>SUM(AH15,AH54,AH58)</f>
        <v>4623</v>
      </c>
      <c r="AI69" s="16">
        <f>SUM(AI15,AI54,AI58)</f>
        <v>4938</v>
      </c>
      <c r="AJ69" s="16">
        <f>SUM(AJ15,AJ54,AJ58)</f>
        <v>0</v>
      </c>
      <c r="AK69" s="16">
        <f>SUM(AK15,AK54,AK58)</f>
        <v>0</v>
      </c>
      <c r="AL69" s="16">
        <f>SUM(AH69:AK69)</f>
        <v>9561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-367</v>
      </c>
      <c r="E70" s="25">
        <f>INDEX('Inputs (2)'!$D$7:$AL$7,MATCH(E$7,'Inputs (2)'!$D$2:$AL$2,0))</f>
        <v>-381</v>
      </c>
      <c r="F70" s="25">
        <f>INDEX('Inputs (2)'!$D$7:$AL$7,MATCH(F$7,'Inputs (2)'!$D$2:$AL$2,0))</f>
        <v>-358</v>
      </c>
      <c r="G70" s="25">
        <f>INDEX('Inputs (2)'!$D$7:$AL$7,MATCH(G$7,'Inputs (2)'!$D$2:$AL$2,0))</f>
        <v>-430</v>
      </c>
      <c r="H70" s="3">
        <f>SUM(D70:G70)</f>
        <v>-1536</v>
      </c>
      <c r="I70" s="25">
        <f>INDEX('Inputs (2)'!$D$7:$AL$7,MATCH(I$7,'Inputs (2)'!$D$2:$AL$2,0))</f>
        <v>-366</v>
      </c>
      <c r="J70" s="25">
        <f>INDEX('Inputs (2)'!$D$7:$AL$7,MATCH(J$7,'Inputs (2)'!$D$2:$AL$2,0))</f>
        <v>-383</v>
      </c>
      <c r="K70" s="25">
        <f>INDEX('Inputs (2)'!$D$7:$AL$7,MATCH(K$7,'Inputs (2)'!$D$2:$AL$2,0))</f>
        <v>-362</v>
      </c>
      <c r="L70" s="25">
        <f>INDEX('Inputs (2)'!$D$7:$AL$7,MATCH(L$7,'Inputs (2)'!$D$2:$AL$2,0))</f>
        <v>-341</v>
      </c>
      <c r="M70" s="3">
        <f>SUM(I70:L70)</f>
        <v>-1452</v>
      </c>
      <c r="N70" s="25">
        <f>INDEX('Inputs (2)'!$D$7:$AL$7,MATCH(N$7,'Inputs (2)'!$D$2:$AL$2,0))</f>
        <v>-324</v>
      </c>
      <c r="O70" s="25">
        <f>INDEX('Inputs (2)'!$D$7:$AL$7,MATCH(O$7,'Inputs (2)'!$D$2:$AL$2,0))</f>
        <v>-322</v>
      </c>
      <c r="P70" s="25">
        <f>INDEX('Inputs (2)'!$D$7:$AL$7,MATCH(P$7,'Inputs (2)'!$D$2:$AL$2,0))</f>
        <v>-307</v>
      </c>
      <c r="Q70" s="25">
        <f>INDEX('Inputs (2)'!$D$7:$AL$7,MATCH(Q$7,'Inputs (2)'!$D$2:$AL$2,0))</f>
        <v>-307</v>
      </c>
      <c r="R70" s="3">
        <f>SUM(N70:Q70)</f>
        <v>-1260</v>
      </c>
      <c r="S70" s="25">
        <f>INDEX('Inputs (2)'!$D$7:$AL$7,MATCH(S$7,'Inputs (2)'!$D$2:$AL$2,0))</f>
        <v>-286</v>
      </c>
      <c r="T70" s="25">
        <f>INDEX('Inputs (2)'!$D$7:$AL$7,MATCH(T$7,'Inputs (2)'!$D$2:$AL$2,0))</f>
        <v>-281</v>
      </c>
      <c r="U70" s="25">
        <f>INDEX('Inputs (2)'!$D$7:$AL$7,MATCH(U$7,'Inputs (2)'!$D$2:$AL$2,0))</f>
        <v>-290</v>
      </c>
      <c r="V70" s="25">
        <f>INDEX('Inputs (2)'!$D$7:$AL$7,MATCH(V$7,'Inputs (2)'!$D$2:$AL$2,0))</f>
        <v>-271</v>
      </c>
      <c r="W70" s="3">
        <f>SUM(S70:V70)</f>
        <v>-1128</v>
      </c>
      <c r="X70" s="25">
        <f>INDEX('Inputs (2)'!$D$7:$AL$7,MATCH(X$7,'Inputs (2)'!$D$2:$AL$2,0))</f>
        <v>-262</v>
      </c>
      <c r="Y70" s="25">
        <f>INDEX('Inputs (2)'!$D$7:$AL$7,MATCH(Y$7,'Inputs (2)'!$D$2:$AL$2,0))</f>
        <v>-269</v>
      </c>
      <c r="Z70" s="25">
        <f>INDEX('Inputs (2)'!$D$7:$AL$7,MATCH(Z$7,'Inputs (2)'!$D$2:$AL$2,0))</f>
        <v>-268</v>
      </c>
      <c r="AA70" s="25">
        <f>INDEX('Inputs (2)'!$D$7:$AL$7,MATCH(AA$7,'Inputs (2)'!$D$2:$AL$2,0))</f>
        <v>-276</v>
      </c>
      <c r="AB70" s="3">
        <f>SUM(X70:AA70)</f>
        <v>-1075</v>
      </c>
      <c r="AC70" s="25">
        <f>INDEX('Inputs (2)'!$D$7:$AL$7,MATCH(AC$7,'Inputs (2)'!$D$2:$AL$2,0))</f>
        <v>-267</v>
      </c>
      <c r="AD70" s="25">
        <f>INDEX('Inputs (2)'!$D$7:$AL$7,MATCH(AD$7,'Inputs (2)'!$D$2:$AL$2,0))</f>
        <v>-279</v>
      </c>
      <c r="AE70" s="25">
        <f>INDEX('Inputs (2)'!$D$7:$AL$7,MATCH(AE$7,'Inputs (2)'!$D$2:$AL$2,0))</f>
        <v>-268</v>
      </c>
      <c r="AF70" s="25">
        <f>INDEX('Inputs (2)'!$D$7:$AL$7,MATCH(AF$7,'Inputs (2)'!$D$2:$AL$2,0))</f>
        <v>-236</v>
      </c>
      <c r="AG70" s="3">
        <f>SUM(AC70:AF70)</f>
        <v>-1050</v>
      </c>
      <c r="AH70" s="3">
        <f>INDEX('Inputs (2)'!$D$7:$AL$7,MATCH(AH$7,'Inputs (2)'!$D$2:$AL$2,0))</f>
        <v>-264</v>
      </c>
      <c r="AI70" s="3">
        <f>INDEX('Inputs (2)'!$D$7:$AL$7,MATCH(AI$7,'Inputs (2)'!$D$2:$AL$2,0))</f>
        <v>-266</v>
      </c>
      <c r="AJ70" s="3">
        <f>-AJ71*AJ15</f>
        <v>0</v>
      </c>
      <c r="AK70" s="3">
        <f>-AK71*AK15</f>
        <v>0</v>
      </c>
      <c r="AL70" s="3">
        <f>SUM(AH70:AK70)</f>
        <v>-530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0.0426694570398791</v>
      </c>
      <c r="E71" s="48">
        <f>-E70/E15</f>
        <v>0.0532867132867133</v>
      </c>
      <c r="F71" s="48">
        <f>-F70/F15</f>
        <v>0.0413777161349977</v>
      </c>
      <c r="G71" s="48">
        <f>-G70/G15</f>
        <v>0.0499361282081059</v>
      </c>
      <c r="H71" s="48" t="n"/>
      <c r="I71" s="48">
        <f>-I70/I15</f>
        <v>0.0405764966740577</v>
      </c>
      <c r="J71" s="48">
        <f>-J70/J15</f>
        <v>0.0378122223319183</v>
      </c>
      <c r="K71" s="48">
        <f>-K70/K15</f>
        <v>0.0360485958972316</v>
      </c>
      <c r="L71" s="48">
        <f>-L70/L15</f>
        <v>0.0360312764158918</v>
      </c>
      <c r="M71" s="48" t="n"/>
      <c r="N71" s="48">
        <f>-N70/N15</f>
        <v>0.0308836145267372</v>
      </c>
      <c r="O71" s="48">
        <f>-O70/O15</f>
        <v>0.0284326710816777</v>
      </c>
      <c r="P71" s="48">
        <f>-P70/P15</f>
        <v>0.0277501581849408</v>
      </c>
      <c r="Q71" s="48">
        <f>-Q70/Q15</f>
        <v>0.030320987654321</v>
      </c>
      <c r="R71" s="48" t="n"/>
      <c r="S71" s="48">
        <f>-S70/S15</f>
        <v>0.0260473588342441</v>
      </c>
      <c r="T71" s="48">
        <f>-T70/T15</f>
        <v>0.0234714333444704</v>
      </c>
      <c r="U71" s="48">
        <f>-U70/U15</f>
        <v>0.0242616916255333</v>
      </c>
      <c r="V71" s="48">
        <f>-V70/V15</f>
        <v>0.0249792607613605</v>
      </c>
      <c r="W71" s="48" t="n"/>
      <c r="X71" s="48">
        <f>-X70/X15</f>
        <v>0.0231858407079646</v>
      </c>
      <c r="Y71" s="48">
        <f>-Y70/Y15</f>
        <v>0.0217584728625738</v>
      </c>
      <c r="Z71" s="48">
        <f>-Z70/Z15</f>
        <v>0.0226084022270963</v>
      </c>
      <c r="AA71" s="48">
        <f>-AA70/AA15</f>
        <v>0.0239085239085239</v>
      </c>
      <c r="AB71" s="48" t="n"/>
      <c r="AC71" s="48">
        <f>-AC70/AC15</f>
        <v>0.0239913738880403</v>
      </c>
      <c r="AD71" s="48">
        <f>-AD70/AD15</f>
        <v>0.0222576785001994</v>
      </c>
      <c r="AE71" s="48">
        <f>-AE70/AE15</f>
        <v>0.0215174628663187</v>
      </c>
      <c r="AF71" s="218">
        <f>-AF70/AF15</f>
        <v>0.0199627812552868</v>
      </c>
      <c r="AG71" s="48" t="n"/>
      <c r="AH71" s="218">
        <f>-AH70/AH15</f>
        <v>0.0211674150096216</v>
      </c>
      <c r="AI71" s="218">
        <f>-AI70/AI15</f>
        <v>0.0198804185351271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2380</v>
      </c>
      <c r="E73" s="16">
        <f>SUM(E69,E70)</f>
        <v>1981</v>
      </c>
      <c r="F73" s="16">
        <f>SUM(F69,F70)</f>
        <v>2298</v>
      </c>
      <c r="G73" s="16">
        <f>SUM(G69,G70)</f>
        <v>2338</v>
      </c>
      <c r="H73" s="16">
        <f>SUM(D73:G73)</f>
        <v>8997</v>
      </c>
      <c r="I73" s="16">
        <f>SUM(I69,I70)</f>
        <v>2722</v>
      </c>
      <c r="J73" s="16">
        <f>SUM(J69,J70)</f>
        <v>3016</v>
      </c>
      <c r="K73" s="16">
        <f>SUM(K69,K70)</f>
        <v>2898</v>
      </c>
      <c r="L73" s="16">
        <f>SUM(L69,L70)</f>
        <v>1672</v>
      </c>
      <c r="M73" s="16">
        <f>SUM(I73:L73)</f>
        <v>10308</v>
      </c>
      <c r="N73" s="16">
        <f>SUM(N69,N70)</f>
        <v>3405</v>
      </c>
      <c r="O73" s="16">
        <f>SUM(O69,O70)</f>
        <v>2341</v>
      </c>
      <c r="P73" s="16">
        <f>SUM(P69,P70)</f>
        <v>3088</v>
      </c>
      <c r="Q73" s="16">
        <f>SUM(Q69,Q70)</f>
        <v>2075</v>
      </c>
      <c r="R73" s="16">
        <f>SUM(N73:Q73)</f>
        <v>10909</v>
      </c>
      <c r="S73" s="16">
        <f>SUM(S69,S70)</f>
        <v>3367</v>
      </c>
      <c r="T73" s="16">
        <f>SUM(T69,T70)</f>
        <v>2401</v>
      </c>
      <c r="U73" s="16">
        <f>SUM(U69,U70)</f>
        <v>3270</v>
      </c>
      <c r="V73" s="16">
        <f>SUM(V69,V70)</f>
        <v>2273</v>
      </c>
      <c r="W73" s="16">
        <f>SUM(S73:V73)</f>
        <v>11311</v>
      </c>
      <c r="X73" s="16">
        <f>SUM(X69,X70)</f>
        <v>2141</v>
      </c>
      <c r="Y73" s="16">
        <f>SUM(Y69,Y70)</f>
        <v>2632</v>
      </c>
      <c r="Z73" s="16">
        <f>SUM(Z69,Z70)</f>
        <v>2510</v>
      </c>
      <c r="AA73" s="16">
        <f>SUM(AA69,AA70)</f>
        <v>2709</v>
      </c>
      <c r="AB73" s="16">
        <f>SUM(X73:AA73)</f>
        <v>9992</v>
      </c>
      <c r="AC73" s="16">
        <f>SUM(AC69,AC70)</f>
        <v>3659</v>
      </c>
      <c r="AD73" s="16">
        <f>SUM(AD69,AD70)</f>
        <v>4280</v>
      </c>
      <c r="AE73" s="16">
        <f>SUM(AE69,AE70)</f>
        <v>3982</v>
      </c>
      <c r="AF73" s="16">
        <f>SUM(AF69,AF70)</f>
        <v>1841</v>
      </c>
      <c r="AG73" s="16">
        <f>SUM(AC73:AF73)</f>
        <v>13762</v>
      </c>
      <c r="AH73" s="16">
        <f>SUM(AH69,AH70)</f>
        <v>4359</v>
      </c>
      <c r="AI73" s="16">
        <f>SUM(AI69,AI70)</f>
        <v>4672</v>
      </c>
      <c r="AJ73" s="16">
        <f>SUM(AJ69,AJ70)</f>
        <v>0</v>
      </c>
      <c r="AK73" s="16">
        <f>SUM(AK69,AK70)</f>
        <v>0</v>
      </c>
      <c r="AL73" s="16">
        <f>SUM(AL69,AL70)</f>
        <v>9031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-193</v>
      </c>
      <c r="E74" s="25">
        <f>INDEX('Inputs (2)'!$D$8:$AL$8,MATCH(E$7,'Inputs (2)'!$D$2:$AL$2,0))</f>
        <v>-274</v>
      </c>
      <c r="F74" s="25">
        <f>INDEX('Inputs (2)'!$D$8:$AL$8,MATCH(F$7,'Inputs (2)'!$D$2:$AL$2,0))</f>
        <v>-660</v>
      </c>
      <c r="G74" s="25">
        <f>INDEX('Inputs (2)'!$D$8:$AL$8,MATCH(G$7,'Inputs (2)'!$D$2:$AL$2,0))</f>
        <v>-310</v>
      </c>
      <c r="H74" s="3">
        <f>SUM(D74:G74)</f>
        <v>-1437</v>
      </c>
      <c r="I74" s="25">
        <f>INDEX('Inputs (2)'!$D$8:$AL$8,MATCH(I$7,'Inputs (2)'!$D$2:$AL$2,0))</f>
        <v>-442</v>
      </c>
      <c r="J74" s="25">
        <f>INDEX('Inputs (2)'!$D$8:$AL$8,MATCH(J$7,'Inputs (2)'!$D$2:$AL$2,0))</f>
        <v>-780</v>
      </c>
      <c r="K74" s="25">
        <f>INDEX('Inputs (2)'!$D$8:$AL$8,MATCH(K$7,'Inputs (2)'!$D$2:$AL$2,0))</f>
        <v>-210</v>
      </c>
      <c r="L74" s="25">
        <f>INDEX('Inputs (2)'!$D$8:$AL$8,MATCH(L$7,'Inputs (2)'!$D$2:$AL$2,0))</f>
        <v>-165</v>
      </c>
      <c r="M74" s="3">
        <f>SUM(I74:L74)</f>
        <v>-1597</v>
      </c>
      <c r="N74" s="25">
        <f>INDEX('Inputs (2)'!$D$8:$AL$8,MATCH(N$7,'Inputs (2)'!$D$2:$AL$2,0))</f>
        <v>-182</v>
      </c>
      <c r="O74" s="25">
        <f>INDEX('Inputs (2)'!$D$8:$AL$8,MATCH(O$7,'Inputs (2)'!$D$2:$AL$2,0))</f>
        <v>-198</v>
      </c>
      <c r="P74" s="25">
        <f>INDEX('Inputs (2)'!$D$8:$AL$8,MATCH(P$7,'Inputs (2)'!$D$2:$AL$2,0))</f>
        <v>-198</v>
      </c>
      <c r="Q74" s="25">
        <f>INDEX('Inputs (2)'!$D$8:$AL$8,MATCH(Q$7,'Inputs (2)'!$D$2:$AL$2,0))</f>
        <v>-304</v>
      </c>
      <c r="R74" s="3">
        <f>SUM(N74:Q74)</f>
        <v>-882</v>
      </c>
      <c r="S74" s="25">
        <f>INDEX('Inputs (2)'!$D$8:$AL$8,MATCH(S$7,'Inputs (2)'!$D$2:$AL$2,0))</f>
        <v>-372</v>
      </c>
      <c r="T74" s="25">
        <f>INDEX('Inputs (2)'!$D$8:$AL$8,MATCH(T$7,'Inputs (2)'!$D$2:$AL$2,0))</f>
        <v>-374</v>
      </c>
      <c r="U74" s="25">
        <f>INDEX('Inputs (2)'!$D$8:$AL$8,MATCH(U$7,'Inputs (2)'!$D$2:$AL$2,0))</f>
        <v>-368</v>
      </c>
      <c r="V74" s="25">
        <f>INDEX('Inputs (2)'!$D$8:$AL$8,MATCH(V$7,'Inputs (2)'!$D$2:$AL$2,0))</f>
        <v>-413</v>
      </c>
      <c r="W74" s="3">
        <f>SUM(S74:V74)</f>
        <v>-1527</v>
      </c>
      <c r="X74" s="25">
        <f>INDEX('Inputs (2)'!$D$8:$AL$8,MATCH(X$7,'Inputs (2)'!$D$2:$AL$2,0))</f>
        <v>-382</v>
      </c>
      <c r="Y74" s="25">
        <f>INDEX('Inputs (2)'!$D$8:$AL$8,MATCH(Y$7,'Inputs (2)'!$D$2:$AL$2,0))</f>
        <v>-418</v>
      </c>
      <c r="Z74" s="25">
        <f>INDEX('Inputs (2)'!$D$8:$AL$8,MATCH(Z$7,'Inputs (2)'!$D$2:$AL$2,0))</f>
        <v>-425</v>
      </c>
      <c r="AA74" s="25">
        <f>INDEX('Inputs (2)'!$D$8:$AL$8,MATCH(AA$7,'Inputs (2)'!$D$2:$AL$2,0))</f>
        <v>-431</v>
      </c>
      <c r="AB74" s="3">
        <f>SUM(X74:AA74)</f>
        <v>-1656</v>
      </c>
      <c r="AC74" s="25">
        <f>INDEX('Inputs (2)'!$D$8:$AL$8,MATCH(AC$7,'Inputs (2)'!$D$2:$AL$2,0))</f>
        <v>-387</v>
      </c>
      <c r="AD74" s="25">
        <f>INDEX('Inputs (2)'!$D$8:$AL$8,MATCH(AD$7,'Inputs (2)'!$D$2:$AL$2,0))</f>
        <v>-445</v>
      </c>
      <c r="AE74" s="25">
        <f>INDEX('Inputs (2)'!$D$8:$AL$8,MATCH(AE$7,'Inputs (2)'!$D$2:$AL$2,0))</f>
        <v>-391</v>
      </c>
      <c r="AF74" s="25">
        <f>INDEX('Inputs (2)'!$D$8:$AL$8,MATCH(AF$7,'Inputs (2)'!$D$2:$AL$2,0))</f>
        <v>-431</v>
      </c>
      <c r="AG74" s="3">
        <f>SUM(AC74:AF74)</f>
        <v>-1654</v>
      </c>
      <c r="AH74" s="3">
        <f>INDEX('Inputs (2)'!$D$8:$AL$8,MATCH(AH$7,'Inputs (2)'!$D$2:$AL$2,0))</f>
        <v>-375</v>
      </c>
      <c r="AI74" s="3">
        <f>INDEX('Inputs (2)'!$D$8:$AL$8,MATCH(AI$7,'Inputs (2)'!$D$2:$AL$2,0))</f>
        <v>-369</v>
      </c>
      <c r="AJ74" s="3" t="n"/>
      <c r="AK74" s="3" t="n"/>
      <c r="AL74" s="3">
        <f>SUM(AH74:AK74)</f>
        <v>-744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0.00525370209059234</v>
      </c>
      <c r="E75" s="48">
        <f>IFERROR(-E74/SUM(E212+E217),0)</f>
        <v>0.00638545793521324</v>
      </c>
      <c r="F75" s="48">
        <f>IFERROR(-F74/SUM(F212+F217),0)</f>
        <v>0.0140395660497766</v>
      </c>
      <c r="G75" s="48">
        <f>IFERROR(-G74/SUM(G212+G217),0)</f>
        <v>0.00724417544925572</v>
      </c>
      <c r="H75" s="3" t="n"/>
      <c r="I75" s="48">
        <f>IFERROR(-I74/SUM(I212+I217),0)</f>
        <v>0.010267131242741</v>
      </c>
      <c r="J75" s="48">
        <f>IFERROR(-J74/SUM(J212+J217),0)</f>
        <v>0.0194315039485813</v>
      </c>
      <c r="K75" s="48">
        <f>IFERROR(-K74/SUM(K212+K217),0)</f>
        <v>0.00527081973796496</v>
      </c>
      <c r="L75" s="48">
        <f>IFERROR(-L74/SUM(L212+L217),0)</f>
        <v>0.00385865625219242</v>
      </c>
      <c r="M75" s="3" t="n"/>
      <c r="N75" s="48">
        <f>IFERROR(-N74/SUM(N212+N217),0)</f>
        <v>0.00477803155601061</v>
      </c>
      <c r="O75" s="48">
        <f>IFERROR(-O74/SUM(O212+O217),0)</f>
        <v>0.00527395253442719</v>
      </c>
      <c r="P75" s="48">
        <f>IFERROR(-P74/SUM(P212+P217),0)</f>
        <v>0.00547097344643696</v>
      </c>
      <c r="Q75" s="48">
        <f>IFERROR(-Q74/SUM(Q212+Q217),0)</f>
        <v>0.00776520473064446</v>
      </c>
      <c r="R75" s="3" t="n"/>
      <c r="S75" s="48">
        <f>IFERROR(-S74/SUM(S212+S217),0)</f>
        <v>0.0100690215184734</v>
      </c>
      <c r="T75" s="48">
        <f>IFERROR(-T74/SUM(T212+T217),0)</f>
        <v>0.0101638720547871</v>
      </c>
      <c r="U75" s="48">
        <f>IFERROR(-U74/SUM(U212+U217),0)</f>
        <v>0.0101500441306267</v>
      </c>
      <c r="V75" s="48">
        <f>IFERROR(-V74/SUM(V212+V217),0)</f>
        <v>0.011011277894793</v>
      </c>
      <c r="W75" s="3" t="n"/>
      <c r="X75" s="48">
        <f>IFERROR(-X74/SUM(X212+X217),0)</f>
        <v>0.0104669004822446</v>
      </c>
      <c r="Y75" s="48">
        <f>IFERROR(-Y74/SUM(Y212+Y217),0)</f>
        <v>0.0104437337597442</v>
      </c>
      <c r="Z75" s="48">
        <f>IFERROR(-Z74/SUM(Z212+Z217),0)</f>
        <v>0.00964571843580491</v>
      </c>
      <c r="AA75" s="48">
        <f>IFERROR(-AA74/SUM(AA212+AA217),0)</f>
        <v>0.0100178974037143</v>
      </c>
      <c r="AB75" s="3" t="n"/>
      <c r="AC75" s="48">
        <f>IFERROR(-AC74/SUM(AC212+AC217),0)</f>
        <v>0.00885725402238345</v>
      </c>
      <c r="AD75" s="48">
        <f>IFERROR(-AD74/SUM(AD212+AD217),0)</f>
        <v>0.0098741873210997</v>
      </c>
      <c r="AE75" s="48">
        <f>IFERROR(-AE74/SUM(AE212+AE217),0)</f>
        <v>0.00867019979156041</v>
      </c>
      <c r="AF75" s="231">
        <f>IFERROR(-AF74/SUM(AF212+AF217),0)</f>
        <v>0.00980860699574429</v>
      </c>
      <c r="AG75" s="3" t="n"/>
      <c r="AH75" s="6">
        <f>IFERROR(-AH74/SUM(AH212+AH217),0)</f>
        <v>0.00860921070756233</v>
      </c>
      <c r="AI75" s="6">
        <f>IFERROR(-AI74/SUM(AI212+AI217),0)</f>
        <v>0.00848373376250144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823</v>
      </c>
      <c r="E123" s="25">
        <f>INDEX('Inputs (2)'!$D$9:$AL$9,MATCH(E$7,'Inputs (2)'!$D$2:$AL$2,0))</f>
        <v>490</v>
      </c>
      <c r="F123" s="25">
        <f>INDEX('Inputs (2)'!$D$9:$AL$9,MATCH(F$7,'Inputs (2)'!$D$2:$AL$2,0))</f>
        <v>543</v>
      </c>
      <c r="G123" s="25">
        <f>INDEX('Inputs (2)'!$D$9:$AL$9,MATCH(G$7,'Inputs (2)'!$D$2:$AL$2,0))</f>
        <v>333</v>
      </c>
      <c r="H123" s="3">
        <f>SUM(D123:G123)</f>
        <v>2189</v>
      </c>
      <c r="I123" s="25">
        <f>INDEX('Inputs (2)'!$D$9:$AL$9,MATCH(I$7,'Inputs (2)'!$D$2:$AL$2,0))</f>
        <v>483</v>
      </c>
      <c r="J123" s="25">
        <f>INDEX('Inputs (2)'!$D$9:$AL$9,MATCH(J$7,'Inputs (2)'!$D$2:$AL$2,0))</f>
        <v>1382</v>
      </c>
      <c r="K123" s="25">
        <f>INDEX('Inputs (2)'!$D$9:$AL$9,MATCH(K$7,'Inputs (2)'!$D$2:$AL$2,0))</f>
        <v>396</v>
      </c>
      <c r="L123" s="25">
        <f>INDEX('Inputs (2)'!$D$9:$AL$9,MATCH(L$7,'Inputs (2)'!$D$2:$AL$2,0))</f>
        <v>1453</v>
      </c>
      <c r="M123" s="3">
        <f>SUM(I123:L123)</f>
        <v>3714</v>
      </c>
      <c r="N123" s="25">
        <f>INDEX('Inputs (2)'!$D$9:$AL$9,MATCH(N$7,'Inputs (2)'!$D$2:$AL$2,0))</f>
        <v>235</v>
      </c>
      <c r="O123" s="25">
        <f>INDEX('Inputs (2)'!$D$9:$AL$9,MATCH(O$7,'Inputs (2)'!$D$2:$AL$2,0))</f>
        <v>141</v>
      </c>
      <c r="P123" s="25">
        <f>INDEX('Inputs (2)'!$D$9:$AL$9,MATCH(P$7,'Inputs (2)'!$D$2:$AL$2,0))</f>
        <v>554</v>
      </c>
      <c r="Q123" s="25">
        <f>INDEX('Inputs (2)'!$D$9:$AL$9,MATCH(Q$7,'Inputs (2)'!$D$2:$AL$2,0))</f>
        <v>729</v>
      </c>
      <c r="R123" s="3">
        <f>SUM(N123:Q123)</f>
        <v>1659</v>
      </c>
      <c r="S123" s="25">
        <f>INDEX('Inputs (2)'!$D$9:$AL$9,MATCH(S$7,'Inputs (2)'!$D$2:$AL$2,0))</f>
        <v>1058</v>
      </c>
      <c r="T123" s="25">
        <f>INDEX('Inputs (2)'!$D$9:$AL$9,MATCH(T$7,'Inputs (2)'!$D$2:$AL$2,0))</f>
        <v>853</v>
      </c>
      <c r="U123" s="25">
        <f>INDEX('Inputs (2)'!$D$9:$AL$9,MATCH(U$7,'Inputs (2)'!$D$2:$AL$2,0))</f>
        <v>635</v>
      </c>
      <c r="V123" s="25">
        <f>INDEX('Inputs (2)'!$D$9:$AL$9,MATCH(V$7,'Inputs (2)'!$D$2:$AL$2,0))</f>
        <v>622</v>
      </c>
      <c r="W123" s="3">
        <f>SUM(S123:V123)</f>
        <v>3168</v>
      </c>
      <c r="X123" s="25">
        <f>INDEX('Inputs (2)'!$D$9:$AL$9,MATCH(X$7,'Inputs (2)'!$D$2:$AL$2,0))</f>
        <v>2113</v>
      </c>
      <c r="Y123" s="25">
        <f>INDEX('Inputs (2)'!$D$9:$AL$9,MATCH(Y$7,'Inputs (2)'!$D$2:$AL$2,0))</f>
        <v>814</v>
      </c>
      <c r="Z123" s="25">
        <f>INDEX('Inputs (2)'!$D$9:$AL$9,MATCH(Z$7,'Inputs (2)'!$D$2:$AL$2,0))</f>
        <v>1295</v>
      </c>
      <c r="AA123" s="25">
        <f>INDEX('Inputs (2)'!$D$9:$AL$9,MATCH(AA$7,'Inputs (2)'!$D$2:$AL$2,0))</f>
        <v>528</v>
      </c>
      <c r="AB123" s="3">
        <f>SUM(X123:AA123)</f>
        <v>4750</v>
      </c>
      <c r="AC123" s="25">
        <f>INDEX('Inputs (2)'!$D$9:$AL$9,MATCH(AC$7,'Inputs (2)'!$D$2:$AL$2,0))</f>
        <v>785</v>
      </c>
      <c r="AD123" s="25">
        <f>INDEX('Inputs (2)'!$D$9:$AL$9,MATCH(AD$7,'Inputs (2)'!$D$2:$AL$2,0))</f>
        <v>961</v>
      </c>
      <c r="AE123" s="25">
        <f>INDEX('Inputs (2)'!$D$9:$AL$9,MATCH(AE$7,'Inputs (2)'!$D$2:$AL$2,0))</f>
        <v>592</v>
      </c>
      <c r="AF123" s="25">
        <f>INDEX('Inputs (2)'!$D$9:$AL$9,MATCH(AF$7,'Inputs (2)'!$D$2:$AL$2,0))</f>
        <v>1552</v>
      </c>
      <c r="AG123" s="3">
        <f>SUM(AC123:AF123)</f>
        <v>3890</v>
      </c>
      <c r="AH123" s="3">
        <f>INDEX('Inputs (2)'!$D$9:$AL$9,MATCH(AH$7,'Inputs (2)'!$D$2:$AL$2,0))</f>
        <v>627</v>
      </c>
      <c r="AI123" s="3">
        <f>INDEX('Inputs (2)'!$D$9:$AL$9,MATCH(AI$7,'Inputs (2)'!$D$2:$AL$2,0))</f>
        <v>1172</v>
      </c>
      <c r="AJ123" s="3">
        <f>AH123</f>
        <v>627</v>
      </c>
      <c r="AK123" s="3">
        <f>AI123</f>
        <v>1172</v>
      </c>
      <c r="AL123" s="3">
        <f>SUM(AH123:AK123)</f>
        <v>3598</v>
      </c>
      <c r="AM123" s="3">
        <f>AK123</f>
        <v>1172</v>
      </c>
      <c r="AN123" s="3">
        <f>AL123</f>
        <v>3598</v>
      </c>
      <c r="AO123" s="3">
        <f>AM123</f>
        <v>1172</v>
      </c>
      <c r="AP123" s="3">
        <f>AN123</f>
        <v>3598</v>
      </c>
      <c r="AQ123" s="3">
        <f>SUM(AM123:AP123)</f>
        <v>9540</v>
      </c>
      <c r="AR123" s="3">
        <f>AP123</f>
        <v>3598</v>
      </c>
      <c r="AS123" s="3">
        <f>AQ123</f>
        <v>9540</v>
      </c>
      <c r="AT123" s="3">
        <f>AR123</f>
        <v>3598</v>
      </c>
      <c r="AU123" s="3">
        <f>AS123</f>
        <v>9540</v>
      </c>
      <c r="AV123" s="3">
        <f>SUM(AR123:AU123)</f>
        <v>26276</v>
      </c>
      <c r="AW123" s="3">
        <f>AU123</f>
        <v>9540</v>
      </c>
      <c r="AX123" s="3">
        <f>AV123</f>
        <v>26276</v>
      </c>
      <c r="AY123" s="3">
        <f>AW123</f>
        <v>9540</v>
      </c>
      <c r="AZ123" s="3">
        <f>AX123</f>
        <v>26276</v>
      </c>
      <c r="BA123" s="3">
        <f>SUM(AW123:AZ123)</f>
        <v>71632</v>
      </c>
      <c r="BB123" s="3">
        <f>AZ123</f>
        <v>26276</v>
      </c>
      <c r="BC123" s="3">
        <f>BA123</f>
        <v>71632</v>
      </c>
      <c r="BD123" s="3">
        <f>BB123</f>
        <v>26276</v>
      </c>
      <c r="BE123" s="3">
        <f>BC123</f>
        <v>71632</v>
      </c>
      <c r="BF123" s="3">
        <f>SUM(BB123:BE123)</f>
        <v>195816</v>
      </c>
      <c r="BG123" s="3">
        <f>BE123</f>
        <v>71632</v>
      </c>
      <c r="BH123" s="3">
        <f>BF123</f>
        <v>195816</v>
      </c>
      <c r="BI123" s="3">
        <f>BG123</f>
        <v>71632</v>
      </c>
      <c r="BJ123" s="3">
        <f>BH123</f>
        <v>195816</v>
      </c>
      <c r="BK123" s="3">
        <f>SUM(BG123:BJ123)</f>
        <v>534896</v>
      </c>
      <c r="BL123" s="3">
        <f>BJ123</f>
        <v>195816</v>
      </c>
      <c r="BM123" s="3">
        <f>BK123</f>
        <v>534896</v>
      </c>
      <c r="BN123" s="3">
        <f>BL123</f>
        <v>195816</v>
      </c>
      <c r="BO123" s="3">
        <f>BM123</f>
        <v>534896</v>
      </c>
      <c r="BP123" s="3">
        <f>SUM(BL123:BO123)</f>
        <v>1461424</v>
      </c>
      <c r="BQ123" s="3">
        <f>BO123</f>
        <v>534896</v>
      </c>
      <c r="BR123" s="3">
        <f>BP123</f>
        <v>1461424</v>
      </c>
      <c r="BS123" s="3">
        <f>BQ123</f>
        <v>534896</v>
      </c>
      <c r="BT123" s="3">
        <f>BR123</f>
        <v>1461424</v>
      </c>
      <c r="BU123" s="3">
        <f>SUM(BQ123:BT123)</f>
        <v>3992640</v>
      </c>
      <c r="BV123" s="3">
        <f>BT123</f>
        <v>1461424</v>
      </c>
      <c r="BW123" s="3">
        <f>BU123</f>
        <v>3992640</v>
      </c>
      <c r="BX123" s="3">
        <f>BV123</f>
        <v>1461424</v>
      </c>
      <c r="BY123" s="3">
        <f>BW123</f>
        <v>3992640</v>
      </c>
      <c r="BZ123" s="3">
        <f>SUM(BV123:BY123)</f>
        <v>10908128</v>
      </c>
      <c r="CA123" s="3">
        <f>BY123</f>
        <v>3992640</v>
      </c>
      <c r="CB123" s="3">
        <f>BZ123</f>
        <v>10908128</v>
      </c>
      <c r="CC123" s="3">
        <f>CA123</f>
        <v>3992640</v>
      </c>
      <c r="CD123" s="3">
        <f>CB123</f>
        <v>10908128</v>
      </c>
      <c r="CE123" s="3">
        <f>SUM(CA123:CD123)</f>
        <v>29801536</v>
      </c>
      <c r="CF123" s="3">
        <f>CD123</f>
        <v>10908128</v>
      </c>
      <c r="CG123" s="3">
        <f>CE123</f>
        <v>29801536</v>
      </c>
      <c r="CH123" s="3">
        <f>CF123</f>
        <v>10908128</v>
      </c>
      <c r="CI123" s="3">
        <f>CG123</f>
        <v>29801536</v>
      </c>
      <c r="CJ123" s="3">
        <f>SUM(CF123:CI123)</f>
        <v>81419328</v>
      </c>
      <c r="CK123" s="3">
        <f>CI123</f>
        <v>29801536</v>
      </c>
      <c r="CL123" s="3">
        <f>CJ123</f>
        <v>81419328</v>
      </c>
      <c r="CM123" s="3">
        <f>CK123</f>
        <v>29801536</v>
      </c>
      <c r="CN123" s="3">
        <f>CL123</f>
        <v>81419328</v>
      </c>
      <c r="CO123" s="3">
        <f>SUM(CK123:CN123)</f>
        <v>222441728</v>
      </c>
      <c r="CP123" s="3">
        <f>CN123</f>
        <v>81419328</v>
      </c>
      <c r="CQ123" s="3">
        <f>CO123</f>
        <v>222441728</v>
      </c>
      <c r="CR123" s="3">
        <f>CP123</f>
        <v>81419328</v>
      </c>
      <c r="CS123" s="3">
        <f>CQ123</f>
        <v>222441728</v>
      </c>
      <c r="CT123" s="3">
        <f>SUM(CP123:CS123)</f>
        <v>607722112</v>
      </c>
      <c r="CU123" s="3">
        <f>CS123</f>
        <v>222441728</v>
      </c>
      <c r="CV123" s="3">
        <f>CT123</f>
        <v>607722112</v>
      </c>
      <c r="CW123" s="3">
        <f>CU123</f>
        <v>222441728</v>
      </c>
      <c r="CX123" s="3">
        <f>CV123</f>
        <v>607722112</v>
      </c>
      <c r="CY123" s="3">
        <f>SUM(CU123:CX123)</f>
        <v>1660327680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3010</v>
      </c>
      <c r="E130" s="16">
        <f>SUM(E73,E74,E123)</f>
        <v>2197</v>
      </c>
      <c r="F130" s="16">
        <f>SUM(F73,F74,F123)</f>
        <v>2181</v>
      </c>
      <c r="G130" s="16">
        <f>SUM(G73,G74,G123)</f>
        <v>2361</v>
      </c>
      <c r="H130" s="16">
        <f>SUM(D130:G130)</f>
        <v>9749</v>
      </c>
      <c r="I130" s="16">
        <f>SUM(I73,I74,I123)</f>
        <v>2763</v>
      </c>
      <c r="J130" s="16">
        <f>SUM(J73,J74,J123)</f>
        <v>3618</v>
      </c>
      <c r="K130" s="16">
        <f>SUM(K73,K74,K123)</f>
        <v>3084</v>
      </c>
      <c r="L130" s="16">
        <f>SUM(L73,L74,L123)</f>
        <v>2960</v>
      </c>
      <c r="M130" s="16">
        <f>SUM(I130:L130)</f>
        <v>12425</v>
      </c>
      <c r="N130" s="16">
        <f>SUM(N73,N74,N123)</f>
        <v>3458</v>
      </c>
      <c r="O130" s="16">
        <f>SUM(O73,O74,O123)</f>
        <v>2284</v>
      </c>
      <c r="P130" s="16">
        <f>SUM(P73,P74,P123)</f>
        <v>3444</v>
      </c>
      <c r="Q130" s="16">
        <f>SUM(Q73,Q74,Q123)</f>
        <v>2500</v>
      </c>
      <c r="R130" s="16">
        <f>SUM(N130:Q130)</f>
        <v>11686</v>
      </c>
      <c r="S130" s="16">
        <f>SUM(S73,S74,S123)</f>
        <v>4053</v>
      </c>
      <c r="T130" s="16">
        <f>SUM(T73,T74,T123)</f>
        <v>2880</v>
      </c>
      <c r="U130" s="16">
        <f>SUM(U73,U74,U123)</f>
        <v>3537</v>
      </c>
      <c r="V130" s="16">
        <f>SUM(V73,V74,V123)</f>
        <v>2482</v>
      </c>
      <c r="W130" s="16">
        <f>SUM(S130:V130)</f>
        <v>12952</v>
      </c>
      <c r="X130" s="16">
        <f>SUM(X73,X74,X123)</f>
        <v>3872</v>
      </c>
      <c r="Y130" s="16">
        <f>SUM(Y73,Y74,Y123)</f>
        <v>3028</v>
      </c>
      <c r="Z130" s="16">
        <f>SUM(Z73,Z74,Z123)</f>
        <v>3380</v>
      </c>
      <c r="AA130" s="16">
        <f>SUM(AA73,AA74,AA123)</f>
        <v>2806</v>
      </c>
      <c r="AB130" s="16">
        <f>SUM(X130:AA130)</f>
        <v>13086</v>
      </c>
      <c r="AC130" s="16">
        <f>SUM(AC73,AC74,AC123)</f>
        <v>4057</v>
      </c>
      <c r="AD130" s="16">
        <f>SUM(AD73,AD74,AD123)</f>
        <v>4796</v>
      </c>
      <c r="AE130" s="16">
        <f>SUM(AE73,AE74,AE123)</f>
        <v>4183</v>
      </c>
      <c r="AF130" s="16">
        <f>SUM(AF73,AF74,AF123)</f>
        <v>2962</v>
      </c>
      <c r="AG130" s="16">
        <f>SUM(AC130:AF130)</f>
        <v>15998</v>
      </c>
      <c r="AH130" s="16">
        <f>SUM(AH73,AH74,AH123)</f>
        <v>4611</v>
      </c>
      <c r="AI130" s="16">
        <f>SUM(AI73,AI74,AI123)</f>
        <v>5475</v>
      </c>
      <c r="AJ130" s="16">
        <f>SUM(AJ73,AJ74,AJ123)</f>
        <v>627</v>
      </c>
      <c r="AK130" s="16">
        <f>SUM(AK73,AK74,AK123)</f>
        <v>1172</v>
      </c>
      <c r="AL130" s="16">
        <f>SUM(AH130:AK130)</f>
        <v>11885</v>
      </c>
      <c r="AM130" s="16">
        <f>SUM(AM73,AM74,AM123)</f>
        <v>1172</v>
      </c>
      <c r="AN130" s="16">
        <f>SUM(AN73,AN74,AN123)</f>
        <v>3598</v>
      </c>
      <c r="AO130" s="16">
        <f>SUM(AO73,AO74,AO123)</f>
        <v>1172</v>
      </c>
      <c r="AP130" s="16">
        <f>SUM(AP73,AP74,AP123)</f>
        <v>3598</v>
      </c>
      <c r="AQ130" s="16">
        <f>SUM(AM130:AP130)</f>
        <v>9540</v>
      </c>
      <c r="AR130" s="16">
        <f>SUM(AR73,AR74,AR123)</f>
        <v>3598</v>
      </c>
      <c r="AS130" s="16">
        <f>SUM(AS73,AS74,AS123)</f>
        <v>9540</v>
      </c>
      <c r="AT130" s="16">
        <f>SUM(AT73,AT74,AT123)</f>
        <v>3598</v>
      </c>
      <c r="AU130" s="16">
        <f>SUM(AU73,AU74,AU123)</f>
        <v>9540</v>
      </c>
      <c r="AV130" s="16">
        <f>SUM(AR130:AU130)</f>
        <v>26276</v>
      </c>
      <c r="AW130" s="16">
        <f>SUM(AW73,AW74,AW123)</f>
        <v>9540</v>
      </c>
      <c r="AX130" s="16">
        <f>SUM(AX73,AX74,AX123)</f>
        <v>26276</v>
      </c>
      <c r="AY130" s="16">
        <f>SUM(AY73,AY74,AY123)</f>
        <v>9540</v>
      </c>
      <c r="AZ130" s="16">
        <f>SUM(AZ73,AZ74,AZ123)</f>
        <v>26276</v>
      </c>
      <c r="BA130" s="16">
        <f>SUM(AW130:AZ130)</f>
        <v>71632</v>
      </c>
      <c r="BB130" s="16">
        <f>SUM(BB73,BB74,BB123)</f>
        <v>26276</v>
      </c>
      <c r="BC130" s="16">
        <f>SUM(BC73,BC74,BC123)</f>
        <v>71632</v>
      </c>
      <c r="BD130" s="16">
        <f>SUM(BD73,BD74,BD123)</f>
        <v>26276</v>
      </c>
      <c r="BE130" s="16">
        <f>SUM(BE73,BE74,BE123)</f>
        <v>71632</v>
      </c>
      <c r="BF130" s="16">
        <f>SUM(BB130:BE130)</f>
        <v>195816</v>
      </c>
      <c r="BG130" s="16">
        <f>SUM(BG73,BG74,BG123)</f>
        <v>71632</v>
      </c>
      <c r="BH130" s="16">
        <f>SUM(BH73,BH74,BH123)</f>
        <v>195816</v>
      </c>
      <c r="BI130" s="16">
        <f>SUM(BI73,BI74,BI123)</f>
        <v>71632</v>
      </c>
      <c r="BJ130" s="16">
        <f>SUM(BJ73,BJ74,BJ123)</f>
        <v>195816</v>
      </c>
      <c r="BK130" s="16">
        <f>SUM(BG130:BJ130)</f>
        <v>534896</v>
      </c>
      <c r="BL130" s="16">
        <f>SUM(BL73,BL74,BL123)</f>
        <v>195816</v>
      </c>
      <c r="BM130" s="16">
        <f>SUM(BM73,BM74,BM123)</f>
        <v>534896</v>
      </c>
      <c r="BN130" s="16">
        <f>SUM(BN73,BN74,BN123)</f>
        <v>195816</v>
      </c>
      <c r="BO130" s="16">
        <f>SUM(BO73,BO74,BO123)</f>
        <v>534896</v>
      </c>
      <c r="BP130" s="16">
        <f>SUM(BL130:BO130)</f>
        <v>1461424</v>
      </c>
      <c r="BQ130" s="16">
        <f>SUM(BQ73,BQ74,BQ123)</f>
        <v>534896</v>
      </c>
      <c r="BR130" s="16">
        <f>SUM(BR73,BR74,BR123)</f>
        <v>1461424</v>
      </c>
      <c r="BS130" s="16">
        <f>SUM(BS73,BS74,BS123)</f>
        <v>534896</v>
      </c>
      <c r="BT130" s="16">
        <f>SUM(BT73,BT74,BT123)</f>
        <v>1461424</v>
      </c>
      <c r="BU130" s="16">
        <f>SUM(BQ130:BT130)</f>
        <v>3992640</v>
      </c>
      <c r="BV130" s="16">
        <f>SUM(BV73,BV74,BV123)</f>
        <v>1461424</v>
      </c>
      <c r="BW130" s="16">
        <f>SUM(BW73,BW74,BW123)</f>
        <v>3992640</v>
      </c>
      <c r="BX130" s="16">
        <f>SUM(BX73,BX74,BX123)</f>
        <v>1461424</v>
      </c>
      <c r="BY130" s="16">
        <f>SUM(BY73,BY74,BY123)</f>
        <v>3992640</v>
      </c>
      <c r="BZ130" s="16">
        <f>SUM(BV130:BY130)</f>
        <v>10908128</v>
      </c>
      <c r="CA130" s="16">
        <f>SUM(CA73,CA74,CA123)</f>
        <v>3992640</v>
      </c>
      <c r="CB130" s="16">
        <f>SUM(CB73,CB74,CB123)</f>
        <v>10908128</v>
      </c>
      <c r="CC130" s="16">
        <f>SUM(CC73,CC74,CC123)</f>
        <v>3992640</v>
      </c>
      <c r="CD130" s="16">
        <f>SUM(CD73,CD74,CD123)</f>
        <v>10908128</v>
      </c>
      <c r="CE130" s="16">
        <f>SUM(CA130:CD130)</f>
        <v>29801536</v>
      </c>
      <c r="CF130" s="16">
        <f>SUM(CF73,CF74,CF123)</f>
        <v>10908128</v>
      </c>
      <c r="CG130" s="16">
        <f>SUM(CG73,CG74,CG123)</f>
        <v>29801536</v>
      </c>
      <c r="CH130" s="16">
        <f>SUM(CH73,CH74,CH123)</f>
        <v>10908128</v>
      </c>
      <c r="CI130" s="16">
        <f>SUM(CI73,CI74,CI123)</f>
        <v>29801536</v>
      </c>
      <c r="CJ130" s="16">
        <f>SUM(CF130:CI130)</f>
        <v>81419328</v>
      </c>
      <c r="CK130" s="16">
        <f>SUM(CK73,CK74,CK123)</f>
        <v>29801536</v>
      </c>
      <c r="CL130" s="16">
        <f>SUM(CL73,CL74,CL123)</f>
        <v>81419328</v>
      </c>
      <c r="CM130" s="16">
        <f>SUM(CM73,CM74,CM123)</f>
        <v>29801536</v>
      </c>
      <c r="CN130" s="16">
        <f>SUM(CN73,CN74,CN123)</f>
        <v>81419328</v>
      </c>
      <c r="CO130" s="16">
        <f>SUM(CK130:CN130)</f>
        <v>222441728</v>
      </c>
      <c r="CP130" s="16">
        <f>SUM(CP73,CP74,CP123)</f>
        <v>81419328</v>
      </c>
      <c r="CQ130" s="16">
        <f>SUM(CQ73,CQ74,CQ123)</f>
        <v>222441728</v>
      </c>
      <c r="CR130" s="16">
        <f>SUM(CR73,CR74,CR123)</f>
        <v>81419328</v>
      </c>
      <c r="CS130" s="16">
        <f>SUM(CS73,CS74,CS123)</f>
        <v>222441728</v>
      </c>
      <c r="CT130" s="16">
        <f>SUM(CP130:CS130)</f>
        <v>607722112</v>
      </c>
      <c r="CU130" s="16">
        <f>SUM(CU73,CU74,CU123)</f>
        <v>222441728</v>
      </c>
      <c r="CV130" s="16">
        <f>SUM(CV73,CV74,CV123)</f>
        <v>607722112</v>
      </c>
      <c r="CW130" s="16">
        <f>SUM(CW73,CW74,CW123)</f>
        <v>222441728</v>
      </c>
      <c r="CX130" s="16">
        <f>SUM(CX73,CX74,CX123)</f>
        <v>607722112</v>
      </c>
      <c r="CY130" s="16">
        <f>SUM(CU130:CX130)</f>
        <v>1660327680</v>
      </c>
    </row>
    <row r="131">
      <c r="C131" s="26" t="inlineStr">
        <is>
          <t>Taxes</t>
        </is>
      </c>
      <c r="D131" s="25">
        <f>INDEX('Inputs (2)'!$D$10:$AL$10,MATCH(D$7,'Inputs (2)'!$D$2:$AL$2,0))</f>
        <v>-215</v>
      </c>
      <c r="E131" s="25">
        <f>INDEX('Inputs (2)'!$D$10:$AL$10,MATCH(E$7,'Inputs (2)'!$D$2:$AL$2,0))</f>
        <v>-438</v>
      </c>
      <c r="F131" s="25">
        <f>INDEX('Inputs (2)'!$D$10:$AL$10,MATCH(F$7,'Inputs (2)'!$D$2:$AL$2,0))</f>
        <v>-441</v>
      </c>
      <c r="G131" s="25">
        <f>INDEX('Inputs (2)'!$D$10:$AL$10,MATCH(G$7,'Inputs (2)'!$D$2:$AL$2,0))</f>
        <v>-887</v>
      </c>
      <c r="H131" s="3">
        <f>SUM(D131:G131)</f>
        <v>-1981</v>
      </c>
      <c r="I131" s="25">
        <f>INDEX('Inputs (2)'!$D$10:$AL$10,MATCH(I$7,'Inputs (2)'!$D$2:$AL$2,0))</f>
        <v>-508</v>
      </c>
      <c r="J131" s="25">
        <f>INDEX('Inputs (2)'!$D$10:$AL$10,MATCH(J$7,'Inputs (2)'!$D$2:$AL$2,0))</f>
        <v>-994</v>
      </c>
      <c r="K131" s="25">
        <f>INDEX('Inputs (2)'!$D$10:$AL$10,MATCH(K$7,'Inputs (2)'!$D$2:$AL$2,0))</f>
        <v>-609</v>
      </c>
      <c r="L131" s="25">
        <f>INDEX('Inputs (2)'!$D$10:$AL$10,MATCH(L$7,'Inputs (2)'!$D$2:$AL$2,0))</f>
        <v>-510</v>
      </c>
      <c r="M131" s="3">
        <f>SUM(I131:L131)</f>
        <v>-2621</v>
      </c>
      <c r="N131" s="25">
        <f>INDEX('Inputs (2)'!$D$10:$AL$10,MATCH(N$7,'Inputs (2)'!$D$2:$AL$2,0))</f>
        <v>-665</v>
      </c>
      <c r="O131" s="25">
        <f>INDEX('Inputs (2)'!$D$10:$AL$10,MATCH(O$7,'Inputs (2)'!$D$2:$AL$2,0))</f>
        <v>-384</v>
      </c>
      <c r="P131" s="25">
        <f>INDEX('Inputs (2)'!$D$10:$AL$10,MATCH(P$7,'Inputs (2)'!$D$2:$AL$2,0))</f>
        <v>-622</v>
      </c>
      <c r="Q131" s="25">
        <f>INDEX('Inputs (2)'!$D$10:$AL$10,MATCH(Q$7,'Inputs (2)'!$D$2:$AL$2,0))</f>
        <v>-444</v>
      </c>
      <c r="R131" s="3">
        <f>SUM(N131:Q131)</f>
        <v>-2115</v>
      </c>
      <c r="S131" s="25">
        <f>INDEX('Inputs (2)'!$D$10:$AL$10,MATCH(S$7,'Inputs (2)'!$D$2:$AL$2,0))</f>
        <v>-940</v>
      </c>
      <c r="T131" s="25">
        <f>INDEX('Inputs (2)'!$D$10:$AL$10,MATCH(T$7,'Inputs (2)'!$D$2:$AL$2,0))</f>
        <v>-359</v>
      </c>
      <c r="U131" s="25">
        <f>INDEX('Inputs (2)'!$D$10:$AL$10,MATCH(U$7,'Inputs (2)'!$D$2:$AL$2,0))</f>
        <v>-454</v>
      </c>
      <c r="V131" s="25">
        <f>INDEX('Inputs (2)'!$D$10:$AL$10,MATCH(V$7,'Inputs (2)'!$D$2:$AL$2,0))</f>
        <v>-496</v>
      </c>
      <c r="W131" s="3">
        <f>SUM(S131:V131)</f>
        <v>-2249</v>
      </c>
      <c r="X131" s="25">
        <f>INDEX('Inputs (2)'!$D$10:$AL$10,MATCH(X$7,'Inputs (2)'!$D$2:$AL$2,0))</f>
        <v>-687</v>
      </c>
      <c r="Y131" s="25">
        <f>INDEX('Inputs (2)'!$D$10:$AL$10,MATCH(Y$7,'Inputs (2)'!$D$2:$AL$2,0))</f>
        <v>-627</v>
      </c>
      <c r="Z131" s="25">
        <f>INDEX('Inputs (2)'!$D$10:$AL$10,MATCH(Z$7,'Inputs (2)'!$D$2:$AL$2,0))</f>
        <v>-530</v>
      </c>
      <c r="AA131" s="25">
        <f>INDEX('Inputs (2)'!$D$10:$AL$10,MATCH(AA$7,'Inputs (2)'!$D$2:$AL$2,0))</f>
        <v>-593</v>
      </c>
      <c r="AB131" s="3">
        <f>SUM(X131:AA131)</f>
        <v>-2437</v>
      </c>
      <c r="AC131" s="25">
        <f>INDEX('Inputs (2)'!$D$10:$AL$10,MATCH(AC$7,'Inputs (2)'!$D$2:$AL$2,0))</f>
        <v>-722</v>
      </c>
      <c r="AD131" s="25">
        <f>INDEX('Inputs (2)'!$D$10:$AL$10,MATCH(AD$7,'Inputs (2)'!$D$2:$AL$2,0))</f>
        <v>-993</v>
      </c>
      <c r="AE131" s="25">
        <f>INDEX('Inputs (2)'!$D$10:$AL$10,MATCH(AE$7,'Inputs (2)'!$D$2:$AL$2,0))</f>
        <v>-500</v>
      </c>
      <c r="AF131" s="25">
        <f>INDEX('Inputs (2)'!$D$10:$AL$10,MATCH(AF$7,'Inputs (2)'!$D$2:$AL$2,0))</f>
        <v>-646</v>
      </c>
      <c r="AG131" s="3">
        <f>SUM(AC131:AF131)</f>
        <v>-2861</v>
      </c>
      <c r="AH131" s="3">
        <f>INDEX('Inputs (2)'!$D$10:$AL$10,MATCH(AH$7,'Inputs (2)'!$D$2:$AL$2,0))</f>
        <v>-645</v>
      </c>
      <c r="AI131" s="3">
        <f>INDEX('Inputs (2)'!$D$10:$AL$10,MATCH(AI$7,'Inputs (2)'!$D$2:$AL$2,0))</f>
        <v>-1037</v>
      </c>
      <c r="AJ131" s="3">
        <f>AJ132*-AJ130</f>
        <v>0</v>
      </c>
      <c r="AK131" s="3">
        <f>AK132*-AK130</f>
        <v>0</v>
      </c>
      <c r="AL131" s="3">
        <f>SUM(AH131:AK131)</f>
        <v>-1682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0.0714285714285714</v>
      </c>
      <c r="E132" s="48">
        <f>-E131/E130</f>
        <v>0.199362767410105</v>
      </c>
      <c r="F132" s="48">
        <f>-F131/F130</f>
        <v>0.202200825309491</v>
      </c>
      <c r="G132" s="48">
        <f>-G131/G130</f>
        <v>0.375688267683185</v>
      </c>
      <c r="H132" s="48">
        <f>-H131/H130</f>
        <v>0.203200328238794</v>
      </c>
      <c r="I132" s="48">
        <f>-I131/I130</f>
        <v>0.183858125226203</v>
      </c>
      <c r="J132" s="48">
        <f>-J131/J130</f>
        <v>0.274737423991155</v>
      </c>
      <c r="K132" s="48">
        <f>-K131/K130</f>
        <v>0.197470817120623</v>
      </c>
      <c r="L132" s="48">
        <f>-L131/L130</f>
        <v>0.172297297297297</v>
      </c>
      <c r="M132" s="48">
        <f>-M131/M130</f>
        <v>0.210945674044266</v>
      </c>
      <c r="N132" s="48">
        <f>-N131/N130</f>
        <v>0.192307692307692</v>
      </c>
      <c r="O132" s="48">
        <f>-O131/O130</f>
        <v>0.168126094570928</v>
      </c>
      <c r="P132" s="48">
        <f>-P131/P130</f>
        <v>0.180603948896632</v>
      </c>
      <c r="Q132" s="48">
        <f>-Q131/Q130</f>
        <v>0.1776</v>
      </c>
      <c r="R132" s="48">
        <f>-R131/R130</f>
        <v>0.180985794968338</v>
      </c>
      <c r="S132" s="48">
        <f>-S131/S130</f>
        <v>0.231926967678263</v>
      </c>
      <c r="T132" s="48">
        <f>-T131/T130</f>
        <v>0.124652777777778</v>
      </c>
      <c r="U132" s="48">
        <f>-U131/U130</f>
        <v>0.128357364998586</v>
      </c>
      <c r="V132" s="48">
        <f>-V131/V130</f>
        <v>0.199838839645447</v>
      </c>
      <c r="W132" s="48">
        <f>-W131/W130</f>
        <v>0.173641136504015</v>
      </c>
      <c r="X132" s="48">
        <f>-X131/X130</f>
        <v>0.177427685950413</v>
      </c>
      <c r="Y132" s="48">
        <f>-Y131/Y130</f>
        <v>0.207067371202114</v>
      </c>
      <c r="Z132" s="48">
        <f>-Z131/Z130</f>
        <v>0.156804733727811</v>
      </c>
      <c r="AA132" s="48">
        <f>-AA131/AA130</f>
        <v>0.211332858161083</v>
      </c>
      <c r="AB132" s="48">
        <f>-AB131/AB130</f>
        <v>0.186229558306587</v>
      </c>
      <c r="AC132" s="48">
        <f>-AC131/AC130</f>
        <v>0.177964012817353</v>
      </c>
      <c r="AD132" s="48">
        <f>-AD131/AD130</f>
        <v>0.207047539616347</v>
      </c>
      <c r="AE132" s="48">
        <f>-AE131/AE130</f>
        <v>0.11953143676787</v>
      </c>
      <c r="AF132" s="44">
        <f>-AF131/AF130</f>
        <v>0.218095881161377</v>
      </c>
      <c r="AG132" s="48">
        <f>-AG131/AG130</f>
        <v>0.178834854356795</v>
      </c>
      <c r="AH132" s="44">
        <f>-AH131/AH130</f>
        <v>0.139882888744307</v>
      </c>
      <c r="AI132" s="44">
        <f>-AI131/AI130</f>
        <v>0.189406392694064</v>
      </c>
      <c r="AJ132" s="44" t="n"/>
      <c r="AK132" s="44" t="n"/>
      <c r="AL132" s="48">
        <f>-AL131/AL130</f>
        <v>0.141522928060581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</v>
      </c>
      <c r="E135" s="25">
        <f>INDEX('Inputs (2)'!$D$11:$AL$11,MATCH(E$7,'Inputs (2)'!$D$2:$AL$2,0))</f>
        <v>0</v>
      </c>
      <c r="F135" s="25">
        <f>INDEX('Inputs (2)'!$D$11:$AL$11,MATCH(F$7,'Inputs (2)'!$D$2:$AL$2,0))</f>
        <v>0</v>
      </c>
      <c r="G135" s="25">
        <f>INDEX('Inputs (2)'!$D$11:$AL$11,MATCH(G$7,'Inputs (2)'!$D$2:$AL$2,0))</f>
        <v>0</v>
      </c>
      <c r="H135" s="3">
        <f>SUM(D135:G135)</f>
        <v>0</v>
      </c>
      <c r="I135" s="25">
        <f>INDEX('Inputs (2)'!$D$11:$AL$11,MATCH(I$7,'Inputs (2)'!$D$2:$AL$2,0))</f>
        <v>0</v>
      </c>
      <c r="J135" s="25">
        <f>INDEX('Inputs (2)'!$D$11:$AL$11,MATCH(J$7,'Inputs (2)'!$D$2:$AL$2,0))</f>
        <v>0</v>
      </c>
      <c r="K135" s="25">
        <f>INDEX('Inputs (2)'!$D$11:$AL$11,MATCH(K$7,'Inputs (2)'!$D$2:$AL$2,0))</f>
        <v>0</v>
      </c>
      <c r="L135" s="25">
        <f>INDEX('Inputs (2)'!$D$11:$AL$11,MATCH(L$7,'Inputs (2)'!$D$2:$AL$2,0))</f>
        <v>0</v>
      </c>
      <c r="M135" s="3">
        <f>SUM(I135:L135)</f>
        <v>0</v>
      </c>
      <c r="N135" s="25">
        <f>INDEX('Inputs (2)'!$D$11:$AL$11,MATCH(N$7,'Inputs (2)'!$D$2:$AL$2,0))</f>
        <v>0</v>
      </c>
      <c r="O135" s="25">
        <f>INDEX('Inputs (2)'!$D$11:$AL$11,MATCH(O$7,'Inputs (2)'!$D$2:$AL$2,0))</f>
        <v>0</v>
      </c>
      <c r="P135" s="25">
        <f>INDEX('Inputs (2)'!$D$11:$AL$11,MATCH(P$7,'Inputs (2)'!$D$2:$AL$2,0))</f>
        <v>0</v>
      </c>
      <c r="Q135" s="25">
        <f>INDEX('Inputs (2)'!$D$11:$AL$11,MATCH(Q$7,'Inputs (2)'!$D$2:$AL$2,0))</f>
        <v>0</v>
      </c>
      <c r="R135" s="3">
        <f>SUM(N135:Q135)</f>
        <v>0</v>
      </c>
      <c r="S135" s="25">
        <f>INDEX('Inputs (2)'!$D$11:$AL$11,MATCH(S$7,'Inputs (2)'!$D$2:$AL$2,0))</f>
        <v>0</v>
      </c>
      <c r="T135" s="25">
        <f>INDEX('Inputs (2)'!$D$11:$AL$11,MATCH(T$7,'Inputs (2)'!$D$2:$AL$2,0))</f>
        <v>0</v>
      </c>
      <c r="U135" s="25">
        <f>INDEX('Inputs (2)'!$D$11:$AL$11,MATCH(U$7,'Inputs (2)'!$D$2:$AL$2,0))</f>
        <v>0</v>
      </c>
      <c r="V135" s="25">
        <f>INDEX('Inputs (2)'!$D$11:$AL$11,MATCH(V$7,'Inputs (2)'!$D$2:$AL$2,0))</f>
        <v>0</v>
      </c>
      <c r="W135" s="3">
        <f>SUM(S135:V135)</f>
        <v>0</v>
      </c>
      <c r="X135" s="25">
        <f>INDEX('Inputs (2)'!$D$11:$AL$11,MATCH(X$7,'Inputs (2)'!$D$2:$AL$2,0))</f>
        <v>0</v>
      </c>
      <c r="Y135" s="25">
        <f>INDEX('Inputs (2)'!$D$11:$AL$11,MATCH(Y$7,'Inputs (2)'!$D$2:$AL$2,0))</f>
        <v>0</v>
      </c>
      <c r="Z135" s="25">
        <f>INDEX('Inputs (2)'!$D$11:$AL$11,MATCH(Z$7,'Inputs (2)'!$D$2:$AL$2,0))</f>
        <v>0</v>
      </c>
      <c r="AA135" s="25">
        <f>INDEX('Inputs (2)'!$D$11:$AL$11,MATCH(AA$7,'Inputs (2)'!$D$2:$AL$2,0))</f>
        <v>0</v>
      </c>
      <c r="AB135" s="3">
        <f>SUM(X135:AA135)</f>
        <v>0</v>
      </c>
      <c r="AC135" s="25">
        <f>INDEX('Inputs (2)'!$D$11:$AL$11,MATCH(AC$7,'Inputs (2)'!$D$2:$AL$2,0))</f>
        <v>0</v>
      </c>
      <c r="AD135" s="25">
        <f>INDEX('Inputs (2)'!$D$11:$AL$11,MATCH(AD$7,'Inputs (2)'!$D$2:$AL$2,0))</f>
        <v>0</v>
      </c>
      <c r="AE135" s="25">
        <f>INDEX('Inputs (2)'!$D$11:$AL$11,MATCH(AE$7,'Inputs (2)'!$D$2:$AL$2,0))</f>
        <v>0</v>
      </c>
      <c r="AF135" s="25">
        <f>INDEX('Inputs (2)'!$D$11:$AL$11,MATCH(AF$7,'Inputs (2)'!$D$2:$AL$2,0))</f>
        <v>0</v>
      </c>
      <c r="AG135" s="3">
        <f>SUM(AC135:AF135)</f>
        <v>0</v>
      </c>
      <c r="AH135" s="3">
        <f>INDEX('Inputs (2)'!$D$11:$AL$11,MATCH(AH$7,'Inputs (2)'!$D$2:$AL$2,0))</f>
        <v>0</v>
      </c>
      <c r="AI135" s="3">
        <f>INDEX('Inputs (2)'!$D$11:$AL$11,MATCH(AI$7,'Inputs (2)'!$D$2:$AL$2,0))</f>
        <v>0</v>
      </c>
      <c r="AJ135" s="3">
        <f>AE135*(1+AJ163)</f>
        <v>0</v>
      </c>
      <c r="AK135" s="3">
        <f>AF135*(1+AK163)</f>
        <v>0</v>
      </c>
      <c r="AL135" s="3">
        <f>SUM(AH135:AK135)</f>
        <v>0</v>
      </c>
      <c r="AM135" s="3">
        <f>AH135*(1+AM163)</f>
        <v>0</v>
      </c>
      <c r="AN135" s="3">
        <f>AI135*(1+AN163)</f>
        <v>0</v>
      </c>
      <c r="AO135" s="3">
        <f>AJ135*(1+AO163)</f>
        <v>0</v>
      </c>
      <c r="AP135" s="3">
        <f>AK135*(1+AP163)</f>
        <v>0</v>
      </c>
      <c r="AQ135" s="3">
        <f>SUM(AM135:AP135)</f>
        <v>0</v>
      </c>
      <c r="AR135" s="3">
        <f>AM135*(1+AR163)</f>
        <v>0</v>
      </c>
      <c r="AS135" s="3">
        <f>AN135*(1+AS163)</f>
        <v>0</v>
      </c>
      <c r="AT135" s="3">
        <f>AO135*(1+AT163)</f>
        <v>0</v>
      </c>
      <c r="AU135" s="3">
        <f>AP135*(1+AU163)</f>
        <v>0</v>
      </c>
      <c r="AV135" s="3">
        <f>SUM(AR135:AU135)</f>
        <v>0</v>
      </c>
      <c r="AW135" s="3">
        <f>AR135*(1+AW163)</f>
        <v>0</v>
      </c>
      <c r="AX135" s="3">
        <f>AS135*(1+AX163)</f>
        <v>0</v>
      </c>
      <c r="AY135" s="3">
        <f>AT135*(1+AY163)</f>
        <v>0</v>
      </c>
      <c r="AZ135" s="3">
        <f>AU135*(1+AZ163)</f>
        <v>0</v>
      </c>
      <c r="BA135" s="3">
        <f>SUM(AW135:AZ135)</f>
        <v>0</v>
      </c>
      <c r="BB135" s="3">
        <f>AW135*(1+BB163)</f>
        <v>0</v>
      </c>
      <c r="BC135" s="3">
        <f>AX135*(1+BC163)</f>
        <v>0</v>
      </c>
      <c r="BD135" s="3">
        <f>AY135*(1+BD163)</f>
        <v>0</v>
      </c>
      <c r="BE135" s="3">
        <f>AZ135*(1+BE163)</f>
        <v>0</v>
      </c>
      <c r="BF135" s="3">
        <f>SUM(BB135:BE135)</f>
        <v>0</v>
      </c>
      <c r="BG135" s="3">
        <f>BB135*(1+BG163)</f>
        <v>0</v>
      </c>
      <c r="BH135" s="3">
        <f>BC135*(1+BH163)</f>
        <v>0</v>
      </c>
      <c r="BI135" s="3">
        <f>BD135*(1+BI163)</f>
        <v>0</v>
      </c>
      <c r="BJ135" s="3">
        <f>BE135*(1+BJ163)</f>
        <v>0</v>
      </c>
      <c r="BK135" s="3">
        <f>SUM(BG135:BJ135)</f>
        <v>0</v>
      </c>
      <c r="BL135" s="3">
        <f>BG135*(1+BL163)</f>
        <v>0</v>
      </c>
      <c r="BM135" s="3">
        <f>BH135*(1+BM163)</f>
        <v>0</v>
      </c>
      <c r="BN135" s="3">
        <f>BI135*(1+BN163)</f>
        <v>0</v>
      </c>
      <c r="BO135" s="3">
        <f>BJ135*(1+BO163)</f>
        <v>0</v>
      </c>
      <c r="BP135" s="3">
        <f>SUM(BL135:BO135)</f>
        <v>0</v>
      </c>
      <c r="BQ135" s="3">
        <f>BL135*(1+BQ163)</f>
        <v>0</v>
      </c>
      <c r="BR135" s="3">
        <f>BM135*(1+BR163)</f>
        <v>0</v>
      </c>
      <c r="BS135" s="3">
        <f>BN135*(1+BS163)</f>
        <v>0</v>
      </c>
      <c r="BT135" s="3">
        <f>BO135*(1+BT163)</f>
        <v>0</v>
      </c>
      <c r="BU135" s="3">
        <f>SUM(BQ135:BT135)</f>
        <v>0</v>
      </c>
      <c r="BV135" s="3">
        <f>BQ135*(1+BV163)</f>
        <v>0</v>
      </c>
      <c r="BW135" s="3">
        <f>BR135*(1+BW163)</f>
        <v>0</v>
      </c>
      <c r="BX135" s="3">
        <f>BS135*(1+BX163)</f>
        <v>0</v>
      </c>
      <c r="BY135" s="3">
        <f>BT135*(1+BY163)</f>
        <v>0</v>
      </c>
      <c r="BZ135" s="3">
        <f>SUM(BV135:BY135)</f>
        <v>0</v>
      </c>
      <c r="CA135" s="3">
        <f>BV135*(1+CA163)</f>
        <v>0</v>
      </c>
      <c r="CB135" s="3">
        <f>BW135*(1+CB163)</f>
        <v>0</v>
      </c>
      <c r="CC135" s="3">
        <f>BX135*(1+CC163)</f>
        <v>0</v>
      </c>
      <c r="CD135" s="3">
        <f>BY135*(1+CD163)</f>
        <v>0</v>
      </c>
      <c r="CE135" s="3">
        <f>SUM(CA135:CD135)</f>
        <v>0</v>
      </c>
      <c r="CF135" s="3">
        <f>CA135*(1+CF163)</f>
        <v>0</v>
      </c>
      <c r="CG135" s="3">
        <f>CB135*(1+CG163)</f>
        <v>0</v>
      </c>
      <c r="CH135" s="3">
        <f>CC135*(1+CH163)</f>
        <v>0</v>
      </c>
      <c r="CI135" s="3">
        <f>CD135*(1+CI163)</f>
        <v>0</v>
      </c>
      <c r="CJ135" s="3">
        <f>SUM(CF135:CI135)</f>
        <v>0</v>
      </c>
      <c r="CK135" s="3">
        <f>CF135*(1+CK163)</f>
        <v>0</v>
      </c>
      <c r="CL135" s="3">
        <f>CG135*(1+CL163)</f>
        <v>0</v>
      </c>
      <c r="CM135" s="3">
        <f>CH135*(1+CM163)</f>
        <v>0</v>
      </c>
      <c r="CN135" s="3">
        <f>CI135*(1+CN163)</f>
        <v>0</v>
      </c>
      <c r="CO135" s="3">
        <f>SUM(CK135:CN135)</f>
        <v>0</v>
      </c>
      <c r="CP135" s="3">
        <f>CK135*(1+CP163)</f>
        <v>0</v>
      </c>
      <c r="CQ135" s="3">
        <f>CL135*(1+CQ163)</f>
        <v>0</v>
      </c>
      <c r="CR135" s="3">
        <f>CM135*(1+CR163)</f>
        <v>0</v>
      </c>
      <c r="CS135" s="3">
        <f>CN135*(1+CS163)</f>
        <v>0</v>
      </c>
      <c r="CT135" s="3">
        <f>SUM(CP135:CS135)</f>
        <v>0</v>
      </c>
      <c r="CU135" s="3">
        <f>CP135*(1+CU163)</f>
        <v>0</v>
      </c>
      <c r="CV135" s="3">
        <f>CQ135*(1+CV163)</f>
        <v>0</v>
      </c>
      <c r="CW135" s="3">
        <f>CR135*(1+CW163)</f>
        <v>0</v>
      </c>
      <c r="CX135" s="3">
        <f>CS135*(1+CX163)</f>
        <v>0</v>
      </c>
      <c r="CY135" s="3">
        <f>SUM(CU135:CX135)</f>
        <v>0</v>
      </c>
    </row>
    <row r="136">
      <c r="C136" s="26" t="inlineStr">
        <is>
          <t>Minority Interest Expense, after tax (enter as - )</t>
        </is>
      </c>
      <c r="D136" s="25">
        <f>INDEX('Inputs (2)'!$D$12:$AL$12,MATCH(D$7,'Inputs (2)'!$D$2:$AL$2,0))</f>
        <v>-20</v>
      </c>
      <c r="E136" s="25">
        <f>INDEX('Inputs (2)'!$D$12:$AL$12,MATCH(E$7,'Inputs (2)'!$D$2:$AL$2,0))</f>
        <v>20</v>
      </c>
      <c r="F136" s="25">
        <f>INDEX('Inputs (2)'!$D$12:$AL$12,MATCH(F$7,'Inputs (2)'!$D$2:$AL$2,0))</f>
        <v>-3</v>
      </c>
      <c r="G136" s="25">
        <f>INDEX('Inputs (2)'!$D$12:$AL$12,MATCH(G$7,'Inputs (2)'!$D$2:$AL$2,0))</f>
        <v>-18</v>
      </c>
      <c r="H136" s="3">
        <f>SUM(D136:G136)</f>
        <v>-21</v>
      </c>
      <c r="I136" s="25">
        <f>INDEX('Inputs (2)'!$D$12:$AL$12,MATCH(I$7,'Inputs (2)'!$D$2:$AL$2,0))</f>
        <v>-10</v>
      </c>
      <c r="J136" s="25">
        <f>INDEX('Inputs (2)'!$D$12:$AL$12,MATCH(J$7,'Inputs (2)'!$D$2:$AL$2,0))</f>
        <v>17</v>
      </c>
      <c r="K136" s="25">
        <f>INDEX('Inputs (2)'!$D$12:$AL$12,MATCH(K$7,'Inputs (2)'!$D$2:$AL$2,0))</f>
        <v>-4</v>
      </c>
      <c r="L136" s="25">
        <f>INDEX('Inputs (2)'!$D$12:$AL$12,MATCH(L$7,'Inputs (2)'!$D$2:$AL$2,0))</f>
        <v>-36</v>
      </c>
      <c r="M136" s="3">
        <f>SUM(I136:L136)</f>
        <v>-33</v>
      </c>
      <c r="N136" s="25">
        <f>INDEX('Inputs (2)'!$D$12:$AL$12,MATCH(N$7,'Inputs (2)'!$D$2:$AL$2,0))</f>
        <v>-12</v>
      </c>
      <c r="O136" s="25">
        <f>INDEX('Inputs (2)'!$D$12:$AL$12,MATCH(O$7,'Inputs (2)'!$D$2:$AL$2,0))</f>
        <v>5</v>
      </c>
      <c r="P136" s="25">
        <f>INDEX('Inputs (2)'!$D$12:$AL$12,MATCH(P$7,'Inputs (2)'!$D$2:$AL$2,0))</f>
        <v>3</v>
      </c>
      <c r="Q136" s="25">
        <f>INDEX('Inputs (2)'!$D$12:$AL$12,MATCH(Q$7,'Inputs (2)'!$D$2:$AL$2,0))</f>
        <v>-25</v>
      </c>
      <c r="R136" s="3">
        <f>SUM(N136:Q136)</f>
        <v>-29</v>
      </c>
      <c r="S136" s="25">
        <f>INDEX('Inputs (2)'!$D$12:$AL$12,MATCH(S$7,'Inputs (2)'!$D$2:$AL$2,0))</f>
        <v>-6</v>
      </c>
      <c r="T136" s="25">
        <f>INDEX('Inputs (2)'!$D$12:$AL$12,MATCH(T$7,'Inputs (2)'!$D$2:$AL$2,0))</f>
        <v>26</v>
      </c>
      <c r="U136" s="25">
        <f>INDEX('Inputs (2)'!$D$12:$AL$12,MATCH(U$7,'Inputs (2)'!$D$2:$AL$2,0))</f>
        <v>4</v>
      </c>
      <c r="V136" s="25">
        <f>INDEX('Inputs (2)'!$D$12:$AL$12,MATCH(V$7,'Inputs (2)'!$D$2:$AL$2,0))</f>
        <v>-13</v>
      </c>
      <c r="W136" s="3">
        <f>SUM(S136:V136)</f>
        <v>11</v>
      </c>
      <c r="X136" s="25">
        <f>INDEX('Inputs (2)'!$D$12:$AL$12,MATCH(X$7,'Inputs (2)'!$D$2:$AL$2,0))</f>
        <v>-8</v>
      </c>
      <c r="Y136" s="25">
        <f>INDEX('Inputs (2)'!$D$12:$AL$12,MATCH(Y$7,'Inputs (2)'!$D$2:$AL$2,0))</f>
        <v>10</v>
      </c>
      <c r="Z136" s="25">
        <f>INDEX('Inputs (2)'!$D$12:$AL$12,MATCH(Z$7,'Inputs (2)'!$D$2:$AL$2,0))</f>
        <v>-2</v>
      </c>
      <c r="AA136" s="25">
        <f>INDEX('Inputs (2)'!$D$12:$AL$12,MATCH(AA$7,'Inputs (2)'!$D$2:$AL$2,0))</f>
        <v>-18</v>
      </c>
      <c r="AB136" s="3">
        <f>SUM(X136:AA136)</f>
        <v>-18</v>
      </c>
      <c r="AC136" s="25">
        <f>INDEX('Inputs (2)'!$D$12:$AL$12,MATCH(AC$7,'Inputs (2)'!$D$2:$AL$2,0))</f>
        <v>-5</v>
      </c>
      <c r="AD136" s="25">
        <f>INDEX('Inputs (2)'!$D$12:$AL$12,MATCH(AD$7,'Inputs (2)'!$D$2:$AL$2,0))</f>
        <v>7</v>
      </c>
      <c r="AE136" s="25">
        <f>INDEX('Inputs (2)'!$D$12:$AL$12,MATCH(AE$7,'Inputs (2)'!$D$2:$AL$2,0))</f>
        <v>13</v>
      </c>
      <c r="AF136" s="25">
        <f>INDEX('Inputs (2)'!$D$12:$AL$12,MATCH(AF$7,'Inputs (2)'!$D$2:$AL$2,0))</f>
        <v>-45</v>
      </c>
      <c r="AG136" s="3">
        <f>SUM(AC136:AF136)</f>
        <v>-30</v>
      </c>
      <c r="AH136" s="3">
        <f>INDEX('Inputs (2)'!$D$12:$AL$12,MATCH(AH$7,'Inputs (2)'!$D$2:$AL$2,0))</f>
        <v>-42</v>
      </c>
      <c r="AI136" s="3">
        <f>INDEX('Inputs (2)'!$D$12:$AL$12,MATCH(AI$7,'Inputs (2)'!$D$2:$AL$2,0))</f>
        <v>-13</v>
      </c>
      <c r="AJ136" s="3">
        <f>AE136*(1+AJ250)</f>
        <v>13</v>
      </c>
      <c r="AK136" s="3">
        <f>AF136*(1+AK250)</f>
        <v>-45</v>
      </c>
      <c r="AL136" s="3">
        <f>SUM(AH136:AK136)</f>
        <v>-87</v>
      </c>
      <c r="AM136" s="3">
        <f>AH136*(1+AM250)</f>
        <v>-42</v>
      </c>
      <c r="AN136" s="3">
        <f>AI136*(1+AN250)</f>
        <v>-13</v>
      </c>
      <c r="AO136" s="3">
        <f>AJ136*(1+AO250)</f>
        <v>13</v>
      </c>
      <c r="AP136" s="3">
        <f>AK136*(1+AP250)</f>
        <v>-45</v>
      </c>
      <c r="AQ136" s="3">
        <f>SUM(AM136:AP136)</f>
        <v>-87</v>
      </c>
      <c r="AR136" s="3">
        <f>AM136*(1+AR250)</f>
        <v>-42</v>
      </c>
      <c r="AS136" s="3">
        <f>AN136*(1+AS250)</f>
        <v>-13</v>
      </c>
      <c r="AT136" s="3">
        <f>AO136*(1+AT250)</f>
        <v>13</v>
      </c>
      <c r="AU136" s="3">
        <f>AP136*(1+AU250)</f>
        <v>-45</v>
      </c>
      <c r="AV136" s="3">
        <f>SUM(AR136:AU136)</f>
        <v>-87</v>
      </c>
      <c r="AW136" s="3">
        <f>AR136*(1+AW250)</f>
        <v>-42</v>
      </c>
      <c r="AX136" s="3">
        <f>AS136*(1+AX250)</f>
        <v>-13</v>
      </c>
      <c r="AY136" s="3">
        <f>AT136*(1+AY250)</f>
        <v>13</v>
      </c>
      <c r="AZ136" s="3">
        <f>AU136*(1+AZ250)</f>
        <v>-45</v>
      </c>
      <c r="BA136" s="3">
        <f>SUM(AW136:AZ136)</f>
        <v>-87</v>
      </c>
      <c r="BB136" s="3">
        <f>AW136*(1+BB250)</f>
        <v>-42</v>
      </c>
      <c r="BC136" s="3">
        <f>AX136*(1+BC250)</f>
        <v>-13</v>
      </c>
      <c r="BD136" s="3">
        <f>AY136*(1+BD250)</f>
        <v>13</v>
      </c>
      <c r="BE136" s="3">
        <f>AZ136*(1+BE250)</f>
        <v>-45</v>
      </c>
      <c r="BF136" s="3">
        <f>SUM(BB136:BE136)</f>
        <v>-87</v>
      </c>
      <c r="BG136" s="3">
        <f>BB136*(1+BG250)</f>
        <v>-42</v>
      </c>
      <c r="BH136" s="3">
        <f>BC136*(1+BH250)</f>
        <v>-13</v>
      </c>
      <c r="BI136" s="3">
        <f>BD136*(1+BI250)</f>
        <v>13</v>
      </c>
      <c r="BJ136" s="3">
        <f>BE136*(1+BJ250)</f>
        <v>-45</v>
      </c>
      <c r="BK136" s="3">
        <f>SUM(BG136:BJ136)</f>
        <v>-87</v>
      </c>
      <c r="BL136" s="3">
        <f>BG136*(1+BL250)</f>
        <v>-42</v>
      </c>
      <c r="BM136" s="3">
        <f>BH136*(1+BM250)</f>
        <v>-13</v>
      </c>
      <c r="BN136" s="3">
        <f>BI136*(1+BN250)</f>
        <v>13</v>
      </c>
      <c r="BO136" s="3">
        <f>BJ136*(1+BO250)</f>
        <v>-45</v>
      </c>
      <c r="BP136" s="3">
        <f>SUM(BL136:BO136)</f>
        <v>-87</v>
      </c>
      <c r="BQ136" s="3">
        <f>BL136*(1+BQ250)</f>
        <v>-42</v>
      </c>
      <c r="BR136" s="3">
        <f>BM136*(1+BR250)</f>
        <v>-13</v>
      </c>
      <c r="BS136" s="3">
        <f>BN136*(1+BS250)</f>
        <v>13</v>
      </c>
      <c r="BT136" s="3">
        <f>BO136*(1+BT250)</f>
        <v>-45</v>
      </c>
      <c r="BU136" s="3">
        <f>SUM(BQ136:BT136)</f>
        <v>-87</v>
      </c>
      <c r="BV136" s="3">
        <f>BQ136*(1+BV250)</f>
        <v>-42</v>
      </c>
      <c r="BW136" s="3">
        <f>BR136*(1+BW250)</f>
        <v>-13</v>
      </c>
      <c r="BX136" s="3">
        <f>BS136*(1+BX250)</f>
        <v>13</v>
      </c>
      <c r="BY136" s="3">
        <f>BT136*(1+BY250)</f>
        <v>-45</v>
      </c>
      <c r="BZ136" s="3">
        <f>SUM(BV136:BY136)</f>
        <v>-87</v>
      </c>
      <c r="CA136" s="3">
        <f>BV136*(1+CA250)</f>
        <v>-42</v>
      </c>
      <c r="CB136" s="3">
        <f>BW136*(1+CB250)</f>
        <v>-13</v>
      </c>
      <c r="CC136" s="3">
        <f>BX136*(1+CC250)</f>
        <v>13</v>
      </c>
      <c r="CD136" s="3">
        <f>BY136*(1+CD250)</f>
        <v>-45</v>
      </c>
      <c r="CE136" s="3">
        <f>SUM(CA136:CD136)</f>
        <v>-87</v>
      </c>
      <c r="CF136" s="3">
        <f>CA136*(1+CF250)</f>
        <v>-42</v>
      </c>
      <c r="CG136" s="3">
        <f>CB136*(1+CG250)</f>
        <v>-13</v>
      </c>
      <c r="CH136" s="3">
        <f>CC136*(1+CH250)</f>
        <v>13</v>
      </c>
      <c r="CI136" s="3">
        <f>CD136*(1+CI250)</f>
        <v>-45</v>
      </c>
      <c r="CJ136" s="3">
        <f>SUM(CF136:CI136)</f>
        <v>-87</v>
      </c>
      <c r="CK136" s="3">
        <f>CF136*(1+CK250)</f>
        <v>-42</v>
      </c>
      <c r="CL136" s="3">
        <f>CG136*(1+CL250)</f>
        <v>-13</v>
      </c>
      <c r="CM136" s="3">
        <f>CH136*(1+CM250)</f>
        <v>13</v>
      </c>
      <c r="CN136" s="3">
        <f>CI136*(1+CN250)</f>
        <v>-45</v>
      </c>
      <c r="CO136" s="3">
        <f>SUM(CK136:CN136)</f>
        <v>-87</v>
      </c>
      <c r="CP136" s="3">
        <f>CK136*(1+CP250)</f>
        <v>-42</v>
      </c>
      <c r="CQ136" s="3">
        <f>CL136*(1+CQ250)</f>
        <v>-13</v>
      </c>
      <c r="CR136" s="3">
        <f>CM136*(1+CR250)</f>
        <v>13</v>
      </c>
      <c r="CS136" s="3">
        <f>CN136*(1+CS250)</f>
        <v>-45</v>
      </c>
      <c r="CT136" s="3">
        <f>SUM(CP136:CS136)</f>
        <v>-87</v>
      </c>
      <c r="CU136" s="3">
        <f>CP136*(1+CU250)</f>
        <v>-42</v>
      </c>
      <c r="CV136" s="3">
        <f>CQ136*(1+CV250)</f>
        <v>-13</v>
      </c>
      <c r="CW136" s="3">
        <f>CR136*(1+CW250)</f>
        <v>13</v>
      </c>
      <c r="CX136" s="3">
        <f>CS136*(1+CX250)</f>
        <v>-45</v>
      </c>
      <c r="CY136" s="3">
        <f>SUM(CU136:CX136)</f>
        <v>-87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2775</v>
      </c>
      <c r="E137" s="16">
        <f>SUM(E130,E131,E135,E136)</f>
        <v>1779</v>
      </c>
      <c r="F137" s="16">
        <f>SUM(F130,F131,F135,F136)</f>
        <v>1737</v>
      </c>
      <c r="G137" s="16">
        <f>SUM(G130,G131,G135,G136)</f>
        <v>1456</v>
      </c>
      <c r="H137" s="16">
        <f>SUM(D137:G137)</f>
        <v>7747</v>
      </c>
      <c r="I137" s="16">
        <f>SUM(I130,I131,I135,I136)</f>
        <v>2245</v>
      </c>
      <c r="J137" s="16">
        <f>SUM(J130,J131,J135,J136)</f>
        <v>2641</v>
      </c>
      <c r="K137" s="16">
        <f>SUM(K130,K131,K135,K136)</f>
        <v>2471</v>
      </c>
      <c r="L137" s="16">
        <f>SUM(L130,L131,L135,L136)</f>
        <v>2414</v>
      </c>
      <c r="M137" s="16">
        <f>SUM(I137:L137)</f>
        <v>9771</v>
      </c>
      <c r="N137" s="16">
        <f>SUM(N130,N131,N135,N136)</f>
        <v>2781</v>
      </c>
      <c r="O137" s="16">
        <f>SUM(O130,O131,O135,O136)</f>
        <v>1905</v>
      </c>
      <c r="P137" s="16">
        <f>SUM(P130,P131,P135,P136)</f>
        <v>2825</v>
      </c>
      <c r="Q137" s="16">
        <f>SUM(Q130,Q131,Q135,Q136)</f>
        <v>2031</v>
      </c>
      <c r="R137" s="16">
        <f>SUM(N137:Q137)</f>
        <v>9542</v>
      </c>
      <c r="S137" s="16">
        <f>SUM(S130,S131,S135,S136)</f>
        <v>3107</v>
      </c>
      <c r="T137" s="16">
        <f>SUM(T130,T131,T135,T136)</f>
        <v>2547</v>
      </c>
      <c r="U137" s="16">
        <f>SUM(U130,U131,U135,U136)</f>
        <v>3087</v>
      </c>
      <c r="V137" s="16">
        <f>SUM(V130,V131,V135,V136)</f>
        <v>1973</v>
      </c>
      <c r="W137" s="16">
        <f>SUM(S137:V137)</f>
        <v>10714</v>
      </c>
      <c r="X137" s="16">
        <f>SUM(X130,X131,X135,X136)</f>
        <v>3177</v>
      </c>
      <c r="Y137" s="16">
        <f>SUM(Y130,Y131,Y135,Y136)</f>
        <v>2411</v>
      </c>
      <c r="Z137" s="16">
        <f>SUM(Z130,Z131,Z135,Z136)</f>
        <v>2848</v>
      </c>
      <c r="AA137" s="16">
        <f>SUM(AA130,AA131,AA135,AA136)</f>
        <v>2195</v>
      </c>
      <c r="AB137" s="16">
        <f>SUM(X137:AA137)</f>
        <v>10631</v>
      </c>
      <c r="AC137" s="16">
        <f>SUM(AC130,AC131,AC135,AC136)</f>
        <v>3330</v>
      </c>
      <c r="AD137" s="16">
        <f>SUM(AD130,AD131,AD135,AD136)</f>
        <v>3810</v>
      </c>
      <c r="AE137" s="16">
        <f>SUM(AE130,AE131,AE135,AE136)</f>
        <v>3696</v>
      </c>
      <c r="AF137" s="16">
        <f>SUM(AF130,AF131,AF135,AF136)</f>
        <v>2271</v>
      </c>
      <c r="AG137" s="16">
        <f>SUM(AC137:AF137)</f>
        <v>13107</v>
      </c>
      <c r="AH137" s="16">
        <f>SUM(AH130,AH131,AH135,AH136)</f>
        <v>3924</v>
      </c>
      <c r="AI137" s="16">
        <f>SUM(AI130,AI131,AI135,AI136)</f>
        <v>4425</v>
      </c>
      <c r="AJ137" s="16">
        <f>SUM(AJ130,AJ131,AJ135,AJ136)</f>
        <v>640</v>
      </c>
      <c r="AK137" s="16">
        <f>SUM(AK130,AK131,AK135,AK136)</f>
        <v>1127</v>
      </c>
      <c r="AL137" s="16">
        <f>SUM(AH137:AK137)</f>
        <v>10116</v>
      </c>
      <c r="AM137" s="16">
        <f>SUM(AM130,AM131,AM135,AM136)</f>
        <v>1130</v>
      </c>
      <c r="AN137" s="16">
        <f>SUM(AN130,AN131,AN135,AN136)</f>
        <v>3585</v>
      </c>
      <c r="AO137" s="16">
        <f>SUM(AO130,AO131,AO135,AO136)</f>
        <v>1185</v>
      </c>
      <c r="AP137" s="16">
        <f>SUM(AP130,AP131,AP135,AP136)</f>
        <v>3553</v>
      </c>
      <c r="AQ137" s="16">
        <f>SUM(AM137:AP137)</f>
        <v>9453</v>
      </c>
      <c r="AR137" s="16">
        <f>SUM(AR130,AR131,AR135,AR136)</f>
        <v>3556</v>
      </c>
      <c r="AS137" s="16">
        <f>SUM(AS130,AS131,AS135,AS136)</f>
        <v>9527</v>
      </c>
      <c r="AT137" s="16">
        <f>SUM(AT130,AT131,AT135,AT136)</f>
        <v>3611</v>
      </c>
      <c r="AU137" s="16">
        <f>SUM(AU130,AU131,AU135,AU136)</f>
        <v>9495</v>
      </c>
      <c r="AV137" s="16">
        <f>SUM(AR137:AU137)</f>
        <v>26189</v>
      </c>
      <c r="AW137" s="16">
        <f>SUM(AW130,AW131,AW135,AW136)</f>
        <v>9498</v>
      </c>
      <c r="AX137" s="16">
        <f>SUM(AX130,AX131,AX135,AX136)</f>
        <v>26263</v>
      </c>
      <c r="AY137" s="16">
        <f>SUM(AY130,AY131,AY135,AY136)</f>
        <v>9553</v>
      </c>
      <c r="AZ137" s="16">
        <f>SUM(AZ130,AZ131,AZ135,AZ136)</f>
        <v>26231</v>
      </c>
      <c r="BA137" s="16">
        <f>SUM(AW137:AZ137)</f>
        <v>71545</v>
      </c>
      <c r="BB137" s="16">
        <f>SUM(BB130,BB131,BB135,BB136)</f>
        <v>26234</v>
      </c>
      <c r="BC137" s="16">
        <f>SUM(BC130,BC131,BC135,BC136)</f>
        <v>71619</v>
      </c>
      <c r="BD137" s="16">
        <f>SUM(BD130,BD131,BD135,BD136)</f>
        <v>26289</v>
      </c>
      <c r="BE137" s="16">
        <f>SUM(BE130,BE131,BE135,BE136)</f>
        <v>71587</v>
      </c>
      <c r="BF137" s="16">
        <f>SUM(BB137:BE137)</f>
        <v>195729</v>
      </c>
      <c r="BG137" s="16">
        <f>SUM(BG130,BG131,BG135,BG136)</f>
        <v>71590</v>
      </c>
      <c r="BH137" s="16">
        <f>SUM(BH130,BH131,BH135,BH136)</f>
        <v>195803</v>
      </c>
      <c r="BI137" s="16">
        <f>SUM(BI130,BI131,BI135,BI136)</f>
        <v>71645</v>
      </c>
      <c r="BJ137" s="16">
        <f>SUM(BJ130,BJ131,BJ135,BJ136)</f>
        <v>195771</v>
      </c>
      <c r="BK137" s="16">
        <f>SUM(BG137:BJ137)</f>
        <v>534809</v>
      </c>
      <c r="BL137" s="16">
        <f>SUM(BL130,BL131,BL135,BL136)</f>
        <v>195774</v>
      </c>
      <c r="BM137" s="16">
        <f>SUM(BM130,BM131,BM135,BM136)</f>
        <v>534883</v>
      </c>
      <c r="BN137" s="16">
        <f>SUM(BN130,BN131,BN135,BN136)</f>
        <v>195829</v>
      </c>
      <c r="BO137" s="16">
        <f>SUM(BO130,BO131,BO135,BO136)</f>
        <v>534851</v>
      </c>
      <c r="BP137" s="16">
        <f>SUM(BL137:BO137)</f>
        <v>1461337</v>
      </c>
      <c r="BQ137" s="16">
        <f>SUM(BQ130,BQ131,BQ135,BQ136)</f>
        <v>534854</v>
      </c>
      <c r="BR137" s="16">
        <f>SUM(BR130,BR131,BR135,BR136)</f>
        <v>1461411</v>
      </c>
      <c r="BS137" s="16">
        <f>SUM(BS130,BS131,BS135,BS136)</f>
        <v>534909</v>
      </c>
      <c r="BT137" s="16">
        <f>SUM(BT130,BT131,BT135,BT136)</f>
        <v>1461379</v>
      </c>
      <c r="BU137" s="16">
        <f>SUM(BQ137:BT137)</f>
        <v>3992553</v>
      </c>
      <c r="BV137" s="16">
        <f>SUM(BV130,BV131,BV135,BV136)</f>
        <v>1461382</v>
      </c>
      <c r="BW137" s="16">
        <f>SUM(BW130,BW131,BW135,BW136)</f>
        <v>3992627</v>
      </c>
      <c r="BX137" s="16">
        <f>SUM(BX130,BX131,BX135,BX136)</f>
        <v>1461437</v>
      </c>
      <c r="BY137" s="16">
        <f>SUM(BY130,BY131,BY135,BY136)</f>
        <v>3992595</v>
      </c>
      <c r="BZ137" s="16">
        <f>SUM(BV137:BY137)</f>
        <v>10908041</v>
      </c>
      <c r="CA137" s="16">
        <f>SUM(CA130,CA131,CA135,CA136)</f>
        <v>3992598</v>
      </c>
      <c r="CB137" s="16">
        <f>SUM(CB130,CB131,CB135,CB136)</f>
        <v>10908115</v>
      </c>
      <c r="CC137" s="16">
        <f>SUM(CC130,CC131,CC135,CC136)</f>
        <v>3992653</v>
      </c>
      <c r="CD137" s="16">
        <f>SUM(CD130,CD131,CD135,CD136)</f>
        <v>10908083</v>
      </c>
      <c r="CE137" s="16">
        <f>SUM(CA137:CD137)</f>
        <v>29801449</v>
      </c>
      <c r="CF137" s="16">
        <f>SUM(CF130,CF131,CF135,CF136)</f>
        <v>10908086</v>
      </c>
      <c r="CG137" s="16">
        <f>SUM(CG130,CG131,CG135,CG136)</f>
        <v>29801523</v>
      </c>
      <c r="CH137" s="16">
        <f>SUM(CH130,CH131,CH135,CH136)</f>
        <v>10908141</v>
      </c>
      <c r="CI137" s="16">
        <f>SUM(CI130,CI131,CI135,CI136)</f>
        <v>29801491</v>
      </c>
      <c r="CJ137" s="16">
        <f>SUM(CF137:CI137)</f>
        <v>81419241</v>
      </c>
      <c r="CK137" s="16">
        <f>SUM(CK130,CK131,CK135,CK136)</f>
        <v>29801494</v>
      </c>
      <c r="CL137" s="16">
        <f>SUM(CL130,CL131,CL135,CL136)</f>
        <v>81419315</v>
      </c>
      <c r="CM137" s="16">
        <f>SUM(CM130,CM131,CM135,CM136)</f>
        <v>29801549</v>
      </c>
      <c r="CN137" s="16">
        <f>SUM(CN130,CN131,CN135,CN136)</f>
        <v>81419283</v>
      </c>
      <c r="CO137" s="16">
        <f>SUM(CK137:CN137)</f>
        <v>222441641</v>
      </c>
      <c r="CP137" s="16">
        <f>SUM(CP130,CP131,CP135,CP136)</f>
        <v>81419286</v>
      </c>
      <c r="CQ137" s="16">
        <f>SUM(CQ130,CQ131,CQ135,CQ136)</f>
        <v>222441715</v>
      </c>
      <c r="CR137" s="16">
        <f>SUM(CR130,CR131,CR135,CR136)</f>
        <v>81419341</v>
      </c>
      <c r="CS137" s="16">
        <f>SUM(CS130,CS131,CS135,CS136)</f>
        <v>222441683</v>
      </c>
      <c r="CT137" s="16">
        <f>SUM(CP137:CS137)</f>
        <v>607722025</v>
      </c>
      <c r="CU137" s="16">
        <f>SUM(CU130,CU131,CU135,CU136)</f>
        <v>222441686</v>
      </c>
      <c r="CV137" s="16">
        <f>SUM(CV130,CV131,CV135,CV136)</f>
        <v>607722099</v>
      </c>
      <c r="CW137" s="16">
        <f>SUM(CW130,CW131,CW135,CW136)</f>
        <v>222441741</v>
      </c>
      <c r="CX137" s="16">
        <f>SUM(CX130,CX131,CX135,CX136)</f>
        <v>607722067</v>
      </c>
      <c r="CY137" s="16">
        <f>SUM(CU137:CX137)</f>
        <v>1660327593</v>
      </c>
    </row>
    <row r="138">
      <c r="C138" s="24" t="inlineStr">
        <is>
          <t>Common Dividends</t>
        </is>
      </c>
      <c r="D138" s="25">
        <f>INDEX('Inputs (2)'!$D$13:$AL$13,MATCH(D$7,'Inputs (2)'!$D$2:$AL$2,0))</f>
        <v>0</v>
      </c>
      <c r="E138" s="25">
        <f>INDEX('Inputs (2)'!$D$13:$AL$13,MATCH(E$7,'Inputs (2)'!$D$2:$AL$2,0))</f>
        <v>-1761</v>
      </c>
      <c r="F138" s="25">
        <f>INDEX('Inputs (2)'!$D$13:$AL$13,MATCH(F$7,'Inputs (2)'!$D$2:$AL$2,0))</f>
        <v>-1761</v>
      </c>
      <c r="G138" s="25">
        <f>INDEX('Inputs (2)'!$D$13:$AL$13,MATCH(G$7,'Inputs (2)'!$D$2:$AL$2,0))</f>
        <v>-3525</v>
      </c>
      <c r="H138" s="3">
        <f>SUM(D138:G138)</f>
        <v>-7047</v>
      </c>
      <c r="I138" s="25">
        <f>INDEX('Inputs (2)'!$D$13:$AL$13,MATCH(I$7,'Inputs (2)'!$D$2:$AL$2,0))</f>
        <v>-1810</v>
      </c>
      <c r="J138" s="25">
        <f>INDEX('Inputs (2)'!$D$13:$AL$13,MATCH(J$7,'Inputs (2)'!$D$2:$AL$2,0))</f>
        <v>-1813</v>
      </c>
      <c r="K138" s="25">
        <f>INDEX('Inputs (2)'!$D$13:$AL$13,MATCH(K$7,'Inputs (2)'!$D$2:$AL$2,0))</f>
        <v>-1814</v>
      </c>
      <c r="L138" s="25">
        <f>INDEX('Inputs (2)'!$D$13:$AL$13,MATCH(L$7,'Inputs (2)'!$D$2:$AL$2,0))</f>
        <v>-1815</v>
      </c>
      <c r="M138" s="3">
        <f>SUM(I138:L138)</f>
        <v>-7252</v>
      </c>
      <c r="N138" s="25">
        <f>INDEX('Inputs (2)'!$D$13:$AL$13,MATCH(N$7,'Inputs (2)'!$D$2:$AL$2,0))</f>
        <v>-1906</v>
      </c>
      <c r="O138" s="25">
        <f>INDEX('Inputs (2)'!$D$13:$AL$13,MATCH(O$7,'Inputs (2)'!$D$2:$AL$2,0))</f>
        <v>-1904</v>
      </c>
      <c r="P138" s="25">
        <f>INDEX('Inputs (2)'!$D$13:$AL$13,MATCH(P$7,'Inputs (2)'!$D$2:$AL$2,0))</f>
        <v>-100</v>
      </c>
      <c r="Q138" s="25">
        <f>INDEX('Inputs (2)'!$D$13:$AL$13,MATCH(Q$7,'Inputs (2)'!$D$2:$AL$2,0))</f>
        <v>-3706</v>
      </c>
      <c r="R138" s="3">
        <f>SUM(N138:Q138)</f>
        <v>-7616</v>
      </c>
      <c r="S138" s="25">
        <f>INDEX('Inputs (2)'!$D$13:$AL$13,MATCH(S$7,'Inputs (2)'!$D$2:$AL$2,0))</f>
        <v>-101</v>
      </c>
      <c r="T138" s="25">
        <f>INDEX('Inputs (2)'!$D$13:$AL$13,MATCH(T$7,'Inputs (2)'!$D$2:$AL$2,0))</f>
        <v>-1988</v>
      </c>
      <c r="U138" s="25">
        <f>INDEX('Inputs (2)'!$D$13:$AL$13,MATCH(U$7,'Inputs (2)'!$D$2:$AL$2,0))</f>
        <v>-1989</v>
      </c>
      <c r="V138" s="25">
        <f>INDEX('Inputs (2)'!$D$13:$AL$13,MATCH(V$7,'Inputs (2)'!$D$2:$AL$2,0))</f>
        <v>-3874</v>
      </c>
      <c r="W138" s="3">
        <f>SUM(S138:V138)</f>
        <v>-7952</v>
      </c>
      <c r="X138" s="25">
        <f>INDEX('Inputs (2)'!$D$13:$AL$13,MATCH(X$7,'Inputs (2)'!$D$2:$AL$2,0))</f>
        <v>-99</v>
      </c>
      <c r="Y138" s="25">
        <f>INDEX('Inputs (2)'!$D$13:$AL$13,MATCH(Y$7,'Inputs (2)'!$D$2:$AL$2,0))</f>
        <v>-2085</v>
      </c>
      <c r="Z138" s="25">
        <f>INDEX('Inputs (2)'!$D$13:$AL$13,MATCH(Z$7,'Inputs (2)'!$D$2:$AL$2,0))</f>
        <v>-2090</v>
      </c>
      <c r="AA138" s="25">
        <f>INDEX('Inputs (2)'!$D$13:$AL$13,MATCH(AA$7,'Inputs (2)'!$D$2:$AL$2,0))</f>
        <v>-4085</v>
      </c>
      <c r="AB138" s="3">
        <f>SUM(X138:AA138)</f>
        <v>-8359</v>
      </c>
      <c r="AC138" s="25">
        <f>INDEX('Inputs (2)'!$D$13:$AL$13,MATCH(AC$7,'Inputs (2)'!$D$2:$AL$2,0))</f>
        <v>-89</v>
      </c>
      <c r="AD138" s="25">
        <f>INDEX('Inputs (2)'!$D$13:$AL$13,MATCH(AD$7,'Inputs (2)'!$D$2:$AL$2,0))</f>
        <v>-2194</v>
      </c>
      <c r="AE138" s="25">
        <f>INDEX('Inputs (2)'!$D$13:$AL$13,MATCH(AE$7,'Inputs (2)'!$D$2:$AL$2,0))</f>
        <v>-2108</v>
      </c>
      <c r="AF138" s="25">
        <f>INDEX('Inputs (2)'!$D$13:$AL$13,MATCH(AF$7,'Inputs (2)'!$D$2:$AL$2,0))</f>
        <v>-4388</v>
      </c>
      <c r="AG138" s="3">
        <f>SUM(AC138:AF138)</f>
        <v>-8779</v>
      </c>
      <c r="AH138" s="3">
        <f>INDEX('Inputs (2)'!$D$13:$AL$13,MATCH(AH$7,'Inputs (2)'!$D$2:$AL$2,0))</f>
        <v>-2281</v>
      </c>
      <c r="AI138" s="3">
        <f>INDEX('Inputs (2)'!$D$13:$AL$13,MATCH(AI$7,'Inputs (2)'!$D$2:$AL$2,0))</f>
        <v>-2281</v>
      </c>
      <c r="AJ138" s="3" t="n"/>
      <c r="AK138" s="3" t="n"/>
      <c r="AL138" s="3">
        <f>SUM(AH138:AK138)</f>
        <v>-4562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</v>
      </c>
      <c r="E139" s="40">
        <f>-E138/E137</f>
        <v>0.989881956155143</v>
      </c>
      <c r="F139" s="40">
        <f>-F138/F137</f>
        <v>1.01381692573402</v>
      </c>
      <c r="G139" s="40">
        <f>-G138/G137</f>
        <v>2.42101648351648</v>
      </c>
      <c r="H139" s="40">
        <f>-H138/H137</f>
        <v>0.909642442235704</v>
      </c>
      <c r="I139" s="40">
        <f>-I138/I137</f>
        <v>0.806236080178174</v>
      </c>
      <c r="J139" s="40">
        <f>-J138/J137</f>
        <v>0.686482393032942</v>
      </c>
      <c r="K139" s="40">
        <f>-K138/K137</f>
        <v>0.734115742614326</v>
      </c>
      <c r="L139" s="40">
        <f>-L138/L137</f>
        <v>0.751864125932063</v>
      </c>
      <c r="M139" s="40">
        <f>-M138/M137</f>
        <v>0.742196295159144</v>
      </c>
      <c r="N139" s="40">
        <f>-N138/N137</f>
        <v>0.685364976627113</v>
      </c>
      <c r="O139" s="40">
        <f>-O138/O137</f>
        <v>0.999475065616798</v>
      </c>
      <c r="P139" s="40">
        <f>-P138/P137</f>
        <v>0.0353982300884956</v>
      </c>
      <c r="Q139" s="40">
        <f>-Q138/Q137</f>
        <v>1.8247168882324</v>
      </c>
      <c r="R139" s="40">
        <f>-R138/R137</f>
        <v>0.798155522951163</v>
      </c>
      <c r="S139" s="40">
        <f>-S138/S137</f>
        <v>0.0325072417122626</v>
      </c>
      <c r="T139" s="40">
        <f>-T138/T137</f>
        <v>0.780526109148017</v>
      </c>
      <c r="U139" s="40">
        <f>-U138/U137</f>
        <v>0.644314868804665</v>
      </c>
      <c r="V139" s="40">
        <f>-V138/V137</f>
        <v>1.96350734921439</v>
      </c>
      <c r="W139" s="40">
        <f>-W138/W137</f>
        <v>0.742206458838902</v>
      </c>
      <c r="X139" s="40">
        <f>-X138/X137</f>
        <v>0.0311614730878187</v>
      </c>
      <c r="Y139" s="40">
        <f>-Y138/Y137</f>
        <v>0.864786395686437</v>
      </c>
      <c r="Z139" s="40">
        <f>-Z138/Z137</f>
        <v>0.733848314606742</v>
      </c>
      <c r="AA139" s="40">
        <f>-AA138/AA137</f>
        <v>1.86104783599089</v>
      </c>
      <c r="AB139" s="40">
        <f>-AB138/AB137</f>
        <v>0.78628539177876</v>
      </c>
      <c r="AC139" s="40">
        <f>-AC138/AC137</f>
        <v>0.0267267267267267</v>
      </c>
      <c r="AD139" s="40">
        <f>-AD138/AD137</f>
        <v>0.575853018372703</v>
      </c>
      <c r="AE139" s="40">
        <f>-AE138/AE137</f>
        <v>0.57034632034632</v>
      </c>
      <c r="AF139" s="44">
        <f>-AF138/AF137</f>
        <v>1.93218846323206</v>
      </c>
      <c r="AG139" s="3" t="n"/>
      <c r="AH139" s="44">
        <f>-AH138/AH137</f>
        <v>0.581294597349643</v>
      </c>
      <c r="AI139" s="44">
        <f>-AI138/AI137</f>
        <v>0.515480225988701</v>
      </c>
      <c r="AJ139" s="44" t="n"/>
      <c r="AK139" s="44" t="n"/>
      <c r="AL139" s="3">
        <f>-AL138/AL137</f>
        <v>0.450968762356663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13561</v>
      </c>
      <c r="E144" s="25">
        <f>INDEX('Inputs (2)'!$D$15:$AL$15,MATCH(E$7,'Inputs (2)'!$D$2:$AL$2,0))</f>
        <v>10037</v>
      </c>
      <c r="F144" s="25">
        <f>INDEX('Inputs (2)'!$D$15:$AL$15,MATCH(F$7,'Inputs (2)'!$D$2:$AL$2,0))</f>
        <v>11385</v>
      </c>
      <c r="G144" s="25">
        <f>INDEX('Inputs (2)'!$D$15:$AL$15,MATCH(G$7,'Inputs (2)'!$D$2:$AL$2,0))</f>
        <v>9143</v>
      </c>
      <c r="H144" s="3">
        <f>G144</f>
        <v>9143</v>
      </c>
      <c r="I144" s="25">
        <f>INDEX('Inputs (2)'!$D$15:$AL$15,MATCH(I$7,'Inputs (2)'!$D$2:$AL$2,0))</f>
        <v>8484</v>
      </c>
      <c r="J144" s="25">
        <f>INDEX('Inputs (2)'!$D$15:$AL$15,MATCH(J$7,'Inputs (2)'!$D$2:$AL$2,0))</f>
        <v>9188</v>
      </c>
      <c r="K144" s="25">
        <f>INDEX('Inputs (2)'!$D$15:$AL$15,MATCH(K$7,'Inputs (2)'!$D$2:$AL$2,0))</f>
        <v>11301</v>
      </c>
      <c r="L144" s="25">
        <f>INDEX('Inputs (2)'!$D$15:$AL$15,MATCH(L$7,'Inputs (2)'!$D$2:$AL$2,0))</f>
        <v>9684</v>
      </c>
      <c r="M144" s="3">
        <f>L144</f>
        <v>9684</v>
      </c>
      <c r="N144" s="25">
        <f>INDEX('Inputs (2)'!$D$15:$AL$15,MATCH(N$7,'Inputs (2)'!$D$2:$AL$2,0))</f>
        <v>7681</v>
      </c>
      <c r="O144" s="25">
        <f>INDEX('Inputs (2)'!$D$15:$AL$15,MATCH(O$7,'Inputs (2)'!$D$2:$AL$2,0))</f>
        <v>8976</v>
      </c>
      <c r="P144" s="25">
        <f>INDEX('Inputs (2)'!$D$15:$AL$15,MATCH(P$7,'Inputs (2)'!$D$2:$AL$2,0))</f>
        <v>10127</v>
      </c>
      <c r="Q144" s="25">
        <f>INDEX('Inputs (2)'!$D$15:$AL$15,MATCH(Q$7,'Inputs (2)'!$D$2:$AL$2,0))</f>
        <v>9519</v>
      </c>
      <c r="R144" s="3">
        <f>Q144</f>
        <v>9519</v>
      </c>
      <c r="S144" s="25">
        <f>INDEX('Inputs (2)'!$D$15:$AL$15,MATCH(S$7,'Inputs (2)'!$D$2:$AL$2,0))</f>
        <v>12004</v>
      </c>
      <c r="T144" s="25">
        <f>INDEX('Inputs (2)'!$D$15:$AL$15,MATCH(T$7,'Inputs (2)'!$D$2:$AL$2,0))</f>
        <v>12564</v>
      </c>
      <c r="U144" s="25">
        <f>INDEX('Inputs (2)'!$D$15:$AL$15,MATCH(U$7,'Inputs (2)'!$D$2:$AL$2,0))</f>
        <v>11883</v>
      </c>
      <c r="V144" s="25">
        <f>INDEX('Inputs (2)'!$D$15:$AL$15,MATCH(V$7,'Inputs (2)'!$D$2:$AL$2,0))</f>
        <v>9366</v>
      </c>
      <c r="W144" s="3">
        <f>V144</f>
        <v>9366</v>
      </c>
      <c r="X144" s="25">
        <f>INDEX('Inputs (2)'!$D$15:$AL$15,MATCH(X$7,'Inputs (2)'!$D$2:$AL$2,0))</f>
        <v>10443</v>
      </c>
      <c r="Y144" s="25">
        <f>INDEX('Inputs (2)'!$D$15:$AL$15,MATCH(Y$7,'Inputs (2)'!$D$2:$AL$2,0))</f>
        <v>13708</v>
      </c>
      <c r="Z144" s="25">
        <f>INDEX('Inputs (2)'!$D$15:$AL$15,MATCH(Z$7,'Inputs (2)'!$D$2:$AL$2,0))</f>
        <v>13938</v>
      </c>
      <c r="AA144" s="25">
        <f>INDEX('Inputs (2)'!$D$15:$AL$15,MATCH(AA$7,'Inputs (2)'!$D$2:$AL$2,0))</f>
        <v>10828</v>
      </c>
      <c r="AB144" s="3">
        <f>AA144</f>
        <v>10828</v>
      </c>
      <c r="AC144" s="25">
        <f>INDEX('Inputs (2)'!$D$15:$AL$15,MATCH(AC$7,'Inputs (2)'!$D$2:$AL$2,0))</f>
        <v>8417</v>
      </c>
      <c r="AD144" s="25">
        <f>INDEX('Inputs (2)'!$D$15:$AL$15,MATCH(AD$7,'Inputs (2)'!$D$2:$AL$2,0))</f>
        <v>9590</v>
      </c>
      <c r="AE144" s="25">
        <f>INDEX('Inputs (2)'!$D$15:$AL$15,MATCH(AE$7,'Inputs (2)'!$D$2:$AL$2,0))</f>
        <v>12732</v>
      </c>
      <c r="AF144" s="25">
        <f>INDEX('Inputs (2)'!$D$15:$AL$15,MATCH(AF$7,'Inputs (2)'!$D$2:$AL$2,0))</f>
        <v>10270</v>
      </c>
      <c r="AG144" s="3">
        <f>AF144</f>
        <v>10270</v>
      </c>
      <c r="AH144" s="3">
        <f>INDEX('Inputs (2)'!$D$15:$AL$15,MATCH(AH$7,'Inputs (2)'!$D$2:$AL$2,0))</f>
        <v>10574</v>
      </c>
      <c r="AI144" s="3">
        <f>INDEX('Inputs (2)'!$D$15:$AL$15,MATCH(AI$7,'Inputs (2)'!$D$2:$AL$2,0))</f>
        <v>12907</v>
      </c>
      <c r="AJ144" s="3">
        <f>AI144+AJ314</f>
        <v>18197</v>
      </c>
      <c r="AK144" s="3">
        <f>AJ144+AK314</f>
        <v>19369</v>
      </c>
      <c r="AL144" s="3">
        <f>AK144</f>
        <v>19369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4430</v>
      </c>
      <c r="E145" s="25">
        <f>INDEX('Inputs (2)'!$D$16:$AL$16,MATCH(E$7,'Inputs (2)'!$D$2:$AL$2,0))</f>
        <v>3849</v>
      </c>
      <c r="F145" s="25">
        <f>INDEX('Inputs (2)'!$D$16:$AL$16,MATCH(F$7,'Inputs (2)'!$D$2:$AL$2,0))</f>
        <v>3827</v>
      </c>
      <c r="G145" s="25">
        <f>INDEX('Inputs (2)'!$D$16:$AL$16,MATCH(G$7,'Inputs (2)'!$D$2:$AL$2,0))</f>
        <v>3144</v>
      </c>
      <c r="H145" s="3">
        <f>G145</f>
        <v>3144</v>
      </c>
      <c r="I145" s="25">
        <f>INDEX('Inputs (2)'!$D$16:$AL$16,MATCH(I$7,'Inputs (2)'!$D$2:$AL$2,0))</f>
        <v>3762</v>
      </c>
      <c r="J145" s="25">
        <f>INDEX('Inputs (2)'!$D$16:$AL$16,MATCH(J$7,'Inputs (2)'!$D$2:$AL$2,0))</f>
        <v>4036</v>
      </c>
      <c r="K145" s="25">
        <f>INDEX('Inputs (2)'!$D$16:$AL$16,MATCH(K$7,'Inputs (2)'!$D$2:$AL$2,0))</f>
        <v>3889</v>
      </c>
      <c r="L145" s="25">
        <f>INDEX('Inputs (2)'!$D$16:$AL$16,MATCH(L$7,'Inputs (2)'!$D$2:$AL$2,0))</f>
        <v>3512</v>
      </c>
      <c r="M145" s="3">
        <f>L145</f>
        <v>3512</v>
      </c>
      <c r="N145" s="25">
        <f>INDEX('Inputs (2)'!$D$16:$AL$16,MATCH(N$7,'Inputs (2)'!$D$2:$AL$2,0))</f>
        <v>4641</v>
      </c>
      <c r="O145" s="25">
        <f>INDEX('Inputs (2)'!$D$16:$AL$16,MATCH(O$7,'Inputs (2)'!$D$2:$AL$2,0))</f>
        <v>4494</v>
      </c>
      <c r="P145" s="25">
        <f>INDEX('Inputs (2)'!$D$16:$AL$16,MATCH(P$7,'Inputs (2)'!$D$2:$AL$2,0))</f>
        <v>3994</v>
      </c>
      <c r="Q145" s="25">
        <f>INDEX('Inputs (2)'!$D$16:$AL$16,MATCH(Q$7,'Inputs (2)'!$D$2:$AL$2,0))</f>
        <v>3487</v>
      </c>
      <c r="R145" s="3">
        <f>Q145</f>
        <v>3487</v>
      </c>
      <c r="S145" s="25">
        <f>INDEX('Inputs (2)'!$D$16:$AL$16,MATCH(S$7,'Inputs (2)'!$D$2:$AL$2,0))</f>
        <v>4599</v>
      </c>
      <c r="T145" s="25">
        <f>INDEX('Inputs (2)'!$D$16:$AL$16,MATCH(T$7,'Inputs (2)'!$D$2:$AL$2,0))</f>
        <v>3970</v>
      </c>
      <c r="U145" s="25">
        <f>INDEX('Inputs (2)'!$D$16:$AL$16,MATCH(U$7,'Inputs (2)'!$D$2:$AL$2,0))</f>
        <v>3495</v>
      </c>
      <c r="V145" s="25">
        <f>INDEX('Inputs (2)'!$D$16:$AL$16,MATCH(V$7,'Inputs (2)'!$D$2:$AL$2,0))</f>
        <v>3410</v>
      </c>
      <c r="W145" s="3">
        <f>V145</f>
        <v>3410</v>
      </c>
      <c r="X145" s="25">
        <f>INDEX('Inputs (2)'!$D$16:$AL$16,MATCH(X$7,'Inputs (2)'!$D$2:$AL$2,0))</f>
        <v>4244</v>
      </c>
      <c r="Y145" s="25">
        <f>INDEX('Inputs (2)'!$D$16:$AL$16,MATCH(Y$7,'Inputs (2)'!$D$2:$AL$2,0))</f>
        <v>4545</v>
      </c>
      <c r="Z145" s="25">
        <f>INDEX('Inputs (2)'!$D$16:$AL$16,MATCH(Z$7,'Inputs (2)'!$D$2:$AL$2,0))</f>
        <v>4233</v>
      </c>
      <c r="AA145" s="25">
        <f>INDEX('Inputs (2)'!$D$16:$AL$16,MATCH(AA$7,'Inputs (2)'!$D$2:$AL$2,0))</f>
        <v>3569</v>
      </c>
      <c r="AB145" s="3">
        <f>AA145</f>
        <v>3569</v>
      </c>
      <c r="AC145" s="25">
        <f>INDEX('Inputs (2)'!$D$16:$AL$16,MATCH(AC$7,'Inputs (2)'!$D$2:$AL$2,0))</f>
        <v>4091</v>
      </c>
      <c r="AD145" s="25">
        <f>INDEX('Inputs (2)'!$D$16:$AL$16,MATCH(AD$7,'Inputs (2)'!$D$2:$AL$2,0))</f>
        <v>4168</v>
      </c>
      <c r="AE145" s="25">
        <f>INDEX('Inputs (2)'!$D$16:$AL$16,MATCH(AE$7,'Inputs (2)'!$D$2:$AL$2,0))</f>
        <v>3946</v>
      </c>
      <c r="AF145" s="25">
        <f>INDEX('Inputs (2)'!$D$16:$AL$16,MATCH(AF$7,'Inputs (2)'!$D$2:$AL$2,0))</f>
        <v>3038</v>
      </c>
      <c r="AG145" s="3">
        <f>AF145</f>
        <v>3038</v>
      </c>
      <c r="AH145" s="3">
        <f>INDEX('Inputs (2)'!$D$16:$AL$16,MATCH(AH$7,'Inputs (2)'!$D$2:$AL$2,0))</f>
        <v>3675</v>
      </c>
      <c r="AI145" s="3">
        <f>INDEX('Inputs (2)'!$D$16:$AL$16,MATCH(AI$7,'Inputs (2)'!$D$2:$AL$2,0))</f>
        <v>3732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48.9872727272727</v>
      </c>
      <c r="F146" s="3">
        <f>(F145/F$15)*(F$5-E$5)</f>
        <v>40.6939435968562</v>
      </c>
      <c r="G146" s="3">
        <f>(G145/G$15)*(G$5-F$5)</f>
        <v>33.5905237486935</v>
      </c>
      <c r="H146" s="3" t="n"/>
      <c r="I146" s="3">
        <f>(I145/I$15)*(I$5-H$5)</f>
        <v>37.5365853658537</v>
      </c>
      <c r="J146" s="3">
        <f>(J145/J$15)*(J$5-I$5)</f>
        <v>36.2598479612992</v>
      </c>
      <c r="K146" s="3">
        <f>(K145/K$15)*(K$5-J$5)</f>
        <v>35.629157538339</v>
      </c>
      <c r="L146" s="3">
        <f>(L145/L$15)*(L$5-K$5)</f>
        <v>34.1403212172443</v>
      </c>
      <c r="M146" s="3" t="n"/>
      <c r="N146" s="3">
        <f>(N145/N$15)*(N$5-M$5)</f>
        <v>39.814126394052</v>
      </c>
      <c r="O146" s="3">
        <f>(O145/O$15)*(O$5-N$5)</f>
        <v>36.1107284768212</v>
      </c>
      <c r="P146" s="3">
        <f>(P145/P$15)*(P$5-O$5)</f>
        <v>33.2141372141372</v>
      </c>
      <c r="Q146" s="3">
        <f>(Q145/Q$15)*(Q$5-P$5)</f>
        <v>31.6843456790123</v>
      </c>
      <c r="R146" s="3" t="n"/>
      <c r="S146" s="3">
        <f>(S145/S$15)*(S$5-R$5)</f>
        <v>37.6967213114754</v>
      </c>
      <c r="T146" s="3">
        <f>(T145/T$15)*(T$5-S$5)</f>
        <v>30.1762445706649</v>
      </c>
      <c r="U146" s="3">
        <f>(U145/U$15)*(U$5-T$5)</f>
        <v>26.9003597423241</v>
      </c>
      <c r="V146" s="3">
        <f>(V145/V$15)*(V$5-U$5)</f>
        <v>28.916950871048</v>
      </c>
      <c r="W146" s="3" t="n"/>
      <c r="X146" s="3">
        <f>(X145/X$15)*(X$5-W$5)</f>
        <v>34.1773451327434</v>
      </c>
      <c r="Y146" s="3">
        <f>(Y145/Y$15)*(Y$5-X$5)</f>
        <v>33.4542586750789</v>
      </c>
      <c r="Z146" s="3">
        <f>(Z145/Z$15)*(Z$5-Y$5)</f>
        <v>32.8527079466847</v>
      </c>
      <c r="AA146" s="3">
        <f>(AA145/AA$15)*(AA$5-Z$5)</f>
        <v>28.4431739431739</v>
      </c>
      <c r="AB146" s="3" t="n"/>
      <c r="AC146" s="3">
        <f>(AC145/AC$15)*(AC$5-AB$5)</f>
        <v>33.0838350256088</v>
      </c>
      <c r="AD146" s="3">
        <f>(AD145/AD$15)*(AD$5-AC$5)</f>
        <v>30.258316713203</v>
      </c>
      <c r="AE146" s="3">
        <f>(AE145/AE$15)*(AE$5-AD$5)</f>
        <v>29.1474909674829</v>
      </c>
      <c r="AF146" s="6">
        <f>(AF145/AF$15)*(AF$5-AE$5)</f>
        <v>23.6420233463035</v>
      </c>
      <c r="AG146" s="3" t="n"/>
      <c r="AH146" s="6">
        <f>(AH145/AH$15)*(AH$5-AG$5)</f>
        <v>26.5194034637588</v>
      </c>
      <c r="AI146" s="6">
        <f>(AI145/AI$15)*(AI$5-AH$5)</f>
        <v>25.3820627802691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3558</v>
      </c>
      <c r="E149" s="25">
        <f>INDEX('Inputs (2)'!$D$17:$AL$17,MATCH(E$7,'Inputs (2)'!$D$2:$AL$2,0))</f>
        <v>3501</v>
      </c>
      <c r="F149" s="25">
        <f>INDEX('Inputs (2)'!$D$17:$AL$17,MATCH(F$7,'Inputs (2)'!$D$2:$AL$2,0))</f>
        <v>3264</v>
      </c>
      <c r="G149" s="25">
        <f>INDEX('Inputs (2)'!$D$17:$AL$17,MATCH(G$7,'Inputs (2)'!$D$2:$AL$2,0))</f>
        <v>3266</v>
      </c>
      <c r="H149" s="3">
        <f>G149</f>
        <v>3266</v>
      </c>
      <c r="I149" s="25">
        <f>INDEX('Inputs (2)'!$D$17:$AL$17,MATCH(I$7,'Inputs (2)'!$D$2:$AL$2,0))</f>
        <v>3356</v>
      </c>
      <c r="J149" s="25">
        <f>INDEX('Inputs (2)'!$D$17:$AL$17,MATCH(J$7,'Inputs (2)'!$D$2:$AL$2,0))</f>
        <v>3281</v>
      </c>
      <c r="K149" s="25">
        <f>INDEX('Inputs (2)'!$D$17:$AL$17,MATCH(K$7,'Inputs (2)'!$D$2:$AL$2,0))</f>
        <v>3182</v>
      </c>
      <c r="L149" s="25">
        <f>INDEX('Inputs (2)'!$D$17:$AL$17,MATCH(L$7,'Inputs (2)'!$D$2:$AL$2,0))</f>
        <v>3414</v>
      </c>
      <c r="M149" s="3">
        <f>L149</f>
        <v>3414</v>
      </c>
      <c r="N149" s="25">
        <f>INDEX('Inputs (2)'!$D$17:$AL$17,MATCH(N$7,'Inputs (2)'!$D$2:$AL$2,0))</f>
        <v>3741</v>
      </c>
      <c r="O149" s="25">
        <f>INDEX('Inputs (2)'!$D$17:$AL$17,MATCH(O$7,'Inputs (2)'!$D$2:$AL$2,0))</f>
        <v>3621</v>
      </c>
      <c r="P149" s="25">
        <f>INDEX('Inputs (2)'!$D$17:$AL$17,MATCH(P$7,'Inputs (2)'!$D$2:$AL$2,0))</f>
        <v>3708</v>
      </c>
      <c r="Q149" s="25">
        <f>INDEX('Inputs (2)'!$D$17:$AL$17,MATCH(Q$7,'Inputs (2)'!$D$2:$AL$2,0))</f>
        <v>4233</v>
      </c>
      <c r="R149" s="3">
        <f>Q149</f>
        <v>4233</v>
      </c>
      <c r="S149" s="25">
        <f>INDEX('Inputs (2)'!$D$17:$AL$17,MATCH(S$7,'Inputs (2)'!$D$2:$AL$2,0))</f>
        <v>4727</v>
      </c>
      <c r="T149" s="25">
        <f>INDEX('Inputs (2)'!$D$17:$AL$17,MATCH(T$7,'Inputs (2)'!$D$2:$AL$2,0))</f>
        <v>4646</v>
      </c>
      <c r="U149" s="25">
        <f>INDEX('Inputs (2)'!$D$17:$AL$17,MATCH(U$7,'Inputs (2)'!$D$2:$AL$2,0))</f>
        <v>4252</v>
      </c>
      <c r="V149" s="25">
        <f>INDEX('Inputs (2)'!$D$17:$AL$17,MATCH(V$7,'Inputs (2)'!$D$2:$AL$2,0))</f>
        <v>4424</v>
      </c>
      <c r="W149" s="3">
        <f>V149</f>
        <v>4424</v>
      </c>
      <c r="X149" s="25">
        <f>INDEX('Inputs (2)'!$D$17:$AL$17,MATCH(X$7,'Inputs (2)'!$D$2:$AL$2,0))</f>
        <v>4961</v>
      </c>
      <c r="Y149" s="25">
        <f>INDEX('Inputs (2)'!$D$17:$AL$17,MATCH(Y$7,'Inputs (2)'!$D$2:$AL$2,0))</f>
        <v>4763</v>
      </c>
      <c r="Z149" s="25">
        <f>INDEX('Inputs (2)'!$D$17:$AL$17,MATCH(Z$7,'Inputs (2)'!$D$2:$AL$2,0))</f>
        <v>4714</v>
      </c>
      <c r="AA149" s="25">
        <f>INDEX('Inputs (2)'!$D$17:$AL$17,MATCH(AA$7,'Inputs (2)'!$D$2:$AL$2,0))</f>
        <v>4728</v>
      </c>
      <c r="AB149" s="3">
        <f>AA149</f>
        <v>4728</v>
      </c>
      <c r="AC149" s="25">
        <f>INDEX('Inputs (2)'!$D$17:$AL$17,MATCH(AC$7,'Inputs (2)'!$D$2:$AL$2,0))</f>
        <v>5102</v>
      </c>
      <c r="AD149" s="25">
        <f>INDEX('Inputs (2)'!$D$17:$AL$17,MATCH(AD$7,'Inputs (2)'!$D$2:$AL$2,0))</f>
        <v>5082</v>
      </c>
      <c r="AE149" s="25">
        <f>INDEX('Inputs (2)'!$D$17:$AL$17,MATCH(AE$7,'Inputs (2)'!$D$2:$AL$2,0))</f>
        <v>4802</v>
      </c>
      <c r="AF149" s="25">
        <f>INDEX('Inputs (2)'!$D$17:$AL$17,MATCH(AF$7,'Inputs (2)'!$D$2:$AL$2,0))</f>
        <v>4425</v>
      </c>
      <c r="AG149" s="3">
        <f>AF149</f>
        <v>4425</v>
      </c>
      <c r="AH149" s="3">
        <f>INDEX('Inputs (2)'!$D$17:$AL$17,MATCH(AH$7,'Inputs (2)'!$D$2:$AL$2,0))</f>
        <v>4730</v>
      </c>
      <c r="AI149" s="3">
        <f>INDEX('Inputs (2)'!$D$17:$AL$17,MATCH(AI$7,'Inputs (2)'!$D$2:$AL$2,0))</f>
        <v>4647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105.738798539661</v>
      </c>
      <c r="F150" s="3">
        <f>((F149/F$54)*(F$5-E$5))*-1</f>
        <v>86.5133967156439</v>
      </c>
      <c r="G150" s="3">
        <f>((G149/G$54)*(G$5-F$5))*-1</f>
        <v>83.9776411403018</v>
      </c>
      <c r="H150" s="3" t="n"/>
      <c r="I150" s="3">
        <f>((I149/I$54)*(I$5-H$5))*-1</f>
        <v>86.1740370898716</v>
      </c>
      <c r="J150" s="3">
        <f>((J149/J$54)*(J$5-I$5))*-1</f>
        <v>78.8410351201479</v>
      </c>
      <c r="K150" s="3">
        <f>((K149/K$54)*(K$5-J$5))*-1</f>
        <v>73.6092532059341</v>
      </c>
      <c r="L150" s="3">
        <f>((L149/L$54)*(L$5-K$5))*-1</f>
        <v>76.8317025440313</v>
      </c>
      <c r="M150" s="3" t="n"/>
      <c r="N150" s="3">
        <f>((N149/N$54)*(N$5-M$5))*-1</f>
        <v>82.3001711073087</v>
      </c>
      <c r="O150" s="3">
        <f>((O149/O$54)*(O$5-N$5))*-1</f>
        <v>68.2217391304348</v>
      </c>
      <c r="P150" s="3">
        <f>((P149/P$54)*(P$5-O$5))*-1</f>
        <v>74.7122207621551</v>
      </c>
      <c r="Q150" s="3">
        <f>((Q149/Q$54)*(Q$5-P$5))*-1</f>
        <v>86.2920452027476</v>
      </c>
      <c r="R150" s="3" t="n"/>
      <c r="S150" s="3">
        <f>((S149/S$54)*(S$5-R$5))*-1</f>
        <v>98.5476025017373</v>
      </c>
      <c r="T150" s="3">
        <f>((T149/T$54)*(T$5-S$5))*-1</f>
        <v>86.0720684039088</v>
      </c>
      <c r="U150" s="3">
        <f>((U149/U$54)*(U$5-T$5))*-1</f>
        <v>83.9991410779472</v>
      </c>
      <c r="V150" s="3">
        <f>((V149/V$54)*(V$5-U$5))*-1</f>
        <v>87.8308157099698</v>
      </c>
      <c r="W150" s="3" t="n"/>
      <c r="X150" s="3">
        <f>((X149/X$54)*(X$5-W$5))*-1</f>
        <v>106.6</v>
      </c>
      <c r="Y150" s="3">
        <f>((Y149/Y$54)*(Y$5-X$5))*-1</f>
        <v>90.0733582709892</v>
      </c>
      <c r="Z150" s="3">
        <f>((Z149/Z$54)*(Z$5-Y$5))*-1</f>
        <v>92.9862778730703</v>
      </c>
      <c r="AA150" s="3">
        <f>((AA149/AA$54)*(AA$5-Z$5))*-1</f>
        <v>94.2935183177975</v>
      </c>
      <c r="AB150" s="3" t="n"/>
      <c r="AC150" s="3">
        <f>((AC149/AC$54)*(AC$5-AB$5))*-1</f>
        <v>110.300264232525</v>
      </c>
      <c r="AD150" s="3">
        <f>((AD149/AD$54)*(AD$5-AC$5))*-1</f>
        <v>98.1039456936784</v>
      </c>
      <c r="AE150" s="3">
        <f>((AE149/AE$54)*(AE$5-AD$5))*-1</f>
        <v>92.095893266625</v>
      </c>
      <c r="AF150" s="6">
        <f>((AF149/AF$54)*(AF$5-AE$5))*-1</f>
        <v>86.1952149057802</v>
      </c>
      <c r="AG150" s="3" t="n"/>
      <c r="AH150" s="6">
        <f>((AH149/AH$54)*(AH$5-AG$5))*-1</f>
        <v>92.1428571428571</v>
      </c>
      <c r="AI150" s="6">
        <f>((AI149/AI$54)*(AI$5-AH$5))*-1</f>
        <v>85.1716012084592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>
        <f>INDEX('Inputs (2)'!$D$18:$AL$18,MATCH(D$7,'Inputs (2)'!$D$2:$AL$2,0))</f>
        <v>2275</v>
      </c>
      <c r="E153" s="25">
        <f>INDEX('Inputs (2)'!$D$18:$AL$18,MATCH(E$7,'Inputs (2)'!$D$2:$AL$2,0))</f>
        <v>2366</v>
      </c>
      <c r="F153" s="25">
        <f>INDEX('Inputs (2)'!$D$18:$AL$18,MATCH(F$7,'Inputs (2)'!$D$2:$AL$2,0))</f>
        <v>2439</v>
      </c>
      <c r="G153" s="25">
        <f>INDEX('Inputs (2)'!$D$18:$AL$18,MATCH(G$7,'Inputs (2)'!$D$2:$AL$2,0))</f>
        <v>2460</v>
      </c>
      <c r="H153" s="3">
        <f>G153</f>
        <v>2460</v>
      </c>
      <c r="I153" s="25">
        <f>INDEX('Inputs (2)'!$D$18:$AL$18,MATCH(I$7,'Inputs (2)'!$D$2:$AL$2,0))</f>
        <v>2332</v>
      </c>
      <c r="J153" s="25">
        <f>INDEX('Inputs (2)'!$D$18:$AL$18,MATCH(J$7,'Inputs (2)'!$D$2:$AL$2,0))</f>
        <v>2291</v>
      </c>
      <c r="K153" s="25">
        <f>INDEX('Inputs (2)'!$D$18:$AL$18,MATCH(K$7,'Inputs (2)'!$D$2:$AL$2,0))</f>
        <v>2237</v>
      </c>
      <c r="L153" s="25">
        <f>INDEX('Inputs (2)'!$D$18:$AL$18,MATCH(L$7,'Inputs (2)'!$D$2:$AL$2,0))</f>
        <v>2129</v>
      </c>
      <c r="M153" s="3">
        <f>L153</f>
        <v>2129</v>
      </c>
      <c r="N153" s="25">
        <f>INDEX('Inputs (2)'!$D$18:$AL$18,MATCH(N$7,'Inputs (2)'!$D$2:$AL$2,0))</f>
        <v>2006</v>
      </c>
      <c r="O153" s="25">
        <f>INDEX('Inputs (2)'!$D$18:$AL$18,MATCH(O$7,'Inputs (2)'!$D$2:$AL$2,0))</f>
        <v>1833</v>
      </c>
      <c r="P153" s="25">
        <f>INDEX('Inputs (2)'!$D$18:$AL$18,MATCH(P$7,'Inputs (2)'!$D$2:$AL$2,0))</f>
        <v>1708</v>
      </c>
      <c r="Q153" s="25">
        <f>INDEX('Inputs (2)'!$D$18:$AL$18,MATCH(Q$7,'Inputs (2)'!$D$2:$AL$2,0))</f>
        <v>1746</v>
      </c>
      <c r="R153" s="3">
        <f>Q153</f>
        <v>1746</v>
      </c>
      <c r="S153" s="25">
        <f>INDEX('Inputs (2)'!$D$18:$AL$18,MATCH(S$7,'Inputs (2)'!$D$2:$AL$2,0))</f>
        <v>1696</v>
      </c>
      <c r="T153" s="25">
        <f>INDEX('Inputs (2)'!$D$18:$AL$18,MATCH(T$7,'Inputs (2)'!$D$2:$AL$2,0))</f>
        <v>1661</v>
      </c>
      <c r="U153" s="25">
        <f>INDEX('Inputs (2)'!$D$18:$AL$18,MATCH(U$7,'Inputs (2)'!$D$2:$AL$2,0))</f>
        <v>1575</v>
      </c>
      <c r="V153" s="25">
        <f>INDEX('Inputs (2)'!$D$18:$AL$18,MATCH(V$7,'Inputs (2)'!$D$2:$AL$2,0))</f>
        <v>1561</v>
      </c>
      <c r="W153" s="3">
        <f>V153</f>
        <v>1561</v>
      </c>
      <c r="X153" s="25">
        <f>INDEX('Inputs (2)'!$D$18:$AL$18,MATCH(X$7,'Inputs (2)'!$D$2:$AL$2,0))</f>
        <v>1457</v>
      </c>
      <c r="Y153" s="25">
        <f>INDEX('Inputs (2)'!$D$18:$AL$18,MATCH(Y$7,'Inputs (2)'!$D$2:$AL$2,0))</f>
        <v>1409</v>
      </c>
      <c r="Z153" s="25">
        <f>INDEX('Inputs (2)'!$D$18:$AL$18,MATCH(Z$7,'Inputs (2)'!$D$2:$AL$2,0))</f>
        <v>1428</v>
      </c>
      <c r="AA153" s="25">
        <f>INDEX('Inputs (2)'!$D$18:$AL$18,MATCH(AA$7,'Inputs (2)'!$D$2:$AL$2,0))</f>
        <v>1319</v>
      </c>
      <c r="AB153" s="3">
        <f>AA153</f>
        <v>1319</v>
      </c>
      <c r="AC153" s="25">
        <f>INDEX('Inputs (2)'!$D$18:$AL$18,MATCH(AC$7,'Inputs (2)'!$D$2:$AL$2,0))</f>
        <v>1311</v>
      </c>
      <c r="AD153" s="25">
        <f>INDEX('Inputs (2)'!$D$18:$AL$18,MATCH(AD$7,'Inputs (2)'!$D$2:$AL$2,0))</f>
        <v>1325</v>
      </c>
      <c r="AE153" s="25">
        <f>INDEX('Inputs (2)'!$D$18:$AL$18,MATCH(AE$7,'Inputs (2)'!$D$2:$AL$2,0))</f>
        <v>1267</v>
      </c>
      <c r="AF153" s="25">
        <f>INDEX('Inputs (2)'!$D$18:$AL$18,MATCH(AF$7,'Inputs (2)'!$D$2:$AL$2,0))</f>
        <v>1206</v>
      </c>
      <c r="AG153" s="3">
        <f>AF153</f>
        <v>1206</v>
      </c>
      <c r="AH153" s="3">
        <f>INDEX('Inputs (2)'!$D$18:$AL$18,MATCH(AH$7,'Inputs (2)'!$D$2:$AL$2,0))</f>
        <v>1141</v>
      </c>
      <c r="AI153" s="3">
        <f>INDEX('Inputs (2)'!$D$18:$AL$18,MATCH(AI$7,'Inputs (2)'!$D$2:$AL$2,0))</f>
        <v>1090</v>
      </c>
      <c r="AJ153" s="3">
        <f>AI153</f>
        <v>1090</v>
      </c>
      <c r="AK153" s="3">
        <f>AJ153</f>
        <v>1090</v>
      </c>
      <c r="AL153" s="3">
        <f>AK153</f>
        <v>1090</v>
      </c>
      <c r="AM153" s="3">
        <f>AL153</f>
        <v>1090</v>
      </c>
      <c r="AN153" s="3">
        <f>AM153</f>
        <v>1090</v>
      </c>
      <c r="AO153" s="3">
        <f>AN153</f>
        <v>1090</v>
      </c>
      <c r="AP153" s="3">
        <f>AO153</f>
        <v>1090</v>
      </c>
      <c r="AQ153" s="3">
        <f>AP153</f>
        <v>1090</v>
      </c>
      <c r="AR153" s="3">
        <f>AQ153</f>
        <v>1090</v>
      </c>
      <c r="AS153" s="3">
        <f>AR153</f>
        <v>1090</v>
      </c>
      <c r="AT153" s="3">
        <f>AS153</f>
        <v>1090</v>
      </c>
      <c r="AU153" s="3">
        <f>AT153</f>
        <v>1090</v>
      </c>
      <c r="AV153" s="3">
        <f>AU153</f>
        <v>1090</v>
      </c>
      <c r="AW153" s="3">
        <f>AV153</f>
        <v>1090</v>
      </c>
      <c r="AX153" s="3">
        <f>AW153</f>
        <v>1090</v>
      </c>
      <c r="AY153" s="3">
        <f>AX153</f>
        <v>1090</v>
      </c>
      <c r="AZ153" s="3">
        <f>AY153</f>
        <v>1090</v>
      </c>
      <c r="BA153" s="3">
        <f>AZ153</f>
        <v>1090</v>
      </c>
      <c r="BB153" s="3">
        <f>BA153</f>
        <v>1090</v>
      </c>
      <c r="BC153" s="3">
        <f>BB153</f>
        <v>1090</v>
      </c>
      <c r="BD153" s="3">
        <f>BC153</f>
        <v>1090</v>
      </c>
      <c r="BE153" s="3">
        <f>BD153</f>
        <v>1090</v>
      </c>
      <c r="BF153" s="3">
        <f>BE153</f>
        <v>1090</v>
      </c>
      <c r="BG153" s="3">
        <f>BF153</f>
        <v>1090</v>
      </c>
      <c r="BH153" s="3">
        <f>BG153</f>
        <v>1090</v>
      </c>
      <c r="BI153" s="3">
        <f>BH153</f>
        <v>1090</v>
      </c>
      <c r="BJ153" s="3">
        <f>BI153</f>
        <v>1090</v>
      </c>
      <c r="BK153" s="3">
        <f>BJ153</f>
        <v>1090</v>
      </c>
      <c r="BL153" s="3">
        <f>BK153</f>
        <v>1090</v>
      </c>
      <c r="BM153" s="3">
        <f>BL153</f>
        <v>1090</v>
      </c>
      <c r="BN153" s="3">
        <f>BM153</f>
        <v>1090</v>
      </c>
      <c r="BO153" s="3">
        <f>BN153</f>
        <v>1090</v>
      </c>
      <c r="BP153" s="3">
        <f>BO153</f>
        <v>1090</v>
      </c>
      <c r="BQ153" s="3">
        <f>BP153</f>
        <v>1090</v>
      </c>
      <c r="BR153" s="3">
        <f>BQ153</f>
        <v>1090</v>
      </c>
      <c r="BS153" s="3">
        <f>BR153</f>
        <v>1090</v>
      </c>
      <c r="BT153" s="3">
        <f>BS153</f>
        <v>1090</v>
      </c>
      <c r="BU153" s="3">
        <f>BT153</f>
        <v>1090</v>
      </c>
      <c r="BV153" s="3">
        <f>BU153</f>
        <v>1090</v>
      </c>
      <c r="BW153" s="3">
        <f>BV153</f>
        <v>1090</v>
      </c>
      <c r="BX153" s="3">
        <f>BW153</f>
        <v>1090</v>
      </c>
      <c r="BY153" s="3">
        <f>BX153</f>
        <v>1090</v>
      </c>
      <c r="BZ153" s="3">
        <f>BY153</f>
        <v>1090</v>
      </c>
      <c r="CA153" s="3">
        <f>BZ153</f>
        <v>1090</v>
      </c>
      <c r="CB153" s="3">
        <f>CA153</f>
        <v>1090</v>
      </c>
      <c r="CC153" s="3">
        <f>CB153</f>
        <v>1090</v>
      </c>
      <c r="CD153" s="3">
        <f>CC153</f>
        <v>1090</v>
      </c>
      <c r="CE153" s="3">
        <f>CD153</f>
        <v>1090</v>
      </c>
      <c r="CF153" s="3">
        <f>CE153</f>
        <v>1090</v>
      </c>
      <c r="CG153" s="3">
        <f>CF153</f>
        <v>1090</v>
      </c>
      <c r="CH153" s="3">
        <f>CG153</f>
        <v>1090</v>
      </c>
      <c r="CI153" s="3">
        <f>CH153</f>
        <v>1090</v>
      </c>
      <c r="CJ153" s="3">
        <f>CI153</f>
        <v>1090</v>
      </c>
      <c r="CK153" s="3">
        <f>CJ153</f>
        <v>1090</v>
      </c>
      <c r="CL153" s="3">
        <f>CK153</f>
        <v>1090</v>
      </c>
      <c r="CM153" s="3">
        <f>CL153</f>
        <v>1090</v>
      </c>
      <c r="CN153" s="3">
        <f>CM153</f>
        <v>1090</v>
      </c>
      <c r="CO153" s="3">
        <f>CN153</f>
        <v>1090</v>
      </c>
      <c r="CP153" s="3">
        <f>CO153</f>
        <v>1090</v>
      </c>
      <c r="CQ153" s="3">
        <f>CP153</f>
        <v>1090</v>
      </c>
      <c r="CR153" s="3">
        <f>CQ153</f>
        <v>1090</v>
      </c>
      <c r="CS153" s="3">
        <f>CR153</f>
        <v>1090</v>
      </c>
      <c r="CT153" s="3">
        <f>CS153</f>
        <v>1090</v>
      </c>
      <c r="CU153" s="3">
        <f>CT153</f>
        <v>1090</v>
      </c>
      <c r="CV153" s="3">
        <f>CU153</f>
        <v>1090</v>
      </c>
      <c r="CW153" s="3">
        <f>CV153</f>
        <v>1090</v>
      </c>
      <c r="CX153" s="3">
        <f>CW153</f>
        <v>1090</v>
      </c>
      <c r="CY153" s="3">
        <f>CX153</f>
        <v>1090</v>
      </c>
    </row>
    <row r="154">
      <c r="C154" s="26" t="inlineStr">
        <is>
          <t>Prepaid expenses</t>
        </is>
      </c>
      <c r="D154" s="25">
        <f>INDEX('Inputs (2)'!$D$19:$AL$19,MATCH(D$7,'Inputs (2)'!$D$2:$AL$2,0))</f>
        <v>0</v>
      </c>
      <c r="E154" s="25">
        <f>INDEX('Inputs (2)'!$D$19:$AL$19,MATCH(E$7,'Inputs (2)'!$D$2:$AL$2,0))</f>
        <v>0</v>
      </c>
      <c r="F154" s="25">
        <f>INDEX('Inputs (2)'!$D$19:$AL$19,MATCH(F$7,'Inputs (2)'!$D$2:$AL$2,0))</f>
        <v>0</v>
      </c>
      <c r="G154" s="25">
        <f>INDEX('Inputs (2)'!$D$19:$AL$19,MATCH(G$7,'Inputs (2)'!$D$2:$AL$2,0))</f>
        <v>0</v>
      </c>
      <c r="H154" s="3">
        <f>G154</f>
        <v>0</v>
      </c>
      <c r="I154" s="25">
        <f>INDEX('Inputs (2)'!$D$19:$AL$19,MATCH(I$7,'Inputs (2)'!$D$2:$AL$2,0))</f>
        <v>0</v>
      </c>
      <c r="J154" s="25">
        <f>INDEX('Inputs (2)'!$D$19:$AL$19,MATCH(J$7,'Inputs (2)'!$D$2:$AL$2,0))</f>
        <v>0</v>
      </c>
      <c r="K154" s="25">
        <f>INDEX('Inputs (2)'!$D$19:$AL$19,MATCH(K$7,'Inputs (2)'!$D$2:$AL$2,0))</f>
        <v>0</v>
      </c>
      <c r="L154" s="25">
        <f>INDEX('Inputs (2)'!$D$19:$AL$19,MATCH(L$7,'Inputs (2)'!$D$2:$AL$2,0))</f>
        <v>0</v>
      </c>
      <c r="M154" s="3">
        <f>L154</f>
        <v>0</v>
      </c>
      <c r="N154" s="25">
        <f>INDEX('Inputs (2)'!$D$19:$AL$19,MATCH(N$7,'Inputs (2)'!$D$2:$AL$2,0))</f>
        <v>0</v>
      </c>
      <c r="O154" s="25">
        <f>INDEX('Inputs (2)'!$D$19:$AL$19,MATCH(O$7,'Inputs (2)'!$D$2:$AL$2,0))</f>
        <v>0</v>
      </c>
      <c r="P154" s="25">
        <f>INDEX('Inputs (2)'!$D$19:$AL$19,MATCH(P$7,'Inputs (2)'!$D$2:$AL$2,0))</f>
        <v>0</v>
      </c>
      <c r="Q154" s="25">
        <f>INDEX('Inputs (2)'!$D$19:$AL$19,MATCH(Q$7,'Inputs (2)'!$D$2:$AL$2,0))</f>
        <v>0</v>
      </c>
      <c r="R154" s="3">
        <f>Q154</f>
        <v>0</v>
      </c>
      <c r="S154" s="25">
        <f>INDEX('Inputs (2)'!$D$19:$AL$19,MATCH(S$7,'Inputs (2)'!$D$2:$AL$2,0))</f>
        <v>0</v>
      </c>
      <c r="T154" s="25">
        <f>INDEX('Inputs (2)'!$D$19:$AL$19,MATCH(T$7,'Inputs (2)'!$D$2:$AL$2,0))</f>
        <v>0</v>
      </c>
      <c r="U154" s="25">
        <f>INDEX('Inputs (2)'!$D$19:$AL$19,MATCH(U$7,'Inputs (2)'!$D$2:$AL$2,0))</f>
        <v>0</v>
      </c>
      <c r="V154" s="25">
        <f>INDEX('Inputs (2)'!$D$19:$AL$19,MATCH(V$7,'Inputs (2)'!$D$2:$AL$2,0))</f>
        <v>0</v>
      </c>
      <c r="W154" s="3">
        <f>V154</f>
        <v>0</v>
      </c>
      <c r="X154" s="25">
        <f>INDEX('Inputs (2)'!$D$19:$AL$19,MATCH(X$7,'Inputs (2)'!$D$2:$AL$2,0))</f>
        <v>0</v>
      </c>
      <c r="Y154" s="25">
        <f>INDEX('Inputs (2)'!$D$19:$AL$19,MATCH(Y$7,'Inputs (2)'!$D$2:$AL$2,0))</f>
        <v>0</v>
      </c>
      <c r="Z154" s="25">
        <f>INDEX('Inputs (2)'!$D$19:$AL$19,MATCH(Z$7,'Inputs (2)'!$D$2:$AL$2,0))</f>
        <v>0</v>
      </c>
      <c r="AA154" s="25">
        <f>INDEX('Inputs (2)'!$D$19:$AL$19,MATCH(AA$7,'Inputs (2)'!$D$2:$AL$2,0))</f>
        <v>0</v>
      </c>
      <c r="AB154" s="3">
        <f>AA154</f>
        <v>0</v>
      </c>
      <c r="AC154" s="25">
        <f>INDEX('Inputs (2)'!$D$19:$AL$19,MATCH(AC$7,'Inputs (2)'!$D$2:$AL$2,0))</f>
        <v>0</v>
      </c>
      <c r="AD154" s="25">
        <f>INDEX('Inputs (2)'!$D$19:$AL$19,MATCH(AD$7,'Inputs (2)'!$D$2:$AL$2,0))</f>
        <v>0</v>
      </c>
      <c r="AE154" s="25">
        <f>INDEX('Inputs (2)'!$D$19:$AL$19,MATCH(AE$7,'Inputs (2)'!$D$2:$AL$2,0))</f>
        <v>0</v>
      </c>
      <c r="AF154" s="25">
        <f>INDEX('Inputs (2)'!$D$19:$AL$19,MATCH(AF$7,'Inputs (2)'!$D$2:$AL$2,0))</f>
        <v>0</v>
      </c>
      <c r="AG154" s="3">
        <f>AF154</f>
        <v>0</v>
      </c>
      <c r="AH154" s="3">
        <f>INDEX('Inputs (2)'!$D$19:$AL$19,MATCH(AH$7,'Inputs (2)'!$D$2:$AL$2,0))</f>
        <v>0</v>
      </c>
      <c r="AI154" s="3">
        <f>INDEX('Inputs (2)'!$D$19:$AL$19,MATCH(AI$7,'Inputs (2)'!$D$2:$AL$2,0))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6685</v>
      </c>
      <c r="E155" s="25">
        <f>INDEX('Inputs (2)'!$D$20:$AL$20,MATCH(E$7,'Inputs (2)'!$D$2:$AL$2,0))</f>
        <v>11984</v>
      </c>
      <c r="F155" s="25">
        <f>INDEX('Inputs (2)'!$D$20:$AL$20,MATCH(F$7,'Inputs (2)'!$D$2:$AL$2,0))</f>
        <v>11934</v>
      </c>
      <c r="G155" s="25">
        <f>INDEX('Inputs (2)'!$D$20:$AL$20,MATCH(G$7,'Inputs (2)'!$D$2:$AL$2,0))</f>
        <v>3687</v>
      </c>
      <c r="H155" s="3">
        <f>G155</f>
        <v>3687</v>
      </c>
      <c r="I155" s="25">
        <f>INDEX('Inputs (2)'!$D$20:$AL$20,MATCH(I$7,'Inputs (2)'!$D$2:$AL$2,0))</f>
        <v>6330</v>
      </c>
      <c r="J155" s="25">
        <f>INDEX('Inputs (2)'!$D$20:$AL$20,MATCH(J$7,'Inputs (2)'!$D$2:$AL$2,0))</f>
        <v>5976</v>
      </c>
      <c r="K155" s="25">
        <f>INDEX('Inputs (2)'!$D$20:$AL$20,MATCH(K$7,'Inputs (2)'!$D$2:$AL$2,0))</f>
        <v>5868</v>
      </c>
      <c r="L155" s="25">
        <f>INDEX('Inputs (2)'!$D$20:$AL$20,MATCH(L$7,'Inputs (2)'!$D$2:$AL$2,0))</f>
        <v>5935</v>
      </c>
      <c r="M155" s="3">
        <f>L155</f>
        <v>5935</v>
      </c>
      <c r="N155" s="25">
        <f>INDEX('Inputs (2)'!$D$20:$AL$20,MATCH(N$7,'Inputs (2)'!$D$2:$AL$2,0))</f>
        <v>6093</v>
      </c>
      <c r="O155" s="25">
        <f>INDEX('Inputs (2)'!$D$20:$AL$20,MATCH(O$7,'Inputs (2)'!$D$2:$AL$2,0))</f>
        <v>6050</v>
      </c>
      <c r="P155" s="25">
        <f>INDEX('Inputs (2)'!$D$20:$AL$20,MATCH(P$7,'Inputs (2)'!$D$2:$AL$2,0))</f>
        <v>6310</v>
      </c>
      <c r="Q155" s="25">
        <f>INDEX('Inputs (2)'!$D$20:$AL$20,MATCH(Q$7,'Inputs (2)'!$D$2:$AL$2,0))</f>
        <v>5352</v>
      </c>
      <c r="R155" s="3">
        <f>Q155</f>
        <v>5352</v>
      </c>
      <c r="S155" s="25">
        <f>INDEX('Inputs (2)'!$D$20:$AL$20,MATCH(S$7,'Inputs (2)'!$D$2:$AL$2,0))</f>
        <v>5550</v>
      </c>
      <c r="T155" s="25">
        <f>INDEX('Inputs (2)'!$D$20:$AL$20,MATCH(T$7,'Inputs (2)'!$D$2:$AL$2,0))</f>
        <v>6411</v>
      </c>
      <c r="U155" s="25">
        <f>INDEX('Inputs (2)'!$D$20:$AL$20,MATCH(U$7,'Inputs (2)'!$D$2:$AL$2,0))</f>
        <v>8237</v>
      </c>
      <c r="V155" s="25">
        <f>INDEX('Inputs (2)'!$D$20:$AL$20,MATCH(V$7,'Inputs (2)'!$D$2:$AL$2,0))</f>
        <v>9532</v>
      </c>
      <c r="W155" s="3">
        <f>V155</f>
        <v>9532</v>
      </c>
      <c r="X155" s="25">
        <f>INDEX('Inputs (2)'!$D$20:$AL$20,MATCH(X$7,'Inputs (2)'!$D$2:$AL$2,0))</f>
        <v>9814</v>
      </c>
      <c r="Y155" s="25">
        <f>INDEX('Inputs (2)'!$D$20:$AL$20,MATCH(Y$7,'Inputs (2)'!$D$2:$AL$2,0))</f>
        <v>8583</v>
      </c>
      <c r="Z155" s="25">
        <f>INDEX('Inputs (2)'!$D$20:$AL$20,MATCH(Z$7,'Inputs (2)'!$D$2:$AL$2,0))</f>
        <v>7403</v>
      </c>
      <c r="AA155" s="25">
        <f>INDEX('Inputs (2)'!$D$20:$AL$20,MATCH(AA$7,'Inputs (2)'!$D$2:$AL$2,0))</f>
        <v>6872</v>
      </c>
      <c r="AB155" s="3">
        <f>AA155</f>
        <v>6872</v>
      </c>
      <c r="AC155" s="25">
        <f>INDEX('Inputs (2)'!$D$20:$AL$20,MATCH(AC$7,'Inputs (2)'!$D$2:$AL$2,0))</f>
        <v>8568</v>
      </c>
      <c r="AD155" s="25">
        <f>INDEX('Inputs (2)'!$D$20:$AL$20,MATCH(AD$7,'Inputs (2)'!$D$2:$AL$2,0))</f>
        <v>7769</v>
      </c>
      <c r="AE155" s="25">
        <f>INDEX('Inputs (2)'!$D$20:$AL$20,MATCH(AE$7,'Inputs (2)'!$D$2:$AL$2,0))</f>
        <v>5767</v>
      </c>
      <c r="AF155" s="25">
        <f>INDEX('Inputs (2)'!$D$20:$AL$20,MATCH(AF$7,'Inputs (2)'!$D$2:$AL$2,0))</f>
        <v>13311</v>
      </c>
      <c r="AG155" s="3">
        <f>AF155</f>
        <v>13311</v>
      </c>
      <c r="AH155" s="3">
        <f>INDEX('Inputs (2)'!$D$20:$AL$20,MATCH(AH$7,'Inputs (2)'!$D$2:$AL$2,0))</f>
        <v>11411</v>
      </c>
      <c r="AI155" s="3">
        <f>INDEX('Inputs (2)'!$D$20:$AL$20,MATCH(AI$7,'Inputs (2)'!$D$2:$AL$2,0))</f>
        <v>11590</v>
      </c>
      <c r="AJ155" s="3">
        <f>AI155</f>
        <v>11590</v>
      </c>
      <c r="AK155" s="3">
        <f>AJ155</f>
        <v>11590</v>
      </c>
      <c r="AL155" s="3">
        <f>AK155</f>
        <v>11590</v>
      </c>
      <c r="AM155" s="3">
        <f>AL155</f>
        <v>11590</v>
      </c>
      <c r="AN155" s="3">
        <f>AM155</f>
        <v>11590</v>
      </c>
      <c r="AO155" s="3">
        <f>AN155</f>
        <v>11590</v>
      </c>
      <c r="AP155" s="3">
        <f>AO155</f>
        <v>11590</v>
      </c>
      <c r="AQ155" s="3">
        <f>AP155</f>
        <v>11590</v>
      </c>
      <c r="AR155" s="3">
        <f>AQ155</f>
        <v>11590</v>
      </c>
      <c r="AS155" s="3">
        <f>AR155</f>
        <v>11590</v>
      </c>
      <c r="AT155" s="3">
        <f>AS155</f>
        <v>11590</v>
      </c>
      <c r="AU155" s="3">
        <f>AT155</f>
        <v>11590</v>
      </c>
      <c r="AV155" s="3">
        <f>AU155</f>
        <v>11590</v>
      </c>
      <c r="AW155" s="3">
        <f>AV155</f>
        <v>11590</v>
      </c>
      <c r="AX155" s="3">
        <f>AW155</f>
        <v>11590</v>
      </c>
      <c r="AY155" s="3">
        <f>AX155</f>
        <v>11590</v>
      </c>
      <c r="AZ155" s="3">
        <f>AY155</f>
        <v>11590</v>
      </c>
      <c r="BA155" s="3">
        <f>AZ155</f>
        <v>11590</v>
      </c>
      <c r="BB155" s="3">
        <f>BA155</f>
        <v>11590</v>
      </c>
      <c r="BC155" s="3">
        <f>BB155</f>
        <v>11590</v>
      </c>
      <c r="BD155" s="3">
        <f>BC155</f>
        <v>11590</v>
      </c>
      <c r="BE155" s="3">
        <f>BD155</f>
        <v>11590</v>
      </c>
      <c r="BF155" s="3">
        <f>BE155</f>
        <v>11590</v>
      </c>
      <c r="BG155" s="3">
        <f>BF155</f>
        <v>11590</v>
      </c>
      <c r="BH155" s="3">
        <f>BG155</f>
        <v>11590</v>
      </c>
      <c r="BI155" s="3">
        <f>BH155</f>
        <v>11590</v>
      </c>
      <c r="BJ155" s="3">
        <f>BI155</f>
        <v>11590</v>
      </c>
      <c r="BK155" s="3">
        <f>BJ155</f>
        <v>11590</v>
      </c>
      <c r="BL155" s="3">
        <f>BK155</f>
        <v>11590</v>
      </c>
      <c r="BM155" s="3">
        <f>BL155</f>
        <v>11590</v>
      </c>
      <c r="BN155" s="3">
        <f>BM155</f>
        <v>11590</v>
      </c>
      <c r="BO155" s="3">
        <f>BN155</f>
        <v>11590</v>
      </c>
      <c r="BP155" s="3">
        <f>BO155</f>
        <v>11590</v>
      </c>
      <c r="BQ155" s="3">
        <f>BP155</f>
        <v>11590</v>
      </c>
      <c r="BR155" s="3">
        <f>BQ155</f>
        <v>11590</v>
      </c>
      <c r="BS155" s="3">
        <f>BR155</f>
        <v>11590</v>
      </c>
      <c r="BT155" s="3">
        <f>BS155</f>
        <v>11590</v>
      </c>
      <c r="BU155" s="3">
        <f>BT155</f>
        <v>11590</v>
      </c>
      <c r="BV155" s="3">
        <f>BU155</f>
        <v>11590</v>
      </c>
      <c r="BW155" s="3">
        <f>BV155</f>
        <v>11590</v>
      </c>
      <c r="BX155" s="3">
        <f>BW155</f>
        <v>11590</v>
      </c>
      <c r="BY155" s="3">
        <f>BX155</f>
        <v>11590</v>
      </c>
      <c r="BZ155" s="3">
        <f>BY155</f>
        <v>11590</v>
      </c>
      <c r="CA155" s="3">
        <f>BZ155</f>
        <v>11590</v>
      </c>
      <c r="CB155" s="3">
        <f>CA155</f>
        <v>11590</v>
      </c>
      <c r="CC155" s="3">
        <f>CB155</f>
        <v>11590</v>
      </c>
      <c r="CD155" s="3">
        <f>CC155</f>
        <v>11590</v>
      </c>
      <c r="CE155" s="3">
        <f>CD155</f>
        <v>11590</v>
      </c>
      <c r="CF155" s="3">
        <f>CE155</f>
        <v>11590</v>
      </c>
      <c r="CG155" s="3">
        <f>CF155</f>
        <v>11590</v>
      </c>
      <c r="CH155" s="3">
        <f>CG155</f>
        <v>11590</v>
      </c>
      <c r="CI155" s="3">
        <f>CH155</f>
        <v>11590</v>
      </c>
      <c r="CJ155" s="3">
        <f>CI155</f>
        <v>11590</v>
      </c>
      <c r="CK155" s="3">
        <f>CJ155</f>
        <v>11590</v>
      </c>
      <c r="CL155" s="3">
        <f>CK155</f>
        <v>11590</v>
      </c>
      <c r="CM155" s="3">
        <f>CL155</f>
        <v>11590</v>
      </c>
      <c r="CN155" s="3">
        <f>CM155</f>
        <v>11590</v>
      </c>
      <c r="CO155" s="3">
        <f>CN155</f>
        <v>11590</v>
      </c>
      <c r="CP155" s="3">
        <f>CO155</f>
        <v>11590</v>
      </c>
      <c r="CQ155" s="3">
        <f>CP155</f>
        <v>11590</v>
      </c>
      <c r="CR155" s="3">
        <f>CQ155</f>
        <v>11590</v>
      </c>
      <c r="CS155" s="3">
        <f>CR155</f>
        <v>11590</v>
      </c>
      <c r="CT155" s="3">
        <f>CS155</f>
        <v>11590</v>
      </c>
      <c r="CU155" s="3">
        <f>CT155</f>
        <v>11590</v>
      </c>
      <c r="CV155" s="3">
        <f>CU155</f>
        <v>11590</v>
      </c>
      <c r="CW155" s="3">
        <f>CV155</f>
        <v>11590</v>
      </c>
      <c r="CX155" s="3">
        <f>CW155</f>
        <v>11590</v>
      </c>
      <c r="CY155" s="3">
        <f>CX155</f>
        <v>11590</v>
      </c>
    </row>
    <row r="156" hidden="1" outlineLevel="1">
      <c r="C156" s="38" t="inlineStr">
        <is>
          <t>%(Var.)</t>
        </is>
      </c>
      <c r="D156" s="3" t="n"/>
      <c r="E156" s="47">
        <f>(E155-D155)/D155</f>
        <v>0.792670157068063</v>
      </c>
      <c r="F156" s="47">
        <f>(F155-E155)/E155</f>
        <v>-0.00417222963951936</v>
      </c>
      <c r="G156" s="47">
        <f>(G155-F155)/F155</f>
        <v>-0.691050779286073</v>
      </c>
      <c r="H156" s="3" t="n"/>
      <c r="I156" s="47">
        <f>(I155-H155)/H155</f>
        <v>0.716842961757527</v>
      </c>
      <c r="J156" s="47">
        <f>(J155-I155)/I155</f>
        <v>-0.0559241706161137</v>
      </c>
      <c r="K156" s="47">
        <f>(K155-J155)/J155</f>
        <v>-0.0180722891566265</v>
      </c>
      <c r="L156" s="47">
        <f>(L155-K155)/K155</f>
        <v>0.0114178595773688</v>
      </c>
      <c r="M156" s="3" t="n"/>
      <c r="N156" s="47">
        <f>(N155-M155)/M155</f>
        <v>0.0266217354675653</v>
      </c>
      <c r="O156" s="47">
        <f>(O155-N155)/N155</f>
        <v>-0.00705727884457574</v>
      </c>
      <c r="P156" s="47">
        <f>(P155-O155)/O155</f>
        <v>0.0429752066115703</v>
      </c>
      <c r="Q156" s="47">
        <f>(Q155-P155)/P155</f>
        <v>-0.151822503961965</v>
      </c>
      <c r="R156" s="3" t="n"/>
      <c r="S156" s="47">
        <f>(S155-R155)/R155</f>
        <v>0.0369955156950673</v>
      </c>
      <c r="T156" s="47">
        <f>(T155-S155)/S155</f>
        <v>0.155135135135135</v>
      </c>
      <c r="U156" s="47">
        <f>(U155-T155)/T155</f>
        <v>0.284822960536578</v>
      </c>
      <c r="V156" s="47">
        <f>(V155-U155)/U155</f>
        <v>0.157217433531626</v>
      </c>
      <c r="W156" s="3" t="n"/>
      <c r="X156" s="47">
        <f>(X155-W155)/W155</f>
        <v>0.0295845572807386</v>
      </c>
      <c r="Y156" s="47">
        <f>(Y155-X155)/X155</f>
        <v>-0.125433054819645</v>
      </c>
      <c r="Z156" s="47">
        <f>(Z155-Y155)/Y155</f>
        <v>-0.137481067225912</v>
      </c>
      <c r="AA156" s="47">
        <f>(AA155-Z155)/Z155</f>
        <v>-0.0717276779683912</v>
      </c>
      <c r="AB156" s="3" t="n"/>
      <c r="AC156" s="47">
        <f>(AC155-AB155)/AB155</f>
        <v>0.246798603026775</v>
      </c>
      <c r="AD156" s="47">
        <f>(AD155-AC155)/AC155</f>
        <v>-0.0932539682539683</v>
      </c>
      <c r="AE156" s="47">
        <f>(AE155-AD155)/AD155</f>
        <v>-0.257690822499678</v>
      </c>
      <c r="AF156" s="218">
        <f>(AF155-AE155)/AE155</f>
        <v>1.30813247789145</v>
      </c>
      <c r="AG156" s="3" t="n"/>
      <c r="AH156" s="3">
        <f>(AH155-AG155)/AG155</f>
        <v>-0.142739087972354</v>
      </c>
      <c r="AI156" s="3">
        <f>(AI155-AH155)/AH155</f>
        <v>0.0156866181754447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>
        <f>INDEX('Inputs (2)'!$D$21:$AL$21,MATCH(D$7,'Inputs (2)'!$D$2:$AL$2,0))</f>
        <v>18020</v>
      </c>
      <c r="E161" s="25">
        <f>INDEX('Inputs (2)'!$D$21:$AL$21,MATCH(E$7,'Inputs (2)'!$D$2:$AL$2,0))</f>
        <v>18189</v>
      </c>
      <c r="F161" s="25">
        <f>INDEX('Inputs (2)'!$D$21:$AL$21,MATCH(F$7,'Inputs (2)'!$D$2:$AL$2,0))</f>
        <v>18875</v>
      </c>
      <c r="G161" s="25">
        <f>INDEX('Inputs (2)'!$D$21:$AL$21,MATCH(G$7,'Inputs (2)'!$D$2:$AL$2,0))</f>
        <v>19273</v>
      </c>
      <c r="H161" s="3">
        <f>G161</f>
        <v>19273</v>
      </c>
      <c r="I161" s="25">
        <f>INDEX('Inputs (2)'!$D$21:$AL$21,MATCH(I$7,'Inputs (2)'!$D$2:$AL$2,0))</f>
        <v>18966</v>
      </c>
      <c r="J161" s="25">
        <f>INDEX('Inputs (2)'!$D$21:$AL$21,MATCH(J$7,'Inputs (2)'!$D$2:$AL$2,0))</f>
        <v>18471</v>
      </c>
      <c r="K161" s="25">
        <f>INDEX('Inputs (2)'!$D$21:$AL$21,MATCH(K$7,'Inputs (2)'!$D$2:$AL$2,0))</f>
        <v>18284</v>
      </c>
      <c r="L161" s="25">
        <f>INDEX('Inputs (2)'!$D$21:$AL$21,MATCH(L$7,'Inputs (2)'!$D$2:$AL$2,0))</f>
        <v>17598</v>
      </c>
      <c r="M161" s="3">
        <f>L161</f>
        <v>17598</v>
      </c>
      <c r="N161" s="25">
        <f>INDEX('Inputs (2)'!$D$21:$AL$21,MATCH(N$7,'Inputs (2)'!$D$2:$AL$2,0))</f>
        <v>18198</v>
      </c>
      <c r="O161" s="25">
        <f>INDEX('Inputs (2)'!$D$21:$AL$21,MATCH(O$7,'Inputs (2)'!$D$2:$AL$2,0))</f>
        <v>17720</v>
      </c>
      <c r="P161" s="25">
        <f>INDEX('Inputs (2)'!$D$21:$AL$21,MATCH(P$7,'Inputs (2)'!$D$2:$AL$2,0))</f>
        <v>17723</v>
      </c>
      <c r="Q161" s="25">
        <f>INDEX('Inputs (2)'!$D$21:$AL$21,MATCH(Q$7,'Inputs (2)'!$D$2:$AL$2,0))</f>
        <v>18264</v>
      </c>
      <c r="R161" s="3">
        <f>Q161</f>
        <v>18264</v>
      </c>
      <c r="S161" s="25">
        <f>INDEX('Inputs (2)'!$D$21:$AL$21,MATCH(S$7,'Inputs (2)'!$D$2:$AL$2,0))</f>
        <v>18744</v>
      </c>
      <c r="T161" s="25">
        <f>INDEX('Inputs (2)'!$D$21:$AL$21,MATCH(T$7,'Inputs (2)'!$D$2:$AL$2,0))</f>
        <v>19262</v>
      </c>
      <c r="U161" s="25">
        <f>INDEX('Inputs (2)'!$D$21:$AL$21,MATCH(U$7,'Inputs (2)'!$D$2:$AL$2,0))</f>
        <v>19256</v>
      </c>
      <c r="V161" s="25">
        <f>INDEX('Inputs (2)'!$D$21:$AL$21,MATCH(V$7,'Inputs (2)'!$D$2:$AL$2,0))</f>
        <v>19671</v>
      </c>
      <c r="W161" s="3">
        <f>V161</f>
        <v>19671</v>
      </c>
      <c r="X161" s="25">
        <f>INDEX('Inputs (2)'!$D$21:$AL$21,MATCH(X$7,'Inputs (2)'!$D$2:$AL$2,0))</f>
        <v>19495</v>
      </c>
      <c r="Y161" s="25">
        <f>INDEX('Inputs (2)'!$D$21:$AL$21,MATCH(Y$7,'Inputs (2)'!$D$2:$AL$2,0))</f>
        <v>18940</v>
      </c>
      <c r="Z161" s="25">
        <f>INDEX('Inputs (2)'!$D$21:$AL$21,MATCH(Z$7,'Inputs (2)'!$D$2:$AL$2,0))</f>
        <v>18993</v>
      </c>
      <c r="AA161" s="25">
        <f>INDEX('Inputs (2)'!$D$21:$AL$21,MATCH(AA$7,'Inputs (2)'!$D$2:$AL$2,0))</f>
        <v>18087</v>
      </c>
      <c r="AB161" s="3">
        <f>AA161</f>
        <v>18087</v>
      </c>
      <c r="AC161" s="25">
        <f>INDEX('Inputs (2)'!$D$21:$AL$21,MATCH(AC$7,'Inputs (2)'!$D$2:$AL$2,0))</f>
        <v>18369</v>
      </c>
      <c r="AD161" s="25">
        <f>INDEX('Inputs (2)'!$D$21:$AL$21,MATCH(AD$7,'Inputs (2)'!$D$2:$AL$2,0))</f>
        <v>19379</v>
      </c>
      <c r="AE161" s="25">
        <f>INDEX('Inputs (2)'!$D$21:$AL$21,MATCH(AE$7,'Inputs (2)'!$D$2:$AL$2,0))</f>
        <v>20323</v>
      </c>
      <c r="AF161" s="25">
        <f>INDEX('Inputs (2)'!$D$21:$AL$21,MATCH(AF$7,'Inputs (2)'!$D$2:$AL$2,0))</f>
        <v>20235</v>
      </c>
      <c r="AG161" s="3">
        <f>AF161</f>
        <v>20235</v>
      </c>
      <c r="AH161" s="3">
        <f>INDEX('Inputs (2)'!$D$21:$AL$21,MATCH(AH$7,'Inputs (2)'!$D$2:$AL$2,0))</f>
        <v>20403</v>
      </c>
      <c r="AI161" s="3">
        <f>INDEX('Inputs (2)'!$D$21:$AL$21,MATCH(AI$7,'Inputs (2)'!$D$2:$AL$2,0))</f>
        <v>20782</v>
      </c>
      <c r="AJ161" s="3">
        <f>AI161+AJ135+AJ164</f>
        <v>20782</v>
      </c>
      <c r="AK161" s="3">
        <f>AJ161+AK135+AK164</f>
        <v>20782</v>
      </c>
      <c r="AL161" s="3">
        <f>AK161</f>
        <v>20782</v>
      </c>
      <c r="AM161" s="3">
        <f>AL161+AM135+AM164</f>
        <v>20782</v>
      </c>
      <c r="AN161" s="3">
        <f>AM161+AN135+AN164</f>
        <v>20782</v>
      </c>
      <c r="AO161" s="3">
        <f>AN161+AO135+AO164</f>
        <v>20782</v>
      </c>
      <c r="AP161" s="3">
        <f>AO161+AP135+AP164</f>
        <v>20782</v>
      </c>
      <c r="AQ161" s="3">
        <f>AP161</f>
        <v>20782</v>
      </c>
      <c r="AR161" s="3">
        <f>AQ161+AR135+AR164</f>
        <v>20782</v>
      </c>
      <c r="AS161" s="3">
        <f>AR161+AS135+AS164</f>
        <v>20782</v>
      </c>
      <c r="AT161" s="3">
        <f>AS161+AT135+AT164</f>
        <v>20782</v>
      </c>
      <c r="AU161" s="3">
        <f>AT161+AU135+AU164</f>
        <v>20782</v>
      </c>
      <c r="AV161" s="3">
        <f>AU161</f>
        <v>20782</v>
      </c>
      <c r="AW161" s="3">
        <f>AV161+AW135+AW164</f>
        <v>20782</v>
      </c>
      <c r="AX161" s="3">
        <f>AW161+AX135+AX164</f>
        <v>20782</v>
      </c>
      <c r="AY161" s="3">
        <f>AX161+AY135+AY164</f>
        <v>20782</v>
      </c>
      <c r="AZ161" s="3">
        <f>AY161+AZ135+AZ164</f>
        <v>20782</v>
      </c>
      <c r="BA161" s="3">
        <f>AZ161</f>
        <v>20782</v>
      </c>
      <c r="BB161" s="3">
        <f>BA161+BB135+BB164</f>
        <v>20782</v>
      </c>
      <c r="BC161" s="3">
        <f>BB161+BC135+BC164</f>
        <v>20782</v>
      </c>
      <c r="BD161" s="3">
        <f>BC161+BD135+BD164</f>
        <v>20782</v>
      </c>
      <c r="BE161" s="3">
        <f>BD161+BE135+BE164</f>
        <v>20782</v>
      </c>
      <c r="BF161" s="3">
        <f>BE161</f>
        <v>20782</v>
      </c>
      <c r="BG161" s="3">
        <f>BF161+BG135+BG164</f>
        <v>20782</v>
      </c>
      <c r="BH161" s="3">
        <f>BG161+BH135+BH164</f>
        <v>20782</v>
      </c>
      <c r="BI161" s="3">
        <f>BH161+BI135+BI164</f>
        <v>20782</v>
      </c>
      <c r="BJ161" s="3">
        <f>BI161+BJ135+BJ164</f>
        <v>20782</v>
      </c>
      <c r="BK161" s="3">
        <f>BJ161</f>
        <v>20782</v>
      </c>
      <c r="BL161" s="3">
        <f>BK161+BL135+BL164</f>
        <v>20782</v>
      </c>
      <c r="BM161" s="3">
        <f>BL161+BM135+BM164</f>
        <v>20782</v>
      </c>
      <c r="BN161" s="3">
        <f>BM161+BN135+BN164</f>
        <v>20782</v>
      </c>
      <c r="BO161" s="3">
        <f>BN161+BO135+BO164</f>
        <v>20782</v>
      </c>
      <c r="BP161" s="3">
        <f>BO161</f>
        <v>20782</v>
      </c>
      <c r="BQ161" s="3">
        <f>BP161+BQ135+BQ164</f>
        <v>20782</v>
      </c>
      <c r="BR161" s="3">
        <f>BQ161+BR135+BR164</f>
        <v>20782</v>
      </c>
      <c r="BS161" s="3">
        <f>BR161+BS135+BS164</f>
        <v>20782</v>
      </c>
      <c r="BT161" s="3">
        <f>BS161+BT135+BT164</f>
        <v>20782</v>
      </c>
      <c r="BU161" s="3">
        <f>BT161</f>
        <v>20782</v>
      </c>
      <c r="BV161" s="3">
        <f>BU161+BV135+BV164</f>
        <v>20782</v>
      </c>
      <c r="BW161" s="3">
        <f>BV161+BW135+BW164</f>
        <v>20782</v>
      </c>
      <c r="BX161" s="3">
        <f>BW161+BX135+BX164</f>
        <v>20782</v>
      </c>
      <c r="BY161" s="3">
        <f>BX161+BY135+BY164</f>
        <v>20782</v>
      </c>
      <c r="BZ161" s="3">
        <f>BY161</f>
        <v>20782</v>
      </c>
      <c r="CA161" s="3">
        <f>BZ161+CA135+CA164</f>
        <v>20782</v>
      </c>
      <c r="CB161" s="3">
        <f>CA161+CB135+CB164</f>
        <v>20782</v>
      </c>
      <c r="CC161" s="3">
        <f>CB161+CC135+CC164</f>
        <v>20782</v>
      </c>
      <c r="CD161" s="3">
        <f>CC161+CD135+CD164</f>
        <v>20782</v>
      </c>
      <c r="CE161" s="3">
        <f>CD161</f>
        <v>20782</v>
      </c>
      <c r="CF161" s="3">
        <f>CE161+CF135+CF164</f>
        <v>20782</v>
      </c>
      <c r="CG161" s="3">
        <f>CF161+CG135+CG164</f>
        <v>20782</v>
      </c>
      <c r="CH161" s="3">
        <f>CG161+CH135+CH164</f>
        <v>20782</v>
      </c>
      <c r="CI161" s="3">
        <f>CH161+CI135+CI164</f>
        <v>20782</v>
      </c>
      <c r="CJ161" s="3">
        <f>CI161</f>
        <v>20782</v>
      </c>
      <c r="CK161" s="3">
        <f>CJ161+CK135+CK164</f>
        <v>20782</v>
      </c>
      <c r="CL161" s="3">
        <f>CK161+CL135+CL164</f>
        <v>20782</v>
      </c>
      <c r="CM161" s="3">
        <f>CL161+CM135+CM164</f>
        <v>20782</v>
      </c>
      <c r="CN161" s="3">
        <f>CM161+CN135+CN164</f>
        <v>20782</v>
      </c>
      <c r="CO161" s="3">
        <f>CN161</f>
        <v>20782</v>
      </c>
      <c r="CP161" s="3">
        <f>CO161+CP135+CP164</f>
        <v>20782</v>
      </c>
      <c r="CQ161" s="3">
        <f>CP161+CQ135+CQ164</f>
        <v>20782</v>
      </c>
      <c r="CR161" s="3">
        <f>CQ161+CR135+CR164</f>
        <v>20782</v>
      </c>
      <c r="CS161" s="3">
        <f>CR161+CS135+CS164</f>
        <v>20782</v>
      </c>
      <c r="CT161" s="3">
        <f>CS161</f>
        <v>20782</v>
      </c>
      <c r="CU161" s="3">
        <f>CT161+CU135+CU164</f>
        <v>20782</v>
      </c>
      <c r="CV161" s="3">
        <f>CU161+CV135+CV164</f>
        <v>20782</v>
      </c>
      <c r="CW161" s="3">
        <f>CV161+CW135+CW164</f>
        <v>20782</v>
      </c>
      <c r="CX161" s="3">
        <f>CW161+CX135+CX164</f>
        <v>20782</v>
      </c>
      <c r="CY161" s="3">
        <f>CX161</f>
        <v>20782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</v>
      </c>
      <c r="O163" s="3">
        <f>IF(J135=0,0,O135/J135-1)</f>
        <v>0</v>
      </c>
      <c r="P163" s="3">
        <f>IF(K135=0,0,P135/K135-1)</f>
        <v>0</v>
      </c>
      <c r="Q163" s="3">
        <f>IF(L135=0,0,Q135/L135-1)</f>
        <v>0</v>
      </c>
      <c r="R163" s="3" t="n"/>
      <c r="S163" s="3">
        <f>IF(N135=0,0,S135/N135-1)</f>
        <v>0</v>
      </c>
      <c r="T163" s="3">
        <f>IF(O135=0,0,T135/O135-1)</f>
        <v>0</v>
      </c>
      <c r="U163" s="3">
        <f>IF(P135=0,0,U135/P135-1)</f>
        <v>0</v>
      </c>
      <c r="V163" s="3">
        <f>IF(Q135=0,0,V135/Q135-1)</f>
        <v>0</v>
      </c>
      <c r="W163" s="3" t="n"/>
      <c r="X163" s="3">
        <f>IF(S135=0,0,X135/S135-1)</f>
        <v>0</v>
      </c>
      <c r="Y163" s="3">
        <f>IF(T135=0,0,Y135/T135-1)</f>
        <v>0</v>
      </c>
      <c r="Z163" s="3">
        <f>IF(U135=0,0,Z135/U135-1)</f>
        <v>0</v>
      </c>
      <c r="AA163" s="3">
        <f>IF(V135=0,0,AA135/V135-1)</f>
        <v>0</v>
      </c>
      <c r="AB163" s="3" t="n"/>
      <c r="AC163" s="3">
        <f>IF(X135=0,0,AC135/X135-1)</f>
        <v>0</v>
      </c>
      <c r="AD163" s="3">
        <f>IF(Y135=0,0,AD135/Y135-1)</f>
        <v>0</v>
      </c>
      <c r="AE163" s="3">
        <f>IF(Z135=0,0,AE135/Z135-1)</f>
        <v>0</v>
      </c>
      <c r="AF163" s="3">
        <f>IF(AA135=0,0,AF135/AA135-1)</f>
        <v>0</v>
      </c>
      <c r="AG163" s="3" t="n"/>
      <c r="AH163" s="6">
        <f>IF(AC135=0,0,AH135/AC135-1)</f>
        <v>0</v>
      </c>
      <c r="AI163" s="6">
        <f>IF(AD135=0,0,AI135/AD135-1)</f>
        <v>0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10993</v>
      </c>
      <c r="E166" s="25">
        <f>INDEX('Inputs (2)'!$D$22:$AL$22,MATCH(E$7,'Inputs (2)'!$D$2:$AL$2,0))</f>
        <v>10695</v>
      </c>
      <c r="F166" s="25">
        <f>INDEX('Inputs (2)'!$D$22:$AL$22,MATCH(F$7,'Inputs (2)'!$D$2:$AL$2,0))</f>
        <v>10667</v>
      </c>
      <c r="G166" s="25">
        <f>INDEX('Inputs (2)'!$D$22:$AL$22,MATCH(G$7,'Inputs (2)'!$D$2:$AL$2,0))</f>
        <v>10777</v>
      </c>
      <c r="H166" s="3">
        <f>G166</f>
        <v>10777</v>
      </c>
      <c r="I166" s="25">
        <f>INDEX('Inputs (2)'!$D$22:$AL$22,MATCH(I$7,'Inputs (2)'!$D$2:$AL$2,0))</f>
        <v>10673</v>
      </c>
      <c r="J166" s="25">
        <f>INDEX('Inputs (2)'!$D$22:$AL$22,MATCH(J$7,'Inputs (2)'!$D$2:$AL$2,0))</f>
        <v>10547</v>
      </c>
      <c r="K166" s="25">
        <f>INDEX('Inputs (2)'!$D$22:$AL$22,MATCH(K$7,'Inputs (2)'!$D$2:$AL$2,0))</f>
        <v>10058</v>
      </c>
      <c r="L166" s="25">
        <f>INDEX('Inputs (2)'!$D$22:$AL$22,MATCH(L$7,'Inputs (2)'!$D$2:$AL$2,0))</f>
        <v>9920</v>
      </c>
      <c r="M166" s="3">
        <f>L166</f>
        <v>9920</v>
      </c>
      <c r="N166" s="25">
        <f>INDEX('Inputs (2)'!$D$22:$AL$22,MATCH(N$7,'Inputs (2)'!$D$2:$AL$2,0))</f>
        <v>9784</v>
      </c>
      <c r="O166" s="25">
        <f>INDEX('Inputs (2)'!$D$22:$AL$22,MATCH(O$7,'Inputs (2)'!$D$2:$AL$2,0))</f>
        <v>9462</v>
      </c>
      <c r="P166" s="25">
        <f>INDEX('Inputs (2)'!$D$22:$AL$22,MATCH(P$7,'Inputs (2)'!$D$2:$AL$2,0))</f>
        <v>9243</v>
      </c>
      <c r="Q166" s="25">
        <f>INDEX('Inputs (2)'!$D$22:$AL$22,MATCH(Q$7,'Inputs (2)'!$D$2:$AL$2,0))</f>
        <v>9841</v>
      </c>
      <c r="R166" s="3">
        <f>Q166</f>
        <v>9841</v>
      </c>
      <c r="S166" s="25">
        <f>INDEX('Inputs (2)'!$D$22:$AL$22,MATCH(S$7,'Inputs (2)'!$D$2:$AL$2,0))</f>
        <v>9848</v>
      </c>
      <c r="T166" s="25">
        <f>INDEX('Inputs (2)'!$D$22:$AL$22,MATCH(T$7,'Inputs (2)'!$D$2:$AL$2,0))</f>
        <v>9706</v>
      </c>
      <c r="U166" s="25">
        <f>INDEX('Inputs (2)'!$D$22:$AL$22,MATCH(U$7,'Inputs (2)'!$D$2:$AL$2,0))</f>
        <v>8860</v>
      </c>
      <c r="V166" s="25">
        <f>INDEX('Inputs (2)'!$D$22:$AL$22,MATCH(V$7,'Inputs (2)'!$D$2:$AL$2,0))</f>
        <v>9236</v>
      </c>
      <c r="W166" s="3">
        <f>V166</f>
        <v>9236</v>
      </c>
      <c r="X166" s="25">
        <f>INDEX('Inputs (2)'!$D$22:$AL$22,MATCH(X$7,'Inputs (2)'!$D$2:$AL$2,0))</f>
        <v>9306</v>
      </c>
      <c r="Y166" s="25">
        <f>INDEX('Inputs (2)'!$D$22:$AL$22,MATCH(Y$7,'Inputs (2)'!$D$2:$AL$2,0))</f>
        <v>9508</v>
      </c>
      <c r="Z166" s="25">
        <f>INDEX('Inputs (2)'!$D$22:$AL$22,MATCH(Z$7,'Inputs (2)'!$D$2:$AL$2,0))</f>
        <v>9864</v>
      </c>
      <c r="AA166" s="25">
        <f>INDEX('Inputs (2)'!$D$22:$AL$22,MATCH(AA$7,'Inputs (2)'!$D$2:$AL$2,0))</f>
        <v>10303</v>
      </c>
      <c r="AB166" s="3">
        <f>AA166</f>
        <v>10303</v>
      </c>
      <c r="AC166" s="25">
        <f>INDEX('Inputs (2)'!$D$22:$AL$22,MATCH(AC$7,'Inputs (2)'!$D$2:$AL$2,0))</f>
        <v>10431</v>
      </c>
      <c r="AD166" s="25">
        <f>INDEX('Inputs (2)'!$D$22:$AL$22,MATCH(AD$7,'Inputs (2)'!$D$2:$AL$2,0))</f>
        <v>10784</v>
      </c>
      <c r="AE166" s="25">
        <f>INDEX('Inputs (2)'!$D$22:$AL$22,MATCH(AE$7,'Inputs (2)'!$D$2:$AL$2,0))</f>
        <v>10902</v>
      </c>
      <c r="AF166" s="25">
        <f>INDEX('Inputs (2)'!$D$22:$AL$22,MATCH(AF$7,'Inputs (2)'!$D$2:$AL$2,0))</f>
        <v>9613</v>
      </c>
      <c r="AG166" s="3">
        <f>AF166</f>
        <v>9613</v>
      </c>
      <c r="AH166" s="3">
        <f>INDEX('Inputs (2)'!$D$22:$AL$22,MATCH(AH$7,'Inputs (2)'!$D$2:$AL$2,0))</f>
        <v>9522</v>
      </c>
      <c r="AI166" s="3">
        <f>INDEX('Inputs (2)'!$D$22:$AL$22,MATCH(AI$7,'Inputs (2)'!$D$2:$AL$2,0))</f>
        <v>9636</v>
      </c>
      <c r="AJ166" s="3">
        <f>AJ171</f>
        <v>9636</v>
      </c>
      <c r="AK166" s="3">
        <f>AK171</f>
        <v>9636</v>
      </c>
      <c r="AL166" s="3">
        <f>AK166</f>
        <v>9636</v>
      </c>
      <c r="AM166" s="3">
        <f>AM171</f>
        <v>9636</v>
      </c>
      <c r="AN166" s="3">
        <f>AN171</f>
        <v>9636</v>
      </c>
      <c r="AO166" s="3">
        <f>AO171</f>
        <v>9636</v>
      </c>
      <c r="AP166" s="3">
        <f>AP171</f>
        <v>9636</v>
      </c>
      <c r="AQ166" s="3">
        <f>AP166</f>
        <v>9636</v>
      </c>
      <c r="AR166" s="3">
        <f>AR171</f>
        <v>9636</v>
      </c>
      <c r="AS166" s="3">
        <f>AS171</f>
        <v>9636</v>
      </c>
      <c r="AT166" s="3">
        <f>AT171</f>
        <v>9636</v>
      </c>
      <c r="AU166" s="3">
        <f>AU171</f>
        <v>9636</v>
      </c>
      <c r="AV166" s="3">
        <f>AU166</f>
        <v>9636</v>
      </c>
      <c r="AW166" s="3">
        <f>AW171</f>
        <v>9636</v>
      </c>
      <c r="AX166" s="3">
        <f>AX171</f>
        <v>9636</v>
      </c>
      <c r="AY166" s="3">
        <f>AY171</f>
        <v>9636</v>
      </c>
      <c r="AZ166" s="3">
        <f>AZ171</f>
        <v>9636</v>
      </c>
      <c r="BA166" s="3">
        <f>AZ166</f>
        <v>9636</v>
      </c>
      <c r="BB166" s="3">
        <f>BB171</f>
        <v>9636</v>
      </c>
      <c r="BC166" s="3">
        <f>BC171</f>
        <v>9636</v>
      </c>
      <c r="BD166" s="3">
        <f>BD171</f>
        <v>9636</v>
      </c>
      <c r="BE166" s="3">
        <f>BE171</f>
        <v>9636</v>
      </c>
      <c r="BF166" s="3">
        <f>BE166</f>
        <v>9636</v>
      </c>
      <c r="BG166" s="3">
        <f>BG171</f>
        <v>9636</v>
      </c>
      <c r="BH166" s="3">
        <f>BH171</f>
        <v>9636</v>
      </c>
      <c r="BI166" s="3">
        <f>BI171</f>
        <v>9636</v>
      </c>
      <c r="BJ166" s="3">
        <f>BJ171</f>
        <v>9636</v>
      </c>
      <c r="BK166" s="3">
        <f>BJ166</f>
        <v>9636</v>
      </c>
      <c r="BL166" s="3">
        <f>BL171</f>
        <v>9636</v>
      </c>
      <c r="BM166" s="3">
        <f>BM171</f>
        <v>9636</v>
      </c>
      <c r="BN166" s="3">
        <f>BN171</f>
        <v>9636</v>
      </c>
      <c r="BO166" s="3">
        <f>BO171</f>
        <v>9636</v>
      </c>
      <c r="BP166" s="3">
        <f>BO166</f>
        <v>9636</v>
      </c>
      <c r="BQ166" s="3">
        <f>BQ171</f>
        <v>9636</v>
      </c>
      <c r="BR166" s="3">
        <f>BR171</f>
        <v>9636</v>
      </c>
      <c r="BS166" s="3">
        <f>BS171</f>
        <v>9636</v>
      </c>
      <c r="BT166" s="3">
        <f>BT171</f>
        <v>9636</v>
      </c>
      <c r="BU166" s="3">
        <f>BT166</f>
        <v>9636</v>
      </c>
      <c r="BV166" s="3">
        <f>BV171</f>
        <v>9636</v>
      </c>
      <c r="BW166" s="3">
        <f>BW171</f>
        <v>9636</v>
      </c>
      <c r="BX166" s="3">
        <f>BX171</f>
        <v>9636</v>
      </c>
      <c r="BY166" s="3">
        <f>BY171</f>
        <v>9636</v>
      </c>
      <c r="BZ166" s="3">
        <f>BY166</f>
        <v>9636</v>
      </c>
      <c r="CA166" s="3">
        <f>CA171</f>
        <v>9636</v>
      </c>
      <c r="CB166" s="3">
        <f>CB171</f>
        <v>9636</v>
      </c>
      <c r="CC166" s="3">
        <f>CC171</f>
        <v>9636</v>
      </c>
      <c r="CD166" s="3">
        <f>CD171</f>
        <v>9636</v>
      </c>
      <c r="CE166" s="3">
        <f>CD166</f>
        <v>9636</v>
      </c>
      <c r="CF166" s="3">
        <f>CF171</f>
        <v>9636</v>
      </c>
      <c r="CG166" s="3">
        <f>CG171</f>
        <v>9636</v>
      </c>
      <c r="CH166" s="3">
        <f>CH171</f>
        <v>9636</v>
      </c>
      <c r="CI166" s="3">
        <f>CI171</f>
        <v>9636</v>
      </c>
      <c r="CJ166" s="3">
        <f>CI166</f>
        <v>9636</v>
      </c>
      <c r="CK166" s="3">
        <f>CK171</f>
        <v>9636</v>
      </c>
      <c r="CL166" s="3">
        <f>CL171</f>
        <v>9636</v>
      </c>
      <c r="CM166" s="3">
        <f>CM171</f>
        <v>9636</v>
      </c>
      <c r="CN166" s="3">
        <f>CN171</f>
        <v>9636</v>
      </c>
      <c r="CO166" s="3">
        <f>CN166</f>
        <v>9636</v>
      </c>
      <c r="CP166" s="3">
        <f>CP171</f>
        <v>9636</v>
      </c>
      <c r="CQ166" s="3">
        <f>CQ171</f>
        <v>9636</v>
      </c>
      <c r="CR166" s="3">
        <f>CR171</f>
        <v>9636</v>
      </c>
      <c r="CS166" s="3">
        <f>CS171</f>
        <v>9636</v>
      </c>
      <c r="CT166" s="3">
        <f>CS166</f>
        <v>9636</v>
      </c>
      <c r="CU166" s="3">
        <f>CU171</f>
        <v>9636</v>
      </c>
      <c r="CV166" s="3">
        <f>CV171</f>
        <v>9636</v>
      </c>
      <c r="CW166" s="3">
        <f>CW171</f>
        <v>9636</v>
      </c>
      <c r="CX166" s="3">
        <f>CX171</f>
        <v>9636</v>
      </c>
      <c r="CY166" s="3">
        <f>CX166</f>
        <v>9636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83</v>
      </c>
      <c r="F168" s="3">
        <f>F166-E166-F70</f>
        <v>330</v>
      </c>
      <c r="G168" s="3">
        <f>G166-F166-G70</f>
        <v>540</v>
      </c>
      <c r="H168" s="3" t="n"/>
      <c r="I168" s="3">
        <f>I166-H166-I70</f>
        <v>262</v>
      </c>
      <c r="J168" s="3">
        <f>J166-I166-J70</f>
        <v>257</v>
      </c>
      <c r="K168" s="3">
        <f>K166-J166-K70</f>
        <v>-127</v>
      </c>
      <c r="L168" s="3">
        <f>L166-K166-L70</f>
        <v>203</v>
      </c>
      <c r="M168" s="3" t="n"/>
      <c r="N168" s="3">
        <f>N166-M166-N70</f>
        <v>188</v>
      </c>
      <c r="O168" s="3">
        <f>O166-N166-O70</f>
        <v>0</v>
      </c>
      <c r="P168" s="3">
        <f>P166-O166-P70</f>
        <v>88</v>
      </c>
      <c r="Q168" s="3">
        <f>Q166-P166-Q70</f>
        <v>905</v>
      </c>
      <c r="R168" s="3" t="n"/>
      <c r="S168" s="3">
        <f>S166-R166-S70</f>
        <v>293</v>
      </c>
      <c r="T168" s="3">
        <f>T166-S166-T70</f>
        <v>139</v>
      </c>
      <c r="U168" s="3">
        <f>U166-T166-U70</f>
        <v>-556</v>
      </c>
      <c r="V168" s="3">
        <f>V166-U166-V70</f>
        <v>647</v>
      </c>
      <c r="W168" s="3" t="n"/>
      <c r="X168" s="3">
        <f>X166-W166-X70</f>
        <v>332</v>
      </c>
      <c r="Y168" s="3">
        <f>Y166-X166-Y70</f>
        <v>471</v>
      </c>
      <c r="Z168" s="3">
        <f>Z166-Y166-Z70</f>
        <v>624</v>
      </c>
      <c r="AA168" s="3">
        <f>AA166-Z166-AA70</f>
        <v>715</v>
      </c>
      <c r="AB168" s="3" t="n"/>
      <c r="AC168" s="3">
        <f>AC166-AB166-AC70</f>
        <v>395</v>
      </c>
      <c r="AD168" s="3">
        <f>AD166-AC166-AD70</f>
        <v>632</v>
      </c>
      <c r="AE168" s="3">
        <f>AE166-AD166-AE70</f>
        <v>386</v>
      </c>
      <c r="AF168" s="6">
        <f>AF166-AE166-AF70</f>
        <v>-1053</v>
      </c>
      <c r="AG168" s="3">
        <f>SUM(AC168:AF168)</f>
        <v>360</v>
      </c>
      <c r="AH168" s="6">
        <f>AH166-AG166-AH70</f>
        <v>173</v>
      </c>
      <c r="AI168" s="6">
        <f>AI166-AH166-AI70</f>
        <v>380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-367</v>
      </c>
      <c r="E170" s="3">
        <f>E70</f>
        <v>-381</v>
      </c>
      <c r="F170" s="3">
        <f>F70</f>
        <v>-358</v>
      </c>
      <c r="G170" s="3">
        <f>G70</f>
        <v>-430</v>
      </c>
      <c r="H170" s="3" t="n"/>
      <c r="I170" s="3">
        <f>I70</f>
        <v>-366</v>
      </c>
      <c r="J170" s="3">
        <f>J70</f>
        <v>-383</v>
      </c>
      <c r="K170" s="3">
        <f>K70</f>
        <v>-362</v>
      </c>
      <c r="L170" s="3">
        <f>L70</f>
        <v>-341</v>
      </c>
      <c r="M170" s="3" t="n"/>
      <c r="N170" s="3">
        <f>N70</f>
        <v>-324</v>
      </c>
      <c r="O170" s="3">
        <f>O70</f>
        <v>-322</v>
      </c>
      <c r="P170" s="3">
        <f>P70</f>
        <v>-307</v>
      </c>
      <c r="Q170" s="3">
        <f>Q70</f>
        <v>-307</v>
      </c>
      <c r="R170" s="3" t="n"/>
      <c r="S170" s="3">
        <f>S70</f>
        <v>-286</v>
      </c>
      <c r="T170" s="3">
        <f>T70</f>
        <v>-281</v>
      </c>
      <c r="U170" s="3">
        <f>U70</f>
        <v>-290</v>
      </c>
      <c r="V170" s="3">
        <f>V70</f>
        <v>-271</v>
      </c>
      <c r="W170" s="3" t="n"/>
      <c r="X170" s="3">
        <f>X70</f>
        <v>-262</v>
      </c>
      <c r="Y170" s="3">
        <f>Y70</f>
        <v>-269</v>
      </c>
      <c r="Z170" s="3">
        <f>Z70</f>
        <v>-268</v>
      </c>
      <c r="AA170" s="3">
        <f>AA70</f>
        <v>-276</v>
      </c>
      <c r="AB170" s="3" t="n"/>
      <c r="AC170" s="3">
        <f>AC70</f>
        <v>-267</v>
      </c>
      <c r="AD170" s="3">
        <f>AD70</f>
        <v>-279</v>
      </c>
      <c r="AE170" s="3">
        <f>AE70</f>
        <v>-268</v>
      </c>
      <c r="AF170" s="3">
        <f>AF70</f>
        <v>-236</v>
      </c>
      <c r="AG170" s="3" t="n"/>
      <c r="AH170" s="3">
        <f>AH70</f>
        <v>-264</v>
      </c>
      <c r="AI170" s="3">
        <f>AI70</f>
        <v>-266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10993</v>
      </c>
      <c r="E171" s="3">
        <f>E166</f>
        <v>10695</v>
      </c>
      <c r="F171" s="3">
        <f>F166</f>
        <v>10667</v>
      </c>
      <c r="G171" s="3">
        <f>G166</f>
        <v>10777</v>
      </c>
      <c r="H171" s="3" t="n"/>
      <c r="I171" s="3">
        <f>I166</f>
        <v>10673</v>
      </c>
      <c r="J171" s="3">
        <f>J166</f>
        <v>10547</v>
      </c>
      <c r="K171" s="3">
        <f>K166</f>
        <v>10058</v>
      </c>
      <c r="L171" s="3">
        <f>L166</f>
        <v>9920</v>
      </c>
      <c r="M171" s="3" t="n"/>
      <c r="N171" s="3">
        <f>N166</f>
        <v>9784</v>
      </c>
      <c r="O171" s="3">
        <f>O166</f>
        <v>9462</v>
      </c>
      <c r="P171" s="3">
        <f>P166</f>
        <v>9243</v>
      </c>
      <c r="Q171" s="3">
        <f>Q166</f>
        <v>9841</v>
      </c>
      <c r="R171" s="3" t="n"/>
      <c r="S171" s="3">
        <f>S166</f>
        <v>9848</v>
      </c>
      <c r="T171" s="3">
        <f>T166</f>
        <v>9706</v>
      </c>
      <c r="U171" s="3">
        <f>U166</f>
        <v>8860</v>
      </c>
      <c r="V171" s="3">
        <f>V166</f>
        <v>9236</v>
      </c>
      <c r="W171" s="3" t="n"/>
      <c r="X171" s="3">
        <f>X166</f>
        <v>9306</v>
      </c>
      <c r="Y171" s="3">
        <f>Y166</f>
        <v>9508</v>
      </c>
      <c r="Z171" s="3">
        <f>Z166</f>
        <v>9864</v>
      </c>
      <c r="AA171" s="3">
        <f>Y171+SUM(AA168:AA170)</f>
        <v>9947</v>
      </c>
      <c r="AB171" s="3" t="n"/>
      <c r="AC171" s="3">
        <f>AC166</f>
        <v>10431</v>
      </c>
      <c r="AD171" s="3">
        <f>AD166</f>
        <v>10784</v>
      </c>
      <c r="AE171" s="3">
        <f>AE166</f>
        <v>10902</v>
      </c>
      <c r="AF171" s="3">
        <f>AE171+SUM(AF168:AF170)</f>
        <v>9613</v>
      </c>
      <c r="AG171" s="3" t="n"/>
      <c r="AH171" s="3">
        <f>AH166</f>
        <v>9522</v>
      </c>
      <c r="AI171" s="3">
        <f>AI166</f>
        <v>9636</v>
      </c>
      <c r="AJ171" s="3">
        <f>AI171+SUM(AJ168:AJ170)</f>
        <v>9636</v>
      </c>
      <c r="AK171" s="3">
        <f>AJ171+SUM(AK168:AK170)</f>
        <v>9636</v>
      </c>
      <c r="AL171" s="3" t="n"/>
      <c r="AM171" s="3">
        <f>AK171+SUM(AM168:AM170)</f>
        <v>9636</v>
      </c>
      <c r="AN171" s="3">
        <f>AM171+SUM(AN168:AN170)</f>
        <v>9636</v>
      </c>
      <c r="AO171" s="3">
        <f>AN171+SUM(AO168:AO170)</f>
        <v>9636</v>
      </c>
      <c r="AP171" s="3">
        <f>AO171+SUM(AP168:AP170)</f>
        <v>9636</v>
      </c>
      <c r="AQ171" s="3" t="n"/>
      <c r="AR171" s="3">
        <f>AP171+SUM(AR168:AR170)</f>
        <v>9636</v>
      </c>
      <c r="AS171" s="3">
        <f>AR171+SUM(AS168:AS170)</f>
        <v>9636</v>
      </c>
      <c r="AT171" s="3">
        <f>AS171+SUM(AT168:AT170)</f>
        <v>9636</v>
      </c>
      <c r="AU171" s="3">
        <f>AT171+SUM(AU168:AU170)</f>
        <v>9636</v>
      </c>
      <c r="AV171" s="3" t="n"/>
      <c r="AW171" s="3">
        <f>AU171+SUM(AW168:AW170)</f>
        <v>9636</v>
      </c>
      <c r="AX171" s="3">
        <f>AW171+SUM(AX168:AX170)</f>
        <v>9636</v>
      </c>
      <c r="AY171" s="3">
        <f>AX171+SUM(AY168:AY170)</f>
        <v>9636</v>
      </c>
      <c r="AZ171" s="3">
        <f>AY171+SUM(AZ168:AZ170)</f>
        <v>9636</v>
      </c>
      <c r="BA171" s="3" t="n"/>
      <c r="BB171" s="3">
        <f>AZ171+SUM(BB168:BB170)</f>
        <v>9636</v>
      </c>
      <c r="BC171" s="3">
        <f>BB171+SUM(BC168:BC170)</f>
        <v>9636</v>
      </c>
      <c r="BD171" s="3">
        <f>BC171+SUM(BD168:BD170)</f>
        <v>9636</v>
      </c>
      <c r="BE171" s="3">
        <f>BD171+SUM(BE168:BE170)</f>
        <v>9636</v>
      </c>
      <c r="BF171" s="3" t="n"/>
      <c r="BG171" s="3">
        <f>BE171+SUM(BG168:BG170)</f>
        <v>9636</v>
      </c>
      <c r="BH171" s="3">
        <f>BG171+SUM(BH168:BH170)</f>
        <v>9636</v>
      </c>
      <c r="BI171" s="3">
        <f>BH171+SUM(BI168:BI170)</f>
        <v>9636</v>
      </c>
      <c r="BJ171" s="3">
        <f>BI171+SUM(BJ168:BJ170)</f>
        <v>9636</v>
      </c>
      <c r="BK171" s="3" t="n"/>
      <c r="BL171" s="3">
        <f>BJ171+SUM(BL168:BL170)</f>
        <v>9636</v>
      </c>
      <c r="BM171" s="3">
        <f>BL171+SUM(BM168:BM170)</f>
        <v>9636</v>
      </c>
      <c r="BN171" s="3">
        <f>BM171+SUM(BN168:BN170)</f>
        <v>9636</v>
      </c>
      <c r="BO171" s="3">
        <f>BN171+SUM(BO168:BO170)</f>
        <v>9636</v>
      </c>
      <c r="BP171" s="3" t="n"/>
      <c r="BQ171" s="3">
        <f>BO171+SUM(BQ168:BQ170)</f>
        <v>9636</v>
      </c>
      <c r="BR171" s="3">
        <f>BQ171+SUM(BR168:BR170)</f>
        <v>9636</v>
      </c>
      <c r="BS171" s="3">
        <f>BR171+SUM(BS168:BS170)</f>
        <v>9636</v>
      </c>
      <c r="BT171" s="3">
        <f>BS171+SUM(BT168:BT170)</f>
        <v>9636</v>
      </c>
      <c r="BU171" s="3" t="n"/>
      <c r="BV171" s="3">
        <f>BT171+SUM(BV168:BV170)</f>
        <v>9636</v>
      </c>
      <c r="BW171" s="3">
        <f>BV171+SUM(BW168:BW170)</f>
        <v>9636</v>
      </c>
      <c r="BX171" s="3">
        <f>BW171+SUM(BX168:BX170)</f>
        <v>9636</v>
      </c>
      <c r="BY171" s="3">
        <f>BX171+SUM(BY168:BY170)</f>
        <v>9636</v>
      </c>
      <c r="BZ171" s="3" t="n"/>
      <c r="CA171" s="3">
        <f>BY171+SUM(CA168:CA170)</f>
        <v>9636</v>
      </c>
      <c r="CB171" s="3">
        <f>CA171+SUM(CB168:CB170)</f>
        <v>9636</v>
      </c>
      <c r="CC171" s="3">
        <f>CB171+SUM(CC168:CC170)</f>
        <v>9636</v>
      </c>
      <c r="CD171" s="3">
        <f>CC171+SUM(CD168:CD170)</f>
        <v>9636</v>
      </c>
      <c r="CE171" s="3" t="n"/>
      <c r="CF171" s="3">
        <f>CD171+SUM(CF168:CF170)</f>
        <v>9636</v>
      </c>
      <c r="CG171" s="3">
        <f>CF171+SUM(CG168:CG170)</f>
        <v>9636</v>
      </c>
      <c r="CH171" s="3">
        <f>CG171+SUM(CH168:CH170)</f>
        <v>9636</v>
      </c>
      <c r="CI171" s="3">
        <f>CH171+SUM(CI168:CI170)</f>
        <v>9636</v>
      </c>
      <c r="CJ171" s="3" t="n"/>
      <c r="CK171" s="3">
        <f>CI171+SUM(CK168:CK170)</f>
        <v>9636</v>
      </c>
      <c r="CL171" s="3">
        <f>CK171+SUM(CL168:CL170)</f>
        <v>9636</v>
      </c>
      <c r="CM171" s="3">
        <f>CL171+SUM(CM168:CM170)</f>
        <v>9636</v>
      </c>
      <c r="CN171" s="3">
        <f>CM171+SUM(CN168:CN170)</f>
        <v>9636</v>
      </c>
      <c r="CO171" s="3" t="n"/>
      <c r="CP171" s="3">
        <f>CN171+SUM(CP168:CP170)</f>
        <v>9636</v>
      </c>
      <c r="CQ171" s="3">
        <f>CP171+SUM(CQ168:CQ170)</f>
        <v>9636</v>
      </c>
      <c r="CR171" s="3">
        <f>CQ171+SUM(CR168:CR170)</f>
        <v>9636</v>
      </c>
      <c r="CS171" s="3">
        <f>CR171+SUM(CS168:CS170)</f>
        <v>9636</v>
      </c>
      <c r="CT171" s="3" t="n"/>
      <c r="CU171" s="3">
        <f>CS171+SUM(CU168:CU170)</f>
        <v>9636</v>
      </c>
      <c r="CV171" s="3">
        <f>CU171+SUM(CV168:CV170)</f>
        <v>9636</v>
      </c>
      <c r="CW171" s="3">
        <f>CV171+SUM(CW168:CW170)</f>
        <v>9636</v>
      </c>
      <c r="CX171" s="3">
        <f>CW171+SUM(CX168:CX170)</f>
        <v>9636</v>
      </c>
      <c r="CY171" s="3" t="n"/>
      <c r="CZ171">
        <f>CX171+SUM(CZ168:CZ170)</f>
        <v>9636</v>
      </c>
      <c r="DA171">
        <f>CZ171+SUM(DA168:DA170)</f>
        <v>9636</v>
      </c>
      <c r="DB171">
        <f>DA171+SUM(DB168:DB170)</f>
        <v>9636</v>
      </c>
      <c r="DC171">
        <f>DB171+SUM(DC168:DC170)</f>
        <v>9636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-0.0890712231432922</v>
      </c>
      <c r="AG173" s="40">
        <f>AG168/AG15</f>
        <v>0.0075092300953255</v>
      </c>
      <c r="AH173" s="40">
        <f>AH168/AH15</f>
        <v>0.0138710711994869</v>
      </c>
      <c r="AI173" s="40">
        <f>AI168/AI15</f>
        <v>0.0284005979073244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0</v>
      </c>
      <c r="E176" s="25">
        <f>INDEX('Inputs (2)'!$D$23:$AL$23,MATCH(E$7,'Inputs (2)'!$D$2:$AL$2,0))</f>
        <v>0</v>
      </c>
      <c r="F176" s="25">
        <f>INDEX('Inputs (2)'!$D$23:$AL$23,MATCH(F$7,'Inputs (2)'!$D$2:$AL$2,0))</f>
        <v>0</v>
      </c>
      <c r="G176" s="25">
        <f>INDEX('Inputs (2)'!$D$23:$AL$23,MATCH(G$7,'Inputs (2)'!$D$2:$AL$2,0))</f>
        <v>0</v>
      </c>
      <c r="H176" s="3">
        <f>G176</f>
        <v>0</v>
      </c>
      <c r="I176" s="25">
        <f>INDEX('Inputs (2)'!$D$23:$AL$23,MATCH(I$7,'Inputs (2)'!$D$2:$AL$2,0))</f>
        <v>0</v>
      </c>
      <c r="J176" s="25">
        <f>INDEX('Inputs (2)'!$D$23:$AL$23,MATCH(J$7,'Inputs (2)'!$D$2:$AL$2,0))</f>
        <v>0</v>
      </c>
      <c r="K176" s="25">
        <f>INDEX('Inputs (2)'!$D$23:$AL$23,MATCH(K$7,'Inputs (2)'!$D$2:$AL$2,0))</f>
        <v>0</v>
      </c>
      <c r="L176" s="25">
        <f>INDEX('Inputs (2)'!$D$23:$AL$23,MATCH(L$7,'Inputs (2)'!$D$2:$AL$2,0))</f>
        <v>0</v>
      </c>
      <c r="M176" s="3">
        <f>L176</f>
        <v>0</v>
      </c>
      <c r="N176" s="25">
        <f>INDEX('Inputs (2)'!$D$23:$AL$23,MATCH(N$7,'Inputs (2)'!$D$2:$AL$2,0))</f>
        <v>0</v>
      </c>
      <c r="O176" s="25">
        <f>INDEX('Inputs (2)'!$D$23:$AL$23,MATCH(O$7,'Inputs (2)'!$D$2:$AL$2,0))</f>
        <v>0</v>
      </c>
      <c r="P176" s="25">
        <f>INDEX('Inputs (2)'!$D$23:$AL$23,MATCH(P$7,'Inputs (2)'!$D$2:$AL$2,0))</f>
        <v>0</v>
      </c>
      <c r="Q176" s="25">
        <f>INDEX('Inputs (2)'!$D$23:$AL$23,MATCH(Q$7,'Inputs (2)'!$D$2:$AL$2,0))</f>
        <v>0</v>
      </c>
      <c r="R176" s="3">
        <f>Q176</f>
        <v>0</v>
      </c>
      <c r="S176" s="25">
        <f>INDEX('Inputs (2)'!$D$23:$AL$23,MATCH(S$7,'Inputs (2)'!$D$2:$AL$2,0))</f>
        <v>0</v>
      </c>
      <c r="T176" s="25">
        <f>INDEX('Inputs (2)'!$D$23:$AL$23,MATCH(T$7,'Inputs (2)'!$D$2:$AL$2,0))</f>
        <v>0</v>
      </c>
      <c r="U176" s="25">
        <f>INDEX('Inputs (2)'!$D$23:$AL$23,MATCH(U$7,'Inputs (2)'!$D$2:$AL$2,0))</f>
        <v>0</v>
      </c>
      <c r="V176" s="25">
        <f>INDEX('Inputs (2)'!$D$23:$AL$23,MATCH(V$7,'Inputs (2)'!$D$2:$AL$2,0))</f>
        <v>0</v>
      </c>
      <c r="W176" s="3">
        <f>V176</f>
        <v>0</v>
      </c>
      <c r="X176" s="25">
        <f>INDEX('Inputs (2)'!$D$23:$AL$23,MATCH(X$7,'Inputs (2)'!$D$2:$AL$2,0))</f>
        <v>0</v>
      </c>
      <c r="Y176" s="25">
        <f>INDEX('Inputs (2)'!$D$23:$AL$23,MATCH(Y$7,'Inputs (2)'!$D$2:$AL$2,0))</f>
        <v>0</v>
      </c>
      <c r="Z176" s="25">
        <f>INDEX('Inputs (2)'!$D$23:$AL$23,MATCH(Z$7,'Inputs (2)'!$D$2:$AL$2,0))</f>
        <v>0</v>
      </c>
      <c r="AA176" s="25">
        <f>INDEX('Inputs (2)'!$D$23:$AL$23,MATCH(AA$7,'Inputs (2)'!$D$2:$AL$2,0))</f>
        <v>0</v>
      </c>
      <c r="AB176" s="3">
        <f>AA176</f>
        <v>0</v>
      </c>
      <c r="AC176" s="25">
        <f>INDEX('Inputs (2)'!$D$23:$AL$23,MATCH(AC$7,'Inputs (2)'!$D$2:$AL$2,0))</f>
        <v>0</v>
      </c>
      <c r="AD176" s="25">
        <f>INDEX('Inputs (2)'!$D$23:$AL$23,MATCH(AD$7,'Inputs (2)'!$D$2:$AL$2,0))</f>
        <v>0</v>
      </c>
      <c r="AE176" s="25">
        <f>INDEX('Inputs (2)'!$D$23:$AL$23,MATCH(AE$7,'Inputs (2)'!$D$2:$AL$2,0))</f>
        <v>0</v>
      </c>
      <c r="AF176" s="25">
        <f>INDEX('Inputs (2)'!$D$23:$AL$23,MATCH(AF$7,'Inputs (2)'!$D$2:$AL$2,0))</f>
        <v>0</v>
      </c>
      <c r="AG176" s="3">
        <f>AF176</f>
        <v>0</v>
      </c>
      <c r="AH176" s="3">
        <f>INDEX('Inputs (2)'!$D$23:$AL$23,MATCH(AH$7,'Inputs (2)'!$D$2:$AL$2,0))</f>
        <v>0</v>
      </c>
      <c r="AI176" s="3">
        <f>INDEX('Inputs (2)'!$D$23:$AL$23,MATCH(AI$7,'Inputs (2)'!$D$2:$AL$2,0))</f>
        <v>0</v>
      </c>
      <c r="AJ176" s="3">
        <f>AI176</f>
        <v>0</v>
      </c>
      <c r="AK176" s="3">
        <f>AJ176</f>
        <v>0</v>
      </c>
      <c r="AL176" s="3">
        <f>AK176</f>
        <v>0</v>
      </c>
      <c r="AM176" s="3">
        <f>AL176</f>
        <v>0</v>
      </c>
      <c r="AN176" s="3">
        <f>AM176</f>
        <v>0</v>
      </c>
      <c r="AO176" s="3">
        <f>AN176</f>
        <v>0</v>
      </c>
      <c r="AP176" s="3">
        <f>AO176</f>
        <v>0</v>
      </c>
      <c r="AQ176" s="3">
        <f>AP176</f>
        <v>0</v>
      </c>
      <c r="AR176" s="3">
        <f>AQ176</f>
        <v>0</v>
      </c>
      <c r="AS176" s="3">
        <f>AR176</f>
        <v>0</v>
      </c>
      <c r="AT176" s="3">
        <f>AS176</f>
        <v>0</v>
      </c>
      <c r="AU176" s="3">
        <f>AT176</f>
        <v>0</v>
      </c>
      <c r="AV176" s="3">
        <f>AU176</f>
        <v>0</v>
      </c>
      <c r="AW176" s="3">
        <f>AV176</f>
        <v>0</v>
      </c>
      <c r="AX176" s="3">
        <f>AW176</f>
        <v>0</v>
      </c>
      <c r="AY176" s="3">
        <f>AX176</f>
        <v>0</v>
      </c>
      <c r="AZ176" s="3">
        <f>AY176</f>
        <v>0</v>
      </c>
      <c r="BA176" s="3">
        <f>AZ176</f>
        <v>0</v>
      </c>
      <c r="BB176" s="3">
        <f>BA176</f>
        <v>0</v>
      </c>
      <c r="BC176" s="3">
        <f>BB176</f>
        <v>0</v>
      </c>
      <c r="BD176" s="3">
        <f>BC176</f>
        <v>0</v>
      </c>
      <c r="BE176" s="3">
        <f>BD176</f>
        <v>0</v>
      </c>
      <c r="BF176" s="3">
        <f>BE176</f>
        <v>0</v>
      </c>
      <c r="BG176" s="3">
        <f>BF176</f>
        <v>0</v>
      </c>
      <c r="BH176" s="3">
        <f>BG176</f>
        <v>0</v>
      </c>
      <c r="BI176" s="3">
        <f>BH176</f>
        <v>0</v>
      </c>
      <c r="BJ176" s="3">
        <f>BI176</f>
        <v>0</v>
      </c>
      <c r="BK176" s="3">
        <f>BJ176</f>
        <v>0</v>
      </c>
      <c r="BL176" s="3">
        <f>BK176</f>
        <v>0</v>
      </c>
      <c r="BM176" s="3">
        <f>BL176</f>
        <v>0</v>
      </c>
      <c r="BN176" s="3">
        <f>BM176</f>
        <v>0</v>
      </c>
      <c r="BO176" s="3">
        <f>BN176</f>
        <v>0</v>
      </c>
      <c r="BP176" s="3">
        <f>BO176</f>
        <v>0</v>
      </c>
      <c r="BQ176" s="3">
        <f>BP176</f>
        <v>0</v>
      </c>
      <c r="BR176" s="3">
        <f>BQ176</f>
        <v>0</v>
      </c>
      <c r="BS176" s="3">
        <f>BR176</f>
        <v>0</v>
      </c>
      <c r="BT176" s="3">
        <f>BS176</f>
        <v>0</v>
      </c>
      <c r="BU176" s="3">
        <f>BT176</f>
        <v>0</v>
      </c>
      <c r="BV176" s="3">
        <f>BU176</f>
        <v>0</v>
      </c>
      <c r="BW176" s="3">
        <f>BV176</f>
        <v>0</v>
      </c>
      <c r="BX176" s="3">
        <f>BW176</f>
        <v>0</v>
      </c>
      <c r="BY176" s="3">
        <f>BX176</f>
        <v>0</v>
      </c>
      <c r="BZ176" s="3">
        <f>BY176</f>
        <v>0</v>
      </c>
      <c r="CA176" s="3">
        <f>BZ176</f>
        <v>0</v>
      </c>
      <c r="CB176" s="3">
        <f>CA176</f>
        <v>0</v>
      </c>
      <c r="CC176" s="3">
        <f>CB176</f>
        <v>0</v>
      </c>
      <c r="CD176" s="3">
        <f>CC176</f>
        <v>0</v>
      </c>
      <c r="CE176" s="3">
        <f>CD176</f>
        <v>0</v>
      </c>
      <c r="CF176" s="3">
        <f>CE176</f>
        <v>0</v>
      </c>
      <c r="CG176" s="3">
        <f>CF176</f>
        <v>0</v>
      </c>
      <c r="CH176" s="3">
        <f>CG176</f>
        <v>0</v>
      </c>
      <c r="CI176" s="3">
        <f>CH176</f>
        <v>0</v>
      </c>
      <c r="CJ176" s="3">
        <f>CI176</f>
        <v>0</v>
      </c>
      <c r="CK176" s="3">
        <f>CJ176</f>
        <v>0</v>
      </c>
      <c r="CL176" s="3">
        <f>CK176</f>
        <v>0</v>
      </c>
      <c r="CM176" s="3">
        <f>CL176</f>
        <v>0</v>
      </c>
      <c r="CN176" s="3">
        <f>CM176</f>
        <v>0</v>
      </c>
      <c r="CO176" s="3">
        <f>CN176</f>
        <v>0</v>
      </c>
      <c r="CP176" s="3">
        <f>CO176</f>
        <v>0</v>
      </c>
      <c r="CQ176" s="3">
        <f>CP176</f>
        <v>0</v>
      </c>
      <c r="CR176" s="3">
        <f>CQ176</f>
        <v>0</v>
      </c>
      <c r="CS176" s="3">
        <f>CR176</f>
        <v>0</v>
      </c>
      <c r="CT176" s="3">
        <f>CS176</f>
        <v>0</v>
      </c>
      <c r="CU176" s="3">
        <f>CT176</f>
        <v>0</v>
      </c>
      <c r="CV176" s="3">
        <f>CU176</f>
        <v>0</v>
      </c>
      <c r="CW176" s="3">
        <f>CV176</f>
        <v>0</v>
      </c>
      <c r="CX176" s="3">
        <f>CW176</f>
        <v>0</v>
      </c>
      <c r="CY176" s="3">
        <f>CX176</f>
        <v>0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</v>
      </c>
      <c r="F177" s="47">
        <f>IFERROR((F176-E176)/E176,0)</f>
        <v>0</v>
      </c>
      <c r="G177" s="47">
        <f>IFERROR((G176-F176)/F176,0)</f>
        <v>0</v>
      </c>
      <c r="H177" s="3" t="n"/>
      <c r="I177" s="47">
        <f>IFERROR((I176-H176)/H176,0)</f>
        <v>0</v>
      </c>
      <c r="J177" s="47">
        <f>IFERROR((J176-I176)/I176,0)</f>
        <v>0</v>
      </c>
      <c r="K177" s="47">
        <f>IFERROR((K176-J176)/J176,0)</f>
        <v>0</v>
      </c>
      <c r="L177" s="47">
        <f>IFERROR((L176-K176)/K176,0)</f>
        <v>0</v>
      </c>
      <c r="M177" s="3" t="n"/>
      <c r="N177" s="47">
        <f>IFERROR((N176-M176)/M176,0)</f>
        <v>0</v>
      </c>
      <c r="O177" s="47">
        <f>IFERROR((O176-N176)/N176,0)</f>
        <v>0</v>
      </c>
      <c r="P177" s="47">
        <f>IFERROR((P176-O176)/O176,0)</f>
        <v>0</v>
      </c>
      <c r="Q177" s="47">
        <f>IFERROR((Q176-P176)/P176,0)</f>
        <v>0</v>
      </c>
      <c r="R177" s="3" t="n"/>
      <c r="S177" s="47">
        <f>IFERROR((S176-R176)/R176,0)</f>
        <v>0</v>
      </c>
      <c r="T177" s="47">
        <f>IFERROR((T176-S176)/S176,0)</f>
        <v>0</v>
      </c>
      <c r="U177" s="47">
        <f>IFERROR((U176-T176)/T176,0)</f>
        <v>0</v>
      </c>
      <c r="V177" s="47">
        <f>IFERROR((V176-U176)/U176,0)</f>
        <v>0</v>
      </c>
      <c r="W177" s="3" t="n"/>
      <c r="X177" s="47">
        <f>IFERROR((X176-W176)/W176,0)</f>
        <v>0</v>
      </c>
      <c r="Y177" s="47">
        <f>IFERROR((Y176-X176)/X176,0)</f>
        <v>0</v>
      </c>
      <c r="Z177" s="47">
        <f>IFERROR((Z176-Y176)/Y176,0)</f>
        <v>0</v>
      </c>
      <c r="AA177" s="47">
        <f>IFERROR((AA176-Z176)/Z176,0)</f>
        <v>0</v>
      </c>
      <c r="AB177" s="3" t="n"/>
      <c r="AC177" s="47">
        <f>IFERROR((AC176-AB176)/AB176,0)</f>
        <v>0</v>
      </c>
      <c r="AD177" s="47">
        <f>IFERROR((AD176-AC176)/AC176,0)</f>
        <v>0</v>
      </c>
      <c r="AE177" s="47">
        <f>IFERROR((AE176-AD176)/AD176,0)</f>
        <v>0</v>
      </c>
      <c r="AF177" s="218">
        <f>IFERROR((AF176-AE176)/AE176,0)</f>
        <v>0</v>
      </c>
      <c r="AG177" s="3" t="n"/>
      <c r="AH177" s="218">
        <f>IFERROR((AH176-AG176)/AG176,0)</f>
        <v>0</v>
      </c>
      <c r="AI177" s="218">
        <f>IFERROR((AI176-AH176)/AH176,0)</f>
        <v>0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>
        <f>INDEX('Inputs (2)'!$D$24:$AL$24,MATCH(D$7,'Inputs (2)'!$D$2:$AL$2,0))</f>
        <v>16673</v>
      </c>
      <c r="E179" s="25">
        <f>INDEX('Inputs (2)'!$D$24:$AL$24,MATCH(E$7,'Inputs (2)'!$D$2:$AL$2,0))</f>
        <v>16617</v>
      </c>
      <c r="F179" s="25">
        <f>INDEX('Inputs (2)'!$D$24:$AL$24,MATCH(F$7,'Inputs (2)'!$D$2:$AL$2,0))</f>
        <v>16887</v>
      </c>
      <c r="G179" s="25">
        <f>INDEX('Inputs (2)'!$D$24:$AL$24,MATCH(G$7,'Inputs (2)'!$D$2:$AL$2,0))</f>
        <v>17506</v>
      </c>
      <c r="H179" s="3">
        <f>G179</f>
        <v>17506</v>
      </c>
      <c r="I179" s="25">
        <f>INDEX('Inputs (2)'!$D$24:$AL$24,MATCH(I$7,'Inputs (2)'!$D$2:$AL$2,0))</f>
        <v>17618</v>
      </c>
      <c r="J179" s="25">
        <f>INDEX('Inputs (2)'!$D$24:$AL$24,MATCH(J$7,'Inputs (2)'!$D$2:$AL$2,0))</f>
        <v>17693</v>
      </c>
      <c r="K179" s="25">
        <f>INDEX('Inputs (2)'!$D$24:$AL$24,MATCH(K$7,'Inputs (2)'!$D$2:$AL$2,0))</f>
        <v>17455</v>
      </c>
      <c r="L179" s="25">
        <f>INDEX('Inputs (2)'!$D$24:$AL$24,MATCH(L$7,'Inputs (2)'!$D$2:$AL$2,0))</f>
        <v>19363</v>
      </c>
      <c r="M179" s="3">
        <f>L179</f>
        <v>19363</v>
      </c>
      <c r="N179" s="25">
        <f>INDEX('Inputs (2)'!$D$24:$AL$24,MATCH(N$7,'Inputs (2)'!$D$2:$AL$2,0))</f>
        <v>19598</v>
      </c>
      <c r="O179" s="25">
        <f>INDEX('Inputs (2)'!$D$24:$AL$24,MATCH(O$7,'Inputs (2)'!$D$2:$AL$2,0))</f>
        <v>18910</v>
      </c>
      <c r="P179" s="25">
        <f>INDEX('Inputs (2)'!$D$24:$AL$24,MATCH(P$7,'Inputs (2)'!$D$2:$AL$2,0))</f>
        <v>18329</v>
      </c>
      <c r="Q179" s="25">
        <f>INDEX('Inputs (2)'!$D$24:$AL$24,MATCH(Q$7,'Inputs (2)'!$D$2:$AL$2,0))</f>
        <v>18782</v>
      </c>
      <c r="R179" s="3">
        <f>Q179</f>
        <v>18782</v>
      </c>
      <c r="S179" s="25">
        <f>INDEX('Inputs (2)'!$D$24:$AL$24,MATCH(S$7,'Inputs (2)'!$D$2:$AL$2,0))</f>
        <v>18678</v>
      </c>
      <c r="T179" s="25">
        <f>INDEX('Inputs (2)'!$D$24:$AL$24,MATCH(T$7,'Inputs (2)'!$D$2:$AL$2,0))</f>
        <v>18545</v>
      </c>
      <c r="U179" s="25">
        <f>INDEX('Inputs (2)'!$D$24:$AL$24,MATCH(U$7,'Inputs (2)'!$D$2:$AL$2,0))</f>
        <v>18144</v>
      </c>
      <c r="V179" s="25">
        <f>INDEX('Inputs (2)'!$D$24:$AL$24,MATCH(V$7,'Inputs (2)'!$D$2:$AL$2,0))</f>
        <v>18358</v>
      </c>
      <c r="W179" s="3">
        <f>V179</f>
        <v>18358</v>
      </c>
      <c r="X179" s="25">
        <f>INDEX('Inputs (2)'!$D$24:$AL$24,MATCH(X$7,'Inputs (2)'!$D$2:$AL$2,0))</f>
        <v>18210</v>
      </c>
      <c r="Y179" s="25">
        <f>INDEX('Inputs (2)'!$D$24:$AL$24,MATCH(Y$7,'Inputs (2)'!$D$2:$AL$2,0))</f>
        <v>18324</v>
      </c>
      <c r="Z179" s="25">
        <f>INDEX('Inputs (2)'!$D$24:$AL$24,MATCH(Z$7,'Inputs (2)'!$D$2:$AL$2,0))</f>
        <v>18686</v>
      </c>
      <c r="AA179" s="25">
        <f>INDEX('Inputs (2)'!$D$24:$AL$24,MATCH(AA$7,'Inputs (2)'!$D$2:$AL$2,0))</f>
        <v>18139</v>
      </c>
      <c r="AB179" s="3">
        <f>AA179</f>
        <v>18139</v>
      </c>
      <c r="AC179" s="25">
        <f>INDEX('Inputs (2)'!$D$24:$AL$24,MATCH(AC$7,'Inputs (2)'!$D$2:$AL$2,0))</f>
        <v>18333</v>
      </c>
      <c r="AD179" s="25">
        <f>INDEX('Inputs (2)'!$D$24:$AL$24,MATCH(AD$7,'Inputs (2)'!$D$2:$AL$2,0))</f>
        <v>18663</v>
      </c>
      <c r="AE179" s="25">
        <f>INDEX('Inputs (2)'!$D$24:$AL$24,MATCH(AE$7,'Inputs (2)'!$D$2:$AL$2,0))</f>
        <v>18662</v>
      </c>
      <c r="AF179" s="25">
        <f>INDEX('Inputs (2)'!$D$24:$AL$24,MATCH(AF$7,'Inputs (2)'!$D$2:$AL$2,0))</f>
        <v>15491</v>
      </c>
      <c r="AG179" s="3">
        <f>AF179</f>
        <v>15491</v>
      </c>
      <c r="AH179" s="3">
        <f>INDEX('Inputs (2)'!$D$24:$AL$24,MATCH(AH$7,'Inputs (2)'!$D$2:$AL$2,0))</f>
        <v>15411</v>
      </c>
      <c r="AI179" s="3">
        <f>INDEX('Inputs (2)'!$D$24:$AL$24,MATCH(AI$7,'Inputs (2)'!$D$2:$AL$2,0))</f>
        <v>15456</v>
      </c>
      <c r="AJ179" s="3">
        <f>AI179</f>
        <v>15456</v>
      </c>
      <c r="AK179" s="3">
        <f>AJ179</f>
        <v>15456</v>
      </c>
      <c r="AL179" s="3">
        <f>AK179</f>
        <v>15456</v>
      </c>
      <c r="AM179" s="3">
        <f>AL179</f>
        <v>15456</v>
      </c>
      <c r="AN179" s="3">
        <f>AM179</f>
        <v>15456</v>
      </c>
      <c r="AO179" s="3">
        <f>AN179</f>
        <v>15456</v>
      </c>
      <c r="AP179" s="3">
        <f>AO179</f>
        <v>15456</v>
      </c>
      <c r="AQ179" s="3">
        <f>AP179</f>
        <v>15456</v>
      </c>
      <c r="AR179" s="3">
        <f>AQ179</f>
        <v>15456</v>
      </c>
      <c r="AS179" s="3">
        <f>AR179</f>
        <v>15456</v>
      </c>
      <c r="AT179" s="3">
        <f>AS179</f>
        <v>15456</v>
      </c>
      <c r="AU179" s="3">
        <f>AT179</f>
        <v>15456</v>
      </c>
      <c r="AV179" s="3">
        <f>AU179</f>
        <v>15456</v>
      </c>
      <c r="AW179" s="3">
        <f>AV179</f>
        <v>15456</v>
      </c>
      <c r="AX179" s="3">
        <f>AW179</f>
        <v>15456</v>
      </c>
      <c r="AY179" s="3">
        <f>AX179</f>
        <v>15456</v>
      </c>
      <c r="AZ179" s="3">
        <f>AY179</f>
        <v>15456</v>
      </c>
      <c r="BA179" s="3">
        <f>AZ179</f>
        <v>15456</v>
      </c>
      <c r="BB179" s="3">
        <f>BA179</f>
        <v>15456</v>
      </c>
      <c r="BC179" s="3">
        <f>BB179</f>
        <v>15456</v>
      </c>
      <c r="BD179" s="3">
        <f>BC179</f>
        <v>15456</v>
      </c>
      <c r="BE179" s="3">
        <f>BD179</f>
        <v>15456</v>
      </c>
      <c r="BF179" s="3">
        <f>BE179</f>
        <v>15456</v>
      </c>
      <c r="BG179" s="3">
        <f>BF179</f>
        <v>15456</v>
      </c>
      <c r="BH179" s="3">
        <f>BG179</f>
        <v>15456</v>
      </c>
      <c r="BI179" s="3">
        <f>BH179</f>
        <v>15456</v>
      </c>
      <c r="BJ179" s="3">
        <f>BI179</f>
        <v>15456</v>
      </c>
      <c r="BK179" s="3">
        <f>BJ179</f>
        <v>15456</v>
      </c>
      <c r="BL179" s="3">
        <f>BK179</f>
        <v>15456</v>
      </c>
      <c r="BM179" s="3">
        <f>BL179</f>
        <v>15456</v>
      </c>
      <c r="BN179" s="3">
        <f>BM179</f>
        <v>15456</v>
      </c>
      <c r="BO179" s="3">
        <f>BN179</f>
        <v>15456</v>
      </c>
      <c r="BP179" s="3">
        <f>BO179</f>
        <v>15456</v>
      </c>
      <c r="BQ179" s="3">
        <f>BP179</f>
        <v>15456</v>
      </c>
      <c r="BR179" s="3">
        <f>BQ179</f>
        <v>15456</v>
      </c>
      <c r="BS179" s="3">
        <f>BR179</f>
        <v>15456</v>
      </c>
      <c r="BT179" s="3">
        <f>BS179</f>
        <v>15456</v>
      </c>
      <c r="BU179" s="3">
        <f>BT179</f>
        <v>15456</v>
      </c>
      <c r="BV179" s="3">
        <f>BU179</f>
        <v>15456</v>
      </c>
      <c r="BW179" s="3">
        <f>BV179</f>
        <v>15456</v>
      </c>
      <c r="BX179" s="3">
        <f>BW179</f>
        <v>15456</v>
      </c>
      <c r="BY179" s="3">
        <f>BX179</f>
        <v>15456</v>
      </c>
      <c r="BZ179" s="3">
        <f>BY179</f>
        <v>15456</v>
      </c>
      <c r="CA179" s="3">
        <f>BZ179</f>
        <v>15456</v>
      </c>
      <c r="CB179" s="3">
        <f>CA179</f>
        <v>15456</v>
      </c>
      <c r="CC179" s="3">
        <f>CB179</f>
        <v>15456</v>
      </c>
      <c r="CD179" s="3">
        <f>CC179</f>
        <v>15456</v>
      </c>
      <c r="CE179" s="3">
        <f>CD179</f>
        <v>15456</v>
      </c>
      <c r="CF179" s="3">
        <f>CE179</f>
        <v>15456</v>
      </c>
      <c r="CG179" s="3">
        <f>CF179</f>
        <v>15456</v>
      </c>
      <c r="CH179" s="3">
        <f>CG179</f>
        <v>15456</v>
      </c>
      <c r="CI179" s="3">
        <f>CH179</f>
        <v>15456</v>
      </c>
      <c r="CJ179" s="3">
        <f>CI179</f>
        <v>15456</v>
      </c>
      <c r="CK179" s="3">
        <f>CJ179</f>
        <v>15456</v>
      </c>
      <c r="CL179" s="3">
        <f>CK179</f>
        <v>15456</v>
      </c>
      <c r="CM179" s="3">
        <f>CL179</f>
        <v>15456</v>
      </c>
      <c r="CN179" s="3">
        <f>CM179</f>
        <v>15456</v>
      </c>
      <c r="CO179" s="3">
        <f>CN179</f>
        <v>15456</v>
      </c>
      <c r="CP179" s="3">
        <f>CO179</f>
        <v>15456</v>
      </c>
      <c r="CQ179" s="3">
        <f>CP179</f>
        <v>15456</v>
      </c>
      <c r="CR179" s="3">
        <f>CQ179</f>
        <v>15456</v>
      </c>
      <c r="CS179" s="3">
        <f>CR179</f>
        <v>15456</v>
      </c>
      <c r="CT179" s="3">
        <f>CS179</f>
        <v>15456</v>
      </c>
      <c r="CU179" s="3">
        <f>CT179</f>
        <v>15456</v>
      </c>
      <c r="CV179" s="3">
        <f>CU179</f>
        <v>15456</v>
      </c>
      <c r="CW179" s="3">
        <f>CV179</f>
        <v>15456</v>
      </c>
      <c r="CX179" s="3">
        <f>CW179</f>
        <v>15456</v>
      </c>
      <c r="CY179" s="3">
        <f>CX179</f>
        <v>15456</v>
      </c>
    </row>
    <row r="180">
      <c r="C180" s="26" t="inlineStr">
        <is>
          <t>Intangibles</t>
        </is>
      </c>
      <c r="D180" s="25">
        <f>INDEX('Inputs (2)'!$D$25:$AL$25,MATCH(D$7,'Inputs (2)'!$D$2:$AL$2,0))</f>
        <v>10565</v>
      </c>
      <c r="E180" s="25">
        <f>INDEX('Inputs (2)'!$D$25:$AL$25,MATCH(E$7,'Inputs (2)'!$D$2:$AL$2,0))</f>
        <v>10275</v>
      </c>
      <c r="F180" s="25">
        <f>INDEX('Inputs (2)'!$D$25:$AL$25,MATCH(F$7,'Inputs (2)'!$D$2:$AL$2,0))</f>
        <v>10333</v>
      </c>
      <c r="G180" s="25">
        <f>INDEX('Inputs (2)'!$D$25:$AL$25,MATCH(G$7,'Inputs (2)'!$D$2:$AL$2,0))</f>
        <v>10395</v>
      </c>
      <c r="H180" s="3">
        <f>G180</f>
        <v>10395</v>
      </c>
      <c r="I180" s="25">
        <f>INDEX('Inputs (2)'!$D$25:$AL$25,MATCH(I$7,'Inputs (2)'!$D$2:$AL$2,0))</f>
        <v>10584</v>
      </c>
      <c r="J180" s="25">
        <f>INDEX('Inputs (2)'!$D$25:$AL$25,MATCH(J$7,'Inputs (2)'!$D$2:$AL$2,0))</f>
        <v>10675</v>
      </c>
      <c r="K180" s="25">
        <f>INDEX('Inputs (2)'!$D$25:$AL$25,MATCH(K$7,'Inputs (2)'!$D$2:$AL$2,0))</f>
        <v>10449</v>
      </c>
      <c r="L180" s="25">
        <f>INDEX('Inputs (2)'!$D$25:$AL$25,MATCH(L$7,'Inputs (2)'!$D$2:$AL$2,0))</f>
        <v>14465</v>
      </c>
      <c r="M180" s="3">
        <f>L180</f>
        <v>14465</v>
      </c>
      <c r="N180" s="25">
        <f>INDEX('Inputs (2)'!$D$25:$AL$25,MATCH(N$7,'Inputs (2)'!$D$2:$AL$2,0))</f>
        <v>14388</v>
      </c>
      <c r="O180" s="25">
        <f>INDEX('Inputs (2)'!$D$25:$AL$25,MATCH(O$7,'Inputs (2)'!$D$2:$AL$2,0))</f>
        <v>14271</v>
      </c>
      <c r="P180" s="25">
        <f>INDEX('Inputs (2)'!$D$25:$AL$25,MATCH(P$7,'Inputs (2)'!$D$2:$AL$2,0))</f>
        <v>13968</v>
      </c>
      <c r="Q180" s="25">
        <f>INDEX('Inputs (2)'!$D$25:$AL$25,MATCH(Q$7,'Inputs (2)'!$D$2:$AL$2,0))</f>
        <v>14214</v>
      </c>
      <c r="R180" s="3">
        <f>Q180</f>
        <v>14214</v>
      </c>
      <c r="S180" s="25">
        <f>INDEX('Inputs (2)'!$D$25:$AL$25,MATCH(S$7,'Inputs (2)'!$D$2:$AL$2,0))</f>
        <v>14283</v>
      </c>
      <c r="T180" s="25">
        <f>INDEX('Inputs (2)'!$D$25:$AL$25,MATCH(T$7,'Inputs (2)'!$D$2:$AL$2,0))</f>
        <v>14369</v>
      </c>
      <c r="U180" s="25">
        <f>INDEX('Inputs (2)'!$D$25:$AL$25,MATCH(U$7,'Inputs (2)'!$D$2:$AL$2,0))</f>
        <v>14213</v>
      </c>
      <c r="V180" s="25">
        <f>INDEX('Inputs (2)'!$D$25:$AL$25,MATCH(V$7,'Inputs (2)'!$D$2:$AL$2,0))</f>
        <v>14349</v>
      </c>
      <c r="W180" s="3">
        <f>V180</f>
        <v>14349</v>
      </c>
      <c r="X180" s="25">
        <f>INDEX('Inputs (2)'!$D$25:$AL$25,MATCH(X$7,'Inputs (2)'!$D$2:$AL$2,0))</f>
        <v>13532</v>
      </c>
      <c r="Y180" s="25">
        <f>INDEX('Inputs (2)'!$D$25:$AL$25,MATCH(Y$7,'Inputs (2)'!$D$2:$AL$2,0))</f>
        <v>13510</v>
      </c>
      <c r="Z180" s="25">
        <f>INDEX('Inputs (2)'!$D$25:$AL$25,MATCH(Z$7,'Inputs (2)'!$D$2:$AL$2,0))</f>
        <v>13598</v>
      </c>
      <c r="AA180" s="25">
        <f>INDEX('Inputs (2)'!$D$25:$AL$25,MATCH(AA$7,'Inputs (2)'!$D$2:$AL$2,0))</f>
        <v>13301</v>
      </c>
      <c r="AB180" s="3">
        <f>AA180</f>
        <v>13301</v>
      </c>
      <c r="AC180" s="25">
        <f>INDEX('Inputs (2)'!$D$25:$AL$25,MATCH(AC$7,'Inputs (2)'!$D$2:$AL$2,0))</f>
        <v>13425</v>
      </c>
      <c r="AD180" s="25">
        <f>INDEX('Inputs (2)'!$D$25:$AL$25,MATCH(AD$7,'Inputs (2)'!$D$2:$AL$2,0))</f>
        <v>13615</v>
      </c>
      <c r="AE180" s="25">
        <f>INDEX('Inputs (2)'!$D$25:$AL$25,MATCH(AE$7,'Inputs (2)'!$D$2:$AL$2,0))</f>
        <v>13515</v>
      </c>
      <c r="AF180" s="25">
        <f>INDEX('Inputs (2)'!$D$25:$AL$25,MATCH(AF$7,'Inputs (2)'!$D$2:$AL$2,0))</f>
        <v>12531</v>
      </c>
      <c r="AG180" s="3">
        <f>AF180</f>
        <v>12531</v>
      </c>
      <c r="AH180" s="3">
        <f>INDEX('Inputs (2)'!$D$25:$AL$25,MATCH(AH$7,'Inputs (2)'!$D$2:$AL$2,0))</f>
        <v>12463</v>
      </c>
      <c r="AI180" s="3">
        <f>INDEX('Inputs (2)'!$D$25:$AL$25,MATCH(AI$7,'Inputs (2)'!$D$2:$AL$2,0))</f>
        <v>12500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-290</v>
      </c>
      <c r="F182" s="3">
        <f>F180-E180-F84</f>
        <v>58</v>
      </c>
      <c r="G182" s="3">
        <f>G180-F180-G84</f>
        <v>62</v>
      </c>
      <c r="H182" s="3" t="n"/>
      <c r="I182" s="3">
        <f>I180-H180-I84</f>
        <v>189</v>
      </c>
      <c r="J182" s="3">
        <f>J180-I180-J84</f>
        <v>91</v>
      </c>
      <c r="K182" s="3">
        <f>K180-J180-K84</f>
        <v>-226</v>
      </c>
      <c r="L182" s="3">
        <f>L180-K180-L84</f>
        <v>4016</v>
      </c>
      <c r="M182" s="3" t="n"/>
      <c r="N182" s="3">
        <f>N180-M180-N84</f>
        <v>-77</v>
      </c>
      <c r="O182" s="3">
        <f>O180-N180-O84</f>
        <v>-117</v>
      </c>
      <c r="P182" s="3">
        <f>P180-O180-P84</f>
        <v>-303</v>
      </c>
      <c r="Q182" s="3">
        <f>Q180-P180-Q84</f>
        <v>246</v>
      </c>
      <c r="R182" s="3" t="n"/>
      <c r="S182" s="3">
        <f>S180-R180-S84</f>
        <v>69</v>
      </c>
      <c r="T182" s="3">
        <f>T180-S180-T84</f>
        <v>86</v>
      </c>
      <c r="U182" s="3">
        <f>U180-T180-U84</f>
        <v>-156</v>
      </c>
      <c r="V182" s="3">
        <f>V180-U180-V84</f>
        <v>136</v>
      </c>
      <c r="W182" s="3" t="n"/>
      <c r="X182" s="3">
        <f>X180-W180-X84</f>
        <v>-817</v>
      </c>
      <c r="Y182" s="3">
        <f>Y180-X180-Y84</f>
        <v>-22</v>
      </c>
      <c r="Z182" s="3">
        <f>Z180-Y180-Z84</f>
        <v>88</v>
      </c>
      <c r="AA182" s="3">
        <f>AA180-Z180-AA84</f>
        <v>-297</v>
      </c>
      <c r="AB182" s="3" t="n"/>
      <c r="AC182" s="3">
        <f>AC180-AB180-AC84</f>
        <v>124</v>
      </c>
      <c r="AD182" s="3">
        <f>AD180-AC180-AD84</f>
        <v>190</v>
      </c>
      <c r="AE182" s="3">
        <f>AE180-AD180-AE84</f>
        <v>-100</v>
      </c>
      <c r="AF182" s="3" t="n"/>
      <c r="AG182" s="3" t="n"/>
      <c r="AH182" s="6">
        <f>AH180-AG180-AH84</f>
        <v>-68</v>
      </c>
      <c r="AI182" s="6">
        <f>AI180-AH180-AI84</f>
        <v>37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10275</v>
      </c>
      <c r="F184" s="3">
        <f>F180</f>
        <v>10333</v>
      </c>
      <c r="G184" s="3">
        <f>G180</f>
        <v>10395</v>
      </c>
      <c r="H184" s="3" t="n"/>
      <c r="I184" s="3">
        <f>I180</f>
        <v>10584</v>
      </c>
      <c r="J184" s="3">
        <f>J180</f>
        <v>10675</v>
      </c>
      <c r="K184" s="3">
        <f>K180</f>
        <v>10449</v>
      </c>
      <c r="L184" s="3">
        <f>L180</f>
        <v>14465</v>
      </c>
      <c r="M184" s="3" t="n"/>
      <c r="N184" s="3">
        <f>N180</f>
        <v>14388</v>
      </c>
      <c r="O184" s="3">
        <f>O180</f>
        <v>14271</v>
      </c>
      <c r="P184" s="3">
        <f>P180</f>
        <v>13968</v>
      </c>
      <c r="Q184" s="3">
        <f>Q180</f>
        <v>14214</v>
      </c>
      <c r="R184" s="3" t="n"/>
      <c r="S184" s="3">
        <f>S180</f>
        <v>14283</v>
      </c>
      <c r="T184" s="3">
        <f>T180</f>
        <v>14369</v>
      </c>
      <c r="U184" s="3">
        <f>U180</f>
        <v>14213</v>
      </c>
      <c r="V184" s="3">
        <f>V180</f>
        <v>14349</v>
      </c>
      <c r="W184" s="3" t="n"/>
      <c r="X184" s="3">
        <f>X180</f>
        <v>13532</v>
      </c>
      <c r="Y184" s="3">
        <f>Y180</f>
        <v>13510</v>
      </c>
      <c r="Z184" s="3">
        <f>Z180</f>
        <v>13598</v>
      </c>
      <c r="AA184" s="3">
        <f>AA180</f>
        <v>13301</v>
      </c>
      <c r="AB184" s="3" t="n"/>
      <c r="AC184" s="3">
        <f>AC180</f>
        <v>13425</v>
      </c>
      <c r="AD184" s="3">
        <f>AD180</f>
        <v>13615</v>
      </c>
      <c r="AE184" s="3">
        <f>AE180</f>
        <v>13515</v>
      </c>
      <c r="AF184" s="3">
        <f>AF180</f>
        <v>12531</v>
      </c>
      <c r="AG184" s="3" t="n"/>
      <c r="AH184" s="3">
        <f>AH180</f>
        <v>12463</v>
      </c>
      <c r="AI184" s="3">
        <f>AI180</f>
        <v>12500</v>
      </c>
      <c r="AJ184" s="3">
        <f>AI184+SUM(AJ182:AJ183)</f>
        <v>12500</v>
      </c>
      <c r="AK184" s="3">
        <f>AJ184+SUM(AK182:AK183)</f>
        <v>12500</v>
      </c>
      <c r="AL184" s="3" t="n"/>
      <c r="AM184" s="3">
        <f>AK184+SUM(AM182:AM183)</f>
        <v>12500</v>
      </c>
      <c r="AN184" s="3">
        <f>AM184+SUM(AN182:AN183)</f>
        <v>12500</v>
      </c>
      <c r="AO184" s="3">
        <f>AN184+SUM(AO182:AO183)</f>
        <v>12500</v>
      </c>
      <c r="AP184" s="3">
        <f>AO184+SUM(AP182:AP183)</f>
        <v>12500</v>
      </c>
      <c r="AQ184" s="3" t="n"/>
      <c r="AR184" s="3">
        <f>AP184+SUM(AR182:AR183)</f>
        <v>12500</v>
      </c>
      <c r="AS184" s="3">
        <f>AR184+SUM(AS182:AS183)</f>
        <v>12500</v>
      </c>
      <c r="AT184" s="3">
        <f>AS184+SUM(AT182:AT183)</f>
        <v>12500</v>
      </c>
      <c r="AU184" s="3">
        <f>AT184+SUM(AU182:AU183)</f>
        <v>12500</v>
      </c>
      <c r="AV184" s="3" t="n"/>
      <c r="AW184" s="3">
        <f>AU184+SUM(AW182:AW183)</f>
        <v>12500</v>
      </c>
      <c r="AX184" s="3">
        <f>AW184+SUM(AX182:AX183)</f>
        <v>12500</v>
      </c>
      <c r="AY184" s="3">
        <f>AX184+SUM(AY182:AY183)</f>
        <v>12500</v>
      </c>
      <c r="AZ184" s="3">
        <f>AY184+SUM(AZ182:AZ183)</f>
        <v>12500</v>
      </c>
      <c r="BA184" s="3" t="n"/>
      <c r="BB184" s="3">
        <f>AZ184+SUM(BB182:BB183)</f>
        <v>12500</v>
      </c>
      <c r="BC184" s="3">
        <f>BB184+SUM(BC182:BC183)</f>
        <v>12500</v>
      </c>
      <c r="BD184" s="3">
        <f>BC184+SUM(BD182:BD183)</f>
        <v>12500</v>
      </c>
      <c r="BE184" s="3">
        <f>BD184+SUM(BE182:BE183)</f>
        <v>12500</v>
      </c>
      <c r="BF184" s="3" t="n"/>
      <c r="BG184" s="3">
        <f>BE184+SUM(BG182:BG183)</f>
        <v>12500</v>
      </c>
      <c r="BH184" s="3">
        <f>BG184+SUM(BH182:BH183)</f>
        <v>12500</v>
      </c>
      <c r="BI184" s="3">
        <f>BH184+SUM(BI182:BI183)</f>
        <v>12500</v>
      </c>
      <c r="BJ184" s="3">
        <f>BI184+SUM(BJ182:BJ183)</f>
        <v>12500</v>
      </c>
      <c r="BK184" s="3" t="n"/>
      <c r="BL184" s="3">
        <f>BJ184+SUM(BL182:BL183)</f>
        <v>12500</v>
      </c>
      <c r="BM184" s="3">
        <f>BL184+SUM(BM182:BM183)</f>
        <v>12500</v>
      </c>
      <c r="BN184" s="3">
        <f>BM184+SUM(BN182:BN183)</f>
        <v>12500</v>
      </c>
      <c r="BO184" s="3">
        <f>BN184+SUM(BO182:BO183)</f>
        <v>12500</v>
      </c>
      <c r="BP184" s="3" t="n"/>
      <c r="BQ184" s="3">
        <f>BO184+SUM(BQ182:BQ183)</f>
        <v>12500</v>
      </c>
      <c r="BR184" s="3">
        <f>BQ184+SUM(BR182:BR183)</f>
        <v>12500</v>
      </c>
      <c r="BS184" s="3">
        <f>BR184+SUM(BS182:BS183)</f>
        <v>12500</v>
      </c>
      <c r="BT184" s="3">
        <f>BS184+SUM(BT182:BT183)</f>
        <v>12500</v>
      </c>
      <c r="BU184" s="3" t="n"/>
      <c r="BV184" s="3">
        <f>BT184+SUM(BV182:BV183)</f>
        <v>12500</v>
      </c>
      <c r="BW184" s="3">
        <f>BV184+SUM(BW182:BW183)</f>
        <v>12500</v>
      </c>
      <c r="BX184" s="3">
        <f>BW184+SUM(BX182:BX183)</f>
        <v>12500</v>
      </c>
      <c r="BY184" s="3">
        <f>BX184+SUM(BY182:BY183)</f>
        <v>12500</v>
      </c>
      <c r="BZ184" s="3" t="n"/>
      <c r="CA184" s="3">
        <f>BY184+SUM(CA182:CA183)</f>
        <v>12500</v>
      </c>
      <c r="CB184" s="3">
        <f>CA184+SUM(CB182:CB183)</f>
        <v>12500</v>
      </c>
      <c r="CC184" s="3">
        <f>CB184+SUM(CC182:CC183)</f>
        <v>12500</v>
      </c>
      <c r="CD184" s="3">
        <f>CC184+SUM(CD182:CD183)</f>
        <v>12500</v>
      </c>
      <c r="CE184" s="3" t="n"/>
      <c r="CF184" s="3">
        <f>CD184+SUM(CF182:CF183)</f>
        <v>12500</v>
      </c>
      <c r="CG184" s="3">
        <f>CF184+SUM(CG182:CG183)</f>
        <v>12500</v>
      </c>
      <c r="CH184" s="3">
        <f>CG184+SUM(CH182:CH183)</f>
        <v>12500</v>
      </c>
      <c r="CI184" s="3">
        <f>CH184+SUM(CI182:CI183)</f>
        <v>12500</v>
      </c>
      <c r="CJ184" s="3" t="n"/>
      <c r="CK184" s="3">
        <f>CI184+SUM(CK182:CK183)</f>
        <v>12500</v>
      </c>
      <c r="CL184" s="3">
        <f>CK184+SUM(CL182:CL183)</f>
        <v>12500</v>
      </c>
      <c r="CM184" s="3">
        <f>CL184+SUM(CM182:CM183)</f>
        <v>12500</v>
      </c>
      <c r="CN184" s="3">
        <f>CM184+SUM(CN182:CN183)</f>
        <v>12500</v>
      </c>
      <c r="CO184" s="3" t="n"/>
      <c r="CP184" s="3">
        <f>CN184+SUM(CP182:CP183)</f>
        <v>12500</v>
      </c>
      <c r="CQ184" s="3">
        <f>CP184+SUM(CQ182:CQ183)</f>
        <v>12500</v>
      </c>
      <c r="CR184" s="3">
        <f>CQ184+SUM(CR182:CR183)</f>
        <v>12500</v>
      </c>
      <c r="CS184" s="3">
        <f>CR184+SUM(CS182:CS183)</f>
        <v>12500</v>
      </c>
      <c r="CT184" s="3" t="n"/>
      <c r="CU184" s="3">
        <f>CS184+SUM(CU182:CU183)</f>
        <v>12500</v>
      </c>
      <c r="CV184" s="3">
        <f>CU184+SUM(CV182:CV183)</f>
        <v>12500</v>
      </c>
      <c r="CW184" s="3">
        <f>CV184+SUM(CW182:CW183)</f>
        <v>12500</v>
      </c>
      <c r="CX184" s="3">
        <f>CW184+SUM(CX182:CX183)</f>
        <v>12500</v>
      </c>
      <c r="CY184" s="3" t="n"/>
      <c r="CZ184">
        <f>CX184+SUM(CZ182:CZ183)</f>
        <v>12500</v>
      </c>
      <c r="DA184">
        <f>CZ184+SUM(DA182:DA183)</f>
        <v>12500</v>
      </c>
      <c r="DB184">
        <f>DA184+SUM(DB182:DB183)</f>
        <v>12500</v>
      </c>
      <c r="DC184">
        <f>DB184+SUM(DC182:DC183)</f>
        <v>12500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7253</v>
      </c>
      <c r="E189" s="25">
        <f>INDEX('Inputs (2)'!$D$26:$AL$26,MATCH(E$7,'Inputs (2)'!$D$2:$AL$2,0))</f>
        <v>7176</v>
      </c>
      <c r="F189" s="25">
        <f>INDEX('Inputs (2)'!$D$26:$AL$26,MATCH(F$7,'Inputs (2)'!$D$2:$AL$2,0))</f>
        <v>7573</v>
      </c>
      <c r="G189" s="25">
        <f>INDEX('Inputs (2)'!$D$26:$AL$26,MATCH(G$7,'Inputs (2)'!$D$2:$AL$2,0))</f>
        <v>7645</v>
      </c>
      <c r="H189" s="3">
        <f>G189</f>
        <v>7645</v>
      </c>
      <c r="I189" s="25">
        <f>INDEX('Inputs (2)'!$D$26:$AL$26,MATCH(I$7,'Inputs (2)'!$D$2:$AL$2,0))</f>
        <v>7888</v>
      </c>
      <c r="J189" s="25">
        <f>INDEX('Inputs (2)'!$D$26:$AL$26,MATCH(J$7,'Inputs (2)'!$D$2:$AL$2,0))</f>
        <v>8036</v>
      </c>
      <c r="K189" s="25">
        <f>INDEX('Inputs (2)'!$D$26:$AL$26,MATCH(K$7,'Inputs (2)'!$D$2:$AL$2,0))</f>
        <v>7883</v>
      </c>
      <c r="L189" s="25">
        <f>INDEX('Inputs (2)'!$D$26:$AL$26,MATCH(L$7,'Inputs (2)'!$D$2:$AL$2,0))</f>
        <v>8334</v>
      </c>
      <c r="M189" s="3">
        <f>L189</f>
        <v>8334</v>
      </c>
      <c r="N189" s="25">
        <f>INDEX('Inputs (2)'!$D$26:$AL$26,MATCH(N$7,'Inputs (2)'!$D$2:$AL$2,0))</f>
        <v>7934</v>
      </c>
      <c r="O189" s="25">
        <f>INDEX('Inputs (2)'!$D$26:$AL$26,MATCH(O$7,'Inputs (2)'!$D$2:$AL$2,0))</f>
        <v>7832</v>
      </c>
      <c r="P189" s="25">
        <f>INDEX('Inputs (2)'!$D$26:$AL$26,MATCH(P$7,'Inputs (2)'!$D$2:$AL$2,0))</f>
        <v>7361</v>
      </c>
      <c r="Q189" s="25">
        <f>INDEX('Inputs (2)'!$D$26:$AL$26,MATCH(Q$7,'Inputs (2)'!$D$2:$AL$2,0))</f>
        <v>7325</v>
      </c>
      <c r="R189" s="3">
        <f>Q189</f>
        <v>7325</v>
      </c>
      <c r="S189" s="25">
        <f>INDEX('Inputs (2)'!$D$26:$AL$26,MATCH(S$7,'Inputs (2)'!$D$2:$AL$2,0))</f>
        <v>7275</v>
      </c>
      <c r="T189" s="25">
        <f>INDEX('Inputs (2)'!$D$26:$AL$26,MATCH(T$7,'Inputs (2)'!$D$2:$AL$2,0))</f>
        <v>7322</v>
      </c>
      <c r="U189" s="25">
        <f>INDEX('Inputs (2)'!$D$26:$AL$26,MATCH(U$7,'Inputs (2)'!$D$2:$AL$2,0))</f>
        <v>7663</v>
      </c>
      <c r="V189" s="25">
        <f>INDEX('Inputs (2)'!$D$26:$AL$26,MATCH(V$7,'Inputs (2)'!$D$2:$AL$2,0))</f>
        <v>7796</v>
      </c>
      <c r="W189" s="3">
        <f>V189</f>
        <v>7796</v>
      </c>
      <c r="X189" s="25">
        <f>INDEX('Inputs (2)'!$D$26:$AL$26,MATCH(X$7,'Inputs (2)'!$D$2:$AL$2,0))</f>
        <v>7930</v>
      </c>
      <c r="Y189" s="25">
        <f>INDEX('Inputs (2)'!$D$26:$AL$26,MATCH(Y$7,'Inputs (2)'!$D$2:$AL$2,0))</f>
        <v>7912</v>
      </c>
      <c r="Z189" s="25">
        <f>INDEX('Inputs (2)'!$D$26:$AL$26,MATCH(Z$7,'Inputs (2)'!$D$2:$AL$2,0))</f>
        <v>13409</v>
      </c>
      <c r="AA189" s="25">
        <f>INDEX('Inputs (2)'!$D$26:$AL$26,MATCH(AA$7,'Inputs (2)'!$D$2:$AL$2,0))</f>
        <v>13403</v>
      </c>
      <c r="AB189" s="3">
        <f>AA189</f>
        <v>13403</v>
      </c>
      <c r="AC189" s="25">
        <f>INDEX('Inputs (2)'!$D$26:$AL$26,MATCH(AC$7,'Inputs (2)'!$D$2:$AL$2,0))</f>
        <v>13669</v>
      </c>
      <c r="AD189" s="25">
        <f>INDEX('Inputs (2)'!$D$26:$AL$26,MATCH(AD$7,'Inputs (2)'!$D$2:$AL$2,0))</f>
        <v>13958</v>
      </c>
      <c r="AE189" s="25">
        <f>INDEX('Inputs (2)'!$D$26:$AL$26,MATCH(AE$7,'Inputs (2)'!$D$2:$AL$2,0))</f>
        <v>14129</v>
      </c>
      <c r="AF189" s="25">
        <f>INDEX('Inputs (2)'!$D$26:$AL$26,MATCH(AF$7,'Inputs (2)'!$D$2:$AL$2,0))</f>
        <v>14696</v>
      </c>
      <c r="AG189" s="3">
        <f>AF189</f>
        <v>14696</v>
      </c>
      <c r="AH189" s="3">
        <f>INDEX('Inputs (2)'!$D$26:$AL$26,MATCH(AH$7,'Inputs (2)'!$D$2:$AL$2,0))</f>
        <v>14887</v>
      </c>
      <c r="AI189" s="3">
        <f>INDEX('Inputs (2)'!$D$26:$AL$26,MATCH(AI$7,'Inputs (2)'!$D$2:$AL$2,0))</f>
        <v>15582</v>
      </c>
      <c r="AJ189" s="3">
        <f>AI189</f>
        <v>15582</v>
      </c>
      <c r="AK189" s="3">
        <f>AJ189</f>
        <v>15582</v>
      </c>
      <c r="AL189" s="3">
        <f>AK189</f>
        <v>15582</v>
      </c>
      <c r="AM189" s="3">
        <f>AL189</f>
        <v>15582</v>
      </c>
      <c r="AN189" s="3">
        <f>AM189</f>
        <v>15582</v>
      </c>
      <c r="AO189" s="3">
        <f>AN189</f>
        <v>15582</v>
      </c>
      <c r="AP189" s="3">
        <f>AO189</f>
        <v>15582</v>
      </c>
      <c r="AQ189" s="3">
        <f>AP189</f>
        <v>15582</v>
      </c>
      <c r="AR189" s="3">
        <f>AQ189</f>
        <v>15582</v>
      </c>
      <c r="AS189" s="3">
        <f>AR189</f>
        <v>15582</v>
      </c>
      <c r="AT189" s="3">
        <f>AS189</f>
        <v>15582</v>
      </c>
      <c r="AU189" s="3">
        <f>AT189</f>
        <v>15582</v>
      </c>
      <c r="AV189" s="3">
        <f>AU189</f>
        <v>15582</v>
      </c>
      <c r="AW189" s="3">
        <f>AV189</f>
        <v>15582</v>
      </c>
      <c r="AX189" s="3">
        <f>AW189</f>
        <v>15582</v>
      </c>
      <c r="AY189" s="3">
        <f>AX189</f>
        <v>15582</v>
      </c>
      <c r="AZ189" s="3">
        <f>AY189</f>
        <v>15582</v>
      </c>
      <c r="BA189" s="3">
        <f>AZ189</f>
        <v>15582</v>
      </c>
      <c r="BB189" s="3">
        <f>BA189</f>
        <v>15582</v>
      </c>
      <c r="BC189" s="3">
        <f>BB189</f>
        <v>15582</v>
      </c>
      <c r="BD189" s="3">
        <f>BC189</f>
        <v>15582</v>
      </c>
      <c r="BE189" s="3">
        <f>BD189</f>
        <v>15582</v>
      </c>
      <c r="BF189" s="3">
        <f>BE189</f>
        <v>15582</v>
      </c>
      <c r="BG189" s="3">
        <f>BF189</f>
        <v>15582</v>
      </c>
      <c r="BH189" s="3">
        <f>BG189</f>
        <v>15582</v>
      </c>
      <c r="BI189" s="3">
        <f>BH189</f>
        <v>15582</v>
      </c>
      <c r="BJ189" s="3">
        <f>BI189</f>
        <v>15582</v>
      </c>
      <c r="BK189" s="3">
        <f>BJ189</f>
        <v>15582</v>
      </c>
      <c r="BL189" s="3">
        <f>BK189</f>
        <v>15582</v>
      </c>
      <c r="BM189" s="3">
        <f>BL189</f>
        <v>15582</v>
      </c>
      <c r="BN189" s="3">
        <f>BM189</f>
        <v>15582</v>
      </c>
      <c r="BO189" s="3">
        <f>BN189</f>
        <v>15582</v>
      </c>
      <c r="BP189" s="3">
        <f>BO189</f>
        <v>15582</v>
      </c>
      <c r="BQ189" s="3">
        <f>BP189</f>
        <v>15582</v>
      </c>
      <c r="BR189" s="3">
        <f>BQ189</f>
        <v>15582</v>
      </c>
      <c r="BS189" s="3">
        <f>BR189</f>
        <v>15582</v>
      </c>
      <c r="BT189" s="3">
        <f>BS189</f>
        <v>15582</v>
      </c>
      <c r="BU189" s="3">
        <f>BT189</f>
        <v>15582</v>
      </c>
      <c r="BV189" s="3">
        <f>BU189</f>
        <v>15582</v>
      </c>
      <c r="BW189" s="3">
        <f>BV189</f>
        <v>15582</v>
      </c>
      <c r="BX189" s="3">
        <f>BW189</f>
        <v>15582</v>
      </c>
      <c r="BY189" s="3">
        <f>BX189</f>
        <v>15582</v>
      </c>
      <c r="BZ189" s="3">
        <f>BY189</f>
        <v>15582</v>
      </c>
      <c r="CA189" s="3">
        <f>BZ189</f>
        <v>15582</v>
      </c>
      <c r="CB189" s="3">
        <f>CA189</f>
        <v>15582</v>
      </c>
      <c r="CC189" s="3">
        <f>CB189</f>
        <v>15582</v>
      </c>
      <c r="CD189" s="3">
        <f>CC189</f>
        <v>15582</v>
      </c>
      <c r="CE189" s="3">
        <f>CD189</f>
        <v>15582</v>
      </c>
      <c r="CF189" s="3">
        <f>CE189</f>
        <v>15582</v>
      </c>
      <c r="CG189" s="3">
        <f>CF189</f>
        <v>15582</v>
      </c>
      <c r="CH189" s="3">
        <f>CG189</f>
        <v>15582</v>
      </c>
      <c r="CI189" s="3">
        <f>CH189</f>
        <v>15582</v>
      </c>
      <c r="CJ189" s="3">
        <f>CI189</f>
        <v>15582</v>
      </c>
      <c r="CK189" s="3">
        <f>CJ189</f>
        <v>15582</v>
      </c>
      <c r="CL189" s="3">
        <f>CK189</f>
        <v>15582</v>
      </c>
      <c r="CM189" s="3">
        <f>CL189</f>
        <v>15582</v>
      </c>
      <c r="CN189" s="3">
        <f>CM189</f>
        <v>15582</v>
      </c>
      <c r="CO189" s="3">
        <f>CN189</f>
        <v>15582</v>
      </c>
      <c r="CP189" s="3">
        <f>CO189</f>
        <v>15582</v>
      </c>
      <c r="CQ189" s="3">
        <f>CP189</f>
        <v>15582</v>
      </c>
      <c r="CR189" s="3">
        <f>CQ189</f>
        <v>15582</v>
      </c>
      <c r="CS189" s="3">
        <f>CR189</f>
        <v>15582</v>
      </c>
      <c r="CT189" s="3">
        <f>CS189</f>
        <v>15582</v>
      </c>
      <c r="CU189" s="3">
        <f>CT189</f>
        <v>15582</v>
      </c>
      <c r="CV189" s="3">
        <f>CU189</f>
        <v>15582</v>
      </c>
      <c r="CW189" s="3">
        <f>CV189</f>
        <v>15582</v>
      </c>
      <c r="CX189" s="3">
        <f>CW189</f>
        <v>15582</v>
      </c>
      <c r="CY189" s="3">
        <f>CX189</f>
        <v>15582</v>
      </c>
    </row>
    <row r="190" hidden="1" outlineLevel="1">
      <c r="C190" s="38" t="inlineStr">
        <is>
          <t>%(Var.)</t>
        </is>
      </c>
      <c r="D190" s="3" t="n"/>
      <c r="E190" s="47">
        <f>(E189-D189)/D189</f>
        <v>-0.0106162967048118</v>
      </c>
      <c r="F190" s="47">
        <f>(F189-E189)/E189</f>
        <v>0.0553232998885173</v>
      </c>
      <c r="G190" s="47">
        <f>(G189-F189)/F189</f>
        <v>0.00950746071570052</v>
      </c>
      <c r="H190" s="3" t="n"/>
      <c r="I190" s="47">
        <f>(I189-H189)/H189</f>
        <v>0.031785480706344</v>
      </c>
      <c r="J190" s="47">
        <f>(J189-I189)/I189</f>
        <v>0.018762677484787</v>
      </c>
      <c r="K190" s="47">
        <f>(K189-J189)/J189</f>
        <v>-0.0190393230462917</v>
      </c>
      <c r="L190" s="47">
        <f>(L189-K189)/K189</f>
        <v>0.0572117214258531</v>
      </c>
      <c r="M190" s="3" t="n"/>
      <c r="N190" s="47">
        <f>(N189-M189)/M189</f>
        <v>-0.0479961603071754</v>
      </c>
      <c r="O190" s="47">
        <f>(O189-N189)/N189</f>
        <v>-0.012856062515755</v>
      </c>
      <c r="P190" s="47">
        <f>(P189-O189)/O189</f>
        <v>-0.0601378958120531</v>
      </c>
      <c r="Q190" s="47">
        <f>(Q189-P189)/P189</f>
        <v>-0.00489063985871485</v>
      </c>
      <c r="R190" s="3" t="n"/>
      <c r="S190" s="47">
        <f>(S189-R189)/R189</f>
        <v>-0.0068259385665529</v>
      </c>
      <c r="T190" s="47">
        <f>(T189-S189)/S189</f>
        <v>0.00646048109965636</v>
      </c>
      <c r="U190" s="47">
        <f>(U189-T189)/T189</f>
        <v>0.046571974870254</v>
      </c>
      <c r="V190" s="47">
        <f>(V189-U189)/U189</f>
        <v>0.0173561268432729</v>
      </c>
      <c r="W190" s="3" t="n"/>
      <c r="X190" s="47">
        <f>(X189-W189)/W189</f>
        <v>0.017188301693176</v>
      </c>
      <c r="Y190" s="47">
        <f>(Y189-X189)/X189</f>
        <v>-0.00226986128625473</v>
      </c>
      <c r="Z190" s="47">
        <f>(Z189-Y189)/Y189</f>
        <v>0.694767441860465</v>
      </c>
      <c r="AA190" s="47">
        <f>(AA189-Z189)/Z189</f>
        <v>-0.000447460660750242</v>
      </c>
      <c r="AB190" s="3" t="n"/>
      <c r="AC190" s="47">
        <f>(AC189-AB189)/AB189</f>
        <v>0.0198463030664777</v>
      </c>
      <c r="AD190" s="47">
        <f>(AD189-AC189)/AC189</f>
        <v>0.0211427317287292</v>
      </c>
      <c r="AE190" s="47">
        <f>(AE189-AD189)/AD189</f>
        <v>0.012251038830778</v>
      </c>
      <c r="AF190" s="218">
        <f>(AF189-AE189)/AE189</f>
        <v>0.0401302286078279</v>
      </c>
      <c r="AG190" s="3" t="n"/>
      <c r="AH190" s="218">
        <f>(AH189-AG189)/AG189</f>
        <v>0.012996733805117</v>
      </c>
      <c r="AI190" s="218">
        <f>(AI189-AH189)/AH189</f>
        <v>0.0466850272049439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94013</v>
      </c>
      <c r="E197" s="16">
        <f>(E144+E145+E149+E153+E154+E155+E161+E166+E176+E179+E180+E189)</f>
        <v>94689</v>
      </c>
      <c r="F197" s="16">
        <f>(F144+F145+F149+F153+F154+F155+F161+F166+F176+F179+F180+F189)</f>
        <v>97184</v>
      </c>
      <c r="G197" s="16">
        <f>(G144+G145+G149+G153+G154+G155+G161+G166+G176+G179+G180+G189)</f>
        <v>87296</v>
      </c>
      <c r="H197" s="16">
        <f>SUM(H144,H145,H149,H153,H154,H155,H161,H176,H179,H180,H189,H166)</f>
        <v>87296</v>
      </c>
      <c r="I197" s="16">
        <f>(I144+I145+I149+I153+I154+I155+I161+I166+I176+I179+I180+I189)</f>
        <v>89993</v>
      </c>
      <c r="J197" s="16">
        <f>(J144+J145+J149+J153+J154+J155+J161+J166+J176+J179+J180+J189)</f>
        <v>90194</v>
      </c>
      <c r="K197" s="16">
        <f>(K144+K145+K149+K153+K154+K155+K161+K166+K176+K179+K180+K189)</f>
        <v>90606</v>
      </c>
      <c r="L197" s="16">
        <f>(L144+L145+L149+L153+L154+L155+L161+L166+L176+L179+L180+L189)</f>
        <v>94354</v>
      </c>
      <c r="M197" s="16">
        <f>SUM(M144,M145,M149,M153,M154,M155,M161,M176,M179,M180,M189,M166)</f>
        <v>94354</v>
      </c>
      <c r="N197" s="16">
        <f>(N144+N145+N149+N153+N154+N155+N161+N166+N176+N179+N180+N189)</f>
        <v>94064</v>
      </c>
      <c r="O197" s="16">
        <f>(O144+O145+O149+O153+O154+O155+O161+O166+O176+O179+O180+O189)</f>
        <v>93169</v>
      </c>
      <c r="P197" s="16">
        <f>(P144+P145+P149+P153+P154+P155+P161+P166+P176+P179+P180+P189)</f>
        <v>92471</v>
      </c>
      <c r="Q197" s="16">
        <f>(Q144+Q145+Q149+Q153+Q154+Q155+Q161+Q166+Q176+Q179+Q180+Q189)</f>
        <v>92763</v>
      </c>
      <c r="R197" s="16">
        <f>SUM(R144,R145,R149,R153,R154,R155,R161,R176,R179,R180,R189,R166)</f>
        <v>92763</v>
      </c>
      <c r="S197" s="16">
        <f>(S144+S145+S149+S153+S154+S155+S161+S166+S176+S179+S180+S189)</f>
        <v>97404</v>
      </c>
      <c r="T197" s="16">
        <f>(T144+T145+T149+T153+T154+T155+T161+T166+T176+T179+T180+T189)</f>
        <v>98456</v>
      </c>
      <c r="U197" s="16">
        <f>(U144+U145+U149+U153+U154+U155+U161+U166+U176+U179+U180+U189)</f>
        <v>97578</v>
      </c>
      <c r="V197" s="16">
        <f>(V144+V145+V149+V153+V154+V155+V161+V166+V176+V179+V180+V189)</f>
        <v>97703</v>
      </c>
      <c r="W197" s="16">
        <f>SUM(W144,W145,W149,W153,W154,W155,W161,W176,W179,W180,W189,W166)</f>
        <v>97703</v>
      </c>
      <c r="X197" s="16">
        <f>(X144+X145+X149+X153+X154+X155+X161+X166+X176+X179+X180+X189)</f>
        <v>99392</v>
      </c>
      <c r="Y197" s="16">
        <f>(Y144+Y145+Y149+Y153+Y154+Y155+Y161+Y166+Y176+Y179+Y180+Y189)</f>
        <v>101202</v>
      </c>
      <c r="Z197" s="16">
        <f>(Z144+Z145+Z149+Z153+Z154+Z155+Z161+Z166+Z176+Z179+Z180+Z189)</f>
        <v>106266</v>
      </c>
      <c r="AA197" s="16">
        <f>(AA144+AA145+AA149+AA153+AA154+AA155+AA161+AA166+AA176+AA179+AA180+AA189)</f>
        <v>100549</v>
      </c>
      <c r="AB197" s="16">
        <f>SUM(AB144,AB145,AB149,AB153,AB154,AB155,AB161,AB176,AB179,AB180,AB189,AB166)</f>
        <v>100549</v>
      </c>
      <c r="AC197" s="16">
        <f>(AC144+AC145+AC149+AC153+AC154+AC155+AC161+AC166+AC176+AC179+AC180+AC189)</f>
        <v>101716</v>
      </c>
      <c r="AD197" s="16">
        <f>(AD144+AD145+AD149+AD153+AD154+AD155+AD161+AD166+AD176+AD179+AD180+AD189)</f>
        <v>104333</v>
      </c>
      <c r="AE197" s="16">
        <f>(AE144+AE145+AE149+AE153+AE154+AE155+AE161+AE166+AE176+AE179+AE180+AE189)</f>
        <v>106045</v>
      </c>
      <c r="AF197" s="16">
        <f>(AF144+AF145+AF149+AF153+AF154+AF155+AF161+AF166+AF176+AF179+AF180+AF189)</f>
        <v>104816</v>
      </c>
      <c r="AG197" s="16">
        <f>SUM(AG144,AG145,AG149,AG153,AG154,AG155,AG161,AG176,AG179,AG180,AG189,AG166)</f>
        <v>104816</v>
      </c>
      <c r="AH197" s="16">
        <f>(AH144+AH145+AH149+AH153+AH154+AH155+AH161+AH166+AH176+AH179+AH180+AH189)</f>
        <v>104217</v>
      </c>
      <c r="AI197" s="16">
        <f>(AI144+AI145+AI149+AI153+AI154+AI155+AI161+AI166+AI176+AI179+AI180+AI189)</f>
        <v>107922</v>
      </c>
      <c r="AJ197" s="16">
        <f>(AJ144+AJ145+AJ149+AJ153+AJ154+AJ155+AJ161+AJ166+AJ176+AJ179+AJ180+AJ189)</f>
        <v>92333</v>
      </c>
      <c r="AK197" s="16">
        <f>(AK144+AK145+AK149+AK153+AK154+AK155+AK161+AK166+AK176+AK179+AK180+AK189)</f>
        <v>93505</v>
      </c>
      <c r="AL197" s="16">
        <f>SUM(AL144,AL145,AL149,AL153,AL154,AL155,AL161,AL176,AL179,AL180,AL189,AL166)</f>
        <v>93505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12640</v>
      </c>
      <c r="E198" s="25">
        <f>INDEX('Inputs (2)'!$D$28:$AL$28,MATCH(E$7,'Inputs (2)'!$D$2:$AL$2,0))</f>
        <v>11668</v>
      </c>
      <c r="F198" s="25">
        <f>INDEX('Inputs (2)'!$D$28:$AL$28,MATCH(F$7,'Inputs (2)'!$D$2:$AL$2,0))</f>
        <v>12750</v>
      </c>
      <c r="G198" s="25">
        <f>INDEX('Inputs (2)'!$D$28:$AL$28,MATCH(G$7,'Inputs (2)'!$D$2:$AL$2,0))</f>
        <v>11145</v>
      </c>
      <c r="H198" s="3">
        <f>G198</f>
        <v>11145</v>
      </c>
      <c r="I198" s="25">
        <f>INDEX('Inputs (2)'!$D$28:$AL$28,MATCH(I$7,'Inputs (2)'!$D$2:$AL$2,0))</f>
        <v>10929</v>
      </c>
      <c r="J198" s="25">
        <f>INDEX('Inputs (2)'!$D$28:$AL$28,MATCH(J$7,'Inputs (2)'!$D$2:$AL$2,0))</f>
        <v>12124</v>
      </c>
      <c r="K198" s="25">
        <f>INDEX('Inputs (2)'!$D$28:$AL$28,MATCH(K$7,'Inputs (2)'!$D$2:$AL$2,0))</f>
        <v>12830</v>
      </c>
      <c r="L198" s="25">
        <f>INDEX('Inputs (2)'!$D$28:$AL$28,MATCH(L$7,'Inputs (2)'!$D$2:$AL$2,0))</f>
        <v>14619</v>
      </c>
      <c r="M198" s="3">
        <f>L198</f>
        <v>14619</v>
      </c>
      <c r="N198" s="25">
        <f>INDEX('Inputs (2)'!$D$28:$AL$28,MATCH(N$7,'Inputs (2)'!$D$2:$AL$2,0))</f>
        <v>13272</v>
      </c>
      <c r="O198" s="25">
        <f>INDEX('Inputs (2)'!$D$28:$AL$28,MATCH(O$7,'Inputs (2)'!$D$2:$AL$2,0))</f>
        <v>14213</v>
      </c>
      <c r="P198" s="25">
        <f>INDEX('Inputs (2)'!$D$28:$AL$28,MATCH(P$7,'Inputs (2)'!$D$2:$AL$2,0))</f>
        <v>16103</v>
      </c>
      <c r="Q198" s="25">
        <f>INDEX('Inputs (2)'!$D$28:$AL$28,MATCH(Q$7,'Inputs (2)'!$D$2:$AL$2,0))</f>
        <v>15749</v>
      </c>
      <c r="R198" s="3">
        <f>Q198</f>
        <v>15749</v>
      </c>
      <c r="S198" s="25">
        <f>INDEX('Inputs (2)'!$D$28:$AL$28,MATCH(S$7,'Inputs (2)'!$D$2:$AL$2,0))</f>
        <v>15593</v>
      </c>
      <c r="T198" s="25">
        <f>INDEX('Inputs (2)'!$D$28:$AL$28,MATCH(T$7,'Inputs (2)'!$D$2:$AL$2,0))</f>
        <v>16483</v>
      </c>
      <c r="U198" s="25">
        <f>INDEX('Inputs (2)'!$D$28:$AL$28,MATCH(U$7,'Inputs (2)'!$D$2:$AL$2,0))</f>
        <v>16837</v>
      </c>
      <c r="V198" s="25">
        <f>INDEX('Inputs (2)'!$D$28:$AL$28,MATCH(V$7,'Inputs (2)'!$D$2:$AL$2,0))</f>
        <v>15485</v>
      </c>
      <c r="W198" s="3">
        <f>V198</f>
        <v>15485</v>
      </c>
      <c r="X198" s="25">
        <f>INDEX('Inputs (2)'!$D$28:$AL$28,MATCH(X$7,'Inputs (2)'!$D$2:$AL$2,0))</f>
        <v>19425</v>
      </c>
      <c r="Y198" s="25">
        <f>INDEX('Inputs (2)'!$D$28:$AL$28,MATCH(Y$7,'Inputs (2)'!$D$2:$AL$2,0))</f>
        <v>21909</v>
      </c>
      <c r="Z198" s="25">
        <f>INDEX('Inputs (2)'!$D$28:$AL$28,MATCH(Z$7,'Inputs (2)'!$D$2:$AL$2,0))</f>
        <v>23820</v>
      </c>
      <c r="AA198" s="25">
        <f>INDEX('Inputs (2)'!$D$28:$AL$28,MATCH(AA$7,'Inputs (2)'!$D$2:$AL$2,0))</f>
        <v>21715</v>
      </c>
      <c r="AB198" s="3">
        <f>AA198</f>
        <v>21715</v>
      </c>
      <c r="AC198" s="25">
        <f>INDEX('Inputs (2)'!$D$28:$AL$28,MATCH(AC$7,'Inputs (2)'!$D$2:$AL$2,0))</f>
        <v>16499</v>
      </c>
      <c r="AD198" s="25">
        <f>INDEX('Inputs (2)'!$D$28:$AL$28,MATCH(AD$7,'Inputs (2)'!$D$2:$AL$2,0))</f>
        <v>17030</v>
      </c>
      <c r="AE198" s="25">
        <f>INDEX('Inputs (2)'!$D$28:$AL$28,MATCH(AE$7,'Inputs (2)'!$D$2:$AL$2,0))</f>
        <v>17692</v>
      </c>
      <c r="AF198" s="25">
        <f>INDEX('Inputs (2)'!$D$28:$AL$28,MATCH(AF$7,'Inputs (2)'!$D$2:$AL$2,0))</f>
        <v>14813</v>
      </c>
      <c r="AG198" s="3">
        <f>AF198</f>
        <v>14813</v>
      </c>
      <c r="AH198" s="3">
        <f>INDEX('Inputs (2)'!$D$28:$AL$28,MATCH(AH$7,'Inputs (2)'!$D$2:$AL$2,0))</f>
        <v>14409</v>
      </c>
      <c r="AI198" s="3">
        <f>INDEX('Inputs (2)'!$D$28:$AL$28,MATCH(AI$7,'Inputs (2)'!$D$2:$AL$2,0))</f>
        <v>15434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352.402256886824</v>
      </c>
      <c r="F199" s="3">
        <f>-(F198/F$54)*(F$5-E$5)</f>
        <v>337.942955920484</v>
      </c>
      <c r="G199" s="3">
        <f>-(G198/G$54)*(G$5-F$5)</f>
        <v>286.567915036333</v>
      </c>
      <c r="H199" s="3" t="n"/>
      <c r="I199" s="3">
        <f>-(I198/I$54)*(I$5-H$5)</f>
        <v>280.630527817404</v>
      </c>
      <c r="J199" s="3">
        <f>-(J198/J$54)*(J$5-I$5)</f>
        <v>291.334565619224</v>
      </c>
      <c r="K199" s="3">
        <f>-(K198/K$54)*(K$5-J$5)</f>
        <v>296.796580336937</v>
      </c>
      <c r="L199" s="3">
        <f>-(L198/L$54)*(L$5-K$5)</f>
        <v>328.999021526419</v>
      </c>
      <c r="M199" s="3" t="n"/>
      <c r="N199" s="3">
        <f>-(N198/N$54)*(N$5-M$5)</f>
        <v>291.977511610853</v>
      </c>
      <c r="O199" s="3">
        <f>-(O198/O$54)*(O$5-N$5)</f>
        <v>267.78115942029</v>
      </c>
      <c r="P199" s="3">
        <f>-(P198/P$54)*(P$5-O$5)</f>
        <v>324.458169075778</v>
      </c>
      <c r="Q199" s="3">
        <f>-(Q198/Q$54)*(Q$5-P$5)</f>
        <v>321.052071792599</v>
      </c>
      <c r="R199" s="3" t="n"/>
      <c r="S199" s="3">
        <f>-(S198/S$54)*(S$5-R$5)</f>
        <v>325.079916608756</v>
      </c>
      <c r="T199" s="3">
        <f>-(T198/T$54)*(T$5-S$5)</f>
        <v>305.365024429967</v>
      </c>
      <c r="U199" s="3">
        <f>-(U198/U$54)*(U$5-T$5)</f>
        <v>332.618423878033</v>
      </c>
      <c r="V199" s="3">
        <f>-(V198/V$54)*(V$5-U$5)</f>
        <v>307.427708243418</v>
      </c>
      <c r="W199" s="3" t="n"/>
      <c r="X199" s="3">
        <f>-(X198/X$54)*(X$5-W$5)</f>
        <v>417.396694214876</v>
      </c>
      <c r="Y199" s="3">
        <f>-(Y198/Y$54)*(Y$5-X$5)</f>
        <v>414.322319201995</v>
      </c>
      <c r="Z199" s="3">
        <f>-(Z198/Z$54)*(Z$5-Y$5)</f>
        <v>469.862778730703</v>
      </c>
      <c r="AA199" s="3">
        <f>-(AA198/AA$54)*(AA$5-Z$5)</f>
        <v>433.076089312812</v>
      </c>
      <c r="AB199" s="3" t="n"/>
      <c r="AC199" s="3">
        <f>-(AC198/AC$54)*(AC$5-AB$5)</f>
        <v>356.692289214509</v>
      </c>
      <c r="AD199" s="3">
        <f>-(AD198/AD$54)*(AD$5-AC$5)</f>
        <v>328.750530335172</v>
      </c>
      <c r="AE199" s="3">
        <f>-(AE198/AE$54)*(AE$5-AD$5)</f>
        <v>339.308734625808</v>
      </c>
      <c r="AF199" s="6">
        <f>-(AF198/AF$54)*(AF$5-AE$5)</f>
        <v>288.54456912979</v>
      </c>
      <c r="AG199" s="3" t="n"/>
      <c r="AH199" s="6">
        <f>-(AH198/AH$54)*(AH$5-AG$5)</f>
        <v>280.694805194805</v>
      </c>
      <c r="AI199" s="6">
        <f>-(AI198/AI$54)*(AI$5-AH$5)</f>
        <v>282.878952668681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0</v>
      </c>
      <c r="E202" s="25">
        <f>INDEX('Inputs (2)'!$D$29:$AL$29,MATCH(E$7,'Inputs (2)'!$D$2:$AL$2,0))</f>
        <v>0</v>
      </c>
      <c r="F202" s="25">
        <f>INDEX('Inputs (2)'!$D$29:$AL$29,MATCH(F$7,'Inputs (2)'!$D$2:$AL$2,0))</f>
        <v>0</v>
      </c>
      <c r="G202" s="25">
        <f>INDEX('Inputs (2)'!$D$29:$AL$29,MATCH(G$7,'Inputs (2)'!$D$2:$AL$2,0))</f>
        <v>0</v>
      </c>
      <c r="H202" s="3">
        <f>G202</f>
        <v>0</v>
      </c>
      <c r="I202" s="25">
        <f>INDEX('Inputs (2)'!$D$29:$AL$29,MATCH(I$7,'Inputs (2)'!$D$2:$AL$2,0))</f>
        <v>0</v>
      </c>
      <c r="J202" s="25">
        <f>INDEX('Inputs (2)'!$D$29:$AL$29,MATCH(J$7,'Inputs (2)'!$D$2:$AL$2,0))</f>
        <v>0</v>
      </c>
      <c r="K202" s="25">
        <f>INDEX('Inputs (2)'!$D$29:$AL$29,MATCH(K$7,'Inputs (2)'!$D$2:$AL$2,0))</f>
        <v>0</v>
      </c>
      <c r="L202" s="25">
        <f>INDEX('Inputs (2)'!$D$29:$AL$29,MATCH(L$7,'Inputs (2)'!$D$2:$AL$2,0))</f>
        <v>0</v>
      </c>
      <c r="M202" s="3">
        <f>L202</f>
        <v>0</v>
      </c>
      <c r="N202" s="25">
        <f>INDEX('Inputs (2)'!$D$29:$AL$29,MATCH(N$7,'Inputs (2)'!$D$2:$AL$2,0))</f>
        <v>0</v>
      </c>
      <c r="O202" s="25">
        <f>INDEX('Inputs (2)'!$D$29:$AL$29,MATCH(O$7,'Inputs (2)'!$D$2:$AL$2,0))</f>
        <v>0</v>
      </c>
      <c r="P202" s="25">
        <f>INDEX('Inputs (2)'!$D$29:$AL$29,MATCH(P$7,'Inputs (2)'!$D$2:$AL$2,0))</f>
        <v>0</v>
      </c>
      <c r="Q202" s="25">
        <f>INDEX('Inputs (2)'!$D$29:$AL$29,MATCH(Q$7,'Inputs (2)'!$D$2:$AL$2,0))</f>
        <v>0</v>
      </c>
      <c r="R202" s="3">
        <f>Q202</f>
        <v>0</v>
      </c>
      <c r="S202" s="25">
        <f>INDEX('Inputs (2)'!$D$29:$AL$29,MATCH(S$7,'Inputs (2)'!$D$2:$AL$2,0))</f>
        <v>0</v>
      </c>
      <c r="T202" s="25">
        <f>INDEX('Inputs (2)'!$D$29:$AL$29,MATCH(T$7,'Inputs (2)'!$D$2:$AL$2,0))</f>
        <v>0</v>
      </c>
      <c r="U202" s="25">
        <f>INDEX('Inputs (2)'!$D$29:$AL$29,MATCH(U$7,'Inputs (2)'!$D$2:$AL$2,0))</f>
        <v>0</v>
      </c>
      <c r="V202" s="25">
        <f>INDEX('Inputs (2)'!$D$29:$AL$29,MATCH(V$7,'Inputs (2)'!$D$2:$AL$2,0))</f>
        <v>0</v>
      </c>
      <c r="W202" s="3">
        <f>V202</f>
        <v>0</v>
      </c>
      <c r="X202" s="25">
        <f>INDEX('Inputs (2)'!$D$29:$AL$29,MATCH(X$7,'Inputs (2)'!$D$2:$AL$2,0))</f>
        <v>0</v>
      </c>
      <c r="Y202" s="25">
        <f>INDEX('Inputs (2)'!$D$29:$AL$29,MATCH(Y$7,'Inputs (2)'!$D$2:$AL$2,0))</f>
        <v>0</v>
      </c>
      <c r="Z202" s="25">
        <f>INDEX('Inputs (2)'!$D$29:$AL$29,MATCH(Z$7,'Inputs (2)'!$D$2:$AL$2,0))</f>
        <v>0</v>
      </c>
      <c r="AA202" s="25">
        <f>INDEX('Inputs (2)'!$D$29:$AL$29,MATCH(AA$7,'Inputs (2)'!$D$2:$AL$2,0))</f>
        <v>0</v>
      </c>
      <c r="AB202" s="3">
        <f>AA202</f>
        <v>0</v>
      </c>
      <c r="AC202" s="25">
        <f>INDEX('Inputs (2)'!$D$29:$AL$29,MATCH(AC$7,'Inputs (2)'!$D$2:$AL$2,0))</f>
        <v>0</v>
      </c>
      <c r="AD202" s="25">
        <f>INDEX('Inputs (2)'!$D$29:$AL$29,MATCH(AD$7,'Inputs (2)'!$D$2:$AL$2,0))</f>
        <v>0</v>
      </c>
      <c r="AE202" s="25">
        <f>INDEX('Inputs (2)'!$D$29:$AL$29,MATCH(AE$7,'Inputs (2)'!$D$2:$AL$2,0))</f>
        <v>0</v>
      </c>
      <c r="AF202" s="25">
        <f>INDEX('Inputs (2)'!$D$29:$AL$29,MATCH(AF$7,'Inputs (2)'!$D$2:$AL$2,0))</f>
        <v>0</v>
      </c>
      <c r="AG202" s="3">
        <f>AF202</f>
        <v>0</v>
      </c>
      <c r="AH202" s="3">
        <f>INDEX('Inputs (2)'!$D$29:$AL$29,MATCH(AH$7,'Inputs (2)'!$D$2:$AL$2,0))</f>
        <v>0</v>
      </c>
      <c r="AI202" s="3">
        <f>INDEX('Inputs (2)'!$D$29:$AL$29,MATCH(AI$7,'Inputs (2)'!$D$2:$AL$2,0))</f>
        <v>0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 t="str">
        <f>IFERROR((E202-D202)/D202,"")</f>
        <v/>
      </c>
      <c r="F203" s="47" t="str">
        <f>IFERROR((F202-E202)/E202,"")</f>
        <v/>
      </c>
      <c r="G203" s="47" t="str">
        <f>IFERROR((G202-F202)/F202,"")</f>
        <v/>
      </c>
      <c r="H203" s="3" t="n"/>
      <c r="I203" s="47" t="str">
        <f>IFERROR((I202-H202)/H202,"")</f>
        <v/>
      </c>
      <c r="J203" s="47" t="str">
        <f>IFERROR((J202-I202)/I202,"")</f>
        <v/>
      </c>
      <c r="K203" s="47" t="str">
        <f>IFERROR((K202-J202)/J202,"")</f>
        <v/>
      </c>
      <c r="L203" s="47" t="str">
        <f>IFERROR((L202-K202)/K202,"")</f>
        <v/>
      </c>
      <c r="M203" s="3" t="n"/>
      <c r="N203" s="47" t="str">
        <f>IFERROR((N202-M202)/M202,"")</f>
        <v/>
      </c>
      <c r="O203" s="47" t="str">
        <f>IFERROR((O202-N202)/N202,"")</f>
        <v/>
      </c>
      <c r="P203" s="47" t="str">
        <f>IFERROR((P202-O202)/O202,"")</f>
        <v/>
      </c>
      <c r="Q203" s="47" t="str">
        <f>IFERROR((Q202-P202)/P202,"")</f>
        <v/>
      </c>
      <c r="R203" s="3" t="n"/>
      <c r="S203" s="47" t="str">
        <f>IFERROR((S202-R202)/R202,"")</f>
        <v/>
      </c>
      <c r="T203" s="47" t="str">
        <f>IFERROR((T202-S202)/S202,"")</f>
        <v/>
      </c>
      <c r="U203" s="47" t="str">
        <f>IFERROR((U202-T202)/T202,"")</f>
        <v/>
      </c>
      <c r="V203" s="47" t="str">
        <f>IFERROR((V202-U202)/U202,"")</f>
        <v/>
      </c>
      <c r="W203" s="3" t="n"/>
      <c r="X203" s="47" t="str">
        <f>IFERROR((X202-W202)/W202,"")</f>
        <v/>
      </c>
      <c r="Y203" s="47" t="str">
        <f>IFERROR((Y202-X202)/X202,"")</f>
        <v/>
      </c>
      <c r="Z203" s="47" t="str">
        <f>IFERROR((Z202-Y202)/Y202,"")</f>
        <v/>
      </c>
      <c r="AA203" s="47" t="str">
        <f>IFERROR((AA202-Z202)/Z202,"")</f>
        <v/>
      </c>
      <c r="AB203" s="3" t="n"/>
      <c r="AC203" s="47" t="str">
        <f>IFERROR((AC202-AB202)/AB202,"")</f>
        <v/>
      </c>
      <c r="AD203" s="47" t="str">
        <f>IFERROR((AD202-AC202)/AC202,"")</f>
        <v/>
      </c>
      <c r="AE203" s="47" t="str">
        <f>IFERROR((AE202-AD202)/AD202,"")</f>
        <v/>
      </c>
      <c r="AF203" s="218" t="str">
        <f>IFERROR((AF202-AE202)/AE202,"")</f>
        <v/>
      </c>
      <c r="AG203" s="3" t="n"/>
      <c r="AH203" s="218" t="str">
        <f>IFERROR((AH202-AG202)/AG202,"")</f>
        <v/>
      </c>
      <c r="AI203" s="218" t="str">
        <f>IFERROR((AI202-AH202)/AH202,"")</f>
        <v/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458</v>
      </c>
      <c r="E204" s="25">
        <f>INDEX('Inputs (2)'!$D$30:$AL$30,MATCH(E$7,'Inputs (2)'!$D$2:$AL$2,0))</f>
        <v>576</v>
      </c>
      <c r="F204" s="25">
        <f>INDEX('Inputs (2)'!$D$30:$AL$30,MATCH(F$7,'Inputs (2)'!$D$2:$AL$2,0))</f>
        <v>776</v>
      </c>
      <c r="G204" s="25">
        <f>INDEX('Inputs (2)'!$D$30:$AL$30,MATCH(G$7,'Inputs (2)'!$D$2:$AL$2,0))</f>
        <v>788</v>
      </c>
      <c r="H204" s="3">
        <f>G204</f>
        <v>788</v>
      </c>
      <c r="I204" s="25">
        <f>INDEX('Inputs (2)'!$D$30:$AL$30,MATCH(I$7,'Inputs (2)'!$D$2:$AL$2,0))</f>
        <v>744</v>
      </c>
      <c r="J204" s="25">
        <f>INDEX('Inputs (2)'!$D$30:$AL$30,MATCH(J$7,'Inputs (2)'!$D$2:$AL$2,0))</f>
        <v>971</v>
      </c>
      <c r="K204" s="25">
        <f>INDEX('Inputs (2)'!$D$30:$AL$30,MATCH(K$7,'Inputs (2)'!$D$2:$AL$2,0))</f>
        <v>846</v>
      </c>
      <c r="L204" s="25">
        <f>INDEX('Inputs (2)'!$D$30:$AL$30,MATCH(L$7,'Inputs (2)'!$D$2:$AL$2,0))</f>
        <v>686</v>
      </c>
      <c r="M204" s="3">
        <f>L204</f>
        <v>686</v>
      </c>
      <c r="N204" s="25">
        <f>INDEX('Inputs (2)'!$D$30:$AL$30,MATCH(N$7,'Inputs (2)'!$D$2:$AL$2,0))</f>
        <v>866</v>
      </c>
      <c r="O204" s="25">
        <f>INDEX('Inputs (2)'!$D$30:$AL$30,MATCH(O$7,'Inputs (2)'!$D$2:$AL$2,0))</f>
        <v>1172</v>
      </c>
      <c r="P204" s="25">
        <f>INDEX('Inputs (2)'!$D$30:$AL$30,MATCH(P$7,'Inputs (2)'!$D$2:$AL$2,0))</f>
        <v>1211</v>
      </c>
      <c r="Q204" s="25">
        <f>INDEX('Inputs (2)'!$D$30:$AL$30,MATCH(Q$7,'Inputs (2)'!$D$2:$AL$2,0))</f>
        <v>1203</v>
      </c>
      <c r="R204" s="3">
        <f>Q204</f>
        <v>1203</v>
      </c>
      <c r="S204" s="25">
        <f>INDEX('Inputs (2)'!$D$30:$AL$30,MATCH(S$7,'Inputs (2)'!$D$2:$AL$2,0))</f>
        <v>1498</v>
      </c>
      <c r="T204" s="25">
        <f>INDEX('Inputs (2)'!$D$30:$AL$30,MATCH(T$7,'Inputs (2)'!$D$2:$AL$2,0))</f>
        <v>1633</v>
      </c>
      <c r="U204" s="25">
        <f>INDEX('Inputs (2)'!$D$30:$AL$30,MATCH(U$7,'Inputs (2)'!$D$2:$AL$2,0))</f>
        <v>1577</v>
      </c>
      <c r="V204" s="25">
        <f>INDEX('Inputs (2)'!$D$30:$AL$30,MATCH(V$7,'Inputs (2)'!$D$2:$AL$2,0))</f>
        <v>1569</v>
      </c>
      <c r="W204" s="3">
        <f>V204</f>
        <v>1569</v>
      </c>
      <c r="X204" s="25">
        <f>INDEX('Inputs (2)'!$D$30:$AL$30,MATCH(X$7,'Inputs (2)'!$D$2:$AL$2,0))</f>
        <v>1485</v>
      </c>
      <c r="Y204" s="25">
        <f>INDEX('Inputs (2)'!$D$30:$AL$30,MATCH(Y$7,'Inputs (2)'!$D$2:$AL$2,0))</f>
        <v>1622</v>
      </c>
      <c r="Z204" s="25">
        <f>INDEX('Inputs (2)'!$D$30:$AL$30,MATCH(Z$7,'Inputs (2)'!$D$2:$AL$2,0))</f>
        <v>1479</v>
      </c>
      <c r="AA204" s="25">
        <f>INDEX('Inputs (2)'!$D$30:$AL$30,MATCH(AA$7,'Inputs (2)'!$D$2:$AL$2,0))</f>
        <v>1387</v>
      </c>
      <c r="AB204" s="3">
        <f>AA204</f>
        <v>1387</v>
      </c>
      <c r="AC204" s="25">
        <f>INDEX('Inputs (2)'!$D$30:$AL$30,MATCH(AC$7,'Inputs (2)'!$D$2:$AL$2,0))</f>
        <v>1728</v>
      </c>
      <c r="AD204" s="25">
        <f>INDEX('Inputs (2)'!$D$30:$AL$30,MATCH(AD$7,'Inputs (2)'!$D$2:$AL$2,0))</f>
        <v>444</v>
      </c>
      <c r="AE204" s="25">
        <f>INDEX('Inputs (2)'!$D$30:$AL$30,MATCH(AE$7,'Inputs (2)'!$D$2:$AL$2,0))</f>
        <v>568</v>
      </c>
      <c r="AF204" s="25">
        <f>INDEX('Inputs (2)'!$D$30:$AL$30,MATCH(AF$7,'Inputs (2)'!$D$2:$AL$2,0))</f>
        <v>525</v>
      </c>
      <c r="AG204" s="3">
        <f>AF204</f>
        <v>525</v>
      </c>
      <c r="AH204" s="3">
        <f>INDEX('Inputs (2)'!$D$30:$AL$30,MATCH(AH$7,'Inputs (2)'!$D$2:$AL$2,0))</f>
        <v>717</v>
      </c>
      <c r="AI204" s="3">
        <f>INDEX('Inputs (2)'!$D$30:$AL$30,MATCH(AI$7,'Inputs (2)'!$D$2:$AL$2,0))</f>
        <v>782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13657</v>
      </c>
      <c r="E205" s="25">
        <f>INDEX('Inputs (2)'!$D$31:$AL$31,MATCH(E$7,'Inputs (2)'!$D$2:$AL$2,0))</f>
        <v>9423</v>
      </c>
      <c r="F205" s="25">
        <f>INDEX('Inputs (2)'!$D$31:$AL$31,MATCH(F$7,'Inputs (2)'!$D$2:$AL$2,0))</f>
        <v>5857</v>
      </c>
      <c r="G205" s="25">
        <f>INDEX('Inputs (2)'!$D$31:$AL$31,MATCH(G$7,'Inputs (2)'!$D$2:$AL$2,0))</f>
        <v>0</v>
      </c>
      <c r="H205" s="3">
        <f>G205</f>
        <v>0</v>
      </c>
      <c r="I205" s="25">
        <f>INDEX('Inputs (2)'!$D$31:$AL$31,MATCH(I$7,'Inputs (2)'!$D$2:$AL$2,0))</f>
        <v>1933</v>
      </c>
      <c r="J205" s="25">
        <f>INDEX('Inputs (2)'!$D$31:$AL$31,MATCH(J$7,'Inputs (2)'!$D$2:$AL$2,0))</f>
        <v>1867</v>
      </c>
      <c r="K205" s="25">
        <f>INDEX('Inputs (2)'!$D$31:$AL$31,MATCH(K$7,'Inputs (2)'!$D$2:$AL$2,0))</f>
        <v>1866</v>
      </c>
      <c r="L205" s="25">
        <f>INDEX('Inputs (2)'!$D$31:$AL$31,MATCH(L$7,'Inputs (2)'!$D$2:$AL$2,0))</f>
        <v>0</v>
      </c>
      <c r="M205" s="3">
        <f>L205</f>
        <v>0</v>
      </c>
      <c r="N205" s="25">
        <f>INDEX('Inputs (2)'!$D$31:$AL$31,MATCH(N$7,'Inputs (2)'!$D$2:$AL$2,0))</f>
        <v>3610</v>
      </c>
      <c r="O205" s="25">
        <f>INDEX('Inputs (2)'!$D$31:$AL$31,MATCH(O$7,'Inputs (2)'!$D$2:$AL$2,0))</f>
        <v>4358</v>
      </c>
      <c r="P205" s="25">
        <f>INDEX('Inputs (2)'!$D$31:$AL$31,MATCH(P$7,'Inputs (2)'!$D$2:$AL$2,0))</f>
        <v>3396</v>
      </c>
      <c r="Q205" s="25">
        <f>INDEX('Inputs (2)'!$D$31:$AL$31,MATCH(Q$7,'Inputs (2)'!$D$2:$AL$2,0))</f>
        <v>0</v>
      </c>
      <c r="R205" s="3">
        <f>Q205</f>
        <v>0</v>
      </c>
      <c r="S205" s="25">
        <f>INDEX('Inputs (2)'!$D$31:$AL$31,MATCH(S$7,'Inputs (2)'!$D$2:$AL$2,0))</f>
        <v>5455</v>
      </c>
      <c r="T205" s="25">
        <f>INDEX('Inputs (2)'!$D$31:$AL$31,MATCH(T$7,'Inputs (2)'!$D$2:$AL$2,0))</f>
        <v>4828</v>
      </c>
      <c r="U205" s="25">
        <f>INDEX('Inputs (2)'!$D$31:$AL$31,MATCH(U$7,'Inputs (2)'!$D$2:$AL$2,0))</f>
        <v>3915</v>
      </c>
      <c r="V205" s="25">
        <f>INDEX('Inputs (2)'!$D$31:$AL$31,MATCH(V$7,'Inputs (2)'!$D$2:$AL$2,0))</f>
        <v>4557</v>
      </c>
      <c r="W205" s="3">
        <f>V205</f>
        <v>4557</v>
      </c>
      <c r="X205" s="25">
        <f>INDEX('Inputs (2)'!$D$31:$AL$31,MATCH(X$7,'Inputs (2)'!$D$2:$AL$2,0))</f>
        <v>6054</v>
      </c>
      <c r="Y205" s="25">
        <f>INDEX('Inputs (2)'!$D$31:$AL$31,MATCH(Y$7,'Inputs (2)'!$D$2:$AL$2,0))</f>
        <v>3793</v>
      </c>
      <c r="Z205" s="25">
        <f>INDEX('Inputs (2)'!$D$31:$AL$31,MATCH(Z$7,'Inputs (2)'!$D$2:$AL$2,0))</f>
        <v>2203</v>
      </c>
      <c r="AA205" s="25">
        <f>INDEX('Inputs (2)'!$D$31:$AL$31,MATCH(AA$7,'Inputs (2)'!$D$2:$AL$2,0))</f>
        <v>1499</v>
      </c>
      <c r="AB205" s="3">
        <f>AA205</f>
        <v>1499</v>
      </c>
      <c r="AC205" s="25">
        <f>INDEX('Inputs (2)'!$D$31:$AL$31,MATCH(AC$7,'Inputs (2)'!$D$2:$AL$2,0))</f>
        <v>5418</v>
      </c>
      <c r="AD205" s="25">
        <f>INDEX('Inputs (2)'!$D$31:$AL$31,MATCH(AD$7,'Inputs (2)'!$D$2:$AL$2,0))</f>
        <v>4379</v>
      </c>
      <c r="AE205" s="25">
        <f>INDEX('Inputs (2)'!$D$31:$AL$31,MATCH(AE$7,'Inputs (2)'!$D$2:$AL$2,0))</f>
        <v>2319</v>
      </c>
      <c r="AF205" s="25">
        <f>INDEX('Inputs (2)'!$D$31:$AL$31,MATCH(AF$7,'Inputs (2)'!$D$2:$AL$2,0))</f>
        <v>4121</v>
      </c>
      <c r="AG205" s="3">
        <f>AF205</f>
        <v>4121</v>
      </c>
      <c r="AH205" s="3">
        <f>INDEX('Inputs (2)'!$D$31:$AL$31,MATCH(AH$7,'Inputs (2)'!$D$2:$AL$2,0))</f>
        <v>2759</v>
      </c>
      <c r="AI205" s="3">
        <f>INDEX('Inputs (2)'!$D$31:$AL$31,MATCH(AI$7,'Inputs (2)'!$D$2:$AL$2,0))</f>
        <v>2490</v>
      </c>
      <c r="AJ205" s="3">
        <f>AI205</f>
        <v>2490</v>
      </c>
      <c r="AK205" s="3">
        <f>AJ205</f>
        <v>2490</v>
      </c>
      <c r="AL205" s="3">
        <f>AK205</f>
        <v>2490</v>
      </c>
      <c r="AM205" s="3">
        <f>AL205</f>
        <v>2490</v>
      </c>
      <c r="AN205" s="3">
        <f>AM205</f>
        <v>2490</v>
      </c>
      <c r="AO205" s="3">
        <f>AN205</f>
        <v>2490</v>
      </c>
      <c r="AP205" s="3">
        <f>AO205</f>
        <v>2490</v>
      </c>
      <c r="AQ205" s="3">
        <f>AP205</f>
        <v>2490</v>
      </c>
      <c r="AR205" s="3">
        <f>AQ205</f>
        <v>2490</v>
      </c>
      <c r="AS205" s="3">
        <f>AR205</f>
        <v>2490</v>
      </c>
      <c r="AT205" s="3">
        <f>AS205</f>
        <v>2490</v>
      </c>
      <c r="AU205" s="3">
        <f>AT205</f>
        <v>2490</v>
      </c>
      <c r="AV205" s="3">
        <f>AU205</f>
        <v>2490</v>
      </c>
      <c r="AW205" s="3">
        <f>AV205</f>
        <v>2490</v>
      </c>
      <c r="AX205" s="3">
        <f>AW205</f>
        <v>2490</v>
      </c>
      <c r="AY205" s="3">
        <f>AX205</f>
        <v>2490</v>
      </c>
      <c r="AZ205" s="3">
        <f>AY205</f>
        <v>2490</v>
      </c>
      <c r="BA205" s="3">
        <f>AZ205</f>
        <v>2490</v>
      </c>
      <c r="BB205" s="3">
        <f>BA205</f>
        <v>2490</v>
      </c>
      <c r="BC205" s="3">
        <f>BB205</f>
        <v>2490</v>
      </c>
      <c r="BD205" s="3">
        <f>BC205</f>
        <v>2490</v>
      </c>
      <c r="BE205" s="3">
        <f>BD205</f>
        <v>2490</v>
      </c>
      <c r="BF205" s="3">
        <f>BE205</f>
        <v>2490</v>
      </c>
      <c r="BG205" s="3">
        <f>BF205</f>
        <v>2490</v>
      </c>
      <c r="BH205" s="3">
        <f>BG205</f>
        <v>2490</v>
      </c>
      <c r="BI205" s="3">
        <f>BH205</f>
        <v>2490</v>
      </c>
      <c r="BJ205" s="3">
        <f>BI205</f>
        <v>2490</v>
      </c>
      <c r="BK205" s="3">
        <f>BJ205</f>
        <v>2490</v>
      </c>
      <c r="BL205" s="3">
        <f>BK205</f>
        <v>2490</v>
      </c>
      <c r="BM205" s="3">
        <f>BL205</f>
        <v>2490</v>
      </c>
      <c r="BN205" s="3">
        <f>BM205</f>
        <v>2490</v>
      </c>
      <c r="BO205" s="3">
        <f>BN205</f>
        <v>2490</v>
      </c>
      <c r="BP205" s="3">
        <f>BO205</f>
        <v>2490</v>
      </c>
      <c r="BQ205" s="3">
        <f>BP205</f>
        <v>2490</v>
      </c>
      <c r="BR205" s="3">
        <f>BQ205</f>
        <v>2490</v>
      </c>
      <c r="BS205" s="3">
        <f>BR205</f>
        <v>2490</v>
      </c>
      <c r="BT205" s="3">
        <f>BS205</f>
        <v>2490</v>
      </c>
      <c r="BU205" s="3">
        <f>BT205</f>
        <v>2490</v>
      </c>
      <c r="BV205" s="3">
        <f>BU205</f>
        <v>2490</v>
      </c>
      <c r="BW205" s="3">
        <f>BV205</f>
        <v>2490</v>
      </c>
      <c r="BX205" s="3">
        <f>BW205</f>
        <v>2490</v>
      </c>
      <c r="BY205" s="3">
        <f>BX205</f>
        <v>2490</v>
      </c>
      <c r="BZ205" s="3">
        <f>BY205</f>
        <v>2490</v>
      </c>
      <c r="CA205" s="3">
        <f>BZ205</f>
        <v>2490</v>
      </c>
      <c r="CB205" s="3">
        <f>CA205</f>
        <v>2490</v>
      </c>
      <c r="CC205" s="3">
        <f>CB205</f>
        <v>2490</v>
      </c>
      <c r="CD205" s="3">
        <f>CC205</f>
        <v>2490</v>
      </c>
      <c r="CE205" s="3">
        <f>CD205</f>
        <v>2490</v>
      </c>
      <c r="CF205" s="3">
        <f>CE205</f>
        <v>2490</v>
      </c>
      <c r="CG205" s="3">
        <f>CF205</f>
        <v>2490</v>
      </c>
      <c r="CH205" s="3">
        <f>CG205</f>
        <v>2490</v>
      </c>
      <c r="CI205" s="3">
        <f>CH205</f>
        <v>2490</v>
      </c>
      <c r="CJ205" s="3">
        <f>CI205</f>
        <v>2490</v>
      </c>
      <c r="CK205" s="3">
        <f>CJ205</f>
        <v>2490</v>
      </c>
      <c r="CL205" s="3">
        <f>CK205</f>
        <v>2490</v>
      </c>
      <c r="CM205" s="3">
        <f>CL205</f>
        <v>2490</v>
      </c>
      <c r="CN205" s="3">
        <f>CM205</f>
        <v>2490</v>
      </c>
      <c r="CO205" s="3">
        <f>CN205</f>
        <v>2490</v>
      </c>
      <c r="CP205" s="3">
        <f>CO205</f>
        <v>2490</v>
      </c>
      <c r="CQ205" s="3">
        <f>CP205</f>
        <v>2490</v>
      </c>
      <c r="CR205" s="3">
        <f>CQ205</f>
        <v>2490</v>
      </c>
      <c r="CS205" s="3">
        <f>CR205</f>
        <v>2490</v>
      </c>
      <c r="CT205" s="3">
        <f>CS205</f>
        <v>2490</v>
      </c>
      <c r="CU205" s="3">
        <f>CT205</f>
        <v>2490</v>
      </c>
      <c r="CV205" s="3">
        <f>CU205</f>
        <v>2490</v>
      </c>
      <c r="CW205" s="3">
        <f>CV205</f>
        <v>2490</v>
      </c>
      <c r="CX205" s="3">
        <f>CW205</f>
        <v>2490</v>
      </c>
      <c r="CY205" s="3">
        <f>CX205</f>
        <v>2490</v>
      </c>
    </row>
    <row r="206" hidden="1" outlineLevel="1">
      <c r="C206" s="38" t="inlineStr">
        <is>
          <t>%(Var.)</t>
        </is>
      </c>
      <c r="D206" s="3" t="n"/>
      <c r="E206" s="47">
        <f>IFERROR((E205-D205)/D205,"")</f>
        <v>-0.310024163432672</v>
      </c>
      <c r="F206" s="47">
        <f>IFERROR((F205-E205)/E205,"")</f>
        <v>-0.378435742332591</v>
      </c>
      <c r="G206" s="47">
        <f>IFERROR((G205-F205)/F205,"")</f>
        <v>-1</v>
      </c>
      <c r="H206" s="3" t="n"/>
      <c r="I206" s="47" t="str">
        <f>IFERROR((I205-H205)/H205,"")</f>
        <v/>
      </c>
      <c r="J206" s="47">
        <f>IFERROR((J205-I205)/I205,"")</f>
        <v>-0.0341438178996379</v>
      </c>
      <c r="K206" s="47">
        <f>IFERROR((K205-J205)/J205,"")</f>
        <v>-0.000535618639528656</v>
      </c>
      <c r="L206" s="47">
        <f>IFERROR((L205-K205)/K205,"")</f>
        <v>-1</v>
      </c>
      <c r="M206" s="3" t="n"/>
      <c r="N206" s="47" t="str">
        <f>IFERROR((N205-M205)/M205,"")</f>
        <v/>
      </c>
      <c r="O206" s="47">
        <f>IFERROR((O205-N205)/N205,"")</f>
        <v>0.207202216066482</v>
      </c>
      <c r="P206" s="47">
        <f>IFERROR((P205-O205)/O205,"")</f>
        <v>-0.220743460302891</v>
      </c>
      <c r="Q206" s="47">
        <f>IFERROR((Q205-P205)/P205,"")</f>
        <v>-1</v>
      </c>
      <c r="R206" s="3" t="n"/>
      <c r="S206" s="47" t="str">
        <f>IFERROR((S205-R205)/R205,"")</f>
        <v/>
      </c>
      <c r="T206" s="47">
        <f>IFERROR((T205-S205)/S205,"")</f>
        <v>-0.114940421631531</v>
      </c>
      <c r="U206" s="47">
        <f>IFERROR((U205-T205)/T205,"")</f>
        <v>-0.18910521955261</v>
      </c>
      <c r="V206" s="47">
        <f>IFERROR((V205-U205)/U205,"")</f>
        <v>0.163984674329502</v>
      </c>
      <c r="W206" s="3" t="n"/>
      <c r="X206" s="47">
        <f>IFERROR((X205-W205)/W205,"")</f>
        <v>0.328505595786702</v>
      </c>
      <c r="Y206" s="47">
        <f>IFERROR((Y205-X205)/X205,"")</f>
        <v>-0.373472084572184</v>
      </c>
      <c r="Z206" s="47">
        <f>IFERROR((Z205-Y205)/Y205,"")</f>
        <v>-0.41919325072502</v>
      </c>
      <c r="AA206" s="47">
        <f>IFERROR((AA205-Z205)/Z205,"")</f>
        <v>-0.319564230594644</v>
      </c>
      <c r="AB206" s="3" t="n"/>
      <c r="AC206" s="47">
        <f>IFERROR((AC205-AB205)/AB205,"")</f>
        <v>2.61440960640427</v>
      </c>
      <c r="AD206" s="47">
        <f>IFERROR((AD205-AC205)/AC205,"")</f>
        <v>-0.191768180140273</v>
      </c>
      <c r="AE206" s="47">
        <f>IFERROR((AE205-AD205)/AD205,"")</f>
        <v>-0.470427038136561</v>
      </c>
      <c r="AF206" s="218">
        <f>IFERROR((AF205-AE205)/AE205,"")</f>
        <v>0.777059077188443</v>
      </c>
      <c r="AG206" s="3" t="n"/>
      <c r="AH206" s="218">
        <f>IFERROR((AH205-AG205)/AG205,"")</f>
        <v>-0.330502305265712</v>
      </c>
      <c r="AI206" s="218">
        <f>IFERROR((AI205-AH205)/AH205,"")</f>
        <v>-0.0974990938745922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5642</v>
      </c>
      <c r="E212" s="25">
        <f>INDEX('Inputs (2)'!$D$32:$AL$32,MATCH(E$7,'Inputs (2)'!$D$2:$AL$2,0))</f>
        <v>5181</v>
      </c>
      <c r="F212" s="25">
        <f>INDEX('Inputs (2)'!$D$32:$AL$32,MATCH(F$7,'Inputs (2)'!$D$2:$AL$2,0))</f>
        <v>7508</v>
      </c>
      <c r="G212" s="25">
        <f>INDEX('Inputs (2)'!$D$32:$AL$32,MATCH(G$7,'Inputs (2)'!$D$2:$AL$2,0))</f>
        <v>2668</v>
      </c>
      <c r="H212" s="3">
        <f>G212</f>
        <v>2668</v>
      </c>
      <c r="I212" s="25">
        <f>INDEX('Inputs (2)'!$D$32:$AL$32,MATCH(I$7,'Inputs (2)'!$D$2:$AL$2,0))</f>
        <v>2880</v>
      </c>
      <c r="J212" s="25">
        <f>INDEX('Inputs (2)'!$D$32:$AL$32,MATCH(J$7,'Inputs (2)'!$D$2:$AL$2,0))</f>
        <v>337</v>
      </c>
      <c r="K212" s="25">
        <f>INDEX('Inputs (2)'!$D$32:$AL$32,MATCH(K$7,'Inputs (2)'!$D$2:$AL$2,0))</f>
        <v>448</v>
      </c>
      <c r="L212" s="25">
        <f>INDEX('Inputs (2)'!$D$32:$AL$32,MATCH(L$7,'Inputs (2)'!$D$2:$AL$2,0))</f>
        <v>4645</v>
      </c>
      <c r="M212" s="3">
        <f>L212</f>
        <v>4645</v>
      </c>
      <c r="N212" s="25">
        <f>INDEX('Inputs (2)'!$D$32:$AL$32,MATCH(N$7,'Inputs (2)'!$D$2:$AL$2,0))</f>
        <v>1039</v>
      </c>
      <c r="O212" s="25">
        <f>INDEX('Inputs (2)'!$D$32:$AL$32,MATCH(O$7,'Inputs (2)'!$D$2:$AL$2,0))</f>
        <v>788</v>
      </c>
      <c r="P212" s="25">
        <f>INDEX('Inputs (2)'!$D$32:$AL$32,MATCH(P$7,'Inputs (2)'!$D$2:$AL$2,0))</f>
        <v>729</v>
      </c>
      <c r="Q212" s="25">
        <f>INDEX('Inputs (2)'!$D$32:$AL$32,MATCH(Q$7,'Inputs (2)'!$D$2:$AL$2,0))</f>
        <v>2772</v>
      </c>
      <c r="R212" s="3">
        <f>Q212</f>
        <v>2772</v>
      </c>
      <c r="S212" s="25">
        <f>INDEX('Inputs (2)'!$D$32:$AL$32,MATCH(S$7,'Inputs (2)'!$D$2:$AL$2,0))</f>
        <v>811</v>
      </c>
      <c r="T212" s="25">
        <f>INDEX('Inputs (2)'!$D$32:$AL$32,MATCH(T$7,'Inputs (2)'!$D$2:$AL$2,0))</f>
        <v>1171</v>
      </c>
      <c r="U212" s="25">
        <f>INDEX('Inputs (2)'!$D$32:$AL$32,MATCH(U$7,'Inputs (2)'!$D$2:$AL$2,0))</f>
        <v>2080</v>
      </c>
      <c r="V212" s="25">
        <f>INDEX('Inputs (2)'!$D$32:$AL$32,MATCH(V$7,'Inputs (2)'!$D$2:$AL$2,0))</f>
        <v>1960</v>
      </c>
      <c r="W212" s="3">
        <f>V212</f>
        <v>1960</v>
      </c>
      <c r="X212" s="25">
        <f>INDEX('Inputs (2)'!$D$32:$AL$32,MATCH(X$7,'Inputs (2)'!$D$2:$AL$2,0))</f>
        <v>1392</v>
      </c>
      <c r="Y212" s="25">
        <f>INDEX('Inputs (2)'!$D$32:$AL$32,MATCH(Y$7,'Inputs (2)'!$D$2:$AL$2,0))</f>
        <v>1939</v>
      </c>
      <c r="Z212" s="25">
        <f>INDEX('Inputs (2)'!$D$32:$AL$32,MATCH(Z$7,'Inputs (2)'!$D$2:$AL$2,0))</f>
        <v>1067</v>
      </c>
      <c r="AA212" s="25">
        <f>INDEX('Inputs (2)'!$D$32:$AL$32,MATCH(AA$7,'Inputs (2)'!$D$2:$AL$2,0))</f>
        <v>648</v>
      </c>
      <c r="AB212" s="3">
        <f>AA212</f>
        <v>648</v>
      </c>
      <c r="AC212" s="25">
        <f>INDEX('Inputs (2)'!$D$32:$AL$32,MATCH(AC$7,'Inputs (2)'!$D$2:$AL$2,0))</f>
        <v>163</v>
      </c>
      <c r="AD212" s="25">
        <f>INDEX('Inputs (2)'!$D$32:$AL$32,MATCH(AD$7,'Inputs (2)'!$D$2:$AL$2,0))</f>
        <v>91</v>
      </c>
      <c r="AE212" s="25">
        <f>INDEX('Inputs (2)'!$D$32:$AL$32,MATCH(AE$7,'Inputs (2)'!$D$2:$AL$2,0))</f>
        <v>1920</v>
      </c>
      <c r="AF212" s="25">
        <f>INDEX('Inputs (2)'!$D$32:$AL$32,MATCH(AF$7,'Inputs (2)'!$D$2:$AL$2,0))</f>
        <v>1822</v>
      </c>
      <c r="AG212" s="3">
        <f>AF212</f>
        <v>1822</v>
      </c>
      <c r="AH212" s="3">
        <f>INDEX('Inputs (2)'!$D$32:$AL$32,MATCH(AH$7,'Inputs (2)'!$D$2:$AL$2,0))</f>
        <v>4493</v>
      </c>
      <c r="AI212" s="3">
        <f>INDEX('Inputs (2)'!$D$32:$AL$32,MATCH(AI$7,'Inputs (2)'!$D$2:$AL$2,0))</f>
        <v>6494</v>
      </c>
      <c r="AJ212" s="3">
        <f>AI212</f>
        <v>6494</v>
      </c>
      <c r="AK212" s="3">
        <f>AJ212</f>
        <v>6494</v>
      </c>
      <c r="AL212" s="3">
        <f>AK212</f>
        <v>6494</v>
      </c>
      <c r="AM212" s="3">
        <f>AL212</f>
        <v>6494</v>
      </c>
      <c r="AN212" s="3">
        <f>AM212</f>
        <v>6494</v>
      </c>
      <c r="AO212" s="3">
        <f>AN212</f>
        <v>6494</v>
      </c>
      <c r="AP212" s="3">
        <f>AO212</f>
        <v>6494</v>
      </c>
      <c r="AQ212" s="3">
        <f>AP212</f>
        <v>6494</v>
      </c>
      <c r="AR212" s="3">
        <f>AQ212</f>
        <v>6494</v>
      </c>
      <c r="AS212" s="3">
        <f>AR212</f>
        <v>6494</v>
      </c>
      <c r="AT212" s="3">
        <f>AS212</f>
        <v>6494</v>
      </c>
      <c r="AU212" s="3">
        <f>AT212</f>
        <v>6494</v>
      </c>
      <c r="AV212" s="3">
        <f>AU212</f>
        <v>6494</v>
      </c>
      <c r="AW212" s="3">
        <f>AV212</f>
        <v>6494</v>
      </c>
      <c r="AX212" s="3">
        <f>AW212</f>
        <v>6494</v>
      </c>
      <c r="AY212" s="3">
        <f>AX212</f>
        <v>6494</v>
      </c>
      <c r="AZ212" s="3">
        <f>AY212</f>
        <v>6494</v>
      </c>
      <c r="BA212" s="3">
        <f>AZ212</f>
        <v>6494</v>
      </c>
      <c r="BB212" s="3">
        <f>BA212</f>
        <v>6494</v>
      </c>
      <c r="BC212" s="3">
        <f>BB212</f>
        <v>6494</v>
      </c>
      <c r="BD212" s="3">
        <f>BC212</f>
        <v>6494</v>
      </c>
      <c r="BE212" s="3">
        <f>BD212</f>
        <v>6494</v>
      </c>
      <c r="BF212" s="3">
        <f>BE212</f>
        <v>6494</v>
      </c>
      <c r="BG212" s="3">
        <f>BF212</f>
        <v>6494</v>
      </c>
      <c r="BH212" s="3">
        <f>BG212</f>
        <v>6494</v>
      </c>
      <c r="BI212" s="3">
        <f>BH212</f>
        <v>6494</v>
      </c>
      <c r="BJ212" s="3">
        <f>BI212</f>
        <v>6494</v>
      </c>
      <c r="BK212" s="3">
        <f>BJ212</f>
        <v>6494</v>
      </c>
      <c r="BL212" s="3">
        <f>BK212</f>
        <v>6494</v>
      </c>
      <c r="BM212" s="3">
        <f>BL212</f>
        <v>6494</v>
      </c>
      <c r="BN212" s="3">
        <f>BM212</f>
        <v>6494</v>
      </c>
      <c r="BO212" s="3">
        <f>BN212</f>
        <v>6494</v>
      </c>
      <c r="BP212" s="3">
        <f>BO212</f>
        <v>6494</v>
      </c>
      <c r="BQ212" s="3">
        <f>BP212</f>
        <v>6494</v>
      </c>
      <c r="BR212" s="3">
        <f>BQ212</f>
        <v>6494</v>
      </c>
      <c r="BS212" s="3">
        <f>BR212</f>
        <v>6494</v>
      </c>
      <c r="BT212" s="3">
        <f>BS212</f>
        <v>6494</v>
      </c>
      <c r="BU212" s="3">
        <f>BT212</f>
        <v>6494</v>
      </c>
      <c r="BV212" s="3">
        <f>BU212</f>
        <v>6494</v>
      </c>
      <c r="BW212" s="3">
        <f>BV212</f>
        <v>6494</v>
      </c>
      <c r="BX212" s="3">
        <f>BW212</f>
        <v>6494</v>
      </c>
      <c r="BY212" s="3">
        <f>BX212</f>
        <v>6494</v>
      </c>
      <c r="BZ212" s="3">
        <f>BY212</f>
        <v>6494</v>
      </c>
      <c r="CA212" s="3">
        <f>BZ212</f>
        <v>6494</v>
      </c>
      <c r="CB212" s="3">
        <f>CA212</f>
        <v>6494</v>
      </c>
      <c r="CC212" s="3">
        <f>CB212</f>
        <v>6494</v>
      </c>
      <c r="CD212" s="3">
        <f>CC212</f>
        <v>6494</v>
      </c>
      <c r="CE212" s="3">
        <f>CD212</f>
        <v>6494</v>
      </c>
      <c r="CF212" s="3">
        <f>CE212</f>
        <v>6494</v>
      </c>
      <c r="CG212" s="3">
        <f>CF212</f>
        <v>6494</v>
      </c>
      <c r="CH212" s="3">
        <f>CG212</f>
        <v>6494</v>
      </c>
      <c r="CI212" s="3">
        <f>CH212</f>
        <v>6494</v>
      </c>
      <c r="CJ212" s="3">
        <f>CI212</f>
        <v>6494</v>
      </c>
      <c r="CK212" s="3">
        <f>CJ212</f>
        <v>6494</v>
      </c>
      <c r="CL212" s="3">
        <f>CK212</f>
        <v>6494</v>
      </c>
      <c r="CM212" s="3">
        <f>CL212</f>
        <v>6494</v>
      </c>
      <c r="CN212" s="3">
        <f>CM212</f>
        <v>6494</v>
      </c>
      <c r="CO212" s="3">
        <f>CN212</f>
        <v>6494</v>
      </c>
      <c r="CP212" s="3">
        <f>CO212</f>
        <v>6494</v>
      </c>
      <c r="CQ212" s="3">
        <f>CP212</f>
        <v>6494</v>
      </c>
      <c r="CR212" s="3">
        <f>CQ212</f>
        <v>6494</v>
      </c>
      <c r="CS212" s="3">
        <f>CR212</f>
        <v>6494</v>
      </c>
      <c r="CT212" s="3">
        <f>CS212</f>
        <v>6494</v>
      </c>
      <c r="CU212" s="3">
        <f>CT212</f>
        <v>6494</v>
      </c>
      <c r="CV212" s="3">
        <f>CU212</f>
        <v>6494</v>
      </c>
      <c r="CW212" s="3">
        <f>CV212</f>
        <v>6494</v>
      </c>
      <c r="CX212" s="3">
        <f>CW212</f>
        <v>6494</v>
      </c>
      <c r="CY212" s="3">
        <f>CX212</f>
        <v>6494</v>
      </c>
    </row>
    <row r="213">
      <c r="C213" s="26" t="inlineStr">
        <is>
          <t>Short term debt (Revolving credit facility)</t>
        </is>
      </c>
      <c r="D213" s="25">
        <f>INDEX('Inputs (2)'!$D$33:$AL$33,MATCH(D$7,'Inputs (2)'!$D$2:$AL$2,0))</f>
        <v>0</v>
      </c>
      <c r="E213" s="25">
        <f>INDEX('Inputs (2)'!$D$33:$AL$33,MATCH(E$7,'Inputs (2)'!$D$2:$AL$2,0))</f>
        <v>0</v>
      </c>
      <c r="F213" s="25">
        <f>INDEX('Inputs (2)'!$D$33:$AL$33,MATCH(F$7,'Inputs (2)'!$D$2:$AL$2,0))</f>
        <v>0</v>
      </c>
      <c r="G213" s="25">
        <f>INDEX('Inputs (2)'!$D$33:$AL$33,MATCH(G$7,'Inputs (2)'!$D$2:$AL$2,0))</f>
        <v>0</v>
      </c>
      <c r="H213" s="3">
        <f>G213</f>
        <v>0</v>
      </c>
      <c r="I213" s="25">
        <f>INDEX('Inputs (2)'!$D$33:$AL$33,MATCH(I$7,'Inputs (2)'!$D$2:$AL$2,0))</f>
        <v>0</v>
      </c>
      <c r="J213" s="25">
        <f>INDEX('Inputs (2)'!$D$33:$AL$33,MATCH(J$7,'Inputs (2)'!$D$2:$AL$2,0))</f>
        <v>0</v>
      </c>
      <c r="K213" s="25">
        <f>INDEX('Inputs (2)'!$D$33:$AL$33,MATCH(K$7,'Inputs (2)'!$D$2:$AL$2,0))</f>
        <v>0</v>
      </c>
      <c r="L213" s="25">
        <f>INDEX('Inputs (2)'!$D$33:$AL$33,MATCH(L$7,'Inputs (2)'!$D$2:$AL$2,0))</f>
        <v>0</v>
      </c>
      <c r="M213" s="3">
        <f>L213</f>
        <v>0</v>
      </c>
      <c r="N213" s="25">
        <f>INDEX('Inputs (2)'!$D$33:$AL$33,MATCH(N$7,'Inputs (2)'!$D$2:$AL$2,0))</f>
        <v>0</v>
      </c>
      <c r="O213" s="25">
        <f>INDEX('Inputs (2)'!$D$33:$AL$33,MATCH(O$7,'Inputs (2)'!$D$2:$AL$2,0))</f>
        <v>0</v>
      </c>
      <c r="P213" s="25">
        <f>INDEX('Inputs (2)'!$D$33:$AL$33,MATCH(P$7,'Inputs (2)'!$D$2:$AL$2,0))</f>
        <v>0</v>
      </c>
      <c r="Q213" s="25">
        <f>INDEX('Inputs (2)'!$D$33:$AL$33,MATCH(Q$7,'Inputs (2)'!$D$2:$AL$2,0))</f>
        <v>0</v>
      </c>
      <c r="R213" s="3">
        <f>Q213</f>
        <v>0</v>
      </c>
      <c r="S213" s="25">
        <f>INDEX('Inputs (2)'!$D$33:$AL$33,MATCH(S$7,'Inputs (2)'!$D$2:$AL$2,0))</f>
        <v>0</v>
      </c>
      <c r="T213" s="25">
        <f>INDEX('Inputs (2)'!$D$33:$AL$33,MATCH(T$7,'Inputs (2)'!$D$2:$AL$2,0))</f>
        <v>0</v>
      </c>
      <c r="U213" s="25">
        <f>INDEX('Inputs (2)'!$D$33:$AL$33,MATCH(U$7,'Inputs (2)'!$D$2:$AL$2,0))</f>
        <v>0</v>
      </c>
      <c r="V213" s="25">
        <f>INDEX('Inputs (2)'!$D$33:$AL$33,MATCH(V$7,'Inputs (2)'!$D$2:$AL$2,0))</f>
        <v>0</v>
      </c>
      <c r="W213" s="3">
        <f>V213</f>
        <v>0</v>
      </c>
      <c r="X213" s="25">
        <f>INDEX('Inputs (2)'!$D$33:$AL$33,MATCH(X$7,'Inputs (2)'!$D$2:$AL$2,0))</f>
        <v>0</v>
      </c>
      <c r="Y213" s="25">
        <f>INDEX('Inputs (2)'!$D$33:$AL$33,MATCH(Y$7,'Inputs (2)'!$D$2:$AL$2,0))</f>
        <v>0</v>
      </c>
      <c r="Z213" s="25">
        <f>INDEX('Inputs (2)'!$D$33:$AL$33,MATCH(Z$7,'Inputs (2)'!$D$2:$AL$2,0))</f>
        <v>0</v>
      </c>
      <c r="AA213" s="25">
        <f>INDEX('Inputs (2)'!$D$33:$AL$33,MATCH(AA$7,'Inputs (2)'!$D$2:$AL$2,0))</f>
        <v>0</v>
      </c>
      <c r="AB213" s="3">
        <f>AA213</f>
        <v>0</v>
      </c>
      <c r="AC213" s="25">
        <f>INDEX('Inputs (2)'!$D$33:$AL$33,MATCH(AC$7,'Inputs (2)'!$D$2:$AL$2,0))</f>
        <v>0</v>
      </c>
      <c r="AD213" s="25">
        <f>INDEX('Inputs (2)'!$D$33:$AL$33,MATCH(AD$7,'Inputs (2)'!$D$2:$AL$2,0))</f>
        <v>0</v>
      </c>
      <c r="AE213" s="25">
        <f>INDEX('Inputs (2)'!$D$33:$AL$33,MATCH(AE$7,'Inputs (2)'!$D$2:$AL$2,0))</f>
        <v>0</v>
      </c>
      <c r="AF213" s="25">
        <f>INDEX('Inputs (2)'!$D$33:$AL$33,MATCH(AF$7,'Inputs (2)'!$D$2:$AL$2,0))</f>
        <v>0</v>
      </c>
      <c r="AG213" s="3">
        <f>AF213</f>
        <v>0</v>
      </c>
      <c r="AH213" s="3">
        <f>INDEX('Inputs (2)'!$D$33:$AL$33,MATCH(AH$7,'Inputs (2)'!$D$2:$AL$2,0))</f>
        <v>0</v>
      </c>
      <c r="AI213" s="3">
        <f>INDEX('Inputs (2)'!$D$33:$AL$33,MATCH(AI$7,'Inputs (2)'!$D$2:$AL$2,0))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>
        <f>INDEX('Inputs (2)'!$D$34:$AL$34,MATCH(D$7,'Inputs (2)'!$D$2:$AL$2,0))</f>
        <v>0</v>
      </c>
      <c r="E214" s="25">
        <f>INDEX('Inputs (2)'!$D$34:$AL$34,MATCH(E$7,'Inputs (2)'!$D$2:$AL$2,0))</f>
        <v>0</v>
      </c>
      <c r="F214" s="25">
        <f>INDEX('Inputs (2)'!$D$34:$AL$34,MATCH(F$7,'Inputs (2)'!$D$2:$AL$2,0))</f>
        <v>0</v>
      </c>
      <c r="G214" s="25">
        <f>INDEX('Inputs (2)'!$D$34:$AL$34,MATCH(G$7,'Inputs (2)'!$D$2:$AL$2,0))</f>
        <v>0</v>
      </c>
      <c r="H214" s="3">
        <f>G214</f>
        <v>0</v>
      </c>
      <c r="I214" s="25">
        <f>INDEX('Inputs (2)'!$D$34:$AL$34,MATCH(I$7,'Inputs (2)'!$D$2:$AL$2,0))</f>
        <v>0</v>
      </c>
      <c r="J214" s="25">
        <f>INDEX('Inputs (2)'!$D$34:$AL$34,MATCH(J$7,'Inputs (2)'!$D$2:$AL$2,0))</f>
        <v>0</v>
      </c>
      <c r="K214" s="25">
        <f>INDEX('Inputs (2)'!$D$34:$AL$34,MATCH(K$7,'Inputs (2)'!$D$2:$AL$2,0))</f>
        <v>0</v>
      </c>
      <c r="L214" s="25">
        <f>INDEX('Inputs (2)'!$D$34:$AL$34,MATCH(L$7,'Inputs (2)'!$D$2:$AL$2,0))</f>
        <v>0</v>
      </c>
      <c r="M214" s="3">
        <f>L214</f>
        <v>0</v>
      </c>
      <c r="N214" s="25">
        <f>INDEX('Inputs (2)'!$D$34:$AL$34,MATCH(N$7,'Inputs (2)'!$D$2:$AL$2,0))</f>
        <v>0</v>
      </c>
      <c r="O214" s="25">
        <f>INDEX('Inputs (2)'!$D$34:$AL$34,MATCH(O$7,'Inputs (2)'!$D$2:$AL$2,0))</f>
        <v>0</v>
      </c>
      <c r="P214" s="25">
        <f>INDEX('Inputs (2)'!$D$34:$AL$34,MATCH(P$7,'Inputs (2)'!$D$2:$AL$2,0))</f>
        <v>0</v>
      </c>
      <c r="Q214" s="25">
        <f>INDEX('Inputs (2)'!$D$34:$AL$34,MATCH(Q$7,'Inputs (2)'!$D$2:$AL$2,0))</f>
        <v>0</v>
      </c>
      <c r="R214" s="3">
        <f>Q214</f>
        <v>0</v>
      </c>
      <c r="S214" s="25">
        <f>INDEX('Inputs (2)'!$D$34:$AL$34,MATCH(S$7,'Inputs (2)'!$D$2:$AL$2,0))</f>
        <v>0</v>
      </c>
      <c r="T214" s="25">
        <f>INDEX('Inputs (2)'!$D$34:$AL$34,MATCH(T$7,'Inputs (2)'!$D$2:$AL$2,0))</f>
        <v>0</v>
      </c>
      <c r="U214" s="25">
        <f>INDEX('Inputs (2)'!$D$34:$AL$34,MATCH(U$7,'Inputs (2)'!$D$2:$AL$2,0))</f>
        <v>0</v>
      </c>
      <c r="V214" s="25">
        <f>INDEX('Inputs (2)'!$D$34:$AL$34,MATCH(V$7,'Inputs (2)'!$D$2:$AL$2,0))</f>
        <v>0</v>
      </c>
      <c r="W214" s="3">
        <f>V214</f>
        <v>0</v>
      </c>
      <c r="X214" s="25">
        <f>INDEX('Inputs (2)'!$D$34:$AL$34,MATCH(X$7,'Inputs (2)'!$D$2:$AL$2,0))</f>
        <v>0</v>
      </c>
      <c r="Y214" s="25">
        <f>INDEX('Inputs (2)'!$D$34:$AL$34,MATCH(Y$7,'Inputs (2)'!$D$2:$AL$2,0))</f>
        <v>0</v>
      </c>
      <c r="Z214" s="25">
        <f>INDEX('Inputs (2)'!$D$34:$AL$34,MATCH(Z$7,'Inputs (2)'!$D$2:$AL$2,0))</f>
        <v>0</v>
      </c>
      <c r="AA214" s="25">
        <f>INDEX('Inputs (2)'!$D$34:$AL$34,MATCH(AA$7,'Inputs (2)'!$D$2:$AL$2,0))</f>
        <v>0</v>
      </c>
      <c r="AB214" s="3">
        <f>AA214</f>
        <v>0</v>
      </c>
      <c r="AC214" s="25">
        <f>INDEX('Inputs (2)'!$D$34:$AL$34,MATCH(AC$7,'Inputs (2)'!$D$2:$AL$2,0))</f>
        <v>0</v>
      </c>
      <c r="AD214" s="25">
        <f>INDEX('Inputs (2)'!$D$34:$AL$34,MATCH(AD$7,'Inputs (2)'!$D$2:$AL$2,0))</f>
        <v>0</v>
      </c>
      <c r="AE214" s="25">
        <f>INDEX('Inputs (2)'!$D$34:$AL$34,MATCH(AE$7,'Inputs (2)'!$D$2:$AL$2,0))</f>
        <v>0</v>
      </c>
      <c r="AF214" s="25">
        <f>INDEX('Inputs (2)'!$D$34:$AL$34,MATCH(AF$7,'Inputs (2)'!$D$2:$AL$2,0))</f>
        <v>0</v>
      </c>
      <c r="AG214" s="3">
        <f>AF214</f>
        <v>0</v>
      </c>
      <c r="AH214" s="3">
        <f>INDEX('Inputs (2)'!$D$34:$AL$34,MATCH(AH$7,'Inputs (2)'!$D$2:$AL$2,0))</f>
        <v>0</v>
      </c>
      <c r="AI214" s="3">
        <f>INDEX('Inputs (2)'!$D$34:$AL$34,MATCH(AI$7,'Inputs (2)'!$D$2:$AL$2,0))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</v>
      </c>
      <c r="F215" s="47">
        <f>IFERROR((F214-E214)/E214,0)</f>
        <v>0</v>
      </c>
      <c r="G215" s="47">
        <f>IFERROR((G214-F214)/F214,0)</f>
        <v>0</v>
      </c>
      <c r="H215" s="3" t="n"/>
      <c r="I215" s="47">
        <f>IFERROR((I214-H214)/H214,0)</f>
        <v>0</v>
      </c>
      <c r="J215" s="47">
        <f>IFERROR((J214-I214)/I214,0)</f>
        <v>0</v>
      </c>
      <c r="K215" s="47">
        <f>IFERROR((K214-J214)/J214,0)</f>
        <v>0</v>
      </c>
      <c r="L215" s="47">
        <f>IFERROR((L214-K214)/K214,0)</f>
        <v>0</v>
      </c>
      <c r="M215" s="3" t="n"/>
      <c r="N215" s="47">
        <f>IFERROR((N214-M214)/M214,0)</f>
        <v>0</v>
      </c>
      <c r="O215" s="47">
        <f>IFERROR((O214-N214)/N214,0)</f>
        <v>0</v>
      </c>
      <c r="P215" s="47">
        <f>IFERROR((P214-O214)/O214,0)</f>
        <v>0</v>
      </c>
      <c r="Q215" s="47">
        <f>IFERROR((Q214-P214)/P214,0)</f>
        <v>0</v>
      </c>
      <c r="R215" s="3" t="n"/>
      <c r="S215" s="47">
        <f>IFERROR((S214-R214)/R214,0)</f>
        <v>0</v>
      </c>
      <c r="T215" s="47">
        <f>IFERROR((T214-S214)/S214,0)</f>
        <v>0</v>
      </c>
      <c r="U215" s="47">
        <f>IFERROR((U214-T214)/T214,0)</f>
        <v>0</v>
      </c>
      <c r="V215" s="47">
        <f>IFERROR((V214-U214)/U214,0)</f>
        <v>0</v>
      </c>
      <c r="W215" s="3" t="n"/>
      <c r="X215" s="47">
        <f>IFERROR((X214-W214)/W214,0)</f>
        <v>0</v>
      </c>
      <c r="Y215" s="47">
        <f>IFERROR((Y214-X214)/X214,0)</f>
        <v>0</v>
      </c>
      <c r="Z215" s="47">
        <f>IFERROR((Z214-Y214)/Y214,0)</f>
        <v>0</v>
      </c>
      <c r="AA215" s="47">
        <f>IFERROR((AA214-Z214)/Z214,0)</f>
        <v>0</v>
      </c>
      <c r="AB215" s="3" t="n"/>
      <c r="AC215" s="47">
        <f>IFERROR((AC214-AB214)/AB214,0)</f>
        <v>0</v>
      </c>
      <c r="AD215" s="47">
        <f>IFERROR((AD214-AC214)/AC214,0)</f>
        <v>0</v>
      </c>
      <c r="AE215" s="47">
        <f>IFERROR((AE214-AD214)/AD214,0)</f>
        <v>0</v>
      </c>
      <c r="AF215" s="6">
        <f>IFERROR((AF214-AE214)/AE214,0)</f>
        <v>0</v>
      </c>
      <c r="AG215" s="3" t="n"/>
      <c r="AH215" s="6">
        <f>IFERROR((AH214-AG214)/AG214,0)</f>
        <v>0</v>
      </c>
      <c r="AI215" s="6">
        <f>IFERROR((AI214-AH214)/AH214,0)</f>
        <v>0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31094</v>
      </c>
      <c r="E217" s="25">
        <f>INDEX('Inputs (2)'!$D$35:$AL$35,MATCH(E$7,'Inputs (2)'!$D$2:$AL$2,0))</f>
        <v>37729</v>
      </c>
      <c r="F217" s="25">
        <f>INDEX('Inputs (2)'!$D$35:$AL$35,MATCH(F$7,'Inputs (2)'!$D$2:$AL$2,0))</f>
        <v>39502</v>
      </c>
      <c r="G217" s="25">
        <f>INDEX('Inputs (2)'!$D$35:$AL$35,MATCH(G$7,'Inputs (2)'!$D$2:$AL$2,0))</f>
        <v>40125</v>
      </c>
      <c r="H217" s="3">
        <f>G217</f>
        <v>40125</v>
      </c>
      <c r="I217" s="25">
        <f>INDEX('Inputs (2)'!$D$35:$AL$35,MATCH(I$7,'Inputs (2)'!$D$2:$AL$2,0))</f>
        <v>40170</v>
      </c>
      <c r="J217" s="25">
        <f>INDEX('Inputs (2)'!$D$35:$AL$35,MATCH(J$7,'Inputs (2)'!$D$2:$AL$2,0))</f>
        <v>39804</v>
      </c>
      <c r="K217" s="25">
        <f>INDEX('Inputs (2)'!$D$35:$AL$35,MATCH(K$7,'Inputs (2)'!$D$2:$AL$2,0))</f>
        <v>39394</v>
      </c>
      <c r="L217" s="25">
        <f>INDEX('Inputs (2)'!$D$35:$AL$35,MATCH(L$7,'Inputs (2)'!$D$2:$AL$2,0))</f>
        <v>38116</v>
      </c>
      <c r="M217" s="3">
        <f>L217</f>
        <v>38116</v>
      </c>
      <c r="N217" s="25">
        <f>INDEX('Inputs (2)'!$D$35:$AL$35,MATCH(N$7,'Inputs (2)'!$D$2:$AL$2,0))</f>
        <v>37052</v>
      </c>
      <c r="O217" s="25">
        <f>INDEX('Inputs (2)'!$D$35:$AL$35,MATCH(O$7,'Inputs (2)'!$D$2:$AL$2,0))</f>
        <v>36755</v>
      </c>
      <c r="P217" s="25">
        <f>INDEX('Inputs (2)'!$D$35:$AL$35,MATCH(P$7,'Inputs (2)'!$D$2:$AL$2,0))</f>
        <v>35462</v>
      </c>
      <c r="Q217" s="25">
        <f>INDEX('Inputs (2)'!$D$35:$AL$35,MATCH(Q$7,'Inputs (2)'!$D$2:$AL$2,0))</f>
        <v>36377</v>
      </c>
      <c r="R217" s="3">
        <f>Q217</f>
        <v>36377</v>
      </c>
      <c r="S217" s="25">
        <f>INDEX('Inputs (2)'!$D$35:$AL$35,MATCH(S$7,'Inputs (2)'!$D$2:$AL$2,0))</f>
        <v>36134</v>
      </c>
      <c r="T217" s="25">
        <f>INDEX('Inputs (2)'!$D$35:$AL$35,MATCH(T$7,'Inputs (2)'!$D$2:$AL$2,0))</f>
        <v>35626</v>
      </c>
      <c r="U217" s="25">
        <f>INDEX('Inputs (2)'!$D$35:$AL$35,MATCH(U$7,'Inputs (2)'!$D$2:$AL$2,0))</f>
        <v>34176</v>
      </c>
      <c r="V217" s="25">
        <f>INDEX('Inputs (2)'!$D$35:$AL$35,MATCH(V$7,'Inputs (2)'!$D$2:$AL$2,0))</f>
        <v>35547</v>
      </c>
      <c r="W217" s="3">
        <f>V217</f>
        <v>35547</v>
      </c>
      <c r="X217" s="25">
        <f>INDEX('Inputs (2)'!$D$35:$AL$35,MATCH(X$7,'Inputs (2)'!$D$2:$AL$2,0))</f>
        <v>35104</v>
      </c>
      <c r="Y217" s="25">
        <f>INDEX('Inputs (2)'!$D$35:$AL$35,MATCH(Y$7,'Inputs (2)'!$D$2:$AL$2,0))</f>
        <v>38085</v>
      </c>
      <c r="Z217" s="25">
        <f>INDEX('Inputs (2)'!$D$35:$AL$35,MATCH(Z$7,'Inputs (2)'!$D$2:$AL$2,0))</f>
        <v>42994</v>
      </c>
      <c r="AA217" s="25">
        <f>INDEX('Inputs (2)'!$D$35:$AL$35,MATCH(AA$7,'Inputs (2)'!$D$2:$AL$2,0))</f>
        <v>42375</v>
      </c>
      <c r="AB217" s="3">
        <f>AA217</f>
        <v>42375</v>
      </c>
      <c r="AC217" s="25">
        <f>INDEX('Inputs (2)'!$D$35:$AL$35,MATCH(AC$7,'Inputs (2)'!$D$2:$AL$2,0))</f>
        <v>43530</v>
      </c>
      <c r="AD217" s="25">
        <f>INDEX('Inputs (2)'!$D$35:$AL$35,MATCH(AD$7,'Inputs (2)'!$D$2:$AL$2,0))</f>
        <v>44976</v>
      </c>
      <c r="AE217" s="25">
        <f>INDEX('Inputs (2)'!$D$35:$AL$35,MATCH(AE$7,'Inputs (2)'!$D$2:$AL$2,0))</f>
        <v>43177</v>
      </c>
      <c r="AF217" s="25">
        <f>INDEX('Inputs (2)'!$D$35:$AL$35,MATCH(AF$7,'Inputs (2)'!$D$2:$AL$2,0))</f>
        <v>42119</v>
      </c>
      <c r="AG217" s="3">
        <f>AF217</f>
        <v>42119</v>
      </c>
      <c r="AH217" s="3">
        <f>INDEX('Inputs (2)'!$D$35:$AL$35,MATCH(AH$7,'Inputs (2)'!$D$2:$AL$2,0))</f>
        <v>39065</v>
      </c>
      <c r="AI217" s="3">
        <f>INDEX('Inputs (2)'!$D$35:$AL$35,MATCH(AI$7,'Inputs (2)'!$D$2:$AL$2,0))</f>
        <v>37001</v>
      </c>
      <c r="AJ217" s="3">
        <f>AJ223</f>
        <v>37001</v>
      </c>
      <c r="AK217" s="3">
        <f>AK223</f>
        <v>37001</v>
      </c>
      <c r="AL217" s="3">
        <f>AK217</f>
        <v>37001</v>
      </c>
      <c r="AM217" s="3">
        <f>AM223</f>
        <v>37001</v>
      </c>
      <c r="AN217" s="3">
        <f>AN223</f>
        <v>37001</v>
      </c>
      <c r="AO217" s="3">
        <f>AO223</f>
        <v>37001</v>
      </c>
      <c r="AP217" s="3">
        <f>AP223</f>
        <v>37001</v>
      </c>
      <c r="AQ217" s="3">
        <f>AP217</f>
        <v>37001</v>
      </c>
      <c r="AR217" s="3">
        <f>AR223</f>
        <v>37001</v>
      </c>
      <c r="AS217" s="3">
        <f>AS223</f>
        <v>37001</v>
      </c>
      <c r="AT217" s="3">
        <f>AT223</f>
        <v>37001</v>
      </c>
      <c r="AU217" s="3">
        <f>AU223</f>
        <v>37001</v>
      </c>
      <c r="AV217" s="3">
        <f>AU217</f>
        <v>37001</v>
      </c>
      <c r="AW217" s="3">
        <f>AW223</f>
        <v>37001</v>
      </c>
      <c r="AX217" s="3">
        <f>AX223</f>
        <v>37001</v>
      </c>
      <c r="AY217" s="3">
        <f>AY223</f>
        <v>37001</v>
      </c>
      <c r="AZ217" s="3">
        <f>AZ223</f>
        <v>37001</v>
      </c>
      <c r="BA217" s="3">
        <f>AZ217</f>
        <v>37001</v>
      </c>
      <c r="BB217" s="3">
        <f>BB223</f>
        <v>37001</v>
      </c>
      <c r="BC217" s="3">
        <f>BC223</f>
        <v>37001</v>
      </c>
      <c r="BD217" s="3">
        <f>BD223</f>
        <v>37001</v>
      </c>
      <c r="BE217" s="3">
        <f>BE223</f>
        <v>37001</v>
      </c>
      <c r="BF217" s="3">
        <f>BE217</f>
        <v>37001</v>
      </c>
      <c r="BG217" s="3">
        <f>BG223</f>
        <v>37001</v>
      </c>
      <c r="BH217" s="3">
        <f>BH223</f>
        <v>37001</v>
      </c>
      <c r="BI217" s="3">
        <f>BI223</f>
        <v>37001</v>
      </c>
      <c r="BJ217" s="3">
        <f>BJ223</f>
        <v>37001</v>
      </c>
      <c r="BK217" s="3">
        <f>BJ217</f>
        <v>37001</v>
      </c>
      <c r="BL217" s="3">
        <f>BL223</f>
        <v>37001</v>
      </c>
      <c r="BM217" s="3">
        <f>BM223</f>
        <v>37001</v>
      </c>
      <c r="BN217" s="3">
        <f>BN223</f>
        <v>37001</v>
      </c>
      <c r="BO217" s="3">
        <f>BO223</f>
        <v>37001</v>
      </c>
      <c r="BP217" s="3">
        <f>BO217</f>
        <v>37001</v>
      </c>
      <c r="BQ217" s="3">
        <f>BQ223</f>
        <v>37001</v>
      </c>
      <c r="BR217" s="3">
        <f>BR223</f>
        <v>37001</v>
      </c>
      <c r="BS217" s="3">
        <f>BS223</f>
        <v>37001</v>
      </c>
      <c r="BT217" s="3">
        <f>BT223</f>
        <v>37001</v>
      </c>
      <c r="BU217" s="3">
        <f>BT217</f>
        <v>37001</v>
      </c>
      <c r="BV217" s="3">
        <f>BV223</f>
        <v>37001</v>
      </c>
      <c r="BW217" s="3">
        <f>BW223</f>
        <v>37001</v>
      </c>
      <c r="BX217" s="3">
        <f>BX223</f>
        <v>37001</v>
      </c>
      <c r="BY217" s="3">
        <f>BY223</f>
        <v>37001</v>
      </c>
      <c r="BZ217" s="3">
        <f>BY217</f>
        <v>37001</v>
      </c>
      <c r="CA217" s="3">
        <f>CA223</f>
        <v>37001</v>
      </c>
      <c r="CB217" s="3">
        <f>CB223</f>
        <v>37001</v>
      </c>
      <c r="CC217" s="3">
        <f>CC223</f>
        <v>37001</v>
      </c>
      <c r="CD217" s="3">
        <f>CD223</f>
        <v>37001</v>
      </c>
      <c r="CE217" s="3">
        <f>CD217</f>
        <v>37001</v>
      </c>
      <c r="CF217" s="3">
        <f>CF223</f>
        <v>37001</v>
      </c>
      <c r="CG217" s="3">
        <f>CG223</f>
        <v>37001</v>
      </c>
      <c r="CH217" s="3">
        <f>CH223</f>
        <v>37001</v>
      </c>
      <c r="CI217" s="3">
        <f>CI223</f>
        <v>37001</v>
      </c>
      <c r="CJ217" s="3">
        <f>CI217</f>
        <v>37001</v>
      </c>
      <c r="CK217" s="3">
        <f>CK223</f>
        <v>37001</v>
      </c>
      <c r="CL217" s="3">
        <f>CL223</f>
        <v>37001</v>
      </c>
      <c r="CM217" s="3">
        <f>CM223</f>
        <v>37001</v>
      </c>
      <c r="CN217" s="3">
        <f>CN223</f>
        <v>37001</v>
      </c>
      <c r="CO217" s="3">
        <f>CN217</f>
        <v>37001</v>
      </c>
      <c r="CP217" s="3">
        <f>CP223</f>
        <v>37001</v>
      </c>
      <c r="CQ217" s="3">
        <f>CQ223</f>
        <v>37001</v>
      </c>
      <c r="CR217" s="3">
        <f>CR223</f>
        <v>37001</v>
      </c>
      <c r="CS217" s="3">
        <f>CS223</f>
        <v>37001</v>
      </c>
      <c r="CT217" s="3">
        <f>CS217</f>
        <v>37001</v>
      </c>
      <c r="CU217" s="3">
        <f>CU223</f>
        <v>37001</v>
      </c>
      <c r="CV217" s="3">
        <f>CV223</f>
        <v>37001</v>
      </c>
      <c r="CW217" s="3">
        <f>CW223</f>
        <v>37001</v>
      </c>
      <c r="CX217" s="3">
        <f>CX223</f>
        <v>37001</v>
      </c>
      <c r="CY217" s="3">
        <f>CX217</f>
        <v>37001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1822</v>
      </c>
      <c r="AI219" s="35" t="n"/>
      <c r="AJ219" s="35" t="n"/>
      <c r="AK219" s="35" t="n"/>
      <c r="AL219" s="3" t="n"/>
      <c r="AM219" s="3">
        <f>AK212</f>
        <v>6494</v>
      </c>
      <c r="AN219" s="35" t="n"/>
      <c r="AO219" s="35" t="n"/>
      <c r="AP219" s="35" t="n"/>
      <c r="AQ219" s="3" t="n"/>
      <c r="AR219" s="3">
        <f>AP212</f>
        <v>6494</v>
      </c>
      <c r="AS219" s="35" t="n"/>
      <c r="AT219" s="35" t="n"/>
      <c r="AU219" s="35" t="n"/>
      <c r="AV219" s="3" t="n"/>
      <c r="AW219" s="3">
        <f>AU212</f>
        <v>6494</v>
      </c>
      <c r="AX219" s="35" t="n"/>
      <c r="AY219" s="35" t="n"/>
      <c r="AZ219" s="35" t="n"/>
      <c r="BA219" s="3" t="n"/>
      <c r="BB219" s="3">
        <f>AZ212</f>
        <v>6494</v>
      </c>
      <c r="BC219" s="35" t="n"/>
      <c r="BD219" s="35" t="n"/>
      <c r="BE219" s="35" t="n"/>
      <c r="BF219" s="3" t="n"/>
      <c r="BG219" s="3">
        <f>BE212</f>
        <v>6494</v>
      </c>
      <c r="BH219" s="35" t="n"/>
      <c r="BI219" s="35" t="n"/>
      <c r="BJ219" s="35" t="n"/>
      <c r="BK219" s="3" t="n"/>
      <c r="BL219" s="3">
        <f>BJ212</f>
        <v>6494</v>
      </c>
      <c r="BM219" s="35" t="n"/>
      <c r="BN219" s="35" t="n"/>
      <c r="BO219" s="35" t="n"/>
      <c r="BP219" s="3" t="n"/>
      <c r="BQ219" s="3">
        <f>BO212</f>
        <v>6494</v>
      </c>
      <c r="BR219" s="35" t="n"/>
      <c r="BS219" s="35" t="n"/>
      <c r="BT219" s="35" t="n"/>
      <c r="BU219" s="3" t="n"/>
      <c r="BV219" s="3">
        <f>BT212</f>
        <v>6494</v>
      </c>
      <c r="BW219" s="35" t="n"/>
      <c r="BX219" s="35" t="n"/>
      <c r="BY219" s="35" t="n"/>
      <c r="BZ219" s="3" t="n"/>
      <c r="CA219" s="3">
        <f>BY212</f>
        <v>6494</v>
      </c>
      <c r="CB219" s="35" t="n"/>
      <c r="CC219" s="35" t="n"/>
      <c r="CD219" s="35" t="n"/>
      <c r="CE219" s="3" t="n"/>
      <c r="CF219" s="3">
        <f>CD212</f>
        <v>6494</v>
      </c>
      <c r="CG219" s="35" t="n"/>
      <c r="CH219" s="35" t="n"/>
      <c r="CI219" s="35" t="n"/>
      <c r="CJ219" s="3" t="n"/>
      <c r="CK219" s="3">
        <f>CI212</f>
        <v>6494</v>
      </c>
      <c r="CL219" s="35" t="n"/>
      <c r="CM219" s="35" t="n"/>
      <c r="CN219" s="35" t="n"/>
      <c r="CO219" s="3" t="n"/>
      <c r="CP219" s="3">
        <f>CN212</f>
        <v>6494</v>
      </c>
      <c r="CQ219" s="35" t="n"/>
      <c r="CR219" s="35" t="n"/>
      <c r="CS219" s="35" t="n"/>
      <c r="CT219" s="3" t="n"/>
      <c r="CU219" s="3">
        <f>CS212</f>
        <v>6494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42119</v>
      </c>
      <c r="AI223" s="3">
        <f>AH223+SUM(AI221:AI222)</f>
        <v>42119</v>
      </c>
      <c r="AJ223" s="3">
        <f>AI217+SUM(AJ221:AJ222)</f>
        <v>37001</v>
      </c>
      <c r="AK223" s="3">
        <f>AJ223+SUM(AK221:AK222)</f>
        <v>37001</v>
      </c>
      <c r="AL223" s="3" t="n"/>
      <c r="AM223" s="3">
        <f>AK223+SUM(AM221:AM222)</f>
        <v>37001</v>
      </c>
      <c r="AN223" s="3">
        <f>AM223+SUM(AN221:AN222)</f>
        <v>37001</v>
      </c>
      <c r="AO223" s="3">
        <f>AN223+SUM(AO221:AO222)</f>
        <v>37001</v>
      </c>
      <c r="AP223" s="3">
        <f>AO223+SUM(AP221:AP222)</f>
        <v>37001</v>
      </c>
      <c r="AQ223" s="3" t="n"/>
      <c r="AR223" s="3">
        <f>AP223+SUM(AR221:AR222)</f>
        <v>37001</v>
      </c>
      <c r="AS223" s="3">
        <f>AR223+SUM(AS221:AS222)</f>
        <v>37001</v>
      </c>
      <c r="AT223" s="3">
        <f>AS223+SUM(AT221:AT222)</f>
        <v>37001</v>
      </c>
      <c r="AU223" s="3">
        <f>AT223+SUM(AU221:AU222)</f>
        <v>37001</v>
      </c>
      <c r="AV223" s="3" t="n"/>
      <c r="AW223" s="3">
        <f>AU223+SUM(AW221:AW222)</f>
        <v>37001</v>
      </c>
      <c r="AX223" s="3">
        <f>AW223+SUM(AX221:AX222)</f>
        <v>37001</v>
      </c>
      <c r="AY223" s="3">
        <f>AX223+SUM(AY221:AY222)</f>
        <v>37001</v>
      </c>
      <c r="AZ223" s="3">
        <f>AY223+SUM(AZ221:AZ222)</f>
        <v>37001</v>
      </c>
      <c r="BA223" s="3" t="n"/>
      <c r="BB223" s="3">
        <f>AZ223+SUM(BB221:BB222)</f>
        <v>37001</v>
      </c>
      <c r="BC223" s="3">
        <f>BB223+SUM(BC221:BC222)</f>
        <v>37001</v>
      </c>
      <c r="BD223" s="3">
        <f>BC223+SUM(BD221:BD222)</f>
        <v>37001</v>
      </c>
      <c r="BE223" s="3">
        <f>BD223+SUM(BE221:BE222)</f>
        <v>37001</v>
      </c>
      <c r="BF223" s="3" t="n"/>
      <c r="BG223" s="3">
        <f>BE223+SUM(BG221:BG222)</f>
        <v>37001</v>
      </c>
      <c r="BH223" s="3">
        <f>BG223+SUM(BH221:BH222)</f>
        <v>37001</v>
      </c>
      <c r="BI223" s="3">
        <f>BH223+SUM(BI221:BI222)</f>
        <v>37001</v>
      </c>
      <c r="BJ223" s="3">
        <f>BI223+SUM(BJ221:BJ222)</f>
        <v>37001</v>
      </c>
      <c r="BK223" s="3" t="n"/>
      <c r="BL223" s="3">
        <f>BJ223+SUM(BL221:BL222)</f>
        <v>37001</v>
      </c>
      <c r="BM223" s="3">
        <f>BL223+SUM(BM221:BM222)</f>
        <v>37001</v>
      </c>
      <c r="BN223" s="3">
        <f>BM223+SUM(BN221:BN222)</f>
        <v>37001</v>
      </c>
      <c r="BO223" s="3">
        <f>BN223+SUM(BO221:BO222)</f>
        <v>37001</v>
      </c>
      <c r="BP223" s="3" t="n"/>
      <c r="BQ223" s="3">
        <f>BO223+SUM(BQ221:BQ222)</f>
        <v>37001</v>
      </c>
      <c r="BR223" s="3">
        <f>BQ223+SUM(BR221:BR222)</f>
        <v>37001</v>
      </c>
      <c r="BS223" s="3">
        <f>BR223+SUM(BS221:BS222)</f>
        <v>37001</v>
      </c>
      <c r="BT223" s="3">
        <f>BS223+SUM(BT221:BT222)</f>
        <v>37001</v>
      </c>
      <c r="BU223" s="3" t="n"/>
      <c r="BV223" s="3">
        <f>BT223+SUM(BV221:BV222)</f>
        <v>37001</v>
      </c>
      <c r="BW223" s="3">
        <f>BV223+SUM(BW221:BW222)</f>
        <v>37001</v>
      </c>
      <c r="BX223" s="3">
        <f>BW223+SUM(BX221:BX222)</f>
        <v>37001</v>
      </c>
      <c r="BY223" s="3">
        <f>BX223+SUM(BY221:BY222)</f>
        <v>37001</v>
      </c>
      <c r="BZ223" s="3" t="n"/>
      <c r="CA223" s="3">
        <f>BY223+SUM(CA221:CA222)</f>
        <v>37001</v>
      </c>
      <c r="CB223" s="3">
        <f>CA223+SUM(CB221:CB222)</f>
        <v>37001</v>
      </c>
      <c r="CC223" s="3">
        <f>CB223+SUM(CC221:CC222)</f>
        <v>37001</v>
      </c>
      <c r="CD223" s="3">
        <f>CC223+SUM(CD221:CD222)</f>
        <v>37001</v>
      </c>
      <c r="CE223" s="3" t="n"/>
      <c r="CF223" s="3">
        <f>CD223+SUM(CF221:CF222)</f>
        <v>37001</v>
      </c>
      <c r="CG223" s="3">
        <f>CF223+SUM(CG221:CG222)</f>
        <v>37001</v>
      </c>
      <c r="CH223" s="3">
        <f>CG223+SUM(CH221:CH222)</f>
        <v>37001</v>
      </c>
      <c r="CI223" s="3">
        <f>CH223+SUM(CI221:CI222)</f>
        <v>37001</v>
      </c>
      <c r="CJ223" s="3" t="n"/>
      <c r="CK223" s="3">
        <f>CI223+SUM(CK221:CK222)</f>
        <v>37001</v>
      </c>
      <c r="CL223" s="3">
        <f>CK223+SUM(CL221:CL222)</f>
        <v>37001</v>
      </c>
      <c r="CM223" s="3">
        <f>CL223+SUM(CM221:CM222)</f>
        <v>37001</v>
      </c>
      <c r="CN223" s="3">
        <f>CM223+SUM(CN221:CN222)</f>
        <v>37001</v>
      </c>
      <c r="CO223" s="3" t="n"/>
      <c r="CP223" s="3">
        <f>CN223+SUM(CP221:CP222)</f>
        <v>37001</v>
      </c>
      <c r="CQ223" s="3">
        <f>CP223+SUM(CQ221:CQ222)</f>
        <v>37001</v>
      </c>
      <c r="CR223" s="3">
        <f>CQ223+SUM(CR221:CR222)</f>
        <v>37001</v>
      </c>
      <c r="CS223" s="3">
        <f>CR223+SUM(CS221:CS222)</f>
        <v>37001</v>
      </c>
      <c r="CT223" s="3" t="n"/>
      <c r="CU223" s="3">
        <f>CS223+SUM(CU221:CU222)</f>
        <v>37001</v>
      </c>
      <c r="CV223" s="3">
        <f>CU223+SUM(CV221:CV222)</f>
        <v>37001</v>
      </c>
      <c r="CW223" s="3">
        <f>CV223+SUM(CW221:CW222)</f>
        <v>37001</v>
      </c>
      <c r="CX223" s="3">
        <f>CW223+SUM(CX221:CX222)</f>
        <v>37001</v>
      </c>
      <c r="CY223" s="3" t="n"/>
      <c r="CZ223">
        <f>CX223+SUM(CZ221:CZ222)</f>
        <v>37001</v>
      </c>
      <c r="DA223">
        <f>CZ223+SUM(DA221:DA222)</f>
        <v>37001</v>
      </c>
      <c r="DB223">
        <f>DA223+SUM(DB221:DB222)</f>
        <v>37001</v>
      </c>
      <c r="DC223">
        <f>DB223+SUM(DC221:DC222)</f>
        <v>37001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10270</v>
      </c>
      <c r="AI229" s="3" t="n"/>
      <c r="AJ229" s="3" t="n"/>
      <c r="AK229" s="3" t="n"/>
      <c r="AL229" s="3" t="n"/>
      <c r="AM229" s="36">
        <f>AL144</f>
        <v>19369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687</v>
      </c>
      <c r="AI230" s="37">
        <f>SUM(AI293,AI300)+SUM(AI302:AI308)</f>
        <v>2396</v>
      </c>
      <c r="AJ230" s="37">
        <f>SUM(AJ293,AJ300)+SUM(AJ302:AJ308)</f>
        <v>5290</v>
      </c>
      <c r="AK230" s="37">
        <f>SUM(AK293,AK300)+SUM(AK302:AK308)</f>
        <v>1172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10957</v>
      </c>
      <c r="AI232" s="1">
        <f>AI229+AI230-AI231-AG219+AI221+AI225</f>
        <v>2396</v>
      </c>
      <c r="AJ232" s="1">
        <f>AJ229+AJ230-AJ231-AH219+AJ221+AJ225</f>
        <v>3468</v>
      </c>
      <c r="AK232" s="1">
        <f>AK229+AK230-AK231-AI219+AK221+AK225</f>
        <v>1172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0</v>
      </c>
      <c r="E235" s="25">
        <f>INDEX('Inputs (2)'!$D$36:$AL$36,MATCH(E$7,'Inputs (2)'!$D$2:$AL$2,0))</f>
        <v>0</v>
      </c>
      <c r="F235" s="25">
        <f>INDEX('Inputs (2)'!$D$36:$AL$36,MATCH(F$7,'Inputs (2)'!$D$2:$AL$2,0))</f>
        <v>0</v>
      </c>
      <c r="G235" s="25">
        <f>INDEX('Inputs (2)'!$D$36:$AL$36,MATCH(G$7,'Inputs (2)'!$D$2:$AL$2,0))</f>
        <v>0</v>
      </c>
      <c r="H235" s="3">
        <f>G235</f>
        <v>0</v>
      </c>
      <c r="I235" s="25">
        <f>INDEX('Inputs (2)'!$D$36:$AL$36,MATCH(I$7,'Inputs (2)'!$D$2:$AL$2,0))</f>
        <v>0</v>
      </c>
      <c r="J235" s="25">
        <f>INDEX('Inputs (2)'!$D$36:$AL$36,MATCH(J$7,'Inputs (2)'!$D$2:$AL$2,0))</f>
        <v>0</v>
      </c>
      <c r="K235" s="25">
        <f>INDEX('Inputs (2)'!$D$36:$AL$36,MATCH(K$7,'Inputs (2)'!$D$2:$AL$2,0))</f>
        <v>0</v>
      </c>
      <c r="L235" s="25">
        <f>INDEX('Inputs (2)'!$D$36:$AL$36,MATCH(L$7,'Inputs (2)'!$D$2:$AL$2,0))</f>
        <v>0</v>
      </c>
      <c r="M235" s="3">
        <f>L235</f>
        <v>0</v>
      </c>
      <c r="N235" s="25">
        <f>INDEX('Inputs (2)'!$D$36:$AL$36,MATCH(N$7,'Inputs (2)'!$D$2:$AL$2,0))</f>
        <v>0</v>
      </c>
      <c r="O235" s="25">
        <f>INDEX('Inputs (2)'!$D$36:$AL$36,MATCH(O$7,'Inputs (2)'!$D$2:$AL$2,0))</f>
        <v>0</v>
      </c>
      <c r="P235" s="25">
        <f>INDEX('Inputs (2)'!$D$36:$AL$36,MATCH(P$7,'Inputs (2)'!$D$2:$AL$2,0))</f>
        <v>0</v>
      </c>
      <c r="Q235" s="25">
        <f>INDEX('Inputs (2)'!$D$36:$AL$36,MATCH(Q$7,'Inputs (2)'!$D$2:$AL$2,0))</f>
        <v>0</v>
      </c>
      <c r="R235" s="3">
        <f>Q235</f>
        <v>0</v>
      </c>
      <c r="S235" s="25">
        <f>INDEX('Inputs (2)'!$D$36:$AL$36,MATCH(S$7,'Inputs (2)'!$D$2:$AL$2,0))</f>
        <v>0</v>
      </c>
      <c r="T235" s="25">
        <f>INDEX('Inputs (2)'!$D$36:$AL$36,MATCH(T$7,'Inputs (2)'!$D$2:$AL$2,0))</f>
        <v>0</v>
      </c>
      <c r="U235" s="25">
        <f>INDEX('Inputs (2)'!$D$36:$AL$36,MATCH(U$7,'Inputs (2)'!$D$2:$AL$2,0))</f>
        <v>0</v>
      </c>
      <c r="V235" s="25">
        <f>INDEX('Inputs (2)'!$D$36:$AL$36,MATCH(V$7,'Inputs (2)'!$D$2:$AL$2,0))</f>
        <v>0</v>
      </c>
      <c r="W235" s="3">
        <f>V235</f>
        <v>0</v>
      </c>
      <c r="X235" s="25">
        <f>INDEX('Inputs (2)'!$D$36:$AL$36,MATCH(X$7,'Inputs (2)'!$D$2:$AL$2,0))</f>
        <v>0</v>
      </c>
      <c r="Y235" s="25">
        <f>INDEX('Inputs (2)'!$D$36:$AL$36,MATCH(Y$7,'Inputs (2)'!$D$2:$AL$2,0))</f>
        <v>0</v>
      </c>
      <c r="Z235" s="25">
        <f>INDEX('Inputs (2)'!$D$36:$AL$36,MATCH(Z$7,'Inputs (2)'!$D$2:$AL$2,0))</f>
        <v>0</v>
      </c>
      <c r="AA235" s="25">
        <f>INDEX('Inputs (2)'!$D$36:$AL$36,MATCH(AA$7,'Inputs (2)'!$D$2:$AL$2,0))</f>
        <v>0</v>
      </c>
      <c r="AB235" s="3">
        <f>AA235</f>
        <v>0</v>
      </c>
      <c r="AC235" s="25">
        <f>INDEX('Inputs (2)'!$D$36:$AL$36,MATCH(AC$7,'Inputs (2)'!$D$2:$AL$2,0))</f>
        <v>0</v>
      </c>
      <c r="AD235" s="25">
        <f>INDEX('Inputs (2)'!$D$36:$AL$36,MATCH(AD$7,'Inputs (2)'!$D$2:$AL$2,0))</f>
        <v>0</v>
      </c>
      <c r="AE235" s="25">
        <f>INDEX('Inputs (2)'!$D$36:$AL$36,MATCH(AE$7,'Inputs (2)'!$D$2:$AL$2,0))</f>
        <v>0</v>
      </c>
      <c r="AF235" s="25">
        <f>INDEX('Inputs (2)'!$D$36:$AL$36,MATCH(AF$7,'Inputs (2)'!$D$2:$AL$2,0))</f>
        <v>0</v>
      </c>
      <c r="AG235" s="3">
        <f>AF235</f>
        <v>0</v>
      </c>
      <c r="AH235" s="3">
        <f>INDEX('Inputs (2)'!$D$36:$AL$36,MATCH(AH$7,'Inputs (2)'!$D$2:$AL$2,0))</f>
        <v>0</v>
      </c>
      <c r="AI235" s="3">
        <f>INDEX('Inputs (2)'!$D$36:$AL$36,MATCH(AI$7,'Inputs (2)'!$D$2:$AL$2,0))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0</v>
      </c>
      <c r="F236" s="47">
        <f>IFERROR((F235-E235)/E235,0)</f>
        <v>0</v>
      </c>
      <c r="G236" s="47">
        <f>IFERROR((G235-F235)/F235,0)</f>
        <v>0</v>
      </c>
      <c r="H236" s="3" t="n"/>
      <c r="I236" s="47">
        <f>IFERROR((I235-H235)/H235,0)</f>
        <v>0</v>
      </c>
      <c r="J236" s="47">
        <f>IFERROR((J235-I235)/I235,0)</f>
        <v>0</v>
      </c>
      <c r="K236" s="47">
        <f>IFERROR((K235-J235)/J235,0)</f>
        <v>0</v>
      </c>
      <c r="L236" s="47">
        <f>IFERROR((L235-K235)/K235,0)</f>
        <v>0</v>
      </c>
      <c r="M236" s="3" t="n"/>
      <c r="N236" s="47">
        <f>IFERROR((N235-M235)/M235,0)</f>
        <v>0</v>
      </c>
      <c r="O236" s="47">
        <f>IFERROR((O235-N235)/N235,0)</f>
        <v>0</v>
      </c>
      <c r="P236" s="47">
        <f>IFERROR((P235-O235)/O235,0)</f>
        <v>0</v>
      </c>
      <c r="Q236" s="47">
        <f>IFERROR((Q235-P235)/P235,0)</f>
        <v>0</v>
      </c>
      <c r="R236" s="3" t="n"/>
      <c r="S236" s="47">
        <f>IFERROR((S235-R235)/R235,0)</f>
        <v>0</v>
      </c>
      <c r="T236" s="47">
        <f>IFERROR((T235-S235)/S235,0)</f>
        <v>0</v>
      </c>
      <c r="U236" s="47">
        <f>IFERROR((U235-T235)/T235,0)</f>
        <v>0</v>
      </c>
      <c r="V236" s="47">
        <f>IFERROR((V235-U235)/U235,0)</f>
        <v>0</v>
      </c>
      <c r="W236" s="3" t="n"/>
      <c r="X236" s="47">
        <f>IFERROR((X235-W235)/W235,0)</f>
        <v>0</v>
      </c>
      <c r="Y236" s="47">
        <f>IFERROR((Y235-X235)/X235,0)</f>
        <v>0</v>
      </c>
      <c r="Z236" s="47">
        <f>IFERROR((Z235-Y235)/Y235,0)</f>
        <v>0</v>
      </c>
      <c r="AA236" s="47">
        <f>IFERROR((AA235-Z235)/Z235,0)</f>
        <v>0</v>
      </c>
      <c r="AB236" s="3" t="n"/>
      <c r="AC236" s="47">
        <f>IFERROR((AC235-AB235)/AB235,0)</f>
        <v>0</v>
      </c>
      <c r="AD236" s="47">
        <f>IFERROR((AD235-AC235)/AC235,0)</f>
        <v>0</v>
      </c>
      <c r="AE236" s="47">
        <f>IFERROR((AE235-AD235)/AD235,0)</f>
        <v>0</v>
      </c>
      <c r="AF236" s="230">
        <f>IFERROR((AF235-AE235)/AE235,0)</f>
        <v>0</v>
      </c>
      <c r="AG236" s="3" t="n"/>
      <c r="AH236" s="6">
        <f>IFERROR((AH235-AG235)/AG235,0)</f>
        <v>0</v>
      </c>
      <c r="AI236" s="6">
        <f>IFERROR((AI235-AH235)/AH235,0)</f>
        <v>0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>
        <f>INDEX('Inputs (2)'!$D$37:$AL$37,MATCH(D$7,'Inputs (2)'!$D$2:$AL$2,0))</f>
        <v>0</v>
      </c>
      <c r="E238" s="25">
        <f>INDEX('Inputs (2)'!$D$37:$AL$37,MATCH(E$7,'Inputs (2)'!$D$2:$AL$2,0))</f>
        <v>0</v>
      </c>
      <c r="F238" s="25">
        <f>INDEX('Inputs (2)'!$D$37:$AL$37,MATCH(F$7,'Inputs (2)'!$D$2:$AL$2,0))</f>
        <v>0</v>
      </c>
      <c r="G238" s="25">
        <f>INDEX('Inputs (2)'!$D$37:$AL$37,MATCH(G$7,'Inputs (2)'!$D$2:$AL$2,0))</f>
        <v>0</v>
      </c>
      <c r="H238" s="3">
        <f>G238</f>
        <v>0</v>
      </c>
      <c r="I238" s="25">
        <f>INDEX('Inputs (2)'!$D$37:$AL$37,MATCH(I$7,'Inputs (2)'!$D$2:$AL$2,0))</f>
        <v>0</v>
      </c>
      <c r="J238" s="25">
        <f>INDEX('Inputs (2)'!$D$37:$AL$37,MATCH(J$7,'Inputs (2)'!$D$2:$AL$2,0))</f>
        <v>0</v>
      </c>
      <c r="K238" s="25">
        <f>INDEX('Inputs (2)'!$D$37:$AL$37,MATCH(K$7,'Inputs (2)'!$D$2:$AL$2,0))</f>
        <v>0</v>
      </c>
      <c r="L238" s="25">
        <f>INDEX('Inputs (2)'!$D$37:$AL$37,MATCH(L$7,'Inputs (2)'!$D$2:$AL$2,0))</f>
        <v>0</v>
      </c>
      <c r="M238" s="3">
        <f>L238</f>
        <v>0</v>
      </c>
      <c r="N238" s="25">
        <f>INDEX('Inputs (2)'!$D$37:$AL$37,MATCH(N$7,'Inputs (2)'!$D$2:$AL$2,0))</f>
        <v>0</v>
      </c>
      <c r="O238" s="25">
        <f>INDEX('Inputs (2)'!$D$37:$AL$37,MATCH(O$7,'Inputs (2)'!$D$2:$AL$2,0))</f>
        <v>0</v>
      </c>
      <c r="P238" s="25">
        <f>INDEX('Inputs (2)'!$D$37:$AL$37,MATCH(P$7,'Inputs (2)'!$D$2:$AL$2,0))</f>
        <v>0</v>
      </c>
      <c r="Q238" s="25">
        <f>INDEX('Inputs (2)'!$D$37:$AL$37,MATCH(Q$7,'Inputs (2)'!$D$2:$AL$2,0))</f>
        <v>0</v>
      </c>
      <c r="R238" s="3">
        <f>Q238</f>
        <v>0</v>
      </c>
      <c r="S238" s="25">
        <f>INDEX('Inputs (2)'!$D$37:$AL$37,MATCH(S$7,'Inputs (2)'!$D$2:$AL$2,0))</f>
        <v>0</v>
      </c>
      <c r="T238" s="25">
        <f>INDEX('Inputs (2)'!$D$37:$AL$37,MATCH(T$7,'Inputs (2)'!$D$2:$AL$2,0))</f>
        <v>0</v>
      </c>
      <c r="U238" s="25">
        <f>INDEX('Inputs (2)'!$D$37:$AL$37,MATCH(U$7,'Inputs (2)'!$D$2:$AL$2,0))</f>
        <v>0</v>
      </c>
      <c r="V238" s="25">
        <f>INDEX('Inputs (2)'!$D$37:$AL$37,MATCH(V$7,'Inputs (2)'!$D$2:$AL$2,0))</f>
        <v>0</v>
      </c>
      <c r="W238" s="3">
        <f>V238</f>
        <v>0</v>
      </c>
      <c r="X238" s="25">
        <f>INDEX('Inputs (2)'!$D$37:$AL$37,MATCH(X$7,'Inputs (2)'!$D$2:$AL$2,0))</f>
        <v>0</v>
      </c>
      <c r="Y238" s="25">
        <f>INDEX('Inputs (2)'!$D$37:$AL$37,MATCH(Y$7,'Inputs (2)'!$D$2:$AL$2,0))</f>
        <v>0</v>
      </c>
      <c r="Z238" s="25">
        <f>INDEX('Inputs (2)'!$D$37:$AL$37,MATCH(Z$7,'Inputs (2)'!$D$2:$AL$2,0))</f>
        <v>0</v>
      </c>
      <c r="AA238" s="25">
        <f>INDEX('Inputs (2)'!$D$37:$AL$37,MATCH(AA$7,'Inputs (2)'!$D$2:$AL$2,0))</f>
        <v>0</v>
      </c>
      <c r="AB238" s="3">
        <f>AA238</f>
        <v>0</v>
      </c>
      <c r="AC238" s="25">
        <f>INDEX('Inputs (2)'!$D$37:$AL$37,MATCH(AC$7,'Inputs (2)'!$D$2:$AL$2,0))</f>
        <v>0</v>
      </c>
      <c r="AD238" s="25">
        <f>INDEX('Inputs (2)'!$D$37:$AL$37,MATCH(AD$7,'Inputs (2)'!$D$2:$AL$2,0))</f>
        <v>0</v>
      </c>
      <c r="AE238" s="25">
        <f>INDEX('Inputs (2)'!$D$37:$AL$37,MATCH(AE$7,'Inputs (2)'!$D$2:$AL$2,0))</f>
        <v>0</v>
      </c>
      <c r="AF238" s="25">
        <f>INDEX('Inputs (2)'!$D$37:$AL$37,MATCH(AF$7,'Inputs (2)'!$D$2:$AL$2,0))</f>
        <v>0</v>
      </c>
      <c r="AG238" s="3">
        <f>AF238</f>
        <v>0</v>
      </c>
      <c r="AH238" s="3">
        <f>INDEX('Inputs (2)'!$D$37:$AL$37,MATCH(AH$7,'Inputs (2)'!$D$2:$AL$2,0))</f>
        <v>0</v>
      </c>
      <c r="AI238" s="3">
        <f>INDEX('Inputs (2)'!$D$37:$AL$37,MATCH(AI$7,'Inputs (2)'!$D$2:$AL$2,0))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1856</v>
      </c>
      <c r="E239" s="25">
        <f>INDEX('Inputs (2)'!$D$38:$AL$38,MATCH(E$7,'Inputs (2)'!$D$2:$AL$2,0))</f>
        <v>1969</v>
      </c>
      <c r="F239" s="25">
        <f>INDEX('Inputs (2)'!$D$38:$AL$38,MATCH(F$7,'Inputs (2)'!$D$2:$AL$2,0))</f>
        <v>1945</v>
      </c>
      <c r="G239" s="25">
        <f>INDEX('Inputs (2)'!$D$38:$AL$38,MATCH(G$7,'Inputs (2)'!$D$2:$AL$2,0))</f>
        <v>1833</v>
      </c>
      <c r="H239" s="3">
        <f>G239</f>
        <v>1833</v>
      </c>
      <c r="I239" s="25">
        <f>INDEX('Inputs (2)'!$D$38:$AL$38,MATCH(I$7,'Inputs (2)'!$D$2:$AL$2,0))</f>
        <v>2447</v>
      </c>
      <c r="J239" s="25">
        <f>INDEX('Inputs (2)'!$D$38:$AL$38,MATCH(J$7,'Inputs (2)'!$D$2:$AL$2,0))</f>
        <v>2486</v>
      </c>
      <c r="K239" s="25">
        <f>INDEX('Inputs (2)'!$D$38:$AL$38,MATCH(K$7,'Inputs (2)'!$D$2:$AL$2,0))</f>
        <v>2688</v>
      </c>
      <c r="L239" s="25">
        <f>INDEX('Inputs (2)'!$D$38:$AL$38,MATCH(L$7,'Inputs (2)'!$D$2:$AL$2,0))</f>
        <v>2821</v>
      </c>
      <c r="M239" s="3">
        <f>L239</f>
        <v>2821</v>
      </c>
      <c r="N239" s="25">
        <f>INDEX('Inputs (2)'!$D$38:$AL$38,MATCH(N$7,'Inputs (2)'!$D$2:$AL$2,0))</f>
        <v>3132</v>
      </c>
      <c r="O239" s="25">
        <f>INDEX('Inputs (2)'!$D$38:$AL$38,MATCH(O$7,'Inputs (2)'!$D$2:$AL$2,0))</f>
        <v>3034</v>
      </c>
      <c r="P239" s="25">
        <f>INDEX('Inputs (2)'!$D$38:$AL$38,MATCH(P$7,'Inputs (2)'!$D$2:$AL$2,0))</f>
        <v>3124</v>
      </c>
      <c r="Q239" s="25">
        <f>INDEX('Inputs (2)'!$D$38:$AL$38,MATCH(Q$7,'Inputs (2)'!$D$2:$AL$2,0))</f>
        <v>2914</v>
      </c>
      <c r="R239" s="3">
        <f>Q239</f>
        <v>2914</v>
      </c>
      <c r="S239" s="25">
        <f>INDEX('Inputs (2)'!$D$38:$AL$38,MATCH(S$7,'Inputs (2)'!$D$2:$AL$2,0))</f>
        <v>3171</v>
      </c>
      <c r="T239" s="25">
        <f>INDEX('Inputs (2)'!$D$38:$AL$38,MATCH(T$7,'Inputs (2)'!$D$2:$AL$2,0))</f>
        <v>2714</v>
      </c>
      <c r="U239" s="25">
        <f>INDEX('Inputs (2)'!$D$38:$AL$38,MATCH(U$7,'Inputs (2)'!$D$2:$AL$2,0))</f>
        <v>2733</v>
      </c>
      <c r="V239" s="25">
        <f>INDEX('Inputs (2)'!$D$38:$AL$38,MATCH(V$7,'Inputs (2)'!$D$2:$AL$2,0))</f>
        <v>2639</v>
      </c>
      <c r="W239" s="3">
        <f>V239</f>
        <v>2639</v>
      </c>
      <c r="X239" s="25">
        <f>INDEX('Inputs (2)'!$D$38:$AL$38,MATCH(X$7,'Inputs (2)'!$D$2:$AL$2,0))</f>
        <v>2521</v>
      </c>
      <c r="Y239" s="25">
        <f>INDEX('Inputs (2)'!$D$38:$AL$38,MATCH(Y$7,'Inputs (2)'!$D$2:$AL$2,0))</f>
        <v>2366</v>
      </c>
      <c r="Z239" s="25">
        <f>INDEX('Inputs (2)'!$D$38:$AL$38,MATCH(Z$7,'Inputs (2)'!$D$2:$AL$2,0))</f>
        <v>2292</v>
      </c>
      <c r="AA239" s="25">
        <f>INDEX('Inputs (2)'!$D$38:$AL$38,MATCH(AA$7,'Inputs (2)'!$D$2:$AL$2,0))</f>
        <v>2469</v>
      </c>
      <c r="AB239" s="3">
        <f>AA239</f>
        <v>2469</v>
      </c>
      <c r="AC239" s="25">
        <f>INDEX('Inputs (2)'!$D$38:$AL$38,MATCH(AC$7,'Inputs (2)'!$D$2:$AL$2,0))</f>
        <v>2311</v>
      </c>
      <c r="AD239" s="25">
        <f>INDEX('Inputs (2)'!$D$38:$AL$38,MATCH(AD$7,'Inputs (2)'!$D$2:$AL$2,0))</f>
        <v>2375</v>
      </c>
      <c r="AE239" s="25">
        <f>INDEX('Inputs (2)'!$D$38:$AL$38,MATCH(AE$7,'Inputs (2)'!$D$2:$AL$2,0))</f>
        <v>2435</v>
      </c>
      <c r="AF239" s="25">
        <f>INDEX('Inputs (2)'!$D$38:$AL$38,MATCH(AF$7,'Inputs (2)'!$D$2:$AL$2,0))</f>
        <v>2406</v>
      </c>
      <c r="AG239" s="3">
        <f>AF239</f>
        <v>2406</v>
      </c>
      <c r="AH239" s="3">
        <f>INDEX('Inputs (2)'!$D$38:$AL$38,MATCH(AH$7,'Inputs (2)'!$D$2:$AL$2,0))</f>
        <v>2615</v>
      </c>
      <c r="AI239" s="3">
        <f>INDEX('Inputs (2)'!$D$38:$AL$38,MATCH(AI$7,'Inputs (2)'!$D$2:$AL$2,0))</f>
        <v>2779</v>
      </c>
      <c r="AJ239" s="3">
        <f>AI239</f>
        <v>2779</v>
      </c>
      <c r="AK239" s="3">
        <f>AJ239</f>
        <v>2779</v>
      </c>
      <c r="AL239" s="3">
        <f>AK239</f>
        <v>2779</v>
      </c>
      <c r="AM239" s="3">
        <f>AL239</f>
        <v>2779</v>
      </c>
      <c r="AN239" s="3">
        <f>AM239</f>
        <v>2779</v>
      </c>
      <c r="AO239" s="3">
        <f>AN239</f>
        <v>2779</v>
      </c>
      <c r="AP239" s="3">
        <f>AO239</f>
        <v>2779</v>
      </c>
      <c r="AQ239" s="3">
        <f>AP239</f>
        <v>2779</v>
      </c>
      <c r="AR239" s="3">
        <f>AQ239</f>
        <v>2779</v>
      </c>
      <c r="AS239" s="3">
        <f>AR239</f>
        <v>2779</v>
      </c>
      <c r="AT239" s="3">
        <f>AS239</f>
        <v>2779</v>
      </c>
      <c r="AU239" s="3">
        <f>AT239</f>
        <v>2779</v>
      </c>
      <c r="AV239" s="3">
        <f>AU239</f>
        <v>2779</v>
      </c>
      <c r="AW239" s="3">
        <f>AV239</f>
        <v>2779</v>
      </c>
      <c r="AX239" s="3">
        <f>AW239</f>
        <v>2779</v>
      </c>
      <c r="AY239" s="3">
        <f>AX239</f>
        <v>2779</v>
      </c>
      <c r="AZ239" s="3">
        <f>AY239</f>
        <v>2779</v>
      </c>
      <c r="BA239" s="3">
        <f>AZ239</f>
        <v>2779</v>
      </c>
      <c r="BB239" s="3">
        <f>BA239</f>
        <v>2779</v>
      </c>
      <c r="BC239" s="3">
        <f>BB239</f>
        <v>2779</v>
      </c>
      <c r="BD239" s="3">
        <f>BC239</f>
        <v>2779</v>
      </c>
      <c r="BE239" s="3">
        <f>BD239</f>
        <v>2779</v>
      </c>
      <c r="BF239" s="3">
        <f>BE239</f>
        <v>2779</v>
      </c>
      <c r="BG239" s="3">
        <f>BF239</f>
        <v>2779</v>
      </c>
      <c r="BH239" s="3">
        <f>BG239</f>
        <v>2779</v>
      </c>
      <c r="BI239" s="3">
        <f>BH239</f>
        <v>2779</v>
      </c>
      <c r="BJ239" s="3">
        <f>BI239</f>
        <v>2779</v>
      </c>
      <c r="BK239" s="3">
        <f>BJ239</f>
        <v>2779</v>
      </c>
      <c r="BL239" s="3">
        <f>BK239</f>
        <v>2779</v>
      </c>
      <c r="BM239" s="3">
        <f>BL239</f>
        <v>2779</v>
      </c>
      <c r="BN239" s="3">
        <f>BM239</f>
        <v>2779</v>
      </c>
      <c r="BO239" s="3">
        <f>BN239</f>
        <v>2779</v>
      </c>
      <c r="BP239" s="3">
        <f>BO239</f>
        <v>2779</v>
      </c>
      <c r="BQ239" s="3">
        <f>BP239</f>
        <v>2779</v>
      </c>
      <c r="BR239" s="3">
        <f>BQ239</f>
        <v>2779</v>
      </c>
      <c r="BS239" s="3">
        <f>BR239</f>
        <v>2779</v>
      </c>
      <c r="BT239" s="3">
        <f>BS239</f>
        <v>2779</v>
      </c>
      <c r="BU239" s="3">
        <f>BT239</f>
        <v>2779</v>
      </c>
      <c r="BV239" s="3">
        <f>BU239</f>
        <v>2779</v>
      </c>
      <c r="BW239" s="3">
        <f>BV239</f>
        <v>2779</v>
      </c>
      <c r="BX239" s="3">
        <f>BW239</f>
        <v>2779</v>
      </c>
      <c r="BY239" s="3">
        <f>BX239</f>
        <v>2779</v>
      </c>
      <c r="BZ239" s="3">
        <f>BY239</f>
        <v>2779</v>
      </c>
      <c r="CA239" s="3">
        <f>BZ239</f>
        <v>2779</v>
      </c>
      <c r="CB239" s="3">
        <f>CA239</f>
        <v>2779</v>
      </c>
      <c r="CC239" s="3">
        <f>CB239</f>
        <v>2779</v>
      </c>
      <c r="CD239" s="3">
        <f>CC239</f>
        <v>2779</v>
      </c>
      <c r="CE239" s="3">
        <f>CD239</f>
        <v>2779</v>
      </c>
      <c r="CF239" s="3">
        <f>CE239</f>
        <v>2779</v>
      </c>
      <c r="CG239" s="3">
        <f>CF239</f>
        <v>2779</v>
      </c>
      <c r="CH239" s="3">
        <f>CG239</f>
        <v>2779</v>
      </c>
      <c r="CI239" s="3">
        <f>CH239</f>
        <v>2779</v>
      </c>
      <c r="CJ239" s="3">
        <f>CI239</f>
        <v>2779</v>
      </c>
      <c r="CK239" s="3">
        <f>CJ239</f>
        <v>2779</v>
      </c>
      <c r="CL239" s="3">
        <f>CK239</f>
        <v>2779</v>
      </c>
      <c r="CM239" s="3">
        <f>CL239</f>
        <v>2779</v>
      </c>
      <c r="CN239" s="3">
        <f>CM239</f>
        <v>2779</v>
      </c>
      <c r="CO239" s="3">
        <f>CN239</f>
        <v>2779</v>
      </c>
      <c r="CP239" s="3">
        <f>CO239</f>
        <v>2779</v>
      </c>
      <c r="CQ239" s="3">
        <f>CP239</f>
        <v>2779</v>
      </c>
      <c r="CR239" s="3">
        <f>CQ239</f>
        <v>2779</v>
      </c>
      <c r="CS239" s="3">
        <f>CR239</f>
        <v>2779</v>
      </c>
      <c r="CT239" s="3">
        <f>CS239</f>
        <v>2779</v>
      </c>
      <c r="CU239" s="3">
        <f>CT239</f>
        <v>2779</v>
      </c>
      <c r="CV239" s="3">
        <f>CU239</f>
        <v>2779</v>
      </c>
      <c r="CW239" s="3">
        <f>CV239</f>
        <v>2779</v>
      </c>
      <c r="CX239" s="3">
        <f>CW239</f>
        <v>2779</v>
      </c>
      <c r="CY239" s="3">
        <f>CX239</f>
        <v>2779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8832</v>
      </c>
      <c r="E240" s="25">
        <f>INDEX('Inputs (2)'!$D$39:$AL$39,MATCH(E$7,'Inputs (2)'!$D$2:$AL$2,0))</f>
        <v>8954</v>
      </c>
      <c r="F240" s="25">
        <f>INDEX('Inputs (2)'!$D$39:$AL$39,MATCH(F$7,'Inputs (2)'!$D$2:$AL$2,0))</f>
        <v>8530</v>
      </c>
      <c r="G240" s="25">
        <f>INDEX('Inputs (2)'!$D$39:$AL$39,MATCH(G$7,'Inputs (2)'!$D$2:$AL$2,0))</f>
        <v>9453</v>
      </c>
      <c r="H240" s="3">
        <f>G240</f>
        <v>9453</v>
      </c>
      <c r="I240" s="25">
        <f>INDEX('Inputs (2)'!$D$39:$AL$39,MATCH(I$7,'Inputs (2)'!$D$2:$AL$2,0))</f>
        <v>8558</v>
      </c>
      <c r="J240" s="25">
        <f>INDEX('Inputs (2)'!$D$39:$AL$39,MATCH(J$7,'Inputs (2)'!$D$2:$AL$2,0))</f>
        <v>8350</v>
      </c>
      <c r="K240" s="25">
        <f>INDEX('Inputs (2)'!$D$39:$AL$39,MATCH(K$7,'Inputs (2)'!$D$2:$AL$2,0))</f>
        <v>8401</v>
      </c>
      <c r="L240" s="25">
        <f>INDEX('Inputs (2)'!$D$39:$AL$39,MATCH(L$7,'Inputs (2)'!$D$2:$AL$2,0))</f>
        <v>8607</v>
      </c>
      <c r="M240" s="3">
        <f>L240</f>
        <v>8607</v>
      </c>
      <c r="N240" s="25">
        <f>INDEX('Inputs (2)'!$D$39:$AL$39,MATCH(N$7,'Inputs (2)'!$D$2:$AL$2,0))</f>
        <v>8252</v>
      </c>
      <c r="O240" s="25">
        <f>INDEX('Inputs (2)'!$D$39:$AL$39,MATCH(O$7,'Inputs (2)'!$D$2:$AL$2,0))</f>
        <v>8046</v>
      </c>
      <c r="P240" s="25">
        <f>INDEX('Inputs (2)'!$D$39:$AL$39,MATCH(P$7,'Inputs (2)'!$D$2:$AL$2,0))</f>
        <v>8010</v>
      </c>
      <c r="Q240" s="25">
        <f>INDEX('Inputs (2)'!$D$39:$AL$39,MATCH(Q$7,'Inputs (2)'!$D$2:$AL$2,0))</f>
        <v>7922</v>
      </c>
      <c r="R240" s="3">
        <f>Q240</f>
        <v>7922</v>
      </c>
      <c r="S240" s="25">
        <f>INDEX('Inputs (2)'!$D$39:$AL$39,MATCH(S$7,'Inputs (2)'!$D$2:$AL$2,0))</f>
        <v>7874</v>
      </c>
      <c r="T240" s="25">
        <f>INDEX('Inputs (2)'!$D$39:$AL$39,MATCH(T$7,'Inputs (2)'!$D$2:$AL$2,0))</f>
        <v>8449</v>
      </c>
      <c r="U240" s="25">
        <f>INDEX('Inputs (2)'!$D$39:$AL$39,MATCH(U$7,'Inputs (2)'!$D$2:$AL$2,0))</f>
        <v>8427</v>
      </c>
      <c r="V240" s="25">
        <f>INDEX('Inputs (2)'!$D$39:$AL$39,MATCH(V$7,'Inputs (2)'!$D$2:$AL$2,0))</f>
        <v>8466</v>
      </c>
      <c r="W240" s="3">
        <f>V240</f>
        <v>8466</v>
      </c>
      <c r="X240" s="25">
        <f>INDEX('Inputs (2)'!$D$39:$AL$39,MATCH(X$7,'Inputs (2)'!$D$2:$AL$2,0))</f>
        <v>5465</v>
      </c>
      <c r="Y240" s="25">
        <f>INDEX('Inputs (2)'!$D$39:$AL$39,MATCH(Y$7,'Inputs (2)'!$D$2:$AL$2,0))</f>
        <v>4077</v>
      </c>
      <c r="Z240" s="25">
        <f>INDEX('Inputs (2)'!$D$39:$AL$39,MATCH(Z$7,'Inputs (2)'!$D$2:$AL$2,0))</f>
        <v>4257</v>
      </c>
      <c r="AA240" s="25">
        <f>INDEX('Inputs (2)'!$D$39:$AL$39,MATCH(AA$7,'Inputs (2)'!$D$2:$AL$2,0))</f>
        <v>4084</v>
      </c>
      <c r="AB240" s="3">
        <f>AA240</f>
        <v>4084</v>
      </c>
      <c r="AC240" s="25">
        <f>INDEX('Inputs (2)'!$D$39:$AL$39,MATCH(AC$7,'Inputs (2)'!$D$2:$AL$2,0))</f>
        <v>4313</v>
      </c>
      <c r="AD240" s="25">
        <f>INDEX('Inputs (2)'!$D$39:$AL$39,MATCH(AD$7,'Inputs (2)'!$D$2:$AL$2,0))</f>
        <v>4856</v>
      </c>
      <c r="AE240" s="25">
        <f>INDEX('Inputs (2)'!$D$39:$AL$39,MATCH(AE$7,'Inputs (2)'!$D$2:$AL$2,0))</f>
        <v>4667</v>
      </c>
      <c r="AF240" s="25">
        <f>INDEX('Inputs (2)'!$D$39:$AL$39,MATCH(AF$7,'Inputs (2)'!$D$2:$AL$2,0))</f>
        <v>4735</v>
      </c>
      <c r="AG240" s="3">
        <f>AF240</f>
        <v>4735</v>
      </c>
      <c r="AH240" s="3">
        <f>INDEX('Inputs (2)'!$D$39:$AL$39,MATCH(AH$7,'Inputs (2)'!$D$2:$AL$2,0))</f>
        <v>4425</v>
      </c>
      <c r="AI240" s="3">
        <f>INDEX('Inputs (2)'!$D$39:$AL$39,MATCH(AI$7,'Inputs (2)'!$D$2:$AL$2,0))</f>
        <v>4627</v>
      </c>
      <c r="AJ240" s="3">
        <f>AI240</f>
        <v>4627</v>
      </c>
      <c r="AK240" s="3">
        <f>AJ240</f>
        <v>4627</v>
      </c>
      <c r="AL240" s="3">
        <f>AK240</f>
        <v>4627</v>
      </c>
      <c r="AM240" s="3">
        <f>AL240</f>
        <v>4627</v>
      </c>
      <c r="AN240" s="3">
        <f>AM240</f>
        <v>4627</v>
      </c>
      <c r="AO240" s="3">
        <f>AN240</f>
        <v>4627</v>
      </c>
      <c r="AP240" s="3">
        <f>AO240</f>
        <v>4627</v>
      </c>
      <c r="AQ240" s="3">
        <f>AP240</f>
        <v>4627</v>
      </c>
      <c r="AR240" s="3">
        <f>AQ240</f>
        <v>4627</v>
      </c>
      <c r="AS240" s="3">
        <f>AR240</f>
        <v>4627</v>
      </c>
      <c r="AT240" s="3">
        <f>AS240</f>
        <v>4627</v>
      </c>
      <c r="AU240" s="3">
        <f>AT240</f>
        <v>4627</v>
      </c>
      <c r="AV240" s="3">
        <f>AU240</f>
        <v>4627</v>
      </c>
      <c r="AW240" s="3">
        <f>AV240</f>
        <v>4627</v>
      </c>
      <c r="AX240" s="3">
        <f>AW240</f>
        <v>4627</v>
      </c>
      <c r="AY240" s="3">
        <f>AX240</f>
        <v>4627</v>
      </c>
      <c r="AZ240" s="3">
        <f>AY240</f>
        <v>4627</v>
      </c>
      <c r="BA240" s="3">
        <f>AZ240</f>
        <v>4627</v>
      </c>
      <c r="BB240" s="3">
        <f>BA240</f>
        <v>4627</v>
      </c>
      <c r="BC240" s="3">
        <f>BB240</f>
        <v>4627</v>
      </c>
      <c r="BD240" s="3">
        <f>BC240</f>
        <v>4627</v>
      </c>
      <c r="BE240" s="3">
        <f>BD240</f>
        <v>4627</v>
      </c>
      <c r="BF240" s="3">
        <f>BE240</f>
        <v>4627</v>
      </c>
      <c r="BG240" s="3">
        <f>BF240</f>
        <v>4627</v>
      </c>
      <c r="BH240" s="3">
        <f>BG240</f>
        <v>4627</v>
      </c>
      <c r="BI240" s="3">
        <f>BH240</f>
        <v>4627</v>
      </c>
      <c r="BJ240" s="3">
        <f>BI240</f>
        <v>4627</v>
      </c>
      <c r="BK240" s="3">
        <f>BJ240</f>
        <v>4627</v>
      </c>
      <c r="BL240" s="3">
        <f>BK240</f>
        <v>4627</v>
      </c>
      <c r="BM240" s="3">
        <f>BL240</f>
        <v>4627</v>
      </c>
      <c r="BN240" s="3">
        <f>BM240</f>
        <v>4627</v>
      </c>
      <c r="BO240" s="3">
        <f>BN240</f>
        <v>4627</v>
      </c>
      <c r="BP240" s="3">
        <f>BO240</f>
        <v>4627</v>
      </c>
      <c r="BQ240" s="3">
        <f>BP240</f>
        <v>4627</v>
      </c>
      <c r="BR240" s="3">
        <f>BQ240</f>
        <v>4627</v>
      </c>
      <c r="BS240" s="3">
        <f>BR240</f>
        <v>4627</v>
      </c>
      <c r="BT240" s="3">
        <f>BS240</f>
        <v>4627</v>
      </c>
      <c r="BU240" s="3">
        <f>BT240</f>
        <v>4627</v>
      </c>
      <c r="BV240" s="3">
        <f>BU240</f>
        <v>4627</v>
      </c>
      <c r="BW240" s="3">
        <f>BV240</f>
        <v>4627</v>
      </c>
      <c r="BX240" s="3">
        <f>BW240</f>
        <v>4627</v>
      </c>
      <c r="BY240" s="3">
        <f>BX240</f>
        <v>4627</v>
      </c>
      <c r="BZ240" s="3">
        <f>BY240</f>
        <v>4627</v>
      </c>
      <c r="CA240" s="3">
        <f>BZ240</f>
        <v>4627</v>
      </c>
      <c r="CB240" s="3">
        <f>CA240</f>
        <v>4627</v>
      </c>
      <c r="CC240" s="3">
        <f>CB240</f>
        <v>4627</v>
      </c>
      <c r="CD240" s="3">
        <f>CC240</f>
        <v>4627</v>
      </c>
      <c r="CE240" s="3">
        <f>CD240</f>
        <v>4627</v>
      </c>
      <c r="CF240" s="3">
        <f>CE240</f>
        <v>4627</v>
      </c>
      <c r="CG240" s="3">
        <f>CF240</f>
        <v>4627</v>
      </c>
      <c r="CH240" s="3">
        <f>CG240</f>
        <v>4627</v>
      </c>
      <c r="CI240" s="3">
        <f>CH240</f>
        <v>4627</v>
      </c>
      <c r="CJ240" s="3">
        <f>CI240</f>
        <v>4627</v>
      </c>
      <c r="CK240" s="3">
        <f>CJ240</f>
        <v>4627</v>
      </c>
      <c r="CL240" s="3">
        <f>CK240</f>
        <v>4627</v>
      </c>
      <c r="CM240" s="3">
        <f>CL240</f>
        <v>4627</v>
      </c>
      <c r="CN240" s="3">
        <f>CM240</f>
        <v>4627</v>
      </c>
      <c r="CO240" s="3">
        <f>CN240</f>
        <v>4627</v>
      </c>
      <c r="CP240" s="3">
        <f>CO240</f>
        <v>4627</v>
      </c>
      <c r="CQ240" s="3">
        <f>CP240</f>
        <v>4627</v>
      </c>
      <c r="CR240" s="3">
        <f>CQ240</f>
        <v>4627</v>
      </c>
      <c r="CS240" s="3">
        <f>CR240</f>
        <v>4627</v>
      </c>
      <c r="CT240" s="3">
        <f>CS240</f>
        <v>4627</v>
      </c>
      <c r="CU240" s="3">
        <f>CT240</f>
        <v>4627</v>
      </c>
      <c r="CV240" s="3">
        <f>CU240</f>
        <v>4627</v>
      </c>
      <c r="CW240" s="3">
        <f>CV240</f>
        <v>4627</v>
      </c>
      <c r="CX240" s="3">
        <f>CW240</f>
        <v>4627</v>
      </c>
      <c r="CY240" s="3">
        <f>CX240</f>
        <v>4627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0.0138134057971015</v>
      </c>
      <c r="F241" s="47">
        <f>(F240-E240)/E240</f>
        <v>-0.0473531382622292</v>
      </c>
      <c r="G241" s="47">
        <f>(G240-F240)/F240</f>
        <v>0.10820633059789</v>
      </c>
      <c r="H241" s="3" t="n"/>
      <c r="I241" s="47">
        <f>(I240-H240)/H240</f>
        <v>-0.0946789379033111</v>
      </c>
      <c r="J241" s="47">
        <f>(J240-I240)/I240</f>
        <v>-0.0243047440990886</v>
      </c>
      <c r="K241" s="47">
        <f>(K240-J240)/J240</f>
        <v>0.00610778443113772</v>
      </c>
      <c r="L241" s="47">
        <f>(L240-K240)/K240</f>
        <v>0.024520890370194</v>
      </c>
      <c r="M241" s="3" t="n"/>
      <c r="N241" s="47">
        <f>(N240-M240)/M240</f>
        <v>-0.0412454978505867</v>
      </c>
      <c r="O241" s="47">
        <f>(O240-N240)/N240</f>
        <v>-0.0249636451769268</v>
      </c>
      <c r="P241" s="47">
        <f>(P240-O240)/O240</f>
        <v>-0.00447427293064877</v>
      </c>
      <c r="Q241" s="47">
        <f>(Q240-P240)/P240</f>
        <v>-0.0109862671660424</v>
      </c>
      <c r="R241" s="3" t="n"/>
      <c r="S241" s="47">
        <f>(S240-R240)/R240</f>
        <v>-0.00605907599091139</v>
      </c>
      <c r="T241" s="47">
        <f>(T240-S240)/S240</f>
        <v>0.0730251460502921</v>
      </c>
      <c r="U241" s="47">
        <f>(U240-T240)/T240</f>
        <v>-0.00260385844478637</v>
      </c>
      <c r="V241" s="47">
        <f>(V240-U240)/U240</f>
        <v>0.00462798148807405</v>
      </c>
      <c r="W241" s="3" t="n"/>
      <c r="X241" s="47">
        <f>(X240-W240)/W240</f>
        <v>-0.354476730451217</v>
      </c>
      <c r="Y241" s="47">
        <f>(Y240-X240)/X240</f>
        <v>-0.253979871912168</v>
      </c>
      <c r="Z241" s="47">
        <f>(Z240-Y240)/Y240</f>
        <v>0.0441501103752759</v>
      </c>
      <c r="AA241" s="47">
        <f>(AA240-Z240)/Z240</f>
        <v>-0.0406389476156918</v>
      </c>
      <c r="AB241" s="3" t="n"/>
      <c r="AC241" s="47">
        <f>(AC240-AB240)/AB240</f>
        <v>0.0560724779627816</v>
      </c>
      <c r="AD241" s="47">
        <f>(AD240-AC240)/AC240</f>
        <v>0.125898446556921</v>
      </c>
      <c r="AE241" s="47">
        <f>(AE240-AD240)/AD240</f>
        <v>-0.0389209225700165</v>
      </c>
      <c r="AF241" s="230">
        <f>(AF240-AE240)/AE240</f>
        <v>0.0145703878294408</v>
      </c>
      <c r="AG241" s="3" t="n"/>
      <c r="AH241" s="230">
        <f>(AH240-AG240)/AG240</f>
        <v>-0.0654699049630412</v>
      </c>
      <c r="AI241" s="230">
        <f>(AI240-AH240)/AH240</f>
        <v>0.0456497175141243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74179</v>
      </c>
      <c r="E247" s="16">
        <f>SUM(E198+E202+E204+E205+E212+E213+E214+E217+E235+E238+E239+E240)</f>
        <v>75500</v>
      </c>
      <c r="F247" s="16">
        <f>SUM(F198+F202+F204+F205+F212+F213+F214+F217+F235+F238+F239+F240)</f>
        <v>76868</v>
      </c>
      <c r="G247" s="16">
        <f>SUM(G198+G202+G204+G205+G212+G213+G214+G217+G235+G238+G239+G240)</f>
        <v>66012</v>
      </c>
      <c r="H247" s="16">
        <f>SUM(H198,H202,H204,H205,H212,H213,H217,H214,H235,H238,H239,H240)</f>
        <v>66012</v>
      </c>
      <c r="I247" s="16">
        <f>SUM(I198+I202+I204+I205+I212+I213+I214+I217+I235+I238+I239+I240)</f>
        <v>67661</v>
      </c>
      <c r="J247" s="16">
        <f>SUM(J198+J202+J204+J205+J212+J213+J214+J217+J235+J238+J239+J240)</f>
        <v>65939</v>
      </c>
      <c r="K247" s="16">
        <f>SUM(K198+K202+K204+K205+K212+K213+K214+K217+K235+K238+K239+K240)</f>
        <v>66473</v>
      </c>
      <c r="L247" s="16">
        <f>SUM(L198+L202+L204+L205+L212+L213+L214+L217+L235+L238+L239+L240)</f>
        <v>69494</v>
      </c>
      <c r="M247" s="16">
        <f>SUM(M198,M202,M204,M205,M212,M213,M217,M214,M235,M238,M239,M240)</f>
        <v>69494</v>
      </c>
      <c r="N247" s="16">
        <f>SUM(N198+N202+N204+N205+N212+N213+N214+N217+N235+N238+N239+N240)</f>
        <v>67223</v>
      </c>
      <c r="O247" s="16">
        <f>SUM(O198+O202+O204+O205+O212+O213+O214+O217+O235+O238+O239+O240)</f>
        <v>68366</v>
      </c>
      <c r="P247" s="16">
        <f>SUM(P198+P202+P204+P205+P212+P213+P214+P217+P235+P238+P239+P240)</f>
        <v>68035</v>
      </c>
      <c r="Q247" s="16">
        <f>SUM(Q198+Q202+Q204+Q205+Q212+Q213+Q214+Q217+Q235+Q238+Q239+Q240)</f>
        <v>66937</v>
      </c>
      <c r="R247" s="16">
        <f>SUM(R198,R202,R204,R205,R212,R213,R217,R214,R235,R238,R239,R240)</f>
        <v>66937</v>
      </c>
      <c r="S247" s="16">
        <f>SUM(S198+S202+S204+S205+S212+S213+S214+S217+S235+S238+S239+S240)</f>
        <v>70536</v>
      </c>
      <c r="T247" s="16">
        <f>SUM(T198+T202+T204+T205+T212+T213+T214+T217+T235+T238+T239+T240)</f>
        <v>70904</v>
      </c>
      <c r="U247" s="16">
        <f>SUM(U198+U202+U204+U205+U212+U213+U214+U217+U235+U238+U239+U240)</f>
        <v>69745</v>
      </c>
      <c r="V247" s="16">
        <f>SUM(V198+V202+V204+V205+V212+V213+V214+V217+V235+V238+V239+V240)</f>
        <v>70223</v>
      </c>
      <c r="W247" s="16">
        <f>SUM(W198,W202,W204,W205,W212,W213,W217,W214,W235,W238,W239,W240)</f>
        <v>70223</v>
      </c>
      <c r="X247" s="16">
        <f>SUM(X198+X202+X204+X205+X212+X213+X214+X217+X235+X238+X239+X240)</f>
        <v>71446</v>
      </c>
      <c r="Y247" s="16">
        <f>SUM(Y198+Y202+Y204+Y205+Y212+Y213+Y214+Y217+Y235+Y238+Y239+Y240)</f>
        <v>73791</v>
      </c>
      <c r="Z247" s="16">
        <f>SUM(Z198+Z202+Z204+Z205+Z212+Z213+Z214+Z217+Z235+Z238+Z239+Z240)</f>
        <v>78112</v>
      </c>
      <c r="AA247" s="16">
        <f>SUM(AA198+AA202+AA204+AA205+AA212+AA213+AA214+AA217+AA235+AA238+AA239+AA240)</f>
        <v>74177</v>
      </c>
      <c r="AB247" s="16">
        <f>SUM(AB198,AB202,AB204,AB205,AB212,AB213,AB217,AB214,AB235,AB238,AB239,AB240)</f>
        <v>74177</v>
      </c>
      <c r="AC247" s="16">
        <f>SUM(AC198+AC202+AC204+AC205+AC212+AC213+AC214+AC217+AC235+AC238+AC239+AC240)</f>
        <v>73962</v>
      </c>
      <c r="AD247" s="16">
        <f>SUM(AD198+AD202+AD204+AD205+AD212+AD213+AD214+AD217+AD235+AD238+AD239+AD240)</f>
        <v>74151</v>
      </c>
      <c r="AE247" s="16">
        <f>SUM(AE198+AE202+AE204+AE205+AE212+AE213+AE214+AE217+AE235+AE238+AE239+AE240)</f>
        <v>72778</v>
      </c>
      <c r="AF247" s="16">
        <f>SUM(AF198+AF202+AF204+AF205+AF212+AF213+AF214+AF217+AF235+AF238+AF239+AF240)</f>
        <v>70541</v>
      </c>
      <c r="AG247" s="16">
        <f>SUM(AG198,AG202,AG204,AG205,AG212,AG213,AG217,AG214,AG235,AG238,AG239,AG240)</f>
        <v>70541</v>
      </c>
      <c r="AH247" s="16">
        <f>SUM(AH198+AH202+AH204+AH205+AH212+AH213+AH214+AH217+AH235+AH238+AH239+AH240)</f>
        <v>68483</v>
      </c>
      <c r="AI247" s="16">
        <f>SUM(AI198+AI202+AI204+AI205+AI212+AI213+AI214+AI217+AI235+AI238+AI239+AI240)</f>
        <v>69607</v>
      </c>
      <c r="AJ247" s="16">
        <f>SUM(AJ198+AJ202+AJ204+AJ205+AJ212+AJ213+AJ214+AJ217+AJ235+AJ238+AJ239+AJ240)</f>
        <v>53391</v>
      </c>
      <c r="AK247" s="16">
        <f>SUM(AK198+AK202+AK204+AK205+AK212+AK213+AK214+AK217+AK235+AK238+AK239+AK240)</f>
        <v>53391</v>
      </c>
      <c r="AL247" s="16">
        <f>SUM(AL198,AL202,AL204,AL205,AL212,AL213,AL217,AL214,AL235,AL238,AL239,AL240)</f>
        <v>53391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53391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>
        <f>INDEX('Inputs (2)'!$D$41:$AL$41,MATCH(D$7,'Inputs (2)'!$D$2:$AL$2,0))</f>
        <v>1676</v>
      </c>
      <c r="E248" s="25">
        <f>INDEX('Inputs (2)'!$D$41:$AL$41,MATCH(E$7,'Inputs (2)'!$D$2:$AL$2,0))</f>
        <v>1705</v>
      </c>
      <c r="F248" s="25">
        <f>INDEX('Inputs (2)'!$D$41:$AL$41,MATCH(F$7,'Inputs (2)'!$D$2:$AL$2,0))</f>
        <v>1709</v>
      </c>
      <c r="G248" s="25">
        <f>INDEX('Inputs (2)'!$D$41:$AL$41,MATCH(G$7,'Inputs (2)'!$D$2:$AL$2,0))</f>
        <v>1985</v>
      </c>
      <c r="H248" s="3">
        <f>G248</f>
        <v>1985</v>
      </c>
      <c r="I248" s="25">
        <f>INDEX('Inputs (2)'!$D$41:$AL$41,MATCH(I$7,'Inputs (2)'!$D$2:$AL$2,0))</f>
        <v>1977</v>
      </c>
      <c r="J248" s="25">
        <f>INDEX('Inputs (2)'!$D$41:$AL$41,MATCH(J$7,'Inputs (2)'!$D$2:$AL$2,0))</f>
        <v>2006</v>
      </c>
      <c r="K248" s="25">
        <f>INDEX('Inputs (2)'!$D$41:$AL$41,MATCH(K$7,'Inputs (2)'!$D$2:$AL$2,0))</f>
        <v>1954</v>
      </c>
      <c r="L248" s="25">
        <f>INDEX('Inputs (2)'!$D$41:$AL$41,MATCH(L$7,'Inputs (2)'!$D$2:$AL$2,0))</f>
        <v>1861</v>
      </c>
      <c r="M248" s="3">
        <f>L248</f>
        <v>1861</v>
      </c>
      <c r="N248" s="25">
        <f>INDEX('Inputs (2)'!$D$41:$AL$41,MATCH(N$7,'Inputs (2)'!$D$2:$AL$2,0))</f>
        <v>1996</v>
      </c>
      <c r="O248" s="25">
        <f>INDEX('Inputs (2)'!$D$41:$AL$41,MATCH(O$7,'Inputs (2)'!$D$2:$AL$2,0))</f>
        <v>1798</v>
      </c>
      <c r="P248" s="25">
        <f>INDEX('Inputs (2)'!$D$41:$AL$41,MATCH(P$7,'Inputs (2)'!$D$2:$AL$2,0))</f>
        <v>1631</v>
      </c>
      <c r="Q248" s="25">
        <f>INDEX('Inputs (2)'!$D$41:$AL$41,MATCH(Q$7,'Inputs (2)'!$D$2:$AL$2,0))</f>
        <v>1721</v>
      </c>
      <c r="R248" s="3">
        <f>Q248</f>
        <v>1721</v>
      </c>
      <c r="S248" s="25">
        <f>INDEX('Inputs (2)'!$D$41:$AL$41,MATCH(S$7,'Inputs (2)'!$D$2:$AL$2,0))</f>
        <v>1651</v>
      </c>
      <c r="T248" s="25">
        <f>INDEX('Inputs (2)'!$D$41:$AL$41,MATCH(T$7,'Inputs (2)'!$D$2:$AL$2,0))</f>
        <v>1539</v>
      </c>
      <c r="U248" s="25">
        <f>INDEX('Inputs (2)'!$D$41:$AL$41,MATCH(U$7,'Inputs (2)'!$D$2:$AL$2,0))</f>
        <v>1508</v>
      </c>
      <c r="V248" s="25">
        <f>INDEX('Inputs (2)'!$D$41:$AL$41,MATCH(V$7,'Inputs (2)'!$D$2:$AL$2,0))</f>
        <v>1539</v>
      </c>
      <c r="W248" s="3">
        <f>V248</f>
        <v>1539</v>
      </c>
      <c r="X248" s="25">
        <f>INDEX('Inputs (2)'!$D$41:$AL$41,MATCH(X$7,'Inputs (2)'!$D$2:$AL$2,0))</f>
        <v>1517</v>
      </c>
      <c r="Y248" s="25">
        <f>INDEX('Inputs (2)'!$D$41:$AL$41,MATCH(Y$7,'Inputs (2)'!$D$2:$AL$2,0))</f>
        <v>1558</v>
      </c>
      <c r="Z248" s="25">
        <f>INDEX('Inputs (2)'!$D$41:$AL$41,MATCH(Z$7,'Inputs (2)'!$D$2:$AL$2,0))</f>
        <v>1636</v>
      </c>
      <c r="AA248" s="25">
        <f>INDEX('Inputs (2)'!$D$41:$AL$41,MATCH(AA$7,'Inputs (2)'!$D$2:$AL$2,0))</f>
        <v>1516</v>
      </c>
      <c r="AB248" s="3">
        <f>AA248</f>
        <v>1516</v>
      </c>
      <c r="AC248" s="25">
        <f>INDEX('Inputs (2)'!$D$41:$AL$41,MATCH(AC$7,'Inputs (2)'!$D$2:$AL$2,0))</f>
        <v>1552</v>
      </c>
      <c r="AD248" s="25">
        <f>INDEX('Inputs (2)'!$D$41:$AL$41,MATCH(AD$7,'Inputs (2)'!$D$2:$AL$2,0))</f>
        <v>1597</v>
      </c>
      <c r="AE248" s="25">
        <f>INDEX('Inputs (2)'!$D$41:$AL$41,MATCH(AE$7,'Inputs (2)'!$D$2:$AL$2,0))</f>
        <v>2020</v>
      </c>
      <c r="AF248" s="25">
        <f>INDEX('Inputs (2)'!$D$41:$AL$41,MATCH(AF$7,'Inputs (2)'!$D$2:$AL$2,0))</f>
        <v>2106</v>
      </c>
      <c r="AG248" s="3">
        <f>AF248</f>
        <v>2106</v>
      </c>
      <c r="AH248" s="3">
        <f>INDEX('Inputs (2)'!$D$41:$AL$41,MATCH(AH$7,'Inputs (2)'!$D$2:$AL$2,0))</f>
        <v>2101</v>
      </c>
      <c r="AI248" s="3">
        <f>INDEX('Inputs (2)'!$D$41:$AL$41,MATCH(AI$7,'Inputs (2)'!$D$2:$AL$2,0))</f>
        <v>2165</v>
      </c>
      <c r="AJ248" s="3">
        <f>AI248-AJ136+AJ251</f>
        <v>2152</v>
      </c>
      <c r="AK248" s="3">
        <f>AJ248-AK136+AK251</f>
        <v>2197</v>
      </c>
      <c r="AL248" s="3">
        <f>AK248</f>
        <v>2197</v>
      </c>
      <c r="AM248" s="3">
        <f>AL248-AM136+AM251</f>
        <v>2239</v>
      </c>
      <c r="AN248" s="3">
        <f>AM248-AN136+AN251</f>
        <v>2252</v>
      </c>
      <c r="AO248" s="3">
        <f>AN248-AO136+AO251</f>
        <v>2239</v>
      </c>
      <c r="AP248" s="3">
        <f>AO248-AP136+AP251</f>
        <v>2284</v>
      </c>
      <c r="AQ248" s="3">
        <f>AP248</f>
        <v>2284</v>
      </c>
      <c r="AR248" s="3">
        <f>AQ248-AR136+AR251</f>
        <v>2326</v>
      </c>
      <c r="AS248" s="3">
        <f>AR248-AS136+AS251</f>
        <v>2339</v>
      </c>
      <c r="AT248" s="3">
        <f>AS248-AT136+AT251</f>
        <v>2326</v>
      </c>
      <c r="AU248" s="3">
        <f>AT248-AU136+AU251</f>
        <v>2371</v>
      </c>
      <c r="AV248" s="3">
        <f>AU248</f>
        <v>2371</v>
      </c>
      <c r="AW248" s="3">
        <f>AV248-AW136+AW251</f>
        <v>2413</v>
      </c>
      <c r="AX248" s="3">
        <f>AW248-AX136+AX251</f>
        <v>2426</v>
      </c>
      <c r="AY248" s="3">
        <f>AX248-AY136+AY251</f>
        <v>2413</v>
      </c>
      <c r="AZ248" s="3">
        <f>AY248-AZ136+AZ251</f>
        <v>2458</v>
      </c>
      <c r="BA248" s="3">
        <f>AZ248</f>
        <v>2458</v>
      </c>
      <c r="BB248" s="3">
        <f>BA248-BB136+BB251</f>
        <v>2500</v>
      </c>
      <c r="BC248" s="3">
        <f>BB248-BC136+BC251</f>
        <v>2513</v>
      </c>
      <c r="BD248" s="3">
        <f>BC248-BD136+BD251</f>
        <v>2500</v>
      </c>
      <c r="BE248" s="3">
        <f>BD248-BE136+BE251</f>
        <v>2545</v>
      </c>
      <c r="BF248" s="3">
        <f>BE248</f>
        <v>2545</v>
      </c>
      <c r="BG248" s="3">
        <f>BF248-BG136+BG251</f>
        <v>2587</v>
      </c>
      <c r="BH248" s="3">
        <f>BG248-BH136+BH251</f>
        <v>2600</v>
      </c>
      <c r="BI248" s="3">
        <f>BH248-BI136+BI251</f>
        <v>2587</v>
      </c>
      <c r="BJ248" s="3">
        <f>BI248-BJ136+BJ251</f>
        <v>2632</v>
      </c>
      <c r="BK248" s="3">
        <f>BJ248</f>
        <v>2632</v>
      </c>
      <c r="BL248" s="3">
        <f>BK248-BL136+BL251</f>
        <v>2674</v>
      </c>
      <c r="BM248" s="3">
        <f>BL248-BM136+BM251</f>
        <v>2687</v>
      </c>
      <c r="BN248" s="3">
        <f>BM248-BN136+BN251</f>
        <v>2674</v>
      </c>
      <c r="BO248" s="3">
        <f>BN248-BO136+BO251</f>
        <v>2719</v>
      </c>
      <c r="BP248" s="3">
        <f>BO248</f>
        <v>2719</v>
      </c>
      <c r="BQ248" s="3">
        <f>BP248-BQ136+BQ251</f>
        <v>2761</v>
      </c>
      <c r="BR248" s="3">
        <f>BQ248-BR136+BR251</f>
        <v>2774</v>
      </c>
      <c r="BS248" s="3">
        <f>BR248-BS136+BS251</f>
        <v>2761</v>
      </c>
      <c r="BT248" s="3">
        <f>BS248-BT136+BT251</f>
        <v>2806</v>
      </c>
      <c r="BU248" s="3">
        <f>BT248</f>
        <v>2806</v>
      </c>
      <c r="BV248" s="3">
        <f>BU248-BV136+BV251</f>
        <v>2848</v>
      </c>
      <c r="BW248" s="3">
        <f>BV248-BW136+BW251</f>
        <v>2861</v>
      </c>
      <c r="BX248" s="3">
        <f>BW248-BX136+BX251</f>
        <v>2848</v>
      </c>
      <c r="BY248" s="3">
        <f>BX248-BY136+BY251</f>
        <v>2893</v>
      </c>
      <c r="BZ248" s="3">
        <f>BY248</f>
        <v>2893</v>
      </c>
      <c r="CA248" s="3">
        <f>BZ248-CA136+CA251</f>
        <v>2935</v>
      </c>
      <c r="CB248" s="3">
        <f>CA248-CB136+CB251</f>
        <v>2948</v>
      </c>
      <c r="CC248" s="3">
        <f>CB248-CC136+CC251</f>
        <v>2935</v>
      </c>
      <c r="CD248" s="3">
        <f>CC248-CD136+CD251</f>
        <v>2980</v>
      </c>
      <c r="CE248" s="3">
        <f>CD248</f>
        <v>2980</v>
      </c>
      <c r="CF248" s="3">
        <f>CE248-CF136+CF251</f>
        <v>3022</v>
      </c>
      <c r="CG248" s="3">
        <f>CF248-CG136+CG251</f>
        <v>3035</v>
      </c>
      <c r="CH248" s="3">
        <f>CG248-CH136+CH251</f>
        <v>3022</v>
      </c>
      <c r="CI248" s="3">
        <f>CH248-CI136+CI251</f>
        <v>3067</v>
      </c>
      <c r="CJ248" s="3">
        <f>CI248</f>
        <v>3067</v>
      </c>
      <c r="CK248" s="3">
        <f>CJ248-CK136+CK251</f>
        <v>3109</v>
      </c>
      <c r="CL248" s="3">
        <f>CK248-CL136+CL251</f>
        <v>3122</v>
      </c>
      <c r="CM248" s="3">
        <f>CL248-CM136+CM251</f>
        <v>3109</v>
      </c>
      <c r="CN248" s="3">
        <f>CM248-CN136+CN251</f>
        <v>3154</v>
      </c>
      <c r="CO248" s="3">
        <f>CN248</f>
        <v>3154</v>
      </c>
      <c r="CP248" s="3">
        <f>CO248-CP136+CP251</f>
        <v>3196</v>
      </c>
      <c r="CQ248" s="3">
        <f>CP248-CQ136+CQ251</f>
        <v>3209</v>
      </c>
      <c r="CR248" s="3">
        <f>CQ248-CR136+CR251</f>
        <v>3196</v>
      </c>
      <c r="CS248" s="3">
        <f>CR248-CS136+CS251</f>
        <v>3241</v>
      </c>
      <c r="CT248" s="3">
        <f>CS248</f>
        <v>3241</v>
      </c>
      <c r="CU248" s="3">
        <f>CT248-CU136+CU251</f>
        <v>3283</v>
      </c>
      <c r="CV248" s="3">
        <f>CU248-CV136+CV251</f>
        <v>3296</v>
      </c>
      <c r="CW248" s="3">
        <f>CV248-CW136+CW251</f>
        <v>3283</v>
      </c>
      <c r="CX248" s="3">
        <f>CW248-CX136+CX251</f>
        <v>3328</v>
      </c>
      <c r="CY248" s="3">
        <f>CX248</f>
        <v>3328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0</v>
      </c>
      <c r="F250" s="22" t="n"/>
      <c r="G250" s="22" t="n"/>
      <c r="H250" s="40" t="n"/>
      <c r="I250" s="22" t="n"/>
      <c r="J250" s="40">
        <f>IF(I135=0,0,J135/I135-1)</f>
        <v>0</v>
      </c>
      <c r="K250" s="22" t="n"/>
      <c r="L250" s="22" t="n"/>
      <c r="M250" s="40" t="n"/>
      <c r="N250" s="40">
        <f>IF(I135=0,0,N135/I135-1)</f>
        <v>0</v>
      </c>
      <c r="O250" s="40">
        <f>IF(J135=0,0,O135/J135-1)</f>
        <v>0</v>
      </c>
      <c r="P250" s="40">
        <f>IF(K135=0,0,P135/K135-1)</f>
        <v>0</v>
      </c>
      <c r="Q250" s="40">
        <f>IF(L135=0,0,Q135/L135-1)</f>
        <v>0</v>
      </c>
      <c r="R250" s="40" t="n"/>
      <c r="S250" s="40">
        <f>IF(N135=0,0,S135/N135-1)</f>
        <v>0</v>
      </c>
      <c r="T250" s="40">
        <f>IF(O135=0,0,T135/O135-1)</f>
        <v>0</v>
      </c>
      <c r="U250" s="40">
        <f>IF(P135=0,0,U135/P135-1)</f>
        <v>0</v>
      </c>
      <c r="V250" s="40">
        <f>IF(Q135=0,0,V135/Q135-1)</f>
        <v>0</v>
      </c>
      <c r="W250" s="40">
        <f>IF(R136=0,0,W136/R136-1)</f>
        <v>-1.37931034482759</v>
      </c>
      <c r="X250" s="40">
        <f>IF(S135=0,0,X135/S135-1)</f>
        <v>0</v>
      </c>
      <c r="Y250" s="40">
        <f>IF(T135=0,0,Y135/T135-1)</f>
        <v>0</v>
      </c>
      <c r="Z250" s="40">
        <f>IF(U135=0,0,Z135/U135-1)</f>
        <v>0</v>
      </c>
      <c r="AA250" s="40">
        <f>IF(V135=0,0,AA135/V135-1)</f>
        <v>0</v>
      </c>
      <c r="AB250" s="40">
        <f>IF(W136=0,0,AB136/W136-1)</f>
        <v>-2.63636363636364</v>
      </c>
      <c r="AC250" s="40">
        <f>IF(X135=0,0,AC135/X135-1)</f>
        <v>0</v>
      </c>
      <c r="AD250" s="40">
        <f>IF(Y135=0,0,AD135/Y135-1)</f>
        <v>0</v>
      </c>
      <c r="AE250" s="40">
        <f>IF(Z135=0,0,AE135/Z135-1)</f>
        <v>0</v>
      </c>
      <c r="AF250" s="40">
        <f>IF(AA135=0,0,AF135/AA135-1)</f>
        <v>0</v>
      </c>
      <c r="AG250" s="40">
        <f>IF(AB136=0,0,AG136/AB136-1)</f>
        <v>0.666666666666667</v>
      </c>
      <c r="AH250" s="35">
        <f>IF(AC135=0,0,AH135/AC135-1)</f>
        <v>0</v>
      </c>
      <c r="AI250" s="35">
        <f>IF(AD135=0,0,AI135/AD135-1)</f>
        <v>0</v>
      </c>
      <c r="AJ250" s="35" t="n"/>
      <c r="AK250" s="35" t="n"/>
      <c r="AL250" s="40">
        <f>IF(AG136=0,0,AL136/AG136-1)</f>
        <v>1.9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19072</v>
      </c>
      <c r="E254" s="25">
        <f>INDEX('Inputs (2)'!$D$43:$AL$43,MATCH(E$7,'Inputs (2)'!$D$2:$AL$2,0))</f>
        <v>19127</v>
      </c>
      <c r="F254" s="25">
        <f>INDEX('Inputs (2)'!$D$43:$AL$43,MATCH(F$7,'Inputs (2)'!$D$2:$AL$2,0))</f>
        <v>19223</v>
      </c>
      <c r="G254" s="25">
        <f>INDEX('Inputs (2)'!$D$43:$AL$43,MATCH(G$7,'Inputs (2)'!$D$2:$AL$2,0))</f>
        <v>19361</v>
      </c>
      <c r="H254" s="3">
        <f>G254</f>
        <v>19361</v>
      </c>
      <c r="I254" s="25">
        <f>INDEX('Inputs (2)'!$D$43:$AL$43,MATCH(I$7,'Inputs (2)'!$D$2:$AL$2,0))</f>
        <v>19390</v>
      </c>
      <c r="J254" s="25">
        <f>INDEX('Inputs (2)'!$D$43:$AL$43,MATCH(J$7,'Inputs (2)'!$D$2:$AL$2,0))</f>
        <v>19541</v>
      </c>
      <c r="K254" s="25">
        <f>INDEX('Inputs (2)'!$D$43:$AL$43,MATCH(K$7,'Inputs (2)'!$D$2:$AL$2,0))</f>
        <v>19689</v>
      </c>
      <c r="L254" s="25">
        <f>INDEX('Inputs (2)'!$D$43:$AL$43,MATCH(L$7,'Inputs (2)'!$D$2:$AL$2,0))</f>
        <v>19876</v>
      </c>
      <c r="M254" s="3">
        <f>L254</f>
        <v>19876</v>
      </c>
      <c r="N254" s="25">
        <f>INDEX('Inputs (2)'!$D$43:$AL$43,MATCH(N$7,'Inputs (2)'!$D$2:$AL$2,0))</f>
        <v>20148</v>
      </c>
      <c r="O254" s="25">
        <f>INDEX('Inputs (2)'!$D$43:$AL$43,MATCH(O$7,'Inputs (2)'!$D$2:$AL$2,0))</f>
        <v>20341</v>
      </c>
      <c r="P254" s="25">
        <f>INDEX('Inputs (2)'!$D$43:$AL$43,MATCH(P$7,'Inputs (2)'!$D$2:$AL$2,0))</f>
        <v>20447</v>
      </c>
      <c r="Q254" s="25">
        <f>INDEX('Inputs (2)'!$D$43:$AL$43,MATCH(Q$7,'Inputs (2)'!$D$2:$AL$2,0))</f>
        <v>20582</v>
      </c>
      <c r="R254" s="3">
        <f>Q254</f>
        <v>20582</v>
      </c>
      <c r="S254" s="25">
        <f>INDEX('Inputs (2)'!$D$43:$AL$43,MATCH(S$7,'Inputs (2)'!$D$2:$AL$2,0))</f>
        <v>20649</v>
      </c>
      <c r="T254" s="25">
        <f>INDEX('Inputs (2)'!$D$43:$AL$43,MATCH(T$7,'Inputs (2)'!$D$2:$AL$2,0))</f>
        <v>20753</v>
      </c>
      <c r="U254" s="25">
        <f>INDEX('Inputs (2)'!$D$43:$AL$43,MATCH(U$7,'Inputs (2)'!$D$2:$AL$2,0))</f>
        <v>20841</v>
      </c>
      <c r="V254" s="25">
        <f>INDEX('Inputs (2)'!$D$43:$AL$43,MATCH(V$7,'Inputs (2)'!$D$2:$AL$2,0))</f>
        <v>20969</v>
      </c>
      <c r="W254" s="3">
        <f>V254</f>
        <v>20969</v>
      </c>
      <c r="X254" s="25">
        <f>INDEX('Inputs (2)'!$D$43:$AL$43,MATCH(X$7,'Inputs (2)'!$D$2:$AL$2,0))</f>
        <v>21081</v>
      </c>
      <c r="Y254" s="25">
        <f>INDEX('Inputs (2)'!$D$43:$AL$43,MATCH(Y$7,'Inputs (2)'!$D$2:$AL$2,0))</f>
        <v>21228</v>
      </c>
      <c r="Z254" s="25">
        <f>INDEX('Inputs (2)'!$D$43:$AL$43,MATCH(Z$7,'Inputs (2)'!$D$2:$AL$2,0))</f>
        <v>21470</v>
      </c>
      <c r="AA254" s="25">
        <f>INDEX('Inputs (2)'!$D$43:$AL$43,MATCH(AA$7,'Inputs (2)'!$D$2:$AL$2,0))</f>
        <v>21561</v>
      </c>
      <c r="AB254" s="3">
        <f>AA254</f>
        <v>21561</v>
      </c>
      <c r="AC254" s="25">
        <f>INDEX('Inputs (2)'!$D$43:$AL$43,MATCH(AC$7,'Inputs (2)'!$D$2:$AL$2,0))</f>
        <v>21633</v>
      </c>
      <c r="AD254" s="25">
        <f>INDEX('Inputs (2)'!$D$43:$AL$43,MATCH(AD$7,'Inputs (2)'!$D$2:$AL$2,0))</f>
        <v>21730</v>
      </c>
      <c r="AE254" s="25">
        <f>INDEX('Inputs (2)'!$D$43:$AL$43,MATCH(AE$7,'Inputs (2)'!$D$2:$AL$2,0))</f>
        <v>22249</v>
      </c>
      <c r="AF254" s="25">
        <f>INDEX('Inputs (2)'!$D$43:$AL$43,MATCH(AF$7,'Inputs (2)'!$D$2:$AL$2,0))</f>
        <v>22341</v>
      </c>
      <c r="AG254" s="3">
        <f>AF254</f>
        <v>22341</v>
      </c>
      <c r="AH254" s="3">
        <f>INDEX('Inputs (2)'!$D$43:$AL$43,MATCH(AH$7,'Inputs (2)'!$D$2:$AL$2,0))</f>
        <v>22394</v>
      </c>
      <c r="AI254" s="3">
        <f>INDEX('Inputs (2)'!$D$43:$AL$43,MATCH(AI$7,'Inputs (2)'!$D$2:$AL$2,0))</f>
        <v>22501</v>
      </c>
      <c r="AJ254" s="3">
        <f>AI254+AJ258</f>
        <v>22501</v>
      </c>
      <c r="AK254" s="3">
        <f>AJ254+AK258</f>
        <v>22501</v>
      </c>
      <c r="AL254" s="3">
        <f>AK254</f>
        <v>22501</v>
      </c>
      <c r="AM254" s="3">
        <f>AL254+AM258</f>
        <v>22501</v>
      </c>
      <c r="AN254" s="3">
        <f>AM254+AN258</f>
        <v>22501</v>
      </c>
      <c r="AO254" s="3">
        <f>AN254+AO258</f>
        <v>22501</v>
      </c>
      <c r="AP254" s="3">
        <f>AO254+AP258</f>
        <v>22501</v>
      </c>
      <c r="AQ254" s="3">
        <f>AP254</f>
        <v>22501</v>
      </c>
      <c r="AR254" s="3">
        <f>AQ254+AR258</f>
        <v>22501</v>
      </c>
      <c r="AS254" s="3">
        <f>AR254+AS258</f>
        <v>22501</v>
      </c>
      <c r="AT254" s="3">
        <f>AS254+AT258</f>
        <v>22501</v>
      </c>
      <c r="AU254" s="3">
        <f>AT254+AU258</f>
        <v>22501</v>
      </c>
      <c r="AV254" s="3">
        <f>AU254</f>
        <v>22501</v>
      </c>
      <c r="AW254" s="3">
        <f>AV254+AW258</f>
        <v>22501</v>
      </c>
      <c r="AX254" s="3">
        <f>AW254+AX258</f>
        <v>22501</v>
      </c>
      <c r="AY254" s="3">
        <f>AX254+AY258</f>
        <v>22501</v>
      </c>
      <c r="AZ254" s="3">
        <f>AY254+AZ258</f>
        <v>22501</v>
      </c>
      <c r="BA254" s="3">
        <f>AZ254</f>
        <v>22501</v>
      </c>
      <c r="BB254" s="3">
        <f>BA254+BB258</f>
        <v>22501</v>
      </c>
      <c r="BC254" s="3">
        <f>BB254+BC258</f>
        <v>22501</v>
      </c>
      <c r="BD254" s="3">
        <f>BC254+BD258</f>
        <v>22501</v>
      </c>
      <c r="BE254" s="3">
        <f>BD254+BE258</f>
        <v>22501</v>
      </c>
      <c r="BF254" s="3">
        <f>BE254</f>
        <v>22501</v>
      </c>
      <c r="BG254" s="3">
        <f>BF254+BG258</f>
        <v>22501</v>
      </c>
      <c r="BH254" s="3">
        <f>BG254+BH258</f>
        <v>22501</v>
      </c>
      <c r="BI254" s="3">
        <f>BH254+BI258</f>
        <v>22501</v>
      </c>
      <c r="BJ254" s="3">
        <f>BI254+BJ258</f>
        <v>22501</v>
      </c>
      <c r="BK254" s="3">
        <f>BJ254</f>
        <v>22501</v>
      </c>
      <c r="BL254" s="3">
        <f>BK254+BL258</f>
        <v>22501</v>
      </c>
      <c r="BM254" s="3">
        <f>BL254+BM258</f>
        <v>22501</v>
      </c>
      <c r="BN254" s="3">
        <f>BM254+BN258</f>
        <v>22501</v>
      </c>
      <c r="BO254" s="3">
        <f>BN254+BO258</f>
        <v>22501</v>
      </c>
      <c r="BP254" s="3">
        <f>BO254</f>
        <v>22501</v>
      </c>
      <c r="BQ254" s="3">
        <f>BP254+BQ258</f>
        <v>22501</v>
      </c>
      <c r="BR254" s="3">
        <f>BQ254+BR258</f>
        <v>22501</v>
      </c>
      <c r="BS254" s="3">
        <f>BR254+BS258</f>
        <v>22501</v>
      </c>
      <c r="BT254" s="3">
        <f>BS254+BT258</f>
        <v>22501</v>
      </c>
      <c r="BU254" s="3">
        <f>BT254</f>
        <v>22501</v>
      </c>
      <c r="BV254" s="3">
        <f>BU254+BV258</f>
        <v>22501</v>
      </c>
      <c r="BW254" s="3">
        <f>BV254+BW258</f>
        <v>22501</v>
      </c>
      <c r="BX254" s="3">
        <f>BW254+BX258</f>
        <v>22501</v>
      </c>
      <c r="BY254" s="3">
        <f>BX254+BY258</f>
        <v>22501</v>
      </c>
      <c r="BZ254" s="3">
        <f>BY254</f>
        <v>22501</v>
      </c>
      <c r="CA254" s="3">
        <f>BZ254+CA258</f>
        <v>22501</v>
      </c>
      <c r="CB254" s="3">
        <f>CA254+CB258</f>
        <v>22501</v>
      </c>
      <c r="CC254" s="3">
        <f>CB254+CC258</f>
        <v>22501</v>
      </c>
      <c r="CD254" s="3">
        <f>CC254+CD258</f>
        <v>22501</v>
      </c>
      <c r="CE254" s="3">
        <f>CD254</f>
        <v>22501</v>
      </c>
      <c r="CF254" s="3">
        <f>CE254+CF258</f>
        <v>22501</v>
      </c>
      <c r="CG254" s="3">
        <f>CF254+CG258</f>
        <v>22501</v>
      </c>
      <c r="CH254" s="3">
        <f>CG254+CH258</f>
        <v>22501</v>
      </c>
      <c r="CI254" s="3">
        <f>CH254+CI258</f>
        <v>22501</v>
      </c>
      <c r="CJ254" s="3">
        <f>CI254</f>
        <v>22501</v>
      </c>
      <c r="CK254" s="3">
        <f>CJ254+CK258</f>
        <v>22501</v>
      </c>
      <c r="CL254" s="3">
        <f>CK254+CL258</f>
        <v>22501</v>
      </c>
      <c r="CM254" s="3">
        <f>CL254+CM258</f>
        <v>22501</v>
      </c>
      <c r="CN254" s="3">
        <f>CM254+CN258</f>
        <v>22501</v>
      </c>
      <c r="CO254" s="3">
        <f>CN254</f>
        <v>22501</v>
      </c>
      <c r="CP254" s="3">
        <f>CO254+CP258</f>
        <v>22501</v>
      </c>
      <c r="CQ254" s="3">
        <f>CP254+CQ258</f>
        <v>22501</v>
      </c>
      <c r="CR254" s="3">
        <f>CQ254+CR258</f>
        <v>22501</v>
      </c>
      <c r="CS254" s="3">
        <f>CR254+CS258</f>
        <v>22501</v>
      </c>
      <c r="CT254" s="3">
        <f>CS254</f>
        <v>22501</v>
      </c>
      <c r="CU254" s="3">
        <f>CT254+CU258</f>
        <v>22501</v>
      </c>
      <c r="CV254" s="3">
        <f>CU254+CV258</f>
        <v>22501</v>
      </c>
      <c r="CW254" s="3">
        <f>CV254+CW258</f>
        <v>22501</v>
      </c>
      <c r="CX254" s="3">
        <f>CW254+CX258</f>
        <v>22501</v>
      </c>
      <c r="CY254" s="3">
        <f>CX254</f>
        <v>22501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>
        <f>INDEX('Inputs (2)'!$D$44:$AL$44,MATCH(D$7,'Inputs (2)'!$D$2:$AL$2,0))</f>
        <v>-52088</v>
      </c>
      <c r="E267" s="25">
        <f>INDEX('Inputs (2)'!$D$44:$AL$44,MATCH(E$7,'Inputs (2)'!$D$2:$AL$2,0))</f>
        <v>-52071</v>
      </c>
      <c r="F267" s="25">
        <f>INDEX('Inputs (2)'!$D$44:$AL$44,MATCH(F$7,'Inputs (2)'!$D$2:$AL$2,0))</f>
        <v>-52033</v>
      </c>
      <c r="G267" s="25">
        <f>INDEX('Inputs (2)'!$D$44:$AL$44,MATCH(G$7,'Inputs (2)'!$D$2:$AL$2,0))</f>
        <v>-52016</v>
      </c>
      <c r="H267" s="3">
        <f>G267</f>
        <v>-52016</v>
      </c>
      <c r="I267" s="25">
        <f>INDEX('Inputs (2)'!$D$44:$AL$44,MATCH(I$7,'Inputs (2)'!$D$2:$AL$2,0))</f>
        <v>-51911</v>
      </c>
      <c r="J267" s="25">
        <f>INDEX('Inputs (2)'!$D$44:$AL$44,MATCH(J$7,'Inputs (2)'!$D$2:$AL$2,0))</f>
        <v>-51831</v>
      </c>
      <c r="K267" s="25">
        <f>INDEX('Inputs (2)'!$D$44:$AL$44,MATCH(K$7,'Inputs (2)'!$D$2:$AL$2,0))</f>
        <v>-51754</v>
      </c>
      <c r="L267" s="25">
        <f>INDEX('Inputs (2)'!$D$44:$AL$44,MATCH(L$7,'Inputs (2)'!$D$2:$AL$2,0))</f>
        <v>-51641</v>
      </c>
      <c r="M267" s="3">
        <f>L267</f>
        <v>-51641</v>
      </c>
      <c r="N267" s="25">
        <f>INDEX('Inputs (2)'!$D$44:$AL$44,MATCH(N$7,'Inputs (2)'!$D$2:$AL$2,0))</f>
        <v>-51932</v>
      </c>
      <c r="O267" s="25">
        <f>INDEX('Inputs (2)'!$D$44:$AL$44,MATCH(O$7,'Inputs (2)'!$D$2:$AL$2,0))</f>
        <v>-52505</v>
      </c>
      <c r="P267" s="25">
        <f>INDEX('Inputs (2)'!$D$44:$AL$44,MATCH(P$7,'Inputs (2)'!$D$2:$AL$2,0))</f>
        <v>-52666</v>
      </c>
      <c r="Q267" s="25">
        <f>INDEX('Inputs (2)'!$D$44:$AL$44,MATCH(Q$7,'Inputs (2)'!$D$2:$AL$2,0))</f>
        <v>-52601</v>
      </c>
      <c r="R267" s="3">
        <f>Q267</f>
        <v>-52601</v>
      </c>
      <c r="S267" s="25">
        <f>INDEX('Inputs (2)'!$D$44:$AL$44,MATCH(S$7,'Inputs (2)'!$D$2:$AL$2,0))</f>
        <v>-53247</v>
      </c>
      <c r="T267" s="25">
        <f>INDEX('Inputs (2)'!$D$44:$AL$44,MATCH(T$7,'Inputs (2)'!$D$2:$AL$2,0))</f>
        <v>-53418</v>
      </c>
      <c r="U267" s="25">
        <f>INDEX('Inputs (2)'!$D$44:$AL$44,MATCH(U$7,'Inputs (2)'!$D$2:$AL$2,0))</f>
        <v>-53494</v>
      </c>
      <c r="V267" s="25">
        <f>INDEX('Inputs (2)'!$D$44:$AL$44,MATCH(V$7,'Inputs (2)'!$D$2:$AL$2,0))</f>
        <v>-54535</v>
      </c>
      <c r="W267" s="3">
        <f>V267</f>
        <v>-54535</v>
      </c>
      <c r="X267" s="25">
        <f>INDEX('Inputs (2)'!$D$44:$AL$44,MATCH(X$7,'Inputs (2)'!$D$2:$AL$2,0))</f>
        <v>-55016</v>
      </c>
      <c r="Y267" s="25">
        <f>INDEX('Inputs (2)'!$D$44:$AL$44,MATCH(Y$7,'Inputs (2)'!$D$2:$AL$2,0))</f>
        <v>-55106</v>
      </c>
      <c r="Z267" s="25">
        <f>INDEX('Inputs (2)'!$D$44:$AL$44,MATCH(Z$7,'Inputs (2)'!$D$2:$AL$2,0))</f>
        <v>-55362</v>
      </c>
      <c r="AA267" s="25">
        <f>INDEX('Inputs (2)'!$D$44:$AL$44,MATCH(AA$7,'Inputs (2)'!$D$2:$AL$2,0))</f>
        <v>-55916</v>
      </c>
      <c r="AB267" s="3">
        <f>AA267</f>
        <v>-55916</v>
      </c>
      <c r="AC267" s="25">
        <f>INDEX('Inputs (2)'!$D$44:$AL$44,MATCH(AC$7,'Inputs (2)'!$D$2:$AL$2,0))</f>
        <v>-56138</v>
      </c>
      <c r="AD267" s="25">
        <f>INDEX('Inputs (2)'!$D$44:$AL$44,MATCH(AD$7,'Inputs (2)'!$D$2:$AL$2,0))</f>
        <v>-56190</v>
      </c>
      <c r="AE267" s="25">
        <f>INDEX('Inputs (2)'!$D$44:$AL$44,MATCH(AE$7,'Inputs (2)'!$D$2:$AL$2,0))</f>
        <v>-56355</v>
      </c>
      <c r="AF267" s="25">
        <f>INDEX('Inputs (2)'!$D$44:$AL$44,MATCH(AF$7,'Inputs (2)'!$D$2:$AL$2,0))</f>
        <v>-56423</v>
      </c>
      <c r="AG267" s="3">
        <f>AF267</f>
        <v>-56423</v>
      </c>
      <c r="AH267" s="3">
        <f>INDEX('Inputs (2)'!$D$44:$AL$44,MATCH(AH$7,'Inputs (2)'!$D$2:$AL$2,0))</f>
        <v>-56747</v>
      </c>
      <c r="AI267" s="3">
        <f>INDEX('Inputs (2)'!$D$44:$AL$44,MATCH(AI$7,'Inputs (2)'!$D$2:$AL$2,0))</f>
        <v>-56894</v>
      </c>
      <c r="AJ267" s="3">
        <f>AI267+AJ257</f>
        <v>-56894</v>
      </c>
      <c r="AK267" s="3">
        <f>AJ267+AK257</f>
        <v>-56894</v>
      </c>
      <c r="AL267" s="3">
        <f>AK267</f>
        <v>-56894</v>
      </c>
      <c r="AM267" s="3">
        <f>AL267+AM257</f>
        <v>-56894</v>
      </c>
      <c r="AN267" s="3">
        <f>AM267+AN257</f>
        <v>-56894</v>
      </c>
      <c r="AO267" s="3">
        <f>AN267+AO257</f>
        <v>-56894</v>
      </c>
      <c r="AP267" s="3">
        <f>AO267+AP257</f>
        <v>-56894</v>
      </c>
      <c r="AQ267" s="3">
        <f>AP267</f>
        <v>-56894</v>
      </c>
      <c r="AR267" s="3">
        <f>AQ267+AR257</f>
        <v>-56894</v>
      </c>
      <c r="AS267" s="3">
        <f>AR267+AS257</f>
        <v>-56894</v>
      </c>
      <c r="AT267" s="3">
        <f>AS267+AT257</f>
        <v>-56894</v>
      </c>
      <c r="AU267" s="3">
        <f>AT267+AU257</f>
        <v>-56894</v>
      </c>
      <c r="AV267" s="3">
        <f>AU267</f>
        <v>-56894</v>
      </c>
      <c r="AW267" s="3">
        <f>AV267+AW257</f>
        <v>-56894</v>
      </c>
      <c r="AX267" s="3">
        <f>AW267+AX257</f>
        <v>-56894</v>
      </c>
      <c r="AY267" s="3">
        <f>AX267+AY257</f>
        <v>-56894</v>
      </c>
      <c r="AZ267" s="3">
        <f>AY267+AZ257</f>
        <v>-56894</v>
      </c>
      <c r="BA267" s="3">
        <f>AZ267</f>
        <v>-56894</v>
      </c>
      <c r="BB267" s="3">
        <f>BA267+BB257</f>
        <v>-56894</v>
      </c>
      <c r="BC267" s="3">
        <f>BB267+BC257</f>
        <v>-56894</v>
      </c>
      <c r="BD267" s="3">
        <f>BC267+BD257</f>
        <v>-56894</v>
      </c>
      <c r="BE267" s="3">
        <f>BD267+BE257</f>
        <v>-56894</v>
      </c>
      <c r="BF267" s="3">
        <f>BE267</f>
        <v>-56894</v>
      </c>
      <c r="BG267" s="3">
        <f>BF267+BG257</f>
        <v>-56894</v>
      </c>
      <c r="BH267" s="3">
        <f>BG267+BH257</f>
        <v>-56894</v>
      </c>
      <c r="BI267" s="3">
        <f>BH267+BI257</f>
        <v>-56894</v>
      </c>
      <c r="BJ267" s="3">
        <f>BI267+BJ257</f>
        <v>-56894</v>
      </c>
      <c r="BK267" s="3">
        <f>BJ267</f>
        <v>-56894</v>
      </c>
      <c r="BL267" s="3">
        <f>BK267+BL257</f>
        <v>-56894</v>
      </c>
      <c r="BM267" s="3">
        <f>BL267+BM257</f>
        <v>-56894</v>
      </c>
      <c r="BN267" s="3">
        <f>BM267+BN257</f>
        <v>-56894</v>
      </c>
      <c r="BO267" s="3">
        <f>BN267+BO257</f>
        <v>-56894</v>
      </c>
      <c r="BP267" s="3">
        <f>BO267</f>
        <v>-56894</v>
      </c>
      <c r="BQ267" s="3">
        <f>BP267+BQ257</f>
        <v>-56894</v>
      </c>
      <c r="BR267" s="3">
        <f>BQ267+BR257</f>
        <v>-56894</v>
      </c>
      <c r="BS267" s="3">
        <f>BR267+BS257</f>
        <v>-56894</v>
      </c>
      <c r="BT267" s="3">
        <f>BS267+BT257</f>
        <v>-56894</v>
      </c>
      <c r="BU267" s="3">
        <f>BT267</f>
        <v>-56894</v>
      </c>
      <c r="BV267" s="3">
        <f>BU267+BV257</f>
        <v>-56894</v>
      </c>
      <c r="BW267" s="3">
        <f>BV267+BW257</f>
        <v>-56894</v>
      </c>
      <c r="BX267" s="3">
        <f>BW267+BX257</f>
        <v>-56894</v>
      </c>
      <c r="BY267" s="3">
        <f>BX267+BY257</f>
        <v>-56894</v>
      </c>
      <c r="BZ267" s="3">
        <f>BY267</f>
        <v>-56894</v>
      </c>
      <c r="CA267" s="3">
        <f>BZ267+CA257</f>
        <v>-56894</v>
      </c>
      <c r="CB267" s="3">
        <f>CA267+CB257</f>
        <v>-56894</v>
      </c>
      <c r="CC267" s="3">
        <f>CB267+CC257</f>
        <v>-56894</v>
      </c>
      <c r="CD267" s="3">
        <f>CC267+CD257</f>
        <v>-56894</v>
      </c>
      <c r="CE267" s="3">
        <f>CD267</f>
        <v>-56894</v>
      </c>
      <c r="CF267" s="3">
        <f>CE267+CF257</f>
        <v>-56894</v>
      </c>
      <c r="CG267" s="3">
        <f>CF267+CG257</f>
        <v>-56894</v>
      </c>
      <c r="CH267" s="3">
        <f>CG267+CH257</f>
        <v>-56894</v>
      </c>
      <c r="CI267" s="3">
        <f>CH267+CI257</f>
        <v>-56894</v>
      </c>
      <c r="CJ267" s="3">
        <f>CI267</f>
        <v>-56894</v>
      </c>
      <c r="CK267" s="3">
        <f>CJ267+CK257</f>
        <v>-56894</v>
      </c>
      <c r="CL267" s="3">
        <f>CK267+CL257</f>
        <v>-56894</v>
      </c>
      <c r="CM267" s="3">
        <f>CL267+CM257</f>
        <v>-56894</v>
      </c>
      <c r="CN267" s="3">
        <f>CM267+CN257</f>
        <v>-56894</v>
      </c>
      <c r="CO267" s="3">
        <f>CN267</f>
        <v>-56894</v>
      </c>
      <c r="CP267" s="3">
        <f>CO267+CP257</f>
        <v>-56894</v>
      </c>
      <c r="CQ267" s="3">
        <f>CP267+CQ257</f>
        <v>-56894</v>
      </c>
      <c r="CR267" s="3">
        <f>CQ267+CR257</f>
        <v>-56894</v>
      </c>
      <c r="CS267" s="3">
        <f>CR267+CS257</f>
        <v>-56894</v>
      </c>
      <c r="CT267" s="3">
        <f>CS267</f>
        <v>-56894</v>
      </c>
      <c r="CU267" s="3">
        <f>CT267+CU257</f>
        <v>-56894</v>
      </c>
      <c r="CV267" s="3">
        <f>CU267+CV257</f>
        <v>-56894</v>
      </c>
      <c r="CW267" s="3">
        <f>CV267+CW257</f>
        <v>-56894</v>
      </c>
      <c r="CX267" s="3">
        <f>CW267+CX257</f>
        <v>-56894</v>
      </c>
      <c r="CY267" s="3">
        <f>CX267</f>
        <v>-56894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-15696</v>
      </c>
      <c r="E268" s="25">
        <f>INDEX('Inputs (2)'!$D$45:$AL$45,MATCH(E$7,'Inputs (2)'!$D$2:$AL$2,0))</f>
        <v>-16460</v>
      </c>
      <c r="F268" s="25">
        <f>INDEX('Inputs (2)'!$D$45:$AL$45,MATCH(F$7,'Inputs (2)'!$D$2:$AL$2,0))</f>
        <v>-15446</v>
      </c>
      <c r="G268" s="25">
        <f>INDEX('Inputs (2)'!$D$45:$AL$45,MATCH(G$7,'Inputs (2)'!$D$2:$AL$2,0))</f>
        <v>-14601</v>
      </c>
      <c r="H268" s="3">
        <f>G268</f>
        <v>-14601</v>
      </c>
      <c r="I268" s="25">
        <f>INDEX('Inputs (2)'!$D$45:$AL$45,MATCH(I$7,'Inputs (2)'!$D$2:$AL$2,0))</f>
        <v>-14133</v>
      </c>
      <c r="J268" s="25">
        <f>INDEX('Inputs (2)'!$D$45:$AL$45,MATCH(J$7,'Inputs (2)'!$D$2:$AL$2,0))</f>
        <v>-13299</v>
      </c>
      <c r="K268" s="25">
        <f>INDEX('Inputs (2)'!$D$45:$AL$45,MATCH(K$7,'Inputs (2)'!$D$2:$AL$2,0))</f>
        <v>-14250</v>
      </c>
      <c r="L268" s="25">
        <f>INDEX('Inputs (2)'!$D$45:$AL$45,MATCH(L$7,'Inputs (2)'!$D$2:$AL$2,0))</f>
        <v>-14330</v>
      </c>
      <c r="M268" s="3">
        <f>L268</f>
        <v>-14330</v>
      </c>
      <c r="N268" s="25">
        <f>INDEX('Inputs (2)'!$D$45:$AL$45,MATCH(N$7,'Inputs (2)'!$D$2:$AL$2,0))</f>
        <v>-13340</v>
      </c>
      <c r="O268" s="25">
        <f>INDEX('Inputs (2)'!$D$45:$AL$45,MATCH(O$7,'Inputs (2)'!$D$2:$AL$2,0))</f>
        <v>-14801</v>
      </c>
      <c r="P268" s="25">
        <f>INDEX('Inputs (2)'!$D$45:$AL$45,MATCH(P$7,'Inputs (2)'!$D$2:$AL$2,0))</f>
        <v>-15869</v>
      </c>
      <c r="Q268" s="25">
        <f>INDEX('Inputs (2)'!$D$45:$AL$45,MATCH(Q$7,'Inputs (2)'!$D$2:$AL$2,0))</f>
        <v>-14895</v>
      </c>
      <c r="R268" s="3">
        <f>Q268</f>
        <v>-14895</v>
      </c>
      <c r="S268" s="25">
        <f>INDEX('Inputs (2)'!$D$45:$AL$45,MATCH(S$7,'Inputs (2)'!$D$2:$AL$2,0))</f>
        <v>-14322</v>
      </c>
      <c r="T268" s="25">
        <f>INDEX('Inputs (2)'!$D$45:$AL$45,MATCH(T$7,'Inputs (2)'!$D$2:$AL$2,0))</f>
        <v>-14017</v>
      </c>
      <c r="U268" s="25">
        <f>INDEX('Inputs (2)'!$D$45:$AL$45,MATCH(U$7,'Inputs (2)'!$D$2:$AL$2,0))</f>
        <v>-14815</v>
      </c>
      <c r="V268" s="25">
        <f>INDEX('Inputs (2)'!$D$45:$AL$45,MATCH(V$7,'Inputs (2)'!$D$2:$AL$2,0))</f>
        <v>-14275</v>
      </c>
      <c r="W268" s="3">
        <f>V268</f>
        <v>-14275</v>
      </c>
      <c r="X268" s="25">
        <f>INDEX('Inputs (2)'!$D$45:$AL$45,MATCH(X$7,'Inputs (2)'!$D$2:$AL$2,0))</f>
        <v>-14504</v>
      </c>
      <c r="Y268" s="25">
        <f>INDEX('Inputs (2)'!$D$45:$AL$45,MATCH(Y$7,'Inputs (2)'!$D$2:$AL$2,0))</f>
        <v>-15458</v>
      </c>
      <c r="Z268" s="25">
        <f>INDEX('Inputs (2)'!$D$45:$AL$45,MATCH(Z$7,'Inputs (2)'!$D$2:$AL$2,0))</f>
        <v>-15536</v>
      </c>
      <c r="AA268" s="25">
        <f>INDEX('Inputs (2)'!$D$45:$AL$45,MATCH(AA$7,'Inputs (2)'!$D$2:$AL$2,0))</f>
        <v>-16843</v>
      </c>
      <c r="AB268" s="3">
        <f>AA268</f>
        <v>-16843</v>
      </c>
      <c r="AC268" s="25">
        <f>INDEX('Inputs (2)'!$D$45:$AL$45,MATCH(AC$7,'Inputs (2)'!$D$2:$AL$2,0))</f>
        <v>-16482</v>
      </c>
      <c r="AD268" s="25">
        <f>INDEX('Inputs (2)'!$D$45:$AL$45,MATCH(AD$7,'Inputs (2)'!$D$2:$AL$2,0))</f>
        <v>-15758</v>
      </c>
      <c r="AE268" s="25">
        <f>INDEX('Inputs (2)'!$D$45:$AL$45,MATCH(AE$7,'Inputs (2)'!$D$2:$AL$2,0))</f>
        <v>-14952</v>
      </c>
      <c r="AF268" s="25">
        <f>INDEX('Inputs (2)'!$D$45:$AL$45,MATCH(AF$7,'Inputs (2)'!$D$2:$AL$2,0))</f>
        <v>-14131</v>
      </c>
      <c r="AG268" s="3">
        <f>AF268</f>
        <v>-14131</v>
      </c>
      <c r="AH268" s="3">
        <f>INDEX('Inputs (2)'!$D$45:$AL$45,MATCH(AH$7,'Inputs (2)'!$D$2:$AL$2,0))</f>
        <v>-14040</v>
      </c>
      <c r="AI268" s="3">
        <f>INDEX('Inputs (2)'!$D$45:$AL$45,MATCH(AI$7,'Inputs (2)'!$D$2:$AL$2,0))</f>
        <v>-13626</v>
      </c>
      <c r="AJ268" s="3">
        <f>AI268</f>
        <v>-13626</v>
      </c>
      <c r="AK268" s="3">
        <f>AJ268</f>
        <v>-13626</v>
      </c>
      <c r="AL268" s="3">
        <f>AK268</f>
        <v>-13626</v>
      </c>
      <c r="AM268" s="3">
        <f>AL268</f>
        <v>-13626</v>
      </c>
      <c r="AN268" s="3">
        <f>AM268</f>
        <v>-13626</v>
      </c>
      <c r="AO268" s="3">
        <f>AN268</f>
        <v>-13626</v>
      </c>
      <c r="AP268" s="3">
        <f>AO268</f>
        <v>-13626</v>
      </c>
      <c r="AQ268" s="3">
        <f>AP268</f>
        <v>-13626</v>
      </c>
      <c r="AR268" s="3">
        <f>AQ268</f>
        <v>-13626</v>
      </c>
      <c r="AS268" s="3">
        <f>AR268</f>
        <v>-13626</v>
      </c>
      <c r="AT268" s="3">
        <f>AS268</f>
        <v>-13626</v>
      </c>
      <c r="AU268" s="3">
        <f>AT268</f>
        <v>-13626</v>
      </c>
      <c r="AV268" s="3">
        <f>AU268</f>
        <v>-13626</v>
      </c>
      <c r="AW268" s="3">
        <f>AV268</f>
        <v>-13626</v>
      </c>
      <c r="AX268" s="3">
        <f>AW268</f>
        <v>-13626</v>
      </c>
      <c r="AY268" s="3">
        <f>AX268</f>
        <v>-13626</v>
      </c>
      <c r="AZ268" s="3">
        <f>AY268</f>
        <v>-13626</v>
      </c>
      <c r="BA268" s="3">
        <f>AZ268</f>
        <v>-13626</v>
      </c>
      <c r="BB268" s="3">
        <f>BA268</f>
        <v>-13626</v>
      </c>
      <c r="BC268" s="3">
        <f>BB268</f>
        <v>-13626</v>
      </c>
      <c r="BD268" s="3">
        <f>BC268</f>
        <v>-13626</v>
      </c>
      <c r="BE268" s="3">
        <f>BD268</f>
        <v>-13626</v>
      </c>
      <c r="BF268" s="3">
        <f>BE268</f>
        <v>-13626</v>
      </c>
      <c r="BG268" s="3">
        <f>BF268</f>
        <v>-13626</v>
      </c>
      <c r="BH268" s="3">
        <f>BG268</f>
        <v>-13626</v>
      </c>
      <c r="BI268" s="3">
        <f>BH268</f>
        <v>-13626</v>
      </c>
      <c r="BJ268" s="3">
        <f>BI268</f>
        <v>-13626</v>
      </c>
      <c r="BK268" s="3">
        <f>BJ268</f>
        <v>-13626</v>
      </c>
      <c r="BL268" s="3">
        <f>BK268</f>
        <v>-13626</v>
      </c>
      <c r="BM268" s="3">
        <f>BL268</f>
        <v>-13626</v>
      </c>
      <c r="BN268" s="3">
        <f>BM268</f>
        <v>-13626</v>
      </c>
      <c r="BO268" s="3">
        <f>BN268</f>
        <v>-13626</v>
      </c>
      <c r="BP268" s="3">
        <f>BO268</f>
        <v>-13626</v>
      </c>
      <c r="BQ268" s="3">
        <f>BP268</f>
        <v>-13626</v>
      </c>
      <c r="BR268" s="3">
        <f>BQ268</f>
        <v>-13626</v>
      </c>
      <c r="BS268" s="3">
        <f>BR268</f>
        <v>-13626</v>
      </c>
      <c r="BT268" s="3">
        <f>BS268</f>
        <v>-13626</v>
      </c>
      <c r="BU268" s="3">
        <f>BT268</f>
        <v>-13626</v>
      </c>
      <c r="BV268" s="3">
        <f>BU268</f>
        <v>-13626</v>
      </c>
      <c r="BW268" s="3">
        <f>BV268</f>
        <v>-13626</v>
      </c>
      <c r="BX268" s="3">
        <f>BW268</f>
        <v>-13626</v>
      </c>
      <c r="BY268" s="3">
        <f>BX268</f>
        <v>-13626</v>
      </c>
      <c r="BZ268" s="3">
        <f>BY268</f>
        <v>-13626</v>
      </c>
      <c r="CA268" s="3">
        <f>BZ268</f>
        <v>-13626</v>
      </c>
      <c r="CB268" s="3">
        <f>CA268</f>
        <v>-13626</v>
      </c>
      <c r="CC268" s="3">
        <f>CB268</f>
        <v>-13626</v>
      </c>
      <c r="CD268" s="3">
        <f>CC268</f>
        <v>-13626</v>
      </c>
      <c r="CE268" s="3">
        <f>CD268</f>
        <v>-13626</v>
      </c>
      <c r="CF268" s="3">
        <f>CE268</f>
        <v>-13626</v>
      </c>
      <c r="CG268" s="3">
        <f>CF268</f>
        <v>-13626</v>
      </c>
      <c r="CH268" s="3">
        <f>CG268</f>
        <v>-13626</v>
      </c>
      <c r="CI268" s="3">
        <f>CH268</f>
        <v>-13626</v>
      </c>
      <c r="CJ268" s="3">
        <f>CI268</f>
        <v>-13626</v>
      </c>
      <c r="CK268" s="3">
        <f>CJ268</f>
        <v>-13626</v>
      </c>
      <c r="CL268" s="3">
        <f>CK268</f>
        <v>-13626</v>
      </c>
      <c r="CM268" s="3">
        <f>CL268</f>
        <v>-13626</v>
      </c>
      <c r="CN268" s="3">
        <f>CM268</f>
        <v>-13626</v>
      </c>
      <c r="CO268" s="3">
        <f>CN268</f>
        <v>-13626</v>
      </c>
      <c r="CP268" s="3">
        <f>CO268</f>
        <v>-13626</v>
      </c>
      <c r="CQ268" s="3">
        <f>CP268</f>
        <v>-13626</v>
      </c>
      <c r="CR268" s="3">
        <f>CQ268</f>
        <v>-13626</v>
      </c>
      <c r="CS268" s="3">
        <f>CR268</f>
        <v>-13626</v>
      </c>
      <c r="CT268" s="3">
        <f>CS268</f>
        <v>-13626</v>
      </c>
      <c r="CU268" s="3">
        <f>CT268</f>
        <v>-13626</v>
      </c>
      <c r="CV268" s="3">
        <f>CU268</f>
        <v>-13626</v>
      </c>
      <c r="CW268" s="3">
        <f>CV268</f>
        <v>-13626</v>
      </c>
      <c r="CX268" s="3">
        <f>CW268</f>
        <v>-13626</v>
      </c>
      <c r="CY268" s="3">
        <f>CX268</f>
        <v>-13626</v>
      </c>
    </row>
    <row r="269">
      <c r="C269" s="26" t="inlineStr">
        <is>
          <t>Other equity account</t>
        </is>
      </c>
      <c r="D269" s="25">
        <f>INDEX('Inputs (2)'!$D$46:$AL$46,MATCH(D$7,'Inputs (2)'!$D$2:$AL$2,0))</f>
        <v>0</v>
      </c>
      <c r="E269" s="25">
        <f>INDEX('Inputs (2)'!$D$46:$AL$46,MATCH(E$7,'Inputs (2)'!$D$2:$AL$2,0))</f>
        <v>0</v>
      </c>
      <c r="F269" s="25">
        <f>INDEX('Inputs (2)'!$D$46:$AL$46,MATCH(F$7,'Inputs (2)'!$D$2:$AL$2,0))</f>
        <v>0</v>
      </c>
      <c r="G269" s="25">
        <f>INDEX('Inputs (2)'!$D$46:$AL$46,MATCH(G$7,'Inputs (2)'!$D$2:$AL$2,0))</f>
        <v>0</v>
      </c>
      <c r="H269" s="3">
        <f>G269</f>
        <v>0</v>
      </c>
      <c r="I269" s="25">
        <f>INDEX('Inputs (2)'!$D$46:$AL$46,MATCH(I$7,'Inputs (2)'!$D$2:$AL$2,0))</f>
        <v>0</v>
      </c>
      <c r="J269" s="25">
        <f>INDEX('Inputs (2)'!$D$46:$AL$46,MATCH(J$7,'Inputs (2)'!$D$2:$AL$2,0))</f>
        <v>0</v>
      </c>
      <c r="K269" s="25">
        <f>INDEX('Inputs (2)'!$D$46:$AL$46,MATCH(K$7,'Inputs (2)'!$D$2:$AL$2,0))</f>
        <v>0</v>
      </c>
      <c r="L269" s="25">
        <f>INDEX('Inputs (2)'!$D$46:$AL$46,MATCH(L$7,'Inputs (2)'!$D$2:$AL$2,0))</f>
        <v>0</v>
      </c>
      <c r="M269" s="3">
        <f>L269</f>
        <v>0</v>
      </c>
      <c r="N269" s="25">
        <f>INDEX('Inputs (2)'!$D$46:$AL$46,MATCH(N$7,'Inputs (2)'!$D$2:$AL$2,0))</f>
        <v>0</v>
      </c>
      <c r="O269" s="25">
        <f>INDEX('Inputs (2)'!$D$46:$AL$46,MATCH(O$7,'Inputs (2)'!$D$2:$AL$2,0))</f>
        <v>0</v>
      </c>
      <c r="P269" s="25">
        <f>INDEX('Inputs (2)'!$D$46:$AL$46,MATCH(P$7,'Inputs (2)'!$D$2:$AL$2,0))</f>
        <v>0</v>
      </c>
      <c r="Q269" s="25">
        <f>INDEX('Inputs (2)'!$D$46:$AL$46,MATCH(Q$7,'Inputs (2)'!$D$2:$AL$2,0))</f>
        <v>0</v>
      </c>
      <c r="R269" s="3">
        <f>Q269</f>
        <v>0</v>
      </c>
      <c r="S269" s="25">
        <f>INDEX('Inputs (2)'!$D$46:$AL$46,MATCH(S$7,'Inputs (2)'!$D$2:$AL$2,0))</f>
        <v>0</v>
      </c>
      <c r="T269" s="25">
        <f>INDEX('Inputs (2)'!$D$46:$AL$46,MATCH(T$7,'Inputs (2)'!$D$2:$AL$2,0))</f>
        <v>0</v>
      </c>
      <c r="U269" s="25">
        <f>INDEX('Inputs (2)'!$D$46:$AL$46,MATCH(U$7,'Inputs (2)'!$D$2:$AL$2,0))</f>
        <v>0</v>
      </c>
      <c r="V269" s="25">
        <f>INDEX('Inputs (2)'!$D$46:$AL$46,MATCH(V$7,'Inputs (2)'!$D$2:$AL$2,0))</f>
        <v>0</v>
      </c>
      <c r="W269" s="3">
        <f>V269</f>
        <v>0</v>
      </c>
      <c r="X269" s="25">
        <f>INDEX('Inputs (2)'!$D$46:$AL$46,MATCH(X$7,'Inputs (2)'!$D$2:$AL$2,0))</f>
        <v>0</v>
      </c>
      <c r="Y269" s="25">
        <f>INDEX('Inputs (2)'!$D$46:$AL$46,MATCH(Y$7,'Inputs (2)'!$D$2:$AL$2,0))</f>
        <v>0</v>
      </c>
      <c r="Z269" s="25">
        <f>INDEX('Inputs (2)'!$D$46:$AL$46,MATCH(Z$7,'Inputs (2)'!$D$2:$AL$2,0))</f>
        <v>0</v>
      </c>
      <c r="AA269" s="25">
        <f>INDEX('Inputs (2)'!$D$46:$AL$46,MATCH(AA$7,'Inputs (2)'!$D$2:$AL$2,0))</f>
        <v>0</v>
      </c>
      <c r="AB269" s="3">
        <f>AA269</f>
        <v>0</v>
      </c>
      <c r="AC269" s="25">
        <f>INDEX('Inputs (2)'!$D$46:$AL$46,MATCH(AC$7,'Inputs (2)'!$D$2:$AL$2,0))</f>
        <v>0</v>
      </c>
      <c r="AD269" s="25">
        <f>INDEX('Inputs (2)'!$D$46:$AL$46,MATCH(AD$7,'Inputs (2)'!$D$2:$AL$2,0))</f>
        <v>0</v>
      </c>
      <c r="AE269" s="25">
        <f>INDEX('Inputs (2)'!$D$46:$AL$46,MATCH(AE$7,'Inputs (2)'!$D$2:$AL$2,0))</f>
        <v>0</v>
      </c>
      <c r="AF269" s="25">
        <f>INDEX('Inputs (2)'!$D$46:$AL$46,MATCH(AF$7,'Inputs (2)'!$D$2:$AL$2,0))</f>
        <v>0</v>
      </c>
      <c r="AG269" s="3">
        <f>AF269</f>
        <v>0</v>
      </c>
      <c r="AH269" s="3">
        <f>INDEX('Inputs (2)'!$D$46:$AL$46,MATCH(AH$7,'Inputs (2)'!$D$2:$AL$2,0))</f>
        <v>0</v>
      </c>
      <c r="AI269" s="3">
        <f>INDEX('Inputs (2)'!$D$46:$AL$46,MATCH(AI$7,'Inputs (2)'!$D$2:$AL$2,0))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66870</v>
      </c>
      <c r="E270" s="25">
        <f>INDEX('Inputs (2)'!$D$47:$AL$47,MATCH(E$7,'Inputs (2)'!$D$2:$AL$2,0))</f>
        <v>66888</v>
      </c>
      <c r="F270" s="25">
        <f>INDEX('Inputs (2)'!$D$47:$AL$47,MATCH(F$7,'Inputs (2)'!$D$2:$AL$2,0))</f>
        <v>66863</v>
      </c>
      <c r="G270" s="25">
        <f>INDEX('Inputs (2)'!$D$47:$AL$47,MATCH(G$7,'Inputs (2)'!$D$2:$AL$2,0))</f>
        <v>66555</v>
      </c>
      <c r="H270" s="3">
        <f>G270</f>
        <v>66555</v>
      </c>
      <c r="I270" s="25">
        <f>INDEX('Inputs (2)'!$D$47:$AL$47,MATCH(I$7,'Inputs (2)'!$D$2:$AL$2,0))</f>
        <v>67009</v>
      </c>
      <c r="J270" s="25">
        <f>INDEX('Inputs (2)'!$D$47:$AL$47,MATCH(J$7,'Inputs (2)'!$D$2:$AL$2,0))</f>
        <v>67838</v>
      </c>
      <c r="K270" s="25">
        <f>INDEX('Inputs (2)'!$D$47:$AL$47,MATCH(K$7,'Inputs (2)'!$D$2:$AL$2,0))</f>
        <v>68494</v>
      </c>
      <c r="L270" s="25">
        <f>INDEX('Inputs (2)'!$D$47:$AL$47,MATCH(L$7,'Inputs (2)'!$D$2:$AL$2,0))</f>
        <v>69094</v>
      </c>
      <c r="M270" s="3">
        <f>L270</f>
        <v>69094</v>
      </c>
      <c r="N270" s="25">
        <f>INDEX('Inputs (2)'!$D$47:$AL$47,MATCH(N$7,'Inputs (2)'!$D$2:$AL$2,0))</f>
        <v>69969</v>
      </c>
      <c r="O270" s="25">
        <f>INDEX('Inputs (2)'!$D$47:$AL$47,MATCH(O$7,'Inputs (2)'!$D$2:$AL$2,0))</f>
        <v>69970</v>
      </c>
      <c r="P270" s="25">
        <f>INDEX('Inputs (2)'!$D$47:$AL$47,MATCH(P$7,'Inputs (2)'!$D$2:$AL$2,0))</f>
        <v>70893</v>
      </c>
      <c r="Q270" s="25">
        <f>INDEX('Inputs (2)'!$D$47:$AL$47,MATCH(Q$7,'Inputs (2)'!$D$2:$AL$2,0))</f>
        <v>71019</v>
      </c>
      <c r="R270" s="3">
        <f>Q270</f>
        <v>71019</v>
      </c>
      <c r="S270" s="25">
        <f>INDEX('Inputs (2)'!$D$47:$AL$47,MATCH(S$7,'Inputs (2)'!$D$2:$AL$2,0))</f>
        <v>72137</v>
      </c>
      <c r="T270" s="25">
        <f>INDEX('Inputs (2)'!$D$47:$AL$47,MATCH(T$7,'Inputs (2)'!$D$2:$AL$2,0))</f>
        <v>72695</v>
      </c>
      <c r="U270" s="25">
        <f>INDEX('Inputs (2)'!$D$47:$AL$47,MATCH(U$7,'Inputs (2)'!$D$2:$AL$2,0))</f>
        <v>73793</v>
      </c>
      <c r="V270" s="25">
        <f>INDEX('Inputs (2)'!$D$47:$AL$47,MATCH(V$7,'Inputs (2)'!$D$2:$AL$2,0))</f>
        <v>73782</v>
      </c>
      <c r="W270" s="3">
        <f>V270</f>
        <v>73782</v>
      </c>
      <c r="X270" s="25">
        <f>INDEX('Inputs (2)'!$D$47:$AL$47,MATCH(X$7,'Inputs (2)'!$D$2:$AL$2,0))</f>
        <v>74868</v>
      </c>
      <c r="Y270" s="25">
        <f>INDEX('Inputs (2)'!$D$47:$AL$47,MATCH(Y$7,'Inputs (2)'!$D$2:$AL$2,0))</f>
        <v>75189</v>
      </c>
      <c r="Z270" s="25">
        <f>INDEX('Inputs (2)'!$D$47:$AL$47,MATCH(Z$7,'Inputs (2)'!$D$2:$AL$2,0))</f>
        <v>75946</v>
      </c>
      <c r="AA270" s="25">
        <f>INDEX('Inputs (2)'!$D$47:$AL$47,MATCH(AA$7,'Inputs (2)'!$D$2:$AL$2,0))</f>
        <v>76054</v>
      </c>
      <c r="AB270" s="3">
        <f>AA270</f>
        <v>76054</v>
      </c>
      <c r="AC270" s="25">
        <f>INDEX('Inputs (2)'!$D$47:$AL$47,MATCH(AC$7,'Inputs (2)'!$D$2:$AL$2,0))</f>
        <v>77189</v>
      </c>
      <c r="AD270" s="25">
        <f>INDEX('Inputs (2)'!$D$47:$AL$47,MATCH(AD$7,'Inputs (2)'!$D$2:$AL$2,0))</f>
        <v>78803</v>
      </c>
      <c r="AE270" s="25">
        <f>INDEX('Inputs (2)'!$D$47:$AL$47,MATCH(AE$7,'Inputs (2)'!$D$2:$AL$2,0))</f>
        <v>80305</v>
      </c>
      <c r="AF270" s="25">
        <f>INDEX('Inputs (2)'!$D$47:$AL$47,MATCH(AF$7,'Inputs (2)'!$D$2:$AL$2,0))</f>
        <v>80382</v>
      </c>
      <c r="AG270" s="3">
        <f>AF270</f>
        <v>80382</v>
      </c>
      <c r="AH270" s="3">
        <f>INDEX('Inputs (2)'!$D$47:$AL$47,MATCH(AH$7,'Inputs (2)'!$D$2:$AL$2,0))</f>
        <v>82026</v>
      </c>
      <c r="AI270" s="3">
        <f>INDEX('Inputs (2)'!$D$47:$AL$47,MATCH(AI$7,'Inputs (2)'!$D$2:$AL$2,0))</f>
        <v>84169</v>
      </c>
      <c r="AJ270" s="3">
        <f>AI270+AJ137+AJ138</f>
        <v>84809</v>
      </c>
      <c r="AK270" s="3">
        <f>AJ270+AK137+AK138</f>
        <v>85936</v>
      </c>
      <c r="AL270" s="3">
        <f>AK270</f>
        <v>85936</v>
      </c>
      <c r="AM270" s="3">
        <f>AL270+AM137+AM138</f>
        <v>87066</v>
      </c>
      <c r="AN270" s="3">
        <f>AM270+AN137+AN138</f>
        <v>90651</v>
      </c>
      <c r="AO270" s="3">
        <f>AN270+AO137+AO138</f>
        <v>91836</v>
      </c>
      <c r="AP270" s="3">
        <f>AO270+AP137+AP138</f>
        <v>95389</v>
      </c>
      <c r="AQ270" s="3">
        <f>AP270</f>
        <v>95389</v>
      </c>
      <c r="AR270" s="3">
        <f>AQ270+AR137+AR138</f>
        <v>98945</v>
      </c>
      <c r="AS270" s="3">
        <f>AR270+AS137+AS138</f>
        <v>108472</v>
      </c>
      <c r="AT270" s="3">
        <f>AS270+AT137+AT138</f>
        <v>112083</v>
      </c>
      <c r="AU270" s="3">
        <f>AT270+AU137+AU138</f>
        <v>121578</v>
      </c>
      <c r="AV270" s="3">
        <f>AU270</f>
        <v>121578</v>
      </c>
      <c r="AW270" s="3">
        <f>AV270+AW137+AW138</f>
        <v>131076</v>
      </c>
      <c r="AX270" s="3">
        <f>AW270+AX137+AX138</f>
        <v>157339</v>
      </c>
      <c r="AY270" s="3">
        <f>AX270+AY137+AY138</f>
        <v>166892</v>
      </c>
      <c r="AZ270" s="3">
        <f>AY270+AZ137+AZ138</f>
        <v>193123</v>
      </c>
      <c r="BA270" s="3">
        <f>AZ270</f>
        <v>193123</v>
      </c>
      <c r="BB270" s="3">
        <f>BA270+BB137+BB138</f>
        <v>219357</v>
      </c>
      <c r="BC270" s="3">
        <f>BB270+BC137+BC138</f>
        <v>290976</v>
      </c>
      <c r="BD270" s="3">
        <f>BC270+BD137+BD138</f>
        <v>317265</v>
      </c>
      <c r="BE270" s="3">
        <f>BD270+BE137+BE138</f>
        <v>388852</v>
      </c>
      <c r="BF270" s="3">
        <f>BE270</f>
        <v>388852</v>
      </c>
      <c r="BG270" s="3">
        <f>BF270+BG137+BG138</f>
        <v>460442</v>
      </c>
      <c r="BH270" s="3">
        <f>BG270+BH137+BH138</f>
        <v>656245</v>
      </c>
      <c r="BI270" s="3">
        <f>BH270+BI137+BI138</f>
        <v>727890</v>
      </c>
      <c r="BJ270" s="3">
        <f>BI270+BJ137+BJ138</f>
        <v>923661</v>
      </c>
      <c r="BK270" s="3">
        <f>BJ270</f>
        <v>923661</v>
      </c>
      <c r="BL270" s="3">
        <f>BK270+BL137+BL138</f>
        <v>1119435</v>
      </c>
      <c r="BM270" s="3">
        <f>BL270+BM137+BM138</f>
        <v>1654318</v>
      </c>
      <c r="BN270" s="3">
        <f>BM270+BN137+BN138</f>
        <v>1850147</v>
      </c>
      <c r="BO270" s="3">
        <f>BN270+BO137+BO138</f>
        <v>2384998</v>
      </c>
      <c r="BP270" s="3">
        <f>BO270</f>
        <v>2384998</v>
      </c>
      <c r="BQ270" s="3">
        <f>BP270+BQ137+BQ138</f>
        <v>2919852</v>
      </c>
      <c r="BR270" s="3">
        <f>BQ270+BR137+BR138</f>
        <v>4381263</v>
      </c>
      <c r="BS270" s="3">
        <f>BR270+BS137+BS138</f>
        <v>4916172</v>
      </c>
      <c r="BT270" s="3">
        <f>BS270+BT137+BT138</f>
        <v>6377551</v>
      </c>
      <c r="BU270" s="3">
        <f>BT270</f>
        <v>6377551</v>
      </c>
      <c r="BV270" s="3">
        <f>BU270+BV137+BV138</f>
        <v>7838933</v>
      </c>
      <c r="BW270" s="3">
        <f>BV270+BW137+BW138</f>
        <v>11831560</v>
      </c>
      <c r="BX270" s="3">
        <f>BW270+BX137+BX138</f>
        <v>13292997</v>
      </c>
      <c r="BY270" s="3">
        <f>BX270+BY137+BY138</f>
        <v>17285592</v>
      </c>
      <c r="BZ270" s="3">
        <f>BY270</f>
        <v>17285592</v>
      </c>
      <c r="CA270" s="3">
        <f>BZ270+CA137+CA138</f>
        <v>21278190</v>
      </c>
      <c r="CB270" s="3">
        <f>CA270+CB137+CB138</f>
        <v>32186305</v>
      </c>
      <c r="CC270" s="3">
        <f>CB270+CC137+CC138</f>
        <v>36178958</v>
      </c>
      <c r="CD270" s="3">
        <f>CC270+CD137+CD138</f>
        <v>47087041</v>
      </c>
      <c r="CE270" s="3">
        <f>CD270</f>
        <v>47087041</v>
      </c>
      <c r="CF270" s="3">
        <f>CE270+CF137+CF138</f>
        <v>57995127</v>
      </c>
      <c r="CG270" s="3">
        <f>CF270+CG137+CG138</f>
        <v>87796650</v>
      </c>
      <c r="CH270" s="3">
        <f>CG270+CH137+CH138</f>
        <v>98704791</v>
      </c>
      <c r="CI270" s="3">
        <f>CH270+CI137+CI138</f>
        <v>128506282</v>
      </c>
      <c r="CJ270" s="3">
        <f>CI270</f>
        <v>128506282</v>
      </c>
      <c r="CK270" s="3">
        <f>CJ270+CK137+CK138</f>
        <v>158307776</v>
      </c>
      <c r="CL270" s="3">
        <f>CK270+CL137+CL138</f>
        <v>239727091</v>
      </c>
      <c r="CM270" s="3">
        <f>CL270+CM137+CM138</f>
        <v>269528640</v>
      </c>
      <c r="CN270" s="3">
        <f>CM270+CN137+CN138</f>
        <v>350947923</v>
      </c>
      <c r="CO270" s="3">
        <f>CN270</f>
        <v>350947923</v>
      </c>
      <c r="CP270" s="3">
        <f>CO270+CP137+CP138</f>
        <v>432367209</v>
      </c>
      <c r="CQ270" s="3">
        <f>CP270+CQ137+CQ138</f>
        <v>654808924</v>
      </c>
      <c r="CR270" s="3">
        <f>CQ270+CR137+CR138</f>
        <v>736228265</v>
      </c>
      <c r="CS270" s="3">
        <f>CR270+CS137+CS138</f>
        <v>958669948</v>
      </c>
      <c r="CT270" s="3">
        <f>CS270</f>
        <v>958669948</v>
      </c>
      <c r="CU270" s="3">
        <f>CT270+CU137+CU138</f>
        <v>1181111634</v>
      </c>
      <c r="CV270" s="3">
        <f>CU270+CV137+CV138</f>
        <v>1788833733</v>
      </c>
      <c r="CW270" s="3">
        <f>CV270+CW137+CW138</f>
        <v>2011275474</v>
      </c>
      <c r="CX270" s="3">
        <f>CW270+CX137+CX138</f>
        <v>2618997541</v>
      </c>
      <c r="CY270" s="3">
        <f>CX270</f>
        <v>2618997541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19834</v>
      </c>
      <c r="E271" s="16">
        <f>SUM(E248+E253+E254+E267+E268+E269+E270)</f>
        <v>19189</v>
      </c>
      <c r="F271" s="16">
        <f>SUM(F248+F253+F254+F267+F268+F269+F270)</f>
        <v>20316</v>
      </c>
      <c r="G271" s="16">
        <f>SUM(G248+G253+G254+G267+G268+G269+G270)</f>
        <v>21284</v>
      </c>
      <c r="H271" s="16">
        <f>SUM(H248,H253,H254,H267,H268,H269,H270)</f>
        <v>21284</v>
      </c>
      <c r="I271" s="16">
        <f>SUM(I248+I253+I254+I267+I268+I269+I270)</f>
        <v>22332</v>
      </c>
      <c r="J271" s="16">
        <f>SUM(J248+J253+J254+J267+J268+J269+J270)</f>
        <v>24255</v>
      </c>
      <c r="K271" s="16">
        <f>SUM(K248+K253+K254+K267+K268+K269+K270)</f>
        <v>24133</v>
      </c>
      <c r="L271" s="16">
        <f>SUM(L248+L253+L254+L267+L268+L269+L270)</f>
        <v>24860</v>
      </c>
      <c r="M271" s="16">
        <f>SUM(M248,M253,M254,M267,M268,M269,M270)</f>
        <v>24860</v>
      </c>
      <c r="N271" s="16">
        <f>SUM(N248+N253+N254+N267+N268+N269+N270)</f>
        <v>26841</v>
      </c>
      <c r="O271" s="16">
        <f>SUM(O248+O253+O254+O267+O268+O269+O270)</f>
        <v>24803</v>
      </c>
      <c r="P271" s="16">
        <f>SUM(P248+P253+P254+P267+P268+P269+P270)</f>
        <v>24436</v>
      </c>
      <c r="Q271" s="16">
        <f>SUM(Q248+Q253+Q254+Q267+Q268+Q269+Q270)</f>
        <v>25826</v>
      </c>
      <c r="R271" s="16">
        <f>SUM(R248,R253,R254,R267,R268,R269,R270)</f>
        <v>25826</v>
      </c>
      <c r="S271" s="16">
        <f>SUM(S248+S253+S254+S267+S268+S269+S270)</f>
        <v>26868</v>
      </c>
      <c r="T271" s="16">
        <f>SUM(T248+T253+T254+T267+T268+T269+T270)</f>
        <v>27552</v>
      </c>
      <c r="U271" s="16">
        <f>SUM(U248+U253+U254+U267+U268+U269+U270)</f>
        <v>27833</v>
      </c>
      <c r="V271" s="16">
        <f>SUM(V248+V253+V254+V267+V268+V269+V270)</f>
        <v>27480</v>
      </c>
      <c r="W271" s="16">
        <f>SUM(W248,W253,W254,W267,W268,W269,W270)</f>
        <v>27480</v>
      </c>
      <c r="X271" s="16">
        <f>SUM(X248+X253+X254+X267+X268+X269+X270)</f>
        <v>27946</v>
      </c>
      <c r="Y271" s="16">
        <f>SUM(Y248+Y253+Y254+Y267+Y268+Y269+Y270)</f>
        <v>27411</v>
      </c>
      <c r="Z271" s="16">
        <f>SUM(Z248+Z253+Z254+Z267+Z268+Z269+Z270)</f>
        <v>28154</v>
      </c>
      <c r="AA271" s="16">
        <f>SUM(AA248+AA253+AA254+AA267+AA268+AA269+AA270)</f>
        <v>26372</v>
      </c>
      <c r="AB271" s="16">
        <f>SUM(AB248,AB253,AB254,AB267,AB268,AB269,AB270)</f>
        <v>26372</v>
      </c>
      <c r="AC271" s="16">
        <f>SUM(AC248+AC253+AC254+AC267+AC268+AC269+AC270)</f>
        <v>27754</v>
      </c>
      <c r="AD271" s="16">
        <f>SUM(AD248+AD253+AD254+AD267+AD268+AD269+AD270)</f>
        <v>30182</v>
      </c>
      <c r="AE271" s="16">
        <f>SUM(AE248+AE253+AE254+AE267+AE268+AE269+AE270)</f>
        <v>33267</v>
      </c>
      <c r="AF271" s="16">
        <f>SUM(AF248+AF253+AF254+AF267+AF268+AF269+AF270)</f>
        <v>34275</v>
      </c>
      <c r="AG271" s="16">
        <f>SUM(AG248,AG253,AG254,AG267,AG268,AG269,AG270)</f>
        <v>34275</v>
      </c>
      <c r="AH271" s="16">
        <f>SUM(AH248+AH253+AH254+AH267+AH268+AH269+AH270)</f>
        <v>35734</v>
      </c>
      <c r="AI271" s="16">
        <f>SUM(AI248+AI253+AI254+AI267+AI268+AI269+AI270)</f>
        <v>38315</v>
      </c>
      <c r="AJ271" s="16">
        <f>SUM(AJ248+AJ253+AJ254+AJ267+AJ268+AJ269+AJ270)</f>
        <v>38942</v>
      </c>
      <c r="AK271" s="16">
        <f>SUM(AK248+AK253+AK254+AK267+AK268+AK269+AK270)</f>
        <v>40114</v>
      </c>
      <c r="AL271" s="16">
        <f>SUM(AL248,AL253,AL254,AL267,AL268,AL269,AL270)</f>
        <v>40114</v>
      </c>
      <c r="AM271" s="16">
        <f>SUM(AM248+AM253+AM254+AM267+AM268+AM269+AM270)</f>
        <v>41286</v>
      </c>
      <c r="AN271" s="16">
        <f>SUM(AN248+AN253+AN254+AN267+AN268+AN269+AN270)</f>
        <v>44884</v>
      </c>
      <c r="AO271" s="16">
        <f>SUM(AO248+AO253+AO254+AO267+AO268+AO269+AO270)</f>
        <v>46056</v>
      </c>
      <c r="AP271" s="16">
        <f>SUM(AP248+AP253+AP254+AP267+AP268+AP269+AP270)</f>
        <v>49654</v>
      </c>
      <c r="AQ271" s="16">
        <f>SUM(AQ248,AQ253,AQ254,AQ267,AQ268,AQ269,AQ270)</f>
        <v>49654</v>
      </c>
      <c r="AR271" s="16">
        <f>SUM(AR248+AR253+AR254+AR267+AR268+AR269+AR270)</f>
        <v>53252</v>
      </c>
      <c r="AS271" s="16">
        <f>SUM(AS248+AS253+AS254+AS267+AS268+AS269+AS270)</f>
        <v>62792</v>
      </c>
      <c r="AT271" s="16">
        <f>SUM(AT248+AT253+AT254+AT267+AT268+AT269+AT270)</f>
        <v>66390</v>
      </c>
      <c r="AU271" s="16">
        <f>SUM(AU248+AU253+AU254+AU267+AU268+AU269+AU270)</f>
        <v>75930</v>
      </c>
      <c r="AV271" s="16">
        <f>SUM(AV248,AV253,AV254,AV267,AV268,AV269,AV270)</f>
        <v>75930</v>
      </c>
      <c r="AW271" s="16">
        <f>SUM(AW248+AW253+AW254+AW267+AW268+AW269+AW270)</f>
        <v>85470</v>
      </c>
      <c r="AX271" s="16">
        <f>SUM(AX248+AX253+AX254+AX267+AX268+AX269+AX270)</f>
        <v>111746</v>
      </c>
      <c r="AY271" s="16">
        <f>SUM(AY248+AY253+AY254+AY267+AY268+AY269+AY270)</f>
        <v>121286</v>
      </c>
      <c r="AZ271" s="16">
        <f>SUM(AZ248+AZ253+AZ254+AZ267+AZ268+AZ269+AZ270)</f>
        <v>147562</v>
      </c>
      <c r="BA271" s="16">
        <f>SUM(BA248,BA253,BA254,BA267,BA268,BA269,BA270)</f>
        <v>147562</v>
      </c>
      <c r="BB271" s="16">
        <f>SUM(BB248+BB253+BB254+BB267+BB268+BB269+BB270)</f>
        <v>173838</v>
      </c>
      <c r="BC271" s="16">
        <f>SUM(BC248+BC253+BC254+BC267+BC268+BC269+BC270)</f>
        <v>245470</v>
      </c>
      <c r="BD271" s="16">
        <f>SUM(BD248+BD253+BD254+BD267+BD268+BD269+BD270)</f>
        <v>271746</v>
      </c>
      <c r="BE271" s="16">
        <f>SUM(BE248+BE253+BE254+BE267+BE268+BE269+BE270)</f>
        <v>343378</v>
      </c>
      <c r="BF271" s="16">
        <f>SUM(BF248,BF253,BF254,BF267,BF268,BF269,BF270)</f>
        <v>343378</v>
      </c>
      <c r="BG271" s="16">
        <f>SUM(BG248+BG253+BG254+BG267+BG268+BG269+BG270)</f>
        <v>415010</v>
      </c>
      <c r="BH271" s="16">
        <f>SUM(BH248+BH253+BH254+BH267+BH268+BH269+BH270)</f>
        <v>610826</v>
      </c>
      <c r="BI271" s="16">
        <f>SUM(BI248+BI253+BI254+BI267+BI268+BI269+BI270)</f>
        <v>682458</v>
      </c>
      <c r="BJ271" s="16">
        <f>SUM(BJ248+BJ253+BJ254+BJ267+BJ268+BJ269+BJ270)</f>
        <v>878274</v>
      </c>
      <c r="BK271" s="16">
        <f>SUM(BK248,BK253,BK254,BK267,BK268,BK269,BK270)</f>
        <v>878274</v>
      </c>
      <c r="BL271" s="16">
        <f>SUM(BL248+BL253+BL254+BL267+BL268+BL269+BL270)</f>
        <v>1074090</v>
      </c>
      <c r="BM271" s="16">
        <f>SUM(BM248+BM253+BM254+BM267+BM268+BM269+BM270)</f>
        <v>1608986</v>
      </c>
      <c r="BN271" s="16">
        <f>SUM(BN248+BN253+BN254+BN267+BN268+BN269+BN270)</f>
        <v>1804802</v>
      </c>
      <c r="BO271" s="16">
        <f>SUM(BO248+BO253+BO254+BO267+BO268+BO269+BO270)</f>
        <v>2339698</v>
      </c>
      <c r="BP271" s="16">
        <f>SUM(BP248,BP253,BP254,BP267,BP268,BP269,BP270)</f>
        <v>2339698</v>
      </c>
      <c r="BQ271" s="16">
        <f>SUM(BQ248+BQ253+BQ254+BQ267+BQ268+BQ269+BQ270)</f>
        <v>2874594</v>
      </c>
      <c r="BR271" s="16">
        <f>SUM(BR248+BR253+BR254+BR267+BR268+BR269+BR270)</f>
        <v>4336018</v>
      </c>
      <c r="BS271" s="16">
        <f>SUM(BS248+BS253+BS254+BS267+BS268+BS269+BS270)</f>
        <v>4870914</v>
      </c>
      <c r="BT271" s="16">
        <f>SUM(BT248+BT253+BT254+BT267+BT268+BT269+BT270)</f>
        <v>6332338</v>
      </c>
      <c r="BU271" s="16">
        <f>SUM(BU248,BU253,BU254,BU267,BU268,BU269,BU270)</f>
        <v>6332338</v>
      </c>
      <c r="BV271" s="16">
        <f>SUM(BV248+BV253+BV254+BV267+BV268+BV269+BV270)</f>
        <v>7793762</v>
      </c>
      <c r="BW271" s="16">
        <f>SUM(BW248+BW253+BW254+BW267+BW268+BW269+BW270)</f>
        <v>11786402</v>
      </c>
      <c r="BX271" s="16">
        <f>SUM(BX248+BX253+BX254+BX267+BX268+BX269+BX270)</f>
        <v>13247826</v>
      </c>
      <c r="BY271" s="16">
        <f>SUM(BY248+BY253+BY254+BY267+BY268+BY269+BY270)</f>
        <v>17240466</v>
      </c>
      <c r="BZ271" s="16">
        <f>SUM(BZ248,BZ253,BZ254,BZ267,BZ268,BZ269,BZ270)</f>
        <v>17240466</v>
      </c>
      <c r="CA271" s="16">
        <f>SUM(CA248+CA253+CA254+CA267+CA268+CA269+CA270)</f>
        <v>21233106</v>
      </c>
      <c r="CB271" s="16">
        <f>SUM(CB248+CB253+CB254+CB267+CB268+CB269+CB270)</f>
        <v>32141234</v>
      </c>
      <c r="CC271" s="16">
        <f>SUM(CC248+CC253+CC254+CC267+CC268+CC269+CC270)</f>
        <v>36133874</v>
      </c>
      <c r="CD271" s="16">
        <f>SUM(CD248+CD253+CD254+CD267+CD268+CD269+CD270)</f>
        <v>47042002</v>
      </c>
      <c r="CE271" s="16">
        <f>SUM(CE248,CE253,CE254,CE267,CE268,CE269,CE270)</f>
        <v>47042002</v>
      </c>
      <c r="CF271" s="16">
        <f>SUM(CF248+CF253+CF254+CF267+CF268+CF269+CF270)</f>
        <v>57950130</v>
      </c>
      <c r="CG271" s="16">
        <f>SUM(CG248+CG253+CG254+CG267+CG268+CG269+CG270)</f>
        <v>87751666</v>
      </c>
      <c r="CH271" s="16">
        <f>SUM(CH248+CH253+CH254+CH267+CH268+CH269+CH270)</f>
        <v>98659794</v>
      </c>
      <c r="CI271" s="16">
        <f>SUM(CI248+CI253+CI254+CI267+CI268+CI269+CI270)</f>
        <v>128461330</v>
      </c>
      <c r="CJ271" s="16">
        <f>SUM(CJ248,CJ253,CJ254,CJ267,CJ268,CJ269,CJ270)</f>
        <v>128461330</v>
      </c>
      <c r="CK271" s="16">
        <f>SUM(CK248+CK253+CK254+CK267+CK268+CK269+CK270)</f>
        <v>158262866</v>
      </c>
      <c r="CL271" s="16">
        <f>SUM(CL248+CL253+CL254+CL267+CL268+CL269+CL270)</f>
        <v>239682194</v>
      </c>
      <c r="CM271" s="16">
        <f>SUM(CM248+CM253+CM254+CM267+CM268+CM269+CM270)</f>
        <v>269483730</v>
      </c>
      <c r="CN271" s="16">
        <f>SUM(CN248+CN253+CN254+CN267+CN268+CN269+CN270)</f>
        <v>350903058</v>
      </c>
      <c r="CO271" s="16">
        <f>SUM(CO248,CO253,CO254,CO267,CO268,CO269,CO270)</f>
        <v>350903058</v>
      </c>
      <c r="CP271" s="16">
        <f>SUM(CP248+CP253+CP254+CP267+CP268+CP269+CP270)</f>
        <v>432322386</v>
      </c>
      <c r="CQ271" s="16">
        <f>SUM(CQ248+CQ253+CQ254+CQ267+CQ268+CQ269+CQ270)</f>
        <v>654764114</v>
      </c>
      <c r="CR271" s="16">
        <f>SUM(CR248+CR253+CR254+CR267+CR268+CR269+CR270)</f>
        <v>736183442</v>
      </c>
      <c r="CS271" s="16">
        <f>SUM(CS248+CS253+CS254+CS267+CS268+CS269+CS270)</f>
        <v>958625170</v>
      </c>
      <c r="CT271" s="16">
        <f>SUM(CT248,CT253,CT254,CT267,CT268,CT269,CT270)</f>
        <v>958625170</v>
      </c>
      <c r="CU271" s="16">
        <f>SUM(CU248+CU253+CU254+CU267+CU268+CU269+CU270)</f>
        <v>1181066898</v>
      </c>
      <c r="CV271" s="16">
        <f>SUM(CV248+CV253+CV254+CV267+CV268+CV269+CV270)</f>
        <v>1788789010</v>
      </c>
      <c r="CW271" s="16">
        <f>SUM(CW248+CW253+CW254+CW267+CW268+CW269+CW270)</f>
        <v>2011230738</v>
      </c>
      <c r="CX271" s="16">
        <f>SUM(CX248+CX253+CX254+CX267+CX268+CX269+CX270)</f>
        <v>2618952850</v>
      </c>
      <c r="CY271" s="16">
        <f>SUM(CY248,CY253,CY254,CY267,CY268,CY269,CY270)</f>
        <v>2618952850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94013</v>
      </c>
      <c r="E273" s="16">
        <f>E271+E247</f>
        <v>94689</v>
      </c>
      <c r="F273" s="16">
        <f>F271+F247</f>
        <v>97184</v>
      </c>
      <c r="G273" s="16">
        <f>G271+G247</f>
        <v>87296</v>
      </c>
      <c r="H273" s="16">
        <f>H271+H247</f>
        <v>87296</v>
      </c>
      <c r="I273" s="16">
        <f>I271+I247</f>
        <v>89993</v>
      </c>
      <c r="J273" s="16">
        <f>J271+J247</f>
        <v>90194</v>
      </c>
      <c r="K273" s="16">
        <f>K271+K247</f>
        <v>90606</v>
      </c>
      <c r="L273" s="16">
        <f>L271+L247</f>
        <v>94354</v>
      </c>
      <c r="M273" s="16">
        <f>M271+M247</f>
        <v>94354</v>
      </c>
      <c r="N273" s="16">
        <f>N271+N247</f>
        <v>94064</v>
      </c>
      <c r="O273" s="16">
        <f>O271+O247</f>
        <v>93169</v>
      </c>
      <c r="P273" s="16">
        <f>P271+P247</f>
        <v>92471</v>
      </c>
      <c r="Q273" s="16">
        <f>Q271+Q247</f>
        <v>92763</v>
      </c>
      <c r="R273" s="16">
        <f>R271+R247</f>
        <v>92763</v>
      </c>
      <c r="S273" s="16">
        <f>S271+S247</f>
        <v>97404</v>
      </c>
      <c r="T273" s="16">
        <f>T271+T247</f>
        <v>98456</v>
      </c>
      <c r="U273" s="16">
        <f>U271+U247</f>
        <v>97578</v>
      </c>
      <c r="V273" s="16">
        <f>V271+V247</f>
        <v>97703</v>
      </c>
      <c r="W273" s="16">
        <f>W271+W247</f>
        <v>97703</v>
      </c>
      <c r="X273" s="16">
        <f>X271+X247</f>
        <v>99392</v>
      </c>
      <c r="Y273" s="16">
        <f>Y271+Y247</f>
        <v>101202</v>
      </c>
      <c r="Z273" s="16">
        <f>Z271+Z247</f>
        <v>106266</v>
      </c>
      <c r="AA273" s="16">
        <f>AA271+AA247</f>
        <v>100549</v>
      </c>
      <c r="AB273" s="16">
        <f>AB271+AB247</f>
        <v>100549</v>
      </c>
      <c r="AC273" s="16">
        <f>AC271+AC247</f>
        <v>101716</v>
      </c>
      <c r="AD273" s="16">
        <f>AD271+AD247</f>
        <v>104333</v>
      </c>
      <c r="AE273" s="16">
        <f>AE271+AE247</f>
        <v>106045</v>
      </c>
      <c r="AF273" s="16">
        <f>AF271+AF247</f>
        <v>104816</v>
      </c>
      <c r="AG273" s="16">
        <f>AG271+AG247</f>
        <v>104816</v>
      </c>
      <c r="AH273" s="16">
        <f>AH271+AH247</f>
        <v>104217</v>
      </c>
      <c r="AI273" s="16">
        <f>AI271+AI247</f>
        <v>107922</v>
      </c>
      <c r="AJ273" s="16">
        <f>AJ271+AJ247</f>
        <v>92333</v>
      </c>
      <c r="AK273" s="16">
        <f>AK271+AK247</f>
        <v>93505</v>
      </c>
      <c r="AL273" s="16">
        <f>AL271+AL247</f>
        <v>93505</v>
      </c>
      <c r="AM273" s="16" t="e">
        <f>AM271+AM247</f>
        <v>#DIV/0!</v>
      </c>
      <c r="AN273" s="16">
        <f>AN271+AN247</f>
        <v>98275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1779</v>
      </c>
      <c r="F277" s="3">
        <f>F137</f>
        <v>1737</v>
      </c>
      <c r="G277" s="3">
        <f>G137</f>
        <v>1456</v>
      </c>
      <c r="H277" s="3">
        <f>SUM(D277:G277)</f>
        <v>4972</v>
      </c>
      <c r="I277" s="3">
        <f>I137</f>
        <v>2245</v>
      </c>
      <c r="J277" s="3">
        <f>J137</f>
        <v>2641</v>
      </c>
      <c r="K277" s="3">
        <f>K137</f>
        <v>2471</v>
      </c>
      <c r="L277" s="3">
        <f>L137</f>
        <v>2414</v>
      </c>
      <c r="M277" s="3">
        <f>SUM(I277:L277)</f>
        <v>9771</v>
      </c>
      <c r="N277" s="3">
        <f>N137</f>
        <v>2781</v>
      </c>
      <c r="O277" s="3">
        <f>O137</f>
        <v>1905</v>
      </c>
      <c r="P277" s="3">
        <f>P137</f>
        <v>2825</v>
      </c>
      <c r="Q277" s="3">
        <f>Q137</f>
        <v>2031</v>
      </c>
      <c r="R277" s="3">
        <f>SUM(N277:Q277)</f>
        <v>9542</v>
      </c>
      <c r="S277" s="3">
        <f>S137</f>
        <v>3107</v>
      </c>
      <c r="T277" s="3">
        <f>T137</f>
        <v>2547</v>
      </c>
      <c r="U277" s="3">
        <f>U137</f>
        <v>3087</v>
      </c>
      <c r="V277" s="3">
        <f>V137</f>
        <v>1973</v>
      </c>
      <c r="W277" s="3">
        <f>SUM(S277:V277)</f>
        <v>10714</v>
      </c>
      <c r="X277" s="3">
        <f>X137</f>
        <v>3177</v>
      </c>
      <c r="Y277" s="3">
        <f>Y137</f>
        <v>2411</v>
      </c>
      <c r="Z277" s="3">
        <f>Z137</f>
        <v>2848</v>
      </c>
      <c r="AA277" s="3">
        <f>AA137</f>
        <v>2195</v>
      </c>
      <c r="AB277" s="3">
        <f>SUM(X277:AA277)</f>
        <v>10631</v>
      </c>
      <c r="AC277" s="3">
        <f>AC137</f>
        <v>3330</v>
      </c>
      <c r="AD277" s="3">
        <f>AD137</f>
        <v>3810</v>
      </c>
      <c r="AE277" s="3">
        <f>AE137</f>
        <v>3696</v>
      </c>
      <c r="AF277" s="3">
        <f>AF137</f>
        <v>2271</v>
      </c>
      <c r="AG277" s="3">
        <f>SUM(AC277:AF277)</f>
        <v>13107</v>
      </c>
      <c r="AH277" s="3">
        <f>AH137</f>
        <v>3924</v>
      </c>
      <c r="AI277" s="3">
        <f>AI137</f>
        <v>4425</v>
      </c>
      <c r="AJ277" s="3">
        <f>AJ137</f>
        <v>640</v>
      </c>
      <c r="AK277" s="3">
        <f>AK137</f>
        <v>1127</v>
      </c>
      <c r="AL277" s="3">
        <f>SUM(AH277:AK277)</f>
        <v>10116</v>
      </c>
      <c r="AM277" s="3">
        <f>AM137</f>
        <v>1130</v>
      </c>
      <c r="AN277" s="3">
        <f>AN137</f>
        <v>3585</v>
      </c>
      <c r="AO277" s="3">
        <f>AO137</f>
        <v>1185</v>
      </c>
      <c r="AP277" s="3">
        <f>AP137</f>
        <v>3553</v>
      </c>
      <c r="AQ277" s="3">
        <f>SUM(AM277:AP277)</f>
        <v>9453</v>
      </c>
      <c r="AR277" s="3">
        <f>AR137</f>
        <v>3556</v>
      </c>
      <c r="AS277" s="3">
        <f>AS137</f>
        <v>9527</v>
      </c>
      <c r="AT277" s="3">
        <f>AT137</f>
        <v>3611</v>
      </c>
      <c r="AU277" s="3">
        <f>AU137</f>
        <v>9495</v>
      </c>
      <c r="AV277" s="3">
        <f>SUM(AR277:AU277)</f>
        <v>26189</v>
      </c>
      <c r="AW277" s="3">
        <f>AW137</f>
        <v>9498</v>
      </c>
      <c r="AX277" s="3">
        <f>AX137</f>
        <v>26263</v>
      </c>
      <c r="AY277" s="3">
        <f>AY137</f>
        <v>9553</v>
      </c>
      <c r="AZ277" s="3">
        <f>AZ137</f>
        <v>26231</v>
      </c>
      <c r="BA277" s="3">
        <f>SUM(AW277:AZ277)</f>
        <v>71545</v>
      </c>
      <c r="BB277" s="3">
        <f>BB137</f>
        <v>26234</v>
      </c>
      <c r="BC277" s="3">
        <f>BC137</f>
        <v>71619</v>
      </c>
      <c r="BD277" s="3">
        <f>BD137</f>
        <v>26289</v>
      </c>
      <c r="BE277" s="3">
        <f>BE137</f>
        <v>71587</v>
      </c>
      <c r="BF277" s="3">
        <f>SUM(BB277:BE277)</f>
        <v>195729</v>
      </c>
      <c r="BG277" s="3">
        <f>BG137</f>
        <v>71590</v>
      </c>
      <c r="BH277" s="3">
        <f>BH137</f>
        <v>195803</v>
      </c>
      <c r="BI277" s="3">
        <f>BI137</f>
        <v>71645</v>
      </c>
      <c r="BJ277" s="3">
        <f>BJ137</f>
        <v>195771</v>
      </c>
      <c r="BK277" s="3">
        <f>SUM(BG277:BJ277)</f>
        <v>534809</v>
      </c>
      <c r="BL277" s="3">
        <f>BL137</f>
        <v>195774</v>
      </c>
      <c r="BM277" s="3">
        <f>BM137</f>
        <v>534883</v>
      </c>
      <c r="BN277" s="3">
        <f>BN137</f>
        <v>195829</v>
      </c>
      <c r="BO277" s="3">
        <f>BO137</f>
        <v>534851</v>
      </c>
      <c r="BP277" s="3">
        <f>SUM(BL277:BO277)</f>
        <v>1461337</v>
      </c>
      <c r="BQ277" s="3">
        <f>BQ137</f>
        <v>534854</v>
      </c>
      <c r="BR277" s="3">
        <f>BR137</f>
        <v>1461411</v>
      </c>
      <c r="BS277" s="3">
        <f>BS137</f>
        <v>534909</v>
      </c>
      <c r="BT277" s="3">
        <f>BT137</f>
        <v>1461379</v>
      </c>
      <c r="BU277" s="3">
        <f>SUM(BQ277:BT277)</f>
        <v>3992553</v>
      </c>
      <c r="BV277" s="3">
        <f>BV137</f>
        <v>1461382</v>
      </c>
      <c r="BW277" s="3">
        <f>BW137</f>
        <v>3992627</v>
      </c>
      <c r="BX277" s="3">
        <f>BX137</f>
        <v>1461437</v>
      </c>
      <c r="BY277" s="3">
        <f>BY137</f>
        <v>3992595</v>
      </c>
      <c r="BZ277" s="3">
        <f>SUM(BV277:BY277)</f>
        <v>10908041</v>
      </c>
      <c r="CA277" s="3">
        <f>CA137</f>
        <v>3992598</v>
      </c>
      <c r="CB277" s="3">
        <f>CB137</f>
        <v>10908115</v>
      </c>
      <c r="CC277" s="3">
        <f>CC137</f>
        <v>3992653</v>
      </c>
      <c r="CD277" s="3">
        <f>CD137</f>
        <v>10908083</v>
      </c>
      <c r="CE277" s="3">
        <f>SUM(CA277:CD277)</f>
        <v>29801449</v>
      </c>
      <c r="CF277" s="3">
        <f>CF137</f>
        <v>10908086</v>
      </c>
      <c r="CG277" s="3">
        <f>CG137</f>
        <v>29801523</v>
      </c>
      <c r="CH277" s="3">
        <f>CH137</f>
        <v>10908141</v>
      </c>
      <c r="CI277" s="3">
        <f>CI137</f>
        <v>29801491</v>
      </c>
      <c r="CJ277" s="3">
        <f>SUM(CF277:CI277)</f>
        <v>81419241</v>
      </c>
      <c r="CK277" s="3">
        <f>CK137</f>
        <v>29801494</v>
      </c>
      <c r="CL277" s="3">
        <f>CL137</f>
        <v>81419315</v>
      </c>
      <c r="CM277" s="3">
        <f>CM137</f>
        <v>29801549</v>
      </c>
      <c r="CN277" s="3">
        <f>CN137</f>
        <v>81419283</v>
      </c>
      <c r="CO277" s="3">
        <f>SUM(CK277:CN277)</f>
        <v>222441641</v>
      </c>
      <c r="CP277" s="3">
        <f>CP137</f>
        <v>81419286</v>
      </c>
      <c r="CQ277" s="3">
        <f>CQ137</f>
        <v>222441715</v>
      </c>
      <c r="CR277" s="3">
        <f>CR137</f>
        <v>81419341</v>
      </c>
      <c r="CS277" s="3">
        <f>CS137</f>
        <v>222441683</v>
      </c>
      <c r="CT277" s="3">
        <f>SUM(CP277:CS277)</f>
        <v>607722025</v>
      </c>
      <c r="CU277" s="3">
        <f>CU137</f>
        <v>222441686</v>
      </c>
      <c r="CV277" s="3">
        <f>CV137</f>
        <v>607722099</v>
      </c>
      <c r="CW277" s="3">
        <f>CW137</f>
        <v>222441741</v>
      </c>
      <c r="CX277" s="3">
        <f>CX137</f>
        <v>607722067</v>
      </c>
      <c r="CY277" s="3">
        <f>SUM(CU277:CX277)</f>
        <v>1660327593</v>
      </c>
    </row>
    <row r="278">
      <c r="C278" s="29" t="inlineStr">
        <is>
          <t>Depreciation &amp; amortization</t>
        </is>
      </c>
      <c r="D278" s="3" t="n"/>
      <c r="E278" s="3">
        <f>-E70</f>
        <v>381</v>
      </c>
      <c r="F278" s="3">
        <f>-F70</f>
        <v>358</v>
      </c>
      <c r="G278" s="3">
        <f>-G70</f>
        <v>430</v>
      </c>
      <c r="H278" s="3">
        <f>SUM(D278:G278)</f>
        <v>1169</v>
      </c>
      <c r="I278" s="3">
        <f>-I70</f>
        <v>366</v>
      </c>
      <c r="J278" s="3">
        <f>-J70</f>
        <v>383</v>
      </c>
      <c r="K278" s="3">
        <f>-K70</f>
        <v>362</v>
      </c>
      <c r="L278" s="3">
        <f>-L70</f>
        <v>341</v>
      </c>
      <c r="M278" s="3">
        <f>SUM(I278:L278)</f>
        <v>1452</v>
      </c>
      <c r="N278" s="3">
        <f>-N70</f>
        <v>324</v>
      </c>
      <c r="O278" s="3">
        <f>-O70</f>
        <v>322</v>
      </c>
      <c r="P278" s="3">
        <f>-P70</f>
        <v>307</v>
      </c>
      <c r="Q278" s="3">
        <f>-Q70</f>
        <v>307</v>
      </c>
      <c r="R278" s="3">
        <f>SUM(N278:Q278)</f>
        <v>1260</v>
      </c>
      <c r="S278" s="3">
        <f>-S70</f>
        <v>286</v>
      </c>
      <c r="T278" s="3">
        <f>-T70</f>
        <v>281</v>
      </c>
      <c r="U278" s="3">
        <f>-U70</f>
        <v>290</v>
      </c>
      <c r="V278" s="3">
        <f>-V70</f>
        <v>271</v>
      </c>
      <c r="W278" s="3">
        <f>SUM(S278:V278)</f>
        <v>1128</v>
      </c>
      <c r="X278" s="3">
        <f>-X70</f>
        <v>262</v>
      </c>
      <c r="Y278" s="3">
        <f>-Y70</f>
        <v>269</v>
      </c>
      <c r="Z278" s="3">
        <f>-Z70</f>
        <v>268</v>
      </c>
      <c r="AA278" s="3">
        <f>-AA70</f>
        <v>276</v>
      </c>
      <c r="AB278" s="3">
        <f>SUM(X278:AA278)</f>
        <v>1075</v>
      </c>
      <c r="AC278" s="3">
        <f>-AC70</f>
        <v>267</v>
      </c>
      <c r="AD278" s="3">
        <f>-AD70</f>
        <v>279</v>
      </c>
      <c r="AE278" s="3">
        <f>-AE70</f>
        <v>268</v>
      </c>
      <c r="AF278" s="3">
        <f>-AF70</f>
        <v>236</v>
      </c>
      <c r="AG278" s="3">
        <f>SUM(AC278:AF278)</f>
        <v>1050</v>
      </c>
      <c r="AH278" s="3">
        <f>-AH70</f>
        <v>264</v>
      </c>
      <c r="AI278" s="3">
        <f>-AI70</f>
        <v>266</v>
      </c>
      <c r="AJ278" s="3">
        <f>-AJ70</f>
        <v>0</v>
      </c>
      <c r="AK278" s="3">
        <f>-AK70</f>
        <v>0</v>
      </c>
      <c r="AL278" s="3">
        <f>SUM(AH278:AK278)</f>
        <v>530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-9727</v>
      </c>
      <c r="F279" s="3">
        <f>SUM(F280:F289)</f>
        <v>-2072</v>
      </c>
      <c r="G279" s="3">
        <f>SUM(G280:G289)</f>
        <v>1345</v>
      </c>
      <c r="H279" s="3">
        <f>SUM(D279:G279)</f>
        <v>-10454</v>
      </c>
      <c r="I279" s="3">
        <f>SUM(I280:I289)</f>
        <v>-936</v>
      </c>
      <c r="J279" s="3">
        <f>SUM(J280:J289)</f>
        <v>1591</v>
      </c>
      <c r="K279" s="3">
        <f>SUM(K280:K289)</f>
        <v>1190</v>
      </c>
      <c r="L279" s="3">
        <f>SUM(L280:L289)</f>
        <v>82</v>
      </c>
      <c r="M279" s="3">
        <f>SUM(I279:L279)</f>
        <v>1927</v>
      </c>
      <c r="N279" s="3">
        <f>SUM(N280:N289)</f>
        <v>1263</v>
      </c>
      <c r="O279" s="3">
        <f>SUM(O280:O289)</f>
        <v>2380</v>
      </c>
      <c r="P279" s="3">
        <f>SUM(P280:P289)</f>
        <v>1335</v>
      </c>
      <c r="Q279" s="3">
        <f>SUM(Q280:Q289)</f>
        <v>-3066</v>
      </c>
      <c r="R279" s="3">
        <f>SUM(N279:Q279)</f>
        <v>1912</v>
      </c>
      <c r="S279" s="3">
        <f>SUM(S280:S289)</f>
        <v>4097</v>
      </c>
      <c r="T279" s="3">
        <f>SUM(T280:T289)</f>
        <v>-175</v>
      </c>
      <c r="U279" s="3">
        <f>SUM(U280:U289)</f>
        <v>-1467</v>
      </c>
      <c r="V279" s="3">
        <f>SUM(V280:V289)</f>
        <v>-2180</v>
      </c>
      <c r="W279" s="3">
        <f>SUM(S279:V279)</f>
        <v>275</v>
      </c>
      <c r="X279" s="3">
        <f>SUM(X280:X289)</f>
        <v>3686</v>
      </c>
      <c r="Y279" s="3">
        <f>SUM(Y280:Y289)</f>
        <v>1381</v>
      </c>
      <c r="Z279" s="3">
        <f>SUM(Z280:Z289)</f>
        <v>1626</v>
      </c>
      <c r="AA279" s="3">
        <f>SUM(AA280:AA289)</f>
        <v>-1434</v>
      </c>
      <c r="AB279" s="3">
        <f>SUM(X279:AA279)</f>
        <v>5259</v>
      </c>
      <c r="AC279" s="3">
        <f>SUM(AC280:AC289)</f>
        <v>-3698</v>
      </c>
      <c r="AD279" s="3">
        <f>SUM(AD280:AD289)</f>
        <v>-1000</v>
      </c>
      <c r="AE279" s="3">
        <f>SUM(AE280:AE289)</f>
        <v>1348</v>
      </c>
      <c r="AF279" s="3">
        <f>SUM(AF280:AF289)</f>
        <v>-7347</v>
      </c>
      <c r="AG279" s="3">
        <f>SUM(AC279:AF279)</f>
        <v>-10697</v>
      </c>
      <c r="AH279" s="3">
        <f>SUM(AH280:AH289)</f>
        <v>-342</v>
      </c>
      <c r="AI279" s="3">
        <f>SUM(AI280:AI289)</f>
        <v>883</v>
      </c>
      <c r="AJ279" s="3">
        <f>SUM(AJ280:AJ289)</f>
        <v>-7837</v>
      </c>
      <c r="AK279" s="3">
        <f>SUM(AK280:AK289)</f>
        <v>0</v>
      </c>
      <c r="AL279" s="3">
        <f>SUM(AH279:AK279)</f>
        <v>-7296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581</v>
      </c>
      <c r="F280" s="3">
        <f>(F145-E145)*-1</f>
        <v>22</v>
      </c>
      <c r="G280" s="3">
        <f>(G145-F145)*-1</f>
        <v>683</v>
      </c>
      <c r="H280" s="3">
        <f>SUM(D280:G280)</f>
        <v>1286</v>
      </c>
      <c r="I280" s="3">
        <f>(I145-H145)*-1</f>
        <v>-618</v>
      </c>
      <c r="J280" s="3">
        <f>(J145-I145)*-1</f>
        <v>-274</v>
      </c>
      <c r="K280" s="3">
        <f>(K145-J145)*-1</f>
        <v>147</v>
      </c>
      <c r="L280" s="3">
        <f>(L145-K145)*-1</f>
        <v>377</v>
      </c>
      <c r="M280" s="3">
        <f>SUM(I280:L280)</f>
        <v>-368</v>
      </c>
      <c r="N280" s="3">
        <f>(N145-M145)*-1</f>
        <v>-1129</v>
      </c>
      <c r="O280" s="3">
        <f>(O145-N145)*-1</f>
        <v>147</v>
      </c>
      <c r="P280" s="3">
        <f>(P145-O145)*-1</f>
        <v>500</v>
      </c>
      <c r="Q280" s="3">
        <f>(Q145-P145)*-1</f>
        <v>507</v>
      </c>
      <c r="R280" s="3">
        <f>SUM(N280:Q280)</f>
        <v>25</v>
      </c>
      <c r="S280" s="3">
        <f>(S145-R145)*-1</f>
        <v>-1112</v>
      </c>
      <c r="T280" s="3">
        <f>(T145-S145)*-1</f>
        <v>629</v>
      </c>
      <c r="U280" s="3">
        <f>(U145-T145)*-1</f>
        <v>475</v>
      </c>
      <c r="V280" s="3">
        <f>(V145-U145)*-1</f>
        <v>85</v>
      </c>
      <c r="W280" s="3">
        <f>SUM(S280:V280)</f>
        <v>77</v>
      </c>
      <c r="X280" s="3">
        <f>(X145-W145)*-1</f>
        <v>-834</v>
      </c>
      <c r="Y280" s="3">
        <f>(Y145-X145)*-1</f>
        <v>-301</v>
      </c>
      <c r="Z280" s="3">
        <f>(Z145-Y145)*-1</f>
        <v>312</v>
      </c>
      <c r="AA280" s="3">
        <f>(AA145-Z145)*-1</f>
        <v>664</v>
      </c>
      <c r="AB280" s="3">
        <f>SUM(X280:AA280)</f>
        <v>-159</v>
      </c>
      <c r="AC280" s="3">
        <f>(AC145-AB145)*-1</f>
        <v>-522</v>
      </c>
      <c r="AD280" s="3">
        <f>(AD145-AC145)*-1</f>
        <v>-77</v>
      </c>
      <c r="AE280" s="3">
        <f>(AE145-AD145)*-1</f>
        <v>222</v>
      </c>
      <c r="AF280" s="3">
        <f>(AF145-AE145)*-1</f>
        <v>908</v>
      </c>
      <c r="AG280" s="3">
        <f>SUM(AC280:AF280)</f>
        <v>531</v>
      </c>
      <c r="AH280" s="3">
        <f>(AH145-AG145)*-1</f>
        <v>-637</v>
      </c>
      <c r="AI280" s="3">
        <f>(AI145-AH145)*-1</f>
        <v>-57</v>
      </c>
      <c r="AJ280" s="3">
        <f>(AJ145-AI145)*-1</f>
        <v>3732</v>
      </c>
      <c r="AK280" s="3">
        <f>(AK145-AJ145)*-1</f>
        <v>0</v>
      </c>
      <c r="AL280" s="3">
        <f>SUM(AH280:AK280)</f>
        <v>3038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57</v>
      </c>
      <c r="F281" s="3">
        <f>(F149-E149)*-1</f>
        <v>237</v>
      </c>
      <c r="G281" s="3">
        <f>(G149-F149)*-1</f>
        <v>-2</v>
      </c>
      <c r="H281" s="3">
        <f>SUM(D281:G281)</f>
        <v>292</v>
      </c>
      <c r="I281" s="3">
        <f>(I149-H149)*-1</f>
        <v>-90</v>
      </c>
      <c r="J281" s="3">
        <f>(J149-I149)*-1</f>
        <v>75</v>
      </c>
      <c r="K281" s="3">
        <f>(K149-J149)*-1</f>
        <v>99</v>
      </c>
      <c r="L281" s="3">
        <f>(L149-K149)*-1</f>
        <v>-232</v>
      </c>
      <c r="M281" s="3">
        <f>SUM(I281:L281)</f>
        <v>-148</v>
      </c>
      <c r="N281" s="3">
        <f>(N149-M149)*-1</f>
        <v>-327</v>
      </c>
      <c r="O281" s="3">
        <f>(O149-N149)*-1</f>
        <v>120</v>
      </c>
      <c r="P281" s="3">
        <f>(P149-O149)*-1</f>
        <v>-87</v>
      </c>
      <c r="Q281" s="3">
        <f>(Q149-P149)*-1</f>
        <v>-525</v>
      </c>
      <c r="R281" s="3">
        <f>SUM(N281:Q281)</f>
        <v>-819</v>
      </c>
      <c r="S281" s="3">
        <f>(S149-R149)*-1</f>
        <v>-494</v>
      </c>
      <c r="T281" s="3">
        <f>(T149-S149)*-1</f>
        <v>81</v>
      </c>
      <c r="U281" s="3">
        <f>(U149-T149)*-1</f>
        <v>394</v>
      </c>
      <c r="V281" s="3">
        <f>(V149-U149)*-1</f>
        <v>-172</v>
      </c>
      <c r="W281" s="3">
        <f>SUM(S281:V281)</f>
        <v>-191</v>
      </c>
      <c r="X281" s="3">
        <f>(X149-W149)*-1</f>
        <v>-537</v>
      </c>
      <c r="Y281" s="3">
        <f>(Y149-X149)*-1</f>
        <v>198</v>
      </c>
      <c r="Z281" s="3">
        <f>(Z149-Y149)*-1</f>
        <v>49</v>
      </c>
      <c r="AA281" s="3">
        <f>(AA149-Z149)*-1</f>
        <v>-14</v>
      </c>
      <c r="AB281" s="3">
        <f>SUM(X281:AA281)</f>
        <v>-304</v>
      </c>
      <c r="AC281" s="3">
        <f>(AC149-AB149)*-1</f>
        <v>-374</v>
      </c>
      <c r="AD281" s="3">
        <f>(AD149-AC149)*-1</f>
        <v>20</v>
      </c>
      <c r="AE281" s="3">
        <f>(AE149-AD149)*-1</f>
        <v>280</v>
      </c>
      <c r="AF281" s="3">
        <f>(AF149-AE149)*-1</f>
        <v>377</v>
      </c>
      <c r="AG281" s="3">
        <f>SUM(AC281:AF281)</f>
        <v>303</v>
      </c>
      <c r="AH281" s="3">
        <f>(AH149-AG149)*-1</f>
        <v>-305</v>
      </c>
      <c r="AI281" s="3">
        <f>(AI149-AH149)*-1</f>
        <v>83</v>
      </c>
      <c r="AJ281" s="3">
        <f>(AJ149-AI149)*-1</f>
        <v>4647</v>
      </c>
      <c r="AK281" s="3">
        <f>(AK149-AJ149)*-1</f>
        <v>0</v>
      </c>
      <c r="AL281" s="3">
        <f>SUM(AH281:AK281)</f>
        <v>4425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-91</v>
      </c>
      <c r="F282" s="3">
        <f>(F153-E153)*-1</f>
        <v>-73</v>
      </c>
      <c r="G282" s="3">
        <f>(G153-F153)*-1</f>
        <v>-21</v>
      </c>
      <c r="H282" s="3">
        <f>SUM(D282:G282)</f>
        <v>-185</v>
      </c>
      <c r="I282" s="3">
        <f>(I153-H153)*-1</f>
        <v>128</v>
      </c>
      <c r="J282" s="3">
        <f>(J153-I153)*-1</f>
        <v>41</v>
      </c>
      <c r="K282" s="3">
        <f>(K153-J153)*-1</f>
        <v>54</v>
      </c>
      <c r="L282" s="3">
        <f>(L153-K153)*-1</f>
        <v>108</v>
      </c>
      <c r="M282" s="3">
        <f>SUM(I282:L282)</f>
        <v>331</v>
      </c>
      <c r="N282" s="3">
        <f>(N153-M153)*-1</f>
        <v>123</v>
      </c>
      <c r="O282" s="3">
        <f>(O153-N153)*-1</f>
        <v>173</v>
      </c>
      <c r="P282" s="3">
        <f>(P153-O153)*-1</f>
        <v>125</v>
      </c>
      <c r="Q282" s="3">
        <f>(Q153-P153)*-1</f>
        <v>-38</v>
      </c>
      <c r="R282" s="3">
        <f>SUM(N282:Q282)</f>
        <v>383</v>
      </c>
      <c r="S282" s="3">
        <f>(S153-R153)*-1</f>
        <v>50</v>
      </c>
      <c r="T282" s="3">
        <f>(T153-S153)*-1</f>
        <v>35</v>
      </c>
      <c r="U282" s="3">
        <f>(U153-T153)*-1</f>
        <v>86</v>
      </c>
      <c r="V282" s="3">
        <f>(V153-U153)*-1</f>
        <v>14</v>
      </c>
      <c r="W282" s="3">
        <f>SUM(S282:V282)</f>
        <v>185</v>
      </c>
      <c r="X282" s="3">
        <f>(X153-W153)*-1</f>
        <v>104</v>
      </c>
      <c r="Y282" s="3">
        <f>(Y153-X153)*-1</f>
        <v>48</v>
      </c>
      <c r="Z282" s="3">
        <f>(Z153-Y153)*-1</f>
        <v>-19</v>
      </c>
      <c r="AA282" s="3">
        <f>(AA153-Z153)*-1</f>
        <v>109</v>
      </c>
      <c r="AB282" s="3">
        <f>SUM(X282:AA282)</f>
        <v>242</v>
      </c>
      <c r="AC282" s="3">
        <f>(AC153-AB153)*-1</f>
        <v>8</v>
      </c>
      <c r="AD282" s="3">
        <f>(AD153-AC153)*-1</f>
        <v>-14</v>
      </c>
      <c r="AE282" s="3">
        <f>(AE153-AD153)*-1</f>
        <v>58</v>
      </c>
      <c r="AF282" s="3">
        <f>(AF153-AE153)*-1</f>
        <v>61</v>
      </c>
      <c r="AG282" s="3">
        <f>SUM(AC282:AF282)</f>
        <v>113</v>
      </c>
      <c r="AH282" s="3">
        <f>(AH153-AG153)*-1</f>
        <v>65</v>
      </c>
      <c r="AI282" s="3">
        <f>(AI153-AH153)*-1</f>
        <v>51</v>
      </c>
      <c r="AJ282" s="3">
        <f>(AJ153-AI153)*-1</f>
        <v>0</v>
      </c>
      <c r="AK282" s="3">
        <f>(AK153-AJ153)*-1</f>
        <v>0</v>
      </c>
      <c r="AL282" s="3">
        <f>SUM(AH282:AK282)</f>
        <v>116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-5299</v>
      </c>
      <c r="F284" s="3">
        <f>(F155-E155)*-1</f>
        <v>50</v>
      </c>
      <c r="G284" s="3">
        <f>(G155-F155)*-1</f>
        <v>8247</v>
      </c>
      <c r="H284" s="3">
        <f>SUM(D284:G284)</f>
        <v>2998</v>
      </c>
      <c r="I284" s="3">
        <f>(I155-H155)*-1</f>
        <v>-2643</v>
      </c>
      <c r="J284" s="3">
        <f>(J155-I155)*-1</f>
        <v>354</v>
      </c>
      <c r="K284" s="3">
        <f>(K155-J155)*-1</f>
        <v>108</v>
      </c>
      <c r="L284" s="3">
        <f>(L155-K155)*-1</f>
        <v>-67</v>
      </c>
      <c r="M284" s="3">
        <f>SUM(I284:L284)</f>
        <v>-2248</v>
      </c>
      <c r="N284" s="3">
        <f>(N155-M155)*-1</f>
        <v>-158</v>
      </c>
      <c r="O284" s="3">
        <f>(O155-N155)*-1</f>
        <v>43</v>
      </c>
      <c r="P284" s="3">
        <f>(P155-O155)*-1</f>
        <v>-260</v>
      </c>
      <c r="Q284" s="3">
        <f>(Q155-P155)*-1</f>
        <v>958</v>
      </c>
      <c r="R284" s="3">
        <f>SUM(N284:Q284)</f>
        <v>583</v>
      </c>
      <c r="S284" s="3">
        <f>(S155-R155)*-1</f>
        <v>-198</v>
      </c>
      <c r="T284" s="3">
        <f>(T155-S155)*-1</f>
        <v>-861</v>
      </c>
      <c r="U284" s="3">
        <f>(U155-T155)*-1</f>
        <v>-1826</v>
      </c>
      <c r="V284" s="3">
        <f>(V155-U155)*-1</f>
        <v>-1295</v>
      </c>
      <c r="W284" s="3">
        <f>SUM(S284:V284)</f>
        <v>-4180</v>
      </c>
      <c r="X284" s="3">
        <f>(X155-W155)*-1</f>
        <v>-282</v>
      </c>
      <c r="Y284" s="3">
        <f>(Y155-X155)*-1</f>
        <v>1231</v>
      </c>
      <c r="Z284" s="3">
        <f>(Z155-Y155)*-1</f>
        <v>1180</v>
      </c>
      <c r="AA284" s="3">
        <f>(AA155-Z155)*-1</f>
        <v>531</v>
      </c>
      <c r="AB284" s="3">
        <f>SUM(X284:AA284)</f>
        <v>2660</v>
      </c>
      <c r="AC284" s="3">
        <f>(AC155-AB155)*-1</f>
        <v>-1696</v>
      </c>
      <c r="AD284" s="3">
        <f>(AD155-AC155)*-1</f>
        <v>799</v>
      </c>
      <c r="AE284" s="3">
        <f>(AE155-AD155)*-1</f>
        <v>2002</v>
      </c>
      <c r="AF284" s="3">
        <f>(AF155-AE155)*-1</f>
        <v>-7544</v>
      </c>
      <c r="AG284" s="3">
        <f>SUM(AC284:AF284)</f>
        <v>-6439</v>
      </c>
      <c r="AH284" s="3">
        <f>(AH155-AG155)*-1</f>
        <v>1900</v>
      </c>
      <c r="AI284" s="3">
        <f>(AI155-AH155)*-1</f>
        <v>-179</v>
      </c>
      <c r="AJ284" s="3">
        <f>(AJ155-AI155)*-1</f>
        <v>0</v>
      </c>
      <c r="AK284" s="3">
        <f>(AK155-AJ155)*-1</f>
        <v>0</v>
      </c>
      <c r="AL284" s="3">
        <f>SUM(AH284:AK284)</f>
        <v>1721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-972</v>
      </c>
      <c r="F285" s="3">
        <f>F198-E198</f>
        <v>1082</v>
      </c>
      <c r="G285" s="3">
        <f>G198-F198</f>
        <v>-1605</v>
      </c>
      <c r="H285" s="3">
        <f>SUM(D285:G285)</f>
        <v>-1495</v>
      </c>
      <c r="I285" s="3">
        <f>I198-H198</f>
        <v>-216</v>
      </c>
      <c r="J285" s="3">
        <f>J198-I198</f>
        <v>1195</v>
      </c>
      <c r="K285" s="3">
        <f>K198-J198</f>
        <v>706</v>
      </c>
      <c r="L285" s="3">
        <f>L198-K198</f>
        <v>1789</v>
      </c>
      <c r="M285" s="3">
        <f>SUM(I285:L285)</f>
        <v>3474</v>
      </c>
      <c r="N285" s="3">
        <f>N198-M198</f>
        <v>-1347</v>
      </c>
      <c r="O285" s="3">
        <f>O198-N198</f>
        <v>941</v>
      </c>
      <c r="P285" s="3">
        <f>P198-O198</f>
        <v>1890</v>
      </c>
      <c r="Q285" s="3">
        <f>Q198-P198</f>
        <v>-354</v>
      </c>
      <c r="R285" s="3">
        <f>SUM(N285:Q285)</f>
        <v>1130</v>
      </c>
      <c r="S285" s="3">
        <f>S198-R198</f>
        <v>-156</v>
      </c>
      <c r="T285" s="3">
        <f>T198-S198</f>
        <v>890</v>
      </c>
      <c r="U285" s="3">
        <f>U198-T198</f>
        <v>354</v>
      </c>
      <c r="V285" s="3">
        <f>V198-U198</f>
        <v>-1352</v>
      </c>
      <c r="W285" s="3">
        <f>SUM(S285:V285)</f>
        <v>-264</v>
      </c>
      <c r="X285" s="3">
        <f>X198-W198</f>
        <v>3940</v>
      </c>
      <c r="Y285" s="3">
        <f>Y198-X198</f>
        <v>2484</v>
      </c>
      <c r="Z285" s="3">
        <f>Z198-Y198</f>
        <v>1911</v>
      </c>
      <c r="AA285" s="3">
        <f>AA198-Z198</f>
        <v>-2105</v>
      </c>
      <c r="AB285" s="3">
        <f>SUM(X285:AA285)</f>
        <v>6230</v>
      </c>
      <c r="AC285" s="3">
        <f>AC198-AB198</f>
        <v>-5216</v>
      </c>
      <c r="AD285" s="3">
        <f>AD198-AC198</f>
        <v>531</v>
      </c>
      <c r="AE285" s="3">
        <f>AE198-AD198</f>
        <v>662</v>
      </c>
      <c r="AF285" s="3">
        <f>AF198-AE198</f>
        <v>-2879</v>
      </c>
      <c r="AG285" s="3">
        <f>SUM(AC285:AF285)</f>
        <v>-6902</v>
      </c>
      <c r="AH285" s="3">
        <f>AH198-AG198</f>
        <v>-404</v>
      </c>
      <c r="AI285" s="3">
        <f>AI198-AH198</f>
        <v>1025</v>
      </c>
      <c r="AJ285" s="3">
        <f>AJ198-AI198</f>
        <v>-15434</v>
      </c>
      <c r="AK285" s="3">
        <f>AK198-AJ198</f>
        <v>0</v>
      </c>
      <c r="AL285" s="3">
        <f>SUM(AH285:AK285)</f>
        <v>-14813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0</v>
      </c>
      <c r="F286" s="3">
        <f>F202-E202</f>
        <v>0</v>
      </c>
      <c r="G286" s="3">
        <f>G202-F202</f>
        <v>0</v>
      </c>
      <c r="H286" s="3">
        <f>SUM(D286:G286)</f>
        <v>0</v>
      </c>
      <c r="I286" s="3">
        <f>I202-H202</f>
        <v>0</v>
      </c>
      <c r="J286" s="3">
        <f>J202-I202</f>
        <v>0</v>
      </c>
      <c r="K286" s="3">
        <f>K202-J202</f>
        <v>0</v>
      </c>
      <c r="L286" s="3">
        <f>L202-K202</f>
        <v>0</v>
      </c>
      <c r="M286" s="3">
        <f>SUM(I286:L286)</f>
        <v>0</v>
      </c>
      <c r="N286" s="3">
        <f>N202-M202</f>
        <v>0</v>
      </c>
      <c r="O286" s="3">
        <f>O202-N202</f>
        <v>0</v>
      </c>
      <c r="P286" s="3">
        <f>P202-O202</f>
        <v>0</v>
      </c>
      <c r="Q286" s="3">
        <f>Q202-P202</f>
        <v>0</v>
      </c>
      <c r="R286" s="3">
        <f>SUM(N286:Q286)</f>
        <v>0</v>
      </c>
      <c r="S286" s="3">
        <f>S202-R202</f>
        <v>0</v>
      </c>
      <c r="T286" s="3">
        <f>T202-S202</f>
        <v>0</v>
      </c>
      <c r="U286" s="3">
        <f>U202-T202</f>
        <v>0</v>
      </c>
      <c r="V286" s="3">
        <f>V202-U202</f>
        <v>0</v>
      </c>
      <c r="W286" s="3">
        <f>SUM(S286:V286)</f>
        <v>0</v>
      </c>
      <c r="X286" s="3">
        <f>X202-W202</f>
        <v>0</v>
      </c>
      <c r="Y286" s="3">
        <f>Y202-X202</f>
        <v>0</v>
      </c>
      <c r="Z286" s="3">
        <f>Z202-Y202</f>
        <v>0</v>
      </c>
      <c r="AA286" s="3">
        <f>AA202-Z202</f>
        <v>0</v>
      </c>
      <c r="AB286" s="3">
        <f>SUM(X286:AA286)</f>
        <v>0</v>
      </c>
      <c r="AC286" s="3">
        <f>AC202-AB202</f>
        <v>0</v>
      </c>
      <c r="AD286" s="3">
        <f>AD202-AC202</f>
        <v>0</v>
      </c>
      <c r="AE286" s="3">
        <f>AE202-AD202</f>
        <v>0</v>
      </c>
      <c r="AF286" s="3">
        <f>AF202-AE202</f>
        <v>0</v>
      </c>
      <c r="AG286" s="3">
        <f>SUM(AC286:AF286)</f>
        <v>0</v>
      </c>
      <c r="AH286" s="3">
        <f>AH202-AG202</f>
        <v>0</v>
      </c>
      <c r="AI286" s="3">
        <f>AI202-AH202</f>
        <v>0</v>
      </c>
      <c r="AJ286" s="3">
        <f>AJ202-AI202</f>
        <v>0</v>
      </c>
      <c r="AK286" s="3">
        <f>AK202-AJ202</f>
        <v>0</v>
      </c>
      <c r="AL286" s="3">
        <f>SUM(AH286:AK286)</f>
        <v>0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118</v>
      </c>
      <c r="F287" s="3">
        <f>F204-E204</f>
        <v>200</v>
      </c>
      <c r="G287" s="3">
        <f>G204-F204</f>
        <v>12</v>
      </c>
      <c r="H287" s="3">
        <f>SUM(D287:G287)</f>
        <v>330</v>
      </c>
      <c r="I287" s="3">
        <f>I204-H204</f>
        <v>-44</v>
      </c>
      <c r="J287" s="3">
        <f>J204-I204</f>
        <v>227</v>
      </c>
      <c r="K287" s="3">
        <f>K204-J204</f>
        <v>-125</v>
      </c>
      <c r="L287" s="3">
        <f>L204-K204</f>
        <v>-160</v>
      </c>
      <c r="M287" s="3">
        <f>SUM(I287:L287)</f>
        <v>-102</v>
      </c>
      <c r="N287" s="3">
        <f>N204-M204</f>
        <v>180</v>
      </c>
      <c r="O287" s="3">
        <f>O204-N204</f>
        <v>306</v>
      </c>
      <c r="P287" s="3">
        <f>P204-O204</f>
        <v>39</v>
      </c>
      <c r="Q287" s="3">
        <f>Q204-P204</f>
        <v>-8</v>
      </c>
      <c r="R287" s="3">
        <f>SUM(N287:Q287)</f>
        <v>517</v>
      </c>
      <c r="S287" s="3">
        <f>S204-R204</f>
        <v>295</v>
      </c>
      <c r="T287" s="3">
        <f>T204-S204</f>
        <v>135</v>
      </c>
      <c r="U287" s="3">
        <f>U204-T204</f>
        <v>-56</v>
      </c>
      <c r="V287" s="3">
        <f>V204-U204</f>
        <v>-8</v>
      </c>
      <c r="W287" s="3">
        <f>SUM(S287:V287)</f>
        <v>366</v>
      </c>
      <c r="X287" s="3">
        <f>X204-W204</f>
        <v>-84</v>
      </c>
      <c r="Y287" s="3">
        <f>Y204-X204</f>
        <v>137</v>
      </c>
      <c r="Z287" s="3">
        <f>Z204-Y204</f>
        <v>-143</v>
      </c>
      <c r="AA287" s="3">
        <f>AA204-Z204</f>
        <v>-92</v>
      </c>
      <c r="AB287" s="3">
        <f>SUM(X287:AA287)</f>
        <v>-182</v>
      </c>
      <c r="AC287" s="3">
        <f>AC204-AB204</f>
        <v>341</v>
      </c>
      <c r="AD287" s="3">
        <f>AD204-AC204</f>
        <v>-1284</v>
      </c>
      <c r="AE287" s="3">
        <f>AE204-AD204</f>
        <v>124</v>
      </c>
      <c r="AF287" s="3">
        <f>AF204-AE204</f>
        <v>-43</v>
      </c>
      <c r="AG287" s="3">
        <f>SUM(AC287:AF287)</f>
        <v>-862</v>
      </c>
      <c r="AH287" s="3">
        <f>AH204-AG204</f>
        <v>192</v>
      </c>
      <c r="AI287" s="3">
        <f>AI204-AH204</f>
        <v>65</v>
      </c>
      <c r="AJ287" s="3">
        <f>AJ204-AI204</f>
        <v>-782</v>
      </c>
      <c r="AK287" s="3">
        <f>AK204-AJ204</f>
        <v>0</v>
      </c>
      <c r="AL287" s="3">
        <f>SUM(AH287:AK287)</f>
        <v>-525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-4234</v>
      </c>
      <c r="F288" s="3">
        <f>F205-E205</f>
        <v>-3566</v>
      </c>
      <c r="G288" s="3">
        <f>G205-F205</f>
        <v>-5857</v>
      </c>
      <c r="H288" s="3">
        <f>SUM(D288:G288)</f>
        <v>-13657</v>
      </c>
      <c r="I288" s="3">
        <f>I205-H205</f>
        <v>1933</v>
      </c>
      <c r="J288" s="3">
        <f>J205-I205</f>
        <v>-66</v>
      </c>
      <c r="K288" s="3">
        <f>K205-J205</f>
        <v>-1</v>
      </c>
      <c r="L288" s="3">
        <f>L205-K205</f>
        <v>-1866</v>
      </c>
      <c r="M288" s="3">
        <f>SUM(I288:L288)</f>
        <v>0</v>
      </c>
      <c r="N288" s="3">
        <f>N205-M205</f>
        <v>3610</v>
      </c>
      <c r="O288" s="3">
        <f>O205-N205</f>
        <v>748</v>
      </c>
      <c r="P288" s="3">
        <f>P205-O205</f>
        <v>-962</v>
      </c>
      <c r="Q288" s="3">
        <f>Q205-P205</f>
        <v>-3396</v>
      </c>
      <c r="R288" s="3">
        <f>SUM(N288:Q288)</f>
        <v>0</v>
      </c>
      <c r="S288" s="3">
        <f>S205-R205</f>
        <v>5455</v>
      </c>
      <c r="T288" s="3">
        <f>T205-S205</f>
        <v>-627</v>
      </c>
      <c r="U288" s="3">
        <f>U205-T205</f>
        <v>-913</v>
      </c>
      <c r="V288" s="3">
        <f>V205-U205</f>
        <v>642</v>
      </c>
      <c r="W288" s="3">
        <f>SUM(S288:V288)</f>
        <v>4557</v>
      </c>
      <c r="X288" s="3">
        <f>X205-W205</f>
        <v>1497</v>
      </c>
      <c r="Y288" s="3">
        <f>Y205-X205</f>
        <v>-2261</v>
      </c>
      <c r="Z288" s="3">
        <f>Z205-Y205</f>
        <v>-1590</v>
      </c>
      <c r="AA288" s="3">
        <f>AA205-Z205</f>
        <v>-704</v>
      </c>
      <c r="AB288" s="3">
        <f>SUM(X288:AA288)</f>
        <v>-3058</v>
      </c>
      <c r="AC288" s="3">
        <f>AC205-AB205</f>
        <v>3919</v>
      </c>
      <c r="AD288" s="3">
        <f>AD205-AC205</f>
        <v>-1039</v>
      </c>
      <c r="AE288" s="3">
        <f>AE205-AD205</f>
        <v>-2060</v>
      </c>
      <c r="AF288" s="3">
        <f>AF205-AE205</f>
        <v>1802</v>
      </c>
      <c r="AG288" s="3">
        <f>SUM(AC288:AF288)</f>
        <v>2622</v>
      </c>
      <c r="AH288" s="3">
        <f>AH205-AG205</f>
        <v>-1362</v>
      </c>
      <c r="AI288" s="3">
        <f>AI205-AH205</f>
        <v>-269</v>
      </c>
      <c r="AJ288" s="3">
        <f>AJ205-AI205</f>
        <v>0</v>
      </c>
      <c r="AK288" s="3">
        <f>AK205-AJ205</f>
        <v>0</v>
      </c>
      <c r="AL288" s="3">
        <f>SUM(AH288:AK288)</f>
        <v>-1631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113</v>
      </c>
      <c r="F289" s="3">
        <f>F239-E239</f>
        <v>-24</v>
      </c>
      <c r="G289" s="3">
        <f>G239-F239</f>
        <v>-112</v>
      </c>
      <c r="H289" s="3">
        <f>SUM(D289:G289)</f>
        <v>-23</v>
      </c>
      <c r="I289" s="3">
        <f>I239-H239</f>
        <v>614</v>
      </c>
      <c r="J289" s="3">
        <f>J239-I239</f>
        <v>39</v>
      </c>
      <c r="K289" s="3">
        <f>K239-J239</f>
        <v>202</v>
      </c>
      <c r="L289" s="3">
        <f>L239-K239</f>
        <v>133</v>
      </c>
      <c r="M289" s="3">
        <f>SUM(I289:L289)</f>
        <v>988</v>
      </c>
      <c r="N289" s="3">
        <f>N239-M239</f>
        <v>311</v>
      </c>
      <c r="O289" s="3">
        <f>O239-N239</f>
        <v>-98</v>
      </c>
      <c r="P289" s="3">
        <f>P239-O239</f>
        <v>90</v>
      </c>
      <c r="Q289" s="3">
        <f>Q239-P239</f>
        <v>-210</v>
      </c>
      <c r="R289" s="3">
        <f>SUM(N289:Q289)</f>
        <v>93</v>
      </c>
      <c r="S289" s="3">
        <f>S239-R239</f>
        <v>257</v>
      </c>
      <c r="T289" s="3">
        <f>T239-S239</f>
        <v>-457</v>
      </c>
      <c r="U289" s="3">
        <f>U239-T239</f>
        <v>19</v>
      </c>
      <c r="V289" s="3">
        <f>V239-U239</f>
        <v>-94</v>
      </c>
      <c r="W289" s="3">
        <f>SUM(S289:V289)</f>
        <v>-275</v>
      </c>
      <c r="X289" s="3">
        <f>X239-W239</f>
        <v>-118</v>
      </c>
      <c r="Y289" s="3">
        <f>Y239-X239</f>
        <v>-155</v>
      </c>
      <c r="Z289" s="3">
        <f>Z239-Y239</f>
        <v>-74</v>
      </c>
      <c r="AA289" s="3">
        <f>AA239-Z239</f>
        <v>177</v>
      </c>
      <c r="AB289" s="3">
        <f>SUM(X289:AA289)</f>
        <v>-170</v>
      </c>
      <c r="AC289" s="3">
        <f>AC239-AB239</f>
        <v>-158</v>
      </c>
      <c r="AD289" s="3">
        <f>AD239-AC239</f>
        <v>64</v>
      </c>
      <c r="AE289" s="3">
        <f>AE239-AD239</f>
        <v>60</v>
      </c>
      <c r="AF289" s="3">
        <f>AF239-AE239</f>
        <v>-29</v>
      </c>
      <c r="AG289" s="3">
        <f>SUM(AC289:AF289)</f>
        <v>-63</v>
      </c>
      <c r="AH289" s="3">
        <f>AH239-AG239</f>
        <v>209</v>
      </c>
      <c r="AI289" s="3">
        <f>AI239-AH239</f>
        <v>164</v>
      </c>
      <c r="AJ289" s="3">
        <f>AJ239-AI239</f>
        <v>0</v>
      </c>
      <c r="AK289" s="3">
        <f>AK239-AJ239</f>
        <v>0</v>
      </c>
      <c r="AL289" s="3">
        <f>SUM(AH289:AK289)</f>
        <v>373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-169</v>
      </c>
      <c r="F290" s="3">
        <f>(F161-E161)*-1</f>
        <v>-686</v>
      </c>
      <c r="G290" s="3">
        <f>(G161-F161)*-1</f>
        <v>-398</v>
      </c>
      <c r="H290" s="3">
        <f>SUM(D290:G290)</f>
        <v>-1253</v>
      </c>
      <c r="I290" s="3">
        <f>(I161-H161)*-1</f>
        <v>307</v>
      </c>
      <c r="J290" s="3">
        <f>(J161-I161)*-1</f>
        <v>495</v>
      </c>
      <c r="K290" s="3">
        <f>(K161-J161)*-1</f>
        <v>187</v>
      </c>
      <c r="L290" s="3">
        <f>(L161-K161)*-1</f>
        <v>686</v>
      </c>
      <c r="M290" s="3">
        <f>SUM(I290:L290)</f>
        <v>1675</v>
      </c>
      <c r="N290" s="3">
        <f>(N161-M161)*-1</f>
        <v>-600</v>
      </c>
      <c r="O290" s="3">
        <f>(O161-N161)*-1</f>
        <v>478</v>
      </c>
      <c r="P290" s="3">
        <f>(P161-O161)*-1</f>
        <v>-3</v>
      </c>
      <c r="Q290" s="3">
        <f>(Q161-P161)*-1</f>
        <v>-541</v>
      </c>
      <c r="R290" s="3">
        <f>SUM(N290:Q290)</f>
        <v>-666</v>
      </c>
      <c r="S290" s="3">
        <f>(S161-R161)*-1</f>
        <v>-480</v>
      </c>
      <c r="T290" s="3">
        <f>(T161-S161)*-1</f>
        <v>-518</v>
      </c>
      <c r="U290" s="3">
        <f>(U161-T161)*-1</f>
        <v>6</v>
      </c>
      <c r="V290" s="3">
        <f>(V161-U161)*-1</f>
        <v>-415</v>
      </c>
      <c r="W290" s="3">
        <f>SUM(S290:V290)</f>
        <v>-1407</v>
      </c>
      <c r="X290" s="3">
        <f>(X161-W161)*-1</f>
        <v>176</v>
      </c>
      <c r="Y290" s="3">
        <f>(Y161-X161)*-1</f>
        <v>555</v>
      </c>
      <c r="Z290" s="3">
        <f>(Z161-Y161)*-1</f>
        <v>-53</v>
      </c>
      <c r="AA290" s="3">
        <f>(AA161-Z161)*-1</f>
        <v>906</v>
      </c>
      <c r="AB290" s="3">
        <f>SUM(X290:AA290)</f>
        <v>1584</v>
      </c>
      <c r="AC290" s="3">
        <f>(AC161-AB161)*-1</f>
        <v>-282</v>
      </c>
      <c r="AD290" s="3">
        <f>(AD161-AC161)*-1</f>
        <v>-1010</v>
      </c>
      <c r="AE290" s="3">
        <f>(AE161-AD161)*-1</f>
        <v>-944</v>
      </c>
      <c r="AF290" s="3">
        <f>(AF161-AE161)*-1</f>
        <v>88</v>
      </c>
      <c r="AG290" s="3">
        <f>SUM(AC290:AF290)</f>
        <v>-2148</v>
      </c>
      <c r="AH290" s="3">
        <f>(AH161-AG161)*-1</f>
        <v>-168</v>
      </c>
      <c r="AI290" s="3">
        <f>(AI161-AH161)*-1</f>
        <v>-379</v>
      </c>
      <c r="AJ290" s="3">
        <f>(AJ161-AI161)*-1</f>
        <v>0</v>
      </c>
      <c r="AK290" s="3">
        <f>(AK161-AJ161)*-1</f>
        <v>0</v>
      </c>
      <c r="AL290" s="3">
        <f>SUM(AH290:AK290)</f>
        <v>-547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-20</v>
      </c>
      <c r="F292" s="3">
        <f>-F136</f>
        <v>3</v>
      </c>
      <c r="G292" s="3">
        <f>-G136</f>
        <v>18</v>
      </c>
      <c r="H292" s="3">
        <f>SUM(D292:G292)</f>
        <v>1</v>
      </c>
      <c r="I292" s="3">
        <f>-I136</f>
        <v>10</v>
      </c>
      <c r="J292" s="3">
        <f>-J136</f>
        <v>-17</v>
      </c>
      <c r="K292" s="3">
        <f>-K136</f>
        <v>4</v>
      </c>
      <c r="L292" s="3">
        <f>-L136</f>
        <v>36</v>
      </c>
      <c r="M292" s="3">
        <f>SUM(I292:L292)</f>
        <v>33</v>
      </c>
      <c r="N292" s="3">
        <f>-N136</f>
        <v>12</v>
      </c>
      <c r="O292" s="3">
        <f>-O136</f>
        <v>-5</v>
      </c>
      <c r="P292" s="3">
        <f>-P136</f>
        <v>-3</v>
      </c>
      <c r="Q292" s="3">
        <f>-Q136</f>
        <v>25</v>
      </c>
      <c r="R292" s="3">
        <f>SUM(N292:Q292)</f>
        <v>29</v>
      </c>
      <c r="S292" s="3">
        <f>-S136</f>
        <v>6</v>
      </c>
      <c r="T292" s="3">
        <f>-T136</f>
        <v>-26</v>
      </c>
      <c r="U292" s="3">
        <f>-U136</f>
        <v>-4</v>
      </c>
      <c r="V292" s="3">
        <f>-V136</f>
        <v>13</v>
      </c>
      <c r="W292" s="3">
        <f>SUM(S292:V292)</f>
        <v>-11</v>
      </c>
      <c r="X292" s="3">
        <f>-X136</f>
        <v>8</v>
      </c>
      <c r="Y292" s="3">
        <f>-Y136</f>
        <v>-10</v>
      </c>
      <c r="Z292" s="3">
        <f>-Z136</f>
        <v>2</v>
      </c>
      <c r="AA292" s="3">
        <f>-AA136</f>
        <v>18</v>
      </c>
      <c r="AB292" s="3">
        <f>SUM(X292:AA292)</f>
        <v>18</v>
      </c>
      <c r="AC292" s="3">
        <f>-AC136</f>
        <v>5</v>
      </c>
      <c r="AD292" s="3">
        <f>-AD136</f>
        <v>-7</v>
      </c>
      <c r="AE292" s="3">
        <f>-AE136</f>
        <v>-13</v>
      </c>
      <c r="AF292" s="3">
        <f>-AF136</f>
        <v>45</v>
      </c>
      <c r="AG292" s="3">
        <f>SUM(AC292:AF292)</f>
        <v>30</v>
      </c>
      <c r="AH292" s="3">
        <f>-AH136</f>
        <v>42</v>
      </c>
      <c r="AI292" s="3">
        <f>-AI136</f>
        <v>13</v>
      </c>
      <c r="AJ292" s="3">
        <f>-AJ136</f>
        <v>-13</v>
      </c>
      <c r="AK292" s="3">
        <f>-AK136</f>
        <v>45</v>
      </c>
      <c r="AL292" s="3">
        <f>SUM(AH292:AK292)</f>
        <v>87</v>
      </c>
      <c r="AM292" s="3">
        <f>-AM136</f>
        <v>42</v>
      </c>
      <c r="AN292" s="3">
        <f>-AN136</f>
        <v>13</v>
      </c>
      <c r="AO292" s="3">
        <f>-AO136</f>
        <v>-13</v>
      </c>
      <c r="AP292" s="3">
        <f>-AP136</f>
        <v>45</v>
      </c>
      <c r="AQ292" s="3">
        <f>SUM(AM292:AP292)</f>
        <v>87</v>
      </c>
      <c r="AR292" s="3">
        <f>-AR136</f>
        <v>42</v>
      </c>
      <c r="AS292" s="3">
        <f>-AS136</f>
        <v>13</v>
      </c>
      <c r="AT292" s="3">
        <f>-AT136</f>
        <v>-13</v>
      </c>
      <c r="AU292" s="3">
        <f>-AU136</f>
        <v>45</v>
      </c>
      <c r="AV292" s="3">
        <f>SUM(AR292:AU292)</f>
        <v>87</v>
      </c>
      <c r="AW292" s="3">
        <f>-AW136</f>
        <v>42</v>
      </c>
      <c r="AX292" s="3">
        <f>-AX136</f>
        <v>13</v>
      </c>
      <c r="AY292" s="3">
        <f>-AY136</f>
        <v>-13</v>
      </c>
      <c r="AZ292" s="3">
        <f>-AZ136</f>
        <v>45</v>
      </c>
      <c r="BA292" s="3">
        <f>SUM(AW292:AZ292)</f>
        <v>87</v>
      </c>
      <c r="BB292" s="3">
        <f>-BB136</f>
        <v>42</v>
      </c>
      <c r="BC292" s="3">
        <f>-BC136</f>
        <v>13</v>
      </c>
      <c r="BD292" s="3">
        <f>-BD136</f>
        <v>-13</v>
      </c>
      <c r="BE292" s="3">
        <f>-BE136</f>
        <v>45</v>
      </c>
      <c r="BF292" s="3">
        <f>SUM(BB292:BE292)</f>
        <v>87</v>
      </c>
      <c r="BG292" s="3">
        <f>-BG136</f>
        <v>42</v>
      </c>
      <c r="BH292" s="3">
        <f>-BH136</f>
        <v>13</v>
      </c>
      <c r="BI292" s="3">
        <f>-BI136</f>
        <v>-13</v>
      </c>
      <c r="BJ292" s="3">
        <f>-BJ136</f>
        <v>45</v>
      </c>
      <c r="BK292" s="3">
        <f>SUM(BG292:BJ292)</f>
        <v>87</v>
      </c>
      <c r="BL292" s="3">
        <f>-BL136</f>
        <v>42</v>
      </c>
      <c r="BM292" s="3">
        <f>-BM136</f>
        <v>13</v>
      </c>
      <c r="BN292" s="3">
        <f>-BN136</f>
        <v>-13</v>
      </c>
      <c r="BO292" s="3">
        <f>-BO136</f>
        <v>45</v>
      </c>
      <c r="BP292" s="3">
        <f>SUM(BL292:BO292)</f>
        <v>87</v>
      </c>
      <c r="BQ292" s="3">
        <f>-BQ136</f>
        <v>42</v>
      </c>
      <c r="BR292" s="3">
        <f>-BR136</f>
        <v>13</v>
      </c>
      <c r="BS292" s="3">
        <f>-BS136</f>
        <v>-13</v>
      </c>
      <c r="BT292" s="3">
        <f>-BT136</f>
        <v>45</v>
      </c>
      <c r="BU292" s="3">
        <f>SUM(BQ292:BT292)</f>
        <v>87</v>
      </c>
      <c r="BV292" s="3">
        <f>-BV136</f>
        <v>42</v>
      </c>
      <c r="BW292" s="3">
        <f>-BW136</f>
        <v>13</v>
      </c>
      <c r="BX292" s="3">
        <f>-BX136</f>
        <v>-13</v>
      </c>
      <c r="BY292" s="3">
        <f>-BY136</f>
        <v>45</v>
      </c>
      <c r="BZ292" s="3">
        <f>SUM(BV292:BY292)</f>
        <v>87</v>
      </c>
      <c r="CA292" s="3">
        <f>-CA136</f>
        <v>42</v>
      </c>
      <c r="CB292" s="3">
        <f>-CB136</f>
        <v>13</v>
      </c>
      <c r="CC292" s="3">
        <f>-CC136</f>
        <v>-13</v>
      </c>
      <c r="CD292" s="3">
        <f>-CD136</f>
        <v>45</v>
      </c>
      <c r="CE292" s="3">
        <f>SUM(CA292:CD292)</f>
        <v>87</v>
      </c>
      <c r="CF292" s="3">
        <f>-CF136</f>
        <v>42</v>
      </c>
      <c r="CG292" s="3">
        <f>-CG136</f>
        <v>13</v>
      </c>
      <c r="CH292" s="3">
        <f>-CH136</f>
        <v>-13</v>
      </c>
      <c r="CI292" s="3">
        <f>-CI136</f>
        <v>45</v>
      </c>
      <c r="CJ292" s="3">
        <f>SUM(CF292:CI292)</f>
        <v>87</v>
      </c>
      <c r="CK292" s="3">
        <f>-CK136</f>
        <v>42</v>
      </c>
      <c r="CL292" s="3">
        <f>-CL136</f>
        <v>13</v>
      </c>
      <c r="CM292" s="3">
        <f>-CM136</f>
        <v>-13</v>
      </c>
      <c r="CN292" s="3">
        <f>-CN136</f>
        <v>45</v>
      </c>
      <c r="CO292" s="3">
        <f>SUM(CK292:CN292)</f>
        <v>87</v>
      </c>
      <c r="CP292" s="3">
        <f>-CP136</f>
        <v>42</v>
      </c>
      <c r="CQ292" s="3">
        <f>-CQ136</f>
        <v>13</v>
      </c>
      <c r="CR292" s="3">
        <f>-CR136</f>
        <v>-13</v>
      </c>
      <c r="CS292" s="3">
        <f>-CS136</f>
        <v>45</v>
      </c>
      <c r="CT292" s="3">
        <f>SUM(CP292:CS292)</f>
        <v>87</v>
      </c>
      <c r="CU292" s="3">
        <f>-CU136</f>
        <v>42</v>
      </c>
      <c r="CV292" s="3">
        <f>-CV136</f>
        <v>13</v>
      </c>
      <c r="CW292" s="3">
        <f>-CW136</f>
        <v>-13</v>
      </c>
      <c r="CX292" s="3">
        <f>-CX136</f>
        <v>45</v>
      </c>
      <c r="CY292" s="3">
        <f>SUM(CU292:CX292)</f>
        <v>87</v>
      </c>
    </row>
    <row r="293">
      <c r="C293" s="26" t="inlineStr">
        <is>
          <t>Cash from operations</t>
        </is>
      </c>
      <c r="D293" s="3" t="n"/>
      <c r="E293" s="3">
        <f>SUM(E277,E278,E279,E290,E291,E292)</f>
        <v>-7756</v>
      </c>
      <c r="F293" s="3">
        <f>SUM(F277,F278,F279,F290,F291,F292)</f>
        <v>-660</v>
      </c>
      <c r="G293" s="3">
        <f>SUM(G277,G278,G279,G290,G291,G292)</f>
        <v>2851</v>
      </c>
      <c r="H293" s="3">
        <f>SUM(H277,H278,H279,H290,H291,H292)</f>
        <v>-5565</v>
      </c>
      <c r="I293" s="3">
        <f>SUM(I277,I278,I279,I290,I291,I292)</f>
        <v>1992</v>
      </c>
      <c r="J293" s="3">
        <f>SUM(J277,J278,J279,J290,J291,J292)</f>
        <v>5093</v>
      </c>
      <c r="K293" s="3">
        <f>SUM(K277,K278,K279,K290,K291,K292)</f>
        <v>4214</v>
      </c>
      <c r="L293" s="3">
        <f>SUM(L277,L278,L279,L290,L291,L292)</f>
        <v>3559</v>
      </c>
      <c r="M293" s="3">
        <f>SUM(M277,M278,M279,M290,M291,M292)</f>
        <v>14858</v>
      </c>
      <c r="N293" s="3">
        <f>SUM(N277,N278,N279,N290,N291,N292)</f>
        <v>3780</v>
      </c>
      <c r="O293" s="3">
        <f>SUM(O277,O278,O279,O290,O291,O292)</f>
        <v>5080</v>
      </c>
      <c r="P293" s="3">
        <f>SUM(P277,P278,P279,P290,P291,P292)</f>
        <v>4461</v>
      </c>
      <c r="Q293" s="3">
        <f>SUM(Q277,Q278,Q279,Q290,Q291,Q292)</f>
        <v>-1244</v>
      </c>
      <c r="R293" s="3">
        <f>SUM(R277,R278,R279,R290,R291,R292)</f>
        <v>12077</v>
      </c>
      <c r="S293" s="3">
        <f>SUM(S277,S278,S279,S290,S291,S292)</f>
        <v>7016</v>
      </c>
      <c r="T293" s="3">
        <f>SUM(T277,T278,T279,T290,T291,T292)</f>
        <v>2109</v>
      </c>
      <c r="U293" s="3">
        <f>SUM(U277,U278,U279,U290,U291,U292)</f>
        <v>1912</v>
      </c>
      <c r="V293" s="3">
        <f>SUM(V277,V278,V279,V290,V291,V292)</f>
        <v>-338</v>
      </c>
      <c r="W293" s="3">
        <f>SUM(W277,W278,W279,W290,W291,W292)</f>
        <v>10699</v>
      </c>
      <c r="X293" s="3">
        <f>SUM(X277,X278,X279,X290,X291,X292)</f>
        <v>7309</v>
      </c>
      <c r="Y293" s="3">
        <f>SUM(Y277,Y278,Y279,Y290,Y291,Y292)</f>
        <v>4606</v>
      </c>
      <c r="Z293" s="3">
        <f>SUM(Z277,Z278,Z279,Z290,Z291,Z292)</f>
        <v>4691</v>
      </c>
      <c r="AA293" s="3">
        <f>SUM(AA277,AA278,AA279,AA290,AA291,AA292)</f>
        <v>1961</v>
      </c>
      <c r="AB293" s="3">
        <f>SUM(AB277,AB278,AB279,AB290,AB291,AB292)</f>
        <v>18567</v>
      </c>
      <c r="AC293" s="3">
        <f>SUM(AC277,AC278,AC279,AC290,AC291,AC292)</f>
        <v>-378</v>
      </c>
      <c r="AD293" s="3">
        <f>SUM(AD277,AD278,AD279,AD290,AD291,AD292)</f>
        <v>2072</v>
      </c>
      <c r="AE293" s="3">
        <f>SUM(AE277,AE278,AE279,AE290,AE291,AE292)</f>
        <v>4355</v>
      </c>
      <c r="AF293" s="3">
        <f>SUM(AF277,AF278,AF279,AF290,AF291,AF292)</f>
        <v>-4707</v>
      </c>
      <c r="AG293" s="3">
        <f>SUM(AG277,AG278,AG279,AG290,AG291,AG292)</f>
        <v>1342</v>
      </c>
      <c r="AH293" s="3">
        <f>SUM(AH277,AH278,AH279,AH290,AH291,AH292)</f>
        <v>3720</v>
      </c>
      <c r="AI293" s="3">
        <f>SUM(AI277,AI278,AI279,AI290,AI291,AI292)</f>
        <v>5208</v>
      </c>
      <c r="AJ293" s="3">
        <f>SUM(AJ277,AJ278,AJ279,AJ290,AJ291,AJ292)</f>
        <v>-7210</v>
      </c>
      <c r="AK293" s="3">
        <f>SUM(AK277,AK278,AK279,AK290,AK291,AK292)</f>
        <v>1172</v>
      </c>
      <c r="AL293" s="3">
        <f>SUM(AL277,AL278,AL279,AL290,AL291,AL292)</f>
        <v>2890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-83</v>
      </c>
      <c r="F295" s="3">
        <f>-F168</f>
        <v>-330</v>
      </c>
      <c r="G295" s="3">
        <f>-G168</f>
        <v>-540</v>
      </c>
      <c r="H295" s="3">
        <f>SUM(D295:G295)</f>
        <v>-953</v>
      </c>
      <c r="I295" s="3">
        <f>-I168</f>
        <v>-262</v>
      </c>
      <c r="J295" s="3">
        <f>-J168</f>
        <v>-257</v>
      </c>
      <c r="K295" s="3">
        <f>-K168</f>
        <v>127</v>
      </c>
      <c r="L295" s="3">
        <f>-L168</f>
        <v>-203</v>
      </c>
      <c r="M295" s="3">
        <f>SUM(I295:L295)</f>
        <v>-595</v>
      </c>
      <c r="N295" s="3">
        <f>-N168</f>
        <v>-188</v>
      </c>
      <c r="O295" s="3">
        <f>-O168</f>
        <v>0</v>
      </c>
      <c r="P295" s="3">
        <f>-P168</f>
        <v>-88</v>
      </c>
      <c r="Q295" s="3">
        <f>-Q168</f>
        <v>-905</v>
      </c>
      <c r="R295" s="3">
        <f>SUM(N295:Q295)</f>
        <v>-1181</v>
      </c>
      <c r="S295" s="3">
        <f>-S168</f>
        <v>-293</v>
      </c>
      <c r="T295" s="3">
        <f>-T168</f>
        <v>-139</v>
      </c>
      <c r="U295" s="3">
        <f>-U168</f>
        <v>556</v>
      </c>
      <c r="V295" s="3">
        <f>-V168</f>
        <v>-647</v>
      </c>
      <c r="W295" s="3">
        <f>SUM(S295:V295)</f>
        <v>-523</v>
      </c>
      <c r="X295" s="3">
        <f>-X168</f>
        <v>-332</v>
      </c>
      <c r="Y295" s="3">
        <f>-Y168</f>
        <v>-471</v>
      </c>
      <c r="Z295" s="3">
        <f>-Z168</f>
        <v>-624</v>
      </c>
      <c r="AA295" s="3">
        <f>-AA168</f>
        <v>-715</v>
      </c>
      <c r="AB295" s="3">
        <f>SUM(X295:AA295)</f>
        <v>-2142</v>
      </c>
      <c r="AC295" s="3">
        <f>-AC168</f>
        <v>-395</v>
      </c>
      <c r="AD295" s="3">
        <f>-AD168</f>
        <v>-632</v>
      </c>
      <c r="AE295" s="3">
        <f>-AE168</f>
        <v>-386</v>
      </c>
      <c r="AF295" s="3">
        <f>-AF168</f>
        <v>1053</v>
      </c>
      <c r="AG295" s="3">
        <f>SUM(AC295:AF295)</f>
        <v>-360</v>
      </c>
      <c r="AH295" s="3">
        <f>-AH168</f>
        <v>-173</v>
      </c>
      <c r="AI295" s="3">
        <f>-AI168</f>
        <v>-380</v>
      </c>
      <c r="AJ295" s="3">
        <f>-AJ168</f>
        <v>0</v>
      </c>
      <c r="AK295" s="3">
        <f>-AK168</f>
        <v>0</v>
      </c>
      <c r="AL295" s="3">
        <f>SUM(AH295:AK295)</f>
        <v>-553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0</v>
      </c>
      <c r="F297" s="3">
        <f>(F176-E176)*-1</f>
        <v>0</v>
      </c>
      <c r="G297" s="3">
        <f>(G176-F176)*-1</f>
        <v>0</v>
      </c>
      <c r="H297" s="3">
        <f>SUM(D297:G297)</f>
        <v>0</v>
      </c>
      <c r="I297" s="3">
        <f>(I176-H176)*-1</f>
        <v>0</v>
      </c>
      <c r="J297" s="3">
        <f>(J176-I176)*-1</f>
        <v>0</v>
      </c>
      <c r="K297" s="3">
        <f>(K176-J176)*-1</f>
        <v>0</v>
      </c>
      <c r="L297" s="3">
        <f>(L176-K176)*-1</f>
        <v>0</v>
      </c>
      <c r="M297" s="3">
        <f>SUM(I297:L297)</f>
        <v>0</v>
      </c>
      <c r="N297" s="3">
        <f>(N176-M176)*-1</f>
        <v>0</v>
      </c>
      <c r="O297" s="3">
        <f>(O176-N176)*-1</f>
        <v>0</v>
      </c>
      <c r="P297" s="3">
        <f>(P176-O176)*-1</f>
        <v>0</v>
      </c>
      <c r="Q297" s="3">
        <f>(Q176-P176)*-1</f>
        <v>0</v>
      </c>
      <c r="R297" s="3">
        <f>SUM(N297:Q297)</f>
        <v>0</v>
      </c>
      <c r="S297" s="3">
        <f>(S176-R176)*-1</f>
        <v>0</v>
      </c>
      <c r="T297" s="3">
        <f>(T176-S176)*-1</f>
        <v>0</v>
      </c>
      <c r="U297" s="3">
        <f>(U176-T176)*-1</f>
        <v>0</v>
      </c>
      <c r="V297" s="3">
        <f>(V176-U176)*-1</f>
        <v>0</v>
      </c>
      <c r="W297" s="3">
        <f>SUM(S297:V297)</f>
        <v>0</v>
      </c>
      <c r="X297" s="3">
        <f>(X176-W176)*-1</f>
        <v>0</v>
      </c>
      <c r="Y297" s="3">
        <f>(Y176-X176)*-1</f>
        <v>0</v>
      </c>
      <c r="Z297" s="3">
        <f>(Z176-Y176)*-1</f>
        <v>0</v>
      </c>
      <c r="AA297" s="3">
        <f>(AA176-Z176)*-1</f>
        <v>0</v>
      </c>
      <c r="AB297" s="3">
        <f>SUM(X297:AA297)</f>
        <v>0</v>
      </c>
      <c r="AC297" s="3">
        <f>(AC176-AB176)*-1</f>
        <v>0</v>
      </c>
      <c r="AD297" s="3">
        <f>(AD176-AC176)*-1</f>
        <v>0</v>
      </c>
      <c r="AE297" s="3">
        <f>(AE176-AD176)*-1</f>
        <v>0</v>
      </c>
      <c r="AF297" s="3">
        <f>(AF176-AE176)*-1</f>
        <v>0</v>
      </c>
      <c r="AG297" s="3">
        <f>SUM(AC297:AF297)</f>
        <v>0</v>
      </c>
      <c r="AH297" s="3">
        <f>(AH176-AG176)*-1</f>
        <v>0</v>
      </c>
      <c r="AI297" s="3">
        <f>(AI176-AH176)*-1</f>
        <v>0</v>
      </c>
      <c r="AJ297" s="3">
        <f>(AJ176-AI176)*-1</f>
        <v>0</v>
      </c>
      <c r="AK297" s="3">
        <f>(AK176-AJ176)*-1</f>
        <v>0</v>
      </c>
      <c r="AL297" s="3">
        <f>SUM(AH297:AK297)</f>
        <v>0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346</v>
      </c>
      <c r="F298" s="3">
        <f>((F180-E180)*-1)+((F179-E179)*-1)</f>
        <v>-328</v>
      </c>
      <c r="G298" s="3">
        <f>((G180-F180)*-1)+((G179-F179)*-1)</f>
        <v>-681</v>
      </c>
      <c r="H298" s="3">
        <f>SUM(D298:G298)</f>
        <v>-663</v>
      </c>
      <c r="I298" s="3">
        <f>((I180-H180)*-1)+((I179-H179)*-1)</f>
        <v>-301</v>
      </c>
      <c r="J298" s="3">
        <f>((J180-I180)*-1)+((J179-I179)*-1)</f>
        <v>-166</v>
      </c>
      <c r="K298" s="3">
        <f>((K180-J180)*-1)+((K179-J179)*-1)</f>
        <v>464</v>
      </c>
      <c r="L298" s="3">
        <f>((L180-K180)*-1)+((L179-K179)*-1)</f>
        <v>-5924</v>
      </c>
      <c r="M298" s="3">
        <f>SUM(I298:L298)</f>
        <v>-5927</v>
      </c>
      <c r="N298" s="3">
        <f>((N180-M180)*-1)+((N179-M179)*-1)</f>
        <v>-158</v>
      </c>
      <c r="O298" s="3">
        <f>((O180-N180)*-1)+((O179-N179)*-1)</f>
        <v>805</v>
      </c>
      <c r="P298" s="3">
        <f>((P180-O180)*-1)+((P179-O179)*-1)</f>
        <v>884</v>
      </c>
      <c r="Q298" s="3">
        <f>((Q180-P180)*-1)+((Q179-P179)*-1)</f>
        <v>-699</v>
      </c>
      <c r="R298" s="3">
        <f>SUM(N298:Q298)</f>
        <v>832</v>
      </c>
      <c r="S298" s="3">
        <f>((S180-R180)*-1)+((S179-R179)*-1)</f>
        <v>35</v>
      </c>
      <c r="T298" s="3">
        <f>((T180-S180)*-1)+((T179-S179)*-1)</f>
        <v>47</v>
      </c>
      <c r="U298" s="3">
        <f>((U180-T180)*-1)+((U179-T179)*-1)</f>
        <v>557</v>
      </c>
      <c r="V298" s="3">
        <f>((V180-U180)*-1)+((V179-U179)*-1)</f>
        <v>-350</v>
      </c>
      <c r="W298" s="3">
        <f>SUM(S298:V298)</f>
        <v>289</v>
      </c>
      <c r="X298" s="3">
        <f>((X180-W180)*-1)+((X179-W179)*-1)</f>
        <v>965</v>
      </c>
      <c r="Y298" s="3">
        <f>((Y180-X180)*-1)+((Y179-X179)*-1)</f>
        <v>-92</v>
      </c>
      <c r="Z298" s="3">
        <f>((Z180-Y180)*-1)+((Z179-Y179)*-1)</f>
        <v>-450</v>
      </c>
      <c r="AA298" s="3">
        <f>((AA180-Z180)*-1)+((AA179-Z179)*-1)</f>
        <v>844</v>
      </c>
      <c r="AB298" s="3">
        <f>SUM(X298:AA298)</f>
        <v>1267</v>
      </c>
      <c r="AC298" s="3">
        <f>((AC180-AB180)*-1)+((AC179-AB179)*-1)</f>
        <v>-318</v>
      </c>
      <c r="AD298" s="3">
        <f>((AD180-AC180)*-1)+((AD179-AC179)*-1)</f>
        <v>-520</v>
      </c>
      <c r="AE298" s="3">
        <f>((AE180-AD180)*-1)+((AE179-AD179)*-1)</f>
        <v>101</v>
      </c>
      <c r="AF298" s="3">
        <f>((AF180-AE180)*-1)+((AF179-AE179)*-1)</f>
        <v>4155</v>
      </c>
      <c r="AG298" s="3">
        <f>SUM(AC298:AF298)</f>
        <v>3418</v>
      </c>
      <c r="AH298" s="3">
        <f>((AH180-AG180)*-1)+((AH179-AG179)*-1)</f>
        <v>148</v>
      </c>
      <c r="AI298" s="3">
        <f>((AI180-AH180)*-1)+((AI179-AH179)*-1)</f>
        <v>-82</v>
      </c>
      <c r="AJ298" s="3">
        <f>((AJ180-AI180)*-1)+((AJ179-AI179)*-1)</f>
        <v>12500</v>
      </c>
      <c r="AK298" s="3">
        <f>((AK180-AJ180)*-1)+((AK179-AJ179)*-1)</f>
        <v>0</v>
      </c>
      <c r="AL298" s="3">
        <f>SUM(AH298:AK298)</f>
        <v>12566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199</v>
      </c>
      <c r="F299" s="3">
        <f>((F189-E189)*-1)+(F240-E240)</f>
        <v>-821</v>
      </c>
      <c r="G299" s="3">
        <f>((G189-F189)*-1)+(G240-F240)</f>
        <v>851</v>
      </c>
      <c r="H299" s="3">
        <f>SUM(D299:G299)</f>
        <v>229</v>
      </c>
      <c r="I299" s="3">
        <f>((I189-H189)*-1)+(I240-H240)</f>
        <v>-1138</v>
      </c>
      <c r="J299" s="3">
        <f>((J189-I189)*-1)+(J240-I240)</f>
        <v>-356</v>
      </c>
      <c r="K299" s="3">
        <f>((K189-J189)*-1)+(K240-J240)</f>
        <v>204</v>
      </c>
      <c r="L299" s="3">
        <f>((L189-K189)*-1)+(L240-K240)</f>
        <v>-245</v>
      </c>
      <c r="M299" s="3">
        <f>SUM(I299:L299)</f>
        <v>-1535</v>
      </c>
      <c r="N299" s="3">
        <f>((N189-M189)*-1)+(N240-M240)</f>
        <v>45</v>
      </c>
      <c r="O299" s="3">
        <f>((O189-N189)*-1)+(O240-N240)</f>
        <v>-104</v>
      </c>
      <c r="P299" s="3">
        <f>((P189-O189)*-1)+(P240-O240)</f>
        <v>435</v>
      </c>
      <c r="Q299" s="3">
        <f>((Q189-P189)*-1)+(Q240-P240)</f>
        <v>-52</v>
      </c>
      <c r="R299" s="3">
        <f>SUM(N299:Q299)</f>
        <v>324</v>
      </c>
      <c r="S299" s="3">
        <f>((S189-R189)*-1)+(S240-R240)</f>
        <v>2</v>
      </c>
      <c r="T299" s="3">
        <f>((T189-S189)*-1)+(T240-S240)</f>
        <v>528</v>
      </c>
      <c r="U299" s="3">
        <f>((U189-T189)*-1)+(U240-T240)</f>
        <v>-363</v>
      </c>
      <c r="V299" s="3">
        <f>((V189-U189)*-1)+(V240-U240)</f>
        <v>-94</v>
      </c>
      <c r="W299" s="3">
        <f>SUM(S299:V299)</f>
        <v>73</v>
      </c>
      <c r="X299" s="3">
        <f>((X189-W189)*-1)+(X240-W240)</f>
        <v>-3135</v>
      </c>
      <c r="Y299" s="3">
        <f>((Y189-X189)*-1)+(Y240-X240)</f>
        <v>-1370</v>
      </c>
      <c r="Z299" s="3">
        <f>((Z189-Y189)*-1)+(Z240-Y240)</f>
        <v>-5317</v>
      </c>
      <c r="AA299" s="3">
        <f>((AA189-Z189)*-1)+(AA240-Z240)</f>
        <v>-167</v>
      </c>
      <c r="AB299" s="3">
        <f>SUM(X299:AA299)</f>
        <v>-9989</v>
      </c>
      <c r="AC299" s="3">
        <f>((AC189-AB189)*-1)+(AC240-AB240)</f>
        <v>-37</v>
      </c>
      <c r="AD299" s="3">
        <f>((AD189-AC189)*-1)+(AD240-AC240)</f>
        <v>254</v>
      </c>
      <c r="AE299" s="3">
        <f>((AE189-AD189)*-1)+(AE240-AD240)</f>
        <v>-360</v>
      </c>
      <c r="AF299" s="3">
        <f>((AF189-AE189)*-1)+(AF240-AE240)</f>
        <v>-499</v>
      </c>
      <c r="AG299" s="3">
        <f>SUM(AC299:AF299)</f>
        <v>-642</v>
      </c>
      <c r="AH299" s="3">
        <f>((AH189-AG189)*-1)+(AH240-AG240)</f>
        <v>-501</v>
      </c>
      <c r="AI299" s="3">
        <f>((AI189-AH189)*-1)+(AI240-AH240)</f>
        <v>-493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-994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462</v>
      </c>
      <c r="F300" s="3">
        <f>SUM(F295,F296,F298,F299,F297)</f>
        <v>-1479</v>
      </c>
      <c r="G300" s="3">
        <f>SUM(G295,G296,G298,G299,G297)</f>
        <v>-370</v>
      </c>
      <c r="H300" s="3">
        <f>SUM(H295,H296,H298,H299)</f>
        <v>-1387</v>
      </c>
      <c r="I300" s="3">
        <f>SUM(I295,I296,I298,I299,I297)</f>
        <v>-1701</v>
      </c>
      <c r="J300" s="3">
        <f>SUM(J295,J296,J298,J299,J297)</f>
        <v>-779</v>
      </c>
      <c r="K300" s="3">
        <f>SUM(K295,K296,K298,K299,K297)</f>
        <v>795</v>
      </c>
      <c r="L300" s="3">
        <f>SUM(L295,L296,L298,L299,L297)</f>
        <v>-6372</v>
      </c>
      <c r="M300" s="3">
        <f>SUM(M295,M296,M298,M299)</f>
        <v>-8057</v>
      </c>
      <c r="N300" s="3">
        <f>SUM(N295,N296,N298,N299,N297)</f>
        <v>-301</v>
      </c>
      <c r="O300" s="3">
        <f>SUM(O295,O296,O298,O299,O297)</f>
        <v>701</v>
      </c>
      <c r="P300" s="3">
        <f>SUM(P295,P296,P298,P299,P297)</f>
        <v>1231</v>
      </c>
      <c r="Q300" s="3">
        <f>SUM(Q295,Q296,Q298,Q299,Q297)</f>
        <v>-1656</v>
      </c>
      <c r="R300" s="3">
        <f>SUM(R295,R296,R298,R299)</f>
        <v>-25</v>
      </c>
      <c r="S300" s="3">
        <f>SUM(S295,S296,S298,S299,S297)</f>
        <v>-256</v>
      </c>
      <c r="T300" s="3">
        <f>SUM(T295,T296,T298,T299,T297)</f>
        <v>436</v>
      </c>
      <c r="U300" s="3">
        <f>SUM(U295,U296,U298,U299,U297)</f>
        <v>750</v>
      </c>
      <c r="V300" s="3">
        <f>SUM(V295,V296,V298,V299,V297)</f>
        <v>-1091</v>
      </c>
      <c r="W300" s="3">
        <f>SUM(W295,W296,W298,W299)</f>
        <v>-161</v>
      </c>
      <c r="X300" s="3">
        <f>SUM(X295,X296,X298,X299,X297)</f>
        <v>-2502</v>
      </c>
      <c r="Y300" s="3">
        <f>SUM(Y295,Y296,Y298,Y299,Y297)</f>
        <v>-1933</v>
      </c>
      <c r="Z300" s="3">
        <f>SUM(Z295,Z296,Z298,Z299,Z297)</f>
        <v>-6391</v>
      </c>
      <c r="AA300" s="3">
        <f>SUM(AA295,AA296,AA298,AA299,AA297)</f>
        <v>-38</v>
      </c>
      <c r="AB300" s="3">
        <f>SUM(AB295,AB296,AB298,AB299)</f>
        <v>-10864</v>
      </c>
      <c r="AC300" s="3">
        <f>SUM(AC295,AC296,AC298,AC299,AC297)</f>
        <v>-750</v>
      </c>
      <c r="AD300" s="3">
        <f>SUM(AD295,AD296,AD298,AD299,AD297)</f>
        <v>-898</v>
      </c>
      <c r="AE300" s="3">
        <f>SUM(AE295,AE296,AE298,AE299,AE297)</f>
        <v>-645</v>
      </c>
      <c r="AF300" s="3">
        <f>SUM(AF295,AF296,AF298,AF299,AF297)</f>
        <v>4709</v>
      </c>
      <c r="AG300" s="3">
        <f>SUM(AG295,AG296,AG298,AG299)</f>
        <v>2416</v>
      </c>
      <c r="AH300" s="3">
        <f>SUM(AH295,AH296,AH298,AH299,AH297)</f>
        <v>-526</v>
      </c>
      <c r="AI300" s="3">
        <f>SUM(AI295,AI296,AI298,AI299,AI297)</f>
        <v>-955</v>
      </c>
      <c r="AJ300" s="3">
        <f>SUM(AJ295,AJ296,AJ298,AJ299,AJ297)</f>
        <v>12500</v>
      </c>
      <c r="AK300" s="3">
        <f>SUM(AK295,AK296,AK298,AK299,AK297)</f>
        <v>0</v>
      </c>
      <c r="AL300" s="3">
        <f>SUM(AL295,AL296,AL298,AL299)</f>
        <v>11019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55</v>
      </c>
      <c r="F303" s="3">
        <f>F254-E254</f>
        <v>96</v>
      </c>
      <c r="G303" s="3">
        <f>G254-F254</f>
        <v>138</v>
      </c>
      <c r="H303" s="3">
        <f>SUM(D303:G303)</f>
        <v>289</v>
      </c>
      <c r="I303" s="3">
        <f>I254-H254</f>
        <v>29</v>
      </c>
      <c r="J303" s="3">
        <f>J254-I254</f>
        <v>151</v>
      </c>
      <c r="K303" s="3">
        <f>K254-J254</f>
        <v>148</v>
      </c>
      <c r="L303" s="3">
        <f>L254-K254</f>
        <v>187</v>
      </c>
      <c r="M303" s="3">
        <f>SUM(I303:L303)</f>
        <v>515</v>
      </c>
      <c r="N303" s="3">
        <f>N254-M254</f>
        <v>272</v>
      </c>
      <c r="O303" s="3">
        <f>O254-N254</f>
        <v>193</v>
      </c>
      <c r="P303" s="3">
        <f>P254-O254</f>
        <v>106</v>
      </c>
      <c r="Q303" s="3">
        <f>Q254-P254</f>
        <v>135</v>
      </c>
      <c r="R303" s="3">
        <f>SUM(N303:Q303)</f>
        <v>706</v>
      </c>
      <c r="S303" s="3">
        <f>S254-R254</f>
        <v>67</v>
      </c>
      <c r="T303" s="3">
        <f>T254-S254</f>
        <v>104</v>
      </c>
      <c r="U303" s="3">
        <f>U254-T254</f>
        <v>88</v>
      </c>
      <c r="V303" s="3">
        <f>V254-U254</f>
        <v>128</v>
      </c>
      <c r="W303" s="3">
        <f>SUM(S303:V303)</f>
        <v>387</v>
      </c>
      <c r="X303" s="3">
        <f>X254-W254</f>
        <v>112</v>
      </c>
      <c r="Y303" s="3">
        <f>Y254-X254</f>
        <v>147</v>
      </c>
      <c r="Z303" s="3">
        <f>Z254-Y254</f>
        <v>242</v>
      </c>
      <c r="AA303" s="3">
        <f>AA254-Z254</f>
        <v>91</v>
      </c>
      <c r="AB303" s="3">
        <f>SUM(X303:AA303)</f>
        <v>592</v>
      </c>
      <c r="AC303" s="3">
        <f>AC254-AB254</f>
        <v>72</v>
      </c>
      <c r="AD303" s="3">
        <f>AD254-AC254</f>
        <v>97</v>
      </c>
      <c r="AE303" s="3">
        <f>AE254-AD254</f>
        <v>519</v>
      </c>
      <c r="AF303" s="3">
        <f>AF254-AE254</f>
        <v>92</v>
      </c>
      <c r="AG303" s="3">
        <f>SUM(AC303:AF303)</f>
        <v>780</v>
      </c>
      <c r="AH303" s="3">
        <f>AH254-AG254</f>
        <v>53</v>
      </c>
      <c r="AI303" s="3">
        <f>AI254-AH254</f>
        <v>107</v>
      </c>
      <c r="AJ303" s="3">
        <f>AJ254-AI254</f>
        <v>0</v>
      </c>
      <c r="AK303" s="3">
        <f>AK254-AJ254</f>
        <v>0</v>
      </c>
      <c r="AL303" s="3">
        <f>SUM(AH303:AK303)</f>
        <v>160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17</v>
      </c>
      <c r="F304" s="3">
        <f>F267-E267</f>
        <v>38</v>
      </c>
      <c r="G304" s="3">
        <f>G267-F267</f>
        <v>17</v>
      </c>
      <c r="H304" s="3">
        <f>SUM(D304:G304)</f>
        <v>72</v>
      </c>
      <c r="I304" s="3">
        <f>I267-H267</f>
        <v>105</v>
      </c>
      <c r="J304" s="3">
        <f>J267-I267</f>
        <v>80</v>
      </c>
      <c r="K304" s="3">
        <f>K267-J267</f>
        <v>77</v>
      </c>
      <c r="L304" s="3">
        <f>L267-K267</f>
        <v>113</v>
      </c>
      <c r="M304" s="3">
        <f>SUM(I304:L304)</f>
        <v>375</v>
      </c>
      <c r="N304" s="3">
        <f>N267-M267</f>
        <v>-291</v>
      </c>
      <c r="O304" s="3">
        <f>O267-N267</f>
        <v>-573</v>
      </c>
      <c r="P304" s="3">
        <f>P267-O267</f>
        <v>-161</v>
      </c>
      <c r="Q304" s="3">
        <f>Q267-P267</f>
        <v>65</v>
      </c>
      <c r="R304" s="3">
        <f>SUM(N304:Q304)</f>
        <v>-960</v>
      </c>
      <c r="S304" s="3">
        <f>S267-R267</f>
        <v>-646</v>
      </c>
      <c r="T304" s="3">
        <f>T267-S267</f>
        <v>-171</v>
      </c>
      <c r="U304" s="3">
        <f>U267-T267</f>
        <v>-76</v>
      </c>
      <c r="V304" s="3">
        <f>V267-U267</f>
        <v>-1041</v>
      </c>
      <c r="W304" s="3">
        <f>SUM(S304:V304)</f>
        <v>-1934</v>
      </c>
      <c r="X304" s="3">
        <f>X267-W267</f>
        <v>-481</v>
      </c>
      <c r="Y304" s="3">
        <f>Y267-X267</f>
        <v>-90</v>
      </c>
      <c r="Z304" s="3">
        <f>Z267-Y267</f>
        <v>-256</v>
      </c>
      <c r="AA304" s="3">
        <f>AA267-Z267</f>
        <v>-554</v>
      </c>
      <c r="AB304" s="3">
        <f>SUM(X304:AA304)</f>
        <v>-1381</v>
      </c>
      <c r="AC304" s="3">
        <f>AC267-AB267</f>
        <v>-222</v>
      </c>
      <c r="AD304" s="3">
        <f>AD267-AC267</f>
        <v>-52</v>
      </c>
      <c r="AE304" s="3">
        <f>AE267-AD267</f>
        <v>-165</v>
      </c>
      <c r="AF304" s="3">
        <f>AF267-AE267</f>
        <v>-68</v>
      </c>
      <c r="AG304" s="3">
        <f>SUM(AC304:AF304)</f>
        <v>-507</v>
      </c>
      <c r="AH304" s="3">
        <f>AH267-AG267</f>
        <v>-324</v>
      </c>
      <c r="AI304" s="3">
        <f>AI267-AH267</f>
        <v>-147</v>
      </c>
      <c r="AJ304" s="3">
        <f>AJ267-AI267</f>
        <v>0</v>
      </c>
      <c r="AK304" s="3">
        <f>AK267-AJ267</f>
        <v>0</v>
      </c>
      <c r="AL304" s="3">
        <f>SUM(AH304:AK304)</f>
        <v>-471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-764</v>
      </c>
      <c r="F305" s="3">
        <f>F268-E268</f>
        <v>1014</v>
      </c>
      <c r="G305" s="3">
        <f>G268-F268</f>
        <v>845</v>
      </c>
      <c r="H305" s="3">
        <f>SUM(D305:G305)</f>
        <v>1095</v>
      </c>
      <c r="I305" s="3">
        <f>I268-H268</f>
        <v>468</v>
      </c>
      <c r="J305" s="3">
        <f>J268-I268</f>
        <v>834</v>
      </c>
      <c r="K305" s="3">
        <f>K268-J268</f>
        <v>-951</v>
      </c>
      <c r="L305" s="3">
        <f>L268-K268</f>
        <v>-80</v>
      </c>
      <c r="M305" s="3">
        <f>SUM(I305:L305)</f>
        <v>271</v>
      </c>
      <c r="N305" s="3">
        <f>N268-M268</f>
        <v>990</v>
      </c>
      <c r="O305" s="3">
        <f>O268-N268</f>
        <v>-1461</v>
      </c>
      <c r="P305" s="3">
        <f>P268-O268</f>
        <v>-1068</v>
      </c>
      <c r="Q305" s="3">
        <f>Q268-P268</f>
        <v>974</v>
      </c>
      <c r="R305" s="3">
        <f>SUM(N305:Q305)</f>
        <v>-565</v>
      </c>
      <c r="S305" s="3">
        <f>S268-R268</f>
        <v>573</v>
      </c>
      <c r="T305" s="3">
        <f>T268-S268</f>
        <v>305</v>
      </c>
      <c r="U305" s="3">
        <f>U268-T268</f>
        <v>-798</v>
      </c>
      <c r="V305" s="3">
        <f>V268-U268</f>
        <v>540</v>
      </c>
      <c r="W305" s="3">
        <f>SUM(S305:V305)</f>
        <v>620</v>
      </c>
      <c r="X305" s="3">
        <f>X268-W268</f>
        <v>-229</v>
      </c>
      <c r="Y305" s="3">
        <f>Y268-X268</f>
        <v>-954</v>
      </c>
      <c r="Z305" s="3">
        <f>Z268-Y268</f>
        <v>-78</v>
      </c>
      <c r="AA305" s="3">
        <f>AA268-Z268</f>
        <v>-1307</v>
      </c>
      <c r="AB305" s="3">
        <f>SUM(X305:AA305)</f>
        <v>-2568</v>
      </c>
      <c r="AC305" s="3">
        <f>AC268-AB268</f>
        <v>361</v>
      </c>
      <c r="AD305" s="3">
        <f>AD268-AC268</f>
        <v>724</v>
      </c>
      <c r="AE305" s="3">
        <f>AE268-AD268</f>
        <v>806</v>
      </c>
      <c r="AF305" s="3">
        <f>AF268-AE268</f>
        <v>821</v>
      </c>
      <c r="AG305" s="3">
        <f>SUM(AC305:AF305)</f>
        <v>2712</v>
      </c>
      <c r="AH305" s="3">
        <f>AH268-AG268</f>
        <v>91</v>
      </c>
      <c r="AI305" s="3">
        <f>AI268-AH268</f>
        <v>414</v>
      </c>
      <c r="AJ305" s="3">
        <f>AJ268-AI268</f>
        <v>0</v>
      </c>
      <c r="AK305" s="3">
        <f>AK268-AJ268</f>
        <v>0</v>
      </c>
      <c r="AL305" s="3">
        <f>SUM(AH305:AK305)</f>
        <v>505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-1761</v>
      </c>
      <c r="F307" s="3">
        <f>(F270-E270)-F277</f>
        <v>-1762</v>
      </c>
      <c r="G307" s="3">
        <f>(G270-F270)-G277</f>
        <v>-1764</v>
      </c>
      <c r="H307" s="3">
        <f>SUM(D307:G307)</f>
        <v>-5287</v>
      </c>
      <c r="I307" s="3">
        <f>(I270-H270)-I277</f>
        <v>-1791</v>
      </c>
      <c r="J307" s="3">
        <f>(J270-I270)-J277</f>
        <v>-1812</v>
      </c>
      <c r="K307" s="3">
        <f>(K270-J270)-K277</f>
        <v>-1815</v>
      </c>
      <c r="L307" s="3">
        <f>(L270-K270)-L277</f>
        <v>-1814</v>
      </c>
      <c r="M307" s="3">
        <f>SUM(I307:L307)</f>
        <v>-7232</v>
      </c>
      <c r="N307" s="3">
        <f>(N270-M270)-N277</f>
        <v>-1906</v>
      </c>
      <c r="O307" s="3">
        <f>(O270-N270)-O277</f>
        <v>-1904</v>
      </c>
      <c r="P307" s="3">
        <f>(P270-O270)-P277</f>
        <v>-1902</v>
      </c>
      <c r="Q307" s="3">
        <f>(Q270-P270)-Q277</f>
        <v>-1905</v>
      </c>
      <c r="R307" s="3">
        <f>SUM(N307:Q307)</f>
        <v>-7617</v>
      </c>
      <c r="S307" s="3">
        <f>(S270-R270)-S277</f>
        <v>-1989</v>
      </c>
      <c r="T307" s="3">
        <f>(T270-S270)-T277</f>
        <v>-1989</v>
      </c>
      <c r="U307" s="3">
        <f>(U270-T270)-U277</f>
        <v>-1989</v>
      </c>
      <c r="V307" s="3">
        <f>(V270-U270)-V277</f>
        <v>-1984</v>
      </c>
      <c r="W307" s="3">
        <f>SUM(S307:V307)</f>
        <v>-7951</v>
      </c>
      <c r="X307" s="3">
        <f>(X270-W270)-X277</f>
        <v>-2091</v>
      </c>
      <c r="Y307" s="3">
        <f>(Y270-X270)-Y277</f>
        <v>-2090</v>
      </c>
      <c r="Z307" s="3">
        <f>(Z270-Y270)-Z277</f>
        <v>-2091</v>
      </c>
      <c r="AA307" s="3">
        <f>(AA270-Z270)-AA277</f>
        <v>-2087</v>
      </c>
      <c r="AB307" s="3">
        <f>SUM(X307:AA307)</f>
        <v>-8359</v>
      </c>
      <c r="AC307" s="3">
        <f>(AC270-AB270)-AC277</f>
        <v>-2195</v>
      </c>
      <c r="AD307" s="3">
        <f>(AD270-AC270)-AD277</f>
        <v>-2196</v>
      </c>
      <c r="AE307" s="3">
        <f>(AE270-AD270)-AE277</f>
        <v>-2194</v>
      </c>
      <c r="AF307" s="3">
        <f>(AF270-AE270)-AF277</f>
        <v>-2194</v>
      </c>
      <c r="AG307" s="3">
        <f>SUM(AC307:AF307)</f>
        <v>-8779</v>
      </c>
      <c r="AH307" s="3">
        <f>(AH270-AG270)-AH277</f>
        <v>-2280</v>
      </c>
      <c r="AI307" s="3">
        <f>(AI270-AH270)-AI277</f>
        <v>-2282</v>
      </c>
      <c r="AJ307" s="3">
        <f>(AJ270-AI270)-AJ277</f>
        <v>0</v>
      </c>
      <c r="AK307" s="3">
        <f>(AK270-AJ270)-AK277</f>
        <v>0</v>
      </c>
      <c r="AL307" s="3">
        <f>SUM(AH307:AK307)</f>
        <v>-4562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49</v>
      </c>
      <c r="F308" s="3">
        <f>(F248-E248)+F136</f>
        <v>1</v>
      </c>
      <c r="G308" s="3">
        <f>(G248-F248)+G136</f>
        <v>258</v>
      </c>
      <c r="H308" s="3">
        <f>SUM(D308:G308)</f>
        <v>308</v>
      </c>
      <c r="I308" s="3">
        <f>(I248-H248)+I136</f>
        <v>-18</v>
      </c>
      <c r="J308" s="3">
        <f>(J248-I248)+J136</f>
        <v>46</v>
      </c>
      <c r="K308" s="3">
        <f>(K248-J248)+K136</f>
        <v>-56</v>
      </c>
      <c r="L308" s="3">
        <f>(L248-K248)+L136</f>
        <v>-129</v>
      </c>
      <c r="M308" s="3">
        <f>SUM(I308:L308)</f>
        <v>-157</v>
      </c>
      <c r="N308" s="3">
        <f>(N248-M248)+N136</f>
        <v>123</v>
      </c>
      <c r="O308" s="3">
        <f>(O248-N248)+O136</f>
        <v>-193</v>
      </c>
      <c r="P308" s="3">
        <f>(P248-O248)+P136</f>
        <v>-164</v>
      </c>
      <c r="Q308" s="3">
        <f>(Q248-P248)+Q136</f>
        <v>65</v>
      </c>
      <c r="R308" s="3">
        <f>SUM(N308:Q308)</f>
        <v>-169</v>
      </c>
      <c r="S308" s="3">
        <f>(S248-R248)+S136</f>
        <v>-76</v>
      </c>
      <c r="T308" s="3">
        <f>(T248-S248)+T136</f>
        <v>-86</v>
      </c>
      <c r="U308" s="3">
        <f>(U248-T248)+U136</f>
        <v>-27</v>
      </c>
      <c r="V308" s="3">
        <f>(V248-U248)+V136</f>
        <v>18</v>
      </c>
      <c r="W308" s="3">
        <f>SUM(S308:V308)</f>
        <v>-171</v>
      </c>
      <c r="X308" s="3">
        <f>(X248-W248)+X136</f>
        <v>-30</v>
      </c>
      <c r="Y308" s="3">
        <f>(Y248-X248)+Y136</f>
        <v>51</v>
      </c>
      <c r="Z308" s="3">
        <f>(Z248-Y248)+Z136</f>
        <v>76</v>
      </c>
      <c r="AA308" s="3">
        <f>(AA248-Z248)+AA136</f>
        <v>-138</v>
      </c>
      <c r="AB308" s="3">
        <f>SUM(X308:AA308)</f>
        <v>-41</v>
      </c>
      <c r="AC308" s="3">
        <f>(AC248-AB248)+AC136</f>
        <v>31</v>
      </c>
      <c r="AD308" s="3">
        <f>(AD248-AC248)+AD136</f>
        <v>52</v>
      </c>
      <c r="AE308" s="3">
        <f>(AE248-AD248)+AE136</f>
        <v>436</v>
      </c>
      <c r="AF308" s="3">
        <f>(AF248-AE248)+AF136</f>
        <v>41</v>
      </c>
      <c r="AG308" s="3">
        <f>SUM(AC308:AF308)</f>
        <v>560</v>
      </c>
      <c r="AH308" s="3">
        <f>(AH248-AG248)+AH136</f>
        <v>-47</v>
      </c>
      <c r="AI308" s="3">
        <f>(AI248-AH248)+AI136</f>
        <v>51</v>
      </c>
      <c r="AJ308" s="3">
        <f>(AJ248-AI248)+AJ136</f>
        <v>0</v>
      </c>
      <c r="AK308" s="3">
        <f>(AK248-AJ248)+AK136</f>
        <v>0</v>
      </c>
      <c r="AL308" s="3">
        <f>SUM(AH308:AK308)</f>
        <v>4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0</v>
      </c>
      <c r="BS308" s="3">
        <f>(BS248-BR248)+BS136</f>
        <v>0</v>
      </c>
      <c r="BT308" s="3">
        <f>(BT248-BS248)+BT136</f>
        <v>0</v>
      </c>
      <c r="BU308" s="3">
        <f>SUM(BQ308:BT308)</f>
        <v>0</v>
      </c>
      <c r="BV308" s="3">
        <f>(BV248-BU248)+BV136</f>
        <v>0</v>
      </c>
      <c r="BW308" s="3">
        <f>(BW248-BV248)+BW136</f>
        <v>0</v>
      </c>
      <c r="BX308" s="3">
        <f>(BX248-BW248)+BX136</f>
        <v>0</v>
      </c>
      <c r="BY308" s="3">
        <f>(BY248-BX248)+BY136</f>
        <v>0</v>
      </c>
      <c r="BZ308" s="3">
        <f>SUM(BV308:BY308)</f>
        <v>0</v>
      </c>
      <c r="CA308" s="3">
        <f>(CA248-BZ248)+CA136</f>
        <v>0</v>
      </c>
      <c r="CB308" s="3">
        <f>(CB248-CA248)+CB136</f>
        <v>0</v>
      </c>
      <c r="CC308" s="3">
        <f>(CC248-CB248)+CC136</f>
        <v>0</v>
      </c>
      <c r="CD308" s="3">
        <f>(CD248-CC248)+CD136</f>
        <v>0</v>
      </c>
      <c r="CE308" s="3">
        <f>SUM(CA308:CD308)</f>
        <v>0</v>
      </c>
      <c r="CF308" s="3">
        <f>(CF248-CE248)+CF136</f>
        <v>0</v>
      </c>
      <c r="CG308" s="3">
        <f>(CG248-CF248)+CG136</f>
        <v>0</v>
      </c>
      <c r="CH308" s="3">
        <f>(CH248-CG248)+CH136</f>
        <v>0</v>
      </c>
      <c r="CI308" s="3">
        <f>(CI248-CH248)+CI136</f>
        <v>0</v>
      </c>
      <c r="CJ308" s="3">
        <f>SUM(CF308:CI308)</f>
        <v>0</v>
      </c>
      <c r="CK308" s="3">
        <f>(CK248-CJ248)+CK136</f>
        <v>0</v>
      </c>
      <c r="CL308" s="3">
        <f>(CL248-CK248)+CL136</f>
        <v>0</v>
      </c>
      <c r="CM308" s="3">
        <f>(CM248-CL248)+CM136</f>
        <v>0</v>
      </c>
      <c r="CN308" s="3">
        <f>(CN248-CM248)+CN136</f>
        <v>0</v>
      </c>
      <c r="CO308" s="3">
        <f>SUM(CK308:CN308)</f>
        <v>0</v>
      </c>
      <c r="CP308" s="3">
        <f>(CP248-CO248)+CP136</f>
        <v>0</v>
      </c>
      <c r="CQ308" s="3">
        <f>(CQ248-CP248)+CQ136</f>
        <v>0</v>
      </c>
      <c r="CR308" s="3">
        <f>(CR248-CQ248)+CR136</f>
        <v>0</v>
      </c>
      <c r="CS308" s="3">
        <f>(CS248-CR248)+CS136</f>
        <v>0</v>
      </c>
      <c r="CT308" s="3">
        <f>SUM(CP308:CS308)</f>
        <v>0</v>
      </c>
      <c r="CU308" s="3">
        <f>(CU248-CT248)+CU136</f>
        <v>0</v>
      </c>
      <c r="CV308" s="3">
        <f>(CV248-CU248)+CV136</f>
        <v>0</v>
      </c>
      <c r="CW308" s="3">
        <f>(CW248-CV248)+CW136</f>
        <v>0</v>
      </c>
      <c r="CX308" s="3">
        <f>(CX248-CW248)+CX136</f>
        <v>0</v>
      </c>
      <c r="CY308" s="3">
        <f>SUM(CU308:CX308)</f>
        <v>0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6174</v>
      </c>
      <c r="F309" s="3">
        <f>SUM(F212:F214,F217,F238,F235)-SUM(E212:E214,E217,E238,E235)</f>
        <v>4100</v>
      </c>
      <c r="G309" s="3">
        <f>SUM(G212:G214,G217,G238,G235)-SUM(F212:F214,F217,F238,F235)</f>
        <v>-4217</v>
      </c>
      <c r="H309" s="3">
        <f>SUM(D309:G309)</f>
        <v>6057</v>
      </c>
      <c r="I309" s="3">
        <f>SUM(I212:I214,I217,I238,I235)-SUM(H212:H214,H217,H238,H235)</f>
        <v>257</v>
      </c>
      <c r="J309" s="3">
        <f>SUM(J212:J214,J217,J238,J235)-SUM(I212:I214,I217,I238,I235)</f>
        <v>-2909</v>
      </c>
      <c r="K309" s="3">
        <f>SUM(K212:K214,K217,K238,K235)-SUM(J212:J214,J217,J238,J235)</f>
        <v>-299</v>
      </c>
      <c r="L309" s="3">
        <f>SUM(L212:L214,L217,L238,L235)-SUM(K212:K214,K217,K238,K235)</f>
        <v>2919</v>
      </c>
      <c r="M309" s="3">
        <f>SUM(I309:L309)</f>
        <v>-32</v>
      </c>
      <c r="N309" s="3">
        <f>SUM(N212:N214,N217,N238,N235)-SUM(M212:M214,M217,M238,M235)</f>
        <v>-4670</v>
      </c>
      <c r="O309" s="3">
        <f>SUM(O212:O214,O217,O238,O235)-SUM(N212:N214,N217,N238,N235)</f>
        <v>-548</v>
      </c>
      <c r="P309" s="3">
        <f>SUM(P212:P214,P217,P238,P235)-SUM(O212:O214,O217,O238,O235)</f>
        <v>-1352</v>
      </c>
      <c r="Q309" s="3">
        <f>SUM(Q212:Q214,Q217,Q238,Q235)-SUM(P212:P214,P217,P238,P235)</f>
        <v>2958</v>
      </c>
      <c r="R309" s="3">
        <f>SUM(N309:Q309)</f>
        <v>-3612</v>
      </c>
      <c r="S309" s="3">
        <f>SUM(S212:S214,S217,S238,S235)-SUM(R212:R214,R217,R238,R235)</f>
        <v>-2204</v>
      </c>
      <c r="T309" s="3">
        <f>SUM(T212:T214,T217,T238,T235)-SUM(S212:S214,S217,S238,S235)</f>
        <v>-148</v>
      </c>
      <c r="U309" s="3">
        <f>SUM(U212:U214,U217,U238,U235)-SUM(T212:T214,T217,T238,T235)</f>
        <v>-541</v>
      </c>
      <c r="V309" s="3">
        <f>SUM(V212:V214,V217,V238,V235)-SUM(U212:U214,U217,U238,U235)</f>
        <v>1251</v>
      </c>
      <c r="W309" s="3">
        <f>SUM(S309:V309)</f>
        <v>-1642</v>
      </c>
      <c r="X309" s="3">
        <f>SUM(X212:X214,X217,X238,X235)-SUM(W212:W214,W217,W238,W235)</f>
        <v>-1011</v>
      </c>
      <c r="Y309" s="3">
        <f>SUM(Y212:Y214,Y217,Y238,Y235)-SUM(X212:X214,X217,X238,X235)</f>
        <v>3528</v>
      </c>
      <c r="Z309" s="3">
        <f>SUM(Z212:Z214,Z217,Z238,Z235)-SUM(Y212:Y214,Y217,Y238,Y235)</f>
        <v>4037</v>
      </c>
      <c r="AA309" s="3">
        <f>SUM(AA212:AA214,AA217,AA238,AA235)-SUM(Z212:Z214,Z217,Z238,Z235)</f>
        <v>-1038</v>
      </c>
      <c r="AB309" s="3">
        <f>SUM(X309:AA309)</f>
        <v>5516</v>
      </c>
      <c r="AC309" s="3">
        <f>SUM(AC212:AC214,AC217,AC238,AC235)-SUM(AB212:AB214,AB217,AB238,AB235)</f>
        <v>670</v>
      </c>
      <c r="AD309" s="3">
        <f>SUM(AD212:AD214,AD217,AD238,AD235)-SUM(AC212:AC214,AC217,AC238,AC235)</f>
        <v>1374</v>
      </c>
      <c r="AE309" s="3">
        <f>SUM(AE212:AE214,AE217,AE238,AE235)-SUM(AD212:AD214,AD217,AD238,AD235)</f>
        <v>30</v>
      </c>
      <c r="AF309" s="3">
        <f>SUM(AF212:AF214,AF217,AF238,AF235)-SUM(AE212:AE214,AE217,AE238,AE235)</f>
        <v>-1156</v>
      </c>
      <c r="AG309" s="3">
        <f>SUM(AC309:AF309)</f>
        <v>918</v>
      </c>
      <c r="AH309" s="3">
        <f>SUM(AH212:AH214,AH217,AH238,AH235)-SUM(AG212:AG214,AG217,AG238,AG235)</f>
        <v>-383</v>
      </c>
      <c r="AI309" s="3">
        <f>SUM(AI212:AI214,AI217,AI238,AI235)-SUM(AH212:AH214,AH217,AH238,AH235)</f>
        <v>-63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-446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3770</v>
      </c>
      <c r="F310" s="3">
        <f>SUM(F302,F303,F304,F305,F306,F307,F308,F309)</f>
        <v>3487</v>
      </c>
      <c r="G310" s="3">
        <f>SUM(G302,G303,G304,G305,G306,G307,G308,G309)</f>
        <v>-4723</v>
      </c>
      <c r="H310" s="3">
        <f>SUM(H302,H303,H304,H305,H306,H307,H308,H309)</f>
        <v>2534</v>
      </c>
      <c r="I310" s="3">
        <f>SUM(I302,I303,I304,I305,I306,I307,I308,I309)</f>
        <v>-950</v>
      </c>
      <c r="J310" s="3">
        <f>SUM(J302,J303,J304,J305,J306,J307,J308,J309)</f>
        <v>-3610</v>
      </c>
      <c r="K310" s="3">
        <f>SUM(K302,K303,K304,K305,K306,K307,K308,K309)</f>
        <v>-2896</v>
      </c>
      <c r="L310" s="3">
        <f>SUM(L302,L303,L304,L305,L306,L307,L308,L309)</f>
        <v>1196</v>
      </c>
      <c r="M310" s="3">
        <f>SUM(M302,M303,M304,M305,M306,M307,M308,M309)</f>
        <v>-6260</v>
      </c>
      <c r="N310" s="3">
        <f>SUM(N302,N303,N304,N305,N306,N307,N308,N309)</f>
        <v>-5482</v>
      </c>
      <c r="O310" s="3">
        <f>SUM(O302,O303,O304,O305,O306,O307,O308,O309)</f>
        <v>-4486</v>
      </c>
      <c r="P310" s="3">
        <f>SUM(P302,P303,P304,P305,P306,P307,P308,P309)</f>
        <v>-4541</v>
      </c>
      <c r="Q310" s="3">
        <f>SUM(Q302,Q303,Q304,Q305,Q306,Q307,Q308,Q309)</f>
        <v>2292</v>
      </c>
      <c r="R310" s="3">
        <f>SUM(R302,R303,R304,R305,R306,R307,R308,R309)</f>
        <v>-12217</v>
      </c>
      <c r="S310" s="3">
        <f>SUM(S302,S303,S304,S305,S306,S307,S308,S309)</f>
        <v>-4275</v>
      </c>
      <c r="T310" s="3">
        <f>SUM(T302,T303,T304,T305,T306,T307,T308,T309)</f>
        <v>-1985</v>
      </c>
      <c r="U310" s="3">
        <f>SUM(U302,U303,U304,U305,U306,U307,U308,U309)</f>
        <v>-3343</v>
      </c>
      <c r="V310" s="3">
        <f>SUM(V302,V303,V304,V305,V306,V307,V308,V309)</f>
        <v>-1088</v>
      </c>
      <c r="W310" s="3">
        <f>SUM(W302,W303,W304,W305,W306,W307,W308,W309)</f>
        <v>-10691</v>
      </c>
      <c r="X310" s="3">
        <f>SUM(X302,X303,X304,X305,X306,X307,X308,X309)</f>
        <v>-3730</v>
      </c>
      <c r="Y310" s="3">
        <f>SUM(Y302,Y303,Y304,Y305,Y306,Y307,Y308,Y309)</f>
        <v>592</v>
      </c>
      <c r="Z310" s="3">
        <f>SUM(Z302,Z303,Z304,Z305,Z306,Z307,Z308,Z309)</f>
        <v>1930</v>
      </c>
      <c r="AA310" s="3">
        <f>SUM(AA302,AA303,AA304,AA305,AA306,AA307,AA308,AA309)</f>
        <v>-5033</v>
      </c>
      <c r="AB310" s="3">
        <f>SUM(AB302,AB303,AB304,AB305,AB306,AB307,AB308,AB309)</f>
        <v>-6241</v>
      </c>
      <c r="AC310" s="3">
        <f>SUM(AC302,AC303,AC304,AC305,AC306,AC307,AC308,AC309)</f>
        <v>-1283</v>
      </c>
      <c r="AD310" s="3">
        <f>SUM(AD302,AD303,AD304,AD305,AD306,AD307,AD308,AD309)</f>
        <v>-1</v>
      </c>
      <c r="AE310" s="3">
        <f>SUM(AE302,AE303,AE304,AE305,AE306,AE307,AE308,AE309)</f>
        <v>-568</v>
      </c>
      <c r="AF310" s="3">
        <f>SUM(AF302,AF303,AF304,AF305,AF306,AF307,AF308,AF309)</f>
        <v>-2464</v>
      </c>
      <c r="AG310" s="3">
        <f>SUM(AG302,AG303,AG304,AG305,AG306,AG307,AG308,AG309)</f>
        <v>-4316</v>
      </c>
      <c r="AH310" s="3">
        <f>SUM(AH302,AH303,AH304,AH305,AH306,AH307,AH308,AH309)</f>
        <v>-2890</v>
      </c>
      <c r="AI310" s="3">
        <f>SUM(AI302,AI303,AI304,AI305,AI306,AI307,AI308,AI309)</f>
        <v>-1920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-4810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0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0</v>
      </c>
      <c r="BV310" s="3">
        <f>SUM(BV302,BV303,BV304,BV305,BV306,BV307,BV308,BV309)</f>
        <v>0</v>
      </c>
      <c r="BW310" s="3">
        <f>SUM(BW302,BW303,BW304,BW305,BW306,BW307,BW308,BW309)</f>
        <v>0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0</v>
      </c>
      <c r="CA310" s="3">
        <f>SUM(CA302,CA303,CA304,CA305,CA306,CA307,CA308,CA309)</f>
        <v>0</v>
      </c>
      <c r="CB310" s="3">
        <f>SUM(CB302,CB303,CB304,CB305,CB306,CB307,CB308,CB309)</f>
        <v>0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0</v>
      </c>
      <c r="CF310" s="3">
        <f>SUM(CF302,CF303,CF304,CF305,CF306,CF307,CF308,CF309)</f>
        <v>0</v>
      </c>
      <c r="CG310" s="3">
        <f>SUM(CG302,CG303,CG304,CG305,CG306,CG307,CG308,CG309)</f>
        <v>0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0</v>
      </c>
      <c r="CK310" s="3">
        <f>SUM(CK302,CK303,CK304,CK305,CK306,CK307,CK308,CK309)</f>
        <v>0</v>
      </c>
      <c r="CL310" s="3">
        <f>SUM(CL302,CL303,CL304,CL305,CL306,CL307,CL308,CL309)</f>
        <v>0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0</v>
      </c>
      <c r="CP310" s="3">
        <f>SUM(CP302,CP303,CP304,CP305,CP306,CP307,CP308,CP309)</f>
        <v>0</v>
      </c>
      <c r="CQ310" s="3">
        <f>SUM(CQ302,CQ303,CQ304,CQ305,CQ306,CQ307,CQ308,CQ309)</f>
        <v>0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0</v>
      </c>
      <c r="CU310" s="3">
        <f>SUM(CU302,CU303,CU304,CU305,CU306,CU307,CU308,CU309)</f>
        <v>0</v>
      </c>
      <c r="CV310" s="3">
        <f>SUM(CV302,CV303,CV304,CV305,CV306,CV307,CV308,CV309)</f>
        <v>0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0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-3524</v>
      </c>
      <c r="F314" s="3">
        <f>SUM(F293,F300,F310,F312)</f>
        <v>1348</v>
      </c>
      <c r="G314" s="3">
        <f>SUM(G293,G300,G310,G312)</f>
        <v>-2242</v>
      </c>
      <c r="H314" s="3">
        <f>SUM(D314:G314)</f>
        <v>-4418</v>
      </c>
      <c r="I314" s="3">
        <f>SUM(I293,I300,I310,I312)</f>
        <v>-659</v>
      </c>
      <c r="J314" s="3">
        <f>SUM(J293,J300,J310,J312)</f>
        <v>704</v>
      </c>
      <c r="K314" s="3">
        <f>SUM(K293,K300,K310,K312)</f>
        <v>2113</v>
      </c>
      <c r="L314" s="3">
        <f>SUM(L293,L300,L310,L312)</f>
        <v>-1617</v>
      </c>
      <c r="M314" s="3">
        <f>SUM(I314:L314)</f>
        <v>541</v>
      </c>
      <c r="N314" s="3">
        <f>SUM(N293,N300,N310,N312)</f>
        <v>-2003</v>
      </c>
      <c r="O314" s="3">
        <f>SUM(O293,O300,O310,O312)</f>
        <v>1295</v>
      </c>
      <c r="P314" s="3">
        <f>SUM(P293,P300,P310,P312)</f>
        <v>1151</v>
      </c>
      <c r="Q314" s="3">
        <f>SUM(Q293,Q300,Q310,Q312)</f>
        <v>-608</v>
      </c>
      <c r="R314" s="3">
        <f>SUM(N314:Q314)</f>
        <v>-165</v>
      </c>
      <c r="S314" s="3">
        <f>SUM(S293,S300,S310,S312)</f>
        <v>2485</v>
      </c>
      <c r="T314" s="3">
        <f>SUM(T293,T300,T310,T312)</f>
        <v>560</v>
      </c>
      <c r="U314" s="3">
        <f>SUM(U293,U300,U310,U312)</f>
        <v>-681</v>
      </c>
      <c r="V314" s="3">
        <f>SUM(V293,V300,V310,V312)</f>
        <v>-2517</v>
      </c>
      <c r="W314" s="3">
        <f>SUM(S314:V314)</f>
        <v>-153</v>
      </c>
      <c r="X314" s="3">
        <f>SUM(X293,X300,X310,X312)</f>
        <v>1077</v>
      </c>
      <c r="Y314" s="3">
        <f>SUM(Y293,Y300,Y310,Y312)</f>
        <v>3265</v>
      </c>
      <c r="Z314" s="3">
        <f>SUM(Z293,Z300,Z310,Z312)</f>
        <v>230</v>
      </c>
      <c r="AA314" s="3">
        <f>SUM(AA293,AA300,AA310,AA312)</f>
        <v>-3110</v>
      </c>
      <c r="AB314" s="3">
        <f>SUM(X314:AA314)</f>
        <v>1462</v>
      </c>
      <c r="AC314" s="3">
        <f>SUM(AC293,AC300,AC310,AC312)</f>
        <v>-2411</v>
      </c>
      <c r="AD314" s="3">
        <f>SUM(AD293,AD300,AD310,AD312)</f>
        <v>1173</v>
      </c>
      <c r="AE314" s="3">
        <f>SUM(AE293,AE300,AE310,AE312)</f>
        <v>3142</v>
      </c>
      <c r="AF314" s="3">
        <f>SUM(AF293,AF300,AF310,AF312)</f>
        <v>-2462</v>
      </c>
      <c r="AG314" s="3">
        <f>SUM(AC314:AF314)</f>
        <v>-558</v>
      </c>
      <c r="AH314" s="3">
        <f>SUM(AH293,AH300,AH310,AH312)</f>
        <v>304</v>
      </c>
      <c r="AI314" s="3">
        <f>SUM(AI293,AI300,AI310,AI312)</f>
        <v>2333</v>
      </c>
      <c r="AJ314" s="3">
        <f>SUM(AJ293,AJ300,AJ310,AJ312)</f>
        <v>5290</v>
      </c>
      <c r="AK314" s="3">
        <f>SUM(AK293,AK300,AK310,AK312)</f>
        <v>1172</v>
      </c>
      <c r="AL314" s="3">
        <f>SUM(AH314:AK314)</f>
        <v>9099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0</v>
      </c>
      <c r="F315" s="51">
        <f>(F314)-(F144-E144)</f>
        <v>0</v>
      </c>
      <c r="G315" s="51">
        <f>(G314)-(G144-F144)</f>
        <v>0</v>
      </c>
      <c r="I315" s="51">
        <f>(I314)-(I144-H144)</f>
        <v>0</v>
      </c>
      <c r="J315" s="51">
        <f>(J314)-(J144-I144)</f>
        <v>0</v>
      </c>
      <c r="K315" s="51">
        <f>(K314)-(K144-J144)</f>
        <v>0</v>
      </c>
      <c r="L315" s="51">
        <f>(L314)-(L144-K144)</f>
        <v>0</v>
      </c>
      <c r="N315" s="51">
        <f>(N314)-(N144-M144)</f>
        <v>0</v>
      </c>
      <c r="O315" s="51">
        <f>(O314)-(O144-N144)</f>
        <v>0</v>
      </c>
      <c r="P315" s="51">
        <f>(P314)-(P144-O144)</f>
        <v>0</v>
      </c>
      <c r="Q315" s="51">
        <f>(Q314)-(Q144-P144)</f>
        <v>0</v>
      </c>
      <c r="S315" s="51">
        <f>(S314)-(S144-R144)</f>
        <v>0</v>
      </c>
      <c r="T315" s="51">
        <f>(T314)-(T144-S144)</f>
        <v>0</v>
      </c>
      <c r="U315" s="51">
        <f>(U314)-(U144-T144)</f>
        <v>0</v>
      </c>
      <c r="V315" s="51">
        <f>(V314)-(V144-U144)</f>
        <v>0</v>
      </c>
      <c r="X315" s="51">
        <f>(X314)-(X144-W144)</f>
        <v>0</v>
      </c>
      <c r="Y315" s="51">
        <f>(Y314)-(Y144-X144)</f>
        <v>0</v>
      </c>
      <c r="Z315" s="51">
        <f>(Z314)-(Z144-Y144)</f>
        <v>0</v>
      </c>
      <c r="AA315" s="51">
        <f>(AA314)-(AA144-Z144)</f>
        <v>0</v>
      </c>
      <c r="AC315" s="51">
        <f>(AC314)-(AC144-AB144)</f>
        <v>0</v>
      </c>
      <c r="AD315" s="51">
        <f>(AD314)-(AD144-AC144)</f>
        <v>0</v>
      </c>
      <c r="AE315" s="51">
        <f>(AE314)-(AE144-AD144)</f>
        <v>0</v>
      </c>
      <c r="AF315" s="51">
        <f>(AF314)-(AF144-AE144)</f>
        <v>0</v>
      </c>
      <c r="AH315" s="51">
        <f>(AH314)-(AH144-AG144)</f>
        <v>0</v>
      </c>
      <c r="AI315" s="51">
        <f>(AI314)-(AI144-AH144)</f>
        <v>0</v>
      </c>
      <c r="AJ315" s="51">
        <f>(AJ314)-(AJ144-AI144)</f>
        <v>0</v>
      </c>
      <c r="AK315" s="51">
        <f>(AK314)-(AK144-AJ144)</f>
        <v>0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-0.168701313800721</v>
      </c>
      <c r="F321" s="236">
        <f>F15/E15-1</f>
        <v>0.21006993006993</v>
      </c>
      <c r="G321" s="236">
        <f>G15/F15-1</f>
        <v>-0.00473878871937128</v>
      </c>
      <c r="H321" s="236" t="n"/>
      <c r="I321" s="220">
        <f>I15/H15-1</f>
        <v>-0.726782577088508</v>
      </c>
      <c r="J321" s="220">
        <f>J15/I15-1</f>
        <v>0.122949002217295</v>
      </c>
      <c r="K321" s="220">
        <f>K15/J15-1</f>
        <v>-0.00858919932866031</v>
      </c>
      <c r="L321" s="220">
        <f>L15/K15-1</f>
        <v>-0.0575582553276239</v>
      </c>
      <c r="M321" s="236" t="n"/>
      <c r="N321" s="220">
        <f>N15/M15-1</f>
        <v>-0.728599146294141</v>
      </c>
      <c r="O321" s="220">
        <f>O15/N15-1</f>
        <v>0.0794967114669718</v>
      </c>
      <c r="P321" s="220">
        <f>P15/O15-1</f>
        <v>-0.0231346578366446</v>
      </c>
      <c r="Q321" s="220">
        <f>Q15/P15-1</f>
        <v>-0.0847871282653891</v>
      </c>
      <c r="R321" s="236" t="n"/>
      <c r="S321" s="220">
        <f>S15/R15-1</f>
        <v>-0.744674913961492</v>
      </c>
      <c r="T321" s="220">
        <f>T15/S15-1</f>
        <v>0.0903460837887067</v>
      </c>
      <c r="U321" s="220">
        <f>U15/T15-1</f>
        <v>-0.00158703641830937</v>
      </c>
      <c r="V321" s="220">
        <f>V15/U15-1</f>
        <v>-0.0923617501882372</v>
      </c>
      <c r="W321" s="236" t="n"/>
      <c r="X321" s="220">
        <f>X15/W15-1</f>
        <v>-0.753027057743585</v>
      </c>
      <c r="Y321" s="220">
        <f>Y15/X15-1</f>
        <v>0.094070796460177</v>
      </c>
      <c r="Z321" s="220">
        <f>Z15/Y15-1</f>
        <v>-0.0411712367548329</v>
      </c>
      <c r="AA321" s="220">
        <f>AA15/Z15-1</f>
        <v>-0.0261515100388054</v>
      </c>
      <c r="AB321" s="236" t="n"/>
      <c r="AC321" s="220">
        <f>AC15/AB15-1</f>
        <v>-0.763519687214466</v>
      </c>
      <c r="AD321" s="220">
        <f>AD15/AC15-1</f>
        <v>0.126336598077096</v>
      </c>
      <c r="AE321" s="220">
        <f>AE15/AD15-1</f>
        <v>-0.00638213003589949</v>
      </c>
      <c r="AF321" s="220">
        <f>AF15/AE15-1</f>
        <v>-0.0508229626655962</v>
      </c>
      <c r="AG321" s="236" t="n"/>
      <c r="AH321" s="220">
        <f>AH15/AG15-1</f>
        <v>-0.739846895141945</v>
      </c>
      <c r="AI321" s="220">
        <f>AI15/AH15-1</f>
        <v>0.0728030788967287</v>
      </c>
      <c r="AJ321" s="220">
        <f>AJ15/AI15-1</f>
        <v>-0.0691330343796711</v>
      </c>
      <c r="AK321" s="220">
        <f>AK15/AJ15-1</f>
        <v>-0.0508229626655962</v>
      </c>
      <c r="AL321" s="236" t="n"/>
      <c r="AM321" s="220">
        <f>AM15/AL15-1</f>
        <v>-0.751201899100321</v>
      </c>
      <c r="AN321" s="220">
        <f>AN15/AM15-1</f>
        <v>0.0728030788967287</v>
      </c>
      <c r="AO321" s="220">
        <f>AO15/AN15-1</f>
        <v>-0.0691330343796711</v>
      </c>
      <c r="AP321" s="220">
        <f>AP15/AO15-1</f>
        <v>-0.0508229626655962</v>
      </c>
      <c r="AQ321" s="236" t="n"/>
      <c r="AR321" s="220">
        <f>AR15/AQ15-1</f>
        <v>-0.751201899100321</v>
      </c>
      <c r="AS321" s="220">
        <f>AS15/AR15-1</f>
        <v>0.0728030788967287</v>
      </c>
      <c r="AT321" s="220">
        <f>AT15/AS15-1</f>
        <v>-0.0691330343796711</v>
      </c>
      <c r="AU321" s="220">
        <f>AU15/AT15-1</f>
        <v>-0.0508229626655962</v>
      </c>
      <c r="AV321" s="236" t="n"/>
      <c r="AW321" s="220">
        <f>AW15/AV15-1</f>
        <v>-0.751201899100321</v>
      </c>
      <c r="AX321" s="220">
        <f>AX15/AW15-1</f>
        <v>0.0728030788967287</v>
      </c>
      <c r="AY321" s="220">
        <f>AY15/AX15-1</f>
        <v>-0.0691330343796711</v>
      </c>
      <c r="AZ321" s="220">
        <f>AZ15/AY15-1</f>
        <v>-0.0508229626655962</v>
      </c>
      <c r="BA321" s="236" t="n"/>
      <c r="BB321" s="220">
        <f>BB15/BA15-1</f>
        <v>-0.751201899100321</v>
      </c>
      <c r="BC321" s="220">
        <f>BC15/BB15-1</f>
        <v>0.0728030788967287</v>
      </c>
      <c r="BD321" s="220">
        <f>BD15/BC15-1</f>
        <v>-0.0691330343796711</v>
      </c>
      <c r="BE321" s="220">
        <f>BE15/BD15-1</f>
        <v>-0.0508229626655962</v>
      </c>
      <c r="BF321" s="236" t="n"/>
      <c r="BG321" s="220">
        <f>BG15/BF15-1</f>
        <v>-0.751201899100321</v>
      </c>
      <c r="BH321" s="220">
        <f>BH15/BG15-1</f>
        <v>0.0728030788967287</v>
      </c>
      <c r="BI321" s="220">
        <f>BI15/BH15-1</f>
        <v>-0.0691330343796711</v>
      </c>
      <c r="BJ321" s="220">
        <f>BJ15/BI15-1</f>
        <v>-0.0508229626655962</v>
      </c>
      <c r="BK321" s="236" t="n"/>
      <c r="BL321" s="220">
        <f>BL15/BK15-1</f>
        <v>-0.751201899100321</v>
      </c>
      <c r="BM321" s="220">
        <f>BM15/BL15-1</f>
        <v>0.0728030788967287</v>
      </c>
      <c r="BN321" s="220">
        <f>BN15/BM15-1</f>
        <v>-0.0691330343796711</v>
      </c>
      <c r="BO321" s="220">
        <f>BO15/BN15-1</f>
        <v>-0.0508229626655962</v>
      </c>
      <c r="BP321" s="236" t="n"/>
      <c r="BQ321" s="220">
        <f>BQ15/BP15-1</f>
        <v>-0.751201899100321</v>
      </c>
      <c r="BR321" s="220">
        <f>BR15/BQ15-1</f>
        <v>0.0728030788967287</v>
      </c>
      <c r="BS321" s="220">
        <f>BS15/BR15-1</f>
        <v>-0.0691330343796711</v>
      </c>
      <c r="BT321" s="220">
        <f>BT15/BS15-1</f>
        <v>-0.0508229626655962</v>
      </c>
      <c r="BU321" s="236" t="n"/>
      <c r="BV321" s="220">
        <f>BV15/BU15-1</f>
        <v>-0.751201899100321</v>
      </c>
      <c r="BW321" s="220">
        <f>BW15/BV15-1</f>
        <v>0.0728030788967287</v>
      </c>
      <c r="BX321" s="220">
        <f>BX15/BW15-1</f>
        <v>-0.0691330343796711</v>
      </c>
      <c r="BY321" s="220">
        <f>BY15/BX15-1</f>
        <v>-0.0508229626655962</v>
      </c>
      <c r="BZ321" s="236" t="n"/>
      <c r="CA321" s="220">
        <f>CA15/BZ15-1</f>
        <v>-0.751201899100321</v>
      </c>
      <c r="CB321" s="220">
        <f>CB15/CA15-1</f>
        <v>0.0728030788967287</v>
      </c>
      <c r="CC321" s="220">
        <f>CC15/CB15-1</f>
        <v>-0.0691330343796711</v>
      </c>
      <c r="CD321" s="220">
        <f>CD15/CC15-1</f>
        <v>-0.0508229626655962</v>
      </c>
      <c r="CE321" s="236" t="n"/>
      <c r="CF321" s="220">
        <f>CF15/CE15-1</f>
        <v>-0.751201899100321</v>
      </c>
      <c r="CG321" s="220">
        <f>CG15/CF15-1</f>
        <v>0.0728030788967287</v>
      </c>
      <c r="CH321" s="220">
        <f>CH15/CG15-1</f>
        <v>-0.0691330343796711</v>
      </c>
      <c r="CI321" s="220">
        <f>CI15/CH15-1</f>
        <v>-0.0508229626655962</v>
      </c>
      <c r="CJ321" s="236" t="n"/>
      <c r="CK321" s="220">
        <f>CK15/CJ15-1</f>
        <v>-0.751201899100321</v>
      </c>
      <c r="CL321" s="220">
        <f>CL15/CK15-1</f>
        <v>0.0728030788967287</v>
      </c>
      <c r="CM321" s="220">
        <f>CM15/CL15-1</f>
        <v>-0.0691330343796711</v>
      </c>
      <c r="CN321" s="220">
        <f>CN15/CM15-1</f>
        <v>-0.0508229626655962</v>
      </c>
      <c r="CO321" s="236" t="n"/>
      <c r="CP321" s="220">
        <f>CP15/CO15-1</f>
        <v>-0.751201899100321</v>
      </c>
      <c r="CQ321" s="220">
        <f>CQ15/CP15-1</f>
        <v>0.0728030788967287</v>
      </c>
      <c r="CR321" s="220">
        <f>CR15/CQ15-1</f>
        <v>-0.0691330343796711</v>
      </c>
      <c r="CS321" s="220">
        <f>CS15/CR15-1</f>
        <v>-0.0508229626655962</v>
      </c>
      <c r="CT321" s="236" t="n"/>
      <c r="CU321" s="220">
        <f>CU15/CT15-1</f>
        <v>-0.751201899100321</v>
      </c>
      <c r="CV321" s="220">
        <f>CV15/CU15-1</f>
        <v>0.0728030788967287</v>
      </c>
      <c r="CW321" s="220">
        <f>CW15/CV15-1</f>
        <v>-0.0691330343796711</v>
      </c>
      <c r="CX321" s="220">
        <f>CX15/CW15-1</f>
        <v>-0.0508229626655962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0.608068829205906</v>
      </c>
      <c r="E322" s="220">
        <f>SUM(E15,E54)/E15</f>
        <v>0.578601398601399</v>
      </c>
      <c r="F322" s="220">
        <f>SUM(F15,F54)/F15</f>
        <v>0.598821081830791</v>
      </c>
      <c r="G322" s="220">
        <f>SUM(G15,G54)/G15</f>
        <v>0.584484961096272</v>
      </c>
      <c r="I322" s="221">
        <f>SUM(I15,I54)/I15</f>
        <v>0.611419068736142</v>
      </c>
      <c r="J322" s="221">
        <f>SUM(J15,J54)/J15</f>
        <v>0.626123013130615</v>
      </c>
      <c r="K322" s="221">
        <f>SUM(K15,K54)/K15</f>
        <v>0.603963353913563</v>
      </c>
      <c r="L322" s="221">
        <f>SUM(L15,L54)/L15</f>
        <v>0.568047337278107</v>
      </c>
      <c r="N322" s="221">
        <f>SUM(N15,N54)/N15</f>
        <v>0.610046706700982</v>
      </c>
      <c r="O322" s="221">
        <f>SUM(O15,O54)/O15</f>
        <v>0.573509933774834</v>
      </c>
      <c r="P322" s="221">
        <f>SUM(P15,P54)/P15</f>
        <v>0.587272891620718</v>
      </c>
      <c r="Q322" s="221">
        <f>SUM(Q15,Q54)/Q15</f>
        <v>0.554271604938272</v>
      </c>
      <c r="S322" s="221">
        <f>SUM(S15,S54)/S15</f>
        <v>0.606830601092896</v>
      </c>
      <c r="T322" s="221">
        <f>SUM(T15,T54)/T15</f>
        <v>0.589709321750752</v>
      </c>
      <c r="U322" s="221">
        <f>SUM(U15,U54)/U15</f>
        <v>0.610390696896177</v>
      </c>
      <c r="V322" s="221">
        <f>SUM(V15,V54)/V15</f>
        <v>0.572863858420131</v>
      </c>
      <c r="X322" s="221">
        <f>SUM(X15,X54)/X15</f>
        <v>0.625221238938053</v>
      </c>
      <c r="Y322" s="221">
        <f>SUM(Y15,Y54)/Y15</f>
        <v>0.610774083960204</v>
      </c>
      <c r="Z322" s="221">
        <f>SUM(Z15,Z54)/Z15</f>
        <v>0.606546313480682</v>
      </c>
      <c r="AA322" s="221">
        <f>SUM(AA15,AA54)/AA15</f>
        <v>0.600398475398475</v>
      </c>
      <c r="AC322" s="221">
        <f>SUM(AC15,AC54)/AC15</f>
        <v>0.625932249078983</v>
      </c>
      <c r="AD322" s="221">
        <f>SUM(AD15,AD54)/AD15</f>
        <v>0.623932987634623</v>
      </c>
      <c r="AE322" s="221">
        <f>SUM(AE15,AE54)/AE15</f>
        <v>0.614853472501004</v>
      </c>
      <c r="AF322" s="221">
        <f>SUM(AF15,AF54)/AF15</f>
        <v>0.600490610725766</v>
      </c>
      <c r="AH322" s="221">
        <f>SUM(AH15,AH54)/AH15</f>
        <v>0.629570237331623</v>
      </c>
      <c r="AI322" s="221">
        <f>SUM(AI15,AI54)/AI15</f>
        <v>0.628923766816144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0.276712010231368</v>
      </c>
      <c r="E323" s="236">
        <f>(E73/E15)</f>
        <v>0.277062937062937</v>
      </c>
      <c r="F323" s="236">
        <f>(F73/F15)</f>
        <v>0.265603328710125</v>
      </c>
      <c r="G323" s="236">
        <f>(G73/G15)</f>
        <v>0.271513180815236</v>
      </c>
      <c r="I323" s="222">
        <f>(I73/I15)</f>
        <v>0.301773835920177</v>
      </c>
      <c r="J323" s="222">
        <f>(J73/J15)</f>
        <v>0.297758910060223</v>
      </c>
      <c r="K323" s="222">
        <f>(K73/K15)</f>
        <v>0.288587930691097</v>
      </c>
      <c r="L323" s="222">
        <f>(L73/L15)</f>
        <v>0.176669484361792</v>
      </c>
      <c r="N323" s="222">
        <f>(N73/N15)</f>
        <v>0.324563911924507</v>
      </c>
      <c r="O323" s="222">
        <f>(O73/O15)</f>
        <v>0.206710816777042</v>
      </c>
      <c r="P323" s="222">
        <f>(P73/P15)</f>
        <v>0.279128626954714</v>
      </c>
      <c r="Q323" s="222">
        <f>(Q73/Q15)</f>
        <v>0.204938271604938</v>
      </c>
      <c r="S323" s="222">
        <f>(S73/S15)</f>
        <v>0.306648451730419</v>
      </c>
      <c r="T323" s="222">
        <f>(T73/T15)</f>
        <v>0.200551286334781</v>
      </c>
      <c r="U323" s="222">
        <f>(U73/U15)</f>
        <v>0.27357148832929</v>
      </c>
      <c r="V323" s="222">
        <f>(V73/V15)</f>
        <v>0.209512397455987</v>
      </c>
      <c r="X323" s="222">
        <f>(X73/X15)</f>
        <v>0.189469026548673</v>
      </c>
      <c r="Y323" s="222">
        <f>(Y73/Y15)</f>
        <v>0.212893310685109</v>
      </c>
      <c r="Z323" s="222">
        <f>(Z73/Z15)</f>
        <v>0.211742871604522</v>
      </c>
      <c r="AA323" s="222">
        <f>(AA73/AA15)</f>
        <v>0.23466735966736</v>
      </c>
      <c r="AC323" s="222">
        <f>(AC73/AC15)</f>
        <v>0.328780663132357</v>
      </c>
      <c r="AD323" s="222">
        <f>(AD73/AD15)</f>
        <v>0.341443956920622</v>
      </c>
      <c r="AE323" s="222">
        <f>(AE73/AE15)</f>
        <v>0.319710959454035</v>
      </c>
      <c r="AF323" s="222">
        <f>(AF73/AF15)</f>
        <v>0.15572661140247</v>
      </c>
      <c r="AH323" s="222">
        <f>(AH73/AH15)</f>
        <v>0.349502886465683</v>
      </c>
      <c r="AI323" s="222">
        <f>(AI73/AI15)</f>
        <v>0.349177877428999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0.319381467271248</v>
      </c>
      <c r="E324" s="236">
        <f>E69/E15</f>
        <v>0.33034965034965</v>
      </c>
      <c r="F324" s="236">
        <f>F69/F15</f>
        <v>0.306981044845123</v>
      </c>
      <c r="G324" s="236">
        <f>G69/G15</f>
        <v>0.321449309023342</v>
      </c>
      <c r="I324" s="222">
        <f>I69/I15</f>
        <v>0.342350332594235</v>
      </c>
      <c r="J324" s="222">
        <f>J69/J15</f>
        <v>0.335571132392141</v>
      </c>
      <c r="K324" s="222">
        <f>K69/K15</f>
        <v>0.324636526588329</v>
      </c>
      <c r="L324" s="222">
        <f>L69/L15</f>
        <v>0.212700760777684</v>
      </c>
      <c r="N324" s="222">
        <f>N69/N15</f>
        <v>0.355447526451244</v>
      </c>
      <c r="O324" s="222">
        <f>O69/O15</f>
        <v>0.23514348785872</v>
      </c>
      <c r="P324" s="222">
        <f>P69/P15</f>
        <v>0.306878785139655</v>
      </c>
      <c r="Q324" s="222">
        <f>Q69/Q15</f>
        <v>0.235259259259259</v>
      </c>
      <c r="S324" s="222">
        <f>S69/S15</f>
        <v>0.332695810564663</v>
      </c>
      <c r="T324" s="222">
        <f>T69/T15</f>
        <v>0.224022719679252</v>
      </c>
      <c r="U324" s="222">
        <f>U69/U15</f>
        <v>0.297833179954823</v>
      </c>
      <c r="V324" s="222">
        <f>V69/V15</f>
        <v>0.234491658217347</v>
      </c>
      <c r="X324" s="222">
        <f>X69/X15</f>
        <v>0.212654867256637</v>
      </c>
      <c r="Y324" s="222">
        <f>Y69/Y15</f>
        <v>0.234651783547683</v>
      </c>
      <c r="Z324" s="222">
        <f>Z69/Z15</f>
        <v>0.234351273831618</v>
      </c>
      <c r="AA324" s="222">
        <f>AA69/AA15</f>
        <v>0.258575883575884</v>
      </c>
      <c r="AC324" s="222">
        <f>AC69/AC15</f>
        <v>0.352772037020397</v>
      </c>
      <c r="AD324" s="222">
        <f>AD69/AD15</f>
        <v>0.363701635420822</v>
      </c>
      <c r="AE324" s="222">
        <f>AE69/AE15</f>
        <v>0.341228422320353</v>
      </c>
      <c r="AF324" s="222">
        <f>AF69/AF15</f>
        <v>0.175689392657757</v>
      </c>
      <c r="AH324" s="222">
        <f>AH69/AH15</f>
        <v>0.370670301475305</v>
      </c>
      <c r="AI324" s="222">
        <f>AI69/AI15</f>
        <v>0.369058295964126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0.0714285714285714</v>
      </c>
      <c r="E325" s="236">
        <f>-E131/E130</f>
        <v>0.199362767410105</v>
      </c>
      <c r="F325" s="236">
        <f>-F131/F130</f>
        <v>0.202200825309491</v>
      </c>
      <c r="G325" s="236">
        <f>-G131/G130</f>
        <v>0.375688267683185</v>
      </c>
      <c r="I325" s="222">
        <f>-I131/I130</f>
        <v>0.183858125226203</v>
      </c>
      <c r="J325" s="222">
        <f>-J131/J130</f>
        <v>0.274737423991155</v>
      </c>
      <c r="K325" s="222">
        <f>-K131/K130</f>
        <v>0.197470817120623</v>
      </c>
      <c r="L325" s="222">
        <f>-L131/L130</f>
        <v>0.172297297297297</v>
      </c>
      <c r="N325" s="222">
        <f>-N131/N130</f>
        <v>0.192307692307692</v>
      </c>
      <c r="O325" s="222">
        <f>-O131/O130</f>
        <v>0.168126094570928</v>
      </c>
      <c r="P325" s="222">
        <f>-P131/P130</f>
        <v>0.180603948896632</v>
      </c>
      <c r="Q325" s="222">
        <f>-Q131/Q130</f>
        <v>0.1776</v>
      </c>
      <c r="S325" s="222">
        <f>-S131/S130</f>
        <v>0.231926967678263</v>
      </c>
      <c r="T325" s="222">
        <f>-T131/T130</f>
        <v>0.124652777777778</v>
      </c>
      <c r="U325" s="222">
        <f>-U131/U130</f>
        <v>0.128357364998586</v>
      </c>
      <c r="V325" s="222">
        <f>-V131/V130</f>
        <v>0.199838839645447</v>
      </c>
      <c r="X325" s="222">
        <f>-X131/X130</f>
        <v>0.177427685950413</v>
      </c>
      <c r="Y325" s="222">
        <f>-Y131/Y130</f>
        <v>0.207067371202114</v>
      </c>
      <c r="Z325" s="222">
        <f>-Z131/Z130</f>
        <v>0.156804733727811</v>
      </c>
      <c r="AA325" s="222">
        <f>-AA131/AA130</f>
        <v>0.211332858161083</v>
      </c>
      <c r="AC325" s="222">
        <f>-AC131/AC130</f>
        <v>0.177964012817353</v>
      </c>
      <c r="AD325" s="222">
        <f>-AD131/AD130</f>
        <v>0.207047539616347</v>
      </c>
      <c r="AE325" s="222">
        <f>-AE131/AE130</f>
        <v>0.11953143676787</v>
      </c>
      <c r="AF325" s="222">
        <f>-AF131/AF130</f>
        <v>0.218095881161377</v>
      </c>
      <c r="AH325" s="222">
        <f>-AH131/AH130</f>
        <v>0.139882888744307</v>
      </c>
      <c r="AI325" s="222">
        <f>-AI131/AI130</f>
        <v>0.189406392694064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14.2331606217617</v>
      </c>
      <c r="E332" s="219">
        <f>E69/-E74</f>
        <v>8.62043795620438</v>
      </c>
      <c r="F332" s="219">
        <f>F69/-F74</f>
        <v>4.02424242424242</v>
      </c>
      <c r="G332" s="219">
        <f>G69/-G74</f>
        <v>8.92903225806452</v>
      </c>
      <c r="I332" s="219">
        <f>I69/-I74</f>
        <v>6.98642533936652</v>
      </c>
      <c r="J332" s="219">
        <f>J69/-J74</f>
        <v>4.35769230769231</v>
      </c>
      <c r="K332" s="219">
        <f>K69/-K74</f>
        <v>15.5238095238095</v>
      </c>
      <c r="L332" s="219">
        <f>L69/-L74</f>
        <v>12.2</v>
      </c>
      <c r="N332" s="219">
        <f>N69/-N74</f>
        <v>20.489010989011</v>
      </c>
      <c r="O332" s="219">
        <f>O69/-O74</f>
        <v>13.449494949495</v>
      </c>
      <c r="P332" s="219">
        <f>P69/-P74</f>
        <v>17.1464646464646</v>
      </c>
      <c r="Q332" s="219">
        <f>Q69/-Q74</f>
        <v>7.83552631578947</v>
      </c>
      <c r="S332" s="219">
        <f>S69/-S74</f>
        <v>9.81989247311828</v>
      </c>
      <c r="T332" s="219">
        <f>T69/-T74</f>
        <v>7.17112299465241</v>
      </c>
      <c r="U332" s="219">
        <f>U69/-U74</f>
        <v>9.67391304347826</v>
      </c>
      <c r="V332" s="219">
        <f>V69/-V74</f>
        <v>6.15980629539952</v>
      </c>
      <c r="X332" s="219">
        <f>X69/-X74</f>
        <v>6.29057591623037</v>
      </c>
      <c r="Y332" s="219">
        <f>Y69/-Y74</f>
        <v>6.94019138755981</v>
      </c>
      <c r="Z332" s="219">
        <f>Z69/-Z74</f>
        <v>6.53647058823529</v>
      </c>
      <c r="AA332" s="219">
        <f>AA69/-AA74</f>
        <v>6.92575406032483</v>
      </c>
      <c r="AC332" s="219">
        <f>AC69/-AC74</f>
        <v>10.1447028423773</v>
      </c>
      <c r="AD332" s="219">
        <f>AD69/-AD74</f>
        <v>10.2449438202247</v>
      </c>
      <c r="AE332" s="219">
        <f>AE69/-AE74</f>
        <v>10.8695652173913</v>
      </c>
      <c r="AF332" s="219">
        <f>AF69/-AF74</f>
        <v>4.81902552204176</v>
      </c>
      <c r="AH332" s="219">
        <f>AH69/-AH74</f>
        <v>12.328</v>
      </c>
      <c r="AI332" s="219">
        <f>AI69/-AI74</f>
        <v>13.3821138211382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14.2331606217617</v>
      </c>
      <c r="E333" s="219">
        <f>(E69-E168)/-E74</f>
        <v>8.31751824817518</v>
      </c>
      <c r="F333" s="219">
        <f>(F69-F168)/-F74</f>
        <v>3.52424242424242</v>
      </c>
      <c r="G333" s="219">
        <f>(G69-G168)/-G74</f>
        <v>7.18709677419355</v>
      </c>
      <c r="I333" s="219">
        <f>(I69-I168)/-I74</f>
        <v>6.39366515837104</v>
      </c>
      <c r="J333" s="219">
        <f>(J69-J168)/-J74</f>
        <v>4.02820512820513</v>
      </c>
      <c r="K333" s="219">
        <f>(K69-K168)/-K74</f>
        <v>16.1285714285714</v>
      </c>
      <c r="L333" s="219">
        <f>(L69-L168)/-L74</f>
        <v>10.969696969697</v>
      </c>
      <c r="N333" s="219">
        <f>(N69-N168)/-N74</f>
        <v>19.456043956044</v>
      </c>
      <c r="O333" s="219">
        <f>(O69-O168)/-O74</f>
        <v>13.449494949495</v>
      </c>
      <c r="P333" s="219">
        <f>(P69-P168)/-P74</f>
        <v>16.7020202020202</v>
      </c>
      <c r="Q333" s="219">
        <f>(Q69-Q168)/-Q74</f>
        <v>4.85855263157895</v>
      </c>
      <c r="S333" s="219">
        <f>(S69-S168)/-S74</f>
        <v>9.03225806451613</v>
      </c>
      <c r="T333" s="219">
        <f>(T69-T168)/-T74</f>
        <v>6.79946524064171</v>
      </c>
      <c r="U333" s="219">
        <f>(U69-U168)/-U74</f>
        <v>11.1847826086957</v>
      </c>
      <c r="V333" s="219">
        <f>(V69-V168)/-V74</f>
        <v>4.59322033898305</v>
      </c>
      <c r="X333" s="219">
        <f>(X69-X168)/-X74</f>
        <v>5.42146596858639</v>
      </c>
      <c r="Y333" s="219">
        <f>(Y69-Y168)/-Y74</f>
        <v>5.8133971291866</v>
      </c>
      <c r="Z333" s="219">
        <f>(Z69-Z168)/-Z74</f>
        <v>5.06823529411765</v>
      </c>
      <c r="AA333" s="219">
        <f>(AA69-AA168)/-AA74</f>
        <v>5.26682134570766</v>
      </c>
      <c r="AC333" s="219">
        <f>(AC69-AC168)/-AC74</f>
        <v>9.12403100775194</v>
      </c>
      <c r="AD333" s="219">
        <f>(AD69-AD168)/-AD74</f>
        <v>8.8247191011236</v>
      </c>
      <c r="AE333" s="219">
        <f>(AE69-AE168)/-AE74</f>
        <v>9.88235294117647</v>
      </c>
      <c r="AF333" s="219">
        <f>(AF69-AF168)/-AF74</f>
        <v>7.26218097447796</v>
      </c>
      <c r="AH333" s="219">
        <f>(AH69-AH168)/-AH74</f>
        <v>11.8666666666667</v>
      </c>
      <c r="AI333" s="219">
        <f>(AI69-AI168)/-AI74</f>
        <v>12.3523035230352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4.06275515047945</v>
      </c>
      <c r="I334" s="219">
        <f>IFERROR(SUM(I212,I213,I214,I217,I235,I238)/(I69+G69+F69+E69),"")</f>
        <v>3.95898473422844</v>
      </c>
      <c r="J334" s="219">
        <f>IFERROR(SUM(J212,J213,J214,J217,J235,J238)/(J69+I69+G69+F69),"")</f>
        <v>3.37007807908656</v>
      </c>
      <c r="K334" s="219">
        <f>IFERROR(SUM(K212,K213,K214,K217,K235,K238)/(K69+J69+I69+G69),"")</f>
        <v>3.18353975229724</v>
      </c>
      <c r="L334" s="219">
        <f>IFERROR(SUM(L212,L213,L214,L217,L235,L238)/(L69+K69+J69+I69),"")</f>
        <v>3.63613945578231</v>
      </c>
      <c r="N334" s="219">
        <f>IFERROR(SUM(N212,N213,N214,N217,N235,N238)/(N69+L69+K69+J69),"")</f>
        <v>3.07160712845738</v>
      </c>
      <c r="O334" s="219">
        <f>IFERROR(SUM(O212,O213,O214,O217,O235,O238)/(O69+N69+L69+K69),"")</f>
        <v>3.21843120445778</v>
      </c>
      <c r="P334" s="219">
        <f>IFERROR(SUM(P212,P213,P214,P217,P235,P238)/(P69+O69+N69+L69),"")</f>
        <v>3.06703389830509</v>
      </c>
      <c r="Q334" s="219">
        <f>IFERROR(SUM(Q212,Q213,Q214,Q217,Q235,Q238)/(Q69+P69+O69+N69),"")</f>
        <v>3.21710904757992</v>
      </c>
      <c r="S334" s="219">
        <f>IFERROR(SUM(S212,S213,S214,S217,S235,S238)/(S69+Q69+P69+O69),"")</f>
        <v>3.05507318283304</v>
      </c>
      <c r="T334" s="219">
        <f>IFERROR(SUM(T212,T213,T214,T217,T235,T238)/(T69+S69+Q69+P69),"")</f>
        <v>3.03806142668428</v>
      </c>
      <c r="U334" s="219">
        <f>IFERROR(SUM(U212,U213,U214,U217,U235,U238)/(U69+T69+S69+Q69),"")</f>
        <v>2.95316445385681</v>
      </c>
      <c r="V334" s="219">
        <f>IFERROR(SUM(V212,V213,V214,V217,V235,V238)/(V69+U69+T69+S69),"")</f>
        <v>3.015274539754</v>
      </c>
      <c r="X334" s="219">
        <f>IFERROR(SUM(X212,X213,X214,X217,X235,X238)/(X69+V69+U69+T69),"")</f>
        <v>3.26177495754759</v>
      </c>
      <c r="Y334" s="219">
        <f>IFERROR(SUM(Y212,Y213,Y214,Y217,Y235,Y238)/(Y69+X69+V69+U69),"")</f>
        <v>3.50841514726508</v>
      </c>
      <c r="Z334" s="219">
        <f>IFERROR(SUM(Z212,Z213,Z214,Z217,Z235,Z238)/(Z69+Y69+X69+V69),"")</f>
        <v>4.14652738565782</v>
      </c>
      <c r="AA334" s="219">
        <f>IFERROR(SUM(AA212,AA213,AA214,AA217,AA235,AA238)/(AA69+Z69+Y69+X69),"")</f>
        <v>3.88750338845216</v>
      </c>
      <c r="AC334" s="219">
        <f>IFERROR(SUM(AC212,AC213,AC214,AC217,AC235,AC238)/(AC69+AA69+Z69+Y69),"")</f>
        <v>3.47045274027006</v>
      </c>
      <c r="AD334" s="219">
        <f>IFERROR(SUM(AD212,AD213,AD214,AD217,AD235,AD238)/(AD69+AC69+AA69+Z69),"")</f>
        <v>3.16304042672656</v>
      </c>
      <c r="AE334" s="219">
        <f>IFERROR(SUM(AE212,AE213,AE214,AE217,AE235,AE238)/(AE69+AD69+AC69+AA69),"")</f>
        <v>2.86876590330789</v>
      </c>
      <c r="AF334" s="219">
        <f>IFERROR(SUM(AF212,AF213,AF214,AF217,AF235,AF238)/(AF69+AE69+AD69+AC69),"")</f>
        <v>2.96658115041858</v>
      </c>
      <c r="AH334" s="219">
        <f>IFERROR(SUM(AH212,AH213,AH214,AH217,AH235,AH238)/(AH69+AF69+AE69+AD69),"")</f>
        <v>2.80856277000451</v>
      </c>
      <c r="AI334" s="219">
        <f>IFERROR(SUM(AI212,AI213,AI214,AI217,AI235,AI238)/(AI69+AH69+AF69+AE69),"")</f>
        <v>2.73760070493454</v>
      </c>
      <c r="AJ334" s="219">
        <f>IFERROR(SUM(AJ212,AJ213,AJ214,AJ217,AJ235,AJ238)/(AJ69+AI69+AH69+AF69),"")</f>
        <v>3.73732600103111</v>
      </c>
      <c r="AK334" s="219">
        <f>IFERROR(SUM(AK212,AK213,AK214,AK217,AK235,AK238)/(AK69+AJ69+AI69+AH69),"")</f>
        <v>4.54921033364711</v>
      </c>
      <c r="AM334" s="219">
        <f>IFERROR(SUM(AM212,AM213,AM214,AM217,AM235,AM238)/(AM69+AK69+AJ69+AI69),"")</f>
        <v>8.80822195220737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0.649390136114548</v>
      </c>
      <c r="E335" s="221">
        <f>SUM(E212+E213+E214+E217+E235+E238)/(SUM(E212+E213+E214+E217+E235+E238)+E271)</f>
        <v>0.690993413742572</v>
      </c>
      <c r="F335" s="221">
        <f>SUM(F212+F213+F214+F217+F235+F238)/(SUM(F212+F213+F214+F217+F235+F238)+F271)</f>
        <v>0.698244363247482</v>
      </c>
      <c r="G335" s="221">
        <f>SUM(G212+G213+G214+G217+G235+G238)/(SUM(G212+G213+G214+G217+G235+G238)+G271)</f>
        <v>0.667837133448819</v>
      </c>
      <c r="I335" s="221">
        <f>SUM(I212+I213+I214+I217+I235+I238)/(SUM(I212+I213+I214+I217+I235+I238)+I271)</f>
        <v>0.658438102229972</v>
      </c>
      <c r="J335" s="221">
        <f>SUM(J212+J213+J214+J217+J235+J238)/(SUM(J212+J213+J214+J217+J235+J238)+J271)</f>
        <v>0.623346170569601</v>
      </c>
      <c r="K335" s="221">
        <f>SUM(K212+K213+K214+K217+K235+K238)/(SUM(K212+K213+K214+K217+K235+K238)+K271)</f>
        <v>0.622774521297382</v>
      </c>
      <c r="L335" s="221">
        <f>SUM(L212+L213+L214+L217+L235+L238)/(SUM(L212+L213+L214+L217+L235+L238)+L271)</f>
        <v>0.63236272755505</v>
      </c>
      <c r="N335" s="221">
        <f>SUM(N212+N213+N214+N217+N235+N238)/(SUM(N212+N213+N214+N217+N235+N238)+N271)</f>
        <v>0.586629088892996</v>
      </c>
      <c r="O335" s="221">
        <f>SUM(O212+O213+O214+O217+O235+O238)/(SUM(O212+O213+O214+O217+O235+O238)+O271)</f>
        <v>0.602171751194944</v>
      </c>
      <c r="P335" s="221">
        <f>SUM(P212+P213+P214+P217+P235+P238)/(SUM(P212+P213+P214+P217+P235+P238)+P271)</f>
        <v>0.596945255414254</v>
      </c>
      <c r="Q335" s="221">
        <f>SUM(Q212+Q213+Q214+Q217+Q235+Q238)/(SUM(Q212+Q213+Q214+Q217+Q235+Q238)+Q271)</f>
        <v>0.602524047710658</v>
      </c>
      <c r="S335" s="221">
        <f>SUM(S212+S213+S214+S217+S235+S238)/(SUM(S212+S213+S214+S217+S235+S238)+S271)</f>
        <v>0.578957265760895</v>
      </c>
      <c r="T335" s="221">
        <f>SUM(T212+T213+T214+T217+T235+T238)/(SUM(T212+T213+T214+T217+T235+T238)+T271)</f>
        <v>0.571834838148223</v>
      </c>
      <c r="U335" s="221">
        <f>SUM(U212+U213+U214+U217+U235+U238)/(SUM(U212+U213+U214+U217+U235+U238)+U271)</f>
        <v>0.565713304935324</v>
      </c>
      <c r="V335" s="221">
        <f>SUM(V212+V213+V214+V217+V235+V238)/(SUM(V212+V213+V214+V217+V235+V238)+V271)</f>
        <v>0.577146198470463</v>
      </c>
      <c r="X335" s="221">
        <f>SUM(X212+X213+X214+X217+X235+X238)/(SUM(X212+X213+X214+X217+X235+X238)+X271)</f>
        <v>0.566338723192949</v>
      </c>
      <c r="Y335" s="221">
        <f>SUM(Y212+Y213+Y214+Y217+Y235+Y238)/(SUM(Y212+Y213+Y214+Y217+Y235+Y238)+Y271)</f>
        <v>0.593519685623193</v>
      </c>
      <c r="Z335" s="221">
        <f>SUM(Z212+Z213+Z214+Z217+Z235+Z238)/(SUM(Z212+Z213+Z214+Z217+Z235+Z238)+Z271)</f>
        <v>0.61013639825521</v>
      </c>
      <c r="AA335" s="221">
        <f>SUM(AA212+AA213+AA214+AA217+AA235+AA238)/(SUM(AA212+AA213+AA214+AA217+AA235+AA238)+AA271)</f>
        <v>0.6199726205058</v>
      </c>
      <c r="AC335" s="221">
        <f>SUM(AC212+AC213+AC214+AC217+AC235+AC238)/(SUM(AC212+AC213+AC214+AC217+AC235+AC238)+AC271)</f>
        <v>0.61154422159083</v>
      </c>
      <c r="AD335" s="221">
        <f>SUM(AD212+AD213+AD214+AD217+AD235+AD238)/(SUM(AD212+AD213+AD214+AD217+AD235+AD238)+AD271)</f>
        <v>0.598904968836795</v>
      </c>
      <c r="AE335" s="221">
        <f>SUM(AE212+AE213+AE214+AE217+AE235+AE238)/(SUM(AE212+AE213+AE214+AE217+AE235+AE238)+AE271)</f>
        <v>0.575481088254811</v>
      </c>
      <c r="AF335" s="221">
        <f>SUM(AF212+AF213+AF214+AF217+AF235+AF238)/(SUM(AF212+AF213+AF214+AF217+AF235+AF238)+AF271)</f>
        <v>0.5617904265112</v>
      </c>
      <c r="AH335" s="221">
        <f>SUM(AH212+AH213+AH214+AH217+AH235+AH238)/(SUM(AH212+AH213+AH214+AH217+AH235+AH238)+AH271)</f>
        <v>0.549336629168138</v>
      </c>
      <c r="AI335" s="221">
        <f>SUM(AI212+AI213+AI214+AI217+AI235+AI238)/(SUM(AI212+AI213+AI214+AI217+AI235+AI238)+AI271)</f>
        <v>0.531658721427698</v>
      </c>
      <c r="AJ335" s="221">
        <f>SUM(AJ212+AJ213+AJ214+AJ217+AJ235+AJ238)/(SUM(AJ212+AJ213+AJ214+AJ217+AJ235+AJ238)+AJ271)</f>
        <v>0.527615027232917</v>
      </c>
      <c r="AK335" s="221">
        <f>SUM(AK212+AK213+AK214+AK217+AK235+AK238)/(SUM(AK212+AK213+AK214+AK217+AK235+AK238)+AK271)</f>
        <v>0.520219115167028</v>
      </c>
      <c r="AM335" s="221">
        <f>SUM(AM212+AM213+AM214+AM217+AM235+AM238)/(SUM(AM212+AM213+AM214+AM217+AM235+AM238)+AM271)</f>
        <v>0.513027683089371</v>
      </c>
      <c r="AN335" s="221">
        <f>SUM(AN212+AN213+AN214+AN217+AN235+AN238)/(SUM(AN212+AN213+AN214+AN217+AN235+AN238)+AN271)</f>
        <v>0.492141798391021</v>
      </c>
      <c r="AO335" s="221">
        <f>SUM(AO212+AO213+AO214+AO217+AO235+AO238)/(SUM(AO212+AO213+AO214+AO217+AO235+AO238)+AO271)</f>
        <v>0.485700885528917</v>
      </c>
      <c r="AP335" s="221">
        <f>SUM(AP212+AP213+AP214+AP217+AP235+AP238)/(SUM(AP212+AP213+AP214+AP217+AP235+AP238)+AP271)</f>
        <v>0.466940063768801</v>
      </c>
      <c r="AR335" s="221">
        <f>SUM(AR212+AR213+AR214+AR217+AR235+AR238)/(SUM(AR212+AR213+AR214+AR217+AR235+AR238)+AR271)</f>
        <v>0.449574663813865</v>
      </c>
      <c r="AS335" s="221">
        <f>SUM(AS212+AS213+AS214+AS217+AS235+AS238)/(SUM(AS212+AS213+AS214+AS217+AS235+AS238)+AS271)</f>
        <v>0.409222200269083</v>
      </c>
      <c r="AT335" s="221">
        <f>SUM(AT212+AT213+AT214+AT217+AT235+AT238)/(SUM(AT212+AT213+AT214+AT217+AT235+AT238)+AT271)</f>
        <v>0.395822905765118</v>
      </c>
      <c r="AU335" s="221">
        <f>SUM(AU212+AU213+AU214+AU217+AU235+AU238)/(SUM(AU212+AU213+AU214+AU217+AU235+AU238)+AU271)</f>
        <v>0.3642034749843</v>
      </c>
      <c r="AW335" s="221">
        <f>SUM(AW212+AW213+AW214+AW217+AW235+AW238)/(SUM(AW212+AW213+AW214+AW217+AW235+AW238)+AW271)</f>
        <v>0.337262047842438</v>
      </c>
      <c r="AX335" s="221">
        <f>SUM(AX212+AX213+AX214+AX217+AX235+AX238)/(SUM(AX212+AX213+AX214+AX217+AX235+AX238)+AX271)</f>
        <v>0.280177272756553</v>
      </c>
      <c r="AY335" s="221">
        <f>SUM(AY212+AY213+AY214+AY217+AY235+AY238)/(SUM(AY212+AY213+AY214+AY217+AY235+AY238)+AY271)</f>
        <v>0.263956402740607</v>
      </c>
      <c r="AZ335" s="221">
        <f>SUM(AZ212+AZ213+AZ214+AZ217+AZ235+AZ238)/(SUM(AZ212+AZ213+AZ214+AZ217+AZ235+AZ238)+AZ271)</f>
        <v>0.227654574289348</v>
      </c>
      <c r="BB335" s="221">
        <f>SUM(BB212+BB213+BB214+BB217+BB235+BB238)/(SUM(BB212+BB213+BB214+BB217+BB235+BB238)+BB271)</f>
        <v>0.200130675047048</v>
      </c>
      <c r="BC335" s="221">
        <f>SUM(BC212+BC213+BC214+BC217+BC235+BC238)/(SUM(BC212+BC213+BC214+BC217+BC235+BC238)+BC271)</f>
        <v>0.150519959164605</v>
      </c>
      <c r="BD335" s="221">
        <f>SUM(BD212+BD213+BD214+BD217+BD235+BD238)/(SUM(BD212+BD213+BD214+BD217+BD235+BD238)+BD271)</f>
        <v>0.137973804168874</v>
      </c>
      <c r="BE335" s="221">
        <f>SUM(BE212+BE213+BE214+BE217+BE235+BE238)/(SUM(BE212+BE213+BE214+BE217+BE235+BE238)+BE271)</f>
        <v>0.112427075551925</v>
      </c>
      <c r="BG335" s="221">
        <f>SUM(BG212+BG213+BG214+BG217+BG235+BG238)/(SUM(BG212+BG213+BG214+BG217+BG235+BG238)+BG271)</f>
        <v>0.0948626514432776</v>
      </c>
      <c r="BH335" s="221">
        <f>SUM(BH212+BH213+BH214+BH217+BH235+BH238)/(SUM(BH212+BH213+BH214+BH217+BH235+BH238)+BH271)</f>
        <v>0.066473489311821</v>
      </c>
      <c r="BI335" s="221">
        <f>SUM(BI212+BI213+BI214+BI217+BI235+BI238)/(SUM(BI212+BI213+BI214+BI217+BI235+BI238)+BI271)</f>
        <v>0.0599143470720556</v>
      </c>
      <c r="BJ335" s="221">
        <f>SUM(BJ212+BJ213+BJ214+BJ217+BJ235+BJ238)/(SUM(BJ212+BJ213+BJ214+BJ217+BJ235+BJ238)+BJ271)</f>
        <v>0.0471864425902802</v>
      </c>
      <c r="BL335" s="221">
        <f>SUM(BL212+BL213+BL214+BL217+BL235+BL238)/(SUM(BL212+BL213+BL214+BL217+BL235+BL238)+BL271)</f>
        <v>0.0389187399616137</v>
      </c>
      <c r="BM335" s="221">
        <f>SUM(BM212+BM213+BM214+BM217+BM235+BM238)/(SUM(BM212+BM213+BM214+BM217+BM235+BM238)+BM271)</f>
        <v>0.0263210288045672</v>
      </c>
      <c r="BN335" s="221">
        <f>SUM(BN212+BN213+BN214+BN217+BN235+BN238)/(SUM(BN212+BN213+BN214+BN217+BN235+BN238)+BN271)</f>
        <v>0.0235324734066008</v>
      </c>
      <c r="BO335" s="221">
        <f>SUM(BO212+BO213+BO214+BO217+BO235+BO238)/(SUM(BO212+BO213+BO214+BO217+BO235+BO238)+BO271)</f>
        <v>0.0182507249727571</v>
      </c>
      <c r="BQ335" s="221">
        <f>SUM(BQ212+BQ213+BQ214+BQ217+BQ235+BQ238)/(SUM(BQ212+BQ213+BQ214+BQ217+BQ235+BQ238)+BQ271)</f>
        <v>0.0149053027512183</v>
      </c>
      <c r="BR335" s="221">
        <f>SUM(BR212+BR213+BR214+BR217+BR235+BR238)/(SUM(BR212+BR213+BR214+BR217+BR235+BR238)+BR271)</f>
        <v>0.00993146954923984</v>
      </c>
      <c r="BS335" s="221">
        <f>SUM(BS212+BS213+BS214+BS217+BS235+BS238)/(SUM(BS212+BS213+BS214+BS217+BS235+BS238)+BS271)</f>
        <v>0.00885050470972196</v>
      </c>
      <c r="BT335" s="221">
        <f>SUM(BT212+BT213+BT214+BT217+BT235+BT238)/(SUM(BT212+BT213+BT214+BT217+BT235+BT238)+BT271)</f>
        <v>0.00682185370915455</v>
      </c>
      <c r="BV335" s="221">
        <f>SUM(BV212+BV213+BV214+BV217+BV235+BV238)/(SUM(BV212+BV213+BV214+BV217+BV235+BV238)+BV271)</f>
        <v>0.00554977334544471</v>
      </c>
      <c r="BW335" s="221">
        <f>SUM(BW212+BW213+BW214+BW217+BW235+BW238)/(SUM(BW212+BW213+BW214+BW217+BW235+BW238)+BW271)</f>
        <v>0.00367670149621759</v>
      </c>
      <c r="BX335" s="221">
        <f>SUM(BX212+BX213+BX214+BX217+BX235+BX238)/(SUM(BX212+BX213+BX214+BX217+BX235+BX238)+BX271)</f>
        <v>0.00327243620103675</v>
      </c>
      <c r="BY335" s="221">
        <f>SUM(BY212+BY213+BY214+BY217+BY235+BY238)/(SUM(BY212+BY213+BY214+BY217+BY235+BY238)+BY271)</f>
        <v>0.00251649491687698</v>
      </c>
      <c r="CA335" s="221">
        <f>SUM(CA212+CA213+CA214+CA217+CA235+CA238)/(SUM(CA212+CA213+CA214+CA217+CA235+CA238)+CA271)</f>
        <v>0.00204426449506667</v>
      </c>
      <c r="CB335" s="221">
        <f>SUM(CB212+CB213+CB214+CB217+CB235+CB238)/(SUM(CB212+CB213+CB214+CB217+CB235+CB238)+CB271)</f>
        <v>0.00135141731347186</v>
      </c>
      <c r="CC335" s="221">
        <f>SUM(CC212+CC213+CC214+CC217+CC235+CC238)/(SUM(CC212+CC213+CC214+CC217+CC235+CC238)+CC271)</f>
        <v>0.00120227095563528</v>
      </c>
      <c r="CD335" s="221">
        <f>SUM(CD212+CD213+CD214+CD217+CD235+CD238)/(SUM(CD212+CD213+CD214+CD217+CD235+CD238)+CD271)</f>
        <v>0.000923745160850697</v>
      </c>
      <c r="CF335" s="221">
        <f>SUM(CF212+CF213+CF214+CF217+CF235+CF238)/(SUM(CF212+CF213+CF214+CF217+CF235+CF238)+CF271)</f>
        <v>0.000749996228033685</v>
      </c>
      <c r="CG335" s="221">
        <f>SUM(CG212+CG213+CG214+CG217+CG235+CG238)/(SUM(CG212+CG213+CG214+CG217+CG235+CG238)+CG271)</f>
        <v>0.000495414547961248</v>
      </c>
      <c r="CH335" s="221">
        <f>SUM(CH212+CH213+CH214+CH217+CH235+CH238)/(SUM(CH212+CH213+CH214+CH217+CH235+CH238)+CH271)</f>
        <v>0.000440664140381381</v>
      </c>
      <c r="CI335" s="221">
        <f>SUM(CI212+CI213+CI214+CI217+CI235+CI238)/(SUM(CI212+CI213+CI214+CI217+CI235+CI238)+CI271)</f>
        <v>0.000338469781193041</v>
      </c>
      <c r="CK335" s="221">
        <f>SUM(CK212+CK213+CK214+CK217+CK235+CK238)/(SUM(CK212+CK213+CK214+CK217+CK235+CK238)+CK271)</f>
        <v>0.000274752067606431</v>
      </c>
      <c r="CL335" s="221">
        <f>SUM(CL212+CL213+CL214+CL217+CL235+CL238)/(SUM(CL212+CL213+CL214+CL217+CL235+CL238)+CL271)</f>
        <v>0.000181436541830108</v>
      </c>
      <c r="CM335" s="221">
        <f>SUM(CM212+CM213+CM214+CM217+CM235+CM238)/(SUM(CM212+CM213+CM214+CM217+CM235+CM238)+CM271)</f>
        <v>0.000161375163492297</v>
      </c>
      <c r="CN335" s="221">
        <f>SUM(CN212+CN213+CN214+CN217+CN235+CN238)/(SUM(CN212+CN213+CN214+CN217+CN235+CN238)+CN271)</f>
        <v>0.000123936250771496</v>
      </c>
      <c r="CP335" s="221">
        <f>SUM(CP212+CP213+CP214+CP217+CP235+CP238)/(SUM(CP212+CP213+CP214+CP217+CP235+CP238)+CP271)</f>
        <v>0.000100597669500198</v>
      </c>
      <c r="CQ335" s="221">
        <f>SUM(CQ212+CQ213+CQ214+CQ217+CQ235+CQ238)/(SUM(CQ212+CQ213+CQ214+CQ217+CQ235+CQ238)+CQ271)</f>
        <v>6.64240906827947e-05</v>
      </c>
      <c r="CR335" s="221">
        <f>SUM(CR212+CR213+CR214+CR217+CR235+CR238)/(SUM(CR212+CR213+CR214+CR217+CR235+CR238)+CR271)</f>
        <v>5.90782513028316e-05</v>
      </c>
      <c r="CS335" s="221">
        <f>SUM(CS212+CS213+CS214+CS217+CS235+CS238)/(SUM(CS212+CS213+CS214+CS217+CS235+CS238)+CS271)</f>
        <v>4.53702114066699e-05</v>
      </c>
      <c r="CU335" s="221">
        <f>SUM(CU212+CU213+CU214+CU217+CU235+CU238)/(SUM(CU212+CU213+CU214+CU217+CU235+CU238)+CU271)</f>
        <v>3.68255162750058e-05</v>
      </c>
      <c r="CV335" s="221">
        <f>SUM(CV212+CV213+CV214+CV217+CV235+CV238)/(SUM(CV212+CV213+CV214+CV217+CV235+CV238)+CV271)</f>
        <v>2.43147415302586e-05</v>
      </c>
      <c r="CW335" s="221">
        <f>SUM(CW212+CW213+CW214+CW217+CW235+CW238)/(SUM(CW212+CW213+CW214+CW217+CW235+CW238)+CW271)</f>
        <v>2.16255940071997e-05</v>
      </c>
      <c r="CX335" s="221">
        <f>SUM(CX212+CX213+CX214+CX217+CX235+CX238)/(SUM(CX212+CX213+CX214+CX217+CX235+CX238)+CX271)</f>
        <v>1.66075069493845e-05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3.19472135194152</v>
      </c>
      <c r="I336" s="219">
        <f>IFERROR((SUM(I212,I213,I214,I217,I235,I238)-I144)/(I69+G69+F69+E69),"")</f>
        <v>3.17877505977561</v>
      </c>
      <c r="J336" s="219">
        <f>IFERROR((SUM(J212,J213,J214,J217,J235,J238)-J144)/(J69+I69+G69+F69),"")</f>
        <v>2.59869028628998</v>
      </c>
      <c r="K336" s="219">
        <f>IFERROR((SUM(K212,K213,K214,K217,K235,K238)-K144)/(K69+J69+I69+G69),"")</f>
        <v>2.28054334798242</v>
      </c>
      <c r="L336" s="219">
        <f>IFERROR((SUM(L212,L213,L214,L217,L235,L238)-L144)/(L69+K69+J69+I69),"")</f>
        <v>2.81267006802721</v>
      </c>
      <c r="N336" s="219">
        <f>IFERROR((SUM(N212,N213,N214,N217,N235,N238)-N144)/(N69+L69+K69+J69),"")</f>
        <v>2.45222159503266</v>
      </c>
      <c r="O336" s="219">
        <f>IFERROR((SUM(O212,O213,O214,O217,O235,O238)-O144)/(O69+N69+L69+K69),"")</f>
        <v>2.44894984997857</v>
      </c>
      <c r="P336" s="219">
        <f>IFERROR((SUM(P212,P213,P214,P217,P235,P238)-P144)/(P69+O69+N69+L69),"")</f>
        <v>2.20881355932203</v>
      </c>
      <c r="Q336" s="219">
        <f>IFERROR((SUM(Q212,Q213,Q214,Q217,Q235,Q238)-Q144)/(Q69+P69+O69+N69),"")</f>
        <v>2.43487550332813</v>
      </c>
      <c r="S336" s="219">
        <f>IFERROR((SUM(S212,S213,S214,S217,S235,S238)-S144)/(S69+Q69+P69+O69),"")</f>
        <v>2.06243281237079</v>
      </c>
      <c r="T336" s="219">
        <f>IFERROR((SUM(T212,T213,T214,T217,T235,T238)-T144)/(T69+S69+Q69+P69),"")</f>
        <v>2.00074306472919</v>
      </c>
      <c r="U336" s="219">
        <f>IFERROR((SUM(U212,U213,U214,U217,U235,U238)-U144)/(U69+T69+S69+Q69),"")</f>
        <v>1.98525698460536</v>
      </c>
      <c r="V336" s="219">
        <f>IFERROR((SUM(V212,V213,V214,V217,V235,V238)-V144)/(V69+U69+T69+S69),"")</f>
        <v>2.26232012219632</v>
      </c>
      <c r="X336" s="219">
        <f>IFERROR((SUM(X212,X213,X214,X217,X235,X238)-X144)/(X69+V69+U69+T69),"")</f>
        <v>2.32844758244705</v>
      </c>
      <c r="Y336" s="219">
        <f>IFERROR((SUM(Y212,Y213,Y214,Y217,Y235,Y238)-Y144)/(Y69+X69+V69+U69),"")</f>
        <v>2.30680224403927</v>
      </c>
      <c r="Z336" s="219">
        <f>IFERROR((SUM(Z212,Z213,Z214,Z217,Z235,Z238)-Z144)/(Z69+Y69+X69+V69),"")</f>
        <v>2.83483907396951</v>
      </c>
      <c r="AA336" s="219">
        <f>IFERROR((SUM(AA212,AA213,AA214,AA217,AA235,AA238)-AA144)/(AA69+Z69+Y69+X69),"")</f>
        <v>2.90909912352038</v>
      </c>
      <c r="AC336" s="219">
        <f>IFERROR((SUM(AC212,AC213,AC214,AC217,AC235,AC238)-AC144)/(AC69+AA69+Z69+Y69),"")</f>
        <v>2.80190627482129</v>
      </c>
      <c r="AD336" s="219">
        <f>IFERROR((SUM(AD212,AD213,AD214,AD217,AD235,AD238)-AD144)/(AD69+AC69+AA69+Z69),"")</f>
        <v>2.48996350364964</v>
      </c>
      <c r="AE336" s="219">
        <f>IFERROR((SUM(AE212,AE213,AE214,AE217,AE235,AE238)-AE144)/(AE69+AD69+AC69+AA69),"")</f>
        <v>2.05884223918575</v>
      </c>
      <c r="AF336" s="219">
        <f>IFERROR((SUM(AF212,AF213,AF214,AF217,AF235,AF238)-AF144)/(AF69+AE69+AD69+AC69),"")</f>
        <v>2.2732244126384</v>
      </c>
      <c r="AH336" s="219">
        <f>IFERROR((SUM(AH212,AH213,AH214,AH217,AH235,AH238)-AH144)/(AH69+AF69+AE69+AD69),"")</f>
        <v>2.12676510413308</v>
      </c>
      <c r="AI336" s="219">
        <f>IFERROR((SUM(AI212,AI213,AI214,AI217,AI235,AI238)-AI144)/(AI69+AH69+AF69+AE69),"")</f>
        <v>1.92522658610272</v>
      </c>
      <c r="AJ336" s="219">
        <f>IFERROR((SUM(AJ212,AJ213,AJ214,AJ217,AJ235,AJ238)-AJ144)/(AJ69+AI69+AH69+AF69),"")</f>
        <v>2.17374119264478</v>
      </c>
      <c r="AK336" s="219">
        <f>IFERROR((SUM(AK212,AK213,AK214,AK217,AK235,AK238)-AK144)/(AK69+AJ69+AI69+AH69),"")</f>
        <v>2.523376215877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3.19472135194152</v>
      </c>
      <c r="I337" s="219">
        <f>IFERROR((SUM(I212,I213,I217,I238)-I144)/(I69+G69+F69+E69),"")</f>
        <v>3.17877505977561</v>
      </c>
      <c r="J337" s="219">
        <f>IFERROR((SUM(J212,J213,J217,J238)-J144)/(J69+I69+G69+F69),"")</f>
        <v>2.59869028628998</v>
      </c>
      <c r="K337" s="219">
        <f>IFERROR((SUM(K212,K213,K217,K238)-K144)/(K69+J69+I69+G69),"")</f>
        <v>2.28054334798242</v>
      </c>
      <c r="L337" s="219">
        <f>IFERROR((SUM(L212,L213,L217,L238)-L144)/(L69+K69+J69+I69),"")</f>
        <v>2.81267006802721</v>
      </c>
      <c r="N337" s="219">
        <f>IFERROR((SUM(N212,N213,N217,N238)-N144)/(N69+L69+K69+J69),"")</f>
        <v>2.45222159503266</v>
      </c>
      <c r="O337" s="219">
        <f>IFERROR((SUM(O212,O213,O217,O238)-O144)/(O69+N69+L69+K69),"")</f>
        <v>2.44894984997857</v>
      </c>
      <c r="P337" s="219">
        <f>IFERROR((SUM(P212,P213,P217,P238)-P144)/(P69+O69+N69+L69),"")</f>
        <v>2.20881355932203</v>
      </c>
      <c r="Q337" s="219">
        <f>IFERROR((SUM(Q212,Q213,Q217,Q238)-Q144)/(Q69+P69+O69+N69),"")</f>
        <v>2.43487550332813</v>
      </c>
      <c r="S337" s="219">
        <f>IFERROR((SUM(S212,S213,S217,S238)-S144)/(S69+Q69+P69+O69),"")</f>
        <v>2.06243281237079</v>
      </c>
      <c r="T337" s="219">
        <f>IFERROR((SUM(T212,T213,T217,T238)-T144)/(T69+S69+Q69+P69),"")</f>
        <v>2.00074306472919</v>
      </c>
      <c r="U337" s="219">
        <f>IFERROR((SUM(U212,U213,U217,U238)-U144)/(U69+T69+S69+Q69),"")</f>
        <v>1.98525698460536</v>
      </c>
      <c r="V337" s="219">
        <f>IFERROR((SUM(V212,V213,V217,V238)-V144)/(V69+U69+T69+S69),"")</f>
        <v>2.26232012219632</v>
      </c>
      <c r="X337" s="219">
        <f>IFERROR((SUM(X212,X213,X217,X238)-X144)/(X69+V69+U69+T69),"")</f>
        <v>2.32844758244705</v>
      </c>
      <c r="Y337" s="219">
        <f>IFERROR((SUM(Y212,Y213,Y217,Y238)-Y144)/(Y69+X69+V69+U69),"")</f>
        <v>2.30680224403927</v>
      </c>
      <c r="Z337" s="219">
        <f>IFERROR((SUM(Z212,Z213,Z217,Z238)-Z144)/(Z69+Y69+X69+V69),"")</f>
        <v>2.83483907396951</v>
      </c>
      <c r="AA337" s="219">
        <f>IFERROR((SUM(AA212,AA213,AA217,AA238)-AA144)/(AA69+Z69+Y69+X69),"")</f>
        <v>2.90909912352038</v>
      </c>
      <c r="AC337" s="219">
        <f>IFERROR((SUM(AC212,AC213,AC217,AC238)-AC144)/(AC69+AA69+Z69+Y69),"")</f>
        <v>2.80190627482129</v>
      </c>
      <c r="AD337" s="219">
        <f>IFERROR((SUM(AD212,AD213,AD217,AD238)-AD144)/(AD69+AC69+AA69+Z69),"")</f>
        <v>2.48996350364964</v>
      </c>
      <c r="AE337" s="219">
        <f>IFERROR((SUM(AE212,AE213,AE217,AE238)-AE144)/(AE69+AD69+AC69+AA69),"")</f>
        <v>2.05884223918575</v>
      </c>
      <c r="AF337" s="219">
        <f>IFERROR((SUM(AF212,AF213,AF217,AF238)-AF144)/(AF69+AE69+AD69+AC69),"")</f>
        <v>2.2732244126384</v>
      </c>
      <c r="AH337" s="219">
        <f>IFERROR((SUM(AH212,AH213,AH217,AH238)-AH144)/(AH69+AF69+AE69+AD69),"")</f>
        <v>2.12676510413308</v>
      </c>
      <c r="AI337" s="219">
        <f>IFERROR((SUM(AI212,AI213,AI217,AI238)-AI144)/(AI69+AH69+AF69+AE69),"")</f>
        <v>1.92522658610272</v>
      </c>
      <c r="AJ337" s="219">
        <f>IFERROR((SUM(AJ212,AJ213,AJ217,AJ238)-AJ144)/(AJ69+AI69+AH69+AF69),"")</f>
        <v>2.17374119264478</v>
      </c>
      <c r="AK337" s="219">
        <f>IFERROR((SUM(AK212,AK213,AK217,AK238)-AK144)/(AK69+AJ69+AI69+AH69),"")</f>
        <v>2.523376215877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12.3316062176166</v>
      </c>
      <c r="E338" s="219">
        <f>E73/-E74</f>
        <v>7.22992700729927</v>
      </c>
      <c r="F338" s="219">
        <f>F73/-F74</f>
        <v>3.48181818181818</v>
      </c>
      <c r="G338" s="219">
        <f>G73/-G74</f>
        <v>7.54193548387097</v>
      </c>
      <c r="I338" s="219">
        <f>I73/-I74</f>
        <v>6.15837104072398</v>
      </c>
      <c r="J338" s="219">
        <f>J73/-J74</f>
        <v>3.86666666666667</v>
      </c>
      <c r="K338" s="219">
        <f>K73/-K74</f>
        <v>13.8</v>
      </c>
      <c r="L338" s="219">
        <f>L73/-L74</f>
        <v>10.1333333333333</v>
      </c>
      <c r="N338" s="219">
        <f>N73/-N74</f>
        <v>18.7087912087912</v>
      </c>
      <c r="O338" s="219">
        <f>O73/-O74</f>
        <v>11.8232323232323</v>
      </c>
      <c r="P338" s="219">
        <f>P73/-P74</f>
        <v>15.5959595959596</v>
      </c>
      <c r="Q338" s="219">
        <f>Q73/-Q74</f>
        <v>6.82565789473684</v>
      </c>
      <c r="S338" s="219">
        <f>S73/-S74</f>
        <v>9.0510752688172</v>
      </c>
      <c r="T338" s="219">
        <f>T73/-T74</f>
        <v>6.41978609625669</v>
      </c>
      <c r="U338" s="219">
        <f>U73/-U74</f>
        <v>8.88586956521739</v>
      </c>
      <c r="V338" s="219">
        <f>V73/-V74</f>
        <v>5.50363196125908</v>
      </c>
      <c r="X338" s="219">
        <f>X73/-X74</f>
        <v>5.60471204188482</v>
      </c>
      <c r="Y338" s="219">
        <f>Y73/-Y74</f>
        <v>6.29665071770335</v>
      </c>
      <c r="Z338" s="219">
        <f>Z73/-Z74</f>
        <v>5.90588235294118</v>
      </c>
      <c r="AA338" s="219">
        <f>AA73/-AA74</f>
        <v>6.28538283062645</v>
      </c>
      <c r="AC338" s="219">
        <f>AC73/-AC74</f>
        <v>9.45478036175711</v>
      </c>
      <c r="AD338" s="219">
        <f>AD73/-AD74</f>
        <v>9.61797752808989</v>
      </c>
      <c r="AE338" s="219">
        <f>AE73/-AE74</f>
        <v>10.1841432225064</v>
      </c>
      <c r="AF338" s="219">
        <f>AF73/-AF74</f>
        <v>4.27146171693736</v>
      </c>
      <c r="AH338" s="219">
        <f>AH73/-AH74</f>
        <v>11.624</v>
      </c>
      <c r="AI338" s="219">
        <f>AI73/-AI74</f>
        <v>12.6612466124661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1.14031022238834</v>
      </c>
      <c r="E341" s="219">
        <f>SUM(E144,E145,E149,E153,E154,E155)/SUM(E198,E202,E204,E205)</f>
        <v>1.46476208058338</v>
      </c>
      <c r="F341" s="219">
        <f>SUM(F144,F145,F149,F153,F154,F155)/SUM(F198,F202,F204,F205)</f>
        <v>1.6947324975494</v>
      </c>
      <c r="G341" s="219">
        <f>SUM(G144,G145,G149,G153,G154,G155)/SUM(G198,G202,G204,G205)</f>
        <v>1.81848654990363</v>
      </c>
      <c r="I341" s="219">
        <f>SUM(I144,I145,I149,I153,I154,I155)/SUM(I198,I202,I204,I205)</f>
        <v>1.78333088343378</v>
      </c>
      <c r="J341" s="219">
        <f>SUM(J144,J145,J149,J153,J154,J155)/SUM(J198,J202,J204,J205)</f>
        <v>1.65566100788665</v>
      </c>
      <c r="K341" s="219">
        <f>SUM(K144,K145,K149,K153,K154,K155)/SUM(K198,K202,K204,K205)</f>
        <v>1.70357740316562</v>
      </c>
      <c r="L341" s="219">
        <f>SUM(L144,L145,L149,L153,L154,L155)/SUM(L198,L202,L204,L205)</f>
        <v>1.61215289121202</v>
      </c>
      <c r="N341" s="219">
        <f>SUM(N144,N145,N149,N153,N154,N155)/SUM(N198,N202,N204,N205)</f>
        <v>1.36139283299527</v>
      </c>
      <c r="O341" s="219">
        <f>SUM(O144,O145,O149,O153,O154,O155)/SUM(O198,O202,O204,O205)</f>
        <v>1.26495466747708</v>
      </c>
      <c r="P341" s="219">
        <f>SUM(P144,P145,P149,P153,P154,P155)/SUM(P198,P202,P204,P205)</f>
        <v>1.24804442298407</v>
      </c>
      <c r="Q341" s="219">
        <f>SUM(Q144,Q145,Q149,Q153,Q154,Q155)/SUM(Q198,Q202,Q204,Q205)</f>
        <v>1.43564181217555</v>
      </c>
      <c r="S341" s="219">
        <f>SUM(S144,S145,S149,S153,S154,S155)/SUM(S198,S202,S204,S205)</f>
        <v>1.26745320677726</v>
      </c>
      <c r="T341" s="219">
        <f>SUM(T144,T145,T149,T153,T154,T155)/SUM(T198,T202,T204,T205)</f>
        <v>1.27493026499303</v>
      </c>
      <c r="U341" s="219">
        <f>SUM(U144,U145,U149,U153,U154,U155)/SUM(U198,U202,U204,U205)</f>
        <v>1.31855434636571</v>
      </c>
      <c r="V341" s="219">
        <f>SUM(V144,V145,V149,V153,V154,V155)/SUM(V198,V202,V204,V205)</f>
        <v>1.30919439174494</v>
      </c>
      <c r="X341" s="219">
        <f>SUM(X144,X145,X149,X153,X154,X155)/SUM(X198,X202,X204,X205)</f>
        <v>1.14667705088266</v>
      </c>
      <c r="Y341" s="219">
        <f>SUM(Y144,Y145,Y149,Y153,Y154,Y155)/SUM(Y198,Y202,Y204,Y205)</f>
        <v>1.20802225150051</v>
      </c>
      <c r="Z341" s="219">
        <f>SUM(Z144,Z145,Z149,Z153,Z154,Z155)/SUM(Z198,Z202,Z204,Z205)</f>
        <v>1.153225219984</v>
      </c>
      <c r="AA341" s="219">
        <f>SUM(AA144,AA145,AA149,AA153,AA154,AA155)/SUM(AA198,AA202,AA204,AA205)</f>
        <v>1.11036136742409</v>
      </c>
      <c r="AC341" s="219">
        <f>SUM(AC144,AC145,AC149,AC153,AC154,AC155)/SUM(AC198,AC202,AC204,AC205)</f>
        <v>1.16257136815394</v>
      </c>
      <c r="AD341" s="219">
        <f>SUM(AD144,AD145,AD149,AD153,AD154,AD155)/SUM(AD198,AD202,AD204,AD205)</f>
        <v>1.27826842996385</v>
      </c>
      <c r="AE341" s="219">
        <f>SUM(AE144,AE145,AE149,AE153,AE154,AE155)/SUM(AE198,AE202,AE204,AE205)</f>
        <v>1.38558724913747</v>
      </c>
      <c r="AF341" s="219">
        <f>SUM(AF144,AF145,AF149,AF153,AF154,AF155)/SUM(AF198,AF202,AF204,AF205)</f>
        <v>1.65733079808829</v>
      </c>
      <c r="AH341" s="219">
        <f>SUM(AH144,AH145,AH149,AH153,AH154,AH155)/SUM(AH198,AH202,AH204,AH205)</f>
        <v>1.7629857422421</v>
      </c>
      <c r="AI341" s="219">
        <f>SUM(AI144,AI145,AI149,AI153,AI154,AI155)/SUM(AI198,AI202,AI204,AI205)</f>
        <v>1.81578103282369</v>
      </c>
      <c r="AJ341" s="219">
        <f>SUM(AJ144,AJ145,AJ149,AJ153,AJ154,AJ155)/SUM(AJ198,AJ202,AJ204,AJ205)</f>
        <v>12.4004016064257</v>
      </c>
      <c r="AK341" s="219">
        <f>SUM(AK144,AK145,AK149,AK153,AK154,AK155)/SUM(AK198,AK202,AK204,AK205)</f>
        <v>12.8710843373494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0.506858531115679</v>
      </c>
      <c r="E342" s="219">
        <f>SUM(E144)/SUM(E198,E202,E204,E205)</f>
        <v>0.463239027091891</v>
      </c>
      <c r="F342" s="219">
        <f>SUM(F144)/SUM(F198,F202,F204,F205)</f>
        <v>0.58737037610277</v>
      </c>
      <c r="G342" s="219">
        <f>SUM(G144)/SUM(G198,G202,G204,G205)</f>
        <v>0.766194586440962</v>
      </c>
      <c r="I342" s="219">
        <f>SUM(I144)/SUM(I198,I202,I204,I205)</f>
        <v>0.623548434514185</v>
      </c>
      <c r="J342" s="219">
        <f>SUM(J144)/SUM(J198,J202,J204,J205)</f>
        <v>0.614089025531346</v>
      </c>
      <c r="K342" s="219">
        <f>SUM(K144)/SUM(K198,K202,K204,K205)</f>
        <v>0.727126495946468</v>
      </c>
      <c r="L342" s="219">
        <f>SUM(L144)/SUM(L198,L202,L204,L205)</f>
        <v>0.632734400522705</v>
      </c>
      <c r="N342" s="219">
        <f>SUM(N144)/SUM(N198,N202,N204,N205)</f>
        <v>0.432781158440388</v>
      </c>
      <c r="O342" s="219">
        <f>SUM(O144)/SUM(O198,O202,O204,O205)</f>
        <v>0.454642151648686</v>
      </c>
      <c r="P342" s="219">
        <f>SUM(P144)/SUM(P198,P202,P204,P205)</f>
        <v>0.488990825688073</v>
      </c>
      <c r="Q342" s="219">
        <f>SUM(Q144)/SUM(Q198,Q202,Q204,Q205)</f>
        <v>0.561526663520529</v>
      </c>
      <c r="S342" s="219">
        <f>SUM(S144)/SUM(S198,S202,S204,S205)</f>
        <v>0.532422602678968</v>
      </c>
      <c r="T342" s="219">
        <f>SUM(T144)/SUM(T198,T202,T204,T205)</f>
        <v>0.547594142259414</v>
      </c>
      <c r="U342" s="219">
        <f>SUM(U144)/SUM(U198,U202,U204,U205)</f>
        <v>0.532177885261319</v>
      </c>
      <c r="V342" s="219">
        <f>SUM(V144)/SUM(V198,V202,V204,V205)</f>
        <v>0.433390403035491</v>
      </c>
      <c r="X342" s="219">
        <f>SUM(X144)/SUM(X198,X202,X204,X205)</f>
        <v>0.38729417000445</v>
      </c>
      <c r="Y342" s="219">
        <f>SUM(Y144)/SUM(Y198,Y202,Y204,Y205)</f>
        <v>0.501683501683502</v>
      </c>
      <c r="Z342" s="219">
        <f>SUM(Z144)/SUM(Z198,Z202,Z204,Z205)</f>
        <v>0.50679950549051</v>
      </c>
      <c r="AA342" s="219">
        <f>SUM(AA144)/SUM(AA198,AA202,AA204,AA205)</f>
        <v>0.440144709564652</v>
      </c>
      <c r="AC342" s="219">
        <f>SUM(AC144)/SUM(AC198,AC202,AC204,AC205)</f>
        <v>0.355973778811588</v>
      </c>
      <c r="AD342" s="219">
        <f>SUM(AD144)/SUM(AD198,AD202,AD204,AD205)</f>
        <v>0.438841349013865</v>
      </c>
      <c r="AE342" s="219">
        <f>SUM(AE144)/SUM(AE198,AE202,AE204,AE205)</f>
        <v>0.618688954759707</v>
      </c>
      <c r="AF342" s="219">
        <f>SUM(AF144)/SUM(AF198,AF202,AF204,AF205)</f>
        <v>0.527776350274937</v>
      </c>
      <c r="AH342" s="219">
        <f>SUM(AH144)/SUM(AH198,AH202,AH204,AH205)</f>
        <v>0.591221694157115</v>
      </c>
      <c r="AI342" s="219">
        <f>SUM(AI144)/SUM(AI198,AI202,AI204,AI205)</f>
        <v>0.689992515770341</v>
      </c>
      <c r="AJ342" s="219">
        <f>SUM(AJ144)/SUM(AJ198,AJ202,AJ204,AJ205)</f>
        <v>7.30803212851406</v>
      </c>
      <c r="AK342" s="219">
        <f>SUM(AK144)/SUM(AK198,AK202,AK204,AK205)</f>
        <v>7.77871485943775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0.0823244552058111</v>
      </c>
      <c r="E345" s="238">
        <f>E347/E350</f>
        <v>0.0442515026438419</v>
      </c>
      <c r="F345" s="238">
        <f>F347/F350</f>
        <v>0.0469955269908177</v>
      </c>
      <c r="G345" s="238">
        <f>G347/G350</f>
        <v>0.0389299842683286</v>
      </c>
      <c r="H345" s="238">
        <f>H347/H350</f>
        <v>0.191198769051997</v>
      </c>
      <c r="I345" s="222">
        <f>I347/I350</f>
        <v>0.0550171669217731</v>
      </c>
      <c r="J345" s="222">
        <f>J347/J350</f>
        <v>0.0557680934462605</v>
      </c>
      <c r="K345" s="222">
        <f>K347/K350</f>
        <v>0.0627253242349759</v>
      </c>
      <c r="L345" s="222">
        <f>L347/L350</f>
        <v>0.0320648498359342</v>
      </c>
      <c r="M345" s="222">
        <f>M347/M350</f>
        <v>0.188451621685628</v>
      </c>
      <c r="N345" s="222">
        <f>N347/N350</f>
        <v>0.0651936069145978</v>
      </c>
      <c r="O345" s="222">
        <f>O347/O350</f>
        <v>0.0503416609608483</v>
      </c>
      <c r="P345" s="222">
        <f>P347/P350</f>
        <v>0.0704797918110137</v>
      </c>
      <c r="Q345" s="222">
        <f>Q347/Q350</f>
        <v>0.0425492445020695</v>
      </c>
      <c r="R345" s="222">
        <f>R347/R350</f>
        <v>0.222775294536738</v>
      </c>
      <c r="S345" s="222">
        <f>S347/S350</f>
        <v>0.0713683049957856</v>
      </c>
      <c r="T345" s="222">
        <f>T347/T350</f>
        <v>0.0596449380070822</v>
      </c>
      <c r="U345" s="222">
        <f>U347/U350</f>
        <v>0.0798775724141642</v>
      </c>
      <c r="V345" s="222">
        <f>V347/V350</f>
        <v>0.0471317297023996</v>
      </c>
      <c r="W345" s="222">
        <f>W347/W350</f>
        <v>0.242217862732983</v>
      </c>
      <c r="X345" s="222">
        <f>X347/X350</f>
        <v>0.0475658966746837</v>
      </c>
      <c r="Y345" s="222">
        <f>Y347/Y350</f>
        <v>0.0561730863993766</v>
      </c>
      <c r="Z345" s="222">
        <f>Z347/Z350</f>
        <v>0.0509048517977486</v>
      </c>
      <c r="AA345" s="222">
        <f>AA347/AA350</f>
        <v>0.0497450298549821</v>
      </c>
      <c r="AB345" s="222">
        <f>AB347/AB350</f>
        <v>0.189322085575929</v>
      </c>
      <c r="AC345" s="222">
        <f>AC347/AC350</f>
        <v>0.0640345243358023</v>
      </c>
      <c r="AD345" s="222">
        <f>AD347/AD350</f>
        <v>0.0697530886947289</v>
      </c>
      <c r="AE345" s="222">
        <f>AE347/AE350</f>
        <v>0.0734338517675591</v>
      </c>
      <c r="AF345" s="222">
        <f>AF347/AF350</f>
        <v>0.0287224990079595</v>
      </c>
      <c r="AG345" s="222">
        <f>AG347/AG350</f>
        <v>0.225489848441483</v>
      </c>
      <c r="AH345" s="222">
        <f>AH347/AH350</f>
        <v>0.0736157566849316</v>
      </c>
      <c r="AI345" s="222">
        <f>AI347/AI350</f>
        <v>0.0744026195153897</v>
      </c>
      <c r="AJ345" s="222">
        <f>AJ347/AJ350</f>
        <v>0</v>
      </c>
      <c r="AK345" s="222">
        <f>AK347/AK350</f>
        <v>0</v>
      </c>
      <c r="AL345" s="222">
        <f>AL347/AL350</f>
        <v>0.167677540426172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0.21726307510814</v>
      </c>
      <c r="E346" s="238">
        <f>E347/E351</f>
        <v>0.0824999926013307</v>
      </c>
      <c r="F346" s="238">
        <f>F347/F351</f>
        <v>0.082866683395353</v>
      </c>
      <c r="G346" s="238">
        <f>G347/G351</f>
        <v>0.0730258570220489</v>
      </c>
      <c r="H346" s="238">
        <f>H347/H351</f>
        <v>0.358655525657173</v>
      </c>
      <c r="I346" s="222">
        <f>I347/I351</f>
        <v>0.0976028374471365</v>
      </c>
      <c r="J346" s="222">
        <f>J347/J351</f>
        <v>0.101597395691717</v>
      </c>
      <c r="K346" s="222">
        <f>K347/K351</f>
        <v>0.118520591753781</v>
      </c>
      <c r="L346" s="222">
        <f>L347/L351</f>
        <v>0.0581551842214951</v>
      </c>
      <c r="M346" s="222">
        <f>M347/M351</f>
        <v>0.341789805099454</v>
      </c>
      <c r="N346" s="222">
        <f>N347/N351</f>
        <v>0.121759964036495</v>
      </c>
      <c r="O346" s="222">
        <f>O347/O351</f>
        <v>0.098483706514082</v>
      </c>
      <c r="P346" s="222">
        <f>P347/P351</f>
        <v>0.143995845994036</v>
      </c>
      <c r="Q346" s="222">
        <f>Q347/Q351</f>
        <v>0.0800262614894016</v>
      </c>
      <c r="R346" s="222">
        <f>R347/R351</f>
        <v>0.418993901833164</v>
      </c>
      <c r="S346" s="222">
        <f>S347/S351</f>
        <v>0.147289093280971</v>
      </c>
      <c r="T346" s="222">
        <f>T347/T351</f>
        <v>0.125911135906755</v>
      </c>
      <c r="U346" s="222">
        <f>U347/U351</f>
        <v>0.162510486142575</v>
      </c>
      <c r="V346" s="222">
        <f>V347/V351</f>
        <v>0.0898999712068557</v>
      </c>
      <c r="W346" s="222">
        <f>W347/W351</f>
        <v>0.462011027878162</v>
      </c>
      <c r="X346" s="222">
        <f>X347/X351</f>
        <v>0.0936023026510851</v>
      </c>
      <c r="Y346" s="222">
        <f>Y347/Y351</f>
        <v>0.110839592065221</v>
      </c>
      <c r="Z346" s="222">
        <f>Z347/Z351</f>
        <v>0.0924604682543991</v>
      </c>
      <c r="AA346" s="222">
        <f>AA347/AA351</f>
        <v>0.0861144412431127</v>
      </c>
      <c r="AB346" s="222">
        <f>AB347/AB351</f>
        <v>0.327738583369632</v>
      </c>
      <c r="AC346" s="222">
        <f>AC347/AC351</f>
        <v>0.105025653029132</v>
      </c>
      <c r="AD346" s="222">
        <f>AD347/AD351</f>
        <v>0.113158059830689</v>
      </c>
      <c r="AE346" s="222">
        <f>AE347/AE351</f>
        <v>0.120556557966795</v>
      </c>
      <c r="AF346" s="222">
        <f>AF347/AF351</f>
        <v>0.0415723873038152</v>
      </c>
      <c r="AG346" s="222">
        <f>AG347/AG351</f>
        <v>0.326369627861774</v>
      </c>
      <c r="AH346" s="222">
        <f>AH347/AH351</f>
        <v>0.105556194936895</v>
      </c>
      <c r="AI346" s="222">
        <f>AI347/AI351</f>
        <v>0.106847233194147</v>
      </c>
      <c r="AJ346" s="222">
        <f>AJ347/AJ351</f>
        <v>0</v>
      </c>
      <c r="AK346" s="222">
        <f>AK347/AK351</f>
        <v>0</v>
      </c>
      <c r="AL346" s="222">
        <f>AL347/AL351</f>
        <v>0.251873117724729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2210</v>
      </c>
      <c r="E347" s="233">
        <f>E348*(1-E349)</f>
        <v>1586.06235776058</v>
      </c>
      <c r="F347" s="233">
        <f>F348*(1-F349)</f>
        <v>1833.34250343879</v>
      </c>
      <c r="G347" s="233">
        <f>G348*(1-G349)</f>
        <v>1459.64083015671</v>
      </c>
      <c r="H347" s="233">
        <f>H348*(1-H349)</f>
        <v>7168.80664683557</v>
      </c>
      <c r="I347" s="223">
        <f>I348*(1-I349)</f>
        <v>2221.53818313427</v>
      </c>
      <c r="J347" s="224">
        <f>J348*(1-J349)</f>
        <v>2187.39192924268</v>
      </c>
      <c r="K347" s="224">
        <f>K348*(1-K349)</f>
        <v>2325.72957198444</v>
      </c>
      <c r="L347" s="224">
        <f>L348*(1-L349)</f>
        <v>1383.91891891892</v>
      </c>
      <c r="M347" s="224">
        <f>M348*(1-M349)</f>
        <v>8133.57199195171</v>
      </c>
      <c r="N347" s="223">
        <f>N348*(1-N349)</f>
        <v>2750.19230769231</v>
      </c>
      <c r="O347" s="224">
        <f>O348*(1-O349)</f>
        <v>1947.41681260946</v>
      </c>
      <c r="P347" s="224">
        <f>P348*(1-P349)</f>
        <v>2530.2950058072</v>
      </c>
      <c r="Q347" s="224">
        <f>Q348*(1-Q349)</f>
        <v>1706.48</v>
      </c>
      <c r="R347" s="224">
        <f>R348*(1-R349)</f>
        <v>8934.6259626904</v>
      </c>
      <c r="S347" s="223">
        <f>S348*(1-S349)</f>
        <v>2586.10189982729</v>
      </c>
      <c r="T347" s="224">
        <f>T348*(1-T349)</f>
        <v>2101.70868055556</v>
      </c>
      <c r="U347" s="224">
        <f>U348*(1-U349)</f>
        <v>2850.27141645462</v>
      </c>
      <c r="V347" s="224">
        <f>V348*(1-V349)</f>
        <v>1818.7663174859</v>
      </c>
      <c r="W347" s="224">
        <f>W348*(1-W349)</f>
        <v>9346.94510500309</v>
      </c>
      <c r="X347" s="223">
        <f>X348*(1-X349)</f>
        <v>1761.12732438017</v>
      </c>
      <c r="Y347" s="224">
        <f>Y348*(1-Y349)</f>
        <v>2086.99867899604</v>
      </c>
      <c r="Z347" s="224">
        <f>Z348*(1-Z349)</f>
        <v>2116.4201183432</v>
      </c>
      <c r="AA347" s="224">
        <f>AA348*(1-AA349)</f>
        <v>2136.49928724163</v>
      </c>
      <c r="AB347" s="224">
        <f>AB348*(1-AB349)</f>
        <v>8131.19425340058</v>
      </c>
      <c r="AC347" s="223">
        <f>AC348*(1-AC349)</f>
        <v>3007.82967710131</v>
      </c>
      <c r="AD347" s="224">
        <f>AD348*(1-AD349)</f>
        <v>3393.83653044204</v>
      </c>
      <c r="AE347" s="224">
        <f>AE348*(1-AE349)</f>
        <v>3506.02581879034</v>
      </c>
      <c r="AF347" s="224">
        <f>AF348*(1-AF349)</f>
        <v>1439.4854827819</v>
      </c>
      <c r="AG347" s="224">
        <f>AG348*(1-AG349)</f>
        <v>11300.8747343418</v>
      </c>
      <c r="AH347" s="223">
        <f>AH348*(1-AH349)</f>
        <v>3749.25048796357</v>
      </c>
      <c r="AI347" s="224">
        <f>AI348*(1-AI349)</f>
        <v>3787.09333333333</v>
      </c>
      <c r="AJ347" s="224">
        <f>AJ348*(1-AJ349)</f>
        <v>0</v>
      </c>
      <c r="AK347" s="224">
        <f>AK348*(1-AK349)</f>
        <v>0</v>
      </c>
      <c r="AL347" s="224">
        <f>AL348*(1-AL349)</f>
        <v>7752.9064366849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2380</v>
      </c>
      <c r="E348" s="239">
        <f>E73</f>
        <v>1981</v>
      </c>
      <c r="F348" s="239">
        <f>F73</f>
        <v>2298</v>
      </c>
      <c r="G348" s="239">
        <f>G73</f>
        <v>2338</v>
      </c>
      <c r="H348" s="239">
        <f>H73</f>
        <v>8997</v>
      </c>
      <c r="I348" s="36">
        <f>I73</f>
        <v>2722</v>
      </c>
      <c r="J348" s="36">
        <f>J73</f>
        <v>3016</v>
      </c>
      <c r="K348" s="36">
        <f>K73</f>
        <v>2898</v>
      </c>
      <c r="L348" s="36">
        <f>L73</f>
        <v>1672</v>
      </c>
      <c r="M348" s="36">
        <f>M73</f>
        <v>10308</v>
      </c>
      <c r="N348" s="36">
        <f>N73</f>
        <v>3405</v>
      </c>
      <c r="O348" s="36">
        <f>O73</f>
        <v>2341</v>
      </c>
      <c r="P348" s="36">
        <f>P73</f>
        <v>3088</v>
      </c>
      <c r="Q348" s="36">
        <f>Q73</f>
        <v>2075</v>
      </c>
      <c r="R348" s="36">
        <f>R73</f>
        <v>10909</v>
      </c>
      <c r="S348" s="36">
        <f>S73</f>
        <v>3367</v>
      </c>
      <c r="T348" s="36">
        <f>T73</f>
        <v>2401</v>
      </c>
      <c r="U348" s="36">
        <f>U73</f>
        <v>3270</v>
      </c>
      <c r="V348" s="36">
        <f>V73</f>
        <v>2273</v>
      </c>
      <c r="W348" s="36">
        <f>W73</f>
        <v>11311</v>
      </c>
      <c r="X348" s="36">
        <f>X73</f>
        <v>2141</v>
      </c>
      <c r="Y348" s="36">
        <f>Y73</f>
        <v>2632</v>
      </c>
      <c r="Z348" s="36">
        <f>Z73</f>
        <v>2510</v>
      </c>
      <c r="AA348" s="36">
        <f>AA73</f>
        <v>2709</v>
      </c>
      <c r="AB348" s="36">
        <f>AB73</f>
        <v>9992</v>
      </c>
      <c r="AC348" s="36">
        <f>AC73</f>
        <v>3659</v>
      </c>
      <c r="AD348" s="36">
        <f>AD73</f>
        <v>4280</v>
      </c>
      <c r="AE348" s="36">
        <f>AE73</f>
        <v>3982</v>
      </c>
      <c r="AF348" s="36">
        <f>AF73</f>
        <v>1841</v>
      </c>
      <c r="AG348" s="36">
        <f>AG73</f>
        <v>13762</v>
      </c>
      <c r="AH348" s="36">
        <f>AH73</f>
        <v>4359</v>
      </c>
      <c r="AI348" s="36">
        <f>AI73</f>
        <v>4672</v>
      </c>
      <c r="AJ348" s="36">
        <f>AJ73</f>
        <v>0</v>
      </c>
      <c r="AK348" s="36">
        <f>AK73</f>
        <v>0</v>
      </c>
      <c r="AL348" s="36">
        <f>AL73</f>
        <v>9031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0.0714285714285714</v>
      </c>
      <c r="E349" s="240">
        <f>E132</f>
        <v>0.199362767410105</v>
      </c>
      <c r="F349" s="240">
        <f>F132</f>
        <v>0.202200825309491</v>
      </c>
      <c r="G349" s="240">
        <f>G132</f>
        <v>0.375688267683185</v>
      </c>
      <c r="H349" s="240">
        <f>H132</f>
        <v>0.203200328238794</v>
      </c>
      <c r="I349" s="225">
        <f>I132</f>
        <v>0.183858125226203</v>
      </c>
      <c r="J349" s="225">
        <f>J132</f>
        <v>0.274737423991155</v>
      </c>
      <c r="K349" s="225">
        <f>K132</f>
        <v>0.197470817120623</v>
      </c>
      <c r="L349" s="225">
        <f>L132</f>
        <v>0.172297297297297</v>
      </c>
      <c r="M349" s="225">
        <f>M132</f>
        <v>0.210945674044266</v>
      </c>
      <c r="N349" s="225">
        <f>N132</f>
        <v>0.192307692307692</v>
      </c>
      <c r="O349" s="225">
        <f>O132</f>
        <v>0.168126094570928</v>
      </c>
      <c r="P349" s="225">
        <f>P132</f>
        <v>0.180603948896632</v>
      </c>
      <c r="Q349" s="225">
        <f>Q132</f>
        <v>0.1776</v>
      </c>
      <c r="R349" s="225">
        <f>R132</f>
        <v>0.180985794968338</v>
      </c>
      <c r="S349" s="225">
        <f>S132</f>
        <v>0.231926967678263</v>
      </c>
      <c r="T349" s="225">
        <f>T132</f>
        <v>0.124652777777778</v>
      </c>
      <c r="U349" s="225">
        <f>U132</f>
        <v>0.128357364998586</v>
      </c>
      <c r="V349" s="225">
        <f>V132</f>
        <v>0.199838839645447</v>
      </c>
      <c r="W349" s="225">
        <f>W132</f>
        <v>0.173641136504015</v>
      </c>
      <c r="X349" s="225">
        <f>X132</f>
        <v>0.177427685950413</v>
      </c>
      <c r="Y349" s="225">
        <f>Y132</f>
        <v>0.207067371202114</v>
      </c>
      <c r="Z349" s="225">
        <f>Z132</f>
        <v>0.156804733727811</v>
      </c>
      <c r="AA349" s="225">
        <f>AA132</f>
        <v>0.211332858161083</v>
      </c>
      <c r="AB349" s="225">
        <f>AB132</f>
        <v>0.186229558306587</v>
      </c>
      <c r="AC349" s="225">
        <f>AC132</f>
        <v>0.177964012817353</v>
      </c>
      <c r="AD349" s="225">
        <f>AD132</f>
        <v>0.207047539616347</v>
      </c>
      <c r="AE349" s="225">
        <f>AE132</f>
        <v>0.11953143676787</v>
      </c>
      <c r="AF349" s="225">
        <f>AF132</f>
        <v>0.218095881161377</v>
      </c>
      <c r="AG349" s="225">
        <f>AG132</f>
        <v>0.178834854356795</v>
      </c>
      <c r="AH349" s="225">
        <f>AH132</f>
        <v>0.139882888744307</v>
      </c>
      <c r="AI349" s="225">
        <f>AI132</f>
        <v>0.189406392694064</v>
      </c>
      <c r="AJ349" s="225">
        <f>AJ132</f>
        <v>0</v>
      </c>
      <c r="AK349" s="225">
        <f>AK132</f>
        <v>0</v>
      </c>
      <c r="AL349" s="225">
        <f>AL132</f>
        <v>0.141522928060581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26845</v>
      </c>
      <c r="E350" s="239">
        <f>E353-E354+E355</f>
        <v>35842</v>
      </c>
      <c r="F350" s="239">
        <f>F353-F354+F355</f>
        <v>39011</v>
      </c>
      <c r="G350" s="239">
        <f>G353-G354+G355</f>
        <v>37494</v>
      </c>
      <c r="H350" s="239">
        <f>H353-H354+H355</f>
        <v>37494</v>
      </c>
      <c r="I350" s="36">
        <f>I353-I354+I355</f>
        <v>40379</v>
      </c>
      <c r="J350" s="36">
        <f>J353-J354+J355</f>
        <v>39223</v>
      </c>
      <c r="K350" s="36">
        <f>K353-K354+K355</f>
        <v>37078</v>
      </c>
      <c r="L350" s="36">
        <f>L353-L354+L355</f>
        <v>43160</v>
      </c>
      <c r="M350" s="36">
        <f>M353-M354+M355</f>
        <v>43160</v>
      </c>
      <c r="N350" s="36">
        <f>N353-N354+N355</f>
        <v>42185</v>
      </c>
      <c r="O350" s="36">
        <f>O353-O354+O355</f>
        <v>38684</v>
      </c>
      <c r="P350" s="36">
        <f>P353-P354+P355</f>
        <v>35901</v>
      </c>
      <c r="Q350" s="36">
        <f>Q353-Q354+Q355</f>
        <v>40106</v>
      </c>
      <c r="R350" s="36">
        <f>R353-R354+R355</f>
        <v>40106</v>
      </c>
      <c r="S350" s="36">
        <f>S353-S354+S355</f>
        <v>36236</v>
      </c>
      <c r="T350" s="36">
        <f>T353-T354+T355</f>
        <v>35237</v>
      </c>
      <c r="U350" s="36">
        <f>U353-U354+U355</f>
        <v>35683</v>
      </c>
      <c r="V350" s="36">
        <f>V353-V354+V355</f>
        <v>38589</v>
      </c>
      <c r="W350" s="36">
        <f>W353-W354+W355</f>
        <v>38589</v>
      </c>
      <c r="X350" s="36">
        <f>X353-X354+X355</f>
        <v>37025</v>
      </c>
      <c r="Y350" s="36">
        <f>Y353-Y354+Y355</f>
        <v>37153</v>
      </c>
      <c r="Z350" s="36">
        <f>Z353-Z354+Z355</f>
        <v>41576</v>
      </c>
      <c r="AA350" s="36">
        <f>AA353-AA354+AA355</f>
        <v>42949</v>
      </c>
      <c r="AB350" s="36">
        <f>AB353-AB354+AB355</f>
        <v>42949</v>
      </c>
      <c r="AC350" s="36">
        <f>AC353-AC354+AC355</f>
        <v>46972</v>
      </c>
      <c r="AD350" s="36">
        <f>AD353-AD354+AD355</f>
        <v>48655</v>
      </c>
      <c r="AE350" s="36">
        <f>AE353-AE354+AE355</f>
        <v>47744</v>
      </c>
      <c r="AF350" s="36">
        <f>AF353-AF354+AF355</f>
        <v>50117</v>
      </c>
      <c r="AG350" s="36">
        <f>AG353-AG354+AG355</f>
        <v>50117</v>
      </c>
      <c r="AH350" s="36">
        <f>AH353-AH354+AH355</f>
        <v>50930</v>
      </c>
      <c r="AI350" s="36">
        <f>AI353-AI354+AI355</f>
        <v>50900</v>
      </c>
      <c r="AJ350" s="36">
        <f>AJ353-AJ354+AJ355</f>
        <v>46237</v>
      </c>
      <c r="AK350" s="36">
        <f>AK353-AK354+AK355</f>
        <v>46237</v>
      </c>
      <c r="AL350" s="36">
        <f>AL353-AL354+AL355</f>
        <v>46237</v>
      </c>
      <c r="AM350" s="36" t="e">
        <f>AM353-AM354+AM355</f>
        <v>#DIV/0!</v>
      </c>
      <c r="AN350" s="36">
        <f>AN353-AN354+AN355</f>
        <v>46237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10172</v>
      </c>
      <c r="E351" s="241">
        <f>E350-E179</f>
        <v>19225</v>
      </c>
      <c r="F351" s="241">
        <f>F350-F179</f>
        <v>22124</v>
      </c>
      <c r="G351" s="241">
        <f>G350-G179</f>
        <v>19988</v>
      </c>
      <c r="H351" s="241">
        <f>H350-H179</f>
        <v>19988</v>
      </c>
      <c r="I351" s="226">
        <f>I350-I179</f>
        <v>22761</v>
      </c>
      <c r="J351" s="226">
        <f>J350-J179</f>
        <v>21530</v>
      </c>
      <c r="K351" s="226">
        <f>K350-K179</f>
        <v>19623</v>
      </c>
      <c r="L351" s="226">
        <f>L350-L179</f>
        <v>23797</v>
      </c>
      <c r="M351" s="226">
        <f>M350-M179</f>
        <v>23797</v>
      </c>
      <c r="N351" s="226">
        <f>N350-N179</f>
        <v>22587</v>
      </c>
      <c r="O351" s="226">
        <f>O350-O179</f>
        <v>19774</v>
      </c>
      <c r="P351" s="226">
        <f>P350-P179</f>
        <v>17572</v>
      </c>
      <c r="Q351" s="226">
        <f>Q350-Q179</f>
        <v>21324</v>
      </c>
      <c r="R351" s="226">
        <f>R350-R179</f>
        <v>21324</v>
      </c>
      <c r="S351" s="226">
        <f>S350-S179</f>
        <v>17558</v>
      </c>
      <c r="T351" s="226">
        <f>T350-T179</f>
        <v>16692</v>
      </c>
      <c r="U351" s="226">
        <f>U350-U179</f>
        <v>17539</v>
      </c>
      <c r="V351" s="226">
        <f>V350-V179</f>
        <v>20231</v>
      </c>
      <c r="W351" s="226">
        <f>W350-W179</f>
        <v>20231</v>
      </c>
      <c r="X351" s="226">
        <f>X350-X179</f>
        <v>18815</v>
      </c>
      <c r="Y351" s="226">
        <f>Y350-Y179</f>
        <v>18829</v>
      </c>
      <c r="Z351" s="226">
        <f>Z350-Z179</f>
        <v>22890</v>
      </c>
      <c r="AA351" s="226">
        <f>AA350-AA179</f>
        <v>24810</v>
      </c>
      <c r="AB351" s="226">
        <f>AB350-AB179</f>
        <v>24810</v>
      </c>
      <c r="AC351" s="226">
        <f>AC350-AC179</f>
        <v>28639</v>
      </c>
      <c r="AD351" s="226">
        <f>AD350-AD179</f>
        <v>29992</v>
      </c>
      <c r="AE351" s="226">
        <f>AE350-AE179</f>
        <v>29082</v>
      </c>
      <c r="AF351" s="226">
        <f>AF350-AF179</f>
        <v>34626</v>
      </c>
      <c r="AG351" s="226">
        <f>AG350-AG179</f>
        <v>34626</v>
      </c>
      <c r="AH351" s="226">
        <f>AH350-AH179</f>
        <v>35519</v>
      </c>
      <c r="AI351" s="226">
        <f>AI350-AI179</f>
        <v>35444</v>
      </c>
      <c r="AJ351" s="226">
        <f>AJ350-AJ179</f>
        <v>30781</v>
      </c>
      <c r="AK351" s="226">
        <f>AK350-AK179</f>
        <v>30781</v>
      </c>
      <c r="AL351" s="226">
        <f>AL350-AL179</f>
        <v>30781</v>
      </c>
      <c r="AM351" s="226" t="e">
        <f>AM350-AM179</f>
        <v>#DIV/0!</v>
      </c>
      <c r="AN351" s="226">
        <f>AN350-AN179</f>
        <v>30781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-9807</v>
      </c>
      <c r="E352" s="242">
        <f>E353-E354</f>
        <v>33</v>
      </c>
      <c r="F352" s="242">
        <f>F353-F354</f>
        <v>2081</v>
      </c>
      <c r="G352" s="242">
        <f>G353-G354</f>
        <v>624</v>
      </c>
      <c r="H352" s="242">
        <f>H353-H354</f>
        <v>624</v>
      </c>
      <c r="I352" s="36">
        <f>I353-I354</f>
        <v>2174</v>
      </c>
      <c r="J352" s="36">
        <f>J353-J354</f>
        <v>622</v>
      </c>
      <c r="K352" s="36">
        <f>K353-K354</f>
        <v>-366</v>
      </c>
      <c r="L352" s="36">
        <f>L353-L354</f>
        <v>-315</v>
      </c>
      <c r="M352" s="36">
        <f>M353-M354</f>
        <v>-315</v>
      </c>
      <c r="N352" s="36">
        <f>N353-N354</f>
        <v>-1267</v>
      </c>
      <c r="O352" s="36">
        <f>O353-O354</f>
        <v>-3745</v>
      </c>
      <c r="P352" s="36">
        <f>P353-P354</f>
        <v>-4990</v>
      </c>
      <c r="Q352" s="36">
        <f>Q353-Q354</f>
        <v>-2134</v>
      </c>
      <c r="R352" s="36">
        <f>R353-R354</f>
        <v>-2134</v>
      </c>
      <c r="S352" s="36">
        <f>S353-S354</f>
        <v>-5974</v>
      </c>
      <c r="T352" s="36">
        <f>T353-T354</f>
        <v>-6256</v>
      </c>
      <c r="U352" s="36">
        <f>U353-U354</f>
        <v>-4770</v>
      </c>
      <c r="V352" s="36">
        <f>V353-V354</f>
        <v>-2684</v>
      </c>
      <c r="W352" s="36">
        <f>W353-W354</f>
        <v>-2684</v>
      </c>
      <c r="X352" s="36">
        <f>X353-X354</f>
        <v>-6488</v>
      </c>
      <c r="Y352" s="36">
        <f>Y353-Y354</f>
        <v>-8024</v>
      </c>
      <c r="Z352" s="36">
        <f>Z353-Z354</f>
        <v>-9724</v>
      </c>
      <c r="AA352" s="36">
        <f>AA353-AA354</f>
        <v>-8113</v>
      </c>
      <c r="AB352" s="36">
        <f>AB353-AB354</f>
        <v>-8113</v>
      </c>
      <c r="AC352" s="36">
        <f>AC353-AC354</f>
        <v>-4573</v>
      </c>
      <c r="AD352" s="36">
        <f>AD353-AD354</f>
        <v>-3509</v>
      </c>
      <c r="AE352" s="36">
        <f>AE353-AE354</f>
        <v>-4797</v>
      </c>
      <c r="AF352" s="36">
        <f>AF353-AF354</f>
        <v>2521</v>
      </c>
      <c r="AG352" s="36">
        <f>AG353-AG354</f>
        <v>2521</v>
      </c>
      <c r="AH352" s="36">
        <f>AH353-AH354</f>
        <v>3072</v>
      </c>
      <c r="AI352" s="36">
        <f>AI353-AI354</f>
        <v>2353</v>
      </c>
      <c r="AJ352" s="36">
        <f>AJ353-AJ354</f>
        <v>10190</v>
      </c>
      <c r="AK352" s="36">
        <f>AK353-AK354</f>
        <v>10190</v>
      </c>
      <c r="AL352" s="36">
        <f>AL353-AL354</f>
        <v>10190</v>
      </c>
      <c r="AM352" s="36" t="e">
        <f>AM353-AM354</f>
        <v>#DIV/0!</v>
      </c>
      <c r="AN352" s="36">
        <f>AN353-AN354</f>
        <v>10190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16948</v>
      </c>
      <c r="E353" s="241">
        <f>E145+E149+E153+E154+E155</f>
        <v>21700</v>
      </c>
      <c r="F353" s="241">
        <f>F145+F149+F153+F154+F155</f>
        <v>21464</v>
      </c>
      <c r="G353" s="241">
        <f>G145+G149+G153+G154+G155</f>
        <v>12557</v>
      </c>
      <c r="H353" s="241">
        <f>H145+H149+H153+H154+H155</f>
        <v>12557</v>
      </c>
      <c r="I353" s="226">
        <f>I145+I149+I153+I154+I155</f>
        <v>15780</v>
      </c>
      <c r="J353" s="226">
        <f>J145+J149+J153+J154+J155</f>
        <v>15584</v>
      </c>
      <c r="K353" s="226">
        <f>K145+K149+K153+K154+K155</f>
        <v>15176</v>
      </c>
      <c r="L353" s="226">
        <f>L145+L149+L153+L154+L155</f>
        <v>14990</v>
      </c>
      <c r="M353" s="226">
        <f>M145+M149+M153+M154+M155</f>
        <v>14990</v>
      </c>
      <c r="N353" s="226">
        <f>N145+N149+N153+N154+N155</f>
        <v>16481</v>
      </c>
      <c r="O353" s="226">
        <f>O145+O149+O153+O154+O155</f>
        <v>15998</v>
      </c>
      <c r="P353" s="226">
        <f>P145+P149+P153+P154+P155</f>
        <v>15720</v>
      </c>
      <c r="Q353" s="226">
        <f>Q145+Q149+Q153+Q154+Q155</f>
        <v>14818</v>
      </c>
      <c r="R353" s="226">
        <f>R145+R149+R153+R154+R155</f>
        <v>14818</v>
      </c>
      <c r="S353" s="226">
        <f>S145+S149+S153+S154+S155</f>
        <v>16572</v>
      </c>
      <c r="T353" s="226">
        <f>T145+T149+T153+T154+T155</f>
        <v>16688</v>
      </c>
      <c r="U353" s="226">
        <f>U145+U149+U153+U154+U155</f>
        <v>17559</v>
      </c>
      <c r="V353" s="226">
        <f>V145+V149+V153+V154+V155</f>
        <v>18927</v>
      </c>
      <c r="W353" s="226">
        <f>W145+W149+W153+W154+W155</f>
        <v>18927</v>
      </c>
      <c r="X353" s="226">
        <f>X145+X149+X153+X154+X155</f>
        <v>20476</v>
      </c>
      <c r="Y353" s="226">
        <f>Y145+Y149+Y153+Y154+Y155</f>
        <v>19300</v>
      </c>
      <c r="Z353" s="226">
        <f>Z145+Z149+Z153+Z154+Z155</f>
        <v>17778</v>
      </c>
      <c r="AA353" s="226">
        <f>AA145+AA149+AA153+AA154+AA155</f>
        <v>16488</v>
      </c>
      <c r="AB353" s="226">
        <f>AB145+AB149+AB153+AB154+AB155</f>
        <v>16488</v>
      </c>
      <c r="AC353" s="226">
        <f>AC145+AC149+AC153+AC154+AC155</f>
        <v>19072</v>
      </c>
      <c r="AD353" s="226">
        <f>AD145+AD149+AD153+AD154+AD155</f>
        <v>18344</v>
      </c>
      <c r="AE353" s="226">
        <f>AE145+AE149+AE153+AE154+AE155</f>
        <v>15782</v>
      </c>
      <c r="AF353" s="226">
        <f>AF145+AF149+AF153+AF154+AF155</f>
        <v>21980</v>
      </c>
      <c r="AG353" s="226">
        <f>AG145+AG149+AG153+AG154+AG155</f>
        <v>21980</v>
      </c>
      <c r="AH353" s="226">
        <f>AH145+AH149+AH153+AH154+AH155</f>
        <v>20957</v>
      </c>
      <c r="AI353" s="226">
        <f>AI145+AI149+AI153+AI154+AI155</f>
        <v>21059</v>
      </c>
      <c r="AJ353" s="226">
        <f>AJ145+AJ149+AJ153+AJ154+AJ155</f>
        <v>12680</v>
      </c>
      <c r="AK353" s="226">
        <f>AK145+AK149+AK153+AK154+AK155</f>
        <v>12680</v>
      </c>
      <c r="AL353" s="226">
        <f>AL145+AL149+AL153+AL154+AL155</f>
        <v>12680</v>
      </c>
      <c r="AM353" s="226">
        <f>AM145+AM149+AM153+AM154+AM155</f>
        <v>12680</v>
      </c>
      <c r="AN353" s="226">
        <f>AN145+AN149+AN153+AN154+AN155</f>
        <v>12680</v>
      </c>
      <c r="AO353" s="226">
        <f>AO145+AO149+AO153+AO154+AO155</f>
        <v>12680</v>
      </c>
      <c r="AP353" s="226">
        <f>AP145+AP149+AP153+AP154+AP155</f>
        <v>12680</v>
      </c>
      <c r="AQ353" s="226">
        <f>AQ145+AQ149+AQ153+AQ154+AQ155</f>
        <v>12680</v>
      </c>
      <c r="AR353" s="226">
        <f>AR145+AR149+AR153+AR154+AR155</f>
        <v>12680</v>
      </c>
      <c r="AS353" s="226">
        <f>AS145+AS149+AS153+AS154+AS155</f>
        <v>12680</v>
      </c>
      <c r="AT353" s="226">
        <f>AT145+AT149+AT153+AT154+AT155</f>
        <v>12680</v>
      </c>
      <c r="AU353" s="226">
        <f>AU145+AU149+AU153+AU154+AU155</f>
        <v>12680</v>
      </c>
      <c r="AV353" s="226">
        <f>AV145+AV149+AV153+AV154+AV155</f>
        <v>12680</v>
      </c>
      <c r="AW353" s="226">
        <f>AW145+AW149+AW153+AW154+AW155</f>
        <v>12680</v>
      </c>
      <c r="AX353" s="226">
        <f>AX145+AX149+AX153+AX154+AX155</f>
        <v>12680</v>
      </c>
      <c r="AY353" s="226">
        <f>AY145+AY149+AY153+AY154+AY155</f>
        <v>12680</v>
      </c>
      <c r="AZ353" s="226">
        <f>AZ145+AZ149+AZ153+AZ154+AZ155</f>
        <v>12680</v>
      </c>
      <c r="BA353" s="226">
        <f>BA145+BA149+BA153+BA154+BA155</f>
        <v>12680</v>
      </c>
      <c r="BB353" s="226">
        <f>BB145+BB149+BB153+BB154+BB155</f>
        <v>12680</v>
      </c>
      <c r="BC353" s="226">
        <f>BC145+BC149+BC153+BC154+BC155</f>
        <v>12680</v>
      </c>
      <c r="BD353" s="226">
        <f>BD145+BD149+BD153+BD154+BD155</f>
        <v>12680</v>
      </c>
      <c r="BE353" s="226">
        <f>BE145+BE149+BE153+BE154+BE155</f>
        <v>12680</v>
      </c>
      <c r="BF353" s="226">
        <f>BF145+BF149+BF153+BF154+BF155</f>
        <v>12680</v>
      </c>
      <c r="BG353" s="226">
        <f>BG145+BG149+BG153+BG154+BG155</f>
        <v>12680</v>
      </c>
      <c r="BH353" s="226">
        <f>BH145+BH149+BH153+BH154+BH155</f>
        <v>12680</v>
      </c>
      <c r="BI353" s="226">
        <f>BI145+BI149+BI153+BI154+BI155</f>
        <v>12680</v>
      </c>
      <c r="BJ353" s="226">
        <f>BJ145+BJ149+BJ153+BJ154+BJ155</f>
        <v>12680</v>
      </c>
      <c r="BK353" s="226">
        <f>BK145+BK149+BK153+BK154+BK155</f>
        <v>12680</v>
      </c>
      <c r="BL353" s="226">
        <f>BL145+BL149+BL153+BL154+BL155</f>
        <v>12680</v>
      </c>
      <c r="BM353" s="226">
        <f>BM145+BM149+BM153+BM154+BM155</f>
        <v>12680</v>
      </c>
      <c r="BN353" s="226">
        <f>BN145+BN149+BN153+BN154+BN155</f>
        <v>12680</v>
      </c>
      <c r="BO353" s="226">
        <f>BO145+BO149+BO153+BO154+BO155</f>
        <v>12680</v>
      </c>
      <c r="BP353" s="226">
        <f>BP145+BP149+BP153+BP154+BP155</f>
        <v>12680</v>
      </c>
      <c r="BQ353" s="226">
        <f>BQ145+BQ149+BQ153+BQ154+BQ155</f>
        <v>12680</v>
      </c>
      <c r="BR353" s="226">
        <f>BR145+BR149+BR153+BR154+BR155</f>
        <v>12680</v>
      </c>
      <c r="BS353" s="226">
        <f>BS145+BS149+BS153+BS154+BS155</f>
        <v>12680</v>
      </c>
      <c r="BT353" s="226">
        <f>BT145+BT149+BT153+BT154+BT155</f>
        <v>12680</v>
      </c>
      <c r="BU353" s="226">
        <f>BU145+BU149+BU153+BU154+BU155</f>
        <v>12680</v>
      </c>
      <c r="BV353" s="226">
        <f>BV145+BV149+BV153+BV154+BV155</f>
        <v>12680</v>
      </c>
      <c r="BW353" s="226">
        <f>BW145+BW149+BW153+BW154+BW155</f>
        <v>12680</v>
      </c>
      <c r="BX353" s="226">
        <f>BX145+BX149+BX153+BX154+BX155</f>
        <v>12680</v>
      </c>
      <c r="BY353" s="226">
        <f>BY145+BY149+BY153+BY154+BY155</f>
        <v>12680</v>
      </c>
      <c r="BZ353" s="226">
        <f>BZ145+BZ149+BZ153+BZ154+BZ155</f>
        <v>12680</v>
      </c>
      <c r="CA353" s="226">
        <f>CA145+CA149+CA153+CA154+CA155</f>
        <v>12680</v>
      </c>
      <c r="CB353" s="226">
        <f>CB145+CB149+CB153+CB154+CB155</f>
        <v>12680</v>
      </c>
      <c r="CC353" s="226">
        <f>CC145+CC149+CC153+CC154+CC155</f>
        <v>12680</v>
      </c>
      <c r="CD353" s="226">
        <f>CD145+CD149+CD153+CD154+CD155</f>
        <v>12680</v>
      </c>
      <c r="CE353" s="226">
        <f>CE145+CE149+CE153+CE154+CE155</f>
        <v>12680</v>
      </c>
      <c r="CF353" s="226">
        <f>CF145+CF149+CF153+CF154+CF155</f>
        <v>12680</v>
      </c>
      <c r="CG353" s="226">
        <f>CG145+CG149+CG153+CG154+CG155</f>
        <v>12680</v>
      </c>
      <c r="CH353" s="226">
        <f>CH145+CH149+CH153+CH154+CH155</f>
        <v>12680</v>
      </c>
      <c r="CI353" s="226">
        <f>CI145+CI149+CI153+CI154+CI155</f>
        <v>12680</v>
      </c>
      <c r="CJ353" s="226">
        <f>CJ145+CJ149+CJ153+CJ154+CJ155</f>
        <v>12680</v>
      </c>
      <c r="CK353" s="226">
        <f>CK145+CK149+CK153+CK154+CK155</f>
        <v>12680</v>
      </c>
      <c r="CL353" s="226">
        <f>CL145+CL149+CL153+CL154+CL155</f>
        <v>12680</v>
      </c>
      <c r="CM353" s="226">
        <f>CM145+CM149+CM153+CM154+CM155</f>
        <v>12680</v>
      </c>
      <c r="CN353" s="226">
        <f>CN145+CN149+CN153+CN154+CN155</f>
        <v>12680</v>
      </c>
      <c r="CO353" s="226">
        <f>CO145+CO149+CO153+CO154+CO155</f>
        <v>12680</v>
      </c>
      <c r="CP353" s="226">
        <f>CP145+CP149+CP153+CP154+CP155</f>
        <v>12680</v>
      </c>
      <c r="CQ353" s="226">
        <f>CQ145+CQ149+CQ153+CQ154+CQ155</f>
        <v>12680</v>
      </c>
      <c r="CR353" s="226">
        <f>CR145+CR149+CR153+CR154+CR155</f>
        <v>12680</v>
      </c>
      <c r="CS353" s="226">
        <f>CS145+CS149+CS153+CS154+CS155</f>
        <v>12680</v>
      </c>
      <c r="CT353" s="226">
        <f>CT145+CT149+CT153+CT154+CT155</f>
        <v>12680</v>
      </c>
      <c r="CU353" s="226">
        <f>CU145+CU149+CU153+CU154+CU155</f>
        <v>12680</v>
      </c>
      <c r="CV353" s="226">
        <f>CV145+CV149+CV153+CV154+CV155</f>
        <v>12680</v>
      </c>
      <c r="CW353" s="226">
        <f>CW145+CW149+CW153+CW154+CW155</f>
        <v>12680</v>
      </c>
      <c r="CX353" s="226">
        <f>CX145+CX149+CX153+CX154+CX155</f>
        <v>12680</v>
      </c>
      <c r="CY353" s="226">
        <f>CY145+CY149+CY153+CY154+CY155</f>
        <v>12680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26755</v>
      </c>
      <c r="E354" s="241">
        <f>E198+E202+E204+E205</f>
        <v>21667</v>
      </c>
      <c r="F354" s="241">
        <f>F198+F202+F204+F205</f>
        <v>19383</v>
      </c>
      <c r="G354" s="241">
        <f>G198+G202+G204+G205</f>
        <v>11933</v>
      </c>
      <c r="H354" s="241">
        <f>H198+H202+H204+H205</f>
        <v>11933</v>
      </c>
      <c r="I354" s="226">
        <f>I198+I202+I204+I205</f>
        <v>13606</v>
      </c>
      <c r="J354" s="226">
        <f>J198+J202+J204+J205</f>
        <v>14962</v>
      </c>
      <c r="K354" s="226">
        <f>K198+K202+K204+K205</f>
        <v>15542</v>
      </c>
      <c r="L354" s="226">
        <f>L198+L202+L204+L205</f>
        <v>15305</v>
      </c>
      <c r="M354" s="226">
        <f>M198+M202+M204+M205</f>
        <v>15305</v>
      </c>
      <c r="N354" s="226">
        <f>N198+N202+N204+N205</f>
        <v>17748</v>
      </c>
      <c r="O354" s="226">
        <f>O198+O202+O204+O205</f>
        <v>19743</v>
      </c>
      <c r="P354" s="226">
        <f>P198+P202+P204+P205</f>
        <v>20710</v>
      </c>
      <c r="Q354" s="226">
        <f>Q198+Q202+Q204+Q205</f>
        <v>16952</v>
      </c>
      <c r="R354" s="226">
        <f>R198+R202+R204+R205</f>
        <v>16952</v>
      </c>
      <c r="S354" s="226">
        <f>S198+S202+S204+S205</f>
        <v>22546</v>
      </c>
      <c r="T354" s="226">
        <f>T198+T202+T204+T205</f>
        <v>22944</v>
      </c>
      <c r="U354" s="226">
        <f>U198+U202+U204+U205</f>
        <v>22329</v>
      </c>
      <c r="V354" s="226">
        <f>V198+V202+V204+V205</f>
        <v>21611</v>
      </c>
      <c r="W354" s="226">
        <f>W198+W202+W204+W205</f>
        <v>21611</v>
      </c>
      <c r="X354" s="226">
        <f>X198+X202+X204+X205</f>
        <v>26964</v>
      </c>
      <c r="Y354" s="226">
        <f>Y198+Y202+Y204+Y205</f>
        <v>27324</v>
      </c>
      <c r="Z354" s="226">
        <f>Z198+Z202+Z204+Z205</f>
        <v>27502</v>
      </c>
      <c r="AA354" s="226">
        <f>AA198+AA202+AA204+AA205</f>
        <v>24601</v>
      </c>
      <c r="AB354" s="226">
        <f>AB198+AB202+AB204+AB205</f>
        <v>24601</v>
      </c>
      <c r="AC354" s="226">
        <f>AC198+AC202+AC204+AC205</f>
        <v>23645</v>
      </c>
      <c r="AD354" s="226">
        <f>AD198+AD202+AD204+AD205</f>
        <v>21853</v>
      </c>
      <c r="AE354" s="226">
        <f>AE198+AE202+AE204+AE205</f>
        <v>20579</v>
      </c>
      <c r="AF354" s="226">
        <f>AF198+AF202+AF204+AF205</f>
        <v>19459</v>
      </c>
      <c r="AG354" s="226">
        <f>AG198+AG202+AG204+AG205</f>
        <v>19459</v>
      </c>
      <c r="AH354" s="226">
        <f>AH198+AH202+AH204+AH205</f>
        <v>17885</v>
      </c>
      <c r="AI354" s="226">
        <f>AI198+AI202+AI204+AI205</f>
        <v>18706</v>
      </c>
      <c r="AJ354" s="226">
        <f>AJ198+AJ202+AJ204+AJ205</f>
        <v>2490</v>
      </c>
      <c r="AK354" s="226">
        <f>AK198+AK202+AK204+AK205</f>
        <v>2490</v>
      </c>
      <c r="AL354" s="226">
        <f>AL198+AL202+AL204+AL205</f>
        <v>2490</v>
      </c>
      <c r="AM354" s="226" t="e">
        <f>AM198+AM202+AM204+AM205</f>
        <v>#DIV/0!</v>
      </c>
      <c r="AN354" s="226">
        <f>AN198+AN202+AN204+AN205</f>
        <v>2490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36652</v>
      </c>
      <c r="E355" s="241">
        <f>E166+E176+E179+E180+E189-E240</f>
        <v>35809</v>
      </c>
      <c r="F355" s="241">
        <f>F166+F176+F179+F180+F189-F240</f>
        <v>36930</v>
      </c>
      <c r="G355" s="241">
        <f>G166+G176+G179+G180+G189-G240</f>
        <v>36870</v>
      </c>
      <c r="H355" s="241">
        <f>H166+H176+H179+H180+H189-H240</f>
        <v>36870</v>
      </c>
      <c r="I355" s="226">
        <f>I166+I176+I179+I180+I189-I240</f>
        <v>38205</v>
      </c>
      <c r="J355" s="226">
        <f>J166+J176+J179+J180+J189-J240</f>
        <v>38601</v>
      </c>
      <c r="K355" s="226">
        <f>K166+K176+K179+K180+K189-K240</f>
        <v>37444</v>
      </c>
      <c r="L355" s="226">
        <f>L166+L176+L179+L180+L189-L240</f>
        <v>43475</v>
      </c>
      <c r="M355" s="226">
        <f>M166+M176+M179+M180+M189-M240</f>
        <v>43475</v>
      </c>
      <c r="N355" s="226">
        <f>N166+N176+N179+N180+N189-N240</f>
        <v>43452</v>
      </c>
      <c r="O355" s="226">
        <f>O166+O176+O179+O180+O189-O240</f>
        <v>42429</v>
      </c>
      <c r="P355" s="226">
        <f>P166+P176+P179+P180+P189-P240</f>
        <v>40891</v>
      </c>
      <c r="Q355" s="226">
        <f>Q166+Q176+Q179+Q180+Q189-Q240</f>
        <v>42240</v>
      </c>
      <c r="R355" s="226">
        <f>R166+R176+R179+R180+R189-R240</f>
        <v>42240</v>
      </c>
      <c r="S355" s="226">
        <f>S166+S176+S179+S180+S189-S240</f>
        <v>42210</v>
      </c>
      <c r="T355" s="226">
        <f>T166+T176+T179+T180+T189-T240</f>
        <v>41493</v>
      </c>
      <c r="U355" s="226">
        <f>U166+U176+U179+U180+U189-U240</f>
        <v>40453</v>
      </c>
      <c r="V355" s="226">
        <f>V166+V176+V179+V180+V189-V240</f>
        <v>41273</v>
      </c>
      <c r="W355" s="226">
        <f>W166+W176+W179+W180+W189-W240</f>
        <v>41273</v>
      </c>
      <c r="X355" s="226">
        <f>X166+X176+X179+X180+X189-X240</f>
        <v>43513</v>
      </c>
      <c r="Y355" s="226">
        <f>Y166+Y176+Y179+Y180+Y189-Y240</f>
        <v>45177</v>
      </c>
      <c r="Z355" s="226">
        <f>Z166+Z176+Z179+Z180+Z189-Z240</f>
        <v>51300</v>
      </c>
      <c r="AA355" s="226">
        <f>AA166+AA176+AA179+AA180+AA189-AA240</f>
        <v>51062</v>
      </c>
      <c r="AB355" s="226">
        <f>AB166+AB176+AB179+AB180+AB189-AB240</f>
        <v>51062</v>
      </c>
      <c r="AC355" s="226">
        <f>AC166+AC176+AC179+AC180+AC189-AC240</f>
        <v>51545</v>
      </c>
      <c r="AD355" s="226">
        <f>AD166+AD176+AD179+AD180+AD189-AD240</f>
        <v>52164</v>
      </c>
      <c r="AE355" s="226">
        <f>AE166+AE176+AE179+AE180+AE189-AE240</f>
        <v>52541</v>
      </c>
      <c r="AF355" s="226">
        <f>AF166+AF176+AF179+AF180+AF189-AF240</f>
        <v>47596</v>
      </c>
      <c r="AG355" s="226">
        <f>AG166+AG176+AG179+AG180+AG189-AG240</f>
        <v>47596</v>
      </c>
      <c r="AH355" s="226">
        <f>AH166+AH176+AH179+AH180+AH189-AH240</f>
        <v>47858</v>
      </c>
      <c r="AI355" s="226">
        <f>AI166+AI176+AI179+AI180+AI189-AI240</f>
        <v>48547</v>
      </c>
      <c r="AJ355" s="226">
        <f>AJ166+AJ176+AJ179+AJ180+AJ189-AJ240</f>
        <v>36047</v>
      </c>
      <c r="AK355" s="226">
        <f>AK166+AK176+AK179+AK180+AK189-AK240</f>
        <v>36047</v>
      </c>
      <c r="AL355" s="226">
        <f>AL166+AL176+AL179+AL180+AL189-AL240</f>
        <v>36047</v>
      </c>
      <c r="AM355" s="226">
        <f>AM166+AM176+AM179+AM180+AM189-AM240</f>
        <v>36047</v>
      </c>
      <c r="AN355" s="226">
        <f>AN166+AN176+AN179+AN180+AN189-AN240</f>
        <v>36047</v>
      </c>
      <c r="AO355" s="226">
        <f>AO166+AO176+AO179+AO180+AO189-AO240</f>
        <v>36047</v>
      </c>
      <c r="AP355" s="226">
        <f>AP166+AP176+AP179+AP180+AP189-AP240</f>
        <v>36047</v>
      </c>
      <c r="AQ355" s="226">
        <f>AQ166+AQ176+AQ179+AQ180+AQ189-AQ240</f>
        <v>36047</v>
      </c>
      <c r="AR355" s="226">
        <f>AR166+AR176+AR179+AR180+AR189-AR240</f>
        <v>36047</v>
      </c>
      <c r="AS355" s="226">
        <f>AS166+AS176+AS179+AS180+AS189-AS240</f>
        <v>36047</v>
      </c>
      <c r="AT355" s="226">
        <f>AT166+AT176+AT179+AT180+AT189-AT240</f>
        <v>36047</v>
      </c>
      <c r="AU355" s="226">
        <f>AU166+AU176+AU179+AU180+AU189-AU240</f>
        <v>36047</v>
      </c>
      <c r="AV355" s="226">
        <f>AV166+AV176+AV179+AV180+AV189-AV240</f>
        <v>36047</v>
      </c>
      <c r="AW355" s="226">
        <f>AW166+AW176+AW179+AW180+AW189-AW240</f>
        <v>36047</v>
      </c>
      <c r="AX355" s="226">
        <f>AX166+AX176+AX179+AX180+AX189-AX240</f>
        <v>36047</v>
      </c>
      <c r="AY355" s="226">
        <f>AY166+AY176+AY179+AY180+AY189-AY240</f>
        <v>36047</v>
      </c>
      <c r="AZ355" s="226">
        <f>AZ166+AZ176+AZ179+AZ180+AZ189-AZ240</f>
        <v>36047</v>
      </c>
      <c r="BA355" s="226">
        <f>BA166+BA176+BA179+BA180+BA189-BA240</f>
        <v>36047</v>
      </c>
      <c r="BB355" s="226">
        <f>BB166+BB176+BB179+BB180+BB189-BB240</f>
        <v>36047</v>
      </c>
      <c r="BC355" s="226">
        <f>BC166+BC176+BC179+BC180+BC189-BC240</f>
        <v>36047</v>
      </c>
      <c r="BD355" s="226">
        <f>BD166+BD176+BD179+BD180+BD189-BD240</f>
        <v>36047</v>
      </c>
      <c r="BE355" s="226">
        <f>BE166+BE176+BE179+BE180+BE189-BE240</f>
        <v>36047</v>
      </c>
      <c r="BF355" s="226">
        <f>BF166+BF176+BF179+BF180+BF189-BF240</f>
        <v>36047</v>
      </c>
      <c r="BG355" s="226">
        <f>BG166+BG176+BG179+BG180+BG189-BG240</f>
        <v>36047</v>
      </c>
      <c r="BH355" s="226">
        <f>BH166+BH176+BH179+BH180+BH189-BH240</f>
        <v>36047</v>
      </c>
      <c r="BI355" s="226">
        <f>BI166+BI176+BI179+BI180+BI189-BI240</f>
        <v>36047</v>
      </c>
      <c r="BJ355" s="226">
        <f>BJ166+BJ176+BJ179+BJ180+BJ189-BJ240</f>
        <v>36047</v>
      </c>
      <c r="BK355" s="226">
        <f>BK166+BK176+BK179+BK180+BK189-BK240</f>
        <v>36047</v>
      </c>
      <c r="BL355" s="226">
        <f>BL166+BL176+BL179+BL180+BL189-BL240</f>
        <v>36047</v>
      </c>
      <c r="BM355" s="226">
        <f>BM166+BM176+BM179+BM180+BM189-BM240</f>
        <v>36047</v>
      </c>
      <c r="BN355" s="226">
        <f>BN166+BN176+BN179+BN180+BN189-BN240</f>
        <v>36047</v>
      </c>
      <c r="BO355" s="226">
        <f>BO166+BO176+BO179+BO180+BO189-BO240</f>
        <v>36047</v>
      </c>
      <c r="BP355" s="226">
        <f>BP166+BP176+BP179+BP180+BP189-BP240</f>
        <v>36047</v>
      </c>
      <c r="BQ355" s="226">
        <f>BQ166+BQ176+BQ179+BQ180+BQ189-BQ240</f>
        <v>36047</v>
      </c>
      <c r="BR355" s="226">
        <f>BR166+BR176+BR179+BR180+BR189-BR240</f>
        <v>36047</v>
      </c>
      <c r="BS355" s="226">
        <f>BS166+BS176+BS179+BS180+BS189-BS240</f>
        <v>36047</v>
      </c>
      <c r="BT355" s="226">
        <f>BT166+BT176+BT179+BT180+BT189-BT240</f>
        <v>36047</v>
      </c>
      <c r="BU355" s="226">
        <f>BU166+BU176+BU179+BU180+BU189-BU240</f>
        <v>36047</v>
      </c>
      <c r="BV355" s="226">
        <f>BV166+BV176+BV179+BV180+BV189-BV240</f>
        <v>36047</v>
      </c>
      <c r="BW355" s="226">
        <f>BW166+BW176+BW179+BW180+BW189-BW240</f>
        <v>36047</v>
      </c>
      <c r="BX355" s="226">
        <f>BX166+BX176+BX179+BX180+BX189-BX240</f>
        <v>36047</v>
      </c>
      <c r="BY355" s="226">
        <f>BY166+BY176+BY179+BY180+BY189-BY240</f>
        <v>36047</v>
      </c>
      <c r="BZ355" s="226">
        <f>BZ166+BZ176+BZ179+BZ180+BZ189-BZ240</f>
        <v>36047</v>
      </c>
      <c r="CA355" s="226">
        <f>CA166+CA176+CA179+CA180+CA189-CA240</f>
        <v>36047</v>
      </c>
      <c r="CB355" s="226">
        <f>CB166+CB176+CB179+CB180+CB189-CB240</f>
        <v>36047</v>
      </c>
      <c r="CC355" s="226">
        <f>CC166+CC176+CC179+CC180+CC189-CC240</f>
        <v>36047</v>
      </c>
      <c r="CD355" s="226">
        <f>CD166+CD176+CD179+CD180+CD189-CD240</f>
        <v>36047</v>
      </c>
      <c r="CE355" s="226">
        <f>CE166+CE176+CE179+CE180+CE189-CE240</f>
        <v>36047</v>
      </c>
      <c r="CF355" s="226">
        <f>CF166+CF176+CF179+CF180+CF189-CF240</f>
        <v>36047</v>
      </c>
      <c r="CG355" s="226">
        <f>CG166+CG176+CG179+CG180+CG189-CG240</f>
        <v>36047</v>
      </c>
      <c r="CH355" s="226">
        <f>CH166+CH176+CH179+CH180+CH189-CH240</f>
        <v>36047</v>
      </c>
      <c r="CI355" s="226">
        <f>CI166+CI176+CI179+CI180+CI189-CI240</f>
        <v>36047</v>
      </c>
      <c r="CJ355" s="226">
        <f>CJ166+CJ176+CJ179+CJ180+CJ189-CJ240</f>
        <v>36047</v>
      </c>
      <c r="CK355" s="226">
        <f>CK166+CK176+CK179+CK180+CK189-CK240</f>
        <v>36047</v>
      </c>
      <c r="CL355" s="226">
        <f>CL166+CL176+CL179+CL180+CL189-CL240</f>
        <v>36047</v>
      </c>
      <c r="CM355" s="226">
        <f>CM166+CM176+CM179+CM180+CM189-CM240</f>
        <v>36047</v>
      </c>
      <c r="CN355" s="226">
        <f>CN166+CN176+CN179+CN180+CN189-CN240</f>
        <v>36047</v>
      </c>
      <c r="CO355" s="226">
        <f>CO166+CO176+CO179+CO180+CO189-CO240</f>
        <v>36047</v>
      </c>
      <c r="CP355" s="226">
        <f>CP166+CP176+CP179+CP180+CP189-CP240</f>
        <v>36047</v>
      </c>
      <c r="CQ355" s="226">
        <f>CQ166+CQ176+CQ179+CQ180+CQ189-CQ240</f>
        <v>36047</v>
      </c>
      <c r="CR355" s="226">
        <f>CR166+CR176+CR179+CR180+CR189-CR240</f>
        <v>36047</v>
      </c>
      <c r="CS355" s="226">
        <f>CS166+CS176+CS179+CS180+CS189-CS240</f>
        <v>36047</v>
      </c>
      <c r="CT355" s="226">
        <f>CT166+CT176+CT179+CT180+CT189-CT240</f>
        <v>36047</v>
      </c>
      <c r="CU355" s="226">
        <f>CU166+CU176+CU179+CU180+CU189-CU240</f>
        <v>36047</v>
      </c>
      <c r="CV355" s="226">
        <f>CV166+CV176+CV179+CV180+CV189-CV240</f>
        <v>36047</v>
      </c>
      <c r="CW355" s="226">
        <f>CW166+CW176+CW179+CW180+CW189-CW240</f>
        <v>36047</v>
      </c>
      <c r="CX355" s="226">
        <f>CX166+CX176+CX179+CX180+CX189-CX240</f>
        <v>36047</v>
      </c>
      <c r="CY355" s="226">
        <f>CY166+CY176+CY179+CY180+CY189-CY240</f>
        <v>36047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0.322636902685734</v>
      </c>
      <c r="E364" s="238">
        <f>E137/E15</f>
        <v>0.248811188811189</v>
      </c>
      <c r="F364" s="238">
        <f>F137/F15</f>
        <v>0.200762829403606</v>
      </c>
      <c r="G364" s="238">
        <f>G137/G15</f>
        <v>0.169086052723261</v>
      </c>
      <c r="I364" s="222">
        <f>I137/I15</f>
        <v>0.248891352549889</v>
      </c>
      <c r="J364" s="222">
        <f>J137/J15</f>
        <v>0.260736499160825</v>
      </c>
      <c r="K364" s="222">
        <f>K137/K15</f>
        <v>0.246066520613424</v>
      </c>
      <c r="L364" s="222">
        <f>L137/L15</f>
        <v>0.255071851225697</v>
      </c>
      <c r="N364" s="222">
        <f>N137/N15</f>
        <v>0.265084358021161</v>
      </c>
      <c r="O364" s="222">
        <f>O137/O15</f>
        <v>0.168211920529801</v>
      </c>
      <c r="P364" s="222">
        <f>P137/P15</f>
        <v>0.255355690138299</v>
      </c>
      <c r="Q364" s="222">
        <f>Q137/Q15</f>
        <v>0.200592592592593</v>
      </c>
      <c r="S364" s="222">
        <f>S137/S15</f>
        <v>0.282969034608379</v>
      </c>
      <c r="T364" s="222">
        <f>T137/T15</f>
        <v>0.212746408286001</v>
      </c>
      <c r="U364" s="222">
        <f>U137/U15</f>
        <v>0.258261524303522</v>
      </c>
      <c r="V364" s="222">
        <f>V137/V15</f>
        <v>0.181860079269979</v>
      </c>
      <c r="X364" s="222">
        <f>X137/X15</f>
        <v>0.281150442477876</v>
      </c>
      <c r="Y364" s="222">
        <f>Y137/Y15</f>
        <v>0.195017390600987</v>
      </c>
      <c r="Z364" s="222">
        <f>Z137/Z15</f>
        <v>0.2402564535178</v>
      </c>
      <c r="AA364" s="222">
        <f>AA137/AA15</f>
        <v>0.190142065142065</v>
      </c>
      <c r="AC364" s="222">
        <f>AC137/AC15</f>
        <v>0.299218258603648</v>
      </c>
      <c r="AD364" s="222">
        <f>AD137/AD15</f>
        <v>0.303948942959713</v>
      </c>
      <c r="AE364" s="222">
        <f>AE137/AE15</f>
        <v>0.296748293857888</v>
      </c>
      <c r="AF364" s="222">
        <f>AF137/AF15</f>
        <v>0.192099475554052</v>
      </c>
      <c r="AH364" s="222">
        <f>AH137/AH15</f>
        <v>0.314624759461193</v>
      </c>
      <c r="AI364" s="222">
        <f>AI137/AI15</f>
        <v>0.330717488789238</v>
      </c>
      <c r="AJ364" s="222">
        <f>AJ137/AJ15</f>
        <v>0.0513849859494179</v>
      </c>
      <c r="AK364" s="222">
        <f>AK137/AK15</f>
        <v>0.0953307392996109</v>
      </c>
      <c r="AM364" s="222">
        <f>AM137/AM15</f>
        <v>0.090602950609365</v>
      </c>
      <c r="AN364" s="222">
        <f>AN137/AN15</f>
        <v>0.267937219730942</v>
      </c>
      <c r="AO364" s="222">
        <f>AO137/AO15</f>
        <v>0.0951425130469691</v>
      </c>
      <c r="AP364" s="222">
        <f>AP137/AP15</f>
        <v>0.300541363559465</v>
      </c>
      <c r="AR364" s="222">
        <f>AR137/AR15</f>
        <v>0.285118665811418</v>
      </c>
      <c r="AS364" s="222">
        <f>AS137/AS15</f>
        <v>0.71203288490284</v>
      </c>
      <c r="AT364" s="222">
        <f>AT137/AT15</f>
        <v>0.289923725411481</v>
      </c>
      <c r="AU364" s="222">
        <f>AU137/AU15</f>
        <v>0.803163593300626</v>
      </c>
      <c r="AW364" s="222">
        <f>AW137/AW15</f>
        <v>0.761545862732521</v>
      </c>
      <c r="AX364" s="222">
        <f>AX137/AX15</f>
        <v>1.96285500747384</v>
      </c>
      <c r="AY364" s="222">
        <f>AY137/AY15</f>
        <v>0.767001204335608</v>
      </c>
      <c r="AZ364" s="222">
        <f>AZ137/AZ15</f>
        <v>2.21882930130266</v>
      </c>
      <c r="BB364" s="222">
        <f>BB137/BB15</f>
        <v>2.10343168697883</v>
      </c>
      <c r="BC364" s="222">
        <f>BC137/BC15</f>
        <v>5.35269058295964</v>
      </c>
      <c r="BD364" s="222">
        <f>BD137/BD15</f>
        <v>2.11071858691289</v>
      </c>
      <c r="BE364" s="222">
        <f>BE137/BE15</f>
        <v>6.05540517678904</v>
      </c>
      <c r="BG364" s="222">
        <f>BG137/BG15</f>
        <v>5.74005772931366</v>
      </c>
      <c r="BH364" s="222">
        <f>BH137/BH15</f>
        <v>14.6340059790732</v>
      </c>
      <c r="BI364" s="222">
        <f>BI137/BI15</f>
        <v>5.7523083099157</v>
      </c>
      <c r="BJ364" s="222">
        <f>BJ137/BJ15</f>
        <v>16.5598883437659</v>
      </c>
      <c r="BL364" s="222">
        <f>BL137/BL15</f>
        <v>15.6970814624759</v>
      </c>
      <c r="BM364" s="222">
        <f>BM137/BM15</f>
        <v>39.9763079222721</v>
      </c>
      <c r="BN364" s="222">
        <f>BN137/BN15</f>
        <v>15.7229225210759</v>
      </c>
      <c r="BO364" s="222">
        <f>BO137/BO15</f>
        <v>45.2420064286923</v>
      </c>
      <c r="BQ364" s="222">
        <f>BQ137/BQ15</f>
        <v>42.8843810134702</v>
      </c>
      <c r="BR364" s="222">
        <f>BR137/BR15</f>
        <v>109.223542600897</v>
      </c>
      <c r="BS364" s="222">
        <f>BS137/BS15</f>
        <v>42.9473303894019</v>
      </c>
      <c r="BT364" s="222">
        <f>BT137/BT15</f>
        <v>123.615208932499</v>
      </c>
      <c r="BV364" s="222">
        <f>BV137/BV15</f>
        <v>117.173027581783</v>
      </c>
      <c r="BW364" s="222">
        <f>BW137/BW15</f>
        <v>298.402615844544</v>
      </c>
      <c r="BX364" s="222">
        <f>BX137/BX15</f>
        <v>117.337374548374</v>
      </c>
      <c r="BY364" s="222">
        <f>BY137/BY15</f>
        <v>337.725850109965</v>
      </c>
      <c r="CA364" s="222">
        <f>CA137/CA15</f>
        <v>320.124919820398</v>
      </c>
      <c r="CB364" s="222">
        <f>CB137/CB15</f>
        <v>815.255231689088</v>
      </c>
      <c r="CC364" s="222">
        <f>CC137/CC15</f>
        <v>320.566278602971</v>
      </c>
      <c r="CD364" s="222">
        <f>CD137/CD15</f>
        <v>922.693537472509</v>
      </c>
      <c r="CF364" s="222">
        <f>CF137/CF15</f>
        <v>874.605997434253</v>
      </c>
      <c r="CG364" s="222">
        <f>CG137/CG15</f>
        <v>2227.31860986547</v>
      </c>
      <c r="CH364" s="222">
        <f>CH137/CH15</f>
        <v>875.804175030108</v>
      </c>
      <c r="CI364" s="222">
        <f>CI137/CI15</f>
        <v>2520.85019455253</v>
      </c>
      <c r="CK364" s="222">
        <f>CK137/CK15</f>
        <v>2389.47193713919</v>
      </c>
      <c r="CL364" s="222">
        <f>CL137/CL15</f>
        <v>6085.15059790732</v>
      </c>
      <c r="CM364" s="222">
        <f>CM137/CM15</f>
        <v>2392.73777599358</v>
      </c>
      <c r="CN364" s="222">
        <f>CN137/CN15</f>
        <v>6887.09888343766</v>
      </c>
      <c r="CP364" s="222">
        <f>CP137/CP15</f>
        <v>6528.16597177678</v>
      </c>
      <c r="CQ364" s="222">
        <f>CQ137/CQ15</f>
        <v>16624.9413303438</v>
      </c>
      <c r="CR364" s="222">
        <f>CR137/CR15</f>
        <v>6537.08077077479</v>
      </c>
      <c r="CS364" s="222">
        <f>CS137/CS15</f>
        <v>18815.909575368</v>
      </c>
      <c r="CU364" s="222">
        <f>CU137/CU15</f>
        <v>17835.2859204618</v>
      </c>
      <c r="CV364" s="222">
        <f>CV137/CV15</f>
        <v>45420.1867713005</v>
      </c>
      <c r="CW364" s="222">
        <f>CW137/CW15</f>
        <v>17859.6339622642</v>
      </c>
      <c r="CX364" s="222">
        <f>CX137/CX15</f>
        <v>51406.0283369988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0.0295171944305575</v>
      </c>
      <c r="E365" s="238">
        <f>E137/E197</f>
        <v>0.0187878211830308</v>
      </c>
      <c r="F365" s="238">
        <f>F137/F197</f>
        <v>0.0178733124794205</v>
      </c>
      <c r="G365" s="238">
        <f>G137/G197</f>
        <v>0.0166788856304985</v>
      </c>
      <c r="I365" s="222">
        <f>I137/I197</f>
        <v>0.0249463847188115</v>
      </c>
      <c r="J365" s="222">
        <f>J137/J197</f>
        <v>0.0292813269175333</v>
      </c>
      <c r="K365" s="222">
        <f>K137/K197</f>
        <v>0.0272719245966051</v>
      </c>
      <c r="L365" s="222">
        <f>L137/L197</f>
        <v>0.0255845009220595</v>
      </c>
      <c r="N365" s="222">
        <f>N137/N197</f>
        <v>0.029564977036911</v>
      </c>
      <c r="O365" s="222">
        <f>O137/O197</f>
        <v>0.0204467151091028</v>
      </c>
      <c r="P365" s="222">
        <f>P137/P197</f>
        <v>0.0305501184155032</v>
      </c>
      <c r="Q365" s="222">
        <f>Q137/Q197</f>
        <v>0.0218945053523495</v>
      </c>
      <c r="S365" s="222">
        <f>S137/S197</f>
        <v>0.0318980740010677</v>
      </c>
      <c r="T365" s="222">
        <f>T137/T197</f>
        <v>0.0258694239050947</v>
      </c>
      <c r="U365" s="222">
        <f>U137/U197</f>
        <v>0.0316362294779561</v>
      </c>
      <c r="V365" s="222">
        <f>V137/V197</f>
        <v>0.0201938527987882</v>
      </c>
      <c r="X365" s="222">
        <f>X137/X197</f>
        <v>0.0319643432066967</v>
      </c>
      <c r="Y365" s="222">
        <f>Y137/Y197</f>
        <v>0.0238236398490148</v>
      </c>
      <c r="Z365" s="222">
        <f>Z137/Z197</f>
        <v>0.0268006700167504</v>
      </c>
      <c r="AA365" s="222">
        <f>AA137/AA197</f>
        <v>0.0218301524629782</v>
      </c>
      <c r="AC365" s="222">
        <f>AC137/AC197</f>
        <v>0.0327382122773212</v>
      </c>
      <c r="AD365" s="222">
        <f>AD137/AD197</f>
        <v>0.0365176885549155</v>
      </c>
      <c r="AE365" s="222">
        <f>AE137/AE197</f>
        <v>0.0348531283888915</v>
      </c>
      <c r="AF365" s="222">
        <f>AF137/AF197</f>
        <v>0.0216665394596245</v>
      </c>
      <c r="AH365" s="222">
        <f>AH137/AH197</f>
        <v>0.0376522064538415</v>
      </c>
      <c r="AI365" s="222">
        <f>AI137/AI197</f>
        <v>0.0410018346583644</v>
      </c>
      <c r="AJ365" s="222">
        <f>AJ137/AJ197</f>
        <v>0.00693143296546197</v>
      </c>
      <c r="AK365" s="222">
        <f>AK137/AK197</f>
        <v>0.0120528313993904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4.73999193304427</v>
      </c>
      <c r="E366" s="238">
        <f>E197/E271</f>
        <v>4.93454583355047</v>
      </c>
      <c r="F366" s="238">
        <f>F197/F271</f>
        <v>4.78361882260287</v>
      </c>
      <c r="G366" s="238">
        <f>G197/G271</f>
        <v>4.1014846833302</v>
      </c>
      <c r="I366" s="222">
        <f>I197/I271</f>
        <v>4.02977789718789</v>
      </c>
      <c r="J366" s="222">
        <f>J197/J271</f>
        <v>3.71857349000206</v>
      </c>
      <c r="K366" s="222">
        <f>K197/K271</f>
        <v>3.75444412215638</v>
      </c>
      <c r="L366" s="222">
        <f>L197/L271</f>
        <v>3.79541432019308</v>
      </c>
      <c r="N366" s="222">
        <f>N197/N271</f>
        <v>3.50448940054394</v>
      </c>
      <c r="O366" s="222">
        <f>O197/O271</f>
        <v>3.75636011772769</v>
      </c>
      <c r="P366" s="222">
        <f>P197/P271</f>
        <v>3.78421181862825</v>
      </c>
      <c r="Q366" s="222">
        <f>Q197/Q271</f>
        <v>3.59184542708898</v>
      </c>
      <c r="S366" s="222">
        <f>S197/S271</f>
        <v>3.62527914247432</v>
      </c>
      <c r="T366" s="222">
        <f>T197/T271</f>
        <v>3.57346109175378</v>
      </c>
      <c r="U366" s="222">
        <f>U197/U271</f>
        <v>3.50583839327417</v>
      </c>
      <c r="V366" s="222">
        <f>V197/V271</f>
        <v>3.55542212518195</v>
      </c>
      <c r="X366" s="222">
        <f>X197/X271</f>
        <v>3.55657339154083</v>
      </c>
      <c r="Y366" s="222">
        <f>Y197/Y271</f>
        <v>3.6920214512422</v>
      </c>
      <c r="Z366" s="222">
        <f>Z197/Z271</f>
        <v>3.77445478440009</v>
      </c>
      <c r="AA366" s="222">
        <f>AA197/AA271</f>
        <v>3.81271803427878</v>
      </c>
      <c r="AC366" s="222">
        <f>AC197/AC271</f>
        <v>3.66491316566981</v>
      </c>
      <c r="AD366" s="222">
        <f>AD197/AD271</f>
        <v>3.45679544099132</v>
      </c>
      <c r="AE366" s="222">
        <f>AE197/AE271</f>
        <v>3.18769351008507</v>
      </c>
      <c r="AF366" s="222">
        <f>AF197/AF271</f>
        <v>3.0580889861415</v>
      </c>
      <c r="AH366" s="222">
        <f>AH197/AH271</f>
        <v>2.91646611070689</v>
      </c>
      <c r="AI366" s="222">
        <f>AI197/AI271</f>
        <v>2.81670364087172</v>
      </c>
      <c r="AJ366" s="222">
        <f>AJ197/AJ271</f>
        <v>2.37103898104874</v>
      </c>
      <c r="AK366" s="222">
        <f>AK197/AK271</f>
        <v>2.33098170214888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0.0451405367022745</v>
      </c>
      <c r="E367" s="238">
        <f>PRODUCT(E364:E366)</f>
        <v>0.0230671272549432</v>
      </c>
      <c r="F367" s="238">
        <f>PRODUCT(F364:F366)</f>
        <v>0.0171650440379043</v>
      </c>
      <c r="G367" s="238">
        <f>PRODUCT(G364:G366)</f>
        <v>0.0115668714886801</v>
      </c>
      <c r="I367" s="222">
        <f>PRODUCT(I364:I366)</f>
        <v>0.0250206468956879</v>
      </c>
      <c r="J367" s="222">
        <f>PRODUCT(J364:J366)</f>
        <v>0.028390232705988</v>
      </c>
      <c r="K367" s="222">
        <f>PRODUCT(K364:K366)</f>
        <v>0.0251949766890055</v>
      </c>
      <c r="L367" s="222">
        <f>PRODUCT(L364:L366)</f>
        <v>0.0247684412252145</v>
      </c>
      <c r="N367" s="222">
        <f>PRODUCT(N364:N366)</f>
        <v>0.0274654297402052</v>
      </c>
      <c r="O367" s="222">
        <f>PRODUCT(O364:O366)</f>
        <v>0.0129195544333053</v>
      </c>
      <c r="P367" s="222">
        <f>PRODUCT(P364:P366)</f>
        <v>0.0295211910558477</v>
      </c>
      <c r="Q367" s="222">
        <f>PRODUCT(Q364:Q366)</f>
        <v>0.0157749382620443</v>
      </c>
      <c r="S367" s="222">
        <f>PRODUCT(S364:S366)</f>
        <v>0.0327223757082117</v>
      </c>
      <c r="T367" s="222">
        <f>PRODUCT(T364:T366)</f>
        <v>0.0196669970203413</v>
      </c>
      <c r="U367" s="222">
        <f>PRODUCT(U364:U366)</f>
        <v>0.0286441750988026</v>
      </c>
      <c r="V367" s="222">
        <f>PRODUCT(V364:V366)</f>
        <v>0.0130571301455483</v>
      </c>
      <c r="X367" s="222">
        <f>PRODUCT(X364:X366)</f>
        <v>0.0319621754724187</v>
      </c>
      <c r="Y367" s="222">
        <f>PRODUCT(Y364:Y366)</f>
        <v>0.0171532205588625</v>
      </c>
      <c r="Z367" s="222">
        <f>PRODUCT(Z364:Z366)</f>
        <v>0.0243038424244759</v>
      </c>
      <c r="AA367" s="222">
        <f>PRODUCT(AA364:AA366)</f>
        <v>0.0158259454340525</v>
      </c>
      <c r="AC367" s="222">
        <f>PRODUCT(AC364:AC366)</f>
        <v>0.0359010161111965</v>
      </c>
      <c r="AD367" s="222">
        <f>PRODUCT(AD364:AD366)</f>
        <v>0.0383687453673218</v>
      </c>
      <c r="AE367" s="222">
        <f>PRODUCT(AE364:AE366)</f>
        <v>0.0329690592508719</v>
      </c>
      <c r="AF367" s="222">
        <f>PRODUCT(AF364:AF366)</f>
        <v>0.0127281665640628</v>
      </c>
      <c r="AH367" s="222">
        <f>PRODUCT(AH364:AH366)</f>
        <v>0.0345493803135871</v>
      </c>
      <c r="AI367" s="222">
        <f>PRODUCT(AI364:AI366)</f>
        <v>0.0381945683907706</v>
      </c>
      <c r="AJ367" s="222">
        <f>PRODUCT(AJ364:AJ366)</f>
        <v>0.000844496713256316</v>
      </c>
      <c r="AK367" s="222">
        <f>PRODUCT(AK364:AK366)</f>
        <v>0.00267831039514039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0.139911263486942</v>
      </c>
      <c r="E368" s="238">
        <f>E137/E271</f>
        <v>0.0927093647402158</v>
      </c>
      <c r="F368" s="238">
        <f>F137/F271</f>
        <v>0.0854991139988187</v>
      </c>
      <c r="G368" s="238">
        <f>G137/G271</f>
        <v>0.0684081939485059</v>
      </c>
      <c r="I368" s="222">
        <f>I137/I271</f>
        <v>0.100528389754612</v>
      </c>
      <c r="J368" s="222">
        <f>J137/J271</f>
        <v>0.108884766027623</v>
      </c>
      <c r="K368" s="222">
        <f>K137/K271</f>
        <v>0.102390917001616</v>
      </c>
      <c r="L368" s="222">
        <f>L137/L271</f>
        <v>0.0971037811745776</v>
      </c>
      <c r="N368" s="222">
        <f>N137/N271</f>
        <v>0.10361014865318</v>
      </c>
      <c r="O368" s="222">
        <f>O137/O271</f>
        <v>0.0768052251743741</v>
      </c>
      <c r="P368" s="222">
        <f>P137/P271</f>
        <v>0.11560811916844</v>
      </c>
      <c r="Q368" s="222">
        <f>Q137/Q271</f>
        <v>0.0786416789282119</v>
      </c>
      <c r="S368" s="222">
        <f>S137/S271</f>
        <v>0.115639422361173</v>
      </c>
      <c r="T368" s="222">
        <f>T137/T271</f>
        <v>0.0924433797909408</v>
      </c>
      <c r="U368" s="222">
        <f>U137/U271</f>
        <v>0.110911507922251</v>
      </c>
      <c r="V368" s="222">
        <f>V137/V271</f>
        <v>0.0717976710334789</v>
      </c>
      <c r="X368" s="222">
        <f>X137/X271</f>
        <v>0.113683532527016</v>
      </c>
      <c r="Y368" s="222">
        <f>Y137/Y271</f>
        <v>0.0879573893692313</v>
      </c>
      <c r="Z368" s="222">
        <f>Z137/Z271</f>
        <v>0.101157917169852</v>
      </c>
      <c r="AA368" s="222">
        <f>AA137/AA271</f>
        <v>0.0832322159866525</v>
      </c>
      <c r="AC368" s="222">
        <f>AC137/AC271</f>
        <v>0.119982705195647</v>
      </c>
      <c r="AD368" s="222">
        <f>AD137/AD271</f>
        <v>0.126234179312173</v>
      </c>
      <c r="AE368" s="222">
        <f>AE137/AE271</f>
        <v>0.111101091171431</v>
      </c>
      <c r="AF368" s="222">
        <f>AF137/AF271</f>
        <v>0.0662582056892779</v>
      </c>
      <c r="AH368" s="222">
        <f>AH137/AH271</f>
        <v>0.109811384115968</v>
      </c>
      <c r="AI368" s="222">
        <f>AI137/AI271</f>
        <v>0.115490016964635</v>
      </c>
      <c r="AJ368" s="222">
        <f>AJ137/AJ271</f>
        <v>0.0164346977556366</v>
      </c>
      <c r="AK368" s="222">
        <f>AK137/AK271</f>
        <v>0.0280949294510645</v>
      </c>
      <c r="AM368" s="222">
        <f>AM137/AM271</f>
        <v>0.0273700528024028</v>
      </c>
      <c r="AN368" s="222">
        <f>AN137/AN271</f>
        <v>0.0798725603778629</v>
      </c>
      <c r="AO368" s="222">
        <f>AO137/AO271</f>
        <v>0.0257295466388744</v>
      </c>
      <c r="AP368" s="222">
        <f>AP137/AP271</f>
        <v>0.0715551617190962</v>
      </c>
      <c r="AR368" s="222">
        <f>AR137/AR271</f>
        <v>0.0667768346728761</v>
      </c>
      <c r="AS368" s="222">
        <f>AS137/AS271</f>
        <v>0.151723149445789</v>
      </c>
      <c r="AT368" s="222">
        <f>AT137/AT271</f>
        <v>0.0543907214942009</v>
      </c>
      <c r="AU368" s="222">
        <f>AU137/AU271</f>
        <v>0.125049387593836</v>
      </c>
      <c r="AW368" s="222">
        <f>AW137/AW271</f>
        <v>0.111126711126711</v>
      </c>
      <c r="AX368" s="222">
        <f>AX137/AX271</f>
        <v>0.235024072450021</v>
      </c>
      <c r="AY368" s="222">
        <f>AY137/AY271</f>
        <v>0.0787642431937734</v>
      </c>
      <c r="AZ368" s="222">
        <f>AZ137/AZ271</f>
        <v>0.177762567598704</v>
      </c>
      <c r="BB368" s="222">
        <f>BB137/BB271</f>
        <v>0.150910617931638</v>
      </c>
      <c r="BC368" s="222">
        <f>BC137/BC271</f>
        <v>0.291762740864464</v>
      </c>
      <c r="BD368" s="222">
        <f>BD137/BD271</f>
        <v>0.0967410743856395</v>
      </c>
      <c r="BE368" s="222">
        <f>BE137/BE271</f>
        <v>0.208478702770708</v>
      </c>
      <c r="BG368" s="222">
        <f>BG137/BG271</f>
        <v>0.172501867424881</v>
      </c>
      <c r="BH368" s="222">
        <f>BH137/BH271</f>
        <v>0.320554462318238</v>
      </c>
      <c r="BI368" s="222">
        <f>BI137/BI271</f>
        <v>0.104980819332472</v>
      </c>
      <c r="BJ368" s="222">
        <f>BJ137/BJ271</f>
        <v>0.222904241728663</v>
      </c>
      <c r="BL368" s="222">
        <f>BL137/BL271</f>
        <v>0.182269642208753</v>
      </c>
      <c r="BM368" s="222">
        <f>BM137/BM271</f>
        <v>0.33243483784197</v>
      </c>
      <c r="BN368" s="222">
        <f>BN137/BN271</f>
        <v>0.108504423199886</v>
      </c>
      <c r="BO368" s="222">
        <f>BO137/BO271</f>
        <v>0.228598306277135</v>
      </c>
      <c r="BQ368" s="222">
        <f>BQ137/BQ271</f>
        <v>0.186062449166735</v>
      </c>
      <c r="BR368" s="222">
        <f>BR137/BR271</f>
        <v>0.337039883137017</v>
      </c>
      <c r="BS368" s="222">
        <f>BS137/BS271</f>
        <v>0.109816966589843</v>
      </c>
      <c r="BT368" s="222">
        <f>BT137/BT271</f>
        <v>0.230780321581065</v>
      </c>
      <c r="BV368" s="222">
        <f>BV137/BV271</f>
        <v>0.187506623887155</v>
      </c>
      <c r="BW368" s="222">
        <f>BW137/BW271</f>
        <v>0.33874858502196</v>
      </c>
      <c r="BX368" s="222">
        <f>BX137/BX271</f>
        <v>0.110315232099214</v>
      </c>
      <c r="BY368" s="222">
        <f>BY137/BY271</f>
        <v>0.231582777402885</v>
      </c>
      <c r="CA368" s="222">
        <f>CA137/CA271</f>
        <v>0.188036455900517</v>
      </c>
      <c r="CB368" s="222">
        <f>CB137/CB271</f>
        <v>0.339380715749744</v>
      </c>
      <c r="CC368" s="222">
        <f>CC137/CC271</f>
        <v>0.110496123388264</v>
      </c>
      <c r="CD368" s="222">
        <f>CD137/CD271</f>
        <v>0.231879650870301</v>
      </c>
      <c r="CF368" s="222">
        <f>CF137/CF271</f>
        <v>0.188232295596231</v>
      </c>
      <c r="CG368" s="222">
        <f>CG137/CG271</f>
        <v>0.339612047935363</v>
      </c>
      <c r="CH368" s="222">
        <f>CH137/CH271</f>
        <v>0.110563184431543</v>
      </c>
      <c r="CI368" s="222">
        <f>CI137/CI271</f>
        <v>0.231988030950637</v>
      </c>
      <c r="CK368" s="222">
        <f>CK137/CK271</f>
        <v>0.188303767985599</v>
      </c>
      <c r="CL368" s="222">
        <f>CL137/CL271</f>
        <v>0.339696969729842</v>
      </c>
      <c r="CM368" s="222">
        <f>CM137/CM271</f>
        <v>0.110587563115591</v>
      </c>
      <c r="CN368" s="222">
        <f>CN137/CN271</f>
        <v>0.232027852547241</v>
      </c>
      <c r="CP368" s="222">
        <f>CP137/CP271</f>
        <v>0.188330025547185</v>
      </c>
      <c r="CQ368" s="222">
        <f>CQ137/CQ271</f>
        <v>0.339728018447877</v>
      </c>
      <c r="CR368" s="222">
        <f>CR137/CR271</f>
        <v>0.110596539333739</v>
      </c>
      <c r="CS368" s="222">
        <f>CS137/CS271</f>
        <v>0.232042397760117</v>
      </c>
      <c r="CU368" s="222">
        <f>CU137/CU271</f>
        <v>0.188339615966445</v>
      </c>
      <c r="CV368" s="222">
        <f>CV137/CV271</f>
        <v>0.339739396654723</v>
      </c>
      <c r="CW368" s="222">
        <f>CW137/CW271</f>
        <v>0.110599811745717</v>
      </c>
      <c r="CX368" s="222">
        <f>CX137/CX271</f>
        <v>0.232047731214405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45754</v>
      </c>
      <c r="E18" s="83">
        <f>Model!AB15</f>
        <v>47061</v>
      </c>
      <c r="F18" s="83">
        <f>Model!AG15</f>
        <v>47941</v>
      </c>
      <c r="G18" s="83">
        <f>Model!AL15</f>
        <v>50129</v>
      </c>
      <c r="H18" s="83">
        <f>Model!AQ15</f>
        <v>50129</v>
      </c>
      <c r="I18" s="83">
        <f>Model!AV15</f>
        <v>50129</v>
      </c>
      <c r="J18" s="83">
        <f>Model!BA15</f>
        <v>50129</v>
      </c>
      <c r="K18" s="83">
        <f>Model!BF15</f>
        <v>50129</v>
      </c>
      <c r="L18" s="83">
        <f>Model!BK15</f>
        <v>50129</v>
      </c>
      <c r="M18" s="83">
        <f>Model!BP15</f>
        <v>50129</v>
      </c>
      <c r="N18" s="83">
        <f>Model!BU15</f>
        <v>50129</v>
      </c>
      <c r="O18" s="83">
        <f>Model!BZ15</f>
        <v>50129</v>
      </c>
      <c r="P18" s="83">
        <f>Model!CE15</f>
        <v>50129</v>
      </c>
      <c r="Q18" s="83">
        <f>Model!CJ15</f>
        <v>50129</v>
      </c>
      <c r="R18" s="83">
        <f>Model!CO15</f>
        <v>50129</v>
      </c>
      <c r="S18" s="83" t="n"/>
      <c r="T18" s="83" t="n"/>
      <c r="U18" s="83" t="n"/>
      <c r="V18" s="84" t="n"/>
      <c r="X18" s="85">
        <f>((L18/F18)^(1/6))-1</f>
        <v>0.00746583049710514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0.0285658084539058</v>
      </c>
      <c r="F19" s="87">
        <f>F18/E18-1</f>
        <v>0.0186991351649985</v>
      </c>
      <c r="G19" s="87">
        <f>G18/F18-1</f>
        <v>0.0456394318015894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12439</v>
      </c>
      <c r="E20" s="83">
        <f>Model!AB69</f>
        <v>11067</v>
      </c>
      <c r="F20" s="83">
        <f>Model!AG69</f>
        <v>14812</v>
      </c>
      <c r="G20" s="83">
        <f>Model!AL69</f>
        <v>9561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0.271866940595358</v>
      </c>
      <c r="E21" s="92">
        <f>E20/E18</f>
        <v>0.235162873717091</v>
      </c>
      <c r="F21" s="92">
        <f>F20/F18</f>
        <v>0.30896310047767</v>
      </c>
      <c r="G21" s="92">
        <f>G20/G18</f>
        <v>0.19072792196134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11311</v>
      </c>
      <c r="E22" s="83">
        <f>Model!AB73</f>
        <v>9992</v>
      </c>
      <c r="F22" s="83">
        <f>Model!AG73</f>
        <v>13762</v>
      </c>
      <c r="G22" s="83">
        <f>Model!AL73</f>
        <v>9031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0.247213358394894</v>
      </c>
      <c r="E23" s="92">
        <f>E22/E18</f>
        <v>0.212320180191666</v>
      </c>
      <c r="F23" s="92">
        <f>F22/F18</f>
        <v>0.287061179366304</v>
      </c>
      <c r="G23" s="92">
        <f>G22/G18</f>
        <v>0.180155199585071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0.173641136504015</v>
      </c>
      <c r="E24" s="95">
        <f>Model!AB132</f>
        <v>0.186229558306587</v>
      </c>
      <c r="F24" s="95">
        <f>Model!AG132</f>
        <v>0.178834854356795</v>
      </c>
      <c r="G24" s="95">
        <f>Model!AL132</f>
        <v>0.141522928060581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9346.94510500309</v>
      </c>
      <c r="E25" s="97">
        <f>E22*(1-E24)</f>
        <v>8131.19425340058</v>
      </c>
      <c r="F25" s="97">
        <f>F22*(1-F24)</f>
        <v>11300.8747343418</v>
      </c>
      <c r="G25" s="97">
        <f>G22*(1-G24)</f>
        <v>7752.9064366849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-1128</v>
      </c>
      <c r="E26" s="100">
        <f>Model!AB70</f>
        <v>-1075</v>
      </c>
      <c r="F26" s="100">
        <f>Model!AG70</f>
        <v>-1050</v>
      </c>
      <c r="G26" s="100">
        <f>Model!AL70</f>
        <v>-530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348</v>
      </c>
      <c r="E27" s="103">
        <f>SUM(E28:E39)</f>
        <v>-4730</v>
      </c>
      <c r="F27" s="103">
        <f>SUM(F28:F39)</f>
        <v>-11339</v>
      </c>
      <c r="G27" s="103">
        <f>SUM(G28:G39)</f>
        <v>-8290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77</v>
      </c>
      <c r="E28" s="106">
        <f>Model!AB280</f>
        <v>-159</v>
      </c>
      <c r="F28" s="106">
        <f>Model!AG280</f>
        <v>531</v>
      </c>
      <c r="G28" s="106">
        <f>Model!AL280</f>
        <v>3038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-191</v>
      </c>
      <c r="E29" s="106">
        <f>Model!AB281</f>
        <v>-304</v>
      </c>
      <c r="F29" s="106">
        <f>Model!AG281</f>
        <v>303</v>
      </c>
      <c r="G29" s="106">
        <f>Model!AL281</f>
        <v>4425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185</v>
      </c>
      <c r="E30" s="106">
        <f>Model!AB282</f>
        <v>242</v>
      </c>
      <c r="F30" s="106">
        <f>Model!AG282</f>
        <v>113</v>
      </c>
      <c r="G30" s="106">
        <f>Model!AL282</f>
        <v>116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-4180</v>
      </c>
      <c r="E32" s="106">
        <f>Model!AB284</f>
        <v>2660</v>
      </c>
      <c r="F32" s="106">
        <f>Model!AG284</f>
        <v>-6439</v>
      </c>
      <c r="G32" s="106">
        <f>Model!AL284</f>
        <v>1721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-264</v>
      </c>
      <c r="E33" s="106">
        <f>Model!AB285</f>
        <v>6230</v>
      </c>
      <c r="F33" s="106">
        <f>Model!AG285</f>
        <v>-6902</v>
      </c>
      <c r="G33" s="106">
        <f>Model!AL285</f>
        <v>-14813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0</v>
      </c>
      <c r="E34" s="106">
        <f>Model!AB286</f>
        <v>0</v>
      </c>
      <c r="F34" s="106">
        <f>Model!AG286</f>
        <v>0</v>
      </c>
      <c r="G34" s="106">
        <f>Model!AL286</f>
        <v>0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366</v>
      </c>
      <c r="E35" s="106">
        <f>Model!AB287</f>
        <v>-182</v>
      </c>
      <c r="F35" s="106">
        <f>Model!AG287</f>
        <v>-862</v>
      </c>
      <c r="G35" s="106">
        <f>Model!AL287</f>
        <v>-525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4557</v>
      </c>
      <c r="E36" s="106">
        <f>Model!AB288</f>
        <v>-3058</v>
      </c>
      <c r="F36" s="106">
        <f>Model!AG288</f>
        <v>2622</v>
      </c>
      <c r="G36" s="106">
        <f>Model!AL288</f>
        <v>-1631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-275</v>
      </c>
      <c r="E37" s="106">
        <f>Model!AB289</f>
        <v>-170</v>
      </c>
      <c r="F37" s="106">
        <f>Model!AG289</f>
        <v>-63</v>
      </c>
      <c r="G37" s="106">
        <f>Model!AL289</f>
        <v>373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-471</v>
      </c>
      <c r="E38" s="106">
        <f>(Model!AB189-Model!W189)*-1</f>
        <v>-5607</v>
      </c>
      <c r="F38" s="106">
        <f>(Model!AG189-Model!AB189)*-1</f>
        <v>-1293</v>
      </c>
      <c r="G38" s="106">
        <f>(Model!AL189-Model!AG189)*-1</f>
        <v>-886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544</v>
      </c>
      <c r="E39" s="106">
        <f>Model!AB240-Model!W240</f>
        <v>-4382</v>
      </c>
      <c r="F39" s="106">
        <f>Model!AG240-Model!AB240</f>
        <v>651</v>
      </c>
      <c r="G39" s="106">
        <f>Model!AL240-Model!AG240</f>
        <v>-108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-780</v>
      </c>
      <c r="E44" s="103">
        <f>SUM(E27+E40+E41+E42+E26)</f>
        <v>-5805</v>
      </c>
      <c r="F44" s="103">
        <f>SUM(F27+F40+F41+F42+F26)</f>
        <v>-12389</v>
      </c>
      <c r="G44" s="103">
        <f>SUM(G27+G40+G41+G42+G26)</f>
        <v>-8820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38589</v>
      </c>
      <c r="E46" s="106">
        <f>Model!AB350</f>
        <v>42949</v>
      </c>
      <c r="F46" s="106">
        <f>Model!AG350</f>
        <v>50117</v>
      </c>
      <c r="G46" s="106">
        <f>Model!AL350</f>
        <v>46237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20231</v>
      </c>
      <c r="E47" s="106">
        <f>Model!AB351</f>
        <v>24810</v>
      </c>
      <c r="F47" s="106">
        <f>Model!AG351</f>
        <v>34626</v>
      </c>
      <c r="G47" s="106">
        <f>Model!AL351</f>
        <v>30781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0.843401669799362</v>
      </c>
      <c r="E48" s="92">
        <f>E46/E18</f>
        <v>0.912624041138097</v>
      </c>
      <c r="F48" s="92">
        <f>F46/F18</f>
        <v>1.04538912413175</v>
      </c>
      <c r="G48" s="92">
        <f>G46/G18</f>
        <v>0.92236031039917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0.160925471421734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1.18567467412993</v>
      </c>
      <c r="E51" s="124">
        <f>E18/E46</f>
        <v>1.09574146080235</v>
      </c>
      <c r="F51" s="124">
        <f>F18/F46</f>
        <v>0.956581599058204</v>
      </c>
      <c r="G51" s="124">
        <f>G18/G46</f>
        <v>1.08417501135454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8566.94510500309</v>
      </c>
      <c r="E53" s="125">
        <f>E25+E44</f>
        <v>2326.19425340058</v>
      </c>
      <c r="F53" s="125">
        <f>F25+F44</f>
        <v>-1088.12526565821</v>
      </c>
      <c r="G53" s="126">
        <f>(G25+G44)*stub_year_fraction</f>
        <v>-277.736680862835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0.178834854356795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2026-10-14T11:31:26Z</dcterms:modified>
  <cp:lastModifiedBy>Lucas Nascimento</cp:lastModifiedBy>
</cp:coreProperties>
</file>